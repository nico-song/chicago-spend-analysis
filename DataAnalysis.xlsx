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nsong/Downloads/"/>
    </mc:Choice>
  </mc:AlternateContent>
  <xr:revisionPtr revIDLastSave="0" documentId="8_{435CFB27-9B8C-E44D-90F6-7F40E639918B}" xr6:coauthVersionLast="47" xr6:coauthVersionMax="47" xr10:uidLastSave="{00000000-0000-0000-0000-000000000000}"/>
  <bookViews>
    <workbookView xWindow="0" yWindow="660" windowWidth="30240" windowHeight="18980" xr2:uid="{923207F7-CFFD-5E4E-890E-FDFEFE4DC3BF}"/>
  </bookViews>
  <sheets>
    <sheet name="Data" sheetId="1" r:id="rId1"/>
    <sheet name="Small Contracts" sheetId="7" r:id="rId2"/>
    <sheet name="Savings" sheetId="6" r:id="rId3"/>
    <sheet name="Vendors" sheetId="2" r:id="rId4"/>
    <sheet name="Risk Detail" sheetId="3" r:id="rId5"/>
    <sheet name="Trend" sheetId="8" r:id="rId6"/>
    <sheet name="Risk Summary" sheetId="5" r:id="rId7"/>
  </sheets>
  <calcPr calcId="191029"/>
  <pivotCaches>
    <pivotCache cacheId="6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4" i="7"/>
  <c r="D21" i="7" a="1"/>
  <c r="D21" i="7" s="1"/>
  <c r="D22" i="7" a="1"/>
  <c r="D22" i="7" s="1"/>
  <c r="D23" i="7" a="1"/>
  <c r="D23" i="7" s="1"/>
  <c r="D24" i="7" a="1"/>
  <c r="D24" i="7" s="1"/>
  <c r="D25" i="7" a="1"/>
  <c r="D25" i="7" s="1"/>
  <c r="D26" i="7" a="1"/>
  <c r="D26" i="7" s="1"/>
  <c r="D27" i="7" a="1"/>
  <c r="D27" i="7" s="1"/>
  <c r="D28" i="7" a="1"/>
  <c r="D28" i="7" s="1"/>
  <c r="D29" i="7" a="1"/>
  <c r="D29" i="7" s="1"/>
  <c r="D30" i="7" a="1"/>
  <c r="D30" i="7" s="1"/>
  <c r="D31" i="7" a="1"/>
  <c r="D31" i="7" s="1"/>
  <c r="D32" i="7" a="1"/>
  <c r="D32" i="7" s="1"/>
  <c r="D33" i="7" a="1"/>
  <c r="D33" i="7" s="1"/>
  <c r="D34" i="7" a="1"/>
  <c r="D34" i="7" s="1"/>
  <c r="D35" i="7" a="1"/>
  <c r="D35" i="7" s="1"/>
  <c r="D36" i="7" a="1"/>
  <c r="D36" i="7" s="1"/>
  <c r="D37" i="7" a="1"/>
  <c r="D37" i="7" s="1"/>
  <c r="D38" i="7" a="1"/>
  <c r="D38" i="7" s="1"/>
  <c r="D39" i="7" a="1"/>
  <c r="D39" i="7" s="1"/>
  <c r="D40" i="7" a="1"/>
  <c r="D40" i="7" s="1"/>
  <c r="D41" i="7" a="1"/>
  <c r="D41" i="7" s="1"/>
  <c r="D42" i="7" a="1"/>
  <c r="D42" i="7" s="1"/>
  <c r="D43" i="7" a="1"/>
  <c r="D43" i="7" s="1"/>
  <c r="D44" i="7" a="1"/>
  <c r="D44" i="7"/>
  <c r="D45" i="7" a="1"/>
  <c r="D45" i="7" s="1"/>
  <c r="C2" i="1"/>
  <c r="C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D5" i="7" a="1"/>
  <c r="D5" i="7" s="1"/>
  <c r="D6" i="7" a="1"/>
  <c r="D6" i="7" s="1"/>
  <c r="D7" i="7" a="1"/>
  <c r="D7" i="7" s="1"/>
  <c r="D8" i="7" a="1"/>
  <c r="D8" i="7" s="1"/>
  <c r="D9" i="7" a="1"/>
  <c r="D9" i="7" s="1"/>
  <c r="D10" i="7" a="1"/>
  <c r="D10" i="7" s="1"/>
  <c r="D11" i="7" a="1"/>
  <c r="D11" i="7" s="1"/>
  <c r="D12" i="7" a="1"/>
  <c r="D12" i="7" s="1"/>
  <c r="D13" i="7" a="1"/>
  <c r="D13" i="7" s="1"/>
  <c r="D14" i="7" a="1"/>
  <c r="D14" i="7" s="1"/>
  <c r="D15" i="7" a="1"/>
  <c r="D15" i="7" s="1"/>
  <c r="D16" i="7" a="1"/>
  <c r="D16" i="7" s="1"/>
  <c r="D17" i="7" a="1"/>
  <c r="D17" i="7" s="1"/>
  <c r="D18" i="7" a="1"/>
  <c r="D18" i="7" s="1"/>
  <c r="D19" i="7" a="1"/>
  <c r="D19" i="7" s="1"/>
  <c r="D20" i="7" a="1"/>
  <c r="D20" i="7" s="1"/>
  <c r="N2" i="3" a="1"/>
  <c r="K6" i="2"/>
  <c r="K5" i="2"/>
  <c r="K4" i="2"/>
  <c r="K3" i="2"/>
  <c r="K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2" i="2"/>
  <c r="C12" i="6"/>
  <c r="C11" i="6"/>
  <c r="N2" i="3" l="1"/>
  <c r="O2" i="3" s="1"/>
  <c r="P5" i="3"/>
  <c r="P31" i="3"/>
  <c r="P34" i="3"/>
  <c r="R34" i="3" s="1" a="1"/>
  <c r="R34" i="3" s="1"/>
  <c r="P12" i="3"/>
  <c r="S6" i="3"/>
  <c r="P33" i="3"/>
  <c r="P10" i="3"/>
  <c r="O14" i="3"/>
  <c r="S34" i="3"/>
  <c r="S15" i="3"/>
  <c r="O36" i="3"/>
  <c r="S17" i="3"/>
  <c r="S36" i="3"/>
  <c r="P23" i="3"/>
  <c r="S26" i="3"/>
  <c r="S24" i="3"/>
  <c r="O3" i="3"/>
  <c r="O8" i="3"/>
  <c r="P15" i="3"/>
  <c r="P17" i="3"/>
  <c r="O19" i="3"/>
  <c r="S20" i="3"/>
  <c r="P3" i="3"/>
  <c r="S4" i="3"/>
  <c r="P8" i="3"/>
  <c r="S9" i="3"/>
  <c r="S11" i="3"/>
  <c r="P19" i="3"/>
  <c r="O21" i="3"/>
  <c r="S22" i="3"/>
  <c r="O30" i="3"/>
  <c r="O32" i="3"/>
  <c r="S33" i="3"/>
  <c r="O5" i="3"/>
  <c r="O10" i="3"/>
  <c r="O12" i="3"/>
  <c r="S13" i="3"/>
  <c r="R15" i="3" a="1"/>
  <c r="R15" i="3" s="1"/>
  <c r="R17" i="3" a="1"/>
  <c r="R17" i="3" s="1"/>
  <c r="P21" i="3"/>
  <c r="Q21" i="3" s="1"/>
  <c r="O23" i="3"/>
  <c r="P30" i="3"/>
  <c r="R30" i="3" s="1" a="1"/>
  <c r="R30" i="3" s="1"/>
  <c r="P32" i="3"/>
  <c r="R32" i="3" s="1" a="1"/>
  <c r="R32" i="3" s="1"/>
  <c r="O34" i="3"/>
  <c r="S35" i="3"/>
  <c r="S37" i="3"/>
  <c r="O7" i="3"/>
  <c r="P14" i="3"/>
  <c r="O16" i="3"/>
  <c r="O18" i="3"/>
  <c r="R21" i="3" a="1"/>
  <c r="R21" i="3" s="1"/>
  <c r="O25" i="3"/>
  <c r="O27" i="3"/>
  <c r="S28" i="3"/>
  <c r="P36" i="3"/>
  <c r="P16" i="3"/>
  <c r="R16" i="3" s="1" a="1"/>
  <c r="R16" i="3" s="1"/>
  <c r="P18" i="3"/>
  <c r="Q18" i="3" s="1"/>
  <c r="S19" i="3"/>
  <c r="R23" i="3" a="1"/>
  <c r="R23" i="3" s="1"/>
  <c r="O20" i="3"/>
  <c r="S21" i="3"/>
  <c r="P29" i="3"/>
  <c r="R29" i="3" s="1" a="1"/>
  <c r="R29" i="3" s="1"/>
  <c r="O31" i="3"/>
  <c r="Q31" i="3" s="1"/>
  <c r="O33" i="3"/>
  <c r="Q33" i="3" s="1"/>
  <c r="S3" i="3"/>
  <c r="R5" i="3" a="1"/>
  <c r="R5" i="3" s="1"/>
  <c r="P7" i="3"/>
  <c r="S8" i="3"/>
  <c r="R10" i="3" a="1"/>
  <c r="R10" i="3" s="1"/>
  <c r="R12" i="3" a="1"/>
  <c r="R12" i="3" s="1"/>
  <c r="P25" i="3"/>
  <c r="P27" i="3"/>
  <c r="O29" i="3"/>
  <c r="S30" i="3"/>
  <c r="S32" i="3"/>
  <c r="O4" i="3"/>
  <c r="O9" i="3"/>
  <c r="S10" i="3"/>
  <c r="S12" i="3"/>
  <c r="P4" i="3"/>
  <c r="R4" i="3" s="1" a="1"/>
  <c r="R4" i="3" s="1"/>
  <c r="S5" i="3"/>
  <c r="P9" i="3"/>
  <c r="R9" i="3" s="1" a="1"/>
  <c r="R9" i="3" s="1"/>
  <c r="O11" i="3"/>
  <c r="O13" i="3"/>
  <c r="P20" i="3"/>
  <c r="R20" i="3" s="1" a="1"/>
  <c r="R20" i="3" s="1"/>
  <c r="O22" i="3"/>
  <c r="S23" i="3"/>
  <c r="O6" i="3"/>
  <c r="P11" i="3"/>
  <c r="R11" i="3" s="1" a="1"/>
  <c r="R11" i="3" s="1"/>
  <c r="P13" i="3"/>
  <c r="R13" i="3" s="1" a="1"/>
  <c r="R13" i="3" s="1"/>
  <c r="S14" i="3"/>
  <c r="S16" i="3"/>
  <c r="P22" i="3"/>
  <c r="O24" i="3"/>
  <c r="S25" i="3"/>
  <c r="S27" i="3"/>
  <c r="O35" i="3"/>
  <c r="O37" i="3"/>
  <c r="O15" i="3"/>
  <c r="O17" i="3"/>
  <c r="S18" i="3"/>
  <c r="P35" i="3"/>
  <c r="P37" i="3"/>
  <c r="P26" i="3"/>
  <c r="P28" i="3"/>
  <c r="S29" i="3"/>
  <c r="S31" i="3"/>
  <c r="Q23" i="3"/>
  <c r="Q12" i="3"/>
  <c r="Q34" i="3"/>
  <c r="Q5" i="3"/>
  <c r="R33" i="3" a="1"/>
  <c r="R33" i="3" s="1"/>
  <c r="R31" i="3" a="1"/>
  <c r="R31" i="3" s="1"/>
  <c r="O28" i="3"/>
  <c r="O26" i="3"/>
  <c r="P24" i="3"/>
  <c r="S7" i="3"/>
  <c r="P6" i="3"/>
  <c r="Q10" i="3" l="1"/>
  <c r="Q26" i="3"/>
  <c r="R18" i="3" a="1"/>
  <c r="R18" i="3" s="1"/>
  <c r="Q32" i="3"/>
  <c r="Q20" i="3"/>
  <c r="Q7" i="3"/>
  <c r="Q30" i="3"/>
  <c r="Q24" i="3"/>
  <c r="Q28" i="3"/>
  <c r="Q29" i="3"/>
  <c r="Q11" i="3"/>
  <c r="R7" i="3" a="1"/>
  <c r="R7" i="3" s="1"/>
  <c r="R27" i="3" a="1"/>
  <c r="R27" i="3" s="1"/>
  <c r="Q27" i="3"/>
  <c r="Q36" i="3"/>
  <c r="R36" i="3" a="1"/>
  <c r="R36" i="3" s="1"/>
  <c r="Q3" i="3"/>
  <c r="R3" i="3" a="1"/>
  <c r="R3" i="3" s="1"/>
  <c r="R24" i="3" a="1"/>
  <c r="R24" i="3" s="1"/>
  <c r="Q6" i="3"/>
  <c r="Q17" i="3"/>
  <c r="Q4" i="3"/>
  <c r="Q37" i="3"/>
  <c r="R37" i="3" a="1"/>
  <c r="R37" i="3" s="1"/>
  <c r="R35" i="3" a="1"/>
  <c r="R35" i="3" s="1"/>
  <c r="Q35" i="3"/>
  <c r="Q19" i="3"/>
  <c r="R19" i="3" a="1"/>
  <c r="R19" i="3" s="1"/>
  <c r="Q15" i="3"/>
  <c r="R22" i="3" a="1"/>
  <c r="R22" i="3" s="1"/>
  <c r="Q22" i="3"/>
  <c r="Q16" i="3"/>
  <c r="R28" i="3" a="1"/>
  <c r="R28" i="3" s="1"/>
  <c r="Q8" i="3"/>
  <c r="R8" i="3" a="1"/>
  <c r="R8" i="3" s="1"/>
  <c r="Q25" i="3"/>
  <c r="R25" i="3" a="1"/>
  <c r="R25" i="3" s="1"/>
  <c r="R26" i="3" a="1"/>
  <c r="R26" i="3" s="1"/>
  <c r="R6" i="3" a="1"/>
  <c r="R6" i="3" s="1"/>
  <c r="Q13" i="3"/>
  <c r="Q9" i="3"/>
  <c r="Q14" i="3"/>
  <c r="R14" i="3" a="1"/>
  <c r="R14" i="3" s="1"/>
  <c r="S2" i="3"/>
  <c r="P2" i="3"/>
  <c r="Q2" i="3" s="1"/>
  <c r="R2" i="3" l="1" a="1"/>
  <c r="R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<sst xmlns="http://schemas.openxmlformats.org/spreadsheetml/2006/main" count="55921" uniqueCount="2904">
  <si>
    <t>Contract ID</t>
  </si>
  <si>
    <t>Award Amount</t>
  </si>
  <si>
    <t>Vendor</t>
  </si>
  <si>
    <t>Department</t>
  </si>
  <si>
    <t>Contract Type</t>
  </si>
  <si>
    <t>Procurement Type</t>
  </si>
  <si>
    <t>Year</t>
  </si>
  <si>
    <t>FH PASCHEN SN NIELSEN &amp; ASSOCIATES</t>
  </si>
  <si>
    <t>CHICAGO DEPARTMENT OF TRANSPORTATION</t>
  </si>
  <si>
    <t>CONSTRUCTION-LARGE $3MILLIONorABOVE</t>
  </si>
  <si>
    <t>BID</t>
  </si>
  <si>
    <t>CITY ESCAPE GARDEN &amp; DESIGNLLC</t>
  </si>
  <si>
    <t>WORK SERVICES / FACILITIES MAINT.</t>
  </si>
  <si>
    <t>DB STERLIN CONSULTANTS</t>
  </si>
  <si>
    <t>ARCH/ENGINEERING</t>
  </si>
  <si>
    <t>RFQ</t>
  </si>
  <si>
    <t>TRANSYSTEMS</t>
  </si>
  <si>
    <t>SUTTON FORD</t>
  </si>
  <si>
    <t>DEPARTMENT OF FLEET AND FACILITY MANAGEMENT</t>
  </si>
  <si>
    <t>VEHICLES/HEAVY EQUIPMENT (CAPITAL)</t>
  </si>
  <si>
    <t>BRADFORD SYSTEMS</t>
  </si>
  <si>
    <t>CHICAGO PUBLIC LIBRARY</t>
  </si>
  <si>
    <t>COMMODITIES</t>
  </si>
  <si>
    <t>PAN-OCEANIC ENGINEERING</t>
  </si>
  <si>
    <t>DEPARTMENT OF WATER MANAGEMENT</t>
  </si>
  <si>
    <t>CONSTRUCTION-GENERAL</t>
  </si>
  <si>
    <t>BENCHMARK CONSTRUCTION CO INC|CLEANED-UP</t>
  </si>
  <si>
    <t>STUDIO ORD</t>
  </si>
  <si>
    <t>CHICAGO DEPARTMENT OF AVIATION</t>
  </si>
  <si>
    <t>PRO SERV-AVIATION</t>
  </si>
  <si>
    <t>MURRAY &amp; TRETTEL</t>
  </si>
  <si>
    <t>WORK SERV-AVIATION</t>
  </si>
  <si>
    <t>ROSSI CONTRACTORS</t>
  </si>
  <si>
    <t>ROOT BROTHERSMANUFACTURING &amp; SUPPLY</t>
  </si>
  <si>
    <t>COMMODITIES-AVIATION</t>
  </si>
  <si>
    <t>BUILDERS CHICAGO</t>
  </si>
  <si>
    <t>C &amp; C COMMUNICATIONS</t>
  </si>
  <si>
    <t>OFFICE OF EMERGENCY MANAGEMENT AND COMMUNICATIONS</t>
  </si>
  <si>
    <t>SEVEN-D CONSTRUCTION</t>
  </si>
  <si>
    <t>BIGANE PAVING COMPANY/O PLOTE CONSTRUCTION INC JV</t>
  </si>
  <si>
    <t>ENTERPRISE LEASING CO OF CHICAGO</t>
  </si>
  <si>
    <t>BOARD OF TRUSTEES OF COMMUNITY COLLEGE DISTRICT #508 COUNTY OF COOK &amp; STATE OF ILLINOIS</t>
  </si>
  <si>
    <t>CHICAGO DEPARTMENT OF PUBLIC HEALTH</t>
  </si>
  <si>
    <t>PRO SERV CONSULTING $250,000orABOVE</t>
  </si>
  <si>
    <t>RFP</t>
  </si>
  <si>
    <t>GARY JET CENTER</t>
  </si>
  <si>
    <t>ROTORCRAFT SUPPORT</t>
  </si>
  <si>
    <t>LEAVITT COMMUNICATIONS</t>
  </si>
  <si>
    <t>ALLIED WASTE TRANSPORTATION</t>
  </si>
  <si>
    <t>DEPARTMENT OF STREETS AND SANITATION</t>
  </si>
  <si>
    <t>AECOM TECHNICAL SERVICES</t>
  </si>
  <si>
    <t>ALLIANT INSURANCE SERVICES</t>
  </si>
  <si>
    <t>DEPARTMENT OF FINANCE</t>
  </si>
  <si>
    <t>PRO-TECH</t>
  </si>
  <si>
    <t>CHICAGO POLICE DEPARTMENT</t>
  </si>
  <si>
    <t>SKIDMOREOWINGS &amp; MERRILL</t>
  </si>
  <si>
    <t>FIFTH THIRD BANK NATIONAL ASSOCIATION</t>
  </si>
  <si>
    <t>AERO SNOW REMOVAL (ILL)</t>
  </si>
  <si>
    <t>J S REIMER</t>
  </si>
  <si>
    <t>UNKNOWN</t>
  </si>
  <si>
    <t>PERALTE-CLARK</t>
  </si>
  <si>
    <t>MASTER AGREEMENT</t>
  </si>
  <si>
    <t>PLOTE CONSTRUCTION INC / K-FIVE CONSTRUCTION CORP JOINT VENTURE</t>
  </si>
  <si>
    <t>MCDONAGH DEMOLITION</t>
  </si>
  <si>
    <t>STRYKER MEDICAL</t>
  </si>
  <si>
    <t>CHICAGO FIRE DEPARTMENT</t>
  </si>
  <si>
    <t>VERIZON WIRELESS</t>
  </si>
  <si>
    <t>DEPARTMENT OF TECHNOLOGY AND INNOVATION</t>
  </si>
  <si>
    <t>TETRA TECH</t>
  </si>
  <si>
    <t>DEPT OF ASSETS INFORMATION AND SERVICES</t>
  </si>
  <si>
    <t>HNTB</t>
  </si>
  <si>
    <t>ARCH/ENGINEERING-AVIATION</t>
  </si>
  <si>
    <t>ALDRIDGE ELECTRIC</t>
  </si>
  <si>
    <t>SANCHEZ PAVING</t>
  </si>
  <si>
    <t>GLOBETROTTERS ENG</t>
  </si>
  <si>
    <t>LOOKING GOOD HAND CAR WASH</t>
  </si>
  <si>
    <t>BAKER TILLY VIRCHOW KRAUSE</t>
  </si>
  <si>
    <t>SKYTECH ENTERPRISES LIMITED|CLEANED-UP</t>
  </si>
  <si>
    <t>IDEMIA IDENTITY &amp; SECURITY USA</t>
  </si>
  <si>
    <t>REFERENCE CONTRACT</t>
  </si>
  <si>
    <t>MQ SEWER &amp; WATER CONTRACTORS</t>
  </si>
  <si>
    <t>ELECTRONIC KNOWLEDGE INTERCHANGE</t>
  </si>
  <si>
    <t>OFFICE OF CITY CLERK</t>
  </si>
  <si>
    <t>CHICAGO UNITED INDUSTRIES LIMITED</t>
  </si>
  <si>
    <t>BLINDERMAN CONSTRUCTION</t>
  </si>
  <si>
    <t>CONSTRUCTION-AVIATION</t>
  </si>
  <si>
    <t>TREK BICYCLE</t>
  </si>
  <si>
    <t>FOUNTAIN PROS</t>
  </si>
  <si>
    <t>WALSH CONSTRUCTION COMPANY II</t>
  </si>
  <si>
    <t>O'HARE MODERNIZATION PROGRAM</t>
  </si>
  <si>
    <t>K2 INTELLIGENCE</t>
  </si>
  <si>
    <t>COHNREZNICK</t>
  </si>
  <si>
    <t>COLONIAL OIL INDUSTRIES</t>
  </si>
  <si>
    <t>JOHNSON CONTROLS FIRE PROTECTION LP</t>
  </si>
  <si>
    <t>BELLA BAGNO</t>
  </si>
  <si>
    <t>AIR ONE EQUIPMENT</t>
  </si>
  <si>
    <t>INLINER SOLUTIONS</t>
  </si>
  <si>
    <t>GRANITE INLINER</t>
  </si>
  <si>
    <t>COSTAR|CLEANED-UP</t>
  </si>
  <si>
    <t>DEPARTMENT OF PLANNING AND DEVELOPMENT</t>
  </si>
  <si>
    <t>PRO SERV CONSULTING UNDER $250,000</t>
  </si>
  <si>
    <t>SOLE SOURCE</t>
  </si>
  <si>
    <t>MACQUEEN EQUIPMENT</t>
  </si>
  <si>
    <t>CONTRACT ASSIGNMENT/TRANS</t>
  </si>
  <si>
    <t>JOHN BURNS CONSTRUCTION</t>
  </si>
  <si>
    <t>BEBON OFFICE MACHINES</t>
  </si>
  <si>
    <t>WORK SERVICES-SMALL ORDERS</t>
  </si>
  <si>
    <t>GRAYBAR ELECTRIC</t>
  </si>
  <si>
    <t>AGILENT TECHNOLOGIES</t>
  </si>
  <si>
    <t>CITY LIGHTS LIMITED/ZSL ELECTRIC</t>
  </si>
  <si>
    <t>RICONDO &amp; ASSOCIATES</t>
  </si>
  <si>
    <t>BEST IMAGING SOLUTIONS</t>
  </si>
  <si>
    <t>DEPARTMENT OF CULTURAL AFFAIRS AND SPECIAL EVENTS</t>
  </si>
  <si>
    <t>WISS JANNEY ELSTNER &amp; ASSOCIATES INC|CLEANED-UP</t>
  </si>
  <si>
    <t>MAT CONSTRUCTION LEASING</t>
  </si>
  <si>
    <t>UNITED ENTERPRISE</t>
  </si>
  <si>
    <t>RELIABLE CONTRACTING &amp; EQUIPMENT</t>
  </si>
  <si>
    <t>LAKESHORE RECYCLING SYSTEMS</t>
  </si>
  <si>
    <t>PACE SYSTEMS</t>
  </si>
  <si>
    <t>PAUL BORG CONSTRUCTION</t>
  </si>
  <si>
    <t>JOC</t>
  </si>
  <si>
    <t>PACIFIC CONSTRUCTION SERVICES</t>
  </si>
  <si>
    <t>LEOPARDO COMPANIES</t>
  </si>
  <si>
    <t>ANCHOR MECHANICAL</t>
  </si>
  <si>
    <t>CONTRACT ASSIGNMENT/TRANSFER</t>
  </si>
  <si>
    <t>DELAWARE CARS/TR HARMSEN CORP JV</t>
  </si>
  <si>
    <t>LAZ PARKING MIDWEST</t>
  </si>
  <si>
    <t>DEPARTMENT OF REVENUE</t>
  </si>
  <si>
    <t>CAPITOL CEMENT</t>
  </si>
  <si>
    <t>K-FIVE CONSTRUCTION</t>
  </si>
  <si>
    <t>SILK SCREEN EXPRESS</t>
  </si>
  <si>
    <t>ALLIANCE DEMOLITION SERVICES</t>
  </si>
  <si>
    <t>DEPARTMENT OF BUILDINGS</t>
  </si>
  <si>
    <t>DEMOLITION</t>
  </si>
  <si>
    <t>ACCEL CONSTRUCTION SERVICES GROUP</t>
  </si>
  <si>
    <t>KYNDRYL</t>
  </si>
  <si>
    <t>INFOR PUBLIC SECTOR</t>
  </si>
  <si>
    <t>SUMIT CONSTRUCTION</t>
  </si>
  <si>
    <t>ATHENA CONSULTING</t>
  </si>
  <si>
    <t>MWM CONSULTING GROUP</t>
  </si>
  <si>
    <t>PERATON</t>
  </si>
  <si>
    <t>OFFICE OF PUBLIC SAFETY ADMINISTRATION</t>
  </si>
  <si>
    <t>REMI GROUP</t>
  </si>
  <si>
    <t>G &amp; V CONSTRUCTION</t>
  </si>
  <si>
    <t>PLUMBING PROFESSIONALS</t>
  </si>
  <si>
    <t>LAW ENFORCEMENT PSYCHOLOGICAL SERVICES</t>
  </si>
  <si>
    <t>RAUSCH INFRASTRUCTURE</t>
  </si>
  <si>
    <t>PATSON</t>
  </si>
  <si>
    <t>CSI 3000 CONSTRUCTION JV</t>
  </si>
  <si>
    <t>OMICRON TECHNOLOGY SOLUTIONS</t>
  </si>
  <si>
    <t>ASHLAUR CONSTRUCTION JV</t>
  </si>
  <si>
    <t>ABNA OF ILLINOIS</t>
  </si>
  <si>
    <t>DEPARTMENT OF ENVIRONMENT</t>
  </si>
  <si>
    <t>CDM SMITH</t>
  </si>
  <si>
    <t>A3 ENVIRONMENTAL</t>
  </si>
  <si>
    <t>RAMBOLL US</t>
  </si>
  <si>
    <t>SPECIALTY CONSULTING</t>
  </si>
  <si>
    <t>ECS MIDWEST</t>
  </si>
  <si>
    <t>ROUX ASSOCIATES</t>
  </si>
  <si>
    <t>DESIGN CONSULTING ENGINEERS</t>
  </si>
  <si>
    <t>V3 COMPANIES LIMITED</t>
  </si>
  <si>
    <t>TERRACON CONSULTANTS</t>
  </si>
  <si>
    <t>CARNOW CONIBEAR &amp; ASSOC LIMITED</t>
  </si>
  <si>
    <t>HUFF &amp; HUFF</t>
  </si>
  <si>
    <t>HEY &amp; ASSOCIATES</t>
  </si>
  <si>
    <t>2IM GROUP</t>
  </si>
  <si>
    <t>WIGHT &amp;</t>
  </si>
  <si>
    <t>GSG CONSULTANTS</t>
  </si>
  <si>
    <t>ENVIRONMENTAL DESIGN INTERNATIONAL|CLEANED-UP</t>
  </si>
  <si>
    <t>APTIM GOVERNMENT SOLUTIONS</t>
  </si>
  <si>
    <t>ARCADIS US</t>
  </si>
  <si>
    <t>SMITHGROUPJJR</t>
  </si>
  <si>
    <t>GRANITE CONSTRUCTION</t>
  </si>
  <si>
    <t>S&amp;J CONSTRUCTION CO INC &amp; KAPO CONSTRUCTION INC JV</t>
  </si>
  <si>
    <t>GENUINE PARTS</t>
  </si>
  <si>
    <t>FRANK COONEY</t>
  </si>
  <si>
    <t>ASKREPLY</t>
  </si>
  <si>
    <t>BROWN FARMER MEDIA GROUP</t>
  </si>
  <si>
    <t>DEPARTMENT OF HUMAN RESOURCES</t>
  </si>
  <si>
    <t>COLD CHAIN TECHNOLOGY SERVICES LLC|CLEANED-UP</t>
  </si>
  <si>
    <t>THE ABERDEEN GROUP</t>
  </si>
  <si>
    <t>MORENO ARCHITECTS LIMITED DBA JGMA</t>
  </si>
  <si>
    <t>AT&amp;T</t>
  </si>
  <si>
    <t>TELECOMMUNICATIONS</t>
  </si>
  <si>
    <t>GHAFARI ASSOCIATES</t>
  </si>
  <si>
    <t>SOLOMON CORDWELL BUENZ &amp; ASSOCIATES</t>
  </si>
  <si>
    <t>EXP US SERVICES</t>
  </si>
  <si>
    <t>A EPSTEIN &amp; SONS INTERNATIONAL</t>
  </si>
  <si>
    <t>GENSLER ARCHITECTURE P C</t>
  </si>
  <si>
    <t>BURNS &amp; MCDONNELL ENGINEERING</t>
  </si>
  <si>
    <t>MOUNT TRANSIT</t>
  </si>
  <si>
    <t>AECOM SERVICES OF ILLINOIS</t>
  </si>
  <si>
    <t>DUKE UNIVERSITY</t>
  </si>
  <si>
    <t>ALFRED BENESCH &amp;</t>
  </si>
  <si>
    <t>TASK ORDER</t>
  </si>
  <si>
    <t>VIVA USA</t>
  </si>
  <si>
    <t>WIGHT</t>
  </si>
  <si>
    <t>T Y LIN INTERNATIONAL GREAT LAKES INC|CLEANED-UP</t>
  </si>
  <si>
    <t>DLZ ILLINOIS</t>
  </si>
  <si>
    <t>COLLINS ENGINEERS</t>
  </si>
  <si>
    <t>WSP USA</t>
  </si>
  <si>
    <t>APEX CONSULTING ENGINEERS</t>
  </si>
  <si>
    <t>CIVILTECH ENGINEERING</t>
  </si>
  <si>
    <t>H W LOCHNER</t>
  </si>
  <si>
    <t>STANLEY CONSULTANTS</t>
  </si>
  <si>
    <t>RODERICK GROUP</t>
  </si>
  <si>
    <t>MILHOUSE ENGINEERING &amp; CONSTRUCTION</t>
  </si>
  <si>
    <t>DEPARTMENT OF PROCUREMENT SERVICES</t>
  </si>
  <si>
    <t>ESI CONSULTANTS LIMITED|CLEANED-UP</t>
  </si>
  <si>
    <t>MOTOROLA SOLUTIONS CONNECTIVITY</t>
  </si>
  <si>
    <t>K L F ENTERPRISES</t>
  </si>
  <si>
    <t>EMERGENCY</t>
  </si>
  <si>
    <t>JOSEPH J HENDERSON &amp; SON</t>
  </si>
  <si>
    <t>CITY UTILITY EQUIPMENT SALES &amp; LEASING</t>
  </si>
  <si>
    <t>LCPTRACKER</t>
  </si>
  <si>
    <t>BUS &amp; TRUCK OF CHICAGO</t>
  </si>
  <si>
    <t>UNIVERSAL PROTECTION SERVICE LLC DBA ALLIED UNIVERSAL SECURITY SERVICES</t>
  </si>
  <si>
    <t>JIMMY D'S BODY &amp; FENDER|CLEANED-UP</t>
  </si>
  <si>
    <t>FIRE SERVICE</t>
  </si>
  <si>
    <t>ROSS BARNEY ARCHITECTS</t>
  </si>
  <si>
    <t>FRANK'S AUTO GLASS</t>
  </si>
  <si>
    <t>ARTS AUTO REBUILDERS</t>
  </si>
  <si>
    <t>MES-ILLINOIS</t>
  </si>
  <si>
    <t>FARRWEST ENVIRONMENTAL SUPPLY</t>
  </si>
  <si>
    <t>SIGNATURE FLIGHT SUPPORT</t>
  </si>
  <si>
    <t>CBG MIDWEST LLC DBA AMERICAN BUILDING SERVICES</t>
  </si>
  <si>
    <t>GUIDEHOUSE</t>
  </si>
  <si>
    <t>BROADWAY ELECTRIC</t>
  </si>
  <si>
    <t>HAVAS WORLDWIDE CHICAGO</t>
  </si>
  <si>
    <t>ADSYSTECH</t>
  </si>
  <si>
    <t>DLT SOLUTIONS</t>
  </si>
  <si>
    <t>SOFTWARE</t>
  </si>
  <si>
    <t>JOINT PURCHASE</t>
  </si>
  <si>
    <t>AECOM-DBS</t>
  </si>
  <si>
    <t>MCFARLANE DOUGLASS &amp;</t>
  </si>
  <si>
    <t>CHICAGO BRIDGE INSPECTION TEAM</t>
  </si>
  <si>
    <t>FAVORITE HEALTHCARE STAFFING</t>
  </si>
  <si>
    <t>DEPARTMENT OF FAMILY AND SUPPORT SERVICES</t>
  </si>
  <si>
    <t>TELEFLEX</t>
  </si>
  <si>
    <t>COMMODITIES-SMALL ORDERS</t>
  </si>
  <si>
    <t>ADVANCE SECURITY RESOURCES</t>
  </si>
  <si>
    <t>DEPARTMENT OF ADMINISTRATIVE HEARINGS</t>
  </si>
  <si>
    <t>W S DARLEY &amp;</t>
  </si>
  <si>
    <t>RAY O'HERRON</t>
  </si>
  <si>
    <t>INTOXIMETERS</t>
  </si>
  <si>
    <t>WILLIAM FILAN LIMITED</t>
  </si>
  <si>
    <t>OFFICE OF THE MAYOR</t>
  </si>
  <si>
    <t>CHICAGO HONEY CO-OP</t>
  </si>
  <si>
    <t>CLARITY PARTNERS</t>
  </si>
  <si>
    <t>LEEWAY WRECKING</t>
  </si>
  <si>
    <t>BLAIDA &amp; ASSOCIATES</t>
  </si>
  <si>
    <t>MERCK ANIMAL HEALTH</t>
  </si>
  <si>
    <t>CHICAGO ANIMAL CARE AND CONTROL</t>
  </si>
  <si>
    <t>MAC AUTO</t>
  </si>
  <si>
    <t>KERRY'S AUTO BODY</t>
  </si>
  <si>
    <t>DELL MARKETING LP</t>
  </si>
  <si>
    <t>CANNON TRANSPORTATION</t>
  </si>
  <si>
    <t>ADVANCE AUTO CENTER</t>
  </si>
  <si>
    <t>FRONTIER GRATINGS</t>
  </si>
  <si>
    <t>UNISON CONSULTING</t>
  </si>
  <si>
    <t>MARQUEE EVENT GROUP</t>
  </si>
  <si>
    <t>SAFEWARE</t>
  </si>
  <si>
    <t>FINANCE GENERAL</t>
  </si>
  <si>
    <t>PROFESSIONAL DYNAMIC NETWORK INC|CLEANED-UP</t>
  </si>
  <si>
    <t>PERK PRODUCTS</t>
  </si>
  <si>
    <t>MASTER METER</t>
  </si>
  <si>
    <t>CENTRAL LAWN SPRINKLERS</t>
  </si>
  <si>
    <t>MARKING SPECIALISTS</t>
  </si>
  <si>
    <t>BRONNER GROUP LLC|CLEANED-UP</t>
  </si>
  <si>
    <t>CATALYST CONSULTING GROUP</t>
  </si>
  <si>
    <t>DATA DEFENDERS</t>
  </si>
  <si>
    <t>GALVAN &amp; ASSOCIATES</t>
  </si>
  <si>
    <t>KRASAN CONSULTING SERVICES</t>
  </si>
  <si>
    <t>NEXT GENERATION</t>
  </si>
  <si>
    <t>R L CANNING</t>
  </si>
  <si>
    <t>SDI PRESENCE</t>
  </si>
  <si>
    <t>SOLAI &amp; CAMERON</t>
  </si>
  <si>
    <t>WILLIAM EVERETT GROUP</t>
  </si>
  <si>
    <t>IDENTISYS</t>
  </si>
  <si>
    <t>LYONS VIEW MANUFACTURER &amp; SUPPLY</t>
  </si>
  <si>
    <t>MICHAEL BAKER INTERNATIONAL</t>
  </si>
  <si>
    <t>HORNER &amp; SHIFRIN</t>
  </si>
  <si>
    <t>PARSONS TRANSPORTATION GROUP</t>
  </si>
  <si>
    <t>ORION ENGINEERS</t>
  </si>
  <si>
    <t>PARSONS BRINCKERHOFF</t>
  </si>
  <si>
    <t>PRIMERA ENGINEERS LIMITED</t>
  </si>
  <si>
    <t>CIORBA GROUP</t>
  </si>
  <si>
    <t>CHRISTOPHER B BURKE ENGINEERING LIMITED</t>
  </si>
  <si>
    <t>GRAEF-USA</t>
  </si>
  <si>
    <t>GANNETT FLEMING</t>
  </si>
  <si>
    <t>HDR ENGINEERING</t>
  </si>
  <si>
    <t>PATRICK ENGINEERINGINC&amp; PATRICK DRILLINGINC (OVERSIZE)</t>
  </si>
  <si>
    <t>BOWMAN CONSULTING GROUP LIMITED</t>
  </si>
  <si>
    <t>ATLAS ENGINEERING GROUP LIMITED</t>
  </si>
  <si>
    <t>KIMLEY-HORN &amp; ASSOCIATES</t>
  </si>
  <si>
    <t>HBM ENGINEERING GROUP</t>
  </si>
  <si>
    <t>SINGH &amp; ASSOCIATES</t>
  </si>
  <si>
    <t>PRODUCTION DISTRIBUTION COMPANIES</t>
  </si>
  <si>
    <t>MIDWAY MANAGEMENT GROUP JV</t>
  </si>
  <si>
    <t>DGO PREMIUM SERVICES</t>
  </si>
  <si>
    <t>TRANSWESTERN COMMERCIAL SERVICES</t>
  </si>
  <si>
    <t>GARTNER GROUP</t>
  </si>
  <si>
    <t>MAT ASPHALT</t>
  </si>
  <si>
    <t>OGDEN CONST &amp; RELIABLE ASPHALT</t>
  </si>
  <si>
    <t>OGDEN AVENUE MATERIALS &amp; RELIABLE ASPHALT JOINT VENTURE</t>
  </si>
  <si>
    <t>OGDEN AVENUE MATERIALS</t>
  </si>
  <si>
    <t>HBK ENGINEERING</t>
  </si>
  <si>
    <t>AQUA SERVICES</t>
  </si>
  <si>
    <t>AGILE N2N</t>
  </si>
  <si>
    <t>COMPUTER AID</t>
  </si>
  <si>
    <t>CROWE</t>
  </si>
  <si>
    <t>GREAT ARC TECHNOLOGIES</t>
  </si>
  <si>
    <t>LIRO GIS</t>
  </si>
  <si>
    <t>RJ RELIANCE</t>
  </si>
  <si>
    <t>SLG INNOVATION</t>
  </si>
  <si>
    <t>PCWP</t>
  </si>
  <si>
    <t>LEE JENSEN SALES</t>
  </si>
  <si>
    <t>J P SIMONS &amp;</t>
  </si>
  <si>
    <t>KENTECH CONSULTING</t>
  </si>
  <si>
    <t>DANIEL J EDELMAN</t>
  </si>
  <si>
    <t>DOSTUFF MEDIA</t>
  </si>
  <si>
    <t>FLOWERS COMMUNICATIONS GROUP</t>
  </si>
  <si>
    <t>GOLDSTAR COMMUNICATIONS</t>
  </si>
  <si>
    <t>INTEGRATED SOLUTIONS CONSULTING</t>
  </si>
  <si>
    <t>JASCULCA/TERMAN &amp; ASSOCIATES</t>
  </si>
  <si>
    <t>KIVVIT</t>
  </si>
  <si>
    <t>MESMERIZE MEDIA HOLDINGS</t>
  </si>
  <si>
    <t>MORREALE PUBLIC AFFAIRS GROUP ENERGY EFFICIENCY EXPO 2011</t>
  </si>
  <si>
    <t>PUBLIC COMMUNICATIONS</t>
  </si>
  <si>
    <t>LOPEZ-MARTIN &amp; ASSOCIATES</t>
  </si>
  <si>
    <t>RUDD RESOURCES</t>
  </si>
  <si>
    <t>COMMUNICATION STRATEGIES GROUP (DBA CS-EFFECT)</t>
  </si>
  <si>
    <t>GLOBAL SOLUTIONS GROUP</t>
  </si>
  <si>
    <t>PRO SERV-SMALL ORDERS</t>
  </si>
  <si>
    <t>CARE PLUS LLC|CLEANED-UP</t>
  </si>
  <si>
    <t>COGENT INFOTECH</t>
  </si>
  <si>
    <t>22ND CENTURY TECHNOLOGIES</t>
  </si>
  <si>
    <t>INFOJINI</t>
  </si>
  <si>
    <t>CONSTRUCTION SERVICES</t>
  </si>
  <si>
    <t>HARDESTY &amp; HANOVER</t>
  </si>
  <si>
    <t>MILLENNIUM CONTRACTING</t>
  </si>
  <si>
    <t>CANUCK POWER</t>
  </si>
  <si>
    <t>BRACKEN BOX INC|CLEANED-UP</t>
  </si>
  <si>
    <t>CITY WIDE DISPOSAL</t>
  </si>
  <si>
    <t>NEXT GENERATION SOFTWARE</t>
  </si>
  <si>
    <t>HIGHWAY SAFETY</t>
  </si>
  <si>
    <t>POLYDYNE</t>
  </si>
  <si>
    <t>LAI LCC DBA LAI</t>
  </si>
  <si>
    <t>FITNESS FACTORY OUTLET</t>
  </si>
  <si>
    <t>CLARK-WE ONEIL JV</t>
  </si>
  <si>
    <t>KOBUS</t>
  </si>
  <si>
    <t>AARON BROTHERS MOVING SYSTEM</t>
  </si>
  <si>
    <t>ODP BUSINESS SOLUTIONS</t>
  </si>
  <si>
    <t>M10 INC DBA MICHELS TRENCHLESS</t>
  </si>
  <si>
    <t>MICHELS TRENCHLESS</t>
  </si>
  <si>
    <t>KIMCO USA</t>
  </si>
  <si>
    <t>SAINT FRANCIS GROUP</t>
  </si>
  <si>
    <t>GENERAL COMMUNICATIONS INC (GENCOMM)</t>
  </si>
  <si>
    <t>VIKEN DECTECTION</t>
  </si>
  <si>
    <t>SPEEDY GONZALEZ LANDSCAPING</t>
  </si>
  <si>
    <t>FAMILY CONNECTS INTERNATIONAL</t>
  </si>
  <si>
    <t>WALSH CONSTRUCTION COMPANY OF ILL</t>
  </si>
  <si>
    <t>LANDRUM &amp; BROWN INC|CLEANED-UP</t>
  </si>
  <si>
    <t>SPIRAL HOLDING</t>
  </si>
  <si>
    <t>FAST LANE CONSULTING AND EDUCATION SERVICES</t>
  </si>
  <si>
    <t>T &amp; N CHICAGO</t>
  </si>
  <si>
    <t>LAUNDRY OPS</t>
  </si>
  <si>
    <t>GARDAWORLD FEDERAL SERVICES</t>
  </si>
  <si>
    <t>OFFICE OF BUDGET &amp; MANAGEMENT</t>
  </si>
  <si>
    <t>SMITH-BLAIR</t>
  </si>
  <si>
    <t>FINCANTIERI MARINE GROUP</t>
  </si>
  <si>
    <t>CONTRACTOR ADVISORS BUSINESS DEVELOPMENT</t>
  </si>
  <si>
    <t>INNOVATIVE PROCUREMENT</t>
  </si>
  <si>
    <t>PASSUR AEROSPACE</t>
  </si>
  <si>
    <t>ZOLL MEDICAL</t>
  </si>
  <si>
    <t>THOMAS SCIENTIFIC</t>
  </si>
  <si>
    <t>EJ USA</t>
  </si>
  <si>
    <t>ROBERT W HENDRICKSEN</t>
  </si>
  <si>
    <t>K-PLUS MECHANICAL TBS</t>
  </si>
  <si>
    <t>B &amp; W TRUCK REPAIR</t>
  </si>
  <si>
    <t>CASEY EQUIPMENT</t>
  </si>
  <si>
    <t>TRI-ANGLE FABRICATION &amp; BODY</t>
  </si>
  <si>
    <t>EX3 LABS</t>
  </si>
  <si>
    <t>RAE PRODUCTS &amp; CHEMICALS CORP|CLEANED-UP</t>
  </si>
  <si>
    <t>BELL HELICOPTER-TEXTRON</t>
  </si>
  <si>
    <t>PARKWAY ELEVATORS</t>
  </si>
  <si>
    <t>READY MADE STAFFING</t>
  </si>
  <si>
    <t>UTILITY TRANSPORT</t>
  </si>
  <si>
    <t>TIGER SUPPLIES</t>
  </si>
  <si>
    <t>O'WALLACE LANDSCAPING</t>
  </si>
  <si>
    <t>PERMABAND</t>
  </si>
  <si>
    <t>BOARD OF TRUSTEES OF THE UNIVERSITY OF ILLINOIS</t>
  </si>
  <si>
    <t>CONTINENTAL AIR TRANSPORT CHICAGO SCHOOL TRANSIT JV</t>
  </si>
  <si>
    <t>CCS - NU VETERANS JOINT VENTURE</t>
  </si>
  <si>
    <t>CORE MECHANICAL</t>
  </si>
  <si>
    <t>GONZALEZ COMPANIES</t>
  </si>
  <si>
    <t>MAXIMUS US SERVICES</t>
  </si>
  <si>
    <t>TALOGY</t>
  </si>
  <si>
    <t>BRONZE MEMORIAL</t>
  </si>
  <si>
    <t>TECMA ASSOCIATES</t>
  </si>
  <si>
    <t>ACCURATE GROUP</t>
  </si>
  <si>
    <t>TERRA ENGINEERING</t>
  </si>
  <si>
    <t>ALLAN INTEGRATED CONTROL SYSTEMS</t>
  </si>
  <si>
    <t>MAMAN</t>
  </si>
  <si>
    <t>GREELEY &amp; HANSEN</t>
  </si>
  <si>
    <t>SECURITAS SECURITY SERVICES USA</t>
  </si>
  <si>
    <t>AOR TRANSIT</t>
  </si>
  <si>
    <t>VOSS EQUIPMENT</t>
  </si>
  <si>
    <t>UNIVERSAL BOOT</t>
  </si>
  <si>
    <t>EMERIC FACILITY SERVICES</t>
  </si>
  <si>
    <t>VERITEXT</t>
  </si>
  <si>
    <t>DEPARTMENT OF LAW</t>
  </si>
  <si>
    <t>BRANCATO LANDSCAPING INC DBA BRANCATO SNOW &amp; ICE MANAGEMENT</t>
  </si>
  <si>
    <t>AIRA TECH</t>
  </si>
  <si>
    <t>SKYLINE MANAGEMENT GROUP O'HARE</t>
  </si>
  <si>
    <t>PENCCO</t>
  </si>
  <si>
    <t>ADVANCED ROADWAY MANUFACTURING</t>
  </si>
  <si>
    <t>CONTINENTAL TESTING SERVICES|CLEANED-UP</t>
  </si>
  <si>
    <t>STANDARD PARKING-MIDWAY JV</t>
  </si>
  <si>
    <t>KAMALTECH INCORPORATE</t>
  </si>
  <si>
    <t>NTT DATA</t>
  </si>
  <si>
    <t>LIFEWORKS (US) LIMITED</t>
  </si>
  <si>
    <t>CHICAGO SUN-TIMES</t>
  </si>
  <si>
    <t>RELEASE REQUISITION</t>
  </si>
  <si>
    <t>MULLER &amp; MULLER LIMITED</t>
  </si>
  <si>
    <t>SENSOURCE</t>
  </si>
  <si>
    <t>MUNSTER STEEL</t>
  </si>
  <si>
    <t>NEWARK KNIGHT FRANK MANAGEMENT</t>
  </si>
  <si>
    <t>INTELLIGENT SYSTEMS SERVICES</t>
  </si>
  <si>
    <t>LION APPAREL</t>
  </si>
  <si>
    <t>INDUSTRIAL FENCE</t>
  </si>
  <si>
    <t>CONDY HOLDINGS LLC DBA CARUS</t>
  </si>
  <si>
    <t>DEPT OF BUSINESS AFFAIRS &amp; CONSUMER PROTECTION</t>
  </si>
  <si>
    <t>TITAN BARN MANAGEMENT</t>
  </si>
  <si>
    <t>TECHNOTRIX</t>
  </si>
  <si>
    <t>CONSTRUCTION</t>
  </si>
  <si>
    <t>GRIGGS MITCHELL &amp; ALMA OF IL LLC DBA GMA CONSTRUCTION GROUP</t>
  </si>
  <si>
    <t>LONE STAR-CARDINAL MOTORCYCLE VENTURES III LLC D/B/A FOX RIVER HARLEY-DAVIDSON</t>
  </si>
  <si>
    <t>COURTESY ELECTRIC</t>
  </si>
  <si>
    <t>ROBE</t>
  </si>
  <si>
    <t>MURNANE PAPER</t>
  </si>
  <si>
    <t>LENCO INDUSTRIES</t>
  </si>
  <si>
    <t>CARUS</t>
  </si>
  <si>
    <t>USALCO</t>
  </si>
  <si>
    <t>R-4 SERVICES</t>
  </si>
  <si>
    <t>BARRICADE LITES</t>
  </si>
  <si>
    <t>LIFE FITNESS</t>
  </si>
  <si>
    <t>ALEXIAN BROTHERS HEALTH SYSTEM</t>
  </si>
  <si>
    <t>MODAXO TRAFFIC MANAGEMENT USA</t>
  </si>
  <si>
    <t>MOLLY MEYER LLC DBA OMNI ECOSYSTEMS</t>
  </si>
  <si>
    <t>AMERICAN TRAFFIC SOLUTIONS</t>
  </si>
  <si>
    <t>ABC HUMANE WILDLIFE CONTROL &amp; PREVENTION</t>
  </si>
  <si>
    <t>CMC PARTNERS JOINT VENTURE</t>
  </si>
  <si>
    <t>SEDGWICK CLAIMS MANAGEMENT SERVICES</t>
  </si>
  <si>
    <t>IMMACULATE LAUNDRY OF ALBANY PARK</t>
  </si>
  <si>
    <t>AZTEC SUPPLY</t>
  </si>
  <si>
    <t>UNIVERSITY OF ILLINOIS 05</t>
  </si>
  <si>
    <t>EXHIBIT-A</t>
  </si>
  <si>
    <t>DS SERVICES OF AMERICA</t>
  </si>
  <si>
    <t>EXHIBIT-B</t>
  </si>
  <si>
    <t>GUSTAVO CORTINAS-FOUILLOUX</t>
  </si>
  <si>
    <t>HEIDELBERG USA</t>
  </si>
  <si>
    <t>PNC BANK</t>
  </si>
  <si>
    <t>SCHEIDT &amp; BACHMANN</t>
  </si>
  <si>
    <t>HY TEST SAFETY SHOE SERVICE</t>
  </si>
  <si>
    <t>ENTERPRISE FLEET MANAGEMENT</t>
  </si>
  <si>
    <t>ICC GROUP</t>
  </si>
  <si>
    <t>TARGET SHOP</t>
  </si>
  <si>
    <t>SEBIS DIRECT</t>
  </si>
  <si>
    <t>3 DS CLEANING AND VENDOR SUPPLY</t>
  </si>
  <si>
    <t>GEM BUSINESS FORMS</t>
  </si>
  <si>
    <t>CONDUENT STATE &amp; LOCAL SOLUTIONS</t>
  </si>
  <si>
    <t>AMERICAN CORPORATE SERVICES OF TEXAS</t>
  </si>
  <si>
    <t>JOHNSON CONTROLS SECURITY SOLUTIONS</t>
  </si>
  <si>
    <t>OFFICE OF INSPECTOR GENERAL</t>
  </si>
  <si>
    <t>MACKIE CONSULTANTS</t>
  </si>
  <si>
    <t>RADA ARCHITECTS LIMITED</t>
  </si>
  <si>
    <t>MCKISSACK &amp; MCKISSACK MIDWEST</t>
  </si>
  <si>
    <t>SIGMA ENGINEERING</t>
  </si>
  <si>
    <t>TS DESIGN STUDIO</t>
  </si>
  <si>
    <t>CITY TREASURER'S OFFICE</t>
  </si>
  <si>
    <t>RISE STRETEGY GROUP</t>
  </si>
  <si>
    <t>AT&amp;T ENTERPRISES</t>
  </si>
  <si>
    <t>COMCAST OF CHICAGO</t>
  </si>
  <si>
    <t>COOK COUNTY COLLECTOR</t>
  </si>
  <si>
    <t>KRONOS</t>
  </si>
  <si>
    <t>BENCHMARK CONSTRUCTION CO INC &amp; UNITED ENTERPRISE LLC JV</t>
  </si>
  <si>
    <t>POWER CONSTRUCTION</t>
  </si>
  <si>
    <t>SPIRAL BINDING</t>
  </si>
  <si>
    <t>PAGE SECURITY</t>
  </si>
  <si>
    <t>COBAN RESEARCH &amp; TECHNOLOGIES</t>
  </si>
  <si>
    <t>HERC RENTALS</t>
  </si>
  <si>
    <t>VIRMAC SERVICES</t>
  </si>
  <si>
    <t>GREENPRINT PARTNERS</t>
  </si>
  <si>
    <t>KETCHUM MANUFACTURING</t>
  </si>
  <si>
    <t>WORLDPAY HOLDING</t>
  </si>
  <si>
    <t>STANDARD EQUIPMENT</t>
  </si>
  <si>
    <t>RON SMITH &amp; ASSOCIATES</t>
  </si>
  <si>
    <t>DCM COURT REPORTING</t>
  </si>
  <si>
    <t>URLAUB BOWEN &amp; ASSOC</t>
  </si>
  <si>
    <t>MCCORKLE LITIGATION SERVICES</t>
  </si>
  <si>
    <t>ALLIES FOR COMMUNITY BUSINESS</t>
  </si>
  <si>
    <t>K-FIVE CONSTRUCTION CORP/PLOTE CONSTRUCTION INC JV</t>
  </si>
  <si>
    <t>WGN FLAG &amp; DECORATING CO 01</t>
  </si>
  <si>
    <t>COMMON GROUND ALLIANCE (CGA)</t>
  </si>
  <si>
    <t>GARZA KARHOFF ENGINEERING</t>
  </si>
  <si>
    <t>VEGETATION SOLUTIONS</t>
  </si>
  <si>
    <t>A SAFE HAVEN FOUNDATION</t>
  </si>
  <si>
    <t>ATLAS TECHNICAL CONSULTANTS</t>
  </si>
  <si>
    <t>UNITED SECURITY SERVICES</t>
  </si>
  <si>
    <t>DEPARTMENT OF SPECIAL EVENTS</t>
  </si>
  <si>
    <t>ADVANCED WATER SOLUTIONS</t>
  </si>
  <si>
    <t>CANON USA</t>
  </si>
  <si>
    <t>SWR JOINT VENTURE</t>
  </si>
  <si>
    <t>A M C MECHANICAL INC|CLEANED-UP</t>
  </si>
  <si>
    <t>PAMELA SELF LANDSCAPE ARCHITECTURE LIMITED</t>
  </si>
  <si>
    <t>SP PLUS</t>
  </si>
  <si>
    <t>ELEVATOR INSPECTION SERVICE</t>
  </si>
  <si>
    <t>RUSSO HARDWARE</t>
  </si>
  <si>
    <t>MAXIMUS CONSULTING SERVICES</t>
  </si>
  <si>
    <t>SUBWAY #47178</t>
  </si>
  <si>
    <t>SPAAN TECH</t>
  </si>
  <si>
    <t>LANGUAGE LINE SOLUTIONS</t>
  </si>
  <si>
    <t>PITNEY BOWES/RESERVE ACCOUNT</t>
  </si>
  <si>
    <t>RYANS PLUMBING 1</t>
  </si>
  <si>
    <t>ASM-SOLDIER FIELD</t>
  </si>
  <si>
    <t>ASSET</t>
  </si>
  <si>
    <t>FEDERAL SIGNAL</t>
  </si>
  <si>
    <t>RI-DEL MANUFACTURING</t>
  </si>
  <si>
    <t>MCKESSON - MEDICAL-SURGICAL GOVERNMENT SOLUTIONS</t>
  </si>
  <si>
    <t>SNOW SYSTEMS</t>
  </si>
  <si>
    <t>MICHELS</t>
  </si>
  <si>
    <t>HILL MECHANICAL</t>
  </si>
  <si>
    <t>REFUSE &amp; RECYCLING NEEDS OF WI</t>
  </si>
  <si>
    <t>BCR LLC AUTOMOTIVE GROUP</t>
  </si>
  <si>
    <t>ROSS BARNEY ARCHITECTS PC</t>
  </si>
  <si>
    <t>EVERBRIDGE</t>
  </si>
  <si>
    <t>CDW GOVERNMENT</t>
  </si>
  <si>
    <t>MIDWEST SERVICE CENTER</t>
  </si>
  <si>
    <t>JOHNSON PIPE &amp; SUPPLY</t>
  </si>
  <si>
    <t>EVENFLO</t>
  </si>
  <si>
    <t>SET ENVIRONMENTAL</t>
  </si>
  <si>
    <t>LUSE ENVIRONMENTAL SERVICES</t>
  </si>
  <si>
    <t>ACR</t>
  </si>
  <si>
    <t>BEST TECHNOLOGY SYSTEMS</t>
  </si>
  <si>
    <t>LYNCH CHICAGO</t>
  </si>
  <si>
    <t>MOTOROLA SOLUTIONS</t>
  </si>
  <si>
    <t>CBRE</t>
  </si>
  <si>
    <t>CATHOLIC CHARITIES OF THE ARCHDIOCESE OF CHICAGO</t>
  </si>
  <si>
    <t>TRAFFIC SIGNAL</t>
  </si>
  <si>
    <t>UNITED ROAD TOWING</t>
  </si>
  <si>
    <t>KING TRANSMISSION</t>
  </si>
  <si>
    <t>PSYCHEMEDICS</t>
  </si>
  <si>
    <t>GINKGO PLANNING &amp; DESIGN</t>
  </si>
  <si>
    <t>JOHNSON RESEARCH GROUP</t>
  </si>
  <si>
    <t>SITE DESIGN GROUP</t>
  </si>
  <si>
    <t>URBAN WORKS LIMITED</t>
  </si>
  <si>
    <t>MUSE COMMUNITY &amp; DESIGN</t>
  </si>
  <si>
    <t>IDEXX DISTRIBUTION</t>
  </si>
  <si>
    <t>B &amp; L DISTRIBUTORS</t>
  </si>
  <si>
    <t>EQUITY INDUSTRIAL SUPPLY</t>
  </si>
  <si>
    <t>INTER-CITY SUPPLY</t>
  </si>
  <si>
    <t>TELOS IDENTY MANAGEMENT SOLUTIONS</t>
  </si>
  <si>
    <t>PWS ENVIRONMENTAL</t>
  </si>
  <si>
    <t>SAM SCHWARTZ ENGINEERING D P C</t>
  </si>
  <si>
    <t>MIDWEST OFFICE INTERIORS</t>
  </si>
  <si>
    <t>LINE BARGER GOGGAN BLAIR &amp; SAMPSON</t>
  </si>
  <si>
    <t>RICOH USA</t>
  </si>
  <si>
    <t>GREATER ILLINOIS TITLE</t>
  </si>
  <si>
    <t>MB REAL ESTATE SERVICES</t>
  </si>
  <si>
    <t>GLOBETROTTERS INTERNATIONAL'L</t>
  </si>
  <si>
    <t>SMITHBARNEY FRIEDMAN DEVELOPMENT ADVISORS</t>
  </si>
  <si>
    <t>AERO SNOW REMOVAL</t>
  </si>
  <si>
    <t>TESKA ASSOCIATES</t>
  </si>
  <si>
    <t>CPS HR CONSULTING</t>
  </si>
  <si>
    <t>NORTHWESTERN UNIVERSITY</t>
  </si>
  <si>
    <t>CNECT</t>
  </si>
  <si>
    <t>CAMIROS LIMITED</t>
  </si>
  <si>
    <t>MCGUIRE IGLESKI &amp; ASSOCIATES</t>
  </si>
  <si>
    <t>ADRIAN SMITH &amp; GORDON GILL ARC</t>
  </si>
  <si>
    <t>SITE DESIGN GROUP LIMITED</t>
  </si>
  <si>
    <t>VECTOR DISEASE CONTROL INTERNATIONAL</t>
  </si>
  <si>
    <t>DMJM AVIATION PARTNERS</t>
  </si>
  <si>
    <t>ADVANCED DATA PROCESSING</t>
  </si>
  <si>
    <t>CITYBASE</t>
  </si>
  <si>
    <t>JUDLAU CONTRACTING</t>
  </si>
  <si>
    <t>MECHANICAL</t>
  </si>
  <si>
    <t>JOEL KENNEDY CONSTRUCTING</t>
  </si>
  <si>
    <t>DEPT OF WATER</t>
  </si>
  <si>
    <t>WASTE MANAGEMENT OF ILLINOIS INC/MTR</t>
  </si>
  <si>
    <t>IHC CONSTRUCTION</t>
  </si>
  <si>
    <t>AXON ENTERPRISE</t>
  </si>
  <si>
    <t>CHICAGO PIPE &amp; BOILER COVER 01</t>
  </si>
  <si>
    <t>ALPHA SPECIALTY SUPPLY</t>
  </si>
  <si>
    <t>KENNY CONSTRUCTION</t>
  </si>
  <si>
    <t>LINDAHL BROTHERS</t>
  </si>
  <si>
    <t>RIDDIFORD ROOFING</t>
  </si>
  <si>
    <t>K-PLUS MECHANICAL</t>
  </si>
  <si>
    <t>EAGLE PAINTING &amp; MAINTENANCE|CLEANED-UP</t>
  </si>
  <si>
    <t>PALM ELECTRIC</t>
  </si>
  <si>
    <t>URT E &amp; R TOWING</t>
  </si>
  <si>
    <t>ARAMARK SAFE HAVEN FOUNDATION</t>
  </si>
  <si>
    <t>CONNECT CHICAGO ALLIANCE JV</t>
  </si>
  <si>
    <t>STEINER SECURITY SERVICES</t>
  </si>
  <si>
    <t>SCHINDLER ELEVATOR</t>
  </si>
  <si>
    <t>A &amp; R JANITORIAL SERVICE</t>
  </si>
  <si>
    <t>TOTAL FACILITY MAINTENANCE</t>
  </si>
  <si>
    <t>DIVERSE FACILITY SOLUTION</t>
  </si>
  <si>
    <t>DAYSPRING PROFESSIONAL JANITOR</t>
  </si>
  <si>
    <t>D'ESCOTO</t>
  </si>
  <si>
    <t>SHOTSPOTTER</t>
  </si>
  <si>
    <t>ADS</t>
  </si>
  <si>
    <t>LAKE COUNTY DIVERS SUPPLY</t>
  </si>
  <si>
    <t>CHICAGO EVENT GRAPHICS</t>
  </si>
  <si>
    <t>LOCUMTENENSCOM</t>
  </si>
  <si>
    <t>AMERESCO</t>
  </si>
  <si>
    <t>IHC CONSTRUCTION &amp; FH PASCHEN SN NIELSEN</t>
  </si>
  <si>
    <t>SUNBELT STAFFING</t>
  </si>
  <si>
    <t>PREFORM TRAFFIC CONTROL SYSTEMS LIMITED</t>
  </si>
  <si>
    <t>CRYOTECH DEICING TECHNOLOGY</t>
  </si>
  <si>
    <t>DTN</t>
  </si>
  <si>
    <t>ABM INDUSTRY GROUPS</t>
  </si>
  <si>
    <t>IFPC WORLD WIDE</t>
  </si>
  <si>
    <t>MSC INDUSTRIAL SUPPLY</t>
  </si>
  <si>
    <t>TRUCK TIRE SALES</t>
  </si>
  <si>
    <t>AUSTIN POWER PARTNERS</t>
  </si>
  <si>
    <t>BROOKWOOD FARMS LLC|CLEANED-UP</t>
  </si>
  <si>
    <t>TURNER PASCHEN AVIATION PARTNERS</t>
  </si>
  <si>
    <t>AECOM HUNT / CLAYCO A JOINT VENTURE</t>
  </si>
  <si>
    <t>ARCONAS</t>
  </si>
  <si>
    <t>T26824</t>
  </si>
  <si>
    <t>GORDIAN GROUP</t>
  </si>
  <si>
    <t>Size</t>
  </si>
  <si>
    <t>Row Labels</t>
  </si>
  <si>
    <t>Grand Total</t>
  </si>
  <si>
    <t>Sum of Award Amount</t>
  </si>
  <si>
    <t>Spend</t>
  </si>
  <si>
    <t>Cumulative %</t>
  </si>
  <si>
    <t>Metric</t>
  </si>
  <si>
    <t>Value</t>
  </si>
  <si>
    <t>Total vendors</t>
  </si>
  <si>
    <t>Top 10 share</t>
  </si>
  <si>
    <t>Top 20 share</t>
  </si>
  <si>
    <t>Vendors for 80% of spend</t>
  </si>
  <si>
    <t>% of vendors for 80%</t>
  </si>
  <si>
    <t>%</t>
  </si>
  <si>
    <t>Total Spend</t>
  </si>
  <si>
    <t>Top Vendor Spend</t>
  </si>
  <si>
    <t>Top Vendor Share</t>
  </si>
  <si>
    <t>Top Vendor</t>
  </si>
  <si>
    <t>Vendors</t>
  </si>
  <si>
    <t>1. Under $10K</t>
  </si>
  <si>
    <t>2. $10K-50K</t>
  </si>
  <si>
    <t>3. $50K-250K</t>
  </si>
  <si>
    <t>4. $250K-1M</t>
  </si>
  <si>
    <t>5. $1M+</t>
  </si>
  <si>
    <t>Contracts</t>
  </si>
  <si>
    <t>% of Contracts</t>
  </si>
  <si>
    <t>% of Spend</t>
  </si>
  <si>
    <t>(Multiple Items)</t>
  </si>
  <si>
    <t>Count</t>
  </si>
  <si>
    <t xml:space="preserve">% of Contracts under 50K </t>
  </si>
  <si>
    <t>% of Spend under 50K</t>
  </si>
  <si>
    <t>INDEPENDENCE APARTMENTS LP</t>
  </si>
  <si>
    <t>PROPERTY LEASE</t>
  </si>
  <si>
    <t>NORTHTOWN APARTMENTS LP</t>
  </si>
  <si>
    <t>TAYLOR STREET LA</t>
  </si>
  <si>
    <t>MEDINAH TEMPLE BRASS BAND</t>
  </si>
  <si>
    <t>COMPTROLLER-OTHER</t>
  </si>
  <si>
    <t>AIDS FOUNDATION OF CHICAGO|CLEANED-UP</t>
  </si>
  <si>
    <t>DELEGATE AGENCY</t>
  </si>
  <si>
    <t>MCDERMOTT CENTER|CLEANED-UP</t>
  </si>
  <si>
    <t>CHICAGO RECOVERY ALLIANCE</t>
  </si>
  <si>
    <t>UNIVERSITY OF CHICAGO 03</t>
  </si>
  <si>
    <t>CHICAGO HOUSE &amp; SOCIAL SERVICE AGENCY</t>
  </si>
  <si>
    <t>GALLAGHER BASSETT</t>
  </si>
  <si>
    <t>COMMUNITY SUPPORTIVE LIVING SYSTEMS SYSTEMS</t>
  </si>
  <si>
    <t>PILSEN LITTLE VILLAGE COMMUNITY HCI|CLEANED-UP</t>
  </si>
  <si>
    <t>CHICAGO AIRLINES TERMINAL CONSORTIUM</t>
  </si>
  <si>
    <t>SOUTH SIDE HELP CENTER 01</t>
  </si>
  <si>
    <t>CENTER ON HALSTED</t>
  </si>
  <si>
    <t>LAKE COUNTY HEALTH DEPARTMENT</t>
  </si>
  <si>
    <t>HOWARD BROWN HEALTH CENTER</t>
  </si>
  <si>
    <t>ERIE FAMILY HEALTH CENTER|CLEANED-UP</t>
  </si>
  <si>
    <t>ANN &amp; ROBERT H LURIE CHILDREN'S HOSPITAL OF CHICAGO</t>
  </si>
  <si>
    <t>MICHAEL REESE RESEARCH &amp; EDUCATION FOUNDATION</t>
  </si>
  <si>
    <t>SINAI HEALTH SYSTEM</t>
  </si>
  <si>
    <t>OPEN DOOR CLINIC OF GREATER ELGIN</t>
  </si>
  <si>
    <t>ACCESS COMMUNITY HEALTH NETWORK|CLEANED-UP</t>
  </si>
  <si>
    <t>LOYOLA UNIVERSITY HEALTH</t>
  </si>
  <si>
    <t>SOUTH SHORE HOSPITALCORP</t>
  </si>
  <si>
    <t>AIDS HEALTHCARE FOUNDATION</t>
  </si>
  <si>
    <t>ADA S MC KINLEY COMMUNITY SERVICES</t>
  </si>
  <si>
    <t>ALLISON'S INFANT &amp; TODDLER CENTER</t>
  </si>
  <si>
    <t>CENTERS FOR NEW HORIZONS 01</t>
  </si>
  <si>
    <t>CHICAGO CHILD CARE SOCIETY</t>
  </si>
  <si>
    <t>CHICAGO COMMONS ASSOCIATION 02</t>
  </si>
  <si>
    <t>CHICAGO YOUTH CENTERS</t>
  </si>
  <si>
    <t>CHRISTOPHER HOUSE</t>
  </si>
  <si>
    <t>EL HOGAR DEL NINO INC|CLEANED-UP</t>
  </si>
  <si>
    <t>EL VALOR CORP 01|CLEANED-UP</t>
  </si>
  <si>
    <t>ERIE NEIGHBORHOOD HOUSE</t>
  </si>
  <si>
    <t>GADS HILL CENTER 01</t>
  </si>
  <si>
    <t>HENRY BOOTH HOUSE 01|CLEANED-UP</t>
  </si>
  <si>
    <t>KIMBALL DAYCARE CENTER &amp; KINDERGARTEN</t>
  </si>
  <si>
    <t>MARY CRANE LEAGUE|CLEANED-UP</t>
  </si>
  <si>
    <t>N &amp; K</t>
  </si>
  <si>
    <t>NORTHWESTERN UNIVERSITY SETTLEMENT ASSOCIATION</t>
  </si>
  <si>
    <t>SGA YOUTH &amp; FAMILY SERVICES NFP|CLEANED-UP</t>
  </si>
  <si>
    <t>SHINING STAR YOUTH &amp; COMMUNITY SERVICES</t>
  </si>
  <si>
    <t>THE MONTESSORI NETWORK</t>
  </si>
  <si>
    <t>SALVATION ARMY FAMILY &amp; COMMUNITY SERVICES</t>
  </si>
  <si>
    <t>TRINITY UNITED CHURCH OF CHRIST CHILD CARE CENTERS</t>
  </si>
  <si>
    <t>YOUNG MEN'S CHRISTIAN ASSOCIATION OF CHICAGO</t>
  </si>
  <si>
    <t>ALAIN LOCKE CHARTER SCHOOL</t>
  </si>
  <si>
    <t>ALBANY PARK COMMUNITY CENTER</t>
  </si>
  <si>
    <t>ALL STAR KIDS ACADEMY</t>
  </si>
  <si>
    <t>ASIAN HUMAN SERVICES</t>
  </si>
  <si>
    <t>BRAIN BOX LITERACY ACADEMY &amp; EDUCATIONAL SERVICES</t>
  </si>
  <si>
    <t>BREAKTHROUGH URBAN MINISTRIES</t>
  </si>
  <si>
    <t>CAROLE ROBERTSON CENTER FOR LEARNING</t>
  </si>
  <si>
    <t>CASA CENTRAL SOCIAL SERVICES</t>
  </si>
  <si>
    <t>CHILDREN'S CENTER FOR CREATIVE LEARNING</t>
  </si>
  <si>
    <t>CHILDREN'S CENTER</t>
  </si>
  <si>
    <t>CHILDREN'S HOME &amp; AID SOCIETY OF ILLINOIS</t>
  </si>
  <si>
    <t>KIDS ABOVE ALL ILLINOIS</t>
  </si>
  <si>
    <t>CHINESE AMERICAN SERVICE LEAGUE</t>
  </si>
  <si>
    <t>CONCORDIA PLACE</t>
  </si>
  <si>
    <t>BUSY BUMBLE BEE ACADEMY DAYCARE</t>
  </si>
  <si>
    <t>CUDDLE CARE</t>
  </si>
  <si>
    <t>DREAMCHILD DEVELOPMENT CENTER</t>
  </si>
  <si>
    <t>EASTER SEALS METROPOLITAN CHICAGO</t>
  </si>
  <si>
    <t>FIRST START CHILDCARE ACADEMY SOUTH</t>
  </si>
  <si>
    <t>FORESIGHT CHILDREN LEARNING CENTER</t>
  </si>
  <si>
    <t>HEAVEN'S LEARNING GARDEN</t>
  </si>
  <si>
    <t>HIGHER LEARNING DAYCARE &amp; EDUCATION CENTER INC DBA HIGHER LEARNING CHILDCARE &amp; DEVELOPMENT</t>
  </si>
  <si>
    <t>HOBBY HORSE NURSERY SCHOOL LIMITED DBA LAKE SHORE SCHOOLS</t>
  </si>
  <si>
    <t>HOLY FAMILY MINISTRIES</t>
  </si>
  <si>
    <t>INSTITUTE OF POSITIVE EDUCATION</t>
  </si>
  <si>
    <t>J &amp; L FAMILY DAY CARE INC DBA J &amp; L FAMILY LEARNING CENTER</t>
  </si>
  <si>
    <t>JUDAH INTERNATIONAL OUTREACH MINISTRIES</t>
  </si>
  <si>
    <t>LAKEVIEW DEVELOPMENTCENTER DBA STEPPING INTO THE FUTURE</t>
  </si>
  <si>
    <t>LAWNDALE EDUCATIONAL &amp; REGIONAL NETWORK CHARTER SCHOOL</t>
  </si>
  <si>
    <t>LITERACY ZONE</t>
  </si>
  <si>
    <t>LITTLE ACHIEVERS LEARNING CENTER</t>
  </si>
  <si>
    <t>LITTLE GENIUS COMMUNITY DAYCARE CENTER</t>
  </si>
  <si>
    <t>LITTLE HANDS CHILD CREATIVE CENTER</t>
  </si>
  <si>
    <t>LOOP LEARNING CENTER</t>
  </si>
  <si>
    <t>MARILLAC ST VINCENT FAMILY SERVICES INC DBA ST VINCENT DEPAUL CENTER</t>
  </si>
  <si>
    <t>METROPOLITAN FAMILY SERVICE</t>
  </si>
  <si>
    <t>MOTHER'S TOUCH INC II</t>
  </si>
  <si>
    <t>NEW PISGAH MB CHURCH|CLEANED-UP</t>
  </si>
  <si>
    <t>NORTH STAR CHILD DEVELOPMENT CENTER</t>
  </si>
  <si>
    <t>ONE HOPE UNITED - NORTHERN REGION</t>
  </si>
  <si>
    <t>ONWARD NEIGHBORHOOD HOUSE</t>
  </si>
  <si>
    <t>OPTIONS FOR YOUTH</t>
  </si>
  <si>
    <t>START EARLY</t>
  </si>
  <si>
    <t>PATHWAYS TO LEARNING CHILD CARE CENTER</t>
  </si>
  <si>
    <t>RACHEL'S LEARNING CENTERS LIMITED</t>
  </si>
  <si>
    <t>REACH FOR THE STARS CHILDCARE ACADEMY</t>
  </si>
  <si>
    <t>REFUGEEONE</t>
  </si>
  <si>
    <t>SERENDIPITY CHILD CARE</t>
  </si>
  <si>
    <t>SGA YOUTH &amp; FAMILY SERVICES NFP</t>
  </si>
  <si>
    <t>SINAI COMMUNITY INSTITUTE</t>
  </si>
  <si>
    <t>STAR KIDS MATH &amp; SCIENCE ACADEMY</t>
  </si>
  <si>
    <t>STEPPING STONES EARLY CHILDHOOD LEARNING CENTER</t>
  </si>
  <si>
    <t>SWEET PEA ACADEMY</t>
  </si>
  <si>
    <t>BABY ACADEMY</t>
  </si>
  <si>
    <t>TRUE TO LIFE FOUNDATION</t>
  </si>
  <si>
    <t>WHIZ KIDS NURSERY CENTER</t>
  </si>
  <si>
    <t>YOUNG ACHIEVERS ACADEMY</t>
  </si>
  <si>
    <t>NEIGHBORHOOD HOUSING SERVICES CHICAGO</t>
  </si>
  <si>
    <t>HEKTOEN INSTITUTE FOR MEDICAL RESEARCH</t>
  </si>
  <si>
    <t>BELL LITHO</t>
  </si>
  <si>
    <t>BOARD OF EDUCATION OF THE CITY OF CHICAGO</t>
  </si>
  <si>
    <t>CHILDREN'S PLACE ASSOCIATION</t>
  </si>
  <si>
    <t>LITTLE KIDDIES</t>
  </si>
  <si>
    <t>CARDINAL HEALTH</t>
  </si>
  <si>
    <t>CHICAGO PARK DISTRICT</t>
  </si>
  <si>
    <t>NEW LIFE CENTERS OF CHICAGOLAND NFP</t>
  </si>
  <si>
    <t>INSTITUTE FOR NONVIOLENCE CHICAGO</t>
  </si>
  <si>
    <t>UCAN (ULRICH CHILDRENS ADVANTAGE NETWORK)</t>
  </si>
  <si>
    <t>UNIVERSAL FAMILY CONNECTION</t>
  </si>
  <si>
    <t>BROADERURBANINVESTMENTLD</t>
  </si>
  <si>
    <t>SOUTH-EAST ASIA CENTER|CLEANED-UP</t>
  </si>
  <si>
    <t>THRESHOLDS</t>
  </si>
  <si>
    <t>BISHOP PLAZA</t>
  </si>
  <si>
    <t>CURB MOBILITY</t>
  </si>
  <si>
    <t>RESEARCH TRIANGLE INSTITUTE</t>
  </si>
  <si>
    <t>MTX GROUP</t>
  </si>
  <si>
    <t>CAREMARK</t>
  </si>
  <si>
    <t>LAWNDALE CHRISTIAN HEALTH CENTER</t>
  </si>
  <si>
    <t>RUSH UNIVERSITY MEDICAL CENTER</t>
  </si>
  <si>
    <t>ST BERNARDS HOSPITAL&amp;HEALTHCENTER</t>
  </si>
  <si>
    <t>APNA GHAR</t>
  </si>
  <si>
    <t>SONRISA DENTAL PC</t>
  </si>
  <si>
    <t>NOVACARE SERVICES</t>
  </si>
  <si>
    <t>NEIGHBOR SPACE (BOWMANVILLE GATEWAY GARDEN</t>
  </si>
  <si>
    <t>CLARIDIGM</t>
  </si>
  <si>
    <t>ALTERNATIVE SCHOOLS NETWORK</t>
  </si>
  <si>
    <t>LAWNDALE CHRISTIAN LEGAL CENTER</t>
  </si>
  <si>
    <t>PHALANX FAMILY SERVICES</t>
  </si>
  <si>
    <t>PRECIOUS BLOOD MINISTRY OF RECONCILIATION NFP</t>
  </si>
  <si>
    <t>CATHOLIC BISHOP OF CHICAGO - ST SABINA CHURCH</t>
  </si>
  <si>
    <t>PUERTO RICAN CULTURAL CENTER</t>
  </si>
  <si>
    <t>YOUTH ADVOCATE PROGRAM</t>
  </si>
  <si>
    <t>ACT 1 GROUP</t>
  </si>
  <si>
    <t>NIGHT MINISTRY</t>
  </si>
  <si>
    <t>PCC COMMUNITY WELLNESS CENTER</t>
  </si>
  <si>
    <t>POLISH/AMERICAN ASSOCIATION</t>
  </si>
  <si>
    <t>ALEXIAN BROTHERS BONAVENTURE HOUSE</t>
  </si>
  <si>
    <t>HENRY'S SOBER LIVING HOUSE</t>
  </si>
  <si>
    <t>ST LEONARD'S MINISTRIES|CLEANED-UP</t>
  </si>
  <si>
    <t>VERA CREATIVE</t>
  </si>
  <si>
    <t>NORTH LASALLE FINANCIAL ASSOCIATES</t>
  </si>
  <si>
    <t>GREATER SW DEVELOPMENT</t>
  </si>
  <si>
    <t>UPTOWN UNITED</t>
  </si>
  <si>
    <t>CALUMET AREA INDUSTRIAL COMMISSIONS</t>
  </si>
  <si>
    <t>NORTH RIVER COMMISSION 02</t>
  </si>
  <si>
    <t>DEPARTMENT OF BUSINESS AFFAIRS AND CONSUMER PROTECTION</t>
  </si>
  <si>
    <t>QUAD COMMUNITIES DVLPMNT CORP NFP</t>
  </si>
  <si>
    <t>ALTERNATIVES</t>
  </si>
  <si>
    <t>YWCA METROPOLITAN CHICAGO</t>
  </si>
  <si>
    <t>HABILITATIVES SYSTEMS</t>
  </si>
  <si>
    <t>PUBLIC HEALTH INSTITUTE OF METROPOLITAN CHICAGO</t>
  </si>
  <si>
    <t>DEPARTMENT OF HOUSING</t>
  </si>
  <si>
    <t>CORE COMMUNITY ORGANIZED RELIEF EFFORT</t>
  </si>
  <si>
    <t>CHICAGO PUBLIC SCHOOLS</t>
  </si>
  <si>
    <t>ILLINOIS ACTION FOR CHILDREN</t>
  </si>
  <si>
    <t>NEW MOMS</t>
  </si>
  <si>
    <t>PILSEN-LITTLE VILLAGE COMMUNITY MENTAL HEALTH CENTER</t>
  </si>
  <si>
    <t>W9 MLM REAL ESTATE LP</t>
  </si>
  <si>
    <t>NATIONAL LOUIS UNIVERSITY</t>
  </si>
  <si>
    <t>NATIONAL FOUNDATION FOR THE CENTERS FOR DISEASE CONTROL &amp; PREVENTION</t>
  </si>
  <si>
    <t>DELOITTE &amp; TOUCHE</t>
  </si>
  <si>
    <t>EMSYSTEMS</t>
  </si>
  <si>
    <t>LADDER UP</t>
  </si>
  <si>
    <t>ASI</t>
  </si>
  <si>
    <t>ENVISION COMMUNITY SERVICES</t>
  </si>
  <si>
    <t>TOGETHER CHICAGO</t>
  </si>
  <si>
    <t>DH SYSTEMS SOLUTIONS</t>
  </si>
  <si>
    <t>MEDICAL SOLUTIONS</t>
  </si>
  <si>
    <t>INFINITY CF</t>
  </si>
  <si>
    <t>BEHAR X SCHACHMAN</t>
  </si>
  <si>
    <t>CHAPIN HALL CENTER FOR CHILDREN</t>
  </si>
  <si>
    <t>PUBLIC BUILDING COMMISSION CHICAGO</t>
  </si>
  <si>
    <t>AUNT MARTHA'S YOUTH SERVICES CENTER</t>
  </si>
  <si>
    <t>ENLACE CHICAGO</t>
  </si>
  <si>
    <t>TRILOGY</t>
  </si>
  <si>
    <t>PLANNED PARENTHOOD OF ILLINOIS</t>
  </si>
  <si>
    <t>COMMUNITY INVESTMENT CORP 01</t>
  </si>
  <si>
    <t>PRIMO CENTER FOR WOMEN &amp; CHILDREN</t>
  </si>
  <si>
    <t>ALL CHICAGO MAKING HOMELESSNESS HISTORY</t>
  </si>
  <si>
    <t>CENTER FOR HOUSING AND HEALTH</t>
  </si>
  <si>
    <t>DEBORAH'S PLACE 01</t>
  </si>
  <si>
    <t>HOUSING OPPORTUNITIES FOR WOMEN</t>
  </si>
  <si>
    <t>INSPIRATION CORPORATION CHICAGO</t>
  </si>
  <si>
    <t>LA CASA NORTE</t>
  </si>
  <si>
    <t>MERCY HOUSING LAKEFRONT</t>
  </si>
  <si>
    <t>NORTH SIDE HOUSING &amp; SUPPORTIVE SERVICES</t>
  </si>
  <si>
    <t>OLIVE BRANCH MISSION 01|CLEANED-UP</t>
  </si>
  <si>
    <t>INNER VOICE</t>
  </si>
  <si>
    <t>A LITTLE BIT OF HEAVEN</t>
  </si>
  <si>
    <t>OPEN KITCHENS</t>
  </si>
  <si>
    <t>CHRISTIAN COMMUNITY HEALTH CENTER</t>
  </si>
  <si>
    <t>CONNECTIONS FOR ABUSED WOMEN &amp; THEIR CHILDREN</t>
  </si>
  <si>
    <t>MUJERES LATINAS EN ACCION</t>
  </si>
  <si>
    <t>CORNERSTONE COMMUNITY OUTREACH</t>
  </si>
  <si>
    <t>CHICAGO CHILDREN'S ADVOCACY CENTER</t>
  </si>
  <si>
    <t>COVENANT HOUSE ILLINOIS</t>
  </si>
  <si>
    <t>FAMILY RESCUE</t>
  </si>
  <si>
    <t>FEATHERFIST</t>
  </si>
  <si>
    <t>FRANCISCAN OUTREACH</t>
  </si>
  <si>
    <t>GOOD NEWS PARTNERS</t>
  </si>
  <si>
    <t>LINCOLN PARK COMMUNITY SERVICES</t>
  </si>
  <si>
    <t>INSTITUTE FOR WOMEN TODAY</t>
  </si>
  <si>
    <t>NEOPOLITAN LIGHTHOUSE C/O</t>
  </si>
  <si>
    <t>SARAH'S CIRCLE</t>
  </si>
  <si>
    <t>BOULEVARD OF CHICAGO</t>
  </si>
  <si>
    <t>UNITY PARENTING &amp; COUNSELING</t>
  </si>
  <si>
    <t>CENTER FOR CHANGING LIVES</t>
  </si>
  <si>
    <t>HEARTLAND HUMAN CARE SERVICES</t>
  </si>
  <si>
    <t>LAWYERS COMMITTEE FOR BETTER HOUSING</t>
  </si>
  <si>
    <t>IGNITE ORG</t>
  </si>
  <si>
    <t>LEGAL COUNCIL FOR HEALTH JUSTICE</t>
  </si>
  <si>
    <t>MATTHEW HOUSE</t>
  </si>
  <si>
    <t>RENAISSANCE SOCIAL SERVICES</t>
  </si>
  <si>
    <t>WM INITIATIVES</t>
  </si>
  <si>
    <t>SOUTHEAST CHICAGO CHAMBER</t>
  </si>
  <si>
    <t>ALLIANCE REHAB</t>
  </si>
  <si>
    <t>SARAH'S INN</t>
  </si>
  <si>
    <t>MAYORS OFFICE FOR PEOPLE WITH DISABILITIES</t>
  </si>
  <si>
    <t>ACCESS LIVING OF METROPOLITAN CHICAGO</t>
  </si>
  <si>
    <t>INDEPENDENT LIVING SOLUTIONS</t>
  </si>
  <si>
    <t>STORY &amp; REACH INITIATIVES</t>
  </si>
  <si>
    <t>ALLIANCE CARE 360</t>
  </si>
  <si>
    <t>BRAVE SPACE ALLIANCE</t>
  </si>
  <si>
    <t>TAPROOTS</t>
  </si>
  <si>
    <t>SIKICH</t>
  </si>
  <si>
    <t>MARILLAC ST VINCENT FAMILY SERVICES</t>
  </si>
  <si>
    <t>NORTHSIDE COMMUNITY DEVELOPMENT CORPORATION|CLEANED-UP</t>
  </si>
  <si>
    <t>COALITION OF LIMITED ENGLISH SPEAKING ELDERLY</t>
  </si>
  <si>
    <t>LIFE-SPAN</t>
  </si>
  <si>
    <t>ASCEND JUSTICE</t>
  </si>
  <si>
    <t>EXTENDED HOME LIVING SERVICES|CLEANED-UP</t>
  </si>
  <si>
    <t>EXTENDED HOME LIVING SERVICES</t>
  </si>
  <si>
    <t>THEUS PROPERTY HOLDINGS</t>
  </si>
  <si>
    <t>TEAMWORK ENGLEWOOD</t>
  </si>
  <si>
    <t>COMMUNITY ASSISTANCE PROGRAMS</t>
  </si>
  <si>
    <t>HOWARD AREA COMMUNITY CENTER 01</t>
  </si>
  <si>
    <t>GREATER CHICAGO FOOD DEPOSITORY</t>
  </si>
  <si>
    <t>ETHIOPIAN COMMUNITY ASSOCIATION OF CHICAGO</t>
  </si>
  <si>
    <t>GREATER WEST TOWN COMMUNITY DEVELOPMENT PROJECT</t>
  </si>
  <si>
    <t>JANE ADDAMS RESOURCE</t>
  </si>
  <si>
    <t>CHICAGO WOMEN IN TRADES</t>
  </si>
  <si>
    <t>NORTH LAWNDALE EMPLOYMENT NETWORK</t>
  </si>
  <si>
    <t>ASSOCIATION HOUSE OF CHICAGO</t>
  </si>
  <si>
    <t>SAFER FOUNDATION 01</t>
  </si>
  <si>
    <t>PODER LEARNING CENTER</t>
  </si>
  <si>
    <t>CHICAGO URBAN LEAGUE DEV</t>
  </si>
  <si>
    <t>CHINESE MUTUAL AID ASSOCIATION</t>
  </si>
  <si>
    <t>SKILLS FOR CHICAGOLAND'S FUTURE</t>
  </si>
  <si>
    <t>EMPLOYMENT &amp; EMPLOYER SERVICES</t>
  </si>
  <si>
    <t>GOODWILL INDUSTRIES OF METROPOLITAN CHICAGO</t>
  </si>
  <si>
    <t>TRAVELERS &amp; IMMIGRANTS AID'S HEARTLAND ALLIANCE FOR HUMAN NEEDS &amp; HUMAN RIGHTS</t>
  </si>
  <si>
    <t>WESTSIDE HEALTH AUTHORITY</t>
  </si>
  <si>
    <t>KOREAN AMERICAN COMMUNITY SERVICES</t>
  </si>
  <si>
    <t>NATIONAL LATINO EDUCATION INSTITUTE</t>
  </si>
  <si>
    <t>THE CARA PROGRAM</t>
  </si>
  <si>
    <t>MIDWEST ASIAN HEALTH ASSOCIATION (MAHA)</t>
  </si>
  <si>
    <t>HOPE CENTER FOUNDATION</t>
  </si>
  <si>
    <t>AFRICAN AMERICAN CHRISTIAN FOUNDATION</t>
  </si>
  <si>
    <t>CHICAGO HORTICULTURAL SOCIETY</t>
  </si>
  <si>
    <t>LE PENSEUR YOUTH &amp; FAMILY SERVICES</t>
  </si>
  <si>
    <t>CHICAGO LIGHTHOUSE FOR PEOPLE WHO ARE BLIND OR VISUALLY IMPAIRED</t>
  </si>
  <si>
    <t>GROWING HOMES</t>
  </si>
  <si>
    <t>RESURRECTION PROJECT</t>
  </si>
  <si>
    <t>CENTRO ROMERO</t>
  </si>
  <si>
    <t>BETWEEN FRIENDS</t>
  </si>
  <si>
    <t>UNQORK</t>
  </si>
  <si>
    <t>PETERSON-PULASKI BUS IND COUNCIL</t>
  </si>
  <si>
    <t>INDUSTRIAL COUNCIL OF NW COMN</t>
  </si>
  <si>
    <t>BACK OF THE YARDS NEIGHBORHOOD COUNCIL</t>
  </si>
  <si>
    <t>GREATER SOUTHWEST DEV</t>
  </si>
  <si>
    <t>LAWNDALE BUSINESS RENAISSANCE ASSOCIATION</t>
  </si>
  <si>
    <t>NORTH BRANCH WORKS</t>
  </si>
  <si>
    <t>GREATER RAVENSWOOD CHAMBER OF COMMERCE NFP</t>
  </si>
  <si>
    <t>GREATER NW CHICAGO DEV</t>
  </si>
  <si>
    <t>LATINUNITEDCOMMUNITYHOUSINGA SERVICES</t>
  </si>
  <si>
    <t>BICKERDIKE REDEVELOPMENTCORPORATION</t>
  </si>
  <si>
    <t>VOICE OF THE PEOPLE</t>
  </si>
  <si>
    <t>CLARETIAN ASSOCIATES|CLEANED-UP</t>
  </si>
  <si>
    <t>COMMON PANTRY</t>
  </si>
  <si>
    <t>GARFIELD PARK COMMUNITY COUNCIL</t>
  </si>
  <si>
    <t>CLARETIAN ASSOCIATES</t>
  </si>
  <si>
    <t>ZAM'S HOPE</t>
  </si>
  <si>
    <t>FAR SOUTH COMMUNITY DEVELOPMENT</t>
  </si>
  <si>
    <t>GREATER AUBURN GRESHAM DEVELOPMENT</t>
  </si>
  <si>
    <t>NORTHWEST SIDE CDC</t>
  </si>
  <si>
    <t>FIRST COMMUNITY LAND TRUST OF CHICAGO</t>
  </si>
  <si>
    <t>HOUSING OPPORTUNITIES &amp; MAINTENANCE FOR THE ELDERLY</t>
  </si>
  <si>
    <t>NEAR WEST SIDE COMMUNITY DEVELOPMENT</t>
  </si>
  <si>
    <t>ALLIANCE OF LOCAL SERVICE ORGANIZATIONS</t>
  </si>
  <si>
    <t>OMOTOSHO &amp; ASSOCIATES CPA'S</t>
  </si>
  <si>
    <t>COMMUNITY INITIATIVES</t>
  </si>
  <si>
    <t>NHS REDEVELOPMENT</t>
  </si>
  <si>
    <t>HISTORIC CHICAGO BUNGALOW (LISC)|CLEANED-UP</t>
  </si>
  <si>
    <t>BETHEL NEW LIFE FOUNDATION DBA WEST SIDE FORWARD 01</t>
  </si>
  <si>
    <t>COOK COUNTY HLTH &amp; HOSPITAL</t>
  </si>
  <si>
    <t>HASTINGS CENTER OFFICE</t>
  </si>
  <si>
    <t>ILLINOIS CHAPTER AMERICAN ACADEMY OF PEDIATRICS</t>
  </si>
  <si>
    <t>METROPOLITAN TENANTS ORGAN 01</t>
  </si>
  <si>
    <t>PHI TAK CENTER</t>
  </si>
  <si>
    <t>METRA TRANSPORTATION</t>
  </si>
  <si>
    <t>UNITED AFRICAN ORGANIZATION</t>
  </si>
  <si>
    <t>SPANISH COALITION FOR HOUSING</t>
  </si>
  <si>
    <t>GIVEDIRECTLY</t>
  </si>
  <si>
    <t>NORTHWEST SIDE HOUSING CENTER</t>
  </si>
  <si>
    <t>SOUTHWEST ORGANIZING PROJECT</t>
  </si>
  <si>
    <t>HOLLYWOOD HOUSE LP</t>
  </si>
  <si>
    <t>ASPIRA INC OF ILLINOIS</t>
  </si>
  <si>
    <t>CHRIST UNIVERSAL TEMPLE</t>
  </si>
  <si>
    <t>AMOONJUMP4U</t>
  </si>
  <si>
    <t>BOYS &amp; GIRLS CLUBS OF CHICAGO</t>
  </si>
  <si>
    <t>CENTRAL STATES SER JOBS FOR PROGRESS</t>
  </si>
  <si>
    <t>GARY COMER YOUTH CENTER</t>
  </si>
  <si>
    <t>KLEO COMMUNITY FAMILY LIFE CENTER</t>
  </si>
  <si>
    <t>KUUMBA LYNX 01</t>
  </si>
  <si>
    <t>LAWRENCE HALL SCHOOL FOR BOYS</t>
  </si>
  <si>
    <t>MIKVA CHALLENGE GRANT FOUNDATION</t>
  </si>
  <si>
    <t>PROJECT: VISION</t>
  </si>
  <si>
    <t>GREATER CHATHAM INITIATIVE</t>
  </si>
  <si>
    <t>MAGNIFICENT MILE ASSOCIATION</t>
  </si>
  <si>
    <t>BRIGHT STAR COMMUNITY OUTREACH</t>
  </si>
  <si>
    <t>JINA VALENTINE STUDIO</t>
  </si>
  <si>
    <t>NORTHERN ILLINOIS UNIVERSITY</t>
  </si>
  <si>
    <t>AM BUS</t>
  </si>
  <si>
    <t>AGAPE MISSIONS</t>
  </si>
  <si>
    <t>CAROLINA THERAPEUTIC SERVICES</t>
  </si>
  <si>
    <t>INNER-CITY MUSLIM ACTION</t>
  </si>
  <si>
    <t>FRIEND FAMILY HEALTH CENTER</t>
  </si>
  <si>
    <t>INFANT WELFARE SOCIETY OF CHICAGO</t>
  </si>
  <si>
    <t>ASIAN HMNSERVICE FAM HLTH CENTER</t>
  </si>
  <si>
    <t>ST ANTHONY HOSPITAL</t>
  </si>
  <si>
    <t>ENVISION UNLIMITED</t>
  </si>
  <si>
    <t>WEST HUMBOLDT PARK FAMILY &amp; COMMUNITY DEVELOPMENT COUNCIL</t>
  </si>
  <si>
    <t>BORDERLESS WORKSHOP</t>
  </si>
  <si>
    <t>IAYV</t>
  </si>
  <si>
    <t>NEW COVENANT CDC</t>
  </si>
  <si>
    <t>PRIMECARE COMMUNITY HEALTH CENTER</t>
  </si>
  <si>
    <t>CHARTWELL RX</t>
  </si>
  <si>
    <t>COMMUNITY &amp; ECONOMIC DEVELOPMENT ASSOCIATION OF COOK COUNTY INC (CEDA)</t>
  </si>
  <si>
    <t>BORDERLESS STUDIO</t>
  </si>
  <si>
    <t>ALL-TECH DECORATING</t>
  </si>
  <si>
    <t>STREET GLASS PRODUCTIONS</t>
  </si>
  <si>
    <t>C/Z DESIGN STRATEGIES</t>
  </si>
  <si>
    <t>RAVENSWOOD SPECIAL EVENTS</t>
  </si>
  <si>
    <t>ILLINOIS RESTAURANT ASSOCIATION</t>
  </si>
  <si>
    <t>KOBOTECH</t>
  </si>
  <si>
    <t>CHICAGO ALLIANCE AGAINST SEXUAL EXPLOITATION</t>
  </si>
  <si>
    <t>DL INDEPENDENT SERVICE</t>
  </si>
  <si>
    <t>ALIVIO MEDICAL CENTERINC</t>
  </si>
  <si>
    <t>CHICAGO FAMILY HEALTH CENTER</t>
  </si>
  <si>
    <t>AV CHICAGO</t>
  </si>
  <si>
    <t>ILLINOIS HEALTH &amp; HOSPITAL ASSOCIATION</t>
  </si>
  <si>
    <t>BOBBY E WRIGHT COMPREHENSIVE BEHAVIORAL HEALTH</t>
  </si>
  <si>
    <t>TCA HEALTH</t>
  </si>
  <si>
    <t>NETWORK ADVOCATING AGAINST DOMESTIC VIOLENCE</t>
  </si>
  <si>
    <t>CHICAGO COOK WORKFORCE PARTNERSHIP</t>
  </si>
  <si>
    <t>LEONARD SURYAJAYA</t>
  </si>
  <si>
    <t>TERRY DOWD</t>
  </si>
  <si>
    <t>NFA SPACE CONTEMPORARY &amp;</t>
  </si>
  <si>
    <t>COMMUNITY EDUCATION NETWORK DBA IT TAKES A VILLAGE FAMILY OF SCHOOLS</t>
  </si>
  <si>
    <t>UNITED WAY OF METROPOLITAN CHICAGO</t>
  </si>
  <si>
    <t>CHICAGO ABORTION FUND</t>
  </si>
  <si>
    <t>ELEVATE ENERGY</t>
  </si>
  <si>
    <t>MOUNT SINAI HOSPITAL MEDCL CNT</t>
  </si>
  <si>
    <t>SWEDISH COVENANT HOSPITALLABDEPARTMENT LAB DEPARTMENT</t>
  </si>
  <si>
    <t>UNIVERSITY OF CHICAGO - MEDICAL CENTER</t>
  </si>
  <si>
    <t>CHINESE CONSOLIDATED BENEVOLENT ASSOCIATION OF CHICAGO</t>
  </si>
  <si>
    <t>KOREAN-AMERICAN SENIOR CENTER</t>
  </si>
  <si>
    <t>METROPOLITAN ASIAN FAMILY SERVICES</t>
  </si>
  <si>
    <t>INDO - AMERICAN CENTER</t>
  </si>
  <si>
    <t>SUSAN KENNEDY-RIECHERS</t>
  </si>
  <si>
    <t>ADVOCATE ILLINOIS MASONIC MEDICAL CENTER</t>
  </si>
  <si>
    <t>ACADEMY OF SCHOLASTIC</t>
  </si>
  <si>
    <t>BETTER BOYS FOUNDATION</t>
  </si>
  <si>
    <t>ACCLIVUS</t>
  </si>
  <si>
    <t>EARLY CHILD CARE SERVICES</t>
  </si>
  <si>
    <t>FAMILY FOCUS</t>
  </si>
  <si>
    <t>OUR REVIVAL CHICAGO</t>
  </si>
  <si>
    <t>CECIL MCDONALD JR</t>
  </si>
  <si>
    <t>EQUITABLE SOCIAL SOLUTIONS</t>
  </si>
  <si>
    <t>DATAMADE</t>
  </si>
  <si>
    <t>PROJECT ORG &amp; DESIGN STUDIO</t>
  </si>
  <si>
    <t>WEST CHESTERFIELD COMM SERVICE</t>
  </si>
  <si>
    <t>ILLINOIS COLLEGE OF OPTOMETRY</t>
  </si>
  <si>
    <t>TROPICAL OPTICAL</t>
  </si>
  <si>
    <t>AGELESS EYE CARE PC</t>
  </si>
  <si>
    <t>CORISE ILLINOIS</t>
  </si>
  <si>
    <t>ANOTHER CHANCE CHURCH</t>
  </si>
  <si>
    <t>4800 N DAMEN</t>
  </si>
  <si>
    <t>ADVOCATE HEALTH &amp; HOSPITALS</t>
  </si>
  <si>
    <t>BEYOND THE BALL NFP</t>
  </si>
  <si>
    <t>CHICAGO CENTER FOR ARTS &amp; TECHNOLOGY</t>
  </si>
  <si>
    <t>CHICAGO TRAINING CENTER</t>
  </si>
  <si>
    <t>CHICAGO YOUTH BOXING CLUB</t>
  </si>
  <si>
    <t>CHICAGO YOUTH PROGRAMS INC|CLEANED-UP</t>
  </si>
  <si>
    <t>CHICAGO-LAWNDALE AMACHI MENTORING PROGRAM (LAMP)</t>
  </si>
  <si>
    <t>CIRC ESTEEM</t>
  </si>
  <si>
    <t>INSTITUTE FOR LATINO PROGRESS</t>
  </si>
  <si>
    <t>LITTLE BLACK PEARL WORKSHOP PEAR FESTIVAL</t>
  </si>
  <si>
    <t>MAPSCORP</t>
  </si>
  <si>
    <t>NEW LIFE CENTERS OF CHICAGOLAND NFP|CLEANED-UP</t>
  </si>
  <si>
    <t>PROJECT EXPLORATION</t>
  </si>
  <si>
    <t>EL RINCON SUPPORTIVE SERVICES SRVC ORGN</t>
  </si>
  <si>
    <t>SOUTH SHORE DRILL TEAM &amp; PERFORMING ARTS ENSEMBLE|CLEANED-UP</t>
  </si>
  <si>
    <t>ST JOSEPH SERVICES</t>
  </si>
  <si>
    <t>COMMUNITY BUILDERS</t>
  </si>
  <si>
    <t>UNION LEAGUE BOYS AND GIRLS CLUBS</t>
  </si>
  <si>
    <t>VIETNAMESE ASSOCIATION OF ILLINOIS|CLEANED-UP</t>
  </si>
  <si>
    <t>MALE MOGUL INITIATIVE INC NFP</t>
  </si>
  <si>
    <t>XS TENNIS &amp; EDUCATION FOUNDATION</t>
  </si>
  <si>
    <t>YOUNG MEN'S EDUCATIONAL NETWORK</t>
  </si>
  <si>
    <t>YOUTH GUIDANCE</t>
  </si>
  <si>
    <t>UNITED AIRLINES</t>
  </si>
  <si>
    <t>LUTHERAN SOCIAL SERVICES OF ILLINOIS</t>
  </si>
  <si>
    <t>MCHC-CHICAGO HOSPITAL COUNCIL</t>
  </si>
  <si>
    <t>TEDDY BEAR NURSERY SCHOOLS</t>
  </si>
  <si>
    <t>CHICAGO PARKS FOUNDATION</t>
  </si>
  <si>
    <t>ESPERANZA HEALTH CENTER</t>
  </si>
  <si>
    <t>LAKEVIEW PANTRY</t>
  </si>
  <si>
    <t>TOP BOX FOODS</t>
  </si>
  <si>
    <t>A KNOCK AT MIDNIGHT NFP</t>
  </si>
  <si>
    <t>AFTER-SCHOOL MATTERS INC|CLEANED-UP</t>
  </si>
  <si>
    <t>ARAB AMERICAN ACTION NETWORK</t>
  </si>
  <si>
    <t>BRIGHTON PARK NEIGHBORHOOD COUNCIL|CLEANED-UP</t>
  </si>
  <si>
    <t>CATHOLIC YOUTH MINISTRY CENTER AT MORGAN PARK HIGH SCHOOL</t>
  </si>
  <si>
    <t>CENTER FOR COMPANIES THAT CARE</t>
  </si>
  <si>
    <t>FAMILY MATTERS</t>
  </si>
  <si>
    <t>GIRL SCOUTS OF GREATER CHICAGO &amp; NORTHWEST INDIANA</t>
  </si>
  <si>
    <t>GUITARS OVER GUNS ORGANIZATION</t>
  </si>
  <si>
    <t>KIPP CHICAGO SCHOOLS</t>
  </si>
  <si>
    <t>LOGAN SQUARE NEIGHBORHOOD ASSOCIATIONASSOCIATION</t>
  </si>
  <si>
    <t>METROSQUASH</t>
  </si>
  <si>
    <t>NOBLE NETWORK CHARTER SCHOOL</t>
  </si>
  <si>
    <t>PUI TAK CENTER</t>
  </si>
  <si>
    <t>SIMPLE GOOD</t>
  </si>
  <si>
    <t>SKYART NFP</t>
  </si>
  <si>
    <t>TOWERS OF EXCELLENCE</t>
  </si>
  <si>
    <t>URBAN INITIATIVES INC NFP</t>
  </si>
  <si>
    <t>GARFIELD PARK CONSERVATORY</t>
  </si>
  <si>
    <t>FAME CENTER</t>
  </si>
  <si>
    <t>ARTISTS BREAKING LIMITS &amp; EXPECTATIONS</t>
  </si>
  <si>
    <t>FUND FOR INNOVATIVE TV</t>
  </si>
  <si>
    <t>CERQUA RIVERA ART EXPERIENCE</t>
  </si>
  <si>
    <t>ALBANY PARK THEATER PROJECT</t>
  </si>
  <si>
    <t>BARREL OF MONKEYS PRODUCTIONS</t>
  </si>
  <si>
    <t>ARTISTS COOPERATIVE RESIDENCY &amp; EXHIBITIONS</t>
  </si>
  <si>
    <t>FRIENDS OF THE GAMELAN</t>
  </si>
  <si>
    <t>MUNTU DANCE THEATRE OF CHICAGO</t>
  </si>
  <si>
    <t>ILLINOIS HUMANITIES COUNCIL</t>
  </si>
  <si>
    <t>I AM LOGAN SQUARE</t>
  </si>
  <si>
    <t>PERCEPTUAL MOTION</t>
  </si>
  <si>
    <t>MEXICAN FOLKLORIC DANCE CO OF CHICAGO</t>
  </si>
  <si>
    <t>MERIT SCHOOL OF MUSIC</t>
  </si>
  <si>
    <t>NAJWA DANCE CORPS 01</t>
  </si>
  <si>
    <t>MANDALA SOUTH ASIAN PERFORMING ARTS</t>
  </si>
  <si>
    <t>RED LINE SERVICE INSITUTE</t>
  </si>
  <si>
    <t>HUBBARD STREET DANCE CHICAGO</t>
  </si>
  <si>
    <t>HEAVEN GALLERY</t>
  </si>
  <si>
    <t>ERASING THE DISTANCE</t>
  </si>
  <si>
    <t>NATIONAL CAMBODIAN HERITAGE MUSEUM &amp; KILLING FIELDS MEMORIAL</t>
  </si>
  <si>
    <t>EN LAS TABLAS PERFORMING ARTS NFP</t>
  </si>
  <si>
    <t>CHICAGO FILM ARCHIVES NFP</t>
  </si>
  <si>
    <t>CHICAGO ART DEPARTMENT</t>
  </si>
  <si>
    <t>URBAN GATEWAYS</t>
  </si>
  <si>
    <t>BALZEKAS MUSEUM OF LITHUANIAN CULTURE</t>
  </si>
  <si>
    <t>NATYA DANCE</t>
  </si>
  <si>
    <t>IMAGINATION THEATER INC 01</t>
  </si>
  <si>
    <t>HYDE PARK JAZZ FESTIVAL</t>
  </si>
  <si>
    <t>HAITIAN AMERICAN MUSEUM</t>
  </si>
  <si>
    <t>BLACK ENSEMBLE THEATRE</t>
  </si>
  <si>
    <t>DIASPORAL RHYTHMS NFP</t>
  </si>
  <si>
    <t>FREE STREET THEATER</t>
  </si>
  <si>
    <t>FREE SPIRIT MEDIA NFP</t>
  </si>
  <si>
    <t>CHICAGO METAMORPHOSIS ORCHESTRA PROJECT</t>
  </si>
  <si>
    <t>CHICAGO MEDIA PROJECT</t>
  </si>
  <si>
    <t>FREE LUNCH ACADEMY</t>
  </si>
  <si>
    <t>CHAI COLLABORATIVE ENSEMBLE NFP</t>
  </si>
  <si>
    <t>CHICAGO A CAPPELLA</t>
  </si>
  <si>
    <t>CHICAGO KIDS</t>
  </si>
  <si>
    <t>CHICAGO MOBILE MAKERS</t>
  </si>
  <si>
    <t>COMMUNITY FILM WORKSHOP OF CHICAGO</t>
  </si>
  <si>
    <t>CHICAGO CABARET PROFESSIONALS</t>
  </si>
  <si>
    <t>DEEPLY ROOTED PRODUCTIONS</t>
  </si>
  <si>
    <t>TIMELINE THEATRE</t>
  </si>
  <si>
    <t>PROJECT ONWARD</t>
  </si>
  <si>
    <t>PROFESSIONAL THEATRE &amp; DANCE YOUTH ACADEMY</t>
  </si>
  <si>
    <t>POETRY CENTER OF CHICAGO</t>
  </si>
  <si>
    <t>CINEMA/CHICAGO THE CHICAGO INT</t>
  </si>
  <si>
    <t>JAZZ INSTITUTE OF CHICAGO</t>
  </si>
  <si>
    <t>CHICAGO LATINO THEATER</t>
  </si>
  <si>
    <t>FLOATING MUSEUM</t>
  </si>
  <si>
    <t>CLINARD DANCE THEATRE</t>
  </si>
  <si>
    <t>CHICAGO SCULPTURE INTERNATIONAL</t>
  </si>
  <si>
    <t>CHICAGO SINFONIETTA</t>
  </si>
  <si>
    <t>BIG BROTHERS-BIG SISTERS OF METROPOLITAN CHICAGO|CLEANED-UP</t>
  </si>
  <si>
    <t>COMMUNITY DEVELOPMENT INSTITUTE</t>
  </si>
  <si>
    <t>LIFE DIRECTIONS</t>
  </si>
  <si>
    <t>AUSTIN CHAMBER OF COMMERCE</t>
  </si>
  <si>
    <t>TOUCH GIFT FOUNDATION</t>
  </si>
  <si>
    <t>INURBAN STRATEGIES</t>
  </si>
  <si>
    <t>LAKEVIEW ROSCOE VILLAGE CHAMBER OF COMMERCE</t>
  </si>
  <si>
    <t>PREVENTION PARTNERSHIP</t>
  </si>
  <si>
    <t>PROJECT RESTORE INITIATIVE</t>
  </si>
  <si>
    <t>REFLECTIONS FOUNDATION</t>
  </si>
  <si>
    <t>TARGET AREA DEVELOPMENT</t>
  </si>
  <si>
    <t>THE ALLIANCE 98</t>
  </si>
  <si>
    <t>UNIVERSIDAD POPULAR/CENTRO LAT</t>
  </si>
  <si>
    <t>WESTCARE ILLINOIS</t>
  </si>
  <si>
    <t>EL BRASERITO</t>
  </si>
  <si>
    <t>PARTNERS IN HEALTH</t>
  </si>
  <si>
    <t>SOUTH CHICAGO DANCE THEATRE</t>
  </si>
  <si>
    <t>URBAN JUNCTURE FOUNDATION</t>
  </si>
  <si>
    <t>REINVETABILITY</t>
  </si>
  <si>
    <t>MAKING A DIFFERENCE DANCING RHYTHMS ORGANIZATION</t>
  </si>
  <si>
    <t>WEST POINT FELLOWSHIP</t>
  </si>
  <si>
    <t>WINDY CITY PERFORMING ARTSINC</t>
  </si>
  <si>
    <t>WOMEN MADE GALLERY</t>
  </si>
  <si>
    <t>WATER PEOPLE THEATER GROUP</t>
  </si>
  <si>
    <t>VOICES OF YOUTH ENSEMBLE</t>
  </si>
  <si>
    <t>CHINESE AMERICAN MUSEUM OF CHICAGO</t>
  </si>
  <si>
    <t>6018 NORTH KENMORE AVENUE</t>
  </si>
  <si>
    <t>ABOUT FACE THEATRE COLLECTIVE</t>
  </si>
  <si>
    <t>THIRD COAST PERCUSSION NFP</t>
  </si>
  <si>
    <t>PALETTE &amp; CHISEL ACADEMY OF FINE ARTS</t>
  </si>
  <si>
    <t>THREE WALLS</t>
  </si>
  <si>
    <t>KHECARI</t>
  </si>
  <si>
    <t>TERRITORY NFP</t>
  </si>
  <si>
    <t>TEATRO VISTA THEATRE W/VIEW</t>
  </si>
  <si>
    <t>INSTITUTO CERVANTES OF CHICAGO</t>
  </si>
  <si>
    <t>MARWEN FOUNDATION</t>
  </si>
  <si>
    <t>HELL IN A HANDBAG PRODUCTIONS</t>
  </si>
  <si>
    <t>CHICAGO DRAMATISTS WORKSHOPS</t>
  </si>
  <si>
    <t>HAPPINESS CLUB</t>
  </si>
  <si>
    <t>GIFT THEATRE</t>
  </si>
  <si>
    <t>MIRACLE CENTER</t>
  </si>
  <si>
    <t>CHAMPS MALE MENTORING PROGRAM-CHIRISE</t>
  </si>
  <si>
    <t>JONATHAN CASTILLO</t>
  </si>
  <si>
    <t>STEPPEN WOLF THEATRE</t>
  </si>
  <si>
    <t>MUSICAL ARTS INSTITUTE</t>
  </si>
  <si>
    <t>THIRD COAST INTERNATIONAL AUDIO FESTIVAL</t>
  </si>
  <si>
    <t>MAKE LITERARY PRODUCTIONS NFP</t>
  </si>
  <si>
    <t>PRIDE FILMS &amp; PLAYS</t>
  </si>
  <si>
    <t>NORWOOD SENIORS NETWORK ASSOCIATION</t>
  </si>
  <si>
    <t>SERENDIPITY THEATRE</t>
  </si>
  <si>
    <t>SOUTHWEST SIDE SENIORS SERVICES ORGANIZATION</t>
  </si>
  <si>
    <t>GILLOURY INSTITUTE</t>
  </si>
  <si>
    <t>SEGUNDO RUIZ BELVIS CULTURAL CENTER</t>
  </si>
  <si>
    <t>BEVERLY ARTS CENTER</t>
  </si>
  <si>
    <t>BALLET FOLKLORICO DE CHICAGO</t>
  </si>
  <si>
    <t>VICARIOUS THEARTRE-BABES/BLADE</t>
  </si>
  <si>
    <t>LIFE LINE PRODUCTIONS</t>
  </si>
  <si>
    <t>HEDWIG DANCES</t>
  </si>
  <si>
    <t>BROKEN NOSE THEATRE</t>
  </si>
  <si>
    <t>URBAN THEATER CHICAGO</t>
  </si>
  <si>
    <t>GENE SISKEL FILM CENTER</t>
  </si>
  <si>
    <t>CONGO SQUARE THEATRE</t>
  </si>
  <si>
    <t>CHICAGO FRINGE OPERA</t>
  </si>
  <si>
    <t>SYNAPSE ARTS COLLECTIVE</t>
  </si>
  <si>
    <t>AMERICAN INDIAN CENTER 01</t>
  </si>
  <si>
    <t>TEATRO TARIAKURI</t>
  </si>
  <si>
    <t>AGUIJON II THEATRE</t>
  </si>
  <si>
    <t>SIXTY INCHES FROM CENTER</t>
  </si>
  <si>
    <t>NEO-FUTURISTS</t>
  </si>
  <si>
    <t>GOODMAN THEATRE/CHICAGO THEA GR</t>
  </si>
  <si>
    <t>CHICAGO PUBLIC MEDIA</t>
  </si>
  <si>
    <t>CEDILLE CHICAGO NFP</t>
  </si>
  <si>
    <t>C21 WOMEN'S ENSEMBLE</t>
  </si>
  <si>
    <t>JOFFREY BALLET OF CHICAGO</t>
  </si>
  <si>
    <t>WORKING IN CONCERT</t>
  </si>
  <si>
    <t>CHICAGO ARTISTS COALITION</t>
  </si>
  <si>
    <t>LIVE THE SPIRIT RESIDENCY</t>
  </si>
  <si>
    <t>BALLET CHICAGO</t>
  </si>
  <si>
    <t>CENTER FOR INTERNATIONAL PERF/EXHIBIT</t>
  </si>
  <si>
    <t>SWEDISH AMERICAN MUSEUMSASSOC CHICAGO</t>
  </si>
  <si>
    <t>SOFT CAGE FILMS</t>
  </si>
  <si>
    <t>PUBLIC MEDIA INSTITUTE</t>
  </si>
  <si>
    <t>SISTERS IN CINEMA NFP</t>
  </si>
  <si>
    <t>SOUTH SIDE COMMUNITY ARTS CENTER</t>
  </si>
  <si>
    <t>INVICTUS THEATRE</t>
  </si>
  <si>
    <t>HYPERTEXT MAGAZINE &amp; STUDIO</t>
  </si>
  <si>
    <t>CHICAGO METROPOLITAN SYMPHONY ORCHESTRA</t>
  </si>
  <si>
    <t>SOUTH ASIA INSTITUTE</t>
  </si>
  <si>
    <t>PILSEN CENTER FOR CULTURAL AND CONTEMPORARY ARTS</t>
  </si>
  <si>
    <t>VOICE OF THE CITY</t>
  </si>
  <si>
    <t>VISCERAL DANCE CHICAGO</t>
  </si>
  <si>
    <t>STRATEGY FOR ACCESS FOUNDATION NFP</t>
  </si>
  <si>
    <t>JOEL HALL DANCERS &amp; CENTER</t>
  </si>
  <si>
    <t>ROMAN SUSAN ART FOUNDATION NFP</t>
  </si>
  <si>
    <t>ROOTS &amp; CULTURE CONTEMP ART</t>
  </si>
  <si>
    <t>OLD TOWN SCHOOL OF FOLK MUSIC</t>
  </si>
  <si>
    <t>OH ART FOUNDATION</t>
  </si>
  <si>
    <t>PORCHLIGHT MUSIC THEATRE</t>
  </si>
  <si>
    <t>PEGASUS PLAYERS THEATRE</t>
  </si>
  <si>
    <t>PADEREWSKI SYMPHONY ORCHESTRA</t>
  </si>
  <si>
    <t>OTHER WORLD THEATRE</t>
  </si>
  <si>
    <t>VANDERCOOK COLLEGE OF MUSIC</t>
  </si>
  <si>
    <t>CHICAGO CHILDREN'S CHOIR</t>
  </si>
  <si>
    <t>HYDE PARK ART CENTER</t>
  </si>
  <si>
    <t>CHICAGO COMPOSERS ORCHESTRA</t>
  </si>
  <si>
    <t>COURT THEATRE FUND</t>
  </si>
  <si>
    <t>3 ARTS</t>
  </si>
  <si>
    <t>NATIONAL PUBLIC HOUSING MUSEUM</t>
  </si>
  <si>
    <t>NATIONAL MUSEUM OF PUERTO RICAN ARTS &amp; CULTURE</t>
  </si>
  <si>
    <t>CHICAGO BLUES REVIVAL</t>
  </si>
  <si>
    <t>SNOW CITY ARTS FOUNDATION</t>
  </si>
  <si>
    <t>SOHAM DANCE SPACE NFP</t>
  </si>
  <si>
    <t>SHOPHIA'S CHOICE</t>
  </si>
  <si>
    <t>STORYCATCHERS THEATRE</t>
  </si>
  <si>
    <t>ARTISTIC HOME ACTING ENSEM</t>
  </si>
  <si>
    <t>BLUES KIDS FOUNDATION</t>
  </si>
  <si>
    <t>ARTS OF LIFE</t>
  </si>
  <si>
    <t>CENTER FOR IMMIGRANT RESOURCES</t>
  </si>
  <si>
    <t>AMERICAN BLUES THEATER</t>
  </si>
  <si>
    <t>MUSIC</t>
  </si>
  <si>
    <t>CONTEXTOS NFP</t>
  </si>
  <si>
    <t>KEHREIN CENTER FOR THE ARTS</t>
  </si>
  <si>
    <t>KALAPRIYA FOUNDATION</t>
  </si>
  <si>
    <t>INVISIBLE INSTITUTE</t>
  </si>
  <si>
    <t>KARTEMQUIN EDUCATIONAL FILMS</t>
  </si>
  <si>
    <t>INTONATION MUSIC WORKSHOP|CLEANED-UP</t>
  </si>
  <si>
    <t>PEOPLE'S MUSIC SCHOOL</t>
  </si>
  <si>
    <t>READER INSTITUTE FOR COMMUNITY JOURNALISM</t>
  </si>
  <si>
    <t>FII-NATIONAL</t>
  </si>
  <si>
    <t>CHICAGO DANCE HISTORY PROJECT</t>
  </si>
  <si>
    <t>REPERTORIO LATINO THEATER</t>
  </si>
  <si>
    <t>CHICAGO ARTS PARTNERSHIPS IN EDUCATION</t>
  </si>
  <si>
    <t>CHICAGO HUMAN RHYTHM PROJECT</t>
  </si>
  <si>
    <t>ACCESS CONTEMPORARY MUSIC</t>
  </si>
  <si>
    <t>CHICAGO MULTI-CULTURAL DANCE CENTER</t>
  </si>
  <si>
    <t>CHICAGO CHILDREN THEATRE</t>
  </si>
  <si>
    <t>CHICAGO FILMMAKERS</t>
  </si>
  <si>
    <t>CHICAGO PUBLIC ART GROUP</t>
  </si>
  <si>
    <t>FIREBIRD COMMUNITY ARTS</t>
  </si>
  <si>
    <t>GUILD LITERACY COMPLEX</t>
  </si>
  <si>
    <t>SOUTH SIDE JAZZ COALITION</t>
  </si>
  <si>
    <t>SOUTH ASIAN CLASSICAL MUSIC SOCIETY OF CHICAGO</t>
  </si>
  <si>
    <t>SHATTERED GLOBE THEATER</t>
  </si>
  <si>
    <t>DESIGN INDUSTRIES FOUNDATION FIGHTING AIDS</t>
  </si>
  <si>
    <t>RIVENDELL THEATRE ENSEMBLE</t>
  </si>
  <si>
    <t>RED CLAY DANCE</t>
  </si>
  <si>
    <t>PRISON AND NEIGHBORHOOD ARTS/EDUCATION PROJECT</t>
  </si>
  <si>
    <t>SONES DE MEXICO ENSEMBLE</t>
  </si>
  <si>
    <t>ART ON SEDGWICK</t>
  </si>
  <si>
    <t>ASIAN IMPROVE ARTS MIDWEST</t>
  </si>
  <si>
    <t>AYODELE DRUM &amp; DANCE NFP</t>
  </si>
  <si>
    <t>COLLABORACTION THEATRE</t>
  </si>
  <si>
    <t>COLLABORATIVE ARTS</t>
  </si>
  <si>
    <t>MIDSOMMER FLIGHT NFP</t>
  </si>
  <si>
    <t>CROSSING BORDERS MUSIC COLLECTIVE</t>
  </si>
  <si>
    <t>PUERTO RICAN ARTS ALLIANCE</t>
  </si>
  <si>
    <t>826CHI INC NFP</t>
  </si>
  <si>
    <t>CHANGING WORLDS</t>
  </si>
  <si>
    <t>LYNX PROJECT</t>
  </si>
  <si>
    <t>LUCKY PLUSH PRODUCTIONS</t>
  </si>
  <si>
    <t>INTUIT:CENTER FOR INTUTIVE/</t>
  </si>
  <si>
    <t>INTERNATIONAL POLKA ASSOCIATION</t>
  </si>
  <si>
    <t>LINKS HALL STUDIO</t>
  </si>
  <si>
    <t>INTERNATIONAL MUSEUM OF SURGICAL SCI</t>
  </si>
  <si>
    <t>INTERNATIONAL LATINO CULTURAL CENTER</t>
  </si>
  <si>
    <t>FULL SPECTRUM FEATURES</t>
  </si>
  <si>
    <t>HROMOVYTSIA UKRAINIAN DANCE ENSEMBLE</t>
  </si>
  <si>
    <t>HYDE PARK SCHOOL OF DANCE</t>
  </si>
  <si>
    <t>COMMUNITY TELEVISION NETWORK</t>
  </si>
  <si>
    <t>ENSEMBLE ESPANOL</t>
  </si>
  <si>
    <t>HOMEROOM NFP</t>
  </si>
  <si>
    <t>FACETS-MULTI-MEDIA</t>
  </si>
  <si>
    <t>HO ETSU TAIKO</t>
  </si>
  <si>
    <t>CREATIVE ARTS FOUNDATION</t>
  </si>
  <si>
    <t>ELASTIC ARTS FOUNDATION</t>
  </si>
  <si>
    <t>EIGHTH BLACKBIRD PERFORMING ARTS ASSOCIATION</t>
  </si>
  <si>
    <t>DANCEWORKS CHICAGO INC NFP</t>
  </si>
  <si>
    <t>CHICAGO JAZZ PHILHARMONIC</t>
  </si>
  <si>
    <t>CHICAGO WEST COMMUNITY MUSIC CENTER</t>
  </si>
  <si>
    <t>BLAIR THOMAS &amp;</t>
  </si>
  <si>
    <t>FIRST DEFENSE LEGAL AID CIVIL RIGHTS PROGRAM TRUST</t>
  </si>
  <si>
    <t>CUERDAS CLASICAS</t>
  </si>
  <si>
    <t>CHICAGO DANCEMAKERS FORUM</t>
  </si>
  <si>
    <t>OTV OPEN TELEVISION</t>
  </si>
  <si>
    <t>NOTRE DAME WRESTLING CLUB</t>
  </si>
  <si>
    <t>HEARTLAND INTERNATIONAL HEALTH CENTER</t>
  </si>
  <si>
    <t>ST ELIZABETH OF THE TRINITY PARISH</t>
  </si>
  <si>
    <t>NEW HOPE COMMUNITY FOOD PANTRY</t>
  </si>
  <si>
    <t>ISRAEL'S GIFTS OF HOPE</t>
  </si>
  <si>
    <t>HALO SECURITY GROUP</t>
  </si>
  <si>
    <t>COTTAGE GROVE HEIGHTS COMMUNITY COALITION</t>
  </si>
  <si>
    <t>LINCOLN PARK CHAMBER OF COMMERCE|CLEANED-UP</t>
  </si>
  <si>
    <t>EX-CONS FOR COMMUNITY AND SOCIAL CHANGE</t>
  </si>
  <si>
    <t>THINK OUTSIDE DA BLOCK</t>
  </si>
  <si>
    <t>URBAN MALE NETWORK</t>
  </si>
  <si>
    <t>QUANTUM FAITH NFP</t>
  </si>
  <si>
    <t>OAKDALE CHRISTIAN ACADEMYCHURCH</t>
  </si>
  <si>
    <t>ST MONICA ACADEMY</t>
  </si>
  <si>
    <t>HMF COMMUNICATIONS</t>
  </si>
  <si>
    <t>SONIA'S MODERN BEAUTY SALON</t>
  </si>
  <si>
    <t>GREATER ROSELAND CHAMBER OF COMMERCE</t>
  </si>
  <si>
    <t>ISABEL FIERRO</t>
  </si>
  <si>
    <t>FRIENDS OF THE PARK</t>
  </si>
  <si>
    <t>CNL PROJECTS</t>
  </si>
  <si>
    <t>WHEATLAND TITLE GUARANTY</t>
  </si>
  <si>
    <t>CHICAGO COMMUNITY LOAN FUND</t>
  </si>
  <si>
    <t>BJ WRIGHT PRESERVATION LP</t>
  </si>
  <si>
    <t>MAR DISTRUBTION LLC (DBA: MAGNIFICO COFFEE)</t>
  </si>
  <si>
    <t>NORWOOD PARK HISTORICAL SOCIETY</t>
  </si>
  <si>
    <t>ORGANIC ONENES</t>
  </si>
  <si>
    <t>ARAM HAN SIFUENTES</t>
  </si>
  <si>
    <t>CHICAGO SURVIVORS</t>
  </si>
  <si>
    <t>BIG</t>
  </si>
  <si>
    <t>SPIRIT AIRLINES</t>
  </si>
  <si>
    <t>TELLIGEN HEALTHCARE INTELLIGENCE</t>
  </si>
  <si>
    <t>MOLLOY CONSULTING</t>
  </si>
  <si>
    <t>CENTER FOR NEIGHBORHOOD TECHNOLOGY</t>
  </si>
  <si>
    <t>TONYA R POE</t>
  </si>
  <si>
    <t>18TH STREET DEVELOPMENT</t>
  </si>
  <si>
    <t>LOGAN SQUARE PRESERVATION</t>
  </si>
  <si>
    <t>ROGERS PARK BUSINESS ALLIANCE</t>
  </si>
  <si>
    <t>FAUST ASSOCIATES IN DESIGNED</t>
  </si>
  <si>
    <t>HARBOE ARCHITECTS PC</t>
  </si>
  <si>
    <t>METRIS ARTS</t>
  </si>
  <si>
    <t>ILLINOIS ARTS ALLIANCE DBA ARTS ALLIANCE ILLINOIS</t>
  </si>
  <si>
    <t>NEIGHBORSCAPES NFP</t>
  </si>
  <si>
    <t>NATIONAL RAILROAD PASSENGER</t>
  </si>
  <si>
    <t>U SELECT IT HOLDINGS</t>
  </si>
  <si>
    <t>43RD AND CALUMET PHASE I LP</t>
  </si>
  <si>
    <t>CORPORATION FOR SUPPORTIVE HOUSING</t>
  </si>
  <si>
    <t>MLK FRIENDS OF BASKETBALL</t>
  </si>
  <si>
    <t>SAVING OUR SONS MINISTRIES</t>
  </si>
  <si>
    <t>RESURRECTION COLLEGE PREP HIGH SCHOOL</t>
  </si>
  <si>
    <t>ST JULIANA PARISH</t>
  </si>
  <si>
    <t>EAST SIDE ESPORTS</t>
  </si>
  <si>
    <t>LUTHERAN CHURCH MISSOURI SYNOD NORTHERN ILLINOIS DISTRICT</t>
  </si>
  <si>
    <t>ST ROBERT BELLARMINE SCHOOL</t>
  </si>
  <si>
    <t>ST FRANCIS BORGIA PARISH</t>
  </si>
  <si>
    <t>JESSE OWENS PARK ADVISORY COUNCIL</t>
  </si>
  <si>
    <t>CHESTERFIELD COMMUNITY COUNCIL</t>
  </si>
  <si>
    <t>NEW ECLIPSE COMMUNITY ALLIANCE</t>
  </si>
  <si>
    <t>UNION PACIFIC RAILROAD</t>
  </si>
  <si>
    <t>PROJECTHOOD COMMUNITIES DEVELOPMENT</t>
  </si>
  <si>
    <t>WE CARE 2 AGENCY</t>
  </si>
  <si>
    <t>BLACK MEN UNITED</t>
  </si>
  <si>
    <t>IDAÔøΩS ARTISAN ICE CREAM &amp; TREATS</t>
  </si>
  <si>
    <t>SAINT AGATHA DREAM BUILDERS ASSOCIATION NFP</t>
  </si>
  <si>
    <t>LAWNDALE COMMUNITY DAY CARE</t>
  </si>
  <si>
    <t>POPE FRANCIS GLOBAL ACADEMY</t>
  </si>
  <si>
    <t>SENIOR SUITES CHICAGO AUBURN</t>
  </si>
  <si>
    <t>ARCHER AVENUE</t>
  </si>
  <si>
    <t>ENTERPRISE PROPERTY GROUP</t>
  </si>
  <si>
    <t>HEALTH &amp; MEDICINE POLICY</t>
  </si>
  <si>
    <t>JUDITH I MUCH</t>
  </si>
  <si>
    <t>DOLEJS REALTY &amp; MANAGEMENT SERVICES</t>
  </si>
  <si>
    <t>DEPAUL UNIVERSITY</t>
  </si>
  <si>
    <t>PRESENCE CHICAGO HOSPITALS NETWORK DBA PRESENCE SAINTS MARY &amp; ELIZABETH MEDICAL CENTER</t>
  </si>
  <si>
    <t>EAST EDGEWATER CHAMBER OF COMMERCE</t>
  </si>
  <si>
    <t>VANGUARD ARCHIVES HOLDINGS</t>
  </si>
  <si>
    <t>BLUE CROSS &amp; BLUE SHIELD</t>
  </si>
  <si>
    <t>L F L PROPERTIES</t>
  </si>
  <si>
    <t>1201 N CALIFORNIA 9PCT HHDC LP</t>
  </si>
  <si>
    <t>AMERICAN AIRLINES 01</t>
  </si>
  <si>
    <t>NEW LIFE COMMUNITY CHURCH</t>
  </si>
  <si>
    <t>GLADSTONE PARK CHAMBER OF COMM</t>
  </si>
  <si>
    <t>LITTLE VILLAGE 26TH STREET</t>
  </si>
  <si>
    <t>SIX CORNERS ASSOCIATION</t>
  </si>
  <si>
    <t>NEAR SOUTH PLANNING BOARD</t>
  </si>
  <si>
    <t>LINCOLN SQUARE RAVENSWOOD CHAMBER OF COMMERCE</t>
  </si>
  <si>
    <t>EDGEBROOK SAUGANASH CHAMBER OF COMMERCE</t>
  </si>
  <si>
    <t>WOMEN'S BUSINESS DEVELOPMENT CENTER</t>
  </si>
  <si>
    <t>WEST CENTRAL ASSOCIATION|CLEANED-UP</t>
  </si>
  <si>
    <t>SCORE CHICAGO</t>
  </si>
  <si>
    <t>EDGEWATER DEVELOPMENT CORP 01</t>
  </si>
  <si>
    <t>95TH ST BEVERLY HILLS BUSINESS ASSOCIATION</t>
  </si>
  <si>
    <t>OLD TOWN MERCHANTS &amp; RESIDENTS</t>
  </si>
  <si>
    <t>ANDERSONVILLE CHAMBER OF COMMERCE</t>
  </si>
  <si>
    <t>EDISON PARK CHAMBER OF COMM</t>
  </si>
  <si>
    <t>POLISH AMERICAN CHAMBER OF COMMERCE</t>
  </si>
  <si>
    <t>RIVER NORTH ASSOCICATION LIMITED</t>
  </si>
  <si>
    <t>WEST RIDGE CHAMBER OF COMMERCE</t>
  </si>
  <si>
    <t>WOODLAWN CHAMBER OF COMMERCE</t>
  </si>
  <si>
    <t>SOUTHEAST CHICAGO COMMISION</t>
  </si>
  <si>
    <t>BELMONT-CENTRAL CHAMBER OF COMMERCE</t>
  </si>
  <si>
    <t>LAKEVIEW EAST CHAM OF COMMERCE|CLEANED-UP</t>
  </si>
  <si>
    <t>SOUTH LOOP CHAMBER OF COMMERCE|CLEANED-UP</t>
  </si>
  <si>
    <t>SOUTH SHORE CHAMBER COMMUNITY DEVELOPMENT</t>
  </si>
  <si>
    <t>51ST STREET BUSINESS ASSOCIATI</t>
  </si>
  <si>
    <t>LOGAN SQUARE CHAMBER OF COMM</t>
  </si>
  <si>
    <t>UPTOWN OF CHAMBER OF COMMERCE</t>
  </si>
  <si>
    <t>JEFFERSON PARK CHAMBER OF COMMERCE|CLEANED-UP</t>
  </si>
  <si>
    <t>MORGAN PARK/BEVERLY HILLS</t>
  </si>
  <si>
    <t>36SQUARED BUSINESS INCUBATOR</t>
  </si>
  <si>
    <t>LITTLE VILLAGE COMMUNITY FOUNDATION</t>
  </si>
  <si>
    <t>WICKER PARK BUCKTOWN CHAMBER OF COMMERCE</t>
  </si>
  <si>
    <t>NORTHALSTED AREA MERCHANTS ASSOCIATION</t>
  </si>
  <si>
    <t>LAWNDALE CHRISTIAN DEVELOPMENTCORPORATION</t>
  </si>
  <si>
    <t>WEST TOWN CHICAGO CHAMBER OF COMMERCE</t>
  </si>
  <si>
    <t>PULASKI-ELSTON BUSINESS ASSOCIATION</t>
  </si>
  <si>
    <t>NORTHWEST CONNECTION CHAMBER</t>
  </si>
  <si>
    <t>INDUSTRIAL COUNCIL OF NEAR WEST CHICAGO</t>
  </si>
  <si>
    <t>URBAN WARRIORS YOUTH COMMUNITY</t>
  </si>
  <si>
    <t>HARMONY INTERNATIONAL DEVELOPMENT</t>
  </si>
  <si>
    <t>GENDELL PARTNERS-MOUNT GREENWOOD</t>
  </si>
  <si>
    <t>JEWISH CHILD &amp; FAMILY SERVICES</t>
  </si>
  <si>
    <t>COOK COUNTY SHERIFF</t>
  </si>
  <si>
    <t>BOARD OF TRUSTEES OF THE UNIV OF ILLINOIS</t>
  </si>
  <si>
    <t>I O SOLUTIONS</t>
  </si>
  <si>
    <t>LESTER &amp; ROSALIE ANIXTER CENTER</t>
  </si>
  <si>
    <t>DPS DELEGATE AGENCY</t>
  </si>
  <si>
    <t>CZL PC</t>
  </si>
  <si>
    <t>YOUTH OUTREACH SERVICES</t>
  </si>
  <si>
    <t>JAMES JANKOWIAK</t>
  </si>
  <si>
    <t>APPAREL INDUSTRY FOUNDATION</t>
  </si>
  <si>
    <t>FRIENDS OF LAKEVIEW</t>
  </si>
  <si>
    <t>BRAVO 422</t>
  </si>
  <si>
    <t>HELEN E CEJTIN</t>
  </si>
  <si>
    <t>UPSIDE DOWN CONSULTING</t>
  </si>
  <si>
    <t>MANUFACTURING RENAISSANCE</t>
  </si>
  <si>
    <t>THE WORKING WORLD</t>
  </si>
  <si>
    <t>URBAN HOMESTEADING ASSISTANCE (U-HAB)</t>
  </si>
  <si>
    <t>DEMOCRACY AT WORK INSTITUTE</t>
  </si>
  <si>
    <t>CUTTING EDGE COUNSEL</t>
  </si>
  <si>
    <t>TREND COMMUNITY DEVELOPMENT</t>
  </si>
  <si>
    <t>URBAN GROWERS COLLECTIVE</t>
  </si>
  <si>
    <t>MULTIPLIER</t>
  </si>
  <si>
    <t>CAPITAL FOR COMMUNITIES</t>
  </si>
  <si>
    <t>CENTRO DE TRABAJADORES UNIDOS UNITED WORKERS CENTER</t>
  </si>
  <si>
    <t>NEAR NORTH HEALTH SERVICE</t>
  </si>
  <si>
    <t>MARZLET LLC DBA THATTU</t>
  </si>
  <si>
    <t>SOUTHERN CHICAGO</t>
  </si>
  <si>
    <t>AUBURN GRESHAM APARTMENTS LP</t>
  </si>
  <si>
    <t>MONTROSE &amp; CLARENDON</t>
  </si>
  <si>
    <t>FEDERAL AVIATION ADMINISTRATION</t>
  </si>
  <si>
    <t>EVERGREENE PAINTING STUDIOS</t>
  </si>
  <si>
    <t>GUISEPPA DICESARE C/O ENSEMBLE ESPANOL</t>
  </si>
  <si>
    <t>NATIONAL ABLE NETWORK</t>
  </si>
  <si>
    <t>SENIOR SUITES CHICAGO KELVYN</t>
  </si>
  <si>
    <t>REBUILDING TOGETHER METRO CHICAGO</t>
  </si>
  <si>
    <t>HEARST COMMUNITY ORGANIZATION</t>
  </si>
  <si>
    <t>ALLIED DEVELOPMENT OF CHICAGO</t>
  </si>
  <si>
    <t>LINCOLN PARK CHAMBER OF COMMERCE</t>
  </si>
  <si>
    <t>ROSEMOOR COMMUNITY ASSOCIATION</t>
  </si>
  <si>
    <t>COUNCIL FOR JEWISH ELDERLY</t>
  </si>
  <si>
    <t>GREAT LAKES CREDIT UNION</t>
  </si>
  <si>
    <t>GREATER ENGLEWOOD CHAMBER FOUNDATION</t>
  </si>
  <si>
    <t>KID'Z COLONY DAYCARE</t>
  </si>
  <si>
    <t>METROPOLITAN FAMILY SERVICES</t>
  </si>
  <si>
    <t>FEDERACIÔøΩN DE CLUBES MICHOACANOS EN ILLINOIS</t>
  </si>
  <si>
    <t>CENTER FOR DISABILITY &amp; ELDER LAW</t>
  </si>
  <si>
    <t>JAMOKE</t>
  </si>
  <si>
    <t>1201 N CALIFORNIA 4PCT HHDC LP</t>
  </si>
  <si>
    <t>ABJ COMMUNITY SERVICES</t>
  </si>
  <si>
    <t>CHICAGO CONVENTION &amp; TOURISM BUREAU</t>
  </si>
  <si>
    <t>WESLEY CLARK</t>
  </si>
  <si>
    <t>JEFF ZIMMERMANN</t>
  </si>
  <si>
    <t>MUDDY WATERS MOJO MUSEUM</t>
  </si>
  <si>
    <t>HUMAN RESOURCES DEVELOPMENT INSTITUTE</t>
  </si>
  <si>
    <t>SHERMAN INVESTMENT GROUP</t>
  </si>
  <si>
    <t>LEVEL ARCHITECTURE INCORPORATED</t>
  </si>
  <si>
    <t>SPUTNIK ROASTERS</t>
  </si>
  <si>
    <t>BERNARD WILLIAMS</t>
  </si>
  <si>
    <t>SONJA HENDERSON</t>
  </si>
  <si>
    <t>STAGE 18</t>
  </si>
  <si>
    <t>CHICAGOLAND LABORERS' TRAINING &amp; APPRENTICE FUND</t>
  </si>
  <si>
    <t>A-KARRASEL GALEWOOD CHILDCARE</t>
  </si>
  <si>
    <t>INTERFAITH HOUSING DEVELOPMENT CORPORATION OF CHICAGO</t>
  </si>
  <si>
    <t>METROPOLITAN PLANNING COUNC 01</t>
  </si>
  <si>
    <t>GIRLS IN THE GAME NFP|CLEANED-UP</t>
  </si>
  <si>
    <t>THE MARTHA HHDC</t>
  </si>
  <si>
    <t>STANDARD LPC VENTURE LP</t>
  </si>
  <si>
    <t>SURTEES ECKHARDT WOOLSEY &amp; BLIZNICK LLC DBA SLIDESHOW GEL</t>
  </si>
  <si>
    <t>14 FORTY ENTERPRISE</t>
  </si>
  <si>
    <t>POLICE EXECUTIVE RESEARCH FORUM</t>
  </si>
  <si>
    <t>BACK OF THE YARDS ALGAE SCIENCES</t>
  </si>
  <si>
    <t>C-STRATEGIES</t>
  </si>
  <si>
    <t>OPERATION HOPE</t>
  </si>
  <si>
    <t>OAK PARK REGIONAL HOUSING CENTER</t>
  </si>
  <si>
    <t>CATHOLIC BISHOP OF CHICAGO - HOLY CROSS IMMACULATE HEART OF MARY</t>
  </si>
  <si>
    <t>LOST BOYZ</t>
  </si>
  <si>
    <t>ROGERS PARK COMM DEV</t>
  </si>
  <si>
    <t>LOCAL INITIATIVES SUPPORT</t>
  </si>
  <si>
    <t>COALITION FOR A BETTER CHINESE AMERICAN COMMUNITY</t>
  </si>
  <si>
    <t>RESILIENCE PARTNERS NFP</t>
  </si>
  <si>
    <t>CHICAGO LOOP ALLIANCE</t>
  </si>
  <si>
    <t>GREATER ENGLEWOOD COMMUNITY DEVELOPMENT</t>
  </si>
  <si>
    <t>SYLVESTER BROOME EMPOWERMENT VILLAGE</t>
  </si>
  <si>
    <t>WHP-IID</t>
  </si>
  <si>
    <t>NATIONAL MUSEUM OF MEXICAN ART</t>
  </si>
  <si>
    <t>PROJECT SYNCERE</t>
  </si>
  <si>
    <t>OMRUN PROPERTY</t>
  </si>
  <si>
    <t>WORLD BUSINESS CHICAGO|CLEANED-UP</t>
  </si>
  <si>
    <t>ERIKSON INSTITUTE</t>
  </si>
  <si>
    <t>JARRELL WASHINGTON PARK</t>
  </si>
  <si>
    <t>HYDE PARK BEACH APARTMENTS</t>
  </si>
  <si>
    <t>MARINAS CAFE</t>
  </si>
  <si>
    <t>FAIR &amp; IMPARTAIL POLICING</t>
  </si>
  <si>
    <t>GREENCORPS CHICAGO NFP</t>
  </si>
  <si>
    <t>DEPT OF ECONOMIC DEVELOPMENT</t>
  </si>
  <si>
    <t>STEPS INC CONSULTING</t>
  </si>
  <si>
    <t>COMFORT TEETH-PILSEN</t>
  </si>
  <si>
    <t>NOBODY'S DARLING</t>
  </si>
  <si>
    <t>BLOOD ORANGE LOCAL</t>
  </si>
  <si>
    <t>APOLOGUE</t>
  </si>
  <si>
    <t>MIDWAY AIRLINES' TERMINAL</t>
  </si>
  <si>
    <t>HAUSWIRTH</t>
  </si>
  <si>
    <t>MGPG EVENTS</t>
  </si>
  <si>
    <t>NAFSI</t>
  </si>
  <si>
    <t>OSV LLLP DBA 203 E 75TH ST</t>
  </si>
  <si>
    <t>TINYSHOP</t>
  </si>
  <si>
    <t>MUSIC &amp; DANCE THEATER CHICAGO</t>
  </si>
  <si>
    <t>KATHERINE ANNE CONFECTIONS</t>
  </si>
  <si>
    <t>YU &amp; ASSOCIATES COLLABORATIVE</t>
  </si>
  <si>
    <t>SARAH'S ON LAKESIDELLC</t>
  </si>
  <si>
    <t>PRAIRIE STATE LEGAL SERVICES</t>
  </si>
  <si>
    <t>ASE HOLISTIC HOUSE</t>
  </si>
  <si>
    <t>ONE ON ONE</t>
  </si>
  <si>
    <t>AUSTIN CHAMBER OF COMMERCE DEV</t>
  </si>
  <si>
    <t>QUALITY PLUS CARE INC DBA HEROES HOME HEALTH</t>
  </si>
  <si>
    <t>STREET SAMARITANS</t>
  </si>
  <si>
    <t>DAMON LAMAR REED</t>
  </si>
  <si>
    <t>SOUTH CHICAGO PARENTS &amp; FRIENDS</t>
  </si>
  <si>
    <t>BERNARD WILLIAMS 01</t>
  </si>
  <si>
    <t>NAVILLUS WOODWORKS</t>
  </si>
  <si>
    <t>A LONG WALK HOME</t>
  </si>
  <si>
    <t>CHICAGO COMMISSION ON HUMAN RELATIONS</t>
  </si>
  <si>
    <t>EXPERIMENTAL STATION: 6100 BLACKSTONE</t>
  </si>
  <si>
    <t>COMMUNITY OPPORTUNITY FUNDS</t>
  </si>
  <si>
    <t>JUNETEENTH FAMILY FESTIVAL</t>
  </si>
  <si>
    <t>THE WOODLAWN</t>
  </si>
  <si>
    <t>COMMUNITY INVESTMENT</t>
  </si>
  <si>
    <t>YIN HE DANCE</t>
  </si>
  <si>
    <t>FORTY ACRES FRESH MARKET</t>
  </si>
  <si>
    <t>CPAT DISTRIBUTION</t>
  </si>
  <si>
    <t>KLEO COMMUNITY FAMILY LIFE CENTER|CLEANED-UP</t>
  </si>
  <si>
    <t>DEARBORN REAL ESTATE BOARD</t>
  </si>
  <si>
    <t>UCHICAGO ARGONNE</t>
  </si>
  <si>
    <t>EBENEZER MISSIONARY BAPTIST CH</t>
  </si>
  <si>
    <t>THE URBAN ALLIANCE FOUNDATION</t>
  </si>
  <si>
    <t>18TH STREET CASA DE CULTURA NFP</t>
  </si>
  <si>
    <t>CHRISTINE TARKOWSKI</t>
  </si>
  <si>
    <t>REFUGEE ACTION NETWORK</t>
  </si>
  <si>
    <t>PULASKI-ELSTON BUSINESS ASSOC</t>
  </si>
  <si>
    <t>ARISE CHICAGO</t>
  </si>
  <si>
    <t>CABRINI GREEN LEGAL AID CLINIC</t>
  </si>
  <si>
    <t>PRESERVATION OF AFFORDABLE HOUSING</t>
  </si>
  <si>
    <t>RESILIENCE</t>
  </si>
  <si>
    <t>MALCOLM X COLLEGE</t>
  </si>
  <si>
    <t>PILSEN ARTS &amp; COMMUNITY HOUSE</t>
  </si>
  <si>
    <t>REBIRTH GARMENTS</t>
  </si>
  <si>
    <t>88 PLATES</t>
  </si>
  <si>
    <t>JEFFERY JAVA &amp; JUICE WITH OLD FASHIONED DONUTS</t>
  </si>
  <si>
    <t>BY THE HAND CLUB FOR KIDS</t>
  </si>
  <si>
    <t>ABHIJEET RANE</t>
  </si>
  <si>
    <t>SITHUB DBA CHICAGOTHERAPY COLLECTIVE</t>
  </si>
  <si>
    <t>CAROL G JOHNSON/WESTSIDE CULTURAL ALLIANCE</t>
  </si>
  <si>
    <t>ORIGINAL SIXTY FOURTH STREET BEACH</t>
  </si>
  <si>
    <t>NEAR NORTHWEST ARTS COUNCIL</t>
  </si>
  <si>
    <t>CUATRO HERMANOS LIMITED LIABILITY</t>
  </si>
  <si>
    <t>RIVERS AND ROADS PROVISIONS</t>
  </si>
  <si>
    <t>DR PEDRO ALBIZA CAMPOS PUERTO RICAN HIGH SCHOOL</t>
  </si>
  <si>
    <t>FLOATING COLLECTIVE</t>
  </si>
  <si>
    <t>RODRIGO LARA ZENDEJAS</t>
  </si>
  <si>
    <t>MHLI FBO THE KENNEDY FORUM IL</t>
  </si>
  <si>
    <t>SUNGJAE LEE</t>
  </si>
  <si>
    <t>MARK BANKS</t>
  </si>
  <si>
    <t>DAVID JOHN MILLER</t>
  </si>
  <si>
    <t>SOCIAL SIMULATOR</t>
  </si>
  <si>
    <t>CAROL FOX &amp; ASSOCIATES</t>
  </si>
  <si>
    <t>COWAN DEBAETS ABRAHAMS &amp; SHEPPARD</t>
  </si>
  <si>
    <t>AVERY YOUNG</t>
  </si>
  <si>
    <t>THE ATTICUS GRAHAM GROUP</t>
  </si>
  <si>
    <t>DOMINIQUE BOYD</t>
  </si>
  <si>
    <t>PRINCIPLE BARBERS</t>
  </si>
  <si>
    <t>LITTLE VILLAGE ENVIRONMENTAL J</t>
  </si>
  <si>
    <t>WONDERLAND CHILD CARE CENTER</t>
  </si>
  <si>
    <t>ACADEMY FOR GLOBAL CITIZENSHIP CHARTER SCHOOL</t>
  </si>
  <si>
    <t>BURST INTO BOOKS</t>
  </si>
  <si>
    <t>CHICAGO SHAKESPEARE THEATER</t>
  </si>
  <si>
    <t>NEAR NORTH PLANNING BOARD</t>
  </si>
  <si>
    <t>MIDWAY BROADCASTING</t>
  </si>
  <si>
    <t>MICHAELS COMMUNITY SERVICES CORPORATION DBA BETTER TOMORROWS</t>
  </si>
  <si>
    <t>LAWYERS FOR THE CREATIVE ARTS</t>
  </si>
  <si>
    <t>AMER INDIAN HEALTH SERVICE OF CHICAGO</t>
  </si>
  <si>
    <t>ILLINOIS HISPANIC CHAMBER OF COMMERCE (IHCC) COMMERCE</t>
  </si>
  <si>
    <t>UPRISING THEATER</t>
  </si>
  <si>
    <t>THOMAS BRAVOS</t>
  </si>
  <si>
    <t>SCOTT FREE</t>
  </si>
  <si>
    <t>CHIH-JOU CHENG</t>
  </si>
  <si>
    <t>TOM CALLAHAN</t>
  </si>
  <si>
    <t>CUMBERLAND ACQUISITION</t>
  </si>
  <si>
    <t>NATHALIE GALDE</t>
  </si>
  <si>
    <t>ENTRENUITY</t>
  </si>
  <si>
    <t>SAMUEL CANTOR</t>
  </si>
  <si>
    <t>TERESITA CARSON</t>
  </si>
  <si>
    <t>METROPOLITAN CHICAGO BREAST CANCER TASK FORCE</t>
  </si>
  <si>
    <t>RESPIRATORY HEALTH ASSOCIATION OF METROPOLITAN CHICAGO</t>
  </si>
  <si>
    <t>DEBORAH GOODMAN</t>
  </si>
  <si>
    <t>NANAE FUJIWARA</t>
  </si>
  <si>
    <t>ELISE COWIN</t>
  </si>
  <si>
    <t>RENATO CERON</t>
  </si>
  <si>
    <t>PROJECT DANZTHEATRE</t>
  </si>
  <si>
    <t>CHICAGO COLLECTIONS CONSORTIUM INC NFP</t>
  </si>
  <si>
    <t>CHARLES HARRIS</t>
  </si>
  <si>
    <t>ALT SPACE CHICAGO</t>
  </si>
  <si>
    <t>LOYOLA UNIVERSITY CHICAGO</t>
  </si>
  <si>
    <t>CITY COLLEGES OF CHICAGO 01</t>
  </si>
  <si>
    <t>ILLINOIS HOUSING DEVELOPMENT AUTHORITY</t>
  </si>
  <si>
    <t>THOMAS STREET PARTNERS</t>
  </si>
  <si>
    <t>WESTYARD CORPORATION DBA SUNSHINE'S PLACE</t>
  </si>
  <si>
    <t>CONSTANCE WILLOUGHBY</t>
  </si>
  <si>
    <t>SARAH MARITZA HERNANDEZ</t>
  </si>
  <si>
    <t>JORDAN HOLMES</t>
  </si>
  <si>
    <t>STEVEN WHITE</t>
  </si>
  <si>
    <t>AFRICAN AMERICAN ART</t>
  </si>
  <si>
    <t>DAVID VOSBURG</t>
  </si>
  <si>
    <t>CANDACE HUNTER</t>
  </si>
  <si>
    <t>JACOB SLOCUM</t>
  </si>
  <si>
    <t>ERIN STEWART</t>
  </si>
  <si>
    <t>MECHIYA JAMISON</t>
  </si>
  <si>
    <t>BENJAMIN LAROSE</t>
  </si>
  <si>
    <t>ARMAN SANGALANG</t>
  </si>
  <si>
    <t>BRIAN MARTINEZ</t>
  </si>
  <si>
    <t>MONTERNEZ REZELL</t>
  </si>
  <si>
    <t>CECILE SAVAGE</t>
  </si>
  <si>
    <t>JASPER NOLAND</t>
  </si>
  <si>
    <t>LEAH RAIDT</t>
  </si>
  <si>
    <t>MADELINE MORGAN</t>
  </si>
  <si>
    <t>KELLY MCKAIG</t>
  </si>
  <si>
    <t>CARISA MITCHELL</t>
  </si>
  <si>
    <t>TOTALLY POSITIVE PRODUCTIONS</t>
  </si>
  <si>
    <t>PAINT THE CITY</t>
  </si>
  <si>
    <t>RUTH PAGE FOUNDATION</t>
  </si>
  <si>
    <t>PERCEPTIONS THEATRE</t>
  </si>
  <si>
    <t>LUMINARTS CULTURAL FOUNDATION</t>
  </si>
  <si>
    <t>THEATRE Y</t>
  </si>
  <si>
    <t>CREATIVE CHICAGO REUSE EXCHANGE</t>
  </si>
  <si>
    <t>LATTITUDE INC NFP</t>
  </si>
  <si>
    <t>CHICAGO CULTURAL ALLIANCE</t>
  </si>
  <si>
    <t>ARTS &amp; BUSINESS COUNCIL OF CHICAGO</t>
  </si>
  <si>
    <t>CHICAGO CULTURAL ACCESSIBILITY CONSORTIUM</t>
  </si>
  <si>
    <t>BLACK ALPHABET NFP</t>
  </si>
  <si>
    <t>PULLMAN ARTS</t>
  </si>
  <si>
    <t>MEZCLA MEDIA COLLECTIVE</t>
  </si>
  <si>
    <t>ALLIANCECHICAGO</t>
  </si>
  <si>
    <t>URBAN CANOPY</t>
  </si>
  <si>
    <t>LITTLE SPACE</t>
  </si>
  <si>
    <t>ZEPHYR DANCE ENSEMBLE</t>
  </si>
  <si>
    <t>THE JOY OF KIDS COOKING</t>
  </si>
  <si>
    <t>HEALTH MANAGEMENT ASSOCIATESINCOFIL</t>
  </si>
  <si>
    <t>ROME IN A DAY PRODUCTIONS CHICAGO</t>
  </si>
  <si>
    <t>LUMA8</t>
  </si>
  <si>
    <t>CHICAGO ARCHITECTURE FOUNDATION</t>
  </si>
  <si>
    <t>BLUES HEAVEN FOUNDATION</t>
  </si>
  <si>
    <t>R &amp; M CONSULTING</t>
  </si>
  <si>
    <t>JOYNER REAL ESTATE</t>
  </si>
  <si>
    <t>YVETTE MAYORGA</t>
  </si>
  <si>
    <t>STERLING PRICE</t>
  </si>
  <si>
    <t>IGC</t>
  </si>
  <si>
    <t>MUSEUM OF CONTEMPORARY ART</t>
  </si>
  <si>
    <t>SKY PEOPLE ENTERTAINMENT</t>
  </si>
  <si>
    <t>SCULPTURE PARK</t>
  </si>
  <si>
    <t>THEASTER GATES STUDIOS</t>
  </si>
  <si>
    <t>BELOVED COMMUNITY FAMILY WELLNESS CENTER</t>
  </si>
  <si>
    <t>NORTHWESTERN MEMORIAL HOSPITAL</t>
  </si>
  <si>
    <t>HOOKED ON FISH</t>
  </si>
  <si>
    <t>KADEN'S COMMONS</t>
  </si>
  <si>
    <t>4715 N WESTERN OWNER</t>
  </si>
  <si>
    <t>TCB DEVELOPMENT SERVICES</t>
  </si>
  <si>
    <t>ENCUENTRO SQUARE II LP</t>
  </si>
  <si>
    <t>ILLINOIS CRIMINAL JUSTICE</t>
  </si>
  <si>
    <t>CIVL NFP</t>
  </si>
  <si>
    <t>DONORS FORUM OF CHICAGO 01|CLEANED-UP</t>
  </si>
  <si>
    <t>NATIONAL OPINION RESEARCH CENTER UNIV OF CHICAGO/CONTRACTS &amp; GRANT</t>
  </si>
  <si>
    <t>NO SMALL PLAN PRODUCTIONS</t>
  </si>
  <si>
    <t>EKENE IJEOMA</t>
  </si>
  <si>
    <t>NORMAN KELLEY</t>
  </si>
  <si>
    <t>THE GROVE ON 66TH</t>
  </si>
  <si>
    <t>FIREHOUSE COMMUNITY ARTS CENTER OF CHICAGO</t>
  </si>
  <si>
    <t>SOMOS ARTE NFP</t>
  </si>
  <si>
    <t>C40 PRESERVATION ASSOCIATES LP</t>
  </si>
  <si>
    <t>43RD AND PRAIRIE PHASE II LP</t>
  </si>
  <si>
    <t>MIKK CONSTRUCTION AND DEVELOPERS</t>
  </si>
  <si>
    <t>BWF CONSTRUCTION</t>
  </si>
  <si>
    <t>DARDON CONSTRUCTION</t>
  </si>
  <si>
    <t>BLACKROCK CONSTRUCTION SERVICES</t>
  </si>
  <si>
    <t>TBI CONTRACTORS</t>
  </si>
  <si>
    <t>COOK COUNTY CONTROLLER</t>
  </si>
  <si>
    <t>CRISTOBAL ALDAY</t>
  </si>
  <si>
    <t>STICKS CHICAGO</t>
  </si>
  <si>
    <t>SILVER ROOM SOUND SYSTEM BLOCK PARTY</t>
  </si>
  <si>
    <t>8700 BUILDING</t>
  </si>
  <si>
    <t>CENTER FOR LABOR &amp; COMMUNITY RESEARCH</t>
  </si>
  <si>
    <t>WINDY CITY HABITAT FOR HUMANITY</t>
  </si>
  <si>
    <t>GUNNISON STREET LOFTS CONDOMINIUM</t>
  </si>
  <si>
    <t>BLACK CONTRACTORS OWNERS AND EXECUTIVES</t>
  </si>
  <si>
    <t>WINDY CITY FADEZ</t>
  </si>
  <si>
    <t>CHICAGO TRANSITY AUTHORITY</t>
  </si>
  <si>
    <t>CHICAGO ARCHITECTURE BIENNIAL</t>
  </si>
  <si>
    <t>METROPOLITAN WATER RECLAMATION OF GREATER CHICAGO</t>
  </si>
  <si>
    <t>WG TAVERN LLC DBA WHISKEY GIRL TAVERN</t>
  </si>
  <si>
    <t>A C MOTEL</t>
  </si>
  <si>
    <t>JUAN A CHAVEZ</t>
  </si>
  <si>
    <t>BRIDGE TO FREEDOM</t>
  </si>
  <si>
    <t>ALFONSO NIEVES</t>
  </si>
  <si>
    <t>MICHELLE BILLINGSLEY MUSIC</t>
  </si>
  <si>
    <t>PHILLIP KEEFE</t>
  </si>
  <si>
    <t>JAKINA HILL</t>
  </si>
  <si>
    <t>OLALEKAN JEYIFOUS</t>
  </si>
  <si>
    <t>ANDREA ZIDEK</t>
  </si>
  <si>
    <t>SOJOURNER WRIGHT</t>
  </si>
  <si>
    <t>LINDSEY THORNTON</t>
  </si>
  <si>
    <t>CAROLINE RODRIGUEZ</t>
  </si>
  <si>
    <t>JASMIN TAYLOR</t>
  </si>
  <si>
    <t>NICKOLAS KAPLAN</t>
  </si>
  <si>
    <t>RAYMI SMITH</t>
  </si>
  <si>
    <t>DAVID WANG</t>
  </si>
  <si>
    <t>MOSI KAMAU</t>
  </si>
  <si>
    <t>CYNTHIA'S GUMBO EXPRESS</t>
  </si>
  <si>
    <t>PEOPLE MATTER</t>
  </si>
  <si>
    <t>VECTOR CUSTOM FABRICATING</t>
  </si>
  <si>
    <t>CIVICLAB</t>
  </si>
  <si>
    <t>THE SOUTHWEST COLLECTIVE</t>
  </si>
  <si>
    <t>NORTH RIVER COMMISSION\LAWRENCE</t>
  </si>
  <si>
    <t>LIT FEELINGS</t>
  </si>
  <si>
    <t>ARCHI-TREASURES ASSOCIATION</t>
  </si>
  <si>
    <t>JONES DAWN R</t>
  </si>
  <si>
    <t>BONNIE TAYLOR-WILLIAMS</t>
  </si>
  <si>
    <t>LARRY TCHOGNINOU</t>
  </si>
  <si>
    <t>NICOLE NOLAND</t>
  </si>
  <si>
    <t>JASON VICTOR ROBERTS</t>
  </si>
  <si>
    <t>AVIYA KUSHNER</t>
  </si>
  <si>
    <t>TANDRA HAWKINS</t>
  </si>
  <si>
    <t>CASEY HANBURY</t>
  </si>
  <si>
    <t>EARL SUICO</t>
  </si>
  <si>
    <t>JULIAN STROOP</t>
  </si>
  <si>
    <t>MARYLU HERRERA</t>
  </si>
  <si>
    <t>ROSALBA VALDEZ</t>
  </si>
  <si>
    <t>LARRY T HILL</t>
  </si>
  <si>
    <t>DANIEL STRACK</t>
  </si>
  <si>
    <t>NAILAH STEVENSON</t>
  </si>
  <si>
    <t>BRIANA JOHNSON</t>
  </si>
  <si>
    <t>KARA JOHNSON</t>
  </si>
  <si>
    <t>CHLOE JOHNSON</t>
  </si>
  <si>
    <t>WHITNEY JOHNSON</t>
  </si>
  <si>
    <t>ARIEL ZETINA</t>
  </si>
  <si>
    <t>FAMILY GUIDANCE CENTERS INC|CLEANED-UP</t>
  </si>
  <si>
    <t>AMINA DREESSEN</t>
  </si>
  <si>
    <t>MAYA HORTON</t>
  </si>
  <si>
    <t>JERRELL HENDERSON</t>
  </si>
  <si>
    <t>KHOSRO A BEIK</t>
  </si>
  <si>
    <t>ADRIAN DAVIS</t>
  </si>
  <si>
    <t>DIANA HINOJOSA</t>
  </si>
  <si>
    <t>KEVIN WEIL</t>
  </si>
  <si>
    <t>CHARLES HONEYWOOD</t>
  </si>
  <si>
    <t>JAMES HOSKING</t>
  </si>
  <si>
    <t>JASON HOWARD</t>
  </si>
  <si>
    <t>JENNIFER HODGES</t>
  </si>
  <si>
    <t>ANDREA JABLONSKI</t>
  </si>
  <si>
    <t>MICHAEL HOYT</t>
  </si>
  <si>
    <t>ALANA THOMPSON</t>
  </si>
  <si>
    <t>JOHN WALT</t>
  </si>
  <si>
    <t>NON: OP OPEN OPERA WORKS</t>
  </si>
  <si>
    <t>BARON PARTNERSHIP</t>
  </si>
  <si>
    <t>CHICAGO INDUSTRIAL ARTS &amp; DESIGN CENTER</t>
  </si>
  <si>
    <t>MUSIC IN URBAN SCHOOLS INSPIRING CHANGE</t>
  </si>
  <si>
    <t>INSIGHT CHICAGO</t>
  </si>
  <si>
    <t>FOOD HERO L3C</t>
  </si>
  <si>
    <t>DISHROULETTE KITCHEN NFP</t>
  </si>
  <si>
    <t>E G WOODE L3C</t>
  </si>
  <si>
    <t>FAMILYFARMED ORG</t>
  </si>
  <si>
    <t>VOLUNTEERS OF AMERICA OF ILLINOIS</t>
  </si>
  <si>
    <t>JACKIE JACKSON BIRTHRIGHTS</t>
  </si>
  <si>
    <t>BEYOND LEGAL AID</t>
  </si>
  <si>
    <t>PROP THEATRE GROUP</t>
  </si>
  <si>
    <t>DAL NIENTE NEW MUSIC NFP</t>
  </si>
  <si>
    <t>NORFOLK SOUTHERN RAILWAY</t>
  </si>
  <si>
    <t>ARTHUR BLACK</t>
  </si>
  <si>
    <t>JASON ROEBKE</t>
  </si>
  <si>
    <t>MATT FERGUSON</t>
  </si>
  <si>
    <t>OLIVE STEFANSKI</t>
  </si>
  <si>
    <t>JAKE HAWRYLAK</t>
  </si>
  <si>
    <t>SADIE ROGERS</t>
  </si>
  <si>
    <t>JORDYN HARRISON</t>
  </si>
  <si>
    <t>JILLIAN GRYZLAK</t>
  </si>
  <si>
    <t>RHONDA GRAY</t>
  </si>
  <si>
    <t>SPUDNIK PRESS COOPERATIVE</t>
  </si>
  <si>
    <t>CENTRAL AMERICAN MARTYRS CENTER /SU CASA</t>
  </si>
  <si>
    <t>SHALOM PARKER</t>
  </si>
  <si>
    <t>UHURU SHULE COOPERATIVE</t>
  </si>
  <si>
    <t>CEDAR CONCEPTS</t>
  </si>
  <si>
    <t>SYLVAIN STUDIOS</t>
  </si>
  <si>
    <t>DONNIE SEALS</t>
  </si>
  <si>
    <t>JOSE CARRASQUILLO 01</t>
  </si>
  <si>
    <t>ISAAC COUCH</t>
  </si>
  <si>
    <t>NEW ROOTS</t>
  </si>
  <si>
    <t>SHAMEER GOSS</t>
  </si>
  <si>
    <t>BRITEPATH CONSULTING</t>
  </si>
  <si>
    <t>NEW MUSIC CHICAGO</t>
  </si>
  <si>
    <t>AMERICAN INDIAN CENTER</t>
  </si>
  <si>
    <t>CHRISTOPHER COSNOWSKI</t>
  </si>
  <si>
    <t>IHEARTMEDIA</t>
  </si>
  <si>
    <t>CHRIS RENTERIA</t>
  </si>
  <si>
    <t>MATTHEW DAVIS</t>
  </si>
  <si>
    <t>ELISE GLILCKMAN</t>
  </si>
  <si>
    <t>ORLANDO A RUIZ</t>
  </si>
  <si>
    <t>ANDERS ZANICHKOWSKY</t>
  </si>
  <si>
    <t>MARIA CHARIN ALVAREZ</t>
  </si>
  <si>
    <t>CANDACE BREEDLOVE</t>
  </si>
  <si>
    <t>JEN ELOS REYES</t>
  </si>
  <si>
    <t>SUPERLATIVE GROUP</t>
  </si>
  <si>
    <t>GERARDO A CAZARES</t>
  </si>
  <si>
    <t>CHICAGO ARTS &amp; MUSIC PROJECT</t>
  </si>
  <si>
    <t>CENTER FOR NATIVE FUTURES</t>
  </si>
  <si>
    <t>BANDWITH MUSIC</t>
  </si>
  <si>
    <t>CHICAGO DANCE CRASH</t>
  </si>
  <si>
    <t>CHICAGO BALINESE GAMELAN</t>
  </si>
  <si>
    <t>CHICAGO FILM SOCIETY</t>
  </si>
  <si>
    <t>CIVIC PROJECTS ARCHITECTURE</t>
  </si>
  <si>
    <t>GLORIA LRIVERA CREATIVE STUDIOS</t>
  </si>
  <si>
    <t>CHICAGO GAY MEN'S CHORUS</t>
  </si>
  <si>
    <t>AUDITORIUM THEATRE/ROOSEVELT</t>
  </si>
  <si>
    <t>AFRICAN AMERICAN MUSEUM OF THE PERFORMING ARTS</t>
  </si>
  <si>
    <t>HARRISON RESOURCE CENTER INCORPORATED</t>
  </si>
  <si>
    <t>BRIGHTON PARK NEIGHBORHOOD COUNCIL</t>
  </si>
  <si>
    <t>CRYSTAL BARNES</t>
  </si>
  <si>
    <t>RAMI ATASSI</t>
  </si>
  <si>
    <t>KYLE CHURNEY</t>
  </si>
  <si>
    <t>WRIGHT GATEWOOD</t>
  </si>
  <si>
    <t>GABRIEL CHALFIN-PINEY</t>
  </si>
  <si>
    <t>MEGAN DOHERTY</t>
  </si>
  <si>
    <t>EDUARDO CINTRON</t>
  </si>
  <si>
    <t>MARITZA CERVANTES</t>
  </si>
  <si>
    <t>ALVIN COBB JR</t>
  </si>
  <si>
    <t>LAUREN DEUTSCH</t>
  </si>
  <si>
    <t>SARA CONDO</t>
  </si>
  <si>
    <t>ESTEPHANY GUZMAN</t>
  </si>
  <si>
    <t>TODD BARRERA DISLER</t>
  </si>
  <si>
    <t>LINNEA FRYE</t>
  </si>
  <si>
    <t>SHARYON A CULBERSON</t>
  </si>
  <si>
    <t>ELODIE EDJANG MENGUEME</t>
  </si>
  <si>
    <t>SURYA SWILLEY</t>
  </si>
  <si>
    <t>NADIA FRIERSON</t>
  </si>
  <si>
    <t>PAUL A BRANTON</t>
  </si>
  <si>
    <t>EMMA FRANKS</t>
  </si>
  <si>
    <t>INDIRA JOHNSON</t>
  </si>
  <si>
    <t>CHRISTINE FORNI</t>
  </si>
  <si>
    <t>NANETTE FRANK</t>
  </si>
  <si>
    <t>CARLOS FLORES 01</t>
  </si>
  <si>
    <t>JOHN FLOYD</t>
  </si>
  <si>
    <t>MELANIE VITATERNA</t>
  </si>
  <si>
    <t>LUCY CARAPETYAN</t>
  </si>
  <si>
    <t>EMLYN BEAN</t>
  </si>
  <si>
    <t>CRISTALLE BOWEN</t>
  </si>
  <si>
    <t>ALYSHA MCELROY-HODGES</t>
  </si>
  <si>
    <t>ELIZABETH BJORNEBERG</t>
  </si>
  <si>
    <t>ELIZABETH BREIT</t>
  </si>
  <si>
    <t>CHICAGO HUMANITIES FESTIVAL 01</t>
  </si>
  <si>
    <t>NAOMI ASHLEY</t>
  </si>
  <si>
    <t>JOSE ENRIQUE GUZMAN BORRERO</t>
  </si>
  <si>
    <t>KENVONTA LEGGITT</t>
  </si>
  <si>
    <t>ROBERT LUNDBERG</t>
  </si>
  <si>
    <t>ZACHARY FINNEGAN</t>
  </si>
  <si>
    <t>LYNTUAN JONES</t>
  </si>
  <si>
    <t>TALIA KOYLASS</t>
  </si>
  <si>
    <t>FULLAMUSU BANGURA</t>
  </si>
  <si>
    <t>SADAF FERDOWSI</t>
  </si>
  <si>
    <t>CECLIE DEREL</t>
  </si>
  <si>
    <t>CHARLES CADKIN</t>
  </si>
  <si>
    <t>NICOLE ADAMS DBA THIRD EYE SWAG PRODUCTIONS</t>
  </si>
  <si>
    <t>LIAM MCDONALD</t>
  </si>
  <si>
    <t>RICARDO CANEDO MONDRAGON</t>
  </si>
  <si>
    <t>DANIELLE CASTONZO</t>
  </si>
  <si>
    <t>RUBEN CARRAZANA</t>
  </si>
  <si>
    <t>DANIELLE ANDRESS</t>
  </si>
  <si>
    <t>GILLIAN BUTCHER</t>
  </si>
  <si>
    <t>JACQUELINE BOWES</t>
  </si>
  <si>
    <t>JOSUE PELLOT</t>
  </si>
  <si>
    <t>CHRISTINA SEO</t>
  </si>
  <si>
    <t>SAMUEL MOSCHING</t>
  </si>
  <si>
    <t>MICHAEL MOSHER</t>
  </si>
  <si>
    <t>KATHERINE PETERSEN</t>
  </si>
  <si>
    <t>DAVID SINGER</t>
  </si>
  <si>
    <t>TULIKA LADSARIYA STUDIO</t>
  </si>
  <si>
    <t>SUZUKI-ORFF SCHOOL OF MUSIC 01</t>
  </si>
  <si>
    <t>RHEA THE SECOND (ASHLEY OTIS)</t>
  </si>
  <si>
    <t>CHRISTIAN LEE</t>
  </si>
  <si>
    <t>ALIA MONTIJO</t>
  </si>
  <si>
    <t>MARIA LETICIA MARTINEZ</t>
  </si>
  <si>
    <t>MIDWAY CHAMBER OF COMMERCE</t>
  </si>
  <si>
    <t>PRAIZE PRODUCTION INC NFP</t>
  </si>
  <si>
    <t>CALUMET COLLABORATIVE</t>
  </si>
  <si>
    <t>MIGUEL LEPE JR</t>
  </si>
  <si>
    <t>KRISTIN MCWHARTER</t>
  </si>
  <si>
    <t>SHAINA LUND</t>
  </si>
  <si>
    <t>MADE DYAH MINARNO</t>
  </si>
  <si>
    <t>LALEH KHOSHNAVAZ MOTLAGH</t>
  </si>
  <si>
    <t>ASHLEY MERRIWEATHER</t>
  </si>
  <si>
    <t>JANET RODRIGUEZ</t>
  </si>
  <si>
    <t>CYNTHIA MARTINEZ</t>
  </si>
  <si>
    <t>IAN DAMONT MARTIN</t>
  </si>
  <si>
    <t>KIYOE MATSUURA</t>
  </si>
  <si>
    <t>AYA NAKAMURA</t>
  </si>
  <si>
    <t>MARK NAGY</t>
  </si>
  <si>
    <t>MARISOL VELEZ</t>
  </si>
  <si>
    <t>RYAN MAYER</t>
  </si>
  <si>
    <t>MADISON MAY</t>
  </si>
  <si>
    <t>MICHELLE MAYNARD</t>
  </si>
  <si>
    <t>MARIO MENA</t>
  </si>
  <si>
    <t>BERT RICH</t>
  </si>
  <si>
    <t>ALLISON OROBIA</t>
  </si>
  <si>
    <t>DAVID NAKAZONO</t>
  </si>
  <si>
    <t>VICTORIA NASSIF</t>
  </si>
  <si>
    <t>SARAH NISHIURA</t>
  </si>
  <si>
    <t>ANDY ORTMANN</t>
  </si>
  <si>
    <t>BRUCE RILEY</t>
  </si>
  <si>
    <t>LEWIS RAWLINSON</t>
  </si>
  <si>
    <t>KATHRYN RAUTH</t>
  </si>
  <si>
    <t>JUSTIN REDDING</t>
  </si>
  <si>
    <t>JOSHUA ROSS</t>
  </si>
  <si>
    <t>LUIS RAMIREZ</t>
  </si>
  <si>
    <t>MONICA PIZANO</t>
  </si>
  <si>
    <t>JIL ROSS</t>
  </si>
  <si>
    <t>JOSEPH RAVENS</t>
  </si>
  <si>
    <t>ANNE BRUNELL</t>
  </si>
  <si>
    <t>JORDAN PORTER-WOODRUFF</t>
  </si>
  <si>
    <t>ANNA PISZEZOR</t>
  </si>
  <si>
    <t>ISRAEL PATE</t>
  </si>
  <si>
    <t>LETICIA PARDO ROJO</t>
  </si>
  <si>
    <t>ABIGAIL PIERCE</t>
  </si>
  <si>
    <t>JASMINE PARKS</t>
  </si>
  <si>
    <t>MICHAEL PAXTON</t>
  </si>
  <si>
    <t>LIVIU PASARE</t>
  </si>
  <si>
    <t>CHICAGO URBAN ART RETREAT CENTER</t>
  </si>
  <si>
    <t>RASHIDAH SALES</t>
  </si>
  <si>
    <t>JEWELLS SANTOS</t>
  </si>
  <si>
    <t>MECCA PERRY</t>
  </si>
  <si>
    <t>HIGH CONCEPT LABORATORIES</t>
  </si>
  <si>
    <t>LUCIANNE WALKOWICZ</t>
  </si>
  <si>
    <t>FAITH VON ATZIGEN</t>
  </si>
  <si>
    <t>WILLIAM SCHNEIDER</t>
  </si>
  <si>
    <t>AKENYA SEYMOUR</t>
  </si>
  <si>
    <t>JONATHAN VEGA</t>
  </si>
  <si>
    <t>JAERIN SON</t>
  </si>
  <si>
    <t>HOLLIE SMURTHWAITE</t>
  </si>
  <si>
    <t>OPERA MATIC NFP</t>
  </si>
  <si>
    <t>CHICAGO TORTURE JUSTICE MEMORIALS FOUNDATION</t>
  </si>
  <si>
    <t>KATHRYN SHIVAK</t>
  </si>
  <si>
    <t>ELEANOR SHARP</t>
  </si>
  <si>
    <t>OPEN CENTER FOR THE ARTS</t>
  </si>
  <si>
    <t>FIRST FLOOR THEATER</t>
  </si>
  <si>
    <t>CHICAGO DANCE UNITED</t>
  </si>
  <si>
    <t>LAMAJIAH SMITH</t>
  </si>
  <si>
    <t>NAYEON YANG</t>
  </si>
  <si>
    <t>WILLIS WEINSTEIN</t>
  </si>
  <si>
    <t>TERESA WHITE</t>
  </si>
  <si>
    <t>JEFFREY WOLF</t>
  </si>
  <si>
    <t>GERBER/HART LIBRARY &amp; ARCHIVES</t>
  </si>
  <si>
    <t>JAY ALAN YIM</t>
  </si>
  <si>
    <t>ROUGH HOUSE THEATER</t>
  </si>
  <si>
    <t>COLUMBIA COLLEGE-CHICAGO/GLASS CURTAIN GALLERY</t>
  </si>
  <si>
    <t>CHICAGO TAP THEATRE</t>
  </si>
  <si>
    <t>EXPERIMENTAL SOUND STUDIO</t>
  </si>
  <si>
    <t>GLOBAL GIRLS</t>
  </si>
  <si>
    <t>HYDE PARK YOUTH SYMPHONY</t>
  </si>
  <si>
    <t>CHICAGO INDEPENDENT RADIO PROJECT</t>
  </si>
  <si>
    <t>AMY WURTZ</t>
  </si>
  <si>
    <t>TBRM RESTAURANT GROUP</t>
  </si>
  <si>
    <t>CHICAGO OPERA THEATER</t>
  </si>
  <si>
    <t>DANCE IN THE PARKS</t>
  </si>
  <si>
    <t>CHICAGO PHILHARMONIC SOCIETY</t>
  </si>
  <si>
    <t>CHICAGO PRINTER'S GUILD</t>
  </si>
  <si>
    <t>CITY LIT THEATER</t>
  </si>
  <si>
    <t>CHICAGO REPERTORY BALLET</t>
  </si>
  <si>
    <t>STORY THEATRE</t>
  </si>
  <si>
    <t>THE SEVEN THIRTY THEATRE</t>
  </si>
  <si>
    <t>SELDOMS</t>
  </si>
  <si>
    <t>THE PAPER MACHETE SHOW INC NFP</t>
  </si>
  <si>
    <t>THE OBSIDIAN COLLECTION ARCHIVES</t>
  </si>
  <si>
    <t>MIDWEST FILM</t>
  </si>
  <si>
    <t>CONSPIRATORS NFP</t>
  </si>
  <si>
    <t>ISHTI COLLECTIVE</t>
  </si>
  <si>
    <t>FULCRUM POINT NEW MUSIC PROJECT</t>
  </si>
  <si>
    <t>FOLDED MAP NFP</t>
  </si>
  <si>
    <t>IN THE REALM OF SENSES</t>
  </si>
  <si>
    <t>COLUMBIA COLLEGE CHICAGO</t>
  </si>
  <si>
    <t>NILE LANSANA</t>
  </si>
  <si>
    <t>LA CACCINA</t>
  </si>
  <si>
    <t>JACKALOPE THEATRE</t>
  </si>
  <si>
    <t>CHICAGO YOUTH SYMPHONY ORCHESTRAS</t>
  </si>
  <si>
    <t>DIVINE PURPOSE YOUTH PERFORMING ARTS CENTER</t>
  </si>
  <si>
    <t>INGENUITY INCORPORATED</t>
  </si>
  <si>
    <t>VICTORIA MARTINEZ</t>
  </si>
  <si>
    <t>FRONT PORCH ARTS CENTER</t>
  </si>
  <si>
    <t>LAWNDALE POP-UP SPOT</t>
  </si>
  <si>
    <t>RAICES COMMUNITY WELLNESS CENTER</t>
  </si>
  <si>
    <t>RAVENSWOOD CHAMBER OF COMMERCE</t>
  </si>
  <si>
    <t>WORKFORCE AND HUMAN DEVELOPMENT SERVICES DBA THE JOURNEY FORWARD</t>
  </si>
  <si>
    <t>LAF</t>
  </si>
  <si>
    <t>AWAKENINGS FOUNDATION</t>
  </si>
  <si>
    <t>PINNACLE ERA CONSULTANTS</t>
  </si>
  <si>
    <t>CYNTHIA  MARTIN</t>
  </si>
  <si>
    <t>CALCULATED GENIUS</t>
  </si>
  <si>
    <t>14 PARISH</t>
  </si>
  <si>
    <t>SEVENTY-SEVEN COMMUNITIES MEAL SERVICES</t>
  </si>
  <si>
    <t>MICHELLE MARIE KENDRICK HARTNEY</t>
  </si>
  <si>
    <t>JUAN &amp; ONLY</t>
  </si>
  <si>
    <t>GLENN T WALKSLER (GLENN WEXSLER)</t>
  </si>
  <si>
    <t>ZAQ ART</t>
  </si>
  <si>
    <t>CSX TRANSPORTATION</t>
  </si>
  <si>
    <t>SMILING MOUNTAIN</t>
  </si>
  <si>
    <t>OFFICE OF THE MEDICAL EXAMINER</t>
  </si>
  <si>
    <t>COOK COUNTY DEPARTMENT OF PUBLIC HEALTH</t>
  </si>
  <si>
    <t>GRAN LAGO</t>
  </si>
  <si>
    <t>QIDEAS</t>
  </si>
  <si>
    <t>BARNES WALTON DENTAL ASSOCIATES</t>
  </si>
  <si>
    <t>835 E 75TH</t>
  </si>
  <si>
    <t>OGDEN WASHTENAW JV</t>
  </si>
  <si>
    <t>MP GENERAL CONTRACTORS</t>
  </si>
  <si>
    <t>NON-DPS</t>
  </si>
  <si>
    <t>URUAPAN PROPERTIES</t>
  </si>
  <si>
    <t>MUTUAL AID BOX ALARM SYSTEM</t>
  </si>
  <si>
    <t>IMANI SENIOR VILLAGE PHASE I</t>
  </si>
  <si>
    <t>MAYUMI LAKE</t>
  </si>
  <si>
    <t>CHRIS PAPPAN</t>
  </si>
  <si>
    <t>KRISTA FRANKLIN</t>
  </si>
  <si>
    <t>SELINA TREPP</t>
  </si>
  <si>
    <t>AGITATOR ARTIST COLLECTIVE</t>
  </si>
  <si>
    <t>ART OF GIVING</t>
  </si>
  <si>
    <t>ART WORKS PROJECTS</t>
  </si>
  <si>
    <t>CABINET OF CURIOSITY</t>
  </si>
  <si>
    <t>CONSTELLATION PERFORMING ARTS</t>
  </si>
  <si>
    <t>PILSEN-LITTLE VILLAGE COMMUNITY MENTAL HEALTH CENTER INC D/B/A PILSEN WELLNESS CENTER</t>
  </si>
  <si>
    <t>GUS GIORDANO'S JAZZ DANCE CHICAGO</t>
  </si>
  <si>
    <t>FACTORY THEATER</t>
  </si>
  <si>
    <t>PIGMENT INTERNATIONAL</t>
  </si>
  <si>
    <t>NEWBERRY LIBRARY BUGHOUSE SQUARE DEBATES</t>
  </si>
  <si>
    <t>TERESA WHITE 01</t>
  </si>
  <si>
    <t>LAKESIDE PRIDE ENSEMBLES</t>
  </si>
  <si>
    <t>GIRLS ROCK CHICAGO</t>
  </si>
  <si>
    <t>WORLD MUSIC FOUNDATION</t>
  </si>
  <si>
    <t>TELLIN' TALES THEATRE</t>
  </si>
  <si>
    <t>STRAWDOG THEATRE</t>
  </si>
  <si>
    <t>ARIEL GOLDBERG</t>
  </si>
  <si>
    <t>MAD SHAK DANCE</t>
  </si>
  <si>
    <t>YBE REALTY</t>
  </si>
  <si>
    <t>WILD ONION MARKET</t>
  </si>
  <si>
    <t>WORLD LEADERS</t>
  </si>
  <si>
    <t>CHICAGO AUSTIN YOUTH TRAVEL ADVENTURES</t>
  </si>
  <si>
    <t>TWO FIVE THREE TWO CORP NFP</t>
  </si>
  <si>
    <t>ENGLEWOOD CONNECT</t>
  </si>
  <si>
    <t>OUR REVIVAL CHICAGO OPERATING</t>
  </si>
  <si>
    <t>HEALTH CARE ALTERNATIVE SYSTEMS</t>
  </si>
  <si>
    <t>BOULEVARD APARTMENTS PRESERVATION LIMITED PARTNERSHIP</t>
  </si>
  <si>
    <t>MOUNT GREENWOOD COMMUNITY &amp; BUSINESS ASSOCIATION</t>
  </si>
  <si>
    <t>GRACE MANOR LP</t>
  </si>
  <si>
    <t>CHICAGO CHINATOWN CHAMBER OF COMMERCE</t>
  </si>
  <si>
    <t>REDTWIST THEATRE</t>
  </si>
  <si>
    <t>NORTH CENTER CHAMBER OF COMMER|CLEANED-UP</t>
  </si>
  <si>
    <t>GRACE AT JERUSALEM CDC</t>
  </si>
  <si>
    <t>PASCALE IFE WILLIAMS</t>
  </si>
  <si>
    <t>MIDNIGHT CIRCUS</t>
  </si>
  <si>
    <t>RED ORCHID THEATRE</t>
  </si>
  <si>
    <t>FRESH PATH</t>
  </si>
  <si>
    <t>GREATER GOOD STUDIO</t>
  </si>
  <si>
    <t>DUO DEVELOPMENT</t>
  </si>
  <si>
    <t>BUSTLING SPACES</t>
  </si>
  <si>
    <t>LATENT DESIGN</t>
  </si>
  <si>
    <t>THE MODERN PLACE</t>
  </si>
  <si>
    <t>SOUTHSIDE MARKET</t>
  </si>
  <si>
    <t>THEATER WIT NFP</t>
  </si>
  <si>
    <t>CHICAGO BALLET</t>
  </si>
  <si>
    <t>PIVOT ARTS</t>
  </si>
  <si>
    <t>LEAGUE OF CHICAGO THEATRES FOUNDATION</t>
  </si>
  <si>
    <t>PROLINK SOLUTIONS</t>
  </si>
  <si>
    <t>AUSTIN UNITED ALLIANCE LP</t>
  </si>
  <si>
    <t>HEARTLAND ALLIANCE HEALTH</t>
  </si>
  <si>
    <t>LA CATRINA</t>
  </si>
  <si>
    <t>CONSERVATION OF SCULPTURE &amp; OBJECTS STUDIO</t>
  </si>
  <si>
    <t>KAY ALLEGRA</t>
  </si>
  <si>
    <t>LA CATEDRAL CAFE &amp; RESTAURANT</t>
  </si>
  <si>
    <t>DECOLORES</t>
  </si>
  <si>
    <t>JUMPSTART HOUSING COOPERATIVE</t>
  </si>
  <si>
    <t>BLDG PROJECTS</t>
  </si>
  <si>
    <t>IN CARE OF BLACK WOMEN</t>
  </si>
  <si>
    <t>GORDY'S BARBERSHOP</t>
  </si>
  <si>
    <t>JM PLAZA</t>
  </si>
  <si>
    <t>TFO REVA GOLUB BURNHAM</t>
  </si>
  <si>
    <t>BRIGHT STAR COMMUNITY DEVELOPMENT CORPORATION NFP</t>
  </si>
  <si>
    <t>APIC &amp; EPIDEMIOLOGY CONSULTING SERVICES</t>
  </si>
  <si>
    <t>GENERAL ACCOUNTING</t>
  </si>
  <si>
    <t>WRD ENVIRONMENTAL</t>
  </si>
  <si>
    <t>GROW GREATER ENGLEWOOD NFP</t>
  </si>
  <si>
    <t>USDA-APHIS-WS</t>
  </si>
  <si>
    <t>PUPSTARS PET CARE</t>
  </si>
  <si>
    <t>OPEN BOOKS</t>
  </si>
  <si>
    <t>REVOLUTION INSTITUTE</t>
  </si>
  <si>
    <t>BUSINESS SERVICES COLLECTIVE NFP</t>
  </si>
  <si>
    <t>FOUR STAR MUSHROOMS</t>
  </si>
  <si>
    <t>CLICK DEVELOPMENT</t>
  </si>
  <si>
    <t>272 N CALIFORNIA</t>
  </si>
  <si>
    <t>CHICAGO FAMILY HOUSING COMMUNITY 1508 N HARDING DEVELOPMENT</t>
  </si>
  <si>
    <t>LVL UP COFFEE</t>
  </si>
  <si>
    <t>MHUB</t>
  </si>
  <si>
    <t>NORMAL STUDIO</t>
  </si>
  <si>
    <t>LAKEVIEW EAST CHAMBER OF COMMERCE</t>
  </si>
  <si>
    <t>ASAD ALI JAFRI</t>
  </si>
  <si>
    <t>CONSTRUCTION SERVICES OF ILLINOIS</t>
  </si>
  <si>
    <t>HAZ COOPERATIVE STUDIOS</t>
  </si>
  <si>
    <t>ABOVE AND BEYOND FAMILY RECOVERY CENTER</t>
  </si>
  <si>
    <t>BCSP 231 PROPERTY</t>
  </si>
  <si>
    <t>USI INSURANCE SERVICES</t>
  </si>
  <si>
    <t>NIJC NFP</t>
  </si>
  <si>
    <t>CHRISTOPHER GLASS AND ALUMINUM</t>
  </si>
  <si>
    <t>RS AFFORDABLE I</t>
  </si>
  <si>
    <t>LAKEVIEW LANDING LP</t>
  </si>
  <si>
    <t>THE WORKSHOP ARTS COLLABORATIVE</t>
  </si>
  <si>
    <t>LEADERS OF THE WORLD NFP</t>
  </si>
  <si>
    <t>KILWINS CHOCOLATES</t>
  </si>
  <si>
    <t>YELLOW BANANA</t>
  </si>
  <si>
    <t>RENAISSANCE PARTNERS LIMITED PARTNERSHIP</t>
  </si>
  <si>
    <t>FELD RESTAURANT</t>
  </si>
  <si>
    <t>PILSEN HOUSING COOPERATIVE</t>
  </si>
  <si>
    <t>LITTLE ANGELS FAMILY DAYCARE II</t>
  </si>
  <si>
    <t>SUNSHINE GOSPEL MINISTRIES</t>
  </si>
  <si>
    <t>BUILDING COMMUNITY FOUNDATIION</t>
  </si>
  <si>
    <t>FRIENDS OF COMMUNITY PUBLIC ART</t>
  </si>
  <si>
    <t>VICTORIA ALVAREZ</t>
  </si>
  <si>
    <t>RYLAND WHARTON</t>
  </si>
  <si>
    <t>ANNA MURPHY</t>
  </si>
  <si>
    <t>CONTEMPORARY ARTS CENTER</t>
  </si>
  <si>
    <t>MIGUEL DEL REAL</t>
  </si>
  <si>
    <t>LAKE EFFECT BREWING</t>
  </si>
  <si>
    <t>IGNATIAN MISSION CENTER</t>
  </si>
  <si>
    <t>5 RABBIT PILSEN</t>
  </si>
  <si>
    <t>OVER THE RAINBOW ASSOCIATION</t>
  </si>
  <si>
    <t>JUSTICE CREAM</t>
  </si>
  <si>
    <t>LA VILLITA HOUSING COOPERATIVE</t>
  </si>
  <si>
    <t>THIRD CITY STUDIO NFP</t>
  </si>
  <si>
    <t>CHRISTOPHER GLASS SERVICES</t>
  </si>
  <si>
    <t>26TH STREET SUGAR SHACK</t>
  </si>
  <si>
    <t>TRUDELTA</t>
  </si>
  <si>
    <t>WESTSIDE CULTURAL ALLIANCE</t>
  </si>
  <si>
    <t>THE HEALING ACADEMY</t>
  </si>
  <si>
    <t>TALAMANTES</t>
  </si>
  <si>
    <t>NEW ERA WINDOWS</t>
  </si>
  <si>
    <t>ST NICHOLAS DIOCESE IN CHICAGO FOR THE UKRAINIANS</t>
  </si>
  <si>
    <t>CEASAR PEREZ</t>
  </si>
  <si>
    <t>CHASITY FOSTER</t>
  </si>
  <si>
    <t>STREET VENDORS ASSOCIATION OF CHICAGO</t>
  </si>
  <si>
    <t>MACKINAW HOLDINGS</t>
  </si>
  <si>
    <t>THE BLOC</t>
  </si>
  <si>
    <t>U S MINORITY CONTRACTORS ASSOCIATION (USMCA)</t>
  </si>
  <si>
    <t>KEDRIA ARTS</t>
  </si>
  <si>
    <t>UNITED DIAGNOSTIC SERVICES</t>
  </si>
  <si>
    <t>HOMEKEEP</t>
  </si>
  <si>
    <t>BOX UNITED</t>
  </si>
  <si>
    <t>TATIANA ARMENDARIZ</t>
  </si>
  <si>
    <t>LYNN BASA</t>
  </si>
  <si>
    <t>NICOLE BECK</t>
  </si>
  <si>
    <t>PRINTMAKERS</t>
  </si>
  <si>
    <t>ALEXANDER BELTRAN</t>
  </si>
  <si>
    <t>AMY MARIE CASTANEDA DBA LITTLE VILLAGE ART AND NATURE CENTER</t>
  </si>
  <si>
    <t>LOUELLA ROSE CABALONA</t>
  </si>
  <si>
    <t>PAUL DURICA</t>
  </si>
  <si>
    <t>FELIPE TOBAR</t>
  </si>
  <si>
    <t>CATHERINE JOHNSON 01</t>
  </si>
  <si>
    <t>TYRONE HAWTHORNE DBA BLAQ ICE</t>
  </si>
  <si>
    <t>LIA KOHL</t>
  </si>
  <si>
    <t>REGINALD C JACKSON</t>
  </si>
  <si>
    <t>GRANT PARK ORCHESTRAL ASSOCIATION</t>
  </si>
  <si>
    <t>KAYLA MAHAFFEY</t>
  </si>
  <si>
    <t>BENJAMIN L GAY</t>
  </si>
  <si>
    <t>BASIL WATSON FINE ART</t>
  </si>
  <si>
    <t>MAX JULIAN SANSING</t>
  </si>
  <si>
    <t>ROGELIO CADENA</t>
  </si>
  <si>
    <t>DWIGHT WHITE JR</t>
  </si>
  <si>
    <t>SAM PILNICK</t>
  </si>
  <si>
    <t>MARIEL HARARI</t>
  </si>
  <si>
    <t>WILLIAM JAMES MORAN</t>
  </si>
  <si>
    <t>JEROME KELLY</t>
  </si>
  <si>
    <t>MELISSA SENESE</t>
  </si>
  <si>
    <t>SARAH QUILLIN</t>
  </si>
  <si>
    <t>JOHN MICHAEL COLGIN</t>
  </si>
  <si>
    <t>VICTOR EDWARDS</t>
  </si>
  <si>
    <t>SHELLEY ANDREA DAVIS</t>
  </si>
  <si>
    <t>ANDREW TOOMBS</t>
  </si>
  <si>
    <t>ELVINA RAFI</t>
  </si>
  <si>
    <t>DEL MARIE NELSON</t>
  </si>
  <si>
    <t>GABRIEL ALSTON</t>
  </si>
  <si>
    <t>JITESH JAGGI</t>
  </si>
  <si>
    <t>SERENA ELSTON</t>
  </si>
  <si>
    <t>JEREMIAH COLLIER</t>
  </si>
  <si>
    <t>NINA CASTILLO-D'ANGIER</t>
  </si>
  <si>
    <t>NORTH CENTER CHAMBER OF COMMER</t>
  </si>
  <si>
    <t>RENAISSANCE COLLABORATIVE</t>
  </si>
  <si>
    <t>STUART-DEAN OF ILLINOIS</t>
  </si>
  <si>
    <t>GREENWOOD ARCHER CAPITAL</t>
  </si>
  <si>
    <t>CIRCLE FOUNDATION</t>
  </si>
  <si>
    <t>CO-OP ED CENTER NFP</t>
  </si>
  <si>
    <t>RYAN TOVA KATZ</t>
  </si>
  <si>
    <t>MATTHEW MEDERER</t>
  </si>
  <si>
    <t>TILES IN STYLE LLC DBA TAZA SUPPLIES</t>
  </si>
  <si>
    <t>ISLAND TERRACE 4% PRESERVATION ASSOCIATES LP</t>
  </si>
  <si>
    <t>HEELS &amp; HAMMERS CONSTRUCTION</t>
  </si>
  <si>
    <t>ASERET DEVELOPMENT SERIES</t>
  </si>
  <si>
    <t>MILLENNIUN PARK FOUNDATION</t>
  </si>
  <si>
    <t>SHOWER UP</t>
  </si>
  <si>
    <t>BELT RAILWAY COMPANY OF CHICAGO</t>
  </si>
  <si>
    <t>ENERWISE GLOBAL TECHNOLOGIES LLC D/B/A CPOWER</t>
  </si>
  <si>
    <t>NEW CITY REDEVELOPMENT LP</t>
  </si>
  <si>
    <t>9818 LOFTS</t>
  </si>
  <si>
    <t>PIXSTER PHOTOBOOTH</t>
  </si>
  <si>
    <t>NORTHWEST ARTS CONNECTION</t>
  </si>
  <si>
    <t>ILLINOIS PUBLIC HEALTH INSTITUTE</t>
  </si>
  <si>
    <t>XCHANGE CHICAGO</t>
  </si>
  <si>
    <t>JOEL OPPENHEIMER</t>
  </si>
  <si>
    <t>ON THE REAL FILM</t>
  </si>
  <si>
    <t>PAUL D'AMATO</t>
  </si>
  <si>
    <t>BATTER &amp; BERRIES</t>
  </si>
  <si>
    <t>CELADON CONSTRUCTION CORPORATION - NFP</t>
  </si>
  <si>
    <t>KELLI R ADAMS</t>
  </si>
  <si>
    <t>REBECA ALEMAN</t>
  </si>
  <si>
    <t>GRAIL</t>
  </si>
  <si>
    <t>VIOLA ALMUNIR</t>
  </si>
  <si>
    <t>ANTON AUTH</t>
  </si>
  <si>
    <t>JUAN ANTONIO BANOS ARJONA</t>
  </si>
  <si>
    <t>AMANDA CHRISTINE HARTH</t>
  </si>
  <si>
    <t>PETER FREDERIKSEN</t>
  </si>
  <si>
    <t>BRANDI BERRY BENSON</t>
  </si>
  <si>
    <t>JALEN HAMILTON</t>
  </si>
  <si>
    <t>DAVID A HOLCOMBE</t>
  </si>
  <si>
    <t>MEREDITH HAINES</t>
  </si>
  <si>
    <t>MARCELA SILVIA DIAZ BROWN</t>
  </si>
  <si>
    <t>JIBA ANDERSON</t>
  </si>
  <si>
    <t>SARA HADLEY AUSTIN</t>
  </si>
  <si>
    <t>KATHRYN BAWDEN</t>
  </si>
  <si>
    <t>ANGELA AZMITIA</t>
  </si>
  <si>
    <t>MAYA BENTLEY</t>
  </si>
  <si>
    <t>CHRISTY BENNETT</t>
  </si>
  <si>
    <t>JOHN W BAKKER</t>
  </si>
  <si>
    <t>EILEEN CHAVEZ</t>
  </si>
  <si>
    <t>DEBBIE-MARIE BROWN</t>
  </si>
  <si>
    <t>SHIREEN DICKSON</t>
  </si>
  <si>
    <t>ADAM GOTTLIEB</t>
  </si>
  <si>
    <t>GLADYS R WILSON &amp; ASSOCIATES PC</t>
  </si>
  <si>
    <t>RAGLAND &amp; ASSOCIATES</t>
  </si>
  <si>
    <t>PREMIER HOME HEALTH CARE SERVICES</t>
  </si>
  <si>
    <t>MUIZZ OGBARA</t>
  </si>
  <si>
    <t>UNIVERSITY OF CHICAGO 01</t>
  </si>
  <si>
    <t>MARISOL CERON</t>
  </si>
  <si>
    <t>WILLIAM WILHELM</t>
  </si>
  <si>
    <t>JASAUN BUCKNER</t>
  </si>
  <si>
    <t>FREDERICK WILSON 01</t>
  </si>
  <si>
    <t>MELISSA DUPREY</t>
  </si>
  <si>
    <t>IYANA BROWN-BEY</t>
  </si>
  <si>
    <t>JARVELL WILLIAMS</t>
  </si>
  <si>
    <t>JENNIFER LAMB-HEATHERINGTON</t>
  </si>
  <si>
    <t>SANDRA LEONARD</t>
  </si>
  <si>
    <t>DUGGAL VISUAL SOLUTIONS</t>
  </si>
  <si>
    <t>YVES F SMIERCIAK</t>
  </si>
  <si>
    <t>ASHWATY CHENNAT</t>
  </si>
  <si>
    <t>AUGUSTINE ESTERHAMMER-FIC</t>
  </si>
  <si>
    <t>LINDA WALKER</t>
  </si>
  <si>
    <t>SAMUEL ELLENBY</t>
  </si>
  <si>
    <t>ASHANTIA DAY</t>
  </si>
  <si>
    <t>JEFFREY SILVA</t>
  </si>
  <si>
    <t>KOPANO MUHAMMAD</t>
  </si>
  <si>
    <t>LORI FELKER</t>
  </si>
  <si>
    <t>TZU TSEN WU</t>
  </si>
  <si>
    <t>KRISTINE BERGMARK</t>
  </si>
  <si>
    <t>THUONG TRAN</t>
  </si>
  <si>
    <t>GOLI PARVINIAN</t>
  </si>
  <si>
    <t>JERRY LUNA</t>
  </si>
  <si>
    <t>INGOV</t>
  </si>
  <si>
    <t>CRYSTLE DINO</t>
  </si>
  <si>
    <t>SHENGZE ZHU</t>
  </si>
  <si>
    <t>MARY WISNIEWSKI</t>
  </si>
  <si>
    <t>CHRISTOPHER REEVES</t>
  </si>
  <si>
    <t>JOSE LUIS BENAVIDES</t>
  </si>
  <si>
    <t>MARIA BURUNDARENA</t>
  </si>
  <si>
    <t>JONATHAN PACHECO</t>
  </si>
  <si>
    <t>RISHA SANIKOMMU</t>
  </si>
  <si>
    <t>JORDAN KNECHT</t>
  </si>
  <si>
    <t>COREY HALL</t>
  </si>
  <si>
    <t>NADYA NAUMAAN</t>
  </si>
  <si>
    <t>SHARON BLADHOLM</t>
  </si>
  <si>
    <t>JAZMINE ELAINE HARRIS</t>
  </si>
  <si>
    <t>KELECHI AGWUNCHA</t>
  </si>
  <si>
    <t>HARLEY FOOS</t>
  </si>
  <si>
    <t>KATIE CHUNG</t>
  </si>
  <si>
    <t>ROMEL SIMS</t>
  </si>
  <si>
    <t>QPR INSTITUTE</t>
  </si>
  <si>
    <t>JULIA MONDSCHEAN</t>
  </si>
  <si>
    <t>CRISTINA RODRIGUEZ 01</t>
  </si>
  <si>
    <t>DANIEL GAYDEN</t>
  </si>
  <si>
    <t>AN TUAN TRAN</t>
  </si>
  <si>
    <t>ROBERT J JOHNSON</t>
  </si>
  <si>
    <t>JUAN PASTOR</t>
  </si>
  <si>
    <t>JIM BLISSITT III</t>
  </si>
  <si>
    <t>ABIGAIL THOMPSON</t>
  </si>
  <si>
    <t>DANIELLE ROSEN</t>
  </si>
  <si>
    <t>DARIOUS LYLES</t>
  </si>
  <si>
    <t>SIUL REYNOSO</t>
  </si>
  <si>
    <t>ABENA MOTABOLI</t>
  </si>
  <si>
    <t>VIVAN JONES</t>
  </si>
  <si>
    <t>CAI THOMAS</t>
  </si>
  <si>
    <t>CHARLES VANDERKLIPP</t>
  </si>
  <si>
    <t>TIA LORENNA DUNLAP</t>
  </si>
  <si>
    <t>RAYMOND THOMAS</t>
  </si>
  <si>
    <t>JASSIEL SERNA</t>
  </si>
  <si>
    <t>ELIZABETH ODOM</t>
  </si>
  <si>
    <t>CECILIA VILLARRUEL</t>
  </si>
  <si>
    <t>OLIVIA PETERSON 01</t>
  </si>
  <si>
    <t>ARTURO NINO FRESAN</t>
  </si>
  <si>
    <t>ANDREA BESCHEL</t>
  </si>
  <si>
    <t>MARINA ROSS</t>
  </si>
  <si>
    <t>LIONAL FREEMAN</t>
  </si>
  <si>
    <t>GABRIEL VILLA</t>
  </si>
  <si>
    <t>MARCI RUBIN</t>
  </si>
  <si>
    <t>BRIAN SYKES</t>
  </si>
  <si>
    <t>CARL DEANGELO</t>
  </si>
  <si>
    <t>SALVADOR DOMINGUEZ 01</t>
  </si>
  <si>
    <t>SARA D'IPPOLITO REICHERT</t>
  </si>
  <si>
    <t>KENNETH COOK</t>
  </si>
  <si>
    <t>KATELYN DOUGLASS</t>
  </si>
  <si>
    <t>CAMILO RINCON</t>
  </si>
  <si>
    <t>BRANDON J MURRAY</t>
  </si>
  <si>
    <t>KIA SMITH</t>
  </si>
  <si>
    <t>ERIK PETERSON</t>
  </si>
  <si>
    <t>FAUNTA LUCKETT</t>
  </si>
  <si>
    <t>ANDREA LYNNE CRIST</t>
  </si>
  <si>
    <t>VANESSA VALLIERE</t>
  </si>
  <si>
    <t>ZERO HOME</t>
  </si>
  <si>
    <t>KIMBERLY NUCCI</t>
  </si>
  <si>
    <t>JOEL STYZENS</t>
  </si>
  <si>
    <t>ABBEY MUZATKO</t>
  </si>
  <si>
    <t>OLADIPO OYEWO</t>
  </si>
  <si>
    <t>ALEXANDRIA EREGBU</t>
  </si>
  <si>
    <t>EMERALD CATRON</t>
  </si>
  <si>
    <t>ELIZABETH THOMPKINS</t>
  </si>
  <si>
    <t>DAIMON HAMPTON</t>
  </si>
  <si>
    <t>BRENNA QUINN</t>
  </si>
  <si>
    <t>FOUR BRANDS ENTERPRISES</t>
  </si>
  <si>
    <t>JUWAN LOCKETT</t>
  </si>
  <si>
    <t>ALEJANDRA OLIVA</t>
  </si>
  <si>
    <t>COLETTE GREGORY</t>
  </si>
  <si>
    <t>GENEVIEVE SWANSON</t>
  </si>
  <si>
    <t>ANCA SZILAGYI</t>
  </si>
  <si>
    <t>AMBER JOHNSON</t>
  </si>
  <si>
    <t>SANKALP RAJU</t>
  </si>
  <si>
    <t>ELI RAMIREZ</t>
  </si>
  <si>
    <t>JOSE RAICES</t>
  </si>
  <si>
    <t>FATIMA OGUNLEYE</t>
  </si>
  <si>
    <t>EVAN LEVINE</t>
  </si>
  <si>
    <t>ALEXANDRA KOSTIW</t>
  </si>
  <si>
    <t>MORGAN EKLUND</t>
  </si>
  <si>
    <t>ASHLEY HART</t>
  </si>
  <si>
    <t>CHRISTIAN MEJIA</t>
  </si>
  <si>
    <t>KEEFEE JACKSON</t>
  </si>
  <si>
    <t>NEIL JENDON</t>
  </si>
  <si>
    <t>GERALD JACKSON JR</t>
  </si>
  <si>
    <t>SYLVIA LOPEZ</t>
  </si>
  <si>
    <t>RYAN LUZZO</t>
  </si>
  <si>
    <t>BENJAMIN KINSINGER</t>
  </si>
  <si>
    <t>FAYLITA HICKS</t>
  </si>
  <si>
    <t>JENNIFER ESTLIN</t>
  </si>
  <si>
    <t>ANTHONY EVORA</t>
  </si>
  <si>
    <t>MAKEDA EASTER</t>
  </si>
  <si>
    <t>SANDRA JACKSON-OPOKU</t>
  </si>
  <si>
    <t>ALIYAH JONES</t>
  </si>
  <si>
    <t>MARIAH EASTMAN</t>
  </si>
  <si>
    <t>JUNKO KAJINO</t>
  </si>
  <si>
    <t>NYELA BASNEY</t>
  </si>
  <si>
    <t>MICHAEL  COSTELLO</t>
  </si>
  <si>
    <t>345 ART GALLERY</t>
  </si>
  <si>
    <t>EARLE SCHOOL</t>
  </si>
  <si>
    <t>FULL CIRCLE COMMUNITIES</t>
  </si>
  <si>
    <t>CELESTERLING FOUNDATION DBA PHOENIX FOUNDATION NFP</t>
  </si>
  <si>
    <t>BUNNY EARS ART HOUSE</t>
  </si>
  <si>
    <t>BOKSTER PROPERTIES</t>
  </si>
  <si>
    <t>CHICAGO WESTSIDE BRANCH NAACP</t>
  </si>
  <si>
    <t>18TH STREET CASA DE CULTURA</t>
  </si>
  <si>
    <t>CLARK INVESTMENTS</t>
  </si>
  <si>
    <t>INSTITUTE OF INTERNAL AUDITORS INC CHICAGO CHAPTER</t>
  </si>
  <si>
    <t>BM MEDIA GROUP</t>
  </si>
  <si>
    <t>SAMANTHA KIRK</t>
  </si>
  <si>
    <t>CHICAGO YOUTH FOUNDATION</t>
  </si>
  <si>
    <t>O'HARE RAC</t>
  </si>
  <si>
    <t>EVERTHRIVE ILLINOIS</t>
  </si>
  <si>
    <t>OLYA ADKISON</t>
  </si>
  <si>
    <t>ILLINOIS DEPARTMENT OF HEALTHCARE &amp; FAMILY SERVICES</t>
  </si>
  <si>
    <t>KPMG</t>
  </si>
  <si>
    <t>CHICAGO UNDERGROUND NFP</t>
  </si>
  <si>
    <t>RAY OF HOPE CENTER OF THE ARTS</t>
  </si>
  <si>
    <t>ENRICH CHICAGO</t>
  </si>
  <si>
    <t>UNIV OF TEXAS AT AUSTIN</t>
  </si>
  <si>
    <t>CHICAGO DESIGN MUSEUM</t>
  </si>
  <si>
    <t>NATIONAL VIETNAM VETERANS ART MUSEUM</t>
  </si>
  <si>
    <t>GF PRODUCTIONS</t>
  </si>
  <si>
    <t>BLACK GIRLS DANCE</t>
  </si>
  <si>
    <t>GOOD CITY GROUP</t>
  </si>
  <si>
    <t>PARAMAR DANCE THEATRE</t>
  </si>
  <si>
    <t>LAMPO</t>
  </si>
  <si>
    <t>PROBOSCIS THEATRE</t>
  </si>
  <si>
    <t>CHICAGO ARTOPIA</t>
  </si>
  <si>
    <t>DEFINITION THEATRE</t>
  </si>
  <si>
    <t>773 DANCE PROJECT</t>
  </si>
  <si>
    <t>FRESHLENS CHICAGO</t>
  </si>
  <si>
    <t>TERRA FUNDING CHICAGO</t>
  </si>
  <si>
    <t>C2-TWO NORTH LASALLE</t>
  </si>
  <si>
    <t>FCA FUND CHICAGO II</t>
  </si>
  <si>
    <t>USCC SERVICES LLC DBA USCELLULAR</t>
  </si>
  <si>
    <t>SOMETHIN' SWEET DONUTS ON KEDZIE</t>
  </si>
  <si>
    <t>JUSTICE OF THE PIES L3C</t>
  </si>
  <si>
    <t>DANK-HAUS GERMAN CULTURAL CENTER</t>
  </si>
  <si>
    <t>ONE GROUP MIND</t>
  </si>
  <si>
    <t>LAZARUS RENEWAL II</t>
  </si>
  <si>
    <t>AMERICAN RED CROSS-HEALTH &amp; SAFETY SERVICES</t>
  </si>
  <si>
    <t>CHRISTIANSEN CAPITAL ADVISORS</t>
  </si>
  <si>
    <t>THE SPOKE &amp; BIRD-BRIDGEPORT</t>
  </si>
  <si>
    <t>PORTAGE PARK CAPITAL</t>
  </si>
  <si>
    <t>SOULFUL BOOK FAIR FOUNDATION</t>
  </si>
  <si>
    <t>URBAN MARKET EXCHANGE L3C</t>
  </si>
  <si>
    <t>MISSISSIPPI MUESUM OF ART</t>
  </si>
  <si>
    <t>CHILE TOREADO RESTAURANT</t>
  </si>
  <si>
    <t>LITTLE VILLAGE BUSINESS INCUBATOR</t>
  </si>
  <si>
    <t>CENTER FOR INTUITIVE &amp; OUTSIDER ART</t>
  </si>
  <si>
    <t>THOMPSON STREET OPERA</t>
  </si>
  <si>
    <t>UKRAINIAN INSTITUTE OF MODERN ART</t>
  </si>
  <si>
    <t>DU SABLE MUSEUM OF AFRICAN AMERICAN HISTORY</t>
  </si>
  <si>
    <t>GLOBAL PUNGMUL INSTITUTE</t>
  </si>
  <si>
    <t>KURDISH CULTURAL CENTER OF ILLINOIS</t>
  </si>
  <si>
    <t>HEARING IN COLOR</t>
  </si>
  <si>
    <t>RAVEN THEATRE</t>
  </si>
  <si>
    <t>KENNETH COOK JR</t>
  </si>
  <si>
    <t>DEMIL ART FUND</t>
  </si>
  <si>
    <t>HP SKATE MEETUP L3C</t>
  </si>
  <si>
    <t>PILSEN CHAMBER OF COMMERCE</t>
  </si>
  <si>
    <t>COMMUNITY DESK CHICAGO</t>
  </si>
  <si>
    <t>ENTREPRENEURS ACADEMY</t>
  </si>
  <si>
    <t>HYDE PARK CHAMBER OF COMMERCE</t>
  </si>
  <si>
    <t>ARAB AMERICAN BUSINESS AND PROFESSIONAL ASSOCIATION</t>
  </si>
  <si>
    <t>CRE8 SPACE L3C</t>
  </si>
  <si>
    <t>BODIES IN MOTION II NFP</t>
  </si>
  <si>
    <t>CREATIVE NETWERK</t>
  </si>
  <si>
    <t>SOUTHWEST CREATIVE STUDIO</t>
  </si>
  <si>
    <t>EPIC ART SPACE</t>
  </si>
  <si>
    <t>WOOD ST COLLECTIVE</t>
  </si>
  <si>
    <t>HISPANIC HOUSING DEVELOPMENT</t>
  </si>
  <si>
    <t>1901 S WESTERN</t>
  </si>
  <si>
    <t>1237 N CALIFORNIA 9PCT HHDC LP</t>
  </si>
  <si>
    <t>2620 W FLETCHER</t>
  </si>
  <si>
    <t>CALAHAN FUNERAL HOME</t>
  </si>
  <si>
    <t>BRYANA BIBBS</t>
  </si>
  <si>
    <t>ART INSTITUTE OF CHICAGO 01</t>
  </si>
  <si>
    <t>ABBOTT CONNECTION LTD DBA A-LIST LIMOUSINE AND TRANSIT SERVICES</t>
  </si>
  <si>
    <t>SINYA PROPERTIES</t>
  </si>
  <si>
    <t>TATIS FLORAL</t>
  </si>
  <si>
    <t>LEYDA LADY SOL GARCIA</t>
  </si>
  <si>
    <t>AMANDA WILLIAMS</t>
  </si>
  <si>
    <t>ERIK DEBAT</t>
  </si>
  <si>
    <t>HR &amp; A ADVISORS</t>
  </si>
  <si>
    <t>CHICAGO 103RD STREET</t>
  </si>
  <si>
    <t>EXECUTIVE CONSTRUCTION</t>
  </si>
  <si>
    <t>REBUILD FOUNDATION NFP</t>
  </si>
  <si>
    <t>HYDE PARK NEIGHBORHOOD CLUB-LEGENDS BASEBALL</t>
  </si>
  <si>
    <t>AVERY R YOUNG</t>
  </si>
  <si>
    <t>ABOVE &amp; BEYOND FAMILY RECOVERY CENTER</t>
  </si>
  <si>
    <t>VIETNAMESE ASSOCIATION OF ILLINOIS ( VA I)</t>
  </si>
  <si>
    <t>SONIC EXPLORATIONS</t>
  </si>
  <si>
    <t>CHICAGO TORTURE JUSTICE CENTER</t>
  </si>
  <si>
    <t>ESPERANZA COMMUNITY SERVICESINC</t>
  </si>
  <si>
    <t>LOMAX URBAN OUTREACH</t>
  </si>
  <si>
    <t>HOPE OPPORTUNITY PURPOSE EMPOWERMENT</t>
  </si>
  <si>
    <t>UNCLE FREDDY'S GALLERY</t>
  </si>
  <si>
    <t>JULIE &amp; MICHAEL TRACY FAMILY FOUNDATION</t>
  </si>
  <si>
    <t>LOGAN SQUARE NEIGHBORHOOD ASSOCIATION</t>
  </si>
  <si>
    <t>LADIES OF VIRTUE NFP</t>
  </si>
  <si>
    <t>BARBARA JEAN FOUNDATION</t>
  </si>
  <si>
    <t>SOUL RAMEN CHI</t>
  </si>
  <si>
    <t>PG6</t>
  </si>
  <si>
    <t>PYROTECNICO FIREWORKS</t>
  </si>
  <si>
    <t>CHICAGO REWILDING SOCIETY</t>
  </si>
  <si>
    <t>STOPTIME LIMITED</t>
  </si>
  <si>
    <t>PENTECOSTAL CHURCH OF HOLINESS</t>
  </si>
  <si>
    <t>AIR SNOW &amp; SHOW</t>
  </si>
  <si>
    <t>LIFESCORE FOUNDATION</t>
  </si>
  <si>
    <t>ALLIANCE FOR SUSTAINABLE ENERGY</t>
  </si>
  <si>
    <t>EVERON LLC (90-0008456)</t>
  </si>
  <si>
    <t>SOFIA GABRIEL</t>
  </si>
  <si>
    <t>ERNST &amp; YOUNG</t>
  </si>
  <si>
    <t>HEART OF UPTOWN APARTMENTS</t>
  </si>
  <si>
    <t>HUMBOLDT PARK HEALTH</t>
  </si>
  <si>
    <t>URBAN LAND INSTITUTE</t>
  </si>
  <si>
    <t>V3 WETLAND RESTORATION</t>
  </si>
  <si>
    <t>HOLY FAMILY LUTHERAN CHURCH</t>
  </si>
  <si>
    <t>LITTLE BROTHERS FRIENDS OF ELDERLY</t>
  </si>
  <si>
    <t>CLEAN COMMUNITY</t>
  </si>
  <si>
    <t>REVOLUTION WORKSHOP</t>
  </si>
  <si>
    <t>EAT-N-PIE</t>
  </si>
  <si>
    <t>AUGUSTANA LUTHERAN CHURCH OF HYDE PARK</t>
  </si>
  <si>
    <t>GALLEY CHICAGO</t>
  </si>
  <si>
    <t>548 PASSIVE HP LP</t>
  </si>
  <si>
    <t>CHIFRESH KITCHEN LWCA</t>
  </si>
  <si>
    <t>GRACE UNITED METHODIST CHURCH</t>
  </si>
  <si>
    <t>GARFIELD PARK WELLNESS CENTER SUPPORT</t>
  </si>
  <si>
    <t>PRIME FOR CHANGE NFP</t>
  </si>
  <si>
    <t>TRUE BELIEVERS COMMUNITY CONNECTIONS</t>
  </si>
  <si>
    <t>LATINO ORGANIZATION OF THE SOUTHWEST</t>
  </si>
  <si>
    <t>ENDELEO INSTITUTE</t>
  </si>
  <si>
    <t>CLEAR CHANNEL OUTDOOR</t>
  </si>
  <si>
    <t>VIOLETS IN BLOOM</t>
  </si>
  <si>
    <t>SHAQUITA REED</t>
  </si>
  <si>
    <t>THE CHICAGO GROUP COLLECTIVE</t>
  </si>
  <si>
    <t>CHA COMMUNITY SUPPORT</t>
  </si>
  <si>
    <t>EPISCOPAL CHURCH OF THE ATONEMENT</t>
  </si>
  <si>
    <t>ISABELLA STEWART GARDNER MUSEUM</t>
  </si>
  <si>
    <t>FIRST BAPTIST CONGREGATIONAL CHURCH OF CHICAGO</t>
  </si>
  <si>
    <t>HISTORIC PULLMAN EMPOWERMENT ORGANIZATION</t>
  </si>
  <si>
    <t>COZZI MEDICAL CONSULTING</t>
  </si>
  <si>
    <t>LEGENDS A-3</t>
  </si>
  <si>
    <t>CONNIE HARVEY</t>
  </si>
  <si>
    <t>CASA YUCATAN LP</t>
  </si>
  <si>
    <t>VIA CHICAGO LIMITED</t>
  </si>
  <si>
    <t>L'ARCHE CHICAGO</t>
  </si>
  <si>
    <t>NARROW BRIDGE</t>
  </si>
  <si>
    <t>AVE SW</t>
  </si>
  <si>
    <t>BYERS GROUP</t>
  </si>
  <si>
    <t>GOLD POINT STUDIO</t>
  </si>
  <si>
    <t>FREEMAN PICTURES</t>
  </si>
  <si>
    <t>QURIOSITY PRODUCTIONS</t>
  </si>
  <si>
    <t>DSGNRZ</t>
  </si>
  <si>
    <t>CHICAGO ALLIANCE OF AFRICAN-AMER</t>
  </si>
  <si>
    <t>ARTHUR J GALLAGHER RISK MANAGEMENT SERVICES</t>
  </si>
  <si>
    <t>CLARE BRITT</t>
  </si>
  <si>
    <t>POWELL PHOTOGRAPHY</t>
  </si>
  <si>
    <t>KATHLEEN HINKEL</t>
  </si>
  <si>
    <t>GREATER UNION BAPTIST CHURCH</t>
  </si>
  <si>
    <t>ERIN BABBIN</t>
  </si>
  <si>
    <t>IRENE HSIAO</t>
  </si>
  <si>
    <t>JUSTIN WHITE</t>
  </si>
  <si>
    <t>JENNA ANAST</t>
  </si>
  <si>
    <t>MCCANDLESS PIERCE</t>
  </si>
  <si>
    <t>MICHELE STINE</t>
  </si>
  <si>
    <t>MARGARET BRIDGER</t>
  </si>
  <si>
    <t>JEFFREY ABIDOR</t>
  </si>
  <si>
    <t>GLENN WILLOUGHBY</t>
  </si>
  <si>
    <t>LISC CHICAGO</t>
  </si>
  <si>
    <t>THRIVE EXCHANGE</t>
  </si>
  <si>
    <t>JESSICA REDDICK</t>
  </si>
  <si>
    <t>PATRICK DONLEY</t>
  </si>
  <si>
    <t>HONDO LAWRENCE</t>
  </si>
  <si>
    <t>KAMAU RASHID</t>
  </si>
  <si>
    <t>TARAH HUNT</t>
  </si>
  <si>
    <t>PHUC TO</t>
  </si>
  <si>
    <t>AURORE TABAR</t>
  </si>
  <si>
    <t>LORIMAR MATOS</t>
  </si>
  <si>
    <t>JESSICA ANDERSON</t>
  </si>
  <si>
    <t>IVAN PAUGAM</t>
  </si>
  <si>
    <t>STEPHEN MULLEN</t>
  </si>
  <si>
    <t>MAGDALENA DALZELL</t>
  </si>
  <si>
    <t>TASK FORCE PREVENTION &amp; COMMUNITY SERVICES</t>
  </si>
  <si>
    <t>MARGARET CROWLEY</t>
  </si>
  <si>
    <t>COURTNEY FARNEY</t>
  </si>
  <si>
    <t>STEPHANIE GRAHAM 01</t>
  </si>
  <si>
    <t>LAVELLE HARRIS</t>
  </si>
  <si>
    <t>ESSENTIAL ELEMENTS CHICAGO LIMITED</t>
  </si>
  <si>
    <t>MINTEX</t>
  </si>
  <si>
    <t>TRINITY 95TH &amp; COTTAGE GROVE</t>
  </si>
  <si>
    <t>PARKSIDE PHASE III LP</t>
  </si>
  <si>
    <t>MIDDLE EASTERN IMMIGRANT &amp; REFUGEE ALLIANCE</t>
  </si>
  <si>
    <t>MIDWEST ACCESS COALITION</t>
  </si>
  <si>
    <t>ILLINOISFACILITIES FUND</t>
  </si>
  <si>
    <t>XILIN ASSOCIATION</t>
  </si>
  <si>
    <t>AFRICA INTERNATIONAL HOUSE</t>
  </si>
  <si>
    <t>NEXT SHOWCASE USA</t>
  </si>
  <si>
    <t>KOMBI</t>
  </si>
  <si>
    <t>GALLERY GUICHARD</t>
  </si>
  <si>
    <t>BELMONT TAVERN</t>
  </si>
  <si>
    <t>PLANT CHICAGO NFP</t>
  </si>
  <si>
    <t>GENERATIONS HOUSING INITIATIVES</t>
  </si>
  <si>
    <t>JONATHAN TATUM</t>
  </si>
  <si>
    <t>MONIKA PLIOPLYTE</t>
  </si>
  <si>
    <t>ALEXANDER MICHAEL KEFALOUKOS</t>
  </si>
  <si>
    <t>TYLER E FRY</t>
  </si>
  <si>
    <t>ADAM W CARSON</t>
  </si>
  <si>
    <t>HILARY G MABBITT</t>
  </si>
  <si>
    <t>REINALDO CORREA STUDIO</t>
  </si>
  <si>
    <t>RINGOLD FINANCIAL MANAGEMENT SERVICES</t>
  </si>
  <si>
    <t>RAGLAND ARNOLD BUCHANAN MORRIS &amp; ASSOCIATES</t>
  </si>
  <si>
    <t>NAHAL NAVIDAR</t>
  </si>
  <si>
    <t>SARA GROSE</t>
  </si>
  <si>
    <t>ANTONIA GURKOVSKA</t>
  </si>
  <si>
    <t>EMILY JOHNSON 01</t>
  </si>
  <si>
    <t>JOANNA ARELLANO</t>
  </si>
  <si>
    <t>THEODORE MORGAN</t>
  </si>
  <si>
    <t>MICHAEL LORD</t>
  </si>
  <si>
    <t>JUSTIN SWINSON</t>
  </si>
  <si>
    <t>MATTHEW LAUTERBACH</t>
  </si>
  <si>
    <t>STEVEN J WALSH</t>
  </si>
  <si>
    <t>AESPYNE BROOKS</t>
  </si>
  <si>
    <t>JEFFREY PHILLIPS</t>
  </si>
  <si>
    <t>ISHMAEL ALI ZGHOUL</t>
  </si>
  <si>
    <t>JANICE RODRIGUEZ1</t>
  </si>
  <si>
    <t>CELINA GARDUNO</t>
  </si>
  <si>
    <t>CRISTINA CASS</t>
  </si>
  <si>
    <t>GORDON FUNG</t>
  </si>
  <si>
    <t>MINH LE 01</t>
  </si>
  <si>
    <t>LESLEY BEVAN</t>
  </si>
  <si>
    <t>ALEXANDER BORTELL</t>
  </si>
  <si>
    <t>GUTHRIE BLECHMAN</t>
  </si>
  <si>
    <t>SCOTT CAMPBELL</t>
  </si>
  <si>
    <t>MAKE IT HAPPEN CONSTRUCTION</t>
  </si>
  <si>
    <t>CHRISTOPHER KNOWLTON</t>
  </si>
  <si>
    <t>DIANA QUINONES RIVERA</t>
  </si>
  <si>
    <t>JOHN SUTTON1</t>
  </si>
  <si>
    <t>DUWAND SCOTT</t>
  </si>
  <si>
    <t>ERIKA ORDOSGOITTI EGEA</t>
  </si>
  <si>
    <t>CHRIST THE KING JESUIT COLLEGE PREPARATORY SCHOOL</t>
  </si>
  <si>
    <t>GWO TRUCKING &amp; CONSTRUCTION</t>
  </si>
  <si>
    <t>CORTEX CONSTRUCTION GROUP LIMITED</t>
  </si>
  <si>
    <t>SLOG GROUP</t>
  </si>
  <si>
    <t>RRM VISIONS</t>
  </si>
  <si>
    <t>MANASA REDDY</t>
  </si>
  <si>
    <t>PHILLIP WOOD</t>
  </si>
  <si>
    <t>LISA WEATHERSBY</t>
  </si>
  <si>
    <t>ANTHONY STOKES</t>
  </si>
  <si>
    <t>SAMUEL STEVENS</t>
  </si>
  <si>
    <t>OSCAR ROJAS</t>
  </si>
  <si>
    <t>TANUJA JAGERNAUTH</t>
  </si>
  <si>
    <t>JOSUE ALDANA</t>
  </si>
  <si>
    <t>JORDAN RIVERS</t>
  </si>
  <si>
    <t>BARRY PEARCE</t>
  </si>
  <si>
    <t>EVERETT REID</t>
  </si>
  <si>
    <t>SARAH PEECHER</t>
  </si>
  <si>
    <t>STEPHEN CARPENTER</t>
  </si>
  <si>
    <t>REMSY ATASSI</t>
  </si>
  <si>
    <t>TEIANNA COOPER</t>
  </si>
  <si>
    <t>SHOMARI DANIELS</t>
  </si>
  <si>
    <t>JULIA DEGRUCHY</t>
  </si>
  <si>
    <t>EREZ DESSEL</t>
  </si>
  <si>
    <t>ADELE HENNING</t>
  </si>
  <si>
    <t>JASON RHEE</t>
  </si>
  <si>
    <t>CHAYANNE BARRIENTOS</t>
  </si>
  <si>
    <t>DIANE BERRIOS</t>
  </si>
  <si>
    <t>AUSTEN BROWN</t>
  </si>
  <si>
    <t>BRENDA FILKIN</t>
  </si>
  <si>
    <t>NOELLE KAYSER</t>
  </si>
  <si>
    <t>JOSHUA KENT</t>
  </si>
  <si>
    <t>MARSAE MITCHELL</t>
  </si>
  <si>
    <t>JORGE SILVA</t>
  </si>
  <si>
    <t>ANDRE MCCASKEY</t>
  </si>
  <si>
    <t>BILLY BRANCH MUSIC</t>
  </si>
  <si>
    <t>JUAN MOLINA HERNANDEZ</t>
  </si>
  <si>
    <t>RYAN OLIVEIRA</t>
  </si>
  <si>
    <t>JENNIFER PAGONIS</t>
  </si>
  <si>
    <t>IAFF-HEALTH &amp; SAFETY DEPARTMENT</t>
  </si>
  <si>
    <t>SONNY PATEL</t>
  </si>
  <si>
    <t>TANIA LINDSAY</t>
  </si>
  <si>
    <t>JACQUELINE SURDELL1</t>
  </si>
  <si>
    <t>FRANK VEGA1</t>
  </si>
  <si>
    <t>LAKESHA HOWARD-WILLAIMS</t>
  </si>
  <si>
    <t>COREY WILLIAMS 01</t>
  </si>
  <si>
    <t>RASHAD MADISON</t>
  </si>
  <si>
    <t>SHANTA NURULLAH</t>
  </si>
  <si>
    <t>JOSEPH KITT HOWARD LYLES</t>
  </si>
  <si>
    <t>ROBERT DREA</t>
  </si>
  <si>
    <t>LORA BRANCH</t>
  </si>
  <si>
    <t>ASHELY MILLS</t>
  </si>
  <si>
    <t>KATHRYN IN</t>
  </si>
  <si>
    <t>CASEY BROWN</t>
  </si>
  <si>
    <t>BRIL BARRETT</t>
  </si>
  <si>
    <t>CARLO LIOU</t>
  </si>
  <si>
    <t>FRED C ROBINSON</t>
  </si>
  <si>
    <t>LAUREN IACOPONI</t>
  </si>
  <si>
    <t>DANIEL DELGADO</t>
  </si>
  <si>
    <t>CATHERINE RUTLEDGE</t>
  </si>
  <si>
    <t>CARLOS RODRIGUEZ1</t>
  </si>
  <si>
    <t>WENDY ROBLES</t>
  </si>
  <si>
    <t>DENNIS ELLIOTT</t>
  </si>
  <si>
    <t>MARCUS E DAVIS</t>
  </si>
  <si>
    <t>TYLER DELOATCH</t>
  </si>
  <si>
    <t>EVE ROBINSON</t>
  </si>
  <si>
    <t>AMERA AL-ALI</t>
  </si>
  <si>
    <t>KAELI MENO</t>
  </si>
  <si>
    <t>OTTO ANZURES-DADDA</t>
  </si>
  <si>
    <t>MATTHEW BODETT</t>
  </si>
  <si>
    <t>PAULA GRAKENS</t>
  </si>
  <si>
    <t>AARON GHOLAR</t>
  </si>
  <si>
    <t>MARCO AQUINO</t>
  </si>
  <si>
    <t>KATELYN PATTON</t>
  </si>
  <si>
    <t>CURTIS POWELL 01</t>
  </si>
  <si>
    <t>ALEXANDER GRELLE</t>
  </si>
  <si>
    <t>RASHEED PETERS</t>
  </si>
  <si>
    <t>NICOLE WILLIAMS1</t>
  </si>
  <si>
    <t>BENJAMIN ZUCKER</t>
  </si>
  <si>
    <t>NATHAN RUSSELL</t>
  </si>
  <si>
    <t>JOSUE ROMERO VELASQUEZ</t>
  </si>
  <si>
    <t>ERIC MATTHEW RICHARDSON</t>
  </si>
  <si>
    <t>JUSTINE TOBIASZ</t>
  </si>
  <si>
    <t>LINDSAY KRAMER</t>
  </si>
  <si>
    <t>GAOZHE LI</t>
  </si>
  <si>
    <t>ELIZABETH MYLES</t>
  </si>
  <si>
    <t>ROBBIE HUNSINGER</t>
  </si>
  <si>
    <t>ANDREA BELLOMO</t>
  </si>
  <si>
    <t>MARY MAZUREK</t>
  </si>
  <si>
    <t>DEON REED</t>
  </si>
  <si>
    <t>JESSICA DENISE SCOTT</t>
  </si>
  <si>
    <t>FERNANDO SALDIVIA YANEZ</t>
  </si>
  <si>
    <t>KENDALL COX</t>
  </si>
  <si>
    <t>LUIS CORREA OLVERA</t>
  </si>
  <si>
    <t>LORENZO LEYVA</t>
  </si>
  <si>
    <t>IDRIS DANIEL</t>
  </si>
  <si>
    <t>SAMANTHA JORDAN</t>
  </si>
  <si>
    <t>CHRISTOPHER WILLIFORD</t>
  </si>
  <si>
    <t>WOMEN ARTISTS ARCHIVE MIAMI</t>
  </si>
  <si>
    <t>BLACK ENSEMBLE THEATER</t>
  </si>
  <si>
    <t>XINYI LI</t>
  </si>
  <si>
    <t>JUSTIN GREY</t>
  </si>
  <si>
    <t>VICTORIA BOATENG</t>
  </si>
  <si>
    <t>SUHAIL DESIGN</t>
  </si>
  <si>
    <t>BEEMAN ARTWORKS</t>
  </si>
  <si>
    <t>SARAH RAE</t>
  </si>
  <si>
    <t>NDIDI MORTON</t>
  </si>
  <si>
    <t>NICHOLAS HENNESSEY1</t>
  </si>
  <si>
    <t>548 FOUNDATION</t>
  </si>
  <si>
    <t>MEGAN RICH</t>
  </si>
  <si>
    <t>DIASPORA ALLIANCE</t>
  </si>
  <si>
    <t>MARCO RIOS</t>
  </si>
  <si>
    <t>AMANDA WALKER-HALL</t>
  </si>
  <si>
    <t>BRIAN CITRO</t>
  </si>
  <si>
    <t>ELIJAH HOLDEN MCLAUGHLIN</t>
  </si>
  <si>
    <t>MARY PATTEN</t>
  </si>
  <si>
    <t>PAIGE SAVARESE</t>
  </si>
  <si>
    <t>ELENA JIMENEZ</t>
  </si>
  <si>
    <t>DALIA CHIN PAMPILLO</t>
  </si>
  <si>
    <t>BARBARA SMITH</t>
  </si>
  <si>
    <t>TIRTZA EVEN</t>
  </si>
  <si>
    <t>CARLOS MAGANA1</t>
  </si>
  <si>
    <t>CHRISTINA COSIO</t>
  </si>
  <si>
    <t>THOMAS COMERFORD</t>
  </si>
  <si>
    <t>REIGN WINKER</t>
  </si>
  <si>
    <t>MISCHA ZUPKO</t>
  </si>
  <si>
    <t>AKEEM SOYAN</t>
  </si>
  <si>
    <t>JESSICA CABE</t>
  </si>
  <si>
    <t>CAMILLE BEREDJICK</t>
  </si>
  <si>
    <t>ADAM HOLZRICHTER</t>
  </si>
  <si>
    <t>KATHRYN A ERNST</t>
  </si>
  <si>
    <t>627 ALBANY PORTFOLIO</t>
  </si>
  <si>
    <t>MARIKA MASHBURN1</t>
  </si>
  <si>
    <t>RUSSELL MILBURN</t>
  </si>
  <si>
    <t>NILS HIGDON</t>
  </si>
  <si>
    <t>HALI PALOMBO</t>
  </si>
  <si>
    <t>ISMAIL RASHAD</t>
  </si>
  <si>
    <t>SARINA SHANE</t>
  </si>
  <si>
    <t>CHRISTIAN ROBINSON</t>
  </si>
  <si>
    <t>CHRISTINE VARISSE</t>
  </si>
  <si>
    <t>JUAN DANIEL CHAVEZ SOLANO</t>
  </si>
  <si>
    <t>DOROTHY CARLOS</t>
  </si>
  <si>
    <t>NNEKA UDE</t>
  </si>
  <si>
    <t>FERNANDO RUIZ 01</t>
  </si>
  <si>
    <t>CASEY BURTON</t>
  </si>
  <si>
    <t>ADDISON J WRIGHT</t>
  </si>
  <si>
    <t>KITCH FEROLITO</t>
  </si>
  <si>
    <t>EMMA HOSPELHORN</t>
  </si>
  <si>
    <t>BRITTANY ALSOT</t>
  </si>
  <si>
    <t>ESTLIN USHER</t>
  </si>
  <si>
    <t>JAVIER VARGAS</t>
  </si>
  <si>
    <t>ASHLEY MCKEITHEN</t>
  </si>
  <si>
    <t>ENRIQUE VARGAS</t>
  </si>
  <si>
    <t>JUELLE DALEY</t>
  </si>
  <si>
    <t>ELISEO ELIZARRARAZ</t>
  </si>
  <si>
    <t>ALEXANDER ADKINSON</t>
  </si>
  <si>
    <t>CHRISTINA ARMSTRONG</t>
  </si>
  <si>
    <t>ANTARA ANJALI BERA</t>
  </si>
  <si>
    <t>KIDANY CAMILO</t>
  </si>
  <si>
    <t>LUIS FERNANDEZ-PELLON LARUMBE</t>
  </si>
  <si>
    <t>MOLLY CARBERRY</t>
  </si>
  <si>
    <t>EDWIN CAMPOS</t>
  </si>
  <si>
    <t>ALICIA GOODWIN</t>
  </si>
  <si>
    <t>SARAH WHYTE</t>
  </si>
  <si>
    <t>ERIC NODEN</t>
  </si>
  <si>
    <t>CARLOS DZINE ROLON</t>
  </si>
  <si>
    <t>GREGORIO CARLOS SALAZAR LERMONT</t>
  </si>
  <si>
    <t>PLESHETTE STRONG</t>
  </si>
  <si>
    <t>ELIZABETH JOHNSON 01</t>
  </si>
  <si>
    <t>WANEES ZAROUR</t>
  </si>
  <si>
    <t>NICHOLAS SINTOS</t>
  </si>
  <si>
    <t>BLACKROOTS ALLIANCE</t>
  </si>
  <si>
    <t>NATIONAL OPINION RESEARCH CENTER OF CHICAGO IL|CLEANED-UP</t>
  </si>
  <si>
    <t>CHICAGO MAHOGANY</t>
  </si>
  <si>
    <t>BRENDA GILBERT</t>
  </si>
  <si>
    <t>JAVIER VILLANUEVA 01</t>
  </si>
  <si>
    <t>TRQPITECA</t>
  </si>
  <si>
    <t>CHICAGO URBAN LEAGUE 01</t>
  </si>
  <si>
    <t>SACRED APARTMENTS OWNER</t>
  </si>
  <si>
    <t>HERE TO STAY CLT</t>
  </si>
  <si>
    <t>GLCU FOUNDATION FOR FINANCIAL EMPOWERMENT</t>
  </si>
  <si>
    <t>AMERICAN WRITERS MUSEUM</t>
  </si>
  <si>
    <t>MONICA RICKERT-BOLTER</t>
  </si>
  <si>
    <t>CHICAGO CHILDRENS MUSEUM</t>
  </si>
  <si>
    <t>THE LINCOLN PK ZOOLOGICAL SOC</t>
  </si>
  <si>
    <t>RENDEZVOUS ARTS</t>
  </si>
  <si>
    <t>LA CASA D' MI AMA</t>
  </si>
  <si>
    <t>NORTH LAWNDALE CATALYST INITIATIVE</t>
  </si>
  <si>
    <t>4300 ROOSEVELT</t>
  </si>
  <si>
    <t>ARTISTS BOOK HOUSE NFP</t>
  </si>
  <si>
    <t>IT TAKES A VILLAGE AT RIVER CITY</t>
  </si>
  <si>
    <t>BRIGHTVIEW LANDSCAPES</t>
  </si>
  <si>
    <t>COZO INDUSTRIES</t>
  </si>
  <si>
    <t>HRP CHICAGO</t>
  </si>
  <si>
    <t>FACETS FILM FORUM</t>
  </si>
  <si>
    <t>FRANK LLOYD WRIGHT PRESERVATION TRUST</t>
  </si>
  <si>
    <t>NATIONAL SOCIETY OF THE COLONIAL DAMES OF AMERICA</t>
  </si>
  <si>
    <t>CHICAGO BAR FOUNDATION</t>
  </si>
  <si>
    <t>HACIAACIA</t>
  </si>
  <si>
    <t>INNOVA SOLUTIONS</t>
  </si>
  <si>
    <t>BLACK ARTS &amp; CULTURE ALLIANCE</t>
  </si>
  <si>
    <t>WJKA</t>
  </si>
  <si>
    <t>DUE SOUTH FOUNDATION</t>
  </si>
  <si>
    <t>PEGASUS THEATRE CHICAGO</t>
  </si>
  <si>
    <t>POP UP PRODUCTIONS</t>
  </si>
  <si>
    <t>ZENCITY TECHNOLOGIES US</t>
  </si>
  <si>
    <t>TCB KEDZIE</t>
  </si>
  <si>
    <t>SWINFORD PARTNERS</t>
  </si>
  <si>
    <t>DAVIS VISION</t>
  </si>
  <si>
    <t>COGHLAN LAW</t>
  </si>
  <si>
    <t>GLOBAL PROTECTION</t>
  </si>
  <si>
    <t>SANOFI PASTEUR</t>
  </si>
  <si>
    <t>GLADYS R WILSON &amp; ASSOCIATES|CLEANED-UP</t>
  </si>
  <si>
    <t>MET LIFE</t>
  </si>
  <si>
    <t>PRENDERGAST PROPERTIES</t>
  </si>
  <si>
    <t>CONNECTYOURCARE</t>
  </si>
  <si>
    <t>AFSCME PERSONAL SUPPORT PROGRAM</t>
  </si>
  <si>
    <t>UNIT BUILDING</t>
  </si>
  <si>
    <t>2023 spike driven by large multi-year capital contracts,  I think!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</si>
</sst>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9" formatCode="&quot;$&quot;#,##0.0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 Unicode MS"/>
      <family val="2"/>
    </font>
    <font>
      <sz val="10"/>
      <color rgb="FFEAECF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 tint="0.39997558519241921"/>
      </left>
      <right/>
      <top/>
      <bottom/>
      <diagonal/>
    </border>
    <border>
      <left/>
      <right style="thin">
        <color theme="8" tint="0.39997558519241921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1" applyFont="1"/>
    <xf numFmtId="169" fontId="0" fillId="0" borderId="0" xfId="0" applyNumberFormat="1"/>
    <xf numFmtId="0" fontId="19" fillId="0" borderId="0" xfId="0" applyFont="1"/>
    <xf numFmtId="0" fontId="20" fillId="0" borderId="0" xfId="0" applyFont="1"/>
    <xf numFmtId="0" fontId="0" fillId="0" borderId="0" xfId="0" applyNumberFormat="1"/>
    <xf numFmtId="10" fontId="0" fillId="0" borderId="0" xfId="1" applyNumberFormat="1" applyFont="1"/>
    <xf numFmtId="0" fontId="21" fillId="0" borderId="0" xfId="0" applyFont="1"/>
    <xf numFmtId="0" fontId="13" fillId="33" borderId="10" xfId="0" applyFont="1" applyFill="1" applyBorder="1"/>
    <xf numFmtId="164" fontId="13" fillId="33" borderId="0" xfId="0" applyNumberFormat="1" applyFont="1" applyFill="1" applyBorder="1"/>
    <xf numFmtId="0" fontId="13" fillId="33" borderId="0" xfId="0" applyFont="1" applyFill="1" applyBorder="1"/>
    <xf numFmtId="0" fontId="13" fillId="33" borderId="11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</dxf>
    <dxf>
      <border outline="0">
        <top style="thin">
          <color theme="8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in Song" refreshedDate="46319.909142939818" createdVersion="8" refreshedVersion="8" minRefreshableVersion="3" recordCount="11408" xr:uid="{EF44530A-5B05-674C-A7E1-4BBBA1F44C8D}">
  <cacheSource type="worksheet">
    <worksheetSource name="Contracts"/>
  </cacheSource>
  <cacheFields count="8">
    <cacheField name="Contract ID" numFmtId="0">
      <sharedItems containsMixedTypes="1" containsNumber="1" containsInteger="1" minValue="2319" maxValue="335848"/>
    </cacheField>
    <cacheField name="Award Amount" numFmtId="0">
      <sharedItems containsSemiMixedTypes="0" containsString="0" containsNumber="1" minValue="1" maxValue="3020000000"/>
    </cacheField>
    <cacheField name="Size" numFmtId="0">
      <sharedItems count="5">
        <s v="5. $1M+"/>
        <s v="3. $50K-250K"/>
        <s v="4. $250K-1M"/>
        <s v="1. Under $10K"/>
        <s v="2. $10K-50K"/>
      </sharedItems>
    </cacheField>
    <cacheField name="Vendor" numFmtId="0">
      <sharedItems containsMixedTypes="1" containsNumber="1" containsInteger="1" minValue="2243" maxValue="2243" count="2782">
        <s v="FH PASCHEN SN NIELSEN &amp; ASSOCIATES"/>
        <s v="CITY ESCAPE GARDEN &amp; DESIGNLLC"/>
        <s v="DB STERLIN CONSULTANTS"/>
        <s v="INDEPENDENCE APARTMENTS LP"/>
        <s v="NORTHTOWN APARTMENTS LP"/>
        <s v="CATHOLIC CHARITIES OF THE ARCHDIOCESE OF CHICAGO"/>
        <s v="TAYLOR STREET LA"/>
        <s v="TRANSYSTEMS"/>
        <s v="MEDINAH TEMPLE BRASS BAND"/>
        <s v="SUTTON FORD"/>
        <s v="BRADFORD SYSTEMS"/>
        <s v="PAN-OCEANIC ENGINEERING"/>
        <s v="BENCHMARK CONSTRUCTION CO INC|CLEANED-UP"/>
        <s v="STUDIO ORD"/>
        <s v="MURRAY &amp; TRETTEL"/>
        <s v="ROSSI CONTRACTORS"/>
        <s v="ROOT BROTHERSMANUFACTURING &amp; SUPPLY"/>
        <s v="BUILDERS CHICAGO"/>
        <s v="C &amp; C COMMUNICATIONS"/>
        <s v="AIDS FOUNDATION OF CHICAGO|CLEANED-UP"/>
        <s v="SEVEN-D CONSTRUCTION"/>
        <s v="BIGANE PAVING COMPANY/O PLOTE CONSTRUCTION INC JV"/>
        <s v="ENTERPRISE LEASING CO OF CHICAGO"/>
        <s v="BOARD OF TRUSTEES OF COMMUNITY COLLEGE DISTRICT #508 COUNTY OF COOK &amp; STATE OF ILLINOIS"/>
        <s v="MCDERMOTT CENTER|CLEANED-UP"/>
        <s v="BOARD OF TRUSTEES OF THE UNIVERSITY OF ILLINOIS"/>
        <s v="CHICAGO RECOVERY ALLIANCE"/>
        <s v="UNIVERSITY OF CHICAGO 03"/>
        <s v="CHICAGO HOUSE &amp; SOCIAL SERVICE AGENCY"/>
        <s v="GARY JET CENTER"/>
        <s v="ROTORCRAFT SUPPORT"/>
        <s v="LEAVITT COMMUNICATIONS"/>
        <s v="GALLAGHER BASSETT"/>
        <s v="COMMUNITY SUPPORTIVE LIVING SYSTEMS SYSTEMS"/>
        <s v="PILSEN LITTLE VILLAGE COMMUNITY HCI|CLEANED-UP"/>
        <s v="ALLIED WASTE TRANSPORTATION"/>
        <s v="CHICAGO AIRLINES TERMINAL CONSORTIUM"/>
        <s v="SOUTH SIDE HELP CENTER 01"/>
        <s v="CENTER ON HALSTED"/>
        <s v="LAKE COUNTY HEALTH DEPARTMENT"/>
        <s v="HOWARD BROWN HEALTH CENTER"/>
        <s v="ERIE FAMILY HEALTH CENTER|CLEANED-UP"/>
        <s v="ANN &amp; ROBERT H LURIE CHILDREN'S HOSPITAL OF CHICAGO"/>
        <s v="MICHAEL REESE RESEARCH &amp; EDUCATION FOUNDATION"/>
        <s v="SINAI HEALTH SYSTEM"/>
        <s v="OPEN DOOR CLINIC OF GREATER ELGIN"/>
        <s v="ACCESS COMMUNITY HEALTH NETWORK|CLEANED-UP"/>
        <s v="LOYOLA UNIVERSITY HEALTH"/>
        <s v="SOUTH SHORE HOSPITALCORP"/>
        <s v="AIDS HEALTHCARE FOUNDATION"/>
        <s v="AECOM TECHNICAL SERVICES"/>
        <s v="ALLIANT INSURANCE SERVICES"/>
        <s v="PRO-TECH"/>
        <s v="SKIDMOREOWINGS &amp; MERRILL"/>
        <s v="FIFTH THIRD BANK NATIONAL ASSOCIATION"/>
        <s v="AERO SNOW REMOVAL (ILL)"/>
        <s v="J S REIMER"/>
        <s v="ADA S MC KINLEY COMMUNITY SERVICES"/>
        <s v="ALLISON'S INFANT &amp; TODDLER CENTER"/>
        <s v="CENTERS FOR NEW HORIZONS 01"/>
        <s v="CHICAGO CHILD CARE SOCIETY"/>
        <s v="CHICAGO COMMONS ASSOCIATION 02"/>
        <s v="CHICAGO YOUTH CENTERS"/>
        <s v="CHRISTOPHER HOUSE"/>
        <s v="EL HOGAR DEL NINO INC|CLEANED-UP"/>
        <s v="EL VALOR CORP 01|CLEANED-UP"/>
        <s v="ERIE NEIGHBORHOOD HOUSE"/>
        <s v="GADS HILL CENTER 01"/>
        <s v="HENRY BOOTH HOUSE 01|CLEANED-UP"/>
        <s v="KIMBALL DAYCARE CENTER &amp; KINDERGARTEN"/>
        <s v="MARY CRANE LEAGUE|CLEANED-UP"/>
        <s v="N &amp; K"/>
        <s v="NORTHWESTERN UNIVERSITY SETTLEMENT ASSOCIATION"/>
        <s v="SGA YOUTH &amp; FAMILY SERVICES NFP|CLEANED-UP"/>
        <s v="SHINING STAR YOUTH &amp; COMMUNITY SERVICES"/>
        <s v="THE MONTESSORI NETWORK"/>
        <s v="SALVATION ARMY FAMILY &amp; COMMUNITY SERVICES"/>
        <s v="TRINITY UNITED CHURCH OF CHRIST CHILD CARE CENTERS"/>
        <s v="YOUNG MEN'S CHRISTIAN ASSOCIATION OF CHICAGO"/>
        <s v="ALAIN LOCKE CHARTER SCHOOL"/>
        <s v="ALBANY PARK COMMUNITY CENTER"/>
        <s v="ALL STAR KIDS ACADEMY"/>
        <s v="ASIAN HUMAN SERVICES"/>
        <s v="BRAIN BOX LITERACY ACADEMY &amp; EDUCATIONAL SERVICES"/>
        <s v="BREAKTHROUGH URBAN MINISTRIES"/>
        <s v="CAROLE ROBERTSON CENTER FOR LEARNING"/>
        <s v="CASA CENTRAL SOCIAL SERVICES"/>
        <s v="CHILDREN'S CENTER FOR CREATIVE LEARNING"/>
        <s v="CHILDREN'S CENTER"/>
        <s v="CHILDREN'S HOME &amp; AID SOCIETY OF ILLINOIS"/>
        <s v="KIDS ABOVE ALL ILLINOIS"/>
        <s v="CHINESE AMERICAN SERVICE LEAGUE"/>
        <s v="CONCORDIA PLACE"/>
        <s v="BUSY BUMBLE BEE ACADEMY DAYCARE"/>
        <s v="CUDDLE CARE"/>
        <s v="DREAMCHILD DEVELOPMENT CENTER"/>
        <s v="EASTER SEALS METROPOLITAN CHICAGO"/>
        <s v="FIRST START CHILDCARE ACADEMY SOUTH"/>
        <s v="FORESIGHT CHILDREN LEARNING CENTER"/>
        <s v="HEAVEN'S LEARNING GARDEN"/>
        <s v="HIGHER LEARNING DAYCARE &amp; EDUCATION CENTER INC DBA HIGHER LEARNING CHILDCARE &amp; DEVELOPMENT"/>
        <s v="HOBBY HORSE NURSERY SCHOOL LIMITED DBA LAKE SHORE SCHOOLS"/>
        <s v="HOLY FAMILY MINISTRIES"/>
        <s v="INSTITUTE OF POSITIVE EDUCATION"/>
        <s v="J &amp; L FAMILY DAY CARE INC DBA J &amp; L FAMILY LEARNING CENTER"/>
        <s v="JUDAH INTERNATIONAL OUTREACH MINISTRIES"/>
        <s v="LAKEVIEW DEVELOPMENTCENTER DBA STEPPING INTO THE FUTURE"/>
        <s v="LAWNDALE EDUCATIONAL &amp; REGIONAL NETWORK CHARTER SCHOOL"/>
        <s v="LITERACY ZONE"/>
        <s v="LITTLE ACHIEVERS LEARNING CENTER"/>
        <s v="LITTLE GENIUS COMMUNITY DAYCARE CENTER"/>
        <s v="LITTLE HANDS CHILD CREATIVE CENTER"/>
        <s v="LOOP LEARNING CENTER"/>
        <s v="MARILLAC ST VINCENT FAMILY SERVICES INC DBA ST VINCENT DEPAUL CENTER"/>
        <s v="METROPOLITAN FAMILY SERVICE"/>
        <s v="MOTHER'S TOUCH INC II"/>
        <s v="NEW PISGAH MB CHURCH|CLEANED-UP"/>
        <s v="NORTH STAR CHILD DEVELOPMENT CENTER"/>
        <s v="ONE HOPE UNITED - NORTHERN REGION"/>
        <s v="ONWARD NEIGHBORHOOD HOUSE"/>
        <s v="OPTIONS FOR YOUTH"/>
        <s v="START EARLY"/>
        <s v="PATHWAYS TO LEARNING CHILD CARE CENTER"/>
        <s v="RACHEL'S LEARNING CENTERS LIMITED"/>
        <s v="REACH FOR THE STARS CHILDCARE ACADEMY"/>
        <s v="REFUGEEONE"/>
        <s v="SERENDIPITY CHILD CARE"/>
        <s v="SGA YOUTH &amp; FAMILY SERVICES NFP"/>
        <s v="SINAI COMMUNITY INSTITUTE"/>
        <s v="STAR KIDS MATH &amp; SCIENCE ACADEMY"/>
        <s v="STEPPING STONES EARLY CHILDHOOD LEARNING CENTER"/>
        <s v="SWEET PEA ACADEMY"/>
        <s v="BABY ACADEMY"/>
        <s v="TRUE TO LIFE FOUNDATION"/>
        <s v="WHIZ KIDS NURSERY CENTER"/>
        <s v="YOUNG ACHIEVERS ACADEMY"/>
        <s v="PERALTE-CLARK"/>
        <s v="PLOTE CONSTRUCTION INC / K-FIVE CONSTRUCTION CORP JOINT VENTURE"/>
        <s v="MCDONAGH DEMOLITION"/>
        <s v="NEIGHBORHOOD HOUSING SERVICES CHICAGO"/>
        <s v="HEKTOEN INSTITUTE FOR MEDICAL RESEARCH"/>
        <s v="STRYKER MEDICAL"/>
        <s v="VERIZON WIRELESS"/>
        <s v="TETRA TECH"/>
        <s v="BELL LITHO"/>
        <s v="BOARD OF EDUCATION OF THE CITY OF CHICAGO"/>
        <s v="HNTB"/>
        <s v="ALDRIDGE ELECTRIC"/>
        <s v="SANCHEZ PAVING"/>
        <s v="GLOBETROTTERS ENG"/>
        <s v="CHILDREN'S PLACE ASSOCIATION"/>
        <s v="LOOKING GOOD HAND CAR WASH"/>
        <s v="BAKER TILLY VIRCHOW KRAUSE"/>
        <s v="LITTLE KIDDIES"/>
        <s v="CARDINAL HEALTH"/>
        <s v="SKYTECH ENTERPRISES LIMITED|CLEANED-UP"/>
        <s v="CHICAGO PARK DISTRICT"/>
        <s v="IDEMIA IDENTITY &amp; SECURITY USA"/>
        <s v="MQ SEWER &amp; WATER CONTRACTORS"/>
        <s v="ELECTRONIC KNOWLEDGE INTERCHANGE"/>
        <s v="CHICAGO UNITED INDUSTRIES LIMITED"/>
        <s v="BLINDERMAN CONSTRUCTION"/>
        <s v="TREK BICYCLE"/>
        <s v="FOUNTAIN PROS"/>
        <s v="WALSH CONSTRUCTION COMPANY II"/>
        <s v="NEW LIFE CENTERS OF CHICAGOLAND NFP"/>
        <s v="INSTITUTE FOR NONVIOLENCE CHICAGO"/>
        <s v="UCAN (ULRICH CHILDRENS ADVANTAGE NETWORK)"/>
        <s v="UNIVERSAL FAMILY CONNECTION"/>
        <s v="BROADERURBANINVESTMENTLD"/>
        <s v="SOUTH-EAST ASIA CENTER|CLEANED-UP"/>
        <s v="K2 INTELLIGENCE"/>
        <s v="COHNREZNICK"/>
        <s v="COLONIAL OIL INDUSTRIES"/>
        <s v="JOHNSON CONTROLS FIRE PROTECTION LP"/>
        <s v="THRESHOLDS"/>
        <s v="BISHOP PLAZA"/>
        <s v="BELLA BAGNO"/>
        <s v="AIR ONE EQUIPMENT"/>
        <s v="INLINER SOLUTIONS"/>
        <s v="GRANITE INLINER"/>
        <s v="CURB MOBILITY"/>
        <s v="RESEARCH TRIANGLE INSTITUTE"/>
        <s v="MTX GROUP"/>
        <s v="COSTAR|CLEANED-UP"/>
        <s v="MACQUEEN EQUIPMENT"/>
        <s v="JOHN BURNS CONSTRUCTION"/>
        <s v="CAREMARK"/>
        <s v="LAWNDALE CHRISTIAN HEALTH CENTER"/>
        <s v="RUSH UNIVERSITY MEDICAL CENTER"/>
        <s v="ST BERNARDS HOSPITAL&amp;HEALTHCENTER"/>
        <s v="APNA GHAR"/>
        <s v="BEBON OFFICE MACHINES"/>
        <s v="SONRISA DENTAL PC"/>
        <s v="NOVACARE SERVICES"/>
        <s v="GRAYBAR ELECTRIC"/>
        <s v="AGILENT TECHNOLOGIES"/>
        <s v="NEIGHBOR SPACE (BOWMANVILLE GATEWAY GARDEN"/>
        <s v="CLARIDIGM"/>
        <s v="ALTERNATIVE SCHOOLS NETWORK"/>
        <s v="LAWNDALE CHRISTIAN LEGAL CENTER"/>
        <s v="PHALANX FAMILY SERVICES"/>
        <s v="PRECIOUS BLOOD MINISTRY OF RECONCILIATION NFP"/>
        <s v="CATHOLIC BISHOP OF CHICAGO - ST SABINA CHURCH"/>
        <s v="PUERTO RICAN CULTURAL CENTER"/>
        <s v="YOUTH ADVOCATE PROGRAM"/>
        <s v="CITY LIGHTS LIMITED/ZSL ELECTRIC"/>
        <s v="ACT 1 GROUP"/>
        <s v="RICONDO &amp; ASSOCIATES"/>
        <s v="ARAMARK SAFE HAVEN FOUNDATION"/>
        <s v="BEST IMAGING SOLUTIONS"/>
        <s v="NIGHT MINISTRY"/>
        <s v="PCC COMMUNITY WELLNESS CENTER"/>
        <s v="POLISH/AMERICAN ASSOCIATION"/>
        <s v="ALEXIAN BROTHERS BONAVENTURE HOUSE"/>
        <s v="HENRY'S SOBER LIVING HOUSE"/>
        <s v="ST LEONARD'S MINISTRIES|CLEANED-UP"/>
        <s v="VERA CREATIVE"/>
        <s v="NORTH LASALLE FINANCIAL ASSOCIATES"/>
        <s v="GREATER SW DEVELOPMENT"/>
        <s v="UPTOWN UNITED"/>
        <s v="CALUMET AREA INDUSTRIAL COMMISSIONS"/>
        <s v="NORTH RIVER COMMISSION 02"/>
        <s v="QUAD COMMUNITIES DVLPMNT CORP NFP"/>
        <s v="WISS JANNEY ELSTNER &amp; ASSOCIATES INC|CLEANED-UP"/>
        <s v="JASCULCA/TERMAN &amp; ASSOCIATES"/>
        <s v="MAT CONSTRUCTION LEASING"/>
        <s v="ALTERNATIVES"/>
        <s v="YWCA METROPOLITAN CHICAGO"/>
        <s v="HABILITATIVES SYSTEMS"/>
        <s v="UNITED ENTERPRISE"/>
        <s v="PUBLIC HEALTH INSTITUTE OF METROPOLITAN CHICAGO"/>
        <s v="ALLIES FOR COMMUNITY BUSINESS"/>
        <s v="RELIABLE CONTRACTING &amp; EQUIPMENT"/>
        <s v="FLOWERS COMMUNICATIONS GROUP"/>
        <s v="CORE COMMUNITY ORGANIZED RELIEF EFFORT"/>
        <s v="CHICAGO PUBLIC SCHOOLS"/>
        <s v="LAKESHORE RECYCLING SYSTEMS"/>
        <s v="ILLINOIS ACTION FOR CHILDREN"/>
        <s v="NEW MOMS"/>
        <s v="PILSEN-LITTLE VILLAGE COMMUNITY MENTAL HEALTH CENTER"/>
        <s v="PACE SYSTEMS"/>
        <s v="W9 MLM REAL ESTATE LP"/>
        <s v="NATIONAL LOUIS UNIVERSITY"/>
        <s v="PAUL BORG CONSTRUCTION"/>
        <s v="PACIFIC CONSTRUCTION SERVICES"/>
        <s v="LEOPARDO COMPANIES"/>
        <s v="ANCHOR MECHANICAL"/>
        <s v="DELAWARE CARS/TR HARMSEN CORP JV"/>
        <s v="LAZ PARKING MIDWEST"/>
        <s v="NATIONAL FOUNDATION FOR THE CENTERS FOR DISEASE CONTROL &amp; PREVENTION"/>
        <s v="DELOITTE &amp; TOUCHE"/>
        <s v="CAPITOL CEMENT"/>
        <s v="K-FIVE CONSTRUCTION"/>
        <s v="SILK SCREEN EXPRESS"/>
        <s v="ALLIANCE DEMOLITION SERVICES"/>
        <s v="ACCEL CONSTRUCTION SERVICES GROUP"/>
        <s v="EMSYSTEMS"/>
        <s v="LADDER UP"/>
        <s v="ASI"/>
        <s v="ENVISION COMMUNITY SERVICES"/>
        <s v="TOGETHER CHICAGO"/>
        <s v="DH SYSTEMS SOLUTIONS"/>
        <s v="MEDICAL SOLUTIONS"/>
        <s v="KYNDRYL"/>
        <s v="INFINITY CF"/>
        <s v="INFOR PUBLIC SECTOR"/>
        <s v="SUMIT CONSTRUCTION"/>
        <s v="ATHENA CONSULTING"/>
        <s v="MWM CONSULTING GROUP"/>
        <s v="BEHAR X SCHACHMAN"/>
        <s v="PERATON"/>
        <s v="REMI GROUP"/>
        <s v="G &amp; V CONSTRUCTION"/>
        <s v="PLUMBING PROFESSIONALS"/>
        <s v="LAW ENFORCEMENT PSYCHOLOGICAL SERVICES"/>
        <s v="CHAPIN HALL CENTER FOR CHILDREN"/>
        <s v="PUBLIC BUILDING COMMISSION CHICAGO"/>
        <s v="AUNT MARTHA'S YOUTH SERVICES CENTER"/>
        <s v="ENLACE CHICAGO"/>
        <s v="TRILOGY"/>
        <s v="PLANNED PARENTHOOD OF ILLINOIS"/>
        <s v="COMMUNITY INVESTMENT CORP 01"/>
        <s v="RAUSCH INFRASTRUCTURE"/>
        <s v="PRIMO CENTER FOR WOMEN &amp; CHILDREN"/>
        <s v="ALL CHICAGO MAKING HOMELESSNESS HISTORY"/>
        <s v="CENTER FOR HOUSING AND HEALTH"/>
        <s v="DEBORAH'S PLACE 01"/>
        <s v="HOUSING OPPORTUNITIES FOR WOMEN"/>
        <s v="INSPIRATION CORPORATION CHICAGO"/>
        <s v="LA CASA NORTE"/>
        <s v="MERCY HOUSING LAKEFRONT"/>
        <s v="NORTH SIDE HOUSING &amp; SUPPORTIVE SERVICES"/>
        <s v="OLIVE BRANCH MISSION 01|CLEANED-UP"/>
        <s v="INNER VOICE"/>
        <s v="A LITTLE BIT OF HEAVEN"/>
        <s v="A SAFE HAVEN FOUNDATION"/>
        <s v="OPEN KITCHENS"/>
        <s v="CHRISTIAN COMMUNITY HEALTH CENTER"/>
        <s v="CONNECTIONS FOR ABUSED WOMEN &amp; THEIR CHILDREN"/>
        <s v="MUJERES LATINAS EN ACCION"/>
        <s v="CORNERSTONE COMMUNITY OUTREACH"/>
        <s v="CHICAGO CHILDREN'S ADVOCACY CENTER"/>
        <s v="COVENANT HOUSE ILLINOIS"/>
        <s v="FAMILY RESCUE"/>
        <s v="FEATHERFIST"/>
        <s v="FRANCISCAN OUTREACH"/>
        <s v="GOOD NEWS PARTNERS"/>
        <s v="LINCOLN PARK COMMUNITY SERVICES"/>
        <s v="INSTITUTE FOR WOMEN TODAY"/>
        <s v="NEOPOLITAN LIGHTHOUSE C/O"/>
        <s v="SARAH'S CIRCLE"/>
        <s v="BOULEVARD OF CHICAGO"/>
        <s v="UNITY PARENTING &amp; COUNSELING"/>
        <s v="CENTER FOR CHANGING LIVES"/>
        <s v="HEARTLAND HUMAN CARE SERVICES"/>
        <s v="LAWYERS COMMITTEE FOR BETTER HOUSING"/>
        <s v="IGNITE ORG"/>
        <s v="LEGAL COUNCIL FOR HEALTH JUSTICE"/>
        <s v="MATTHEW HOUSE"/>
        <s v="RENAISSANCE SOCIAL SERVICES"/>
        <s v="WM INITIATIVES"/>
        <s v="SOUTHEAST CHICAGO CHAMBER"/>
        <s v="ALLIANCE REHAB"/>
        <s v="SARAH'S INN"/>
        <s v="ACCESS LIVING OF METROPOLITAN CHICAGO"/>
        <s v="INDEPENDENT LIVING SOLUTIONS"/>
        <s v="STORY &amp; REACH INITIATIVES"/>
        <s v="ALLIANCE CARE 360"/>
        <s v="BRAVE SPACE ALLIANCE"/>
        <s v="TAPROOTS"/>
        <s v="SIKICH"/>
        <s v="MARILLAC ST VINCENT FAMILY SERVICES"/>
        <s v="NORTHSIDE COMMUNITY DEVELOPMENT CORPORATION|CLEANED-UP"/>
        <s v="COALITION OF LIMITED ENGLISH SPEAKING ELDERLY"/>
        <s v="LIFE-SPAN"/>
        <s v="ASCEND JUSTICE"/>
        <s v="EXTENDED HOME LIVING SERVICES|CLEANED-UP"/>
        <s v="EXTENDED HOME LIVING SERVICES"/>
        <s v="THEUS PROPERTY HOLDINGS"/>
        <s v="TEAMWORK ENGLEWOOD"/>
        <s v="COMMUNITY ASSISTANCE PROGRAMS"/>
        <s v="HOWARD AREA COMMUNITY CENTER 01"/>
        <s v="GREATER CHICAGO FOOD DEPOSITORY"/>
        <s v="PATSON"/>
        <s v="ETHIOPIAN COMMUNITY ASSOCIATION OF CHICAGO"/>
        <s v="GREATER WEST TOWN COMMUNITY DEVELOPMENT PROJECT"/>
        <s v="JANE ADDAMS RESOURCE"/>
        <s v="CHICAGO WOMEN IN TRADES"/>
        <s v="NORTH LAWNDALE EMPLOYMENT NETWORK"/>
        <s v="ASSOCIATION HOUSE OF CHICAGO"/>
        <s v="SAFER FOUNDATION 01"/>
        <s v="PODER LEARNING CENTER"/>
        <s v="CHICAGO URBAN LEAGUE DEV"/>
        <s v="CHINESE MUTUAL AID ASSOCIATION"/>
        <s v="SKILLS FOR CHICAGOLAND'S FUTURE"/>
        <s v="EMPLOYMENT &amp; EMPLOYER SERVICES"/>
        <s v="GOODWILL INDUSTRIES OF METROPOLITAN CHICAGO"/>
        <s v="TRAVELERS &amp; IMMIGRANTS AID'S HEARTLAND ALLIANCE FOR HUMAN NEEDS &amp; HUMAN RIGHTS"/>
        <s v="WESTSIDE HEALTH AUTHORITY"/>
        <s v="KOREAN AMERICAN COMMUNITY SERVICES"/>
        <s v="NATIONAL LATINO EDUCATION INSTITUTE"/>
        <s v="THE CARA PROGRAM"/>
        <s v="MIDWEST ASIAN HEALTH ASSOCIATION (MAHA)"/>
        <s v="HOPE CENTER FOUNDATION"/>
        <s v="AFRICAN AMERICAN CHRISTIAN FOUNDATION"/>
        <s v="CHICAGO HORTICULTURAL SOCIETY"/>
        <s v="LE PENSEUR YOUTH &amp; FAMILY SERVICES"/>
        <s v="CHICAGO LIGHTHOUSE FOR PEOPLE WHO ARE BLIND OR VISUALLY IMPAIRED"/>
        <s v="GROWING HOMES"/>
        <s v="RESURRECTION PROJECT"/>
        <s v="CENTRO ROMERO"/>
        <s v="BETWEEN FRIENDS"/>
        <s v="UNQORK"/>
        <s v="PETERSON-PULASKI BUS IND COUNCIL"/>
        <s v="INDUSTRIAL COUNCIL OF NW COMN"/>
        <s v="BACK OF THE YARDS NEIGHBORHOOD COUNCIL"/>
        <s v="GREATER SOUTHWEST DEV"/>
        <s v="LAWNDALE BUSINESS RENAISSANCE ASSOCIATION"/>
        <s v="NORTH BRANCH WORKS"/>
        <s v="GREATER RAVENSWOOD CHAMBER OF COMMERCE NFP"/>
        <s v="GREATER NW CHICAGO DEV"/>
        <s v="LATINUNITEDCOMMUNITYHOUSINGA SERVICES"/>
        <s v="BICKERDIKE REDEVELOPMENTCORPORATION"/>
        <s v="VOICE OF THE PEOPLE"/>
        <s v="CLARETIAN ASSOCIATES|CLEANED-UP"/>
        <s v="COMMON PANTRY"/>
        <s v="GARFIELD PARK COMMUNITY COUNCIL"/>
        <s v="CLARETIAN ASSOCIATES"/>
        <s v="ZAM'S HOPE"/>
        <s v="FAR SOUTH COMMUNITY DEVELOPMENT"/>
        <s v="GREATER AUBURN GRESHAM DEVELOPMENT"/>
        <s v="NORTHWEST SIDE CDC"/>
        <s v="FIRST COMMUNITY LAND TRUST OF CHICAGO"/>
        <s v="HOUSING OPPORTUNITIES &amp; MAINTENANCE FOR THE ELDERLY"/>
        <s v="NEAR WEST SIDE COMMUNITY DEVELOPMENT"/>
        <s v="ALLIANCE OF LOCAL SERVICE ORGANIZATIONS"/>
        <s v="OMOTOSHO &amp; ASSOCIATES CPA'S"/>
        <s v="COMMUNITY INITIATIVES"/>
        <s v="NHS REDEVELOPMENT"/>
        <s v="HISTORIC CHICAGO BUNGALOW (LISC)|CLEANED-UP"/>
        <s v="BETHEL NEW LIFE FOUNDATION DBA WEST SIDE FORWARD 01"/>
        <s v="CSI 3000 CONSTRUCTION JV"/>
        <s v="OMICRON TECHNOLOGY SOLUTIONS"/>
        <s v="COOK COUNTY HLTH &amp; HOSPITAL"/>
        <s v="ASHLAUR CONSTRUCTION JV"/>
        <s v="HASTINGS CENTER OFFICE"/>
        <s v="ILLINOIS CHAPTER AMERICAN ACADEMY OF PEDIATRICS"/>
        <s v="METROPOLITAN TENANTS ORGAN 01"/>
        <s v="ABNA OF ILLINOIS"/>
        <s v="CDM SMITH"/>
        <s v="A3 ENVIRONMENTAL"/>
        <s v="RAMBOLL US"/>
        <s v="SPECIALTY CONSULTING"/>
        <s v="ECS MIDWEST"/>
        <s v="ROUX ASSOCIATES"/>
        <s v="DESIGN CONSULTING ENGINEERS"/>
        <s v="V3 COMPANIES LIMITED"/>
        <s v="TERRACON CONSULTANTS"/>
        <s v="CARNOW CONIBEAR &amp; ASSOC LIMITED"/>
        <s v="HUFF &amp; HUFF"/>
        <s v="HEY &amp; ASSOCIATES"/>
        <s v="2IM GROUP"/>
        <s v="WIGHT &amp;"/>
        <s v="GSG CONSULTANTS"/>
        <s v="ENVIRONMENTAL DESIGN INTERNATIONAL|CLEANED-UP"/>
        <s v="APTIM GOVERNMENT SOLUTIONS"/>
        <s v="ARCADIS US"/>
        <s v="SMITHGROUPJJR"/>
        <s v="GRANITE CONSTRUCTION"/>
        <s v="PHI TAK CENTER"/>
        <s v="METRA TRANSPORTATION"/>
        <s v="UNITED AFRICAN ORGANIZATION"/>
        <s v="SPANISH COALITION FOR HOUSING"/>
        <s v="S&amp;J CONSTRUCTION CO INC &amp; KAPO CONSTRUCTION INC JV"/>
        <s v="GIVEDIRECTLY"/>
        <s v="NORTHWEST SIDE HOUSING CENTER"/>
        <s v="SOUTHWEST ORGANIZING PROJECT"/>
        <s v="GENUINE PARTS"/>
        <s v="FRANK COONEY"/>
        <s v="HOLLYWOOD HOUSE LP"/>
        <s v="ASPIRA INC OF ILLINOIS"/>
        <s v="CHRIST UNIVERSAL TEMPLE"/>
        <s v="AMOONJUMP4U"/>
        <s v="BOYS &amp; GIRLS CLUBS OF CHICAGO"/>
        <s v="CENTRAL STATES SER JOBS FOR PROGRESS"/>
        <s v="GARY COMER YOUTH CENTER"/>
        <s v="KLEO COMMUNITY FAMILY LIFE CENTER"/>
        <s v="KUUMBA LYNX 01"/>
        <s v="LAWRENCE HALL SCHOOL FOR BOYS"/>
        <s v="MIKVA CHALLENGE GRANT FOUNDATION"/>
        <s v="PROJECT: VISION"/>
        <s v="GREATER CHATHAM INITIATIVE"/>
        <s v="ASKREPLY"/>
        <s v="MAGNIFICENT MILE ASSOCIATION"/>
        <s v="BRIGHT STAR COMMUNITY OUTREACH"/>
        <s v="JINA VALENTINE STUDIO"/>
        <s v="NORTHERN ILLINOIS UNIVERSITY"/>
        <s v="AM BUS"/>
        <s v="BROWN FARMER MEDIA GROUP"/>
        <s v="AGAPE MISSIONS"/>
        <s v="COLD CHAIN TECHNOLOGY SERVICES LLC|CLEANED-UP"/>
        <s v="THE ABERDEEN GROUP"/>
        <s v="CAROLINA THERAPEUTIC SERVICES"/>
        <s v="INNER-CITY MUSLIM ACTION"/>
        <s v="FRIEND FAMILY HEALTH CENTER"/>
        <s v="INFANT WELFARE SOCIETY OF CHICAGO"/>
        <s v="ASIAN HMNSERVICE FAM HLTH CENTER"/>
        <s v="ST ANTHONY HOSPITAL"/>
        <s v="ENVISION UNLIMITED"/>
        <s v="WEST HUMBOLDT PARK FAMILY &amp; COMMUNITY DEVELOPMENT COUNCIL"/>
        <s v="BORDERLESS WORKSHOP"/>
        <s v="IAYV"/>
        <s v="NEW COVENANT CDC"/>
        <s v="MORENO ARCHITECTS LIMITED DBA JGMA"/>
        <s v="AT&amp;T"/>
        <s v="PRIMECARE COMMUNITY HEALTH CENTER"/>
        <s v="CHARTWELL RX"/>
        <s v="GHAFARI ASSOCIATES"/>
        <s v="SOLOMON CORDWELL BUENZ &amp; ASSOCIATES"/>
        <s v="EXP US SERVICES"/>
        <s v="A EPSTEIN &amp; SONS INTERNATIONAL"/>
        <s v="GENSLER ARCHITECTURE P C"/>
        <s v="BURNS &amp; MCDONNELL ENGINEERING"/>
        <s v="MOUNT TRANSIT"/>
        <s v="COMMUNITY &amp; ECONOMIC DEVELOPMENT ASSOCIATION OF COOK COUNTY INC (CEDA)"/>
        <s v="BORDERLESS STUDIO"/>
        <s v="ALL-TECH DECORATING"/>
        <s v="STREET GLASS PRODUCTIONS"/>
        <s v="C/Z DESIGN STRATEGIES"/>
        <s v="RAVENSWOOD SPECIAL EVENTS"/>
        <s v="ILLINOIS RESTAURANT ASSOCIATION"/>
        <s v="KOBOTECH"/>
        <s v="CHICAGO ALLIANCE AGAINST SEXUAL EXPLOITATION"/>
        <s v="AECOM SERVICES OF ILLINOIS"/>
        <s v="DL INDEPENDENT SERVICE"/>
        <s v="ALIVIO MEDICAL CENTERINC"/>
        <s v="CHICAGO FAMILY HEALTH CENTER"/>
        <s v="AV CHICAGO"/>
        <n v="2243"/>
        <s v="ILLINOIS HEALTH &amp; HOSPITAL ASSOCIATION"/>
        <s v="BOBBY E WRIGHT COMPREHENSIVE BEHAVIORAL HEALTH"/>
        <s v="TCA HEALTH"/>
        <s v="NETWORK ADVOCATING AGAINST DOMESTIC VIOLENCE"/>
        <s v="CHICAGO COOK WORKFORCE PARTNERSHIP"/>
        <s v="LEONARD SURYAJAYA"/>
        <s v="TERRY DOWD"/>
        <s v="NFA SPACE CONTEMPORARY &amp;"/>
        <s v="DUKE UNIVERSITY"/>
        <s v="ALFRED BENESCH &amp;"/>
        <s v="COMMUNITY EDUCATION NETWORK DBA IT TAKES A VILLAGE FAMILY OF SCHOOLS"/>
        <s v="VIVA USA"/>
        <s v="UNITED WAY OF METROPOLITAN CHICAGO"/>
        <s v="WIGHT"/>
        <s v="T Y LIN INTERNATIONAL GREAT LAKES INC|CLEANED-UP"/>
        <s v="DLZ ILLINOIS"/>
        <s v="COLLINS ENGINEERS"/>
        <s v="WSP USA"/>
        <s v="APEX CONSULTING ENGINEERS"/>
        <s v="CIVILTECH ENGINEERING"/>
        <s v="H W LOCHNER"/>
        <s v="STANLEY CONSULTANTS"/>
        <s v="RODERICK GROUP"/>
        <s v="MILHOUSE ENGINEERING &amp; CONSTRUCTION"/>
        <s v="ESI CONSULTANTS LIMITED|CLEANED-UP"/>
        <s v="CHICAGO ABORTION FUND"/>
        <s v="MOTOROLA SOLUTIONS CONNECTIVITY"/>
        <s v="ELEVATE ENERGY"/>
        <s v="MOUNT SINAI HOSPITAL MEDCL CNT"/>
        <s v="SWEDISH COVENANT HOSPITALLABDEPARTMENT LAB DEPARTMENT"/>
        <s v="UNIVERSITY OF CHICAGO - MEDICAL CENTER"/>
        <s v="CHINESE CONSOLIDATED BENEVOLENT ASSOCIATION OF CHICAGO"/>
        <s v="KOREAN-AMERICAN SENIOR CENTER"/>
        <s v="METROPOLITAN ASIAN FAMILY SERVICES"/>
        <s v="INDO - AMERICAN CENTER"/>
        <s v="K L F ENTERPRISES"/>
        <s v="JOSEPH J HENDERSON &amp; SON"/>
        <s v="CITY UTILITY EQUIPMENT SALES &amp; LEASING"/>
        <s v="LCPTRACKER"/>
        <s v="SUSAN KENNEDY-RIECHERS"/>
        <s v="ADVOCATE ILLINOIS MASONIC MEDICAL CENTER"/>
        <s v="ACADEMY OF SCHOLASTIC"/>
        <s v="BUS &amp; TRUCK OF CHICAGO"/>
        <s v="UNIVERSAL PROTECTION SERVICE LLC DBA ALLIED UNIVERSAL SECURITY SERVICES"/>
        <s v="BETTER BOYS FOUNDATION"/>
        <s v="JIMMY D'S BODY &amp; FENDER|CLEANED-UP"/>
        <s v="FIRE SERVICE"/>
        <s v="ACCLIVUS"/>
        <s v="EARLY CHILD CARE SERVICES"/>
        <s v="FAMILY FOCUS"/>
        <s v="OUR REVIVAL CHICAGO"/>
        <s v="ROSS BARNEY ARCHITECTS"/>
        <s v="CECIL MCDONALD JR"/>
        <s v="FRANK'S AUTO GLASS"/>
        <s v="ARTS AUTO REBUILDERS"/>
        <s v="MES-ILLINOIS"/>
        <s v="FARRWEST ENVIRONMENTAL SUPPLY"/>
        <s v="SIGNATURE FLIGHT SUPPORT"/>
        <s v="EQUITABLE SOCIAL SOLUTIONS"/>
        <s v="DATAMADE"/>
        <s v="PROJECT ORG &amp; DESIGN STUDIO"/>
        <s v="CBG MIDWEST LLC DBA AMERICAN BUILDING SERVICES"/>
        <s v="WEST CHESTERFIELD COMM SERVICE"/>
        <s v="ILLINOIS COLLEGE OF OPTOMETRY"/>
        <s v="TROPICAL OPTICAL"/>
        <s v="AGELESS EYE CARE PC"/>
        <s v="CORISE ILLINOIS"/>
        <s v="ANOTHER CHANCE CHURCH"/>
        <s v="GUIDEHOUSE"/>
        <s v="4800 N DAMEN"/>
        <s v="ADVOCATE HEALTH &amp; HOSPITALS"/>
        <s v="BROADWAY ELECTRIC"/>
        <s v="BEYOND THE BALL NFP"/>
        <s v="CHICAGO CENTER FOR ARTS &amp; TECHNOLOGY"/>
        <s v="CHICAGO TRAINING CENTER"/>
        <s v="CHICAGO YOUTH BOXING CLUB"/>
        <s v="CHICAGO YOUTH PROGRAMS INC|CLEANED-UP"/>
        <s v="CHICAGO-LAWNDALE AMACHI MENTORING PROGRAM (LAMP)"/>
        <s v="CIRC ESTEEM"/>
        <s v="INSTITUTE FOR LATINO PROGRESS"/>
        <s v="LITTLE BLACK PEARL WORKSHOP PEAR FESTIVAL"/>
        <s v="MAPSCORP"/>
        <s v="NEW LIFE CENTERS OF CHICAGOLAND NFP|CLEANED-UP"/>
        <s v="PROJECT EXPLORATION"/>
        <s v="EL RINCON SUPPORTIVE SERVICES SRVC ORGN"/>
        <s v="SOUTH SHORE DRILL TEAM &amp; PERFORMING ARTS ENSEMBLE|CLEANED-UP"/>
        <s v="ST JOSEPH SERVICES"/>
        <s v="COMMUNITY BUILDERS"/>
        <s v="UNION LEAGUE BOYS AND GIRLS CLUBS"/>
        <s v="VIETNAMESE ASSOCIATION OF ILLINOIS|CLEANED-UP"/>
        <s v="MALE MOGUL INITIATIVE INC NFP"/>
        <s v="XS TENNIS &amp; EDUCATION FOUNDATION"/>
        <s v="YOUNG MEN'S EDUCATIONAL NETWORK"/>
        <s v="YOUTH GUIDANCE"/>
        <s v="UNITED AIRLINES"/>
        <s v="LUTHERAN SOCIAL SERVICES OF ILLINOIS"/>
        <s v="MCHC-CHICAGO HOSPITAL COUNCIL"/>
        <s v="TEDDY BEAR NURSERY SCHOOLS"/>
        <s v="CHICAGO PARKS FOUNDATION"/>
        <s v="HAVAS WORLDWIDE CHICAGO"/>
        <s v="ADSYSTECH"/>
        <s v="ESPERANZA HEALTH CENTER"/>
        <s v="LAKEVIEW PANTRY"/>
        <s v="TOP BOX FOODS"/>
        <s v="A KNOCK AT MIDNIGHT NFP"/>
        <s v="AFTER-SCHOOL MATTERS INC|CLEANED-UP"/>
        <s v="ARAB AMERICAN ACTION NETWORK"/>
        <s v="BRIGHTON PARK NEIGHBORHOOD COUNCIL|CLEANED-UP"/>
        <s v="CATHOLIC YOUTH MINISTRY CENTER AT MORGAN PARK HIGH SCHOOL"/>
        <s v="CENTER FOR COMPANIES THAT CARE"/>
        <s v="FAMILY MATTERS"/>
        <s v="GIRL SCOUTS OF GREATER CHICAGO &amp; NORTHWEST INDIANA"/>
        <s v="GUITARS OVER GUNS ORGANIZATION"/>
        <s v="KIPP CHICAGO SCHOOLS"/>
        <s v="LOGAN SQUARE NEIGHBORHOOD ASSOCIATIONASSOCIATION"/>
        <s v="METROSQUASH"/>
        <s v="NOBLE NETWORK CHARTER SCHOOL"/>
        <s v="PUI TAK CENTER"/>
        <s v="SIMPLE GOOD"/>
        <s v="SKYART NFP"/>
        <s v="TOWERS OF EXCELLENCE"/>
        <s v="URBAN INITIATIVES INC NFP"/>
        <s v="GARFIELD PARK CONSERVATORY"/>
        <s v="FAME CENTER"/>
        <s v="ARTISTS BREAKING LIMITS &amp; EXPECTATIONS"/>
        <s v="FUND FOR INNOVATIVE TV"/>
        <s v="CERQUA RIVERA ART EXPERIENCE"/>
        <s v="ALBANY PARK THEATER PROJECT"/>
        <s v="BARREL OF MONKEYS PRODUCTIONS"/>
        <s v="ARTISTS COOPERATIVE RESIDENCY &amp; EXHIBITIONS"/>
        <s v="FRIENDS OF THE GAMELAN"/>
        <s v="MUNTU DANCE THEATRE OF CHICAGO"/>
        <s v="ILLINOIS HUMANITIES COUNCIL"/>
        <s v="I AM LOGAN SQUARE"/>
        <s v="PERCEPTUAL MOTION"/>
        <s v="MEXICAN FOLKLORIC DANCE CO OF CHICAGO"/>
        <s v="MERIT SCHOOL OF MUSIC"/>
        <s v="NAJWA DANCE CORPS 01"/>
        <s v="MANDALA SOUTH ASIAN PERFORMING ARTS"/>
        <s v="RED LINE SERVICE INSITUTE"/>
        <s v="HUBBARD STREET DANCE CHICAGO"/>
        <s v="HEAVEN GALLERY"/>
        <s v="DLT SOLUTIONS"/>
        <s v="ERASING THE DISTANCE"/>
        <s v="NATIONAL CAMBODIAN HERITAGE MUSEUM &amp; KILLING FIELDS MEMORIAL"/>
        <s v="EN LAS TABLAS PERFORMING ARTS NFP"/>
        <s v="CHICAGO FILM ARCHIVES NFP"/>
        <s v="CHICAGO ART DEPARTMENT"/>
        <s v="URBAN GATEWAYS"/>
        <s v="BALZEKAS MUSEUM OF LITHUANIAN CULTURE"/>
        <s v="NATYA DANCE"/>
        <s v="IMAGINATION THEATER INC 01"/>
        <s v="HYDE PARK JAZZ FESTIVAL"/>
        <s v="HAITIAN AMERICAN MUSEUM"/>
        <s v="BLACK ENSEMBLE THEATRE"/>
        <s v="DIASPORAL RHYTHMS NFP"/>
        <s v="FREE STREET THEATER"/>
        <s v="FREE SPIRIT MEDIA NFP"/>
        <s v="CHICAGO METAMORPHOSIS ORCHESTRA PROJECT"/>
        <s v="CHICAGO MEDIA PROJECT"/>
        <s v="FREE LUNCH ACADEMY"/>
        <s v="CHAI COLLABORATIVE ENSEMBLE NFP"/>
        <s v="CHICAGO A CAPPELLA"/>
        <s v="CHICAGO KIDS"/>
        <s v="CHICAGO MOBILE MAKERS"/>
        <s v="COMMUNITY FILM WORKSHOP OF CHICAGO"/>
        <s v="CHICAGO CABARET PROFESSIONALS"/>
        <s v="AECOM-DBS"/>
        <s v="DEEPLY ROOTED PRODUCTIONS"/>
        <s v="TIMELINE THEATRE"/>
        <s v="PROJECT ONWARD"/>
        <s v="PROFESSIONAL THEATRE &amp; DANCE YOUTH ACADEMY"/>
        <s v="POETRY CENTER OF CHICAGO"/>
        <s v="CINEMA/CHICAGO THE CHICAGO INT"/>
        <s v="JAZZ INSTITUTE OF CHICAGO"/>
        <s v="CHICAGO LATINO THEATER"/>
        <s v="FLOATING MUSEUM"/>
        <s v="CLINARD DANCE THEATRE"/>
        <s v="CHICAGO SCULPTURE INTERNATIONAL"/>
        <s v="CHICAGO SINFONIETTA"/>
        <s v="BIG BROTHERS-BIG SISTERS OF METROPOLITAN CHICAGO|CLEANED-UP"/>
        <s v="COMMUNITY DEVELOPMENT INSTITUTE"/>
        <s v="LIFE DIRECTIONS"/>
        <s v="AUSTIN CHAMBER OF COMMERCE"/>
        <s v="TOUCH GIFT FOUNDATION"/>
        <s v="INURBAN STRATEGIES"/>
        <s v="LAKEVIEW ROSCOE VILLAGE CHAMBER OF COMMERCE"/>
        <s v="PREVENTION PARTNERSHIP"/>
        <s v="PROJECT RESTORE INITIATIVE"/>
        <s v="REFLECTIONS FOUNDATION"/>
        <s v="TARGET AREA DEVELOPMENT"/>
        <s v="THE ALLIANCE 98"/>
        <s v="UNIVERSIDAD POPULAR/CENTRO LAT"/>
        <s v="WESTCARE ILLINOIS"/>
        <s v="EL BRASERITO"/>
        <s v="PARTNERS IN HEALTH"/>
        <s v="SOUTH CHICAGO DANCE THEATRE"/>
        <s v="URBAN JUNCTURE FOUNDATION"/>
        <s v="REINVETABILITY"/>
        <s v="MAKING A DIFFERENCE DANCING RHYTHMS ORGANIZATION"/>
        <s v="WEST POINT FELLOWSHIP"/>
        <s v="WINDY CITY PERFORMING ARTSINC"/>
        <s v="WOMEN MADE GALLERY"/>
        <s v="WATER PEOPLE THEATER GROUP"/>
        <s v="VOICES OF YOUTH ENSEMBLE"/>
        <s v="CHINESE AMERICAN MUSEUM OF CHICAGO"/>
        <s v="6018 NORTH KENMORE AVENUE"/>
        <s v="ABOUT FACE THEATRE COLLECTIVE"/>
        <s v="THIRD COAST PERCUSSION NFP"/>
        <s v="PALETTE &amp; CHISEL ACADEMY OF FINE ARTS"/>
        <s v="THREE WALLS"/>
        <s v="KHECARI"/>
        <s v="TERRITORY NFP"/>
        <s v="TEATRO VISTA THEATRE W/VIEW"/>
        <s v="INSTITUTO CERVANTES OF CHICAGO"/>
        <s v="MARWEN FOUNDATION"/>
        <s v="HELL IN A HANDBAG PRODUCTIONS"/>
        <s v="CHICAGO DRAMATISTS WORKSHOPS"/>
        <s v="HAPPINESS CLUB"/>
        <s v="GIFT THEATRE"/>
        <s v="MIRACLE CENTER"/>
        <s v="CHAMPS MALE MENTORING PROGRAM-CHIRISE"/>
        <s v="JONATHAN CASTILLO"/>
        <s v="STEPPEN WOLF THEATRE"/>
        <s v="MUSICAL ARTS INSTITUTE"/>
        <s v="THIRD COAST INTERNATIONAL AUDIO FESTIVAL"/>
        <s v="MAKE LITERARY PRODUCTIONS NFP"/>
        <s v="PRIDE FILMS &amp; PLAYS"/>
        <s v="NORWOOD SENIORS NETWORK ASSOCIATION"/>
        <s v="SERENDIPITY THEATRE"/>
        <s v="SOUTHWEST SIDE SENIORS SERVICES ORGANIZATION"/>
        <s v="GILLOURY INSTITUTE"/>
        <s v="MCFARLANE DOUGLASS &amp;"/>
        <s v="SEGUNDO RUIZ BELVIS CULTURAL CENTER"/>
        <s v="BEVERLY ARTS CENTER"/>
        <s v="BALLET FOLKLORICO DE CHICAGO"/>
        <s v="VICARIOUS THEARTRE-BABES/BLADE"/>
        <s v="LIFE LINE PRODUCTIONS"/>
        <s v="HEDWIG DANCES"/>
        <s v="BROKEN NOSE THEATRE"/>
        <s v="URBAN THEATER CHICAGO"/>
        <s v="GENE SISKEL FILM CENTER"/>
        <s v="CONGO SQUARE THEATRE"/>
        <s v="CHICAGO FRINGE OPERA"/>
        <s v="SYNAPSE ARTS COLLECTIVE"/>
        <s v="AMERICAN INDIAN CENTER 01"/>
        <s v="TEATRO TARIAKURI"/>
        <s v="AGUIJON II THEATRE"/>
        <s v="SIXTY INCHES FROM CENTER"/>
        <s v="NEO-FUTURISTS"/>
        <s v="GOODMAN THEATRE/CHICAGO THEA GR"/>
        <s v="CHICAGO PUBLIC MEDIA"/>
        <s v="CEDILLE CHICAGO NFP"/>
        <s v="C21 WOMEN'S ENSEMBLE"/>
        <s v="JOFFREY BALLET OF CHICAGO"/>
        <s v="WORKING IN CONCERT"/>
        <s v="CHICAGO ARTISTS COALITION"/>
        <s v="LIVE THE SPIRIT RESIDENCY"/>
        <s v="BALLET CHICAGO"/>
        <s v="CENTER FOR INTERNATIONAL PERF/EXHIBIT"/>
        <s v="SWEDISH AMERICAN MUSEUMSASSOC CHICAGO"/>
        <s v="SOFT CAGE FILMS"/>
        <s v="PUBLIC MEDIA INSTITUTE"/>
        <s v="SISTERS IN CINEMA NFP"/>
        <s v="SOUTH SIDE COMMUNITY ARTS CENTER"/>
        <s v="INVICTUS THEATRE"/>
        <s v="HYPERTEXT MAGAZINE &amp; STUDIO"/>
        <s v="CHICAGO METROPOLITAN SYMPHONY ORCHESTRA"/>
        <s v="SOUTH ASIA INSTITUTE"/>
        <s v="PILSEN CENTER FOR CULTURAL AND CONTEMPORARY ARTS"/>
        <s v="VOICE OF THE CITY"/>
        <s v="VISCERAL DANCE CHICAGO"/>
        <s v="STRATEGY FOR ACCESS FOUNDATION NFP"/>
        <s v="JOEL HALL DANCERS &amp; CENTER"/>
        <s v="ROMAN SUSAN ART FOUNDATION NFP"/>
        <s v="ROOTS &amp; CULTURE CONTEMP ART"/>
        <s v="OLD TOWN SCHOOL OF FOLK MUSIC"/>
        <s v="OH ART FOUNDATION"/>
        <s v="PORCHLIGHT MUSIC THEATRE"/>
        <s v="PEGASUS PLAYERS THEATRE"/>
        <s v="PADEREWSKI SYMPHONY ORCHESTRA"/>
        <s v="OTHER WORLD THEATRE"/>
        <s v="VANDERCOOK COLLEGE OF MUSIC"/>
        <s v="CHICAGO CHILDREN'S CHOIR"/>
        <s v="HYDE PARK ART CENTER"/>
        <s v="CHICAGO COMPOSERS ORCHESTRA"/>
        <s v="COURT THEATRE FUND"/>
        <s v="3 ARTS"/>
        <s v="NATIONAL PUBLIC HOUSING MUSEUM"/>
        <s v="NATIONAL MUSEUM OF PUERTO RICAN ARTS &amp; CULTURE"/>
        <s v="CHICAGO BLUES REVIVAL"/>
        <s v="SNOW CITY ARTS FOUNDATION"/>
        <s v="SOHAM DANCE SPACE NFP"/>
        <s v="SHOPHIA'S CHOICE"/>
        <s v="STORYCATCHERS THEATRE"/>
        <s v="ARTISTIC HOME ACTING ENSEM"/>
        <s v="BLUES KIDS FOUNDATION"/>
        <s v="ARTS OF LIFE"/>
        <s v="CENTER FOR IMMIGRANT RESOURCES"/>
        <s v="AMERICAN BLUES THEATER"/>
        <s v="MUSIC"/>
        <s v="CONTEXTOS NFP"/>
        <s v="KEHREIN CENTER FOR THE ARTS"/>
        <s v="KALAPRIYA FOUNDATION"/>
        <s v="INVISIBLE INSTITUTE"/>
        <s v="KARTEMQUIN EDUCATIONAL FILMS"/>
        <s v="INTONATION MUSIC WORKSHOP|CLEANED-UP"/>
        <s v="PEOPLE'S MUSIC SCHOOL"/>
        <s v="READER INSTITUTE FOR COMMUNITY JOURNALISM"/>
        <s v="FII-NATIONAL"/>
        <s v="CHICAGO DANCE HISTORY PROJECT"/>
        <s v="CHICAGO BRIDGE INSPECTION TEAM"/>
        <s v="REPERTORIO LATINO THEATER"/>
        <s v="CHICAGO ARTS PARTNERSHIPS IN EDUCATION"/>
        <s v="CHICAGO HUMAN RHYTHM PROJECT"/>
        <s v="ACCESS CONTEMPORARY MUSIC"/>
        <s v="CHICAGO MULTI-CULTURAL DANCE CENTER"/>
        <s v="CHICAGO CHILDREN THEATRE"/>
        <s v="CHICAGO FILMMAKERS"/>
        <s v="CHICAGO PUBLIC ART GROUP"/>
        <s v="FIREBIRD COMMUNITY ARTS"/>
        <s v="GUILD LITERACY COMPLEX"/>
        <s v="SOUTH SIDE JAZZ COALITION"/>
        <s v="SOUTH ASIAN CLASSICAL MUSIC SOCIETY OF CHICAGO"/>
        <s v="SHATTERED GLOBE THEATER"/>
        <s v="DESIGN INDUSTRIES FOUNDATION FIGHTING AIDS"/>
        <s v="RIVENDELL THEATRE ENSEMBLE"/>
        <s v="RED CLAY DANCE"/>
        <s v="PRISON AND NEIGHBORHOOD ARTS/EDUCATION PROJECT"/>
        <s v="SONES DE MEXICO ENSEMBLE"/>
        <s v="ART ON SEDGWICK"/>
        <s v="ASIAN IMPROVE ARTS MIDWEST"/>
        <s v="AYODELE DRUM &amp; DANCE NFP"/>
        <s v="COLLABORACTION THEATRE"/>
        <s v="COLLABORATIVE ARTS"/>
        <s v="MIDSOMMER FLIGHT NFP"/>
        <s v="CROSSING BORDERS MUSIC COLLECTIVE"/>
        <s v="PUERTO RICAN ARTS ALLIANCE"/>
        <s v="826CHI INC NFP"/>
        <s v="CHANGING WORLDS"/>
        <s v="LYNX PROJECT"/>
        <s v="LUCKY PLUSH PRODUCTIONS"/>
        <s v="INTUIT:CENTER FOR INTUTIVE/"/>
        <s v="INTERNATIONAL POLKA ASSOCIATION"/>
        <s v="LINKS HALL STUDIO"/>
        <s v="INTERNATIONAL MUSEUM OF SURGICAL SCI"/>
        <s v="INTERNATIONAL LATINO CULTURAL CENTER"/>
        <s v="FULL SPECTRUM FEATURES"/>
        <s v="HROMOVYTSIA UKRAINIAN DANCE ENSEMBLE"/>
        <s v="HYDE PARK SCHOOL OF DANCE"/>
        <s v="COMMUNITY TELEVISION NETWORK"/>
        <s v="ENSEMBLE ESPANOL"/>
        <s v="HOMEROOM NFP"/>
        <s v="FACETS-MULTI-MEDIA"/>
        <s v="HO ETSU TAIKO"/>
        <s v="CREATIVE ARTS FOUNDATION"/>
        <s v="ELASTIC ARTS FOUNDATION"/>
        <s v="EIGHTH BLACKBIRD PERFORMING ARTS ASSOCIATION"/>
        <s v="DANCEWORKS CHICAGO INC NFP"/>
        <s v="CHICAGO JAZZ PHILHARMONIC"/>
        <s v="CHICAGO WEST COMMUNITY MUSIC CENTER"/>
        <s v="BLAIR THOMAS &amp;"/>
        <s v="FIRST DEFENSE LEGAL AID CIVIL RIGHTS PROGRAM TRUST"/>
        <s v="CUERDAS CLASICAS"/>
        <s v="CHICAGO DANCEMAKERS FORUM"/>
        <s v="FAVORITE HEALTHCARE STAFFING"/>
        <s v="OTV OPEN TELEVISION"/>
        <s v="TELEFLEX"/>
        <s v="NOTRE DAME WRESTLING CLUB"/>
        <s v="ADVANCE SECURITY RESOURCES"/>
        <s v="HEARTLAND INTERNATIONAL HEALTH CENTER"/>
        <s v="ST ELIZABETH OF THE TRINITY PARISH"/>
        <s v="NEW HOPE COMMUNITY FOOD PANTRY"/>
        <s v="ISRAEL'S GIFTS OF HOPE"/>
        <s v="HALO SECURITY GROUP"/>
        <s v="COTTAGE GROVE HEIGHTS COMMUNITY COALITION"/>
        <s v="LINCOLN PARK CHAMBER OF COMMERCE|CLEANED-UP"/>
        <s v="EX-CONS FOR COMMUNITY AND SOCIAL CHANGE"/>
        <s v="W S DARLEY &amp;"/>
        <s v="THINK OUTSIDE DA BLOCK"/>
        <s v="URBAN MALE NETWORK"/>
        <s v="QUANTUM FAITH NFP"/>
        <s v="OAKDALE CHRISTIAN ACADEMYCHURCH"/>
        <s v="RAY O'HERRON"/>
        <s v="ST MONICA ACADEMY"/>
        <s v="HMF COMMUNICATIONS"/>
        <s v="SONIA'S MODERN BEAUTY SALON"/>
        <s v="GREATER ROSELAND CHAMBER OF COMMERCE"/>
        <s v="ISABEL FIERRO"/>
        <s v="FRIENDS OF THE PARK"/>
        <s v="CNL PROJECTS"/>
        <s v="WHEATLAND TITLE GUARANTY"/>
        <s v="CHICAGO COMMUNITY LOAN FUND"/>
        <s v="BJ WRIGHT PRESERVATION LP"/>
        <s v="MAR DISTRUBTION LLC (DBA: MAGNIFICO COFFEE)"/>
        <s v="NORWOOD PARK HISTORICAL SOCIETY"/>
        <s v="ORGANIC ONENES"/>
        <s v="ARAM HAN SIFUENTES"/>
        <s v="CHICAGO SURVIVORS"/>
        <s v="BIG"/>
        <s v="SPIRIT AIRLINES"/>
        <s v="INTOXIMETERS"/>
        <s v="TELLIGEN HEALTHCARE INTELLIGENCE"/>
        <s v="WILLIAM FILAN LIMITED"/>
        <s v="MOLLOY CONSULTING"/>
        <s v="CENTER FOR NEIGHBORHOOD TECHNOLOGY"/>
        <s v="TONYA R POE"/>
        <s v="18TH STREET DEVELOPMENT"/>
        <s v="CHICAGO HONEY CO-OP"/>
        <s v="LOGAN SQUARE PRESERVATION"/>
        <s v="ROGERS PARK BUSINESS ALLIANCE"/>
        <s v="FAUST ASSOCIATES IN DESIGNED"/>
        <s v="HARBOE ARCHITECTS PC"/>
        <s v="METRIS ARTS"/>
        <s v="ILLINOIS ARTS ALLIANCE DBA ARTS ALLIANCE ILLINOIS"/>
        <s v="NEIGHBORSCAPES NFP"/>
        <s v="NATIONAL RAILROAD PASSENGER"/>
        <s v="U SELECT IT HOLDINGS"/>
        <s v="CLARITY PARTNERS"/>
        <s v="43RD AND CALUMET PHASE I LP"/>
        <s v="CORPORATION FOR SUPPORTIVE HOUSING"/>
        <s v="MLK FRIENDS OF BASKETBALL"/>
        <s v="SAVING OUR SONS MINISTRIES"/>
        <s v="RESURRECTION COLLEGE PREP HIGH SCHOOL"/>
        <s v="ST JULIANA PARISH"/>
        <s v="EAST SIDE ESPORTS"/>
        <s v="LUTHERAN CHURCH MISSOURI SYNOD NORTHERN ILLINOIS DISTRICT"/>
        <s v="ST ROBERT BELLARMINE SCHOOL"/>
        <s v="ST FRANCIS BORGIA PARISH"/>
        <s v="JESSE OWENS PARK ADVISORY COUNCIL"/>
        <s v="CHESTERFIELD COMMUNITY COUNCIL"/>
        <s v="NEW ECLIPSE COMMUNITY ALLIANCE"/>
        <s v="UNION PACIFIC RAILROAD"/>
        <s v="PROJECTHOOD COMMUNITIES DEVELOPMENT"/>
        <s v="WE CARE 2 AGENCY"/>
        <s v="BLACK MEN UNITED"/>
        <s v="IDAÔøΩS ARTISAN ICE CREAM &amp; TREATS"/>
        <s v="SAINT AGATHA DREAM BUILDERS ASSOCIATION NFP"/>
        <s v="LAWNDALE COMMUNITY DAY CARE"/>
        <s v="POPE FRANCIS GLOBAL ACADEMY"/>
        <s v="SENIOR SUITES CHICAGO AUBURN"/>
        <s v="ARCHER AVENUE"/>
        <s v="ENTERPRISE PROPERTY GROUP"/>
        <s v="HEALTH &amp; MEDICINE POLICY"/>
        <s v="JUDITH I MUCH"/>
        <s v="DOLEJS REALTY &amp; MANAGEMENT SERVICES"/>
        <s v="DEPAUL UNIVERSITY"/>
        <s v="PRESENCE CHICAGO HOSPITALS NETWORK DBA PRESENCE SAINTS MARY &amp; ELIZABETH MEDICAL CENTER"/>
        <s v="EAST EDGEWATER CHAMBER OF COMMERCE"/>
        <s v="VANGUARD ARCHIVES HOLDINGS"/>
        <s v="BLUE CROSS &amp; BLUE SHIELD"/>
        <s v="L F L PROPERTIES"/>
        <s v="1201 N CALIFORNIA 9PCT HHDC LP"/>
        <s v="AMERICAN AIRLINES 01"/>
        <s v="LEEWAY WRECKING"/>
        <s v="NEW LIFE COMMUNITY CHURCH"/>
        <s v="GLADSTONE PARK CHAMBER OF COMM"/>
        <s v="LITTLE VILLAGE 26TH STREET"/>
        <s v="SIX CORNERS ASSOCIATION"/>
        <s v="NEAR SOUTH PLANNING BOARD"/>
        <s v="LINCOLN SQUARE RAVENSWOOD CHAMBER OF COMMERCE"/>
        <s v="EDGEBROOK SAUGANASH CHAMBER OF COMMERCE"/>
        <s v="WOMEN'S BUSINESS DEVELOPMENT CENTER"/>
        <s v="WEST CENTRAL ASSOCIATION|CLEANED-UP"/>
        <s v="SCORE CHICAGO"/>
        <s v="EDGEWATER DEVELOPMENT CORP 01"/>
        <s v="95TH ST BEVERLY HILLS BUSINESS ASSOCIATION"/>
        <s v="OLD TOWN MERCHANTS &amp; RESIDENTS"/>
        <s v="ANDERSONVILLE CHAMBER OF COMMERCE"/>
        <s v="EDISON PARK CHAMBER OF COMM"/>
        <s v="POLISH AMERICAN CHAMBER OF COMMERCE"/>
        <s v="RIVER NORTH ASSOCICATION LIMITED"/>
        <s v="WEST RIDGE CHAMBER OF COMMERCE"/>
        <s v="WOODLAWN CHAMBER OF COMMERCE"/>
        <s v="SOUTHEAST CHICAGO COMMISION"/>
        <s v="BELMONT-CENTRAL CHAMBER OF COMMERCE"/>
        <s v="LAKEVIEW EAST CHAM OF COMMERCE|CLEANED-UP"/>
        <s v="SOUTH LOOP CHAMBER OF COMMERCE|CLEANED-UP"/>
        <s v="SOUTH SHORE CHAMBER COMMUNITY DEVELOPMENT"/>
        <s v="51ST STREET BUSINESS ASSOCIATI"/>
        <s v="LOGAN SQUARE CHAMBER OF COMM"/>
        <s v="UPTOWN OF CHAMBER OF COMMERCE"/>
        <s v="JEFFERSON PARK CHAMBER OF COMMERCE|CLEANED-UP"/>
        <s v="MORGAN PARK/BEVERLY HILLS"/>
        <s v="36SQUARED BUSINESS INCUBATOR"/>
        <s v="LITTLE VILLAGE COMMUNITY FOUNDATION"/>
        <s v="WICKER PARK BUCKTOWN CHAMBER OF COMMERCE"/>
        <s v="NORTHALSTED AREA MERCHANTS ASSOCIATION"/>
        <s v="LAWNDALE CHRISTIAN DEVELOPMENTCORPORATION"/>
        <s v="WEST TOWN CHICAGO CHAMBER OF COMMERCE"/>
        <s v="PULASKI-ELSTON BUSINESS ASSOCIATION"/>
        <s v="NORTHWEST CONNECTION CHAMBER"/>
        <s v="INDUSTRIAL COUNCIL OF NEAR WEST CHICAGO"/>
        <s v="BLAIDA &amp; ASSOCIATES"/>
        <s v="MERCK ANIMAL HEALTH"/>
        <s v="URBAN WARRIORS YOUTH COMMUNITY"/>
        <s v="HARMONY INTERNATIONAL DEVELOPMENT"/>
        <s v="MAC AUTO"/>
        <s v="KERRY'S AUTO BODY"/>
        <s v="DELL MARKETING LP"/>
        <s v="GENDELL PARTNERS-MOUNT GREENWOOD"/>
        <s v="JEWISH CHILD &amp; FAMILY SERVICES"/>
        <s v="CANNON TRANSPORTATION"/>
        <s v="COOK COUNTY SHERIFF"/>
        <s v="ADVANCE AUTO CENTER"/>
        <s v="BOARD OF TRUSTEES OF THE UNIV OF ILLINOIS"/>
        <s v="I O SOLUTIONS"/>
        <s v="LESTER &amp; ROSALIE ANIXTER CENTER"/>
        <s v="CZL PC"/>
        <s v="YOUTH OUTREACH SERVICES"/>
        <s v="JAMES JANKOWIAK"/>
        <s v="APPAREL INDUSTRY FOUNDATION"/>
        <s v="FRIENDS OF LAKEVIEW"/>
        <s v="BRAVO 422"/>
        <s v="HELEN E CEJTIN"/>
        <s v="UPSIDE DOWN CONSULTING"/>
        <s v="MANUFACTURING RENAISSANCE"/>
        <s v="THE WORKING WORLD"/>
        <s v="URBAN HOMESTEADING ASSISTANCE (U-HAB)"/>
        <s v="DEMOCRACY AT WORK INSTITUTE"/>
        <s v="CUTTING EDGE COUNSEL"/>
        <s v="TREND COMMUNITY DEVELOPMENT"/>
        <s v="URBAN GROWERS COLLECTIVE"/>
        <s v="MULTIPLIER"/>
        <s v="CAPITAL FOR COMMUNITIES"/>
        <s v="CENTRO DE TRABAJADORES UNIDOS UNITED WORKERS CENTER"/>
        <s v="FRONTIER GRATINGS"/>
        <s v="NEAR NORTH HEALTH SERVICE"/>
        <s v="UNISON CONSULTING"/>
        <s v="MARQUEE EVENT GROUP"/>
        <s v="MARZLET LLC DBA THATTU"/>
        <s v="SOUTHERN CHICAGO"/>
        <s v="AUBURN GRESHAM APARTMENTS LP"/>
        <s v="MONTROSE &amp; CLARENDON"/>
        <s v="FEDERAL AVIATION ADMINISTRATION"/>
        <s v="SAFEWARE"/>
        <s v="EVERGREENE PAINTING STUDIOS"/>
        <s v="GUISEPPA DICESARE C/O ENSEMBLE ESPANOL"/>
        <s v="PROFESSIONAL DYNAMIC NETWORK INC|CLEANED-UP"/>
        <s v="PERK PRODUCTS"/>
        <s v="NATIONAL ABLE NETWORK"/>
        <s v="SENIOR SUITES CHICAGO KELVYN"/>
        <s v="REBUILDING TOGETHER METRO CHICAGO"/>
        <s v="HEARST COMMUNITY ORGANIZATION"/>
        <s v="MASTER METER"/>
        <s v="CENTRAL LAWN SPRINKLERS"/>
        <s v="ALLIED DEVELOPMENT OF CHICAGO"/>
        <s v="LINCOLN PARK CHAMBER OF COMMERCE"/>
        <s v="ROSEMOOR COMMUNITY ASSOCIATION"/>
        <s v="COUNCIL FOR JEWISH ELDERLY"/>
        <s v="MARKING SPECIALISTS"/>
        <s v="GREAT LAKES CREDIT UNION"/>
        <s v="RISE STRETEGY GROUP"/>
        <s v="BRONNER GROUP LLC|CLEANED-UP"/>
        <s v="CATALYST CONSULTING GROUP"/>
        <s v="DATA DEFENDERS"/>
        <s v="GALVAN &amp; ASSOCIATES"/>
        <s v="KRASAN CONSULTING SERVICES"/>
        <s v="NEXT GENERATION"/>
        <s v="R L CANNING"/>
        <s v="SDI PRESENCE"/>
        <s v="SOLAI &amp; CAMERON"/>
        <s v="WILLIAM EVERETT GROUP"/>
        <s v="IDENTISYS"/>
        <s v="LYONS VIEW MANUFACTURER &amp; SUPPLY"/>
        <s v="NORTHWESTERN UNIVERSITY"/>
        <s v="MICHAEL BAKER INTERNATIONAL"/>
        <s v="HORNER &amp; SHIFRIN"/>
        <s v="PARSONS TRANSPORTATION GROUP"/>
        <s v="ORION ENGINEERS"/>
        <s v="PARSONS BRINCKERHOFF"/>
        <s v="PRIMERA ENGINEERS LIMITED"/>
        <s v="CIORBA GROUP"/>
        <s v="CHRISTOPHER B BURKE ENGINEERING LIMITED"/>
        <s v="GRAEF-USA"/>
        <s v="GANNETT FLEMING"/>
        <s v="HDR ENGINEERING"/>
        <s v="PATRICK ENGINEERINGINC&amp; PATRICK DRILLINGINC (OVERSIZE)"/>
        <s v="BOWMAN CONSULTING GROUP LIMITED"/>
        <s v="ATLAS ENGINEERING GROUP LIMITED"/>
        <s v="KIMLEY-HORN &amp; ASSOCIATES"/>
        <s v="HBM ENGINEERING GROUP"/>
        <s v="SINGH &amp; ASSOCIATES"/>
        <s v="PRODUCTION DISTRIBUTION COMPANIES"/>
        <s v="GREATER ENGLEWOOD CHAMBER FOUNDATION"/>
        <s v="KID'Z COLONY DAYCARE"/>
        <s v="MIDWAY MANAGEMENT GROUP JV"/>
        <s v="DGO PREMIUM SERVICES"/>
        <s v="TRANSWESTERN COMMERCIAL SERVICES"/>
        <s v="GARTNER GROUP"/>
        <s v="MAT ASPHALT"/>
        <s v="OGDEN CONST &amp; RELIABLE ASPHALT"/>
        <s v="OGDEN AVENUE MATERIALS &amp; RELIABLE ASPHALT JOINT VENTURE"/>
        <s v="OGDEN AVENUE MATERIALS"/>
        <s v="HBK ENGINEERING"/>
        <s v="AQUA SERVICES"/>
        <s v="AGILE N2N"/>
        <s v="COMPUTER AID"/>
        <s v="CROWE"/>
        <s v="GREAT ARC TECHNOLOGIES"/>
        <s v="LIRO GIS"/>
        <s v="RJ RELIANCE"/>
        <s v="SLG INNOVATION"/>
        <s v="METROPOLITAN FAMILY SERVICES"/>
        <s v="PCWP"/>
        <s v="LEE JENSEN SALES"/>
        <s v="FEDERACIÔøΩN DE CLUBES MICHOACANOS EN ILLINOIS"/>
        <s v="J P SIMONS &amp;"/>
        <s v="KENTECH CONSULTING"/>
        <s v="CENTER FOR DISABILITY &amp; ELDER LAW"/>
        <s v="DANIEL J EDELMAN"/>
        <s v="DOSTUFF MEDIA"/>
        <s v="GOLDSTAR COMMUNICATIONS"/>
        <s v="INTEGRATED SOLUTIONS CONSULTING"/>
        <s v="KIVVIT"/>
        <s v="MESMERIZE MEDIA HOLDINGS"/>
        <s v="MORREALE PUBLIC AFFAIRS GROUP ENERGY EFFICIENCY EXPO 2011"/>
        <s v="PUBLIC COMMUNICATIONS"/>
        <s v="LOPEZ-MARTIN &amp; ASSOCIATES"/>
        <s v="RUDD RESOURCES"/>
        <s v="COMMUNICATION STRATEGIES GROUP (DBA CS-EFFECT)"/>
        <s v="JAMOKE"/>
        <s v="1201 N CALIFORNIA 4PCT HHDC LP"/>
        <s v="ABJ COMMUNITY SERVICES"/>
        <s v="TS DESIGN STUDIO"/>
        <s v="CHICAGO CONVENTION &amp; TOURISM BUREAU"/>
        <s v="WESLEY CLARK"/>
        <s v="JEFF ZIMMERMANN"/>
        <s v="MUDDY WATERS MOJO MUSEUM"/>
        <s v="HUMAN RESOURCES DEVELOPMENT INSTITUTE"/>
        <s v="SHERMAN INVESTMENT GROUP"/>
        <s v="LEVEL ARCHITECTURE INCORPORATED"/>
        <s v="SPUTNIK ROASTERS"/>
        <s v="BERNARD WILLIAMS"/>
        <s v="SONJA HENDERSON"/>
        <s v="STAGE 18"/>
        <s v="CHICAGOLAND LABORERS' TRAINING &amp; APPRENTICE FUND"/>
        <s v="A-KARRASEL GALEWOOD CHILDCARE"/>
        <s v="INTERFAITH HOUSING DEVELOPMENT CORPORATION OF CHICAGO"/>
        <s v="METROPOLITAN PLANNING COUNC 01"/>
        <s v="GIRLS IN THE GAME NFP|CLEANED-UP"/>
        <s v="THE MARTHA HHDC"/>
        <s v="STANDARD LPC VENTURE LP"/>
        <s v="GLOBAL SOLUTIONS GROUP"/>
        <s v="SURTEES ECKHARDT WOOLSEY &amp; BLIZNICK LLC DBA SLIDESHOW GEL"/>
        <s v="14 FORTY ENTERPRISE"/>
        <s v="POLICE EXECUTIVE RESEARCH FORUM"/>
        <s v="BACK OF THE YARDS ALGAE SCIENCES"/>
        <s v="C-STRATEGIES"/>
        <s v="OPERATION HOPE"/>
        <s v="OAK PARK REGIONAL HOUSING CENTER"/>
        <s v="CATHOLIC BISHOP OF CHICAGO - HOLY CROSS IMMACULATE HEART OF MARY"/>
        <s v="LOST BOYZ"/>
        <s v="ROGERS PARK COMM DEV"/>
        <s v="LOCAL INITIATIVES SUPPORT"/>
        <s v="COALITION FOR A BETTER CHINESE AMERICAN COMMUNITY"/>
        <s v="RESILIENCE PARTNERS NFP"/>
        <s v="CHICAGO LOOP ALLIANCE"/>
        <s v="GREATER ENGLEWOOD COMMUNITY DEVELOPMENT"/>
        <s v="SYLVESTER BROOME EMPOWERMENT VILLAGE"/>
        <s v="WHP-IID"/>
        <s v="NATIONAL MUSEUM OF MEXICAN ART"/>
        <s v="PROJECT SYNCERE"/>
        <s v="OMRUN PROPERTY"/>
        <s v="CARE PLUS LLC|CLEANED-UP"/>
        <s v="WORLD BUSINESS CHICAGO|CLEANED-UP"/>
        <s v="ERIKSON INSTITUTE"/>
        <s v="JARRELL WASHINGTON PARK"/>
        <s v="HYDE PARK BEACH APARTMENTS"/>
        <s v="MARINAS CAFE"/>
        <s v="FAIR &amp; IMPARTAIL POLICING"/>
        <s v="GREENCORPS CHICAGO NFP"/>
        <s v="COGENT INFOTECH"/>
        <s v="22ND CENTURY TECHNOLOGIES"/>
        <s v="INFOJINI"/>
        <s v="STEPS INC CONSULTING"/>
        <s v="COMFORT TEETH-PILSEN"/>
        <s v="NOBODY'S DARLING"/>
        <s v="BLOOD ORANGE LOCAL"/>
        <s v="APOLOGUE"/>
        <s v="MIDWAY AIRLINES' TERMINAL"/>
        <s v="HAUSWIRTH"/>
        <s v="MGPG EVENTS"/>
        <s v="NAFSI"/>
        <s v="OSV LLLP DBA 203 E 75TH ST"/>
        <s v="TINYSHOP"/>
        <s v="MUSIC &amp; DANCE THEATER CHICAGO"/>
        <s v="KATHERINE ANNE CONFECTIONS"/>
        <s v="YU &amp; ASSOCIATES COLLABORATIVE"/>
        <s v="SARAH'S ON LAKESIDELLC"/>
        <s v="PRAIRIE STATE LEGAL SERVICES"/>
        <s v="ASE HOLISTIC HOUSE"/>
        <s v="ONE ON ONE"/>
        <s v="AUSTIN CHAMBER OF COMMERCE DEV"/>
        <s v="QUALITY PLUS CARE INC DBA HEROES HOME HEALTH"/>
        <s v="HARDESTY &amp; HANOVER"/>
        <s v="MILLENNIUM CONTRACTING"/>
        <s v="STREET SAMARITANS"/>
        <s v="DAMON LAMAR REED"/>
        <s v="SOUTH CHICAGO PARENTS &amp; FRIENDS"/>
        <s v="BERNARD WILLIAMS 01"/>
        <s v="NAVILLUS WOODWORKS"/>
        <s v="A LONG WALK HOME"/>
        <s v="EXPERIMENTAL STATION: 6100 BLACKSTONE"/>
        <s v="COMMUNITY OPPORTUNITY FUNDS"/>
        <s v="JUNETEENTH FAMILY FESTIVAL"/>
        <s v="THE WOODLAWN"/>
        <s v="COMMUNITY INVESTMENT"/>
        <s v="YIN HE DANCE"/>
        <s v="CANUCK POWER"/>
        <s v="FORTY ACRES FRESH MARKET"/>
        <s v="CPAT DISTRIBUTION"/>
        <s v="KLEO COMMUNITY FAMILY LIFE CENTER|CLEANED-UP"/>
        <s v="DEARBORN REAL ESTATE BOARD"/>
        <s v="UCHICAGO ARGONNE"/>
        <s v="BRACKEN BOX INC|CLEANED-UP"/>
        <s v="CITY WIDE DISPOSAL"/>
        <s v="NEXT GENERATION SOFTWARE"/>
        <s v="HIGHWAY SAFETY"/>
        <s v="POLYDYNE"/>
        <s v="EBENEZER MISSIONARY BAPTIST CH"/>
        <s v="THE URBAN ALLIANCE FOUNDATION"/>
        <s v="18TH STREET CASA DE CULTURA NFP"/>
        <s v="CHRISTINE TARKOWSKI"/>
        <s v="REFUGEE ACTION NETWORK"/>
        <s v="PULASKI-ELSTON BUSINESS ASSOC"/>
        <s v="ARISE CHICAGO"/>
        <s v="CABRINI GREEN LEGAL AID CLINIC"/>
        <s v="LAI LCC DBA LAI"/>
        <s v="FITNESS FACTORY OUTLET"/>
        <s v="PRESERVATION OF AFFORDABLE HOUSING"/>
        <s v="CLARK-WE ONEIL JV"/>
        <s v="RESILIENCE"/>
        <s v="MALCOLM X COLLEGE"/>
        <s v="PILSEN ARTS &amp; COMMUNITY HOUSE"/>
        <s v="REBIRTH GARMENTS"/>
        <s v="88 PLATES"/>
        <s v="JEFFERY JAVA &amp; JUICE WITH OLD FASHIONED DONUTS"/>
        <s v="BY THE HAND CLUB FOR KIDS"/>
        <s v="ABHIJEET RANE"/>
        <s v="SITHUB DBA CHICAGOTHERAPY COLLECTIVE"/>
        <s v="CAROL G JOHNSON/WESTSIDE CULTURAL ALLIANCE"/>
        <s v="ORIGINAL SIXTY FOURTH STREET BEACH"/>
        <s v="NEAR NORTHWEST ARTS COUNCIL"/>
        <s v="CUATRO HERMANOS LIMITED LIABILITY"/>
        <s v="RIVERS AND ROADS PROVISIONS"/>
        <s v="DR PEDRO ALBIZA CAMPOS PUERTO RICAN HIGH SCHOOL"/>
        <s v="FLOATING COLLECTIVE"/>
        <s v="RODRIGO LARA ZENDEJAS"/>
        <s v="MHLI FBO THE KENNEDY FORUM IL"/>
        <s v="KOBUS"/>
        <s v="AARON BROTHERS MOVING SYSTEM"/>
        <s v="ODP BUSINESS SOLUTIONS"/>
        <s v="SUNGJAE LEE"/>
        <s v="MARK BANKS"/>
        <s v="M10 INC DBA MICHELS TRENCHLESS"/>
        <s v="MICHELS TRENCHLESS"/>
        <s v="DAVID JOHN MILLER"/>
        <s v="SOCIAL SIMULATOR"/>
        <s v="CAROL FOX &amp; ASSOCIATES"/>
        <s v="COWAN DEBAETS ABRAHAMS &amp; SHEPPARD"/>
        <s v="AVERY YOUNG"/>
        <s v="THE ATTICUS GRAHAM GROUP"/>
        <s v="DOMINIQUE BOYD"/>
        <s v="KIMCO USA"/>
        <s v="PRINCIPLE BARBERS"/>
        <s v="LITTLE VILLAGE ENVIRONMENTAL J"/>
        <s v="WONDERLAND CHILD CARE CENTER"/>
        <s v="ACADEMY FOR GLOBAL CITIZENSHIP CHARTER SCHOOL"/>
        <s v="BURST INTO BOOKS"/>
        <s v="CHICAGO SHAKESPEARE THEATER"/>
        <s v="NEAR NORTH PLANNING BOARD"/>
        <s v="SAINT FRANCIS GROUP"/>
        <s v="MIDWAY BROADCASTING"/>
        <s v="MICHAELS COMMUNITY SERVICES CORPORATION DBA BETTER TOMORROWS"/>
        <s v="LAWYERS FOR THE CREATIVE ARTS"/>
        <s v="AMER INDIAN HEALTH SERVICE OF CHICAGO"/>
        <s v="ILLINOIS HISPANIC CHAMBER OF COMMERCE (IHCC) COMMERCE"/>
        <s v="UPRISING THEATER"/>
        <s v="THOMAS BRAVOS"/>
        <s v="SCOTT FREE"/>
        <s v="CHIH-JOU CHENG"/>
        <s v="TOM CALLAHAN"/>
        <s v="CUMBERLAND ACQUISITION"/>
        <s v="NATHALIE GALDE"/>
        <s v="ENTRENUITY"/>
        <s v="SAMUEL CANTOR"/>
        <s v="TERESITA CARSON"/>
        <s v="GENERAL COMMUNICATIONS INC (GENCOMM)"/>
        <s v="METROPOLITAN CHICAGO BREAST CANCER TASK FORCE"/>
        <s v="RESPIRATORY HEALTH ASSOCIATION OF METROPOLITAN CHICAGO"/>
        <s v="DEBORAH GOODMAN"/>
        <s v="NANAE FUJIWARA"/>
        <s v="ELISE COWIN"/>
        <s v="RENATO CERON"/>
        <s v="PROJECT DANZTHEATRE"/>
        <s v="CHICAGO COLLECTIONS CONSORTIUM INC NFP"/>
        <s v="CHARLES HARRIS"/>
        <s v="ALT SPACE CHICAGO"/>
        <s v="VIKEN DECTECTION"/>
        <s v="SPEEDY GONZALEZ LANDSCAPING"/>
        <s v="FAMILY CONNECTS INTERNATIONAL"/>
        <s v="LOYOLA UNIVERSITY CHICAGO"/>
        <s v="CITY COLLEGES OF CHICAGO 01"/>
        <s v="ILLINOIS HOUSING DEVELOPMENT AUTHORITY"/>
        <s v="THOMAS STREET PARTNERS"/>
        <s v="WESTYARD CORPORATION DBA SUNSHINE'S PLACE"/>
        <s v="CONSTANCE WILLOUGHBY"/>
        <s v="SARAH MARITZA HERNANDEZ"/>
        <s v="JORDAN HOLMES"/>
        <s v="STEVEN WHITE"/>
        <s v="AFRICAN AMERICAN ART"/>
        <s v="DAVID VOSBURG"/>
        <s v="CANDACE HUNTER"/>
        <s v="JACOB SLOCUM"/>
        <s v="ERIN STEWART"/>
        <s v="MECHIYA JAMISON"/>
        <s v="BENJAMIN LAROSE"/>
        <s v="ARMAN SANGALANG"/>
        <s v="BRIAN MARTINEZ"/>
        <s v="MONTERNEZ REZELL"/>
        <s v="CECILE SAVAGE"/>
        <s v="JASPER NOLAND"/>
        <s v="LEAH RAIDT"/>
        <s v="MADELINE MORGAN"/>
        <s v="KELLY MCKAIG"/>
        <s v="CARISA MITCHELL"/>
        <s v="TOTALLY POSITIVE PRODUCTIONS"/>
        <s v="PAINT THE CITY"/>
        <s v="RUTH PAGE FOUNDATION"/>
        <s v="PERCEPTIONS THEATRE"/>
        <s v="LUMINARTS CULTURAL FOUNDATION"/>
        <s v="THEATRE Y"/>
        <s v="CREATIVE CHICAGO REUSE EXCHANGE"/>
        <s v="LATTITUDE INC NFP"/>
        <s v="CHICAGO CULTURAL ALLIANCE"/>
        <s v="ARTS &amp; BUSINESS COUNCIL OF CHICAGO"/>
        <s v="CHICAGO CULTURAL ACCESSIBILITY CONSORTIUM"/>
        <s v="BLACK ALPHABET NFP"/>
        <s v="WALSH CONSTRUCTION COMPANY OF ILL"/>
        <s v="PULLMAN ARTS"/>
        <s v="LANDRUM &amp; BROWN INC|CLEANED-UP"/>
        <s v="MEZCLA MEDIA COLLECTIVE"/>
        <s v="ALLIANCECHICAGO"/>
        <s v="URBAN CANOPY"/>
        <s v="LITTLE SPACE"/>
        <s v="ZEPHYR DANCE ENSEMBLE"/>
        <s v="THE JOY OF KIDS COOKING"/>
        <s v="HEALTH MANAGEMENT ASSOCIATESINCOFIL"/>
        <s v="ROME IN A DAY PRODUCTIONS CHICAGO"/>
        <s v="LUMA8"/>
        <s v="CHICAGO ARCHITECTURE FOUNDATION"/>
        <s v="BLUES HEAVEN FOUNDATION"/>
        <s v="R &amp; M CONSULTING"/>
        <s v="JOYNER REAL ESTATE"/>
        <s v="SPIRAL HOLDING"/>
        <s v="FAST LANE CONSULTING AND EDUCATION SERVICES"/>
        <s v="T &amp; N CHICAGO"/>
        <s v="YVETTE MAYORGA"/>
        <s v="STERLING PRICE"/>
        <s v="IGC"/>
        <s v="MUSEUM OF CONTEMPORARY ART"/>
        <s v="SKY PEOPLE ENTERTAINMENT"/>
        <s v="SCULPTURE PARK"/>
        <s v="THEASTER GATES STUDIOS"/>
        <s v="LAUNDRY OPS"/>
        <s v="BELOVED COMMUNITY FAMILY WELLNESS CENTER"/>
        <s v="NORTHWESTERN MEMORIAL HOSPITAL"/>
        <s v="HOOKED ON FISH"/>
        <s v="KADEN'S COMMONS"/>
        <s v="GARDAWORLD FEDERAL SERVICES"/>
        <s v="4715 N WESTERN OWNER"/>
        <s v="TCB DEVELOPMENT SERVICES"/>
        <s v="ENCUENTRO SQUARE II LP"/>
        <s v="ILLINOIS CRIMINAL JUSTICE"/>
        <s v="SMITH-BLAIR"/>
        <s v="CIVL NFP"/>
        <s v="FINCANTIERI MARINE GROUP"/>
        <s v="DONORS FORUM OF CHICAGO 01|CLEANED-UP"/>
        <s v="CONTRACTOR ADVISORS BUSINESS DEVELOPMENT"/>
        <s v="NATIONAL OPINION RESEARCH CENTER UNIV OF CHICAGO/CONTRACTS &amp; GRANT"/>
        <s v="NO SMALL PLAN PRODUCTIONS"/>
        <s v="EKENE IJEOMA"/>
        <s v="PASSUR AEROSPACE"/>
        <s v="NORMAN KELLEY"/>
        <s v="THE GROVE ON 66TH"/>
        <s v="FIREHOUSE COMMUNITY ARTS CENTER OF CHICAGO"/>
        <s v="SOMOS ARTE NFP"/>
        <s v="C40 PRESERVATION ASSOCIATES LP"/>
        <s v="43RD AND PRAIRIE PHASE II LP"/>
        <s v="MIKK CONSTRUCTION AND DEVELOPERS"/>
        <s v="BWF CONSTRUCTION"/>
        <s v="DARDON CONSTRUCTION"/>
        <s v="BLACKROCK CONSTRUCTION SERVICES"/>
        <s v="TBI CONTRACTORS"/>
        <s v="COOK COUNTY CONTROLLER"/>
        <s v="CRISTOBAL ALDAY"/>
        <s v="ZOLL MEDICAL"/>
        <s v="STICKS CHICAGO"/>
        <s v="SILVER ROOM SOUND SYSTEM BLOCK PARTY"/>
        <s v="THOMAS SCIENTIFIC"/>
        <s v="EJ USA"/>
        <s v="ROBERT W HENDRICKSEN"/>
        <s v="8700 BUILDING"/>
        <s v="K-PLUS MECHANICAL TBS"/>
        <s v="CENTER FOR LABOR &amp; COMMUNITY RESEARCH"/>
        <s v="WINDY CITY HABITAT FOR HUMANITY"/>
        <s v="GUNNISON STREET LOFTS CONDOMINIUM"/>
        <s v="BLACK CONTRACTORS OWNERS AND EXECUTIVES"/>
        <s v="WINDY CITY FADEZ"/>
        <s v="CHICAGO TRANSITY AUTHORITY"/>
        <s v="CHICAGO ARCHITECTURE BIENNIAL"/>
        <s v="METROPOLITAN WATER RECLAMATION OF GREATER CHICAGO"/>
        <s v="WG TAVERN LLC DBA WHISKEY GIRL TAVERN"/>
        <s v="A C MOTEL"/>
        <s v="JUAN A CHAVEZ"/>
        <s v="BRIDGE TO FREEDOM"/>
        <s v="ALFONSO NIEVES"/>
        <s v="MICHELLE BILLINGSLEY MUSIC"/>
        <s v="PHILLIP KEEFE"/>
        <s v="JAKINA HILL"/>
        <s v="B &amp; W TRUCK REPAIR"/>
        <s v="CASEY EQUIPMENT"/>
        <s v="TRI-ANGLE FABRICATION &amp; BODY"/>
        <s v="EX3 LABS"/>
        <s v="OLALEKAN JEYIFOUS"/>
        <s v="ANDREA ZIDEK"/>
        <s v="SOJOURNER WRIGHT"/>
        <s v="LINDSEY THORNTON"/>
        <s v="CAROLINE RODRIGUEZ"/>
        <s v="JASMIN TAYLOR"/>
        <s v="NICKOLAS KAPLAN"/>
        <s v="RAYMI SMITH"/>
        <s v="DAVID WANG"/>
        <s v="MOSI KAMAU"/>
        <s v="CYNTHIA'S GUMBO EXPRESS"/>
        <s v="PEOPLE MATTER"/>
        <s v="VECTOR CUSTOM FABRICATING"/>
        <s v="CIVICLAB"/>
        <s v="THE SOUTHWEST COLLECTIVE"/>
        <s v="NORTH RIVER COMMISSION\LAWRENCE"/>
        <s v="RAE PRODUCTS &amp; CHEMICALS CORP|CLEANED-UP"/>
        <s v="LIT FEELINGS"/>
        <s v="ARCHI-TREASURES ASSOCIATION"/>
        <s v="JONES DAWN R"/>
        <s v="BONNIE TAYLOR-WILLIAMS"/>
        <s v="LARRY TCHOGNINOU"/>
        <s v="NICOLE NOLAND"/>
        <s v="JASON VICTOR ROBERTS"/>
        <s v="AVIYA KUSHNER"/>
        <s v="TANDRA HAWKINS"/>
        <s v="CASEY HANBURY"/>
        <s v="EARL SUICO"/>
        <s v="JULIAN STROOP"/>
        <s v="MARYLU HERRERA"/>
        <s v="ROSALBA VALDEZ"/>
        <s v="LARRY T HILL"/>
        <s v="DANIEL STRACK"/>
        <s v="NAILAH STEVENSON"/>
        <s v="BELL HELICOPTER-TEXTRON"/>
        <s v="BRIANA JOHNSON"/>
        <s v="KARA JOHNSON"/>
        <s v="CHLOE JOHNSON"/>
        <s v="WHITNEY JOHNSON"/>
        <s v="ARIEL ZETINA"/>
        <s v="PARKWAY ELEVATORS"/>
        <s v="FAMILY GUIDANCE CENTERS INC|CLEANED-UP"/>
        <s v="READY MADE STAFFING"/>
        <s v="UTILITY TRANSPORT"/>
        <s v="TIGER SUPPLIES"/>
        <s v="O'WALLACE LANDSCAPING"/>
        <s v="PERMABAND"/>
        <s v="CONTINENTAL AIR TRANSPORT CHICAGO SCHOOL TRANSIT JV"/>
        <s v="CCS - NU VETERANS JOINT VENTURE"/>
        <s v="AMINA DREESSEN"/>
        <s v="MAYA HORTON"/>
        <s v="JERRELL HENDERSON"/>
        <s v="KHOSRO A BEIK"/>
        <s v="ADRIAN DAVIS"/>
        <s v="DIANA HINOJOSA"/>
        <s v="KEVIN WEIL"/>
        <s v="CHARLES HONEYWOOD"/>
        <s v="JAMES HOSKING"/>
        <s v="JASON HOWARD"/>
        <s v="JENNIFER HODGES"/>
        <s v="ANDREA JABLONSKI"/>
        <s v="MICHAEL HOYT"/>
        <s v="CORE MECHANICAL"/>
        <s v="ALANA THOMPSON"/>
        <s v="JOHN WALT"/>
        <s v="NON: OP OPEN OPERA WORKS"/>
        <s v="BARON PARTNERSHIP"/>
        <s v="CHICAGO INDUSTRIAL ARTS &amp; DESIGN CENTER"/>
        <s v="MUSIC IN URBAN SCHOOLS INSPIRING CHANGE"/>
        <s v="INSIGHT CHICAGO"/>
        <s v="FOOD HERO L3C"/>
        <s v="DISHROULETTE KITCHEN NFP"/>
        <s v="E G WOODE L3C"/>
        <s v="FAMILYFARMED ORG"/>
        <s v="VOLUNTEERS OF AMERICA OF ILLINOIS"/>
        <s v="JACKIE JACKSON BIRTHRIGHTS"/>
        <s v="BEYOND LEGAL AID"/>
        <s v="PROP THEATRE GROUP"/>
        <s v="DAL NIENTE NEW MUSIC NFP"/>
        <s v="NORFOLK SOUTHERN RAILWAY"/>
        <s v="ARTHUR BLACK"/>
        <s v="JASON ROEBKE"/>
        <s v="MATT FERGUSON"/>
        <s v="OLIVE STEFANSKI"/>
        <s v="JAKE HAWRYLAK"/>
        <s v="SADIE ROGERS"/>
        <s v="JORDYN HARRISON"/>
        <s v="JILLIAN GRYZLAK"/>
        <s v="RHONDA GRAY"/>
        <s v="SPUDNIK PRESS COOPERATIVE"/>
        <s v="CENTRAL AMERICAN MARTYRS CENTER /SU CASA"/>
        <s v="SHALOM PARKER"/>
        <s v="GONZALEZ COMPANIES"/>
        <s v="UHURU SHULE COOPERATIVE"/>
        <s v="CEDAR CONCEPTS"/>
        <s v="SYLVAIN STUDIOS"/>
        <s v="DONNIE SEALS"/>
        <s v="JOSE CARRASQUILLO 01"/>
        <s v="ISAAC COUCH"/>
        <s v="NEW ROOTS"/>
        <s v="SHAMEER GOSS"/>
        <s v="BRITEPATH CONSULTING"/>
        <s v="NEW MUSIC CHICAGO"/>
        <s v="AMERICAN INDIAN CENTER"/>
        <s v="CHRISTOPHER COSNOWSKI"/>
        <s v="IHEARTMEDIA"/>
        <s v="CHRIS RENTERIA"/>
        <s v="MATTHEW DAVIS"/>
        <s v="ELISE GLILCKMAN"/>
        <s v="ORLANDO A RUIZ"/>
        <s v="ANDERS ZANICHKOWSKY"/>
        <s v="MARIA CHARIN ALVAREZ"/>
        <s v="CANDACE BREEDLOVE"/>
        <s v="JEN ELOS REYES"/>
        <s v="SUPERLATIVE GROUP"/>
        <s v="GERARDO A CAZARES"/>
        <s v="CHICAGO ARTS &amp; MUSIC PROJECT"/>
        <s v="CENTER FOR NATIVE FUTURES"/>
        <s v="BANDWITH MUSIC"/>
        <s v="CHICAGO DANCE CRASH"/>
        <s v="CHICAGO BALINESE GAMELAN"/>
        <s v="CHICAGO FILM SOCIETY"/>
        <s v="CIVIC PROJECTS ARCHITECTURE"/>
        <s v="GLORIA LRIVERA CREATIVE STUDIOS"/>
        <s v="CHICAGO GAY MEN'S CHORUS"/>
        <s v="AUDITORIUM THEATRE/ROOSEVELT"/>
        <s v="AFRICAN AMERICAN MUSEUM OF THE PERFORMING ARTS"/>
        <s v="HARRISON RESOURCE CENTER INCORPORATED"/>
        <s v="BRIGHTON PARK NEIGHBORHOOD COUNCIL"/>
        <s v="CRYSTAL BARNES"/>
        <s v="RAMI ATASSI"/>
        <s v="KYLE CHURNEY"/>
        <s v="WRIGHT GATEWOOD"/>
        <s v="GABRIEL CHALFIN-PINEY"/>
        <s v="MEGAN DOHERTY"/>
        <s v="EDUARDO CINTRON"/>
        <s v="MARITZA CERVANTES"/>
        <s v="ALVIN COBB JR"/>
        <s v="LAUREN DEUTSCH"/>
        <s v="SARA CONDO"/>
        <s v="ESTEPHANY GUZMAN"/>
        <s v="TODD BARRERA DISLER"/>
        <s v="LINNEA FRYE"/>
        <s v="SHARYON A CULBERSON"/>
        <s v="ELODIE EDJANG MENGUEME"/>
        <s v="SURYA SWILLEY"/>
        <s v="NADIA FRIERSON"/>
        <s v="PAUL A BRANTON"/>
        <s v="EMMA FRANKS"/>
        <s v="INDIRA JOHNSON"/>
        <s v="CHRISTINE FORNI"/>
        <s v="NANETTE FRANK"/>
        <s v="CARLOS FLORES 01"/>
        <s v="JOHN FLOYD"/>
        <s v="MELANIE VITATERNA"/>
        <s v="LUCY CARAPETYAN"/>
        <s v="EMLYN BEAN"/>
        <s v="CRISTALLE BOWEN"/>
        <s v="ALYSHA MCELROY-HODGES"/>
        <s v="ELIZABETH BJORNEBERG"/>
        <s v="ELIZABETH BREIT"/>
        <s v="CHICAGO HUMANITIES FESTIVAL 01"/>
        <s v="NAOMI ASHLEY"/>
        <s v="JOSE ENRIQUE GUZMAN BORRERO"/>
        <s v="KENVONTA LEGGITT"/>
        <s v="ROBERT LUNDBERG"/>
        <s v="ZACHARY FINNEGAN"/>
        <s v="LYNTUAN JONES"/>
        <s v="TALIA KOYLASS"/>
        <s v="FULLAMUSU BANGURA"/>
        <s v="SADAF FERDOWSI"/>
        <s v="CECLIE DEREL"/>
        <s v="CHARLES CADKIN"/>
        <s v="NICOLE ADAMS DBA THIRD EYE SWAG PRODUCTIONS"/>
        <s v="LIAM MCDONALD"/>
        <s v="RICARDO CANEDO MONDRAGON"/>
        <s v="DANIELLE CASTONZO"/>
        <s v="RUBEN CARRAZANA"/>
        <s v="DANIELLE ANDRESS"/>
        <s v="GILLIAN BUTCHER"/>
        <s v="JACQUELINE BOWES"/>
        <s v="JOSUE PELLOT"/>
        <s v="CHRISTINA SEO"/>
        <s v="SAMUEL MOSCHING"/>
        <s v="MICHAEL MOSHER"/>
        <s v="KATHERINE PETERSEN"/>
        <s v="DAVID SINGER"/>
        <s v="TULIKA LADSARIYA STUDIO"/>
        <s v="SUZUKI-ORFF SCHOOL OF MUSIC 01"/>
        <s v="RHEA THE SECOND (ASHLEY OTIS)"/>
        <s v="CHRISTIAN LEE"/>
        <s v="ALIA MONTIJO"/>
        <s v="MARIA LETICIA MARTINEZ"/>
        <s v="MIDWAY CHAMBER OF COMMERCE"/>
        <s v="PRAIZE PRODUCTION INC NFP"/>
        <s v="CALUMET COLLABORATIVE"/>
        <s v="MAXIMUS US SERVICES"/>
        <s v="MIGUEL LEPE JR"/>
        <s v="KRISTIN MCWHARTER"/>
        <s v="SHAINA LUND"/>
        <s v="MADE DYAH MINARNO"/>
        <s v="LALEH KHOSHNAVAZ MOTLAGH"/>
        <s v="ASHLEY MERRIWEATHER"/>
        <s v="JANET RODRIGUEZ"/>
        <s v="CYNTHIA MARTINEZ"/>
        <s v="IAN DAMONT MARTIN"/>
        <s v="KIYOE MATSUURA"/>
        <s v="TALOGY"/>
        <s v="AYA NAKAMURA"/>
        <s v="MARK NAGY"/>
        <s v="MARISOL VELEZ"/>
        <s v="RYAN MAYER"/>
        <s v="MADISON MAY"/>
        <s v="MICHELLE MAYNARD"/>
        <s v="MARIO MENA"/>
        <s v="BERT RICH"/>
        <s v="ALLISON OROBIA"/>
        <s v="DAVID NAKAZONO"/>
        <s v="VICTORIA NASSIF"/>
        <s v="SARAH NISHIURA"/>
        <s v="ANDY ORTMANN"/>
        <s v="BRUCE RILEY"/>
        <s v="LEWIS RAWLINSON"/>
        <s v="KATHRYN RAUTH"/>
        <s v="JUSTIN REDDING"/>
        <s v="JOSHUA ROSS"/>
        <s v="LUIS RAMIREZ"/>
        <s v="MONICA PIZANO"/>
        <s v="JIL ROSS"/>
        <s v="JOSEPH RAVENS"/>
        <s v="ANNE BRUNELL"/>
        <s v="JORDAN PORTER-WOODRUFF"/>
        <s v="ANNA PISZEZOR"/>
        <s v="ISRAEL PATE"/>
        <s v="LETICIA PARDO ROJO"/>
        <s v="ABIGAIL PIERCE"/>
        <s v="JASMINE PARKS"/>
        <s v="MICHAEL PAXTON"/>
        <s v="LIVIU PASARE"/>
        <s v="CHICAGO URBAN ART RETREAT CENTER"/>
        <s v="RASHIDAH SALES"/>
        <s v="JEWELLS SANTOS"/>
        <s v="MECCA PERRY"/>
        <s v="HIGH CONCEPT LABORATORIES"/>
        <s v="LUCIANNE WALKOWICZ"/>
        <s v="FAITH VON ATZIGEN"/>
        <s v="WILLIAM SCHNEIDER"/>
        <s v="AKENYA SEYMOUR"/>
        <s v="JONATHAN VEGA"/>
        <s v="JAERIN SON"/>
        <s v="HOLLIE SMURTHWAITE"/>
        <s v="OPERA MATIC NFP"/>
        <s v="CHICAGO TORTURE JUSTICE MEMORIALS FOUNDATION"/>
        <s v="KATHRYN SHIVAK"/>
        <s v="ELEANOR SHARP"/>
        <s v="OPEN CENTER FOR THE ARTS"/>
        <s v="FIRST FLOOR THEATER"/>
        <s v="CHICAGO DANCE UNITED"/>
        <s v="LAMAJIAH SMITH"/>
        <s v="NAYEON YANG"/>
        <s v="WILLIS WEINSTEIN"/>
        <s v="TERESA WHITE"/>
        <s v="JEFFREY WOLF"/>
        <s v="GERBER/HART LIBRARY &amp; ARCHIVES"/>
        <s v="JAY ALAN YIM"/>
        <s v="ROUGH HOUSE THEATER"/>
        <s v="COLUMBIA COLLEGE-CHICAGO/GLASS CURTAIN GALLERY"/>
        <s v="CHICAGO TAP THEATRE"/>
        <s v="EXPERIMENTAL SOUND STUDIO"/>
        <s v="GLOBAL GIRLS"/>
        <s v="HYDE PARK YOUTH SYMPHONY"/>
        <s v="CHICAGO INDEPENDENT RADIO PROJECT"/>
        <s v="AMY WURTZ"/>
        <s v="TBRM RESTAURANT GROUP"/>
        <s v="CHICAGO OPERA THEATER"/>
        <s v="DANCE IN THE PARKS"/>
        <s v="CHICAGO PHILHARMONIC SOCIETY"/>
        <s v="CHICAGO PRINTER'S GUILD"/>
        <s v="CITY LIT THEATER"/>
        <s v="CHICAGO REPERTORY BALLET"/>
        <s v="STORY THEATRE"/>
        <s v="THE SEVEN THIRTY THEATRE"/>
        <s v="SELDOMS"/>
        <s v="THE PAPER MACHETE SHOW INC NFP"/>
        <s v="THE OBSIDIAN COLLECTION ARCHIVES"/>
        <s v="MIDWEST FILM"/>
        <s v="CONSPIRATORS NFP"/>
        <s v="ISHTI COLLECTIVE"/>
        <s v="FULCRUM POINT NEW MUSIC PROJECT"/>
        <s v="FOLDED MAP NFP"/>
        <s v="IN THE REALM OF SENSES"/>
        <s v="COLUMBIA COLLEGE CHICAGO"/>
        <s v="NILE LANSANA"/>
        <s v="LA CACCINA"/>
        <s v="JACKALOPE THEATRE"/>
        <s v="CHICAGO YOUTH SYMPHONY ORCHESTRAS"/>
        <s v="DIVINE PURPOSE YOUTH PERFORMING ARTS CENTER"/>
        <s v="INGENUITY INCORPORATED"/>
        <s v="BRONZE MEMORIAL"/>
        <s v="VICTORIA MARTINEZ"/>
        <s v="FRONT PORCH ARTS CENTER"/>
        <s v="LAWNDALE POP-UP SPOT"/>
        <s v="RAICES COMMUNITY WELLNESS CENTER"/>
        <s v="RAVENSWOOD CHAMBER OF COMMERCE"/>
        <s v="WORKFORCE AND HUMAN DEVELOPMENT SERVICES DBA THE JOURNEY FORWARD"/>
        <s v="LAF"/>
        <s v="AWAKENINGS FOUNDATION"/>
        <s v="PINNACLE ERA CONSULTANTS"/>
        <s v="CYNTHIA  MARTIN"/>
        <s v="TECMA ASSOCIATES"/>
        <s v="ACCURATE GROUP"/>
        <s v="TERRA ENGINEERING"/>
        <s v="CALCULATED GENIUS"/>
        <s v="ALLAN INTEGRATED CONTROL SYSTEMS"/>
        <s v="14 PARISH"/>
        <s v="SEVENTY-SEVEN COMMUNITIES MEAL SERVICES"/>
        <s v="MICHELLE MARIE KENDRICK HARTNEY"/>
        <s v="JUAN &amp; ONLY"/>
        <s v="MAMAN"/>
        <s v="GREELEY &amp; HANSEN"/>
        <s v="GLENN T WALKSLER (GLENN WEXSLER)"/>
        <s v="ZAQ ART"/>
        <s v="CSX TRANSPORTATION"/>
        <s v="SMILING MOUNTAIN"/>
        <s v="OFFICE OF THE MEDICAL EXAMINER"/>
        <s v="COOK COUNTY DEPARTMENT OF PUBLIC HEALTH"/>
        <s v="GRAN LAGO"/>
        <s v="QIDEAS"/>
        <s v="BARNES WALTON DENTAL ASSOCIATES"/>
        <s v="835 E 75TH"/>
        <s v="OGDEN WASHTENAW JV"/>
        <s v="MP GENERAL CONTRACTORS"/>
        <s v="SECURITAS SECURITY SERVICES USA"/>
        <s v="URUAPAN PROPERTIES"/>
        <s v="MUTUAL AID BOX ALARM SYSTEM"/>
        <s v="IMANI SENIOR VILLAGE PHASE I"/>
        <s v="MAYUMI LAKE"/>
        <s v="CHRIS PAPPAN"/>
        <s v="AOR TRANSIT"/>
        <s v="KRISTA FRANKLIN"/>
        <s v="SELINA TREPP"/>
        <s v="AGITATOR ARTIST COLLECTIVE"/>
        <s v="ART OF GIVING"/>
        <s v="ART WORKS PROJECTS"/>
        <s v="CABINET OF CURIOSITY"/>
        <s v="CONSTELLATION PERFORMING ARTS"/>
        <s v="PILSEN-LITTLE VILLAGE COMMUNITY MENTAL HEALTH CENTER INC D/B/A PILSEN WELLNESS CENTER"/>
        <s v="VOSS EQUIPMENT"/>
        <s v="GUS GIORDANO'S JAZZ DANCE CHICAGO"/>
        <s v="FACTORY THEATER"/>
        <s v="PIGMENT INTERNATIONAL"/>
        <s v="NEWBERRY LIBRARY BUGHOUSE SQUARE DEBATES"/>
        <s v="TERESA WHITE 01"/>
        <s v="LAKESIDE PRIDE ENSEMBLES"/>
        <s v="GIRLS ROCK CHICAGO"/>
        <s v="WORLD MUSIC FOUNDATION"/>
        <s v="TELLIN' TALES THEATRE"/>
        <s v="STRAWDOG THEATRE"/>
        <s v="ARIEL GOLDBERG"/>
        <s v="MAD SHAK DANCE"/>
        <s v="YBE REALTY"/>
        <s v="WILD ONION MARKET"/>
        <s v="WORLD LEADERS"/>
        <s v="CHICAGO AUSTIN YOUTH TRAVEL ADVENTURES"/>
        <s v="TWO FIVE THREE TWO CORP NFP"/>
        <s v="ENGLEWOOD CONNECT"/>
        <s v="OUR REVIVAL CHICAGO OPERATING"/>
        <s v="HEALTH CARE ALTERNATIVE SYSTEMS"/>
        <s v="BOULEVARD APARTMENTS PRESERVATION LIMITED PARTNERSHIP"/>
        <s v="MOUNT GREENWOOD COMMUNITY &amp; BUSINESS ASSOCIATION"/>
        <s v="GRACE MANOR LP"/>
        <s v="CHICAGO CHINATOWN CHAMBER OF COMMERCE"/>
        <s v="REDTWIST THEATRE"/>
        <s v="NORTH CENTER CHAMBER OF COMMER|CLEANED-UP"/>
        <s v="GRACE AT JERUSALEM CDC"/>
        <s v="PASCALE IFE WILLIAMS"/>
        <s v="MIDNIGHT CIRCUS"/>
        <s v="RED ORCHID THEATRE"/>
        <s v="FRESH PATH"/>
        <s v="GREATER GOOD STUDIO"/>
        <s v="DUO DEVELOPMENT"/>
        <s v="BUSTLING SPACES"/>
        <s v="LATENT DESIGN"/>
        <s v="THE MODERN PLACE"/>
        <s v="SOUTHSIDE MARKET"/>
        <s v="THEATER WIT NFP"/>
        <s v="CHICAGO BALLET"/>
        <s v="PIVOT ARTS"/>
        <s v="LEAGUE OF CHICAGO THEATRES FOUNDATION"/>
        <s v="PROLINK SOLUTIONS"/>
        <s v="AUSTIN UNITED ALLIANCE LP"/>
        <s v="UNIVERSAL BOOT"/>
        <s v="EMERIC FACILITY SERVICES"/>
        <s v="HEARTLAND ALLIANCE HEALTH"/>
        <s v="LA CATRINA"/>
        <s v="CONSERVATION OF SCULPTURE &amp; OBJECTS STUDIO"/>
        <s v="KAY ALLEGRA"/>
        <s v="LA CATEDRAL CAFE &amp; RESTAURANT"/>
        <s v="DECOLORES"/>
        <s v="JUMPSTART HOUSING COOPERATIVE"/>
        <s v="BLDG PROJECTS"/>
        <s v="IN CARE OF BLACK WOMEN"/>
        <s v="GORDY'S BARBERSHOP"/>
        <s v="JM PLAZA"/>
        <s v="TFO REVA GOLUB BURNHAM"/>
        <s v="BRIGHT STAR COMMUNITY DEVELOPMENT CORPORATION NFP"/>
        <s v="VERITEXT"/>
        <s v="BRANCATO LANDSCAPING INC DBA BRANCATO SNOW &amp; ICE MANAGEMENT"/>
        <s v="AIRA TECH"/>
        <s v="SKYLINE MANAGEMENT GROUP O'HARE"/>
        <s v="PENCCO"/>
        <s v="ADVANCED ROADWAY MANUFACTURING"/>
        <s v="APIC &amp; EPIDEMIOLOGY CONSULTING SERVICES"/>
        <s v="CONTINENTAL TESTING SERVICES|CLEANED-UP"/>
        <s v="STANDARD PARKING-MIDWAY JV"/>
        <s v="KAMALTECH INCORPORATE"/>
        <s v="NTT DATA"/>
        <s v="LIFEWORKS (US) LIMITED"/>
        <s v="CHICAGO SUN-TIMES"/>
        <s v="MULLER &amp; MULLER LIMITED"/>
        <s v="SENSOURCE"/>
        <s v="WRD ENVIRONMENTAL"/>
        <s v="GROW GREATER ENGLEWOOD NFP"/>
        <s v="USDA-APHIS-WS"/>
        <s v="PUPSTARS PET CARE"/>
        <s v="OPEN BOOKS"/>
        <s v="REVOLUTION INSTITUTE"/>
        <s v="BUSINESS SERVICES COLLECTIVE NFP"/>
        <s v="FOUR STAR MUSHROOMS"/>
        <s v="MUNSTER STEEL"/>
        <s v="CLICK DEVELOPMENT"/>
        <s v="272 N CALIFORNIA"/>
        <s v="NEWARK KNIGHT FRANK MANAGEMENT"/>
        <s v="INTELLIGENT SYSTEMS SERVICES"/>
        <s v="CHICAGO FAMILY HOUSING COMMUNITY 1508 N HARDING DEVELOPMENT"/>
        <s v="LVL UP COFFEE"/>
        <s v="MHUB"/>
        <s v="NORMAL STUDIO"/>
        <s v="LAKEVIEW EAST CHAMBER OF COMMERCE"/>
        <s v="ASAD ALI JAFRI"/>
        <s v="CONSTRUCTION SERVICES OF ILLINOIS"/>
        <s v="HAZ COOPERATIVE STUDIOS"/>
        <s v="ABOVE AND BEYOND FAMILY RECOVERY CENTER"/>
        <s v="BCSP 231 PROPERTY"/>
        <s v="LION APPAREL"/>
        <s v="USI INSURANCE SERVICES"/>
        <s v="NIJC NFP"/>
        <s v="CHRISTOPHER GLASS AND ALUMINUM"/>
        <s v="INDUSTRIAL FENCE"/>
        <s v="CONDY HOLDINGS LLC DBA CARUS"/>
        <s v="RS AFFORDABLE I"/>
        <s v="TITAN BARN MANAGEMENT"/>
        <s v="LAKEVIEW LANDING LP"/>
        <s v="THE WORKSHOP ARTS COLLABORATIVE"/>
        <s v="LEADERS OF THE WORLD NFP"/>
        <s v="KILWINS CHOCOLATES"/>
        <s v="YELLOW BANANA"/>
        <s v="RENAISSANCE PARTNERS LIMITED PARTNERSHIP"/>
        <s v="TECHNOTRIX"/>
        <s v="FELD RESTAURANT"/>
        <s v="PILSEN HOUSING COOPERATIVE"/>
        <s v="LITTLE ANGELS FAMILY DAYCARE II"/>
        <s v="SUNSHINE GOSPEL MINISTRIES"/>
        <s v="BUILDING COMMUNITY FOUNDATIION"/>
        <s v="CONSTRUCTION"/>
        <s v="GRIGGS MITCHELL &amp; ALMA OF IL LLC DBA GMA CONSTRUCTION GROUP"/>
        <s v="FRIENDS OF COMMUNITY PUBLIC ART"/>
        <s v="VICTORIA ALVAREZ"/>
        <s v="LONE STAR-CARDINAL MOTORCYCLE VENTURES III LLC D/B/A FOX RIVER HARLEY-DAVIDSON"/>
        <s v="COURTESY ELECTRIC"/>
        <s v="ROBE"/>
        <s v="RYLAND WHARTON"/>
        <s v="ANNA MURPHY"/>
        <s v="CONTEMPORARY ARTS CENTER"/>
        <s v="MIGUEL DEL REAL"/>
        <s v="MURNANE PAPER"/>
        <s v="LENCO INDUSTRIES"/>
        <s v="LAKE EFFECT BREWING"/>
        <s v="IGNATIAN MISSION CENTER"/>
        <s v="5 RABBIT PILSEN"/>
        <s v="OVER THE RAINBOW ASSOCIATION"/>
        <s v="JUSTICE CREAM"/>
        <s v="LA VILLITA HOUSING COOPERATIVE"/>
        <s v="THIRD CITY STUDIO NFP"/>
        <s v="CARUS"/>
        <s v="USALCO"/>
        <s v="R-4 SERVICES"/>
        <s v="BARRICADE LITES"/>
        <s v="CHRISTOPHER GLASS SERVICES"/>
        <s v="26TH STREET SUGAR SHACK"/>
        <s v="TRUDELTA"/>
        <s v="WESTSIDE CULTURAL ALLIANCE"/>
        <s v="THE HEALING ACADEMY"/>
        <s v="TALAMANTES"/>
        <s v="LIFE FITNESS"/>
        <s v="NEW ERA WINDOWS"/>
        <s v="ST NICHOLAS DIOCESE IN CHICAGO FOR THE UKRAINIANS"/>
        <s v="CEASAR PEREZ"/>
        <s v="CHASITY FOSTER"/>
        <s v="STREET VENDORS ASSOCIATION OF CHICAGO"/>
        <s v="MACKINAW HOLDINGS"/>
        <s v="THE BLOC"/>
        <s v="U S MINORITY CONTRACTORS ASSOCIATION (USMCA)"/>
        <s v="KEDRIA ARTS"/>
        <s v="UNITED DIAGNOSTIC SERVICES"/>
        <s v="ALEXIAN BROTHERS HEALTH SYSTEM"/>
        <s v="HOMEKEEP"/>
        <s v="BOX UNITED"/>
        <s v="TATIANA ARMENDARIZ"/>
        <s v="LYNN BASA"/>
        <s v="NICOLE BECK"/>
        <s v="PRINTMAKERS"/>
        <s v="ALEXANDER BELTRAN"/>
        <s v="AMY MARIE CASTANEDA DBA LITTLE VILLAGE ART AND NATURE CENTER"/>
        <s v="LOUELLA ROSE CABALONA"/>
        <s v="PAUL DURICA"/>
        <s v="FELIPE TOBAR"/>
        <s v="CATHERINE JOHNSON 01"/>
        <s v="TYRONE HAWTHORNE DBA BLAQ ICE"/>
        <s v="LIA KOHL"/>
        <s v="REGINALD C JACKSON"/>
        <s v="GRANT PARK ORCHESTRAL ASSOCIATION"/>
        <s v="KAYLA MAHAFFEY"/>
        <s v="BENJAMIN L GAY"/>
        <s v="BASIL WATSON FINE ART"/>
        <s v="MODAXO TRAFFIC MANAGEMENT USA"/>
        <s v="MAX JULIAN SANSING"/>
        <s v="ROGELIO CADENA"/>
        <s v="DWIGHT WHITE JR"/>
        <s v="SAM PILNICK"/>
        <s v="MARIEL HARARI"/>
        <s v="WILLIAM JAMES MORAN"/>
        <s v="JEROME KELLY"/>
        <s v="MELISSA SENESE"/>
        <s v="SARAH QUILLIN"/>
        <s v="JOHN MICHAEL COLGIN"/>
        <s v="VICTOR EDWARDS"/>
        <s v="SHELLEY ANDREA DAVIS"/>
        <s v="ANDREW TOOMBS"/>
        <s v="ELVINA RAFI"/>
        <s v="DEL MARIE NELSON"/>
        <s v="GABRIEL ALSTON"/>
        <s v="JITESH JAGGI"/>
        <s v="SERENA ELSTON"/>
        <s v="JEREMIAH COLLIER"/>
        <s v="NINA CASTILLO-D'ANGIER"/>
        <s v="MOLLY MEYER LLC DBA OMNI ECOSYSTEMS"/>
        <s v="NORTH CENTER CHAMBER OF COMMER"/>
        <s v="RENAISSANCE COLLABORATIVE"/>
        <s v="AMERICAN TRAFFIC SOLUTIONS"/>
        <s v="STUART-DEAN OF ILLINOIS"/>
        <s v="GREENWOOD ARCHER CAPITAL"/>
        <s v="CIRCLE FOUNDATION"/>
        <s v="ABC HUMANE WILDLIFE CONTROL &amp; PREVENTION"/>
        <s v="CO-OP ED CENTER NFP"/>
        <s v="RYAN TOVA KATZ"/>
        <s v="MATTHEW MEDERER"/>
        <s v="TILES IN STYLE LLC DBA TAZA SUPPLIES"/>
        <s v="CMC PARTNERS JOINT VENTURE"/>
        <s v="ISLAND TERRACE 4% PRESERVATION ASSOCIATES LP"/>
        <s v="HEELS &amp; HAMMERS CONSTRUCTION"/>
        <s v="ASERET DEVELOPMENT SERIES"/>
        <s v="SEDGWICK CLAIMS MANAGEMENT SERVICES"/>
        <s v="IMMACULATE LAUNDRY OF ALBANY PARK"/>
        <s v="MILLENNIUN PARK FOUNDATION"/>
        <s v="SHOWER UP"/>
        <s v="BELT RAILWAY COMPANY OF CHICAGO"/>
        <s v="ENERWISE GLOBAL TECHNOLOGIES LLC D/B/A CPOWER"/>
        <s v="NEW CITY REDEVELOPMENT LP"/>
        <s v="9818 LOFTS"/>
        <s v="PIXSTER PHOTOBOOTH"/>
        <s v="AZTEC SUPPLY"/>
        <s v="UNIVERSITY OF ILLINOIS 05"/>
        <s v="DS SERVICES OF AMERICA"/>
        <s v="NORTHWEST ARTS CONNECTION"/>
        <s v="GUSTAVO CORTINAS-FOUILLOUX"/>
        <s v="HEIDELBERG USA"/>
        <s v="PNC BANK"/>
        <s v="SCHEIDT &amp; BACHMANN"/>
        <s v="HY TEST SAFETY SHOE SERVICE"/>
        <s v="ENTERPRISE FLEET MANAGEMENT"/>
        <s v="ICC GROUP"/>
        <s v="ILLINOIS PUBLIC HEALTH INSTITUTE"/>
        <s v="XCHANGE CHICAGO"/>
        <s v="JOEL OPPENHEIMER"/>
        <s v="ON THE REAL FILM"/>
        <s v="PAUL D'AMATO"/>
        <s v="BATTER &amp; BERRIES"/>
        <s v="CELADON CONSTRUCTION CORPORATION - NFP"/>
        <s v="KELLI R ADAMS"/>
        <s v="REBECA ALEMAN"/>
        <s v="GRAIL"/>
        <s v="VIOLA ALMUNIR"/>
        <s v="ANTON AUTH"/>
        <s v="TARGET SHOP"/>
        <s v="SEBIS DIRECT"/>
        <s v="JUAN ANTONIO BANOS ARJONA"/>
        <s v="AMANDA CHRISTINE HARTH"/>
        <s v="PETER FREDERIKSEN"/>
        <s v="BRANDI BERRY BENSON"/>
        <s v="JALEN HAMILTON"/>
        <s v="DAVID A HOLCOMBE"/>
        <s v="MEREDITH HAINES"/>
        <s v="MARCELA SILVIA DIAZ BROWN"/>
        <s v="JIBA ANDERSON"/>
        <s v="SARA HADLEY AUSTIN"/>
        <s v="KATHRYN BAWDEN"/>
        <s v="ANGELA AZMITIA"/>
        <s v="MAYA BENTLEY"/>
        <s v="CHRISTY BENNETT"/>
        <s v="JOHN W BAKKER"/>
        <s v="EILEEN CHAVEZ"/>
        <s v="DEBBIE-MARIE BROWN"/>
        <s v="SHIREEN DICKSON"/>
        <s v="ADAM GOTTLIEB"/>
        <s v="3 DS CLEANING AND VENDOR SUPPLY"/>
        <s v="GEM BUSINESS FORMS"/>
        <s v="GLADYS R WILSON &amp; ASSOCIATES PC"/>
        <s v="RAGLAND &amp; ASSOCIATES"/>
        <s v="CONDUENT STATE &amp; LOCAL SOLUTIONS"/>
        <s v="AMERICAN CORPORATE SERVICES OF TEXAS"/>
        <s v="JOHNSON CONTROLS SECURITY SOLUTIONS"/>
        <s v="PREMIER HOME HEALTH CARE SERVICES"/>
        <s v="MUIZZ OGBARA"/>
        <s v="UNIVERSITY OF CHICAGO 01"/>
        <s v="MARISOL CERON"/>
        <s v="WILLIAM WILHELM"/>
        <s v="JASAUN BUCKNER"/>
        <s v="FREDERICK WILSON 01"/>
        <s v="MELISSA DUPREY"/>
        <s v="IYANA BROWN-BEY"/>
        <s v="JARVELL WILLIAMS"/>
        <s v="JENNIFER LAMB-HEATHERINGTON"/>
        <s v="SANDRA LEONARD"/>
        <s v="DUGGAL VISUAL SOLUTIONS"/>
        <s v="YVES F SMIERCIAK"/>
        <s v="ASHWATY CHENNAT"/>
        <s v="AUGUSTINE ESTERHAMMER-FIC"/>
        <s v="LINDA WALKER"/>
        <s v="SAMUEL ELLENBY"/>
        <s v="ASHANTIA DAY"/>
        <s v="JEFFREY SILVA"/>
        <s v="KOPANO MUHAMMAD"/>
        <s v="LORI FELKER"/>
        <s v="TZU TSEN WU"/>
        <s v="KRISTINE BERGMARK"/>
        <s v="THUONG TRAN"/>
        <s v="GOLI PARVINIAN"/>
        <s v="JERRY LUNA"/>
        <s v="INGOV"/>
        <s v="CRYSTLE DINO"/>
        <s v="GREATER ILLINOIS TITLE"/>
        <s v="SHENGZE ZHU"/>
        <s v="MARY WISNIEWSKI"/>
        <s v="CHRISTOPHER REEVES"/>
        <s v="JOSE LUIS BENAVIDES"/>
        <s v="MARIA BURUNDARENA"/>
        <s v="JONATHAN PACHECO"/>
        <s v="RISHA SANIKOMMU"/>
        <s v="JORDAN KNECHT"/>
        <s v="COREY HALL"/>
        <s v="NADYA NAUMAAN"/>
        <s v="SHARON BLADHOLM"/>
        <s v="JAZMINE ELAINE HARRIS"/>
        <s v="KELECHI AGWUNCHA"/>
        <s v="HARLEY FOOS"/>
        <s v="KATIE CHUNG"/>
        <s v="ROMEL SIMS"/>
        <s v="QPR INSTITUTE"/>
        <s v="MACKIE CONSULTANTS"/>
        <s v="RADA ARCHITECTS LIMITED"/>
        <s v="MCKISSACK &amp; MCKISSACK MIDWEST"/>
        <s v="SIGMA ENGINEERING"/>
        <s v="JULIA MONDSCHEAN"/>
        <s v="CRISTINA RODRIGUEZ 01"/>
        <s v="DANIEL GAYDEN"/>
        <s v="AN TUAN TRAN"/>
        <s v="ROBERT J JOHNSON"/>
        <s v="JUAN PASTOR"/>
        <s v="JIM BLISSITT III"/>
        <s v="ABIGAIL THOMPSON"/>
        <s v="DANIELLE ROSEN"/>
        <s v="DARIOUS LYLES"/>
        <s v="SIUL REYNOSO"/>
        <s v="ABENA MOTABOLI"/>
        <s v="VIVAN JONES"/>
        <s v="CAI THOMAS"/>
        <s v="CHARLES VANDERKLIPP"/>
        <s v="TIA LORENNA DUNLAP"/>
        <s v="RAYMOND THOMAS"/>
        <s v="JASSIEL SERNA"/>
        <s v="ELIZABETH ODOM"/>
        <s v="CECILIA VILLARRUEL"/>
        <s v="OLIVIA PETERSON 01"/>
        <s v="ARTURO NINO FRESAN"/>
        <s v="ANDREA BESCHEL"/>
        <s v="MARINA ROSS"/>
        <s v="LIONAL FREEMAN"/>
        <s v="GABRIEL VILLA"/>
        <s v="MARCI RUBIN"/>
        <s v="BRIAN SYKES"/>
        <s v="CARL DEANGELO"/>
        <s v="SALVADOR DOMINGUEZ 01"/>
        <s v="SARA D'IPPOLITO REICHERT"/>
        <s v="KENNETH COOK"/>
        <s v="KATELYN DOUGLASS"/>
        <s v="CAMILO RINCON"/>
        <s v="BRANDON J MURRAY"/>
        <s v="KIA SMITH"/>
        <s v="ERIK PETERSON"/>
        <s v="FAUNTA LUCKETT"/>
        <s v="ANDREA LYNNE CRIST"/>
        <s v="VANESSA VALLIERE"/>
        <s v="ZERO HOME"/>
        <s v="KIMBERLY NUCCI"/>
        <s v="JOEL STYZENS"/>
        <s v="ABBEY MUZATKO"/>
        <s v="OLADIPO OYEWO"/>
        <s v="ALEXANDRIA EREGBU"/>
        <s v="EMERALD CATRON"/>
        <s v="ELIZABETH THOMPKINS"/>
        <s v="DAIMON HAMPTON"/>
        <s v="BRENNA QUINN"/>
        <s v="FOUR BRANDS ENTERPRISES"/>
        <s v="JUWAN LOCKETT"/>
        <s v="ALEJANDRA OLIVA"/>
        <s v="COLETTE GREGORY"/>
        <s v="GENEVIEVE SWANSON"/>
        <s v="ANCA SZILAGYI"/>
        <s v="AMBER JOHNSON"/>
        <s v="SANKALP RAJU"/>
        <s v="ELI RAMIREZ"/>
        <s v="JOSE RAICES"/>
        <s v="FATIMA OGUNLEYE"/>
        <s v="EVAN LEVINE"/>
        <s v="ALEXANDRA KOSTIW"/>
        <s v="MORGAN EKLUND"/>
        <s v="ASHLEY HART"/>
        <s v="CHRISTIAN MEJIA"/>
        <s v="KEEFEE JACKSON"/>
        <s v="NEIL JENDON"/>
        <s v="GERALD JACKSON JR"/>
        <s v="SYLVIA LOPEZ"/>
        <s v="RYAN LUZZO"/>
        <s v="BENJAMIN KINSINGER"/>
        <s v="FAYLITA HICKS"/>
        <s v="JENNIFER ESTLIN"/>
        <s v="ANTHONY EVORA"/>
        <s v="MAKEDA EASTER"/>
        <s v="SANDRA JACKSON-OPOKU"/>
        <s v="ALIYAH JONES"/>
        <s v="MARIAH EASTMAN"/>
        <s v="JUNKO KAJINO"/>
        <s v="NYELA BASNEY"/>
        <s v="MICHAEL  COSTELLO"/>
        <s v="345 ART GALLERY"/>
        <s v="EARLE SCHOOL"/>
        <s v="FULL CIRCLE COMMUNITIES"/>
        <s v="CELESTERLING FOUNDATION DBA PHOENIX FOUNDATION NFP"/>
        <s v="BUNNY EARS ART HOUSE"/>
        <s v="BOKSTER PROPERTIES"/>
        <s v="AT&amp;T ENTERPRISES"/>
        <s v="COMCAST OF CHICAGO"/>
        <s v="CHICAGO WESTSIDE BRANCH NAACP"/>
        <s v="COOK COUNTY COLLECTOR"/>
        <s v="18TH STREET CASA DE CULTURA"/>
        <s v="CLARK INVESTMENTS"/>
        <s v="INSTITUTE OF INTERNAL AUDITORS INC CHICAGO CHAPTER"/>
        <s v="BM MEDIA GROUP"/>
        <s v="SAMANTHA KIRK"/>
        <s v="CHICAGO YOUTH FOUNDATION"/>
        <s v="O'HARE RAC"/>
        <s v="EVERTHRIVE ILLINOIS"/>
        <s v="OLYA ADKISON"/>
        <s v="ILLINOIS DEPARTMENT OF HEALTHCARE &amp; FAMILY SERVICES"/>
        <s v="KPMG"/>
        <s v="CHICAGO UNDERGROUND NFP"/>
        <s v="RAY OF HOPE CENTER OF THE ARTS"/>
        <s v="ENRICH CHICAGO"/>
        <s v="UNIV OF TEXAS AT AUSTIN"/>
        <s v="CHICAGO DESIGN MUSEUM"/>
        <s v="NATIONAL VIETNAM VETERANS ART MUSEUM"/>
        <s v="GF PRODUCTIONS"/>
        <s v="BLACK GIRLS DANCE"/>
        <s v="GOOD CITY GROUP"/>
        <s v="PARAMAR DANCE THEATRE"/>
        <s v="LAMPO"/>
        <s v="PROBOSCIS THEATRE"/>
        <s v="CHICAGO ARTOPIA"/>
        <s v="DEFINITION THEATRE"/>
        <s v="773 DANCE PROJECT"/>
        <s v="FRESHLENS CHICAGO"/>
        <s v="TERRA FUNDING CHICAGO"/>
        <s v="C2-TWO NORTH LASALLE"/>
        <s v="FCA FUND CHICAGO II"/>
        <s v="USCC SERVICES LLC DBA USCELLULAR"/>
        <s v="SOMETHIN' SWEET DONUTS ON KEDZIE"/>
        <s v="JUSTICE OF THE PIES L3C"/>
        <s v="DANK-HAUS GERMAN CULTURAL CENTER"/>
        <s v="ONE GROUP MIND"/>
        <s v="LAZARUS RENEWAL II"/>
        <s v="KRONOS"/>
        <s v="BENCHMARK CONSTRUCTION CO INC &amp; UNITED ENTERPRISE LLC JV"/>
        <s v="AMERICAN RED CROSS-HEALTH &amp; SAFETY SERVICES"/>
        <s v="GREENPRINT PARTNERS"/>
        <s v="CHRISTIANSEN CAPITAL ADVISORS"/>
        <s v="POWER CONSTRUCTION"/>
        <s v="THE SPOKE &amp; BIRD-BRIDGEPORT"/>
        <s v="PORTAGE PARK CAPITAL"/>
        <s v="SOULFUL BOOK FAIR FOUNDATION"/>
        <s v="SPIRAL BINDING"/>
        <s v="URBAN MARKET EXCHANGE L3C"/>
        <s v="MISSISSIPPI MUESUM OF ART"/>
        <s v="CHILE TOREADO RESTAURANT"/>
        <s v="LITTLE VILLAGE BUSINESS INCUBATOR"/>
        <s v="PAGE SECURITY"/>
        <s v="CENTER FOR INTUITIVE &amp; OUTSIDER ART"/>
        <s v="THOMPSON STREET OPERA"/>
        <s v="UKRAINIAN INSTITUTE OF MODERN ART"/>
        <s v="DU SABLE MUSEUM OF AFRICAN AMERICAN HISTORY"/>
        <s v="GLOBAL PUNGMUL INSTITUTE"/>
        <s v="KURDISH CULTURAL CENTER OF ILLINOIS"/>
        <s v="HEARING IN COLOR"/>
        <s v="RAVEN THEATRE"/>
        <s v="COBAN RESEARCH &amp; TECHNOLOGIES"/>
        <s v="KENNETH COOK JR"/>
        <s v="DEMIL ART FUND"/>
        <s v="HP SKATE MEETUP L3C"/>
        <s v="HERC RENTALS"/>
        <s v="VIRMAC SERVICES"/>
        <s v="KETCHUM MANUFACTURING"/>
        <s v="WORLDPAY HOLDING"/>
        <s v="STANDARD EQUIPMENT"/>
        <s v="PILSEN CHAMBER OF COMMERCE"/>
        <s v="COMMUNITY DESK CHICAGO"/>
        <s v="ENTREPRENEURS ACADEMY"/>
        <s v="HYDE PARK CHAMBER OF COMMERCE"/>
        <s v="ARAB AMERICAN BUSINESS AND PROFESSIONAL ASSOCIATION"/>
        <s v="CRE8 SPACE L3C"/>
        <s v="BODIES IN MOTION II NFP"/>
        <s v="CREATIVE NETWERK"/>
        <s v="SOUTHWEST CREATIVE STUDIO"/>
        <s v="EPIC ART SPACE"/>
        <s v="WOOD ST COLLECTIVE"/>
        <s v="HISPANIC HOUSING DEVELOPMENT"/>
        <s v="1901 S WESTERN"/>
        <s v="1237 N CALIFORNIA 9PCT HHDC LP"/>
        <s v="RON SMITH &amp; ASSOCIATES"/>
        <s v="2620 W FLETCHER"/>
        <s v="CALAHAN FUNERAL HOME"/>
        <s v="BRYANA BIBBS"/>
        <s v="DCM COURT REPORTING"/>
        <s v="URLAUB BOWEN &amp; ASSOC"/>
        <s v="MCCORKLE LITIGATION SERVICES"/>
        <s v="ART INSTITUTE OF CHICAGO 01"/>
        <s v="ABBOTT CONNECTION LTD DBA A-LIST LIMOUSINE AND TRANSIT SERVICES"/>
        <s v="SINYA PROPERTIES"/>
        <s v="TATIS FLORAL"/>
        <s v="LEYDA LADY SOL GARCIA"/>
        <s v="AMANDA WILLIAMS"/>
        <s v="ERIK DEBAT"/>
        <s v="K-FIVE CONSTRUCTION CORP/PLOTE CONSTRUCTION INC JV"/>
        <s v="HR &amp; A ADVISORS"/>
        <s v="WGN FLAG &amp; DECORATING CO 01"/>
        <s v="CHICAGO 103RD STREET"/>
        <s v="EXECUTIVE CONSTRUCTION"/>
        <s v="COMMON GROUND ALLIANCE (CGA)"/>
        <s v="REBUILD FOUNDATION NFP"/>
        <s v="HYDE PARK NEIGHBORHOOD CLUB-LEGENDS BASEBALL"/>
        <s v="AVERY R YOUNG"/>
        <s v="GARZA KARHOFF ENGINEERING"/>
        <s v="ABOVE &amp; BEYOND FAMILY RECOVERY CENTER"/>
        <s v="VIETNAMESE ASSOCIATION OF ILLINOIS ( VA I)"/>
        <s v="VEGETATION SOLUTIONS"/>
        <s v="SONIC EXPLORATIONS"/>
        <s v="CHICAGO TORTURE JUSTICE CENTER"/>
        <s v="ESPERANZA COMMUNITY SERVICESINC"/>
        <s v="LOMAX URBAN OUTREACH"/>
        <s v="HOPE OPPORTUNITY PURPOSE EMPOWERMENT"/>
        <s v="ATLAS TECHNICAL CONSULTANTS"/>
        <s v="UNCLE FREDDY'S GALLERY"/>
        <s v="JULIE &amp; MICHAEL TRACY FAMILY FOUNDATION"/>
        <s v="LOGAN SQUARE NEIGHBORHOOD ASSOCIATION"/>
        <s v="LADIES OF VIRTUE NFP"/>
        <s v="BARBARA JEAN FOUNDATION"/>
        <s v="SOUL RAMEN CHI"/>
        <s v="PG6"/>
        <s v="PYROTECNICO FIREWORKS"/>
        <s v="CHICAGO REWILDING SOCIETY"/>
        <s v="STOPTIME LIMITED"/>
        <s v="UNITED SECURITY SERVICES"/>
        <s v="PENTECOSTAL CHURCH OF HOLINESS"/>
        <s v="AIR SNOW &amp; SHOW"/>
        <s v="LIFESCORE FOUNDATION"/>
        <s v="ALLIANCE FOR SUSTAINABLE ENERGY"/>
        <s v="EVERON LLC (90-0008456)"/>
        <s v="SOFIA GABRIEL"/>
        <s v="ERNST &amp; YOUNG"/>
        <s v="HEART OF UPTOWN APARTMENTS"/>
        <s v="HUMBOLDT PARK HEALTH"/>
        <s v="ADVANCED WATER SOLUTIONS"/>
        <s v="URBAN LAND INSTITUTE"/>
        <s v="V3 WETLAND RESTORATION"/>
        <s v="HOLY FAMILY LUTHERAN CHURCH"/>
        <s v="LITTLE BROTHERS FRIENDS OF ELDERLY"/>
        <s v="CLEAN COMMUNITY"/>
        <s v="REVOLUTION WORKSHOP"/>
        <s v="EAT-N-PIE"/>
        <s v="AUGUSTANA LUTHERAN CHURCH OF HYDE PARK"/>
        <s v="GALLEY CHICAGO"/>
        <s v="548 PASSIVE HP LP"/>
        <s v="CHIFRESH KITCHEN LWCA"/>
        <s v="GRACE UNITED METHODIST CHURCH"/>
        <s v="GARFIELD PARK WELLNESS CENTER SUPPORT"/>
        <s v="PRIME FOR CHANGE NFP"/>
        <s v="TRUE BELIEVERS COMMUNITY CONNECTIONS"/>
        <s v="LATINO ORGANIZATION OF THE SOUTHWEST"/>
        <s v="ENDELEO INSTITUTE"/>
        <s v="CLEAR CHANNEL OUTDOOR"/>
        <s v="VIOLETS IN BLOOM"/>
        <s v="SHAQUITA REED"/>
        <s v="THE CHICAGO GROUP COLLECTIVE"/>
        <s v="CHA COMMUNITY SUPPORT"/>
        <s v="EPISCOPAL CHURCH OF THE ATONEMENT"/>
        <s v="ISABELLA STEWART GARDNER MUSEUM"/>
        <s v="FIRST BAPTIST CONGREGATIONAL CHURCH OF CHICAGO"/>
        <s v="CANON USA"/>
        <s v="HISTORIC PULLMAN EMPOWERMENT ORGANIZATION"/>
        <s v="COZZI MEDICAL CONSULTING"/>
        <s v="LEGENDS A-3"/>
        <s v="SWR JOINT VENTURE"/>
        <s v="CONNIE HARVEY"/>
        <s v="CASA YUCATAN LP"/>
        <s v="VIA CHICAGO LIMITED"/>
        <s v="L'ARCHE CHICAGO"/>
        <s v="NARROW BRIDGE"/>
        <s v="AVE SW"/>
        <s v="BYERS GROUP"/>
        <s v="GOLD POINT STUDIO"/>
        <s v="FREEMAN PICTURES"/>
        <s v="QURIOSITY PRODUCTIONS"/>
        <s v="DSGNRZ"/>
        <s v="CHICAGO ALLIANCE OF AFRICAN-AMER"/>
        <s v="ARTHUR J GALLAGHER RISK MANAGEMENT SERVICES"/>
        <s v="A M C MECHANICAL INC|CLEANED-UP"/>
        <s v="CLARE BRITT"/>
        <s v="POWELL PHOTOGRAPHY"/>
        <s v="KATHLEEN HINKEL"/>
        <s v="GREATER UNION BAPTIST CHURCH"/>
        <s v="PAMELA SELF LANDSCAPE ARCHITECTURE LIMITED"/>
        <s v="ERIN BABBIN"/>
        <s v="IRENE HSIAO"/>
        <s v="JUSTIN WHITE"/>
        <s v="JENNA ANAST"/>
        <s v="MCCANDLESS PIERCE"/>
        <s v="MICHELE STINE"/>
        <s v="MARGARET BRIDGER"/>
        <s v="JEFFREY ABIDOR"/>
        <s v="GLENN WILLOUGHBY"/>
        <s v="LISC CHICAGO"/>
        <s v="THRIVE EXCHANGE"/>
        <s v="SP PLUS"/>
        <s v="JESSICA REDDICK"/>
        <s v="PATRICK DONLEY"/>
        <s v="HONDO LAWRENCE"/>
        <s v="KAMAU RASHID"/>
        <s v="TARAH HUNT"/>
        <s v="PHUC TO"/>
        <s v="AURORE TABAR"/>
        <s v="LORIMAR MATOS"/>
        <s v="JESSICA ANDERSON"/>
        <s v="IVAN PAUGAM"/>
        <s v="STEPHEN MULLEN"/>
        <s v="MAGDALENA DALZELL"/>
        <s v="TASK FORCE PREVENTION &amp; COMMUNITY SERVICES"/>
        <s v="MARGARET CROWLEY"/>
        <s v="COURTNEY FARNEY"/>
        <s v="STEPHANIE GRAHAM 01"/>
        <s v="LAVELLE HARRIS"/>
        <s v="ESSENTIAL ELEMENTS CHICAGO LIMITED"/>
        <s v="ELEVATOR INSPECTION SERVICE"/>
        <s v="MINTEX"/>
        <s v="TRINITY 95TH &amp; COTTAGE GROVE"/>
        <s v="RUSSO HARDWARE"/>
        <s v="MAXIMUS CONSULTING SERVICES"/>
        <s v="PARKSIDE PHASE III LP"/>
        <s v="SUBWAY #47178"/>
        <s v="SPAAN TECH"/>
        <s v="MIDDLE EASTERN IMMIGRANT &amp; REFUGEE ALLIANCE"/>
        <s v="MIDWEST ACCESS COALITION"/>
        <s v="ILLINOISFACILITIES FUND"/>
        <s v="LANGUAGE LINE SOLUTIONS"/>
        <s v="PITNEY BOWES/RESERVE ACCOUNT"/>
        <s v="XILIN ASSOCIATION"/>
        <s v="AFRICA INTERNATIONAL HOUSE"/>
        <s v="RYANS PLUMBING 1"/>
        <s v="ASM-SOLDIER FIELD"/>
        <s v="NEXT SHOWCASE USA"/>
        <s v="KOMBI"/>
        <s v="GALLERY GUICHARD"/>
        <s v="BELMONT TAVERN"/>
        <s v="PLANT CHICAGO NFP"/>
        <s v="ASSET"/>
        <s v="FEDERAL SIGNAL"/>
        <s v="RI-DEL MANUFACTURING"/>
        <s v="MCKESSON - MEDICAL-SURGICAL GOVERNMENT SOLUTIONS"/>
        <s v="GENERATIONS HOUSING INITIATIVES"/>
        <s v="SNOW SYSTEMS"/>
        <s v="JONATHAN TATUM"/>
        <s v="MONIKA PLIOPLYTE"/>
        <s v="MICHELS"/>
        <s v="ALEXANDER MICHAEL KEFALOUKOS"/>
        <s v="TYLER E FRY"/>
        <s v="ADAM W CARSON"/>
        <s v="HILARY G MABBITT"/>
        <s v="REINALDO CORREA STUDIO"/>
        <s v="RINGOLD FINANCIAL MANAGEMENT SERVICES"/>
        <s v="RAGLAND ARNOLD BUCHANAN MORRIS &amp; ASSOCIATES"/>
        <s v="HILL MECHANICAL"/>
        <s v="NAHAL NAVIDAR"/>
        <s v="SARA GROSE"/>
        <s v="ANTONIA GURKOVSKA"/>
        <s v="EMILY JOHNSON 01"/>
        <s v="JOANNA ARELLANO"/>
        <s v="THEODORE MORGAN"/>
        <s v="MICHAEL LORD"/>
        <s v="JUSTIN SWINSON"/>
        <s v="MATTHEW LAUTERBACH"/>
        <s v="STEVEN J WALSH"/>
        <s v="REFUSE &amp; RECYCLING NEEDS OF WI"/>
        <s v="AESPYNE BROOKS"/>
        <s v="JEFFREY PHILLIPS"/>
        <s v="ISHMAEL ALI ZGHOUL"/>
        <s v="JANICE RODRIGUEZ1"/>
        <s v="CELINA GARDUNO"/>
        <s v="CRISTINA CASS"/>
        <s v="GORDON FUNG"/>
        <s v="MINH LE 01"/>
        <s v="LESLEY BEVAN"/>
        <s v="ALEXANDER BORTELL"/>
        <s v="GUTHRIE BLECHMAN"/>
        <s v="SCOTT CAMPBELL"/>
        <s v="MAKE IT HAPPEN CONSTRUCTION"/>
        <s v="CHRISTOPHER KNOWLTON"/>
        <s v="DIANA QUINONES RIVERA"/>
        <s v="BCR LLC AUTOMOTIVE GROUP"/>
        <s v="JOHN SUTTON1"/>
        <s v="DUWAND SCOTT"/>
        <s v="ERIKA ORDOSGOITTI EGEA"/>
        <s v="CHRIST THE KING JESUIT COLLEGE PREPARATORY SCHOOL"/>
        <s v="GWO TRUCKING &amp; CONSTRUCTION"/>
        <s v="CORTEX CONSTRUCTION GROUP LIMITED"/>
        <s v="SLOG GROUP"/>
        <s v="RRM VISIONS"/>
        <s v="MANASA REDDY"/>
        <s v="PHILLIP WOOD"/>
        <s v="LISA WEATHERSBY"/>
        <s v="ANTHONY STOKES"/>
        <s v="SAMUEL STEVENS"/>
        <s v="OSCAR ROJAS"/>
        <s v="TANUJA JAGERNAUTH"/>
        <s v="JOSUE ALDANA"/>
        <s v="JORDAN RIVERS"/>
        <s v="BARRY PEARCE"/>
        <s v="EVERETT REID"/>
        <s v="SARAH PEECHER"/>
        <s v="STEPHEN CARPENTER"/>
        <s v="REMSY ATASSI"/>
        <s v="TEIANNA COOPER"/>
        <s v="SHOMARI DANIELS"/>
        <s v="JULIA DEGRUCHY"/>
        <s v="EREZ DESSEL"/>
        <s v="ADELE HENNING"/>
        <s v="JASON RHEE"/>
        <s v="CHAYANNE BARRIENTOS"/>
        <s v="DIANE BERRIOS"/>
        <s v="AUSTEN BROWN"/>
        <s v="BRENDA FILKIN"/>
        <s v="NOELLE KAYSER"/>
        <s v="JOSHUA KENT"/>
        <s v="MARSAE MITCHELL"/>
        <s v="JORGE SILVA"/>
        <s v="ANDRE MCCASKEY"/>
        <s v="BILLY BRANCH MUSIC"/>
        <s v="JUAN MOLINA HERNANDEZ"/>
        <s v="RYAN OLIVEIRA"/>
        <s v="JENNIFER PAGONIS"/>
        <s v="IAFF-HEALTH &amp; SAFETY DEPARTMENT"/>
        <s v="SONNY PATEL"/>
        <s v="TANIA LINDSAY"/>
        <s v="JACQUELINE SURDELL1"/>
        <s v="FRANK VEGA1"/>
        <s v="LAKESHA HOWARD-WILLAIMS"/>
        <s v="COREY WILLIAMS 01"/>
        <s v="ROSS BARNEY ARCHITECTS PC"/>
        <s v="RASHAD MADISON"/>
        <s v="SHANTA NURULLAH"/>
        <s v="JOSEPH KITT HOWARD LYLES"/>
        <s v="ROBERT DREA"/>
        <s v="LORA BRANCH"/>
        <s v="ASHELY MILLS"/>
        <s v="KATHRYN IN"/>
        <s v="CASEY BROWN"/>
        <s v="BRIL BARRETT"/>
        <s v="CARLO LIOU"/>
        <s v="FRED C ROBINSON"/>
        <s v="LAUREN IACOPONI"/>
        <s v="DANIEL DELGADO"/>
        <s v="CATHERINE RUTLEDGE"/>
        <s v="CARLOS RODRIGUEZ1"/>
        <s v="WENDY ROBLES"/>
        <s v="DENNIS ELLIOTT"/>
        <s v="MARCUS E DAVIS"/>
        <s v="TYLER DELOATCH"/>
        <s v="EVE ROBINSON"/>
        <s v="AMERA AL-ALI"/>
        <s v="KAELI MENO"/>
        <s v="OTTO ANZURES-DADDA"/>
        <s v="MATTHEW BODETT"/>
        <s v="PAULA GRAKENS"/>
        <s v="AARON GHOLAR"/>
        <s v="MARCO AQUINO"/>
        <s v="KATELYN PATTON"/>
        <s v="CURTIS POWELL 01"/>
        <s v="ALEXANDER GRELLE"/>
        <s v="RASHEED PETERS"/>
        <s v="NICOLE WILLIAMS1"/>
        <s v="BENJAMIN ZUCKER"/>
        <s v="NATHAN RUSSELL"/>
        <s v="JOSUE ROMERO VELASQUEZ"/>
        <s v="ERIC MATTHEW RICHARDSON"/>
        <s v="JUSTINE TOBIASZ"/>
        <s v="LINDSAY KRAMER"/>
        <s v="GAOZHE LI"/>
        <s v="ELIZABETH MYLES"/>
        <s v="ROBBIE HUNSINGER"/>
        <s v="ANDREA BELLOMO"/>
        <s v="MARY MAZUREK"/>
        <s v="DEON REED"/>
        <s v="JESSICA DENISE SCOTT"/>
        <s v="FERNANDO SALDIVIA YANEZ"/>
        <s v="KENDALL COX"/>
        <s v="LUIS CORREA OLVERA"/>
        <s v="LORENZO LEYVA"/>
        <s v="IDRIS DANIEL"/>
        <s v="SAMANTHA JORDAN"/>
        <s v="CHRISTOPHER WILLIFORD"/>
        <s v="WOMEN ARTISTS ARCHIVE MIAMI"/>
        <s v="BLACK ENSEMBLE THEATER"/>
        <s v="XINYI LI"/>
        <s v="JUSTIN GREY"/>
        <s v="VICTORIA BOATENG"/>
        <s v="SUHAIL DESIGN"/>
        <s v="BEEMAN ARTWORKS"/>
        <s v="SARAH RAE"/>
        <s v="NDIDI MORTON"/>
        <s v="NICHOLAS HENNESSEY1"/>
        <s v="548 FOUNDATION"/>
        <s v="MEGAN RICH"/>
        <s v="DIASPORA ALLIANCE"/>
        <s v="MARCO RIOS"/>
        <s v="AMANDA WALKER-HALL"/>
        <s v="BRIAN CITRO"/>
        <s v="ELIJAH HOLDEN MCLAUGHLIN"/>
        <s v="MARY PATTEN"/>
        <s v="PAIGE SAVARESE"/>
        <s v="ELENA JIMENEZ"/>
        <s v="DALIA CHIN PAMPILLO"/>
        <s v="BARBARA SMITH"/>
        <s v="TIRTZA EVEN"/>
        <s v="CARLOS MAGANA1"/>
        <s v="CHRISTINA COSIO"/>
        <s v="THOMAS COMERFORD"/>
        <s v="REIGN WINKER"/>
        <s v="MISCHA ZUPKO"/>
        <s v="AKEEM SOYAN"/>
        <s v="JESSICA CABE"/>
        <s v="CAMILLE BEREDJICK"/>
        <s v="ADAM HOLZRICHTER"/>
        <s v="KATHRYN A ERNST"/>
        <s v="627 ALBANY PORTFOLIO"/>
        <s v="MARIKA MASHBURN1"/>
        <s v="RUSSELL MILBURN"/>
        <s v="NILS HIGDON"/>
        <s v="HALI PALOMBO"/>
        <s v="ISMAIL RASHAD"/>
        <s v="SARINA SHANE"/>
        <s v="CHRISTIAN ROBINSON"/>
        <s v="CHRISTINE VARISSE"/>
        <s v="JUAN DANIEL CHAVEZ SOLANO"/>
        <s v="DOROTHY CARLOS"/>
        <s v="NNEKA UDE"/>
        <s v="FERNANDO RUIZ 01"/>
        <s v="CASEY BURTON"/>
        <s v="ADDISON J WRIGHT"/>
        <s v="KITCH FEROLITO"/>
        <s v="EMMA HOSPELHORN"/>
        <s v="BRITTANY ALSOT"/>
        <s v="ESTLIN USHER"/>
        <s v="JAVIER VARGAS"/>
        <s v="ASHLEY MCKEITHEN"/>
        <s v="ENRIQUE VARGAS"/>
        <s v="JUELLE DALEY"/>
        <s v="ELISEO ELIZARRARAZ"/>
        <s v="ALEXANDER ADKINSON"/>
        <s v="CHRISTINA ARMSTRONG"/>
        <s v="ANTARA ANJALI BERA"/>
        <s v="KIDANY CAMILO"/>
        <s v="LUIS FERNANDEZ-PELLON LARUMBE"/>
        <s v="MOLLY CARBERRY"/>
        <s v="EDWIN CAMPOS"/>
        <s v="ALICIA GOODWIN"/>
        <s v="SARAH WHYTE"/>
        <s v="ERIC NODEN"/>
        <s v="CARLOS DZINE ROLON"/>
        <s v="GREGORIO CARLOS SALAZAR LERMONT"/>
        <s v="PLESHETTE STRONG"/>
        <s v="ELIZABETH JOHNSON 01"/>
        <s v="WANEES ZAROUR"/>
        <s v="NICHOLAS SINTOS"/>
        <s v="EVERBRIDGE"/>
        <s v="BLACKROOTS ALLIANCE"/>
        <s v="NATIONAL OPINION RESEARCH CENTER OF CHICAGO IL|CLEANED-UP"/>
        <s v="CHICAGO MAHOGANY"/>
        <s v="CDW GOVERNMENT"/>
        <s v="MIDWEST SERVICE CENTER"/>
        <s v="BRENDA GILBERT"/>
        <s v="JAVIER VILLANUEVA 01"/>
        <s v="TRQPITECA"/>
        <s v="CHICAGO URBAN LEAGUE 01"/>
        <s v="SACRED APARTMENTS OWNER"/>
        <s v="HERE TO STAY CLT"/>
        <s v="GLCU FOUNDATION FOR FINANCIAL EMPOWERMENT"/>
        <s v="AMERICAN WRITERS MUSEUM"/>
        <s v="MONICA RICKERT-BOLTER"/>
        <s v="CHICAGO CHILDRENS MUSEUM"/>
        <s v="THE LINCOLN PK ZOOLOGICAL SOC"/>
        <s v="RENDEZVOUS ARTS"/>
        <s v="LA CASA D' MI AMA"/>
        <s v="NORTH LAWNDALE CATALYST INITIATIVE"/>
        <s v="4300 ROOSEVELT"/>
        <s v="ARTISTS BOOK HOUSE NFP"/>
        <s v="IT TAKES A VILLAGE AT RIVER CITY"/>
        <s v="BRIGHTVIEW LANDSCAPES"/>
        <s v="COZO INDUSTRIES"/>
        <s v="HRP CHICAGO"/>
        <s v="FACETS FILM FORUM"/>
        <s v="FRANK LLOYD WRIGHT PRESERVATION TRUST"/>
        <s v="JOHNSON PIPE &amp; SUPPLY"/>
        <s v="NATIONAL SOCIETY OF THE COLONIAL DAMES OF AMERICA"/>
        <s v="CHICAGO BAR FOUNDATION"/>
        <s v="HACIAACIA"/>
        <s v="INNOVA SOLUTIONS"/>
        <s v="BLACK ARTS &amp; CULTURE ALLIANCE"/>
        <s v="WJKA"/>
        <s v="DUE SOUTH FOUNDATION"/>
        <s v="PEGASUS THEATRE CHICAGO"/>
        <s v="POP UP PRODUCTIONS"/>
        <s v="EVENFLO"/>
        <s v="ZENCITY TECHNOLOGIES US"/>
        <s v="SET ENVIRONMENTAL"/>
        <s v="LUSE ENVIRONMENTAL SERVICES"/>
        <s v="ACR"/>
        <s v="BEST TECHNOLOGY SYSTEMS"/>
        <s v="LYNCH CHICAGO"/>
        <s v="MOTOROLA SOLUTIONS"/>
        <s v="CBRE"/>
        <s v="TRAFFIC SIGNAL"/>
        <s v="UNITED ROAD TOWING"/>
        <s v="KING TRANSMISSION"/>
        <s v="PSYCHEMEDICS"/>
        <s v="GINKGO PLANNING &amp; DESIGN"/>
        <s v="JOHNSON RESEARCH GROUP"/>
        <s v="SITE DESIGN GROUP"/>
        <s v="URBAN WORKS LIMITED"/>
        <s v="MUSE COMMUNITY &amp; DESIGN"/>
        <s v="IDEXX DISTRIBUTION"/>
        <s v="B &amp; L DISTRIBUTORS"/>
        <s v="EQUITY INDUSTRIAL SUPPLY"/>
        <s v="INTER-CITY SUPPLY"/>
        <s v="TELOS IDENTY MANAGEMENT SOLUTIONS"/>
        <s v="PWS ENVIRONMENTAL"/>
        <s v="SAM SCHWARTZ ENGINEERING D P C"/>
        <s v="MIDWEST OFFICE INTERIORS"/>
        <s v="LINE BARGER GOGGAN BLAIR &amp; SAMPSON"/>
        <s v="RICOH USA"/>
        <s v="MB REAL ESTATE SERVICES"/>
        <s v="GLOBETROTTERS INTERNATIONAL'L"/>
        <s v="SMITHBARNEY FRIEDMAN DEVELOPMENT ADVISORS"/>
        <s v="AERO SNOW REMOVAL"/>
        <s v="TESKA ASSOCIATES"/>
        <s v="CPS HR CONSULTING"/>
        <s v="CNECT"/>
        <s v="CAMIROS LIMITED"/>
        <s v="MCGUIRE IGLESKI &amp; ASSOCIATES"/>
        <s v="ADRIAN SMITH &amp; GORDON GILL ARC"/>
        <s v="SITE DESIGN GROUP LIMITED"/>
        <s v="VECTOR DISEASE CONTROL INTERNATIONAL"/>
        <s v="DMJM AVIATION PARTNERS"/>
        <s v="ADVANCED DATA PROCESSING"/>
        <s v="CITYBASE"/>
        <s v="JUDLAU CONTRACTING"/>
        <s v="MECHANICAL"/>
        <s v="JOEL KENNEDY CONSTRUCTING"/>
        <s v="TCB KEDZIE"/>
        <s v="WASTE MANAGEMENT OF ILLINOIS INC/MTR"/>
        <s v="SWINFORD PARTNERS"/>
        <s v="IHC CONSTRUCTION"/>
        <s v="AXON ENTERPRISE"/>
        <s v="DAVIS VISION"/>
        <s v="COGHLAN LAW"/>
        <s v="CHICAGO PIPE &amp; BOILER COVER 01"/>
        <s v="ALPHA SPECIALTY SUPPLY"/>
        <s v="KENNY CONSTRUCTION"/>
        <s v="GLOBAL PROTECTION"/>
        <s v="LINDAHL BROTHERS"/>
        <s v="SANOFI PASTEUR"/>
        <s v="RIDDIFORD ROOFING"/>
        <s v="K-PLUS MECHANICAL"/>
        <s v="EAGLE PAINTING &amp; MAINTENANCE|CLEANED-UP"/>
        <s v="PALM ELECTRIC"/>
        <s v="URT E &amp; R TOWING"/>
        <s v="CONNECT CHICAGO ALLIANCE JV"/>
        <s v="STEINER SECURITY SERVICES"/>
        <s v="SCHINDLER ELEVATOR"/>
        <s v="A &amp; R JANITORIAL SERVICE"/>
        <s v="TOTAL FACILITY MAINTENANCE"/>
        <s v="DIVERSE FACILITY SOLUTION"/>
        <s v="DAYSPRING PROFESSIONAL JANITOR"/>
        <s v="D'ESCOTO"/>
        <s v="SHOTSPOTTER"/>
        <s v="ADS"/>
        <s v="LAKE COUNTY DIVERS SUPPLY"/>
        <s v="CHICAGO EVENT GRAPHICS"/>
        <s v="LOCUMTENENSCOM"/>
        <s v="GLADYS R WILSON &amp; ASSOCIATES|CLEANED-UP"/>
        <s v="AMERESCO"/>
        <s v="IHC CONSTRUCTION &amp; FH PASCHEN SN NIELSEN"/>
        <s v="MET LIFE"/>
        <s v="SUNBELT STAFFING"/>
        <s v="PREFORM TRAFFIC CONTROL SYSTEMS LIMITED"/>
        <s v="CRYOTECH DEICING TECHNOLOGY"/>
        <s v="DTN"/>
        <s v="PRENDERGAST PROPERTIES"/>
        <s v="ABM INDUSTRY GROUPS"/>
        <s v="IFPC WORLD WIDE"/>
        <s v="CONNECTYOURCARE"/>
        <s v="MSC INDUSTRIAL SUPPLY"/>
        <s v="TRUCK TIRE SALES"/>
        <s v="AUSTIN POWER PARTNERS"/>
        <s v="BROOKWOOD FARMS LLC|CLEANED-UP"/>
        <s v="TURNER PASCHEN AVIATION PARTNERS"/>
        <s v="AECOM HUNT / CLAYCO A JOINT VENTURE"/>
        <s v="ARCONAS"/>
        <s v="AFSCME PERSONAL SUPPORT PROGRAM"/>
        <s v="UNIT BUILDING"/>
        <s v="GORDIAN GROUP"/>
      </sharedItems>
    </cacheField>
    <cacheField name="Department" numFmtId="0">
      <sharedItems count="42">
        <s v="CHICAGO DEPARTMENT OF TRANSPORTATION"/>
        <s v="UNKNOWN"/>
        <s v="DEPARTMENT OF PLANNING AND DEVELOPMENT"/>
        <s v="DEPARTMENT OF FLEET AND FACILITY MANAGEMENT"/>
        <s v="CHICAGO PUBLIC LIBRARY"/>
        <s v="DEPARTMENT OF WATER MANAGEMENT"/>
        <s v="CHICAGO DEPARTMENT OF AVIATION"/>
        <s v="OFFICE OF EMERGENCY MANAGEMENT AND COMMUNICATIONS"/>
        <s v="CHICAGO DEPARTMENT OF PUBLIC HEALTH"/>
        <s v="DEPARTMENT OF FINANCE"/>
        <s v="DEPARTMENT OF STREETS AND SANITATION"/>
        <s v="CHICAGO POLICE DEPARTMENT"/>
        <s v="DEPARTMENT OF FAMILY AND SUPPORT SERVICES"/>
        <s v="CHICAGO FIRE DEPARTMENT"/>
        <s v="DEPARTMENT OF TECHNOLOGY AND INNOVATION"/>
        <s v="DEPT OF ASSETS INFORMATION AND SERVICES"/>
        <s v="OFFICE OF BUDGET &amp; MANAGEMENT"/>
        <s v="OFFICE OF CITY CLERK"/>
        <s v="O'HARE MODERNIZATION PROGRAM"/>
        <s v="DEPT OF BUSINESS AFFAIRS &amp; CONSUMER PROTECTION"/>
        <s v="DEPARTMENT OF CULTURAL AFFAIRS AND SPECIAL EVENTS"/>
        <s v="DEPARTMENT OF BUSINESS AFFAIRS AND CONSUMER PROTECTION"/>
        <s v="DEPARTMENT OF HOUSING"/>
        <s v="DEPARTMENT OF REVENUE"/>
        <s v="DEPARTMENT OF BUILDINGS"/>
        <s v="OFFICE OF PUBLIC SAFETY ADMINISTRATION"/>
        <s v="MAYORS OFFICE FOR PEOPLE WITH DISABILITIES"/>
        <s v="DEPARTMENT OF ENVIRONMENT"/>
        <s v="DEPARTMENT OF HUMAN RESOURCES"/>
        <s v="DEPARTMENT OF PROCUREMENT SERVICES"/>
        <s v="DEPARTMENT OF ADMINISTRATIVE HEARINGS"/>
        <s v="OFFICE OF THE MAYOR"/>
        <s v="CHICAGO ANIMAL CARE AND CONTROL"/>
        <s v="FINANCE GENERAL"/>
        <s v="CITY TREASURER'S OFFICE"/>
        <s v="DEPT OF ECONOMIC DEVELOPMENT"/>
        <s v="CHICAGO COMMISSION ON HUMAN RELATIONS"/>
        <s v="DEPARTMENT OF LAW"/>
        <s v="GENERAL ACCOUNTING"/>
        <s v="OFFICE OF INSPECTOR GENERAL"/>
        <s v="DEPARTMENT OF SPECIAL EVENTS"/>
        <s v="DEPT OF WATER"/>
      </sharedItems>
    </cacheField>
    <cacheField name="Contract Type" numFmtId="0">
      <sharedItems/>
    </cacheField>
    <cacheField name="Procurement Type" numFmtId="0">
      <sharedItems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08">
  <r>
    <n v="100099"/>
    <n v="161603.5"/>
    <x v="0"/>
    <x v="0"/>
    <x v="0"/>
    <s v="CONSTRUCTION-LARGE $3MILLIONorABOVE"/>
    <s v="BID"/>
    <x v="0"/>
  </r>
  <r>
    <n v="100414"/>
    <n v="139000"/>
    <x v="1"/>
    <x v="1"/>
    <x v="0"/>
    <s v="WORK SERVICES / FACILITIES MAINT."/>
    <s v="BID"/>
    <x v="1"/>
  </r>
  <r>
    <n v="100721"/>
    <n v="900000"/>
    <x v="1"/>
    <x v="2"/>
    <x v="0"/>
    <s v="ARCH/ENGINEERING"/>
    <s v="RFQ"/>
    <x v="2"/>
  </r>
  <r>
    <n v="100763"/>
    <n v="681592"/>
    <x v="2"/>
    <x v="3"/>
    <x v="1"/>
    <s v="PROPERTY LEASE"/>
    <s v="UNKNOWN"/>
    <x v="0"/>
  </r>
  <r>
    <n v="100764"/>
    <n v="601293.5"/>
    <x v="2"/>
    <x v="4"/>
    <x v="1"/>
    <s v="PROPERTY LEASE"/>
    <s v="UNKNOWN"/>
    <x v="0"/>
  </r>
  <r>
    <n v="100765"/>
    <n v="4905.5999999999904"/>
    <x v="2"/>
    <x v="5"/>
    <x v="1"/>
    <s v="PROPERTY LEASE"/>
    <s v="UNKNOWN"/>
    <x v="0"/>
  </r>
  <r>
    <n v="100766"/>
    <n v="225762.2"/>
    <x v="3"/>
    <x v="5"/>
    <x v="1"/>
    <s v="PROPERTY LEASE"/>
    <s v="UNKNOWN"/>
    <x v="0"/>
  </r>
  <r>
    <n v="100771"/>
    <n v="112147.3"/>
    <x v="1"/>
    <x v="6"/>
    <x v="1"/>
    <s v="PROPERTY LEASE"/>
    <s v="UNKNOWN"/>
    <x v="0"/>
  </r>
  <r>
    <n v="100786"/>
    <n v="1350000"/>
    <x v="1"/>
    <x v="7"/>
    <x v="0"/>
    <s v="ARCH/ENGINEERING"/>
    <s v="RFQ"/>
    <x v="0"/>
  </r>
  <r>
    <n v="10082"/>
    <n v="2819282.5999999898"/>
    <x v="0"/>
    <x v="8"/>
    <x v="2"/>
    <s v="COMPTROLLER-OTHER"/>
    <s v="UNKNOWN"/>
    <x v="0"/>
  </r>
  <r>
    <n v="101191"/>
    <n v="68466826"/>
    <x v="0"/>
    <x v="9"/>
    <x v="3"/>
    <s v="VEHICLES/HEAVY EQUIPMENT (CAPITAL)"/>
    <s v="BID"/>
    <x v="1"/>
  </r>
  <r>
    <n v="101219"/>
    <n v="892475"/>
    <x v="0"/>
    <x v="10"/>
    <x v="4"/>
    <s v="COMMODITIES"/>
    <s v="BID"/>
    <x v="0"/>
  </r>
  <r>
    <n v="101220"/>
    <n v="107835.9"/>
    <x v="2"/>
    <x v="11"/>
    <x v="5"/>
    <s v="CONSTRUCTION-GENERAL"/>
    <s v="BID"/>
    <x v="0"/>
  </r>
  <r>
    <n v="101223"/>
    <n v="10392.4"/>
    <x v="1"/>
    <x v="12"/>
    <x v="5"/>
    <s v="CONSTRUCTION-GENERAL"/>
    <s v="BID"/>
    <x v="1"/>
  </r>
  <r>
    <n v="101451"/>
    <n v="120000000"/>
    <x v="4"/>
    <x v="13"/>
    <x v="6"/>
    <s v="PRO SERV-AVIATION"/>
    <s v="RFQ"/>
    <x v="2"/>
  </r>
  <r>
    <n v="102379"/>
    <n v="94950"/>
    <x v="0"/>
    <x v="14"/>
    <x v="6"/>
    <s v="WORK SERV-AVIATION"/>
    <s v="BID"/>
    <x v="1"/>
  </r>
  <r>
    <n v="102390"/>
    <n v="24626554.100000001"/>
    <x v="1"/>
    <x v="15"/>
    <x v="6"/>
    <s v="WORK SERV-AVIATION"/>
    <s v="BID"/>
    <x v="0"/>
  </r>
  <r>
    <n v="102520"/>
    <n v="25782317.600000001"/>
    <x v="0"/>
    <x v="15"/>
    <x v="6"/>
    <s v="WORK SERV-AVIATION"/>
    <s v="BID"/>
    <x v="1"/>
  </r>
  <r>
    <n v="102620"/>
    <n v="3092147.9"/>
    <x v="0"/>
    <x v="16"/>
    <x v="6"/>
    <s v="COMMODITIES-AVIATION"/>
    <s v="BID"/>
    <x v="1"/>
  </r>
  <r>
    <n v="102725"/>
    <n v="24338234.300000001"/>
    <x v="0"/>
    <x v="17"/>
    <x v="6"/>
    <s v="WORK SERV-AVIATION"/>
    <s v="BID"/>
    <x v="0"/>
  </r>
  <r>
    <n v="102767"/>
    <n v="10636000"/>
    <x v="0"/>
    <x v="18"/>
    <x v="7"/>
    <s v="WORK SERVICES / FACILITIES MAINT."/>
    <s v="BID"/>
    <x v="0"/>
  </r>
  <r>
    <n v="102897"/>
    <n v="1202413"/>
    <x v="0"/>
    <x v="19"/>
    <x v="1"/>
    <s v="DELEGATE AGENCY"/>
    <s v="UNKNOWN"/>
    <x v="0"/>
  </r>
  <r>
    <n v="103651"/>
    <n v="13951050"/>
    <x v="0"/>
    <x v="20"/>
    <x v="5"/>
    <s v="CONSTRUCTION-LARGE $3MILLIONorABOVE"/>
    <s v="BID"/>
    <x v="1"/>
  </r>
  <r>
    <n v="103655"/>
    <n v="11248650"/>
    <x v="0"/>
    <x v="21"/>
    <x v="5"/>
    <s v="CONSTRUCTION-LARGE $3MILLIONorABOVE"/>
    <s v="BID"/>
    <x v="1"/>
  </r>
  <r>
    <n v="103814"/>
    <n v="6812410"/>
    <x v="0"/>
    <x v="22"/>
    <x v="3"/>
    <s v="WORK SERVICES / FACILITIES MAINT."/>
    <s v="BID"/>
    <x v="1"/>
  </r>
  <r>
    <n v="104628"/>
    <n v="385334"/>
    <x v="0"/>
    <x v="23"/>
    <x v="8"/>
    <s v="PRO SERV CONSULTING $250,000orABOVE"/>
    <s v="RFP"/>
    <x v="1"/>
  </r>
  <r>
    <n v="105436"/>
    <n v="800583"/>
    <x v="2"/>
    <x v="24"/>
    <x v="8"/>
    <s v="DELEGATE AGENCY"/>
    <s v="RFP"/>
    <x v="0"/>
  </r>
  <r>
    <n v="105437"/>
    <n v="1166982"/>
    <x v="2"/>
    <x v="25"/>
    <x v="8"/>
    <s v="DELEGATE AGENCY"/>
    <s v="RFP"/>
    <x v="0"/>
  </r>
  <r>
    <n v="105438"/>
    <n v="787500"/>
    <x v="0"/>
    <x v="26"/>
    <x v="8"/>
    <s v="DELEGATE AGENCY"/>
    <s v="RFP"/>
    <x v="0"/>
  </r>
  <r>
    <n v="105441"/>
    <n v="3205898"/>
    <x v="2"/>
    <x v="27"/>
    <x v="8"/>
    <s v="DELEGATE AGENCY"/>
    <s v="RFP"/>
    <x v="0"/>
  </r>
  <r>
    <n v="105444"/>
    <n v="2250000"/>
    <x v="0"/>
    <x v="28"/>
    <x v="8"/>
    <s v="DELEGATE AGENCY"/>
    <s v="RFP"/>
    <x v="0"/>
  </r>
  <r>
    <n v="105714"/>
    <n v="6500000"/>
    <x v="0"/>
    <x v="29"/>
    <x v="3"/>
    <s v="WORK SERVICES / FACILITIES MAINT."/>
    <s v="RFP"/>
    <x v="0"/>
  </r>
  <r>
    <n v="105715"/>
    <n v="12000000"/>
    <x v="0"/>
    <x v="30"/>
    <x v="3"/>
    <s v="WORK SERVICES / FACILITIES MAINT."/>
    <s v="RFP"/>
    <x v="1"/>
  </r>
  <r>
    <n v="106360"/>
    <n v="351294"/>
    <x v="0"/>
    <x v="16"/>
    <x v="3"/>
    <s v="COMMODITIES"/>
    <s v="BID"/>
    <x v="1"/>
  </r>
  <r>
    <n v="108299"/>
    <n v="305154.09999999998"/>
    <x v="2"/>
    <x v="31"/>
    <x v="6"/>
    <s v="COMMODITIES-AVIATION"/>
    <s v="BID"/>
    <x v="2"/>
  </r>
  <r>
    <n v="108929"/>
    <n v="15634408"/>
    <x v="2"/>
    <x v="32"/>
    <x v="9"/>
    <s v="COMPTROLLER-OTHER"/>
    <s v="UNKNOWN"/>
    <x v="0"/>
  </r>
  <r>
    <n v="109597"/>
    <n v="438333"/>
    <x v="0"/>
    <x v="19"/>
    <x v="1"/>
    <s v="DELEGATE AGENCY"/>
    <s v="UNKNOWN"/>
    <x v="0"/>
  </r>
  <r>
    <n v="109609"/>
    <n v="346425"/>
    <x v="2"/>
    <x v="33"/>
    <x v="8"/>
    <s v="DELEGATE AGENCY"/>
    <s v="RFP"/>
    <x v="0"/>
  </r>
  <r>
    <n v="109610"/>
    <n v="313781"/>
    <x v="2"/>
    <x v="34"/>
    <x v="8"/>
    <s v="DELEGATE AGENCY"/>
    <s v="RFP"/>
    <x v="0"/>
  </r>
  <r>
    <n v="110168"/>
    <n v="33011455.199999999"/>
    <x v="2"/>
    <x v="35"/>
    <x v="10"/>
    <s v="WORK SERVICES / FACILITIES MAINT."/>
    <s v="RFP"/>
    <x v="2"/>
  </r>
  <r>
    <n v="110179"/>
    <n v="2886307"/>
    <x v="0"/>
    <x v="36"/>
    <x v="6"/>
    <s v="COMPTROLLER-OTHER"/>
    <s v="UNKNOWN"/>
    <x v="1"/>
  </r>
  <r>
    <n v="110194"/>
    <n v="245000"/>
    <x v="0"/>
    <x v="21"/>
    <x v="0"/>
    <s v="CONSTRUCTION-LARGE $3MILLIONorABOVE"/>
    <s v="BID"/>
    <x v="0"/>
  </r>
  <r>
    <n v="110208"/>
    <n v="66680"/>
    <x v="1"/>
    <x v="37"/>
    <x v="8"/>
    <s v="DELEGATE AGENCY"/>
    <s v="RFP"/>
    <x v="1"/>
  </r>
  <r>
    <n v="110209"/>
    <n v="66680"/>
    <x v="1"/>
    <x v="28"/>
    <x v="8"/>
    <s v="DELEGATE AGENCY"/>
    <s v="RFP"/>
    <x v="1"/>
  </r>
  <r>
    <n v="110210"/>
    <n v="49960"/>
    <x v="1"/>
    <x v="38"/>
    <x v="8"/>
    <s v="DELEGATE AGENCY"/>
    <s v="RFP"/>
    <x v="1"/>
  </r>
  <r>
    <n v="110211"/>
    <n v="119583"/>
    <x v="4"/>
    <x v="24"/>
    <x v="8"/>
    <s v="DELEGATE AGENCY"/>
    <s v="RFP"/>
    <x v="0"/>
  </r>
  <r>
    <n v="110215"/>
    <n v="13174293"/>
    <x v="1"/>
    <x v="39"/>
    <x v="8"/>
    <s v="DELEGATE AGENCY"/>
    <s v="RFP"/>
    <x v="0"/>
  </r>
  <r>
    <n v="110216"/>
    <n v="155104"/>
    <x v="0"/>
    <x v="40"/>
    <x v="8"/>
    <s v="DELEGATE AGENCY"/>
    <s v="RFP"/>
    <x v="0"/>
  </r>
  <r>
    <n v="110218"/>
    <n v="19620"/>
    <x v="1"/>
    <x v="41"/>
    <x v="8"/>
    <s v="DELEGATE AGENCY"/>
    <s v="RFP"/>
    <x v="1"/>
  </r>
  <r>
    <n v="110219"/>
    <n v="15742"/>
    <x v="4"/>
    <x v="42"/>
    <x v="8"/>
    <s v="DELEGATE AGENCY"/>
    <s v="RFP"/>
    <x v="0"/>
  </r>
  <r>
    <n v="110220"/>
    <n v="39234"/>
    <x v="4"/>
    <x v="43"/>
    <x v="8"/>
    <s v="DELEGATE AGENCY"/>
    <s v="RFP"/>
    <x v="0"/>
  </r>
  <r>
    <n v="110221"/>
    <n v="25222"/>
    <x v="4"/>
    <x v="44"/>
    <x v="8"/>
    <s v="DELEGATE AGENCY"/>
    <s v="RFP"/>
    <x v="0"/>
  </r>
  <r>
    <n v="110223"/>
    <n v="84072"/>
    <x v="4"/>
    <x v="25"/>
    <x v="8"/>
    <s v="DELEGATE AGENCY"/>
    <s v="RFP"/>
    <x v="0"/>
  </r>
  <r>
    <n v="110224"/>
    <n v="81270"/>
    <x v="1"/>
    <x v="27"/>
    <x v="8"/>
    <s v="DELEGATE AGENCY"/>
    <s v="RFP"/>
    <x v="0"/>
  </r>
  <r>
    <n v="110225"/>
    <n v="578565"/>
    <x v="1"/>
    <x v="45"/>
    <x v="8"/>
    <s v="DELEGATE AGENCY"/>
    <s v="RFP"/>
    <x v="0"/>
  </r>
  <r>
    <n v="110226"/>
    <n v="28024"/>
    <x v="2"/>
    <x v="46"/>
    <x v="8"/>
    <s v="DELEGATE AGENCY"/>
    <s v="RFP"/>
    <x v="0"/>
  </r>
  <r>
    <n v="110227"/>
    <n v="495638"/>
    <x v="4"/>
    <x v="47"/>
    <x v="8"/>
    <s v="DELEGATE AGENCY"/>
    <s v="RFP"/>
    <x v="0"/>
  </r>
  <r>
    <n v="110228"/>
    <n v="1264228"/>
    <x v="2"/>
    <x v="48"/>
    <x v="8"/>
    <s v="DELEGATE AGENCY"/>
    <s v="RFP"/>
    <x v="1"/>
  </r>
  <r>
    <n v="110229"/>
    <n v="728572"/>
    <x v="0"/>
    <x v="49"/>
    <x v="8"/>
    <s v="DELEGATE AGENCY"/>
    <s v="RFP"/>
    <x v="0"/>
  </r>
  <r>
    <n v="110520"/>
    <n v="439313"/>
    <x v="2"/>
    <x v="50"/>
    <x v="0"/>
    <s v="ARCH/ENGINEERING"/>
    <s v="RFQ"/>
    <x v="1"/>
  </r>
  <r>
    <n v="110664"/>
    <n v="1480000"/>
    <x v="2"/>
    <x v="51"/>
    <x v="9"/>
    <s v="PRO SERV CONSULTING $250,000orABOVE"/>
    <s v="RFP"/>
    <x v="1"/>
  </r>
  <r>
    <n v="111215"/>
    <n v="2250000"/>
    <x v="0"/>
    <x v="52"/>
    <x v="11"/>
    <s v="COMMODITIES"/>
    <s v="BID"/>
    <x v="1"/>
  </r>
  <r>
    <n v="111685"/>
    <n v="43000000"/>
    <x v="0"/>
    <x v="53"/>
    <x v="6"/>
    <s v="PRO SERV-AVIATION"/>
    <s v="RFP"/>
    <x v="2"/>
  </r>
  <r>
    <n v="112468"/>
    <n v="281000"/>
    <x v="0"/>
    <x v="54"/>
    <x v="6"/>
    <s v="PRO SERV-AVIATION"/>
    <s v="RFP"/>
    <x v="0"/>
  </r>
  <r>
    <n v="112474"/>
    <n v="500000"/>
    <x v="2"/>
    <x v="55"/>
    <x v="6"/>
    <s v="WORK SERV-AVIATION"/>
    <s v="BID"/>
    <x v="2"/>
  </r>
  <r>
    <n v="112501"/>
    <n v="1000000"/>
    <x v="2"/>
    <x v="56"/>
    <x v="6"/>
    <s v="WORK SERV-AVIATION"/>
    <s v="UNKNOWN"/>
    <x v="2"/>
  </r>
  <r>
    <n v="113765"/>
    <n v="868496"/>
    <x v="0"/>
    <x v="57"/>
    <x v="12"/>
    <s v="DELEGATE AGENCY"/>
    <s v="UNKNOWN"/>
    <x v="0"/>
  </r>
  <r>
    <n v="113791"/>
    <n v="18749163"/>
    <x v="2"/>
    <x v="57"/>
    <x v="12"/>
    <s v="DELEGATE AGENCY"/>
    <s v="UNKNOWN"/>
    <x v="1"/>
  </r>
  <r>
    <n v="113793"/>
    <n v="6913140"/>
    <x v="0"/>
    <x v="58"/>
    <x v="12"/>
    <s v="DELEGATE AGENCY"/>
    <s v="UNKNOWN"/>
    <x v="0"/>
  </r>
  <r>
    <n v="113795"/>
    <n v="6549375"/>
    <x v="0"/>
    <x v="23"/>
    <x v="12"/>
    <s v="DELEGATE AGENCY"/>
    <s v="UNKNOWN"/>
    <x v="1"/>
  </r>
  <r>
    <n v="113799"/>
    <n v="9256845"/>
    <x v="0"/>
    <x v="59"/>
    <x v="12"/>
    <s v="DELEGATE AGENCY"/>
    <s v="UNKNOWN"/>
    <x v="0"/>
  </r>
  <r>
    <n v="113800"/>
    <n v="1542057"/>
    <x v="0"/>
    <x v="60"/>
    <x v="12"/>
    <s v="DELEGATE AGENCY"/>
    <s v="UNKNOWN"/>
    <x v="1"/>
  </r>
  <r>
    <n v="113801"/>
    <n v="5551401"/>
    <x v="0"/>
    <x v="61"/>
    <x v="12"/>
    <s v="DELEGATE AGENCY"/>
    <s v="UNKNOWN"/>
    <x v="1"/>
  </r>
  <r>
    <n v="113802"/>
    <n v="20561673"/>
    <x v="0"/>
    <x v="62"/>
    <x v="12"/>
    <s v="DELEGATE AGENCY"/>
    <s v="UNKNOWN"/>
    <x v="0"/>
  </r>
  <r>
    <n v="113804"/>
    <n v="10672509"/>
    <x v="0"/>
    <x v="63"/>
    <x v="12"/>
    <s v="DELEGATE AGENCY"/>
    <s v="UNKNOWN"/>
    <x v="0"/>
  </r>
  <r>
    <n v="113806"/>
    <n v="925233"/>
    <x v="0"/>
    <x v="64"/>
    <x v="12"/>
    <s v="DELEGATE AGENCY"/>
    <s v="UNKNOWN"/>
    <x v="1"/>
  </r>
  <r>
    <n v="113807"/>
    <n v="28331166"/>
    <x v="2"/>
    <x v="65"/>
    <x v="12"/>
    <s v="DELEGATE AGENCY"/>
    <s v="UNKNOWN"/>
    <x v="1"/>
  </r>
  <r>
    <n v="113808"/>
    <n v="1542057"/>
    <x v="0"/>
    <x v="66"/>
    <x v="12"/>
    <s v="DELEGATE AGENCY"/>
    <s v="UNKNOWN"/>
    <x v="1"/>
  </r>
  <r>
    <n v="113810"/>
    <n v="2197428"/>
    <x v="0"/>
    <x v="67"/>
    <x v="12"/>
    <s v="DELEGATE AGENCY"/>
    <s v="UNKNOWN"/>
    <x v="1"/>
  </r>
  <r>
    <n v="113812"/>
    <n v="2158878"/>
    <x v="0"/>
    <x v="68"/>
    <x v="12"/>
    <s v="DELEGATE AGENCY"/>
    <s v="UNKNOWN"/>
    <x v="1"/>
  </r>
  <r>
    <n v="113819"/>
    <n v="23758148"/>
    <x v="0"/>
    <x v="69"/>
    <x v="12"/>
    <s v="DELEGATE AGENCY"/>
    <s v="UNKNOWN"/>
    <x v="0"/>
  </r>
  <r>
    <n v="113821"/>
    <n v="17525460"/>
    <x v="0"/>
    <x v="70"/>
    <x v="12"/>
    <s v="DELEGATE AGENCY"/>
    <s v="UNKNOWN"/>
    <x v="0"/>
  </r>
  <r>
    <n v="113825"/>
    <n v="1347328"/>
    <x v="0"/>
    <x v="71"/>
    <x v="12"/>
    <s v="DELEGATE AGENCY"/>
    <s v="UNKNOWN"/>
    <x v="0"/>
  </r>
  <r>
    <n v="113827"/>
    <n v="4133480"/>
    <x v="0"/>
    <x v="72"/>
    <x v="12"/>
    <s v="DELEGATE AGENCY"/>
    <s v="UNKNOWN"/>
    <x v="0"/>
  </r>
  <r>
    <n v="113830"/>
    <n v="2775699"/>
    <x v="0"/>
    <x v="73"/>
    <x v="12"/>
    <s v="DELEGATE AGENCY"/>
    <s v="UNKNOWN"/>
    <x v="1"/>
  </r>
  <r>
    <n v="113831"/>
    <n v="11991777"/>
    <x v="0"/>
    <x v="74"/>
    <x v="12"/>
    <s v="DELEGATE AGENCY"/>
    <s v="UNKNOWN"/>
    <x v="0"/>
  </r>
  <r>
    <n v="113833"/>
    <n v="4478360"/>
    <x v="0"/>
    <x v="75"/>
    <x v="12"/>
    <s v="DELEGATE AGENCY"/>
    <s v="UNKNOWN"/>
    <x v="0"/>
  </r>
  <r>
    <n v="113837"/>
    <n v="8156215"/>
    <x v="0"/>
    <x v="76"/>
    <x v="12"/>
    <s v="DELEGATE AGENCY"/>
    <s v="UNKNOWN"/>
    <x v="0"/>
  </r>
  <r>
    <n v="113838"/>
    <n v="9610078"/>
    <x v="0"/>
    <x v="77"/>
    <x v="12"/>
    <s v="DELEGATE AGENCY"/>
    <s v="UNKNOWN"/>
    <x v="0"/>
  </r>
  <r>
    <n v="113842"/>
    <n v="4433409"/>
    <x v="0"/>
    <x v="78"/>
    <x v="12"/>
    <s v="DELEGATE AGENCY"/>
    <s v="UNKNOWN"/>
    <x v="1"/>
  </r>
  <r>
    <n v="113855"/>
    <n v="1120640"/>
    <x v="0"/>
    <x v="79"/>
    <x v="12"/>
    <s v="DELEGATE AGENCY"/>
    <s v="UNKNOWN"/>
    <x v="0"/>
  </r>
  <r>
    <n v="113857"/>
    <n v="1009800"/>
    <x v="0"/>
    <x v="80"/>
    <x v="12"/>
    <s v="DELEGATE AGENCY"/>
    <s v="UNKNOWN"/>
    <x v="0"/>
  </r>
  <r>
    <n v="113870"/>
    <n v="952544"/>
    <x v="0"/>
    <x v="81"/>
    <x v="12"/>
    <s v="DELEGATE AGENCY"/>
    <s v="UNKNOWN"/>
    <x v="0"/>
  </r>
  <r>
    <n v="113872"/>
    <n v="3762120"/>
    <x v="2"/>
    <x v="58"/>
    <x v="12"/>
    <s v="DELEGATE AGENCY"/>
    <s v="UNKNOWN"/>
    <x v="0"/>
  </r>
  <r>
    <n v="113873"/>
    <n v="3991488"/>
    <x v="0"/>
    <x v="82"/>
    <x v="12"/>
    <s v="DELEGATE AGENCY"/>
    <s v="UNKNOWN"/>
    <x v="0"/>
  </r>
  <r>
    <n v="113874"/>
    <n v="7998048"/>
    <x v="0"/>
    <x v="23"/>
    <x v="12"/>
    <s v="DELEGATE AGENCY"/>
    <s v="UNKNOWN"/>
    <x v="0"/>
  </r>
  <r>
    <n v="113877"/>
    <n v="476272"/>
    <x v="0"/>
    <x v="83"/>
    <x v="12"/>
    <s v="DELEGATE AGENCY"/>
    <s v="UNKNOWN"/>
    <x v="0"/>
  </r>
  <r>
    <n v="113878"/>
    <n v="1008576"/>
    <x v="2"/>
    <x v="84"/>
    <x v="12"/>
    <s v="DELEGATE AGENCY"/>
    <s v="UNKNOWN"/>
    <x v="0"/>
  </r>
  <r>
    <n v="113879"/>
    <n v="19596470"/>
    <x v="0"/>
    <x v="85"/>
    <x v="12"/>
    <s v="DELEGATE AGENCY"/>
    <s v="UNKNOWN"/>
    <x v="0"/>
  </r>
  <r>
    <n v="113881"/>
    <n v="2825984"/>
    <x v="0"/>
    <x v="86"/>
    <x v="12"/>
    <s v="DELEGATE AGENCY"/>
    <s v="RFP"/>
    <x v="0"/>
  </r>
  <r>
    <n v="113882"/>
    <n v="1650000"/>
    <x v="0"/>
    <x v="5"/>
    <x v="12"/>
    <s v="DELEGATE AGENCY"/>
    <s v="UNKNOWN"/>
    <x v="0"/>
  </r>
  <r>
    <n v="113883"/>
    <n v="7978592"/>
    <x v="0"/>
    <x v="59"/>
    <x v="12"/>
    <s v="DELEGATE AGENCY"/>
    <s v="UNKNOWN"/>
    <x v="0"/>
  </r>
  <r>
    <n v="113886"/>
    <n v="16937744"/>
    <x v="0"/>
    <x v="61"/>
    <x v="12"/>
    <s v="DELEGATE AGENCY"/>
    <s v="UNKNOWN"/>
    <x v="0"/>
  </r>
  <r>
    <n v="113887"/>
    <n v="6448608"/>
    <x v="0"/>
    <x v="62"/>
    <x v="12"/>
    <s v="DELEGATE AGENCY"/>
    <s v="UNKNOWN"/>
    <x v="0"/>
  </r>
  <r>
    <n v="113888"/>
    <n v="2230968"/>
    <x v="0"/>
    <x v="87"/>
    <x v="12"/>
    <s v="DELEGATE AGENCY"/>
    <s v="UNKNOWN"/>
    <x v="0"/>
  </r>
  <r>
    <n v="113889"/>
    <n v="5136784"/>
    <x v="0"/>
    <x v="88"/>
    <x v="12"/>
    <s v="DELEGATE AGENCY"/>
    <s v="UNKNOWN"/>
    <x v="0"/>
  </r>
  <r>
    <n v="113891"/>
    <n v="6541216"/>
    <x v="0"/>
    <x v="89"/>
    <x v="12"/>
    <s v="DELEGATE AGENCY"/>
    <s v="UNKNOWN"/>
    <x v="0"/>
  </r>
  <r>
    <n v="113893"/>
    <n v="2255952"/>
    <x v="0"/>
    <x v="90"/>
    <x v="12"/>
    <s v="DELEGATE AGENCY"/>
    <s v="UNKNOWN"/>
    <x v="0"/>
  </r>
  <r>
    <n v="113939"/>
    <n v="2042560"/>
    <x v="0"/>
    <x v="91"/>
    <x v="12"/>
    <s v="DELEGATE AGENCY"/>
    <s v="UNKNOWN"/>
    <x v="0"/>
  </r>
  <r>
    <n v="113940"/>
    <n v="14091008"/>
    <x v="0"/>
    <x v="63"/>
    <x v="12"/>
    <s v="DELEGATE AGENCY"/>
    <s v="UNKNOWN"/>
    <x v="0"/>
  </r>
  <r>
    <n v="113941"/>
    <n v="5858200"/>
    <x v="0"/>
    <x v="92"/>
    <x v="12"/>
    <s v="DELEGATE AGENCY"/>
    <s v="UNKNOWN"/>
    <x v="0"/>
  </r>
  <r>
    <n v="113942"/>
    <n v="3223136"/>
    <x v="0"/>
    <x v="93"/>
    <x v="12"/>
    <s v="DELEGATE AGENCY"/>
    <s v="UNKNOWN"/>
    <x v="0"/>
  </r>
  <r>
    <n v="113943"/>
    <n v="420240"/>
    <x v="0"/>
    <x v="94"/>
    <x v="12"/>
    <s v="DELEGATE AGENCY"/>
    <s v="UNKNOWN"/>
    <x v="0"/>
  </r>
  <r>
    <n v="113944"/>
    <n v="504288"/>
    <x v="2"/>
    <x v="95"/>
    <x v="12"/>
    <s v="DELEGATE AGENCY"/>
    <s v="UNKNOWN"/>
    <x v="0"/>
  </r>
  <r>
    <n v="113946"/>
    <n v="4004536"/>
    <x v="2"/>
    <x v="96"/>
    <x v="12"/>
    <s v="DELEGATE AGENCY"/>
    <s v="UNKNOWN"/>
    <x v="0"/>
  </r>
  <r>
    <n v="113947"/>
    <n v="10336364"/>
    <x v="0"/>
    <x v="64"/>
    <x v="12"/>
    <s v="DELEGATE AGENCY"/>
    <s v="UNKNOWN"/>
    <x v="0"/>
  </r>
  <r>
    <n v="113952"/>
    <n v="14606192"/>
    <x v="0"/>
    <x v="65"/>
    <x v="12"/>
    <s v="DELEGATE AGENCY"/>
    <s v="UNKNOWN"/>
    <x v="0"/>
  </r>
  <r>
    <n v="113953"/>
    <n v="4683600"/>
    <x v="0"/>
    <x v="66"/>
    <x v="12"/>
    <s v="DELEGATE AGENCY"/>
    <s v="UNKNOWN"/>
    <x v="0"/>
  </r>
  <r>
    <n v="113956"/>
    <n v="1254040"/>
    <x v="0"/>
    <x v="97"/>
    <x v="12"/>
    <s v="DELEGATE AGENCY"/>
    <s v="UNKNOWN"/>
    <x v="0"/>
  </r>
  <r>
    <n v="113957"/>
    <n v="504288"/>
    <x v="0"/>
    <x v="98"/>
    <x v="12"/>
    <s v="DELEGATE AGENCY"/>
    <s v="UNKNOWN"/>
    <x v="0"/>
  </r>
  <r>
    <n v="113958"/>
    <n v="12677456"/>
    <x v="2"/>
    <x v="67"/>
    <x v="12"/>
    <s v="DELEGATE AGENCY"/>
    <s v="UNKNOWN"/>
    <x v="0"/>
  </r>
  <r>
    <n v="113961"/>
    <n v="3713708"/>
    <x v="0"/>
    <x v="99"/>
    <x v="12"/>
    <s v="DELEGATE AGENCY"/>
    <s v="UNKNOWN"/>
    <x v="0"/>
  </r>
  <r>
    <n v="113962"/>
    <n v="4229480"/>
    <x v="0"/>
    <x v="68"/>
    <x v="12"/>
    <s v="DELEGATE AGENCY"/>
    <s v="UNKNOWN"/>
    <x v="0"/>
  </r>
  <r>
    <n v="113963"/>
    <n v="2346080"/>
    <x v="0"/>
    <x v="100"/>
    <x v="12"/>
    <s v="DELEGATE AGENCY"/>
    <s v="UNKNOWN"/>
    <x v="0"/>
  </r>
  <r>
    <n v="113965"/>
    <n v="7481708"/>
    <x v="0"/>
    <x v="101"/>
    <x v="12"/>
    <s v="DELEGATE AGENCY"/>
    <s v="UNKNOWN"/>
    <x v="0"/>
  </r>
  <r>
    <n v="113966"/>
    <n v="1997250"/>
    <x v="0"/>
    <x v="102"/>
    <x v="12"/>
    <s v="DELEGATE AGENCY"/>
    <s v="UNKNOWN"/>
    <x v="0"/>
  </r>
  <r>
    <n v="113969"/>
    <n v="476272"/>
    <x v="0"/>
    <x v="103"/>
    <x v="12"/>
    <s v="DELEGATE AGENCY"/>
    <s v="UNKNOWN"/>
    <x v="0"/>
  </r>
  <r>
    <n v="113971"/>
    <n v="1008576"/>
    <x v="2"/>
    <x v="104"/>
    <x v="12"/>
    <s v="DELEGATE AGENCY"/>
    <s v="UNKNOWN"/>
    <x v="0"/>
  </r>
  <r>
    <n v="113980"/>
    <n v="1669964"/>
    <x v="0"/>
    <x v="105"/>
    <x v="12"/>
    <s v="DELEGATE AGENCY"/>
    <s v="UNKNOWN"/>
    <x v="0"/>
  </r>
  <r>
    <n v="113982"/>
    <n v="476272"/>
    <x v="0"/>
    <x v="106"/>
    <x v="12"/>
    <s v="DELEGATE AGENCY"/>
    <s v="UNKNOWN"/>
    <x v="0"/>
  </r>
  <r>
    <n v="113984"/>
    <n v="12066592"/>
    <x v="2"/>
    <x v="69"/>
    <x v="12"/>
    <s v="DELEGATE AGENCY"/>
    <s v="UNKNOWN"/>
    <x v="0"/>
  </r>
  <r>
    <n v="113985"/>
    <n v="3193824"/>
    <x v="0"/>
    <x v="107"/>
    <x v="12"/>
    <s v="DELEGATE AGENCY"/>
    <s v="UNKNOWN"/>
    <x v="0"/>
  </r>
  <r>
    <n v="113987"/>
    <n v="1425184"/>
    <x v="0"/>
    <x v="108"/>
    <x v="12"/>
    <s v="DELEGATE AGENCY"/>
    <s v="UNKNOWN"/>
    <x v="0"/>
  </r>
  <r>
    <n v="113988"/>
    <n v="515770"/>
    <x v="0"/>
    <x v="109"/>
    <x v="12"/>
    <s v="DELEGATE AGENCY"/>
    <s v="UNKNOWN"/>
    <x v="0"/>
  </r>
  <r>
    <n v="113989"/>
    <n v="812464"/>
    <x v="2"/>
    <x v="110"/>
    <x v="12"/>
    <s v="DELEGATE AGENCY"/>
    <s v="UNKNOWN"/>
    <x v="0"/>
  </r>
  <r>
    <n v="113990"/>
    <n v="952544"/>
    <x v="2"/>
    <x v="111"/>
    <x v="12"/>
    <s v="DELEGATE AGENCY"/>
    <s v="UNKNOWN"/>
    <x v="0"/>
  </r>
  <r>
    <n v="113994"/>
    <n v="5918184"/>
    <x v="2"/>
    <x v="112"/>
    <x v="12"/>
    <s v="DELEGATE AGENCY"/>
    <s v="UNKNOWN"/>
    <x v="0"/>
  </r>
  <r>
    <n v="113995"/>
    <n v="6902960"/>
    <x v="0"/>
    <x v="113"/>
    <x v="12"/>
    <s v="DELEGATE AGENCY"/>
    <s v="UNKNOWN"/>
    <x v="0"/>
  </r>
  <r>
    <n v="114000"/>
    <n v="8786960"/>
    <x v="0"/>
    <x v="70"/>
    <x v="12"/>
    <s v="DELEGATE AGENCY"/>
    <s v="UNKNOWN"/>
    <x v="0"/>
  </r>
  <r>
    <n v="114001"/>
    <n v="7743856"/>
    <x v="0"/>
    <x v="114"/>
    <x v="12"/>
    <s v="DELEGATE AGENCY"/>
    <s v="UNKNOWN"/>
    <x v="0"/>
  </r>
  <r>
    <n v="114002"/>
    <n v="476272"/>
    <x v="0"/>
    <x v="115"/>
    <x v="12"/>
    <s v="DELEGATE AGENCY"/>
    <s v="UNKNOWN"/>
    <x v="0"/>
  </r>
  <r>
    <n v="114003"/>
    <n v="840480"/>
    <x v="2"/>
    <x v="71"/>
    <x v="12"/>
    <s v="DELEGATE AGENCY"/>
    <s v="UNKNOWN"/>
    <x v="0"/>
  </r>
  <r>
    <n v="114004"/>
    <n v="952544"/>
    <x v="2"/>
    <x v="116"/>
    <x v="12"/>
    <s v="DELEGATE AGENCY"/>
    <s v="UNKNOWN"/>
    <x v="0"/>
  </r>
  <r>
    <n v="114005"/>
    <n v="1680960"/>
    <x v="2"/>
    <x v="72"/>
    <x v="12"/>
    <s v="DELEGATE AGENCY"/>
    <s v="UNKNOWN"/>
    <x v="0"/>
  </r>
  <r>
    <n v="114006"/>
    <n v="1428816"/>
    <x v="0"/>
    <x v="117"/>
    <x v="12"/>
    <s v="DELEGATE AGENCY"/>
    <s v="UNKNOWN"/>
    <x v="0"/>
  </r>
  <r>
    <n v="114007"/>
    <n v="1905088"/>
    <x v="0"/>
    <x v="118"/>
    <x v="12"/>
    <s v="DELEGATE AGENCY"/>
    <s v="UNKNOWN"/>
    <x v="0"/>
  </r>
  <r>
    <n v="114008"/>
    <n v="2461776"/>
    <x v="0"/>
    <x v="119"/>
    <x v="12"/>
    <s v="DELEGATE AGENCY"/>
    <s v="UNKNOWN"/>
    <x v="0"/>
  </r>
  <r>
    <n v="114009"/>
    <n v="1182500"/>
    <x v="0"/>
    <x v="120"/>
    <x v="12"/>
    <s v="DELEGATE AGENCY"/>
    <s v="UNKNOWN"/>
    <x v="0"/>
  </r>
  <r>
    <n v="114010"/>
    <n v="5952880"/>
    <x v="0"/>
    <x v="121"/>
    <x v="12"/>
    <s v="DELEGATE AGENCY"/>
    <s v="UNKNOWN"/>
    <x v="0"/>
  </r>
  <r>
    <n v="114011"/>
    <n v="1003200"/>
    <x v="0"/>
    <x v="122"/>
    <x v="12"/>
    <s v="DELEGATE AGENCY"/>
    <s v="UNKNOWN"/>
    <x v="0"/>
  </r>
  <r>
    <n v="114018"/>
    <n v="3683584"/>
    <x v="0"/>
    <x v="123"/>
    <x v="12"/>
    <s v="DELEGATE AGENCY"/>
    <s v="RFP"/>
    <x v="0"/>
  </r>
  <r>
    <n v="114019"/>
    <n v="686928"/>
    <x v="0"/>
    <x v="124"/>
    <x v="12"/>
    <s v="DELEGATE AGENCY"/>
    <s v="UNKNOWN"/>
    <x v="0"/>
  </r>
  <r>
    <n v="114020"/>
    <n v="2132876"/>
    <x v="2"/>
    <x v="125"/>
    <x v="12"/>
    <s v="DELEGATE AGENCY"/>
    <s v="UNKNOWN"/>
    <x v="0"/>
  </r>
  <r>
    <n v="114021"/>
    <n v="952544"/>
    <x v="0"/>
    <x v="126"/>
    <x v="12"/>
    <s v="DELEGATE AGENCY"/>
    <s v="UNKNOWN"/>
    <x v="0"/>
  </r>
  <r>
    <n v="114022"/>
    <n v="5666112"/>
    <x v="2"/>
    <x v="127"/>
    <x v="12"/>
    <s v="DELEGATE AGENCY"/>
    <s v="UNKNOWN"/>
    <x v="0"/>
  </r>
  <r>
    <n v="114023"/>
    <n v="5064928"/>
    <x v="0"/>
    <x v="74"/>
    <x v="12"/>
    <s v="DELEGATE AGENCY"/>
    <s v="UNKNOWN"/>
    <x v="0"/>
  </r>
  <r>
    <n v="114025"/>
    <n v="3147840"/>
    <x v="0"/>
    <x v="128"/>
    <x v="12"/>
    <s v="DELEGATE AGENCY"/>
    <s v="UNKNOWN"/>
    <x v="0"/>
  </r>
  <r>
    <n v="114027"/>
    <n v="476272"/>
    <x v="0"/>
    <x v="129"/>
    <x v="12"/>
    <s v="DELEGATE AGENCY"/>
    <s v="UNKNOWN"/>
    <x v="0"/>
  </r>
  <r>
    <n v="114028"/>
    <n v="1661504"/>
    <x v="2"/>
    <x v="130"/>
    <x v="12"/>
    <s v="DELEGATE AGENCY"/>
    <s v="UNKNOWN"/>
    <x v="0"/>
  </r>
  <r>
    <n v="114033"/>
    <n v="1397168"/>
    <x v="0"/>
    <x v="131"/>
    <x v="12"/>
    <s v="DELEGATE AGENCY"/>
    <s v="UNKNOWN"/>
    <x v="0"/>
  </r>
  <r>
    <n v="114035"/>
    <n v="2318064"/>
    <x v="0"/>
    <x v="132"/>
    <x v="12"/>
    <s v="DELEGATE AGENCY"/>
    <s v="UNKNOWN"/>
    <x v="0"/>
  </r>
  <r>
    <n v="114038"/>
    <n v="2810160"/>
    <x v="0"/>
    <x v="76"/>
    <x v="12"/>
    <s v="DELEGATE AGENCY"/>
    <s v="UNKNOWN"/>
    <x v="0"/>
  </r>
  <r>
    <n v="114039"/>
    <n v="5128224"/>
    <x v="0"/>
    <x v="77"/>
    <x v="12"/>
    <s v="DELEGATE AGENCY"/>
    <s v="UNKNOWN"/>
    <x v="0"/>
  </r>
  <r>
    <n v="114040"/>
    <n v="5351328"/>
    <x v="0"/>
    <x v="133"/>
    <x v="12"/>
    <s v="DELEGATE AGENCY"/>
    <s v="UNKNOWN"/>
    <x v="0"/>
  </r>
  <r>
    <n v="114042"/>
    <n v="420240"/>
    <x v="0"/>
    <x v="134"/>
    <x v="12"/>
    <s v="DELEGATE AGENCY"/>
    <s v="UNKNOWN"/>
    <x v="0"/>
  </r>
  <r>
    <n v="114043"/>
    <n v="1250992"/>
    <x v="2"/>
    <x v="135"/>
    <x v="12"/>
    <s v="DELEGATE AGENCY"/>
    <s v="UNKNOWN"/>
    <x v="0"/>
  </r>
  <r>
    <n v="114044"/>
    <n v="17402158"/>
    <x v="0"/>
    <x v="78"/>
    <x v="12"/>
    <s v="DELEGATE AGENCY"/>
    <s v="UNKNOWN"/>
    <x v="0"/>
  </r>
  <r>
    <n v="114553"/>
    <n v="5000000"/>
    <x v="0"/>
    <x v="136"/>
    <x v="0"/>
    <s v="ARCH/ENGINEERING"/>
    <s v="MASTER AGREEMENT"/>
    <x v="0"/>
  </r>
  <r>
    <n v="114934"/>
    <n v="1000000"/>
    <x v="0"/>
    <x v="137"/>
    <x v="6"/>
    <s v="WORK SERV-AVIATION"/>
    <s v="UNKNOWN"/>
    <x v="2"/>
  </r>
  <r>
    <n v="115256"/>
    <n v="13313207"/>
    <x v="0"/>
    <x v="138"/>
    <x v="6"/>
    <s v="WORK SERV-AVIATION"/>
    <s v="BID"/>
    <x v="2"/>
  </r>
  <r>
    <n v="116014"/>
    <n v="1454078"/>
    <x v="0"/>
    <x v="139"/>
    <x v="8"/>
    <s v="DELEGATE AGENCY"/>
    <s v="RFP"/>
    <x v="0"/>
  </r>
  <r>
    <n v="116593"/>
    <n v="395833"/>
    <x v="0"/>
    <x v="19"/>
    <x v="1"/>
    <s v="DELEGATE AGENCY"/>
    <s v="UNKNOWN"/>
    <x v="0"/>
  </r>
  <r>
    <n v="116594"/>
    <n v="975000"/>
    <x v="2"/>
    <x v="19"/>
    <x v="1"/>
    <s v="DELEGATE AGENCY"/>
    <s v="UNKNOWN"/>
    <x v="0"/>
  </r>
  <r>
    <n v="116595"/>
    <n v="3843536"/>
    <x v="2"/>
    <x v="19"/>
    <x v="1"/>
    <s v="DELEGATE AGENCY"/>
    <s v="UNKNOWN"/>
    <x v="0"/>
  </r>
  <r>
    <n v="116612"/>
    <n v="70594898"/>
    <x v="0"/>
    <x v="38"/>
    <x v="8"/>
    <s v="DELEGATE AGENCY"/>
    <s v="RFP"/>
    <x v="0"/>
  </r>
  <r>
    <n v="116615"/>
    <n v="565500"/>
    <x v="0"/>
    <x v="24"/>
    <x v="8"/>
    <s v="DELEGATE AGENCY"/>
    <s v="RFP"/>
    <x v="0"/>
  </r>
  <r>
    <n v="116617"/>
    <n v="566780"/>
    <x v="2"/>
    <x v="37"/>
    <x v="8"/>
    <s v="DELEGATE AGENCY"/>
    <s v="RFP"/>
    <x v="0"/>
  </r>
  <r>
    <n v="116618"/>
    <n v="56048"/>
    <x v="2"/>
    <x v="46"/>
    <x v="8"/>
    <s v="DELEGATE AGENCY"/>
    <s v="RFP"/>
    <x v="0"/>
  </r>
  <r>
    <n v="116619"/>
    <n v="1845601"/>
    <x v="1"/>
    <x v="46"/>
    <x v="8"/>
    <s v="DELEGATE AGENCY"/>
    <s v="RFP"/>
    <x v="0"/>
  </r>
  <r>
    <n v="116623"/>
    <n v="31484"/>
    <x v="0"/>
    <x v="42"/>
    <x v="8"/>
    <s v="DELEGATE AGENCY"/>
    <s v="RFP"/>
    <x v="0"/>
  </r>
  <r>
    <n v="116624"/>
    <n v="763536"/>
    <x v="4"/>
    <x v="42"/>
    <x v="8"/>
    <s v="DELEGATE AGENCY"/>
    <s v="RFP"/>
    <x v="0"/>
  </r>
  <r>
    <n v="116625"/>
    <n v="39240"/>
    <x v="2"/>
    <x v="41"/>
    <x v="8"/>
    <s v="DELEGATE AGENCY"/>
    <s v="RFP"/>
    <x v="0"/>
  </r>
  <r>
    <n v="116627"/>
    <n v="1144393.7"/>
    <x v="4"/>
    <x v="41"/>
    <x v="8"/>
    <s v="DELEGATE AGENCY"/>
    <s v="RFP"/>
    <x v="0"/>
  </r>
  <r>
    <n v="116667"/>
    <n v="302666"/>
    <x v="0"/>
    <x v="140"/>
    <x v="8"/>
    <s v="DELEGATE AGENCY"/>
    <s v="RFP"/>
    <x v="0"/>
  </r>
  <r>
    <n v="116668"/>
    <n v="9509031"/>
    <x v="2"/>
    <x v="140"/>
    <x v="8"/>
    <s v="DELEGATE AGENCY"/>
    <s v="RFP"/>
    <x v="0"/>
  </r>
  <r>
    <n v="116669"/>
    <n v="310208"/>
    <x v="0"/>
    <x v="40"/>
    <x v="8"/>
    <s v="DELEGATE AGENCY"/>
    <s v="RFP"/>
    <x v="0"/>
  </r>
  <r>
    <n v="116670"/>
    <n v="10426097"/>
    <x v="2"/>
    <x v="40"/>
    <x v="8"/>
    <s v="DELEGATE AGENCY"/>
    <s v="RFP"/>
    <x v="0"/>
  </r>
  <r>
    <n v="116671"/>
    <n v="259999"/>
    <x v="0"/>
    <x v="40"/>
    <x v="8"/>
    <s v="DELEGATE AGENCY"/>
    <s v="RFP"/>
    <x v="0"/>
  </r>
  <r>
    <n v="116674"/>
    <n v="98246"/>
    <x v="2"/>
    <x v="39"/>
    <x v="8"/>
    <s v="DELEGATE AGENCY"/>
    <s v="RFP"/>
    <x v="0"/>
  </r>
  <r>
    <n v="116675"/>
    <n v="129986"/>
    <x v="1"/>
    <x v="43"/>
    <x v="8"/>
    <s v="DELEGATE AGENCY"/>
    <s v="RFP"/>
    <x v="0"/>
  </r>
  <r>
    <n v="116676"/>
    <n v="2466012.1000003801"/>
    <x v="1"/>
    <x v="43"/>
    <x v="8"/>
    <s v="DELEGATE AGENCY"/>
    <s v="RFP"/>
    <x v="0"/>
  </r>
  <r>
    <n v="116677"/>
    <n v="271368"/>
    <x v="0"/>
    <x v="45"/>
    <x v="8"/>
    <s v="DELEGATE AGENCY"/>
    <s v="RFP"/>
    <x v="0"/>
  </r>
  <r>
    <n v="116678"/>
    <n v="50444"/>
    <x v="2"/>
    <x v="44"/>
    <x v="8"/>
    <s v="DELEGATE AGENCY"/>
    <s v="RFP"/>
    <x v="0"/>
  </r>
  <r>
    <n v="116679"/>
    <n v="2377009"/>
    <x v="1"/>
    <x v="44"/>
    <x v="8"/>
    <s v="DELEGATE AGENCY"/>
    <s v="RFP"/>
    <x v="0"/>
  </r>
  <r>
    <n v="116680"/>
    <n v="162540"/>
    <x v="0"/>
    <x v="27"/>
    <x v="8"/>
    <s v="DELEGATE AGENCY"/>
    <s v="RFP"/>
    <x v="1"/>
  </r>
  <r>
    <n v="116681"/>
    <n v="4072265"/>
    <x v="1"/>
    <x v="27"/>
    <x v="8"/>
    <s v="DELEGATE AGENCY"/>
    <s v="RFP"/>
    <x v="0"/>
  </r>
  <r>
    <n v="116682"/>
    <n v="168143"/>
    <x v="0"/>
    <x v="25"/>
    <x v="8"/>
    <s v="DELEGATE AGENCY"/>
    <s v="RFP"/>
    <x v="0"/>
  </r>
  <r>
    <n v="116683"/>
    <n v="2337955"/>
    <x v="1"/>
    <x v="25"/>
    <x v="8"/>
    <s v="DELEGATE AGENCY"/>
    <s v="RFP"/>
    <x v="0"/>
  </r>
  <r>
    <n v="116685"/>
    <n v="554375"/>
    <x v="0"/>
    <x v="28"/>
    <x v="8"/>
    <s v="DELEGATE AGENCY"/>
    <s v="RFP"/>
    <x v="0"/>
  </r>
  <r>
    <n v="116791"/>
    <n v="2689991.9"/>
    <x v="2"/>
    <x v="141"/>
    <x v="13"/>
    <s v="WORK SERVICES / FACILITIES MAINT."/>
    <s v="BID"/>
    <x v="0"/>
  </r>
  <r>
    <n v="117688"/>
    <n v="25000000"/>
    <x v="0"/>
    <x v="142"/>
    <x v="14"/>
    <s v="PRO SERV CONSULTING $250,000orABOVE"/>
    <s v="RFP"/>
    <x v="2"/>
  </r>
  <r>
    <n v="119002"/>
    <n v="960000"/>
    <x v="0"/>
    <x v="143"/>
    <x v="15"/>
    <s v="ARCH/ENGINEERING"/>
    <s v="MASTER AGREEMENT"/>
    <x v="0"/>
  </r>
  <r>
    <n v="11901"/>
    <n v="2935565"/>
    <x v="2"/>
    <x v="144"/>
    <x v="9"/>
    <s v="COMPTROLLER-OTHER"/>
    <s v="UNKNOWN"/>
    <x v="0"/>
  </r>
  <r>
    <n v="119180"/>
    <n v="4000000"/>
    <x v="0"/>
    <x v="145"/>
    <x v="16"/>
    <s v="COMPTROLLER-OTHER"/>
    <s v="UNKNOWN"/>
    <x v="1"/>
  </r>
  <r>
    <n v="119983"/>
    <n v="31000000"/>
    <x v="0"/>
    <x v="146"/>
    <x v="6"/>
    <s v="ARCH/ENGINEERING-AVIATION"/>
    <s v="UNKNOWN"/>
    <x v="1"/>
  </r>
  <r>
    <n v="120166"/>
    <n v="93758.9"/>
    <x v="0"/>
    <x v="147"/>
    <x v="0"/>
    <s v="CONSTRUCTION-LARGE $3MILLIONorABOVE"/>
    <s v="BID"/>
    <x v="1"/>
  </r>
  <r>
    <n v="120503"/>
    <n v="12744464"/>
    <x v="1"/>
    <x v="60"/>
    <x v="12"/>
    <s v="DELEGATE AGENCY"/>
    <s v="UNKNOWN"/>
    <x v="0"/>
  </r>
  <r>
    <n v="120508"/>
    <n v="1464954"/>
    <x v="0"/>
    <x v="126"/>
    <x v="12"/>
    <s v="DELEGATE AGENCY"/>
    <s v="UNKNOWN"/>
    <x v="1"/>
  </r>
  <r>
    <n v="121380"/>
    <n v="302666"/>
    <x v="0"/>
    <x v="140"/>
    <x v="8"/>
    <s v="DELEGATE AGENCY"/>
    <s v="RFP"/>
    <x v="0"/>
  </r>
  <r>
    <n v="122483"/>
    <n v="306628"/>
    <x v="2"/>
    <x v="44"/>
    <x v="1"/>
    <s v="PROPERTY LEASE"/>
    <s v="UNKNOWN"/>
    <x v="1"/>
  </r>
  <r>
    <n v="122544"/>
    <n v="97032"/>
    <x v="2"/>
    <x v="148"/>
    <x v="5"/>
    <s v="WORK SERVICES / FACILITIES MAINT."/>
    <s v="BID"/>
    <x v="2"/>
  </r>
  <r>
    <n v="122861"/>
    <n v="2000000"/>
    <x v="1"/>
    <x v="149"/>
    <x v="6"/>
    <s v="ARCH/ENGINEERING"/>
    <s v="RFQ"/>
    <x v="2"/>
  </r>
  <r>
    <n v="123436"/>
    <n v="3102512"/>
    <x v="0"/>
    <x v="150"/>
    <x v="12"/>
    <s v="DELEGATE AGENCY"/>
    <s v="UNKNOWN"/>
    <x v="0"/>
  </r>
  <r>
    <n v="124960"/>
    <n v="1070000"/>
    <x v="0"/>
    <x v="151"/>
    <x v="3"/>
    <s v="WORK SERVICES / FACILITIES MAINT."/>
    <s v="BID"/>
    <x v="0"/>
  </r>
  <r>
    <n v="125606"/>
    <n v="1349339"/>
    <x v="0"/>
    <x v="152"/>
    <x v="9"/>
    <s v="PRO SERV CONSULTING $250,000orABOVE"/>
    <s v="RFP"/>
    <x v="1"/>
  </r>
  <r>
    <n v="126315"/>
    <n v="504288"/>
    <x v="0"/>
    <x v="153"/>
    <x v="12"/>
    <s v="DELEGATE AGENCY"/>
    <s v="UNKNOWN"/>
    <x v="0"/>
  </r>
  <r>
    <n v="126761"/>
    <n v="1500000"/>
    <x v="2"/>
    <x v="154"/>
    <x v="8"/>
    <s v="COMPTROLLER-OTHER"/>
    <s v="UNKNOWN"/>
    <x v="0"/>
  </r>
  <r>
    <n v="12687"/>
    <n v="9246882"/>
    <x v="0"/>
    <x v="155"/>
    <x v="15"/>
    <s v="WORK SERVICES / FACILITIES MAINT."/>
    <s v="BID"/>
    <x v="0"/>
  </r>
  <r>
    <n v="126998"/>
    <n v="1250000"/>
    <x v="0"/>
    <x v="156"/>
    <x v="2"/>
    <s v="COMPTROLLER-OTHER"/>
    <s v="UNKNOWN"/>
    <x v="2"/>
  </r>
  <r>
    <n v="127218"/>
    <n v="512076.5"/>
    <x v="0"/>
    <x v="157"/>
    <x v="11"/>
    <s v="PRO SERV CONSULTING $250,000orABOVE"/>
    <s v="REFERENCE CONTRACT"/>
    <x v="0"/>
  </r>
  <r>
    <n v="127340"/>
    <n v="328461.3"/>
    <x v="2"/>
    <x v="158"/>
    <x v="5"/>
    <s v="CONSTRUCTION-GENERAL"/>
    <s v="BID"/>
    <x v="1"/>
  </r>
  <r>
    <n v="127486"/>
    <n v="3122509"/>
    <x v="2"/>
    <x v="159"/>
    <x v="17"/>
    <s v="PRO SERV CONSULTING $250,000orABOVE"/>
    <s v="RFP"/>
    <x v="1"/>
  </r>
  <r>
    <n v="127551"/>
    <n v="100380"/>
    <x v="0"/>
    <x v="11"/>
    <x v="5"/>
    <s v="CONSTRUCTION-GENERAL"/>
    <s v="BID"/>
    <x v="1"/>
  </r>
  <r>
    <n v="127597"/>
    <n v="74500"/>
    <x v="1"/>
    <x v="160"/>
    <x v="5"/>
    <s v="COMMODITIES"/>
    <s v="BID"/>
    <x v="1"/>
  </r>
  <r>
    <n v="127695"/>
    <n v="548205.99999999895"/>
    <x v="1"/>
    <x v="161"/>
    <x v="6"/>
    <s v="CONSTRUCTION-AVIATION"/>
    <s v="BID"/>
    <x v="0"/>
  </r>
  <r>
    <n v="127702"/>
    <n v="670613"/>
    <x v="2"/>
    <x v="162"/>
    <x v="11"/>
    <s v="COMMODITIES"/>
    <s v="BID"/>
    <x v="1"/>
  </r>
  <r>
    <n v="127741"/>
    <n v="50000"/>
    <x v="2"/>
    <x v="5"/>
    <x v="17"/>
    <s v="DELEGATE AGENCY"/>
    <s v="RFP"/>
    <x v="0"/>
  </r>
  <r>
    <n v="127928"/>
    <n v="500000"/>
    <x v="1"/>
    <x v="163"/>
    <x v="0"/>
    <s v="WORK SERVICES / FACILITIES MAINT."/>
    <s v="BID"/>
    <x v="1"/>
  </r>
  <r>
    <n v="129033"/>
    <n v="22564835.300000001"/>
    <x v="2"/>
    <x v="164"/>
    <x v="18"/>
    <s v="CONSTRUCTION-AVIATION"/>
    <s v="BID"/>
    <x v="0"/>
  </r>
  <r>
    <n v="129052"/>
    <n v="279500"/>
    <x v="0"/>
    <x v="84"/>
    <x v="8"/>
    <s v="DELEGATE AGENCY"/>
    <s v="RFP"/>
    <x v="0"/>
  </r>
  <r>
    <n v="129053"/>
    <n v="653111"/>
    <x v="2"/>
    <x v="165"/>
    <x v="8"/>
    <s v="DELEGATE AGENCY"/>
    <s v="RFP"/>
    <x v="0"/>
  </r>
  <r>
    <n v="129054"/>
    <n v="862894"/>
    <x v="2"/>
    <x v="166"/>
    <x v="8"/>
    <s v="DELEGATE AGENCY"/>
    <s v="RFP"/>
    <x v="0"/>
  </r>
  <r>
    <n v="129055"/>
    <n v="907405"/>
    <x v="2"/>
    <x v="166"/>
    <x v="8"/>
    <s v="DELEGATE AGENCY"/>
    <s v="RFP"/>
    <x v="0"/>
  </r>
  <r>
    <n v="129056"/>
    <n v="772456"/>
    <x v="2"/>
    <x v="167"/>
    <x v="8"/>
    <s v="DELEGATE AGENCY"/>
    <s v="RFP"/>
    <x v="0"/>
  </r>
  <r>
    <n v="129057"/>
    <n v="720223"/>
    <x v="2"/>
    <x v="168"/>
    <x v="8"/>
    <s v="DELEGATE AGENCY"/>
    <s v="RFP"/>
    <x v="0"/>
  </r>
  <r>
    <n v="129058"/>
    <n v="740876"/>
    <x v="2"/>
    <x v="169"/>
    <x v="8"/>
    <s v="DELEGATE AGENCY"/>
    <s v="RFP"/>
    <x v="0"/>
  </r>
  <r>
    <n v="129059"/>
    <n v="819631"/>
    <x v="2"/>
    <x v="167"/>
    <x v="8"/>
    <s v="DELEGATE AGENCY"/>
    <s v="RFP"/>
    <x v="0"/>
  </r>
  <r>
    <n v="129060"/>
    <n v="767380"/>
    <x v="2"/>
    <x v="168"/>
    <x v="8"/>
    <s v="DELEGATE AGENCY"/>
    <s v="RFP"/>
    <x v="0"/>
  </r>
  <r>
    <n v="129061"/>
    <n v="20326380"/>
    <x v="2"/>
    <x v="114"/>
    <x v="8"/>
    <s v="DELEGATE AGENCY"/>
    <s v="RFP"/>
    <x v="0"/>
  </r>
  <r>
    <n v="129138"/>
    <n v="840480"/>
    <x v="0"/>
    <x v="170"/>
    <x v="12"/>
    <s v="DELEGATE AGENCY"/>
    <s v="UNKNOWN"/>
    <x v="0"/>
  </r>
  <r>
    <n v="129570"/>
    <n v="7500000"/>
    <x v="2"/>
    <x v="171"/>
    <x v="6"/>
    <s v="PRO SERV-AVIATION"/>
    <s v="UNKNOWN"/>
    <x v="2"/>
  </r>
  <r>
    <n v="129571"/>
    <n v="8500000"/>
    <x v="0"/>
    <x v="172"/>
    <x v="6"/>
    <s v="PRO SERV-AVIATION"/>
    <s v="UNKNOWN"/>
    <x v="1"/>
  </r>
  <r>
    <n v="129971"/>
    <n v="60000000"/>
    <x v="0"/>
    <x v="173"/>
    <x v="3"/>
    <s v="COMMODITIES"/>
    <s v="BID"/>
    <x v="1"/>
  </r>
  <r>
    <n v="129972"/>
    <n v="80000000"/>
    <x v="0"/>
    <x v="173"/>
    <x v="3"/>
    <s v="COMMODITIES"/>
    <s v="BID"/>
    <x v="1"/>
  </r>
  <r>
    <n v="130155"/>
    <n v="1482293.6"/>
    <x v="0"/>
    <x v="174"/>
    <x v="6"/>
    <s v="WORK SERV-AVIATION"/>
    <s v="BID"/>
    <x v="2"/>
  </r>
  <r>
    <n v="130253"/>
    <n v="357000"/>
    <x v="0"/>
    <x v="175"/>
    <x v="1"/>
    <s v="DELEGATE AGENCY"/>
    <s v="UNKNOWN"/>
    <x v="0"/>
  </r>
  <r>
    <n v="130712"/>
    <n v="1893"/>
    <x v="2"/>
    <x v="0"/>
    <x v="0"/>
    <s v="CONSTRUCTION-LARGE $3MILLIONorABOVE"/>
    <s v="BID"/>
    <x v="0"/>
  </r>
  <r>
    <n v="13082"/>
    <n v="436824.4"/>
    <x v="3"/>
    <x v="176"/>
    <x v="2"/>
    <s v="COMPTROLLER-OTHER"/>
    <s v="UNKNOWN"/>
    <x v="1"/>
  </r>
  <r>
    <n v="131840"/>
    <n v="1167231.1000000001"/>
    <x v="2"/>
    <x v="177"/>
    <x v="6"/>
    <s v="COMMODITIES-AVIATION"/>
    <s v="BID"/>
    <x v="1"/>
  </r>
  <r>
    <n v="131988"/>
    <n v="6488400"/>
    <x v="0"/>
    <x v="178"/>
    <x v="13"/>
    <s v="COMMODITIES"/>
    <s v="BID"/>
    <x v="1"/>
  </r>
  <r>
    <n v="132457"/>
    <n v="1800828"/>
    <x v="0"/>
    <x v="160"/>
    <x v="5"/>
    <s v="COMMODITIES"/>
    <s v="BID"/>
    <x v="2"/>
  </r>
  <r>
    <n v="132516"/>
    <n v="2438651.2999999998"/>
    <x v="0"/>
    <x v="179"/>
    <x v="5"/>
    <s v="CONSTRUCTION-LARGE $3MILLIONorABOVE"/>
    <s v="BID"/>
    <x v="2"/>
  </r>
  <r>
    <n v="132592"/>
    <n v="1711804.6"/>
    <x v="0"/>
    <x v="179"/>
    <x v="5"/>
    <s v="CONSTRUCTION-LARGE $3MILLIONorABOVE"/>
    <s v="BID"/>
    <x v="2"/>
  </r>
  <r>
    <n v="132634"/>
    <n v="100446.5"/>
    <x v="0"/>
    <x v="179"/>
    <x v="5"/>
    <s v="CONSTRUCTION-LARGE $3MILLIONorABOVE"/>
    <s v="BID"/>
    <x v="2"/>
  </r>
  <r>
    <n v="132635"/>
    <n v="6110347.9000000004"/>
    <x v="1"/>
    <x v="180"/>
    <x v="5"/>
    <s v="CONSTRUCTION-LARGE $3MILLIONorABOVE"/>
    <s v="BID"/>
    <x v="1"/>
  </r>
  <r>
    <n v="133236"/>
    <n v="1100000"/>
    <x v="0"/>
    <x v="181"/>
    <x v="19"/>
    <s v="COMPTROLLER-OTHER"/>
    <s v="UNKNOWN"/>
    <x v="0"/>
  </r>
  <r>
    <n v="134604"/>
    <n v="800000"/>
    <x v="0"/>
    <x v="182"/>
    <x v="8"/>
    <s v="COMPTROLLER-OTHER"/>
    <s v="UNKNOWN"/>
    <x v="0"/>
  </r>
  <r>
    <n v="134774"/>
    <n v="460000"/>
    <x v="2"/>
    <x v="183"/>
    <x v="8"/>
    <s v="COMPTROLLER-OTHER"/>
    <s v="UNKNOWN"/>
    <x v="0"/>
  </r>
  <r>
    <n v="134949"/>
    <n v="164606.39999999999"/>
    <x v="2"/>
    <x v="184"/>
    <x v="2"/>
    <s v="PRO SERV CONSULTING UNDER $250,000"/>
    <s v="SOLE SOURCE"/>
    <x v="2"/>
  </r>
  <r>
    <n v="135010"/>
    <n v="2000000"/>
    <x v="1"/>
    <x v="185"/>
    <x v="3"/>
    <s v="VEHICLES/HEAVY EQUIPMENT (CAPITAL)"/>
    <s v="CONTRACT ASSIGNMENT/TRANS"/>
    <x v="2"/>
  </r>
  <r>
    <n v="135214"/>
    <n v="1753094"/>
    <x v="0"/>
    <x v="25"/>
    <x v="1"/>
    <s v="DELEGATE AGENCY"/>
    <s v="UNKNOWN"/>
    <x v="0"/>
  </r>
  <r>
    <n v="135215"/>
    <n v="449642"/>
    <x v="0"/>
    <x v="44"/>
    <x v="1"/>
    <s v="DELEGATE AGENCY"/>
    <s v="UNKNOWN"/>
    <x v="0"/>
  </r>
  <r>
    <n v="135798"/>
    <n v="300000"/>
    <x v="2"/>
    <x v="161"/>
    <x v="6"/>
    <s v="CONSTRUCTION-AVIATION"/>
    <s v="UNKNOWN"/>
    <x v="0"/>
  </r>
  <r>
    <n v="136596"/>
    <n v="25000000"/>
    <x v="2"/>
    <x v="186"/>
    <x v="0"/>
    <s v="CONSTRUCTION-LARGE $3MILLIONorABOVE"/>
    <s v="BID"/>
    <x v="0"/>
  </r>
  <r>
    <n v="136811"/>
    <n v="252000000"/>
    <x v="0"/>
    <x v="187"/>
    <x v="9"/>
    <s v="COMPTROLLER-OTHER"/>
    <s v="UNKNOWN"/>
    <x v="0"/>
  </r>
  <r>
    <n v="139434"/>
    <n v="40000"/>
    <x v="0"/>
    <x v="188"/>
    <x v="8"/>
    <s v="DELEGATE AGENCY"/>
    <s v="RFP"/>
    <x v="0"/>
  </r>
  <r>
    <n v="140117"/>
    <n v="2015000"/>
    <x v="4"/>
    <x v="189"/>
    <x v="8"/>
    <s v="COMPTROLLER-OTHER"/>
    <s v="UNKNOWN"/>
    <x v="1"/>
  </r>
  <r>
    <n v="140238"/>
    <n v="667000"/>
    <x v="0"/>
    <x v="11"/>
    <x v="5"/>
    <s v="CONSTRUCTION-GENERAL"/>
    <s v="BID"/>
    <x v="0"/>
  </r>
  <r>
    <n v="140240"/>
    <n v="18000"/>
    <x v="2"/>
    <x v="21"/>
    <x v="0"/>
    <s v="CONSTRUCTION-LARGE $3MILLIONorABOVE"/>
    <s v="BID"/>
    <x v="0"/>
  </r>
  <r>
    <n v="140717"/>
    <n v="579500"/>
    <x v="4"/>
    <x v="59"/>
    <x v="8"/>
    <s v="DELEGATE AGENCY"/>
    <s v="RFP"/>
    <x v="0"/>
  </r>
  <r>
    <n v="140723"/>
    <n v="480000"/>
    <x v="2"/>
    <x v="44"/>
    <x v="8"/>
    <s v="DELEGATE AGENCY"/>
    <s v="RFP"/>
    <x v="0"/>
  </r>
  <r>
    <n v="140729"/>
    <n v="238935"/>
    <x v="2"/>
    <x v="190"/>
    <x v="8"/>
    <s v="DELEGATE AGENCY"/>
    <s v="RFP"/>
    <x v="0"/>
  </r>
  <r>
    <n v="140734"/>
    <n v="350000"/>
    <x v="1"/>
    <x v="40"/>
    <x v="8"/>
    <s v="DELEGATE AGENCY"/>
    <s v="RFP"/>
    <x v="0"/>
  </r>
  <r>
    <n v="140747"/>
    <n v="700000"/>
    <x v="2"/>
    <x v="191"/>
    <x v="8"/>
    <s v="DELEGATE AGENCY"/>
    <s v="RFP"/>
    <x v="0"/>
  </r>
  <r>
    <n v="142400"/>
    <n v="25000"/>
    <x v="2"/>
    <x v="192"/>
    <x v="11"/>
    <s v="WORK SERVICES-SMALL ORDERS"/>
    <s v="BID"/>
    <x v="0"/>
  </r>
  <r>
    <n v="142734"/>
    <n v="44326"/>
    <x v="4"/>
    <x v="193"/>
    <x v="12"/>
    <s v="DELEGATE AGENCY"/>
    <s v="UNKNOWN"/>
    <x v="0"/>
  </r>
  <r>
    <n v="142758"/>
    <n v="286734"/>
    <x v="4"/>
    <x v="194"/>
    <x v="12"/>
    <s v="DELEGATE AGENCY"/>
    <s v="UNKNOWN"/>
    <x v="0"/>
  </r>
  <r>
    <n v="143257"/>
    <n v="15900000"/>
    <x v="2"/>
    <x v="195"/>
    <x v="3"/>
    <s v="COMMODITIES"/>
    <s v="REFERENCE CONTRACT"/>
    <x v="0"/>
  </r>
  <r>
    <n v="143326"/>
    <n v="69423.8"/>
    <x v="0"/>
    <x v="196"/>
    <x v="5"/>
    <s v="WORK SERVICES-SMALL ORDERS"/>
    <s v="BID"/>
    <x v="0"/>
  </r>
  <r>
    <n v="143578"/>
    <n v="38155"/>
    <x v="1"/>
    <x v="197"/>
    <x v="2"/>
    <s v="COMPTROLLER-OTHER"/>
    <s v="UNKNOWN"/>
    <x v="0"/>
  </r>
  <r>
    <n v="143675"/>
    <n v="10000000"/>
    <x v="4"/>
    <x v="20"/>
    <x v="0"/>
    <s v="CONSTRUCTION-LARGE $3MILLIONorABOVE"/>
    <s v="BID"/>
    <x v="0"/>
  </r>
  <r>
    <n v="144028"/>
    <n v="292169"/>
    <x v="0"/>
    <x v="198"/>
    <x v="12"/>
    <s v="DELEGATE AGENCY"/>
    <s v="UNKNOWN"/>
    <x v="0"/>
  </r>
  <r>
    <n v="144499"/>
    <n v="178500"/>
    <x v="2"/>
    <x v="199"/>
    <x v="12"/>
    <s v="DELEGATE AGENCY"/>
    <s v="UNKNOWN"/>
    <x v="0"/>
  </r>
  <r>
    <n v="144500"/>
    <n v="178500"/>
    <x v="1"/>
    <x v="5"/>
    <x v="12"/>
    <s v="DELEGATE AGENCY"/>
    <s v="UNKNOWN"/>
    <x v="0"/>
  </r>
  <r>
    <n v="144501"/>
    <n v="178500"/>
    <x v="1"/>
    <x v="89"/>
    <x v="12"/>
    <s v="DELEGATE AGENCY"/>
    <s v="UNKNOWN"/>
    <x v="0"/>
  </r>
  <r>
    <n v="144502"/>
    <n v="178500"/>
    <x v="1"/>
    <x v="200"/>
    <x v="12"/>
    <s v="DELEGATE AGENCY"/>
    <s v="UNKNOWN"/>
    <x v="0"/>
  </r>
  <r>
    <n v="144503"/>
    <n v="178500"/>
    <x v="1"/>
    <x v="114"/>
    <x v="12"/>
    <s v="DELEGATE AGENCY"/>
    <s v="UNKNOWN"/>
    <x v="0"/>
  </r>
  <r>
    <n v="144504"/>
    <n v="178500"/>
    <x v="1"/>
    <x v="201"/>
    <x v="12"/>
    <s v="DELEGATE AGENCY"/>
    <s v="UNKNOWN"/>
    <x v="0"/>
  </r>
  <r>
    <n v="144506"/>
    <n v="178500"/>
    <x v="1"/>
    <x v="202"/>
    <x v="12"/>
    <s v="DELEGATE AGENCY"/>
    <s v="UNKNOWN"/>
    <x v="0"/>
  </r>
  <r>
    <n v="144511"/>
    <n v="178500"/>
    <x v="1"/>
    <x v="203"/>
    <x v="12"/>
    <s v="DELEGATE AGENCY"/>
    <s v="UNKNOWN"/>
    <x v="0"/>
  </r>
  <r>
    <n v="144514"/>
    <n v="178500"/>
    <x v="1"/>
    <x v="204"/>
    <x v="12"/>
    <s v="DELEGATE AGENCY"/>
    <s v="UNKNOWN"/>
    <x v="0"/>
  </r>
  <r>
    <n v="144515"/>
    <n v="178500"/>
    <x v="1"/>
    <x v="205"/>
    <x v="12"/>
    <s v="DELEGATE AGENCY"/>
    <s v="UNKNOWN"/>
    <x v="0"/>
  </r>
  <r>
    <n v="144516"/>
    <n v="178500"/>
    <x v="1"/>
    <x v="169"/>
    <x v="12"/>
    <s v="DELEGATE AGENCY"/>
    <s v="UNKNOWN"/>
    <x v="0"/>
  </r>
  <r>
    <n v="144545"/>
    <n v="60000000"/>
    <x v="1"/>
    <x v="186"/>
    <x v="0"/>
    <s v="CONSTRUCTION-LARGE $3MILLIONorABOVE"/>
    <s v="BID"/>
    <x v="0"/>
  </r>
  <r>
    <n v="144546"/>
    <n v="60000000"/>
    <x v="0"/>
    <x v="206"/>
    <x v="0"/>
    <s v="CONSTRUCTION-LARGE $3MILLIONorABOVE"/>
    <s v="BID"/>
    <x v="0"/>
  </r>
  <r>
    <n v="144622"/>
    <n v="10000000"/>
    <x v="0"/>
    <x v="158"/>
    <x v="0"/>
    <s v="CONSTRUCTION-LARGE $3MILLIONorABOVE"/>
    <s v="BID"/>
    <x v="0"/>
  </r>
  <r>
    <n v="144819"/>
    <n v="4500000"/>
    <x v="0"/>
    <x v="207"/>
    <x v="8"/>
    <s v="COMPTROLLER-OTHER"/>
    <s v="UNKNOWN"/>
    <x v="0"/>
  </r>
  <r>
    <n v="145306"/>
    <n v="92700000"/>
    <x v="0"/>
    <x v="208"/>
    <x v="6"/>
    <s v="PRO SERV-AVIATION"/>
    <s v="RFP"/>
    <x v="0"/>
  </r>
  <r>
    <n v="145898"/>
    <n v="61972"/>
    <x v="0"/>
    <x v="209"/>
    <x v="8"/>
    <s v="DELEGATE AGENCY"/>
    <s v="RFP"/>
    <x v="0"/>
  </r>
  <r>
    <n v="145986"/>
    <n v="27319"/>
    <x v="1"/>
    <x v="73"/>
    <x v="12"/>
    <s v="DELEGATE AGENCY"/>
    <s v="UNKNOWN"/>
    <x v="0"/>
  </r>
  <r>
    <n v="145993"/>
    <n v="300000"/>
    <x v="4"/>
    <x v="210"/>
    <x v="20"/>
    <s v="WORK SERVICES / FACILITIES MAINT."/>
    <s v="BID"/>
    <x v="2"/>
  </r>
  <r>
    <n v="146004"/>
    <n v="79380"/>
    <x v="2"/>
    <x v="211"/>
    <x v="8"/>
    <s v="DELEGATE AGENCY"/>
    <s v="RFP"/>
    <x v="0"/>
  </r>
  <r>
    <n v="146021"/>
    <n v="163877"/>
    <x v="1"/>
    <x v="46"/>
    <x v="8"/>
    <s v="DELEGATE AGENCY"/>
    <s v="RFP"/>
    <x v="0"/>
  </r>
  <r>
    <n v="146022"/>
    <n v="131571"/>
    <x v="1"/>
    <x v="209"/>
    <x v="8"/>
    <s v="DELEGATE AGENCY"/>
    <s v="RFP"/>
    <x v="0"/>
  </r>
  <r>
    <n v="146024"/>
    <n v="158571"/>
    <x v="1"/>
    <x v="212"/>
    <x v="8"/>
    <s v="DELEGATE AGENCY"/>
    <s v="RFP"/>
    <x v="0"/>
  </r>
  <r>
    <n v="146025"/>
    <n v="119000"/>
    <x v="1"/>
    <x v="188"/>
    <x v="8"/>
    <s v="DELEGATE AGENCY"/>
    <s v="RFP"/>
    <x v="0"/>
  </r>
  <r>
    <n v="146026"/>
    <n v="171112"/>
    <x v="1"/>
    <x v="24"/>
    <x v="8"/>
    <s v="DELEGATE AGENCY"/>
    <s v="RFP"/>
    <x v="0"/>
  </r>
  <r>
    <n v="146027"/>
    <n v="88116"/>
    <x v="1"/>
    <x v="213"/>
    <x v="8"/>
    <s v="DELEGATE AGENCY"/>
    <s v="RFP"/>
    <x v="0"/>
  </r>
  <r>
    <n v="146030"/>
    <n v="150000"/>
    <x v="1"/>
    <x v="214"/>
    <x v="8"/>
    <s v="DELEGATE AGENCY"/>
    <s v="RFP"/>
    <x v="0"/>
  </r>
  <r>
    <n v="146031"/>
    <n v="100046"/>
    <x v="1"/>
    <x v="215"/>
    <x v="8"/>
    <s v="DELEGATE AGENCY"/>
    <s v="RFP"/>
    <x v="0"/>
  </r>
  <r>
    <n v="146033"/>
    <n v="200000"/>
    <x v="1"/>
    <x v="24"/>
    <x v="8"/>
    <s v="DELEGATE AGENCY"/>
    <s v="RFP"/>
    <x v="0"/>
  </r>
  <r>
    <n v="146034"/>
    <n v="100000"/>
    <x v="1"/>
    <x v="216"/>
    <x v="8"/>
    <s v="DELEGATE AGENCY"/>
    <s v="RFP"/>
    <x v="0"/>
  </r>
  <r>
    <n v="146035"/>
    <n v="100000"/>
    <x v="1"/>
    <x v="209"/>
    <x v="8"/>
    <s v="DELEGATE AGENCY"/>
    <s v="RFP"/>
    <x v="0"/>
  </r>
  <r>
    <n v="146036"/>
    <n v="79405"/>
    <x v="1"/>
    <x v="209"/>
    <x v="8"/>
    <s v="DELEGATE AGENCY"/>
    <s v="RFP"/>
    <x v="0"/>
  </r>
  <r>
    <n v="146037"/>
    <n v="72780"/>
    <x v="1"/>
    <x v="24"/>
    <x v="8"/>
    <s v="DELEGATE AGENCY"/>
    <s v="RFP"/>
    <x v="0"/>
  </r>
  <r>
    <n v="146038"/>
    <n v="33907"/>
    <x v="1"/>
    <x v="194"/>
    <x v="12"/>
    <s v="DELEGATE AGENCY"/>
    <s v="UNKNOWN"/>
    <x v="0"/>
  </r>
  <r>
    <n v="146071"/>
    <n v="61617"/>
    <x v="4"/>
    <x v="217"/>
    <x v="12"/>
    <s v="DELEGATE AGENCY"/>
    <s v="UNKNOWN"/>
    <x v="0"/>
  </r>
  <r>
    <n v="146078"/>
    <n v="9112"/>
    <x v="1"/>
    <x v="193"/>
    <x v="12"/>
    <s v="DELEGATE AGENCY"/>
    <s v="UNKNOWN"/>
    <x v="0"/>
  </r>
  <r>
    <n v="146303"/>
    <n v="52908"/>
    <x v="3"/>
    <x v="198"/>
    <x v="12"/>
    <s v="DELEGATE AGENCY"/>
    <s v="UNKNOWN"/>
    <x v="0"/>
  </r>
  <r>
    <n v="146343"/>
    <n v="39312887.199999899"/>
    <x v="1"/>
    <x v="218"/>
    <x v="1"/>
    <s v="PROPERTY LEASE"/>
    <s v="UNKNOWN"/>
    <x v="0"/>
  </r>
  <r>
    <n v="147120"/>
    <n v="255000"/>
    <x v="0"/>
    <x v="204"/>
    <x v="19"/>
    <s v="DELEGATE AGENCY"/>
    <s v="RFP"/>
    <x v="0"/>
  </r>
  <r>
    <n v="147121"/>
    <n v="255000"/>
    <x v="2"/>
    <x v="219"/>
    <x v="19"/>
    <s v="DELEGATE AGENCY"/>
    <s v="RFP"/>
    <x v="0"/>
  </r>
  <r>
    <n v="147122"/>
    <n v="255000"/>
    <x v="2"/>
    <x v="220"/>
    <x v="19"/>
    <s v="DELEGATE AGENCY"/>
    <s v="RFP"/>
    <x v="0"/>
  </r>
  <r>
    <n v="147125"/>
    <n v="255000"/>
    <x v="2"/>
    <x v="221"/>
    <x v="19"/>
    <s v="DELEGATE AGENCY"/>
    <s v="RFP"/>
    <x v="0"/>
  </r>
  <r>
    <n v="147126"/>
    <n v="255000"/>
    <x v="2"/>
    <x v="222"/>
    <x v="21"/>
    <s v="DELEGATE AGENCY"/>
    <s v="RFP"/>
    <x v="0"/>
  </r>
  <r>
    <n v="147127"/>
    <n v="255000"/>
    <x v="2"/>
    <x v="223"/>
    <x v="21"/>
    <s v="DELEGATE AGENCY"/>
    <s v="RFP"/>
    <x v="0"/>
  </r>
  <r>
    <n v="147358"/>
    <n v="5000000"/>
    <x v="2"/>
    <x v="224"/>
    <x v="5"/>
    <s v="ARCH/ENGINEERING"/>
    <s v="RFQ"/>
    <x v="0"/>
  </r>
  <r>
    <n v="147367"/>
    <n v="2755266"/>
    <x v="0"/>
    <x v="156"/>
    <x v="2"/>
    <s v="COMPTROLLER-OTHER"/>
    <s v="UNKNOWN"/>
    <x v="2"/>
  </r>
  <r>
    <n v="147416"/>
    <n v="600000"/>
    <x v="0"/>
    <x v="225"/>
    <x v="8"/>
    <s v="COMPTROLLER-OTHER"/>
    <s v="UNKNOWN"/>
    <x v="1"/>
  </r>
  <r>
    <n v="147417"/>
    <n v="841309.39999999898"/>
    <x v="2"/>
    <x v="226"/>
    <x v="0"/>
    <s v="CONSTRUCTION-LARGE $3MILLIONorABOVE"/>
    <s v="BID"/>
    <x v="0"/>
  </r>
  <r>
    <n v="147585"/>
    <n v="480000"/>
    <x v="2"/>
    <x v="227"/>
    <x v="8"/>
    <s v="DELEGATE AGENCY"/>
    <s v="RFP"/>
    <x v="0"/>
  </r>
  <r>
    <n v="147594"/>
    <n v="480000"/>
    <x v="2"/>
    <x v="228"/>
    <x v="8"/>
    <s v="DELEGATE AGENCY"/>
    <s v="RFP"/>
    <x v="0"/>
  </r>
  <r>
    <n v="147595"/>
    <n v="240000"/>
    <x v="2"/>
    <x v="229"/>
    <x v="8"/>
    <s v="DELEGATE AGENCY"/>
    <s v="RFP"/>
    <x v="0"/>
  </r>
  <r>
    <n v="147657"/>
    <n v="250000"/>
    <x v="1"/>
    <x v="211"/>
    <x v="1"/>
    <s v="DELEGATE AGENCY"/>
    <s v="UNKNOWN"/>
    <x v="0"/>
  </r>
  <r>
    <n v="148089"/>
    <n v="348648.5"/>
    <x v="2"/>
    <x v="230"/>
    <x v="5"/>
    <s v="CONSTRUCTION-GENERAL"/>
    <s v="BID"/>
    <x v="0"/>
  </r>
  <r>
    <n v="148130"/>
    <n v="348648.5"/>
    <x v="2"/>
    <x v="230"/>
    <x v="5"/>
    <s v="CONSTRUCTION-GENERAL"/>
    <s v="BID"/>
    <x v="0"/>
  </r>
  <r>
    <n v="148131"/>
    <n v="165710.29999999999"/>
    <x v="2"/>
    <x v="230"/>
    <x v="5"/>
    <s v="CONSTRUCTION-GENERAL"/>
    <s v="BID"/>
    <x v="0"/>
  </r>
  <r>
    <n v="148378"/>
    <n v="750000"/>
    <x v="1"/>
    <x v="231"/>
    <x v="1"/>
    <s v="DELEGATE AGENCY"/>
    <s v="UNKNOWN"/>
    <x v="0"/>
  </r>
  <r>
    <n v="149165"/>
    <n v="255000"/>
    <x v="2"/>
    <x v="232"/>
    <x v="21"/>
    <s v="DELEGATE AGENCY"/>
    <s v="UNKNOWN"/>
    <x v="0"/>
  </r>
  <r>
    <n v="149208"/>
    <n v="474824.3"/>
    <x v="2"/>
    <x v="233"/>
    <x v="5"/>
    <s v="CONSTRUCTION-LARGE $3MILLIONorABOVE"/>
    <s v="BID"/>
    <x v="1"/>
  </r>
  <r>
    <n v="149676"/>
    <n v="36843.800000000003"/>
    <x v="2"/>
    <x v="11"/>
    <x v="5"/>
    <s v="CONSTRUCTION-LARGE $3MILLIONorABOVE"/>
    <s v="BID"/>
    <x v="1"/>
  </r>
  <r>
    <n v="150388"/>
    <n v="9027000"/>
    <x v="4"/>
    <x v="139"/>
    <x v="22"/>
    <s v="DELEGATE AGENCY"/>
    <s v="RFP"/>
    <x v="0"/>
  </r>
  <r>
    <n v="150704"/>
    <n v="172119.7"/>
    <x v="0"/>
    <x v="0"/>
    <x v="3"/>
    <s v="CONSTRUCTION-LARGE $3MILLIONorABOVE"/>
    <s v="BID"/>
    <x v="1"/>
  </r>
  <r>
    <n v="151058"/>
    <n v="2000000"/>
    <x v="1"/>
    <x v="234"/>
    <x v="8"/>
    <s v="COMPTROLLER-OTHER"/>
    <s v="UNKNOWN"/>
    <x v="0"/>
  </r>
  <r>
    <n v="151059"/>
    <n v="1500000"/>
    <x v="0"/>
    <x v="235"/>
    <x v="8"/>
    <s v="COMPTROLLER-OTHER"/>
    <s v="UNKNOWN"/>
    <x v="0"/>
  </r>
  <r>
    <n v="151192"/>
    <n v="72000"/>
    <x v="0"/>
    <x v="236"/>
    <x v="1"/>
    <s v="PROPERTY LEASE"/>
    <s v="UNKNOWN"/>
    <x v="1"/>
  </r>
  <r>
    <n v="151329"/>
    <n v="95204115.700000003"/>
    <x v="1"/>
    <x v="237"/>
    <x v="10"/>
    <s v="WORK SERVICES / FACILITIES MAINT."/>
    <s v="BID"/>
    <x v="1"/>
  </r>
  <r>
    <n v="151948"/>
    <n v="5158543"/>
    <x v="0"/>
    <x v="238"/>
    <x v="12"/>
    <s v="DELEGATE AGENCY"/>
    <s v="UNKNOWN"/>
    <x v="0"/>
  </r>
  <r>
    <n v="151949"/>
    <n v="1299345"/>
    <x v="0"/>
    <x v="217"/>
    <x v="12"/>
    <s v="DELEGATE AGENCY"/>
    <s v="UNKNOWN"/>
    <x v="0"/>
  </r>
  <r>
    <n v="151985"/>
    <n v="473000"/>
    <x v="0"/>
    <x v="5"/>
    <x v="12"/>
    <s v="DELEGATE AGENCY"/>
    <s v="RFQ"/>
    <x v="0"/>
  </r>
  <r>
    <n v="151990"/>
    <n v="473000"/>
    <x v="2"/>
    <x v="239"/>
    <x v="12"/>
    <s v="DELEGATE AGENCY"/>
    <s v="UNKNOWN"/>
    <x v="0"/>
  </r>
  <r>
    <n v="151991"/>
    <n v="473000"/>
    <x v="2"/>
    <x v="68"/>
    <x v="12"/>
    <s v="DELEGATE AGENCY"/>
    <s v="UNKNOWN"/>
    <x v="0"/>
  </r>
  <r>
    <n v="151992"/>
    <n v="265600"/>
    <x v="2"/>
    <x v="240"/>
    <x v="12"/>
    <s v="DELEGATE AGENCY"/>
    <s v="UNKNOWN"/>
    <x v="0"/>
  </r>
  <r>
    <n v="152217"/>
    <n v="3000000"/>
    <x v="2"/>
    <x v="241"/>
    <x v="6"/>
    <s v="COMMODITIES-AVIATION"/>
    <s v="BID"/>
    <x v="1"/>
  </r>
  <r>
    <n v="15262"/>
    <n v="7693977.5"/>
    <x v="0"/>
    <x v="242"/>
    <x v="2"/>
    <s v="COMPTROLLER-OTHER"/>
    <s v="UNKNOWN"/>
    <x v="2"/>
  </r>
  <r>
    <n v="152693"/>
    <n v="993308"/>
    <x v="0"/>
    <x v="243"/>
    <x v="12"/>
    <s v="DELEGATE AGENCY"/>
    <s v="UNKNOWN"/>
    <x v="1"/>
  </r>
  <r>
    <n v="152695"/>
    <n v="78583"/>
    <x v="2"/>
    <x v="243"/>
    <x v="12"/>
    <s v="DELEGATE AGENCY"/>
    <s v="UNKNOWN"/>
    <x v="0"/>
  </r>
  <r>
    <n v="152696"/>
    <n v="249760"/>
    <x v="1"/>
    <x v="243"/>
    <x v="12"/>
    <s v="DELEGATE AGENCY"/>
    <s v="UNKNOWN"/>
    <x v="0"/>
  </r>
  <r>
    <n v="152974"/>
    <n v="7500000"/>
    <x v="1"/>
    <x v="244"/>
    <x v="3"/>
    <s v="JOC"/>
    <s v="BID"/>
    <x v="0"/>
  </r>
  <r>
    <n v="152975"/>
    <n v="7500000"/>
    <x v="0"/>
    <x v="0"/>
    <x v="15"/>
    <s v="JOC"/>
    <s v="BID"/>
    <x v="0"/>
  </r>
  <r>
    <n v="152976"/>
    <n v="7500000"/>
    <x v="0"/>
    <x v="245"/>
    <x v="3"/>
    <s v="JOC"/>
    <s v="BID"/>
    <x v="0"/>
  </r>
  <r>
    <n v="152978"/>
    <n v="7500000"/>
    <x v="0"/>
    <x v="246"/>
    <x v="3"/>
    <s v="JOC"/>
    <s v="BID"/>
    <x v="0"/>
  </r>
  <r>
    <n v="152979"/>
    <n v="21244500"/>
    <x v="0"/>
    <x v="247"/>
    <x v="5"/>
    <s v="JOC"/>
    <s v="CONTRACT ASSIGNMENT/TRANSFER"/>
    <x v="0"/>
  </r>
  <r>
    <n v="15304"/>
    <n v="40621476"/>
    <x v="0"/>
    <x v="248"/>
    <x v="6"/>
    <s v="WORK SERV-AVIATION"/>
    <s v="BID"/>
    <x v="0"/>
  </r>
  <r>
    <n v="153046"/>
    <n v="397260"/>
    <x v="0"/>
    <x v="25"/>
    <x v="12"/>
    <s v="DELEGATE AGENCY"/>
    <s v="UNKNOWN"/>
    <x v="0"/>
  </r>
  <r>
    <n v="153047"/>
    <n v="26343"/>
    <x v="2"/>
    <x v="25"/>
    <x v="12"/>
    <s v="DELEGATE AGENCY"/>
    <s v="UNKNOWN"/>
    <x v="0"/>
  </r>
  <r>
    <n v="153526"/>
    <n v="2298888.7000000002"/>
    <x v="4"/>
    <x v="11"/>
    <x v="0"/>
    <s v="CONSTRUCTION-LARGE $3MILLIONorABOVE"/>
    <s v="BID"/>
    <x v="0"/>
  </r>
  <r>
    <n v="156710"/>
    <n v="125000"/>
    <x v="0"/>
    <x v="232"/>
    <x v="19"/>
    <s v="DELEGATE AGENCY"/>
    <s v="UNKNOWN"/>
    <x v="0"/>
  </r>
  <r>
    <n v="157471"/>
    <n v="8609862.7999999896"/>
    <x v="1"/>
    <x v="249"/>
    <x v="23"/>
    <s v="PRO SERV CONSULTING $250,000orABOVE"/>
    <s v="RFP"/>
    <x v="0"/>
  </r>
  <r>
    <n v="157775"/>
    <n v="250000"/>
    <x v="0"/>
    <x v="36"/>
    <x v="6"/>
    <s v="COMPTROLLER-OTHER"/>
    <s v="UNKNOWN"/>
    <x v="1"/>
  </r>
  <r>
    <n v="157778"/>
    <n v="267917"/>
    <x v="2"/>
    <x v="36"/>
    <x v="6"/>
    <s v="COMPTROLLER-OTHER"/>
    <s v="UNKNOWN"/>
    <x v="0"/>
  </r>
  <r>
    <n v="157893"/>
    <n v="13750"/>
    <x v="2"/>
    <x v="233"/>
    <x v="5"/>
    <s v="CONSTRUCTION-LARGE $3MILLIONorABOVE"/>
    <s v="BID"/>
    <x v="1"/>
  </r>
  <r>
    <n v="158232"/>
    <n v="6938000"/>
    <x v="4"/>
    <x v="189"/>
    <x v="8"/>
    <s v="COMPTROLLER-OTHER"/>
    <s v="UNKNOWN"/>
    <x v="0"/>
  </r>
  <r>
    <n v="158615"/>
    <n v="2483084.2999999998"/>
    <x v="0"/>
    <x v="0"/>
    <x v="0"/>
    <s v="CONSTRUCTION-LARGE $3MILLIONorABOVE"/>
    <s v="BID"/>
    <x v="0"/>
  </r>
  <r>
    <n v="158837"/>
    <n v="2849584.1"/>
    <x v="0"/>
    <x v="250"/>
    <x v="8"/>
    <s v="COMPTROLLER-OTHER"/>
    <s v="UNKNOWN"/>
    <x v="0"/>
  </r>
  <r>
    <n v="159021"/>
    <n v="544787.30000000005"/>
    <x v="0"/>
    <x v="161"/>
    <x v="6"/>
    <s v="CONSTRUCTION-AVIATION"/>
    <s v="BID"/>
    <x v="0"/>
  </r>
  <r>
    <n v="159642"/>
    <n v="50000"/>
    <x v="2"/>
    <x v="251"/>
    <x v="9"/>
    <s v="COMPTROLLER-OTHER"/>
    <s v="UNKNOWN"/>
    <x v="0"/>
  </r>
  <r>
    <n v="160353"/>
    <n v="407070.9"/>
    <x v="1"/>
    <x v="252"/>
    <x v="0"/>
    <s v="CONSTRUCTION-LARGE $3MILLIONorABOVE"/>
    <s v="BID"/>
    <x v="0"/>
  </r>
  <r>
    <n v="160570"/>
    <n v="1240820"/>
    <x v="2"/>
    <x v="201"/>
    <x v="8"/>
    <s v="DELEGATE AGENCY"/>
    <s v="RFP"/>
    <x v="0"/>
  </r>
  <r>
    <n v="160578"/>
    <n v="15000"/>
    <x v="0"/>
    <x v="233"/>
    <x v="5"/>
    <s v="CONSTRUCTION-LARGE $3MILLIONorABOVE"/>
    <s v="BID"/>
    <x v="1"/>
  </r>
  <r>
    <n v="160579"/>
    <n v="17736.8"/>
    <x v="4"/>
    <x v="11"/>
    <x v="5"/>
    <s v="CONSTRUCTION-LARGE $3MILLIONorABOVE"/>
    <s v="BID"/>
    <x v="1"/>
  </r>
  <r>
    <n v="161114"/>
    <n v="137154.1"/>
    <x v="4"/>
    <x v="253"/>
    <x v="6"/>
    <s v="CONSTRUCTION-AVIATION"/>
    <s v="UNKNOWN"/>
    <x v="0"/>
  </r>
  <r>
    <n v="162116"/>
    <n v="5000000"/>
    <x v="1"/>
    <x v="254"/>
    <x v="11"/>
    <s v="COMMODITIES"/>
    <s v="BID"/>
    <x v="0"/>
  </r>
  <r>
    <n v="162358"/>
    <n v="8000000"/>
    <x v="0"/>
    <x v="255"/>
    <x v="24"/>
    <s v="DEMOLITION"/>
    <s v="MASTER AGREEMENT"/>
    <x v="1"/>
  </r>
  <r>
    <n v="162366"/>
    <n v="8000000"/>
    <x v="0"/>
    <x v="138"/>
    <x v="24"/>
    <s v="DEMOLITION"/>
    <s v="MASTER AGREEMENT"/>
    <x v="0"/>
  </r>
  <r>
    <n v="162839"/>
    <n v="725813.7"/>
    <x v="0"/>
    <x v="256"/>
    <x v="6"/>
    <s v="CONSTRUCTION-AVIATION"/>
    <s v="BID"/>
    <x v="0"/>
  </r>
  <r>
    <n v="164104"/>
    <n v="680382"/>
    <x v="2"/>
    <x v="257"/>
    <x v="8"/>
    <s v="COMPTROLLER-OTHER"/>
    <s v="UNKNOWN"/>
    <x v="0"/>
  </r>
  <r>
    <n v="164369"/>
    <n v="437468"/>
    <x v="2"/>
    <x v="59"/>
    <x v="12"/>
    <s v="DELEGATE AGENCY"/>
    <s v="RFP"/>
    <x v="0"/>
  </r>
  <r>
    <n v="164377"/>
    <n v="396073"/>
    <x v="2"/>
    <x v="258"/>
    <x v="12"/>
    <s v="DELEGATE AGENCY"/>
    <s v="UNKNOWN"/>
    <x v="0"/>
  </r>
  <r>
    <n v="164378"/>
    <n v="100000"/>
    <x v="2"/>
    <x v="259"/>
    <x v="12"/>
    <s v="DELEGATE AGENCY"/>
    <s v="RFP"/>
    <x v="0"/>
  </r>
  <r>
    <n v="164446"/>
    <n v="75000"/>
    <x v="1"/>
    <x v="260"/>
    <x v="8"/>
    <s v="DELEGATE AGENCY"/>
    <s v="RFP"/>
    <x v="0"/>
  </r>
  <r>
    <n v="164450"/>
    <n v="100000"/>
    <x v="1"/>
    <x v="261"/>
    <x v="8"/>
    <s v="DELEGATE AGENCY"/>
    <s v="RFP"/>
    <x v="0"/>
  </r>
  <r>
    <n v="165669"/>
    <n v="2200000"/>
    <x v="1"/>
    <x v="262"/>
    <x v="8"/>
    <s v="COMPTROLLER-OTHER"/>
    <s v="UNKNOWN"/>
    <x v="0"/>
  </r>
  <r>
    <n v="166224"/>
    <n v="500000"/>
    <x v="0"/>
    <x v="263"/>
    <x v="8"/>
    <s v="COMPTROLLER-OTHER"/>
    <s v="UNKNOWN"/>
    <x v="0"/>
  </r>
  <r>
    <n v="166316"/>
    <n v="268920"/>
    <x v="2"/>
    <x v="76"/>
    <x v="12"/>
    <s v="DELEGATE AGENCY"/>
    <s v="RFP"/>
    <x v="1"/>
  </r>
  <r>
    <n v="167067"/>
    <n v="20273231.399999999"/>
    <x v="2"/>
    <x v="0"/>
    <x v="0"/>
    <s v="CONSTRUCTION-LARGE $3MILLIONorABOVE"/>
    <s v="BID"/>
    <x v="0"/>
  </r>
  <r>
    <n v="167245"/>
    <n v="177000"/>
    <x v="0"/>
    <x v="160"/>
    <x v="11"/>
    <s v="COMMODITIES"/>
    <s v="BID"/>
    <x v="1"/>
  </r>
  <r>
    <n v="167326"/>
    <n v="89890205.299999997"/>
    <x v="1"/>
    <x v="264"/>
    <x v="9"/>
    <s v="PRO SERV CONSULTING $250,000orABOVE"/>
    <s v="CONTRACT ASSIGNMENT/TRANSFER"/>
    <x v="2"/>
  </r>
  <r>
    <n v="167344"/>
    <n v="35109.300000000003"/>
    <x v="0"/>
    <x v="186"/>
    <x v="0"/>
    <s v="CONSTRUCTION-GENERAL"/>
    <s v="BID"/>
    <x v="0"/>
  </r>
  <r>
    <n v="167478"/>
    <n v="179606.2"/>
    <x v="4"/>
    <x v="265"/>
    <x v="1"/>
    <s v="PROPERTY LEASE"/>
    <s v="UNKNOWN"/>
    <x v="0"/>
  </r>
  <r>
    <n v="167516"/>
    <n v="66000000"/>
    <x v="1"/>
    <x v="158"/>
    <x v="0"/>
    <s v="CONSTRUCTION-LARGE $3MILLIONorABOVE"/>
    <s v="BID"/>
    <x v="0"/>
  </r>
  <r>
    <n v="16761"/>
    <n v="6831602"/>
    <x v="0"/>
    <x v="266"/>
    <x v="14"/>
    <s v="PRO SERV CONSULTING $250,000orABOVE"/>
    <s v="SOLE SOURCE"/>
    <x v="2"/>
  </r>
  <r>
    <n v="169014"/>
    <n v="63362575"/>
    <x v="0"/>
    <x v="267"/>
    <x v="0"/>
    <s v="CONSTRUCTION-LARGE $3MILLIONorABOVE"/>
    <s v="BID"/>
    <x v="0"/>
  </r>
  <r>
    <n v="169049"/>
    <n v="2400000"/>
    <x v="0"/>
    <x v="268"/>
    <x v="9"/>
    <s v="PRO SERV CONSULTING $250,000orABOVE"/>
    <s v="RFQ"/>
    <x v="1"/>
  </r>
  <r>
    <n v="169050"/>
    <n v="2400000"/>
    <x v="0"/>
    <x v="269"/>
    <x v="9"/>
    <s v="PRO SERV CONSULTING $250,000orABOVE"/>
    <s v="RFQ"/>
    <x v="0"/>
  </r>
  <r>
    <n v="169089"/>
    <n v="971900"/>
    <x v="0"/>
    <x v="139"/>
    <x v="8"/>
    <s v="DELEGATE AGENCY"/>
    <s v="RFP"/>
    <x v="0"/>
  </r>
  <r>
    <n v="169179"/>
    <n v="23500"/>
    <x v="2"/>
    <x v="270"/>
    <x v="20"/>
    <s v="COMPTROLLER-OTHER"/>
    <s v="UNKNOWN"/>
    <x v="1"/>
  </r>
  <r>
    <n v="169623"/>
    <n v="1000000"/>
    <x v="4"/>
    <x v="114"/>
    <x v="8"/>
    <s v="DELEGATE AGENCY"/>
    <s v="RFP"/>
    <x v="0"/>
  </r>
  <r>
    <n v="170495"/>
    <n v="12067767.5"/>
    <x v="0"/>
    <x v="271"/>
    <x v="25"/>
    <s v="PRO SERV CONSULTING $250,000orABOVE"/>
    <s v="CONTRACT ASSIGNMENT/TRANSFER"/>
    <x v="1"/>
  </r>
  <r>
    <n v="170879"/>
    <n v="13488.6"/>
    <x v="0"/>
    <x v="272"/>
    <x v="5"/>
    <s v="WORK SERVICES-SMALL ORDERS"/>
    <s v="BID"/>
    <x v="0"/>
  </r>
  <r>
    <n v="170884"/>
    <n v="66000000"/>
    <x v="4"/>
    <x v="273"/>
    <x v="0"/>
    <s v="CONSTRUCTION-LARGE $3MILLIONorABOVE"/>
    <s v="BID"/>
    <x v="0"/>
  </r>
  <r>
    <n v="170898"/>
    <n v="232472"/>
    <x v="0"/>
    <x v="256"/>
    <x v="6"/>
    <s v="CONSTRUCTION-AVIATION"/>
    <s v="UNKNOWN"/>
    <x v="0"/>
  </r>
  <r>
    <n v="171225"/>
    <n v="10005760.1"/>
    <x v="1"/>
    <x v="274"/>
    <x v="5"/>
    <s v="CONSTRUCTION-LARGE $3MILLIONorABOVE"/>
    <s v="BID"/>
    <x v="0"/>
  </r>
  <r>
    <n v="171226"/>
    <n v="10005760.1"/>
    <x v="0"/>
    <x v="274"/>
    <x v="5"/>
    <s v="CONSTRUCTION-LARGE $3MILLIONorABOVE"/>
    <s v="BID"/>
    <x v="0"/>
  </r>
  <r>
    <n v="171227"/>
    <n v="10005760.1"/>
    <x v="0"/>
    <x v="274"/>
    <x v="5"/>
    <s v="CONSTRUCTION-LARGE $3MILLIONorABOVE"/>
    <s v="BID"/>
    <x v="0"/>
  </r>
  <r>
    <n v="172055"/>
    <n v="909000.8"/>
    <x v="0"/>
    <x v="226"/>
    <x v="0"/>
    <s v="CONSTRUCTION-LARGE $3MILLIONorABOVE"/>
    <s v="BID"/>
    <x v="0"/>
  </r>
  <r>
    <n v="172056"/>
    <n v="1027819.7"/>
    <x v="2"/>
    <x v="226"/>
    <x v="0"/>
    <s v="CONSTRUCTION-LARGE $3MILLIONorABOVE"/>
    <s v="BID"/>
    <x v="0"/>
  </r>
  <r>
    <n v="172866"/>
    <n v="4000000"/>
    <x v="0"/>
    <x v="275"/>
    <x v="11"/>
    <s v="PRO SERV CONSULTING $250,000orABOVE"/>
    <s v="RFP"/>
    <x v="0"/>
  </r>
  <r>
    <n v="173319"/>
    <n v="741706"/>
    <x v="0"/>
    <x v="276"/>
    <x v="12"/>
    <s v="DELEGATE AGENCY"/>
    <s v="UNKNOWN"/>
    <x v="0"/>
  </r>
  <r>
    <n v="173320"/>
    <n v="399648"/>
    <x v="2"/>
    <x v="198"/>
    <x v="12"/>
    <s v="DELEGATE AGENCY"/>
    <s v="UNKNOWN"/>
    <x v="0"/>
  </r>
  <r>
    <n v="173322"/>
    <n v="150300"/>
    <x v="2"/>
    <x v="243"/>
    <x v="12"/>
    <s v="DELEGATE AGENCY"/>
    <s v="UNKNOWN"/>
    <x v="0"/>
  </r>
  <r>
    <n v="173323"/>
    <n v="119628"/>
    <x v="1"/>
    <x v="127"/>
    <x v="12"/>
    <s v="DELEGATE AGENCY"/>
    <s v="UNKNOWN"/>
    <x v="0"/>
  </r>
  <r>
    <n v="173332"/>
    <n v="2700000"/>
    <x v="1"/>
    <x v="161"/>
    <x v="6"/>
    <s v="WORK SERV-AVIATION"/>
    <s v="BID"/>
    <x v="2"/>
  </r>
  <r>
    <n v="173521"/>
    <n v="50423765"/>
    <x v="0"/>
    <x v="277"/>
    <x v="15"/>
    <s v="COMPTROLLER-OTHER"/>
    <s v="UNKNOWN"/>
    <x v="0"/>
  </r>
  <r>
    <n v="173589"/>
    <n v="937468.5"/>
    <x v="0"/>
    <x v="21"/>
    <x v="0"/>
    <s v="CONSTRUCTION-LARGE $3MILLIONorABOVE"/>
    <s v="BID"/>
    <x v="0"/>
  </r>
  <r>
    <n v="173593"/>
    <n v="480000"/>
    <x v="2"/>
    <x v="278"/>
    <x v="1"/>
    <s v="DELEGATE AGENCY"/>
    <s v="UNKNOWN"/>
    <x v="0"/>
  </r>
  <r>
    <n v="173598"/>
    <n v="480000"/>
    <x v="2"/>
    <x v="5"/>
    <x v="8"/>
    <s v="DELEGATE AGENCY"/>
    <s v="RFP"/>
    <x v="0"/>
  </r>
  <r>
    <n v="173601"/>
    <n v="240000"/>
    <x v="2"/>
    <x v="279"/>
    <x v="8"/>
    <s v="DELEGATE AGENCY"/>
    <s v="RFP"/>
    <x v="0"/>
  </r>
  <r>
    <n v="173602"/>
    <n v="600000"/>
    <x v="1"/>
    <x v="66"/>
    <x v="8"/>
    <s v="DELEGATE AGENCY"/>
    <s v="RFP"/>
    <x v="0"/>
  </r>
  <r>
    <n v="173622"/>
    <n v="700000"/>
    <x v="2"/>
    <x v="280"/>
    <x v="8"/>
    <s v="DELEGATE AGENCY"/>
    <s v="RFP"/>
    <x v="1"/>
  </r>
  <r>
    <n v="173847"/>
    <n v="355837"/>
    <x v="2"/>
    <x v="281"/>
    <x v="8"/>
    <s v="DELEGATE AGENCY"/>
    <s v="RFP"/>
    <x v="0"/>
  </r>
  <r>
    <n v="174012"/>
    <n v="400000"/>
    <x v="2"/>
    <x v="282"/>
    <x v="2"/>
    <s v="COMPTROLLER-OTHER"/>
    <s v="UNKNOWN"/>
    <x v="0"/>
  </r>
  <r>
    <n v="174014"/>
    <n v="310000"/>
    <x v="2"/>
    <x v="156"/>
    <x v="2"/>
    <s v="COMPTROLLER-OTHER"/>
    <s v="UNKNOWN"/>
    <x v="0"/>
  </r>
  <r>
    <n v="174270"/>
    <n v="7675894.5999999996"/>
    <x v="2"/>
    <x v="283"/>
    <x v="0"/>
    <s v="CONSTRUCTION-LARGE $3MILLIONorABOVE"/>
    <s v="BID"/>
    <x v="0"/>
  </r>
  <r>
    <n v="174283"/>
    <n v="1137500"/>
    <x v="0"/>
    <x v="284"/>
    <x v="12"/>
    <s v="DELEGATE AGENCY"/>
    <s v="UNKNOWN"/>
    <x v="0"/>
  </r>
  <r>
    <n v="174284"/>
    <n v="102304"/>
    <x v="0"/>
    <x v="285"/>
    <x v="12"/>
    <s v="DELEGATE AGENCY"/>
    <s v="UNKNOWN"/>
    <x v="0"/>
  </r>
  <r>
    <n v="174285"/>
    <n v="1203966"/>
    <x v="1"/>
    <x v="285"/>
    <x v="12"/>
    <s v="DELEGATE AGENCY"/>
    <s v="UNKNOWN"/>
    <x v="0"/>
  </r>
  <r>
    <n v="174286"/>
    <n v="56551031"/>
    <x v="0"/>
    <x v="285"/>
    <x v="12"/>
    <s v="DELEGATE AGENCY"/>
    <s v="UNKNOWN"/>
    <x v="0"/>
  </r>
  <r>
    <n v="174287"/>
    <n v="5835395"/>
    <x v="0"/>
    <x v="285"/>
    <x v="12"/>
    <s v="DELEGATE AGENCY"/>
    <s v="UNKNOWN"/>
    <x v="0"/>
  </r>
  <r>
    <n v="174290"/>
    <n v="59579"/>
    <x v="0"/>
    <x v="84"/>
    <x v="12"/>
    <s v="DELEGATE AGENCY"/>
    <s v="UNKNOWN"/>
    <x v="0"/>
  </r>
  <r>
    <n v="174291"/>
    <n v="119171"/>
    <x v="1"/>
    <x v="84"/>
    <x v="12"/>
    <s v="DELEGATE AGENCY"/>
    <s v="UNKNOWN"/>
    <x v="0"/>
  </r>
  <r>
    <n v="174294"/>
    <n v="225000"/>
    <x v="1"/>
    <x v="5"/>
    <x v="12"/>
    <s v="DELEGATE AGENCY"/>
    <s v="UNKNOWN"/>
    <x v="0"/>
  </r>
  <r>
    <n v="174295"/>
    <n v="2015000"/>
    <x v="1"/>
    <x v="286"/>
    <x v="12"/>
    <s v="DELEGATE AGENCY"/>
    <s v="UNKNOWN"/>
    <x v="0"/>
  </r>
  <r>
    <n v="174296"/>
    <n v="551674"/>
    <x v="0"/>
    <x v="287"/>
    <x v="12"/>
    <s v="DELEGATE AGENCY"/>
    <s v="UNKNOWN"/>
    <x v="0"/>
  </r>
  <r>
    <n v="174297"/>
    <n v="1026800"/>
    <x v="2"/>
    <x v="288"/>
    <x v="12"/>
    <s v="DELEGATE AGENCY"/>
    <s v="UNKNOWN"/>
    <x v="0"/>
  </r>
  <r>
    <n v="174298"/>
    <n v="42250"/>
    <x v="0"/>
    <x v="289"/>
    <x v="12"/>
    <s v="DELEGATE AGENCY"/>
    <s v="UNKNOWN"/>
    <x v="0"/>
  </r>
  <r>
    <n v="174299"/>
    <n v="506250"/>
    <x v="4"/>
    <x v="289"/>
    <x v="12"/>
    <s v="DELEGATE AGENCY"/>
    <s v="UNKNOWN"/>
    <x v="0"/>
  </r>
  <r>
    <n v="174309"/>
    <n v="771875"/>
    <x v="2"/>
    <x v="290"/>
    <x v="12"/>
    <s v="DELEGATE AGENCY"/>
    <s v="UNKNOWN"/>
    <x v="0"/>
  </r>
  <r>
    <n v="174310"/>
    <n v="325191"/>
    <x v="2"/>
    <x v="290"/>
    <x v="12"/>
    <s v="DELEGATE AGENCY"/>
    <s v="UNKNOWN"/>
    <x v="0"/>
  </r>
  <r>
    <n v="174311"/>
    <n v="314800"/>
    <x v="2"/>
    <x v="291"/>
    <x v="12"/>
    <s v="DELEGATE AGENCY"/>
    <s v="UNKNOWN"/>
    <x v="2"/>
  </r>
  <r>
    <n v="174312"/>
    <n v="365625"/>
    <x v="2"/>
    <x v="114"/>
    <x v="12"/>
    <s v="DELEGATE AGENCY"/>
    <s v="UNKNOWN"/>
    <x v="1"/>
  </r>
  <r>
    <n v="174313"/>
    <n v="325000"/>
    <x v="2"/>
    <x v="292"/>
    <x v="12"/>
    <s v="DELEGATE AGENCY"/>
    <s v="UNKNOWN"/>
    <x v="0"/>
  </r>
  <r>
    <n v="174314"/>
    <n v="354302"/>
    <x v="2"/>
    <x v="292"/>
    <x v="12"/>
    <s v="DELEGATE AGENCY"/>
    <s v="UNKNOWN"/>
    <x v="0"/>
  </r>
  <r>
    <n v="174316"/>
    <n v="336700"/>
    <x v="2"/>
    <x v="293"/>
    <x v="12"/>
    <s v="DELEGATE AGENCY"/>
    <s v="UNKNOWN"/>
    <x v="0"/>
  </r>
  <r>
    <n v="174317"/>
    <n v="214373"/>
    <x v="2"/>
    <x v="284"/>
    <x v="12"/>
    <s v="DELEGATE AGENCY"/>
    <s v="UNKNOWN"/>
    <x v="0"/>
  </r>
  <r>
    <n v="174318"/>
    <n v="51873"/>
    <x v="1"/>
    <x v="284"/>
    <x v="12"/>
    <s v="DELEGATE AGENCY"/>
    <s v="UNKNOWN"/>
    <x v="0"/>
  </r>
  <r>
    <n v="174319"/>
    <n v="365625"/>
    <x v="1"/>
    <x v="294"/>
    <x v="12"/>
    <s v="DELEGATE AGENCY"/>
    <s v="UNKNOWN"/>
    <x v="1"/>
  </r>
  <r>
    <n v="174321"/>
    <n v="787493"/>
    <x v="2"/>
    <x v="175"/>
    <x v="12"/>
    <s v="DELEGATE AGENCY"/>
    <s v="UNKNOWN"/>
    <x v="0"/>
  </r>
  <r>
    <n v="174322"/>
    <n v="678113"/>
    <x v="2"/>
    <x v="175"/>
    <x v="12"/>
    <s v="DELEGATE AGENCY"/>
    <s v="UNKNOWN"/>
    <x v="1"/>
  </r>
  <r>
    <n v="174325"/>
    <n v="406000"/>
    <x v="2"/>
    <x v="76"/>
    <x v="12"/>
    <s v="DELEGATE AGENCY"/>
    <s v="UNKNOWN"/>
    <x v="0"/>
  </r>
  <r>
    <n v="174493"/>
    <n v="1235000"/>
    <x v="2"/>
    <x v="285"/>
    <x v="12"/>
    <s v="DELEGATE AGENCY"/>
    <s v="RFP"/>
    <x v="0"/>
  </r>
  <r>
    <n v="174497"/>
    <n v="1304875"/>
    <x v="0"/>
    <x v="295"/>
    <x v="12"/>
    <s v="DELEGATE AGENCY"/>
    <s v="UNKNOWN"/>
    <x v="0"/>
  </r>
  <r>
    <n v="174499"/>
    <n v="1674728"/>
    <x v="0"/>
    <x v="296"/>
    <x v="12"/>
    <s v="DELEGATE AGENCY"/>
    <s v="UNKNOWN"/>
    <x v="0"/>
  </r>
  <r>
    <n v="174500"/>
    <n v="2504992"/>
    <x v="0"/>
    <x v="296"/>
    <x v="12"/>
    <s v="DELEGATE AGENCY"/>
    <s v="UNKNOWN"/>
    <x v="0"/>
  </r>
  <r>
    <n v="174502"/>
    <n v="1625000"/>
    <x v="0"/>
    <x v="296"/>
    <x v="12"/>
    <s v="DELEGATE AGENCY"/>
    <s v="UNKNOWN"/>
    <x v="0"/>
  </r>
  <r>
    <n v="174503"/>
    <n v="812497"/>
    <x v="0"/>
    <x v="209"/>
    <x v="12"/>
    <s v="DELEGATE AGENCY"/>
    <s v="UNKNOWN"/>
    <x v="0"/>
  </r>
  <r>
    <n v="174504"/>
    <n v="225472"/>
    <x v="2"/>
    <x v="296"/>
    <x v="12"/>
    <s v="DELEGATE AGENCY"/>
    <s v="UNKNOWN"/>
    <x v="0"/>
  </r>
  <r>
    <n v="174505"/>
    <n v="650000"/>
    <x v="1"/>
    <x v="84"/>
    <x v="12"/>
    <s v="DELEGATE AGENCY"/>
    <s v="UNKNOWN"/>
    <x v="0"/>
  </r>
  <r>
    <n v="174507"/>
    <n v="1016825"/>
    <x v="2"/>
    <x v="84"/>
    <x v="12"/>
    <s v="DELEGATE AGENCY"/>
    <s v="UNKNOWN"/>
    <x v="0"/>
  </r>
  <r>
    <n v="174517"/>
    <n v="3600000"/>
    <x v="0"/>
    <x v="297"/>
    <x v="12"/>
    <s v="DELEGATE AGENCY"/>
    <s v="UNKNOWN"/>
    <x v="0"/>
  </r>
  <r>
    <n v="174518"/>
    <n v="1168035"/>
    <x v="0"/>
    <x v="86"/>
    <x v="12"/>
    <s v="DELEGATE AGENCY"/>
    <s v="UNKNOWN"/>
    <x v="0"/>
  </r>
  <r>
    <n v="174519"/>
    <n v="1922484"/>
    <x v="0"/>
    <x v="86"/>
    <x v="12"/>
    <s v="DELEGATE AGENCY"/>
    <s v="UNKNOWN"/>
    <x v="0"/>
  </r>
  <r>
    <n v="174520"/>
    <n v="373334"/>
    <x v="0"/>
    <x v="298"/>
    <x v="12"/>
    <s v="DELEGATE AGENCY"/>
    <s v="UNKNOWN"/>
    <x v="0"/>
  </r>
  <r>
    <n v="174521"/>
    <n v="302940"/>
    <x v="2"/>
    <x v="114"/>
    <x v="12"/>
    <s v="DELEGATE AGENCY"/>
    <s v="UNKNOWN"/>
    <x v="0"/>
  </r>
  <r>
    <n v="174522"/>
    <n v="1286669"/>
    <x v="2"/>
    <x v="298"/>
    <x v="12"/>
    <s v="DELEGATE AGENCY"/>
    <s v="UNKNOWN"/>
    <x v="0"/>
  </r>
  <r>
    <n v="174523"/>
    <n v="267280"/>
    <x v="0"/>
    <x v="191"/>
    <x v="12"/>
    <s v="DELEGATE AGENCY"/>
    <s v="UNKNOWN"/>
    <x v="0"/>
  </r>
  <r>
    <n v="174524"/>
    <n v="917400"/>
    <x v="2"/>
    <x v="299"/>
    <x v="12"/>
    <s v="DELEGATE AGENCY"/>
    <s v="UNKNOWN"/>
    <x v="0"/>
  </r>
  <r>
    <n v="174525"/>
    <n v="240000"/>
    <x v="2"/>
    <x v="300"/>
    <x v="12"/>
    <s v="DELEGATE AGENCY"/>
    <s v="UNKNOWN"/>
    <x v="0"/>
  </r>
  <r>
    <n v="174527"/>
    <n v="1191120"/>
    <x v="1"/>
    <x v="301"/>
    <x v="12"/>
    <s v="DELEGATE AGENCY"/>
    <s v="UNKNOWN"/>
    <x v="0"/>
  </r>
  <r>
    <n v="174548"/>
    <n v="2100000"/>
    <x v="0"/>
    <x v="302"/>
    <x v="12"/>
    <s v="DELEGATE AGENCY"/>
    <s v="UNKNOWN"/>
    <x v="0"/>
  </r>
  <r>
    <n v="174551"/>
    <n v="34000000"/>
    <x v="0"/>
    <x v="297"/>
    <x v="12"/>
    <s v="DELEGATE AGENCY"/>
    <s v="RFP"/>
    <x v="0"/>
  </r>
  <r>
    <n v="174579"/>
    <n v="512119"/>
    <x v="0"/>
    <x v="301"/>
    <x v="12"/>
    <s v="DELEGATE AGENCY"/>
    <s v="UNKNOWN"/>
    <x v="0"/>
  </r>
  <r>
    <n v="174580"/>
    <n v="3655292"/>
    <x v="2"/>
    <x v="301"/>
    <x v="12"/>
    <s v="DELEGATE AGENCY"/>
    <s v="UNKNOWN"/>
    <x v="0"/>
  </r>
  <r>
    <n v="174581"/>
    <n v="2198370"/>
    <x v="0"/>
    <x v="301"/>
    <x v="12"/>
    <s v="DELEGATE AGENCY"/>
    <s v="UNKNOWN"/>
    <x v="0"/>
  </r>
  <r>
    <n v="174583"/>
    <n v="629154"/>
    <x v="0"/>
    <x v="303"/>
    <x v="12"/>
    <s v="DELEGATE AGENCY"/>
    <s v="UNKNOWN"/>
    <x v="0"/>
  </r>
  <r>
    <n v="174584"/>
    <n v="356346"/>
    <x v="2"/>
    <x v="303"/>
    <x v="12"/>
    <s v="DELEGATE AGENCY"/>
    <s v="UNKNOWN"/>
    <x v="0"/>
  </r>
  <r>
    <n v="174585"/>
    <n v="261918"/>
    <x v="2"/>
    <x v="287"/>
    <x v="12"/>
    <s v="DELEGATE AGENCY"/>
    <s v="UNKNOWN"/>
    <x v="0"/>
  </r>
  <r>
    <n v="174586"/>
    <n v="383200"/>
    <x v="2"/>
    <x v="304"/>
    <x v="12"/>
    <s v="DELEGATE AGENCY"/>
    <s v="UNKNOWN"/>
    <x v="0"/>
  </r>
  <r>
    <n v="174587"/>
    <n v="503750"/>
    <x v="2"/>
    <x v="304"/>
    <x v="12"/>
    <s v="DELEGATE AGENCY"/>
    <s v="UNKNOWN"/>
    <x v="1"/>
  </r>
  <r>
    <n v="174588"/>
    <n v="1402250"/>
    <x v="2"/>
    <x v="305"/>
    <x v="12"/>
    <s v="DELEGATE AGENCY"/>
    <s v="UNKNOWN"/>
    <x v="0"/>
  </r>
  <r>
    <n v="174589"/>
    <n v="2978632"/>
    <x v="0"/>
    <x v="306"/>
    <x v="12"/>
    <s v="DELEGATE AGENCY"/>
    <s v="UNKNOWN"/>
    <x v="0"/>
  </r>
  <r>
    <n v="174590"/>
    <n v="6389031"/>
    <x v="0"/>
    <x v="306"/>
    <x v="12"/>
    <s v="DELEGATE AGENCY"/>
    <s v="UNKNOWN"/>
    <x v="0"/>
  </r>
  <r>
    <n v="174600"/>
    <n v="395360"/>
    <x v="0"/>
    <x v="307"/>
    <x v="12"/>
    <s v="DELEGATE AGENCY"/>
    <s v="UNKNOWN"/>
    <x v="0"/>
  </r>
  <r>
    <n v="174601"/>
    <n v="644150"/>
    <x v="2"/>
    <x v="307"/>
    <x v="12"/>
    <s v="DELEGATE AGENCY"/>
    <s v="UNKNOWN"/>
    <x v="0"/>
  </r>
  <r>
    <n v="174602"/>
    <n v="3202875"/>
    <x v="2"/>
    <x v="290"/>
    <x v="12"/>
    <s v="DELEGATE AGENCY"/>
    <s v="UNKNOWN"/>
    <x v="0"/>
  </r>
  <r>
    <n v="174603"/>
    <n v="2915469"/>
    <x v="0"/>
    <x v="308"/>
    <x v="12"/>
    <s v="DELEGATE AGENCY"/>
    <s v="UNKNOWN"/>
    <x v="0"/>
  </r>
  <r>
    <n v="174604"/>
    <n v="1035430"/>
    <x v="0"/>
    <x v="309"/>
    <x v="12"/>
    <s v="DELEGATE AGENCY"/>
    <s v="UNKNOWN"/>
    <x v="0"/>
  </r>
  <r>
    <n v="174605"/>
    <n v="962819"/>
    <x v="0"/>
    <x v="309"/>
    <x v="12"/>
    <s v="DELEGATE AGENCY"/>
    <s v="UNKNOWN"/>
    <x v="0"/>
  </r>
  <r>
    <n v="174606"/>
    <n v="835465"/>
    <x v="2"/>
    <x v="309"/>
    <x v="12"/>
    <s v="DELEGATE AGENCY"/>
    <s v="UNKNOWN"/>
    <x v="0"/>
  </r>
  <r>
    <n v="174607"/>
    <n v="551500"/>
    <x v="2"/>
    <x v="310"/>
    <x v="12"/>
    <s v="DELEGATE AGENCY"/>
    <s v="UNKNOWN"/>
    <x v="0"/>
  </r>
  <r>
    <n v="174608"/>
    <n v="664424"/>
    <x v="2"/>
    <x v="292"/>
    <x v="12"/>
    <s v="DELEGATE AGENCY"/>
    <s v="UNKNOWN"/>
    <x v="0"/>
  </r>
  <r>
    <n v="174609"/>
    <n v="1692564"/>
    <x v="2"/>
    <x v="292"/>
    <x v="12"/>
    <s v="DELEGATE AGENCY"/>
    <s v="UNKNOWN"/>
    <x v="0"/>
  </r>
  <r>
    <n v="174610"/>
    <n v="2046310"/>
    <x v="0"/>
    <x v="293"/>
    <x v="12"/>
    <s v="DELEGATE AGENCY"/>
    <s v="UNKNOWN"/>
    <x v="0"/>
  </r>
  <r>
    <n v="174611"/>
    <n v="2978324"/>
    <x v="0"/>
    <x v="293"/>
    <x v="12"/>
    <s v="DELEGATE AGENCY"/>
    <s v="UNKNOWN"/>
    <x v="0"/>
  </r>
  <r>
    <n v="174612"/>
    <n v="2900465"/>
    <x v="0"/>
    <x v="293"/>
    <x v="12"/>
    <s v="DELEGATE AGENCY"/>
    <s v="UNKNOWN"/>
    <x v="0"/>
  </r>
  <r>
    <n v="174613"/>
    <n v="2452784"/>
    <x v="0"/>
    <x v="284"/>
    <x v="12"/>
    <s v="DELEGATE AGENCY"/>
    <s v="UNKNOWN"/>
    <x v="1"/>
  </r>
  <r>
    <n v="174615"/>
    <n v="4477697"/>
    <x v="0"/>
    <x v="284"/>
    <x v="12"/>
    <s v="DELEGATE AGENCY"/>
    <s v="UNKNOWN"/>
    <x v="0"/>
  </r>
  <r>
    <n v="174616"/>
    <n v="1693526"/>
    <x v="0"/>
    <x v="284"/>
    <x v="12"/>
    <s v="DELEGATE AGENCY"/>
    <s v="UNKNOWN"/>
    <x v="0"/>
  </r>
  <r>
    <n v="174617"/>
    <n v="2725541"/>
    <x v="0"/>
    <x v="284"/>
    <x v="12"/>
    <s v="DELEGATE AGENCY"/>
    <s v="UNKNOWN"/>
    <x v="0"/>
  </r>
  <r>
    <n v="174618"/>
    <n v="664749"/>
    <x v="0"/>
    <x v="311"/>
    <x v="12"/>
    <s v="DELEGATE AGENCY"/>
    <s v="UNKNOWN"/>
    <x v="0"/>
  </r>
  <r>
    <n v="174619"/>
    <n v="953314"/>
    <x v="2"/>
    <x v="311"/>
    <x v="12"/>
    <s v="DELEGATE AGENCY"/>
    <s v="UNKNOWN"/>
    <x v="0"/>
  </r>
  <r>
    <n v="174620"/>
    <n v="914986"/>
    <x v="2"/>
    <x v="216"/>
    <x v="12"/>
    <s v="DELEGATE AGENCY"/>
    <s v="UNKNOWN"/>
    <x v="0"/>
  </r>
  <r>
    <n v="174621"/>
    <n v="655965"/>
    <x v="2"/>
    <x v="216"/>
    <x v="12"/>
    <s v="DELEGATE AGENCY"/>
    <s v="UNKNOWN"/>
    <x v="0"/>
  </r>
  <r>
    <n v="174622"/>
    <n v="506498"/>
    <x v="2"/>
    <x v="312"/>
    <x v="12"/>
    <s v="DELEGATE AGENCY"/>
    <s v="UNKNOWN"/>
    <x v="0"/>
  </r>
  <r>
    <n v="174624"/>
    <n v="1041560"/>
    <x v="2"/>
    <x v="312"/>
    <x v="12"/>
    <s v="DELEGATE AGENCY"/>
    <s v="UNKNOWN"/>
    <x v="0"/>
  </r>
  <r>
    <n v="174625"/>
    <n v="140435"/>
    <x v="0"/>
    <x v="294"/>
    <x v="12"/>
    <s v="DELEGATE AGENCY"/>
    <s v="UNKNOWN"/>
    <x v="0"/>
  </r>
  <r>
    <n v="174626"/>
    <n v="228833"/>
    <x v="1"/>
    <x v="294"/>
    <x v="12"/>
    <s v="DELEGATE AGENCY"/>
    <s v="UNKNOWN"/>
    <x v="0"/>
  </r>
  <r>
    <n v="174627"/>
    <n v="783809"/>
    <x v="1"/>
    <x v="211"/>
    <x v="12"/>
    <s v="DELEGATE AGENCY"/>
    <s v="UNKNOWN"/>
    <x v="0"/>
  </r>
  <r>
    <n v="174632"/>
    <n v="188916"/>
    <x v="2"/>
    <x v="211"/>
    <x v="12"/>
    <s v="DELEGATE AGENCY"/>
    <s v="UNKNOWN"/>
    <x v="0"/>
  </r>
  <r>
    <n v="174636"/>
    <n v="379600"/>
    <x v="1"/>
    <x v="211"/>
    <x v="12"/>
    <s v="DELEGATE AGENCY"/>
    <s v="UNKNOWN"/>
    <x v="0"/>
  </r>
  <r>
    <n v="174644"/>
    <n v="5816450"/>
    <x v="2"/>
    <x v="76"/>
    <x v="12"/>
    <s v="DELEGATE AGENCY"/>
    <s v="UNKNOWN"/>
    <x v="0"/>
  </r>
  <r>
    <n v="174645"/>
    <n v="3739725"/>
    <x v="0"/>
    <x v="76"/>
    <x v="12"/>
    <s v="DELEGATE AGENCY"/>
    <s v="UNKNOWN"/>
    <x v="0"/>
  </r>
  <r>
    <n v="174646"/>
    <n v="1708200"/>
    <x v="0"/>
    <x v="313"/>
    <x v="12"/>
    <s v="DELEGATE AGENCY"/>
    <s v="UNKNOWN"/>
    <x v="0"/>
  </r>
  <r>
    <n v="174651"/>
    <n v="192517"/>
    <x v="0"/>
    <x v="314"/>
    <x v="12"/>
    <s v="DELEGATE AGENCY"/>
    <s v="UNKNOWN"/>
    <x v="0"/>
  </r>
  <r>
    <n v="174656"/>
    <n v="241267"/>
    <x v="1"/>
    <x v="315"/>
    <x v="12"/>
    <s v="DELEGATE AGENCY"/>
    <s v="UNKNOWN"/>
    <x v="0"/>
  </r>
  <r>
    <n v="174657"/>
    <n v="350955"/>
    <x v="1"/>
    <x v="316"/>
    <x v="12"/>
    <s v="DELEGATE AGENCY"/>
    <s v="UNKNOWN"/>
    <x v="0"/>
  </r>
  <r>
    <n v="174658"/>
    <n v="243750"/>
    <x v="2"/>
    <x v="228"/>
    <x v="12"/>
    <s v="DELEGATE AGENCY"/>
    <s v="UNKNOWN"/>
    <x v="1"/>
  </r>
  <r>
    <n v="174877"/>
    <n v="1158158"/>
    <x v="1"/>
    <x v="285"/>
    <x v="12"/>
    <s v="DELEGATE AGENCY"/>
    <s v="UNKNOWN"/>
    <x v="0"/>
  </r>
  <r>
    <n v="174878"/>
    <n v="260000"/>
    <x v="0"/>
    <x v="298"/>
    <x v="12"/>
    <s v="DELEGATE AGENCY"/>
    <s v="UNKNOWN"/>
    <x v="0"/>
  </r>
  <r>
    <n v="174880"/>
    <n v="425000"/>
    <x v="2"/>
    <x v="303"/>
    <x v="12"/>
    <s v="DELEGATE AGENCY"/>
    <s v="UNKNOWN"/>
    <x v="0"/>
  </r>
  <r>
    <n v="174881"/>
    <n v="705117"/>
    <x v="2"/>
    <x v="305"/>
    <x v="12"/>
    <s v="DELEGATE AGENCY"/>
    <s v="UNKNOWN"/>
    <x v="0"/>
  </r>
  <r>
    <n v="174882"/>
    <n v="1785349"/>
    <x v="2"/>
    <x v="305"/>
    <x v="12"/>
    <s v="DELEGATE AGENCY"/>
    <s v="UNKNOWN"/>
    <x v="0"/>
  </r>
  <r>
    <n v="174883"/>
    <n v="353925"/>
    <x v="0"/>
    <x v="306"/>
    <x v="12"/>
    <s v="DELEGATE AGENCY"/>
    <s v="UNKNOWN"/>
    <x v="0"/>
  </r>
  <r>
    <n v="174884"/>
    <n v="151665"/>
    <x v="2"/>
    <x v="40"/>
    <x v="12"/>
    <s v="DELEGATE AGENCY"/>
    <s v="UNKNOWN"/>
    <x v="0"/>
  </r>
  <r>
    <n v="174885"/>
    <n v="823336"/>
    <x v="1"/>
    <x v="40"/>
    <x v="12"/>
    <s v="DELEGATE AGENCY"/>
    <s v="UNKNOWN"/>
    <x v="0"/>
  </r>
  <r>
    <n v="174886"/>
    <n v="359165"/>
    <x v="2"/>
    <x v="317"/>
    <x v="12"/>
    <s v="DELEGATE AGENCY"/>
    <s v="UNKNOWN"/>
    <x v="0"/>
  </r>
  <r>
    <n v="174887"/>
    <n v="823336"/>
    <x v="2"/>
    <x v="317"/>
    <x v="12"/>
    <s v="DELEGATE AGENCY"/>
    <s v="UNKNOWN"/>
    <x v="0"/>
  </r>
  <r>
    <n v="174888"/>
    <n v="214988"/>
    <x v="2"/>
    <x v="289"/>
    <x v="12"/>
    <s v="DELEGATE AGENCY"/>
    <s v="UNKNOWN"/>
    <x v="0"/>
  </r>
  <r>
    <n v="174889"/>
    <n v="65722"/>
    <x v="1"/>
    <x v="290"/>
    <x v="12"/>
    <s v="DELEGATE AGENCY"/>
    <s v="UNKNOWN"/>
    <x v="0"/>
  </r>
  <r>
    <n v="174890"/>
    <n v="1629501"/>
    <x v="1"/>
    <x v="290"/>
    <x v="12"/>
    <s v="DELEGATE AGENCY"/>
    <s v="UNKNOWN"/>
    <x v="0"/>
  </r>
  <r>
    <n v="174891"/>
    <n v="410394"/>
    <x v="0"/>
    <x v="318"/>
    <x v="12"/>
    <s v="DELEGATE AGENCY"/>
    <s v="UNKNOWN"/>
    <x v="0"/>
  </r>
  <r>
    <n v="174892"/>
    <n v="325000"/>
    <x v="2"/>
    <x v="308"/>
    <x v="12"/>
    <s v="DELEGATE AGENCY"/>
    <s v="UNKNOWN"/>
    <x v="1"/>
  </r>
  <r>
    <n v="174893"/>
    <n v="1055236"/>
    <x v="2"/>
    <x v="308"/>
    <x v="12"/>
    <s v="DELEGATE AGENCY"/>
    <s v="UNKNOWN"/>
    <x v="0"/>
  </r>
  <r>
    <n v="174894"/>
    <n v="393250"/>
    <x v="0"/>
    <x v="319"/>
    <x v="12"/>
    <s v="DELEGATE AGENCY"/>
    <s v="UNKNOWN"/>
    <x v="0"/>
  </r>
  <r>
    <n v="174895"/>
    <n v="3691718"/>
    <x v="2"/>
    <x v="24"/>
    <x v="12"/>
    <s v="DELEGATE AGENCY"/>
    <s v="UNKNOWN"/>
    <x v="0"/>
  </r>
  <r>
    <n v="174896"/>
    <n v="1668089"/>
    <x v="0"/>
    <x v="24"/>
    <x v="12"/>
    <s v="DELEGATE AGENCY"/>
    <s v="UNKNOWN"/>
    <x v="1"/>
  </r>
  <r>
    <n v="174897"/>
    <n v="853125"/>
    <x v="0"/>
    <x v="292"/>
    <x v="12"/>
    <s v="DELEGATE AGENCY"/>
    <s v="UNKNOWN"/>
    <x v="0"/>
  </r>
  <r>
    <n v="174898"/>
    <n v="785311"/>
    <x v="2"/>
    <x v="320"/>
    <x v="12"/>
    <s v="DELEGATE AGENCY"/>
    <s v="UNKNOWN"/>
    <x v="0"/>
  </r>
  <r>
    <n v="174900"/>
    <n v="420063"/>
    <x v="2"/>
    <x v="311"/>
    <x v="12"/>
    <s v="DELEGATE AGENCY"/>
    <s v="UNKNOWN"/>
    <x v="0"/>
  </r>
  <r>
    <n v="174903"/>
    <n v="458513"/>
    <x v="2"/>
    <x v="211"/>
    <x v="12"/>
    <s v="DELEGATE AGENCY"/>
    <s v="UNKNOWN"/>
    <x v="0"/>
  </r>
  <r>
    <n v="174904"/>
    <n v="443625"/>
    <x v="2"/>
    <x v="76"/>
    <x v="12"/>
    <s v="DELEGATE AGENCY"/>
    <s v="UNKNOWN"/>
    <x v="1"/>
  </r>
  <r>
    <n v="174905"/>
    <n v="433483"/>
    <x v="2"/>
    <x v="175"/>
    <x v="12"/>
    <s v="DELEGATE AGENCY"/>
    <s v="UNKNOWN"/>
    <x v="0"/>
  </r>
  <r>
    <n v="174906"/>
    <n v="1170000"/>
    <x v="2"/>
    <x v="175"/>
    <x v="12"/>
    <s v="DELEGATE AGENCY"/>
    <s v="UNKNOWN"/>
    <x v="0"/>
  </r>
  <r>
    <n v="175085"/>
    <n v="1224388"/>
    <x v="0"/>
    <x v="321"/>
    <x v="12"/>
    <s v="DELEGATE AGENCY"/>
    <s v="UNKNOWN"/>
    <x v="0"/>
  </r>
  <r>
    <n v="175154"/>
    <n v="1207551"/>
    <x v="0"/>
    <x v="145"/>
    <x v="12"/>
    <s v="COMPTROLLER-OTHER"/>
    <s v="UNKNOWN"/>
    <x v="0"/>
  </r>
  <r>
    <n v="175192"/>
    <n v="9027200"/>
    <x v="0"/>
    <x v="138"/>
    <x v="6"/>
    <s v="JOC"/>
    <s v="BID"/>
    <x v="2"/>
  </r>
  <r>
    <n v="175234"/>
    <n v="325000"/>
    <x v="0"/>
    <x v="90"/>
    <x v="12"/>
    <s v="DELEGATE AGENCY"/>
    <s v="UNKNOWN"/>
    <x v="0"/>
  </r>
  <r>
    <n v="175235"/>
    <n v="456663"/>
    <x v="2"/>
    <x v="317"/>
    <x v="12"/>
    <s v="DELEGATE AGENCY"/>
    <s v="UNKNOWN"/>
    <x v="0"/>
  </r>
  <r>
    <n v="175237"/>
    <n v="487500"/>
    <x v="2"/>
    <x v="290"/>
    <x v="12"/>
    <s v="DELEGATE AGENCY"/>
    <s v="UNKNOWN"/>
    <x v="0"/>
  </r>
  <r>
    <n v="175239"/>
    <n v="195000"/>
    <x v="2"/>
    <x v="313"/>
    <x v="12"/>
    <s v="DELEGATE AGENCY"/>
    <s v="UNKNOWN"/>
    <x v="0"/>
  </r>
  <r>
    <n v="175245"/>
    <n v="5185958"/>
    <x v="1"/>
    <x v="25"/>
    <x v="8"/>
    <s v="COMPTROLLER-OTHER"/>
    <s v="UNKNOWN"/>
    <x v="0"/>
  </r>
  <r>
    <n v="175258"/>
    <n v="18900"/>
    <x v="0"/>
    <x v="322"/>
    <x v="19"/>
    <s v="DELEGATE AGENCY"/>
    <s v="UNKNOWN"/>
    <x v="0"/>
  </r>
  <r>
    <n v="175508"/>
    <n v="119000"/>
    <x v="4"/>
    <x v="323"/>
    <x v="12"/>
    <s v="DELEGATE AGENCY"/>
    <s v="UNKNOWN"/>
    <x v="2"/>
  </r>
  <r>
    <n v="175646"/>
    <n v="114118"/>
    <x v="1"/>
    <x v="304"/>
    <x v="12"/>
    <s v="DELEGATE AGENCY"/>
    <s v="UNKNOWN"/>
    <x v="0"/>
  </r>
  <r>
    <n v="175650"/>
    <n v="312030"/>
    <x v="1"/>
    <x v="114"/>
    <x v="12"/>
    <s v="DELEGATE AGENCY"/>
    <s v="UNKNOWN"/>
    <x v="0"/>
  </r>
  <r>
    <n v="175651"/>
    <n v="120000"/>
    <x v="2"/>
    <x v="324"/>
    <x v="12"/>
    <s v="DELEGATE AGENCY"/>
    <s v="UNKNOWN"/>
    <x v="0"/>
  </r>
  <r>
    <n v="175656"/>
    <n v="64282"/>
    <x v="1"/>
    <x v="299"/>
    <x v="12"/>
    <s v="DELEGATE AGENCY"/>
    <s v="UNKNOWN"/>
    <x v="0"/>
  </r>
  <r>
    <n v="175658"/>
    <n v="131790"/>
    <x v="1"/>
    <x v="304"/>
    <x v="12"/>
    <s v="DELEGATE AGENCY"/>
    <s v="UNKNOWN"/>
    <x v="0"/>
  </r>
  <r>
    <n v="175884"/>
    <n v="1310000"/>
    <x v="1"/>
    <x v="259"/>
    <x v="26"/>
    <s v="DELEGATE AGENCY"/>
    <s v="RFP"/>
    <x v="0"/>
  </r>
  <r>
    <n v="175894"/>
    <n v="970000"/>
    <x v="0"/>
    <x v="325"/>
    <x v="26"/>
    <s v="DELEGATE AGENCY"/>
    <s v="RFP"/>
    <x v="0"/>
  </r>
  <r>
    <n v="175897"/>
    <n v="2547000"/>
    <x v="2"/>
    <x v="326"/>
    <x v="26"/>
    <s v="DELEGATE AGENCY"/>
    <s v="RFP"/>
    <x v="0"/>
  </r>
  <r>
    <n v="175927"/>
    <n v="12742.5"/>
    <x v="0"/>
    <x v="327"/>
    <x v="19"/>
    <s v="DELEGATE AGENCY"/>
    <s v="UNKNOWN"/>
    <x v="0"/>
  </r>
  <r>
    <n v="175946"/>
    <n v="125000"/>
    <x v="4"/>
    <x v="328"/>
    <x v="8"/>
    <s v="DELEGATE AGENCY"/>
    <s v="RFP"/>
    <x v="0"/>
  </r>
  <r>
    <n v="175947"/>
    <n v="125000"/>
    <x v="1"/>
    <x v="28"/>
    <x v="8"/>
    <s v="DELEGATE AGENCY"/>
    <s v="RFP"/>
    <x v="0"/>
  </r>
  <r>
    <n v="175954"/>
    <n v="125000"/>
    <x v="1"/>
    <x v="329"/>
    <x v="8"/>
    <s v="DELEGATE AGENCY"/>
    <s v="RFP"/>
    <x v="0"/>
  </r>
  <r>
    <n v="175957"/>
    <n v="125000"/>
    <x v="1"/>
    <x v="204"/>
    <x v="8"/>
    <s v="DELEGATE AGENCY"/>
    <s v="RFP"/>
    <x v="0"/>
  </r>
  <r>
    <n v="175958"/>
    <n v="125000"/>
    <x v="1"/>
    <x v="28"/>
    <x v="8"/>
    <s v="DELEGATE AGENCY"/>
    <s v="RFP"/>
    <x v="0"/>
  </r>
  <r>
    <n v="175959"/>
    <n v="125000"/>
    <x v="1"/>
    <x v="204"/>
    <x v="8"/>
    <s v="DELEGATE AGENCY"/>
    <s v="RFP"/>
    <x v="0"/>
  </r>
  <r>
    <n v="175967"/>
    <n v="1900000"/>
    <x v="1"/>
    <x v="229"/>
    <x v="8"/>
    <s v="DELEGATE AGENCY"/>
    <s v="RFP"/>
    <x v="0"/>
  </r>
  <r>
    <n v="175969"/>
    <n v="200000"/>
    <x v="0"/>
    <x v="330"/>
    <x v="8"/>
    <s v="DELEGATE AGENCY"/>
    <s v="RFP"/>
    <x v="1"/>
  </r>
  <r>
    <n v="175970"/>
    <n v="400000"/>
    <x v="1"/>
    <x v="227"/>
    <x v="8"/>
    <s v="DELEGATE AGENCY"/>
    <s v="RFP"/>
    <x v="0"/>
  </r>
  <r>
    <n v="175971"/>
    <n v="471000"/>
    <x v="2"/>
    <x v="302"/>
    <x v="8"/>
    <s v="DELEGATE AGENCY"/>
    <s v="RFP"/>
    <x v="0"/>
  </r>
  <r>
    <n v="176276"/>
    <n v="490000"/>
    <x v="2"/>
    <x v="331"/>
    <x v="9"/>
    <s v="COMPTROLLER-OTHER"/>
    <s v="UNKNOWN"/>
    <x v="1"/>
  </r>
  <r>
    <n v="176303"/>
    <n v="167500"/>
    <x v="2"/>
    <x v="332"/>
    <x v="12"/>
    <s v="DELEGATE AGENCY"/>
    <s v="UNKNOWN"/>
    <x v="0"/>
  </r>
  <r>
    <n v="176307"/>
    <n v="42000"/>
    <x v="1"/>
    <x v="333"/>
    <x v="12"/>
    <s v="DELEGATE AGENCY"/>
    <s v="UNKNOWN"/>
    <x v="0"/>
  </r>
  <r>
    <n v="176343"/>
    <n v="418750"/>
    <x v="4"/>
    <x v="334"/>
    <x v="12"/>
    <s v="DELEGATE AGENCY"/>
    <s v="UNKNOWN"/>
    <x v="0"/>
  </r>
  <r>
    <n v="176407"/>
    <n v="132000"/>
    <x v="2"/>
    <x v="335"/>
    <x v="12"/>
    <s v="DELEGATE AGENCY"/>
    <s v="UNKNOWN"/>
    <x v="0"/>
  </r>
  <r>
    <n v="176408"/>
    <n v="131760"/>
    <x v="1"/>
    <x v="114"/>
    <x v="12"/>
    <s v="DELEGATE AGENCY"/>
    <s v="UNKNOWN"/>
    <x v="0"/>
  </r>
  <r>
    <n v="176409"/>
    <n v="97587"/>
    <x v="1"/>
    <x v="336"/>
    <x v="12"/>
    <s v="DELEGATE AGENCY"/>
    <s v="UNKNOWN"/>
    <x v="0"/>
  </r>
  <r>
    <n v="176551"/>
    <n v="6000000"/>
    <x v="1"/>
    <x v="145"/>
    <x v="12"/>
    <s v="COMPTROLLER-OTHER"/>
    <s v="UNKNOWN"/>
    <x v="0"/>
  </r>
  <r>
    <n v="176553"/>
    <n v="600000"/>
    <x v="0"/>
    <x v="326"/>
    <x v="26"/>
    <s v="DELEGATE AGENCY"/>
    <s v="RFP"/>
    <x v="0"/>
  </r>
  <r>
    <n v="176554"/>
    <n v="600000"/>
    <x v="2"/>
    <x v="337"/>
    <x v="26"/>
    <s v="DELEGATE AGENCY"/>
    <s v="RFP"/>
    <x v="0"/>
  </r>
  <r>
    <n v="176556"/>
    <n v="39487.5"/>
    <x v="2"/>
    <x v="338"/>
    <x v="26"/>
    <s v="DELEGATE AGENCY"/>
    <s v="RFP"/>
    <x v="0"/>
  </r>
  <r>
    <n v="17676"/>
    <n v="199507"/>
    <x v="4"/>
    <x v="339"/>
    <x v="2"/>
    <s v="COMPTROLLER-OTHER"/>
    <s v="UNKNOWN"/>
    <x v="2"/>
  </r>
  <r>
    <n v="176870"/>
    <n v="250000"/>
    <x v="1"/>
    <x v="340"/>
    <x v="12"/>
    <s v="DELEGATE AGENCY"/>
    <s v="UNKNOWN"/>
    <x v="0"/>
  </r>
  <r>
    <n v="176871"/>
    <n v="250000"/>
    <x v="2"/>
    <x v="341"/>
    <x v="12"/>
    <s v="DELEGATE AGENCY"/>
    <s v="UNKNOWN"/>
    <x v="0"/>
  </r>
  <r>
    <n v="176872"/>
    <n v="239930"/>
    <x v="2"/>
    <x v="342"/>
    <x v="12"/>
    <s v="DELEGATE AGENCY"/>
    <s v="UNKNOWN"/>
    <x v="0"/>
  </r>
  <r>
    <n v="176873"/>
    <n v="240000"/>
    <x v="1"/>
    <x v="59"/>
    <x v="12"/>
    <s v="DELEGATE AGENCY"/>
    <s v="UNKNOWN"/>
    <x v="0"/>
  </r>
  <r>
    <n v="177105"/>
    <n v="2012000"/>
    <x v="1"/>
    <x v="343"/>
    <x v="12"/>
    <s v="DELEGATE AGENCY"/>
    <s v="UNKNOWN"/>
    <x v="0"/>
  </r>
  <r>
    <n v="177120"/>
    <n v="4479000"/>
    <x v="0"/>
    <x v="344"/>
    <x v="3"/>
    <s v="VEHICLES/HEAVY EQUIPMENT (CAPITAL)"/>
    <s v="BID"/>
    <x v="1"/>
  </r>
  <r>
    <n v="177221"/>
    <n v="140000"/>
    <x v="0"/>
    <x v="345"/>
    <x v="12"/>
    <s v="DELEGATE AGENCY"/>
    <s v="UNKNOWN"/>
    <x v="0"/>
  </r>
  <r>
    <n v="177222"/>
    <n v="360000"/>
    <x v="1"/>
    <x v="346"/>
    <x v="12"/>
    <s v="DELEGATE AGENCY"/>
    <s v="UNKNOWN"/>
    <x v="0"/>
  </r>
  <r>
    <n v="177224"/>
    <n v="140000"/>
    <x v="2"/>
    <x v="347"/>
    <x v="12"/>
    <s v="DELEGATE AGENCY"/>
    <s v="UNKNOWN"/>
    <x v="0"/>
  </r>
  <r>
    <n v="177225"/>
    <n v="172800"/>
    <x v="1"/>
    <x v="348"/>
    <x v="12"/>
    <s v="DELEGATE AGENCY"/>
    <s v="UNKNOWN"/>
    <x v="0"/>
  </r>
  <r>
    <n v="177226"/>
    <n v="140000"/>
    <x v="1"/>
    <x v="349"/>
    <x v="12"/>
    <s v="DELEGATE AGENCY"/>
    <s v="UNKNOWN"/>
    <x v="0"/>
  </r>
  <r>
    <n v="177227"/>
    <n v="140000"/>
    <x v="1"/>
    <x v="350"/>
    <x v="12"/>
    <s v="DELEGATE AGENCY"/>
    <s v="UNKNOWN"/>
    <x v="0"/>
  </r>
  <r>
    <n v="177228"/>
    <n v="100000"/>
    <x v="1"/>
    <x v="24"/>
    <x v="12"/>
    <s v="DELEGATE AGENCY"/>
    <s v="UNKNOWN"/>
    <x v="0"/>
  </r>
  <r>
    <n v="177229"/>
    <n v="150000"/>
    <x v="1"/>
    <x v="213"/>
    <x v="12"/>
    <s v="DELEGATE AGENCY"/>
    <s v="UNKNOWN"/>
    <x v="0"/>
  </r>
  <r>
    <n v="177230"/>
    <n v="140000"/>
    <x v="1"/>
    <x v="314"/>
    <x v="12"/>
    <s v="DELEGATE AGENCY"/>
    <s v="UNKNOWN"/>
    <x v="0"/>
  </r>
  <r>
    <n v="177231"/>
    <n v="195750"/>
    <x v="1"/>
    <x v="351"/>
    <x v="12"/>
    <s v="DELEGATE AGENCY"/>
    <s v="UNKNOWN"/>
    <x v="0"/>
  </r>
  <r>
    <n v="177232"/>
    <n v="143952"/>
    <x v="1"/>
    <x v="341"/>
    <x v="12"/>
    <s v="DELEGATE AGENCY"/>
    <s v="UNKNOWN"/>
    <x v="0"/>
  </r>
  <r>
    <n v="177233"/>
    <n v="140000"/>
    <x v="1"/>
    <x v="352"/>
    <x v="12"/>
    <s v="DELEGATE AGENCY"/>
    <s v="UNKNOWN"/>
    <x v="0"/>
  </r>
  <r>
    <n v="177234"/>
    <n v="140000"/>
    <x v="1"/>
    <x v="91"/>
    <x v="12"/>
    <s v="DELEGATE AGENCY"/>
    <s v="UNKNOWN"/>
    <x v="0"/>
  </r>
  <r>
    <n v="177235"/>
    <n v="140000"/>
    <x v="1"/>
    <x v="228"/>
    <x v="12"/>
    <s v="DELEGATE AGENCY"/>
    <s v="UNKNOWN"/>
    <x v="0"/>
  </r>
  <r>
    <n v="177236"/>
    <n v="309200"/>
    <x v="1"/>
    <x v="201"/>
    <x v="12"/>
    <s v="DELEGATE AGENCY"/>
    <s v="UNKNOWN"/>
    <x v="0"/>
  </r>
  <r>
    <n v="177237"/>
    <n v="140000"/>
    <x v="2"/>
    <x v="353"/>
    <x v="12"/>
    <s v="DELEGATE AGENCY"/>
    <s v="UNKNOWN"/>
    <x v="0"/>
  </r>
  <r>
    <n v="177310"/>
    <n v="25667838.300000001"/>
    <x v="1"/>
    <x v="0"/>
    <x v="0"/>
    <s v="CONSTRUCTION-LARGE $3MILLIONorABOVE"/>
    <s v="BID"/>
    <x v="0"/>
  </r>
  <r>
    <n v="177372"/>
    <n v="140000"/>
    <x v="0"/>
    <x v="354"/>
    <x v="12"/>
    <s v="DELEGATE AGENCY"/>
    <s v="UNKNOWN"/>
    <x v="0"/>
  </r>
  <r>
    <n v="177373"/>
    <n v="105600"/>
    <x v="1"/>
    <x v="24"/>
    <x v="12"/>
    <s v="DELEGATE AGENCY"/>
    <s v="UNKNOWN"/>
    <x v="0"/>
  </r>
  <r>
    <n v="177374"/>
    <n v="160000"/>
    <x v="1"/>
    <x v="349"/>
    <x v="12"/>
    <s v="DELEGATE AGENCY"/>
    <s v="UNKNOWN"/>
    <x v="0"/>
  </r>
  <r>
    <n v="177375"/>
    <n v="178000"/>
    <x v="1"/>
    <x v="351"/>
    <x v="12"/>
    <s v="DELEGATE AGENCY"/>
    <s v="UNKNOWN"/>
    <x v="0"/>
  </r>
  <r>
    <n v="177376"/>
    <n v="174000"/>
    <x v="1"/>
    <x v="346"/>
    <x v="12"/>
    <s v="DELEGATE AGENCY"/>
    <s v="UNKNOWN"/>
    <x v="0"/>
  </r>
  <r>
    <n v="177377"/>
    <n v="172800"/>
    <x v="1"/>
    <x v="213"/>
    <x v="12"/>
    <s v="DELEGATE AGENCY"/>
    <s v="UNKNOWN"/>
    <x v="0"/>
  </r>
  <r>
    <n v="177378"/>
    <n v="405600"/>
    <x v="1"/>
    <x v="355"/>
    <x v="12"/>
    <s v="DELEGATE AGENCY"/>
    <s v="UNKNOWN"/>
    <x v="0"/>
  </r>
  <r>
    <n v="177379"/>
    <n v="171560"/>
    <x v="2"/>
    <x v="356"/>
    <x v="12"/>
    <s v="DELEGATE AGENCY"/>
    <s v="UNKNOWN"/>
    <x v="0"/>
  </r>
  <r>
    <n v="177380"/>
    <n v="105600"/>
    <x v="1"/>
    <x v="357"/>
    <x v="12"/>
    <s v="DELEGATE AGENCY"/>
    <s v="UNKNOWN"/>
    <x v="0"/>
  </r>
  <r>
    <n v="177381"/>
    <n v="2105600"/>
    <x v="1"/>
    <x v="358"/>
    <x v="12"/>
    <s v="DELEGATE AGENCY"/>
    <s v="UNKNOWN"/>
    <x v="0"/>
  </r>
  <r>
    <n v="177382"/>
    <n v="172800"/>
    <x v="0"/>
    <x v="91"/>
    <x v="12"/>
    <s v="DELEGATE AGENCY"/>
    <s v="UNKNOWN"/>
    <x v="0"/>
  </r>
  <r>
    <n v="177383"/>
    <n v="110000"/>
    <x v="1"/>
    <x v="342"/>
    <x v="12"/>
    <s v="DELEGATE AGENCY"/>
    <s v="UNKNOWN"/>
    <x v="0"/>
  </r>
  <r>
    <n v="177384"/>
    <n v="200000"/>
    <x v="1"/>
    <x v="359"/>
    <x v="12"/>
    <s v="DELEGATE AGENCY"/>
    <s v="UNKNOWN"/>
    <x v="0"/>
  </r>
  <r>
    <n v="177385"/>
    <n v="140000"/>
    <x v="1"/>
    <x v="345"/>
    <x v="12"/>
    <s v="DELEGATE AGENCY"/>
    <s v="UNKNOWN"/>
    <x v="0"/>
  </r>
  <r>
    <n v="177387"/>
    <n v="180000"/>
    <x v="1"/>
    <x v="341"/>
    <x v="12"/>
    <s v="DELEGATE AGENCY"/>
    <s v="UNKNOWN"/>
    <x v="0"/>
  </r>
  <r>
    <n v="177388"/>
    <n v="130000"/>
    <x v="1"/>
    <x v="216"/>
    <x v="12"/>
    <s v="DELEGATE AGENCY"/>
    <s v="UNKNOWN"/>
    <x v="0"/>
  </r>
  <r>
    <n v="177389"/>
    <n v="105600"/>
    <x v="1"/>
    <x v="294"/>
    <x v="12"/>
    <s v="DELEGATE AGENCY"/>
    <s v="UNKNOWN"/>
    <x v="0"/>
  </r>
  <r>
    <n v="177390"/>
    <n v="105600"/>
    <x v="1"/>
    <x v="61"/>
    <x v="12"/>
    <s v="DELEGATE AGENCY"/>
    <s v="UNKNOWN"/>
    <x v="0"/>
  </r>
  <r>
    <n v="177391"/>
    <n v="105600"/>
    <x v="1"/>
    <x v="66"/>
    <x v="12"/>
    <s v="DELEGATE AGENCY"/>
    <s v="UNKNOWN"/>
    <x v="0"/>
  </r>
  <r>
    <n v="177392"/>
    <n v="469200"/>
    <x v="1"/>
    <x v="114"/>
    <x v="12"/>
    <s v="DELEGATE AGENCY"/>
    <s v="UNKNOWN"/>
    <x v="0"/>
  </r>
  <r>
    <n v="177393"/>
    <n v="116320"/>
    <x v="2"/>
    <x v="360"/>
    <x v="12"/>
    <s v="DELEGATE AGENCY"/>
    <s v="UNKNOWN"/>
    <x v="0"/>
  </r>
  <r>
    <n v="177394"/>
    <n v="150000"/>
    <x v="1"/>
    <x v="314"/>
    <x v="12"/>
    <s v="DELEGATE AGENCY"/>
    <s v="UNKNOWN"/>
    <x v="0"/>
  </r>
  <r>
    <n v="177396"/>
    <n v="167400"/>
    <x v="1"/>
    <x v="361"/>
    <x v="12"/>
    <s v="DELEGATE AGENCY"/>
    <s v="UNKNOWN"/>
    <x v="0"/>
  </r>
  <r>
    <n v="177397"/>
    <n v="250000"/>
    <x v="1"/>
    <x v="362"/>
    <x v="12"/>
    <s v="DELEGATE AGENCY"/>
    <s v="UNKNOWN"/>
    <x v="0"/>
  </r>
  <r>
    <n v="177398"/>
    <n v="110048"/>
    <x v="2"/>
    <x v="363"/>
    <x v="12"/>
    <s v="DELEGATE AGENCY"/>
    <s v="UNKNOWN"/>
    <x v="0"/>
  </r>
  <r>
    <n v="177400"/>
    <n v="105600"/>
    <x v="1"/>
    <x v="340"/>
    <x v="12"/>
    <s v="DELEGATE AGENCY"/>
    <s v="UNKNOWN"/>
    <x v="0"/>
  </r>
  <r>
    <n v="177401"/>
    <n v="105600"/>
    <x v="1"/>
    <x v="203"/>
    <x v="12"/>
    <s v="DELEGATE AGENCY"/>
    <s v="UNKNOWN"/>
    <x v="0"/>
  </r>
  <r>
    <n v="177402"/>
    <n v="105600"/>
    <x v="1"/>
    <x v="350"/>
    <x v="12"/>
    <s v="DELEGATE AGENCY"/>
    <s v="UNKNOWN"/>
    <x v="0"/>
  </r>
  <r>
    <n v="177403"/>
    <n v="105600"/>
    <x v="1"/>
    <x v="201"/>
    <x v="12"/>
    <s v="DELEGATE AGENCY"/>
    <s v="UNKNOWN"/>
    <x v="0"/>
  </r>
  <r>
    <n v="177404"/>
    <n v="105600"/>
    <x v="1"/>
    <x v="228"/>
    <x v="12"/>
    <s v="DELEGATE AGENCY"/>
    <s v="UNKNOWN"/>
    <x v="0"/>
  </r>
  <r>
    <n v="177405"/>
    <n v="105600"/>
    <x v="1"/>
    <x v="305"/>
    <x v="12"/>
    <s v="DELEGATE AGENCY"/>
    <s v="UNKNOWN"/>
    <x v="0"/>
  </r>
  <r>
    <n v="177406"/>
    <n v="105600"/>
    <x v="1"/>
    <x v="364"/>
    <x v="12"/>
    <s v="DELEGATE AGENCY"/>
    <s v="UNKNOWN"/>
    <x v="0"/>
  </r>
  <r>
    <n v="177407"/>
    <n v="105600"/>
    <x v="1"/>
    <x v="365"/>
    <x v="12"/>
    <s v="DELEGATE AGENCY"/>
    <s v="UNKNOWN"/>
    <x v="0"/>
  </r>
  <r>
    <n v="177408"/>
    <n v="105600"/>
    <x v="1"/>
    <x v="59"/>
    <x v="12"/>
    <s v="DELEGATE AGENCY"/>
    <s v="UNKNOWN"/>
    <x v="0"/>
  </r>
  <r>
    <n v="177409"/>
    <n v="105600"/>
    <x v="1"/>
    <x v="303"/>
    <x v="12"/>
    <s v="DELEGATE AGENCY"/>
    <s v="UNKNOWN"/>
    <x v="0"/>
  </r>
  <r>
    <n v="177412"/>
    <n v="271408"/>
    <x v="1"/>
    <x v="24"/>
    <x v="12"/>
    <s v="DELEGATE AGENCY"/>
    <s v="UNKNOWN"/>
    <x v="0"/>
  </r>
  <r>
    <n v="177414"/>
    <n v="272936"/>
    <x v="2"/>
    <x v="366"/>
    <x v="12"/>
    <s v="DELEGATE AGENCY"/>
    <s v="UNKNOWN"/>
    <x v="0"/>
  </r>
  <r>
    <n v="177415"/>
    <n v="180000"/>
    <x v="2"/>
    <x v="351"/>
    <x v="12"/>
    <s v="DELEGATE AGENCY"/>
    <s v="UNKNOWN"/>
    <x v="0"/>
  </r>
  <r>
    <n v="177416"/>
    <n v="180000"/>
    <x v="1"/>
    <x v="228"/>
    <x v="12"/>
    <s v="DELEGATE AGENCY"/>
    <s v="UNKNOWN"/>
    <x v="0"/>
  </r>
  <r>
    <n v="177417"/>
    <n v="278334"/>
    <x v="1"/>
    <x v="315"/>
    <x v="12"/>
    <s v="DELEGATE AGENCY"/>
    <s v="UNKNOWN"/>
    <x v="0"/>
  </r>
  <r>
    <n v="177418"/>
    <n v="335320"/>
    <x v="2"/>
    <x v="239"/>
    <x v="12"/>
    <s v="DELEGATE AGENCY"/>
    <s v="UNKNOWN"/>
    <x v="0"/>
  </r>
  <r>
    <n v="177419"/>
    <n v="180000"/>
    <x v="2"/>
    <x v="364"/>
    <x v="12"/>
    <s v="DELEGATE AGENCY"/>
    <s v="UNKNOWN"/>
    <x v="0"/>
  </r>
  <r>
    <n v="177420"/>
    <n v="180000"/>
    <x v="1"/>
    <x v="350"/>
    <x v="12"/>
    <s v="DELEGATE AGENCY"/>
    <s v="UNKNOWN"/>
    <x v="0"/>
  </r>
  <r>
    <n v="177421"/>
    <n v="210640"/>
    <x v="1"/>
    <x v="349"/>
    <x v="12"/>
    <s v="DELEGATE AGENCY"/>
    <s v="UNKNOWN"/>
    <x v="0"/>
  </r>
  <r>
    <n v="177422"/>
    <n v="180000"/>
    <x v="1"/>
    <x v="201"/>
    <x v="12"/>
    <s v="DELEGATE AGENCY"/>
    <s v="UNKNOWN"/>
    <x v="0"/>
  </r>
  <r>
    <n v="177423"/>
    <n v="180000"/>
    <x v="1"/>
    <x v="114"/>
    <x v="12"/>
    <s v="DELEGATE AGENCY"/>
    <s v="UNKNOWN"/>
    <x v="1"/>
  </r>
  <r>
    <n v="177424"/>
    <n v="180000"/>
    <x v="1"/>
    <x v="91"/>
    <x v="12"/>
    <s v="DELEGATE AGENCY"/>
    <s v="UNKNOWN"/>
    <x v="0"/>
  </r>
  <r>
    <n v="177425"/>
    <n v="180000"/>
    <x v="1"/>
    <x v="367"/>
    <x v="12"/>
    <s v="DELEGATE AGENCY"/>
    <s v="UNKNOWN"/>
    <x v="0"/>
  </r>
  <r>
    <n v="177426"/>
    <n v="180000"/>
    <x v="1"/>
    <x v="296"/>
    <x v="12"/>
    <s v="DELEGATE AGENCY"/>
    <s v="UNKNOWN"/>
    <x v="0"/>
  </r>
  <r>
    <n v="177427"/>
    <n v="225490"/>
    <x v="1"/>
    <x v="59"/>
    <x v="12"/>
    <s v="DELEGATE AGENCY"/>
    <s v="UNKNOWN"/>
    <x v="0"/>
  </r>
  <r>
    <n v="177428"/>
    <n v="252710"/>
    <x v="1"/>
    <x v="76"/>
    <x v="12"/>
    <s v="DELEGATE AGENCY"/>
    <s v="UNKNOWN"/>
    <x v="0"/>
  </r>
  <r>
    <n v="177429"/>
    <n v="350544"/>
    <x v="2"/>
    <x v="359"/>
    <x v="12"/>
    <s v="DELEGATE AGENCY"/>
    <s v="UNKNOWN"/>
    <x v="0"/>
  </r>
  <r>
    <n v="177528"/>
    <n v="355574"/>
    <x v="2"/>
    <x v="289"/>
    <x v="12"/>
    <s v="DELEGATE AGENCY"/>
    <s v="UNKNOWN"/>
    <x v="0"/>
  </r>
  <r>
    <n v="177529"/>
    <n v="283200"/>
    <x v="2"/>
    <x v="368"/>
    <x v="12"/>
    <s v="DELEGATE AGENCY"/>
    <s v="UNKNOWN"/>
    <x v="0"/>
  </r>
  <r>
    <n v="177530"/>
    <n v="390660"/>
    <x v="2"/>
    <x v="356"/>
    <x v="12"/>
    <s v="DELEGATE AGENCY"/>
    <s v="UNKNOWN"/>
    <x v="0"/>
  </r>
  <r>
    <n v="177532"/>
    <n v="312800"/>
    <x v="2"/>
    <x v="346"/>
    <x v="12"/>
    <s v="DELEGATE AGENCY"/>
    <s v="UNKNOWN"/>
    <x v="0"/>
  </r>
  <r>
    <n v="177533"/>
    <n v="511082"/>
    <x v="2"/>
    <x v="369"/>
    <x v="12"/>
    <s v="DELEGATE AGENCY"/>
    <s v="UNKNOWN"/>
    <x v="0"/>
  </r>
  <r>
    <n v="177534"/>
    <n v="310110"/>
    <x v="2"/>
    <x v="362"/>
    <x v="12"/>
    <s v="DELEGATE AGENCY"/>
    <s v="UNKNOWN"/>
    <x v="0"/>
  </r>
  <r>
    <n v="177535"/>
    <n v="197660"/>
    <x v="2"/>
    <x v="341"/>
    <x v="12"/>
    <s v="DELEGATE AGENCY"/>
    <s v="UNKNOWN"/>
    <x v="0"/>
  </r>
  <r>
    <n v="177696"/>
    <n v="1305600"/>
    <x v="1"/>
    <x v="355"/>
    <x v="12"/>
    <s v="DELEGATE AGENCY"/>
    <s v="UNKNOWN"/>
    <x v="0"/>
  </r>
  <r>
    <n v="177750"/>
    <n v="118770"/>
    <x v="0"/>
    <x v="370"/>
    <x v="12"/>
    <s v="DELEGATE AGENCY"/>
    <s v="UNKNOWN"/>
    <x v="0"/>
  </r>
  <r>
    <n v="177751"/>
    <n v="283746"/>
    <x v="1"/>
    <x v="304"/>
    <x v="12"/>
    <s v="DELEGATE AGENCY"/>
    <s v="UNKNOWN"/>
    <x v="0"/>
  </r>
  <r>
    <n v="177754"/>
    <n v="87200"/>
    <x v="2"/>
    <x v="168"/>
    <x v="12"/>
    <s v="DELEGATE AGENCY"/>
    <s v="UNKNOWN"/>
    <x v="0"/>
  </r>
  <r>
    <n v="177755"/>
    <n v="106000"/>
    <x v="1"/>
    <x v="213"/>
    <x v="12"/>
    <s v="DELEGATE AGENCY"/>
    <s v="UNKNOWN"/>
    <x v="0"/>
  </r>
  <r>
    <n v="177758"/>
    <n v="82190"/>
    <x v="1"/>
    <x v="191"/>
    <x v="12"/>
    <s v="DELEGATE AGENCY"/>
    <s v="UNKNOWN"/>
    <x v="0"/>
  </r>
  <r>
    <n v="177765"/>
    <n v="90000"/>
    <x v="1"/>
    <x v="342"/>
    <x v="12"/>
    <s v="DELEGATE AGENCY"/>
    <s v="UNKNOWN"/>
    <x v="0"/>
  </r>
  <r>
    <n v="177772"/>
    <n v="626368"/>
    <x v="1"/>
    <x v="114"/>
    <x v="12"/>
    <s v="DELEGATE AGENCY"/>
    <s v="UNKNOWN"/>
    <x v="0"/>
  </r>
  <r>
    <n v="177777"/>
    <n v="165260"/>
    <x v="2"/>
    <x v="324"/>
    <x v="12"/>
    <s v="DELEGATE AGENCY"/>
    <s v="UNKNOWN"/>
    <x v="0"/>
  </r>
  <r>
    <n v="177781"/>
    <n v="87500"/>
    <x v="1"/>
    <x v="299"/>
    <x v="12"/>
    <s v="DELEGATE AGENCY"/>
    <s v="UNKNOWN"/>
    <x v="0"/>
  </r>
  <r>
    <n v="177782"/>
    <n v="90000"/>
    <x v="1"/>
    <x v="360"/>
    <x v="12"/>
    <s v="DELEGATE AGENCY"/>
    <s v="UNKNOWN"/>
    <x v="0"/>
  </r>
  <r>
    <n v="177783"/>
    <n v="92000"/>
    <x v="1"/>
    <x v="300"/>
    <x v="12"/>
    <s v="DELEGATE AGENCY"/>
    <s v="UNKNOWN"/>
    <x v="0"/>
  </r>
  <r>
    <n v="177784"/>
    <n v="80000"/>
    <x v="1"/>
    <x v="371"/>
    <x v="12"/>
    <s v="DELEGATE AGENCY"/>
    <s v="UNKNOWN"/>
    <x v="0"/>
  </r>
  <r>
    <n v="177785"/>
    <n v="176634"/>
    <x v="1"/>
    <x v="372"/>
    <x v="12"/>
    <s v="DELEGATE AGENCY"/>
    <s v="UNKNOWN"/>
    <x v="0"/>
  </r>
  <r>
    <n v="177807"/>
    <n v="391838.8"/>
    <x v="1"/>
    <x v="373"/>
    <x v="2"/>
    <s v="COMPTROLLER-OTHER"/>
    <s v="UNKNOWN"/>
    <x v="1"/>
  </r>
  <r>
    <n v="178581"/>
    <n v="89965"/>
    <x v="2"/>
    <x v="374"/>
    <x v="2"/>
    <s v="DELEGATE AGENCY"/>
    <s v="RFP"/>
    <x v="0"/>
  </r>
  <r>
    <n v="178582"/>
    <n v="97447"/>
    <x v="1"/>
    <x v="375"/>
    <x v="2"/>
    <s v="DELEGATE AGENCY"/>
    <s v="RFP"/>
    <x v="0"/>
  </r>
  <r>
    <n v="178583"/>
    <n v="75937"/>
    <x v="1"/>
    <x v="376"/>
    <x v="2"/>
    <s v="DELEGATE AGENCY"/>
    <s v="RFP"/>
    <x v="0"/>
  </r>
  <r>
    <n v="178584"/>
    <n v="93637"/>
    <x v="1"/>
    <x v="377"/>
    <x v="2"/>
    <s v="DELEGATE AGENCY"/>
    <s v="RFP"/>
    <x v="0"/>
  </r>
  <r>
    <n v="178585"/>
    <n v="139911"/>
    <x v="1"/>
    <x v="378"/>
    <x v="2"/>
    <s v="DELEGATE AGENCY"/>
    <s v="RFP"/>
    <x v="0"/>
  </r>
  <r>
    <n v="178586"/>
    <n v="113764"/>
    <x v="1"/>
    <x v="379"/>
    <x v="2"/>
    <s v="DELEGATE AGENCY"/>
    <s v="RFP"/>
    <x v="0"/>
  </r>
  <r>
    <n v="178587"/>
    <n v="60302"/>
    <x v="1"/>
    <x v="380"/>
    <x v="2"/>
    <s v="DELEGATE AGENCY"/>
    <s v="RFP"/>
    <x v="0"/>
  </r>
  <r>
    <n v="178588"/>
    <n v="136880"/>
    <x v="1"/>
    <x v="221"/>
    <x v="2"/>
    <s v="DELEGATE AGENCY"/>
    <s v="RFP"/>
    <x v="0"/>
  </r>
  <r>
    <n v="178589"/>
    <n v="113210"/>
    <x v="1"/>
    <x v="381"/>
    <x v="2"/>
    <s v="DELEGATE AGENCY"/>
    <s v="RFP"/>
    <x v="0"/>
  </r>
  <r>
    <n v="178597"/>
    <n v="100000"/>
    <x v="1"/>
    <x v="370"/>
    <x v="22"/>
    <s v="DELEGATE AGENCY"/>
    <s v="RFP"/>
    <x v="1"/>
  </r>
  <r>
    <n v="178598"/>
    <n v="100001"/>
    <x v="1"/>
    <x v="382"/>
    <x v="22"/>
    <s v="DELEGATE AGENCY"/>
    <s v="RFP"/>
    <x v="1"/>
  </r>
  <r>
    <n v="178599"/>
    <n v="100000"/>
    <x v="1"/>
    <x v="383"/>
    <x v="22"/>
    <s v="DELEGATE AGENCY"/>
    <s v="RFP"/>
    <x v="1"/>
  </r>
  <r>
    <n v="178600"/>
    <n v="100000"/>
    <x v="1"/>
    <x v="384"/>
    <x v="22"/>
    <s v="DELEGATE AGENCY"/>
    <s v="RFP"/>
    <x v="1"/>
  </r>
  <r>
    <n v="178601"/>
    <n v="100000"/>
    <x v="1"/>
    <x v="311"/>
    <x v="22"/>
    <s v="DELEGATE AGENCY"/>
    <s v="RFP"/>
    <x v="1"/>
  </r>
  <r>
    <n v="178602"/>
    <n v="100000"/>
    <x v="1"/>
    <x v="385"/>
    <x v="22"/>
    <s v="DELEGATE AGENCY"/>
    <s v="RFP"/>
    <x v="1"/>
  </r>
  <r>
    <n v="178736"/>
    <n v="31140"/>
    <x v="1"/>
    <x v="325"/>
    <x v="22"/>
    <s v="DELEGATE AGENCY"/>
    <s v="RFP"/>
    <x v="0"/>
  </r>
  <r>
    <n v="178737"/>
    <n v="5500"/>
    <x v="4"/>
    <x v="282"/>
    <x v="22"/>
    <s v="DELEGATE AGENCY"/>
    <s v="RFP"/>
    <x v="0"/>
  </r>
  <r>
    <n v="178757"/>
    <n v="105000"/>
    <x v="3"/>
    <x v="384"/>
    <x v="22"/>
    <s v="DELEGATE AGENCY"/>
    <s v="RFP"/>
    <x v="1"/>
  </r>
  <r>
    <n v="178758"/>
    <n v="120000"/>
    <x v="1"/>
    <x v="386"/>
    <x v="22"/>
    <s v="DELEGATE AGENCY"/>
    <s v="RFP"/>
    <x v="0"/>
  </r>
  <r>
    <n v="178759"/>
    <n v="115500"/>
    <x v="1"/>
    <x v="387"/>
    <x v="22"/>
    <s v="DELEGATE AGENCY"/>
    <s v="RFP"/>
    <x v="0"/>
  </r>
  <r>
    <n v="178760"/>
    <n v="105000"/>
    <x v="1"/>
    <x v="360"/>
    <x v="22"/>
    <s v="DELEGATE AGENCY"/>
    <s v="RFP"/>
    <x v="1"/>
  </r>
  <r>
    <n v="178761"/>
    <n v="105000"/>
    <x v="1"/>
    <x v="314"/>
    <x v="22"/>
    <s v="DELEGATE AGENCY"/>
    <s v="RFP"/>
    <x v="1"/>
  </r>
  <r>
    <n v="178762"/>
    <n v="105750"/>
    <x v="1"/>
    <x v="388"/>
    <x v="22"/>
    <s v="DELEGATE AGENCY"/>
    <s v="RFP"/>
    <x v="0"/>
  </r>
  <r>
    <n v="178763"/>
    <n v="131000"/>
    <x v="1"/>
    <x v="114"/>
    <x v="22"/>
    <s v="DELEGATE AGENCY"/>
    <s v="RFP"/>
    <x v="1"/>
  </r>
  <r>
    <n v="178764"/>
    <n v="120000"/>
    <x v="1"/>
    <x v="66"/>
    <x v="22"/>
    <s v="DELEGATE AGENCY"/>
    <s v="RFP"/>
    <x v="0"/>
  </r>
  <r>
    <n v="178765"/>
    <n v="105000"/>
    <x v="1"/>
    <x v="222"/>
    <x v="22"/>
    <s v="DELEGATE AGENCY"/>
    <s v="RFP"/>
    <x v="1"/>
  </r>
  <r>
    <n v="178766"/>
    <n v="105000"/>
    <x v="1"/>
    <x v="213"/>
    <x v="22"/>
    <s v="DELEGATE AGENCY"/>
    <s v="RFP"/>
    <x v="1"/>
  </r>
  <r>
    <n v="178767"/>
    <n v="110625"/>
    <x v="1"/>
    <x v="383"/>
    <x v="22"/>
    <s v="DELEGATE AGENCY"/>
    <s v="RFP"/>
    <x v="0"/>
  </r>
  <r>
    <n v="178768"/>
    <n v="105000"/>
    <x v="1"/>
    <x v="382"/>
    <x v="22"/>
    <s v="DELEGATE AGENCY"/>
    <s v="RFP"/>
    <x v="1"/>
  </r>
  <r>
    <n v="178769"/>
    <n v="110625"/>
    <x v="1"/>
    <x v="290"/>
    <x v="22"/>
    <s v="DELEGATE AGENCY"/>
    <s v="RFP"/>
    <x v="0"/>
  </r>
  <r>
    <n v="178770"/>
    <n v="163019"/>
    <x v="1"/>
    <x v="389"/>
    <x v="22"/>
    <s v="DELEGATE AGENCY"/>
    <s v="RFP"/>
    <x v="0"/>
  </r>
  <r>
    <n v="178771"/>
    <n v="115500"/>
    <x v="1"/>
    <x v="390"/>
    <x v="22"/>
    <s v="DELEGATE AGENCY"/>
    <s v="RFP"/>
    <x v="0"/>
  </r>
  <r>
    <n v="178772"/>
    <n v="105000"/>
    <x v="1"/>
    <x v="391"/>
    <x v="22"/>
    <s v="DELEGATE AGENCY"/>
    <s v="RFP"/>
    <x v="1"/>
  </r>
  <r>
    <n v="178773"/>
    <n v="105000"/>
    <x v="1"/>
    <x v="333"/>
    <x v="22"/>
    <s v="DELEGATE AGENCY"/>
    <s v="RFP"/>
    <x v="1"/>
  </r>
  <r>
    <n v="178774"/>
    <n v="115500"/>
    <x v="1"/>
    <x v="353"/>
    <x v="22"/>
    <s v="DELEGATE AGENCY"/>
    <s v="RFP"/>
    <x v="0"/>
  </r>
  <r>
    <n v="178775"/>
    <n v="109543"/>
    <x v="1"/>
    <x v="392"/>
    <x v="22"/>
    <s v="DELEGATE AGENCY"/>
    <s v="RFP"/>
    <x v="0"/>
  </r>
  <r>
    <n v="178776"/>
    <n v="107720"/>
    <x v="1"/>
    <x v="216"/>
    <x v="22"/>
    <s v="DELEGATE AGENCY"/>
    <s v="RFP"/>
    <x v="0"/>
  </r>
  <r>
    <n v="178777"/>
    <n v="105000"/>
    <x v="1"/>
    <x v="393"/>
    <x v="22"/>
    <s v="DELEGATE AGENCY"/>
    <s v="RFP"/>
    <x v="1"/>
  </r>
  <r>
    <n v="178815"/>
    <n v="174750"/>
    <x v="1"/>
    <x v="394"/>
    <x v="22"/>
    <s v="DELEGATE AGENCY"/>
    <s v="RFP"/>
    <x v="0"/>
  </r>
  <r>
    <n v="178816"/>
    <n v="109750"/>
    <x v="1"/>
    <x v="395"/>
    <x v="22"/>
    <s v="DELEGATE AGENCY"/>
    <s v="RFP"/>
    <x v="0"/>
  </r>
  <r>
    <n v="178818"/>
    <n v="94445"/>
    <x v="1"/>
    <x v="379"/>
    <x v="22"/>
    <s v="DELEGATE AGENCY"/>
    <s v="RFP"/>
    <x v="0"/>
  </r>
  <r>
    <n v="178819"/>
    <n v="59500"/>
    <x v="1"/>
    <x v="382"/>
    <x v="22"/>
    <s v="DELEGATE AGENCY"/>
    <s v="RFP"/>
    <x v="0"/>
  </r>
  <r>
    <n v="178820"/>
    <n v="81500"/>
    <x v="1"/>
    <x v="383"/>
    <x v="22"/>
    <s v="DELEGATE AGENCY"/>
    <s v="RFP"/>
    <x v="0"/>
  </r>
  <r>
    <n v="178821"/>
    <n v="27100"/>
    <x v="1"/>
    <x v="139"/>
    <x v="22"/>
    <s v="DELEGATE AGENCY"/>
    <s v="RFP"/>
    <x v="0"/>
  </r>
  <r>
    <n v="178822"/>
    <n v="130500"/>
    <x v="4"/>
    <x v="91"/>
    <x v="22"/>
    <s v="DELEGATE AGENCY"/>
    <s v="RFP"/>
    <x v="0"/>
  </r>
  <r>
    <n v="178823"/>
    <n v="66500"/>
    <x v="1"/>
    <x v="391"/>
    <x v="22"/>
    <s v="DELEGATE AGENCY"/>
    <s v="RFP"/>
    <x v="0"/>
  </r>
  <r>
    <n v="178825"/>
    <n v="129750"/>
    <x v="1"/>
    <x v="376"/>
    <x v="22"/>
    <s v="DELEGATE AGENCY"/>
    <s v="RFP"/>
    <x v="0"/>
  </r>
  <r>
    <n v="178826"/>
    <n v="142750"/>
    <x v="1"/>
    <x v="333"/>
    <x v="22"/>
    <s v="DELEGATE AGENCY"/>
    <s v="RFP"/>
    <x v="0"/>
  </r>
  <r>
    <n v="178828"/>
    <n v="100000"/>
    <x v="1"/>
    <x v="396"/>
    <x v="8"/>
    <s v="DELEGATE AGENCY"/>
    <s v="RFP"/>
    <x v="0"/>
  </r>
  <r>
    <n v="178830"/>
    <n v="920000"/>
    <x v="1"/>
    <x v="397"/>
    <x v="9"/>
    <s v="COMPTROLLER-OTHER"/>
    <s v="UNKNOWN"/>
    <x v="1"/>
  </r>
  <r>
    <n v="178843"/>
    <n v="50000"/>
    <x v="2"/>
    <x v="370"/>
    <x v="22"/>
    <s v="DELEGATE AGENCY"/>
    <s v="RFP"/>
    <x v="0"/>
  </r>
  <r>
    <n v="178982"/>
    <n v="1150000"/>
    <x v="1"/>
    <x v="398"/>
    <x v="22"/>
    <s v="DELEGATE AGENCY"/>
    <s v="RFP"/>
    <x v="0"/>
  </r>
  <r>
    <n v="178983"/>
    <n v="2418000"/>
    <x v="0"/>
    <x v="399"/>
    <x v="22"/>
    <s v="DELEGATE AGENCY"/>
    <s v="RFP"/>
    <x v="1"/>
  </r>
  <r>
    <n v="178984"/>
    <n v="75000"/>
    <x v="0"/>
    <x v="399"/>
    <x v="22"/>
    <s v="DELEGATE AGENCY"/>
    <s v="RFP"/>
    <x v="1"/>
  </r>
  <r>
    <n v="178985"/>
    <n v="6465000"/>
    <x v="1"/>
    <x v="398"/>
    <x v="22"/>
    <s v="DELEGATE AGENCY"/>
    <s v="RFP"/>
    <x v="0"/>
  </r>
  <r>
    <n v="178986"/>
    <n v="175000"/>
    <x v="0"/>
    <x v="398"/>
    <x v="22"/>
    <s v="DELEGATE AGENCY"/>
    <s v="RFP"/>
    <x v="1"/>
  </r>
  <r>
    <n v="178987"/>
    <n v="390000"/>
    <x v="1"/>
    <x v="400"/>
    <x v="22"/>
    <s v="DELEGATE AGENCY"/>
    <s v="RFP"/>
    <x v="1"/>
  </r>
  <r>
    <n v="179015"/>
    <n v="100000"/>
    <x v="2"/>
    <x v="400"/>
    <x v="22"/>
    <s v="DELEGATE AGENCY"/>
    <s v="RFP"/>
    <x v="1"/>
  </r>
  <r>
    <n v="179220"/>
    <n v="1500000"/>
    <x v="1"/>
    <x v="7"/>
    <x v="0"/>
    <s v="ARCH/ENGINEERING"/>
    <s v="RFQ"/>
    <x v="0"/>
  </r>
  <r>
    <n v="179400"/>
    <n v="31528"/>
    <x v="0"/>
    <x v="211"/>
    <x v="12"/>
    <s v="DELEGATE AGENCY"/>
    <s v="UNKNOWN"/>
    <x v="0"/>
  </r>
  <r>
    <n v="179604"/>
    <n v="5798.4"/>
    <x v="4"/>
    <x v="401"/>
    <x v="19"/>
    <s v="DELEGATE AGENCY"/>
    <s v="UNKNOWN"/>
    <x v="0"/>
  </r>
  <r>
    <n v="179944"/>
    <n v="25205.4"/>
    <x v="3"/>
    <x v="25"/>
    <x v="12"/>
    <s v="DELEGATE AGENCY"/>
    <s v="UNKNOWN"/>
    <x v="0"/>
  </r>
  <r>
    <n v="180496"/>
    <n v="900216"/>
    <x v="4"/>
    <x v="359"/>
    <x v="12"/>
    <s v="DELEGATE AGENCY"/>
    <s v="UNKNOWN"/>
    <x v="0"/>
  </r>
  <r>
    <n v="180665"/>
    <n v="3508800"/>
    <x v="2"/>
    <x v="351"/>
    <x v="12"/>
    <s v="DELEGATE AGENCY"/>
    <s v="UNKNOWN"/>
    <x v="0"/>
  </r>
  <r>
    <n v="180678"/>
    <n v="14695280"/>
    <x v="0"/>
    <x v="402"/>
    <x v="0"/>
    <s v="JOC"/>
    <s v="CONTRACT ASSIGNMENT/TRANSFER"/>
    <x v="0"/>
  </r>
  <r>
    <n v="180884"/>
    <n v="63500"/>
    <x v="0"/>
    <x v="25"/>
    <x v="8"/>
    <s v="DELEGATE AGENCY"/>
    <s v="UNKNOWN"/>
    <x v="0"/>
  </r>
  <r>
    <n v="180903"/>
    <n v="6108.4"/>
    <x v="1"/>
    <x v="126"/>
    <x v="12"/>
    <s v="DELEGATE AGENCY"/>
    <s v="UNKNOWN"/>
    <x v="0"/>
  </r>
  <r>
    <n v="180922"/>
    <n v="739000"/>
    <x v="3"/>
    <x v="403"/>
    <x v="1"/>
    <s v="PRO SERV CONSULTING $250,000orABOVE"/>
    <s v="CONTRACT ASSIGNMENT/TRANS"/>
    <x v="1"/>
  </r>
  <r>
    <n v="181249"/>
    <n v="50000"/>
    <x v="2"/>
    <x v="5"/>
    <x v="17"/>
    <s v="DELEGATE AGENCY"/>
    <s v="UNKNOWN"/>
    <x v="0"/>
  </r>
  <r>
    <n v="181547"/>
    <n v="792140"/>
    <x v="1"/>
    <x v="404"/>
    <x v="8"/>
    <s v="COMPTROLLER-OTHER"/>
    <s v="UNKNOWN"/>
    <x v="0"/>
  </r>
  <r>
    <n v="181609"/>
    <n v="10237.799999999999"/>
    <x v="2"/>
    <x v="25"/>
    <x v="12"/>
    <s v="DELEGATE AGENCY"/>
    <s v="UNKNOWN"/>
    <x v="0"/>
  </r>
  <r>
    <n v="182093"/>
    <n v="4492628"/>
    <x v="4"/>
    <x v="204"/>
    <x v="8"/>
    <s v="DELEGATE AGENCY"/>
    <s v="RFP"/>
    <x v="0"/>
  </r>
  <r>
    <n v="182625"/>
    <n v="3322923.5"/>
    <x v="0"/>
    <x v="252"/>
    <x v="0"/>
    <s v="CONSTRUCTION-LARGE $3MILLIONorABOVE"/>
    <s v="BID"/>
    <x v="0"/>
  </r>
  <r>
    <n v="182641"/>
    <n v="38140"/>
    <x v="0"/>
    <x v="189"/>
    <x v="12"/>
    <s v="DELEGATE AGENCY"/>
    <s v="UNKNOWN"/>
    <x v="0"/>
  </r>
  <r>
    <n v="182700"/>
    <n v="256530.2"/>
    <x v="4"/>
    <x v="186"/>
    <x v="0"/>
    <s v="CONSTRUCTION-LARGE $3MILLIONorABOVE"/>
    <s v="BID"/>
    <x v="2"/>
  </r>
  <r>
    <n v="182726"/>
    <n v="60000"/>
    <x v="2"/>
    <x v="293"/>
    <x v="12"/>
    <s v="DELEGATE AGENCY"/>
    <s v="UNKNOWN"/>
    <x v="0"/>
  </r>
  <r>
    <n v="182741"/>
    <n v="5000000"/>
    <x v="1"/>
    <x v="405"/>
    <x v="0"/>
    <s v="JOC"/>
    <s v="CONTRACT ASSIGNMENT/TRANS"/>
    <x v="2"/>
  </r>
  <r>
    <n v="182894"/>
    <n v="304470"/>
    <x v="0"/>
    <x v="189"/>
    <x v="12"/>
    <s v="DELEGATE AGENCY"/>
    <s v="UNKNOWN"/>
    <x v="0"/>
  </r>
  <r>
    <n v="183830"/>
    <n v="4879176.9000000004"/>
    <x v="2"/>
    <x v="406"/>
    <x v="1"/>
    <s v="PROPERTY LEASE"/>
    <s v="UNKNOWN"/>
    <x v="0"/>
  </r>
  <r>
    <n v="184089"/>
    <n v="4547"/>
    <x v="0"/>
    <x v="25"/>
    <x v="12"/>
    <s v="DELEGATE AGENCY"/>
    <s v="UNKNOWN"/>
    <x v="0"/>
  </r>
  <r>
    <n v="184259"/>
    <n v="300000"/>
    <x v="3"/>
    <x v="407"/>
    <x v="8"/>
    <s v="DELEGATE AGENCY"/>
    <s v="RFP"/>
    <x v="0"/>
  </r>
  <r>
    <n v="184261"/>
    <n v="112000"/>
    <x v="2"/>
    <x v="408"/>
    <x v="8"/>
    <s v="DELEGATE AGENCY"/>
    <s v="RFP"/>
    <x v="0"/>
  </r>
  <r>
    <n v="184446"/>
    <n v="9507"/>
    <x v="1"/>
    <x v="175"/>
    <x v="8"/>
    <s v="DELEGATE AGENCY"/>
    <s v="UNKNOWN"/>
    <x v="0"/>
  </r>
  <r>
    <n v="184512"/>
    <n v="3000000"/>
    <x v="3"/>
    <x v="409"/>
    <x v="27"/>
    <s v="ARCH/ENGINEERING"/>
    <s v="MASTER AGREEMENT"/>
    <x v="0"/>
  </r>
  <r>
    <n v="184513"/>
    <n v="3000000"/>
    <x v="0"/>
    <x v="410"/>
    <x v="27"/>
    <s v="ARCH/ENGINEERING"/>
    <s v="MASTER AGREEMENT"/>
    <x v="0"/>
  </r>
  <r>
    <n v="184514"/>
    <n v="3000000"/>
    <x v="0"/>
    <x v="411"/>
    <x v="27"/>
    <s v="ARCH/ENGINEERING"/>
    <s v="MASTER AGREEMENT"/>
    <x v="0"/>
  </r>
  <r>
    <n v="184515"/>
    <n v="3000000"/>
    <x v="0"/>
    <x v="412"/>
    <x v="27"/>
    <s v="ARCH/ENGINEERING"/>
    <s v="MASTER AGREEMENT"/>
    <x v="0"/>
  </r>
  <r>
    <n v="184516"/>
    <n v="3000000"/>
    <x v="0"/>
    <x v="413"/>
    <x v="15"/>
    <s v="ARCH/ENGINEERING"/>
    <s v="MASTER AGREEMENT"/>
    <x v="0"/>
  </r>
  <r>
    <n v="184517"/>
    <n v="3000000"/>
    <x v="0"/>
    <x v="414"/>
    <x v="27"/>
    <s v="ARCH/ENGINEERING"/>
    <s v="MASTER AGREEMENT"/>
    <x v="0"/>
  </r>
  <r>
    <n v="184518"/>
    <n v="3000000"/>
    <x v="0"/>
    <x v="415"/>
    <x v="27"/>
    <s v="ARCH/ENGINEERING"/>
    <s v="MASTER AGREEMENT"/>
    <x v="0"/>
  </r>
  <r>
    <n v="184519"/>
    <n v="3000000"/>
    <x v="0"/>
    <x v="50"/>
    <x v="27"/>
    <s v="ARCH/ENGINEERING"/>
    <s v="MASTER AGREEMENT"/>
    <x v="0"/>
  </r>
  <r>
    <n v="184520"/>
    <n v="3000000"/>
    <x v="0"/>
    <x v="416"/>
    <x v="15"/>
    <s v="ARCH/ENGINEERING"/>
    <s v="MASTER AGREEMENT"/>
    <x v="0"/>
  </r>
  <r>
    <n v="184522"/>
    <n v="3000000"/>
    <x v="0"/>
    <x v="417"/>
    <x v="27"/>
    <s v="ARCH/ENGINEERING"/>
    <s v="MASTER AGREEMENT"/>
    <x v="0"/>
  </r>
  <r>
    <n v="184524"/>
    <n v="3000000"/>
    <x v="0"/>
    <x v="418"/>
    <x v="27"/>
    <s v="ARCH/ENGINEERING"/>
    <s v="MASTER AGREEMENT"/>
    <x v="0"/>
  </r>
  <r>
    <n v="184525"/>
    <n v="3000000"/>
    <x v="0"/>
    <x v="419"/>
    <x v="27"/>
    <s v="ARCH/ENGINEERING"/>
    <s v="MASTER AGREEMENT"/>
    <x v="0"/>
  </r>
  <r>
    <n v="184526"/>
    <n v="3000000"/>
    <x v="0"/>
    <x v="420"/>
    <x v="27"/>
    <s v="ARCH/ENGINEERING"/>
    <s v="MASTER AGREEMENT"/>
    <x v="0"/>
  </r>
  <r>
    <n v="184527"/>
    <n v="3000000"/>
    <x v="0"/>
    <x v="421"/>
    <x v="27"/>
    <s v="ARCH/ENGINEERING"/>
    <s v="MASTER AGREEMENT"/>
    <x v="0"/>
  </r>
  <r>
    <n v="184528"/>
    <n v="3000000"/>
    <x v="0"/>
    <x v="422"/>
    <x v="27"/>
    <s v="ARCH/ENGINEERING"/>
    <s v="MASTER AGREEMENT"/>
    <x v="0"/>
  </r>
  <r>
    <n v="184529"/>
    <n v="3000000"/>
    <x v="0"/>
    <x v="423"/>
    <x v="27"/>
    <s v="ARCH/ENGINEERING"/>
    <s v="MASTER AGREEMENT"/>
    <x v="0"/>
  </r>
  <r>
    <n v="184531"/>
    <n v="3000000"/>
    <x v="0"/>
    <x v="424"/>
    <x v="15"/>
    <s v="ARCH/ENGINEERING"/>
    <s v="MASTER AGREEMENT"/>
    <x v="0"/>
  </r>
  <r>
    <n v="184532"/>
    <n v="3000000"/>
    <x v="0"/>
    <x v="425"/>
    <x v="27"/>
    <s v="ARCH/ENGINEERING"/>
    <s v="MASTER AGREEMENT"/>
    <x v="0"/>
  </r>
  <r>
    <n v="184533"/>
    <n v="3000000"/>
    <x v="0"/>
    <x v="426"/>
    <x v="27"/>
    <s v="ARCH/ENGINEERING"/>
    <s v="MASTER AGREEMENT"/>
    <x v="0"/>
  </r>
  <r>
    <n v="184534"/>
    <n v="3000000"/>
    <x v="0"/>
    <x v="427"/>
    <x v="27"/>
    <s v="ARCH/ENGINEERING"/>
    <s v="MASTER AGREEMENT"/>
    <x v="0"/>
  </r>
  <r>
    <n v="184535"/>
    <n v="3000000"/>
    <x v="0"/>
    <x v="428"/>
    <x v="27"/>
    <s v="ARCH/ENGINEERING"/>
    <s v="MASTER AGREEMENT"/>
    <x v="0"/>
  </r>
  <r>
    <n v="184541"/>
    <n v="2704163"/>
    <x v="0"/>
    <x v="253"/>
    <x v="6"/>
    <s v="CONSTRUCTION-AVIATION"/>
    <s v="BID"/>
    <x v="0"/>
  </r>
  <r>
    <n v="184588"/>
    <n v="1803572"/>
    <x v="0"/>
    <x v="429"/>
    <x v="0"/>
    <s v="CONSTRUCTION-LARGE $3MILLIONorABOVE"/>
    <s v="BID"/>
    <x v="1"/>
  </r>
  <r>
    <n v="184725"/>
    <n v="697264"/>
    <x v="0"/>
    <x v="351"/>
    <x v="12"/>
    <s v="DELEGATE AGENCY"/>
    <s v="UNKNOWN"/>
    <x v="0"/>
  </r>
  <r>
    <n v="184823"/>
    <n v="10000"/>
    <x v="2"/>
    <x v="430"/>
    <x v="12"/>
    <s v="DELEGATE AGENCY"/>
    <s v="UNKNOWN"/>
    <x v="0"/>
  </r>
  <r>
    <n v="184824"/>
    <n v="713485.1"/>
    <x v="4"/>
    <x v="431"/>
    <x v="0"/>
    <s v="COMPTROLLER-OTHER"/>
    <s v="UNKNOWN"/>
    <x v="2"/>
  </r>
  <r>
    <n v="184826"/>
    <n v="10000"/>
    <x v="2"/>
    <x v="201"/>
    <x v="12"/>
    <s v="DELEGATE AGENCY"/>
    <s v="UNKNOWN"/>
    <x v="0"/>
  </r>
  <r>
    <n v="184827"/>
    <n v="10000"/>
    <x v="4"/>
    <x v="432"/>
    <x v="12"/>
    <s v="DELEGATE AGENCY"/>
    <s v="UNKNOWN"/>
    <x v="0"/>
  </r>
  <r>
    <n v="184828"/>
    <n v="10000"/>
    <x v="4"/>
    <x v="433"/>
    <x v="12"/>
    <s v="DELEGATE AGENCY"/>
    <s v="UNKNOWN"/>
    <x v="0"/>
  </r>
  <r>
    <n v="184830"/>
    <n v="10000"/>
    <x v="4"/>
    <x v="314"/>
    <x v="12"/>
    <s v="DELEGATE AGENCY"/>
    <s v="UNKNOWN"/>
    <x v="0"/>
  </r>
  <r>
    <n v="184835"/>
    <n v="211198"/>
    <x v="4"/>
    <x v="228"/>
    <x v="12"/>
    <s v="DELEGATE AGENCY"/>
    <s v="UNKNOWN"/>
    <x v="0"/>
  </r>
  <r>
    <n v="184912"/>
    <n v="3212166.4"/>
    <x v="1"/>
    <x v="434"/>
    <x v="0"/>
    <s v="CONSTRUCTION-LARGE $3MILLIONorABOVE"/>
    <s v="BID"/>
    <x v="1"/>
  </r>
  <r>
    <n v="184945"/>
    <n v="32382593"/>
    <x v="0"/>
    <x v="435"/>
    <x v="12"/>
    <s v="DELEGATE AGENCY"/>
    <s v="UNKNOWN"/>
    <x v="0"/>
  </r>
  <r>
    <n v="184997"/>
    <n v="52800"/>
    <x v="0"/>
    <x v="355"/>
    <x v="12"/>
    <s v="DELEGATE AGENCY"/>
    <s v="UNKNOWN"/>
    <x v="0"/>
  </r>
  <r>
    <n v="185426"/>
    <n v="833333"/>
    <x v="1"/>
    <x v="328"/>
    <x v="8"/>
    <s v="DELEGATE AGENCY"/>
    <s v="RFP"/>
    <x v="0"/>
  </r>
  <r>
    <n v="185427"/>
    <n v="1007502"/>
    <x v="2"/>
    <x v="204"/>
    <x v="8"/>
    <s v="DELEGATE AGENCY"/>
    <s v="RFP"/>
    <x v="0"/>
  </r>
  <r>
    <n v="185428"/>
    <n v="1007500"/>
    <x v="0"/>
    <x v="28"/>
    <x v="8"/>
    <s v="DELEGATE AGENCY"/>
    <s v="RFP"/>
    <x v="0"/>
  </r>
  <r>
    <n v="185460"/>
    <n v="500000"/>
    <x v="0"/>
    <x v="436"/>
    <x v="8"/>
    <s v="DELEGATE AGENCY"/>
    <s v="RFP"/>
    <x v="0"/>
  </r>
  <r>
    <n v="185468"/>
    <n v="1752874"/>
    <x v="2"/>
    <x v="437"/>
    <x v="8"/>
    <s v="DELEGATE AGENCY"/>
    <s v="RFP"/>
    <x v="0"/>
  </r>
  <r>
    <n v="185469"/>
    <n v="700000"/>
    <x v="0"/>
    <x v="201"/>
    <x v="8"/>
    <s v="DELEGATE AGENCY"/>
    <s v="RFP"/>
    <x v="0"/>
  </r>
  <r>
    <n v="185473"/>
    <n v="700000"/>
    <x v="2"/>
    <x v="391"/>
    <x v="8"/>
    <s v="DELEGATE AGENCY"/>
    <s v="RFP"/>
    <x v="0"/>
  </r>
  <r>
    <n v="185620"/>
    <n v="52800"/>
    <x v="2"/>
    <x v="355"/>
    <x v="12"/>
    <s v="DELEGATE AGENCY"/>
    <s v="UNKNOWN"/>
    <x v="0"/>
  </r>
  <r>
    <n v="185625"/>
    <n v="79659"/>
    <x v="1"/>
    <x v="25"/>
    <x v="12"/>
    <s v="DELEGATE AGENCY"/>
    <s v="UNKNOWN"/>
    <x v="0"/>
  </r>
  <r>
    <n v="186176"/>
    <n v="2955.9"/>
    <x v="1"/>
    <x v="204"/>
    <x v="2"/>
    <s v="COMPTROLLER-OTHER"/>
    <s v="UNKNOWN"/>
    <x v="0"/>
  </r>
  <r>
    <n v="186191"/>
    <n v="225000000"/>
    <x v="3"/>
    <x v="438"/>
    <x v="3"/>
    <s v="PRO SERV CONSULTING $250,000orABOVE"/>
    <s v="RFP"/>
    <x v="1"/>
  </r>
  <r>
    <n v="186198"/>
    <n v="4674327"/>
    <x v="0"/>
    <x v="439"/>
    <x v="3"/>
    <s v="COMMODITIES"/>
    <s v="BID"/>
    <x v="1"/>
  </r>
  <r>
    <n v="18620"/>
    <n v="3116081.6"/>
    <x v="0"/>
    <x v="440"/>
    <x v="2"/>
    <s v="COMPTROLLER-OTHER"/>
    <s v="UNKNOWN"/>
    <x v="1"/>
  </r>
  <r>
    <n v="186883"/>
    <n v="146612"/>
    <x v="0"/>
    <x v="169"/>
    <x v="12"/>
    <s v="DELEGATE AGENCY"/>
    <s v="UNKNOWN"/>
    <x v="0"/>
  </r>
  <r>
    <n v="186950"/>
    <n v="460054"/>
    <x v="1"/>
    <x v="73"/>
    <x v="12"/>
    <s v="DELEGATE AGENCY"/>
    <s v="UNKNOWN"/>
    <x v="1"/>
  </r>
  <r>
    <n v="187061"/>
    <n v="164864"/>
    <x v="2"/>
    <x v="441"/>
    <x v="12"/>
    <s v="DELEGATE AGENCY"/>
    <s v="UNKNOWN"/>
    <x v="0"/>
  </r>
  <r>
    <n v="187187"/>
    <n v="120000"/>
    <x v="1"/>
    <x v="442"/>
    <x v="1"/>
    <s v="PROPERTY LEASE"/>
    <s v="UNKNOWN"/>
    <x v="0"/>
  </r>
  <r>
    <n v="187331"/>
    <n v="100000"/>
    <x v="1"/>
    <x v="443"/>
    <x v="20"/>
    <s v="COMPTROLLER-OTHER"/>
    <s v="UNKNOWN"/>
    <x v="1"/>
  </r>
  <r>
    <n v="187342"/>
    <n v="62394660"/>
    <x v="1"/>
    <x v="21"/>
    <x v="0"/>
    <s v="CONSTRUCTION-LARGE $3MILLIONorABOVE"/>
    <s v="BID"/>
    <x v="0"/>
  </r>
  <r>
    <n v="187414"/>
    <n v="56360"/>
    <x v="0"/>
    <x v="199"/>
    <x v="12"/>
    <s v="DELEGATE AGENCY"/>
    <s v="UNKNOWN"/>
    <x v="0"/>
  </r>
  <r>
    <n v="187415"/>
    <n v="28180"/>
    <x v="1"/>
    <x v="82"/>
    <x v="12"/>
    <s v="DELEGATE AGENCY"/>
    <s v="UNKNOWN"/>
    <x v="0"/>
  </r>
  <r>
    <n v="187417"/>
    <n v="28180"/>
    <x v="4"/>
    <x v="441"/>
    <x v="12"/>
    <s v="DELEGATE AGENCY"/>
    <s v="UNKNOWN"/>
    <x v="0"/>
  </r>
  <r>
    <n v="187418"/>
    <n v="28180"/>
    <x v="4"/>
    <x v="169"/>
    <x v="12"/>
    <s v="DELEGATE AGENCY"/>
    <s v="UNKNOWN"/>
    <x v="0"/>
  </r>
  <r>
    <n v="187419"/>
    <n v="28280"/>
    <x v="4"/>
    <x v="444"/>
    <x v="12"/>
    <s v="DELEGATE AGENCY"/>
    <s v="UNKNOWN"/>
    <x v="0"/>
  </r>
  <r>
    <n v="187420"/>
    <n v="49412"/>
    <x v="4"/>
    <x v="5"/>
    <x v="12"/>
    <s v="DELEGATE AGENCY"/>
    <s v="UNKNOWN"/>
    <x v="0"/>
  </r>
  <r>
    <n v="187434"/>
    <n v="28180"/>
    <x v="4"/>
    <x v="445"/>
    <x v="12"/>
    <s v="DELEGATE AGENCY"/>
    <s v="UNKNOWN"/>
    <x v="0"/>
  </r>
  <r>
    <n v="187435"/>
    <n v="28180"/>
    <x v="4"/>
    <x v="446"/>
    <x v="12"/>
    <s v="DELEGATE AGENCY"/>
    <s v="UNKNOWN"/>
    <x v="0"/>
  </r>
  <r>
    <n v="187439"/>
    <n v="28180"/>
    <x v="4"/>
    <x v="447"/>
    <x v="12"/>
    <s v="DELEGATE AGENCY"/>
    <s v="UNKNOWN"/>
    <x v="0"/>
  </r>
  <r>
    <n v="187441"/>
    <n v="600382"/>
    <x v="4"/>
    <x v="448"/>
    <x v="12"/>
    <s v="DELEGATE AGENCY"/>
    <s v="UNKNOWN"/>
    <x v="0"/>
  </r>
  <r>
    <n v="187455"/>
    <n v="208014"/>
    <x v="2"/>
    <x v="449"/>
    <x v="12"/>
    <s v="DELEGATE AGENCY"/>
    <s v="UNKNOWN"/>
    <x v="0"/>
  </r>
  <r>
    <n v="187458"/>
    <n v="28180"/>
    <x v="1"/>
    <x v="450"/>
    <x v="12"/>
    <s v="DELEGATE AGENCY"/>
    <s v="UNKNOWN"/>
    <x v="0"/>
  </r>
  <r>
    <n v="187482"/>
    <n v="28180"/>
    <x v="4"/>
    <x v="167"/>
    <x v="12"/>
    <s v="DELEGATE AGENCY"/>
    <s v="UNKNOWN"/>
    <x v="0"/>
  </r>
  <r>
    <n v="187483"/>
    <n v="28180"/>
    <x v="4"/>
    <x v="359"/>
    <x v="12"/>
    <s v="DELEGATE AGENCY"/>
    <s v="UNKNOWN"/>
    <x v="0"/>
  </r>
  <r>
    <n v="187490"/>
    <n v="28180"/>
    <x v="4"/>
    <x v="260"/>
    <x v="12"/>
    <s v="DELEGATE AGENCY"/>
    <s v="UNKNOWN"/>
    <x v="0"/>
  </r>
  <r>
    <n v="187491"/>
    <n v="28180"/>
    <x v="4"/>
    <x v="451"/>
    <x v="12"/>
    <s v="DELEGATE AGENCY"/>
    <s v="UNKNOWN"/>
    <x v="0"/>
  </r>
  <r>
    <n v="187924"/>
    <n v="580000"/>
    <x v="4"/>
    <x v="370"/>
    <x v="12"/>
    <s v="DELEGATE AGENCY"/>
    <s v="UNKNOWN"/>
    <x v="1"/>
  </r>
  <r>
    <n v="188150"/>
    <n v="62500"/>
    <x v="2"/>
    <x v="452"/>
    <x v="2"/>
    <s v="DELEGATE AGENCY"/>
    <s v="RFP"/>
    <x v="0"/>
  </r>
  <r>
    <n v="188492"/>
    <n v="1667024"/>
    <x v="1"/>
    <x v="453"/>
    <x v="14"/>
    <s v="PRO SERV CONSULTING $250,000orABOVE"/>
    <s v="RFP"/>
    <x v="0"/>
  </r>
  <r>
    <n v="188624"/>
    <n v="8300000"/>
    <x v="0"/>
    <x v="285"/>
    <x v="12"/>
    <s v="DELEGATE AGENCY"/>
    <s v="RFP"/>
    <x v="0"/>
  </r>
  <r>
    <n v="189210"/>
    <n v="356454.8"/>
    <x v="0"/>
    <x v="283"/>
    <x v="0"/>
    <s v="CONSTRUCTION-GENERAL"/>
    <s v="BID"/>
    <x v="0"/>
  </r>
  <r>
    <n v="189407"/>
    <n v="121971.5"/>
    <x v="2"/>
    <x v="435"/>
    <x v="12"/>
    <s v="DELEGATE AGENCY"/>
    <s v="UNKNOWN"/>
    <x v="0"/>
  </r>
  <r>
    <n v="189414"/>
    <n v="12972943.4"/>
    <x v="1"/>
    <x v="23"/>
    <x v="12"/>
    <s v="COMPTROLLER-OTHER"/>
    <s v="UNKNOWN"/>
    <x v="0"/>
  </r>
  <r>
    <n v="190238"/>
    <n v="11582.3"/>
    <x v="0"/>
    <x v="166"/>
    <x v="8"/>
    <s v="DELEGATE AGENCY"/>
    <s v="UNKNOWN"/>
    <x v="0"/>
  </r>
  <r>
    <n v="190668"/>
    <n v="637957"/>
    <x v="4"/>
    <x v="316"/>
    <x v="22"/>
    <s v="DELEGATE AGENCY"/>
    <s v="RFP"/>
    <x v="1"/>
  </r>
  <r>
    <n v="190670"/>
    <n v="395270"/>
    <x v="2"/>
    <x v="452"/>
    <x v="2"/>
    <s v="DELEGATE AGENCY"/>
    <s v="RFP"/>
    <x v="0"/>
  </r>
  <r>
    <n v="190671"/>
    <n v="1100000"/>
    <x v="2"/>
    <x v="454"/>
    <x v="2"/>
    <s v="DELEGATE AGENCY"/>
    <s v="RFP"/>
    <x v="0"/>
  </r>
  <r>
    <n v="190674"/>
    <n v="718000"/>
    <x v="0"/>
    <x v="359"/>
    <x v="2"/>
    <s v="DELEGATE AGENCY"/>
    <s v="RFP"/>
    <x v="0"/>
  </r>
  <r>
    <n v="190675"/>
    <n v="525270"/>
    <x v="2"/>
    <x v="455"/>
    <x v="2"/>
    <s v="DELEGATE AGENCY"/>
    <s v="RFP"/>
    <x v="0"/>
  </r>
  <r>
    <n v="190677"/>
    <n v="783521"/>
    <x v="2"/>
    <x v="203"/>
    <x v="2"/>
    <s v="DELEGATE AGENCY"/>
    <s v="RFP"/>
    <x v="0"/>
  </r>
  <r>
    <n v="190678"/>
    <n v="250000"/>
    <x v="2"/>
    <x v="436"/>
    <x v="2"/>
    <s v="DELEGATE AGENCY"/>
    <s v="RFP"/>
    <x v="0"/>
  </r>
  <r>
    <n v="190679"/>
    <n v="363722"/>
    <x v="2"/>
    <x v="376"/>
    <x v="2"/>
    <s v="DELEGATE AGENCY"/>
    <s v="RFP"/>
    <x v="0"/>
  </r>
  <r>
    <n v="190680"/>
    <n v="395000"/>
    <x v="2"/>
    <x v="220"/>
    <x v="2"/>
    <s v="DELEGATE AGENCY"/>
    <s v="RFP"/>
    <x v="0"/>
  </r>
  <r>
    <n v="190681"/>
    <n v="548310"/>
    <x v="2"/>
    <x v="204"/>
    <x v="2"/>
    <s v="DELEGATE AGENCY"/>
    <s v="RFP"/>
    <x v="0"/>
  </r>
  <r>
    <n v="190705"/>
    <n v="170000"/>
    <x v="2"/>
    <x v="456"/>
    <x v="20"/>
    <s v="COMPTROLLER-OTHER"/>
    <s v="UNKNOWN"/>
    <x v="0"/>
  </r>
  <r>
    <n v="190708"/>
    <n v="1060000"/>
    <x v="1"/>
    <x v="457"/>
    <x v="12"/>
    <s v="COMPTROLLER-OTHER"/>
    <s v="UNKNOWN"/>
    <x v="0"/>
  </r>
  <r>
    <n v="190720"/>
    <n v="42730"/>
    <x v="0"/>
    <x v="458"/>
    <x v="12"/>
    <s v="DELEGATE AGENCY"/>
    <s v="UNKNOWN"/>
    <x v="0"/>
  </r>
  <r>
    <n v="190734"/>
    <n v="87500"/>
    <x v="4"/>
    <x v="280"/>
    <x v="8"/>
    <s v="DELEGATE AGENCY"/>
    <s v="UNKNOWN"/>
    <x v="0"/>
  </r>
  <r>
    <n v="191170"/>
    <n v="134510"/>
    <x v="1"/>
    <x v="459"/>
    <x v="28"/>
    <s v="PRO SERV CONSULTING $250,000orABOVE"/>
    <s v="RFP"/>
    <x v="0"/>
  </r>
  <r>
    <n v="191541"/>
    <n v="30000"/>
    <x v="1"/>
    <x v="460"/>
    <x v="8"/>
    <s v="DELEGATE AGENCY"/>
    <s v="UNKNOWN"/>
    <x v="0"/>
  </r>
  <r>
    <n v="191825"/>
    <n v="731.7"/>
    <x v="4"/>
    <x v="319"/>
    <x v="12"/>
    <s v="DELEGATE AGENCY"/>
    <s v="UNKNOWN"/>
    <x v="0"/>
  </r>
  <r>
    <n v="191993"/>
    <n v="12465862.300000001"/>
    <x v="3"/>
    <x v="461"/>
    <x v="8"/>
    <s v="PRO SERV CONSULTING $250,000orABOVE"/>
    <s v="RFP"/>
    <x v="0"/>
  </r>
  <r>
    <n v="192099"/>
    <n v="456625.2"/>
    <x v="0"/>
    <x v="19"/>
    <x v="8"/>
    <s v="DELEGATE AGENCY"/>
    <s v="UNKNOWN"/>
    <x v="0"/>
  </r>
  <r>
    <n v="192441"/>
    <n v="1850000"/>
    <x v="2"/>
    <x v="197"/>
    <x v="2"/>
    <s v="COMPTROLLER-OTHER"/>
    <s v="UNKNOWN"/>
    <x v="1"/>
  </r>
  <r>
    <n v="192442"/>
    <n v="1400000"/>
    <x v="0"/>
    <x v="156"/>
    <x v="2"/>
    <s v="COMPTROLLER-OTHER"/>
    <s v="UNKNOWN"/>
    <x v="2"/>
  </r>
  <r>
    <n v="192464"/>
    <n v="302995"/>
    <x v="0"/>
    <x v="36"/>
    <x v="6"/>
    <s v="COMPTROLLER-OTHER"/>
    <s v="UNKNOWN"/>
    <x v="1"/>
  </r>
  <r>
    <n v="192715"/>
    <n v="200000"/>
    <x v="2"/>
    <x v="462"/>
    <x v="6"/>
    <s v="WORK SERV-AVIATION"/>
    <s v="BID"/>
    <x v="2"/>
  </r>
  <r>
    <n v="192893"/>
    <n v="8857"/>
    <x v="1"/>
    <x v="201"/>
    <x v="12"/>
    <s v="DELEGATE AGENCY"/>
    <s v="UNKNOWN"/>
    <x v="0"/>
  </r>
  <r>
    <n v="192902"/>
    <n v="720000"/>
    <x v="3"/>
    <x v="463"/>
    <x v="8"/>
    <s v="DELEGATE AGENCY"/>
    <s v="RFP"/>
    <x v="0"/>
  </r>
  <r>
    <n v="192903"/>
    <n v="720000"/>
    <x v="2"/>
    <x v="114"/>
    <x v="8"/>
    <s v="DELEGATE AGENCY"/>
    <s v="RFP"/>
    <x v="0"/>
  </r>
  <r>
    <n v="192904"/>
    <n v="687235.5"/>
    <x v="2"/>
    <x v="464"/>
    <x v="8"/>
    <s v="DELEGATE AGENCY"/>
    <s v="RFP"/>
    <x v="0"/>
  </r>
  <r>
    <n v="192905"/>
    <n v="720000"/>
    <x v="2"/>
    <x v="67"/>
    <x v="8"/>
    <s v="DELEGATE AGENCY"/>
    <s v="RFP"/>
    <x v="0"/>
  </r>
  <r>
    <n v="192906"/>
    <n v="720000"/>
    <x v="2"/>
    <x v="465"/>
    <x v="8"/>
    <s v="DELEGATE AGENCY"/>
    <s v="RFP"/>
    <x v="0"/>
  </r>
  <r>
    <n v="192907"/>
    <n v="720000"/>
    <x v="2"/>
    <x v="34"/>
    <x v="8"/>
    <s v="DELEGATE AGENCY"/>
    <s v="RFP"/>
    <x v="0"/>
  </r>
  <r>
    <n v="192908"/>
    <n v="720000"/>
    <x v="2"/>
    <x v="466"/>
    <x v="8"/>
    <s v="DELEGATE AGENCY"/>
    <s v="RFP"/>
    <x v="0"/>
  </r>
  <r>
    <n v="192909"/>
    <n v="720000"/>
    <x v="2"/>
    <x v="57"/>
    <x v="8"/>
    <s v="DELEGATE AGENCY"/>
    <s v="RFP"/>
    <x v="0"/>
  </r>
  <r>
    <n v="192910"/>
    <n v="720000"/>
    <x v="2"/>
    <x v="91"/>
    <x v="8"/>
    <s v="DELEGATE AGENCY"/>
    <s v="RFP"/>
    <x v="0"/>
  </r>
  <r>
    <n v="192911"/>
    <n v="719678"/>
    <x v="2"/>
    <x v="467"/>
    <x v="8"/>
    <s v="DELEGATE AGENCY"/>
    <s v="RFP"/>
    <x v="0"/>
  </r>
  <r>
    <n v="192912"/>
    <n v="720000"/>
    <x v="2"/>
    <x v="468"/>
    <x v="8"/>
    <s v="DELEGATE AGENCY"/>
    <s v="RFP"/>
    <x v="0"/>
  </r>
  <r>
    <n v="192913"/>
    <n v="720000"/>
    <x v="2"/>
    <x v="469"/>
    <x v="8"/>
    <s v="DELEGATE AGENCY"/>
    <s v="RFP"/>
    <x v="0"/>
  </r>
  <r>
    <n v="192974"/>
    <n v="112911"/>
    <x v="2"/>
    <x v="359"/>
    <x v="2"/>
    <s v="DELEGATE AGENCY"/>
    <s v="RFP"/>
    <x v="0"/>
  </r>
  <r>
    <n v="192975"/>
    <n v="63283"/>
    <x v="1"/>
    <x v="220"/>
    <x v="2"/>
    <s v="DELEGATE AGENCY"/>
    <s v="RFP"/>
    <x v="0"/>
  </r>
  <r>
    <n v="192976"/>
    <n v="77450"/>
    <x v="1"/>
    <x v="470"/>
    <x v="2"/>
    <s v="DELEGATE AGENCY"/>
    <s v="RFP"/>
    <x v="1"/>
  </r>
  <r>
    <n v="192977"/>
    <n v="100000"/>
    <x v="1"/>
    <x v="471"/>
    <x v="2"/>
    <s v="DELEGATE AGENCY"/>
    <s v="RFP"/>
    <x v="1"/>
  </r>
  <r>
    <n v="192979"/>
    <n v="212000"/>
    <x v="1"/>
    <x v="472"/>
    <x v="2"/>
    <s v="DELEGATE AGENCY"/>
    <s v="RFP"/>
    <x v="0"/>
  </r>
  <r>
    <n v="192980"/>
    <n v="83066.100000000006"/>
    <x v="1"/>
    <x v="473"/>
    <x v="2"/>
    <s v="DELEGATE AGENCY"/>
    <s v="RFP"/>
    <x v="1"/>
  </r>
  <r>
    <n v="192981"/>
    <n v="97958"/>
    <x v="1"/>
    <x v="390"/>
    <x v="2"/>
    <s v="DELEGATE AGENCY"/>
    <s v="RFP"/>
    <x v="0"/>
  </r>
  <r>
    <n v="192982"/>
    <n v="87502"/>
    <x v="1"/>
    <x v="464"/>
    <x v="2"/>
    <s v="DELEGATE AGENCY"/>
    <s v="RFP"/>
    <x v="1"/>
  </r>
  <r>
    <n v="192984"/>
    <n v="50000"/>
    <x v="1"/>
    <x v="340"/>
    <x v="2"/>
    <s v="DELEGATE AGENCY"/>
    <s v="RFP"/>
    <x v="1"/>
  </r>
  <r>
    <n v="193223"/>
    <n v="25000"/>
    <x v="1"/>
    <x v="452"/>
    <x v="2"/>
    <s v="DELEGATE AGENCY"/>
    <s v="UNKNOWN"/>
    <x v="1"/>
  </r>
  <r>
    <n v="193224"/>
    <n v="97131.3"/>
    <x v="4"/>
    <x v="204"/>
    <x v="2"/>
    <s v="DELEGATE AGENCY"/>
    <s v="UNKNOWN"/>
    <x v="0"/>
  </r>
  <r>
    <n v="193225"/>
    <n v="234683.7"/>
    <x v="1"/>
    <x v="203"/>
    <x v="2"/>
    <s v="DELEGATE AGENCY"/>
    <s v="UNKNOWN"/>
    <x v="0"/>
  </r>
  <r>
    <n v="193227"/>
    <n v="35237.800000000003"/>
    <x v="1"/>
    <x v="452"/>
    <x v="2"/>
    <s v="DELEGATE AGENCY"/>
    <s v="UNKNOWN"/>
    <x v="0"/>
  </r>
  <r>
    <n v="193426"/>
    <n v="91344.7"/>
    <x v="4"/>
    <x v="376"/>
    <x v="2"/>
    <s v="DELEGATE AGENCY"/>
    <s v="UNKNOWN"/>
    <x v="0"/>
  </r>
  <r>
    <n v="193499"/>
    <n v="70368.100000000006"/>
    <x v="1"/>
    <x v="359"/>
    <x v="2"/>
    <s v="DELEGATE AGENCY"/>
    <s v="UNKNOWN"/>
    <x v="0"/>
  </r>
  <r>
    <n v="193782"/>
    <n v="159331.5"/>
    <x v="1"/>
    <x v="455"/>
    <x v="2"/>
    <s v="DELEGATE AGENCY"/>
    <s v="UNKNOWN"/>
    <x v="0"/>
  </r>
  <r>
    <n v="193854"/>
    <n v="4700000"/>
    <x v="1"/>
    <x v="474"/>
    <x v="6"/>
    <s v="PRO SERV-AVIATION"/>
    <s v="RFQ"/>
    <x v="2"/>
  </r>
  <r>
    <n v="19393"/>
    <n v="36954206"/>
    <x v="0"/>
    <x v="475"/>
    <x v="14"/>
    <s v="TELECOMMUNICATIONS"/>
    <s v="RFP"/>
    <x v="0"/>
  </r>
  <r>
    <n v="193943"/>
    <n v="68623"/>
    <x v="0"/>
    <x v="328"/>
    <x v="8"/>
    <s v="DELEGATE AGENCY"/>
    <s v="RFP"/>
    <x v="0"/>
  </r>
  <r>
    <n v="194137"/>
    <n v="15000"/>
    <x v="1"/>
    <x v="288"/>
    <x v="8"/>
    <s v="DELEGATE AGENCY"/>
    <s v="UNKNOWN"/>
    <x v="0"/>
  </r>
  <r>
    <n v="194191"/>
    <n v="139579.79999999999"/>
    <x v="4"/>
    <x v="220"/>
    <x v="2"/>
    <s v="DELEGATE AGENCY"/>
    <s v="UNKNOWN"/>
    <x v="0"/>
  </r>
  <r>
    <n v="194248"/>
    <n v="720000"/>
    <x v="1"/>
    <x v="212"/>
    <x v="8"/>
    <s v="DELEGATE AGENCY"/>
    <s v="RFP"/>
    <x v="0"/>
  </r>
  <r>
    <n v="194249"/>
    <n v="720000"/>
    <x v="2"/>
    <x v="298"/>
    <x v="8"/>
    <s v="DELEGATE AGENCY"/>
    <s v="RFP"/>
    <x v="0"/>
  </r>
  <r>
    <n v="194253"/>
    <n v="960000"/>
    <x v="2"/>
    <x v="363"/>
    <x v="8"/>
    <s v="DELEGATE AGENCY"/>
    <s v="RFP"/>
    <x v="0"/>
  </r>
  <r>
    <n v="194287"/>
    <n v="792000"/>
    <x v="2"/>
    <x v="476"/>
    <x v="8"/>
    <s v="DELEGATE AGENCY"/>
    <s v="RFP"/>
    <x v="0"/>
  </r>
  <r>
    <n v="194340"/>
    <n v="1803653"/>
    <x v="2"/>
    <x v="477"/>
    <x v="8"/>
    <s v="COMPTROLLER-OTHER"/>
    <s v="UNKNOWN"/>
    <x v="0"/>
  </r>
  <r>
    <n v="194421"/>
    <n v="4709000"/>
    <x v="0"/>
    <x v="285"/>
    <x v="12"/>
    <s v="DELEGATE AGENCY"/>
    <s v="UNKNOWN"/>
    <x v="0"/>
  </r>
  <r>
    <n v="194439"/>
    <n v="12000000"/>
    <x v="0"/>
    <x v="146"/>
    <x v="6"/>
    <s v="PRO SERV-AVIATION"/>
    <s v="RFQ"/>
    <x v="0"/>
  </r>
  <r>
    <n v="194440"/>
    <n v="12000000"/>
    <x v="0"/>
    <x v="478"/>
    <x v="6"/>
    <s v="PRO SERV-AVIATION"/>
    <s v="RFQ"/>
    <x v="0"/>
  </r>
  <r>
    <n v="194441"/>
    <n v="12000000"/>
    <x v="0"/>
    <x v="479"/>
    <x v="6"/>
    <s v="PRO SERV-AVIATION"/>
    <s v="RFQ"/>
    <x v="0"/>
  </r>
  <r>
    <n v="194442"/>
    <n v="12000000"/>
    <x v="0"/>
    <x v="480"/>
    <x v="6"/>
    <s v="PRO SERV-AVIATION"/>
    <s v="RFQ"/>
    <x v="0"/>
  </r>
  <r>
    <n v="194443"/>
    <n v="12000000"/>
    <x v="0"/>
    <x v="50"/>
    <x v="6"/>
    <s v="PRO SERV-AVIATION"/>
    <s v="RFQ"/>
    <x v="0"/>
  </r>
  <r>
    <n v="194444"/>
    <n v="12000000"/>
    <x v="0"/>
    <x v="481"/>
    <x v="6"/>
    <s v="PRO SERV-AVIATION"/>
    <s v="RFQ"/>
    <x v="0"/>
  </r>
  <r>
    <n v="194445"/>
    <n v="12000000"/>
    <x v="0"/>
    <x v="482"/>
    <x v="6"/>
    <s v="PRO SERV-AVIATION"/>
    <s v="RFQ"/>
    <x v="0"/>
  </r>
  <r>
    <n v="194451"/>
    <n v="12000000"/>
    <x v="0"/>
    <x v="146"/>
    <x v="6"/>
    <s v="PRO SERV-AVIATION"/>
    <s v="RFQ"/>
    <x v="0"/>
  </r>
  <r>
    <n v="194455"/>
    <n v="12000000"/>
    <x v="0"/>
    <x v="481"/>
    <x v="6"/>
    <s v="PRO SERV-AVIATION"/>
    <s v="RFQ"/>
    <x v="0"/>
  </r>
  <r>
    <n v="194456"/>
    <n v="12000000"/>
    <x v="0"/>
    <x v="483"/>
    <x v="1"/>
    <s v="PRO SERV-AVIATION"/>
    <s v="UNKNOWN"/>
    <x v="0"/>
  </r>
  <r>
    <n v="194626"/>
    <n v="101250"/>
    <x v="0"/>
    <x v="24"/>
    <x v="8"/>
    <s v="DELEGATE AGENCY"/>
    <s v="UNKNOWN"/>
    <x v="0"/>
  </r>
  <r>
    <n v="194742"/>
    <n v="25000"/>
    <x v="1"/>
    <x v="390"/>
    <x v="2"/>
    <s v="DELEGATE AGENCY"/>
    <s v="UNKNOWN"/>
    <x v="1"/>
  </r>
  <r>
    <n v="194860"/>
    <n v="43593800"/>
    <x v="4"/>
    <x v="484"/>
    <x v="5"/>
    <s v="WORK SERVICES / FACILITIES MAINT."/>
    <s v="BID"/>
    <x v="1"/>
  </r>
  <r>
    <n v="195006"/>
    <n v="1089000.1000000001"/>
    <x v="0"/>
    <x v="485"/>
    <x v="1"/>
    <s v="DELEGATE AGENCY"/>
    <s v="UNKNOWN"/>
    <x v="1"/>
  </r>
  <r>
    <n v="195177"/>
    <n v="3697609.8"/>
    <x v="0"/>
    <x v="283"/>
    <x v="0"/>
    <s v="CONSTRUCTION-LARGE $3MILLIONorABOVE"/>
    <s v="BID"/>
    <x v="0"/>
  </r>
  <r>
    <n v="195229"/>
    <n v="50000"/>
    <x v="0"/>
    <x v="486"/>
    <x v="20"/>
    <s v="COMPTROLLER-OTHER"/>
    <s v="UNKNOWN"/>
    <x v="0"/>
  </r>
  <r>
    <n v="195261"/>
    <n v="52835"/>
    <x v="1"/>
    <x v="487"/>
    <x v="20"/>
    <s v="COMPTROLLER-OTHER"/>
    <s v="UNKNOWN"/>
    <x v="1"/>
  </r>
  <r>
    <n v="195262"/>
    <n v="15000"/>
    <x v="1"/>
    <x v="488"/>
    <x v="20"/>
    <s v="COMPTROLLER-OTHER"/>
    <s v="UNKNOWN"/>
    <x v="0"/>
  </r>
  <r>
    <n v="195283"/>
    <n v="107000"/>
    <x v="4"/>
    <x v="489"/>
    <x v="20"/>
    <s v="COMPTROLLER-OTHER"/>
    <s v="UNKNOWN"/>
    <x v="0"/>
  </r>
  <r>
    <n v="195376"/>
    <n v="50000"/>
    <x v="1"/>
    <x v="359"/>
    <x v="2"/>
    <s v="DELEGATE AGENCY"/>
    <s v="UNKNOWN"/>
    <x v="1"/>
  </r>
  <r>
    <n v="19539"/>
    <n v="66531116.5"/>
    <x v="1"/>
    <x v="438"/>
    <x v="3"/>
    <s v="PRO SERV CONSULTING $250,000orABOVE"/>
    <s v="RFP"/>
    <x v="0"/>
  </r>
  <r>
    <n v="195548"/>
    <n v="417600"/>
    <x v="0"/>
    <x v="490"/>
    <x v="20"/>
    <s v="COMPTROLLER-OTHER"/>
    <s v="UNKNOWN"/>
    <x v="0"/>
  </r>
  <r>
    <n v="195565"/>
    <n v="1268790"/>
    <x v="2"/>
    <x v="234"/>
    <x v="20"/>
    <s v="COMPTROLLER-OTHER"/>
    <s v="UNKNOWN"/>
    <x v="0"/>
  </r>
  <r>
    <n v="195572"/>
    <n v="498520"/>
    <x v="0"/>
    <x v="491"/>
    <x v="20"/>
    <s v="COMPTROLLER-OTHER"/>
    <s v="UNKNOWN"/>
    <x v="0"/>
  </r>
  <r>
    <n v="195593"/>
    <n v="1849000"/>
    <x v="2"/>
    <x v="490"/>
    <x v="2"/>
    <s v="COMPTROLLER-OTHER"/>
    <s v="UNKNOWN"/>
    <x v="0"/>
  </r>
  <r>
    <n v="196003"/>
    <n v="348585"/>
    <x v="0"/>
    <x v="492"/>
    <x v="20"/>
    <s v="COMPTROLLER-OTHER"/>
    <s v="UNKNOWN"/>
    <x v="0"/>
  </r>
  <r>
    <n v="196045"/>
    <n v="1580222"/>
    <x v="2"/>
    <x v="114"/>
    <x v="12"/>
    <s v="DELEGATE AGENCY"/>
    <s v="UNKNOWN"/>
    <x v="0"/>
  </r>
  <r>
    <n v="196046"/>
    <n v="1358140"/>
    <x v="0"/>
    <x v="335"/>
    <x v="12"/>
    <s v="DELEGATE AGENCY"/>
    <s v="UNKNOWN"/>
    <x v="0"/>
  </r>
  <r>
    <n v="196047"/>
    <n v="1638798"/>
    <x v="0"/>
    <x v="493"/>
    <x v="12"/>
    <s v="DELEGATE AGENCY"/>
    <s v="UNKNOWN"/>
    <x v="0"/>
  </r>
  <r>
    <n v="196048"/>
    <n v="995123"/>
    <x v="0"/>
    <x v="336"/>
    <x v="12"/>
    <s v="DELEGATE AGENCY"/>
    <s v="UNKNOWN"/>
    <x v="0"/>
  </r>
  <r>
    <n v="196103"/>
    <n v="12000000"/>
    <x v="2"/>
    <x v="494"/>
    <x v="6"/>
    <s v="PRO SERV-AVIATION"/>
    <s v="RFQ"/>
    <x v="0"/>
  </r>
  <r>
    <n v="196104"/>
    <n v="12000000"/>
    <x v="0"/>
    <x v="480"/>
    <x v="6"/>
    <s v="PRO SERV-AVIATION"/>
    <s v="RFQ"/>
    <x v="0"/>
  </r>
  <r>
    <n v="196105"/>
    <n v="12000000"/>
    <x v="0"/>
    <x v="481"/>
    <x v="6"/>
    <s v="PRO SERV-AVIATION"/>
    <s v="RFQ"/>
    <x v="0"/>
  </r>
  <r>
    <n v="196108"/>
    <n v="12000000"/>
    <x v="0"/>
    <x v="494"/>
    <x v="6"/>
    <s v="PRO SERV-AVIATION"/>
    <s v="RFQ"/>
    <x v="0"/>
  </r>
  <r>
    <n v="196109"/>
    <n v="12000000"/>
    <x v="0"/>
    <x v="483"/>
    <x v="1"/>
    <s v="ARCH/ENGINEERING-AVIATION"/>
    <s v="UNKNOWN"/>
    <x v="0"/>
  </r>
  <r>
    <n v="196110"/>
    <n v="12000000"/>
    <x v="0"/>
    <x v="480"/>
    <x v="6"/>
    <s v="PRO SERV-AVIATION"/>
    <s v="RFQ"/>
    <x v="0"/>
  </r>
  <r>
    <n v="196111"/>
    <n v="12000000"/>
    <x v="0"/>
    <x v="481"/>
    <x v="6"/>
    <s v="PRO SERV-AVIATION"/>
    <s v="RFQ"/>
    <x v="0"/>
  </r>
  <r>
    <n v="196321"/>
    <n v="50000"/>
    <x v="0"/>
    <x v="495"/>
    <x v="9"/>
    <s v="COMPTROLLER-OTHER"/>
    <s v="UNKNOWN"/>
    <x v="0"/>
  </r>
  <r>
    <n v="196402"/>
    <n v="1458769"/>
    <x v="1"/>
    <x v="41"/>
    <x v="8"/>
    <s v="DELEGATE AGENCY"/>
    <s v="RFP"/>
    <x v="0"/>
  </r>
  <r>
    <n v="196403"/>
    <n v="779031"/>
    <x v="0"/>
    <x v="496"/>
    <x v="8"/>
    <s v="DELEGATE AGENCY"/>
    <s v="RFP"/>
    <x v="0"/>
  </r>
  <r>
    <n v="196404"/>
    <n v="767712"/>
    <x v="2"/>
    <x v="68"/>
    <x v="8"/>
    <s v="DELEGATE AGENCY"/>
    <s v="RFP"/>
    <x v="0"/>
  </r>
  <r>
    <n v="196405"/>
    <n v="749549"/>
    <x v="2"/>
    <x v="467"/>
    <x v="8"/>
    <s v="DELEGATE AGENCY"/>
    <s v="RFP"/>
    <x v="0"/>
  </r>
  <r>
    <n v="196406"/>
    <n v="1055699"/>
    <x v="2"/>
    <x v="497"/>
    <x v="8"/>
    <s v="DELEGATE AGENCY"/>
    <s v="RFP"/>
    <x v="0"/>
  </r>
  <r>
    <n v="196460"/>
    <n v="2606700"/>
    <x v="0"/>
    <x v="128"/>
    <x v="8"/>
    <s v="DELEGATE AGENCY"/>
    <s v="RFP"/>
    <x v="0"/>
  </r>
  <r>
    <n v="196462"/>
    <n v="625000"/>
    <x v="0"/>
    <x v="44"/>
    <x v="8"/>
    <s v="DELEGATE AGENCY"/>
    <s v="RFP"/>
    <x v="0"/>
  </r>
  <r>
    <n v="196819"/>
    <n v="97810"/>
    <x v="2"/>
    <x v="498"/>
    <x v="20"/>
    <s v="COMPTROLLER-OTHER"/>
    <s v="UNKNOWN"/>
    <x v="0"/>
  </r>
  <r>
    <n v="197089"/>
    <n v="848394.7"/>
    <x v="1"/>
    <x v="499"/>
    <x v="1"/>
    <s v="PROPERTY LEASE"/>
    <s v="UNKNOWN"/>
    <x v="0"/>
  </r>
  <r>
    <n v="197137"/>
    <n v="2052815"/>
    <x v="2"/>
    <x v="500"/>
    <x v="1"/>
    <s v="DELEGATE AGENCY"/>
    <s v="UNKNOWN"/>
    <x v="0"/>
  </r>
  <r>
    <n v="197249"/>
    <n v="715786"/>
    <x v="0"/>
    <x v="496"/>
    <x v="8"/>
    <s v="DELEGATE AGENCY"/>
    <s v="RFP"/>
    <x v="0"/>
  </r>
  <r>
    <n v="197254"/>
    <n v="240000"/>
    <x v="2"/>
    <x v="501"/>
    <x v="8"/>
    <s v="DELEGATE AGENCY"/>
    <s v="RFP"/>
    <x v="0"/>
  </r>
  <r>
    <n v="197258"/>
    <n v="960000"/>
    <x v="1"/>
    <x v="41"/>
    <x v="8"/>
    <s v="DELEGATE AGENCY"/>
    <s v="RFP"/>
    <x v="0"/>
  </r>
  <r>
    <n v="197263"/>
    <n v="720000"/>
    <x v="2"/>
    <x v="502"/>
    <x v="8"/>
    <s v="DELEGATE AGENCY"/>
    <s v="RFP"/>
    <x v="0"/>
  </r>
  <r>
    <n v="197266"/>
    <n v="97756.799999999901"/>
    <x v="2"/>
    <x v="11"/>
    <x v="0"/>
    <s v="CONSTRUCTION-LARGE $3MILLIONorABOVE"/>
    <s v="BID"/>
    <x v="0"/>
  </r>
  <r>
    <n v="197272"/>
    <n v="12052782"/>
    <x v="1"/>
    <x v="503"/>
    <x v="12"/>
    <s v="DELEGATE AGENCY"/>
    <s v="UNKNOWN"/>
    <x v="0"/>
  </r>
  <r>
    <n v="197279"/>
    <n v="87827"/>
    <x v="0"/>
    <x v="220"/>
    <x v="2"/>
    <s v="DELEGATE AGENCY"/>
    <s v="UNKNOWN"/>
    <x v="0"/>
  </r>
  <r>
    <n v="197661"/>
    <n v="5928689"/>
    <x v="1"/>
    <x v="285"/>
    <x v="12"/>
    <s v="DELEGATE AGENCY"/>
    <s v="UNKNOWN"/>
    <x v="0"/>
  </r>
  <r>
    <n v="197664"/>
    <n v="320000"/>
    <x v="0"/>
    <x v="315"/>
    <x v="12"/>
    <s v="DELEGATE AGENCY"/>
    <s v="UNKNOWN"/>
    <x v="0"/>
  </r>
  <r>
    <n v="197784"/>
    <n v="13970000"/>
    <x v="2"/>
    <x v="315"/>
    <x v="12"/>
    <s v="DELEGATE AGENCY"/>
    <s v="UNKNOWN"/>
    <x v="0"/>
  </r>
  <r>
    <n v="197792"/>
    <n v="87502"/>
    <x v="0"/>
    <x v="464"/>
    <x v="2"/>
    <s v="DELEGATE AGENCY"/>
    <s v="UNKNOWN"/>
    <x v="1"/>
  </r>
  <r>
    <n v="198204"/>
    <n v="6920000"/>
    <x v="1"/>
    <x v="504"/>
    <x v="8"/>
    <s v="DELEGATE AGENCY"/>
    <s v="RFP"/>
    <x v="0"/>
  </r>
  <r>
    <n v="198394"/>
    <n v="527096.5"/>
    <x v="0"/>
    <x v="454"/>
    <x v="2"/>
    <s v="DELEGATE AGENCY"/>
    <s v="UNKNOWN"/>
    <x v="0"/>
  </r>
  <r>
    <n v="198850"/>
    <n v="5000"/>
    <x v="2"/>
    <x v="505"/>
    <x v="20"/>
    <s v="COMPTROLLER-OTHER"/>
    <s v="UNKNOWN"/>
    <x v="1"/>
  </r>
  <r>
    <n v="198896"/>
    <n v="100000"/>
    <x v="3"/>
    <x v="506"/>
    <x v="20"/>
    <s v="COMPTROLLER-OTHER"/>
    <s v="UNKNOWN"/>
    <x v="1"/>
  </r>
  <r>
    <n v="198916"/>
    <n v="700000"/>
    <x v="1"/>
    <x v="507"/>
    <x v="20"/>
    <s v="COMPTROLLER-OTHER"/>
    <s v="UNKNOWN"/>
    <x v="1"/>
  </r>
  <r>
    <n v="199289"/>
    <n v="1104062.5"/>
    <x v="2"/>
    <x v="508"/>
    <x v="8"/>
    <s v="PRO SERV CONSULTING $250,000orABOVE"/>
    <s v="SOLE SOURCE"/>
    <x v="0"/>
  </r>
  <r>
    <n v="199608"/>
    <n v="21333"/>
    <x v="0"/>
    <x v="76"/>
    <x v="12"/>
    <s v="DELEGATE AGENCY"/>
    <s v="UNKNOWN"/>
    <x v="0"/>
  </r>
  <r>
    <n v="199664"/>
    <n v="901314"/>
    <x v="4"/>
    <x v="25"/>
    <x v="8"/>
    <s v="DELEGATE AGENCY"/>
    <s v="RFP"/>
    <x v="0"/>
  </r>
  <r>
    <n v="199668"/>
    <n v="25000000"/>
    <x v="2"/>
    <x v="509"/>
    <x v="0"/>
    <s v="ARCH/ENGINEERING"/>
    <s v="TASK ORDER"/>
    <x v="0"/>
  </r>
  <r>
    <n v="199765"/>
    <n v="9903980"/>
    <x v="0"/>
    <x v="510"/>
    <x v="12"/>
    <s v="DELEGATE AGENCY"/>
    <s v="UNKNOWN"/>
    <x v="0"/>
  </r>
  <r>
    <n v="199795"/>
    <n v="100000"/>
    <x v="0"/>
    <x v="485"/>
    <x v="12"/>
    <s v="DELEGATE AGENCY"/>
    <s v="UNKNOWN"/>
    <x v="0"/>
  </r>
  <r>
    <n v="199841"/>
    <n v="3000000"/>
    <x v="1"/>
    <x v="511"/>
    <x v="28"/>
    <s v="PRO SERV CONSULTING $250,000orABOVE"/>
    <s v="REFERENCE CONTRACT"/>
    <x v="1"/>
  </r>
  <r>
    <n v="199912"/>
    <n v="29150"/>
    <x v="0"/>
    <x v="76"/>
    <x v="12"/>
    <s v="DELEGATE AGENCY"/>
    <s v="UNKNOWN"/>
    <x v="0"/>
  </r>
  <r>
    <n v="200121"/>
    <n v="7000000"/>
    <x v="4"/>
    <x v="512"/>
    <x v="12"/>
    <s v="DELEGATE AGENCY"/>
    <s v="UNKNOWN"/>
    <x v="0"/>
  </r>
  <r>
    <n v="200123"/>
    <n v="25000000"/>
    <x v="0"/>
    <x v="7"/>
    <x v="1"/>
    <s v="ARCH/ENGINEERING"/>
    <s v="RFQ"/>
    <x v="0"/>
  </r>
  <r>
    <n v="200129"/>
    <n v="25000000"/>
    <x v="0"/>
    <x v="50"/>
    <x v="0"/>
    <s v="ARCH/ENGINEERING"/>
    <s v="TASK ORDER"/>
    <x v="0"/>
  </r>
  <r>
    <n v="200135"/>
    <n v="25000000"/>
    <x v="0"/>
    <x v="513"/>
    <x v="0"/>
    <s v="ARCH/ENGINEERING"/>
    <s v="RFQ"/>
    <x v="0"/>
  </r>
  <r>
    <n v="200136"/>
    <n v="25000000"/>
    <x v="0"/>
    <x v="514"/>
    <x v="0"/>
    <s v="ARCH/ENGINEERING"/>
    <s v="RFQ"/>
    <x v="0"/>
  </r>
  <r>
    <n v="200137"/>
    <n v="25000000"/>
    <x v="0"/>
    <x v="515"/>
    <x v="0"/>
    <s v="ARCH/ENGINEERING"/>
    <s v="RFQ"/>
    <x v="0"/>
  </r>
  <r>
    <n v="200138"/>
    <n v="25000000"/>
    <x v="0"/>
    <x v="516"/>
    <x v="0"/>
    <s v="ARCH/ENGINEERING"/>
    <s v="RFQ"/>
    <x v="0"/>
  </r>
  <r>
    <n v="200141"/>
    <n v="25000000"/>
    <x v="0"/>
    <x v="517"/>
    <x v="0"/>
    <s v="ARCH/ENGINEERING"/>
    <s v="RFQ"/>
    <x v="0"/>
  </r>
  <r>
    <n v="200142"/>
    <n v="25000000"/>
    <x v="0"/>
    <x v="483"/>
    <x v="1"/>
    <s v="ARCH/ENGINEERING"/>
    <s v="RFQ"/>
    <x v="0"/>
  </r>
  <r>
    <n v="200143"/>
    <n v="25000000"/>
    <x v="0"/>
    <x v="146"/>
    <x v="0"/>
    <s v="ARCH/ENGINEERING"/>
    <s v="RFQ"/>
    <x v="0"/>
  </r>
  <r>
    <n v="200144"/>
    <n v="25000000"/>
    <x v="0"/>
    <x v="518"/>
    <x v="0"/>
    <s v="ARCH/ENGINEERING"/>
    <s v="RFQ"/>
    <x v="0"/>
  </r>
  <r>
    <n v="200145"/>
    <n v="25000000"/>
    <x v="0"/>
    <x v="417"/>
    <x v="1"/>
    <s v="ARCH/ENGINEERING"/>
    <s v="RFQ"/>
    <x v="0"/>
  </r>
  <r>
    <n v="200146"/>
    <n v="25000000"/>
    <x v="0"/>
    <x v="519"/>
    <x v="0"/>
    <s v="ARCH/ENGINEERING"/>
    <s v="RFQ"/>
    <x v="0"/>
  </r>
  <r>
    <n v="200148"/>
    <n v="25000000"/>
    <x v="0"/>
    <x v="520"/>
    <x v="1"/>
    <s v="ARCH/ENGINEERING"/>
    <s v="RFQ"/>
    <x v="0"/>
  </r>
  <r>
    <n v="200151"/>
    <n v="25000000"/>
    <x v="0"/>
    <x v="521"/>
    <x v="0"/>
    <s v="ARCH/ENGINEERING"/>
    <s v="RFQ"/>
    <x v="0"/>
  </r>
  <r>
    <n v="200162"/>
    <n v="25000000"/>
    <x v="0"/>
    <x v="522"/>
    <x v="0"/>
    <s v="ARCH/ENGINEERING"/>
    <s v="RFQ"/>
    <x v="0"/>
  </r>
  <r>
    <n v="200164"/>
    <n v="25000000"/>
    <x v="0"/>
    <x v="523"/>
    <x v="29"/>
    <s v="ARCH/ENGINEERING"/>
    <s v="RFQ"/>
    <x v="0"/>
  </r>
  <r>
    <n v="200168"/>
    <n v="25000000"/>
    <x v="0"/>
    <x v="524"/>
    <x v="0"/>
    <s v="ARCH/ENGINEERING"/>
    <s v="RFQ"/>
    <x v="0"/>
  </r>
  <r>
    <n v="200172"/>
    <n v="25000000"/>
    <x v="0"/>
    <x v="273"/>
    <x v="0"/>
    <s v="ARCH/ENGINEERING"/>
    <s v="RFQ"/>
    <x v="0"/>
  </r>
  <r>
    <n v="200177"/>
    <n v="25000000"/>
    <x v="0"/>
    <x v="480"/>
    <x v="1"/>
    <s v="ARCH/ENGINEERING"/>
    <s v="RFQ"/>
    <x v="0"/>
  </r>
  <r>
    <n v="200260"/>
    <n v="2500000"/>
    <x v="0"/>
    <x v="525"/>
    <x v="8"/>
    <s v="DELEGATE AGENCY"/>
    <s v="RFP"/>
    <x v="0"/>
  </r>
  <r>
    <n v="200261"/>
    <n v="1750000"/>
    <x v="0"/>
    <x v="281"/>
    <x v="8"/>
    <s v="DELEGATE AGENCY"/>
    <s v="RFP"/>
    <x v="0"/>
  </r>
  <r>
    <n v="200495"/>
    <n v="47900000"/>
    <x v="0"/>
    <x v="526"/>
    <x v="25"/>
    <s v="PRO SERV CONSULTING $250,000orABOVE"/>
    <s v="RFP"/>
    <x v="1"/>
  </r>
  <r>
    <n v="200597"/>
    <n v="500000"/>
    <x v="0"/>
    <x v="504"/>
    <x v="8"/>
    <s v="DELEGATE AGENCY"/>
    <s v="RFP"/>
    <x v="0"/>
  </r>
  <r>
    <n v="200602"/>
    <n v="5000"/>
    <x v="2"/>
    <x v="527"/>
    <x v="22"/>
    <s v="DELEGATE AGENCY"/>
    <s v="UNKNOWN"/>
    <x v="0"/>
  </r>
  <r>
    <n v="200749"/>
    <n v="1549999.1"/>
    <x v="3"/>
    <x v="337"/>
    <x v="26"/>
    <s v="DELEGATE AGENCY"/>
    <s v="UNKNOWN"/>
    <x v="0"/>
  </r>
  <r>
    <n v="200907"/>
    <n v="1546493"/>
    <x v="0"/>
    <x v="528"/>
    <x v="1"/>
    <s v="DELEGATE AGENCY"/>
    <s v="UNKNOWN"/>
    <x v="0"/>
  </r>
  <r>
    <n v="200908"/>
    <n v="1882538"/>
    <x v="0"/>
    <x v="189"/>
    <x v="1"/>
    <s v="DELEGATE AGENCY"/>
    <s v="UNKNOWN"/>
    <x v="0"/>
  </r>
  <r>
    <n v="200910"/>
    <n v="1210448"/>
    <x v="0"/>
    <x v="468"/>
    <x v="1"/>
    <s v="DELEGATE AGENCY"/>
    <s v="UNKNOWN"/>
    <x v="0"/>
  </r>
  <r>
    <n v="200912"/>
    <n v="1882538"/>
    <x v="0"/>
    <x v="529"/>
    <x v="1"/>
    <s v="DELEGATE AGENCY"/>
    <s v="UNKNOWN"/>
    <x v="0"/>
  </r>
  <r>
    <n v="200913"/>
    <n v="1882538"/>
    <x v="0"/>
    <x v="530"/>
    <x v="1"/>
    <s v="DELEGATE AGENCY"/>
    <s v="UNKNOWN"/>
    <x v="0"/>
  </r>
  <r>
    <n v="201008"/>
    <n v="1286556"/>
    <x v="0"/>
    <x v="531"/>
    <x v="12"/>
    <s v="DELEGATE AGENCY"/>
    <s v="RFP"/>
    <x v="0"/>
  </r>
  <r>
    <n v="201009"/>
    <n v="475420"/>
    <x v="0"/>
    <x v="532"/>
    <x v="12"/>
    <s v="DELEGATE AGENCY"/>
    <s v="RFP"/>
    <x v="0"/>
  </r>
  <r>
    <n v="201010"/>
    <n v="508160"/>
    <x v="2"/>
    <x v="170"/>
    <x v="12"/>
    <s v="DELEGATE AGENCY"/>
    <s v="RFP"/>
    <x v="0"/>
  </r>
  <r>
    <n v="201011"/>
    <n v="433620"/>
    <x v="2"/>
    <x v="533"/>
    <x v="12"/>
    <s v="DELEGATE AGENCY"/>
    <s v="RFP"/>
    <x v="0"/>
  </r>
  <r>
    <n v="201012"/>
    <n v="276360"/>
    <x v="2"/>
    <x v="534"/>
    <x v="12"/>
    <s v="DELEGATE AGENCY"/>
    <s v="RFP"/>
    <x v="0"/>
  </r>
  <r>
    <n v="201013"/>
    <n v="10033044"/>
    <x v="2"/>
    <x v="297"/>
    <x v="12"/>
    <s v="DELEGATE AGENCY"/>
    <s v="RFP"/>
    <x v="0"/>
  </r>
  <r>
    <n v="201081"/>
    <n v="25000000"/>
    <x v="0"/>
    <x v="513"/>
    <x v="1"/>
    <s v="ARCH/ENGINEERING"/>
    <s v="UNKNOWN"/>
    <x v="0"/>
  </r>
  <r>
    <n v="201082"/>
    <n v="25000000"/>
    <x v="0"/>
    <x v="523"/>
    <x v="1"/>
    <s v="ARCH/ENGINEERING"/>
    <s v="RFQ"/>
    <x v="0"/>
  </r>
  <r>
    <n v="201084"/>
    <n v="25000000"/>
    <x v="0"/>
    <x v="522"/>
    <x v="0"/>
    <s v="ARCH/ENGINEERING"/>
    <s v="RFQ"/>
    <x v="0"/>
  </r>
  <r>
    <n v="201085"/>
    <n v="25000000"/>
    <x v="0"/>
    <x v="515"/>
    <x v="0"/>
    <s v="ARCH/ENGINEERING"/>
    <s v="RFQ"/>
    <x v="0"/>
  </r>
  <r>
    <n v="201086"/>
    <n v="25000000"/>
    <x v="0"/>
    <x v="50"/>
    <x v="0"/>
    <s v="ARCH/ENGINEERING"/>
    <s v="RFQ"/>
    <x v="0"/>
  </r>
  <r>
    <n v="201110"/>
    <n v="60000"/>
    <x v="0"/>
    <x v="46"/>
    <x v="8"/>
    <s v="DELEGATE AGENCY"/>
    <s v="UNKNOWN"/>
    <x v="0"/>
  </r>
  <r>
    <n v="201147"/>
    <n v="43750"/>
    <x v="1"/>
    <x v="535"/>
    <x v="24"/>
    <s v="DEMOLITION"/>
    <s v="EMERGENCY"/>
    <x v="0"/>
  </r>
  <r>
    <n v="201311"/>
    <n v="21332"/>
    <x v="4"/>
    <x v="59"/>
    <x v="12"/>
    <s v="DELEGATE AGENCY"/>
    <s v="UNKNOWN"/>
    <x v="0"/>
  </r>
  <r>
    <n v="201312"/>
    <n v="570750"/>
    <x v="4"/>
    <x v="259"/>
    <x v="12"/>
    <s v="DELEGATE AGENCY"/>
    <s v="UNKNOWN"/>
    <x v="0"/>
  </r>
  <r>
    <n v="201404"/>
    <n v="327916.40000000002"/>
    <x v="2"/>
    <x v="536"/>
    <x v="5"/>
    <s v="CONSTRUCTION-LARGE $3MILLIONorABOVE"/>
    <s v="BID"/>
    <x v="1"/>
  </r>
  <r>
    <n v="201418"/>
    <n v="6200622.4000000004"/>
    <x v="2"/>
    <x v="537"/>
    <x v="3"/>
    <s v="WORK SERVICES / FACILITIES MAINT."/>
    <s v="BID"/>
    <x v="1"/>
  </r>
  <r>
    <n v="201501"/>
    <n v="60000"/>
    <x v="0"/>
    <x v="82"/>
    <x v="8"/>
    <s v="DELEGATE AGENCY"/>
    <s v="UNKNOWN"/>
    <x v="0"/>
  </r>
  <r>
    <n v="201511"/>
    <n v="1010986.5"/>
    <x v="1"/>
    <x v="538"/>
    <x v="14"/>
    <s v="PRO SERV CONSULTING $250,000orABOVE"/>
    <s v="RFP"/>
    <x v="0"/>
  </r>
  <r>
    <n v="201625"/>
    <n v="43725"/>
    <x v="0"/>
    <x v="539"/>
    <x v="9"/>
    <s v="COMPTROLLER-OTHER"/>
    <s v="UNKNOWN"/>
    <x v="0"/>
  </r>
  <r>
    <n v="201667"/>
    <n v="720000"/>
    <x v="4"/>
    <x v="27"/>
    <x v="8"/>
    <s v="DELEGATE AGENCY"/>
    <s v="RFP"/>
    <x v="0"/>
  </r>
  <r>
    <n v="201805"/>
    <n v="3265151"/>
    <x v="2"/>
    <x v="233"/>
    <x v="5"/>
    <s v="CONSTRUCTION-GENERAL"/>
    <s v="BID"/>
    <x v="1"/>
  </r>
  <r>
    <n v="201989"/>
    <n v="63992.7"/>
    <x v="0"/>
    <x v="92"/>
    <x v="12"/>
    <s v="DELEGATE AGENCY"/>
    <s v="UNKNOWN"/>
    <x v="0"/>
  </r>
  <r>
    <n v="201991"/>
    <n v="8629"/>
    <x v="1"/>
    <x v="5"/>
    <x v="8"/>
    <s v="DELEGATE AGENCY"/>
    <s v="UNKNOWN"/>
    <x v="0"/>
  </r>
  <r>
    <n v="201996"/>
    <n v="32396.400000000001"/>
    <x v="3"/>
    <x v="92"/>
    <x v="12"/>
    <s v="DELEGATE AGENCY"/>
    <s v="UNKNOWN"/>
    <x v="0"/>
  </r>
  <r>
    <n v="202221"/>
    <n v="400000"/>
    <x v="4"/>
    <x v="540"/>
    <x v="1"/>
    <s v="DELEGATE AGENCY"/>
    <s v="UNKNOWN"/>
    <x v="0"/>
  </r>
  <r>
    <n v="202268"/>
    <n v="7066615"/>
    <x v="2"/>
    <x v="510"/>
    <x v="12"/>
    <s v="DELEGATE AGENCY"/>
    <s v="UNKNOWN"/>
    <x v="0"/>
  </r>
  <r>
    <n v="202270"/>
    <n v="2450000"/>
    <x v="0"/>
    <x v="527"/>
    <x v="22"/>
    <s v="DELEGATE AGENCY"/>
    <s v="RFP"/>
    <x v="0"/>
  </r>
  <r>
    <n v="202391"/>
    <n v="3300"/>
    <x v="0"/>
    <x v="541"/>
    <x v="16"/>
    <s v="DELEGATE AGENCY"/>
    <s v="RFP"/>
    <x v="0"/>
  </r>
  <r>
    <n v="202428"/>
    <n v="20788.400000000001"/>
    <x v="3"/>
    <x v="67"/>
    <x v="12"/>
    <s v="DELEGATE AGENCY"/>
    <s v="UNKNOWN"/>
    <x v="0"/>
  </r>
  <r>
    <n v="202825"/>
    <n v="6000000"/>
    <x v="4"/>
    <x v="479"/>
    <x v="6"/>
    <s v="PRO SERV-AVIATION"/>
    <s v="RFQ"/>
    <x v="2"/>
  </r>
  <r>
    <n v="20300"/>
    <n v="884242.7"/>
    <x v="0"/>
    <x v="542"/>
    <x v="3"/>
    <s v="VEHICLES/HEAVY EQUIPMENT (CAPITAL)"/>
    <s v="BID"/>
    <x v="2"/>
  </r>
  <r>
    <n v="203199"/>
    <n v="6748366.4000000004"/>
    <x v="2"/>
    <x v="543"/>
    <x v="1"/>
    <s v="WORK SERVICES / FACILITIES MAINT."/>
    <s v="UNKNOWN"/>
    <x v="0"/>
  </r>
  <r>
    <n v="203225"/>
    <n v="25478"/>
    <x v="0"/>
    <x v="463"/>
    <x v="8"/>
    <s v="DELEGATE AGENCY"/>
    <s v="UNKNOWN"/>
    <x v="0"/>
  </r>
  <r>
    <n v="203228"/>
    <n v="24195.3"/>
    <x v="4"/>
    <x v="59"/>
    <x v="8"/>
    <s v="DELEGATE AGENCY"/>
    <s v="UNKNOWN"/>
    <x v="0"/>
  </r>
  <r>
    <n v="203272"/>
    <n v="2563208"/>
    <x v="4"/>
    <x v="127"/>
    <x v="12"/>
    <s v="DELEGATE AGENCY"/>
    <s v="UNKNOWN"/>
    <x v="0"/>
  </r>
  <r>
    <n v="203298"/>
    <n v="746943"/>
    <x v="0"/>
    <x v="114"/>
    <x v="12"/>
    <s v="DELEGATE AGENCY"/>
    <s v="UNKNOWN"/>
    <x v="0"/>
  </r>
  <r>
    <n v="203304"/>
    <n v="1387745"/>
    <x v="2"/>
    <x v="82"/>
    <x v="12"/>
    <s v="DELEGATE AGENCY"/>
    <s v="UNKNOWN"/>
    <x v="0"/>
  </r>
  <r>
    <n v="203305"/>
    <n v="2721897"/>
    <x v="0"/>
    <x v="441"/>
    <x v="12"/>
    <s v="DELEGATE AGENCY"/>
    <s v="RFP"/>
    <x v="0"/>
  </r>
  <r>
    <n v="203307"/>
    <n v="746943"/>
    <x v="0"/>
    <x v="376"/>
    <x v="12"/>
    <s v="DELEGATE AGENCY"/>
    <s v="UNKNOWN"/>
    <x v="0"/>
  </r>
  <r>
    <n v="203319"/>
    <n v="29162.1"/>
    <x v="2"/>
    <x v="119"/>
    <x v="12"/>
    <s v="DELEGATE AGENCY"/>
    <s v="UNKNOWN"/>
    <x v="0"/>
  </r>
  <r>
    <n v="203321"/>
    <n v="29227.4"/>
    <x v="4"/>
    <x v="544"/>
    <x v="12"/>
    <s v="DELEGATE AGENCY"/>
    <s v="UNKNOWN"/>
    <x v="0"/>
  </r>
  <r>
    <n v="203322"/>
    <n v="228473.3"/>
    <x v="4"/>
    <x v="59"/>
    <x v="12"/>
    <s v="DELEGATE AGENCY"/>
    <s v="UNKNOWN"/>
    <x v="0"/>
  </r>
  <r>
    <n v="203331"/>
    <n v="55149.4"/>
    <x v="1"/>
    <x v="93"/>
    <x v="12"/>
    <s v="DELEGATE AGENCY"/>
    <s v="UNKNOWN"/>
    <x v="0"/>
  </r>
  <r>
    <n v="203344"/>
    <n v="28129.1"/>
    <x v="1"/>
    <x v="77"/>
    <x v="12"/>
    <s v="DELEGATE AGENCY"/>
    <s v="UNKNOWN"/>
    <x v="0"/>
  </r>
  <r>
    <n v="20337"/>
    <n v="900000"/>
    <x v="4"/>
    <x v="545"/>
    <x v="3"/>
    <s v="VEHICLES/HEAVY EQUIPMENT (CAPITAL)"/>
    <s v="BID"/>
    <x v="1"/>
  </r>
  <r>
    <n v="20341"/>
    <n v="2465582.7999999998"/>
    <x v="2"/>
    <x v="546"/>
    <x v="3"/>
    <s v="VEHICLES/HEAVY EQUIPMENT (CAPITAL)"/>
    <s v="BID"/>
    <x v="0"/>
  </r>
  <r>
    <n v="203455"/>
    <n v="33950"/>
    <x v="0"/>
    <x v="547"/>
    <x v="16"/>
    <s v="DELEGATE AGENCY"/>
    <s v="UNKNOWN"/>
    <x v="0"/>
  </r>
  <r>
    <n v="203693"/>
    <n v="9180"/>
    <x v="4"/>
    <x v="83"/>
    <x v="12"/>
    <s v="DELEGATE AGENCY"/>
    <s v="UNKNOWN"/>
    <x v="0"/>
  </r>
  <r>
    <n v="203694"/>
    <n v="4308.8999999999996"/>
    <x v="3"/>
    <x v="548"/>
    <x v="12"/>
    <s v="DELEGATE AGENCY"/>
    <s v="UNKNOWN"/>
    <x v="0"/>
  </r>
  <r>
    <n v="203695"/>
    <n v="125956.6"/>
    <x v="3"/>
    <x v="67"/>
    <x v="12"/>
    <s v="DELEGATE AGENCY"/>
    <s v="UNKNOWN"/>
    <x v="0"/>
  </r>
  <r>
    <n v="203696"/>
    <n v="976"/>
    <x v="1"/>
    <x v="549"/>
    <x v="12"/>
    <s v="DELEGATE AGENCY"/>
    <s v="UNKNOWN"/>
    <x v="0"/>
  </r>
  <r>
    <n v="203697"/>
    <n v="7984"/>
    <x v="3"/>
    <x v="100"/>
    <x v="12"/>
    <s v="DELEGATE AGENCY"/>
    <s v="UNKNOWN"/>
    <x v="0"/>
  </r>
  <r>
    <n v="203698"/>
    <n v="40367"/>
    <x v="3"/>
    <x v="100"/>
    <x v="12"/>
    <s v="DELEGATE AGENCY"/>
    <s v="UNKNOWN"/>
    <x v="0"/>
  </r>
  <r>
    <n v="203699"/>
    <n v="10513.8"/>
    <x v="4"/>
    <x v="86"/>
    <x v="12"/>
    <s v="DELEGATE AGENCY"/>
    <s v="UNKNOWN"/>
    <x v="0"/>
  </r>
  <r>
    <n v="203701"/>
    <n v="18860"/>
    <x v="4"/>
    <x v="91"/>
    <x v="12"/>
    <s v="DELEGATE AGENCY"/>
    <s v="UNKNOWN"/>
    <x v="0"/>
  </r>
  <r>
    <n v="203702"/>
    <n v="21647.9"/>
    <x v="4"/>
    <x v="91"/>
    <x v="12"/>
    <s v="DELEGATE AGENCY"/>
    <s v="UNKNOWN"/>
    <x v="0"/>
  </r>
  <r>
    <n v="203729"/>
    <n v="6500000"/>
    <x v="4"/>
    <x v="550"/>
    <x v="2"/>
    <s v="COMPTROLLER-OTHER"/>
    <s v="UNKNOWN"/>
    <x v="1"/>
  </r>
  <r>
    <n v="203748"/>
    <n v="12000000"/>
    <x v="0"/>
    <x v="551"/>
    <x v="6"/>
    <s v="PRO SERV-AVIATION"/>
    <s v="RFQ"/>
    <x v="0"/>
  </r>
  <r>
    <n v="203827"/>
    <n v="63559.9"/>
    <x v="0"/>
    <x v="133"/>
    <x v="12"/>
    <s v="DELEGATE AGENCY"/>
    <s v="UNKNOWN"/>
    <x v="0"/>
  </r>
  <r>
    <n v="203933"/>
    <n v="7949"/>
    <x v="1"/>
    <x v="552"/>
    <x v="20"/>
    <s v="COMPTROLLER-OTHER"/>
    <s v="UNKNOWN"/>
    <x v="1"/>
  </r>
  <r>
    <n v="204026"/>
    <n v="8797"/>
    <x v="3"/>
    <x v="405"/>
    <x v="0"/>
    <s v="JOC"/>
    <s v="UNKNOWN"/>
    <x v="0"/>
  </r>
  <r>
    <n v="204121"/>
    <n v="1338750"/>
    <x v="3"/>
    <x v="553"/>
    <x v="3"/>
    <s v="WORK SERVICES / FACILITIES MAINT."/>
    <s v="BID"/>
    <x v="0"/>
  </r>
  <r>
    <n v="20414"/>
    <n v="1492340.9"/>
    <x v="0"/>
    <x v="554"/>
    <x v="3"/>
    <s v="VEHICLES/HEAVY EQUIPMENT (CAPITAL)"/>
    <s v="BID"/>
    <x v="0"/>
  </r>
  <r>
    <n v="204220"/>
    <n v="9073.2000000000007"/>
    <x v="0"/>
    <x v="57"/>
    <x v="12"/>
    <s v="DELEGATE AGENCY"/>
    <s v="UNKNOWN"/>
    <x v="0"/>
  </r>
  <r>
    <n v="204221"/>
    <n v="9720"/>
    <x v="3"/>
    <x v="108"/>
    <x v="12"/>
    <s v="DELEGATE AGENCY"/>
    <s v="UNKNOWN"/>
    <x v="0"/>
  </r>
  <r>
    <n v="204222"/>
    <n v="17599.7"/>
    <x v="3"/>
    <x v="108"/>
    <x v="12"/>
    <s v="DELEGATE AGENCY"/>
    <s v="UNKNOWN"/>
    <x v="0"/>
  </r>
  <r>
    <n v="204380"/>
    <n v="730538"/>
    <x v="4"/>
    <x v="302"/>
    <x v="12"/>
    <s v="DELEGATE AGENCY"/>
    <s v="UNKNOWN"/>
    <x v="0"/>
  </r>
  <r>
    <n v="204561"/>
    <n v="429343.3"/>
    <x v="2"/>
    <x v="267"/>
    <x v="0"/>
    <s v="CONSTRUCTION-LARGE $3MILLIONorABOVE"/>
    <s v="BID"/>
    <x v="0"/>
  </r>
  <r>
    <n v="204595"/>
    <n v="7114797.5"/>
    <x v="2"/>
    <x v="160"/>
    <x v="13"/>
    <s v="WORK SERVICES / FACILITIES MAINT."/>
    <s v="BID"/>
    <x v="0"/>
  </r>
  <r>
    <n v="204596"/>
    <n v="723266.5"/>
    <x v="0"/>
    <x v="555"/>
    <x v="13"/>
    <s v="WORK SERVICES / FACILITIES MAINT."/>
    <s v="BID"/>
    <x v="0"/>
  </r>
  <r>
    <n v="204598"/>
    <n v="8544615"/>
    <x v="2"/>
    <x v="556"/>
    <x v="13"/>
    <s v="WORK SERVICES / FACILITIES MAINT."/>
    <s v="BID"/>
    <x v="0"/>
  </r>
  <r>
    <n v="204694"/>
    <n v="1414999.9"/>
    <x v="0"/>
    <x v="557"/>
    <x v="3"/>
    <s v="VEHICLES/HEAVY EQUIPMENT (CAPITAL)"/>
    <s v="SOLE SOURCE"/>
    <x v="1"/>
  </r>
  <r>
    <n v="204696"/>
    <n v="7035000"/>
    <x v="0"/>
    <x v="558"/>
    <x v="12"/>
    <s v="DELEGATE AGENCY"/>
    <s v="UNKNOWN"/>
    <x v="0"/>
  </r>
  <r>
    <n v="204836"/>
    <n v="1800"/>
    <x v="0"/>
    <x v="41"/>
    <x v="8"/>
    <s v="DELEGATE AGENCY"/>
    <s v="UNKNOWN"/>
    <x v="0"/>
  </r>
  <r>
    <n v="204842"/>
    <n v="27404.9"/>
    <x v="3"/>
    <x v="119"/>
    <x v="12"/>
    <s v="DELEGATE AGENCY"/>
    <s v="UNKNOWN"/>
    <x v="0"/>
  </r>
  <r>
    <n v="204843"/>
    <n v="15148.8"/>
    <x v="4"/>
    <x v="119"/>
    <x v="12"/>
    <s v="DELEGATE AGENCY"/>
    <s v="UNKNOWN"/>
    <x v="0"/>
  </r>
  <r>
    <n v="204846"/>
    <n v="17589.7"/>
    <x v="4"/>
    <x v="131"/>
    <x v="12"/>
    <s v="DELEGATE AGENCY"/>
    <s v="UNKNOWN"/>
    <x v="0"/>
  </r>
  <r>
    <n v="204848"/>
    <n v="8800"/>
    <x v="4"/>
    <x v="132"/>
    <x v="12"/>
    <s v="DELEGATE AGENCY"/>
    <s v="UNKNOWN"/>
    <x v="0"/>
  </r>
  <r>
    <n v="204851"/>
    <n v="8150.3"/>
    <x v="3"/>
    <x v="106"/>
    <x v="12"/>
    <s v="DELEGATE AGENCY"/>
    <s v="UNKNOWN"/>
    <x v="0"/>
  </r>
  <r>
    <n v="204932"/>
    <n v="344600"/>
    <x v="3"/>
    <x v="559"/>
    <x v="2"/>
    <s v="COMPTROLLER-OTHER"/>
    <s v="UNKNOWN"/>
    <x v="1"/>
  </r>
  <r>
    <n v="205190"/>
    <n v="38096.400000000001"/>
    <x v="2"/>
    <x v="120"/>
    <x v="12"/>
    <s v="DELEGATE AGENCY"/>
    <s v="UNKNOWN"/>
    <x v="0"/>
  </r>
  <r>
    <n v="205191"/>
    <n v="16714.900000000001"/>
    <x v="4"/>
    <x v="239"/>
    <x v="12"/>
    <s v="DELEGATE AGENCY"/>
    <s v="UNKNOWN"/>
    <x v="0"/>
  </r>
  <r>
    <n v="205192"/>
    <n v="8328.7000000000007"/>
    <x v="4"/>
    <x v="131"/>
    <x v="12"/>
    <s v="DELEGATE AGENCY"/>
    <s v="UNKNOWN"/>
    <x v="0"/>
  </r>
  <r>
    <n v="205193"/>
    <n v="24000"/>
    <x v="3"/>
    <x v="125"/>
    <x v="12"/>
    <s v="DELEGATE AGENCY"/>
    <s v="UNKNOWN"/>
    <x v="0"/>
  </r>
  <r>
    <n v="205194"/>
    <n v="36715.699999999997"/>
    <x v="4"/>
    <x v="102"/>
    <x v="12"/>
    <s v="DELEGATE AGENCY"/>
    <s v="UNKNOWN"/>
    <x v="0"/>
  </r>
  <r>
    <n v="205196"/>
    <n v="18360"/>
    <x v="4"/>
    <x v="111"/>
    <x v="12"/>
    <s v="DELEGATE AGENCY"/>
    <s v="UNKNOWN"/>
    <x v="0"/>
  </r>
  <r>
    <n v="205197"/>
    <n v="15649.5"/>
    <x v="4"/>
    <x v="110"/>
    <x v="12"/>
    <s v="DELEGATE AGENCY"/>
    <s v="UNKNOWN"/>
    <x v="0"/>
  </r>
  <r>
    <n v="205199"/>
    <n v="105436.5"/>
    <x v="4"/>
    <x v="114"/>
    <x v="12"/>
    <s v="DELEGATE AGENCY"/>
    <s v="UNKNOWN"/>
    <x v="0"/>
  </r>
  <r>
    <n v="205201"/>
    <n v="111583.5"/>
    <x v="1"/>
    <x v="76"/>
    <x v="12"/>
    <s v="DELEGATE AGENCY"/>
    <s v="UNKNOWN"/>
    <x v="0"/>
  </r>
  <r>
    <n v="205202"/>
    <n v="19440"/>
    <x v="1"/>
    <x v="84"/>
    <x v="12"/>
    <s v="DELEGATE AGENCY"/>
    <s v="UNKNOWN"/>
    <x v="0"/>
  </r>
  <r>
    <n v="205203"/>
    <n v="9719.1"/>
    <x v="4"/>
    <x v="153"/>
    <x v="12"/>
    <s v="DELEGATE AGENCY"/>
    <s v="UNKNOWN"/>
    <x v="0"/>
  </r>
  <r>
    <n v="205204"/>
    <n v="9718.5"/>
    <x v="3"/>
    <x v="98"/>
    <x v="12"/>
    <s v="DELEGATE AGENCY"/>
    <s v="UNKNOWN"/>
    <x v="0"/>
  </r>
  <r>
    <n v="205205"/>
    <n v="42614.9"/>
    <x v="3"/>
    <x v="62"/>
    <x v="12"/>
    <s v="DELEGATE AGENCY"/>
    <s v="UNKNOWN"/>
    <x v="0"/>
  </r>
  <r>
    <n v="205206"/>
    <n v="52920"/>
    <x v="4"/>
    <x v="101"/>
    <x v="12"/>
    <s v="DELEGATE AGENCY"/>
    <s v="UNKNOWN"/>
    <x v="0"/>
  </r>
  <r>
    <n v="205207"/>
    <n v="88000"/>
    <x v="1"/>
    <x v="101"/>
    <x v="12"/>
    <s v="DELEGATE AGENCY"/>
    <s v="UNKNOWN"/>
    <x v="0"/>
  </r>
  <r>
    <n v="205208"/>
    <n v="84240"/>
    <x v="1"/>
    <x v="113"/>
    <x v="12"/>
    <s v="DELEGATE AGENCY"/>
    <s v="UNKNOWN"/>
    <x v="0"/>
  </r>
  <r>
    <n v="205209"/>
    <n v="9180"/>
    <x v="1"/>
    <x v="129"/>
    <x v="12"/>
    <s v="DELEGATE AGENCY"/>
    <s v="UNKNOWN"/>
    <x v="0"/>
  </r>
  <r>
    <n v="205210"/>
    <n v="8090.5"/>
    <x v="3"/>
    <x v="134"/>
    <x v="12"/>
    <s v="DELEGATE AGENCY"/>
    <s v="UNKNOWN"/>
    <x v="0"/>
  </r>
  <r>
    <n v="205211"/>
    <n v="18360"/>
    <x v="3"/>
    <x v="81"/>
    <x v="12"/>
    <s v="DELEGATE AGENCY"/>
    <s v="UNKNOWN"/>
    <x v="0"/>
  </r>
  <r>
    <n v="205213"/>
    <n v="7843.8"/>
    <x v="4"/>
    <x v="94"/>
    <x v="12"/>
    <s v="DELEGATE AGENCY"/>
    <s v="UNKNOWN"/>
    <x v="0"/>
  </r>
  <r>
    <n v="205216"/>
    <n v="43499.9"/>
    <x v="3"/>
    <x v="121"/>
    <x v="12"/>
    <s v="DELEGATE AGENCY"/>
    <s v="UNKNOWN"/>
    <x v="0"/>
  </r>
  <r>
    <n v="205497"/>
    <n v="9702.1"/>
    <x v="4"/>
    <x v="116"/>
    <x v="12"/>
    <s v="DELEGATE AGENCY"/>
    <s v="UNKNOWN"/>
    <x v="0"/>
  </r>
  <r>
    <n v="205514"/>
    <n v="29371.7"/>
    <x v="3"/>
    <x v="87"/>
    <x v="12"/>
    <s v="DELEGATE AGENCY"/>
    <s v="UNKNOWN"/>
    <x v="0"/>
  </r>
  <r>
    <n v="205515"/>
    <n v="7325.1"/>
    <x v="4"/>
    <x v="87"/>
    <x v="12"/>
    <s v="DELEGATE AGENCY"/>
    <s v="UNKNOWN"/>
    <x v="0"/>
  </r>
  <r>
    <n v="205517"/>
    <n v="27824.799999999999"/>
    <x v="3"/>
    <x v="64"/>
    <x v="12"/>
    <s v="DELEGATE AGENCY"/>
    <s v="UNKNOWN"/>
    <x v="0"/>
  </r>
  <r>
    <n v="205519"/>
    <n v="9089.2000000000007"/>
    <x v="4"/>
    <x v="71"/>
    <x v="12"/>
    <s v="DELEGATE AGENCY"/>
    <s v="UNKNOWN"/>
    <x v="0"/>
  </r>
  <r>
    <n v="205520"/>
    <n v="14119"/>
    <x v="3"/>
    <x v="105"/>
    <x v="12"/>
    <s v="DELEGATE AGENCY"/>
    <s v="UNKNOWN"/>
    <x v="0"/>
  </r>
  <r>
    <n v="205521"/>
    <n v="8707.6"/>
    <x v="4"/>
    <x v="105"/>
    <x v="12"/>
    <s v="DELEGATE AGENCY"/>
    <s v="UNKNOWN"/>
    <x v="0"/>
  </r>
  <r>
    <n v="205522"/>
    <n v="36000"/>
    <x v="3"/>
    <x v="560"/>
    <x v="12"/>
    <s v="DELEGATE AGENCY"/>
    <s v="UNKNOWN"/>
    <x v="0"/>
  </r>
  <r>
    <n v="205524"/>
    <n v="143090.6"/>
    <x v="4"/>
    <x v="69"/>
    <x v="12"/>
    <s v="DELEGATE AGENCY"/>
    <s v="UNKNOWN"/>
    <x v="0"/>
  </r>
  <r>
    <n v="205526"/>
    <n v="42380.1"/>
    <x v="1"/>
    <x v="66"/>
    <x v="12"/>
    <s v="DELEGATE AGENCY"/>
    <s v="UNKNOWN"/>
    <x v="0"/>
  </r>
  <r>
    <n v="205527"/>
    <n v="34034"/>
    <x v="4"/>
    <x v="66"/>
    <x v="12"/>
    <s v="DELEGATE AGENCY"/>
    <s v="UNKNOWN"/>
    <x v="0"/>
  </r>
  <r>
    <n v="205560"/>
    <n v="88340.5"/>
    <x v="4"/>
    <x v="61"/>
    <x v="12"/>
    <s v="DELEGATE AGENCY"/>
    <s v="UNKNOWN"/>
    <x v="0"/>
  </r>
  <r>
    <n v="205602"/>
    <n v="60789.7"/>
    <x v="1"/>
    <x v="61"/>
    <x v="12"/>
    <s v="DELEGATE AGENCY"/>
    <s v="UNKNOWN"/>
    <x v="0"/>
  </r>
  <r>
    <n v="205604"/>
    <n v="8779.9"/>
    <x v="1"/>
    <x v="103"/>
    <x v="12"/>
    <s v="DELEGATE AGENCY"/>
    <s v="UNKNOWN"/>
    <x v="0"/>
  </r>
  <r>
    <n v="205605"/>
    <n v="27171.1"/>
    <x v="3"/>
    <x v="62"/>
    <x v="12"/>
    <s v="DELEGATE AGENCY"/>
    <s v="UNKNOWN"/>
    <x v="0"/>
  </r>
  <r>
    <n v="205606"/>
    <n v="49556"/>
    <x v="4"/>
    <x v="114"/>
    <x v="12"/>
    <s v="DELEGATE AGENCY"/>
    <s v="UNKNOWN"/>
    <x v="0"/>
  </r>
  <r>
    <n v="205607"/>
    <n v="5742.6"/>
    <x v="4"/>
    <x v="82"/>
    <x v="12"/>
    <s v="DELEGATE AGENCY"/>
    <s v="UNKNOWN"/>
    <x v="0"/>
  </r>
  <r>
    <n v="205608"/>
    <n v="7757.7"/>
    <x v="3"/>
    <x v="124"/>
    <x v="12"/>
    <s v="DELEGATE AGENCY"/>
    <s v="UNKNOWN"/>
    <x v="0"/>
  </r>
  <r>
    <n v="205611"/>
    <n v="70400"/>
    <x v="3"/>
    <x v="121"/>
    <x v="12"/>
    <s v="DELEGATE AGENCY"/>
    <s v="UNKNOWN"/>
    <x v="0"/>
  </r>
  <r>
    <n v="205613"/>
    <n v="81706.399999999994"/>
    <x v="1"/>
    <x v="78"/>
    <x v="12"/>
    <s v="DELEGATE AGENCY"/>
    <s v="UNKNOWN"/>
    <x v="0"/>
  </r>
  <r>
    <n v="205614"/>
    <n v="18360"/>
    <x v="1"/>
    <x v="122"/>
    <x v="12"/>
    <s v="DELEGATE AGENCY"/>
    <s v="UNKNOWN"/>
    <x v="0"/>
  </r>
  <r>
    <n v="205615"/>
    <n v="48174.7"/>
    <x v="4"/>
    <x v="96"/>
    <x v="12"/>
    <s v="DELEGATE AGENCY"/>
    <s v="UNKNOWN"/>
    <x v="0"/>
  </r>
  <r>
    <n v="205617"/>
    <n v="75370.3"/>
    <x v="4"/>
    <x v="74"/>
    <x v="12"/>
    <s v="DELEGATE AGENCY"/>
    <s v="UNKNOWN"/>
    <x v="0"/>
  </r>
  <r>
    <n v="205618"/>
    <n v="18529.3999999999"/>
    <x v="1"/>
    <x v="73"/>
    <x v="12"/>
    <s v="DELEGATE AGENCY"/>
    <s v="UNKNOWN"/>
    <x v="0"/>
  </r>
  <r>
    <n v="205619"/>
    <n v="61600"/>
    <x v="4"/>
    <x v="70"/>
    <x v="12"/>
    <s v="DELEGATE AGENCY"/>
    <s v="UNKNOWN"/>
    <x v="0"/>
  </r>
  <r>
    <n v="205620"/>
    <n v="84646.2"/>
    <x v="1"/>
    <x v="70"/>
    <x v="12"/>
    <s v="DELEGATE AGENCY"/>
    <s v="UNKNOWN"/>
    <x v="0"/>
  </r>
  <r>
    <n v="205621"/>
    <n v="48400"/>
    <x v="1"/>
    <x v="113"/>
    <x v="12"/>
    <s v="DELEGATE AGENCY"/>
    <s v="UNKNOWN"/>
    <x v="0"/>
  </r>
  <r>
    <n v="205622"/>
    <n v="29876.6"/>
    <x v="4"/>
    <x v="72"/>
    <x v="12"/>
    <s v="DELEGATE AGENCY"/>
    <s v="UNKNOWN"/>
    <x v="0"/>
  </r>
  <r>
    <n v="205624"/>
    <n v="84860.7"/>
    <x v="4"/>
    <x v="114"/>
    <x v="12"/>
    <s v="DELEGATE AGENCY"/>
    <s v="UNKNOWN"/>
    <x v="0"/>
  </r>
  <r>
    <n v="205625"/>
    <n v="28928.6"/>
    <x v="1"/>
    <x v="90"/>
    <x v="12"/>
    <s v="DELEGATE AGENCY"/>
    <s v="UNKNOWN"/>
    <x v="0"/>
  </r>
  <r>
    <n v="205626"/>
    <n v="23419.9"/>
    <x v="4"/>
    <x v="58"/>
    <x v="12"/>
    <s v="DELEGATE AGENCY"/>
    <s v="UNKNOWN"/>
    <x v="0"/>
  </r>
  <r>
    <n v="205734"/>
    <n v="1954826"/>
    <x v="4"/>
    <x v="561"/>
    <x v="1"/>
    <s v="WORK SERVICES / FACILITIES MAINT."/>
    <s v="UNKNOWN"/>
    <x v="0"/>
  </r>
  <r>
    <n v="206081"/>
    <n v="2500"/>
    <x v="0"/>
    <x v="562"/>
    <x v="16"/>
    <s v="DELEGATE AGENCY"/>
    <s v="RFP"/>
    <x v="0"/>
  </r>
  <r>
    <n v="206165"/>
    <n v="230000"/>
    <x v="3"/>
    <x v="563"/>
    <x v="8"/>
    <s v="DELEGATE AGENCY"/>
    <s v="RFP"/>
    <x v="0"/>
  </r>
  <r>
    <n v="206166"/>
    <n v="1010000"/>
    <x v="1"/>
    <x v="564"/>
    <x v="8"/>
    <s v="DELEGATE AGENCY"/>
    <s v="RFP"/>
    <x v="1"/>
  </r>
  <r>
    <n v="206167"/>
    <n v="1870000"/>
    <x v="0"/>
    <x v="565"/>
    <x v="8"/>
    <s v="DELEGATE AGENCY"/>
    <s v="RFP"/>
    <x v="1"/>
  </r>
  <r>
    <n v="206169"/>
    <n v="225000"/>
    <x v="0"/>
    <x v="114"/>
    <x v="8"/>
    <s v="DELEGATE AGENCY"/>
    <s v="RFP"/>
    <x v="0"/>
  </r>
  <r>
    <n v="206284"/>
    <n v="5500540"/>
    <x v="1"/>
    <x v="25"/>
    <x v="12"/>
    <s v="DELEGATE AGENCY"/>
    <s v="UNKNOWN"/>
    <x v="0"/>
  </r>
  <r>
    <n v="206554"/>
    <n v="742997"/>
    <x v="0"/>
    <x v="59"/>
    <x v="12"/>
    <s v="DELEGATE AGENCY"/>
    <s v="UNKNOWN"/>
    <x v="0"/>
  </r>
  <r>
    <n v="206555"/>
    <n v="742997"/>
    <x v="2"/>
    <x v="341"/>
    <x v="12"/>
    <s v="DELEGATE AGENCY"/>
    <s v="UNKNOWN"/>
    <x v="0"/>
  </r>
  <r>
    <n v="206556"/>
    <n v="742997"/>
    <x v="2"/>
    <x v="342"/>
    <x v="12"/>
    <s v="DELEGATE AGENCY"/>
    <s v="UNKNOWN"/>
    <x v="0"/>
  </r>
  <r>
    <n v="206557"/>
    <n v="742997"/>
    <x v="2"/>
    <x v="340"/>
    <x v="12"/>
    <s v="DELEGATE AGENCY"/>
    <s v="UNKNOWN"/>
    <x v="0"/>
  </r>
  <r>
    <n v="206634"/>
    <n v="27540"/>
    <x v="2"/>
    <x v="112"/>
    <x v="12"/>
    <s v="DELEGATE AGENCY"/>
    <s v="UNKNOWN"/>
    <x v="0"/>
  </r>
  <r>
    <n v="206635"/>
    <n v="85800"/>
    <x v="4"/>
    <x v="112"/>
    <x v="12"/>
    <s v="DELEGATE AGENCY"/>
    <s v="UNKNOWN"/>
    <x v="0"/>
  </r>
  <r>
    <n v="206636"/>
    <n v="130887.2"/>
    <x v="1"/>
    <x v="510"/>
    <x v="12"/>
    <s v="DELEGATE AGENCY"/>
    <s v="UNKNOWN"/>
    <x v="0"/>
  </r>
  <r>
    <n v="206637"/>
    <n v="50759.8"/>
    <x v="1"/>
    <x v="510"/>
    <x v="12"/>
    <s v="DELEGATE AGENCY"/>
    <s v="UNKNOWN"/>
    <x v="0"/>
  </r>
  <r>
    <n v="206646"/>
    <n v="109695.6"/>
    <x v="1"/>
    <x v="566"/>
    <x v="12"/>
    <s v="DELEGATE AGENCY"/>
    <s v="UNKNOWN"/>
    <x v="0"/>
  </r>
  <r>
    <n v="206650"/>
    <n v="21599.9"/>
    <x v="1"/>
    <x v="79"/>
    <x v="12"/>
    <s v="DELEGATE AGENCY"/>
    <s v="UNKNOWN"/>
    <x v="0"/>
  </r>
  <r>
    <n v="206651"/>
    <n v="20707.3"/>
    <x v="4"/>
    <x v="77"/>
    <x v="12"/>
    <s v="DELEGATE AGENCY"/>
    <s v="UNKNOWN"/>
    <x v="0"/>
  </r>
  <r>
    <n v="206652"/>
    <n v="49547.199999999997"/>
    <x v="4"/>
    <x v="77"/>
    <x v="12"/>
    <s v="DELEGATE AGENCY"/>
    <s v="UNKNOWN"/>
    <x v="0"/>
  </r>
  <r>
    <n v="206653"/>
    <n v="92000"/>
    <x v="4"/>
    <x v="82"/>
    <x v="12"/>
    <s v="DELEGATE AGENCY"/>
    <s v="UNKNOWN"/>
    <x v="0"/>
  </r>
  <r>
    <n v="206655"/>
    <n v="9347.4"/>
    <x v="1"/>
    <x v="95"/>
    <x v="12"/>
    <s v="DELEGATE AGENCY"/>
    <s v="UNKNOWN"/>
    <x v="0"/>
  </r>
  <r>
    <n v="206656"/>
    <n v="65926.599999999904"/>
    <x v="3"/>
    <x v="99"/>
    <x v="12"/>
    <s v="DELEGATE AGENCY"/>
    <s v="UNKNOWN"/>
    <x v="0"/>
  </r>
  <r>
    <n v="206657"/>
    <n v="33813.9"/>
    <x v="1"/>
    <x v="99"/>
    <x v="12"/>
    <s v="DELEGATE AGENCY"/>
    <s v="UNKNOWN"/>
    <x v="0"/>
  </r>
  <r>
    <n v="206658"/>
    <n v="19423.8"/>
    <x v="4"/>
    <x v="104"/>
    <x v="12"/>
    <s v="DELEGATE AGENCY"/>
    <s v="UNKNOWN"/>
    <x v="0"/>
  </r>
  <r>
    <n v="206810"/>
    <n v="201281"/>
    <x v="4"/>
    <x v="567"/>
    <x v="1"/>
    <s v="PROPERTY LEASE"/>
    <s v="UNKNOWN"/>
    <x v="0"/>
  </r>
  <r>
    <n v="206837"/>
    <n v="41"/>
    <x v="1"/>
    <x v="212"/>
    <x v="8"/>
    <s v="DELEGATE AGENCY"/>
    <s v="UNKNOWN"/>
    <x v="0"/>
  </r>
  <r>
    <n v="206923"/>
    <n v="6550000"/>
    <x v="3"/>
    <x v="568"/>
    <x v="2"/>
    <s v="PRO SERV CONSULTING $250,000orABOVE"/>
    <s v="RFP"/>
    <x v="0"/>
  </r>
  <r>
    <n v="207038"/>
    <n v="13200"/>
    <x v="0"/>
    <x v="135"/>
    <x v="12"/>
    <s v="DELEGATE AGENCY"/>
    <s v="UNKNOWN"/>
    <x v="0"/>
  </r>
  <r>
    <n v="207039"/>
    <n v="27540"/>
    <x v="4"/>
    <x v="117"/>
    <x v="12"/>
    <s v="DELEGATE AGENCY"/>
    <s v="UNKNOWN"/>
    <x v="0"/>
  </r>
  <r>
    <n v="207040"/>
    <n v="55080"/>
    <x v="4"/>
    <x v="69"/>
    <x v="12"/>
    <s v="DELEGATE AGENCY"/>
    <s v="UNKNOWN"/>
    <x v="0"/>
  </r>
  <r>
    <n v="207235"/>
    <n v="131509.1"/>
    <x v="1"/>
    <x v="473"/>
    <x v="2"/>
    <s v="DELEGATE AGENCY"/>
    <s v="UNKNOWN"/>
    <x v="1"/>
  </r>
  <r>
    <n v="20724"/>
    <n v="384706.8"/>
    <x v="1"/>
    <x v="569"/>
    <x v="2"/>
    <s v="COMPTROLLER-OTHER"/>
    <s v="UNKNOWN"/>
    <x v="1"/>
  </r>
  <r>
    <n v="207272"/>
    <n v="232395"/>
    <x v="2"/>
    <x v="25"/>
    <x v="8"/>
    <s v="DELEGATE AGENCY"/>
    <s v="UNKNOWN"/>
    <x v="1"/>
  </r>
  <r>
    <n v="207302"/>
    <n v="10000"/>
    <x v="1"/>
    <x v="236"/>
    <x v="16"/>
    <s v="DELEGATE AGENCY"/>
    <s v="RFP"/>
    <x v="0"/>
  </r>
  <r>
    <n v="207315"/>
    <n v="16200"/>
    <x v="4"/>
    <x v="170"/>
    <x v="12"/>
    <s v="DELEGATE AGENCY"/>
    <s v="UNKNOWN"/>
    <x v="0"/>
  </r>
  <r>
    <n v="207487"/>
    <n v="80617.3"/>
    <x v="4"/>
    <x v="78"/>
    <x v="12"/>
    <s v="DELEGATE AGENCY"/>
    <s v="UNKNOWN"/>
    <x v="0"/>
  </r>
  <r>
    <n v="207537"/>
    <n v="2510927.1"/>
    <x v="1"/>
    <x v="267"/>
    <x v="0"/>
    <s v="CONSTRUCTION-LARGE $3MILLIONorABOVE"/>
    <s v="BID"/>
    <x v="0"/>
  </r>
  <r>
    <n v="207560"/>
    <n v="2000000"/>
    <x v="0"/>
    <x v="189"/>
    <x v="8"/>
    <s v="COMPTROLLER-OTHER"/>
    <s v="UNKNOWN"/>
    <x v="2"/>
  </r>
  <r>
    <n v="207796"/>
    <n v="57292.4"/>
    <x v="0"/>
    <x v="88"/>
    <x v="12"/>
    <s v="DELEGATE AGENCY"/>
    <s v="UNKNOWN"/>
    <x v="0"/>
  </r>
  <r>
    <n v="207797"/>
    <n v="10176.799999999999"/>
    <x v="1"/>
    <x v="135"/>
    <x v="12"/>
    <s v="DELEGATE AGENCY"/>
    <s v="UNKNOWN"/>
    <x v="0"/>
  </r>
  <r>
    <n v="207837"/>
    <n v="513111"/>
    <x v="4"/>
    <x v="343"/>
    <x v="12"/>
    <s v="DELEGATE AGENCY"/>
    <s v="UNKNOWN"/>
    <x v="0"/>
  </r>
  <r>
    <n v="207915"/>
    <n v="4212668"/>
    <x v="2"/>
    <x v="114"/>
    <x v="8"/>
    <s v="DELEGATE AGENCY"/>
    <s v="RFP"/>
    <x v="0"/>
  </r>
  <r>
    <n v="208222"/>
    <n v="550000"/>
    <x v="0"/>
    <x v="227"/>
    <x v="8"/>
    <s v="DELEGATE AGENCY"/>
    <s v="RFP"/>
    <x v="0"/>
  </r>
  <r>
    <n v="208223"/>
    <n v="550000"/>
    <x v="2"/>
    <x v="363"/>
    <x v="8"/>
    <s v="DELEGATE AGENCY"/>
    <s v="RFP"/>
    <x v="0"/>
  </r>
  <r>
    <n v="208224"/>
    <n v="550000"/>
    <x v="2"/>
    <x v="436"/>
    <x v="8"/>
    <s v="DELEGATE AGENCY"/>
    <s v="RFP"/>
    <x v="0"/>
  </r>
  <r>
    <n v="208225"/>
    <n v="600000"/>
    <x v="2"/>
    <x v="570"/>
    <x v="8"/>
    <s v="DELEGATE AGENCY"/>
    <s v="RFP"/>
    <x v="0"/>
  </r>
  <r>
    <n v="208284"/>
    <n v="3839688.8"/>
    <x v="2"/>
    <x v="267"/>
    <x v="0"/>
    <s v="CONSTRUCTION-LARGE $3MILLIONorABOVE"/>
    <s v="BID"/>
    <x v="0"/>
  </r>
  <r>
    <n v="208732"/>
    <n v="162000"/>
    <x v="0"/>
    <x v="80"/>
    <x v="12"/>
    <s v="DELEGATE AGENCY"/>
    <s v="UNKNOWN"/>
    <x v="0"/>
  </r>
  <r>
    <n v="208745"/>
    <n v="405000"/>
    <x v="1"/>
    <x v="199"/>
    <x v="12"/>
    <s v="DELEGATE AGENCY"/>
    <s v="UNKNOWN"/>
    <x v="0"/>
  </r>
  <r>
    <n v="208751"/>
    <n v="17192941"/>
    <x v="2"/>
    <x v="571"/>
    <x v="6"/>
    <s v="WORK SERV-AVIATION"/>
    <s v="BID"/>
    <x v="0"/>
  </r>
  <r>
    <n v="208752"/>
    <n v="243000"/>
    <x v="0"/>
    <x v="169"/>
    <x v="12"/>
    <s v="DELEGATE AGENCY"/>
    <s v="UNKNOWN"/>
    <x v="0"/>
  </r>
  <r>
    <n v="208755"/>
    <n v="162000"/>
    <x v="1"/>
    <x v="544"/>
    <x v="12"/>
    <s v="DELEGATE AGENCY"/>
    <s v="UNKNOWN"/>
    <x v="0"/>
  </r>
  <r>
    <n v="208756"/>
    <n v="194000"/>
    <x v="1"/>
    <x v="572"/>
    <x v="12"/>
    <s v="DELEGATE AGENCY"/>
    <s v="UNKNOWN"/>
    <x v="0"/>
  </r>
  <r>
    <n v="208763"/>
    <n v="891000"/>
    <x v="1"/>
    <x v="444"/>
    <x v="12"/>
    <s v="DELEGATE AGENCY"/>
    <s v="UNKNOWN"/>
    <x v="0"/>
  </r>
  <r>
    <n v="208772"/>
    <n v="351000"/>
    <x v="2"/>
    <x v="84"/>
    <x v="12"/>
    <s v="DELEGATE AGENCY"/>
    <s v="UNKNOWN"/>
    <x v="0"/>
  </r>
  <r>
    <n v="208775"/>
    <n v="297000"/>
    <x v="2"/>
    <x v="85"/>
    <x v="12"/>
    <s v="DELEGATE AGENCY"/>
    <s v="UNKNOWN"/>
    <x v="0"/>
  </r>
  <r>
    <n v="208776"/>
    <n v="162000"/>
    <x v="2"/>
    <x v="86"/>
    <x v="12"/>
    <s v="DELEGATE AGENCY"/>
    <s v="UNKNOWN"/>
    <x v="0"/>
  </r>
  <r>
    <n v="208777"/>
    <n v="162000"/>
    <x v="1"/>
    <x v="59"/>
    <x v="12"/>
    <s v="DELEGATE AGENCY"/>
    <s v="UNKNOWN"/>
    <x v="0"/>
  </r>
  <r>
    <n v="208778"/>
    <n v="162000"/>
    <x v="1"/>
    <x v="371"/>
    <x v="12"/>
    <s v="DELEGATE AGENCY"/>
    <s v="UNKNOWN"/>
    <x v="0"/>
  </r>
  <r>
    <n v="208779"/>
    <n v="162000"/>
    <x v="1"/>
    <x v="573"/>
    <x v="12"/>
    <s v="DELEGATE AGENCY"/>
    <s v="UNKNOWN"/>
    <x v="0"/>
  </r>
  <r>
    <n v="208781"/>
    <n v="162000"/>
    <x v="1"/>
    <x v="28"/>
    <x v="12"/>
    <s v="DELEGATE AGENCY"/>
    <s v="UNKNOWN"/>
    <x v="0"/>
  </r>
  <r>
    <n v="208783"/>
    <n v="243000"/>
    <x v="1"/>
    <x v="574"/>
    <x v="12"/>
    <s v="DELEGATE AGENCY"/>
    <s v="UNKNOWN"/>
    <x v="0"/>
  </r>
  <r>
    <n v="208785"/>
    <n v="162000"/>
    <x v="1"/>
    <x v="353"/>
    <x v="12"/>
    <s v="DELEGATE AGENCY"/>
    <s v="UNKNOWN"/>
    <x v="0"/>
  </r>
  <r>
    <n v="208786"/>
    <n v="162000"/>
    <x v="1"/>
    <x v="575"/>
    <x v="12"/>
    <s v="DELEGATE AGENCY"/>
    <s v="UNKNOWN"/>
    <x v="0"/>
  </r>
  <r>
    <n v="208787"/>
    <n v="1701000"/>
    <x v="1"/>
    <x v="62"/>
    <x v="12"/>
    <s v="DELEGATE AGENCY"/>
    <s v="UNKNOWN"/>
    <x v="0"/>
  </r>
  <r>
    <n v="208788"/>
    <n v="162000"/>
    <x v="0"/>
    <x v="576"/>
    <x v="12"/>
    <s v="DELEGATE AGENCY"/>
    <s v="UNKNOWN"/>
    <x v="0"/>
  </r>
  <r>
    <n v="208790"/>
    <n v="162000"/>
    <x v="1"/>
    <x v="577"/>
    <x v="12"/>
    <s v="DELEGATE AGENCY"/>
    <s v="UNKNOWN"/>
    <x v="0"/>
  </r>
  <r>
    <n v="208791"/>
    <n v="648000"/>
    <x v="1"/>
    <x v="91"/>
    <x v="12"/>
    <s v="DELEGATE AGENCY"/>
    <s v="UNKNOWN"/>
    <x v="0"/>
  </r>
  <r>
    <n v="208792"/>
    <n v="162000"/>
    <x v="2"/>
    <x v="354"/>
    <x v="12"/>
    <s v="DELEGATE AGENCY"/>
    <s v="UNKNOWN"/>
    <x v="0"/>
  </r>
  <r>
    <n v="208793"/>
    <n v="162000"/>
    <x v="1"/>
    <x v="63"/>
    <x v="12"/>
    <s v="DELEGATE AGENCY"/>
    <s v="UNKNOWN"/>
    <x v="0"/>
  </r>
  <r>
    <n v="208794"/>
    <n v="162000"/>
    <x v="1"/>
    <x v="578"/>
    <x v="12"/>
    <s v="DELEGATE AGENCY"/>
    <s v="UNKNOWN"/>
    <x v="0"/>
  </r>
  <r>
    <n v="208795"/>
    <n v="162000"/>
    <x v="1"/>
    <x v="341"/>
    <x v="12"/>
    <s v="DELEGATE AGENCY"/>
    <s v="UNKNOWN"/>
    <x v="0"/>
  </r>
  <r>
    <n v="208796"/>
    <n v="162000"/>
    <x v="1"/>
    <x v="66"/>
    <x v="12"/>
    <s v="DELEGATE AGENCY"/>
    <s v="UNKNOWN"/>
    <x v="0"/>
  </r>
  <r>
    <n v="208797"/>
    <n v="162000"/>
    <x v="1"/>
    <x v="67"/>
    <x v="12"/>
    <s v="DELEGATE AGENCY"/>
    <s v="UNKNOWN"/>
    <x v="0"/>
  </r>
  <r>
    <n v="208800"/>
    <n v="810000"/>
    <x v="1"/>
    <x v="446"/>
    <x v="12"/>
    <s v="DELEGATE AGENCY"/>
    <s v="UNKNOWN"/>
    <x v="0"/>
  </r>
  <r>
    <n v="208801"/>
    <n v="162000"/>
    <x v="2"/>
    <x v="102"/>
    <x v="12"/>
    <s v="DELEGATE AGENCY"/>
    <s v="UNKNOWN"/>
    <x v="0"/>
  </r>
  <r>
    <n v="208802"/>
    <n v="162000"/>
    <x v="1"/>
    <x v="342"/>
    <x v="12"/>
    <s v="DELEGATE AGENCY"/>
    <s v="UNKNOWN"/>
    <x v="0"/>
  </r>
  <r>
    <n v="208803"/>
    <n v="216000"/>
    <x v="1"/>
    <x v="579"/>
    <x v="12"/>
    <s v="DELEGATE AGENCY"/>
    <s v="UNKNOWN"/>
    <x v="0"/>
  </r>
  <r>
    <n v="208805"/>
    <n v="162000"/>
    <x v="1"/>
    <x v="448"/>
    <x v="12"/>
    <s v="DELEGATE AGENCY"/>
    <s v="UNKNOWN"/>
    <x v="0"/>
  </r>
  <r>
    <n v="208808"/>
    <n v="162000"/>
    <x v="1"/>
    <x v="580"/>
    <x v="12"/>
    <s v="DELEGATE AGENCY"/>
    <s v="UNKNOWN"/>
    <x v="0"/>
  </r>
  <r>
    <n v="208810"/>
    <n v="5166"/>
    <x v="1"/>
    <x v="581"/>
    <x v="12"/>
    <s v="DELEGATE AGENCY"/>
    <s v="UNKNOWN"/>
    <x v="0"/>
  </r>
  <r>
    <n v="208812"/>
    <n v="194000"/>
    <x v="3"/>
    <x v="582"/>
    <x v="12"/>
    <s v="DELEGATE AGENCY"/>
    <s v="UNKNOWN"/>
    <x v="0"/>
  </r>
  <r>
    <n v="208813"/>
    <n v="243000"/>
    <x v="1"/>
    <x v="72"/>
    <x v="12"/>
    <s v="DELEGATE AGENCY"/>
    <s v="UNKNOWN"/>
    <x v="0"/>
  </r>
  <r>
    <n v="208814"/>
    <n v="243000"/>
    <x v="1"/>
    <x v="201"/>
    <x v="12"/>
    <s v="DELEGATE AGENCY"/>
    <s v="UNKNOWN"/>
    <x v="0"/>
  </r>
  <r>
    <n v="208815"/>
    <n v="567000"/>
    <x v="1"/>
    <x v="583"/>
    <x v="12"/>
    <s v="DELEGATE AGENCY"/>
    <s v="UNKNOWN"/>
    <x v="0"/>
  </r>
  <r>
    <n v="208816"/>
    <n v="405000"/>
    <x v="2"/>
    <x v="451"/>
    <x v="12"/>
    <s v="DELEGATE AGENCY"/>
    <s v="UNKNOWN"/>
    <x v="0"/>
  </r>
  <r>
    <n v="208817"/>
    <n v="162000"/>
    <x v="2"/>
    <x v="584"/>
    <x v="12"/>
    <s v="DELEGATE AGENCY"/>
    <s v="UNKNOWN"/>
    <x v="0"/>
  </r>
  <r>
    <n v="208818"/>
    <n v="324000"/>
    <x v="1"/>
    <x v="73"/>
    <x v="12"/>
    <s v="DELEGATE AGENCY"/>
    <s v="UNKNOWN"/>
    <x v="0"/>
  </r>
  <r>
    <n v="208819"/>
    <n v="162000"/>
    <x v="2"/>
    <x v="585"/>
    <x v="12"/>
    <s v="DELEGATE AGENCY"/>
    <s v="UNKNOWN"/>
    <x v="0"/>
  </r>
  <r>
    <n v="208820"/>
    <n v="243000"/>
    <x v="1"/>
    <x v="37"/>
    <x v="12"/>
    <s v="DELEGATE AGENCY"/>
    <s v="UNKNOWN"/>
    <x v="0"/>
  </r>
  <r>
    <n v="208829"/>
    <n v="324000"/>
    <x v="1"/>
    <x v="586"/>
    <x v="12"/>
    <s v="DELEGATE AGENCY"/>
    <s v="UNKNOWN"/>
    <x v="0"/>
  </r>
  <r>
    <n v="208830"/>
    <n v="162000"/>
    <x v="2"/>
    <x v="150"/>
    <x v="12"/>
    <s v="DELEGATE AGENCY"/>
    <s v="UNKNOWN"/>
    <x v="0"/>
  </r>
  <r>
    <n v="208832"/>
    <n v="324000"/>
    <x v="1"/>
    <x v="587"/>
    <x v="12"/>
    <s v="DELEGATE AGENCY"/>
    <s v="UNKNOWN"/>
    <x v="0"/>
  </r>
  <r>
    <n v="208834"/>
    <n v="162000"/>
    <x v="2"/>
    <x v="345"/>
    <x v="12"/>
    <s v="DELEGATE AGENCY"/>
    <s v="UNKNOWN"/>
    <x v="0"/>
  </r>
  <r>
    <n v="208835"/>
    <n v="162000"/>
    <x v="1"/>
    <x v="360"/>
    <x v="12"/>
    <s v="DELEGATE AGENCY"/>
    <s v="UNKNOWN"/>
    <x v="0"/>
  </r>
  <r>
    <n v="208836"/>
    <n v="324000"/>
    <x v="1"/>
    <x v="261"/>
    <x v="12"/>
    <s v="DELEGATE AGENCY"/>
    <s v="UNKNOWN"/>
    <x v="0"/>
  </r>
  <r>
    <n v="208837"/>
    <n v="162000"/>
    <x v="2"/>
    <x v="77"/>
    <x v="12"/>
    <s v="DELEGATE AGENCY"/>
    <s v="UNKNOWN"/>
    <x v="0"/>
  </r>
  <r>
    <n v="208839"/>
    <n v="162000"/>
    <x v="1"/>
    <x v="588"/>
    <x v="12"/>
    <s v="DELEGATE AGENCY"/>
    <s v="UNKNOWN"/>
    <x v="0"/>
  </r>
  <r>
    <n v="208840"/>
    <n v="162000"/>
    <x v="1"/>
    <x v="589"/>
    <x v="12"/>
    <s v="DELEGATE AGENCY"/>
    <s v="UNKNOWN"/>
    <x v="0"/>
  </r>
  <r>
    <n v="208841"/>
    <n v="162000"/>
    <x v="1"/>
    <x v="590"/>
    <x v="12"/>
    <s v="DELEGATE AGENCY"/>
    <s v="UNKNOWN"/>
    <x v="0"/>
  </r>
  <r>
    <n v="208842"/>
    <n v="162000"/>
    <x v="1"/>
    <x v="591"/>
    <x v="12"/>
    <s v="DELEGATE AGENCY"/>
    <s v="UNKNOWN"/>
    <x v="0"/>
  </r>
  <r>
    <n v="208843"/>
    <n v="2944000"/>
    <x v="1"/>
    <x v="78"/>
    <x v="12"/>
    <s v="DELEGATE AGENCY"/>
    <s v="UNKNOWN"/>
    <x v="0"/>
  </r>
  <r>
    <n v="208844"/>
    <n v="189000"/>
    <x v="0"/>
    <x v="592"/>
    <x v="12"/>
    <s v="DELEGATE AGENCY"/>
    <s v="UNKNOWN"/>
    <x v="0"/>
  </r>
  <r>
    <n v="208845"/>
    <n v="162000"/>
    <x v="1"/>
    <x v="593"/>
    <x v="12"/>
    <s v="DELEGATE AGENCY"/>
    <s v="UNKNOWN"/>
    <x v="0"/>
  </r>
  <r>
    <n v="208846"/>
    <n v="2349340"/>
    <x v="1"/>
    <x v="594"/>
    <x v="6"/>
    <s v="COMPTROLLER-OTHER"/>
    <s v="UNKNOWN"/>
    <x v="0"/>
  </r>
  <r>
    <n v="208864"/>
    <n v="3586"/>
    <x v="0"/>
    <x v="595"/>
    <x v="16"/>
    <s v="DELEGATE AGENCY"/>
    <s v="UNKNOWN"/>
    <x v="0"/>
  </r>
  <r>
    <n v="208938"/>
    <n v="458541"/>
    <x v="3"/>
    <x v="201"/>
    <x v="12"/>
    <s v="DELEGATE AGENCY"/>
    <s v="UNKNOWN"/>
    <x v="0"/>
  </r>
  <r>
    <n v="208951"/>
    <n v="105000"/>
    <x v="2"/>
    <x v="596"/>
    <x v="1"/>
    <s v="DELEGATE AGENCY"/>
    <s v="UNKNOWN"/>
    <x v="0"/>
  </r>
  <r>
    <n v="209078"/>
    <n v="9375760"/>
    <x v="1"/>
    <x v="597"/>
    <x v="12"/>
    <s v="DELEGATE AGENCY"/>
    <s v="UNKNOWN"/>
    <x v="0"/>
  </r>
  <r>
    <n v="209202"/>
    <n v="586624"/>
    <x v="0"/>
    <x v="598"/>
    <x v="12"/>
    <s v="DELEGATE AGENCY"/>
    <s v="UNKNOWN"/>
    <x v="0"/>
  </r>
  <r>
    <n v="209204"/>
    <n v="2000000"/>
    <x v="2"/>
    <x v="599"/>
    <x v="8"/>
    <s v="PRO SERV CONSULTING $250,000orABOVE"/>
    <s v="RFP"/>
    <x v="0"/>
  </r>
  <r>
    <n v="209285"/>
    <n v="31984"/>
    <x v="0"/>
    <x v="107"/>
    <x v="12"/>
    <s v="DELEGATE AGENCY"/>
    <s v="UNKNOWN"/>
    <x v="0"/>
  </r>
  <r>
    <n v="20935"/>
    <n v="8300000"/>
    <x v="4"/>
    <x v="600"/>
    <x v="14"/>
    <s v="PRO SERV CONSULTING $250,000orABOVE"/>
    <s v="RFP"/>
    <x v="2"/>
  </r>
  <r>
    <n v="209547"/>
    <n v="6735565.4000000004"/>
    <x v="0"/>
    <x v="11"/>
    <x v="0"/>
    <s v="CONSTRUCTION-LARGE $3MILLIONorABOVE"/>
    <s v="BID"/>
    <x v="0"/>
  </r>
  <r>
    <n v="209594"/>
    <n v="960000"/>
    <x v="0"/>
    <x v="46"/>
    <x v="8"/>
    <s v="DELEGATE AGENCY"/>
    <s v="RFP"/>
    <x v="1"/>
  </r>
  <r>
    <n v="209596"/>
    <n v="480000"/>
    <x v="2"/>
    <x v="82"/>
    <x v="8"/>
    <s v="DELEGATE AGENCY"/>
    <s v="RFP"/>
    <x v="0"/>
  </r>
  <r>
    <n v="209597"/>
    <n v="720000"/>
    <x v="2"/>
    <x v="497"/>
    <x v="8"/>
    <s v="DELEGATE AGENCY"/>
    <s v="RFP"/>
    <x v="0"/>
  </r>
  <r>
    <n v="209599"/>
    <n v="689436.6"/>
    <x v="2"/>
    <x v="601"/>
    <x v="8"/>
    <s v="DELEGATE AGENCY"/>
    <s v="RFP"/>
    <x v="0"/>
  </r>
  <r>
    <n v="209600"/>
    <n v="1080000"/>
    <x v="2"/>
    <x v="602"/>
    <x v="8"/>
    <s v="DELEGATE AGENCY"/>
    <s v="RFP"/>
    <x v="0"/>
  </r>
  <r>
    <n v="209601"/>
    <n v="960000"/>
    <x v="0"/>
    <x v="595"/>
    <x v="8"/>
    <s v="DELEGATE AGENCY"/>
    <s v="RFP"/>
    <x v="0"/>
  </r>
  <r>
    <n v="209602"/>
    <n v="440000"/>
    <x v="2"/>
    <x v="25"/>
    <x v="8"/>
    <s v="DELEGATE AGENCY"/>
    <s v="RFP"/>
    <x v="0"/>
  </r>
  <r>
    <n v="210121"/>
    <n v="2142778"/>
    <x v="2"/>
    <x v="603"/>
    <x v="12"/>
    <s v="DELEGATE AGENCY"/>
    <s v="UNKNOWN"/>
    <x v="0"/>
  </r>
  <r>
    <n v="210126"/>
    <n v="100000"/>
    <x v="0"/>
    <x v="189"/>
    <x v="12"/>
    <s v="DELEGATE AGENCY"/>
    <s v="UNKNOWN"/>
    <x v="0"/>
  </r>
  <r>
    <n v="210660"/>
    <n v="216000"/>
    <x v="1"/>
    <x v="604"/>
    <x v="12"/>
    <s v="DELEGATE AGENCY"/>
    <s v="UNKNOWN"/>
    <x v="0"/>
  </r>
  <r>
    <n v="210663"/>
    <n v="144000"/>
    <x v="1"/>
    <x v="296"/>
    <x v="12"/>
    <s v="DELEGATE AGENCY"/>
    <s v="UNKNOWN"/>
    <x v="0"/>
  </r>
  <r>
    <n v="210665"/>
    <n v="17024000"/>
    <x v="1"/>
    <x v="605"/>
    <x v="12"/>
    <s v="DELEGATE AGENCY"/>
    <s v="UNKNOWN"/>
    <x v="0"/>
  </r>
  <r>
    <n v="210666"/>
    <n v="216000"/>
    <x v="0"/>
    <x v="606"/>
    <x v="12"/>
    <s v="DELEGATE AGENCY"/>
    <s v="UNKNOWN"/>
    <x v="0"/>
  </r>
  <r>
    <n v="210667"/>
    <n v="288000"/>
    <x v="1"/>
    <x v="544"/>
    <x v="12"/>
    <s v="DELEGATE AGENCY"/>
    <s v="UNKNOWN"/>
    <x v="0"/>
  </r>
  <r>
    <n v="210668"/>
    <n v="144000"/>
    <x v="2"/>
    <x v="607"/>
    <x v="12"/>
    <s v="DELEGATE AGENCY"/>
    <s v="UNKNOWN"/>
    <x v="0"/>
  </r>
  <r>
    <n v="210669"/>
    <n v="144000"/>
    <x v="1"/>
    <x v="608"/>
    <x v="12"/>
    <s v="DELEGATE AGENCY"/>
    <s v="UNKNOWN"/>
    <x v="0"/>
  </r>
  <r>
    <n v="210671"/>
    <n v="144000"/>
    <x v="1"/>
    <x v="609"/>
    <x v="12"/>
    <s v="DELEGATE AGENCY"/>
    <s v="UNKNOWN"/>
    <x v="0"/>
  </r>
  <r>
    <n v="210672"/>
    <n v="144000"/>
    <x v="1"/>
    <x v="59"/>
    <x v="12"/>
    <s v="DELEGATE AGENCY"/>
    <s v="UNKNOWN"/>
    <x v="0"/>
  </r>
  <r>
    <n v="210673"/>
    <n v="288000"/>
    <x v="1"/>
    <x v="510"/>
    <x v="12"/>
    <s v="DELEGATE AGENCY"/>
    <s v="UNKNOWN"/>
    <x v="0"/>
  </r>
  <r>
    <n v="210674"/>
    <n v="144000"/>
    <x v="2"/>
    <x v="279"/>
    <x v="12"/>
    <s v="DELEGATE AGENCY"/>
    <s v="UNKNOWN"/>
    <x v="0"/>
  </r>
  <r>
    <n v="210675"/>
    <n v="144000"/>
    <x v="1"/>
    <x v="610"/>
    <x v="12"/>
    <s v="DELEGATE AGENCY"/>
    <s v="UNKNOWN"/>
    <x v="0"/>
  </r>
  <r>
    <n v="210676"/>
    <n v="144000"/>
    <x v="1"/>
    <x v="611"/>
    <x v="12"/>
    <s v="DELEGATE AGENCY"/>
    <s v="UNKNOWN"/>
    <x v="0"/>
  </r>
  <r>
    <n v="210677"/>
    <n v="432000"/>
    <x v="1"/>
    <x v="612"/>
    <x v="12"/>
    <s v="DELEGATE AGENCY"/>
    <s v="UNKNOWN"/>
    <x v="0"/>
  </r>
  <r>
    <n v="210678"/>
    <n v="288000"/>
    <x v="2"/>
    <x v="613"/>
    <x v="12"/>
    <s v="DELEGATE AGENCY"/>
    <s v="UNKNOWN"/>
    <x v="0"/>
  </r>
  <r>
    <n v="210679"/>
    <n v="360000"/>
    <x v="2"/>
    <x v="614"/>
    <x v="12"/>
    <s v="DELEGATE AGENCY"/>
    <s v="UNKNOWN"/>
    <x v="0"/>
  </r>
  <r>
    <n v="210680"/>
    <n v="720000"/>
    <x v="2"/>
    <x v="114"/>
    <x v="12"/>
    <s v="DELEGATE AGENCY"/>
    <s v="UNKNOWN"/>
    <x v="0"/>
  </r>
  <r>
    <n v="210681"/>
    <n v="144000"/>
    <x v="2"/>
    <x v="615"/>
    <x v="12"/>
    <s v="DELEGATE AGENCY"/>
    <s v="UNKNOWN"/>
    <x v="0"/>
  </r>
  <r>
    <n v="210683"/>
    <n v="720000"/>
    <x v="1"/>
    <x v="616"/>
    <x v="12"/>
    <s v="DELEGATE AGENCY"/>
    <s v="UNKNOWN"/>
    <x v="0"/>
  </r>
  <r>
    <n v="210684"/>
    <n v="288000"/>
    <x v="2"/>
    <x v="583"/>
    <x v="12"/>
    <s v="DELEGATE AGENCY"/>
    <s v="UNKNOWN"/>
    <x v="0"/>
  </r>
  <r>
    <n v="210685"/>
    <n v="216000"/>
    <x v="2"/>
    <x v="617"/>
    <x v="12"/>
    <s v="DELEGATE AGENCY"/>
    <s v="UNKNOWN"/>
    <x v="0"/>
  </r>
  <r>
    <n v="210686"/>
    <n v="216000"/>
    <x v="1"/>
    <x v="125"/>
    <x v="12"/>
    <s v="DELEGATE AGENCY"/>
    <s v="UNKNOWN"/>
    <x v="0"/>
  </r>
  <r>
    <n v="210687"/>
    <n v="216000"/>
    <x v="1"/>
    <x v="73"/>
    <x v="12"/>
    <s v="DELEGATE AGENCY"/>
    <s v="UNKNOWN"/>
    <x v="0"/>
  </r>
  <r>
    <n v="210688"/>
    <n v="144000"/>
    <x v="1"/>
    <x v="618"/>
    <x v="12"/>
    <s v="DELEGATE AGENCY"/>
    <s v="UNKNOWN"/>
    <x v="0"/>
  </r>
  <r>
    <n v="210689"/>
    <n v="216000"/>
    <x v="1"/>
    <x v="619"/>
    <x v="12"/>
    <s v="DELEGATE AGENCY"/>
    <s v="UNKNOWN"/>
    <x v="0"/>
  </r>
  <r>
    <n v="210690"/>
    <n v="216000"/>
    <x v="1"/>
    <x v="203"/>
    <x v="12"/>
    <s v="DELEGATE AGENCY"/>
    <s v="UNKNOWN"/>
    <x v="0"/>
  </r>
  <r>
    <n v="210691"/>
    <n v="216000"/>
    <x v="1"/>
    <x v="261"/>
    <x v="12"/>
    <s v="DELEGATE AGENCY"/>
    <s v="UNKNOWN"/>
    <x v="0"/>
  </r>
  <r>
    <n v="210692"/>
    <n v="144000"/>
    <x v="1"/>
    <x v="620"/>
    <x v="12"/>
    <s v="DELEGATE AGENCY"/>
    <s v="UNKNOWN"/>
    <x v="0"/>
  </r>
  <r>
    <n v="210693"/>
    <n v="216000"/>
    <x v="1"/>
    <x v="167"/>
    <x v="12"/>
    <s v="DELEGATE AGENCY"/>
    <s v="UNKNOWN"/>
    <x v="0"/>
  </r>
  <r>
    <n v="210694"/>
    <n v="2432000"/>
    <x v="1"/>
    <x v="621"/>
    <x v="12"/>
    <s v="DELEGATE AGENCY"/>
    <s v="UNKNOWN"/>
    <x v="0"/>
  </r>
  <r>
    <n v="210695"/>
    <n v="720000"/>
    <x v="0"/>
    <x v="78"/>
    <x v="12"/>
    <s v="DELEGATE AGENCY"/>
    <s v="UNKNOWN"/>
    <x v="0"/>
  </r>
  <r>
    <n v="210696"/>
    <n v="432000"/>
    <x v="2"/>
    <x v="228"/>
    <x v="12"/>
    <s v="DELEGATE AGENCY"/>
    <s v="UNKNOWN"/>
    <x v="0"/>
  </r>
  <r>
    <n v="210725"/>
    <n v="40000"/>
    <x v="2"/>
    <x v="622"/>
    <x v="20"/>
    <s v="COMPTROLLER-OTHER"/>
    <s v="UNKNOWN"/>
    <x v="0"/>
  </r>
  <r>
    <n v="210726"/>
    <n v="20000"/>
    <x v="4"/>
    <x v="623"/>
    <x v="20"/>
    <s v="COMPTROLLER-OTHER"/>
    <s v="UNKNOWN"/>
    <x v="0"/>
  </r>
  <r>
    <n v="210728"/>
    <n v="9000"/>
    <x v="4"/>
    <x v="624"/>
    <x v="20"/>
    <s v="COMPTROLLER-OTHER"/>
    <s v="UNKNOWN"/>
    <x v="0"/>
  </r>
  <r>
    <n v="210729"/>
    <n v="25000"/>
    <x v="3"/>
    <x v="625"/>
    <x v="20"/>
    <s v="COMPTROLLER-OTHER"/>
    <s v="UNKNOWN"/>
    <x v="0"/>
  </r>
  <r>
    <n v="210730"/>
    <n v="15000"/>
    <x v="4"/>
    <x v="626"/>
    <x v="20"/>
    <s v="COMPTROLLER-OTHER"/>
    <s v="UNKNOWN"/>
    <x v="0"/>
  </r>
  <r>
    <n v="210848"/>
    <n v="20218"/>
    <x v="4"/>
    <x v="127"/>
    <x v="12"/>
    <s v="DELEGATE AGENCY"/>
    <s v="UNKNOWN"/>
    <x v="0"/>
  </r>
  <r>
    <n v="210857"/>
    <n v="40000"/>
    <x v="4"/>
    <x v="627"/>
    <x v="20"/>
    <s v="COMPTROLLER-OTHER"/>
    <s v="UNKNOWN"/>
    <x v="0"/>
  </r>
  <r>
    <n v="210867"/>
    <n v="25000"/>
    <x v="4"/>
    <x v="628"/>
    <x v="20"/>
    <s v="COMPTROLLER-OTHER"/>
    <s v="UNKNOWN"/>
    <x v="0"/>
  </r>
  <r>
    <n v="210869"/>
    <n v="20000"/>
    <x v="4"/>
    <x v="629"/>
    <x v="20"/>
    <s v="COMPTROLLER-OTHER"/>
    <s v="UNKNOWN"/>
    <x v="0"/>
  </r>
  <r>
    <n v="210874"/>
    <n v="1917604"/>
    <x v="4"/>
    <x v="25"/>
    <x v="12"/>
    <s v="COMPTROLLER-OTHER"/>
    <s v="UNKNOWN"/>
    <x v="0"/>
  </r>
  <r>
    <n v="210876"/>
    <n v="10000"/>
    <x v="0"/>
    <x v="630"/>
    <x v="20"/>
    <s v="COMPTROLLER-OTHER"/>
    <s v="UNKNOWN"/>
    <x v="0"/>
  </r>
  <r>
    <n v="210917"/>
    <n v="225000"/>
    <x v="4"/>
    <x v="25"/>
    <x v="8"/>
    <s v="COMPTROLLER-OTHER"/>
    <s v="UNKNOWN"/>
    <x v="1"/>
  </r>
  <r>
    <n v="211204"/>
    <n v="2000000"/>
    <x v="1"/>
    <x v="197"/>
    <x v="19"/>
    <s v="DELEGATE AGENCY"/>
    <s v="RFP"/>
    <x v="0"/>
  </r>
  <r>
    <n v="211208"/>
    <n v="20000"/>
    <x v="0"/>
    <x v="631"/>
    <x v="20"/>
    <s v="COMPTROLLER-OTHER"/>
    <s v="UNKNOWN"/>
    <x v="0"/>
  </r>
  <r>
    <n v="211214"/>
    <n v="50000"/>
    <x v="4"/>
    <x v="632"/>
    <x v="20"/>
    <s v="COMPTROLLER-OTHER"/>
    <s v="UNKNOWN"/>
    <x v="0"/>
  </r>
  <r>
    <n v="211215"/>
    <n v="3000"/>
    <x v="1"/>
    <x v="633"/>
    <x v="20"/>
    <s v="COMPTROLLER-OTHER"/>
    <s v="UNKNOWN"/>
    <x v="0"/>
  </r>
  <r>
    <n v="211217"/>
    <n v="10000"/>
    <x v="3"/>
    <x v="634"/>
    <x v="20"/>
    <s v="COMPTROLLER-OTHER"/>
    <s v="UNKNOWN"/>
    <x v="0"/>
  </r>
  <r>
    <n v="211219"/>
    <n v="10000"/>
    <x v="4"/>
    <x v="635"/>
    <x v="20"/>
    <s v="COMPTROLLER-OTHER"/>
    <s v="UNKNOWN"/>
    <x v="0"/>
  </r>
  <r>
    <n v="211220"/>
    <n v="50000"/>
    <x v="4"/>
    <x v="636"/>
    <x v="20"/>
    <s v="COMPTROLLER-OTHER"/>
    <s v="UNKNOWN"/>
    <x v="0"/>
  </r>
  <r>
    <n v="211221"/>
    <n v="9000"/>
    <x v="1"/>
    <x v="637"/>
    <x v="20"/>
    <s v="COMPTROLLER-OTHER"/>
    <s v="UNKNOWN"/>
    <x v="0"/>
  </r>
  <r>
    <n v="211225"/>
    <n v="40000"/>
    <x v="3"/>
    <x v="188"/>
    <x v="8"/>
    <s v="DELEGATE AGENCY"/>
    <s v="UNKNOWN"/>
    <x v="0"/>
  </r>
  <r>
    <n v="211229"/>
    <n v="10000"/>
    <x v="4"/>
    <x v="638"/>
    <x v="20"/>
    <s v="COMPTROLLER-OTHER"/>
    <s v="UNKNOWN"/>
    <x v="0"/>
  </r>
  <r>
    <n v="211230"/>
    <n v="10000"/>
    <x v="4"/>
    <x v="639"/>
    <x v="20"/>
    <s v="COMPTROLLER-OTHER"/>
    <s v="UNKNOWN"/>
    <x v="0"/>
  </r>
  <r>
    <n v="211231"/>
    <n v="50000"/>
    <x v="4"/>
    <x v="640"/>
    <x v="20"/>
    <s v="COMPTROLLER-OTHER"/>
    <s v="UNKNOWN"/>
    <x v="0"/>
  </r>
  <r>
    <n v="211232"/>
    <n v="15000"/>
    <x v="1"/>
    <x v="641"/>
    <x v="20"/>
    <s v="COMPTROLLER-OTHER"/>
    <s v="UNKNOWN"/>
    <x v="0"/>
  </r>
  <r>
    <n v="211234"/>
    <n v="10766749.9"/>
    <x v="4"/>
    <x v="161"/>
    <x v="6"/>
    <s v="CONSTRUCTION-AVIATION"/>
    <s v="BID"/>
    <x v="0"/>
  </r>
  <r>
    <n v="211239"/>
    <n v="216610.4"/>
    <x v="0"/>
    <x v="642"/>
    <x v="15"/>
    <s v="SOFTWARE"/>
    <s v="JOINT PURCHASE"/>
    <x v="0"/>
  </r>
  <r>
    <n v="211294"/>
    <n v="10000"/>
    <x v="1"/>
    <x v="643"/>
    <x v="20"/>
    <s v="COMPTROLLER-OTHER"/>
    <s v="UNKNOWN"/>
    <x v="0"/>
  </r>
  <r>
    <n v="211296"/>
    <n v="10000"/>
    <x v="4"/>
    <x v="644"/>
    <x v="20"/>
    <s v="COMPTROLLER-OTHER"/>
    <s v="UNKNOWN"/>
    <x v="0"/>
  </r>
  <r>
    <n v="211298"/>
    <n v="10000"/>
    <x v="4"/>
    <x v="645"/>
    <x v="20"/>
    <s v="COMPTROLLER-OTHER"/>
    <s v="UNKNOWN"/>
    <x v="0"/>
  </r>
  <r>
    <n v="211300"/>
    <n v="25000"/>
    <x v="4"/>
    <x v="646"/>
    <x v="20"/>
    <s v="COMPTROLLER-OTHER"/>
    <s v="UNKNOWN"/>
    <x v="0"/>
  </r>
  <r>
    <n v="211302"/>
    <n v="35464619"/>
    <x v="4"/>
    <x v="0"/>
    <x v="0"/>
    <s v="CONSTRUCTION-LARGE $3MILLIONorABOVE"/>
    <s v="BID"/>
    <x v="0"/>
  </r>
  <r>
    <n v="211303"/>
    <n v="20000"/>
    <x v="0"/>
    <x v="647"/>
    <x v="20"/>
    <s v="COMPTROLLER-OTHER"/>
    <s v="UNKNOWN"/>
    <x v="0"/>
  </r>
  <r>
    <n v="211307"/>
    <n v="50000"/>
    <x v="4"/>
    <x v="648"/>
    <x v="20"/>
    <s v="COMPTROLLER-OTHER"/>
    <s v="UNKNOWN"/>
    <x v="0"/>
  </r>
  <r>
    <n v="211319"/>
    <n v="30000"/>
    <x v="1"/>
    <x v="649"/>
    <x v="20"/>
    <s v="COMPTROLLER-OTHER"/>
    <s v="UNKNOWN"/>
    <x v="0"/>
  </r>
  <r>
    <n v="211320"/>
    <n v="25000"/>
    <x v="4"/>
    <x v="650"/>
    <x v="20"/>
    <s v="COMPTROLLER-OTHER"/>
    <s v="UNKNOWN"/>
    <x v="0"/>
  </r>
  <r>
    <n v="211322"/>
    <n v="10000"/>
    <x v="4"/>
    <x v="651"/>
    <x v="20"/>
    <s v="COMPTROLLER-OTHER"/>
    <s v="UNKNOWN"/>
    <x v="0"/>
  </r>
  <r>
    <n v="211324"/>
    <n v="25000"/>
    <x v="4"/>
    <x v="652"/>
    <x v="20"/>
    <s v="COMPTROLLER-OTHER"/>
    <s v="UNKNOWN"/>
    <x v="0"/>
  </r>
  <r>
    <n v="211325"/>
    <n v="9000"/>
    <x v="4"/>
    <x v="653"/>
    <x v="20"/>
    <s v="COMPTROLLER-OTHER"/>
    <s v="UNKNOWN"/>
    <x v="0"/>
  </r>
  <r>
    <n v="211326"/>
    <n v="50000"/>
    <x v="3"/>
    <x v="654"/>
    <x v="20"/>
    <s v="COMPTROLLER-OTHER"/>
    <s v="UNKNOWN"/>
    <x v="0"/>
  </r>
  <r>
    <n v="211372"/>
    <n v="4000"/>
    <x v="1"/>
    <x v="655"/>
    <x v="20"/>
    <s v="COMPTROLLER-OTHER"/>
    <s v="UNKNOWN"/>
    <x v="0"/>
  </r>
  <r>
    <n v="211373"/>
    <n v="20000"/>
    <x v="3"/>
    <x v="656"/>
    <x v="20"/>
    <s v="COMPTROLLER-OTHER"/>
    <s v="UNKNOWN"/>
    <x v="0"/>
  </r>
  <r>
    <n v="211377"/>
    <n v="50000"/>
    <x v="4"/>
    <x v="657"/>
    <x v="20"/>
    <s v="COMPTROLLER-OTHER"/>
    <s v="UNKNOWN"/>
    <x v="0"/>
  </r>
  <r>
    <n v="211553"/>
    <n v="10000"/>
    <x v="1"/>
    <x v="658"/>
    <x v="20"/>
    <s v="COMPTROLLER-OTHER"/>
    <s v="UNKNOWN"/>
    <x v="0"/>
  </r>
  <r>
    <n v="211554"/>
    <n v="30000"/>
    <x v="4"/>
    <x v="659"/>
    <x v="20"/>
    <s v="COMPTROLLER-OTHER"/>
    <s v="UNKNOWN"/>
    <x v="0"/>
  </r>
  <r>
    <n v="211555"/>
    <n v="25000"/>
    <x v="4"/>
    <x v="660"/>
    <x v="20"/>
    <s v="COMPTROLLER-OTHER"/>
    <s v="UNKNOWN"/>
    <x v="0"/>
  </r>
  <r>
    <n v="211556"/>
    <n v="9000"/>
    <x v="4"/>
    <x v="661"/>
    <x v="20"/>
    <s v="COMPTROLLER-OTHER"/>
    <s v="UNKNOWN"/>
    <x v="0"/>
  </r>
  <r>
    <n v="211557"/>
    <n v="25000"/>
    <x v="3"/>
    <x v="662"/>
    <x v="20"/>
    <s v="COMPTROLLER-OTHER"/>
    <s v="UNKNOWN"/>
    <x v="0"/>
  </r>
  <r>
    <n v="211561"/>
    <n v="20000"/>
    <x v="4"/>
    <x v="663"/>
    <x v="20"/>
    <s v="COMPTROLLER-OTHER"/>
    <s v="UNKNOWN"/>
    <x v="0"/>
  </r>
  <r>
    <n v="211576"/>
    <n v="10000"/>
    <x v="4"/>
    <x v="664"/>
    <x v="20"/>
    <s v="COMPTROLLER-OTHER"/>
    <s v="UNKNOWN"/>
    <x v="0"/>
  </r>
  <r>
    <n v="211582"/>
    <n v="10000"/>
    <x v="4"/>
    <x v="665"/>
    <x v="20"/>
    <s v="COMPTROLLER-OTHER"/>
    <s v="UNKNOWN"/>
    <x v="0"/>
  </r>
  <r>
    <n v="211587"/>
    <n v="10000"/>
    <x v="4"/>
    <x v="666"/>
    <x v="20"/>
    <s v="COMPTROLLER-OTHER"/>
    <s v="UNKNOWN"/>
    <x v="0"/>
  </r>
  <r>
    <n v="211620"/>
    <n v="164288975"/>
    <x v="4"/>
    <x v="667"/>
    <x v="5"/>
    <s v="ARCH/ENGINEERING"/>
    <s v="RFQ"/>
    <x v="0"/>
  </r>
  <r>
    <n v="211621"/>
    <n v="25000"/>
    <x v="0"/>
    <x v="668"/>
    <x v="20"/>
    <s v="COMPTROLLER-OTHER"/>
    <s v="UNKNOWN"/>
    <x v="0"/>
  </r>
  <r>
    <n v="211622"/>
    <n v="50000"/>
    <x v="4"/>
    <x v="669"/>
    <x v="20"/>
    <s v="COMPTROLLER-OTHER"/>
    <s v="UNKNOWN"/>
    <x v="0"/>
  </r>
  <r>
    <n v="211623"/>
    <n v="25000"/>
    <x v="1"/>
    <x v="670"/>
    <x v="20"/>
    <s v="COMPTROLLER-OTHER"/>
    <s v="UNKNOWN"/>
    <x v="0"/>
  </r>
  <r>
    <n v="211624"/>
    <n v="10000"/>
    <x v="4"/>
    <x v="671"/>
    <x v="20"/>
    <s v="COMPTROLLER-OTHER"/>
    <s v="UNKNOWN"/>
    <x v="0"/>
  </r>
  <r>
    <n v="211627"/>
    <n v="15000"/>
    <x v="4"/>
    <x v="672"/>
    <x v="20"/>
    <s v="COMPTROLLER-OTHER"/>
    <s v="UNKNOWN"/>
    <x v="0"/>
  </r>
  <r>
    <n v="211628"/>
    <n v="40000"/>
    <x v="4"/>
    <x v="673"/>
    <x v="20"/>
    <s v="COMPTROLLER-OTHER"/>
    <s v="UNKNOWN"/>
    <x v="0"/>
  </r>
  <r>
    <n v="211629"/>
    <n v="25000"/>
    <x v="4"/>
    <x v="674"/>
    <x v="20"/>
    <s v="COMPTROLLER-OTHER"/>
    <s v="UNKNOWN"/>
    <x v="0"/>
  </r>
  <r>
    <n v="211630"/>
    <n v="35000"/>
    <x v="4"/>
    <x v="675"/>
    <x v="20"/>
    <s v="COMPTROLLER-OTHER"/>
    <s v="UNKNOWN"/>
    <x v="0"/>
  </r>
  <r>
    <n v="211631"/>
    <n v="10000"/>
    <x v="4"/>
    <x v="676"/>
    <x v="20"/>
    <s v="COMPTROLLER-OTHER"/>
    <s v="UNKNOWN"/>
    <x v="0"/>
  </r>
  <r>
    <n v="211641"/>
    <n v="8000"/>
    <x v="4"/>
    <x v="677"/>
    <x v="20"/>
    <s v="COMPTROLLER-OTHER"/>
    <s v="UNKNOWN"/>
    <x v="0"/>
  </r>
  <r>
    <n v="211642"/>
    <n v="10000"/>
    <x v="3"/>
    <x v="678"/>
    <x v="20"/>
    <s v="COMPTROLLER-OTHER"/>
    <s v="UNKNOWN"/>
    <x v="0"/>
  </r>
  <r>
    <n v="211644"/>
    <n v="50000"/>
    <x v="4"/>
    <x v="679"/>
    <x v="20"/>
    <s v="COMPTROLLER-OTHER"/>
    <s v="UNKNOWN"/>
    <x v="0"/>
  </r>
  <r>
    <n v="211645"/>
    <n v="276000"/>
    <x v="1"/>
    <x v="604"/>
    <x v="12"/>
    <s v="DELEGATE AGENCY"/>
    <s v="UNKNOWN"/>
    <x v="0"/>
  </r>
  <r>
    <n v="211646"/>
    <n v="207000"/>
    <x v="2"/>
    <x v="325"/>
    <x v="12"/>
    <s v="DELEGATE AGENCY"/>
    <s v="UNKNOWN"/>
    <x v="0"/>
  </r>
  <r>
    <n v="211647"/>
    <n v="1449000"/>
    <x v="1"/>
    <x v="199"/>
    <x v="12"/>
    <s v="DELEGATE AGENCY"/>
    <s v="UNKNOWN"/>
    <x v="0"/>
  </r>
  <r>
    <n v="211648"/>
    <n v="207000"/>
    <x v="0"/>
    <x v="350"/>
    <x v="12"/>
    <s v="DELEGATE AGENCY"/>
    <s v="UNKNOWN"/>
    <x v="0"/>
  </r>
  <r>
    <n v="211657"/>
    <n v="621000"/>
    <x v="1"/>
    <x v="169"/>
    <x v="12"/>
    <s v="DELEGATE AGENCY"/>
    <s v="UNKNOWN"/>
    <x v="0"/>
  </r>
  <r>
    <n v="211661"/>
    <n v="207000"/>
    <x v="2"/>
    <x v="544"/>
    <x v="12"/>
    <s v="DELEGATE AGENCY"/>
    <s v="UNKNOWN"/>
    <x v="0"/>
  </r>
  <r>
    <n v="211665"/>
    <n v="207000"/>
    <x v="1"/>
    <x v="680"/>
    <x v="12"/>
    <s v="DELEGATE AGENCY"/>
    <s v="UNKNOWN"/>
    <x v="0"/>
  </r>
  <r>
    <n v="211666"/>
    <n v="207000"/>
    <x v="1"/>
    <x v="84"/>
    <x v="12"/>
    <s v="DELEGATE AGENCY"/>
    <s v="UNKNOWN"/>
    <x v="0"/>
  </r>
  <r>
    <n v="211667"/>
    <n v="207000"/>
    <x v="1"/>
    <x v="85"/>
    <x v="12"/>
    <s v="DELEGATE AGENCY"/>
    <s v="UNKNOWN"/>
    <x v="0"/>
  </r>
  <r>
    <n v="211669"/>
    <n v="414000"/>
    <x v="1"/>
    <x v="59"/>
    <x v="12"/>
    <s v="DELEGATE AGENCY"/>
    <s v="UNKNOWN"/>
    <x v="0"/>
  </r>
  <r>
    <n v="211670"/>
    <n v="207000"/>
    <x v="2"/>
    <x v="353"/>
    <x v="12"/>
    <s v="DELEGATE AGENCY"/>
    <s v="UNKNOWN"/>
    <x v="0"/>
  </r>
  <r>
    <n v="211671"/>
    <n v="414000"/>
    <x v="1"/>
    <x v="576"/>
    <x v="12"/>
    <s v="DELEGATE AGENCY"/>
    <s v="UNKNOWN"/>
    <x v="0"/>
  </r>
  <r>
    <n v="211672"/>
    <n v="207000"/>
    <x v="2"/>
    <x v="577"/>
    <x v="12"/>
    <s v="DELEGATE AGENCY"/>
    <s v="UNKNOWN"/>
    <x v="0"/>
  </r>
  <r>
    <n v="211673"/>
    <n v="310500"/>
    <x v="1"/>
    <x v="89"/>
    <x v="12"/>
    <s v="DELEGATE AGENCY"/>
    <s v="UNKNOWN"/>
    <x v="0"/>
  </r>
  <r>
    <n v="211674"/>
    <n v="207000"/>
    <x v="2"/>
    <x v="354"/>
    <x v="12"/>
    <s v="DELEGATE AGENCY"/>
    <s v="UNKNOWN"/>
    <x v="0"/>
  </r>
  <r>
    <n v="211675"/>
    <n v="517500"/>
    <x v="1"/>
    <x v="578"/>
    <x v="12"/>
    <s v="DELEGATE AGENCY"/>
    <s v="UNKNOWN"/>
    <x v="0"/>
  </r>
  <r>
    <n v="211680"/>
    <n v="379500"/>
    <x v="2"/>
    <x v="681"/>
    <x v="12"/>
    <s v="DELEGATE AGENCY"/>
    <s v="UNKNOWN"/>
    <x v="0"/>
  </r>
  <r>
    <n v="211681"/>
    <n v="207000"/>
    <x v="2"/>
    <x v="66"/>
    <x v="12"/>
    <s v="DELEGATE AGENCY"/>
    <s v="UNKNOWN"/>
    <x v="0"/>
  </r>
  <r>
    <n v="211683"/>
    <n v="414000"/>
    <x v="1"/>
    <x v="446"/>
    <x v="12"/>
    <s v="DELEGATE AGENCY"/>
    <s v="UNKNOWN"/>
    <x v="0"/>
  </r>
  <r>
    <n v="211684"/>
    <n v="448500"/>
    <x v="2"/>
    <x v="346"/>
    <x v="12"/>
    <s v="DELEGATE AGENCY"/>
    <s v="UNKNOWN"/>
    <x v="0"/>
  </r>
  <r>
    <n v="211685"/>
    <n v="207000"/>
    <x v="2"/>
    <x v="315"/>
    <x v="12"/>
    <s v="DELEGATE AGENCY"/>
    <s v="UNKNOWN"/>
    <x v="0"/>
  </r>
  <r>
    <n v="211686"/>
    <n v="207000"/>
    <x v="1"/>
    <x v="449"/>
    <x v="12"/>
    <s v="DELEGATE AGENCY"/>
    <s v="UNKNOWN"/>
    <x v="0"/>
  </r>
  <r>
    <n v="211687"/>
    <n v="207000"/>
    <x v="1"/>
    <x v="682"/>
    <x v="12"/>
    <s v="DELEGATE AGENCY"/>
    <s v="UNKNOWN"/>
    <x v="0"/>
  </r>
  <r>
    <n v="211688"/>
    <n v="207000"/>
    <x v="1"/>
    <x v="113"/>
    <x v="12"/>
    <s v="DELEGATE AGENCY"/>
    <s v="UNKNOWN"/>
    <x v="0"/>
  </r>
  <r>
    <n v="211689"/>
    <n v="207000"/>
    <x v="1"/>
    <x v="114"/>
    <x v="12"/>
    <s v="DELEGATE AGENCY"/>
    <s v="UNKNOWN"/>
    <x v="0"/>
  </r>
  <r>
    <n v="211691"/>
    <n v="414000"/>
    <x v="1"/>
    <x v="450"/>
    <x v="12"/>
    <s v="DELEGATE AGENCY"/>
    <s v="UNKNOWN"/>
    <x v="0"/>
  </r>
  <r>
    <n v="211692"/>
    <n v="621000"/>
    <x v="2"/>
    <x v="165"/>
    <x v="12"/>
    <s v="DELEGATE AGENCY"/>
    <s v="UNKNOWN"/>
    <x v="0"/>
  </r>
  <r>
    <n v="211698"/>
    <n v="21000"/>
    <x v="2"/>
    <x v="683"/>
    <x v="19"/>
    <s v="DELEGATE AGENCY"/>
    <s v="RFP"/>
    <x v="0"/>
  </r>
  <r>
    <n v="211699"/>
    <n v="25250"/>
    <x v="4"/>
    <x v="684"/>
    <x v="21"/>
    <s v="DELEGATE AGENCY"/>
    <s v="RFP"/>
    <x v="0"/>
  </r>
  <r>
    <n v="211700"/>
    <n v="25000"/>
    <x v="4"/>
    <x v="685"/>
    <x v="21"/>
    <s v="DELEGATE AGENCY"/>
    <s v="RFP"/>
    <x v="0"/>
  </r>
  <r>
    <n v="211701"/>
    <n v="24976"/>
    <x v="4"/>
    <x v="686"/>
    <x v="21"/>
    <s v="DELEGATE AGENCY"/>
    <s v="RFP"/>
    <x v="0"/>
  </r>
  <r>
    <n v="211708"/>
    <n v="338424.2"/>
    <x v="4"/>
    <x v="504"/>
    <x v="8"/>
    <s v="DELEGATE AGENCY"/>
    <s v="UNKNOWN"/>
    <x v="0"/>
  </r>
  <r>
    <n v="211710"/>
    <n v="150577"/>
    <x v="2"/>
    <x v="687"/>
    <x v="8"/>
    <s v="DELEGATE AGENCY"/>
    <s v="UNKNOWN"/>
    <x v="0"/>
  </r>
  <r>
    <n v="211740"/>
    <n v="207000"/>
    <x v="1"/>
    <x v="616"/>
    <x v="12"/>
    <s v="DELEGATE AGENCY"/>
    <s v="UNKNOWN"/>
    <x v="0"/>
  </r>
  <r>
    <n v="211741"/>
    <n v="414000"/>
    <x v="1"/>
    <x v="201"/>
    <x v="12"/>
    <s v="DELEGATE AGENCY"/>
    <s v="UNKNOWN"/>
    <x v="0"/>
  </r>
  <r>
    <n v="211742"/>
    <n v="207000"/>
    <x v="2"/>
    <x v="240"/>
    <x v="12"/>
    <s v="DELEGATE AGENCY"/>
    <s v="UNKNOWN"/>
    <x v="0"/>
  </r>
  <r>
    <n v="211743"/>
    <n v="207000"/>
    <x v="1"/>
    <x v="202"/>
    <x v="12"/>
    <s v="DELEGATE AGENCY"/>
    <s v="UNKNOWN"/>
    <x v="0"/>
  </r>
  <r>
    <n v="211744"/>
    <n v="207000"/>
    <x v="1"/>
    <x v="688"/>
    <x v="12"/>
    <s v="DELEGATE AGENCY"/>
    <s v="UNKNOWN"/>
    <x v="0"/>
  </r>
  <r>
    <n v="211745"/>
    <n v="414000"/>
    <x v="1"/>
    <x v="689"/>
    <x v="12"/>
    <s v="DELEGATE AGENCY"/>
    <s v="UNKNOWN"/>
    <x v="0"/>
  </r>
  <r>
    <n v="211746"/>
    <n v="207000"/>
    <x v="2"/>
    <x v="127"/>
    <x v="12"/>
    <s v="DELEGATE AGENCY"/>
    <s v="UNKNOWN"/>
    <x v="0"/>
  </r>
  <r>
    <n v="211747"/>
    <n v="207000"/>
    <x v="1"/>
    <x v="585"/>
    <x v="12"/>
    <s v="DELEGATE AGENCY"/>
    <s v="UNKNOWN"/>
    <x v="0"/>
  </r>
  <r>
    <n v="211748"/>
    <n v="207000"/>
    <x v="1"/>
    <x v="586"/>
    <x v="12"/>
    <s v="DELEGATE AGENCY"/>
    <s v="UNKNOWN"/>
    <x v="0"/>
  </r>
  <r>
    <n v="211750"/>
    <n v="310500"/>
    <x v="1"/>
    <x v="690"/>
    <x v="12"/>
    <s v="DELEGATE AGENCY"/>
    <s v="UNKNOWN"/>
    <x v="0"/>
  </r>
  <r>
    <n v="211751"/>
    <n v="207000"/>
    <x v="2"/>
    <x v="691"/>
    <x v="12"/>
    <s v="DELEGATE AGENCY"/>
    <s v="UNKNOWN"/>
    <x v="0"/>
  </r>
  <r>
    <n v="211752"/>
    <n v="207000"/>
    <x v="1"/>
    <x v="76"/>
    <x v="12"/>
    <s v="DELEGATE AGENCY"/>
    <s v="UNKNOWN"/>
    <x v="0"/>
  </r>
  <r>
    <n v="211754"/>
    <n v="414000"/>
    <x v="1"/>
    <x v="167"/>
    <x v="12"/>
    <s v="DELEGATE AGENCY"/>
    <s v="UNKNOWN"/>
    <x v="0"/>
  </r>
  <r>
    <n v="211755"/>
    <n v="828000"/>
    <x v="2"/>
    <x v="588"/>
    <x v="12"/>
    <s v="DELEGATE AGENCY"/>
    <s v="UNKNOWN"/>
    <x v="0"/>
  </r>
  <r>
    <n v="211756"/>
    <n v="207000"/>
    <x v="2"/>
    <x v="168"/>
    <x v="12"/>
    <s v="DELEGATE AGENCY"/>
    <s v="UNKNOWN"/>
    <x v="0"/>
  </r>
  <r>
    <n v="211757"/>
    <n v="207000"/>
    <x v="1"/>
    <x v="692"/>
    <x v="12"/>
    <s v="DELEGATE AGENCY"/>
    <s v="UNKNOWN"/>
    <x v="0"/>
  </r>
  <r>
    <n v="211758"/>
    <n v="207000"/>
    <x v="1"/>
    <x v="693"/>
    <x v="12"/>
    <s v="DELEGATE AGENCY"/>
    <s v="UNKNOWN"/>
    <x v="0"/>
  </r>
  <r>
    <n v="211759"/>
    <n v="621000"/>
    <x v="1"/>
    <x v="78"/>
    <x v="12"/>
    <s v="DELEGATE AGENCY"/>
    <s v="UNKNOWN"/>
    <x v="0"/>
  </r>
  <r>
    <n v="211760"/>
    <n v="10660550"/>
    <x v="2"/>
    <x v="593"/>
    <x v="12"/>
    <s v="DELEGATE AGENCY"/>
    <s v="UNKNOWN"/>
    <x v="0"/>
  </r>
  <r>
    <n v="211876"/>
    <n v="5000"/>
    <x v="0"/>
    <x v="619"/>
    <x v="16"/>
    <s v="DELEGATE AGENCY"/>
    <s v="UNKNOWN"/>
    <x v="0"/>
  </r>
  <r>
    <n v="211877"/>
    <n v="1000"/>
    <x v="3"/>
    <x v="694"/>
    <x v="16"/>
    <s v="DELEGATE AGENCY"/>
    <s v="UNKNOWN"/>
    <x v="0"/>
  </r>
  <r>
    <n v="211986"/>
    <n v="250000"/>
    <x v="3"/>
    <x v="695"/>
    <x v="1"/>
    <s v="DELEGATE AGENCY"/>
    <s v="UNKNOWN"/>
    <x v="0"/>
  </r>
  <r>
    <n v="212020"/>
    <n v="1047204.8"/>
    <x v="2"/>
    <x v="188"/>
    <x v="8"/>
    <s v="DELEGATE AGENCY"/>
    <s v="RFP"/>
    <x v="0"/>
  </r>
  <r>
    <n v="212021"/>
    <n v="300000"/>
    <x v="0"/>
    <x v="280"/>
    <x v="1"/>
    <s v="DELEGATE AGENCY"/>
    <s v="UNKNOWN"/>
    <x v="0"/>
  </r>
  <r>
    <n v="212035"/>
    <n v="9000"/>
    <x v="2"/>
    <x v="696"/>
    <x v="20"/>
    <s v="COMPTROLLER-OTHER"/>
    <s v="UNKNOWN"/>
    <x v="0"/>
  </r>
  <r>
    <n v="212036"/>
    <n v="35000"/>
    <x v="3"/>
    <x v="697"/>
    <x v="20"/>
    <s v="COMPTROLLER-OTHER"/>
    <s v="UNKNOWN"/>
    <x v="0"/>
  </r>
  <r>
    <n v="212038"/>
    <n v="207000"/>
    <x v="4"/>
    <x v="592"/>
    <x v="12"/>
    <s v="DELEGATE AGENCY"/>
    <s v="UNKNOWN"/>
    <x v="0"/>
  </r>
  <r>
    <n v="212039"/>
    <n v="10000"/>
    <x v="1"/>
    <x v="698"/>
    <x v="20"/>
    <s v="COMPTROLLER-OTHER"/>
    <s v="UNKNOWN"/>
    <x v="0"/>
  </r>
  <r>
    <n v="212042"/>
    <n v="7000"/>
    <x v="4"/>
    <x v="699"/>
    <x v="20"/>
    <s v="COMPTROLLER-OTHER"/>
    <s v="UNKNOWN"/>
    <x v="0"/>
  </r>
  <r>
    <n v="212044"/>
    <n v="25000"/>
    <x v="3"/>
    <x v="700"/>
    <x v="20"/>
    <s v="COMPTROLLER-OTHER"/>
    <s v="UNKNOWN"/>
    <x v="0"/>
  </r>
  <r>
    <n v="212048"/>
    <n v="10000"/>
    <x v="4"/>
    <x v="701"/>
    <x v="20"/>
    <s v="COMPTROLLER-OTHER"/>
    <s v="UNKNOWN"/>
    <x v="0"/>
  </r>
  <r>
    <n v="212049"/>
    <n v="15000"/>
    <x v="4"/>
    <x v="702"/>
    <x v="20"/>
    <s v="COMPTROLLER-OTHER"/>
    <s v="UNKNOWN"/>
    <x v="0"/>
  </r>
  <r>
    <n v="212053"/>
    <n v="15000"/>
    <x v="4"/>
    <x v="703"/>
    <x v="20"/>
    <s v="COMPTROLLER-OTHER"/>
    <s v="UNKNOWN"/>
    <x v="0"/>
  </r>
  <r>
    <n v="212054"/>
    <n v="10000"/>
    <x v="4"/>
    <x v="704"/>
    <x v="20"/>
    <s v="COMPTROLLER-OTHER"/>
    <s v="UNKNOWN"/>
    <x v="0"/>
  </r>
  <r>
    <n v="212106"/>
    <n v="20000"/>
    <x v="4"/>
    <x v="705"/>
    <x v="20"/>
    <s v="COMPTROLLER-OTHER"/>
    <s v="UNKNOWN"/>
    <x v="0"/>
  </r>
  <r>
    <n v="212114"/>
    <n v="10000"/>
    <x v="4"/>
    <x v="706"/>
    <x v="20"/>
    <s v="COMPTROLLER-OTHER"/>
    <s v="UNKNOWN"/>
    <x v="0"/>
  </r>
  <r>
    <n v="212117"/>
    <n v="25000"/>
    <x v="4"/>
    <x v="707"/>
    <x v="20"/>
    <s v="COMPTROLLER-OTHER"/>
    <s v="UNKNOWN"/>
    <x v="0"/>
  </r>
  <r>
    <n v="212137"/>
    <n v="30000"/>
    <x v="4"/>
    <x v="708"/>
    <x v="20"/>
    <s v="COMPTROLLER-OTHER"/>
    <s v="UNKNOWN"/>
    <x v="0"/>
  </r>
  <r>
    <n v="212149"/>
    <n v="30000"/>
    <x v="4"/>
    <x v="709"/>
    <x v="20"/>
    <s v="COMPTROLLER-OTHER"/>
    <s v="UNKNOWN"/>
    <x v="0"/>
  </r>
  <r>
    <n v="212157"/>
    <n v="30000"/>
    <x v="4"/>
    <x v="710"/>
    <x v="20"/>
    <s v="COMPTROLLER-OTHER"/>
    <s v="UNKNOWN"/>
    <x v="0"/>
  </r>
  <r>
    <n v="212158"/>
    <n v="10000"/>
    <x v="4"/>
    <x v="711"/>
    <x v="20"/>
    <s v="COMPTROLLER-OTHER"/>
    <s v="UNKNOWN"/>
    <x v="0"/>
  </r>
  <r>
    <n v="212166"/>
    <n v="10000"/>
    <x v="4"/>
    <x v="712"/>
    <x v="20"/>
    <s v="COMPTROLLER-OTHER"/>
    <s v="UNKNOWN"/>
    <x v="0"/>
  </r>
  <r>
    <n v="212168"/>
    <n v="25000"/>
    <x v="4"/>
    <x v="713"/>
    <x v="20"/>
    <s v="COMPTROLLER-OTHER"/>
    <s v="UNKNOWN"/>
    <x v="0"/>
  </r>
  <r>
    <n v="212176"/>
    <n v="30000"/>
    <x v="4"/>
    <x v="714"/>
    <x v="20"/>
    <s v="COMPTROLLER-OTHER"/>
    <s v="UNKNOWN"/>
    <x v="0"/>
  </r>
  <r>
    <n v="212177"/>
    <n v="50000"/>
    <x v="4"/>
    <x v="715"/>
    <x v="20"/>
    <s v="COMPTROLLER-OTHER"/>
    <s v="UNKNOWN"/>
    <x v="0"/>
  </r>
  <r>
    <n v="212190"/>
    <n v="15000"/>
    <x v="1"/>
    <x v="716"/>
    <x v="20"/>
    <s v="COMPTROLLER-OTHER"/>
    <s v="UNKNOWN"/>
    <x v="0"/>
  </r>
  <r>
    <n v="212204"/>
    <n v="25000"/>
    <x v="4"/>
    <x v="717"/>
    <x v="20"/>
    <s v="COMPTROLLER-OTHER"/>
    <s v="UNKNOWN"/>
    <x v="0"/>
  </r>
  <r>
    <n v="212206"/>
    <n v="9000"/>
    <x v="4"/>
    <x v="718"/>
    <x v="20"/>
    <s v="COMPTROLLER-OTHER"/>
    <s v="UNKNOWN"/>
    <x v="0"/>
  </r>
  <r>
    <n v="212207"/>
    <n v="20000"/>
    <x v="3"/>
    <x v="719"/>
    <x v="20"/>
    <s v="COMPTROLLER-OTHER"/>
    <s v="UNKNOWN"/>
    <x v="0"/>
  </r>
  <r>
    <n v="212218"/>
    <n v="20000"/>
    <x v="4"/>
    <x v="720"/>
    <x v="20"/>
    <s v="COMPTROLLER-OTHER"/>
    <s v="UNKNOWN"/>
    <x v="0"/>
  </r>
  <r>
    <n v="212249"/>
    <n v="310500"/>
    <x v="4"/>
    <x v="721"/>
    <x v="12"/>
    <s v="DELEGATE AGENCY"/>
    <s v="UNKNOWN"/>
    <x v="0"/>
  </r>
  <r>
    <n v="212318"/>
    <n v="40000"/>
    <x v="2"/>
    <x v="722"/>
    <x v="20"/>
    <s v="COMPTROLLER-OTHER"/>
    <s v="UNKNOWN"/>
    <x v="1"/>
  </r>
  <r>
    <n v="212327"/>
    <n v="1320700"/>
    <x v="4"/>
    <x v="464"/>
    <x v="2"/>
    <s v="COMPTROLLER-OTHER"/>
    <s v="UNKNOWN"/>
    <x v="0"/>
  </r>
  <r>
    <n v="212362"/>
    <n v="45000"/>
    <x v="0"/>
    <x v="723"/>
    <x v="20"/>
    <s v="COMPTROLLER-OTHER"/>
    <s v="UNKNOWN"/>
    <x v="0"/>
  </r>
  <r>
    <n v="212367"/>
    <n v="25000"/>
    <x v="4"/>
    <x v="724"/>
    <x v="20"/>
    <s v="COMPTROLLER-OTHER"/>
    <s v="UNKNOWN"/>
    <x v="0"/>
  </r>
  <r>
    <n v="212375"/>
    <n v="30000"/>
    <x v="4"/>
    <x v="585"/>
    <x v="20"/>
    <s v="COMPTROLLER-OTHER"/>
    <s v="UNKNOWN"/>
    <x v="0"/>
  </r>
  <r>
    <n v="212379"/>
    <n v="25000"/>
    <x v="4"/>
    <x v="725"/>
    <x v="20"/>
    <s v="COMPTROLLER-OTHER"/>
    <s v="UNKNOWN"/>
    <x v="0"/>
  </r>
  <r>
    <n v="212383"/>
    <n v="30000"/>
    <x v="4"/>
    <x v="580"/>
    <x v="20"/>
    <s v="COMPTROLLER-OTHER"/>
    <s v="UNKNOWN"/>
    <x v="0"/>
  </r>
  <r>
    <n v="212389"/>
    <n v="10000"/>
    <x v="4"/>
    <x v="726"/>
    <x v="20"/>
    <s v="COMPTROLLER-OTHER"/>
    <s v="UNKNOWN"/>
    <x v="0"/>
  </r>
  <r>
    <n v="212422"/>
    <n v="20000"/>
    <x v="4"/>
    <x v="727"/>
    <x v="20"/>
    <s v="COMPTROLLER-OTHER"/>
    <s v="UNKNOWN"/>
    <x v="0"/>
  </r>
  <r>
    <n v="212443"/>
    <n v="517500"/>
    <x v="4"/>
    <x v="5"/>
    <x v="12"/>
    <s v="DELEGATE AGENCY"/>
    <s v="UNKNOWN"/>
    <x v="0"/>
  </r>
  <r>
    <n v="212447"/>
    <n v="320000"/>
    <x v="2"/>
    <x v="496"/>
    <x v="12"/>
    <s v="DELEGATE AGENCY"/>
    <s v="UNKNOWN"/>
    <x v="0"/>
  </r>
  <r>
    <n v="212459"/>
    <n v="400000"/>
    <x v="2"/>
    <x v="59"/>
    <x v="12"/>
    <s v="DELEGATE AGENCY"/>
    <s v="UNKNOWN"/>
    <x v="0"/>
  </r>
  <r>
    <n v="212469"/>
    <n v="400000"/>
    <x v="2"/>
    <x v="436"/>
    <x v="12"/>
    <s v="DELEGATE AGENCY"/>
    <s v="UNKNOWN"/>
    <x v="0"/>
  </r>
  <r>
    <n v="212481"/>
    <n v="400000"/>
    <x v="2"/>
    <x v="728"/>
    <x v="12"/>
    <s v="DELEGATE AGENCY"/>
    <s v="UNKNOWN"/>
    <x v="0"/>
  </r>
  <r>
    <n v="212506"/>
    <n v="800000"/>
    <x v="2"/>
    <x v="128"/>
    <x v="12"/>
    <s v="DELEGATE AGENCY"/>
    <s v="UNKNOWN"/>
    <x v="0"/>
  </r>
  <r>
    <n v="212520"/>
    <n v="25000"/>
    <x v="2"/>
    <x v="729"/>
    <x v="20"/>
    <s v="COMPTROLLER-OTHER"/>
    <s v="UNKNOWN"/>
    <x v="0"/>
  </r>
  <r>
    <n v="212521"/>
    <n v="400000"/>
    <x v="4"/>
    <x v="730"/>
    <x v="12"/>
    <s v="DELEGATE AGENCY"/>
    <s v="UNKNOWN"/>
    <x v="0"/>
  </r>
  <r>
    <n v="212526"/>
    <n v="40000"/>
    <x v="2"/>
    <x v="731"/>
    <x v="20"/>
    <s v="COMPTROLLER-OTHER"/>
    <s v="UNKNOWN"/>
    <x v="0"/>
  </r>
  <r>
    <n v="212527"/>
    <n v="3200000"/>
    <x v="4"/>
    <x v="5"/>
    <x v="12"/>
    <s v="DELEGATE AGENCY"/>
    <s v="RFP"/>
    <x v="0"/>
  </r>
  <r>
    <n v="212537"/>
    <n v="3381000"/>
    <x v="0"/>
    <x v="199"/>
    <x v="12"/>
    <s v="DELEGATE AGENCY"/>
    <s v="UNKNOWN"/>
    <x v="0"/>
  </r>
  <r>
    <n v="212539"/>
    <n v="207000"/>
    <x v="0"/>
    <x v="167"/>
    <x v="12"/>
    <s v="DELEGATE AGENCY"/>
    <s v="UNKNOWN"/>
    <x v="0"/>
  </r>
  <r>
    <n v="212559"/>
    <n v="3268606.8"/>
    <x v="1"/>
    <x v="732"/>
    <x v="6"/>
    <s v="WORK SERV-AVIATION"/>
    <s v="BID"/>
    <x v="0"/>
  </r>
  <r>
    <n v="212710"/>
    <n v="20000"/>
    <x v="0"/>
    <x v="733"/>
    <x v="20"/>
    <s v="COMPTROLLER-OTHER"/>
    <s v="UNKNOWN"/>
    <x v="0"/>
  </r>
  <r>
    <n v="212711"/>
    <n v="50000"/>
    <x v="4"/>
    <x v="734"/>
    <x v="20"/>
    <s v="COMPTROLLER-OTHER"/>
    <s v="UNKNOWN"/>
    <x v="0"/>
  </r>
  <r>
    <n v="212713"/>
    <n v="5000"/>
    <x v="1"/>
    <x v="735"/>
    <x v="20"/>
    <s v="COMPTROLLER-OTHER"/>
    <s v="UNKNOWN"/>
    <x v="0"/>
  </r>
  <r>
    <n v="212720"/>
    <n v="10000"/>
    <x v="3"/>
    <x v="736"/>
    <x v="20"/>
    <s v="COMPTROLLER-OTHER"/>
    <s v="UNKNOWN"/>
    <x v="0"/>
  </r>
  <r>
    <n v="212727"/>
    <n v="30000"/>
    <x v="4"/>
    <x v="737"/>
    <x v="20"/>
    <s v="COMPTROLLER-OTHER"/>
    <s v="UNKNOWN"/>
    <x v="0"/>
  </r>
  <r>
    <n v="212735"/>
    <n v="15000"/>
    <x v="4"/>
    <x v="738"/>
    <x v="20"/>
    <s v="COMPTROLLER-OTHER"/>
    <s v="UNKNOWN"/>
    <x v="0"/>
  </r>
  <r>
    <n v="212753"/>
    <n v="10000"/>
    <x v="4"/>
    <x v="739"/>
    <x v="20"/>
    <s v="COMPTROLLER-OTHER"/>
    <s v="UNKNOWN"/>
    <x v="0"/>
  </r>
  <r>
    <n v="212755"/>
    <n v="10000"/>
    <x v="4"/>
    <x v="740"/>
    <x v="20"/>
    <s v="COMPTROLLER-OTHER"/>
    <s v="UNKNOWN"/>
    <x v="0"/>
  </r>
  <r>
    <n v="212757"/>
    <n v="45000"/>
    <x v="4"/>
    <x v="741"/>
    <x v="20"/>
    <s v="COMPTROLLER-OTHER"/>
    <s v="UNKNOWN"/>
    <x v="0"/>
  </r>
  <r>
    <n v="212761"/>
    <n v="25000"/>
    <x v="4"/>
    <x v="742"/>
    <x v="20"/>
    <s v="COMPTROLLER-OTHER"/>
    <s v="UNKNOWN"/>
    <x v="0"/>
  </r>
  <r>
    <n v="212762"/>
    <n v="10000"/>
    <x v="4"/>
    <x v="743"/>
    <x v="20"/>
    <s v="COMPTROLLER-OTHER"/>
    <s v="UNKNOWN"/>
    <x v="0"/>
  </r>
  <r>
    <n v="212763"/>
    <n v="10000"/>
    <x v="4"/>
    <x v="744"/>
    <x v="20"/>
    <s v="COMPTROLLER-OTHER"/>
    <s v="UNKNOWN"/>
    <x v="0"/>
  </r>
  <r>
    <n v="212766"/>
    <n v="25000"/>
    <x v="4"/>
    <x v="745"/>
    <x v="20"/>
    <s v="COMPTROLLER-OTHER"/>
    <s v="UNKNOWN"/>
    <x v="0"/>
  </r>
  <r>
    <n v="212767"/>
    <n v="10000"/>
    <x v="4"/>
    <x v="746"/>
    <x v="20"/>
    <s v="COMPTROLLER-OTHER"/>
    <s v="UNKNOWN"/>
    <x v="0"/>
  </r>
  <r>
    <n v="212768"/>
    <n v="15000"/>
    <x v="4"/>
    <x v="747"/>
    <x v="20"/>
    <s v="COMPTROLLER-OTHER"/>
    <s v="UNKNOWN"/>
    <x v="0"/>
  </r>
  <r>
    <n v="212769"/>
    <n v="15000"/>
    <x v="4"/>
    <x v="748"/>
    <x v="20"/>
    <s v="COMPTROLLER-OTHER"/>
    <s v="UNKNOWN"/>
    <x v="0"/>
  </r>
  <r>
    <n v="212770"/>
    <n v="25000"/>
    <x v="4"/>
    <x v="749"/>
    <x v="20"/>
    <s v="COMPTROLLER-OTHER"/>
    <s v="UNKNOWN"/>
    <x v="0"/>
  </r>
  <r>
    <n v="212788"/>
    <n v="50000"/>
    <x v="4"/>
    <x v="750"/>
    <x v="20"/>
    <s v="COMPTROLLER-OTHER"/>
    <s v="UNKNOWN"/>
    <x v="0"/>
  </r>
  <r>
    <n v="212791"/>
    <n v="45000"/>
    <x v="1"/>
    <x v="751"/>
    <x v="20"/>
    <s v="COMPTROLLER-OTHER"/>
    <s v="UNKNOWN"/>
    <x v="0"/>
  </r>
  <r>
    <n v="212792"/>
    <n v="50000"/>
    <x v="4"/>
    <x v="752"/>
    <x v="20"/>
    <s v="COMPTROLLER-OTHER"/>
    <s v="UNKNOWN"/>
    <x v="0"/>
  </r>
  <r>
    <n v="212794"/>
    <n v="3000"/>
    <x v="1"/>
    <x v="753"/>
    <x v="20"/>
    <s v="COMPTROLLER-OTHER"/>
    <s v="UNKNOWN"/>
    <x v="0"/>
  </r>
  <r>
    <n v="212795"/>
    <n v="45000"/>
    <x v="3"/>
    <x v="754"/>
    <x v="20"/>
    <s v="COMPTROLLER-OTHER"/>
    <s v="UNKNOWN"/>
    <x v="0"/>
  </r>
  <r>
    <n v="212796"/>
    <n v="10000"/>
    <x v="4"/>
    <x v="755"/>
    <x v="20"/>
    <s v="COMPTROLLER-OTHER"/>
    <s v="UNKNOWN"/>
    <x v="0"/>
  </r>
  <r>
    <n v="212801"/>
    <n v="25000"/>
    <x v="4"/>
    <x v="756"/>
    <x v="20"/>
    <s v="COMPTROLLER-OTHER"/>
    <s v="UNKNOWN"/>
    <x v="0"/>
  </r>
  <r>
    <n v="212866"/>
    <n v="8000"/>
    <x v="4"/>
    <x v="757"/>
    <x v="20"/>
    <s v="COMPTROLLER-OTHER"/>
    <s v="UNKNOWN"/>
    <x v="0"/>
  </r>
  <r>
    <n v="212867"/>
    <n v="45000"/>
    <x v="3"/>
    <x v="758"/>
    <x v="20"/>
    <s v="COMPTROLLER-OTHER"/>
    <s v="UNKNOWN"/>
    <x v="0"/>
  </r>
  <r>
    <n v="212868"/>
    <n v="15000"/>
    <x v="4"/>
    <x v="759"/>
    <x v="20"/>
    <s v="COMPTROLLER-OTHER"/>
    <s v="UNKNOWN"/>
    <x v="0"/>
  </r>
  <r>
    <n v="212870"/>
    <n v="40000"/>
    <x v="4"/>
    <x v="760"/>
    <x v="20"/>
    <s v="COMPTROLLER-OTHER"/>
    <s v="UNKNOWN"/>
    <x v="0"/>
  </r>
  <r>
    <n v="212872"/>
    <n v="10000"/>
    <x v="4"/>
    <x v="761"/>
    <x v="20"/>
    <s v="COMPTROLLER-OTHER"/>
    <s v="UNKNOWN"/>
    <x v="0"/>
  </r>
  <r>
    <n v="212873"/>
    <n v="35000"/>
    <x v="4"/>
    <x v="762"/>
    <x v="20"/>
    <s v="COMPTROLLER-OTHER"/>
    <s v="UNKNOWN"/>
    <x v="0"/>
  </r>
  <r>
    <n v="212880"/>
    <n v="25000"/>
    <x v="4"/>
    <x v="763"/>
    <x v="20"/>
    <s v="COMPTROLLER-OTHER"/>
    <s v="UNKNOWN"/>
    <x v="0"/>
  </r>
  <r>
    <n v="212885"/>
    <n v="25000"/>
    <x v="4"/>
    <x v="764"/>
    <x v="20"/>
    <s v="COMPTROLLER-OTHER"/>
    <s v="UNKNOWN"/>
    <x v="0"/>
  </r>
  <r>
    <n v="212887"/>
    <n v="10000"/>
    <x v="4"/>
    <x v="765"/>
    <x v="20"/>
    <s v="COMPTROLLER-OTHER"/>
    <s v="UNKNOWN"/>
    <x v="0"/>
  </r>
  <r>
    <n v="212889"/>
    <n v="6000"/>
    <x v="4"/>
    <x v="766"/>
    <x v="20"/>
    <s v="COMPTROLLER-OTHER"/>
    <s v="UNKNOWN"/>
    <x v="0"/>
  </r>
  <r>
    <n v="212890"/>
    <n v="10000"/>
    <x v="3"/>
    <x v="767"/>
    <x v="20"/>
    <s v="COMPTROLLER-OTHER"/>
    <s v="UNKNOWN"/>
    <x v="0"/>
  </r>
  <r>
    <n v="212891"/>
    <n v="9000"/>
    <x v="4"/>
    <x v="768"/>
    <x v="20"/>
    <s v="COMPTROLLER-OTHER"/>
    <s v="UNKNOWN"/>
    <x v="0"/>
  </r>
  <r>
    <n v="212892"/>
    <n v="10000"/>
    <x v="3"/>
    <x v="769"/>
    <x v="20"/>
    <s v="COMPTROLLER-OTHER"/>
    <s v="UNKNOWN"/>
    <x v="0"/>
  </r>
  <r>
    <n v="212906"/>
    <n v="10000"/>
    <x v="4"/>
    <x v="770"/>
    <x v="20"/>
    <s v="COMPTROLLER-OTHER"/>
    <s v="UNKNOWN"/>
    <x v="0"/>
  </r>
  <r>
    <n v="212921"/>
    <n v="25000"/>
    <x v="4"/>
    <x v="771"/>
    <x v="20"/>
    <s v="COMPTROLLER-OTHER"/>
    <s v="UNKNOWN"/>
    <x v="0"/>
  </r>
  <r>
    <n v="212923"/>
    <n v="9000"/>
    <x v="4"/>
    <x v="772"/>
    <x v="20"/>
    <s v="COMPTROLLER-OTHER"/>
    <s v="UNKNOWN"/>
    <x v="0"/>
  </r>
  <r>
    <n v="212925"/>
    <n v="20000"/>
    <x v="3"/>
    <x v="773"/>
    <x v="20"/>
    <s v="COMPTROLLER-OTHER"/>
    <s v="UNKNOWN"/>
    <x v="0"/>
  </r>
  <r>
    <n v="212927"/>
    <n v="10000"/>
    <x v="4"/>
    <x v="774"/>
    <x v="20"/>
    <s v="COMPTROLLER-OTHER"/>
    <s v="UNKNOWN"/>
    <x v="0"/>
  </r>
  <r>
    <n v="212928"/>
    <n v="10000"/>
    <x v="4"/>
    <x v="775"/>
    <x v="20"/>
    <s v="COMPTROLLER-OTHER"/>
    <s v="UNKNOWN"/>
    <x v="0"/>
  </r>
  <r>
    <n v="212929"/>
    <n v="45000"/>
    <x v="4"/>
    <x v="776"/>
    <x v="20"/>
    <s v="COMPTROLLER-OTHER"/>
    <s v="UNKNOWN"/>
    <x v="0"/>
  </r>
  <r>
    <n v="212930"/>
    <n v="9000"/>
    <x v="4"/>
    <x v="777"/>
    <x v="20"/>
    <s v="COMPTROLLER-OTHER"/>
    <s v="UNKNOWN"/>
    <x v="0"/>
  </r>
  <r>
    <n v="212947"/>
    <n v="342000"/>
    <x v="3"/>
    <x v="444"/>
    <x v="12"/>
    <s v="DELEGATE AGENCY"/>
    <s v="RFP"/>
    <x v="0"/>
  </r>
  <r>
    <n v="212948"/>
    <n v="324000"/>
    <x v="2"/>
    <x v="62"/>
    <x v="12"/>
    <s v="DELEGATE AGENCY"/>
    <s v="UNKNOWN"/>
    <x v="0"/>
  </r>
  <r>
    <n v="212949"/>
    <n v="108000"/>
    <x v="2"/>
    <x v="62"/>
    <x v="12"/>
    <s v="DELEGATE AGENCY"/>
    <s v="UNKNOWN"/>
    <x v="0"/>
  </r>
  <r>
    <n v="212963"/>
    <n v="108000"/>
    <x v="1"/>
    <x v="580"/>
    <x v="12"/>
    <s v="DELEGATE AGENCY"/>
    <s v="UNKNOWN"/>
    <x v="0"/>
  </r>
  <r>
    <n v="212966"/>
    <n v="270000"/>
    <x v="1"/>
    <x v="593"/>
    <x v="12"/>
    <s v="DELEGATE AGENCY"/>
    <s v="UNKNOWN"/>
    <x v="0"/>
  </r>
  <r>
    <n v="212986"/>
    <n v="8639.5"/>
    <x v="2"/>
    <x v="97"/>
    <x v="12"/>
    <s v="DELEGATE AGENCY"/>
    <s v="UNKNOWN"/>
    <x v="0"/>
  </r>
  <r>
    <n v="212991"/>
    <n v="15121.8"/>
    <x v="3"/>
    <x v="97"/>
    <x v="12"/>
    <s v="DELEGATE AGENCY"/>
    <s v="UNKNOWN"/>
    <x v="0"/>
  </r>
  <r>
    <n v="213086"/>
    <n v="40000"/>
    <x v="4"/>
    <x v="778"/>
    <x v="20"/>
    <s v="COMPTROLLER-OTHER"/>
    <s v="UNKNOWN"/>
    <x v="0"/>
  </r>
  <r>
    <n v="213088"/>
    <n v="15000"/>
    <x v="4"/>
    <x v="779"/>
    <x v="20"/>
    <s v="COMPTROLLER-OTHER"/>
    <s v="UNKNOWN"/>
    <x v="0"/>
  </r>
  <r>
    <n v="213089"/>
    <n v="20000"/>
    <x v="4"/>
    <x v="780"/>
    <x v="20"/>
    <s v="COMPTROLLER-OTHER"/>
    <s v="UNKNOWN"/>
    <x v="0"/>
  </r>
  <r>
    <n v="213090"/>
    <n v="10000"/>
    <x v="4"/>
    <x v="781"/>
    <x v="20"/>
    <s v="COMPTROLLER-OTHER"/>
    <s v="UNKNOWN"/>
    <x v="0"/>
  </r>
  <r>
    <n v="213094"/>
    <n v="10000"/>
    <x v="4"/>
    <x v="782"/>
    <x v="20"/>
    <s v="COMPTROLLER-OTHER"/>
    <s v="UNKNOWN"/>
    <x v="0"/>
  </r>
  <r>
    <n v="213106"/>
    <n v="40000"/>
    <x v="4"/>
    <x v="783"/>
    <x v="20"/>
    <s v="COMPTROLLER-OTHER"/>
    <s v="UNKNOWN"/>
    <x v="0"/>
  </r>
  <r>
    <n v="213123"/>
    <n v="50000"/>
    <x v="4"/>
    <x v="784"/>
    <x v="20"/>
    <s v="COMPTROLLER-OTHER"/>
    <s v="UNKNOWN"/>
    <x v="0"/>
  </r>
  <r>
    <n v="213126"/>
    <n v="10000"/>
    <x v="1"/>
    <x v="785"/>
    <x v="20"/>
    <s v="COMPTROLLER-OTHER"/>
    <s v="UNKNOWN"/>
    <x v="0"/>
  </r>
  <r>
    <n v="213127"/>
    <n v="45000"/>
    <x v="4"/>
    <x v="786"/>
    <x v="20"/>
    <s v="COMPTROLLER-OTHER"/>
    <s v="UNKNOWN"/>
    <x v="0"/>
  </r>
  <r>
    <n v="213129"/>
    <n v="100000"/>
    <x v="4"/>
    <x v="787"/>
    <x v="20"/>
    <s v="COMPTROLLER-OTHER"/>
    <s v="UNKNOWN"/>
    <x v="0"/>
  </r>
  <r>
    <n v="213130"/>
    <n v="35000"/>
    <x v="1"/>
    <x v="788"/>
    <x v="20"/>
    <s v="COMPTROLLER-OTHER"/>
    <s v="UNKNOWN"/>
    <x v="0"/>
  </r>
  <r>
    <n v="213132"/>
    <n v="40000"/>
    <x v="4"/>
    <x v="789"/>
    <x v="20"/>
    <s v="COMPTROLLER-OTHER"/>
    <s v="UNKNOWN"/>
    <x v="0"/>
  </r>
  <r>
    <n v="213133"/>
    <n v="9000"/>
    <x v="4"/>
    <x v="790"/>
    <x v="20"/>
    <s v="COMPTROLLER-OTHER"/>
    <s v="UNKNOWN"/>
    <x v="0"/>
  </r>
  <r>
    <n v="213185"/>
    <n v="45000"/>
    <x v="3"/>
    <x v="619"/>
    <x v="20"/>
    <s v="COMPTROLLER-OTHER"/>
    <s v="UNKNOWN"/>
    <x v="0"/>
  </r>
  <r>
    <n v="213186"/>
    <n v="30000"/>
    <x v="4"/>
    <x v="791"/>
    <x v="20"/>
    <s v="COMPTROLLER-OTHER"/>
    <s v="UNKNOWN"/>
    <x v="0"/>
  </r>
  <r>
    <n v="213187"/>
    <n v="6000"/>
    <x v="4"/>
    <x v="792"/>
    <x v="20"/>
    <s v="COMPTROLLER-OTHER"/>
    <s v="UNKNOWN"/>
    <x v="0"/>
  </r>
  <r>
    <n v="213191"/>
    <n v="15000"/>
    <x v="3"/>
    <x v="793"/>
    <x v="20"/>
    <s v="COMPTROLLER-OTHER"/>
    <s v="UNKNOWN"/>
    <x v="0"/>
  </r>
  <r>
    <n v="213192"/>
    <n v="50000"/>
    <x v="4"/>
    <x v="794"/>
    <x v="20"/>
    <s v="COMPTROLLER-OTHER"/>
    <s v="UNKNOWN"/>
    <x v="0"/>
  </r>
  <r>
    <n v="213193"/>
    <n v="10000"/>
    <x v="1"/>
    <x v="795"/>
    <x v="20"/>
    <s v="COMPTROLLER-OTHER"/>
    <s v="UNKNOWN"/>
    <x v="0"/>
  </r>
  <r>
    <n v="213198"/>
    <n v="10000"/>
    <x v="4"/>
    <x v="796"/>
    <x v="20"/>
    <s v="COMPTROLLER-OTHER"/>
    <s v="UNKNOWN"/>
    <x v="0"/>
  </r>
  <r>
    <n v="213199"/>
    <n v="25000"/>
    <x v="4"/>
    <x v="797"/>
    <x v="20"/>
    <s v="COMPTROLLER-OTHER"/>
    <s v="UNKNOWN"/>
    <x v="0"/>
  </r>
  <r>
    <n v="213204"/>
    <n v="10000"/>
    <x v="4"/>
    <x v="798"/>
    <x v="20"/>
    <s v="COMPTROLLER-OTHER"/>
    <s v="UNKNOWN"/>
    <x v="0"/>
  </r>
  <r>
    <n v="213205"/>
    <n v="45000"/>
    <x v="4"/>
    <x v="799"/>
    <x v="20"/>
    <s v="COMPTROLLER-OTHER"/>
    <s v="UNKNOWN"/>
    <x v="0"/>
  </r>
  <r>
    <n v="213206"/>
    <n v="10000"/>
    <x v="4"/>
    <x v="800"/>
    <x v="20"/>
    <s v="COMPTROLLER-OTHER"/>
    <s v="UNKNOWN"/>
    <x v="0"/>
  </r>
  <r>
    <n v="213217"/>
    <n v="40000"/>
    <x v="4"/>
    <x v="801"/>
    <x v="20"/>
    <s v="COMPTROLLER-OTHER"/>
    <s v="UNKNOWN"/>
    <x v="0"/>
  </r>
  <r>
    <n v="213219"/>
    <n v="20000"/>
    <x v="4"/>
    <x v="802"/>
    <x v="20"/>
    <s v="COMPTROLLER-OTHER"/>
    <s v="UNKNOWN"/>
    <x v="0"/>
  </r>
  <r>
    <n v="213227"/>
    <n v="15000"/>
    <x v="4"/>
    <x v="803"/>
    <x v="20"/>
    <s v="COMPTROLLER-OTHER"/>
    <s v="UNKNOWN"/>
    <x v="0"/>
  </r>
  <r>
    <n v="213229"/>
    <n v="25000"/>
    <x v="4"/>
    <x v="448"/>
    <x v="20"/>
    <s v="COMPTROLLER-OTHER"/>
    <s v="UNKNOWN"/>
    <x v="0"/>
  </r>
  <r>
    <n v="213238"/>
    <n v="50000"/>
    <x v="4"/>
    <x v="804"/>
    <x v="20"/>
    <s v="COMPTROLLER-OTHER"/>
    <s v="UNKNOWN"/>
    <x v="0"/>
  </r>
  <r>
    <n v="213239"/>
    <n v="50000"/>
    <x v="1"/>
    <x v="805"/>
    <x v="20"/>
    <s v="COMPTROLLER-OTHER"/>
    <s v="UNKNOWN"/>
    <x v="0"/>
  </r>
  <r>
    <n v="213240"/>
    <n v="25000"/>
    <x v="1"/>
    <x v="806"/>
    <x v="20"/>
    <s v="COMPTROLLER-OTHER"/>
    <s v="UNKNOWN"/>
    <x v="0"/>
  </r>
  <r>
    <n v="213241"/>
    <n v="45000"/>
    <x v="4"/>
    <x v="807"/>
    <x v="20"/>
    <s v="COMPTROLLER-OTHER"/>
    <s v="UNKNOWN"/>
    <x v="0"/>
  </r>
  <r>
    <n v="213245"/>
    <n v="50000"/>
    <x v="4"/>
    <x v="808"/>
    <x v="20"/>
    <s v="COMPTROLLER-OTHER"/>
    <s v="UNKNOWN"/>
    <x v="0"/>
  </r>
  <r>
    <n v="213252"/>
    <n v="600000"/>
    <x v="1"/>
    <x v="809"/>
    <x v="12"/>
    <s v="DELEGATE AGENCY"/>
    <s v="UNKNOWN"/>
    <x v="0"/>
  </r>
  <r>
    <n v="213253"/>
    <n v="61000"/>
    <x v="2"/>
    <x v="285"/>
    <x v="12"/>
    <s v="DELEGATE AGENCY"/>
    <s v="UNKNOWN"/>
    <x v="0"/>
  </r>
  <r>
    <n v="213283"/>
    <n v="10000"/>
    <x v="1"/>
    <x v="810"/>
    <x v="20"/>
    <s v="COMPTROLLER-OTHER"/>
    <s v="UNKNOWN"/>
    <x v="0"/>
  </r>
  <r>
    <n v="213297"/>
    <n v="18064"/>
    <x v="4"/>
    <x v="189"/>
    <x v="8"/>
    <s v="DELEGATE AGENCY"/>
    <s v="UNKNOWN"/>
    <x v="0"/>
  </r>
  <r>
    <n v="213326"/>
    <n v="22981493.800000001"/>
    <x v="4"/>
    <x v="811"/>
    <x v="0"/>
    <s v="ARCH/ENGINEERING"/>
    <s v="RFQ"/>
    <x v="0"/>
  </r>
  <r>
    <n v="213405"/>
    <n v="10000"/>
    <x v="0"/>
    <x v="812"/>
    <x v="20"/>
    <s v="COMPTROLLER-OTHER"/>
    <s v="UNKNOWN"/>
    <x v="0"/>
  </r>
  <r>
    <n v="213412"/>
    <n v="25000"/>
    <x v="4"/>
    <x v="813"/>
    <x v="20"/>
    <s v="COMPTROLLER-OTHER"/>
    <s v="UNKNOWN"/>
    <x v="0"/>
  </r>
  <r>
    <n v="213413"/>
    <n v="25000"/>
    <x v="4"/>
    <x v="814"/>
    <x v="20"/>
    <s v="COMPTROLLER-OTHER"/>
    <s v="UNKNOWN"/>
    <x v="0"/>
  </r>
  <r>
    <n v="213416"/>
    <n v="30000"/>
    <x v="4"/>
    <x v="815"/>
    <x v="20"/>
    <s v="COMPTROLLER-OTHER"/>
    <s v="UNKNOWN"/>
    <x v="0"/>
  </r>
  <r>
    <n v="213419"/>
    <n v="25000"/>
    <x v="4"/>
    <x v="816"/>
    <x v="20"/>
    <s v="COMPTROLLER-OTHER"/>
    <s v="UNKNOWN"/>
    <x v="0"/>
  </r>
  <r>
    <n v="213425"/>
    <n v="50000"/>
    <x v="4"/>
    <x v="817"/>
    <x v="20"/>
    <s v="COMPTROLLER-OTHER"/>
    <s v="UNKNOWN"/>
    <x v="0"/>
  </r>
  <r>
    <n v="213427"/>
    <n v="30000"/>
    <x v="1"/>
    <x v="818"/>
    <x v="20"/>
    <s v="COMPTROLLER-OTHER"/>
    <s v="UNKNOWN"/>
    <x v="0"/>
  </r>
  <r>
    <n v="213433"/>
    <n v="25000"/>
    <x v="4"/>
    <x v="819"/>
    <x v="20"/>
    <s v="COMPTROLLER-OTHER"/>
    <s v="UNKNOWN"/>
    <x v="0"/>
  </r>
  <r>
    <n v="213444"/>
    <n v="30000"/>
    <x v="4"/>
    <x v="820"/>
    <x v="20"/>
    <s v="COMPTROLLER-OTHER"/>
    <s v="UNKNOWN"/>
    <x v="0"/>
  </r>
  <r>
    <n v="213447"/>
    <n v="9000"/>
    <x v="4"/>
    <x v="821"/>
    <x v="20"/>
    <s v="COMPTROLLER-OTHER"/>
    <s v="UNKNOWN"/>
    <x v="0"/>
  </r>
  <r>
    <n v="213451"/>
    <n v="5000"/>
    <x v="3"/>
    <x v="822"/>
    <x v="20"/>
    <s v="COMPTROLLER-OTHER"/>
    <s v="UNKNOWN"/>
    <x v="0"/>
  </r>
  <r>
    <n v="213457"/>
    <n v="6000"/>
    <x v="3"/>
    <x v="823"/>
    <x v="20"/>
    <s v="COMPTROLLER-OTHER"/>
    <s v="UNKNOWN"/>
    <x v="0"/>
  </r>
  <r>
    <n v="213459"/>
    <n v="25000"/>
    <x v="3"/>
    <x v="824"/>
    <x v="20"/>
    <s v="COMPTROLLER-OTHER"/>
    <s v="UNKNOWN"/>
    <x v="0"/>
  </r>
  <r>
    <n v="213460"/>
    <n v="20000"/>
    <x v="4"/>
    <x v="825"/>
    <x v="20"/>
    <s v="COMPTROLLER-OTHER"/>
    <s v="UNKNOWN"/>
    <x v="0"/>
  </r>
  <r>
    <n v="213461"/>
    <n v="25000"/>
    <x v="4"/>
    <x v="826"/>
    <x v="20"/>
    <s v="COMPTROLLER-OTHER"/>
    <s v="UNKNOWN"/>
    <x v="0"/>
  </r>
  <r>
    <n v="213462"/>
    <n v="22500"/>
    <x v="4"/>
    <x v="827"/>
    <x v="20"/>
    <s v="COMPTROLLER-OTHER"/>
    <s v="UNKNOWN"/>
    <x v="0"/>
  </r>
  <r>
    <n v="213466"/>
    <n v="20000"/>
    <x v="4"/>
    <x v="828"/>
    <x v="20"/>
    <s v="COMPTROLLER-OTHER"/>
    <s v="UNKNOWN"/>
    <x v="0"/>
  </r>
  <r>
    <n v="213468"/>
    <n v="20000"/>
    <x v="4"/>
    <x v="829"/>
    <x v="20"/>
    <s v="COMPTROLLER-OTHER"/>
    <s v="UNKNOWN"/>
    <x v="0"/>
  </r>
  <r>
    <n v="213469"/>
    <n v="10000"/>
    <x v="4"/>
    <x v="830"/>
    <x v="20"/>
    <s v="COMPTROLLER-OTHER"/>
    <s v="UNKNOWN"/>
    <x v="0"/>
  </r>
  <r>
    <n v="213474"/>
    <n v="20000"/>
    <x v="4"/>
    <x v="831"/>
    <x v="20"/>
    <s v="COMPTROLLER-OTHER"/>
    <s v="UNKNOWN"/>
    <x v="0"/>
  </r>
  <r>
    <n v="213479"/>
    <n v="9000"/>
    <x v="4"/>
    <x v="832"/>
    <x v="20"/>
    <s v="COMPTROLLER-OTHER"/>
    <s v="UNKNOWN"/>
    <x v="0"/>
  </r>
  <r>
    <n v="213483"/>
    <n v="20000"/>
    <x v="3"/>
    <x v="833"/>
    <x v="20"/>
    <s v="COMPTROLLER-OTHER"/>
    <s v="UNKNOWN"/>
    <x v="0"/>
  </r>
  <r>
    <n v="213484"/>
    <n v="10000"/>
    <x v="4"/>
    <x v="834"/>
    <x v="20"/>
    <s v="COMPTROLLER-OTHER"/>
    <s v="UNKNOWN"/>
    <x v="0"/>
  </r>
  <r>
    <n v="213485"/>
    <n v="9000"/>
    <x v="4"/>
    <x v="835"/>
    <x v="20"/>
    <s v="COMPTROLLER-OTHER"/>
    <s v="UNKNOWN"/>
    <x v="0"/>
  </r>
  <r>
    <n v="213555"/>
    <n v="9000"/>
    <x v="3"/>
    <x v="836"/>
    <x v="20"/>
    <s v="COMPTROLLER-OTHER"/>
    <s v="UNKNOWN"/>
    <x v="0"/>
  </r>
  <r>
    <n v="213556"/>
    <n v="35000"/>
    <x v="3"/>
    <x v="837"/>
    <x v="20"/>
    <s v="COMPTROLLER-OTHER"/>
    <s v="UNKNOWN"/>
    <x v="0"/>
  </r>
  <r>
    <n v="213559"/>
    <n v="25000"/>
    <x v="4"/>
    <x v="838"/>
    <x v="20"/>
    <s v="COMPTROLLER-OTHER"/>
    <s v="UNKNOWN"/>
    <x v="0"/>
  </r>
  <r>
    <n v="213560"/>
    <n v="40000"/>
    <x v="4"/>
    <x v="839"/>
    <x v="20"/>
    <s v="COMPTROLLER-OTHER"/>
    <s v="UNKNOWN"/>
    <x v="0"/>
  </r>
  <r>
    <n v="213561"/>
    <n v="10000"/>
    <x v="4"/>
    <x v="840"/>
    <x v="20"/>
    <s v="COMPTROLLER-OTHER"/>
    <s v="UNKNOWN"/>
    <x v="0"/>
  </r>
  <r>
    <n v="213563"/>
    <n v="20000"/>
    <x v="4"/>
    <x v="841"/>
    <x v="20"/>
    <s v="COMPTROLLER-OTHER"/>
    <s v="UNKNOWN"/>
    <x v="0"/>
  </r>
  <r>
    <n v="213565"/>
    <n v="40000"/>
    <x v="4"/>
    <x v="842"/>
    <x v="20"/>
    <s v="COMPTROLLER-OTHER"/>
    <s v="UNKNOWN"/>
    <x v="0"/>
  </r>
  <r>
    <n v="213568"/>
    <n v="10000"/>
    <x v="4"/>
    <x v="843"/>
    <x v="20"/>
    <s v="COMPTROLLER-OTHER"/>
    <s v="UNKNOWN"/>
    <x v="0"/>
  </r>
  <r>
    <n v="213575"/>
    <n v="20000"/>
    <x v="4"/>
    <x v="844"/>
    <x v="20"/>
    <s v="COMPTROLLER-OTHER"/>
    <s v="UNKNOWN"/>
    <x v="0"/>
  </r>
  <r>
    <n v="213576"/>
    <n v="25000"/>
    <x v="4"/>
    <x v="845"/>
    <x v="20"/>
    <s v="COMPTROLLER-OTHER"/>
    <s v="UNKNOWN"/>
    <x v="0"/>
  </r>
  <r>
    <n v="213579"/>
    <n v="25000"/>
    <x v="4"/>
    <x v="846"/>
    <x v="20"/>
    <s v="COMPTROLLER-OTHER"/>
    <s v="UNKNOWN"/>
    <x v="0"/>
  </r>
  <r>
    <n v="213582"/>
    <n v="20000"/>
    <x v="4"/>
    <x v="847"/>
    <x v="20"/>
    <s v="COMPTROLLER-OTHER"/>
    <s v="UNKNOWN"/>
    <x v="0"/>
  </r>
  <r>
    <n v="213588"/>
    <n v="10000"/>
    <x v="4"/>
    <x v="848"/>
    <x v="20"/>
    <s v="COMPTROLLER-OTHER"/>
    <s v="UNKNOWN"/>
    <x v="0"/>
  </r>
  <r>
    <n v="213589"/>
    <n v="40000"/>
    <x v="4"/>
    <x v="849"/>
    <x v="20"/>
    <s v="COMPTROLLER-OTHER"/>
    <s v="UNKNOWN"/>
    <x v="0"/>
  </r>
  <r>
    <n v="213590"/>
    <n v="20000"/>
    <x v="4"/>
    <x v="850"/>
    <x v="20"/>
    <s v="COMPTROLLER-OTHER"/>
    <s v="UNKNOWN"/>
    <x v="0"/>
  </r>
  <r>
    <n v="213591"/>
    <n v="45000"/>
    <x v="4"/>
    <x v="851"/>
    <x v="20"/>
    <s v="COMPTROLLER-OTHER"/>
    <s v="UNKNOWN"/>
    <x v="0"/>
  </r>
  <r>
    <n v="213598"/>
    <n v="7000"/>
    <x v="4"/>
    <x v="852"/>
    <x v="20"/>
    <s v="COMPTROLLER-OTHER"/>
    <s v="UNKNOWN"/>
    <x v="0"/>
  </r>
  <r>
    <n v="213601"/>
    <n v="45000"/>
    <x v="3"/>
    <x v="853"/>
    <x v="20"/>
    <s v="COMPTROLLER-OTHER"/>
    <s v="UNKNOWN"/>
    <x v="0"/>
  </r>
  <r>
    <n v="213602"/>
    <n v="10000"/>
    <x v="4"/>
    <x v="854"/>
    <x v="20"/>
    <s v="COMPTROLLER-OTHER"/>
    <s v="UNKNOWN"/>
    <x v="0"/>
  </r>
  <r>
    <n v="213603"/>
    <n v="20000"/>
    <x v="4"/>
    <x v="855"/>
    <x v="20"/>
    <s v="COMPTROLLER-OTHER"/>
    <s v="UNKNOWN"/>
    <x v="0"/>
  </r>
  <r>
    <n v="213604"/>
    <n v="20000"/>
    <x v="4"/>
    <x v="856"/>
    <x v="20"/>
    <s v="COMPTROLLER-OTHER"/>
    <s v="UNKNOWN"/>
    <x v="0"/>
  </r>
  <r>
    <n v="213617"/>
    <n v="20000"/>
    <x v="4"/>
    <x v="857"/>
    <x v="20"/>
    <s v="COMPTROLLER-OTHER"/>
    <s v="UNKNOWN"/>
    <x v="0"/>
  </r>
  <r>
    <n v="213618"/>
    <n v="15000"/>
    <x v="4"/>
    <x v="858"/>
    <x v="20"/>
    <s v="COMPTROLLER-OTHER"/>
    <s v="UNKNOWN"/>
    <x v="0"/>
  </r>
  <r>
    <n v="213623"/>
    <n v="35000"/>
    <x v="4"/>
    <x v="578"/>
    <x v="20"/>
    <s v="COMPTROLLER-OTHER"/>
    <s v="UNKNOWN"/>
    <x v="0"/>
  </r>
  <r>
    <n v="213624"/>
    <n v="30000"/>
    <x v="4"/>
    <x v="859"/>
    <x v="20"/>
    <s v="COMPTROLLER-OTHER"/>
    <s v="UNKNOWN"/>
    <x v="0"/>
  </r>
  <r>
    <n v="213625"/>
    <n v="25000"/>
    <x v="4"/>
    <x v="860"/>
    <x v="20"/>
    <s v="COMPTROLLER-OTHER"/>
    <s v="UNKNOWN"/>
    <x v="0"/>
  </r>
  <r>
    <n v="213626"/>
    <n v="25000"/>
    <x v="4"/>
    <x v="861"/>
    <x v="20"/>
    <s v="COMPTROLLER-OTHER"/>
    <s v="UNKNOWN"/>
    <x v="0"/>
  </r>
  <r>
    <n v="213735"/>
    <n v="16000"/>
    <x v="4"/>
    <x v="847"/>
    <x v="20"/>
    <s v="COMPTROLLER-OTHER"/>
    <s v="UNKNOWN"/>
    <x v="1"/>
  </r>
  <r>
    <n v="213784"/>
    <n v="240000"/>
    <x v="4"/>
    <x v="862"/>
    <x v="12"/>
    <s v="DELEGATE AGENCY"/>
    <s v="UNKNOWN"/>
    <x v="0"/>
  </r>
  <r>
    <n v="213792"/>
    <n v="1110000"/>
    <x v="1"/>
    <x v="201"/>
    <x v="12"/>
    <s v="DELEGATE AGENCY"/>
    <s v="UNKNOWN"/>
    <x v="0"/>
  </r>
  <r>
    <n v="213794"/>
    <n v="250000"/>
    <x v="0"/>
    <x v="359"/>
    <x v="12"/>
    <s v="DELEGATE AGENCY"/>
    <s v="UNKNOWN"/>
    <x v="0"/>
  </r>
  <r>
    <n v="213795"/>
    <n v="400000"/>
    <x v="2"/>
    <x v="353"/>
    <x v="12"/>
    <s v="DELEGATE AGENCY"/>
    <s v="UNKNOWN"/>
    <x v="0"/>
  </r>
  <r>
    <n v="213796"/>
    <n v="6000"/>
    <x v="2"/>
    <x v="863"/>
    <x v="20"/>
    <s v="COMPTROLLER-OTHER"/>
    <s v="UNKNOWN"/>
    <x v="0"/>
  </r>
  <r>
    <n v="213819"/>
    <n v="20000"/>
    <x v="3"/>
    <x v="864"/>
    <x v="20"/>
    <s v="COMPTROLLER-OTHER"/>
    <s v="UNKNOWN"/>
    <x v="0"/>
  </r>
  <r>
    <n v="213857"/>
    <n v="10671754.9"/>
    <x v="4"/>
    <x v="865"/>
    <x v="12"/>
    <s v="PRO SERV CONSULTING $250,000orABOVE"/>
    <s v="JOINT PURCHASE"/>
    <x v="0"/>
  </r>
  <r>
    <n v="213860"/>
    <n v="25000"/>
    <x v="0"/>
    <x v="866"/>
    <x v="20"/>
    <s v="COMPTROLLER-OTHER"/>
    <s v="UNKNOWN"/>
    <x v="0"/>
  </r>
  <r>
    <n v="214144"/>
    <n v="33715.1"/>
    <x v="4"/>
    <x v="408"/>
    <x v="8"/>
    <s v="DELEGATE AGENCY"/>
    <s v="UNKNOWN"/>
    <x v="0"/>
  </r>
  <r>
    <n v="214209"/>
    <n v="170249.5"/>
    <x v="4"/>
    <x v="867"/>
    <x v="13"/>
    <s v="COMMODITIES-SMALL ORDERS"/>
    <s v="BID"/>
    <x v="0"/>
  </r>
  <r>
    <n v="214256"/>
    <n v="25000"/>
    <x v="1"/>
    <x v="868"/>
    <x v="16"/>
    <s v="DELEGATE AGENCY"/>
    <s v="UNKNOWN"/>
    <x v="0"/>
  </r>
  <r>
    <n v="214317"/>
    <n v="83688"/>
    <x v="4"/>
    <x v="869"/>
    <x v="30"/>
    <s v="COMMODITIES"/>
    <s v="JOINT PURCHASE"/>
    <x v="0"/>
  </r>
  <r>
    <n v="214320"/>
    <n v="99614.5"/>
    <x v="1"/>
    <x v="390"/>
    <x v="19"/>
    <s v="DELEGATE AGENCY"/>
    <s v="UNKNOWN"/>
    <x v="0"/>
  </r>
  <r>
    <n v="214327"/>
    <n v="4502213"/>
    <x v="1"/>
    <x v="175"/>
    <x v="12"/>
    <s v="DELEGATE AGENCY"/>
    <s v="UNKNOWN"/>
    <x v="0"/>
  </r>
  <r>
    <n v="214332"/>
    <n v="6662130"/>
    <x v="0"/>
    <x v="24"/>
    <x v="12"/>
    <s v="DELEGATE AGENCY"/>
    <s v="UNKNOWN"/>
    <x v="0"/>
  </r>
  <r>
    <n v="214399"/>
    <n v="90000"/>
    <x v="0"/>
    <x v="870"/>
    <x v="8"/>
    <s v="DELEGATE AGENCY"/>
    <s v="UNKNOWN"/>
    <x v="0"/>
  </r>
  <r>
    <n v="214401"/>
    <n v="140000"/>
    <x v="1"/>
    <x v="27"/>
    <x v="8"/>
    <s v="DELEGATE AGENCY"/>
    <s v="UNKNOWN"/>
    <x v="0"/>
  </r>
  <r>
    <n v="214450"/>
    <n v="6478767"/>
    <x v="1"/>
    <x v="76"/>
    <x v="12"/>
    <s v="DELEGATE AGENCY"/>
    <s v="UNKNOWN"/>
    <x v="0"/>
  </r>
  <r>
    <n v="214451"/>
    <n v="720000"/>
    <x v="0"/>
    <x v="292"/>
    <x v="12"/>
    <s v="DELEGATE AGENCY"/>
    <s v="UNKNOWN"/>
    <x v="0"/>
  </r>
  <r>
    <n v="214458"/>
    <n v="479847"/>
    <x v="2"/>
    <x v="598"/>
    <x v="12"/>
    <s v="DELEGATE AGENCY"/>
    <s v="UNKNOWN"/>
    <x v="0"/>
  </r>
  <r>
    <n v="214464"/>
    <n v="1780472"/>
    <x v="2"/>
    <x v="296"/>
    <x v="12"/>
    <s v="DELEGATE AGENCY"/>
    <s v="UNKNOWN"/>
    <x v="0"/>
  </r>
  <r>
    <n v="214472"/>
    <n v="429450"/>
    <x v="0"/>
    <x v="84"/>
    <x v="12"/>
    <s v="DELEGATE AGENCY"/>
    <s v="UNKNOWN"/>
    <x v="0"/>
  </r>
  <r>
    <n v="214473"/>
    <n v="1191083"/>
    <x v="2"/>
    <x v="86"/>
    <x v="12"/>
    <s v="DELEGATE AGENCY"/>
    <s v="UNKNOWN"/>
    <x v="0"/>
  </r>
  <r>
    <n v="214475"/>
    <n v="924987"/>
    <x v="0"/>
    <x v="301"/>
    <x v="12"/>
    <s v="DELEGATE AGENCY"/>
    <s v="UNKNOWN"/>
    <x v="0"/>
  </r>
  <r>
    <n v="214486"/>
    <n v="116800"/>
    <x v="2"/>
    <x v="303"/>
    <x v="12"/>
    <s v="DELEGATE AGENCY"/>
    <s v="UNKNOWN"/>
    <x v="0"/>
  </r>
  <r>
    <n v="214490"/>
    <n v="52560"/>
    <x v="1"/>
    <x v="305"/>
    <x v="12"/>
    <s v="DELEGATE AGENCY"/>
    <s v="UNKNOWN"/>
    <x v="0"/>
  </r>
  <r>
    <n v="214492"/>
    <n v="61320"/>
    <x v="1"/>
    <x v="211"/>
    <x v="12"/>
    <s v="DELEGATE AGENCY"/>
    <s v="UNKNOWN"/>
    <x v="0"/>
  </r>
  <r>
    <n v="214513"/>
    <n v="218000"/>
    <x v="1"/>
    <x v="353"/>
    <x v="12"/>
    <s v="DELEGATE AGENCY"/>
    <s v="UNKNOWN"/>
    <x v="0"/>
  </r>
  <r>
    <n v="214514"/>
    <n v="200000"/>
    <x v="1"/>
    <x v="862"/>
    <x v="12"/>
    <s v="DELEGATE AGENCY"/>
    <s v="UNKNOWN"/>
    <x v="0"/>
  </r>
  <r>
    <n v="214515"/>
    <n v="1454000"/>
    <x v="1"/>
    <x v="201"/>
    <x v="12"/>
    <s v="DELEGATE AGENCY"/>
    <s v="UNKNOWN"/>
    <x v="0"/>
  </r>
  <r>
    <n v="214517"/>
    <n v="128000"/>
    <x v="0"/>
    <x v="359"/>
    <x v="12"/>
    <s v="DELEGATE AGENCY"/>
    <s v="UNKNOWN"/>
    <x v="0"/>
  </r>
  <r>
    <n v="214532"/>
    <n v="645313"/>
    <x v="1"/>
    <x v="76"/>
    <x v="12"/>
    <s v="DELEGATE AGENCY"/>
    <s v="UNKNOWN"/>
    <x v="0"/>
  </r>
  <r>
    <n v="214560"/>
    <n v="12000"/>
    <x v="2"/>
    <x v="871"/>
    <x v="16"/>
    <s v="DELEGATE AGENCY"/>
    <s v="UNKNOWN"/>
    <x v="0"/>
  </r>
  <r>
    <n v="214561"/>
    <n v="30000"/>
    <x v="4"/>
    <x v="301"/>
    <x v="16"/>
    <s v="DELEGATE AGENCY"/>
    <s v="UNKNOWN"/>
    <x v="0"/>
  </r>
  <r>
    <n v="214563"/>
    <n v="715661.6"/>
    <x v="4"/>
    <x v="597"/>
    <x v="12"/>
    <s v="DELEGATE AGENCY"/>
    <s v="UNKNOWN"/>
    <x v="0"/>
  </r>
  <r>
    <n v="214564"/>
    <n v="12700"/>
    <x v="2"/>
    <x v="67"/>
    <x v="8"/>
    <s v="DELEGATE AGENCY"/>
    <s v="UNKNOWN"/>
    <x v="0"/>
  </r>
  <r>
    <n v="214571"/>
    <n v="25000"/>
    <x v="4"/>
    <x v="872"/>
    <x v="16"/>
    <s v="DELEGATE AGENCY"/>
    <s v="UNKNOWN"/>
    <x v="0"/>
  </r>
  <r>
    <n v="214572"/>
    <n v="15000"/>
    <x v="4"/>
    <x v="873"/>
    <x v="16"/>
    <s v="DELEGATE AGENCY"/>
    <s v="UNKNOWN"/>
    <x v="0"/>
  </r>
  <r>
    <n v="214573"/>
    <n v="50000"/>
    <x v="4"/>
    <x v="874"/>
    <x v="16"/>
    <s v="DELEGATE AGENCY"/>
    <s v="UNKNOWN"/>
    <x v="0"/>
  </r>
  <r>
    <n v="214576"/>
    <n v="6000"/>
    <x v="1"/>
    <x v="236"/>
    <x v="16"/>
    <s v="DELEGATE AGENCY"/>
    <s v="UNKNOWN"/>
    <x v="0"/>
  </r>
  <r>
    <n v="214577"/>
    <n v="10000"/>
    <x v="3"/>
    <x v="875"/>
    <x v="16"/>
    <s v="DELEGATE AGENCY"/>
    <s v="UNKNOWN"/>
    <x v="0"/>
  </r>
  <r>
    <n v="214578"/>
    <n v="6000"/>
    <x v="4"/>
    <x v="236"/>
    <x v="16"/>
    <s v="DELEGATE AGENCY"/>
    <s v="UNKNOWN"/>
    <x v="0"/>
  </r>
  <r>
    <n v="214580"/>
    <n v="1343706.5"/>
    <x v="3"/>
    <x v="597"/>
    <x v="12"/>
    <s v="DELEGATE AGENCY"/>
    <s v="UNKNOWN"/>
    <x v="0"/>
  </r>
  <r>
    <n v="214598"/>
    <n v="597468"/>
    <x v="0"/>
    <x v="166"/>
    <x v="8"/>
    <s v="DELEGATE AGENCY"/>
    <s v="RFP"/>
    <x v="0"/>
  </r>
  <r>
    <n v="214599"/>
    <n v="21305.7"/>
    <x v="2"/>
    <x v="60"/>
    <x v="12"/>
    <s v="DELEGATE AGENCY"/>
    <s v="UNKNOWN"/>
    <x v="0"/>
  </r>
  <r>
    <n v="214663"/>
    <n v="400000"/>
    <x v="4"/>
    <x v="5"/>
    <x v="12"/>
    <s v="DELEGATE AGENCY"/>
    <s v="UNKNOWN"/>
    <x v="0"/>
  </r>
  <r>
    <n v="214700"/>
    <n v="1051718"/>
    <x v="2"/>
    <x v="605"/>
    <x v="12"/>
    <s v="DELEGATE AGENCY"/>
    <s v="UNKNOWN"/>
    <x v="0"/>
  </r>
  <r>
    <n v="214714"/>
    <n v="888930.8"/>
    <x v="0"/>
    <x v="285"/>
    <x v="12"/>
    <s v="DELEGATE AGENCY"/>
    <s v="UNKNOWN"/>
    <x v="0"/>
  </r>
  <r>
    <n v="214728"/>
    <n v="29500"/>
    <x v="2"/>
    <x v="876"/>
    <x v="19"/>
    <s v="DELEGATE AGENCY"/>
    <s v="UNKNOWN"/>
    <x v="0"/>
  </r>
  <r>
    <n v="214732"/>
    <n v="50000"/>
    <x v="4"/>
    <x v="877"/>
    <x v="16"/>
    <s v="DELEGATE AGENCY"/>
    <s v="UNKNOWN"/>
    <x v="0"/>
  </r>
  <r>
    <n v="214762"/>
    <n v="190700"/>
    <x v="1"/>
    <x v="878"/>
    <x v="13"/>
    <s v="WORK SERVICES / FACILITIES MAINT."/>
    <s v="BID"/>
    <x v="0"/>
  </r>
  <r>
    <n v="214763"/>
    <n v="525859"/>
    <x v="1"/>
    <x v="583"/>
    <x v="12"/>
    <s v="DELEGATE AGENCY"/>
    <s v="UNKNOWN"/>
    <x v="0"/>
  </r>
  <r>
    <n v="214764"/>
    <n v="349539"/>
    <x v="2"/>
    <x v="584"/>
    <x v="12"/>
    <s v="DELEGATE AGENCY"/>
    <s v="UNKNOWN"/>
    <x v="0"/>
  </r>
  <r>
    <n v="214765"/>
    <n v="525859"/>
    <x v="2"/>
    <x v="73"/>
    <x v="12"/>
    <s v="DELEGATE AGENCY"/>
    <s v="UNKNOWN"/>
    <x v="0"/>
  </r>
  <r>
    <n v="214766"/>
    <n v="525859"/>
    <x v="2"/>
    <x v="879"/>
    <x v="12"/>
    <s v="DELEGATE AGENCY"/>
    <s v="UNKNOWN"/>
    <x v="0"/>
  </r>
  <r>
    <n v="214767"/>
    <n v="525859"/>
    <x v="2"/>
    <x v="880"/>
    <x v="12"/>
    <s v="DELEGATE AGENCY"/>
    <s v="UNKNOWN"/>
    <x v="0"/>
  </r>
  <r>
    <n v="214768"/>
    <n v="525859"/>
    <x v="2"/>
    <x v="114"/>
    <x v="12"/>
    <s v="DELEGATE AGENCY"/>
    <s v="UNKNOWN"/>
    <x v="0"/>
  </r>
  <r>
    <n v="214769"/>
    <n v="349539"/>
    <x v="2"/>
    <x v="691"/>
    <x v="12"/>
    <s v="DELEGATE AGENCY"/>
    <s v="UNKNOWN"/>
    <x v="0"/>
  </r>
  <r>
    <n v="214770"/>
    <n v="525859"/>
    <x v="2"/>
    <x v="167"/>
    <x v="12"/>
    <s v="DELEGATE AGENCY"/>
    <s v="UNKNOWN"/>
    <x v="0"/>
  </r>
  <r>
    <n v="214771"/>
    <n v="525859"/>
    <x v="2"/>
    <x v="78"/>
    <x v="12"/>
    <s v="DELEGATE AGENCY"/>
    <s v="UNKNOWN"/>
    <x v="0"/>
  </r>
  <r>
    <n v="214789"/>
    <n v="33333"/>
    <x v="2"/>
    <x v="881"/>
    <x v="16"/>
    <s v="DELEGATE AGENCY"/>
    <s v="RFP"/>
    <x v="0"/>
  </r>
  <r>
    <n v="214790"/>
    <n v="33333"/>
    <x v="4"/>
    <x v="116"/>
    <x v="16"/>
    <s v="DELEGATE AGENCY"/>
    <s v="RFP"/>
    <x v="0"/>
  </r>
  <r>
    <n v="214791"/>
    <n v="33333"/>
    <x v="4"/>
    <x v="882"/>
    <x v="16"/>
    <s v="DELEGATE AGENCY"/>
    <s v="RFP"/>
    <x v="0"/>
  </r>
  <r>
    <n v="214793"/>
    <n v="3223348.5"/>
    <x v="4"/>
    <x v="883"/>
    <x v="11"/>
    <s v="COMMODITIES"/>
    <s v="BID"/>
    <x v="0"/>
  </r>
  <r>
    <n v="214810"/>
    <n v="564355.4"/>
    <x v="0"/>
    <x v="114"/>
    <x v="12"/>
    <s v="DELEGATE AGENCY"/>
    <s v="UNKNOWN"/>
    <x v="0"/>
  </r>
  <r>
    <n v="214826"/>
    <n v="515757.8"/>
    <x v="2"/>
    <x v="73"/>
    <x v="12"/>
    <s v="DELEGATE AGENCY"/>
    <s v="UNKNOWN"/>
    <x v="0"/>
  </r>
  <r>
    <n v="214827"/>
    <n v="520707.5"/>
    <x v="2"/>
    <x v="73"/>
    <x v="12"/>
    <s v="DELEGATE AGENCY"/>
    <s v="UNKNOWN"/>
    <x v="0"/>
  </r>
  <r>
    <n v="214840"/>
    <n v="490540.7"/>
    <x v="2"/>
    <x v="376"/>
    <x v="12"/>
    <s v="DELEGATE AGENCY"/>
    <s v="UNKNOWN"/>
    <x v="0"/>
  </r>
  <r>
    <n v="215018"/>
    <n v="531087.80000000005"/>
    <x v="2"/>
    <x v="441"/>
    <x v="12"/>
    <s v="DELEGATE AGENCY"/>
    <s v="UNKNOWN"/>
    <x v="0"/>
  </r>
  <r>
    <n v="215028"/>
    <n v="10000"/>
    <x v="2"/>
    <x v="884"/>
    <x v="16"/>
    <s v="DELEGATE AGENCY"/>
    <s v="UNKNOWN"/>
    <x v="0"/>
  </r>
  <r>
    <n v="215029"/>
    <n v="12000"/>
    <x v="4"/>
    <x v="885"/>
    <x v="16"/>
    <s v="DELEGATE AGENCY"/>
    <s v="UNKNOWN"/>
    <x v="0"/>
  </r>
  <r>
    <n v="215038"/>
    <n v="952500.7"/>
    <x v="4"/>
    <x v="189"/>
    <x v="8"/>
    <s v="DELEGATE AGENCY"/>
    <s v="UNKNOWN"/>
    <x v="0"/>
  </r>
  <r>
    <n v="215040"/>
    <n v="1967470.2"/>
    <x v="2"/>
    <x v="642"/>
    <x v="15"/>
    <s v="SOFTWARE"/>
    <s v="UNKNOWN"/>
    <x v="0"/>
  </r>
  <r>
    <n v="215045"/>
    <n v="4000"/>
    <x v="0"/>
    <x v="886"/>
    <x v="16"/>
    <s v="DELEGATE AGENCY"/>
    <s v="UNKNOWN"/>
    <x v="0"/>
  </r>
  <r>
    <n v="215157"/>
    <n v="10000"/>
    <x v="3"/>
    <x v="887"/>
    <x v="16"/>
    <s v="DELEGATE AGENCY"/>
    <s v="UNKNOWN"/>
    <x v="0"/>
  </r>
  <r>
    <n v="215158"/>
    <n v="4000"/>
    <x v="4"/>
    <x v="888"/>
    <x v="16"/>
    <s v="DELEGATE AGENCY"/>
    <s v="UNKNOWN"/>
    <x v="0"/>
  </r>
  <r>
    <n v="215172"/>
    <n v="556424.9"/>
    <x v="3"/>
    <x v="82"/>
    <x v="12"/>
    <s v="DELEGATE AGENCY"/>
    <s v="UNKNOWN"/>
    <x v="0"/>
  </r>
  <r>
    <n v="215173"/>
    <n v="14988"/>
    <x v="2"/>
    <x v="889"/>
    <x v="16"/>
    <s v="DELEGATE AGENCY"/>
    <s v="UNKNOWN"/>
    <x v="0"/>
  </r>
  <r>
    <n v="215174"/>
    <n v="50000"/>
    <x v="4"/>
    <x v="236"/>
    <x v="16"/>
    <s v="DELEGATE AGENCY"/>
    <s v="UNKNOWN"/>
    <x v="0"/>
  </r>
  <r>
    <n v="215175"/>
    <n v="6608494"/>
    <x v="1"/>
    <x v="36"/>
    <x v="6"/>
    <s v="COMPTROLLER-OTHER"/>
    <s v="UNKNOWN"/>
    <x v="0"/>
  </r>
  <r>
    <n v="215176"/>
    <n v="2500"/>
    <x v="0"/>
    <x v="890"/>
    <x v="20"/>
    <s v="COMPTROLLER-OTHER"/>
    <s v="UNKNOWN"/>
    <x v="0"/>
  </r>
  <r>
    <n v="215179"/>
    <n v="3000000"/>
    <x v="3"/>
    <x v="891"/>
    <x v="0"/>
    <s v="COMPTROLLER-OTHER"/>
    <s v="UNKNOWN"/>
    <x v="0"/>
  </r>
  <r>
    <n v="215181"/>
    <n v="3100000"/>
    <x v="0"/>
    <x v="892"/>
    <x v="2"/>
    <s v="COMPTROLLER-OTHER"/>
    <s v="UNKNOWN"/>
    <x v="0"/>
  </r>
  <r>
    <n v="215183"/>
    <n v="3885962"/>
    <x v="0"/>
    <x v="893"/>
    <x v="2"/>
    <s v="COMPTROLLER-OTHER"/>
    <s v="UNKNOWN"/>
    <x v="0"/>
  </r>
  <r>
    <n v="215184"/>
    <n v="221323.6"/>
    <x v="0"/>
    <x v="894"/>
    <x v="2"/>
    <s v="COMPTROLLER-OTHER"/>
    <s v="UNKNOWN"/>
    <x v="0"/>
  </r>
  <r>
    <n v="215185"/>
    <n v="25000"/>
    <x v="1"/>
    <x v="895"/>
    <x v="16"/>
    <s v="DELEGATE AGENCY"/>
    <s v="UNKNOWN"/>
    <x v="0"/>
  </r>
  <r>
    <n v="215232"/>
    <n v="1000"/>
    <x v="4"/>
    <x v="505"/>
    <x v="20"/>
    <s v="COMPTROLLER-OTHER"/>
    <s v="UNKNOWN"/>
    <x v="0"/>
  </r>
  <r>
    <n v="215234"/>
    <n v="50000"/>
    <x v="3"/>
    <x v="896"/>
    <x v="20"/>
    <s v="COMPTROLLER-OTHER"/>
    <s v="UNKNOWN"/>
    <x v="0"/>
  </r>
  <r>
    <n v="215235"/>
    <n v="5000"/>
    <x v="1"/>
    <x v="897"/>
    <x v="20"/>
    <s v="COMPTROLLER-OTHER"/>
    <s v="UNKNOWN"/>
    <x v="0"/>
  </r>
  <r>
    <n v="215246"/>
    <n v="500000"/>
    <x v="3"/>
    <x v="898"/>
    <x v="1"/>
    <s v="DELEGATE AGENCY"/>
    <s v="UNKNOWN"/>
    <x v="0"/>
  </r>
  <r>
    <n v="215258"/>
    <n v="249541"/>
    <x v="2"/>
    <x v="899"/>
    <x v="2"/>
    <s v="COMPTROLLER-OTHER"/>
    <s v="UNKNOWN"/>
    <x v="0"/>
  </r>
  <r>
    <n v="215260"/>
    <n v="90850.4"/>
    <x v="1"/>
    <x v="205"/>
    <x v="12"/>
    <s v="DELEGATE AGENCY"/>
    <s v="UNKNOWN"/>
    <x v="0"/>
  </r>
  <r>
    <n v="215261"/>
    <n v="1082000"/>
    <x v="1"/>
    <x v="642"/>
    <x v="15"/>
    <s v="SOFTWARE"/>
    <s v="UNKNOWN"/>
    <x v="0"/>
  </r>
  <r>
    <n v="215264"/>
    <n v="235667.4"/>
    <x v="0"/>
    <x v="315"/>
    <x v="12"/>
    <s v="DELEGATE AGENCY"/>
    <s v="UNKNOWN"/>
    <x v="0"/>
  </r>
  <r>
    <n v="215276"/>
    <n v="8000"/>
    <x v="1"/>
    <x v="236"/>
    <x v="16"/>
    <s v="DELEGATE AGENCY"/>
    <s v="UNKNOWN"/>
    <x v="0"/>
  </r>
  <r>
    <n v="215277"/>
    <n v="8000"/>
    <x v="3"/>
    <x v="236"/>
    <x v="16"/>
    <s v="DELEGATE AGENCY"/>
    <s v="UNKNOWN"/>
    <x v="0"/>
  </r>
  <r>
    <n v="215293"/>
    <n v="2702979"/>
    <x v="3"/>
    <x v="900"/>
    <x v="6"/>
    <s v="COMPTROLLER-OTHER"/>
    <s v="UNKNOWN"/>
    <x v="0"/>
  </r>
  <r>
    <n v="215330"/>
    <n v="98600"/>
    <x v="0"/>
    <x v="901"/>
    <x v="13"/>
    <s v="COMMODITIES-SMALL ORDERS"/>
    <s v="BID"/>
    <x v="0"/>
  </r>
  <r>
    <n v="215467"/>
    <n v="26100000"/>
    <x v="1"/>
    <x v="902"/>
    <x v="9"/>
    <s v="COMPTROLLER-OTHER"/>
    <s v="UNKNOWN"/>
    <x v="0"/>
  </r>
  <r>
    <n v="215488"/>
    <n v="102800"/>
    <x v="0"/>
    <x v="59"/>
    <x v="12"/>
    <s v="DELEGATE AGENCY"/>
    <s v="UNKNOWN"/>
    <x v="0"/>
  </r>
  <r>
    <n v="215489"/>
    <n v="47896.5"/>
    <x v="1"/>
    <x v="127"/>
    <x v="12"/>
    <s v="DELEGATE AGENCY"/>
    <s v="UNKNOWN"/>
    <x v="0"/>
  </r>
  <r>
    <n v="215490"/>
    <n v="67645.3"/>
    <x v="4"/>
    <x v="77"/>
    <x v="12"/>
    <s v="DELEGATE AGENCY"/>
    <s v="UNKNOWN"/>
    <x v="0"/>
  </r>
  <r>
    <n v="215491"/>
    <n v="70620"/>
    <x v="1"/>
    <x v="74"/>
    <x v="12"/>
    <s v="DELEGATE AGENCY"/>
    <s v="UNKNOWN"/>
    <x v="0"/>
  </r>
  <r>
    <n v="215492"/>
    <n v="11000"/>
    <x v="1"/>
    <x v="76"/>
    <x v="12"/>
    <s v="DELEGATE AGENCY"/>
    <s v="UNKNOWN"/>
    <x v="0"/>
  </r>
  <r>
    <n v="215493"/>
    <n v="35999.699999999997"/>
    <x v="4"/>
    <x v="65"/>
    <x v="12"/>
    <s v="DELEGATE AGENCY"/>
    <s v="UNKNOWN"/>
    <x v="0"/>
  </r>
  <r>
    <n v="215494"/>
    <n v="2453.9"/>
    <x v="4"/>
    <x v="96"/>
    <x v="12"/>
    <s v="DELEGATE AGENCY"/>
    <s v="UNKNOWN"/>
    <x v="0"/>
  </r>
  <r>
    <n v="215495"/>
    <n v="256555"/>
    <x v="3"/>
    <x v="343"/>
    <x v="12"/>
    <s v="DELEGATE AGENCY"/>
    <s v="UNKNOWN"/>
    <x v="0"/>
  </r>
  <r>
    <n v="215496"/>
    <n v="6000"/>
    <x v="2"/>
    <x v="236"/>
    <x v="16"/>
    <s v="DELEGATE AGENCY"/>
    <s v="RFP"/>
    <x v="0"/>
  </r>
  <r>
    <n v="215497"/>
    <n v="184000"/>
    <x v="3"/>
    <x v="903"/>
    <x v="31"/>
    <s v="PRO SERV CONSULTING UNDER $250,000"/>
    <s v="SOLE SOURCE"/>
    <x v="0"/>
  </r>
  <r>
    <n v="215573"/>
    <n v="6000"/>
    <x v="1"/>
    <x v="236"/>
    <x v="16"/>
    <s v="DELEGATE AGENCY"/>
    <s v="UNKNOWN"/>
    <x v="0"/>
  </r>
  <r>
    <n v="215574"/>
    <n v="35000"/>
    <x v="3"/>
    <x v="877"/>
    <x v="16"/>
    <s v="DELEGATE AGENCY"/>
    <s v="UNKNOWN"/>
    <x v="0"/>
  </r>
  <r>
    <n v="215575"/>
    <n v="10748030"/>
    <x v="4"/>
    <x v="20"/>
    <x v="10"/>
    <s v="WORK SERVICES / FACILITIES MAINT."/>
    <s v="BID"/>
    <x v="0"/>
  </r>
  <r>
    <n v="215577"/>
    <n v="10509440"/>
    <x v="0"/>
    <x v="20"/>
    <x v="10"/>
    <s v="WORK SERVICES / FACILITIES MAINT."/>
    <s v="BID"/>
    <x v="0"/>
  </r>
  <r>
    <n v="215633"/>
    <n v="18630000"/>
    <x v="0"/>
    <x v="904"/>
    <x v="9"/>
    <s v="COMPTROLLER-OTHER"/>
    <s v="UNKNOWN"/>
    <x v="0"/>
  </r>
  <r>
    <n v="215634"/>
    <n v="10509440"/>
    <x v="0"/>
    <x v="20"/>
    <x v="10"/>
    <s v="WORK SERVICES / FACILITIES MAINT."/>
    <s v="BID"/>
    <x v="0"/>
  </r>
  <r>
    <n v="215635"/>
    <n v="60000"/>
    <x v="0"/>
    <x v="568"/>
    <x v="9"/>
    <s v="COMPTROLLER-OTHER"/>
    <s v="UNKNOWN"/>
    <x v="0"/>
  </r>
  <r>
    <n v="215636"/>
    <n v="10748030"/>
    <x v="1"/>
    <x v="20"/>
    <x v="10"/>
    <s v="WORK SERVICES / FACILITIES MAINT."/>
    <s v="BID"/>
    <x v="0"/>
  </r>
  <r>
    <n v="215702"/>
    <n v="25096.3"/>
    <x v="0"/>
    <x v="642"/>
    <x v="15"/>
    <s v="SOFTWARE"/>
    <s v="UNKNOWN"/>
    <x v="0"/>
  </r>
  <r>
    <n v="215712"/>
    <n v="9711"/>
    <x v="4"/>
    <x v="169"/>
    <x v="8"/>
    <s v="DELEGATE AGENCY"/>
    <s v="UNKNOWN"/>
    <x v="0"/>
  </r>
  <r>
    <n v="215783"/>
    <n v="1000000"/>
    <x v="3"/>
    <x v="905"/>
    <x v="2"/>
    <s v="DELEGATE AGENCY"/>
    <s v="RFP"/>
    <x v="0"/>
  </r>
  <r>
    <n v="215824"/>
    <n v="10000"/>
    <x v="0"/>
    <x v="562"/>
    <x v="16"/>
    <s v="DELEGATE AGENCY"/>
    <s v="UNKNOWN"/>
    <x v="0"/>
  </r>
  <r>
    <n v="215826"/>
    <n v="6000"/>
    <x v="4"/>
    <x v="236"/>
    <x v="16"/>
    <s v="DELEGATE AGENCY"/>
    <s v="UNKNOWN"/>
    <x v="0"/>
  </r>
  <r>
    <n v="215827"/>
    <n v="6000"/>
    <x v="3"/>
    <x v="236"/>
    <x v="16"/>
    <s v="DELEGATE AGENCY"/>
    <s v="UNKNOWN"/>
    <x v="0"/>
  </r>
  <r>
    <n v="215828"/>
    <n v="6000"/>
    <x v="3"/>
    <x v="236"/>
    <x v="16"/>
    <s v="DELEGATE AGENCY"/>
    <s v="UNKNOWN"/>
    <x v="0"/>
  </r>
  <r>
    <n v="215829"/>
    <n v="6000"/>
    <x v="3"/>
    <x v="236"/>
    <x v="16"/>
    <s v="DELEGATE AGENCY"/>
    <s v="UNKNOWN"/>
    <x v="0"/>
  </r>
  <r>
    <n v="215830"/>
    <n v="6000"/>
    <x v="3"/>
    <x v="236"/>
    <x v="16"/>
    <s v="DELEGATE AGENCY"/>
    <s v="UNKNOWN"/>
    <x v="0"/>
  </r>
  <r>
    <n v="215831"/>
    <n v="3000"/>
    <x v="3"/>
    <x v="25"/>
    <x v="16"/>
    <s v="DELEGATE AGENCY"/>
    <s v="UNKNOWN"/>
    <x v="0"/>
  </r>
  <r>
    <n v="215832"/>
    <n v="20000"/>
    <x v="3"/>
    <x v="236"/>
    <x v="16"/>
    <s v="DELEGATE AGENCY"/>
    <s v="UNKNOWN"/>
    <x v="0"/>
  </r>
  <r>
    <n v="215833"/>
    <n v="6000"/>
    <x v="4"/>
    <x v="236"/>
    <x v="16"/>
    <s v="DELEGATE AGENCY"/>
    <s v="UNKNOWN"/>
    <x v="0"/>
  </r>
  <r>
    <n v="216054"/>
    <n v="23077"/>
    <x v="3"/>
    <x v="259"/>
    <x v="12"/>
    <s v="DELEGATE AGENCY"/>
    <s v="UNKNOWN"/>
    <x v="0"/>
  </r>
  <r>
    <n v="216055"/>
    <n v="111000"/>
    <x v="4"/>
    <x v="906"/>
    <x v="9"/>
    <s v="COMPTROLLER-OTHER"/>
    <s v="UNKNOWN"/>
    <x v="0"/>
  </r>
  <r>
    <n v="216163"/>
    <n v="8390727.8000000007"/>
    <x v="1"/>
    <x v="315"/>
    <x v="12"/>
    <s v="DELEGATE AGENCY"/>
    <s v="UNKNOWN"/>
    <x v="0"/>
  </r>
  <r>
    <n v="216165"/>
    <n v="57010.2"/>
    <x v="0"/>
    <x v="222"/>
    <x v="19"/>
    <s v="DELEGATE AGENCY"/>
    <s v="UNKNOWN"/>
    <x v="0"/>
  </r>
  <r>
    <n v="216166"/>
    <n v="118575.9"/>
    <x v="1"/>
    <x v="907"/>
    <x v="19"/>
    <s v="DELEGATE AGENCY"/>
    <s v="UNKNOWN"/>
    <x v="0"/>
  </r>
  <r>
    <n v="216169"/>
    <n v="6826.9"/>
    <x v="1"/>
    <x v="642"/>
    <x v="15"/>
    <s v="SOFTWARE"/>
    <s v="UNKNOWN"/>
    <x v="0"/>
  </r>
  <r>
    <n v="216193"/>
    <n v="87602.6"/>
    <x v="3"/>
    <x v="908"/>
    <x v="20"/>
    <s v="WORK SERVICES-SMALL ORDERS"/>
    <s v="BID"/>
    <x v="0"/>
  </r>
  <r>
    <n v="216218"/>
    <n v="3367909"/>
    <x v="1"/>
    <x v="898"/>
    <x v="1"/>
    <s v="DELEGATE AGENCY"/>
    <s v="UNKNOWN"/>
    <x v="0"/>
  </r>
  <r>
    <n v="216240"/>
    <n v="2300000"/>
    <x v="0"/>
    <x v="297"/>
    <x v="12"/>
    <s v="DELEGATE AGENCY"/>
    <s v="UNKNOWN"/>
    <x v="0"/>
  </r>
  <r>
    <n v="216242"/>
    <n v="99441"/>
    <x v="0"/>
    <x v="540"/>
    <x v="8"/>
    <s v="DELEGATE AGENCY"/>
    <s v="UNKNOWN"/>
    <x v="0"/>
  </r>
  <r>
    <n v="216244"/>
    <n v="1000000"/>
    <x v="1"/>
    <x v="59"/>
    <x v="8"/>
    <s v="DELEGATE AGENCY"/>
    <s v="RFP"/>
    <x v="0"/>
  </r>
  <r>
    <n v="216245"/>
    <n v="1143925"/>
    <x v="0"/>
    <x v="261"/>
    <x v="8"/>
    <s v="DELEGATE AGENCY"/>
    <s v="RFP"/>
    <x v="0"/>
  </r>
  <r>
    <n v="216246"/>
    <n v="1000000"/>
    <x v="0"/>
    <x v="446"/>
    <x v="8"/>
    <s v="DELEGATE AGENCY"/>
    <s v="RFP"/>
    <x v="0"/>
  </r>
  <r>
    <n v="216247"/>
    <n v="1000000"/>
    <x v="0"/>
    <x v="396"/>
    <x v="8"/>
    <s v="DELEGATE AGENCY"/>
    <s v="RFP"/>
    <x v="0"/>
  </r>
  <r>
    <n v="216248"/>
    <n v="1000000"/>
    <x v="0"/>
    <x v="59"/>
    <x v="8"/>
    <s v="DELEGATE AGENCY"/>
    <s v="RFP"/>
    <x v="0"/>
  </r>
  <r>
    <n v="216249"/>
    <n v="1000000"/>
    <x v="0"/>
    <x v="205"/>
    <x v="8"/>
    <s v="DELEGATE AGENCY"/>
    <s v="RFP"/>
    <x v="0"/>
  </r>
  <r>
    <n v="216250"/>
    <n v="1000000"/>
    <x v="0"/>
    <x v="593"/>
    <x v="8"/>
    <s v="DELEGATE AGENCY"/>
    <s v="RFP"/>
    <x v="0"/>
  </r>
  <r>
    <n v="216251"/>
    <n v="1000000"/>
    <x v="0"/>
    <x v="260"/>
    <x v="8"/>
    <s v="DELEGATE AGENCY"/>
    <s v="RFP"/>
    <x v="0"/>
  </r>
  <r>
    <n v="216252"/>
    <n v="123000"/>
    <x v="0"/>
    <x v="19"/>
    <x v="8"/>
    <s v="DELEGATE AGENCY"/>
    <s v="UNKNOWN"/>
    <x v="0"/>
  </r>
  <r>
    <n v="216253"/>
    <n v="1000000"/>
    <x v="1"/>
    <x v="261"/>
    <x v="8"/>
    <s v="DELEGATE AGENCY"/>
    <s v="RFP"/>
    <x v="0"/>
  </r>
  <r>
    <n v="216257"/>
    <n v="1500000"/>
    <x v="0"/>
    <x v="114"/>
    <x v="8"/>
    <s v="DELEGATE AGENCY"/>
    <s v="RFP"/>
    <x v="0"/>
  </r>
  <r>
    <n v="216284"/>
    <n v="1222445.7"/>
    <x v="0"/>
    <x v="500"/>
    <x v="8"/>
    <s v="DELEGATE AGENCY"/>
    <s v="UNKNOWN"/>
    <x v="0"/>
  </r>
  <r>
    <n v="216285"/>
    <n v="304495.09999999998"/>
    <x v="0"/>
    <x v="228"/>
    <x v="12"/>
    <s v="DELEGATE AGENCY"/>
    <s v="UNKNOWN"/>
    <x v="0"/>
  </r>
  <r>
    <n v="216349"/>
    <n v="190012.1"/>
    <x v="2"/>
    <x v="338"/>
    <x v="26"/>
    <s v="DELEGATE AGENCY"/>
    <s v="UNKNOWN"/>
    <x v="0"/>
  </r>
  <r>
    <n v="216351"/>
    <n v="183581"/>
    <x v="1"/>
    <x v="204"/>
    <x v="19"/>
    <s v="DELEGATE AGENCY"/>
    <s v="UNKNOWN"/>
    <x v="0"/>
  </r>
  <r>
    <n v="216352"/>
    <n v="169940.9"/>
    <x v="1"/>
    <x v="454"/>
    <x v="19"/>
    <s v="DELEGATE AGENCY"/>
    <s v="UNKNOWN"/>
    <x v="0"/>
  </r>
  <r>
    <n v="216472"/>
    <n v="200000"/>
    <x v="1"/>
    <x v="227"/>
    <x v="8"/>
    <s v="DELEGATE AGENCY"/>
    <s v="UNKNOWN"/>
    <x v="0"/>
  </r>
  <r>
    <n v="216473"/>
    <n v="200000"/>
    <x v="1"/>
    <x v="570"/>
    <x v="8"/>
    <s v="DELEGATE AGENCY"/>
    <s v="UNKNOWN"/>
    <x v="0"/>
  </r>
  <r>
    <n v="216474"/>
    <n v="1557467"/>
    <x v="1"/>
    <x v="281"/>
    <x v="8"/>
    <s v="DELEGATE AGENCY"/>
    <s v="UNKNOWN"/>
    <x v="0"/>
  </r>
  <r>
    <n v="216475"/>
    <n v="350000"/>
    <x v="0"/>
    <x v="191"/>
    <x v="8"/>
    <s v="DELEGATE AGENCY"/>
    <s v="UNKNOWN"/>
    <x v="0"/>
  </r>
  <r>
    <n v="216476"/>
    <n v="240000"/>
    <x v="2"/>
    <x v="278"/>
    <x v="8"/>
    <s v="DELEGATE AGENCY"/>
    <s v="UNKNOWN"/>
    <x v="0"/>
  </r>
  <r>
    <n v="216477"/>
    <n v="240000"/>
    <x v="1"/>
    <x v="501"/>
    <x v="8"/>
    <s v="DELEGATE AGENCY"/>
    <s v="UNKNOWN"/>
    <x v="0"/>
  </r>
  <r>
    <n v="216478"/>
    <n v="111200.299999999"/>
    <x v="1"/>
    <x v="298"/>
    <x v="8"/>
    <s v="DELEGATE AGENCY"/>
    <s v="UNKNOWN"/>
    <x v="0"/>
  </r>
  <r>
    <n v="216489"/>
    <n v="479778.1"/>
    <x v="1"/>
    <x v="41"/>
    <x v="8"/>
    <s v="DELEGATE AGENCY"/>
    <s v="UNKNOWN"/>
    <x v="0"/>
  </r>
  <r>
    <n v="216490"/>
    <n v="166667.70000000001"/>
    <x v="2"/>
    <x v="40"/>
    <x v="8"/>
    <s v="DELEGATE AGENCY"/>
    <s v="UNKNOWN"/>
    <x v="0"/>
  </r>
  <r>
    <n v="216491"/>
    <n v="33112.300000000003"/>
    <x v="1"/>
    <x v="596"/>
    <x v="8"/>
    <s v="DELEGATE AGENCY"/>
    <s v="UNKNOWN"/>
    <x v="0"/>
  </r>
  <r>
    <n v="216492"/>
    <n v="1650000"/>
    <x v="4"/>
    <x v="525"/>
    <x v="8"/>
    <s v="DELEGATE AGENCY"/>
    <s v="UNKNOWN"/>
    <x v="0"/>
  </r>
  <r>
    <n v="216493"/>
    <n v="200000"/>
    <x v="0"/>
    <x v="363"/>
    <x v="8"/>
    <s v="DELEGATE AGENCY"/>
    <s v="UNKNOWN"/>
    <x v="0"/>
  </r>
  <r>
    <n v="216494"/>
    <n v="99800"/>
    <x v="1"/>
    <x v="27"/>
    <x v="8"/>
    <s v="DELEGATE AGENCY"/>
    <s v="UNKNOWN"/>
    <x v="0"/>
  </r>
  <r>
    <n v="216525"/>
    <n v="119965"/>
    <x v="1"/>
    <x v="342"/>
    <x v="12"/>
    <s v="DELEGATE AGENCY"/>
    <s v="UNKNOWN"/>
    <x v="0"/>
  </r>
  <r>
    <n v="216526"/>
    <n v="357000"/>
    <x v="1"/>
    <x v="169"/>
    <x v="12"/>
    <s v="DELEGATE AGENCY"/>
    <s v="UNKNOWN"/>
    <x v="0"/>
  </r>
  <r>
    <n v="216528"/>
    <n v="362000"/>
    <x v="2"/>
    <x v="169"/>
    <x v="12"/>
    <s v="DELEGATE AGENCY"/>
    <s v="UNKNOWN"/>
    <x v="0"/>
  </r>
  <r>
    <n v="216529"/>
    <n v="357000"/>
    <x v="2"/>
    <x v="205"/>
    <x v="12"/>
    <s v="DELEGATE AGENCY"/>
    <s v="UNKNOWN"/>
    <x v="0"/>
  </r>
  <r>
    <n v="216530"/>
    <n v="357000"/>
    <x v="2"/>
    <x v="204"/>
    <x v="12"/>
    <s v="DELEGATE AGENCY"/>
    <s v="UNKNOWN"/>
    <x v="0"/>
  </r>
  <r>
    <n v="216532"/>
    <n v="357000"/>
    <x v="2"/>
    <x v="203"/>
    <x v="12"/>
    <s v="DELEGATE AGENCY"/>
    <s v="UNKNOWN"/>
    <x v="0"/>
  </r>
  <r>
    <n v="216533"/>
    <n v="357000"/>
    <x v="2"/>
    <x v="73"/>
    <x v="12"/>
    <s v="DELEGATE AGENCY"/>
    <s v="UNKNOWN"/>
    <x v="0"/>
  </r>
  <r>
    <n v="216534"/>
    <n v="348632"/>
    <x v="2"/>
    <x v="351"/>
    <x v="12"/>
    <s v="DELEGATE AGENCY"/>
    <s v="UNKNOWN"/>
    <x v="0"/>
  </r>
  <r>
    <n v="216535"/>
    <n v="52800"/>
    <x v="2"/>
    <x v="340"/>
    <x v="12"/>
    <s v="DELEGATE AGENCY"/>
    <s v="UNKNOWN"/>
    <x v="0"/>
  </r>
  <r>
    <n v="216536"/>
    <n v="52800"/>
    <x v="1"/>
    <x v="303"/>
    <x v="12"/>
    <s v="DELEGATE AGENCY"/>
    <s v="UNKNOWN"/>
    <x v="0"/>
  </r>
  <r>
    <n v="216537"/>
    <n v="69000"/>
    <x v="1"/>
    <x v="202"/>
    <x v="12"/>
    <s v="DELEGATE AGENCY"/>
    <s v="UNKNOWN"/>
    <x v="0"/>
  </r>
  <r>
    <n v="216538"/>
    <n v="74000"/>
    <x v="1"/>
    <x v="688"/>
    <x v="12"/>
    <s v="DELEGATE AGENCY"/>
    <s v="UNKNOWN"/>
    <x v="0"/>
  </r>
  <r>
    <n v="216539"/>
    <n v="69000"/>
    <x v="1"/>
    <x v="127"/>
    <x v="12"/>
    <s v="DELEGATE AGENCY"/>
    <s v="UNKNOWN"/>
    <x v="0"/>
  </r>
  <r>
    <n v="216540"/>
    <n v="357000"/>
    <x v="1"/>
    <x v="5"/>
    <x v="12"/>
    <s v="DELEGATE AGENCY"/>
    <s v="UNKNOWN"/>
    <x v="0"/>
  </r>
  <r>
    <n v="216543"/>
    <n v="52800"/>
    <x v="2"/>
    <x v="305"/>
    <x v="12"/>
    <s v="DELEGATE AGENCY"/>
    <s v="UNKNOWN"/>
    <x v="0"/>
  </r>
  <r>
    <n v="216544"/>
    <n v="52800"/>
    <x v="1"/>
    <x v="201"/>
    <x v="12"/>
    <s v="DELEGATE AGENCY"/>
    <s v="UNKNOWN"/>
    <x v="0"/>
  </r>
  <r>
    <n v="216545"/>
    <n v="52800"/>
    <x v="1"/>
    <x v="350"/>
    <x v="12"/>
    <s v="DELEGATE AGENCY"/>
    <s v="UNKNOWN"/>
    <x v="0"/>
  </r>
  <r>
    <n v="216565"/>
    <n v="22463.599999999999"/>
    <x v="1"/>
    <x v="57"/>
    <x v="12"/>
    <s v="DELEGATE AGENCY"/>
    <s v="UNKNOWN"/>
    <x v="0"/>
  </r>
  <r>
    <n v="216566"/>
    <n v="12012"/>
    <x v="4"/>
    <x v="72"/>
    <x v="12"/>
    <s v="DELEGATE AGENCY"/>
    <s v="UNKNOWN"/>
    <x v="0"/>
  </r>
  <r>
    <n v="216567"/>
    <n v="357000"/>
    <x v="4"/>
    <x v="199"/>
    <x v="12"/>
    <s v="DELEGATE AGENCY"/>
    <s v="UNKNOWN"/>
    <x v="0"/>
  </r>
  <r>
    <n v="216568"/>
    <n v="14865.2"/>
    <x v="2"/>
    <x v="58"/>
    <x v="12"/>
    <s v="DELEGATE AGENCY"/>
    <s v="UNKNOWN"/>
    <x v="0"/>
  </r>
  <r>
    <n v="216569"/>
    <n v="14039.3"/>
    <x v="4"/>
    <x v="65"/>
    <x v="12"/>
    <s v="DELEGATE AGENCY"/>
    <s v="UNKNOWN"/>
    <x v="0"/>
  </r>
  <r>
    <n v="216631"/>
    <n v="99115.5"/>
    <x v="4"/>
    <x v="259"/>
    <x v="12"/>
    <s v="DELEGATE AGENCY"/>
    <s v="UNKNOWN"/>
    <x v="0"/>
  </r>
  <r>
    <n v="216632"/>
    <n v="27577"/>
    <x v="1"/>
    <x v="533"/>
    <x v="12"/>
    <s v="DELEGATE AGENCY"/>
    <s v="UNKNOWN"/>
    <x v="0"/>
  </r>
  <r>
    <n v="216634"/>
    <n v="37822"/>
    <x v="4"/>
    <x v="534"/>
    <x v="12"/>
    <s v="DELEGATE AGENCY"/>
    <s v="UNKNOWN"/>
    <x v="0"/>
  </r>
  <r>
    <n v="216635"/>
    <n v="101599.5"/>
    <x v="4"/>
    <x v="533"/>
    <x v="12"/>
    <s v="DELEGATE AGENCY"/>
    <s v="UNKNOWN"/>
    <x v="0"/>
  </r>
  <r>
    <n v="216636"/>
    <n v="22884"/>
    <x v="1"/>
    <x v="532"/>
    <x v="12"/>
    <s v="DELEGATE AGENCY"/>
    <s v="UNKNOWN"/>
    <x v="0"/>
  </r>
  <r>
    <n v="216637"/>
    <n v="85941.7"/>
    <x v="4"/>
    <x v="532"/>
    <x v="12"/>
    <s v="DELEGATE AGENCY"/>
    <s v="UNKNOWN"/>
    <x v="0"/>
  </r>
  <r>
    <n v="216639"/>
    <n v="4861183.5999999996"/>
    <x v="1"/>
    <x v="503"/>
    <x v="12"/>
    <s v="DELEGATE AGENCY"/>
    <s v="UNKNOWN"/>
    <x v="0"/>
  </r>
  <r>
    <n v="216640"/>
    <n v="78404"/>
    <x v="0"/>
    <x v="323"/>
    <x v="12"/>
    <s v="DELEGATE AGENCY"/>
    <s v="UNKNOWN"/>
    <x v="0"/>
  </r>
  <r>
    <n v="216641"/>
    <n v="1049854.3999999999"/>
    <x v="1"/>
    <x v="297"/>
    <x v="12"/>
    <s v="DELEGATE AGENCY"/>
    <s v="UNKNOWN"/>
    <x v="0"/>
  </r>
  <r>
    <n v="216645"/>
    <n v="133108"/>
    <x v="0"/>
    <x v="603"/>
    <x v="12"/>
    <s v="DELEGATE AGENCY"/>
    <s v="UNKNOWN"/>
    <x v="0"/>
  </r>
  <r>
    <n v="216646"/>
    <n v="1467853.5"/>
    <x v="1"/>
    <x v="297"/>
    <x v="12"/>
    <s v="DELEGATE AGENCY"/>
    <s v="UNKNOWN"/>
    <x v="0"/>
  </r>
  <r>
    <n v="216654"/>
    <n v="186956"/>
    <x v="0"/>
    <x v="323"/>
    <x v="12"/>
    <s v="DELEGATE AGENCY"/>
    <s v="UNKNOWN"/>
    <x v="0"/>
  </r>
  <r>
    <n v="216655"/>
    <n v="52785"/>
    <x v="1"/>
    <x v="170"/>
    <x v="12"/>
    <s v="DELEGATE AGENCY"/>
    <s v="UNKNOWN"/>
    <x v="0"/>
  </r>
  <r>
    <n v="216674"/>
    <n v="17000"/>
    <x v="1"/>
    <x v="909"/>
    <x v="16"/>
    <s v="DELEGATE AGENCY"/>
    <s v="UNKNOWN"/>
    <x v="0"/>
  </r>
  <r>
    <n v="216686"/>
    <n v="114750"/>
    <x v="4"/>
    <x v="531"/>
    <x v="12"/>
    <s v="DELEGATE AGENCY"/>
    <s v="UNKNOWN"/>
    <x v="0"/>
  </r>
  <r>
    <n v="216687"/>
    <n v="14998.1"/>
    <x v="1"/>
    <x v="76"/>
    <x v="12"/>
    <s v="DELEGATE AGENCY"/>
    <s v="UNKNOWN"/>
    <x v="0"/>
  </r>
  <r>
    <n v="216688"/>
    <n v="84461.3"/>
    <x v="4"/>
    <x v="76"/>
    <x v="12"/>
    <s v="DELEGATE AGENCY"/>
    <s v="UNKNOWN"/>
    <x v="0"/>
  </r>
  <r>
    <n v="216703"/>
    <n v="480000"/>
    <x v="1"/>
    <x v="25"/>
    <x v="8"/>
    <s v="DELEGATE AGENCY"/>
    <s v="UNKNOWN"/>
    <x v="0"/>
  </r>
  <r>
    <n v="216756"/>
    <n v="95654.6"/>
    <x v="2"/>
    <x v="910"/>
    <x v="19"/>
    <s v="DELEGATE AGENCY"/>
    <s v="UNKNOWN"/>
    <x v="0"/>
  </r>
  <r>
    <n v="216759"/>
    <n v="28219.599999999999"/>
    <x v="1"/>
    <x v="686"/>
    <x v="19"/>
    <s v="DELEGATE AGENCY"/>
    <s v="UNKNOWN"/>
    <x v="0"/>
  </r>
  <r>
    <n v="216760"/>
    <n v="200000"/>
    <x v="4"/>
    <x v="326"/>
    <x v="26"/>
    <s v="DELEGATE AGENCY"/>
    <s v="UNKNOWN"/>
    <x v="0"/>
  </r>
  <r>
    <n v="216761"/>
    <n v="221000"/>
    <x v="1"/>
    <x v="302"/>
    <x v="8"/>
    <s v="DELEGATE AGENCY"/>
    <s v="UNKNOWN"/>
    <x v="0"/>
  </r>
  <r>
    <n v="216762"/>
    <n v="288046.40000000002"/>
    <x v="1"/>
    <x v="325"/>
    <x v="26"/>
    <s v="DELEGATE AGENCY"/>
    <s v="UNKNOWN"/>
    <x v="0"/>
  </r>
  <r>
    <n v="216763"/>
    <n v="173581.09999999899"/>
    <x v="2"/>
    <x v="528"/>
    <x v="8"/>
    <s v="DELEGATE AGENCY"/>
    <s v="UNKNOWN"/>
    <x v="0"/>
  </r>
  <r>
    <n v="216765"/>
    <n v="155672.79999999999"/>
    <x v="1"/>
    <x v="227"/>
    <x v="8"/>
    <s v="DELEGATE AGENCY"/>
    <s v="UNKNOWN"/>
    <x v="0"/>
  </r>
  <r>
    <n v="216766"/>
    <n v="199999.6"/>
    <x v="1"/>
    <x v="330"/>
    <x v="8"/>
    <s v="DELEGATE AGENCY"/>
    <s v="UNKNOWN"/>
    <x v="0"/>
  </r>
  <r>
    <n v="216771"/>
    <n v="150000"/>
    <x v="1"/>
    <x v="911"/>
    <x v="20"/>
    <s v="COMPTROLLER-OTHER"/>
    <s v="UNKNOWN"/>
    <x v="0"/>
  </r>
  <r>
    <n v="216774"/>
    <n v="15000"/>
    <x v="1"/>
    <x v="912"/>
    <x v="20"/>
    <s v="COMPTROLLER-OTHER"/>
    <s v="UNKNOWN"/>
    <x v="0"/>
  </r>
  <r>
    <n v="216775"/>
    <n v="50000"/>
    <x v="4"/>
    <x v="913"/>
    <x v="20"/>
    <s v="COMPTROLLER-OTHER"/>
    <s v="UNKNOWN"/>
    <x v="0"/>
  </r>
  <r>
    <n v="216776"/>
    <n v="207235.5"/>
    <x v="1"/>
    <x v="464"/>
    <x v="8"/>
    <s v="DELEGATE AGENCY"/>
    <s v="UNKNOWN"/>
    <x v="0"/>
  </r>
  <r>
    <n v="216778"/>
    <n v="4752593.3"/>
    <x v="1"/>
    <x v="512"/>
    <x v="12"/>
    <s v="DELEGATE AGENCY"/>
    <s v="UNKNOWN"/>
    <x v="0"/>
  </r>
  <r>
    <n v="216779"/>
    <n v="30845"/>
    <x v="0"/>
    <x v="914"/>
    <x v="20"/>
    <s v="COMPTROLLER-OTHER"/>
    <s v="UNKNOWN"/>
    <x v="0"/>
  </r>
  <r>
    <n v="216782"/>
    <n v="11000"/>
    <x v="4"/>
    <x v="915"/>
    <x v="20"/>
    <s v="COMPTROLLER-OTHER"/>
    <s v="UNKNOWN"/>
    <x v="0"/>
  </r>
  <r>
    <n v="216786"/>
    <n v="14000"/>
    <x v="4"/>
    <x v="221"/>
    <x v="2"/>
    <s v="COMPTROLLER-OTHER"/>
    <s v="UNKNOWN"/>
    <x v="0"/>
  </r>
  <r>
    <n v="216790"/>
    <n v="220330"/>
    <x v="4"/>
    <x v="916"/>
    <x v="0"/>
    <s v="COMPTROLLER-OTHER"/>
    <s v="UNKNOWN"/>
    <x v="0"/>
  </r>
  <r>
    <n v="216792"/>
    <n v="147167.5"/>
    <x v="1"/>
    <x v="917"/>
    <x v="8"/>
    <s v="COMPTROLLER-OTHER"/>
    <s v="UNKNOWN"/>
    <x v="0"/>
  </r>
  <r>
    <n v="216799"/>
    <n v="1004605.6"/>
    <x v="1"/>
    <x v="297"/>
    <x v="12"/>
    <s v="DELEGATE AGENCY"/>
    <s v="UNKNOWN"/>
    <x v="0"/>
  </r>
  <r>
    <n v="216868"/>
    <n v="752514.1"/>
    <x v="0"/>
    <x v="918"/>
    <x v="3"/>
    <s v="PRO SERV CONSULTING $250,000orABOVE"/>
    <s v="MASTER AGREEMENT"/>
    <x v="0"/>
  </r>
  <r>
    <n v="216872"/>
    <n v="513184.1"/>
    <x v="2"/>
    <x v="447"/>
    <x v="12"/>
    <s v="DELEGATE AGENCY"/>
    <s v="UNKNOWN"/>
    <x v="0"/>
  </r>
  <r>
    <n v="216877"/>
    <n v="432050.1"/>
    <x v="2"/>
    <x v="449"/>
    <x v="12"/>
    <s v="DELEGATE AGENCY"/>
    <s v="UNKNOWN"/>
    <x v="0"/>
  </r>
  <r>
    <n v="216879"/>
    <n v="285537.3"/>
    <x v="2"/>
    <x v="446"/>
    <x v="12"/>
    <s v="DELEGATE AGENCY"/>
    <s v="UNKNOWN"/>
    <x v="0"/>
  </r>
  <r>
    <n v="216880"/>
    <n v="332815.09999999998"/>
    <x v="2"/>
    <x v="167"/>
    <x v="12"/>
    <s v="DELEGATE AGENCY"/>
    <s v="UNKNOWN"/>
    <x v="0"/>
  </r>
  <r>
    <n v="216881"/>
    <n v="473109.7"/>
    <x v="2"/>
    <x v="82"/>
    <x v="12"/>
    <s v="DELEGATE AGENCY"/>
    <s v="UNKNOWN"/>
    <x v="0"/>
  </r>
  <r>
    <n v="216882"/>
    <n v="481958.2"/>
    <x v="2"/>
    <x v="199"/>
    <x v="12"/>
    <s v="DELEGATE AGENCY"/>
    <s v="UNKNOWN"/>
    <x v="0"/>
  </r>
  <r>
    <n v="216909"/>
    <n v="14430"/>
    <x v="2"/>
    <x v="372"/>
    <x v="12"/>
    <s v="DELEGATE AGENCY"/>
    <s v="UNKNOWN"/>
    <x v="0"/>
  </r>
  <r>
    <n v="216943"/>
    <n v="19719.5"/>
    <x v="4"/>
    <x v="41"/>
    <x v="8"/>
    <s v="DELEGATE AGENCY"/>
    <s v="UNKNOWN"/>
    <x v="0"/>
  </r>
  <r>
    <n v="216945"/>
    <n v="235786"/>
    <x v="4"/>
    <x v="496"/>
    <x v="8"/>
    <s v="DELEGATE AGENCY"/>
    <s v="UNKNOWN"/>
    <x v="0"/>
  </r>
  <r>
    <n v="216947"/>
    <n v="128968.1"/>
    <x v="1"/>
    <x v="296"/>
    <x v="8"/>
    <s v="DELEGATE AGENCY"/>
    <s v="UNKNOWN"/>
    <x v="0"/>
  </r>
  <r>
    <n v="216948"/>
    <n v="480000"/>
    <x v="1"/>
    <x v="363"/>
    <x v="8"/>
    <s v="DELEGATE AGENCY"/>
    <s v="UNKNOWN"/>
    <x v="0"/>
  </r>
  <r>
    <n v="216950"/>
    <n v="67484.100000000006"/>
    <x v="2"/>
    <x v="25"/>
    <x v="8"/>
    <s v="DELEGATE AGENCY"/>
    <s v="UNKNOWN"/>
    <x v="0"/>
  </r>
  <r>
    <n v="216951"/>
    <n v="28024"/>
    <x v="1"/>
    <x v="46"/>
    <x v="8"/>
    <s v="DELEGATE AGENCY"/>
    <s v="UNKNOWN"/>
    <x v="0"/>
  </r>
  <r>
    <n v="216978"/>
    <n v="483657"/>
    <x v="4"/>
    <x v="199"/>
    <x v="12"/>
    <s v="DELEGATE AGENCY"/>
    <s v="UNKNOWN"/>
    <x v="0"/>
  </r>
  <r>
    <n v="216979"/>
    <n v="5000000"/>
    <x v="2"/>
    <x v="919"/>
    <x v="2"/>
    <s v="COMPTROLLER-OTHER"/>
    <s v="UNKNOWN"/>
    <x v="0"/>
  </r>
  <r>
    <n v="216982"/>
    <n v="415752.9"/>
    <x v="0"/>
    <x v="441"/>
    <x v="12"/>
    <s v="DELEGATE AGENCY"/>
    <s v="UNKNOWN"/>
    <x v="0"/>
  </r>
  <r>
    <n v="217017"/>
    <n v="450579.5"/>
    <x v="2"/>
    <x v="445"/>
    <x v="12"/>
    <s v="DELEGATE AGENCY"/>
    <s v="UNKNOWN"/>
    <x v="0"/>
  </r>
  <r>
    <n v="217019"/>
    <n v="138000"/>
    <x v="2"/>
    <x v="199"/>
    <x v="12"/>
    <s v="DELEGATE AGENCY"/>
    <s v="UNKNOWN"/>
    <x v="0"/>
  </r>
  <r>
    <n v="217043"/>
    <n v="334078.2"/>
    <x v="1"/>
    <x v="531"/>
    <x v="12"/>
    <s v="DELEGATE AGENCY"/>
    <s v="UNKNOWN"/>
    <x v="0"/>
  </r>
  <r>
    <n v="217044"/>
    <n v="55000"/>
    <x v="2"/>
    <x v="564"/>
    <x v="8"/>
    <s v="DELEGATE AGENCY"/>
    <s v="UNKNOWN"/>
    <x v="0"/>
  </r>
  <r>
    <n v="217045"/>
    <n v="107844.2"/>
    <x v="1"/>
    <x v="170"/>
    <x v="12"/>
    <s v="DELEGATE AGENCY"/>
    <s v="UNKNOWN"/>
    <x v="0"/>
  </r>
  <r>
    <n v="217048"/>
    <n v="300997.5"/>
    <x v="1"/>
    <x v="920"/>
    <x v="12"/>
    <s v="DELEGATE AGENCY"/>
    <s v="UNKNOWN"/>
    <x v="0"/>
  </r>
  <r>
    <n v="217052"/>
    <n v="10000"/>
    <x v="2"/>
    <x v="921"/>
    <x v="16"/>
    <s v="DELEGATE AGENCY"/>
    <s v="RFP"/>
    <x v="0"/>
  </r>
  <r>
    <n v="217053"/>
    <n v="15000"/>
    <x v="4"/>
    <x v="922"/>
    <x v="16"/>
    <s v="DELEGATE AGENCY"/>
    <s v="RFP"/>
    <x v="0"/>
  </r>
  <r>
    <n v="217056"/>
    <n v="10000"/>
    <x v="4"/>
    <x v="923"/>
    <x v="16"/>
    <s v="DELEGATE AGENCY"/>
    <s v="RFP"/>
    <x v="0"/>
  </r>
  <r>
    <n v="217063"/>
    <n v="10000"/>
    <x v="4"/>
    <x v="924"/>
    <x v="16"/>
    <s v="DELEGATE AGENCY"/>
    <s v="RFP"/>
    <x v="0"/>
  </r>
  <r>
    <n v="217064"/>
    <n v="4758"/>
    <x v="4"/>
    <x v="236"/>
    <x v="16"/>
    <s v="DELEGATE AGENCY"/>
    <s v="RFP"/>
    <x v="0"/>
  </r>
  <r>
    <n v="217065"/>
    <n v="25010"/>
    <x v="3"/>
    <x v="925"/>
    <x v="16"/>
    <s v="DELEGATE AGENCY"/>
    <s v="RFP"/>
    <x v="0"/>
  </r>
  <r>
    <n v="217066"/>
    <n v="10000"/>
    <x v="4"/>
    <x v="926"/>
    <x v="16"/>
    <s v="DELEGATE AGENCY"/>
    <s v="RFP"/>
    <x v="0"/>
  </r>
  <r>
    <n v="217067"/>
    <n v="20000"/>
    <x v="4"/>
    <x v="927"/>
    <x v="16"/>
    <s v="DELEGATE AGENCY"/>
    <s v="RFP"/>
    <x v="0"/>
  </r>
  <r>
    <n v="217069"/>
    <n v="25000"/>
    <x v="4"/>
    <x v="928"/>
    <x v="16"/>
    <s v="DELEGATE AGENCY"/>
    <s v="RFP"/>
    <x v="0"/>
  </r>
  <r>
    <n v="217071"/>
    <n v="20000"/>
    <x v="4"/>
    <x v="929"/>
    <x v="16"/>
    <s v="DELEGATE AGENCY"/>
    <s v="RFP"/>
    <x v="0"/>
  </r>
  <r>
    <n v="217072"/>
    <n v="10000"/>
    <x v="4"/>
    <x v="930"/>
    <x v="16"/>
    <s v="DELEGATE AGENCY"/>
    <s v="RFP"/>
    <x v="0"/>
  </r>
  <r>
    <n v="217079"/>
    <n v="25000"/>
    <x v="4"/>
    <x v="931"/>
    <x v="16"/>
    <s v="DELEGATE AGENCY"/>
    <s v="RFP"/>
    <x v="0"/>
  </r>
  <r>
    <n v="21708"/>
    <n v="1400"/>
    <x v="4"/>
    <x v="932"/>
    <x v="1"/>
    <s v="PROPERTY LEASE"/>
    <s v="UNKNOWN"/>
    <x v="1"/>
  </r>
  <r>
    <n v="217080"/>
    <n v="18000"/>
    <x v="3"/>
    <x v="933"/>
    <x v="16"/>
    <s v="DELEGATE AGENCY"/>
    <s v="RFP"/>
    <x v="0"/>
  </r>
  <r>
    <n v="217135"/>
    <n v="16666"/>
    <x v="4"/>
    <x v="128"/>
    <x v="16"/>
    <s v="DELEGATE AGENCY"/>
    <s v="RFP"/>
    <x v="0"/>
  </r>
  <r>
    <n v="217136"/>
    <n v="16666"/>
    <x v="4"/>
    <x v="934"/>
    <x v="16"/>
    <s v="DELEGATE AGENCY"/>
    <s v="RFP"/>
    <x v="0"/>
  </r>
  <r>
    <n v="217145"/>
    <n v="16666"/>
    <x v="4"/>
    <x v="935"/>
    <x v="16"/>
    <s v="DELEGATE AGENCY"/>
    <s v="RFP"/>
    <x v="0"/>
  </r>
  <r>
    <n v="217146"/>
    <n v="16666"/>
    <x v="4"/>
    <x v="936"/>
    <x v="16"/>
    <s v="DELEGATE AGENCY"/>
    <s v="RFP"/>
    <x v="0"/>
  </r>
  <r>
    <n v="217161"/>
    <n v="16666"/>
    <x v="4"/>
    <x v="937"/>
    <x v="16"/>
    <s v="DELEGATE AGENCY"/>
    <s v="RFP"/>
    <x v="0"/>
  </r>
  <r>
    <n v="217162"/>
    <n v="16666"/>
    <x v="4"/>
    <x v="938"/>
    <x v="16"/>
    <s v="DELEGATE AGENCY"/>
    <s v="RFP"/>
    <x v="0"/>
  </r>
  <r>
    <n v="217185"/>
    <n v="25000"/>
    <x v="4"/>
    <x v="939"/>
    <x v="16"/>
    <s v="DELEGATE AGENCY"/>
    <s v="RFP"/>
    <x v="0"/>
  </r>
  <r>
    <n v="217269"/>
    <n v="9317.6"/>
    <x v="4"/>
    <x v="603"/>
    <x v="12"/>
    <s v="DELEGATE AGENCY"/>
    <s v="UNKNOWN"/>
    <x v="0"/>
  </r>
  <r>
    <n v="217286"/>
    <n v="250000"/>
    <x v="3"/>
    <x v="211"/>
    <x v="8"/>
    <s v="DELEGATE AGENCY"/>
    <s v="UNKNOWN"/>
    <x v="0"/>
  </r>
  <r>
    <n v="217287"/>
    <n v="167504.20000000001"/>
    <x v="2"/>
    <x v="24"/>
    <x v="8"/>
    <s v="DELEGATE AGENCY"/>
    <s v="UNKNOWN"/>
    <x v="0"/>
  </r>
  <r>
    <n v="217289"/>
    <n v="273024.59999999998"/>
    <x v="1"/>
    <x v="25"/>
    <x v="8"/>
    <s v="DELEGATE AGENCY"/>
    <s v="UNKNOWN"/>
    <x v="0"/>
  </r>
  <r>
    <n v="21729"/>
    <n v="68296.2"/>
    <x v="2"/>
    <x v="940"/>
    <x v="1"/>
    <s v="PROPERTY LEASE"/>
    <s v="UNKNOWN"/>
    <x v="0"/>
  </r>
  <r>
    <n v="217290"/>
    <n v="143426.20000000001"/>
    <x v="1"/>
    <x v="214"/>
    <x v="8"/>
    <s v="DELEGATE AGENCY"/>
    <s v="UNKNOWN"/>
    <x v="0"/>
  </r>
  <r>
    <n v="217291"/>
    <n v="33421.800000000003"/>
    <x v="1"/>
    <x v="296"/>
    <x v="8"/>
    <s v="DELEGATE AGENCY"/>
    <s v="UNKNOWN"/>
    <x v="0"/>
  </r>
  <r>
    <n v="217292"/>
    <n v="93002.6"/>
    <x v="4"/>
    <x v="296"/>
    <x v="8"/>
    <s v="DELEGATE AGENCY"/>
    <s v="UNKNOWN"/>
    <x v="0"/>
  </r>
  <r>
    <n v="217293"/>
    <n v="163877"/>
    <x v="1"/>
    <x v="46"/>
    <x v="8"/>
    <s v="DELEGATE AGENCY"/>
    <s v="UNKNOWN"/>
    <x v="0"/>
  </r>
  <r>
    <n v="217294"/>
    <n v="25222"/>
    <x v="1"/>
    <x v="44"/>
    <x v="8"/>
    <s v="DELEGATE AGENCY"/>
    <s v="UNKNOWN"/>
    <x v="0"/>
  </r>
  <r>
    <n v="217295"/>
    <n v="240000"/>
    <x v="4"/>
    <x v="502"/>
    <x v="8"/>
    <s v="DELEGATE AGENCY"/>
    <s v="UNKNOWN"/>
    <x v="0"/>
  </r>
  <r>
    <n v="217297"/>
    <n v="70565.8"/>
    <x v="1"/>
    <x v="49"/>
    <x v="8"/>
    <s v="DELEGATE AGENCY"/>
    <s v="UNKNOWN"/>
    <x v="0"/>
  </r>
  <r>
    <n v="217298"/>
    <n v="94023.3"/>
    <x v="1"/>
    <x v="215"/>
    <x v="8"/>
    <s v="DELEGATE AGENCY"/>
    <s v="UNKNOWN"/>
    <x v="0"/>
  </r>
  <r>
    <n v="217299"/>
    <n v="59461.599999999999"/>
    <x v="1"/>
    <x v="213"/>
    <x v="8"/>
    <s v="DELEGATE AGENCY"/>
    <s v="UNKNOWN"/>
    <x v="0"/>
  </r>
  <r>
    <n v="21730"/>
    <n v="575401.1"/>
    <x v="1"/>
    <x v="941"/>
    <x v="1"/>
    <s v="PROPERTY LEASE"/>
    <s v="UNKNOWN"/>
    <x v="0"/>
  </r>
  <r>
    <n v="217300"/>
    <n v="79380"/>
    <x v="2"/>
    <x v="211"/>
    <x v="8"/>
    <s v="DELEGATE AGENCY"/>
    <s v="UNKNOWN"/>
    <x v="0"/>
  </r>
  <r>
    <n v="217302"/>
    <n v="158597"/>
    <x v="1"/>
    <x v="212"/>
    <x v="8"/>
    <s v="DELEGATE AGENCY"/>
    <s v="UNKNOWN"/>
    <x v="0"/>
  </r>
  <r>
    <n v="217303"/>
    <n v="200000"/>
    <x v="1"/>
    <x v="24"/>
    <x v="8"/>
    <s v="DELEGATE AGENCY"/>
    <s v="UNKNOWN"/>
    <x v="0"/>
  </r>
  <r>
    <n v="217304"/>
    <n v="183537.2"/>
    <x v="1"/>
    <x v="695"/>
    <x v="8"/>
    <s v="DELEGATE AGENCY"/>
    <s v="UNKNOWN"/>
    <x v="0"/>
  </r>
  <r>
    <n v="217335"/>
    <n v="445000"/>
    <x v="1"/>
    <x v="565"/>
    <x v="8"/>
    <s v="DELEGATE AGENCY"/>
    <s v="UNKNOWN"/>
    <x v="0"/>
  </r>
  <r>
    <n v="217338"/>
    <n v="100000"/>
    <x v="2"/>
    <x v="216"/>
    <x v="8"/>
    <s v="DELEGATE AGENCY"/>
    <s v="UNKNOWN"/>
    <x v="0"/>
  </r>
  <r>
    <n v="217339"/>
    <n v="119000"/>
    <x v="1"/>
    <x v="188"/>
    <x v="8"/>
    <s v="DELEGATE AGENCY"/>
    <s v="UNKNOWN"/>
    <x v="0"/>
  </r>
  <r>
    <n v="21734"/>
    <n v="524727.5"/>
    <x v="1"/>
    <x v="942"/>
    <x v="1"/>
    <s v="PROPERTY LEASE"/>
    <s v="UNKNOWN"/>
    <x v="0"/>
  </r>
  <r>
    <n v="217340"/>
    <n v="64012.4"/>
    <x v="2"/>
    <x v="209"/>
    <x v="8"/>
    <s v="DELEGATE AGENCY"/>
    <s v="UNKNOWN"/>
    <x v="0"/>
  </r>
  <r>
    <n v="217341"/>
    <n v="72237"/>
    <x v="1"/>
    <x v="24"/>
    <x v="8"/>
    <s v="DELEGATE AGENCY"/>
    <s v="UNKNOWN"/>
    <x v="0"/>
  </r>
  <r>
    <n v="217342"/>
    <n v="240000"/>
    <x v="1"/>
    <x v="44"/>
    <x v="8"/>
    <s v="DELEGATE AGENCY"/>
    <s v="UNKNOWN"/>
    <x v="0"/>
  </r>
  <r>
    <n v="217343"/>
    <n v="400000"/>
    <x v="1"/>
    <x v="436"/>
    <x v="8"/>
    <s v="DELEGATE AGENCY"/>
    <s v="UNKNOWN"/>
    <x v="0"/>
  </r>
  <r>
    <n v="217344"/>
    <n v="240052"/>
    <x v="2"/>
    <x v="212"/>
    <x v="8"/>
    <s v="DELEGATE AGENCY"/>
    <s v="UNKNOWN"/>
    <x v="0"/>
  </r>
  <r>
    <n v="217345"/>
    <n v="39233.4"/>
    <x v="1"/>
    <x v="43"/>
    <x v="8"/>
    <s v="DELEGATE AGENCY"/>
    <s v="UNKNOWN"/>
    <x v="0"/>
  </r>
  <r>
    <n v="217346"/>
    <n v="438210.2"/>
    <x v="4"/>
    <x v="476"/>
    <x v="8"/>
    <s v="DELEGATE AGENCY"/>
    <s v="UNKNOWN"/>
    <x v="0"/>
  </r>
  <r>
    <n v="217363"/>
    <n v="450000"/>
    <x v="2"/>
    <x v="943"/>
    <x v="1"/>
    <s v="DELEGATE AGENCY"/>
    <s v="UNKNOWN"/>
    <x v="0"/>
  </r>
  <r>
    <n v="217366"/>
    <n v="242247.5"/>
    <x v="2"/>
    <x v="259"/>
    <x v="26"/>
    <s v="DELEGATE AGENCY"/>
    <s v="UNKNOWN"/>
    <x v="0"/>
  </r>
  <r>
    <n v="217367"/>
    <n v="113095.3"/>
    <x v="1"/>
    <x v="5"/>
    <x v="12"/>
    <s v="DELEGATE AGENCY"/>
    <s v="UNKNOWN"/>
    <x v="0"/>
  </r>
  <r>
    <n v="21738"/>
    <n v="1890"/>
    <x v="1"/>
    <x v="944"/>
    <x v="1"/>
    <s v="PROPERTY LEASE"/>
    <s v="UNKNOWN"/>
    <x v="0"/>
  </r>
  <r>
    <n v="217381"/>
    <n v="185597.8"/>
    <x v="3"/>
    <x v="469"/>
    <x v="8"/>
    <s v="DELEGATE AGENCY"/>
    <s v="UNKNOWN"/>
    <x v="0"/>
  </r>
  <r>
    <n v="217384"/>
    <n v="226242.8"/>
    <x v="1"/>
    <x v="67"/>
    <x v="8"/>
    <s v="DELEGATE AGENCY"/>
    <s v="UNKNOWN"/>
    <x v="0"/>
  </r>
  <r>
    <n v="217401"/>
    <n v="436362.1"/>
    <x v="1"/>
    <x v="169"/>
    <x v="12"/>
    <s v="DELEGATE AGENCY"/>
    <s v="UNKNOWN"/>
    <x v="0"/>
  </r>
  <r>
    <n v="217402"/>
    <n v="410483.9"/>
    <x v="2"/>
    <x v="444"/>
    <x v="12"/>
    <s v="DELEGATE AGENCY"/>
    <s v="UNKNOWN"/>
    <x v="0"/>
  </r>
  <r>
    <n v="217403"/>
    <n v="368698.4"/>
    <x v="2"/>
    <x v="359"/>
    <x v="12"/>
    <s v="DELEGATE AGENCY"/>
    <s v="UNKNOWN"/>
    <x v="0"/>
  </r>
  <r>
    <n v="217404"/>
    <n v="882202"/>
    <x v="2"/>
    <x v="201"/>
    <x v="12"/>
    <s v="DELEGATE AGENCY"/>
    <s v="UNKNOWN"/>
    <x v="0"/>
  </r>
  <r>
    <n v="21741"/>
    <n v="180432"/>
    <x v="2"/>
    <x v="945"/>
    <x v="1"/>
    <s v="PROPERTY LEASE"/>
    <s v="UNKNOWN"/>
    <x v="0"/>
  </r>
  <r>
    <n v="21747"/>
    <n v="2769688.6"/>
    <x v="1"/>
    <x v="946"/>
    <x v="1"/>
    <s v="PROPERTY LEASE"/>
    <s v="UNKNOWN"/>
    <x v="0"/>
  </r>
  <r>
    <n v="217506"/>
    <n v="273207.8"/>
    <x v="0"/>
    <x v="280"/>
    <x v="8"/>
    <s v="DELEGATE AGENCY"/>
    <s v="UNKNOWN"/>
    <x v="0"/>
  </r>
  <r>
    <n v="217507"/>
    <n v="50822"/>
    <x v="2"/>
    <x v="47"/>
    <x v="8"/>
    <s v="DELEGATE AGENCY"/>
    <s v="UNKNOWN"/>
    <x v="0"/>
  </r>
  <r>
    <n v="217513"/>
    <n v="321965"/>
    <x v="1"/>
    <x v="947"/>
    <x v="1"/>
    <s v="DELEGATE AGENCY"/>
    <s v="UNKNOWN"/>
    <x v="0"/>
  </r>
  <r>
    <n v="217514"/>
    <n v="452566.39999999898"/>
    <x v="2"/>
    <x v="642"/>
    <x v="3"/>
    <s v="SOFTWARE"/>
    <s v="UNKNOWN"/>
    <x v="0"/>
  </r>
  <r>
    <n v="217523"/>
    <n v="637538.4"/>
    <x v="2"/>
    <x v="280"/>
    <x v="8"/>
    <s v="DELEGATE AGENCY"/>
    <s v="UNKNOWN"/>
    <x v="0"/>
  </r>
  <r>
    <n v="217524"/>
    <n v="214802.1"/>
    <x v="2"/>
    <x v="190"/>
    <x v="8"/>
    <s v="DELEGATE AGENCY"/>
    <s v="UNKNOWN"/>
    <x v="0"/>
  </r>
  <r>
    <n v="217608"/>
    <n v="78673.7"/>
    <x v="1"/>
    <x v="948"/>
    <x v="19"/>
    <s v="DELEGATE AGENCY"/>
    <s v="UNKNOWN"/>
    <x v="0"/>
  </r>
  <r>
    <n v="217609"/>
    <n v="63000"/>
    <x v="1"/>
    <x v="563"/>
    <x v="8"/>
    <s v="DELEGATE AGENCY"/>
    <s v="UNKNOWN"/>
    <x v="0"/>
  </r>
  <r>
    <n v="217647"/>
    <n v="2229517.4"/>
    <x v="1"/>
    <x v="297"/>
    <x v="12"/>
    <s v="DELEGATE AGENCY"/>
    <s v="UNKNOWN"/>
    <x v="0"/>
  </r>
  <r>
    <n v="21773"/>
    <n v="3046087.2"/>
    <x v="0"/>
    <x v="946"/>
    <x v="1"/>
    <s v="PROPERTY LEASE"/>
    <s v="UNKNOWN"/>
    <x v="0"/>
  </r>
  <r>
    <n v="21774"/>
    <n v="567636"/>
    <x v="0"/>
    <x v="949"/>
    <x v="1"/>
    <s v="PROPERTY LEASE"/>
    <s v="UNKNOWN"/>
    <x v="0"/>
  </r>
  <r>
    <n v="217753"/>
    <n v="84300000"/>
    <x v="2"/>
    <x v="950"/>
    <x v="9"/>
    <s v="COMPTROLLER-OTHER"/>
    <s v="UNKNOWN"/>
    <x v="0"/>
  </r>
  <r>
    <n v="217770"/>
    <n v="1754400"/>
    <x v="0"/>
    <x v="351"/>
    <x v="12"/>
    <s v="DELEGATE AGENCY"/>
    <s v="UNKNOWN"/>
    <x v="0"/>
  </r>
  <r>
    <n v="21780"/>
    <n v="445574"/>
    <x v="0"/>
    <x v="951"/>
    <x v="1"/>
    <s v="PROPERTY LEASE"/>
    <s v="UNKNOWN"/>
    <x v="0"/>
  </r>
  <r>
    <n v="217801"/>
    <n v="62950.5"/>
    <x v="2"/>
    <x v="89"/>
    <x v="12"/>
    <s v="DELEGATE AGENCY"/>
    <s v="UNKNOWN"/>
    <x v="0"/>
  </r>
  <r>
    <n v="217812"/>
    <n v="19600"/>
    <x v="1"/>
    <x v="59"/>
    <x v="12"/>
    <s v="DELEGATE AGENCY"/>
    <s v="UNKNOWN"/>
    <x v="0"/>
  </r>
  <r>
    <n v="217850"/>
    <n v="103500"/>
    <x v="4"/>
    <x v="578"/>
    <x v="12"/>
    <s v="DELEGATE AGENCY"/>
    <s v="UNKNOWN"/>
    <x v="0"/>
  </r>
  <r>
    <n v="217887"/>
    <n v="125000"/>
    <x v="1"/>
    <x v="341"/>
    <x v="12"/>
    <s v="DELEGATE AGENCY"/>
    <s v="UNKNOWN"/>
    <x v="0"/>
  </r>
  <r>
    <n v="217899"/>
    <n v="2645279"/>
    <x v="1"/>
    <x v="952"/>
    <x v="2"/>
    <s v="COMPTROLLER-OTHER"/>
    <s v="UNKNOWN"/>
    <x v="0"/>
  </r>
  <r>
    <n v="217901"/>
    <n v="2001441"/>
    <x v="0"/>
    <x v="953"/>
    <x v="6"/>
    <s v="COMPTROLLER-OTHER"/>
    <s v="UNKNOWN"/>
    <x v="0"/>
  </r>
  <r>
    <n v="217904"/>
    <n v="24750"/>
    <x v="0"/>
    <x v="954"/>
    <x v="24"/>
    <s v="DEMOLITION"/>
    <s v="EMERGENCY"/>
    <x v="0"/>
  </r>
  <r>
    <n v="217916"/>
    <n v="88906.6"/>
    <x v="4"/>
    <x v="202"/>
    <x v="12"/>
    <s v="DELEGATE AGENCY"/>
    <s v="UNKNOWN"/>
    <x v="0"/>
  </r>
  <r>
    <n v="217920"/>
    <n v="300000"/>
    <x v="1"/>
    <x v="188"/>
    <x v="1"/>
    <s v="DELEGATE AGENCY"/>
    <s v="UNKNOWN"/>
    <x v="0"/>
  </r>
  <r>
    <n v="217951"/>
    <n v="246411.7"/>
    <x v="2"/>
    <x v="449"/>
    <x v="12"/>
    <s v="DELEGATE AGENCY"/>
    <s v="UNKNOWN"/>
    <x v="0"/>
  </r>
  <r>
    <n v="217956"/>
    <n v="105157"/>
    <x v="1"/>
    <x v="955"/>
    <x v="1"/>
    <s v="PROPERTY LEASE"/>
    <s v="UNKNOWN"/>
    <x v="0"/>
  </r>
  <r>
    <n v="217957"/>
    <n v="347204.8"/>
    <x v="1"/>
    <x v="188"/>
    <x v="8"/>
    <s v="DELEGATE AGENCY"/>
    <s v="UNKNOWN"/>
    <x v="0"/>
  </r>
  <r>
    <n v="217959"/>
    <n v="110000"/>
    <x v="2"/>
    <x v="948"/>
    <x v="19"/>
    <s v="DELEGATE AGENCY"/>
    <s v="RFP"/>
    <x v="0"/>
  </r>
  <r>
    <n v="217960"/>
    <n v="60000"/>
    <x v="1"/>
    <x v="314"/>
    <x v="19"/>
    <s v="DELEGATE AGENCY"/>
    <s v="RFP"/>
    <x v="0"/>
  </r>
  <r>
    <n v="217961"/>
    <n v="80000"/>
    <x v="1"/>
    <x v="956"/>
    <x v="19"/>
    <s v="DELEGATE AGENCY"/>
    <s v="RFP"/>
    <x v="0"/>
  </r>
  <r>
    <n v="217962"/>
    <n v="80000"/>
    <x v="1"/>
    <x v="222"/>
    <x v="19"/>
    <s v="DELEGATE AGENCY"/>
    <s v="RFP"/>
    <x v="0"/>
  </r>
  <r>
    <n v="217963"/>
    <n v="110000"/>
    <x v="1"/>
    <x v="887"/>
    <x v="21"/>
    <s v="DELEGATE AGENCY"/>
    <s v="RFP"/>
    <x v="0"/>
  </r>
  <r>
    <n v="217964"/>
    <n v="60000"/>
    <x v="1"/>
    <x v="957"/>
    <x v="21"/>
    <s v="DELEGATE AGENCY"/>
    <s v="RFP"/>
    <x v="0"/>
  </r>
  <r>
    <n v="217965"/>
    <n v="50000"/>
    <x v="1"/>
    <x v="377"/>
    <x v="19"/>
    <s v="DELEGATE AGENCY"/>
    <s v="RFP"/>
    <x v="0"/>
  </r>
  <r>
    <n v="217966"/>
    <n v="80000"/>
    <x v="1"/>
    <x v="958"/>
    <x v="21"/>
    <s v="DELEGATE AGENCY"/>
    <s v="RFP"/>
    <x v="0"/>
  </r>
  <r>
    <n v="217967"/>
    <n v="40000"/>
    <x v="1"/>
    <x v="959"/>
    <x v="21"/>
    <s v="DELEGATE AGENCY"/>
    <s v="RFP"/>
    <x v="0"/>
  </r>
  <r>
    <n v="217968"/>
    <n v="50000"/>
    <x v="4"/>
    <x v="960"/>
    <x v="21"/>
    <s v="DELEGATE AGENCY"/>
    <s v="RFP"/>
    <x v="0"/>
  </r>
  <r>
    <n v="217969"/>
    <n v="128454"/>
    <x v="1"/>
    <x v="961"/>
    <x v="21"/>
    <s v="DELEGATE AGENCY"/>
    <s v="RFP"/>
    <x v="0"/>
  </r>
  <r>
    <n v="217970"/>
    <n v="100000"/>
    <x v="1"/>
    <x v="962"/>
    <x v="19"/>
    <s v="DELEGATE AGENCY"/>
    <s v="RFP"/>
    <x v="0"/>
  </r>
  <r>
    <n v="217971"/>
    <n v="110000"/>
    <x v="1"/>
    <x v="910"/>
    <x v="19"/>
    <s v="DELEGATE AGENCY"/>
    <s v="RFP"/>
    <x v="0"/>
  </r>
  <r>
    <n v="217972"/>
    <n v="80000"/>
    <x v="1"/>
    <x v="963"/>
    <x v="21"/>
    <s v="DELEGATE AGENCY"/>
    <s v="RFP"/>
    <x v="0"/>
  </r>
  <r>
    <n v="217973"/>
    <n v="110000"/>
    <x v="1"/>
    <x v="391"/>
    <x v="21"/>
    <s v="DELEGATE AGENCY"/>
    <s v="RFP"/>
    <x v="0"/>
  </r>
  <r>
    <n v="217974"/>
    <n v="110000"/>
    <x v="1"/>
    <x v="401"/>
    <x v="19"/>
    <s v="DELEGATE AGENCY"/>
    <s v="RFP"/>
    <x v="0"/>
  </r>
  <r>
    <n v="217975"/>
    <n v="60000"/>
    <x v="1"/>
    <x v="876"/>
    <x v="21"/>
    <s v="DELEGATE AGENCY"/>
    <s v="RFP"/>
    <x v="0"/>
  </r>
  <r>
    <n v="217976"/>
    <n v="40000"/>
    <x v="1"/>
    <x v="964"/>
    <x v="19"/>
    <s v="DELEGATE AGENCY"/>
    <s v="RFP"/>
    <x v="0"/>
  </r>
  <r>
    <n v="217977"/>
    <n v="90000"/>
    <x v="4"/>
    <x v="965"/>
    <x v="19"/>
    <s v="DELEGATE AGENCY"/>
    <s v="RFP"/>
    <x v="0"/>
  </r>
  <r>
    <n v="217978"/>
    <n v="40000"/>
    <x v="1"/>
    <x v="232"/>
    <x v="19"/>
    <s v="DELEGATE AGENCY"/>
    <s v="RFP"/>
    <x v="0"/>
  </r>
  <r>
    <n v="217979"/>
    <n v="80000"/>
    <x v="4"/>
    <x v="966"/>
    <x v="21"/>
    <s v="DELEGATE AGENCY"/>
    <s v="RFP"/>
    <x v="0"/>
  </r>
  <r>
    <n v="217980"/>
    <n v="80000"/>
    <x v="1"/>
    <x v="967"/>
    <x v="19"/>
    <s v="DELEGATE AGENCY"/>
    <s v="RFP"/>
    <x v="0"/>
  </r>
  <r>
    <n v="217981"/>
    <n v="80000"/>
    <x v="1"/>
    <x v="379"/>
    <x v="21"/>
    <s v="DELEGATE AGENCY"/>
    <s v="RFP"/>
    <x v="0"/>
  </r>
  <r>
    <n v="217982"/>
    <n v="60000"/>
    <x v="1"/>
    <x v="968"/>
    <x v="21"/>
    <s v="DELEGATE AGENCY"/>
    <s v="RFP"/>
    <x v="0"/>
  </r>
  <r>
    <n v="217983"/>
    <n v="53576"/>
    <x v="1"/>
    <x v="969"/>
    <x v="21"/>
    <s v="DELEGATE AGENCY"/>
    <s v="RFP"/>
    <x v="0"/>
  </r>
  <r>
    <n v="217984"/>
    <n v="60000"/>
    <x v="1"/>
    <x v="378"/>
    <x v="21"/>
    <s v="DELEGATE AGENCY"/>
    <s v="RFP"/>
    <x v="0"/>
  </r>
  <r>
    <n v="217986"/>
    <n v="40000"/>
    <x v="1"/>
    <x v="376"/>
    <x v="21"/>
    <s v="DELEGATE AGENCY"/>
    <s v="RFP"/>
    <x v="0"/>
  </r>
  <r>
    <n v="217987"/>
    <n v="40000"/>
    <x v="4"/>
    <x v="452"/>
    <x v="19"/>
    <s v="DELEGATE AGENCY"/>
    <s v="RFP"/>
    <x v="0"/>
  </r>
  <r>
    <n v="217988"/>
    <n v="80000"/>
    <x v="4"/>
    <x v="876"/>
    <x v="21"/>
    <s v="DELEGATE AGENCY"/>
    <s v="RFP"/>
    <x v="0"/>
  </r>
  <r>
    <n v="217989"/>
    <n v="50000"/>
    <x v="1"/>
    <x v="222"/>
    <x v="19"/>
    <s v="DELEGATE AGENCY"/>
    <s v="RFP"/>
    <x v="0"/>
  </r>
  <r>
    <n v="217990"/>
    <n v="50000"/>
    <x v="1"/>
    <x v="204"/>
    <x v="19"/>
    <s v="DELEGATE AGENCY"/>
    <s v="RFP"/>
    <x v="0"/>
  </r>
  <r>
    <n v="217991"/>
    <n v="80000"/>
    <x v="1"/>
    <x v="960"/>
    <x v="21"/>
    <s v="DELEGATE AGENCY"/>
    <s v="RFP"/>
    <x v="0"/>
  </r>
  <r>
    <n v="217992"/>
    <n v="80000"/>
    <x v="1"/>
    <x v="220"/>
    <x v="21"/>
    <s v="DELEGATE AGENCY"/>
    <s v="RFP"/>
    <x v="0"/>
  </r>
  <r>
    <n v="217993"/>
    <n v="50000"/>
    <x v="1"/>
    <x v="390"/>
    <x v="21"/>
    <s v="DELEGATE AGENCY"/>
    <s v="RFP"/>
    <x v="0"/>
  </r>
  <r>
    <n v="217994"/>
    <n v="80000"/>
    <x v="1"/>
    <x v="970"/>
    <x v="21"/>
    <s v="DELEGATE AGENCY"/>
    <s v="RFP"/>
    <x v="0"/>
  </r>
  <r>
    <n v="217996"/>
    <n v="40000"/>
    <x v="1"/>
    <x v="970"/>
    <x v="21"/>
    <s v="DELEGATE AGENCY"/>
    <s v="RFP"/>
    <x v="0"/>
  </r>
  <r>
    <n v="217997"/>
    <n v="60000"/>
    <x v="4"/>
    <x v="220"/>
    <x v="19"/>
    <s v="DELEGATE AGENCY"/>
    <s v="RFP"/>
    <x v="0"/>
  </r>
  <r>
    <n v="217998"/>
    <n v="40000"/>
    <x v="1"/>
    <x v="971"/>
    <x v="21"/>
    <s v="DELEGATE AGENCY"/>
    <s v="RFP"/>
    <x v="0"/>
  </r>
  <r>
    <n v="218000"/>
    <n v="60000"/>
    <x v="4"/>
    <x v="354"/>
    <x v="21"/>
    <s v="DELEGATE AGENCY"/>
    <s v="RFP"/>
    <x v="0"/>
  </r>
  <r>
    <n v="218001"/>
    <n v="40000"/>
    <x v="1"/>
    <x v="390"/>
    <x v="21"/>
    <s v="DELEGATE AGENCY"/>
    <s v="RFP"/>
    <x v="0"/>
  </r>
  <r>
    <n v="218002"/>
    <n v="40000"/>
    <x v="4"/>
    <x v="392"/>
    <x v="21"/>
    <s v="DELEGATE AGENCY"/>
    <s v="RFP"/>
    <x v="0"/>
  </r>
  <r>
    <n v="218003"/>
    <n v="50000"/>
    <x v="4"/>
    <x v="327"/>
    <x v="21"/>
    <s v="DELEGATE AGENCY"/>
    <s v="RFP"/>
    <x v="0"/>
  </r>
  <r>
    <n v="218004"/>
    <n v="80000"/>
    <x v="1"/>
    <x v="972"/>
    <x v="21"/>
    <s v="DELEGATE AGENCY"/>
    <s v="RFP"/>
    <x v="0"/>
  </r>
  <r>
    <n v="218005"/>
    <n v="40000"/>
    <x v="1"/>
    <x v="228"/>
    <x v="19"/>
    <s v="DELEGATE AGENCY"/>
    <s v="RFP"/>
    <x v="0"/>
  </r>
  <r>
    <n v="218006"/>
    <n v="60000"/>
    <x v="4"/>
    <x v="910"/>
    <x v="21"/>
    <s v="DELEGATE AGENCY"/>
    <s v="RFP"/>
    <x v="0"/>
  </r>
  <r>
    <n v="218007"/>
    <n v="50000"/>
    <x v="1"/>
    <x v="204"/>
    <x v="21"/>
    <s v="DELEGATE AGENCY"/>
    <s v="RFP"/>
    <x v="0"/>
  </r>
  <r>
    <n v="218008"/>
    <n v="40000"/>
    <x v="1"/>
    <x v="221"/>
    <x v="19"/>
    <s v="DELEGATE AGENCY"/>
    <s v="RFP"/>
    <x v="0"/>
  </r>
  <r>
    <n v="218009"/>
    <n v="80000"/>
    <x v="4"/>
    <x v="380"/>
    <x v="21"/>
    <s v="DELEGATE AGENCY"/>
    <s v="RFP"/>
    <x v="0"/>
  </r>
  <r>
    <n v="218010"/>
    <n v="60000"/>
    <x v="1"/>
    <x v="973"/>
    <x v="21"/>
    <s v="DELEGATE AGENCY"/>
    <s v="RFP"/>
    <x v="0"/>
  </r>
  <r>
    <n v="218011"/>
    <n v="60000"/>
    <x v="1"/>
    <x v="473"/>
    <x v="19"/>
    <s v="DELEGATE AGENCY"/>
    <s v="RFP"/>
    <x v="0"/>
  </r>
  <r>
    <n v="218012"/>
    <n v="100000"/>
    <x v="1"/>
    <x v="974"/>
    <x v="19"/>
    <s v="DELEGATE AGENCY"/>
    <s v="RFP"/>
    <x v="0"/>
  </r>
  <r>
    <n v="218013"/>
    <n v="110000"/>
    <x v="1"/>
    <x v="686"/>
    <x v="19"/>
    <s v="DELEGATE AGENCY"/>
    <s v="RFP"/>
    <x v="0"/>
  </r>
  <r>
    <n v="218014"/>
    <n v="80000"/>
    <x v="1"/>
    <x v="975"/>
    <x v="21"/>
    <s v="DELEGATE AGENCY"/>
    <s v="RFP"/>
    <x v="0"/>
  </r>
  <r>
    <n v="218015"/>
    <n v="100000"/>
    <x v="1"/>
    <x v="390"/>
    <x v="21"/>
    <s v="DELEGATE AGENCY"/>
    <s v="RFP"/>
    <x v="0"/>
  </r>
  <r>
    <n v="218016"/>
    <n v="80000"/>
    <x v="1"/>
    <x v="976"/>
    <x v="21"/>
    <s v="DELEGATE AGENCY"/>
    <s v="RFP"/>
    <x v="0"/>
  </r>
  <r>
    <n v="218017"/>
    <n v="80000"/>
    <x v="1"/>
    <x v="977"/>
    <x v="21"/>
    <s v="DELEGATE AGENCY"/>
    <s v="RFP"/>
    <x v="0"/>
  </r>
  <r>
    <n v="218020"/>
    <n v="110000"/>
    <x v="1"/>
    <x v="978"/>
    <x v="21"/>
    <s v="DELEGATE AGENCY"/>
    <s v="RFP"/>
    <x v="0"/>
  </r>
  <r>
    <n v="218021"/>
    <n v="60000"/>
    <x v="1"/>
    <x v="910"/>
    <x v="21"/>
    <s v="DELEGATE AGENCY"/>
    <s v="RFP"/>
    <x v="0"/>
  </r>
  <r>
    <n v="218022"/>
    <n v="50000"/>
    <x v="1"/>
    <x v="204"/>
    <x v="21"/>
    <s v="DELEGATE AGENCY"/>
    <s v="RFP"/>
    <x v="0"/>
  </r>
  <r>
    <n v="218023"/>
    <n v="25000"/>
    <x v="1"/>
    <x v="907"/>
    <x v="21"/>
    <s v="DELEGATE AGENCY"/>
    <s v="RFP"/>
    <x v="0"/>
  </r>
  <r>
    <n v="218024"/>
    <n v="80000"/>
    <x v="4"/>
    <x v="959"/>
    <x v="21"/>
    <s v="DELEGATE AGENCY"/>
    <s v="RFP"/>
    <x v="0"/>
  </r>
  <r>
    <n v="218025"/>
    <n v="100000"/>
    <x v="1"/>
    <x v="979"/>
    <x v="21"/>
    <s v="DELEGATE AGENCY"/>
    <s v="RFP"/>
    <x v="0"/>
  </r>
  <r>
    <n v="218026"/>
    <n v="40000"/>
    <x v="1"/>
    <x v="980"/>
    <x v="21"/>
    <s v="DELEGATE AGENCY"/>
    <s v="RFP"/>
    <x v="0"/>
  </r>
  <r>
    <n v="218027"/>
    <n v="110000"/>
    <x v="4"/>
    <x v="322"/>
    <x v="19"/>
    <s v="DELEGATE AGENCY"/>
    <s v="RFP"/>
    <x v="0"/>
  </r>
  <r>
    <n v="218028"/>
    <n v="50000"/>
    <x v="1"/>
    <x v="377"/>
    <x v="19"/>
    <s v="DELEGATE AGENCY"/>
    <s v="RFP"/>
    <x v="0"/>
  </r>
  <r>
    <n v="218029"/>
    <n v="75000"/>
    <x v="1"/>
    <x v="910"/>
    <x v="21"/>
    <s v="DELEGATE AGENCY"/>
    <s v="RFP"/>
    <x v="0"/>
  </r>
  <r>
    <n v="218030"/>
    <n v="80000"/>
    <x v="1"/>
    <x v="392"/>
    <x v="21"/>
    <s v="DELEGATE AGENCY"/>
    <s v="RFP"/>
    <x v="0"/>
  </r>
  <r>
    <n v="218031"/>
    <n v="110000"/>
    <x v="1"/>
    <x v="957"/>
    <x v="21"/>
    <s v="DELEGATE AGENCY"/>
    <s v="RFP"/>
    <x v="0"/>
  </r>
  <r>
    <n v="218032"/>
    <n v="75000"/>
    <x v="1"/>
    <x v="981"/>
    <x v="21"/>
    <s v="DELEGATE AGENCY"/>
    <s v="RFP"/>
    <x v="0"/>
  </r>
  <r>
    <n v="218033"/>
    <n v="60000"/>
    <x v="1"/>
    <x v="982"/>
    <x v="21"/>
    <s v="DELEGATE AGENCY"/>
    <s v="RFP"/>
    <x v="0"/>
  </r>
  <r>
    <n v="218034"/>
    <n v="80000"/>
    <x v="1"/>
    <x v="968"/>
    <x v="21"/>
    <s v="DELEGATE AGENCY"/>
    <s v="RFP"/>
    <x v="0"/>
  </r>
  <r>
    <n v="218035"/>
    <n v="50000"/>
    <x v="1"/>
    <x v="974"/>
    <x v="21"/>
    <s v="DELEGATE AGENCY"/>
    <s v="RFP"/>
    <x v="0"/>
  </r>
  <r>
    <n v="218036"/>
    <n v="80000"/>
    <x v="1"/>
    <x v="983"/>
    <x v="21"/>
    <s v="DELEGATE AGENCY"/>
    <s v="RFP"/>
    <x v="0"/>
  </r>
  <r>
    <n v="218037"/>
    <n v="40000"/>
    <x v="1"/>
    <x v="219"/>
    <x v="19"/>
    <s v="DELEGATE AGENCY"/>
    <s v="RFP"/>
    <x v="0"/>
  </r>
  <r>
    <n v="218038"/>
    <n v="40000"/>
    <x v="4"/>
    <x v="683"/>
    <x v="21"/>
    <s v="DELEGATE AGENCY"/>
    <s v="RFP"/>
    <x v="0"/>
  </r>
  <r>
    <n v="218039"/>
    <n v="50000"/>
    <x v="4"/>
    <x v="984"/>
    <x v="19"/>
    <s v="DELEGATE AGENCY"/>
    <s v="RFP"/>
    <x v="0"/>
  </r>
  <r>
    <n v="218040"/>
    <n v="110000"/>
    <x v="1"/>
    <x v="223"/>
    <x v="21"/>
    <s v="DELEGATE AGENCY"/>
    <s v="RFP"/>
    <x v="0"/>
  </r>
  <r>
    <n v="218041"/>
    <n v="40000"/>
    <x v="1"/>
    <x v="985"/>
    <x v="21"/>
    <s v="DELEGATE AGENCY"/>
    <s v="RFP"/>
    <x v="0"/>
  </r>
  <r>
    <n v="218042"/>
    <n v="50000"/>
    <x v="4"/>
    <x v="962"/>
    <x v="21"/>
    <s v="DELEGATE AGENCY"/>
    <s v="RFP"/>
    <x v="0"/>
  </r>
  <r>
    <n v="218043"/>
    <n v="40000"/>
    <x v="1"/>
    <x v="986"/>
    <x v="21"/>
    <s v="DELEGATE AGENCY"/>
    <s v="RFP"/>
    <x v="1"/>
  </r>
  <r>
    <n v="218045"/>
    <n v="110000"/>
    <x v="4"/>
    <x v="219"/>
    <x v="19"/>
    <s v="DELEGATE AGENCY"/>
    <s v="RFP"/>
    <x v="0"/>
  </r>
  <r>
    <n v="218046"/>
    <n v="60000"/>
    <x v="1"/>
    <x v="987"/>
    <x v="21"/>
    <s v="DELEGATE AGENCY"/>
    <s v="RFP"/>
    <x v="0"/>
  </r>
  <r>
    <n v="218047"/>
    <n v="40000"/>
    <x v="1"/>
    <x v="988"/>
    <x v="21"/>
    <s v="DELEGATE AGENCY"/>
    <s v="RFP"/>
    <x v="0"/>
  </r>
  <r>
    <n v="218048"/>
    <n v="100000"/>
    <x v="4"/>
    <x v="989"/>
    <x v="19"/>
    <s v="DELEGATE AGENCY"/>
    <s v="RFP"/>
    <x v="0"/>
  </r>
  <r>
    <n v="218049"/>
    <n v="40000"/>
    <x v="1"/>
    <x v="990"/>
    <x v="21"/>
    <s v="DELEGATE AGENCY"/>
    <s v="RFP"/>
    <x v="0"/>
  </r>
  <r>
    <n v="218050"/>
    <n v="40000"/>
    <x v="4"/>
    <x v="907"/>
    <x v="21"/>
    <s v="DELEGATE AGENCY"/>
    <s v="RFP"/>
    <x v="0"/>
  </r>
  <r>
    <n v="218051"/>
    <n v="96804"/>
    <x v="4"/>
    <x v="990"/>
    <x v="21"/>
    <s v="DELEGATE AGENCY"/>
    <s v="RFP"/>
    <x v="0"/>
  </r>
  <r>
    <n v="218052"/>
    <n v="20000"/>
    <x v="1"/>
    <x v="907"/>
    <x v="21"/>
    <s v="DELEGATE AGENCY"/>
    <s v="RFP"/>
    <x v="0"/>
  </r>
  <r>
    <n v="218053"/>
    <n v="100000"/>
    <x v="4"/>
    <x v="991"/>
    <x v="21"/>
    <s v="DELEGATE AGENCY"/>
    <s v="RFP"/>
    <x v="0"/>
  </r>
  <r>
    <n v="218054"/>
    <n v="20000"/>
    <x v="1"/>
    <x v="992"/>
    <x v="21"/>
    <s v="DELEGATE AGENCY"/>
    <s v="RFP"/>
    <x v="0"/>
  </r>
  <r>
    <n v="218143"/>
    <n v="5490629"/>
    <x v="4"/>
    <x v="558"/>
    <x v="12"/>
    <s v="DELEGATE AGENCY"/>
    <s v="UNKNOWN"/>
    <x v="0"/>
  </r>
  <r>
    <n v="218239"/>
    <n v="9552.6"/>
    <x v="0"/>
    <x v="59"/>
    <x v="12"/>
    <s v="DELEGATE AGENCY"/>
    <s v="UNKNOWN"/>
    <x v="0"/>
  </r>
  <r>
    <n v="218258"/>
    <n v="252000"/>
    <x v="3"/>
    <x v="993"/>
    <x v="31"/>
    <s v="PRO SERV CONSULTING UNDER $250,000"/>
    <s v="UNKNOWN"/>
    <x v="0"/>
  </r>
  <r>
    <n v="218390"/>
    <n v="225345.9"/>
    <x v="2"/>
    <x v="947"/>
    <x v="8"/>
    <s v="DELEGATE AGENCY"/>
    <s v="UNKNOWN"/>
    <x v="0"/>
  </r>
  <r>
    <n v="218391"/>
    <n v="299999.8"/>
    <x v="1"/>
    <x v="188"/>
    <x v="8"/>
    <s v="DELEGATE AGENCY"/>
    <s v="UNKNOWN"/>
    <x v="0"/>
  </r>
  <r>
    <n v="218471"/>
    <n v="1300000"/>
    <x v="2"/>
    <x v="66"/>
    <x v="12"/>
    <s v="DELEGATE AGENCY"/>
    <s v="UNKNOWN"/>
    <x v="0"/>
  </r>
  <r>
    <n v="218472"/>
    <n v="1163538"/>
    <x v="0"/>
    <x v="315"/>
    <x v="12"/>
    <s v="DELEGATE AGENCY"/>
    <s v="UNKNOWN"/>
    <x v="0"/>
  </r>
  <r>
    <n v="218475"/>
    <n v="1073616"/>
    <x v="0"/>
    <x v="593"/>
    <x v="12"/>
    <s v="DELEGATE AGENCY"/>
    <s v="UNKNOWN"/>
    <x v="0"/>
  </r>
  <r>
    <n v="218476"/>
    <n v="862846"/>
    <x v="0"/>
    <x v="40"/>
    <x v="12"/>
    <s v="DELEGATE AGENCY"/>
    <s v="RFP"/>
    <x v="0"/>
  </r>
  <r>
    <n v="218497"/>
    <n v="23669307.699999999"/>
    <x v="2"/>
    <x v="0"/>
    <x v="0"/>
    <s v="CONSTRUCTION-LARGE $3MILLIONorABOVE"/>
    <s v="BID"/>
    <x v="0"/>
  </r>
  <r>
    <n v="218571"/>
    <n v="286399.40000000002"/>
    <x v="0"/>
    <x v="228"/>
    <x v="8"/>
    <s v="DELEGATE AGENCY"/>
    <s v="UNKNOWN"/>
    <x v="0"/>
  </r>
  <r>
    <n v="218572"/>
    <n v="195670.7"/>
    <x v="2"/>
    <x v="465"/>
    <x v="8"/>
    <s v="DELEGATE AGENCY"/>
    <s v="UNKNOWN"/>
    <x v="0"/>
  </r>
  <r>
    <n v="218573"/>
    <n v="171920"/>
    <x v="1"/>
    <x v="323"/>
    <x v="12"/>
    <s v="DELEGATE AGENCY"/>
    <s v="UNKNOWN"/>
    <x v="0"/>
  </r>
  <r>
    <n v="218574"/>
    <n v="17156"/>
    <x v="1"/>
    <x v="534"/>
    <x v="12"/>
    <s v="DELEGATE AGENCY"/>
    <s v="UNKNOWN"/>
    <x v="0"/>
  </r>
  <r>
    <n v="218579"/>
    <n v="28371.4"/>
    <x v="4"/>
    <x v="59"/>
    <x v="12"/>
    <s v="DELEGATE AGENCY"/>
    <s v="UNKNOWN"/>
    <x v="0"/>
  </r>
  <r>
    <n v="218580"/>
    <n v="12000"/>
    <x v="4"/>
    <x v="59"/>
    <x v="12"/>
    <s v="DELEGATE AGENCY"/>
    <s v="UNKNOWN"/>
    <x v="0"/>
  </r>
  <r>
    <n v="218581"/>
    <n v="7299.5"/>
    <x v="4"/>
    <x v="59"/>
    <x v="12"/>
    <s v="DELEGATE AGENCY"/>
    <s v="UNKNOWN"/>
    <x v="0"/>
  </r>
  <r>
    <n v="218582"/>
    <n v="15000"/>
    <x v="3"/>
    <x v="322"/>
    <x v="16"/>
    <s v="DELEGATE AGENCY"/>
    <s v="RFP"/>
    <x v="0"/>
  </r>
  <r>
    <n v="218583"/>
    <n v="23768"/>
    <x v="4"/>
    <x v="59"/>
    <x v="12"/>
    <s v="DELEGATE AGENCY"/>
    <s v="UNKNOWN"/>
    <x v="0"/>
  </r>
  <r>
    <n v="218585"/>
    <n v="73600"/>
    <x v="4"/>
    <x v="994"/>
    <x v="32"/>
    <s v="COMMODITIES"/>
    <s v="BID"/>
    <x v="0"/>
  </r>
  <r>
    <n v="218586"/>
    <n v="10000"/>
    <x v="1"/>
    <x v="995"/>
    <x v="16"/>
    <s v="DELEGATE AGENCY"/>
    <s v="RFP"/>
    <x v="0"/>
  </r>
  <r>
    <n v="218587"/>
    <n v="10000"/>
    <x v="4"/>
    <x v="996"/>
    <x v="16"/>
    <s v="DELEGATE AGENCY"/>
    <s v="RFP"/>
    <x v="0"/>
  </r>
  <r>
    <n v="21859"/>
    <n v="3963710.1"/>
    <x v="4"/>
    <x v="997"/>
    <x v="3"/>
    <s v="VEHICLES/HEAVY EQUIPMENT (CAPITAL)"/>
    <s v="BID"/>
    <x v="0"/>
  </r>
  <r>
    <n v="218597"/>
    <n v="935000"/>
    <x v="0"/>
    <x v="565"/>
    <x v="8"/>
    <s v="DELEGATE AGENCY"/>
    <s v="UNKNOWN"/>
    <x v="0"/>
  </r>
  <r>
    <n v="218598"/>
    <n v="80317.899999999994"/>
    <x v="2"/>
    <x v="27"/>
    <x v="8"/>
    <s v="DELEGATE AGENCY"/>
    <s v="UNKNOWN"/>
    <x v="0"/>
  </r>
  <r>
    <n v="218599"/>
    <n v="155104"/>
    <x v="1"/>
    <x v="40"/>
    <x v="8"/>
    <s v="DELEGATE AGENCY"/>
    <s v="UNKNOWN"/>
    <x v="0"/>
  </r>
  <r>
    <n v="21860"/>
    <n v="2752236.6"/>
    <x v="1"/>
    <x v="998"/>
    <x v="3"/>
    <s v="VEHICLES/HEAVY EQUIPMENT (CAPITAL)"/>
    <s v="BID"/>
    <x v="1"/>
  </r>
  <r>
    <n v="218600"/>
    <n v="250410.5"/>
    <x v="0"/>
    <x v="564"/>
    <x v="8"/>
    <s v="DELEGATE AGENCY"/>
    <s v="UNKNOWN"/>
    <x v="0"/>
  </r>
  <r>
    <n v="218608"/>
    <n v="69000"/>
    <x v="2"/>
    <x v="578"/>
    <x v="12"/>
    <s v="DELEGATE AGENCY"/>
    <s v="UNKNOWN"/>
    <x v="0"/>
  </r>
  <r>
    <n v="218619"/>
    <n v="324928.90000000002"/>
    <x v="1"/>
    <x v="200"/>
    <x v="12"/>
    <s v="DELEGATE AGENCY"/>
    <s v="UNKNOWN"/>
    <x v="0"/>
  </r>
  <r>
    <n v="218620"/>
    <n v="69000"/>
    <x v="2"/>
    <x v="682"/>
    <x v="12"/>
    <s v="DELEGATE AGENCY"/>
    <s v="UNKNOWN"/>
    <x v="0"/>
  </r>
  <r>
    <n v="218622"/>
    <n v="16170"/>
    <x v="1"/>
    <x v="59"/>
    <x v="12"/>
    <s v="DELEGATE AGENCY"/>
    <s v="UNKNOWN"/>
    <x v="0"/>
  </r>
  <r>
    <n v="218632"/>
    <n v="19616.900000000001"/>
    <x v="4"/>
    <x v="41"/>
    <x v="8"/>
    <s v="DELEGATE AGENCY"/>
    <s v="UNKNOWN"/>
    <x v="0"/>
  </r>
  <r>
    <n v="218633"/>
    <n v="68979.8"/>
    <x v="4"/>
    <x v="25"/>
    <x v="8"/>
    <s v="DELEGATE AGENCY"/>
    <s v="UNKNOWN"/>
    <x v="0"/>
  </r>
  <r>
    <n v="218634"/>
    <n v="27173.5"/>
    <x v="1"/>
    <x v="46"/>
    <x v="8"/>
    <s v="DELEGATE AGENCY"/>
    <s v="UNKNOWN"/>
    <x v="0"/>
  </r>
  <r>
    <n v="218635"/>
    <n v="24996.6"/>
    <x v="4"/>
    <x v="44"/>
    <x v="8"/>
    <s v="DELEGATE AGENCY"/>
    <s v="UNKNOWN"/>
    <x v="0"/>
  </r>
  <r>
    <n v="218637"/>
    <n v="60585"/>
    <x v="4"/>
    <x v="999"/>
    <x v="1"/>
    <s v="SOFTWARE"/>
    <s v="JOINT PURCHASE"/>
    <x v="0"/>
  </r>
  <r>
    <n v="218638"/>
    <n v="62508.2"/>
    <x v="1"/>
    <x v="199"/>
    <x v="12"/>
    <s v="DELEGATE AGENCY"/>
    <s v="UNKNOWN"/>
    <x v="0"/>
  </r>
  <r>
    <n v="218651"/>
    <n v="514260.2"/>
    <x v="1"/>
    <x v="199"/>
    <x v="12"/>
    <s v="DELEGATE AGENCY"/>
    <s v="UNKNOWN"/>
    <x v="0"/>
  </r>
  <r>
    <n v="21876"/>
    <n v="1838592.2"/>
    <x v="2"/>
    <x v="1000"/>
    <x v="2"/>
    <s v="COMPTROLLER-OTHER"/>
    <s v="UNKNOWN"/>
    <x v="0"/>
  </r>
  <r>
    <n v="218768"/>
    <n v="13000"/>
    <x v="0"/>
    <x v="59"/>
    <x v="12"/>
    <s v="DELEGATE AGENCY"/>
    <s v="UNKNOWN"/>
    <x v="0"/>
  </r>
  <r>
    <n v="218772"/>
    <n v="70937"/>
    <x v="4"/>
    <x v="376"/>
    <x v="2"/>
    <s v="DELEGATE AGENCY"/>
    <s v="UNKNOWN"/>
    <x v="0"/>
  </r>
  <r>
    <n v="218776"/>
    <n v="52800"/>
    <x v="1"/>
    <x v="24"/>
    <x v="12"/>
    <s v="DELEGATE AGENCY"/>
    <s v="UNKNOWN"/>
    <x v="0"/>
  </r>
  <r>
    <n v="218778"/>
    <n v="52800"/>
    <x v="1"/>
    <x v="294"/>
    <x v="12"/>
    <s v="DELEGATE AGENCY"/>
    <s v="UNKNOWN"/>
    <x v="0"/>
  </r>
  <r>
    <n v="218779"/>
    <n v="304573.90000000002"/>
    <x v="1"/>
    <x v="26"/>
    <x v="8"/>
    <s v="DELEGATE AGENCY"/>
    <s v="UNKNOWN"/>
    <x v="0"/>
  </r>
  <r>
    <n v="218781"/>
    <n v="52026.8"/>
    <x v="2"/>
    <x v="345"/>
    <x v="12"/>
    <s v="DELEGATE AGENCY"/>
    <s v="UNKNOWN"/>
    <x v="0"/>
  </r>
  <r>
    <n v="218791"/>
    <n v="64999.9"/>
    <x v="1"/>
    <x v="216"/>
    <x v="12"/>
    <s v="DELEGATE AGENCY"/>
    <s v="UNKNOWN"/>
    <x v="0"/>
  </r>
  <r>
    <n v="218820"/>
    <n v="235952"/>
    <x v="1"/>
    <x v="463"/>
    <x v="8"/>
    <s v="DELEGATE AGENCY"/>
    <s v="UNKNOWN"/>
    <x v="0"/>
  </r>
  <r>
    <n v="218825"/>
    <n v="25010"/>
    <x v="1"/>
    <x v="925"/>
    <x v="16"/>
    <s v="DELEGATE AGENCY"/>
    <s v="UNKNOWN"/>
    <x v="0"/>
  </r>
  <r>
    <n v="218827"/>
    <n v="230067.9"/>
    <x v="4"/>
    <x v="468"/>
    <x v="8"/>
    <s v="DELEGATE AGENCY"/>
    <s v="UNKNOWN"/>
    <x v="0"/>
  </r>
  <r>
    <n v="218858"/>
    <n v="86399.4"/>
    <x v="1"/>
    <x v="213"/>
    <x v="12"/>
    <s v="DELEGATE AGENCY"/>
    <s v="UNKNOWN"/>
    <x v="0"/>
  </r>
  <r>
    <n v="218870"/>
    <n v="29097.1"/>
    <x v="1"/>
    <x v="354"/>
    <x v="12"/>
    <s v="DELEGATE AGENCY"/>
    <s v="UNKNOWN"/>
    <x v="0"/>
  </r>
  <r>
    <n v="218872"/>
    <n v="45462.3"/>
    <x v="4"/>
    <x v="1001"/>
    <x v="12"/>
    <s v="DELEGATE AGENCY"/>
    <s v="UNKNOWN"/>
    <x v="0"/>
  </r>
  <r>
    <n v="218874"/>
    <n v="69762.100000000006"/>
    <x v="4"/>
    <x v="314"/>
    <x v="12"/>
    <s v="DELEGATE AGENCY"/>
    <s v="UNKNOWN"/>
    <x v="0"/>
  </r>
  <r>
    <n v="218884"/>
    <n v="25481.3"/>
    <x v="1"/>
    <x v="114"/>
    <x v="12"/>
    <s v="DELEGATE AGENCY"/>
    <s v="UNKNOWN"/>
    <x v="0"/>
  </r>
  <r>
    <n v="218885"/>
    <n v="52800"/>
    <x v="4"/>
    <x v="114"/>
    <x v="12"/>
    <s v="DELEGATE AGENCY"/>
    <s v="UNKNOWN"/>
    <x v="0"/>
  </r>
  <r>
    <n v="218893"/>
    <n v="48478.8"/>
    <x v="1"/>
    <x v="114"/>
    <x v="12"/>
    <s v="DELEGATE AGENCY"/>
    <s v="UNKNOWN"/>
    <x v="0"/>
  </r>
  <r>
    <n v="218895"/>
    <n v="82920.7"/>
    <x v="4"/>
    <x v="356"/>
    <x v="12"/>
    <s v="DELEGATE AGENCY"/>
    <s v="UNKNOWN"/>
    <x v="0"/>
  </r>
  <r>
    <n v="218913"/>
    <n v="69000"/>
    <x v="1"/>
    <x v="588"/>
    <x v="12"/>
    <s v="DELEGATE AGENCY"/>
    <s v="UNKNOWN"/>
    <x v="0"/>
  </r>
  <r>
    <n v="218914"/>
    <n v="138000"/>
    <x v="1"/>
    <x v="588"/>
    <x v="12"/>
    <s v="DELEGATE AGENCY"/>
    <s v="UNKNOWN"/>
    <x v="0"/>
  </r>
  <r>
    <n v="218915"/>
    <n v="69000"/>
    <x v="1"/>
    <x v="113"/>
    <x v="12"/>
    <s v="DELEGATE AGENCY"/>
    <s v="UNKNOWN"/>
    <x v="0"/>
  </r>
  <r>
    <n v="218916"/>
    <n v="207000"/>
    <x v="1"/>
    <x v="582"/>
    <x v="12"/>
    <s v="DELEGATE AGENCY"/>
    <s v="UNKNOWN"/>
    <x v="0"/>
  </r>
  <r>
    <n v="218920"/>
    <n v="76590"/>
    <x v="1"/>
    <x v="341"/>
    <x v="12"/>
    <s v="DELEGATE AGENCY"/>
    <s v="UNKNOWN"/>
    <x v="0"/>
  </r>
  <r>
    <n v="218950"/>
    <n v="10000"/>
    <x v="1"/>
    <x v="59"/>
    <x v="12"/>
    <s v="DELEGATE AGENCY"/>
    <s v="UNKNOWN"/>
    <x v="0"/>
  </r>
  <r>
    <n v="218951"/>
    <n v="20000"/>
    <x v="4"/>
    <x v="59"/>
    <x v="12"/>
    <s v="DELEGATE AGENCY"/>
    <s v="UNKNOWN"/>
    <x v="0"/>
  </r>
  <r>
    <n v="218952"/>
    <n v="13236.0999999999"/>
    <x v="4"/>
    <x v="59"/>
    <x v="12"/>
    <s v="DELEGATE AGENCY"/>
    <s v="UNKNOWN"/>
    <x v="0"/>
  </r>
  <r>
    <n v="218955"/>
    <n v="69000"/>
    <x v="4"/>
    <x v="354"/>
    <x v="12"/>
    <s v="DELEGATE AGENCY"/>
    <s v="UNKNOWN"/>
    <x v="0"/>
  </r>
  <r>
    <n v="218956"/>
    <n v="69000"/>
    <x v="1"/>
    <x v="691"/>
    <x v="12"/>
    <s v="DELEGATE AGENCY"/>
    <s v="UNKNOWN"/>
    <x v="0"/>
  </r>
  <r>
    <n v="218971"/>
    <n v="138000"/>
    <x v="1"/>
    <x v="446"/>
    <x v="12"/>
    <s v="DELEGATE AGENCY"/>
    <s v="UNKNOWN"/>
    <x v="0"/>
  </r>
  <r>
    <n v="218983"/>
    <n v="42846.7"/>
    <x v="1"/>
    <x v="38"/>
    <x v="8"/>
    <s v="DELEGATE AGENCY"/>
    <s v="UNKNOWN"/>
    <x v="0"/>
  </r>
  <r>
    <n v="218984"/>
    <n v="57818"/>
    <x v="4"/>
    <x v="28"/>
    <x v="8"/>
    <s v="DELEGATE AGENCY"/>
    <s v="UNKNOWN"/>
    <x v="0"/>
  </r>
  <r>
    <n v="218987"/>
    <n v="80506.2"/>
    <x v="1"/>
    <x v="27"/>
    <x v="8"/>
    <s v="DELEGATE AGENCY"/>
    <s v="UNKNOWN"/>
    <x v="0"/>
  </r>
  <r>
    <n v="218995"/>
    <n v="65961"/>
    <x v="1"/>
    <x v="284"/>
    <x v="12"/>
    <s v="DELEGATE AGENCY"/>
    <s v="UNKNOWN"/>
    <x v="0"/>
  </r>
  <r>
    <n v="218996"/>
    <n v="684428"/>
    <x v="1"/>
    <x v="284"/>
    <x v="12"/>
    <s v="DELEGATE AGENCY"/>
    <s v="UNKNOWN"/>
    <x v="0"/>
  </r>
  <r>
    <n v="219000"/>
    <n v="69000"/>
    <x v="2"/>
    <x v="577"/>
    <x v="12"/>
    <s v="DELEGATE AGENCY"/>
    <s v="UNKNOWN"/>
    <x v="0"/>
  </r>
  <r>
    <n v="219001"/>
    <n v="69000"/>
    <x v="1"/>
    <x v="680"/>
    <x v="12"/>
    <s v="DELEGATE AGENCY"/>
    <s v="UNKNOWN"/>
    <x v="0"/>
  </r>
  <r>
    <n v="219002"/>
    <n v="207000"/>
    <x v="1"/>
    <x v="169"/>
    <x v="12"/>
    <s v="DELEGATE AGENCY"/>
    <s v="UNKNOWN"/>
    <x v="0"/>
  </r>
  <r>
    <n v="219013"/>
    <n v="103500"/>
    <x v="1"/>
    <x v="89"/>
    <x v="12"/>
    <s v="DELEGATE AGENCY"/>
    <s v="UNKNOWN"/>
    <x v="0"/>
  </r>
  <r>
    <n v="219014"/>
    <n v="133644"/>
    <x v="1"/>
    <x v="201"/>
    <x v="12"/>
    <s v="DELEGATE AGENCY"/>
    <s v="UNKNOWN"/>
    <x v="0"/>
  </r>
  <r>
    <n v="219015"/>
    <n v="69000"/>
    <x v="1"/>
    <x v="78"/>
    <x v="12"/>
    <s v="DELEGATE AGENCY"/>
    <s v="UNKNOWN"/>
    <x v="0"/>
  </r>
  <r>
    <n v="219016"/>
    <n v="69000"/>
    <x v="1"/>
    <x v="692"/>
    <x v="12"/>
    <s v="DELEGATE AGENCY"/>
    <s v="UNKNOWN"/>
    <x v="0"/>
  </r>
  <r>
    <n v="219017"/>
    <n v="69000"/>
    <x v="1"/>
    <x v="168"/>
    <x v="12"/>
    <s v="DELEGATE AGENCY"/>
    <s v="UNKNOWN"/>
    <x v="0"/>
  </r>
  <r>
    <n v="219018"/>
    <n v="69000"/>
    <x v="1"/>
    <x v="78"/>
    <x v="12"/>
    <s v="DELEGATE AGENCY"/>
    <s v="UNKNOWN"/>
    <x v="0"/>
  </r>
  <r>
    <n v="219019"/>
    <n v="69000"/>
    <x v="1"/>
    <x v="78"/>
    <x v="12"/>
    <s v="DELEGATE AGENCY"/>
    <s v="UNKNOWN"/>
    <x v="0"/>
  </r>
  <r>
    <n v="219020"/>
    <n v="69000"/>
    <x v="1"/>
    <x v="588"/>
    <x v="12"/>
    <s v="DELEGATE AGENCY"/>
    <s v="UNKNOWN"/>
    <x v="0"/>
  </r>
  <r>
    <n v="219021"/>
    <n v="69000"/>
    <x v="1"/>
    <x v="114"/>
    <x v="12"/>
    <s v="DELEGATE AGENCY"/>
    <s v="UNKNOWN"/>
    <x v="0"/>
  </r>
  <r>
    <n v="219022"/>
    <n v="69000"/>
    <x v="1"/>
    <x v="85"/>
    <x v="12"/>
    <s v="DELEGATE AGENCY"/>
    <s v="UNKNOWN"/>
    <x v="0"/>
  </r>
  <r>
    <n v="219023"/>
    <n v="69000"/>
    <x v="1"/>
    <x v="586"/>
    <x v="12"/>
    <s v="DELEGATE AGENCY"/>
    <s v="UNKNOWN"/>
    <x v="0"/>
  </r>
  <r>
    <n v="219024"/>
    <n v="103500"/>
    <x v="1"/>
    <x v="681"/>
    <x v="12"/>
    <s v="DELEGATE AGENCY"/>
    <s v="UNKNOWN"/>
    <x v="0"/>
  </r>
  <r>
    <n v="219025"/>
    <n v="69000"/>
    <x v="1"/>
    <x v="544"/>
    <x v="12"/>
    <s v="DELEGATE AGENCY"/>
    <s v="UNKNOWN"/>
    <x v="0"/>
  </r>
  <r>
    <n v="219026"/>
    <n v="69000"/>
    <x v="1"/>
    <x v="449"/>
    <x v="12"/>
    <s v="DELEGATE AGENCY"/>
    <s v="UNKNOWN"/>
    <x v="0"/>
  </r>
  <r>
    <n v="219027"/>
    <n v="138000"/>
    <x v="1"/>
    <x v="201"/>
    <x v="12"/>
    <s v="DELEGATE AGENCY"/>
    <s v="UNKNOWN"/>
    <x v="0"/>
  </r>
  <r>
    <n v="219028"/>
    <n v="357000"/>
    <x v="1"/>
    <x v="202"/>
    <x v="12"/>
    <s v="DELEGATE AGENCY"/>
    <s v="UNKNOWN"/>
    <x v="0"/>
  </r>
  <r>
    <n v="219029"/>
    <n v="69000"/>
    <x v="2"/>
    <x v="34"/>
    <x v="12"/>
    <s v="DELEGATE AGENCY"/>
    <s v="UNKNOWN"/>
    <x v="0"/>
  </r>
  <r>
    <n v="219030"/>
    <n v="69000"/>
    <x v="1"/>
    <x v="689"/>
    <x v="12"/>
    <s v="DELEGATE AGENCY"/>
    <s v="UNKNOWN"/>
    <x v="0"/>
  </r>
  <r>
    <n v="219031"/>
    <n v="897000"/>
    <x v="1"/>
    <x v="593"/>
    <x v="12"/>
    <s v="DELEGATE AGENCY"/>
    <s v="UNKNOWN"/>
    <x v="0"/>
  </r>
  <r>
    <n v="219032"/>
    <n v="1018500"/>
    <x v="2"/>
    <x v="593"/>
    <x v="12"/>
    <s v="DELEGATE AGENCY"/>
    <s v="UNKNOWN"/>
    <x v="0"/>
  </r>
  <r>
    <n v="219033"/>
    <n v="207000"/>
    <x v="0"/>
    <x v="593"/>
    <x v="12"/>
    <s v="DELEGATE AGENCY"/>
    <s v="UNKNOWN"/>
    <x v="0"/>
  </r>
  <r>
    <n v="219034"/>
    <n v="103500"/>
    <x v="1"/>
    <x v="593"/>
    <x v="12"/>
    <s v="DELEGATE AGENCY"/>
    <s v="UNKNOWN"/>
    <x v="0"/>
  </r>
  <r>
    <n v="219035"/>
    <n v="495000"/>
    <x v="1"/>
    <x v="593"/>
    <x v="12"/>
    <s v="DELEGATE AGENCY"/>
    <s v="UNKNOWN"/>
    <x v="0"/>
  </r>
  <r>
    <n v="219036"/>
    <n v="1035000"/>
    <x v="2"/>
    <x v="593"/>
    <x v="12"/>
    <s v="DELEGATE AGENCY"/>
    <s v="UNKNOWN"/>
    <x v="0"/>
  </r>
  <r>
    <n v="219037"/>
    <n v="357000"/>
    <x v="0"/>
    <x v="200"/>
    <x v="12"/>
    <s v="DELEGATE AGENCY"/>
    <s v="UNKNOWN"/>
    <x v="0"/>
  </r>
  <r>
    <n v="219038"/>
    <n v="138000"/>
    <x v="2"/>
    <x v="576"/>
    <x v="12"/>
    <s v="DELEGATE AGENCY"/>
    <s v="UNKNOWN"/>
    <x v="0"/>
  </r>
  <r>
    <n v="219039"/>
    <n v="379200"/>
    <x v="1"/>
    <x v="89"/>
    <x v="12"/>
    <s v="DELEGATE AGENCY"/>
    <s v="UNKNOWN"/>
    <x v="0"/>
  </r>
  <r>
    <n v="219040"/>
    <n v="69000"/>
    <x v="2"/>
    <x v="346"/>
    <x v="12"/>
    <s v="DELEGATE AGENCY"/>
    <s v="UNKNOWN"/>
    <x v="0"/>
  </r>
  <r>
    <n v="219041"/>
    <n v="69000"/>
    <x v="1"/>
    <x v="76"/>
    <x v="12"/>
    <s v="DELEGATE AGENCY"/>
    <s v="UNKNOWN"/>
    <x v="0"/>
  </r>
  <r>
    <n v="219042"/>
    <n v="69000"/>
    <x v="1"/>
    <x v="325"/>
    <x v="12"/>
    <s v="DELEGATE AGENCY"/>
    <s v="UNKNOWN"/>
    <x v="0"/>
  </r>
  <r>
    <n v="219043"/>
    <n v="32006.1"/>
    <x v="1"/>
    <x v="350"/>
    <x v="12"/>
    <s v="DELEGATE AGENCY"/>
    <s v="UNKNOWN"/>
    <x v="0"/>
  </r>
  <r>
    <n v="219044"/>
    <n v="69000"/>
    <x v="4"/>
    <x v="616"/>
    <x v="12"/>
    <s v="DELEGATE AGENCY"/>
    <s v="UNKNOWN"/>
    <x v="0"/>
  </r>
  <r>
    <n v="219045"/>
    <n v="52800"/>
    <x v="1"/>
    <x v="203"/>
    <x v="12"/>
    <s v="DELEGATE AGENCY"/>
    <s v="UNKNOWN"/>
    <x v="0"/>
  </r>
  <r>
    <n v="219046"/>
    <n v="486465"/>
    <x v="1"/>
    <x v="199"/>
    <x v="12"/>
    <s v="DELEGATE AGENCY"/>
    <s v="UNKNOWN"/>
    <x v="0"/>
  </r>
  <r>
    <n v="219047"/>
    <n v="103500"/>
    <x v="2"/>
    <x v="721"/>
    <x v="12"/>
    <s v="DELEGATE AGENCY"/>
    <s v="UNKNOWN"/>
    <x v="0"/>
  </r>
  <r>
    <n v="219085"/>
    <n v="87181.1"/>
    <x v="1"/>
    <x v="114"/>
    <x v="12"/>
    <s v="DELEGATE AGENCY"/>
    <s v="UNKNOWN"/>
    <x v="0"/>
  </r>
  <r>
    <n v="219089"/>
    <n v="68018.100000000006"/>
    <x v="1"/>
    <x v="346"/>
    <x v="12"/>
    <s v="DELEGATE AGENCY"/>
    <s v="UNKNOWN"/>
    <x v="0"/>
  </r>
  <r>
    <n v="219090"/>
    <n v="104314.9"/>
    <x v="1"/>
    <x v="349"/>
    <x v="12"/>
    <s v="DELEGATE AGENCY"/>
    <s v="UNKNOWN"/>
    <x v="0"/>
  </r>
  <r>
    <n v="219091"/>
    <n v="203000"/>
    <x v="1"/>
    <x v="76"/>
    <x v="12"/>
    <s v="DELEGATE AGENCY"/>
    <s v="UNKNOWN"/>
    <x v="0"/>
  </r>
  <r>
    <n v="219102"/>
    <n v="97878.7"/>
    <x v="1"/>
    <x v="351"/>
    <x v="12"/>
    <s v="DELEGATE AGENCY"/>
    <s v="UNKNOWN"/>
    <x v="0"/>
  </r>
  <r>
    <n v="219104"/>
    <n v="357000"/>
    <x v="1"/>
    <x v="201"/>
    <x v="12"/>
    <s v="DELEGATE AGENCY"/>
    <s v="UNKNOWN"/>
    <x v="0"/>
  </r>
  <r>
    <n v="219110"/>
    <n v="61000"/>
    <x v="2"/>
    <x v="323"/>
    <x v="12"/>
    <s v="DELEGATE AGENCY"/>
    <s v="UNKNOWN"/>
    <x v="0"/>
  </r>
  <r>
    <n v="219113"/>
    <n v="12140"/>
    <x v="1"/>
    <x v="189"/>
    <x v="12"/>
    <s v="DELEGATE AGENCY"/>
    <s v="UNKNOWN"/>
    <x v="0"/>
  </r>
  <r>
    <n v="219124"/>
    <n v="41875"/>
    <x v="4"/>
    <x v="113"/>
    <x v="12"/>
    <s v="DELEGATE AGENCY"/>
    <s v="UNKNOWN"/>
    <x v="0"/>
  </r>
  <r>
    <n v="219127"/>
    <n v="41875"/>
    <x v="4"/>
    <x v="113"/>
    <x v="12"/>
    <s v="DELEGATE AGENCY"/>
    <s v="UNKNOWN"/>
    <x v="0"/>
  </r>
  <r>
    <n v="219128"/>
    <n v="66418.3"/>
    <x v="4"/>
    <x v="349"/>
    <x v="12"/>
    <s v="DELEGATE AGENCY"/>
    <s v="UNKNOWN"/>
    <x v="0"/>
  </r>
  <r>
    <n v="219131"/>
    <n v="89000"/>
    <x v="1"/>
    <x v="351"/>
    <x v="12"/>
    <s v="DELEGATE AGENCY"/>
    <s v="UNKNOWN"/>
    <x v="0"/>
  </r>
  <r>
    <n v="219133"/>
    <n v="64551.4"/>
    <x v="1"/>
    <x v="349"/>
    <x v="12"/>
    <s v="DELEGATE AGENCY"/>
    <s v="UNKNOWN"/>
    <x v="0"/>
  </r>
  <r>
    <n v="219134"/>
    <n v="55000"/>
    <x v="1"/>
    <x v="342"/>
    <x v="12"/>
    <s v="DELEGATE AGENCY"/>
    <s v="UNKNOWN"/>
    <x v="0"/>
  </r>
  <r>
    <n v="219135"/>
    <n v="111000"/>
    <x v="1"/>
    <x v="362"/>
    <x v="12"/>
    <s v="DELEGATE AGENCY"/>
    <s v="UNKNOWN"/>
    <x v="0"/>
  </r>
  <r>
    <n v="219242"/>
    <n v="18054.3"/>
    <x v="1"/>
    <x v="357"/>
    <x v="12"/>
    <s v="DELEGATE AGENCY"/>
    <s v="UNKNOWN"/>
    <x v="0"/>
  </r>
  <r>
    <n v="219243"/>
    <n v="150000"/>
    <x v="4"/>
    <x v="355"/>
    <x v="12"/>
    <s v="DELEGATE AGENCY"/>
    <s v="UNKNOWN"/>
    <x v="0"/>
  </r>
  <r>
    <n v="219244"/>
    <n v="86666.7"/>
    <x v="1"/>
    <x v="359"/>
    <x v="12"/>
    <s v="DELEGATE AGENCY"/>
    <s v="UNKNOWN"/>
    <x v="0"/>
  </r>
  <r>
    <n v="219245"/>
    <n v="33668.5"/>
    <x v="1"/>
    <x v="314"/>
    <x v="12"/>
    <s v="DELEGATE AGENCY"/>
    <s v="UNKNOWN"/>
    <x v="0"/>
  </r>
  <r>
    <n v="219246"/>
    <n v="21120"/>
    <x v="4"/>
    <x v="61"/>
    <x v="12"/>
    <s v="DELEGATE AGENCY"/>
    <s v="UNKNOWN"/>
    <x v="0"/>
  </r>
  <r>
    <n v="219247"/>
    <n v="10801.199999999901"/>
    <x v="4"/>
    <x v="360"/>
    <x v="12"/>
    <s v="DELEGATE AGENCY"/>
    <s v="UNKNOWN"/>
    <x v="0"/>
  </r>
  <r>
    <n v="219248"/>
    <n v="9625.5"/>
    <x v="4"/>
    <x v="361"/>
    <x v="12"/>
    <s v="DELEGATE AGENCY"/>
    <s v="UNKNOWN"/>
    <x v="0"/>
  </r>
  <r>
    <n v="219249"/>
    <n v="41875"/>
    <x v="3"/>
    <x v="334"/>
    <x v="12"/>
    <s v="DELEGATE AGENCY"/>
    <s v="UNKNOWN"/>
    <x v="0"/>
  </r>
  <r>
    <n v="219250"/>
    <n v="41875"/>
    <x v="4"/>
    <x v="334"/>
    <x v="12"/>
    <s v="DELEGATE AGENCY"/>
    <s v="UNKNOWN"/>
    <x v="0"/>
  </r>
  <r>
    <n v="219251"/>
    <n v="41875"/>
    <x v="4"/>
    <x v="334"/>
    <x v="12"/>
    <s v="DELEGATE AGENCY"/>
    <s v="UNKNOWN"/>
    <x v="0"/>
  </r>
  <r>
    <n v="219252"/>
    <n v="200000"/>
    <x v="4"/>
    <x v="302"/>
    <x v="12"/>
    <s v="DELEGATE AGENCY"/>
    <s v="UNKNOWN"/>
    <x v="0"/>
  </r>
  <r>
    <n v="219253"/>
    <n v="41875"/>
    <x v="1"/>
    <x v="59"/>
    <x v="12"/>
    <s v="DELEGATE AGENCY"/>
    <s v="UNKNOWN"/>
    <x v="0"/>
  </r>
  <r>
    <n v="219256"/>
    <n v="147979.4"/>
    <x v="4"/>
    <x v="359"/>
    <x v="12"/>
    <s v="DELEGATE AGENCY"/>
    <s v="UNKNOWN"/>
    <x v="0"/>
  </r>
  <r>
    <n v="219259"/>
    <n v="17033.8"/>
    <x v="1"/>
    <x v="358"/>
    <x v="12"/>
    <s v="DELEGATE AGENCY"/>
    <s v="UNKNOWN"/>
    <x v="0"/>
  </r>
  <r>
    <n v="219260"/>
    <n v="200000"/>
    <x v="4"/>
    <x v="84"/>
    <x v="12"/>
    <s v="DELEGATE AGENCY"/>
    <s v="UNKNOWN"/>
    <x v="0"/>
  </r>
  <r>
    <n v="219296"/>
    <n v="132698.29999999999"/>
    <x v="1"/>
    <x v="201"/>
    <x v="12"/>
    <s v="DELEGATE AGENCY"/>
    <s v="UNKNOWN"/>
    <x v="0"/>
  </r>
  <r>
    <n v="219315"/>
    <n v="180000"/>
    <x v="1"/>
    <x v="346"/>
    <x v="12"/>
    <s v="DELEGATE AGENCY"/>
    <s v="UNKNOWN"/>
    <x v="0"/>
  </r>
  <r>
    <n v="219328"/>
    <n v="74669"/>
    <x v="1"/>
    <x v="364"/>
    <x v="12"/>
    <s v="DELEGATE AGENCY"/>
    <s v="UNKNOWN"/>
    <x v="0"/>
  </r>
  <r>
    <n v="219334"/>
    <n v="48547.8"/>
    <x v="1"/>
    <x v="296"/>
    <x v="12"/>
    <s v="DELEGATE AGENCY"/>
    <s v="UNKNOWN"/>
    <x v="0"/>
  </r>
  <r>
    <n v="219335"/>
    <n v="62790.8"/>
    <x v="4"/>
    <x v="350"/>
    <x v="12"/>
    <s v="DELEGATE AGENCY"/>
    <s v="UNKNOWN"/>
    <x v="0"/>
  </r>
  <r>
    <n v="219337"/>
    <n v="54239.1"/>
    <x v="1"/>
    <x v="66"/>
    <x v="12"/>
    <s v="DELEGATE AGENCY"/>
    <s v="UNKNOWN"/>
    <x v="0"/>
  </r>
  <r>
    <n v="219340"/>
    <n v="69871.600000000006"/>
    <x v="1"/>
    <x v="352"/>
    <x v="12"/>
    <s v="DELEGATE AGENCY"/>
    <s v="UNKNOWN"/>
    <x v="0"/>
  </r>
  <r>
    <n v="219343"/>
    <n v="19999.900000000001"/>
    <x v="1"/>
    <x v="76"/>
    <x v="12"/>
    <s v="DELEGATE AGENCY"/>
    <s v="UNKNOWN"/>
    <x v="0"/>
  </r>
  <r>
    <n v="219344"/>
    <n v="50000"/>
    <x v="4"/>
    <x v="76"/>
    <x v="12"/>
    <s v="DELEGATE AGENCY"/>
    <s v="UNKNOWN"/>
    <x v="0"/>
  </r>
  <r>
    <n v="219345"/>
    <n v="14999.9"/>
    <x v="1"/>
    <x v="76"/>
    <x v="12"/>
    <s v="DELEGATE AGENCY"/>
    <s v="UNKNOWN"/>
    <x v="0"/>
  </r>
  <r>
    <n v="219346"/>
    <n v="20000"/>
    <x v="4"/>
    <x v="76"/>
    <x v="12"/>
    <s v="DELEGATE AGENCY"/>
    <s v="UNKNOWN"/>
    <x v="0"/>
  </r>
  <r>
    <n v="219376"/>
    <n v="358500"/>
    <x v="4"/>
    <x v="114"/>
    <x v="12"/>
    <s v="DELEGATE AGENCY"/>
    <s v="UNKNOWN"/>
    <x v="0"/>
  </r>
  <r>
    <n v="219377"/>
    <n v="52800"/>
    <x v="2"/>
    <x v="365"/>
    <x v="12"/>
    <s v="DELEGATE AGENCY"/>
    <s v="UNKNOWN"/>
    <x v="0"/>
  </r>
  <r>
    <n v="219378"/>
    <n v="120000"/>
    <x v="1"/>
    <x v="59"/>
    <x v="12"/>
    <s v="DELEGATE AGENCY"/>
    <s v="UNKNOWN"/>
    <x v="0"/>
  </r>
  <r>
    <n v="219379"/>
    <n v="52800"/>
    <x v="1"/>
    <x v="364"/>
    <x v="12"/>
    <s v="DELEGATE AGENCY"/>
    <s v="UNKNOWN"/>
    <x v="0"/>
  </r>
  <r>
    <n v="219380"/>
    <n v="98830"/>
    <x v="1"/>
    <x v="341"/>
    <x v="12"/>
    <s v="DELEGATE AGENCY"/>
    <s v="UNKNOWN"/>
    <x v="0"/>
  </r>
  <r>
    <n v="219381"/>
    <n v="141600"/>
    <x v="1"/>
    <x v="368"/>
    <x v="12"/>
    <s v="DELEGATE AGENCY"/>
    <s v="UNKNOWN"/>
    <x v="0"/>
  </r>
  <r>
    <n v="219382"/>
    <n v="107720"/>
    <x v="1"/>
    <x v="356"/>
    <x v="12"/>
    <s v="DELEGATE AGENCY"/>
    <s v="UNKNOWN"/>
    <x v="0"/>
  </r>
  <r>
    <n v="219383"/>
    <n v="156400"/>
    <x v="1"/>
    <x v="346"/>
    <x v="12"/>
    <s v="DELEGATE AGENCY"/>
    <s v="UNKNOWN"/>
    <x v="0"/>
  </r>
  <r>
    <n v="219384"/>
    <n v="52800"/>
    <x v="1"/>
    <x v="59"/>
    <x v="12"/>
    <s v="DELEGATE AGENCY"/>
    <s v="UNKNOWN"/>
    <x v="0"/>
  </r>
  <r>
    <n v="219385"/>
    <n v="144041"/>
    <x v="1"/>
    <x v="369"/>
    <x v="12"/>
    <s v="DELEGATE AGENCY"/>
    <s v="UNKNOWN"/>
    <x v="0"/>
  </r>
  <r>
    <n v="219386"/>
    <n v="155055"/>
    <x v="1"/>
    <x v="362"/>
    <x v="12"/>
    <s v="DELEGATE AGENCY"/>
    <s v="UNKNOWN"/>
    <x v="0"/>
  </r>
  <r>
    <n v="219387"/>
    <n v="107750"/>
    <x v="1"/>
    <x v="690"/>
    <x v="12"/>
    <s v="DELEGATE AGENCY"/>
    <s v="UNKNOWN"/>
    <x v="0"/>
  </r>
  <r>
    <n v="219388"/>
    <n v="600000"/>
    <x v="1"/>
    <x v="355"/>
    <x v="12"/>
    <s v="DELEGATE AGENCY"/>
    <s v="UNKNOWN"/>
    <x v="0"/>
  </r>
  <r>
    <n v="219389"/>
    <n v="52800"/>
    <x v="2"/>
    <x v="228"/>
    <x v="12"/>
    <s v="DELEGATE AGENCY"/>
    <s v="UNKNOWN"/>
    <x v="0"/>
  </r>
  <r>
    <n v="219390"/>
    <n v="177787"/>
    <x v="1"/>
    <x v="289"/>
    <x v="12"/>
    <s v="DELEGATE AGENCY"/>
    <s v="UNKNOWN"/>
    <x v="0"/>
  </r>
  <r>
    <n v="219403"/>
    <n v="66417.100000000006"/>
    <x v="1"/>
    <x v="37"/>
    <x v="8"/>
    <s v="DELEGATE AGENCY"/>
    <s v="UNKNOWN"/>
    <x v="0"/>
  </r>
  <r>
    <n v="219404"/>
    <n v="39233.1"/>
    <x v="1"/>
    <x v="43"/>
    <x v="8"/>
    <s v="DELEGATE AGENCY"/>
    <s v="UNKNOWN"/>
    <x v="0"/>
  </r>
  <r>
    <n v="219405"/>
    <n v="286624.8"/>
    <x v="4"/>
    <x v="204"/>
    <x v="8"/>
    <s v="DELEGATE AGENCY"/>
    <s v="UNKNOWN"/>
    <x v="0"/>
  </r>
  <r>
    <n v="219406"/>
    <n v="78298.399999999994"/>
    <x v="2"/>
    <x v="24"/>
    <x v="8"/>
    <s v="DELEGATE AGENCY"/>
    <s v="UNKNOWN"/>
    <x v="0"/>
  </r>
  <r>
    <n v="219456"/>
    <n v="239678"/>
    <x v="1"/>
    <x v="467"/>
    <x v="8"/>
    <s v="DELEGATE AGENCY"/>
    <s v="UNKNOWN"/>
    <x v="0"/>
  </r>
  <r>
    <n v="219460"/>
    <n v="203180.3"/>
    <x v="1"/>
    <x v="169"/>
    <x v="8"/>
    <s v="DELEGATE AGENCY"/>
    <s v="UNKNOWN"/>
    <x v="0"/>
  </r>
  <r>
    <n v="219465"/>
    <n v="303413"/>
    <x v="1"/>
    <x v="5"/>
    <x v="8"/>
    <s v="DELEGATE AGENCY"/>
    <s v="UNKNOWN"/>
    <x v="0"/>
  </r>
  <r>
    <n v="219485"/>
    <n v="85000"/>
    <x v="2"/>
    <x v="222"/>
    <x v="19"/>
    <s v="DELEGATE AGENCY"/>
    <s v="UNKNOWN"/>
    <x v="0"/>
  </r>
  <r>
    <n v="219486"/>
    <n v="474634"/>
    <x v="1"/>
    <x v="602"/>
    <x v="8"/>
    <s v="DELEGATE AGENCY"/>
    <s v="UNKNOWN"/>
    <x v="0"/>
  </r>
  <r>
    <n v="219489"/>
    <n v="85000"/>
    <x v="2"/>
    <x v="232"/>
    <x v="19"/>
    <s v="DELEGATE AGENCY"/>
    <s v="UNKNOWN"/>
    <x v="0"/>
  </r>
  <r>
    <n v="219493"/>
    <n v="329436.59999999998"/>
    <x v="1"/>
    <x v="601"/>
    <x v="8"/>
    <s v="DELEGATE AGENCY"/>
    <s v="UNKNOWN"/>
    <x v="0"/>
  </r>
  <r>
    <n v="219498"/>
    <n v="227937.8"/>
    <x v="2"/>
    <x v="466"/>
    <x v="8"/>
    <s v="DELEGATE AGENCY"/>
    <s v="UNKNOWN"/>
    <x v="0"/>
  </r>
  <r>
    <n v="219503"/>
    <n v="248400"/>
    <x v="1"/>
    <x v="1002"/>
    <x v="11"/>
    <s v="WORK SERVICES-SMALL ORDERS"/>
    <s v="BID"/>
    <x v="0"/>
  </r>
  <r>
    <n v="219509"/>
    <n v="199910.2"/>
    <x v="1"/>
    <x v="279"/>
    <x v="8"/>
    <s v="DELEGATE AGENCY"/>
    <s v="UNKNOWN"/>
    <x v="0"/>
  </r>
  <r>
    <n v="219536"/>
    <n v="1089000"/>
    <x v="1"/>
    <x v="485"/>
    <x v="16"/>
    <s v="DELEGATE AGENCY"/>
    <s v="UNKNOWN"/>
    <x v="0"/>
  </r>
  <r>
    <n v="219539"/>
    <n v="98274.4"/>
    <x v="0"/>
    <x v="452"/>
    <x v="19"/>
    <s v="DELEGATE AGENCY"/>
    <s v="UNKNOWN"/>
    <x v="0"/>
  </r>
  <r>
    <n v="219540"/>
    <n v="227860.3"/>
    <x v="1"/>
    <x v="44"/>
    <x v="8"/>
    <s v="DELEGATE AGENCY"/>
    <s v="UNKNOWN"/>
    <x v="0"/>
  </r>
  <r>
    <n v="219554"/>
    <n v="66589.7"/>
    <x v="1"/>
    <x v="345"/>
    <x v="12"/>
    <s v="DELEGATE AGENCY"/>
    <s v="UNKNOWN"/>
    <x v="0"/>
  </r>
  <r>
    <n v="219556"/>
    <n v="62040.3"/>
    <x v="1"/>
    <x v="167"/>
    <x v="12"/>
    <s v="DELEGATE AGENCY"/>
    <s v="UNKNOWN"/>
    <x v="0"/>
  </r>
  <r>
    <n v="219557"/>
    <n v="41875"/>
    <x v="1"/>
    <x v="334"/>
    <x v="12"/>
    <s v="DELEGATE AGENCY"/>
    <s v="UNKNOWN"/>
    <x v="0"/>
  </r>
  <r>
    <n v="219559"/>
    <n v="41875"/>
    <x v="4"/>
    <x v="333"/>
    <x v="12"/>
    <s v="DELEGATE AGENCY"/>
    <s v="UNKNOWN"/>
    <x v="0"/>
  </r>
  <r>
    <n v="219562"/>
    <n v="302666"/>
    <x v="4"/>
    <x v="140"/>
    <x v="8"/>
    <s v="DELEGATE AGENCY"/>
    <s v="UNKNOWN"/>
    <x v="0"/>
  </r>
  <r>
    <n v="219589"/>
    <n v="55906"/>
    <x v="2"/>
    <x v="1003"/>
    <x v="8"/>
    <s v="DELEGATE AGENCY"/>
    <s v="UNKNOWN"/>
    <x v="0"/>
  </r>
  <r>
    <n v="219679"/>
    <n v="46777.9"/>
    <x v="1"/>
    <x v="684"/>
    <x v="19"/>
    <s v="DELEGATE AGENCY"/>
    <s v="UNKNOWN"/>
    <x v="0"/>
  </r>
  <r>
    <n v="219684"/>
    <n v="317451.59999999998"/>
    <x v="4"/>
    <x v="5"/>
    <x v="12"/>
    <s v="DELEGATE AGENCY"/>
    <s v="UNKNOWN"/>
    <x v="0"/>
  </r>
  <r>
    <n v="219685"/>
    <n v="52800"/>
    <x v="2"/>
    <x v="59"/>
    <x v="12"/>
    <s v="DELEGATE AGENCY"/>
    <s v="UNKNOWN"/>
    <x v="0"/>
  </r>
  <r>
    <n v="219690"/>
    <n v="809830.7"/>
    <x v="1"/>
    <x v="284"/>
    <x v="12"/>
    <s v="DELEGATE AGENCY"/>
    <s v="UNKNOWN"/>
    <x v="0"/>
  </r>
  <r>
    <n v="219691"/>
    <n v="66961"/>
    <x v="2"/>
    <x v="284"/>
    <x v="12"/>
    <s v="DELEGATE AGENCY"/>
    <s v="UNKNOWN"/>
    <x v="0"/>
  </r>
  <r>
    <n v="219692"/>
    <n v="43107.199999999997"/>
    <x v="1"/>
    <x v="78"/>
    <x v="12"/>
    <s v="DELEGATE AGENCY"/>
    <s v="UNKNOWN"/>
    <x v="0"/>
  </r>
  <r>
    <n v="219724"/>
    <n v="254466.4"/>
    <x v="4"/>
    <x v="40"/>
    <x v="8"/>
    <s v="DELEGATE AGENCY"/>
    <s v="UNKNOWN"/>
    <x v="0"/>
  </r>
  <r>
    <n v="219725"/>
    <n v="283809"/>
    <x v="2"/>
    <x v="140"/>
    <x v="8"/>
    <s v="DELEGATE AGENCY"/>
    <s v="UNKNOWN"/>
    <x v="0"/>
  </r>
  <r>
    <n v="219732"/>
    <n v="234076"/>
    <x v="2"/>
    <x v="168"/>
    <x v="8"/>
    <s v="DELEGATE AGENCY"/>
    <s v="UNKNOWN"/>
    <x v="0"/>
  </r>
  <r>
    <n v="219733"/>
    <n v="15737.7"/>
    <x v="1"/>
    <x v="42"/>
    <x v="8"/>
    <s v="DELEGATE AGENCY"/>
    <s v="UNKNOWN"/>
    <x v="0"/>
  </r>
  <r>
    <n v="219734"/>
    <n v="141185.79999999999"/>
    <x v="4"/>
    <x v="40"/>
    <x v="8"/>
    <s v="DELEGATE AGENCY"/>
    <s v="UNKNOWN"/>
    <x v="0"/>
  </r>
  <r>
    <n v="219736"/>
    <n v="167660"/>
    <x v="1"/>
    <x v="239"/>
    <x v="12"/>
    <s v="DELEGATE AGENCY"/>
    <s v="UNKNOWN"/>
    <x v="0"/>
  </r>
  <r>
    <n v="21974"/>
    <n v="1150000"/>
    <x v="1"/>
    <x v="1004"/>
    <x v="3"/>
    <s v="VEHICLES/HEAVY EQUIPMENT (CAPITAL)"/>
    <s v="BID"/>
    <x v="0"/>
  </r>
  <r>
    <n v="219766"/>
    <n v="69000"/>
    <x v="0"/>
    <x v="84"/>
    <x v="12"/>
    <s v="DELEGATE AGENCY"/>
    <s v="UNKNOWN"/>
    <x v="0"/>
  </r>
  <r>
    <n v="219774"/>
    <n v="46313.1"/>
    <x v="1"/>
    <x v="581"/>
    <x v="12"/>
    <s v="DELEGATE AGENCY"/>
    <s v="UNKNOWN"/>
    <x v="0"/>
  </r>
  <r>
    <n v="219775"/>
    <n v="69000"/>
    <x v="4"/>
    <x v="585"/>
    <x v="12"/>
    <s v="DELEGATE AGENCY"/>
    <s v="UNKNOWN"/>
    <x v="0"/>
  </r>
  <r>
    <n v="219795"/>
    <n v="287189.3"/>
    <x v="1"/>
    <x v="450"/>
    <x v="12"/>
    <s v="DELEGATE AGENCY"/>
    <s v="UNKNOWN"/>
    <x v="0"/>
  </r>
  <r>
    <n v="219799"/>
    <n v="80590"/>
    <x v="2"/>
    <x v="287"/>
    <x v="12"/>
    <s v="DELEGATE AGENCY"/>
    <s v="UNKNOWN"/>
    <x v="0"/>
  </r>
  <r>
    <n v="219888"/>
    <n v="25000"/>
    <x v="1"/>
    <x v="928"/>
    <x v="16"/>
    <s v="DELEGATE AGENCY"/>
    <s v="UNKNOWN"/>
    <x v="0"/>
  </r>
  <r>
    <n v="219889"/>
    <n v="16666"/>
    <x v="4"/>
    <x v="936"/>
    <x v="16"/>
    <s v="DELEGATE AGENCY"/>
    <s v="UNKNOWN"/>
    <x v="0"/>
  </r>
  <r>
    <n v="219890"/>
    <n v="16666"/>
    <x v="4"/>
    <x v="934"/>
    <x v="16"/>
    <s v="DELEGATE AGENCY"/>
    <s v="UNKNOWN"/>
    <x v="0"/>
  </r>
  <r>
    <n v="219891"/>
    <n v="49445.7"/>
    <x v="4"/>
    <x v="201"/>
    <x v="12"/>
    <s v="DELEGATE AGENCY"/>
    <s v="UNKNOWN"/>
    <x v="0"/>
  </r>
  <r>
    <n v="219897"/>
    <n v="550000"/>
    <x v="4"/>
    <x v="340"/>
    <x v="2"/>
    <s v="DELEGATE AGENCY"/>
    <s v="UNKNOWN"/>
    <x v="0"/>
  </r>
  <r>
    <n v="219956"/>
    <n v="409609.5"/>
    <x v="2"/>
    <x v="1005"/>
    <x v="8"/>
    <s v="DELEGATE AGENCY"/>
    <s v="UNKNOWN"/>
    <x v="0"/>
  </r>
  <r>
    <n v="219957"/>
    <n v="15733.4"/>
    <x v="2"/>
    <x v="42"/>
    <x v="8"/>
    <s v="DELEGATE AGENCY"/>
    <s v="UNKNOWN"/>
    <x v="0"/>
  </r>
  <r>
    <n v="219979"/>
    <n v="1382.2"/>
    <x v="4"/>
    <x v="642"/>
    <x v="15"/>
    <s v="SOFTWARE"/>
    <s v="UNKNOWN"/>
    <x v="0"/>
  </r>
  <r>
    <n v="220004"/>
    <n v="10598"/>
    <x v="3"/>
    <x v="77"/>
    <x v="12"/>
    <s v="DELEGATE AGENCY"/>
    <s v="UNKNOWN"/>
    <x v="0"/>
  </r>
  <r>
    <n v="220006"/>
    <n v="10000"/>
    <x v="4"/>
    <x v="76"/>
    <x v="12"/>
    <s v="DELEGATE AGENCY"/>
    <s v="UNKNOWN"/>
    <x v="0"/>
  </r>
  <r>
    <n v="220007"/>
    <n v="10000"/>
    <x v="4"/>
    <x v="76"/>
    <x v="12"/>
    <s v="DELEGATE AGENCY"/>
    <s v="UNKNOWN"/>
    <x v="0"/>
  </r>
  <r>
    <n v="220027"/>
    <n v="400000"/>
    <x v="4"/>
    <x v="404"/>
    <x v="8"/>
    <s v="COMPTROLLER-OTHER"/>
    <s v="UNKNOWN"/>
    <x v="0"/>
  </r>
  <r>
    <n v="220063"/>
    <n v="478618.1"/>
    <x v="2"/>
    <x v="66"/>
    <x v="8"/>
    <s v="DELEGATE AGENCY"/>
    <s v="UNKNOWN"/>
    <x v="0"/>
  </r>
  <r>
    <n v="220064"/>
    <n v="240000"/>
    <x v="2"/>
    <x v="91"/>
    <x v="8"/>
    <s v="DELEGATE AGENCY"/>
    <s v="UNKNOWN"/>
    <x v="0"/>
  </r>
  <r>
    <n v="220065"/>
    <n v="230887.5"/>
    <x v="1"/>
    <x v="34"/>
    <x v="8"/>
    <s v="DELEGATE AGENCY"/>
    <s v="UNKNOWN"/>
    <x v="0"/>
  </r>
  <r>
    <n v="220066"/>
    <n v="415692.4"/>
    <x v="1"/>
    <x v="595"/>
    <x v="8"/>
    <s v="DELEGATE AGENCY"/>
    <s v="UNKNOWN"/>
    <x v="0"/>
  </r>
  <r>
    <n v="220067"/>
    <n v="356638.2"/>
    <x v="2"/>
    <x v="227"/>
    <x v="8"/>
    <s v="DELEGATE AGENCY"/>
    <s v="UNKNOWN"/>
    <x v="0"/>
  </r>
  <r>
    <n v="220068"/>
    <n v="198527.1"/>
    <x v="2"/>
    <x v="229"/>
    <x v="8"/>
    <s v="DELEGATE AGENCY"/>
    <s v="UNKNOWN"/>
    <x v="0"/>
  </r>
  <r>
    <n v="220073"/>
    <n v="33333"/>
    <x v="1"/>
    <x v="882"/>
    <x v="16"/>
    <s v="DELEGATE AGENCY"/>
    <s v="UNKNOWN"/>
    <x v="0"/>
  </r>
  <r>
    <n v="220080"/>
    <n v="514673.9"/>
    <x v="4"/>
    <x v="448"/>
    <x v="12"/>
    <s v="DELEGATE AGENCY"/>
    <s v="UNKNOWN"/>
    <x v="0"/>
  </r>
  <r>
    <n v="220100"/>
    <n v="514753.1"/>
    <x v="2"/>
    <x v="448"/>
    <x v="12"/>
    <s v="DELEGATE AGENCY"/>
    <s v="UNKNOWN"/>
    <x v="0"/>
  </r>
  <r>
    <n v="220101"/>
    <n v="75000"/>
    <x v="2"/>
    <x v="213"/>
    <x v="12"/>
    <s v="DELEGATE AGENCY"/>
    <s v="UNKNOWN"/>
    <x v="0"/>
  </r>
  <r>
    <n v="220102"/>
    <n v="4300"/>
    <x v="1"/>
    <x v="76"/>
    <x v="12"/>
    <s v="DELEGATE AGENCY"/>
    <s v="UNKNOWN"/>
    <x v="0"/>
  </r>
  <r>
    <n v="220115"/>
    <n v="1006000"/>
    <x v="3"/>
    <x v="343"/>
    <x v="12"/>
    <s v="DELEGATE AGENCY"/>
    <s v="UNKNOWN"/>
    <x v="0"/>
  </r>
  <r>
    <n v="220119"/>
    <n v="233773"/>
    <x v="0"/>
    <x v="19"/>
    <x v="8"/>
    <s v="DELEGATE AGENCY"/>
    <s v="UNKNOWN"/>
    <x v="0"/>
  </r>
  <r>
    <n v="220120"/>
    <n v="320233"/>
    <x v="1"/>
    <x v="24"/>
    <x v="8"/>
    <s v="DELEGATE AGENCY"/>
    <s v="UNKNOWN"/>
    <x v="0"/>
  </r>
  <r>
    <n v="220121"/>
    <n v="371249.2"/>
    <x v="2"/>
    <x v="231"/>
    <x v="8"/>
    <s v="DELEGATE AGENCY"/>
    <s v="UNKNOWN"/>
    <x v="0"/>
  </r>
  <r>
    <n v="220122"/>
    <n v="1377506.6"/>
    <x v="2"/>
    <x v="139"/>
    <x v="8"/>
    <s v="DELEGATE AGENCY"/>
    <s v="UNKNOWN"/>
    <x v="0"/>
  </r>
  <r>
    <n v="220127"/>
    <n v="279305.90000000002"/>
    <x v="0"/>
    <x v="168"/>
    <x v="12"/>
    <s v="DELEGATE AGENCY"/>
    <s v="UNKNOWN"/>
    <x v="0"/>
  </r>
  <r>
    <n v="220189"/>
    <n v="71085"/>
    <x v="2"/>
    <x v="114"/>
    <x v="12"/>
    <s v="DELEGATE AGENCY"/>
    <s v="UNKNOWN"/>
    <x v="0"/>
  </r>
  <r>
    <n v="220190"/>
    <n v="59737"/>
    <x v="1"/>
    <x v="114"/>
    <x v="12"/>
    <s v="DELEGATE AGENCY"/>
    <s v="UNKNOWN"/>
    <x v="0"/>
  </r>
  <r>
    <n v="220199"/>
    <n v="62638"/>
    <x v="1"/>
    <x v="353"/>
    <x v="12"/>
    <s v="DELEGATE AGENCY"/>
    <s v="UNKNOWN"/>
    <x v="0"/>
  </r>
  <r>
    <n v="220224"/>
    <n v="66000"/>
    <x v="1"/>
    <x v="335"/>
    <x v="12"/>
    <s v="DELEGATE AGENCY"/>
    <s v="UNKNOWN"/>
    <x v="0"/>
  </r>
  <r>
    <n v="220228"/>
    <n v="72958"/>
    <x v="1"/>
    <x v="390"/>
    <x v="2"/>
    <s v="DELEGATE AGENCY"/>
    <s v="UNKNOWN"/>
    <x v="0"/>
  </r>
  <r>
    <n v="220242"/>
    <n v="6500"/>
    <x v="1"/>
    <x v="417"/>
    <x v="2"/>
    <s v="WORK SERVICES-SMALL ORDERS"/>
    <s v="BID"/>
    <x v="0"/>
  </r>
  <r>
    <n v="220380"/>
    <n v="20356"/>
    <x v="3"/>
    <x v="1006"/>
    <x v="28"/>
    <s v="COMPTROLLER-OTHER"/>
    <s v="UNKNOWN"/>
    <x v="0"/>
  </r>
  <r>
    <n v="220407"/>
    <n v="69000"/>
    <x v="4"/>
    <x v="315"/>
    <x v="12"/>
    <s v="DELEGATE AGENCY"/>
    <s v="UNKNOWN"/>
    <x v="0"/>
  </r>
  <r>
    <n v="220408"/>
    <n v="514756"/>
    <x v="1"/>
    <x v="451"/>
    <x v="12"/>
    <s v="DELEGATE AGENCY"/>
    <s v="UNKNOWN"/>
    <x v="0"/>
  </r>
  <r>
    <n v="220409"/>
    <n v="22189.8"/>
    <x v="2"/>
    <x v="311"/>
    <x v="12"/>
    <s v="DELEGATE AGENCY"/>
    <s v="UNKNOWN"/>
    <x v="0"/>
  </r>
  <r>
    <n v="220410"/>
    <n v="18332"/>
    <x v="4"/>
    <x v="84"/>
    <x v="12"/>
    <s v="DELEGATE AGENCY"/>
    <s v="UNKNOWN"/>
    <x v="0"/>
  </r>
  <r>
    <n v="220411"/>
    <n v="100000"/>
    <x v="4"/>
    <x v="84"/>
    <x v="12"/>
    <s v="DELEGATE AGENCY"/>
    <s v="UNKNOWN"/>
    <x v="0"/>
  </r>
  <r>
    <n v="220412"/>
    <n v="108900"/>
    <x v="1"/>
    <x v="239"/>
    <x v="12"/>
    <s v="DELEGATE AGENCY"/>
    <s v="UNKNOWN"/>
    <x v="0"/>
  </r>
  <r>
    <n v="220413"/>
    <n v="123350.5"/>
    <x v="1"/>
    <x v="294"/>
    <x v="12"/>
    <s v="DELEGATE AGENCY"/>
    <s v="UNKNOWN"/>
    <x v="0"/>
  </r>
  <r>
    <n v="220414"/>
    <n v="67000"/>
    <x v="1"/>
    <x v="287"/>
    <x v="12"/>
    <s v="DELEGATE AGENCY"/>
    <s v="UNKNOWN"/>
    <x v="0"/>
  </r>
  <r>
    <n v="220415"/>
    <n v="30560"/>
    <x v="1"/>
    <x v="287"/>
    <x v="12"/>
    <s v="DELEGATE AGENCY"/>
    <s v="UNKNOWN"/>
    <x v="0"/>
  </r>
  <r>
    <n v="220416"/>
    <n v="138000"/>
    <x v="4"/>
    <x v="59"/>
    <x v="12"/>
    <s v="DELEGATE AGENCY"/>
    <s v="UNKNOWN"/>
    <x v="0"/>
  </r>
  <r>
    <n v="220417"/>
    <n v="36668"/>
    <x v="1"/>
    <x v="84"/>
    <x v="12"/>
    <s v="DELEGATE AGENCY"/>
    <s v="UNKNOWN"/>
    <x v="0"/>
  </r>
  <r>
    <n v="220418"/>
    <n v="15210.6"/>
    <x v="4"/>
    <x v="284"/>
    <x v="12"/>
    <s v="DELEGATE AGENCY"/>
    <s v="UNKNOWN"/>
    <x v="0"/>
  </r>
  <r>
    <n v="220419"/>
    <n v="69000"/>
    <x v="4"/>
    <x v="66"/>
    <x v="12"/>
    <s v="DELEGATE AGENCY"/>
    <s v="UNKNOWN"/>
    <x v="0"/>
  </r>
  <r>
    <n v="220420"/>
    <n v="350000"/>
    <x v="1"/>
    <x v="284"/>
    <x v="12"/>
    <s v="DELEGATE AGENCY"/>
    <s v="UNKNOWN"/>
    <x v="0"/>
  </r>
  <r>
    <n v="220421"/>
    <n v="996730"/>
    <x v="2"/>
    <x v="284"/>
    <x v="12"/>
    <s v="DELEGATE AGENCY"/>
    <s v="UNKNOWN"/>
    <x v="0"/>
  </r>
  <r>
    <n v="220422"/>
    <n v="109709"/>
    <x v="2"/>
    <x v="287"/>
    <x v="12"/>
    <s v="DELEGATE AGENCY"/>
    <s v="UNKNOWN"/>
    <x v="0"/>
  </r>
  <r>
    <n v="220423"/>
    <n v="3398875"/>
    <x v="1"/>
    <x v="70"/>
    <x v="12"/>
    <s v="DELEGATE AGENCY"/>
    <s v="UNKNOWN"/>
    <x v="0"/>
  </r>
  <r>
    <n v="220424"/>
    <n v="2244341"/>
    <x v="0"/>
    <x v="70"/>
    <x v="12"/>
    <s v="DELEGATE AGENCY"/>
    <s v="UNKNOWN"/>
    <x v="0"/>
  </r>
  <r>
    <n v="220425"/>
    <n v="249999"/>
    <x v="0"/>
    <x v="296"/>
    <x v="12"/>
    <s v="DELEGATE AGENCY"/>
    <s v="UNKNOWN"/>
    <x v="0"/>
  </r>
  <r>
    <n v="220426"/>
    <n v="655000"/>
    <x v="1"/>
    <x v="370"/>
    <x v="12"/>
    <s v="DELEGATE AGENCY"/>
    <s v="UNKNOWN"/>
    <x v="0"/>
  </r>
  <r>
    <n v="220427"/>
    <n v="363257.5"/>
    <x v="2"/>
    <x v="71"/>
    <x v="12"/>
    <s v="DELEGATE AGENCY"/>
    <s v="UNKNOWN"/>
    <x v="0"/>
  </r>
  <r>
    <n v="220428"/>
    <n v="54000"/>
    <x v="2"/>
    <x v="62"/>
    <x v="12"/>
    <s v="DELEGATE AGENCY"/>
    <s v="UNKNOWN"/>
    <x v="0"/>
  </r>
  <r>
    <n v="220429"/>
    <n v="162000"/>
    <x v="1"/>
    <x v="62"/>
    <x v="12"/>
    <s v="DELEGATE AGENCY"/>
    <s v="UNKNOWN"/>
    <x v="0"/>
  </r>
  <r>
    <n v="220430"/>
    <n v="54000"/>
    <x v="1"/>
    <x v="62"/>
    <x v="12"/>
    <s v="DELEGATE AGENCY"/>
    <s v="UNKNOWN"/>
    <x v="0"/>
  </r>
  <r>
    <n v="220438"/>
    <n v="93764"/>
    <x v="1"/>
    <x v="379"/>
    <x v="2"/>
    <s v="DELEGATE AGENCY"/>
    <s v="UNKNOWN"/>
    <x v="0"/>
  </r>
  <r>
    <n v="220439"/>
    <n v="98210"/>
    <x v="1"/>
    <x v="381"/>
    <x v="2"/>
    <s v="DELEGATE AGENCY"/>
    <s v="UNKNOWN"/>
    <x v="0"/>
  </r>
  <r>
    <n v="220440"/>
    <n v="40302"/>
    <x v="1"/>
    <x v="380"/>
    <x v="2"/>
    <s v="DELEGATE AGENCY"/>
    <s v="UNKNOWN"/>
    <x v="0"/>
  </r>
  <r>
    <n v="220463"/>
    <n v="138000"/>
    <x v="4"/>
    <x v="450"/>
    <x v="12"/>
    <s v="DELEGATE AGENCY"/>
    <s v="UNKNOWN"/>
    <x v="0"/>
  </r>
  <r>
    <n v="220483"/>
    <n v="1800000"/>
    <x v="1"/>
    <x v="297"/>
    <x v="12"/>
    <s v="DELEGATE AGENCY"/>
    <s v="UNKNOWN"/>
    <x v="0"/>
  </r>
  <r>
    <n v="220485"/>
    <n v="297000"/>
    <x v="0"/>
    <x v="62"/>
    <x v="12"/>
    <s v="DELEGATE AGENCY"/>
    <s v="UNKNOWN"/>
    <x v="0"/>
  </r>
  <r>
    <n v="220487"/>
    <n v="54000"/>
    <x v="2"/>
    <x v="593"/>
    <x v="12"/>
    <s v="DELEGATE AGENCY"/>
    <s v="UNKNOWN"/>
    <x v="0"/>
  </r>
  <r>
    <n v="220488"/>
    <n v="514756"/>
    <x v="1"/>
    <x v="260"/>
    <x v="12"/>
    <s v="DELEGATE AGENCY"/>
    <s v="UNKNOWN"/>
    <x v="0"/>
  </r>
  <r>
    <n v="220489"/>
    <n v="62911"/>
    <x v="2"/>
    <x v="359"/>
    <x v="2"/>
    <s v="DELEGATE AGENCY"/>
    <s v="UNKNOWN"/>
    <x v="0"/>
  </r>
  <r>
    <n v="220490"/>
    <n v="507570.6"/>
    <x v="1"/>
    <x v="72"/>
    <x v="12"/>
    <s v="DELEGATE AGENCY"/>
    <s v="UNKNOWN"/>
    <x v="0"/>
  </r>
  <r>
    <n v="220491"/>
    <n v="608264.4"/>
    <x v="2"/>
    <x v="72"/>
    <x v="12"/>
    <s v="DELEGATE AGENCY"/>
    <s v="UNKNOWN"/>
    <x v="0"/>
  </r>
  <r>
    <n v="220492"/>
    <n v="250098"/>
    <x v="2"/>
    <x v="309"/>
    <x v="12"/>
    <s v="DELEGATE AGENCY"/>
    <s v="UNKNOWN"/>
    <x v="0"/>
  </r>
  <r>
    <n v="220493"/>
    <n v="108900"/>
    <x v="2"/>
    <x v="306"/>
    <x v="12"/>
    <s v="DELEGATE AGENCY"/>
    <s v="UNKNOWN"/>
    <x v="0"/>
  </r>
  <r>
    <n v="220495"/>
    <n v="351657"/>
    <x v="1"/>
    <x v="86"/>
    <x v="12"/>
    <s v="DELEGATE AGENCY"/>
    <s v="UNKNOWN"/>
    <x v="0"/>
  </r>
  <r>
    <n v="220496"/>
    <n v="25900"/>
    <x v="2"/>
    <x v="288"/>
    <x v="12"/>
    <s v="DELEGATE AGENCY"/>
    <s v="UNKNOWN"/>
    <x v="0"/>
  </r>
  <r>
    <n v="220497"/>
    <n v="1"/>
    <x v="4"/>
    <x v="297"/>
    <x v="12"/>
    <s v="DELEGATE AGENCY"/>
    <s v="UNKNOWN"/>
    <x v="0"/>
  </r>
  <r>
    <n v="220498"/>
    <n v="24768.400000000001"/>
    <x v="3"/>
    <x v="58"/>
    <x v="12"/>
    <s v="DELEGATE AGENCY"/>
    <s v="UNKNOWN"/>
    <x v="0"/>
  </r>
  <r>
    <n v="220499"/>
    <n v="69000"/>
    <x v="4"/>
    <x v="604"/>
    <x v="12"/>
    <s v="DELEGATE AGENCY"/>
    <s v="UNKNOWN"/>
    <x v="0"/>
  </r>
  <r>
    <n v="220500"/>
    <n v="69000"/>
    <x v="1"/>
    <x v="689"/>
    <x v="12"/>
    <s v="DELEGATE AGENCY"/>
    <s v="UNKNOWN"/>
    <x v="0"/>
  </r>
  <r>
    <n v="220501"/>
    <n v="54445"/>
    <x v="1"/>
    <x v="363"/>
    <x v="12"/>
    <s v="DELEGATE AGENCY"/>
    <s v="UNKNOWN"/>
    <x v="0"/>
  </r>
  <r>
    <n v="220502"/>
    <n v="80000"/>
    <x v="1"/>
    <x v="730"/>
    <x v="12"/>
    <s v="DELEGATE AGENCY"/>
    <s v="UNKNOWN"/>
    <x v="0"/>
  </r>
  <r>
    <n v="220503"/>
    <n v="423347.20000000001"/>
    <x v="1"/>
    <x v="60"/>
    <x v="12"/>
    <s v="DELEGATE AGENCY"/>
    <s v="UNKNOWN"/>
    <x v="0"/>
  </r>
  <r>
    <n v="220506"/>
    <n v="37500"/>
    <x v="2"/>
    <x v="452"/>
    <x v="2"/>
    <s v="DELEGATE AGENCY"/>
    <s v="UNKNOWN"/>
    <x v="0"/>
  </r>
  <r>
    <n v="220522"/>
    <n v="29913"/>
    <x v="4"/>
    <x v="1007"/>
    <x v="29"/>
    <s v="DPS DELEGATE AGENCY"/>
    <s v="UNKNOWN"/>
    <x v="0"/>
  </r>
  <r>
    <n v="220523"/>
    <n v="66944.800000000003"/>
    <x v="4"/>
    <x v="341"/>
    <x v="12"/>
    <s v="DELEGATE AGENCY"/>
    <s v="UNKNOWN"/>
    <x v="0"/>
  </r>
  <r>
    <n v="220524"/>
    <n v="875000"/>
    <x v="1"/>
    <x v="317"/>
    <x v="12"/>
    <s v="DELEGATE AGENCY"/>
    <s v="UNKNOWN"/>
    <x v="0"/>
  </r>
  <r>
    <n v="220526"/>
    <n v="59385"/>
    <x v="2"/>
    <x v="370"/>
    <x v="12"/>
    <s v="DELEGATE AGENCY"/>
    <s v="UNKNOWN"/>
    <x v="0"/>
  </r>
  <r>
    <n v="220527"/>
    <n v="875000"/>
    <x v="1"/>
    <x v="879"/>
    <x v="12"/>
    <s v="DELEGATE AGENCY"/>
    <s v="UNKNOWN"/>
    <x v="0"/>
  </r>
  <r>
    <n v="220528"/>
    <n v="48458.9"/>
    <x v="2"/>
    <x v="348"/>
    <x v="12"/>
    <s v="DELEGATE AGENCY"/>
    <s v="UNKNOWN"/>
    <x v="0"/>
  </r>
  <r>
    <n v="220529"/>
    <n v="65608"/>
    <x v="4"/>
    <x v="91"/>
    <x v="12"/>
    <s v="DELEGATE AGENCY"/>
    <s v="UNKNOWN"/>
    <x v="0"/>
  </r>
  <r>
    <n v="220530"/>
    <n v="875000"/>
    <x v="1"/>
    <x v="127"/>
    <x v="12"/>
    <s v="DELEGATE AGENCY"/>
    <s v="UNKNOWN"/>
    <x v="0"/>
  </r>
  <r>
    <n v="220531"/>
    <n v="875000"/>
    <x v="2"/>
    <x v="168"/>
    <x v="12"/>
    <s v="DELEGATE AGENCY"/>
    <s v="UNKNOWN"/>
    <x v="0"/>
  </r>
  <r>
    <n v="220532"/>
    <n v="875000"/>
    <x v="2"/>
    <x v="72"/>
    <x v="12"/>
    <s v="DELEGATE AGENCY"/>
    <s v="UNKNOWN"/>
    <x v="0"/>
  </r>
  <r>
    <n v="220533"/>
    <n v="225000"/>
    <x v="2"/>
    <x v="1008"/>
    <x v="8"/>
    <s v="COMPTROLLER-OTHER"/>
    <s v="UNKNOWN"/>
    <x v="0"/>
  </r>
  <r>
    <n v="220534"/>
    <n v="87201.8"/>
    <x v="1"/>
    <x v="351"/>
    <x v="12"/>
    <s v="DELEGATE AGENCY"/>
    <s v="UNKNOWN"/>
    <x v="0"/>
  </r>
  <r>
    <n v="220535"/>
    <n v="875000"/>
    <x v="1"/>
    <x v="200"/>
    <x v="12"/>
    <s v="DELEGATE AGENCY"/>
    <s v="UNKNOWN"/>
    <x v="0"/>
  </r>
  <r>
    <n v="220536"/>
    <n v="1750000"/>
    <x v="2"/>
    <x v="1009"/>
    <x v="12"/>
    <s v="DELEGATE AGENCY"/>
    <s v="UNKNOWN"/>
    <x v="0"/>
  </r>
  <r>
    <n v="220537"/>
    <n v="204538"/>
    <x v="0"/>
    <x v="311"/>
    <x v="12"/>
    <s v="DELEGATE AGENCY"/>
    <s v="UNKNOWN"/>
    <x v="0"/>
  </r>
  <r>
    <n v="220538"/>
    <n v="734576.2"/>
    <x v="1"/>
    <x v="285"/>
    <x v="12"/>
    <s v="DELEGATE AGENCY"/>
    <s v="UNKNOWN"/>
    <x v="0"/>
  </r>
  <r>
    <n v="220539"/>
    <n v="851402.5"/>
    <x v="2"/>
    <x v="337"/>
    <x v="26"/>
    <s v="DELEGATE AGENCY"/>
    <s v="UNKNOWN"/>
    <x v="0"/>
  </r>
  <r>
    <n v="220540"/>
    <n v="136468"/>
    <x v="2"/>
    <x v="366"/>
    <x v="12"/>
    <s v="DELEGATE AGENCY"/>
    <s v="UNKNOWN"/>
    <x v="0"/>
  </r>
  <r>
    <n v="220585"/>
    <n v="69847.399999999994"/>
    <x v="1"/>
    <x v="91"/>
    <x v="12"/>
    <s v="DELEGATE AGENCY"/>
    <s v="UNKNOWN"/>
    <x v="0"/>
  </r>
  <r>
    <n v="220602"/>
    <n v="140778.1"/>
    <x v="1"/>
    <x v="167"/>
    <x v="8"/>
    <s v="DELEGATE AGENCY"/>
    <s v="UNKNOWN"/>
    <x v="0"/>
  </r>
  <r>
    <n v="220603"/>
    <n v="188274.3"/>
    <x v="1"/>
    <x v="169"/>
    <x v="8"/>
    <s v="DELEGATE AGENCY"/>
    <s v="UNKNOWN"/>
    <x v="0"/>
  </r>
  <r>
    <n v="220739"/>
    <n v="39188.1"/>
    <x v="1"/>
    <x v="642"/>
    <x v="15"/>
    <s v="SOFTWARE"/>
    <s v="UNKNOWN"/>
    <x v="0"/>
  </r>
  <r>
    <n v="220740"/>
    <n v="890662.2"/>
    <x v="4"/>
    <x v="642"/>
    <x v="15"/>
    <s v="SOFTWARE"/>
    <s v="UNKNOWN"/>
    <x v="0"/>
  </r>
  <r>
    <n v="220769"/>
    <n v="225000"/>
    <x v="2"/>
    <x v="582"/>
    <x v="8"/>
    <s v="DELEGATE AGENCY"/>
    <s v="UNKNOWN"/>
    <x v="0"/>
  </r>
  <r>
    <n v="220776"/>
    <n v="39974.800000000003"/>
    <x v="1"/>
    <x v="24"/>
    <x v="12"/>
    <s v="DELEGATE AGENCY"/>
    <s v="UNKNOWN"/>
    <x v="0"/>
  </r>
  <r>
    <n v="220788"/>
    <n v="40190"/>
    <x v="4"/>
    <x v="907"/>
    <x v="2"/>
    <s v="DELEGATE AGENCY"/>
    <s v="UNKNOWN"/>
    <x v="0"/>
  </r>
  <r>
    <n v="220790"/>
    <n v="172100.2"/>
    <x v="4"/>
    <x v="167"/>
    <x v="8"/>
    <s v="DELEGATE AGENCY"/>
    <s v="UNKNOWN"/>
    <x v="0"/>
  </r>
  <r>
    <n v="220791"/>
    <n v="7658506.0999999996"/>
    <x v="1"/>
    <x v="158"/>
    <x v="0"/>
    <s v="CONSTRUCTION-LARGE $3MILLIONorABOVE"/>
    <s v="BID"/>
    <x v="0"/>
  </r>
  <r>
    <n v="220794"/>
    <n v="5000"/>
    <x v="0"/>
    <x v="1010"/>
    <x v="20"/>
    <s v="COMPTROLLER-OTHER"/>
    <s v="UNKNOWN"/>
    <x v="0"/>
  </r>
  <r>
    <n v="220796"/>
    <n v="50000"/>
    <x v="3"/>
    <x v="847"/>
    <x v="20"/>
    <s v="COMPTROLLER-OTHER"/>
    <s v="UNKNOWN"/>
    <x v="0"/>
  </r>
  <r>
    <n v="220798"/>
    <n v="50000"/>
    <x v="1"/>
    <x v="1011"/>
    <x v="20"/>
    <s v="COMPTROLLER-OTHER"/>
    <s v="UNKNOWN"/>
    <x v="0"/>
  </r>
  <r>
    <n v="220799"/>
    <n v="14000"/>
    <x v="1"/>
    <x v="228"/>
    <x v="20"/>
    <s v="COMPTROLLER-OTHER"/>
    <s v="UNKNOWN"/>
    <x v="0"/>
  </r>
  <r>
    <n v="220800"/>
    <n v="215000"/>
    <x v="4"/>
    <x v="1012"/>
    <x v="2"/>
    <s v="COMPTROLLER-OTHER"/>
    <s v="UNKNOWN"/>
    <x v="0"/>
  </r>
  <r>
    <n v="220801"/>
    <n v="69000"/>
    <x v="1"/>
    <x v="353"/>
    <x v="12"/>
    <s v="DELEGATE AGENCY"/>
    <s v="UNKNOWN"/>
    <x v="0"/>
  </r>
  <r>
    <n v="220802"/>
    <n v="668279.19999999995"/>
    <x v="1"/>
    <x v="67"/>
    <x v="12"/>
    <s v="DELEGATE AGENCY"/>
    <s v="UNKNOWN"/>
    <x v="0"/>
  </r>
  <r>
    <n v="220803"/>
    <n v="3436271"/>
    <x v="2"/>
    <x v="69"/>
    <x v="12"/>
    <s v="DELEGATE AGENCY"/>
    <s v="UNKNOWN"/>
    <x v="0"/>
  </r>
  <r>
    <n v="220804"/>
    <n v="987256"/>
    <x v="0"/>
    <x v="74"/>
    <x v="12"/>
    <s v="DELEGATE AGENCY"/>
    <s v="UNKNOWN"/>
    <x v="0"/>
  </r>
  <r>
    <n v="220805"/>
    <n v="240431.5"/>
    <x v="2"/>
    <x v="309"/>
    <x v="12"/>
    <s v="DELEGATE AGENCY"/>
    <s v="UNKNOWN"/>
    <x v="0"/>
  </r>
  <r>
    <n v="220806"/>
    <n v="121000"/>
    <x v="1"/>
    <x v="319"/>
    <x v="12"/>
    <s v="DELEGATE AGENCY"/>
    <s v="UNKNOWN"/>
    <x v="0"/>
  </r>
  <r>
    <n v="220807"/>
    <n v="1169603.7"/>
    <x v="1"/>
    <x v="77"/>
    <x v="12"/>
    <s v="DELEGATE AGENCY"/>
    <s v="UNKNOWN"/>
    <x v="0"/>
  </r>
  <r>
    <n v="220818"/>
    <n v="269997"/>
    <x v="0"/>
    <x v="1013"/>
    <x v="8"/>
    <s v="COMPTROLLER-OTHER"/>
    <s v="UNKNOWN"/>
    <x v="0"/>
  </r>
  <r>
    <n v="220824"/>
    <n v="44358"/>
    <x v="2"/>
    <x v="1014"/>
    <x v="8"/>
    <s v="COMPTROLLER-OTHER"/>
    <s v="UNKNOWN"/>
    <x v="0"/>
  </r>
  <r>
    <n v="220884"/>
    <n v="748463.6"/>
    <x v="4"/>
    <x v="326"/>
    <x v="26"/>
    <s v="DELEGATE AGENCY"/>
    <s v="UNKNOWN"/>
    <x v="0"/>
  </r>
  <r>
    <n v="220885"/>
    <n v="237663.6"/>
    <x v="2"/>
    <x v="114"/>
    <x v="8"/>
    <s v="DELEGATE AGENCY"/>
    <s v="UNKNOWN"/>
    <x v="0"/>
  </r>
  <r>
    <n v="220888"/>
    <n v="26788"/>
    <x v="1"/>
    <x v="969"/>
    <x v="19"/>
    <s v="DELEGATE AGENCY"/>
    <s v="UNKNOWN"/>
    <x v="0"/>
  </r>
  <r>
    <n v="220889"/>
    <n v="430630.5"/>
    <x v="4"/>
    <x v="82"/>
    <x v="8"/>
    <s v="DELEGATE AGENCY"/>
    <s v="UNKNOWN"/>
    <x v="0"/>
  </r>
  <r>
    <n v="220890"/>
    <n v="240000"/>
    <x v="2"/>
    <x v="34"/>
    <x v="8"/>
    <s v="DELEGATE AGENCY"/>
    <s v="UNKNOWN"/>
    <x v="0"/>
  </r>
  <r>
    <n v="220891"/>
    <n v="461902"/>
    <x v="1"/>
    <x v="530"/>
    <x v="8"/>
    <s v="DELEGATE AGENCY"/>
    <s v="UNKNOWN"/>
    <x v="0"/>
  </r>
  <r>
    <n v="220929"/>
    <n v="16666"/>
    <x v="2"/>
    <x v="938"/>
    <x v="16"/>
    <s v="DELEGATE AGENCY"/>
    <s v="UNKNOWN"/>
    <x v="0"/>
  </r>
  <r>
    <n v="220930"/>
    <n v="39163"/>
    <x v="4"/>
    <x v="116"/>
    <x v="16"/>
    <s v="DELEGATE AGENCY"/>
    <s v="UNKNOWN"/>
    <x v="0"/>
  </r>
  <r>
    <n v="220931"/>
    <n v="16666"/>
    <x v="4"/>
    <x v="128"/>
    <x v="16"/>
    <s v="DELEGATE AGENCY"/>
    <s v="UNKNOWN"/>
    <x v="0"/>
  </r>
  <r>
    <n v="220959"/>
    <n v="300000"/>
    <x v="4"/>
    <x v="892"/>
    <x v="1"/>
    <s v="DELEGATE AGENCY"/>
    <s v="UNKNOWN"/>
    <x v="0"/>
  </r>
  <r>
    <n v="220964"/>
    <n v="300000"/>
    <x v="2"/>
    <x v="988"/>
    <x v="2"/>
    <s v="DELEGATE AGENCY"/>
    <s v="RFP"/>
    <x v="0"/>
  </r>
  <r>
    <n v="220965"/>
    <n v="290000"/>
    <x v="2"/>
    <x v="25"/>
    <x v="2"/>
    <s v="DELEGATE AGENCY"/>
    <s v="RFP"/>
    <x v="0"/>
  </r>
  <r>
    <n v="220966"/>
    <n v="300000"/>
    <x v="2"/>
    <x v="370"/>
    <x v="2"/>
    <s v="DELEGATE AGENCY"/>
    <s v="RFP"/>
    <x v="0"/>
  </r>
  <r>
    <n v="220967"/>
    <n v="300000"/>
    <x v="2"/>
    <x v="1015"/>
    <x v="2"/>
    <s v="DELEGATE AGENCY"/>
    <s v="RFP"/>
    <x v="0"/>
  </r>
  <r>
    <n v="220968"/>
    <n v="300000"/>
    <x v="2"/>
    <x v="1016"/>
    <x v="2"/>
    <s v="DELEGATE AGENCY"/>
    <s v="RFP"/>
    <x v="0"/>
  </r>
  <r>
    <n v="220969"/>
    <n v="600000"/>
    <x v="2"/>
    <x v="1017"/>
    <x v="2"/>
    <s v="DELEGATE AGENCY"/>
    <s v="RFP"/>
    <x v="0"/>
  </r>
  <r>
    <n v="220970"/>
    <n v="350000"/>
    <x v="2"/>
    <x v="1018"/>
    <x v="2"/>
    <s v="DELEGATE AGENCY"/>
    <s v="RFP"/>
    <x v="0"/>
  </r>
  <r>
    <n v="220971"/>
    <n v="270000"/>
    <x v="2"/>
    <x v="1019"/>
    <x v="2"/>
    <s v="DELEGATE AGENCY"/>
    <s v="RFP"/>
    <x v="0"/>
  </r>
  <r>
    <n v="220972"/>
    <n v="250000"/>
    <x v="2"/>
    <x v="1020"/>
    <x v="2"/>
    <s v="DELEGATE AGENCY"/>
    <s v="RFP"/>
    <x v="0"/>
  </r>
  <r>
    <n v="220973"/>
    <n v="300000"/>
    <x v="2"/>
    <x v="1021"/>
    <x v="2"/>
    <s v="DELEGATE AGENCY"/>
    <s v="RFP"/>
    <x v="0"/>
  </r>
  <r>
    <n v="220974"/>
    <n v="250000"/>
    <x v="2"/>
    <x v="1022"/>
    <x v="2"/>
    <s v="DELEGATE AGENCY"/>
    <s v="RFP"/>
    <x v="0"/>
  </r>
  <r>
    <n v="220975"/>
    <n v="300000"/>
    <x v="2"/>
    <x v="1023"/>
    <x v="2"/>
    <s v="DELEGATE AGENCY"/>
    <s v="RFP"/>
    <x v="0"/>
  </r>
  <r>
    <n v="220976"/>
    <n v="200000"/>
    <x v="2"/>
    <x v="1024"/>
    <x v="2"/>
    <s v="DELEGATE AGENCY"/>
    <s v="RFP"/>
    <x v="0"/>
  </r>
  <r>
    <n v="220977"/>
    <n v="730000"/>
    <x v="1"/>
    <x v="25"/>
    <x v="2"/>
    <s v="DELEGATE AGENCY"/>
    <s v="RFP"/>
    <x v="0"/>
  </r>
  <r>
    <n v="220978"/>
    <n v="300000"/>
    <x v="2"/>
    <x v="1025"/>
    <x v="2"/>
    <s v="DELEGATE AGENCY"/>
    <s v="RFP"/>
    <x v="0"/>
  </r>
  <r>
    <n v="220979"/>
    <n v="400000"/>
    <x v="2"/>
    <x v="314"/>
    <x v="2"/>
    <s v="DELEGATE AGENCY"/>
    <s v="RFP"/>
    <x v="0"/>
  </r>
  <r>
    <n v="220983"/>
    <n v="2345000"/>
    <x v="2"/>
    <x v="558"/>
    <x v="12"/>
    <s v="DELEGATE AGENCY"/>
    <s v="UNKNOWN"/>
    <x v="0"/>
  </r>
  <r>
    <n v="221058"/>
    <n v="2292171"/>
    <x v="0"/>
    <x v="1026"/>
    <x v="0"/>
    <s v="COMMODITIES"/>
    <s v="BID"/>
    <x v="0"/>
  </r>
  <r>
    <n v="221064"/>
    <n v="33079.300000000003"/>
    <x v="0"/>
    <x v="114"/>
    <x v="12"/>
    <s v="DELEGATE AGENCY"/>
    <s v="UNKNOWN"/>
    <x v="0"/>
  </r>
  <r>
    <n v="221088"/>
    <n v="450000"/>
    <x v="4"/>
    <x v="169"/>
    <x v="8"/>
    <s v="DELEGATE AGENCY"/>
    <s v="RFP"/>
    <x v="0"/>
  </r>
  <r>
    <n v="221116"/>
    <n v="450000"/>
    <x v="2"/>
    <x v="201"/>
    <x v="8"/>
    <s v="DELEGATE AGENCY"/>
    <s v="RFP"/>
    <x v="0"/>
  </r>
  <r>
    <n v="221173"/>
    <n v="695118"/>
    <x v="2"/>
    <x v="367"/>
    <x v="12"/>
    <s v="DELEGATE AGENCY"/>
    <s v="UNKNOWN"/>
    <x v="0"/>
  </r>
  <r>
    <n v="221174"/>
    <n v="1390235"/>
    <x v="2"/>
    <x v="359"/>
    <x v="12"/>
    <s v="DELEGATE AGENCY"/>
    <s v="UNKNOWN"/>
    <x v="0"/>
  </r>
  <r>
    <n v="221176"/>
    <n v="162650.6"/>
    <x v="0"/>
    <x v="59"/>
    <x v="8"/>
    <s v="DELEGATE AGENCY"/>
    <s v="UNKNOWN"/>
    <x v="0"/>
  </r>
  <r>
    <n v="221177"/>
    <n v="480000"/>
    <x v="1"/>
    <x v="1027"/>
    <x v="1"/>
    <s v="DELEGATE AGENCY"/>
    <s v="UNKNOWN"/>
    <x v="0"/>
  </r>
  <r>
    <n v="221178"/>
    <n v="40000000"/>
    <x v="2"/>
    <x v="1028"/>
    <x v="6"/>
    <s v="PRO SERV-AVIATION"/>
    <s v="RFP"/>
    <x v="0"/>
  </r>
  <r>
    <n v="221183"/>
    <n v="22032608.199999999"/>
    <x v="0"/>
    <x v="1029"/>
    <x v="20"/>
    <s v="WORK SERVICES / FACILITIES MAINT."/>
    <s v="BID"/>
    <x v="0"/>
  </r>
  <r>
    <n v="221187"/>
    <n v="250000"/>
    <x v="0"/>
    <x v="1030"/>
    <x v="2"/>
    <s v="COMPTROLLER-OTHER"/>
    <s v="UNKNOWN"/>
    <x v="0"/>
  </r>
  <r>
    <n v="221190"/>
    <n v="250000"/>
    <x v="2"/>
    <x v="1031"/>
    <x v="2"/>
    <s v="COMPTROLLER-OTHER"/>
    <s v="UNKNOWN"/>
    <x v="0"/>
  </r>
  <r>
    <n v="221193"/>
    <n v="7325000"/>
    <x v="2"/>
    <x v="1032"/>
    <x v="2"/>
    <s v="COMPTROLLER-OTHER"/>
    <s v="UNKNOWN"/>
    <x v="0"/>
  </r>
  <r>
    <n v="221194"/>
    <n v="4600000"/>
    <x v="0"/>
    <x v="1033"/>
    <x v="2"/>
    <s v="COMPTROLLER-OTHER"/>
    <s v="UNKNOWN"/>
    <x v="0"/>
  </r>
  <r>
    <n v="221195"/>
    <n v="18000000"/>
    <x v="0"/>
    <x v="1032"/>
    <x v="2"/>
    <s v="COMPTROLLER-OTHER"/>
    <s v="UNKNOWN"/>
    <x v="0"/>
  </r>
  <r>
    <n v="221196"/>
    <n v="17000000"/>
    <x v="0"/>
    <x v="1033"/>
    <x v="2"/>
    <s v="COMPTROLLER-OTHER"/>
    <s v="UNKNOWN"/>
    <x v="0"/>
  </r>
  <r>
    <n v="221197"/>
    <n v="111068"/>
    <x v="0"/>
    <x v="197"/>
    <x v="2"/>
    <s v="COMPTROLLER-OTHER"/>
    <s v="UNKNOWN"/>
    <x v="0"/>
  </r>
  <r>
    <n v="221201"/>
    <n v="1288063.1000000001"/>
    <x v="1"/>
    <x v="1034"/>
    <x v="6"/>
    <s v="COMPTROLLER-OTHER"/>
    <s v="UNKNOWN"/>
    <x v="0"/>
  </r>
  <r>
    <n v="221210"/>
    <n v="58703"/>
    <x v="0"/>
    <x v="228"/>
    <x v="12"/>
    <s v="DELEGATE AGENCY"/>
    <s v="UNKNOWN"/>
    <x v="0"/>
  </r>
  <r>
    <n v="221252"/>
    <n v="84965"/>
    <x v="1"/>
    <x v="374"/>
    <x v="2"/>
    <s v="DELEGATE AGENCY"/>
    <s v="UNKNOWN"/>
    <x v="0"/>
  </r>
  <r>
    <n v="221254"/>
    <n v="111880"/>
    <x v="1"/>
    <x v="221"/>
    <x v="2"/>
    <s v="DELEGATE AGENCY"/>
    <s v="UNKNOWN"/>
    <x v="0"/>
  </r>
  <r>
    <n v="221256"/>
    <n v="129911"/>
    <x v="1"/>
    <x v="378"/>
    <x v="2"/>
    <s v="DELEGATE AGENCY"/>
    <s v="UNKNOWN"/>
    <x v="0"/>
  </r>
  <r>
    <n v="221279"/>
    <n v="281534"/>
    <x v="1"/>
    <x v="216"/>
    <x v="12"/>
    <s v="DELEGATE AGENCY"/>
    <s v="UNKNOWN"/>
    <x v="0"/>
  </r>
  <r>
    <n v="221280"/>
    <n v="129250"/>
    <x v="2"/>
    <x v="311"/>
    <x v="12"/>
    <s v="DELEGATE AGENCY"/>
    <s v="UNKNOWN"/>
    <x v="0"/>
  </r>
  <r>
    <n v="221286"/>
    <n v="111842.3"/>
    <x v="1"/>
    <x v="24"/>
    <x v="12"/>
    <s v="DELEGATE AGENCY"/>
    <s v="UNKNOWN"/>
    <x v="0"/>
  </r>
  <r>
    <n v="221501"/>
    <n v="87891.5"/>
    <x v="1"/>
    <x v="367"/>
    <x v="12"/>
    <s v="DELEGATE AGENCY"/>
    <s v="UNKNOWN"/>
    <x v="0"/>
  </r>
  <r>
    <n v="221505"/>
    <n v="68760.7"/>
    <x v="1"/>
    <x v="347"/>
    <x v="12"/>
    <s v="DELEGATE AGENCY"/>
    <s v="UNKNOWN"/>
    <x v="0"/>
  </r>
  <r>
    <n v="221508"/>
    <n v="55514.5"/>
    <x v="1"/>
    <x v="59"/>
    <x v="12"/>
    <s v="DELEGATE AGENCY"/>
    <s v="UNKNOWN"/>
    <x v="0"/>
  </r>
  <r>
    <n v="221510"/>
    <n v="121229.2"/>
    <x v="1"/>
    <x v="76"/>
    <x v="12"/>
    <s v="DELEGATE AGENCY"/>
    <s v="UNKNOWN"/>
    <x v="0"/>
  </r>
  <r>
    <n v="221511"/>
    <n v="160000"/>
    <x v="1"/>
    <x v="128"/>
    <x v="12"/>
    <s v="DELEGATE AGENCY"/>
    <s v="UNKNOWN"/>
    <x v="0"/>
  </r>
  <r>
    <n v="221521"/>
    <n v="635000"/>
    <x v="1"/>
    <x v="358"/>
    <x v="12"/>
    <s v="DELEGATE AGENCY"/>
    <s v="UNKNOWN"/>
    <x v="0"/>
  </r>
  <r>
    <n v="221537"/>
    <n v="225000"/>
    <x v="2"/>
    <x v="166"/>
    <x v="8"/>
    <s v="DELEGATE AGENCY"/>
    <s v="UNKNOWN"/>
    <x v="0"/>
  </r>
  <r>
    <n v="221551"/>
    <n v="248913.1"/>
    <x v="1"/>
    <x v="19"/>
    <x v="8"/>
    <s v="DELEGATE AGENCY"/>
    <s v="UNKNOWN"/>
    <x v="0"/>
  </r>
  <r>
    <n v="221562"/>
    <n v="86500.6"/>
    <x v="1"/>
    <x v="91"/>
    <x v="12"/>
    <s v="DELEGATE AGENCY"/>
    <s v="UNKNOWN"/>
    <x v="0"/>
  </r>
  <r>
    <n v="221567"/>
    <n v="630768"/>
    <x v="1"/>
    <x v="5"/>
    <x v="12"/>
    <s v="DELEGATE AGENCY"/>
    <s v="UNKNOWN"/>
    <x v="0"/>
  </r>
  <r>
    <n v="221585"/>
    <n v="30840"/>
    <x v="2"/>
    <x v="64"/>
    <x v="12"/>
    <s v="DELEGATE AGENCY"/>
    <s v="UNKNOWN"/>
    <x v="0"/>
  </r>
  <r>
    <n v="221587"/>
    <n v="1200000"/>
    <x v="4"/>
    <x v="299"/>
    <x v="12"/>
    <s v="DELEGATE AGENCY"/>
    <s v="UNKNOWN"/>
    <x v="0"/>
  </r>
  <r>
    <n v="221606"/>
    <n v="240000"/>
    <x v="0"/>
    <x v="464"/>
    <x v="8"/>
    <s v="DELEGATE AGENCY"/>
    <s v="UNKNOWN"/>
    <x v="0"/>
  </r>
  <r>
    <n v="221613"/>
    <n v="225000"/>
    <x v="1"/>
    <x v="114"/>
    <x v="8"/>
    <s v="DELEGATE AGENCY"/>
    <s v="UNKNOWN"/>
    <x v="0"/>
  </r>
  <r>
    <n v="221651"/>
    <n v="12900000"/>
    <x v="1"/>
    <x v="1035"/>
    <x v="11"/>
    <s v="COMMODITIES"/>
    <s v="BID"/>
    <x v="0"/>
  </r>
  <r>
    <n v="221901"/>
    <n v="354309.5"/>
    <x v="0"/>
    <x v="139"/>
    <x v="8"/>
    <s v="DELEGATE AGENCY"/>
    <s v="UNKNOWN"/>
    <x v="0"/>
  </r>
  <r>
    <n v="221902"/>
    <n v="33000000"/>
    <x v="2"/>
    <x v="999"/>
    <x v="33"/>
    <s v="PRO SERV CONSULTING $250,000orABOVE"/>
    <s v="JOINT PURCHASE"/>
    <x v="0"/>
  </r>
  <r>
    <n v="221916"/>
    <n v="327200"/>
    <x v="0"/>
    <x v="305"/>
    <x v="12"/>
    <s v="DELEGATE AGENCY"/>
    <s v="UNKNOWN"/>
    <x v="0"/>
  </r>
  <r>
    <n v="221920"/>
    <n v="488801"/>
    <x v="2"/>
    <x v="293"/>
    <x v="12"/>
    <s v="DELEGATE AGENCY"/>
    <s v="UNKNOWN"/>
    <x v="0"/>
  </r>
  <r>
    <n v="221926"/>
    <n v="1920500"/>
    <x v="2"/>
    <x v="114"/>
    <x v="8"/>
    <s v="DELEGATE AGENCY"/>
    <s v="UNKNOWN"/>
    <x v="0"/>
  </r>
  <r>
    <n v="221943"/>
    <n v="156800"/>
    <x v="0"/>
    <x v="293"/>
    <x v="12"/>
    <s v="DELEGATE AGENCY"/>
    <s v="UNKNOWN"/>
    <x v="0"/>
  </r>
  <r>
    <n v="221977"/>
    <n v="76741.5"/>
    <x v="1"/>
    <x v="350"/>
    <x v="12"/>
    <s v="DELEGATE AGENCY"/>
    <s v="UNKNOWN"/>
    <x v="0"/>
  </r>
  <r>
    <n v="221986"/>
    <n v="58718"/>
    <x v="1"/>
    <x v="48"/>
    <x v="8"/>
    <s v="DELEGATE AGENCY"/>
    <s v="UNKNOWN"/>
    <x v="0"/>
  </r>
  <r>
    <n v="221987"/>
    <n v="49843.1"/>
    <x v="1"/>
    <x v="91"/>
    <x v="22"/>
    <s v="DELEGATE AGENCY"/>
    <s v="UNKNOWN"/>
    <x v="0"/>
  </r>
  <r>
    <n v="221988"/>
    <n v="65895"/>
    <x v="4"/>
    <x v="304"/>
    <x v="12"/>
    <s v="DELEGATE AGENCY"/>
    <s v="UNKNOWN"/>
    <x v="0"/>
  </r>
  <r>
    <n v="221993"/>
    <n v="52501.2"/>
    <x v="1"/>
    <x v="229"/>
    <x v="8"/>
    <s v="DELEGATE AGENCY"/>
    <s v="UNKNOWN"/>
    <x v="0"/>
  </r>
  <r>
    <n v="221997"/>
    <n v="469625.8"/>
    <x v="1"/>
    <x v="46"/>
    <x v="8"/>
    <s v="DELEGATE AGENCY"/>
    <s v="UNKNOWN"/>
    <x v="0"/>
  </r>
  <r>
    <n v="221998"/>
    <n v="216012.1"/>
    <x v="2"/>
    <x v="57"/>
    <x v="8"/>
    <s v="DELEGATE AGENCY"/>
    <s v="UNKNOWN"/>
    <x v="0"/>
  </r>
  <r>
    <n v="222006"/>
    <n v="55000"/>
    <x v="1"/>
    <x v="391"/>
    <x v="19"/>
    <s v="DELEGATE AGENCY"/>
    <s v="UNKNOWN"/>
    <x v="0"/>
  </r>
  <r>
    <n v="222009"/>
    <n v="50000"/>
    <x v="1"/>
    <x v="962"/>
    <x v="19"/>
    <s v="DELEGATE AGENCY"/>
    <s v="UNKNOWN"/>
    <x v="0"/>
  </r>
  <r>
    <n v="222014"/>
    <n v="597704.9"/>
    <x v="1"/>
    <x v="189"/>
    <x v="8"/>
    <s v="DELEGATE AGENCY"/>
    <s v="UNKNOWN"/>
    <x v="0"/>
  </r>
  <r>
    <n v="222150"/>
    <n v="126310"/>
    <x v="2"/>
    <x v="1036"/>
    <x v="20"/>
    <s v="COMPTROLLER-OTHER"/>
    <s v="UNKNOWN"/>
    <x v="0"/>
  </r>
  <r>
    <n v="222151"/>
    <n v="34000"/>
    <x v="1"/>
    <x v="1037"/>
    <x v="20"/>
    <s v="COMPTROLLER-OTHER"/>
    <s v="UNKNOWN"/>
    <x v="0"/>
  </r>
  <r>
    <n v="22216"/>
    <n v="290000"/>
    <x v="4"/>
    <x v="1038"/>
    <x v="24"/>
    <s v="WORK SERVICES / FACILITIES MAINT."/>
    <s v="BID"/>
    <x v="0"/>
  </r>
  <r>
    <n v="222163"/>
    <n v="4647616.3"/>
    <x v="2"/>
    <x v="1039"/>
    <x v="4"/>
    <s v="COMMODITIES"/>
    <s v="BID"/>
    <x v="0"/>
  </r>
  <r>
    <n v="222174"/>
    <n v="485955.5"/>
    <x v="0"/>
    <x v="126"/>
    <x v="12"/>
    <s v="DELEGATE AGENCY"/>
    <s v="UNKNOWN"/>
    <x v="0"/>
  </r>
  <r>
    <n v="222175"/>
    <n v="48000"/>
    <x v="2"/>
    <x v="620"/>
    <x v="12"/>
    <s v="DELEGATE AGENCY"/>
    <s v="UNKNOWN"/>
    <x v="0"/>
  </r>
  <r>
    <n v="222176"/>
    <n v="125000"/>
    <x v="4"/>
    <x v="340"/>
    <x v="12"/>
    <s v="DELEGATE AGENCY"/>
    <s v="UNKNOWN"/>
    <x v="0"/>
  </r>
  <r>
    <n v="222177"/>
    <n v="46731"/>
    <x v="1"/>
    <x v="1040"/>
    <x v="12"/>
    <s v="DELEGATE AGENCY"/>
    <s v="UNKNOWN"/>
    <x v="0"/>
  </r>
  <r>
    <n v="222178"/>
    <n v="138000"/>
    <x v="4"/>
    <x v="167"/>
    <x v="12"/>
    <s v="DELEGATE AGENCY"/>
    <s v="UNKNOWN"/>
    <x v="0"/>
  </r>
  <r>
    <n v="222179"/>
    <n v="69000"/>
    <x v="1"/>
    <x v="693"/>
    <x v="12"/>
    <s v="DELEGATE AGENCY"/>
    <s v="UNKNOWN"/>
    <x v="0"/>
  </r>
  <r>
    <n v="222180"/>
    <n v="314626"/>
    <x v="1"/>
    <x v="24"/>
    <x v="12"/>
    <s v="DELEGATE AGENCY"/>
    <s v="UNKNOWN"/>
    <x v="0"/>
  </r>
  <r>
    <n v="222182"/>
    <n v="93172.9"/>
    <x v="2"/>
    <x v="290"/>
    <x v="12"/>
    <s v="DELEGATE AGENCY"/>
    <s v="UNKNOWN"/>
    <x v="0"/>
  </r>
  <r>
    <n v="222183"/>
    <n v="36668"/>
    <x v="1"/>
    <x v="84"/>
    <x v="12"/>
    <s v="DELEGATE AGENCY"/>
    <s v="UNKNOWN"/>
    <x v="0"/>
  </r>
  <r>
    <n v="222184"/>
    <n v="513325.6"/>
    <x v="4"/>
    <x v="66"/>
    <x v="12"/>
    <s v="DELEGATE AGENCY"/>
    <s v="UNKNOWN"/>
    <x v="0"/>
  </r>
  <r>
    <n v="222185"/>
    <n v="127731"/>
    <x v="2"/>
    <x v="311"/>
    <x v="12"/>
    <s v="DELEGATE AGENCY"/>
    <s v="UNKNOWN"/>
    <x v="0"/>
  </r>
  <r>
    <n v="222186"/>
    <n v="33980"/>
    <x v="1"/>
    <x v="294"/>
    <x v="12"/>
    <s v="DELEGATE AGENCY"/>
    <s v="UNKNOWN"/>
    <x v="0"/>
  </r>
  <r>
    <n v="222187"/>
    <n v="60000"/>
    <x v="4"/>
    <x v="306"/>
    <x v="12"/>
    <s v="DELEGATE AGENCY"/>
    <s v="UNKNOWN"/>
    <x v="0"/>
  </r>
  <r>
    <n v="222188"/>
    <n v="1050000"/>
    <x v="1"/>
    <x v="302"/>
    <x v="12"/>
    <s v="DELEGATE AGENCY"/>
    <s v="UNKNOWN"/>
    <x v="0"/>
  </r>
  <r>
    <n v="222189"/>
    <n v="46666"/>
    <x v="0"/>
    <x v="40"/>
    <x v="12"/>
    <s v="DELEGATE AGENCY"/>
    <s v="UNKNOWN"/>
    <x v="0"/>
  </r>
  <r>
    <n v="222190"/>
    <n v="285635.09999999998"/>
    <x v="4"/>
    <x v="62"/>
    <x v="12"/>
    <s v="DELEGATE AGENCY"/>
    <s v="UNKNOWN"/>
    <x v="0"/>
  </r>
  <r>
    <n v="222191"/>
    <n v="1475684.6"/>
    <x v="2"/>
    <x v="69"/>
    <x v="12"/>
    <s v="DELEGATE AGENCY"/>
    <s v="UNKNOWN"/>
    <x v="0"/>
  </r>
  <r>
    <n v="222192"/>
    <n v="69413.8"/>
    <x v="0"/>
    <x v="294"/>
    <x v="12"/>
    <s v="DELEGATE AGENCY"/>
    <s v="UNKNOWN"/>
    <x v="0"/>
  </r>
  <r>
    <n v="222193"/>
    <n v="241172"/>
    <x v="1"/>
    <x v="211"/>
    <x v="12"/>
    <s v="DELEGATE AGENCY"/>
    <s v="UNKNOWN"/>
    <x v="0"/>
  </r>
  <r>
    <n v="222194"/>
    <n v="395308.9"/>
    <x v="1"/>
    <x v="77"/>
    <x v="12"/>
    <s v="DELEGATE AGENCY"/>
    <s v="UNKNOWN"/>
    <x v="0"/>
  </r>
  <r>
    <n v="222195"/>
    <n v="116800"/>
    <x v="2"/>
    <x v="211"/>
    <x v="12"/>
    <s v="DELEGATE AGENCY"/>
    <s v="UNKNOWN"/>
    <x v="0"/>
  </r>
  <r>
    <n v="222196"/>
    <n v="433530.7"/>
    <x v="1"/>
    <x v="77"/>
    <x v="12"/>
    <s v="DELEGATE AGENCY"/>
    <s v="UNKNOWN"/>
    <x v="0"/>
  </r>
  <r>
    <n v="222197"/>
    <n v="944123.3"/>
    <x v="2"/>
    <x v="58"/>
    <x v="12"/>
    <s v="DELEGATE AGENCY"/>
    <s v="UNKNOWN"/>
    <x v="0"/>
  </r>
  <r>
    <n v="222198"/>
    <n v="1383988"/>
    <x v="2"/>
    <x v="76"/>
    <x v="12"/>
    <s v="DELEGATE AGENCY"/>
    <s v="UNKNOWN"/>
    <x v="0"/>
  </r>
  <r>
    <n v="222199"/>
    <n v="562168.1"/>
    <x v="0"/>
    <x v="58"/>
    <x v="12"/>
    <s v="DELEGATE AGENCY"/>
    <s v="UNKNOWN"/>
    <x v="0"/>
  </r>
  <r>
    <n v="222200"/>
    <n v="2961785.8"/>
    <x v="2"/>
    <x v="62"/>
    <x v="12"/>
    <s v="DELEGATE AGENCY"/>
    <s v="UNKNOWN"/>
    <x v="0"/>
  </r>
  <r>
    <n v="222201"/>
    <n v="771044.3"/>
    <x v="0"/>
    <x v="127"/>
    <x v="12"/>
    <s v="DELEGATE AGENCY"/>
    <s v="UNKNOWN"/>
    <x v="0"/>
  </r>
  <r>
    <n v="222202"/>
    <n v="491260.1"/>
    <x v="2"/>
    <x v="62"/>
    <x v="12"/>
    <s v="DELEGATE AGENCY"/>
    <s v="UNKNOWN"/>
    <x v="0"/>
  </r>
  <r>
    <n v="22223"/>
    <n v="66699.8"/>
    <x v="2"/>
    <x v="1041"/>
    <x v="9"/>
    <s v="PROPERTY LEASE"/>
    <s v="UNKNOWN"/>
    <x v="0"/>
  </r>
  <r>
    <n v="222274"/>
    <n v="326333"/>
    <x v="1"/>
    <x v="404"/>
    <x v="8"/>
    <s v="DELEGATE AGENCY"/>
    <s v="UNKNOWN"/>
    <x v="0"/>
  </r>
  <r>
    <n v="222275"/>
    <n v="232034.4"/>
    <x v="2"/>
    <x v="19"/>
    <x v="8"/>
    <s v="DELEGATE AGENCY"/>
    <s v="UNKNOWN"/>
    <x v="0"/>
  </r>
  <r>
    <n v="222286"/>
    <n v="88317"/>
    <x v="1"/>
    <x v="372"/>
    <x v="12"/>
    <s v="DELEGATE AGENCY"/>
    <s v="UNKNOWN"/>
    <x v="0"/>
  </r>
  <r>
    <n v="222288"/>
    <n v="57059"/>
    <x v="1"/>
    <x v="304"/>
    <x v="12"/>
    <s v="DELEGATE AGENCY"/>
    <s v="UNKNOWN"/>
    <x v="0"/>
  </r>
  <r>
    <n v="222292"/>
    <n v="365535.7"/>
    <x v="1"/>
    <x v="168"/>
    <x v="8"/>
    <s v="DELEGATE AGENCY"/>
    <s v="UNKNOWN"/>
    <x v="0"/>
  </r>
  <r>
    <n v="222295"/>
    <n v="60000"/>
    <x v="2"/>
    <x v="324"/>
    <x v="12"/>
    <s v="DELEGATE AGENCY"/>
    <s v="UNKNOWN"/>
    <x v="0"/>
  </r>
  <r>
    <n v="222314"/>
    <n v="355639.1"/>
    <x v="1"/>
    <x v="335"/>
    <x v="12"/>
    <s v="DELEGATE AGENCY"/>
    <s v="UNKNOWN"/>
    <x v="0"/>
  </r>
  <r>
    <n v="222317"/>
    <n v="4197230"/>
    <x v="2"/>
    <x v="50"/>
    <x v="0"/>
    <s v="ARCH/ENGINEERING"/>
    <s v="RFQ"/>
    <x v="0"/>
  </r>
  <r>
    <n v="222321"/>
    <n v="100000"/>
    <x v="0"/>
    <x v="1042"/>
    <x v="22"/>
    <s v="DELEGATE AGENCY"/>
    <s v="UNKNOWN"/>
    <x v="0"/>
  </r>
  <r>
    <n v="222324"/>
    <n v="15000"/>
    <x v="1"/>
    <x v="1043"/>
    <x v="16"/>
    <s v="DELEGATE AGENCY"/>
    <s v="UNKNOWN"/>
    <x v="0"/>
  </r>
  <r>
    <n v="222360"/>
    <n v="105120"/>
    <x v="4"/>
    <x v="304"/>
    <x v="12"/>
    <s v="DELEGATE AGENCY"/>
    <s v="UNKNOWN"/>
    <x v="0"/>
  </r>
  <r>
    <n v="222388"/>
    <n v="105000000"/>
    <x v="1"/>
    <x v="159"/>
    <x v="15"/>
    <s v="PRO SERV CONSULTING $250,000orABOVE"/>
    <s v="MASTER AGREEMENT"/>
    <x v="0"/>
  </r>
  <r>
    <n v="222390"/>
    <n v="4771354.4000000004"/>
    <x v="0"/>
    <x v="642"/>
    <x v="15"/>
    <s v="SOFTWARE"/>
    <s v="JOINT PURCHASE"/>
    <x v="0"/>
  </r>
  <r>
    <n v="222553"/>
    <n v="1494715.8"/>
    <x v="0"/>
    <x v="510"/>
    <x v="12"/>
    <s v="DELEGATE AGENCY"/>
    <s v="UNKNOWN"/>
    <x v="0"/>
  </r>
  <r>
    <n v="222554"/>
    <n v="80000"/>
    <x v="0"/>
    <x v="496"/>
    <x v="12"/>
    <s v="DELEGATE AGENCY"/>
    <s v="UNKNOWN"/>
    <x v="0"/>
  </r>
  <r>
    <n v="222555"/>
    <n v="80000"/>
    <x v="1"/>
    <x v="59"/>
    <x v="12"/>
    <s v="DELEGATE AGENCY"/>
    <s v="UNKNOWN"/>
    <x v="0"/>
  </r>
  <r>
    <n v="222556"/>
    <n v="20608"/>
    <x v="1"/>
    <x v="169"/>
    <x v="12"/>
    <s v="DELEGATE AGENCY"/>
    <s v="UNKNOWN"/>
    <x v="0"/>
  </r>
  <r>
    <n v="222557"/>
    <n v="154674"/>
    <x v="4"/>
    <x v="70"/>
    <x v="12"/>
    <s v="DELEGATE AGENCY"/>
    <s v="UNKNOWN"/>
    <x v="0"/>
  </r>
  <r>
    <n v="222558"/>
    <n v="80000"/>
    <x v="1"/>
    <x v="436"/>
    <x v="12"/>
    <s v="DELEGATE AGENCY"/>
    <s v="UNKNOWN"/>
    <x v="0"/>
  </r>
  <r>
    <n v="222560"/>
    <n v="54000"/>
    <x v="1"/>
    <x v="354"/>
    <x v="12"/>
    <s v="DELEGATE AGENCY"/>
    <s v="UNKNOWN"/>
    <x v="0"/>
  </r>
  <r>
    <n v="222561"/>
    <n v="36000"/>
    <x v="1"/>
    <x v="62"/>
    <x v="12"/>
    <s v="DELEGATE AGENCY"/>
    <s v="UNKNOWN"/>
    <x v="0"/>
  </r>
  <r>
    <n v="222562"/>
    <n v="54000"/>
    <x v="4"/>
    <x v="577"/>
    <x v="12"/>
    <s v="DELEGATE AGENCY"/>
    <s v="UNKNOWN"/>
    <x v="0"/>
  </r>
  <r>
    <n v="222563"/>
    <n v="100000"/>
    <x v="1"/>
    <x v="175"/>
    <x v="12"/>
    <s v="DELEGATE AGENCY"/>
    <s v="UNKNOWN"/>
    <x v="0"/>
  </r>
  <r>
    <n v="222564"/>
    <n v="108000"/>
    <x v="1"/>
    <x v="84"/>
    <x v="12"/>
    <s v="DELEGATE AGENCY"/>
    <s v="UNKNOWN"/>
    <x v="0"/>
  </r>
  <r>
    <n v="222565"/>
    <n v="54000"/>
    <x v="1"/>
    <x v="444"/>
    <x v="12"/>
    <s v="DELEGATE AGENCY"/>
    <s v="UNKNOWN"/>
    <x v="0"/>
  </r>
  <r>
    <n v="222566"/>
    <n v="54000"/>
    <x v="1"/>
    <x v="444"/>
    <x v="12"/>
    <s v="DELEGATE AGENCY"/>
    <s v="UNKNOWN"/>
    <x v="0"/>
  </r>
  <r>
    <n v="222567"/>
    <n v="108000"/>
    <x v="1"/>
    <x v="444"/>
    <x v="12"/>
    <s v="DELEGATE AGENCY"/>
    <s v="UNKNOWN"/>
    <x v="0"/>
  </r>
  <r>
    <n v="222568"/>
    <n v="81000"/>
    <x v="1"/>
    <x v="444"/>
    <x v="12"/>
    <s v="DELEGATE AGENCY"/>
    <s v="UNKNOWN"/>
    <x v="0"/>
  </r>
  <r>
    <n v="222569"/>
    <n v="54000"/>
    <x v="1"/>
    <x v="584"/>
    <x v="12"/>
    <s v="DELEGATE AGENCY"/>
    <s v="UNKNOWN"/>
    <x v="0"/>
  </r>
  <r>
    <n v="222570"/>
    <n v="96000"/>
    <x v="1"/>
    <x v="544"/>
    <x v="12"/>
    <s v="DELEGATE AGENCY"/>
    <s v="UNKNOWN"/>
    <x v="0"/>
  </r>
  <r>
    <n v="222571"/>
    <n v="41216"/>
    <x v="1"/>
    <x v="446"/>
    <x v="12"/>
    <s v="DELEGATE AGENCY"/>
    <s v="UNKNOWN"/>
    <x v="0"/>
  </r>
  <r>
    <n v="222572"/>
    <n v="340320"/>
    <x v="4"/>
    <x v="301"/>
    <x v="12"/>
    <s v="DELEGATE AGENCY"/>
    <s v="UNKNOWN"/>
    <x v="0"/>
  </r>
  <r>
    <n v="222573"/>
    <n v="990671.8"/>
    <x v="2"/>
    <x v="75"/>
    <x v="12"/>
    <s v="DELEGATE AGENCY"/>
    <s v="UNKNOWN"/>
    <x v="0"/>
  </r>
  <r>
    <n v="222574"/>
    <n v="640000"/>
    <x v="2"/>
    <x v="5"/>
    <x v="12"/>
    <s v="DELEGATE AGENCY"/>
    <s v="UNKNOWN"/>
    <x v="0"/>
  </r>
  <r>
    <n v="222575"/>
    <n v="200550.2"/>
    <x v="2"/>
    <x v="168"/>
    <x v="8"/>
    <s v="DELEGATE AGENCY"/>
    <s v="UNKNOWN"/>
    <x v="0"/>
  </r>
  <r>
    <n v="222576"/>
    <n v="2988586.2"/>
    <x v="1"/>
    <x v="65"/>
    <x v="12"/>
    <s v="DELEGATE AGENCY"/>
    <s v="UNKNOWN"/>
    <x v="0"/>
  </r>
  <r>
    <n v="222577"/>
    <n v="4107515.6"/>
    <x v="0"/>
    <x v="65"/>
    <x v="12"/>
    <s v="DELEGATE AGENCY"/>
    <s v="UNKNOWN"/>
    <x v="0"/>
  </r>
  <r>
    <n v="222579"/>
    <n v="328453.09999999998"/>
    <x v="0"/>
    <x v="370"/>
    <x v="12"/>
    <s v="DELEGATE AGENCY"/>
    <s v="UNKNOWN"/>
    <x v="0"/>
  </r>
  <r>
    <n v="222580"/>
    <n v="82630"/>
    <x v="2"/>
    <x v="324"/>
    <x v="12"/>
    <s v="DELEGATE AGENCY"/>
    <s v="UNKNOWN"/>
    <x v="0"/>
  </r>
  <r>
    <n v="222581"/>
    <n v="389386.8"/>
    <x v="1"/>
    <x v="65"/>
    <x v="12"/>
    <s v="DELEGATE AGENCY"/>
    <s v="UNKNOWN"/>
    <x v="0"/>
  </r>
  <r>
    <n v="222584"/>
    <n v="1483439.9"/>
    <x v="2"/>
    <x v="78"/>
    <x v="12"/>
    <s v="DELEGATE AGENCY"/>
    <s v="UNKNOWN"/>
    <x v="0"/>
  </r>
  <r>
    <n v="222591"/>
    <n v="223045.1"/>
    <x v="0"/>
    <x v="376"/>
    <x v="22"/>
    <s v="DELEGATE AGENCY"/>
    <s v="UNKNOWN"/>
    <x v="0"/>
  </r>
  <r>
    <n v="222594"/>
    <n v="182262.1"/>
    <x v="1"/>
    <x v="394"/>
    <x v="22"/>
    <s v="DELEGATE AGENCY"/>
    <s v="UNKNOWN"/>
    <x v="0"/>
  </r>
  <r>
    <n v="222600"/>
    <n v="26241.199999999899"/>
    <x v="1"/>
    <x v="261"/>
    <x v="8"/>
    <s v="DELEGATE AGENCY"/>
    <s v="UNKNOWN"/>
    <x v="0"/>
  </r>
  <r>
    <n v="222601"/>
    <n v="10667"/>
    <x v="4"/>
    <x v="76"/>
    <x v="12"/>
    <s v="DELEGATE AGENCY"/>
    <s v="UNKNOWN"/>
    <x v="0"/>
  </r>
  <r>
    <n v="222603"/>
    <n v="6600"/>
    <x v="4"/>
    <x v="59"/>
    <x v="12"/>
    <s v="DELEGATE AGENCY"/>
    <s v="UNKNOWN"/>
    <x v="0"/>
  </r>
  <r>
    <n v="222604"/>
    <n v="750000"/>
    <x v="3"/>
    <x v="28"/>
    <x v="8"/>
    <s v="DELEGATE AGENCY"/>
    <s v="UNKNOWN"/>
    <x v="0"/>
  </r>
  <r>
    <n v="222617"/>
    <n v="575080"/>
    <x v="2"/>
    <x v="911"/>
    <x v="20"/>
    <s v="COMPTROLLER-OTHER"/>
    <s v="UNKNOWN"/>
    <x v="0"/>
  </r>
  <r>
    <n v="222837"/>
    <n v="20000"/>
    <x v="2"/>
    <x v="228"/>
    <x v="19"/>
    <s v="DELEGATE AGENCY"/>
    <s v="UNKNOWN"/>
    <x v="0"/>
  </r>
  <r>
    <n v="222841"/>
    <n v="174598.7"/>
    <x v="4"/>
    <x v="468"/>
    <x v="8"/>
    <s v="DELEGATE AGENCY"/>
    <s v="UNKNOWN"/>
    <x v="0"/>
  </r>
  <r>
    <n v="222853"/>
    <n v="30000"/>
    <x v="1"/>
    <x v="314"/>
    <x v="19"/>
    <s v="DELEGATE AGENCY"/>
    <s v="UNKNOWN"/>
    <x v="0"/>
  </r>
  <r>
    <n v="222857"/>
    <n v="346471.3"/>
    <x v="4"/>
    <x v="281"/>
    <x v="8"/>
    <s v="DELEGATE AGENCY"/>
    <s v="UNKNOWN"/>
    <x v="0"/>
  </r>
  <r>
    <n v="222860"/>
    <n v="528238.19999999995"/>
    <x v="2"/>
    <x v="166"/>
    <x v="8"/>
    <s v="DELEGATE AGENCY"/>
    <s v="UNKNOWN"/>
    <x v="0"/>
  </r>
  <r>
    <n v="222863"/>
    <n v="2569437.5"/>
    <x v="2"/>
    <x v="160"/>
    <x v="5"/>
    <s v="COMMODITIES"/>
    <s v="BID"/>
    <x v="0"/>
  </r>
  <r>
    <n v="222865"/>
    <n v="5610000"/>
    <x v="0"/>
    <x v="1044"/>
    <x v="5"/>
    <s v="COMMODITIES"/>
    <s v="BID"/>
    <x v="0"/>
  </r>
  <r>
    <n v="222873"/>
    <n v="105173250"/>
    <x v="0"/>
    <x v="1045"/>
    <x v="0"/>
    <s v="WORK SERVICES / FACILITIES MAINT."/>
    <s v="BID"/>
    <x v="0"/>
  </r>
  <r>
    <n v="222880"/>
    <n v="120973.1"/>
    <x v="0"/>
    <x v="337"/>
    <x v="26"/>
    <s v="DELEGATE AGENCY"/>
    <s v="UNKNOWN"/>
    <x v="0"/>
  </r>
  <r>
    <n v="222888"/>
    <n v="7500"/>
    <x v="1"/>
    <x v="769"/>
    <x v="20"/>
    <s v="COMPTROLLER-OTHER"/>
    <s v="UNKNOWN"/>
    <x v="0"/>
  </r>
  <r>
    <n v="222891"/>
    <n v="10000000"/>
    <x v="3"/>
    <x v="1046"/>
    <x v="2"/>
    <s v="COMPTROLLER-OTHER"/>
    <s v="UNKNOWN"/>
    <x v="0"/>
  </r>
  <r>
    <n v="222897"/>
    <n v="30852.9"/>
    <x v="0"/>
    <x v="593"/>
    <x v="12"/>
    <s v="DELEGATE AGENCY"/>
    <s v="UNKNOWN"/>
    <x v="0"/>
  </r>
  <r>
    <n v="222898"/>
    <n v="36000"/>
    <x v="4"/>
    <x v="444"/>
    <x v="12"/>
    <s v="DELEGATE AGENCY"/>
    <s v="UNKNOWN"/>
    <x v="0"/>
  </r>
  <r>
    <n v="222901"/>
    <n v="126000"/>
    <x v="4"/>
    <x v="576"/>
    <x v="12"/>
    <s v="DELEGATE AGENCY"/>
    <s v="UNKNOWN"/>
    <x v="0"/>
  </r>
  <r>
    <n v="222976"/>
    <n v="30385"/>
    <x v="1"/>
    <x v="66"/>
    <x v="22"/>
    <s v="DELEGATE AGENCY"/>
    <s v="UNKNOWN"/>
    <x v="0"/>
  </r>
  <r>
    <n v="222977"/>
    <n v="41258.300000000003"/>
    <x v="4"/>
    <x v="222"/>
    <x v="22"/>
    <s v="DELEGATE AGENCY"/>
    <s v="UNKNOWN"/>
    <x v="0"/>
  </r>
  <r>
    <n v="222980"/>
    <n v="577450"/>
    <x v="4"/>
    <x v="470"/>
    <x v="2"/>
    <s v="DELEGATE AGENCY"/>
    <s v="UNKNOWN"/>
    <x v="0"/>
  </r>
  <r>
    <n v="222982"/>
    <n v="59592.9"/>
    <x v="2"/>
    <x v="314"/>
    <x v="22"/>
    <s v="DELEGATE AGENCY"/>
    <s v="UNKNOWN"/>
    <x v="0"/>
  </r>
  <r>
    <n v="222983"/>
    <n v="3000"/>
    <x v="1"/>
    <x v="582"/>
    <x v="8"/>
    <s v="DELEGATE AGENCY"/>
    <s v="UNKNOWN"/>
    <x v="0"/>
  </r>
  <r>
    <n v="223103"/>
    <n v="229845"/>
    <x v="3"/>
    <x v="66"/>
    <x v="8"/>
    <s v="DELEGATE AGENCY"/>
    <s v="UNKNOWN"/>
    <x v="0"/>
  </r>
  <r>
    <n v="223104"/>
    <n v="91453.9"/>
    <x v="1"/>
    <x v="396"/>
    <x v="8"/>
    <s v="DELEGATE AGENCY"/>
    <s v="UNKNOWN"/>
    <x v="0"/>
  </r>
  <r>
    <n v="223163"/>
    <n v="54000"/>
    <x v="1"/>
    <x v="353"/>
    <x v="12"/>
    <s v="DELEGATE AGENCY"/>
    <s v="UNKNOWN"/>
    <x v="0"/>
  </r>
  <r>
    <n v="223164"/>
    <n v="546639"/>
    <x v="1"/>
    <x v="293"/>
    <x v="12"/>
    <s v="DELEGATE AGENCY"/>
    <s v="UNKNOWN"/>
    <x v="0"/>
  </r>
  <r>
    <n v="223165"/>
    <n v="1170345.3999999999"/>
    <x v="2"/>
    <x v="61"/>
    <x v="12"/>
    <s v="DELEGATE AGENCY"/>
    <s v="UNKNOWN"/>
    <x v="0"/>
  </r>
  <r>
    <n v="223230"/>
    <n v="69000"/>
    <x v="0"/>
    <x v="592"/>
    <x v="12"/>
    <s v="DELEGATE AGENCY"/>
    <s v="UNKNOWN"/>
    <x v="0"/>
  </r>
  <r>
    <n v="223231"/>
    <n v="48000"/>
    <x v="1"/>
    <x v="296"/>
    <x v="12"/>
    <s v="DELEGATE AGENCY"/>
    <s v="UNKNOWN"/>
    <x v="0"/>
  </r>
  <r>
    <n v="223239"/>
    <n v="100000"/>
    <x v="4"/>
    <x v="563"/>
    <x v="8"/>
    <s v="DELEGATE AGENCY"/>
    <s v="UNKNOWN"/>
    <x v="0"/>
  </r>
  <r>
    <n v="223242"/>
    <n v="40000"/>
    <x v="1"/>
    <x v="220"/>
    <x v="19"/>
    <s v="DELEGATE AGENCY"/>
    <s v="UNKNOWN"/>
    <x v="0"/>
  </r>
  <r>
    <n v="223245"/>
    <n v="30000"/>
    <x v="4"/>
    <x v="220"/>
    <x v="19"/>
    <s v="DELEGATE AGENCY"/>
    <s v="UNKNOWN"/>
    <x v="0"/>
  </r>
  <r>
    <n v="223246"/>
    <n v="20000"/>
    <x v="4"/>
    <x v="984"/>
    <x v="19"/>
    <s v="DELEGATE AGENCY"/>
    <s v="UNKNOWN"/>
    <x v="0"/>
  </r>
  <r>
    <n v="223247"/>
    <n v="40000"/>
    <x v="4"/>
    <x v="1047"/>
    <x v="19"/>
    <s v="DELEGATE AGENCY"/>
    <s v="UNKNOWN"/>
    <x v="0"/>
  </r>
  <r>
    <n v="223250"/>
    <n v="750000"/>
    <x v="4"/>
    <x v="28"/>
    <x v="8"/>
    <s v="DELEGATE AGENCY"/>
    <s v="UNKNOWN"/>
    <x v="0"/>
  </r>
  <r>
    <n v="223255"/>
    <n v="40000"/>
    <x v="2"/>
    <x v="991"/>
    <x v="19"/>
    <s v="DELEGATE AGENCY"/>
    <s v="UNKNOWN"/>
    <x v="0"/>
  </r>
  <r>
    <n v="223268"/>
    <n v="750000"/>
    <x v="4"/>
    <x v="28"/>
    <x v="8"/>
    <s v="DELEGATE AGENCY"/>
    <s v="UNKNOWN"/>
    <x v="0"/>
  </r>
  <r>
    <n v="223309"/>
    <n v="15000"/>
    <x v="2"/>
    <x v="1048"/>
    <x v="16"/>
    <s v="DELEGATE AGENCY"/>
    <s v="RFP"/>
    <x v="0"/>
  </r>
  <r>
    <n v="223310"/>
    <n v="50000"/>
    <x v="4"/>
    <x v="221"/>
    <x v="16"/>
    <s v="DELEGATE AGENCY"/>
    <s v="RFP"/>
    <x v="0"/>
  </r>
  <r>
    <n v="223344"/>
    <n v="38894.5"/>
    <x v="1"/>
    <x v="314"/>
    <x v="22"/>
    <s v="DELEGATE AGENCY"/>
    <s v="UNKNOWN"/>
    <x v="0"/>
  </r>
  <r>
    <n v="223349"/>
    <n v="34125"/>
    <x v="4"/>
    <x v="1049"/>
    <x v="22"/>
    <s v="DELEGATE AGENCY"/>
    <s v="UNKNOWN"/>
    <x v="0"/>
  </r>
  <r>
    <n v="223404"/>
    <n v="60000"/>
    <x v="4"/>
    <x v="40"/>
    <x v="8"/>
    <s v="DELEGATE AGENCY"/>
    <s v="UNKNOWN"/>
    <x v="0"/>
  </r>
  <r>
    <n v="223519"/>
    <n v="56239223.799999997"/>
    <x v="1"/>
    <x v="1050"/>
    <x v="0"/>
    <s v="WORK SERVICES / FACILITIES MAINT."/>
    <s v="BID"/>
    <x v="0"/>
  </r>
  <r>
    <n v="223534"/>
    <n v="45499.9"/>
    <x v="0"/>
    <x v="1051"/>
    <x v="22"/>
    <s v="DELEGATE AGENCY"/>
    <s v="UNKNOWN"/>
    <x v="0"/>
  </r>
  <r>
    <n v="223539"/>
    <n v="89504.4"/>
    <x v="4"/>
    <x v="433"/>
    <x v="22"/>
    <s v="DELEGATE AGENCY"/>
    <s v="UNKNOWN"/>
    <x v="0"/>
  </r>
  <r>
    <n v="223550"/>
    <n v="25000"/>
    <x v="1"/>
    <x v="984"/>
    <x v="19"/>
    <s v="DELEGATE AGENCY"/>
    <s v="UNKNOWN"/>
    <x v="0"/>
  </r>
  <r>
    <n v="223554"/>
    <n v="759071"/>
    <x v="4"/>
    <x v="5"/>
    <x v="1"/>
    <s v="DELEGATE AGENCY"/>
    <s v="UNKNOWN"/>
    <x v="0"/>
  </r>
  <r>
    <n v="223572"/>
    <n v="130540"/>
    <x v="2"/>
    <x v="175"/>
    <x v="12"/>
    <s v="DELEGATE AGENCY"/>
    <s v="UNKNOWN"/>
    <x v="0"/>
  </r>
  <r>
    <n v="223573"/>
    <n v="618382.69999999995"/>
    <x v="1"/>
    <x v="65"/>
    <x v="12"/>
    <s v="DELEGATE AGENCY"/>
    <s v="UNKNOWN"/>
    <x v="0"/>
  </r>
  <r>
    <n v="223574"/>
    <n v="85000"/>
    <x v="2"/>
    <x v="221"/>
    <x v="19"/>
    <s v="DELEGATE AGENCY"/>
    <s v="UNKNOWN"/>
    <x v="0"/>
  </r>
  <r>
    <n v="223575"/>
    <n v="32943.699999999997"/>
    <x v="1"/>
    <x v="377"/>
    <x v="19"/>
    <s v="DELEGATE AGENCY"/>
    <s v="UNKNOWN"/>
    <x v="0"/>
  </r>
  <r>
    <n v="223576"/>
    <n v="30000"/>
    <x v="4"/>
    <x v="1047"/>
    <x v="19"/>
    <s v="DELEGATE AGENCY"/>
    <s v="UNKNOWN"/>
    <x v="0"/>
  </r>
  <r>
    <n v="223577"/>
    <n v="500000"/>
    <x v="4"/>
    <x v="260"/>
    <x v="8"/>
    <s v="DELEGATE AGENCY"/>
    <s v="UNKNOWN"/>
    <x v="0"/>
  </r>
  <r>
    <n v="223580"/>
    <n v="30000"/>
    <x v="2"/>
    <x v="968"/>
    <x v="19"/>
    <s v="DELEGATE AGENCY"/>
    <s v="UNKNOWN"/>
    <x v="0"/>
  </r>
  <r>
    <n v="223582"/>
    <n v="42000"/>
    <x v="4"/>
    <x v="1052"/>
    <x v="34"/>
    <s v="COMPTROLLER-OTHER"/>
    <s v="UNKNOWN"/>
    <x v="0"/>
  </r>
  <r>
    <n v="223608"/>
    <n v="2550916.7999999998"/>
    <x v="4"/>
    <x v="558"/>
    <x v="12"/>
    <s v="DELEGATE AGENCY"/>
    <s v="UNKNOWN"/>
    <x v="0"/>
  </r>
  <r>
    <n v="223633"/>
    <n v="645313"/>
    <x v="0"/>
    <x v="76"/>
    <x v="12"/>
    <s v="DELEGATE AGENCY"/>
    <s v="UNKNOWN"/>
    <x v="0"/>
  </r>
  <r>
    <n v="223764"/>
    <n v="238725"/>
    <x v="2"/>
    <x v="234"/>
    <x v="25"/>
    <s v="COMPTROLLER-OTHER"/>
    <s v="UNKNOWN"/>
    <x v="0"/>
  </r>
  <r>
    <n v="223767"/>
    <n v="500000"/>
    <x v="1"/>
    <x v="258"/>
    <x v="12"/>
    <s v="DELEGATE AGENCY"/>
    <s v="UNKNOWN"/>
    <x v="0"/>
  </r>
  <r>
    <n v="223771"/>
    <n v="440000"/>
    <x v="2"/>
    <x v="359"/>
    <x v="12"/>
    <s v="DELEGATE AGENCY"/>
    <s v="UNKNOWN"/>
    <x v="0"/>
  </r>
  <r>
    <n v="223774"/>
    <n v="25000000"/>
    <x v="2"/>
    <x v="1053"/>
    <x v="15"/>
    <s v="PRO SERV CONSULTING $250,000orABOVE"/>
    <s v="MASTER AGREEMENT"/>
    <x v="0"/>
  </r>
  <r>
    <n v="223779"/>
    <n v="105000000"/>
    <x v="0"/>
    <x v="1054"/>
    <x v="15"/>
    <s v="PRO SERV CONSULTING $250,000orABOVE"/>
    <s v="MASTER AGREEMENT"/>
    <x v="0"/>
  </r>
  <r>
    <n v="223782"/>
    <n v="105000000"/>
    <x v="0"/>
    <x v="918"/>
    <x v="15"/>
    <s v="PRO SERV CONSULTING $250,000orABOVE"/>
    <s v="MASTER AGREEMENT"/>
    <x v="0"/>
  </r>
  <r>
    <n v="223783"/>
    <n v="20000000"/>
    <x v="0"/>
    <x v="1055"/>
    <x v="14"/>
    <s v="PRO SERV CONSULTING $250,000orABOVE"/>
    <s v="MASTER AGREEMENT"/>
    <x v="1"/>
  </r>
  <r>
    <n v="223786"/>
    <n v="25000000"/>
    <x v="0"/>
    <x v="1056"/>
    <x v="15"/>
    <s v="PRO SERV CONSULTING $250,000orABOVE"/>
    <s v="MASTER AGREEMENT"/>
    <x v="0"/>
  </r>
  <r>
    <n v="223787"/>
    <n v="10000000"/>
    <x v="0"/>
    <x v="149"/>
    <x v="15"/>
    <s v="PRO SERV CONSULTING $250,000orABOVE"/>
    <s v="MASTER AGREEMENT"/>
    <x v="0"/>
  </r>
  <r>
    <n v="223788"/>
    <n v="95000000"/>
    <x v="0"/>
    <x v="1057"/>
    <x v="15"/>
    <s v="PRO SERV CONSULTING $250,000orABOVE"/>
    <s v="MASTER AGREEMENT"/>
    <x v="0"/>
  </r>
  <r>
    <n v="223789"/>
    <n v="55000000"/>
    <x v="0"/>
    <x v="1058"/>
    <x v="15"/>
    <s v="PRO SERV CONSULTING $250,000orABOVE"/>
    <s v="MASTER AGREEMENT"/>
    <x v="0"/>
  </r>
  <r>
    <n v="223794"/>
    <n v="55000000"/>
    <x v="0"/>
    <x v="1059"/>
    <x v="15"/>
    <s v="PRO SERV CONSULTING $250,000orABOVE"/>
    <s v="MASTER AGREEMENT"/>
    <x v="0"/>
  </r>
  <r>
    <n v="223819"/>
    <n v="85000000"/>
    <x v="0"/>
    <x v="1060"/>
    <x v="15"/>
    <s v="PRO SERV CONSULTING $250,000orABOVE"/>
    <s v="MASTER AGREEMENT"/>
    <x v="0"/>
  </r>
  <r>
    <n v="223827"/>
    <n v="30000000"/>
    <x v="0"/>
    <x v="1061"/>
    <x v="3"/>
    <s v="PRO SERV CONSULTING $250,000orABOVE"/>
    <s v="MASTER AGREEMENT"/>
    <x v="1"/>
  </r>
  <r>
    <n v="223832"/>
    <n v="55000000"/>
    <x v="0"/>
    <x v="1062"/>
    <x v="15"/>
    <s v="PRO SERV CONSULTING $250,000orABOVE"/>
    <s v="MASTER AGREEMENT"/>
    <x v="0"/>
  </r>
  <r>
    <n v="223834"/>
    <n v="95000000"/>
    <x v="0"/>
    <x v="511"/>
    <x v="15"/>
    <s v="PRO SERV CONSULTING $250,000orABOVE"/>
    <s v="MASTER AGREEMENT"/>
    <x v="0"/>
  </r>
  <r>
    <n v="223839"/>
    <n v="93088.8"/>
    <x v="0"/>
    <x v="1063"/>
    <x v="3"/>
    <s v="COMMODITIES-SMALL ORDERS"/>
    <s v="BID"/>
    <x v="0"/>
  </r>
  <r>
    <n v="223843"/>
    <n v="47301435"/>
    <x v="1"/>
    <x v="1064"/>
    <x v="0"/>
    <s v="COMMODITIES"/>
    <s v="BID"/>
    <x v="0"/>
  </r>
  <r>
    <n v="223861"/>
    <n v="992720"/>
    <x v="0"/>
    <x v="1065"/>
    <x v="12"/>
    <s v="DELEGATE AGENCY"/>
    <s v="UNKNOWN"/>
    <x v="0"/>
  </r>
  <r>
    <n v="223862"/>
    <n v="33170.800000000003"/>
    <x v="2"/>
    <x v="384"/>
    <x v="22"/>
    <s v="DELEGATE AGENCY"/>
    <s v="UNKNOWN"/>
    <x v="0"/>
  </r>
  <r>
    <n v="223866"/>
    <n v="556094"/>
    <x v="4"/>
    <x v="1065"/>
    <x v="12"/>
    <s v="DELEGATE AGENCY"/>
    <s v="UNKNOWN"/>
    <x v="0"/>
  </r>
  <r>
    <n v="223891"/>
    <n v="89000"/>
    <x v="2"/>
    <x v="382"/>
    <x v="22"/>
    <s v="DELEGATE AGENCY"/>
    <s v="UNKNOWN"/>
    <x v="0"/>
  </r>
  <r>
    <n v="223892"/>
    <n v="123409.8"/>
    <x v="1"/>
    <x v="382"/>
    <x v="22"/>
    <s v="DELEGATE AGENCY"/>
    <s v="UNKNOWN"/>
    <x v="0"/>
  </r>
  <r>
    <n v="223893"/>
    <n v="29993.7"/>
    <x v="1"/>
    <x v="290"/>
    <x v="22"/>
    <s v="DELEGATE AGENCY"/>
    <s v="UNKNOWN"/>
    <x v="0"/>
  </r>
  <r>
    <n v="223894"/>
    <n v="153446"/>
    <x v="4"/>
    <x v="395"/>
    <x v="22"/>
    <s v="DELEGATE AGENCY"/>
    <s v="UNKNOWN"/>
    <x v="0"/>
  </r>
  <r>
    <n v="223968"/>
    <n v="107210.9"/>
    <x v="1"/>
    <x v="78"/>
    <x v="12"/>
    <s v="DELEGATE AGENCY"/>
    <s v="UNKNOWN"/>
    <x v="0"/>
  </r>
  <r>
    <n v="223969"/>
    <n v="58459.1"/>
    <x v="1"/>
    <x v="228"/>
    <x v="12"/>
    <s v="DELEGATE AGENCY"/>
    <s v="UNKNOWN"/>
    <x v="0"/>
  </r>
  <r>
    <n v="223971"/>
    <n v="48789"/>
    <x v="1"/>
    <x v="336"/>
    <x v="12"/>
    <s v="DELEGATE AGENCY"/>
    <s v="UNKNOWN"/>
    <x v="0"/>
  </r>
  <r>
    <n v="223972"/>
    <n v="10000000"/>
    <x v="4"/>
    <x v="1066"/>
    <x v="0"/>
    <s v="ARCH/ENGINEERING"/>
    <s v="RFQ"/>
    <x v="0"/>
  </r>
  <r>
    <n v="223973"/>
    <n v="10000000"/>
    <x v="0"/>
    <x v="1067"/>
    <x v="0"/>
    <s v="ARCH/ENGINEERING"/>
    <s v="RFQ"/>
    <x v="0"/>
  </r>
  <r>
    <n v="223974"/>
    <n v="10000000"/>
    <x v="0"/>
    <x v="1068"/>
    <x v="0"/>
    <s v="ARCH/ENGINEERING"/>
    <s v="RFQ"/>
    <x v="1"/>
  </r>
  <r>
    <n v="223975"/>
    <n v="10000000"/>
    <x v="0"/>
    <x v="417"/>
    <x v="0"/>
    <s v="ARCH/ENGINEERING"/>
    <s v="RFQ"/>
    <x v="1"/>
  </r>
  <r>
    <n v="223976"/>
    <n v="10000000"/>
    <x v="0"/>
    <x v="146"/>
    <x v="0"/>
    <s v="ARCH/ENGINEERING"/>
    <s v="RFQ"/>
    <x v="0"/>
  </r>
  <r>
    <n v="223977"/>
    <n v="10000000"/>
    <x v="0"/>
    <x v="1069"/>
    <x v="0"/>
    <s v="ARCH/ENGINEERING"/>
    <s v="RFQ"/>
    <x v="1"/>
  </r>
  <r>
    <n v="223978"/>
    <n v="10000000"/>
    <x v="0"/>
    <x v="1070"/>
    <x v="0"/>
    <s v="ARCH/ENGINEERING"/>
    <s v="RFQ"/>
    <x v="0"/>
  </r>
  <r>
    <n v="223979"/>
    <n v="10000000"/>
    <x v="0"/>
    <x v="1071"/>
    <x v="0"/>
    <s v="ARCH/ENGINEERING"/>
    <s v="RFQ"/>
    <x v="1"/>
  </r>
  <r>
    <n v="223980"/>
    <n v="10000000"/>
    <x v="0"/>
    <x v="7"/>
    <x v="0"/>
    <s v="ARCH/ENGINEERING"/>
    <s v="RFQ"/>
    <x v="0"/>
  </r>
  <r>
    <n v="223981"/>
    <n v="10000000"/>
    <x v="0"/>
    <x v="50"/>
    <x v="0"/>
    <s v="ARCH/ENGINEERING"/>
    <s v="RFQ"/>
    <x v="1"/>
  </r>
  <r>
    <n v="223982"/>
    <n v="10000000"/>
    <x v="0"/>
    <x v="1072"/>
    <x v="0"/>
    <s v="ARCH/ENGINEERING"/>
    <s v="RFQ"/>
    <x v="1"/>
  </r>
  <r>
    <n v="223983"/>
    <n v="10000000"/>
    <x v="0"/>
    <x v="480"/>
    <x v="0"/>
    <s v="ARCH/ENGINEERING"/>
    <s v="RFQ"/>
    <x v="1"/>
  </r>
  <r>
    <n v="223984"/>
    <n v="10000000"/>
    <x v="0"/>
    <x v="1073"/>
    <x v="0"/>
    <s v="ARCH/ENGINEERING"/>
    <s v="RFQ"/>
    <x v="1"/>
  </r>
  <r>
    <n v="223985"/>
    <n v="10000000"/>
    <x v="0"/>
    <x v="1074"/>
    <x v="0"/>
    <s v="ARCH/ENGINEERING"/>
    <s v="RFQ"/>
    <x v="1"/>
  </r>
  <r>
    <n v="223986"/>
    <n v="10000000"/>
    <x v="0"/>
    <x v="483"/>
    <x v="0"/>
    <s v="ARCH/ENGINEERING"/>
    <s v="RFQ"/>
    <x v="1"/>
  </r>
  <r>
    <n v="223987"/>
    <n v="10000000"/>
    <x v="0"/>
    <x v="1075"/>
    <x v="0"/>
    <s v="ARCH/ENGINEERING"/>
    <s v="RFQ"/>
    <x v="1"/>
  </r>
  <r>
    <n v="223988"/>
    <n v="10000000"/>
    <x v="0"/>
    <x v="514"/>
    <x v="0"/>
    <s v="ARCH/ENGINEERING"/>
    <s v="RFQ"/>
    <x v="0"/>
  </r>
  <r>
    <n v="223989"/>
    <n v="10000000"/>
    <x v="0"/>
    <x v="509"/>
    <x v="0"/>
    <s v="ARCH/ENGINEERING"/>
    <s v="RFQ"/>
    <x v="0"/>
  </r>
  <r>
    <n v="223990"/>
    <n v="10000000"/>
    <x v="0"/>
    <x v="1076"/>
    <x v="0"/>
    <s v="ARCH/ENGINEERING"/>
    <s v="RFQ"/>
    <x v="1"/>
  </r>
  <r>
    <n v="223991"/>
    <n v="10000000"/>
    <x v="0"/>
    <x v="516"/>
    <x v="0"/>
    <s v="ARCH/ENGINEERING"/>
    <s v="RFQ"/>
    <x v="0"/>
  </r>
  <r>
    <n v="223992"/>
    <n v="10000000"/>
    <x v="0"/>
    <x v="1077"/>
    <x v="0"/>
    <s v="ARCH/ENGINEERING"/>
    <s v="RFQ"/>
    <x v="1"/>
  </r>
  <r>
    <n v="223994"/>
    <n v="10000000"/>
    <x v="0"/>
    <x v="519"/>
    <x v="0"/>
    <s v="ARCH/ENGINEERING"/>
    <s v="RFQ"/>
    <x v="0"/>
  </r>
  <r>
    <n v="223996"/>
    <n v="10000000"/>
    <x v="0"/>
    <x v="1078"/>
    <x v="0"/>
    <s v="ARCH/ENGINEERING"/>
    <s v="RFQ"/>
    <x v="0"/>
  </r>
  <r>
    <n v="223997"/>
    <n v="10000000"/>
    <x v="0"/>
    <x v="1079"/>
    <x v="0"/>
    <s v="ARCH/ENGINEERING"/>
    <s v="RFQ"/>
    <x v="0"/>
  </r>
  <r>
    <n v="223998"/>
    <n v="10000000"/>
    <x v="0"/>
    <x v="522"/>
    <x v="0"/>
    <s v="ARCH/ENGINEERING"/>
    <s v="RFQ"/>
    <x v="1"/>
  </r>
  <r>
    <n v="223999"/>
    <n v="10000000"/>
    <x v="0"/>
    <x v="520"/>
    <x v="0"/>
    <s v="ARCH/ENGINEERING"/>
    <s v="RFQ"/>
    <x v="0"/>
  </r>
  <r>
    <n v="224000"/>
    <n v="10000000"/>
    <x v="0"/>
    <x v="1080"/>
    <x v="0"/>
    <s v="ARCH/ENGINEERING"/>
    <s v="RFQ"/>
    <x v="1"/>
  </r>
  <r>
    <n v="224001"/>
    <n v="10000000"/>
    <x v="0"/>
    <x v="1081"/>
    <x v="0"/>
    <s v="ARCH/ENGINEERING"/>
    <s v="RFQ"/>
    <x v="0"/>
  </r>
  <r>
    <n v="224002"/>
    <n v="10000000"/>
    <x v="0"/>
    <x v="1082"/>
    <x v="0"/>
    <s v="ARCH/ENGINEERING"/>
    <s v="RFQ"/>
    <x v="0"/>
  </r>
  <r>
    <n v="224003"/>
    <n v="141873"/>
    <x v="0"/>
    <x v="304"/>
    <x v="12"/>
    <s v="DELEGATE AGENCY"/>
    <s v="UNKNOWN"/>
    <x v="0"/>
  </r>
  <r>
    <n v="224004"/>
    <n v="45466"/>
    <x v="1"/>
    <x v="342"/>
    <x v="12"/>
    <s v="DELEGATE AGENCY"/>
    <s v="UNKNOWN"/>
    <x v="0"/>
  </r>
  <r>
    <n v="224005"/>
    <n v="269461.5"/>
    <x v="4"/>
    <x v="302"/>
    <x v="12"/>
    <s v="DELEGATE AGENCY"/>
    <s v="UNKNOWN"/>
    <x v="0"/>
  </r>
  <r>
    <n v="224009"/>
    <n v="5295738.9000000004"/>
    <x v="2"/>
    <x v="504"/>
    <x v="8"/>
    <s v="DELEGATE AGENCY"/>
    <s v="UNKNOWN"/>
    <x v="0"/>
  </r>
  <r>
    <n v="224011"/>
    <n v="95698.8"/>
    <x v="0"/>
    <x v="978"/>
    <x v="19"/>
    <s v="DELEGATE AGENCY"/>
    <s v="UNKNOWN"/>
    <x v="0"/>
  </r>
  <r>
    <n v="224012"/>
    <n v="206044"/>
    <x v="1"/>
    <x v="84"/>
    <x v="8"/>
    <s v="DELEGATE AGENCY"/>
    <s v="UNKNOWN"/>
    <x v="0"/>
  </r>
  <r>
    <n v="224034"/>
    <n v="16666"/>
    <x v="1"/>
    <x v="935"/>
    <x v="16"/>
    <s v="DELEGATE AGENCY"/>
    <s v="UNKNOWN"/>
    <x v="0"/>
  </r>
  <r>
    <n v="224035"/>
    <n v="312803"/>
    <x v="4"/>
    <x v="605"/>
    <x v="12"/>
    <s v="DELEGATE AGENCY"/>
    <s v="UNKNOWN"/>
    <x v="0"/>
  </r>
  <r>
    <n v="224036"/>
    <n v="2227164"/>
    <x v="2"/>
    <x v="605"/>
    <x v="12"/>
    <s v="DELEGATE AGENCY"/>
    <s v="UNKNOWN"/>
    <x v="0"/>
  </r>
  <r>
    <n v="224067"/>
    <n v="48500"/>
    <x v="0"/>
    <x v="382"/>
    <x v="22"/>
    <s v="DELEGATE AGENCY"/>
    <s v="UNKNOWN"/>
    <x v="0"/>
  </r>
  <r>
    <n v="224251"/>
    <n v="815425"/>
    <x v="4"/>
    <x v="1083"/>
    <x v="0"/>
    <s v="COMMODITIES"/>
    <s v="BID"/>
    <x v="0"/>
  </r>
  <r>
    <n v="224281"/>
    <n v="40000"/>
    <x v="2"/>
    <x v="968"/>
    <x v="19"/>
    <s v="DELEGATE AGENCY"/>
    <s v="UNKNOWN"/>
    <x v="0"/>
  </r>
  <r>
    <n v="224283"/>
    <n v="38750"/>
    <x v="4"/>
    <x v="1084"/>
    <x v="19"/>
    <s v="DELEGATE AGENCY"/>
    <s v="UNKNOWN"/>
    <x v="0"/>
  </r>
  <r>
    <n v="224331"/>
    <n v="7907442.0999999996"/>
    <x v="4"/>
    <x v="114"/>
    <x v="8"/>
    <s v="DELEGATE AGENCY"/>
    <s v="UNKNOWN"/>
    <x v="0"/>
  </r>
  <r>
    <n v="224349"/>
    <n v="16666"/>
    <x v="0"/>
    <x v="937"/>
    <x v="16"/>
    <s v="DELEGATE AGENCY"/>
    <s v="UNKNOWN"/>
    <x v="0"/>
  </r>
  <r>
    <n v="224350"/>
    <n v="110000"/>
    <x v="4"/>
    <x v="408"/>
    <x v="22"/>
    <s v="DELEGATE AGENCY"/>
    <s v="UNKNOWN"/>
    <x v="0"/>
  </r>
  <r>
    <n v="224355"/>
    <n v="37000"/>
    <x v="1"/>
    <x v="408"/>
    <x v="22"/>
    <s v="DELEGATE AGENCY"/>
    <s v="UNKNOWN"/>
    <x v="0"/>
  </r>
  <r>
    <n v="224367"/>
    <n v="44600"/>
    <x v="4"/>
    <x v="299"/>
    <x v="12"/>
    <s v="DELEGATE AGENCY"/>
    <s v="UNKNOWN"/>
    <x v="0"/>
  </r>
  <r>
    <n v="224369"/>
    <n v="43750"/>
    <x v="4"/>
    <x v="299"/>
    <x v="12"/>
    <s v="DELEGATE AGENCY"/>
    <s v="UNKNOWN"/>
    <x v="0"/>
  </r>
  <r>
    <n v="224372"/>
    <n v="208650"/>
    <x v="4"/>
    <x v="175"/>
    <x v="12"/>
    <s v="DELEGATE AGENCY"/>
    <s v="UNKNOWN"/>
    <x v="0"/>
  </r>
  <r>
    <n v="224377"/>
    <n v="45000"/>
    <x v="1"/>
    <x v="360"/>
    <x v="12"/>
    <s v="DELEGATE AGENCY"/>
    <s v="UNKNOWN"/>
    <x v="0"/>
  </r>
  <r>
    <n v="224378"/>
    <n v="462251.8"/>
    <x v="4"/>
    <x v="114"/>
    <x v="12"/>
    <s v="DELEGATE AGENCY"/>
    <s v="UNKNOWN"/>
    <x v="0"/>
  </r>
  <r>
    <n v="224408"/>
    <n v="2561856"/>
    <x v="2"/>
    <x v="1085"/>
    <x v="12"/>
    <s v="DELEGATE AGENCY"/>
    <s v="UNKNOWN"/>
    <x v="0"/>
  </r>
  <r>
    <n v="224411"/>
    <n v="89505.3"/>
    <x v="0"/>
    <x v="390"/>
    <x v="22"/>
    <s v="DELEGATE AGENCY"/>
    <s v="UNKNOWN"/>
    <x v="0"/>
  </r>
  <r>
    <n v="224418"/>
    <n v="29921.8"/>
    <x v="1"/>
    <x v="390"/>
    <x v="22"/>
    <s v="DELEGATE AGENCY"/>
    <s v="UNKNOWN"/>
    <x v="0"/>
  </r>
  <r>
    <n v="224422"/>
    <n v="216959"/>
    <x v="4"/>
    <x v="305"/>
    <x v="12"/>
    <s v="DELEGATE AGENCY"/>
    <s v="UNKNOWN"/>
    <x v="0"/>
  </r>
  <r>
    <n v="224438"/>
    <n v="400000"/>
    <x v="1"/>
    <x v="305"/>
    <x v="12"/>
    <s v="DELEGATE AGENCY"/>
    <s v="UNKNOWN"/>
    <x v="0"/>
  </r>
  <r>
    <n v="224443"/>
    <n v="46000"/>
    <x v="2"/>
    <x v="300"/>
    <x v="12"/>
    <s v="DELEGATE AGENCY"/>
    <s v="UNKNOWN"/>
    <x v="0"/>
  </r>
  <r>
    <n v="224471"/>
    <n v="625608"/>
    <x v="4"/>
    <x v="605"/>
    <x v="12"/>
    <s v="DELEGATE AGENCY"/>
    <s v="UNKNOWN"/>
    <x v="0"/>
  </r>
  <r>
    <n v="224472"/>
    <n v="2470309"/>
    <x v="2"/>
    <x v="199"/>
    <x v="12"/>
    <s v="DELEGATE AGENCY"/>
    <s v="UNKNOWN"/>
    <x v="0"/>
  </r>
  <r>
    <n v="224475"/>
    <n v="816486"/>
    <x v="0"/>
    <x v="188"/>
    <x v="8"/>
    <s v="DELEGATE AGENCY"/>
    <s v="RFP"/>
    <x v="0"/>
  </r>
  <r>
    <n v="224476"/>
    <n v="590093"/>
    <x v="2"/>
    <x v="188"/>
    <x v="8"/>
    <s v="DELEGATE AGENCY"/>
    <s v="RFP"/>
    <x v="0"/>
  </r>
  <r>
    <n v="224479"/>
    <n v="122156864"/>
    <x v="2"/>
    <x v="1086"/>
    <x v="6"/>
    <s v="PRO SERV-AVIATION"/>
    <s v="RFP"/>
    <x v="0"/>
  </r>
  <r>
    <n v="224482"/>
    <n v="22231.4"/>
    <x v="0"/>
    <x v="387"/>
    <x v="22"/>
    <s v="DELEGATE AGENCY"/>
    <s v="UNKNOWN"/>
    <x v="0"/>
  </r>
  <r>
    <n v="224518"/>
    <n v="204893.1"/>
    <x v="4"/>
    <x v="91"/>
    <x v="22"/>
    <s v="DELEGATE AGENCY"/>
    <s v="UNKNOWN"/>
    <x v="0"/>
  </r>
  <r>
    <n v="224530"/>
    <n v="83637"/>
    <x v="1"/>
    <x v="219"/>
    <x v="2"/>
    <s v="DELEGATE AGENCY"/>
    <s v="UNKNOWN"/>
    <x v="0"/>
  </r>
  <r>
    <n v="224533"/>
    <n v="681151"/>
    <x v="1"/>
    <x v="312"/>
    <x v="8"/>
    <s v="DELEGATE AGENCY"/>
    <s v="UNKNOWN"/>
    <x v="0"/>
  </r>
  <r>
    <n v="224541"/>
    <n v="307532.2"/>
    <x v="2"/>
    <x v="205"/>
    <x v="8"/>
    <s v="DELEGATE AGENCY"/>
    <s v="UNKNOWN"/>
    <x v="0"/>
  </r>
  <r>
    <n v="224543"/>
    <n v="18652"/>
    <x v="2"/>
    <x v="392"/>
    <x v="19"/>
    <s v="DELEGATE AGENCY"/>
    <s v="UNKNOWN"/>
    <x v="0"/>
  </r>
  <r>
    <n v="224589"/>
    <n v="1426436"/>
    <x v="4"/>
    <x v="1087"/>
    <x v="15"/>
    <s v="WORK SERVICES / FACILITIES MAINT."/>
    <s v="BID"/>
    <x v="0"/>
  </r>
  <r>
    <n v="224595"/>
    <n v="4941698.8"/>
    <x v="0"/>
    <x v="1088"/>
    <x v="15"/>
    <s v="PRO SERV CONSULTING $250,000orABOVE"/>
    <s v="CONTRACT ASSIGNMENT/TRANSFER"/>
    <x v="0"/>
  </r>
  <r>
    <n v="224600"/>
    <n v="22350587.5"/>
    <x v="0"/>
    <x v="1088"/>
    <x v="3"/>
    <s v="PRO SERV CONSULTING $250,000orABOVE"/>
    <s v="CONTRACT ASSIGNMENT/TRANS"/>
    <x v="0"/>
  </r>
  <r>
    <n v="224700"/>
    <n v="675000"/>
    <x v="0"/>
    <x v="114"/>
    <x v="8"/>
    <s v="DELEGATE AGENCY"/>
    <s v="RFP"/>
    <x v="0"/>
  </r>
  <r>
    <n v="224702"/>
    <n v="156015"/>
    <x v="2"/>
    <x v="114"/>
    <x v="12"/>
    <s v="DELEGATE AGENCY"/>
    <s v="UNKNOWN"/>
    <x v="0"/>
  </r>
  <r>
    <n v="224713"/>
    <n v="30000"/>
    <x v="1"/>
    <x v="216"/>
    <x v="22"/>
    <s v="DELEGATE AGENCY"/>
    <s v="UNKNOWN"/>
    <x v="0"/>
  </r>
  <r>
    <n v="224714"/>
    <n v="45000000"/>
    <x v="4"/>
    <x v="1089"/>
    <x v="15"/>
    <s v="PRO SERV CONSULTING $250,000orABOVE"/>
    <s v="MASTER AGREEMENT"/>
    <x v="0"/>
  </r>
  <r>
    <n v="224715"/>
    <n v="133277.1"/>
    <x v="0"/>
    <x v="315"/>
    <x v="12"/>
    <s v="DELEGATE AGENCY"/>
    <s v="UNKNOWN"/>
    <x v="0"/>
  </r>
  <r>
    <n v="224742"/>
    <n v="6377.5"/>
    <x v="1"/>
    <x v="189"/>
    <x v="12"/>
    <s v="DELEGATE AGENCY"/>
    <s v="UNKNOWN"/>
    <x v="0"/>
  </r>
  <r>
    <n v="224743"/>
    <n v="68499.600000000006"/>
    <x v="3"/>
    <x v="189"/>
    <x v="12"/>
    <s v="DELEGATE AGENCY"/>
    <s v="UNKNOWN"/>
    <x v="0"/>
  </r>
  <r>
    <n v="224744"/>
    <n v="9450"/>
    <x v="1"/>
    <x v="189"/>
    <x v="12"/>
    <s v="DELEGATE AGENCY"/>
    <s v="UNKNOWN"/>
    <x v="0"/>
  </r>
  <r>
    <n v="224745"/>
    <n v="28149"/>
    <x v="3"/>
    <x v="189"/>
    <x v="12"/>
    <s v="DELEGATE AGENCY"/>
    <s v="UNKNOWN"/>
    <x v="0"/>
  </r>
  <r>
    <n v="224778"/>
    <n v="1628706.4"/>
    <x v="4"/>
    <x v="62"/>
    <x v="12"/>
    <s v="DELEGATE AGENCY"/>
    <s v="UNKNOWN"/>
    <x v="0"/>
  </r>
  <r>
    <n v="224781"/>
    <n v="11680"/>
    <x v="0"/>
    <x v="211"/>
    <x v="12"/>
    <s v="DELEGATE AGENCY"/>
    <s v="UNKNOWN"/>
    <x v="0"/>
  </r>
  <r>
    <n v="224782"/>
    <n v="40000"/>
    <x v="4"/>
    <x v="175"/>
    <x v="12"/>
    <s v="DELEGATE AGENCY"/>
    <s v="UNKNOWN"/>
    <x v="0"/>
  </r>
  <r>
    <n v="224783"/>
    <n v="20608"/>
    <x v="4"/>
    <x v="376"/>
    <x v="12"/>
    <s v="DELEGATE AGENCY"/>
    <s v="UNKNOWN"/>
    <x v="0"/>
  </r>
  <r>
    <n v="224784"/>
    <n v="361350"/>
    <x v="4"/>
    <x v="321"/>
    <x v="12"/>
    <s v="DELEGATE AGENCY"/>
    <s v="UNKNOWN"/>
    <x v="0"/>
  </r>
  <r>
    <n v="224785"/>
    <n v="16492.3"/>
    <x v="2"/>
    <x v="449"/>
    <x v="12"/>
    <s v="DELEGATE AGENCY"/>
    <s v="UNKNOWN"/>
    <x v="0"/>
  </r>
  <r>
    <n v="224786"/>
    <n v="72778260"/>
    <x v="4"/>
    <x v="1090"/>
    <x v="0"/>
    <s v="COMMODITIES"/>
    <s v="BID"/>
    <x v="0"/>
  </r>
  <r>
    <n v="224787"/>
    <n v="26726.799999999999"/>
    <x v="0"/>
    <x v="580"/>
    <x v="12"/>
    <s v="DELEGATE AGENCY"/>
    <s v="UNKNOWN"/>
    <x v="0"/>
  </r>
  <r>
    <n v="224789"/>
    <n v="23336.2"/>
    <x v="4"/>
    <x v="62"/>
    <x v="12"/>
    <s v="DELEGATE AGENCY"/>
    <s v="UNKNOWN"/>
    <x v="0"/>
  </r>
  <r>
    <n v="224791"/>
    <n v="72327180"/>
    <x v="4"/>
    <x v="1091"/>
    <x v="0"/>
    <s v="COMMODITIES"/>
    <s v="BID"/>
    <x v="0"/>
  </r>
  <r>
    <n v="224795"/>
    <n v="30897.200000000001"/>
    <x v="0"/>
    <x v="576"/>
    <x v="12"/>
    <s v="DELEGATE AGENCY"/>
    <s v="UNKNOWN"/>
    <x v="0"/>
  </r>
  <r>
    <n v="224796"/>
    <n v="68476260"/>
    <x v="4"/>
    <x v="1090"/>
    <x v="0"/>
    <s v="COMMODITIES"/>
    <s v="BID"/>
    <x v="0"/>
  </r>
  <r>
    <n v="224797"/>
    <n v="85047510"/>
    <x v="0"/>
    <x v="1092"/>
    <x v="0"/>
    <s v="COMMODITIES"/>
    <s v="BID"/>
    <x v="0"/>
  </r>
  <r>
    <n v="224798"/>
    <n v="84371700"/>
    <x v="0"/>
    <x v="1093"/>
    <x v="0"/>
    <s v="COMMODITIES"/>
    <s v="BID"/>
    <x v="0"/>
  </r>
  <r>
    <n v="224810"/>
    <n v="41216"/>
    <x v="0"/>
    <x v="588"/>
    <x v="12"/>
    <s v="DELEGATE AGENCY"/>
    <s v="UNKNOWN"/>
    <x v="0"/>
  </r>
  <r>
    <n v="224888"/>
    <n v="78913740.799999997"/>
    <x v="4"/>
    <x v="1088"/>
    <x v="15"/>
    <s v="PRO SERV CONSULTING $250,000orABOVE"/>
    <s v="CONTRACT ASSIGNMENT/TRANS"/>
    <x v="0"/>
  </r>
  <r>
    <n v="224892"/>
    <n v="37500000"/>
    <x v="0"/>
    <x v="1094"/>
    <x v="0"/>
    <s v="ARCH/ENGINEERING"/>
    <s v="RFQ"/>
    <x v="0"/>
  </r>
  <r>
    <n v="224895"/>
    <n v="6959"/>
    <x v="0"/>
    <x v="558"/>
    <x v="12"/>
    <s v="DELEGATE AGENCY"/>
    <s v="UNKNOWN"/>
    <x v="0"/>
  </r>
  <r>
    <n v="224909"/>
    <n v="36126.6"/>
    <x v="3"/>
    <x v="683"/>
    <x v="19"/>
    <s v="DELEGATE AGENCY"/>
    <s v="UNKNOWN"/>
    <x v="0"/>
  </r>
  <r>
    <n v="224920"/>
    <n v="123648"/>
    <x v="4"/>
    <x v="588"/>
    <x v="12"/>
    <s v="DELEGATE AGENCY"/>
    <s v="UNKNOWN"/>
    <x v="0"/>
  </r>
  <r>
    <n v="224927"/>
    <n v="30912"/>
    <x v="1"/>
    <x v="605"/>
    <x v="12"/>
    <s v="DELEGATE AGENCY"/>
    <s v="UNKNOWN"/>
    <x v="0"/>
  </r>
  <r>
    <n v="224944"/>
    <n v="1101250"/>
    <x v="4"/>
    <x v="642"/>
    <x v="3"/>
    <s v="SOFTWARE"/>
    <s v="JOINT PURCHASE"/>
    <x v="0"/>
  </r>
  <r>
    <n v="224945"/>
    <n v="200000"/>
    <x v="0"/>
    <x v="642"/>
    <x v="15"/>
    <s v="SOFTWARE"/>
    <s v="JOINT PURCHASE"/>
    <x v="0"/>
  </r>
  <r>
    <n v="225038"/>
    <n v="35000"/>
    <x v="1"/>
    <x v="547"/>
    <x v="16"/>
    <s v="DELEGATE AGENCY"/>
    <s v="UNKNOWN"/>
    <x v="0"/>
  </r>
  <r>
    <n v="225039"/>
    <n v="476504"/>
    <x v="4"/>
    <x v="305"/>
    <x v="12"/>
    <s v="DELEGATE AGENCY"/>
    <s v="UNKNOWN"/>
    <x v="0"/>
  </r>
  <r>
    <n v="225040"/>
    <n v="671490"/>
    <x v="2"/>
    <x v="308"/>
    <x v="12"/>
    <s v="DELEGATE AGENCY"/>
    <s v="UNKNOWN"/>
    <x v="0"/>
  </r>
  <r>
    <n v="225041"/>
    <n v="642168.80000000005"/>
    <x v="2"/>
    <x v="63"/>
    <x v="12"/>
    <s v="DELEGATE AGENCY"/>
    <s v="UNKNOWN"/>
    <x v="0"/>
  </r>
  <r>
    <n v="225043"/>
    <n v="1450952.3"/>
    <x v="2"/>
    <x v="63"/>
    <x v="12"/>
    <s v="DELEGATE AGENCY"/>
    <s v="UNKNOWN"/>
    <x v="0"/>
  </r>
  <r>
    <n v="225044"/>
    <n v="200266"/>
    <x v="0"/>
    <x v="216"/>
    <x v="12"/>
    <s v="DELEGATE AGENCY"/>
    <s v="UNKNOWN"/>
    <x v="0"/>
  </r>
  <r>
    <n v="225078"/>
    <n v="151470"/>
    <x v="1"/>
    <x v="114"/>
    <x v="12"/>
    <s v="DELEGATE AGENCY"/>
    <s v="UNKNOWN"/>
    <x v="0"/>
  </r>
  <r>
    <n v="225081"/>
    <n v="10000"/>
    <x v="1"/>
    <x v="930"/>
    <x v="16"/>
    <s v="DELEGATE AGENCY"/>
    <s v="UNKNOWN"/>
    <x v="0"/>
  </r>
  <r>
    <n v="225083"/>
    <n v="324001"/>
    <x v="4"/>
    <x v="1065"/>
    <x v="12"/>
    <s v="DELEGATE AGENCY"/>
    <s v="UNKNOWN"/>
    <x v="0"/>
  </r>
  <r>
    <n v="225084"/>
    <n v="87427"/>
    <x v="2"/>
    <x v="375"/>
    <x v="2"/>
    <s v="DELEGATE AGENCY"/>
    <s v="UNKNOWN"/>
    <x v="0"/>
  </r>
  <r>
    <n v="225085"/>
    <n v="40000"/>
    <x v="1"/>
    <x v="282"/>
    <x v="22"/>
    <s v="DELEGATE AGENCY"/>
    <s v="UNKNOWN"/>
    <x v="0"/>
  </r>
  <r>
    <n v="225095"/>
    <n v="24954.3"/>
    <x v="4"/>
    <x v="685"/>
    <x v="19"/>
    <s v="DELEGATE AGENCY"/>
    <s v="UNKNOWN"/>
    <x v="0"/>
  </r>
  <r>
    <n v="225100"/>
    <n v="40029"/>
    <x v="4"/>
    <x v="114"/>
    <x v="12"/>
    <s v="DELEGATE AGENCY"/>
    <s v="UNKNOWN"/>
    <x v="0"/>
  </r>
  <r>
    <n v="225101"/>
    <n v="150012"/>
    <x v="4"/>
    <x v="460"/>
    <x v="8"/>
    <s v="DELEGATE AGENCY"/>
    <s v="UNKNOWN"/>
    <x v="0"/>
  </r>
  <r>
    <n v="225103"/>
    <n v="53000"/>
    <x v="1"/>
    <x v="213"/>
    <x v="12"/>
    <s v="DELEGATE AGENCY"/>
    <s v="UNKNOWN"/>
    <x v="0"/>
  </r>
  <r>
    <n v="225126"/>
    <n v="599999"/>
    <x v="1"/>
    <x v="471"/>
    <x v="2"/>
    <s v="DELEGATE AGENCY"/>
    <s v="UNKNOWN"/>
    <x v="0"/>
  </r>
  <r>
    <n v="225130"/>
    <n v="137000"/>
    <x v="2"/>
    <x v="76"/>
    <x v="12"/>
    <s v="DELEGATE AGENCY"/>
    <s v="UNKNOWN"/>
    <x v="0"/>
  </r>
  <r>
    <n v="225135"/>
    <n v="109016"/>
    <x v="1"/>
    <x v="292"/>
    <x v="12"/>
    <s v="DELEGATE AGENCY"/>
    <s v="UNKNOWN"/>
    <x v="0"/>
  </r>
  <r>
    <n v="225139"/>
    <n v="204438"/>
    <x v="1"/>
    <x v="292"/>
    <x v="12"/>
    <s v="DELEGATE AGENCY"/>
    <s v="UNKNOWN"/>
    <x v="0"/>
  </r>
  <r>
    <n v="225140"/>
    <n v="262710"/>
    <x v="1"/>
    <x v="178"/>
    <x v="13"/>
    <s v="COMMODITIES"/>
    <s v="BID"/>
    <x v="0"/>
  </r>
  <r>
    <n v="225162"/>
    <n v="364000"/>
    <x v="2"/>
    <x v="1095"/>
    <x v="5"/>
    <s v="WORK SERVICES / FACILITIES MAINT."/>
    <s v="BID"/>
    <x v="0"/>
  </r>
  <r>
    <n v="225191"/>
    <n v="100000"/>
    <x v="2"/>
    <x v="485"/>
    <x v="12"/>
    <s v="DELEGATE AGENCY"/>
    <s v="UNKNOWN"/>
    <x v="0"/>
  </r>
  <r>
    <n v="225197"/>
    <n v="101000"/>
    <x v="1"/>
    <x v="308"/>
    <x v="12"/>
    <s v="DELEGATE AGENCY"/>
    <s v="UNKNOWN"/>
    <x v="0"/>
  </r>
  <r>
    <n v="225199"/>
    <n v="133595.9"/>
    <x v="1"/>
    <x v="383"/>
    <x v="22"/>
    <s v="DELEGATE AGENCY"/>
    <s v="UNKNOWN"/>
    <x v="0"/>
  </r>
  <r>
    <n v="225201"/>
    <n v="10169.799999999999"/>
    <x v="1"/>
    <x v="227"/>
    <x v="12"/>
    <s v="DELEGATE AGENCY"/>
    <s v="UNKNOWN"/>
    <x v="0"/>
  </r>
  <r>
    <n v="225203"/>
    <n v="20000"/>
    <x v="4"/>
    <x v="929"/>
    <x v="16"/>
    <s v="DELEGATE AGENCY"/>
    <s v="UNKNOWN"/>
    <x v="0"/>
  </r>
  <r>
    <n v="225207"/>
    <n v="75000000"/>
    <x v="4"/>
    <x v="1096"/>
    <x v="3"/>
    <s v="PRO SERV CONSULTING $250,000orABOVE"/>
    <s v="RFQ"/>
    <x v="1"/>
  </r>
  <r>
    <n v="225222"/>
    <n v="25000000"/>
    <x v="0"/>
    <x v="1053"/>
    <x v="3"/>
    <s v="PRO SERV CONSULTING $250,000orABOVE"/>
    <s v="MASTER AGREEMENT"/>
    <x v="1"/>
  </r>
  <r>
    <n v="225224"/>
    <n v="105000000"/>
    <x v="0"/>
    <x v="1054"/>
    <x v="15"/>
    <s v="PRO SERV CONSULTING $250,000orABOVE"/>
    <s v="MASTER AGREEMENT"/>
    <x v="0"/>
  </r>
  <r>
    <n v="225232"/>
    <n v="105000000"/>
    <x v="0"/>
    <x v="918"/>
    <x v="15"/>
    <s v="PRO SERV CONSULTING $250,000orABOVE"/>
    <s v="MASTER AGREEMENT"/>
    <x v="0"/>
  </r>
  <r>
    <n v="225233"/>
    <n v="75000000"/>
    <x v="0"/>
    <x v="1097"/>
    <x v="15"/>
    <s v="PRO SERV CONSULTING $250,000orABOVE"/>
    <s v="MASTER AGREEMENT"/>
    <x v="0"/>
  </r>
  <r>
    <n v="225234"/>
    <n v="45000000"/>
    <x v="0"/>
    <x v="1098"/>
    <x v="14"/>
    <s v="PRO SERV CONSULTING $250,000orABOVE"/>
    <s v="MASTER AGREEMENT"/>
    <x v="1"/>
  </r>
  <r>
    <n v="225236"/>
    <n v="10000000"/>
    <x v="0"/>
    <x v="149"/>
    <x v="3"/>
    <s v="PRO SERV CONSULTING $250,000orABOVE"/>
    <s v="MASTER AGREEMENT"/>
    <x v="1"/>
  </r>
  <r>
    <n v="225239"/>
    <n v="10000000"/>
    <x v="0"/>
    <x v="1099"/>
    <x v="3"/>
    <s v="PRO SERV CONSULTING $250,000orABOVE"/>
    <s v="MASTER AGREEMENT"/>
    <x v="1"/>
  </r>
  <r>
    <n v="225241"/>
    <n v="95000000"/>
    <x v="0"/>
    <x v="568"/>
    <x v="3"/>
    <s v="PRO SERV CONSULTING $250,000orABOVE"/>
    <s v="MASTER AGREEMENT"/>
    <x v="1"/>
  </r>
  <r>
    <n v="225242"/>
    <n v="75000000"/>
    <x v="0"/>
    <x v="1057"/>
    <x v="15"/>
    <s v="PRO SERV CONSULTING $250,000orABOVE"/>
    <s v="MASTER AGREEMENT"/>
    <x v="0"/>
  </r>
  <r>
    <n v="225243"/>
    <n v="10000000"/>
    <x v="0"/>
    <x v="1100"/>
    <x v="3"/>
    <s v="PRO SERV CONSULTING $250,000orABOVE"/>
    <s v="MASTER AGREEMENT"/>
    <x v="1"/>
  </r>
  <r>
    <n v="225244"/>
    <n v="55000000"/>
    <x v="0"/>
    <x v="1058"/>
    <x v="3"/>
    <s v="PRO SERV CONSULTING $250,000orABOVE"/>
    <s v="MASTER AGREEMENT"/>
    <x v="1"/>
  </r>
  <r>
    <n v="225245"/>
    <n v="55000000"/>
    <x v="0"/>
    <x v="1059"/>
    <x v="15"/>
    <s v="PRO SERV CONSULTING $250,000orABOVE"/>
    <s v="MASTER AGREEMENT"/>
    <x v="0"/>
  </r>
  <r>
    <n v="225246"/>
    <n v="55000000"/>
    <x v="0"/>
    <x v="1101"/>
    <x v="15"/>
    <s v="PRO SERV CONSULTING $250,000orABOVE"/>
    <s v="MASTER AGREEMENT"/>
    <x v="0"/>
  </r>
  <r>
    <n v="225306"/>
    <n v="55000000"/>
    <x v="0"/>
    <x v="1060"/>
    <x v="15"/>
    <s v="PRO SERV CONSULTING $250,000orABOVE"/>
    <s v="MASTER AGREEMENT"/>
    <x v="0"/>
  </r>
  <r>
    <n v="225313"/>
    <n v="55000000"/>
    <x v="0"/>
    <x v="1102"/>
    <x v="14"/>
    <s v="PRO SERV CONSULTING $250,000orABOVE"/>
    <s v="MASTER AGREEMENT"/>
    <x v="1"/>
  </r>
  <r>
    <n v="225314"/>
    <n v="55000000"/>
    <x v="0"/>
    <x v="1062"/>
    <x v="15"/>
    <s v="PRO SERV CONSULTING $250,000orABOVE"/>
    <s v="MASTER AGREEMENT"/>
    <x v="0"/>
  </r>
  <r>
    <n v="225318"/>
    <n v="100760.6"/>
    <x v="0"/>
    <x v="48"/>
    <x v="8"/>
    <s v="DELEGATE AGENCY"/>
    <s v="UNKNOWN"/>
    <x v="0"/>
  </r>
  <r>
    <n v="225319"/>
    <n v="146029.79999999999"/>
    <x v="1"/>
    <x v="201"/>
    <x v="8"/>
    <s v="DELEGATE AGENCY"/>
    <s v="UNKNOWN"/>
    <x v="0"/>
  </r>
  <r>
    <n v="225320"/>
    <n v="346234"/>
    <x v="1"/>
    <x v="1103"/>
    <x v="8"/>
    <s v="DELEGATE AGENCY"/>
    <s v="UNKNOWN"/>
    <x v="0"/>
  </r>
  <r>
    <n v="225321"/>
    <n v="150000"/>
    <x v="2"/>
    <x v="169"/>
    <x v="8"/>
    <s v="DELEGATE AGENCY"/>
    <s v="UNKNOWN"/>
    <x v="0"/>
  </r>
  <r>
    <n v="225322"/>
    <n v="116484.1"/>
    <x v="1"/>
    <x v="313"/>
    <x v="8"/>
    <s v="DELEGATE AGENCY"/>
    <s v="UNKNOWN"/>
    <x v="0"/>
  </r>
  <r>
    <n v="225323"/>
    <n v="454765.2"/>
    <x v="1"/>
    <x v="24"/>
    <x v="8"/>
    <s v="DELEGATE AGENCY"/>
    <s v="UNKNOWN"/>
    <x v="0"/>
  </r>
  <r>
    <n v="225412"/>
    <n v="41213.800000000003"/>
    <x v="2"/>
    <x v="588"/>
    <x v="12"/>
    <s v="DELEGATE AGENCY"/>
    <s v="UNKNOWN"/>
    <x v="0"/>
  </r>
  <r>
    <n v="225415"/>
    <n v="41213.800000000003"/>
    <x v="4"/>
    <x v="588"/>
    <x v="12"/>
    <s v="DELEGATE AGENCY"/>
    <s v="UNKNOWN"/>
    <x v="0"/>
  </r>
  <r>
    <n v="225418"/>
    <n v="41213.800000000003"/>
    <x v="4"/>
    <x v="588"/>
    <x v="12"/>
    <s v="DELEGATE AGENCY"/>
    <s v="UNKNOWN"/>
    <x v="0"/>
  </r>
  <r>
    <n v="225428"/>
    <n v="108984.7"/>
    <x v="4"/>
    <x v="353"/>
    <x v="12"/>
    <s v="DELEGATE AGENCY"/>
    <s v="UNKNOWN"/>
    <x v="0"/>
  </r>
  <r>
    <n v="225449"/>
    <n v="135000"/>
    <x v="1"/>
    <x v="527"/>
    <x v="22"/>
    <s v="DELEGATE AGENCY"/>
    <s v="UNKNOWN"/>
    <x v="0"/>
  </r>
  <r>
    <n v="225463"/>
    <n v="121879015.3"/>
    <x v="1"/>
    <x v="1104"/>
    <x v="5"/>
    <s v="ARCH/ENGINEERING"/>
    <s v="RFQ"/>
    <x v="0"/>
  </r>
  <r>
    <n v="225465"/>
    <n v="2681210.7000000002"/>
    <x v="0"/>
    <x v="1105"/>
    <x v="5"/>
    <s v="COMMODITIES"/>
    <s v="BID"/>
    <x v="0"/>
  </r>
  <r>
    <n v="225467"/>
    <n v="714000"/>
    <x v="0"/>
    <x v="201"/>
    <x v="17"/>
    <s v="DELEGATE AGENCY"/>
    <s v="RFP"/>
    <x v="0"/>
  </r>
  <r>
    <n v="225468"/>
    <n v="489000"/>
    <x v="2"/>
    <x v="1106"/>
    <x v="17"/>
    <s v="DELEGATE AGENCY"/>
    <s v="RFP"/>
    <x v="0"/>
  </r>
  <r>
    <n v="225471"/>
    <n v="193177.5"/>
    <x v="2"/>
    <x v="1107"/>
    <x v="15"/>
    <s v="COMMODITIES-SMALL ORDERS"/>
    <s v="BID"/>
    <x v="0"/>
  </r>
  <r>
    <n v="225493"/>
    <n v="54000"/>
    <x v="1"/>
    <x v="66"/>
    <x v="12"/>
    <s v="DELEGATE AGENCY"/>
    <s v="UNKNOWN"/>
    <x v="0"/>
  </r>
  <r>
    <n v="225496"/>
    <n v="54000"/>
    <x v="1"/>
    <x v="102"/>
    <x v="12"/>
    <s v="DELEGATE AGENCY"/>
    <s v="UNKNOWN"/>
    <x v="0"/>
  </r>
  <r>
    <n v="225503"/>
    <n v="54000"/>
    <x v="1"/>
    <x v="360"/>
    <x v="12"/>
    <s v="DELEGATE AGENCY"/>
    <s v="UNKNOWN"/>
    <x v="0"/>
  </r>
  <r>
    <n v="225504"/>
    <n v="112500"/>
    <x v="1"/>
    <x v="5"/>
    <x v="12"/>
    <s v="DELEGATE AGENCY"/>
    <s v="UNKNOWN"/>
    <x v="0"/>
  </r>
  <r>
    <n v="225505"/>
    <n v="405000"/>
    <x v="1"/>
    <x v="78"/>
    <x v="12"/>
    <s v="DELEGATE AGENCY"/>
    <s v="UNKNOWN"/>
    <x v="0"/>
  </r>
  <r>
    <n v="225506"/>
    <n v="54000"/>
    <x v="2"/>
    <x v="78"/>
    <x v="12"/>
    <s v="DELEGATE AGENCY"/>
    <s v="UNKNOWN"/>
    <x v="0"/>
  </r>
  <r>
    <n v="225507"/>
    <n v="108000"/>
    <x v="1"/>
    <x v="78"/>
    <x v="12"/>
    <s v="DELEGATE AGENCY"/>
    <s v="UNKNOWN"/>
    <x v="0"/>
  </r>
  <r>
    <n v="225508"/>
    <n v="135000"/>
    <x v="1"/>
    <x v="78"/>
    <x v="12"/>
    <s v="DELEGATE AGENCY"/>
    <s v="UNKNOWN"/>
    <x v="0"/>
  </r>
  <r>
    <n v="225512"/>
    <n v="10108"/>
    <x v="1"/>
    <x v="359"/>
    <x v="12"/>
    <s v="DELEGATE AGENCY"/>
    <s v="UNKNOWN"/>
    <x v="0"/>
  </r>
  <r>
    <n v="225513"/>
    <n v="72000"/>
    <x v="4"/>
    <x v="606"/>
    <x v="12"/>
    <s v="DELEGATE AGENCY"/>
    <s v="UNKNOWN"/>
    <x v="0"/>
  </r>
  <r>
    <n v="225514"/>
    <n v="48000"/>
    <x v="1"/>
    <x v="611"/>
    <x v="12"/>
    <s v="DELEGATE AGENCY"/>
    <s v="UNKNOWN"/>
    <x v="0"/>
  </r>
  <r>
    <n v="225515"/>
    <n v="282612"/>
    <x v="4"/>
    <x v="76"/>
    <x v="12"/>
    <s v="DELEGATE AGENCY"/>
    <s v="UNKNOWN"/>
    <x v="0"/>
  </r>
  <r>
    <n v="225516"/>
    <n v="204000"/>
    <x v="2"/>
    <x v="320"/>
    <x v="12"/>
    <s v="DELEGATE AGENCY"/>
    <s v="UNKNOWN"/>
    <x v="0"/>
  </r>
  <r>
    <n v="225663"/>
    <n v="8000000"/>
    <x v="1"/>
    <x v="1108"/>
    <x v="1"/>
    <s v="PRO SERV CONSULTING $250,000orABOVE"/>
    <s v="RFP"/>
    <x v="0"/>
  </r>
  <r>
    <n v="225722"/>
    <n v="4454354.0999999996"/>
    <x v="0"/>
    <x v="19"/>
    <x v="8"/>
    <s v="DELEGATE AGENCY"/>
    <s v="UNKNOWN"/>
    <x v="0"/>
  </r>
  <r>
    <n v="225723"/>
    <n v="973791.1"/>
    <x v="0"/>
    <x v="19"/>
    <x v="8"/>
    <s v="DELEGATE AGENCY"/>
    <s v="UNKNOWN"/>
    <x v="0"/>
  </r>
  <r>
    <n v="225728"/>
    <n v="99500"/>
    <x v="2"/>
    <x v="1109"/>
    <x v="22"/>
    <s v="DELEGATE AGENCY"/>
    <s v="UNKNOWN"/>
    <x v="0"/>
  </r>
  <r>
    <n v="225748"/>
    <n v="91479"/>
    <x v="1"/>
    <x v="316"/>
    <x v="22"/>
    <s v="DELEGATE AGENCY"/>
    <s v="UNKNOWN"/>
    <x v="0"/>
  </r>
  <r>
    <n v="225750"/>
    <n v="3000000"/>
    <x v="1"/>
    <x v="1110"/>
    <x v="8"/>
    <s v="PRO SERV CONSULTING $250,000orABOVE"/>
    <s v="MASTER AGREEMENT"/>
    <x v="1"/>
  </r>
  <r>
    <n v="225754"/>
    <n v="3000000"/>
    <x v="0"/>
    <x v="1111"/>
    <x v="8"/>
    <s v="PRO SERV CONSULTING $250,000orABOVE"/>
    <s v="RFQ"/>
    <x v="2"/>
  </r>
  <r>
    <n v="225755"/>
    <n v="3000000"/>
    <x v="0"/>
    <x v="234"/>
    <x v="8"/>
    <s v="PRO SERV CONSULTING $250,000orABOVE"/>
    <s v="MASTER AGREEMENT"/>
    <x v="1"/>
  </r>
  <r>
    <n v="225756"/>
    <n v="3000000"/>
    <x v="0"/>
    <x v="1112"/>
    <x v="8"/>
    <s v="PRO SERV CONSULTING $250,000orABOVE"/>
    <s v="MASTER AGREEMENT"/>
    <x v="1"/>
  </r>
  <r>
    <n v="225757"/>
    <n v="3000000"/>
    <x v="0"/>
    <x v="1113"/>
    <x v="8"/>
    <s v="PRO SERV CONSULTING $250,000orABOVE"/>
    <s v="MASTER AGREEMENT"/>
    <x v="2"/>
  </r>
  <r>
    <n v="225758"/>
    <n v="3000000"/>
    <x v="0"/>
    <x v="225"/>
    <x v="8"/>
    <s v="PRO SERV CONSULTING $250,000orABOVE"/>
    <s v="RFQ"/>
    <x v="1"/>
  </r>
  <r>
    <n v="225759"/>
    <n v="3000000"/>
    <x v="0"/>
    <x v="1114"/>
    <x v="8"/>
    <s v="PRO SERV CONSULTING $250,000orABOVE"/>
    <s v="RFQ"/>
    <x v="1"/>
  </r>
  <r>
    <n v="225760"/>
    <n v="3000000"/>
    <x v="0"/>
    <x v="1115"/>
    <x v="8"/>
    <s v="PRO SERV CONSULTING $250,000orABOVE"/>
    <s v="MASTER AGREEMENT"/>
    <x v="2"/>
  </r>
  <r>
    <n v="225761"/>
    <n v="3000000"/>
    <x v="0"/>
    <x v="1116"/>
    <x v="8"/>
    <s v="PRO SERV CONSULTING $250,000orABOVE"/>
    <s v="MASTER AGREEMENT"/>
    <x v="2"/>
  </r>
  <r>
    <n v="225762"/>
    <n v="3000000"/>
    <x v="0"/>
    <x v="1117"/>
    <x v="8"/>
    <s v="PRO SERV CONSULTING $250,000orABOVE"/>
    <s v="MASTER AGREEMENT"/>
    <x v="1"/>
  </r>
  <r>
    <n v="225764"/>
    <n v="3000000"/>
    <x v="0"/>
    <x v="1118"/>
    <x v="8"/>
    <s v="PRO SERV CONSULTING $250,000orABOVE"/>
    <s v="MASTER AGREEMENT"/>
    <x v="1"/>
  </r>
  <r>
    <n v="225765"/>
    <n v="3000000"/>
    <x v="0"/>
    <x v="1119"/>
    <x v="8"/>
    <s v="PRO SERV CONSULTING $250,000orABOVE"/>
    <s v="MASTER AGREEMENT"/>
    <x v="1"/>
  </r>
  <r>
    <n v="225770"/>
    <n v="3000000"/>
    <x v="0"/>
    <x v="1120"/>
    <x v="8"/>
    <s v="PRO SERV CONSULTING $250,000orABOVE"/>
    <s v="MASTER AGREEMENT"/>
    <x v="1"/>
  </r>
  <r>
    <n v="225792"/>
    <n v="108000"/>
    <x v="0"/>
    <x v="78"/>
    <x v="12"/>
    <s v="DELEGATE AGENCY"/>
    <s v="UNKNOWN"/>
    <x v="0"/>
  </r>
  <r>
    <n v="225805"/>
    <n v="432809.8"/>
    <x v="1"/>
    <x v="1121"/>
    <x v="1"/>
    <s v="PROPERTY LEASE"/>
    <s v="UNKNOWN"/>
    <x v="0"/>
  </r>
  <r>
    <n v="225806"/>
    <n v="20000"/>
    <x v="2"/>
    <x v="971"/>
    <x v="19"/>
    <s v="DELEGATE AGENCY"/>
    <s v="UNKNOWN"/>
    <x v="0"/>
  </r>
  <r>
    <n v="225935"/>
    <n v="525859"/>
    <x v="4"/>
    <x v="114"/>
    <x v="12"/>
    <s v="DELEGATE AGENCY"/>
    <s v="UNKNOWN"/>
    <x v="0"/>
  </r>
  <r>
    <n v="225938"/>
    <n v="525859"/>
    <x v="2"/>
    <x v="127"/>
    <x v="12"/>
    <s v="DELEGATE AGENCY"/>
    <s v="UNKNOWN"/>
    <x v="0"/>
  </r>
  <r>
    <n v="225939"/>
    <n v="525859"/>
    <x v="2"/>
    <x v="879"/>
    <x v="12"/>
    <s v="DELEGATE AGENCY"/>
    <s v="UNKNOWN"/>
    <x v="0"/>
  </r>
  <r>
    <n v="225943"/>
    <n v="29200"/>
    <x v="2"/>
    <x v="303"/>
    <x v="12"/>
    <s v="DELEGATE AGENCY"/>
    <s v="UNKNOWN"/>
    <x v="0"/>
  </r>
  <r>
    <n v="225944"/>
    <n v="1713548"/>
    <x v="4"/>
    <x v="306"/>
    <x v="12"/>
    <s v="DELEGATE AGENCY"/>
    <s v="UNKNOWN"/>
    <x v="0"/>
  </r>
  <r>
    <n v="225946"/>
    <n v="66150"/>
    <x v="0"/>
    <x v="289"/>
    <x v="12"/>
    <s v="DELEGATE AGENCY"/>
    <s v="UNKNOWN"/>
    <x v="0"/>
  </r>
  <r>
    <n v="225947"/>
    <n v="50000"/>
    <x v="1"/>
    <x v="303"/>
    <x v="12"/>
    <s v="DELEGATE AGENCY"/>
    <s v="UNKNOWN"/>
    <x v="0"/>
  </r>
  <r>
    <n v="225948"/>
    <n v="88641"/>
    <x v="1"/>
    <x v="318"/>
    <x v="12"/>
    <s v="DELEGATE AGENCY"/>
    <s v="UNKNOWN"/>
    <x v="0"/>
  </r>
  <r>
    <n v="225949"/>
    <n v="80750"/>
    <x v="1"/>
    <x v="310"/>
    <x v="12"/>
    <s v="DELEGATE AGENCY"/>
    <s v="UNKNOWN"/>
    <x v="0"/>
  </r>
  <r>
    <n v="225950"/>
    <n v="41216"/>
    <x v="1"/>
    <x v="444"/>
    <x v="12"/>
    <s v="DELEGATE AGENCY"/>
    <s v="UNKNOWN"/>
    <x v="0"/>
  </r>
  <r>
    <n v="225951"/>
    <n v="48000"/>
    <x v="4"/>
    <x v="608"/>
    <x v="12"/>
    <s v="DELEGATE AGENCY"/>
    <s v="UNKNOWN"/>
    <x v="0"/>
  </r>
  <r>
    <n v="225954"/>
    <n v="82432"/>
    <x v="4"/>
    <x v="205"/>
    <x v="12"/>
    <s v="DELEGATE AGENCY"/>
    <s v="UNKNOWN"/>
    <x v="0"/>
  </r>
  <r>
    <n v="225955"/>
    <n v="126667"/>
    <x v="1"/>
    <x v="317"/>
    <x v="12"/>
    <s v="DELEGATE AGENCY"/>
    <s v="UNKNOWN"/>
    <x v="0"/>
  </r>
  <r>
    <n v="225956"/>
    <n v="410727.6"/>
    <x v="1"/>
    <x v="74"/>
    <x v="12"/>
    <s v="DELEGATE AGENCY"/>
    <s v="UNKNOWN"/>
    <x v="0"/>
  </r>
  <r>
    <n v="225957"/>
    <n v="550096.6"/>
    <x v="2"/>
    <x v="68"/>
    <x v="12"/>
    <s v="DELEGATE AGENCY"/>
    <s v="UNKNOWN"/>
    <x v="0"/>
  </r>
  <r>
    <n v="225958"/>
    <n v="295837"/>
    <x v="2"/>
    <x v="309"/>
    <x v="12"/>
    <s v="DELEGATE AGENCY"/>
    <s v="UNKNOWN"/>
    <x v="0"/>
  </r>
  <r>
    <n v="225959"/>
    <n v="139889"/>
    <x v="2"/>
    <x v="290"/>
    <x v="12"/>
    <s v="DELEGATE AGENCY"/>
    <s v="UNKNOWN"/>
    <x v="0"/>
  </r>
  <r>
    <n v="225960"/>
    <n v="300000"/>
    <x v="1"/>
    <x v="285"/>
    <x v="12"/>
    <s v="DELEGATE AGENCY"/>
    <s v="UNKNOWN"/>
    <x v="0"/>
  </r>
  <r>
    <n v="225961"/>
    <n v="620000"/>
    <x v="2"/>
    <x v="286"/>
    <x v="12"/>
    <s v="DELEGATE AGENCY"/>
    <s v="UNKNOWN"/>
    <x v="0"/>
  </r>
  <r>
    <n v="225962"/>
    <n v="1859403.3"/>
    <x v="2"/>
    <x v="74"/>
    <x v="12"/>
    <s v="DELEGATE AGENCY"/>
    <s v="UNKNOWN"/>
    <x v="0"/>
  </r>
  <r>
    <n v="225964"/>
    <n v="525859"/>
    <x v="0"/>
    <x v="880"/>
    <x v="12"/>
    <s v="DELEGATE AGENCY"/>
    <s v="UNKNOWN"/>
    <x v="0"/>
  </r>
  <r>
    <n v="225975"/>
    <n v="155782.29999999999"/>
    <x v="2"/>
    <x v="38"/>
    <x v="8"/>
    <s v="DELEGATE AGENCY"/>
    <s v="UNKNOWN"/>
    <x v="0"/>
  </r>
  <r>
    <n v="225990"/>
    <n v="1250000"/>
    <x v="1"/>
    <x v="558"/>
    <x v="12"/>
    <s v="DELEGATE AGENCY"/>
    <s v="UNKNOWN"/>
    <x v="0"/>
  </r>
  <r>
    <n v="225992"/>
    <n v="6435980"/>
    <x v="0"/>
    <x v="1122"/>
    <x v="2"/>
    <s v="COMPTROLLER-OTHER"/>
    <s v="UNKNOWN"/>
    <x v="0"/>
  </r>
  <r>
    <n v="225995"/>
    <n v="45000"/>
    <x v="0"/>
    <x v="473"/>
    <x v="20"/>
    <s v="COMPTROLLER-OTHER"/>
    <s v="UNKNOWN"/>
    <x v="0"/>
  </r>
  <r>
    <n v="226002"/>
    <n v="2673731"/>
    <x v="4"/>
    <x v="514"/>
    <x v="0"/>
    <s v="ARCH/ENGINEERING"/>
    <s v="RFQ"/>
    <x v="1"/>
  </r>
  <r>
    <n v="226008"/>
    <n v="267805.5"/>
    <x v="0"/>
    <x v="500"/>
    <x v="8"/>
    <s v="DELEGATE AGENCY"/>
    <s v="UNKNOWN"/>
    <x v="0"/>
  </r>
  <r>
    <n v="226134"/>
    <n v="4065792.5"/>
    <x v="2"/>
    <x v="160"/>
    <x v="5"/>
    <s v="COMMODITIES"/>
    <s v="BID"/>
    <x v="0"/>
  </r>
  <r>
    <n v="226163"/>
    <n v="548981"/>
    <x v="0"/>
    <x v="86"/>
    <x v="12"/>
    <s v="DELEGATE AGENCY"/>
    <s v="UNKNOWN"/>
    <x v="0"/>
  </r>
  <r>
    <n v="226164"/>
    <n v="57375"/>
    <x v="2"/>
    <x v="261"/>
    <x v="12"/>
    <s v="DELEGATE AGENCY"/>
    <s v="UNKNOWN"/>
    <x v="0"/>
  </r>
  <r>
    <n v="226165"/>
    <n v="130000"/>
    <x v="1"/>
    <x v="285"/>
    <x v="12"/>
    <s v="DELEGATE AGENCY"/>
    <s v="UNKNOWN"/>
    <x v="0"/>
  </r>
  <r>
    <n v="226166"/>
    <n v="54000"/>
    <x v="1"/>
    <x v="261"/>
    <x v="12"/>
    <s v="DELEGATE AGENCY"/>
    <s v="UNKNOWN"/>
    <x v="0"/>
  </r>
  <r>
    <n v="226167"/>
    <n v="81000"/>
    <x v="1"/>
    <x v="169"/>
    <x v="12"/>
    <s v="DELEGATE AGENCY"/>
    <s v="UNKNOWN"/>
    <x v="0"/>
  </r>
  <r>
    <n v="226168"/>
    <n v="144000"/>
    <x v="1"/>
    <x v="78"/>
    <x v="12"/>
    <s v="DELEGATE AGENCY"/>
    <s v="UNKNOWN"/>
    <x v="0"/>
  </r>
  <r>
    <n v="226169"/>
    <n v="80000"/>
    <x v="1"/>
    <x v="728"/>
    <x v="12"/>
    <s v="DELEGATE AGENCY"/>
    <s v="UNKNOWN"/>
    <x v="0"/>
  </r>
  <r>
    <n v="226170"/>
    <n v="54000"/>
    <x v="1"/>
    <x v="165"/>
    <x v="12"/>
    <s v="DELEGATE AGENCY"/>
    <s v="UNKNOWN"/>
    <x v="0"/>
  </r>
  <r>
    <n v="226171"/>
    <n v="48000"/>
    <x v="1"/>
    <x v="78"/>
    <x v="12"/>
    <s v="DELEGATE AGENCY"/>
    <s v="UNKNOWN"/>
    <x v="0"/>
  </r>
  <r>
    <n v="226172"/>
    <n v="72000"/>
    <x v="4"/>
    <x v="430"/>
    <x v="12"/>
    <s v="DELEGATE AGENCY"/>
    <s v="UNKNOWN"/>
    <x v="0"/>
  </r>
  <r>
    <n v="226204"/>
    <n v="18000"/>
    <x v="1"/>
    <x v="1123"/>
    <x v="20"/>
    <s v="COMPTROLLER-OTHER"/>
    <s v="UNKNOWN"/>
    <x v="0"/>
  </r>
  <r>
    <n v="226205"/>
    <n v="24000"/>
    <x v="4"/>
    <x v="1124"/>
    <x v="34"/>
    <s v="COMPTROLLER-OTHER"/>
    <s v="UNKNOWN"/>
    <x v="0"/>
  </r>
  <r>
    <n v="226206"/>
    <n v="10546900"/>
    <x v="4"/>
    <x v="1125"/>
    <x v="20"/>
    <s v="COMPTROLLER-OTHER"/>
    <s v="UNKNOWN"/>
    <x v="0"/>
  </r>
  <r>
    <n v="226208"/>
    <n v="2500"/>
    <x v="0"/>
    <x v="1126"/>
    <x v="20"/>
    <s v="COMPTROLLER-OTHER"/>
    <s v="UNKNOWN"/>
    <x v="0"/>
  </r>
  <r>
    <n v="226209"/>
    <n v="50000"/>
    <x v="3"/>
    <x v="1127"/>
    <x v="20"/>
    <s v="COMPTROLLER-OTHER"/>
    <s v="UNKNOWN"/>
    <x v="0"/>
  </r>
  <r>
    <n v="226210"/>
    <n v="39997.4"/>
    <x v="1"/>
    <x v="393"/>
    <x v="22"/>
    <s v="DELEGATE AGENCY"/>
    <s v="UNKNOWN"/>
    <x v="0"/>
  </r>
  <r>
    <n v="226211"/>
    <n v="712000"/>
    <x v="4"/>
    <x v="472"/>
    <x v="2"/>
    <s v="DELEGATE AGENCY"/>
    <s v="UNKNOWN"/>
    <x v="0"/>
  </r>
  <r>
    <n v="226212"/>
    <n v="19720.3"/>
    <x v="2"/>
    <x v="84"/>
    <x v="12"/>
    <s v="DELEGATE AGENCY"/>
    <s v="UNKNOWN"/>
    <x v="0"/>
  </r>
  <r>
    <n v="226218"/>
    <n v="715126"/>
    <x v="4"/>
    <x v="301"/>
    <x v="12"/>
    <s v="DELEGATE AGENCY"/>
    <s v="UNKNOWN"/>
    <x v="0"/>
  </r>
  <r>
    <n v="226240"/>
    <n v="250000"/>
    <x v="2"/>
    <x v="1128"/>
    <x v="2"/>
    <s v="COMPTROLLER-OTHER"/>
    <s v="UNKNOWN"/>
    <x v="0"/>
  </r>
  <r>
    <n v="226241"/>
    <n v="10000000"/>
    <x v="2"/>
    <x v="156"/>
    <x v="2"/>
    <s v="COMPTROLLER-OTHER"/>
    <s v="UNKNOWN"/>
    <x v="0"/>
  </r>
  <r>
    <n v="226251"/>
    <n v="473640.5"/>
    <x v="0"/>
    <x v="19"/>
    <x v="8"/>
    <s v="DELEGATE AGENCY"/>
    <s v="UNKNOWN"/>
    <x v="0"/>
  </r>
  <r>
    <n v="226253"/>
    <n v="167378.70000000001"/>
    <x v="2"/>
    <x v="204"/>
    <x v="8"/>
    <s v="DELEGATE AGENCY"/>
    <s v="UNKNOWN"/>
    <x v="0"/>
  </r>
  <r>
    <n v="226254"/>
    <n v="214951.4"/>
    <x v="1"/>
    <x v="114"/>
    <x v="8"/>
    <s v="DELEGATE AGENCY"/>
    <s v="UNKNOWN"/>
    <x v="0"/>
  </r>
  <r>
    <n v="226255"/>
    <n v="150000"/>
    <x v="1"/>
    <x v="943"/>
    <x v="8"/>
    <s v="DELEGATE AGENCY"/>
    <s v="UNKNOWN"/>
    <x v="0"/>
  </r>
  <r>
    <n v="226256"/>
    <n v="90253.4"/>
    <x v="1"/>
    <x v="33"/>
    <x v="8"/>
    <s v="DELEGATE AGENCY"/>
    <s v="UNKNOWN"/>
    <x v="0"/>
  </r>
  <r>
    <n v="226257"/>
    <n v="149795.1"/>
    <x v="1"/>
    <x v="298"/>
    <x v="8"/>
    <s v="DELEGATE AGENCY"/>
    <s v="UNKNOWN"/>
    <x v="0"/>
  </r>
  <r>
    <n v="226258"/>
    <n v="86835.5"/>
    <x v="1"/>
    <x v="49"/>
    <x v="8"/>
    <s v="DELEGATE AGENCY"/>
    <s v="UNKNOWN"/>
    <x v="0"/>
  </r>
  <r>
    <n v="226259"/>
    <n v="742157.5"/>
    <x v="1"/>
    <x v="28"/>
    <x v="8"/>
    <s v="DELEGATE AGENCY"/>
    <s v="UNKNOWN"/>
    <x v="0"/>
  </r>
  <r>
    <n v="226260"/>
    <n v="200930.2"/>
    <x v="2"/>
    <x v="1129"/>
    <x v="8"/>
    <s v="DELEGATE AGENCY"/>
    <s v="UNKNOWN"/>
    <x v="0"/>
  </r>
  <r>
    <n v="226261"/>
    <n v="230644.3"/>
    <x v="1"/>
    <x v="28"/>
    <x v="8"/>
    <s v="DELEGATE AGENCY"/>
    <s v="UNKNOWN"/>
    <x v="0"/>
  </r>
  <r>
    <n v="226262"/>
    <n v="800563.19999999995"/>
    <x v="1"/>
    <x v="19"/>
    <x v="8"/>
    <s v="DELEGATE AGENCY"/>
    <s v="UNKNOWN"/>
    <x v="0"/>
  </r>
  <r>
    <n v="226294"/>
    <n v="208200"/>
    <x v="2"/>
    <x v="1130"/>
    <x v="2"/>
    <s v="COMPTROLLER-OTHER"/>
    <s v="UNKNOWN"/>
    <x v="0"/>
  </r>
  <r>
    <n v="226295"/>
    <n v="178428.79999999999"/>
    <x v="1"/>
    <x v="1131"/>
    <x v="2"/>
    <s v="COMPTROLLER-OTHER"/>
    <s v="UNKNOWN"/>
    <x v="0"/>
  </r>
  <r>
    <n v="226299"/>
    <n v="5000000"/>
    <x v="1"/>
    <x v="892"/>
    <x v="2"/>
    <s v="COMPTROLLER-OTHER"/>
    <s v="UNKNOWN"/>
    <x v="0"/>
  </r>
  <r>
    <n v="226301"/>
    <n v="1200000"/>
    <x v="0"/>
    <x v="1132"/>
    <x v="2"/>
    <s v="COMPTROLLER-OTHER"/>
    <s v="UNKNOWN"/>
    <x v="0"/>
  </r>
  <r>
    <n v="226347"/>
    <n v="20073.3"/>
    <x v="0"/>
    <x v="441"/>
    <x v="12"/>
    <s v="DELEGATE AGENCY"/>
    <s v="UNKNOWN"/>
    <x v="0"/>
  </r>
  <r>
    <n v="226349"/>
    <n v="42475.1"/>
    <x v="4"/>
    <x v="213"/>
    <x v="22"/>
    <s v="DELEGATE AGENCY"/>
    <s v="UNKNOWN"/>
    <x v="0"/>
  </r>
  <r>
    <n v="226366"/>
    <n v="81000"/>
    <x v="4"/>
    <x v="37"/>
    <x v="12"/>
    <s v="DELEGATE AGENCY"/>
    <s v="UNKNOWN"/>
    <x v="0"/>
  </r>
  <r>
    <n v="226367"/>
    <n v="54000"/>
    <x v="1"/>
    <x v="575"/>
    <x v="12"/>
    <s v="DELEGATE AGENCY"/>
    <s v="UNKNOWN"/>
    <x v="0"/>
  </r>
  <r>
    <n v="226369"/>
    <n v="216000"/>
    <x v="1"/>
    <x v="91"/>
    <x v="12"/>
    <s v="DELEGATE AGENCY"/>
    <s v="UNKNOWN"/>
    <x v="0"/>
  </r>
  <r>
    <n v="226370"/>
    <n v="54000"/>
    <x v="1"/>
    <x v="73"/>
    <x v="12"/>
    <s v="DELEGATE AGENCY"/>
    <s v="UNKNOWN"/>
    <x v="0"/>
  </r>
  <r>
    <n v="226371"/>
    <n v="54000"/>
    <x v="1"/>
    <x v="73"/>
    <x v="12"/>
    <s v="DELEGATE AGENCY"/>
    <s v="UNKNOWN"/>
    <x v="0"/>
  </r>
  <r>
    <n v="226372"/>
    <n v="81000"/>
    <x v="1"/>
    <x v="201"/>
    <x v="12"/>
    <s v="DELEGATE AGENCY"/>
    <s v="UNKNOWN"/>
    <x v="0"/>
  </r>
  <r>
    <n v="226373"/>
    <n v="54000"/>
    <x v="1"/>
    <x v="579"/>
    <x v="12"/>
    <s v="DELEGATE AGENCY"/>
    <s v="UNKNOWN"/>
    <x v="0"/>
  </r>
  <r>
    <n v="226374"/>
    <n v="54000"/>
    <x v="1"/>
    <x v="342"/>
    <x v="12"/>
    <s v="DELEGATE AGENCY"/>
    <s v="UNKNOWN"/>
    <x v="0"/>
  </r>
  <r>
    <n v="226375"/>
    <n v="300330.59999999998"/>
    <x v="1"/>
    <x v="312"/>
    <x v="12"/>
    <s v="DELEGATE AGENCY"/>
    <s v="UNKNOWN"/>
    <x v="0"/>
  </r>
  <r>
    <n v="226376"/>
    <n v="54000"/>
    <x v="2"/>
    <x v="67"/>
    <x v="12"/>
    <s v="DELEGATE AGENCY"/>
    <s v="UNKNOWN"/>
    <x v="0"/>
  </r>
  <r>
    <n v="226378"/>
    <n v="174402"/>
    <x v="1"/>
    <x v="285"/>
    <x v="12"/>
    <s v="DELEGATE AGENCY"/>
    <s v="UNKNOWN"/>
    <x v="0"/>
  </r>
  <r>
    <n v="226379"/>
    <n v="64227"/>
    <x v="1"/>
    <x v="961"/>
    <x v="19"/>
    <s v="DELEGATE AGENCY"/>
    <s v="UNKNOWN"/>
    <x v="0"/>
  </r>
  <r>
    <n v="226380"/>
    <n v="81800"/>
    <x v="1"/>
    <x v="84"/>
    <x v="12"/>
    <s v="DELEGATE AGENCY"/>
    <s v="UNKNOWN"/>
    <x v="0"/>
  </r>
  <r>
    <n v="226381"/>
    <n v="55000"/>
    <x v="1"/>
    <x v="219"/>
    <x v="19"/>
    <s v="DELEGATE AGENCY"/>
    <s v="UNKNOWN"/>
    <x v="0"/>
  </r>
  <r>
    <n v="226382"/>
    <n v="6494000"/>
    <x v="1"/>
    <x v="285"/>
    <x v="12"/>
    <s v="DELEGATE AGENCY"/>
    <s v="UNKNOWN"/>
    <x v="0"/>
  </r>
  <r>
    <n v="226383"/>
    <n v="25000"/>
    <x v="0"/>
    <x v="219"/>
    <x v="19"/>
    <s v="DELEGATE AGENCY"/>
    <s v="UNKNOWN"/>
    <x v="0"/>
  </r>
  <r>
    <n v="226384"/>
    <n v="588251.19999999995"/>
    <x v="4"/>
    <x v="59"/>
    <x v="12"/>
    <s v="DELEGATE AGENCY"/>
    <s v="UNKNOWN"/>
    <x v="0"/>
  </r>
  <r>
    <n v="226385"/>
    <n v="54000"/>
    <x v="2"/>
    <x v="63"/>
    <x v="12"/>
    <s v="DELEGATE AGENCY"/>
    <s v="UNKNOWN"/>
    <x v="0"/>
  </r>
  <r>
    <n v="226386"/>
    <n v="54000"/>
    <x v="1"/>
    <x v="371"/>
    <x v="12"/>
    <s v="DELEGATE AGENCY"/>
    <s v="UNKNOWN"/>
    <x v="0"/>
  </r>
  <r>
    <n v="226387"/>
    <n v="20608"/>
    <x v="1"/>
    <x v="451"/>
    <x v="12"/>
    <s v="DELEGATE AGENCY"/>
    <s v="UNKNOWN"/>
    <x v="0"/>
  </r>
  <r>
    <n v="226388"/>
    <n v="72000"/>
    <x v="4"/>
    <x v="612"/>
    <x v="12"/>
    <s v="DELEGATE AGENCY"/>
    <s v="UNKNOWN"/>
    <x v="0"/>
  </r>
  <r>
    <n v="226389"/>
    <n v="20000"/>
    <x v="1"/>
    <x v="377"/>
    <x v="19"/>
    <s v="DELEGATE AGENCY"/>
    <s v="UNKNOWN"/>
    <x v="0"/>
  </r>
  <r>
    <n v="226390"/>
    <n v="2500"/>
    <x v="4"/>
    <x v="1133"/>
    <x v="20"/>
    <s v="COMPTROLLER-OTHER"/>
    <s v="UNKNOWN"/>
    <x v="0"/>
  </r>
  <r>
    <n v="226391"/>
    <n v="895000"/>
    <x v="3"/>
    <x v="358"/>
    <x v="12"/>
    <s v="DELEGATE AGENCY"/>
    <s v="UNKNOWN"/>
    <x v="0"/>
  </r>
  <r>
    <n v="226395"/>
    <n v="227000"/>
    <x v="2"/>
    <x v="308"/>
    <x v="12"/>
    <s v="DELEGATE AGENCY"/>
    <s v="UNKNOWN"/>
    <x v="0"/>
  </r>
  <r>
    <n v="226396"/>
    <n v="249032"/>
    <x v="1"/>
    <x v="285"/>
    <x v="12"/>
    <s v="DELEGATE AGENCY"/>
    <s v="UNKNOWN"/>
    <x v="0"/>
  </r>
  <r>
    <n v="226397"/>
    <n v="157575"/>
    <x v="1"/>
    <x v="301"/>
    <x v="12"/>
    <s v="DELEGATE AGENCY"/>
    <s v="UNKNOWN"/>
    <x v="0"/>
  </r>
  <r>
    <n v="226398"/>
    <n v="96000"/>
    <x v="1"/>
    <x v="583"/>
    <x v="12"/>
    <s v="DELEGATE AGENCY"/>
    <s v="UNKNOWN"/>
    <x v="0"/>
  </r>
  <r>
    <n v="226399"/>
    <n v="64818.9"/>
    <x v="1"/>
    <x v="301"/>
    <x v="12"/>
    <s v="DELEGATE AGENCY"/>
    <s v="UNKNOWN"/>
    <x v="0"/>
  </r>
  <r>
    <n v="226400"/>
    <n v="20608"/>
    <x v="1"/>
    <x v="359"/>
    <x v="12"/>
    <s v="DELEGATE AGENCY"/>
    <s v="UNKNOWN"/>
    <x v="0"/>
  </r>
  <r>
    <n v="226401"/>
    <n v="32763.7"/>
    <x v="4"/>
    <x v="78"/>
    <x v="12"/>
    <s v="DELEGATE AGENCY"/>
    <s v="UNKNOWN"/>
    <x v="0"/>
  </r>
  <r>
    <n v="226402"/>
    <n v="80000"/>
    <x v="4"/>
    <x v="730"/>
    <x v="12"/>
    <s v="DELEGATE AGENCY"/>
    <s v="UNKNOWN"/>
    <x v="0"/>
  </r>
  <r>
    <n v="226403"/>
    <n v="96000"/>
    <x v="1"/>
    <x v="613"/>
    <x v="12"/>
    <s v="DELEGATE AGENCY"/>
    <s v="UNKNOWN"/>
    <x v="0"/>
  </r>
  <r>
    <n v="226404"/>
    <n v="48000"/>
    <x v="1"/>
    <x v="114"/>
    <x v="12"/>
    <s v="DELEGATE AGENCY"/>
    <s v="UNKNOWN"/>
    <x v="0"/>
  </r>
  <r>
    <n v="226405"/>
    <n v="54000"/>
    <x v="4"/>
    <x v="588"/>
    <x v="12"/>
    <s v="DELEGATE AGENCY"/>
    <s v="UNKNOWN"/>
    <x v="0"/>
  </r>
  <r>
    <n v="226406"/>
    <n v="54000"/>
    <x v="1"/>
    <x v="80"/>
    <x v="12"/>
    <s v="DELEGATE AGENCY"/>
    <s v="UNKNOWN"/>
    <x v="0"/>
  </r>
  <r>
    <n v="226407"/>
    <n v="112500"/>
    <x v="1"/>
    <x v="289"/>
    <x v="12"/>
    <s v="DELEGATE AGENCY"/>
    <s v="UNKNOWN"/>
    <x v="0"/>
  </r>
  <r>
    <n v="226408"/>
    <n v="54000"/>
    <x v="1"/>
    <x v="77"/>
    <x v="12"/>
    <s v="DELEGATE AGENCY"/>
    <s v="UNKNOWN"/>
    <x v="0"/>
  </r>
  <r>
    <n v="226409"/>
    <n v="20222"/>
    <x v="1"/>
    <x v="290"/>
    <x v="12"/>
    <s v="DELEGATE AGENCY"/>
    <s v="UNKNOWN"/>
    <x v="0"/>
  </r>
  <r>
    <n v="226410"/>
    <n v="96000"/>
    <x v="4"/>
    <x v="114"/>
    <x v="12"/>
    <s v="DELEGATE AGENCY"/>
    <s v="UNKNOWN"/>
    <x v="0"/>
  </r>
  <r>
    <n v="226411"/>
    <n v="48000"/>
    <x v="1"/>
    <x v="78"/>
    <x v="12"/>
    <s v="DELEGATE AGENCY"/>
    <s v="UNKNOWN"/>
    <x v="0"/>
  </r>
  <r>
    <n v="226412"/>
    <n v="287438"/>
    <x v="4"/>
    <x v="290"/>
    <x v="12"/>
    <s v="DELEGATE AGENCY"/>
    <s v="UNKNOWN"/>
    <x v="0"/>
  </r>
  <r>
    <n v="226413"/>
    <n v="2000092"/>
    <x v="2"/>
    <x v="285"/>
    <x v="12"/>
    <s v="DELEGATE AGENCY"/>
    <s v="UNKNOWN"/>
    <x v="0"/>
  </r>
  <r>
    <n v="226414"/>
    <n v="101073"/>
    <x v="0"/>
    <x v="301"/>
    <x v="12"/>
    <s v="DELEGATE AGENCY"/>
    <s v="UNKNOWN"/>
    <x v="0"/>
  </r>
  <r>
    <n v="226415"/>
    <n v="650000"/>
    <x v="1"/>
    <x v="24"/>
    <x v="12"/>
    <s v="DELEGATE AGENCY"/>
    <s v="UNKNOWN"/>
    <x v="0"/>
  </r>
  <r>
    <n v="226416"/>
    <n v="96000"/>
    <x v="2"/>
    <x v="114"/>
    <x v="12"/>
    <s v="DELEGATE AGENCY"/>
    <s v="UNKNOWN"/>
    <x v="0"/>
  </r>
  <r>
    <n v="226417"/>
    <n v="150000"/>
    <x v="1"/>
    <x v="290"/>
    <x v="12"/>
    <s v="DELEGATE AGENCY"/>
    <s v="UNKNOWN"/>
    <x v="0"/>
  </r>
  <r>
    <n v="226418"/>
    <n v="54000"/>
    <x v="1"/>
    <x v="573"/>
    <x v="12"/>
    <s v="DELEGATE AGENCY"/>
    <s v="UNKNOWN"/>
    <x v="0"/>
  </r>
  <r>
    <n v="226419"/>
    <n v="54000"/>
    <x v="1"/>
    <x v="576"/>
    <x v="12"/>
    <s v="DELEGATE AGENCY"/>
    <s v="UNKNOWN"/>
    <x v="0"/>
  </r>
  <r>
    <n v="226420"/>
    <n v="54000"/>
    <x v="1"/>
    <x v="589"/>
    <x v="12"/>
    <s v="DELEGATE AGENCY"/>
    <s v="UNKNOWN"/>
    <x v="0"/>
  </r>
  <r>
    <n v="226421"/>
    <n v="13565.9"/>
    <x v="1"/>
    <x v="78"/>
    <x v="12"/>
    <s v="DELEGATE AGENCY"/>
    <s v="UNKNOWN"/>
    <x v="0"/>
  </r>
  <r>
    <n v="226422"/>
    <n v="13887.8"/>
    <x v="4"/>
    <x v="78"/>
    <x v="12"/>
    <s v="DELEGATE AGENCY"/>
    <s v="UNKNOWN"/>
    <x v="0"/>
  </r>
  <r>
    <n v="226423"/>
    <n v="1000000"/>
    <x v="4"/>
    <x v="285"/>
    <x v="12"/>
    <s v="DELEGATE AGENCY"/>
    <s v="UNKNOWN"/>
    <x v="0"/>
  </r>
  <r>
    <n v="226426"/>
    <n v="2500"/>
    <x v="0"/>
    <x v="1134"/>
    <x v="20"/>
    <s v="COMPTROLLER-OTHER"/>
    <s v="UNKNOWN"/>
    <x v="0"/>
  </r>
  <r>
    <n v="226427"/>
    <n v="5000"/>
    <x v="3"/>
    <x v="1135"/>
    <x v="20"/>
    <s v="COMPTROLLER-OTHER"/>
    <s v="UNKNOWN"/>
    <x v="0"/>
  </r>
  <r>
    <n v="226448"/>
    <n v="83477.5"/>
    <x v="3"/>
    <x v="160"/>
    <x v="6"/>
    <s v="COMMODITIES-SMALL ORDERS"/>
    <s v="BID"/>
    <x v="0"/>
  </r>
  <r>
    <n v="226460"/>
    <n v="1158577"/>
    <x v="1"/>
    <x v="1136"/>
    <x v="16"/>
    <s v="COMPTROLLER-OTHER"/>
    <s v="UNKNOWN"/>
    <x v="0"/>
  </r>
  <r>
    <n v="226463"/>
    <n v="1285000"/>
    <x v="0"/>
    <x v="156"/>
    <x v="20"/>
    <s v="COMPTROLLER-OTHER"/>
    <s v="UNKNOWN"/>
    <x v="0"/>
  </r>
  <r>
    <n v="226493"/>
    <n v="34890.400000000001"/>
    <x v="0"/>
    <x v="127"/>
    <x v="12"/>
    <s v="DELEGATE AGENCY"/>
    <s v="UNKNOWN"/>
    <x v="0"/>
  </r>
  <r>
    <n v="226494"/>
    <n v="18766.7"/>
    <x v="4"/>
    <x v="73"/>
    <x v="12"/>
    <s v="DELEGATE AGENCY"/>
    <s v="UNKNOWN"/>
    <x v="0"/>
  </r>
  <r>
    <n v="226496"/>
    <n v="66174"/>
    <x v="4"/>
    <x v="389"/>
    <x v="22"/>
    <s v="DELEGATE AGENCY"/>
    <s v="UNKNOWN"/>
    <x v="0"/>
  </r>
  <r>
    <n v="226501"/>
    <n v="93700.800000000003"/>
    <x v="1"/>
    <x v="436"/>
    <x v="22"/>
    <s v="DELEGATE AGENCY"/>
    <s v="UNKNOWN"/>
    <x v="0"/>
  </r>
  <r>
    <n v="226505"/>
    <n v="50000"/>
    <x v="1"/>
    <x v="204"/>
    <x v="16"/>
    <s v="DELEGATE AGENCY"/>
    <s v="RFP"/>
    <x v="0"/>
  </r>
  <r>
    <n v="226507"/>
    <n v="16000000"/>
    <x v="1"/>
    <x v="865"/>
    <x v="12"/>
    <s v="PRO SERV CONSULTING $250,000orABOVE"/>
    <s v="JOINT PURCHASE"/>
    <x v="0"/>
  </r>
  <r>
    <n v="226508"/>
    <n v="48735.6"/>
    <x v="0"/>
    <x v="333"/>
    <x v="22"/>
    <s v="DELEGATE AGENCY"/>
    <s v="UNKNOWN"/>
    <x v="0"/>
  </r>
  <r>
    <n v="226510"/>
    <n v="2658168"/>
    <x v="4"/>
    <x v="1137"/>
    <x v="12"/>
    <s v="DELEGATE AGENCY"/>
    <s v="UNKNOWN"/>
    <x v="0"/>
  </r>
  <r>
    <n v="226540"/>
    <n v="3500000"/>
    <x v="0"/>
    <x v="1138"/>
    <x v="2"/>
    <s v="COMPTROLLER-OTHER"/>
    <s v="UNKNOWN"/>
    <x v="0"/>
  </r>
  <r>
    <n v="226595"/>
    <n v="85000"/>
    <x v="0"/>
    <x v="223"/>
    <x v="19"/>
    <s v="DELEGATE AGENCY"/>
    <s v="UNKNOWN"/>
    <x v="0"/>
  </r>
  <r>
    <n v="226599"/>
    <n v="25000"/>
    <x v="1"/>
    <x v="377"/>
    <x v="19"/>
    <s v="DELEGATE AGENCY"/>
    <s v="UNKNOWN"/>
    <x v="0"/>
  </r>
  <r>
    <n v="226603"/>
    <n v="25000"/>
    <x v="4"/>
    <x v="222"/>
    <x v="19"/>
    <s v="DELEGATE AGENCY"/>
    <s v="UNKNOWN"/>
    <x v="0"/>
  </r>
  <r>
    <n v="226606"/>
    <n v="20000"/>
    <x v="4"/>
    <x v="376"/>
    <x v="19"/>
    <s v="DELEGATE AGENCY"/>
    <s v="UNKNOWN"/>
    <x v="0"/>
  </r>
  <r>
    <n v="226619"/>
    <n v="1196357"/>
    <x v="4"/>
    <x v="338"/>
    <x v="26"/>
    <s v="DELEGATE AGENCY"/>
    <s v="UNKNOWN"/>
    <x v="0"/>
  </r>
  <r>
    <n v="226620"/>
    <n v="20000"/>
    <x v="0"/>
    <x v="390"/>
    <x v="19"/>
    <s v="DELEGATE AGENCY"/>
    <s v="UNKNOWN"/>
    <x v="0"/>
  </r>
  <r>
    <n v="226621"/>
    <n v="50000"/>
    <x v="4"/>
    <x v="991"/>
    <x v="19"/>
    <s v="DELEGATE AGENCY"/>
    <s v="UNKNOWN"/>
    <x v="0"/>
  </r>
  <r>
    <n v="226622"/>
    <n v="50000"/>
    <x v="1"/>
    <x v="390"/>
    <x v="19"/>
    <s v="DELEGATE AGENCY"/>
    <s v="UNKNOWN"/>
    <x v="0"/>
  </r>
  <r>
    <n v="226623"/>
    <n v="25000"/>
    <x v="1"/>
    <x v="390"/>
    <x v="19"/>
    <s v="DELEGATE AGENCY"/>
    <s v="UNKNOWN"/>
    <x v="0"/>
  </r>
  <r>
    <n v="226624"/>
    <n v="85000"/>
    <x v="4"/>
    <x v="219"/>
    <x v="19"/>
    <s v="DELEGATE AGENCY"/>
    <s v="UNKNOWN"/>
    <x v="0"/>
  </r>
  <r>
    <n v="226637"/>
    <n v="225283.3"/>
    <x v="1"/>
    <x v="333"/>
    <x v="22"/>
    <s v="DELEGATE AGENCY"/>
    <s v="UNKNOWN"/>
    <x v="0"/>
  </r>
  <r>
    <n v="226801"/>
    <n v="85000"/>
    <x v="1"/>
    <x v="220"/>
    <x v="19"/>
    <s v="DELEGATE AGENCY"/>
    <s v="UNKNOWN"/>
    <x v="0"/>
  </r>
  <r>
    <n v="226807"/>
    <n v="40000"/>
    <x v="1"/>
    <x v="222"/>
    <x v="19"/>
    <s v="DELEGATE AGENCY"/>
    <s v="UNKNOWN"/>
    <x v="0"/>
  </r>
  <r>
    <n v="226809"/>
    <n v="90000"/>
    <x v="4"/>
    <x v="1139"/>
    <x v="22"/>
    <s v="DELEGATE AGENCY"/>
    <s v="UNKNOWN"/>
    <x v="0"/>
  </r>
  <r>
    <n v="226810"/>
    <n v="43174"/>
    <x v="1"/>
    <x v="316"/>
    <x v="22"/>
    <s v="DELEGATE AGENCY"/>
    <s v="UNKNOWN"/>
    <x v="0"/>
  </r>
  <r>
    <n v="226811"/>
    <n v="42903"/>
    <x v="4"/>
    <x v="316"/>
    <x v="22"/>
    <s v="DELEGATE AGENCY"/>
    <s v="UNKNOWN"/>
    <x v="0"/>
  </r>
  <r>
    <n v="226848"/>
    <n v="55000"/>
    <x v="4"/>
    <x v="957"/>
    <x v="19"/>
    <s v="DELEGATE AGENCY"/>
    <s v="UNKNOWN"/>
    <x v="0"/>
  </r>
  <r>
    <n v="226849"/>
    <n v="41340"/>
    <x v="1"/>
    <x v="114"/>
    <x v="12"/>
    <s v="DELEGATE AGENCY"/>
    <s v="UNKNOWN"/>
    <x v="0"/>
  </r>
  <r>
    <n v="226850"/>
    <n v="19968"/>
    <x v="4"/>
    <x v="23"/>
    <x v="12"/>
    <s v="DELEGATE AGENCY"/>
    <s v="UNKNOWN"/>
    <x v="0"/>
  </r>
  <r>
    <n v="226851"/>
    <n v="11124.2"/>
    <x v="4"/>
    <x v="1140"/>
    <x v="12"/>
    <s v="DELEGATE AGENCY"/>
    <s v="UNKNOWN"/>
    <x v="0"/>
  </r>
  <r>
    <n v="226852"/>
    <n v="791750.2"/>
    <x v="4"/>
    <x v="59"/>
    <x v="12"/>
    <s v="DELEGATE AGENCY"/>
    <s v="UNKNOWN"/>
    <x v="0"/>
  </r>
  <r>
    <n v="226853"/>
    <n v="48800"/>
    <x v="2"/>
    <x v="228"/>
    <x v="12"/>
    <s v="DELEGATE AGENCY"/>
    <s v="UNKNOWN"/>
    <x v="0"/>
  </r>
  <r>
    <n v="226854"/>
    <n v="54000"/>
    <x v="4"/>
    <x v="585"/>
    <x v="12"/>
    <s v="DELEGATE AGENCY"/>
    <s v="UNKNOWN"/>
    <x v="0"/>
  </r>
  <r>
    <n v="226855"/>
    <n v="97384.5"/>
    <x v="1"/>
    <x v="285"/>
    <x v="12"/>
    <s v="DELEGATE AGENCY"/>
    <s v="UNKNOWN"/>
    <x v="0"/>
  </r>
  <r>
    <n v="226856"/>
    <n v="62324"/>
    <x v="1"/>
    <x v="201"/>
    <x v="12"/>
    <s v="DELEGATE AGENCY"/>
    <s v="UNKNOWN"/>
    <x v="0"/>
  </r>
  <r>
    <n v="226882"/>
    <n v="279500"/>
    <x v="1"/>
    <x v="166"/>
    <x v="8"/>
    <s v="DELEGATE AGENCY"/>
    <s v="UNKNOWN"/>
    <x v="0"/>
  </r>
  <r>
    <n v="226895"/>
    <n v="147558.70000000001"/>
    <x v="2"/>
    <x v="25"/>
    <x v="8"/>
    <s v="DELEGATE AGENCY"/>
    <s v="UNKNOWN"/>
    <x v="0"/>
  </r>
  <r>
    <n v="226906"/>
    <n v="275874"/>
    <x v="1"/>
    <x v="25"/>
    <x v="8"/>
    <s v="DELEGATE AGENCY"/>
    <s v="UNKNOWN"/>
    <x v="0"/>
  </r>
  <r>
    <n v="226913"/>
    <n v="38750"/>
    <x v="2"/>
    <x v="114"/>
    <x v="12"/>
    <s v="DELEGATE AGENCY"/>
    <s v="UNKNOWN"/>
    <x v="0"/>
  </r>
  <r>
    <n v="226914"/>
    <n v="65880"/>
    <x v="4"/>
    <x v="114"/>
    <x v="12"/>
    <s v="DELEGATE AGENCY"/>
    <s v="UNKNOWN"/>
    <x v="0"/>
  </r>
  <r>
    <n v="226915"/>
    <n v="37500"/>
    <x v="1"/>
    <x v="981"/>
    <x v="19"/>
    <s v="DELEGATE AGENCY"/>
    <s v="UNKNOWN"/>
    <x v="0"/>
  </r>
  <r>
    <n v="227008"/>
    <n v="50000"/>
    <x v="4"/>
    <x v="383"/>
    <x v="22"/>
    <s v="DELEGATE AGENCY"/>
    <s v="UNKNOWN"/>
    <x v="0"/>
  </r>
  <r>
    <n v="227220"/>
    <n v="78686.8"/>
    <x v="1"/>
    <x v="34"/>
    <x v="8"/>
    <s v="DELEGATE AGENCY"/>
    <s v="UNKNOWN"/>
    <x v="0"/>
  </r>
  <r>
    <n v="227221"/>
    <n v="4283439.7"/>
    <x v="1"/>
    <x v="140"/>
    <x v="8"/>
    <s v="DELEGATE AGENCY"/>
    <s v="UNKNOWN"/>
    <x v="0"/>
  </r>
  <r>
    <n v="227232"/>
    <n v="50000"/>
    <x v="0"/>
    <x v="311"/>
    <x v="22"/>
    <s v="DELEGATE AGENCY"/>
    <s v="UNKNOWN"/>
    <x v="0"/>
  </r>
  <r>
    <n v="227247"/>
    <n v="50000"/>
    <x v="1"/>
    <x v="383"/>
    <x v="22"/>
    <s v="DELEGATE AGENCY"/>
    <s v="UNKNOWN"/>
    <x v="0"/>
  </r>
  <r>
    <n v="227248"/>
    <n v="50000"/>
    <x v="1"/>
    <x v="384"/>
    <x v="22"/>
    <s v="DELEGATE AGENCY"/>
    <s v="UNKNOWN"/>
    <x v="0"/>
  </r>
  <r>
    <n v="227249"/>
    <n v="50000"/>
    <x v="1"/>
    <x v="382"/>
    <x v="22"/>
    <s v="DELEGATE AGENCY"/>
    <s v="UNKNOWN"/>
    <x v="0"/>
  </r>
  <r>
    <n v="227250"/>
    <n v="47207"/>
    <x v="1"/>
    <x v="400"/>
    <x v="22"/>
    <s v="DELEGATE AGENCY"/>
    <s v="UNKNOWN"/>
    <x v="0"/>
  </r>
  <r>
    <n v="227251"/>
    <n v="191793"/>
    <x v="4"/>
    <x v="400"/>
    <x v="22"/>
    <s v="DELEGATE AGENCY"/>
    <s v="UNKNOWN"/>
    <x v="0"/>
  </r>
  <r>
    <n v="227301"/>
    <n v="56025"/>
    <x v="1"/>
    <x v="503"/>
    <x v="22"/>
    <s v="DELEGATE AGENCY"/>
    <s v="UNKNOWN"/>
    <x v="0"/>
  </r>
  <r>
    <n v="227304"/>
    <n v="300000"/>
    <x v="1"/>
    <x v="326"/>
    <x v="26"/>
    <s v="DELEGATE AGENCY"/>
    <s v="RFP"/>
    <x v="0"/>
  </r>
  <r>
    <n v="227324"/>
    <n v="279500"/>
    <x v="2"/>
    <x v="166"/>
    <x v="8"/>
    <s v="DELEGATE AGENCY"/>
    <s v="UNKNOWN"/>
    <x v="0"/>
  </r>
  <r>
    <n v="227359"/>
    <n v="72000"/>
    <x v="2"/>
    <x v="604"/>
    <x v="12"/>
    <s v="DELEGATE AGENCY"/>
    <s v="UNKNOWN"/>
    <x v="0"/>
  </r>
  <r>
    <n v="227360"/>
    <n v="3183876.1"/>
    <x v="1"/>
    <x v="57"/>
    <x v="12"/>
    <s v="DELEGATE AGENCY"/>
    <s v="UNKNOWN"/>
    <x v="0"/>
  </r>
  <r>
    <n v="227361"/>
    <n v="1965459.6"/>
    <x v="0"/>
    <x v="57"/>
    <x v="12"/>
    <s v="DELEGATE AGENCY"/>
    <s v="UNKNOWN"/>
    <x v="0"/>
  </r>
  <r>
    <n v="227362"/>
    <n v="990239.2"/>
    <x v="0"/>
    <x v="57"/>
    <x v="12"/>
    <s v="DELEGATE AGENCY"/>
    <s v="UNKNOWN"/>
    <x v="0"/>
  </r>
  <r>
    <n v="227363"/>
    <n v="20608"/>
    <x v="2"/>
    <x v="441"/>
    <x v="12"/>
    <s v="DELEGATE AGENCY"/>
    <s v="UNKNOWN"/>
    <x v="0"/>
  </r>
  <r>
    <n v="227364"/>
    <n v="72000"/>
    <x v="4"/>
    <x v="612"/>
    <x v="12"/>
    <s v="DELEGATE AGENCY"/>
    <s v="UNKNOWN"/>
    <x v="0"/>
  </r>
  <r>
    <n v="227365"/>
    <n v="72000"/>
    <x v="1"/>
    <x v="619"/>
    <x v="12"/>
    <s v="DELEGATE AGENCY"/>
    <s v="UNKNOWN"/>
    <x v="0"/>
  </r>
  <r>
    <n v="227366"/>
    <n v="2549478"/>
    <x v="1"/>
    <x v="1141"/>
    <x v="2"/>
    <s v="COMPTROLLER-OTHER"/>
    <s v="UNKNOWN"/>
    <x v="0"/>
  </r>
  <r>
    <n v="227369"/>
    <n v="485082"/>
    <x v="0"/>
    <x v="1142"/>
    <x v="2"/>
    <s v="COMPTROLLER-OTHER"/>
    <s v="UNKNOWN"/>
    <x v="0"/>
  </r>
  <r>
    <n v="227374"/>
    <n v="213095"/>
    <x v="2"/>
    <x v="1143"/>
    <x v="3"/>
    <s v="PRO SERV-SMALL ORDERS"/>
    <s v="RFP"/>
    <x v="0"/>
  </r>
  <r>
    <n v="227375"/>
    <n v="203083"/>
    <x v="1"/>
    <x v="1144"/>
    <x v="2"/>
    <s v="COMPTROLLER-OTHER"/>
    <s v="UNKNOWN"/>
    <x v="0"/>
  </r>
  <r>
    <n v="227376"/>
    <n v="248962.5"/>
    <x v="1"/>
    <x v="1145"/>
    <x v="2"/>
    <s v="COMPTROLLER-OTHER"/>
    <s v="UNKNOWN"/>
    <x v="0"/>
  </r>
  <r>
    <n v="227378"/>
    <n v="40571"/>
    <x v="1"/>
    <x v="1146"/>
    <x v="25"/>
    <s v="COMPTROLLER-OTHER"/>
    <s v="UNKNOWN"/>
    <x v="0"/>
  </r>
  <r>
    <n v="227395"/>
    <n v="131843.20000000001"/>
    <x v="4"/>
    <x v="807"/>
    <x v="2"/>
    <s v="COMPTROLLER-OTHER"/>
    <s v="UNKNOWN"/>
    <x v="0"/>
  </r>
  <r>
    <n v="227398"/>
    <n v="234375"/>
    <x v="1"/>
    <x v="1147"/>
    <x v="2"/>
    <s v="COMPTROLLER-OTHER"/>
    <s v="UNKNOWN"/>
    <x v="0"/>
  </r>
  <r>
    <n v="227407"/>
    <n v="4180000"/>
    <x v="1"/>
    <x v="36"/>
    <x v="6"/>
    <s v="COMPTROLLER-OTHER"/>
    <s v="UNKNOWN"/>
    <x v="0"/>
  </r>
  <r>
    <n v="227518"/>
    <n v="9319384.1999999993"/>
    <x v="0"/>
    <x v="11"/>
    <x v="0"/>
    <s v="CONSTRUCTION-LARGE $3MILLIONorABOVE"/>
    <s v="BID"/>
    <x v="0"/>
  </r>
  <r>
    <n v="227539"/>
    <n v="95000"/>
    <x v="0"/>
    <x v="1148"/>
    <x v="34"/>
    <s v="COMPTROLLER-OTHER"/>
    <s v="UNKNOWN"/>
    <x v="0"/>
  </r>
  <r>
    <n v="227542"/>
    <n v="50000"/>
    <x v="1"/>
    <x v="1149"/>
    <x v="34"/>
    <s v="COMPTROLLER-OTHER"/>
    <s v="UNKNOWN"/>
    <x v="0"/>
  </r>
  <r>
    <n v="227544"/>
    <n v="722034.1"/>
    <x v="1"/>
    <x v="201"/>
    <x v="8"/>
    <s v="DELEGATE AGENCY"/>
    <s v="UNKNOWN"/>
    <x v="0"/>
  </r>
  <r>
    <n v="227545"/>
    <n v="387526.40000000002"/>
    <x v="2"/>
    <x v="318"/>
    <x v="8"/>
    <s v="DELEGATE AGENCY"/>
    <s v="UNKNOWN"/>
    <x v="0"/>
  </r>
  <r>
    <n v="227578"/>
    <n v="342761.3"/>
    <x v="2"/>
    <x v="497"/>
    <x v="8"/>
    <s v="DELEGATE AGENCY"/>
    <s v="UNKNOWN"/>
    <x v="0"/>
  </r>
  <r>
    <n v="227579"/>
    <n v="83649"/>
    <x v="2"/>
    <x v="322"/>
    <x v="19"/>
    <s v="DELEGATE AGENCY"/>
    <s v="UNKNOWN"/>
    <x v="0"/>
  </r>
  <r>
    <n v="227635"/>
    <n v="20203"/>
    <x v="1"/>
    <x v="114"/>
    <x v="22"/>
    <s v="DELEGATE AGENCY"/>
    <s v="UNKNOWN"/>
    <x v="0"/>
  </r>
  <r>
    <n v="227676"/>
    <n v="29249.5"/>
    <x v="4"/>
    <x v="114"/>
    <x v="22"/>
    <s v="DELEGATE AGENCY"/>
    <s v="UNKNOWN"/>
    <x v="0"/>
  </r>
  <r>
    <n v="227706"/>
    <n v="18795.2"/>
    <x v="4"/>
    <x v="227"/>
    <x v="12"/>
    <s v="DELEGATE AGENCY"/>
    <s v="UNKNOWN"/>
    <x v="0"/>
  </r>
  <r>
    <n v="227709"/>
    <n v="37196"/>
    <x v="4"/>
    <x v="89"/>
    <x v="12"/>
    <s v="DELEGATE AGENCY"/>
    <s v="UNKNOWN"/>
    <x v="0"/>
  </r>
  <r>
    <n v="227710"/>
    <n v="161273.60000000001"/>
    <x v="4"/>
    <x v="391"/>
    <x v="22"/>
    <s v="DELEGATE AGENCY"/>
    <s v="UNKNOWN"/>
    <x v="0"/>
  </r>
  <r>
    <n v="227711"/>
    <n v="140907.1"/>
    <x v="1"/>
    <x v="336"/>
    <x v="12"/>
    <s v="DELEGATE AGENCY"/>
    <s v="UNKNOWN"/>
    <x v="0"/>
  </r>
  <r>
    <n v="227712"/>
    <n v="33949.5"/>
    <x v="1"/>
    <x v="391"/>
    <x v="22"/>
    <s v="DELEGATE AGENCY"/>
    <s v="UNKNOWN"/>
    <x v="0"/>
  </r>
  <r>
    <n v="227716"/>
    <n v="143861.79999999999"/>
    <x v="4"/>
    <x v="370"/>
    <x v="22"/>
    <s v="DELEGATE AGENCY"/>
    <s v="UNKNOWN"/>
    <x v="0"/>
  </r>
  <r>
    <n v="227734"/>
    <n v="372257.6"/>
    <x v="1"/>
    <x v="493"/>
    <x v="12"/>
    <s v="DELEGATE AGENCY"/>
    <s v="UNKNOWN"/>
    <x v="0"/>
  </r>
  <r>
    <n v="227736"/>
    <n v="63627.9"/>
    <x v="2"/>
    <x v="359"/>
    <x v="12"/>
    <s v="DELEGATE AGENCY"/>
    <s v="UNKNOWN"/>
    <x v="0"/>
  </r>
  <r>
    <n v="227738"/>
    <n v="686370.5"/>
    <x v="1"/>
    <x v="201"/>
    <x v="12"/>
    <s v="DELEGATE AGENCY"/>
    <s v="UNKNOWN"/>
    <x v="0"/>
  </r>
  <r>
    <n v="227741"/>
    <n v="125287.6"/>
    <x v="2"/>
    <x v="72"/>
    <x v="12"/>
    <s v="DELEGATE AGENCY"/>
    <s v="UNKNOWN"/>
    <x v="0"/>
  </r>
  <r>
    <n v="227742"/>
    <n v="172743.2"/>
    <x v="1"/>
    <x v="73"/>
    <x v="12"/>
    <s v="DELEGATE AGENCY"/>
    <s v="UNKNOWN"/>
    <x v="0"/>
  </r>
  <r>
    <n v="227745"/>
    <n v="74236"/>
    <x v="1"/>
    <x v="315"/>
    <x v="12"/>
    <s v="DELEGATE AGENCY"/>
    <s v="UNKNOWN"/>
    <x v="0"/>
  </r>
  <r>
    <n v="227790"/>
    <n v="59236"/>
    <x v="1"/>
    <x v="314"/>
    <x v="3"/>
    <s v="DELEGATE AGENCY"/>
    <s v="UNKNOWN"/>
    <x v="0"/>
  </r>
  <r>
    <n v="227791"/>
    <n v="13000"/>
    <x v="1"/>
    <x v="289"/>
    <x v="12"/>
    <s v="DELEGATE AGENCY"/>
    <s v="UNKNOWN"/>
    <x v="0"/>
  </r>
  <r>
    <n v="227795"/>
    <n v="916502"/>
    <x v="4"/>
    <x v="306"/>
    <x v="12"/>
    <s v="DELEGATE AGENCY"/>
    <s v="UNKNOWN"/>
    <x v="0"/>
  </r>
  <r>
    <n v="227796"/>
    <n v="182355"/>
    <x v="2"/>
    <x v="303"/>
    <x v="12"/>
    <s v="DELEGATE AGENCY"/>
    <s v="UNKNOWN"/>
    <x v="0"/>
  </r>
  <r>
    <n v="227797"/>
    <n v="665566"/>
    <x v="1"/>
    <x v="301"/>
    <x v="12"/>
    <s v="DELEGATE AGENCY"/>
    <s v="UNKNOWN"/>
    <x v="0"/>
  </r>
  <r>
    <n v="227799"/>
    <n v="107986"/>
    <x v="2"/>
    <x v="316"/>
    <x v="12"/>
    <s v="DELEGATE AGENCY"/>
    <s v="UNKNOWN"/>
    <x v="0"/>
  </r>
  <r>
    <n v="227800"/>
    <n v="133640"/>
    <x v="1"/>
    <x v="191"/>
    <x v="12"/>
    <s v="DELEGATE AGENCY"/>
    <s v="UNKNOWN"/>
    <x v="0"/>
  </r>
  <r>
    <n v="227801"/>
    <n v="243423.7"/>
    <x v="1"/>
    <x v="214"/>
    <x v="8"/>
    <s v="DELEGATE AGENCY"/>
    <s v="UNKNOWN"/>
    <x v="0"/>
  </r>
  <r>
    <n v="227802"/>
    <n v="189978.4"/>
    <x v="1"/>
    <x v="200"/>
    <x v="12"/>
    <s v="DELEGATE AGENCY"/>
    <s v="UNKNOWN"/>
    <x v="0"/>
  </r>
  <r>
    <n v="227804"/>
    <n v="213396.5"/>
    <x v="1"/>
    <x v="243"/>
    <x v="12"/>
    <s v="DELEGATE AGENCY"/>
    <s v="UNKNOWN"/>
    <x v="0"/>
  </r>
  <r>
    <n v="227805"/>
    <n v="72000"/>
    <x v="1"/>
    <x v="261"/>
    <x v="12"/>
    <s v="DELEGATE AGENCY"/>
    <s v="UNKNOWN"/>
    <x v="0"/>
  </r>
  <r>
    <n v="227806"/>
    <n v="150000"/>
    <x v="1"/>
    <x v="358"/>
    <x v="12"/>
    <s v="DELEGATE AGENCY"/>
    <s v="UNKNOWN"/>
    <x v="0"/>
  </r>
  <r>
    <n v="227807"/>
    <n v="6753.0999999999904"/>
    <x v="1"/>
    <x v="243"/>
    <x v="12"/>
    <s v="DELEGATE AGENCY"/>
    <s v="UNKNOWN"/>
    <x v="0"/>
  </r>
  <r>
    <n v="227808"/>
    <n v="49200"/>
    <x v="3"/>
    <x v="228"/>
    <x v="12"/>
    <s v="DELEGATE AGENCY"/>
    <s v="UNKNOWN"/>
    <x v="0"/>
  </r>
  <r>
    <n v="227809"/>
    <n v="72000"/>
    <x v="4"/>
    <x v="616"/>
    <x v="12"/>
    <s v="DELEGATE AGENCY"/>
    <s v="UNKNOWN"/>
    <x v="0"/>
  </r>
  <r>
    <n v="227810"/>
    <n v="48000"/>
    <x v="1"/>
    <x v="607"/>
    <x v="12"/>
    <s v="DELEGATE AGENCY"/>
    <s v="UNKNOWN"/>
    <x v="0"/>
  </r>
  <r>
    <n v="227811"/>
    <n v="72000"/>
    <x v="4"/>
    <x v="127"/>
    <x v="12"/>
    <s v="DELEGATE AGENCY"/>
    <s v="UNKNOWN"/>
    <x v="0"/>
  </r>
  <r>
    <n v="227812"/>
    <n v="320508"/>
    <x v="1"/>
    <x v="62"/>
    <x v="12"/>
    <s v="DELEGATE AGENCY"/>
    <s v="UNKNOWN"/>
    <x v="0"/>
  </r>
  <r>
    <n v="227813"/>
    <n v="20608"/>
    <x v="2"/>
    <x v="610"/>
    <x v="12"/>
    <s v="DELEGATE AGENCY"/>
    <s v="UNKNOWN"/>
    <x v="0"/>
  </r>
  <r>
    <n v="227814"/>
    <n v="48000"/>
    <x v="4"/>
    <x v="610"/>
    <x v="12"/>
    <s v="DELEGATE AGENCY"/>
    <s v="UNKNOWN"/>
    <x v="0"/>
  </r>
  <r>
    <n v="227815"/>
    <n v="54000"/>
    <x v="4"/>
    <x v="572"/>
    <x v="12"/>
    <s v="DELEGATE AGENCY"/>
    <s v="UNKNOWN"/>
    <x v="0"/>
  </r>
  <r>
    <n v="227816"/>
    <n v="54000"/>
    <x v="1"/>
    <x v="341"/>
    <x v="12"/>
    <s v="DELEGATE AGENCY"/>
    <s v="UNKNOWN"/>
    <x v="0"/>
  </r>
  <r>
    <n v="227817"/>
    <n v="168000"/>
    <x v="1"/>
    <x v="616"/>
    <x v="12"/>
    <s v="DELEGATE AGENCY"/>
    <s v="UNKNOWN"/>
    <x v="0"/>
  </r>
  <r>
    <n v="227822"/>
    <n v="37063.5"/>
    <x v="1"/>
    <x v="1150"/>
    <x v="22"/>
    <s v="DELEGATE AGENCY"/>
    <s v="UNKNOWN"/>
    <x v="0"/>
  </r>
  <r>
    <n v="227836"/>
    <n v="580878"/>
    <x v="4"/>
    <x v="572"/>
    <x v="12"/>
    <s v="DELEGATE AGENCY"/>
    <s v="UNKNOWN"/>
    <x v="0"/>
  </r>
  <r>
    <n v="227838"/>
    <n v="580878"/>
    <x v="2"/>
    <x v="607"/>
    <x v="12"/>
    <s v="DELEGATE AGENCY"/>
    <s v="UNKNOWN"/>
    <x v="0"/>
  </r>
  <r>
    <n v="227839"/>
    <n v="580878"/>
    <x v="2"/>
    <x v="1151"/>
    <x v="12"/>
    <s v="DELEGATE AGENCY"/>
    <s v="UNKNOWN"/>
    <x v="0"/>
  </r>
  <r>
    <n v="227840"/>
    <n v="580878"/>
    <x v="2"/>
    <x v="578"/>
    <x v="12"/>
    <s v="DELEGATE AGENCY"/>
    <s v="UNKNOWN"/>
    <x v="0"/>
  </r>
  <r>
    <n v="227841"/>
    <n v="580878"/>
    <x v="2"/>
    <x v="446"/>
    <x v="12"/>
    <s v="DELEGATE AGENCY"/>
    <s v="UNKNOWN"/>
    <x v="0"/>
  </r>
  <r>
    <n v="227842"/>
    <n v="580878"/>
    <x v="2"/>
    <x v="391"/>
    <x v="12"/>
    <s v="DELEGATE AGENCY"/>
    <s v="UNKNOWN"/>
    <x v="0"/>
  </r>
  <r>
    <n v="227844"/>
    <n v="580878"/>
    <x v="2"/>
    <x v="464"/>
    <x v="12"/>
    <s v="DELEGATE AGENCY"/>
    <s v="UNKNOWN"/>
    <x v="0"/>
  </r>
  <r>
    <n v="227845"/>
    <n v="580878"/>
    <x v="2"/>
    <x v="1152"/>
    <x v="12"/>
    <s v="DELEGATE AGENCY"/>
    <s v="UNKNOWN"/>
    <x v="0"/>
  </r>
  <r>
    <n v="227846"/>
    <n v="580878"/>
    <x v="2"/>
    <x v="201"/>
    <x v="12"/>
    <s v="DELEGATE AGENCY"/>
    <s v="UNKNOWN"/>
    <x v="0"/>
  </r>
  <r>
    <n v="227847"/>
    <n v="580878"/>
    <x v="2"/>
    <x v="583"/>
    <x v="12"/>
    <s v="DELEGATE AGENCY"/>
    <s v="UNKNOWN"/>
    <x v="0"/>
  </r>
  <r>
    <n v="227849"/>
    <n v="580878"/>
    <x v="2"/>
    <x v="204"/>
    <x v="12"/>
    <s v="DELEGATE AGENCY"/>
    <s v="UNKNOWN"/>
    <x v="0"/>
  </r>
  <r>
    <n v="227851"/>
    <n v="580878"/>
    <x v="2"/>
    <x v="879"/>
    <x v="12"/>
    <s v="DELEGATE AGENCY"/>
    <s v="UNKNOWN"/>
    <x v="0"/>
  </r>
  <r>
    <n v="227853"/>
    <n v="123999"/>
    <x v="2"/>
    <x v="1153"/>
    <x v="22"/>
    <s v="DELEGATE AGENCY"/>
    <s v="UNKNOWN"/>
    <x v="0"/>
  </r>
  <r>
    <n v="227871"/>
    <n v="187124.1"/>
    <x v="1"/>
    <x v="379"/>
    <x v="22"/>
    <s v="DELEGATE AGENCY"/>
    <s v="UNKNOWN"/>
    <x v="0"/>
  </r>
  <r>
    <n v="227925"/>
    <n v="120000"/>
    <x v="1"/>
    <x v="310"/>
    <x v="12"/>
    <s v="DELEGATE AGENCY"/>
    <s v="UNKNOWN"/>
    <x v="0"/>
  </r>
  <r>
    <n v="227953"/>
    <n v="300000"/>
    <x v="1"/>
    <x v="809"/>
    <x v="12"/>
    <s v="DELEGATE AGENCY"/>
    <s v="UNKNOWN"/>
    <x v="0"/>
  </r>
  <r>
    <n v="227977"/>
    <n v="300000"/>
    <x v="2"/>
    <x v="326"/>
    <x v="26"/>
    <s v="DELEGATE AGENCY"/>
    <s v="UNKNOWN"/>
    <x v="0"/>
  </r>
  <r>
    <n v="228006"/>
    <n v="2400000"/>
    <x v="2"/>
    <x v="297"/>
    <x v="12"/>
    <s v="DELEGATE AGENCY"/>
    <s v="UNKNOWN"/>
    <x v="0"/>
  </r>
  <r>
    <n v="228024"/>
    <n v="62280"/>
    <x v="0"/>
    <x v="325"/>
    <x v="22"/>
    <s v="DELEGATE AGENCY"/>
    <s v="UNKNOWN"/>
    <x v="0"/>
  </r>
  <r>
    <n v="228029"/>
    <n v="61901"/>
    <x v="1"/>
    <x v="114"/>
    <x v="12"/>
    <s v="DELEGATE AGENCY"/>
    <s v="UNKNOWN"/>
    <x v="0"/>
  </r>
  <r>
    <n v="228030"/>
    <n v="93308.6"/>
    <x v="1"/>
    <x v="1009"/>
    <x v="12"/>
    <s v="DELEGATE AGENCY"/>
    <s v="UNKNOWN"/>
    <x v="0"/>
  </r>
  <r>
    <n v="228035"/>
    <n v="76686.7"/>
    <x v="1"/>
    <x v="1009"/>
    <x v="12"/>
    <s v="DELEGATE AGENCY"/>
    <s v="UNKNOWN"/>
    <x v="0"/>
  </r>
  <r>
    <n v="228079"/>
    <n v="347183.6"/>
    <x v="1"/>
    <x v="1136"/>
    <x v="16"/>
    <s v="COMPTROLLER-OTHER"/>
    <s v="UNKNOWN"/>
    <x v="0"/>
  </r>
  <r>
    <n v="228081"/>
    <n v="1500000"/>
    <x v="2"/>
    <x v="1154"/>
    <x v="2"/>
    <s v="COMPTROLLER-OTHER"/>
    <s v="UNKNOWN"/>
    <x v="0"/>
  </r>
  <r>
    <n v="228082"/>
    <n v="527270"/>
    <x v="0"/>
    <x v="377"/>
    <x v="2"/>
    <s v="DELEGATE AGENCY"/>
    <s v="RFP"/>
    <x v="0"/>
  </r>
  <r>
    <n v="228083"/>
    <n v="542472"/>
    <x v="2"/>
    <x v="1155"/>
    <x v="2"/>
    <s v="DELEGATE AGENCY"/>
    <s v="RFP"/>
    <x v="0"/>
  </r>
  <r>
    <n v="228084"/>
    <n v="267000"/>
    <x v="2"/>
    <x v="1156"/>
    <x v="2"/>
    <s v="DELEGATE AGENCY"/>
    <s v="RFP"/>
    <x v="0"/>
  </r>
  <r>
    <n v="228085"/>
    <n v="1146876"/>
    <x v="2"/>
    <x v="1157"/>
    <x v="2"/>
    <s v="DELEGATE AGENCY"/>
    <s v="RFP"/>
    <x v="0"/>
  </r>
  <r>
    <n v="228086"/>
    <n v="536000"/>
    <x v="0"/>
    <x v="1158"/>
    <x v="2"/>
    <s v="DELEGATE AGENCY"/>
    <s v="RFP"/>
    <x v="0"/>
  </r>
  <r>
    <n v="228087"/>
    <n v="267000"/>
    <x v="2"/>
    <x v="910"/>
    <x v="2"/>
    <s v="DELEGATE AGENCY"/>
    <s v="RFP"/>
    <x v="0"/>
  </r>
  <r>
    <n v="228088"/>
    <n v="216000"/>
    <x v="2"/>
    <x v="689"/>
    <x v="12"/>
    <s v="DELEGATE AGENCY"/>
    <s v="UNKNOWN"/>
    <x v="0"/>
  </r>
  <r>
    <n v="228089"/>
    <n v="288000"/>
    <x v="1"/>
    <x v="1159"/>
    <x v="12"/>
    <s v="DELEGATE AGENCY"/>
    <s v="UNKNOWN"/>
    <x v="0"/>
  </r>
  <r>
    <n v="228090"/>
    <n v="108000"/>
    <x v="2"/>
    <x v="1022"/>
    <x v="12"/>
    <s v="DELEGATE AGENCY"/>
    <s v="UNKNOWN"/>
    <x v="0"/>
  </r>
  <r>
    <n v="228092"/>
    <n v="6220058"/>
    <x v="1"/>
    <x v="1160"/>
    <x v="2"/>
    <s v="COMPTROLLER-OTHER"/>
    <s v="UNKNOWN"/>
    <x v="0"/>
  </r>
  <r>
    <n v="228093"/>
    <n v="108000"/>
    <x v="0"/>
    <x v="444"/>
    <x v="12"/>
    <s v="DELEGATE AGENCY"/>
    <s v="UNKNOWN"/>
    <x v="0"/>
  </r>
  <r>
    <n v="228094"/>
    <n v="108000"/>
    <x v="1"/>
    <x v="371"/>
    <x v="12"/>
    <s v="DELEGATE AGENCY"/>
    <s v="UNKNOWN"/>
    <x v="0"/>
  </r>
  <r>
    <n v="228095"/>
    <n v="108000"/>
    <x v="1"/>
    <x v="62"/>
    <x v="12"/>
    <s v="DELEGATE AGENCY"/>
    <s v="UNKNOWN"/>
    <x v="0"/>
  </r>
  <r>
    <n v="228096"/>
    <n v="108000"/>
    <x v="1"/>
    <x v="91"/>
    <x v="12"/>
    <s v="DELEGATE AGENCY"/>
    <s v="UNKNOWN"/>
    <x v="0"/>
  </r>
  <r>
    <n v="228097"/>
    <n v="108000"/>
    <x v="1"/>
    <x v="354"/>
    <x v="12"/>
    <s v="DELEGATE AGENCY"/>
    <s v="UNKNOWN"/>
    <x v="0"/>
  </r>
  <r>
    <n v="228099"/>
    <n v="108000"/>
    <x v="1"/>
    <x v="681"/>
    <x v="12"/>
    <s v="DELEGATE AGENCY"/>
    <s v="UNKNOWN"/>
    <x v="0"/>
  </r>
  <r>
    <n v="228100"/>
    <n v="108000"/>
    <x v="1"/>
    <x v="92"/>
    <x v="12"/>
    <s v="DELEGATE AGENCY"/>
    <s v="UNKNOWN"/>
    <x v="0"/>
  </r>
  <r>
    <n v="228101"/>
    <n v="108000"/>
    <x v="1"/>
    <x v="611"/>
    <x v="12"/>
    <s v="DELEGATE AGENCY"/>
    <s v="UNKNOWN"/>
    <x v="0"/>
  </r>
  <r>
    <n v="228102"/>
    <n v="108000"/>
    <x v="1"/>
    <x v="391"/>
    <x v="12"/>
    <s v="DELEGATE AGENCY"/>
    <s v="UNKNOWN"/>
    <x v="0"/>
  </r>
  <r>
    <n v="228103"/>
    <n v="108000"/>
    <x v="1"/>
    <x v="363"/>
    <x v="12"/>
    <s v="DELEGATE AGENCY"/>
    <s v="UNKNOWN"/>
    <x v="0"/>
  </r>
  <r>
    <n v="228104"/>
    <n v="144000"/>
    <x v="1"/>
    <x v="1161"/>
    <x v="12"/>
    <s v="DELEGATE AGENCY"/>
    <s v="UNKNOWN"/>
    <x v="0"/>
  </r>
  <r>
    <n v="228105"/>
    <n v="108000"/>
    <x v="1"/>
    <x v="72"/>
    <x v="12"/>
    <s v="DELEGATE AGENCY"/>
    <s v="UNKNOWN"/>
    <x v="0"/>
  </r>
  <r>
    <n v="228106"/>
    <n v="162000"/>
    <x v="1"/>
    <x v="583"/>
    <x v="12"/>
    <s v="DELEGATE AGENCY"/>
    <s v="UNKNOWN"/>
    <x v="0"/>
  </r>
  <r>
    <n v="228107"/>
    <n v="162000"/>
    <x v="1"/>
    <x v="1162"/>
    <x v="12"/>
    <s v="DELEGATE AGENCY"/>
    <s v="UNKNOWN"/>
    <x v="0"/>
  </r>
  <r>
    <n v="228108"/>
    <n v="108000"/>
    <x v="1"/>
    <x v="430"/>
    <x v="12"/>
    <s v="DELEGATE AGENCY"/>
    <s v="UNKNOWN"/>
    <x v="0"/>
  </r>
  <r>
    <n v="228111"/>
    <n v="108000"/>
    <x v="1"/>
    <x v="76"/>
    <x v="12"/>
    <s v="DELEGATE AGENCY"/>
    <s v="UNKNOWN"/>
    <x v="0"/>
  </r>
  <r>
    <n v="228112"/>
    <n v="108000"/>
    <x v="1"/>
    <x v="692"/>
    <x v="12"/>
    <s v="DELEGATE AGENCY"/>
    <s v="UNKNOWN"/>
    <x v="0"/>
  </r>
  <r>
    <n v="228113"/>
    <n v="270000"/>
    <x v="1"/>
    <x v="995"/>
    <x v="12"/>
    <s v="DELEGATE AGENCY"/>
    <s v="UNKNOWN"/>
    <x v="0"/>
  </r>
  <r>
    <n v="228114"/>
    <n v="216000"/>
    <x v="2"/>
    <x v="78"/>
    <x v="12"/>
    <s v="DELEGATE AGENCY"/>
    <s v="UNKNOWN"/>
    <x v="0"/>
  </r>
  <r>
    <n v="228125"/>
    <n v="54000"/>
    <x v="1"/>
    <x v="578"/>
    <x v="12"/>
    <s v="DELEGATE AGENCY"/>
    <s v="UNKNOWN"/>
    <x v="0"/>
  </r>
  <r>
    <n v="228126"/>
    <n v="270000"/>
    <x v="1"/>
    <x v="446"/>
    <x v="12"/>
    <s v="DELEGATE AGENCY"/>
    <s v="UNKNOWN"/>
    <x v="0"/>
  </r>
  <r>
    <n v="228127"/>
    <n v="54000"/>
    <x v="2"/>
    <x v="59"/>
    <x v="12"/>
    <s v="DELEGATE AGENCY"/>
    <s v="UNKNOWN"/>
    <x v="0"/>
  </r>
  <r>
    <n v="228128"/>
    <n v="125000"/>
    <x v="1"/>
    <x v="359"/>
    <x v="12"/>
    <s v="DELEGATE AGENCY"/>
    <s v="UNKNOWN"/>
    <x v="0"/>
  </r>
  <r>
    <n v="228130"/>
    <n v="81000"/>
    <x v="1"/>
    <x v="85"/>
    <x v="12"/>
    <s v="DELEGATE AGENCY"/>
    <s v="UNKNOWN"/>
    <x v="0"/>
  </r>
  <r>
    <n v="228133"/>
    <n v="108000"/>
    <x v="1"/>
    <x v="586"/>
    <x v="12"/>
    <s v="DELEGATE AGENCY"/>
    <s v="UNKNOWN"/>
    <x v="0"/>
  </r>
  <r>
    <n v="228134"/>
    <n v="1795506"/>
    <x v="1"/>
    <x v="285"/>
    <x v="12"/>
    <s v="DELEGATE AGENCY"/>
    <s v="UNKNOWN"/>
    <x v="0"/>
  </r>
  <r>
    <n v="228135"/>
    <n v="135000"/>
    <x v="0"/>
    <x v="451"/>
    <x v="12"/>
    <s v="DELEGATE AGENCY"/>
    <s v="UNKNOWN"/>
    <x v="0"/>
  </r>
  <r>
    <n v="228136"/>
    <n v="54000"/>
    <x v="1"/>
    <x v="345"/>
    <x v="12"/>
    <s v="DELEGATE AGENCY"/>
    <s v="UNKNOWN"/>
    <x v="0"/>
  </r>
  <r>
    <n v="228137"/>
    <n v="135000"/>
    <x v="1"/>
    <x v="78"/>
    <x v="12"/>
    <s v="DELEGATE AGENCY"/>
    <s v="UNKNOWN"/>
    <x v="0"/>
  </r>
  <r>
    <n v="228138"/>
    <n v="54000"/>
    <x v="1"/>
    <x v="592"/>
    <x v="12"/>
    <s v="DELEGATE AGENCY"/>
    <s v="UNKNOWN"/>
    <x v="0"/>
  </r>
  <r>
    <n v="228139"/>
    <n v="54000"/>
    <x v="1"/>
    <x v="28"/>
    <x v="12"/>
    <s v="DELEGATE AGENCY"/>
    <s v="UNKNOWN"/>
    <x v="0"/>
  </r>
  <r>
    <n v="228140"/>
    <n v="48000"/>
    <x v="1"/>
    <x v="59"/>
    <x v="12"/>
    <s v="DELEGATE AGENCY"/>
    <s v="UNKNOWN"/>
    <x v="0"/>
  </r>
  <r>
    <n v="228141"/>
    <n v="10723.3"/>
    <x v="4"/>
    <x v="510"/>
    <x v="12"/>
    <s v="DELEGATE AGENCY"/>
    <s v="UNKNOWN"/>
    <x v="0"/>
  </r>
  <r>
    <n v="228142"/>
    <n v="81000"/>
    <x v="4"/>
    <x v="72"/>
    <x v="12"/>
    <s v="DELEGATE AGENCY"/>
    <s v="UNKNOWN"/>
    <x v="0"/>
  </r>
  <r>
    <n v="228143"/>
    <n v="54000"/>
    <x v="1"/>
    <x v="86"/>
    <x v="12"/>
    <s v="DELEGATE AGENCY"/>
    <s v="UNKNOWN"/>
    <x v="0"/>
  </r>
  <r>
    <n v="228144"/>
    <n v="54000"/>
    <x v="1"/>
    <x v="448"/>
    <x v="12"/>
    <s v="DELEGATE AGENCY"/>
    <s v="UNKNOWN"/>
    <x v="0"/>
  </r>
  <r>
    <n v="228145"/>
    <n v="189000"/>
    <x v="1"/>
    <x v="583"/>
    <x v="12"/>
    <s v="DELEGATE AGENCY"/>
    <s v="UNKNOWN"/>
    <x v="0"/>
  </r>
  <r>
    <n v="228146"/>
    <n v="15912"/>
    <x v="1"/>
    <x v="23"/>
    <x v="12"/>
    <s v="DELEGATE AGENCY"/>
    <s v="UNKNOWN"/>
    <x v="0"/>
  </r>
  <r>
    <n v="228147"/>
    <n v="52044.1"/>
    <x v="4"/>
    <x v="72"/>
    <x v="12"/>
    <s v="DELEGATE AGENCY"/>
    <s v="UNKNOWN"/>
    <x v="0"/>
  </r>
  <r>
    <n v="228148"/>
    <n v="33337.1"/>
    <x v="1"/>
    <x v="72"/>
    <x v="12"/>
    <s v="DELEGATE AGENCY"/>
    <s v="UNKNOWN"/>
    <x v="0"/>
  </r>
  <r>
    <n v="228150"/>
    <n v="109645"/>
    <x v="4"/>
    <x v="303"/>
    <x v="12"/>
    <s v="DELEGATE AGENCY"/>
    <s v="UNKNOWN"/>
    <x v="0"/>
  </r>
  <r>
    <n v="228151"/>
    <n v="174460.5"/>
    <x v="1"/>
    <x v="454"/>
    <x v="19"/>
    <s v="DELEGATE AGENCY"/>
    <s v="UNKNOWN"/>
    <x v="0"/>
  </r>
  <r>
    <n v="228152"/>
    <n v="240000"/>
    <x v="1"/>
    <x v="621"/>
    <x v="12"/>
    <s v="DELEGATE AGENCY"/>
    <s v="UNKNOWN"/>
    <x v="0"/>
  </r>
  <r>
    <n v="228153"/>
    <n v="696000"/>
    <x v="1"/>
    <x v="605"/>
    <x v="12"/>
    <s v="DELEGATE AGENCY"/>
    <s v="UNKNOWN"/>
    <x v="0"/>
  </r>
  <r>
    <n v="228154"/>
    <n v="264000"/>
    <x v="2"/>
    <x v="621"/>
    <x v="12"/>
    <s v="DELEGATE AGENCY"/>
    <s v="UNKNOWN"/>
    <x v="0"/>
  </r>
  <r>
    <n v="228155"/>
    <n v="48000"/>
    <x v="2"/>
    <x v="618"/>
    <x v="12"/>
    <s v="DELEGATE AGENCY"/>
    <s v="UNKNOWN"/>
    <x v="0"/>
  </r>
  <r>
    <n v="228156"/>
    <n v="48000"/>
    <x v="4"/>
    <x v="615"/>
    <x v="12"/>
    <s v="DELEGATE AGENCY"/>
    <s v="UNKNOWN"/>
    <x v="0"/>
  </r>
  <r>
    <n v="228157"/>
    <n v="1440000"/>
    <x v="4"/>
    <x v="605"/>
    <x v="12"/>
    <s v="DELEGATE AGENCY"/>
    <s v="UNKNOWN"/>
    <x v="0"/>
  </r>
  <r>
    <n v="228158"/>
    <n v="984000"/>
    <x v="0"/>
    <x v="605"/>
    <x v="12"/>
    <s v="DELEGATE AGENCY"/>
    <s v="UNKNOWN"/>
    <x v="0"/>
  </r>
  <r>
    <n v="228159"/>
    <n v="696000"/>
    <x v="2"/>
    <x v="605"/>
    <x v="12"/>
    <s v="DELEGATE AGENCY"/>
    <s v="UNKNOWN"/>
    <x v="0"/>
  </r>
  <r>
    <n v="228160"/>
    <n v="72000"/>
    <x v="2"/>
    <x v="203"/>
    <x v="12"/>
    <s v="DELEGATE AGENCY"/>
    <s v="UNKNOWN"/>
    <x v="0"/>
  </r>
  <r>
    <n v="228161"/>
    <n v="1128000"/>
    <x v="1"/>
    <x v="605"/>
    <x v="12"/>
    <s v="DELEGATE AGENCY"/>
    <s v="UNKNOWN"/>
    <x v="0"/>
  </r>
  <r>
    <n v="228162"/>
    <n v="720000"/>
    <x v="0"/>
    <x v="605"/>
    <x v="12"/>
    <s v="DELEGATE AGENCY"/>
    <s v="UNKNOWN"/>
    <x v="0"/>
  </r>
  <r>
    <n v="228163"/>
    <n v="264000"/>
    <x v="2"/>
    <x v="621"/>
    <x v="12"/>
    <s v="DELEGATE AGENCY"/>
    <s v="UNKNOWN"/>
    <x v="0"/>
  </r>
  <r>
    <n v="228180"/>
    <n v="54000"/>
    <x v="2"/>
    <x v="580"/>
    <x v="12"/>
    <s v="DELEGATE AGENCY"/>
    <s v="UNKNOWN"/>
    <x v="0"/>
  </r>
  <r>
    <n v="228181"/>
    <n v="72000"/>
    <x v="1"/>
    <x v="125"/>
    <x v="12"/>
    <s v="DELEGATE AGENCY"/>
    <s v="UNKNOWN"/>
    <x v="0"/>
  </r>
  <r>
    <n v="228246"/>
    <n v="50000"/>
    <x v="1"/>
    <x v="370"/>
    <x v="22"/>
    <s v="DELEGATE AGENCY"/>
    <s v="UNKNOWN"/>
    <x v="0"/>
  </r>
  <r>
    <n v="228254"/>
    <n v="175000"/>
    <x v="1"/>
    <x v="398"/>
    <x v="22"/>
    <s v="DELEGATE AGENCY"/>
    <s v="UNKNOWN"/>
    <x v="0"/>
  </r>
  <r>
    <n v="228377"/>
    <n v="615474.30000000005"/>
    <x v="1"/>
    <x v="43"/>
    <x v="8"/>
    <s v="DELEGATE AGENCY"/>
    <s v="UNKNOWN"/>
    <x v="0"/>
  </r>
  <r>
    <n v="228378"/>
    <n v="282210.7"/>
    <x v="2"/>
    <x v="24"/>
    <x v="8"/>
    <s v="DELEGATE AGENCY"/>
    <s v="UNKNOWN"/>
    <x v="0"/>
  </r>
  <r>
    <n v="228379"/>
    <n v="998788.5"/>
    <x v="2"/>
    <x v="27"/>
    <x v="8"/>
    <s v="DELEGATE AGENCY"/>
    <s v="UNKNOWN"/>
    <x v="0"/>
  </r>
  <r>
    <n v="228380"/>
    <n v="587692"/>
    <x v="2"/>
    <x v="188"/>
    <x v="8"/>
    <s v="DELEGATE AGENCY"/>
    <s v="UNKNOWN"/>
    <x v="0"/>
  </r>
  <r>
    <n v="228381"/>
    <n v="638413.5"/>
    <x v="2"/>
    <x v="44"/>
    <x v="8"/>
    <s v="DELEGATE AGENCY"/>
    <s v="UNKNOWN"/>
    <x v="0"/>
  </r>
  <r>
    <n v="228484"/>
    <n v="651462.19999999995"/>
    <x v="2"/>
    <x v="1163"/>
    <x v="1"/>
    <s v="PROPERTY LEASE"/>
    <s v="UNKNOWN"/>
    <x v="0"/>
  </r>
  <r>
    <n v="228630"/>
    <n v="157400"/>
    <x v="2"/>
    <x v="291"/>
    <x v="12"/>
    <s v="DELEGATE AGENCY"/>
    <s v="UNKNOWN"/>
    <x v="0"/>
  </r>
  <r>
    <n v="228634"/>
    <n v="43600"/>
    <x v="1"/>
    <x v="168"/>
    <x v="12"/>
    <s v="DELEGATE AGENCY"/>
    <s v="UNKNOWN"/>
    <x v="0"/>
  </r>
  <r>
    <n v="228635"/>
    <n v="97672.5"/>
    <x v="4"/>
    <x v="5"/>
    <x v="8"/>
    <s v="DELEGATE AGENCY"/>
    <s v="UNKNOWN"/>
    <x v="0"/>
  </r>
  <r>
    <n v="228636"/>
    <n v="130496.2"/>
    <x v="1"/>
    <x v="49"/>
    <x v="8"/>
    <s v="DELEGATE AGENCY"/>
    <s v="UNKNOWN"/>
    <x v="0"/>
  </r>
  <r>
    <n v="228654"/>
    <n v="107800"/>
    <x v="1"/>
    <x v="304"/>
    <x v="12"/>
    <s v="DELEGATE AGENCY"/>
    <s v="UNKNOWN"/>
    <x v="0"/>
  </r>
  <r>
    <n v="228657"/>
    <n v="120000"/>
    <x v="1"/>
    <x v="300"/>
    <x v="12"/>
    <s v="DELEGATE AGENCY"/>
    <s v="UNKNOWN"/>
    <x v="0"/>
  </r>
  <r>
    <n v="228694"/>
    <n v="50000"/>
    <x v="1"/>
    <x v="989"/>
    <x v="19"/>
    <s v="DELEGATE AGENCY"/>
    <s v="UNKNOWN"/>
    <x v="0"/>
  </r>
  <r>
    <n v="228704"/>
    <n v="8190"/>
    <x v="1"/>
    <x v="458"/>
    <x v="12"/>
    <s v="DELEGATE AGENCY"/>
    <s v="UNKNOWN"/>
    <x v="0"/>
  </r>
  <r>
    <n v="228705"/>
    <n v="251659"/>
    <x v="3"/>
    <x v="217"/>
    <x v="12"/>
    <s v="DELEGATE AGENCY"/>
    <s v="UNKNOWN"/>
    <x v="0"/>
  </r>
  <r>
    <n v="228706"/>
    <n v="219187"/>
    <x v="2"/>
    <x v="217"/>
    <x v="12"/>
    <s v="DELEGATE AGENCY"/>
    <s v="UNKNOWN"/>
    <x v="0"/>
  </r>
  <r>
    <n v="228707"/>
    <n v="123121"/>
    <x v="1"/>
    <x v="614"/>
    <x v="12"/>
    <s v="DELEGATE AGENCY"/>
    <s v="UNKNOWN"/>
    <x v="0"/>
  </r>
  <r>
    <n v="228709"/>
    <n v="1096494.6000000001"/>
    <x v="1"/>
    <x v="57"/>
    <x v="12"/>
    <s v="DELEGATE AGENCY"/>
    <s v="UNKNOWN"/>
    <x v="0"/>
  </r>
  <r>
    <n v="228710"/>
    <n v="165707"/>
    <x v="0"/>
    <x v="276"/>
    <x v="12"/>
    <s v="DELEGATE AGENCY"/>
    <s v="UNKNOWN"/>
    <x v="0"/>
  </r>
  <r>
    <n v="228711"/>
    <n v="40590"/>
    <x v="1"/>
    <x v="217"/>
    <x v="12"/>
    <s v="DELEGATE AGENCY"/>
    <s v="UNKNOWN"/>
    <x v="0"/>
  </r>
  <r>
    <n v="228712"/>
    <n v="173557.8"/>
    <x v="4"/>
    <x v="64"/>
    <x v="12"/>
    <s v="DELEGATE AGENCY"/>
    <s v="UNKNOWN"/>
    <x v="0"/>
  </r>
  <r>
    <n v="228713"/>
    <n v="54000"/>
    <x v="1"/>
    <x v="544"/>
    <x v="12"/>
    <s v="DELEGATE AGENCY"/>
    <s v="UNKNOWN"/>
    <x v="0"/>
  </r>
  <r>
    <n v="228714"/>
    <n v="100000"/>
    <x v="1"/>
    <x v="303"/>
    <x v="12"/>
    <s v="DELEGATE AGENCY"/>
    <s v="UNKNOWN"/>
    <x v="0"/>
  </r>
  <r>
    <n v="228715"/>
    <n v="20608"/>
    <x v="1"/>
    <x v="605"/>
    <x v="12"/>
    <s v="DELEGATE AGENCY"/>
    <s v="UNKNOWN"/>
    <x v="0"/>
  </r>
  <r>
    <n v="228716"/>
    <n v="20608"/>
    <x v="4"/>
    <x v="605"/>
    <x v="12"/>
    <s v="DELEGATE AGENCY"/>
    <s v="UNKNOWN"/>
    <x v="0"/>
  </r>
  <r>
    <n v="228717"/>
    <n v="155000"/>
    <x v="4"/>
    <x v="304"/>
    <x v="12"/>
    <s v="DELEGATE AGENCY"/>
    <s v="UNKNOWN"/>
    <x v="0"/>
  </r>
  <r>
    <n v="228718"/>
    <n v="106019.2"/>
    <x v="1"/>
    <x v="198"/>
    <x v="12"/>
    <s v="DELEGATE AGENCY"/>
    <s v="UNKNOWN"/>
    <x v="0"/>
  </r>
  <r>
    <n v="228719"/>
    <n v="104964.299999999"/>
    <x v="1"/>
    <x v="198"/>
    <x v="12"/>
    <s v="DELEGATE AGENCY"/>
    <s v="UNKNOWN"/>
    <x v="0"/>
  </r>
  <r>
    <n v="228720"/>
    <n v="17099.900000000001"/>
    <x v="1"/>
    <x v="198"/>
    <x v="12"/>
    <s v="DELEGATE AGENCY"/>
    <s v="UNKNOWN"/>
    <x v="0"/>
  </r>
  <r>
    <n v="228721"/>
    <n v="41095"/>
    <x v="4"/>
    <x v="191"/>
    <x v="12"/>
    <s v="DELEGATE AGENCY"/>
    <s v="UNKNOWN"/>
    <x v="0"/>
  </r>
  <r>
    <n v="228722"/>
    <n v="501256.5"/>
    <x v="4"/>
    <x v="78"/>
    <x v="12"/>
    <s v="DELEGATE AGENCY"/>
    <s v="UNKNOWN"/>
    <x v="0"/>
  </r>
  <r>
    <n v="228723"/>
    <n v="126529.1"/>
    <x v="2"/>
    <x v="198"/>
    <x v="12"/>
    <s v="DELEGATE AGENCY"/>
    <s v="UNKNOWN"/>
    <x v="0"/>
  </r>
  <r>
    <n v="228724"/>
    <n v="647931.1"/>
    <x v="1"/>
    <x v="59"/>
    <x v="12"/>
    <s v="DELEGATE AGENCY"/>
    <s v="UNKNOWN"/>
    <x v="0"/>
  </r>
  <r>
    <n v="22875"/>
    <n v="28774814"/>
    <x v="2"/>
    <x v="1164"/>
    <x v="6"/>
    <s v="PRO SERV-AVIATION"/>
    <s v="RFQ"/>
    <x v="0"/>
  </r>
  <r>
    <n v="228768"/>
    <n v="49500"/>
    <x v="0"/>
    <x v="228"/>
    <x v="12"/>
    <s v="DELEGATE AGENCY"/>
    <s v="UNKNOWN"/>
    <x v="0"/>
  </r>
  <r>
    <n v="228799"/>
    <n v="1600000"/>
    <x v="4"/>
    <x v="1165"/>
    <x v="16"/>
    <s v="COMPTROLLER-OTHER"/>
    <s v="UNKNOWN"/>
    <x v="0"/>
  </r>
  <r>
    <n v="228821"/>
    <n v="16201.6"/>
    <x v="0"/>
    <x v="73"/>
    <x v="12"/>
    <s v="DELEGATE AGENCY"/>
    <s v="UNKNOWN"/>
    <x v="0"/>
  </r>
  <r>
    <n v="228822"/>
    <n v="300367"/>
    <x v="4"/>
    <x v="217"/>
    <x v="12"/>
    <s v="DELEGATE AGENCY"/>
    <s v="UNKNOWN"/>
    <x v="0"/>
  </r>
  <r>
    <n v="228823"/>
    <n v="301908.59999999998"/>
    <x v="2"/>
    <x v="1166"/>
    <x v="12"/>
    <s v="DELEGATE AGENCY"/>
    <s v="UNKNOWN"/>
    <x v="0"/>
  </r>
  <r>
    <n v="228824"/>
    <n v="335030.59999999998"/>
    <x v="2"/>
    <x v="1166"/>
    <x v="12"/>
    <s v="DELEGATE AGENCY"/>
    <s v="UNKNOWN"/>
    <x v="0"/>
  </r>
  <r>
    <n v="228826"/>
    <n v="57548"/>
    <x v="2"/>
    <x v="1166"/>
    <x v="12"/>
    <s v="DELEGATE AGENCY"/>
    <s v="UNKNOWN"/>
    <x v="0"/>
  </r>
  <r>
    <n v="228827"/>
    <n v="1856.79999999999"/>
    <x v="1"/>
    <x v="243"/>
    <x v="12"/>
    <s v="DELEGATE AGENCY"/>
    <s v="UNKNOWN"/>
    <x v="0"/>
  </r>
  <r>
    <n v="228833"/>
    <n v="60682.5"/>
    <x v="3"/>
    <x v="127"/>
    <x v="12"/>
    <s v="DELEGATE AGENCY"/>
    <s v="UNKNOWN"/>
    <x v="0"/>
  </r>
  <r>
    <n v="228840"/>
    <n v="869114"/>
    <x v="1"/>
    <x v="76"/>
    <x v="12"/>
    <s v="DELEGATE AGENCY"/>
    <s v="UNKNOWN"/>
    <x v="0"/>
  </r>
  <r>
    <n v="228841"/>
    <n v="951892.8"/>
    <x v="2"/>
    <x v="76"/>
    <x v="12"/>
    <s v="DELEGATE AGENCY"/>
    <s v="UNKNOWN"/>
    <x v="0"/>
  </r>
  <r>
    <n v="228842"/>
    <n v="58791"/>
    <x v="2"/>
    <x v="1167"/>
    <x v="2"/>
    <s v="COMPTROLLER-OTHER"/>
    <s v="UNKNOWN"/>
    <x v="0"/>
  </r>
  <r>
    <n v="228849"/>
    <n v="25000"/>
    <x v="1"/>
    <x v="962"/>
    <x v="19"/>
    <s v="DELEGATE AGENCY"/>
    <s v="UNKNOWN"/>
    <x v="0"/>
  </r>
  <r>
    <n v="228904"/>
    <n v="10676"/>
    <x v="4"/>
    <x v="1006"/>
    <x v="28"/>
    <s v="COMPTROLLER-OTHER"/>
    <s v="UNKNOWN"/>
    <x v="0"/>
  </r>
  <r>
    <n v="228908"/>
    <n v="61177"/>
    <x v="4"/>
    <x v="1168"/>
    <x v="2"/>
    <s v="COMPTROLLER-OTHER"/>
    <s v="UNKNOWN"/>
    <x v="0"/>
  </r>
  <r>
    <n v="228909"/>
    <n v="39669"/>
    <x v="1"/>
    <x v="76"/>
    <x v="12"/>
    <s v="DELEGATE AGENCY"/>
    <s v="UNKNOWN"/>
    <x v="0"/>
  </r>
  <r>
    <n v="228911"/>
    <n v="356648.6"/>
    <x v="4"/>
    <x v="285"/>
    <x v="12"/>
    <s v="DELEGATE AGENCY"/>
    <s v="UNKNOWN"/>
    <x v="0"/>
  </r>
  <r>
    <n v="228912"/>
    <n v="31478"/>
    <x v="2"/>
    <x v="285"/>
    <x v="12"/>
    <s v="DELEGATE AGENCY"/>
    <s v="UNKNOWN"/>
    <x v="0"/>
  </r>
  <r>
    <n v="228913"/>
    <n v="564097.30000000005"/>
    <x v="4"/>
    <x v="23"/>
    <x v="12"/>
    <s v="DELEGATE AGENCY"/>
    <s v="UNKNOWN"/>
    <x v="0"/>
  </r>
  <r>
    <n v="228916"/>
    <n v="245136.1"/>
    <x v="2"/>
    <x v="1169"/>
    <x v="2"/>
    <s v="COMPTROLLER-OTHER"/>
    <s v="UNKNOWN"/>
    <x v="0"/>
  </r>
  <r>
    <n v="228920"/>
    <n v="1858000"/>
    <x v="1"/>
    <x v="1170"/>
    <x v="25"/>
    <s v="COMPTROLLER-OTHER"/>
    <s v="UNKNOWN"/>
    <x v="0"/>
  </r>
  <r>
    <n v="228941"/>
    <n v="15000"/>
    <x v="0"/>
    <x v="322"/>
    <x v="16"/>
    <s v="DELEGATE AGENCY"/>
    <s v="UNKNOWN"/>
    <x v="0"/>
  </r>
  <r>
    <n v="228942"/>
    <n v="15000"/>
    <x v="4"/>
    <x v="922"/>
    <x v="16"/>
    <s v="DELEGATE AGENCY"/>
    <s v="UNKNOWN"/>
    <x v="0"/>
  </r>
  <r>
    <n v="228944"/>
    <n v="20000"/>
    <x v="4"/>
    <x v="927"/>
    <x v="16"/>
    <s v="DELEGATE AGENCY"/>
    <s v="UNKNOWN"/>
    <x v="0"/>
  </r>
  <r>
    <n v="228946"/>
    <n v="10000"/>
    <x v="4"/>
    <x v="996"/>
    <x v="16"/>
    <s v="DELEGATE AGENCY"/>
    <s v="UNKNOWN"/>
    <x v="0"/>
  </r>
  <r>
    <n v="228947"/>
    <n v="1051069.6000000001"/>
    <x v="4"/>
    <x v="23"/>
    <x v="12"/>
    <s v="DELEGATE AGENCY"/>
    <s v="UNKNOWN"/>
    <x v="0"/>
  </r>
  <r>
    <n v="228948"/>
    <n v="300000"/>
    <x v="0"/>
    <x v="299"/>
    <x v="12"/>
    <s v="DELEGATE AGENCY"/>
    <s v="UNKNOWN"/>
    <x v="0"/>
  </r>
  <r>
    <n v="228950"/>
    <n v="15000"/>
    <x v="2"/>
    <x v="1048"/>
    <x v="16"/>
    <s v="DELEGATE AGENCY"/>
    <s v="UNKNOWN"/>
    <x v="0"/>
  </r>
  <r>
    <n v="228951"/>
    <n v="25000"/>
    <x v="4"/>
    <x v="931"/>
    <x v="16"/>
    <s v="DELEGATE AGENCY"/>
    <s v="UNKNOWN"/>
    <x v="0"/>
  </r>
  <r>
    <n v="228957"/>
    <n v="138873.5"/>
    <x v="4"/>
    <x v="691"/>
    <x v="12"/>
    <s v="DELEGATE AGENCY"/>
    <s v="UNKNOWN"/>
    <x v="0"/>
  </r>
  <r>
    <n v="228967"/>
    <n v="510727"/>
    <x v="1"/>
    <x v="114"/>
    <x v="8"/>
    <s v="DELEGATE AGENCY"/>
    <s v="UNKNOWN"/>
    <x v="0"/>
  </r>
  <r>
    <n v="228968"/>
    <n v="40000"/>
    <x v="2"/>
    <x v="976"/>
    <x v="19"/>
    <s v="DELEGATE AGENCY"/>
    <s v="UNKNOWN"/>
    <x v="0"/>
  </r>
  <r>
    <n v="228969"/>
    <n v="25000"/>
    <x v="4"/>
    <x v="960"/>
    <x v="19"/>
    <s v="DELEGATE AGENCY"/>
    <s v="UNKNOWN"/>
    <x v="0"/>
  </r>
  <r>
    <n v="228970"/>
    <n v="40000"/>
    <x v="4"/>
    <x v="960"/>
    <x v="19"/>
    <s v="DELEGATE AGENCY"/>
    <s v="UNKNOWN"/>
    <x v="0"/>
  </r>
  <r>
    <n v="228972"/>
    <n v="40000"/>
    <x v="4"/>
    <x v="963"/>
    <x v="19"/>
    <s v="DELEGATE AGENCY"/>
    <s v="UNKNOWN"/>
    <x v="0"/>
  </r>
  <r>
    <n v="228978"/>
    <n v="3213000"/>
    <x v="4"/>
    <x v="1171"/>
    <x v="0"/>
    <s v="COMPTROLLER-OTHER"/>
    <s v="UNKNOWN"/>
    <x v="0"/>
  </r>
  <r>
    <n v="228985"/>
    <n v="40000"/>
    <x v="0"/>
    <x v="379"/>
    <x v="19"/>
    <s v="DELEGATE AGENCY"/>
    <s v="UNKNOWN"/>
    <x v="0"/>
  </r>
  <r>
    <n v="228986"/>
    <n v="50000"/>
    <x v="4"/>
    <x v="979"/>
    <x v="19"/>
    <s v="DELEGATE AGENCY"/>
    <s v="UNKNOWN"/>
    <x v="0"/>
  </r>
  <r>
    <n v="228989"/>
    <n v="30000"/>
    <x v="1"/>
    <x v="378"/>
    <x v="19"/>
    <s v="DELEGATE AGENCY"/>
    <s v="UNKNOWN"/>
    <x v="0"/>
  </r>
  <r>
    <n v="228991"/>
    <n v="20000"/>
    <x v="4"/>
    <x v="985"/>
    <x v="19"/>
    <s v="DELEGATE AGENCY"/>
    <s v="UNKNOWN"/>
    <x v="0"/>
  </r>
  <r>
    <n v="228992"/>
    <n v="25000"/>
    <x v="4"/>
    <x v="974"/>
    <x v="35"/>
    <s v="DELEGATE AGENCY"/>
    <s v="UNKNOWN"/>
    <x v="0"/>
  </r>
  <r>
    <n v="228993"/>
    <n v="50000"/>
    <x v="4"/>
    <x v="974"/>
    <x v="19"/>
    <s v="DELEGATE AGENCY"/>
    <s v="UNKNOWN"/>
    <x v="0"/>
  </r>
  <r>
    <n v="228994"/>
    <n v="40000"/>
    <x v="1"/>
    <x v="975"/>
    <x v="19"/>
    <s v="DELEGATE AGENCY"/>
    <s v="UNKNOWN"/>
    <x v="0"/>
  </r>
  <r>
    <n v="228995"/>
    <n v="60000"/>
    <x v="4"/>
    <x v="982"/>
    <x v="19"/>
    <s v="DELEGATE AGENCY"/>
    <s v="UNKNOWN"/>
    <x v="0"/>
  </r>
  <r>
    <n v="229009"/>
    <n v="31605.9"/>
    <x v="1"/>
    <x v="360"/>
    <x v="22"/>
    <s v="DELEGATE AGENCY"/>
    <s v="UNKNOWN"/>
    <x v="0"/>
  </r>
  <r>
    <n v="229010"/>
    <n v="63195.6"/>
    <x v="4"/>
    <x v="862"/>
    <x v="12"/>
    <s v="DELEGATE AGENCY"/>
    <s v="UNKNOWN"/>
    <x v="0"/>
  </r>
  <r>
    <n v="229102"/>
    <n v="4000000"/>
    <x v="1"/>
    <x v="1172"/>
    <x v="28"/>
    <s v="PRO SERV CONSULTING $250,000orABOVE"/>
    <s v="RFP"/>
    <x v="0"/>
  </r>
  <r>
    <n v="229103"/>
    <n v="1500000"/>
    <x v="0"/>
    <x v="1173"/>
    <x v="28"/>
    <s v="PRO SERV CONSULTING $250,000orABOVE"/>
    <s v="RFP"/>
    <x v="0"/>
  </r>
  <r>
    <n v="229104"/>
    <n v="2500000"/>
    <x v="0"/>
    <x v="1174"/>
    <x v="28"/>
    <s v="PRO SERV CONSULTING $250,000orABOVE"/>
    <s v="RFP"/>
    <x v="0"/>
  </r>
  <r>
    <n v="229227"/>
    <n v="253000"/>
    <x v="0"/>
    <x v="317"/>
    <x v="12"/>
    <s v="DELEGATE AGENCY"/>
    <s v="UNKNOWN"/>
    <x v="0"/>
  </r>
  <r>
    <n v="229228"/>
    <n v="29999.8"/>
    <x v="2"/>
    <x v="392"/>
    <x v="22"/>
    <s v="DELEGATE AGENCY"/>
    <s v="UNKNOWN"/>
    <x v="0"/>
  </r>
  <r>
    <n v="229229"/>
    <n v="119617.1"/>
    <x v="4"/>
    <x v="879"/>
    <x v="12"/>
    <s v="DELEGATE AGENCY"/>
    <s v="UNKNOWN"/>
    <x v="0"/>
  </r>
  <r>
    <n v="229230"/>
    <n v="58648.2"/>
    <x v="1"/>
    <x v="328"/>
    <x v="8"/>
    <s v="DELEGATE AGENCY"/>
    <s v="UNKNOWN"/>
    <x v="0"/>
  </r>
  <r>
    <n v="229232"/>
    <n v="214743.5"/>
    <x v="1"/>
    <x v="166"/>
    <x v="8"/>
    <s v="DELEGATE AGENCY"/>
    <s v="UNKNOWN"/>
    <x v="0"/>
  </r>
  <r>
    <n v="229235"/>
    <n v="60000"/>
    <x v="1"/>
    <x v="313"/>
    <x v="12"/>
    <s v="DELEGATE AGENCY"/>
    <s v="UNKNOWN"/>
    <x v="0"/>
  </r>
  <r>
    <n v="229259"/>
    <n v="15000000"/>
    <x v="1"/>
    <x v="558"/>
    <x v="12"/>
    <s v="DELEGATE AGENCY"/>
    <s v="UNKNOWN"/>
    <x v="0"/>
  </r>
  <r>
    <n v="229427"/>
    <n v="20000"/>
    <x v="0"/>
    <x v="232"/>
    <x v="19"/>
    <s v="DELEGATE AGENCY"/>
    <s v="UNKNOWN"/>
    <x v="0"/>
  </r>
  <r>
    <n v="229428"/>
    <n v="40000"/>
    <x v="4"/>
    <x v="972"/>
    <x v="19"/>
    <s v="DELEGATE AGENCY"/>
    <s v="UNKNOWN"/>
    <x v="0"/>
  </r>
  <r>
    <n v="229439"/>
    <n v="245625"/>
    <x v="4"/>
    <x v="1175"/>
    <x v="2"/>
    <s v="COMPTROLLER-OTHER"/>
    <s v="UNKNOWN"/>
    <x v="0"/>
  </r>
  <r>
    <n v="229450"/>
    <n v="250000"/>
    <x v="1"/>
    <x v="1176"/>
    <x v="2"/>
    <s v="COMPTROLLER-OTHER"/>
    <s v="UNKNOWN"/>
    <x v="0"/>
  </r>
  <r>
    <n v="229451"/>
    <n v="90043.199999999997"/>
    <x v="2"/>
    <x v="1177"/>
    <x v="2"/>
    <s v="COMPTROLLER-OTHER"/>
    <s v="UNKNOWN"/>
    <x v="0"/>
  </r>
  <r>
    <n v="229453"/>
    <n v="250000"/>
    <x v="1"/>
    <x v="1178"/>
    <x v="2"/>
    <s v="COMPTROLLER-OTHER"/>
    <s v="UNKNOWN"/>
    <x v="0"/>
  </r>
  <r>
    <n v="229454"/>
    <n v="250000"/>
    <x v="2"/>
    <x v="1179"/>
    <x v="2"/>
    <s v="COMPTROLLER-OTHER"/>
    <s v="UNKNOWN"/>
    <x v="0"/>
  </r>
  <r>
    <n v="229457"/>
    <n v="4000000"/>
    <x v="2"/>
    <x v="1180"/>
    <x v="6"/>
    <s v="COMPTROLLER-OTHER"/>
    <s v="UNKNOWN"/>
    <x v="0"/>
  </r>
  <r>
    <n v="229458"/>
    <n v="9385000"/>
    <x v="0"/>
    <x v="1180"/>
    <x v="6"/>
    <s v="COMPTROLLER-OTHER"/>
    <s v="UNKNOWN"/>
    <x v="0"/>
  </r>
  <r>
    <n v="229463"/>
    <n v="8449025"/>
    <x v="0"/>
    <x v="20"/>
    <x v="0"/>
    <s v="CONSTRUCTION SERVICES"/>
    <s v="BID"/>
    <x v="0"/>
  </r>
  <r>
    <n v="229465"/>
    <n v="65272"/>
    <x v="0"/>
    <x v="1181"/>
    <x v="12"/>
    <s v="COMPTROLLER-OTHER"/>
    <s v="UNKNOWN"/>
    <x v="0"/>
  </r>
  <r>
    <n v="229467"/>
    <n v="141085"/>
    <x v="1"/>
    <x v="189"/>
    <x v="25"/>
    <s v="COMPTROLLER-OTHER"/>
    <s v="UNKNOWN"/>
    <x v="0"/>
  </r>
  <r>
    <n v="229469"/>
    <n v="504426.7"/>
    <x v="1"/>
    <x v="66"/>
    <x v="12"/>
    <s v="DELEGATE AGENCY"/>
    <s v="UNKNOWN"/>
    <x v="0"/>
  </r>
  <r>
    <n v="229471"/>
    <n v="71500"/>
    <x v="2"/>
    <x v="1182"/>
    <x v="34"/>
    <s v="COMPTROLLER-OTHER"/>
    <s v="UNKNOWN"/>
    <x v="0"/>
  </r>
  <r>
    <n v="229472"/>
    <n v="250000"/>
    <x v="1"/>
    <x v="1183"/>
    <x v="2"/>
    <s v="COMPTROLLER-OTHER"/>
    <s v="UNKNOWN"/>
    <x v="0"/>
  </r>
  <r>
    <n v="229473"/>
    <n v="250000"/>
    <x v="2"/>
    <x v="645"/>
    <x v="2"/>
    <s v="COMPTROLLER-OTHER"/>
    <s v="UNKNOWN"/>
    <x v="0"/>
  </r>
  <r>
    <n v="229474"/>
    <n v="250000"/>
    <x v="2"/>
    <x v="1184"/>
    <x v="2"/>
    <s v="COMPTROLLER-OTHER"/>
    <s v="UNKNOWN"/>
    <x v="0"/>
  </r>
  <r>
    <n v="229476"/>
    <n v="250000"/>
    <x v="2"/>
    <x v="1185"/>
    <x v="2"/>
    <s v="COMPTROLLER-OTHER"/>
    <s v="UNKNOWN"/>
    <x v="0"/>
  </r>
  <r>
    <n v="229477"/>
    <n v="250000"/>
    <x v="2"/>
    <x v="1186"/>
    <x v="2"/>
    <s v="COMPTROLLER-OTHER"/>
    <s v="UNKNOWN"/>
    <x v="0"/>
  </r>
  <r>
    <n v="229478"/>
    <n v="250000"/>
    <x v="2"/>
    <x v="1187"/>
    <x v="2"/>
    <s v="COMPTROLLER-OTHER"/>
    <s v="UNKNOWN"/>
    <x v="0"/>
  </r>
  <r>
    <n v="229482"/>
    <n v="144513"/>
    <x v="2"/>
    <x v="1188"/>
    <x v="2"/>
    <s v="COMPTROLLER-OTHER"/>
    <s v="UNKNOWN"/>
    <x v="0"/>
  </r>
  <r>
    <n v="229486"/>
    <n v="156909.29999999999"/>
    <x v="1"/>
    <x v="880"/>
    <x v="12"/>
    <s v="DELEGATE AGENCY"/>
    <s v="UNKNOWN"/>
    <x v="0"/>
  </r>
  <r>
    <n v="229488"/>
    <n v="5046000"/>
    <x v="1"/>
    <x v="1189"/>
    <x v="2"/>
    <s v="COMPTROLLER-OTHER"/>
    <s v="UNKNOWN"/>
    <x v="0"/>
  </r>
  <r>
    <n v="229489"/>
    <n v="120559.1"/>
    <x v="0"/>
    <x v="879"/>
    <x v="12"/>
    <s v="DELEGATE AGENCY"/>
    <s v="UNKNOWN"/>
    <x v="0"/>
  </r>
  <r>
    <n v="229678"/>
    <n v="1179469.7"/>
    <x v="1"/>
    <x v="27"/>
    <x v="8"/>
    <s v="DELEGATE AGENCY"/>
    <s v="UNKNOWN"/>
    <x v="0"/>
  </r>
  <r>
    <n v="229679"/>
    <n v="114972.3"/>
    <x v="0"/>
    <x v="204"/>
    <x v="8"/>
    <s v="DELEGATE AGENCY"/>
    <s v="UNKNOWN"/>
    <x v="0"/>
  </r>
  <r>
    <n v="229726"/>
    <n v="744059.4"/>
    <x v="1"/>
    <x v="25"/>
    <x v="8"/>
    <s v="DELEGATE AGENCY"/>
    <s v="UNKNOWN"/>
    <x v="0"/>
  </r>
  <r>
    <n v="229727"/>
    <n v="124794.6"/>
    <x v="2"/>
    <x v="47"/>
    <x v="8"/>
    <s v="DELEGATE AGENCY"/>
    <s v="UNKNOWN"/>
    <x v="0"/>
  </r>
  <r>
    <n v="229728"/>
    <n v="287637"/>
    <x v="1"/>
    <x v="19"/>
    <x v="8"/>
    <s v="DELEGATE AGENCY"/>
    <s v="UNKNOWN"/>
    <x v="0"/>
  </r>
  <r>
    <n v="229730"/>
    <n v="299968.2"/>
    <x v="2"/>
    <x v="41"/>
    <x v="8"/>
    <s v="DELEGATE AGENCY"/>
    <s v="UNKNOWN"/>
    <x v="0"/>
  </r>
  <r>
    <n v="229737"/>
    <n v="172000"/>
    <x v="2"/>
    <x v="1190"/>
    <x v="8"/>
    <s v="DELEGATE AGENCY"/>
    <s v="UNKNOWN"/>
    <x v="0"/>
  </r>
  <r>
    <n v="229750"/>
    <n v="4165983.1"/>
    <x v="1"/>
    <x v="19"/>
    <x v="8"/>
    <s v="DELEGATE AGENCY"/>
    <s v="UNKNOWN"/>
    <x v="0"/>
  </r>
  <r>
    <n v="229790"/>
    <n v="50000"/>
    <x v="0"/>
    <x v="388"/>
    <x v="22"/>
    <s v="DELEGATE AGENCY"/>
    <s v="UNKNOWN"/>
    <x v="0"/>
  </r>
  <r>
    <n v="229816"/>
    <n v="9333.1"/>
    <x v="1"/>
    <x v="73"/>
    <x v="12"/>
    <s v="DELEGATE AGENCY"/>
    <s v="UNKNOWN"/>
    <x v="0"/>
  </r>
  <r>
    <n v="229818"/>
    <n v="120000"/>
    <x v="3"/>
    <x v="862"/>
    <x v="12"/>
    <s v="DELEGATE AGENCY"/>
    <s v="UNKNOWN"/>
    <x v="0"/>
  </r>
  <r>
    <n v="229819"/>
    <n v="81619"/>
    <x v="1"/>
    <x v="175"/>
    <x v="12"/>
    <s v="DELEGATE AGENCY"/>
    <s v="UNKNOWN"/>
    <x v="0"/>
  </r>
  <r>
    <n v="229821"/>
    <n v="15726.1"/>
    <x v="1"/>
    <x v="689"/>
    <x v="12"/>
    <s v="DELEGATE AGENCY"/>
    <s v="UNKNOWN"/>
    <x v="0"/>
  </r>
  <r>
    <n v="229822"/>
    <n v="90880"/>
    <x v="4"/>
    <x v="307"/>
    <x v="12"/>
    <s v="DELEGATE AGENCY"/>
    <s v="UNKNOWN"/>
    <x v="0"/>
  </r>
  <r>
    <n v="229823"/>
    <n v="55000"/>
    <x v="1"/>
    <x v="317"/>
    <x v="12"/>
    <s v="DELEGATE AGENCY"/>
    <s v="UNKNOWN"/>
    <x v="0"/>
  </r>
  <r>
    <n v="229825"/>
    <n v="49900"/>
    <x v="1"/>
    <x v="279"/>
    <x v="12"/>
    <s v="DELEGATE AGENCY"/>
    <s v="UNKNOWN"/>
    <x v="0"/>
  </r>
  <r>
    <n v="229827"/>
    <n v="81000"/>
    <x v="4"/>
    <x v="199"/>
    <x v="12"/>
    <s v="DELEGATE AGENCY"/>
    <s v="UNKNOWN"/>
    <x v="0"/>
  </r>
  <r>
    <n v="229828"/>
    <n v="29064"/>
    <x v="1"/>
    <x v="211"/>
    <x v="12"/>
    <s v="DELEGATE AGENCY"/>
    <s v="UNKNOWN"/>
    <x v="0"/>
  </r>
  <r>
    <n v="229829"/>
    <n v="141081"/>
    <x v="4"/>
    <x v="211"/>
    <x v="12"/>
    <s v="DELEGATE AGENCY"/>
    <s v="UNKNOWN"/>
    <x v="0"/>
  </r>
  <r>
    <n v="229861"/>
    <n v="2294.6"/>
    <x v="1"/>
    <x v="76"/>
    <x v="12"/>
    <s v="DELEGATE AGENCY"/>
    <s v="UNKNOWN"/>
    <x v="0"/>
  </r>
  <r>
    <n v="229864"/>
    <n v="20000"/>
    <x v="3"/>
    <x v="970"/>
    <x v="19"/>
    <s v="DELEGATE AGENCY"/>
    <s v="UNKNOWN"/>
    <x v="0"/>
  </r>
  <r>
    <n v="229865"/>
    <n v="55000"/>
    <x v="4"/>
    <x v="887"/>
    <x v="19"/>
    <s v="DELEGATE AGENCY"/>
    <s v="UNKNOWN"/>
    <x v="0"/>
  </r>
  <r>
    <n v="229866"/>
    <n v="10000"/>
    <x v="1"/>
    <x v="995"/>
    <x v="16"/>
    <s v="DELEGATE AGENCY"/>
    <s v="UNKNOWN"/>
    <x v="0"/>
  </r>
  <r>
    <n v="229867"/>
    <n v="103600"/>
    <x v="4"/>
    <x v="293"/>
    <x v="12"/>
    <s v="DELEGATE AGENCY"/>
    <s v="UNKNOWN"/>
    <x v="0"/>
  </r>
  <r>
    <n v="229868"/>
    <n v="60000"/>
    <x v="1"/>
    <x v="293"/>
    <x v="12"/>
    <s v="DELEGATE AGENCY"/>
    <s v="UNKNOWN"/>
    <x v="0"/>
  </r>
  <r>
    <n v="229869"/>
    <n v="447551"/>
    <x v="1"/>
    <x v="293"/>
    <x v="12"/>
    <s v="DELEGATE AGENCY"/>
    <s v="UNKNOWN"/>
    <x v="0"/>
  </r>
  <r>
    <n v="229870"/>
    <n v="591650"/>
    <x v="2"/>
    <x v="293"/>
    <x v="12"/>
    <s v="DELEGATE AGENCY"/>
    <s v="UNKNOWN"/>
    <x v="0"/>
  </r>
  <r>
    <n v="229871"/>
    <n v="300000"/>
    <x v="2"/>
    <x v="288"/>
    <x v="12"/>
    <s v="DELEGATE AGENCY"/>
    <s v="UNKNOWN"/>
    <x v="0"/>
  </r>
  <r>
    <n v="229875"/>
    <n v="326634.40000000002"/>
    <x v="2"/>
    <x v="28"/>
    <x v="8"/>
    <s v="DELEGATE AGENCY"/>
    <s v="UNKNOWN"/>
    <x v="0"/>
  </r>
  <r>
    <n v="229891"/>
    <n v="208535"/>
    <x v="2"/>
    <x v="1191"/>
    <x v="12"/>
    <s v="DELEGATE AGENCY"/>
    <s v="UNKNOWN"/>
    <x v="0"/>
  </r>
  <r>
    <n v="229892"/>
    <n v="278047"/>
    <x v="1"/>
    <x v="604"/>
    <x v="12"/>
    <s v="DELEGATE AGENCY"/>
    <s v="UNKNOWN"/>
    <x v="0"/>
  </r>
  <r>
    <n v="229904"/>
    <n v="875406.1"/>
    <x v="2"/>
    <x v="642"/>
    <x v="15"/>
    <s v="SOFTWARE"/>
    <s v="JOINT PURCHASE"/>
    <x v="0"/>
  </r>
  <r>
    <n v="229933"/>
    <n v="229485.3"/>
    <x v="2"/>
    <x v="45"/>
    <x v="8"/>
    <s v="DELEGATE AGENCY"/>
    <s v="UNKNOWN"/>
    <x v="0"/>
  </r>
  <r>
    <n v="229935"/>
    <n v="246664.3"/>
    <x v="1"/>
    <x v="42"/>
    <x v="8"/>
    <s v="DELEGATE AGENCY"/>
    <s v="UNKNOWN"/>
    <x v="0"/>
  </r>
  <r>
    <n v="229936"/>
    <n v="221986.2"/>
    <x v="1"/>
    <x v="37"/>
    <x v="8"/>
    <s v="DELEGATE AGENCY"/>
    <s v="UNKNOWN"/>
    <x v="0"/>
  </r>
  <r>
    <n v="229937"/>
    <n v="2933419.6"/>
    <x v="1"/>
    <x v="40"/>
    <x v="8"/>
    <s v="DELEGATE AGENCY"/>
    <s v="UNKNOWN"/>
    <x v="0"/>
  </r>
  <r>
    <n v="229938"/>
    <n v="644367"/>
    <x v="0"/>
    <x v="25"/>
    <x v="8"/>
    <s v="DELEGATE AGENCY"/>
    <s v="UNKNOWN"/>
    <x v="0"/>
  </r>
  <r>
    <n v="229940"/>
    <n v="1500000"/>
    <x v="2"/>
    <x v="114"/>
    <x v="12"/>
    <s v="DELEGATE AGENCY"/>
    <s v="UNKNOWN"/>
    <x v="0"/>
  </r>
  <r>
    <n v="229942"/>
    <n v="27851.8"/>
    <x v="0"/>
    <x v="353"/>
    <x v="22"/>
    <s v="DELEGATE AGENCY"/>
    <s v="UNKNOWN"/>
    <x v="0"/>
  </r>
  <r>
    <n v="229944"/>
    <n v="644413.9"/>
    <x v="4"/>
    <x v="376"/>
    <x v="12"/>
    <s v="DELEGATE AGENCY"/>
    <s v="UNKNOWN"/>
    <x v="0"/>
  </r>
  <r>
    <n v="229945"/>
    <n v="426044.6"/>
    <x v="2"/>
    <x v="46"/>
    <x v="8"/>
    <s v="DELEGATE AGENCY"/>
    <s v="UNKNOWN"/>
    <x v="0"/>
  </r>
  <r>
    <n v="229946"/>
    <n v="214273.7"/>
    <x v="2"/>
    <x v="39"/>
    <x v="8"/>
    <s v="DELEGATE AGENCY"/>
    <s v="UNKNOWN"/>
    <x v="0"/>
  </r>
  <r>
    <n v="230030"/>
    <n v="96000"/>
    <x v="1"/>
    <x v="510"/>
    <x v="12"/>
    <s v="DELEGATE AGENCY"/>
    <s v="UNKNOWN"/>
    <x v="0"/>
  </r>
  <r>
    <n v="230031"/>
    <n v="139024"/>
    <x v="1"/>
    <x v="120"/>
    <x v="12"/>
    <s v="DELEGATE AGENCY"/>
    <s v="UNKNOWN"/>
    <x v="0"/>
  </r>
  <r>
    <n v="230032"/>
    <n v="139024"/>
    <x v="1"/>
    <x v="227"/>
    <x v="12"/>
    <s v="DELEGATE AGENCY"/>
    <s v="UNKNOWN"/>
    <x v="0"/>
  </r>
  <r>
    <n v="230033"/>
    <n v="82928.899999999994"/>
    <x v="1"/>
    <x v="850"/>
    <x v="12"/>
    <s v="DELEGATE AGENCY"/>
    <s v="UNKNOWN"/>
    <x v="0"/>
  </r>
  <r>
    <n v="230034"/>
    <n v="121654.8"/>
    <x v="1"/>
    <x v="850"/>
    <x v="12"/>
    <s v="DELEGATE AGENCY"/>
    <s v="UNKNOWN"/>
    <x v="0"/>
  </r>
  <r>
    <n v="230035"/>
    <n v="72000"/>
    <x v="1"/>
    <x v="167"/>
    <x v="12"/>
    <s v="DELEGATE AGENCY"/>
    <s v="UNKNOWN"/>
    <x v="0"/>
  </r>
  <r>
    <n v="230036"/>
    <n v="134472.9"/>
    <x v="1"/>
    <x v="1192"/>
    <x v="12"/>
    <s v="DELEGATE AGENCY"/>
    <s v="UNKNOWN"/>
    <x v="0"/>
  </r>
  <r>
    <n v="230037"/>
    <n v="139024"/>
    <x v="1"/>
    <x v="585"/>
    <x v="12"/>
    <s v="DELEGATE AGENCY"/>
    <s v="UNKNOWN"/>
    <x v="0"/>
  </r>
  <r>
    <n v="230038"/>
    <n v="93533.3"/>
    <x v="1"/>
    <x v="76"/>
    <x v="12"/>
    <s v="DELEGATE AGENCY"/>
    <s v="UNKNOWN"/>
    <x v="0"/>
  </r>
  <r>
    <n v="230039"/>
    <n v="54000"/>
    <x v="1"/>
    <x v="591"/>
    <x v="12"/>
    <s v="DELEGATE AGENCY"/>
    <s v="UNKNOWN"/>
    <x v="0"/>
  </r>
  <r>
    <n v="230104"/>
    <n v="149543.79999999999"/>
    <x v="1"/>
    <x v="642"/>
    <x v="15"/>
    <s v="SOFTWARE"/>
    <s v="JOINT PURCHASE"/>
    <x v="0"/>
  </r>
  <r>
    <n v="230126"/>
    <n v="8294680"/>
    <x v="1"/>
    <x v="230"/>
    <x v="0"/>
    <s v="CONSTRUCTION-LARGE $3MILLIONorABOVE"/>
    <s v="BID"/>
    <x v="0"/>
  </r>
  <r>
    <n v="230161"/>
    <n v="963074.3"/>
    <x v="0"/>
    <x v="898"/>
    <x v="8"/>
    <s v="DELEGATE AGENCY"/>
    <s v="UNKNOWN"/>
    <x v="0"/>
  </r>
  <r>
    <n v="230162"/>
    <n v="30000"/>
    <x v="2"/>
    <x v="987"/>
    <x v="19"/>
    <s v="DELEGATE AGENCY"/>
    <s v="UNKNOWN"/>
    <x v="0"/>
  </r>
  <r>
    <n v="230164"/>
    <n v="25000"/>
    <x v="4"/>
    <x v="327"/>
    <x v="19"/>
    <s v="DELEGATE AGENCY"/>
    <s v="UNKNOWN"/>
    <x v="0"/>
  </r>
  <r>
    <n v="230165"/>
    <n v="251310"/>
    <x v="4"/>
    <x v="391"/>
    <x v="19"/>
    <s v="DELEGATE AGENCY"/>
    <s v="UNKNOWN"/>
    <x v="0"/>
  </r>
  <r>
    <n v="230166"/>
    <n v="25198.5"/>
    <x v="2"/>
    <x v="379"/>
    <x v="19"/>
    <s v="DELEGATE AGENCY"/>
    <s v="UNKNOWN"/>
    <x v="0"/>
  </r>
  <r>
    <n v="230168"/>
    <n v="55000"/>
    <x v="4"/>
    <x v="948"/>
    <x v="19"/>
    <s v="DELEGATE AGENCY"/>
    <s v="UNKNOWN"/>
    <x v="0"/>
  </r>
  <r>
    <n v="230169"/>
    <n v="759071"/>
    <x v="1"/>
    <x v="5"/>
    <x v="22"/>
    <s v="DELEGATE AGENCY"/>
    <s v="UNKNOWN"/>
    <x v="0"/>
  </r>
  <r>
    <n v="230180"/>
    <n v="80000"/>
    <x v="2"/>
    <x v="298"/>
    <x v="12"/>
    <s v="DELEGATE AGENCY"/>
    <s v="UNKNOWN"/>
    <x v="0"/>
  </r>
  <r>
    <n v="230185"/>
    <n v="32331.9"/>
    <x v="1"/>
    <x v="1193"/>
    <x v="19"/>
    <s v="DELEGATE AGENCY"/>
    <s v="UNKNOWN"/>
    <x v="0"/>
  </r>
  <r>
    <n v="230186"/>
    <n v="189000"/>
    <x v="4"/>
    <x v="201"/>
    <x v="17"/>
    <s v="DELEGATE AGENCY"/>
    <s v="UNKNOWN"/>
    <x v="0"/>
  </r>
  <r>
    <n v="230191"/>
    <n v="200000"/>
    <x v="1"/>
    <x v="353"/>
    <x v="12"/>
    <s v="DELEGATE AGENCY"/>
    <s v="UNKNOWN"/>
    <x v="0"/>
  </r>
  <r>
    <n v="230200"/>
    <n v="139024"/>
    <x v="1"/>
    <x v="385"/>
    <x v="12"/>
    <s v="DELEGATE AGENCY"/>
    <s v="UNKNOWN"/>
    <x v="0"/>
  </r>
  <r>
    <n v="230201"/>
    <n v="262500"/>
    <x v="1"/>
    <x v="292"/>
    <x v="12"/>
    <s v="DELEGATE AGENCY"/>
    <s v="UNKNOWN"/>
    <x v="0"/>
  </r>
  <r>
    <n v="230202"/>
    <n v="231592"/>
    <x v="2"/>
    <x v="86"/>
    <x v="12"/>
    <s v="DELEGATE AGENCY"/>
    <s v="UNKNOWN"/>
    <x v="0"/>
  </r>
  <r>
    <n v="230203"/>
    <n v="401500"/>
    <x v="1"/>
    <x v="295"/>
    <x v="12"/>
    <s v="DELEGATE AGENCY"/>
    <s v="UNKNOWN"/>
    <x v="0"/>
  </r>
  <r>
    <n v="230204"/>
    <n v="100000"/>
    <x v="2"/>
    <x v="292"/>
    <x v="12"/>
    <s v="DELEGATE AGENCY"/>
    <s v="UNKNOWN"/>
    <x v="0"/>
  </r>
  <r>
    <n v="230205"/>
    <n v="185472"/>
    <x v="1"/>
    <x v="605"/>
    <x v="12"/>
    <s v="DELEGATE AGENCY"/>
    <s v="UNKNOWN"/>
    <x v="0"/>
  </r>
  <r>
    <n v="230206"/>
    <n v="144256"/>
    <x v="1"/>
    <x v="605"/>
    <x v="12"/>
    <s v="DELEGATE AGENCY"/>
    <s v="UNKNOWN"/>
    <x v="0"/>
  </r>
  <r>
    <n v="230207"/>
    <n v="103040"/>
    <x v="1"/>
    <x v="605"/>
    <x v="12"/>
    <s v="DELEGATE AGENCY"/>
    <s v="UNKNOWN"/>
    <x v="0"/>
  </r>
  <r>
    <n v="230208"/>
    <n v="350336"/>
    <x v="1"/>
    <x v="605"/>
    <x v="12"/>
    <s v="DELEGATE AGENCY"/>
    <s v="UNKNOWN"/>
    <x v="0"/>
  </r>
  <r>
    <n v="230215"/>
    <n v="206173.8"/>
    <x v="2"/>
    <x v="44"/>
    <x v="8"/>
    <s v="DELEGATE AGENCY"/>
    <s v="UNKNOWN"/>
    <x v="0"/>
  </r>
  <r>
    <n v="230220"/>
    <n v="40000"/>
    <x v="1"/>
    <x v="371"/>
    <x v="12"/>
    <s v="DELEGATE AGENCY"/>
    <s v="UNKNOWN"/>
    <x v="0"/>
  </r>
  <r>
    <n v="230223"/>
    <n v="41216"/>
    <x v="4"/>
    <x v="59"/>
    <x v="12"/>
    <s v="DELEGATE AGENCY"/>
    <s v="UNKNOWN"/>
    <x v="0"/>
  </r>
  <r>
    <n v="230224"/>
    <n v="556094"/>
    <x v="4"/>
    <x v="203"/>
    <x v="12"/>
    <s v="DELEGATE AGENCY"/>
    <s v="UNKNOWN"/>
    <x v="0"/>
  </r>
  <r>
    <n v="230225"/>
    <n v="20608"/>
    <x v="2"/>
    <x v="385"/>
    <x v="12"/>
    <s v="DELEGATE AGENCY"/>
    <s v="UNKNOWN"/>
    <x v="0"/>
  </r>
  <r>
    <n v="230231"/>
    <n v="555000"/>
    <x v="4"/>
    <x v="201"/>
    <x v="12"/>
    <s v="DELEGATE AGENCY"/>
    <s v="UNKNOWN"/>
    <x v="0"/>
  </r>
  <r>
    <n v="230233"/>
    <n v="220000"/>
    <x v="2"/>
    <x v="299"/>
    <x v="12"/>
    <s v="DELEGATE AGENCY"/>
    <s v="UNKNOWN"/>
    <x v="0"/>
  </r>
  <r>
    <n v="230234"/>
    <n v="81000"/>
    <x v="1"/>
    <x v="574"/>
    <x v="12"/>
    <s v="DELEGATE AGENCY"/>
    <s v="UNKNOWN"/>
    <x v="0"/>
  </r>
  <r>
    <n v="230236"/>
    <n v="114872"/>
    <x v="1"/>
    <x v="298"/>
    <x v="12"/>
    <s v="DELEGATE AGENCY"/>
    <s v="UNKNOWN"/>
    <x v="0"/>
  </r>
  <r>
    <n v="230237"/>
    <n v="40270"/>
    <x v="1"/>
    <x v="317"/>
    <x v="12"/>
    <s v="DELEGATE AGENCY"/>
    <s v="UNKNOWN"/>
    <x v="0"/>
  </r>
  <r>
    <n v="230241"/>
    <n v="81800"/>
    <x v="4"/>
    <x v="305"/>
    <x v="12"/>
    <s v="DELEGATE AGENCY"/>
    <s v="UNKNOWN"/>
    <x v="0"/>
  </r>
  <r>
    <n v="230246"/>
    <n v="78069.2"/>
    <x v="1"/>
    <x v="292"/>
    <x v="12"/>
    <s v="DELEGATE AGENCY"/>
    <s v="UNKNOWN"/>
    <x v="0"/>
  </r>
  <r>
    <n v="230247"/>
    <n v="76666"/>
    <x v="1"/>
    <x v="317"/>
    <x v="12"/>
    <s v="DELEGATE AGENCY"/>
    <s v="UNKNOWN"/>
    <x v="0"/>
  </r>
  <r>
    <n v="230292"/>
    <n v="181640.2"/>
    <x v="1"/>
    <x v="168"/>
    <x v="12"/>
    <s v="DELEGATE AGENCY"/>
    <s v="UNKNOWN"/>
    <x v="0"/>
  </r>
  <r>
    <n v="230358"/>
    <n v="304395.2"/>
    <x v="1"/>
    <x v="45"/>
    <x v="8"/>
    <s v="DELEGATE AGENCY"/>
    <s v="UNKNOWN"/>
    <x v="0"/>
  </r>
  <r>
    <n v="230422"/>
    <n v="251916"/>
    <x v="2"/>
    <x v="25"/>
    <x v="8"/>
    <s v="DELEGATE AGENCY"/>
    <s v="RFP"/>
    <x v="0"/>
  </r>
  <r>
    <n v="230435"/>
    <n v="28619.3"/>
    <x v="2"/>
    <x v="385"/>
    <x v="22"/>
    <s v="DELEGATE AGENCY"/>
    <s v="UNKNOWN"/>
    <x v="0"/>
  </r>
  <r>
    <n v="230440"/>
    <n v="115730"/>
    <x v="4"/>
    <x v="317"/>
    <x v="12"/>
    <s v="DELEGATE AGENCY"/>
    <s v="UNKNOWN"/>
    <x v="0"/>
  </r>
  <r>
    <n v="230441"/>
    <n v="59713.3999999999"/>
    <x v="1"/>
    <x v="313"/>
    <x v="12"/>
    <s v="DELEGATE AGENCY"/>
    <s v="UNKNOWN"/>
    <x v="0"/>
  </r>
  <r>
    <n v="230469"/>
    <n v="169440.1"/>
    <x v="1"/>
    <x v="405"/>
    <x v="0"/>
    <s v="JOC"/>
    <s v="UNKNOWN"/>
    <x v="0"/>
  </r>
  <r>
    <n v="230514"/>
    <n v="29762.9"/>
    <x v="1"/>
    <x v="296"/>
    <x v="12"/>
    <s v="DELEGATE AGENCY"/>
    <s v="UNKNOWN"/>
    <x v="0"/>
  </r>
  <r>
    <n v="230515"/>
    <n v="88320"/>
    <x v="4"/>
    <x v="312"/>
    <x v="12"/>
    <s v="DELEGATE AGENCY"/>
    <s v="UNKNOWN"/>
    <x v="0"/>
  </r>
  <r>
    <n v="230549"/>
    <n v="75000"/>
    <x v="1"/>
    <x v="228"/>
    <x v="12"/>
    <s v="DELEGATE AGENCY"/>
    <s v="UNKNOWN"/>
    <x v="0"/>
  </r>
  <r>
    <n v="230561"/>
    <n v="48595084.700000003"/>
    <x v="1"/>
    <x v="11"/>
    <x v="5"/>
    <s v="CONSTRUCTION-LARGE $3MILLIONorABOVE"/>
    <s v="BID"/>
    <x v="0"/>
  </r>
  <r>
    <n v="230562"/>
    <n v="38888000"/>
    <x v="0"/>
    <x v="12"/>
    <x v="5"/>
    <s v="CONSTRUCTION-LARGE $3MILLIONorABOVE"/>
    <s v="BID"/>
    <x v="0"/>
  </r>
  <r>
    <n v="230564"/>
    <n v="55000"/>
    <x v="0"/>
    <x v="223"/>
    <x v="19"/>
    <s v="DELEGATE AGENCY"/>
    <s v="UNKNOWN"/>
    <x v="0"/>
  </r>
  <r>
    <n v="230567"/>
    <n v="30000"/>
    <x v="1"/>
    <x v="910"/>
    <x v="19"/>
    <s v="DELEGATE AGENCY"/>
    <s v="UNKNOWN"/>
    <x v="0"/>
  </r>
  <r>
    <n v="230568"/>
    <n v="30000"/>
    <x v="4"/>
    <x v="910"/>
    <x v="19"/>
    <s v="DELEGATE AGENCY"/>
    <s v="UNKNOWN"/>
    <x v="0"/>
  </r>
  <r>
    <n v="230569"/>
    <n v="55000"/>
    <x v="4"/>
    <x v="910"/>
    <x v="19"/>
    <s v="DELEGATE AGENCY"/>
    <s v="UNKNOWN"/>
    <x v="0"/>
  </r>
  <r>
    <n v="230570"/>
    <n v="40000"/>
    <x v="1"/>
    <x v="970"/>
    <x v="19"/>
    <s v="DELEGATE AGENCY"/>
    <s v="UNKNOWN"/>
    <x v="0"/>
  </r>
  <r>
    <n v="230644"/>
    <n v="253229"/>
    <x v="4"/>
    <x v="298"/>
    <x v="12"/>
    <s v="DELEGATE AGENCY"/>
    <s v="UNKNOWN"/>
    <x v="0"/>
  </r>
  <r>
    <n v="230655"/>
    <n v="31990"/>
    <x v="2"/>
    <x v="303"/>
    <x v="12"/>
    <s v="DELEGATE AGENCY"/>
    <s v="UNKNOWN"/>
    <x v="0"/>
  </r>
  <r>
    <n v="23066"/>
    <n v="2227027"/>
    <x v="4"/>
    <x v="1186"/>
    <x v="20"/>
    <s v="COMPTROLLER-OTHER"/>
    <s v="UNKNOWN"/>
    <x v="2"/>
  </r>
  <r>
    <n v="230661"/>
    <n v="252181"/>
    <x v="0"/>
    <x v="305"/>
    <x v="12"/>
    <s v="DELEGATE AGENCY"/>
    <s v="UNKNOWN"/>
    <x v="0"/>
  </r>
  <r>
    <n v="230662"/>
    <n v="223790"/>
    <x v="2"/>
    <x v="317"/>
    <x v="12"/>
    <s v="DELEGATE AGENCY"/>
    <s v="UNKNOWN"/>
    <x v="0"/>
  </r>
  <r>
    <n v="230663"/>
    <n v="708759"/>
    <x v="1"/>
    <x v="24"/>
    <x v="12"/>
    <s v="DELEGATE AGENCY"/>
    <s v="UNKNOWN"/>
    <x v="0"/>
  </r>
  <r>
    <n v="230664"/>
    <n v="190470"/>
    <x v="2"/>
    <x v="211"/>
    <x v="12"/>
    <s v="DELEGATE AGENCY"/>
    <s v="UNKNOWN"/>
    <x v="0"/>
  </r>
  <r>
    <n v="230677"/>
    <n v="268835"/>
    <x v="1"/>
    <x v="76"/>
    <x v="12"/>
    <s v="DELEGATE AGENCY"/>
    <s v="UNKNOWN"/>
    <x v="0"/>
  </r>
  <r>
    <n v="230697"/>
    <n v="625000"/>
    <x v="2"/>
    <x v="1194"/>
    <x v="12"/>
    <s v="DELEGATE AGENCY"/>
    <s v="UNKNOWN"/>
    <x v="0"/>
  </r>
  <r>
    <n v="230716"/>
    <n v="1500000"/>
    <x v="2"/>
    <x v="1195"/>
    <x v="0"/>
    <s v="ARCH/ENGINEERING"/>
    <s v="RFQ"/>
    <x v="0"/>
  </r>
  <r>
    <n v="230732"/>
    <n v="405000"/>
    <x v="0"/>
    <x v="563"/>
    <x v="8"/>
    <s v="DELEGATE AGENCY"/>
    <s v="RFP"/>
    <x v="0"/>
  </r>
  <r>
    <n v="230737"/>
    <n v="48595084.700000003"/>
    <x v="2"/>
    <x v="11"/>
    <x v="5"/>
    <s v="CONSTRUCTION-LARGE $3MILLIONorABOVE"/>
    <s v="BID"/>
    <x v="0"/>
  </r>
  <r>
    <n v="230738"/>
    <n v="38888000"/>
    <x v="0"/>
    <x v="12"/>
    <x v="5"/>
    <s v="CONSTRUCTION-LARGE $3MILLIONorABOVE"/>
    <s v="BID"/>
    <x v="0"/>
  </r>
  <r>
    <n v="230742"/>
    <n v="2896084.6"/>
    <x v="0"/>
    <x v="11"/>
    <x v="5"/>
    <s v="CONSTRUCTION-LARGE $3MILLIONorABOVE"/>
    <s v="BID"/>
    <x v="0"/>
  </r>
  <r>
    <n v="230743"/>
    <n v="3185294"/>
    <x v="0"/>
    <x v="1196"/>
    <x v="5"/>
    <s v="CONSTRUCTION-LARGE $3MILLIONorABOVE"/>
    <s v="BID"/>
    <x v="0"/>
  </r>
  <r>
    <n v="230745"/>
    <n v="8130617"/>
    <x v="0"/>
    <x v="1196"/>
    <x v="5"/>
    <s v="CONSTRUCTION-LARGE $3MILLIONorABOVE"/>
    <s v="BID"/>
    <x v="0"/>
  </r>
  <r>
    <n v="230854"/>
    <n v="62390"/>
    <x v="0"/>
    <x v="193"/>
    <x v="12"/>
    <s v="DELEGATE AGENCY"/>
    <s v="UNKNOWN"/>
    <x v="0"/>
  </r>
  <r>
    <n v="230855"/>
    <n v="556094"/>
    <x v="1"/>
    <x v="447"/>
    <x v="12"/>
    <s v="DELEGATE AGENCY"/>
    <s v="UNKNOWN"/>
    <x v="0"/>
  </r>
  <r>
    <n v="230856"/>
    <n v="334781"/>
    <x v="2"/>
    <x v="76"/>
    <x v="12"/>
    <s v="DELEGATE AGENCY"/>
    <s v="UNKNOWN"/>
    <x v="0"/>
  </r>
  <r>
    <n v="230857"/>
    <n v="40928"/>
    <x v="2"/>
    <x v="193"/>
    <x v="12"/>
    <s v="DELEGATE AGENCY"/>
    <s v="UNKNOWN"/>
    <x v="0"/>
  </r>
  <r>
    <n v="230858"/>
    <n v="7579"/>
    <x v="4"/>
    <x v="193"/>
    <x v="12"/>
    <s v="DELEGATE AGENCY"/>
    <s v="UNKNOWN"/>
    <x v="0"/>
  </r>
  <r>
    <n v="230859"/>
    <n v="54000"/>
    <x v="3"/>
    <x v="199"/>
    <x v="12"/>
    <s v="DELEGATE AGENCY"/>
    <s v="UNKNOWN"/>
    <x v="0"/>
  </r>
  <r>
    <n v="230871"/>
    <n v="136066.4"/>
    <x v="1"/>
    <x v="114"/>
    <x v="12"/>
    <s v="DELEGATE AGENCY"/>
    <s v="UNKNOWN"/>
    <x v="0"/>
  </r>
  <r>
    <n v="230874"/>
    <n v="101504"/>
    <x v="1"/>
    <x v="82"/>
    <x v="12"/>
    <s v="DELEGATE AGENCY"/>
    <s v="UNKNOWN"/>
    <x v="0"/>
  </r>
  <r>
    <n v="230875"/>
    <n v="833704"/>
    <x v="1"/>
    <x v="201"/>
    <x v="12"/>
    <s v="DELEGATE AGENCY"/>
    <s v="UNKNOWN"/>
    <x v="0"/>
  </r>
  <r>
    <n v="230876"/>
    <n v="54000"/>
    <x v="2"/>
    <x v="590"/>
    <x v="12"/>
    <s v="DELEGATE AGENCY"/>
    <s v="UNKNOWN"/>
    <x v="0"/>
  </r>
  <r>
    <n v="230877"/>
    <n v="110000"/>
    <x v="1"/>
    <x v="76"/>
    <x v="12"/>
    <s v="DELEGATE AGENCY"/>
    <s v="UNKNOWN"/>
    <x v="0"/>
  </r>
  <r>
    <n v="230902"/>
    <n v="15000"/>
    <x v="1"/>
    <x v="76"/>
    <x v="12"/>
    <s v="DELEGATE AGENCY"/>
    <s v="UNKNOWN"/>
    <x v="0"/>
  </r>
  <r>
    <n v="231129"/>
    <n v="41216"/>
    <x v="4"/>
    <x v="605"/>
    <x v="12"/>
    <s v="DELEGATE AGENCY"/>
    <s v="UNKNOWN"/>
    <x v="0"/>
  </r>
  <r>
    <n v="231130"/>
    <n v="41216"/>
    <x v="4"/>
    <x v="605"/>
    <x v="12"/>
    <s v="DELEGATE AGENCY"/>
    <s v="UNKNOWN"/>
    <x v="0"/>
  </r>
  <r>
    <n v="231131"/>
    <n v="41216"/>
    <x v="4"/>
    <x v="605"/>
    <x v="12"/>
    <s v="DELEGATE AGENCY"/>
    <s v="UNKNOWN"/>
    <x v="0"/>
  </r>
  <r>
    <n v="231132"/>
    <n v="61824"/>
    <x v="4"/>
    <x v="605"/>
    <x v="12"/>
    <s v="DELEGATE AGENCY"/>
    <s v="UNKNOWN"/>
    <x v="0"/>
  </r>
  <r>
    <n v="231286"/>
    <n v="350000"/>
    <x v="1"/>
    <x v="285"/>
    <x v="12"/>
    <s v="DELEGATE AGENCY"/>
    <s v="RFP"/>
    <x v="0"/>
  </r>
  <r>
    <n v="231319"/>
    <n v="10000"/>
    <x v="2"/>
    <x v="923"/>
    <x v="16"/>
    <s v="DELEGATE AGENCY"/>
    <s v="UNKNOWN"/>
    <x v="0"/>
  </r>
  <r>
    <n v="231320"/>
    <n v="33333"/>
    <x v="4"/>
    <x v="881"/>
    <x v="16"/>
    <s v="DELEGATE AGENCY"/>
    <s v="UNKNOWN"/>
    <x v="0"/>
  </r>
  <r>
    <n v="231344"/>
    <n v="354234.2"/>
    <x v="4"/>
    <x v="204"/>
    <x v="8"/>
    <s v="DELEGATE AGENCY"/>
    <s v="UNKNOWN"/>
    <x v="0"/>
  </r>
  <r>
    <n v="231360"/>
    <n v="2399543.6"/>
    <x v="2"/>
    <x v="297"/>
    <x v="12"/>
    <s v="DELEGATE AGENCY"/>
    <s v="UNKNOWN"/>
    <x v="0"/>
  </r>
  <r>
    <n v="231380"/>
    <n v="1588698.7"/>
    <x v="0"/>
    <x v="558"/>
    <x v="12"/>
    <s v="DELEGATE AGENCY"/>
    <s v="UNKNOWN"/>
    <x v="0"/>
  </r>
  <r>
    <n v="231391"/>
    <n v="108000"/>
    <x v="0"/>
    <x v="167"/>
    <x v="12"/>
    <s v="DELEGATE AGENCY"/>
    <s v="UNKNOWN"/>
    <x v="0"/>
  </r>
  <r>
    <n v="231408"/>
    <n v="290000"/>
    <x v="1"/>
    <x v="1197"/>
    <x v="8"/>
    <s v="DELEGATE AGENCY"/>
    <s v="RFP"/>
    <x v="0"/>
  </r>
  <r>
    <n v="231443"/>
    <n v="30000"/>
    <x v="2"/>
    <x v="1198"/>
    <x v="20"/>
    <s v="COMPTROLLER-OTHER"/>
    <s v="UNKNOWN"/>
    <x v="0"/>
  </r>
  <r>
    <n v="231447"/>
    <n v="100000"/>
    <x v="4"/>
    <x v="978"/>
    <x v="20"/>
    <s v="COMPTROLLER-OTHER"/>
    <s v="UNKNOWN"/>
    <x v="0"/>
  </r>
  <r>
    <n v="231448"/>
    <n v="25000"/>
    <x v="1"/>
    <x v="1199"/>
    <x v="20"/>
    <s v="COMPTROLLER-OTHER"/>
    <s v="UNKNOWN"/>
    <x v="0"/>
  </r>
  <r>
    <n v="231464"/>
    <n v="150000"/>
    <x v="4"/>
    <x v="1200"/>
    <x v="20"/>
    <s v="COMPTROLLER-OTHER"/>
    <s v="UNKNOWN"/>
    <x v="0"/>
  </r>
  <r>
    <n v="231466"/>
    <n v="32500"/>
    <x v="1"/>
    <x v="27"/>
    <x v="20"/>
    <s v="COMPTROLLER-OTHER"/>
    <s v="UNKNOWN"/>
    <x v="0"/>
  </r>
  <r>
    <n v="231469"/>
    <n v="15000"/>
    <x v="4"/>
    <x v="1201"/>
    <x v="20"/>
    <s v="COMPTROLLER-OTHER"/>
    <s v="UNKNOWN"/>
    <x v="0"/>
  </r>
  <r>
    <n v="231472"/>
    <n v="50000"/>
    <x v="4"/>
    <x v="1202"/>
    <x v="20"/>
    <s v="COMPTROLLER-OTHER"/>
    <s v="UNKNOWN"/>
    <x v="0"/>
  </r>
  <r>
    <n v="231478"/>
    <n v="40000"/>
    <x v="1"/>
    <x v="380"/>
    <x v="19"/>
    <s v="DELEGATE AGENCY"/>
    <s v="UNKNOWN"/>
    <x v="0"/>
  </r>
  <r>
    <n v="231479"/>
    <n v="20000"/>
    <x v="4"/>
    <x v="988"/>
    <x v="19"/>
    <s v="DELEGATE AGENCY"/>
    <s v="UNKNOWN"/>
    <x v="0"/>
  </r>
  <r>
    <n v="231480"/>
    <n v="30000"/>
    <x v="4"/>
    <x v="973"/>
    <x v="19"/>
    <s v="DELEGATE AGENCY"/>
    <s v="UNKNOWN"/>
    <x v="0"/>
  </r>
  <r>
    <n v="231481"/>
    <n v="16714.099999999999"/>
    <x v="4"/>
    <x v="686"/>
    <x v="19"/>
    <s v="DELEGATE AGENCY"/>
    <s v="UNKNOWN"/>
    <x v="0"/>
  </r>
  <r>
    <n v="231482"/>
    <n v="2000000"/>
    <x v="4"/>
    <x v="197"/>
    <x v="19"/>
    <s v="DELEGATE AGENCY"/>
    <s v="UNKNOWN"/>
    <x v="0"/>
  </r>
  <r>
    <n v="231483"/>
    <n v="37500"/>
    <x v="0"/>
    <x v="910"/>
    <x v="19"/>
    <s v="DELEGATE AGENCY"/>
    <s v="UNKNOWN"/>
    <x v="0"/>
  </r>
  <r>
    <n v="231490"/>
    <n v="141818"/>
    <x v="4"/>
    <x v="1027"/>
    <x v="8"/>
    <s v="DELEGATE AGENCY"/>
    <s v="UNKNOWN"/>
    <x v="0"/>
  </r>
  <r>
    <n v="231491"/>
    <n v="30000"/>
    <x v="1"/>
    <x v="354"/>
    <x v="19"/>
    <s v="DELEGATE AGENCY"/>
    <s v="UNKNOWN"/>
    <x v="0"/>
  </r>
  <r>
    <n v="231570"/>
    <n v="17995"/>
    <x v="4"/>
    <x v="1006"/>
    <x v="36"/>
    <s v="COMPTROLLER-OTHER"/>
    <s v="UNKNOWN"/>
    <x v="0"/>
  </r>
  <r>
    <n v="231580"/>
    <n v="464733"/>
    <x v="4"/>
    <x v="1203"/>
    <x v="20"/>
    <s v="COMPTROLLER-OTHER"/>
    <s v="UNKNOWN"/>
    <x v="0"/>
  </r>
  <r>
    <n v="231660"/>
    <n v="515301"/>
    <x v="2"/>
    <x v="296"/>
    <x v="12"/>
    <s v="DELEGATE AGENCY"/>
    <s v="UNKNOWN"/>
    <x v="0"/>
  </r>
  <r>
    <n v="231751"/>
    <n v="7887529.0999999996"/>
    <x v="2"/>
    <x v="267"/>
    <x v="0"/>
    <s v="CONSTRUCTION-LARGE $3MILLIONorABOVE"/>
    <s v="BID"/>
    <x v="0"/>
  </r>
  <r>
    <n v="231756"/>
    <n v="690270"/>
    <x v="0"/>
    <x v="392"/>
    <x v="2"/>
    <s v="DELEGATE AGENCY"/>
    <s v="RFP"/>
    <x v="0"/>
  </r>
  <r>
    <n v="231772"/>
    <n v="12300450"/>
    <x v="2"/>
    <x v="0"/>
    <x v="15"/>
    <s v="CONSTRUCTION-LARGE $3MILLIONorABOVE"/>
    <s v="BID"/>
    <x v="0"/>
  </r>
  <r>
    <n v="231777"/>
    <n v="4000000"/>
    <x v="0"/>
    <x v="1204"/>
    <x v="2"/>
    <s v="COMPTROLLER-OTHER"/>
    <s v="UNKNOWN"/>
    <x v="0"/>
  </r>
  <r>
    <n v="231778"/>
    <n v="38000"/>
    <x v="0"/>
    <x v="985"/>
    <x v="20"/>
    <s v="COMPTROLLER-OTHER"/>
    <s v="UNKNOWN"/>
    <x v="0"/>
  </r>
  <r>
    <n v="231796"/>
    <n v="72220"/>
    <x v="4"/>
    <x v="193"/>
    <x v="12"/>
    <s v="DELEGATE AGENCY"/>
    <s v="UNKNOWN"/>
    <x v="0"/>
  </r>
  <r>
    <n v="231819"/>
    <n v="55000"/>
    <x v="1"/>
    <x v="1205"/>
    <x v="20"/>
    <s v="COMPTROLLER-OTHER"/>
    <s v="UNKNOWN"/>
    <x v="0"/>
  </r>
  <r>
    <n v="231820"/>
    <n v="30000"/>
    <x v="1"/>
    <x v="1206"/>
    <x v="20"/>
    <s v="COMPTROLLER-OTHER"/>
    <s v="UNKNOWN"/>
    <x v="0"/>
  </r>
  <r>
    <n v="231821"/>
    <n v="20000"/>
    <x v="4"/>
    <x v="675"/>
    <x v="20"/>
    <s v="COMPTROLLER-OTHER"/>
    <s v="UNKNOWN"/>
    <x v="0"/>
  </r>
  <r>
    <n v="231823"/>
    <n v="28000"/>
    <x v="4"/>
    <x v="777"/>
    <x v="20"/>
    <s v="COMPTROLLER-OTHER"/>
    <s v="UNKNOWN"/>
    <x v="0"/>
  </r>
  <r>
    <n v="231828"/>
    <n v="15000000"/>
    <x v="4"/>
    <x v="1207"/>
    <x v="2"/>
    <s v="COMPTROLLER-OTHER"/>
    <s v="UNKNOWN"/>
    <x v="0"/>
  </r>
  <r>
    <n v="231832"/>
    <n v="18000"/>
    <x v="0"/>
    <x v="1208"/>
    <x v="20"/>
    <s v="COMPTROLLER-OTHER"/>
    <s v="UNKNOWN"/>
    <x v="0"/>
  </r>
  <r>
    <n v="231834"/>
    <n v="3767800"/>
    <x v="4"/>
    <x v="1209"/>
    <x v="0"/>
    <s v="COMMODITIES"/>
    <s v="BID"/>
    <x v="0"/>
  </r>
  <r>
    <n v="231835"/>
    <n v="42000"/>
    <x v="0"/>
    <x v="1210"/>
    <x v="20"/>
    <s v="COMPTROLLER-OTHER"/>
    <s v="UNKNOWN"/>
    <x v="0"/>
  </r>
  <r>
    <n v="2319"/>
    <n v="122915.4"/>
    <x v="4"/>
    <x v="273"/>
    <x v="0"/>
    <s v="CONSTRUCTION-LARGE $3MILLIONorABOVE"/>
    <s v="UNKNOWN"/>
    <x v="1"/>
  </r>
  <r>
    <n v="231916"/>
    <n v="231823.3"/>
    <x v="1"/>
    <x v="166"/>
    <x v="8"/>
    <s v="DELEGATE AGENCY"/>
    <s v="UNKNOWN"/>
    <x v="0"/>
  </r>
  <r>
    <n v="231917"/>
    <n v="809090.6"/>
    <x v="1"/>
    <x v="315"/>
    <x v="8"/>
    <s v="DELEGATE AGENCY"/>
    <s v="UNKNOWN"/>
    <x v="0"/>
  </r>
  <r>
    <n v="231918"/>
    <n v="281256.40000000002"/>
    <x v="2"/>
    <x v="288"/>
    <x v="8"/>
    <s v="DELEGATE AGENCY"/>
    <s v="UNKNOWN"/>
    <x v="0"/>
  </r>
  <r>
    <n v="231955"/>
    <n v="834141"/>
    <x v="2"/>
    <x v="199"/>
    <x v="12"/>
    <s v="DELEGATE AGENCY"/>
    <s v="UNKNOWN"/>
    <x v="0"/>
  </r>
  <r>
    <n v="231956"/>
    <n v="625605"/>
    <x v="2"/>
    <x v="441"/>
    <x v="12"/>
    <s v="DELEGATE AGENCY"/>
    <s v="UNKNOWN"/>
    <x v="0"/>
  </r>
  <r>
    <n v="231957"/>
    <n v="417072"/>
    <x v="2"/>
    <x v="444"/>
    <x v="12"/>
    <s v="DELEGATE AGENCY"/>
    <s v="UNKNOWN"/>
    <x v="0"/>
  </r>
  <r>
    <n v="231958"/>
    <n v="919235"/>
    <x v="2"/>
    <x v="114"/>
    <x v="12"/>
    <s v="DELEGATE AGENCY"/>
    <s v="UNKNOWN"/>
    <x v="0"/>
  </r>
  <r>
    <n v="231959"/>
    <n v="417072"/>
    <x v="2"/>
    <x v="205"/>
    <x v="12"/>
    <s v="DELEGATE AGENCY"/>
    <s v="UNKNOWN"/>
    <x v="0"/>
  </r>
  <r>
    <n v="231960"/>
    <n v="417070"/>
    <x v="2"/>
    <x v="605"/>
    <x v="12"/>
    <s v="DELEGATE AGENCY"/>
    <s v="UNKNOWN"/>
    <x v="0"/>
  </r>
  <r>
    <n v="231977"/>
    <n v="61824"/>
    <x v="2"/>
    <x v="444"/>
    <x v="12"/>
    <s v="DELEGATE AGENCY"/>
    <s v="UNKNOWN"/>
    <x v="0"/>
  </r>
  <r>
    <n v="231983"/>
    <n v="185472"/>
    <x v="1"/>
    <x v="169"/>
    <x v="12"/>
    <s v="DELEGATE AGENCY"/>
    <s v="UNKNOWN"/>
    <x v="0"/>
  </r>
  <r>
    <n v="231984"/>
    <n v="61824"/>
    <x v="1"/>
    <x v="201"/>
    <x v="12"/>
    <s v="DELEGATE AGENCY"/>
    <s v="UNKNOWN"/>
    <x v="0"/>
  </r>
  <r>
    <n v="231986"/>
    <n v="468738.4"/>
    <x v="1"/>
    <x v="199"/>
    <x v="12"/>
    <s v="DELEGATE AGENCY"/>
    <s v="UNKNOWN"/>
    <x v="0"/>
  </r>
  <r>
    <n v="231988"/>
    <n v="61824"/>
    <x v="2"/>
    <x v="451"/>
    <x v="12"/>
    <s v="DELEGATE AGENCY"/>
    <s v="UNKNOWN"/>
    <x v="0"/>
  </r>
  <r>
    <n v="231990"/>
    <n v="82432"/>
    <x v="1"/>
    <x v="359"/>
    <x v="12"/>
    <s v="DELEGATE AGENCY"/>
    <s v="UNKNOWN"/>
    <x v="0"/>
  </r>
  <r>
    <n v="231991"/>
    <n v="61824"/>
    <x v="1"/>
    <x v="205"/>
    <x v="12"/>
    <s v="DELEGATE AGENCY"/>
    <s v="UNKNOWN"/>
    <x v="0"/>
  </r>
  <r>
    <n v="231994"/>
    <n v="139024"/>
    <x v="1"/>
    <x v="605"/>
    <x v="12"/>
    <s v="DELEGATE AGENCY"/>
    <s v="UNKNOWN"/>
    <x v="0"/>
  </r>
  <r>
    <n v="232041"/>
    <n v="397000"/>
    <x v="1"/>
    <x v="1211"/>
    <x v="25"/>
    <s v="COMPTROLLER-OTHER"/>
    <s v="UNKNOWN"/>
    <x v="0"/>
  </r>
  <r>
    <n v="232042"/>
    <n v="486965.4"/>
    <x v="2"/>
    <x v="175"/>
    <x v="12"/>
    <s v="DELEGATE AGENCY"/>
    <s v="UNKNOWN"/>
    <x v="0"/>
  </r>
  <r>
    <n v="232044"/>
    <n v="36000"/>
    <x v="2"/>
    <x v="139"/>
    <x v="20"/>
    <s v="COMPTROLLER-OTHER"/>
    <s v="UNKNOWN"/>
    <x v="0"/>
  </r>
  <r>
    <n v="232046"/>
    <n v="186018.4"/>
    <x v="4"/>
    <x v="307"/>
    <x v="12"/>
    <s v="DELEGATE AGENCY"/>
    <s v="UNKNOWN"/>
    <x v="0"/>
  </r>
  <r>
    <n v="232047"/>
    <n v="250000"/>
    <x v="1"/>
    <x v="627"/>
    <x v="2"/>
    <s v="COMPTROLLER-OTHER"/>
    <s v="UNKNOWN"/>
    <x v="0"/>
  </r>
  <r>
    <n v="232048"/>
    <n v="949054"/>
    <x v="2"/>
    <x v="217"/>
    <x v="12"/>
    <s v="DELEGATE AGENCY"/>
    <s v="UNKNOWN"/>
    <x v="0"/>
  </r>
  <r>
    <n v="232050"/>
    <n v="18000000"/>
    <x v="2"/>
    <x v="1212"/>
    <x v="2"/>
    <s v="COMPTROLLER-OTHER"/>
    <s v="UNKNOWN"/>
    <x v="0"/>
  </r>
  <r>
    <n v="232051"/>
    <n v="4200000"/>
    <x v="0"/>
    <x v="601"/>
    <x v="2"/>
    <s v="COMPTROLLER-OTHER"/>
    <s v="UNKNOWN"/>
    <x v="0"/>
  </r>
  <r>
    <n v="232052"/>
    <n v="500000"/>
    <x v="0"/>
    <x v="1213"/>
    <x v="2"/>
    <s v="COMPTROLLER-OTHER"/>
    <s v="UNKNOWN"/>
    <x v="0"/>
  </r>
  <r>
    <n v="232060"/>
    <n v="1741130"/>
    <x v="2"/>
    <x v="145"/>
    <x v="8"/>
    <s v="COMPTROLLER-OTHER"/>
    <s v="UNKNOWN"/>
    <x v="0"/>
  </r>
  <r>
    <n v="232062"/>
    <n v="2000000"/>
    <x v="0"/>
    <x v="1214"/>
    <x v="8"/>
    <s v="COMPTROLLER-OTHER"/>
    <s v="UNKNOWN"/>
    <x v="0"/>
  </r>
  <r>
    <n v="232066"/>
    <n v="1250000"/>
    <x v="0"/>
    <x v="558"/>
    <x v="12"/>
    <s v="DELEGATE AGENCY"/>
    <s v="UNKNOWN"/>
    <x v="0"/>
  </r>
  <r>
    <n v="232068"/>
    <n v="1276144"/>
    <x v="0"/>
    <x v="201"/>
    <x v="12"/>
    <s v="DELEGATE AGENCY"/>
    <s v="UNKNOWN"/>
    <x v="0"/>
  </r>
  <r>
    <n v="232069"/>
    <n v="139024"/>
    <x v="0"/>
    <x v="376"/>
    <x v="12"/>
    <s v="DELEGATE AGENCY"/>
    <s v="UNKNOWN"/>
    <x v="0"/>
  </r>
  <r>
    <n v="232074"/>
    <n v="455029.2"/>
    <x v="1"/>
    <x v="169"/>
    <x v="12"/>
    <s v="DELEGATE AGENCY"/>
    <s v="UNKNOWN"/>
    <x v="0"/>
  </r>
  <r>
    <n v="232077"/>
    <n v="41232520.899999999"/>
    <x v="2"/>
    <x v="11"/>
    <x v="5"/>
    <s v="CONSTRUCTION-LARGE $3MILLIONorABOVE"/>
    <s v="BID"/>
    <x v="0"/>
  </r>
  <r>
    <n v="232078"/>
    <n v="44522630"/>
    <x v="0"/>
    <x v="233"/>
    <x v="5"/>
    <s v="CONSTRUCTION-LARGE $3MILLIONorABOVE"/>
    <s v="BID"/>
    <x v="0"/>
  </r>
  <r>
    <n v="232079"/>
    <n v="1075967.3999999999"/>
    <x v="0"/>
    <x v="238"/>
    <x v="12"/>
    <s v="DELEGATE AGENCY"/>
    <s v="UNKNOWN"/>
    <x v="0"/>
  </r>
  <r>
    <n v="232080"/>
    <n v="42322160.399999999"/>
    <x v="0"/>
    <x v="11"/>
    <x v="5"/>
    <s v="CONSTRUCTION-LARGE $3MILLIONorABOVE"/>
    <s v="BID"/>
    <x v="0"/>
  </r>
  <r>
    <n v="232081"/>
    <n v="44522630"/>
    <x v="0"/>
    <x v="233"/>
    <x v="5"/>
    <s v="CONSTRUCTION-LARGE $3MILLIONorABOVE"/>
    <s v="BID"/>
    <x v="0"/>
  </r>
  <r>
    <n v="232082"/>
    <n v="44043719"/>
    <x v="0"/>
    <x v="233"/>
    <x v="5"/>
    <s v="CONSTRUCTION-LARGE $3MILLIONorABOVE"/>
    <s v="BID"/>
    <x v="0"/>
  </r>
  <r>
    <n v="232083"/>
    <n v="38938000"/>
    <x v="0"/>
    <x v="12"/>
    <x v="5"/>
    <s v="CONSTRUCTION-LARGE $3MILLIONorABOVE"/>
    <s v="BID"/>
    <x v="0"/>
  </r>
  <r>
    <n v="232085"/>
    <n v="41232520.899999999"/>
    <x v="0"/>
    <x v="11"/>
    <x v="5"/>
    <s v="CONSTRUCTION-LARGE $3MILLIONorABOVE"/>
    <s v="BID"/>
    <x v="0"/>
  </r>
  <r>
    <n v="232086"/>
    <n v="43315097"/>
    <x v="0"/>
    <x v="233"/>
    <x v="5"/>
    <s v="CONSTRUCTION-LARGE $3MILLIONorABOVE"/>
    <s v="BID"/>
    <x v="0"/>
  </r>
  <r>
    <n v="232087"/>
    <n v="270562.59999999998"/>
    <x v="0"/>
    <x v="204"/>
    <x v="12"/>
    <s v="DELEGATE AGENCY"/>
    <s v="UNKNOWN"/>
    <x v="0"/>
  </r>
  <r>
    <n v="232090"/>
    <n v="453376"/>
    <x v="2"/>
    <x v="605"/>
    <x v="12"/>
    <s v="DELEGATE AGENCY"/>
    <s v="UNKNOWN"/>
    <x v="0"/>
  </r>
  <r>
    <n v="232094"/>
    <n v="247296"/>
    <x v="2"/>
    <x v="605"/>
    <x v="12"/>
    <s v="DELEGATE AGENCY"/>
    <s v="UNKNOWN"/>
    <x v="0"/>
  </r>
  <r>
    <n v="232132"/>
    <n v="8067750"/>
    <x v="1"/>
    <x v="1215"/>
    <x v="10"/>
    <s v="WORK SERVICES / FACILITIES MAINT."/>
    <s v="BID"/>
    <x v="0"/>
  </r>
  <r>
    <n v="232137"/>
    <n v="4675536"/>
    <x v="0"/>
    <x v="1216"/>
    <x v="10"/>
    <s v="WORK SERVICES / FACILITIES MAINT."/>
    <s v="BID"/>
    <x v="0"/>
  </r>
  <r>
    <n v="232149"/>
    <n v="4902837.0999999996"/>
    <x v="0"/>
    <x v="1215"/>
    <x v="10"/>
    <s v="WORK SERVICES / FACILITIES MAINT."/>
    <s v="BID"/>
    <x v="0"/>
  </r>
  <r>
    <n v="232150"/>
    <n v="8149512"/>
    <x v="0"/>
    <x v="1216"/>
    <x v="10"/>
    <s v="WORK SERVICES / FACILITIES MAINT."/>
    <s v="BID"/>
    <x v="0"/>
  </r>
  <r>
    <n v="232210"/>
    <n v="194974.7"/>
    <x v="0"/>
    <x v="128"/>
    <x v="12"/>
    <s v="DELEGATE AGENCY"/>
    <s v="UNKNOWN"/>
    <x v="0"/>
  </r>
  <r>
    <n v="232286"/>
    <n v="6884926"/>
    <x v="1"/>
    <x v="230"/>
    <x v="0"/>
    <s v="CONSTRUCTION SERVICES"/>
    <s v="BID"/>
    <x v="0"/>
  </r>
  <r>
    <n v="232302"/>
    <n v="250000"/>
    <x v="0"/>
    <x v="1217"/>
    <x v="9"/>
    <s v="WORK SERVICES-SMALL ORDERS"/>
    <s v="BID"/>
    <x v="0"/>
  </r>
  <r>
    <n v="232325"/>
    <n v="50233199.200000003"/>
    <x v="2"/>
    <x v="1218"/>
    <x v="5"/>
    <s v="WORK SERVICES / FACILITIES MAINT."/>
    <s v="BID"/>
    <x v="0"/>
  </r>
  <r>
    <n v="232326"/>
    <n v="1075200"/>
    <x v="0"/>
    <x v="1219"/>
    <x v="5"/>
    <s v="COMMODITIES"/>
    <s v="BID"/>
    <x v="0"/>
  </r>
  <r>
    <n v="232432"/>
    <n v="109353.4"/>
    <x v="0"/>
    <x v="40"/>
    <x v="12"/>
    <s v="DELEGATE AGENCY"/>
    <s v="UNKNOWN"/>
    <x v="0"/>
  </r>
  <r>
    <n v="232433"/>
    <n v="237500"/>
    <x v="1"/>
    <x v="290"/>
    <x v="12"/>
    <s v="DELEGATE AGENCY"/>
    <s v="UNKNOWN"/>
    <x v="0"/>
  </r>
  <r>
    <n v="232434"/>
    <n v="900000"/>
    <x v="1"/>
    <x v="1220"/>
    <x v="2"/>
    <s v="COMPTROLLER-OTHER"/>
    <s v="UNKNOWN"/>
    <x v="0"/>
  </r>
  <r>
    <n v="232435"/>
    <n v="348398"/>
    <x v="2"/>
    <x v="296"/>
    <x v="12"/>
    <s v="DELEGATE AGENCY"/>
    <s v="UNKNOWN"/>
    <x v="0"/>
  </r>
  <r>
    <n v="232436"/>
    <n v="198022.9"/>
    <x v="2"/>
    <x v="441"/>
    <x v="12"/>
    <s v="DELEGATE AGENCY"/>
    <s v="UNKNOWN"/>
    <x v="0"/>
  </r>
  <r>
    <n v="232437"/>
    <n v="101200"/>
    <x v="1"/>
    <x v="299"/>
    <x v="12"/>
    <s v="DELEGATE AGENCY"/>
    <s v="UNKNOWN"/>
    <x v="0"/>
  </r>
  <r>
    <n v="232448"/>
    <n v="14854.0999999999"/>
    <x v="1"/>
    <x v="243"/>
    <x v="12"/>
    <s v="DELEGATE AGENCY"/>
    <s v="UNKNOWN"/>
    <x v="0"/>
  </r>
  <r>
    <n v="232451"/>
    <n v="391040"/>
    <x v="4"/>
    <x v="1085"/>
    <x v="12"/>
    <s v="DELEGATE AGENCY"/>
    <s v="UNKNOWN"/>
    <x v="0"/>
  </r>
  <r>
    <n v="232460"/>
    <n v="30000"/>
    <x v="2"/>
    <x v="957"/>
    <x v="19"/>
    <s v="DELEGATE AGENCY"/>
    <s v="UNKNOWN"/>
    <x v="0"/>
  </r>
  <r>
    <n v="232461"/>
    <n v="40000"/>
    <x v="4"/>
    <x v="956"/>
    <x v="19"/>
    <s v="DELEGATE AGENCY"/>
    <s v="UNKNOWN"/>
    <x v="0"/>
  </r>
  <r>
    <n v="232462"/>
    <n v="55000"/>
    <x v="4"/>
    <x v="401"/>
    <x v="19"/>
    <s v="DELEGATE AGENCY"/>
    <s v="UNKNOWN"/>
    <x v="0"/>
  </r>
  <r>
    <n v="232464"/>
    <n v="20000"/>
    <x v="1"/>
    <x v="452"/>
    <x v="19"/>
    <s v="DELEGATE AGENCY"/>
    <s v="UNKNOWN"/>
    <x v="0"/>
  </r>
  <r>
    <n v="232466"/>
    <n v="85000"/>
    <x v="4"/>
    <x v="204"/>
    <x v="19"/>
    <s v="DELEGATE AGENCY"/>
    <s v="UNKNOWN"/>
    <x v="0"/>
  </r>
  <r>
    <n v="232467"/>
    <n v="20000"/>
    <x v="1"/>
    <x v="980"/>
    <x v="19"/>
    <s v="DELEGATE AGENCY"/>
    <s v="UNKNOWN"/>
    <x v="0"/>
  </r>
  <r>
    <n v="232468"/>
    <n v="40000"/>
    <x v="4"/>
    <x v="958"/>
    <x v="19"/>
    <s v="DELEGATE AGENCY"/>
    <s v="UNKNOWN"/>
    <x v="0"/>
  </r>
  <r>
    <n v="232469"/>
    <n v="40000"/>
    <x v="4"/>
    <x v="959"/>
    <x v="19"/>
    <s v="DELEGATE AGENCY"/>
    <s v="UNKNOWN"/>
    <x v="0"/>
  </r>
  <r>
    <n v="232471"/>
    <n v="6000"/>
    <x v="4"/>
    <x v="236"/>
    <x v="16"/>
    <s v="DELEGATE AGENCY"/>
    <s v="UNKNOWN"/>
    <x v="0"/>
  </r>
  <r>
    <n v="232472"/>
    <n v="6000"/>
    <x v="3"/>
    <x v="236"/>
    <x v="16"/>
    <s v="DELEGATE AGENCY"/>
    <s v="UNKNOWN"/>
    <x v="0"/>
  </r>
  <r>
    <n v="232473"/>
    <n v="4758"/>
    <x v="3"/>
    <x v="236"/>
    <x v="16"/>
    <s v="DELEGATE AGENCY"/>
    <s v="UNKNOWN"/>
    <x v="0"/>
  </r>
  <r>
    <n v="232474"/>
    <n v="139024"/>
    <x v="3"/>
    <x v="1221"/>
    <x v="12"/>
    <s v="DELEGATE AGENCY"/>
    <s v="UNKNOWN"/>
    <x v="0"/>
  </r>
  <r>
    <n v="232501"/>
    <n v="45000"/>
    <x v="1"/>
    <x v="827"/>
    <x v="20"/>
    <s v="COMPTROLLER-OTHER"/>
    <s v="UNKNOWN"/>
    <x v="0"/>
  </r>
  <r>
    <n v="232502"/>
    <n v="60000"/>
    <x v="4"/>
    <x v="790"/>
    <x v="20"/>
    <s v="COMPTROLLER-OTHER"/>
    <s v="UNKNOWN"/>
    <x v="0"/>
  </r>
  <r>
    <n v="232503"/>
    <n v="50000"/>
    <x v="1"/>
    <x v="376"/>
    <x v="20"/>
    <s v="COMPTROLLER-OTHER"/>
    <s v="UNKNOWN"/>
    <x v="0"/>
  </r>
  <r>
    <n v="232504"/>
    <n v="45000"/>
    <x v="1"/>
    <x v="1222"/>
    <x v="20"/>
    <s v="COMPTROLLER-OTHER"/>
    <s v="UNKNOWN"/>
    <x v="0"/>
  </r>
  <r>
    <n v="232506"/>
    <n v="2500"/>
    <x v="4"/>
    <x v="1223"/>
    <x v="20"/>
    <s v="COMPTROLLER-OTHER"/>
    <s v="UNKNOWN"/>
    <x v="0"/>
  </r>
  <r>
    <n v="232508"/>
    <n v="20000"/>
    <x v="3"/>
    <x v="505"/>
    <x v="20"/>
    <s v="COMPTROLLER-OTHER"/>
    <s v="UNKNOWN"/>
    <x v="0"/>
  </r>
  <r>
    <n v="232515"/>
    <n v="22000"/>
    <x v="4"/>
    <x v="1224"/>
    <x v="20"/>
    <s v="COMPTROLLER-OTHER"/>
    <s v="UNKNOWN"/>
    <x v="0"/>
  </r>
  <r>
    <n v="232543"/>
    <n v="20000"/>
    <x v="4"/>
    <x v="964"/>
    <x v="19"/>
    <s v="DELEGATE AGENCY"/>
    <s v="UNKNOWN"/>
    <x v="0"/>
  </r>
  <r>
    <n v="232544"/>
    <n v="48402"/>
    <x v="4"/>
    <x v="1225"/>
    <x v="19"/>
    <s v="DELEGATE AGENCY"/>
    <s v="UNKNOWN"/>
    <x v="0"/>
  </r>
  <r>
    <n v="232652"/>
    <n v="300000"/>
    <x v="4"/>
    <x v="1226"/>
    <x v="19"/>
    <s v="DELEGATE AGENCY"/>
    <s v="RFP"/>
    <x v="0"/>
  </r>
  <r>
    <n v="232686"/>
    <n v="40000"/>
    <x v="2"/>
    <x v="1227"/>
    <x v="22"/>
    <s v="DELEGATE AGENCY"/>
    <s v="UNKNOWN"/>
    <x v="0"/>
  </r>
  <r>
    <n v="232687"/>
    <n v="272426.59999999998"/>
    <x v="4"/>
    <x v="73"/>
    <x v="12"/>
    <s v="DELEGATE AGENCY"/>
    <s v="UNKNOWN"/>
    <x v="0"/>
  </r>
  <r>
    <n v="232688"/>
    <n v="263419.3"/>
    <x v="2"/>
    <x v="73"/>
    <x v="12"/>
    <s v="DELEGATE AGENCY"/>
    <s v="UNKNOWN"/>
    <x v="0"/>
  </r>
  <r>
    <n v="232727"/>
    <n v="61050.1"/>
    <x v="2"/>
    <x v="353"/>
    <x v="22"/>
    <s v="DELEGATE AGENCY"/>
    <s v="UNKNOWN"/>
    <x v="0"/>
  </r>
  <r>
    <n v="232736"/>
    <n v="29575.7"/>
    <x v="1"/>
    <x v="383"/>
    <x v="22"/>
    <s v="DELEGATE AGENCY"/>
    <s v="UNKNOWN"/>
    <x v="0"/>
  </r>
  <r>
    <n v="232739"/>
    <n v="28664.799999999999"/>
    <x v="4"/>
    <x v="386"/>
    <x v="22"/>
    <s v="DELEGATE AGENCY"/>
    <s v="UNKNOWN"/>
    <x v="0"/>
  </r>
  <r>
    <n v="232740"/>
    <n v="266534.8"/>
    <x v="4"/>
    <x v="398"/>
    <x v="22"/>
    <s v="DELEGATE AGENCY"/>
    <s v="UNKNOWN"/>
    <x v="0"/>
  </r>
  <r>
    <n v="232775"/>
    <n v="20000"/>
    <x v="2"/>
    <x v="221"/>
    <x v="19"/>
    <s v="DELEGATE AGENCY"/>
    <s v="UNKNOWN"/>
    <x v="0"/>
  </r>
  <r>
    <n v="232789"/>
    <n v="217851.8"/>
    <x v="4"/>
    <x v="59"/>
    <x v="8"/>
    <s v="DELEGATE AGENCY"/>
    <s v="UNKNOWN"/>
    <x v="0"/>
  </r>
  <r>
    <n v="232790"/>
    <n v="1133787.7"/>
    <x v="1"/>
    <x v="114"/>
    <x v="8"/>
    <s v="DELEGATE AGENCY"/>
    <s v="UNKNOWN"/>
    <x v="0"/>
  </r>
  <r>
    <n v="232791"/>
    <n v="436286.1"/>
    <x v="0"/>
    <x v="593"/>
    <x v="8"/>
    <s v="DELEGATE AGENCY"/>
    <s v="UNKNOWN"/>
    <x v="0"/>
  </r>
  <r>
    <n v="232802"/>
    <n v="355638"/>
    <x v="2"/>
    <x v="261"/>
    <x v="8"/>
    <s v="DELEGATE AGENCY"/>
    <s v="UNKNOWN"/>
    <x v="0"/>
  </r>
  <r>
    <n v="232803"/>
    <n v="319326.7"/>
    <x v="2"/>
    <x v="446"/>
    <x v="8"/>
    <s v="DELEGATE AGENCY"/>
    <s v="UNKNOWN"/>
    <x v="0"/>
  </r>
  <r>
    <n v="232804"/>
    <n v="20000"/>
    <x v="2"/>
    <x v="959"/>
    <x v="19"/>
    <s v="DELEGATE AGENCY"/>
    <s v="UNKNOWN"/>
    <x v="0"/>
  </r>
  <r>
    <n v="232805"/>
    <n v="40000"/>
    <x v="4"/>
    <x v="983"/>
    <x v="19"/>
    <s v="DELEGATE AGENCY"/>
    <s v="UNKNOWN"/>
    <x v="0"/>
  </r>
  <r>
    <n v="232810"/>
    <n v="1280900"/>
    <x v="4"/>
    <x v="1228"/>
    <x v="5"/>
    <s v="WORK SERVICES / FACILITIES MAINT."/>
    <s v="BID"/>
    <x v="0"/>
  </r>
  <r>
    <n v="232875"/>
    <n v="4301387"/>
    <x v="0"/>
    <x v="297"/>
    <x v="12"/>
    <s v="DELEGATE AGENCY"/>
    <s v="UNKNOWN"/>
    <x v="0"/>
  </r>
  <r>
    <n v="233017"/>
    <n v="103592.5"/>
    <x v="0"/>
    <x v="563"/>
    <x v="8"/>
    <s v="DELEGATE AGENCY"/>
    <s v="UNKNOWN"/>
    <x v="0"/>
  </r>
  <r>
    <n v="233176"/>
    <n v="20000"/>
    <x v="1"/>
    <x v="1225"/>
    <x v="19"/>
    <s v="DELEGATE AGENCY"/>
    <s v="UNKNOWN"/>
    <x v="0"/>
  </r>
  <r>
    <n v="233182"/>
    <n v="55000"/>
    <x v="4"/>
    <x v="978"/>
    <x v="19"/>
    <s v="DELEGATE AGENCY"/>
    <s v="UNKNOWN"/>
    <x v="0"/>
  </r>
  <r>
    <n v="233183"/>
    <n v="100000"/>
    <x v="1"/>
    <x v="90"/>
    <x v="12"/>
    <s v="DELEGATE AGENCY"/>
    <s v="UNKNOWN"/>
    <x v="0"/>
  </r>
  <r>
    <n v="233186"/>
    <n v="367308"/>
    <x v="1"/>
    <x v="76"/>
    <x v="12"/>
    <s v="DELEGATE AGENCY"/>
    <s v="UNKNOWN"/>
    <x v="0"/>
  </r>
  <r>
    <n v="233193"/>
    <n v="196250"/>
    <x v="2"/>
    <x v="16"/>
    <x v="13"/>
    <s v="COMMODITIES-SMALL ORDERS"/>
    <s v="BID"/>
    <x v="0"/>
  </r>
  <r>
    <n v="233202"/>
    <n v="676169.5"/>
    <x v="1"/>
    <x v="199"/>
    <x v="12"/>
    <s v="DELEGATE AGENCY"/>
    <s v="UNKNOWN"/>
    <x v="0"/>
  </r>
  <r>
    <n v="233203"/>
    <n v="556094"/>
    <x v="2"/>
    <x v="341"/>
    <x v="12"/>
    <s v="DELEGATE AGENCY"/>
    <s v="UNKNOWN"/>
    <x v="0"/>
  </r>
  <r>
    <n v="233204"/>
    <n v="649115.19999999995"/>
    <x v="2"/>
    <x v="205"/>
    <x v="12"/>
    <s v="DELEGATE AGENCY"/>
    <s v="UNKNOWN"/>
    <x v="0"/>
  </r>
  <r>
    <n v="233205"/>
    <n v="208535"/>
    <x v="2"/>
    <x v="605"/>
    <x v="12"/>
    <s v="DELEGATE AGENCY"/>
    <s v="UNKNOWN"/>
    <x v="0"/>
  </r>
  <r>
    <n v="233239"/>
    <n v="435365.1"/>
    <x v="1"/>
    <x v="527"/>
    <x v="22"/>
    <s v="DELEGATE AGENCY"/>
    <s v="UNKNOWN"/>
    <x v="0"/>
  </r>
  <r>
    <n v="233253"/>
    <n v="217291"/>
    <x v="2"/>
    <x v="1106"/>
    <x v="17"/>
    <s v="DELEGATE AGENCY"/>
    <s v="UNKNOWN"/>
    <x v="0"/>
  </r>
  <r>
    <n v="233254"/>
    <n v="40000"/>
    <x v="1"/>
    <x v="977"/>
    <x v="19"/>
    <s v="DELEGATE AGENCY"/>
    <s v="UNKNOWN"/>
    <x v="0"/>
  </r>
  <r>
    <n v="233255"/>
    <n v="213419.5"/>
    <x v="4"/>
    <x v="1203"/>
    <x v="8"/>
    <s v="DELEGATE AGENCY"/>
    <s v="UNKNOWN"/>
    <x v="0"/>
  </r>
  <r>
    <n v="233256"/>
    <n v="373830.6"/>
    <x v="1"/>
    <x v="59"/>
    <x v="8"/>
    <s v="DELEGATE AGENCY"/>
    <s v="UNKNOWN"/>
    <x v="0"/>
  </r>
  <r>
    <n v="233262"/>
    <n v="70294.8"/>
    <x v="2"/>
    <x v="398"/>
    <x v="22"/>
    <s v="DELEGATE AGENCY"/>
    <s v="UNKNOWN"/>
    <x v="0"/>
  </r>
  <r>
    <n v="233270"/>
    <n v="333844.59999999998"/>
    <x v="1"/>
    <x v="593"/>
    <x v="12"/>
    <s v="DELEGATE AGENCY"/>
    <s v="UNKNOWN"/>
    <x v="0"/>
  </r>
  <r>
    <n v="233271"/>
    <n v="139024"/>
    <x v="2"/>
    <x v="1009"/>
    <x v="12"/>
    <s v="DELEGATE AGENCY"/>
    <s v="UNKNOWN"/>
    <x v="0"/>
  </r>
  <r>
    <n v="233272"/>
    <n v="139024"/>
    <x v="1"/>
    <x v="1009"/>
    <x v="12"/>
    <s v="DELEGATE AGENCY"/>
    <s v="UNKNOWN"/>
    <x v="0"/>
  </r>
  <r>
    <n v="233273"/>
    <n v="1874236"/>
    <x v="1"/>
    <x v="236"/>
    <x v="1"/>
    <s v="DELEGATE AGENCY"/>
    <s v="UNKNOWN"/>
    <x v="0"/>
  </r>
  <r>
    <n v="233277"/>
    <n v="55000"/>
    <x v="0"/>
    <x v="322"/>
    <x v="19"/>
    <s v="DELEGATE AGENCY"/>
    <s v="UNKNOWN"/>
    <x v="0"/>
  </r>
  <r>
    <n v="233393"/>
    <n v="36154"/>
    <x v="1"/>
    <x v="1229"/>
    <x v="11"/>
    <s v="COMMODITIES-SMALL ORDERS"/>
    <s v="BID"/>
    <x v="0"/>
  </r>
  <r>
    <n v="233417"/>
    <n v="213674.8"/>
    <x v="4"/>
    <x v="315"/>
    <x v="12"/>
    <s v="DELEGATE AGENCY"/>
    <s v="UNKNOWN"/>
    <x v="0"/>
  </r>
  <r>
    <n v="233425"/>
    <n v="695118"/>
    <x v="1"/>
    <x v="167"/>
    <x v="12"/>
    <s v="DELEGATE AGENCY"/>
    <s v="UNKNOWN"/>
    <x v="0"/>
  </r>
  <r>
    <n v="233427"/>
    <n v="2676500"/>
    <x v="2"/>
    <x v="76"/>
    <x v="12"/>
    <s v="DELEGATE AGENCY"/>
    <s v="UNKNOWN"/>
    <x v="0"/>
  </r>
  <r>
    <n v="233553"/>
    <n v="45000"/>
    <x v="0"/>
    <x v="965"/>
    <x v="19"/>
    <s v="DELEGATE AGENCY"/>
    <s v="UNKNOWN"/>
    <x v="0"/>
  </r>
  <r>
    <n v="233554"/>
    <n v="475927.6"/>
    <x v="4"/>
    <x v="396"/>
    <x v="8"/>
    <s v="DELEGATE AGENCY"/>
    <s v="UNKNOWN"/>
    <x v="0"/>
  </r>
  <r>
    <n v="233563"/>
    <n v="482248.3"/>
    <x v="2"/>
    <x v="359"/>
    <x v="12"/>
    <s v="DELEGATE AGENCY"/>
    <s v="UNKNOWN"/>
    <x v="0"/>
  </r>
  <r>
    <n v="233628"/>
    <n v="695118"/>
    <x v="2"/>
    <x v="605"/>
    <x v="12"/>
    <s v="DELEGATE AGENCY"/>
    <s v="UNKNOWN"/>
    <x v="0"/>
  </r>
  <r>
    <n v="233629"/>
    <n v="125658.5"/>
    <x v="2"/>
    <x v="621"/>
    <x v="12"/>
    <s v="DELEGATE AGENCY"/>
    <s v="UNKNOWN"/>
    <x v="0"/>
  </r>
  <r>
    <n v="233630"/>
    <n v="695118"/>
    <x v="1"/>
    <x v="605"/>
    <x v="12"/>
    <s v="DELEGATE AGENCY"/>
    <s v="UNKNOWN"/>
    <x v="0"/>
  </r>
  <r>
    <n v="233631"/>
    <n v="1181700"/>
    <x v="2"/>
    <x v="605"/>
    <x v="12"/>
    <s v="DELEGATE AGENCY"/>
    <s v="UNKNOWN"/>
    <x v="0"/>
  </r>
  <r>
    <n v="233632"/>
    <n v="973165"/>
    <x v="0"/>
    <x v="605"/>
    <x v="12"/>
    <s v="DELEGATE AGENCY"/>
    <s v="UNKNOWN"/>
    <x v="0"/>
  </r>
  <r>
    <n v="233633"/>
    <n v="139024"/>
    <x v="2"/>
    <x v="89"/>
    <x v="12"/>
    <s v="DELEGATE AGENCY"/>
    <s v="UNKNOWN"/>
    <x v="0"/>
  </r>
  <r>
    <n v="233634"/>
    <n v="118958.8"/>
    <x v="1"/>
    <x v="510"/>
    <x v="12"/>
    <s v="DELEGATE AGENCY"/>
    <s v="UNKNOWN"/>
    <x v="0"/>
  </r>
  <r>
    <n v="233635"/>
    <n v="208535"/>
    <x v="1"/>
    <x v="607"/>
    <x v="12"/>
    <s v="DELEGATE AGENCY"/>
    <s v="UNKNOWN"/>
    <x v="0"/>
  </r>
  <r>
    <n v="233636"/>
    <n v="611815.1"/>
    <x v="1"/>
    <x v="199"/>
    <x v="12"/>
    <s v="DELEGATE AGENCY"/>
    <s v="UNKNOWN"/>
    <x v="0"/>
  </r>
  <r>
    <n v="233637"/>
    <n v="240000"/>
    <x v="2"/>
    <x v="292"/>
    <x v="12"/>
    <s v="DELEGATE AGENCY"/>
    <s v="UNKNOWN"/>
    <x v="0"/>
  </r>
  <r>
    <n v="233638"/>
    <n v="3267052"/>
    <x v="1"/>
    <x v="605"/>
    <x v="12"/>
    <s v="DELEGATE AGENCY"/>
    <s v="UNKNOWN"/>
    <x v="0"/>
  </r>
  <r>
    <n v="233639"/>
    <n v="176188"/>
    <x v="0"/>
    <x v="301"/>
    <x v="12"/>
    <s v="DELEGATE AGENCY"/>
    <s v="UNKNOWN"/>
    <x v="0"/>
  </r>
  <r>
    <n v="233640"/>
    <n v="139024"/>
    <x v="1"/>
    <x v="657"/>
    <x v="12"/>
    <s v="DELEGATE AGENCY"/>
    <s v="UNKNOWN"/>
    <x v="0"/>
  </r>
  <r>
    <n v="233641"/>
    <n v="473591.3"/>
    <x v="1"/>
    <x v="296"/>
    <x v="12"/>
    <s v="DELEGATE AGENCY"/>
    <s v="UNKNOWN"/>
    <x v="0"/>
  </r>
  <r>
    <n v="233642"/>
    <n v="715712"/>
    <x v="2"/>
    <x v="296"/>
    <x v="12"/>
    <s v="DELEGATE AGENCY"/>
    <s v="UNKNOWN"/>
    <x v="0"/>
  </r>
  <r>
    <n v="233643"/>
    <n v="417071"/>
    <x v="2"/>
    <x v="445"/>
    <x v="12"/>
    <s v="DELEGATE AGENCY"/>
    <s v="UNKNOWN"/>
    <x v="0"/>
  </r>
  <r>
    <n v="233644"/>
    <n v="278047"/>
    <x v="2"/>
    <x v="446"/>
    <x v="12"/>
    <s v="DELEGATE AGENCY"/>
    <s v="UNKNOWN"/>
    <x v="0"/>
  </r>
  <r>
    <n v="233645"/>
    <n v="145242.5"/>
    <x v="2"/>
    <x v="298"/>
    <x v="12"/>
    <s v="DELEGATE AGENCY"/>
    <s v="UNKNOWN"/>
    <x v="0"/>
  </r>
  <r>
    <n v="233646"/>
    <n v="129438.7"/>
    <x v="1"/>
    <x v="449"/>
    <x v="12"/>
    <s v="DELEGATE AGENCY"/>
    <s v="UNKNOWN"/>
    <x v="0"/>
  </r>
  <r>
    <n v="233647"/>
    <n v="139024"/>
    <x v="1"/>
    <x v="577"/>
    <x v="12"/>
    <s v="DELEGATE AGENCY"/>
    <s v="UNKNOWN"/>
    <x v="0"/>
  </r>
  <r>
    <n v="233648"/>
    <n v="417071"/>
    <x v="1"/>
    <x v="444"/>
    <x v="12"/>
    <s v="DELEGATE AGENCY"/>
    <s v="UNKNOWN"/>
    <x v="0"/>
  </r>
  <r>
    <n v="233649"/>
    <n v="1737794"/>
    <x v="2"/>
    <x v="605"/>
    <x v="12"/>
    <s v="DELEGATE AGENCY"/>
    <s v="UNKNOWN"/>
    <x v="0"/>
  </r>
  <r>
    <n v="233652"/>
    <n v="115500"/>
    <x v="0"/>
    <x v="114"/>
    <x v="12"/>
    <s v="DELEGATE AGENCY"/>
    <s v="UNKNOWN"/>
    <x v="0"/>
  </r>
  <r>
    <n v="233660"/>
    <n v="771500"/>
    <x v="1"/>
    <x v="76"/>
    <x v="12"/>
    <s v="DELEGATE AGENCY"/>
    <s v="UNKNOWN"/>
    <x v="0"/>
  </r>
  <r>
    <n v="233661"/>
    <n v="180000"/>
    <x v="2"/>
    <x v="175"/>
    <x v="12"/>
    <s v="DELEGATE AGENCY"/>
    <s v="UNKNOWN"/>
    <x v="0"/>
  </r>
  <r>
    <n v="233665"/>
    <n v="8450000"/>
    <x v="1"/>
    <x v="558"/>
    <x v="12"/>
    <s v="DELEGATE AGENCY"/>
    <s v="UNKNOWN"/>
    <x v="0"/>
  </r>
  <r>
    <n v="233679"/>
    <n v="208994"/>
    <x v="0"/>
    <x v="139"/>
    <x v="22"/>
    <s v="DELEGATE AGENCY"/>
    <s v="UNKNOWN"/>
    <x v="0"/>
  </r>
  <r>
    <n v="233681"/>
    <n v="3655039.3"/>
    <x v="1"/>
    <x v="139"/>
    <x v="22"/>
    <s v="DELEGATE AGENCY"/>
    <s v="UNKNOWN"/>
    <x v="0"/>
  </r>
  <r>
    <n v="233686"/>
    <n v="835544.4"/>
    <x v="0"/>
    <x v="24"/>
    <x v="12"/>
    <s v="DELEGATE AGENCY"/>
    <s v="UNKNOWN"/>
    <x v="0"/>
  </r>
  <r>
    <n v="233692"/>
    <n v="2986200"/>
    <x v="2"/>
    <x v="36"/>
    <x v="6"/>
    <s v="COMPTROLLER-OTHER"/>
    <s v="UNKNOWN"/>
    <x v="0"/>
  </r>
  <r>
    <n v="233850"/>
    <n v="500000"/>
    <x v="0"/>
    <x v="1230"/>
    <x v="2"/>
    <s v="COMPTROLLER-OTHER"/>
    <s v="UNKNOWN"/>
    <x v="0"/>
  </r>
  <r>
    <n v="233853"/>
    <n v="189269"/>
    <x v="2"/>
    <x v="1146"/>
    <x v="25"/>
    <s v="COMPTROLLER-OTHER"/>
    <s v="UNKNOWN"/>
    <x v="0"/>
  </r>
  <r>
    <n v="233858"/>
    <n v="28000"/>
    <x v="1"/>
    <x v="897"/>
    <x v="20"/>
    <s v="COMPTROLLER-OTHER"/>
    <s v="UNKNOWN"/>
    <x v="0"/>
  </r>
  <r>
    <n v="233859"/>
    <n v="3020000000"/>
    <x v="4"/>
    <x v="950"/>
    <x v="9"/>
    <s v="COMPTROLLER-OTHER"/>
    <s v="UNKNOWN"/>
    <x v="0"/>
  </r>
  <r>
    <n v="233862"/>
    <n v="150110.5"/>
    <x v="0"/>
    <x v="139"/>
    <x v="22"/>
    <s v="DELEGATE AGENCY"/>
    <s v="UNKNOWN"/>
    <x v="0"/>
  </r>
  <r>
    <n v="234015"/>
    <n v="50000"/>
    <x v="1"/>
    <x v="228"/>
    <x v="22"/>
    <s v="DELEGATE AGENCY"/>
    <s v="UNKNOWN"/>
    <x v="0"/>
  </r>
  <r>
    <n v="234082"/>
    <n v="314907.59999999998"/>
    <x v="1"/>
    <x v="405"/>
    <x v="0"/>
    <s v="JOC"/>
    <s v="UNKNOWN"/>
    <x v="0"/>
  </r>
  <r>
    <n v="234083"/>
    <n v="23053839.899999999"/>
    <x v="2"/>
    <x v="0"/>
    <x v="0"/>
    <s v="CONSTRUCTION-LARGE $3MILLIONorABOVE"/>
    <s v="BID"/>
    <x v="0"/>
  </r>
  <r>
    <n v="234091"/>
    <n v="90764"/>
    <x v="0"/>
    <x v="603"/>
    <x v="12"/>
    <s v="DELEGATE AGENCY"/>
    <s v="UNKNOWN"/>
    <x v="0"/>
  </r>
  <r>
    <n v="234093"/>
    <n v="781561.7"/>
    <x v="1"/>
    <x v="297"/>
    <x v="12"/>
    <s v="DELEGATE AGENCY"/>
    <s v="UNKNOWN"/>
    <x v="0"/>
  </r>
  <r>
    <n v="234122"/>
    <n v="4898000"/>
    <x v="2"/>
    <x v="200"/>
    <x v="12"/>
    <s v="DELEGATE AGENCY"/>
    <s v="UNKNOWN"/>
    <x v="0"/>
  </r>
  <r>
    <n v="234137"/>
    <n v="55000"/>
    <x v="0"/>
    <x v="686"/>
    <x v="19"/>
    <s v="DELEGATE AGENCY"/>
    <s v="UNKNOWN"/>
    <x v="0"/>
  </r>
  <r>
    <n v="234140"/>
    <n v="250000000"/>
    <x v="1"/>
    <x v="1231"/>
    <x v="6"/>
    <s v="PRO SERV-AVIATION"/>
    <s v="RFP"/>
    <x v="0"/>
  </r>
  <r>
    <n v="234165"/>
    <n v="20000"/>
    <x v="0"/>
    <x v="392"/>
    <x v="19"/>
    <s v="DELEGATE AGENCY"/>
    <s v="UNKNOWN"/>
    <x v="0"/>
  </r>
  <r>
    <n v="234166"/>
    <n v="431470"/>
    <x v="4"/>
    <x v="1232"/>
    <x v="12"/>
    <s v="DELEGATE AGENCY"/>
    <s v="UNKNOWN"/>
    <x v="0"/>
  </r>
  <r>
    <n v="234167"/>
    <n v="308000"/>
    <x v="2"/>
    <x v="127"/>
    <x v="12"/>
    <s v="DELEGATE AGENCY"/>
    <s v="UNKNOWN"/>
    <x v="0"/>
  </r>
  <r>
    <n v="234169"/>
    <n v="427904"/>
    <x v="2"/>
    <x v="76"/>
    <x v="12"/>
    <s v="DELEGATE AGENCY"/>
    <s v="UNKNOWN"/>
    <x v="0"/>
  </r>
  <r>
    <n v="234170"/>
    <n v="460800"/>
    <x v="2"/>
    <x v="228"/>
    <x v="12"/>
    <s v="DELEGATE AGENCY"/>
    <s v="UNKNOWN"/>
    <x v="0"/>
  </r>
  <r>
    <n v="234171"/>
    <n v="4846000"/>
    <x v="2"/>
    <x v="362"/>
    <x v="12"/>
    <s v="DELEGATE AGENCY"/>
    <s v="UNKNOWN"/>
    <x v="0"/>
  </r>
  <r>
    <n v="234237"/>
    <n v="2887060"/>
    <x v="0"/>
    <x v="953"/>
    <x v="6"/>
    <s v="COMPTROLLER-OTHER"/>
    <s v="UNKNOWN"/>
    <x v="0"/>
  </r>
  <r>
    <n v="234263"/>
    <n v="40000"/>
    <x v="0"/>
    <x v="392"/>
    <x v="19"/>
    <s v="DELEGATE AGENCY"/>
    <s v="UNKNOWN"/>
    <x v="0"/>
  </r>
  <r>
    <n v="234274"/>
    <n v="25000"/>
    <x v="4"/>
    <x v="204"/>
    <x v="19"/>
    <s v="DELEGATE AGENCY"/>
    <s v="UNKNOWN"/>
    <x v="0"/>
  </r>
  <r>
    <n v="234275"/>
    <n v="50000"/>
    <x v="4"/>
    <x v="221"/>
    <x v="16"/>
    <s v="DELEGATE AGENCY"/>
    <s v="UNKNOWN"/>
    <x v="0"/>
  </r>
  <r>
    <n v="234276"/>
    <n v="105000"/>
    <x v="1"/>
    <x v="1233"/>
    <x v="8"/>
    <s v="COMPTROLLER-OTHER"/>
    <s v="UNKNOWN"/>
    <x v="0"/>
  </r>
  <r>
    <n v="234374"/>
    <n v="450000"/>
    <x v="1"/>
    <x v="1234"/>
    <x v="20"/>
    <s v="COMPTROLLER-OTHER"/>
    <s v="UNKNOWN"/>
    <x v="0"/>
  </r>
  <r>
    <n v="234377"/>
    <n v="50000"/>
    <x v="2"/>
    <x v="803"/>
    <x v="20"/>
    <s v="COMPTROLLER-OTHER"/>
    <s v="UNKNOWN"/>
    <x v="0"/>
  </r>
  <r>
    <n v="234379"/>
    <n v="25000"/>
    <x v="1"/>
    <x v="1235"/>
    <x v="20"/>
    <s v="COMPTROLLER-OTHER"/>
    <s v="UNKNOWN"/>
    <x v="0"/>
  </r>
  <r>
    <n v="234385"/>
    <n v="123345"/>
    <x v="4"/>
    <x v="1236"/>
    <x v="2"/>
    <s v="COMPTROLLER-OTHER"/>
    <s v="UNKNOWN"/>
    <x v="0"/>
  </r>
  <r>
    <n v="234386"/>
    <n v="250000"/>
    <x v="1"/>
    <x v="1237"/>
    <x v="2"/>
    <s v="COMPTROLLER-OTHER"/>
    <s v="UNKNOWN"/>
    <x v="0"/>
  </r>
  <r>
    <n v="234388"/>
    <n v="250000"/>
    <x v="2"/>
    <x v="1238"/>
    <x v="2"/>
    <s v="COMPTROLLER-OTHER"/>
    <s v="UNKNOWN"/>
    <x v="0"/>
  </r>
  <r>
    <n v="234398"/>
    <n v="45000"/>
    <x v="2"/>
    <x v="1239"/>
    <x v="20"/>
    <s v="COMPTROLLER-OTHER"/>
    <s v="UNKNOWN"/>
    <x v="0"/>
  </r>
  <r>
    <n v="234400"/>
    <n v="100000"/>
    <x v="4"/>
    <x v="1240"/>
    <x v="20"/>
    <s v="COMPTROLLER-OTHER"/>
    <s v="UNKNOWN"/>
    <x v="0"/>
  </r>
  <r>
    <n v="234418"/>
    <n v="280599"/>
    <x v="1"/>
    <x v="23"/>
    <x v="1"/>
    <s v="DELEGATE AGENCY"/>
    <s v="UNKNOWN"/>
    <x v="0"/>
  </r>
  <r>
    <n v="234446"/>
    <n v="864903.6"/>
    <x v="2"/>
    <x v="201"/>
    <x v="8"/>
    <s v="DELEGATE AGENCY"/>
    <s v="UNKNOWN"/>
    <x v="0"/>
  </r>
  <r>
    <n v="234516"/>
    <n v="25000"/>
    <x v="2"/>
    <x v="1241"/>
    <x v="20"/>
    <s v="COMPTROLLER-OTHER"/>
    <s v="UNKNOWN"/>
    <x v="0"/>
  </r>
  <r>
    <n v="234604"/>
    <n v="16960"/>
    <x v="4"/>
    <x v="921"/>
    <x v="16"/>
    <s v="DELEGATE AGENCY"/>
    <s v="UNKNOWN"/>
    <x v="0"/>
  </r>
  <r>
    <n v="234607"/>
    <n v="100000"/>
    <x v="4"/>
    <x v="330"/>
    <x v="20"/>
    <s v="COMPTROLLER-OTHER"/>
    <s v="UNKNOWN"/>
    <x v="0"/>
  </r>
  <r>
    <n v="234608"/>
    <n v="30000"/>
    <x v="1"/>
    <x v="1242"/>
    <x v="20"/>
    <s v="COMPTROLLER-OTHER"/>
    <s v="UNKNOWN"/>
    <x v="0"/>
  </r>
  <r>
    <n v="234610"/>
    <n v="45000"/>
    <x v="4"/>
    <x v="354"/>
    <x v="20"/>
    <s v="COMPTROLLER-OTHER"/>
    <s v="UNKNOWN"/>
    <x v="0"/>
  </r>
  <r>
    <n v="234613"/>
    <n v="40000"/>
    <x v="4"/>
    <x v="220"/>
    <x v="20"/>
    <s v="COMPTROLLER-OTHER"/>
    <s v="UNKNOWN"/>
    <x v="0"/>
  </r>
  <r>
    <n v="234614"/>
    <n v="45000"/>
    <x v="4"/>
    <x v="1243"/>
    <x v="20"/>
    <s v="COMPTROLLER-OTHER"/>
    <s v="UNKNOWN"/>
    <x v="0"/>
  </r>
  <r>
    <n v="234658"/>
    <n v="25000"/>
    <x v="4"/>
    <x v="204"/>
    <x v="19"/>
    <s v="DELEGATE AGENCY"/>
    <s v="UNKNOWN"/>
    <x v="0"/>
  </r>
  <r>
    <n v="234659"/>
    <n v="25000"/>
    <x v="4"/>
    <x v="204"/>
    <x v="19"/>
    <s v="DELEGATE AGENCY"/>
    <s v="UNKNOWN"/>
    <x v="0"/>
  </r>
  <r>
    <n v="234677"/>
    <n v="30000000"/>
    <x v="4"/>
    <x v="865"/>
    <x v="12"/>
    <s v="PRO SERV CONSULTING $250,000orABOVE"/>
    <s v="JOINT PURCHASE"/>
    <x v="0"/>
  </r>
  <r>
    <n v="234698"/>
    <n v="1833651"/>
    <x v="0"/>
    <x v="156"/>
    <x v="1"/>
    <s v="DELEGATE AGENCY"/>
    <s v="UNKNOWN"/>
    <x v="0"/>
  </r>
  <r>
    <n v="234731"/>
    <n v="250000"/>
    <x v="0"/>
    <x v="1244"/>
    <x v="2"/>
    <s v="COMPTROLLER-OTHER"/>
    <s v="UNKNOWN"/>
    <x v="0"/>
  </r>
  <r>
    <n v="234732"/>
    <n v="98489"/>
    <x v="2"/>
    <x v="1245"/>
    <x v="2"/>
    <s v="COMPTROLLER-OTHER"/>
    <s v="UNKNOWN"/>
    <x v="0"/>
  </r>
  <r>
    <n v="234868"/>
    <n v="99500"/>
    <x v="1"/>
    <x v="1109"/>
    <x v="22"/>
    <s v="DELEGATE AGENCY"/>
    <s v="UNKNOWN"/>
    <x v="0"/>
  </r>
  <r>
    <n v="234962"/>
    <n v="30000"/>
    <x v="1"/>
    <x v="473"/>
    <x v="19"/>
    <s v="DELEGATE AGENCY"/>
    <s v="UNKNOWN"/>
    <x v="0"/>
  </r>
  <r>
    <n v="234963"/>
    <n v="40000"/>
    <x v="4"/>
    <x v="966"/>
    <x v="19"/>
    <s v="DELEGATE AGENCY"/>
    <s v="UNKNOWN"/>
    <x v="0"/>
  </r>
  <r>
    <n v="234964"/>
    <n v="41077"/>
    <x v="4"/>
    <x v="66"/>
    <x v="8"/>
    <s v="DELEGATE AGENCY"/>
    <s v="UNKNOWN"/>
    <x v="0"/>
  </r>
  <r>
    <n v="234977"/>
    <n v="45000"/>
    <x v="4"/>
    <x v="1246"/>
    <x v="20"/>
    <s v="COMPTROLLER-OTHER"/>
    <s v="UNKNOWN"/>
    <x v="0"/>
  </r>
  <r>
    <n v="234978"/>
    <n v="36892"/>
    <x v="4"/>
    <x v="1247"/>
    <x v="20"/>
    <s v="COMPTROLLER-OTHER"/>
    <s v="UNKNOWN"/>
    <x v="0"/>
  </r>
  <r>
    <n v="234979"/>
    <n v="2500"/>
    <x v="4"/>
    <x v="1248"/>
    <x v="20"/>
    <s v="COMPTROLLER-OTHER"/>
    <s v="UNKNOWN"/>
    <x v="0"/>
  </r>
  <r>
    <n v="234981"/>
    <n v="576609.30000000005"/>
    <x v="3"/>
    <x v="391"/>
    <x v="8"/>
    <s v="DELEGATE AGENCY"/>
    <s v="UNKNOWN"/>
    <x v="0"/>
  </r>
  <r>
    <n v="234987"/>
    <n v="395803.6"/>
    <x v="2"/>
    <x v="260"/>
    <x v="8"/>
    <s v="DELEGATE AGENCY"/>
    <s v="UNKNOWN"/>
    <x v="0"/>
  </r>
  <r>
    <n v="234997"/>
    <n v="600000"/>
    <x v="2"/>
    <x v="25"/>
    <x v="8"/>
    <s v="DELEGATE AGENCY"/>
    <s v="RFP"/>
    <x v="0"/>
  </r>
  <r>
    <n v="235030"/>
    <n v="24120"/>
    <x v="2"/>
    <x v="531"/>
    <x v="12"/>
    <s v="DELEGATE AGENCY"/>
    <s v="UNKNOWN"/>
    <x v="0"/>
  </r>
  <r>
    <n v="235034"/>
    <n v="88458.3"/>
    <x v="4"/>
    <x v="485"/>
    <x v="12"/>
    <s v="DELEGATE AGENCY"/>
    <s v="UNKNOWN"/>
    <x v="0"/>
  </r>
  <r>
    <n v="235118"/>
    <n v="50000"/>
    <x v="1"/>
    <x v="204"/>
    <x v="16"/>
    <s v="DELEGATE AGENCY"/>
    <s v="UNKNOWN"/>
    <x v="0"/>
  </r>
  <r>
    <n v="235128"/>
    <n v="64110"/>
    <x v="1"/>
    <x v="1137"/>
    <x v="12"/>
    <s v="DELEGATE AGENCY"/>
    <s v="UNKNOWN"/>
    <x v="0"/>
  </r>
  <r>
    <n v="235130"/>
    <n v="143059"/>
    <x v="1"/>
    <x v="1137"/>
    <x v="12"/>
    <s v="DELEGATE AGENCY"/>
    <s v="UNKNOWN"/>
    <x v="0"/>
  </r>
  <r>
    <n v="235142"/>
    <n v="5998"/>
    <x v="1"/>
    <x v="296"/>
    <x v="12"/>
    <s v="DELEGATE AGENCY"/>
    <s v="UNKNOWN"/>
    <x v="0"/>
  </r>
  <r>
    <n v="235160"/>
    <n v="36000"/>
    <x v="3"/>
    <x v="91"/>
    <x v="12"/>
    <s v="DELEGATE AGENCY"/>
    <s v="UNKNOWN"/>
    <x v="0"/>
  </r>
  <r>
    <n v="235231"/>
    <n v="278047"/>
    <x v="4"/>
    <x v="367"/>
    <x v="12"/>
    <s v="DELEGATE AGENCY"/>
    <s v="UNKNOWN"/>
    <x v="0"/>
  </r>
  <r>
    <n v="235232"/>
    <n v="5166"/>
    <x v="2"/>
    <x v="581"/>
    <x v="12"/>
    <s v="DELEGATE AGENCY"/>
    <s v="UNKNOWN"/>
    <x v="0"/>
  </r>
  <r>
    <n v="235234"/>
    <n v="41216"/>
    <x v="3"/>
    <x v="588"/>
    <x v="12"/>
    <s v="DELEGATE AGENCY"/>
    <s v="UNKNOWN"/>
    <x v="0"/>
  </r>
  <r>
    <n v="235236"/>
    <n v="41216"/>
    <x v="4"/>
    <x v="588"/>
    <x v="12"/>
    <s v="DELEGATE AGENCY"/>
    <s v="UNKNOWN"/>
    <x v="0"/>
  </r>
  <r>
    <n v="235254"/>
    <n v="370260"/>
    <x v="4"/>
    <x v="1249"/>
    <x v="8"/>
    <s v="COMPTROLLER-OTHER"/>
    <s v="UNKNOWN"/>
    <x v="0"/>
  </r>
  <r>
    <n v="235404"/>
    <n v="171921.8"/>
    <x v="2"/>
    <x v="114"/>
    <x v="12"/>
    <s v="DELEGATE AGENCY"/>
    <s v="UNKNOWN"/>
    <x v="0"/>
  </r>
  <r>
    <n v="235425"/>
    <n v="190996.2"/>
    <x v="1"/>
    <x v="175"/>
    <x v="8"/>
    <s v="DELEGATE AGENCY"/>
    <s v="UNKNOWN"/>
    <x v="0"/>
  </r>
  <r>
    <n v="235426"/>
    <n v="430807.9"/>
    <x v="1"/>
    <x v="436"/>
    <x v="8"/>
    <s v="DELEGATE AGENCY"/>
    <s v="UNKNOWN"/>
    <x v="0"/>
  </r>
  <r>
    <n v="235427"/>
    <n v="719615.4"/>
    <x v="2"/>
    <x v="437"/>
    <x v="8"/>
    <s v="DELEGATE AGENCY"/>
    <s v="UNKNOWN"/>
    <x v="0"/>
  </r>
  <r>
    <n v="235438"/>
    <n v="40000"/>
    <x v="2"/>
    <x v="967"/>
    <x v="19"/>
    <s v="DELEGATE AGENCY"/>
    <s v="UNKNOWN"/>
    <x v="0"/>
  </r>
  <r>
    <n v="235468"/>
    <n v="6000"/>
    <x v="4"/>
    <x v="211"/>
    <x v="12"/>
    <s v="DELEGATE AGENCY"/>
    <s v="UNKNOWN"/>
    <x v="0"/>
  </r>
  <r>
    <n v="235499"/>
    <n v="129352.2"/>
    <x v="3"/>
    <x v="584"/>
    <x v="12"/>
    <s v="DELEGATE AGENCY"/>
    <s v="UNKNOWN"/>
    <x v="0"/>
  </r>
  <r>
    <n v="235500"/>
    <n v="18000"/>
    <x v="1"/>
    <x v="933"/>
    <x v="16"/>
    <s v="DELEGATE AGENCY"/>
    <s v="UNKNOWN"/>
    <x v="0"/>
  </r>
  <r>
    <n v="235501"/>
    <n v="165806.79999999999"/>
    <x v="4"/>
    <x v="583"/>
    <x v="12"/>
    <s v="DELEGATE AGENCY"/>
    <s v="UNKNOWN"/>
    <x v="0"/>
  </r>
  <r>
    <n v="235524"/>
    <n v="7791624"/>
    <x v="1"/>
    <x v="1250"/>
    <x v="5"/>
    <s v="WORK SERVICES / FACILITIES MAINT."/>
    <s v="BID"/>
    <x v="0"/>
  </r>
  <r>
    <n v="235531"/>
    <n v="88854.1"/>
    <x v="0"/>
    <x v="204"/>
    <x v="12"/>
    <s v="DELEGATE AGENCY"/>
    <s v="UNKNOWN"/>
    <x v="0"/>
  </r>
  <r>
    <n v="235550"/>
    <n v="248070.3"/>
    <x v="1"/>
    <x v="583"/>
    <x v="12"/>
    <s v="DELEGATE AGENCY"/>
    <s v="UNKNOWN"/>
    <x v="0"/>
  </r>
  <r>
    <n v="235554"/>
    <n v="120790.39999999999"/>
    <x v="1"/>
    <x v="879"/>
    <x v="12"/>
    <s v="DELEGATE AGENCY"/>
    <s v="UNKNOWN"/>
    <x v="0"/>
  </r>
  <r>
    <n v="235558"/>
    <n v="36000"/>
    <x v="1"/>
    <x v="72"/>
    <x v="12"/>
    <s v="DELEGATE AGENCY"/>
    <s v="UNKNOWN"/>
    <x v="0"/>
  </r>
  <r>
    <n v="235559"/>
    <n v="99832.8"/>
    <x v="4"/>
    <x v="879"/>
    <x v="12"/>
    <s v="DELEGATE AGENCY"/>
    <s v="UNKNOWN"/>
    <x v="0"/>
  </r>
  <r>
    <n v="235560"/>
    <n v="86350.399999999994"/>
    <x v="1"/>
    <x v="127"/>
    <x v="12"/>
    <s v="DELEGATE AGENCY"/>
    <s v="UNKNOWN"/>
    <x v="0"/>
  </r>
  <r>
    <n v="235562"/>
    <n v="237389.6"/>
    <x v="1"/>
    <x v="1155"/>
    <x v="2"/>
    <s v="DELEGATE AGENCY"/>
    <s v="UNKNOWN"/>
    <x v="0"/>
  </r>
  <r>
    <n v="235646"/>
    <n v="139024"/>
    <x v="1"/>
    <x v="27"/>
    <x v="12"/>
    <s v="DELEGATE AGENCY"/>
    <s v="UNKNOWN"/>
    <x v="0"/>
  </r>
  <r>
    <n v="235671"/>
    <n v="12256480"/>
    <x v="1"/>
    <x v="1251"/>
    <x v="3"/>
    <s v="WORK SERVICES / FACILITIES MAINT."/>
    <s v="BID"/>
    <x v="0"/>
  </r>
  <r>
    <n v="235714"/>
    <n v="36000"/>
    <x v="0"/>
    <x v="363"/>
    <x v="12"/>
    <s v="DELEGATE AGENCY"/>
    <s v="UNKNOWN"/>
    <x v="0"/>
  </r>
  <r>
    <n v="235716"/>
    <n v="54000"/>
    <x v="4"/>
    <x v="995"/>
    <x v="12"/>
    <s v="DELEGATE AGENCY"/>
    <s v="UNKNOWN"/>
    <x v="0"/>
  </r>
  <r>
    <n v="235726"/>
    <n v="6000"/>
    <x v="1"/>
    <x v="84"/>
    <x v="12"/>
    <s v="DELEGATE AGENCY"/>
    <s v="UNKNOWN"/>
    <x v="0"/>
  </r>
  <r>
    <n v="235727"/>
    <n v="6000"/>
    <x v="3"/>
    <x v="84"/>
    <x v="12"/>
    <s v="DELEGATE AGENCY"/>
    <s v="UNKNOWN"/>
    <x v="0"/>
  </r>
  <r>
    <n v="235730"/>
    <n v="239310.6"/>
    <x v="3"/>
    <x v="1252"/>
    <x v="15"/>
    <s v="COMMODITIES"/>
    <s v="CONTRACT ASSIGNMENT/TRANS"/>
    <x v="0"/>
  </r>
  <r>
    <n v="236043"/>
    <n v="18000"/>
    <x v="1"/>
    <x v="169"/>
    <x v="8"/>
    <s v="DELEGATE AGENCY"/>
    <s v="RFP"/>
    <x v="0"/>
  </r>
  <r>
    <n v="236047"/>
    <n v="45000"/>
    <x v="4"/>
    <x v="201"/>
    <x v="8"/>
    <s v="DELEGATE AGENCY"/>
    <s v="RFP"/>
    <x v="0"/>
  </r>
  <r>
    <n v="236095"/>
    <n v="30000"/>
    <x v="4"/>
    <x v="216"/>
    <x v="22"/>
    <s v="DELEGATE AGENCY"/>
    <s v="UNKNOWN"/>
    <x v="0"/>
  </r>
  <r>
    <n v="236097"/>
    <n v="14854"/>
    <x v="4"/>
    <x v="243"/>
    <x v="12"/>
    <s v="DELEGATE AGENCY"/>
    <s v="UNKNOWN"/>
    <x v="0"/>
  </r>
  <r>
    <n v="236098"/>
    <n v="6000"/>
    <x v="4"/>
    <x v="293"/>
    <x v="12"/>
    <s v="DELEGATE AGENCY"/>
    <s v="UNKNOWN"/>
    <x v="0"/>
  </r>
  <r>
    <n v="236099"/>
    <n v="6000"/>
    <x v="3"/>
    <x v="296"/>
    <x v="12"/>
    <s v="DELEGATE AGENCY"/>
    <s v="UNKNOWN"/>
    <x v="0"/>
  </r>
  <r>
    <n v="236102"/>
    <n v="194959.3"/>
    <x v="3"/>
    <x v="243"/>
    <x v="12"/>
    <s v="DELEGATE AGENCY"/>
    <s v="UNKNOWN"/>
    <x v="0"/>
  </r>
  <r>
    <n v="236130"/>
    <n v="109835"/>
    <x v="1"/>
    <x v="211"/>
    <x v="1"/>
    <s v="DELEGATE AGENCY"/>
    <s v="UNKNOWN"/>
    <x v="0"/>
  </r>
  <r>
    <n v="236134"/>
    <n v="139024"/>
    <x v="1"/>
    <x v="614"/>
    <x v="12"/>
    <s v="DELEGATE AGENCY"/>
    <s v="UNKNOWN"/>
    <x v="0"/>
  </r>
  <r>
    <n v="236213"/>
    <n v="6000"/>
    <x v="1"/>
    <x v="1253"/>
    <x v="20"/>
    <s v="COMPTROLLER-OTHER"/>
    <s v="UNKNOWN"/>
    <x v="0"/>
  </r>
  <r>
    <n v="236214"/>
    <n v="6000"/>
    <x v="3"/>
    <x v="1254"/>
    <x v="20"/>
    <s v="COMPTROLLER-OTHER"/>
    <s v="UNKNOWN"/>
    <x v="0"/>
  </r>
  <r>
    <n v="236215"/>
    <n v="248669.9"/>
    <x v="3"/>
    <x v="572"/>
    <x v="12"/>
    <s v="DELEGATE AGENCY"/>
    <s v="UNKNOWN"/>
    <x v="0"/>
  </r>
  <r>
    <n v="236217"/>
    <n v="136834.79999999999"/>
    <x v="1"/>
    <x v="391"/>
    <x v="12"/>
    <s v="DELEGATE AGENCY"/>
    <s v="UNKNOWN"/>
    <x v="0"/>
  </r>
  <r>
    <n v="236219"/>
    <n v="183907.8"/>
    <x v="1"/>
    <x v="201"/>
    <x v="12"/>
    <s v="DELEGATE AGENCY"/>
    <s v="UNKNOWN"/>
    <x v="0"/>
  </r>
  <r>
    <n v="236222"/>
    <n v="113012.1"/>
    <x v="1"/>
    <x v="607"/>
    <x v="12"/>
    <s v="DELEGATE AGENCY"/>
    <s v="UNKNOWN"/>
    <x v="0"/>
  </r>
  <r>
    <n v="236233"/>
    <n v="105322.5"/>
    <x v="1"/>
    <x v="205"/>
    <x v="12"/>
    <s v="DELEGATE AGENCY"/>
    <s v="UNKNOWN"/>
    <x v="0"/>
  </r>
  <r>
    <n v="236271"/>
    <n v="13228376.199999999"/>
    <x v="1"/>
    <x v="1255"/>
    <x v="5"/>
    <s v="WORK SERVICES / FACILITIES MAINT."/>
    <s v="BID"/>
    <x v="0"/>
  </r>
  <r>
    <n v="236274"/>
    <n v="3645354.6"/>
    <x v="0"/>
    <x v="1256"/>
    <x v="5"/>
    <s v="CONSTRUCTION-LARGE $3MILLIONorABOVE"/>
    <s v="BID"/>
    <x v="1"/>
  </r>
  <r>
    <n v="236275"/>
    <n v="5115129.2"/>
    <x v="0"/>
    <x v="1255"/>
    <x v="5"/>
    <s v="CONSTRUCTION-LARGE $3MILLIONorABOVE"/>
    <s v="BID"/>
    <x v="0"/>
  </r>
  <r>
    <n v="236276"/>
    <n v="4310378.0999999996"/>
    <x v="0"/>
    <x v="1256"/>
    <x v="5"/>
    <s v="CONSTRUCTION-LARGE $3MILLIONorABOVE"/>
    <s v="BID"/>
    <x v="0"/>
  </r>
  <r>
    <n v="236279"/>
    <n v="112500"/>
    <x v="0"/>
    <x v="1257"/>
    <x v="9"/>
    <s v="COMPTROLLER-OTHER"/>
    <s v="UNKNOWN"/>
    <x v="0"/>
  </r>
  <r>
    <n v="236282"/>
    <n v="4550"/>
    <x v="1"/>
    <x v="1258"/>
    <x v="25"/>
    <s v="COMPTROLLER-OTHER"/>
    <s v="UNKNOWN"/>
    <x v="0"/>
  </r>
  <r>
    <n v="236285"/>
    <n v="8271894"/>
    <x v="3"/>
    <x v="145"/>
    <x v="8"/>
    <s v="COMPTROLLER-OTHER"/>
    <s v="UNKNOWN"/>
    <x v="0"/>
  </r>
  <r>
    <n v="236288"/>
    <n v="1825725.2"/>
    <x v="0"/>
    <x v="1034"/>
    <x v="6"/>
    <s v="COMPTROLLER-OTHER"/>
    <s v="UNKNOWN"/>
    <x v="0"/>
  </r>
  <r>
    <n v="236289"/>
    <n v="16500000"/>
    <x v="0"/>
    <x v="594"/>
    <x v="6"/>
    <s v="COMPTROLLER-OTHER"/>
    <s v="UNKNOWN"/>
    <x v="0"/>
  </r>
  <r>
    <n v="236290"/>
    <n v="336313.1"/>
    <x v="0"/>
    <x v="1065"/>
    <x v="12"/>
    <s v="DELEGATE AGENCY"/>
    <s v="UNKNOWN"/>
    <x v="0"/>
  </r>
  <r>
    <n v="236291"/>
    <n v="275009"/>
    <x v="2"/>
    <x v="199"/>
    <x v="12"/>
    <s v="DELEGATE AGENCY"/>
    <s v="UNKNOWN"/>
    <x v="0"/>
  </r>
  <r>
    <n v="236293"/>
    <n v="69903.8"/>
    <x v="2"/>
    <x v="78"/>
    <x v="12"/>
    <s v="DELEGATE AGENCY"/>
    <s v="UNKNOWN"/>
    <x v="0"/>
  </r>
  <r>
    <n v="236294"/>
    <n v="547215.80000000005"/>
    <x v="1"/>
    <x v="1065"/>
    <x v="12"/>
    <s v="DELEGATE AGENCY"/>
    <s v="UNKNOWN"/>
    <x v="0"/>
  </r>
  <r>
    <n v="236296"/>
    <n v="141166.20000000001"/>
    <x v="2"/>
    <x v="441"/>
    <x v="12"/>
    <s v="DELEGATE AGENCY"/>
    <s v="UNKNOWN"/>
    <x v="0"/>
  </r>
  <r>
    <n v="236299"/>
    <n v="206576.1"/>
    <x v="1"/>
    <x v="605"/>
    <x v="12"/>
    <s v="DELEGATE AGENCY"/>
    <s v="UNKNOWN"/>
    <x v="0"/>
  </r>
  <r>
    <n v="236310"/>
    <n v="275125.09999999998"/>
    <x v="1"/>
    <x v="199"/>
    <x v="12"/>
    <s v="DELEGATE AGENCY"/>
    <s v="UNKNOWN"/>
    <x v="0"/>
  </r>
  <r>
    <n v="236311"/>
    <n v="633099"/>
    <x v="2"/>
    <x v="84"/>
    <x v="8"/>
    <s v="DELEGATE AGENCY"/>
    <s v="RFP"/>
    <x v="0"/>
  </r>
  <r>
    <n v="236312"/>
    <n v="107606.9"/>
    <x v="2"/>
    <x v="127"/>
    <x v="12"/>
    <s v="DELEGATE AGENCY"/>
    <s v="UNKNOWN"/>
    <x v="0"/>
  </r>
  <r>
    <n v="236323"/>
    <n v="89987"/>
    <x v="1"/>
    <x v="228"/>
    <x v="22"/>
    <s v="DELEGATE AGENCY"/>
    <s v="UNKNOWN"/>
    <x v="0"/>
  </r>
  <r>
    <n v="236342"/>
    <n v="110000"/>
    <x v="1"/>
    <x v="1259"/>
    <x v="20"/>
    <s v="COMPTROLLER-OTHER"/>
    <s v="UNKNOWN"/>
    <x v="0"/>
  </r>
  <r>
    <n v="236343"/>
    <n v="50000"/>
    <x v="1"/>
    <x v="1260"/>
    <x v="20"/>
    <s v="COMPTROLLER-OTHER"/>
    <s v="UNKNOWN"/>
    <x v="0"/>
  </r>
  <r>
    <n v="236344"/>
    <n v="225000"/>
    <x v="1"/>
    <x v="1261"/>
    <x v="20"/>
    <s v="COMPTROLLER-OTHER"/>
    <s v="UNKNOWN"/>
    <x v="0"/>
  </r>
  <r>
    <n v="236345"/>
    <n v="243920"/>
    <x v="1"/>
    <x v="1262"/>
    <x v="2"/>
    <s v="COMPTROLLER-OTHER"/>
    <s v="UNKNOWN"/>
    <x v="0"/>
  </r>
  <r>
    <n v="236346"/>
    <n v="102834"/>
    <x v="1"/>
    <x v="1065"/>
    <x v="12"/>
    <s v="DELEGATE AGENCY"/>
    <s v="UNKNOWN"/>
    <x v="0"/>
  </r>
  <r>
    <n v="236348"/>
    <n v="36000"/>
    <x v="1"/>
    <x v="681"/>
    <x v="12"/>
    <s v="DELEGATE AGENCY"/>
    <s v="UNKNOWN"/>
    <x v="0"/>
  </r>
  <r>
    <n v="236349"/>
    <n v="6000"/>
    <x v="4"/>
    <x v="301"/>
    <x v="12"/>
    <s v="DELEGATE AGENCY"/>
    <s v="UNKNOWN"/>
    <x v="0"/>
  </r>
  <r>
    <n v="236351"/>
    <n v="6000"/>
    <x v="3"/>
    <x v="301"/>
    <x v="12"/>
    <s v="DELEGATE AGENCY"/>
    <s v="UNKNOWN"/>
    <x v="0"/>
  </r>
  <r>
    <n v="236352"/>
    <n v="26280"/>
    <x v="3"/>
    <x v="304"/>
    <x v="12"/>
    <s v="DELEGATE AGENCY"/>
    <s v="UNKNOWN"/>
    <x v="0"/>
  </r>
  <r>
    <n v="236353"/>
    <n v="193317.4"/>
    <x v="4"/>
    <x v="1152"/>
    <x v="12"/>
    <s v="DELEGATE AGENCY"/>
    <s v="UNKNOWN"/>
    <x v="0"/>
  </r>
  <r>
    <n v="236354"/>
    <n v="169329.3"/>
    <x v="1"/>
    <x v="114"/>
    <x v="12"/>
    <s v="DELEGATE AGENCY"/>
    <s v="UNKNOWN"/>
    <x v="0"/>
  </r>
  <r>
    <n v="236355"/>
    <n v="149272.70000000001"/>
    <x v="1"/>
    <x v="114"/>
    <x v="12"/>
    <s v="DELEGATE AGENCY"/>
    <s v="UNKNOWN"/>
    <x v="0"/>
  </r>
  <r>
    <n v="236356"/>
    <n v="141318.39999999999"/>
    <x v="1"/>
    <x v="605"/>
    <x v="12"/>
    <s v="DELEGATE AGENCY"/>
    <s v="UNKNOWN"/>
    <x v="0"/>
  </r>
  <r>
    <n v="236357"/>
    <n v="148024.70000000001"/>
    <x v="1"/>
    <x v="605"/>
    <x v="12"/>
    <s v="DELEGATE AGENCY"/>
    <s v="UNKNOWN"/>
    <x v="0"/>
  </r>
  <r>
    <n v="236364"/>
    <n v="6000"/>
    <x v="1"/>
    <x v="1263"/>
    <x v="20"/>
    <s v="COMPTROLLER-OTHER"/>
    <s v="UNKNOWN"/>
    <x v="0"/>
  </r>
  <r>
    <n v="236378"/>
    <n v="1483511"/>
    <x v="3"/>
    <x v="391"/>
    <x v="8"/>
    <s v="DELEGATE AGENCY"/>
    <s v="RFP"/>
    <x v="0"/>
  </r>
  <r>
    <n v="236380"/>
    <n v="1074329"/>
    <x v="0"/>
    <x v="436"/>
    <x v="8"/>
    <s v="DELEGATE AGENCY"/>
    <s v="RFP"/>
    <x v="0"/>
  </r>
  <r>
    <n v="236381"/>
    <n v="1398166"/>
    <x v="0"/>
    <x v="437"/>
    <x v="8"/>
    <s v="DELEGATE AGENCY"/>
    <s v="RFP"/>
    <x v="0"/>
  </r>
  <r>
    <n v="236383"/>
    <n v="1398166"/>
    <x v="0"/>
    <x v="201"/>
    <x v="8"/>
    <s v="DELEGATE AGENCY"/>
    <s v="RFP"/>
    <x v="0"/>
  </r>
  <r>
    <n v="236546"/>
    <n v="8449025"/>
    <x v="0"/>
    <x v="20"/>
    <x v="0"/>
    <s v="CONSTRUCTION-GENERAL"/>
    <s v="BID"/>
    <x v="0"/>
  </r>
  <r>
    <n v="236555"/>
    <n v="5500000"/>
    <x v="0"/>
    <x v="1125"/>
    <x v="20"/>
    <s v="DELEGATE AGENCY"/>
    <s v="RFP"/>
    <x v="0"/>
  </r>
  <r>
    <n v="236573"/>
    <n v="6000"/>
    <x v="0"/>
    <x v="293"/>
    <x v="12"/>
    <s v="DELEGATE AGENCY"/>
    <s v="UNKNOWN"/>
    <x v="0"/>
  </r>
  <r>
    <n v="236581"/>
    <n v="15409.8"/>
    <x v="3"/>
    <x v="444"/>
    <x v="12"/>
    <s v="DELEGATE AGENCY"/>
    <s v="UNKNOWN"/>
    <x v="0"/>
  </r>
  <r>
    <n v="236583"/>
    <n v="48023.4"/>
    <x v="4"/>
    <x v="169"/>
    <x v="12"/>
    <s v="DELEGATE AGENCY"/>
    <s v="UNKNOWN"/>
    <x v="0"/>
  </r>
  <r>
    <n v="236584"/>
    <n v="17690.599999999999"/>
    <x v="4"/>
    <x v="359"/>
    <x v="12"/>
    <s v="DELEGATE AGENCY"/>
    <s v="UNKNOWN"/>
    <x v="0"/>
  </r>
  <r>
    <n v="236586"/>
    <n v="149608.79999999999"/>
    <x v="4"/>
    <x v="127"/>
    <x v="12"/>
    <s v="DELEGATE AGENCY"/>
    <s v="UNKNOWN"/>
    <x v="0"/>
  </r>
  <r>
    <n v="236608"/>
    <n v="146380.1"/>
    <x v="1"/>
    <x v="73"/>
    <x v="12"/>
    <s v="DELEGATE AGENCY"/>
    <s v="UNKNOWN"/>
    <x v="0"/>
  </r>
  <r>
    <n v="236609"/>
    <n v="105206.39999999999"/>
    <x v="1"/>
    <x v="167"/>
    <x v="12"/>
    <s v="DELEGATE AGENCY"/>
    <s v="UNKNOWN"/>
    <x v="0"/>
  </r>
  <r>
    <n v="236612"/>
    <n v="111359"/>
    <x v="1"/>
    <x v="880"/>
    <x v="12"/>
    <s v="DELEGATE AGENCY"/>
    <s v="UNKNOWN"/>
    <x v="0"/>
  </r>
  <r>
    <n v="236804"/>
    <n v="10366"/>
    <x v="1"/>
    <x v="292"/>
    <x v="12"/>
    <s v="DELEGATE AGENCY"/>
    <s v="UNKNOWN"/>
    <x v="0"/>
  </r>
  <r>
    <n v="236805"/>
    <n v="15206.8"/>
    <x v="4"/>
    <x v="62"/>
    <x v="12"/>
    <s v="DELEGATE AGENCY"/>
    <s v="UNKNOWN"/>
    <x v="0"/>
  </r>
  <r>
    <n v="236806"/>
    <n v="18141"/>
    <x v="4"/>
    <x v="84"/>
    <x v="12"/>
    <s v="DELEGATE AGENCY"/>
    <s v="UNKNOWN"/>
    <x v="0"/>
  </r>
  <r>
    <n v="236807"/>
    <n v="221075.7"/>
    <x v="4"/>
    <x v="578"/>
    <x v="12"/>
    <s v="DELEGATE AGENCY"/>
    <s v="UNKNOWN"/>
    <x v="0"/>
  </r>
  <r>
    <n v="236809"/>
    <n v="1771247.5"/>
    <x v="1"/>
    <x v="1264"/>
    <x v="15"/>
    <s v="VEHICLES/HEAVY EQUIPMENT (CAPITAL)"/>
    <s v="BID"/>
    <x v="0"/>
  </r>
  <r>
    <n v="236810"/>
    <n v="28507"/>
    <x v="0"/>
    <x v="301"/>
    <x v="12"/>
    <s v="DELEGATE AGENCY"/>
    <s v="UNKNOWN"/>
    <x v="0"/>
  </r>
  <r>
    <n v="236812"/>
    <n v="918747"/>
    <x v="4"/>
    <x v="351"/>
    <x v="12"/>
    <s v="DELEGATE AGENCY"/>
    <s v="RFP"/>
    <x v="0"/>
  </r>
  <r>
    <n v="236813"/>
    <n v="20730"/>
    <x v="2"/>
    <x v="313"/>
    <x v="12"/>
    <s v="DELEGATE AGENCY"/>
    <s v="UNKNOWN"/>
    <x v="0"/>
  </r>
  <r>
    <n v="236815"/>
    <n v="470815.3"/>
    <x v="4"/>
    <x v="261"/>
    <x v="8"/>
    <s v="DELEGATE AGENCY"/>
    <s v="UNKNOWN"/>
    <x v="0"/>
  </r>
  <r>
    <n v="236873"/>
    <n v="1874235"/>
    <x v="2"/>
    <x v="236"/>
    <x v="16"/>
    <s v="DELEGATE AGENCY"/>
    <s v="UNKNOWN"/>
    <x v="0"/>
  </r>
  <r>
    <n v="236875"/>
    <n v="65000"/>
    <x v="0"/>
    <x v="1265"/>
    <x v="20"/>
    <s v="COMPTROLLER-OTHER"/>
    <s v="UNKNOWN"/>
    <x v="0"/>
  </r>
  <r>
    <n v="236876"/>
    <n v="30000"/>
    <x v="1"/>
    <x v="1266"/>
    <x v="20"/>
    <s v="COMPTROLLER-OTHER"/>
    <s v="UNKNOWN"/>
    <x v="0"/>
  </r>
  <r>
    <n v="236877"/>
    <n v="250000"/>
    <x v="4"/>
    <x v="1267"/>
    <x v="2"/>
    <s v="COMPTROLLER-OTHER"/>
    <s v="UNKNOWN"/>
    <x v="0"/>
  </r>
  <r>
    <n v="236879"/>
    <n v="1260000"/>
    <x v="2"/>
    <x v="281"/>
    <x v="8"/>
    <s v="DELEGATE AGENCY"/>
    <s v="RFP"/>
    <x v="0"/>
  </r>
  <r>
    <n v="236896"/>
    <n v="250000"/>
    <x v="0"/>
    <x v="1268"/>
    <x v="2"/>
    <s v="COMPTROLLER-OTHER"/>
    <s v="UNKNOWN"/>
    <x v="0"/>
  </r>
  <r>
    <n v="236899"/>
    <n v="10000000"/>
    <x v="2"/>
    <x v="1160"/>
    <x v="2"/>
    <s v="COMPTROLLER-OTHER"/>
    <s v="UNKNOWN"/>
    <x v="0"/>
  </r>
  <r>
    <n v="237011"/>
    <n v="4772072"/>
    <x v="0"/>
    <x v="60"/>
    <x v="12"/>
    <s v="DELEGATE AGENCY"/>
    <s v="RFP"/>
    <x v="0"/>
  </r>
  <r>
    <n v="237016"/>
    <n v="1187409"/>
    <x v="0"/>
    <x v="60"/>
    <x v="12"/>
    <s v="DELEGATE AGENCY"/>
    <s v="RFP"/>
    <x v="0"/>
  </r>
  <r>
    <n v="237067"/>
    <n v="304946.7"/>
    <x v="0"/>
    <x v="1158"/>
    <x v="2"/>
    <s v="DELEGATE AGENCY"/>
    <s v="UNKNOWN"/>
    <x v="0"/>
  </r>
  <r>
    <n v="237083"/>
    <n v="1000000"/>
    <x v="2"/>
    <x v="91"/>
    <x v="12"/>
    <s v="DELEGATE AGENCY"/>
    <s v="RFP"/>
    <x v="0"/>
  </r>
  <r>
    <n v="237086"/>
    <n v="60000"/>
    <x v="0"/>
    <x v="57"/>
    <x v="12"/>
    <s v="DELEGATE AGENCY"/>
    <s v="RFP"/>
    <x v="0"/>
  </r>
  <r>
    <n v="237089"/>
    <n v="232336"/>
    <x v="1"/>
    <x v="544"/>
    <x v="12"/>
    <s v="DELEGATE AGENCY"/>
    <s v="RFP"/>
    <x v="0"/>
  </r>
  <r>
    <n v="237092"/>
    <n v="700000"/>
    <x v="1"/>
    <x v="83"/>
    <x v="12"/>
    <s v="DELEGATE AGENCY"/>
    <s v="RFP"/>
    <x v="0"/>
  </r>
  <r>
    <n v="237093"/>
    <n v="1027690"/>
    <x v="2"/>
    <x v="59"/>
    <x v="12"/>
    <s v="DELEGATE AGENCY"/>
    <s v="RFP"/>
    <x v="0"/>
  </r>
  <r>
    <n v="237095"/>
    <n v="240000"/>
    <x v="0"/>
    <x v="61"/>
    <x v="12"/>
    <s v="DELEGATE AGENCY"/>
    <s v="RFP"/>
    <x v="0"/>
  </r>
  <r>
    <n v="237106"/>
    <n v="4063913"/>
    <x v="1"/>
    <x v="63"/>
    <x v="12"/>
    <s v="DELEGATE AGENCY"/>
    <s v="RFP"/>
    <x v="0"/>
  </r>
  <r>
    <n v="237107"/>
    <n v="5183"/>
    <x v="0"/>
    <x v="296"/>
    <x v="12"/>
    <s v="DELEGATE AGENCY"/>
    <s v="UNKNOWN"/>
    <x v="0"/>
  </r>
  <r>
    <n v="237108"/>
    <n v="25915"/>
    <x v="3"/>
    <x v="298"/>
    <x v="12"/>
    <s v="DELEGATE AGENCY"/>
    <s v="UNKNOWN"/>
    <x v="0"/>
  </r>
  <r>
    <n v="237109"/>
    <n v="70000"/>
    <x v="4"/>
    <x v="768"/>
    <x v="20"/>
    <s v="COMPTROLLER-OTHER"/>
    <s v="UNKNOWN"/>
    <x v="0"/>
  </r>
  <r>
    <n v="237110"/>
    <n v="760000"/>
    <x v="1"/>
    <x v="566"/>
    <x v="12"/>
    <s v="DELEGATE AGENCY"/>
    <s v="RFP"/>
    <x v="0"/>
  </r>
  <r>
    <n v="237111"/>
    <n v="20000"/>
    <x v="2"/>
    <x v="654"/>
    <x v="20"/>
    <s v="COMPTROLLER-OTHER"/>
    <s v="UNKNOWN"/>
    <x v="0"/>
  </r>
  <r>
    <n v="237112"/>
    <n v="70000"/>
    <x v="4"/>
    <x v="1269"/>
    <x v="20"/>
    <s v="COMPTROLLER-OTHER"/>
    <s v="UNKNOWN"/>
    <x v="0"/>
  </r>
  <r>
    <n v="237113"/>
    <n v="100000"/>
    <x v="1"/>
    <x v="96"/>
    <x v="12"/>
    <s v="DELEGATE AGENCY"/>
    <s v="RFP"/>
    <x v="0"/>
  </r>
  <r>
    <n v="237114"/>
    <n v="50000"/>
    <x v="1"/>
    <x v="64"/>
    <x v="12"/>
    <s v="DELEGATE AGENCY"/>
    <s v="RFP"/>
    <x v="0"/>
  </r>
  <r>
    <n v="237115"/>
    <n v="962000"/>
    <x v="1"/>
    <x v="65"/>
    <x v="12"/>
    <s v="DELEGATE AGENCY"/>
    <s v="RFP"/>
    <x v="0"/>
  </r>
  <r>
    <n v="237116"/>
    <n v="200000"/>
    <x v="2"/>
    <x v="68"/>
    <x v="12"/>
    <s v="DELEGATE AGENCY"/>
    <s v="RFP"/>
    <x v="0"/>
  </r>
  <r>
    <n v="237120"/>
    <n v="260000"/>
    <x v="1"/>
    <x v="105"/>
    <x v="12"/>
    <s v="DELEGATE AGENCY"/>
    <s v="RFP"/>
    <x v="0"/>
  </r>
  <r>
    <n v="237122"/>
    <n v="1954718"/>
    <x v="2"/>
    <x v="114"/>
    <x v="12"/>
    <s v="DELEGATE AGENCY"/>
    <s v="RFP"/>
    <x v="0"/>
  </r>
  <r>
    <n v="237124"/>
    <n v="774000"/>
    <x v="0"/>
    <x v="71"/>
    <x v="12"/>
    <s v="DELEGATE AGENCY"/>
    <s v="RFP"/>
    <x v="0"/>
  </r>
  <r>
    <n v="237129"/>
    <n v="186000"/>
    <x v="2"/>
    <x v="116"/>
    <x v="12"/>
    <s v="DELEGATE AGENCY"/>
    <s v="RFP"/>
    <x v="0"/>
  </r>
  <r>
    <n v="237130"/>
    <n v="1282300"/>
    <x v="1"/>
    <x v="119"/>
    <x v="12"/>
    <s v="DELEGATE AGENCY"/>
    <s v="RFP"/>
    <x v="0"/>
  </r>
  <r>
    <n v="237132"/>
    <n v="102000"/>
    <x v="0"/>
    <x v="170"/>
    <x v="12"/>
    <s v="DELEGATE AGENCY"/>
    <s v="RFP"/>
    <x v="0"/>
  </r>
  <r>
    <n v="237133"/>
    <n v="700000"/>
    <x v="1"/>
    <x v="132"/>
    <x v="12"/>
    <s v="DELEGATE AGENCY"/>
    <s v="RFP"/>
    <x v="0"/>
  </r>
  <r>
    <n v="237137"/>
    <n v="329738"/>
    <x v="2"/>
    <x v="76"/>
    <x v="12"/>
    <s v="DELEGATE AGENCY"/>
    <s v="RFP"/>
    <x v="0"/>
  </r>
  <r>
    <n v="237140"/>
    <n v="1500000"/>
    <x v="2"/>
    <x v="77"/>
    <x v="12"/>
    <s v="DELEGATE AGENCY"/>
    <s v="RFP"/>
    <x v="0"/>
  </r>
  <r>
    <n v="237142"/>
    <n v="1790000"/>
    <x v="0"/>
    <x v="78"/>
    <x v="12"/>
    <s v="DELEGATE AGENCY"/>
    <s v="RFP"/>
    <x v="0"/>
  </r>
  <r>
    <n v="237223"/>
    <n v="19623.400000000001"/>
    <x v="0"/>
    <x v="451"/>
    <x v="12"/>
    <s v="DELEGATE AGENCY"/>
    <s v="UNKNOWN"/>
    <x v="0"/>
  </r>
  <r>
    <n v="237260"/>
    <n v="129406"/>
    <x v="4"/>
    <x v="605"/>
    <x v="12"/>
    <s v="DELEGATE AGENCY"/>
    <s v="UNKNOWN"/>
    <x v="0"/>
  </r>
  <r>
    <n v="237271"/>
    <n v="2000000"/>
    <x v="1"/>
    <x v="503"/>
    <x v="12"/>
    <s v="DELEGATE AGENCY"/>
    <s v="UNKNOWN"/>
    <x v="0"/>
  </r>
  <r>
    <n v="237292"/>
    <n v="4301387"/>
    <x v="0"/>
    <x v="297"/>
    <x v="12"/>
    <s v="DELEGATE AGENCY"/>
    <s v="UNKNOWN"/>
    <x v="0"/>
  </r>
  <r>
    <n v="237365"/>
    <n v="425701.4"/>
    <x v="0"/>
    <x v="504"/>
    <x v="8"/>
    <s v="DELEGATE AGENCY"/>
    <s v="UNKNOWN"/>
    <x v="0"/>
  </r>
  <r>
    <n v="237375"/>
    <n v="254312.5"/>
    <x v="2"/>
    <x v="84"/>
    <x v="8"/>
    <s v="DELEGATE AGENCY"/>
    <s v="UNKNOWN"/>
    <x v="0"/>
  </r>
  <r>
    <n v="237376"/>
    <n v="40000"/>
    <x v="2"/>
    <x v="907"/>
    <x v="19"/>
    <s v="DELEGATE AGENCY"/>
    <s v="UNKNOWN"/>
    <x v="0"/>
  </r>
  <r>
    <n v="237378"/>
    <n v="25000"/>
    <x v="4"/>
    <x v="907"/>
    <x v="19"/>
    <s v="DELEGATE AGENCY"/>
    <s v="UNKNOWN"/>
    <x v="0"/>
  </r>
  <r>
    <n v="237380"/>
    <n v="20000"/>
    <x v="4"/>
    <x v="907"/>
    <x v="19"/>
    <s v="DELEGATE AGENCY"/>
    <s v="UNKNOWN"/>
    <x v="0"/>
  </r>
  <r>
    <n v="237406"/>
    <n v="29000"/>
    <x v="4"/>
    <x v="1010"/>
    <x v="20"/>
    <s v="COMPTROLLER-OTHER"/>
    <s v="UNKNOWN"/>
    <x v="0"/>
  </r>
  <r>
    <n v="237408"/>
    <n v="70000"/>
    <x v="4"/>
    <x v="1270"/>
    <x v="20"/>
    <s v="COMPTROLLER-OTHER"/>
    <s v="UNKNOWN"/>
    <x v="0"/>
  </r>
  <r>
    <n v="237414"/>
    <n v="45000"/>
    <x v="1"/>
    <x v="1161"/>
    <x v="20"/>
    <s v="COMPTROLLER-OTHER"/>
    <s v="UNKNOWN"/>
    <x v="0"/>
  </r>
  <r>
    <n v="237415"/>
    <n v="75000"/>
    <x v="4"/>
    <x v="1271"/>
    <x v="20"/>
    <s v="COMPTROLLER-OTHER"/>
    <s v="UNKNOWN"/>
    <x v="0"/>
  </r>
  <r>
    <n v="237425"/>
    <n v="6000"/>
    <x v="1"/>
    <x v="311"/>
    <x v="12"/>
    <s v="DELEGATE AGENCY"/>
    <s v="UNKNOWN"/>
    <x v="0"/>
  </r>
  <r>
    <n v="237427"/>
    <n v="5938"/>
    <x v="3"/>
    <x v="284"/>
    <x v="12"/>
    <s v="DELEGATE AGENCY"/>
    <s v="UNKNOWN"/>
    <x v="0"/>
  </r>
  <r>
    <n v="237428"/>
    <n v="7527"/>
    <x v="3"/>
    <x v="303"/>
    <x v="12"/>
    <s v="DELEGATE AGENCY"/>
    <s v="UNKNOWN"/>
    <x v="0"/>
  </r>
  <r>
    <n v="237430"/>
    <n v="23323"/>
    <x v="3"/>
    <x v="290"/>
    <x v="12"/>
    <s v="DELEGATE AGENCY"/>
    <s v="UNKNOWN"/>
    <x v="0"/>
  </r>
  <r>
    <n v="237431"/>
    <n v="36281"/>
    <x v="4"/>
    <x v="290"/>
    <x v="12"/>
    <s v="DELEGATE AGENCY"/>
    <s v="UNKNOWN"/>
    <x v="0"/>
  </r>
  <r>
    <n v="237432"/>
    <n v="5183"/>
    <x v="4"/>
    <x v="284"/>
    <x v="12"/>
    <s v="DELEGATE AGENCY"/>
    <s v="UNKNOWN"/>
    <x v="0"/>
  </r>
  <r>
    <n v="237438"/>
    <n v="20732"/>
    <x v="3"/>
    <x v="311"/>
    <x v="12"/>
    <s v="DELEGATE AGENCY"/>
    <s v="UNKNOWN"/>
    <x v="0"/>
  </r>
  <r>
    <n v="237440"/>
    <n v="64788"/>
    <x v="4"/>
    <x v="293"/>
    <x v="12"/>
    <s v="DELEGATE AGENCY"/>
    <s v="UNKNOWN"/>
    <x v="0"/>
  </r>
  <r>
    <n v="237453"/>
    <n v="48624"/>
    <x v="1"/>
    <x v="441"/>
    <x v="12"/>
    <s v="DELEGATE AGENCY"/>
    <s v="UNKNOWN"/>
    <x v="0"/>
  </r>
  <r>
    <n v="237454"/>
    <n v="4528625"/>
    <x v="4"/>
    <x v="398"/>
    <x v="22"/>
    <s v="DELEGATE AGENCY"/>
    <s v="UNKNOWN"/>
    <x v="0"/>
  </r>
  <r>
    <n v="237455"/>
    <n v="20383"/>
    <x v="0"/>
    <x v="201"/>
    <x v="12"/>
    <s v="DELEGATE AGENCY"/>
    <s v="UNKNOWN"/>
    <x v="0"/>
  </r>
  <r>
    <n v="237624"/>
    <n v="6959"/>
    <x v="4"/>
    <x v="558"/>
    <x v="12"/>
    <s v="DELEGATE AGENCY"/>
    <s v="UNKNOWN"/>
    <x v="0"/>
  </r>
  <r>
    <n v="237625"/>
    <n v="60005"/>
    <x v="3"/>
    <x v="194"/>
    <x v="12"/>
    <s v="DELEGATE AGENCY"/>
    <s v="UNKNOWN"/>
    <x v="0"/>
  </r>
  <r>
    <n v="237626"/>
    <n v="37634"/>
    <x v="1"/>
    <x v="318"/>
    <x v="3"/>
    <s v="DELEGATE AGENCY"/>
    <s v="UNKNOWN"/>
    <x v="0"/>
  </r>
  <r>
    <n v="237627"/>
    <n v="44692"/>
    <x v="4"/>
    <x v="317"/>
    <x v="12"/>
    <s v="DELEGATE AGENCY"/>
    <s v="UNKNOWN"/>
    <x v="0"/>
  </r>
  <r>
    <n v="237628"/>
    <n v="116160"/>
    <x v="4"/>
    <x v="194"/>
    <x v="12"/>
    <s v="DELEGATE AGENCY"/>
    <s v="UNKNOWN"/>
    <x v="0"/>
  </r>
  <r>
    <n v="237629"/>
    <n v="70000"/>
    <x v="1"/>
    <x v="308"/>
    <x v="12"/>
    <s v="DELEGATE AGENCY"/>
    <s v="UNKNOWN"/>
    <x v="0"/>
  </r>
  <r>
    <n v="237630"/>
    <n v="81770"/>
    <x v="1"/>
    <x v="194"/>
    <x v="12"/>
    <s v="DELEGATE AGENCY"/>
    <s v="UNKNOWN"/>
    <x v="0"/>
  </r>
  <r>
    <n v="237631"/>
    <n v="139027"/>
    <x v="1"/>
    <x v="308"/>
    <x v="12"/>
    <s v="DELEGATE AGENCY"/>
    <s v="UNKNOWN"/>
    <x v="0"/>
  </r>
  <r>
    <n v="237632"/>
    <n v="27104"/>
    <x v="1"/>
    <x v="25"/>
    <x v="12"/>
    <s v="DELEGATE AGENCY"/>
    <s v="UNKNOWN"/>
    <x v="0"/>
  </r>
  <r>
    <n v="237670"/>
    <n v="141119.20000000001"/>
    <x v="4"/>
    <x v="341"/>
    <x v="12"/>
    <s v="DELEGATE AGENCY"/>
    <s v="UNKNOWN"/>
    <x v="0"/>
  </r>
  <r>
    <n v="237677"/>
    <n v="65000"/>
    <x v="1"/>
    <x v="757"/>
    <x v="20"/>
    <s v="COMPTROLLER-OTHER"/>
    <s v="UNKNOWN"/>
    <x v="0"/>
  </r>
  <r>
    <n v="237685"/>
    <n v="40000"/>
    <x v="1"/>
    <x v="856"/>
    <x v="20"/>
    <s v="COMPTROLLER-OTHER"/>
    <s v="UNKNOWN"/>
    <x v="0"/>
  </r>
  <r>
    <n v="237686"/>
    <n v="30000"/>
    <x v="4"/>
    <x v="789"/>
    <x v="20"/>
    <s v="COMPTROLLER-OTHER"/>
    <s v="UNKNOWN"/>
    <x v="0"/>
  </r>
  <r>
    <n v="237688"/>
    <n v="25000"/>
    <x v="4"/>
    <x v="815"/>
    <x v="20"/>
    <s v="COMPTROLLER-OTHER"/>
    <s v="UNKNOWN"/>
    <x v="0"/>
  </r>
  <r>
    <n v="237849"/>
    <n v="28816"/>
    <x v="4"/>
    <x v="391"/>
    <x v="12"/>
    <s v="DELEGATE AGENCY"/>
    <s v="UNKNOWN"/>
    <x v="0"/>
  </r>
  <r>
    <n v="237878"/>
    <n v="40000"/>
    <x v="4"/>
    <x v="619"/>
    <x v="16"/>
    <s v="DELEGATE AGENCY"/>
    <s v="UNKNOWN"/>
    <x v="0"/>
  </r>
  <r>
    <n v="237946"/>
    <n v="124331.3"/>
    <x v="4"/>
    <x v="105"/>
    <x v="12"/>
    <s v="DELEGATE AGENCY"/>
    <s v="UNKNOWN"/>
    <x v="0"/>
  </r>
  <r>
    <n v="237954"/>
    <n v="711479.9"/>
    <x v="1"/>
    <x v="93"/>
    <x v="12"/>
    <s v="DELEGATE AGENCY"/>
    <s v="UNKNOWN"/>
    <x v="0"/>
  </r>
  <r>
    <n v="237961"/>
    <n v="3957272"/>
    <x v="2"/>
    <x v="146"/>
    <x v="0"/>
    <s v="ARCH/ENGINEERING"/>
    <s v="RFQ"/>
    <x v="0"/>
  </r>
  <r>
    <n v="237972"/>
    <n v="500594"/>
    <x v="0"/>
    <x v="436"/>
    <x v="12"/>
    <s v="DELEGATE AGENCY"/>
    <s v="UNKNOWN"/>
    <x v="0"/>
  </r>
  <r>
    <n v="237973"/>
    <n v="500594"/>
    <x v="2"/>
    <x v="593"/>
    <x v="12"/>
    <s v="DELEGATE AGENCY"/>
    <s v="UNKNOWN"/>
    <x v="0"/>
  </r>
  <r>
    <n v="237974"/>
    <n v="352797"/>
    <x v="2"/>
    <x v="167"/>
    <x v="12"/>
    <s v="DELEGATE AGENCY"/>
    <s v="UNKNOWN"/>
    <x v="0"/>
  </r>
  <r>
    <n v="237976"/>
    <n v="249480"/>
    <x v="2"/>
    <x v="79"/>
    <x v="12"/>
    <s v="DELEGATE AGENCY"/>
    <s v="UNKNOWN"/>
    <x v="0"/>
  </r>
  <r>
    <n v="237977"/>
    <n v="305478.09999999998"/>
    <x v="1"/>
    <x v="105"/>
    <x v="12"/>
    <s v="DELEGATE AGENCY"/>
    <s v="UNKNOWN"/>
    <x v="0"/>
  </r>
  <r>
    <n v="237978"/>
    <n v="105963.9"/>
    <x v="2"/>
    <x v="106"/>
    <x v="12"/>
    <s v="DELEGATE AGENCY"/>
    <s v="UNKNOWN"/>
    <x v="0"/>
  </r>
  <r>
    <n v="237981"/>
    <n v="432000"/>
    <x v="1"/>
    <x v="1272"/>
    <x v="32"/>
    <s v="WORK SERVICES / FACILITIES MAINT."/>
    <s v="BID"/>
    <x v="0"/>
  </r>
  <r>
    <n v="237984"/>
    <n v="75000"/>
    <x v="2"/>
    <x v="1273"/>
    <x v="20"/>
    <s v="COMPTROLLER-OTHER"/>
    <s v="UNKNOWN"/>
    <x v="0"/>
  </r>
  <r>
    <n v="237988"/>
    <n v="10000000"/>
    <x v="1"/>
    <x v="1274"/>
    <x v="2"/>
    <s v="COMPTROLLER-OTHER"/>
    <s v="UNKNOWN"/>
    <x v="0"/>
  </r>
  <r>
    <n v="237989"/>
    <n v="188350.7"/>
    <x v="0"/>
    <x v="642"/>
    <x v="15"/>
    <s v="SOFTWARE"/>
    <s v="JOINT PURCHASE"/>
    <x v="0"/>
  </r>
  <r>
    <n v="237991"/>
    <n v="508918.2"/>
    <x v="1"/>
    <x v="1247"/>
    <x v="20"/>
    <s v="COMPTROLLER-OTHER"/>
    <s v="UNKNOWN"/>
    <x v="0"/>
  </r>
  <r>
    <n v="237992"/>
    <n v="41305.9"/>
    <x v="2"/>
    <x v="642"/>
    <x v="15"/>
    <s v="SOFTWARE"/>
    <s v="JOINT PURCHASE"/>
    <x v="0"/>
  </r>
  <r>
    <n v="237993"/>
    <n v="30000"/>
    <x v="4"/>
    <x v="1275"/>
    <x v="20"/>
    <s v="COMPTROLLER-OTHER"/>
    <s v="UNKNOWN"/>
    <x v="0"/>
  </r>
  <r>
    <n v="237994"/>
    <n v="24816.1"/>
    <x v="4"/>
    <x v="642"/>
    <x v="15"/>
    <s v="SOFTWARE"/>
    <s v="JOINT PURCHASE"/>
    <x v="0"/>
  </r>
  <r>
    <n v="237995"/>
    <n v="14186.8"/>
    <x v="4"/>
    <x v="642"/>
    <x v="15"/>
    <s v="SOFTWARE"/>
    <s v="JOINT PURCHASE"/>
    <x v="0"/>
  </r>
  <r>
    <n v="237996"/>
    <n v="250000"/>
    <x v="4"/>
    <x v="1276"/>
    <x v="20"/>
    <s v="COMPTROLLER-OTHER"/>
    <s v="UNKNOWN"/>
    <x v="0"/>
  </r>
  <r>
    <n v="237997"/>
    <n v="125000"/>
    <x v="2"/>
    <x v="1277"/>
    <x v="21"/>
    <s v="DELEGATE AGENCY"/>
    <s v="RFP"/>
    <x v="0"/>
  </r>
  <r>
    <n v="237998"/>
    <n v="125000"/>
    <x v="1"/>
    <x v="962"/>
    <x v="19"/>
    <s v="DELEGATE AGENCY"/>
    <s v="RFP"/>
    <x v="0"/>
  </r>
  <r>
    <n v="237999"/>
    <n v="40000"/>
    <x v="1"/>
    <x v="914"/>
    <x v="20"/>
    <s v="COMPTROLLER-OTHER"/>
    <s v="UNKNOWN"/>
    <x v="0"/>
  </r>
  <r>
    <n v="238001"/>
    <n v="250000"/>
    <x v="4"/>
    <x v="400"/>
    <x v="20"/>
    <s v="COMPTROLLER-OTHER"/>
    <s v="UNKNOWN"/>
    <x v="1"/>
  </r>
  <r>
    <n v="238013"/>
    <n v="112266"/>
    <x v="2"/>
    <x v="153"/>
    <x v="12"/>
    <s v="DELEGATE AGENCY"/>
    <s v="UNKNOWN"/>
    <x v="0"/>
  </r>
  <r>
    <n v="238079"/>
    <n v="250000"/>
    <x v="1"/>
    <x v="1278"/>
    <x v="2"/>
    <s v="COMPTROLLER-OTHER"/>
    <s v="UNKNOWN"/>
    <x v="0"/>
  </r>
  <r>
    <n v="238216"/>
    <n v="500000"/>
    <x v="2"/>
    <x v="156"/>
    <x v="2"/>
    <s v="COMPTROLLER-OTHER"/>
    <s v="UNKNOWN"/>
    <x v="0"/>
  </r>
  <r>
    <n v="238217"/>
    <n v="500000"/>
    <x v="2"/>
    <x v="156"/>
    <x v="2"/>
    <s v="COMPTROLLER-OTHER"/>
    <s v="UNKNOWN"/>
    <x v="0"/>
  </r>
  <r>
    <n v="238218"/>
    <n v="6000"/>
    <x v="2"/>
    <x v="1279"/>
    <x v="20"/>
    <s v="COMPTROLLER-OTHER"/>
    <s v="UNKNOWN"/>
    <x v="0"/>
  </r>
  <r>
    <n v="238219"/>
    <n v="5000"/>
    <x v="3"/>
    <x v="1280"/>
    <x v="20"/>
    <s v="COMPTROLLER-OTHER"/>
    <s v="UNKNOWN"/>
    <x v="0"/>
  </r>
  <r>
    <n v="238222"/>
    <n v="18168104.300000001"/>
    <x v="3"/>
    <x v="186"/>
    <x v="5"/>
    <s v="CONSTRUCTION-LARGE $3MILLIONorABOVE"/>
    <s v="BID"/>
    <x v="1"/>
  </r>
  <r>
    <n v="238223"/>
    <n v="6000"/>
    <x v="0"/>
    <x v="1281"/>
    <x v="20"/>
    <s v="COMPTROLLER-OTHER"/>
    <s v="UNKNOWN"/>
    <x v="0"/>
  </r>
  <r>
    <n v="238224"/>
    <n v="6000"/>
    <x v="3"/>
    <x v="1282"/>
    <x v="20"/>
    <s v="COMPTROLLER-OTHER"/>
    <s v="UNKNOWN"/>
    <x v="0"/>
  </r>
  <r>
    <n v="238244"/>
    <n v="252924"/>
    <x v="3"/>
    <x v="1283"/>
    <x v="1"/>
    <s v="PROPERTY LEASE"/>
    <s v="UNKNOWN"/>
    <x v="0"/>
  </r>
  <r>
    <n v="238247"/>
    <n v="180235"/>
    <x v="2"/>
    <x v="1194"/>
    <x v="12"/>
    <s v="DELEGATE AGENCY"/>
    <s v="UNKNOWN"/>
    <x v="0"/>
  </r>
  <r>
    <n v="238251"/>
    <n v="1357657.2"/>
    <x v="1"/>
    <x v="500"/>
    <x v="8"/>
    <s v="DELEGATE AGENCY"/>
    <s v="UNKNOWN"/>
    <x v="0"/>
  </r>
  <r>
    <n v="238265"/>
    <n v="100000"/>
    <x v="0"/>
    <x v="1022"/>
    <x v="20"/>
    <s v="COMPTROLLER-OTHER"/>
    <s v="UNKNOWN"/>
    <x v="0"/>
  </r>
  <r>
    <n v="238266"/>
    <n v="5850"/>
    <x v="1"/>
    <x v="1284"/>
    <x v="20"/>
    <s v="COMPTROLLER-OTHER"/>
    <s v="UNKNOWN"/>
    <x v="0"/>
  </r>
  <r>
    <n v="238267"/>
    <n v="55000"/>
    <x v="3"/>
    <x v="759"/>
    <x v="20"/>
    <s v="COMPTROLLER-OTHER"/>
    <s v="UNKNOWN"/>
    <x v="0"/>
  </r>
  <r>
    <n v="238270"/>
    <n v="50000"/>
    <x v="1"/>
    <x v="1285"/>
    <x v="20"/>
    <s v="COMPTROLLER-OTHER"/>
    <s v="UNKNOWN"/>
    <x v="0"/>
  </r>
  <r>
    <n v="238272"/>
    <n v="20000"/>
    <x v="1"/>
    <x v="647"/>
    <x v="20"/>
    <s v="COMPTROLLER-OTHER"/>
    <s v="UNKNOWN"/>
    <x v="0"/>
  </r>
  <r>
    <n v="238273"/>
    <n v="6000"/>
    <x v="4"/>
    <x v="1286"/>
    <x v="20"/>
    <s v="COMPTROLLER-OTHER"/>
    <s v="UNKNOWN"/>
    <x v="0"/>
  </r>
  <r>
    <n v="238274"/>
    <n v="5800"/>
    <x v="3"/>
    <x v="1287"/>
    <x v="20"/>
    <s v="COMPTROLLER-OTHER"/>
    <s v="UNKNOWN"/>
    <x v="0"/>
  </r>
  <r>
    <n v="238281"/>
    <n v="11206.7"/>
    <x v="3"/>
    <x v="205"/>
    <x v="12"/>
    <s v="DELEGATE AGENCY"/>
    <s v="UNKNOWN"/>
    <x v="0"/>
  </r>
  <r>
    <n v="238282"/>
    <n v="155207.9"/>
    <x v="4"/>
    <x v="201"/>
    <x v="12"/>
    <s v="DELEGATE AGENCY"/>
    <s v="UNKNOWN"/>
    <x v="0"/>
  </r>
  <r>
    <n v="238285"/>
    <n v="8447483.5999999996"/>
    <x v="1"/>
    <x v="558"/>
    <x v="12"/>
    <s v="DELEGATE AGENCY"/>
    <s v="UNKNOWN"/>
    <x v="0"/>
  </r>
  <r>
    <n v="238407"/>
    <n v="2881532.0999999898"/>
    <x v="0"/>
    <x v="1288"/>
    <x v="6"/>
    <s v="PRO SERV-AVIATION"/>
    <s v="UNKNOWN"/>
    <x v="0"/>
  </r>
  <r>
    <n v="238448"/>
    <n v="399273.2"/>
    <x v="0"/>
    <x v="25"/>
    <x v="12"/>
    <s v="DELEGATE AGENCY"/>
    <s v="UNKNOWN"/>
    <x v="0"/>
  </r>
  <r>
    <n v="238449"/>
    <n v="201349.9"/>
    <x v="2"/>
    <x v="25"/>
    <x v="12"/>
    <s v="DELEGATE AGENCY"/>
    <s v="UNKNOWN"/>
    <x v="0"/>
  </r>
  <r>
    <n v="238451"/>
    <n v="167567.79999999999"/>
    <x v="1"/>
    <x v="25"/>
    <x v="12"/>
    <s v="DELEGATE AGENCY"/>
    <s v="UNKNOWN"/>
    <x v="0"/>
  </r>
  <r>
    <n v="238452"/>
    <n v="22844"/>
    <x v="1"/>
    <x v="194"/>
    <x v="12"/>
    <s v="DELEGATE AGENCY"/>
    <s v="UNKNOWN"/>
    <x v="0"/>
  </r>
  <r>
    <n v="238456"/>
    <n v="593000"/>
    <x v="4"/>
    <x v="44"/>
    <x v="1"/>
    <s v="DELEGATE AGENCY"/>
    <s v="UNKNOWN"/>
    <x v="0"/>
  </r>
  <r>
    <n v="238457"/>
    <n v="834000"/>
    <x v="2"/>
    <x v="1289"/>
    <x v="1"/>
    <s v="DELEGATE AGENCY"/>
    <s v="UNKNOWN"/>
    <x v="0"/>
  </r>
  <r>
    <n v="238458"/>
    <n v="240000"/>
    <x v="2"/>
    <x v="292"/>
    <x v="12"/>
    <s v="DELEGATE AGENCY"/>
    <s v="UNKNOWN"/>
    <x v="0"/>
  </r>
  <r>
    <n v="238465"/>
    <n v="180869.3"/>
    <x v="1"/>
    <x v="110"/>
    <x v="12"/>
    <s v="DELEGATE AGENCY"/>
    <s v="UNKNOWN"/>
    <x v="0"/>
  </r>
  <r>
    <n v="238466"/>
    <n v="198556.79999999999"/>
    <x v="1"/>
    <x v="239"/>
    <x v="12"/>
    <s v="DELEGATE AGENCY"/>
    <s v="UNKNOWN"/>
    <x v="0"/>
  </r>
  <r>
    <n v="238467"/>
    <n v="339557.3"/>
    <x v="1"/>
    <x v="119"/>
    <x v="12"/>
    <s v="DELEGATE AGENCY"/>
    <s v="UNKNOWN"/>
    <x v="0"/>
  </r>
  <r>
    <n v="238468"/>
    <n v="201642.7"/>
    <x v="2"/>
    <x v="119"/>
    <x v="12"/>
    <s v="DELEGATE AGENCY"/>
    <s v="UNKNOWN"/>
    <x v="0"/>
  </r>
  <r>
    <n v="238469"/>
    <n v="405405"/>
    <x v="1"/>
    <x v="92"/>
    <x v="12"/>
    <s v="DELEGATE AGENCY"/>
    <s v="UNKNOWN"/>
    <x v="0"/>
  </r>
  <r>
    <n v="238470"/>
    <n v="963270"/>
    <x v="2"/>
    <x v="92"/>
    <x v="12"/>
    <s v="DELEGATE AGENCY"/>
    <s v="UNKNOWN"/>
    <x v="0"/>
  </r>
  <r>
    <n v="238473"/>
    <n v="946366.8"/>
    <x v="2"/>
    <x v="59"/>
    <x v="12"/>
    <s v="DELEGATE AGENCY"/>
    <s v="UNKNOWN"/>
    <x v="0"/>
  </r>
  <r>
    <n v="238474"/>
    <n v="224532"/>
    <x v="2"/>
    <x v="84"/>
    <x v="12"/>
    <s v="DELEGATE AGENCY"/>
    <s v="UNKNOWN"/>
    <x v="0"/>
  </r>
  <r>
    <n v="238475"/>
    <n v="203280"/>
    <x v="1"/>
    <x v="108"/>
    <x v="12"/>
    <s v="DELEGATE AGENCY"/>
    <s v="UNKNOWN"/>
    <x v="0"/>
  </r>
  <r>
    <n v="238476"/>
    <n v="918610.6"/>
    <x v="1"/>
    <x v="62"/>
    <x v="12"/>
    <s v="DELEGATE AGENCY"/>
    <s v="UNKNOWN"/>
    <x v="0"/>
  </r>
  <r>
    <n v="238477"/>
    <n v="206682.8"/>
    <x v="2"/>
    <x v="116"/>
    <x v="12"/>
    <s v="DELEGATE AGENCY"/>
    <s v="UNKNOWN"/>
    <x v="0"/>
  </r>
  <r>
    <n v="238478"/>
    <n v="411642"/>
    <x v="1"/>
    <x v="1085"/>
    <x v="12"/>
    <s v="DELEGATE AGENCY"/>
    <s v="UNKNOWN"/>
    <x v="0"/>
  </r>
  <r>
    <n v="238479"/>
    <n v="93601.7"/>
    <x v="2"/>
    <x v="1159"/>
    <x v="12"/>
    <s v="DELEGATE AGENCY"/>
    <s v="UNKNOWN"/>
    <x v="0"/>
  </r>
  <r>
    <n v="238520"/>
    <n v="375000"/>
    <x v="1"/>
    <x v="1290"/>
    <x v="8"/>
    <s v="DELEGATE AGENCY"/>
    <s v="RFP"/>
    <x v="0"/>
  </r>
  <r>
    <n v="238537"/>
    <n v="4850"/>
    <x v="2"/>
    <x v="1291"/>
    <x v="20"/>
    <s v="COMPTROLLER-OTHER"/>
    <s v="UNKNOWN"/>
    <x v="0"/>
  </r>
  <r>
    <n v="238538"/>
    <n v="5500"/>
    <x v="3"/>
    <x v="1292"/>
    <x v="20"/>
    <s v="COMPTROLLER-OTHER"/>
    <s v="UNKNOWN"/>
    <x v="0"/>
  </r>
  <r>
    <n v="238540"/>
    <n v="6000"/>
    <x v="3"/>
    <x v="1293"/>
    <x v="20"/>
    <s v="COMPTROLLER-OTHER"/>
    <s v="UNKNOWN"/>
    <x v="0"/>
  </r>
  <r>
    <n v="238543"/>
    <n v="6000"/>
    <x v="3"/>
    <x v="1294"/>
    <x v="20"/>
    <s v="COMPTROLLER-OTHER"/>
    <s v="UNKNOWN"/>
    <x v="0"/>
  </r>
  <r>
    <n v="238544"/>
    <n v="20000"/>
    <x v="3"/>
    <x v="1295"/>
    <x v="20"/>
    <s v="COMPTROLLER-OTHER"/>
    <s v="UNKNOWN"/>
    <x v="0"/>
  </r>
  <r>
    <n v="238545"/>
    <n v="15000"/>
    <x v="4"/>
    <x v="1296"/>
    <x v="20"/>
    <s v="COMPTROLLER-OTHER"/>
    <s v="UNKNOWN"/>
    <x v="0"/>
  </r>
  <r>
    <n v="238551"/>
    <n v="4000"/>
    <x v="4"/>
    <x v="1297"/>
    <x v="20"/>
    <s v="COMPTROLLER-OTHER"/>
    <s v="UNKNOWN"/>
    <x v="0"/>
  </r>
  <r>
    <n v="238552"/>
    <n v="50000"/>
    <x v="3"/>
    <x v="1298"/>
    <x v="20"/>
    <s v="COMPTROLLER-OTHER"/>
    <s v="UNKNOWN"/>
    <x v="0"/>
  </r>
  <r>
    <n v="238561"/>
    <n v="20000"/>
    <x v="1"/>
    <x v="992"/>
    <x v="19"/>
    <s v="DELEGATE AGENCY"/>
    <s v="UNKNOWN"/>
    <x v="0"/>
  </r>
  <r>
    <n v="238563"/>
    <n v="20000"/>
    <x v="4"/>
    <x v="1193"/>
    <x v="19"/>
    <s v="DELEGATE AGENCY"/>
    <s v="UNKNOWN"/>
    <x v="0"/>
  </r>
  <r>
    <n v="238565"/>
    <n v="100000"/>
    <x v="4"/>
    <x v="1226"/>
    <x v="19"/>
    <s v="DELEGATE AGENCY"/>
    <s v="UNKNOWN"/>
    <x v="0"/>
  </r>
  <r>
    <n v="238582"/>
    <n v="187220"/>
    <x v="1"/>
    <x v="1299"/>
    <x v="8"/>
    <s v="WORK SERVICES-SMALL ORDERS"/>
    <s v="BID"/>
    <x v="1"/>
  </r>
  <r>
    <n v="238584"/>
    <n v="6626352"/>
    <x v="1"/>
    <x v="139"/>
    <x v="8"/>
    <s v="DELEGATE AGENCY"/>
    <s v="RFP"/>
    <x v="0"/>
  </r>
  <r>
    <n v="238660"/>
    <n v="215207"/>
    <x v="0"/>
    <x v="139"/>
    <x v="22"/>
    <s v="DELEGATE AGENCY"/>
    <s v="UNKNOWN"/>
    <x v="0"/>
  </r>
  <r>
    <n v="238663"/>
    <n v="718000"/>
    <x v="1"/>
    <x v="1300"/>
    <x v="0"/>
    <s v="WORK SERVICES / FACILITIES MAINT."/>
    <s v="BID"/>
    <x v="0"/>
  </r>
  <r>
    <n v="238810"/>
    <n v="2057388.2"/>
    <x v="2"/>
    <x v="65"/>
    <x v="12"/>
    <s v="DELEGATE AGENCY"/>
    <s v="UNKNOWN"/>
    <x v="0"/>
  </r>
  <r>
    <n v="238811"/>
    <n v="112266"/>
    <x v="0"/>
    <x v="1137"/>
    <x v="12"/>
    <s v="DELEGATE AGENCY"/>
    <s v="UNKNOWN"/>
    <x v="0"/>
  </r>
  <r>
    <n v="238812"/>
    <n v="656200.69999999995"/>
    <x v="1"/>
    <x v="5"/>
    <x v="12"/>
    <s v="DELEGATE AGENCY"/>
    <s v="UNKNOWN"/>
    <x v="0"/>
  </r>
  <r>
    <n v="238813"/>
    <n v="381150"/>
    <x v="2"/>
    <x v="1137"/>
    <x v="12"/>
    <s v="DELEGATE AGENCY"/>
    <s v="UNKNOWN"/>
    <x v="0"/>
  </r>
  <r>
    <n v="238814"/>
    <n v="111296"/>
    <x v="2"/>
    <x v="108"/>
    <x v="12"/>
    <s v="DELEGATE AGENCY"/>
    <s v="UNKNOWN"/>
    <x v="0"/>
  </r>
  <r>
    <n v="238818"/>
    <n v="359595.8"/>
    <x v="1"/>
    <x v="23"/>
    <x v="16"/>
    <s v="DELEGATE AGENCY"/>
    <s v="UNKNOWN"/>
    <x v="0"/>
  </r>
  <r>
    <n v="238821"/>
    <n v="1436387"/>
    <x v="2"/>
    <x v="1301"/>
    <x v="8"/>
    <s v="PRO SERV CONSULTING $250,000orABOVE"/>
    <s v="SOLE SOURCE"/>
    <x v="0"/>
  </r>
  <r>
    <n v="238852"/>
    <n v="1776000"/>
    <x v="0"/>
    <x v="160"/>
    <x v="5"/>
    <s v="COMMODITIES"/>
    <s v="BID"/>
    <x v="1"/>
  </r>
  <r>
    <n v="238881"/>
    <n v="75000"/>
    <x v="0"/>
    <x v="1158"/>
    <x v="20"/>
    <s v="COMPTROLLER-OTHER"/>
    <s v="UNKNOWN"/>
    <x v="0"/>
  </r>
  <r>
    <n v="238882"/>
    <n v="20400000"/>
    <x v="1"/>
    <x v="1302"/>
    <x v="2"/>
    <s v="COMPTROLLER-OTHER"/>
    <s v="UNKNOWN"/>
    <x v="0"/>
  </r>
  <r>
    <n v="238883"/>
    <n v="995613"/>
    <x v="0"/>
    <x v="1303"/>
    <x v="16"/>
    <s v="COMPTROLLER-OTHER"/>
    <s v="UNKNOWN"/>
    <x v="0"/>
  </r>
  <r>
    <n v="238884"/>
    <n v="500000"/>
    <x v="2"/>
    <x v="1165"/>
    <x v="16"/>
    <s v="COMPTROLLER-OTHER"/>
    <s v="UNKNOWN"/>
    <x v="0"/>
  </r>
  <r>
    <n v="238886"/>
    <n v="500000"/>
    <x v="2"/>
    <x v="1165"/>
    <x v="16"/>
    <s v="COMPTROLLER-OTHER"/>
    <s v="UNKNOWN"/>
    <x v="0"/>
  </r>
  <r>
    <n v="238888"/>
    <n v="10000000"/>
    <x v="2"/>
    <x v="1304"/>
    <x v="2"/>
    <s v="COMPTROLLER-OTHER"/>
    <s v="UNKNOWN"/>
    <x v="0"/>
  </r>
  <r>
    <n v="238891"/>
    <n v="217398"/>
    <x v="0"/>
    <x v="1305"/>
    <x v="2"/>
    <s v="COMPTROLLER-OTHER"/>
    <s v="UNKNOWN"/>
    <x v="0"/>
  </r>
  <r>
    <n v="238892"/>
    <n v="151782"/>
    <x v="1"/>
    <x v="1306"/>
    <x v="2"/>
    <s v="COMPTROLLER-OTHER"/>
    <s v="UNKNOWN"/>
    <x v="0"/>
  </r>
  <r>
    <n v="238916"/>
    <n v="484048.39999999898"/>
    <x v="1"/>
    <x v="204"/>
    <x v="8"/>
    <s v="DELEGATE AGENCY"/>
    <s v="UNKNOWN"/>
    <x v="0"/>
  </r>
  <r>
    <n v="238924"/>
    <n v="20608"/>
    <x v="2"/>
    <x v="605"/>
    <x v="12"/>
    <s v="DELEGATE AGENCY"/>
    <s v="UNKNOWN"/>
    <x v="0"/>
  </r>
  <r>
    <n v="238926"/>
    <n v="36000"/>
    <x v="4"/>
    <x v="611"/>
    <x v="12"/>
    <s v="DELEGATE AGENCY"/>
    <s v="UNKNOWN"/>
    <x v="0"/>
  </r>
  <r>
    <n v="238940"/>
    <n v="1789609.9"/>
    <x v="4"/>
    <x v="156"/>
    <x v="16"/>
    <s v="DELEGATE AGENCY"/>
    <s v="UNKNOWN"/>
    <x v="0"/>
  </r>
  <r>
    <n v="238941"/>
    <n v="126025.8"/>
    <x v="0"/>
    <x v="444"/>
    <x v="12"/>
    <s v="DELEGATE AGENCY"/>
    <s v="UNKNOWN"/>
    <x v="0"/>
  </r>
  <r>
    <n v="238952"/>
    <n v="990990"/>
    <x v="1"/>
    <x v="112"/>
    <x v="12"/>
    <s v="DELEGATE AGENCY"/>
    <s v="UNKNOWN"/>
    <x v="0"/>
  </r>
  <r>
    <n v="238953"/>
    <n v="318087"/>
    <x v="2"/>
    <x v="112"/>
    <x v="12"/>
    <s v="DELEGATE AGENCY"/>
    <s v="UNKNOWN"/>
    <x v="0"/>
  </r>
  <r>
    <n v="238959"/>
    <n v="467744"/>
    <x v="2"/>
    <x v="102"/>
    <x v="12"/>
    <s v="DELEGATE AGENCY"/>
    <s v="UNKNOWN"/>
    <x v="0"/>
  </r>
  <r>
    <n v="238960"/>
    <n v="636174"/>
    <x v="2"/>
    <x v="69"/>
    <x v="12"/>
    <s v="DELEGATE AGENCY"/>
    <s v="UNKNOWN"/>
    <x v="0"/>
  </r>
  <r>
    <n v="238961"/>
    <n v="2013741.2"/>
    <x v="2"/>
    <x v="69"/>
    <x v="12"/>
    <s v="DELEGATE AGENCY"/>
    <s v="UNKNOWN"/>
    <x v="0"/>
  </r>
  <r>
    <n v="238962"/>
    <n v="212058"/>
    <x v="0"/>
    <x v="111"/>
    <x v="12"/>
    <s v="DELEGATE AGENCY"/>
    <s v="UNKNOWN"/>
    <x v="0"/>
  </r>
  <r>
    <n v="239121"/>
    <n v="75000"/>
    <x v="1"/>
    <x v="399"/>
    <x v="22"/>
    <s v="DELEGATE AGENCY"/>
    <s v="UNKNOWN"/>
    <x v="0"/>
  </r>
  <r>
    <n v="239122"/>
    <n v="100000"/>
    <x v="1"/>
    <x v="1197"/>
    <x v="8"/>
    <s v="DELEGATE AGENCY"/>
    <s v="UNKNOWN"/>
    <x v="0"/>
  </r>
  <r>
    <n v="239129"/>
    <n v="58316"/>
    <x v="1"/>
    <x v="446"/>
    <x v="12"/>
    <s v="DELEGATE AGENCY"/>
    <s v="UNKNOWN"/>
    <x v="0"/>
  </r>
  <r>
    <n v="239134"/>
    <n v="141884.1"/>
    <x v="1"/>
    <x v="1151"/>
    <x v="12"/>
    <s v="DELEGATE AGENCY"/>
    <s v="UNKNOWN"/>
    <x v="0"/>
  </r>
  <r>
    <n v="239150"/>
    <n v="209653"/>
    <x v="1"/>
    <x v="910"/>
    <x v="2"/>
    <s v="DELEGATE AGENCY"/>
    <s v="UNKNOWN"/>
    <x v="0"/>
  </r>
  <r>
    <n v="239225"/>
    <n v="354838"/>
    <x v="1"/>
    <x v="114"/>
    <x v="12"/>
    <s v="DELEGATE AGENCY"/>
    <s v="UNKNOWN"/>
    <x v="0"/>
  </r>
  <r>
    <n v="239226"/>
    <n v="8641"/>
    <x v="2"/>
    <x v="354"/>
    <x v="12"/>
    <s v="DELEGATE AGENCY"/>
    <s v="UNKNOWN"/>
    <x v="0"/>
  </r>
  <r>
    <n v="239227"/>
    <n v="5500000"/>
    <x v="3"/>
    <x v="1125"/>
    <x v="20"/>
    <s v="DELEGATE AGENCY"/>
    <s v="UNKNOWN"/>
    <x v="0"/>
  </r>
  <r>
    <n v="239256"/>
    <n v="36000"/>
    <x v="0"/>
    <x v="1161"/>
    <x v="12"/>
    <s v="DELEGATE AGENCY"/>
    <s v="UNKNOWN"/>
    <x v="0"/>
  </r>
  <r>
    <n v="239257"/>
    <n v="24111.200000000001"/>
    <x v="4"/>
    <x v="78"/>
    <x v="12"/>
    <s v="DELEGATE AGENCY"/>
    <s v="UNKNOWN"/>
    <x v="0"/>
  </r>
  <r>
    <n v="239258"/>
    <n v="37237"/>
    <x v="4"/>
    <x v="430"/>
    <x v="12"/>
    <s v="DELEGATE AGENCY"/>
    <s v="UNKNOWN"/>
    <x v="0"/>
  </r>
  <r>
    <n v="239259"/>
    <n v="34875.1"/>
    <x v="4"/>
    <x v="92"/>
    <x v="12"/>
    <s v="DELEGATE AGENCY"/>
    <s v="UNKNOWN"/>
    <x v="0"/>
  </r>
  <r>
    <n v="239260"/>
    <n v="36000"/>
    <x v="4"/>
    <x v="692"/>
    <x v="12"/>
    <s v="DELEGATE AGENCY"/>
    <s v="UNKNOWN"/>
    <x v="0"/>
  </r>
  <r>
    <n v="239261"/>
    <n v="36000"/>
    <x v="4"/>
    <x v="371"/>
    <x v="12"/>
    <s v="DELEGATE AGENCY"/>
    <s v="UNKNOWN"/>
    <x v="0"/>
  </r>
  <r>
    <n v="239267"/>
    <n v="756409.9"/>
    <x v="4"/>
    <x v="139"/>
    <x v="22"/>
    <s v="DELEGATE AGENCY"/>
    <s v="UNKNOWN"/>
    <x v="0"/>
  </r>
  <r>
    <n v="239270"/>
    <n v="1674152.6"/>
    <x v="2"/>
    <x v="399"/>
    <x v="22"/>
    <s v="DELEGATE AGENCY"/>
    <s v="UNKNOWN"/>
    <x v="0"/>
  </r>
  <r>
    <n v="239274"/>
    <n v="410793"/>
    <x v="0"/>
    <x v="139"/>
    <x v="22"/>
    <s v="DELEGATE AGENCY"/>
    <s v="UNKNOWN"/>
    <x v="0"/>
  </r>
  <r>
    <n v="239278"/>
    <n v="36000"/>
    <x v="2"/>
    <x v="444"/>
    <x v="12"/>
    <s v="DELEGATE AGENCY"/>
    <s v="UNKNOWN"/>
    <x v="0"/>
  </r>
  <r>
    <n v="239281"/>
    <n v="14004.3"/>
    <x v="4"/>
    <x v="78"/>
    <x v="12"/>
    <s v="DELEGATE AGENCY"/>
    <s v="UNKNOWN"/>
    <x v="0"/>
  </r>
  <r>
    <n v="239282"/>
    <n v="54000"/>
    <x v="4"/>
    <x v="1162"/>
    <x v="12"/>
    <s v="DELEGATE AGENCY"/>
    <s v="UNKNOWN"/>
    <x v="0"/>
  </r>
  <r>
    <n v="239287"/>
    <n v="10000"/>
    <x v="1"/>
    <x v="1011"/>
    <x v="20"/>
    <s v="COMPTROLLER-OTHER"/>
    <s v="UNKNOWN"/>
    <x v="0"/>
  </r>
  <r>
    <n v="239297"/>
    <n v="6000"/>
    <x v="4"/>
    <x v="1307"/>
    <x v="20"/>
    <s v="COMPTROLLER-OTHER"/>
    <s v="UNKNOWN"/>
    <x v="0"/>
  </r>
  <r>
    <n v="239298"/>
    <n v="6000"/>
    <x v="3"/>
    <x v="1308"/>
    <x v="20"/>
    <s v="COMPTROLLER-OTHER"/>
    <s v="UNKNOWN"/>
    <x v="0"/>
  </r>
  <r>
    <n v="239300"/>
    <n v="6000"/>
    <x v="3"/>
    <x v="1309"/>
    <x v="20"/>
    <s v="COMPTROLLER-OTHER"/>
    <s v="UNKNOWN"/>
    <x v="0"/>
  </r>
  <r>
    <n v="239301"/>
    <n v="108921.9"/>
    <x v="3"/>
    <x v="87"/>
    <x v="12"/>
    <s v="DELEGATE AGENCY"/>
    <s v="UNKNOWN"/>
    <x v="0"/>
  </r>
  <r>
    <n v="239302"/>
    <n v="6000"/>
    <x v="1"/>
    <x v="1310"/>
    <x v="20"/>
    <s v="COMPTROLLER-OTHER"/>
    <s v="UNKNOWN"/>
    <x v="0"/>
  </r>
  <r>
    <n v="239303"/>
    <n v="954120.7"/>
    <x v="3"/>
    <x v="74"/>
    <x v="12"/>
    <s v="DELEGATE AGENCY"/>
    <s v="UNKNOWN"/>
    <x v="0"/>
  </r>
  <r>
    <n v="239305"/>
    <n v="15000"/>
    <x v="2"/>
    <x v="1311"/>
    <x v="20"/>
    <s v="COMPTROLLER-OTHER"/>
    <s v="UNKNOWN"/>
    <x v="0"/>
  </r>
  <r>
    <n v="239306"/>
    <n v="3000"/>
    <x v="4"/>
    <x v="1312"/>
    <x v="20"/>
    <s v="COMPTROLLER-OTHER"/>
    <s v="UNKNOWN"/>
    <x v="0"/>
  </r>
  <r>
    <n v="239307"/>
    <n v="6000"/>
    <x v="3"/>
    <x v="1313"/>
    <x v="20"/>
    <s v="COMPTROLLER-OTHER"/>
    <s v="UNKNOWN"/>
    <x v="0"/>
  </r>
  <r>
    <n v="239309"/>
    <n v="6000"/>
    <x v="3"/>
    <x v="1314"/>
    <x v="20"/>
    <s v="COMPTROLLER-OTHER"/>
    <s v="UNKNOWN"/>
    <x v="0"/>
  </r>
  <r>
    <n v="239310"/>
    <n v="5000"/>
    <x v="3"/>
    <x v="1315"/>
    <x v="20"/>
    <s v="COMPTROLLER-OTHER"/>
    <s v="UNKNOWN"/>
    <x v="0"/>
  </r>
  <r>
    <n v="239312"/>
    <n v="6000"/>
    <x v="3"/>
    <x v="1316"/>
    <x v="20"/>
    <s v="COMPTROLLER-OTHER"/>
    <s v="UNKNOWN"/>
    <x v="0"/>
  </r>
  <r>
    <n v="239314"/>
    <n v="6000"/>
    <x v="3"/>
    <x v="1317"/>
    <x v="20"/>
    <s v="COMPTROLLER-OTHER"/>
    <s v="UNKNOWN"/>
    <x v="0"/>
  </r>
  <r>
    <n v="239315"/>
    <n v="3000"/>
    <x v="3"/>
    <x v="1318"/>
    <x v="20"/>
    <s v="COMPTROLLER-OTHER"/>
    <s v="UNKNOWN"/>
    <x v="0"/>
  </r>
  <r>
    <n v="239318"/>
    <n v="6000"/>
    <x v="3"/>
    <x v="1319"/>
    <x v="20"/>
    <s v="COMPTROLLER-OTHER"/>
    <s v="UNKNOWN"/>
    <x v="0"/>
  </r>
  <r>
    <n v="239319"/>
    <n v="6000"/>
    <x v="3"/>
    <x v="1320"/>
    <x v="20"/>
    <s v="COMPTROLLER-OTHER"/>
    <s v="UNKNOWN"/>
    <x v="0"/>
  </r>
  <r>
    <n v="239322"/>
    <n v="6000"/>
    <x v="3"/>
    <x v="1321"/>
    <x v="20"/>
    <s v="COMPTROLLER-OTHER"/>
    <s v="UNKNOWN"/>
    <x v="0"/>
  </r>
  <r>
    <n v="239323"/>
    <n v="6000"/>
    <x v="3"/>
    <x v="1322"/>
    <x v="20"/>
    <s v="COMPTROLLER-OTHER"/>
    <s v="UNKNOWN"/>
    <x v="0"/>
  </r>
  <r>
    <n v="239325"/>
    <n v="6000"/>
    <x v="3"/>
    <x v="1323"/>
    <x v="20"/>
    <s v="COMPTROLLER-OTHER"/>
    <s v="UNKNOWN"/>
    <x v="0"/>
  </r>
  <r>
    <n v="239326"/>
    <n v="6000"/>
    <x v="3"/>
    <x v="1324"/>
    <x v="20"/>
    <s v="COMPTROLLER-OTHER"/>
    <s v="UNKNOWN"/>
    <x v="0"/>
  </r>
  <r>
    <n v="239327"/>
    <n v="4250"/>
    <x v="3"/>
    <x v="1325"/>
    <x v="20"/>
    <s v="COMPTROLLER-OTHER"/>
    <s v="UNKNOWN"/>
    <x v="0"/>
  </r>
  <r>
    <n v="239328"/>
    <n v="3000"/>
    <x v="3"/>
    <x v="1326"/>
    <x v="20"/>
    <s v="COMPTROLLER-OTHER"/>
    <s v="UNKNOWN"/>
    <x v="0"/>
  </r>
  <r>
    <n v="239427"/>
    <n v="175457"/>
    <x v="3"/>
    <x v="24"/>
    <x v="12"/>
    <s v="DELEGATE AGENCY"/>
    <s v="UNKNOWN"/>
    <x v="0"/>
  </r>
  <r>
    <n v="239428"/>
    <n v="42280"/>
    <x v="1"/>
    <x v="211"/>
    <x v="12"/>
    <s v="DELEGATE AGENCY"/>
    <s v="UNKNOWN"/>
    <x v="0"/>
  </r>
  <r>
    <n v="239429"/>
    <n v="106029"/>
    <x v="4"/>
    <x v="115"/>
    <x v="12"/>
    <s v="DELEGATE AGENCY"/>
    <s v="UNKNOWN"/>
    <x v="0"/>
  </r>
  <r>
    <n v="239430"/>
    <n v="318087"/>
    <x v="1"/>
    <x v="117"/>
    <x v="12"/>
    <s v="DELEGATE AGENCY"/>
    <s v="UNKNOWN"/>
    <x v="0"/>
  </r>
  <r>
    <n v="239474"/>
    <n v="10000"/>
    <x v="2"/>
    <x v="1327"/>
    <x v="20"/>
    <s v="COMPTROLLER-OTHER"/>
    <s v="UNKNOWN"/>
    <x v="0"/>
  </r>
  <r>
    <n v="239477"/>
    <n v="10000"/>
    <x v="4"/>
    <x v="1328"/>
    <x v="20"/>
    <s v="COMPTROLLER-OTHER"/>
    <s v="UNKNOWN"/>
    <x v="0"/>
  </r>
  <r>
    <n v="239479"/>
    <n v="10000"/>
    <x v="4"/>
    <x v="1234"/>
    <x v="20"/>
    <s v="COMPTROLLER-OTHER"/>
    <s v="UNKNOWN"/>
    <x v="0"/>
  </r>
  <r>
    <n v="239481"/>
    <n v="45000"/>
    <x v="4"/>
    <x v="1329"/>
    <x v="20"/>
    <s v="COMPTROLLER-OTHER"/>
    <s v="UNKNOWN"/>
    <x v="0"/>
  </r>
  <r>
    <n v="239482"/>
    <n v="10000"/>
    <x v="4"/>
    <x v="1330"/>
    <x v="20"/>
    <s v="COMPTROLLER-OTHER"/>
    <s v="UNKNOWN"/>
    <x v="0"/>
  </r>
  <r>
    <n v="239483"/>
    <n v="30000"/>
    <x v="4"/>
    <x v="1331"/>
    <x v="20"/>
    <s v="COMPTROLLER-OTHER"/>
    <s v="UNKNOWN"/>
    <x v="0"/>
  </r>
  <r>
    <n v="239486"/>
    <n v="10000"/>
    <x v="4"/>
    <x v="1332"/>
    <x v="20"/>
    <s v="COMPTROLLER-OTHER"/>
    <s v="UNKNOWN"/>
    <x v="0"/>
  </r>
  <r>
    <n v="239487"/>
    <n v="10000"/>
    <x v="4"/>
    <x v="1333"/>
    <x v="20"/>
    <s v="COMPTROLLER-OTHER"/>
    <s v="UNKNOWN"/>
    <x v="0"/>
  </r>
  <r>
    <n v="239488"/>
    <n v="150206.9"/>
    <x v="4"/>
    <x v="59"/>
    <x v="12"/>
    <s v="DELEGATE AGENCY"/>
    <s v="UNKNOWN"/>
    <x v="0"/>
  </r>
  <r>
    <n v="239489"/>
    <n v="20000"/>
    <x v="1"/>
    <x v="1334"/>
    <x v="20"/>
    <s v="COMPTROLLER-OTHER"/>
    <s v="UNKNOWN"/>
    <x v="0"/>
  </r>
  <r>
    <n v="239490"/>
    <n v="25000"/>
    <x v="4"/>
    <x v="1335"/>
    <x v="20"/>
    <s v="COMPTROLLER-OTHER"/>
    <s v="UNKNOWN"/>
    <x v="0"/>
  </r>
  <r>
    <n v="239493"/>
    <n v="20000"/>
    <x v="4"/>
    <x v="1336"/>
    <x v="20"/>
    <s v="COMPTROLLER-OTHER"/>
    <s v="UNKNOWN"/>
    <x v="0"/>
  </r>
  <r>
    <n v="239494"/>
    <n v="10000"/>
    <x v="4"/>
    <x v="1337"/>
    <x v="20"/>
    <s v="COMPTROLLER-OTHER"/>
    <s v="UNKNOWN"/>
    <x v="0"/>
  </r>
  <r>
    <n v="239496"/>
    <n v="10000"/>
    <x v="4"/>
    <x v="1338"/>
    <x v="20"/>
    <s v="COMPTROLLER-OTHER"/>
    <s v="UNKNOWN"/>
    <x v="0"/>
  </r>
  <r>
    <n v="239508"/>
    <n v="9657534"/>
    <x v="4"/>
    <x v="139"/>
    <x v="8"/>
    <s v="DELEGATE AGENCY"/>
    <s v="RFP"/>
    <x v="0"/>
  </r>
  <r>
    <n v="23954"/>
    <n v="714872.2"/>
    <x v="0"/>
    <x v="1339"/>
    <x v="0"/>
    <s v="CONSTRUCTION-GENERAL"/>
    <s v="BID"/>
    <x v="0"/>
  </r>
  <r>
    <n v="239731"/>
    <n v="46703"/>
    <x v="2"/>
    <x v="298"/>
    <x v="12"/>
    <s v="DELEGATE AGENCY"/>
    <s v="UNKNOWN"/>
    <x v="0"/>
  </r>
  <r>
    <n v="239732"/>
    <n v="107523"/>
    <x v="4"/>
    <x v="285"/>
    <x v="12"/>
    <s v="DELEGATE AGENCY"/>
    <s v="UNKNOWN"/>
    <x v="0"/>
  </r>
  <r>
    <n v="239733"/>
    <n v="800082.9"/>
    <x v="1"/>
    <x v="65"/>
    <x v="12"/>
    <s v="DELEGATE AGENCY"/>
    <s v="UNKNOWN"/>
    <x v="0"/>
  </r>
  <r>
    <n v="239734"/>
    <n v="813120"/>
    <x v="2"/>
    <x v="121"/>
    <x v="12"/>
    <s v="DELEGATE AGENCY"/>
    <s v="UNKNOWN"/>
    <x v="0"/>
  </r>
  <r>
    <n v="239735"/>
    <n v="381150"/>
    <x v="2"/>
    <x v="87"/>
    <x v="12"/>
    <s v="DELEGATE AGENCY"/>
    <s v="UNKNOWN"/>
    <x v="0"/>
  </r>
  <r>
    <n v="239736"/>
    <n v="1457580.5"/>
    <x v="2"/>
    <x v="63"/>
    <x v="12"/>
    <s v="DELEGATE AGENCY"/>
    <s v="UNKNOWN"/>
    <x v="0"/>
  </r>
  <r>
    <n v="239737"/>
    <n v="962018.6"/>
    <x v="0"/>
    <x v="67"/>
    <x v="12"/>
    <s v="DELEGATE AGENCY"/>
    <s v="UNKNOWN"/>
    <x v="0"/>
  </r>
  <r>
    <n v="239738"/>
    <n v="1826425.9"/>
    <x v="2"/>
    <x v="67"/>
    <x v="12"/>
    <s v="DELEGATE AGENCY"/>
    <s v="UNKNOWN"/>
    <x v="0"/>
  </r>
  <r>
    <n v="239749"/>
    <n v="256130"/>
    <x v="0"/>
    <x v="68"/>
    <x v="8"/>
    <s v="DELEGATE AGENCY"/>
    <s v="UNKNOWN"/>
    <x v="0"/>
  </r>
  <r>
    <n v="239750"/>
    <n v="244421"/>
    <x v="2"/>
    <x v="496"/>
    <x v="8"/>
    <s v="DELEGATE AGENCY"/>
    <s v="UNKNOWN"/>
    <x v="0"/>
  </r>
  <r>
    <n v="239751"/>
    <n v="236307"/>
    <x v="1"/>
    <x v="467"/>
    <x v="8"/>
    <s v="DELEGATE AGENCY"/>
    <s v="UNKNOWN"/>
    <x v="0"/>
  </r>
  <r>
    <n v="239752"/>
    <n v="431762"/>
    <x v="1"/>
    <x v="41"/>
    <x v="8"/>
    <s v="DELEGATE AGENCY"/>
    <s v="UNKNOWN"/>
    <x v="0"/>
  </r>
  <r>
    <n v="239764"/>
    <n v="5000"/>
    <x v="2"/>
    <x v="1340"/>
    <x v="20"/>
    <s v="COMPTROLLER-OTHER"/>
    <s v="UNKNOWN"/>
    <x v="0"/>
  </r>
  <r>
    <n v="239765"/>
    <n v="12000000"/>
    <x v="3"/>
    <x v="1341"/>
    <x v="6"/>
    <s v="PRO SERV-AVIATION"/>
    <s v="RFQ"/>
    <x v="0"/>
  </r>
  <r>
    <n v="239766"/>
    <n v="10000"/>
    <x v="0"/>
    <x v="1342"/>
    <x v="20"/>
    <s v="COMPTROLLER-OTHER"/>
    <s v="UNKNOWN"/>
    <x v="0"/>
  </r>
  <r>
    <n v="239772"/>
    <n v="36000"/>
    <x v="4"/>
    <x v="167"/>
    <x v="12"/>
    <s v="DELEGATE AGENCY"/>
    <s v="UNKNOWN"/>
    <x v="0"/>
  </r>
  <r>
    <n v="239773"/>
    <n v="36000"/>
    <x v="4"/>
    <x v="76"/>
    <x v="12"/>
    <s v="DELEGATE AGENCY"/>
    <s v="UNKNOWN"/>
    <x v="0"/>
  </r>
  <r>
    <n v="239776"/>
    <n v="225000"/>
    <x v="4"/>
    <x v="1343"/>
    <x v="8"/>
    <s v="DELEGATE AGENCY"/>
    <s v="RFP"/>
    <x v="0"/>
  </r>
  <r>
    <n v="239783"/>
    <n v="65704.3"/>
    <x v="1"/>
    <x v="376"/>
    <x v="12"/>
    <s v="DELEGATE AGENCY"/>
    <s v="UNKNOWN"/>
    <x v="0"/>
  </r>
  <r>
    <n v="239787"/>
    <n v="168935.9"/>
    <x v="1"/>
    <x v="340"/>
    <x v="12"/>
    <s v="DELEGATE AGENCY"/>
    <s v="UNKNOWN"/>
    <x v="0"/>
  </r>
  <r>
    <n v="239791"/>
    <n v="30000"/>
    <x v="1"/>
    <x v="1344"/>
    <x v="20"/>
    <s v="COMPTROLLER-OTHER"/>
    <s v="UNKNOWN"/>
    <x v="0"/>
  </r>
  <r>
    <n v="239792"/>
    <n v="250000"/>
    <x v="4"/>
    <x v="1345"/>
    <x v="2"/>
    <s v="COMPTROLLER-OTHER"/>
    <s v="UNKNOWN"/>
    <x v="0"/>
  </r>
  <r>
    <n v="239795"/>
    <n v="162691"/>
    <x v="2"/>
    <x v="1346"/>
    <x v="2"/>
    <s v="COMPTROLLER-OTHER"/>
    <s v="UNKNOWN"/>
    <x v="0"/>
  </r>
  <r>
    <n v="239796"/>
    <n v="740000"/>
    <x v="1"/>
    <x v="145"/>
    <x v="2"/>
    <s v="COMPTROLLER-OTHER"/>
    <s v="UNKNOWN"/>
    <x v="0"/>
  </r>
  <r>
    <n v="239797"/>
    <n v="250000"/>
    <x v="2"/>
    <x v="1347"/>
    <x v="2"/>
    <s v="COMPTROLLER-OTHER"/>
    <s v="UNKNOWN"/>
    <x v="0"/>
  </r>
  <r>
    <n v="239806"/>
    <n v="172000"/>
    <x v="2"/>
    <x v="145"/>
    <x v="2"/>
    <s v="COMPTROLLER-OTHER"/>
    <s v="UNKNOWN"/>
    <x v="0"/>
  </r>
  <r>
    <n v="239835"/>
    <n v="175000"/>
    <x v="1"/>
    <x v="1348"/>
    <x v="8"/>
    <s v="COMPTROLLER-OTHER"/>
    <s v="UNKNOWN"/>
    <x v="0"/>
  </r>
  <r>
    <n v="239851"/>
    <n v="45000"/>
    <x v="1"/>
    <x v="673"/>
    <x v="20"/>
    <s v="COMPTROLLER-OTHER"/>
    <s v="UNKNOWN"/>
    <x v="0"/>
  </r>
  <r>
    <n v="239854"/>
    <n v="250000"/>
    <x v="4"/>
    <x v="1349"/>
    <x v="20"/>
    <s v="COMPTROLLER-OTHER"/>
    <s v="UNKNOWN"/>
    <x v="0"/>
  </r>
  <r>
    <n v="239856"/>
    <n v="150000"/>
    <x v="2"/>
    <x v="1350"/>
    <x v="20"/>
    <s v="COMPTROLLER-OTHER"/>
    <s v="UNKNOWN"/>
    <x v="0"/>
  </r>
  <r>
    <n v="239857"/>
    <n v="75000"/>
    <x v="1"/>
    <x v="1351"/>
    <x v="20"/>
    <s v="COMPTROLLER-OTHER"/>
    <s v="UNKNOWN"/>
    <x v="0"/>
  </r>
  <r>
    <n v="239861"/>
    <n v="45000"/>
    <x v="1"/>
    <x v="1352"/>
    <x v="20"/>
    <s v="COMPTROLLER-OTHER"/>
    <s v="UNKNOWN"/>
    <x v="0"/>
  </r>
  <r>
    <n v="239864"/>
    <n v="100000"/>
    <x v="4"/>
    <x v="1353"/>
    <x v="9"/>
    <s v="COMPTROLLER-OTHER"/>
    <s v="UNKNOWN"/>
    <x v="0"/>
  </r>
  <r>
    <n v="239867"/>
    <n v="1208103.3"/>
    <x v="1"/>
    <x v="139"/>
    <x v="22"/>
    <s v="DELEGATE AGENCY"/>
    <s v="UNKNOWN"/>
    <x v="0"/>
  </r>
  <r>
    <n v="239920"/>
    <n v="776989.6"/>
    <x v="0"/>
    <x v="510"/>
    <x v="12"/>
    <s v="DELEGATE AGENCY"/>
    <s v="UNKNOWN"/>
    <x v="0"/>
  </r>
  <r>
    <n v="239921"/>
    <n v="1513913"/>
    <x v="2"/>
    <x v="510"/>
    <x v="12"/>
    <s v="DELEGATE AGENCY"/>
    <s v="UNKNOWN"/>
    <x v="0"/>
  </r>
  <r>
    <n v="239941"/>
    <n v="70712"/>
    <x v="0"/>
    <x v="305"/>
    <x v="12"/>
    <s v="DELEGATE AGENCY"/>
    <s v="UNKNOWN"/>
    <x v="0"/>
  </r>
  <r>
    <n v="239942"/>
    <n v="56989"/>
    <x v="1"/>
    <x v="305"/>
    <x v="12"/>
    <s v="DELEGATE AGENCY"/>
    <s v="UNKNOWN"/>
    <x v="0"/>
  </r>
  <r>
    <n v="239943"/>
    <n v="567608.4"/>
    <x v="1"/>
    <x v="25"/>
    <x v="12"/>
    <s v="DELEGATE AGENCY"/>
    <s v="UNKNOWN"/>
    <x v="0"/>
  </r>
  <r>
    <n v="239944"/>
    <n v="1556339"/>
    <x v="2"/>
    <x v="63"/>
    <x v="12"/>
    <s v="DELEGATE AGENCY"/>
    <s v="UNKNOWN"/>
    <x v="0"/>
  </r>
  <r>
    <n v="239945"/>
    <n v="112266"/>
    <x v="0"/>
    <x v="100"/>
    <x v="12"/>
    <s v="DELEGATE AGENCY"/>
    <s v="UNKNOWN"/>
    <x v="0"/>
  </r>
  <r>
    <n v="239946"/>
    <n v="406560"/>
    <x v="1"/>
    <x v="100"/>
    <x v="12"/>
    <s v="DELEGATE AGENCY"/>
    <s v="UNKNOWN"/>
    <x v="0"/>
  </r>
  <r>
    <n v="239947"/>
    <n v="505197"/>
    <x v="2"/>
    <x v="121"/>
    <x v="12"/>
    <s v="DELEGATE AGENCY"/>
    <s v="UNKNOWN"/>
    <x v="0"/>
  </r>
  <r>
    <n v="239948"/>
    <n v="304920"/>
    <x v="2"/>
    <x v="130"/>
    <x v="12"/>
    <s v="DELEGATE AGENCY"/>
    <s v="UNKNOWN"/>
    <x v="0"/>
  </r>
  <r>
    <n v="239949"/>
    <n v="62369.2"/>
    <x v="2"/>
    <x v="130"/>
    <x v="12"/>
    <s v="DELEGATE AGENCY"/>
    <s v="UNKNOWN"/>
    <x v="0"/>
  </r>
  <r>
    <n v="239950"/>
    <n v="660158.80000000005"/>
    <x v="1"/>
    <x v="597"/>
    <x v="12"/>
    <s v="DELEGATE AGENCY"/>
    <s v="UNKNOWN"/>
    <x v="0"/>
  </r>
  <r>
    <n v="239951"/>
    <n v="1217181.2"/>
    <x v="2"/>
    <x v="597"/>
    <x v="12"/>
    <s v="DELEGATE AGENCY"/>
    <s v="UNKNOWN"/>
    <x v="0"/>
  </r>
  <r>
    <n v="239952"/>
    <n v="420080.9"/>
    <x v="0"/>
    <x v="77"/>
    <x v="12"/>
    <s v="DELEGATE AGENCY"/>
    <s v="UNKNOWN"/>
    <x v="0"/>
  </r>
  <r>
    <n v="239953"/>
    <n v="145519"/>
    <x v="2"/>
    <x v="80"/>
    <x v="12"/>
    <s v="DELEGATE AGENCY"/>
    <s v="UNKNOWN"/>
    <x v="0"/>
  </r>
  <r>
    <n v="239954"/>
    <n v="367802.5"/>
    <x v="1"/>
    <x v="59"/>
    <x v="12"/>
    <s v="DELEGATE AGENCY"/>
    <s v="UNKNOWN"/>
    <x v="0"/>
  </r>
  <r>
    <n v="239955"/>
    <n v="673536"/>
    <x v="2"/>
    <x v="101"/>
    <x v="12"/>
    <s v="DELEGATE AGENCY"/>
    <s v="UNKNOWN"/>
    <x v="0"/>
  </r>
  <r>
    <n v="239956"/>
    <n v="1016400"/>
    <x v="2"/>
    <x v="101"/>
    <x v="12"/>
    <s v="DELEGATE AGENCY"/>
    <s v="UNKNOWN"/>
    <x v="0"/>
  </r>
  <r>
    <n v="239957"/>
    <n v="134157.4"/>
    <x v="0"/>
    <x v="82"/>
    <x v="12"/>
    <s v="DELEGATE AGENCY"/>
    <s v="UNKNOWN"/>
    <x v="0"/>
  </r>
  <r>
    <n v="239959"/>
    <n v="2189919.2000000002"/>
    <x v="1"/>
    <x v="61"/>
    <x v="12"/>
    <s v="DELEGATE AGENCY"/>
    <s v="UNKNOWN"/>
    <x v="0"/>
  </r>
  <r>
    <n v="239961"/>
    <n v="106029"/>
    <x v="0"/>
    <x v="132"/>
    <x v="12"/>
    <s v="DELEGATE AGENCY"/>
    <s v="UNKNOWN"/>
    <x v="0"/>
  </r>
  <r>
    <n v="239962"/>
    <n v="212058"/>
    <x v="1"/>
    <x v="91"/>
    <x v="12"/>
    <s v="DELEGATE AGENCY"/>
    <s v="UNKNOWN"/>
    <x v="0"/>
  </r>
  <r>
    <n v="239963"/>
    <n v="400827.1"/>
    <x v="1"/>
    <x v="132"/>
    <x v="12"/>
    <s v="DELEGATE AGENCY"/>
    <s v="UNKNOWN"/>
    <x v="0"/>
  </r>
  <r>
    <n v="239964"/>
    <n v="241240"/>
    <x v="2"/>
    <x v="91"/>
    <x v="12"/>
    <s v="DELEGATE AGENCY"/>
    <s v="UNKNOWN"/>
    <x v="0"/>
  </r>
  <r>
    <n v="239965"/>
    <n v="1052287.8999999999"/>
    <x v="1"/>
    <x v="114"/>
    <x v="12"/>
    <s v="DELEGATE AGENCY"/>
    <s v="UNKNOWN"/>
    <x v="0"/>
  </r>
  <r>
    <n v="239966"/>
    <n v="708026.3"/>
    <x v="0"/>
    <x v="114"/>
    <x v="12"/>
    <s v="DELEGATE AGENCY"/>
    <s v="UNKNOWN"/>
    <x v="0"/>
  </r>
  <r>
    <n v="239981"/>
    <n v="799083"/>
    <x v="2"/>
    <x v="201"/>
    <x v="8"/>
    <s v="DELEGATE AGENCY"/>
    <s v="RFP"/>
    <x v="0"/>
  </r>
  <r>
    <n v="239987"/>
    <n v="59718"/>
    <x v="2"/>
    <x v="1354"/>
    <x v="1"/>
    <s v="PROPERTY LEASE"/>
    <s v="UNKNOWN"/>
    <x v="0"/>
  </r>
  <r>
    <n v="240039"/>
    <n v="179682.8"/>
    <x v="1"/>
    <x v="57"/>
    <x v="12"/>
    <s v="DELEGATE AGENCY"/>
    <s v="UNKNOWN"/>
    <x v="0"/>
  </r>
  <r>
    <n v="240250"/>
    <n v="152188.20000000001"/>
    <x v="1"/>
    <x v="342"/>
    <x v="12"/>
    <s v="DELEGATE AGENCY"/>
    <s v="UNKNOWN"/>
    <x v="0"/>
  </r>
  <r>
    <n v="240271"/>
    <n v="730000"/>
    <x v="1"/>
    <x v="25"/>
    <x v="2"/>
    <s v="DELEGATE AGENCY"/>
    <s v="UNKNOWN"/>
    <x v="0"/>
  </r>
  <r>
    <n v="240423"/>
    <n v="300000"/>
    <x v="2"/>
    <x v="1023"/>
    <x v="2"/>
    <s v="DELEGATE AGENCY"/>
    <s v="UNKNOWN"/>
    <x v="0"/>
  </r>
  <r>
    <n v="240427"/>
    <n v="300000"/>
    <x v="2"/>
    <x v="370"/>
    <x v="2"/>
    <s v="DELEGATE AGENCY"/>
    <s v="UNKNOWN"/>
    <x v="0"/>
  </r>
  <r>
    <n v="240453"/>
    <n v="271200"/>
    <x v="2"/>
    <x v="1019"/>
    <x v="2"/>
    <s v="DELEGATE AGENCY"/>
    <s v="UNKNOWN"/>
    <x v="0"/>
  </r>
  <r>
    <n v="240611"/>
    <n v="118916.4"/>
    <x v="2"/>
    <x v="377"/>
    <x v="2"/>
    <s v="DELEGATE AGENCY"/>
    <s v="UNKNOWN"/>
    <x v="0"/>
  </r>
  <r>
    <n v="240624"/>
    <n v="350000"/>
    <x v="1"/>
    <x v="1018"/>
    <x v="16"/>
    <s v="DELEGATE AGENCY"/>
    <s v="UNKNOWN"/>
    <x v="0"/>
  </r>
  <r>
    <n v="240627"/>
    <n v="300000"/>
    <x v="2"/>
    <x v="988"/>
    <x v="2"/>
    <s v="DELEGATE AGENCY"/>
    <s v="UNKNOWN"/>
    <x v="0"/>
  </r>
  <r>
    <n v="240634"/>
    <n v="200000"/>
    <x v="2"/>
    <x v="1024"/>
    <x v="2"/>
    <s v="DELEGATE AGENCY"/>
    <s v="UNKNOWN"/>
    <x v="0"/>
  </r>
  <r>
    <n v="240636"/>
    <n v="418000"/>
    <x v="1"/>
    <x v="314"/>
    <x v="2"/>
    <s v="DELEGATE AGENCY"/>
    <s v="UNKNOWN"/>
    <x v="0"/>
  </r>
  <r>
    <n v="240637"/>
    <n v="4643348.5999999996"/>
    <x v="2"/>
    <x v="160"/>
    <x v="5"/>
    <s v="COMMODITIES"/>
    <s v="BID"/>
    <x v="1"/>
  </r>
  <r>
    <n v="240700"/>
    <n v="37352.6"/>
    <x v="0"/>
    <x v="62"/>
    <x v="12"/>
    <s v="DELEGATE AGENCY"/>
    <s v="UNKNOWN"/>
    <x v="0"/>
  </r>
  <r>
    <n v="240701"/>
    <n v="34344"/>
    <x v="4"/>
    <x v="1022"/>
    <x v="12"/>
    <s v="DELEGATE AGENCY"/>
    <s v="UNKNOWN"/>
    <x v="0"/>
  </r>
  <r>
    <n v="240731"/>
    <n v="61000"/>
    <x v="4"/>
    <x v="285"/>
    <x v="12"/>
    <s v="DELEGATE AGENCY"/>
    <s v="UNKNOWN"/>
    <x v="0"/>
  </r>
  <r>
    <n v="240736"/>
    <n v="124368.2"/>
    <x v="1"/>
    <x v="40"/>
    <x v="12"/>
    <s v="DELEGATE AGENCY"/>
    <s v="UNKNOWN"/>
    <x v="0"/>
  </r>
  <r>
    <n v="240737"/>
    <n v="83066.7"/>
    <x v="1"/>
    <x v="301"/>
    <x v="12"/>
    <s v="DELEGATE AGENCY"/>
    <s v="UNKNOWN"/>
    <x v="0"/>
  </r>
  <r>
    <n v="240738"/>
    <n v="128580.1"/>
    <x v="1"/>
    <x v="290"/>
    <x v="12"/>
    <s v="DELEGATE AGENCY"/>
    <s v="UNKNOWN"/>
    <x v="0"/>
  </r>
  <r>
    <n v="240739"/>
    <n v="33788.1"/>
    <x v="1"/>
    <x v="296"/>
    <x v="12"/>
    <s v="DELEGATE AGENCY"/>
    <s v="UNKNOWN"/>
    <x v="0"/>
  </r>
  <r>
    <n v="240740"/>
    <n v="100000"/>
    <x v="4"/>
    <x v="84"/>
    <x v="12"/>
    <s v="DELEGATE AGENCY"/>
    <s v="UNKNOWN"/>
    <x v="0"/>
  </r>
  <r>
    <n v="240741"/>
    <n v="150903.4"/>
    <x v="1"/>
    <x v="298"/>
    <x v="12"/>
    <s v="DELEGATE AGENCY"/>
    <s v="UNKNOWN"/>
    <x v="0"/>
  </r>
  <r>
    <n v="240742"/>
    <n v="54279.1"/>
    <x v="1"/>
    <x v="301"/>
    <x v="12"/>
    <s v="DELEGATE AGENCY"/>
    <s v="UNKNOWN"/>
    <x v="0"/>
  </r>
  <r>
    <n v="240767"/>
    <n v="28700"/>
    <x v="1"/>
    <x v="201"/>
    <x v="8"/>
    <s v="DELEGATE AGENCY"/>
    <s v="UNKNOWN"/>
    <x v="0"/>
  </r>
  <r>
    <n v="240814"/>
    <n v="14400"/>
    <x v="4"/>
    <x v="169"/>
    <x v="8"/>
    <s v="DELEGATE AGENCY"/>
    <s v="UNKNOWN"/>
    <x v="0"/>
  </r>
  <r>
    <n v="240863"/>
    <n v="57500"/>
    <x v="4"/>
    <x v="346"/>
    <x v="12"/>
    <s v="DELEGATE AGENCY"/>
    <s v="UNKNOWN"/>
    <x v="0"/>
  </r>
  <r>
    <n v="240893"/>
    <n v="8967735"/>
    <x v="1"/>
    <x v="568"/>
    <x v="9"/>
    <s v="PRO SERV CONSULTING $250,000orABOVE"/>
    <s v="REFERENCE CONTRACT"/>
    <x v="0"/>
  </r>
  <r>
    <n v="240949"/>
    <n v="296598.09999999998"/>
    <x v="0"/>
    <x v="392"/>
    <x v="2"/>
    <s v="DELEGATE AGENCY"/>
    <s v="UNKNOWN"/>
    <x v="0"/>
  </r>
  <r>
    <n v="240990"/>
    <n v="631660"/>
    <x v="2"/>
    <x v="44"/>
    <x v="1"/>
    <s v="DELEGATE AGENCY"/>
    <s v="SOLE SOURCE"/>
    <x v="0"/>
  </r>
  <r>
    <n v="240998"/>
    <n v="118808"/>
    <x v="2"/>
    <x v="531"/>
    <x v="12"/>
    <s v="DELEGATE AGENCY"/>
    <s v="RFP"/>
    <x v="0"/>
  </r>
  <r>
    <n v="240999"/>
    <n v="35640"/>
    <x v="1"/>
    <x v="532"/>
    <x v="12"/>
    <s v="DELEGATE AGENCY"/>
    <s v="RFP"/>
    <x v="0"/>
  </r>
  <r>
    <n v="241000"/>
    <n v="43560"/>
    <x v="4"/>
    <x v="170"/>
    <x v="12"/>
    <s v="DELEGATE AGENCY"/>
    <s v="RFP"/>
    <x v="0"/>
  </r>
  <r>
    <n v="241001"/>
    <n v="31680"/>
    <x v="4"/>
    <x v="533"/>
    <x v="12"/>
    <s v="DELEGATE AGENCY"/>
    <s v="RFP"/>
    <x v="0"/>
  </r>
  <r>
    <n v="241002"/>
    <n v="21780"/>
    <x v="4"/>
    <x v="534"/>
    <x v="12"/>
    <s v="DELEGATE AGENCY"/>
    <s v="RFP"/>
    <x v="0"/>
  </r>
  <r>
    <n v="241003"/>
    <n v="2300000"/>
    <x v="4"/>
    <x v="297"/>
    <x v="12"/>
    <s v="DELEGATE AGENCY"/>
    <s v="RFP"/>
    <x v="0"/>
  </r>
  <r>
    <n v="241011"/>
    <n v="334639082"/>
    <x v="0"/>
    <x v="865"/>
    <x v="12"/>
    <s v="PRO SERV CONSULTING $250,000orABOVE"/>
    <s v="REFERENCE CONTRACT"/>
    <x v="0"/>
  </r>
  <r>
    <n v="241024"/>
    <n v="729083"/>
    <x v="0"/>
    <x v="44"/>
    <x v="1"/>
    <s v="DELEGATE AGENCY"/>
    <s v="SOLE SOURCE"/>
    <x v="0"/>
  </r>
  <r>
    <n v="241059"/>
    <n v="224307.6"/>
    <x v="2"/>
    <x v="44"/>
    <x v="8"/>
    <s v="DELEGATE AGENCY"/>
    <s v="UNKNOWN"/>
    <x v="0"/>
  </r>
  <r>
    <n v="241080"/>
    <n v="65354.9"/>
    <x v="1"/>
    <x v="284"/>
    <x v="12"/>
    <s v="DELEGATE AGENCY"/>
    <s v="UNKNOWN"/>
    <x v="0"/>
  </r>
  <r>
    <n v="241081"/>
    <n v="66181.7"/>
    <x v="1"/>
    <x v="317"/>
    <x v="12"/>
    <s v="DELEGATE AGENCY"/>
    <s v="UNKNOWN"/>
    <x v="0"/>
  </r>
  <r>
    <n v="241082"/>
    <n v="286207.40000000002"/>
    <x v="1"/>
    <x v="290"/>
    <x v="12"/>
    <s v="DELEGATE AGENCY"/>
    <s v="UNKNOWN"/>
    <x v="0"/>
  </r>
  <r>
    <n v="241083"/>
    <n v="617191"/>
    <x v="2"/>
    <x v="128"/>
    <x v="12"/>
    <s v="DELEGATE AGENCY"/>
    <s v="UNKNOWN"/>
    <x v="0"/>
  </r>
  <r>
    <n v="241084"/>
    <n v="475086.5"/>
    <x v="2"/>
    <x v="64"/>
    <x v="12"/>
    <s v="DELEGATE AGENCY"/>
    <s v="UNKNOWN"/>
    <x v="0"/>
  </r>
  <r>
    <n v="241085"/>
    <n v="162502.1"/>
    <x v="2"/>
    <x v="124"/>
    <x v="12"/>
    <s v="DELEGATE AGENCY"/>
    <s v="UNKNOWN"/>
    <x v="0"/>
  </r>
  <r>
    <n v="241086"/>
    <n v="277200"/>
    <x v="1"/>
    <x v="125"/>
    <x v="12"/>
    <s v="DELEGATE AGENCY"/>
    <s v="UNKNOWN"/>
    <x v="0"/>
  </r>
  <r>
    <n v="241087"/>
    <n v="471923.5"/>
    <x v="2"/>
    <x v="90"/>
    <x v="12"/>
    <s v="DELEGATE AGENCY"/>
    <s v="UNKNOWN"/>
    <x v="0"/>
  </r>
  <r>
    <n v="241089"/>
    <n v="1141371"/>
    <x v="2"/>
    <x v="70"/>
    <x v="12"/>
    <s v="DELEGATE AGENCY"/>
    <s v="UNKNOWN"/>
    <x v="0"/>
  </r>
  <r>
    <n v="241092"/>
    <n v="914760"/>
    <x v="0"/>
    <x v="70"/>
    <x v="12"/>
    <s v="DELEGATE AGENCY"/>
    <s v="UNKNOWN"/>
    <x v="0"/>
  </r>
  <r>
    <n v="241093"/>
    <n v="685415.8"/>
    <x v="2"/>
    <x v="77"/>
    <x v="12"/>
    <s v="DELEGATE AGENCY"/>
    <s v="UNKNOWN"/>
    <x v="0"/>
  </r>
  <r>
    <n v="241094"/>
    <n v="540730.9"/>
    <x v="2"/>
    <x v="113"/>
    <x v="12"/>
    <s v="DELEGATE AGENCY"/>
    <s v="UNKNOWN"/>
    <x v="0"/>
  </r>
  <r>
    <n v="241095"/>
    <n v="124737.4"/>
    <x v="2"/>
    <x v="135"/>
    <x v="12"/>
    <s v="DELEGATE AGENCY"/>
    <s v="UNKNOWN"/>
    <x v="0"/>
  </r>
  <r>
    <n v="241096"/>
    <n v="142010.70000000001"/>
    <x v="1"/>
    <x v="135"/>
    <x v="12"/>
    <s v="DELEGATE AGENCY"/>
    <s v="UNKNOWN"/>
    <x v="0"/>
  </r>
  <r>
    <n v="241097"/>
    <n v="898570.8"/>
    <x v="1"/>
    <x v="133"/>
    <x v="12"/>
    <s v="DELEGATE AGENCY"/>
    <s v="UNKNOWN"/>
    <x v="0"/>
  </r>
  <r>
    <n v="241098"/>
    <n v="506335.6"/>
    <x v="2"/>
    <x v="66"/>
    <x v="12"/>
    <s v="DELEGATE AGENCY"/>
    <s v="UNKNOWN"/>
    <x v="0"/>
  </r>
  <r>
    <n v="241099"/>
    <n v="233277.4"/>
    <x v="2"/>
    <x v="68"/>
    <x v="12"/>
    <s v="DELEGATE AGENCY"/>
    <s v="UNKNOWN"/>
    <x v="0"/>
  </r>
  <r>
    <n v="241100"/>
    <n v="212058"/>
    <x v="1"/>
    <x v="122"/>
    <x v="12"/>
    <s v="DELEGATE AGENCY"/>
    <s v="UNKNOWN"/>
    <x v="0"/>
  </r>
  <r>
    <n v="241101"/>
    <n v="256033.8"/>
    <x v="1"/>
    <x v="118"/>
    <x v="12"/>
    <s v="DELEGATE AGENCY"/>
    <s v="UNKNOWN"/>
    <x v="0"/>
  </r>
  <r>
    <n v="241102"/>
    <n v="93400.4"/>
    <x v="2"/>
    <x v="94"/>
    <x v="12"/>
    <s v="DELEGATE AGENCY"/>
    <s v="UNKNOWN"/>
    <x v="0"/>
  </r>
  <r>
    <n v="241103"/>
    <n v="183266.5"/>
    <x v="1"/>
    <x v="71"/>
    <x v="12"/>
    <s v="DELEGATE AGENCY"/>
    <s v="UNKNOWN"/>
    <x v="0"/>
  </r>
  <r>
    <n v="241104"/>
    <n v="224511.8"/>
    <x v="1"/>
    <x v="104"/>
    <x v="12"/>
    <s v="DELEGATE AGENCY"/>
    <s v="UNKNOWN"/>
    <x v="0"/>
  </r>
  <r>
    <n v="241105"/>
    <n v="190973.2"/>
    <x v="1"/>
    <x v="96"/>
    <x v="12"/>
    <s v="DELEGATE AGENCY"/>
    <s v="UNKNOWN"/>
    <x v="0"/>
  </r>
  <r>
    <n v="241199"/>
    <n v="54000"/>
    <x v="1"/>
    <x v="583"/>
    <x v="12"/>
    <s v="DELEGATE AGENCY"/>
    <s v="UNKNOWN"/>
    <x v="0"/>
  </r>
  <r>
    <n v="241270"/>
    <n v="1331865"/>
    <x v="1"/>
    <x v="128"/>
    <x v="1"/>
    <s v="DELEGATE AGENCY"/>
    <s v="SOLE SOURCE"/>
    <x v="0"/>
  </r>
  <r>
    <n v="241271"/>
    <n v="51513.2"/>
    <x v="0"/>
    <x v="1355"/>
    <x v="15"/>
    <s v="COMMODITIES"/>
    <s v="BID"/>
    <x v="0"/>
  </r>
  <r>
    <n v="241301"/>
    <n v="1680845.5"/>
    <x v="1"/>
    <x v="1356"/>
    <x v="14"/>
    <s v="PRO SERV CONSULTING $250,000orABOVE"/>
    <s v="RFP"/>
    <x v="0"/>
  </r>
  <r>
    <n v="241352"/>
    <n v="200000"/>
    <x v="0"/>
    <x v="1182"/>
    <x v="34"/>
    <s v="COMPTROLLER-OTHER"/>
    <s v="UNKNOWN"/>
    <x v="0"/>
  </r>
  <r>
    <n v="241380"/>
    <n v="530078.6"/>
    <x v="1"/>
    <x v="66"/>
    <x v="12"/>
    <s v="DELEGATE AGENCY"/>
    <s v="UNKNOWN"/>
    <x v="0"/>
  </r>
  <r>
    <n v="241381"/>
    <n v="633268.9"/>
    <x v="2"/>
    <x v="96"/>
    <x v="12"/>
    <s v="DELEGATE AGENCY"/>
    <s v="UNKNOWN"/>
    <x v="0"/>
  </r>
  <r>
    <n v="241382"/>
    <n v="187006.5"/>
    <x v="2"/>
    <x v="170"/>
    <x v="12"/>
    <s v="DELEGATE AGENCY"/>
    <s v="UNKNOWN"/>
    <x v="0"/>
  </r>
  <r>
    <n v="241383"/>
    <n v="104666"/>
    <x v="1"/>
    <x v="129"/>
    <x v="12"/>
    <s v="DELEGATE AGENCY"/>
    <s v="UNKNOWN"/>
    <x v="0"/>
  </r>
  <r>
    <n v="241384"/>
    <n v="105716.1"/>
    <x v="1"/>
    <x v="131"/>
    <x v="12"/>
    <s v="DELEGATE AGENCY"/>
    <s v="UNKNOWN"/>
    <x v="0"/>
  </r>
  <r>
    <n v="241388"/>
    <n v="203254.2"/>
    <x v="1"/>
    <x v="131"/>
    <x v="12"/>
    <s v="DELEGATE AGENCY"/>
    <s v="UNKNOWN"/>
    <x v="0"/>
  </r>
  <r>
    <n v="241389"/>
    <n v="54205"/>
    <x v="1"/>
    <x v="76"/>
    <x v="12"/>
    <s v="DELEGATE AGENCY"/>
    <s v="UNKNOWN"/>
    <x v="0"/>
  </r>
  <r>
    <n v="241390"/>
    <n v="139762"/>
    <x v="1"/>
    <x v="24"/>
    <x v="12"/>
    <s v="DELEGATE AGENCY"/>
    <s v="UNKNOWN"/>
    <x v="0"/>
  </r>
  <r>
    <n v="241391"/>
    <n v="29064"/>
    <x v="1"/>
    <x v="211"/>
    <x v="12"/>
    <s v="DELEGATE AGENCY"/>
    <s v="UNKNOWN"/>
    <x v="0"/>
  </r>
  <r>
    <n v="241392"/>
    <n v="156800"/>
    <x v="4"/>
    <x v="293"/>
    <x v="12"/>
    <s v="DELEGATE AGENCY"/>
    <s v="UNKNOWN"/>
    <x v="0"/>
  </r>
  <r>
    <n v="241393"/>
    <n v="38483.300000000003"/>
    <x v="1"/>
    <x v="76"/>
    <x v="12"/>
    <s v="DELEGATE AGENCY"/>
    <s v="UNKNOWN"/>
    <x v="0"/>
  </r>
  <r>
    <n v="241394"/>
    <n v="127731"/>
    <x v="4"/>
    <x v="311"/>
    <x v="12"/>
    <s v="DELEGATE AGENCY"/>
    <s v="UNKNOWN"/>
    <x v="0"/>
  </r>
  <r>
    <n v="241483"/>
    <n v="787166.4"/>
    <x v="1"/>
    <x v="23"/>
    <x v="12"/>
    <s v="DELEGATE AGENCY"/>
    <s v="UNKNOWN"/>
    <x v="0"/>
  </r>
  <r>
    <n v="241484"/>
    <n v="681620.6"/>
    <x v="2"/>
    <x v="23"/>
    <x v="12"/>
    <s v="DELEGATE AGENCY"/>
    <s v="UNKNOWN"/>
    <x v="0"/>
  </r>
  <r>
    <n v="241485"/>
    <n v="149196.79999999999"/>
    <x v="2"/>
    <x v="68"/>
    <x v="12"/>
    <s v="DELEGATE AGENCY"/>
    <s v="UNKNOWN"/>
    <x v="0"/>
  </r>
  <r>
    <n v="241486"/>
    <n v="959703.7"/>
    <x v="1"/>
    <x v="113"/>
    <x v="12"/>
    <s v="DELEGATE AGENCY"/>
    <s v="UNKNOWN"/>
    <x v="0"/>
  </r>
  <r>
    <n v="241487"/>
    <n v="212058"/>
    <x v="2"/>
    <x v="81"/>
    <x v="12"/>
    <s v="DELEGATE AGENCY"/>
    <s v="UNKNOWN"/>
    <x v="0"/>
  </r>
  <r>
    <n v="241488"/>
    <n v="106029"/>
    <x v="1"/>
    <x v="103"/>
    <x v="12"/>
    <s v="DELEGATE AGENCY"/>
    <s v="UNKNOWN"/>
    <x v="0"/>
  </r>
  <r>
    <n v="241489"/>
    <n v="208230.9"/>
    <x v="1"/>
    <x v="126"/>
    <x v="12"/>
    <s v="DELEGATE AGENCY"/>
    <s v="UNKNOWN"/>
    <x v="0"/>
  </r>
  <r>
    <n v="241561"/>
    <n v="2147721"/>
    <x v="1"/>
    <x v="199"/>
    <x v="12"/>
    <s v="DELEGATE AGENCY"/>
    <s v="RFP"/>
    <x v="0"/>
  </r>
  <r>
    <n v="241562"/>
    <n v="2878773"/>
    <x v="0"/>
    <x v="351"/>
    <x v="12"/>
    <s v="DELEGATE AGENCY"/>
    <s v="RFP"/>
    <x v="0"/>
  </r>
  <r>
    <n v="241572"/>
    <n v="5791477.2999999998"/>
    <x v="0"/>
    <x v="1357"/>
    <x v="5"/>
    <s v="COMMODITIES"/>
    <s v="BID"/>
    <x v="1"/>
  </r>
  <r>
    <n v="241580"/>
    <n v="1620128"/>
    <x v="0"/>
    <x v="128"/>
    <x v="1"/>
    <s v="DELEGATE AGENCY"/>
    <s v="SOLE SOURCE"/>
    <x v="0"/>
  </r>
  <r>
    <n v="241582"/>
    <n v="170124.5"/>
    <x v="0"/>
    <x v="328"/>
    <x v="8"/>
    <s v="DELEGATE AGENCY"/>
    <s v="UNKNOWN"/>
    <x v="0"/>
  </r>
  <r>
    <n v="241583"/>
    <n v="988228.7"/>
    <x v="1"/>
    <x v="60"/>
    <x v="12"/>
    <s v="DELEGATE AGENCY"/>
    <s v="UNKNOWN"/>
    <x v="0"/>
  </r>
  <r>
    <n v="241584"/>
    <n v="500311.6"/>
    <x v="2"/>
    <x v="62"/>
    <x v="12"/>
    <s v="DELEGATE AGENCY"/>
    <s v="UNKNOWN"/>
    <x v="0"/>
  </r>
  <r>
    <n v="241585"/>
    <n v="112265.7"/>
    <x v="2"/>
    <x v="98"/>
    <x v="12"/>
    <s v="DELEGATE AGENCY"/>
    <s v="UNKNOWN"/>
    <x v="0"/>
  </r>
  <r>
    <n v="241586"/>
    <n v="450525"/>
    <x v="1"/>
    <x v="58"/>
    <x v="12"/>
    <s v="DELEGATE AGENCY"/>
    <s v="UNKNOWN"/>
    <x v="0"/>
  </r>
  <r>
    <n v="241587"/>
    <n v="288963.40000000002"/>
    <x v="2"/>
    <x v="58"/>
    <x v="12"/>
    <s v="DELEGATE AGENCY"/>
    <s v="UNKNOWN"/>
    <x v="0"/>
  </r>
  <r>
    <n v="241588"/>
    <n v="95296.7"/>
    <x v="2"/>
    <x v="83"/>
    <x v="12"/>
    <s v="DELEGATE AGENCY"/>
    <s v="UNKNOWN"/>
    <x v="0"/>
  </r>
  <r>
    <n v="241589"/>
    <n v="553659.1"/>
    <x v="1"/>
    <x v="99"/>
    <x v="12"/>
    <s v="DELEGATE AGENCY"/>
    <s v="UNKNOWN"/>
    <x v="0"/>
  </r>
  <r>
    <n v="241590"/>
    <n v="205735.4"/>
    <x v="2"/>
    <x v="99"/>
    <x v="12"/>
    <s v="DELEGATE AGENCY"/>
    <s v="UNKNOWN"/>
    <x v="0"/>
  </r>
  <r>
    <n v="241591"/>
    <n v="676950.9"/>
    <x v="1"/>
    <x v="123"/>
    <x v="12"/>
    <s v="DELEGATE AGENCY"/>
    <s v="UNKNOWN"/>
    <x v="0"/>
  </r>
  <r>
    <n v="241646"/>
    <n v="2500"/>
    <x v="2"/>
    <x v="1358"/>
    <x v="20"/>
    <s v="COMPTROLLER-OTHER"/>
    <s v="UNKNOWN"/>
    <x v="0"/>
  </r>
  <r>
    <n v="241647"/>
    <n v="18000"/>
    <x v="3"/>
    <x v="1359"/>
    <x v="20"/>
    <s v="COMPTROLLER-OTHER"/>
    <s v="UNKNOWN"/>
    <x v="0"/>
  </r>
  <r>
    <n v="241648"/>
    <n v="17722.8"/>
    <x v="4"/>
    <x v="1034"/>
    <x v="6"/>
    <s v="COMPTROLLER-OTHER"/>
    <s v="UNKNOWN"/>
    <x v="0"/>
  </r>
  <r>
    <n v="241649"/>
    <n v="219294"/>
    <x v="4"/>
    <x v="1034"/>
    <x v="6"/>
    <s v="COMPTROLLER-OTHER"/>
    <s v="UNKNOWN"/>
    <x v="0"/>
  </r>
  <r>
    <n v="241650"/>
    <n v="25642177"/>
    <x v="1"/>
    <x v="1360"/>
    <x v="6"/>
    <s v="COMPTROLLER-OTHER"/>
    <s v="UNKNOWN"/>
    <x v="0"/>
  </r>
  <r>
    <n v="241656"/>
    <n v="35000"/>
    <x v="0"/>
    <x v="652"/>
    <x v="20"/>
    <s v="COMPTROLLER-OTHER"/>
    <s v="UNKNOWN"/>
    <x v="0"/>
  </r>
  <r>
    <n v="241657"/>
    <n v="16000"/>
    <x v="4"/>
    <x v="1361"/>
    <x v="20"/>
    <s v="COMPTROLLER-OTHER"/>
    <s v="UNKNOWN"/>
    <x v="0"/>
  </r>
  <r>
    <n v="241658"/>
    <n v="50000"/>
    <x v="4"/>
    <x v="1362"/>
    <x v="20"/>
    <s v="COMPTROLLER-OTHER"/>
    <s v="UNKNOWN"/>
    <x v="0"/>
  </r>
  <r>
    <n v="241659"/>
    <n v="100000"/>
    <x v="1"/>
    <x v="712"/>
    <x v="20"/>
    <s v="COMPTROLLER-OTHER"/>
    <s v="UNKNOWN"/>
    <x v="0"/>
  </r>
  <r>
    <n v="241662"/>
    <n v="60000"/>
    <x v="1"/>
    <x v="392"/>
    <x v="20"/>
    <s v="COMPTROLLER-OTHER"/>
    <s v="UNKNOWN"/>
    <x v="0"/>
  </r>
  <r>
    <n v="241663"/>
    <n v="2500"/>
    <x v="1"/>
    <x v="1363"/>
    <x v="20"/>
    <s v="COMPTROLLER-OTHER"/>
    <s v="UNKNOWN"/>
    <x v="0"/>
  </r>
  <r>
    <n v="241664"/>
    <n v="292500"/>
    <x v="3"/>
    <x v="1364"/>
    <x v="20"/>
    <s v="COMPTROLLER-OTHER"/>
    <s v="UNKNOWN"/>
    <x v="0"/>
  </r>
  <r>
    <n v="241672"/>
    <n v="2755920"/>
    <x v="2"/>
    <x v="1365"/>
    <x v="7"/>
    <s v="WORK SERVICES / FACILITIES MAINT."/>
    <s v="BID"/>
    <x v="0"/>
  </r>
  <r>
    <n v="241682"/>
    <n v="96000.3"/>
    <x v="0"/>
    <x v="593"/>
    <x v="12"/>
    <s v="DELEGATE AGENCY"/>
    <s v="UNKNOWN"/>
    <x v="0"/>
  </r>
  <r>
    <n v="241683"/>
    <n v="95166.399999999994"/>
    <x v="1"/>
    <x v="436"/>
    <x v="12"/>
    <s v="DELEGATE AGENCY"/>
    <s v="UNKNOWN"/>
    <x v="0"/>
  </r>
  <r>
    <n v="241812"/>
    <n v="242332"/>
    <x v="1"/>
    <x v="46"/>
    <x v="1"/>
    <s v="DELEGATE AGENCY"/>
    <s v="SOLE SOURCE"/>
    <x v="0"/>
  </r>
  <r>
    <n v="241813"/>
    <n v="1436242"/>
    <x v="1"/>
    <x v="496"/>
    <x v="1"/>
    <s v="DELEGATE AGENCY"/>
    <s v="SOLE SOURCE"/>
    <x v="0"/>
  </r>
  <r>
    <n v="241817"/>
    <n v="430372"/>
    <x v="0"/>
    <x v="42"/>
    <x v="1"/>
    <s v="DELEGATE AGENCY"/>
    <s v="SOLE SOURCE"/>
    <x v="0"/>
  </r>
  <r>
    <n v="241818"/>
    <n v="416628"/>
    <x v="2"/>
    <x v="467"/>
    <x v="1"/>
    <s v="DELEGATE AGENCY"/>
    <s v="SOLE SOURCE"/>
    <x v="0"/>
  </r>
  <r>
    <n v="241819"/>
    <n v="984365"/>
    <x v="2"/>
    <x v="1366"/>
    <x v="1"/>
    <s v="DELEGATE AGENCY"/>
    <s v="SOLE SOURCE"/>
    <x v="0"/>
  </r>
  <r>
    <n v="241821"/>
    <n v="935443"/>
    <x v="2"/>
    <x v="298"/>
    <x v="1"/>
    <s v="DELEGATE AGENCY"/>
    <s v="SOLE SOURCE"/>
    <x v="0"/>
  </r>
  <r>
    <n v="241822"/>
    <n v="200000"/>
    <x v="2"/>
    <x v="404"/>
    <x v="1"/>
    <s v="DELEGATE AGENCY"/>
    <s v="SOLE SOURCE"/>
    <x v="0"/>
  </r>
  <r>
    <n v="241823"/>
    <n v="116412"/>
    <x v="1"/>
    <x v="41"/>
    <x v="1"/>
    <s v="DELEGATE AGENCY"/>
    <s v="SOLE SOURCE"/>
    <x v="0"/>
  </r>
  <r>
    <n v="241825"/>
    <n v="711657"/>
    <x v="1"/>
    <x v="601"/>
    <x v="1"/>
    <s v="DELEGATE AGENCY"/>
    <s v="SOLE SOURCE"/>
    <x v="0"/>
  </r>
  <r>
    <n v="241826"/>
    <n v="974643"/>
    <x v="2"/>
    <x v="465"/>
    <x v="1"/>
    <s v="DELEGATE AGENCY"/>
    <s v="SOLE SOURCE"/>
    <x v="0"/>
  </r>
  <r>
    <n v="241827"/>
    <n v="354446"/>
    <x v="2"/>
    <x v="870"/>
    <x v="1"/>
    <s v="DELEGATE AGENCY"/>
    <s v="SOLE SOURCE"/>
    <x v="0"/>
  </r>
  <r>
    <n v="241830"/>
    <n v="1124749"/>
    <x v="2"/>
    <x v="40"/>
    <x v="1"/>
    <s v="DELEGATE AGENCY"/>
    <s v="SOLE SOURCE"/>
    <x v="0"/>
  </r>
  <r>
    <n v="241831"/>
    <n v="990550"/>
    <x v="0"/>
    <x v="40"/>
    <x v="1"/>
    <s v="DELEGATE AGENCY"/>
    <s v="SOLE SOURCE"/>
    <x v="0"/>
  </r>
  <r>
    <n v="241833"/>
    <n v="964249"/>
    <x v="2"/>
    <x v="464"/>
    <x v="1"/>
    <s v="DELEGATE AGENCY"/>
    <s v="SOLE SOURCE"/>
    <x v="0"/>
  </r>
  <r>
    <n v="241834"/>
    <n v="1053818"/>
    <x v="2"/>
    <x v="188"/>
    <x v="1"/>
    <s v="DELEGATE AGENCY"/>
    <s v="SOLE SOURCE"/>
    <x v="0"/>
  </r>
  <r>
    <n v="241836"/>
    <n v="650000"/>
    <x v="0"/>
    <x v="1367"/>
    <x v="1"/>
    <s v="DELEGATE AGENCY"/>
    <s v="SOLE SOURCE"/>
    <x v="0"/>
  </r>
  <r>
    <n v="241838"/>
    <n v="397668"/>
    <x v="2"/>
    <x v="212"/>
    <x v="1"/>
    <s v="DELEGATE AGENCY"/>
    <s v="SOLE SOURCE"/>
    <x v="0"/>
  </r>
  <r>
    <n v="241839"/>
    <n v="246216"/>
    <x v="2"/>
    <x v="476"/>
    <x v="1"/>
    <s v="DELEGATE AGENCY"/>
    <s v="SOLE SOURCE"/>
    <x v="0"/>
  </r>
  <r>
    <n v="241840"/>
    <n v="1031538"/>
    <x v="1"/>
    <x v="189"/>
    <x v="1"/>
    <s v="DELEGATE AGENCY"/>
    <s v="SOLE SOURCE"/>
    <x v="0"/>
  </r>
  <r>
    <n v="241841"/>
    <n v="241473"/>
    <x v="0"/>
    <x v="947"/>
    <x v="1"/>
    <s v="DELEGATE AGENCY"/>
    <s v="SOLE SOURCE"/>
    <x v="0"/>
  </r>
  <r>
    <n v="241843"/>
    <n v="928735"/>
    <x v="1"/>
    <x v="502"/>
    <x v="1"/>
    <s v="DELEGATE AGENCY"/>
    <s v="SOLE SOURCE"/>
    <x v="0"/>
  </r>
  <r>
    <n v="241844"/>
    <n v="482035"/>
    <x v="2"/>
    <x v="1027"/>
    <x v="1"/>
    <s v="DELEGATE AGENCY"/>
    <s v="SOLE SOURCE"/>
    <x v="0"/>
  </r>
  <r>
    <n v="241845"/>
    <n v="137106"/>
    <x v="2"/>
    <x v="25"/>
    <x v="1"/>
    <s v="DELEGATE AGENCY"/>
    <s v="SOLE SOURCE"/>
    <x v="0"/>
  </r>
  <r>
    <n v="241846"/>
    <n v="1685518"/>
    <x v="1"/>
    <x v="25"/>
    <x v="1"/>
    <s v="DELEGATE AGENCY"/>
    <s v="SOLE SOURCE"/>
    <x v="0"/>
  </r>
  <r>
    <n v="241887"/>
    <n v="39997.5"/>
    <x v="0"/>
    <x v="1368"/>
    <x v="2"/>
    <s v="COMPTROLLER-OTHER"/>
    <s v="UNKNOWN"/>
    <x v="0"/>
  </r>
  <r>
    <n v="241888"/>
    <n v="250000"/>
    <x v="4"/>
    <x v="1369"/>
    <x v="2"/>
    <s v="COMPTROLLER-OTHER"/>
    <s v="UNKNOWN"/>
    <x v="0"/>
  </r>
  <r>
    <n v="241892"/>
    <n v="78107.100000000006"/>
    <x v="2"/>
    <x v="329"/>
    <x v="8"/>
    <s v="DELEGATE AGENCY"/>
    <s v="UNKNOWN"/>
    <x v="0"/>
  </r>
  <r>
    <n v="241895"/>
    <n v="26740365"/>
    <x v="1"/>
    <x v="297"/>
    <x v="12"/>
    <s v="DELEGATE AGENCY"/>
    <s v="RFP"/>
    <x v="0"/>
  </r>
  <r>
    <n v="241896"/>
    <n v="29366298.100000001"/>
    <x v="0"/>
    <x v="1370"/>
    <x v="16"/>
    <s v="PRO SERV CONSULTING $250,000orABOVE"/>
    <s v="JOINT PURCHASE"/>
    <x v="0"/>
  </r>
  <r>
    <n v="241905"/>
    <n v="121227.9"/>
    <x v="0"/>
    <x v="204"/>
    <x v="8"/>
    <s v="DELEGATE AGENCY"/>
    <s v="UNKNOWN"/>
    <x v="0"/>
  </r>
  <r>
    <n v="241906"/>
    <n v="120833.1"/>
    <x v="1"/>
    <x v="204"/>
    <x v="8"/>
    <s v="DELEGATE AGENCY"/>
    <s v="UNKNOWN"/>
    <x v="0"/>
  </r>
  <r>
    <n v="241907"/>
    <n v="117637.4"/>
    <x v="1"/>
    <x v="28"/>
    <x v="8"/>
    <s v="DELEGATE AGENCY"/>
    <s v="UNKNOWN"/>
    <x v="0"/>
  </r>
  <r>
    <n v="241908"/>
    <n v="35983.199999999997"/>
    <x v="1"/>
    <x v="7"/>
    <x v="0"/>
    <s v="ARCH/ENGINEERING"/>
    <s v="RFQ"/>
    <x v="0"/>
  </r>
  <r>
    <n v="241983"/>
    <n v="4541011"/>
    <x v="4"/>
    <x v="7"/>
    <x v="5"/>
    <s v="ARCH/ENGINEERING"/>
    <s v="RFQ"/>
    <x v="0"/>
  </r>
  <r>
    <n v="241986"/>
    <n v="84000"/>
    <x v="0"/>
    <x v="1052"/>
    <x v="34"/>
    <s v="COMPTROLLER-OTHER"/>
    <s v="UNKNOWN"/>
    <x v="0"/>
  </r>
  <r>
    <n v="241988"/>
    <n v="5000000"/>
    <x v="1"/>
    <x v="7"/>
    <x v="5"/>
    <s v="ARCH/ENGINEERING"/>
    <s v="MASTER AGREEMENT"/>
    <x v="0"/>
  </r>
  <r>
    <n v="241997"/>
    <n v="1329724.3"/>
    <x v="0"/>
    <x v="64"/>
    <x v="12"/>
    <s v="DELEGATE AGENCY"/>
    <s v="UNKNOWN"/>
    <x v="0"/>
  </r>
  <r>
    <n v="241998"/>
    <n v="33345.699999999997"/>
    <x v="0"/>
    <x v="593"/>
    <x v="12"/>
    <s v="DELEGATE AGENCY"/>
    <s v="UNKNOWN"/>
    <x v="0"/>
  </r>
  <r>
    <n v="241999"/>
    <n v="124552.1"/>
    <x v="4"/>
    <x v="109"/>
    <x v="12"/>
    <s v="DELEGATE AGENCY"/>
    <s v="UNKNOWN"/>
    <x v="0"/>
  </r>
  <r>
    <n v="242016"/>
    <n v="16109854"/>
    <x v="1"/>
    <x v="1371"/>
    <x v="2"/>
    <s v="COMPTROLLER-OTHER"/>
    <s v="UNKNOWN"/>
    <x v="0"/>
  </r>
  <r>
    <n v="242031"/>
    <n v="12000000"/>
    <x v="0"/>
    <x v="1372"/>
    <x v="2"/>
    <s v="COMPTROLLER-OTHER"/>
    <s v="UNKNOWN"/>
    <x v="0"/>
  </r>
  <r>
    <n v="242043"/>
    <n v="14486586"/>
    <x v="0"/>
    <x v="1373"/>
    <x v="2"/>
    <s v="COMPTROLLER-OTHER"/>
    <s v="UNKNOWN"/>
    <x v="0"/>
  </r>
  <r>
    <n v="242057"/>
    <n v="4898000"/>
    <x v="0"/>
    <x v="200"/>
    <x v="12"/>
    <s v="DELEGATE AGENCY"/>
    <s v="UNKNOWN"/>
    <x v="0"/>
  </r>
  <r>
    <n v="242065"/>
    <n v="33200000"/>
    <x v="0"/>
    <x v="558"/>
    <x v="12"/>
    <s v="DELEGATE AGENCY"/>
    <s v="RFP"/>
    <x v="0"/>
  </r>
  <r>
    <n v="242178"/>
    <n v="750000"/>
    <x v="0"/>
    <x v="1374"/>
    <x v="12"/>
    <s v="DELEGATE AGENCY"/>
    <s v="RFP"/>
    <x v="0"/>
  </r>
  <r>
    <n v="242188"/>
    <n v="1358448"/>
    <x v="2"/>
    <x v="444"/>
    <x v="12"/>
    <s v="DELEGATE AGENCY"/>
    <s v="RFP"/>
    <x v="0"/>
  </r>
  <r>
    <n v="242189"/>
    <n v="1358448"/>
    <x v="0"/>
    <x v="605"/>
    <x v="12"/>
    <s v="DELEGATE AGENCY"/>
    <s v="RFP"/>
    <x v="0"/>
  </r>
  <r>
    <n v="242190"/>
    <n v="1358448"/>
    <x v="0"/>
    <x v="205"/>
    <x v="12"/>
    <s v="DELEGATE AGENCY"/>
    <s v="RFP"/>
    <x v="0"/>
  </r>
  <r>
    <n v="242191"/>
    <n v="2716896"/>
    <x v="0"/>
    <x v="199"/>
    <x v="12"/>
    <s v="DELEGATE AGENCY"/>
    <s v="RFP"/>
    <x v="0"/>
  </r>
  <r>
    <n v="242193"/>
    <n v="680134.4"/>
    <x v="0"/>
    <x v="89"/>
    <x v="12"/>
    <s v="DELEGATE AGENCY"/>
    <s v="UNKNOWN"/>
    <x v="0"/>
  </r>
  <r>
    <n v="242194"/>
    <n v="148067.5"/>
    <x v="2"/>
    <x v="5"/>
    <x v="12"/>
    <s v="DELEGATE AGENCY"/>
    <s v="UNKNOWN"/>
    <x v="0"/>
  </r>
  <r>
    <n v="242204"/>
    <n v="512467.6"/>
    <x v="1"/>
    <x v="89"/>
    <x v="12"/>
    <s v="DELEGATE AGENCY"/>
    <s v="UNKNOWN"/>
    <x v="0"/>
  </r>
  <r>
    <n v="242276"/>
    <n v="5106061.4000000004"/>
    <x v="2"/>
    <x v="1375"/>
    <x v="5"/>
    <s v="COMMODITIES"/>
    <s v="BID"/>
    <x v="1"/>
  </r>
  <r>
    <n v="242328"/>
    <n v="290000"/>
    <x v="0"/>
    <x v="25"/>
    <x v="2"/>
    <s v="DELEGATE AGENCY"/>
    <s v="UNKNOWN"/>
    <x v="0"/>
  </r>
  <r>
    <n v="242343"/>
    <n v="125000"/>
    <x v="2"/>
    <x v="962"/>
    <x v="19"/>
    <s v="DELEGATE AGENCY"/>
    <s v="UNKNOWN"/>
    <x v="0"/>
  </r>
  <r>
    <n v="242421"/>
    <n v="65000"/>
    <x v="1"/>
    <x v="978"/>
    <x v="20"/>
    <s v="COMPTROLLER-OTHER"/>
    <s v="UNKNOWN"/>
    <x v="0"/>
  </r>
  <r>
    <n v="242422"/>
    <n v="12500"/>
    <x v="1"/>
    <x v="1376"/>
    <x v="20"/>
    <s v="COMPTROLLER-OTHER"/>
    <s v="UNKNOWN"/>
    <x v="0"/>
  </r>
  <r>
    <n v="242424"/>
    <n v="45000"/>
    <x v="4"/>
    <x v="391"/>
    <x v="20"/>
    <s v="COMPTROLLER-OTHER"/>
    <s v="UNKNOWN"/>
    <x v="0"/>
  </r>
  <r>
    <n v="242426"/>
    <n v="45000"/>
    <x v="4"/>
    <x v="706"/>
    <x v="20"/>
    <s v="COMPTROLLER-OTHER"/>
    <s v="UNKNOWN"/>
    <x v="0"/>
  </r>
  <r>
    <n v="242427"/>
    <n v="3201550"/>
    <x v="4"/>
    <x v="1034"/>
    <x v="6"/>
    <s v="COMPTROLLER-OTHER"/>
    <s v="UNKNOWN"/>
    <x v="0"/>
  </r>
  <r>
    <n v="242434"/>
    <n v="15236"/>
    <x v="0"/>
    <x v="1006"/>
    <x v="28"/>
    <s v="COMPTROLLER-OTHER"/>
    <s v="UNKNOWN"/>
    <x v="0"/>
  </r>
  <r>
    <n v="242435"/>
    <n v="2018879"/>
    <x v="4"/>
    <x v="1377"/>
    <x v="5"/>
    <s v="WORK SERVICES / FACILITIES MAINT."/>
    <s v="SOLE SOURCE"/>
    <x v="1"/>
  </r>
  <r>
    <n v="242459"/>
    <n v="13717"/>
    <x v="0"/>
    <x v="1006"/>
    <x v="28"/>
    <s v="COMPTROLLER-OTHER"/>
    <s v="UNKNOWN"/>
    <x v="0"/>
  </r>
  <r>
    <n v="242474"/>
    <n v="16910"/>
    <x v="4"/>
    <x v="1006"/>
    <x v="28"/>
    <s v="COMPTROLLER-OTHER"/>
    <s v="UNKNOWN"/>
    <x v="0"/>
  </r>
  <r>
    <n v="242490"/>
    <n v="153300"/>
    <x v="4"/>
    <x v="313"/>
    <x v="12"/>
    <s v="DELEGATE AGENCY"/>
    <s v="UNKNOWN"/>
    <x v="0"/>
  </r>
  <r>
    <n v="242492"/>
    <n v="54000"/>
    <x v="1"/>
    <x v="444"/>
    <x v="12"/>
    <s v="DELEGATE AGENCY"/>
    <s v="UNKNOWN"/>
    <x v="0"/>
  </r>
  <r>
    <n v="242493"/>
    <n v="93541.4"/>
    <x v="1"/>
    <x v="134"/>
    <x v="12"/>
    <s v="DELEGATE AGENCY"/>
    <s v="UNKNOWN"/>
    <x v="0"/>
  </r>
  <r>
    <n v="242494"/>
    <n v="711018"/>
    <x v="1"/>
    <x v="107"/>
    <x v="12"/>
    <s v="DELEGATE AGENCY"/>
    <s v="UNKNOWN"/>
    <x v="0"/>
  </r>
  <r>
    <n v="242495"/>
    <n v="264574"/>
    <x v="2"/>
    <x v="76"/>
    <x v="12"/>
    <s v="DELEGATE AGENCY"/>
    <s v="UNKNOWN"/>
    <x v="0"/>
  </r>
  <r>
    <n v="242496"/>
    <n v="96915.8"/>
    <x v="2"/>
    <x v="88"/>
    <x v="12"/>
    <s v="DELEGATE AGENCY"/>
    <s v="UNKNOWN"/>
    <x v="0"/>
  </r>
  <r>
    <n v="242502"/>
    <n v="412760.4"/>
    <x v="1"/>
    <x v="68"/>
    <x v="12"/>
    <s v="DELEGATE AGENCY"/>
    <s v="UNKNOWN"/>
    <x v="0"/>
  </r>
  <r>
    <n v="242503"/>
    <n v="2292218.2999999998"/>
    <x v="2"/>
    <x v="85"/>
    <x v="12"/>
    <s v="DELEGATE AGENCY"/>
    <s v="UNKNOWN"/>
    <x v="0"/>
  </r>
  <r>
    <n v="242504"/>
    <n v="1515588.7"/>
    <x v="0"/>
    <x v="61"/>
    <x v="12"/>
    <s v="DELEGATE AGENCY"/>
    <s v="UNKNOWN"/>
    <x v="0"/>
  </r>
  <r>
    <n v="242511"/>
    <n v="3861484.3"/>
    <x v="0"/>
    <x v="504"/>
    <x v="8"/>
    <s v="DELEGATE AGENCY"/>
    <s v="UNKNOWN"/>
    <x v="0"/>
  </r>
  <r>
    <n v="242552"/>
    <n v="45000"/>
    <x v="0"/>
    <x v="837"/>
    <x v="20"/>
    <s v="COMPTROLLER-OTHER"/>
    <s v="UNKNOWN"/>
    <x v="0"/>
  </r>
  <r>
    <n v="242555"/>
    <n v="100000"/>
    <x v="4"/>
    <x v="1378"/>
    <x v="20"/>
    <s v="COMPTROLLER-OTHER"/>
    <s v="UNKNOWN"/>
    <x v="0"/>
  </r>
  <r>
    <n v="242628"/>
    <n v="32623"/>
    <x v="1"/>
    <x v="39"/>
    <x v="8"/>
    <s v="DELEGATE AGENCY"/>
    <s v="UNKNOWN"/>
    <x v="0"/>
  </r>
  <r>
    <n v="242799"/>
    <n v="178087.8"/>
    <x v="4"/>
    <x v="175"/>
    <x v="12"/>
    <s v="DELEGATE AGENCY"/>
    <s v="UNKNOWN"/>
    <x v="0"/>
  </r>
  <r>
    <n v="242800"/>
    <n v="942720.4"/>
    <x v="1"/>
    <x v="88"/>
    <x v="12"/>
    <s v="DELEGATE AGENCY"/>
    <s v="UNKNOWN"/>
    <x v="0"/>
  </r>
  <r>
    <n v="242801"/>
    <n v="730088.3"/>
    <x v="2"/>
    <x v="82"/>
    <x v="12"/>
    <s v="DELEGATE AGENCY"/>
    <s v="UNKNOWN"/>
    <x v="0"/>
  </r>
  <r>
    <n v="242828"/>
    <n v="20000"/>
    <x v="2"/>
    <x v="1379"/>
    <x v="29"/>
    <s v="PRO SERV CONSULTING UNDER $250,000"/>
    <s v="INNOVATIVE PROCUREMENT"/>
    <x v="0"/>
  </r>
  <r>
    <n v="242830"/>
    <n v="343000"/>
    <x v="4"/>
    <x v="1380"/>
    <x v="31"/>
    <s v="COMPTROLLER-OTHER"/>
    <s v="UNKNOWN"/>
    <x v="0"/>
  </r>
  <r>
    <n v="242832"/>
    <n v="40000"/>
    <x v="2"/>
    <x v="1381"/>
    <x v="20"/>
    <s v="COMPTROLLER-OTHER"/>
    <s v="UNKNOWN"/>
    <x v="0"/>
  </r>
  <r>
    <n v="242847"/>
    <n v="150000"/>
    <x v="4"/>
    <x v="189"/>
    <x v="1"/>
    <s v="DELEGATE AGENCY"/>
    <s v="SOLE SOURCE"/>
    <x v="1"/>
  </r>
  <r>
    <n v="242850"/>
    <n v="150000"/>
    <x v="1"/>
    <x v="42"/>
    <x v="1"/>
    <s v="DELEGATE AGENCY"/>
    <s v="SOLE SOURCE"/>
    <x v="1"/>
  </r>
  <r>
    <n v="242859"/>
    <n v="25000"/>
    <x v="1"/>
    <x v="648"/>
    <x v="20"/>
    <s v="COMPTROLLER-OTHER"/>
    <s v="UNKNOWN"/>
    <x v="0"/>
  </r>
  <r>
    <n v="242860"/>
    <n v="2500"/>
    <x v="4"/>
    <x v="1382"/>
    <x v="20"/>
    <s v="COMPTROLLER-OTHER"/>
    <s v="UNKNOWN"/>
    <x v="0"/>
  </r>
  <r>
    <n v="242861"/>
    <n v="2664491"/>
    <x v="3"/>
    <x v="1383"/>
    <x v="1"/>
    <s v="PRO SERV-AVIATION"/>
    <s v="SOLE SOURCE"/>
    <x v="0"/>
  </r>
  <r>
    <n v="242862"/>
    <n v="45000"/>
    <x v="0"/>
    <x v="360"/>
    <x v="20"/>
    <s v="COMPTROLLER-OTHER"/>
    <s v="UNKNOWN"/>
    <x v="0"/>
  </r>
  <r>
    <n v="242863"/>
    <n v="600000"/>
    <x v="4"/>
    <x v="1017"/>
    <x v="2"/>
    <s v="DELEGATE AGENCY"/>
    <s v="UNKNOWN"/>
    <x v="0"/>
  </r>
  <r>
    <n v="242866"/>
    <n v="2500"/>
    <x v="2"/>
    <x v="1384"/>
    <x v="20"/>
    <s v="COMPTROLLER-OTHER"/>
    <s v="UNKNOWN"/>
    <x v="0"/>
  </r>
  <r>
    <n v="242868"/>
    <n v="132463"/>
    <x v="3"/>
    <x v="1385"/>
    <x v="2"/>
    <s v="COMPTROLLER-OTHER"/>
    <s v="UNKNOWN"/>
    <x v="0"/>
  </r>
  <r>
    <n v="243048"/>
    <n v="250000"/>
    <x v="1"/>
    <x v="1386"/>
    <x v="20"/>
    <s v="COMPTROLLER-OTHER"/>
    <s v="UNKNOWN"/>
    <x v="0"/>
  </r>
  <r>
    <n v="243049"/>
    <n v="45000"/>
    <x v="2"/>
    <x v="657"/>
    <x v="20"/>
    <s v="COMPTROLLER-OTHER"/>
    <s v="UNKNOWN"/>
    <x v="0"/>
  </r>
  <r>
    <n v="243052"/>
    <n v="45000"/>
    <x v="4"/>
    <x v="880"/>
    <x v="20"/>
    <s v="COMPTROLLER-OTHER"/>
    <s v="UNKNOWN"/>
    <x v="0"/>
  </r>
  <r>
    <n v="243053"/>
    <n v="25000"/>
    <x v="4"/>
    <x v="1387"/>
    <x v="20"/>
    <s v="COMPTROLLER-OTHER"/>
    <s v="UNKNOWN"/>
    <x v="0"/>
  </r>
  <r>
    <n v="243064"/>
    <n v="6500000"/>
    <x v="4"/>
    <x v="1388"/>
    <x v="2"/>
    <s v="COMPTROLLER-OTHER"/>
    <s v="UNKNOWN"/>
    <x v="0"/>
  </r>
  <r>
    <n v="243065"/>
    <n v="10000000"/>
    <x v="0"/>
    <x v="1389"/>
    <x v="2"/>
    <s v="COMPTROLLER-OTHER"/>
    <s v="UNKNOWN"/>
    <x v="0"/>
  </r>
  <r>
    <n v="243066"/>
    <n v="2999660"/>
    <x v="0"/>
    <x v="1390"/>
    <x v="2"/>
    <s v="COMPTROLLER-OTHER"/>
    <s v="UNKNOWN"/>
    <x v="0"/>
  </r>
  <r>
    <n v="243074"/>
    <n v="210895.1"/>
    <x v="0"/>
    <x v="128"/>
    <x v="8"/>
    <s v="DELEGATE AGENCY"/>
    <s v="UNKNOWN"/>
    <x v="0"/>
  </r>
  <r>
    <n v="243075"/>
    <n v="84401.3"/>
    <x v="1"/>
    <x v="328"/>
    <x v="8"/>
    <s v="DELEGATE AGENCY"/>
    <s v="UNKNOWN"/>
    <x v="0"/>
  </r>
  <r>
    <n v="243076"/>
    <n v="118463.8"/>
    <x v="1"/>
    <x v="28"/>
    <x v="8"/>
    <s v="DELEGATE AGENCY"/>
    <s v="UNKNOWN"/>
    <x v="0"/>
  </r>
  <r>
    <n v="243218"/>
    <n v="924000"/>
    <x v="1"/>
    <x v="1391"/>
    <x v="2"/>
    <s v="COMPTROLLER-OTHER"/>
    <s v="UNKNOWN"/>
    <x v="0"/>
  </r>
  <r>
    <n v="243219"/>
    <n v="2174660"/>
    <x v="2"/>
    <x v="1392"/>
    <x v="2"/>
    <s v="COMPTROLLER-OTHER"/>
    <s v="UNKNOWN"/>
    <x v="0"/>
  </r>
  <r>
    <n v="243232"/>
    <n v="6500000"/>
    <x v="0"/>
    <x v="1389"/>
    <x v="2"/>
    <s v="COMPTROLLER-OTHER"/>
    <s v="UNKNOWN"/>
    <x v="0"/>
  </r>
  <r>
    <n v="243233"/>
    <n v="825000"/>
    <x v="0"/>
    <x v="1393"/>
    <x v="2"/>
    <s v="COMPTROLLER-OTHER"/>
    <s v="UNKNOWN"/>
    <x v="0"/>
  </r>
  <r>
    <n v="243234"/>
    <n v="924000"/>
    <x v="2"/>
    <x v="1394"/>
    <x v="2"/>
    <s v="COMPTROLLER-OTHER"/>
    <s v="UNKNOWN"/>
    <x v="0"/>
  </r>
  <r>
    <n v="243258"/>
    <n v="4920000"/>
    <x v="2"/>
    <x v="57"/>
    <x v="26"/>
    <s v="DELEGATE AGENCY"/>
    <s v="RFP"/>
    <x v="0"/>
  </r>
  <r>
    <n v="243392"/>
    <n v="454288"/>
    <x v="0"/>
    <x v="1395"/>
    <x v="1"/>
    <s v="DELEGATE AGENCY"/>
    <s v="SOLE SOURCE"/>
    <x v="0"/>
  </r>
  <r>
    <n v="243405"/>
    <n v="13000000"/>
    <x v="2"/>
    <x v="1388"/>
    <x v="2"/>
    <s v="COMPTROLLER-OTHER"/>
    <s v="UNKNOWN"/>
    <x v="0"/>
  </r>
  <r>
    <n v="243406"/>
    <n v="6000"/>
    <x v="0"/>
    <x v="1396"/>
    <x v="20"/>
    <s v="COMPTROLLER-OTHER"/>
    <s v="UNKNOWN"/>
    <x v="0"/>
  </r>
  <r>
    <n v="243444"/>
    <n v="10000000"/>
    <x v="3"/>
    <x v="1397"/>
    <x v="13"/>
    <s v="PRO SERV CONSULTING $250,000orABOVE"/>
    <s v="RFP"/>
    <x v="0"/>
  </r>
  <r>
    <n v="243458"/>
    <n v="609106.19999999995"/>
    <x v="0"/>
    <x v="1398"/>
    <x v="1"/>
    <s v="PROPERTY LEASE"/>
    <s v="UNKNOWN"/>
    <x v="0"/>
  </r>
  <r>
    <n v="243503"/>
    <n v="54354.400000000001"/>
    <x v="2"/>
    <x v="167"/>
    <x v="12"/>
    <s v="DELEGATE AGENCY"/>
    <s v="UNKNOWN"/>
    <x v="0"/>
  </r>
  <r>
    <n v="243518"/>
    <n v="300000"/>
    <x v="1"/>
    <x v="1015"/>
    <x v="2"/>
    <s v="DELEGATE AGENCY"/>
    <s v="UNKNOWN"/>
    <x v="0"/>
  </r>
  <r>
    <n v="243585"/>
    <n v="378900"/>
    <x v="2"/>
    <x v="72"/>
    <x v="12"/>
    <s v="DELEGATE AGENCY"/>
    <s v="UNKNOWN"/>
    <x v="0"/>
  </r>
  <r>
    <n v="243587"/>
    <n v="496650"/>
    <x v="2"/>
    <x v="120"/>
    <x v="12"/>
    <s v="DELEGATE AGENCY"/>
    <s v="UNKNOWN"/>
    <x v="0"/>
  </r>
  <r>
    <n v="243588"/>
    <n v="1255365.5"/>
    <x v="2"/>
    <x v="85"/>
    <x v="12"/>
    <s v="DELEGATE AGENCY"/>
    <s v="UNKNOWN"/>
    <x v="0"/>
  </r>
  <r>
    <n v="243651"/>
    <n v="310000"/>
    <x v="0"/>
    <x v="359"/>
    <x v="20"/>
    <s v="COMPTROLLER-OTHER"/>
    <s v="UNKNOWN"/>
    <x v="0"/>
  </r>
  <r>
    <n v="243667"/>
    <n v="7660855.5999999996"/>
    <x v="2"/>
    <x v="537"/>
    <x v="3"/>
    <s v="WORK SERVICES / FACILITIES MAINT."/>
    <s v="BID"/>
    <x v="0"/>
  </r>
  <r>
    <n v="243668"/>
    <n v="10000"/>
    <x v="0"/>
    <x v="1399"/>
    <x v="20"/>
    <s v="COMPTROLLER-OTHER"/>
    <s v="UNKNOWN"/>
    <x v="0"/>
  </r>
  <r>
    <n v="243907"/>
    <n v="7598134"/>
    <x v="4"/>
    <x v="1400"/>
    <x v="5"/>
    <s v="COMMODITIES"/>
    <s v="BID"/>
    <x v="0"/>
  </r>
  <r>
    <n v="243908"/>
    <n v="33507752.800000001"/>
    <x v="0"/>
    <x v="1357"/>
    <x v="5"/>
    <s v="COMMODITIES"/>
    <s v="BID"/>
    <x v="1"/>
  </r>
  <r>
    <n v="243941"/>
    <n v="4298398"/>
    <x v="0"/>
    <x v="362"/>
    <x v="12"/>
    <s v="DELEGATE AGENCY"/>
    <s v="UNKNOWN"/>
    <x v="0"/>
  </r>
  <r>
    <n v="243992"/>
    <n v="28826998.199999999"/>
    <x v="0"/>
    <x v="1401"/>
    <x v="5"/>
    <s v="COMMODITIES"/>
    <s v="BID"/>
    <x v="0"/>
  </r>
  <r>
    <n v="244008"/>
    <n v="7534080"/>
    <x v="0"/>
    <x v="1402"/>
    <x v="10"/>
    <s v="WORK SERVICES / FACILITIES MAINT."/>
    <s v="BID"/>
    <x v="0"/>
  </r>
  <r>
    <n v="24406"/>
    <n v="187927"/>
    <x v="0"/>
    <x v="1403"/>
    <x v="1"/>
    <s v="PROPERTY LEASE"/>
    <s v="UNKNOWN"/>
    <x v="0"/>
  </r>
  <r>
    <n v="244095"/>
    <n v="1934349.5"/>
    <x v="1"/>
    <x v="60"/>
    <x v="12"/>
    <s v="DELEGATE AGENCY"/>
    <s v="UNKNOWN"/>
    <x v="0"/>
  </r>
  <r>
    <n v="244127"/>
    <n v="200000"/>
    <x v="0"/>
    <x v="285"/>
    <x v="12"/>
    <s v="DELEGATE AGENCY"/>
    <s v="UNKNOWN"/>
    <x v="0"/>
  </r>
  <r>
    <n v="244238"/>
    <n v="3481926.5999999898"/>
    <x v="1"/>
    <x v="1404"/>
    <x v="15"/>
    <s v="WORK SERVICES / FACILITIES MAINT."/>
    <s v="BID"/>
    <x v="0"/>
  </r>
  <r>
    <n v="244365"/>
    <n v="10644"/>
    <x v="0"/>
    <x v="1006"/>
    <x v="28"/>
    <s v="COMPTROLLER-OTHER"/>
    <s v="UNKNOWN"/>
    <x v="0"/>
  </r>
  <r>
    <n v="244378"/>
    <n v="300000"/>
    <x v="4"/>
    <x v="1405"/>
    <x v="2"/>
    <s v="DELEGATE AGENCY"/>
    <s v="UNKNOWN"/>
    <x v="0"/>
  </r>
  <r>
    <n v="244380"/>
    <n v="950000"/>
    <x v="2"/>
    <x v="1406"/>
    <x v="2"/>
    <s v="COMPTROLLER-OTHER"/>
    <s v="UNKNOWN"/>
    <x v="0"/>
  </r>
  <r>
    <n v="244381"/>
    <n v="250000"/>
    <x v="2"/>
    <x v="1407"/>
    <x v="2"/>
    <s v="COMPTROLLER-OTHER"/>
    <s v="UNKNOWN"/>
    <x v="0"/>
  </r>
  <r>
    <n v="244383"/>
    <n v="950000"/>
    <x v="2"/>
    <x v="1408"/>
    <x v="2"/>
    <s v="COMPTROLLER-OTHER"/>
    <s v="UNKNOWN"/>
    <x v="0"/>
  </r>
  <r>
    <n v="244386"/>
    <n v="15682.4"/>
    <x v="2"/>
    <x v="689"/>
    <x v="12"/>
    <s v="DELEGATE AGENCY"/>
    <s v="UNKNOWN"/>
    <x v="0"/>
  </r>
  <r>
    <n v="244499"/>
    <n v="1304500"/>
    <x v="4"/>
    <x v="1083"/>
    <x v="0"/>
    <s v="WORK SERVICES / FACILITIES MAINT."/>
    <s v="BID"/>
    <x v="0"/>
  </r>
  <r>
    <n v="244500"/>
    <n v="250000"/>
    <x v="0"/>
    <x v="1409"/>
    <x v="2"/>
    <s v="COMPTROLLER-OTHER"/>
    <s v="UNKNOWN"/>
    <x v="0"/>
  </r>
  <r>
    <n v="244501"/>
    <n v="2500000"/>
    <x v="2"/>
    <x v="799"/>
    <x v="2"/>
    <s v="COMPTROLLER-OTHER"/>
    <s v="UNKNOWN"/>
    <x v="0"/>
  </r>
  <r>
    <n v="244502"/>
    <n v="21560000"/>
    <x v="0"/>
    <x v="1410"/>
    <x v="2"/>
    <s v="COMPTROLLER-OTHER"/>
    <s v="UNKNOWN"/>
    <x v="0"/>
  </r>
  <r>
    <n v="244503"/>
    <n v="5670000"/>
    <x v="0"/>
    <x v="1410"/>
    <x v="2"/>
    <s v="COMPTROLLER-OTHER"/>
    <s v="UNKNOWN"/>
    <x v="0"/>
  </r>
  <r>
    <n v="244618"/>
    <n v="740791"/>
    <x v="0"/>
    <x v="1357"/>
    <x v="5"/>
    <s v="COMMODITIES"/>
    <s v="BID"/>
    <x v="1"/>
  </r>
  <r>
    <n v="244632"/>
    <n v="23001180.099999901"/>
    <x v="2"/>
    <x v="0"/>
    <x v="0"/>
    <s v="CONSTRUCTION-LARGE $3MILLIONorABOVE"/>
    <s v="BID"/>
    <x v="1"/>
  </r>
  <r>
    <n v="244688"/>
    <n v="29913"/>
    <x v="0"/>
    <x v="1007"/>
    <x v="29"/>
    <s v="DELEGATE AGENCY"/>
    <s v="INNOVATIVE PROCUREMENT"/>
    <x v="1"/>
  </r>
  <r>
    <n v="244700"/>
    <n v="179495.8"/>
    <x v="4"/>
    <x v="464"/>
    <x v="12"/>
    <s v="DELEGATE AGENCY"/>
    <s v="UNKNOWN"/>
    <x v="0"/>
  </r>
  <r>
    <n v="244701"/>
    <n v="6000000"/>
    <x v="1"/>
    <x v="297"/>
    <x v="12"/>
    <s v="DELEGATE AGENCY"/>
    <s v="UNKNOWN"/>
    <x v="0"/>
  </r>
  <r>
    <n v="244703"/>
    <n v="300000"/>
    <x v="0"/>
    <x v="892"/>
    <x v="2"/>
    <s v="DELEGATE AGENCY"/>
    <s v="UNKNOWN"/>
    <x v="0"/>
  </r>
  <r>
    <n v="244719"/>
    <n v="300000"/>
    <x v="2"/>
    <x v="1021"/>
    <x v="2"/>
    <s v="DELEGATE AGENCY"/>
    <s v="UNKNOWN"/>
    <x v="0"/>
  </r>
  <r>
    <n v="244725"/>
    <n v="250000"/>
    <x v="2"/>
    <x v="1411"/>
    <x v="20"/>
    <s v="COMPTROLLER-OTHER"/>
    <s v="UNKNOWN"/>
    <x v="0"/>
  </r>
  <r>
    <n v="244734"/>
    <n v="3000000"/>
    <x v="2"/>
    <x v="143"/>
    <x v="27"/>
    <s v="ARCH/ENGINEERING"/>
    <s v="MASTER AGREEMENT"/>
    <x v="0"/>
  </r>
  <r>
    <n v="244750"/>
    <n v="100000"/>
    <x v="0"/>
    <x v="1412"/>
    <x v="1"/>
    <s v="PROPERTY LEASE"/>
    <s v="UNKNOWN"/>
    <x v="0"/>
  </r>
  <r>
    <n v="244753"/>
    <n v="125000"/>
    <x v="1"/>
    <x v="1277"/>
    <x v="19"/>
    <s v="DELEGATE AGENCY"/>
    <s v="UNKNOWN"/>
    <x v="0"/>
  </r>
  <r>
    <n v="244791"/>
    <n v="313915.59999999998"/>
    <x v="1"/>
    <x v="71"/>
    <x v="12"/>
    <s v="DELEGATE AGENCY"/>
    <s v="UNKNOWN"/>
    <x v="0"/>
  </r>
  <r>
    <n v="244805"/>
    <n v="41458.699999999997"/>
    <x v="2"/>
    <x v="544"/>
    <x v="12"/>
    <s v="DELEGATE AGENCY"/>
    <s v="UNKNOWN"/>
    <x v="0"/>
  </r>
  <r>
    <n v="244882"/>
    <n v="250000"/>
    <x v="4"/>
    <x v="1413"/>
    <x v="2"/>
    <s v="COMPTROLLER-OTHER"/>
    <s v="UNKNOWN"/>
    <x v="0"/>
  </r>
  <r>
    <n v="244884"/>
    <n v="250000"/>
    <x v="2"/>
    <x v="605"/>
    <x v="2"/>
    <s v="COMPTROLLER-OTHER"/>
    <s v="UNKNOWN"/>
    <x v="0"/>
  </r>
  <r>
    <n v="244886"/>
    <n v="3045000"/>
    <x v="2"/>
    <x v="1414"/>
    <x v="2"/>
    <s v="COMPTROLLER-OTHER"/>
    <s v="UNKNOWN"/>
    <x v="0"/>
  </r>
  <r>
    <n v="244892"/>
    <n v="500000"/>
    <x v="0"/>
    <x v="847"/>
    <x v="20"/>
    <s v="COMPTROLLER-OTHER"/>
    <s v="UNKNOWN"/>
    <x v="0"/>
  </r>
  <r>
    <n v="244897"/>
    <n v="500000"/>
    <x v="2"/>
    <x v="668"/>
    <x v="20"/>
    <s v="COMPTROLLER-OTHER"/>
    <s v="UNKNOWN"/>
    <x v="0"/>
  </r>
  <r>
    <n v="244906"/>
    <n v="2500"/>
    <x v="2"/>
    <x v="1415"/>
    <x v="20"/>
    <s v="COMPTROLLER-OTHER"/>
    <s v="UNKNOWN"/>
    <x v="0"/>
  </r>
  <r>
    <n v="244907"/>
    <n v="2500"/>
    <x v="3"/>
    <x v="1134"/>
    <x v="20"/>
    <s v="COMPTROLLER-OTHER"/>
    <s v="UNKNOWN"/>
    <x v="0"/>
  </r>
  <r>
    <n v="244908"/>
    <n v="45000"/>
    <x v="3"/>
    <x v="1416"/>
    <x v="20"/>
    <s v="COMPTROLLER-OTHER"/>
    <s v="UNKNOWN"/>
    <x v="0"/>
  </r>
  <r>
    <n v="244911"/>
    <n v="45000"/>
    <x v="4"/>
    <x v="664"/>
    <x v="20"/>
    <s v="COMPTROLLER-OTHER"/>
    <s v="UNKNOWN"/>
    <x v="0"/>
  </r>
  <r>
    <n v="244913"/>
    <n v="2500"/>
    <x v="4"/>
    <x v="1417"/>
    <x v="20"/>
    <s v="COMPTROLLER-OTHER"/>
    <s v="UNKNOWN"/>
    <x v="0"/>
  </r>
  <r>
    <n v="245069"/>
    <n v="6000"/>
    <x v="3"/>
    <x v="1418"/>
    <x v="20"/>
    <s v="COMPTROLLER-OTHER"/>
    <s v="UNKNOWN"/>
    <x v="0"/>
  </r>
  <r>
    <n v="245077"/>
    <n v="1602113.1"/>
    <x v="3"/>
    <x v="63"/>
    <x v="12"/>
    <s v="DELEGATE AGENCY"/>
    <s v="UNKNOWN"/>
    <x v="0"/>
  </r>
  <r>
    <n v="245078"/>
    <n v="6000"/>
    <x v="0"/>
    <x v="1419"/>
    <x v="20"/>
    <s v="COMPTROLLER-OTHER"/>
    <s v="UNKNOWN"/>
    <x v="0"/>
  </r>
  <r>
    <n v="245084"/>
    <n v="6000"/>
    <x v="3"/>
    <x v="1420"/>
    <x v="20"/>
    <s v="COMPTROLLER-OTHER"/>
    <s v="UNKNOWN"/>
    <x v="0"/>
  </r>
  <r>
    <n v="245091"/>
    <n v="2550000"/>
    <x v="3"/>
    <x v="258"/>
    <x v="12"/>
    <s v="DELEGATE AGENCY"/>
    <s v="RFP"/>
    <x v="0"/>
  </r>
  <r>
    <n v="245112"/>
    <n v="752141"/>
    <x v="0"/>
    <x v="205"/>
    <x v="12"/>
    <s v="DELEGATE AGENCY"/>
    <s v="UNKNOWN"/>
    <x v="0"/>
  </r>
  <r>
    <n v="245113"/>
    <n v="758390.5"/>
    <x v="2"/>
    <x v="605"/>
    <x v="12"/>
    <s v="DELEGATE AGENCY"/>
    <s v="UNKNOWN"/>
    <x v="0"/>
  </r>
  <r>
    <n v="245114"/>
    <n v="610027.5"/>
    <x v="2"/>
    <x v="444"/>
    <x v="12"/>
    <s v="DELEGATE AGENCY"/>
    <s v="UNKNOWN"/>
    <x v="0"/>
  </r>
  <r>
    <n v="245115"/>
    <n v="887556.5"/>
    <x v="2"/>
    <x v="199"/>
    <x v="12"/>
    <s v="DELEGATE AGENCY"/>
    <s v="UNKNOWN"/>
    <x v="0"/>
  </r>
  <r>
    <n v="245116"/>
    <n v="890842.5"/>
    <x v="2"/>
    <x v="199"/>
    <x v="12"/>
    <s v="DELEGATE AGENCY"/>
    <s v="UNKNOWN"/>
    <x v="0"/>
  </r>
  <r>
    <n v="24516"/>
    <n v="650000"/>
    <x v="2"/>
    <x v="1421"/>
    <x v="3"/>
    <s v="WORK SERVICES / FACILITIES MAINT."/>
    <s v="BID"/>
    <x v="1"/>
  </r>
  <r>
    <n v="24517"/>
    <n v="1280000"/>
    <x v="2"/>
    <x v="1422"/>
    <x v="3"/>
    <s v="WORK SERVICES / FACILITIES MAINT."/>
    <s v="BID"/>
    <x v="0"/>
  </r>
  <r>
    <n v="24518"/>
    <n v="1500000"/>
    <x v="0"/>
    <x v="1423"/>
    <x v="3"/>
    <s v="WORK SERVICES / FACILITIES MAINT."/>
    <s v="BID"/>
    <x v="1"/>
  </r>
  <r>
    <n v="245225"/>
    <n v="190318"/>
    <x v="0"/>
    <x v="86"/>
    <x v="12"/>
    <s v="DELEGATE AGENCY"/>
    <s v="UNKNOWN"/>
    <x v="0"/>
  </r>
  <r>
    <n v="245226"/>
    <n v="426225.6"/>
    <x v="1"/>
    <x v="86"/>
    <x v="12"/>
    <s v="DELEGATE AGENCY"/>
    <s v="UNKNOWN"/>
    <x v="0"/>
  </r>
  <r>
    <n v="245227"/>
    <n v="1129453"/>
    <x v="2"/>
    <x v="73"/>
    <x v="12"/>
    <s v="DELEGATE AGENCY"/>
    <s v="UNKNOWN"/>
    <x v="0"/>
  </r>
  <r>
    <n v="245228"/>
    <n v="112266"/>
    <x v="0"/>
    <x v="95"/>
    <x v="12"/>
    <s v="DELEGATE AGENCY"/>
    <s v="UNKNOWN"/>
    <x v="0"/>
  </r>
  <r>
    <n v="245229"/>
    <n v="164538.79999999999"/>
    <x v="1"/>
    <x v="97"/>
    <x v="12"/>
    <s v="DELEGATE AGENCY"/>
    <s v="UNKNOWN"/>
    <x v="0"/>
  </r>
  <r>
    <n v="245230"/>
    <n v="1736107.7"/>
    <x v="1"/>
    <x v="78"/>
    <x v="12"/>
    <s v="DELEGATE AGENCY"/>
    <s v="UNKNOWN"/>
    <x v="0"/>
  </r>
  <r>
    <n v="245244"/>
    <n v="8300000"/>
    <x v="0"/>
    <x v="285"/>
    <x v="12"/>
    <s v="DELEGATE AGENCY"/>
    <s v="UNKNOWN"/>
    <x v="0"/>
  </r>
  <r>
    <n v="245421"/>
    <n v="73703.399999999994"/>
    <x v="0"/>
    <x v="1005"/>
    <x v="8"/>
    <s v="DELEGATE AGENCY"/>
    <s v="UNKNOWN"/>
    <x v="0"/>
  </r>
  <r>
    <n v="245656"/>
    <n v="782100"/>
    <x v="1"/>
    <x v="1424"/>
    <x v="12"/>
    <s v="PRO SERV CONSULTING $250,000orABOVE"/>
    <s v="SOLE SOURCE"/>
    <x v="1"/>
  </r>
  <r>
    <n v="245726"/>
    <n v="100881360.5"/>
    <x v="2"/>
    <x v="1357"/>
    <x v="5"/>
    <s v="COMMODITIES"/>
    <s v="BID"/>
    <x v="1"/>
  </r>
  <r>
    <n v="245756"/>
    <n v="98983.2"/>
    <x v="0"/>
    <x v="97"/>
    <x v="12"/>
    <s v="DELEGATE AGENCY"/>
    <s v="UNKNOWN"/>
    <x v="0"/>
  </r>
  <r>
    <n v="245757"/>
    <n v="318087"/>
    <x v="1"/>
    <x v="76"/>
    <x v="12"/>
    <s v="DELEGATE AGENCY"/>
    <s v="UNKNOWN"/>
    <x v="0"/>
  </r>
  <r>
    <n v="245759"/>
    <n v="94364.4"/>
    <x v="2"/>
    <x v="116"/>
    <x v="12"/>
    <s v="DELEGATE AGENCY"/>
    <s v="UNKNOWN"/>
    <x v="0"/>
  </r>
  <r>
    <n v="245796"/>
    <n v="76200"/>
    <x v="1"/>
    <x v="175"/>
    <x v="12"/>
    <s v="DELEGATE AGENCY"/>
    <s v="UNKNOWN"/>
    <x v="0"/>
  </r>
  <r>
    <n v="245798"/>
    <n v="76417"/>
    <x v="1"/>
    <x v="292"/>
    <x v="12"/>
    <s v="DELEGATE AGENCY"/>
    <s v="UNKNOWN"/>
    <x v="0"/>
  </r>
  <r>
    <n v="245824"/>
    <n v="6739273"/>
    <x v="1"/>
    <x v="558"/>
    <x v="12"/>
    <s v="DELEGATE AGENCY"/>
    <s v="UNKNOWN"/>
    <x v="0"/>
  </r>
  <r>
    <n v="24608"/>
    <n v="57581.599999999999"/>
    <x v="0"/>
    <x v="509"/>
    <x v="0"/>
    <s v="ARCH/ENGINEERING"/>
    <s v="RFP"/>
    <x v="2"/>
  </r>
  <r>
    <n v="246116"/>
    <n v="5353200"/>
    <x v="1"/>
    <x v="1091"/>
    <x v="5"/>
    <s v="COMMODITIES"/>
    <s v="BID"/>
    <x v="1"/>
  </r>
  <r>
    <n v="246123"/>
    <n v="225000"/>
    <x v="0"/>
    <x v="642"/>
    <x v="3"/>
    <s v="SOFTWARE"/>
    <s v="JOINT PURCHASE"/>
    <x v="0"/>
  </r>
  <r>
    <n v="246164"/>
    <n v="1235833.3999999999"/>
    <x v="1"/>
    <x v="60"/>
    <x v="12"/>
    <s v="DELEGATE AGENCY"/>
    <s v="UNKNOWN"/>
    <x v="0"/>
  </r>
  <r>
    <n v="246165"/>
    <n v="20120.8"/>
    <x v="0"/>
    <x v="61"/>
    <x v="12"/>
    <s v="DELEGATE AGENCY"/>
    <s v="UNKNOWN"/>
    <x v="0"/>
  </r>
  <r>
    <n v="246167"/>
    <n v="419970.4"/>
    <x v="4"/>
    <x v="59"/>
    <x v="12"/>
    <s v="DELEGATE AGENCY"/>
    <s v="UNKNOWN"/>
    <x v="0"/>
  </r>
  <r>
    <n v="246236"/>
    <n v="2027629"/>
    <x v="2"/>
    <x v="78"/>
    <x v="12"/>
    <s v="DELEGATE AGENCY"/>
    <s v="UNKNOWN"/>
    <x v="0"/>
  </r>
  <r>
    <n v="246262"/>
    <n v="2500"/>
    <x v="0"/>
    <x v="1425"/>
    <x v="20"/>
    <s v="COMPTROLLER-OTHER"/>
    <s v="UNKNOWN"/>
    <x v="0"/>
  </r>
  <r>
    <n v="246263"/>
    <n v="6000"/>
    <x v="3"/>
    <x v="1426"/>
    <x v="20"/>
    <s v="COMPTROLLER-OTHER"/>
    <s v="UNKNOWN"/>
    <x v="0"/>
  </r>
  <r>
    <n v="246264"/>
    <n v="6000"/>
    <x v="3"/>
    <x v="1427"/>
    <x v="20"/>
    <s v="COMPTROLLER-OTHER"/>
    <s v="UNKNOWN"/>
    <x v="0"/>
  </r>
  <r>
    <n v="246265"/>
    <n v="6000"/>
    <x v="3"/>
    <x v="1428"/>
    <x v="20"/>
    <s v="COMPTROLLER-OTHER"/>
    <s v="UNKNOWN"/>
    <x v="0"/>
  </r>
  <r>
    <n v="246270"/>
    <n v="6000"/>
    <x v="3"/>
    <x v="1429"/>
    <x v="20"/>
    <s v="COMPTROLLER-OTHER"/>
    <s v="UNKNOWN"/>
    <x v="0"/>
  </r>
  <r>
    <n v="246284"/>
    <n v="629809.1"/>
    <x v="3"/>
    <x v="128"/>
    <x v="8"/>
    <s v="DELEGATE AGENCY"/>
    <s v="UNKNOWN"/>
    <x v="0"/>
  </r>
  <r>
    <n v="246286"/>
    <n v="204949.899999999"/>
    <x v="2"/>
    <x v="281"/>
    <x v="8"/>
    <s v="DELEGATE AGENCY"/>
    <s v="UNKNOWN"/>
    <x v="0"/>
  </r>
  <r>
    <n v="246287"/>
    <n v="227389.3"/>
    <x v="1"/>
    <x v="1289"/>
    <x v="8"/>
    <s v="DELEGATE AGENCY"/>
    <s v="UNKNOWN"/>
    <x v="0"/>
  </r>
  <r>
    <n v="246288"/>
    <n v="73719.3"/>
    <x v="1"/>
    <x v="1343"/>
    <x v="8"/>
    <s v="DELEGATE AGENCY"/>
    <s v="UNKNOWN"/>
    <x v="0"/>
  </r>
  <r>
    <n v="246289"/>
    <n v="360046"/>
    <x v="1"/>
    <x v="497"/>
    <x v="8"/>
    <s v="DELEGATE AGENCY"/>
    <s v="UNKNOWN"/>
    <x v="0"/>
  </r>
  <r>
    <n v="246291"/>
    <n v="624655"/>
    <x v="2"/>
    <x v="391"/>
    <x v="8"/>
    <s v="DELEGATE AGENCY"/>
    <s v="UNKNOWN"/>
    <x v="0"/>
  </r>
  <r>
    <n v="246292"/>
    <n v="36514.300000000003"/>
    <x v="2"/>
    <x v="408"/>
    <x v="8"/>
    <s v="DELEGATE AGENCY"/>
    <s v="UNKNOWN"/>
    <x v="0"/>
  </r>
  <r>
    <n v="246293"/>
    <n v="533083.9"/>
    <x v="4"/>
    <x v="128"/>
    <x v="8"/>
    <s v="DELEGATE AGENCY"/>
    <s v="UNKNOWN"/>
    <x v="0"/>
  </r>
  <r>
    <n v="246294"/>
    <n v="250000"/>
    <x v="2"/>
    <x v="1022"/>
    <x v="2"/>
    <s v="DELEGATE AGENCY"/>
    <s v="UNKNOWN"/>
    <x v="0"/>
  </r>
  <r>
    <n v="246295"/>
    <n v="300000"/>
    <x v="2"/>
    <x v="1025"/>
    <x v="2"/>
    <s v="DELEGATE AGENCY"/>
    <s v="UNKNOWN"/>
    <x v="0"/>
  </r>
  <r>
    <n v="246300"/>
    <n v="6000"/>
    <x v="2"/>
    <x v="1430"/>
    <x v="20"/>
    <s v="COMPTROLLER-OTHER"/>
    <s v="UNKNOWN"/>
    <x v="0"/>
  </r>
  <r>
    <n v="246308"/>
    <n v="6000"/>
    <x v="3"/>
    <x v="1431"/>
    <x v="20"/>
    <s v="COMPTROLLER-OTHER"/>
    <s v="UNKNOWN"/>
    <x v="0"/>
  </r>
  <r>
    <n v="246312"/>
    <n v="6000"/>
    <x v="3"/>
    <x v="1432"/>
    <x v="20"/>
    <s v="COMPTROLLER-OTHER"/>
    <s v="UNKNOWN"/>
    <x v="0"/>
  </r>
  <r>
    <n v="246318"/>
    <n v="6000"/>
    <x v="3"/>
    <x v="1433"/>
    <x v="20"/>
    <s v="COMPTROLLER-OTHER"/>
    <s v="UNKNOWN"/>
    <x v="0"/>
  </r>
  <r>
    <n v="246320"/>
    <n v="100000"/>
    <x v="3"/>
    <x v="627"/>
    <x v="20"/>
    <s v="COMPTROLLER-OTHER"/>
    <s v="UNKNOWN"/>
    <x v="0"/>
  </r>
  <r>
    <n v="246324"/>
    <n v="1000"/>
    <x v="1"/>
    <x v="1434"/>
    <x v="20"/>
    <s v="COMPTROLLER-OTHER"/>
    <s v="UNKNOWN"/>
    <x v="0"/>
  </r>
  <r>
    <n v="246374"/>
    <n v="3000000"/>
    <x v="3"/>
    <x v="891"/>
    <x v="0"/>
    <s v="COMPTROLLER-OTHER"/>
    <s v="UNKNOWN"/>
    <x v="0"/>
  </r>
  <r>
    <n v="246407"/>
    <n v="126735"/>
    <x v="0"/>
    <x v="1435"/>
    <x v="2"/>
    <s v="COMPTROLLER-OTHER"/>
    <s v="UNKNOWN"/>
    <x v="0"/>
  </r>
  <r>
    <n v="246423"/>
    <n v="679266"/>
    <x v="1"/>
    <x v="119"/>
    <x v="12"/>
    <s v="DELEGATE AGENCY"/>
    <s v="UNKNOWN"/>
    <x v="0"/>
  </r>
  <r>
    <n v="246424"/>
    <n v="48228.1"/>
    <x v="2"/>
    <x v="105"/>
    <x v="12"/>
    <s v="DELEGATE AGENCY"/>
    <s v="UNKNOWN"/>
    <x v="0"/>
  </r>
  <r>
    <n v="246425"/>
    <n v="63196.6"/>
    <x v="4"/>
    <x v="170"/>
    <x v="12"/>
    <s v="DELEGATE AGENCY"/>
    <s v="UNKNOWN"/>
    <x v="0"/>
  </r>
  <r>
    <n v="246426"/>
    <n v="817319.6"/>
    <x v="1"/>
    <x v="77"/>
    <x v="12"/>
    <s v="DELEGATE AGENCY"/>
    <s v="UNKNOWN"/>
    <x v="0"/>
  </r>
  <r>
    <n v="246427"/>
    <n v="253973.3"/>
    <x v="2"/>
    <x v="76"/>
    <x v="12"/>
    <s v="DELEGATE AGENCY"/>
    <s v="UNKNOWN"/>
    <x v="0"/>
  </r>
  <r>
    <n v="246428"/>
    <n v="578862"/>
    <x v="2"/>
    <x v="78"/>
    <x v="12"/>
    <s v="DELEGATE AGENCY"/>
    <s v="UNKNOWN"/>
    <x v="0"/>
  </r>
  <r>
    <n v="246429"/>
    <n v="386736"/>
    <x v="2"/>
    <x v="60"/>
    <x v="12"/>
    <s v="DELEGATE AGENCY"/>
    <s v="UNKNOWN"/>
    <x v="0"/>
  </r>
  <r>
    <n v="246430"/>
    <n v="1092015.8"/>
    <x v="2"/>
    <x v="114"/>
    <x v="12"/>
    <s v="DELEGATE AGENCY"/>
    <s v="UNKNOWN"/>
    <x v="0"/>
  </r>
  <r>
    <n v="246431"/>
    <n v="245754.5"/>
    <x v="0"/>
    <x v="65"/>
    <x v="12"/>
    <s v="DELEGATE AGENCY"/>
    <s v="UNKNOWN"/>
    <x v="0"/>
  </r>
  <r>
    <n v="246432"/>
    <n v="439147.4"/>
    <x v="1"/>
    <x v="91"/>
    <x v="12"/>
    <s v="DELEGATE AGENCY"/>
    <s v="UNKNOWN"/>
    <x v="0"/>
  </r>
  <r>
    <n v="246433"/>
    <n v="749253.5"/>
    <x v="2"/>
    <x v="566"/>
    <x v="12"/>
    <s v="DELEGATE AGENCY"/>
    <s v="UNKNOWN"/>
    <x v="0"/>
  </r>
  <r>
    <n v="246436"/>
    <n v="100000"/>
    <x v="2"/>
    <x v="1436"/>
    <x v="20"/>
    <s v="COMPTROLLER-OTHER"/>
    <s v="UNKNOWN"/>
    <x v="0"/>
  </r>
  <r>
    <n v="246437"/>
    <n v="250000"/>
    <x v="1"/>
    <x v="801"/>
    <x v="20"/>
    <s v="COMPTROLLER-OTHER"/>
    <s v="UNKNOWN"/>
    <x v="0"/>
  </r>
  <r>
    <n v="246440"/>
    <n v="100000"/>
    <x v="2"/>
    <x v="1128"/>
    <x v="20"/>
    <s v="COMPTROLLER-OTHER"/>
    <s v="UNKNOWN"/>
    <x v="0"/>
  </r>
  <r>
    <n v="246444"/>
    <n v="17462.8"/>
    <x v="1"/>
    <x v="1437"/>
    <x v="20"/>
    <s v="COMPTROLLER-OTHER"/>
    <s v="UNKNOWN"/>
    <x v="0"/>
  </r>
  <r>
    <n v="246446"/>
    <n v="482500"/>
    <x v="4"/>
    <x v="1201"/>
    <x v="20"/>
    <s v="COMPTROLLER-OTHER"/>
    <s v="UNKNOWN"/>
    <x v="0"/>
  </r>
  <r>
    <n v="246448"/>
    <n v="1000"/>
    <x v="2"/>
    <x v="1134"/>
    <x v="20"/>
    <s v="COMPTROLLER-OTHER"/>
    <s v="UNKNOWN"/>
    <x v="0"/>
  </r>
  <r>
    <n v="246451"/>
    <n v="25000"/>
    <x v="3"/>
    <x v="1333"/>
    <x v="20"/>
    <s v="COMPTROLLER-OTHER"/>
    <s v="UNKNOWN"/>
    <x v="0"/>
  </r>
  <r>
    <n v="246453"/>
    <n v="250000"/>
    <x v="4"/>
    <x v="464"/>
    <x v="20"/>
    <s v="COMPTROLLER-OTHER"/>
    <s v="UNKNOWN"/>
    <x v="0"/>
  </r>
  <r>
    <n v="246454"/>
    <n v="45000"/>
    <x v="2"/>
    <x v="1438"/>
    <x v="20"/>
    <s v="COMPTROLLER-OTHER"/>
    <s v="UNKNOWN"/>
    <x v="0"/>
  </r>
  <r>
    <n v="246456"/>
    <n v="45000"/>
    <x v="4"/>
    <x v="1439"/>
    <x v="20"/>
    <s v="COMPTROLLER-OTHER"/>
    <s v="UNKNOWN"/>
    <x v="0"/>
  </r>
  <r>
    <n v="246458"/>
    <n v="45000"/>
    <x v="4"/>
    <x v="1440"/>
    <x v="20"/>
    <s v="COMPTROLLER-OTHER"/>
    <s v="UNKNOWN"/>
    <x v="0"/>
  </r>
  <r>
    <n v="246469"/>
    <n v="5000000"/>
    <x v="4"/>
    <x v="285"/>
    <x v="12"/>
    <s v="DELEGATE AGENCY"/>
    <s v="UNKNOWN"/>
    <x v="0"/>
  </r>
  <r>
    <n v="246542"/>
    <n v="80000"/>
    <x v="0"/>
    <x v="629"/>
    <x v="20"/>
    <s v="COMPTROLLER-OTHER"/>
    <s v="UNKNOWN"/>
    <x v="0"/>
  </r>
  <r>
    <n v="246545"/>
    <n v="8460515.5999999996"/>
    <x v="1"/>
    <x v="1441"/>
    <x v="0"/>
    <s v="COMMODITIES"/>
    <s v="BID"/>
    <x v="1"/>
  </r>
  <r>
    <n v="246547"/>
    <n v="180000"/>
    <x v="0"/>
    <x v="1311"/>
    <x v="20"/>
    <s v="COMPTROLLER-OTHER"/>
    <s v="UNKNOWN"/>
    <x v="0"/>
  </r>
  <r>
    <n v="246550"/>
    <n v="250000"/>
    <x v="1"/>
    <x v="763"/>
    <x v="20"/>
    <s v="COMPTROLLER-OTHER"/>
    <s v="UNKNOWN"/>
    <x v="0"/>
  </r>
  <r>
    <n v="246552"/>
    <n v="100000"/>
    <x v="2"/>
    <x v="638"/>
    <x v="20"/>
    <s v="COMPTROLLER-OTHER"/>
    <s v="UNKNOWN"/>
    <x v="0"/>
  </r>
  <r>
    <n v="246554"/>
    <n v="25000"/>
    <x v="1"/>
    <x v="1442"/>
    <x v="20"/>
    <s v="COMPTROLLER-OTHER"/>
    <s v="UNKNOWN"/>
    <x v="0"/>
  </r>
  <r>
    <n v="246555"/>
    <n v="250000"/>
    <x v="4"/>
    <x v="1443"/>
    <x v="20"/>
    <s v="COMPTROLLER-OTHER"/>
    <s v="UNKNOWN"/>
    <x v="0"/>
  </r>
  <r>
    <n v="246556"/>
    <n v="6000"/>
    <x v="2"/>
    <x v="1444"/>
    <x v="20"/>
    <s v="COMPTROLLER-OTHER"/>
    <s v="UNKNOWN"/>
    <x v="0"/>
  </r>
  <r>
    <n v="246557"/>
    <n v="45000"/>
    <x v="3"/>
    <x v="697"/>
    <x v="20"/>
    <s v="COMPTROLLER-OTHER"/>
    <s v="UNKNOWN"/>
    <x v="0"/>
  </r>
  <r>
    <n v="246599"/>
    <n v="6000"/>
    <x v="4"/>
    <x v="1445"/>
    <x v="20"/>
    <s v="COMPTROLLER-OTHER"/>
    <s v="UNKNOWN"/>
    <x v="0"/>
  </r>
  <r>
    <n v="246645"/>
    <n v="6000"/>
    <x v="3"/>
    <x v="1446"/>
    <x v="20"/>
    <s v="COMPTROLLER-OTHER"/>
    <s v="UNKNOWN"/>
    <x v="0"/>
  </r>
  <r>
    <n v="246647"/>
    <n v="5000"/>
    <x v="3"/>
    <x v="1447"/>
    <x v="20"/>
    <s v="COMPTROLLER-OTHER"/>
    <s v="UNKNOWN"/>
    <x v="0"/>
  </r>
  <r>
    <n v="246648"/>
    <n v="6000"/>
    <x v="3"/>
    <x v="1448"/>
    <x v="20"/>
    <s v="COMPTROLLER-OTHER"/>
    <s v="UNKNOWN"/>
    <x v="0"/>
  </r>
  <r>
    <n v="246650"/>
    <n v="3000"/>
    <x v="3"/>
    <x v="1449"/>
    <x v="20"/>
    <s v="COMPTROLLER-OTHER"/>
    <s v="UNKNOWN"/>
    <x v="0"/>
  </r>
  <r>
    <n v="246651"/>
    <n v="6000"/>
    <x v="3"/>
    <x v="1450"/>
    <x v="20"/>
    <s v="COMPTROLLER-OTHER"/>
    <s v="UNKNOWN"/>
    <x v="0"/>
  </r>
  <r>
    <n v="246652"/>
    <n v="6000"/>
    <x v="3"/>
    <x v="1451"/>
    <x v="20"/>
    <s v="COMPTROLLER-OTHER"/>
    <s v="UNKNOWN"/>
    <x v="0"/>
  </r>
  <r>
    <n v="246654"/>
    <n v="6000"/>
    <x v="3"/>
    <x v="1452"/>
    <x v="20"/>
    <s v="COMPTROLLER-OTHER"/>
    <s v="UNKNOWN"/>
    <x v="0"/>
  </r>
  <r>
    <n v="246702"/>
    <n v="6000"/>
    <x v="3"/>
    <x v="1453"/>
    <x v="20"/>
    <s v="COMPTROLLER-OTHER"/>
    <s v="UNKNOWN"/>
    <x v="0"/>
  </r>
  <r>
    <n v="246712"/>
    <n v="5000"/>
    <x v="3"/>
    <x v="1454"/>
    <x v="20"/>
    <s v="COMPTROLLER-OTHER"/>
    <s v="UNKNOWN"/>
    <x v="0"/>
  </r>
  <r>
    <n v="246734"/>
    <n v="700878.5"/>
    <x v="3"/>
    <x v="201"/>
    <x v="8"/>
    <s v="DELEGATE AGENCY"/>
    <s v="UNKNOWN"/>
    <x v="0"/>
  </r>
  <r>
    <n v="246785"/>
    <n v="1380000"/>
    <x v="2"/>
    <x v="1357"/>
    <x v="5"/>
    <s v="COMMODITIES"/>
    <s v="BID"/>
    <x v="1"/>
  </r>
  <r>
    <n v="246822"/>
    <n v="1756587.3"/>
    <x v="0"/>
    <x v="1357"/>
    <x v="5"/>
    <s v="COMMODITIES"/>
    <s v="BID"/>
    <x v="1"/>
  </r>
  <r>
    <n v="246843"/>
    <n v="6000"/>
    <x v="0"/>
    <x v="1455"/>
    <x v="20"/>
    <s v="COMPTROLLER-OTHER"/>
    <s v="UNKNOWN"/>
    <x v="0"/>
  </r>
  <r>
    <n v="246848"/>
    <n v="6000"/>
    <x v="3"/>
    <x v="1456"/>
    <x v="20"/>
    <s v="COMPTROLLER-OTHER"/>
    <s v="UNKNOWN"/>
    <x v="0"/>
  </r>
  <r>
    <n v="246849"/>
    <n v="6000"/>
    <x v="3"/>
    <x v="1457"/>
    <x v="20"/>
    <s v="COMPTROLLER-OTHER"/>
    <s v="UNKNOWN"/>
    <x v="0"/>
  </r>
  <r>
    <n v="246851"/>
    <n v="861195.3"/>
    <x v="3"/>
    <x v="114"/>
    <x v="12"/>
    <s v="DELEGATE AGENCY"/>
    <s v="UNKNOWN"/>
    <x v="0"/>
  </r>
  <r>
    <n v="246852"/>
    <n v="6000"/>
    <x v="2"/>
    <x v="1458"/>
    <x v="20"/>
    <s v="COMPTROLLER-OTHER"/>
    <s v="UNKNOWN"/>
    <x v="0"/>
  </r>
  <r>
    <n v="246855"/>
    <n v="100000"/>
    <x v="3"/>
    <x v="720"/>
    <x v="20"/>
    <s v="COMPTROLLER-OTHER"/>
    <s v="UNKNOWN"/>
    <x v="0"/>
  </r>
  <r>
    <n v="246880"/>
    <n v="7000000"/>
    <x v="1"/>
    <x v="232"/>
    <x v="19"/>
    <s v="DELEGATE AGENCY"/>
    <s v="RFP"/>
    <x v="0"/>
  </r>
  <r>
    <n v="246886"/>
    <n v="215000"/>
    <x v="0"/>
    <x v="734"/>
    <x v="20"/>
    <s v="COMPTROLLER-OTHER"/>
    <s v="UNKNOWN"/>
    <x v="0"/>
  </r>
  <r>
    <n v="246893"/>
    <n v="150000"/>
    <x v="1"/>
    <x v="758"/>
    <x v="20"/>
    <s v="COMPTROLLER-OTHER"/>
    <s v="UNKNOWN"/>
    <x v="0"/>
  </r>
  <r>
    <n v="246895"/>
    <n v="140000"/>
    <x v="1"/>
    <x v="624"/>
    <x v="20"/>
    <s v="COMPTROLLER-OTHER"/>
    <s v="UNKNOWN"/>
    <x v="0"/>
  </r>
  <r>
    <n v="246897"/>
    <n v="130000"/>
    <x v="1"/>
    <x v="1336"/>
    <x v="20"/>
    <s v="COMPTROLLER-OTHER"/>
    <s v="UNKNOWN"/>
    <x v="0"/>
  </r>
  <r>
    <n v="246965"/>
    <n v="22868285.300000001"/>
    <x v="1"/>
    <x v="1459"/>
    <x v="25"/>
    <s v="VEHICLES/HEAVY EQUIPMENT (CAPITAL)"/>
    <s v="SOLE SOURCE"/>
    <x v="1"/>
  </r>
  <r>
    <n v="247011"/>
    <n v="6000"/>
    <x v="0"/>
    <x v="1460"/>
    <x v="20"/>
    <s v="COMPTROLLER-OTHER"/>
    <s v="UNKNOWN"/>
    <x v="0"/>
  </r>
  <r>
    <n v="247012"/>
    <n v="6000"/>
    <x v="3"/>
    <x v="1461"/>
    <x v="20"/>
    <s v="COMPTROLLER-OTHER"/>
    <s v="UNKNOWN"/>
    <x v="0"/>
  </r>
  <r>
    <n v="247013"/>
    <n v="5500"/>
    <x v="3"/>
    <x v="1462"/>
    <x v="20"/>
    <s v="COMPTROLLER-OTHER"/>
    <s v="UNKNOWN"/>
    <x v="0"/>
  </r>
  <r>
    <n v="247014"/>
    <n v="6000"/>
    <x v="3"/>
    <x v="1463"/>
    <x v="20"/>
    <s v="COMPTROLLER-OTHER"/>
    <s v="UNKNOWN"/>
    <x v="0"/>
  </r>
  <r>
    <n v="247051"/>
    <n v="4014750"/>
    <x v="3"/>
    <x v="1300"/>
    <x v="10"/>
    <s v="WORK SERVICES / FACILITIES MAINT."/>
    <s v="BID"/>
    <x v="1"/>
  </r>
  <r>
    <n v="247052"/>
    <n v="6000"/>
    <x v="0"/>
    <x v="1464"/>
    <x v="20"/>
    <s v="COMPTROLLER-OTHER"/>
    <s v="UNKNOWN"/>
    <x v="0"/>
  </r>
  <r>
    <n v="247105"/>
    <n v="15000000"/>
    <x v="3"/>
    <x v="1465"/>
    <x v="3"/>
    <s v="PRO SERV CONSULTING $250,000orABOVE"/>
    <s v="RFP"/>
    <x v="2"/>
  </r>
  <r>
    <n v="247178"/>
    <n v="30000"/>
    <x v="0"/>
    <x v="57"/>
    <x v="12"/>
    <s v="DELEGATE AGENCY"/>
    <s v="UNKNOWN"/>
    <x v="0"/>
  </r>
  <r>
    <n v="247179"/>
    <n v="120018"/>
    <x v="4"/>
    <x v="24"/>
    <x v="12"/>
    <s v="DELEGATE AGENCY"/>
    <s v="UNKNOWN"/>
    <x v="0"/>
  </r>
  <r>
    <n v="247181"/>
    <n v="95882058.5"/>
    <x v="1"/>
    <x v="35"/>
    <x v="10"/>
    <s v="WORK SERVICES / FACILITIES MAINT."/>
    <s v="BID"/>
    <x v="0"/>
  </r>
  <r>
    <n v="247183"/>
    <n v="5699504.2999999998"/>
    <x v="0"/>
    <x v="172"/>
    <x v="6"/>
    <s v="PRO SERV-AVIATION"/>
    <s v="CONTRACT ASSIGNMENT/TRANSFER"/>
    <x v="0"/>
  </r>
  <r>
    <n v="247286"/>
    <n v="1575146"/>
    <x v="0"/>
    <x v="1466"/>
    <x v="1"/>
    <s v="DELEGATE AGENCY"/>
    <s v="UNKNOWN"/>
    <x v="1"/>
  </r>
  <r>
    <n v="247297"/>
    <n v="69750"/>
    <x v="0"/>
    <x v="1467"/>
    <x v="25"/>
    <s v="COMMODITIES-SMALL ORDERS"/>
    <s v="BID"/>
    <x v="0"/>
  </r>
  <r>
    <n v="247315"/>
    <n v="2946611.7"/>
    <x v="1"/>
    <x v="1468"/>
    <x v="5"/>
    <s v="COMMODITIES"/>
    <s v="BID"/>
    <x v="1"/>
  </r>
  <r>
    <n v="247327"/>
    <n v="11589680"/>
    <x v="0"/>
    <x v="297"/>
    <x v="12"/>
    <s v="DELEGATE AGENCY"/>
    <s v="UNKNOWN"/>
    <x v="0"/>
  </r>
  <r>
    <n v="247328"/>
    <n v="433142.2"/>
    <x v="0"/>
    <x v="642"/>
    <x v="15"/>
    <s v="SOFTWARE"/>
    <s v="JOINT PURCHASE"/>
    <x v="0"/>
  </r>
  <r>
    <n v="247335"/>
    <n v="4012500"/>
    <x v="2"/>
    <x v="1469"/>
    <x v="10"/>
    <s v="COMMODITIES"/>
    <s v="BID"/>
    <x v="1"/>
  </r>
  <r>
    <n v="247409"/>
    <n v="127726.8"/>
    <x v="0"/>
    <x v="351"/>
    <x v="12"/>
    <s v="DELEGATE AGENCY"/>
    <s v="UNKNOWN"/>
    <x v="0"/>
  </r>
  <r>
    <n v="247410"/>
    <n v="383187"/>
    <x v="1"/>
    <x v="351"/>
    <x v="12"/>
    <s v="DELEGATE AGENCY"/>
    <s v="UNKNOWN"/>
    <x v="0"/>
  </r>
  <r>
    <n v="247411"/>
    <n v="54790.7"/>
    <x v="2"/>
    <x v="351"/>
    <x v="12"/>
    <s v="DELEGATE AGENCY"/>
    <s v="UNKNOWN"/>
    <x v="0"/>
  </r>
  <r>
    <n v="247412"/>
    <n v="164373"/>
    <x v="1"/>
    <x v="351"/>
    <x v="12"/>
    <s v="DELEGATE AGENCY"/>
    <s v="UNKNOWN"/>
    <x v="0"/>
  </r>
  <r>
    <n v="247413"/>
    <n v="177411.7"/>
    <x v="1"/>
    <x v="199"/>
    <x v="12"/>
    <s v="DELEGATE AGENCY"/>
    <s v="UNKNOWN"/>
    <x v="0"/>
  </r>
  <r>
    <n v="247414"/>
    <n v="532253.1"/>
    <x v="1"/>
    <x v="199"/>
    <x v="12"/>
    <s v="DELEGATE AGENCY"/>
    <s v="UNKNOWN"/>
    <x v="0"/>
  </r>
  <r>
    <n v="247424"/>
    <n v="100000"/>
    <x v="2"/>
    <x v="436"/>
    <x v="8"/>
    <s v="DELEGATE AGENCY"/>
    <s v="RFP"/>
    <x v="1"/>
  </r>
  <r>
    <n v="247425"/>
    <n v="100000"/>
    <x v="1"/>
    <x v="128"/>
    <x v="8"/>
    <s v="DELEGATE AGENCY"/>
    <s v="UNKNOWN"/>
    <x v="1"/>
  </r>
  <r>
    <n v="247427"/>
    <n v="100000"/>
    <x v="1"/>
    <x v="437"/>
    <x v="8"/>
    <s v="DELEGATE AGENCY"/>
    <s v="RFP"/>
    <x v="1"/>
  </r>
  <r>
    <n v="247429"/>
    <n v="100000"/>
    <x v="1"/>
    <x v="391"/>
    <x v="8"/>
    <s v="DELEGATE AGENCY"/>
    <s v="RFP"/>
    <x v="1"/>
  </r>
  <r>
    <n v="247440"/>
    <n v="10000000"/>
    <x v="1"/>
    <x v="513"/>
    <x v="0"/>
    <s v="ARCH/ENGINEERING"/>
    <s v="RFQ"/>
    <x v="1"/>
  </r>
  <r>
    <n v="247443"/>
    <n v="1520000"/>
    <x v="0"/>
    <x v="1470"/>
    <x v="1"/>
    <s v="WORK SERVICES / FACILITIES MAINT."/>
    <s v="BID"/>
    <x v="1"/>
  </r>
  <r>
    <n v="247452"/>
    <n v="744977.2"/>
    <x v="0"/>
    <x v="441"/>
    <x v="12"/>
    <s v="DELEGATE AGENCY"/>
    <s v="UNKNOWN"/>
    <x v="0"/>
  </r>
  <r>
    <n v="247456"/>
    <n v="400715"/>
    <x v="2"/>
    <x v="1471"/>
    <x v="0"/>
    <s v="COMMODITIES"/>
    <s v="BID"/>
    <x v="1"/>
  </r>
  <r>
    <n v="247486"/>
    <n v="403836.5"/>
    <x v="2"/>
    <x v="436"/>
    <x v="8"/>
    <s v="DELEGATE AGENCY"/>
    <s v="UNKNOWN"/>
    <x v="0"/>
  </r>
  <r>
    <n v="247487"/>
    <n v="159000"/>
    <x v="2"/>
    <x v="44"/>
    <x v="8"/>
    <s v="DELEGATE AGENCY"/>
    <s v="UNKNOWN"/>
    <x v="0"/>
  </r>
  <r>
    <n v="247488"/>
    <n v="33846.9"/>
    <x v="1"/>
    <x v="391"/>
    <x v="8"/>
    <s v="DELEGATE AGENCY"/>
    <s v="UNKNOWN"/>
    <x v="0"/>
  </r>
  <r>
    <n v="247521"/>
    <n v="34083"/>
    <x v="4"/>
    <x v="201"/>
    <x v="8"/>
    <s v="DELEGATE AGENCY"/>
    <s v="UNKNOWN"/>
    <x v="0"/>
  </r>
  <r>
    <n v="247522"/>
    <n v="121936.1"/>
    <x v="4"/>
    <x v="1290"/>
    <x v="8"/>
    <s v="DELEGATE AGENCY"/>
    <s v="UNKNOWN"/>
    <x v="0"/>
  </r>
  <r>
    <n v="247680"/>
    <n v="100000"/>
    <x v="1"/>
    <x v="25"/>
    <x v="12"/>
    <s v="PRO SERV CONSULTING UNDER $250,000"/>
    <s v="RFP"/>
    <x v="1"/>
  </r>
  <r>
    <n v="24782"/>
    <n v="1167992.6000000001"/>
    <x v="1"/>
    <x v="1472"/>
    <x v="6"/>
    <s v="WORK SERV-AVIATION"/>
    <s v="BID"/>
    <x v="0"/>
  </r>
  <r>
    <n v="247873"/>
    <n v="107825.9"/>
    <x v="0"/>
    <x v="240"/>
    <x v="12"/>
    <s v="DELEGATE AGENCY"/>
    <s v="UNKNOWN"/>
    <x v="0"/>
  </r>
  <r>
    <n v="247879"/>
    <n v="329688"/>
    <x v="1"/>
    <x v="295"/>
    <x v="12"/>
    <s v="DELEGATE AGENCY"/>
    <s v="UNKNOWN"/>
    <x v="0"/>
  </r>
  <r>
    <n v="247880"/>
    <n v="938350"/>
    <x v="2"/>
    <x v="209"/>
    <x v="12"/>
    <s v="DELEGATE AGENCY"/>
    <s v="UNKNOWN"/>
    <x v="0"/>
  </r>
  <r>
    <n v="247881"/>
    <n v="169891"/>
    <x v="2"/>
    <x v="312"/>
    <x v="12"/>
    <s v="DELEGATE AGENCY"/>
    <s v="UNKNOWN"/>
    <x v="0"/>
  </r>
  <r>
    <n v="247888"/>
    <n v="263750"/>
    <x v="1"/>
    <x v="299"/>
    <x v="12"/>
    <s v="DELEGATE AGENCY"/>
    <s v="UNKNOWN"/>
    <x v="0"/>
  </r>
  <r>
    <n v="247890"/>
    <n v="209000"/>
    <x v="2"/>
    <x v="303"/>
    <x v="12"/>
    <s v="DELEGATE AGENCY"/>
    <s v="UNKNOWN"/>
    <x v="0"/>
  </r>
  <r>
    <n v="247891"/>
    <n v="67258"/>
    <x v="1"/>
    <x v="287"/>
    <x v="12"/>
    <s v="DELEGATE AGENCY"/>
    <s v="UNKNOWN"/>
    <x v="0"/>
  </r>
  <r>
    <n v="247892"/>
    <n v="286015"/>
    <x v="1"/>
    <x v="304"/>
    <x v="12"/>
    <s v="DELEGATE AGENCY"/>
    <s v="UNKNOWN"/>
    <x v="0"/>
  </r>
  <r>
    <n v="247893"/>
    <n v="4403120"/>
    <x v="2"/>
    <x v="306"/>
    <x v="12"/>
    <s v="DELEGATE AGENCY"/>
    <s v="UNKNOWN"/>
    <x v="0"/>
  </r>
  <r>
    <n v="247894"/>
    <n v="179808"/>
    <x v="0"/>
    <x v="294"/>
    <x v="12"/>
    <s v="DELEGATE AGENCY"/>
    <s v="UNKNOWN"/>
    <x v="0"/>
  </r>
  <r>
    <n v="247896"/>
    <n v="905576"/>
    <x v="1"/>
    <x v="308"/>
    <x v="12"/>
    <s v="DELEGATE AGENCY"/>
    <s v="UNKNOWN"/>
    <x v="0"/>
  </r>
  <r>
    <n v="247897"/>
    <n v="164845"/>
    <x v="2"/>
    <x v="310"/>
    <x v="12"/>
    <s v="DELEGATE AGENCY"/>
    <s v="UNKNOWN"/>
    <x v="0"/>
  </r>
  <r>
    <n v="247904"/>
    <n v="384675"/>
    <x v="1"/>
    <x v="216"/>
    <x v="12"/>
    <s v="DELEGATE AGENCY"/>
    <s v="UNKNOWN"/>
    <x v="0"/>
  </r>
  <r>
    <n v="247914"/>
    <n v="296720"/>
    <x v="2"/>
    <x v="321"/>
    <x v="12"/>
    <s v="DELEGATE AGENCY"/>
    <s v="UNKNOWN"/>
    <x v="0"/>
  </r>
  <r>
    <n v="247988"/>
    <n v="30775"/>
    <x v="2"/>
    <x v="436"/>
    <x v="8"/>
    <s v="DELEGATE AGENCY"/>
    <s v="UNKNOWN"/>
    <x v="0"/>
  </r>
  <r>
    <n v="247989"/>
    <n v="32703.8"/>
    <x v="4"/>
    <x v="437"/>
    <x v="8"/>
    <s v="DELEGATE AGENCY"/>
    <s v="UNKNOWN"/>
    <x v="0"/>
  </r>
  <r>
    <n v="248018"/>
    <n v="116813982.2"/>
    <x v="4"/>
    <x v="1473"/>
    <x v="5"/>
    <s v="WORK SERVICES / FACILITIES MAINT."/>
    <s v="CONTRACT ASSIGNMENT/TRANS"/>
    <x v="0"/>
  </r>
  <r>
    <n v="248044"/>
    <n v="6000"/>
    <x v="0"/>
    <x v="1474"/>
    <x v="20"/>
    <s v="COMPTROLLER-OTHER"/>
    <s v="UNKNOWN"/>
    <x v="0"/>
  </r>
  <r>
    <n v="248046"/>
    <n v="6000"/>
    <x v="3"/>
    <x v="1475"/>
    <x v="20"/>
    <s v="COMPTROLLER-OTHER"/>
    <s v="UNKNOWN"/>
    <x v="0"/>
  </r>
  <r>
    <n v="248087"/>
    <n v="6000"/>
    <x v="3"/>
    <x v="1476"/>
    <x v="20"/>
    <s v="COMPTROLLER-OTHER"/>
    <s v="UNKNOWN"/>
    <x v="0"/>
  </r>
  <r>
    <n v="248088"/>
    <n v="6000"/>
    <x v="3"/>
    <x v="1477"/>
    <x v="20"/>
    <s v="COMPTROLLER-OTHER"/>
    <s v="UNKNOWN"/>
    <x v="0"/>
  </r>
  <r>
    <n v="248089"/>
    <n v="6000"/>
    <x v="3"/>
    <x v="1478"/>
    <x v="20"/>
    <s v="COMPTROLLER-OTHER"/>
    <s v="UNKNOWN"/>
    <x v="0"/>
  </r>
  <r>
    <n v="248091"/>
    <n v="75000"/>
    <x v="3"/>
    <x v="650"/>
    <x v="20"/>
    <s v="COMPTROLLER-OTHER"/>
    <s v="UNKNOWN"/>
    <x v="0"/>
  </r>
  <r>
    <n v="248095"/>
    <n v="6000"/>
    <x v="1"/>
    <x v="1479"/>
    <x v="20"/>
    <s v="COMPTROLLER-OTHER"/>
    <s v="UNKNOWN"/>
    <x v="0"/>
  </r>
  <r>
    <n v="248096"/>
    <n v="5000"/>
    <x v="3"/>
    <x v="1480"/>
    <x v="20"/>
    <s v="COMPTROLLER-OTHER"/>
    <s v="UNKNOWN"/>
    <x v="0"/>
  </r>
  <r>
    <n v="248098"/>
    <n v="50000"/>
    <x v="3"/>
    <x v="749"/>
    <x v="20"/>
    <s v="COMPTROLLER-OTHER"/>
    <s v="UNKNOWN"/>
    <x v="0"/>
  </r>
  <r>
    <n v="248099"/>
    <n v="6000"/>
    <x v="1"/>
    <x v="1481"/>
    <x v="20"/>
    <s v="COMPTROLLER-OTHER"/>
    <s v="UNKNOWN"/>
    <x v="0"/>
  </r>
  <r>
    <n v="248102"/>
    <n v="5500"/>
    <x v="3"/>
    <x v="1482"/>
    <x v="20"/>
    <s v="COMPTROLLER-OTHER"/>
    <s v="UNKNOWN"/>
    <x v="0"/>
  </r>
  <r>
    <n v="248106"/>
    <n v="6000"/>
    <x v="3"/>
    <x v="1483"/>
    <x v="20"/>
    <s v="COMPTROLLER-OTHER"/>
    <s v="UNKNOWN"/>
    <x v="0"/>
  </r>
  <r>
    <n v="248209"/>
    <n v="365902"/>
    <x v="3"/>
    <x v="24"/>
    <x v="12"/>
    <s v="DELEGATE AGENCY"/>
    <s v="UNKNOWN"/>
    <x v="0"/>
  </r>
  <r>
    <n v="248214"/>
    <n v="944495"/>
    <x v="2"/>
    <x v="73"/>
    <x v="12"/>
    <s v="DELEGATE AGENCY"/>
    <s v="RFP"/>
    <x v="0"/>
  </r>
  <r>
    <n v="248222"/>
    <n v="100000"/>
    <x v="2"/>
    <x v="68"/>
    <x v="12"/>
    <s v="DELEGATE AGENCY"/>
    <s v="UNKNOWN"/>
    <x v="0"/>
  </r>
  <r>
    <n v="248223"/>
    <n v="25000"/>
    <x v="1"/>
    <x v="64"/>
    <x v="12"/>
    <s v="DELEGATE AGENCY"/>
    <s v="UNKNOWN"/>
    <x v="0"/>
  </r>
  <r>
    <n v="248224"/>
    <n v="350000"/>
    <x v="4"/>
    <x v="132"/>
    <x v="12"/>
    <s v="DELEGATE AGENCY"/>
    <s v="UNKNOWN"/>
    <x v="0"/>
  </r>
  <r>
    <n v="248302"/>
    <n v="414330.2"/>
    <x v="2"/>
    <x v="188"/>
    <x v="8"/>
    <s v="DELEGATE AGENCY"/>
    <s v="UNKNOWN"/>
    <x v="0"/>
  </r>
  <r>
    <n v="248311"/>
    <n v="6000"/>
    <x v="2"/>
    <x v="1484"/>
    <x v="20"/>
    <s v="COMPTROLLER-OTHER"/>
    <s v="UNKNOWN"/>
    <x v="0"/>
  </r>
  <r>
    <n v="248312"/>
    <n v="5000"/>
    <x v="3"/>
    <x v="1454"/>
    <x v="20"/>
    <s v="COMPTROLLER-OTHER"/>
    <s v="UNKNOWN"/>
    <x v="0"/>
  </r>
  <r>
    <n v="248315"/>
    <n v="6000"/>
    <x v="3"/>
    <x v="1485"/>
    <x v="20"/>
    <s v="COMPTROLLER-OTHER"/>
    <s v="UNKNOWN"/>
    <x v="0"/>
  </r>
  <r>
    <n v="248316"/>
    <n v="6000"/>
    <x v="3"/>
    <x v="1486"/>
    <x v="20"/>
    <s v="COMPTROLLER-OTHER"/>
    <s v="UNKNOWN"/>
    <x v="0"/>
  </r>
  <r>
    <n v="248440"/>
    <n v="8479"/>
    <x v="3"/>
    <x v="642"/>
    <x v="3"/>
    <s v="SOFTWARE"/>
    <s v="JOINT PURCHASE"/>
    <x v="0"/>
  </r>
  <r>
    <n v="248448"/>
    <n v="59340"/>
    <x v="3"/>
    <x v="531"/>
    <x v="12"/>
    <s v="DELEGATE AGENCY"/>
    <s v="UNKNOWN"/>
    <x v="0"/>
  </r>
  <r>
    <n v="248449"/>
    <n v="15840"/>
    <x v="1"/>
    <x v="533"/>
    <x v="12"/>
    <s v="DELEGATE AGENCY"/>
    <s v="UNKNOWN"/>
    <x v="0"/>
  </r>
  <r>
    <n v="248472"/>
    <n v="4080690.3"/>
    <x v="4"/>
    <x v="297"/>
    <x v="12"/>
    <s v="DELEGATE AGENCY"/>
    <s v="UNKNOWN"/>
    <x v="0"/>
  </r>
  <r>
    <n v="248473"/>
    <n v="119955.5"/>
    <x v="0"/>
    <x v="533"/>
    <x v="12"/>
    <s v="DELEGATE AGENCY"/>
    <s v="UNKNOWN"/>
    <x v="0"/>
  </r>
  <r>
    <n v="248474"/>
    <n v="1338156.8999999999"/>
    <x v="1"/>
    <x v="297"/>
    <x v="12"/>
    <s v="DELEGATE AGENCY"/>
    <s v="UNKNOWN"/>
    <x v="0"/>
  </r>
  <r>
    <n v="248475"/>
    <n v="379001"/>
    <x v="0"/>
    <x v="531"/>
    <x v="12"/>
    <s v="DELEGATE AGENCY"/>
    <s v="UNKNOWN"/>
    <x v="0"/>
  </r>
  <r>
    <n v="248482"/>
    <n v="109835"/>
    <x v="2"/>
    <x v="211"/>
    <x v="8"/>
    <s v="DELEGATE AGENCY"/>
    <s v="UNKNOWN"/>
    <x v="0"/>
  </r>
  <r>
    <n v="248490"/>
    <n v="839795"/>
    <x v="1"/>
    <x v="307"/>
    <x v="12"/>
    <s v="DELEGATE AGENCY"/>
    <s v="UNKNOWN"/>
    <x v="0"/>
  </r>
  <r>
    <n v="248491"/>
    <n v="395652"/>
    <x v="2"/>
    <x v="305"/>
    <x v="12"/>
    <s v="DELEGATE AGENCY"/>
    <s v="UNKNOWN"/>
    <x v="0"/>
  </r>
  <r>
    <n v="248493"/>
    <n v="659375"/>
    <x v="2"/>
    <x v="309"/>
    <x v="12"/>
    <s v="DELEGATE AGENCY"/>
    <s v="UNKNOWN"/>
    <x v="0"/>
  </r>
  <r>
    <n v="248579"/>
    <n v="38660653.600000001"/>
    <x v="2"/>
    <x v="0"/>
    <x v="0"/>
    <s v="CONSTRUCTION-LARGE $3MILLIONorABOVE"/>
    <s v="BID"/>
    <x v="1"/>
  </r>
  <r>
    <n v="248589"/>
    <n v="3583757.5"/>
    <x v="0"/>
    <x v="1487"/>
    <x v="6"/>
    <s v="WORK SERV-AVIATION"/>
    <s v="BID"/>
    <x v="0"/>
  </r>
  <r>
    <n v="248610"/>
    <n v="918747"/>
    <x v="0"/>
    <x v="351"/>
    <x v="12"/>
    <s v="DELEGATE AGENCY"/>
    <s v="UNKNOWN"/>
    <x v="0"/>
  </r>
  <r>
    <n v="248613"/>
    <n v="240000"/>
    <x v="2"/>
    <x v="292"/>
    <x v="12"/>
    <s v="DELEGATE AGENCY"/>
    <s v="UNKNOWN"/>
    <x v="0"/>
  </r>
  <r>
    <n v="248614"/>
    <n v="99990.9"/>
    <x v="1"/>
    <x v="259"/>
    <x v="12"/>
    <s v="DELEGATE AGENCY"/>
    <s v="UNKNOWN"/>
    <x v="0"/>
  </r>
  <r>
    <n v="248615"/>
    <n v="21770.5"/>
    <x v="1"/>
    <x v="170"/>
    <x v="12"/>
    <s v="DELEGATE AGENCY"/>
    <s v="UNKNOWN"/>
    <x v="0"/>
  </r>
  <r>
    <n v="248616"/>
    <n v="143389.6"/>
    <x v="4"/>
    <x v="170"/>
    <x v="12"/>
    <s v="DELEGATE AGENCY"/>
    <s v="UNKNOWN"/>
    <x v="0"/>
  </r>
  <r>
    <n v="248617"/>
    <n v="10890"/>
    <x v="1"/>
    <x v="534"/>
    <x v="12"/>
    <s v="DELEGATE AGENCY"/>
    <s v="UNKNOWN"/>
    <x v="0"/>
  </r>
  <r>
    <n v="248618"/>
    <n v="350000"/>
    <x v="4"/>
    <x v="258"/>
    <x v="12"/>
    <s v="DELEGATE AGENCY"/>
    <s v="UNKNOWN"/>
    <x v="0"/>
  </r>
  <r>
    <n v="248619"/>
    <n v="2041852.2"/>
    <x v="2"/>
    <x v="316"/>
    <x v="22"/>
    <s v="DELEGATE AGENCY"/>
    <s v="UNKNOWN"/>
    <x v="0"/>
  </r>
  <r>
    <n v="248645"/>
    <n v="5000"/>
    <x v="0"/>
    <x v="1488"/>
    <x v="20"/>
    <s v="COMPTROLLER-OTHER"/>
    <s v="UNKNOWN"/>
    <x v="0"/>
  </r>
  <r>
    <n v="248647"/>
    <n v="31198"/>
    <x v="3"/>
    <x v="234"/>
    <x v="20"/>
    <s v="COMPTROLLER-OTHER"/>
    <s v="UNKNOWN"/>
    <x v="0"/>
  </r>
  <r>
    <n v="248653"/>
    <n v="55000"/>
    <x v="4"/>
    <x v="1489"/>
    <x v="20"/>
    <s v="COMPTROLLER-OTHER"/>
    <s v="UNKNOWN"/>
    <x v="0"/>
  </r>
  <r>
    <n v="248659"/>
    <n v="75000"/>
    <x v="1"/>
    <x v="1490"/>
    <x v="20"/>
    <s v="COMPTROLLER-OTHER"/>
    <s v="UNKNOWN"/>
    <x v="0"/>
  </r>
  <r>
    <n v="248664"/>
    <n v="200000"/>
    <x v="1"/>
    <x v="864"/>
    <x v="20"/>
    <s v="COMPTROLLER-OTHER"/>
    <s v="UNKNOWN"/>
    <x v="0"/>
  </r>
  <r>
    <n v="248674"/>
    <n v="500036.6"/>
    <x v="1"/>
    <x v="1491"/>
    <x v="2"/>
    <s v="COMPTROLLER-OTHER"/>
    <s v="UNKNOWN"/>
    <x v="0"/>
  </r>
  <r>
    <n v="248675"/>
    <n v="150000"/>
    <x v="2"/>
    <x v="1492"/>
    <x v="20"/>
    <s v="COMPTROLLER-OTHER"/>
    <s v="UNKNOWN"/>
    <x v="0"/>
  </r>
  <r>
    <n v="248676"/>
    <n v="150000"/>
    <x v="1"/>
    <x v="654"/>
    <x v="20"/>
    <s v="COMPTROLLER-OTHER"/>
    <s v="UNKNOWN"/>
    <x v="0"/>
  </r>
  <r>
    <n v="248677"/>
    <n v="200000"/>
    <x v="1"/>
    <x v="1338"/>
    <x v="20"/>
    <s v="COMPTROLLER-OTHER"/>
    <s v="UNKNOWN"/>
    <x v="0"/>
  </r>
  <r>
    <n v="248678"/>
    <n v="190000"/>
    <x v="1"/>
    <x v="831"/>
    <x v="20"/>
    <s v="COMPTROLLER-OTHER"/>
    <s v="UNKNOWN"/>
    <x v="0"/>
  </r>
  <r>
    <n v="248679"/>
    <n v="165000"/>
    <x v="1"/>
    <x v="797"/>
    <x v="20"/>
    <s v="COMPTROLLER-OTHER"/>
    <s v="UNKNOWN"/>
    <x v="0"/>
  </r>
  <r>
    <n v="248709"/>
    <n v="100000"/>
    <x v="1"/>
    <x v="844"/>
    <x v="20"/>
    <s v="COMPTROLLER-OTHER"/>
    <s v="UNKNOWN"/>
    <x v="0"/>
  </r>
  <r>
    <n v="248710"/>
    <n v="68000"/>
    <x v="1"/>
    <x v="626"/>
    <x v="20"/>
    <s v="COMPTROLLER-OTHER"/>
    <s v="UNKNOWN"/>
    <x v="0"/>
  </r>
  <r>
    <n v="248711"/>
    <n v="55000"/>
    <x v="1"/>
    <x v="1493"/>
    <x v="20"/>
    <s v="COMPTROLLER-OTHER"/>
    <s v="UNKNOWN"/>
    <x v="0"/>
  </r>
  <r>
    <n v="248719"/>
    <n v="209050.1"/>
    <x v="1"/>
    <x v="25"/>
    <x v="19"/>
    <s v="DELEGATE AGENCY"/>
    <s v="UNKNOWN"/>
    <x v="0"/>
  </r>
  <r>
    <n v="248763"/>
    <n v="5732398"/>
    <x v="1"/>
    <x v="1494"/>
    <x v="8"/>
    <s v="DELEGATE AGENCY"/>
    <s v="RFP"/>
    <x v="1"/>
  </r>
  <r>
    <n v="248765"/>
    <n v="149711.6"/>
    <x v="0"/>
    <x v="114"/>
    <x v="12"/>
    <s v="DELEGATE AGENCY"/>
    <s v="UNKNOWN"/>
    <x v="0"/>
  </r>
  <r>
    <n v="248771"/>
    <n v="350000"/>
    <x v="1"/>
    <x v="83"/>
    <x v="12"/>
    <s v="DELEGATE AGENCY"/>
    <s v="UNKNOWN"/>
    <x v="0"/>
  </r>
  <r>
    <n v="248772"/>
    <n v="50000"/>
    <x v="2"/>
    <x v="96"/>
    <x v="12"/>
    <s v="DELEGATE AGENCY"/>
    <s v="UNKNOWN"/>
    <x v="0"/>
  </r>
  <r>
    <n v="248850"/>
    <n v="9323.1999999999898"/>
    <x v="1"/>
    <x v="73"/>
    <x v="12"/>
    <s v="DELEGATE AGENCY"/>
    <s v="UNKNOWN"/>
    <x v="0"/>
  </r>
  <r>
    <n v="248856"/>
    <n v="400000"/>
    <x v="3"/>
    <x v="1495"/>
    <x v="19"/>
    <s v="DELEGATE AGENCY"/>
    <s v="RFP"/>
    <x v="1"/>
  </r>
  <r>
    <n v="248857"/>
    <n v="400000"/>
    <x v="2"/>
    <x v="1496"/>
    <x v="19"/>
    <s v="DELEGATE AGENCY"/>
    <s v="RFP"/>
    <x v="0"/>
  </r>
  <r>
    <n v="248858"/>
    <n v="350000"/>
    <x v="2"/>
    <x v="452"/>
    <x v="19"/>
    <s v="DELEGATE AGENCY"/>
    <s v="RFP"/>
    <x v="1"/>
  </r>
  <r>
    <n v="248859"/>
    <n v="400000"/>
    <x v="2"/>
    <x v="169"/>
    <x v="19"/>
    <s v="DELEGATE AGENCY"/>
    <s v="RFP"/>
    <x v="1"/>
  </r>
  <r>
    <n v="248860"/>
    <n v="293937.3"/>
    <x v="2"/>
    <x v="1497"/>
    <x v="21"/>
    <s v="DELEGATE AGENCY"/>
    <s v="RFP"/>
    <x v="1"/>
  </r>
  <r>
    <n v="248861"/>
    <n v="350000"/>
    <x v="2"/>
    <x v="1498"/>
    <x v="19"/>
    <s v="DELEGATE AGENCY"/>
    <s v="RFP"/>
    <x v="1"/>
  </r>
  <r>
    <n v="248862"/>
    <n v="43129.4"/>
    <x v="2"/>
    <x v="76"/>
    <x v="12"/>
    <s v="DELEGATE AGENCY"/>
    <s v="UNKNOWN"/>
    <x v="0"/>
  </r>
  <r>
    <n v="248942"/>
    <n v="831025"/>
    <x v="4"/>
    <x v="149"/>
    <x v="12"/>
    <s v="PRO SERV CONSULTING $250,000orABOVE"/>
    <s v="RFP"/>
    <x v="1"/>
  </r>
  <r>
    <n v="248944"/>
    <n v="1755739"/>
    <x v="2"/>
    <x v="197"/>
    <x v="2"/>
    <s v="COMPTROLLER-OTHER"/>
    <s v="UNKNOWN"/>
    <x v="0"/>
  </r>
  <r>
    <n v="248964"/>
    <n v="1746.8"/>
    <x v="0"/>
    <x v="642"/>
    <x v="3"/>
    <s v="SOFTWARE"/>
    <s v="JOINT PURCHASE"/>
    <x v="0"/>
  </r>
  <r>
    <n v="248974"/>
    <n v="7024986.9000000004"/>
    <x v="3"/>
    <x v="1499"/>
    <x v="8"/>
    <s v="DELEGATE AGENCY"/>
    <s v="RFP"/>
    <x v="1"/>
  </r>
  <r>
    <n v="248976"/>
    <n v="1271000"/>
    <x v="0"/>
    <x v="1500"/>
    <x v="2"/>
    <s v="COMPTROLLER-OTHER"/>
    <s v="UNKNOWN"/>
    <x v="0"/>
  </r>
  <r>
    <n v="249185"/>
    <n v="12000000"/>
    <x v="0"/>
    <x v="494"/>
    <x v="6"/>
    <s v="PRO SERV-AVIATION"/>
    <s v="RFQ"/>
    <x v="1"/>
  </r>
  <r>
    <n v="249462"/>
    <n v="180794"/>
    <x v="0"/>
    <x v="1366"/>
    <x v="8"/>
    <s v="DELEGATE AGENCY"/>
    <s v="UNKNOWN"/>
    <x v="0"/>
  </r>
  <r>
    <n v="249553"/>
    <n v="275310.7"/>
    <x v="1"/>
    <x v="1501"/>
    <x v="22"/>
    <s v="DELEGATE AGENCY"/>
    <s v="UNKNOWN"/>
    <x v="0"/>
  </r>
  <r>
    <n v="249617"/>
    <n v="270156"/>
    <x v="2"/>
    <x v="76"/>
    <x v="12"/>
    <s v="DELEGATE AGENCY"/>
    <s v="UNKNOWN"/>
    <x v="0"/>
  </r>
  <r>
    <n v="249626"/>
    <n v="1189200"/>
    <x v="2"/>
    <x v="1468"/>
    <x v="0"/>
    <s v="COMMODITIES"/>
    <s v="BID"/>
    <x v="1"/>
  </r>
  <r>
    <n v="249628"/>
    <n v="180000"/>
    <x v="0"/>
    <x v="816"/>
    <x v="20"/>
    <s v="COMPTROLLER-OTHER"/>
    <s v="UNKNOWN"/>
    <x v="0"/>
  </r>
  <r>
    <n v="249629"/>
    <n v="85000"/>
    <x v="1"/>
    <x v="1502"/>
    <x v="20"/>
    <s v="COMPTROLLER-OTHER"/>
    <s v="UNKNOWN"/>
    <x v="0"/>
  </r>
  <r>
    <n v="249636"/>
    <n v="215000"/>
    <x v="1"/>
    <x v="448"/>
    <x v="20"/>
    <s v="COMPTROLLER-OTHER"/>
    <s v="UNKNOWN"/>
    <x v="0"/>
  </r>
  <r>
    <n v="249638"/>
    <n v="200000"/>
    <x v="1"/>
    <x v="700"/>
    <x v="20"/>
    <s v="COMPTROLLER-OTHER"/>
    <s v="UNKNOWN"/>
    <x v="0"/>
  </r>
  <r>
    <n v="249640"/>
    <n v="78000"/>
    <x v="1"/>
    <x v="1503"/>
    <x v="20"/>
    <s v="COMPTROLLER-OTHER"/>
    <s v="UNKNOWN"/>
    <x v="0"/>
  </r>
  <r>
    <n v="249641"/>
    <n v="200000"/>
    <x v="1"/>
    <x v="1278"/>
    <x v="20"/>
    <s v="COMPTROLLER-OTHER"/>
    <s v="UNKNOWN"/>
    <x v="0"/>
  </r>
  <r>
    <n v="249642"/>
    <n v="65000"/>
    <x v="1"/>
    <x v="746"/>
    <x v="20"/>
    <s v="COMPTROLLER-OTHER"/>
    <s v="UNKNOWN"/>
    <x v="0"/>
  </r>
  <r>
    <n v="249644"/>
    <n v="50000"/>
    <x v="1"/>
    <x v="1504"/>
    <x v="20"/>
    <s v="COMPTROLLER-OTHER"/>
    <s v="UNKNOWN"/>
    <x v="0"/>
  </r>
  <r>
    <n v="249668"/>
    <n v="87627.5"/>
    <x v="1"/>
    <x v="642"/>
    <x v="3"/>
    <s v="SOFTWARE"/>
    <s v="JOINT PURCHASE"/>
    <x v="0"/>
  </r>
  <r>
    <n v="249671"/>
    <n v="6000"/>
    <x v="1"/>
    <x v="1505"/>
    <x v="20"/>
    <s v="COMPTROLLER-OTHER"/>
    <s v="UNKNOWN"/>
    <x v="0"/>
  </r>
  <r>
    <n v="249678"/>
    <n v="4250"/>
    <x v="3"/>
    <x v="1506"/>
    <x v="20"/>
    <s v="COMPTROLLER-OTHER"/>
    <s v="UNKNOWN"/>
    <x v="0"/>
  </r>
  <r>
    <n v="249685"/>
    <n v="6000"/>
    <x v="3"/>
    <x v="1507"/>
    <x v="20"/>
    <s v="COMPTROLLER-OTHER"/>
    <s v="UNKNOWN"/>
    <x v="0"/>
  </r>
  <r>
    <n v="249686"/>
    <n v="6000"/>
    <x v="3"/>
    <x v="1508"/>
    <x v="20"/>
    <s v="COMPTROLLER-OTHER"/>
    <s v="UNKNOWN"/>
    <x v="0"/>
  </r>
  <r>
    <n v="249696"/>
    <n v="4750"/>
    <x v="3"/>
    <x v="1509"/>
    <x v="20"/>
    <s v="COMPTROLLER-OTHER"/>
    <s v="UNKNOWN"/>
    <x v="0"/>
  </r>
  <r>
    <n v="249697"/>
    <n v="5750"/>
    <x v="3"/>
    <x v="1510"/>
    <x v="20"/>
    <s v="COMPTROLLER-OTHER"/>
    <s v="UNKNOWN"/>
    <x v="0"/>
  </r>
  <r>
    <n v="249698"/>
    <n v="6000"/>
    <x v="3"/>
    <x v="1511"/>
    <x v="20"/>
    <s v="COMPTROLLER-OTHER"/>
    <s v="UNKNOWN"/>
    <x v="0"/>
  </r>
  <r>
    <n v="249701"/>
    <n v="6000"/>
    <x v="3"/>
    <x v="1512"/>
    <x v="20"/>
    <s v="COMPTROLLER-OTHER"/>
    <s v="UNKNOWN"/>
    <x v="0"/>
  </r>
  <r>
    <n v="249704"/>
    <n v="3000"/>
    <x v="3"/>
    <x v="1513"/>
    <x v="20"/>
    <s v="COMPTROLLER-OTHER"/>
    <s v="UNKNOWN"/>
    <x v="0"/>
  </r>
  <r>
    <n v="249705"/>
    <n v="17813"/>
    <x v="3"/>
    <x v="532"/>
    <x v="12"/>
    <s v="DELEGATE AGENCY"/>
    <s v="UNKNOWN"/>
    <x v="0"/>
  </r>
  <r>
    <n v="249706"/>
    <n v="1595269.8"/>
    <x v="4"/>
    <x v="297"/>
    <x v="12"/>
    <s v="DELEGATE AGENCY"/>
    <s v="UNKNOWN"/>
    <x v="0"/>
  </r>
  <r>
    <n v="249820"/>
    <n v="56316"/>
    <x v="0"/>
    <x v="642"/>
    <x v="3"/>
    <s v="SOFTWARE"/>
    <s v="JOINT PURCHASE"/>
    <x v="1"/>
  </r>
  <r>
    <n v="249840"/>
    <n v="242264.2"/>
    <x v="1"/>
    <x v="188"/>
    <x v="8"/>
    <s v="DELEGATE AGENCY"/>
    <s v="UNKNOWN"/>
    <x v="0"/>
  </r>
  <r>
    <n v="249842"/>
    <n v="15617387.5"/>
    <x v="1"/>
    <x v="1083"/>
    <x v="0"/>
    <s v="COMMODITIES"/>
    <s v="BID"/>
    <x v="1"/>
  </r>
  <r>
    <n v="249867"/>
    <n v="2655237"/>
    <x v="0"/>
    <x v="1209"/>
    <x v="1"/>
    <s v="COMMODITIES"/>
    <s v="BID"/>
    <x v="1"/>
  </r>
  <r>
    <n v="249879"/>
    <n v="635520.80000000005"/>
    <x v="0"/>
    <x v="437"/>
    <x v="8"/>
    <s v="DELEGATE AGENCY"/>
    <s v="UNKNOWN"/>
    <x v="0"/>
  </r>
  <r>
    <n v="250027"/>
    <n v="12625727"/>
    <x v="2"/>
    <x v="558"/>
    <x v="12"/>
    <s v="DELEGATE AGENCY"/>
    <s v="RFP"/>
    <x v="0"/>
  </r>
  <r>
    <n v="250046"/>
    <n v="6521"/>
    <x v="0"/>
    <x v="1006"/>
    <x v="28"/>
    <s v="COMPTROLLER-OTHER"/>
    <s v="UNKNOWN"/>
    <x v="0"/>
  </r>
  <r>
    <n v="250048"/>
    <n v="14802"/>
    <x v="3"/>
    <x v="1006"/>
    <x v="28"/>
    <s v="COMPTROLLER-OTHER"/>
    <s v="UNKNOWN"/>
    <x v="0"/>
  </r>
  <r>
    <n v="250095"/>
    <n v="4105233"/>
    <x v="4"/>
    <x v="160"/>
    <x v="0"/>
    <s v="COMMODITIES"/>
    <s v="BID"/>
    <x v="0"/>
  </r>
  <r>
    <n v="250099"/>
    <n v="50000"/>
    <x v="0"/>
    <x v="749"/>
    <x v="20"/>
    <s v="COMPTROLLER-OTHER"/>
    <s v="UNKNOWN"/>
    <x v="0"/>
  </r>
  <r>
    <n v="250101"/>
    <n v="110000"/>
    <x v="1"/>
    <x v="1514"/>
    <x v="20"/>
    <s v="COMPTROLLER-OTHER"/>
    <s v="UNKNOWN"/>
    <x v="0"/>
  </r>
  <r>
    <n v="250106"/>
    <n v="205000"/>
    <x v="1"/>
    <x v="776"/>
    <x v="20"/>
    <s v="COMPTROLLER-OTHER"/>
    <s v="UNKNOWN"/>
    <x v="0"/>
  </r>
  <r>
    <n v="250107"/>
    <n v="75000"/>
    <x v="1"/>
    <x v="725"/>
    <x v="20"/>
    <s v="COMPTROLLER-OTHER"/>
    <s v="UNKNOWN"/>
    <x v="0"/>
  </r>
  <r>
    <n v="250108"/>
    <n v="200000"/>
    <x v="1"/>
    <x v="669"/>
    <x v="20"/>
    <s v="COMPTROLLER-OTHER"/>
    <s v="UNKNOWN"/>
    <x v="0"/>
  </r>
  <r>
    <n v="250112"/>
    <n v="175000"/>
    <x v="1"/>
    <x v="632"/>
    <x v="20"/>
    <s v="COMPTROLLER-OTHER"/>
    <s v="UNKNOWN"/>
    <x v="0"/>
  </r>
  <r>
    <n v="250115"/>
    <n v="75000"/>
    <x v="1"/>
    <x v="719"/>
    <x v="20"/>
    <s v="COMPTROLLER-OTHER"/>
    <s v="UNKNOWN"/>
    <x v="0"/>
  </r>
  <r>
    <n v="250117"/>
    <n v="100000"/>
    <x v="1"/>
    <x v="791"/>
    <x v="20"/>
    <s v="COMPTROLLER-OTHER"/>
    <s v="UNKNOWN"/>
    <x v="0"/>
  </r>
  <r>
    <n v="250119"/>
    <n v="250000"/>
    <x v="1"/>
    <x v="1515"/>
    <x v="20"/>
    <s v="COMPTROLLER-OTHER"/>
    <s v="UNKNOWN"/>
    <x v="0"/>
  </r>
  <r>
    <n v="250120"/>
    <n v="76000"/>
    <x v="2"/>
    <x v="1516"/>
    <x v="20"/>
    <s v="COMPTROLLER-OTHER"/>
    <s v="UNKNOWN"/>
    <x v="0"/>
  </r>
  <r>
    <n v="250121"/>
    <n v="150000"/>
    <x v="1"/>
    <x v="696"/>
    <x v="20"/>
    <s v="COMPTROLLER-OTHER"/>
    <s v="UNKNOWN"/>
    <x v="0"/>
  </r>
  <r>
    <n v="250123"/>
    <n v="105000"/>
    <x v="1"/>
    <x v="713"/>
    <x v="20"/>
    <s v="COMPTROLLER-OTHER"/>
    <s v="UNKNOWN"/>
    <x v="0"/>
  </r>
  <r>
    <n v="250125"/>
    <n v="125000"/>
    <x v="1"/>
    <x v="845"/>
    <x v="20"/>
    <s v="COMPTROLLER-OTHER"/>
    <s v="UNKNOWN"/>
    <x v="0"/>
  </r>
  <r>
    <n v="250136"/>
    <n v="33327405"/>
    <x v="1"/>
    <x v="254"/>
    <x v="13"/>
    <s v="COMMODITIES"/>
    <s v="BID"/>
    <x v="0"/>
  </r>
  <r>
    <n v="250192"/>
    <n v="25000000"/>
    <x v="0"/>
    <x v="1517"/>
    <x v="0"/>
    <s v="ARCH/ENGINEERING"/>
    <s v="RFQ"/>
    <x v="0"/>
  </r>
  <r>
    <n v="250193"/>
    <n v="5000000"/>
    <x v="0"/>
    <x v="1517"/>
    <x v="0"/>
    <s v="ARCH/ENGINEERING"/>
    <s v="RFQ"/>
    <x v="0"/>
  </r>
  <r>
    <n v="250194"/>
    <n v="6858621.5"/>
    <x v="0"/>
    <x v="1517"/>
    <x v="0"/>
    <s v="ARCH/ENGINEERING"/>
    <s v="RFQ"/>
    <x v="0"/>
  </r>
  <r>
    <n v="250198"/>
    <n v="3303636.3"/>
    <x v="0"/>
    <x v="1517"/>
    <x v="5"/>
    <s v="ARCH/ENGINEERING"/>
    <s v="RFQ"/>
    <x v="0"/>
  </r>
  <r>
    <n v="250200"/>
    <n v="2500"/>
    <x v="0"/>
    <x v="1415"/>
    <x v="20"/>
    <s v="COMPTROLLER-OTHER"/>
    <s v="UNKNOWN"/>
    <x v="0"/>
  </r>
  <r>
    <n v="250213"/>
    <n v="40000"/>
    <x v="3"/>
    <x v="1518"/>
    <x v="20"/>
    <s v="COMPTROLLER-OTHER"/>
    <s v="UNKNOWN"/>
    <x v="0"/>
  </r>
  <r>
    <n v="250215"/>
    <n v="250000"/>
    <x v="4"/>
    <x v="1519"/>
    <x v="2"/>
    <s v="COMPTROLLER-OTHER"/>
    <s v="UNKNOWN"/>
    <x v="0"/>
  </r>
  <r>
    <n v="250217"/>
    <n v="612622"/>
    <x v="2"/>
    <x v="36"/>
    <x v="6"/>
    <s v="COMPTROLLER-OTHER"/>
    <s v="UNKNOWN"/>
    <x v="0"/>
  </r>
  <r>
    <n v="250219"/>
    <n v="22174014"/>
    <x v="2"/>
    <x v="953"/>
    <x v="6"/>
    <s v="COMPTROLLER-OTHER"/>
    <s v="UNKNOWN"/>
    <x v="0"/>
  </r>
  <r>
    <n v="250253"/>
    <n v="28000"/>
    <x v="0"/>
    <x v="1520"/>
    <x v="20"/>
    <s v="COMPTROLLER-OTHER"/>
    <s v="UNKNOWN"/>
    <x v="0"/>
  </r>
  <r>
    <n v="250254"/>
    <n v="6000"/>
    <x v="4"/>
    <x v="1521"/>
    <x v="20"/>
    <s v="COMPTROLLER-OTHER"/>
    <s v="UNKNOWN"/>
    <x v="0"/>
  </r>
  <r>
    <n v="250255"/>
    <n v="1000"/>
    <x v="3"/>
    <x v="1522"/>
    <x v="20"/>
    <s v="COMPTROLLER-OTHER"/>
    <s v="UNKNOWN"/>
    <x v="0"/>
  </r>
  <r>
    <n v="250257"/>
    <n v="45000"/>
    <x v="3"/>
    <x v="1222"/>
    <x v="20"/>
    <s v="COMPTROLLER-OTHER"/>
    <s v="UNKNOWN"/>
    <x v="0"/>
  </r>
  <r>
    <n v="250258"/>
    <n v="45000"/>
    <x v="4"/>
    <x v="822"/>
    <x v="20"/>
    <s v="COMPTROLLER-OTHER"/>
    <s v="UNKNOWN"/>
    <x v="0"/>
  </r>
  <r>
    <n v="250259"/>
    <n v="45000"/>
    <x v="4"/>
    <x v="762"/>
    <x v="20"/>
    <s v="COMPTROLLER-OTHER"/>
    <s v="UNKNOWN"/>
    <x v="0"/>
  </r>
  <r>
    <n v="250280"/>
    <n v="100000"/>
    <x v="4"/>
    <x v="828"/>
    <x v="20"/>
    <s v="COMPTROLLER-OTHER"/>
    <s v="UNKNOWN"/>
    <x v="0"/>
  </r>
  <r>
    <n v="250287"/>
    <n v="6000"/>
    <x v="1"/>
    <x v="1523"/>
    <x v="20"/>
    <s v="COMPTROLLER-OTHER"/>
    <s v="UNKNOWN"/>
    <x v="0"/>
  </r>
  <r>
    <n v="250293"/>
    <n v="2500"/>
    <x v="3"/>
    <x v="1524"/>
    <x v="20"/>
    <s v="COMPTROLLER-OTHER"/>
    <s v="UNKNOWN"/>
    <x v="0"/>
  </r>
  <r>
    <n v="250295"/>
    <n v="6000"/>
    <x v="3"/>
    <x v="1525"/>
    <x v="20"/>
    <s v="COMPTROLLER-OTHER"/>
    <s v="UNKNOWN"/>
    <x v="0"/>
  </r>
  <r>
    <n v="250328"/>
    <n v="6820856.0999999996"/>
    <x v="3"/>
    <x v="1526"/>
    <x v="1"/>
    <s v="PROPERTY LEASE"/>
    <s v="UNKNOWN"/>
    <x v="0"/>
  </r>
  <r>
    <n v="250331"/>
    <n v="50000"/>
    <x v="0"/>
    <x v="1527"/>
    <x v="20"/>
    <s v="COMPTROLLER-OTHER"/>
    <s v="UNKNOWN"/>
    <x v="0"/>
  </r>
  <r>
    <n v="250333"/>
    <n v="175000"/>
    <x v="1"/>
    <x v="1528"/>
    <x v="20"/>
    <s v="COMPTROLLER-OTHER"/>
    <s v="UNKNOWN"/>
    <x v="0"/>
  </r>
  <r>
    <n v="250336"/>
    <n v="6000"/>
    <x v="1"/>
    <x v="1529"/>
    <x v="20"/>
    <s v="COMPTROLLER-OTHER"/>
    <s v="UNKNOWN"/>
    <x v="0"/>
  </r>
  <r>
    <n v="250340"/>
    <n v="200000"/>
    <x v="3"/>
    <x v="1530"/>
    <x v="25"/>
    <s v="COMPTROLLER-OTHER"/>
    <s v="UNKNOWN"/>
    <x v="0"/>
  </r>
  <r>
    <n v="250344"/>
    <n v="675000"/>
    <x v="1"/>
    <x v="512"/>
    <x v="12"/>
    <s v="DELEGATE AGENCY"/>
    <s v="UNKNOWN"/>
    <x v="1"/>
  </r>
  <r>
    <n v="250406"/>
    <n v="6000"/>
    <x v="2"/>
    <x v="1531"/>
    <x v="20"/>
    <s v="COMPTROLLER-OTHER"/>
    <s v="UNKNOWN"/>
    <x v="0"/>
  </r>
  <r>
    <n v="250418"/>
    <n v="6000"/>
    <x v="3"/>
    <x v="1532"/>
    <x v="20"/>
    <s v="COMPTROLLER-OTHER"/>
    <s v="UNKNOWN"/>
    <x v="0"/>
  </r>
  <r>
    <n v="250419"/>
    <n v="5250"/>
    <x v="3"/>
    <x v="1533"/>
    <x v="20"/>
    <s v="COMPTROLLER-OTHER"/>
    <s v="UNKNOWN"/>
    <x v="0"/>
  </r>
  <r>
    <n v="250421"/>
    <n v="6000"/>
    <x v="3"/>
    <x v="1534"/>
    <x v="20"/>
    <s v="COMPTROLLER-OTHER"/>
    <s v="UNKNOWN"/>
    <x v="0"/>
  </r>
  <r>
    <n v="250422"/>
    <n v="6000"/>
    <x v="3"/>
    <x v="1535"/>
    <x v="20"/>
    <s v="COMPTROLLER-OTHER"/>
    <s v="UNKNOWN"/>
    <x v="0"/>
  </r>
  <r>
    <n v="250430"/>
    <n v="56628.6"/>
    <x v="3"/>
    <x v="534"/>
    <x v="12"/>
    <s v="DELEGATE AGENCY"/>
    <s v="UNKNOWN"/>
    <x v="0"/>
  </r>
  <r>
    <n v="250432"/>
    <n v="103116"/>
    <x v="1"/>
    <x v="532"/>
    <x v="12"/>
    <s v="DELEGATE AGENCY"/>
    <s v="UNKNOWN"/>
    <x v="0"/>
  </r>
  <r>
    <n v="250506"/>
    <n v="1500"/>
    <x v="1"/>
    <x v="1536"/>
    <x v="20"/>
    <s v="COMPTROLLER-OTHER"/>
    <s v="UNKNOWN"/>
    <x v="0"/>
  </r>
  <r>
    <n v="250508"/>
    <n v="6000"/>
    <x v="3"/>
    <x v="1537"/>
    <x v="20"/>
    <s v="COMPTROLLER-OTHER"/>
    <s v="UNKNOWN"/>
    <x v="0"/>
  </r>
  <r>
    <n v="250509"/>
    <n v="6000"/>
    <x v="3"/>
    <x v="1538"/>
    <x v="20"/>
    <s v="COMPTROLLER-OTHER"/>
    <s v="UNKNOWN"/>
    <x v="0"/>
  </r>
  <r>
    <n v="250510"/>
    <n v="18000"/>
    <x v="3"/>
    <x v="1222"/>
    <x v="20"/>
    <s v="COMPTROLLER-OTHER"/>
    <s v="UNKNOWN"/>
    <x v="0"/>
  </r>
  <r>
    <n v="250511"/>
    <n v="45000"/>
    <x v="4"/>
    <x v="619"/>
    <x v="20"/>
    <s v="COMPTROLLER-OTHER"/>
    <s v="UNKNOWN"/>
    <x v="0"/>
  </r>
  <r>
    <n v="250512"/>
    <n v="500000"/>
    <x v="4"/>
    <x v="1539"/>
    <x v="20"/>
    <s v="COMPTROLLER-OTHER"/>
    <s v="UNKNOWN"/>
    <x v="0"/>
  </r>
  <r>
    <n v="250528"/>
    <n v="2100000"/>
    <x v="2"/>
    <x v="391"/>
    <x v="2"/>
    <s v="COMPTROLLER-OTHER"/>
    <s v="UNKNOWN"/>
    <x v="0"/>
  </r>
  <r>
    <n v="250529"/>
    <n v="30000"/>
    <x v="0"/>
    <x v="1269"/>
    <x v="20"/>
    <s v="COMPTROLLER-OTHER"/>
    <s v="UNKNOWN"/>
    <x v="0"/>
  </r>
  <r>
    <n v="250531"/>
    <n v="76000"/>
    <x v="4"/>
    <x v="1540"/>
    <x v="20"/>
    <s v="COMPTROLLER-OTHER"/>
    <s v="UNKNOWN"/>
    <x v="0"/>
  </r>
  <r>
    <n v="250533"/>
    <n v="20000"/>
    <x v="1"/>
    <x v="1541"/>
    <x v="20"/>
    <s v="COMPTROLLER-OTHER"/>
    <s v="UNKNOWN"/>
    <x v="0"/>
  </r>
  <r>
    <n v="250534"/>
    <n v="20000"/>
    <x v="4"/>
    <x v="1542"/>
    <x v="20"/>
    <s v="COMPTROLLER-OTHER"/>
    <s v="UNKNOWN"/>
    <x v="0"/>
  </r>
  <r>
    <n v="250535"/>
    <n v="1000000"/>
    <x v="4"/>
    <x v="145"/>
    <x v="16"/>
    <s v="COMPTROLLER-OTHER"/>
    <s v="UNKNOWN"/>
    <x v="0"/>
  </r>
  <r>
    <n v="250536"/>
    <n v="50000"/>
    <x v="0"/>
    <x v="1543"/>
    <x v="20"/>
    <s v="COMPTROLLER-OTHER"/>
    <s v="UNKNOWN"/>
    <x v="0"/>
  </r>
  <r>
    <n v="250537"/>
    <n v="750000"/>
    <x v="1"/>
    <x v="145"/>
    <x v="16"/>
    <s v="COMPTROLLER-OTHER"/>
    <s v="UNKNOWN"/>
    <x v="0"/>
  </r>
  <r>
    <n v="250538"/>
    <n v="20000"/>
    <x v="2"/>
    <x v="1544"/>
    <x v="20"/>
    <s v="COMPTROLLER-OTHER"/>
    <s v="UNKNOWN"/>
    <x v="0"/>
  </r>
  <r>
    <n v="250541"/>
    <n v="18000"/>
    <x v="4"/>
    <x v="1545"/>
    <x v="20"/>
    <s v="COMPTROLLER-OTHER"/>
    <s v="UNKNOWN"/>
    <x v="0"/>
  </r>
  <r>
    <n v="250543"/>
    <n v="20000"/>
    <x v="4"/>
    <x v="1546"/>
    <x v="20"/>
    <s v="COMPTROLLER-OTHER"/>
    <s v="UNKNOWN"/>
    <x v="0"/>
  </r>
  <r>
    <n v="250544"/>
    <n v="200000"/>
    <x v="4"/>
    <x v="1547"/>
    <x v="20"/>
    <s v="COMPTROLLER-OTHER"/>
    <s v="UNKNOWN"/>
    <x v="0"/>
  </r>
  <r>
    <n v="250548"/>
    <n v="15000"/>
    <x v="1"/>
    <x v="1311"/>
    <x v="20"/>
    <s v="COMPTROLLER-OTHER"/>
    <s v="UNKNOWN"/>
    <x v="0"/>
  </r>
  <r>
    <n v="250551"/>
    <n v="9000000"/>
    <x v="4"/>
    <x v="382"/>
    <x v="2"/>
    <s v="COMPTROLLER-OTHER"/>
    <s v="UNKNOWN"/>
    <x v="0"/>
  </r>
  <r>
    <n v="250553"/>
    <n v="6000"/>
    <x v="0"/>
    <x v="1548"/>
    <x v="20"/>
    <s v="COMPTROLLER-OTHER"/>
    <s v="UNKNOWN"/>
    <x v="0"/>
  </r>
  <r>
    <n v="250554"/>
    <n v="40000"/>
    <x v="3"/>
    <x v="1549"/>
    <x v="20"/>
    <s v="COMPTROLLER-OTHER"/>
    <s v="UNKNOWN"/>
    <x v="0"/>
  </r>
  <r>
    <n v="250556"/>
    <n v="100000"/>
    <x v="4"/>
    <x v="1550"/>
    <x v="20"/>
    <s v="COMPTROLLER-OTHER"/>
    <s v="UNKNOWN"/>
    <x v="0"/>
  </r>
  <r>
    <n v="250558"/>
    <n v="20000"/>
    <x v="1"/>
    <x v="1443"/>
    <x v="20"/>
    <s v="COMPTROLLER-OTHER"/>
    <s v="UNKNOWN"/>
    <x v="0"/>
  </r>
  <r>
    <n v="250559"/>
    <n v="20000"/>
    <x v="4"/>
    <x v="1551"/>
    <x v="20"/>
    <s v="COMPTROLLER-OTHER"/>
    <s v="UNKNOWN"/>
    <x v="0"/>
  </r>
  <r>
    <n v="250562"/>
    <n v="250000"/>
    <x v="4"/>
    <x v="1552"/>
    <x v="2"/>
    <s v="COMPTROLLER-OTHER"/>
    <s v="UNKNOWN"/>
    <x v="0"/>
  </r>
  <r>
    <n v="250595"/>
    <n v="961203"/>
    <x v="2"/>
    <x v="1065"/>
    <x v="12"/>
    <s v="DELEGATE AGENCY"/>
    <s v="RFQ"/>
    <x v="0"/>
  </r>
  <r>
    <n v="250599"/>
    <n v="961203"/>
    <x v="2"/>
    <x v="1553"/>
    <x v="12"/>
    <s v="DELEGATE AGENCY"/>
    <s v="RFQ"/>
    <x v="0"/>
  </r>
  <r>
    <n v="250600"/>
    <n v="961203"/>
    <x v="2"/>
    <x v="169"/>
    <x v="12"/>
    <s v="DELEGATE AGENCY"/>
    <s v="RFQ"/>
    <x v="0"/>
  </r>
  <r>
    <n v="250604"/>
    <n v="961203"/>
    <x v="2"/>
    <x v="201"/>
    <x v="12"/>
    <s v="DELEGATE AGENCY"/>
    <s v="RFQ"/>
    <x v="0"/>
  </r>
  <r>
    <n v="250622"/>
    <n v="6000"/>
    <x v="2"/>
    <x v="1554"/>
    <x v="20"/>
    <s v="COMPTROLLER-OTHER"/>
    <s v="UNKNOWN"/>
    <x v="0"/>
  </r>
  <r>
    <n v="250624"/>
    <n v="6000"/>
    <x v="3"/>
    <x v="1555"/>
    <x v="20"/>
    <s v="COMPTROLLER-OTHER"/>
    <s v="UNKNOWN"/>
    <x v="0"/>
  </r>
  <r>
    <n v="250625"/>
    <n v="4250"/>
    <x v="3"/>
    <x v="1556"/>
    <x v="20"/>
    <s v="COMPTROLLER-OTHER"/>
    <s v="UNKNOWN"/>
    <x v="0"/>
  </r>
  <r>
    <n v="250626"/>
    <n v="3500"/>
    <x v="3"/>
    <x v="1557"/>
    <x v="20"/>
    <s v="COMPTROLLER-OTHER"/>
    <s v="UNKNOWN"/>
    <x v="0"/>
  </r>
  <r>
    <n v="250629"/>
    <n v="6000"/>
    <x v="3"/>
    <x v="1558"/>
    <x v="20"/>
    <s v="COMPTROLLER-OTHER"/>
    <s v="UNKNOWN"/>
    <x v="0"/>
  </r>
  <r>
    <n v="250631"/>
    <n v="6000"/>
    <x v="3"/>
    <x v="1559"/>
    <x v="20"/>
    <s v="COMPTROLLER-OTHER"/>
    <s v="UNKNOWN"/>
    <x v="0"/>
  </r>
  <r>
    <n v="250636"/>
    <n v="6000"/>
    <x v="3"/>
    <x v="1560"/>
    <x v="20"/>
    <s v="COMPTROLLER-OTHER"/>
    <s v="UNKNOWN"/>
    <x v="0"/>
  </r>
  <r>
    <n v="250644"/>
    <n v="6000"/>
    <x v="3"/>
    <x v="1561"/>
    <x v="20"/>
    <s v="COMPTROLLER-OTHER"/>
    <s v="UNKNOWN"/>
    <x v="0"/>
  </r>
  <r>
    <n v="250655"/>
    <n v="6000"/>
    <x v="3"/>
    <x v="1562"/>
    <x v="20"/>
    <s v="COMPTROLLER-OTHER"/>
    <s v="UNKNOWN"/>
    <x v="0"/>
  </r>
  <r>
    <n v="250660"/>
    <n v="6000"/>
    <x v="3"/>
    <x v="1563"/>
    <x v="20"/>
    <s v="COMPTROLLER-OTHER"/>
    <s v="UNKNOWN"/>
    <x v="0"/>
  </r>
  <r>
    <n v="250673"/>
    <n v="1000"/>
    <x v="3"/>
    <x v="1564"/>
    <x v="20"/>
    <s v="COMPTROLLER-OTHER"/>
    <s v="UNKNOWN"/>
    <x v="0"/>
  </r>
  <r>
    <n v="250674"/>
    <n v="6000"/>
    <x v="3"/>
    <x v="1565"/>
    <x v="20"/>
    <s v="COMPTROLLER-OTHER"/>
    <s v="UNKNOWN"/>
    <x v="0"/>
  </r>
  <r>
    <n v="250677"/>
    <n v="6000"/>
    <x v="3"/>
    <x v="1566"/>
    <x v="20"/>
    <s v="COMPTROLLER-OTHER"/>
    <s v="UNKNOWN"/>
    <x v="0"/>
  </r>
  <r>
    <n v="250681"/>
    <n v="6000"/>
    <x v="3"/>
    <x v="1567"/>
    <x v="20"/>
    <s v="COMPTROLLER-OTHER"/>
    <s v="UNKNOWN"/>
    <x v="0"/>
  </r>
  <r>
    <n v="250682"/>
    <n v="6000"/>
    <x v="3"/>
    <x v="1568"/>
    <x v="20"/>
    <s v="COMPTROLLER-OTHER"/>
    <s v="UNKNOWN"/>
    <x v="0"/>
  </r>
  <r>
    <n v="250725"/>
    <n v="6000"/>
    <x v="3"/>
    <x v="1569"/>
    <x v="20"/>
    <s v="COMPTROLLER-OTHER"/>
    <s v="UNKNOWN"/>
    <x v="0"/>
  </r>
  <r>
    <n v="250727"/>
    <n v="6000"/>
    <x v="3"/>
    <x v="1570"/>
    <x v="20"/>
    <s v="COMPTROLLER-OTHER"/>
    <s v="UNKNOWN"/>
    <x v="0"/>
  </r>
  <r>
    <n v="250728"/>
    <n v="6000"/>
    <x v="3"/>
    <x v="1571"/>
    <x v="20"/>
    <s v="COMPTROLLER-OTHER"/>
    <s v="UNKNOWN"/>
    <x v="0"/>
  </r>
  <r>
    <n v="250729"/>
    <n v="6000"/>
    <x v="3"/>
    <x v="1572"/>
    <x v="20"/>
    <s v="COMPTROLLER-OTHER"/>
    <s v="UNKNOWN"/>
    <x v="0"/>
  </r>
  <r>
    <n v="250732"/>
    <n v="6000"/>
    <x v="3"/>
    <x v="1573"/>
    <x v="20"/>
    <s v="COMPTROLLER-OTHER"/>
    <s v="UNKNOWN"/>
    <x v="0"/>
  </r>
  <r>
    <n v="250733"/>
    <n v="50000"/>
    <x v="3"/>
    <x v="1342"/>
    <x v="20"/>
    <s v="COMPTROLLER-OTHER"/>
    <s v="UNKNOWN"/>
    <x v="0"/>
  </r>
  <r>
    <n v="250734"/>
    <n v="1000"/>
    <x v="1"/>
    <x v="1574"/>
    <x v="20"/>
    <s v="COMPTROLLER-OTHER"/>
    <s v="UNKNOWN"/>
    <x v="0"/>
  </r>
  <r>
    <n v="250737"/>
    <n v="6000"/>
    <x v="3"/>
    <x v="1575"/>
    <x v="20"/>
    <s v="COMPTROLLER-OTHER"/>
    <s v="UNKNOWN"/>
    <x v="0"/>
  </r>
  <r>
    <n v="250738"/>
    <n v="6000"/>
    <x v="3"/>
    <x v="1576"/>
    <x v="20"/>
    <s v="COMPTROLLER-OTHER"/>
    <s v="UNKNOWN"/>
    <x v="0"/>
  </r>
  <r>
    <n v="250742"/>
    <n v="4000"/>
    <x v="3"/>
    <x v="1577"/>
    <x v="20"/>
    <s v="COMPTROLLER-OTHER"/>
    <s v="UNKNOWN"/>
    <x v="0"/>
  </r>
  <r>
    <n v="250743"/>
    <n v="6000"/>
    <x v="3"/>
    <x v="1578"/>
    <x v="20"/>
    <s v="COMPTROLLER-OTHER"/>
    <s v="UNKNOWN"/>
    <x v="0"/>
  </r>
  <r>
    <n v="250744"/>
    <n v="5000"/>
    <x v="3"/>
    <x v="1579"/>
    <x v="20"/>
    <s v="COMPTROLLER-OTHER"/>
    <s v="UNKNOWN"/>
    <x v="0"/>
  </r>
  <r>
    <n v="250745"/>
    <n v="3000"/>
    <x v="3"/>
    <x v="1580"/>
    <x v="20"/>
    <s v="COMPTROLLER-OTHER"/>
    <s v="UNKNOWN"/>
    <x v="0"/>
  </r>
  <r>
    <n v="250746"/>
    <n v="6000"/>
    <x v="3"/>
    <x v="1581"/>
    <x v="20"/>
    <s v="COMPTROLLER-OTHER"/>
    <s v="UNKNOWN"/>
    <x v="0"/>
  </r>
  <r>
    <n v="250832"/>
    <n v="6000"/>
    <x v="3"/>
    <x v="1582"/>
    <x v="20"/>
    <s v="COMPTROLLER-OTHER"/>
    <s v="UNKNOWN"/>
    <x v="0"/>
  </r>
  <r>
    <n v="250833"/>
    <n v="7000"/>
    <x v="3"/>
    <x v="23"/>
    <x v="20"/>
    <s v="COMPTROLLER-OTHER"/>
    <s v="UNKNOWN"/>
    <x v="0"/>
  </r>
  <r>
    <n v="250834"/>
    <n v="165000"/>
    <x v="3"/>
    <x v="788"/>
    <x v="20"/>
    <s v="COMPTROLLER-OTHER"/>
    <s v="UNKNOWN"/>
    <x v="0"/>
  </r>
  <r>
    <n v="250836"/>
    <n v="15000"/>
    <x v="1"/>
    <x v="604"/>
    <x v="20"/>
    <s v="COMPTROLLER-OTHER"/>
    <s v="UNKNOWN"/>
    <x v="0"/>
  </r>
  <r>
    <n v="250837"/>
    <n v="103593"/>
    <x v="4"/>
    <x v="145"/>
    <x v="8"/>
    <s v="COMPTROLLER-OTHER"/>
    <s v="UNKNOWN"/>
    <x v="0"/>
  </r>
  <r>
    <n v="250838"/>
    <n v="5498889"/>
    <x v="1"/>
    <x v="503"/>
    <x v="12"/>
    <s v="DELEGATE AGENCY"/>
    <s v="RFP"/>
    <x v="1"/>
  </r>
  <r>
    <n v="250839"/>
    <n v="5000"/>
    <x v="0"/>
    <x v="1583"/>
    <x v="20"/>
    <s v="COMPTROLLER-OTHER"/>
    <s v="UNKNOWN"/>
    <x v="0"/>
  </r>
  <r>
    <n v="250843"/>
    <n v="6000"/>
    <x v="3"/>
    <x v="1582"/>
    <x v="20"/>
    <s v="COMPTROLLER-OTHER"/>
    <s v="UNKNOWN"/>
    <x v="0"/>
  </r>
  <r>
    <n v="250850"/>
    <n v="5500"/>
    <x v="3"/>
    <x v="1584"/>
    <x v="20"/>
    <s v="COMPTROLLER-OTHER"/>
    <s v="UNKNOWN"/>
    <x v="0"/>
  </r>
  <r>
    <n v="250853"/>
    <n v="6000"/>
    <x v="3"/>
    <x v="1585"/>
    <x v="20"/>
    <s v="COMPTROLLER-OTHER"/>
    <s v="UNKNOWN"/>
    <x v="0"/>
  </r>
  <r>
    <n v="250894"/>
    <n v="105500"/>
    <x v="3"/>
    <x v="191"/>
    <x v="12"/>
    <s v="DELEGATE AGENCY"/>
    <s v="RFP"/>
    <x v="1"/>
  </r>
  <r>
    <n v="250900"/>
    <n v="116779"/>
    <x v="1"/>
    <x v="372"/>
    <x v="12"/>
    <s v="DELEGATE AGENCY"/>
    <s v="RFP"/>
    <x v="1"/>
  </r>
  <r>
    <n v="250901"/>
    <n v="217137"/>
    <x v="1"/>
    <x v="371"/>
    <x v="12"/>
    <s v="DELEGATE AGENCY"/>
    <s v="RFP"/>
    <x v="1"/>
  </r>
  <r>
    <n v="250905"/>
    <n v="135912"/>
    <x v="1"/>
    <x v="299"/>
    <x v="12"/>
    <s v="DELEGATE AGENCY"/>
    <s v="RFP"/>
    <x v="1"/>
  </r>
  <r>
    <n v="250908"/>
    <n v="220037"/>
    <x v="1"/>
    <x v="304"/>
    <x v="12"/>
    <s v="DELEGATE AGENCY"/>
    <s v="RFP"/>
    <x v="1"/>
  </r>
  <r>
    <n v="250933"/>
    <n v="198722"/>
    <x v="1"/>
    <x v="342"/>
    <x v="12"/>
    <s v="DELEGATE AGENCY"/>
    <s v="RFP"/>
    <x v="1"/>
  </r>
  <r>
    <n v="250935"/>
    <n v="742058"/>
    <x v="1"/>
    <x v="1103"/>
    <x v="12"/>
    <s v="DELEGATE AGENCY"/>
    <s v="RFP"/>
    <x v="1"/>
  </r>
  <r>
    <n v="250938"/>
    <n v="129694"/>
    <x v="2"/>
    <x v="300"/>
    <x v="12"/>
    <s v="DELEGATE AGENCY"/>
    <s v="RFP"/>
    <x v="1"/>
  </r>
  <r>
    <n v="250944"/>
    <n v="231842.1"/>
    <x v="1"/>
    <x v="46"/>
    <x v="8"/>
    <s v="DELEGATE AGENCY"/>
    <s v="UNKNOWN"/>
    <x v="0"/>
  </r>
  <r>
    <n v="251011"/>
    <n v="90000"/>
    <x v="1"/>
    <x v="1586"/>
    <x v="20"/>
    <s v="COMPTROLLER-OTHER"/>
    <s v="UNKNOWN"/>
    <x v="0"/>
  </r>
  <r>
    <n v="251017"/>
    <n v="6000"/>
    <x v="1"/>
    <x v="1587"/>
    <x v="20"/>
    <s v="COMPTROLLER-OTHER"/>
    <s v="UNKNOWN"/>
    <x v="0"/>
  </r>
  <r>
    <n v="251022"/>
    <n v="5000"/>
    <x v="3"/>
    <x v="1588"/>
    <x v="20"/>
    <s v="COMPTROLLER-OTHER"/>
    <s v="UNKNOWN"/>
    <x v="0"/>
  </r>
  <r>
    <n v="251023"/>
    <n v="6000"/>
    <x v="3"/>
    <x v="1554"/>
    <x v="20"/>
    <s v="COMPTROLLER-OTHER"/>
    <s v="UNKNOWN"/>
    <x v="0"/>
  </r>
  <r>
    <n v="251031"/>
    <n v="6000"/>
    <x v="3"/>
    <x v="1589"/>
    <x v="20"/>
    <s v="COMPTROLLER-OTHER"/>
    <s v="UNKNOWN"/>
    <x v="0"/>
  </r>
  <r>
    <n v="251036"/>
    <n v="6000"/>
    <x v="3"/>
    <x v="1590"/>
    <x v="20"/>
    <s v="COMPTROLLER-OTHER"/>
    <s v="UNKNOWN"/>
    <x v="0"/>
  </r>
  <r>
    <n v="251037"/>
    <n v="6000"/>
    <x v="3"/>
    <x v="1396"/>
    <x v="20"/>
    <s v="COMPTROLLER-OTHER"/>
    <s v="UNKNOWN"/>
    <x v="0"/>
  </r>
  <r>
    <n v="251038"/>
    <n v="6000"/>
    <x v="3"/>
    <x v="1591"/>
    <x v="20"/>
    <s v="COMPTROLLER-OTHER"/>
    <s v="UNKNOWN"/>
    <x v="0"/>
  </r>
  <r>
    <n v="251041"/>
    <n v="6000"/>
    <x v="3"/>
    <x v="1592"/>
    <x v="20"/>
    <s v="COMPTROLLER-OTHER"/>
    <s v="UNKNOWN"/>
    <x v="0"/>
  </r>
  <r>
    <n v="251042"/>
    <n v="6000"/>
    <x v="3"/>
    <x v="1593"/>
    <x v="20"/>
    <s v="COMPTROLLER-OTHER"/>
    <s v="UNKNOWN"/>
    <x v="0"/>
  </r>
  <r>
    <n v="251043"/>
    <n v="6000"/>
    <x v="3"/>
    <x v="1594"/>
    <x v="20"/>
    <s v="COMPTROLLER-OTHER"/>
    <s v="UNKNOWN"/>
    <x v="0"/>
  </r>
  <r>
    <n v="251045"/>
    <n v="5750"/>
    <x v="3"/>
    <x v="1595"/>
    <x v="20"/>
    <s v="COMPTROLLER-OTHER"/>
    <s v="UNKNOWN"/>
    <x v="0"/>
  </r>
  <r>
    <n v="251047"/>
    <n v="6000"/>
    <x v="3"/>
    <x v="1596"/>
    <x v="20"/>
    <s v="COMPTROLLER-OTHER"/>
    <s v="UNKNOWN"/>
    <x v="0"/>
  </r>
  <r>
    <n v="251049"/>
    <n v="6000"/>
    <x v="3"/>
    <x v="1597"/>
    <x v="20"/>
    <s v="COMPTROLLER-OTHER"/>
    <s v="UNKNOWN"/>
    <x v="0"/>
  </r>
  <r>
    <n v="251051"/>
    <n v="6000"/>
    <x v="3"/>
    <x v="1598"/>
    <x v="20"/>
    <s v="COMPTROLLER-OTHER"/>
    <s v="UNKNOWN"/>
    <x v="0"/>
  </r>
  <r>
    <n v="251052"/>
    <n v="6000"/>
    <x v="3"/>
    <x v="1599"/>
    <x v="20"/>
    <s v="COMPTROLLER-OTHER"/>
    <s v="UNKNOWN"/>
    <x v="0"/>
  </r>
  <r>
    <n v="251059"/>
    <n v="1000"/>
    <x v="3"/>
    <x v="1600"/>
    <x v="20"/>
    <s v="COMPTROLLER-OTHER"/>
    <s v="UNKNOWN"/>
    <x v="0"/>
  </r>
  <r>
    <n v="251070"/>
    <n v="6000"/>
    <x v="3"/>
    <x v="1540"/>
    <x v="20"/>
    <s v="COMPTROLLER-OTHER"/>
    <s v="UNKNOWN"/>
    <x v="0"/>
  </r>
  <r>
    <n v="251071"/>
    <n v="6000"/>
    <x v="3"/>
    <x v="1601"/>
    <x v="20"/>
    <s v="COMPTROLLER-OTHER"/>
    <s v="UNKNOWN"/>
    <x v="0"/>
  </r>
  <r>
    <n v="251081"/>
    <n v="6000"/>
    <x v="3"/>
    <x v="1602"/>
    <x v="20"/>
    <s v="COMPTROLLER-OTHER"/>
    <s v="UNKNOWN"/>
    <x v="0"/>
  </r>
  <r>
    <n v="251086"/>
    <n v="6000"/>
    <x v="3"/>
    <x v="1603"/>
    <x v="20"/>
    <s v="COMPTROLLER-OTHER"/>
    <s v="UNKNOWN"/>
    <x v="0"/>
  </r>
  <r>
    <n v="251087"/>
    <n v="6000"/>
    <x v="3"/>
    <x v="1604"/>
    <x v="20"/>
    <s v="COMPTROLLER-OTHER"/>
    <s v="UNKNOWN"/>
    <x v="0"/>
  </r>
  <r>
    <n v="251089"/>
    <n v="6000"/>
    <x v="3"/>
    <x v="1605"/>
    <x v="20"/>
    <s v="COMPTROLLER-OTHER"/>
    <s v="UNKNOWN"/>
    <x v="0"/>
  </r>
  <r>
    <n v="251091"/>
    <n v="200835"/>
    <x v="3"/>
    <x v="213"/>
    <x v="12"/>
    <s v="DELEGATE AGENCY"/>
    <s v="RFP"/>
    <x v="1"/>
  </r>
  <r>
    <n v="251100"/>
    <n v="111975"/>
    <x v="1"/>
    <x v="324"/>
    <x v="12"/>
    <s v="DELEGATE AGENCY"/>
    <s v="RFP"/>
    <x v="1"/>
  </r>
  <r>
    <n v="251142"/>
    <n v="119079"/>
    <x v="1"/>
    <x v="360"/>
    <x v="12"/>
    <s v="DELEGATE AGENCY"/>
    <s v="RFP"/>
    <x v="1"/>
  </r>
  <r>
    <n v="251143"/>
    <n v="202441"/>
    <x v="1"/>
    <x v="370"/>
    <x v="12"/>
    <s v="DELEGATE AGENCY"/>
    <s v="RFP"/>
    <x v="1"/>
  </r>
  <r>
    <n v="251149"/>
    <n v="121605"/>
    <x v="1"/>
    <x v="168"/>
    <x v="12"/>
    <s v="DELEGATE AGENCY"/>
    <s v="RFP"/>
    <x v="1"/>
  </r>
  <r>
    <n v="251151"/>
    <n v="139258"/>
    <x v="1"/>
    <x v="336"/>
    <x v="12"/>
    <s v="DELEGATE AGENCY"/>
    <s v="RFP"/>
    <x v="1"/>
  </r>
  <r>
    <n v="251152"/>
    <n v="105687"/>
    <x v="1"/>
    <x v="335"/>
    <x v="12"/>
    <s v="DELEGATE AGENCY"/>
    <s v="RFP"/>
    <x v="1"/>
  </r>
  <r>
    <n v="251153"/>
    <n v="122783"/>
    <x v="1"/>
    <x v="114"/>
    <x v="12"/>
    <s v="DELEGATE AGENCY"/>
    <s v="RFP"/>
    <x v="1"/>
  </r>
  <r>
    <n v="251154"/>
    <n v="128728"/>
    <x v="1"/>
    <x v="299"/>
    <x v="12"/>
    <s v="DELEGATE AGENCY"/>
    <s v="RFP"/>
    <x v="1"/>
  </r>
  <r>
    <n v="251155"/>
    <n v="114251"/>
    <x v="1"/>
    <x v="304"/>
    <x v="12"/>
    <s v="DELEGATE AGENCY"/>
    <s v="RFP"/>
    <x v="1"/>
  </r>
  <r>
    <n v="251156"/>
    <n v="126884"/>
    <x v="1"/>
    <x v="304"/>
    <x v="12"/>
    <s v="DELEGATE AGENCY"/>
    <s v="RFP"/>
    <x v="1"/>
  </r>
  <r>
    <n v="251157"/>
    <n v="156493"/>
    <x v="1"/>
    <x v="114"/>
    <x v="12"/>
    <s v="DELEGATE AGENCY"/>
    <s v="RFP"/>
    <x v="1"/>
  </r>
  <r>
    <n v="251158"/>
    <n v="112779"/>
    <x v="1"/>
    <x v="324"/>
    <x v="12"/>
    <s v="DELEGATE AGENCY"/>
    <s v="RFP"/>
    <x v="1"/>
  </r>
  <r>
    <n v="251159"/>
    <n v="139258"/>
    <x v="1"/>
    <x v="191"/>
    <x v="12"/>
    <s v="DELEGATE AGENCY"/>
    <s v="RFP"/>
    <x v="1"/>
  </r>
  <r>
    <n v="251160"/>
    <n v="135222"/>
    <x v="1"/>
    <x v="114"/>
    <x v="12"/>
    <s v="DELEGATE AGENCY"/>
    <s v="RFP"/>
    <x v="1"/>
  </r>
  <r>
    <n v="251162"/>
    <n v="126397"/>
    <x v="1"/>
    <x v="300"/>
    <x v="12"/>
    <s v="DELEGATE AGENCY"/>
    <s v="RFP"/>
    <x v="1"/>
  </r>
  <r>
    <n v="251175"/>
    <n v="296714.5"/>
    <x v="1"/>
    <x v="404"/>
    <x v="8"/>
    <s v="DELEGATE AGENCY"/>
    <s v="UNKNOWN"/>
    <x v="0"/>
  </r>
  <r>
    <n v="251176"/>
    <n v="105145.60000000001"/>
    <x v="2"/>
    <x v="502"/>
    <x v="8"/>
    <s v="DELEGATE AGENCY"/>
    <s v="UNKNOWN"/>
    <x v="0"/>
  </r>
  <r>
    <n v="251177"/>
    <n v="418015.8"/>
    <x v="1"/>
    <x v="496"/>
    <x v="8"/>
    <s v="DELEGATE AGENCY"/>
    <s v="UNKNOWN"/>
    <x v="0"/>
  </r>
  <r>
    <n v="251178"/>
    <n v="90684"/>
    <x v="2"/>
    <x v="45"/>
    <x v="8"/>
    <s v="DELEGATE AGENCY"/>
    <s v="UNKNOWN"/>
    <x v="0"/>
  </r>
  <r>
    <n v="251179"/>
    <n v="30976.1"/>
    <x v="1"/>
    <x v="128"/>
    <x v="8"/>
    <s v="DELEGATE AGENCY"/>
    <s v="UNKNOWN"/>
    <x v="0"/>
  </r>
  <r>
    <n v="251218"/>
    <n v="6000"/>
    <x v="4"/>
    <x v="1606"/>
    <x v="20"/>
    <s v="COMPTROLLER-OTHER"/>
    <s v="UNKNOWN"/>
    <x v="0"/>
  </r>
  <r>
    <n v="251219"/>
    <n v="5500"/>
    <x v="3"/>
    <x v="1607"/>
    <x v="20"/>
    <s v="COMPTROLLER-OTHER"/>
    <s v="UNKNOWN"/>
    <x v="0"/>
  </r>
  <r>
    <n v="251220"/>
    <n v="6000"/>
    <x v="3"/>
    <x v="1608"/>
    <x v="20"/>
    <s v="COMPTROLLER-OTHER"/>
    <s v="UNKNOWN"/>
    <x v="0"/>
  </r>
  <r>
    <n v="251222"/>
    <n v="6000"/>
    <x v="3"/>
    <x v="1609"/>
    <x v="20"/>
    <s v="COMPTROLLER-OTHER"/>
    <s v="UNKNOWN"/>
    <x v="0"/>
  </r>
  <r>
    <n v="251224"/>
    <n v="115025.7"/>
    <x v="3"/>
    <x v="76"/>
    <x v="12"/>
    <s v="DELEGATE AGENCY"/>
    <s v="UNKNOWN"/>
    <x v="0"/>
  </r>
  <r>
    <n v="251225"/>
    <n v="5000"/>
    <x v="1"/>
    <x v="1610"/>
    <x v="20"/>
    <s v="COMPTROLLER-OTHER"/>
    <s v="UNKNOWN"/>
    <x v="0"/>
  </r>
  <r>
    <n v="251226"/>
    <n v="6000"/>
    <x v="3"/>
    <x v="1611"/>
    <x v="20"/>
    <s v="COMPTROLLER-OTHER"/>
    <s v="UNKNOWN"/>
    <x v="0"/>
  </r>
  <r>
    <n v="251228"/>
    <n v="6000"/>
    <x v="3"/>
    <x v="1612"/>
    <x v="20"/>
    <s v="COMPTROLLER-OTHER"/>
    <s v="UNKNOWN"/>
    <x v="0"/>
  </r>
  <r>
    <n v="251229"/>
    <n v="80000"/>
    <x v="3"/>
    <x v="1613"/>
    <x v="20"/>
    <s v="COMPTROLLER-OTHER"/>
    <s v="UNKNOWN"/>
    <x v="0"/>
  </r>
  <r>
    <n v="251230"/>
    <n v="1000"/>
    <x v="1"/>
    <x v="1614"/>
    <x v="20"/>
    <s v="COMPTROLLER-OTHER"/>
    <s v="UNKNOWN"/>
    <x v="0"/>
  </r>
  <r>
    <n v="251232"/>
    <n v="6000"/>
    <x v="3"/>
    <x v="1615"/>
    <x v="20"/>
    <s v="COMPTROLLER-OTHER"/>
    <s v="UNKNOWN"/>
    <x v="0"/>
  </r>
  <r>
    <n v="251243"/>
    <n v="4750"/>
    <x v="3"/>
    <x v="1616"/>
    <x v="20"/>
    <s v="COMPTROLLER-OTHER"/>
    <s v="UNKNOWN"/>
    <x v="0"/>
  </r>
  <r>
    <n v="251244"/>
    <n v="6000"/>
    <x v="3"/>
    <x v="1617"/>
    <x v="20"/>
    <s v="COMPTROLLER-OTHER"/>
    <s v="UNKNOWN"/>
    <x v="0"/>
  </r>
  <r>
    <n v="251246"/>
    <n v="100000"/>
    <x v="3"/>
    <x v="377"/>
    <x v="19"/>
    <s v="DELEGATE AGENCY"/>
    <s v="RFP"/>
    <x v="1"/>
  </r>
  <r>
    <n v="251247"/>
    <n v="300000"/>
    <x v="1"/>
    <x v="454"/>
    <x v="19"/>
    <s v="DELEGATE AGENCY"/>
    <s v="RFP"/>
    <x v="1"/>
  </r>
  <r>
    <n v="251248"/>
    <n v="200000"/>
    <x v="2"/>
    <x v="1155"/>
    <x v="19"/>
    <s v="DELEGATE AGENCY"/>
    <s v="RFP"/>
    <x v="1"/>
  </r>
  <r>
    <n v="251249"/>
    <n v="200000"/>
    <x v="1"/>
    <x v="204"/>
    <x v="21"/>
    <s v="DELEGATE AGENCY"/>
    <s v="RFP"/>
    <x v="1"/>
  </r>
  <r>
    <n v="251250"/>
    <n v="200000"/>
    <x v="1"/>
    <x v="1496"/>
    <x v="19"/>
    <s v="DELEGATE AGENCY"/>
    <s v="RFP"/>
    <x v="1"/>
  </r>
  <r>
    <n v="251252"/>
    <n v="140000"/>
    <x v="1"/>
    <x v="387"/>
    <x v="21"/>
    <s v="DELEGATE AGENCY"/>
    <s v="RFP"/>
    <x v="1"/>
  </r>
  <r>
    <n v="251253"/>
    <n v="200000"/>
    <x v="1"/>
    <x v="221"/>
    <x v="21"/>
    <s v="DELEGATE AGENCY"/>
    <s v="RFP"/>
    <x v="1"/>
  </r>
  <r>
    <n v="251254"/>
    <n v="200000"/>
    <x v="1"/>
    <x v="390"/>
    <x v="19"/>
    <s v="DELEGATE AGENCY"/>
    <s v="RFP"/>
    <x v="1"/>
  </r>
  <r>
    <n v="251255"/>
    <n v="200000"/>
    <x v="1"/>
    <x v="220"/>
    <x v="19"/>
    <s v="DELEGATE AGENCY"/>
    <s v="RFP"/>
    <x v="0"/>
  </r>
  <r>
    <n v="251256"/>
    <n v="53622"/>
    <x v="1"/>
    <x v="686"/>
    <x v="19"/>
    <s v="DELEGATE AGENCY"/>
    <s v="RFP"/>
    <x v="1"/>
  </r>
  <r>
    <n v="251257"/>
    <n v="200000"/>
    <x v="1"/>
    <x v="452"/>
    <x v="19"/>
    <s v="DELEGATE AGENCY"/>
    <s v="RFP"/>
    <x v="1"/>
  </r>
  <r>
    <n v="251258"/>
    <n v="200000"/>
    <x v="1"/>
    <x v="1618"/>
    <x v="19"/>
    <s v="DELEGATE AGENCY"/>
    <s v="RFP"/>
    <x v="1"/>
  </r>
  <r>
    <n v="251259"/>
    <n v="200000"/>
    <x v="1"/>
    <x v="989"/>
    <x v="19"/>
    <s v="DELEGATE AGENCY"/>
    <s v="RFP"/>
    <x v="1"/>
  </r>
  <r>
    <n v="251265"/>
    <n v="375000"/>
    <x v="1"/>
    <x v="1395"/>
    <x v="1"/>
    <s v="DELEGATE AGENCY"/>
    <s v="UNKNOWN"/>
    <x v="0"/>
  </r>
  <r>
    <n v="251268"/>
    <n v="276000"/>
    <x v="2"/>
    <x v="199"/>
    <x v="12"/>
    <s v="DELEGATE AGENCY"/>
    <s v="RFP"/>
    <x v="1"/>
  </r>
  <r>
    <n v="251269"/>
    <n v="207000"/>
    <x v="2"/>
    <x v="167"/>
    <x v="12"/>
    <s v="DELEGATE AGENCY"/>
    <s v="RFP"/>
    <x v="1"/>
  </r>
  <r>
    <n v="251270"/>
    <n v="517500"/>
    <x v="1"/>
    <x v="5"/>
    <x v="12"/>
    <s v="DELEGATE AGENCY"/>
    <s v="RFP"/>
    <x v="1"/>
  </r>
  <r>
    <n v="251275"/>
    <n v="78000"/>
    <x v="2"/>
    <x v="658"/>
    <x v="20"/>
    <s v="COMPTROLLER-OTHER"/>
    <s v="UNKNOWN"/>
    <x v="0"/>
  </r>
  <r>
    <n v="251280"/>
    <n v="20000"/>
    <x v="1"/>
    <x v="1619"/>
    <x v="20"/>
    <s v="COMPTROLLER-OTHER"/>
    <s v="UNKNOWN"/>
    <x v="0"/>
  </r>
  <r>
    <n v="251282"/>
    <n v="25000"/>
    <x v="4"/>
    <x v="1620"/>
    <x v="20"/>
    <s v="COMPTROLLER-OTHER"/>
    <s v="UNKNOWN"/>
    <x v="0"/>
  </r>
  <r>
    <n v="251284"/>
    <n v="1127266"/>
    <x v="4"/>
    <x v="1621"/>
    <x v="9"/>
    <s v="PRO SERV CONSULTING $250,000orABOVE"/>
    <s v="RFP"/>
    <x v="1"/>
  </r>
  <r>
    <n v="251289"/>
    <n v="6000"/>
    <x v="0"/>
    <x v="1622"/>
    <x v="20"/>
    <s v="COMPTROLLER-OTHER"/>
    <s v="UNKNOWN"/>
    <x v="0"/>
  </r>
  <r>
    <n v="251291"/>
    <n v="45000"/>
    <x v="3"/>
    <x v="653"/>
    <x v="20"/>
    <s v="COMPTROLLER-OTHER"/>
    <s v="UNKNOWN"/>
    <x v="0"/>
  </r>
  <r>
    <n v="251292"/>
    <n v="6000"/>
    <x v="4"/>
    <x v="1623"/>
    <x v="20"/>
    <s v="COMPTROLLER-OTHER"/>
    <s v="UNKNOWN"/>
    <x v="0"/>
  </r>
  <r>
    <n v="251295"/>
    <n v="6000"/>
    <x v="3"/>
    <x v="1624"/>
    <x v="20"/>
    <s v="COMPTROLLER-OTHER"/>
    <s v="UNKNOWN"/>
    <x v="0"/>
  </r>
  <r>
    <n v="251316"/>
    <n v="6000"/>
    <x v="3"/>
    <x v="1625"/>
    <x v="20"/>
    <s v="COMPTROLLER-OTHER"/>
    <s v="UNKNOWN"/>
    <x v="0"/>
  </r>
  <r>
    <n v="251317"/>
    <n v="5000"/>
    <x v="3"/>
    <x v="1626"/>
    <x v="20"/>
    <s v="COMPTROLLER-OTHER"/>
    <s v="UNKNOWN"/>
    <x v="0"/>
  </r>
  <r>
    <n v="251318"/>
    <n v="6000"/>
    <x v="3"/>
    <x v="1627"/>
    <x v="20"/>
    <s v="COMPTROLLER-OTHER"/>
    <s v="UNKNOWN"/>
    <x v="0"/>
  </r>
  <r>
    <n v="251319"/>
    <n v="6000"/>
    <x v="3"/>
    <x v="1628"/>
    <x v="20"/>
    <s v="COMPTROLLER-OTHER"/>
    <s v="UNKNOWN"/>
    <x v="0"/>
  </r>
  <r>
    <n v="251321"/>
    <n v="62000"/>
    <x v="3"/>
    <x v="805"/>
    <x v="20"/>
    <s v="COMPTROLLER-OTHER"/>
    <s v="UNKNOWN"/>
    <x v="0"/>
  </r>
  <r>
    <n v="251322"/>
    <n v="6000"/>
    <x v="1"/>
    <x v="1629"/>
    <x v="20"/>
    <s v="COMPTROLLER-OTHER"/>
    <s v="UNKNOWN"/>
    <x v="0"/>
  </r>
  <r>
    <n v="251324"/>
    <n v="6000"/>
    <x v="3"/>
    <x v="1630"/>
    <x v="20"/>
    <s v="COMPTROLLER-OTHER"/>
    <s v="UNKNOWN"/>
    <x v="0"/>
  </r>
  <r>
    <n v="251325"/>
    <n v="2500"/>
    <x v="3"/>
    <x v="1631"/>
    <x v="20"/>
    <s v="COMPTROLLER-OTHER"/>
    <s v="UNKNOWN"/>
    <x v="0"/>
  </r>
  <r>
    <n v="251333"/>
    <n v="3826227.4"/>
    <x v="3"/>
    <x v="1632"/>
    <x v="28"/>
    <s v="PRO SERV CONSULTING $250,000orABOVE"/>
    <s v="CONTRACT ASSIGNMENT/TRANSFER"/>
    <x v="0"/>
  </r>
  <r>
    <n v="251411"/>
    <n v="6000"/>
    <x v="0"/>
    <x v="1633"/>
    <x v="20"/>
    <s v="COMPTROLLER-OTHER"/>
    <s v="UNKNOWN"/>
    <x v="0"/>
  </r>
  <r>
    <n v="251412"/>
    <n v="5000"/>
    <x v="3"/>
    <x v="1634"/>
    <x v="20"/>
    <s v="COMPTROLLER-OTHER"/>
    <s v="UNKNOWN"/>
    <x v="0"/>
  </r>
  <r>
    <n v="251413"/>
    <n v="25000"/>
    <x v="3"/>
    <x v="798"/>
    <x v="20"/>
    <s v="COMPTROLLER-OTHER"/>
    <s v="UNKNOWN"/>
    <x v="0"/>
  </r>
  <r>
    <n v="251414"/>
    <n v="6000"/>
    <x v="4"/>
    <x v="1635"/>
    <x v="20"/>
    <s v="COMPTROLLER-OTHER"/>
    <s v="UNKNOWN"/>
    <x v="0"/>
  </r>
  <r>
    <n v="251415"/>
    <n v="6000"/>
    <x v="3"/>
    <x v="1636"/>
    <x v="20"/>
    <s v="COMPTROLLER-OTHER"/>
    <s v="UNKNOWN"/>
    <x v="0"/>
  </r>
  <r>
    <n v="251416"/>
    <n v="5250"/>
    <x v="3"/>
    <x v="1637"/>
    <x v="20"/>
    <s v="COMPTROLLER-OTHER"/>
    <s v="UNKNOWN"/>
    <x v="0"/>
  </r>
  <r>
    <n v="251417"/>
    <n v="3500"/>
    <x v="3"/>
    <x v="1638"/>
    <x v="20"/>
    <s v="COMPTROLLER-OTHER"/>
    <s v="UNKNOWN"/>
    <x v="0"/>
  </r>
  <r>
    <n v="251418"/>
    <n v="6000"/>
    <x v="3"/>
    <x v="1639"/>
    <x v="20"/>
    <s v="COMPTROLLER-OTHER"/>
    <s v="UNKNOWN"/>
    <x v="0"/>
  </r>
  <r>
    <n v="251419"/>
    <n v="6000"/>
    <x v="3"/>
    <x v="1640"/>
    <x v="20"/>
    <s v="COMPTROLLER-OTHER"/>
    <s v="UNKNOWN"/>
    <x v="0"/>
  </r>
  <r>
    <n v="251421"/>
    <n v="6000"/>
    <x v="3"/>
    <x v="1641"/>
    <x v="20"/>
    <s v="COMPTROLLER-OTHER"/>
    <s v="UNKNOWN"/>
    <x v="0"/>
  </r>
  <r>
    <n v="251422"/>
    <n v="6000"/>
    <x v="3"/>
    <x v="1642"/>
    <x v="20"/>
    <s v="COMPTROLLER-OTHER"/>
    <s v="UNKNOWN"/>
    <x v="0"/>
  </r>
  <r>
    <n v="251431"/>
    <n v="6000"/>
    <x v="3"/>
    <x v="1643"/>
    <x v="20"/>
    <s v="COMPTROLLER-OTHER"/>
    <s v="UNKNOWN"/>
    <x v="0"/>
  </r>
  <r>
    <n v="251432"/>
    <n v="2000"/>
    <x v="3"/>
    <x v="1644"/>
    <x v="20"/>
    <s v="COMPTROLLER-OTHER"/>
    <s v="UNKNOWN"/>
    <x v="0"/>
  </r>
  <r>
    <n v="251433"/>
    <n v="6000"/>
    <x v="3"/>
    <x v="1645"/>
    <x v="20"/>
    <s v="COMPTROLLER-OTHER"/>
    <s v="UNKNOWN"/>
    <x v="0"/>
  </r>
  <r>
    <n v="251436"/>
    <n v="5000"/>
    <x v="3"/>
    <x v="1646"/>
    <x v="20"/>
    <s v="COMPTROLLER-OTHER"/>
    <s v="UNKNOWN"/>
    <x v="0"/>
  </r>
  <r>
    <n v="251437"/>
    <n v="6000"/>
    <x v="3"/>
    <x v="1647"/>
    <x v="20"/>
    <s v="COMPTROLLER-OTHER"/>
    <s v="UNKNOWN"/>
    <x v="0"/>
  </r>
  <r>
    <n v="251438"/>
    <n v="6000"/>
    <x v="3"/>
    <x v="1648"/>
    <x v="20"/>
    <s v="COMPTROLLER-OTHER"/>
    <s v="UNKNOWN"/>
    <x v="0"/>
  </r>
  <r>
    <n v="251497"/>
    <n v="6000"/>
    <x v="3"/>
    <x v="1649"/>
    <x v="20"/>
    <s v="COMPTROLLER-OTHER"/>
    <s v="UNKNOWN"/>
    <x v="0"/>
  </r>
  <r>
    <n v="251501"/>
    <n v="6000"/>
    <x v="3"/>
    <x v="1650"/>
    <x v="20"/>
    <s v="COMPTROLLER-OTHER"/>
    <s v="UNKNOWN"/>
    <x v="0"/>
  </r>
  <r>
    <n v="251509"/>
    <n v="6000"/>
    <x v="3"/>
    <x v="1651"/>
    <x v="20"/>
    <s v="COMPTROLLER-OTHER"/>
    <s v="UNKNOWN"/>
    <x v="0"/>
  </r>
  <r>
    <n v="251512"/>
    <n v="6000"/>
    <x v="3"/>
    <x v="1652"/>
    <x v="20"/>
    <s v="COMPTROLLER-OTHER"/>
    <s v="UNKNOWN"/>
    <x v="0"/>
  </r>
  <r>
    <n v="251517"/>
    <n v="6000"/>
    <x v="3"/>
    <x v="1653"/>
    <x v="20"/>
    <s v="COMPTROLLER-OTHER"/>
    <s v="UNKNOWN"/>
    <x v="0"/>
  </r>
  <r>
    <n v="251518"/>
    <n v="6000"/>
    <x v="3"/>
    <x v="1654"/>
    <x v="20"/>
    <s v="COMPTROLLER-OTHER"/>
    <s v="UNKNOWN"/>
    <x v="0"/>
  </r>
  <r>
    <n v="251520"/>
    <n v="6000"/>
    <x v="3"/>
    <x v="1655"/>
    <x v="20"/>
    <s v="COMPTROLLER-OTHER"/>
    <s v="UNKNOWN"/>
    <x v="0"/>
  </r>
  <r>
    <n v="251521"/>
    <n v="5000"/>
    <x v="3"/>
    <x v="1656"/>
    <x v="20"/>
    <s v="COMPTROLLER-OTHER"/>
    <s v="UNKNOWN"/>
    <x v="0"/>
  </r>
  <r>
    <n v="251523"/>
    <n v="6000"/>
    <x v="3"/>
    <x v="1657"/>
    <x v="20"/>
    <s v="COMPTROLLER-OTHER"/>
    <s v="UNKNOWN"/>
    <x v="0"/>
  </r>
  <r>
    <n v="251524"/>
    <n v="2500"/>
    <x v="3"/>
    <x v="1658"/>
    <x v="20"/>
    <s v="COMPTROLLER-OTHER"/>
    <s v="UNKNOWN"/>
    <x v="0"/>
  </r>
  <r>
    <n v="251526"/>
    <n v="6000"/>
    <x v="3"/>
    <x v="1659"/>
    <x v="20"/>
    <s v="COMPTROLLER-OTHER"/>
    <s v="UNKNOWN"/>
    <x v="0"/>
  </r>
  <r>
    <n v="251527"/>
    <n v="6000"/>
    <x v="3"/>
    <x v="1660"/>
    <x v="20"/>
    <s v="COMPTROLLER-OTHER"/>
    <s v="UNKNOWN"/>
    <x v="0"/>
  </r>
  <r>
    <n v="251529"/>
    <n v="6000"/>
    <x v="3"/>
    <x v="1661"/>
    <x v="20"/>
    <s v="COMPTROLLER-OTHER"/>
    <s v="UNKNOWN"/>
    <x v="0"/>
  </r>
  <r>
    <n v="251530"/>
    <n v="6000"/>
    <x v="3"/>
    <x v="1662"/>
    <x v="20"/>
    <s v="COMPTROLLER-OTHER"/>
    <s v="UNKNOWN"/>
    <x v="0"/>
  </r>
  <r>
    <n v="251532"/>
    <n v="6000"/>
    <x v="3"/>
    <x v="1663"/>
    <x v="20"/>
    <s v="COMPTROLLER-OTHER"/>
    <s v="UNKNOWN"/>
    <x v="0"/>
  </r>
  <r>
    <n v="251536"/>
    <n v="26000"/>
    <x v="3"/>
    <x v="1387"/>
    <x v="20"/>
    <s v="COMPTROLLER-OTHER"/>
    <s v="UNKNOWN"/>
    <x v="0"/>
  </r>
  <r>
    <n v="251537"/>
    <n v="25000"/>
    <x v="4"/>
    <x v="819"/>
    <x v="20"/>
    <s v="COMPTROLLER-OTHER"/>
    <s v="UNKNOWN"/>
    <x v="0"/>
  </r>
  <r>
    <n v="251538"/>
    <n v="25000"/>
    <x v="4"/>
    <x v="1664"/>
    <x v="20"/>
    <s v="COMPTROLLER-OTHER"/>
    <s v="UNKNOWN"/>
    <x v="0"/>
  </r>
  <r>
    <n v="251541"/>
    <n v="6000"/>
    <x v="4"/>
    <x v="1665"/>
    <x v="20"/>
    <s v="COMPTROLLER-OTHER"/>
    <s v="UNKNOWN"/>
    <x v="0"/>
  </r>
  <r>
    <n v="251543"/>
    <n v="6000"/>
    <x v="3"/>
    <x v="1666"/>
    <x v="20"/>
    <s v="COMPTROLLER-OTHER"/>
    <s v="UNKNOWN"/>
    <x v="0"/>
  </r>
  <r>
    <n v="251601"/>
    <n v="76000"/>
    <x v="3"/>
    <x v="1667"/>
    <x v="20"/>
    <s v="COMPTROLLER-OTHER"/>
    <s v="UNKNOWN"/>
    <x v="0"/>
  </r>
  <r>
    <n v="251610"/>
    <n v="75000"/>
    <x v="1"/>
    <x v="1668"/>
    <x v="20"/>
    <s v="COMPTROLLER-OTHER"/>
    <s v="UNKNOWN"/>
    <x v="0"/>
  </r>
  <r>
    <n v="251611"/>
    <n v="50000"/>
    <x v="1"/>
    <x v="774"/>
    <x v="20"/>
    <s v="COMPTROLLER-OTHER"/>
    <s v="UNKNOWN"/>
    <x v="0"/>
  </r>
  <r>
    <n v="251615"/>
    <n v="175000"/>
    <x v="1"/>
    <x v="640"/>
    <x v="20"/>
    <s v="COMPTROLLER-OTHER"/>
    <s v="UNKNOWN"/>
    <x v="0"/>
  </r>
  <r>
    <n v="251617"/>
    <n v="3250"/>
    <x v="1"/>
    <x v="1669"/>
    <x v="20"/>
    <s v="COMPTROLLER-OTHER"/>
    <s v="UNKNOWN"/>
    <x v="0"/>
  </r>
  <r>
    <n v="251619"/>
    <n v="6000"/>
    <x v="3"/>
    <x v="1670"/>
    <x v="20"/>
    <s v="COMPTROLLER-OTHER"/>
    <s v="UNKNOWN"/>
    <x v="0"/>
  </r>
  <r>
    <n v="251622"/>
    <n v="6000"/>
    <x v="3"/>
    <x v="1671"/>
    <x v="20"/>
    <s v="COMPTROLLER-OTHER"/>
    <s v="UNKNOWN"/>
    <x v="0"/>
  </r>
  <r>
    <n v="251626"/>
    <n v="6000"/>
    <x v="3"/>
    <x v="1672"/>
    <x v="20"/>
    <s v="COMPTROLLER-OTHER"/>
    <s v="UNKNOWN"/>
    <x v="0"/>
  </r>
  <r>
    <n v="251629"/>
    <n v="6000"/>
    <x v="3"/>
    <x v="1673"/>
    <x v="20"/>
    <s v="COMPTROLLER-OTHER"/>
    <s v="UNKNOWN"/>
    <x v="0"/>
  </r>
  <r>
    <n v="251639"/>
    <n v="4500"/>
    <x v="3"/>
    <x v="1674"/>
    <x v="20"/>
    <s v="COMPTROLLER-OTHER"/>
    <s v="UNKNOWN"/>
    <x v="0"/>
  </r>
  <r>
    <n v="251640"/>
    <n v="5250"/>
    <x v="3"/>
    <x v="1675"/>
    <x v="20"/>
    <s v="COMPTROLLER-OTHER"/>
    <s v="UNKNOWN"/>
    <x v="0"/>
  </r>
  <r>
    <n v="251641"/>
    <n v="59855319"/>
    <x v="3"/>
    <x v="344"/>
    <x v="3"/>
    <s v="VEHICLES/HEAVY EQUIPMENT (CAPITAL)"/>
    <s v="BID"/>
    <x v="0"/>
  </r>
  <r>
    <n v="251643"/>
    <n v="85000"/>
    <x v="0"/>
    <x v="1676"/>
    <x v="20"/>
    <s v="COMPTROLLER-OTHER"/>
    <s v="UNKNOWN"/>
    <x v="0"/>
  </r>
  <r>
    <n v="251645"/>
    <n v="12584773"/>
    <x v="1"/>
    <x v="558"/>
    <x v="12"/>
    <s v="DELEGATE AGENCY"/>
    <s v="UNKNOWN"/>
    <x v="0"/>
  </r>
  <r>
    <n v="251649"/>
    <n v="250000"/>
    <x v="0"/>
    <x v="1677"/>
    <x v="20"/>
    <s v="COMPTROLLER-OTHER"/>
    <s v="UNKNOWN"/>
    <x v="0"/>
  </r>
  <r>
    <n v="251653"/>
    <n v="6000"/>
    <x v="2"/>
    <x v="1678"/>
    <x v="20"/>
    <s v="COMPTROLLER-OTHER"/>
    <s v="UNKNOWN"/>
    <x v="0"/>
  </r>
  <r>
    <n v="251656"/>
    <n v="6000"/>
    <x v="3"/>
    <x v="1679"/>
    <x v="20"/>
    <s v="COMPTROLLER-OTHER"/>
    <s v="UNKNOWN"/>
    <x v="0"/>
  </r>
  <r>
    <n v="251663"/>
    <n v="50000"/>
    <x v="3"/>
    <x v="1680"/>
    <x v="20"/>
    <s v="COMPTROLLER-OTHER"/>
    <s v="UNKNOWN"/>
    <x v="0"/>
  </r>
  <r>
    <n v="251667"/>
    <n v="85000"/>
    <x v="1"/>
    <x v="803"/>
    <x v="20"/>
    <s v="COMPTROLLER-OTHER"/>
    <s v="UNKNOWN"/>
    <x v="0"/>
  </r>
  <r>
    <n v="251671"/>
    <n v="50000"/>
    <x v="1"/>
    <x v="1681"/>
    <x v="20"/>
    <s v="COMPTROLLER-OTHER"/>
    <s v="UNKNOWN"/>
    <x v="0"/>
  </r>
  <r>
    <n v="251673"/>
    <n v="125000"/>
    <x v="1"/>
    <x v="504"/>
    <x v="8"/>
    <s v="DELEGATE AGENCY"/>
    <s v="UNKNOWN"/>
    <x v="0"/>
  </r>
  <r>
    <n v="251676"/>
    <n v="85750"/>
    <x v="1"/>
    <x v="1281"/>
    <x v="20"/>
    <s v="COMPTROLLER-OTHER"/>
    <s v="UNKNOWN"/>
    <x v="0"/>
  </r>
  <r>
    <n v="251682"/>
    <n v="50000"/>
    <x v="1"/>
    <x v="1682"/>
    <x v="20"/>
    <s v="COMPTROLLER-OTHER"/>
    <s v="UNKNOWN"/>
    <x v="0"/>
  </r>
  <r>
    <n v="251686"/>
    <n v="6000"/>
    <x v="1"/>
    <x v="1683"/>
    <x v="20"/>
    <s v="COMPTROLLER-OTHER"/>
    <s v="UNKNOWN"/>
    <x v="0"/>
  </r>
  <r>
    <n v="251697"/>
    <n v="100000"/>
    <x v="3"/>
    <x v="820"/>
    <x v="20"/>
    <s v="COMPTROLLER-OTHER"/>
    <s v="UNKNOWN"/>
    <x v="0"/>
  </r>
  <r>
    <n v="251701"/>
    <n v="6000"/>
    <x v="1"/>
    <x v="1684"/>
    <x v="20"/>
    <s v="COMPTROLLER-OTHER"/>
    <s v="UNKNOWN"/>
    <x v="0"/>
  </r>
  <r>
    <n v="251702"/>
    <n v="6000"/>
    <x v="3"/>
    <x v="1685"/>
    <x v="20"/>
    <s v="COMPTROLLER-OTHER"/>
    <s v="UNKNOWN"/>
    <x v="0"/>
  </r>
  <r>
    <n v="251703"/>
    <n v="100000"/>
    <x v="3"/>
    <x v="819"/>
    <x v="20"/>
    <s v="COMPTROLLER-OTHER"/>
    <s v="UNKNOWN"/>
    <x v="0"/>
  </r>
  <r>
    <n v="251705"/>
    <n v="100000"/>
    <x v="1"/>
    <x v="675"/>
    <x v="20"/>
    <s v="COMPTROLLER-OTHER"/>
    <s v="UNKNOWN"/>
    <x v="0"/>
  </r>
  <r>
    <n v="251706"/>
    <n v="56000"/>
    <x v="1"/>
    <x v="1545"/>
    <x v="20"/>
    <s v="COMPTROLLER-OTHER"/>
    <s v="UNKNOWN"/>
    <x v="0"/>
  </r>
  <r>
    <n v="251707"/>
    <n v="6000"/>
    <x v="1"/>
    <x v="1686"/>
    <x v="20"/>
    <s v="COMPTROLLER-OTHER"/>
    <s v="UNKNOWN"/>
    <x v="0"/>
  </r>
  <r>
    <n v="251708"/>
    <n v="3500"/>
    <x v="3"/>
    <x v="1687"/>
    <x v="20"/>
    <s v="COMPTROLLER-OTHER"/>
    <s v="UNKNOWN"/>
    <x v="0"/>
  </r>
  <r>
    <n v="251710"/>
    <n v="40000"/>
    <x v="3"/>
    <x v="1688"/>
    <x v="20"/>
    <s v="COMPTROLLER-OTHER"/>
    <s v="UNKNOWN"/>
    <x v="0"/>
  </r>
  <r>
    <n v="251714"/>
    <n v="6000"/>
    <x v="4"/>
    <x v="1689"/>
    <x v="20"/>
    <s v="COMPTROLLER-OTHER"/>
    <s v="UNKNOWN"/>
    <x v="0"/>
  </r>
  <r>
    <n v="251720"/>
    <n v="64000"/>
    <x v="3"/>
    <x v="1690"/>
    <x v="20"/>
    <s v="COMPTROLLER-OTHER"/>
    <s v="UNKNOWN"/>
    <x v="0"/>
  </r>
  <r>
    <n v="251723"/>
    <n v="80000"/>
    <x v="1"/>
    <x v="1691"/>
    <x v="20"/>
    <s v="COMPTROLLER-OTHER"/>
    <s v="UNKNOWN"/>
    <x v="0"/>
  </r>
  <r>
    <n v="251729"/>
    <n v="62000"/>
    <x v="1"/>
    <x v="717"/>
    <x v="20"/>
    <s v="COMPTROLLER-OTHER"/>
    <s v="UNKNOWN"/>
    <x v="0"/>
  </r>
  <r>
    <n v="251731"/>
    <n v="120000"/>
    <x v="1"/>
    <x v="662"/>
    <x v="20"/>
    <s v="COMPTROLLER-OTHER"/>
    <s v="UNKNOWN"/>
    <x v="0"/>
  </r>
  <r>
    <n v="251782"/>
    <n v="60000"/>
    <x v="1"/>
    <x v="860"/>
    <x v="20"/>
    <s v="COMPTROLLER-OTHER"/>
    <s v="UNKNOWN"/>
    <x v="0"/>
  </r>
  <r>
    <n v="251786"/>
    <n v="45000"/>
    <x v="1"/>
    <x v="578"/>
    <x v="20"/>
    <s v="COMPTROLLER-OTHER"/>
    <s v="UNKNOWN"/>
    <x v="0"/>
  </r>
  <r>
    <n v="251792"/>
    <n v="200000"/>
    <x v="4"/>
    <x v="833"/>
    <x v="20"/>
    <s v="COMPTROLLER-OTHER"/>
    <s v="UNKNOWN"/>
    <x v="0"/>
  </r>
  <r>
    <n v="251795"/>
    <n v="150000"/>
    <x v="1"/>
    <x v="1692"/>
    <x v="20"/>
    <s v="COMPTROLLER-OTHER"/>
    <s v="UNKNOWN"/>
    <x v="0"/>
  </r>
  <r>
    <n v="251804"/>
    <n v="235000"/>
    <x v="1"/>
    <x v="914"/>
    <x v="20"/>
    <s v="COMPTROLLER-OTHER"/>
    <s v="UNKNOWN"/>
    <x v="0"/>
  </r>
  <r>
    <n v="251806"/>
    <n v="100000"/>
    <x v="1"/>
    <x v="1693"/>
    <x v="20"/>
    <s v="COMPTROLLER-OTHER"/>
    <s v="UNKNOWN"/>
    <x v="0"/>
  </r>
  <r>
    <n v="251818"/>
    <n v="70000"/>
    <x v="1"/>
    <x v="659"/>
    <x v="20"/>
    <s v="COMPTROLLER-OTHER"/>
    <s v="UNKNOWN"/>
    <x v="0"/>
  </r>
  <r>
    <n v="251821"/>
    <n v="90000"/>
    <x v="1"/>
    <x v="360"/>
    <x v="20"/>
    <s v="COMPTROLLER-OTHER"/>
    <s v="UNKNOWN"/>
    <x v="0"/>
  </r>
  <r>
    <n v="251836"/>
    <n v="50000"/>
    <x v="1"/>
    <x v="1694"/>
    <x v="20"/>
    <s v="COMPTROLLER-OTHER"/>
    <s v="UNKNOWN"/>
    <x v="0"/>
  </r>
  <r>
    <n v="251841"/>
    <n v="20000"/>
    <x v="1"/>
    <x v="1695"/>
    <x v="20"/>
    <s v="COMPTROLLER-OTHER"/>
    <s v="UNKNOWN"/>
    <x v="0"/>
  </r>
  <r>
    <n v="251848"/>
    <n v="40000"/>
    <x v="4"/>
    <x v="1696"/>
    <x v="20"/>
    <s v="COMPTROLLER-OTHER"/>
    <s v="UNKNOWN"/>
    <x v="0"/>
  </r>
  <r>
    <n v="251873"/>
    <n v="214328.5"/>
    <x v="4"/>
    <x v="259"/>
    <x v="12"/>
    <s v="DELEGATE AGENCY"/>
    <s v="UNKNOWN"/>
    <x v="0"/>
  </r>
  <r>
    <n v="251889"/>
    <n v="6381.9"/>
    <x v="1"/>
    <x v="201"/>
    <x v="8"/>
    <s v="DELEGATE AGENCY"/>
    <s v="UNKNOWN"/>
    <x v="0"/>
  </r>
  <r>
    <n v="251918"/>
    <n v="6000"/>
    <x v="3"/>
    <x v="1697"/>
    <x v="20"/>
    <s v="COMPTROLLER-OTHER"/>
    <s v="UNKNOWN"/>
    <x v="0"/>
  </r>
  <r>
    <n v="251922"/>
    <n v="22151056"/>
    <x v="3"/>
    <x v="900"/>
    <x v="6"/>
    <s v="COMPTROLLER-OTHER"/>
    <s v="UNKNOWN"/>
    <x v="0"/>
  </r>
  <r>
    <n v="251925"/>
    <n v="250000"/>
    <x v="0"/>
    <x v="1698"/>
    <x v="20"/>
    <s v="COMPTROLLER-OTHER"/>
    <s v="UNKNOWN"/>
    <x v="0"/>
  </r>
  <r>
    <n v="251930"/>
    <n v="100000"/>
    <x v="2"/>
    <x v="1699"/>
    <x v="20"/>
    <s v="COMPTROLLER-OTHER"/>
    <s v="UNKNOWN"/>
    <x v="0"/>
  </r>
  <r>
    <n v="251938"/>
    <n v="20000"/>
    <x v="1"/>
    <x v="1700"/>
    <x v="20"/>
    <s v="COMPTROLLER-OTHER"/>
    <s v="UNKNOWN"/>
    <x v="0"/>
  </r>
  <r>
    <n v="251945"/>
    <n v="90000"/>
    <x v="4"/>
    <x v="1701"/>
    <x v="20"/>
    <s v="COMPTROLLER-OTHER"/>
    <s v="UNKNOWN"/>
    <x v="0"/>
  </r>
  <r>
    <n v="251950"/>
    <n v="20000"/>
    <x v="1"/>
    <x v="1702"/>
    <x v="20"/>
    <s v="COMPTROLLER-OTHER"/>
    <s v="UNKNOWN"/>
    <x v="0"/>
  </r>
  <r>
    <n v="251951"/>
    <n v="30000"/>
    <x v="4"/>
    <x v="1703"/>
    <x v="20"/>
    <s v="COMPTROLLER-OTHER"/>
    <s v="UNKNOWN"/>
    <x v="0"/>
  </r>
  <r>
    <n v="251952"/>
    <n v="150000"/>
    <x v="4"/>
    <x v="472"/>
    <x v="20"/>
    <s v="COMPTROLLER-OTHER"/>
    <s v="UNKNOWN"/>
    <x v="0"/>
  </r>
  <r>
    <n v="251953"/>
    <n v="20000"/>
    <x v="1"/>
    <x v="1704"/>
    <x v="20"/>
    <s v="COMPTROLLER-OTHER"/>
    <s v="UNKNOWN"/>
    <x v="0"/>
  </r>
  <r>
    <n v="251955"/>
    <n v="20000"/>
    <x v="4"/>
    <x v="1705"/>
    <x v="20"/>
    <s v="COMPTROLLER-OTHER"/>
    <s v="UNKNOWN"/>
    <x v="0"/>
  </r>
  <r>
    <n v="251957"/>
    <n v="20000"/>
    <x v="4"/>
    <x v="1692"/>
    <x v="20"/>
    <s v="COMPTROLLER-OTHER"/>
    <s v="UNKNOWN"/>
    <x v="0"/>
  </r>
  <r>
    <n v="251959"/>
    <n v="50000"/>
    <x v="4"/>
    <x v="618"/>
    <x v="20"/>
    <s v="COMPTROLLER-OTHER"/>
    <s v="UNKNOWN"/>
    <x v="0"/>
  </r>
  <r>
    <n v="251960"/>
    <n v="40000"/>
    <x v="1"/>
    <x v="1706"/>
    <x v="20"/>
    <s v="COMPTROLLER-OTHER"/>
    <s v="UNKNOWN"/>
    <x v="0"/>
  </r>
  <r>
    <n v="251961"/>
    <n v="20000"/>
    <x v="4"/>
    <x v="1707"/>
    <x v="20"/>
    <s v="COMPTROLLER-OTHER"/>
    <s v="UNKNOWN"/>
    <x v="0"/>
  </r>
  <r>
    <n v="251965"/>
    <n v="20000"/>
    <x v="4"/>
    <x v="1708"/>
    <x v="20"/>
    <s v="COMPTROLLER-OTHER"/>
    <s v="UNKNOWN"/>
    <x v="0"/>
  </r>
  <r>
    <n v="251966"/>
    <n v="40000"/>
    <x v="4"/>
    <x v="1709"/>
    <x v="20"/>
    <s v="COMPTROLLER-OTHER"/>
    <s v="UNKNOWN"/>
    <x v="0"/>
  </r>
  <r>
    <n v="251967"/>
    <n v="20000"/>
    <x v="4"/>
    <x v="1710"/>
    <x v="20"/>
    <s v="COMPTROLLER-OTHER"/>
    <s v="UNKNOWN"/>
    <x v="0"/>
  </r>
  <r>
    <n v="251970"/>
    <n v="20000"/>
    <x v="4"/>
    <x v="1711"/>
    <x v="20"/>
    <s v="COMPTROLLER-OTHER"/>
    <s v="UNKNOWN"/>
    <x v="0"/>
  </r>
  <r>
    <n v="251971"/>
    <n v="20000"/>
    <x v="4"/>
    <x v="1350"/>
    <x v="20"/>
    <s v="COMPTROLLER-OTHER"/>
    <s v="UNKNOWN"/>
    <x v="0"/>
  </r>
  <r>
    <n v="251972"/>
    <n v="90000"/>
    <x v="4"/>
    <x v="1386"/>
    <x v="20"/>
    <s v="COMPTROLLER-OTHER"/>
    <s v="UNKNOWN"/>
    <x v="0"/>
  </r>
  <r>
    <n v="251974"/>
    <n v="18000"/>
    <x v="1"/>
    <x v="1712"/>
    <x v="20"/>
    <s v="COMPTROLLER-OTHER"/>
    <s v="UNKNOWN"/>
    <x v="0"/>
  </r>
  <r>
    <n v="251977"/>
    <n v="40000"/>
    <x v="4"/>
    <x v="1713"/>
    <x v="20"/>
    <s v="COMPTROLLER-OTHER"/>
    <s v="UNKNOWN"/>
    <x v="0"/>
  </r>
  <r>
    <n v="251978"/>
    <n v="18000"/>
    <x v="4"/>
    <x v="1714"/>
    <x v="20"/>
    <s v="COMPTROLLER-OTHER"/>
    <s v="UNKNOWN"/>
    <x v="0"/>
  </r>
  <r>
    <n v="251979"/>
    <n v="30000"/>
    <x v="4"/>
    <x v="1680"/>
    <x v="20"/>
    <s v="COMPTROLLER-OTHER"/>
    <s v="UNKNOWN"/>
    <x v="0"/>
  </r>
  <r>
    <n v="252091"/>
    <n v="150000"/>
    <x v="4"/>
    <x v="784"/>
    <x v="20"/>
    <s v="COMPTROLLER-OTHER"/>
    <s v="UNKNOWN"/>
    <x v="0"/>
  </r>
  <r>
    <n v="252092"/>
    <n v="190000"/>
    <x v="1"/>
    <x v="747"/>
    <x v="20"/>
    <s v="COMPTROLLER-OTHER"/>
    <s v="UNKNOWN"/>
    <x v="0"/>
  </r>
  <r>
    <n v="252093"/>
    <n v="20000"/>
    <x v="1"/>
    <x v="1715"/>
    <x v="20"/>
    <s v="COMPTROLLER-OTHER"/>
    <s v="UNKNOWN"/>
    <x v="0"/>
  </r>
  <r>
    <n v="252094"/>
    <n v="18000"/>
    <x v="4"/>
    <x v="1664"/>
    <x v="20"/>
    <s v="COMPTROLLER-OTHER"/>
    <s v="UNKNOWN"/>
    <x v="0"/>
  </r>
  <r>
    <n v="252097"/>
    <n v="100000"/>
    <x v="4"/>
    <x v="1716"/>
    <x v="20"/>
    <s v="COMPTROLLER-OTHER"/>
    <s v="UNKNOWN"/>
    <x v="0"/>
  </r>
  <r>
    <n v="252099"/>
    <n v="100000"/>
    <x v="1"/>
    <x v="756"/>
    <x v="20"/>
    <s v="COMPTROLLER-OTHER"/>
    <s v="UNKNOWN"/>
    <x v="0"/>
  </r>
  <r>
    <n v="252100"/>
    <n v="75000"/>
    <x v="1"/>
    <x v="699"/>
    <x v="20"/>
    <s v="COMPTROLLER-OTHER"/>
    <s v="UNKNOWN"/>
    <x v="0"/>
  </r>
  <r>
    <n v="252101"/>
    <n v="100000"/>
    <x v="1"/>
    <x v="1329"/>
    <x v="20"/>
    <s v="COMPTROLLER-OTHER"/>
    <s v="UNKNOWN"/>
    <x v="0"/>
  </r>
  <r>
    <n v="252102"/>
    <n v="76000"/>
    <x v="1"/>
    <x v="1717"/>
    <x v="20"/>
    <s v="COMPTROLLER-OTHER"/>
    <s v="UNKNOWN"/>
    <x v="0"/>
  </r>
  <r>
    <n v="252138"/>
    <n v="7775"/>
    <x v="1"/>
    <x v="301"/>
    <x v="12"/>
    <s v="DELEGATE AGENCY"/>
    <s v="UNKNOWN"/>
    <x v="0"/>
  </r>
  <r>
    <n v="252177"/>
    <n v="20000"/>
    <x v="3"/>
    <x v="1718"/>
    <x v="20"/>
    <s v="COMPTROLLER-OTHER"/>
    <s v="UNKNOWN"/>
    <x v="0"/>
  </r>
  <r>
    <n v="252179"/>
    <n v="40000"/>
    <x v="4"/>
    <x v="1719"/>
    <x v="20"/>
    <s v="COMPTROLLER-OTHER"/>
    <s v="UNKNOWN"/>
    <x v="0"/>
  </r>
  <r>
    <n v="252181"/>
    <n v="100000"/>
    <x v="4"/>
    <x v="1720"/>
    <x v="20"/>
    <s v="COMPTROLLER-OTHER"/>
    <s v="UNKNOWN"/>
    <x v="0"/>
  </r>
  <r>
    <n v="252187"/>
    <n v="20000"/>
    <x v="1"/>
    <x v="1721"/>
    <x v="20"/>
    <s v="COMPTROLLER-OTHER"/>
    <s v="UNKNOWN"/>
    <x v="0"/>
  </r>
  <r>
    <n v="252188"/>
    <n v="100000"/>
    <x v="4"/>
    <x v="1722"/>
    <x v="20"/>
    <s v="COMPTROLLER-OTHER"/>
    <s v="UNKNOWN"/>
    <x v="0"/>
  </r>
  <r>
    <n v="252189"/>
    <n v="50000"/>
    <x v="1"/>
    <x v="1135"/>
    <x v="20"/>
    <s v="COMPTROLLER-OTHER"/>
    <s v="UNKNOWN"/>
    <x v="0"/>
  </r>
  <r>
    <n v="252191"/>
    <n v="40000"/>
    <x v="1"/>
    <x v="1693"/>
    <x v="20"/>
    <s v="COMPTROLLER-OTHER"/>
    <s v="UNKNOWN"/>
    <x v="0"/>
  </r>
  <r>
    <n v="252298"/>
    <n v="960000"/>
    <x v="4"/>
    <x v="227"/>
    <x v="8"/>
    <s v="DELEGATE AGENCY"/>
    <s v="RFP"/>
    <x v="1"/>
  </r>
  <r>
    <n v="252300"/>
    <n v="480000"/>
    <x v="2"/>
    <x v="279"/>
    <x v="8"/>
    <s v="DELEGATE AGENCY"/>
    <s v="RFP"/>
    <x v="1"/>
  </r>
  <r>
    <n v="252301"/>
    <n v="360000"/>
    <x v="2"/>
    <x v="66"/>
    <x v="8"/>
    <s v="DELEGATE AGENCY"/>
    <s v="RFP"/>
    <x v="1"/>
  </r>
  <r>
    <n v="252313"/>
    <n v="240000"/>
    <x v="2"/>
    <x v="229"/>
    <x v="8"/>
    <s v="DELEGATE AGENCY"/>
    <s v="RFP"/>
    <x v="1"/>
  </r>
  <r>
    <n v="252317"/>
    <n v="600000"/>
    <x v="1"/>
    <x v="228"/>
    <x v="8"/>
    <s v="DELEGATE AGENCY"/>
    <s v="RFP"/>
    <x v="1"/>
  </r>
  <r>
    <n v="252358"/>
    <n v="480000"/>
    <x v="2"/>
    <x v="169"/>
    <x v="8"/>
    <s v="DELEGATE AGENCY"/>
    <s v="RFP"/>
    <x v="1"/>
  </r>
  <r>
    <n v="252406"/>
    <n v="247780"/>
    <x v="2"/>
    <x v="1723"/>
    <x v="2"/>
    <s v="WORK SERVICES-SMALL ORDERS"/>
    <s v="BID"/>
    <x v="1"/>
  </r>
  <r>
    <n v="252494"/>
    <n v="711674"/>
    <x v="1"/>
    <x v="281"/>
    <x v="8"/>
    <s v="DELEGATE AGENCY"/>
    <s v="RFP"/>
    <x v="1"/>
  </r>
  <r>
    <n v="252697"/>
    <n v="2337435"/>
    <x v="2"/>
    <x v="139"/>
    <x v="8"/>
    <s v="DELEGATE AGENCY"/>
    <s v="UNKNOWN"/>
    <x v="0"/>
  </r>
  <r>
    <n v="252698"/>
    <n v="180264.5"/>
    <x v="0"/>
    <x v="201"/>
    <x v="8"/>
    <s v="DELEGATE AGENCY"/>
    <s v="UNKNOWN"/>
    <x v="0"/>
  </r>
  <r>
    <n v="252699"/>
    <n v="144867.79999999999"/>
    <x v="1"/>
    <x v="465"/>
    <x v="8"/>
    <s v="DELEGATE AGENCY"/>
    <s v="UNKNOWN"/>
    <x v="0"/>
  </r>
  <r>
    <n v="252700"/>
    <n v="86000.1"/>
    <x v="1"/>
    <x v="298"/>
    <x v="8"/>
    <s v="DELEGATE AGENCY"/>
    <s v="UNKNOWN"/>
    <x v="0"/>
  </r>
  <r>
    <n v="252701"/>
    <n v="194342.3"/>
    <x v="1"/>
    <x v="1027"/>
    <x v="8"/>
    <s v="DELEGATE AGENCY"/>
    <s v="UNKNOWN"/>
    <x v="0"/>
  </r>
  <r>
    <n v="252702"/>
    <n v="357901"/>
    <x v="1"/>
    <x v="212"/>
    <x v="8"/>
    <s v="DELEGATE AGENCY"/>
    <s v="UNKNOWN"/>
    <x v="0"/>
  </r>
  <r>
    <n v="252703"/>
    <n v="119976.9"/>
    <x v="2"/>
    <x v="25"/>
    <x v="8"/>
    <s v="DELEGATE AGENCY"/>
    <s v="UNKNOWN"/>
    <x v="0"/>
  </r>
  <r>
    <n v="252721"/>
    <n v="70000"/>
    <x v="1"/>
    <x v="1724"/>
    <x v="20"/>
    <s v="COMPTROLLER-OTHER"/>
    <s v="UNKNOWN"/>
    <x v="0"/>
  </r>
  <r>
    <n v="252722"/>
    <n v="45000"/>
    <x v="1"/>
    <x v="1725"/>
    <x v="20"/>
    <s v="COMPTROLLER-OTHER"/>
    <s v="UNKNOWN"/>
    <x v="0"/>
  </r>
  <r>
    <n v="252758"/>
    <n v="14589.4"/>
    <x v="4"/>
    <x v="288"/>
    <x v="8"/>
    <s v="DELEGATE AGENCY"/>
    <s v="UNKNOWN"/>
    <x v="0"/>
  </r>
  <r>
    <n v="252759"/>
    <n v="46666.7"/>
    <x v="4"/>
    <x v="312"/>
    <x v="8"/>
    <s v="DELEGATE AGENCY"/>
    <s v="UNKNOWN"/>
    <x v="0"/>
  </r>
  <r>
    <n v="252760"/>
    <n v="60000"/>
    <x v="4"/>
    <x v="24"/>
    <x v="8"/>
    <s v="DELEGATE AGENCY"/>
    <s v="UNKNOWN"/>
    <x v="0"/>
  </r>
  <r>
    <n v="252761"/>
    <n v="1300"/>
    <x v="1"/>
    <x v="298"/>
    <x v="8"/>
    <s v="DELEGATE AGENCY"/>
    <s v="UNKNOWN"/>
    <x v="0"/>
  </r>
  <r>
    <n v="252775"/>
    <n v="191442.4"/>
    <x v="3"/>
    <x v="947"/>
    <x v="8"/>
    <s v="DELEGATE AGENCY"/>
    <s v="UNKNOWN"/>
    <x v="0"/>
  </r>
  <r>
    <n v="252776"/>
    <n v="354008.6"/>
    <x v="1"/>
    <x v="870"/>
    <x v="8"/>
    <s v="DELEGATE AGENCY"/>
    <s v="UNKNOWN"/>
    <x v="0"/>
  </r>
  <r>
    <n v="252777"/>
    <n v="634992.1"/>
    <x v="2"/>
    <x v="1367"/>
    <x v="8"/>
    <s v="DELEGATE AGENCY"/>
    <s v="UNKNOWN"/>
    <x v="0"/>
  </r>
  <r>
    <n v="252778"/>
    <n v="643951.19999999995"/>
    <x v="2"/>
    <x v="601"/>
    <x v="8"/>
    <s v="DELEGATE AGENCY"/>
    <s v="UNKNOWN"/>
    <x v="0"/>
  </r>
  <r>
    <n v="252779"/>
    <n v="348452"/>
    <x v="2"/>
    <x v="1003"/>
    <x v="8"/>
    <s v="DELEGATE AGENCY"/>
    <s v="UNKNOWN"/>
    <x v="0"/>
  </r>
  <r>
    <n v="252780"/>
    <n v="116412"/>
    <x v="2"/>
    <x v="41"/>
    <x v="8"/>
    <s v="DELEGATE AGENCY"/>
    <s v="UNKNOWN"/>
    <x v="0"/>
  </r>
  <r>
    <n v="252781"/>
    <n v="160586.29999999999"/>
    <x v="1"/>
    <x v="464"/>
    <x v="8"/>
    <s v="DELEGATE AGENCY"/>
    <s v="UNKNOWN"/>
    <x v="0"/>
  </r>
  <r>
    <n v="252782"/>
    <n v="377837.4"/>
    <x v="1"/>
    <x v="25"/>
    <x v="8"/>
    <s v="DELEGATE AGENCY"/>
    <s v="UNKNOWN"/>
    <x v="0"/>
  </r>
  <r>
    <n v="252786"/>
    <n v="6560840"/>
    <x v="2"/>
    <x v="558"/>
    <x v="12"/>
    <s v="DELEGATE AGENCY"/>
    <s v="RFP"/>
    <x v="1"/>
  </r>
  <r>
    <n v="252787"/>
    <n v="6560840"/>
    <x v="0"/>
    <x v="558"/>
    <x v="12"/>
    <s v="DELEGATE AGENCY"/>
    <s v="RFP"/>
    <x v="1"/>
  </r>
  <r>
    <n v="252791"/>
    <n v="667000"/>
    <x v="0"/>
    <x v="76"/>
    <x v="12"/>
    <s v="DELEGATE AGENCY"/>
    <s v="RFP"/>
    <x v="1"/>
  </r>
  <r>
    <n v="252798"/>
    <n v="913504"/>
    <x v="2"/>
    <x v="86"/>
    <x v="12"/>
    <s v="DELEGATE AGENCY"/>
    <s v="UNKNOWN"/>
    <x v="1"/>
  </r>
  <r>
    <n v="252800"/>
    <n v="1126355"/>
    <x v="2"/>
    <x v="301"/>
    <x v="12"/>
    <s v="DELEGATE AGENCY"/>
    <s v="UNKNOWN"/>
    <x v="1"/>
  </r>
  <r>
    <n v="252801"/>
    <n v="2462302"/>
    <x v="0"/>
    <x v="293"/>
    <x v="12"/>
    <s v="DELEGATE AGENCY"/>
    <s v="UNKNOWN"/>
    <x v="1"/>
  </r>
  <r>
    <n v="252802"/>
    <n v="9000"/>
    <x v="0"/>
    <x v="1129"/>
    <x v="8"/>
    <s v="DELEGATE AGENCY"/>
    <s v="UNKNOWN"/>
    <x v="0"/>
  </r>
  <r>
    <n v="252803"/>
    <n v="8000"/>
    <x v="3"/>
    <x v="34"/>
    <x v="8"/>
    <s v="DELEGATE AGENCY"/>
    <s v="UNKNOWN"/>
    <x v="0"/>
  </r>
  <r>
    <n v="252804"/>
    <n v="89243.3"/>
    <x v="3"/>
    <x v="45"/>
    <x v="8"/>
    <s v="DELEGATE AGENCY"/>
    <s v="UNKNOWN"/>
    <x v="0"/>
  </r>
  <r>
    <n v="252805"/>
    <n v="401500"/>
    <x v="1"/>
    <x v="211"/>
    <x v="12"/>
    <s v="DELEGATE AGENCY"/>
    <s v="UNKNOWN"/>
    <x v="1"/>
  </r>
  <r>
    <n v="252817"/>
    <n v="20000"/>
    <x v="2"/>
    <x v="1726"/>
    <x v="20"/>
    <s v="COMPTROLLER-OTHER"/>
    <s v="UNKNOWN"/>
    <x v="0"/>
  </r>
  <r>
    <n v="252818"/>
    <n v="250000"/>
    <x v="4"/>
    <x v="1727"/>
    <x v="2"/>
    <s v="COMPTROLLER-OTHER"/>
    <s v="UNKNOWN"/>
    <x v="0"/>
  </r>
  <r>
    <n v="252819"/>
    <n v="22374"/>
    <x v="2"/>
    <x v="391"/>
    <x v="2"/>
    <s v="COMPTROLLER-OTHER"/>
    <s v="UNKNOWN"/>
    <x v="0"/>
  </r>
  <r>
    <n v="252820"/>
    <n v="28131"/>
    <x v="4"/>
    <x v="1728"/>
    <x v="2"/>
    <s v="COMPTROLLER-OTHER"/>
    <s v="UNKNOWN"/>
    <x v="0"/>
  </r>
  <r>
    <n v="252912"/>
    <n v="11345.2"/>
    <x v="4"/>
    <x v="33"/>
    <x v="8"/>
    <s v="DELEGATE AGENCY"/>
    <s v="UNKNOWN"/>
    <x v="0"/>
  </r>
  <r>
    <n v="253028"/>
    <n v="135000"/>
    <x v="4"/>
    <x v="228"/>
    <x v="22"/>
    <s v="DELEGATE AGENCY"/>
    <s v="RFP"/>
    <x v="1"/>
  </r>
  <r>
    <n v="253029"/>
    <n v="360000"/>
    <x v="1"/>
    <x v="433"/>
    <x v="22"/>
    <s v="DELEGATE AGENCY"/>
    <s v="RFP"/>
    <x v="1"/>
  </r>
  <r>
    <n v="253030"/>
    <n v="495000"/>
    <x v="2"/>
    <x v="139"/>
    <x v="22"/>
    <s v="DELEGATE AGENCY"/>
    <s v="RFP"/>
    <x v="1"/>
  </r>
  <r>
    <n v="253031"/>
    <n v="141000"/>
    <x v="2"/>
    <x v="314"/>
    <x v="22"/>
    <s v="DELEGATE AGENCY"/>
    <s v="RFP"/>
    <x v="1"/>
  </r>
  <r>
    <n v="253032"/>
    <n v="128200"/>
    <x v="1"/>
    <x v="66"/>
    <x v="22"/>
    <s v="DELEGATE AGENCY"/>
    <s v="RFP"/>
    <x v="1"/>
  </r>
  <r>
    <n v="253033"/>
    <n v="61800"/>
    <x v="1"/>
    <x v="1729"/>
    <x v="22"/>
    <s v="DELEGATE AGENCY"/>
    <s v="RFP"/>
    <x v="1"/>
  </r>
  <r>
    <n v="253034"/>
    <n v="248000"/>
    <x v="1"/>
    <x v="390"/>
    <x v="22"/>
    <s v="DELEGATE AGENCY"/>
    <s v="RFP"/>
    <x v="1"/>
  </r>
  <r>
    <n v="253035"/>
    <n v="196540"/>
    <x v="1"/>
    <x v="91"/>
    <x v="22"/>
    <s v="DELEGATE AGENCY"/>
    <s v="RFP"/>
    <x v="1"/>
  </r>
  <r>
    <n v="253036"/>
    <n v="300880"/>
    <x v="1"/>
    <x v="370"/>
    <x v="22"/>
    <s v="DELEGATE AGENCY"/>
    <s v="RFP"/>
    <x v="1"/>
  </r>
  <r>
    <n v="253037"/>
    <n v="248000"/>
    <x v="2"/>
    <x v="1153"/>
    <x v="22"/>
    <s v="DELEGATE AGENCY"/>
    <s v="RFP"/>
    <x v="1"/>
  </r>
  <r>
    <n v="253038"/>
    <n v="128200"/>
    <x v="1"/>
    <x v="360"/>
    <x v="22"/>
    <s v="DELEGATE AGENCY"/>
    <s v="RFP"/>
    <x v="1"/>
  </r>
  <r>
    <n v="253039"/>
    <n v="190000"/>
    <x v="1"/>
    <x v="436"/>
    <x v="22"/>
    <s v="DELEGATE AGENCY"/>
    <s v="RFP"/>
    <x v="1"/>
  </r>
  <r>
    <n v="253040"/>
    <n v="197580"/>
    <x v="1"/>
    <x v="353"/>
    <x v="22"/>
    <s v="DELEGATE AGENCY"/>
    <s v="RFP"/>
    <x v="1"/>
  </r>
  <r>
    <n v="253059"/>
    <n v="259750"/>
    <x v="1"/>
    <x v="394"/>
    <x v="22"/>
    <s v="DELEGATE AGENCY"/>
    <s v="RFP"/>
    <x v="1"/>
  </r>
  <r>
    <n v="253060"/>
    <n v="259750"/>
    <x v="2"/>
    <x v="376"/>
    <x v="22"/>
    <s v="DELEGATE AGENCY"/>
    <s v="RFP"/>
    <x v="1"/>
  </r>
  <r>
    <n v="253062"/>
    <n v="237000"/>
    <x v="2"/>
    <x v="395"/>
    <x v="22"/>
    <s v="DELEGATE AGENCY"/>
    <s v="RFP"/>
    <x v="1"/>
  </r>
  <r>
    <n v="253064"/>
    <n v="237000"/>
    <x v="1"/>
    <x v="382"/>
    <x v="22"/>
    <s v="DELEGATE AGENCY"/>
    <s v="RFP"/>
    <x v="1"/>
  </r>
  <r>
    <n v="253065"/>
    <n v="259750"/>
    <x v="1"/>
    <x v="333"/>
    <x v="22"/>
    <s v="DELEGATE AGENCY"/>
    <s v="RFP"/>
    <x v="1"/>
  </r>
  <r>
    <n v="253066"/>
    <n v="237000"/>
    <x v="2"/>
    <x v="1042"/>
    <x v="22"/>
    <s v="DELEGATE AGENCY"/>
    <s v="RFP"/>
    <x v="1"/>
  </r>
  <r>
    <n v="253067"/>
    <n v="259750"/>
    <x v="1"/>
    <x v="91"/>
    <x v="22"/>
    <s v="DELEGATE AGENCY"/>
    <s v="RFP"/>
    <x v="1"/>
  </r>
  <r>
    <n v="253068"/>
    <n v="237000"/>
    <x v="2"/>
    <x v="379"/>
    <x v="22"/>
    <s v="DELEGATE AGENCY"/>
    <s v="RFP"/>
    <x v="1"/>
  </r>
  <r>
    <n v="253073"/>
    <n v="145470"/>
    <x v="1"/>
    <x v="394"/>
    <x v="22"/>
    <s v="DELEGATE AGENCY"/>
    <s v="RFP"/>
    <x v="1"/>
  </r>
  <r>
    <n v="253075"/>
    <n v="145540"/>
    <x v="1"/>
    <x v="433"/>
    <x v="22"/>
    <s v="DELEGATE AGENCY"/>
    <s v="RFP"/>
    <x v="1"/>
  </r>
  <r>
    <n v="253076"/>
    <n v="120000"/>
    <x v="1"/>
    <x v="316"/>
    <x v="22"/>
    <s v="DELEGATE AGENCY"/>
    <s v="RFP"/>
    <x v="1"/>
  </r>
  <r>
    <n v="253078"/>
    <n v="145540"/>
    <x v="1"/>
    <x v="503"/>
    <x v="22"/>
    <s v="DELEGATE AGENCY"/>
    <s v="RFP"/>
    <x v="1"/>
  </r>
  <r>
    <n v="253080"/>
    <n v="240000"/>
    <x v="1"/>
    <x v="1730"/>
    <x v="22"/>
    <s v="DELEGATE AGENCY"/>
    <s v="RFP"/>
    <x v="1"/>
  </r>
  <r>
    <n v="253081"/>
    <n v="145540"/>
    <x v="1"/>
    <x v="1501"/>
    <x v="22"/>
    <s v="DELEGATE AGENCY"/>
    <s v="RFP"/>
    <x v="1"/>
  </r>
  <r>
    <n v="253082"/>
    <n v="180000"/>
    <x v="1"/>
    <x v="1139"/>
    <x v="22"/>
    <s v="DELEGATE AGENCY"/>
    <s v="RFP"/>
    <x v="1"/>
  </r>
  <r>
    <n v="253084"/>
    <n v="63230"/>
    <x v="1"/>
    <x v="282"/>
    <x v="22"/>
    <s v="DELEGATE AGENCY"/>
    <s v="RFP"/>
    <x v="1"/>
  </r>
  <r>
    <n v="253085"/>
    <n v="145540"/>
    <x v="1"/>
    <x v="1227"/>
    <x v="22"/>
    <s v="DELEGATE AGENCY"/>
    <s v="RFP"/>
    <x v="1"/>
  </r>
  <r>
    <n v="253087"/>
    <n v="240000"/>
    <x v="1"/>
    <x v="316"/>
    <x v="22"/>
    <s v="DELEGATE AGENCY"/>
    <s v="RFP"/>
    <x v="1"/>
  </r>
  <r>
    <n v="253088"/>
    <n v="190368"/>
    <x v="1"/>
    <x v="1042"/>
    <x v="22"/>
    <s v="DELEGATE AGENCY"/>
    <s v="RFP"/>
    <x v="1"/>
  </r>
  <r>
    <n v="253089"/>
    <n v="240000"/>
    <x v="1"/>
    <x v="1109"/>
    <x v="22"/>
    <s v="DELEGATE AGENCY"/>
    <s v="RFP"/>
    <x v="1"/>
  </r>
  <r>
    <n v="253090"/>
    <n v="240000"/>
    <x v="1"/>
    <x v="408"/>
    <x v="22"/>
    <s v="DELEGATE AGENCY"/>
    <s v="RFP"/>
    <x v="1"/>
  </r>
  <r>
    <n v="253091"/>
    <n v="80000"/>
    <x v="1"/>
    <x v="408"/>
    <x v="22"/>
    <s v="DELEGATE AGENCY"/>
    <s v="RFP"/>
    <x v="1"/>
  </r>
  <r>
    <n v="253092"/>
    <n v="124560"/>
    <x v="1"/>
    <x v="325"/>
    <x v="22"/>
    <s v="DELEGATE AGENCY"/>
    <s v="RFP"/>
    <x v="1"/>
  </r>
  <r>
    <n v="253093"/>
    <n v="179974"/>
    <x v="1"/>
    <x v="228"/>
    <x v="22"/>
    <s v="DELEGATE AGENCY"/>
    <s v="RFP"/>
    <x v="1"/>
  </r>
  <r>
    <n v="253205"/>
    <n v="200000"/>
    <x v="1"/>
    <x v="404"/>
    <x v="8"/>
    <s v="DELEGATE AGENCY"/>
    <s v="UNKNOWN"/>
    <x v="0"/>
  </r>
  <r>
    <n v="253253"/>
    <n v="63000"/>
    <x v="1"/>
    <x v="1731"/>
    <x v="20"/>
    <s v="COMPTROLLER-OTHER"/>
    <s v="UNKNOWN"/>
    <x v="0"/>
  </r>
  <r>
    <n v="253254"/>
    <n v="6000"/>
    <x v="1"/>
    <x v="1629"/>
    <x v="20"/>
    <s v="COMPTROLLER-OTHER"/>
    <s v="UNKNOWN"/>
    <x v="0"/>
  </r>
  <r>
    <n v="253256"/>
    <n v="6000"/>
    <x v="3"/>
    <x v="1732"/>
    <x v="25"/>
    <s v="COMPTROLLER-OTHER"/>
    <s v="UNKNOWN"/>
    <x v="0"/>
  </r>
  <r>
    <n v="253274"/>
    <n v="6000"/>
    <x v="3"/>
    <x v="1733"/>
    <x v="20"/>
    <s v="COMPTROLLER-OTHER"/>
    <s v="UNKNOWN"/>
    <x v="0"/>
  </r>
  <r>
    <n v="253292"/>
    <n v="4500000"/>
    <x v="3"/>
    <x v="1734"/>
    <x v="5"/>
    <s v="ARCH/ENGINEERING"/>
    <s v="RFQ"/>
    <x v="1"/>
  </r>
  <r>
    <n v="253293"/>
    <n v="4500000"/>
    <x v="0"/>
    <x v="1735"/>
    <x v="5"/>
    <s v="ARCH/ENGINEERING"/>
    <s v="RFQ"/>
    <x v="1"/>
  </r>
  <r>
    <n v="253294"/>
    <n v="4500000"/>
    <x v="0"/>
    <x v="1079"/>
    <x v="5"/>
    <s v="ARCH/ENGINEERING"/>
    <s v="RFQ"/>
    <x v="1"/>
  </r>
  <r>
    <n v="253295"/>
    <n v="4500000"/>
    <x v="0"/>
    <x v="1073"/>
    <x v="5"/>
    <s v="ARCH/ENGINEERING"/>
    <s v="RFQ"/>
    <x v="1"/>
  </r>
  <r>
    <n v="253296"/>
    <n v="4500000"/>
    <x v="0"/>
    <x v="1736"/>
    <x v="5"/>
    <s v="ARCH/ENGINEERING"/>
    <s v="RFQ"/>
    <x v="1"/>
  </r>
  <r>
    <n v="253297"/>
    <n v="4500000"/>
    <x v="0"/>
    <x v="1074"/>
    <x v="5"/>
    <s v="ARCH/ENGINEERING"/>
    <s v="RFQ"/>
    <x v="1"/>
  </r>
  <r>
    <n v="253416"/>
    <n v="15000"/>
    <x v="0"/>
    <x v="915"/>
    <x v="20"/>
    <s v="COMPTROLLER-OTHER"/>
    <s v="UNKNOWN"/>
    <x v="0"/>
  </r>
  <r>
    <n v="253417"/>
    <n v="38000"/>
    <x v="4"/>
    <x v="1737"/>
    <x v="20"/>
    <s v="COMPTROLLER-OTHER"/>
    <s v="UNKNOWN"/>
    <x v="0"/>
  </r>
  <r>
    <n v="253463"/>
    <n v="1145000"/>
    <x v="4"/>
    <x v="145"/>
    <x v="16"/>
    <s v="COMPTROLLER-OTHER"/>
    <s v="UNKNOWN"/>
    <x v="0"/>
  </r>
  <r>
    <n v="253467"/>
    <n v="1000000"/>
    <x v="0"/>
    <x v="145"/>
    <x v="16"/>
    <s v="COMPTROLLER-OTHER"/>
    <s v="UNKNOWN"/>
    <x v="0"/>
  </r>
  <r>
    <n v="253471"/>
    <n v="687768"/>
    <x v="0"/>
    <x v="145"/>
    <x v="16"/>
    <s v="COMPTROLLER-OTHER"/>
    <s v="UNKNOWN"/>
    <x v="0"/>
  </r>
  <r>
    <n v="253477"/>
    <n v="1000000"/>
    <x v="2"/>
    <x v="145"/>
    <x v="16"/>
    <s v="COMPTROLLER-OTHER"/>
    <s v="UNKNOWN"/>
    <x v="0"/>
  </r>
  <r>
    <n v="253487"/>
    <n v="1000000"/>
    <x v="0"/>
    <x v="145"/>
    <x v="16"/>
    <s v="COMPTROLLER-OTHER"/>
    <s v="UNKNOWN"/>
    <x v="0"/>
  </r>
  <r>
    <n v="253490"/>
    <n v="500000"/>
    <x v="0"/>
    <x v="145"/>
    <x v="16"/>
    <s v="COMPTROLLER-OTHER"/>
    <s v="UNKNOWN"/>
    <x v="0"/>
  </r>
  <r>
    <n v="253508"/>
    <n v="63852.2"/>
    <x v="2"/>
    <x v="28"/>
    <x v="8"/>
    <s v="DELEGATE AGENCY"/>
    <s v="UNKNOWN"/>
    <x v="1"/>
  </r>
  <r>
    <n v="253509"/>
    <n v="64000"/>
    <x v="1"/>
    <x v="204"/>
    <x v="8"/>
    <s v="DELEGATE AGENCY"/>
    <s v="UNKNOWN"/>
    <x v="1"/>
  </r>
  <r>
    <n v="253541"/>
    <n v="5317.2999999999902"/>
    <x v="1"/>
    <x v="73"/>
    <x v="12"/>
    <s v="DELEGATE AGENCY"/>
    <s v="UNKNOWN"/>
    <x v="0"/>
  </r>
  <r>
    <n v="253546"/>
    <n v="411628.5"/>
    <x v="3"/>
    <x v="42"/>
    <x v="8"/>
    <s v="DELEGATE AGENCY"/>
    <s v="UNKNOWN"/>
    <x v="0"/>
  </r>
  <r>
    <n v="253547"/>
    <n v="416628"/>
    <x v="2"/>
    <x v="467"/>
    <x v="8"/>
    <s v="DELEGATE AGENCY"/>
    <s v="UNKNOWN"/>
    <x v="0"/>
  </r>
  <r>
    <n v="253562"/>
    <n v="289396.40000000002"/>
    <x v="2"/>
    <x v="40"/>
    <x v="12"/>
    <s v="DELEGATE AGENCY"/>
    <s v="UNKNOWN"/>
    <x v="0"/>
  </r>
  <r>
    <n v="253572"/>
    <n v="113531.9"/>
    <x v="2"/>
    <x v="25"/>
    <x v="8"/>
    <s v="DELEGATE AGENCY"/>
    <s v="UNKNOWN"/>
    <x v="0"/>
  </r>
  <r>
    <n v="253573"/>
    <n v="602382.5"/>
    <x v="1"/>
    <x v="40"/>
    <x v="8"/>
    <s v="DELEGATE AGENCY"/>
    <s v="UNKNOWN"/>
    <x v="0"/>
  </r>
  <r>
    <n v="253574"/>
    <n v="218717.3"/>
    <x v="2"/>
    <x v="476"/>
    <x v="8"/>
    <s v="DELEGATE AGENCY"/>
    <s v="UNKNOWN"/>
    <x v="0"/>
  </r>
  <r>
    <n v="253575"/>
    <n v="270380.09999999998"/>
    <x v="1"/>
    <x v="1395"/>
    <x v="8"/>
    <s v="DELEGATE AGENCY"/>
    <s v="UNKNOWN"/>
    <x v="0"/>
  </r>
  <r>
    <n v="253653"/>
    <n v="32000"/>
    <x v="2"/>
    <x v="621"/>
    <x v="12"/>
    <s v="DELEGATE AGENCY"/>
    <s v="UNKNOWN"/>
    <x v="0"/>
  </r>
  <r>
    <n v="253660"/>
    <n v="15125.7"/>
    <x v="4"/>
    <x v="59"/>
    <x v="12"/>
    <s v="DELEGATE AGENCY"/>
    <s v="UNKNOWN"/>
    <x v="0"/>
  </r>
  <r>
    <n v="253679"/>
    <n v="195750"/>
    <x v="4"/>
    <x v="642"/>
    <x v="3"/>
    <s v="SOFTWARE"/>
    <s v="JOINT PURCHASE"/>
    <x v="1"/>
  </r>
  <r>
    <n v="253680"/>
    <n v="137500"/>
    <x v="1"/>
    <x v="642"/>
    <x v="3"/>
    <s v="SOFTWARE"/>
    <s v="JOINT PURCHASE"/>
    <x v="1"/>
  </r>
  <r>
    <n v="253787"/>
    <n v="12500"/>
    <x v="1"/>
    <x v="299"/>
    <x v="11"/>
    <s v="DELEGATE AGENCY"/>
    <s v="UNKNOWN"/>
    <x v="0"/>
  </r>
  <r>
    <n v="253817"/>
    <n v="6739273"/>
    <x v="4"/>
    <x v="297"/>
    <x v="12"/>
    <s v="DELEGATE AGENCY"/>
    <s v="UNKNOWN"/>
    <x v="0"/>
  </r>
  <r>
    <n v="253819"/>
    <n v="15000"/>
    <x v="0"/>
    <x v="59"/>
    <x v="12"/>
    <s v="DELEGATE AGENCY"/>
    <s v="UNKNOWN"/>
    <x v="0"/>
  </r>
  <r>
    <n v="253821"/>
    <n v="205331.20000000001"/>
    <x v="4"/>
    <x v="297"/>
    <x v="12"/>
    <s v="DELEGATE AGENCY"/>
    <s v="UNKNOWN"/>
    <x v="0"/>
  </r>
  <r>
    <n v="253822"/>
    <n v="2220861.5"/>
    <x v="1"/>
    <x v="297"/>
    <x v="12"/>
    <s v="DELEGATE AGENCY"/>
    <s v="UNKNOWN"/>
    <x v="0"/>
  </r>
  <r>
    <n v="253841"/>
    <n v="10665.9"/>
    <x v="0"/>
    <x v="76"/>
    <x v="12"/>
    <s v="DELEGATE AGENCY"/>
    <s v="UNKNOWN"/>
    <x v="0"/>
  </r>
  <r>
    <n v="253842"/>
    <n v="14400"/>
    <x v="4"/>
    <x v="305"/>
    <x v="12"/>
    <s v="DELEGATE AGENCY"/>
    <s v="UNKNOWN"/>
    <x v="0"/>
  </r>
  <r>
    <n v="253843"/>
    <n v="14400"/>
    <x v="4"/>
    <x v="84"/>
    <x v="12"/>
    <s v="DELEGATE AGENCY"/>
    <s v="UNKNOWN"/>
    <x v="0"/>
  </r>
  <r>
    <n v="253844"/>
    <n v="32000"/>
    <x v="4"/>
    <x v="579"/>
    <x v="12"/>
    <s v="DELEGATE AGENCY"/>
    <s v="UNKNOWN"/>
    <x v="0"/>
  </r>
  <r>
    <n v="253845"/>
    <n v="32000"/>
    <x v="4"/>
    <x v="572"/>
    <x v="12"/>
    <s v="DELEGATE AGENCY"/>
    <s v="UNKNOWN"/>
    <x v="0"/>
  </r>
  <r>
    <n v="253846"/>
    <n v="32000"/>
    <x v="4"/>
    <x v="605"/>
    <x v="12"/>
    <s v="DELEGATE AGENCY"/>
    <s v="UNKNOWN"/>
    <x v="0"/>
  </r>
  <r>
    <n v="253847"/>
    <n v="205510.2"/>
    <x v="4"/>
    <x v="139"/>
    <x v="8"/>
    <s v="DELEGATE AGENCY"/>
    <s v="UNKNOWN"/>
    <x v="0"/>
  </r>
  <r>
    <n v="253967"/>
    <n v="98750"/>
    <x v="1"/>
    <x v="458"/>
    <x v="12"/>
    <s v="DELEGATE AGENCY"/>
    <s v="RFP"/>
    <x v="1"/>
  </r>
  <r>
    <n v="254010"/>
    <n v="119000"/>
    <x v="1"/>
    <x v="199"/>
    <x v="12"/>
    <s v="DELEGATE AGENCY"/>
    <s v="UNKNOWN"/>
    <x v="1"/>
  </r>
  <r>
    <n v="254014"/>
    <n v="119000"/>
    <x v="1"/>
    <x v="89"/>
    <x v="12"/>
    <s v="DELEGATE AGENCY"/>
    <s v="UNKNOWN"/>
    <x v="1"/>
  </r>
  <r>
    <n v="254016"/>
    <n v="119000"/>
    <x v="1"/>
    <x v="200"/>
    <x v="12"/>
    <s v="DELEGATE AGENCY"/>
    <s v="UNKNOWN"/>
    <x v="1"/>
  </r>
  <r>
    <n v="254017"/>
    <n v="119000"/>
    <x v="1"/>
    <x v="114"/>
    <x v="12"/>
    <s v="DELEGATE AGENCY"/>
    <s v="UNKNOWN"/>
    <x v="1"/>
  </r>
  <r>
    <n v="254019"/>
    <n v="119000"/>
    <x v="1"/>
    <x v="201"/>
    <x v="12"/>
    <s v="DELEGATE AGENCY"/>
    <s v="UNKNOWN"/>
    <x v="1"/>
  </r>
  <r>
    <n v="254024"/>
    <n v="119000"/>
    <x v="1"/>
    <x v="202"/>
    <x v="12"/>
    <s v="DELEGATE AGENCY"/>
    <s v="UNKNOWN"/>
    <x v="1"/>
  </r>
  <r>
    <n v="254026"/>
    <n v="119000"/>
    <x v="1"/>
    <x v="127"/>
    <x v="12"/>
    <s v="DELEGATE AGENCY"/>
    <s v="UNKNOWN"/>
    <x v="1"/>
  </r>
  <r>
    <n v="254029"/>
    <n v="119000"/>
    <x v="1"/>
    <x v="203"/>
    <x v="12"/>
    <s v="DELEGATE AGENCY"/>
    <s v="UNKNOWN"/>
    <x v="1"/>
  </r>
  <r>
    <n v="254030"/>
    <n v="119000"/>
    <x v="1"/>
    <x v="204"/>
    <x v="12"/>
    <s v="DELEGATE AGENCY"/>
    <s v="UNKNOWN"/>
    <x v="1"/>
  </r>
  <r>
    <n v="254031"/>
    <n v="119000"/>
    <x v="1"/>
    <x v="205"/>
    <x v="12"/>
    <s v="DELEGATE AGENCY"/>
    <s v="UNKNOWN"/>
    <x v="1"/>
  </r>
  <r>
    <n v="254033"/>
    <n v="119000"/>
    <x v="1"/>
    <x v="169"/>
    <x v="12"/>
    <s v="DELEGATE AGENCY"/>
    <s v="UNKNOWN"/>
    <x v="1"/>
  </r>
  <r>
    <n v="254035"/>
    <n v="119000"/>
    <x v="1"/>
    <x v="169"/>
    <x v="12"/>
    <s v="DELEGATE AGENCY"/>
    <s v="UNKNOWN"/>
    <x v="1"/>
  </r>
  <r>
    <n v="254037"/>
    <n v="59280"/>
    <x v="1"/>
    <x v="296"/>
    <x v="12"/>
    <s v="DELEGATE AGENCY"/>
    <s v="UNKNOWN"/>
    <x v="1"/>
  </r>
  <r>
    <n v="254056"/>
    <n v="10644442"/>
    <x v="1"/>
    <x v="285"/>
    <x v="12"/>
    <s v="DELEGATE AGENCY"/>
    <s v="UNKNOWN"/>
    <x v="1"/>
  </r>
  <r>
    <n v="254140"/>
    <n v="32000"/>
    <x v="0"/>
    <x v="582"/>
    <x v="12"/>
    <s v="DELEGATE AGENCY"/>
    <s v="UNKNOWN"/>
    <x v="1"/>
  </r>
  <r>
    <n v="254233"/>
    <n v="28960469"/>
    <x v="4"/>
    <x v="1738"/>
    <x v="5"/>
    <s v="PRO SERV CONSULTING $250,000orABOVE"/>
    <s v="RFP"/>
    <x v="2"/>
  </r>
  <r>
    <n v="254436"/>
    <n v="620000"/>
    <x v="0"/>
    <x v="370"/>
    <x v="12"/>
    <s v="DELEGATE AGENCY"/>
    <s v="UNKNOWN"/>
    <x v="1"/>
  </r>
  <r>
    <n v="254437"/>
    <n v="580000"/>
    <x v="2"/>
    <x v="370"/>
    <x v="12"/>
    <s v="DELEGATE AGENCY"/>
    <s v="UNKNOWN"/>
    <x v="1"/>
  </r>
  <r>
    <n v="254438"/>
    <n v="930000"/>
    <x v="2"/>
    <x v="358"/>
    <x v="12"/>
    <s v="DELEGATE AGENCY"/>
    <s v="UNKNOWN"/>
    <x v="1"/>
  </r>
  <r>
    <n v="254439"/>
    <n v="870000"/>
    <x v="2"/>
    <x v="358"/>
    <x v="12"/>
    <s v="DELEGATE AGENCY"/>
    <s v="UNKNOWN"/>
    <x v="1"/>
  </r>
  <r>
    <n v="254479"/>
    <n v="700000"/>
    <x v="2"/>
    <x v="280"/>
    <x v="8"/>
    <s v="DELEGATE AGENCY"/>
    <s v="UNKNOWN"/>
    <x v="1"/>
  </r>
  <r>
    <n v="254480"/>
    <n v="480000"/>
    <x v="2"/>
    <x v="595"/>
    <x v="8"/>
    <s v="DELEGATE AGENCY"/>
    <s v="UNKNOWN"/>
    <x v="1"/>
  </r>
  <r>
    <n v="254484"/>
    <n v="57666631"/>
    <x v="2"/>
    <x v="1739"/>
    <x v="12"/>
    <s v="DELEGATE AGENCY"/>
    <s v="RFP"/>
    <x v="1"/>
  </r>
  <r>
    <n v="254485"/>
    <n v="45635854"/>
    <x v="0"/>
    <x v="1740"/>
    <x v="12"/>
    <s v="DELEGATE AGENCY"/>
    <s v="RFP"/>
    <x v="1"/>
  </r>
  <r>
    <n v="254666"/>
    <n v="1200000"/>
    <x v="0"/>
    <x v="537"/>
    <x v="10"/>
    <s v="COMMODITIES"/>
    <s v="BID"/>
    <x v="1"/>
  </r>
  <r>
    <n v="254702"/>
    <n v="22891315.399999999"/>
    <x v="0"/>
    <x v="999"/>
    <x v="14"/>
    <s v="PRO SERV CONSULTING $250,000orABOVE"/>
    <s v="CONTRACT ASSIGNMENT/TRANS"/>
    <x v="1"/>
  </r>
  <r>
    <n v="254742"/>
    <n v="975000"/>
    <x v="0"/>
    <x v="189"/>
    <x v="1"/>
    <s v="DELEGATE AGENCY"/>
    <s v="UNKNOWN"/>
    <x v="1"/>
  </r>
  <r>
    <n v="254773"/>
    <n v="1147572"/>
    <x v="2"/>
    <x v="175"/>
    <x v="1"/>
    <s v="DELEGATE AGENCY"/>
    <s v="UNKNOWN"/>
    <x v="1"/>
  </r>
  <r>
    <n v="254852"/>
    <n v="1000000"/>
    <x v="0"/>
    <x v="189"/>
    <x v="1"/>
    <s v="DELEGATE AGENCY"/>
    <s v="UNKNOWN"/>
    <x v="1"/>
  </r>
  <r>
    <n v="254885"/>
    <n v="600000"/>
    <x v="0"/>
    <x v="25"/>
    <x v="1"/>
    <s v="DELEGATE AGENCY"/>
    <s v="UNKNOWN"/>
    <x v="1"/>
  </r>
  <r>
    <n v="254889"/>
    <n v="240000"/>
    <x v="2"/>
    <x v="25"/>
    <x v="1"/>
    <s v="DELEGATE AGENCY"/>
    <s v="UNKNOWN"/>
    <x v="1"/>
  </r>
  <r>
    <n v="254895"/>
    <n v="1177113"/>
    <x v="1"/>
    <x v="217"/>
    <x v="12"/>
    <s v="DELEGATE AGENCY"/>
    <s v="UNKNOWN"/>
    <x v="1"/>
  </r>
  <r>
    <n v="254896"/>
    <n v="101475"/>
    <x v="0"/>
    <x v="217"/>
    <x v="12"/>
    <s v="DELEGATE AGENCY"/>
    <s v="UNKNOWN"/>
    <x v="1"/>
  </r>
  <r>
    <n v="254897"/>
    <n v="750918"/>
    <x v="1"/>
    <x v="217"/>
    <x v="12"/>
    <s v="DELEGATE AGENCY"/>
    <s v="UNKNOWN"/>
    <x v="1"/>
  </r>
  <r>
    <n v="254918"/>
    <n v="6000"/>
    <x v="2"/>
    <x v="1741"/>
    <x v="20"/>
    <s v="COMPTROLLER-OTHER"/>
    <s v="UNKNOWN"/>
    <x v="1"/>
  </r>
  <r>
    <n v="254919"/>
    <n v="6000"/>
    <x v="3"/>
    <x v="1686"/>
    <x v="20"/>
    <s v="COMPTROLLER-OTHER"/>
    <s v="UNKNOWN"/>
    <x v="1"/>
  </r>
  <r>
    <n v="254920"/>
    <n v="37000"/>
    <x v="3"/>
    <x v="1742"/>
    <x v="20"/>
    <s v="COMPTROLLER-OTHER"/>
    <s v="UNKNOWN"/>
    <x v="1"/>
  </r>
  <r>
    <n v="254921"/>
    <n v="128105"/>
    <x v="4"/>
    <x v="73"/>
    <x v="12"/>
    <s v="DELEGATE AGENCY"/>
    <s v="UNKNOWN"/>
    <x v="1"/>
  </r>
  <r>
    <n v="254922"/>
    <n v="406248"/>
    <x v="1"/>
    <x v="127"/>
    <x v="12"/>
    <s v="DELEGATE AGENCY"/>
    <s v="UNKNOWN"/>
    <x v="1"/>
  </r>
  <r>
    <n v="254923"/>
    <n v="669513"/>
    <x v="2"/>
    <x v="193"/>
    <x v="12"/>
    <s v="DELEGATE AGENCY"/>
    <s v="UNKNOWN"/>
    <x v="1"/>
  </r>
  <r>
    <n v="254924"/>
    <n v="22737"/>
    <x v="2"/>
    <x v="193"/>
    <x v="12"/>
    <s v="DELEGATE AGENCY"/>
    <s v="UNKNOWN"/>
    <x v="1"/>
  </r>
  <r>
    <n v="254925"/>
    <n v="35023"/>
    <x v="4"/>
    <x v="127"/>
    <x v="12"/>
    <s v="DELEGATE AGENCY"/>
    <s v="UNKNOWN"/>
    <x v="1"/>
  </r>
  <r>
    <n v="254932"/>
    <n v="200000"/>
    <x v="4"/>
    <x v="1701"/>
    <x v="20"/>
    <s v="COMPTROLLER-OTHER"/>
    <s v="UNKNOWN"/>
    <x v="1"/>
  </r>
  <r>
    <n v="254933"/>
    <n v="200000"/>
    <x v="1"/>
    <x v="723"/>
    <x v="20"/>
    <s v="COMPTROLLER-OTHER"/>
    <s v="UNKNOWN"/>
    <x v="1"/>
  </r>
  <r>
    <n v="254934"/>
    <n v="9537766.6999999993"/>
    <x v="1"/>
    <x v="1034"/>
    <x v="6"/>
    <s v="COMPTROLLER-OTHER"/>
    <s v="UNKNOWN"/>
    <x v="1"/>
  </r>
  <r>
    <n v="254945"/>
    <n v="50000"/>
    <x v="0"/>
    <x v="1387"/>
    <x v="20"/>
    <s v="COMPTROLLER-OTHER"/>
    <s v="UNKNOWN"/>
    <x v="1"/>
  </r>
  <r>
    <n v="254965"/>
    <n v="4825335"/>
    <x v="1"/>
    <x v="1743"/>
    <x v="6"/>
    <s v="CONSTRUCTION-AVIATION"/>
    <s v="BID"/>
    <x v="1"/>
  </r>
  <r>
    <n v="254991"/>
    <n v="284378"/>
    <x v="0"/>
    <x v="1194"/>
    <x v="12"/>
    <s v="DELEGATE AGENCY"/>
    <s v="UNKNOWN"/>
    <x v="1"/>
  </r>
  <r>
    <n v="254992"/>
    <n v="169435"/>
    <x v="2"/>
    <x v="1194"/>
    <x v="12"/>
    <s v="DELEGATE AGENCY"/>
    <s v="UNKNOWN"/>
    <x v="1"/>
  </r>
  <r>
    <n v="255010"/>
    <n v="1089000"/>
    <x v="1"/>
    <x v="485"/>
    <x v="16"/>
    <s v="DELEGATE AGENCY"/>
    <s v="UNKNOWN"/>
    <x v="1"/>
  </r>
  <r>
    <n v="255205"/>
    <n v="50000"/>
    <x v="0"/>
    <x v="979"/>
    <x v="20"/>
    <s v="COMPTROLLER-OTHER"/>
    <s v="UNKNOWN"/>
    <x v="1"/>
  </r>
  <r>
    <n v="255206"/>
    <n v="41000"/>
    <x v="1"/>
    <x v="1332"/>
    <x v="20"/>
    <s v="COMPTROLLER-OTHER"/>
    <s v="UNKNOWN"/>
    <x v="1"/>
  </r>
  <r>
    <n v="255207"/>
    <n v="45000"/>
    <x v="4"/>
    <x v="452"/>
    <x v="20"/>
    <s v="COMPTROLLER-OTHER"/>
    <s v="UNKNOWN"/>
    <x v="1"/>
  </r>
  <r>
    <n v="255263"/>
    <n v="190000"/>
    <x v="4"/>
    <x v="527"/>
    <x v="3"/>
    <s v="COMPTROLLER-OTHER"/>
    <s v="UNKNOWN"/>
    <x v="1"/>
  </r>
  <r>
    <n v="255488"/>
    <n v="130145"/>
    <x v="1"/>
    <x v="323"/>
    <x v="12"/>
    <s v="DELEGATE AGENCY"/>
    <s v="UNKNOWN"/>
    <x v="1"/>
  </r>
  <r>
    <n v="255490"/>
    <n v="186956"/>
    <x v="1"/>
    <x v="323"/>
    <x v="12"/>
    <s v="DELEGATE AGENCY"/>
    <s v="UNKNOWN"/>
    <x v="1"/>
  </r>
  <r>
    <n v="255493"/>
    <n v="172559"/>
    <x v="1"/>
    <x v="323"/>
    <x v="12"/>
    <s v="DELEGATE AGENCY"/>
    <s v="UNKNOWN"/>
    <x v="1"/>
  </r>
  <r>
    <n v="255527"/>
    <n v="18000000"/>
    <x v="1"/>
    <x v="1744"/>
    <x v="5"/>
    <s v="ARCH/ENGINEERING"/>
    <s v="RFQ"/>
    <x v="2"/>
  </r>
  <r>
    <n v="255528"/>
    <n v="6675450.7000000002"/>
    <x v="0"/>
    <x v="232"/>
    <x v="19"/>
    <s v="DELEGATE AGENCY"/>
    <s v="UNKNOWN"/>
    <x v="1"/>
  </r>
  <r>
    <n v="255662"/>
    <n v="2865"/>
    <x v="0"/>
    <x v="1745"/>
    <x v="20"/>
    <s v="COMPTROLLER-OTHER"/>
    <s v="UNKNOWN"/>
    <x v="1"/>
  </r>
  <r>
    <n v="255663"/>
    <n v="3500"/>
    <x v="3"/>
    <x v="1746"/>
    <x v="20"/>
    <s v="COMPTROLLER-OTHER"/>
    <s v="UNKNOWN"/>
    <x v="1"/>
  </r>
  <r>
    <n v="255690"/>
    <n v="87010"/>
    <x v="3"/>
    <x v="1747"/>
    <x v="0"/>
    <s v="COMPTROLLER-OTHER"/>
    <s v="UNKNOWN"/>
    <x v="1"/>
  </r>
  <r>
    <n v="255731"/>
    <n v="8133172"/>
    <x v="1"/>
    <x v="1189"/>
    <x v="2"/>
    <s v="COMPTROLLER-OTHER"/>
    <s v="UNKNOWN"/>
    <x v="1"/>
  </r>
  <r>
    <n v="255734"/>
    <n v="29859"/>
    <x v="0"/>
    <x v="960"/>
    <x v="2"/>
    <s v="COMPTROLLER-OTHER"/>
    <s v="UNKNOWN"/>
    <x v="1"/>
  </r>
  <r>
    <n v="255736"/>
    <n v="415000"/>
    <x v="4"/>
    <x v="1748"/>
    <x v="20"/>
    <s v="COMPTROLLER-OTHER"/>
    <s v="UNKNOWN"/>
    <x v="1"/>
  </r>
  <r>
    <n v="255743"/>
    <n v="67891"/>
    <x v="2"/>
    <x v="1199"/>
    <x v="2"/>
    <s v="COMPTROLLER-OTHER"/>
    <s v="UNKNOWN"/>
    <x v="1"/>
  </r>
  <r>
    <n v="255744"/>
    <n v="1000000"/>
    <x v="1"/>
    <x v="892"/>
    <x v="2"/>
    <s v="COMPTROLLER-OTHER"/>
    <s v="UNKNOWN"/>
    <x v="1"/>
  </r>
  <r>
    <n v="255861"/>
    <n v="574649.69999999995"/>
    <x v="0"/>
    <x v="127"/>
    <x v="12"/>
    <s v="DELEGATE AGENCY"/>
    <s v="UNKNOWN"/>
    <x v="1"/>
  </r>
  <r>
    <n v="255862"/>
    <n v="563483.4"/>
    <x v="2"/>
    <x v="73"/>
    <x v="12"/>
    <s v="DELEGATE AGENCY"/>
    <s v="UNKNOWN"/>
    <x v="1"/>
  </r>
  <r>
    <n v="255866"/>
    <n v="43302.9"/>
    <x v="2"/>
    <x v="290"/>
    <x v="12"/>
    <s v="DELEGATE AGENCY"/>
    <s v="UNKNOWN"/>
    <x v="1"/>
  </r>
  <r>
    <n v="255867"/>
    <n v="2400"/>
    <x v="4"/>
    <x v="287"/>
    <x v="12"/>
    <s v="DELEGATE AGENCY"/>
    <s v="UNKNOWN"/>
    <x v="1"/>
  </r>
  <r>
    <n v="255868"/>
    <n v="11321"/>
    <x v="3"/>
    <x v="295"/>
    <x v="12"/>
    <s v="DELEGATE AGENCY"/>
    <s v="UNKNOWN"/>
    <x v="1"/>
  </r>
  <r>
    <n v="255869"/>
    <n v="9599.7000000000007"/>
    <x v="4"/>
    <x v="303"/>
    <x v="12"/>
    <s v="DELEGATE AGENCY"/>
    <s v="UNKNOWN"/>
    <x v="1"/>
  </r>
  <r>
    <n v="255873"/>
    <n v="600000"/>
    <x v="3"/>
    <x v="1749"/>
    <x v="1"/>
    <s v="DELEGATE AGENCY"/>
    <s v="UNKNOWN"/>
    <x v="1"/>
  </r>
  <r>
    <n v="255935"/>
    <n v="500000"/>
    <x v="2"/>
    <x v="374"/>
    <x v="20"/>
    <s v="COMPTROLLER-OTHER"/>
    <s v="UNKNOWN"/>
    <x v="1"/>
  </r>
  <r>
    <n v="255938"/>
    <n v="550000"/>
    <x v="2"/>
    <x v="219"/>
    <x v="2"/>
    <s v="COMPTROLLER-OTHER"/>
    <s v="UNKNOWN"/>
    <x v="1"/>
  </r>
  <r>
    <n v="255939"/>
    <n v="550000"/>
    <x v="2"/>
    <x v="376"/>
    <x v="2"/>
    <s v="COMPTROLLER-OTHER"/>
    <s v="UNKNOWN"/>
    <x v="1"/>
  </r>
  <r>
    <n v="255961"/>
    <n v="533331.4"/>
    <x v="2"/>
    <x v="376"/>
    <x v="12"/>
    <s v="DELEGATE AGENCY"/>
    <s v="UNKNOWN"/>
    <x v="1"/>
  </r>
  <r>
    <n v="255962"/>
    <n v="1107459.8"/>
    <x v="2"/>
    <x v="441"/>
    <x v="12"/>
    <s v="DELEGATE AGENCY"/>
    <s v="UNKNOWN"/>
    <x v="1"/>
  </r>
  <r>
    <n v="255963"/>
    <n v="641802"/>
    <x v="0"/>
    <x v="201"/>
    <x v="12"/>
    <s v="DELEGATE AGENCY"/>
    <s v="UNKNOWN"/>
    <x v="1"/>
  </r>
  <r>
    <n v="255964"/>
    <n v="472431.3"/>
    <x v="2"/>
    <x v="1065"/>
    <x v="12"/>
    <s v="DELEGATE AGENCY"/>
    <s v="UNKNOWN"/>
    <x v="1"/>
  </r>
  <r>
    <n v="255965"/>
    <n v="515623.3"/>
    <x v="2"/>
    <x v="169"/>
    <x v="12"/>
    <s v="DELEGATE AGENCY"/>
    <s v="UNKNOWN"/>
    <x v="1"/>
  </r>
  <r>
    <n v="255966"/>
    <n v="622016.69999999995"/>
    <x v="2"/>
    <x v="607"/>
    <x v="12"/>
    <s v="DELEGATE AGENCY"/>
    <s v="UNKNOWN"/>
    <x v="1"/>
  </r>
  <r>
    <n v="255967"/>
    <n v="1133711.1000000001"/>
    <x v="2"/>
    <x v="82"/>
    <x v="12"/>
    <s v="DELEGATE AGENCY"/>
    <s v="UNKNOWN"/>
    <x v="1"/>
  </r>
  <r>
    <n v="255968"/>
    <n v="632970"/>
    <x v="0"/>
    <x v="114"/>
    <x v="12"/>
    <s v="DELEGATE AGENCY"/>
    <s v="UNKNOWN"/>
    <x v="1"/>
  </r>
  <r>
    <n v="255979"/>
    <n v="1012766"/>
    <x v="2"/>
    <x v="25"/>
    <x v="8"/>
    <s v="DELEGATE AGENCY"/>
    <s v="RFP"/>
    <x v="1"/>
  </r>
  <r>
    <n v="255982"/>
    <n v="600000"/>
    <x v="0"/>
    <x v="1750"/>
    <x v="1"/>
    <s v="DELEGATE AGENCY"/>
    <s v="UNKNOWN"/>
    <x v="1"/>
  </r>
  <r>
    <n v="256002"/>
    <n v="250000"/>
    <x v="2"/>
    <x v="1751"/>
    <x v="2"/>
    <s v="COMPTROLLER-OTHER"/>
    <s v="UNKNOWN"/>
    <x v="1"/>
  </r>
  <r>
    <n v="256003"/>
    <n v="250000"/>
    <x v="2"/>
    <x v="1752"/>
    <x v="2"/>
    <s v="COMPTROLLER-OTHER"/>
    <s v="UNKNOWN"/>
    <x v="1"/>
  </r>
  <r>
    <n v="256005"/>
    <n v="250000"/>
    <x v="2"/>
    <x v="1753"/>
    <x v="2"/>
    <s v="COMPTROLLER-OTHER"/>
    <s v="UNKNOWN"/>
    <x v="1"/>
  </r>
  <r>
    <n v="256006"/>
    <n v="243860.2"/>
    <x v="2"/>
    <x v="1754"/>
    <x v="2"/>
    <s v="COMPTROLLER-OTHER"/>
    <s v="UNKNOWN"/>
    <x v="1"/>
  </r>
  <r>
    <n v="256007"/>
    <n v="2413155"/>
    <x v="1"/>
    <x v="1755"/>
    <x v="2"/>
    <s v="COMPTROLLER-OTHER"/>
    <s v="UNKNOWN"/>
    <x v="1"/>
  </r>
  <r>
    <n v="256018"/>
    <n v="250000"/>
    <x v="0"/>
    <x v="1756"/>
    <x v="2"/>
    <s v="COMPTROLLER-OTHER"/>
    <s v="UNKNOWN"/>
    <x v="1"/>
  </r>
  <r>
    <n v="256020"/>
    <n v="602243.9"/>
    <x v="2"/>
    <x v="65"/>
    <x v="12"/>
    <s v="DELEGATE AGENCY"/>
    <s v="UNKNOWN"/>
    <x v="1"/>
  </r>
  <r>
    <n v="256021"/>
    <n v="2297142"/>
    <x v="2"/>
    <x v="70"/>
    <x v="12"/>
    <s v="DELEGATE AGENCY"/>
    <s v="UNKNOWN"/>
    <x v="1"/>
  </r>
  <r>
    <n v="256022"/>
    <n v="3341125.4"/>
    <x v="0"/>
    <x v="65"/>
    <x v="12"/>
    <s v="DELEGATE AGENCY"/>
    <s v="UNKNOWN"/>
    <x v="1"/>
  </r>
  <r>
    <n v="256024"/>
    <n v="4506366.5"/>
    <x v="0"/>
    <x v="65"/>
    <x v="12"/>
    <s v="DELEGATE AGENCY"/>
    <s v="UNKNOWN"/>
    <x v="1"/>
  </r>
  <r>
    <n v="256025"/>
    <n v="93963.6"/>
    <x v="0"/>
    <x v="70"/>
    <x v="12"/>
    <s v="DELEGATE AGENCY"/>
    <s v="UNKNOWN"/>
    <x v="1"/>
  </r>
  <r>
    <n v="256026"/>
    <n v="3478708"/>
    <x v="1"/>
    <x v="70"/>
    <x v="12"/>
    <s v="DELEGATE AGENCY"/>
    <s v="UNKNOWN"/>
    <x v="1"/>
  </r>
  <r>
    <n v="256027"/>
    <n v="803845"/>
    <x v="0"/>
    <x v="76"/>
    <x v="12"/>
    <s v="DELEGATE AGENCY"/>
    <s v="UNKNOWN"/>
    <x v="1"/>
  </r>
  <r>
    <n v="256028"/>
    <n v="553018"/>
    <x v="2"/>
    <x v="78"/>
    <x v="12"/>
    <s v="DELEGATE AGENCY"/>
    <s v="UNKNOWN"/>
    <x v="1"/>
  </r>
  <r>
    <n v="256029"/>
    <n v="1352472.5"/>
    <x v="2"/>
    <x v="77"/>
    <x v="12"/>
    <s v="DELEGATE AGENCY"/>
    <s v="UNKNOWN"/>
    <x v="1"/>
  </r>
  <r>
    <n v="256030"/>
    <n v="930465.2"/>
    <x v="0"/>
    <x v="74"/>
    <x v="12"/>
    <s v="DELEGATE AGENCY"/>
    <s v="UNKNOWN"/>
    <x v="1"/>
  </r>
  <r>
    <n v="256031"/>
    <n v="1794977.9"/>
    <x v="2"/>
    <x v="74"/>
    <x v="12"/>
    <s v="DELEGATE AGENCY"/>
    <s v="UNKNOWN"/>
    <x v="1"/>
  </r>
  <r>
    <n v="256032"/>
    <n v="704002.9"/>
    <x v="0"/>
    <x v="59"/>
    <x v="12"/>
    <s v="DELEGATE AGENCY"/>
    <s v="UNKNOWN"/>
    <x v="1"/>
  </r>
  <r>
    <n v="256033"/>
    <n v="746353.3"/>
    <x v="2"/>
    <x v="58"/>
    <x v="12"/>
    <s v="DELEGATE AGENCY"/>
    <s v="UNKNOWN"/>
    <x v="1"/>
  </r>
  <r>
    <n v="256034"/>
    <n v="1038443.4"/>
    <x v="2"/>
    <x v="75"/>
    <x v="12"/>
    <s v="DELEGATE AGENCY"/>
    <s v="UNKNOWN"/>
    <x v="1"/>
  </r>
  <r>
    <n v="256035"/>
    <n v="301862.8"/>
    <x v="0"/>
    <x v="59"/>
    <x v="12"/>
    <s v="DELEGATE AGENCY"/>
    <s v="UNKNOWN"/>
    <x v="1"/>
  </r>
  <r>
    <n v="256036"/>
    <n v="419274.1"/>
    <x v="2"/>
    <x v="74"/>
    <x v="12"/>
    <s v="DELEGATE AGENCY"/>
    <s v="UNKNOWN"/>
    <x v="1"/>
  </r>
  <r>
    <n v="256037"/>
    <n v="262589.09999999998"/>
    <x v="2"/>
    <x v="71"/>
    <x v="12"/>
    <s v="DELEGATE AGENCY"/>
    <s v="UNKNOWN"/>
    <x v="1"/>
  </r>
  <r>
    <n v="256038"/>
    <n v="992613"/>
    <x v="2"/>
    <x v="58"/>
    <x v="12"/>
    <s v="DELEGATE AGENCY"/>
    <s v="UNKNOWN"/>
    <x v="1"/>
  </r>
  <r>
    <n v="256039"/>
    <n v="1034892.5"/>
    <x v="2"/>
    <x v="57"/>
    <x v="12"/>
    <s v="DELEGATE AGENCY"/>
    <s v="UNKNOWN"/>
    <x v="1"/>
  </r>
  <r>
    <n v="256040"/>
    <n v="4825335"/>
    <x v="0"/>
    <x v="1743"/>
    <x v="6"/>
    <s v="CONSTRUCTION-AVIATION"/>
    <s v="BID"/>
    <x v="1"/>
  </r>
  <r>
    <n v="256151"/>
    <n v="15000"/>
    <x v="0"/>
    <x v="76"/>
    <x v="12"/>
    <s v="DELEGATE AGENCY"/>
    <s v="UNKNOWN"/>
    <x v="1"/>
  </r>
  <r>
    <n v="256152"/>
    <n v="83512.800000000003"/>
    <x v="4"/>
    <x v="76"/>
    <x v="12"/>
    <s v="DELEGATE AGENCY"/>
    <s v="UNKNOWN"/>
    <x v="1"/>
  </r>
  <r>
    <n v="256153"/>
    <n v="10800"/>
    <x v="1"/>
    <x v="189"/>
    <x v="12"/>
    <s v="DELEGATE AGENCY"/>
    <s v="UNKNOWN"/>
    <x v="1"/>
  </r>
  <r>
    <n v="256155"/>
    <n v="10000"/>
    <x v="4"/>
    <x v="76"/>
    <x v="12"/>
    <s v="DELEGATE AGENCY"/>
    <s v="UNKNOWN"/>
    <x v="1"/>
  </r>
  <r>
    <n v="256156"/>
    <n v="20000"/>
    <x v="4"/>
    <x v="76"/>
    <x v="12"/>
    <s v="DELEGATE AGENCY"/>
    <s v="UNKNOWN"/>
    <x v="1"/>
  </r>
  <r>
    <n v="256157"/>
    <n v="10530"/>
    <x v="4"/>
    <x v="189"/>
    <x v="12"/>
    <s v="DELEGATE AGENCY"/>
    <s v="UNKNOWN"/>
    <x v="1"/>
  </r>
  <r>
    <n v="256158"/>
    <n v="10842.8"/>
    <x v="4"/>
    <x v="189"/>
    <x v="12"/>
    <s v="DELEGATE AGENCY"/>
    <s v="UNKNOWN"/>
    <x v="1"/>
  </r>
  <r>
    <n v="256159"/>
    <n v="89678.6"/>
    <x v="4"/>
    <x v="189"/>
    <x v="12"/>
    <s v="DELEGATE AGENCY"/>
    <s v="UNKNOWN"/>
    <x v="1"/>
  </r>
  <r>
    <n v="256160"/>
    <n v="20000"/>
    <x v="1"/>
    <x v="76"/>
    <x v="12"/>
    <s v="DELEGATE AGENCY"/>
    <s v="UNKNOWN"/>
    <x v="1"/>
  </r>
  <r>
    <n v="256161"/>
    <n v="37203.1"/>
    <x v="4"/>
    <x v="76"/>
    <x v="12"/>
    <s v="DELEGATE AGENCY"/>
    <s v="UNKNOWN"/>
    <x v="1"/>
  </r>
  <r>
    <n v="256162"/>
    <n v="15000"/>
    <x v="4"/>
    <x v="76"/>
    <x v="12"/>
    <s v="DELEGATE AGENCY"/>
    <s v="UNKNOWN"/>
    <x v="1"/>
  </r>
  <r>
    <n v="256163"/>
    <n v="10000"/>
    <x v="4"/>
    <x v="76"/>
    <x v="12"/>
    <s v="DELEGATE AGENCY"/>
    <s v="UNKNOWN"/>
    <x v="1"/>
  </r>
  <r>
    <n v="256164"/>
    <n v="560208"/>
    <x v="4"/>
    <x v="603"/>
    <x v="12"/>
    <s v="DELEGATE AGENCY"/>
    <s v="UNKNOWN"/>
    <x v="1"/>
  </r>
  <r>
    <n v="256165"/>
    <n v="37920"/>
    <x v="2"/>
    <x v="603"/>
    <x v="12"/>
    <s v="DELEGATE AGENCY"/>
    <s v="UNKNOWN"/>
    <x v="1"/>
  </r>
  <r>
    <n v="256166"/>
    <n v="3960"/>
    <x v="4"/>
    <x v="301"/>
    <x v="12"/>
    <s v="DELEGATE AGENCY"/>
    <s v="UNKNOWN"/>
    <x v="1"/>
  </r>
  <r>
    <n v="256167"/>
    <n v="10580"/>
    <x v="3"/>
    <x v="76"/>
    <x v="12"/>
    <s v="DELEGATE AGENCY"/>
    <s v="UNKNOWN"/>
    <x v="1"/>
  </r>
  <r>
    <n v="256170"/>
    <n v="2148.8000000000002"/>
    <x v="4"/>
    <x v="59"/>
    <x v="12"/>
    <s v="DELEGATE AGENCY"/>
    <s v="UNKNOWN"/>
    <x v="1"/>
  </r>
  <r>
    <n v="256246"/>
    <n v="199991.1"/>
    <x v="3"/>
    <x v="220"/>
    <x v="19"/>
    <s v="DELEGATE AGENCY"/>
    <s v="UNKNOWN"/>
    <x v="1"/>
  </r>
  <r>
    <n v="256297"/>
    <n v="436198"/>
    <x v="1"/>
    <x v="1374"/>
    <x v="12"/>
    <s v="DELEGATE AGENCY"/>
    <s v="UNKNOWN"/>
    <x v="1"/>
  </r>
  <r>
    <n v="256315"/>
    <n v="7885"/>
    <x v="2"/>
    <x v="1006"/>
    <x v="28"/>
    <s v="COMPTROLLER-OTHER"/>
    <s v="UNKNOWN"/>
    <x v="1"/>
  </r>
  <r>
    <n v="256316"/>
    <n v="8381"/>
    <x v="3"/>
    <x v="1006"/>
    <x v="28"/>
    <s v="COMPTROLLER-OTHER"/>
    <s v="UNKNOWN"/>
    <x v="1"/>
  </r>
  <r>
    <n v="256317"/>
    <n v="11760"/>
    <x v="3"/>
    <x v="1006"/>
    <x v="28"/>
    <s v="COMPTROLLER-OTHER"/>
    <s v="UNKNOWN"/>
    <x v="1"/>
  </r>
  <r>
    <n v="256319"/>
    <n v="30592400"/>
    <x v="4"/>
    <x v="1757"/>
    <x v="3"/>
    <s v="WORK SERVICES / FACILITIES MAINT."/>
    <s v="JOINT PURCHASE"/>
    <x v="1"/>
  </r>
  <r>
    <n v="256348"/>
    <n v="19818887"/>
    <x v="0"/>
    <x v="1739"/>
    <x v="12"/>
    <s v="DELEGATE AGENCY"/>
    <s v="UNKNOWN"/>
    <x v="1"/>
  </r>
  <r>
    <n v="256349"/>
    <n v="14074264.6"/>
    <x v="0"/>
    <x v="1740"/>
    <x v="12"/>
    <s v="DELEGATE AGENCY"/>
    <s v="UNKNOWN"/>
    <x v="1"/>
  </r>
  <r>
    <n v="256355"/>
    <n v="480000"/>
    <x v="0"/>
    <x v="44"/>
    <x v="8"/>
    <s v="DELEGATE AGENCY"/>
    <s v="RFP"/>
    <x v="1"/>
  </r>
  <r>
    <n v="256356"/>
    <n v="480000"/>
    <x v="2"/>
    <x v="190"/>
    <x v="8"/>
    <s v="DELEGATE AGENCY"/>
    <s v="RFP"/>
    <x v="1"/>
  </r>
  <r>
    <n v="256357"/>
    <n v="700000"/>
    <x v="2"/>
    <x v="191"/>
    <x v="8"/>
    <s v="DELEGATE AGENCY"/>
    <s v="RFP"/>
    <x v="1"/>
  </r>
  <r>
    <n v="256358"/>
    <n v="118732"/>
    <x v="2"/>
    <x v="1496"/>
    <x v="21"/>
    <s v="DELEGATE AGENCY"/>
    <s v="UNKNOWN"/>
    <x v="1"/>
  </r>
  <r>
    <n v="256367"/>
    <n v="9367750"/>
    <x v="1"/>
    <x v="76"/>
    <x v="12"/>
    <s v="DELEGATE AGENCY"/>
    <s v="UNKNOWN"/>
    <x v="1"/>
  </r>
  <r>
    <n v="256628"/>
    <n v="304252.59999999998"/>
    <x v="0"/>
    <x v="26"/>
    <x v="8"/>
    <s v="DELEGATE AGENCY"/>
    <s v="UNKNOWN"/>
    <x v="1"/>
  </r>
  <r>
    <n v="256629"/>
    <n v="480000"/>
    <x v="2"/>
    <x v="363"/>
    <x v="8"/>
    <s v="DELEGATE AGENCY"/>
    <s v="UNKNOWN"/>
    <x v="1"/>
  </r>
  <r>
    <n v="256630"/>
    <n v="150000"/>
    <x v="2"/>
    <x v="169"/>
    <x v="8"/>
    <s v="DELEGATE AGENCY"/>
    <s v="UNKNOWN"/>
    <x v="1"/>
  </r>
  <r>
    <n v="256631"/>
    <n v="150000"/>
    <x v="1"/>
    <x v="201"/>
    <x v="8"/>
    <s v="DELEGATE AGENCY"/>
    <s v="UNKNOWN"/>
    <x v="1"/>
  </r>
  <r>
    <n v="256632"/>
    <n v="196591.4"/>
    <x v="1"/>
    <x v="114"/>
    <x v="8"/>
    <s v="DELEGATE AGENCY"/>
    <s v="UNKNOWN"/>
    <x v="1"/>
  </r>
  <r>
    <n v="256641"/>
    <n v="472261.4"/>
    <x v="1"/>
    <x v="281"/>
    <x v="8"/>
    <s v="DELEGATE AGENCY"/>
    <s v="UNKNOWN"/>
    <x v="1"/>
  </r>
  <r>
    <n v="256642"/>
    <n v="339550.1"/>
    <x v="2"/>
    <x v="281"/>
    <x v="8"/>
    <s v="DELEGATE AGENCY"/>
    <s v="UNKNOWN"/>
    <x v="1"/>
  </r>
  <r>
    <n v="256643"/>
    <n v="19549.8"/>
    <x v="2"/>
    <x v="41"/>
    <x v="8"/>
    <s v="DELEGATE AGENCY"/>
    <s v="UNKNOWN"/>
    <x v="1"/>
  </r>
  <r>
    <n v="256644"/>
    <n v="33112.400000000001"/>
    <x v="4"/>
    <x v="596"/>
    <x v="8"/>
    <s v="DELEGATE AGENCY"/>
    <s v="UNKNOWN"/>
    <x v="1"/>
  </r>
  <r>
    <n v="256645"/>
    <n v="231662.2"/>
    <x v="4"/>
    <x v="502"/>
    <x v="8"/>
    <s v="DELEGATE AGENCY"/>
    <s v="UNKNOWN"/>
    <x v="1"/>
  </r>
  <r>
    <n v="256646"/>
    <n v="186260.2"/>
    <x v="1"/>
    <x v="298"/>
    <x v="8"/>
    <s v="DELEGATE AGENCY"/>
    <s v="UNKNOWN"/>
    <x v="1"/>
  </r>
  <r>
    <n v="256647"/>
    <n v="238488.8"/>
    <x v="1"/>
    <x v="496"/>
    <x v="8"/>
    <s v="DELEGATE AGENCY"/>
    <s v="UNKNOWN"/>
    <x v="1"/>
  </r>
  <r>
    <n v="256650"/>
    <n v="350000"/>
    <x v="1"/>
    <x v="188"/>
    <x v="8"/>
    <s v="DELEGATE AGENCY"/>
    <s v="UNKNOWN"/>
    <x v="1"/>
  </r>
  <r>
    <n v="256651"/>
    <n v="480000"/>
    <x v="2"/>
    <x v="41"/>
    <x v="8"/>
    <s v="DELEGATE AGENCY"/>
    <s v="UNKNOWN"/>
    <x v="1"/>
  </r>
  <r>
    <n v="256652"/>
    <n v="700000"/>
    <x v="2"/>
    <x v="280"/>
    <x v="8"/>
    <s v="DELEGATE AGENCY"/>
    <s v="UNKNOWN"/>
    <x v="1"/>
  </r>
  <r>
    <n v="256653"/>
    <n v="240000"/>
    <x v="2"/>
    <x v="212"/>
    <x v="8"/>
    <s v="DELEGATE AGENCY"/>
    <s v="UNKNOWN"/>
    <x v="1"/>
  </r>
  <r>
    <n v="256709"/>
    <n v="25000"/>
    <x v="1"/>
    <x v="145"/>
    <x v="16"/>
    <s v="COMPTROLLER-OTHER"/>
    <s v="NON-DPS"/>
    <x v="1"/>
  </r>
  <r>
    <n v="256711"/>
    <n v="35000"/>
    <x v="4"/>
    <x v="145"/>
    <x v="16"/>
    <s v="COMPTROLLER-OTHER"/>
    <s v="UNKNOWN"/>
    <x v="1"/>
  </r>
  <r>
    <n v="256712"/>
    <n v="25000"/>
    <x v="4"/>
    <x v="145"/>
    <x v="16"/>
    <s v="COMPTROLLER-OTHER"/>
    <s v="UNKNOWN"/>
    <x v="1"/>
  </r>
  <r>
    <n v="256713"/>
    <n v="40421"/>
    <x v="4"/>
    <x v="228"/>
    <x v="12"/>
    <s v="DELEGATE AGENCY"/>
    <s v="UNKNOWN"/>
    <x v="1"/>
  </r>
  <r>
    <n v="256719"/>
    <n v="1284300"/>
    <x v="4"/>
    <x v="1758"/>
    <x v="2"/>
    <s v="COMPTROLLER-OTHER"/>
    <s v="UNKNOWN"/>
    <x v="1"/>
  </r>
  <r>
    <n v="256747"/>
    <n v="1825836"/>
    <x v="0"/>
    <x v="198"/>
    <x v="12"/>
    <s v="DELEGATE AGENCY"/>
    <s v="UNKNOWN"/>
    <x v="1"/>
  </r>
  <r>
    <n v="256749"/>
    <n v="118710"/>
    <x v="0"/>
    <x v="198"/>
    <x v="12"/>
    <s v="DELEGATE AGENCY"/>
    <s v="UNKNOWN"/>
    <x v="1"/>
  </r>
  <r>
    <n v="256751"/>
    <n v="665454"/>
    <x v="1"/>
    <x v="198"/>
    <x v="12"/>
    <s v="DELEGATE AGENCY"/>
    <s v="UNKNOWN"/>
    <x v="1"/>
  </r>
  <r>
    <n v="256754"/>
    <n v="272291.59999999998"/>
    <x v="2"/>
    <x v="140"/>
    <x v="8"/>
    <s v="DELEGATE AGENCY"/>
    <s v="UNKNOWN"/>
    <x v="1"/>
  </r>
  <r>
    <n v="256755"/>
    <n v="685440.5"/>
    <x v="2"/>
    <x v="28"/>
    <x v="8"/>
    <s v="DELEGATE AGENCY"/>
    <s v="UNKNOWN"/>
    <x v="1"/>
  </r>
  <r>
    <n v="256793"/>
    <n v="932435"/>
    <x v="2"/>
    <x v="1759"/>
    <x v="25"/>
    <s v="COMPTROLLER-OTHER"/>
    <s v="UNKNOWN"/>
    <x v="1"/>
  </r>
  <r>
    <n v="256810"/>
    <n v="25000"/>
    <x v="2"/>
    <x v="145"/>
    <x v="16"/>
    <s v="COMPTROLLER-OTHER"/>
    <s v="UNKNOWN"/>
    <x v="1"/>
  </r>
  <r>
    <n v="256828"/>
    <n v="90000"/>
    <x v="4"/>
    <x v="839"/>
    <x v="20"/>
    <s v="COMPTROLLER-OTHER"/>
    <s v="UNKNOWN"/>
    <x v="1"/>
  </r>
  <r>
    <n v="256839"/>
    <n v="3250000"/>
    <x v="1"/>
    <x v="1760"/>
    <x v="2"/>
    <s v="COMPTROLLER-OTHER"/>
    <s v="UNKNOWN"/>
    <x v="1"/>
  </r>
  <r>
    <n v="256849"/>
    <n v="20000"/>
    <x v="0"/>
    <x v="145"/>
    <x v="16"/>
    <s v="COMPTROLLER-OTHER"/>
    <s v="UNKNOWN"/>
    <x v="1"/>
  </r>
  <r>
    <n v="256896"/>
    <n v="902687.8"/>
    <x v="4"/>
    <x v="189"/>
    <x v="8"/>
    <s v="DELEGATE AGENCY"/>
    <s v="UNKNOWN"/>
    <x v="1"/>
  </r>
  <r>
    <n v="256912"/>
    <n v="20401.7"/>
    <x v="2"/>
    <x v="404"/>
    <x v="8"/>
    <s v="DELEGATE AGENCY"/>
    <s v="UNKNOWN"/>
    <x v="1"/>
  </r>
  <r>
    <n v="256915"/>
    <n v="10896441.300000001"/>
    <x v="4"/>
    <x v="226"/>
    <x v="0"/>
    <s v="CONSTRUCTION-LARGE $3MILLIONorABOVE"/>
    <s v="BID"/>
    <x v="1"/>
  </r>
  <r>
    <n v="257140"/>
    <n v="92300"/>
    <x v="0"/>
    <x v="44"/>
    <x v="8"/>
    <s v="DELEGATE AGENCY"/>
    <s v="UNKNOWN"/>
    <x v="1"/>
  </r>
  <r>
    <n v="257141"/>
    <n v="50822"/>
    <x v="1"/>
    <x v="47"/>
    <x v="8"/>
    <s v="DELEGATE AGENCY"/>
    <s v="UNKNOWN"/>
    <x v="1"/>
  </r>
  <r>
    <n v="257321"/>
    <n v="1985495"/>
    <x v="1"/>
    <x v="504"/>
    <x v="8"/>
    <s v="DELEGATE AGENCY"/>
    <s v="RFP"/>
    <x v="1"/>
  </r>
  <r>
    <n v="257346"/>
    <n v="42000"/>
    <x v="0"/>
    <x v="809"/>
    <x v="12"/>
    <s v="DELEGATE AGENCY"/>
    <s v="UNKNOWN"/>
    <x v="1"/>
  </r>
  <r>
    <n v="257349"/>
    <n v="9175.9"/>
    <x v="4"/>
    <x v="298"/>
    <x v="12"/>
    <s v="DELEGATE AGENCY"/>
    <s v="UNKNOWN"/>
    <x v="1"/>
  </r>
  <r>
    <n v="257350"/>
    <n v="5999.6"/>
    <x v="3"/>
    <x v="310"/>
    <x v="12"/>
    <s v="DELEGATE AGENCY"/>
    <s v="UNKNOWN"/>
    <x v="1"/>
  </r>
  <r>
    <n v="257351"/>
    <n v="3000"/>
    <x v="3"/>
    <x v="311"/>
    <x v="12"/>
    <s v="DELEGATE AGENCY"/>
    <s v="UNKNOWN"/>
    <x v="1"/>
  </r>
  <r>
    <n v="257352"/>
    <n v="8640"/>
    <x v="3"/>
    <x v="304"/>
    <x v="12"/>
    <s v="DELEGATE AGENCY"/>
    <s v="UNKNOWN"/>
    <x v="1"/>
  </r>
  <r>
    <n v="257353"/>
    <n v="3840"/>
    <x v="3"/>
    <x v="211"/>
    <x v="12"/>
    <s v="DELEGATE AGENCY"/>
    <s v="UNKNOWN"/>
    <x v="1"/>
  </r>
  <r>
    <n v="257354"/>
    <n v="3780"/>
    <x v="3"/>
    <x v="312"/>
    <x v="12"/>
    <s v="DELEGATE AGENCY"/>
    <s v="UNKNOWN"/>
    <x v="1"/>
  </r>
  <r>
    <n v="257355"/>
    <n v="12375"/>
    <x v="3"/>
    <x v="307"/>
    <x v="12"/>
    <s v="DELEGATE AGENCY"/>
    <s v="UNKNOWN"/>
    <x v="1"/>
  </r>
  <r>
    <n v="257400"/>
    <n v="502863.6"/>
    <x v="4"/>
    <x v="59"/>
    <x v="12"/>
    <s v="DELEGATE AGENCY"/>
    <s v="UNKNOWN"/>
    <x v="1"/>
  </r>
  <r>
    <n v="257401"/>
    <n v="1124694.7"/>
    <x v="2"/>
    <x v="57"/>
    <x v="12"/>
    <s v="DELEGATE AGENCY"/>
    <s v="UNKNOWN"/>
    <x v="1"/>
  </r>
  <r>
    <n v="257402"/>
    <n v="1724895.8"/>
    <x v="0"/>
    <x v="62"/>
    <x v="12"/>
    <s v="DELEGATE AGENCY"/>
    <s v="UNKNOWN"/>
    <x v="1"/>
  </r>
  <r>
    <n v="257403"/>
    <n v="271150.90000000002"/>
    <x v="0"/>
    <x v="68"/>
    <x v="12"/>
    <s v="DELEGATE AGENCY"/>
    <s v="UNKNOWN"/>
    <x v="1"/>
  </r>
  <r>
    <n v="257404"/>
    <n v="119965"/>
    <x v="2"/>
    <x v="342"/>
    <x v="12"/>
    <s v="DELEGATE AGENCY"/>
    <s v="UNKNOWN"/>
    <x v="1"/>
  </r>
  <r>
    <n v="257405"/>
    <n v="52800"/>
    <x v="1"/>
    <x v="340"/>
    <x v="12"/>
    <s v="DELEGATE AGENCY"/>
    <s v="UNKNOWN"/>
    <x v="1"/>
  </r>
  <r>
    <n v="257406"/>
    <n v="52800"/>
    <x v="1"/>
    <x v="201"/>
    <x v="12"/>
    <s v="DELEGATE AGENCY"/>
    <s v="UNKNOWN"/>
    <x v="1"/>
  </r>
  <r>
    <n v="257407"/>
    <n v="52800"/>
    <x v="1"/>
    <x v="59"/>
    <x v="12"/>
    <s v="DELEGATE AGENCY"/>
    <s v="UNKNOWN"/>
    <x v="1"/>
  </r>
  <r>
    <n v="257410"/>
    <n v="118710.2"/>
    <x v="1"/>
    <x v="306"/>
    <x v="12"/>
    <s v="DELEGATE AGENCY"/>
    <s v="UNKNOWN"/>
    <x v="1"/>
  </r>
  <r>
    <n v="257411"/>
    <n v="33840"/>
    <x v="1"/>
    <x v="86"/>
    <x v="12"/>
    <s v="DELEGATE AGENCY"/>
    <s v="UNKNOWN"/>
    <x v="1"/>
  </r>
  <r>
    <n v="257418"/>
    <n v="1000"/>
    <x v="4"/>
    <x v="1761"/>
    <x v="20"/>
    <s v="COMPTROLLER-OTHER"/>
    <s v="UNKNOWN"/>
    <x v="1"/>
  </r>
  <r>
    <n v="257429"/>
    <n v="1000"/>
    <x v="3"/>
    <x v="1762"/>
    <x v="20"/>
    <s v="COMPTROLLER-OTHER"/>
    <s v="UNKNOWN"/>
    <x v="1"/>
  </r>
  <r>
    <n v="25743"/>
    <n v="227219813.19999999"/>
    <x v="3"/>
    <x v="1763"/>
    <x v="6"/>
    <s v="PRO SERV CONSULTING $250,000orABOVE"/>
    <s v="RFQ"/>
    <x v="0"/>
  </r>
  <r>
    <n v="257435"/>
    <n v="1000"/>
    <x v="0"/>
    <x v="1764"/>
    <x v="20"/>
    <s v="COMPTROLLER-OTHER"/>
    <s v="UNKNOWN"/>
    <x v="1"/>
  </r>
  <r>
    <n v="257440"/>
    <n v="1984762"/>
    <x v="3"/>
    <x v="1166"/>
    <x v="12"/>
    <s v="DELEGATE AGENCY"/>
    <s v="UNKNOWN"/>
    <x v="1"/>
  </r>
  <r>
    <n v="257444"/>
    <n v="172588"/>
    <x v="0"/>
    <x v="1166"/>
    <x v="12"/>
    <s v="DELEGATE AGENCY"/>
    <s v="UNKNOWN"/>
    <x v="1"/>
  </r>
  <r>
    <n v="257550"/>
    <n v="1000"/>
    <x v="1"/>
    <x v="552"/>
    <x v="20"/>
    <s v="COMPTROLLER-OTHER"/>
    <s v="UNKNOWN"/>
    <x v="1"/>
  </r>
  <r>
    <n v="257612"/>
    <n v="1000"/>
    <x v="3"/>
    <x v="1765"/>
    <x v="20"/>
    <s v="COMPTROLLER-OTHER"/>
    <s v="UNKNOWN"/>
    <x v="1"/>
  </r>
  <r>
    <n v="257615"/>
    <n v="215000"/>
    <x v="3"/>
    <x v="1425"/>
    <x v="20"/>
    <s v="COMPTROLLER-OTHER"/>
    <s v="UNKNOWN"/>
    <x v="1"/>
  </r>
  <r>
    <n v="257672"/>
    <n v="162225.70000000001"/>
    <x v="1"/>
    <x v="279"/>
    <x v="8"/>
    <s v="DELEGATE AGENCY"/>
    <s v="UNKNOWN"/>
    <x v="1"/>
  </r>
  <r>
    <n v="257673"/>
    <n v="135957.5"/>
    <x v="1"/>
    <x v="169"/>
    <x v="8"/>
    <s v="DELEGATE AGENCY"/>
    <s v="UNKNOWN"/>
    <x v="1"/>
  </r>
  <r>
    <n v="257674"/>
    <n v="150000"/>
    <x v="1"/>
    <x v="201"/>
    <x v="8"/>
    <s v="DELEGATE AGENCY"/>
    <s v="UNKNOWN"/>
    <x v="1"/>
  </r>
  <r>
    <n v="257675"/>
    <n v="476022"/>
    <x v="1"/>
    <x v="476"/>
    <x v="8"/>
    <s v="DELEGATE AGENCY"/>
    <s v="UNKNOWN"/>
    <x v="1"/>
  </r>
  <r>
    <n v="257676"/>
    <n v="497724.9"/>
    <x v="2"/>
    <x v="1466"/>
    <x v="8"/>
    <s v="DELEGATE AGENCY"/>
    <s v="UNKNOWN"/>
    <x v="1"/>
  </r>
  <r>
    <n v="257709"/>
    <n v="490720.5"/>
    <x v="2"/>
    <x v="261"/>
    <x v="8"/>
    <s v="DELEGATE AGENCY"/>
    <s v="UNKNOWN"/>
    <x v="1"/>
  </r>
  <r>
    <n v="257727"/>
    <n v="736637.9"/>
    <x v="2"/>
    <x v="67"/>
    <x v="12"/>
    <s v="DELEGATE AGENCY"/>
    <s v="UNKNOWN"/>
    <x v="1"/>
  </r>
  <r>
    <n v="257728"/>
    <n v="522100"/>
    <x v="2"/>
    <x v="66"/>
    <x v="12"/>
    <s v="DELEGATE AGENCY"/>
    <s v="UNKNOWN"/>
    <x v="1"/>
  </r>
  <r>
    <n v="257729"/>
    <n v="137016"/>
    <x v="2"/>
    <x v="64"/>
    <x v="12"/>
    <s v="DELEGATE AGENCY"/>
    <s v="UNKNOWN"/>
    <x v="1"/>
  </r>
  <r>
    <n v="257730"/>
    <n v="497272.4"/>
    <x v="1"/>
    <x v="77"/>
    <x v="12"/>
    <s v="DELEGATE AGENCY"/>
    <s v="UNKNOWN"/>
    <x v="1"/>
  </r>
  <r>
    <n v="257731"/>
    <n v="1524323.4"/>
    <x v="2"/>
    <x v="63"/>
    <x v="12"/>
    <s v="DELEGATE AGENCY"/>
    <s v="UNKNOWN"/>
    <x v="1"/>
  </r>
  <r>
    <n v="257732"/>
    <n v="875991.4"/>
    <x v="0"/>
    <x v="63"/>
    <x v="12"/>
    <s v="DELEGATE AGENCY"/>
    <s v="UNKNOWN"/>
    <x v="1"/>
  </r>
  <r>
    <n v="257733"/>
    <n v="3103464.9"/>
    <x v="2"/>
    <x v="62"/>
    <x v="12"/>
    <s v="DELEGATE AGENCY"/>
    <s v="UNKNOWN"/>
    <x v="1"/>
  </r>
  <r>
    <n v="257744"/>
    <n v="350490.8"/>
    <x v="0"/>
    <x v="446"/>
    <x v="8"/>
    <s v="DELEGATE AGENCY"/>
    <s v="UNKNOWN"/>
    <x v="1"/>
  </r>
  <r>
    <n v="257764"/>
    <n v="12405.6"/>
    <x v="2"/>
    <x v="1499"/>
    <x v="8"/>
    <s v="DELEGATE AGENCY"/>
    <s v="UNKNOWN"/>
    <x v="1"/>
  </r>
  <r>
    <n v="257766"/>
    <n v="82263.199999999997"/>
    <x v="4"/>
    <x v="1232"/>
    <x v="12"/>
    <s v="DELEGATE AGENCY"/>
    <s v="UNKNOWN"/>
    <x v="1"/>
  </r>
  <r>
    <n v="257823"/>
    <n v="13688032.5"/>
    <x v="1"/>
    <x v="558"/>
    <x v="12"/>
    <s v="DELEGATE AGENCY"/>
    <s v="UNKNOWN"/>
    <x v="1"/>
  </r>
  <r>
    <n v="257824"/>
    <n v="1809671.4"/>
    <x v="0"/>
    <x v="297"/>
    <x v="12"/>
    <s v="DELEGATE AGENCY"/>
    <s v="UNKNOWN"/>
    <x v="1"/>
  </r>
  <r>
    <n v="257828"/>
    <n v="20000"/>
    <x v="0"/>
    <x v="1766"/>
    <x v="20"/>
    <s v="COMPTROLLER-OTHER"/>
    <s v="UNKNOWN"/>
    <x v="1"/>
  </r>
  <r>
    <n v="257829"/>
    <n v="20000"/>
    <x v="4"/>
    <x v="1767"/>
    <x v="20"/>
    <s v="COMPTROLLER-OTHER"/>
    <s v="UNKNOWN"/>
    <x v="1"/>
  </r>
  <r>
    <n v="257831"/>
    <n v="30000"/>
    <x v="4"/>
    <x v="1768"/>
    <x v="20"/>
    <s v="COMPTROLLER-OTHER"/>
    <s v="UNKNOWN"/>
    <x v="1"/>
  </r>
  <r>
    <n v="257833"/>
    <n v="90000"/>
    <x v="4"/>
    <x v="1270"/>
    <x v="20"/>
    <s v="COMPTROLLER-OTHER"/>
    <s v="UNKNOWN"/>
    <x v="1"/>
  </r>
  <r>
    <n v="257843"/>
    <n v="30000"/>
    <x v="1"/>
    <x v="1769"/>
    <x v="20"/>
    <s v="COMPTROLLER-OTHER"/>
    <s v="UNKNOWN"/>
    <x v="1"/>
  </r>
  <r>
    <n v="257853"/>
    <n v="30000"/>
    <x v="4"/>
    <x v="1770"/>
    <x v="20"/>
    <s v="COMPTROLLER-OTHER"/>
    <s v="UNKNOWN"/>
    <x v="1"/>
  </r>
  <r>
    <n v="257879"/>
    <n v="31960757.800000001"/>
    <x v="4"/>
    <x v="252"/>
    <x v="0"/>
    <s v="CONSTRUCTION-LARGE $3MILLIONorABOVE"/>
    <s v="BID"/>
    <x v="1"/>
  </r>
  <r>
    <n v="258023"/>
    <n v="396398.2"/>
    <x v="0"/>
    <x v="1496"/>
    <x v="21"/>
    <s v="DELEGATE AGENCY"/>
    <s v="UNKNOWN"/>
    <x v="1"/>
  </r>
  <r>
    <n v="258028"/>
    <n v="67094.899999999994"/>
    <x v="2"/>
    <x v="199"/>
    <x v="12"/>
    <s v="DELEGATE AGENCY"/>
    <s v="UNKNOWN"/>
    <x v="1"/>
  </r>
  <r>
    <n v="258042"/>
    <n v="960712.3"/>
    <x v="1"/>
    <x v="285"/>
    <x v="12"/>
    <s v="DELEGATE AGENCY"/>
    <s v="UNKNOWN"/>
    <x v="1"/>
  </r>
  <r>
    <n v="258047"/>
    <n v="537325.6"/>
    <x v="2"/>
    <x v="199"/>
    <x v="12"/>
    <s v="DELEGATE AGENCY"/>
    <s v="UNKNOWN"/>
    <x v="1"/>
  </r>
  <r>
    <n v="258072"/>
    <n v="130809.60000000001"/>
    <x v="2"/>
    <x v="204"/>
    <x v="8"/>
    <s v="DELEGATE AGENCY"/>
    <s v="UNKNOWN"/>
    <x v="1"/>
  </r>
  <r>
    <n v="258074"/>
    <n v="443898.5"/>
    <x v="1"/>
    <x v="82"/>
    <x v="8"/>
    <s v="DELEGATE AGENCY"/>
    <s v="UNKNOWN"/>
    <x v="1"/>
  </r>
  <r>
    <n v="258075"/>
    <n v="237954.1"/>
    <x v="2"/>
    <x v="1771"/>
    <x v="8"/>
    <s v="DELEGATE AGENCY"/>
    <s v="UNKNOWN"/>
    <x v="1"/>
  </r>
  <r>
    <n v="258076"/>
    <n v="355245.8"/>
    <x v="1"/>
    <x v="601"/>
    <x v="8"/>
    <s v="DELEGATE AGENCY"/>
    <s v="UNKNOWN"/>
    <x v="1"/>
  </r>
  <r>
    <n v="258077"/>
    <n v="412335"/>
    <x v="2"/>
    <x v="25"/>
    <x v="8"/>
    <s v="DELEGATE AGENCY"/>
    <s v="UNKNOWN"/>
    <x v="1"/>
  </r>
  <r>
    <n v="258078"/>
    <n v="184886.9"/>
    <x v="2"/>
    <x v="67"/>
    <x v="8"/>
    <s v="DELEGATE AGENCY"/>
    <s v="UNKNOWN"/>
    <x v="1"/>
  </r>
  <r>
    <n v="258079"/>
    <n v="470226.7"/>
    <x v="1"/>
    <x v="602"/>
    <x v="8"/>
    <s v="DELEGATE AGENCY"/>
    <s v="UNKNOWN"/>
    <x v="1"/>
  </r>
  <r>
    <n v="258080"/>
    <n v="237585.3"/>
    <x v="2"/>
    <x v="466"/>
    <x v="8"/>
    <s v="DELEGATE AGENCY"/>
    <s v="UNKNOWN"/>
    <x v="1"/>
  </r>
  <r>
    <n v="258081"/>
    <n v="240000"/>
    <x v="1"/>
    <x v="464"/>
    <x v="8"/>
    <s v="DELEGATE AGENCY"/>
    <s v="UNKNOWN"/>
    <x v="1"/>
  </r>
  <r>
    <n v="258082"/>
    <n v="292871.5"/>
    <x v="1"/>
    <x v="59"/>
    <x v="8"/>
    <s v="DELEGATE AGENCY"/>
    <s v="UNKNOWN"/>
    <x v="1"/>
  </r>
  <r>
    <n v="258083"/>
    <n v="499999.4"/>
    <x v="2"/>
    <x v="261"/>
    <x v="8"/>
    <s v="DELEGATE AGENCY"/>
    <s v="UNKNOWN"/>
    <x v="1"/>
  </r>
  <r>
    <n v="258084"/>
    <n v="429037.6"/>
    <x v="2"/>
    <x v="260"/>
    <x v="8"/>
    <s v="DELEGATE AGENCY"/>
    <s v="UNKNOWN"/>
    <x v="1"/>
  </r>
  <r>
    <n v="258092"/>
    <n v="3249500"/>
    <x v="2"/>
    <x v="1772"/>
    <x v="3"/>
    <s v="VEHICLES/HEAVY EQUIPMENT (CAPITAL)"/>
    <s v="BID"/>
    <x v="1"/>
  </r>
  <r>
    <n v="258120"/>
    <n v="104042.3"/>
    <x v="0"/>
    <x v="19"/>
    <x v="8"/>
    <s v="DELEGATE AGENCY"/>
    <s v="UNKNOWN"/>
    <x v="1"/>
  </r>
  <r>
    <n v="258121"/>
    <n v="41958.5"/>
    <x v="1"/>
    <x v="43"/>
    <x v="8"/>
    <s v="DELEGATE AGENCY"/>
    <s v="UNKNOWN"/>
    <x v="1"/>
  </r>
  <r>
    <n v="258122"/>
    <n v="17500"/>
    <x v="4"/>
    <x v="39"/>
    <x v="8"/>
    <s v="DELEGATE AGENCY"/>
    <s v="UNKNOWN"/>
    <x v="1"/>
  </r>
  <r>
    <n v="258134"/>
    <n v="154511"/>
    <x v="4"/>
    <x v="19"/>
    <x v="8"/>
    <s v="DELEGATE AGENCY"/>
    <s v="UNKNOWN"/>
    <x v="1"/>
  </r>
  <r>
    <n v="258173"/>
    <n v="230743.8"/>
    <x v="1"/>
    <x v="44"/>
    <x v="8"/>
    <s v="DELEGATE AGENCY"/>
    <s v="UNKNOWN"/>
    <x v="1"/>
  </r>
  <r>
    <n v="258192"/>
    <n v="100000"/>
    <x v="1"/>
    <x v="862"/>
    <x v="12"/>
    <s v="DELEGATE AGENCY"/>
    <s v="UNKNOWN"/>
    <x v="1"/>
  </r>
  <r>
    <n v="258201"/>
    <n v="100000"/>
    <x v="1"/>
    <x v="353"/>
    <x v="12"/>
    <s v="DELEGATE AGENCY"/>
    <s v="UNKNOWN"/>
    <x v="1"/>
  </r>
  <r>
    <n v="258203"/>
    <n v="100000"/>
    <x v="1"/>
    <x v="359"/>
    <x v="12"/>
    <s v="DELEGATE AGENCY"/>
    <s v="UNKNOWN"/>
    <x v="1"/>
  </r>
  <r>
    <n v="258204"/>
    <n v="1785000"/>
    <x v="1"/>
    <x v="201"/>
    <x v="12"/>
    <s v="DELEGATE AGENCY"/>
    <s v="UNKNOWN"/>
    <x v="1"/>
  </r>
  <r>
    <n v="258206"/>
    <n v="53698"/>
    <x v="0"/>
    <x v="28"/>
    <x v="8"/>
    <s v="DELEGATE AGENCY"/>
    <s v="UNKNOWN"/>
    <x v="1"/>
  </r>
  <r>
    <n v="258207"/>
    <n v="36260"/>
    <x v="1"/>
    <x v="318"/>
    <x v="8"/>
    <s v="DELEGATE AGENCY"/>
    <s v="UNKNOWN"/>
    <x v="1"/>
  </r>
  <r>
    <n v="258208"/>
    <n v="11500"/>
    <x v="4"/>
    <x v="1190"/>
    <x v="8"/>
    <s v="DELEGATE AGENCY"/>
    <s v="UNKNOWN"/>
    <x v="1"/>
  </r>
  <r>
    <n v="258210"/>
    <n v="29404.1"/>
    <x v="4"/>
    <x v="45"/>
    <x v="8"/>
    <s v="DELEGATE AGENCY"/>
    <s v="UNKNOWN"/>
    <x v="1"/>
  </r>
  <r>
    <n v="258211"/>
    <n v="84942.2"/>
    <x v="4"/>
    <x v="25"/>
    <x v="8"/>
    <s v="DELEGATE AGENCY"/>
    <s v="UNKNOWN"/>
    <x v="1"/>
  </r>
  <r>
    <n v="258238"/>
    <n v="558552.1"/>
    <x v="1"/>
    <x v="62"/>
    <x v="12"/>
    <s v="DELEGATE AGENCY"/>
    <s v="UNKNOWN"/>
    <x v="1"/>
  </r>
  <r>
    <n v="258243"/>
    <n v="696939.7"/>
    <x v="2"/>
    <x v="72"/>
    <x v="12"/>
    <s v="DELEGATE AGENCY"/>
    <s v="UNKNOWN"/>
    <x v="1"/>
  </r>
  <r>
    <n v="258244"/>
    <n v="513245.5"/>
    <x v="2"/>
    <x v="72"/>
    <x v="12"/>
    <s v="DELEGATE AGENCY"/>
    <s v="UNKNOWN"/>
    <x v="1"/>
  </r>
  <r>
    <n v="258245"/>
    <n v="695221"/>
    <x v="2"/>
    <x v="127"/>
    <x v="12"/>
    <s v="DELEGATE AGENCY"/>
    <s v="UNKNOWN"/>
    <x v="1"/>
  </r>
  <r>
    <n v="258246"/>
    <n v="286265.3"/>
    <x v="2"/>
    <x v="340"/>
    <x v="12"/>
    <s v="DELEGATE AGENCY"/>
    <s v="UNKNOWN"/>
    <x v="1"/>
  </r>
  <r>
    <n v="258269"/>
    <n v="213613.3"/>
    <x v="2"/>
    <x v="72"/>
    <x v="12"/>
    <s v="DELEGATE AGENCY"/>
    <s v="UNKNOWN"/>
    <x v="1"/>
  </r>
  <r>
    <n v="258565"/>
    <n v="1964928"/>
    <x v="1"/>
    <x v="351"/>
    <x v="12"/>
    <s v="DELEGATE AGENCY"/>
    <s v="UNKNOWN"/>
    <x v="1"/>
  </r>
  <r>
    <n v="258567"/>
    <n v="465000"/>
    <x v="0"/>
    <x v="359"/>
    <x v="12"/>
    <s v="DELEGATE AGENCY"/>
    <s v="UNKNOWN"/>
    <x v="1"/>
  </r>
  <r>
    <n v="258569"/>
    <n v="69000"/>
    <x v="2"/>
    <x v="688"/>
    <x v="12"/>
    <s v="DELEGATE AGENCY"/>
    <s v="UNKNOWN"/>
    <x v="1"/>
  </r>
  <r>
    <n v="258570"/>
    <n v="207000"/>
    <x v="1"/>
    <x v="169"/>
    <x v="12"/>
    <s v="DELEGATE AGENCY"/>
    <s v="UNKNOWN"/>
    <x v="1"/>
  </r>
  <r>
    <n v="258571"/>
    <n v="207000"/>
    <x v="1"/>
    <x v="582"/>
    <x v="12"/>
    <s v="DELEGATE AGENCY"/>
    <s v="UNKNOWN"/>
    <x v="1"/>
  </r>
  <r>
    <n v="258573"/>
    <n v="450000"/>
    <x v="1"/>
    <x v="358"/>
    <x v="12"/>
    <s v="DELEGATE AGENCY"/>
    <s v="UNKNOWN"/>
    <x v="1"/>
  </r>
  <r>
    <n v="258578"/>
    <n v="480000"/>
    <x v="2"/>
    <x v="595"/>
    <x v="8"/>
    <s v="DELEGATE AGENCY"/>
    <s v="UNKNOWN"/>
    <x v="1"/>
  </r>
  <r>
    <n v="258582"/>
    <n v="240000"/>
    <x v="2"/>
    <x v="467"/>
    <x v="8"/>
    <s v="DELEGATE AGENCY"/>
    <s v="UNKNOWN"/>
    <x v="1"/>
  </r>
  <r>
    <n v="258584"/>
    <n v="217636.4"/>
    <x v="1"/>
    <x v="465"/>
    <x v="8"/>
    <s v="DELEGATE AGENCY"/>
    <s v="UNKNOWN"/>
    <x v="1"/>
  </r>
  <r>
    <n v="258585"/>
    <n v="360000"/>
    <x v="1"/>
    <x v="228"/>
    <x v="8"/>
    <s v="DELEGATE AGENCY"/>
    <s v="UNKNOWN"/>
    <x v="1"/>
  </r>
  <r>
    <n v="258586"/>
    <n v="422051.5"/>
    <x v="2"/>
    <x v="227"/>
    <x v="8"/>
    <s v="DELEGATE AGENCY"/>
    <s v="UNKNOWN"/>
    <x v="1"/>
  </r>
  <r>
    <n v="258587"/>
    <n v="229165.7"/>
    <x v="2"/>
    <x v="469"/>
    <x v="8"/>
    <s v="DELEGATE AGENCY"/>
    <s v="UNKNOWN"/>
    <x v="1"/>
  </r>
  <r>
    <n v="258590"/>
    <n v="353619.9"/>
    <x v="1"/>
    <x v="497"/>
    <x v="8"/>
    <s v="DELEGATE AGENCY"/>
    <s v="UNKNOWN"/>
    <x v="1"/>
  </r>
  <r>
    <n v="258594"/>
    <n v="345466.1"/>
    <x v="2"/>
    <x v="191"/>
    <x v="8"/>
    <s v="DELEGATE AGENCY"/>
    <s v="UNKNOWN"/>
    <x v="1"/>
  </r>
  <r>
    <n v="258595"/>
    <n v="233785.1"/>
    <x v="2"/>
    <x v="190"/>
    <x v="8"/>
    <s v="DELEGATE AGENCY"/>
    <s v="UNKNOWN"/>
    <x v="1"/>
  </r>
  <r>
    <n v="258596"/>
    <n v="69000"/>
    <x v="1"/>
    <x v="578"/>
    <x v="12"/>
    <s v="DELEGATE AGENCY"/>
    <s v="UNKNOWN"/>
    <x v="1"/>
  </r>
  <r>
    <n v="258597"/>
    <n v="103500"/>
    <x v="1"/>
    <x v="578"/>
    <x v="12"/>
    <s v="DELEGATE AGENCY"/>
    <s v="UNKNOWN"/>
    <x v="1"/>
  </r>
  <r>
    <n v="258598"/>
    <n v="1538784"/>
    <x v="1"/>
    <x v="510"/>
    <x v="12"/>
    <s v="DELEGATE AGENCY"/>
    <s v="UNKNOWN"/>
    <x v="1"/>
  </r>
  <r>
    <n v="258599"/>
    <n v="371437.1"/>
    <x v="0"/>
    <x v="62"/>
    <x v="12"/>
    <s v="DELEGATE AGENCY"/>
    <s v="UNKNOWN"/>
    <x v="1"/>
  </r>
  <r>
    <n v="258600"/>
    <n v="2024454.3"/>
    <x v="2"/>
    <x v="57"/>
    <x v="12"/>
    <s v="DELEGATE AGENCY"/>
    <s v="UNKNOWN"/>
    <x v="1"/>
  </r>
  <r>
    <n v="258601"/>
    <n v="3288849.9"/>
    <x v="0"/>
    <x v="57"/>
    <x v="12"/>
    <s v="DELEGATE AGENCY"/>
    <s v="UNKNOWN"/>
    <x v="1"/>
  </r>
  <r>
    <n v="258602"/>
    <n v="496499.7"/>
    <x v="0"/>
    <x v="65"/>
    <x v="12"/>
    <s v="DELEGATE AGENCY"/>
    <s v="UNKNOWN"/>
    <x v="1"/>
  </r>
  <r>
    <n v="258603"/>
    <n v="69000"/>
    <x v="2"/>
    <x v="544"/>
    <x v="12"/>
    <s v="DELEGATE AGENCY"/>
    <s v="UNKNOWN"/>
    <x v="1"/>
  </r>
  <r>
    <n v="258604"/>
    <n v="69000"/>
    <x v="1"/>
    <x v="325"/>
    <x v="12"/>
    <s v="DELEGATE AGENCY"/>
    <s v="UNKNOWN"/>
    <x v="1"/>
  </r>
  <r>
    <n v="258605"/>
    <n v="483000"/>
    <x v="1"/>
    <x v="199"/>
    <x v="12"/>
    <s v="DELEGATE AGENCY"/>
    <s v="UNKNOWN"/>
    <x v="1"/>
  </r>
  <r>
    <n v="258606"/>
    <n v="420864"/>
    <x v="2"/>
    <x v="77"/>
    <x v="12"/>
    <s v="DELEGATE AGENCY"/>
    <s v="UNKNOWN"/>
    <x v="1"/>
  </r>
  <r>
    <n v="258608"/>
    <n v="14400"/>
    <x v="2"/>
    <x v="216"/>
    <x v="12"/>
    <s v="DELEGATE AGENCY"/>
    <s v="UNKNOWN"/>
    <x v="1"/>
  </r>
  <r>
    <n v="258609"/>
    <n v="10288.700000000001"/>
    <x v="4"/>
    <x v="309"/>
    <x v="12"/>
    <s v="DELEGATE AGENCY"/>
    <s v="UNKNOWN"/>
    <x v="1"/>
  </r>
  <r>
    <n v="258611"/>
    <n v="240000"/>
    <x v="4"/>
    <x v="169"/>
    <x v="8"/>
    <s v="DELEGATE AGENCY"/>
    <s v="UNKNOWN"/>
    <x v="1"/>
  </r>
  <r>
    <n v="258659"/>
    <n v="24965"/>
    <x v="1"/>
    <x v="214"/>
    <x v="8"/>
    <s v="DELEGATE AGENCY"/>
    <s v="UNKNOWN"/>
    <x v="1"/>
  </r>
  <r>
    <n v="258709"/>
    <n v="422946.3"/>
    <x v="4"/>
    <x v="444"/>
    <x v="12"/>
    <s v="DELEGATE AGENCY"/>
    <s v="UNKNOWN"/>
    <x v="1"/>
  </r>
  <r>
    <n v="258710"/>
    <n v="467665"/>
    <x v="2"/>
    <x v="1065"/>
    <x v="12"/>
    <s v="DELEGATE AGENCY"/>
    <s v="UNKNOWN"/>
    <x v="1"/>
  </r>
  <r>
    <n v="258711"/>
    <n v="338777.2"/>
    <x v="2"/>
    <x v="359"/>
    <x v="12"/>
    <s v="DELEGATE AGENCY"/>
    <s v="UNKNOWN"/>
    <x v="1"/>
  </r>
  <r>
    <n v="258712"/>
    <n v="459920.3"/>
    <x v="2"/>
    <x v="169"/>
    <x v="12"/>
    <s v="DELEGATE AGENCY"/>
    <s v="UNKNOWN"/>
    <x v="1"/>
  </r>
  <r>
    <n v="258713"/>
    <n v="499930.5"/>
    <x v="2"/>
    <x v="82"/>
    <x v="12"/>
    <s v="DELEGATE AGENCY"/>
    <s v="UNKNOWN"/>
    <x v="1"/>
  </r>
  <r>
    <n v="258714"/>
    <n v="491690.2"/>
    <x v="2"/>
    <x v="445"/>
    <x v="12"/>
    <s v="DELEGATE AGENCY"/>
    <s v="UNKNOWN"/>
    <x v="1"/>
  </r>
  <r>
    <n v="258715"/>
    <n v="407424"/>
    <x v="2"/>
    <x v="450"/>
    <x v="12"/>
    <s v="DELEGATE AGENCY"/>
    <s v="UNKNOWN"/>
    <x v="1"/>
  </r>
  <r>
    <n v="258716"/>
    <n v="806311.8"/>
    <x v="2"/>
    <x v="201"/>
    <x v="12"/>
    <s v="DELEGATE AGENCY"/>
    <s v="UNKNOWN"/>
    <x v="1"/>
  </r>
  <r>
    <n v="258717"/>
    <n v="469454"/>
    <x v="2"/>
    <x v="167"/>
    <x v="12"/>
    <s v="DELEGATE AGENCY"/>
    <s v="UNKNOWN"/>
    <x v="1"/>
  </r>
  <r>
    <n v="258718"/>
    <n v="473891.1"/>
    <x v="2"/>
    <x v="446"/>
    <x v="12"/>
    <s v="DELEGATE AGENCY"/>
    <s v="UNKNOWN"/>
    <x v="1"/>
  </r>
  <r>
    <n v="258719"/>
    <n v="755989.3"/>
    <x v="2"/>
    <x v="73"/>
    <x v="12"/>
    <s v="DELEGATE AGENCY"/>
    <s v="UNKNOWN"/>
    <x v="1"/>
  </r>
  <r>
    <n v="258720"/>
    <n v="490383.6"/>
    <x v="2"/>
    <x v="441"/>
    <x v="12"/>
    <s v="DELEGATE AGENCY"/>
    <s v="UNKNOWN"/>
    <x v="1"/>
  </r>
  <r>
    <n v="258893"/>
    <n v="142000"/>
    <x v="2"/>
    <x v="201"/>
    <x v="12"/>
    <s v="DELEGATE AGENCY"/>
    <s v="UNKNOWN"/>
    <x v="1"/>
  </r>
  <r>
    <n v="258894"/>
    <n v="69000"/>
    <x v="1"/>
    <x v="73"/>
    <x v="12"/>
    <s v="DELEGATE AGENCY"/>
    <s v="UNKNOWN"/>
    <x v="1"/>
  </r>
  <r>
    <n v="258895"/>
    <n v="70000"/>
    <x v="1"/>
    <x v="113"/>
    <x v="12"/>
    <s v="DELEGATE AGENCY"/>
    <s v="UNKNOWN"/>
    <x v="1"/>
  </r>
  <r>
    <n v="258896"/>
    <n v="24700"/>
    <x v="1"/>
    <x v="359"/>
    <x v="12"/>
    <s v="DELEGATE AGENCY"/>
    <s v="UNKNOWN"/>
    <x v="1"/>
  </r>
  <r>
    <n v="258897"/>
    <n v="71927"/>
    <x v="4"/>
    <x v="85"/>
    <x v="12"/>
    <s v="DELEGATE AGENCY"/>
    <s v="UNKNOWN"/>
    <x v="1"/>
  </r>
  <r>
    <n v="258929"/>
    <n v="3960"/>
    <x v="1"/>
    <x v="301"/>
    <x v="12"/>
    <s v="DELEGATE AGENCY"/>
    <s v="UNKNOWN"/>
    <x v="1"/>
  </r>
  <r>
    <n v="258930"/>
    <n v="36262.6"/>
    <x v="3"/>
    <x v="301"/>
    <x v="12"/>
    <s v="DELEGATE AGENCY"/>
    <s v="UNKNOWN"/>
    <x v="1"/>
  </r>
  <r>
    <n v="258940"/>
    <n v="490097.1"/>
    <x v="4"/>
    <x v="126"/>
    <x v="12"/>
    <s v="DELEGATE AGENCY"/>
    <s v="UNKNOWN"/>
    <x v="1"/>
  </r>
  <r>
    <n v="258942"/>
    <n v="1423643.7"/>
    <x v="2"/>
    <x v="78"/>
    <x v="12"/>
    <s v="DELEGATE AGENCY"/>
    <s v="UNKNOWN"/>
    <x v="1"/>
  </r>
  <r>
    <n v="258944"/>
    <n v="20800"/>
    <x v="0"/>
    <x v="243"/>
    <x v="12"/>
    <s v="DELEGATE AGENCY"/>
    <s v="UNKNOWN"/>
    <x v="1"/>
  </r>
  <r>
    <n v="258945"/>
    <n v="59150"/>
    <x v="4"/>
    <x v="243"/>
    <x v="12"/>
    <s v="DELEGATE AGENCY"/>
    <s v="UNKNOWN"/>
    <x v="1"/>
  </r>
  <r>
    <n v="258946"/>
    <n v="437504"/>
    <x v="1"/>
    <x v="243"/>
    <x v="12"/>
    <s v="DELEGATE AGENCY"/>
    <s v="UNKNOWN"/>
    <x v="1"/>
  </r>
  <r>
    <n v="258947"/>
    <n v="1020952"/>
    <x v="2"/>
    <x v="76"/>
    <x v="12"/>
    <s v="DELEGATE AGENCY"/>
    <s v="UNKNOWN"/>
    <x v="1"/>
  </r>
  <r>
    <n v="258948"/>
    <n v="1203414.3"/>
    <x v="0"/>
    <x v="23"/>
    <x v="12"/>
    <s v="DELEGATE AGENCY"/>
    <s v="UNKNOWN"/>
    <x v="1"/>
  </r>
  <r>
    <n v="258949"/>
    <n v="664564.69999999995"/>
    <x v="0"/>
    <x v="23"/>
    <x v="12"/>
    <s v="DELEGATE AGENCY"/>
    <s v="UNKNOWN"/>
    <x v="1"/>
  </r>
  <r>
    <n v="258953"/>
    <n v="6674744"/>
    <x v="2"/>
    <x v="292"/>
    <x v="2"/>
    <s v="COMPTROLLER-OTHER"/>
    <s v="UNKNOWN"/>
    <x v="1"/>
  </r>
  <r>
    <n v="258954"/>
    <n v="1206070.8"/>
    <x v="0"/>
    <x v="61"/>
    <x v="12"/>
    <s v="DELEGATE AGENCY"/>
    <s v="UNKNOWN"/>
    <x v="1"/>
  </r>
  <r>
    <n v="258955"/>
    <n v="3339456.2"/>
    <x v="0"/>
    <x v="69"/>
    <x v="12"/>
    <s v="DELEGATE AGENCY"/>
    <s v="UNKNOWN"/>
    <x v="1"/>
  </r>
  <r>
    <n v="258959"/>
    <n v="8163.2"/>
    <x v="0"/>
    <x v="49"/>
    <x v="8"/>
    <s v="DELEGATE AGENCY"/>
    <s v="UNKNOWN"/>
    <x v="1"/>
  </r>
  <r>
    <n v="259077"/>
    <n v="298134.3"/>
    <x v="3"/>
    <x v="24"/>
    <x v="8"/>
    <s v="DELEGATE AGENCY"/>
    <s v="UNKNOWN"/>
    <x v="1"/>
  </r>
  <r>
    <n v="259115"/>
    <n v="1082000"/>
    <x v="2"/>
    <x v="642"/>
    <x v="14"/>
    <s v="SOFTWARE"/>
    <s v="JOINT PURCHASE"/>
    <x v="1"/>
  </r>
  <r>
    <n v="259137"/>
    <n v="741511.8"/>
    <x v="0"/>
    <x v="343"/>
    <x v="12"/>
    <s v="DELEGATE AGENCY"/>
    <s v="UNKNOWN"/>
    <x v="1"/>
  </r>
  <r>
    <n v="259140"/>
    <n v="343040.6"/>
    <x v="2"/>
    <x v="66"/>
    <x v="8"/>
    <s v="DELEGATE AGENCY"/>
    <s v="UNKNOWN"/>
    <x v="1"/>
  </r>
  <r>
    <n v="259142"/>
    <n v="294901.5"/>
    <x v="2"/>
    <x v="59"/>
    <x v="8"/>
    <s v="DELEGATE AGENCY"/>
    <s v="UNKNOWN"/>
    <x v="1"/>
  </r>
  <r>
    <n v="259143"/>
    <n v="222288.4"/>
    <x v="2"/>
    <x v="200"/>
    <x v="12"/>
    <s v="DELEGATE AGENCY"/>
    <s v="UNKNOWN"/>
    <x v="1"/>
  </r>
  <r>
    <n v="259144"/>
    <n v="204789.7"/>
    <x v="1"/>
    <x v="341"/>
    <x v="12"/>
    <s v="DELEGATE AGENCY"/>
    <s v="UNKNOWN"/>
    <x v="1"/>
  </r>
  <r>
    <n v="259145"/>
    <n v="217405.2"/>
    <x v="1"/>
    <x v="317"/>
    <x v="12"/>
    <s v="DELEGATE AGENCY"/>
    <s v="UNKNOWN"/>
    <x v="1"/>
  </r>
  <r>
    <n v="259287"/>
    <n v="80000"/>
    <x v="1"/>
    <x v="1773"/>
    <x v="20"/>
    <s v="COMPTROLLER-OTHER"/>
    <s v="UNKNOWN"/>
    <x v="1"/>
  </r>
  <r>
    <n v="259296"/>
    <n v="18000"/>
    <x v="1"/>
    <x v="1690"/>
    <x v="20"/>
    <s v="COMPTROLLER-OTHER"/>
    <s v="UNKNOWN"/>
    <x v="1"/>
  </r>
  <r>
    <n v="259298"/>
    <n v="20000"/>
    <x v="4"/>
    <x v="1774"/>
    <x v="20"/>
    <s v="COMPTROLLER-OTHER"/>
    <s v="UNKNOWN"/>
    <x v="1"/>
  </r>
  <r>
    <n v="259302"/>
    <n v="20000"/>
    <x v="4"/>
    <x v="1775"/>
    <x v="20"/>
    <s v="COMPTROLLER-OTHER"/>
    <s v="UNKNOWN"/>
    <x v="1"/>
  </r>
  <r>
    <n v="259305"/>
    <n v="18000"/>
    <x v="4"/>
    <x v="1676"/>
    <x v="20"/>
    <s v="COMPTROLLER-OTHER"/>
    <s v="UNKNOWN"/>
    <x v="1"/>
  </r>
  <r>
    <n v="259307"/>
    <n v="69000"/>
    <x v="4"/>
    <x v="315"/>
    <x v="12"/>
    <s v="DELEGATE AGENCY"/>
    <s v="UNKNOWN"/>
    <x v="1"/>
  </r>
  <r>
    <n v="259308"/>
    <n v="69000"/>
    <x v="1"/>
    <x v="354"/>
    <x v="12"/>
    <s v="DELEGATE AGENCY"/>
    <s v="UNKNOWN"/>
    <x v="1"/>
  </r>
  <r>
    <n v="259309"/>
    <n v="897000"/>
    <x v="1"/>
    <x v="593"/>
    <x v="12"/>
    <s v="DELEGATE AGENCY"/>
    <s v="UNKNOWN"/>
    <x v="1"/>
  </r>
  <r>
    <n v="259310"/>
    <n v="1035000"/>
    <x v="2"/>
    <x v="593"/>
    <x v="12"/>
    <s v="DELEGATE AGENCY"/>
    <s v="UNKNOWN"/>
    <x v="1"/>
  </r>
  <r>
    <n v="259312"/>
    <n v="103500"/>
    <x v="0"/>
    <x v="593"/>
    <x v="12"/>
    <s v="DELEGATE AGENCY"/>
    <s v="UNKNOWN"/>
    <x v="1"/>
  </r>
  <r>
    <n v="259313"/>
    <n v="414000"/>
    <x v="1"/>
    <x v="593"/>
    <x v="12"/>
    <s v="DELEGATE AGENCY"/>
    <s v="UNKNOWN"/>
    <x v="1"/>
  </r>
  <r>
    <n v="259314"/>
    <n v="897000"/>
    <x v="2"/>
    <x v="593"/>
    <x v="12"/>
    <s v="DELEGATE AGENCY"/>
    <s v="UNKNOWN"/>
    <x v="1"/>
  </r>
  <r>
    <n v="259315"/>
    <n v="207000"/>
    <x v="2"/>
    <x v="593"/>
    <x v="12"/>
    <s v="DELEGATE AGENCY"/>
    <s v="UNKNOWN"/>
    <x v="1"/>
  </r>
  <r>
    <n v="259316"/>
    <n v="69000"/>
    <x v="1"/>
    <x v="78"/>
    <x v="12"/>
    <s v="DELEGATE AGENCY"/>
    <s v="UNKNOWN"/>
    <x v="1"/>
  </r>
  <r>
    <n v="259317"/>
    <n v="69000"/>
    <x v="1"/>
    <x v="693"/>
    <x v="12"/>
    <s v="DELEGATE AGENCY"/>
    <s v="UNKNOWN"/>
    <x v="1"/>
  </r>
  <r>
    <n v="259319"/>
    <n v="100000"/>
    <x v="1"/>
    <x v="1776"/>
    <x v="20"/>
    <s v="COMPTROLLER-OTHER"/>
    <s v="UNKNOWN"/>
    <x v="1"/>
  </r>
  <r>
    <n v="259322"/>
    <n v="6000"/>
    <x v="1"/>
    <x v="1777"/>
    <x v="20"/>
    <s v="COMPTROLLER-OTHER"/>
    <s v="UNKNOWN"/>
    <x v="1"/>
  </r>
  <r>
    <n v="259325"/>
    <n v="18000"/>
    <x v="3"/>
    <x v="1527"/>
    <x v="20"/>
    <s v="COMPTROLLER-OTHER"/>
    <s v="UNKNOWN"/>
    <x v="1"/>
  </r>
  <r>
    <n v="259330"/>
    <n v="6000"/>
    <x v="4"/>
    <x v="1778"/>
    <x v="20"/>
    <s v="COMPTROLLER-OTHER"/>
    <s v="UNKNOWN"/>
    <x v="1"/>
  </r>
  <r>
    <n v="259331"/>
    <n v="20000"/>
    <x v="3"/>
    <x v="1779"/>
    <x v="20"/>
    <s v="COMPTROLLER-OTHER"/>
    <s v="UNKNOWN"/>
    <x v="1"/>
  </r>
  <r>
    <n v="259333"/>
    <n v="25000"/>
    <x v="4"/>
    <x v="1248"/>
    <x v="20"/>
    <s v="COMPTROLLER-OTHER"/>
    <s v="UNKNOWN"/>
    <x v="1"/>
  </r>
  <r>
    <n v="259334"/>
    <n v="20000"/>
    <x v="4"/>
    <x v="1346"/>
    <x v="20"/>
    <s v="COMPTROLLER-OTHER"/>
    <s v="UNKNOWN"/>
    <x v="1"/>
  </r>
  <r>
    <n v="259346"/>
    <n v="20000"/>
    <x v="4"/>
    <x v="1780"/>
    <x v="20"/>
    <s v="COMPTROLLER-OTHER"/>
    <s v="UNKNOWN"/>
    <x v="1"/>
  </r>
  <r>
    <n v="259347"/>
    <n v="319000"/>
    <x v="4"/>
    <x v="722"/>
    <x v="20"/>
    <s v="COMPTROLLER-OTHER"/>
    <s v="UNKNOWN"/>
    <x v="1"/>
  </r>
  <r>
    <n v="259368"/>
    <n v="20000"/>
    <x v="2"/>
    <x v="1781"/>
    <x v="20"/>
    <s v="COMPTROLLER-OTHER"/>
    <s v="UNKNOWN"/>
    <x v="1"/>
  </r>
  <r>
    <n v="259370"/>
    <n v="20000"/>
    <x v="4"/>
    <x v="1782"/>
    <x v="20"/>
    <s v="COMPTROLLER-OTHER"/>
    <s v="UNKNOWN"/>
    <x v="1"/>
  </r>
  <r>
    <n v="259372"/>
    <n v="5000"/>
    <x v="4"/>
    <x v="1783"/>
    <x v="20"/>
    <s v="COMPTROLLER-OTHER"/>
    <s v="UNKNOWN"/>
    <x v="1"/>
  </r>
  <r>
    <n v="259373"/>
    <n v="20000"/>
    <x v="3"/>
    <x v="1784"/>
    <x v="20"/>
    <s v="COMPTROLLER-OTHER"/>
    <s v="UNKNOWN"/>
    <x v="1"/>
  </r>
  <r>
    <n v="259374"/>
    <n v="10303"/>
    <x v="4"/>
    <x v="1006"/>
    <x v="28"/>
    <s v="COMPTROLLER-OTHER"/>
    <s v="UNKNOWN"/>
    <x v="1"/>
  </r>
  <r>
    <n v="259375"/>
    <n v="524278"/>
    <x v="4"/>
    <x v="260"/>
    <x v="12"/>
    <s v="DELEGATE AGENCY"/>
    <s v="UNKNOWN"/>
    <x v="1"/>
  </r>
  <r>
    <n v="259430"/>
    <n v="275016"/>
    <x v="2"/>
    <x v="376"/>
    <x v="2"/>
    <s v="COMPTROLLER-OTHER"/>
    <s v="UNKNOWN"/>
    <x v="1"/>
  </r>
  <r>
    <n v="259431"/>
    <n v="99656.2"/>
    <x v="2"/>
    <x v="1785"/>
    <x v="2"/>
    <s v="COMPTROLLER-OTHER"/>
    <s v="UNKNOWN"/>
    <x v="1"/>
  </r>
  <r>
    <n v="259432"/>
    <n v="250000"/>
    <x v="1"/>
    <x v="1786"/>
    <x v="2"/>
    <s v="COMPTROLLER-OTHER"/>
    <s v="UNKNOWN"/>
    <x v="1"/>
  </r>
  <r>
    <n v="259433"/>
    <n v="211512.1"/>
    <x v="2"/>
    <x v="1787"/>
    <x v="2"/>
    <s v="COMPTROLLER-OTHER"/>
    <s v="UNKNOWN"/>
    <x v="1"/>
  </r>
  <r>
    <n v="259435"/>
    <n v="28933"/>
    <x v="1"/>
    <x v="221"/>
    <x v="2"/>
    <s v="COMPTROLLER-OTHER"/>
    <s v="UNKNOWN"/>
    <x v="1"/>
  </r>
  <r>
    <n v="259439"/>
    <n v="600000"/>
    <x v="4"/>
    <x v="355"/>
    <x v="12"/>
    <s v="DELEGATE AGENCY"/>
    <s v="UNKNOWN"/>
    <x v="1"/>
  </r>
  <r>
    <n v="259440"/>
    <n v="69000"/>
    <x v="2"/>
    <x v="616"/>
    <x v="12"/>
    <s v="DELEGATE AGENCY"/>
    <s v="UNKNOWN"/>
    <x v="1"/>
  </r>
  <r>
    <n v="259441"/>
    <n v="138290"/>
    <x v="1"/>
    <x v="167"/>
    <x v="12"/>
    <s v="DELEGATE AGENCY"/>
    <s v="UNKNOWN"/>
    <x v="1"/>
  </r>
  <r>
    <n v="259442"/>
    <n v="69290"/>
    <x v="1"/>
    <x v="167"/>
    <x v="12"/>
    <s v="DELEGATE AGENCY"/>
    <s v="UNKNOWN"/>
    <x v="1"/>
  </r>
  <r>
    <n v="259443"/>
    <n v="69000"/>
    <x v="1"/>
    <x v="168"/>
    <x v="12"/>
    <s v="DELEGATE AGENCY"/>
    <s v="UNKNOWN"/>
    <x v="1"/>
  </r>
  <r>
    <n v="259444"/>
    <n v="69413"/>
    <x v="1"/>
    <x v="691"/>
    <x v="12"/>
    <s v="DELEGATE AGENCY"/>
    <s v="UNKNOWN"/>
    <x v="1"/>
  </r>
  <r>
    <n v="259445"/>
    <n v="103500"/>
    <x v="1"/>
    <x v="690"/>
    <x v="12"/>
    <s v="DELEGATE AGENCY"/>
    <s v="UNKNOWN"/>
    <x v="1"/>
  </r>
  <r>
    <n v="259446"/>
    <n v="69000"/>
    <x v="1"/>
    <x v="588"/>
    <x v="12"/>
    <s v="DELEGATE AGENCY"/>
    <s v="UNKNOWN"/>
    <x v="1"/>
  </r>
  <r>
    <n v="259447"/>
    <n v="138000"/>
    <x v="1"/>
    <x v="588"/>
    <x v="12"/>
    <s v="DELEGATE AGENCY"/>
    <s v="UNKNOWN"/>
    <x v="1"/>
  </r>
  <r>
    <n v="259448"/>
    <n v="69000"/>
    <x v="1"/>
    <x v="588"/>
    <x v="12"/>
    <s v="DELEGATE AGENCY"/>
    <s v="UNKNOWN"/>
    <x v="1"/>
  </r>
  <r>
    <n v="259450"/>
    <n v="69000"/>
    <x v="1"/>
    <x v="689"/>
    <x v="12"/>
    <s v="DELEGATE AGENCY"/>
    <s v="UNKNOWN"/>
    <x v="1"/>
  </r>
  <r>
    <n v="259451"/>
    <n v="69000"/>
    <x v="1"/>
    <x v="114"/>
    <x v="12"/>
    <s v="DELEGATE AGENCY"/>
    <s v="UNKNOWN"/>
    <x v="1"/>
  </r>
  <r>
    <n v="259452"/>
    <n v="69000"/>
    <x v="1"/>
    <x v="449"/>
    <x v="12"/>
    <s v="DELEGATE AGENCY"/>
    <s v="UNKNOWN"/>
    <x v="1"/>
  </r>
  <r>
    <n v="259453"/>
    <n v="69000"/>
    <x v="1"/>
    <x v="78"/>
    <x v="12"/>
    <s v="DELEGATE AGENCY"/>
    <s v="UNKNOWN"/>
    <x v="1"/>
  </r>
  <r>
    <n v="259454"/>
    <n v="69000"/>
    <x v="1"/>
    <x v="78"/>
    <x v="12"/>
    <s v="DELEGATE AGENCY"/>
    <s v="UNKNOWN"/>
    <x v="1"/>
  </r>
  <r>
    <n v="259455"/>
    <n v="69000"/>
    <x v="1"/>
    <x v="202"/>
    <x v="12"/>
    <s v="DELEGATE AGENCY"/>
    <s v="UNKNOWN"/>
    <x v="1"/>
  </r>
  <r>
    <n v="259456"/>
    <n v="69000"/>
    <x v="1"/>
    <x v="689"/>
    <x v="12"/>
    <s v="DELEGATE AGENCY"/>
    <s v="UNKNOWN"/>
    <x v="1"/>
  </r>
  <r>
    <n v="259457"/>
    <n v="138000"/>
    <x v="1"/>
    <x v="446"/>
    <x v="12"/>
    <s v="DELEGATE AGENCY"/>
    <s v="UNKNOWN"/>
    <x v="1"/>
  </r>
  <r>
    <n v="259461"/>
    <n v="1110000"/>
    <x v="1"/>
    <x v="227"/>
    <x v="12"/>
    <s v="DELEGATE AGENCY"/>
    <s v="UNKNOWN"/>
    <x v="1"/>
  </r>
  <r>
    <n v="259463"/>
    <n v="444000"/>
    <x v="0"/>
    <x v="1788"/>
    <x v="12"/>
    <s v="DELEGATE AGENCY"/>
    <s v="UNKNOWN"/>
    <x v="1"/>
  </r>
  <r>
    <n v="259464"/>
    <n v="444000"/>
    <x v="2"/>
    <x v="1789"/>
    <x v="12"/>
    <s v="DELEGATE AGENCY"/>
    <s v="UNKNOWN"/>
    <x v="1"/>
  </r>
  <r>
    <n v="259474"/>
    <n v="7000000"/>
    <x v="2"/>
    <x v="1790"/>
    <x v="2"/>
    <s v="COMPTROLLER-OTHER"/>
    <s v="UNKNOWN"/>
    <x v="1"/>
  </r>
  <r>
    <n v="259477"/>
    <n v="204223.9"/>
    <x v="0"/>
    <x v="342"/>
    <x v="12"/>
    <s v="DELEGATE AGENCY"/>
    <s v="UNKNOWN"/>
    <x v="1"/>
  </r>
  <r>
    <n v="259483"/>
    <n v="1000000"/>
    <x v="1"/>
    <x v="1791"/>
    <x v="2"/>
    <s v="COMPTROLLER-OTHER"/>
    <s v="UNKNOWN"/>
    <x v="1"/>
  </r>
  <r>
    <n v="259488"/>
    <n v="1600000"/>
    <x v="0"/>
    <x v="1180"/>
    <x v="6"/>
    <s v="COMPTROLLER-OTHER"/>
    <s v="UNKNOWN"/>
    <x v="1"/>
  </r>
  <r>
    <n v="259491"/>
    <n v="1800000"/>
    <x v="0"/>
    <x v="1180"/>
    <x v="6"/>
    <s v="COMPTROLLER-OTHER"/>
    <s v="UNKNOWN"/>
    <x v="1"/>
  </r>
  <r>
    <n v="259495"/>
    <n v="500000"/>
    <x v="0"/>
    <x v="464"/>
    <x v="8"/>
    <s v="DELEGATE AGENCY"/>
    <s v="RFP"/>
    <x v="1"/>
  </r>
  <r>
    <n v="259496"/>
    <n v="225000"/>
    <x v="2"/>
    <x v="1792"/>
    <x v="8"/>
    <s v="DELEGATE AGENCY"/>
    <s v="RFP"/>
    <x v="1"/>
  </r>
  <r>
    <n v="259497"/>
    <n v="350000"/>
    <x v="1"/>
    <x v="1792"/>
    <x v="8"/>
    <s v="DELEGATE AGENCY"/>
    <s v="RFP"/>
    <x v="1"/>
  </r>
  <r>
    <n v="259499"/>
    <n v="225000"/>
    <x v="2"/>
    <x v="25"/>
    <x v="8"/>
    <s v="DELEGATE AGENCY"/>
    <s v="RFP"/>
    <x v="1"/>
  </r>
  <r>
    <n v="259500"/>
    <n v="350000"/>
    <x v="1"/>
    <x v="25"/>
    <x v="8"/>
    <s v="DELEGATE AGENCY"/>
    <s v="RFP"/>
    <x v="1"/>
  </r>
  <r>
    <n v="259501"/>
    <n v="225000"/>
    <x v="2"/>
    <x v="26"/>
    <x v="8"/>
    <s v="DELEGATE AGENCY"/>
    <s v="RFP"/>
    <x v="1"/>
  </r>
  <r>
    <n v="259502"/>
    <n v="682500"/>
    <x v="1"/>
    <x v="26"/>
    <x v="8"/>
    <s v="DELEGATE AGENCY"/>
    <s v="RFP"/>
    <x v="1"/>
  </r>
  <r>
    <n v="259510"/>
    <n v="888000"/>
    <x v="2"/>
    <x v="114"/>
    <x v="12"/>
    <s v="DELEGATE AGENCY"/>
    <s v="UNKNOWN"/>
    <x v="1"/>
  </r>
  <r>
    <n v="259511"/>
    <n v="444000"/>
    <x v="2"/>
    <x v="202"/>
    <x v="12"/>
    <s v="DELEGATE AGENCY"/>
    <s v="UNKNOWN"/>
    <x v="1"/>
  </r>
  <r>
    <n v="259512"/>
    <n v="444000"/>
    <x v="2"/>
    <x v="76"/>
    <x v="12"/>
    <s v="DELEGATE AGENCY"/>
    <s v="UNKNOWN"/>
    <x v="1"/>
  </r>
  <r>
    <n v="259513"/>
    <n v="444000"/>
    <x v="2"/>
    <x v="604"/>
    <x v="12"/>
    <s v="DELEGATE AGENCY"/>
    <s v="UNKNOWN"/>
    <x v="1"/>
  </r>
  <r>
    <n v="259514"/>
    <n v="888000"/>
    <x v="2"/>
    <x v="199"/>
    <x v="12"/>
    <s v="DELEGATE AGENCY"/>
    <s v="UNKNOWN"/>
    <x v="1"/>
  </r>
  <r>
    <n v="259515"/>
    <n v="444000"/>
    <x v="2"/>
    <x v="582"/>
    <x v="12"/>
    <s v="DELEGATE AGENCY"/>
    <s v="UNKNOWN"/>
    <x v="1"/>
  </r>
  <r>
    <n v="259516"/>
    <n v="888000"/>
    <x v="2"/>
    <x v="73"/>
    <x v="12"/>
    <s v="DELEGATE AGENCY"/>
    <s v="UNKNOWN"/>
    <x v="1"/>
  </r>
  <r>
    <n v="259517"/>
    <n v="444000"/>
    <x v="2"/>
    <x v="167"/>
    <x v="12"/>
    <s v="DELEGATE AGENCY"/>
    <s v="UNKNOWN"/>
    <x v="1"/>
  </r>
  <r>
    <n v="259518"/>
    <n v="444000"/>
    <x v="2"/>
    <x v="449"/>
    <x v="12"/>
    <s v="DELEGATE AGENCY"/>
    <s v="UNKNOWN"/>
    <x v="1"/>
  </r>
  <r>
    <n v="259519"/>
    <n v="444000"/>
    <x v="2"/>
    <x v="317"/>
    <x v="12"/>
    <s v="DELEGATE AGENCY"/>
    <s v="UNKNOWN"/>
    <x v="1"/>
  </r>
  <r>
    <n v="259520"/>
    <n v="1066000"/>
    <x v="2"/>
    <x v="203"/>
    <x v="12"/>
    <s v="DELEGATE AGENCY"/>
    <s v="UNKNOWN"/>
    <x v="1"/>
  </r>
  <r>
    <n v="259521"/>
    <n v="1066000"/>
    <x v="0"/>
    <x v="205"/>
    <x v="12"/>
    <s v="DELEGATE AGENCY"/>
    <s v="UNKNOWN"/>
    <x v="1"/>
  </r>
  <r>
    <n v="259522"/>
    <n v="2454000"/>
    <x v="0"/>
    <x v="169"/>
    <x v="12"/>
    <s v="DELEGATE AGENCY"/>
    <s v="UNKNOWN"/>
    <x v="1"/>
  </r>
  <r>
    <n v="259523"/>
    <n v="1066000"/>
    <x v="0"/>
    <x v="200"/>
    <x v="12"/>
    <s v="DELEGATE AGENCY"/>
    <s v="UNKNOWN"/>
    <x v="1"/>
  </r>
  <r>
    <n v="259621"/>
    <n v="12724625"/>
    <x v="0"/>
    <x v="1793"/>
    <x v="2"/>
    <s v="COMPTROLLER-OTHER"/>
    <s v="UNKNOWN"/>
    <x v="1"/>
  </r>
  <r>
    <n v="259623"/>
    <n v="106260"/>
    <x v="0"/>
    <x v="948"/>
    <x v="2"/>
    <s v="COMPTROLLER-OTHER"/>
    <s v="UNKNOWN"/>
    <x v="1"/>
  </r>
  <r>
    <n v="259633"/>
    <n v="500000"/>
    <x v="1"/>
    <x v="375"/>
    <x v="2"/>
    <s v="COMPTROLLER-OTHER"/>
    <s v="UNKNOWN"/>
    <x v="1"/>
  </r>
  <r>
    <n v="259634"/>
    <n v="13000"/>
    <x v="2"/>
    <x v="1794"/>
    <x v="2"/>
    <s v="COMPTROLLER-OTHER"/>
    <s v="UNKNOWN"/>
    <x v="1"/>
  </r>
  <r>
    <n v="259664"/>
    <n v="12569068"/>
    <x v="4"/>
    <x v="1795"/>
    <x v="2"/>
    <s v="COMPTROLLER-OTHER"/>
    <s v="UNKNOWN"/>
    <x v="1"/>
  </r>
  <r>
    <n v="259670"/>
    <n v="9500"/>
    <x v="0"/>
    <x v="1796"/>
    <x v="2"/>
    <s v="COMPTROLLER-OTHER"/>
    <s v="UNKNOWN"/>
    <x v="1"/>
  </r>
  <r>
    <n v="259674"/>
    <n v="53819"/>
    <x v="3"/>
    <x v="968"/>
    <x v="2"/>
    <s v="COMPTROLLER-OTHER"/>
    <s v="UNKNOWN"/>
    <x v="1"/>
  </r>
  <r>
    <n v="259676"/>
    <n v="1500000"/>
    <x v="1"/>
    <x v="381"/>
    <x v="2"/>
    <s v="COMPTROLLER-OTHER"/>
    <s v="UNKNOWN"/>
    <x v="1"/>
  </r>
  <r>
    <n v="259680"/>
    <n v="160485"/>
    <x v="0"/>
    <x v="1797"/>
    <x v="2"/>
    <s v="COMPTROLLER-OTHER"/>
    <s v="UNKNOWN"/>
    <x v="1"/>
  </r>
  <r>
    <n v="259681"/>
    <n v="114971"/>
    <x v="1"/>
    <x v="289"/>
    <x v="2"/>
    <s v="COMPTROLLER-OTHER"/>
    <s v="UNKNOWN"/>
    <x v="1"/>
  </r>
  <r>
    <n v="259682"/>
    <n v="74778"/>
    <x v="1"/>
    <x v="1798"/>
    <x v="2"/>
    <s v="COMPTROLLER-OTHER"/>
    <s v="UNKNOWN"/>
    <x v="1"/>
  </r>
  <r>
    <n v="259683"/>
    <n v="5000"/>
    <x v="1"/>
    <x v="197"/>
    <x v="2"/>
    <s v="COMPTROLLER-OTHER"/>
    <s v="UNKNOWN"/>
    <x v="1"/>
  </r>
  <r>
    <n v="259686"/>
    <n v="200000"/>
    <x v="3"/>
    <x v="145"/>
    <x v="2"/>
    <s v="COMPTROLLER-OTHER"/>
    <s v="UNKNOWN"/>
    <x v="1"/>
  </r>
  <r>
    <n v="259733"/>
    <n v="5500000"/>
    <x v="1"/>
    <x v="1799"/>
    <x v="2"/>
    <s v="COMPTROLLER-OTHER"/>
    <s v="UNKNOWN"/>
    <x v="1"/>
  </r>
  <r>
    <n v="259757"/>
    <n v="58810.7"/>
    <x v="0"/>
    <x v="314"/>
    <x v="12"/>
    <s v="DELEGATE AGENCY"/>
    <s v="UNKNOWN"/>
    <x v="1"/>
  </r>
  <r>
    <n v="259831"/>
    <n v="41800"/>
    <x v="1"/>
    <x v="334"/>
    <x v="12"/>
    <s v="DELEGATE AGENCY"/>
    <s v="UNKNOWN"/>
    <x v="1"/>
  </r>
  <r>
    <n v="259836"/>
    <n v="504868.6"/>
    <x v="4"/>
    <x v="447"/>
    <x v="12"/>
    <s v="DELEGATE AGENCY"/>
    <s v="UNKNOWN"/>
    <x v="1"/>
  </r>
  <r>
    <n v="259848"/>
    <n v="1000000"/>
    <x v="2"/>
    <x v="25"/>
    <x v="12"/>
    <s v="DELEGATE AGENCY"/>
    <s v="UNKNOWN"/>
    <x v="1"/>
  </r>
  <r>
    <n v="259849"/>
    <n v="69995.8"/>
    <x v="0"/>
    <x v="91"/>
    <x v="12"/>
    <s v="DELEGATE AGENCY"/>
    <s v="UNKNOWN"/>
    <x v="1"/>
  </r>
  <r>
    <n v="259887"/>
    <n v="41632"/>
    <x v="1"/>
    <x v="334"/>
    <x v="12"/>
    <s v="DELEGATE AGENCY"/>
    <s v="UNKNOWN"/>
    <x v="1"/>
  </r>
  <r>
    <n v="259898"/>
    <n v="89954.2"/>
    <x v="4"/>
    <x v="91"/>
    <x v="12"/>
    <s v="DELEGATE AGENCY"/>
    <s v="UNKNOWN"/>
    <x v="1"/>
  </r>
  <r>
    <n v="259899"/>
    <n v="87000"/>
    <x v="1"/>
    <x v="346"/>
    <x v="12"/>
    <s v="DELEGATE AGENCY"/>
    <s v="UNKNOWN"/>
    <x v="1"/>
  </r>
  <r>
    <n v="259900"/>
    <n v="41800"/>
    <x v="1"/>
    <x v="334"/>
    <x v="12"/>
    <s v="DELEGATE AGENCY"/>
    <s v="UNKNOWN"/>
    <x v="1"/>
  </r>
  <r>
    <n v="259902"/>
    <n v="85779.9"/>
    <x v="4"/>
    <x v="356"/>
    <x v="12"/>
    <s v="DELEGATE AGENCY"/>
    <s v="UNKNOWN"/>
    <x v="1"/>
  </r>
  <r>
    <n v="259905"/>
    <n v="41800"/>
    <x v="1"/>
    <x v="334"/>
    <x v="12"/>
    <s v="DELEGATE AGENCY"/>
    <s v="UNKNOWN"/>
    <x v="1"/>
  </r>
  <r>
    <n v="259906"/>
    <n v="41800"/>
    <x v="4"/>
    <x v="334"/>
    <x v="12"/>
    <s v="DELEGATE AGENCY"/>
    <s v="UNKNOWN"/>
    <x v="1"/>
  </r>
  <r>
    <n v="259910"/>
    <n v="41875"/>
    <x v="4"/>
    <x v="113"/>
    <x v="12"/>
    <s v="DELEGATE AGENCY"/>
    <s v="UNKNOWN"/>
    <x v="1"/>
  </r>
  <r>
    <n v="259911"/>
    <n v="41874.9"/>
    <x v="4"/>
    <x v="332"/>
    <x v="12"/>
    <s v="DELEGATE AGENCY"/>
    <s v="UNKNOWN"/>
    <x v="1"/>
  </r>
  <r>
    <n v="259913"/>
    <n v="1799823.7"/>
    <x v="4"/>
    <x v="297"/>
    <x v="12"/>
    <s v="DELEGATE AGENCY"/>
    <s v="UNKNOWN"/>
    <x v="1"/>
  </r>
  <r>
    <n v="259926"/>
    <n v="32140"/>
    <x v="0"/>
    <x v="189"/>
    <x v="12"/>
    <s v="DELEGATE AGENCY"/>
    <s v="UNKNOWN"/>
    <x v="1"/>
  </r>
  <r>
    <n v="260100"/>
    <n v="51779.199999999997"/>
    <x v="4"/>
    <x v="201"/>
    <x v="12"/>
    <s v="DELEGATE AGENCY"/>
    <s v="UNKNOWN"/>
    <x v="1"/>
  </r>
  <r>
    <n v="260103"/>
    <n v="180000"/>
    <x v="1"/>
    <x v="346"/>
    <x v="12"/>
    <s v="DELEGATE AGENCY"/>
    <s v="UNKNOWN"/>
    <x v="1"/>
  </r>
  <r>
    <n v="260104"/>
    <n v="73117.5"/>
    <x v="1"/>
    <x v="349"/>
    <x v="12"/>
    <s v="DELEGATE AGENCY"/>
    <s v="UNKNOWN"/>
    <x v="1"/>
  </r>
  <r>
    <n v="260110"/>
    <n v="138000"/>
    <x v="1"/>
    <x v="450"/>
    <x v="12"/>
    <s v="DELEGATE AGENCY"/>
    <s v="UNKNOWN"/>
    <x v="1"/>
  </r>
  <r>
    <n v="260111"/>
    <n v="69000"/>
    <x v="1"/>
    <x v="84"/>
    <x v="12"/>
    <s v="DELEGATE AGENCY"/>
    <s v="UNKNOWN"/>
    <x v="1"/>
  </r>
  <r>
    <n v="260112"/>
    <n v="103500"/>
    <x v="1"/>
    <x v="681"/>
    <x v="12"/>
    <s v="DELEGATE AGENCY"/>
    <s v="UNKNOWN"/>
    <x v="1"/>
  </r>
  <r>
    <n v="260113"/>
    <n v="69000"/>
    <x v="1"/>
    <x v="34"/>
    <x v="12"/>
    <s v="DELEGATE AGENCY"/>
    <s v="UNKNOWN"/>
    <x v="1"/>
  </r>
  <r>
    <n v="260127"/>
    <n v="129676.7"/>
    <x v="1"/>
    <x v="201"/>
    <x v="12"/>
    <s v="DELEGATE AGENCY"/>
    <s v="UNKNOWN"/>
    <x v="1"/>
  </r>
  <r>
    <n v="260129"/>
    <n v="150000"/>
    <x v="1"/>
    <x v="355"/>
    <x v="12"/>
    <s v="DELEGATE AGENCY"/>
    <s v="UNKNOWN"/>
    <x v="1"/>
  </r>
  <r>
    <n v="260132"/>
    <n v="73438.600000000006"/>
    <x v="1"/>
    <x v="348"/>
    <x v="12"/>
    <s v="DELEGATE AGENCY"/>
    <s v="UNKNOWN"/>
    <x v="1"/>
  </r>
  <r>
    <n v="260133"/>
    <n v="50862.1"/>
    <x v="1"/>
    <x v="686"/>
    <x v="19"/>
    <s v="DELEGATE AGENCY"/>
    <s v="UNKNOWN"/>
    <x v="1"/>
  </r>
  <r>
    <n v="260139"/>
    <n v="58868.1"/>
    <x v="1"/>
    <x v="349"/>
    <x v="12"/>
    <s v="DELEGATE AGENCY"/>
    <s v="UNKNOWN"/>
    <x v="1"/>
  </r>
  <r>
    <n v="260376"/>
    <n v="604345.9"/>
    <x v="1"/>
    <x v="1136"/>
    <x v="16"/>
    <s v="COMPTROLLER-OTHER"/>
    <s v="UNKNOWN"/>
    <x v="1"/>
  </r>
  <r>
    <n v="260435"/>
    <n v="505000"/>
    <x v="2"/>
    <x v="564"/>
    <x v="8"/>
    <s v="DELEGATE AGENCY"/>
    <s v="UNKNOWN"/>
    <x v="1"/>
  </r>
  <r>
    <n v="260436"/>
    <n v="53219.6"/>
    <x v="2"/>
    <x v="48"/>
    <x v="8"/>
    <s v="DELEGATE AGENCY"/>
    <s v="UNKNOWN"/>
    <x v="1"/>
  </r>
  <r>
    <n v="260437"/>
    <n v="27024.5"/>
    <x v="1"/>
    <x v="46"/>
    <x v="8"/>
    <s v="DELEGATE AGENCY"/>
    <s v="UNKNOWN"/>
    <x v="1"/>
  </r>
  <r>
    <n v="260453"/>
    <n v="141600"/>
    <x v="4"/>
    <x v="368"/>
    <x v="12"/>
    <s v="DELEGATE AGENCY"/>
    <s v="UNKNOWN"/>
    <x v="1"/>
  </r>
  <r>
    <n v="260460"/>
    <n v="220000"/>
    <x v="1"/>
    <x v="1800"/>
    <x v="20"/>
    <s v="COMPTROLLER-OTHER"/>
    <s v="UNKNOWN"/>
    <x v="1"/>
  </r>
  <r>
    <n v="260462"/>
    <n v="2300000"/>
    <x v="1"/>
    <x v="1088"/>
    <x v="2"/>
    <s v="PRO SERV CONSULTING $250,000orABOVE"/>
    <s v="MASTER AGREEMENT"/>
    <x v="1"/>
  </r>
  <r>
    <n v="260465"/>
    <n v="138000"/>
    <x v="0"/>
    <x v="199"/>
    <x v="12"/>
    <s v="DELEGATE AGENCY"/>
    <s v="UNKNOWN"/>
    <x v="1"/>
  </r>
  <r>
    <n v="260466"/>
    <n v="69000"/>
    <x v="1"/>
    <x v="353"/>
    <x v="12"/>
    <s v="DELEGATE AGENCY"/>
    <s v="UNKNOWN"/>
    <x v="1"/>
  </r>
  <r>
    <n v="260467"/>
    <n v="138000"/>
    <x v="1"/>
    <x v="59"/>
    <x v="12"/>
    <s v="DELEGATE AGENCY"/>
    <s v="UNKNOWN"/>
    <x v="1"/>
  </r>
  <r>
    <n v="260468"/>
    <n v="69000"/>
    <x v="1"/>
    <x v="577"/>
    <x v="12"/>
    <s v="DELEGATE AGENCY"/>
    <s v="UNKNOWN"/>
    <x v="1"/>
  </r>
  <r>
    <n v="260469"/>
    <n v="125000"/>
    <x v="1"/>
    <x v="341"/>
    <x v="12"/>
    <s v="DELEGATE AGENCY"/>
    <s v="UNKNOWN"/>
    <x v="1"/>
  </r>
  <r>
    <n v="260470"/>
    <n v="52800"/>
    <x v="1"/>
    <x v="303"/>
    <x v="12"/>
    <s v="DELEGATE AGENCY"/>
    <s v="UNKNOWN"/>
    <x v="1"/>
  </r>
  <r>
    <n v="260471"/>
    <n v="69000"/>
    <x v="1"/>
    <x v="585"/>
    <x v="12"/>
    <s v="DELEGATE AGENCY"/>
    <s v="UNKNOWN"/>
    <x v="1"/>
  </r>
  <r>
    <n v="260472"/>
    <n v="120000"/>
    <x v="1"/>
    <x v="59"/>
    <x v="12"/>
    <s v="DELEGATE AGENCY"/>
    <s v="UNKNOWN"/>
    <x v="1"/>
  </r>
  <r>
    <n v="260473"/>
    <n v="103500"/>
    <x v="1"/>
    <x v="89"/>
    <x v="12"/>
    <s v="DELEGATE AGENCY"/>
    <s v="UNKNOWN"/>
    <x v="1"/>
  </r>
  <r>
    <n v="260474"/>
    <n v="138000"/>
    <x v="1"/>
    <x v="576"/>
    <x v="12"/>
    <s v="DELEGATE AGENCY"/>
    <s v="UNKNOWN"/>
    <x v="1"/>
  </r>
  <r>
    <n v="260475"/>
    <n v="69000"/>
    <x v="1"/>
    <x v="680"/>
    <x v="12"/>
    <s v="DELEGATE AGENCY"/>
    <s v="UNKNOWN"/>
    <x v="1"/>
  </r>
  <r>
    <n v="260476"/>
    <n v="54000"/>
    <x v="1"/>
    <x v="573"/>
    <x v="12"/>
    <s v="DELEGATE AGENCY"/>
    <s v="UNKNOWN"/>
    <x v="1"/>
  </r>
  <r>
    <n v="260477"/>
    <n v="177787"/>
    <x v="1"/>
    <x v="289"/>
    <x v="12"/>
    <s v="DELEGATE AGENCY"/>
    <s v="UNKNOWN"/>
    <x v="1"/>
  </r>
  <r>
    <n v="260478"/>
    <n v="155055"/>
    <x v="1"/>
    <x v="362"/>
    <x v="12"/>
    <s v="DELEGATE AGENCY"/>
    <s v="UNKNOWN"/>
    <x v="1"/>
  </r>
  <r>
    <n v="260479"/>
    <n v="1531007.8"/>
    <x v="1"/>
    <x v="69"/>
    <x v="12"/>
    <s v="DELEGATE AGENCY"/>
    <s v="UNKNOWN"/>
    <x v="1"/>
  </r>
  <r>
    <n v="260480"/>
    <n v="526080"/>
    <x v="0"/>
    <x v="60"/>
    <x v="12"/>
    <s v="DELEGATE AGENCY"/>
    <s v="UNKNOWN"/>
    <x v="1"/>
  </r>
  <r>
    <n v="260484"/>
    <n v="385283"/>
    <x v="2"/>
    <x v="25"/>
    <x v="8"/>
    <s v="DELEGATE AGENCY"/>
    <s v="UNKNOWN"/>
    <x v="1"/>
  </r>
  <r>
    <n v="260485"/>
    <n v="129000"/>
    <x v="2"/>
    <x v="1290"/>
    <x v="8"/>
    <s v="DELEGATE AGENCY"/>
    <s v="UNKNOWN"/>
    <x v="1"/>
  </r>
  <r>
    <n v="260486"/>
    <n v="75000"/>
    <x v="1"/>
    <x v="1343"/>
    <x v="8"/>
    <s v="DELEGATE AGENCY"/>
    <s v="UNKNOWN"/>
    <x v="1"/>
  </r>
  <r>
    <n v="260487"/>
    <n v="25222"/>
    <x v="1"/>
    <x v="44"/>
    <x v="8"/>
    <s v="DELEGATE AGENCY"/>
    <s v="UNKNOWN"/>
    <x v="1"/>
  </r>
  <r>
    <n v="260488"/>
    <n v="39232"/>
    <x v="4"/>
    <x v="43"/>
    <x v="8"/>
    <s v="DELEGATE AGENCY"/>
    <s v="UNKNOWN"/>
    <x v="1"/>
  </r>
  <r>
    <n v="260489"/>
    <n v="76137.600000000006"/>
    <x v="4"/>
    <x v="349"/>
    <x v="12"/>
    <s v="DELEGATE AGENCY"/>
    <s v="UNKNOWN"/>
    <x v="1"/>
  </r>
  <r>
    <n v="260490"/>
    <n v="35500"/>
    <x v="1"/>
    <x v="342"/>
    <x v="12"/>
    <s v="DELEGATE AGENCY"/>
    <s v="UNKNOWN"/>
    <x v="1"/>
  </r>
  <r>
    <n v="260494"/>
    <n v="77301.100000000006"/>
    <x v="4"/>
    <x v="284"/>
    <x v="12"/>
    <s v="DELEGATE AGENCY"/>
    <s v="UNKNOWN"/>
    <x v="1"/>
  </r>
  <r>
    <n v="260495"/>
    <n v="94421.1"/>
    <x v="1"/>
    <x v="59"/>
    <x v="12"/>
    <s v="DELEGATE AGENCY"/>
    <s v="UNKNOWN"/>
    <x v="1"/>
  </r>
  <r>
    <n v="260497"/>
    <n v="10075.9"/>
    <x v="1"/>
    <x v="321"/>
    <x v="12"/>
    <s v="DELEGATE AGENCY"/>
    <s v="UNKNOWN"/>
    <x v="1"/>
  </r>
  <r>
    <n v="260498"/>
    <n v="50988.4"/>
    <x v="4"/>
    <x v="294"/>
    <x v="12"/>
    <s v="DELEGATE AGENCY"/>
    <s v="UNKNOWN"/>
    <x v="1"/>
  </r>
  <r>
    <n v="260499"/>
    <n v="3120"/>
    <x v="1"/>
    <x v="294"/>
    <x v="12"/>
    <s v="DELEGATE AGENCY"/>
    <s v="UNKNOWN"/>
    <x v="1"/>
  </r>
  <r>
    <n v="260500"/>
    <n v="57204.7"/>
    <x v="3"/>
    <x v="292"/>
    <x v="12"/>
    <s v="DELEGATE AGENCY"/>
    <s v="UNKNOWN"/>
    <x v="1"/>
  </r>
  <r>
    <n v="260501"/>
    <n v="78720"/>
    <x v="1"/>
    <x v="293"/>
    <x v="12"/>
    <s v="DELEGATE AGENCY"/>
    <s v="UNKNOWN"/>
    <x v="1"/>
  </r>
  <r>
    <n v="260502"/>
    <n v="64192.2"/>
    <x v="1"/>
    <x v="352"/>
    <x v="12"/>
    <s v="DELEGATE AGENCY"/>
    <s v="UNKNOWN"/>
    <x v="1"/>
  </r>
  <r>
    <n v="260503"/>
    <n v="30000"/>
    <x v="1"/>
    <x v="293"/>
    <x v="12"/>
    <s v="DELEGATE AGENCY"/>
    <s v="UNKNOWN"/>
    <x v="1"/>
  </r>
  <r>
    <n v="260504"/>
    <n v="89000"/>
    <x v="4"/>
    <x v="351"/>
    <x v="12"/>
    <s v="DELEGATE AGENCY"/>
    <s v="UNKNOWN"/>
    <x v="1"/>
  </r>
  <r>
    <n v="260521"/>
    <n v="94162.7"/>
    <x v="1"/>
    <x v="351"/>
    <x v="12"/>
    <s v="DELEGATE AGENCY"/>
    <s v="UNKNOWN"/>
    <x v="1"/>
  </r>
  <r>
    <n v="260522"/>
    <n v="115835.7"/>
    <x v="1"/>
    <x v="315"/>
    <x v="12"/>
    <s v="DELEGATE AGENCY"/>
    <s v="UNKNOWN"/>
    <x v="1"/>
  </r>
  <r>
    <n v="260524"/>
    <n v="35857"/>
    <x v="1"/>
    <x v="296"/>
    <x v="12"/>
    <s v="DELEGATE AGENCY"/>
    <s v="UNKNOWN"/>
    <x v="1"/>
  </r>
  <r>
    <n v="260529"/>
    <n v="174588.3"/>
    <x v="4"/>
    <x v="38"/>
    <x v="8"/>
    <s v="DELEGATE AGENCY"/>
    <s v="UNKNOWN"/>
    <x v="1"/>
  </r>
  <r>
    <n v="260530"/>
    <n v="400832"/>
    <x v="1"/>
    <x v="351"/>
    <x v="12"/>
    <s v="DELEGATE AGENCY"/>
    <s v="UNKNOWN"/>
    <x v="1"/>
  </r>
  <r>
    <n v="260531"/>
    <n v="524278"/>
    <x v="2"/>
    <x v="451"/>
    <x v="12"/>
    <s v="DELEGATE AGENCY"/>
    <s v="UNKNOWN"/>
    <x v="1"/>
  </r>
  <r>
    <n v="260532"/>
    <n v="69000"/>
    <x v="2"/>
    <x v="66"/>
    <x v="12"/>
    <s v="DELEGATE AGENCY"/>
    <s v="UNKNOWN"/>
    <x v="1"/>
  </r>
  <r>
    <n v="260533"/>
    <n v="52800"/>
    <x v="1"/>
    <x v="305"/>
    <x v="12"/>
    <s v="DELEGATE AGENCY"/>
    <s v="UNKNOWN"/>
    <x v="1"/>
  </r>
  <r>
    <n v="260534"/>
    <n v="175220"/>
    <x v="1"/>
    <x v="356"/>
    <x v="12"/>
    <s v="DELEGATE AGENCY"/>
    <s v="UNKNOWN"/>
    <x v="1"/>
  </r>
  <r>
    <n v="260535"/>
    <n v="48000"/>
    <x v="1"/>
    <x v="279"/>
    <x v="12"/>
    <s v="DELEGATE AGENCY"/>
    <s v="UNKNOWN"/>
    <x v="1"/>
  </r>
  <r>
    <n v="260536"/>
    <n v="240000"/>
    <x v="4"/>
    <x v="621"/>
    <x v="12"/>
    <s v="DELEGATE AGENCY"/>
    <s v="UNKNOWN"/>
    <x v="1"/>
  </r>
  <r>
    <n v="260537"/>
    <n v="48000"/>
    <x v="1"/>
    <x v="615"/>
    <x v="12"/>
    <s v="DELEGATE AGENCY"/>
    <s v="UNKNOWN"/>
    <x v="1"/>
  </r>
  <r>
    <n v="260538"/>
    <n v="264000"/>
    <x v="4"/>
    <x v="621"/>
    <x v="12"/>
    <s v="DELEGATE AGENCY"/>
    <s v="UNKNOWN"/>
    <x v="1"/>
  </r>
  <r>
    <n v="260539"/>
    <n v="69000"/>
    <x v="2"/>
    <x v="604"/>
    <x v="12"/>
    <s v="DELEGATE AGENCY"/>
    <s v="UNKNOWN"/>
    <x v="1"/>
  </r>
  <r>
    <n v="260643"/>
    <n v="125580.9"/>
    <x v="1"/>
    <x v="1750"/>
    <x v="8"/>
    <s v="DELEGATE AGENCY"/>
    <s v="UNKNOWN"/>
    <x v="1"/>
  </r>
  <r>
    <n v="260649"/>
    <n v="200000"/>
    <x v="1"/>
    <x v="25"/>
    <x v="8"/>
    <s v="DELEGATE AGENCY"/>
    <s v="UNKNOWN"/>
    <x v="1"/>
  </r>
  <r>
    <n v="260709"/>
    <n v="70000"/>
    <x v="1"/>
    <x v="314"/>
    <x v="12"/>
    <s v="DELEGATE AGENCY"/>
    <s v="UNKNOWN"/>
    <x v="1"/>
  </r>
  <r>
    <n v="260712"/>
    <n v="85000000"/>
    <x v="1"/>
    <x v="558"/>
    <x v="12"/>
    <s v="DELEGATE AGENCY"/>
    <s v="RFP"/>
    <x v="1"/>
  </r>
  <r>
    <n v="260718"/>
    <n v="10666634.5"/>
    <x v="0"/>
    <x v="21"/>
    <x v="0"/>
    <s v="CONSTRUCTION-LARGE $3MILLIONorABOVE"/>
    <s v="BID"/>
    <x v="1"/>
  </r>
  <r>
    <n v="260729"/>
    <n v="40076.1"/>
    <x v="0"/>
    <x v="314"/>
    <x v="12"/>
    <s v="DELEGATE AGENCY"/>
    <s v="UNKNOWN"/>
    <x v="1"/>
  </r>
  <r>
    <n v="260736"/>
    <n v="74059.899999999994"/>
    <x v="4"/>
    <x v="1005"/>
    <x v="8"/>
    <s v="DELEGATE AGENCY"/>
    <s v="UNKNOWN"/>
    <x v="1"/>
  </r>
  <r>
    <n v="260737"/>
    <n v="5732398"/>
    <x v="1"/>
    <x v="1494"/>
    <x v="8"/>
    <s v="DELEGATE AGENCY"/>
    <s v="UNKNOWN"/>
    <x v="1"/>
  </r>
  <r>
    <n v="260739"/>
    <n v="650000"/>
    <x v="0"/>
    <x v="281"/>
    <x v="8"/>
    <s v="DELEGATE AGENCY"/>
    <s v="UNKNOWN"/>
    <x v="1"/>
  </r>
  <r>
    <n v="260740"/>
    <n v="100000"/>
    <x v="2"/>
    <x v="563"/>
    <x v="8"/>
    <s v="DELEGATE AGENCY"/>
    <s v="UNKNOWN"/>
    <x v="1"/>
  </r>
  <r>
    <n v="260741"/>
    <n v="159000"/>
    <x v="1"/>
    <x v="44"/>
    <x v="8"/>
    <s v="DELEGATE AGENCY"/>
    <s v="UNKNOWN"/>
    <x v="1"/>
  </r>
  <r>
    <n v="260742"/>
    <n v="278000"/>
    <x v="1"/>
    <x v="1289"/>
    <x v="8"/>
    <s v="DELEGATE AGENCY"/>
    <s v="UNKNOWN"/>
    <x v="1"/>
  </r>
  <r>
    <n v="260758"/>
    <n v="347235"/>
    <x v="2"/>
    <x v="1498"/>
    <x v="19"/>
    <s v="DELEGATE AGENCY"/>
    <s v="UNKNOWN"/>
    <x v="1"/>
  </r>
  <r>
    <n v="260760"/>
    <n v="20000"/>
    <x v="2"/>
    <x v="1801"/>
    <x v="20"/>
    <s v="COMPTROLLER-OTHER"/>
    <s v="UNKNOWN"/>
    <x v="1"/>
  </r>
  <r>
    <n v="260764"/>
    <n v="485520"/>
    <x v="4"/>
    <x v="642"/>
    <x v="14"/>
    <s v="SOFTWARE"/>
    <s v="JOINT PURCHASE"/>
    <x v="1"/>
  </r>
  <r>
    <n v="260778"/>
    <n v="38399.800000000003"/>
    <x v="2"/>
    <x v="333"/>
    <x v="12"/>
    <s v="DELEGATE AGENCY"/>
    <s v="UNKNOWN"/>
    <x v="1"/>
  </r>
  <r>
    <n v="260890"/>
    <n v="199884.6"/>
    <x v="4"/>
    <x v="330"/>
    <x v="8"/>
    <s v="DELEGATE AGENCY"/>
    <s v="UNKNOWN"/>
    <x v="1"/>
  </r>
  <r>
    <n v="260891"/>
    <n v="242883.4"/>
    <x v="1"/>
    <x v="302"/>
    <x v="8"/>
    <s v="DELEGATE AGENCY"/>
    <s v="UNKNOWN"/>
    <x v="1"/>
  </r>
  <r>
    <n v="260892"/>
    <n v="172278.8"/>
    <x v="1"/>
    <x v="504"/>
    <x v="8"/>
    <s v="DELEGATE AGENCY"/>
    <s v="UNKNOWN"/>
    <x v="1"/>
  </r>
  <r>
    <n v="260894"/>
    <n v="563292.19999999995"/>
    <x v="1"/>
    <x v="189"/>
    <x v="8"/>
    <s v="DELEGATE AGENCY"/>
    <s v="UNKNOWN"/>
    <x v="1"/>
  </r>
  <r>
    <n v="260900"/>
    <n v="48700"/>
    <x v="2"/>
    <x v="228"/>
    <x v="12"/>
    <s v="DELEGATE AGENCY"/>
    <s v="UNKNOWN"/>
    <x v="1"/>
  </r>
  <r>
    <n v="260901"/>
    <n v="96000"/>
    <x v="4"/>
    <x v="613"/>
    <x v="12"/>
    <s v="DELEGATE AGENCY"/>
    <s v="UNKNOWN"/>
    <x v="1"/>
  </r>
  <r>
    <n v="260902"/>
    <n v="48000"/>
    <x v="1"/>
    <x v="620"/>
    <x v="12"/>
    <s v="DELEGATE AGENCY"/>
    <s v="UNKNOWN"/>
    <x v="1"/>
  </r>
  <r>
    <n v="260903"/>
    <n v="48000"/>
    <x v="4"/>
    <x v="228"/>
    <x v="12"/>
    <s v="DELEGATE AGENCY"/>
    <s v="UNKNOWN"/>
    <x v="1"/>
  </r>
  <r>
    <n v="260904"/>
    <n v="72000"/>
    <x v="4"/>
    <x v="604"/>
    <x v="12"/>
    <s v="DELEGATE AGENCY"/>
    <s v="UNKNOWN"/>
    <x v="1"/>
  </r>
  <r>
    <n v="260905"/>
    <n v="96000"/>
    <x v="1"/>
    <x v="114"/>
    <x v="12"/>
    <s v="DELEGATE AGENCY"/>
    <s v="UNKNOWN"/>
    <x v="1"/>
  </r>
  <r>
    <n v="260906"/>
    <n v="48200"/>
    <x v="1"/>
    <x v="228"/>
    <x v="12"/>
    <s v="DELEGATE AGENCY"/>
    <s v="UNKNOWN"/>
    <x v="1"/>
  </r>
  <r>
    <n v="260907"/>
    <n v="54445"/>
    <x v="4"/>
    <x v="363"/>
    <x v="12"/>
    <s v="DELEGATE AGENCY"/>
    <s v="UNKNOWN"/>
    <x v="1"/>
  </r>
  <r>
    <n v="260908"/>
    <n v="52800"/>
    <x v="1"/>
    <x v="364"/>
    <x v="12"/>
    <s v="DELEGATE AGENCY"/>
    <s v="UNKNOWN"/>
    <x v="1"/>
  </r>
  <r>
    <n v="260909"/>
    <n v="72000"/>
    <x v="1"/>
    <x v="430"/>
    <x v="12"/>
    <s v="DELEGATE AGENCY"/>
    <s v="UNKNOWN"/>
    <x v="1"/>
  </r>
  <r>
    <n v="260910"/>
    <n v="48000"/>
    <x v="1"/>
    <x v="611"/>
    <x v="12"/>
    <s v="DELEGATE AGENCY"/>
    <s v="UNKNOWN"/>
    <x v="1"/>
  </r>
  <r>
    <n v="260917"/>
    <n v="2843"/>
    <x v="4"/>
    <x v="335"/>
    <x v="12"/>
    <s v="DELEGATE AGENCY"/>
    <s v="UNKNOWN"/>
    <x v="1"/>
  </r>
  <r>
    <n v="261002"/>
    <n v="50000"/>
    <x v="3"/>
    <x v="1802"/>
    <x v="20"/>
    <s v="COMPTROLLER-OTHER"/>
    <s v="UNKNOWN"/>
    <x v="1"/>
  </r>
  <r>
    <n v="261007"/>
    <n v="10000"/>
    <x v="1"/>
    <x v="1803"/>
    <x v="20"/>
    <s v="COMPTROLLER-OTHER"/>
    <s v="UNKNOWN"/>
    <x v="1"/>
  </r>
  <r>
    <n v="261022"/>
    <n v="25000"/>
    <x v="4"/>
    <x v="1714"/>
    <x v="20"/>
    <s v="COMPTROLLER-OTHER"/>
    <s v="UNKNOWN"/>
    <x v="1"/>
  </r>
  <r>
    <n v="261027"/>
    <n v="692657.1"/>
    <x v="4"/>
    <x v="40"/>
    <x v="8"/>
    <s v="DELEGATE AGENCY"/>
    <s v="UNKNOWN"/>
    <x v="1"/>
  </r>
  <r>
    <n v="261037"/>
    <n v="108000"/>
    <x v="2"/>
    <x v="84"/>
    <x v="12"/>
    <s v="DELEGATE AGENCY"/>
    <s v="UNKNOWN"/>
    <x v="1"/>
  </r>
  <r>
    <n v="261039"/>
    <n v="48789"/>
    <x v="1"/>
    <x v="336"/>
    <x v="12"/>
    <s v="DELEGATE AGENCY"/>
    <s v="UNKNOWN"/>
    <x v="1"/>
  </r>
  <r>
    <n v="261049"/>
    <n v="324896"/>
    <x v="4"/>
    <x v="201"/>
    <x v="12"/>
    <s v="DELEGATE AGENCY"/>
    <s v="UNKNOWN"/>
    <x v="1"/>
  </r>
  <r>
    <n v="261055"/>
    <n v="412891.8"/>
    <x v="2"/>
    <x v="205"/>
    <x v="8"/>
    <s v="DELEGATE AGENCY"/>
    <s v="UNKNOWN"/>
    <x v="1"/>
  </r>
  <r>
    <n v="261056"/>
    <n v="30000"/>
    <x v="2"/>
    <x v="957"/>
    <x v="19"/>
    <s v="DELEGATE AGENCY"/>
    <s v="UNKNOWN"/>
    <x v="1"/>
  </r>
  <r>
    <n v="261057"/>
    <n v="55000"/>
    <x v="4"/>
    <x v="957"/>
    <x v="19"/>
    <s v="DELEGATE AGENCY"/>
    <s v="UNKNOWN"/>
    <x v="1"/>
  </r>
  <r>
    <n v="261058"/>
    <n v="30000"/>
    <x v="1"/>
    <x v="982"/>
    <x v="19"/>
    <s v="DELEGATE AGENCY"/>
    <s v="UNKNOWN"/>
    <x v="1"/>
  </r>
  <r>
    <n v="261059"/>
    <n v="40000"/>
    <x v="4"/>
    <x v="958"/>
    <x v="19"/>
    <s v="DELEGATE AGENCY"/>
    <s v="UNKNOWN"/>
    <x v="1"/>
  </r>
  <r>
    <n v="261085"/>
    <n v="452894.4"/>
    <x v="4"/>
    <x v="593"/>
    <x v="8"/>
    <s v="DELEGATE AGENCY"/>
    <s v="UNKNOWN"/>
    <x v="1"/>
  </r>
  <r>
    <n v="261098"/>
    <n v="935000"/>
    <x v="2"/>
    <x v="565"/>
    <x v="8"/>
    <s v="DELEGATE AGENCY"/>
    <s v="UNKNOWN"/>
    <x v="1"/>
  </r>
  <r>
    <n v="261105"/>
    <n v="1014117"/>
    <x v="2"/>
    <x v="297"/>
    <x v="12"/>
    <s v="DELEGATE AGENCY"/>
    <s v="RFP"/>
    <x v="1"/>
  </r>
  <r>
    <n v="261106"/>
    <n v="170996.9"/>
    <x v="0"/>
    <x v="168"/>
    <x v="12"/>
    <s v="DELEGATE AGENCY"/>
    <s v="UNKNOWN"/>
    <x v="1"/>
  </r>
  <r>
    <n v="261107"/>
    <n v="121000"/>
    <x v="1"/>
    <x v="323"/>
    <x v="12"/>
    <s v="DELEGATE AGENCY"/>
    <s v="UNKNOWN"/>
    <x v="1"/>
  </r>
  <r>
    <n v="261109"/>
    <n v="62349.8"/>
    <x v="1"/>
    <x v="114"/>
    <x v="12"/>
    <s v="DELEGATE AGENCY"/>
    <s v="UNKNOWN"/>
    <x v="1"/>
  </r>
  <r>
    <n v="261111"/>
    <n v="52799.6"/>
    <x v="1"/>
    <x v="114"/>
    <x v="12"/>
    <s v="DELEGATE AGENCY"/>
    <s v="UNKNOWN"/>
    <x v="1"/>
  </r>
  <r>
    <n v="261113"/>
    <n v="52799.6"/>
    <x v="1"/>
    <x v="114"/>
    <x v="12"/>
    <s v="DELEGATE AGENCY"/>
    <s v="UNKNOWN"/>
    <x v="1"/>
  </r>
  <r>
    <n v="261114"/>
    <n v="114500"/>
    <x v="1"/>
    <x v="362"/>
    <x v="12"/>
    <s v="DELEGATE AGENCY"/>
    <s v="UNKNOWN"/>
    <x v="1"/>
  </r>
  <r>
    <n v="261115"/>
    <n v="16077.3999999999"/>
    <x v="1"/>
    <x v="361"/>
    <x v="12"/>
    <s v="DELEGATE AGENCY"/>
    <s v="UNKNOWN"/>
    <x v="1"/>
  </r>
  <r>
    <n v="261119"/>
    <n v="107984.7"/>
    <x v="4"/>
    <x v="316"/>
    <x v="12"/>
    <s v="DELEGATE AGENCY"/>
    <s v="UNKNOWN"/>
    <x v="1"/>
  </r>
  <r>
    <n v="261121"/>
    <n v="65616.7"/>
    <x v="1"/>
    <x v="335"/>
    <x v="12"/>
    <s v="DELEGATE AGENCY"/>
    <s v="UNKNOWN"/>
    <x v="1"/>
  </r>
  <r>
    <n v="261131"/>
    <n v="100000"/>
    <x v="1"/>
    <x v="1804"/>
    <x v="20"/>
    <s v="COMPTROLLER-OTHER"/>
    <s v="UNKNOWN"/>
    <x v="1"/>
  </r>
  <r>
    <n v="261132"/>
    <n v="45000"/>
    <x v="1"/>
    <x v="1726"/>
    <x v="20"/>
    <s v="COMPTROLLER-OTHER"/>
    <s v="UNKNOWN"/>
    <x v="1"/>
  </r>
  <r>
    <n v="261133"/>
    <n v="100000"/>
    <x v="4"/>
    <x v="1805"/>
    <x v="20"/>
    <s v="COMPTROLLER-OTHER"/>
    <s v="UNKNOWN"/>
    <x v="1"/>
  </r>
  <r>
    <n v="261134"/>
    <n v="75000"/>
    <x v="1"/>
    <x v="1806"/>
    <x v="20"/>
    <s v="COMPTROLLER-OTHER"/>
    <s v="UNKNOWN"/>
    <x v="1"/>
  </r>
  <r>
    <n v="261135"/>
    <n v="100000"/>
    <x v="1"/>
    <x v="1807"/>
    <x v="20"/>
    <s v="COMPTROLLER-OTHER"/>
    <s v="UNKNOWN"/>
    <x v="1"/>
  </r>
  <r>
    <n v="261137"/>
    <n v="250000"/>
    <x v="1"/>
    <x v="1808"/>
    <x v="2"/>
    <s v="COMPTROLLER-OTHER"/>
    <s v="UNKNOWN"/>
    <x v="1"/>
  </r>
  <r>
    <n v="261143"/>
    <n v="982970.9"/>
    <x v="2"/>
    <x v="642"/>
    <x v="3"/>
    <s v="SOFTWARE"/>
    <s v="JOINT PURCHASE"/>
    <x v="1"/>
  </r>
  <r>
    <n v="261219"/>
    <n v="250000"/>
    <x v="2"/>
    <x v="1809"/>
    <x v="2"/>
    <s v="COMPTROLLER-OTHER"/>
    <s v="UNKNOWN"/>
    <x v="1"/>
  </r>
  <r>
    <n v="261222"/>
    <n v="50000"/>
    <x v="2"/>
    <x v="1810"/>
    <x v="20"/>
    <s v="COMPTROLLER-OTHER"/>
    <s v="UNKNOWN"/>
    <x v="1"/>
  </r>
  <r>
    <n v="261227"/>
    <n v="20000"/>
    <x v="1"/>
    <x v="1811"/>
    <x v="20"/>
    <s v="COMPTROLLER-OTHER"/>
    <s v="UNKNOWN"/>
    <x v="1"/>
  </r>
  <r>
    <n v="261232"/>
    <n v="20000"/>
    <x v="4"/>
    <x v="1812"/>
    <x v="20"/>
    <s v="COMPTROLLER-OTHER"/>
    <s v="UNKNOWN"/>
    <x v="1"/>
  </r>
  <r>
    <n v="261258"/>
    <n v="8079003.2999999998"/>
    <x v="4"/>
    <x v="226"/>
    <x v="0"/>
    <s v="CONSTRUCTION-LARGE $3MILLIONorABOVE"/>
    <s v="BID"/>
    <x v="1"/>
  </r>
  <r>
    <n v="261306"/>
    <n v="60000"/>
    <x v="0"/>
    <x v="1813"/>
    <x v="20"/>
    <s v="COMPTROLLER-OTHER"/>
    <s v="UNKNOWN"/>
    <x v="1"/>
  </r>
  <r>
    <n v="261308"/>
    <n v="90000"/>
    <x v="1"/>
    <x v="1186"/>
    <x v="20"/>
    <s v="COMPTROLLER-OTHER"/>
    <s v="UNKNOWN"/>
    <x v="1"/>
  </r>
  <r>
    <n v="261311"/>
    <n v="100000"/>
    <x v="1"/>
    <x v="573"/>
    <x v="20"/>
    <s v="COMPTROLLER-OTHER"/>
    <s v="UNKNOWN"/>
    <x v="1"/>
  </r>
  <r>
    <n v="261326"/>
    <n v="278659.20000000001"/>
    <x v="1"/>
    <x v="293"/>
    <x v="12"/>
    <s v="DELEGATE AGENCY"/>
    <s v="UNKNOWN"/>
    <x v="1"/>
  </r>
  <r>
    <n v="261327"/>
    <n v="1671877"/>
    <x v="2"/>
    <x v="1814"/>
    <x v="2"/>
    <s v="COMPTROLLER-OTHER"/>
    <s v="UNKNOWN"/>
    <x v="1"/>
  </r>
  <r>
    <n v="261328"/>
    <n v="14450000"/>
    <x v="0"/>
    <x v="1815"/>
    <x v="2"/>
    <s v="COMPTROLLER-OTHER"/>
    <s v="UNKNOWN"/>
    <x v="1"/>
  </r>
  <r>
    <n v="261329"/>
    <n v="12900000"/>
    <x v="0"/>
    <x v="1815"/>
    <x v="2"/>
    <s v="COMPTROLLER-OTHER"/>
    <s v="UNKNOWN"/>
    <x v="1"/>
  </r>
  <r>
    <n v="261335"/>
    <n v="144000"/>
    <x v="0"/>
    <x v="76"/>
    <x v="12"/>
    <s v="DELEGATE AGENCY"/>
    <s v="UNKNOWN"/>
    <x v="1"/>
  </r>
  <r>
    <n v="261342"/>
    <n v="475327"/>
    <x v="1"/>
    <x v="396"/>
    <x v="8"/>
    <s v="DELEGATE AGENCY"/>
    <s v="UNKNOWN"/>
    <x v="1"/>
  </r>
  <r>
    <n v="261343"/>
    <n v="445993.9"/>
    <x v="2"/>
    <x v="595"/>
    <x v="8"/>
    <s v="DELEGATE AGENCY"/>
    <s v="UNKNOWN"/>
    <x v="1"/>
  </r>
  <r>
    <n v="261344"/>
    <n v="241676.5"/>
    <x v="2"/>
    <x v="91"/>
    <x v="8"/>
    <s v="DELEGATE AGENCY"/>
    <s v="UNKNOWN"/>
    <x v="1"/>
  </r>
  <r>
    <n v="261346"/>
    <n v="1000000"/>
    <x v="1"/>
    <x v="91"/>
    <x v="12"/>
    <s v="DELEGATE AGENCY"/>
    <s v="RFP"/>
    <x v="1"/>
  </r>
  <r>
    <n v="261348"/>
    <n v="1000000"/>
    <x v="0"/>
    <x v="61"/>
    <x v="12"/>
    <s v="DELEGATE AGENCY"/>
    <s v="RFP"/>
    <x v="1"/>
  </r>
  <r>
    <n v="261351"/>
    <n v="670378"/>
    <x v="0"/>
    <x v="198"/>
    <x v="12"/>
    <s v="DELEGATE AGENCY"/>
    <s v="RFP"/>
    <x v="1"/>
  </r>
  <r>
    <n v="261352"/>
    <n v="5000"/>
    <x v="2"/>
    <x v="61"/>
    <x v="12"/>
    <s v="DELEGATE AGENCY"/>
    <s v="RFP"/>
    <x v="1"/>
  </r>
  <r>
    <n v="261404"/>
    <n v="107689"/>
    <x v="3"/>
    <x v="114"/>
    <x v="12"/>
    <s v="DELEGATE AGENCY"/>
    <s v="UNKNOWN"/>
    <x v="1"/>
  </r>
  <r>
    <n v="261405"/>
    <n v="48000"/>
    <x v="1"/>
    <x v="114"/>
    <x v="12"/>
    <s v="DELEGATE AGENCY"/>
    <s v="UNKNOWN"/>
    <x v="1"/>
  </r>
  <r>
    <n v="261432"/>
    <n v="119541.6"/>
    <x v="4"/>
    <x v="76"/>
    <x v="12"/>
    <s v="DELEGATE AGENCY"/>
    <s v="UNKNOWN"/>
    <x v="1"/>
  </r>
  <r>
    <n v="261435"/>
    <n v="89847"/>
    <x v="1"/>
    <x v="350"/>
    <x v="12"/>
    <s v="DELEGATE AGENCY"/>
    <s v="UNKNOWN"/>
    <x v="1"/>
  </r>
  <r>
    <n v="261436"/>
    <n v="167660"/>
    <x v="1"/>
    <x v="239"/>
    <x v="12"/>
    <s v="DELEGATE AGENCY"/>
    <s v="UNKNOWN"/>
    <x v="1"/>
  </r>
  <r>
    <n v="261451"/>
    <n v="55518.8"/>
    <x v="1"/>
    <x v="213"/>
    <x v="12"/>
    <s v="DELEGATE AGENCY"/>
    <s v="UNKNOWN"/>
    <x v="1"/>
  </r>
  <r>
    <n v="261456"/>
    <n v="64999.9"/>
    <x v="1"/>
    <x v="216"/>
    <x v="12"/>
    <s v="DELEGATE AGENCY"/>
    <s v="UNKNOWN"/>
    <x v="1"/>
  </r>
  <r>
    <n v="261462"/>
    <n v="65947.399999999994"/>
    <x v="1"/>
    <x v="353"/>
    <x v="12"/>
    <s v="DELEGATE AGENCY"/>
    <s v="UNKNOWN"/>
    <x v="1"/>
  </r>
  <r>
    <n v="261463"/>
    <n v="86400"/>
    <x v="1"/>
    <x v="213"/>
    <x v="12"/>
    <s v="DELEGATE AGENCY"/>
    <s v="UNKNOWN"/>
    <x v="1"/>
  </r>
  <r>
    <n v="261465"/>
    <n v="64620"/>
    <x v="1"/>
    <x v="341"/>
    <x v="12"/>
    <s v="DELEGATE AGENCY"/>
    <s v="UNKNOWN"/>
    <x v="1"/>
  </r>
  <r>
    <n v="261467"/>
    <n v="72451"/>
    <x v="1"/>
    <x v="359"/>
    <x v="12"/>
    <s v="DELEGATE AGENCY"/>
    <s v="UNKNOWN"/>
    <x v="1"/>
  </r>
  <r>
    <n v="261468"/>
    <n v="40029"/>
    <x v="1"/>
    <x v="114"/>
    <x v="12"/>
    <s v="DELEGATE AGENCY"/>
    <s v="UNKNOWN"/>
    <x v="1"/>
  </r>
  <r>
    <n v="261469"/>
    <n v="67315"/>
    <x v="4"/>
    <x v="364"/>
    <x v="12"/>
    <s v="DELEGATE AGENCY"/>
    <s v="UNKNOWN"/>
    <x v="1"/>
  </r>
  <r>
    <n v="261473"/>
    <n v="64741.1"/>
    <x v="1"/>
    <x v="341"/>
    <x v="12"/>
    <s v="DELEGATE AGENCY"/>
    <s v="UNKNOWN"/>
    <x v="1"/>
  </r>
  <r>
    <n v="261474"/>
    <n v="64937.2"/>
    <x v="1"/>
    <x v="114"/>
    <x v="12"/>
    <s v="DELEGATE AGENCY"/>
    <s v="UNKNOWN"/>
    <x v="1"/>
  </r>
  <r>
    <n v="261476"/>
    <n v="136468"/>
    <x v="1"/>
    <x v="366"/>
    <x v="12"/>
    <s v="DELEGATE AGENCY"/>
    <s v="UNKNOWN"/>
    <x v="1"/>
  </r>
  <r>
    <n v="261478"/>
    <n v="86400"/>
    <x v="1"/>
    <x v="91"/>
    <x v="12"/>
    <s v="DELEGATE AGENCY"/>
    <s v="UNKNOWN"/>
    <x v="1"/>
  </r>
  <r>
    <n v="261479"/>
    <n v="41196.699999999997"/>
    <x v="1"/>
    <x v="360"/>
    <x v="12"/>
    <s v="DELEGATE AGENCY"/>
    <s v="UNKNOWN"/>
    <x v="1"/>
  </r>
  <r>
    <n v="261481"/>
    <n v="71085"/>
    <x v="4"/>
    <x v="114"/>
    <x v="12"/>
    <s v="DELEGATE AGENCY"/>
    <s v="UNKNOWN"/>
    <x v="1"/>
  </r>
  <r>
    <n v="261483"/>
    <n v="50000"/>
    <x v="1"/>
    <x v="974"/>
    <x v="19"/>
    <s v="DELEGATE AGENCY"/>
    <s v="UNKNOWN"/>
    <x v="1"/>
  </r>
  <r>
    <n v="261485"/>
    <n v="25000"/>
    <x v="1"/>
    <x v="974"/>
    <x v="19"/>
    <s v="DELEGATE AGENCY"/>
    <s v="UNKNOWN"/>
    <x v="1"/>
  </r>
  <r>
    <n v="261488"/>
    <n v="44716.5"/>
    <x v="4"/>
    <x v="114"/>
    <x v="12"/>
    <s v="DELEGATE AGENCY"/>
    <s v="UNKNOWN"/>
    <x v="1"/>
  </r>
  <r>
    <n v="261489"/>
    <n v="59665.599999999999"/>
    <x v="4"/>
    <x v="324"/>
    <x v="12"/>
    <s v="DELEGATE AGENCY"/>
    <s v="UNKNOWN"/>
    <x v="1"/>
  </r>
  <r>
    <n v="261490"/>
    <n v="41340"/>
    <x v="1"/>
    <x v="114"/>
    <x v="12"/>
    <s v="DELEGATE AGENCY"/>
    <s v="UNKNOWN"/>
    <x v="1"/>
  </r>
  <r>
    <n v="261491"/>
    <n v="13000"/>
    <x v="4"/>
    <x v="289"/>
    <x v="12"/>
    <s v="DELEGATE AGENCY"/>
    <s v="UNKNOWN"/>
    <x v="1"/>
  </r>
  <r>
    <n v="261492"/>
    <n v="64315.199999999997"/>
    <x v="4"/>
    <x v="114"/>
    <x v="12"/>
    <s v="DELEGATE AGENCY"/>
    <s v="UNKNOWN"/>
    <x v="1"/>
  </r>
  <r>
    <n v="261494"/>
    <n v="61901"/>
    <x v="1"/>
    <x v="114"/>
    <x v="12"/>
    <s v="DELEGATE AGENCY"/>
    <s v="UNKNOWN"/>
    <x v="1"/>
  </r>
  <r>
    <n v="261497"/>
    <n v="82629.399999999994"/>
    <x v="1"/>
    <x v="324"/>
    <x v="12"/>
    <s v="DELEGATE AGENCY"/>
    <s v="UNKNOWN"/>
    <x v="1"/>
  </r>
  <r>
    <n v="261584"/>
    <n v="7423000"/>
    <x v="1"/>
    <x v="1816"/>
    <x v="9"/>
    <s v="COMMODITIES"/>
    <s v="RFP"/>
    <x v="1"/>
  </r>
  <r>
    <n v="261594"/>
    <n v="200000"/>
    <x v="0"/>
    <x v="570"/>
    <x v="8"/>
    <s v="DELEGATE AGENCY"/>
    <s v="UNKNOWN"/>
    <x v="1"/>
  </r>
  <r>
    <n v="261595"/>
    <n v="200000"/>
    <x v="1"/>
    <x v="227"/>
    <x v="8"/>
    <s v="DELEGATE AGENCY"/>
    <s v="UNKNOWN"/>
    <x v="1"/>
  </r>
  <r>
    <n v="261596"/>
    <n v="23363.9"/>
    <x v="1"/>
    <x v="999"/>
    <x v="25"/>
    <s v="PRO SERV CONSULTING $250,000orABOVE"/>
    <s v="UNKNOWN"/>
    <x v="1"/>
  </r>
  <r>
    <n v="261597"/>
    <n v="300000"/>
    <x v="4"/>
    <x v="139"/>
    <x v="8"/>
    <s v="DELEGATE AGENCY"/>
    <s v="UNKNOWN"/>
    <x v="1"/>
  </r>
  <r>
    <n v="261598"/>
    <n v="119275.1"/>
    <x v="2"/>
    <x v="25"/>
    <x v="8"/>
    <s v="DELEGATE AGENCY"/>
    <s v="UNKNOWN"/>
    <x v="1"/>
  </r>
  <r>
    <n v="261599"/>
    <n v="517636.5"/>
    <x v="1"/>
    <x v="175"/>
    <x v="8"/>
    <s v="DELEGATE AGENCY"/>
    <s v="UNKNOWN"/>
    <x v="1"/>
  </r>
  <r>
    <n v="261600"/>
    <n v="190690.8"/>
    <x v="2"/>
    <x v="25"/>
    <x v="8"/>
    <s v="DELEGATE AGENCY"/>
    <s v="UNKNOWN"/>
    <x v="1"/>
  </r>
  <r>
    <n v="261605"/>
    <n v="211541"/>
    <x v="1"/>
    <x v="369"/>
    <x v="12"/>
    <s v="DELEGATE AGENCY"/>
    <s v="UNKNOWN"/>
    <x v="1"/>
  </r>
  <r>
    <n v="261608"/>
    <n v="744165.2"/>
    <x v="1"/>
    <x v="1136"/>
    <x v="16"/>
    <s v="COMPTROLLER-OTHER"/>
    <s v="UNKNOWN"/>
    <x v="1"/>
  </r>
  <r>
    <n v="261615"/>
    <n v="237610"/>
    <x v="2"/>
    <x v="114"/>
    <x v="8"/>
    <s v="DELEGATE AGENCY"/>
    <s v="UNKNOWN"/>
    <x v="1"/>
  </r>
  <r>
    <n v="261644"/>
    <n v="8368129.0999999996"/>
    <x v="1"/>
    <x v="11"/>
    <x v="0"/>
    <s v="CONSTRUCTION-LARGE $3MILLIONorABOVE"/>
    <s v="BID"/>
    <x v="1"/>
  </r>
  <r>
    <n v="261758"/>
    <n v="517585"/>
    <x v="0"/>
    <x v="1817"/>
    <x v="20"/>
    <s v="WORK SERVICES / FACILITIES MAINT."/>
    <s v="BID"/>
    <x v="1"/>
  </r>
  <r>
    <n v="261800"/>
    <n v="463685.8"/>
    <x v="2"/>
    <x v="46"/>
    <x v="8"/>
    <s v="DELEGATE AGENCY"/>
    <s v="UNKNOWN"/>
    <x v="1"/>
  </r>
  <r>
    <n v="261806"/>
    <n v="98830"/>
    <x v="2"/>
    <x v="341"/>
    <x v="12"/>
    <s v="DELEGATE AGENCY"/>
    <s v="UNKNOWN"/>
    <x v="1"/>
  </r>
  <r>
    <n v="261807"/>
    <n v="340320"/>
    <x v="1"/>
    <x v="301"/>
    <x v="12"/>
    <s v="DELEGATE AGENCY"/>
    <s v="UNKNOWN"/>
    <x v="1"/>
  </r>
  <r>
    <n v="261808"/>
    <n v="80000"/>
    <x v="2"/>
    <x v="730"/>
    <x v="12"/>
    <s v="DELEGATE AGENCY"/>
    <s v="UNKNOWN"/>
    <x v="1"/>
  </r>
  <r>
    <n v="261809"/>
    <n v="80000"/>
    <x v="1"/>
    <x v="59"/>
    <x v="12"/>
    <s v="DELEGATE AGENCY"/>
    <s v="UNKNOWN"/>
    <x v="1"/>
  </r>
  <r>
    <n v="261810"/>
    <n v="160000"/>
    <x v="1"/>
    <x v="128"/>
    <x v="12"/>
    <s v="DELEGATE AGENCY"/>
    <s v="UNKNOWN"/>
    <x v="1"/>
  </r>
  <r>
    <n v="261811"/>
    <n v="80000"/>
    <x v="1"/>
    <x v="436"/>
    <x v="12"/>
    <s v="DELEGATE AGENCY"/>
    <s v="UNKNOWN"/>
    <x v="1"/>
  </r>
  <r>
    <n v="261813"/>
    <n v="122400"/>
    <x v="1"/>
    <x v="614"/>
    <x v="12"/>
    <s v="DELEGATE AGENCY"/>
    <s v="UNKNOWN"/>
    <x v="1"/>
  </r>
  <r>
    <n v="261814"/>
    <n v="48000"/>
    <x v="1"/>
    <x v="607"/>
    <x v="12"/>
    <s v="DELEGATE AGENCY"/>
    <s v="UNKNOWN"/>
    <x v="1"/>
  </r>
  <r>
    <n v="261849"/>
    <n v="62868.800000000003"/>
    <x v="4"/>
    <x v="49"/>
    <x v="8"/>
    <s v="DELEGATE AGENCY"/>
    <s v="UNKNOWN"/>
    <x v="1"/>
  </r>
  <r>
    <n v="261899"/>
    <n v="703324"/>
    <x v="1"/>
    <x v="243"/>
    <x v="12"/>
    <s v="DELEGATE AGENCY"/>
    <s v="UNKNOWN"/>
    <x v="1"/>
  </r>
  <r>
    <n v="261906"/>
    <n v="899998.3"/>
    <x v="2"/>
    <x v="527"/>
    <x v="22"/>
    <s v="DELEGATE AGENCY"/>
    <s v="UNKNOWN"/>
    <x v="1"/>
  </r>
  <r>
    <n v="261915"/>
    <n v="207000"/>
    <x v="2"/>
    <x v="445"/>
    <x v="12"/>
    <s v="DELEGATE AGENCY"/>
    <s v="UNKNOWN"/>
    <x v="1"/>
  </r>
  <r>
    <n v="261916"/>
    <n v="207000"/>
    <x v="1"/>
    <x v="610"/>
    <x v="12"/>
    <s v="DELEGATE AGENCY"/>
    <s v="UNKNOWN"/>
    <x v="1"/>
  </r>
  <r>
    <n v="261918"/>
    <n v="103500"/>
    <x v="1"/>
    <x v="692"/>
    <x v="12"/>
    <s v="DELEGATE AGENCY"/>
    <s v="UNKNOWN"/>
    <x v="1"/>
  </r>
  <r>
    <n v="261966"/>
    <n v="100000"/>
    <x v="1"/>
    <x v="292"/>
    <x v="12"/>
    <s v="DELEGATE AGENCY"/>
    <s v="UNKNOWN"/>
    <x v="1"/>
  </r>
  <r>
    <n v="261967"/>
    <n v="149999.79999999999"/>
    <x v="1"/>
    <x v="355"/>
    <x v="12"/>
    <s v="DELEGATE AGENCY"/>
    <s v="UNKNOWN"/>
    <x v="1"/>
  </r>
  <r>
    <n v="261972"/>
    <n v="108452.5"/>
    <x v="1"/>
    <x v="292"/>
    <x v="12"/>
    <s v="DELEGATE AGENCY"/>
    <s v="UNKNOWN"/>
    <x v="1"/>
  </r>
  <r>
    <n v="261977"/>
    <n v="150455.1"/>
    <x v="1"/>
    <x v="59"/>
    <x v="12"/>
    <s v="DELEGATE AGENCY"/>
    <s v="UNKNOWN"/>
    <x v="1"/>
  </r>
  <r>
    <n v="261982"/>
    <n v="43695.1"/>
    <x v="1"/>
    <x v="24"/>
    <x v="12"/>
    <s v="DELEGATE AGENCY"/>
    <s v="UNKNOWN"/>
    <x v="1"/>
  </r>
  <r>
    <n v="261984"/>
    <n v="46464"/>
    <x v="4"/>
    <x v="24"/>
    <x v="12"/>
    <s v="DELEGATE AGENCY"/>
    <s v="UNKNOWN"/>
    <x v="1"/>
  </r>
  <r>
    <n v="261987"/>
    <n v="49440"/>
    <x v="4"/>
    <x v="66"/>
    <x v="12"/>
    <s v="DELEGATE AGENCY"/>
    <s v="UNKNOWN"/>
    <x v="1"/>
  </r>
  <r>
    <n v="261988"/>
    <n v="45935"/>
    <x v="4"/>
    <x v="360"/>
    <x v="12"/>
    <s v="DELEGATE AGENCY"/>
    <s v="UNKNOWN"/>
    <x v="1"/>
  </r>
  <r>
    <n v="261992"/>
    <n v="142987.6"/>
    <x v="4"/>
    <x v="114"/>
    <x v="12"/>
    <s v="DELEGATE AGENCY"/>
    <s v="UNKNOWN"/>
    <x v="1"/>
  </r>
  <r>
    <n v="261997"/>
    <n v="493010.3"/>
    <x v="1"/>
    <x v="1357"/>
    <x v="5"/>
    <s v="COMMODITIES"/>
    <s v="BID"/>
    <x v="1"/>
  </r>
  <r>
    <n v="262060"/>
    <n v="7573.9"/>
    <x v="2"/>
    <x v="999"/>
    <x v="25"/>
    <s v="PRO SERV CONSULTING $250,000orABOVE"/>
    <s v="UNKNOWN"/>
    <x v="1"/>
  </r>
  <r>
    <n v="262082"/>
    <n v="157111.70000000001"/>
    <x v="3"/>
    <x v="336"/>
    <x v="12"/>
    <s v="DELEGATE AGENCY"/>
    <s v="UNKNOWN"/>
    <x v="1"/>
  </r>
  <r>
    <n v="262084"/>
    <n v="108164.1"/>
    <x v="1"/>
    <x v="24"/>
    <x v="12"/>
    <s v="DELEGATE AGENCY"/>
    <s v="UNKNOWN"/>
    <x v="1"/>
  </r>
  <r>
    <n v="262108"/>
    <n v="350000"/>
    <x v="1"/>
    <x v="27"/>
    <x v="8"/>
    <s v="DELEGATE AGENCY"/>
    <s v="UNKNOWN"/>
    <x v="1"/>
  </r>
  <r>
    <n v="262109"/>
    <n v="70120.2"/>
    <x v="2"/>
    <x v="27"/>
    <x v="8"/>
    <s v="DELEGATE AGENCY"/>
    <s v="UNKNOWN"/>
    <x v="1"/>
  </r>
  <r>
    <n v="262140"/>
    <n v="3595959.6"/>
    <x v="1"/>
    <x v="1357"/>
    <x v="5"/>
    <s v="COMMODITIES"/>
    <s v="BID"/>
    <x v="1"/>
  </r>
  <r>
    <n v="262148"/>
    <n v="5884.5"/>
    <x v="0"/>
    <x v="999"/>
    <x v="25"/>
    <s v="PRO SERV CONSULTING $250,000orABOVE"/>
    <s v="UNKNOWN"/>
    <x v="1"/>
  </r>
  <r>
    <n v="262161"/>
    <n v="173000"/>
    <x v="3"/>
    <x v="395"/>
    <x v="22"/>
    <s v="DELEGATE AGENCY"/>
    <s v="UNKNOWN"/>
    <x v="1"/>
  </r>
  <r>
    <n v="262166"/>
    <n v="31478"/>
    <x v="1"/>
    <x v="285"/>
    <x v="12"/>
    <s v="DELEGATE AGENCY"/>
    <s v="UNKNOWN"/>
    <x v="1"/>
  </r>
  <r>
    <n v="262230"/>
    <n v="11993890.699999999"/>
    <x v="4"/>
    <x v="21"/>
    <x v="0"/>
    <s v="CONSTRUCTION-LARGE $3MILLIONorABOVE"/>
    <s v="BID"/>
    <x v="1"/>
  </r>
  <r>
    <n v="262250"/>
    <n v="8634366"/>
    <x v="0"/>
    <x v="285"/>
    <x v="12"/>
    <s v="DELEGATE AGENCY"/>
    <s v="UNKNOWN"/>
    <x v="1"/>
  </r>
  <r>
    <n v="262251"/>
    <n v="300000"/>
    <x v="0"/>
    <x v="285"/>
    <x v="12"/>
    <s v="DELEGATE AGENCY"/>
    <s v="UNKNOWN"/>
    <x v="1"/>
  </r>
  <r>
    <n v="262270"/>
    <n v="105000"/>
    <x v="2"/>
    <x v="563"/>
    <x v="8"/>
    <s v="DELEGATE AGENCY"/>
    <s v="UNKNOWN"/>
    <x v="1"/>
  </r>
  <r>
    <n v="262272"/>
    <n v="54000"/>
    <x v="1"/>
    <x v="342"/>
    <x v="12"/>
    <s v="DELEGATE AGENCY"/>
    <s v="UNKNOWN"/>
    <x v="1"/>
  </r>
  <r>
    <n v="262273"/>
    <n v="405000"/>
    <x v="1"/>
    <x v="78"/>
    <x v="12"/>
    <s v="DELEGATE AGENCY"/>
    <s v="UNKNOWN"/>
    <x v="1"/>
  </r>
  <r>
    <n v="262274"/>
    <n v="54000"/>
    <x v="2"/>
    <x v="585"/>
    <x v="12"/>
    <s v="DELEGATE AGENCY"/>
    <s v="UNKNOWN"/>
    <x v="1"/>
  </r>
  <r>
    <n v="262275"/>
    <n v="81000"/>
    <x v="1"/>
    <x v="169"/>
    <x v="12"/>
    <s v="DELEGATE AGENCY"/>
    <s v="UNKNOWN"/>
    <x v="1"/>
  </r>
  <r>
    <n v="262276"/>
    <n v="270000"/>
    <x v="1"/>
    <x v="446"/>
    <x v="12"/>
    <s v="DELEGATE AGENCY"/>
    <s v="UNKNOWN"/>
    <x v="1"/>
  </r>
  <r>
    <n v="262277"/>
    <n v="54000"/>
    <x v="2"/>
    <x v="353"/>
    <x v="12"/>
    <s v="DELEGATE AGENCY"/>
    <s v="UNKNOWN"/>
    <x v="1"/>
  </r>
  <r>
    <n v="262278"/>
    <n v="54000"/>
    <x v="1"/>
    <x v="354"/>
    <x v="12"/>
    <s v="DELEGATE AGENCY"/>
    <s v="UNKNOWN"/>
    <x v="1"/>
  </r>
  <r>
    <n v="26231"/>
    <n v="1764383"/>
    <x v="1"/>
    <x v="1028"/>
    <x v="6"/>
    <s v="PRO SERV-AVIATION"/>
    <s v="RFP"/>
    <x v="0"/>
  </r>
  <r>
    <n v="262320"/>
    <n v="146356.70000000001"/>
    <x v="0"/>
    <x v="227"/>
    <x v="8"/>
    <s v="DELEGATE AGENCY"/>
    <s v="UNKNOWN"/>
    <x v="1"/>
  </r>
  <r>
    <n v="262321"/>
    <n v="40000"/>
    <x v="1"/>
    <x v="970"/>
    <x v="19"/>
    <s v="DELEGATE AGENCY"/>
    <s v="UNKNOWN"/>
    <x v="1"/>
  </r>
  <r>
    <n v="262322"/>
    <n v="40000"/>
    <x v="4"/>
    <x v="379"/>
    <x v="19"/>
    <s v="DELEGATE AGENCY"/>
    <s v="UNKNOWN"/>
    <x v="1"/>
  </r>
  <r>
    <n v="262323"/>
    <n v="20000"/>
    <x v="4"/>
    <x v="985"/>
    <x v="19"/>
    <s v="DELEGATE AGENCY"/>
    <s v="UNKNOWN"/>
    <x v="1"/>
  </r>
  <r>
    <n v="262398"/>
    <n v="695550"/>
    <x v="4"/>
    <x v="217"/>
    <x v="12"/>
    <s v="DELEGATE AGENCY"/>
    <s v="UNKNOWN"/>
    <x v="1"/>
  </r>
  <r>
    <n v="262399"/>
    <n v="2372225"/>
    <x v="2"/>
    <x v="217"/>
    <x v="12"/>
    <s v="DELEGATE AGENCY"/>
    <s v="UNKNOWN"/>
    <x v="1"/>
  </r>
  <r>
    <n v="262403"/>
    <n v="5000"/>
    <x v="0"/>
    <x v="91"/>
    <x v="12"/>
    <s v="DELEGATE AGENCY"/>
    <s v="RFP"/>
    <x v="1"/>
  </r>
  <r>
    <n v="262411"/>
    <n v="80000"/>
    <x v="3"/>
    <x v="728"/>
    <x v="12"/>
    <s v="DELEGATE AGENCY"/>
    <s v="UNKNOWN"/>
    <x v="1"/>
  </r>
  <r>
    <n v="262412"/>
    <n v="640000"/>
    <x v="1"/>
    <x v="5"/>
    <x v="12"/>
    <s v="DELEGATE AGENCY"/>
    <s v="UNKNOWN"/>
    <x v="1"/>
  </r>
  <r>
    <n v="262491"/>
    <n v="3875000"/>
    <x v="2"/>
    <x v="188"/>
    <x v="8"/>
    <s v="DELEGATE AGENCY"/>
    <s v="RFP"/>
    <x v="1"/>
  </r>
  <r>
    <n v="262494"/>
    <n v="800000"/>
    <x v="0"/>
    <x v="1818"/>
    <x v="8"/>
    <s v="DELEGATE AGENCY"/>
    <s v="RFP"/>
    <x v="1"/>
  </r>
  <r>
    <n v="262496"/>
    <n v="370000"/>
    <x v="2"/>
    <x v="601"/>
    <x v="8"/>
    <s v="DELEGATE AGENCY"/>
    <s v="SOLE SOURCE"/>
    <x v="1"/>
  </r>
  <r>
    <n v="262497"/>
    <n v="250000"/>
    <x v="2"/>
    <x v="476"/>
    <x v="8"/>
    <s v="DELEGATE AGENCY"/>
    <s v="SOLE SOURCE"/>
    <x v="1"/>
  </r>
  <r>
    <n v="262498"/>
    <n v="250000"/>
    <x v="2"/>
    <x v="870"/>
    <x v="8"/>
    <s v="DELEGATE AGENCY"/>
    <s v="SOLE SOURCE"/>
    <x v="1"/>
  </r>
  <r>
    <n v="262499"/>
    <n v="199599"/>
    <x v="2"/>
    <x v="570"/>
    <x v="8"/>
    <s v="DELEGATE AGENCY"/>
    <s v="UNKNOWN"/>
    <x v="1"/>
  </r>
  <r>
    <n v="262500"/>
    <n v="134599.70000000001"/>
    <x v="1"/>
    <x v="227"/>
    <x v="8"/>
    <s v="DELEGATE AGENCY"/>
    <s v="UNKNOWN"/>
    <x v="1"/>
  </r>
  <r>
    <n v="262678"/>
    <n v="850000"/>
    <x v="1"/>
    <x v="258"/>
    <x v="12"/>
    <s v="DELEGATE AGENCY"/>
    <s v="UNKNOWN"/>
    <x v="1"/>
  </r>
  <r>
    <n v="262679"/>
    <n v="19016.7"/>
    <x v="2"/>
    <x v="25"/>
    <x v="12"/>
    <s v="DELEGATE AGENCY"/>
    <s v="UNKNOWN"/>
    <x v="1"/>
  </r>
  <r>
    <n v="262693"/>
    <n v="40000"/>
    <x v="4"/>
    <x v="986"/>
    <x v="19"/>
    <s v="DELEGATE AGENCY"/>
    <s v="UNKNOWN"/>
    <x v="1"/>
  </r>
  <r>
    <n v="262694"/>
    <n v="20000"/>
    <x v="4"/>
    <x v="390"/>
    <x v="19"/>
    <s v="DELEGATE AGENCY"/>
    <s v="UNKNOWN"/>
    <x v="1"/>
  </r>
  <r>
    <n v="262695"/>
    <n v="50000"/>
    <x v="4"/>
    <x v="390"/>
    <x v="19"/>
    <s v="DELEGATE AGENCY"/>
    <s v="UNKNOWN"/>
    <x v="1"/>
  </r>
  <r>
    <n v="262696"/>
    <n v="30000"/>
    <x v="1"/>
    <x v="378"/>
    <x v="19"/>
    <s v="DELEGATE AGENCY"/>
    <s v="UNKNOWN"/>
    <x v="1"/>
  </r>
  <r>
    <n v="262697"/>
    <n v="26788"/>
    <x v="4"/>
    <x v="969"/>
    <x v="19"/>
    <s v="DELEGATE AGENCY"/>
    <s v="UNKNOWN"/>
    <x v="1"/>
  </r>
  <r>
    <n v="262699"/>
    <n v="50000"/>
    <x v="4"/>
    <x v="962"/>
    <x v="19"/>
    <s v="DELEGATE AGENCY"/>
    <s v="UNKNOWN"/>
    <x v="1"/>
  </r>
  <r>
    <n v="262727"/>
    <n v="156400"/>
    <x v="1"/>
    <x v="346"/>
    <x v="12"/>
    <s v="DELEGATE AGENCY"/>
    <s v="UNKNOWN"/>
    <x v="1"/>
  </r>
  <r>
    <n v="262873"/>
    <n v="327993.7"/>
    <x v="1"/>
    <x v="114"/>
    <x v="8"/>
    <s v="DELEGATE AGENCY"/>
    <s v="UNKNOWN"/>
    <x v="1"/>
  </r>
  <r>
    <n v="262878"/>
    <n v="54000"/>
    <x v="2"/>
    <x v="578"/>
    <x v="12"/>
    <s v="DELEGATE AGENCY"/>
    <s v="UNKNOWN"/>
    <x v="1"/>
  </r>
  <r>
    <n v="262879"/>
    <n v="54000"/>
    <x v="1"/>
    <x v="579"/>
    <x v="12"/>
    <s v="DELEGATE AGENCY"/>
    <s v="UNKNOWN"/>
    <x v="1"/>
  </r>
  <r>
    <n v="262880"/>
    <n v="54000"/>
    <x v="1"/>
    <x v="360"/>
    <x v="12"/>
    <s v="DELEGATE AGENCY"/>
    <s v="UNKNOWN"/>
    <x v="1"/>
  </r>
  <r>
    <n v="262881"/>
    <n v="54000"/>
    <x v="1"/>
    <x v="590"/>
    <x v="12"/>
    <s v="DELEGATE AGENCY"/>
    <s v="UNKNOWN"/>
    <x v="1"/>
  </r>
  <r>
    <n v="262882"/>
    <n v="1279342"/>
    <x v="1"/>
    <x v="284"/>
    <x v="12"/>
    <s v="DELEGATE AGENCY"/>
    <s v="UNKNOWN"/>
    <x v="1"/>
  </r>
  <r>
    <n v="262883"/>
    <n v="138000"/>
    <x v="0"/>
    <x v="346"/>
    <x v="12"/>
    <s v="DELEGATE AGENCY"/>
    <s v="UNKNOWN"/>
    <x v="1"/>
  </r>
  <r>
    <n v="262884"/>
    <n v="125000"/>
    <x v="1"/>
    <x v="340"/>
    <x v="12"/>
    <s v="DELEGATE AGENCY"/>
    <s v="UNKNOWN"/>
    <x v="1"/>
  </r>
  <r>
    <n v="262885"/>
    <n v="54000"/>
    <x v="1"/>
    <x v="448"/>
    <x v="12"/>
    <s v="DELEGATE AGENCY"/>
    <s v="UNKNOWN"/>
    <x v="1"/>
  </r>
  <r>
    <n v="262886"/>
    <n v="237500"/>
    <x v="1"/>
    <x v="290"/>
    <x v="12"/>
    <s v="DELEGATE AGENCY"/>
    <s v="UNKNOWN"/>
    <x v="1"/>
  </r>
  <r>
    <n v="262887"/>
    <n v="69000"/>
    <x v="1"/>
    <x v="692"/>
    <x v="12"/>
    <s v="DELEGATE AGENCY"/>
    <s v="UNKNOWN"/>
    <x v="1"/>
  </r>
  <r>
    <n v="262888"/>
    <n v="52800"/>
    <x v="1"/>
    <x v="203"/>
    <x v="12"/>
    <s v="DELEGATE AGENCY"/>
    <s v="UNKNOWN"/>
    <x v="1"/>
  </r>
  <r>
    <n v="262889"/>
    <n v="546639"/>
    <x v="1"/>
    <x v="293"/>
    <x v="12"/>
    <s v="DELEGATE AGENCY"/>
    <s v="UNKNOWN"/>
    <x v="1"/>
  </r>
  <r>
    <n v="262890"/>
    <n v="103600"/>
    <x v="2"/>
    <x v="293"/>
    <x v="12"/>
    <s v="DELEGATE AGENCY"/>
    <s v="UNKNOWN"/>
    <x v="1"/>
  </r>
  <r>
    <n v="262891"/>
    <n v="176188"/>
    <x v="1"/>
    <x v="301"/>
    <x v="12"/>
    <s v="DELEGATE AGENCY"/>
    <s v="UNKNOWN"/>
    <x v="1"/>
  </r>
  <r>
    <n v="262892"/>
    <n v="112500"/>
    <x v="1"/>
    <x v="289"/>
    <x v="12"/>
    <s v="DELEGATE AGENCY"/>
    <s v="UNKNOWN"/>
    <x v="1"/>
  </r>
  <r>
    <n v="262893"/>
    <n v="54000"/>
    <x v="1"/>
    <x v="589"/>
    <x v="12"/>
    <s v="DELEGATE AGENCY"/>
    <s v="UNKNOWN"/>
    <x v="1"/>
  </r>
  <r>
    <n v="262894"/>
    <n v="54000"/>
    <x v="1"/>
    <x v="80"/>
    <x v="12"/>
    <s v="DELEGATE AGENCY"/>
    <s v="UNKNOWN"/>
    <x v="1"/>
  </r>
  <r>
    <n v="262895"/>
    <n v="54000"/>
    <x v="1"/>
    <x v="544"/>
    <x v="12"/>
    <s v="DELEGATE AGENCY"/>
    <s v="UNKNOWN"/>
    <x v="1"/>
  </r>
  <r>
    <n v="262896"/>
    <n v="81000"/>
    <x v="1"/>
    <x v="574"/>
    <x v="12"/>
    <s v="DELEGATE AGENCY"/>
    <s v="UNKNOWN"/>
    <x v="1"/>
  </r>
  <r>
    <n v="262897"/>
    <n v="54000"/>
    <x v="1"/>
    <x v="67"/>
    <x v="12"/>
    <s v="DELEGATE AGENCY"/>
    <s v="UNKNOWN"/>
    <x v="1"/>
  </r>
  <r>
    <n v="262898"/>
    <n v="54000"/>
    <x v="1"/>
    <x v="371"/>
    <x v="12"/>
    <s v="DELEGATE AGENCY"/>
    <s v="UNKNOWN"/>
    <x v="1"/>
  </r>
  <r>
    <n v="262899"/>
    <n v="54000"/>
    <x v="1"/>
    <x v="165"/>
    <x v="12"/>
    <s v="DELEGATE AGENCY"/>
    <s v="UNKNOWN"/>
    <x v="1"/>
  </r>
  <r>
    <n v="262900"/>
    <n v="81000"/>
    <x v="1"/>
    <x v="199"/>
    <x v="12"/>
    <s v="DELEGATE AGENCY"/>
    <s v="UNKNOWN"/>
    <x v="1"/>
  </r>
  <r>
    <n v="262901"/>
    <n v="295837"/>
    <x v="1"/>
    <x v="309"/>
    <x v="12"/>
    <s v="DELEGATE AGENCY"/>
    <s v="UNKNOWN"/>
    <x v="1"/>
  </r>
  <r>
    <n v="262902"/>
    <n v="54000"/>
    <x v="2"/>
    <x v="572"/>
    <x v="12"/>
    <s v="DELEGATE AGENCY"/>
    <s v="UNKNOWN"/>
    <x v="1"/>
  </r>
  <r>
    <n v="262903"/>
    <n v="54000"/>
    <x v="1"/>
    <x v="86"/>
    <x v="12"/>
    <s v="DELEGATE AGENCY"/>
    <s v="UNKNOWN"/>
    <x v="1"/>
  </r>
  <r>
    <n v="262904"/>
    <n v="81000"/>
    <x v="1"/>
    <x v="85"/>
    <x v="12"/>
    <s v="DELEGATE AGENCY"/>
    <s v="UNKNOWN"/>
    <x v="1"/>
  </r>
  <r>
    <n v="262905"/>
    <n v="216000"/>
    <x v="1"/>
    <x v="91"/>
    <x v="12"/>
    <s v="DELEGATE AGENCY"/>
    <s v="UNKNOWN"/>
    <x v="1"/>
  </r>
  <r>
    <n v="262907"/>
    <n v="299230.2"/>
    <x v="1"/>
    <x v="284"/>
    <x v="12"/>
    <s v="DELEGATE AGENCY"/>
    <s v="UNKNOWN"/>
    <x v="1"/>
  </r>
  <r>
    <n v="262908"/>
    <n v="65961"/>
    <x v="2"/>
    <x v="284"/>
    <x v="12"/>
    <s v="DELEGATE AGENCY"/>
    <s v="UNKNOWN"/>
    <x v="1"/>
  </r>
  <r>
    <n v="262909"/>
    <n v="48000"/>
    <x v="1"/>
    <x v="78"/>
    <x v="12"/>
    <s v="DELEGATE AGENCY"/>
    <s v="UNKNOWN"/>
    <x v="1"/>
  </r>
  <r>
    <n v="262910"/>
    <n v="54000"/>
    <x v="4"/>
    <x v="199"/>
    <x v="12"/>
    <s v="DELEGATE AGENCY"/>
    <s v="UNKNOWN"/>
    <x v="1"/>
  </r>
  <r>
    <n v="262911"/>
    <n v="96000"/>
    <x v="1"/>
    <x v="544"/>
    <x v="12"/>
    <s v="DELEGATE AGENCY"/>
    <s v="UNKNOWN"/>
    <x v="1"/>
  </r>
  <r>
    <n v="262912"/>
    <n v="54000"/>
    <x v="1"/>
    <x v="588"/>
    <x v="12"/>
    <s v="DELEGATE AGENCY"/>
    <s v="UNKNOWN"/>
    <x v="1"/>
  </r>
  <r>
    <n v="262913"/>
    <n v="647653.19999999995"/>
    <x v="1"/>
    <x v="25"/>
    <x v="12"/>
    <s v="DELEGATE AGENCY"/>
    <s v="UNKNOWN"/>
    <x v="1"/>
  </r>
  <r>
    <n v="262914"/>
    <n v="548981"/>
    <x v="2"/>
    <x v="86"/>
    <x v="12"/>
    <s v="DELEGATE AGENCY"/>
    <s v="UNKNOWN"/>
    <x v="1"/>
  </r>
  <r>
    <n v="262915"/>
    <n v="107285.1"/>
    <x v="2"/>
    <x v="290"/>
    <x v="12"/>
    <s v="DELEGATE AGENCY"/>
    <s v="UNKNOWN"/>
    <x v="1"/>
  </r>
  <r>
    <n v="262916"/>
    <n v="14819.5"/>
    <x v="1"/>
    <x v="284"/>
    <x v="12"/>
    <s v="DELEGATE AGENCY"/>
    <s v="UNKNOWN"/>
    <x v="1"/>
  </r>
  <r>
    <n v="262917"/>
    <n v="36000"/>
    <x v="4"/>
    <x v="580"/>
    <x v="12"/>
    <s v="DELEGATE AGENCY"/>
    <s v="UNKNOWN"/>
    <x v="1"/>
  </r>
  <r>
    <n v="262918"/>
    <n v="36668"/>
    <x v="4"/>
    <x v="84"/>
    <x v="12"/>
    <s v="DELEGATE AGENCY"/>
    <s v="UNKNOWN"/>
    <x v="1"/>
  </r>
  <r>
    <n v="262919"/>
    <n v="89870.1"/>
    <x v="4"/>
    <x v="444"/>
    <x v="12"/>
    <s v="DELEGATE AGENCY"/>
    <s v="UNKNOWN"/>
    <x v="1"/>
  </r>
  <r>
    <n v="262920"/>
    <n v="100741.9"/>
    <x v="1"/>
    <x v="62"/>
    <x v="12"/>
    <s v="DELEGATE AGENCY"/>
    <s v="UNKNOWN"/>
    <x v="1"/>
  </r>
  <r>
    <n v="262921"/>
    <n v="70545.7"/>
    <x v="1"/>
    <x v="593"/>
    <x v="12"/>
    <s v="DELEGATE AGENCY"/>
    <s v="UNKNOWN"/>
    <x v="1"/>
  </r>
  <r>
    <n v="262922"/>
    <n v="250000"/>
    <x v="1"/>
    <x v="156"/>
    <x v="2"/>
    <s v="COMPTROLLER-OTHER"/>
    <s v="UNKNOWN"/>
    <x v="1"/>
  </r>
  <r>
    <n v="262923"/>
    <n v="36000"/>
    <x v="2"/>
    <x v="313"/>
    <x v="12"/>
    <s v="DELEGATE AGENCY"/>
    <s v="UNKNOWN"/>
    <x v="1"/>
  </r>
  <r>
    <n v="262925"/>
    <n v="250000"/>
    <x v="4"/>
    <x v="1805"/>
    <x v="2"/>
    <s v="COMPTROLLER-OTHER"/>
    <s v="UNKNOWN"/>
    <x v="1"/>
  </r>
  <r>
    <n v="262926"/>
    <n v="6000"/>
    <x v="2"/>
    <x v="1512"/>
    <x v="20"/>
    <s v="COMPTROLLER-OTHER"/>
    <s v="UNKNOWN"/>
    <x v="1"/>
  </r>
  <r>
    <n v="262928"/>
    <n v="250000"/>
    <x v="3"/>
    <x v="1819"/>
    <x v="20"/>
    <s v="COMPTROLLER-OTHER"/>
    <s v="UNKNOWN"/>
    <x v="1"/>
  </r>
  <r>
    <n v="262929"/>
    <n v="141355.1"/>
    <x v="2"/>
    <x v="664"/>
    <x v="2"/>
    <s v="COMPTROLLER-OTHER"/>
    <s v="UNKNOWN"/>
    <x v="1"/>
  </r>
  <r>
    <n v="262931"/>
    <n v="262419.59999999998"/>
    <x v="1"/>
    <x v="1197"/>
    <x v="8"/>
    <s v="DELEGATE AGENCY"/>
    <s v="UNKNOWN"/>
    <x v="1"/>
  </r>
  <r>
    <n v="262932"/>
    <n v="40000"/>
    <x v="2"/>
    <x v="968"/>
    <x v="19"/>
    <s v="DELEGATE AGENCY"/>
    <s v="UNKNOWN"/>
    <x v="1"/>
  </r>
  <r>
    <n v="262933"/>
    <n v="220807.3"/>
    <x v="4"/>
    <x v="229"/>
    <x v="8"/>
    <s v="DELEGATE AGENCY"/>
    <s v="UNKNOWN"/>
    <x v="1"/>
  </r>
  <r>
    <n v="262934"/>
    <n v="169387.8"/>
    <x v="1"/>
    <x v="468"/>
    <x v="8"/>
    <s v="DELEGATE AGENCY"/>
    <s v="UNKNOWN"/>
    <x v="1"/>
  </r>
  <r>
    <n v="262935"/>
    <n v="40000"/>
    <x v="1"/>
    <x v="975"/>
    <x v="19"/>
    <s v="DELEGATE AGENCY"/>
    <s v="UNKNOWN"/>
    <x v="1"/>
  </r>
  <r>
    <n v="262936"/>
    <n v="30000"/>
    <x v="4"/>
    <x v="354"/>
    <x v="19"/>
    <s v="DELEGATE AGENCY"/>
    <s v="UNKNOWN"/>
    <x v="1"/>
  </r>
  <r>
    <n v="262946"/>
    <n v="100000"/>
    <x v="4"/>
    <x v="1820"/>
    <x v="20"/>
    <s v="COMPTROLLER-OTHER"/>
    <s v="UNKNOWN"/>
    <x v="1"/>
  </r>
  <r>
    <n v="262948"/>
    <n v="50000"/>
    <x v="1"/>
    <x v="960"/>
    <x v="20"/>
    <s v="COMPTROLLER-OTHER"/>
    <s v="UNKNOWN"/>
    <x v="1"/>
  </r>
  <r>
    <n v="262958"/>
    <n v="100000"/>
    <x v="1"/>
    <x v="1117"/>
    <x v="20"/>
    <s v="COMPTROLLER-OTHER"/>
    <s v="UNKNOWN"/>
    <x v="1"/>
  </r>
  <r>
    <n v="262974"/>
    <n v="50000"/>
    <x v="1"/>
    <x v="960"/>
    <x v="20"/>
    <s v="COMPTROLLER-OTHER"/>
    <s v="UNKNOWN"/>
    <x v="1"/>
  </r>
  <r>
    <n v="262982"/>
    <n v="125000"/>
    <x v="1"/>
    <x v="1821"/>
    <x v="20"/>
    <s v="COMPTROLLER-OTHER"/>
    <s v="UNKNOWN"/>
    <x v="1"/>
  </r>
  <r>
    <n v="262999"/>
    <n v="2750000"/>
    <x v="1"/>
    <x v="352"/>
    <x v="2"/>
    <s v="COMPTROLLER-OTHER"/>
    <s v="UNKNOWN"/>
    <x v="1"/>
  </r>
  <r>
    <n v="263033"/>
    <n v="250179.4"/>
    <x v="0"/>
    <x v="201"/>
    <x v="12"/>
    <s v="DELEGATE AGENCY"/>
    <s v="UNKNOWN"/>
    <x v="1"/>
  </r>
  <r>
    <n v="263034"/>
    <n v="229440.1"/>
    <x v="2"/>
    <x v="446"/>
    <x v="12"/>
    <s v="DELEGATE AGENCY"/>
    <s v="UNKNOWN"/>
    <x v="1"/>
  </r>
  <r>
    <n v="263035"/>
    <n v="250285.1"/>
    <x v="1"/>
    <x v="572"/>
    <x v="12"/>
    <s v="DELEGATE AGENCY"/>
    <s v="UNKNOWN"/>
    <x v="1"/>
  </r>
  <r>
    <n v="263036"/>
    <n v="249024.8"/>
    <x v="2"/>
    <x v="204"/>
    <x v="12"/>
    <s v="DELEGATE AGENCY"/>
    <s v="UNKNOWN"/>
    <x v="1"/>
  </r>
  <r>
    <n v="263053"/>
    <n v="250000"/>
    <x v="1"/>
    <x v="1822"/>
    <x v="2"/>
    <s v="COMPTROLLER-OTHER"/>
    <s v="UNKNOWN"/>
    <x v="1"/>
  </r>
  <r>
    <n v="263055"/>
    <n v="54594"/>
    <x v="2"/>
    <x v="1034"/>
    <x v="6"/>
    <s v="COMPTROLLER-OTHER"/>
    <s v="UNKNOWN"/>
    <x v="1"/>
  </r>
  <r>
    <n v="263059"/>
    <n v="30000"/>
    <x v="1"/>
    <x v="1052"/>
    <x v="34"/>
    <s v="COMPTROLLER-OTHER"/>
    <s v="UNKNOWN"/>
    <x v="1"/>
  </r>
  <r>
    <n v="263061"/>
    <n v="72600"/>
    <x v="4"/>
    <x v="1124"/>
    <x v="34"/>
    <s v="COMPTROLLER-OTHER"/>
    <s v="UNKNOWN"/>
    <x v="1"/>
  </r>
  <r>
    <n v="263089"/>
    <n v="182883.3"/>
    <x v="1"/>
    <x v="25"/>
    <x v="12"/>
    <s v="DELEGATE AGENCY"/>
    <s v="UNKNOWN"/>
    <x v="1"/>
  </r>
  <r>
    <n v="263090"/>
    <n v="210673.1"/>
    <x v="1"/>
    <x v="25"/>
    <x v="12"/>
    <s v="DELEGATE AGENCY"/>
    <s v="UNKNOWN"/>
    <x v="1"/>
  </r>
  <r>
    <n v="263109"/>
    <n v="225000000"/>
    <x v="1"/>
    <x v="246"/>
    <x v="3"/>
    <s v="JOC"/>
    <s v="BID"/>
    <x v="1"/>
  </r>
  <r>
    <n v="263110"/>
    <n v="225000000"/>
    <x v="0"/>
    <x v="0"/>
    <x v="3"/>
    <s v="JOC"/>
    <s v="BID"/>
    <x v="1"/>
  </r>
  <r>
    <n v="263111"/>
    <n v="225000000"/>
    <x v="0"/>
    <x v="244"/>
    <x v="3"/>
    <s v="JOC"/>
    <s v="BID"/>
    <x v="1"/>
  </r>
  <r>
    <n v="263112"/>
    <n v="225000000"/>
    <x v="0"/>
    <x v="247"/>
    <x v="3"/>
    <s v="JOC"/>
    <s v="BID"/>
    <x v="1"/>
  </r>
  <r>
    <n v="263113"/>
    <n v="300000000"/>
    <x v="0"/>
    <x v="245"/>
    <x v="3"/>
    <s v="JOC"/>
    <s v="BID"/>
    <x v="1"/>
  </r>
  <r>
    <n v="263114"/>
    <n v="45702.8"/>
    <x v="0"/>
    <x v="999"/>
    <x v="25"/>
    <s v="PRO SERV CONSULTING $250,000orABOVE"/>
    <s v="UNKNOWN"/>
    <x v="1"/>
  </r>
  <r>
    <n v="263249"/>
    <n v="93764"/>
    <x v="4"/>
    <x v="379"/>
    <x v="2"/>
    <s v="DELEGATE AGENCY"/>
    <s v="UNKNOWN"/>
    <x v="1"/>
  </r>
  <r>
    <n v="263250"/>
    <n v="72770"/>
    <x v="1"/>
    <x v="503"/>
    <x v="22"/>
    <s v="DELEGATE AGENCY"/>
    <s v="UNKNOWN"/>
    <x v="1"/>
  </r>
  <r>
    <n v="263251"/>
    <n v="80000"/>
    <x v="1"/>
    <x v="496"/>
    <x v="12"/>
    <s v="DELEGATE AGENCY"/>
    <s v="UNKNOWN"/>
    <x v="1"/>
  </r>
  <r>
    <n v="263252"/>
    <n v="81000"/>
    <x v="1"/>
    <x v="201"/>
    <x v="12"/>
    <s v="DELEGATE AGENCY"/>
    <s v="UNKNOWN"/>
    <x v="1"/>
  </r>
  <r>
    <n v="263253"/>
    <n v="13586"/>
    <x v="1"/>
    <x v="73"/>
    <x v="12"/>
    <s v="DELEGATE AGENCY"/>
    <s v="UNKNOWN"/>
    <x v="1"/>
  </r>
  <r>
    <n v="263254"/>
    <n v="15810.6"/>
    <x v="4"/>
    <x v="127"/>
    <x v="12"/>
    <s v="DELEGATE AGENCY"/>
    <s v="UNKNOWN"/>
    <x v="1"/>
  </r>
  <r>
    <n v="263291"/>
    <n v="1558.8"/>
    <x v="4"/>
    <x v="999"/>
    <x v="25"/>
    <s v="PRO SERV CONSULTING $250,000orABOVE"/>
    <s v="UNKNOWN"/>
    <x v="1"/>
  </r>
  <r>
    <n v="263296"/>
    <n v="150000"/>
    <x v="3"/>
    <x v="384"/>
    <x v="2"/>
    <s v="COMPTROLLER-OTHER"/>
    <s v="UNKNOWN"/>
    <x v="1"/>
  </r>
  <r>
    <n v="263298"/>
    <n v="250000"/>
    <x v="1"/>
    <x v="1823"/>
    <x v="2"/>
    <s v="COMPTROLLER-OTHER"/>
    <s v="UNKNOWN"/>
    <x v="1"/>
  </r>
  <r>
    <n v="263299"/>
    <n v="150000"/>
    <x v="2"/>
    <x v="1824"/>
    <x v="2"/>
    <s v="COMPTROLLER-OTHER"/>
    <s v="UNKNOWN"/>
    <x v="1"/>
  </r>
  <r>
    <n v="263304"/>
    <n v="250000"/>
    <x v="1"/>
    <x v="1825"/>
    <x v="2"/>
    <s v="COMPTROLLER-OTHER"/>
    <s v="UNKNOWN"/>
    <x v="1"/>
  </r>
  <r>
    <n v="263305"/>
    <n v="14293"/>
    <x v="2"/>
    <x v="989"/>
    <x v="2"/>
    <s v="COMPTROLLER-OTHER"/>
    <s v="UNKNOWN"/>
    <x v="1"/>
  </r>
  <r>
    <n v="263308"/>
    <n v="85681"/>
    <x v="4"/>
    <x v="963"/>
    <x v="2"/>
    <s v="COMPTROLLER-OTHER"/>
    <s v="UNKNOWN"/>
    <x v="1"/>
  </r>
  <r>
    <n v="263309"/>
    <n v="150000"/>
    <x v="1"/>
    <x v="1826"/>
    <x v="2"/>
    <s v="COMPTROLLER-OTHER"/>
    <s v="UNKNOWN"/>
    <x v="1"/>
  </r>
  <r>
    <n v="263312"/>
    <n v="250000"/>
    <x v="1"/>
    <x v="1827"/>
    <x v="2"/>
    <s v="COMPTROLLER-OTHER"/>
    <s v="UNKNOWN"/>
    <x v="1"/>
  </r>
  <r>
    <n v="26333"/>
    <n v="611548"/>
    <x v="2"/>
    <x v="1828"/>
    <x v="1"/>
    <s v="PROPERTY LEASE"/>
    <s v="UNKNOWN"/>
    <x v="0"/>
  </r>
  <r>
    <n v="263404"/>
    <n v="79502.2"/>
    <x v="2"/>
    <x v="1771"/>
    <x v="8"/>
    <s v="DELEGATE AGENCY"/>
    <s v="UNKNOWN"/>
    <x v="1"/>
  </r>
  <r>
    <n v="263405"/>
    <n v="151777.20000000001"/>
    <x v="1"/>
    <x v="40"/>
    <x v="8"/>
    <s v="DELEGATE AGENCY"/>
    <s v="UNKNOWN"/>
    <x v="1"/>
  </r>
  <r>
    <n v="263407"/>
    <n v="15733.2"/>
    <x v="1"/>
    <x v="42"/>
    <x v="8"/>
    <s v="DELEGATE AGENCY"/>
    <s v="UNKNOWN"/>
    <x v="1"/>
  </r>
  <r>
    <n v="263408"/>
    <n v="3693646.2"/>
    <x v="4"/>
    <x v="19"/>
    <x v="8"/>
    <s v="DELEGATE AGENCY"/>
    <s v="UNKNOWN"/>
    <x v="1"/>
  </r>
  <r>
    <n v="263409"/>
    <n v="150012"/>
    <x v="0"/>
    <x v="460"/>
    <x v="8"/>
    <s v="DELEGATE AGENCY"/>
    <s v="UNKNOWN"/>
    <x v="1"/>
  </r>
  <r>
    <n v="263412"/>
    <n v="7647888.5999999996"/>
    <x v="1"/>
    <x v="254"/>
    <x v="25"/>
    <s v="COMMODITIES"/>
    <s v="BID"/>
    <x v="1"/>
  </r>
  <r>
    <n v="263422"/>
    <n v="85000"/>
    <x v="0"/>
    <x v="232"/>
    <x v="19"/>
    <s v="DELEGATE AGENCY"/>
    <s v="UNKNOWN"/>
    <x v="1"/>
  </r>
  <r>
    <n v="263426"/>
    <n v="30000"/>
    <x v="1"/>
    <x v="968"/>
    <x v="19"/>
    <s v="DELEGATE AGENCY"/>
    <s v="UNKNOWN"/>
    <x v="1"/>
  </r>
  <r>
    <n v="263427"/>
    <n v="40000"/>
    <x v="4"/>
    <x v="963"/>
    <x v="19"/>
    <s v="DELEGATE AGENCY"/>
    <s v="UNKNOWN"/>
    <x v="1"/>
  </r>
  <r>
    <n v="263431"/>
    <n v="64227"/>
    <x v="4"/>
    <x v="961"/>
    <x v="19"/>
    <s v="DELEGATE AGENCY"/>
    <s v="UNKNOWN"/>
    <x v="1"/>
  </r>
  <r>
    <n v="263432"/>
    <n v="30000"/>
    <x v="1"/>
    <x v="876"/>
    <x v="19"/>
    <s v="DELEGATE AGENCY"/>
    <s v="UNKNOWN"/>
    <x v="1"/>
  </r>
  <r>
    <n v="263433"/>
    <n v="40000"/>
    <x v="4"/>
    <x v="983"/>
    <x v="19"/>
    <s v="DELEGATE AGENCY"/>
    <s v="UNKNOWN"/>
    <x v="1"/>
  </r>
  <r>
    <n v="263434"/>
    <n v="40000"/>
    <x v="4"/>
    <x v="972"/>
    <x v="19"/>
    <s v="DELEGATE AGENCY"/>
    <s v="UNKNOWN"/>
    <x v="1"/>
  </r>
  <r>
    <n v="263435"/>
    <n v="20000"/>
    <x v="4"/>
    <x v="376"/>
    <x v="19"/>
    <s v="DELEGATE AGENCY"/>
    <s v="UNKNOWN"/>
    <x v="1"/>
  </r>
  <r>
    <n v="263437"/>
    <n v="55000"/>
    <x v="4"/>
    <x v="391"/>
    <x v="19"/>
    <s v="DELEGATE AGENCY"/>
    <s v="UNKNOWN"/>
    <x v="1"/>
  </r>
  <r>
    <n v="263438"/>
    <n v="20000"/>
    <x v="1"/>
    <x v="232"/>
    <x v="19"/>
    <s v="DELEGATE AGENCY"/>
    <s v="UNKNOWN"/>
    <x v="1"/>
  </r>
  <r>
    <n v="263439"/>
    <n v="20000"/>
    <x v="4"/>
    <x v="452"/>
    <x v="19"/>
    <s v="DELEGATE AGENCY"/>
    <s v="UNKNOWN"/>
    <x v="1"/>
  </r>
  <r>
    <n v="263440"/>
    <n v="20000"/>
    <x v="4"/>
    <x v="970"/>
    <x v="19"/>
    <s v="DELEGATE AGENCY"/>
    <s v="UNKNOWN"/>
    <x v="1"/>
  </r>
  <r>
    <n v="263463"/>
    <n v="132027.4"/>
    <x v="4"/>
    <x v="292"/>
    <x v="12"/>
    <s v="DELEGATE AGENCY"/>
    <s v="UNKNOWN"/>
    <x v="1"/>
  </r>
  <r>
    <n v="263464"/>
    <n v="136856"/>
    <x v="1"/>
    <x v="311"/>
    <x v="12"/>
    <s v="DELEGATE AGENCY"/>
    <s v="UNKNOWN"/>
    <x v="1"/>
  </r>
  <r>
    <n v="263466"/>
    <n v="206231"/>
    <x v="1"/>
    <x v="292"/>
    <x v="12"/>
    <s v="DELEGATE AGENCY"/>
    <s v="UNKNOWN"/>
    <x v="1"/>
  </r>
  <r>
    <n v="263471"/>
    <n v="262500"/>
    <x v="1"/>
    <x v="292"/>
    <x v="12"/>
    <s v="DELEGATE AGENCY"/>
    <s v="UNKNOWN"/>
    <x v="1"/>
  </r>
  <r>
    <n v="263497"/>
    <n v="1885241.5999999901"/>
    <x v="2"/>
    <x v="1829"/>
    <x v="1"/>
    <s v="PROPERTY LEASE"/>
    <s v="UNKNOWN"/>
    <x v="1"/>
  </r>
  <r>
    <n v="263498"/>
    <n v="4953333.3"/>
    <x v="0"/>
    <x v="186"/>
    <x v="0"/>
    <s v="CONSTRUCTION-LARGE $3MILLIONorABOVE"/>
    <s v="BID"/>
    <x v="1"/>
  </r>
  <r>
    <n v="263523"/>
    <n v="2700250"/>
    <x v="0"/>
    <x v="76"/>
    <x v="12"/>
    <s v="DELEGATE AGENCY"/>
    <s v="UNKNOWN"/>
    <x v="1"/>
  </r>
  <r>
    <n v="263640"/>
    <n v="12467000"/>
    <x v="0"/>
    <x v="1830"/>
    <x v="12"/>
    <s v="DELEGATE AGENCY"/>
    <s v="UNKNOWN"/>
    <x v="1"/>
  </r>
  <r>
    <n v="263641"/>
    <n v="62335000"/>
    <x v="0"/>
    <x v="1212"/>
    <x v="12"/>
    <s v="DELEGATE AGENCY"/>
    <s v="UNKNOWN"/>
    <x v="1"/>
  </r>
  <r>
    <n v="26376"/>
    <n v="9834892"/>
    <x v="0"/>
    <x v="519"/>
    <x v="0"/>
    <s v="ARCH/ENGINEERING"/>
    <s v="MASTER AGREEMENT"/>
    <x v="2"/>
  </r>
  <r>
    <n v="263824"/>
    <n v="80060565"/>
    <x v="0"/>
    <x v="0"/>
    <x v="6"/>
    <s v="CONSTRUCTION-AVIATION"/>
    <s v="BID"/>
    <x v="1"/>
  </r>
  <r>
    <n v="263836"/>
    <n v="167708"/>
    <x v="0"/>
    <x v="974"/>
    <x v="2"/>
    <s v="COMPTROLLER-OTHER"/>
    <s v="UNKNOWN"/>
    <x v="1"/>
  </r>
  <r>
    <n v="263926"/>
    <n v="72770"/>
    <x v="1"/>
    <x v="1227"/>
    <x v="22"/>
    <s v="DELEGATE AGENCY"/>
    <s v="UNKNOWN"/>
    <x v="1"/>
  </r>
  <r>
    <n v="263939"/>
    <n v="300000"/>
    <x v="1"/>
    <x v="288"/>
    <x v="12"/>
    <s v="DELEGATE AGENCY"/>
    <s v="UNKNOWN"/>
    <x v="1"/>
  </r>
  <r>
    <n v="263940"/>
    <n v="352500"/>
    <x v="2"/>
    <x v="284"/>
    <x v="12"/>
    <s v="DELEGATE AGENCY"/>
    <s v="UNKNOWN"/>
    <x v="1"/>
  </r>
  <r>
    <n v="263945"/>
    <n v="129911"/>
    <x v="2"/>
    <x v="378"/>
    <x v="2"/>
    <s v="DELEGATE AGENCY"/>
    <s v="UNKNOWN"/>
    <x v="1"/>
  </r>
  <r>
    <n v="264010"/>
    <n v="1856016.7"/>
    <x v="1"/>
    <x v="1831"/>
    <x v="37"/>
    <s v="PRO SERV CONSULTING $250,000orABOVE"/>
    <s v="RFQ"/>
    <x v="1"/>
  </r>
  <r>
    <n v="264052"/>
    <n v="190530.9"/>
    <x v="0"/>
    <x v="76"/>
    <x v="12"/>
    <s v="DELEGATE AGENCY"/>
    <s v="UNKNOWN"/>
    <x v="1"/>
  </r>
  <r>
    <n v="264066"/>
    <n v="61824"/>
    <x v="1"/>
    <x v="59"/>
    <x v="12"/>
    <s v="DELEGATE AGENCY"/>
    <s v="UNKNOWN"/>
    <x v="1"/>
  </r>
  <r>
    <n v="264067"/>
    <n v="61824"/>
    <x v="1"/>
    <x v="446"/>
    <x v="12"/>
    <s v="DELEGATE AGENCY"/>
    <s v="UNKNOWN"/>
    <x v="1"/>
  </r>
  <r>
    <n v="264068"/>
    <n v="30912"/>
    <x v="1"/>
    <x v="689"/>
    <x v="12"/>
    <s v="DELEGATE AGENCY"/>
    <s v="UNKNOWN"/>
    <x v="1"/>
  </r>
  <r>
    <n v="264069"/>
    <n v="3276672"/>
    <x v="4"/>
    <x v="605"/>
    <x v="12"/>
    <s v="DELEGATE AGENCY"/>
    <s v="UNKNOWN"/>
    <x v="1"/>
  </r>
  <r>
    <n v="264070"/>
    <n v="30912"/>
    <x v="0"/>
    <x v="376"/>
    <x v="12"/>
    <s v="DELEGATE AGENCY"/>
    <s v="UNKNOWN"/>
    <x v="1"/>
  </r>
  <r>
    <n v="264072"/>
    <n v="30912"/>
    <x v="4"/>
    <x v="388"/>
    <x v="12"/>
    <s v="DELEGATE AGENCY"/>
    <s v="UNKNOWN"/>
    <x v="1"/>
  </r>
  <r>
    <n v="264074"/>
    <n v="30912"/>
    <x v="4"/>
    <x v="610"/>
    <x v="12"/>
    <s v="DELEGATE AGENCY"/>
    <s v="UNKNOWN"/>
    <x v="1"/>
  </r>
  <r>
    <n v="264075"/>
    <n v="30912"/>
    <x v="4"/>
    <x v="1140"/>
    <x v="12"/>
    <s v="DELEGATE AGENCY"/>
    <s v="UNKNOWN"/>
    <x v="1"/>
  </r>
  <r>
    <n v="264077"/>
    <n v="30912"/>
    <x v="4"/>
    <x v="510"/>
    <x v="12"/>
    <s v="DELEGATE AGENCY"/>
    <s v="UNKNOWN"/>
    <x v="1"/>
  </r>
  <r>
    <n v="264078"/>
    <n v="123648"/>
    <x v="4"/>
    <x v="78"/>
    <x v="12"/>
    <s v="DELEGATE AGENCY"/>
    <s v="UNKNOWN"/>
    <x v="1"/>
  </r>
  <r>
    <n v="264104"/>
    <n v="1089000"/>
    <x v="1"/>
    <x v="485"/>
    <x v="9"/>
    <s v="DELEGATE AGENCY"/>
    <s v="UNKNOWN"/>
    <x v="1"/>
  </r>
  <r>
    <n v="264113"/>
    <n v="10332630"/>
    <x v="0"/>
    <x v="1832"/>
    <x v="6"/>
    <s v="WORK SERV-AVIATION"/>
    <s v="BID"/>
    <x v="1"/>
  </r>
  <r>
    <n v="264129"/>
    <n v="12565098.8999999"/>
    <x v="0"/>
    <x v="999"/>
    <x v="14"/>
    <s v="PRO SERV CONSULTING $250,000orABOVE"/>
    <s v="UNKNOWN"/>
    <x v="1"/>
  </r>
  <r>
    <n v="264289"/>
    <n v="84965"/>
    <x v="0"/>
    <x v="374"/>
    <x v="2"/>
    <s v="DELEGATE AGENCY"/>
    <s v="UNKNOWN"/>
    <x v="1"/>
  </r>
  <r>
    <n v="264291"/>
    <n v="72770"/>
    <x v="1"/>
    <x v="1501"/>
    <x v="22"/>
    <s v="DELEGATE AGENCY"/>
    <s v="UNKNOWN"/>
    <x v="1"/>
  </r>
  <r>
    <n v="264292"/>
    <n v="121880"/>
    <x v="1"/>
    <x v="221"/>
    <x v="2"/>
    <s v="DELEGATE AGENCY"/>
    <s v="UNKNOWN"/>
    <x v="1"/>
  </r>
  <r>
    <n v="264294"/>
    <n v="213210"/>
    <x v="1"/>
    <x v="227"/>
    <x v="12"/>
    <s v="DELEGATE AGENCY"/>
    <s v="UNKNOWN"/>
    <x v="1"/>
  </r>
  <r>
    <n v="264295"/>
    <n v="319815"/>
    <x v="1"/>
    <x v="82"/>
    <x v="12"/>
    <s v="DELEGATE AGENCY"/>
    <s v="UNKNOWN"/>
    <x v="1"/>
  </r>
  <r>
    <n v="264296"/>
    <n v="213210"/>
    <x v="2"/>
    <x v="577"/>
    <x v="12"/>
    <s v="DELEGATE AGENCY"/>
    <s v="UNKNOWN"/>
    <x v="1"/>
  </r>
  <r>
    <n v="264297"/>
    <n v="426410"/>
    <x v="1"/>
    <x v="850"/>
    <x v="12"/>
    <s v="DELEGATE AGENCY"/>
    <s v="UNKNOWN"/>
    <x v="1"/>
  </r>
  <r>
    <n v="264298"/>
    <n v="213210"/>
    <x v="2"/>
    <x v="510"/>
    <x v="12"/>
    <s v="DELEGATE AGENCY"/>
    <s v="UNKNOWN"/>
    <x v="1"/>
  </r>
  <r>
    <n v="264299"/>
    <n v="213210"/>
    <x v="1"/>
    <x v="585"/>
    <x v="12"/>
    <s v="DELEGATE AGENCY"/>
    <s v="UNKNOWN"/>
    <x v="1"/>
  </r>
  <r>
    <n v="264300"/>
    <n v="852840"/>
    <x v="1"/>
    <x v="203"/>
    <x v="12"/>
    <s v="DELEGATE AGENCY"/>
    <s v="UNKNOWN"/>
    <x v="1"/>
  </r>
  <r>
    <n v="264301"/>
    <n v="213210"/>
    <x v="2"/>
    <x v="1221"/>
    <x v="12"/>
    <s v="DELEGATE AGENCY"/>
    <s v="UNKNOWN"/>
    <x v="1"/>
  </r>
  <r>
    <n v="264302"/>
    <n v="1066050"/>
    <x v="1"/>
    <x v="167"/>
    <x v="12"/>
    <s v="DELEGATE AGENCY"/>
    <s v="UNKNOWN"/>
    <x v="1"/>
  </r>
  <r>
    <n v="264304"/>
    <n v="852840"/>
    <x v="0"/>
    <x v="1009"/>
    <x v="12"/>
    <s v="DELEGATE AGENCY"/>
    <s v="UNKNOWN"/>
    <x v="1"/>
  </r>
  <r>
    <n v="264305"/>
    <n v="15564330"/>
    <x v="2"/>
    <x v="605"/>
    <x v="12"/>
    <s v="DELEGATE AGENCY"/>
    <s v="UNKNOWN"/>
    <x v="1"/>
  </r>
  <r>
    <n v="264306"/>
    <n v="695118"/>
    <x v="0"/>
    <x v="367"/>
    <x v="12"/>
    <s v="DELEGATE AGENCY"/>
    <s v="UNKNOWN"/>
    <x v="1"/>
  </r>
  <r>
    <n v="264307"/>
    <n v="852840"/>
    <x v="2"/>
    <x v="359"/>
    <x v="12"/>
    <s v="DELEGATE AGENCY"/>
    <s v="UNKNOWN"/>
    <x v="1"/>
  </r>
  <r>
    <n v="264310"/>
    <n v="1066050"/>
    <x v="2"/>
    <x v="441"/>
    <x v="12"/>
    <s v="DELEGATE AGENCY"/>
    <s v="UNKNOWN"/>
    <x v="1"/>
  </r>
  <r>
    <n v="264311"/>
    <n v="852840"/>
    <x v="0"/>
    <x v="445"/>
    <x v="12"/>
    <s v="DELEGATE AGENCY"/>
    <s v="UNKNOWN"/>
    <x v="1"/>
  </r>
  <r>
    <n v="264312"/>
    <n v="213210"/>
    <x v="2"/>
    <x v="89"/>
    <x v="12"/>
    <s v="DELEGATE AGENCY"/>
    <s v="UNKNOWN"/>
    <x v="1"/>
  </r>
  <r>
    <n v="264313"/>
    <n v="213210"/>
    <x v="1"/>
    <x v="385"/>
    <x v="12"/>
    <s v="DELEGATE AGENCY"/>
    <s v="UNKNOWN"/>
    <x v="1"/>
  </r>
  <r>
    <n v="264315"/>
    <n v="426420"/>
    <x v="1"/>
    <x v="446"/>
    <x v="12"/>
    <s v="DELEGATE AGENCY"/>
    <s v="UNKNOWN"/>
    <x v="1"/>
  </r>
  <r>
    <n v="264316"/>
    <n v="150000"/>
    <x v="2"/>
    <x v="1833"/>
    <x v="6"/>
    <s v="WORK SERV-AVIATION"/>
    <s v="SOLE SOURCE"/>
    <x v="1"/>
  </r>
  <r>
    <n v="264317"/>
    <n v="852840"/>
    <x v="1"/>
    <x v="1212"/>
    <x v="12"/>
    <s v="DELEGATE AGENCY"/>
    <s v="UNKNOWN"/>
    <x v="1"/>
  </r>
  <r>
    <n v="264318"/>
    <n v="426420"/>
    <x v="2"/>
    <x v="449"/>
    <x v="12"/>
    <s v="DELEGATE AGENCY"/>
    <s v="UNKNOWN"/>
    <x v="1"/>
  </r>
  <r>
    <n v="264319"/>
    <n v="319815"/>
    <x v="2"/>
    <x v="614"/>
    <x v="12"/>
    <s v="DELEGATE AGENCY"/>
    <s v="UNKNOWN"/>
    <x v="1"/>
  </r>
  <r>
    <n v="264321"/>
    <n v="319815"/>
    <x v="2"/>
    <x v="120"/>
    <x v="12"/>
    <s v="DELEGATE AGENCY"/>
    <s v="UNKNOWN"/>
    <x v="1"/>
  </r>
  <r>
    <n v="264325"/>
    <n v="426420"/>
    <x v="2"/>
    <x v="621"/>
    <x v="12"/>
    <s v="DELEGATE AGENCY"/>
    <s v="UNKNOWN"/>
    <x v="1"/>
  </r>
  <r>
    <n v="264326"/>
    <n v="1812285"/>
    <x v="2"/>
    <x v="205"/>
    <x v="12"/>
    <s v="DELEGATE AGENCY"/>
    <s v="UNKNOWN"/>
    <x v="1"/>
  </r>
  <r>
    <n v="264327"/>
    <n v="1599075"/>
    <x v="0"/>
    <x v="376"/>
    <x v="12"/>
    <s v="DELEGATE AGENCY"/>
    <s v="UNKNOWN"/>
    <x v="1"/>
  </r>
  <r>
    <n v="264328"/>
    <n v="533025"/>
    <x v="0"/>
    <x v="1553"/>
    <x v="12"/>
    <s v="DELEGATE AGENCY"/>
    <s v="UNKNOWN"/>
    <x v="1"/>
  </r>
  <r>
    <n v="264329"/>
    <n v="319815"/>
    <x v="2"/>
    <x v="27"/>
    <x v="12"/>
    <s v="DELEGATE AGENCY"/>
    <s v="UNKNOWN"/>
    <x v="1"/>
  </r>
  <r>
    <n v="264330"/>
    <n v="30000"/>
    <x v="2"/>
    <x v="987"/>
    <x v="19"/>
    <s v="DELEGATE AGENCY"/>
    <s v="UNKNOWN"/>
    <x v="1"/>
  </r>
  <r>
    <n v="264331"/>
    <n v="30000"/>
    <x v="4"/>
    <x v="314"/>
    <x v="19"/>
    <s v="DELEGATE AGENCY"/>
    <s v="UNKNOWN"/>
    <x v="1"/>
  </r>
  <r>
    <n v="264332"/>
    <n v="50000"/>
    <x v="4"/>
    <x v="991"/>
    <x v="19"/>
    <s v="DELEGATE AGENCY"/>
    <s v="UNKNOWN"/>
    <x v="1"/>
  </r>
  <r>
    <n v="264333"/>
    <n v="20000"/>
    <x v="1"/>
    <x v="971"/>
    <x v="19"/>
    <s v="DELEGATE AGENCY"/>
    <s v="UNKNOWN"/>
    <x v="1"/>
  </r>
  <r>
    <n v="264334"/>
    <n v="185019.2"/>
    <x v="4"/>
    <x v="1155"/>
    <x v="19"/>
    <s v="DELEGATE AGENCY"/>
    <s v="UNKNOWN"/>
    <x v="1"/>
  </r>
  <r>
    <n v="264335"/>
    <n v="504593.5"/>
    <x v="1"/>
    <x v="199"/>
    <x v="12"/>
    <s v="DELEGATE AGENCY"/>
    <s v="UNKNOWN"/>
    <x v="1"/>
  </r>
  <r>
    <n v="264336"/>
    <n v="480058.3"/>
    <x v="2"/>
    <x v="449"/>
    <x v="12"/>
    <s v="DELEGATE AGENCY"/>
    <s v="UNKNOWN"/>
    <x v="1"/>
  </r>
  <r>
    <n v="264337"/>
    <n v="524065.4"/>
    <x v="2"/>
    <x v="448"/>
    <x v="12"/>
    <s v="DELEGATE AGENCY"/>
    <s v="UNKNOWN"/>
    <x v="1"/>
  </r>
  <r>
    <n v="264338"/>
    <n v="123648"/>
    <x v="2"/>
    <x v="169"/>
    <x v="12"/>
    <s v="DELEGATE AGENCY"/>
    <s v="UNKNOWN"/>
    <x v="1"/>
  </r>
  <r>
    <n v="264339"/>
    <n v="92736"/>
    <x v="1"/>
    <x v="444"/>
    <x v="12"/>
    <s v="DELEGATE AGENCY"/>
    <s v="UNKNOWN"/>
    <x v="1"/>
  </r>
  <r>
    <n v="264340"/>
    <n v="92736"/>
    <x v="1"/>
    <x v="449"/>
    <x v="12"/>
    <s v="DELEGATE AGENCY"/>
    <s v="UNKNOWN"/>
    <x v="1"/>
  </r>
  <r>
    <n v="264341"/>
    <n v="123648"/>
    <x v="1"/>
    <x v="201"/>
    <x v="12"/>
    <s v="DELEGATE AGENCY"/>
    <s v="UNKNOWN"/>
    <x v="1"/>
  </r>
  <r>
    <n v="264342"/>
    <n v="92736"/>
    <x v="1"/>
    <x v="451"/>
    <x v="12"/>
    <s v="DELEGATE AGENCY"/>
    <s v="UNKNOWN"/>
    <x v="1"/>
  </r>
  <r>
    <n v="264343"/>
    <n v="154560"/>
    <x v="1"/>
    <x v="205"/>
    <x v="12"/>
    <s v="DELEGATE AGENCY"/>
    <s v="UNKNOWN"/>
    <x v="1"/>
  </r>
  <r>
    <n v="264346"/>
    <n v="533025"/>
    <x v="1"/>
    <x v="604"/>
    <x v="12"/>
    <s v="DELEGATE AGENCY"/>
    <s v="UNKNOWN"/>
    <x v="1"/>
  </r>
  <r>
    <n v="264347"/>
    <n v="2984940"/>
    <x v="2"/>
    <x v="199"/>
    <x v="12"/>
    <s v="DELEGATE AGENCY"/>
    <s v="UNKNOWN"/>
    <x v="1"/>
  </r>
  <r>
    <n v="264348"/>
    <n v="852840"/>
    <x v="0"/>
    <x v="444"/>
    <x v="12"/>
    <s v="DELEGATE AGENCY"/>
    <s v="UNKNOWN"/>
    <x v="1"/>
  </r>
  <r>
    <n v="264349"/>
    <n v="852840"/>
    <x v="2"/>
    <x v="341"/>
    <x v="12"/>
    <s v="DELEGATE AGENCY"/>
    <s v="UNKNOWN"/>
    <x v="1"/>
  </r>
  <r>
    <n v="264350"/>
    <n v="213210"/>
    <x v="2"/>
    <x v="657"/>
    <x v="12"/>
    <s v="DELEGATE AGENCY"/>
    <s v="UNKNOWN"/>
    <x v="1"/>
  </r>
  <r>
    <n v="264351"/>
    <n v="852840"/>
    <x v="1"/>
    <x v="169"/>
    <x v="12"/>
    <s v="DELEGATE AGENCY"/>
    <s v="UNKNOWN"/>
    <x v="1"/>
  </r>
  <r>
    <n v="264352"/>
    <n v="319815"/>
    <x v="2"/>
    <x v="128"/>
    <x v="12"/>
    <s v="DELEGATE AGENCY"/>
    <s v="UNKNOWN"/>
    <x v="1"/>
  </r>
  <r>
    <n v="264353"/>
    <n v="426420"/>
    <x v="2"/>
    <x v="204"/>
    <x v="12"/>
    <s v="DELEGATE AGENCY"/>
    <s v="UNKNOWN"/>
    <x v="1"/>
  </r>
  <r>
    <n v="264354"/>
    <n v="218327.1"/>
    <x v="2"/>
    <x v="879"/>
    <x v="12"/>
    <s v="DELEGATE AGENCY"/>
    <s v="UNKNOWN"/>
    <x v="1"/>
  </r>
  <r>
    <n v="264355"/>
    <n v="1066050"/>
    <x v="1"/>
    <x v="1065"/>
    <x v="12"/>
    <s v="DELEGATE AGENCY"/>
    <s v="UNKNOWN"/>
    <x v="1"/>
  </r>
  <r>
    <n v="264357"/>
    <n v="25000"/>
    <x v="0"/>
    <x v="390"/>
    <x v="19"/>
    <s v="DELEGATE AGENCY"/>
    <s v="UNKNOWN"/>
    <x v="1"/>
  </r>
  <r>
    <n v="264358"/>
    <n v="30912"/>
    <x v="4"/>
    <x v="84"/>
    <x v="12"/>
    <s v="DELEGATE AGENCY"/>
    <s v="UNKNOWN"/>
    <x v="1"/>
  </r>
  <r>
    <n v="264359"/>
    <n v="185470"/>
    <x v="4"/>
    <x v="73"/>
    <x v="12"/>
    <s v="DELEGATE AGENCY"/>
    <s v="UNKNOWN"/>
    <x v="1"/>
  </r>
  <r>
    <n v="264360"/>
    <n v="92735"/>
    <x v="1"/>
    <x v="227"/>
    <x v="12"/>
    <s v="DELEGATE AGENCY"/>
    <s v="UNKNOWN"/>
    <x v="1"/>
  </r>
  <r>
    <n v="264361"/>
    <n v="92735"/>
    <x v="1"/>
    <x v="89"/>
    <x v="12"/>
    <s v="DELEGATE AGENCY"/>
    <s v="UNKNOWN"/>
    <x v="1"/>
  </r>
  <r>
    <n v="264362"/>
    <n v="370944"/>
    <x v="1"/>
    <x v="588"/>
    <x v="12"/>
    <s v="DELEGATE AGENCY"/>
    <s v="UNKNOWN"/>
    <x v="1"/>
  </r>
  <r>
    <n v="26443"/>
    <n v="10189000"/>
    <x v="2"/>
    <x v="1834"/>
    <x v="6"/>
    <s v="PRO SERV-AVIATION"/>
    <s v="RFP"/>
    <x v="0"/>
  </r>
  <r>
    <n v="264458"/>
    <n v="145932.9"/>
    <x v="0"/>
    <x v="999"/>
    <x v="14"/>
    <s v="PRO SERV CONSULTING $250,000orABOVE"/>
    <s v="UNKNOWN"/>
    <x v="1"/>
  </r>
  <r>
    <n v="264466"/>
    <n v="1013117"/>
    <x v="1"/>
    <x v="297"/>
    <x v="12"/>
    <s v="DELEGATE AGENCY"/>
    <s v="UNKNOWN"/>
    <x v="1"/>
  </r>
  <r>
    <n v="264525"/>
    <n v="56430.9"/>
    <x v="0"/>
    <x v="114"/>
    <x v="12"/>
    <s v="DELEGATE AGENCY"/>
    <s v="UNKNOWN"/>
    <x v="1"/>
  </r>
  <r>
    <n v="264526"/>
    <n v="49737.7"/>
    <x v="1"/>
    <x v="201"/>
    <x v="12"/>
    <s v="DELEGATE AGENCY"/>
    <s v="UNKNOWN"/>
    <x v="1"/>
  </r>
  <r>
    <n v="264527"/>
    <n v="57598.1"/>
    <x v="4"/>
    <x v="200"/>
    <x v="12"/>
    <s v="DELEGATE AGENCY"/>
    <s v="UNKNOWN"/>
    <x v="1"/>
  </r>
  <r>
    <n v="264528"/>
    <n v="46423.4"/>
    <x v="1"/>
    <x v="89"/>
    <x v="12"/>
    <s v="DELEGATE AGENCY"/>
    <s v="UNKNOWN"/>
    <x v="1"/>
  </r>
  <r>
    <n v="264529"/>
    <n v="58519.199999999997"/>
    <x v="4"/>
    <x v="199"/>
    <x v="12"/>
    <s v="DELEGATE AGENCY"/>
    <s v="UNKNOWN"/>
    <x v="1"/>
  </r>
  <r>
    <n v="264530"/>
    <n v="51897.599999999999"/>
    <x v="1"/>
    <x v="127"/>
    <x v="12"/>
    <s v="DELEGATE AGENCY"/>
    <s v="UNKNOWN"/>
    <x v="1"/>
  </r>
  <r>
    <n v="264531"/>
    <n v="30545.3"/>
    <x v="1"/>
    <x v="205"/>
    <x v="12"/>
    <s v="DELEGATE AGENCY"/>
    <s v="UNKNOWN"/>
    <x v="1"/>
  </r>
  <r>
    <n v="264532"/>
    <n v="50572.2"/>
    <x v="4"/>
    <x v="203"/>
    <x v="12"/>
    <s v="DELEGATE AGENCY"/>
    <s v="UNKNOWN"/>
    <x v="1"/>
  </r>
  <r>
    <n v="264533"/>
    <n v="57820.800000000003"/>
    <x v="1"/>
    <x v="169"/>
    <x v="12"/>
    <s v="DELEGATE AGENCY"/>
    <s v="UNKNOWN"/>
    <x v="1"/>
  </r>
  <r>
    <n v="264534"/>
    <n v="36620.300000000003"/>
    <x v="1"/>
    <x v="169"/>
    <x v="12"/>
    <s v="DELEGATE AGENCY"/>
    <s v="UNKNOWN"/>
    <x v="1"/>
  </r>
  <r>
    <n v="264535"/>
    <n v="49259.4"/>
    <x v="4"/>
    <x v="202"/>
    <x v="12"/>
    <s v="DELEGATE AGENCY"/>
    <s v="UNKNOWN"/>
    <x v="1"/>
  </r>
  <r>
    <n v="264536"/>
    <n v="52800"/>
    <x v="4"/>
    <x v="228"/>
    <x v="12"/>
    <s v="DELEGATE AGENCY"/>
    <s v="UNKNOWN"/>
    <x v="1"/>
  </r>
  <r>
    <n v="264537"/>
    <n v="69000"/>
    <x v="1"/>
    <x v="586"/>
    <x v="12"/>
    <s v="DELEGATE AGENCY"/>
    <s v="UNKNOWN"/>
    <x v="1"/>
  </r>
  <r>
    <n v="264538"/>
    <n v="69000"/>
    <x v="1"/>
    <x v="76"/>
    <x v="12"/>
    <s v="DELEGATE AGENCY"/>
    <s v="UNKNOWN"/>
    <x v="1"/>
  </r>
  <r>
    <n v="264539"/>
    <n v="69000"/>
    <x v="1"/>
    <x v="592"/>
    <x v="12"/>
    <s v="DELEGATE AGENCY"/>
    <s v="UNKNOWN"/>
    <x v="1"/>
  </r>
  <r>
    <n v="264540"/>
    <n v="49723.8"/>
    <x v="1"/>
    <x v="204"/>
    <x v="12"/>
    <s v="DELEGATE AGENCY"/>
    <s v="UNKNOWN"/>
    <x v="1"/>
  </r>
  <r>
    <n v="264541"/>
    <n v="103500"/>
    <x v="4"/>
    <x v="721"/>
    <x v="12"/>
    <s v="DELEGATE AGENCY"/>
    <s v="UNKNOWN"/>
    <x v="1"/>
  </r>
  <r>
    <n v="264626"/>
    <n v="250297"/>
    <x v="1"/>
    <x v="578"/>
    <x v="12"/>
    <s v="DELEGATE AGENCY"/>
    <s v="UNKNOWN"/>
    <x v="1"/>
  </r>
  <r>
    <n v="264627"/>
    <n v="245709.8"/>
    <x v="2"/>
    <x v="1553"/>
    <x v="12"/>
    <s v="DELEGATE AGENCY"/>
    <s v="UNKNOWN"/>
    <x v="1"/>
  </r>
  <r>
    <n v="264628"/>
    <n v="247014.3"/>
    <x v="1"/>
    <x v="391"/>
    <x v="12"/>
    <s v="DELEGATE AGENCY"/>
    <s v="UNKNOWN"/>
    <x v="1"/>
  </r>
  <r>
    <n v="264629"/>
    <n v="220406.2"/>
    <x v="1"/>
    <x v="879"/>
    <x v="12"/>
    <s v="DELEGATE AGENCY"/>
    <s v="UNKNOWN"/>
    <x v="1"/>
  </r>
  <r>
    <n v="264630"/>
    <n v="244694.8"/>
    <x v="1"/>
    <x v="593"/>
    <x v="12"/>
    <s v="DELEGATE AGENCY"/>
    <s v="UNKNOWN"/>
    <x v="1"/>
  </r>
  <r>
    <n v="264631"/>
    <n v="504634.7"/>
    <x v="1"/>
    <x v="199"/>
    <x v="12"/>
    <s v="DELEGATE AGENCY"/>
    <s v="UNKNOWN"/>
    <x v="1"/>
  </r>
  <r>
    <n v="264632"/>
    <n v="221520.8"/>
    <x v="2"/>
    <x v="464"/>
    <x v="12"/>
    <s v="DELEGATE AGENCY"/>
    <s v="UNKNOWN"/>
    <x v="1"/>
  </r>
  <r>
    <n v="264633"/>
    <n v="199826.6"/>
    <x v="1"/>
    <x v="167"/>
    <x v="12"/>
    <s v="DELEGATE AGENCY"/>
    <s v="UNKNOWN"/>
    <x v="1"/>
  </r>
  <r>
    <n v="264635"/>
    <n v="36000"/>
    <x v="1"/>
    <x v="576"/>
    <x v="12"/>
    <s v="DELEGATE AGENCY"/>
    <s v="UNKNOWN"/>
    <x v="1"/>
  </r>
  <r>
    <n v="264636"/>
    <n v="8398.7999999999993"/>
    <x v="4"/>
    <x v="64"/>
    <x v="12"/>
    <s v="DELEGATE AGENCY"/>
    <s v="UNKNOWN"/>
    <x v="1"/>
  </r>
  <r>
    <n v="264637"/>
    <n v="53070"/>
    <x v="3"/>
    <x v="346"/>
    <x v="12"/>
    <s v="DELEGATE AGENCY"/>
    <s v="UNKNOWN"/>
    <x v="1"/>
  </r>
  <r>
    <n v="264640"/>
    <n v="87563.1"/>
    <x v="1"/>
    <x v="351"/>
    <x v="12"/>
    <s v="DELEGATE AGENCY"/>
    <s v="UNKNOWN"/>
    <x v="1"/>
  </r>
  <r>
    <n v="264642"/>
    <n v="29280"/>
    <x v="1"/>
    <x v="61"/>
    <x v="12"/>
    <s v="DELEGATE AGENCY"/>
    <s v="UNKNOWN"/>
    <x v="1"/>
  </r>
  <r>
    <n v="264643"/>
    <n v="17710"/>
    <x v="4"/>
    <x v="354"/>
    <x v="12"/>
    <s v="DELEGATE AGENCY"/>
    <s v="UNKNOWN"/>
    <x v="1"/>
  </r>
  <r>
    <n v="264644"/>
    <n v="70000"/>
    <x v="4"/>
    <x v="345"/>
    <x v="12"/>
    <s v="DELEGATE AGENCY"/>
    <s v="UNKNOWN"/>
    <x v="1"/>
  </r>
  <r>
    <n v="264645"/>
    <n v="52800"/>
    <x v="1"/>
    <x v="294"/>
    <x v="12"/>
    <s v="DELEGATE AGENCY"/>
    <s v="UNKNOWN"/>
    <x v="1"/>
  </r>
  <r>
    <n v="264648"/>
    <n v="68256.5"/>
    <x v="1"/>
    <x v="350"/>
    <x v="12"/>
    <s v="DELEGATE AGENCY"/>
    <s v="UNKNOWN"/>
    <x v="1"/>
  </r>
  <r>
    <n v="264650"/>
    <n v="116176.6"/>
    <x v="1"/>
    <x v="359"/>
    <x v="12"/>
    <s v="DELEGATE AGENCY"/>
    <s v="UNKNOWN"/>
    <x v="1"/>
  </r>
  <r>
    <n v="264693"/>
    <n v="199829"/>
    <x v="1"/>
    <x v="326"/>
    <x v="26"/>
    <s v="DELEGATE AGENCY"/>
    <s v="UNKNOWN"/>
    <x v="1"/>
  </r>
  <r>
    <n v="264794"/>
    <n v="8622.7999999999993"/>
    <x v="1"/>
    <x v="312"/>
    <x v="12"/>
    <s v="DELEGATE AGENCY"/>
    <s v="UNKNOWN"/>
    <x v="1"/>
  </r>
  <r>
    <n v="264795"/>
    <n v="88320"/>
    <x v="3"/>
    <x v="312"/>
    <x v="12"/>
    <s v="DELEGATE AGENCY"/>
    <s v="UNKNOWN"/>
    <x v="1"/>
  </r>
  <r>
    <n v="264796"/>
    <n v="25900"/>
    <x v="1"/>
    <x v="288"/>
    <x v="12"/>
    <s v="DELEGATE AGENCY"/>
    <s v="UNKNOWN"/>
    <x v="1"/>
  </r>
  <r>
    <n v="264797"/>
    <n v="30560"/>
    <x v="4"/>
    <x v="287"/>
    <x v="12"/>
    <s v="DELEGATE AGENCY"/>
    <s v="UNKNOWN"/>
    <x v="1"/>
  </r>
  <r>
    <n v="264802"/>
    <n v="1200000"/>
    <x v="4"/>
    <x v="503"/>
    <x v="12"/>
    <s v="DELEGATE AGENCY"/>
    <s v="UNKNOWN"/>
    <x v="1"/>
  </r>
  <r>
    <n v="264803"/>
    <n v="1000000"/>
    <x v="0"/>
    <x v="503"/>
    <x v="12"/>
    <s v="DELEGATE AGENCY"/>
    <s v="UNKNOWN"/>
    <x v="1"/>
  </r>
  <r>
    <n v="264812"/>
    <n v="348534.6"/>
    <x v="0"/>
    <x v="1499"/>
    <x v="8"/>
    <s v="DELEGATE AGENCY"/>
    <s v="UNKNOWN"/>
    <x v="1"/>
  </r>
  <r>
    <n v="264842"/>
    <n v="52800"/>
    <x v="2"/>
    <x v="365"/>
    <x v="12"/>
    <s v="DELEGATE AGENCY"/>
    <s v="UNKNOWN"/>
    <x v="1"/>
  </r>
  <r>
    <n v="264846"/>
    <n v="52800"/>
    <x v="1"/>
    <x v="350"/>
    <x v="12"/>
    <s v="DELEGATE AGENCY"/>
    <s v="UNKNOWN"/>
    <x v="1"/>
  </r>
  <r>
    <n v="264876"/>
    <n v="572047.69999999995"/>
    <x v="1"/>
    <x v="493"/>
    <x v="12"/>
    <s v="DELEGATE AGENCY"/>
    <s v="UNKNOWN"/>
    <x v="1"/>
  </r>
  <r>
    <n v="264888"/>
    <n v="399998.3"/>
    <x v="2"/>
    <x v="169"/>
    <x v="19"/>
    <s v="DELEGATE AGENCY"/>
    <s v="UNKNOWN"/>
    <x v="1"/>
  </r>
  <r>
    <n v="264890"/>
    <n v="322296.3"/>
    <x v="2"/>
    <x v="1497"/>
    <x v="19"/>
    <s v="DELEGATE AGENCY"/>
    <s v="UNKNOWN"/>
    <x v="1"/>
  </r>
  <r>
    <n v="264895"/>
    <n v="197710.5"/>
    <x v="2"/>
    <x v="989"/>
    <x v="19"/>
    <s v="DELEGATE AGENCY"/>
    <s v="UNKNOWN"/>
    <x v="1"/>
  </r>
  <r>
    <n v="264908"/>
    <n v="119113.1"/>
    <x v="1"/>
    <x v="317"/>
    <x v="12"/>
    <s v="DELEGATE AGENCY"/>
    <s v="UNKNOWN"/>
    <x v="1"/>
  </r>
  <r>
    <n v="264910"/>
    <n v="71286"/>
    <x v="1"/>
    <x v="86"/>
    <x v="12"/>
    <s v="DELEGATE AGENCY"/>
    <s v="UNKNOWN"/>
    <x v="1"/>
  </r>
  <r>
    <n v="264912"/>
    <n v="1050000"/>
    <x v="1"/>
    <x v="302"/>
    <x v="12"/>
    <s v="DELEGATE AGENCY"/>
    <s v="UNKNOWN"/>
    <x v="1"/>
  </r>
  <r>
    <n v="264925"/>
    <n v="748887.3"/>
    <x v="0"/>
    <x v="326"/>
    <x v="26"/>
    <s v="DELEGATE AGENCY"/>
    <s v="UNKNOWN"/>
    <x v="1"/>
  </r>
  <r>
    <n v="264926"/>
    <n v="198152.5"/>
    <x v="2"/>
    <x v="338"/>
    <x v="26"/>
    <s v="DELEGATE AGENCY"/>
    <s v="UNKNOWN"/>
    <x v="1"/>
  </r>
  <r>
    <n v="264935"/>
    <n v="587480.4"/>
    <x v="1"/>
    <x v="293"/>
    <x v="12"/>
    <s v="DELEGATE AGENCY"/>
    <s v="UNKNOWN"/>
    <x v="1"/>
  </r>
  <r>
    <n v="264936"/>
    <n v="4110.5"/>
    <x v="2"/>
    <x v="73"/>
    <x v="12"/>
    <s v="DELEGATE AGENCY"/>
    <s v="UNKNOWN"/>
    <x v="1"/>
  </r>
  <r>
    <n v="264937"/>
    <n v="54000"/>
    <x v="3"/>
    <x v="444"/>
    <x v="12"/>
    <s v="DELEGATE AGENCY"/>
    <s v="UNKNOWN"/>
    <x v="1"/>
  </r>
  <r>
    <n v="264939"/>
    <n v="108000"/>
    <x v="1"/>
    <x v="586"/>
    <x v="12"/>
    <s v="DELEGATE AGENCY"/>
    <s v="UNKNOWN"/>
    <x v="1"/>
  </r>
  <r>
    <n v="264941"/>
    <n v="67000"/>
    <x v="1"/>
    <x v="287"/>
    <x v="12"/>
    <s v="DELEGATE AGENCY"/>
    <s v="UNKNOWN"/>
    <x v="1"/>
  </r>
  <r>
    <n v="264943"/>
    <n v="108900"/>
    <x v="1"/>
    <x v="306"/>
    <x v="12"/>
    <s v="DELEGATE AGENCY"/>
    <s v="UNKNOWN"/>
    <x v="1"/>
  </r>
  <r>
    <n v="264944"/>
    <n v="108000"/>
    <x v="1"/>
    <x v="444"/>
    <x v="12"/>
    <s v="DELEGATE AGENCY"/>
    <s v="UNKNOWN"/>
    <x v="1"/>
  </r>
  <r>
    <n v="264945"/>
    <n v="81000"/>
    <x v="1"/>
    <x v="444"/>
    <x v="12"/>
    <s v="DELEGATE AGENCY"/>
    <s v="UNKNOWN"/>
    <x v="1"/>
  </r>
  <r>
    <n v="264946"/>
    <n v="54000"/>
    <x v="1"/>
    <x v="444"/>
    <x v="12"/>
    <s v="DELEGATE AGENCY"/>
    <s v="UNKNOWN"/>
    <x v="1"/>
  </r>
  <r>
    <n v="264947"/>
    <n v="54000"/>
    <x v="1"/>
    <x v="62"/>
    <x v="12"/>
    <s v="DELEGATE AGENCY"/>
    <s v="UNKNOWN"/>
    <x v="1"/>
  </r>
  <r>
    <n v="264948"/>
    <n v="162000"/>
    <x v="1"/>
    <x v="62"/>
    <x v="12"/>
    <s v="DELEGATE AGENCY"/>
    <s v="UNKNOWN"/>
    <x v="1"/>
  </r>
  <r>
    <n v="264949"/>
    <n v="297000"/>
    <x v="1"/>
    <x v="62"/>
    <x v="12"/>
    <s v="DELEGATE AGENCY"/>
    <s v="UNKNOWN"/>
    <x v="1"/>
  </r>
  <r>
    <n v="264950"/>
    <n v="7063.1"/>
    <x v="2"/>
    <x v="287"/>
    <x v="12"/>
    <s v="DELEGATE AGENCY"/>
    <s v="UNKNOWN"/>
    <x v="1"/>
  </r>
  <r>
    <n v="264951"/>
    <n v="54000"/>
    <x v="3"/>
    <x v="62"/>
    <x v="12"/>
    <s v="DELEGATE AGENCY"/>
    <s v="UNKNOWN"/>
    <x v="1"/>
  </r>
  <r>
    <n v="264952"/>
    <n v="54000"/>
    <x v="1"/>
    <x v="77"/>
    <x v="12"/>
    <s v="DELEGATE AGENCY"/>
    <s v="UNKNOWN"/>
    <x v="1"/>
  </r>
  <r>
    <n v="264954"/>
    <n v="54000"/>
    <x v="1"/>
    <x v="580"/>
    <x v="12"/>
    <s v="DELEGATE AGENCY"/>
    <s v="UNKNOWN"/>
    <x v="1"/>
  </r>
  <r>
    <n v="264955"/>
    <n v="56673"/>
    <x v="1"/>
    <x v="593"/>
    <x v="12"/>
    <s v="DELEGATE AGENCY"/>
    <s v="UNKNOWN"/>
    <x v="1"/>
  </r>
  <r>
    <n v="264956"/>
    <n v="116737.3"/>
    <x v="1"/>
    <x v="293"/>
    <x v="12"/>
    <s v="DELEGATE AGENCY"/>
    <s v="UNKNOWN"/>
    <x v="1"/>
  </r>
  <r>
    <n v="264957"/>
    <n v="324688"/>
    <x v="1"/>
    <x v="308"/>
    <x v="12"/>
    <s v="DELEGATE AGENCY"/>
    <s v="UNKNOWN"/>
    <x v="1"/>
  </r>
  <r>
    <n v="264959"/>
    <n v="54000"/>
    <x v="2"/>
    <x v="577"/>
    <x v="12"/>
    <s v="DELEGATE AGENCY"/>
    <s v="UNKNOWN"/>
    <x v="1"/>
  </r>
  <r>
    <n v="264960"/>
    <n v="135000"/>
    <x v="1"/>
    <x v="451"/>
    <x v="12"/>
    <s v="DELEGATE AGENCY"/>
    <s v="UNKNOWN"/>
    <x v="1"/>
  </r>
  <r>
    <n v="264961"/>
    <n v="108000"/>
    <x v="1"/>
    <x v="78"/>
    <x v="12"/>
    <s v="DELEGATE AGENCY"/>
    <s v="UNKNOWN"/>
    <x v="1"/>
  </r>
  <r>
    <n v="264962"/>
    <n v="81000"/>
    <x v="1"/>
    <x v="37"/>
    <x v="12"/>
    <s v="DELEGATE AGENCY"/>
    <s v="UNKNOWN"/>
    <x v="1"/>
  </r>
  <r>
    <n v="264963"/>
    <n v="48000"/>
    <x v="1"/>
    <x v="618"/>
    <x v="12"/>
    <s v="DELEGATE AGENCY"/>
    <s v="UNKNOWN"/>
    <x v="1"/>
  </r>
  <r>
    <n v="264964"/>
    <n v="312000"/>
    <x v="4"/>
    <x v="621"/>
    <x v="12"/>
    <s v="DELEGATE AGENCY"/>
    <s v="UNKNOWN"/>
    <x v="1"/>
  </r>
  <r>
    <n v="264965"/>
    <n v="72000"/>
    <x v="2"/>
    <x v="616"/>
    <x v="12"/>
    <s v="DELEGATE AGENCY"/>
    <s v="UNKNOWN"/>
    <x v="1"/>
  </r>
  <r>
    <n v="264966"/>
    <n v="168000"/>
    <x v="1"/>
    <x v="616"/>
    <x v="12"/>
    <s v="DELEGATE AGENCY"/>
    <s v="UNKNOWN"/>
    <x v="1"/>
  </r>
  <r>
    <n v="264967"/>
    <n v="696000"/>
    <x v="1"/>
    <x v="605"/>
    <x v="12"/>
    <s v="DELEGATE AGENCY"/>
    <s v="UNKNOWN"/>
    <x v="1"/>
  </r>
  <r>
    <n v="264968"/>
    <n v="1128000"/>
    <x v="2"/>
    <x v="605"/>
    <x v="12"/>
    <s v="DELEGATE AGENCY"/>
    <s v="UNKNOWN"/>
    <x v="1"/>
  </r>
  <r>
    <n v="264969"/>
    <n v="72000"/>
    <x v="0"/>
    <x v="167"/>
    <x v="12"/>
    <s v="DELEGATE AGENCY"/>
    <s v="UNKNOWN"/>
    <x v="1"/>
  </r>
  <r>
    <n v="264970"/>
    <n v="72000"/>
    <x v="1"/>
    <x v="619"/>
    <x v="12"/>
    <s v="DELEGATE AGENCY"/>
    <s v="UNKNOWN"/>
    <x v="1"/>
  </r>
  <r>
    <n v="264971"/>
    <n v="144000"/>
    <x v="1"/>
    <x v="78"/>
    <x v="12"/>
    <s v="DELEGATE AGENCY"/>
    <s v="UNKNOWN"/>
    <x v="1"/>
  </r>
  <r>
    <n v="264972"/>
    <n v="54000"/>
    <x v="1"/>
    <x v="63"/>
    <x v="12"/>
    <s v="DELEGATE AGENCY"/>
    <s v="UNKNOWN"/>
    <x v="1"/>
  </r>
  <r>
    <n v="264975"/>
    <n v="114872"/>
    <x v="1"/>
    <x v="298"/>
    <x v="12"/>
    <s v="DELEGATE AGENCY"/>
    <s v="UNKNOWN"/>
    <x v="1"/>
  </r>
  <r>
    <n v="265023"/>
    <n v="16260000"/>
    <x v="1"/>
    <x v="1835"/>
    <x v="5"/>
    <s v="COMMODITIES"/>
    <s v="BID"/>
    <x v="1"/>
  </r>
  <r>
    <n v="265039"/>
    <n v="235623.2"/>
    <x v="0"/>
    <x v="285"/>
    <x v="12"/>
    <s v="DELEGATE AGENCY"/>
    <s v="UNKNOWN"/>
    <x v="1"/>
  </r>
  <r>
    <n v="265055"/>
    <n v="248940.5"/>
    <x v="1"/>
    <x v="358"/>
    <x v="12"/>
    <s v="DELEGATE AGENCY"/>
    <s v="UNKNOWN"/>
    <x v="1"/>
  </r>
  <r>
    <n v="265059"/>
    <n v="1656766.9"/>
    <x v="1"/>
    <x v="285"/>
    <x v="12"/>
    <s v="DELEGATE AGENCY"/>
    <s v="UNKNOWN"/>
    <x v="1"/>
  </r>
  <r>
    <n v="265064"/>
    <n v="479414.4"/>
    <x v="0"/>
    <x v="290"/>
    <x v="12"/>
    <s v="DELEGATE AGENCY"/>
    <s v="UNKNOWN"/>
    <x v="1"/>
  </r>
  <r>
    <n v="265065"/>
    <n v="137833.60000000001"/>
    <x v="2"/>
    <x v="290"/>
    <x v="12"/>
    <s v="DELEGATE AGENCY"/>
    <s v="UNKNOWN"/>
    <x v="1"/>
  </r>
  <r>
    <n v="265066"/>
    <n v="20222"/>
    <x v="1"/>
    <x v="290"/>
    <x v="12"/>
    <s v="DELEGATE AGENCY"/>
    <s v="UNKNOWN"/>
    <x v="1"/>
  </r>
  <r>
    <n v="265067"/>
    <n v="150000"/>
    <x v="4"/>
    <x v="290"/>
    <x v="12"/>
    <s v="DELEGATE AGENCY"/>
    <s v="UNKNOWN"/>
    <x v="1"/>
  </r>
  <r>
    <n v="265069"/>
    <n v="2050000"/>
    <x v="1"/>
    <x v="285"/>
    <x v="12"/>
    <s v="DELEGATE AGENCY"/>
    <s v="UNKNOWN"/>
    <x v="1"/>
  </r>
  <r>
    <n v="265073"/>
    <n v="6687"/>
    <x v="0"/>
    <x v="308"/>
    <x v="12"/>
    <s v="DELEGATE AGENCY"/>
    <s v="UNKNOWN"/>
    <x v="1"/>
  </r>
  <r>
    <n v="265076"/>
    <n v="181915.7"/>
    <x v="3"/>
    <x v="301"/>
    <x v="12"/>
    <s v="DELEGATE AGENCY"/>
    <s v="UNKNOWN"/>
    <x v="1"/>
  </r>
  <r>
    <n v="265084"/>
    <n v="34749"/>
    <x v="1"/>
    <x v="308"/>
    <x v="12"/>
    <s v="DELEGATE AGENCY"/>
    <s v="UNKNOWN"/>
    <x v="1"/>
  </r>
  <r>
    <n v="265209"/>
    <n v="666490"/>
    <x v="4"/>
    <x v="308"/>
    <x v="12"/>
    <s v="DELEGATE AGENCY"/>
    <s v="UNKNOWN"/>
    <x v="1"/>
  </r>
  <r>
    <n v="265291"/>
    <n v="500000"/>
    <x v="2"/>
    <x v="211"/>
    <x v="1"/>
    <s v="DELEGATE AGENCY"/>
    <s v="UNKNOWN"/>
    <x v="1"/>
  </r>
  <r>
    <n v="265292"/>
    <n v="71697878.200000003"/>
    <x v="2"/>
    <x v="21"/>
    <x v="0"/>
    <s v="CONSTRUCTION-LARGE $3MILLIONorABOVE"/>
    <s v="BID"/>
    <x v="1"/>
  </r>
  <r>
    <n v="265293"/>
    <n v="71271996.900000006"/>
    <x v="0"/>
    <x v="21"/>
    <x v="0"/>
    <s v="CONSTRUCTION-LARGE $3MILLIONorABOVE"/>
    <s v="BID"/>
    <x v="1"/>
  </r>
  <r>
    <n v="265294"/>
    <n v="63054001.399999999"/>
    <x v="0"/>
    <x v="226"/>
    <x v="0"/>
    <s v="CONSTRUCTION-LARGE $3MILLIONorABOVE"/>
    <s v="BID"/>
    <x v="1"/>
  </r>
  <r>
    <n v="265295"/>
    <n v="63009076.799999997"/>
    <x v="0"/>
    <x v="226"/>
    <x v="0"/>
    <s v="CONSTRUCTION-LARGE $3MILLIONorABOVE"/>
    <s v="BID"/>
    <x v="1"/>
  </r>
  <r>
    <n v="265349"/>
    <n v="201091.20000000001"/>
    <x v="0"/>
    <x v="297"/>
    <x v="12"/>
    <s v="DELEGATE AGENCY"/>
    <s v="UNKNOWN"/>
    <x v="1"/>
  </r>
  <r>
    <n v="265401"/>
    <n v="54000"/>
    <x v="1"/>
    <x v="584"/>
    <x v="12"/>
    <s v="DELEGATE AGENCY"/>
    <s v="UNKNOWN"/>
    <x v="1"/>
  </r>
  <r>
    <n v="265413"/>
    <n v="51000"/>
    <x v="1"/>
    <x v="59"/>
    <x v="12"/>
    <s v="DELEGATE AGENCY"/>
    <s v="UNKNOWN"/>
    <x v="1"/>
  </r>
  <r>
    <n v="265414"/>
    <n v="72000"/>
    <x v="1"/>
    <x v="125"/>
    <x v="12"/>
    <s v="DELEGATE AGENCY"/>
    <s v="UNKNOWN"/>
    <x v="1"/>
  </r>
  <r>
    <n v="265415"/>
    <n v="96000"/>
    <x v="1"/>
    <x v="510"/>
    <x v="12"/>
    <s v="DELEGATE AGENCY"/>
    <s v="UNKNOWN"/>
    <x v="1"/>
  </r>
  <r>
    <n v="265416"/>
    <n v="72000"/>
    <x v="1"/>
    <x v="127"/>
    <x v="12"/>
    <s v="DELEGATE AGENCY"/>
    <s v="UNKNOWN"/>
    <x v="1"/>
  </r>
  <r>
    <n v="265418"/>
    <n v="54000"/>
    <x v="1"/>
    <x v="78"/>
    <x v="12"/>
    <s v="DELEGATE AGENCY"/>
    <s v="UNKNOWN"/>
    <x v="1"/>
  </r>
  <r>
    <n v="265419"/>
    <n v="54000"/>
    <x v="1"/>
    <x v="73"/>
    <x v="12"/>
    <s v="DELEGATE AGENCY"/>
    <s v="UNKNOWN"/>
    <x v="1"/>
  </r>
  <r>
    <n v="265420"/>
    <n v="54000"/>
    <x v="1"/>
    <x v="341"/>
    <x v="12"/>
    <s v="DELEGATE AGENCY"/>
    <s v="UNKNOWN"/>
    <x v="1"/>
  </r>
  <r>
    <n v="265421"/>
    <n v="54000"/>
    <x v="1"/>
    <x v="66"/>
    <x v="12"/>
    <s v="DELEGATE AGENCY"/>
    <s v="UNKNOWN"/>
    <x v="1"/>
  </r>
  <r>
    <n v="265422"/>
    <n v="135000"/>
    <x v="1"/>
    <x v="78"/>
    <x v="12"/>
    <s v="DELEGATE AGENCY"/>
    <s v="UNKNOWN"/>
    <x v="1"/>
  </r>
  <r>
    <n v="265423"/>
    <n v="57000"/>
    <x v="1"/>
    <x v="59"/>
    <x v="12"/>
    <s v="DELEGATE AGENCY"/>
    <s v="UNKNOWN"/>
    <x v="1"/>
  </r>
  <r>
    <n v="265424"/>
    <n v="162000"/>
    <x v="1"/>
    <x v="78"/>
    <x v="12"/>
    <s v="DELEGATE AGENCY"/>
    <s v="UNKNOWN"/>
    <x v="1"/>
  </r>
  <r>
    <n v="265425"/>
    <n v="135000"/>
    <x v="1"/>
    <x v="78"/>
    <x v="12"/>
    <s v="DELEGATE AGENCY"/>
    <s v="UNKNOWN"/>
    <x v="1"/>
  </r>
  <r>
    <n v="265426"/>
    <n v="54000"/>
    <x v="1"/>
    <x v="127"/>
    <x v="12"/>
    <s v="DELEGATE AGENCY"/>
    <s v="UNKNOWN"/>
    <x v="1"/>
  </r>
  <r>
    <n v="265427"/>
    <n v="696000"/>
    <x v="1"/>
    <x v="605"/>
    <x v="12"/>
    <s v="DELEGATE AGENCY"/>
    <s v="UNKNOWN"/>
    <x v="1"/>
  </r>
  <r>
    <n v="265428"/>
    <n v="620000"/>
    <x v="2"/>
    <x v="286"/>
    <x v="12"/>
    <s v="DELEGATE AGENCY"/>
    <s v="UNKNOWN"/>
    <x v="1"/>
  </r>
  <r>
    <n v="265429"/>
    <n v="984000"/>
    <x v="2"/>
    <x v="605"/>
    <x v="12"/>
    <s v="DELEGATE AGENCY"/>
    <s v="UNKNOWN"/>
    <x v="1"/>
  </r>
  <r>
    <n v="265430"/>
    <n v="1440000"/>
    <x v="2"/>
    <x v="605"/>
    <x v="12"/>
    <s v="DELEGATE AGENCY"/>
    <s v="UNKNOWN"/>
    <x v="1"/>
  </r>
  <r>
    <n v="265431"/>
    <n v="48000"/>
    <x v="0"/>
    <x v="78"/>
    <x v="12"/>
    <s v="DELEGATE AGENCY"/>
    <s v="UNKNOWN"/>
    <x v="1"/>
  </r>
  <r>
    <n v="265432"/>
    <n v="15263"/>
    <x v="4"/>
    <x v="512"/>
    <x v="12"/>
    <s v="DELEGATE AGENCY"/>
    <s v="UNKNOWN"/>
    <x v="1"/>
  </r>
  <r>
    <n v="265437"/>
    <n v="945024"/>
    <x v="4"/>
    <x v="642"/>
    <x v="14"/>
    <s v="SOFTWARE"/>
    <s v="JOINT PURCHASE"/>
    <x v="1"/>
  </r>
  <r>
    <n v="265439"/>
    <n v="1060911.3999999999"/>
    <x v="2"/>
    <x v="238"/>
    <x v="12"/>
    <s v="DELEGATE AGENCY"/>
    <s v="UNKNOWN"/>
    <x v="1"/>
  </r>
  <r>
    <n v="265493"/>
    <n v="5348150"/>
    <x v="0"/>
    <x v="1836"/>
    <x v="0"/>
    <s v="COMMODITIES"/>
    <s v="BID"/>
    <x v="1"/>
  </r>
  <r>
    <n v="265494"/>
    <n v="7000092"/>
    <x v="0"/>
    <x v="285"/>
    <x v="12"/>
    <s v="DELEGATE AGENCY"/>
    <s v="UNKNOWN"/>
    <x v="1"/>
  </r>
  <r>
    <n v="265498"/>
    <n v="310000"/>
    <x v="0"/>
    <x v="370"/>
    <x v="12"/>
    <s v="DELEGATE AGENCY"/>
    <s v="UNKNOWN"/>
    <x v="1"/>
  </r>
  <r>
    <n v="265508"/>
    <n v="189385"/>
    <x v="2"/>
    <x v="642"/>
    <x v="6"/>
    <s v="SOFTWARE"/>
    <s v="JOINT PURCHASE"/>
    <x v="2"/>
  </r>
  <r>
    <n v="265512"/>
    <n v="208961.1"/>
    <x v="1"/>
    <x v="512"/>
    <x v="12"/>
    <s v="DELEGATE AGENCY"/>
    <s v="UNKNOWN"/>
    <x v="1"/>
  </r>
  <r>
    <n v="265513"/>
    <n v="250098"/>
    <x v="1"/>
    <x v="309"/>
    <x v="12"/>
    <s v="DELEGATE AGENCY"/>
    <s v="UNKNOWN"/>
    <x v="1"/>
  </r>
  <r>
    <n v="265515"/>
    <n v="720000"/>
    <x v="2"/>
    <x v="605"/>
    <x v="12"/>
    <s v="DELEGATE AGENCY"/>
    <s v="UNKNOWN"/>
    <x v="1"/>
  </r>
  <r>
    <n v="265517"/>
    <n v="486474.6"/>
    <x v="2"/>
    <x v="293"/>
    <x v="12"/>
    <s v="DELEGATE AGENCY"/>
    <s v="UNKNOWN"/>
    <x v="1"/>
  </r>
  <r>
    <n v="265518"/>
    <n v="447551"/>
    <x v="2"/>
    <x v="293"/>
    <x v="12"/>
    <s v="DELEGATE AGENCY"/>
    <s v="UNKNOWN"/>
    <x v="1"/>
  </r>
  <r>
    <n v="265523"/>
    <n v="60000"/>
    <x v="2"/>
    <x v="293"/>
    <x v="12"/>
    <s v="DELEGATE AGENCY"/>
    <s v="UNKNOWN"/>
    <x v="1"/>
  </r>
  <r>
    <n v="265524"/>
    <n v="60590"/>
    <x v="1"/>
    <x v="308"/>
    <x v="12"/>
    <s v="DELEGATE AGENCY"/>
    <s v="UNKNOWN"/>
    <x v="1"/>
  </r>
  <r>
    <n v="265525"/>
    <n v="109709"/>
    <x v="1"/>
    <x v="287"/>
    <x v="12"/>
    <s v="DELEGATE AGENCY"/>
    <s v="UNKNOWN"/>
    <x v="1"/>
  </r>
  <r>
    <n v="265526"/>
    <n v="7527"/>
    <x v="1"/>
    <x v="303"/>
    <x v="12"/>
    <s v="DELEGATE AGENCY"/>
    <s v="UNKNOWN"/>
    <x v="1"/>
  </r>
  <r>
    <n v="265527"/>
    <n v="50000"/>
    <x v="3"/>
    <x v="303"/>
    <x v="12"/>
    <s v="DELEGATE AGENCY"/>
    <s v="UNKNOWN"/>
    <x v="1"/>
  </r>
  <r>
    <n v="265528"/>
    <n v="29200"/>
    <x v="1"/>
    <x v="303"/>
    <x v="12"/>
    <s v="DELEGATE AGENCY"/>
    <s v="UNKNOWN"/>
    <x v="1"/>
  </r>
  <r>
    <n v="265529"/>
    <n v="241172"/>
    <x v="4"/>
    <x v="211"/>
    <x v="12"/>
    <s v="DELEGATE AGENCY"/>
    <s v="UNKNOWN"/>
    <x v="1"/>
  </r>
  <r>
    <n v="265530"/>
    <n v="24725"/>
    <x v="1"/>
    <x v="211"/>
    <x v="12"/>
    <s v="DELEGATE AGENCY"/>
    <s v="UNKNOWN"/>
    <x v="1"/>
  </r>
  <r>
    <n v="265531"/>
    <n v="40928"/>
    <x v="4"/>
    <x v="193"/>
    <x v="12"/>
    <s v="DELEGATE AGENCY"/>
    <s v="UNKNOWN"/>
    <x v="1"/>
  </r>
  <r>
    <n v="265532"/>
    <n v="251658"/>
    <x v="4"/>
    <x v="217"/>
    <x v="12"/>
    <s v="DELEGATE AGENCY"/>
    <s v="UNKNOWN"/>
    <x v="1"/>
  </r>
  <r>
    <n v="265540"/>
    <n v="219187"/>
    <x v="2"/>
    <x v="217"/>
    <x v="12"/>
    <s v="DELEGATE AGENCY"/>
    <s v="UNKNOWN"/>
    <x v="1"/>
  </r>
  <r>
    <n v="265560"/>
    <n v="57520"/>
    <x v="1"/>
    <x v="1166"/>
    <x v="12"/>
    <s v="DELEGATE AGENCY"/>
    <s v="UNKNOWN"/>
    <x v="1"/>
  </r>
  <r>
    <n v="265590"/>
    <n v="203418.8"/>
    <x v="1"/>
    <x v="642"/>
    <x v="14"/>
    <s v="SOFTWARE"/>
    <s v="JOINT PURCHASE"/>
    <x v="1"/>
  </r>
  <r>
    <n v="265596"/>
    <n v="9360589"/>
    <x v="1"/>
    <x v="558"/>
    <x v="12"/>
    <s v="DELEGATE AGENCY"/>
    <s v="UNKNOWN"/>
    <x v="1"/>
  </r>
  <r>
    <n v="265606"/>
    <n v="31962208.800000001"/>
    <x v="0"/>
    <x v="558"/>
    <x v="12"/>
    <s v="DELEGATE AGENCY"/>
    <s v="UNKNOWN"/>
    <x v="1"/>
  </r>
  <r>
    <n v="265624"/>
    <n v="48671.7"/>
    <x v="0"/>
    <x v="642"/>
    <x v="14"/>
    <s v="SOFTWARE"/>
    <s v="JOINT PURCHASE"/>
    <x v="1"/>
  </r>
  <r>
    <n v="265673"/>
    <n v="230787"/>
    <x v="4"/>
    <x v="1837"/>
    <x v="1"/>
    <s v="DELEGATE AGENCY"/>
    <s v="UNKNOWN"/>
    <x v="1"/>
  </r>
  <r>
    <n v="265678"/>
    <n v="1939176.8"/>
    <x v="1"/>
    <x v="337"/>
    <x v="26"/>
    <s v="DELEGATE AGENCY"/>
    <s v="UNKNOWN"/>
    <x v="1"/>
  </r>
  <r>
    <n v="265679"/>
    <n v="40000"/>
    <x v="0"/>
    <x v="169"/>
    <x v="8"/>
    <s v="DELEGATE AGENCY"/>
    <s v="RFP"/>
    <x v="1"/>
  </r>
  <r>
    <n v="265681"/>
    <n v="40000"/>
    <x v="4"/>
    <x v="201"/>
    <x v="8"/>
    <s v="DELEGATE AGENCY"/>
    <s v="RFP"/>
    <x v="1"/>
  </r>
  <r>
    <n v="265795"/>
    <n v="240856.1"/>
    <x v="4"/>
    <x v="370"/>
    <x v="12"/>
    <s v="DELEGATE AGENCY"/>
    <s v="UNKNOWN"/>
    <x v="1"/>
  </r>
  <r>
    <n v="265796"/>
    <n v="55300"/>
    <x v="1"/>
    <x v="401"/>
    <x v="19"/>
    <s v="DELEGATE AGENCY"/>
    <s v="UNKNOWN"/>
    <x v="1"/>
  </r>
  <r>
    <n v="265816"/>
    <n v="1105855.6000000001"/>
    <x v="1"/>
    <x v="642"/>
    <x v="14"/>
    <s v="SOFTWARE"/>
    <s v="JOINT PURCHASE"/>
    <x v="1"/>
  </r>
  <r>
    <n v="265818"/>
    <n v="78455.600000000006"/>
    <x v="0"/>
    <x v="359"/>
    <x v="12"/>
    <s v="DELEGATE AGENCY"/>
    <s v="UNKNOWN"/>
    <x v="1"/>
  </r>
  <r>
    <n v="265820"/>
    <n v="206355.6"/>
    <x v="1"/>
    <x v="73"/>
    <x v="12"/>
    <s v="DELEGATE AGENCY"/>
    <s v="UNKNOWN"/>
    <x v="1"/>
  </r>
  <r>
    <n v="265822"/>
    <n v="146847.20000000001"/>
    <x v="1"/>
    <x v="1009"/>
    <x v="12"/>
    <s v="DELEGATE AGENCY"/>
    <s v="UNKNOWN"/>
    <x v="1"/>
  </r>
  <r>
    <n v="265823"/>
    <n v="100070.299999999"/>
    <x v="1"/>
    <x v="1009"/>
    <x v="12"/>
    <s v="DELEGATE AGENCY"/>
    <s v="UNKNOWN"/>
    <x v="1"/>
  </r>
  <r>
    <n v="265824"/>
    <n v="79193.2"/>
    <x v="1"/>
    <x v="862"/>
    <x v="12"/>
    <s v="DELEGATE AGENCY"/>
    <s v="UNKNOWN"/>
    <x v="1"/>
  </r>
  <r>
    <n v="265825"/>
    <n v="79999.7"/>
    <x v="1"/>
    <x v="353"/>
    <x v="12"/>
    <s v="DELEGATE AGENCY"/>
    <s v="UNKNOWN"/>
    <x v="1"/>
  </r>
  <r>
    <n v="265835"/>
    <n v="462904.9"/>
    <x v="1"/>
    <x v="201"/>
    <x v="12"/>
    <s v="DELEGATE AGENCY"/>
    <s v="UNKNOWN"/>
    <x v="1"/>
  </r>
  <r>
    <n v="265836"/>
    <n v="68827.7"/>
    <x v="2"/>
    <x v="345"/>
    <x v="12"/>
    <s v="DELEGATE AGENCY"/>
    <s v="UNKNOWN"/>
    <x v="1"/>
  </r>
  <r>
    <n v="265838"/>
    <n v="68996.2"/>
    <x v="1"/>
    <x v="367"/>
    <x v="12"/>
    <s v="DELEGATE AGENCY"/>
    <s v="UNKNOWN"/>
    <x v="1"/>
  </r>
  <r>
    <n v="265840"/>
    <n v="64753.3"/>
    <x v="1"/>
    <x v="228"/>
    <x v="12"/>
    <s v="DELEGATE AGENCY"/>
    <s v="UNKNOWN"/>
    <x v="1"/>
  </r>
  <r>
    <n v="265841"/>
    <n v="284184.5"/>
    <x v="1"/>
    <x v="203"/>
    <x v="12"/>
    <s v="DELEGATE AGENCY"/>
    <s v="UNKNOWN"/>
    <x v="1"/>
  </r>
  <r>
    <n v="265860"/>
    <n v="262025.3"/>
    <x v="2"/>
    <x v="1166"/>
    <x v="12"/>
    <s v="DELEGATE AGENCY"/>
    <s v="UNKNOWN"/>
    <x v="1"/>
  </r>
  <r>
    <n v="265861"/>
    <n v="37330.199999999997"/>
    <x v="2"/>
    <x v="198"/>
    <x v="12"/>
    <s v="DELEGATE AGENCY"/>
    <s v="UNKNOWN"/>
    <x v="1"/>
  </r>
  <r>
    <n v="265862"/>
    <n v="361665.6"/>
    <x v="4"/>
    <x v="198"/>
    <x v="12"/>
    <s v="DELEGATE AGENCY"/>
    <s v="UNKNOWN"/>
    <x v="1"/>
  </r>
  <r>
    <n v="265863"/>
    <n v="242192.8"/>
    <x v="2"/>
    <x v="198"/>
    <x v="12"/>
    <s v="DELEGATE AGENCY"/>
    <s v="UNKNOWN"/>
    <x v="1"/>
  </r>
  <r>
    <n v="265864"/>
    <n v="40590"/>
    <x v="1"/>
    <x v="217"/>
    <x v="12"/>
    <s v="DELEGATE AGENCY"/>
    <s v="UNKNOWN"/>
    <x v="1"/>
  </r>
  <r>
    <n v="265865"/>
    <n v="232589.3"/>
    <x v="4"/>
    <x v="1166"/>
    <x v="12"/>
    <s v="DELEGATE AGENCY"/>
    <s v="UNKNOWN"/>
    <x v="1"/>
  </r>
  <r>
    <n v="265866"/>
    <n v="112500"/>
    <x v="1"/>
    <x v="5"/>
    <x v="12"/>
    <s v="DELEGATE AGENCY"/>
    <s v="UNKNOWN"/>
    <x v="1"/>
  </r>
  <r>
    <n v="265867"/>
    <n v="18332"/>
    <x v="1"/>
    <x v="84"/>
    <x v="12"/>
    <s v="DELEGATE AGENCY"/>
    <s v="UNKNOWN"/>
    <x v="1"/>
  </r>
  <r>
    <n v="265868"/>
    <n v="257066"/>
    <x v="4"/>
    <x v="309"/>
    <x v="12"/>
    <s v="DELEGATE AGENCY"/>
    <s v="UNKNOWN"/>
    <x v="1"/>
  </r>
  <r>
    <n v="265869"/>
    <n v="73000"/>
    <x v="2"/>
    <x v="309"/>
    <x v="12"/>
    <s v="DELEGATE AGENCY"/>
    <s v="UNKNOWN"/>
    <x v="1"/>
  </r>
  <r>
    <n v="265870"/>
    <n v="3361361.4"/>
    <x v="1"/>
    <x v="558"/>
    <x v="12"/>
    <s v="DELEGATE AGENCY"/>
    <s v="UNKNOWN"/>
    <x v="1"/>
  </r>
  <r>
    <n v="265871"/>
    <n v="155000"/>
    <x v="0"/>
    <x v="304"/>
    <x v="12"/>
    <s v="DELEGATE AGENCY"/>
    <s v="UNKNOWN"/>
    <x v="1"/>
  </r>
  <r>
    <n v="265872"/>
    <n v="109645"/>
    <x v="1"/>
    <x v="303"/>
    <x v="12"/>
    <s v="DELEGATE AGENCY"/>
    <s v="UNKNOWN"/>
    <x v="1"/>
  </r>
  <r>
    <n v="265873"/>
    <n v="76666"/>
    <x v="1"/>
    <x v="317"/>
    <x v="12"/>
    <s v="DELEGATE AGENCY"/>
    <s v="UNKNOWN"/>
    <x v="1"/>
  </r>
  <r>
    <n v="265874"/>
    <n v="26280"/>
    <x v="1"/>
    <x v="304"/>
    <x v="12"/>
    <s v="DELEGATE AGENCY"/>
    <s v="UNKNOWN"/>
    <x v="1"/>
  </r>
  <r>
    <n v="265875"/>
    <n v="115730"/>
    <x v="4"/>
    <x v="317"/>
    <x v="12"/>
    <s v="DELEGATE AGENCY"/>
    <s v="UNKNOWN"/>
    <x v="1"/>
  </r>
  <r>
    <n v="265876"/>
    <n v="40270"/>
    <x v="1"/>
    <x v="317"/>
    <x v="12"/>
    <s v="DELEGATE AGENCY"/>
    <s v="UNKNOWN"/>
    <x v="1"/>
  </r>
  <r>
    <n v="265877"/>
    <n v="100000"/>
    <x v="4"/>
    <x v="303"/>
    <x v="12"/>
    <s v="DELEGATE AGENCY"/>
    <s v="UNKNOWN"/>
    <x v="1"/>
  </r>
  <r>
    <n v="265878"/>
    <n v="29199.5"/>
    <x v="1"/>
    <x v="303"/>
    <x v="12"/>
    <s v="DELEGATE AGENCY"/>
    <s v="UNKNOWN"/>
    <x v="1"/>
  </r>
  <r>
    <n v="265912"/>
    <n v="83666.7"/>
    <x v="4"/>
    <x v="33"/>
    <x v="8"/>
    <s v="DELEGATE AGENCY"/>
    <s v="UNKNOWN"/>
    <x v="1"/>
  </r>
  <r>
    <n v="265913"/>
    <n v="119391.3"/>
    <x v="1"/>
    <x v="25"/>
    <x v="8"/>
    <s v="DELEGATE AGENCY"/>
    <s v="UNKNOWN"/>
    <x v="1"/>
  </r>
  <r>
    <n v="265933"/>
    <n v="5000000"/>
    <x v="1"/>
    <x v="1838"/>
    <x v="24"/>
    <s v="PRO SERV CONSULTING $250,000orABOVE"/>
    <s v="RFP"/>
    <x v="1"/>
  </r>
  <r>
    <n v="26600"/>
    <n v="41562253"/>
    <x v="0"/>
    <x v="1839"/>
    <x v="6"/>
    <s v="PRO SERV-AVIATION"/>
    <s v="RFP"/>
    <x v="0"/>
  </r>
  <r>
    <n v="26603"/>
    <n v="6360719.9000000004"/>
    <x v="0"/>
    <x v="1840"/>
    <x v="3"/>
    <s v="WORK SERVICES / FACILITIES MAINT."/>
    <s v="BID"/>
    <x v="0"/>
  </r>
  <r>
    <n v="266033"/>
    <n v="384098.9"/>
    <x v="0"/>
    <x v="318"/>
    <x v="8"/>
    <s v="DELEGATE AGENCY"/>
    <s v="UNKNOWN"/>
    <x v="1"/>
  </r>
  <r>
    <n v="266034"/>
    <n v="3869273.7"/>
    <x v="2"/>
    <x v="140"/>
    <x v="8"/>
    <s v="DELEGATE AGENCY"/>
    <s v="UNKNOWN"/>
    <x v="1"/>
  </r>
  <r>
    <n v="266035"/>
    <n v="165000.79999999999"/>
    <x v="0"/>
    <x v="49"/>
    <x v="8"/>
    <s v="DELEGATE AGENCY"/>
    <s v="UNKNOWN"/>
    <x v="1"/>
  </r>
  <r>
    <n v="266036"/>
    <n v="133436.70000000001"/>
    <x v="1"/>
    <x v="38"/>
    <x v="8"/>
    <s v="DELEGATE AGENCY"/>
    <s v="UNKNOWN"/>
    <x v="1"/>
  </r>
  <r>
    <n v="266037"/>
    <n v="4515715.8"/>
    <x v="1"/>
    <x v="19"/>
    <x v="8"/>
    <s v="DELEGATE AGENCY"/>
    <s v="UNKNOWN"/>
    <x v="1"/>
  </r>
  <r>
    <n v="266038"/>
    <n v="766910.7"/>
    <x v="0"/>
    <x v="19"/>
    <x v="8"/>
    <s v="DELEGATE AGENCY"/>
    <s v="UNKNOWN"/>
    <x v="1"/>
  </r>
  <r>
    <n v="266039"/>
    <n v="146792"/>
    <x v="2"/>
    <x v="48"/>
    <x v="8"/>
    <s v="DELEGATE AGENCY"/>
    <s v="UNKNOWN"/>
    <x v="1"/>
  </r>
  <r>
    <n v="266040"/>
    <n v="114753.1"/>
    <x v="1"/>
    <x v="204"/>
    <x v="8"/>
    <s v="DELEGATE AGENCY"/>
    <s v="UNKNOWN"/>
    <x v="1"/>
  </r>
  <r>
    <n v="266041"/>
    <n v="478784.9"/>
    <x v="1"/>
    <x v="19"/>
    <x v="8"/>
    <s v="DELEGATE AGENCY"/>
    <s v="UNKNOWN"/>
    <x v="1"/>
  </r>
  <r>
    <n v="266042"/>
    <n v="166569.60000000001"/>
    <x v="2"/>
    <x v="1190"/>
    <x v="8"/>
    <s v="DELEGATE AGENCY"/>
    <s v="UNKNOWN"/>
    <x v="1"/>
  </r>
  <r>
    <n v="266043"/>
    <n v="125195.4"/>
    <x v="1"/>
    <x v="47"/>
    <x v="8"/>
    <s v="DELEGATE AGENCY"/>
    <s v="UNKNOWN"/>
    <x v="1"/>
  </r>
  <r>
    <n v="266044"/>
    <n v="436417"/>
    <x v="1"/>
    <x v="46"/>
    <x v="8"/>
    <s v="DELEGATE AGENCY"/>
    <s v="UNKNOWN"/>
    <x v="1"/>
  </r>
  <r>
    <n v="266045"/>
    <n v="211258"/>
    <x v="2"/>
    <x v="39"/>
    <x v="8"/>
    <s v="DELEGATE AGENCY"/>
    <s v="UNKNOWN"/>
    <x v="1"/>
  </r>
  <r>
    <n v="266046"/>
    <n v="932030.7"/>
    <x v="1"/>
    <x v="19"/>
    <x v="8"/>
    <s v="DELEGATE AGENCY"/>
    <s v="UNKNOWN"/>
    <x v="1"/>
  </r>
  <r>
    <n v="266047"/>
    <n v="622507"/>
    <x v="2"/>
    <x v="43"/>
    <x v="8"/>
    <s v="DELEGATE AGENCY"/>
    <s v="UNKNOWN"/>
    <x v="1"/>
  </r>
  <r>
    <n v="266048"/>
    <n v="291844.2"/>
    <x v="2"/>
    <x v="41"/>
    <x v="8"/>
    <s v="DELEGATE AGENCY"/>
    <s v="UNKNOWN"/>
    <x v="1"/>
  </r>
  <r>
    <n v="266049"/>
    <n v="561469.6"/>
    <x v="2"/>
    <x v="25"/>
    <x v="8"/>
    <s v="DELEGATE AGENCY"/>
    <s v="UNKNOWN"/>
    <x v="1"/>
  </r>
  <r>
    <n v="266050"/>
    <n v="312937.3"/>
    <x v="2"/>
    <x v="25"/>
    <x v="8"/>
    <s v="DELEGATE AGENCY"/>
    <s v="UNKNOWN"/>
    <x v="1"/>
  </r>
  <r>
    <n v="266051"/>
    <n v="149747.4"/>
    <x v="2"/>
    <x v="943"/>
    <x v="8"/>
    <s v="DELEGATE AGENCY"/>
    <s v="UNKNOWN"/>
    <x v="1"/>
  </r>
  <r>
    <n v="266052"/>
    <n v="87603.3"/>
    <x v="1"/>
    <x v="49"/>
    <x v="8"/>
    <s v="DELEGATE AGENCY"/>
    <s v="UNKNOWN"/>
    <x v="1"/>
  </r>
  <r>
    <n v="266053"/>
    <n v="447164.9"/>
    <x v="1"/>
    <x v="24"/>
    <x v="8"/>
    <s v="DELEGATE AGENCY"/>
    <s v="UNKNOWN"/>
    <x v="1"/>
  </r>
  <r>
    <n v="266054"/>
    <n v="232667.5"/>
    <x v="2"/>
    <x v="19"/>
    <x v="8"/>
    <s v="DELEGATE AGENCY"/>
    <s v="UNKNOWN"/>
    <x v="1"/>
  </r>
  <r>
    <n v="266055"/>
    <n v="150000"/>
    <x v="1"/>
    <x v="540"/>
    <x v="8"/>
    <s v="DELEGATE AGENCY"/>
    <s v="UNKNOWN"/>
    <x v="1"/>
  </r>
  <r>
    <n v="266061"/>
    <n v="212053.8"/>
    <x v="1"/>
    <x v="358"/>
    <x v="12"/>
    <s v="DELEGATE AGENCY"/>
    <s v="UNKNOWN"/>
    <x v="1"/>
  </r>
  <r>
    <n v="266184"/>
    <n v="70937"/>
    <x v="1"/>
    <x v="376"/>
    <x v="2"/>
    <s v="DELEGATE AGENCY"/>
    <s v="UNKNOWN"/>
    <x v="1"/>
  </r>
  <r>
    <n v="266197"/>
    <n v="250000"/>
    <x v="1"/>
    <x v="870"/>
    <x v="8"/>
    <s v="DELEGATE AGENCY"/>
    <s v="UNKNOWN"/>
    <x v="1"/>
  </r>
  <r>
    <n v="266199"/>
    <n v="370000"/>
    <x v="2"/>
    <x v="601"/>
    <x v="8"/>
    <s v="DELEGATE AGENCY"/>
    <s v="UNKNOWN"/>
    <x v="1"/>
  </r>
  <r>
    <n v="266200"/>
    <n v="375000"/>
    <x v="2"/>
    <x v="231"/>
    <x v="8"/>
    <s v="DELEGATE AGENCY"/>
    <s v="UNKNOWN"/>
    <x v="1"/>
  </r>
  <r>
    <n v="266202"/>
    <n v="200000"/>
    <x v="2"/>
    <x v="363"/>
    <x v="8"/>
    <s v="DELEGATE AGENCY"/>
    <s v="UNKNOWN"/>
    <x v="1"/>
  </r>
  <r>
    <n v="266203"/>
    <n v="20000"/>
    <x v="1"/>
    <x v="988"/>
    <x v="19"/>
    <s v="DELEGATE AGENCY"/>
    <s v="UNKNOWN"/>
    <x v="1"/>
  </r>
  <r>
    <n v="266204"/>
    <n v="55000"/>
    <x v="4"/>
    <x v="887"/>
    <x v="19"/>
    <s v="DELEGATE AGENCY"/>
    <s v="UNKNOWN"/>
    <x v="1"/>
  </r>
  <r>
    <n v="266205"/>
    <n v="40000"/>
    <x v="1"/>
    <x v="876"/>
    <x v="19"/>
    <s v="DELEGATE AGENCY"/>
    <s v="UNKNOWN"/>
    <x v="1"/>
  </r>
  <r>
    <n v="266206"/>
    <n v="25000"/>
    <x v="4"/>
    <x v="962"/>
    <x v="19"/>
    <s v="DELEGATE AGENCY"/>
    <s v="UNKNOWN"/>
    <x v="1"/>
  </r>
  <r>
    <n v="266213"/>
    <n v="174389"/>
    <x v="4"/>
    <x v="642"/>
    <x v="14"/>
    <s v="SOFTWARE"/>
    <s v="JOINT PURCHASE"/>
    <x v="1"/>
  </r>
  <r>
    <n v="26625"/>
    <n v="48196132.299999997"/>
    <x v="1"/>
    <x v="1841"/>
    <x v="23"/>
    <s v="PRO SERV CONSULTING $250,000orABOVE"/>
    <s v="RFP"/>
    <x v="0"/>
  </r>
  <r>
    <n v="266279"/>
    <n v="2033496"/>
    <x v="0"/>
    <x v="209"/>
    <x v="12"/>
    <s v="DELEGATE AGENCY"/>
    <s v="UNKNOWN"/>
    <x v="1"/>
  </r>
  <r>
    <n v="266280"/>
    <n v="1809910"/>
    <x v="0"/>
    <x v="209"/>
    <x v="12"/>
    <s v="DELEGATE AGENCY"/>
    <s v="UNKNOWN"/>
    <x v="1"/>
  </r>
  <r>
    <n v="266281"/>
    <n v="287086.40000000002"/>
    <x v="0"/>
    <x v="325"/>
    <x v="26"/>
    <s v="DELEGATE AGENCY"/>
    <s v="UNKNOWN"/>
    <x v="1"/>
  </r>
  <r>
    <n v="266282"/>
    <n v="289650"/>
    <x v="2"/>
    <x v="259"/>
    <x v="26"/>
    <s v="DELEGATE AGENCY"/>
    <s v="UNKNOWN"/>
    <x v="1"/>
  </r>
  <r>
    <n v="26632"/>
    <n v="16715149.6"/>
    <x v="2"/>
    <x v="1842"/>
    <x v="9"/>
    <s v="PRO SERV CONSULTING $250,000orABOVE"/>
    <s v="RFP"/>
    <x v="1"/>
  </r>
  <r>
    <n v="266321"/>
    <n v="174035.4"/>
    <x v="0"/>
    <x v="382"/>
    <x v="22"/>
    <s v="DELEGATE AGENCY"/>
    <s v="UNKNOWN"/>
    <x v="1"/>
  </r>
  <r>
    <n v="266322"/>
    <n v="233752"/>
    <x v="1"/>
    <x v="379"/>
    <x v="22"/>
    <s v="DELEGATE AGENCY"/>
    <s v="UNKNOWN"/>
    <x v="1"/>
  </r>
  <r>
    <n v="266346"/>
    <n v="335834.8"/>
    <x v="1"/>
    <x v="86"/>
    <x v="12"/>
    <s v="DELEGATE AGENCY"/>
    <s v="UNKNOWN"/>
    <x v="1"/>
  </r>
  <r>
    <n v="266348"/>
    <n v="689939.3"/>
    <x v="2"/>
    <x v="301"/>
    <x v="12"/>
    <s v="DELEGATE AGENCY"/>
    <s v="UNKNOWN"/>
    <x v="1"/>
  </r>
  <r>
    <n v="266356"/>
    <n v="54000"/>
    <x v="2"/>
    <x v="261"/>
    <x v="12"/>
    <s v="DELEGATE AGENCY"/>
    <s v="UNKNOWN"/>
    <x v="1"/>
  </r>
  <r>
    <n v="266358"/>
    <n v="54000"/>
    <x v="1"/>
    <x v="576"/>
    <x v="12"/>
    <s v="DELEGATE AGENCY"/>
    <s v="UNKNOWN"/>
    <x v="1"/>
  </r>
  <r>
    <n v="266359"/>
    <n v="189000"/>
    <x v="1"/>
    <x v="583"/>
    <x v="12"/>
    <s v="DELEGATE AGENCY"/>
    <s v="UNKNOWN"/>
    <x v="1"/>
  </r>
  <r>
    <n v="266360"/>
    <n v="54000"/>
    <x v="1"/>
    <x v="575"/>
    <x v="12"/>
    <s v="DELEGATE AGENCY"/>
    <s v="UNKNOWN"/>
    <x v="1"/>
  </r>
  <r>
    <n v="266361"/>
    <n v="54000"/>
    <x v="1"/>
    <x v="102"/>
    <x v="12"/>
    <s v="DELEGATE AGENCY"/>
    <s v="UNKNOWN"/>
    <x v="1"/>
  </r>
  <r>
    <n v="266362"/>
    <n v="72000"/>
    <x v="1"/>
    <x v="261"/>
    <x v="12"/>
    <s v="DELEGATE AGENCY"/>
    <s v="UNKNOWN"/>
    <x v="1"/>
  </r>
  <r>
    <n v="266363"/>
    <n v="96424"/>
    <x v="1"/>
    <x v="72"/>
    <x v="12"/>
    <s v="DELEGATE AGENCY"/>
    <s v="UNKNOWN"/>
    <x v="1"/>
  </r>
  <r>
    <n v="266364"/>
    <n v="108000"/>
    <x v="1"/>
    <x v="1065"/>
    <x v="12"/>
    <s v="DELEGATE AGENCY"/>
    <s v="UNKNOWN"/>
    <x v="1"/>
  </r>
  <r>
    <n v="266365"/>
    <n v="54000"/>
    <x v="1"/>
    <x v="28"/>
    <x v="12"/>
    <s v="DELEGATE AGENCY"/>
    <s v="UNKNOWN"/>
    <x v="1"/>
  </r>
  <r>
    <n v="266381"/>
    <n v="54000"/>
    <x v="1"/>
    <x v="345"/>
    <x v="12"/>
    <s v="DELEGATE AGENCY"/>
    <s v="UNKNOWN"/>
    <x v="1"/>
  </r>
  <r>
    <n v="266398"/>
    <n v="219306.5"/>
    <x v="1"/>
    <x v="91"/>
    <x v="22"/>
    <s v="DELEGATE AGENCY"/>
    <s v="UNKNOWN"/>
    <x v="1"/>
  </r>
  <r>
    <n v="266404"/>
    <n v="258976.8"/>
    <x v="1"/>
    <x v="333"/>
    <x v="22"/>
    <s v="DELEGATE AGENCY"/>
    <s v="UNKNOWN"/>
    <x v="1"/>
  </r>
  <r>
    <n v="266405"/>
    <n v="42821.2"/>
    <x v="2"/>
    <x v="315"/>
    <x v="12"/>
    <s v="DELEGATE AGENCY"/>
    <s v="UNKNOWN"/>
    <x v="1"/>
  </r>
  <r>
    <n v="266409"/>
    <n v="80482"/>
    <x v="4"/>
    <x v="287"/>
    <x v="12"/>
    <s v="DELEGATE AGENCY"/>
    <s v="UNKNOWN"/>
    <x v="1"/>
  </r>
  <r>
    <n v="266414"/>
    <n v="97792.8"/>
    <x v="1"/>
    <x v="91"/>
    <x v="22"/>
    <s v="DELEGATE AGENCY"/>
    <s v="UNKNOWN"/>
    <x v="1"/>
  </r>
  <r>
    <n v="266424"/>
    <n v="639335.80000000005"/>
    <x v="1"/>
    <x v="301"/>
    <x v="12"/>
    <s v="DELEGATE AGENCY"/>
    <s v="UNKNOWN"/>
    <x v="1"/>
  </r>
  <r>
    <n v="266425"/>
    <n v="39181.699999999997"/>
    <x v="2"/>
    <x v="358"/>
    <x v="12"/>
    <s v="DELEGATE AGENCY"/>
    <s v="UNKNOWN"/>
    <x v="1"/>
  </r>
  <r>
    <n v="266426"/>
    <n v="157575"/>
    <x v="4"/>
    <x v="301"/>
    <x v="12"/>
    <s v="DELEGATE AGENCY"/>
    <s v="UNKNOWN"/>
    <x v="1"/>
  </r>
  <r>
    <n v="266428"/>
    <n v="190614.3"/>
    <x v="1"/>
    <x v="301"/>
    <x v="12"/>
    <s v="DELEGATE AGENCY"/>
    <s v="UNKNOWN"/>
    <x v="1"/>
  </r>
  <r>
    <n v="266429"/>
    <n v="12045"/>
    <x v="1"/>
    <x v="301"/>
    <x v="12"/>
    <s v="DELEGATE AGENCY"/>
    <s v="UNKNOWN"/>
    <x v="1"/>
  </r>
  <r>
    <n v="266431"/>
    <n v="989506.4"/>
    <x v="4"/>
    <x v="27"/>
    <x v="8"/>
    <s v="DELEGATE AGENCY"/>
    <s v="UNKNOWN"/>
    <x v="1"/>
  </r>
  <r>
    <n v="266432"/>
    <n v="280453.09999999998"/>
    <x v="2"/>
    <x v="28"/>
    <x v="8"/>
    <s v="DELEGATE AGENCY"/>
    <s v="UNKNOWN"/>
    <x v="1"/>
  </r>
  <r>
    <n v="266434"/>
    <n v="293390"/>
    <x v="2"/>
    <x v="37"/>
    <x v="8"/>
    <s v="DELEGATE AGENCY"/>
    <s v="UNKNOWN"/>
    <x v="1"/>
  </r>
  <r>
    <n v="266435"/>
    <n v="241004.3"/>
    <x v="2"/>
    <x v="42"/>
    <x v="8"/>
    <s v="DELEGATE AGENCY"/>
    <s v="UNKNOWN"/>
    <x v="1"/>
  </r>
  <r>
    <n v="266437"/>
    <n v="1287450"/>
    <x v="1"/>
    <x v="27"/>
    <x v="8"/>
    <s v="DELEGATE AGENCY"/>
    <s v="UNKNOWN"/>
    <x v="1"/>
  </r>
  <r>
    <n v="266438"/>
    <n v="638349.4"/>
    <x v="0"/>
    <x v="44"/>
    <x v="8"/>
    <s v="DELEGATE AGENCY"/>
    <s v="UNKNOWN"/>
    <x v="1"/>
  </r>
  <r>
    <n v="266439"/>
    <n v="279569.2"/>
    <x v="2"/>
    <x v="24"/>
    <x v="8"/>
    <s v="DELEGATE AGENCY"/>
    <s v="UNKNOWN"/>
    <x v="1"/>
  </r>
  <r>
    <n v="266443"/>
    <n v="25410"/>
    <x v="2"/>
    <x v="458"/>
    <x v="12"/>
    <s v="DELEGATE AGENCY"/>
    <s v="UNKNOWN"/>
    <x v="1"/>
  </r>
  <r>
    <n v="266444"/>
    <n v="94625"/>
    <x v="4"/>
    <x v="193"/>
    <x v="38"/>
    <s v="DELEGATE AGENCY"/>
    <s v="UNKNOWN"/>
    <x v="1"/>
  </r>
  <r>
    <n v="266445"/>
    <n v="87618"/>
    <x v="1"/>
    <x v="193"/>
    <x v="12"/>
    <s v="DELEGATE AGENCY"/>
    <s v="UNKNOWN"/>
    <x v="1"/>
  </r>
  <r>
    <n v="26646"/>
    <n v="3120000"/>
    <x v="1"/>
    <x v="479"/>
    <x v="6"/>
    <s v="PRO SERV-AVIATION"/>
    <s v="RFQ"/>
    <x v="0"/>
  </r>
  <r>
    <n v="266476"/>
    <n v="426.8"/>
    <x v="0"/>
    <x v="1843"/>
    <x v="17"/>
    <s v="RELEASE REQUISITION"/>
    <s v="UNKNOWN"/>
    <x v="1"/>
  </r>
  <r>
    <n v="266480"/>
    <n v="123597.5"/>
    <x v="3"/>
    <x v="390"/>
    <x v="22"/>
    <s v="DELEGATE AGENCY"/>
    <s v="UNKNOWN"/>
    <x v="1"/>
  </r>
  <r>
    <n v="26651"/>
    <n v="847794"/>
    <x v="1"/>
    <x v="1844"/>
    <x v="6"/>
    <s v="PRO SERV-AVIATION"/>
    <s v="RFQ"/>
    <x v="0"/>
  </r>
  <r>
    <n v="266606"/>
    <n v="260000"/>
    <x v="2"/>
    <x v="211"/>
    <x v="8"/>
    <s v="DELEGATE AGENCY"/>
    <s v="UNKNOWN"/>
    <x v="1"/>
  </r>
  <r>
    <n v="266607"/>
    <n v="1400000"/>
    <x v="2"/>
    <x v="525"/>
    <x v="8"/>
    <s v="DELEGATE AGENCY"/>
    <s v="UNKNOWN"/>
    <x v="1"/>
  </r>
  <r>
    <n v="266610"/>
    <n v="400000"/>
    <x v="0"/>
    <x v="188"/>
    <x v="8"/>
    <s v="DELEGATE AGENCY"/>
    <s v="UNKNOWN"/>
    <x v="1"/>
  </r>
  <r>
    <n v="266668"/>
    <n v="971226"/>
    <x v="2"/>
    <x v="642"/>
    <x v="14"/>
    <s v="SOFTWARE"/>
    <s v="JOINT PURCHASE"/>
    <x v="1"/>
  </r>
  <r>
    <n v="266669"/>
    <n v="5247838.8"/>
    <x v="2"/>
    <x v="642"/>
    <x v="14"/>
    <s v="SOFTWARE"/>
    <s v="JOINT PURCHASE"/>
    <x v="1"/>
  </r>
  <r>
    <n v="266688"/>
    <n v="245500"/>
    <x v="0"/>
    <x v="1845"/>
    <x v="4"/>
    <s v="PRO SERV CONSULTING UNDER $250,000"/>
    <s v="REFERENCE CONTRACT"/>
    <x v="1"/>
  </r>
  <r>
    <n v="266704"/>
    <n v="70499.5"/>
    <x v="1"/>
    <x v="314"/>
    <x v="22"/>
    <s v="DELEGATE AGENCY"/>
    <s v="UNKNOWN"/>
    <x v="1"/>
  </r>
  <r>
    <n v="266706"/>
    <n v="59385"/>
    <x v="1"/>
    <x v="370"/>
    <x v="12"/>
    <s v="DELEGATE AGENCY"/>
    <s v="UNKNOWN"/>
    <x v="1"/>
  </r>
  <r>
    <n v="266708"/>
    <n v="325467.09999999998"/>
    <x v="1"/>
    <x v="302"/>
    <x v="12"/>
    <s v="DELEGATE AGENCY"/>
    <s v="UNKNOWN"/>
    <x v="1"/>
  </r>
  <r>
    <n v="266709"/>
    <n v="517908"/>
    <x v="2"/>
    <x v="1395"/>
    <x v="1"/>
    <s v="DELEGATE AGENCY"/>
    <s v="SOLE SOURCE"/>
    <x v="1"/>
  </r>
  <r>
    <n v="266710"/>
    <n v="65147"/>
    <x v="2"/>
    <x v="360"/>
    <x v="22"/>
    <s v="DELEGATE AGENCY"/>
    <s v="UNKNOWN"/>
    <x v="1"/>
  </r>
  <r>
    <n v="266711"/>
    <n v="117039.2"/>
    <x v="1"/>
    <x v="300"/>
    <x v="12"/>
    <s v="DELEGATE AGENCY"/>
    <s v="UNKNOWN"/>
    <x v="1"/>
  </r>
  <r>
    <n v="266713"/>
    <n v="146004.4"/>
    <x v="1"/>
    <x v="114"/>
    <x v="12"/>
    <s v="DELEGATE AGENCY"/>
    <s v="UNKNOWN"/>
    <x v="1"/>
  </r>
  <r>
    <n v="266716"/>
    <n v="87298.8"/>
    <x v="1"/>
    <x v="308"/>
    <x v="12"/>
    <s v="DELEGATE AGENCY"/>
    <s v="UNKNOWN"/>
    <x v="1"/>
  </r>
  <r>
    <n v="266717"/>
    <n v="79276.600000000006"/>
    <x v="1"/>
    <x v="372"/>
    <x v="12"/>
    <s v="DELEGATE AGENCY"/>
    <s v="UNKNOWN"/>
    <x v="1"/>
  </r>
  <r>
    <n v="266721"/>
    <n v="44665"/>
    <x v="1"/>
    <x v="342"/>
    <x v="12"/>
    <s v="DELEGATE AGENCY"/>
    <s v="UNKNOWN"/>
    <x v="1"/>
  </r>
  <r>
    <n v="266722"/>
    <n v="115430.3"/>
    <x v="4"/>
    <x v="304"/>
    <x v="12"/>
    <s v="DELEGATE AGENCY"/>
    <s v="UNKNOWN"/>
    <x v="1"/>
  </r>
  <r>
    <n v="266724"/>
    <n v="47993.3"/>
    <x v="1"/>
    <x v="304"/>
    <x v="12"/>
    <s v="DELEGATE AGENCY"/>
    <s v="UNKNOWN"/>
    <x v="1"/>
  </r>
  <r>
    <n v="266725"/>
    <n v="57017.599999999999"/>
    <x v="4"/>
    <x v="304"/>
    <x v="12"/>
    <s v="DELEGATE AGENCY"/>
    <s v="UNKNOWN"/>
    <x v="1"/>
  </r>
  <r>
    <n v="266727"/>
    <n v="178237.5"/>
    <x v="1"/>
    <x v="433"/>
    <x v="22"/>
    <s v="DELEGATE AGENCY"/>
    <s v="UNKNOWN"/>
    <x v="1"/>
  </r>
  <r>
    <n v="266728"/>
    <n v="10425000"/>
    <x v="1"/>
    <x v="1125"/>
    <x v="20"/>
    <s v="COMPTROLLER-OTHER"/>
    <s v="UNKNOWN"/>
    <x v="1"/>
  </r>
  <r>
    <n v="266734"/>
    <n v="56980.5"/>
    <x v="0"/>
    <x v="1729"/>
    <x v="22"/>
    <s v="DELEGATE AGENCY"/>
    <s v="UNKNOWN"/>
    <x v="1"/>
  </r>
  <r>
    <n v="266737"/>
    <n v="132477"/>
    <x v="1"/>
    <x v="191"/>
    <x v="12"/>
    <s v="DELEGATE AGENCY"/>
    <s v="UNKNOWN"/>
    <x v="1"/>
  </r>
  <r>
    <n v="266740"/>
    <n v="634028.4"/>
    <x v="1"/>
    <x v="66"/>
    <x v="12"/>
    <s v="DELEGATE AGENCY"/>
    <s v="UNKNOWN"/>
    <x v="1"/>
  </r>
  <r>
    <n v="266741"/>
    <n v="71016.5"/>
    <x v="2"/>
    <x v="298"/>
    <x v="12"/>
    <s v="DELEGATE AGENCY"/>
    <s v="UNKNOWN"/>
    <x v="1"/>
  </r>
  <r>
    <n v="266744"/>
    <n v="107714.5"/>
    <x v="1"/>
    <x v="304"/>
    <x v="12"/>
    <s v="DELEGATE AGENCY"/>
    <s v="UNKNOWN"/>
    <x v="1"/>
  </r>
  <r>
    <n v="266745"/>
    <n v="299131.40000000002"/>
    <x v="1"/>
    <x v="335"/>
    <x v="12"/>
    <s v="DELEGATE AGENCY"/>
    <s v="UNKNOWN"/>
    <x v="1"/>
  </r>
  <r>
    <n v="266746"/>
    <n v="182355"/>
    <x v="2"/>
    <x v="303"/>
    <x v="12"/>
    <s v="DELEGATE AGENCY"/>
    <s v="UNKNOWN"/>
    <x v="1"/>
  </r>
  <r>
    <n v="266747"/>
    <n v="397475.1"/>
    <x v="1"/>
    <x v="305"/>
    <x v="12"/>
    <s v="DELEGATE AGENCY"/>
    <s v="UNKNOWN"/>
    <x v="1"/>
  </r>
  <r>
    <n v="266750"/>
    <n v="109134.3"/>
    <x v="2"/>
    <x v="76"/>
    <x v="12"/>
    <s v="DELEGATE AGENCY"/>
    <s v="UNKNOWN"/>
    <x v="1"/>
  </r>
  <r>
    <n v="266752"/>
    <n v="62403.4"/>
    <x v="1"/>
    <x v="66"/>
    <x v="22"/>
    <s v="DELEGATE AGENCY"/>
    <s v="UNKNOWN"/>
    <x v="1"/>
  </r>
  <r>
    <n v="266754"/>
    <n v="52500"/>
    <x v="1"/>
    <x v="314"/>
    <x v="22"/>
    <s v="DELEGATE AGENCY"/>
    <s v="UNKNOWN"/>
    <x v="1"/>
  </r>
  <r>
    <n v="266755"/>
    <n v="138210.6"/>
    <x v="1"/>
    <x v="370"/>
    <x v="22"/>
    <s v="DELEGATE AGENCY"/>
    <s v="UNKNOWN"/>
    <x v="1"/>
  </r>
  <r>
    <n v="266756"/>
    <n v="97441.600000000006"/>
    <x v="1"/>
    <x v="353"/>
    <x v="22"/>
    <s v="DELEGATE AGENCY"/>
    <s v="UNKNOWN"/>
    <x v="1"/>
  </r>
  <r>
    <n v="266757"/>
    <n v="123754.1"/>
    <x v="1"/>
    <x v="1153"/>
    <x v="22"/>
    <s v="DELEGATE AGENCY"/>
    <s v="UNKNOWN"/>
    <x v="1"/>
  </r>
  <r>
    <n v="266764"/>
    <n v="79777"/>
    <x v="1"/>
    <x v="965"/>
    <x v="19"/>
    <s v="DELEGATE AGENCY"/>
    <s v="UNKNOWN"/>
    <x v="1"/>
  </r>
  <r>
    <n v="266765"/>
    <n v="30000"/>
    <x v="1"/>
    <x v="220"/>
    <x v="19"/>
    <s v="DELEGATE AGENCY"/>
    <s v="UNKNOWN"/>
    <x v="1"/>
  </r>
  <r>
    <n v="266768"/>
    <n v="55000"/>
    <x v="4"/>
    <x v="219"/>
    <x v="19"/>
    <s v="DELEGATE AGENCY"/>
    <s v="UNKNOWN"/>
    <x v="1"/>
  </r>
  <r>
    <n v="266769"/>
    <n v="40000"/>
    <x v="1"/>
    <x v="956"/>
    <x v="19"/>
    <s v="DELEGATE AGENCY"/>
    <s v="UNKNOWN"/>
    <x v="1"/>
  </r>
  <r>
    <n v="266771"/>
    <n v="37500"/>
    <x v="4"/>
    <x v="981"/>
    <x v="19"/>
    <s v="DELEGATE AGENCY"/>
    <s v="UNKNOWN"/>
    <x v="1"/>
  </r>
  <r>
    <n v="266774"/>
    <n v="30000"/>
    <x v="4"/>
    <x v="973"/>
    <x v="19"/>
    <s v="DELEGATE AGENCY"/>
    <s v="UNKNOWN"/>
    <x v="1"/>
  </r>
  <r>
    <n v="266775"/>
    <n v="20000"/>
    <x v="4"/>
    <x v="377"/>
    <x v="19"/>
    <s v="DELEGATE AGENCY"/>
    <s v="UNKNOWN"/>
    <x v="1"/>
  </r>
  <r>
    <n v="266776"/>
    <n v="85000"/>
    <x v="4"/>
    <x v="377"/>
    <x v="19"/>
    <s v="DELEGATE AGENCY"/>
    <s v="UNKNOWN"/>
    <x v="1"/>
  </r>
  <r>
    <n v="266778"/>
    <n v="50000"/>
    <x v="1"/>
    <x v="979"/>
    <x v="19"/>
    <s v="DELEGATE AGENCY"/>
    <s v="UNKNOWN"/>
    <x v="1"/>
  </r>
  <r>
    <n v="266779"/>
    <n v="25000"/>
    <x v="1"/>
    <x v="377"/>
    <x v="19"/>
    <s v="DELEGATE AGENCY"/>
    <s v="UNKNOWN"/>
    <x v="1"/>
  </r>
  <r>
    <n v="266780"/>
    <n v="20000"/>
    <x v="4"/>
    <x v="1225"/>
    <x v="19"/>
    <s v="DELEGATE AGENCY"/>
    <s v="UNKNOWN"/>
    <x v="1"/>
  </r>
  <r>
    <n v="266781"/>
    <n v="25000"/>
    <x v="4"/>
    <x v="960"/>
    <x v="19"/>
    <s v="DELEGATE AGENCY"/>
    <s v="UNKNOWN"/>
    <x v="1"/>
  </r>
  <r>
    <n v="26684"/>
    <n v="60740000"/>
    <x v="4"/>
    <x v="1846"/>
    <x v="0"/>
    <s v="COMPTROLLER-OTHER"/>
    <s v="UNKNOWN"/>
    <x v="0"/>
  </r>
  <r>
    <n v="266850"/>
    <n v="230000"/>
    <x v="0"/>
    <x v="259"/>
    <x v="12"/>
    <s v="DELEGATE AGENCY"/>
    <s v="UNKNOWN"/>
    <x v="1"/>
  </r>
  <r>
    <n v="266851"/>
    <n v="209000"/>
    <x v="1"/>
    <x v="391"/>
    <x v="12"/>
    <s v="DELEGATE AGENCY"/>
    <s v="UNKNOWN"/>
    <x v="1"/>
  </r>
  <r>
    <n v="266865"/>
    <n v="374641.8"/>
    <x v="1"/>
    <x v="1749"/>
    <x v="8"/>
    <s v="DELEGATE AGENCY"/>
    <s v="UNKNOWN"/>
    <x v="1"/>
  </r>
  <r>
    <n v="266877"/>
    <n v="194260.8"/>
    <x v="2"/>
    <x v="436"/>
    <x v="12"/>
    <s v="DELEGATE AGENCY"/>
    <s v="UNKNOWN"/>
    <x v="1"/>
  </r>
  <r>
    <n v="266878"/>
    <n v="206527.1"/>
    <x v="1"/>
    <x v="1151"/>
    <x v="12"/>
    <s v="DELEGATE AGENCY"/>
    <s v="UNKNOWN"/>
    <x v="1"/>
  </r>
  <r>
    <n v="266882"/>
    <n v="50000"/>
    <x v="1"/>
    <x v="446"/>
    <x v="20"/>
    <s v="COMPTROLLER-OTHER"/>
    <s v="UNKNOWN"/>
    <x v="1"/>
  </r>
  <r>
    <n v="266883"/>
    <n v="48000"/>
    <x v="1"/>
    <x v="610"/>
    <x v="12"/>
    <s v="DELEGATE AGENCY"/>
    <s v="UNKNOWN"/>
    <x v="1"/>
  </r>
  <r>
    <n v="266885"/>
    <n v="48000"/>
    <x v="4"/>
    <x v="296"/>
    <x v="12"/>
    <s v="DELEGATE AGENCY"/>
    <s v="UNKNOWN"/>
    <x v="1"/>
  </r>
  <r>
    <n v="266886"/>
    <n v="96000"/>
    <x v="4"/>
    <x v="583"/>
    <x v="12"/>
    <s v="DELEGATE AGENCY"/>
    <s v="UNKNOWN"/>
    <x v="1"/>
  </r>
  <r>
    <n v="266887"/>
    <n v="72000"/>
    <x v="1"/>
    <x v="612"/>
    <x v="12"/>
    <s v="DELEGATE AGENCY"/>
    <s v="UNKNOWN"/>
    <x v="1"/>
  </r>
  <r>
    <n v="266892"/>
    <n v="50000"/>
    <x v="1"/>
    <x v="348"/>
    <x v="20"/>
    <s v="COMPTROLLER-OTHER"/>
    <s v="UNKNOWN"/>
    <x v="1"/>
  </r>
  <r>
    <n v="266893"/>
    <n v="50000"/>
    <x v="1"/>
    <x v="1847"/>
    <x v="20"/>
    <s v="COMPTROLLER-OTHER"/>
    <s v="UNKNOWN"/>
    <x v="1"/>
  </r>
  <r>
    <n v="266899"/>
    <n v="54000"/>
    <x v="1"/>
    <x v="261"/>
    <x v="12"/>
    <s v="DELEGATE AGENCY"/>
    <s v="UNKNOWN"/>
    <x v="1"/>
  </r>
  <r>
    <n v="266915"/>
    <n v="1900000"/>
    <x v="1"/>
    <x v="323"/>
    <x v="12"/>
    <s v="DELEGATE AGENCY"/>
    <s v="UNKNOWN"/>
    <x v="1"/>
  </r>
  <r>
    <n v="2670"/>
    <n v="2400184"/>
    <x v="0"/>
    <x v="1848"/>
    <x v="6"/>
    <s v="COMPTROLLER-OTHER"/>
    <s v="UNKNOWN"/>
    <x v="0"/>
  </r>
  <r>
    <n v="267060"/>
    <n v="800000"/>
    <x v="0"/>
    <x v="188"/>
    <x v="8"/>
    <s v="DELEGATE AGENCY"/>
    <s v="UNKNOWN"/>
    <x v="1"/>
  </r>
  <r>
    <n v="267061"/>
    <n v="255143.2"/>
    <x v="2"/>
    <x v="166"/>
    <x v="8"/>
    <s v="DELEGATE AGENCY"/>
    <s v="UNKNOWN"/>
    <x v="1"/>
  </r>
  <r>
    <n v="267062"/>
    <n v="62530.6"/>
    <x v="2"/>
    <x v="328"/>
    <x v="8"/>
    <s v="DELEGATE AGENCY"/>
    <s v="UNKNOWN"/>
    <x v="1"/>
  </r>
  <r>
    <n v="267063"/>
    <n v="1063836.3999999999"/>
    <x v="1"/>
    <x v="28"/>
    <x v="8"/>
    <s v="DELEGATE AGENCY"/>
    <s v="UNKNOWN"/>
    <x v="1"/>
  </r>
  <r>
    <n v="267064"/>
    <n v="298383.59999999998"/>
    <x v="0"/>
    <x v="166"/>
    <x v="8"/>
    <s v="DELEGATE AGENCY"/>
    <s v="UNKNOWN"/>
    <x v="1"/>
  </r>
  <r>
    <n v="267164"/>
    <n v="45047.3"/>
    <x v="2"/>
    <x v="290"/>
    <x v="22"/>
    <s v="DELEGATE AGENCY"/>
    <s v="UNKNOWN"/>
    <x v="1"/>
  </r>
  <r>
    <n v="267165"/>
    <n v="52380.800000000003"/>
    <x v="4"/>
    <x v="390"/>
    <x v="22"/>
    <s v="DELEGATE AGENCY"/>
    <s v="UNKNOWN"/>
    <x v="1"/>
  </r>
  <r>
    <n v="267169"/>
    <n v="362254.8"/>
    <x v="1"/>
    <x v="1495"/>
    <x v="21"/>
    <s v="DELEGATE AGENCY"/>
    <s v="UNKNOWN"/>
    <x v="1"/>
  </r>
  <r>
    <n v="267233"/>
    <n v="214877"/>
    <x v="2"/>
    <x v="305"/>
    <x v="12"/>
    <s v="DELEGATE AGENCY"/>
    <s v="UNKNOWN"/>
    <x v="1"/>
  </r>
  <r>
    <n v="267235"/>
    <n v="200000"/>
    <x v="1"/>
    <x v="84"/>
    <x v="12"/>
    <s v="DELEGATE AGENCY"/>
    <s v="UNKNOWN"/>
    <x v="1"/>
  </r>
  <r>
    <n v="267236"/>
    <n v="51676.2"/>
    <x v="1"/>
    <x v="353"/>
    <x v="22"/>
    <s v="DELEGATE AGENCY"/>
    <s v="UNKNOWN"/>
    <x v="1"/>
  </r>
  <r>
    <n v="267241"/>
    <n v="197495.2"/>
    <x v="1"/>
    <x v="1849"/>
    <x v="2"/>
    <s v="COMPTROLLER-OTHER"/>
    <s v="UNKNOWN"/>
    <x v="1"/>
  </r>
  <r>
    <n v="267244"/>
    <n v="5000000"/>
    <x v="1"/>
    <x v="578"/>
    <x v="20"/>
    <s v="COMPTROLLER-OTHER"/>
    <s v="UNKNOWN"/>
    <x v="1"/>
  </r>
  <r>
    <n v="267245"/>
    <n v="150000"/>
    <x v="0"/>
    <x v="1620"/>
    <x v="2"/>
    <s v="COMPTROLLER-OTHER"/>
    <s v="UNKNOWN"/>
    <x v="1"/>
  </r>
  <r>
    <n v="267267"/>
    <n v="88913.1"/>
    <x v="1"/>
    <x v="1850"/>
    <x v="2"/>
    <s v="COMPTROLLER-OTHER"/>
    <s v="UNKNOWN"/>
    <x v="1"/>
  </r>
  <r>
    <n v="267269"/>
    <n v="94483.199999999997"/>
    <x v="1"/>
    <x v="436"/>
    <x v="22"/>
    <s v="DELEGATE AGENCY"/>
    <s v="UNKNOWN"/>
    <x v="1"/>
  </r>
  <r>
    <n v="267300"/>
    <n v="150000"/>
    <x v="1"/>
    <x v="1851"/>
    <x v="2"/>
    <s v="COMPTROLLER-OTHER"/>
    <s v="UNKNOWN"/>
    <x v="1"/>
  </r>
  <r>
    <n v="267304"/>
    <n v="150000"/>
    <x v="1"/>
    <x v="1852"/>
    <x v="2"/>
    <s v="COMPTROLLER-OTHER"/>
    <s v="UNKNOWN"/>
    <x v="1"/>
  </r>
  <r>
    <n v="267305"/>
    <n v="197521.5"/>
    <x v="1"/>
    <x v="1128"/>
    <x v="2"/>
    <s v="COMPTROLLER-OTHER"/>
    <s v="UNKNOWN"/>
    <x v="1"/>
  </r>
  <r>
    <n v="267306"/>
    <n v="650000"/>
    <x v="1"/>
    <x v="145"/>
    <x v="2"/>
    <s v="COMPTROLLER-OTHER"/>
    <s v="UNKNOWN"/>
    <x v="1"/>
  </r>
  <r>
    <n v="267307"/>
    <n v="250000"/>
    <x v="2"/>
    <x v="1853"/>
    <x v="2"/>
    <s v="COMPTROLLER-OTHER"/>
    <s v="UNKNOWN"/>
    <x v="1"/>
  </r>
  <r>
    <n v="267308"/>
    <n v="52217159.5"/>
    <x v="2"/>
    <x v="1854"/>
    <x v="0"/>
    <s v="COMMODITIES"/>
    <s v="BID"/>
    <x v="1"/>
  </r>
  <r>
    <n v="267309"/>
    <n v="250000"/>
    <x v="0"/>
    <x v="1855"/>
    <x v="2"/>
    <s v="COMPTROLLER-OTHER"/>
    <s v="UNKNOWN"/>
    <x v="1"/>
  </r>
  <r>
    <n v="267311"/>
    <n v="250000"/>
    <x v="2"/>
    <x v="1856"/>
    <x v="2"/>
    <s v="COMPTROLLER-OTHER"/>
    <s v="UNKNOWN"/>
    <x v="1"/>
  </r>
  <r>
    <n v="267312"/>
    <n v="4606280.5999999996"/>
    <x v="2"/>
    <x v="1857"/>
    <x v="37"/>
    <s v="PRO SERV CONSULTING $250,000orABOVE"/>
    <s v="RFP"/>
    <x v="1"/>
  </r>
  <r>
    <n v="267313"/>
    <n v="18071736.600000001"/>
    <x v="0"/>
    <x v="1858"/>
    <x v="7"/>
    <s v="WORK SERVICES / FACILITIES MAINT."/>
    <s v="BID"/>
    <x v="1"/>
  </r>
  <r>
    <n v="267315"/>
    <n v="150000"/>
    <x v="0"/>
    <x v="1859"/>
    <x v="2"/>
    <s v="COMPTROLLER-OTHER"/>
    <s v="UNKNOWN"/>
    <x v="1"/>
  </r>
  <r>
    <n v="267316"/>
    <n v="250000"/>
    <x v="1"/>
    <x v="1860"/>
    <x v="2"/>
    <s v="COMPTROLLER-OTHER"/>
    <s v="UNKNOWN"/>
    <x v="1"/>
  </r>
  <r>
    <n v="267317"/>
    <n v="17550000"/>
    <x v="2"/>
    <x v="1861"/>
    <x v="2"/>
    <s v="COMPTROLLER-OTHER"/>
    <s v="UNKNOWN"/>
    <x v="1"/>
  </r>
  <r>
    <n v="267318"/>
    <n v="270881"/>
    <x v="0"/>
    <x v="503"/>
    <x v="12"/>
    <s v="DELEGATE AGENCY"/>
    <s v="UNKNOWN"/>
    <x v="1"/>
  </r>
  <r>
    <n v="267319"/>
    <n v="1200000"/>
    <x v="2"/>
    <x v="503"/>
    <x v="12"/>
    <s v="DELEGATE AGENCY"/>
    <s v="UNKNOWN"/>
    <x v="1"/>
  </r>
  <r>
    <n v="267321"/>
    <n v="100000"/>
    <x v="0"/>
    <x v="503"/>
    <x v="12"/>
    <s v="DELEGATE AGENCY"/>
    <s v="UNKNOWN"/>
    <x v="1"/>
  </r>
  <r>
    <n v="267323"/>
    <n v="134000"/>
    <x v="1"/>
    <x v="1862"/>
    <x v="20"/>
    <s v="COMPTROLLER-OTHER"/>
    <s v="UNKNOWN"/>
    <x v="1"/>
  </r>
  <r>
    <n v="267327"/>
    <n v="54000"/>
    <x v="1"/>
    <x v="592"/>
    <x v="12"/>
    <s v="DELEGATE AGENCY"/>
    <s v="UNKNOWN"/>
    <x v="1"/>
  </r>
  <r>
    <n v="267328"/>
    <n v="72000"/>
    <x v="1"/>
    <x v="203"/>
    <x v="12"/>
    <s v="DELEGATE AGENCY"/>
    <s v="UNKNOWN"/>
    <x v="1"/>
  </r>
  <r>
    <n v="267331"/>
    <n v="72000"/>
    <x v="1"/>
    <x v="612"/>
    <x v="12"/>
    <s v="DELEGATE AGENCY"/>
    <s v="UNKNOWN"/>
    <x v="1"/>
  </r>
  <r>
    <n v="267332"/>
    <n v="72000"/>
    <x v="1"/>
    <x v="606"/>
    <x v="12"/>
    <s v="DELEGATE AGENCY"/>
    <s v="UNKNOWN"/>
    <x v="1"/>
  </r>
  <r>
    <n v="267339"/>
    <n v="250297"/>
    <x v="1"/>
    <x v="583"/>
    <x v="12"/>
    <s v="DELEGATE AGENCY"/>
    <s v="UNKNOWN"/>
    <x v="1"/>
  </r>
  <r>
    <n v="267341"/>
    <n v="162133"/>
    <x v="2"/>
    <x v="127"/>
    <x v="12"/>
    <s v="DELEGATE AGENCY"/>
    <s v="UNKNOWN"/>
    <x v="1"/>
  </r>
  <r>
    <n v="267392"/>
    <n v="55000"/>
    <x v="1"/>
    <x v="948"/>
    <x v="19"/>
    <s v="DELEGATE AGENCY"/>
    <s v="UNKNOWN"/>
    <x v="1"/>
  </r>
  <r>
    <n v="267393"/>
    <n v="40000"/>
    <x v="1"/>
    <x v="220"/>
    <x v="19"/>
    <s v="DELEGATE AGENCY"/>
    <s v="UNKNOWN"/>
    <x v="1"/>
  </r>
  <r>
    <n v="267394"/>
    <n v="25000"/>
    <x v="4"/>
    <x v="377"/>
    <x v="19"/>
    <s v="DELEGATE AGENCY"/>
    <s v="UNKNOWN"/>
    <x v="1"/>
  </r>
  <r>
    <n v="267395"/>
    <n v="40000"/>
    <x v="4"/>
    <x v="960"/>
    <x v="19"/>
    <s v="DELEGATE AGENCY"/>
    <s v="UNKNOWN"/>
    <x v="1"/>
  </r>
  <r>
    <n v="267396"/>
    <n v="85000"/>
    <x v="4"/>
    <x v="221"/>
    <x v="19"/>
    <s v="DELEGATE AGENCY"/>
    <s v="UNKNOWN"/>
    <x v="1"/>
  </r>
  <r>
    <n v="267397"/>
    <n v="40000"/>
    <x v="1"/>
    <x v="1863"/>
    <x v="19"/>
    <s v="DELEGATE AGENCY"/>
    <s v="UNKNOWN"/>
    <x v="1"/>
  </r>
  <r>
    <n v="267398"/>
    <n v="40000"/>
    <x v="4"/>
    <x v="967"/>
    <x v="19"/>
    <s v="DELEGATE AGENCY"/>
    <s v="UNKNOWN"/>
    <x v="1"/>
  </r>
  <r>
    <n v="267399"/>
    <n v="85000"/>
    <x v="4"/>
    <x v="220"/>
    <x v="19"/>
    <s v="DELEGATE AGENCY"/>
    <s v="UNKNOWN"/>
    <x v="1"/>
  </r>
  <r>
    <n v="267428"/>
    <n v="997970.1"/>
    <x v="1"/>
    <x v="76"/>
    <x v="12"/>
    <s v="DELEGATE AGENCY"/>
    <s v="UNKNOWN"/>
    <x v="1"/>
  </r>
  <r>
    <n v="267429"/>
    <n v="372608.1"/>
    <x v="2"/>
    <x v="76"/>
    <x v="12"/>
    <s v="DELEGATE AGENCY"/>
    <s v="UNKNOWN"/>
    <x v="1"/>
  </r>
  <r>
    <n v="267432"/>
    <n v="150000"/>
    <x v="2"/>
    <x v="776"/>
    <x v="20"/>
    <s v="COMPTROLLER-OTHER"/>
    <s v="UNKNOWN"/>
    <x v="1"/>
  </r>
  <r>
    <n v="267433"/>
    <n v="401500"/>
    <x v="1"/>
    <x v="295"/>
    <x v="12"/>
    <s v="DELEGATE AGENCY"/>
    <s v="UNKNOWN"/>
    <x v="1"/>
  </r>
  <r>
    <n v="267434"/>
    <n v="81619"/>
    <x v="2"/>
    <x v="175"/>
    <x v="12"/>
    <s v="DELEGATE AGENCY"/>
    <s v="UNKNOWN"/>
    <x v="1"/>
  </r>
  <r>
    <n v="267435"/>
    <n v="249999"/>
    <x v="1"/>
    <x v="296"/>
    <x v="12"/>
    <s v="DELEGATE AGENCY"/>
    <s v="UNKNOWN"/>
    <x v="1"/>
  </r>
  <r>
    <n v="267436"/>
    <n v="249032"/>
    <x v="1"/>
    <x v="285"/>
    <x v="12"/>
    <s v="DELEGATE AGENCY"/>
    <s v="UNKNOWN"/>
    <x v="1"/>
  </r>
  <r>
    <n v="267437"/>
    <n v="31946"/>
    <x v="1"/>
    <x v="296"/>
    <x v="12"/>
    <s v="DELEGATE AGENCY"/>
    <s v="UNKNOWN"/>
    <x v="1"/>
  </r>
  <r>
    <n v="267438"/>
    <n v="143800"/>
    <x v="4"/>
    <x v="84"/>
    <x v="12"/>
    <s v="DELEGATE AGENCY"/>
    <s v="UNKNOWN"/>
    <x v="1"/>
  </r>
  <r>
    <n v="267439"/>
    <n v="600000"/>
    <x v="1"/>
    <x v="299"/>
    <x v="12"/>
    <s v="DELEGATE AGENCY"/>
    <s v="UNKNOWN"/>
    <x v="1"/>
  </r>
  <r>
    <n v="267440"/>
    <n v="63931"/>
    <x v="2"/>
    <x v="298"/>
    <x v="12"/>
    <s v="DELEGATE AGENCY"/>
    <s v="UNKNOWN"/>
    <x v="1"/>
  </r>
  <r>
    <n v="267441"/>
    <n v="130000"/>
    <x v="1"/>
    <x v="285"/>
    <x v="12"/>
    <s v="DELEGATE AGENCY"/>
    <s v="UNKNOWN"/>
    <x v="1"/>
  </r>
  <r>
    <n v="267442"/>
    <n v="26280"/>
    <x v="1"/>
    <x v="304"/>
    <x v="12"/>
    <s v="DELEGATE AGENCY"/>
    <s v="UNKNOWN"/>
    <x v="1"/>
  </r>
  <r>
    <n v="267443"/>
    <n v="174402"/>
    <x v="4"/>
    <x v="285"/>
    <x v="12"/>
    <s v="DELEGATE AGENCY"/>
    <s v="UNKNOWN"/>
    <x v="1"/>
  </r>
  <r>
    <n v="267444"/>
    <n v="172677.9"/>
    <x v="1"/>
    <x v="298"/>
    <x v="12"/>
    <s v="DELEGATE AGENCY"/>
    <s v="UNKNOWN"/>
    <x v="1"/>
  </r>
  <r>
    <n v="267445"/>
    <n v="177796.9"/>
    <x v="1"/>
    <x v="307"/>
    <x v="12"/>
    <s v="DELEGATE AGENCY"/>
    <s v="UNKNOWN"/>
    <x v="1"/>
  </r>
  <r>
    <n v="267446"/>
    <n v="55000"/>
    <x v="1"/>
    <x v="317"/>
    <x v="12"/>
    <s v="DELEGATE AGENCY"/>
    <s v="UNKNOWN"/>
    <x v="1"/>
  </r>
  <r>
    <n v="267447"/>
    <n v="90800"/>
    <x v="1"/>
    <x v="307"/>
    <x v="12"/>
    <s v="DELEGATE AGENCY"/>
    <s v="UNKNOWN"/>
    <x v="1"/>
  </r>
  <r>
    <n v="267448"/>
    <n v="75000"/>
    <x v="1"/>
    <x v="228"/>
    <x v="12"/>
    <s v="DELEGATE AGENCY"/>
    <s v="UNKNOWN"/>
    <x v="1"/>
  </r>
  <r>
    <n v="267449"/>
    <n v="66150"/>
    <x v="1"/>
    <x v="289"/>
    <x v="12"/>
    <s v="DELEGATE AGENCY"/>
    <s v="UNKNOWN"/>
    <x v="1"/>
  </r>
  <r>
    <n v="267451"/>
    <n v="20000"/>
    <x v="1"/>
    <x v="837"/>
    <x v="20"/>
    <s v="COMPTROLLER-OTHER"/>
    <s v="UNKNOWN"/>
    <x v="1"/>
  </r>
  <r>
    <n v="267452"/>
    <n v="126275"/>
    <x v="4"/>
    <x v="318"/>
    <x v="12"/>
    <s v="DELEGATE AGENCY"/>
    <s v="UNKNOWN"/>
    <x v="1"/>
  </r>
  <r>
    <n v="267453"/>
    <n v="7579"/>
    <x v="1"/>
    <x v="193"/>
    <x v="12"/>
    <s v="DELEGATE AGENCY"/>
    <s v="UNKNOWN"/>
    <x v="1"/>
  </r>
  <r>
    <n v="267456"/>
    <n v="50000"/>
    <x v="3"/>
    <x v="1864"/>
    <x v="20"/>
    <s v="COMPTROLLER-OTHER"/>
    <s v="UNKNOWN"/>
    <x v="1"/>
  </r>
  <r>
    <n v="267459"/>
    <n v="50000"/>
    <x v="1"/>
    <x v="1693"/>
    <x v="20"/>
    <s v="COMPTROLLER-OTHER"/>
    <s v="UNKNOWN"/>
    <x v="1"/>
  </r>
  <r>
    <n v="267460"/>
    <n v="150000"/>
    <x v="1"/>
    <x v="833"/>
    <x v="20"/>
    <s v="COMPTROLLER-OTHER"/>
    <s v="UNKNOWN"/>
    <x v="1"/>
  </r>
  <r>
    <n v="267461"/>
    <n v="1400000"/>
    <x v="1"/>
    <x v="145"/>
    <x v="2"/>
    <s v="COMPTROLLER-OTHER"/>
    <s v="UNKNOWN"/>
    <x v="1"/>
  </r>
  <r>
    <n v="267559"/>
    <n v="667000"/>
    <x v="0"/>
    <x v="76"/>
    <x v="12"/>
    <s v="DELEGATE AGENCY"/>
    <s v="RFP"/>
    <x v="1"/>
  </r>
  <r>
    <n v="26757"/>
    <n v="2600000"/>
    <x v="2"/>
    <x v="1154"/>
    <x v="2"/>
    <s v="COMPTROLLER-OTHER"/>
    <s v="UNKNOWN"/>
    <x v="0"/>
  </r>
  <r>
    <n v="267617"/>
    <n v="876698"/>
    <x v="0"/>
    <x v="25"/>
    <x v="8"/>
    <s v="DELEGATE AGENCY"/>
    <s v="UNKNOWN"/>
    <x v="1"/>
  </r>
  <r>
    <n v="267618"/>
    <n v="206271"/>
    <x v="2"/>
    <x v="44"/>
    <x v="8"/>
    <s v="DELEGATE AGENCY"/>
    <s v="UNKNOWN"/>
    <x v="1"/>
  </r>
  <r>
    <n v="267620"/>
    <n v="2974347.8"/>
    <x v="1"/>
    <x v="40"/>
    <x v="8"/>
    <s v="DELEGATE AGENCY"/>
    <s v="UNKNOWN"/>
    <x v="1"/>
  </r>
  <r>
    <n v="267621"/>
    <n v="235921.7"/>
    <x v="0"/>
    <x v="45"/>
    <x v="8"/>
    <s v="DELEGATE AGENCY"/>
    <s v="UNKNOWN"/>
    <x v="1"/>
  </r>
  <r>
    <n v="267631"/>
    <n v="650000"/>
    <x v="1"/>
    <x v="156"/>
    <x v="2"/>
    <s v="COMPTROLLER-OTHER"/>
    <s v="UNKNOWN"/>
    <x v="1"/>
  </r>
  <r>
    <n v="267632"/>
    <n v="1842000"/>
    <x v="2"/>
    <x v="145"/>
    <x v="2"/>
    <s v="COMPTROLLER-OTHER"/>
    <s v="UNKNOWN"/>
    <x v="1"/>
  </r>
  <r>
    <n v="267635"/>
    <n v="3500000"/>
    <x v="0"/>
    <x v="145"/>
    <x v="2"/>
    <s v="COMPTROLLER-OTHER"/>
    <s v="UNKNOWN"/>
    <x v="1"/>
  </r>
  <r>
    <n v="267661"/>
    <n v="35000"/>
    <x v="0"/>
    <x v="1865"/>
    <x v="20"/>
    <s v="COMPTROLLER-OTHER"/>
    <s v="UNKNOWN"/>
    <x v="1"/>
  </r>
  <r>
    <n v="267670"/>
    <n v="1000000"/>
    <x v="4"/>
    <x v="145"/>
    <x v="2"/>
    <s v="COMPTROLLER-OTHER"/>
    <s v="UNKNOWN"/>
    <x v="1"/>
  </r>
  <r>
    <n v="267676"/>
    <n v="222034.4"/>
    <x v="0"/>
    <x v="169"/>
    <x v="8"/>
    <s v="DELEGATE AGENCY"/>
    <s v="UNKNOWN"/>
    <x v="1"/>
  </r>
  <r>
    <n v="267678"/>
    <n v="38897"/>
    <x v="1"/>
    <x v="28"/>
    <x v="8"/>
    <s v="DELEGATE AGENCY"/>
    <s v="UNKNOWN"/>
    <x v="1"/>
  </r>
  <r>
    <n v="267695"/>
    <n v="150000"/>
    <x v="4"/>
    <x v="1866"/>
    <x v="2"/>
    <s v="COMPTROLLER-OTHER"/>
    <s v="UNKNOWN"/>
    <x v="1"/>
  </r>
  <r>
    <n v="267697"/>
    <n v="150000"/>
    <x v="1"/>
    <x v="340"/>
    <x v="2"/>
    <s v="COMPTROLLER-OTHER"/>
    <s v="UNKNOWN"/>
    <x v="1"/>
  </r>
  <r>
    <n v="267699"/>
    <n v="350000"/>
    <x v="1"/>
    <x v="156"/>
    <x v="2"/>
    <s v="COMPTROLLER-OTHER"/>
    <s v="UNKNOWN"/>
    <x v="1"/>
  </r>
  <r>
    <n v="267718"/>
    <n v="3500000"/>
    <x v="2"/>
    <x v="156"/>
    <x v="2"/>
    <s v="COMPTROLLER-OTHER"/>
    <s v="UNKNOWN"/>
    <x v="1"/>
  </r>
  <r>
    <n v="267719"/>
    <n v="1250000"/>
    <x v="0"/>
    <x v="156"/>
    <x v="2"/>
    <s v="COMPTROLLER-OTHER"/>
    <s v="UNKNOWN"/>
    <x v="1"/>
  </r>
  <r>
    <n v="267720"/>
    <n v="800000"/>
    <x v="0"/>
    <x v="156"/>
    <x v="2"/>
    <s v="COMPTROLLER-OTHER"/>
    <s v="UNKNOWN"/>
    <x v="1"/>
  </r>
  <r>
    <n v="267730"/>
    <n v="43799.6"/>
    <x v="2"/>
    <x v="216"/>
    <x v="12"/>
    <s v="DELEGATE AGENCY"/>
    <s v="UNKNOWN"/>
    <x v="1"/>
  </r>
  <r>
    <n v="267731"/>
    <n v="55107"/>
    <x v="4"/>
    <x v="317"/>
    <x v="12"/>
    <s v="DELEGATE AGENCY"/>
    <s v="UNKNOWN"/>
    <x v="1"/>
  </r>
  <r>
    <n v="267732"/>
    <n v="60059"/>
    <x v="1"/>
    <x v="305"/>
    <x v="12"/>
    <s v="DELEGATE AGENCY"/>
    <s v="UNKNOWN"/>
    <x v="1"/>
  </r>
  <r>
    <n v="267733"/>
    <n v="127281.2"/>
    <x v="1"/>
    <x v="276"/>
    <x v="12"/>
    <s v="DELEGATE AGENCY"/>
    <s v="UNKNOWN"/>
    <x v="1"/>
  </r>
  <r>
    <n v="267734"/>
    <n v="60000"/>
    <x v="1"/>
    <x v="306"/>
    <x v="12"/>
    <s v="DELEGATE AGENCY"/>
    <s v="UNKNOWN"/>
    <x v="1"/>
  </r>
  <r>
    <n v="267735"/>
    <n v="1713548"/>
    <x v="1"/>
    <x v="306"/>
    <x v="12"/>
    <s v="DELEGATE AGENCY"/>
    <s v="UNKNOWN"/>
    <x v="1"/>
  </r>
  <r>
    <n v="267736"/>
    <n v="379202.7"/>
    <x v="0"/>
    <x v="306"/>
    <x v="12"/>
    <s v="DELEGATE AGENCY"/>
    <s v="UNKNOWN"/>
    <x v="1"/>
  </r>
  <r>
    <n v="267800"/>
    <n v="250000"/>
    <x v="2"/>
    <x v="476"/>
    <x v="8"/>
    <s v="DELEGATE AGENCY"/>
    <s v="UNKNOWN"/>
    <x v="1"/>
  </r>
  <r>
    <n v="267817"/>
    <n v="430829.3"/>
    <x v="2"/>
    <x v="288"/>
    <x v="8"/>
    <s v="DELEGATE AGENCY"/>
    <s v="UNKNOWN"/>
    <x v="1"/>
  </r>
  <r>
    <n v="267862"/>
    <n v="740584.1"/>
    <x v="2"/>
    <x v="315"/>
    <x v="8"/>
    <s v="DELEGATE AGENCY"/>
    <s v="UNKNOWN"/>
    <x v="1"/>
  </r>
  <r>
    <n v="267866"/>
    <n v="4863960.0999999996"/>
    <x v="2"/>
    <x v="57"/>
    <x v="26"/>
    <s v="DELEGATE AGENCY"/>
    <s v="UNKNOWN"/>
    <x v="1"/>
  </r>
  <r>
    <n v="267871"/>
    <n v="30000"/>
    <x v="0"/>
    <x v="1379"/>
    <x v="29"/>
    <s v="DPS DELEGATE AGENCY"/>
    <s v="MASTER AGREEMENT"/>
    <x v="1"/>
  </r>
  <r>
    <n v="267948"/>
    <n v="1014150.8"/>
    <x v="4"/>
    <x v="285"/>
    <x v="12"/>
    <s v="DELEGATE AGENCY"/>
    <s v="UNKNOWN"/>
    <x v="1"/>
  </r>
  <r>
    <n v="267960"/>
    <n v="441615.4"/>
    <x v="0"/>
    <x v="114"/>
    <x v="12"/>
    <s v="DELEGATE AGENCY"/>
    <s v="UNKNOWN"/>
    <x v="1"/>
  </r>
  <r>
    <n v="268013"/>
    <n v="37500"/>
    <x v="2"/>
    <x v="910"/>
    <x v="19"/>
    <s v="DELEGATE AGENCY"/>
    <s v="UNKNOWN"/>
    <x v="1"/>
  </r>
  <r>
    <n v="268014"/>
    <n v="40000"/>
    <x v="4"/>
    <x v="392"/>
    <x v="19"/>
    <s v="DELEGATE AGENCY"/>
    <s v="UNKNOWN"/>
    <x v="1"/>
  </r>
  <r>
    <n v="268015"/>
    <n v="40000"/>
    <x v="4"/>
    <x v="380"/>
    <x v="19"/>
    <s v="DELEGATE AGENCY"/>
    <s v="UNKNOWN"/>
    <x v="1"/>
  </r>
  <r>
    <n v="268024"/>
    <n v="892039.2"/>
    <x v="4"/>
    <x v="306"/>
    <x v="12"/>
    <s v="DELEGATE AGENCY"/>
    <s v="UNKNOWN"/>
    <x v="1"/>
  </r>
  <r>
    <n v="268026"/>
    <n v="1638336"/>
    <x v="2"/>
    <x v="605"/>
    <x v="12"/>
    <s v="DELEGATE AGENCY"/>
    <s v="UNKNOWN"/>
    <x v="1"/>
  </r>
  <r>
    <n v="268106"/>
    <n v="148465.1"/>
    <x v="0"/>
    <x v="40"/>
    <x v="8"/>
    <s v="DELEGATE AGENCY"/>
    <s v="UNKNOWN"/>
    <x v="1"/>
  </r>
  <r>
    <n v="268107"/>
    <n v="12633.8"/>
    <x v="1"/>
    <x v="25"/>
    <x v="8"/>
    <s v="DELEGATE AGENCY"/>
    <s v="UNKNOWN"/>
    <x v="1"/>
  </r>
  <r>
    <n v="268108"/>
    <n v="176555"/>
    <x v="4"/>
    <x v="140"/>
    <x v="8"/>
    <s v="DELEGATE AGENCY"/>
    <s v="UNKNOWN"/>
    <x v="1"/>
  </r>
  <r>
    <n v="268109"/>
    <n v="16302.6"/>
    <x v="1"/>
    <x v="46"/>
    <x v="8"/>
    <s v="DELEGATE AGENCY"/>
    <s v="UNKNOWN"/>
    <x v="1"/>
  </r>
  <r>
    <n v="268111"/>
    <n v="14713"/>
    <x v="4"/>
    <x v="44"/>
    <x v="8"/>
    <s v="DELEGATE AGENCY"/>
    <s v="UNKNOWN"/>
    <x v="1"/>
  </r>
  <r>
    <n v="268112"/>
    <n v="22887"/>
    <x v="4"/>
    <x v="43"/>
    <x v="8"/>
    <s v="DELEGATE AGENCY"/>
    <s v="UNKNOWN"/>
    <x v="1"/>
  </r>
  <r>
    <n v="268113"/>
    <n v="11445"/>
    <x v="4"/>
    <x v="41"/>
    <x v="8"/>
    <s v="DELEGATE AGENCY"/>
    <s v="UNKNOWN"/>
    <x v="1"/>
  </r>
  <r>
    <n v="268115"/>
    <n v="28660.799999999999"/>
    <x v="4"/>
    <x v="38"/>
    <x v="8"/>
    <s v="DELEGATE AGENCY"/>
    <s v="UNKNOWN"/>
    <x v="1"/>
  </r>
  <r>
    <n v="268116"/>
    <n v="35085.4"/>
    <x v="4"/>
    <x v="24"/>
    <x v="8"/>
    <s v="DELEGATE AGENCY"/>
    <s v="UNKNOWN"/>
    <x v="1"/>
  </r>
  <r>
    <n v="268117"/>
    <n v="167708"/>
    <x v="4"/>
    <x v="168"/>
    <x v="8"/>
    <s v="DELEGATE AGENCY"/>
    <s v="UNKNOWN"/>
    <x v="1"/>
  </r>
  <r>
    <n v="268118"/>
    <n v="47408"/>
    <x v="1"/>
    <x v="27"/>
    <x v="8"/>
    <s v="DELEGATE AGENCY"/>
    <s v="UNKNOWN"/>
    <x v="1"/>
  </r>
  <r>
    <n v="268195"/>
    <n v="195365"/>
    <x v="4"/>
    <x v="285"/>
    <x v="12"/>
    <s v="DELEGATE AGENCY"/>
    <s v="RFP"/>
    <x v="1"/>
  </r>
  <r>
    <n v="268199"/>
    <n v="123172"/>
    <x v="1"/>
    <x v="1232"/>
    <x v="12"/>
    <s v="DELEGATE AGENCY"/>
    <s v="UNKNOWN"/>
    <x v="1"/>
  </r>
  <r>
    <n v="268212"/>
    <n v="39857.5"/>
    <x v="1"/>
    <x v="357"/>
    <x v="12"/>
    <s v="DELEGATE AGENCY"/>
    <s v="UNKNOWN"/>
    <x v="1"/>
  </r>
  <r>
    <n v="268220"/>
    <n v="60206.400000000001"/>
    <x v="4"/>
    <x v="347"/>
    <x v="12"/>
    <s v="DELEGATE AGENCY"/>
    <s v="UNKNOWN"/>
    <x v="1"/>
  </r>
  <r>
    <n v="268222"/>
    <n v="37102.5"/>
    <x v="1"/>
    <x v="228"/>
    <x v="12"/>
    <s v="DELEGATE AGENCY"/>
    <s v="UNKNOWN"/>
    <x v="1"/>
  </r>
  <r>
    <n v="268226"/>
    <n v="111935.799999999"/>
    <x v="4"/>
    <x v="394"/>
    <x v="22"/>
    <s v="DELEGATE AGENCY"/>
    <s v="UNKNOWN"/>
    <x v="1"/>
  </r>
  <r>
    <n v="268227"/>
    <n v="204004.9"/>
    <x v="1"/>
    <x v="376"/>
    <x v="22"/>
    <s v="DELEGATE AGENCY"/>
    <s v="UNKNOWN"/>
    <x v="1"/>
  </r>
  <r>
    <n v="268242"/>
    <n v="85000"/>
    <x v="1"/>
    <x v="204"/>
    <x v="19"/>
    <s v="DELEGATE AGENCY"/>
    <s v="UNKNOWN"/>
    <x v="1"/>
  </r>
  <r>
    <n v="268243"/>
    <n v="25000"/>
    <x v="1"/>
    <x v="204"/>
    <x v="19"/>
    <s v="DELEGATE AGENCY"/>
    <s v="UNKNOWN"/>
    <x v="1"/>
  </r>
  <r>
    <n v="268244"/>
    <n v="30000"/>
    <x v="4"/>
    <x v="473"/>
    <x v="19"/>
    <s v="DELEGATE AGENCY"/>
    <s v="UNKNOWN"/>
    <x v="1"/>
  </r>
  <r>
    <n v="268245"/>
    <n v="85000"/>
    <x v="4"/>
    <x v="222"/>
    <x v="19"/>
    <s v="DELEGATE AGENCY"/>
    <s v="UNKNOWN"/>
    <x v="1"/>
  </r>
  <r>
    <n v="268246"/>
    <n v="40000"/>
    <x v="1"/>
    <x v="222"/>
    <x v="19"/>
    <s v="DELEGATE AGENCY"/>
    <s v="UNKNOWN"/>
    <x v="1"/>
  </r>
  <r>
    <n v="268247"/>
    <n v="25000"/>
    <x v="4"/>
    <x v="222"/>
    <x v="19"/>
    <s v="DELEGATE AGENCY"/>
    <s v="UNKNOWN"/>
    <x v="1"/>
  </r>
  <r>
    <n v="268248"/>
    <n v="25000"/>
    <x v="4"/>
    <x v="204"/>
    <x v="19"/>
    <s v="DELEGATE AGENCY"/>
    <s v="UNKNOWN"/>
    <x v="1"/>
  </r>
  <r>
    <n v="268249"/>
    <n v="20000"/>
    <x v="4"/>
    <x v="959"/>
    <x v="19"/>
    <s v="DELEGATE AGENCY"/>
    <s v="UNKNOWN"/>
    <x v="1"/>
  </r>
  <r>
    <n v="268250"/>
    <n v="25000"/>
    <x v="4"/>
    <x v="984"/>
    <x v="19"/>
    <s v="DELEGATE AGENCY"/>
    <s v="UNKNOWN"/>
    <x v="1"/>
  </r>
  <r>
    <n v="268251"/>
    <n v="48402"/>
    <x v="4"/>
    <x v="1225"/>
    <x v="19"/>
    <s v="DELEGATE AGENCY"/>
    <s v="UNKNOWN"/>
    <x v="1"/>
  </r>
  <r>
    <n v="268252"/>
    <n v="25000"/>
    <x v="4"/>
    <x v="327"/>
    <x v="19"/>
    <s v="DELEGATE AGENCY"/>
    <s v="UNKNOWN"/>
    <x v="1"/>
  </r>
  <r>
    <n v="268253"/>
    <n v="50000"/>
    <x v="4"/>
    <x v="989"/>
    <x v="19"/>
    <s v="DELEGATE AGENCY"/>
    <s v="UNKNOWN"/>
    <x v="1"/>
  </r>
  <r>
    <n v="268254"/>
    <n v="40000"/>
    <x v="1"/>
    <x v="966"/>
    <x v="19"/>
    <s v="DELEGATE AGENCY"/>
    <s v="UNKNOWN"/>
    <x v="1"/>
  </r>
  <r>
    <n v="268256"/>
    <n v="40000"/>
    <x v="4"/>
    <x v="959"/>
    <x v="19"/>
    <s v="DELEGATE AGENCY"/>
    <s v="UNKNOWN"/>
    <x v="1"/>
  </r>
  <r>
    <n v="268257"/>
    <n v="20000"/>
    <x v="4"/>
    <x v="228"/>
    <x v="19"/>
    <s v="DELEGATE AGENCY"/>
    <s v="UNKNOWN"/>
    <x v="1"/>
  </r>
  <r>
    <n v="268261"/>
    <n v="36500"/>
    <x v="4"/>
    <x v="295"/>
    <x v="12"/>
    <s v="DELEGATE AGENCY"/>
    <s v="UNKNOWN"/>
    <x v="1"/>
  </r>
  <r>
    <n v="268262"/>
    <n v="108202.5"/>
    <x v="4"/>
    <x v="40"/>
    <x v="12"/>
    <s v="DELEGATE AGENCY"/>
    <s v="UNKNOWN"/>
    <x v="1"/>
  </r>
  <r>
    <n v="268271"/>
    <n v="50000"/>
    <x v="1"/>
    <x v="385"/>
    <x v="22"/>
    <s v="DELEGATE AGENCY"/>
    <s v="UNKNOWN"/>
    <x v="1"/>
  </r>
  <r>
    <n v="268272"/>
    <n v="9889983.1999999993"/>
    <x v="1"/>
    <x v="267"/>
    <x v="0"/>
    <s v="CONSTRUCTION-LARGE $3MILLIONorABOVE"/>
    <s v="BID"/>
    <x v="1"/>
  </r>
  <r>
    <n v="26835"/>
    <n v="26110307.5"/>
    <x v="0"/>
    <x v="1097"/>
    <x v="14"/>
    <s v="PRO SERV CONSULTING $250,000orABOVE"/>
    <s v="RFP"/>
    <x v="0"/>
  </r>
  <r>
    <n v="268426"/>
    <n v="521682.7"/>
    <x v="0"/>
    <x v="530"/>
    <x v="8"/>
    <s v="DELEGATE AGENCY"/>
    <s v="UNKNOWN"/>
    <x v="1"/>
  </r>
  <r>
    <n v="268427"/>
    <n v="412001.2"/>
    <x v="2"/>
    <x v="528"/>
    <x v="8"/>
    <s v="DELEGATE AGENCY"/>
    <s v="UNKNOWN"/>
    <x v="1"/>
  </r>
  <r>
    <n v="268428"/>
    <n v="183721.4"/>
    <x v="2"/>
    <x v="57"/>
    <x v="8"/>
    <s v="DELEGATE AGENCY"/>
    <s v="UNKNOWN"/>
    <x v="1"/>
  </r>
  <r>
    <n v="268437"/>
    <n v="9490"/>
    <x v="1"/>
    <x v="294"/>
    <x v="12"/>
    <s v="DELEGATE AGENCY"/>
    <s v="UNKNOWN"/>
    <x v="1"/>
  </r>
  <r>
    <n v="268438"/>
    <n v="262800"/>
    <x v="3"/>
    <x v="310"/>
    <x v="12"/>
    <s v="DELEGATE AGENCY"/>
    <s v="UNKNOWN"/>
    <x v="1"/>
  </r>
  <r>
    <n v="268440"/>
    <n v="175000"/>
    <x v="2"/>
    <x v="398"/>
    <x v="22"/>
    <s v="DELEGATE AGENCY"/>
    <s v="UNKNOWN"/>
    <x v="1"/>
  </r>
  <r>
    <n v="268447"/>
    <n v="50000"/>
    <x v="1"/>
    <x v="382"/>
    <x v="22"/>
    <s v="DELEGATE AGENCY"/>
    <s v="UNKNOWN"/>
    <x v="1"/>
  </r>
  <r>
    <n v="268448"/>
    <n v="49999.9"/>
    <x v="1"/>
    <x v="383"/>
    <x v="22"/>
    <s v="DELEGATE AGENCY"/>
    <s v="UNKNOWN"/>
    <x v="1"/>
  </r>
  <r>
    <n v="268449"/>
    <n v="120000"/>
    <x v="4"/>
    <x v="316"/>
    <x v="22"/>
    <s v="DELEGATE AGENCY"/>
    <s v="UNKNOWN"/>
    <x v="1"/>
  </r>
  <r>
    <n v="268450"/>
    <n v="50000"/>
    <x v="1"/>
    <x v="370"/>
    <x v="22"/>
    <s v="DELEGATE AGENCY"/>
    <s v="UNKNOWN"/>
    <x v="1"/>
  </r>
  <r>
    <n v="268451"/>
    <n v="50000"/>
    <x v="1"/>
    <x v="400"/>
    <x v="22"/>
    <s v="DELEGATE AGENCY"/>
    <s v="UNKNOWN"/>
    <x v="1"/>
  </r>
  <r>
    <n v="268452"/>
    <n v="190000"/>
    <x v="1"/>
    <x v="400"/>
    <x v="22"/>
    <s v="DELEGATE AGENCY"/>
    <s v="UNKNOWN"/>
    <x v="1"/>
  </r>
  <r>
    <n v="268453"/>
    <n v="40000"/>
    <x v="1"/>
    <x v="408"/>
    <x v="22"/>
    <s v="DELEGATE AGENCY"/>
    <s v="UNKNOWN"/>
    <x v="1"/>
  </r>
  <r>
    <n v="268454"/>
    <n v="120000"/>
    <x v="4"/>
    <x v="408"/>
    <x v="22"/>
    <s v="DELEGATE AGENCY"/>
    <s v="UNKNOWN"/>
    <x v="1"/>
  </r>
  <r>
    <n v="268460"/>
    <n v="32850"/>
    <x v="1"/>
    <x v="321"/>
    <x v="12"/>
    <s v="DELEGATE AGENCY"/>
    <s v="UNKNOWN"/>
    <x v="1"/>
  </r>
  <r>
    <n v="268467"/>
    <n v="61232.5"/>
    <x v="4"/>
    <x v="114"/>
    <x v="12"/>
    <s v="DELEGATE AGENCY"/>
    <s v="UNKNOWN"/>
    <x v="1"/>
  </r>
  <r>
    <n v="268500"/>
    <n v="237500"/>
    <x v="1"/>
    <x v="178"/>
    <x v="13"/>
    <s v="COMMODITIES-SMALL ORDERS"/>
    <s v="BID"/>
    <x v="1"/>
  </r>
  <r>
    <n v="268532"/>
    <n v="45290.7"/>
    <x v="1"/>
    <x v="300"/>
    <x v="12"/>
    <s v="DELEGATE AGENCY"/>
    <s v="UNKNOWN"/>
    <x v="1"/>
  </r>
  <r>
    <n v="268546"/>
    <n v="396988.3"/>
    <x v="4"/>
    <x v="169"/>
    <x v="12"/>
    <s v="DELEGATE AGENCY"/>
    <s v="UNKNOWN"/>
    <x v="1"/>
  </r>
  <r>
    <n v="268550"/>
    <n v="362926.1"/>
    <x v="2"/>
    <x v="315"/>
    <x v="12"/>
    <s v="DELEGATE AGENCY"/>
    <s v="UNKNOWN"/>
    <x v="1"/>
  </r>
  <r>
    <n v="268551"/>
    <n v="56703.4"/>
    <x v="2"/>
    <x v="26"/>
    <x v="8"/>
    <s v="DELEGATE AGENCY"/>
    <s v="UNKNOWN"/>
    <x v="1"/>
  </r>
  <r>
    <n v="268553"/>
    <n v="99038.8"/>
    <x v="1"/>
    <x v="201"/>
    <x v="8"/>
    <s v="DELEGATE AGENCY"/>
    <s v="UNKNOWN"/>
    <x v="1"/>
  </r>
  <r>
    <n v="268632"/>
    <n v="20000"/>
    <x v="1"/>
    <x v="392"/>
    <x v="19"/>
    <s v="DELEGATE AGENCY"/>
    <s v="UNKNOWN"/>
    <x v="1"/>
  </r>
  <r>
    <n v="268635"/>
    <n v="30000"/>
    <x v="4"/>
    <x v="910"/>
    <x v="19"/>
    <s v="DELEGATE AGENCY"/>
    <s v="UNKNOWN"/>
    <x v="1"/>
  </r>
  <r>
    <n v="268636"/>
    <n v="81800"/>
    <x v="4"/>
    <x v="305"/>
    <x v="12"/>
    <s v="DELEGATE AGENCY"/>
    <s v="UNKNOWN"/>
    <x v="1"/>
  </r>
  <r>
    <n v="268637"/>
    <n v="549338"/>
    <x v="1"/>
    <x v="305"/>
    <x v="12"/>
    <s v="DELEGATE AGENCY"/>
    <s v="UNKNOWN"/>
    <x v="1"/>
  </r>
  <r>
    <n v="268638"/>
    <n v="108900"/>
    <x v="2"/>
    <x v="239"/>
    <x v="12"/>
    <s v="DELEGATE AGENCY"/>
    <s v="UNKNOWN"/>
    <x v="1"/>
  </r>
  <r>
    <n v="268639"/>
    <n v="7494.0999999999904"/>
    <x v="1"/>
    <x v="243"/>
    <x v="12"/>
    <s v="DELEGATE AGENCY"/>
    <s v="UNKNOWN"/>
    <x v="1"/>
  </r>
  <r>
    <n v="268640"/>
    <n v="398008"/>
    <x v="3"/>
    <x v="284"/>
    <x v="12"/>
    <s v="DELEGATE AGENCY"/>
    <s v="UNKNOWN"/>
    <x v="1"/>
  </r>
  <r>
    <n v="268641"/>
    <n v="513258"/>
    <x v="2"/>
    <x v="24"/>
    <x v="12"/>
    <s v="DELEGATE AGENCY"/>
    <s v="UNKNOWN"/>
    <x v="1"/>
  </r>
  <r>
    <n v="268642"/>
    <n v="846002"/>
    <x v="2"/>
    <x v="284"/>
    <x v="12"/>
    <s v="DELEGATE AGENCY"/>
    <s v="UNKNOWN"/>
    <x v="1"/>
  </r>
  <r>
    <n v="268643"/>
    <n v="231592"/>
    <x v="2"/>
    <x v="86"/>
    <x v="12"/>
    <s v="DELEGATE AGENCY"/>
    <s v="UNKNOWN"/>
    <x v="1"/>
  </r>
  <r>
    <n v="268644"/>
    <n v="374721.6"/>
    <x v="1"/>
    <x v="25"/>
    <x v="12"/>
    <s v="DELEGATE AGENCY"/>
    <s v="UNKNOWN"/>
    <x v="1"/>
  </r>
  <r>
    <n v="268645"/>
    <n v="30000"/>
    <x v="2"/>
    <x v="910"/>
    <x v="19"/>
    <s v="DELEGATE AGENCY"/>
    <s v="UNKNOWN"/>
    <x v="1"/>
  </r>
  <r>
    <n v="268646"/>
    <n v="55000"/>
    <x v="4"/>
    <x v="686"/>
    <x v="19"/>
    <s v="DELEGATE AGENCY"/>
    <s v="UNKNOWN"/>
    <x v="1"/>
  </r>
  <r>
    <n v="268648"/>
    <n v="20000"/>
    <x v="1"/>
    <x v="964"/>
    <x v="19"/>
    <s v="DELEGATE AGENCY"/>
    <s v="UNKNOWN"/>
    <x v="1"/>
  </r>
  <r>
    <n v="268663"/>
    <n v="49765.5"/>
    <x v="4"/>
    <x v="213"/>
    <x v="12"/>
    <s v="DELEGATE AGENCY"/>
    <s v="UNKNOWN"/>
    <x v="1"/>
  </r>
  <r>
    <n v="268664"/>
    <n v="12512500"/>
    <x v="4"/>
    <x v="447"/>
    <x v="12"/>
    <s v="DELEGATE AGENCY"/>
    <s v="UNKNOWN"/>
    <x v="1"/>
  </r>
  <r>
    <n v="268665"/>
    <n v="261253.2"/>
    <x v="0"/>
    <x v="169"/>
    <x v="12"/>
    <s v="DELEGATE AGENCY"/>
    <s v="UNKNOWN"/>
    <x v="1"/>
  </r>
  <r>
    <n v="268707"/>
    <n v="575000"/>
    <x v="2"/>
    <x v="25"/>
    <x v="8"/>
    <s v="DELEGATE AGENCY"/>
    <s v="RFP"/>
    <x v="1"/>
  </r>
  <r>
    <n v="268708"/>
    <n v="575000"/>
    <x v="2"/>
    <x v="46"/>
    <x v="8"/>
    <s v="DELEGATE AGENCY"/>
    <s v="RFP"/>
    <x v="1"/>
  </r>
  <r>
    <n v="268709"/>
    <n v="499000"/>
    <x v="2"/>
    <x v="1867"/>
    <x v="8"/>
    <s v="DELEGATE AGENCY"/>
    <s v="RFP"/>
    <x v="1"/>
  </r>
  <r>
    <n v="268710"/>
    <n v="575000"/>
    <x v="2"/>
    <x v="1792"/>
    <x v="8"/>
    <s v="DELEGATE AGENCY"/>
    <s v="RFP"/>
    <x v="1"/>
  </r>
  <r>
    <n v="268711"/>
    <n v="650000"/>
    <x v="2"/>
    <x v="212"/>
    <x v="8"/>
    <s v="DELEGATE AGENCY"/>
    <s v="RFP"/>
    <x v="1"/>
  </r>
  <r>
    <n v="268712"/>
    <n v="475000"/>
    <x v="2"/>
    <x v="188"/>
    <x v="8"/>
    <s v="DELEGATE AGENCY"/>
    <s v="RFP"/>
    <x v="1"/>
  </r>
  <r>
    <n v="268713"/>
    <n v="500000"/>
    <x v="2"/>
    <x v="24"/>
    <x v="8"/>
    <s v="DELEGATE AGENCY"/>
    <s v="RFP"/>
    <x v="1"/>
  </r>
  <r>
    <n v="268717"/>
    <n v="1731079"/>
    <x v="2"/>
    <x v="85"/>
    <x v="12"/>
    <s v="DELEGATE AGENCY"/>
    <s v="UNKNOWN"/>
    <x v="1"/>
  </r>
  <r>
    <n v="268835"/>
    <n v="1599148.4"/>
    <x v="0"/>
    <x v="1868"/>
    <x v="1"/>
    <s v="PROPERTY LEASE"/>
    <s v="UNKNOWN"/>
    <x v="1"/>
  </r>
  <r>
    <n v="268863"/>
    <n v="33980"/>
    <x v="0"/>
    <x v="294"/>
    <x v="12"/>
    <s v="DELEGATE AGENCY"/>
    <s v="UNKNOWN"/>
    <x v="1"/>
  </r>
  <r>
    <n v="268864"/>
    <n v="112500"/>
    <x v="4"/>
    <x v="294"/>
    <x v="12"/>
    <s v="DELEGATE AGENCY"/>
    <s v="UNKNOWN"/>
    <x v="1"/>
  </r>
  <r>
    <n v="268865"/>
    <n v="257600"/>
    <x v="1"/>
    <x v="503"/>
    <x v="12"/>
    <s v="DELEGATE AGENCY"/>
    <s v="UNKNOWN"/>
    <x v="1"/>
  </r>
  <r>
    <n v="268929"/>
    <n v="8943.5"/>
    <x v="2"/>
    <x v="73"/>
    <x v="12"/>
    <s v="DELEGATE AGENCY"/>
    <s v="UNKNOWN"/>
    <x v="1"/>
  </r>
  <r>
    <n v="268930"/>
    <n v="300367"/>
    <x v="3"/>
    <x v="217"/>
    <x v="12"/>
    <s v="DELEGATE AGENCY"/>
    <s v="UNKNOWN"/>
    <x v="1"/>
  </r>
  <r>
    <n v="268931"/>
    <n v="948890"/>
    <x v="2"/>
    <x v="217"/>
    <x v="12"/>
    <s v="DELEGATE AGENCY"/>
    <s v="UNKNOWN"/>
    <x v="1"/>
  </r>
  <r>
    <n v="268932"/>
    <n v="100000"/>
    <x v="2"/>
    <x v="90"/>
    <x v="12"/>
    <s v="DELEGATE AGENCY"/>
    <s v="UNKNOWN"/>
    <x v="1"/>
  </r>
  <r>
    <n v="268933"/>
    <n v="216352.6"/>
    <x v="1"/>
    <x v="198"/>
    <x v="12"/>
    <s v="DELEGATE AGENCY"/>
    <s v="UNKNOWN"/>
    <x v="1"/>
  </r>
  <r>
    <n v="268934"/>
    <n v="80750"/>
    <x v="1"/>
    <x v="310"/>
    <x v="12"/>
    <s v="DELEGATE AGENCY"/>
    <s v="UNKNOWN"/>
    <x v="1"/>
  </r>
  <r>
    <n v="268935"/>
    <n v="34500"/>
    <x v="1"/>
    <x v="604"/>
    <x v="12"/>
    <s v="DELEGATE AGENCY"/>
    <s v="UNKNOWN"/>
    <x v="1"/>
  </r>
  <r>
    <n v="268936"/>
    <n v="34500"/>
    <x v="4"/>
    <x v="681"/>
    <x v="12"/>
    <s v="DELEGATE AGENCY"/>
    <s v="UNKNOWN"/>
    <x v="1"/>
  </r>
  <r>
    <n v="268939"/>
    <n v="46370"/>
    <x v="4"/>
    <x v="217"/>
    <x v="12"/>
    <s v="DELEGATE AGENCY"/>
    <s v="UNKNOWN"/>
    <x v="1"/>
  </r>
  <r>
    <n v="268940"/>
    <n v="33723.599999999999"/>
    <x v="4"/>
    <x v="243"/>
    <x v="12"/>
    <s v="DELEGATE AGENCY"/>
    <s v="UNKNOWN"/>
    <x v="1"/>
  </r>
  <r>
    <n v="268941"/>
    <n v="185480"/>
    <x v="4"/>
    <x v="217"/>
    <x v="12"/>
    <s v="DELEGATE AGENCY"/>
    <s v="UNKNOWN"/>
    <x v="1"/>
  </r>
  <r>
    <n v="268942"/>
    <n v="108000"/>
    <x v="1"/>
    <x v="243"/>
    <x v="12"/>
    <s v="DELEGATE AGENCY"/>
    <s v="UNKNOWN"/>
    <x v="1"/>
  </r>
  <r>
    <n v="268943"/>
    <n v="77376"/>
    <x v="1"/>
    <x v="198"/>
    <x v="12"/>
    <s v="DELEGATE AGENCY"/>
    <s v="UNKNOWN"/>
    <x v="1"/>
  </r>
  <r>
    <n v="268944"/>
    <n v="111101.1"/>
    <x v="1"/>
    <x v="198"/>
    <x v="12"/>
    <s v="DELEGATE AGENCY"/>
    <s v="UNKNOWN"/>
    <x v="1"/>
  </r>
  <r>
    <n v="268946"/>
    <n v="83637"/>
    <x v="1"/>
    <x v="219"/>
    <x v="2"/>
    <s v="DELEGATE AGENCY"/>
    <s v="UNKNOWN"/>
    <x v="1"/>
  </r>
  <r>
    <n v="268947"/>
    <n v="108210"/>
    <x v="1"/>
    <x v="381"/>
    <x v="2"/>
    <s v="DELEGATE AGENCY"/>
    <s v="UNKNOWN"/>
    <x v="1"/>
  </r>
  <r>
    <n v="268950"/>
    <n v="122520"/>
    <x v="1"/>
    <x v="310"/>
    <x v="12"/>
    <s v="DELEGATE AGENCY"/>
    <s v="UNKNOWN"/>
    <x v="1"/>
  </r>
  <r>
    <n v="268951"/>
    <n v="271585.90000000002"/>
    <x v="1"/>
    <x v="312"/>
    <x v="12"/>
    <s v="DELEGATE AGENCY"/>
    <s v="UNKNOWN"/>
    <x v="1"/>
  </r>
  <r>
    <n v="268952"/>
    <n v="69000"/>
    <x v="2"/>
    <x v="610"/>
    <x v="12"/>
    <s v="DELEGATE AGENCY"/>
    <s v="UNKNOWN"/>
    <x v="1"/>
  </r>
  <r>
    <n v="268953"/>
    <n v="69000"/>
    <x v="1"/>
    <x v="445"/>
    <x v="12"/>
    <s v="DELEGATE AGENCY"/>
    <s v="UNKNOWN"/>
    <x v="1"/>
  </r>
  <r>
    <n v="268954"/>
    <n v="100000"/>
    <x v="1"/>
    <x v="175"/>
    <x v="12"/>
    <s v="DELEGATE AGENCY"/>
    <s v="UNKNOWN"/>
    <x v="1"/>
  </r>
  <r>
    <n v="268955"/>
    <n v="34500"/>
    <x v="1"/>
    <x v="692"/>
    <x v="12"/>
    <s v="DELEGATE AGENCY"/>
    <s v="UNKNOWN"/>
    <x v="1"/>
  </r>
  <r>
    <n v="268992"/>
    <n v="426420"/>
    <x v="4"/>
    <x v="605"/>
    <x v="12"/>
    <s v="DELEGATE AGENCY"/>
    <s v="UNKNOWN"/>
    <x v="1"/>
  </r>
  <r>
    <n v="269002"/>
    <n v="357000"/>
    <x v="2"/>
    <x v="503"/>
    <x v="12"/>
    <s v="DELEGATE AGENCY"/>
    <s v="UNKNOWN"/>
    <x v="1"/>
  </r>
  <r>
    <n v="269052"/>
    <n v="55000"/>
    <x v="2"/>
    <x v="910"/>
    <x v="19"/>
    <s v="DELEGATE AGENCY"/>
    <s v="UNKNOWN"/>
    <x v="1"/>
  </r>
  <r>
    <n v="269055"/>
    <n v="25000"/>
    <x v="1"/>
    <x v="204"/>
    <x v="19"/>
    <s v="DELEGATE AGENCY"/>
    <s v="UNKNOWN"/>
    <x v="1"/>
  </r>
  <r>
    <n v="269057"/>
    <n v="20000"/>
    <x v="4"/>
    <x v="221"/>
    <x v="19"/>
    <s v="DELEGATE AGENCY"/>
    <s v="UNKNOWN"/>
    <x v="1"/>
  </r>
  <r>
    <n v="269058"/>
    <n v="85000"/>
    <x v="4"/>
    <x v="223"/>
    <x v="19"/>
    <s v="DELEGATE AGENCY"/>
    <s v="UNKNOWN"/>
    <x v="1"/>
  </r>
  <r>
    <n v="26910"/>
    <n v="7273460.5"/>
    <x v="1"/>
    <x v="1869"/>
    <x v="13"/>
    <s v="WORK SERVICES / FACILITIES MAINT."/>
    <s v="REFERENCE CONTRACT"/>
    <x v="0"/>
  </r>
  <r>
    <n v="269138"/>
    <n v="785000"/>
    <x v="0"/>
    <x v="156"/>
    <x v="20"/>
    <s v="COMPTROLLER-OTHER"/>
    <s v="UNKNOWN"/>
    <x v="1"/>
  </r>
  <r>
    <n v="269144"/>
    <n v="100000"/>
    <x v="2"/>
    <x v="751"/>
    <x v="20"/>
    <s v="COMPTROLLER-OTHER"/>
    <s v="UNKNOWN"/>
    <x v="1"/>
  </r>
  <r>
    <n v="269153"/>
    <n v="165674.29999999999"/>
    <x v="1"/>
    <x v="204"/>
    <x v="8"/>
    <s v="DELEGATE AGENCY"/>
    <s v="UNKNOWN"/>
    <x v="1"/>
  </r>
  <r>
    <n v="269154"/>
    <n v="38897"/>
    <x v="1"/>
    <x v="37"/>
    <x v="8"/>
    <s v="DELEGATE AGENCY"/>
    <s v="UNKNOWN"/>
    <x v="1"/>
  </r>
  <r>
    <n v="269155"/>
    <n v="86043.7"/>
    <x v="4"/>
    <x v="40"/>
    <x v="8"/>
    <s v="DELEGATE AGENCY"/>
    <s v="UNKNOWN"/>
    <x v="1"/>
  </r>
  <r>
    <n v="269167"/>
    <n v="62280"/>
    <x v="1"/>
    <x v="325"/>
    <x v="22"/>
    <s v="DELEGATE AGENCY"/>
    <s v="UNKNOWN"/>
    <x v="1"/>
  </r>
  <r>
    <n v="269168"/>
    <n v="40302"/>
    <x v="1"/>
    <x v="380"/>
    <x v="2"/>
    <s v="DELEGATE AGENCY"/>
    <s v="UNKNOWN"/>
    <x v="1"/>
  </r>
  <r>
    <n v="269169"/>
    <n v="50000"/>
    <x v="4"/>
    <x v="311"/>
    <x v="22"/>
    <s v="DELEGATE AGENCY"/>
    <s v="UNKNOWN"/>
    <x v="1"/>
  </r>
  <r>
    <n v="269170"/>
    <n v="90000"/>
    <x v="1"/>
    <x v="1139"/>
    <x v="22"/>
    <s v="DELEGATE AGENCY"/>
    <s v="UNKNOWN"/>
    <x v="1"/>
  </r>
  <r>
    <n v="269171"/>
    <n v="48133.2"/>
    <x v="1"/>
    <x v="384"/>
    <x v="22"/>
    <s v="DELEGATE AGENCY"/>
    <s v="UNKNOWN"/>
    <x v="1"/>
  </r>
  <r>
    <n v="269251"/>
    <n v="9321311.9000000004"/>
    <x v="4"/>
    <x v="558"/>
    <x v="12"/>
    <s v="DELEGATE AGENCY"/>
    <s v="UNKNOWN"/>
    <x v="1"/>
  </r>
  <r>
    <n v="269361"/>
    <n v="195000"/>
    <x v="0"/>
    <x v="400"/>
    <x v="22"/>
    <s v="DELEGATE AGENCY"/>
    <s v="UNKNOWN"/>
    <x v="1"/>
  </r>
  <r>
    <n v="269362"/>
    <n v="95184"/>
    <x v="1"/>
    <x v="1042"/>
    <x v="22"/>
    <s v="DELEGATE AGENCY"/>
    <s v="UNKNOWN"/>
    <x v="1"/>
  </r>
  <r>
    <n v="26939"/>
    <n v="1880000"/>
    <x v="1"/>
    <x v="1870"/>
    <x v="9"/>
    <s v="COMPTROLLER-OTHER"/>
    <s v="UNKNOWN"/>
    <x v="0"/>
  </r>
  <r>
    <n v="269399"/>
    <n v="1915845"/>
    <x v="0"/>
    <x v="454"/>
    <x v="2"/>
    <s v="DELEGATE AGENCY"/>
    <s v="RFP"/>
    <x v="1"/>
  </r>
  <r>
    <n v="269480"/>
    <n v="195020.4"/>
    <x v="0"/>
    <x v="59"/>
    <x v="8"/>
    <s v="DELEGATE AGENCY"/>
    <s v="UNKNOWN"/>
    <x v="1"/>
  </r>
  <r>
    <n v="269481"/>
    <n v="230375.5"/>
    <x v="1"/>
    <x v="168"/>
    <x v="8"/>
    <s v="DELEGATE AGENCY"/>
    <s v="UNKNOWN"/>
    <x v="1"/>
  </r>
  <r>
    <n v="269482"/>
    <n v="226162.7"/>
    <x v="1"/>
    <x v="168"/>
    <x v="8"/>
    <s v="DELEGATE AGENCY"/>
    <s v="UNKNOWN"/>
    <x v="1"/>
  </r>
  <r>
    <n v="269483"/>
    <n v="179882.4"/>
    <x v="1"/>
    <x v="167"/>
    <x v="8"/>
    <s v="DELEGATE AGENCY"/>
    <s v="UNKNOWN"/>
    <x v="1"/>
  </r>
  <r>
    <n v="269484"/>
    <n v="144392.79999999999"/>
    <x v="1"/>
    <x v="167"/>
    <x v="8"/>
    <s v="DELEGATE AGENCY"/>
    <s v="UNKNOWN"/>
    <x v="1"/>
  </r>
  <r>
    <n v="269485"/>
    <n v="8331401.2999999998"/>
    <x v="1"/>
    <x v="114"/>
    <x v="8"/>
    <s v="DELEGATE AGENCY"/>
    <s v="UNKNOWN"/>
    <x v="1"/>
  </r>
  <r>
    <n v="269486"/>
    <n v="134166.20000000001"/>
    <x v="0"/>
    <x v="19"/>
    <x v="8"/>
    <s v="DELEGATE AGENCY"/>
    <s v="UNKNOWN"/>
    <x v="1"/>
  </r>
  <r>
    <n v="269504"/>
    <n v="187913.8"/>
    <x v="1"/>
    <x v="464"/>
    <x v="8"/>
    <s v="DELEGATE AGENCY"/>
    <s v="UNKNOWN"/>
    <x v="1"/>
  </r>
  <r>
    <n v="269505"/>
    <n v="169691"/>
    <x v="1"/>
    <x v="26"/>
    <x v="8"/>
    <s v="DELEGATE AGENCY"/>
    <s v="UNKNOWN"/>
    <x v="1"/>
  </r>
  <r>
    <n v="26951"/>
    <n v="97507"/>
    <x v="1"/>
    <x v="509"/>
    <x v="0"/>
    <s v="ARCH/ENGINEERING"/>
    <s v="RFP"/>
    <x v="0"/>
  </r>
  <r>
    <n v="269568"/>
    <n v="1740000"/>
    <x v="1"/>
    <x v="1871"/>
    <x v="12"/>
    <s v="DELEGATE AGENCY"/>
    <s v="UNKNOWN"/>
    <x v="1"/>
  </r>
  <r>
    <n v="269569"/>
    <n v="1860000"/>
    <x v="0"/>
    <x v="1871"/>
    <x v="12"/>
    <s v="DELEGATE AGENCY"/>
    <s v="UNKNOWN"/>
    <x v="1"/>
  </r>
  <r>
    <n v="269570"/>
    <n v="450000"/>
    <x v="0"/>
    <x v="1871"/>
    <x v="12"/>
    <s v="DELEGATE AGENCY"/>
    <s v="UNKNOWN"/>
    <x v="1"/>
  </r>
  <r>
    <n v="269573"/>
    <n v="17860"/>
    <x v="2"/>
    <x v="1872"/>
    <x v="20"/>
    <s v="COMPTROLLER-OTHER"/>
    <s v="UNKNOWN"/>
    <x v="1"/>
  </r>
  <r>
    <n v="269574"/>
    <n v="20000"/>
    <x v="4"/>
    <x v="1117"/>
    <x v="20"/>
    <s v="COMPTROLLER-OTHER"/>
    <s v="UNKNOWN"/>
    <x v="1"/>
  </r>
  <r>
    <n v="269725"/>
    <n v="222000"/>
    <x v="4"/>
    <x v="604"/>
    <x v="12"/>
    <s v="DELEGATE AGENCY"/>
    <s v="UNKNOWN"/>
    <x v="1"/>
  </r>
  <r>
    <n v="269726"/>
    <n v="222000"/>
    <x v="1"/>
    <x v="202"/>
    <x v="12"/>
    <s v="DELEGATE AGENCY"/>
    <s v="UNKNOWN"/>
    <x v="1"/>
  </r>
  <r>
    <n v="269727"/>
    <n v="222000"/>
    <x v="1"/>
    <x v="1789"/>
    <x v="12"/>
    <s v="DELEGATE AGENCY"/>
    <s v="UNKNOWN"/>
    <x v="1"/>
  </r>
  <r>
    <n v="269728"/>
    <n v="222000"/>
    <x v="1"/>
    <x v="317"/>
    <x v="12"/>
    <s v="DELEGATE AGENCY"/>
    <s v="UNKNOWN"/>
    <x v="1"/>
  </r>
  <r>
    <n v="269729"/>
    <n v="81800"/>
    <x v="1"/>
    <x v="84"/>
    <x v="12"/>
    <s v="DELEGATE AGENCY"/>
    <s v="UNKNOWN"/>
    <x v="1"/>
  </r>
  <r>
    <n v="269730"/>
    <n v="361350"/>
    <x v="1"/>
    <x v="321"/>
    <x v="12"/>
    <s v="DELEGATE AGENCY"/>
    <s v="UNKNOWN"/>
    <x v="1"/>
  </r>
  <r>
    <n v="269731"/>
    <n v="104882.8"/>
    <x v="2"/>
    <x v="76"/>
    <x v="12"/>
    <s v="DELEGATE AGENCY"/>
    <s v="UNKNOWN"/>
    <x v="1"/>
  </r>
  <r>
    <n v="269732"/>
    <n v="349781"/>
    <x v="1"/>
    <x v="76"/>
    <x v="12"/>
    <s v="DELEGATE AGENCY"/>
    <s v="UNKNOWN"/>
    <x v="1"/>
  </r>
  <r>
    <n v="269733"/>
    <n v="122241"/>
    <x v="2"/>
    <x v="175"/>
    <x v="12"/>
    <s v="DELEGATE AGENCY"/>
    <s v="UNKNOWN"/>
    <x v="1"/>
  </r>
  <r>
    <n v="269762"/>
    <n v="283232.2"/>
    <x v="1"/>
    <x v="19"/>
    <x v="8"/>
    <s v="DELEGATE AGENCY"/>
    <s v="UNKNOWN"/>
    <x v="1"/>
  </r>
  <r>
    <n v="269763"/>
    <n v="9134450"/>
    <x v="2"/>
    <x v="9"/>
    <x v="3"/>
    <s v="VEHICLES/HEAVY EQUIPMENT (CAPITAL)"/>
    <s v="BID"/>
    <x v="1"/>
  </r>
  <r>
    <n v="269764"/>
    <n v="247070"/>
    <x v="0"/>
    <x v="165"/>
    <x v="8"/>
    <s v="DELEGATE AGENCY"/>
    <s v="UNKNOWN"/>
    <x v="1"/>
  </r>
  <r>
    <n v="269766"/>
    <n v="147674.5"/>
    <x v="1"/>
    <x v="25"/>
    <x v="8"/>
    <s v="DELEGATE AGENCY"/>
    <s v="UNKNOWN"/>
    <x v="1"/>
  </r>
  <r>
    <n v="269767"/>
    <n v="227763"/>
    <x v="1"/>
    <x v="298"/>
    <x v="8"/>
    <s v="DELEGATE AGENCY"/>
    <s v="UNKNOWN"/>
    <x v="1"/>
  </r>
  <r>
    <n v="269768"/>
    <n v="168659"/>
    <x v="1"/>
    <x v="204"/>
    <x v="8"/>
    <s v="DELEGATE AGENCY"/>
    <s v="UNKNOWN"/>
    <x v="1"/>
  </r>
  <r>
    <n v="269769"/>
    <n v="131682"/>
    <x v="1"/>
    <x v="313"/>
    <x v="8"/>
    <s v="DELEGATE AGENCY"/>
    <s v="UNKNOWN"/>
    <x v="1"/>
  </r>
  <r>
    <n v="269770"/>
    <n v="250242.7"/>
    <x v="1"/>
    <x v="214"/>
    <x v="8"/>
    <s v="DELEGATE AGENCY"/>
    <s v="UNKNOWN"/>
    <x v="1"/>
  </r>
  <r>
    <n v="269852"/>
    <n v="35700.400000000001"/>
    <x v="2"/>
    <x v="307"/>
    <x v="12"/>
    <s v="DELEGATE AGENCY"/>
    <s v="UNKNOWN"/>
    <x v="1"/>
  </r>
  <r>
    <n v="269853"/>
    <n v="46666"/>
    <x v="4"/>
    <x v="40"/>
    <x v="12"/>
    <s v="DELEGATE AGENCY"/>
    <s v="UNKNOWN"/>
    <x v="1"/>
  </r>
  <r>
    <n v="269854"/>
    <n v="36359.300000000003"/>
    <x v="4"/>
    <x v="305"/>
    <x v="12"/>
    <s v="DELEGATE AGENCY"/>
    <s v="UNKNOWN"/>
    <x v="1"/>
  </r>
  <r>
    <n v="269855"/>
    <n v="116374.6"/>
    <x v="4"/>
    <x v="293"/>
    <x v="12"/>
    <s v="DELEGATE AGENCY"/>
    <s v="UNKNOWN"/>
    <x v="1"/>
  </r>
  <r>
    <n v="269856"/>
    <n v="170454.7"/>
    <x v="1"/>
    <x v="76"/>
    <x v="12"/>
    <s v="DELEGATE AGENCY"/>
    <s v="UNKNOWN"/>
    <x v="1"/>
  </r>
  <r>
    <n v="269857"/>
    <n v="121000"/>
    <x v="1"/>
    <x v="319"/>
    <x v="12"/>
    <s v="DELEGATE AGENCY"/>
    <s v="UNKNOWN"/>
    <x v="1"/>
  </r>
  <r>
    <n v="269858"/>
    <n v="11680"/>
    <x v="1"/>
    <x v="211"/>
    <x v="12"/>
    <s v="DELEGATE AGENCY"/>
    <s v="UNKNOWN"/>
    <x v="1"/>
  </r>
  <r>
    <n v="269859"/>
    <n v="15442.1"/>
    <x v="4"/>
    <x v="310"/>
    <x v="12"/>
    <s v="DELEGATE AGENCY"/>
    <s v="UNKNOWN"/>
    <x v="1"/>
  </r>
  <r>
    <n v="269860"/>
    <n v="112500"/>
    <x v="4"/>
    <x v="114"/>
    <x v="12"/>
    <s v="DELEGATE AGENCY"/>
    <s v="UNKNOWN"/>
    <x v="1"/>
  </r>
  <r>
    <n v="269861"/>
    <n v="222000"/>
    <x v="1"/>
    <x v="1788"/>
    <x v="12"/>
    <s v="DELEGATE AGENCY"/>
    <s v="UNKNOWN"/>
    <x v="1"/>
  </r>
  <r>
    <n v="269862"/>
    <n v="222000"/>
    <x v="1"/>
    <x v="73"/>
    <x v="12"/>
    <s v="DELEGATE AGENCY"/>
    <s v="UNKNOWN"/>
    <x v="1"/>
  </r>
  <r>
    <n v="269863"/>
    <n v="31404"/>
    <x v="1"/>
    <x v="336"/>
    <x v="12"/>
    <s v="DELEGATE AGENCY"/>
    <s v="UNKNOWN"/>
    <x v="1"/>
  </r>
  <r>
    <n v="269864"/>
    <n v="222000"/>
    <x v="4"/>
    <x v="73"/>
    <x v="12"/>
    <s v="DELEGATE AGENCY"/>
    <s v="UNKNOWN"/>
    <x v="1"/>
  </r>
  <r>
    <n v="269865"/>
    <n v="127118.9"/>
    <x v="1"/>
    <x v="313"/>
    <x v="12"/>
    <s v="DELEGATE AGENCY"/>
    <s v="UNKNOWN"/>
    <x v="1"/>
  </r>
  <r>
    <n v="269916"/>
    <n v="2241940"/>
    <x v="1"/>
    <x v="163"/>
    <x v="0"/>
    <s v="WORK SERVICES / FACILITIES MAINT."/>
    <s v="BID"/>
    <x v="1"/>
  </r>
  <r>
    <n v="269948"/>
    <n v="30483.4"/>
    <x v="0"/>
    <x v="169"/>
    <x v="8"/>
    <s v="DELEGATE AGENCY"/>
    <s v="UNKNOWN"/>
    <x v="1"/>
  </r>
  <r>
    <n v="270020"/>
    <n v="9183"/>
    <x v="4"/>
    <x v="42"/>
    <x v="8"/>
    <s v="DELEGATE AGENCY"/>
    <s v="UNKNOWN"/>
    <x v="1"/>
  </r>
  <r>
    <n v="270021"/>
    <n v="60000"/>
    <x v="3"/>
    <x v="40"/>
    <x v="8"/>
    <s v="DELEGATE AGENCY"/>
    <s v="UNKNOWN"/>
    <x v="1"/>
  </r>
  <r>
    <n v="270022"/>
    <n v="87631.8"/>
    <x v="1"/>
    <x v="25"/>
    <x v="8"/>
    <s v="DELEGATE AGENCY"/>
    <s v="UNKNOWN"/>
    <x v="1"/>
  </r>
  <r>
    <n v="270125"/>
    <n v="1000000"/>
    <x v="1"/>
    <x v="1873"/>
    <x v="0"/>
    <s v="WORK SERV-AVIATION"/>
    <s v="UNKNOWN"/>
    <x v="1"/>
  </r>
  <r>
    <n v="270136"/>
    <n v="9408000"/>
    <x v="0"/>
    <x v="1874"/>
    <x v="5"/>
    <s v="WORK SERVICES / FACILITIES MAINT."/>
    <s v="SOLE SOURCE"/>
    <x v="1"/>
  </r>
  <r>
    <n v="270150"/>
    <n v="120000"/>
    <x v="0"/>
    <x v="1109"/>
    <x v="22"/>
    <s v="DELEGATE AGENCY"/>
    <s v="UNKNOWN"/>
    <x v="1"/>
  </r>
  <r>
    <n v="270155"/>
    <n v="7078687.5"/>
    <x v="1"/>
    <x v="274"/>
    <x v="5"/>
    <s v="CONSTRUCTION-LARGE $3MILLIONorABOVE"/>
    <s v="BID"/>
    <x v="1"/>
  </r>
  <r>
    <n v="270166"/>
    <n v="1479.8"/>
    <x v="0"/>
    <x v="999"/>
    <x v="19"/>
    <s v="PRO SERV CONSULTING $250,000orABOVE"/>
    <s v="UNKNOWN"/>
    <x v="1"/>
  </r>
  <r>
    <n v="270187"/>
    <n v="229484"/>
    <x v="3"/>
    <x v="201"/>
    <x v="17"/>
    <s v="DELEGATE AGENCY"/>
    <s v="UNKNOWN"/>
    <x v="1"/>
  </r>
  <r>
    <n v="270229"/>
    <n v="17000000"/>
    <x v="1"/>
    <x v="1875"/>
    <x v="2"/>
    <s v="COMPTROLLER-OTHER"/>
    <s v="UNKNOWN"/>
    <x v="1"/>
  </r>
  <r>
    <n v="270291"/>
    <n v="498000"/>
    <x v="0"/>
    <x v="1876"/>
    <x v="11"/>
    <s v="WORK SERVICES / FACILITIES MAINT."/>
    <s v="BID"/>
    <x v="1"/>
  </r>
  <r>
    <n v="270292"/>
    <n v="1177500"/>
    <x v="2"/>
    <x v="16"/>
    <x v="13"/>
    <s v="COMMODITIES"/>
    <s v="BID"/>
    <x v="1"/>
  </r>
  <r>
    <n v="270331"/>
    <n v="333000"/>
    <x v="0"/>
    <x v="227"/>
    <x v="12"/>
    <s v="DELEGATE AGENCY"/>
    <s v="UNKNOWN"/>
    <x v="1"/>
  </r>
  <r>
    <n v="270332"/>
    <n v="222000"/>
    <x v="2"/>
    <x v="227"/>
    <x v="12"/>
    <s v="DELEGATE AGENCY"/>
    <s v="UNKNOWN"/>
    <x v="1"/>
  </r>
  <r>
    <n v="270333"/>
    <n v="222000"/>
    <x v="1"/>
    <x v="165"/>
    <x v="12"/>
    <s v="DELEGATE AGENCY"/>
    <s v="UNKNOWN"/>
    <x v="1"/>
  </r>
  <r>
    <n v="270334"/>
    <n v="222000"/>
    <x v="1"/>
    <x v="76"/>
    <x v="12"/>
    <s v="DELEGATE AGENCY"/>
    <s v="UNKNOWN"/>
    <x v="1"/>
  </r>
  <r>
    <n v="270335"/>
    <n v="19169"/>
    <x v="1"/>
    <x v="324"/>
    <x v="12"/>
    <s v="DELEGATE AGENCY"/>
    <s v="UNKNOWN"/>
    <x v="1"/>
  </r>
  <r>
    <n v="270336"/>
    <n v="250800"/>
    <x v="4"/>
    <x v="114"/>
    <x v="12"/>
    <s v="DELEGATE AGENCY"/>
    <s v="UNKNOWN"/>
    <x v="1"/>
  </r>
  <r>
    <n v="270337"/>
    <n v="222200"/>
    <x v="2"/>
    <x v="114"/>
    <x v="12"/>
    <s v="DELEGATE AGENCY"/>
    <s v="UNKNOWN"/>
    <x v="1"/>
  </r>
  <r>
    <n v="270338"/>
    <n v="222000"/>
    <x v="1"/>
    <x v="167"/>
    <x v="12"/>
    <s v="DELEGATE AGENCY"/>
    <s v="UNKNOWN"/>
    <x v="1"/>
  </r>
  <r>
    <n v="270339"/>
    <n v="283804.59999999998"/>
    <x v="1"/>
    <x v="367"/>
    <x v="12"/>
    <s v="DELEGATE AGENCY"/>
    <s v="UNKNOWN"/>
    <x v="1"/>
  </r>
  <r>
    <n v="270340"/>
    <n v="238992"/>
    <x v="2"/>
    <x v="446"/>
    <x v="12"/>
    <s v="DELEGATE AGENCY"/>
    <s v="UNKNOWN"/>
    <x v="1"/>
  </r>
  <r>
    <n v="270341"/>
    <n v="1038664.3"/>
    <x v="1"/>
    <x v="205"/>
    <x v="12"/>
    <s v="DELEGATE AGENCY"/>
    <s v="UNKNOWN"/>
    <x v="1"/>
  </r>
  <r>
    <n v="270342"/>
    <n v="142140"/>
    <x v="0"/>
    <x v="1009"/>
    <x v="12"/>
    <s v="DELEGATE AGENCY"/>
    <s v="UNKNOWN"/>
    <x v="1"/>
  </r>
  <r>
    <n v="270343"/>
    <n v="117949.7"/>
    <x v="1"/>
    <x v="1009"/>
    <x v="12"/>
    <s v="DELEGATE AGENCY"/>
    <s v="UNKNOWN"/>
    <x v="1"/>
  </r>
  <r>
    <n v="270344"/>
    <n v="227026.4"/>
    <x v="1"/>
    <x v="449"/>
    <x v="12"/>
    <s v="DELEGATE AGENCY"/>
    <s v="UNKNOWN"/>
    <x v="1"/>
  </r>
  <r>
    <n v="270345"/>
    <n v="103593.1"/>
    <x v="1"/>
    <x v="577"/>
    <x v="12"/>
    <s v="DELEGATE AGENCY"/>
    <s v="UNKNOWN"/>
    <x v="1"/>
  </r>
  <r>
    <n v="270346"/>
    <n v="206136.19999999899"/>
    <x v="1"/>
    <x v="120"/>
    <x v="12"/>
    <s v="DELEGATE AGENCY"/>
    <s v="UNKNOWN"/>
    <x v="1"/>
  </r>
  <r>
    <n v="270392"/>
    <n v="282891.5"/>
    <x v="1"/>
    <x v="1192"/>
    <x v="12"/>
    <s v="DELEGATE AGENCY"/>
    <s v="UNKNOWN"/>
    <x v="1"/>
  </r>
  <r>
    <n v="270566"/>
    <n v="5810000"/>
    <x v="2"/>
    <x v="1877"/>
    <x v="2"/>
    <s v="COMPTROLLER-OTHER"/>
    <s v="UNKNOWN"/>
    <x v="1"/>
  </r>
  <r>
    <n v="270569"/>
    <n v="250000"/>
    <x v="0"/>
    <x v="359"/>
    <x v="2"/>
    <s v="COMPTROLLER-OTHER"/>
    <s v="UNKNOWN"/>
    <x v="1"/>
  </r>
  <r>
    <n v="270571"/>
    <n v="10000000"/>
    <x v="2"/>
    <x v="156"/>
    <x v="2"/>
    <s v="COMPTROLLER-OTHER"/>
    <s v="UNKNOWN"/>
    <x v="1"/>
  </r>
  <r>
    <n v="270574"/>
    <n v="150000"/>
    <x v="0"/>
    <x v="1878"/>
    <x v="2"/>
    <s v="COMPTROLLER-OTHER"/>
    <s v="UNKNOWN"/>
    <x v="1"/>
  </r>
  <r>
    <n v="270578"/>
    <n v="250000"/>
    <x v="1"/>
    <x v="1879"/>
    <x v="2"/>
    <s v="COMPTROLLER-OTHER"/>
    <s v="UNKNOWN"/>
    <x v="1"/>
  </r>
  <r>
    <n v="270581"/>
    <n v="39500"/>
    <x v="2"/>
    <x v="197"/>
    <x v="2"/>
    <s v="COMPTROLLER-OTHER"/>
    <s v="UNKNOWN"/>
    <x v="1"/>
  </r>
  <r>
    <n v="270583"/>
    <n v="212721"/>
    <x v="4"/>
    <x v="1880"/>
    <x v="2"/>
    <s v="COMPTROLLER-OTHER"/>
    <s v="UNKNOWN"/>
    <x v="1"/>
  </r>
  <r>
    <n v="270585"/>
    <n v="13492500"/>
    <x v="1"/>
    <x v="1881"/>
    <x v="2"/>
    <s v="COMPTROLLER-OTHER"/>
    <s v="UNKNOWN"/>
    <x v="1"/>
  </r>
  <r>
    <n v="270586"/>
    <n v="2700000"/>
    <x v="0"/>
    <x v="303"/>
    <x v="2"/>
    <s v="COMPTROLLER-OTHER"/>
    <s v="UNKNOWN"/>
    <x v="1"/>
  </r>
  <r>
    <n v="270587"/>
    <n v="1599075"/>
    <x v="0"/>
    <x v="605"/>
    <x v="12"/>
    <s v="DELEGATE AGENCY"/>
    <s v="UNKNOWN"/>
    <x v="1"/>
  </r>
  <r>
    <n v="270591"/>
    <n v="50000"/>
    <x v="0"/>
    <x v="197"/>
    <x v="2"/>
    <s v="COMPTROLLER-OTHER"/>
    <s v="UNKNOWN"/>
    <x v="1"/>
  </r>
  <r>
    <n v="270592"/>
    <n v="600000"/>
    <x v="1"/>
    <x v="1882"/>
    <x v="2"/>
    <s v="COMPTROLLER-OTHER"/>
    <s v="UNKNOWN"/>
    <x v="1"/>
  </r>
  <r>
    <n v="270595"/>
    <n v="5313737"/>
    <x v="2"/>
    <x v="1882"/>
    <x v="2"/>
    <s v="COMPTROLLER-OTHER"/>
    <s v="UNKNOWN"/>
    <x v="1"/>
  </r>
  <r>
    <n v="270596"/>
    <n v="196229.2"/>
    <x v="0"/>
    <x v="128"/>
    <x v="12"/>
    <s v="DELEGATE AGENCY"/>
    <s v="UNKNOWN"/>
    <x v="1"/>
  </r>
  <r>
    <n v="270602"/>
    <n v="396883"/>
    <x v="1"/>
    <x v="341"/>
    <x v="12"/>
    <s v="DELEGATE AGENCY"/>
    <s v="UNKNOWN"/>
    <x v="1"/>
  </r>
  <r>
    <n v="270604"/>
    <n v="510425.59999999998"/>
    <x v="2"/>
    <x v="169"/>
    <x v="12"/>
    <s v="DELEGATE AGENCY"/>
    <s v="UNKNOWN"/>
    <x v="1"/>
  </r>
  <r>
    <n v="270606"/>
    <n v="1857504.4"/>
    <x v="2"/>
    <x v="199"/>
    <x v="12"/>
    <s v="DELEGATE AGENCY"/>
    <s v="UNKNOWN"/>
    <x v="1"/>
  </r>
  <r>
    <n v="270608"/>
    <n v="387305.5"/>
    <x v="0"/>
    <x v="73"/>
    <x v="12"/>
    <s v="DELEGATE AGENCY"/>
    <s v="UNKNOWN"/>
    <x v="1"/>
  </r>
  <r>
    <n v="270614"/>
    <n v="2160026.6"/>
    <x v="2"/>
    <x v="898"/>
    <x v="8"/>
    <s v="DELEGATE AGENCY"/>
    <s v="UNKNOWN"/>
    <x v="1"/>
  </r>
  <r>
    <n v="270617"/>
    <n v="45239"/>
    <x v="0"/>
    <x v="387"/>
    <x v="22"/>
    <s v="DELEGATE AGENCY"/>
    <s v="UNKNOWN"/>
    <x v="1"/>
  </r>
  <r>
    <n v="270619"/>
    <n v="66186"/>
    <x v="4"/>
    <x v="389"/>
    <x v="22"/>
    <s v="DELEGATE AGENCY"/>
    <s v="UNKNOWN"/>
    <x v="1"/>
  </r>
  <r>
    <n v="270621"/>
    <n v="54124.7"/>
    <x v="1"/>
    <x v="360"/>
    <x v="22"/>
    <s v="DELEGATE AGENCY"/>
    <s v="UNKNOWN"/>
    <x v="1"/>
  </r>
  <r>
    <n v="270622"/>
    <n v="258264.6"/>
    <x v="1"/>
    <x v="166"/>
    <x v="8"/>
    <s v="DELEGATE AGENCY"/>
    <s v="UNKNOWN"/>
    <x v="1"/>
  </r>
  <r>
    <n v="270624"/>
    <n v="52499.199999999997"/>
    <x v="2"/>
    <x v="216"/>
    <x v="22"/>
    <s v="DELEGATE AGENCY"/>
    <s v="UNKNOWN"/>
    <x v="1"/>
  </r>
  <r>
    <n v="270634"/>
    <n v="937140"/>
    <x v="1"/>
    <x v="1883"/>
    <x v="20"/>
    <s v="WORK SERVICES / FACILITIES MAINT."/>
    <s v="BID"/>
    <x v="2"/>
  </r>
  <r>
    <n v="270657"/>
    <n v="52955.9"/>
    <x v="2"/>
    <x v="228"/>
    <x v="22"/>
    <s v="DELEGATE AGENCY"/>
    <s v="UNKNOWN"/>
    <x v="1"/>
  </r>
  <r>
    <n v="270659"/>
    <n v="51277.2"/>
    <x v="1"/>
    <x v="213"/>
    <x v="22"/>
    <s v="DELEGATE AGENCY"/>
    <s v="UNKNOWN"/>
    <x v="1"/>
  </r>
  <r>
    <n v="270661"/>
    <n v="52500"/>
    <x v="1"/>
    <x v="383"/>
    <x v="22"/>
    <s v="DELEGATE AGENCY"/>
    <s v="UNKNOWN"/>
    <x v="1"/>
  </r>
  <r>
    <n v="270662"/>
    <n v="52341.4"/>
    <x v="1"/>
    <x v="382"/>
    <x v="22"/>
    <s v="DELEGATE AGENCY"/>
    <s v="UNKNOWN"/>
    <x v="1"/>
  </r>
  <r>
    <n v="270663"/>
    <n v="22168.2"/>
    <x v="1"/>
    <x v="114"/>
    <x v="22"/>
    <s v="DELEGATE AGENCY"/>
    <s v="UNKNOWN"/>
    <x v="1"/>
  </r>
  <r>
    <n v="270721"/>
    <n v="381559.5"/>
    <x v="4"/>
    <x v="45"/>
    <x v="8"/>
    <s v="DELEGATE AGENCY"/>
    <s v="UNKNOWN"/>
    <x v="1"/>
  </r>
  <r>
    <n v="270722"/>
    <n v="130515.6"/>
    <x v="2"/>
    <x v="328"/>
    <x v="8"/>
    <s v="DELEGATE AGENCY"/>
    <s v="UNKNOWN"/>
    <x v="1"/>
  </r>
  <r>
    <n v="270749"/>
    <n v="278325.59999999998"/>
    <x v="1"/>
    <x v="204"/>
    <x v="12"/>
    <s v="DELEGATE AGENCY"/>
    <s v="UNKNOWN"/>
    <x v="1"/>
  </r>
  <r>
    <n v="27075"/>
    <n v="65811988"/>
    <x v="2"/>
    <x v="1834"/>
    <x v="6"/>
    <s v="PRO SERV-AVIATION"/>
    <s v="RFP"/>
    <x v="0"/>
  </r>
  <r>
    <n v="270752"/>
    <n v="52500"/>
    <x v="0"/>
    <x v="385"/>
    <x v="22"/>
    <s v="DELEGATE AGENCY"/>
    <s v="UNKNOWN"/>
    <x v="1"/>
  </r>
  <r>
    <n v="270753"/>
    <n v="796007.6"/>
    <x v="1"/>
    <x v="399"/>
    <x v="22"/>
    <s v="DELEGATE AGENCY"/>
    <s v="UNKNOWN"/>
    <x v="1"/>
  </r>
  <r>
    <n v="270755"/>
    <n v="36024.800000000003"/>
    <x v="2"/>
    <x v="114"/>
    <x v="22"/>
    <s v="DELEGATE AGENCY"/>
    <s v="UNKNOWN"/>
    <x v="1"/>
  </r>
  <r>
    <n v="270756"/>
    <n v="52499.8"/>
    <x v="4"/>
    <x v="384"/>
    <x v="22"/>
    <s v="DELEGATE AGENCY"/>
    <s v="UNKNOWN"/>
    <x v="1"/>
  </r>
  <r>
    <n v="270757"/>
    <n v="487881"/>
    <x v="1"/>
    <x v="203"/>
    <x v="2"/>
    <s v="DELEGATE AGENCY"/>
    <s v="UNKNOWN"/>
    <x v="1"/>
  </r>
  <r>
    <n v="270759"/>
    <n v="49193.7"/>
    <x v="2"/>
    <x v="392"/>
    <x v="22"/>
    <s v="DELEGATE AGENCY"/>
    <s v="UNKNOWN"/>
    <x v="1"/>
  </r>
  <r>
    <n v="270761"/>
    <n v="52092.800000000003"/>
    <x v="4"/>
    <x v="386"/>
    <x v="22"/>
    <s v="DELEGATE AGENCY"/>
    <s v="UNKNOWN"/>
    <x v="1"/>
  </r>
  <r>
    <n v="270762"/>
    <n v="52494.6"/>
    <x v="1"/>
    <x v="333"/>
    <x v="22"/>
    <s v="DELEGATE AGENCY"/>
    <s v="UNKNOWN"/>
    <x v="1"/>
  </r>
  <r>
    <n v="270772"/>
    <n v="712339.4"/>
    <x v="1"/>
    <x v="398"/>
    <x v="22"/>
    <s v="DELEGATE AGENCY"/>
    <s v="UNKNOWN"/>
    <x v="1"/>
  </r>
  <r>
    <n v="270774"/>
    <n v="37260.5"/>
    <x v="2"/>
    <x v="371"/>
    <x v="12"/>
    <s v="DELEGATE AGENCY"/>
    <s v="UNKNOWN"/>
    <x v="1"/>
  </r>
  <r>
    <n v="270778"/>
    <n v="518719.5"/>
    <x v="4"/>
    <x v="445"/>
    <x v="12"/>
    <s v="DELEGATE AGENCY"/>
    <s v="UNKNOWN"/>
    <x v="1"/>
  </r>
  <r>
    <n v="270779"/>
    <n v="557037.1"/>
    <x v="2"/>
    <x v="447"/>
    <x v="12"/>
    <s v="DELEGATE AGENCY"/>
    <s v="UNKNOWN"/>
    <x v="1"/>
  </r>
  <r>
    <n v="270780"/>
    <n v="561921.5"/>
    <x v="2"/>
    <x v="359"/>
    <x v="12"/>
    <s v="DELEGATE AGENCY"/>
    <s v="UNKNOWN"/>
    <x v="1"/>
  </r>
  <r>
    <n v="270781"/>
    <n v="1847820"/>
    <x v="2"/>
    <x v="605"/>
    <x v="12"/>
    <s v="DELEGATE AGENCY"/>
    <s v="UNKNOWN"/>
    <x v="1"/>
  </r>
  <r>
    <n v="270782"/>
    <n v="1421400"/>
    <x v="0"/>
    <x v="605"/>
    <x v="12"/>
    <s v="DELEGATE AGENCY"/>
    <s v="UNKNOWN"/>
    <x v="1"/>
  </r>
  <r>
    <n v="270783"/>
    <n v="2842800"/>
    <x v="0"/>
    <x v="605"/>
    <x v="12"/>
    <s v="DELEGATE AGENCY"/>
    <s v="UNKNOWN"/>
    <x v="1"/>
  </r>
  <r>
    <n v="270784"/>
    <n v="1279260"/>
    <x v="0"/>
    <x v="605"/>
    <x v="12"/>
    <s v="DELEGATE AGENCY"/>
    <s v="UNKNOWN"/>
    <x v="1"/>
  </r>
  <r>
    <n v="270785"/>
    <n v="1918890"/>
    <x v="0"/>
    <x v="605"/>
    <x v="12"/>
    <s v="DELEGATE AGENCY"/>
    <s v="UNKNOWN"/>
    <x v="1"/>
  </r>
  <r>
    <n v="270786"/>
    <n v="127742.7"/>
    <x v="0"/>
    <x v="89"/>
    <x v="12"/>
    <s v="DELEGATE AGENCY"/>
    <s v="UNKNOWN"/>
    <x v="1"/>
  </r>
  <r>
    <n v="270788"/>
    <n v="180574.5"/>
    <x v="1"/>
    <x v="614"/>
    <x v="12"/>
    <s v="DELEGATE AGENCY"/>
    <s v="UNKNOWN"/>
    <x v="1"/>
  </r>
  <r>
    <n v="270809"/>
    <n v="250000"/>
    <x v="1"/>
    <x v="1884"/>
    <x v="2"/>
    <s v="COMPTROLLER-OTHER"/>
    <s v="UNKNOWN"/>
    <x v="1"/>
  </r>
  <r>
    <n v="270810"/>
    <n v="1983938"/>
    <x v="2"/>
    <x v="1410"/>
    <x v="2"/>
    <s v="COMPTROLLER-OTHER"/>
    <s v="UNKNOWN"/>
    <x v="1"/>
  </r>
  <r>
    <n v="270812"/>
    <n v="850000"/>
    <x v="0"/>
    <x v="156"/>
    <x v="2"/>
    <s v="COMPTROLLER-OTHER"/>
    <s v="UNKNOWN"/>
    <x v="1"/>
  </r>
  <r>
    <n v="270814"/>
    <n v="40000"/>
    <x v="2"/>
    <x v="156"/>
    <x v="2"/>
    <s v="COMPTROLLER-OTHER"/>
    <s v="UNKNOWN"/>
    <x v="1"/>
  </r>
  <r>
    <n v="270821"/>
    <n v="150000"/>
    <x v="4"/>
    <x v="1885"/>
    <x v="2"/>
    <s v="COMPTROLLER-OTHER"/>
    <s v="UNKNOWN"/>
    <x v="1"/>
  </r>
  <r>
    <n v="270830"/>
    <n v="1400000"/>
    <x v="1"/>
    <x v="156"/>
    <x v="2"/>
    <s v="COMPTROLLER-OTHER"/>
    <s v="UNKNOWN"/>
    <x v="1"/>
  </r>
  <r>
    <n v="270851"/>
    <n v="250000"/>
    <x v="0"/>
    <x v="1886"/>
    <x v="2"/>
    <s v="COMPTROLLER-OTHER"/>
    <s v="UNKNOWN"/>
    <x v="1"/>
  </r>
  <r>
    <n v="270855"/>
    <n v="560000"/>
    <x v="2"/>
    <x v="145"/>
    <x v="2"/>
    <s v="COMPTROLLER-OTHER"/>
    <s v="UNKNOWN"/>
    <x v="1"/>
  </r>
  <r>
    <n v="270859"/>
    <n v="150000"/>
    <x v="2"/>
    <x v="1887"/>
    <x v="2"/>
    <s v="COMPTROLLER-OTHER"/>
    <s v="UNKNOWN"/>
    <x v="1"/>
  </r>
  <r>
    <n v="270866"/>
    <n v="150000"/>
    <x v="1"/>
    <x v="814"/>
    <x v="2"/>
    <s v="COMPTROLLER-OTHER"/>
    <s v="UNKNOWN"/>
    <x v="1"/>
  </r>
  <r>
    <n v="270908"/>
    <n v="306382.2"/>
    <x v="1"/>
    <x v="312"/>
    <x v="8"/>
    <s v="DELEGATE AGENCY"/>
    <s v="UNKNOWN"/>
    <x v="1"/>
  </r>
  <r>
    <n v="270909"/>
    <n v="333332.8"/>
    <x v="2"/>
    <x v="204"/>
    <x v="8"/>
    <s v="DELEGATE AGENCY"/>
    <s v="UNKNOWN"/>
    <x v="1"/>
  </r>
  <r>
    <n v="270916"/>
    <n v="41095"/>
    <x v="2"/>
    <x v="191"/>
    <x v="12"/>
    <s v="DELEGATE AGENCY"/>
    <s v="UNKNOWN"/>
    <x v="1"/>
  </r>
  <r>
    <n v="270926"/>
    <n v="2502500"/>
    <x v="4"/>
    <x v="1830"/>
    <x v="12"/>
    <s v="DELEGATE AGENCY"/>
    <s v="UNKNOWN"/>
    <x v="1"/>
  </r>
  <r>
    <n v="270935"/>
    <n v="75000"/>
    <x v="0"/>
    <x v="398"/>
    <x v="22"/>
    <s v="DELEGATE AGENCY"/>
    <s v="UNKNOWN"/>
    <x v="1"/>
  </r>
  <r>
    <n v="270937"/>
    <n v="204538"/>
    <x v="1"/>
    <x v="311"/>
    <x v="12"/>
    <s v="DELEGATE AGENCY"/>
    <s v="UNKNOWN"/>
    <x v="1"/>
  </r>
  <r>
    <n v="270940"/>
    <n v="129250"/>
    <x v="1"/>
    <x v="311"/>
    <x v="12"/>
    <s v="DELEGATE AGENCY"/>
    <s v="UNKNOWN"/>
    <x v="1"/>
  </r>
  <r>
    <n v="270942"/>
    <n v="50000"/>
    <x v="1"/>
    <x v="1888"/>
    <x v="20"/>
    <s v="COMPTROLLER-OTHER"/>
    <s v="UNKNOWN"/>
    <x v="1"/>
  </r>
  <r>
    <n v="270944"/>
    <n v="43734.400000000001"/>
    <x v="1"/>
    <x v="299"/>
    <x v="12"/>
    <s v="DELEGATE AGENCY"/>
    <s v="UNKNOWN"/>
    <x v="1"/>
  </r>
  <r>
    <n v="270946"/>
    <n v="44000"/>
    <x v="4"/>
    <x v="985"/>
    <x v="20"/>
    <s v="COMPTROLLER-OTHER"/>
    <s v="UNKNOWN"/>
    <x v="1"/>
  </r>
  <r>
    <n v="270950"/>
    <n v="45099.6"/>
    <x v="4"/>
    <x v="299"/>
    <x v="12"/>
    <s v="DELEGATE AGENCY"/>
    <s v="UNKNOWN"/>
    <x v="1"/>
  </r>
  <r>
    <n v="270959"/>
    <n v="2515000"/>
    <x v="4"/>
    <x v="398"/>
    <x v="22"/>
    <s v="DELEGATE AGENCY"/>
    <s v="UNKNOWN"/>
    <x v="1"/>
  </r>
  <r>
    <n v="270962"/>
    <n v="50417.599999999999"/>
    <x v="0"/>
    <x v="66"/>
    <x v="22"/>
    <s v="DELEGATE AGENCY"/>
    <s v="UNKNOWN"/>
    <x v="1"/>
  </r>
  <r>
    <n v="270967"/>
    <n v="75000"/>
    <x v="1"/>
    <x v="399"/>
    <x v="22"/>
    <s v="DELEGATE AGENCY"/>
    <s v="UNKNOWN"/>
    <x v="1"/>
  </r>
  <r>
    <n v="270968"/>
    <n v="275000"/>
    <x v="1"/>
    <x v="1106"/>
    <x v="17"/>
    <s v="DELEGATE AGENCY"/>
    <s v="UNKNOWN"/>
    <x v="1"/>
  </r>
  <r>
    <n v="271156"/>
    <n v="136980.4"/>
    <x v="2"/>
    <x v="850"/>
    <x v="12"/>
    <s v="DELEGATE AGENCY"/>
    <s v="UNKNOWN"/>
    <x v="1"/>
  </r>
  <r>
    <n v="271157"/>
    <n v="116843.2"/>
    <x v="1"/>
    <x v="850"/>
    <x v="12"/>
    <s v="DELEGATE AGENCY"/>
    <s v="UNKNOWN"/>
    <x v="1"/>
  </r>
  <r>
    <n v="271158"/>
    <n v="132989.29999999999"/>
    <x v="1"/>
    <x v="585"/>
    <x v="12"/>
    <s v="DELEGATE AGENCY"/>
    <s v="UNKNOWN"/>
    <x v="1"/>
  </r>
  <r>
    <n v="271159"/>
    <n v="353233"/>
    <x v="1"/>
    <x v="604"/>
    <x v="12"/>
    <s v="DELEGATE AGENCY"/>
    <s v="UNKNOWN"/>
    <x v="1"/>
  </r>
  <r>
    <n v="271160"/>
    <n v="115020.1"/>
    <x v="2"/>
    <x v="510"/>
    <x v="12"/>
    <s v="DELEGATE AGENCY"/>
    <s v="UNKNOWN"/>
    <x v="1"/>
  </r>
  <r>
    <n v="271161"/>
    <n v="316391.5"/>
    <x v="1"/>
    <x v="1553"/>
    <x v="12"/>
    <s v="DELEGATE AGENCY"/>
    <s v="UNKNOWN"/>
    <x v="1"/>
  </r>
  <r>
    <n v="271174"/>
    <n v="1135902"/>
    <x v="2"/>
    <x v="24"/>
    <x v="12"/>
    <s v="DELEGATE AGENCY"/>
    <s v="UNKNOWN"/>
    <x v="1"/>
  </r>
  <r>
    <n v="271199"/>
    <n v="938213.5"/>
    <x v="0"/>
    <x v="376"/>
    <x v="12"/>
    <s v="DELEGATE AGENCY"/>
    <s v="UNKNOWN"/>
    <x v="1"/>
  </r>
  <r>
    <n v="271200"/>
    <n v="568560"/>
    <x v="2"/>
    <x v="203"/>
    <x v="12"/>
    <s v="DELEGATE AGENCY"/>
    <s v="UNKNOWN"/>
    <x v="1"/>
  </r>
  <r>
    <n v="271217"/>
    <n v="472589.3"/>
    <x v="2"/>
    <x v="296"/>
    <x v="12"/>
    <s v="DELEGATE AGENCY"/>
    <s v="UNKNOWN"/>
    <x v="1"/>
  </r>
  <r>
    <n v="271251"/>
    <n v="142140"/>
    <x v="2"/>
    <x v="227"/>
    <x v="12"/>
    <s v="DELEGATE AGENCY"/>
    <s v="UNKNOWN"/>
    <x v="1"/>
  </r>
  <r>
    <n v="271252"/>
    <n v="105407.3"/>
    <x v="1"/>
    <x v="385"/>
    <x v="12"/>
    <s v="DELEGATE AGENCY"/>
    <s v="UNKNOWN"/>
    <x v="1"/>
  </r>
  <r>
    <n v="271254"/>
    <n v="244065.4"/>
    <x v="1"/>
    <x v="1152"/>
    <x v="12"/>
    <s v="DELEGATE AGENCY"/>
    <s v="UNKNOWN"/>
    <x v="1"/>
  </r>
  <r>
    <n v="271260"/>
    <n v="141081"/>
    <x v="1"/>
    <x v="211"/>
    <x v="12"/>
    <s v="DELEGATE AGENCY"/>
    <s v="UNKNOWN"/>
    <x v="1"/>
  </r>
  <r>
    <n v="271283"/>
    <n v="225000000"/>
    <x v="1"/>
    <x v="1889"/>
    <x v="3"/>
    <s v="JOC"/>
    <s v="BID"/>
    <x v="1"/>
  </r>
  <r>
    <n v="271297"/>
    <n v="225000000"/>
    <x v="0"/>
    <x v="1890"/>
    <x v="3"/>
    <s v="JOC"/>
    <s v="BID"/>
    <x v="1"/>
  </r>
  <r>
    <n v="271298"/>
    <n v="87427"/>
    <x v="0"/>
    <x v="375"/>
    <x v="2"/>
    <s v="DELEGATE AGENCY"/>
    <s v="UNKNOWN"/>
    <x v="1"/>
  </r>
  <r>
    <n v="271305"/>
    <n v="60000"/>
    <x v="1"/>
    <x v="316"/>
    <x v="22"/>
    <s v="DELEGATE AGENCY"/>
    <s v="UNKNOWN"/>
    <x v="1"/>
  </r>
  <r>
    <n v="271359"/>
    <n v="72770"/>
    <x v="1"/>
    <x v="394"/>
    <x v="22"/>
    <s v="DELEGATE AGENCY"/>
    <s v="UNKNOWN"/>
    <x v="1"/>
  </r>
  <r>
    <n v="271367"/>
    <n v="50000"/>
    <x v="1"/>
    <x v="1891"/>
    <x v="20"/>
    <s v="COMPTROLLER-OTHER"/>
    <s v="UNKNOWN"/>
    <x v="1"/>
  </r>
  <r>
    <n v="271393"/>
    <n v="21000"/>
    <x v="1"/>
    <x v="1892"/>
    <x v="20"/>
    <s v="COMPTROLLER-OTHER"/>
    <s v="UNKNOWN"/>
    <x v="1"/>
  </r>
  <r>
    <n v="271456"/>
    <n v="203853.1"/>
    <x v="4"/>
    <x v="1893"/>
    <x v="3"/>
    <s v="WORK SERVICES-SMALL ORDERS"/>
    <s v="BID"/>
    <x v="1"/>
  </r>
  <r>
    <n v="271528"/>
    <n v="55000"/>
    <x v="1"/>
    <x v="223"/>
    <x v="19"/>
    <s v="DELEGATE AGENCY"/>
    <s v="UNKNOWN"/>
    <x v="1"/>
  </r>
  <r>
    <n v="271529"/>
    <n v="100000"/>
    <x v="1"/>
    <x v="1226"/>
    <x v="19"/>
    <s v="DELEGATE AGENCY"/>
    <s v="UNKNOWN"/>
    <x v="1"/>
  </r>
  <r>
    <n v="271530"/>
    <n v="539090.80000000005"/>
    <x v="1"/>
    <x v="444"/>
    <x v="12"/>
    <s v="DELEGATE AGENCY"/>
    <s v="UNKNOWN"/>
    <x v="1"/>
  </r>
  <r>
    <n v="271531"/>
    <n v="555111.19999999995"/>
    <x v="2"/>
    <x v="114"/>
    <x v="12"/>
    <s v="DELEGATE AGENCY"/>
    <s v="UNKNOWN"/>
    <x v="1"/>
  </r>
  <r>
    <n v="271532"/>
    <n v="1129773.1000000001"/>
    <x v="2"/>
    <x v="201"/>
    <x v="12"/>
    <s v="DELEGATE AGENCY"/>
    <s v="UNKNOWN"/>
    <x v="1"/>
  </r>
  <r>
    <n v="271533"/>
    <n v="393644.7"/>
    <x v="0"/>
    <x v="127"/>
    <x v="12"/>
    <s v="DELEGATE AGENCY"/>
    <s v="UNKNOWN"/>
    <x v="1"/>
  </r>
  <r>
    <n v="271534"/>
    <n v="212545.2"/>
    <x v="2"/>
    <x v="205"/>
    <x v="12"/>
    <s v="DELEGATE AGENCY"/>
    <s v="UNKNOWN"/>
    <x v="1"/>
  </r>
  <r>
    <n v="271541"/>
    <n v="10676.9"/>
    <x v="1"/>
    <x v="642"/>
    <x v="14"/>
    <s v="SOFTWARE"/>
    <s v="JOINT PURCHASE"/>
    <x v="1"/>
  </r>
  <r>
    <n v="271547"/>
    <n v="105055"/>
    <x v="4"/>
    <x v="304"/>
    <x v="12"/>
    <s v="DELEGATE AGENCY"/>
    <s v="UNKNOWN"/>
    <x v="1"/>
  </r>
  <r>
    <n v="271548"/>
    <n v="25169"/>
    <x v="1"/>
    <x v="372"/>
    <x v="12"/>
    <s v="DELEGATE AGENCY"/>
    <s v="UNKNOWN"/>
    <x v="1"/>
  </r>
  <r>
    <n v="271549"/>
    <n v="272001.5"/>
    <x v="4"/>
    <x v="621"/>
    <x v="12"/>
    <s v="DELEGATE AGENCY"/>
    <s v="UNKNOWN"/>
    <x v="1"/>
  </r>
  <r>
    <n v="271551"/>
    <n v="222000"/>
    <x v="2"/>
    <x v="449"/>
    <x v="12"/>
    <s v="DELEGATE AGENCY"/>
    <s v="UNKNOWN"/>
    <x v="1"/>
  </r>
  <r>
    <n v="271552"/>
    <n v="444000"/>
    <x v="1"/>
    <x v="199"/>
    <x v="12"/>
    <s v="DELEGATE AGENCY"/>
    <s v="UNKNOWN"/>
    <x v="1"/>
  </r>
  <r>
    <n v="271554"/>
    <n v="109001"/>
    <x v="2"/>
    <x v="371"/>
    <x v="12"/>
    <s v="DELEGATE AGENCY"/>
    <s v="UNKNOWN"/>
    <x v="1"/>
  </r>
  <r>
    <n v="271555"/>
    <n v="5687"/>
    <x v="1"/>
    <x v="335"/>
    <x v="12"/>
    <s v="DELEGATE AGENCY"/>
    <s v="UNKNOWN"/>
    <x v="1"/>
  </r>
  <r>
    <n v="271559"/>
    <n v="69059.199999999997"/>
    <x v="3"/>
    <x v="294"/>
    <x v="12"/>
    <s v="DELEGATE AGENCY"/>
    <s v="UNKNOWN"/>
    <x v="1"/>
  </r>
  <r>
    <n v="271560"/>
    <n v="1666600"/>
    <x v="1"/>
    <x v="76"/>
    <x v="12"/>
    <s v="DELEGATE AGENCY"/>
    <s v="UNKNOWN"/>
    <x v="1"/>
  </r>
  <r>
    <n v="271561"/>
    <n v="21377"/>
    <x v="0"/>
    <x v="304"/>
    <x v="12"/>
    <s v="DELEGATE AGENCY"/>
    <s v="UNKNOWN"/>
    <x v="1"/>
  </r>
  <r>
    <n v="271562"/>
    <n v="40326"/>
    <x v="4"/>
    <x v="304"/>
    <x v="12"/>
    <s v="DELEGATE AGENCY"/>
    <s v="UNKNOWN"/>
    <x v="1"/>
  </r>
  <r>
    <n v="271563"/>
    <n v="116800"/>
    <x v="4"/>
    <x v="211"/>
    <x v="12"/>
    <s v="DELEGATE AGENCY"/>
    <s v="UNKNOWN"/>
    <x v="1"/>
  </r>
  <r>
    <n v="271564"/>
    <n v="715712"/>
    <x v="1"/>
    <x v="296"/>
    <x v="12"/>
    <s v="DELEGATE AGENCY"/>
    <s v="UNKNOWN"/>
    <x v="1"/>
  </r>
  <r>
    <n v="271565"/>
    <n v="52833"/>
    <x v="2"/>
    <x v="114"/>
    <x v="12"/>
    <s v="DELEGATE AGENCY"/>
    <s v="UNKNOWN"/>
    <x v="1"/>
  </r>
  <r>
    <n v="271635"/>
    <n v="100000"/>
    <x v="1"/>
    <x v="128"/>
    <x v="8"/>
    <s v="DELEGATE AGENCY"/>
    <s v="UNKNOWN"/>
    <x v="1"/>
  </r>
  <r>
    <n v="271670"/>
    <n v="7906800"/>
    <x v="1"/>
    <x v="1894"/>
    <x v="5"/>
    <s v="WORK SERVICES / FACILITIES MAINT."/>
    <s v="BID"/>
    <x v="1"/>
  </r>
  <r>
    <n v="271682"/>
    <n v="225000000"/>
    <x v="0"/>
    <x v="1895"/>
    <x v="3"/>
    <s v="JOC"/>
    <s v="BID"/>
    <x v="1"/>
  </r>
  <r>
    <n v="271814"/>
    <n v="3050000"/>
    <x v="0"/>
    <x v="1065"/>
    <x v="8"/>
    <s v="COMPTROLLER-OTHER"/>
    <s v="UNKNOWN"/>
    <x v="1"/>
  </r>
  <r>
    <n v="271907"/>
    <n v="691126.8"/>
    <x v="0"/>
    <x v="204"/>
    <x v="8"/>
    <s v="DELEGATE AGENCY"/>
    <s v="UNKNOWN"/>
    <x v="1"/>
  </r>
  <r>
    <n v="271912"/>
    <n v="3295925.8"/>
    <x v="2"/>
    <x v="11"/>
    <x v="0"/>
    <s v="CONSTRUCTION-LARGE $3MILLIONorABOVE"/>
    <s v="BID"/>
    <x v="1"/>
  </r>
  <r>
    <n v="271913"/>
    <n v="195365"/>
    <x v="0"/>
    <x v="285"/>
    <x v="12"/>
    <s v="DELEGATE AGENCY"/>
    <s v="UNKNOWN"/>
    <x v="1"/>
  </r>
  <r>
    <n v="271965"/>
    <n v="200000"/>
    <x v="1"/>
    <x v="632"/>
    <x v="20"/>
    <s v="COMPTROLLER-OTHER"/>
    <s v="UNKNOWN"/>
    <x v="1"/>
  </r>
  <r>
    <n v="271974"/>
    <n v="1400"/>
    <x v="1"/>
    <x v="1896"/>
    <x v="20"/>
    <s v="COMPTROLLER-OTHER"/>
    <s v="UNKNOWN"/>
    <x v="1"/>
  </r>
  <r>
    <n v="271978"/>
    <n v="1000"/>
    <x v="3"/>
    <x v="1897"/>
    <x v="20"/>
    <s v="COMPTROLLER-OTHER"/>
    <s v="UNKNOWN"/>
    <x v="1"/>
  </r>
  <r>
    <n v="271987"/>
    <n v="600000"/>
    <x v="3"/>
    <x v="188"/>
    <x v="8"/>
    <s v="DELEGATE AGENCY"/>
    <s v="RFP"/>
    <x v="1"/>
  </r>
  <r>
    <n v="271992"/>
    <n v="20000"/>
    <x v="2"/>
    <x v="1898"/>
    <x v="20"/>
    <s v="COMPTROLLER-OTHER"/>
    <s v="UNKNOWN"/>
    <x v="1"/>
  </r>
  <r>
    <n v="271993"/>
    <n v="1000"/>
    <x v="4"/>
    <x v="1899"/>
    <x v="20"/>
    <s v="COMPTROLLER-OTHER"/>
    <s v="UNKNOWN"/>
    <x v="1"/>
  </r>
  <r>
    <n v="271995"/>
    <n v="2882365.8"/>
    <x v="3"/>
    <x v="139"/>
    <x v="22"/>
    <s v="DELEGATE AGENCY"/>
    <s v="UNKNOWN"/>
    <x v="1"/>
  </r>
  <r>
    <n v="272003"/>
    <n v="200000"/>
    <x v="0"/>
    <x v="1182"/>
    <x v="34"/>
    <s v="COMPTROLLER-OTHER"/>
    <s v="UNKNOWN"/>
    <x v="1"/>
  </r>
  <r>
    <n v="272012"/>
    <n v="220289.6"/>
    <x v="1"/>
    <x v="1042"/>
    <x v="22"/>
    <s v="DELEGATE AGENCY"/>
    <s v="UNKNOWN"/>
    <x v="1"/>
  </r>
  <r>
    <n v="272013"/>
    <n v="5045924"/>
    <x v="1"/>
    <x v="953"/>
    <x v="6"/>
    <s v="COMPTROLLER-OTHER"/>
    <s v="UNKNOWN"/>
    <x v="1"/>
  </r>
  <r>
    <n v="272014"/>
    <n v="262401.90000000002"/>
    <x v="0"/>
    <x v="377"/>
    <x v="2"/>
    <s v="DELEGATE AGENCY"/>
    <s v="UNKNOWN"/>
    <x v="1"/>
  </r>
  <r>
    <n v="272022"/>
    <n v="513738.1"/>
    <x v="2"/>
    <x v="593"/>
    <x v="12"/>
    <s v="DELEGATE AGENCY"/>
    <s v="UNKNOWN"/>
    <x v="1"/>
  </r>
  <r>
    <n v="272023"/>
    <n v="80306.3"/>
    <x v="2"/>
    <x v="219"/>
    <x v="19"/>
    <s v="DELEGATE AGENCY"/>
    <s v="UNKNOWN"/>
    <x v="1"/>
  </r>
  <r>
    <n v="272024"/>
    <n v="90856.9"/>
    <x v="1"/>
    <x v="387"/>
    <x v="19"/>
    <s v="DELEGATE AGENCY"/>
    <s v="UNKNOWN"/>
    <x v="1"/>
  </r>
  <r>
    <n v="272025"/>
    <n v="300000"/>
    <x v="1"/>
    <x v="454"/>
    <x v="19"/>
    <s v="DELEGATE AGENCY"/>
    <s v="UNKNOWN"/>
    <x v="1"/>
  </r>
  <r>
    <n v="272029"/>
    <n v="6516595"/>
    <x v="2"/>
    <x v="500"/>
    <x v="8"/>
    <s v="DELEGATE AGENCY"/>
    <s v="RFP"/>
    <x v="1"/>
  </r>
  <r>
    <n v="272059"/>
    <n v="139400"/>
    <x v="0"/>
    <x v="1900"/>
    <x v="3"/>
    <s v="COMMODITIES-SMALL ORDERS"/>
    <s v="BID"/>
    <x v="1"/>
  </r>
  <r>
    <n v="272101"/>
    <n v="247801"/>
    <x v="1"/>
    <x v="452"/>
    <x v="2"/>
    <s v="DELEGATE AGENCY"/>
    <s v="UNKNOWN"/>
    <x v="1"/>
  </r>
  <r>
    <n v="272105"/>
    <n v="244998.9"/>
    <x v="1"/>
    <x v="220"/>
    <x v="2"/>
    <s v="DELEGATE AGENCY"/>
    <s v="UNKNOWN"/>
    <x v="1"/>
  </r>
  <r>
    <n v="272106"/>
    <n v="369158.2"/>
    <x v="1"/>
    <x v="468"/>
    <x v="8"/>
    <s v="DELEGATE AGENCY"/>
    <s v="UNKNOWN"/>
    <x v="1"/>
  </r>
  <r>
    <n v="272163"/>
    <n v="61491.199999999997"/>
    <x v="2"/>
    <x v="588"/>
    <x v="12"/>
    <s v="DELEGATE AGENCY"/>
    <s v="UNKNOWN"/>
    <x v="1"/>
  </r>
  <r>
    <n v="272165"/>
    <n v="37130.699999999997"/>
    <x v="1"/>
    <x v="588"/>
    <x v="12"/>
    <s v="DELEGATE AGENCY"/>
    <s v="UNKNOWN"/>
    <x v="1"/>
  </r>
  <r>
    <n v="272168"/>
    <n v="1044678.2"/>
    <x v="4"/>
    <x v="448"/>
    <x v="12"/>
    <s v="DELEGATE AGENCY"/>
    <s v="UNKNOWN"/>
    <x v="1"/>
  </r>
  <r>
    <n v="272169"/>
    <n v="143099.4"/>
    <x v="0"/>
    <x v="42"/>
    <x v="8"/>
    <s v="DELEGATE AGENCY"/>
    <s v="UNKNOWN"/>
    <x v="1"/>
  </r>
  <r>
    <n v="272171"/>
    <n v="331418.5"/>
    <x v="1"/>
    <x v="28"/>
    <x v="8"/>
    <s v="DELEGATE AGENCY"/>
    <s v="UNKNOWN"/>
    <x v="1"/>
  </r>
  <r>
    <n v="272172"/>
    <n v="198270.8"/>
    <x v="2"/>
    <x v="1129"/>
    <x v="8"/>
    <s v="DELEGATE AGENCY"/>
    <s v="UNKNOWN"/>
    <x v="1"/>
  </r>
  <r>
    <n v="272173"/>
    <n v="199910"/>
    <x v="1"/>
    <x v="437"/>
    <x v="8"/>
    <s v="DELEGATE AGENCY"/>
    <s v="UNKNOWN"/>
    <x v="1"/>
  </r>
  <r>
    <n v="272185"/>
    <n v="170628.6"/>
    <x v="1"/>
    <x v="605"/>
    <x v="12"/>
    <s v="DELEGATE AGENCY"/>
    <s v="UNKNOWN"/>
    <x v="1"/>
  </r>
  <r>
    <n v="272186"/>
    <n v="43681.2"/>
    <x v="1"/>
    <x v="89"/>
    <x v="12"/>
    <s v="DELEGATE AGENCY"/>
    <s v="UNKNOWN"/>
    <x v="1"/>
  </r>
  <r>
    <n v="272187"/>
    <n v="199999.7"/>
    <x v="4"/>
    <x v="390"/>
    <x v="21"/>
    <s v="DELEGATE AGENCY"/>
    <s v="UNKNOWN"/>
    <x v="1"/>
  </r>
  <r>
    <n v="272189"/>
    <n v="20000"/>
    <x v="1"/>
    <x v="980"/>
    <x v="19"/>
    <s v="DELEGATE AGENCY"/>
    <s v="UNKNOWN"/>
    <x v="1"/>
  </r>
  <r>
    <n v="272190"/>
    <n v="281534"/>
    <x v="4"/>
    <x v="216"/>
    <x v="12"/>
    <s v="DELEGATE AGENCY"/>
    <s v="UNKNOWN"/>
    <x v="1"/>
  </r>
  <r>
    <n v="272191"/>
    <n v="20000"/>
    <x v="2"/>
    <x v="683"/>
    <x v="19"/>
    <s v="DELEGATE AGENCY"/>
    <s v="UNKNOWN"/>
    <x v="1"/>
  </r>
  <r>
    <n v="272192"/>
    <n v="29424.6"/>
    <x v="4"/>
    <x v="227"/>
    <x v="12"/>
    <s v="DELEGATE AGENCY"/>
    <s v="UNKNOWN"/>
    <x v="1"/>
  </r>
  <r>
    <n v="272208"/>
    <n v="182277"/>
    <x v="4"/>
    <x v="285"/>
    <x v="12"/>
    <s v="DELEGATE AGENCY"/>
    <s v="UNKNOWN"/>
    <x v="1"/>
  </r>
  <r>
    <n v="272210"/>
    <n v="14691.9"/>
    <x v="1"/>
    <x v="227"/>
    <x v="12"/>
    <s v="DELEGATE AGENCY"/>
    <s v="UNKNOWN"/>
    <x v="1"/>
  </r>
  <r>
    <n v="272220"/>
    <n v="303956.5"/>
    <x v="4"/>
    <x v="84"/>
    <x v="8"/>
    <s v="DELEGATE AGENCY"/>
    <s v="UNKNOWN"/>
    <x v="1"/>
  </r>
  <r>
    <n v="272227"/>
    <n v="240000"/>
    <x v="2"/>
    <x v="463"/>
    <x v="8"/>
    <s v="DELEGATE AGENCY"/>
    <s v="UNKNOWN"/>
    <x v="1"/>
  </r>
  <r>
    <n v="272228"/>
    <n v="199892.9"/>
    <x v="1"/>
    <x v="452"/>
    <x v="19"/>
    <s v="DELEGATE AGENCY"/>
    <s v="UNKNOWN"/>
    <x v="1"/>
  </r>
  <r>
    <n v="272232"/>
    <n v="54913.1"/>
    <x v="1"/>
    <x v="127"/>
    <x v="12"/>
    <s v="DELEGATE AGENCY"/>
    <s v="UNKNOWN"/>
    <x v="1"/>
  </r>
  <r>
    <n v="272234"/>
    <n v="338055.2"/>
    <x v="1"/>
    <x v="452"/>
    <x v="19"/>
    <s v="DELEGATE AGENCY"/>
    <s v="UNKNOWN"/>
    <x v="1"/>
  </r>
  <r>
    <n v="272238"/>
    <n v="54320.3"/>
    <x v="2"/>
    <x v="127"/>
    <x v="12"/>
    <s v="DELEGATE AGENCY"/>
    <s v="UNKNOWN"/>
    <x v="1"/>
  </r>
  <r>
    <n v="272252"/>
    <n v="462008"/>
    <x v="1"/>
    <x v="296"/>
    <x v="12"/>
    <s v="DELEGATE AGENCY"/>
    <s v="UNKNOWN"/>
    <x v="1"/>
  </r>
  <r>
    <n v="272253"/>
    <n v="45597"/>
    <x v="2"/>
    <x v="211"/>
    <x v="12"/>
    <s v="DELEGATE AGENCY"/>
    <s v="UNKNOWN"/>
    <x v="1"/>
  </r>
  <r>
    <n v="272254"/>
    <n v="66040"/>
    <x v="4"/>
    <x v="76"/>
    <x v="12"/>
    <s v="DELEGATE AGENCY"/>
    <s v="UNKNOWN"/>
    <x v="1"/>
  </r>
  <r>
    <n v="272255"/>
    <n v="36097.5"/>
    <x v="1"/>
    <x v="296"/>
    <x v="12"/>
    <s v="DELEGATE AGENCY"/>
    <s v="UNKNOWN"/>
    <x v="1"/>
  </r>
  <r>
    <n v="272256"/>
    <n v="202419"/>
    <x v="4"/>
    <x v="296"/>
    <x v="12"/>
    <s v="DELEGATE AGENCY"/>
    <s v="UNKNOWN"/>
    <x v="1"/>
  </r>
  <r>
    <n v="272257"/>
    <n v="183280"/>
    <x v="1"/>
    <x v="296"/>
    <x v="12"/>
    <s v="DELEGATE AGENCY"/>
    <s v="UNKNOWN"/>
    <x v="1"/>
  </r>
  <r>
    <n v="272258"/>
    <n v="213210"/>
    <x v="1"/>
    <x v="27"/>
    <x v="12"/>
    <s v="DELEGATE AGENCY"/>
    <s v="UNKNOWN"/>
    <x v="1"/>
  </r>
  <r>
    <n v="272259"/>
    <n v="614739"/>
    <x v="1"/>
    <x v="441"/>
    <x v="12"/>
    <s v="DELEGATE AGENCY"/>
    <s v="UNKNOWN"/>
    <x v="1"/>
  </r>
  <r>
    <n v="272260"/>
    <n v="17962"/>
    <x v="2"/>
    <x v="324"/>
    <x v="12"/>
    <s v="DELEGATE AGENCY"/>
    <s v="UNKNOWN"/>
    <x v="1"/>
  </r>
  <r>
    <n v="272261"/>
    <n v="61824"/>
    <x v="4"/>
    <x v="451"/>
    <x v="12"/>
    <s v="DELEGATE AGENCY"/>
    <s v="UNKNOWN"/>
    <x v="1"/>
  </r>
  <r>
    <n v="272262"/>
    <n v="61824"/>
    <x v="1"/>
    <x v="449"/>
    <x v="12"/>
    <s v="DELEGATE AGENCY"/>
    <s v="UNKNOWN"/>
    <x v="1"/>
  </r>
  <r>
    <n v="272263"/>
    <n v="20608"/>
    <x v="1"/>
    <x v="376"/>
    <x v="12"/>
    <s v="DELEGATE AGENCY"/>
    <s v="UNKNOWN"/>
    <x v="1"/>
  </r>
  <r>
    <n v="272264"/>
    <n v="60000"/>
    <x v="4"/>
    <x v="313"/>
    <x v="12"/>
    <s v="DELEGATE AGENCY"/>
    <s v="UNKNOWN"/>
    <x v="1"/>
  </r>
  <r>
    <n v="272265"/>
    <n v="27503.8"/>
    <x v="1"/>
    <x v="359"/>
    <x v="12"/>
    <s v="DELEGATE AGENCY"/>
    <s v="UNKNOWN"/>
    <x v="1"/>
  </r>
  <r>
    <n v="272266"/>
    <n v="20608"/>
    <x v="4"/>
    <x v="1140"/>
    <x v="12"/>
    <s v="DELEGATE AGENCY"/>
    <s v="UNKNOWN"/>
    <x v="1"/>
  </r>
  <r>
    <n v="272267"/>
    <n v="24159"/>
    <x v="4"/>
    <x v="114"/>
    <x v="12"/>
    <s v="DELEGATE AGENCY"/>
    <s v="UNKNOWN"/>
    <x v="1"/>
  </r>
  <r>
    <n v="272268"/>
    <n v="41216"/>
    <x v="4"/>
    <x v="78"/>
    <x v="12"/>
    <s v="DELEGATE AGENCY"/>
    <s v="UNKNOWN"/>
    <x v="1"/>
  </r>
  <r>
    <n v="272270"/>
    <n v="18962.599999999999"/>
    <x v="4"/>
    <x v="84"/>
    <x v="12"/>
    <s v="DELEGATE AGENCY"/>
    <s v="UNKNOWN"/>
    <x v="1"/>
  </r>
  <r>
    <n v="272273"/>
    <n v="88807.3"/>
    <x v="4"/>
    <x v="588"/>
    <x v="12"/>
    <s v="DELEGATE AGENCY"/>
    <s v="UNKNOWN"/>
    <x v="1"/>
  </r>
  <r>
    <n v="272278"/>
    <n v="95759"/>
    <x v="1"/>
    <x v="114"/>
    <x v="12"/>
    <s v="DELEGATE AGENCY"/>
    <s v="UNKNOWN"/>
    <x v="1"/>
  </r>
  <r>
    <n v="272288"/>
    <n v="40000"/>
    <x v="1"/>
    <x v="1381"/>
    <x v="20"/>
    <s v="COMPTROLLER-OTHER"/>
    <s v="UNKNOWN"/>
    <x v="1"/>
  </r>
  <r>
    <n v="272289"/>
    <n v="372719"/>
    <x v="4"/>
    <x v="114"/>
    <x v="8"/>
    <s v="DELEGATE AGENCY"/>
    <s v="UNKNOWN"/>
    <x v="1"/>
  </r>
  <r>
    <n v="272291"/>
    <n v="20608"/>
    <x v="2"/>
    <x v="78"/>
    <x v="12"/>
    <s v="DELEGATE AGENCY"/>
    <s v="UNKNOWN"/>
    <x v="1"/>
  </r>
  <r>
    <n v="272292"/>
    <n v="20608"/>
    <x v="4"/>
    <x v="78"/>
    <x v="12"/>
    <s v="DELEGATE AGENCY"/>
    <s v="UNKNOWN"/>
    <x v="1"/>
  </r>
  <r>
    <n v="272293"/>
    <n v="20608"/>
    <x v="4"/>
    <x v="385"/>
    <x v="12"/>
    <s v="DELEGATE AGENCY"/>
    <s v="UNKNOWN"/>
    <x v="1"/>
  </r>
  <r>
    <n v="272294"/>
    <n v="82432"/>
    <x v="4"/>
    <x v="169"/>
    <x v="12"/>
    <s v="DELEGATE AGENCY"/>
    <s v="UNKNOWN"/>
    <x v="1"/>
  </r>
  <r>
    <n v="272295"/>
    <n v="82432"/>
    <x v="1"/>
    <x v="201"/>
    <x v="12"/>
    <s v="DELEGATE AGENCY"/>
    <s v="UNKNOWN"/>
    <x v="1"/>
  </r>
  <r>
    <n v="272296"/>
    <n v="61824"/>
    <x v="1"/>
    <x v="444"/>
    <x v="12"/>
    <s v="DELEGATE AGENCY"/>
    <s v="UNKNOWN"/>
    <x v="1"/>
  </r>
  <r>
    <n v="272297"/>
    <n v="8250"/>
    <x v="1"/>
    <x v="191"/>
    <x v="12"/>
    <s v="DELEGATE AGENCY"/>
    <s v="UNKNOWN"/>
    <x v="1"/>
  </r>
  <r>
    <n v="272298"/>
    <n v="58887"/>
    <x v="3"/>
    <x v="191"/>
    <x v="12"/>
    <s v="DELEGATE AGENCY"/>
    <s v="UNKNOWN"/>
    <x v="1"/>
  </r>
  <r>
    <n v="272299"/>
    <n v="124346"/>
    <x v="1"/>
    <x v="216"/>
    <x v="12"/>
    <s v="DELEGATE AGENCY"/>
    <s v="UNKNOWN"/>
    <x v="1"/>
  </r>
  <r>
    <n v="272300"/>
    <n v="1277460.6000000001"/>
    <x v="1"/>
    <x v="114"/>
    <x v="8"/>
    <s v="DELEGATE AGENCY"/>
    <s v="UNKNOWN"/>
    <x v="1"/>
  </r>
  <r>
    <n v="272303"/>
    <n v="1428166"/>
    <x v="0"/>
    <x v="391"/>
    <x v="8"/>
    <s v="DELEGATE AGENCY"/>
    <s v="RFP"/>
    <x v="1"/>
  </r>
  <r>
    <n v="272305"/>
    <n v="1008166"/>
    <x v="0"/>
    <x v="436"/>
    <x v="8"/>
    <s v="DELEGATE AGENCY"/>
    <s v="RFP"/>
    <x v="1"/>
  </r>
  <r>
    <n v="272306"/>
    <n v="250000"/>
    <x v="0"/>
    <x v="437"/>
    <x v="8"/>
    <s v="DELEGATE AGENCY"/>
    <s v="RFP"/>
    <x v="1"/>
  </r>
  <r>
    <n v="272307"/>
    <n v="197679"/>
    <x v="2"/>
    <x v="201"/>
    <x v="8"/>
    <s v="DELEGATE AGENCY"/>
    <s v="RFP"/>
    <x v="1"/>
  </r>
  <r>
    <n v="272308"/>
    <n v="197680"/>
    <x v="1"/>
    <x v="128"/>
    <x v="1"/>
    <s v="DELEGATE AGENCY"/>
    <s v="SOLE SOURCE"/>
    <x v="1"/>
  </r>
  <r>
    <n v="272341"/>
    <n v="1135649"/>
    <x v="1"/>
    <x v="1901"/>
    <x v="25"/>
    <s v="VEHICLES/HEAVY EQUIPMENT (CAPITAL)"/>
    <s v="SOLE SOURCE"/>
    <x v="1"/>
  </r>
  <r>
    <n v="272381"/>
    <n v="304666.09999999998"/>
    <x v="0"/>
    <x v="200"/>
    <x v="12"/>
    <s v="DELEGATE AGENCY"/>
    <s v="UNKNOWN"/>
    <x v="1"/>
  </r>
  <r>
    <n v="272389"/>
    <n v="136998"/>
    <x v="2"/>
    <x v="139"/>
    <x v="8"/>
    <s v="DELEGATE AGENCY"/>
    <s v="UNKNOWN"/>
    <x v="1"/>
  </r>
  <r>
    <n v="272482"/>
    <n v="117525"/>
    <x v="1"/>
    <x v="261"/>
    <x v="8"/>
    <s v="DELEGATE AGENCY"/>
    <s v="UNKNOWN"/>
    <x v="1"/>
  </r>
  <r>
    <n v="272586"/>
    <n v="12500"/>
    <x v="1"/>
    <x v="1198"/>
    <x v="20"/>
    <s v="COMPTROLLER-OTHER"/>
    <s v="UNKNOWN"/>
    <x v="1"/>
  </r>
  <r>
    <n v="272587"/>
    <n v="20000"/>
    <x v="4"/>
    <x v="1695"/>
    <x v="20"/>
    <s v="COMPTROLLER-OTHER"/>
    <s v="UNKNOWN"/>
    <x v="1"/>
  </r>
  <r>
    <n v="272589"/>
    <n v="90000"/>
    <x v="4"/>
    <x v="360"/>
    <x v="20"/>
    <s v="COMPTROLLER-OTHER"/>
    <s v="UNKNOWN"/>
    <x v="1"/>
  </r>
  <r>
    <n v="272615"/>
    <n v="319815"/>
    <x v="1"/>
    <x v="169"/>
    <x v="12"/>
    <s v="DELEGATE AGENCY"/>
    <s v="UNKNOWN"/>
    <x v="1"/>
  </r>
  <r>
    <n v="272617"/>
    <n v="175076"/>
    <x v="2"/>
    <x v="24"/>
    <x v="12"/>
    <s v="DELEGATE AGENCY"/>
    <s v="UNKNOWN"/>
    <x v="1"/>
  </r>
  <r>
    <n v="272618"/>
    <n v="20448"/>
    <x v="1"/>
    <x v="114"/>
    <x v="12"/>
    <s v="DELEGATE AGENCY"/>
    <s v="UNKNOWN"/>
    <x v="1"/>
  </r>
  <r>
    <n v="272619"/>
    <n v="18432"/>
    <x v="4"/>
    <x v="114"/>
    <x v="12"/>
    <s v="DELEGATE AGENCY"/>
    <s v="UNKNOWN"/>
    <x v="1"/>
  </r>
  <r>
    <n v="272628"/>
    <n v="165681"/>
    <x v="4"/>
    <x v="175"/>
    <x v="12"/>
    <s v="DELEGATE AGENCY"/>
    <s v="UNKNOWN"/>
    <x v="1"/>
  </r>
  <r>
    <n v="272806"/>
    <n v="588956"/>
    <x v="1"/>
    <x v="999"/>
    <x v="14"/>
    <s v="PRO SERV CONSULTING $250,000orABOVE"/>
    <s v="UNKNOWN"/>
    <x v="1"/>
  </r>
  <r>
    <n v="272824"/>
    <n v="52499.9"/>
    <x v="2"/>
    <x v="391"/>
    <x v="22"/>
    <s v="DELEGATE AGENCY"/>
    <s v="UNKNOWN"/>
    <x v="1"/>
  </r>
  <r>
    <n v="272830"/>
    <n v="39374.800000000003"/>
    <x v="1"/>
    <x v="222"/>
    <x v="22"/>
    <s v="DELEGATE AGENCY"/>
    <s v="UNKNOWN"/>
    <x v="1"/>
  </r>
  <r>
    <n v="272857"/>
    <n v="381254"/>
    <x v="4"/>
    <x v="25"/>
    <x v="8"/>
    <s v="DELEGATE AGENCY"/>
    <s v="UNKNOWN"/>
    <x v="1"/>
  </r>
  <r>
    <n v="272860"/>
    <n v="14501525"/>
    <x v="2"/>
    <x v="267"/>
    <x v="5"/>
    <s v="CONSTRUCTION-LARGE $3MILLIONorABOVE"/>
    <s v="BID"/>
    <x v="1"/>
  </r>
  <r>
    <n v="272862"/>
    <n v="13089025"/>
    <x v="0"/>
    <x v="267"/>
    <x v="5"/>
    <s v="CONSTRUCTION-LARGE $3MILLIONorABOVE"/>
    <s v="BID"/>
    <x v="1"/>
  </r>
  <r>
    <n v="272863"/>
    <n v="179426.5"/>
    <x v="0"/>
    <x v="114"/>
    <x v="8"/>
    <s v="DELEGATE AGENCY"/>
    <s v="UNKNOWN"/>
    <x v="1"/>
  </r>
  <r>
    <n v="272864"/>
    <n v="40000"/>
    <x v="1"/>
    <x v="201"/>
    <x v="8"/>
    <s v="DELEGATE AGENCY"/>
    <s v="UNKNOWN"/>
    <x v="1"/>
  </r>
  <r>
    <n v="272870"/>
    <n v="89987"/>
    <x v="4"/>
    <x v="228"/>
    <x v="22"/>
    <s v="DELEGATE AGENCY"/>
    <s v="UNKNOWN"/>
    <x v="1"/>
  </r>
  <r>
    <n v="272874"/>
    <n v="157053.79999999999"/>
    <x v="1"/>
    <x v="1902"/>
    <x v="2"/>
    <s v="COMPTROLLER-OTHER"/>
    <s v="UNKNOWN"/>
    <x v="1"/>
  </r>
  <r>
    <n v="272876"/>
    <n v="150000"/>
    <x v="1"/>
    <x v="1903"/>
    <x v="2"/>
    <s v="COMPTROLLER-OTHER"/>
    <s v="UNKNOWN"/>
    <x v="1"/>
  </r>
  <r>
    <n v="272877"/>
    <n v="150000"/>
    <x v="1"/>
    <x v="1243"/>
    <x v="2"/>
    <s v="COMPTROLLER-OTHER"/>
    <s v="UNKNOWN"/>
    <x v="1"/>
  </r>
  <r>
    <n v="272881"/>
    <n v="250000"/>
    <x v="1"/>
    <x v="1904"/>
    <x v="2"/>
    <s v="COMPTROLLER-OTHER"/>
    <s v="UNKNOWN"/>
    <x v="1"/>
  </r>
  <r>
    <n v="272886"/>
    <n v="150000"/>
    <x v="2"/>
    <x v="788"/>
    <x v="2"/>
    <s v="COMPTROLLER-OTHER"/>
    <s v="UNKNOWN"/>
    <x v="1"/>
  </r>
  <r>
    <n v="272887"/>
    <n v="150000"/>
    <x v="1"/>
    <x v="383"/>
    <x v="2"/>
    <s v="COMPTROLLER-OTHER"/>
    <s v="UNKNOWN"/>
    <x v="1"/>
  </r>
  <r>
    <n v="272890"/>
    <n v="222301.4"/>
    <x v="1"/>
    <x v="24"/>
    <x v="8"/>
    <s v="DELEGATE AGENCY"/>
    <s v="UNKNOWN"/>
    <x v="1"/>
  </r>
  <r>
    <n v="272891"/>
    <n v="201839.8"/>
    <x v="1"/>
    <x v="188"/>
    <x v="8"/>
    <s v="DELEGATE AGENCY"/>
    <s v="UNKNOWN"/>
    <x v="1"/>
  </r>
  <r>
    <n v="272892"/>
    <n v="250000"/>
    <x v="1"/>
    <x v="212"/>
    <x v="8"/>
    <s v="DELEGATE AGENCY"/>
    <s v="UNKNOWN"/>
    <x v="1"/>
  </r>
  <r>
    <n v="272894"/>
    <n v="120257.4"/>
    <x v="2"/>
    <x v="436"/>
    <x v="8"/>
    <s v="DELEGATE AGENCY"/>
    <s v="UNKNOWN"/>
    <x v="1"/>
  </r>
  <r>
    <n v="273004"/>
    <n v="39701"/>
    <x v="1"/>
    <x v="46"/>
    <x v="8"/>
    <s v="DELEGATE AGENCY"/>
    <s v="RFP"/>
    <x v="1"/>
  </r>
  <r>
    <n v="273006"/>
    <n v="22301"/>
    <x v="4"/>
    <x v="42"/>
    <x v="8"/>
    <s v="DELEGATE AGENCY"/>
    <s v="RFP"/>
    <x v="1"/>
  </r>
  <r>
    <n v="273007"/>
    <n v="126111"/>
    <x v="4"/>
    <x v="42"/>
    <x v="8"/>
    <s v="DELEGATE AGENCY"/>
    <s v="RFP"/>
    <x v="1"/>
  </r>
  <r>
    <n v="273009"/>
    <n v="27795"/>
    <x v="1"/>
    <x v="41"/>
    <x v="8"/>
    <s v="DELEGATE AGENCY"/>
    <s v="RFP"/>
    <x v="1"/>
  </r>
  <r>
    <n v="273011"/>
    <n v="306121.5"/>
    <x v="4"/>
    <x v="40"/>
    <x v="8"/>
    <s v="DELEGATE AGENCY"/>
    <s v="RFP"/>
    <x v="1"/>
  </r>
  <r>
    <n v="273012"/>
    <n v="55583"/>
    <x v="2"/>
    <x v="43"/>
    <x v="8"/>
    <s v="DELEGATE AGENCY"/>
    <s v="RFP"/>
    <x v="1"/>
  </r>
  <r>
    <n v="273014"/>
    <n v="35731"/>
    <x v="1"/>
    <x v="44"/>
    <x v="8"/>
    <s v="DELEGATE AGENCY"/>
    <s v="RFP"/>
    <x v="1"/>
  </r>
  <r>
    <n v="273015"/>
    <n v="115134"/>
    <x v="4"/>
    <x v="27"/>
    <x v="8"/>
    <s v="DELEGATE AGENCY"/>
    <s v="RFP"/>
    <x v="1"/>
  </r>
  <r>
    <n v="273016"/>
    <n v="119102"/>
    <x v="1"/>
    <x v="1005"/>
    <x v="8"/>
    <s v="DELEGATE AGENCY"/>
    <s v="RFP"/>
    <x v="1"/>
  </r>
  <r>
    <n v="273017"/>
    <n v="416667"/>
    <x v="1"/>
    <x v="19"/>
    <x v="1"/>
    <s v="DELEGATE AGENCY"/>
    <s v="UNKNOWN"/>
    <x v="1"/>
  </r>
  <r>
    <n v="273020"/>
    <n v="1677083"/>
    <x v="2"/>
    <x v="40"/>
    <x v="8"/>
    <s v="DELEGATE AGENCY"/>
    <s v="RFP"/>
    <x v="1"/>
  </r>
  <r>
    <n v="273021"/>
    <n v="119792"/>
    <x v="0"/>
    <x v="204"/>
    <x v="8"/>
    <s v="DELEGATE AGENCY"/>
    <s v="RFP"/>
    <x v="1"/>
  </r>
  <r>
    <n v="273022"/>
    <n v="119792"/>
    <x v="1"/>
    <x v="168"/>
    <x v="8"/>
    <s v="DELEGATE AGENCY"/>
    <s v="RFP"/>
    <x v="1"/>
  </r>
  <r>
    <n v="273023"/>
    <n v="20817"/>
    <x v="1"/>
    <x v="38"/>
    <x v="8"/>
    <s v="DELEGATE AGENCY"/>
    <s v="RFP"/>
    <x v="1"/>
  </r>
  <r>
    <n v="273024"/>
    <n v="27783"/>
    <x v="4"/>
    <x v="38"/>
    <x v="8"/>
    <s v="DELEGATE AGENCY"/>
    <s v="RFP"/>
    <x v="1"/>
  </r>
  <r>
    <n v="273025"/>
    <n v="27783"/>
    <x v="4"/>
    <x v="24"/>
    <x v="8"/>
    <s v="DELEGATE AGENCY"/>
    <s v="RFP"/>
    <x v="1"/>
  </r>
  <r>
    <n v="273026"/>
    <n v="27783"/>
    <x v="4"/>
    <x v="37"/>
    <x v="8"/>
    <s v="DELEGATE AGENCY"/>
    <s v="RFP"/>
    <x v="1"/>
  </r>
  <r>
    <n v="273273"/>
    <n v="163688.29999999999"/>
    <x v="4"/>
    <x v="605"/>
    <x v="12"/>
    <s v="DELEGATE AGENCY"/>
    <s v="UNKNOWN"/>
    <x v="1"/>
  </r>
  <r>
    <n v="273280"/>
    <n v="125000"/>
    <x v="1"/>
    <x v="328"/>
    <x v="8"/>
    <s v="DELEGATE AGENCY"/>
    <s v="RFP"/>
    <x v="1"/>
  </r>
  <r>
    <n v="273283"/>
    <n v="125000"/>
    <x v="1"/>
    <x v="28"/>
    <x v="8"/>
    <s v="DELEGATE AGENCY"/>
    <s v="RFP"/>
    <x v="1"/>
  </r>
  <r>
    <n v="273286"/>
    <n v="125000"/>
    <x v="1"/>
    <x v="329"/>
    <x v="8"/>
    <s v="DELEGATE AGENCY"/>
    <s v="RFP"/>
    <x v="1"/>
  </r>
  <r>
    <n v="273288"/>
    <n v="125000"/>
    <x v="1"/>
    <x v="28"/>
    <x v="8"/>
    <s v="DELEGATE AGENCY"/>
    <s v="RFP"/>
    <x v="1"/>
  </r>
  <r>
    <n v="273289"/>
    <n v="125000"/>
    <x v="1"/>
    <x v="204"/>
    <x v="8"/>
    <s v="DELEGATE AGENCY"/>
    <s v="RFP"/>
    <x v="1"/>
  </r>
  <r>
    <n v="273290"/>
    <n v="125000"/>
    <x v="1"/>
    <x v="204"/>
    <x v="8"/>
    <s v="DELEGATE AGENCY"/>
    <s v="RFP"/>
    <x v="1"/>
  </r>
  <r>
    <n v="273305"/>
    <n v="43092"/>
    <x v="1"/>
    <x v="299"/>
    <x v="12"/>
    <s v="DELEGATE AGENCY"/>
    <s v="UNKNOWN"/>
    <x v="1"/>
  </r>
  <r>
    <n v="273306"/>
    <n v="53868"/>
    <x v="4"/>
    <x v="299"/>
    <x v="12"/>
    <s v="DELEGATE AGENCY"/>
    <s v="UNKNOWN"/>
    <x v="1"/>
  </r>
  <r>
    <n v="273449"/>
    <n v="176148"/>
    <x v="1"/>
    <x v="691"/>
    <x v="12"/>
    <s v="DELEGATE AGENCY"/>
    <s v="UNKNOWN"/>
    <x v="1"/>
  </r>
  <r>
    <n v="273450"/>
    <n v="147699.20000000001"/>
    <x v="1"/>
    <x v="114"/>
    <x v="12"/>
    <s v="DELEGATE AGENCY"/>
    <s v="UNKNOWN"/>
    <x v="1"/>
  </r>
  <r>
    <n v="273456"/>
    <n v="172203.7"/>
    <x v="1"/>
    <x v="583"/>
    <x v="12"/>
    <s v="DELEGATE AGENCY"/>
    <s v="UNKNOWN"/>
    <x v="1"/>
  </r>
  <r>
    <n v="273457"/>
    <n v="135776.20000000001"/>
    <x v="1"/>
    <x v="73"/>
    <x v="12"/>
    <s v="DELEGATE AGENCY"/>
    <s v="UNKNOWN"/>
    <x v="1"/>
  </r>
  <r>
    <n v="273458"/>
    <n v="274537.40000000002"/>
    <x v="1"/>
    <x v="1867"/>
    <x v="8"/>
    <s v="DELEGATE AGENCY"/>
    <s v="UNKNOWN"/>
    <x v="1"/>
  </r>
  <r>
    <n v="273459"/>
    <n v="325000"/>
    <x v="2"/>
    <x v="189"/>
    <x v="8"/>
    <s v="DELEGATE AGENCY"/>
    <s v="UNKNOWN"/>
    <x v="1"/>
  </r>
  <r>
    <n v="273460"/>
    <n v="40000"/>
    <x v="2"/>
    <x v="977"/>
    <x v="19"/>
    <s v="DELEGATE AGENCY"/>
    <s v="UNKNOWN"/>
    <x v="1"/>
  </r>
  <r>
    <n v="273461"/>
    <n v="133596.1"/>
    <x v="4"/>
    <x v="73"/>
    <x v="12"/>
    <s v="DELEGATE AGENCY"/>
    <s v="UNKNOWN"/>
    <x v="1"/>
  </r>
  <r>
    <n v="273462"/>
    <n v="145622.70000000001"/>
    <x v="1"/>
    <x v="879"/>
    <x v="12"/>
    <s v="DELEGATE AGENCY"/>
    <s v="UNKNOWN"/>
    <x v="1"/>
  </r>
  <r>
    <n v="273539"/>
    <n v="540000"/>
    <x v="1"/>
    <x v="1905"/>
    <x v="2"/>
    <s v="COMPTROLLER-OTHER"/>
    <s v="UNKNOWN"/>
    <x v="1"/>
  </r>
  <r>
    <n v="273541"/>
    <n v="150000"/>
    <x v="2"/>
    <x v="1906"/>
    <x v="2"/>
    <s v="COMPTROLLER-OTHER"/>
    <s v="UNKNOWN"/>
    <x v="1"/>
  </r>
  <r>
    <n v="273542"/>
    <n v="3000000"/>
    <x v="1"/>
    <x v="359"/>
    <x v="2"/>
    <s v="COMPTROLLER-OTHER"/>
    <s v="UNKNOWN"/>
    <x v="1"/>
  </r>
  <r>
    <n v="273543"/>
    <n v="150000"/>
    <x v="0"/>
    <x v="1907"/>
    <x v="2"/>
    <s v="COMPTROLLER-OTHER"/>
    <s v="UNKNOWN"/>
    <x v="1"/>
  </r>
  <r>
    <n v="273546"/>
    <n v="400000"/>
    <x v="1"/>
    <x v="1213"/>
    <x v="2"/>
    <s v="COMPTROLLER-OTHER"/>
    <s v="UNKNOWN"/>
    <x v="1"/>
  </r>
  <r>
    <n v="273548"/>
    <n v="320700"/>
    <x v="2"/>
    <x v="464"/>
    <x v="2"/>
    <s v="COMPTROLLER-OTHER"/>
    <s v="UNKNOWN"/>
    <x v="1"/>
  </r>
  <r>
    <n v="273556"/>
    <n v="45000"/>
    <x v="2"/>
    <x v="1265"/>
    <x v="20"/>
    <s v="COMPTROLLER-OTHER"/>
    <s v="UNKNOWN"/>
    <x v="1"/>
  </r>
  <r>
    <n v="273557"/>
    <n v="75000"/>
    <x v="4"/>
    <x v="1350"/>
    <x v="20"/>
    <s v="COMPTROLLER-OTHER"/>
    <s v="UNKNOWN"/>
    <x v="1"/>
  </r>
  <r>
    <n v="273559"/>
    <n v="250000"/>
    <x v="1"/>
    <x v="1520"/>
    <x v="20"/>
    <s v="COMPTROLLER-OTHER"/>
    <s v="UNKNOWN"/>
    <x v="1"/>
  </r>
  <r>
    <n v="273560"/>
    <n v="250000"/>
    <x v="2"/>
    <x v="1161"/>
    <x v="20"/>
    <s v="COMPTROLLER-OTHER"/>
    <s v="UNKNOWN"/>
    <x v="1"/>
  </r>
  <r>
    <n v="273562"/>
    <n v="250000"/>
    <x v="2"/>
    <x v="819"/>
    <x v="20"/>
    <s v="COMPTROLLER-OTHER"/>
    <s v="UNKNOWN"/>
    <x v="1"/>
  </r>
  <r>
    <n v="273563"/>
    <n v="4500"/>
    <x v="2"/>
    <x v="1133"/>
    <x v="20"/>
    <s v="COMPTROLLER-OTHER"/>
    <s v="UNKNOWN"/>
    <x v="1"/>
  </r>
  <r>
    <n v="273624"/>
    <n v="4500000"/>
    <x v="3"/>
    <x v="788"/>
    <x v="2"/>
    <s v="COMPTROLLER-OTHER"/>
    <s v="UNKNOWN"/>
    <x v="1"/>
  </r>
  <r>
    <n v="273626"/>
    <n v="2500000"/>
    <x v="0"/>
    <x v="169"/>
    <x v="2"/>
    <s v="COMPTROLLER-OTHER"/>
    <s v="UNKNOWN"/>
    <x v="1"/>
  </r>
  <r>
    <n v="273704"/>
    <n v="147315.29999999999"/>
    <x v="0"/>
    <x v="879"/>
    <x v="12"/>
    <s v="DELEGATE AGENCY"/>
    <s v="UNKNOWN"/>
    <x v="1"/>
  </r>
  <r>
    <n v="273705"/>
    <n v="110933.4"/>
    <x v="1"/>
    <x v="78"/>
    <x v="12"/>
    <s v="DELEGATE AGENCY"/>
    <s v="UNKNOWN"/>
    <x v="1"/>
  </r>
  <r>
    <n v="273706"/>
    <n v="174030.5"/>
    <x v="1"/>
    <x v="880"/>
    <x v="12"/>
    <s v="DELEGATE AGENCY"/>
    <s v="UNKNOWN"/>
    <x v="1"/>
  </r>
  <r>
    <n v="273707"/>
    <n v="176042"/>
    <x v="1"/>
    <x v="880"/>
    <x v="12"/>
    <s v="DELEGATE AGENCY"/>
    <s v="UNKNOWN"/>
    <x v="1"/>
  </r>
  <r>
    <n v="273708"/>
    <n v="149010.5"/>
    <x v="1"/>
    <x v="167"/>
    <x v="12"/>
    <s v="DELEGATE AGENCY"/>
    <s v="UNKNOWN"/>
    <x v="1"/>
  </r>
  <r>
    <n v="273709"/>
    <n v="221314.8"/>
    <x v="1"/>
    <x v="449"/>
    <x v="12"/>
    <s v="DELEGATE AGENCY"/>
    <s v="UNKNOWN"/>
    <x v="1"/>
  </r>
  <r>
    <n v="273736"/>
    <n v="250000"/>
    <x v="1"/>
    <x v="1908"/>
    <x v="2"/>
    <s v="COMPTROLLER-OTHER"/>
    <s v="UNKNOWN"/>
    <x v="1"/>
  </r>
  <r>
    <n v="273740"/>
    <n v="329800"/>
    <x v="2"/>
    <x v="145"/>
    <x v="2"/>
    <s v="COMPTROLLER-OTHER"/>
    <s v="UNKNOWN"/>
    <x v="1"/>
  </r>
  <r>
    <n v="273749"/>
    <n v="2500000"/>
    <x v="2"/>
    <x v="145"/>
    <x v="2"/>
    <s v="COMPTROLLER-OTHER"/>
    <s v="UNKNOWN"/>
    <x v="1"/>
  </r>
  <r>
    <n v="273754"/>
    <n v="5750000"/>
    <x v="0"/>
    <x v="145"/>
    <x v="2"/>
    <s v="COMPTROLLER-OTHER"/>
    <s v="UNKNOWN"/>
    <x v="1"/>
  </r>
  <r>
    <n v="273756"/>
    <n v="3500000"/>
    <x v="0"/>
    <x v="145"/>
    <x v="2"/>
    <s v="COMPTROLLER-OTHER"/>
    <s v="UNKNOWN"/>
    <x v="1"/>
  </r>
  <r>
    <n v="273757"/>
    <n v="10130000"/>
    <x v="0"/>
    <x v="145"/>
    <x v="2"/>
    <s v="COMPTROLLER-OTHER"/>
    <s v="UNKNOWN"/>
    <x v="1"/>
  </r>
  <r>
    <n v="273763"/>
    <n v="104391.2"/>
    <x v="0"/>
    <x v="1871"/>
    <x v="12"/>
    <s v="DELEGATE AGENCY"/>
    <s v="UNKNOWN"/>
    <x v="1"/>
  </r>
  <r>
    <n v="273766"/>
    <n v="131859.29999999999"/>
    <x v="1"/>
    <x v="76"/>
    <x v="12"/>
    <s v="DELEGATE AGENCY"/>
    <s v="UNKNOWN"/>
    <x v="1"/>
  </r>
  <r>
    <n v="273789"/>
    <n v="1990384.5"/>
    <x v="1"/>
    <x v="76"/>
    <x v="12"/>
    <s v="DELEGATE AGENCY"/>
    <s v="UNKNOWN"/>
    <x v="1"/>
  </r>
  <r>
    <n v="273824"/>
    <n v="91350.6"/>
    <x v="0"/>
    <x v="76"/>
    <x v="12"/>
    <s v="DELEGATE AGENCY"/>
    <s v="UNKNOWN"/>
    <x v="1"/>
  </r>
  <r>
    <n v="273825"/>
    <n v="278597"/>
    <x v="1"/>
    <x v="85"/>
    <x v="12"/>
    <s v="DELEGATE AGENCY"/>
    <s v="UNKNOWN"/>
    <x v="1"/>
  </r>
  <r>
    <n v="273860"/>
    <n v="221434.7"/>
    <x v="2"/>
    <x v="376"/>
    <x v="2"/>
    <s v="DELEGATE AGENCY"/>
    <s v="UNKNOWN"/>
    <x v="1"/>
  </r>
  <r>
    <n v="273966"/>
    <n v="192738"/>
    <x v="1"/>
    <x v="359"/>
    <x v="2"/>
    <s v="DELEGATE AGENCY"/>
    <s v="UNKNOWN"/>
    <x v="1"/>
  </r>
  <r>
    <n v="273971"/>
    <n v="325966.3"/>
    <x v="1"/>
    <x v="455"/>
    <x v="2"/>
    <s v="DELEGATE AGENCY"/>
    <s v="UNKNOWN"/>
    <x v="1"/>
  </r>
  <r>
    <n v="273973"/>
    <n v="275270"/>
    <x v="2"/>
    <x v="1155"/>
    <x v="2"/>
    <s v="DELEGATE AGENCY"/>
    <s v="UNKNOWN"/>
    <x v="1"/>
  </r>
  <r>
    <n v="273976"/>
    <n v="55000"/>
    <x v="2"/>
    <x v="978"/>
    <x v="19"/>
    <s v="DELEGATE AGENCY"/>
    <s v="UNKNOWN"/>
    <x v="1"/>
  </r>
  <r>
    <n v="273991"/>
    <n v="388013360"/>
    <x v="1"/>
    <x v="1909"/>
    <x v="5"/>
    <s v="COMMODITIES"/>
    <s v="BID"/>
    <x v="1"/>
  </r>
  <r>
    <n v="274000"/>
    <n v="22758600"/>
    <x v="0"/>
    <x v="1910"/>
    <x v="5"/>
    <s v="COMMODITIES"/>
    <s v="BID"/>
    <x v="2"/>
  </r>
  <r>
    <n v="274025"/>
    <n v="1066050"/>
    <x v="0"/>
    <x v="605"/>
    <x v="12"/>
    <s v="DELEGATE AGENCY"/>
    <s v="UNKNOWN"/>
    <x v="1"/>
  </r>
  <r>
    <n v="274026"/>
    <n v="558977"/>
    <x v="0"/>
    <x v="1065"/>
    <x v="12"/>
    <s v="DELEGATE AGENCY"/>
    <s v="UNKNOWN"/>
    <x v="1"/>
  </r>
  <r>
    <n v="274033"/>
    <n v="71070"/>
    <x v="2"/>
    <x v="605"/>
    <x v="12"/>
    <s v="DELEGATE AGENCY"/>
    <s v="UNKNOWN"/>
    <x v="1"/>
  </r>
  <r>
    <n v="274034"/>
    <n v="71037.600000000006"/>
    <x v="1"/>
    <x v="605"/>
    <x v="12"/>
    <s v="DELEGATE AGENCY"/>
    <s v="UNKNOWN"/>
    <x v="1"/>
  </r>
  <r>
    <n v="274035"/>
    <n v="71070"/>
    <x v="1"/>
    <x v="605"/>
    <x v="12"/>
    <s v="DELEGATE AGENCY"/>
    <s v="UNKNOWN"/>
    <x v="1"/>
  </r>
  <r>
    <n v="274037"/>
    <n v="71070"/>
    <x v="1"/>
    <x v="605"/>
    <x v="12"/>
    <s v="DELEGATE AGENCY"/>
    <s v="UNKNOWN"/>
    <x v="1"/>
  </r>
  <r>
    <n v="274039"/>
    <n v="317007.59999999998"/>
    <x v="1"/>
    <x v="204"/>
    <x v="2"/>
    <s v="DELEGATE AGENCY"/>
    <s v="UNKNOWN"/>
    <x v="1"/>
  </r>
  <r>
    <n v="274112"/>
    <n v="50000"/>
    <x v="2"/>
    <x v="1411"/>
    <x v="20"/>
    <s v="COMPTROLLER-OTHER"/>
    <s v="UNKNOWN"/>
    <x v="1"/>
  </r>
  <r>
    <n v="274126"/>
    <n v="312744"/>
    <x v="1"/>
    <x v="392"/>
    <x v="2"/>
    <s v="DELEGATE AGENCY"/>
    <s v="UNKNOWN"/>
    <x v="1"/>
  </r>
  <r>
    <n v="274127"/>
    <n v="31313.9"/>
    <x v="2"/>
    <x v="321"/>
    <x v="12"/>
    <s v="DELEGATE AGENCY"/>
    <s v="UNKNOWN"/>
    <x v="1"/>
  </r>
  <r>
    <n v="274128"/>
    <n v="103040"/>
    <x v="4"/>
    <x v="205"/>
    <x v="12"/>
    <s v="DELEGATE AGENCY"/>
    <s v="UNKNOWN"/>
    <x v="1"/>
  </r>
  <r>
    <n v="274129"/>
    <n v="54588"/>
    <x v="1"/>
    <x v="114"/>
    <x v="12"/>
    <s v="DELEGATE AGENCY"/>
    <s v="UNKNOWN"/>
    <x v="1"/>
  </r>
  <r>
    <n v="274181"/>
    <n v="887895"/>
    <x v="1"/>
    <x v="157"/>
    <x v="25"/>
    <s v="PRO SERV CONSULTING $250,000orABOVE"/>
    <s v="SOLE SOURCE"/>
    <x v="2"/>
  </r>
  <r>
    <n v="274219"/>
    <n v="55000"/>
    <x v="2"/>
    <x v="322"/>
    <x v="19"/>
    <s v="DELEGATE AGENCY"/>
    <s v="UNKNOWN"/>
    <x v="1"/>
  </r>
  <r>
    <n v="274272"/>
    <n v="84739"/>
    <x v="1"/>
    <x v="114"/>
    <x v="12"/>
    <s v="DELEGATE AGENCY"/>
    <s v="UNKNOWN"/>
    <x v="1"/>
  </r>
  <r>
    <n v="274273"/>
    <n v="130540"/>
    <x v="1"/>
    <x v="175"/>
    <x v="12"/>
    <s v="DELEGATE AGENCY"/>
    <s v="UNKNOWN"/>
    <x v="1"/>
  </r>
  <r>
    <n v="274274"/>
    <n v="28619"/>
    <x v="1"/>
    <x v="360"/>
    <x v="12"/>
    <s v="DELEGATE AGENCY"/>
    <s v="UNKNOWN"/>
    <x v="1"/>
  </r>
  <r>
    <n v="274275"/>
    <n v="146944.29999999999"/>
    <x v="4"/>
    <x v="82"/>
    <x v="12"/>
    <s v="DELEGATE AGENCY"/>
    <s v="UNKNOWN"/>
    <x v="1"/>
  </r>
  <r>
    <n v="274276"/>
    <n v="41216"/>
    <x v="1"/>
    <x v="446"/>
    <x v="12"/>
    <s v="DELEGATE AGENCY"/>
    <s v="UNKNOWN"/>
    <x v="1"/>
  </r>
  <r>
    <n v="274277"/>
    <n v="11680"/>
    <x v="4"/>
    <x v="211"/>
    <x v="12"/>
    <s v="DELEGATE AGENCY"/>
    <s v="UNKNOWN"/>
    <x v="1"/>
  </r>
  <r>
    <n v="274278"/>
    <n v="19173"/>
    <x v="4"/>
    <x v="114"/>
    <x v="12"/>
    <s v="DELEGATE AGENCY"/>
    <s v="UNKNOWN"/>
    <x v="1"/>
  </r>
  <r>
    <n v="274279"/>
    <n v="142140"/>
    <x v="4"/>
    <x v="1221"/>
    <x v="12"/>
    <s v="DELEGATE AGENCY"/>
    <s v="UNKNOWN"/>
    <x v="1"/>
  </r>
  <r>
    <n v="274285"/>
    <n v="325000"/>
    <x v="1"/>
    <x v="337"/>
    <x v="26"/>
    <s v="DELEGATE AGENCY"/>
    <s v="UNKNOWN"/>
    <x v="1"/>
  </r>
  <r>
    <n v="274294"/>
    <n v="269.89999999999998"/>
    <x v="2"/>
    <x v="999"/>
    <x v="2"/>
    <s v="PRO SERV CONSULTING $250,000orABOVE"/>
    <s v="UNKNOWN"/>
    <x v="1"/>
  </r>
  <r>
    <n v="27434"/>
    <n v="1064736.8"/>
    <x v="3"/>
    <x v="1911"/>
    <x v="3"/>
    <s v="PRO SERV CONSULTING $250,000orABOVE"/>
    <s v="RFP"/>
    <x v="1"/>
  </r>
  <r>
    <n v="274456"/>
    <n v="34175"/>
    <x v="0"/>
    <x v="114"/>
    <x v="12"/>
    <s v="DELEGATE AGENCY"/>
    <s v="UNKNOWN"/>
    <x v="1"/>
  </r>
  <r>
    <n v="274457"/>
    <n v="101200"/>
    <x v="4"/>
    <x v="299"/>
    <x v="12"/>
    <s v="DELEGATE AGENCY"/>
    <s v="UNKNOWN"/>
    <x v="1"/>
  </r>
  <r>
    <n v="274458"/>
    <n v="29188.3"/>
    <x v="1"/>
    <x v="299"/>
    <x v="12"/>
    <s v="DELEGATE AGENCY"/>
    <s v="UNKNOWN"/>
    <x v="1"/>
  </r>
  <r>
    <n v="274470"/>
    <n v="748037.1"/>
    <x v="4"/>
    <x v="114"/>
    <x v="8"/>
    <s v="DELEGATE AGENCY"/>
    <s v="UNKNOWN"/>
    <x v="1"/>
  </r>
  <r>
    <n v="274482"/>
    <n v="24208.6"/>
    <x v="2"/>
    <x v="245"/>
    <x v="3"/>
    <s v="JOC"/>
    <s v="UNKNOWN"/>
    <x v="1"/>
  </r>
  <r>
    <n v="274583"/>
    <n v="21497540.399999999"/>
    <x v="4"/>
    <x v="283"/>
    <x v="0"/>
    <s v="CONSTRUCTION-LARGE $3MILLIONorABOVE"/>
    <s v="BID"/>
    <x v="1"/>
  </r>
  <r>
    <n v="274604"/>
    <n v="208073"/>
    <x v="0"/>
    <x v="1912"/>
    <x v="10"/>
    <s v="COMMODITIES-SMALL ORDERS"/>
    <s v="BID"/>
    <x v="1"/>
  </r>
  <r>
    <n v="274630"/>
    <n v="2120941"/>
    <x v="1"/>
    <x v="182"/>
    <x v="8"/>
    <s v="COMPTROLLER-OTHER"/>
    <s v="UNKNOWN"/>
    <x v="1"/>
  </r>
  <r>
    <n v="274695"/>
    <n v="38729"/>
    <x v="0"/>
    <x v="307"/>
    <x v="12"/>
    <s v="DELEGATE AGENCY"/>
    <s v="UNKNOWN"/>
    <x v="1"/>
  </r>
  <r>
    <n v="274701"/>
    <n v="197780.7"/>
    <x v="4"/>
    <x v="359"/>
    <x v="2"/>
    <s v="DELEGATE AGENCY"/>
    <s v="UNKNOWN"/>
    <x v="1"/>
  </r>
  <r>
    <n v="274703"/>
    <n v="98168.5"/>
    <x v="1"/>
    <x v="1005"/>
    <x v="8"/>
    <s v="DELEGATE AGENCY"/>
    <s v="UNKNOWN"/>
    <x v="1"/>
  </r>
  <r>
    <n v="274707"/>
    <n v="91998.6"/>
    <x v="1"/>
    <x v="1871"/>
    <x v="12"/>
    <s v="DELEGATE AGENCY"/>
    <s v="UNKNOWN"/>
    <x v="1"/>
  </r>
  <r>
    <n v="274708"/>
    <n v="132294.79999999999"/>
    <x v="1"/>
    <x v="657"/>
    <x v="12"/>
    <s v="DELEGATE AGENCY"/>
    <s v="UNKNOWN"/>
    <x v="1"/>
  </r>
  <r>
    <n v="274709"/>
    <n v="40010"/>
    <x v="1"/>
    <x v="1913"/>
    <x v="20"/>
    <s v="COMPTROLLER-OTHER"/>
    <s v="UNKNOWN"/>
    <x v="1"/>
  </r>
  <r>
    <n v="274724"/>
    <n v="572510.4"/>
    <x v="4"/>
    <x v="188"/>
    <x v="8"/>
    <s v="DELEGATE AGENCY"/>
    <s v="UNKNOWN"/>
    <x v="1"/>
  </r>
  <r>
    <n v="274729"/>
    <n v="377190"/>
    <x v="2"/>
    <x v="40"/>
    <x v="12"/>
    <s v="DELEGATE AGENCY"/>
    <s v="UNKNOWN"/>
    <x v="1"/>
  </r>
  <r>
    <n v="274731"/>
    <n v="600000"/>
    <x v="2"/>
    <x v="687"/>
    <x v="1"/>
    <s v="DELEGATE AGENCY"/>
    <s v="UNKNOWN"/>
    <x v="1"/>
  </r>
  <r>
    <n v="274736"/>
    <n v="40000"/>
    <x v="2"/>
    <x v="220"/>
    <x v="20"/>
    <s v="COMPTROLLER-OTHER"/>
    <s v="UNKNOWN"/>
    <x v="1"/>
  </r>
  <r>
    <n v="274738"/>
    <n v="235246.5"/>
    <x v="4"/>
    <x v="1914"/>
    <x v="2"/>
    <s v="COMPTROLLER-OTHER"/>
    <s v="UNKNOWN"/>
    <x v="1"/>
  </r>
  <r>
    <n v="274739"/>
    <n v="1600000"/>
    <x v="1"/>
    <x v="892"/>
    <x v="2"/>
    <s v="COMPTROLLER-OTHER"/>
    <s v="UNKNOWN"/>
    <x v="1"/>
  </r>
  <r>
    <n v="274740"/>
    <n v="100000"/>
    <x v="0"/>
    <x v="1915"/>
    <x v="2"/>
    <s v="COMPTROLLER-OTHER"/>
    <s v="UNKNOWN"/>
    <x v="1"/>
  </r>
  <r>
    <n v="274741"/>
    <n v="10000"/>
    <x v="1"/>
    <x v="638"/>
    <x v="20"/>
    <s v="COMPTROLLER-OTHER"/>
    <s v="UNKNOWN"/>
    <x v="1"/>
  </r>
  <r>
    <n v="274744"/>
    <n v="50000"/>
    <x v="4"/>
    <x v="376"/>
    <x v="20"/>
    <s v="COMPTROLLER-OTHER"/>
    <s v="UNKNOWN"/>
    <x v="1"/>
  </r>
  <r>
    <n v="274745"/>
    <n v="25000"/>
    <x v="1"/>
    <x v="1916"/>
    <x v="20"/>
    <s v="COMPTROLLER-OTHER"/>
    <s v="UNKNOWN"/>
    <x v="1"/>
  </r>
  <r>
    <n v="274837"/>
    <n v="7749"/>
    <x v="4"/>
    <x v="114"/>
    <x v="12"/>
    <s v="DELEGATE AGENCY"/>
    <s v="UNKNOWN"/>
    <x v="1"/>
  </r>
  <r>
    <n v="274838"/>
    <n v="41216"/>
    <x v="3"/>
    <x v="59"/>
    <x v="12"/>
    <s v="DELEGATE AGENCY"/>
    <s v="UNKNOWN"/>
    <x v="1"/>
  </r>
  <r>
    <n v="274839"/>
    <n v="412160"/>
    <x v="4"/>
    <x v="605"/>
    <x v="12"/>
    <s v="DELEGATE AGENCY"/>
    <s v="UNKNOWN"/>
    <x v="1"/>
  </r>
  <r>
    <n v="274840"/>
    <n v="515200"/>
    <x v="2"/>
    <x v="605"/>
    <x v="12"/>
    <s v="DELEGATE AGENCY"/>
    <s v="UNKNOWN"/>
    <x v="1"/>
  </r>
  <r>
    <n v="274841"/>
    <n v="288512"/>
    <x v="2"/>
    <x v="605"/>
    <x v="12"/>
    <s v="DELEGATE AGENCY"/>
    <s v="UNKNOWN"/>
    <x v="1"/>
  </r>
  <r>
    <n v="274842"/>
    <n v="309120"/>
    <x v="2"/>
    <x v="605"/>
    <x v="12"/>
    <s v="DELEGATE AGENCY"/>
    <s v="UNKNOWN"/>
    <x v="1"/>
  </r>
  <r>
    <n v="274843"/>
    <n v="267904"/>
    <x v="2"/>
    <x v="605"/>
    <x v="12"/>
    <s v="DELEGATE AGENCY"/>
    <s v="UNKNOWN"/>
    <x v="1"/>
  </r>
  <r>
    <n v="274844"/>
    <n v="771500"/>
    <x v="2"/>
    <x v="76"/>
    <x v="12"/>
    <s v="DELEGATE AGENCY"/>
    <s v="UNKNOWN"/>
    <x v="1"/>
  </r>
  <r>
    <n v="274845"/>
    <n v="20608"/>
    <x v="2"/>
    <x v="689"/>
    <x v="12"/>
    <s v="DELEGATE AGENCY"/>
    <s v="UNKNOWN"/>
    <x v="1"/>
  </r>
  <r>
    <n v="274846"/>
    <n v="618240"/>
    <x v="4"/>
    <x v="605"/>
    <x v="12"/>
    <s v="DELEGATE AGENCY"/>
    <s v="UNKNOWN"/>
    <x v="1"/>
  </r>
  <r>
    <n v="274847"/>
    <n v="20608"/>
    <x v="2"/>
    <x v="610"/>
    <x v="12"/>
    <s v="DELEGATE AGENCY"/>
    <s v="UNKNOWN"/>
    <x v="1"/>
  </r>
  <r>
    <n v="274848"/>
    <n v="220000"/>
    <x v="4"/>
    <x v="299"/>
    <x v="12"/>
    <s v="DELEGATE AGENCY"/>
    <s v="UNKNOWN"/>
    <x v="1"/>
  </r>
  <r>
    <n v="274849"/>
    <n v="44541"/>
    <x v="1"/>
    <x v="300"/>
    <x v="12"/>
    <s v="DELEGATE AGENCY"/>
    <s v="UNKNOWN"/>
    <x v="1"/>
  </r>
  <r>
    <n v="274851"/>
    <n v="99361"/>
    <x v="4"/>
    <x v="342"/>
    <x v="12"/>
    <s v="DELEGATE AGENCY"/>
    <s v="UNKNOWN"/>
    <x v="1"/>
  </r>
  <r>
    <n v="274852"/>
    <n v="175566"/>
    <x v="1"/>
    <x v="312"/>
    <x v="12"/>
    <s v="DELEGATE AGENCY"/>
    <s v="UNKNOWN"/>
    <x v="1"/>
  </r>
  <r>
    <n v="274853"/>
    <n v="78662"/>
    <x v="1"/>
    <x v="370"/>
    <x v="12"/>
    <s v="DELEGATE AGENCY"/>
    <s v="UNKNOWN"/>
    <x v="1"/>
  </r>
  <r>
    <n v="274854"/>
    <n v="76253"/>
    <x v="1"/>
    <x v="213"/>
    <x v="12"/>
    <s v="DELEGATE AGENCY"/>
    <s v="UNKNOWN"/>
    <x v="1"/>
  </r>
  <r>
    <n v="274855"/>
    <n v="376000"/>
    <x v="1"/>
    <x v="493"/>
    <x v="12"/>
    <s v="DELEGATE AGENCY"/>
    <s v="UNKNOWN"/>
    <x v="1"/>
  </r>
  <r>
    <n v="274856"/>
    <n v="638853.1"/>
    <x v="2"/>
    <x v="167"/>
    <x v="12"/>
    <s v="DELEGATE AGENCY"/>
    <s v="UNKNOWN"/>
    <x v="1"/>
  </r>
  <r>
    <n v="274857"/>
    <n v="378000"/>
    <x v="2"/>
    <x v="114"/>
    <x v="12"/>
    <s v="DELEGATE AGENCY"/>
    <s v="UNKNOWN"/>
    <x v="1"/>
  </r>
  <r>
    <n v="274858"/>
    <n v="106269"/>
    <x v="2"/>
    <x v="293"/>
    <x v="12"/>
    <s v="DELEGATE AGENCY"/>
    <s v="UNKNOWN"/>
    <x v="1"/>
  </r>
  <r>
    <n v="274986"/>
    <n v="288512"/>
    <x v="1"/>
    <x v="605"/>
    <x v="12"/>
    <s v="DELEGATE AGENCY"/>
    <s v="UNKNOWN"/>
    <x v="1"/>
  </r>
  <r>
    <n v="274987"/>
    <n v="185472"/>
    <x v="2"/>
    <x v="605"/>
    <x v="12"/>
    <s v="DELEGATE AGENCY"/>
    <s v="UNKNOWN"/>
    <x v="1"/>
  </r>
  <r>
    <n v="275000"/>
    <n v="123648"/>
    <x v="1"/>
    <x v="605"/>
    <x v="12"/>
    <s v="DELEGATE AGENCY"/>
    <s v="UNKNOWN"/>
    <x v="1"/>
  </r>
  <r>
    <n v="275001"/>
    <n v="226688"/>
    <x v="1"/>
    <x v="605"/>
    <x v="12"/>
    <s v="DELEGATE AGENCY"/>
    <s v="UNKNOWN"/>
    <x v="1"/>
  </r>
  <r>
    <n v="275002"/>
    <n v="41216"/>
    <x v="1"/>
    <x v="605"/>
    <x v="12"/>
    <s v="DELEGATE AGENCY"/>
    <s v="UNKNOWN"/>
    <x v="1"/>
  </r>
  <r>
    <n v="275004"/>
    <n v="1653444"/>
    <x v="4"/>
    <x v="199"/>
    <x v="12"/>
    <s v="DELEGATE AGENCY"/>
    <s v="UNKNOWN"/>
    <x v="1"/>
  </r>
  <r>
    <n v="275033"/>
    <n v="226688"/>
    <x v="0"/>
    <x v="605"/>
    <x v="12"/>
    <s v="DELEGATE AGENCY"/>
    <s v="UNKNOWN"/>
    <x v="1"/>
  </r>
  <r>
    <n v="275034"/>
    <n v="99351.8"/>
    <x v="1"/>
    <x v="441"/>
    <x v="12"/>
    <s v="DELEGATE AGENCY"/>
    <s v="UNKNOWN"/>
    <x v="1"/>
  </r>
  <r>
    <n v="275087"/>
    <n v="1000000"/>
    <x v="1"/>
    <x v="259"/>
    <x v="12"/>
    <s v="DELEGATE AGENCY"/>
    <s v="RFP"/>
    <x v="1"/>
  </r>
  <r>
    <n v="275088"/>
    <n v="8014"/>
    <x v="0"/>
    <x v="61"/>
    <x v="12"/>
    <s v="DELEGATE AGENCY"/>
    <s v="UNKNOWN"/>
    <x v="1"/>
  </r>
  <r>
    <n v="275091"/>
    <n v="23769"/>
    <x v="3"/>
    <x v="61"/>
    <x v="12"/>
    <s v="DELEGATE AGENCY"/>
    <s v="UNKNOWN"/>
    <x v="1"/>
  </r>
  <r>
    <n v="275093"/>
    <n v="73829"/>
    <x v="4"/>
    <x v="91"/>
    <x v="12"/>
    <s v="DELEGATE AGENCY"/>
    <s v="UNKNOWN"/>
    <x v="1"/>
  </r>
  <r>
    <n v="275094"/>
    <n v="6484"/>
    <x v="1"/>
    <x v="91"/>
    <x v="12"/>
    <s v="DELEGATE AGENCY"/>
    <s v="UNKNOWN"/>
    <x v="1"/>
  </r>
  <r>
    <n v="275100"/>
    <n v="184055.6"/>
    <x v="3"/>
    <x v="169"/>
    <x v="12"/>
    <s v="DELEGATE AGENCY"/>
    <s v="UNKNOWN"/>
    <x v="1"/>
  </r>
  <r>
    <n v="275107"/>
    <n v="40000"/>
    <x v="1"/>
    <x v="353"/>
    <x v="12"/>
    <s v="DELEGATE AGENCY"/>
    <s v="UNKNOWN"/>
    <x v="1"/>
  </r>
  <r>
    <n v="275109"/>
    <n v="40000"/>
    <x v="4"/>
    <x v="862"/>
    <x v="12"/>
    <s v="DELEGATE AGENCY"/>
    <s v="UNKNOWN"/>
    <x v="1"/>
  </r>
  <r>
    <n v="275112"/>
    <n v="250000"/>
    <x v="4"/>
    <x v="201"/>
    <x v="12"/>
    <s v="DELEGATE AGENCY"/>
    <s v="UNKNOWN"/>
    <x v="1"/>
  </r>
  <r>
    <n v="275113"/>
    <n v="40000"/>
    <x v="2"/>
    <x v="359"/>
    <x v="12"/>
    <s v="DELEGATE AGENCY"/>
    <s v="UNKNOWN"/>
    <x v="1"/>
  </r>
  <r>
    <n v="275132"/>
    <n v="15500.3"/>
    <x v="4"/>
    <x v="999"/>
    <x v="0"/>
    <s v="PRO SERV CONSULTING $250,000orABOVE"/>
    <s v="UNKNOWN"/>
    <x v="1"/>
  </r>
  <r>
    <n v="275142"/>
    <n v="10000"/>
    <x v="4"/>
    <x v="1917"/>
    <x v="20"/>
    <s v="COMPTROLLER-OTHER"/>
    <s v="UNKNOWN"/>
    <x v="1"/>
  </r>
  <r>
    <n v="275143"/>
    <n v="1000"/>
    <x v="4"/>
    <x v="1918"/>
    <x v="20"/>
    <s v="COMPTROLLER-OTHER"/>
    <s v="UNKNOWN"/>
    <x v="1"/>
  </r>
  <r>
    <n v="275174"/>
    <n v="934715.8"/>
    <x v="3"/>
    <x v="1919"/>
    <x v="13"/>
    <s v="COMMODITIES"/>
    <s v="BID"/>
    <x v="1"/>
  </r>
  <r>
    <n v="275179"/>
    <n v="150000"/>
    <x v="2"/>
    <x v="1920"/>
    <x v="2"/>
    <s v="COMPTROLLER-OTHER"/>
    <s v="UNKNOWN"/>
    <x v="1"/>
  </r>
  <r>
    <n v="275180"/>
    <n v="250000"/>
    <x v="1"/>
    <x v="1921"/>
    <x v="2"/>
    <s v="COMPTROLLER-OTHER"/>
    <s v="UNKNOWN"/>
    <x v="1"/>
  </r>
  <r>
    <n v="275206"/>
    <n v="61851"/>
    <x v="2"/>
    <x v="1837"/>
    <x v="8"/>
    <s v="DELEGATE AGENCY"/>
    <s v="UNKNOWN"/>
    <x v="1"/>
  </r>
  <r>
    <n v="275237"/>
    <n v="276000"/>
    <x v="1"/>
    <x v="42"/>
    <x v="1"/>
    <s v="DELEGATE AGENCY"/>
    <s v="UNKNOWN"/>
    <x v="1"/>
  </r>
  <r>
    <n v="275447"/>
    <n v="200233.8"/>
    <x v="2"/>
    <x v="139"/>
    <x v="22"/>
    <s v="DELEGATE AGENCY"/>
    <s v="UNKNOWN"/>
    <x v="1"/>
  </r>
  <r>
    <n v="275448"/>
    <n v="131599.20000000001"/>
    <x v="1"/>
    <x v="228"/>
    <x v="12"/>
    <s v="DELEGATE AGENCY"/>
    <s v="UNKNOWN"/>
    <x v="1"/>
  </r>
  <r>
    <n v="275451"/>
    <n v="20608"/>
    <x v="1"/>
    <x v="510"/>
    <x v="12"/>
    <s v="DELEGATE AGENCY"/>
    <s v="UNKNOWN"/>
    <x v="1"/>
  </r>
  <r>
    <n v="275463"/>
    <n v="36000"/>
    <x v="4"/>
    <x v="611"/>
    <x v="12"/>
    <s v="DELEGATE AGENCY"/>
    <s v="UNKNOWN"/>
    <x v="1"/>
  </r>
  <r>
    <n v="275464"/>
    <n v="17322.400000000001"/>
    <x v="4"/>
    <x v="62"/>
    <x v="12"/>
    <s v="DELEGATE AGENCY"/>
    <s v="UNKNOWN"/>
    <x v="1"/>
  </r>
  <r>
    <n v="275465"/>
    <n v="36000"/>
    <x v="4"/>
    <x v="444"/>
    <x v="12"/>
    <s v="DELEGATE AGENCY"/>
    <s v="UNKNOWN"/>
    <x v="1"/>
  </r>
  <r>
    <n v="275466"/>
    <n v="36000"/>
    <x v="4"/>
    <x v="391"/>
    <x v="12"/>
    <s v="DELEGATE AGENCY"/>
    <s v="UNKNOWN"/>
    <x v="1"/>
  </r>
  <r>
    <n v="275467"/>
    <n v="36000"/>
    <x v="4"/>
    <x v="681"/>
    <x v="12"/>
    <s v="DELEGATE AGENCY"/>
    <s v="UNKNOWN"/>
    <x v="1"/>
  </r>
  <r>
    <n v="275468"/>
    <n v="36000"/>
    <x v="4"/>
    <x v="363"/>
    <x v="12"/>
    <s v="DELEGATE AGENCY"/>
    <s v="UNKNOWN"/>
    <x v="1"/>
  </r>
  <r>
    <n v="275469"/>
    <n v="35301.300000000003"/>
    <x v="4"/>
    <x v="430"/>
    <x v="12"/>
    <s v="DELEGATE AGENCY"/>
    <s v="UNKNOWN"/>
    <x v="1"/>
  </r>
  <r>
    <n v="275470"/>
    <n v="40000"/>
    <x v="4"/>
    <x v="76"/>
    <x v="12"/>
    <s v="DELEGATE AGENCY"/>
    <s v="UNKNOWN"/>
    <x v="1"/>
  </r>
  <r>
    <n v="275471"/>
    <n v="100913.1"/>
    <x v="4"/>
    <x v="995"/>
    <x v="12"/>
    <s v="DELEGATE AGENCY"/>
    <s v="UNKNOWN"/>
    <x v="1"/>
  </r>
  <r>
    <n v="275472"/>
    <n v="54000"/>
    <x v="1"/>
    <x v="1161"/>
    <x v="12"/>
    <s v="DELEGATE AGENCY"/>
    <s v="UNKNOWN"/>
    <x v="1"/>
  </r>
  <r>
    <n v="275473"/>
    <n v="31839.200000000001"/>
    <x v="1"/>
    <x v="91"/>
    <x v="12"/>
    <s v="DELEGATE AGENCY"/>
    <s v="UNKNOWN"/>
    <x v="1"/>
  </r>
  <r>
    <n v="275475"/>
    <n v="23541.5"/>
    <x v="4"/>
    <x v="78"/>
    <x v="12"/>
    <s v="DELEGATE AGENCY"/>
    <s v="UNKNOWN"/>
    <x v="1"/>
  </r>
  <r>
    <n v="275476"/>
    <n v="27054.7"/>
    <x v="4"/>
    <x v="78"/>
    <x v="12"/>
    <s v="DELEGATE AGENCY"/>
    <s v="UNKNOWN"/>
    <x v="1"/>
  </r>
  <r>
    <n v="275477"/>
    <n v="54000"/>
    <x v="4"/>
    <x v="1162"/>
    <x v="12"/>
    <s v="DELEGATE AGENCY"/>
    <s v="UNKNOWN"/>
    <x v="1"/>
  </r>
  <r>
    <n v="275478"/>
    <n v="35832.6"/>
    <x v="1"/>
    <x v="92"/>
    <x v="12"/>
    <s v="DELEGATE AGENCY"/>
    <s v="UNKNOWN"/>
    <x v="1"/>
  </r>
  <r>
    <n v="275479"/>
    <n v="36000"/>
    <x v="4"/>
    <x v="354"/>
    <x v="12"/>
    <s v="DELEGATE AGENCY"/>
    <s v="UNKNOWN"/>
    <x v="1"/>
  </r>
  <r>
    <n v="275480"/>
    <n v="36000"/>
    <x v="4"/>
    <x v="692"/>
    <x v="12"/>
    <s v="DELEGATE AGENCY"/>
    <s v="UNKNOWN"/>
    <x v="1"/>
  </r>
  <r>
    <n v="275481"/>
    <n v="53562.5"/>
    <x v="4"/>
    <x v="583"/>
    <x v="12"/>
    <s v="DELEGATE AGENCY"/>
    <s v="UNKNOWN"/>
    <x v="1"/>
  </r>
  <r>
    <n v="275482"/>
    <n v="83761"/>
    <x v="1"/>
    <x v="1159"/>
    <x v="12"/>
    <s v="DELEGATE AGENCY"/>
    <s v="UNKNOWN"/>
    <x v="1"/>
  </r>
  <r>
    <n v="275483"/>
    <n v="36000"/>
    <x v="1"/>
    <x v="1022"/>
    <x v="12"/>
    <s v="DELEGATE AGENCY"/>
    <s v="UNKNOWN"/>
    <x v="1"/>
  </r>
  <r>
    <n v="275499"/>
    <n v="112461"/>
    <x v="4"/>
    <x v="76"/>
    <x v="12"/>
    <s v="DELEGATE AGENCY"/>
    <s v="UNKNOWN"/>
    <x v="1"/>
  </r>
  <r>
    <n v="275500"/>
    <n v="39595"/>
    <x v="1"/>
    <x v="300"/>
    <x v="12"/>
    <s v="DELEGATE AGENCY"/>
    <s v="UNKNOWN"/>
    <x v="1"/>
  </r>
  <r>
    <n v="275512"/>
    <n v="375000"/>
    <x v="4"/>
    <x v="335"/>
    <x v="12"/>
    <s v="DELEGATE AGENCY"/>
    <s v="UNKNOWN"/>
    <x v="1"/>
  </r>
  <r>
    <n v="275513"/>
    <n v="300000"/>
    <x v="2"/>
    <x v="336"/>
    <x v="12"/>
    <s v="DELEGATE AGENCY"/>
    <s v="UNKNOWN"/>
    <x v="1"/>
  </r>
  <r>
    <n v="275514"/>
    <n v="32015.599999999999"/>
    <x v="2"/>
    <x v="167"/>
    <x v="12"/>
    <s v="DELEGATE AGENCY"/>
    <s v="UNKNOWN"/>
    <x v="1"/>
  </r>
  <r>
    <n v="275602"/>
    <n v="299978"/>
    <x v="4"/>
    <x v="326"/>
    <x v="26"/>
    <s v="DELEGATE AGENCY"/>
    <s v="UNKNOWN"/>
    <x v="1"/>
  </r>
  <r>
    <n v="275685"/>
    <n v="5498889"/>
    <x v="2"/>
    <x v="503"/>
    <x v="12"/>
    <s v="DELEGATE AGENCY"/>
    <s v="UNKNOWN"/>
    <x v="1"/>
  </r>
  <r>
    <n v="275701"/>
    <n v="6575"/>
    <x v="0"/>
    <x v="234"/>
    <x v="20"/>
    <s v="COMPTROLLER-OTHER"/>
    <s v="UNKNOWN"/>
    <x v="1"/>
  </r>
  <r>
    <n v="275702"/>
    <n v="20000"/>
    <x v="3"/>
    <x v="711"/>
    <x v="20"/>
    <s v="COMPTROLLER-OTHER"/>
    <s v="UNKNOWN"/>
    <x v="1"/>
  </r>
  <r>
    <n v="275714"/>
    <n v="10000"/>
    <x v="4"/>
    <x v="1922"/>
    <x v="20"/>
    <s v="COMPTROLLER-OTHER"/>
    <s v="UNKNOWN"/>
    <x v="1"/>
  </r>
  <r>
    <n v="275715"/>
    <n v="150000"/>
    <x v="4"/>
    <x v="911"/>
    <x v="20"/>
    <s v="COMPTROLLER-OTHER"/>
    <s v="UNKNOWN"/>
    <x v="1"/>
  </r>
  <r>
    <n v="275740"/>
    <n v="6000"/>
    <x v="1"/>
    <x v="1923"/>
    <x v="20"/>
    <s v="COMPTROLLER-OTHER"/>
    <s v="UNKNOWN"/>
    <x v="1"/>
  </r>
  <r>
    <n v="275749"/>
    <n v="191697.3"/>
    <x v="3"/>
    <x v="46"/>
    <x v="8"/>
    <s v="DELEGATE AGENCY"/>
    <s v="UNKNOWN"/>
    <x v="1"/>
  </r>
  <r>
    <n v="275878"/>
    <n v="350000"/>
    <x v="1"/>
    <x v="454"/>
    <x v="2"/>
    <s v="DELEGATE AGENCY"/>
    <s v="UNKNOWN"/>
    <x v="1"/>
  </r>
  <r>
    <n v="275985"/>
    <n v="150000"/>
    <x v="2"/>
    <x v="1924"/>
    <x v="2"/>
    <s v="COMPTROLLER-OTHER"/>
    <s v="UNKNOWN"/>
    <x v="1"/>
  </r>
  <r>
    <n v="275988"/>
    <n v="247629.8"/>
    <x v="1"/>
    <x v="1925"/>
    <x v="2"/>
    <s v="COMPTROLLER-OTHER"/>
    <s v="UNKNOWN"/>
    <x v="1"/>
  </r>
  <r>
    <n v="275989"/>
    <n v="189585"/>
    <x v="1"/>
    <x v="1926"/>
    <x v="2"/>
    <s v="COMPTROLLER-OTHER"/>
    <s v="UNKNOWN"/>
    <x v="1"/>
  </r>
  <r>
    <n v="276027"/>
    <n v="2394999.7000000002"/>
    <x v="1"/>
    <x v="503"/>
    <x v="12"/>
    <s v="DELEGATE AGENCY"/>
    <s v="UNKNOWN"/>
    <x v="1"/>
  </r>
  <r>
    <n v="276185"/>
    <n v="17901269"/>
    <x v="0"/>
    <x v="1740"/>
    <x v="12"/>
    <s v="DELEGATE AGENCY"/>
    <s v="UNKNOWN"/>
    <x v="1"/>
  </r>
  <r>
    <n v="276186"/>
    <n v="9284888"/>
    <x v="0"/>
    <x v="1739"/>
    <x v="12"/>
    <s v="DELEGATE AGENCY"/>
    <s v="UNKNOWN"/>
    <x v="1"/>
  </r>
  <r>
    <n v="276295"/>
    <n v="250000"/>
    <x v="0"/>
    <x v="962"/>
    <x v="19"/>
    <s v="DELEGATE AGENCY"/>
    <s v="RFP"/>
    <x v="1"/>
  </r>
  <r>
    <n v="276509"/>
    <n v="3072320"/>
    <x v="2"/>
    <x v="558"/>
    <x v="12"/>
    <s v="DELEGATE AGENCY"/>
    <s v="UNKNOWN"/>
    <x v="1"/>
  </r>
  <r>
    <n v="276512"/>
    <n v="199408.2"/>
    <x v="0"/>
    <x v="204"/>
    <x v="21"/>
    <s v="DELEGATE AGENCY"/>
    <s v="UNKNOWN"/>
    <x v="1"/>
  </r>
  <r>
    <n v="276519"/>
    <n v="30000"/>
    <x v="1"/>
    <x v="1927"/>
    <x v="29"/>
    <s v="DPS DELEGATE AGENCY"/>
    <s v="UNKNOWN"/>
    <x v="1"/>
  </r>
  <r>
    <n v="276569"/>
    <n v="1000000"/>
    <x v="4"/>
    <x v="504"/>
    <x v="8"/>
    <s v="DELEGATE AGENCY"/>
    <s v="RFP"/>
    <x v="1"/>
  </r>
  <r>
    <n v="276784"/>
    <n v="245000"/>
    <x v="0"/>
    <x v="25"/>
    <x v="8"/>
    <s v="DELEGATE AGENCY"/>
    <s v="RFP"/>
    <x v="1"/>
  </r>
  <r>
    <n v="276787"/>
    <n v="34083"/>
    <x v="1"/>
    <x v="391"/>
    <x v="8"/>
    <s v="DELEGATE AGENCY"/>
    <s v="UNKNOWN"/>
    <x v="1"/>
  </r>
  <r>
    <n v="276789"/>
    <n v="34083"/>
    <x v="4"/>
    <x v="201"/>
    <x v="8"/>
    <s v="DELEGATE AGENCY"/>
    <s v="UNKNOWN"/>
    <x v="1"/>
  </r>
  <r>
    <n v="276792"/>
    <n v="33298.400000000001"/>
    <x v="4"/>
    <x v="128"/>
    <x v="8"/>
    <s v="DELEGATE AGENCY"/>
    <s v="UNKNOWN"/>
    <x v="1"/>
  </r>
  <r>
    <n v="276829"/>
    <n v="43083.199999999997"/>
    <x v="4"/>
    <x v="168"/>
    <x v="12"/>
    <s v="DELEGATE AGENCY"/>
    <s v="UNKNOWN"/>
    <x v="1"/>
  </r>
  <r>
    <n v="276830"/>
    <n v="151233.70000000001"/>
    <x v="4"/>
    <x v="1303"/>
    <x v="16"/>
    <s v="COMPTROLLER-OTHER"/>
    <s v="UNKNOWN"/>
    <x v="1"/>
  </r>
  <r>
    <n v="276831"/>
    <n v="1000"/>
    <x v="1"/>
    <x v="1928"/>
    <x v="20"/>
    <s v="COMPTROLLER-OTHER"/>
    <s v="UNKNOWN"/>
    <x v="1"/>
  </r>
  <r>
    <n v="276851"/>
    <n v="15575"/>
    <x v="3"/>
    <x v="1387"/>
    <x v="20"/>
    <s v="COMPTROLLER-OTHER"/>
    <s v="UNKNOWN"/>
    <x v="1"/>
  </r>
  <r>
    <n v="276854"/>
    <n v="207106.8"/>
    <x v="4"/>
    <x v="175"/>
    <x v="12"/>
    <s v="DELEGATE AGENCY"/>
    <s v="UNKNOWN"/>
    <x v="1"/>
  </r>
  <r>
    <n v="276855"/>
    <n v="1665813.7"/>
    <x v="1"/>
    <x v="527"/>
    <x v="22"/>
    <s v="DELEGATE AGENCY"/>
    <s v="UNKNOWN"/>
    <x v="1"/>
  </r>
  <r>
    <n v="276857"/>
    <n v="13000"/>
    <x v="0"/>
    <x v="639"/>
    <x v="20"/>
    <s v="COMPTROLLER-OTHER"/>
    <s v="UNKNOWN"/>
    <x v="1"/>
  </r>
  <r>
    <n v="276870"/>
    <n v="25000"/>
    <x v="4"/>
    <x v="1298"/>
    <x v="20"/>
    <s v="COMPTROLLER-OTHER"/>
    <s v="UNKNOWN"/>
    <x v="1"/>
  </r>
  <r>
    <n v="276871"/>
    <n v="48000"/>
    <x v="4"/>
    <x v="1210"/>
    <x v="20"/>
    <s v="COMPTROLLER-OTHER"/>
    <s v="UNKNOWN"/>
    <x v="1"/>
  </r>
  <r>
    <n v="276873"/>
    <n v="15575"/>
    <x v="4"/>
    <x v="584"/>
    <x v="20"/>
    <s v="COMPTROLLER-OTHER"/>
    <s v="UNKNOWN"/>
    <x v="1"/>
  </r>
  <r>
    <n v="276874"/>
    <n v="15000"/>
    <x v="4"/>
    <x v="829"/>
    <x v="20"/>
    <s v="COMPTROLLER-OTHER"/>
    <s v="UNKNOWN"/>
    <x v="1"/>
  </r>
  <r>
    <n v="276876"/>
    <n v="15575"/>
    <x v="4"/>
    <x v="578"/>
    <x v="20"/>
    <s v="COMPTROLLER-OTHER"/>
    <s v="UNKNOWN"/>
    <x v="1"/>
  </r>
  <r>
    <n v="276925"/>
    <n v="1040000"/>
    <x v="4"/>
    <x v="1929"/>
    <x v="25"/>
    <s v="COMPTROLLER-OTHER"/>
    <s v="UNKNOWN"/>
    <x v="1"/>
  </r>
  <r>
    <n v="276934"/>
    <n v="30356.7"/>
    <x v="0"/>
    <x v="371"/>
    <x v="12"/>
    <s v="DELEGATE AGENCY"/>
    <s v="UNKNOWN"/>
    <x v="1"/>
  </r>
  <r>
    <n v="276941"/>
    <n v="17234.400000000001"/>
    <x v="4"/>
    <x v="436"/>
    <x v="8"/>
    <s v="DELEGATE AGENCY"/>
    <s v="UNKNOWN"/>
    <x v="1"/>
  </r>
  <r>
    <n v="277076"/>
    <n v="124560"/>
    <x v="4"/>
    <x v="1930"/>
    <x v="8"/>
    <s v="PRO SERV-SMALL ORDERS"/>
    <s v="BID"/>
    <x v="1"/>
  </r>
  <r>
    <n v="277148"/>
    <n v="112618"/>
    <x v="1"/>
    <x v="1871"/>
    <x v="12"/>
    <s v="DELEGATE AGENCY"/>
    <s v="UNKNOWN"/>
    <x v="1"/>
  </r>
  <r>
    <n v="277149"/>
    <n v="32407"/>
    <x v="1"/>
    <x v="168"/>
    <x v="12"/>
    <s v="DELEGATE AGENCY"/>
    <s v="UNKNOWN"/>
    <x v="1"/>
  </r>
  <r>
    <n v="277180"/>
    <n v="10414010"/>
    <x v="4"/>
    <x v="254"/>
    <x v="11"/>
    <s v="COMMODITIES"/>
    <s v="BID"/>
    <x v="1"/>
  </r>
  <r>
    <n v="277195"/>
    <n v="32049.3"/>
    <x v="0"/>
    <x v="437"/>
    <x v="8"/>
    <s v="DELEGATE AGENCY"/>
    <s v="UNKNOWN"/>
    <x v="1"/>
  </r>
  <r>
    <n v="277369"/>
    <n v="1000000"/>
    <x v="4"/>
    <x v="1931"/>
    <x v="2"/>
    <s v="COMPTROLLER-OTHER"/>
    <s v="UNKNOWN"/>
    <x v="1"/>
  </r>
  <r>
    <n v="277442"/>
    <n v="3000000"/>
    <x v="0"/>
    <x v="558"/>
    <x v="12"/>
    <s v="DELEGATE AGENCY"/>
    <s v="RFP"/>
    <x v="1"/>
  </r>
  <r>
    <n v="27750"/>
    <n v="266705"/>
    <x v="0"/>
    <x v="514"/>
    <x v="0"/>
    <s v="ARCH/ENGINEERING"/>
    <s v="RFP"/>
    <x v="0"/>
  </r>
  <r>
    <n v="277500"/>
    <n v="124746.5"/>
    <x v="2"/>
    <x v="201"/>
    <x v="12"/>
    <s v="DELEGATE AGENCY"/>
    <s v="UNKNOWN"/>
    <x v="1"/>
  </r>
  <r>
    <n v="277501"/>
    <n v="19120.599999999999"/>
    <x v="1"/>
    <x v="359"/>
    <x v="12"/>
    <s v="DELEGATE AGENCY"/>
    <s v="UNKNOWN"/>
    <x v="1"/>
  </r>
  <r>
    <n v="277518"/>
    <n v="275000"/>
    <x v="4"/>
    <x v="1932"/>
    <x v="12"/>
    <s v="DELEGATE AGENCY"/>
    <s v="UNKNOWN"/>
    <x v="1"/>
  </r>
  <r>
    <n v="277633"/>
    <n v="200000"/>
    <x v="2"/>
    <x v="687"/>
    <x v="8"/>
    <s v="DELEGATE AGENCY"/>
    <s v="UNKNOWN"/>
    <x v="1"/>
  </r>
  <r>
    <n v="277737"/>
    <n v="6000"/>
    <x v="1"/>
    <x v="1933"/>
    <x v="20"/>
    <s v="COMPTROLLER-OTHER"/>
    <s v="UNKNOWN"/>
    <x v="1"/>
  </r>
  <r>
    <n v="277738"/>
    <n v="2150"/>
    <x v="3"/>
    <x v="1934"/>
    <x v="20"/>
    <s v="COMPTROLLER-OTHER"/>
    <s v="UNKNOWN"/>
    <x v="1"/>
  </r>
  <r>
    <n v="277744"/>
    <n v="280000"/>
    <x v="3"/>
    <x v="145"/>
    <x v="2"/>
    <s v="COMPTROLLER-OTHER"/>
    <s v="UNKNOWN"/>
    <x v="1"/>
  </r>
  <r>
    <n v="277746"/>
    <n v="1400"/>
    <x v="2"/>
    <x v="1935"/>
    <x v="20"/>
    <s v="COMPTROLLER-OTHER"/>
    <s v="UNKNOWN"/>
    <x v="1"/>
  </r>
  <r>
    <n v="277749"/>
    <n v="150000"/>
    <x v="3"/>
    <x v="1885"/>
    <x v="2"/>
    <s v="COMPTROLLER-OTHER"/>
    <s v="UNKNOWN"/>
    <x v="1"/>
  </r>
  <r>
    <n v="277754"/>
    <n v="250000"/>
    <x v="1"/>
    <x v="1936"/>
    <x v="2"/>
    <s v="COMPTROLLER-OTHER"/>
    <s v="UNKNOWN"/>
    <x v="1"/>
  </r>
  <r>
    <n v="277769"/>
    <n v="6000"/>
    <x v="2"/>
    <x v="1937"/>
    <x v="20"/>
    <s v="COMPTROLLER-OTHER"/>
    <s v="UNKNOWN"/>
    <x v="1"/>
  </r>
  <r>
    <n v="277770"/>
    <n v="209700"/>
    <x v="3"/>
    <x v="1938"/>
    <x v="2"/>
    <s v="COMPTROLLER-OTHER"/>
    <s v="UNKNOWN"/>
    <x v="1"/>
  </r>
  <r>
    <n v="277775"/>
    <n v="550000"/>
    <x v="1"/>
    <x v="145"/>
    <x v="2"/>
    <s v="COMPTROLLER-OTHER"/>
    <s v="UNKNOWN"/>
    <x v="1"/>
  </r>
  <r>
    <n v="277788"/>
    <n v="300000"/>
    <x v="2"/>
    <x v="145"/>
    <x v="2"/>
    <s v="COMPTROLLER-OTHER"/>
    <s v="UNKNOWN"/>
    <x v="1"/>
  </r>
  <r>
    <n v="277792"/>
    <n v="180000"/>
    <x v="2"/>
    <x v="145"/>
    <x v="2"/>
    <s v="COMPTROLLER-OTHER"/>
    <s v="UNKNOWN"/>
    <x v="1"/>
  </r>
  <r>
    <n v="277798"/>
    <n v="783663"/>
    <x v="1"/>
    <x v="145"/>
    <x v="2"/>
    <s v="COMPTROLLER-OTHER"/>
    <s v="UNKNOWN"/>
    <x v="1"/>
  </r>
  <r>
    <n v="277808"/>
    <n v="6000"/>
    <x v="2"/>
    <x v="1939"/>
    <x v="20"/>
    <s v="COMPTROLLER-OTHER"/>
    <s v="UNKNOWN"/>
    <x v="1"/>
  </r>
  <r>
    <n v="277815"/>
    <n v="6000"/>
    <x v="3"/>
    <x v="1940"/>
    <x v="20"/>
    <s v="COMPTROLLER-OTHER"/>
    <s v="UNKNOWN"/>
    <x v="1"/>
  </r>
  <r>
    <n v="277860"/>
    <n v="670377"/>
    <x v="3"/>
    <x v="198"/>
    <x v="12"/>
    <s v="DELEGATE AGENCY"/>
    <s v="UNKNOWN"/>
    <x v="1"/>
  </r>
  <r>
    <n v="277905"/>
    <n v="26666.2"/>
    <x v="2"/>
    <x v="862"/>
    <x v="12"/>
    <s v="DELEGATE AGENCY"/>
    <s v="UNKNOWN"/>
    <x v="1"/>
  </r>
  <r>
    <n v="277945"/>
    <n v="469369"/>
    <x v="4"/>
    <x v="338"/>
    <x v="1"/>
    <s v="DELEGATE AGENCY"/>
    <s v="UNKNOWN"/>
    <x v="1"/>
  </r>
  <r>
    <n v="277957"/>
    <n v="300000"/>
    <x v="2"/>
    <x v="1501"/>
    <x v="22"/>
    <s v="DELEGATE AGENCY"/>
    <s v="UNKNOWN"/>
    <x v="1"/>
  </r>
  <r>
    <n v="278052"/>
    <n v="4000000"/>
    <x v="2"/>
    <x v="145"/>
    <x v="16"/>
    <s v="COMPTROLLER-OTHER"/>
    <s v="UNKNOWN"/>
    <x v="1"/>
  </r>
  <r>
    <n v="278060"/>
    <n v="241634"/>
    <x v="0"/>
    <x v="320"/>
    <x v="12"/>
    <s v="DELEGATE AGENCY"/>
    <s v="UNKNOWN"/>
    <x v="1"/>
  </r>
  <r>
    <n v="278061"/>
    <n v="310000"/>
    <x v="1"/>
    <x v="370"/>
    <x v="12"/>
    <s v="DELEGATE AGENCY"/>
    <s v="UNKNOWN"/>
    <x v="1"/>
  </r>
  <r>
    <n v="278178"/>
    <n v="3750"/>
    <x v="2"/>
    <x v="1941"/>
    <x v="20"/>
    <s v="COMPTROLLER-OTHER"/>
    <s v="UNKNOWN"/>
    <x v="1"/>
  </r>
  <r>
    <n v="278180"/>
    <n v="6000"/>
    <x v="3"/>
    <x v="1942"/>
    <x v="20"/>
    <s v="COMPTROLLER-OTHER"/>
    <s v="UNKNOWN"/>
    <x v="1"/>
  </r>
  <r>
    <n v="278181"/>
    <n v="6000"/>
    <x v="3"/>
    <x v="1943"/>
    <x v="20"/>
    <s v="COMPTROLLER-OTHER"/>
    <s v="UNKNOWN"/>
    <x v="1"/>
  </r>
  <r>
    <n v="278182"/>
    <n v="250000"/>
    <x v="3"/>
    <x v="1714"/>
    <x v="20"/>
    <s v="COMPTROLLER-OTHER"/>
    <s v="UNKNOWN"/>
    <x v="1"/>
  </r>
  <r>
    <n v="278184"/>
    <n v="4750"/>
    <x v="2"/>
    <x v="1944"/>
    <x v="20"/>
    <s v="COMPTROLLER-OTHER"/>
    <s v="UNKNOWN"/>
    <x v="1"/>
  </r>
  <r>
    <n v="278185"/>
    <n v="6000"/>
    <x v="3"/>
    <x v="1945"/>
    <x v="20"/>
    <s v="COMPTROLLER-OTHER"/>
    <s v="UNKNOWN"/>
    <x v="1"/>
  </r>
  <r>
    <n v="278189"/>
    <n v="30523101.899999999"/>
    <x v="3"/>
    <x v="435"/>
    <x v="12"/>
    <s v="DELEGATE AGENCY"/>
    <s v="UNKNOWN"/>
    <x v="1"/>
  </r>
  <r>
    <n v="278190"/>
    <n v="10000"/>
    <x v="0"/>
    <x v="430"/>
    <x v="12"/>
    <s v="DELEGATE AGENCY"/>
    <s v="UNKNOWN"/>
    <x v="1"/>
  </r>
  <r>
    <n v="278194"/>
    <n v="10000000"/>
    <x v="4"/>
    <x v="1070"/>
    <x v="5"/>
    <s v="ARCH/ENGINEERING"/>
    <s v="RFQ"/>
    <x v="1"/>
  </r>
  <r>
    <n v="278254"/>
    <n v="80000"/>
    <x v="0"/>
    <x v="1897"/>
    <x v="20"/>
    <s v="COMPTROLLER-OTHER"/>
    <s v="UNKNOWN"/>
    <x v="1"/>
  </r>
  <r>
    <n v="278264"/>
    <n v="150000"/>
    <x v="1"/>
    <x v="1946"/>
    <x v="20"/>
    <s v="COMPTROLLER-OTHER"/>
    <s v="UNKNOWN"/>
    <x v="1"/>
  </r>
  <r>
    <n v="278285"/>
    <n v="35000"/>
    <x v="1"/>
    <x v="1947"/>
    <x v="20"/>
    <s v="COMPTROLLER-OTHER"/>
    <s v="UNKNOWN"/>
    <x v="1"/>
  </r>
  <r>
    <n v="278290"/>
    <n v="28000"/>
    <x v="4"/>
    <x v="1948"/>
    <x v="20"/>
    <s v="COMPTROLLER-OTHER"/>
    <s v="UNKNOWN"/>
    <x v="1"/>
  </r>
  <r>
    <n v="278336"/>
    <n v="48237166.600000001"/>
    <x v="4"/>
    <x v="11"/>
    <x v="5"/>
    <s v="CONSTRUCTION-LARGE $3MILLIONorABOVE"/>
    <s v="BID"/>
    <x v="1"/>
  </r>
  <r>
    <n v="278338"/>
    <n v="48056347.600000001"/>
    <x v="0"/>
    <x v="11"/>
    <x v="5"/>
    <s v="CONSTRUCTION-LARGE $3MILLIONorABOVE"/>
    <s v="BID"/>
    <x v="1"/>
  </r>
  <r>
    <n v="278339"/>
    <n v="47169242.600000001"/>
    <x v="0"/>
    <x v="11"/>
    <x v="5"/>
    <s v="CONSTRUCTION-LARGE $3MILLIONorABOVE"/>
    <s v="BID"/>
    <x v="1"/>
  </r>
  <r>
    <n v="278438"/>
    <n v="6000"/>
    <x v="0"/>
    <x v="201"/>
    <x v="12"/>
    <s v="DELEGATE AGENCY"/>
    <s v="UNKNOWN"/>
    <x v="1"/>
  </r>
  <r>
    <n v="278479"/>
    <n v="1000"/>
    <x v="3"/>
    <x v="1949"/>
    <x v="20"/>
    <s v="COMPTROLLER-OTHER"/>
    <s v="UNKNOWN"/>
    <x v="1"/>
  </r>
  <r>
    <n v="278587"/>
    <n v="2766351.3"/>
    <x v="3"/>
    <x v="1950"/>
    <x v="9"/>
    <s v="PRO SERV CONSULTING $250,000orABOVE"/>
    <s v="CONTRACT ASSIGNMENT/TRANSFER"/>
    <x v="1"/>
  </r>
  <r>
    <n v="278599"/>
    <n v="408515.5"/>
    <x v="0"/>
    <x v="504"/>
    <x v="8"/>
    <s v="DELEGATE AGENCY"/>
    <s v="UNKNOWN"/>
    <x v="1"/>
  </r>
  <r>
    <n v="278607"/>
    <n v="20000"/>
    <x v="2"/>
    <x v="353"/>
    <x v="12"/>
    <s v="DELEGATE AGENCY"/>
    <s v="UNKNOWN"/>
    <x v="1"/>
  </r>
  <r>
    <n v="278682"/>
    <n v="9121.4"/>
    <x v="4"/>
    <x v="314"/>
    <x v="12"/>
    <s v="DELEGATE AGENCY"/>
    <s v="UNKNOWN"/>
    <x v="1"/>
  </r>
  <r>
    <n v="278847"/>
    <n v="12556839.3999999"/>
    <x v="3"/>
    <x v="1950"/>
    <x v="0"/>
    <s v="PRO SERV CONSULTING $250,000orABOVE"/>
    <s v="RFP"/>
    <x v="1"/>
  </r>
  <r>
    <n v="278918"/>
    <n v="255815.1"/>
    <x v="0"/>
    <x v="370"/>
    <x v="12"/>
    <s v="DELEGATE AGENCY"/>
    <s v="UNKNOWN"/>
    <x v="1"/>
  </r>
  <r>
    <n v="279010"/>
    <n v="10000"/>
    <x v="2"/>
    <x v="1951"/>
    <x v="20"/>
    <s v="COMPTROLLER-OTHER"/>
    <s v="UNKNOWN"/>
    <x v="1"/>
  </r>
  <r>
    <n v="279011"/>
    <n v="1000"/>
    <x v="4"/>
    <x v="1748"/>
    <x v="20"/>
    <s v="COMPTROLLER-OTHER"/>
    <s v="UNKNOWN"/>
    <x v="1"/>
  </r>
  <r>
    <n v="27905"/>
    <n v="74655127"/>
    <x v="3"/>
    <x v="1180"/>
    <x v="6"/>
    <s v="COMPTROLLER-OTHER"/>
    <s v="UNKNOWN"/>
    <x v="2"/>
  </r>
  <r>
    <n v="279108"/>
    <n v="915629.2"/>
    <x v="0"/>
    <x v="24"/>
    <x v="12"/>
    <s v="DELEGATE AGENCY"/>
    <s v="UNKNOWN"/>
    <x v="1"/>
  </r>
  <r>
    <n v="279109"/>
    <n v="114383.5"/>
    <x v="2"/>
    <x v="323"/>
    <x v="12"/>
    <s v="DELEGATE AGENCY"/>
    <s v="UNKNOWN"/>
    <x v="1"/>
  </r>
  <r>
    <n v="279110"/>
    <n v="138296"/>
    <x v="1"/>
    <x v="285"/>
    <x v="12"/>
    <s v="DELEGATE AGENCY"/>
    <s v="UNKNOWN"/>
    <x v="1"/>
  </r>
  <r>
    <n v="279129"/>
    <n v="135000"/>
    <x v="1"/>
    <x v="156"/>
    <x v="2"/>
    <s v="COMPTROLLER-OTHER"/>
    <s v="UNKNOWN"/>
    <x v="1"/>
  </r>
  <r>
    <n v="279130"/>
    <n v="8000000"/>
    <x v="1"/>
    <x v="1410"/>
    <x v="2"/>
    <s v="COMPTROLLER-OTHER"/>
    <s v="UNKNOWN"/>
    <x v="1"/>
  </r>
  <r>
    <n v="279140"/>
    <n v="74674"/>
    <x v="0"/>
    <x v="968"/>
    <x v="2"/>
    <s v="COMPTROLLER-OTHER"/>
    <s v="UNKNOWN"/>
    <x v="1"/>
  </r>
  <r>
    <n v="279148"/>
    <n v="130332"/>
    <x v="1"/>
    <x v="948"/>
    <x v="2"/>
    <s v="COMPTROLLER-OTHER"/>
    <s v="UNKNOWN"/>
    <x v="1"/>
  </r>
  <r>
    <n v="279151"/>
    <n v="342810"/>
    <x v="1"/>
    <x v="376"/>
    <x v="2"/>
    <s v="COMPTROLLER-OTHER"/>
    <s v="UNKNOWN"/>
    <x v="1"/>
  </r>
  <r>
    <n v="279152"/>
    <n v="30000"/>
    <x v="2"/>
    <x v="960"/>
    <x v="2"/>
    <s v="COMPTROLLER-OTHER"/>
    <s v="UNKNOWN"/>
    <x v="1"/>
  </r>
  <r>
    <n v="279224"/>
    <n v="178977"/>
    <x v="4"/>
    <x v="199"/>
    <x v="12"/>
    <s v="DELEGATE AGENCY"/>
    <s v="UNKNOWN"/>
    <x v="1"/>
  </r>
  <r>
    <n v="279225"/>
    <n v="508739"/>
    <x v="1"/>
    <x v="351"/>
    <x v="12"/>
    <s v="DELEGATE AGENCY"/>
    <s v="UNKNOWN"/>
    <x v="1"/>
  </r>
  <r>
    <n v="279226"/>
    <n v="536930"/>
    <x v="2"/>
    <x v="199"/>
    <x v="12"/>
    <s v="DELEGATE AGENCY"/>
    <s v="UNKNOWN"/>
    <x v="1"/>
  </r>
  <r>
    <n v="279227"/>
    <n v="210954"/>
    <x v="2"/>
    <x v="351"/>
    <x v="12"/>
    <s v="DELEGATE AGENCY"/>
    <s v="UNKNOWN"/>
    <x v="1"/>
  </r>
  <r>
    <n v="279228"/>
    <n v="70318"/>
    <x v="1"/>
    <x v="351"/>
    <x v="12"/>
    <s v="DELEGATE AGENCY"/>
    <s v="UNKNOWN"/>
    <x v="1"/>
  </r>
  <r>
    <n v="279229"/>
    <n v="169580"/>
    <x v="1"/>
    <x v="351"/>
    <x v="12"/>
    <s v="DELEGATE AGENCY"/>
    <s v="UNKNOWN"/>
    <x v="1"/>
  </r>
  <r>
    <n v="279261"/>
    <n v="6000"/>
    <x v="1"/>
    <x v="1952"/>
    <x v="20"/>
    <s v="COMPTROLLER-OTHER"/>
    <s v="UNKNOWN"/>
    <x v="1"/>
  </r>
  <r>
    <n v="279262"/>
    <n v="6000"/>
    <x v="3"/>
    <x v="1953"/>
    <x v="20"/>
    <s v="COMPTROLLER-OTHER"/>
    <s v="UNKNOWN"/>
    <x v="1"/>
  </r>
  <r>
    <n v="279263"/>
    <n v="6000"/>
    <x v="3"/>
    <x v="1954"/>
    <x v="20"/>
    <s v="COMPTROLLER-OTHER"/>
    <s v="UNKNOWN"/>
    <x v="1"/>
  </r>
  <r>
    <n v="279265"/>
    <n v="1450"/>
    <x v="3"/>
    <x v="1955"/>
    <x v="20"/>
    <s v="COMPTROLLER-OTHER"/>
    <s v="UNKNOWN"/>
    <x v="1"/>
  </r>
  <r>
    <n v="279268"/>
    <n v="5000"/>
    <x v="3"/>
    <x v="1956"/>
    <x v="20"/>
    <s v="COMPTROLLER-OTHER"/>
    <s v="UNKNOWN"/>
    <x v="1"/>
  </r>
  <r>
    <n v="279269"/>
    <n v="6000"/>
    <x v="3"/>
    <x v="1957"/>
    <x v="20"/>
    <s v="COMPTROLLER-OTHER"/>
    <s v="UNKNOWN"/>
    <x v="1"/>
  </r>
  <r>
    <n v="279306"/>
    <n v="5000"/>
    <x v="3"/>
    <x v="1958"/>
    <x v="20"/>
    <s v="COMPTROLLER-OTHER"/>
    <s v="UNKNOWN"/>
    <x v="1"/>
  </r>
  <r>
    <n v="279308"/>
    <n v="6000"/>
    <x v="3"/>
    <x v="1959"/>
    <x v="20"/>
    <s v="COMPTROLLER-OTHER"/>
    <s v="UNKNOWN"/>
    <x v="1"/>
  </r>
  <r>
    <n v="279320"/>
    <n v="6000"/>
    <x v="3"/>
    <x v="1960"/>
    <x v="20"/>
    <s v="COMPTROLLER-OTHER"/>
    <s v="UNKNOWN"/>
    <x v="1"/>
  </r>
  <r>
    <n v="279325"/>
    <n v="6000"/>
    <x v="3"/>
    <x v="1961"/>
    <x v="20"/>
    <s v="COMPTROLLER-OTHER"/>
    <s v="UNKNOWN"/>
    <x v="1"/>
  </r>
  <r>
    <n v="279332"/>
    <n v="4750"/>
    <x v="3"/>
    <x v="1962"/>
    <x v="20"/>
    <s v="COMPTROLLER-OTHER"/>
    <s v="UNKNOWN"/>
    <x v="1"/>
  </r>
  <r>
    <n v="279333"/>
    <n v="6000"/>
    <x v="3"/>
    <x v="1963"/>
    <x v="20"/>
    <s v="COMPTROLLER-OTHER"/>
    <s v="UNKNOWN"/>
    <x v="1"/>
  </r>
  <r>
    <n v="279335"/>
    <n v="6000"/>
    <x v="3"/>
    <x v="1964"/>
    <x v="20"/>
    <s v="COMPTROLLER-OTHER"/>
    <s v="UNKNOWN"/>
    <x v="1"/>
  </r>
  <r>
    <n v="279340"/>
    <n v="6000"/>
    <x v="3"/>
    <x v="1965"/>
    <x v="20"/>
    <s v="COMPTROLLER-OTHER"/>
    <s v="UNKNOWN"/>
    <x v="1"/>
  </r>
  <r>
    <n v="279344"/>
    <n v="6000"/>
    <x v="3"/>
    <x v="1966"/>
    <x v="20"/>
    <s v="COMPTROLLER-OTHER"/>
    <s v="UNKNOWN"/>
    <x v="1"/>
  </r>
  <r>
    <n v="279395"/>
    <n v="5000"/>
    <x v="3"/>
    <x v="259"/>
    <x v="12"/>
    <s v="DELEGATE AGENCY"/>
    <s v="RFP"/>
    <x v="1"/>
  </r>
  <r>
    <n v="279535"/>
    <n v="6000"/>
    <x v="3"/>
    <x v="1967"/>
    <x v="20"/>
    <s v="COMPTROLLER-OTHER"/>
    <s v="UNKNOWN"/>
    <x v="1"/>
  </r>
  <r>
    <n v="279538"/>
    <n v="6000"/>
    <x v="3"/>
    <x v="1968"/>
    <x v="20"/>
    <s v="COMPTROLLER-OTHER"/>
    <s v="UNKNOWN"/>
    <x v="1"/>
  </r>
  <r>
    <n v="279539"/>
    <n v="6000"/>
    <x v="3"/>
    <x v="1969"/>
    <x v="20"/>
    <s v="COMPTROLLER-OTHER"/>
    <s v="UNKNOWN"/>
    <x v="1"/>
  </r>
  <r>
    <n v="279540"/>
    <n v="589543"/>
    <x v="3"/>
    <x v="1871"/>
    <x v="12"/>
    <s v="DELEGATE AGENCY"/>
    <s v="UNKNOWN"/>
    <x v="1"/>
  </r>
  <r>
    <n v="279541"/>
    <n v="1484894"/>
    <x v="2"/>
    <x v="175"/>
    <x v="12"/>
    <s v="DELEGATE AGENCY"/>
    <s v="UNKNOWN"/>
    <x v="1"/>
  </r>
  <r>
    <n v="279542"/>
    <n v="3000"/>
    <x v="0"/>
    <x v="1970"/>
    <x v="20"/>
    <s v="COMPTROLLER-OTHER"/>
    <s v="UNKNOWN"/>
    <x v="1"/>
  </r>
  <r>
    <n v="279548"/>
    <n v="65750"/>
    <x v="3"/>
    <x v="1971"/>
    <x v="1"/>
    <s v="ARCH/ENGINEERING"/>
    <s v="RFQ"/>
    <x v="1"/>
  </r>
  <r>
    <n v="279661"/>
    <n v="1255.29999999999"/>
    <x v="1"/>
    <x v="433"/>
    <x v="12"/>
    <s v="DELEGATE AGENCY"/>
    <s v="UNKNOWN"/>
    <x v="1"/>
  </r>
  <r>
    <n v="279772"/>
    <n v="36000"/>
    <x v="3"/>
    <x v="444"/>
    <x v="12"/>
    <s v="DELEGATE AGENCY"/>
    <s v="UNKNOWN"/>
    <x v="1"/>
  </r>
  <r>
    <n v="279856"/>
    <n v="99183.2"/>
    <x v="4"/>
    <x v="391"/>
    <x v="8"/>
    <s v="DELEGATE AGENCY"/>
    <s v="UNKNOWN"/>
    <x v="1"/>
  </r>
  <r>
    <n v="279932"/>
    <n v="333000"/>
    <x v="1"/>
    <x v="260"/>
    <x v="12"/>
    <s v="DELEGATE AGENCY"/>
    <s v="RFP"/>
    <x v="1"/>
  </r>
  <r>
    <n v="279953"/>
    <n v="524224.9"/>
    <x v="2"/>
    <x v="1871"/>
    <x v="12"/>
    <s v="DELEGATE AGENCY"/>
    <s v="UNKNOWN"/>
    <x v="1"/>
  </r>
  <r>
    <n v="279960"/>
    <n v="4370"/>
    <x v="2"/>
    <x v="1796"/>
    <x v="2"/>
    <s v="COMPTROLLER-OTHER"/>
    <s v="UNKNOWN"/>
    <x v="1"/>
  </r>
  <r>
    <n v="279963"/>
    <n v="37500000"/>
    <x v="3"/>
    <x v="145"/>
    <x v="2"/>
    <s v="COMPTROLLER-OTHER"/>
    <s v="UNKNOWN"/>
    <x v="1"/>
  </r>
  <r>
    <n v="279967"/>
    <n v="82544"/>
    <x v="0"/>
    <x v="1972"/>
    <x v="2"/>
    <s v="COMPTROLLER-OTHER"/>
    <s v="UNKNOWN"/>
    <x v="1"/>
  </r>
  <r>
    <n v="279968"/>
    <n v="150000"/>
    <x v="1"/>
    <x v="1973"/>
    <x v="2"/>
    <s v="COMPTROLLER-OTHER"/>
    <s v="UNKNOWN"/>
    <x v="1"/>
  </r>
  <r>
    <n v="279969"/>
    <n v="30343"/>
    <x v="1"/>
    <x v="1728"/>
    <x v="2"/>
    <s v="COMPTROLLER-OTHER"/>
    <s v="UNKNOWN"/>
    <x v="1"/>
  </r>
  <r>
    <n v="28009"/>
    <n v="75466360"/>
    <x v="4"/>
    <x v="1974"/>
    <x v="0"/>
    <s v="PRO SERV CONSULTING $250,000orABOVE"/>
    <s v="RFP"/>
    <x v="1"/>
  </r>
  <r>
    <n v="280165"/>
    <n v="125000"/>
    <x v="0"/>
    <x v="1158"/>
    <x v="20"/>
    <s v="COMPTROLLER-OTHER"/>
    <s v="UNKNOWN"/>
    <x v="1"/>
  </r>
  <r>
    <n v="280172"/>
    <n v="199610.2"/>
    <x v="1"/>
    <x v="1618"/>
    <x v="21"/>
    <s v="DELEGATE AGENCY"/>
    <s v="UNKNOWN"/>
    <x v="1"/>
  </r>
  <r>
    <n v="280174"/>
    <n v="64495"/>
    <x v="1"/>
    <x v="1975"/>
    <x v="20"/>
    <s v="COMPTROLLER-OTHER"/>
    <s v="UNKNOWN"/>
    <x v="1"/>
  </r>
  <r>
    <n v="280175"/>
    <n v="5000000"/>
    <x v="1"/>
    <x v="1976"/>
    <x v="2"/>
    <s v="COMPTROLLER-OTHER"/>
    <s v="UNKNOWN"/>
    <x v="1"/>
  </r>
  <r>
    <n v="280176"/>
    <n v="247008.8"/>
    <x v="0"/>
    <x v="1977"/>
    <x v="2"/>
    <s v="COMPTROLLER-OTHER"/>
    <s v="UNKNOWN"/>
    <x v="1"/>
  </r>
  <r>
    <n v="280178"/>
    <n v="1293000"/>
    <x v="1"/>
    <x v="436"/>
    <x v="2"/>
    <s v="COMPTROLLER-OTHER"/>
    <s v="UNKNOWN"/>
    <x v="1"/>
  </r>
  <r>
    <n v="280180"/>
    <n v="405611.6"/>
    <x v="0"/>
    <x v="454"/>
    <x v="2"/>
    <s v="DELEGATE AGENCY"/>
    <s v="UNKNOWN"/>
    <x v="1"/>
  </r>
  <r>
    <n v="280182"/>
    <n v="4347000"/>
    <x v="2"/>
    <x v="1978"/>
    <x v="6"/>
    <s v="WORK SERV-AVIATION"/>
    <s v="BID"/>
    <x v="1"/>
  </r>
  <r>
    <n v="280208"/>
    <n v="102818"/>
    <x v="0"/>
    <x v="963"/>
    <x v="2"/>
    <s v="COMPTROLLER-OTHER"/>
    <s v="UNKNOWN"/>
    <x v="1"/>
  </r>
  <r>
    <n v="280209"/>
    <n v="150000"/>
    <x v="1"/>
    <x v="1979"/>
    <x v="2"/>
    <s v="COMPTROLLER-OTHER"/>
    <s v="UNKNOWN"/>
    <x v="1"/>
  </r>
  <r>
    <n v="280273"/>
    <n v="1000"/>
    <x v="1"/>
    <x v="1980"/>
    <x v="20"/>
    <s v="COMPTROLLER-OTHER"/>
    <s v="UNKNOWN"/>
    <x v="1"/>
  </r>
  <r>
    <n v="280277"/>
    <n v="1000"/>
    <x v="3"/>
    <x v="1981"/>
    <x v="20"/>
    <s v="COMPTROLLER-OTHER"/>
    <s v="UNKNOWN"/>
    <x v="1"/>
  </r>
  <r>
    <n v="280281"/>
    <n v="30400"/>
    <x v="3"/>
    <x v="1387"/>
    <x v="20"/>
    <s v="COMPTROLLER-OTHER"/>
    <s v="UNKNOWN"/>
    <x v="1"/>
  </r>
  <r>
    <n v="280283"/>
    <n v="74500"/>
    <x v="4"/>
    <x v="1344"/>
    <x v="20"/>
    <s v="COMPTROLLER-OTHER"/>
    <s v="UNKNOWN"/>
    <x v="1"/>
  </r>
  <r>
    <n v="280286"/>
    <n v="13500"/>
    <x v="1"/>
    <x v="674"/>
    <x v="20"/>
    <s v="COMPTROLLER-OTHER"/>
    <s v="UNKNOWN"/>
    <x v="1"/>
  </r>
  <r>
    <n v="280352"/>
    <n v="12420000"/>
    <x v="4"/>
    <x v="145"/>
    <x v="2"/>
    <s v="COMPTROLLER-OTHER"/>
    <s v="UNKNOWN"/>
    <x v="1"/>
  </r>
  <r>
    <n v="280353"/>
    <n v="6000000"/>
    <x v="0"/>
    <x v="892"/>
    <x v="2"/>
    <s v="COMPTROLLER-OTHER"/>
    <s v="UNKNOWN"/>
    <x v="1"/>
  </r>
  <r>
    <n v="280387"/>
    <n v="1450000"/>
    <x v="0"/>
    <x v="1982"/>
    <x v="2"/>
    <s v="COMPTROLLER-OTHER"/>
    <s v="UNKNOWN"/>
    <x v="1"/>
  </r>
  <r>
    <n v="280395"/>
    <n v="430000"/>
    <x v="0"/>
    <x v="36"/>
    <x v="6"/>
    <s v="COMPTROLLER-OTHER"/>
    <s v="UNKNOWN"/>
    <x v="1"/>
  </r>
  <r>
    <n v="280401"/>
    <n v="5002000"/>
    <x v="2"/>
    <x v="1107"/>
    <x v="25"/>
    <s v="COMMODITIES"/>
    <s v="BID"/>
    <x v="2"/>
  </r>
  <r>
    <n v="280402"/>
    <n v="10000"/>
    <x v="0"/>
    <x v="727"/>
    <x v="20"/>
    <s v="COMPTROLLER-OTHER"/>
    <s v="UNKNOWN"/>
    <x v="1"/>
  </r>
  <r>
    <n v="280405"/>
    <n v="30000000"/>
    <x v="4"/>
    <x v="1983"/>
    <x v="6"/>
    <s v="PRO SERV-AVIATION"/>
    <s v="RFQ"/>
    <x v="2"/>
  </r>
  <r>
    <n v="280416"/>
    <n v="1820563.1"/>
    <x v="0"/>
    <x v="431"/>
    <x v="0"/>
    <s v="COMPTROLLER-OTHER"/>
    <s v="UNKNOWN"/>
    <x v="1"/>
  </r>
  <r>
    <n v="280423"/>
    <n v="13775000"/>
    <x v="0"/>
    <x v="1984"/>
    <x v="2"/>
    <s v="COMPTROLLER-OTHER"/>
    <s v="UNKNOWN"/>
    <x v="1"/>
  </r>
  <r>
    <n v="280424"/>
    <n v="42257"/>
    <x v="0"/>
    <x v="1504"/>
    <x v="0"/>
    <s v="COMPTROLLER-OTHER"/>
    <s v="UNKNOWN"/>
    <x v="1"/>
  </r>
  <r>
    <n v="280432"/>
    <n v="3000000"/>
    <x v="4"/>
    <x v="1985"/>
    <x v="2"/>
    <s v="COMPTROLLER-OTHER"/>
    <s v="UNKNOWN"/>
    <x v="1"/>
  </r>
  <r>
    <n v="280439"/>
    <n v="3000000"/>
    <x v="0"/>
    <x v="1986"/>
    <x v="2"/>
    <s v="COMPTROLLER-OTHER"/>
    <s v="UNKNOWN"/>
    <x v="1"/>
  </r>
  <r>
    <n v="280440"/>
    <n v="3000000"/>
    <x v="0"/>
    <x v="1390"/>
    <x v="2"/>
    <s v="COMPTROLLER-OTHER"/>
    <s v="UNKNOWN"/>
    <x v="1"/>
  </r>
  <r>
    <n v="280441"/>
    <n v="1450000"/>
    <x v="0"/>
    <x v="1392"/>
    <x v="2"/>
    <s v="COMPTROLLER-OTHER"/>
    <s v="UNKNOWN"/>
    <x v="1"/>
  </r>
  <r>
    <n v="280448"/>
    <n v="150485.5"/>
    <x v="0"/>
    <x v="221"/>
    <x v="21"/>
    <s v="DELEGATE AGENCY"/>
    <s v="UNKNOWN"/>
    <x v="1"/>
  </r>
  <r>
    <n v="280450"/>
    <n v="412823.7"/>
    <x v="1"/>
    <x v="189"/>
    <x v="8"/>
    <s v="DELEGATE AGENCY"/>
    <s v="UNKNOWN"/>
    <x v="1"/>
  </r>
  <r>
    <n v="280461"/>
    <n v="66378.399999999994"/>
    <x v="2"/>
    <x v="228"/>
    <x v="12"/>
    <s v="DELEGATE AGENCY"/>
    <s v="UNKNOWN"/>
    <x v="1"/>
  </r>
  <r>
    <n v="280523"/>
    <n v="106508.4"/>
    <x v="1"/>
    <x v="209"/>
    <x v="12"/>
    <s v="DELEGATE AGENCY"/>
    <s v="UNKNOWN"/>
    <x v="1"/>
  </r>
  <r>
    <n v="280524"/>
    <n v="36500"/>
    <x v="1"/>
    <x v="295"/>
    <x v="12"/>
    <s v="DELEGATE AGENCY"/>
    <s v="UNKNOWN"/>
    <x v="1"/>
  </r>
  <r>
    <n v="280526"/>
    <n v="143800"/>
    <x v="4"/>
    <x v="84"/>
    <x v="12"/>
    <s v="DELEGATE AGENCY"/>
    <s v="UNKNOWN"/>
    <x v="1"/>
  </r>
  <r>
    <n v="280527"/>
    <n v="76216.5"/>
    <x v="1"/>
    <x v="86"/>
    <x v="12"/>
    <s v="DELEGATE AGENCY"/>
    <s v="UNKNOWN"/>
    <x v="1"/>
  </r>
  <r>
    <n v="280528"/>
    <n v="198483.1"/>
    <x v="1"/>
    <x v="298"/>
    <x v="12"/>
    <s v="DELEGATE AGENCY"/>
    <s v="UNKNOWN"/>
    <x v="1"/>
  </r>
  <r>
    <n v="280578"/>
    <n v="196920"/>
    <x v="1"/>
    <x v="603"/>
    <x v="12"/>
    <s v="DELEGATE AGENCY"/>
    <s v="UNKNOWN"/>
    <x v="1"/>
  </r>
  <r>
    <n v="280581"/>
    <n v="12045"/>
    <x v="1"/>
    <x v="301"/>
    <x v="12"/>
    <s v="DELEGATE AGENCY"/>
    <s v="UNKNOWN"/>
    <x v="1"/>
  </r>
  <r>
    <n v="280633"/>
    <n v="664135.4"/>
    <x v="4"/>
    <x v="175"/>
    <x v="12"/>
    <s v="DELEGATE AGENCY"/>
    <s v="UNKNOWN"/>
    <x v="1"/>
  </r>
  <r>
    <n v="280680"/>
    <n v="10000"/>
    <x v="2"/>
    <x v="432"/>
    <x v="12"/>
    <s v="DELEGATE AGENCY"/>
    <s v="UNKNOWN"/>
    <x v="1"/>
  </r>
  <r>
    <n v="28075"/>
    <n v="150000"/>
    <x v="4"/>
    <x v="1341"/>
    <x v="6"/>
    <s v="PRO SERV-AVIATION"/>
    <s v="RFP"/>
    <x v="1"/>
  </r>
  <r>
    <n v="28080"/>
    <n v="150000"/>
    <x v="1"/>
    <x v="1987"/>
    <x v="28"/>
    <s v="PRO SERV CONSULTING $250,000orABOVE"/>
    <s v="CONTRACT ASSIGNMENT/TRANS"/>
    <x v="1"/>
  </r>
  <r>
    <n v="280830"/>
    <n v="44610.3"/>
    <x v="1"/>
    <x v="642"/>
    <x v="14"/>
    <s v="SOFTWARE"/>
    <s v="JOINT PURCHASE"/>
    <x v="1"/>
  </r>
  <r>
    <n v="280877"/>
    <n v="72770"/>
    <x v="4"/>
    <x v="433"/>
    <x v="22"/>
    <s v="DELEGATE AGENCY"/>
    <s v="UNKNOWN"/>
    <x v="1"/>
  </r>
  <r>
    <n v="281166"/>
    <n v="182947.9"/>
    <x v="1"/>
    <x v="301"/>
    <x v="12"/>
    <s v="DELEGATE AGENCY"/>
    <s v="UNKNOWN"/>
    <x v="1"/>
  </r>
  <r>
    <n v="281167"/>
    <n v="182477.7"/>
    <x v="1"/>
    <x v="301"/>
    <x v="12"/>
    <s v="DELEGATE AGENCY"/>
    <s v="UNKNOWN"/>
    <x v="1"/>
  </r>
  <r>
    <n v="281168"/>
    <n v="29200"/>
    <x v="1"/>
    <x v="303"/>
    <x v="12"/>
    <s v="DELEGATE AGENCY"/>
    <s v="UNKNOWN"/>
    <x v="1"/>
  </r>
  <r>
    <n v="281169"/>
    <n v="7284.6"/>
    <x v="4"/>
    <x v="287"/>
    <x v="12"/>
    <s v="DELEGATE AGENCY"/>
    <s v="UNKNOWN"/>
    <x v="1"/>
  </r>
  <r>
    <n v="281170"/>
    <n v="60590"/>
    <x v="3"/>
    <x v="308"/>
    <x v="12"/>
    <s v="DELEGATE AGENCY"/>
    <s v="UNKNOWN"/>
    <x v="1"/>
  </r>
  <r>
    <n v="281171"/>
    <n v="200183"/>
    <x v="1"/>
    <x v="297"/>
    <x v="12"/>
    <s v="DELEGATE AGENCY"/>
    <s v="UNKNOWN"/>
    <x v="1"/>
  </r>
  <r>
    <n v="281172"/>
    <n v="554831.69999999995"/>
    <x v="1"/>
    <x v="297"/>
    <x v="12"/>
    <s v="DELEGATE AGENCY"/>
    <s v="UNKNOWN"/>
    <x v="1"/>
  </r>
  <r>
    <n v="281173"/>
    <n v="142668.29999999999"/>
    <x v="2"/>
    <x v="76"/>
    <x v="12"/>
    <s v="DELEGATE AGENCY"/>
    <s v="UNKNOWN"/>
    <x v="1"/>
  </r>
  <r>
    <n v="281174"/>
    <n v="43799.6"/>
    <x v="1"/>
    <x v="216"/>
    <x v="12"/>
    <s v="DELEGATE AGENCY"/>
    <s v="UNKNOWN"/>
    <x v="1"/>
  </r>
  <r>
    <n v="281176"/>
    <n v="278152.8"/>
    <x v="4"/>
    <x v="293"/>
    <x v="12"/>
    <s v="DELEGATE AGENCY"/>
    <s v="UNKNOWN"/>
    <x v="1"/>
  </r>
  <r>
    <n v="281177"/>
    <n v="136856"/>
    <x v="2"/>
    <x v="311"/>
    <x v="12"/>
    <s v="DELEGATE AGENCY"/>
    <s v="UNKNOWN"/>
    <x v="1"/>
  </r>
  <r>
    <n v="281178"/>
    <n v="117801.3"/>
    <x v="1"/>
    <x v="317"/>
    <x v="12"/>
    <s v="DELEGATE AGENCY"/>
    <s v="UNKNOWN"/>
    <x v="1"/>
  </r>
  <r>
    <n v="281179"/>
    <n v="492523"/>
    <x v="1"/>
    <x v="290"/>
    <x v="12"/>
    <s v="DELEGATE AGENCY"/>
    <s v="UNKNOWN"/>
    <x v="1"/>
  </r>
  <r>
    <n v="281181"/>
    <n v="139497.60000000001"/>
    <x v="2"/>
    <x v="290"/>
    <x v="12"/>
    <s v="DELEGATE AGENCY"/>
    <s v="UNKNOWN"/>
    <x v="1"/>
  </r>
  <r>
    <n v="281182"/>
    <n v="33212.9"/>
    <x v="1"/>
    <x v="209"/>
    <x v="12"/>
    <s v="DELEGATE AGENCY"/>
    <s v="UNKNOWN"/>
    <x v="1"/>
  </r>
  <r>
    <n v="281184"/>
    <n v="441208.1"/>
    <x v="4"/>
    <x v="306"/>
    <x v="12"/>
    <s v="DELEGATE AGENCY"/>
    <s v="UNKNOWN"/>
    <x v="1"/>
  </r>
  <r>
    <n v="281185"/>
    <n v="105842.5"/>
    <x v="2"/>
    <x v="293"/>
    <x v="12"/>
    <s v="DELEGATE AGENCY"/>
    <s v="UNKNOWN"/>
    <x v="1"/>
  </r>
  <r>
    <n v="281187"/>
    <n v="11496.5"/>
    <x v="1"/>
    <x v="312"/>
    <x v="12"/>
    <s v="DELEGATE AGENCY"/>
    <s v="UNKNOWN"/>
    <x v="1"/>
  </r>
  <r>
    <n v="281188"/>
    <n v="29064"/>
    <x v="4"/>
    <x v="211"/>
    <x v="12"/>
    <s v="DELEGATE AGENCY"/>
    <s v="UNKNOWN"/>
    <x v="1"/>
  </r>
  <r>
    <n v="281189"/>
    <n v="9490"/>
    <x v="4"/>
    <x v="294"/>
    <x v="12"/>
    <s v="DELEGATE AGENCY"/>
    <s v="UNKNOWN"/>
    <x v="1"/>
  </r>
  <r>
    <n v="281190"/>
    <n v="236988"/>
    <x v="3"/>
    <x v="1137"/>
    <x v="12"/>
    <s v="DELEGATE AGENCY"/>
    <s v="UNKNOWN"/>
    <x v="1"/>
  </r>
  <r>
    <n v="281192"/>
    <n v="409590"/>
    <x v="1"/>
    <x v="1137"/>
    <x v="12"/>
    <s v="DELEGATE AGENCY"/>
    <s v="UNKNOWN"/>
    <x v="1"/>
  </r>
  <r>
    <n v="281193"/>
    <n v="236988"/>
    <x v="2"/>
    <x v="84"/>
    <x v="12"/>
    <s v="DELEGATE AGENCY"/>
    <s v="UNKNOWN"/>
    <x v="1"/>
  </r>
  <r>
    <n v="281195"/>
    <n v="1020365"/>
    <x v="1"/>
    <x v="67"/>
    <x v="12"/>
    <s v="DELEGATE AGENCY"/>
    <s v="UNKNOWN"/>
    <x v="1"/>
  </r>
  <r>
    <n v="281196"/>
    <n v="118494"/>
    <x v="0"/>
    <x v="100"/>
    <x v="12"/>
    <s v="DELEGATE AGENCY"/>
    <s v="UNKNOWN"/>
    <x v="1"/>
  </r>
  <r>
    <n v="281197"/>
    <n v="436896"/>
    <x v="1"/>
    <x v="100"/>
    <x v="12"/>
    <s v="DELEGATE AGENCY"/>
    <s v="UNKNOWN"/>
    <x v="1"/>
  </r>
  <r>
    <n v="281198"/>
    <n v="131660"/>
    <x v="2"/>
    <x v="153"/>
    <x v="12"/>
    <s v="DELEGATE AGENCY"/>
    <s v="UNKNOWN"/>
    <x v="1"/>
  </r>
  <r>
    <n v="281199"/>
    <n v="73000"/>
    <x v="1"/>
    <x v="309"/>
    <x v="12"/>
    <s v="DELEGATE AGENCY"/>
    <s v="UNKNOWN"/>
    <x v="1"/>
  </r>
  <r>
    <n v="281201"/>
    <n v="1978488"/>
    <x v="1"/>
    <x v="67"/>
    <x v="12"/>
    <s v="DELEGATE AGENCY"/>
    <s v="UNKNOWN"/>
    <x v="1"/>
  </r>
  <r>
    <n v="281203"/>
    <n v="289458.8"/>
    <x v="0"/>
    <x v="284"/>
    <x v="12"/>
    <s v="DELEGATE AGENCY"/>
    <s v="UNKNOWN"/>
    <x v="1"/>
  </r>
  <r>
    <n v="281204"/>
    <n v="164561.1"/>
    <x v="2"/>
    <x v="175"/>
    <x v="12"/>
    <s v="DELEGATE AGENCY"/>
    <s v="UNKNOWN"/>
    <x v="1"/>
  </r>
  <r>
    <n v="281319"/>
    <n v="8028000"/>
    <x v="1"/>
    <x v="1988"/>
    <x v="7"/>
    <s v="WORK SERVICES / FACILITIES MAINT."/>
    <s v="BID"/>
    <x v="1"/>
  </r>
  <r>
    <n v="281621"/>
    <n v="263320"/>
    <x v="0"/>
    <x v="79"/>
    <x v="12"/>
    <s v="DELEGATE AGENCY"/>
    <s v="UNKNOWN"/>
    <x v="1"/>
  </r>
  <r>
    <n v="281624"/>
    <n v="11680"/>
    <x v="2"/>
    <x v="211"/>
    <x v="12"/>
    <s v="DELEGATE AGENCY"/>
    <s v="UNKNOWN"/>
    <x v="1"/>
  </r>
  <r>
    <n v="281711"/>
    <n v="4900000"/>
    <x v="4"/>
    <x v="160"/>
    <x v="5"/>
    <s v="COMMODITIES"/>
    <s v="BID"/>
    <x v="2"/>
  </r>
  <r>
    <n v="281800"/>
    <n v="250000"/>
    <x v="0"/>
    <x v="1989"/>
    <x v="20"/>
    <s v="COMPTROLLER-OTHER"/>
    <s v="UNKNOWN"/>
    <x v="1"/>
  </r>
  <r>
    <n v="281802"/>
    <n v="2000"/>
    <x v="2"/>
    <x v="1990"/>
    <x v="20"/>
    <s v="COMPTROLLER-OTHER"/>
    <s v="UNKNOWN"/>
    <x v="1"/>
  </r>
  <r>
    <n v="281806"/>
    <n v="15000"/>
    <x v="3"/>
    <x v="822"/>
    <x v="20"/>
    <s v="COMPTROLLER-OTHER"/>
    <s v="UNKNOWN"/>
    <x v="1"/>
  </r>
  <r>
    <n v="281817"/>
    <n v="9979190"/>
    <x v="4"/>
    <x v="1991"/>
    <x v="0"/>
    <s v="COMPTROLLER-OTHER"/>
    <s v="UNKNOWN"/>
    <x v="1"/>
  </r>
  <r>
    <n v="281839"/>
    <n v="145000"/>
    <x v="0"/>
    <x v="1992"/>
    <x v="3"/>
    <s v="COMPTROLLER-OTHER"/>
    <s v="UNKNOWN"/>
    <x v="1"/>
  </r>
  <r>
    <n v="281864"/>
    <n v="23230"/>
    <x v="1"/>
    <x v="282"/>
    <x v="22"/>
    <s v="DELEGATE AGENCY"/>
    <s v="UNKNOWN"/>
    <x v="1"/>
  </r>
  <r>
    <n v="281882"/>
    <n v="43800"/>
    <x v="4"/>
    <x v="305"/>
    <x v="12"/>
    <s v="DELEGATE AGENCY"/>
    <s v="UNKNOWN"/>
    <x v="1"/>
  </r>
  <r>
    <n v="281917"/>
    <n v="764568"/>
    <x v="4"/>
    <x v="93"/>
    <x v="12"/>
    <s v="DELEGATE AGENCY"/>
    <s v="UNKNOWN"/>
    <x v="1"/>
  </r>
  <r>
    <n v="281919"/>
    <n v="559555"/>
    <x v="2"/>
    <x v="66"/>
    <x v="12"/>
    <s v="DELEGATE AGENCY"/>
    <s v="UNKNOWN"/>
    <x v="1"/>
  </r>
  <r>
    <n v="281920"/>
    <n v="546120"/>
    <x v="2"/>
    <x v="66"/>
    <x v="12"/>
    <s v="DELEGATE AGENCY"/>
    <s v="UNKNOWN"/>
    <x v="1"/>
  </r>
  <r>
    <n v="281921"/>
    <n v="460810"/>
    <x v="2"/>
    <x v="92"/>
    <x v="12"/>
    <s v="DELEGATE AGENCY"/>
    <s v="UNKNOWN"/>
    <x v="1"/>
  </r>
  <r>
    <n v="282009"/>
    <n v="22255000"/>
    <x v="2"/>
    <x v="1993"/>
    <x v="2"/>
    <s v="COMPTROLLER-OTHER"/>
    <s v="UNKNOWN"/>
    <x v="1"/>
  </r>
  <r>
    <n v="282015"/>
    <n v="250000"/>
    <x v="0"/>
    <x v="1994"/>
    <x v="2"/>
    <s v="COMPTROLLER-OTHER"/>
    <s v="UNKNOWN"/>
    <x v="1"/>
  </r>
  <r>
    <n v="282032"/>
    <n v="24000"/>
    <x v="2"/>
    <x v="57"/>
    <x v="12"/>
    <s v="DELEGATE AGENCY"/>
    <s v="RFP"/>
    <x v="1"/>
  </r>
  <r>
    <n v="282033"/>
    <n v="90000"/>
    <x v="4"/>
    <x v="544"/>
    <x v="12"/>
    <s v="DELEGATE AGENCY"/>
    <s v="RFP"/>
    <x v="1"/>
  </r>
  <r>
    <n v="282034"/>
    <n v="300000"/>
    <x v="1"/>
    <x v="83"/>
    <x v="12"/>
    <s v="DELEGATE AGENCY"/>
    <s v="RFP"/>
    <x v="1"/>
  </r>
  <r>
    <n v="282035"/>
    <n v="800000"/>
    <x v="2"/>
    <x v="59"/>
    <x v="12"/>
    <s v="DELEGATE AGENCY"/>
    <s v="RFP"/>
    <x v="1"/>
  </r>
  <r>
    <n v="282043"/>
    <n v="300000"/>
    <x v="2"/>
    <x v="201"/>
    <x v="1"/>
    <s v="DELEGATE AGENCY"/>
    <s v="UNKNOWN"/>
    <x v="1"/>
  </r>
  <r>
    <n v="282094"/>
    <n v="1065000"/>
    <x v="2"/>
    <x v="91"/>
    <x v="12"/>
    <s v="DELEGATE AGENCY"/>
    <s v="RFP"/>
    <x v="1"/>
  </r>
  <r>
    <n v="282096"/>
    <n v="3200000"/>
    <x v="0"/>
    <x v="63"/>
    <x v="12"/>
    <s v="DELEGATE AGENCY"/>
    <s v="RFP"/>
    <x v="1"/>
  </r>
  <r>
    <n v="282100"/>
    <n v="1513800"/>
    <x v="0"/>
    <x v="566"/>
    <x v="12"/>
    <s v="DELEGATE AGENCY"/>
    <s v="RFP"/>
    <x v="1"/>
  </r>
  <r>
    <n v="282105"/>
    <n v="50000"/>
    <x v="0"/>
    <x v="64"/>
    <x v="12"/>
    <s v="DELEGATE AGENCY"/>
    <s v="RFP"/>
    <x v="1"/>
  </r>
  <r>
    <n v="282107"/>
    <n v="540000"/>
    <x v="1"/>
    <x v="65"/>
    <x v="12"/>
    <s v="DELEGATE AGENCY"/>
    <s v="RFP"/>
    <x v="2"/>
  </r>
  <r>
    <n v="282114"/>
    <n v="24000"/>
    <x v="2"/>
    <x v="68"/>
    <x v="12"/>
    <s v="DELEGATE AGENCY"/>
    <s v="RFP"/>
    <x v="1"/>
  </r>
  <r>
    <n v="282118"/>
    <n v="119000"/>
    <x v="4"/>
    <x v="105"/>
    <x v="12"/>
    <s v="DELEGATE AGENCY"/>
    <s v="RFP"/>
    <x v="1"/>
  </r>
  <r>
    <n v="282127"/>
    <n v="2400000"/>
    <x v="1"/>
    <x v="114"/>
    <x v="12"/>
    <s v="DELEGATE AGENCY"/>
    <s v="RFP"/>
    <x v="1"/>
  </r>
  <r>
    <n v="282130"/>
    <n v="640000"/>
    <x v="0"/>
    <x v="71"/>
    <x v="12"/>
    <s v="DELEGATE AGENCY"/>
    <s v="RFP"/>
    <x v="1"/>
  </r>
  <r>
    <n v="282141"/>
    <n v="170000"/>
    <x v="2"/>
    <x v="116"/>
    <x v="12"/>
    <s v="DELEGATE AGENCY"/>
    <s v="RFP"/>
    <x v="1"/>
  </r>
  <r>
    <n v="282142"/>
    <n v="1306700"/>
    <x v="1"/>
    <x v="119"/>
    <x v="12"/>
    <s v="DELEGATE AGENCY"/>
    <s v="RFP"/>
    <x v="1"/>
  </r>
  <r>
    <n v="282143"/>
    <n v="155500"/>
    <x v="0"/>
    <x v="170"/>
    <x v="12"/>
    <s v="DELEGATE AGENCY"/>
    <s v="RFP"/>
    <x v="1"/>
  </r>
  <r>
    <n v="282144"/>
    <n v="24000"/>
    <x v="1"/>
    <x v="132"/>
    <x v="12"/>
    <s v="DELEGATE AGENCY"/>
    <s v="RFP"/>
    <x v="1"/>
  </r>
  <r>
    <n v="282145"/>
    <n v="521800"/>
    <x v="4"/>
    <x v="76"/>
    <x v="12"/>
    <s v="DELEGATE AGENCY"/>
    <s v="RFP"/>
    <x v="1"/>
  </r>
  <r>
    <n v="282150"/>
    <n v="1959000"/>
    <x v="2"/>
    <x v="77"/>
    <x v="12"/>
    <s v="DELEGATE AGENCY"/>
    <s v="RFP"/>
    <x v="1"/>
  </r>
  <r>
    <n v="282152"/>
    <n v="1300000"/>
    <x v="0"/>
    <x v="78"/>
    <x v="12"/>
    <s v="DELEGATE AGENCY"/>
    <s v="RFP"/>
    <x v="1"/>
  </r>
  <r>
    <n v="282195"/>
    <n v="1295838"/>
    <x v="0"/>
    <x v="92"/>
    <x v="12"/>
    <s v="DELEGATE AGENCY"/>
    <s v="UNKNOWN"/>
    <x v="1"/>
  </r>
  <r>
    <n v="282249"/>
    <n v="111911"/>
    <x v="0"/>
    <x v="115"/>
    <x v="12"/>
    <s v="DELEGATE AGENCY"/>
    <s v="UNKNOWN"/>
    <x v="1"/>
  </r>
  <r>
    <n v="282250"/>
    <n v="1201464"/>
    <x v="1"/>
    <x v="74"/>
    <x v="12"/>
    <s v="DELEGATE AGENCY"/>
    <s v="UNKNOWN"/>
    <x v="1"/>
  </r>
  <r>
    <n v="282273"/>
    <n v="1116225"/>
    <x v="0"/>
    <x v="60"/>
    <x v="12"/>
    <s v="DELEGATE AGENCY"/>
    <s v="RFP"/>
    <x v="1"/>
  </r>
  <r>
    <n v="282275"/>
    <n v="285257"/>
    <x v="0"/>
    <x v="67"/>
    <x v="12"/>
    <s v="DELEGATE AGENCY"/>
    <s v="UNKNOWN"/>
    <x v="1"/>
  </r>
  <r>
    <n v="282276"/>
    <n v="570515"/>
    <x v="2"/>
    <x v="68"/>
    <x v="12"/>
    <s v="DELEGATE AGENCY"/>
    <s v="UNKNOWN"/>
    <x v="1"/>
  </r>
  <r>
    <n v="282278"/>
    <n v="260453"/>
    <x v="2"/>
    <x v="90"/>
    <x v="12"/>
    <s v="DELEGATE AGENCY"/>
    <s v="UNKNOWN"/>
    <x v="1"/>
  </r>
  <r>
    <n v="282279"/>
    <n v="558113"/>
    <x v="2"/>
    <x v="239"/>
    <x v="12"/>
    <s v="DELEGATE AGENCY"/>
    <s v="UNKNOWN"/>
    <x v="1"/>
  </r>
  <r>
    <n v="282280"/>
    <n v="148830"/>
    <x v="2"/>
    <x v="127"/>
    <x v="12"/>
    <s v="DELEGATE AGENCY"/>
    <s v="UNKNOWN"/>
    <x v="1"/>
  </r>
  <r>
    <n v="282330"/>
    <n v="2452.6"/>
    <x v="1"/>
    <x v="1995"/>
    <x v="20"/>
    <s v="COMPTROLLER-OTHER"/>
    <s v="UNKNOWN"/>
    <x v="1"/>
  </r>
  <r>
    <n v="282350"/>
    <n v="764568"/>
    <x v="3"/>
    <x v="114"/>
    <x v="12"/>
    <s v="DELEGATE AGENCY"/>
    <s v="UNKNOWN"/>
    <x v="1"/>
  </r>
  <r>
    <n v="282372"/>
    <n v="655344"/>
    <x v="2"/>
    <x v="62"/>
    <x v="12"/>
    <s v="DELEGATE AGENCY"/>
    <s v="UNKNOWN"/>
    <x v="1"/>
  </r>
  <r>
    <n v="282380"/>
    <n v="974284"/>
    <x v="2"/>
    <x v="62"/>
    <x v="12"/>
    <s v="DELEGATE AGENCY"/>
    <s v="UNKNOWN"/>
    <x v="1"/>
  </r>
  <r>
    <n v="282382"/>
    <n v="1119310"/>
    <x v="2"/>
    <x v="114"/>
    <x v="12"/>
    <s v="DELEGATE AGENCY"/>
    <s v="UNKNOWN"/>
    <x v="1"/>
  </r>
  <r>
    <n v="282417"/>
    <n v="116101"/>
    <x v="0"/>
    <x v="293"/>
    <x v="12"/>
    <s v="DELEGATE AGENCY"/>
    <s v="UNKNOWN"/>
    <x v="1"/>
  </r>
  <r>
    <n v="282418"/>
    <n v="227420"/>
    <x v="1"/>
    <x v="313"/>
    <x v="12"/>
    <s v="DELEGATE AGENCY"/>
    <s v="UNKNOWN"/>
    <x v="1"/>
  </r>
  <r>
    <n v="282440"/>
    <n v="967500"/>
    <x v="1"/>
    <x v="114"/>
    <x v="12"/>
    <s v="DELEGATE AGENCY"/>
    <s v="UNKNOWN"/>
    <x v="1"/>
  </r>
  <r>
    <n v="282448"/>
    <n v="1273164"/>
    <x v="2"/>
    <x v="133"/>
    <x v="12"/>
    <s v="DELEGATE AGENCY"/>
    <s v="UNKNOWN"/>
    <x v="1"/>
  </r>
  <r>
    <n v="282449"/>
    <n v="898704"/>
    <x v="0"/>
    <x v="128"/>
    <x v="12"/>
    <s v="DELEGATE AGENCY"/>
    <s v="UNKNOWN"/>
    <x v="1"/>
  </r>
  <r>
    <n v="282451"/>
    <n v="227148"/>
    <x v="2"/>
    <x v="86"/>
    <x v="12"/>
    <s v="DELEGATE AGENCY"/>
    <s v="UNKNOWN"/>
    <x v="1"/>
  </r>
  <r>
    <n v="282542"/>
    <n v="13698107"/>
    <x v="1"/>
    <x v="7"/>
    <x v="0"/>
    <s v="ARCH/ENGINEERING"/>
    <s v="MASTER AGREEMENT"/>
    <x v="2"/>
  </r>
  <r>
    <n v="282563"/>
    <n v="2350131"/>
    <x v="0"/>
    <x v="65"/>
    <x v="12"/>
    <s v="DELEGATE AGENCY"/>
    <s v="UNKNOWN"/>
    <x v="1"/>
  </r>
  <r>
    <n v="282566"/>
    <n v="368648"/>
    <x v="0"/>
    <x v="68"/>
    <x v="12"/>
    <s v="DELEGATE AGENCY"/>
    <s v="UNKNOWN"/>
    <x v="1"/>
  </r>
  <r>
    <n v="282568"/>
    <n v="434478"/>
    <x v="2"/>
    <x v="1085"/>
    <x v="12"/>
    <s v="DELEGATE AGENCY"/>
    <s v="UNKNOWN"/>
    <x v="1"/>
  </r>
  <r>
    <n v="282573"/>
    <n v="1045000"/>
    <x v="2"/>
    <x v="1227"/>
    <x v="12"/>
    <s v="DELEGATE AGENCY"/>
    <s v="UNKNOWN"/>
    <x v="1"/>
  </r>
  <r>
    <n v="282575"/>
    <n v="1243168"/>
    <x v="0"/>
    <x v="1227"/>
    <x v="12"/>
    <s v="DELEGATE AGENCY"/>
    <s v="UNKNOWN"/>
    <x v="1"/>
  </r>
  <r>
    <n v="282576"/>
    <n v="789.3"/>
    <x v="0"/>
    <x v="1996"/>
    <x v="5"/>
    <s v="RELEASE REQUISITION"/>
    <s v="UNKNOWN"/>
    <x v="1"/>
  </r>
  <r>
    <n v="282577"/>
    <n v="967500"/>
    <x v="3"/>
    <x v="114"/>
    <x v="12"/>
    <s v="DELEGATE AGENCY"/>
    <s v="UNKNOWN"/>
    <x v="1"/>
  </r>
  <r>
    <n v="282621"/>
    <n v="2600"/>
    <x v="2"/>
    <x v="1997"/>
    <x v="13"/>
    <s v="EXHIBIT-A"/>
    <s v="UNKNOWN"/>
    <x v="1"/>
  </r>
  <r>
    <n v="282626"/>
    <n v="11061.6"/>
    <x v="3"/>
    <x v="1998"/>
    <x v="13"/>
    <s v="EXHIBIT-B"/>
    <s v="UNKNOWN"/>
    <x v="1"/>
  </r>
  <r>
    <n v="282674"/>
    <n v="6000"/>
    <x v="4"/>
    <x v="1999"/>
    <x v="20"/>
    <s v="COMPTROLLER-OTHER"/>
    <s v="UNKNOWN"/>
    <x v="1"/>
  </r>
  <r>
    <n v="282680"/>
    <n v="135000"/>
    <x v="3"/>
    <x v="1052"/>
    <x v="34"/>
    <s v="COMPTROLLER-OTHER"/>
    <s v="UNKNOWN"/>
    <x v="1"/>
  </r>
  <r>
    <n v="282734"/>
    <n v="1050"/>
    <x v="1"/>
    <x v="2000"/>
    <x v="6"/>
    <s v="EXHIBIT-A"/>
    <s v="UNKNOWN"/>
    <x v="1"/>
  </r>
  <r>
    <n v="282744"/>
    <n v="50677"/>
    <x v="3"/>
    <x v="393"/>
    <x v="22"/>
    <s v="DELEGATE AGENCY"/>
    <s v="UNKNOWN"/>
    <x v="1"/>
  </r>
  <r>
    <n v="282791"/>
    <n v="13861.8"/>
    <x v="1"/>
    <x v="2001"/>
    <x v="3"/>
    <s v="EXHIBIT-B"/>
    <s v="UNKNOWN"/>
    <x v="1"/>
  </r>
  <r>
    <n v="282803"/>
    <n v="9324655.6999999993"/>
    <x v="4"/>
    <x v="267"/>
    <x v="0"/>
    <s v="CONSTRUCTION-LARGE $3MILLIONorABOVE"/>
    <s v="UNKNOWN"/>
    <x v="2"/>
  </r>
  <r>
    <n v="282861"/>
    <n v="1687245.2"/>
    <x v="0"/>
    <x v="2002"/>
    <x v="9"/>
    <s v="EXHIBIT-A"/>
    <s v="UNKNOWN"/>
    <x v="1"/>
  </r>
  <r>
    <n v="28297"/>
    <n v="2014124.7"/>
    <x v="0"/>
    <x v="2003"/>
    <x v="6"/>
    <s v="PRO SERV-AVIATION"/>
    <s v="RFP"/>
    <x v="2"/>
  </r>
  <r>
    <n v="28300"/>
    <n v="1072805.2"/>
    <x v="0"/>
    <x v="2004"/>
    <x v="15"/>
    <s v="COMMODITIES"/>
    <s v="BID"/>
    <x v="0"/>
  </r>
  <r>
    <n v="283026"/>
    <n v="45023192.299999997"/>
    <x v="0"/>
    <x v="1869"/>
    <x v="13"/>
    <s v="WORK SERVICES / FACILITIES MAINT."/>
    <s v="SOLE SOURCE"/>
    <x v="2"/>
  </r>
  <r>
    <n v="283158"/>
    <n v="543911.69999999995"/>
    <x v="0"/>
    <x v="391"/>
    <x v="8"/>
    <s v="DELEGATE AGENCY"/>
    <s v="UNKNOWN"/>
    <x v="1"/>
  </r>
  <r>
    <n v="283159"/>
    <n v="329439.40000000002"/>
    <x v="2"/>
    <x v="436"/>
    <x v="8"/>
    <s v="DELEGATE AGENCY"/>
    <s v="UNKNOWN"/>
    <x v="1"/>
  </r>
  <r>
    <n v="283160"/>
    <n v="488183.6"/>
    <x v="2"/>
    <x v="201"/>
    <x v="8"/>
    <s v="DELEGATE AGENCY"/>
    <s v="UNKNOWN"/>
    <x v="1"/>
  </r>
  <r>
    <n v="283161"/>
    <n v="537122"/>
    <x v="2"/>
    <x v="128"/>
    <x v="8"/>
    <s v="DELEGATE AGENCY"/>
    <s v="UNKNOWN"/>
    <x v="1"/>
  </r>
  <r>
    <n v="283162"/>
    <n v="524356.6"/>
    <x v="2"/>
    <x v="437"/>
    <x v="8"/>
    <s v="DELEGATE AGENCY"/>
    <s v="UNKNOWN"/>
    <x v="1"/>
  </r>
  <r>
    <n v="283207"/>
    <n v="8096.2"/>
    <x v="2"/>
    <x v="2005"/>
    <x v="11"/>
    <s v="RELEASE REQUISITION"/>
    <s v="UNKNOWN"/>
    <x v="1"/>
  </r>
  <r>
    <n v="283238"/>
    <n v="204073"/>
    <x v="3"/>
    <x v="57"/>
    <x v="12"/>
    <s v="DELEGATE AGENCY"/>
    <s v="UNKNOWN"/>
    <x v="1"/>
  </r>
  <r>
    <n v="283376"/>
    <n v="37933.599999999999"/>
    <x v="1"/>
    <x v="307"/>
    <x v="12"/>
    <s v="DELEGATE AGENCY"/>
    <s v="UNKNOWN"/>
    <x v="1"/>
  </r>
  <r>
    <n v="283380"/>
    <n v="72387000"/>
    <x v="4"/>
    <x v="2006"/>
    <x v="0"/>
    <s v="CONSTRUCTION-LARGE $3MILLIONorABOVE"/>
    <s v="BID"/>
    <x v="2"/>
  </r>
  <r>
    <n v="283388"/>
    <n v="192606"/>
    <x v="0"/>
    <x v="2007"/>
    <x v="1"/>
    <s v="DELEGATE AGENCY"/>
    <s v="UNKNOWN"/>
    <x v="1"/>
  </r>
  <r>
    <n v="283394"/>
    <n v="33962.5"/>
    <x v="1"/>
    <x v="224"/>
    <x v="3"/>
    <s v="EXHIBIT-B"/>
    <s v="UNKNOWN"/>
    <x v="1"/>
  </r>
  <r>
    <n v="283396"/>
    <n v="235855"/>
    <x v="4"/>
    <x v="467"/>
    <x v="8"/>
    <s v="DELEGATE AGENCY"/>
    <s v="UNKNOWN"/>
    <x v="1"/>
  </r>
  <r>
    <n v="283397"/>
    <n v="265338"/>
    <x v="1"/>
    <x v="496"/>
    <x v="8"/>
    <s v="DELEGATE AGENCY"/>
    <s v="UNKNOWN"/>
    <x v="1"/>
  </r>
  <r>
    <n v="283400"/>
    <n v="391791.3"/>
    <x v="2"/>
    <x v="429"/>
    <x v="3"/>
    <s v="RELEASE REQUISITION"/>
    <s v="UNKNOWN"/>
    <x v="1"/>
  </r>
  <r>
    <n v="283401"/>
    <n v="750462"/>
    <x v="2"/>
    <x v="101"/>
    <x v="12"/>
    <s v="DELEGATE AGENCY"/>
    <s v="UNKNOWN"/>
    <x v="1"/>
  </r>
  <r>
    <n v="283405"/>
    <n v="223822"/>
    <x v="2"/>
    <x v="91"/>
    <x v="12"/>
    <s v="DELEGATE AGENCY"/>
    <s v="UNKNOWN"/>
    <x v="1"/>
  </r>
  <r>
    <n v="283406"/>
    <n v="1092240"/>
    <x v="1"/>
    <x v="101"/>
    <x v="12"/>
    <s v="DELEGATE AGENCY"/>
    <s v="UNKNOWN"/>
    <x v="1"/>
  </r>
  <r>
    <n v="283561"/>
    <n v="1092240"/>
    <x v="0"/>
    <x v="88"/>
    <x v="12"/>
    <s v="DELEGATE AGENCY"/>
    <s v="UNKNOWN"/>
    <x v="1"/>
  </r>
  <r>
    <n v="283564"/>
    <n v="125077"/>
    <x v="0"/>
    <x v="88"/>
    <x v="12"/>
    <s v="DELEGATE AGENCY"/>
    <s v="UNKNOWN"/>
    <x v="1"/>
  </r>
  <r>
    <n v="283567"/>
    <n v="118742"/>
    <x v="1"/>
    <x v="83"/>
    <x v="12"/>
    <s v="DELEGATE AGENCY"/>
    <s v="UNKNOWN"/>
    <x v="1"/>
  </r>
  <r>
    <n v="283595"/>
    <n v="250000"/>
    <x v="1"/>
    <x v="962"/>
    <x v="19"/>
    <s v="DELEGATE AGENCY"/>
    <s v="UNKNOWN"/>
    <x v="1"/>
  </r>
  <r>
    <n v="283596"/>
    <n v="444347400"/>
    <x v="2"/>
    <x v="0"/>
    <x v="0"/>
    <s v="CONSTRUCTION-LARGE $3MILLIONorABOVE"/>
    <s v="BID"/>
    <x v="2"/>
  </r>
  <r>
    <n v="283621"/>
    <n v="223822"/>
    <x v="0"/>
    <x v="116"/>
    <x v="12"/>
    <s v="DELEGATE AGENCY"/>
    <s v="UNKNOWN"/>
    <x v="1"/>
  </r>
  <r>
    <n v="283622"/>
    <n v="18249"/>
    <x v="1"/>
    <x v="310"/>
    <x v="12"/>
    <s v="DELEGATE AGENCY"/>
    <s v="UNKNOWN"/>
    <x v="1"/>
  </r>
  <r>
    <n v="283625"/>
    <n v="460109"/>
    <x v="4"/>
    <x v="86"/>
    <x v="12"/>
    <s v="DELEGATE AGENCY"/>
    <s v="UNKNOWN"/>
    <x v="1"/>
  </r>
  <r>
    <n v="283626"/>
    <n v="335733"/>
    <x v="2"/>
    <x v="117"/>
    <x v="12"/>
    <s v="DELEGATE AGENCY"/>
    <s v="UNKNOWN"/>
    <x v="1"/>
  </r>
  <r>
    <n v="283627"/>
    <n v="778221"/>
    <x v="2"/>
    <x v="77"/>
    <x v="12"/>
    <s v="DELEGATE AGENCY"/>
    <s v="UNKNOWN"/>
    <x v="1"/>
  </r>
  <r>
    <n v="283633"/>
    <n v="327672"/>
    <x v="2"/>
    <x v="105"/>
    <x v="12"/>
    <s v="DELEGATE AGENCY"/>
    <s v="UNKNOWN"/>
    <x v="1"/>
  </r>
  <r>
    <n v="283653"/>
    <n v="35000000"/>
    <x v="2"/>
    <x v="558"/>
    <x v="12"/>
    <s v="DELEGATE AGENCY"/>
    <s v="UNKNOWN"/>
    <x v="1"/>
  </r>
  <r>
    <n v="283669"/>
    <n v="131660"/>
    <x v="0"/>
    <x v="105"/>
    <x v="12"/>
    <s v="DELEGATE AGENCY"/>
    <s v="UNKNOWN"/>
    <x v="1"/>
  </r>
  <r>
    <n v="283673"/>
    <n v="493725"/>
    <x v="1"/>
    <x v="102"/>
    <x v="12"/>
    <s v="DELEGATE AGENCY"/>
    <s v="UNKNOWN"/>
    <x v="1"/>
  </r>
  <r>
    <n v="283862"/>
    <n v="5000000"/>
    <x v="2"/>
    <x v="2008"/>
    <x v="2"/>
    <s v="COMPTROLLER-OTHER"/>
    <s v="UNKNOWN"/>
    <x v="1"/>
  </r>
  <r>
    <n v="283863"/>
    <n v="13549"/>
    <x v="0"/>
    <x v="2009"/>
    <x v="20"/>
    <s v="COMPTROLLER-OTHER"/>
    <s v="UNKNOWN"/>
    <x v="1"/>
  </r>
  <r>
    <n v="283882"/>
    <n v="1600000"/>
    <x v="4"/>
    <x v="1165"/>
    <x v="16"/>
    <s v="COMPTROLLER-OTHER"/>
    <s v="UNKNOWN"/>
    <x v="1"/>
  </r>
  <r>
    <n v="283888"/>
    <n v="500000"/>
    <x v="0"/>
    <x v="1165"/>
    <x v="16"/>
    <s v="COMPTROLLER-OTHER"/>
    <s v="UNKNOWN"/>
    <x v="1"/>
  </r>
  <r>
    <n v="283900"/>
    <n v="500000"/>
    <x v="2"/>
    <x v="1165"/>
    <x v="16"/>
    <s v="COMPTROLLER-OTHER"/>
    <s v="UNKNOWN"/>
    <x v="1"/>
  </r>
  <r>
    <n v="283901"/>
    <n v="5162233"/>
    <x v="2"/>
    <x v="230"/>
    <x v="5"/>
    <s v="CONSTRUCTION-LARGE $3MILLIONorABOVE"/>
    <s v="BID"/>
    <x v="2"/>
  </r>
  <r>
    <n v="283902"/>
    <n v="14800"/>
    <x v="0"/>
    <x v="2010"/>
    <x v="20"/>
    <s v="COMPTROLLER-OTHER"/>
    <s v="UNKNOWN"/>
    <x v="1"/>
  </r>
  <r>
    <n v="283903"/>
    <n v="21635"/>
    <x v="4"/>
    <x v="2011"/>
    <x v="20"/>
    <s v="COMPTROLLER-OTHER"/>
    <s v="UNKNOWN"/>
    <x v="1"/>
  </r>
  <r>
    <n v="283904"/>
    <n v="8542737.5"/>
    <x v="4"/>
    <x v="230"/>
    <x v="5"/>
    <s v="CONSTRUCTION-LARGE $3MILLIONorABOVE"/>
    <s v="BID"/>
    <x v="2"/>
  </r>
  <r>
    <n v="283906"/>
    <n v="7658612"/>
    <x v="0"/>
    <x v="230"/>
    <x v="5"/>
    <s v="CONSTRUCTION-LARGE $3MILLIONorABOVE"/>
    <s v="BID"/>
    <x v="2"/>
  </r>
  <r>
    <n v="283907"/>
    <n v="250000"/>
    <x v="0"/>
    <x v="2012"/>
    <x v="2"/>
    <s v="COMPTROLLER-OTHER"/>
    <s v="UNKNOWN"/>
    <x v="1"/>
  </r>
  <r>
    <n v="283910"/>
    <n v="9200000"/>
    <x v="2"/>
    <x v="2013"/>
    <x v="2"/>
    <s v="COMPTROLLER-OTHER"/>
    <s v="UNKNOWN"/>
    <x v="1"/>
  </r>
  <r>
    <n v="283911"/>
    <n v="6906600"/>
    <x v="0"/>
    <x v="1196"/>
    <x v="5"/>
    <s v="CONSTRUCTION-LARGE $3MILLIONorABOVE"/>
    <s v="BID"/>
    <x v="2"/>
  </r>
  <r>
    <n v="283914"/>
    <n v="150000"/>
    <x v="0"/>
    <x v="216"/>
    <x v="2"/>
    <s v="COMPTROLLER-OTHER"/>
    <s v="UNKNOWN"/>
    <x v="1"/>
  </r>
  <r>
    <n v="283942"/>
    <n v="29199.599999999999"/>
    <x v="1"/>
    <x v="299"/>
    <x v="12"/>
    <s v="DELEGATE AGENCY"/>
    <s v="UNKNOWN"/>
    <x v="1"/>
  </r>
  <r>
    <n v="283954"/>
    <n v="96663.9"/>
    <x v="4"/>
    <x v="259"/>
    <x v="12"/>
    <s v="DELEGATE AGENCY"/>
    <s v="UNKNOWN"/>
    <x v="1"/>
  </r>
  <r>
    <n v="283959"/>
    <n v="30685.9"/>
    <x v="1"/>
    <x v="321"/>
    <x v="12"/>
    <s v="DELEGATE AGENCY"/>
    <s v="UNKNOWN"/>
    <x v="1"/>
  </r>
  <r>
    <n v="283977"/>
    <n v="447644"/>
    <x v="4"/>
    <x v="118"/>
    <x v="12"/>
    <s v="DELEGATE AGENCY"/>
    <s v="UNKNOWN"/>
    <x v="1"/>
  </r>
  <r>
    <n v="284015"/>
    <n v="49756.7"/>
    <x v="2"/>
    <x v="307"/>
    <x v="12"/>
    <s v="DELEGATE AGENCY"/>
    <s v="UNKNOWN"/>
    <x v="1"/>
  </r>
  <r>
    <n v="284018"/>
    <n v="260000"/>
    <x v="4"/>
    <x v="1411"/>
    <x v="20"/>
    <s v="COMPTROLLER-OTHER"/>
    <s v="UNKNOWN"/>
    <x v="1"/>
  </r>
  <r>
    <n v="284023"/>
    <n v="436896"/>
    <x v="2"/>
    <x v="87"/>
    <x v="12"/>
    <s v="DELEGATE AGENCY"/>
    <s v="UNKNOWN"/>
    <x v="1"/>
  </r>
  <r>
    <n v="284027"/>
    <n v="20000"/>
    <x v="2"/>
    <x v="2014"/>
    <x v="20"/>
    <s v="COMPTROLLER-OTHER"/>
    <s v="UNKNOWN"/>
    <x v="1"/>
  </r>
  <r>
    <n v="284037"/>
    <n v="6000"/>
    <x v="4"/>
    <x v="2015"/>
    <x v="20"/>
    <s v="COMPTROLLER-OTHER"/>
    <s v="UNKNOWN"/>
    <x v="1"/>
  </r>
  <r>
    <n v="284079"/>
    <n v="988427"/>
    <x v="3"/>
    <x v="2016"/>
    <x v="25"/>
    <s v="COMPTROLLER-OTHER"/>
    <s v="UNKNOWN"/>
    <x v="1"/>
  </r>
  <r>
    <n v="284087"/>
    <n v="84864"/>
    <x v="2"/>
    <x v="221"/>
    <x v="2"/>
    <s v="COMPTROLLER-OTHER"/>
    <s v="UNKNOWN"/>
    <x v="1"/>
  </r>
  <r>
    <n v="284090"/>
    <n v="16387"/>
    <x v="1"/>
    <x v="989"/>
    <x v="2"/>
    <s v="COMPTROLLER-OTHER"/>
    <s v="UNKNOWN"/>
    <x v="1"/>
  </r>
  <r>
    <n v="284106"/>
    <n v="218448"/>
    <x v="4"/>
    <x v="108"/>
    <x v="12"/>
    <s v="DELEGATE AGENCY"/>
    <s v="UNKNOWN"/>
    <x v="1"/>
  </r>
  <r>
    <n v="284113"/>
    <n v="398580"/>
    <x v="1"/>
    <x v="72"/>
    <x v="12"/>
    <s v="DELEGATE AGENCY"/>
    <s v="UNKNOWN"/>
    <x v="1"/>
  </r>
  <r>
    <n v="284115"/>
    <n v="118494"/>
    <x v="2"/>
    <x v="108"/>
    <x v="12"/>
    <s v="DELEGATE AGENCY"/>
    <s v="UNKNOWN"/>
    <x v="1"/>
  </r>
  <r>
    <n v="284124"/>
    <n v="1579920"/>
    <x v="1"/>
    <x v="63"/>
    <x v="12"/>
    <s v="DELEGATE AGENCY"/>
    <s v="UNKNOWN"/>
    <x v="1"/>
  </r>
  <r>
    <n v="284125"/>
    <n v="118494"/>
    <x v="0"/>
    <x v="87"/>
    <x v="12"/>
    <s v="DELEGATE AGENCY"/>
    <s v="UNKNOWN"/>
    <x v="1"/>
  </r>
  <r>
    <n v="284135"/>
    <n v="1747584"/>
    <x v="1"/>
    <x v="63"/>
    <x v="12"/>
    <s v="DELEGATE AGENCY"/>
    <s v="UNKNOWN"/>
    <x v="1"/>
  </r>
  <r>
    <n v="284329"/>
    <n v="2402928"/>
    <x v="0"/>
    <x v="61"/>
    <x v="12"/>
    <s v="DELEGATE AGENCY"/>
    <s v="UNKNOWN"/>
    <x v="1"/>
  </r>
  <r>
    <n v="284330"/>
    <n v="1092240"/>
    <x v="0"/>
    <x v="65"/>
    <x v="12"/>
    <s v="DELEGATE AGENCY"/>
    <s v="UNKNOWN"/>
    <x v="1"/>
  </r>
  <r>
    <n v="284331"/>
    <n v="168216"/>
    <x v="0"/>
    <x v="135"/>
    <x v="12"/>
    <s v="DELEGATE AGENCY"/>
    <s v="UNKNOWN"/>
    <x v="1"/>
  </r>
  <r>
    <n v="284332"/>
    <n v="111911"/>
    <x v="1"/>
    <x v="132"/>
    <x v="12"/>
    <s v="DELEGATE AGENCY"/>
    <s v="UNKNOWN"/>
    <x v="1"/>
  </r>
  <r>
    <n v="284333"/>
    <n v="436896"/>
    <x v="1"/>
    <x v="132"/>
    <x v="12"/>
    <s v="DELEGATE AGENCY"/>
    <s v="UNKNOWN"/>
    <x v="1"/>
  </r>
  <r>
    <n v="284334"/>
    <n v="873792"/>
    <x v="2"/>
    <x v="121"/>
    <x v="12"/>
    <s v="DELEGATE AGENCY"/>
    <s v="UNKNOWN"/>
    <x v="1"/>
  </r>
  <r>
    <n v="284336"/>
    <n v="533223"/>
    <x v="2"/>
    <x v="121"/>
    <x v="12"/>
    <s v="DELEGATE AGENCY"/>
    <s v="UNKNOWN"/>
    <x v="1"/>
  </r>
  <r>
    <n v="284337"/>
    <n v="197490"/>
    <x v="2"/>
    <x v="170"/>
    <x v="12"/>
    <s v="DELEGATE AGENCY"/>
    <s v="UNKNOWN"/>
    <x v="1"/>
  </r>
  <r>
    <n v="284340"/>
    <n v="111911"/>
    <x v="1"/>
    <x v="129"/>
    <x v="12"/>
    <s v="DELEGATE AGENCY"/>
    <s v="UNKNOWN"/>
    <x v="1"/>
  </r>
  <r>
    <n v="284341"/>
    <n v="327672"/>
    <x v="1"/>
    <x v="119"/>
    <x v="12"/>
    <s v="DELEGATE AGENCY"/>
    <s v="UNKNOWN"/>
    <x v="1"/>
  </r>
  <r>
    <n v="284376"/>
    <n v="133960"/>
    <x v="2"/>
    <x v="135"/>
    <x v="12"/>
    <s v="DELEGATE AGENCY"/>
    <s v="UNKNOWN"/>
    <x v="1"/>
  </r>
  <r>
    <n v="284378"/>
    <n v="493725"/>
    <x v="1"/>
    <x v="77"/>
    <x v="12"/>
    <s v="DELEGATE AGENCY"/>
    <s v="UNKNOWN"/>
    <x v="1"/>
  </r>
  <r>
    <n v="284384"/>
    <n v="1419912"/>
    <x v="2"/>
    <x v="597"/>
    <x v="12"/>
    <s v="DELEGATE AGENCY"/>
    <s v="UNKNOWN"/>
    <x v="1"/>
  </r>
  <r>
    <n v="284385"/>
    <n v="362065"/>
    <x v="0"/>
    <x v="119"/>
    <x v="12"/>
    <s v="DELEGATE AGENCY"/>
    <s v="UNKNOWN"/>
    <x v="1"/>
  </r>
  <r>
    <n v="284387"/>
    <n v="796543"/>
    <x v="2"/>
    <x v="597"/>
    <x v="12"/>
    <s v="DELEGATE AGENCY"/>
    <s v="UNKNOWN"/>
    <x v="1"/>
  </r>
  <r>
    <n v="284429"/>
    <n v="5500"/>
    <x v="2"/>
    <x v="2017"/>
    <x v="20"/>
    <s v="COMPTROLLER-OTHER"/>
    <s v="UNKNOWN"/>
    <x v="1"/>
  </r>
  <r>
    <n v="284448"/>
    <n v="4750"/>
    <x v="3"/>
    <x v="2018"/>
    <x v="20"/>
    <s v="COMPTROLLER-OTHER"/>
    <s v="UNKNOWN"/>
    <x v="1"/>
  </r>
  <r>
    <n v="284461"/>
    <n v="16963"/>
    <x v="3"/>
    <x v="259"/>
    <x v="12"/>
    <s v="DELEGATE AGENCY"/>
    <s v="UNKNOWN"/>
    <x v="1"/>
  </r>
  <r>
    <n v="284468"/>
    <n v="293000"/>
    <x v="4"/>
    <x v="1932"/>
    <x v="12"/>
    <s v="DELEGATE AGENCY"/>
    <s v="UNKNOWN"/>
    <x v="1"/>
  </r>
  <r>
    <n v="284469"/>
    <n v="204869.8"/>
    <x v="2"/>
    <x v="503"/>
    <x v="12"/>
    <s v="DELEGATE AGENCY"/>
    <s v="UNKNOWN"/>
    <x v="1"/>
  </r>
  <r>
    <n v="284522"/>
    <n v="536726"/>
    <x v="1"/>
    <x v="90"/>
    <x v="12"/>
    <s v="DELEGATE AGENCY"/>
    <s v="UNKNOWN"/>
    <x v="1"/>
  </r>
  <r>
    <n v="284524"/>
    <n v="263320"/>
    <x v="2"/>
    <x v="124"/>
    <x v="12"/>
    <s v="DELEGATE AGENCY"/>
    <s v="UNKNOWN"/>
    <x v="1"/>
  </r>
  <r>
    <n v="284532"/>
    <n v="671466"/>
    <x v="2"/>
    <x v="64"/>
    <x v="12"/>
    <s v="DELEGATE AGENCY"/>
    <s v="UNKNOWN"/>
    <x v="1"/>
  </r>
  <r>
    <n v="284537"/>
    <n v="983016"/>
    <x v="2"/>
    <x v="89"/>
    <x v="12"/>
    <s v="DELEGATE AGENCY"/>
    <s v="UNKNOWN"/>
    <x v="1"/>
  </r>
  <r>
    <n v="284641"/>
    <n v="83565.2"/>
    <x v="2"/>
    <x v="2019"/>
    <x v="11"/>
    <s v="COMMODITIES-SMALL ORDERS"/>
    <s v="BID"/>
    <x v="2"/>
  </r>
  <r>
    <n v="284656"/>
    <n v="3321921"/>
    <x v="1"/>
    <x v="316"/>
    <x v="22"/>
    <s v="DELEGATE AGENCY"/>
    <s v="UNKNOWN"/>
    <x v="1"/>
  </r>
  <r>
    <n v="28466"/>
    <n v="7761889.0999999996"/>
    <x v="0"/>
    <x v="2020"/>
    <x v="9"/>
    <s v="PRO SERV CONSULTING $250,000orABOVE"/>
    <s v="RFP"/>
    <x v="0"/>
  </r>
  <r>
    <n v="284673"/>
    <n v="1064934"/>
    <x v="0"/>
    <x v="112"/>
    <x v="12"/>
    <s v="DELEGATE AGENCY"/>
    <s v="UNKNOWN"/>
    <x v="1"/>
  </r>
  <r>
    <n v="284676"/>
    <n v="671466"/>
    <x v="0"/>
    <x v="89"/>
    <x v="12"/>
    <s v="DELEGATE AGENCY"/>
    <s v="UNKNOWN"/>
    <x v="1"/>
  </r>
  <r>
    <n v="284708"/>
    <n v="5000"/>
    <x v="2"/>
    <x v="2021"/>
    <x v="20"/>
    <s v="COMPTROLLER-OTHER"/>
    <s v="UNKNOWN"/>
    <x v="1"/>
  </r>
  <r>
    <n v="284717"/>
    <n v="6000"/>
    <x v="3"/>
    <x v="2022"/>
    <x v="20"/>
    <s v="COMPTROLLER-OTHER"/>
    <s v="UNKNOWN"/>
    <x v="1"/>
  </r>
  <r>
    <n v="284729"/>
    <n v="6000"/>
    <x v="3"/>
    <x v="2023"/>
    <x v="20"/>
    <s v="COMPTROLLER-OTHER"/>
    <s v="UNKNOWN"/>
    <x v="1"/>
  </r>
  <r>
    <n v="284733"/>
    <n v="5000"/>
    <x v="3"/>
    <x v="2024"/>
    <x v="20"/>
    <s v="COMPTROLLER-OTHER"/>
    <s v="UNKNOWN"/>
    <x v="1"/>
  </r>
  <r>
    <n v="284737"/>
    <n v="6000"/>
    <x v="3"/>
    <x v="2025"/>
    <x v="20"/>
    <s v="COMPTROLLER-OTHER"/>
    <s v="UNKNOWN"/>
    <x v="1"/>
  </r>
  <r>
    <n v="284771"/>
    <n v="6000"/>
    <x v="3"/>
    <x v="2026"/>
    <x v="20"/>
    <s v="COMPTROLLER-OTHER"/>
    <s v="UNKNOWN"/>
    <x v="1"/>
  </r>
  <r>
    <n v="284787"/>
    <n v="6000"/>
    <x v="3"/>
    <x v="2027"/>
    <x v="20"/>
    <s v="COMPTROLLER-OTHER"/>
    <s v="UNKNOWN"/>
    <x v="1"/>
  </r>
  <r>
    <n v="284856"/>
    <n v="111911"/>
    <x v="3"/>
    <x v="131"/>
    <x v="12"/>
    <s v="DELEGATE AGENCY"/>
    <s v="UNKNOWN"/>
    <x v="1"/>
  </r>
  <r>
    <n v="284859"/>
    <n v="2293704"/>
    <x v="1"/>
    <x v="69"/>
    <x v="12"/>
    <s v="DELEGATE AGENCY"/>
    <s v="UNKNOWN"/>
    <x v="1"/>
  </r>
  <r>
    <n v="284860"/>
    <n v="327672"/>
    <x v="0"/>
    <x v="130"/>
    <x v="12"/>
    <s v="DELEGATE AGENCY"/>
    <s v="UNKNOWN"/>
    <x v="1"/>
  </r>
  <r>
    <n v="284861"/>
    <n v="196142"/>
    <x v="2"/>
    <x v="97"/>
    <x v="12"/>
    <s v="DELEGATE AGENCY"/>
    <s v="UNKNOWN"/>
    <x v="1"/>
  </r>
  <r>
    <n v="284862"/>
    <n v="559555"/>
    <x v="1"/>
    <x v="59"/>
    <x v="12"/>
    <s v="DELEGATE AGENCY"/>
    <s v="UNKNOWN"/>
    <x v="1"/>
  </r>
  <r>
    <n v="284863"/>
    <n v="901871"/>
    <x v="2"/>
    <x v="69"/>
    <x v="12"/>
    <s v="DELEGATE AGENCY"/>
    <s v="UNKNOWN"/>
    <x v="1"/>
  </r>
  <r>
    <n v="284864"/>
    <n v="873792"/>
    <x v="2"/>
    <x v="59"/>
    <x v="12"/>
    <s v="DELEGATE AGENCY"/>
    <s v="UNKNOWN"/>
    <x v="1"/>
  </r>
  <r>
    <n v="284869"/>
    <n v="223822"/>
    <x v="2"/>
    <x v="126"/>
    <x v="12"/>
    <s v="DELEGATE AGENCY"/>
    <s v="UNKNOWN"/>
    <x v="1"/>
  </r>
  <r>
    <n v="284871"/>
    <n v="2714.8"/>
    <x v="1"/>
    <x v="61"/>
    <x v="12"/>
    <s v="DELEGATE AGENCY"/>
    <s v="UNKNOWN"/>
    <x v="1"/>
  </r>
  <r>
    <n v="284874"/>
    <n v="2249952"/>
    <x v="3"/>
    <x v="60"/>
    <x v="12"/>
    <s v="DELEGATE AGENCY"/>
    <s v="UNKNOWN"/>
    <x v="1"/>
  </r>
  <r>
    <n v="284879"/>
    <n v="3258.9"/>
    <x v="0"/>
    <x v="91"/>
    <x v="12"/>
    <s v="DELEGATE AGENCY"/>
    <s v="UNKNOWN"/>
    <x v="1"/>
  </r>
  <r>
    <n v="284881"/>
    <n v="197490"/>
    <x v="3"/>
    <x v="71"/>
    <x v="12"/>
    <s v="DELEGATE AGENCY"/>
    <s v="UNKNOWN"/>
    <x v="1"/>
  </r>
  <r>
    <n v="284883"/>
    <n v="218448"/>
    <x v="1"/>
    <x v="131"/>
    <x v="12"/>
    <s v="DELEGATE AGENCY"/>
    <s v="UNKNOWN"/>
    <x v="1"/>
  </r>
  <r>
    <n v="284885"/>
    <n v="65830"/>
    <x v="1"/>
    <x v="130"/>
    <x v="12"/>
    <s v="DELEGATE AGENCY"/>
    <s v="UNKNOWN"/>
    <x v="1"/>
  </r>
  <r>
    <n v="284886"/>
    <n v="1905987"/>
    <x v="1"/>
    <x v="78"/>
    <x v="12"/>
    <s v="DELEGATE AGENCY"/>
    <s v="UNKNOWN"/>
    <x v="1"/>
  </r>
  <r>
    <n v="284889"/>
    <n v="2239092"/>
    <x v="0"/>
    <x v="78"/>
    <x v="12"/>
    <s v="DELEGATE AGENCY"/>
    <s v="UNKNOWN"/>
    <x v="1"/>
  </r>
  <r>
    <n v="284891"/>
    <n v="1774491"/>
    <x v="0"/>
    <x v="64"/>
    <x v="12"/>
    <s v="DELEGATE AGENCY"/>
    <s v="UNKNOWN"/>
    <x v="1"/>
  </r>
  <r>
    <n v="284892"/>
    <n v="1053280"/>
    <x v="0"/>
    <x v="60"/>
    <x v="12"/>
    <s v="DELEGATE AGENCY"/>
    <s v="UNKNOWN"/>
    <x v="1"/>
  </r>
  <r>
    <n v="284893"/>
    <n v="107628"/>
    <x v="0"/>
    <x v="97"/>
    <x v="12"/>
    <s v="DELEGATE AGENCY"/>
    <s v="UNKNOWN"/>
    <x v="1"/>
  </r>
  <r>
    <n v="284896"/>
    <n v="1599669"/>
    <x v="1"/>
    <x v="61"/>
    <x v="12"/>
    <s v="DELEGATE AGENCY"/>
    <s v="UNKNOWN"/>
    <x v="1"/>
  </r>
  <r>
    <n v="284931"/>
    <n v="26132.799999999999"/>
    <x v="0"/>
    <x v="304"/>
    <x v="12"/>
    <s v="DELEGATE AGENCY"/>
    <s v="UNKNOWN"/>
    <x v="1"/>
  </r>
  <r>
    <n v="284993"/>
    <n v="27783"/>
    <x v="4"/>
    <x v="28"/>
    <x v="8"/>
    <s v="DELEGATE AGENCY"/>
    <s v="RFP"/>
    <x v="1"/>
  </r>
  <r>
    <n v="285030"/>
    <n v="6000"/>
    <x v="4"/>
    <x v="2028"/>
    <x v="20"/>
    <s v="COMPTROLLER-OTHER"/>
    <s v="UNKNOWN"/>
    <x v="1"/>
  </r>
  <r>
    <n v="285033"/>
    <n v="6000"/>
    <x v="3"/>
    <x v="2029"/>
    <x v="20"/>
    <s v="COMPTROLLER-OTHER"/>
    <s v="UNKNOWN"/>
    <x v="1"/>
  </r>
  <r>
    <n v="285034"/>
    <n v="6000"/>
    <x v="3"/>
    <x v="2030"/>
    <x v="20"/>
    <s v="COMPTROLLER-OTHER"/>
    <s v="UNKNOWN"/>
    <x v="1"/>
  </r>
  <r>
    <n v="285035"/>
    <n v="5750"/>
    <x v="3"/>
    <x v="2031"/>
    <x v="20"/>
    <s v="COMPTROLLER-OTHER"/>
    <s v="UNKNOWN"/>
    <x v="1"/>
  </r>
  <r>
    <n v="285036"/>
    <n v="6000"/>
    <x v="3"/>
    <x v="2032"/>
    <x v="20"/>
    <s v="COMPTROLLER-OTHER"/>
    <s v="UNKNOWN"/>
    <x v="1"/>
  </r>
  <r>
    <n v="285045"/>
    <n v="4000"/>
    <x v="3"/>
    <x v="2033"/>
    <x v="20"/>
    <s v="COMPTROLLER-OTHER"/>
    <s v="UNKNOWN"/>
    <x v="1"/>
  </r>
  <r>
    <n v="285049"/>
    <n v="6000"/>
    <x v="3"/>
    <x v="2034"/>
    <x v="20"/>
    <s v="COMPTROLLER-OTHER"/>
    <s v="UNKNOWN"/>
    <x v="1"/>
  </r>
  <r>
    <n v="285050"/>
    <n v="1300"/>
    <x v="3"/>
    <x v="2035"/>
    <x v="20"/>
    <s v="COMPTROLLER-OTHER"/>
    <s v="UNKNOWN"/>
    <x v="1"/>
  </r>
  <r>
    <n v="285054"/>
    <n v="6000"/>
    <x v="3"/>
    <x v="2036"/>
    <x v="20"/>
    <s v="COMPTROLLER-OTHER"/>
    <s v="UNKNOWN"/>
    <x v="1"/>
  </r>
  <r>
    <n v="285066"/>
    <n v="6000"/>
    <x v="3"/>
    <x v="2037"/>
    <x v="20"/>
    <s v="COMPTROLLER-OTHER"/>
    <s v="UNKNOWN"/>
    <x v="1"/>
  </r>
  <r>
    <n v="285082"/>
    <n v="6000"/>
    <x v="3"/>
    <x v="2038"/>
    <x v="20"/>
    <s v="COMPTROLLER-OTHER"/>
    <s v="UNKNOWN"/>
    <x v="1"/>
  </r>
  <r>
    <n v="285094"/>
    <n v="6000"/>
    <x v="3"/>
    <x v="2039"/>
    <x v="20"/>
    <s v="COMPTROLLER-OTHER"/>
    <s v="UNKNOWN"/>
    <x v="1"/>
  </r>
  <r>
    <n v="285105"/>
    <n v="831346"/>
    <x v="3"/>
    <x v="510"/>
    <x v="12"/>
    <s v="DELEGATE AGENCY"/>
    <s v="UNKNOWN"/>
    <x v="1"/>
  </r>
  <r>
    <n v="285106"/>
    <n v="452394"/>
    <x v="2"/>
    <x v="58"/>
    <x v="12"/>
    <s v="DELEGATE AGENCY"/>
    <s v="UNKNOWN"/>
    <x v="1"/>
  </r>
  <r>
    <n v="285155"/>
    <n v="764568"/>
    <x v="2"/>
    <x v="96"/>
    <x v="12"/>
    <s v="DELEGATE AGENCY"/>
    <s v="UNKNOWN"/>
    <x v="1"/>
  </r>
  <r>
    <n v="285186"/>
    <n v="1000000"/>
    <x v="2"/>
    <x v="259"/>
    <x v="12"/>
    <s v="DELEGATE AGENCY"/>
    <s v="RFP"/>
    <x v="2"/>
  </r>
  <r>
    <n v="285195"/>
    <n v="250000"/>
    <x v="0"/>
    <x v="2040"/>
    <x v="11"/>
    <s v="COMMODITIES-SMALL ORDERS"/>
    <s v="BID"/>
    <x v="2"/>
  </r>
  <r>
    <n v="285253"/>
    <n v="671466"/>
    <x v="2"/>
    <x v="89"/>
    <x v="12"/>
    <s v="DELEGATE AGENCY"/>
    <s v="UNKNOWN"/>
    <x v="1"/>
  </r>
  <r>
    <n v="285256"/>
    <n v="259008"/>
    <x v="2"/>
    <x v="91"/>
    <x v="12"/>
    <s v="DELEGATE AGENCY"/>
    <s v="UNKNOWN"/>
    <x v="1"/>
  </r>
  <r>
    <n v="285258"/>
    <n v="691200"/>
    <x v="2"/>
    <x v="58"/>
    <x v="12"/>
    <s v="DELEGATE AGENCY"/>
    <s v="UNKNOWN"/>
    <x v="1"/>
  </r>
  <r>
    <n v="285259"/>
    <n v="641691"/>
    <x v="2"/>
    <x v="99"/>
    <x v="12"/>
    <s v="DELEGATE AGENCY"/>
    <s v="UNKNOWN"/>
    <x v="1"/>
  </r>
  <r>
    <n v="285260"/>
    <n v="239333"/>
    <x v="2"/>
    <x v="99"/>
    <x v="12"/>
    <s v="DELEGATE AGENCY"/>
    <s v="UNKNOWN"/>
    <x v="1"/>
  </r>
  <r>
    <n v="285262"/>
    <n v="151473"/>
    <x v="1"/>
    <x v="82"/>
    <x v="12"/>
    <s v="DELEGATE AGENCY"/>
    <s v="UNKNOWN"/>
    <x v="1"/>
  </r>
  <r>
    <n v="285267"/>
    <n v="335733"/>
    <x v="1"/>
    <x v="112"/>
    <x v="12"/>
    <s v="DELEGATE AGENCY"/>
    <s v="UNKNOWN"/>
    <x v="1"/>
  </r>
  <r>
    <n v="285268"/>
    <n v="223822"/>
    <x v="2"/>
    <x v="96"/>
    <x v="12"/>
    <s v="DELEGATE AGENCY"/>
    <s v="UNKNOWN"/>
    <x v="1"/>
  </r>
  <r>
    <n v="285269"/>
    <n v="98745"/>
    <x v="1"/>
    <x v="94"/>
    <x v="12"/>
    <s v="DELEGATE AGENCY"/>
    <s v="UNKNOWN"/>
    <x v="1"/>
  </r>
  <r>
    <n v="285271"/>
    <n v="659140"/>
    <x v="1"/>
    <x v="82"/>
    <x v="12"/>
    <s v="DELEGATE AGENCY"/>
    <s v="UNKNOWN"/>
    <x v="1"/>
  </r>
  <r>
    <n v="285272"/>
    <n v="1624707"/>
    <x v="2"/>
    <x v="510"/>
    <x v="12"/>
    <s v="DELEGATE AGENCY"/>
    <s v="UNKNOWN"/>
    <x v="1"/>
  </r>
  <r>
    <n v="285380"/>
    <n v="98745"/>
    <x v="0"/>
    <x v="134"/>
    <x v="12"/>
    <s v="DELEGATE AGENCY"/>
    <s v="UNKNOWN"/>
    <x v="1"/>
  </r>
  <r>
    <n v="285381"/>
    <n v="447644"/>
    <x v="1"/>
    <x v="122"/>
    <x v="12"/>
    <s v="DELEGATE AGENCY"/>
    <s v="UNKNOWN"/>
    <x v="1"/>
  </r>
  <r>
    <n v="285467"/>
    <n v="42420000"/>
    <x v="2"/>
    <x v="1180"/>
    <x v="6"/>
    <s v="COMPTROLLER-OTHER"/>
    <s v="UNKNOWN"/>
    <x v="1"/>
  </r>
  <r>
    <n v="285470"/>
    <n v="40000"/>
    <x v="0"/>
    <x v="1980"/>
    <x v="20"/>
    <s v="COMPTROLLER-OTHER"/>
    <s v="UNKNOWN"/>
    <x v="1"/>
  </r>
  <r>
    <n v="285602"/>
    <n v="5000000"/>
    <x v="4"/>
    <x v="1068"/>
    <x v="0"/>
    <s v="PRO SERV CONSULTING $250,000orABOVE"/>
    <s v="SOLE SOURCE"/>
    <x v="1"/>
  </r>
  <r>
    <n v="285936"/>
    <n v="116025"/>
    <x v="0"/>
    <x v="40"/>
    <x v="8"/>
    <s v="DELEGATE AGENCY"/>
    <s v="UNKNOWN"/>
    <x v="1"/>
  </r>
  <r>
    <n v="285937"/>
    <n v="20817"/>
    <x v="1"/>
    <x v="38"/>
    <x v="8"/>
    <s v="DELEGATE AGENCY"/>
    <s v="UNKNOWN"/>
    <x v="1"/>
  </r>
  <r>
    <n v="285938"/>
    <n v="119792"/>
    <x v="4"/>
    <x v="204"/>
    <x v="8"/>
    <s v="DELEGATE AGENCY"/>
    <s v="UNKNOWN"/>
    <x v="1"/>
  </r>
  <r>
    <n v="286078"/>
    <n v="241805.5"/>
    <x v="1"/>
    <x v="2041"/>
    <x v="11"/>
    <s v="COMMODITIES-SMALL ORDERS"/>
    <s v="BID"/>
    <x v="2"/>
  </r>
  <r>
    <n v="286102"/>
    <n v="6500000"/>
    <x v="1"/>
    <x v="891"/>
    <x v="0"/>
    <s v="COMPTROLLER-OTHER"/>
    <s v="UNKNOWN"/>
    <x v="1"/>
  </r>
  <r>
    <n v="286126"/>
    <n v="12254441.6"/>
    <x v="0"/>
    <x v="297"/>
    <x v="12"/>
    <s v="DELEGATE AGENCY"/>
    <s v="UNKNOWN"/>
    <x v="1"/>
  </r>
  <r>
    <n v="286131"/>
    <n v="400000"/>
    <x v="0"/>
    <x v="59"/>
    <x v="12"/>
    <s v="DELEGATE AGENCY"/>
    <s v="UNKNOWN"/>
    <x v="1"/>
  </r>
  <r>
    <n v="286273"/>
    <n v="510000"/>
    <x v="2"/>
    <x v="2042"/>
    <x v="9"/>
    <s v="COMPTROLLER-OTHER"/>
    <s v="UNKNOWN"/>
    <x v="1"/>
  </r>
  <r>
    <n v="286284"/>
    <n v="160000"/>
    <x v="2"/>
    <x v="1353"/>
    <x v="9"/>
    <s v="COMPTROLLER-OTHER"/>
    <s v="UNKNOWN"/>
    <x v="1"/>
  </r>
  <r>
    <n v="286287"/>
    <n v="180000"/>
    <x v="1"/>
    <x v="2042"/>
    <x v="9"/>
    <s v="COMPTROLLER-OTHER"/>
    <s v="UNKNOWN"/>
    <x v="1"/>
  </r>
  <r>
    <n v="286290"/>
    <n v="110000"/>
    <x v="1"/>
    <x v="2043"/>
    <x v="9"/>
    <s v="COMPTROLLER-OTHER"/>
    <s v="UNKNOWN"/>
    <x v="1"/>
  </r>
  <r>
    <n v="28635"/>
    <n v="16000000"/>
    <x v="1"/>
    <x v="2044"/>
    <x v="0"/>
    <s v="PRO SERV CONSULTING $250,000orABOVE"/>
    <s v="RFP"/>
    <x v="1"/>
  </r>
  <r>
    <n v="286388"/>
    <n v="3576288"/>
    <x v="0"/>
    <x v="85"/>
    <x v="12"/>
    <s v="DELEGATE AGENCY"/>
    <s v="UNKNOWN"/>
    <x v="1"/>
  </r>
  <r>
    <n v="286551"/>
    <n v="1731329"/>
    <x v="0"/>
    <x v="85"/>
    <x v="12"/>
    <s v="DELEGATE AGENCY"/>
    <s v="UNKNOWN"/>
    <x v="1"/>
  </r>
  <r>
    <n v="286555"/>
    <n v="236988"/>
    <x v="0"/>
    <x v="104"/>
    <x v="12"/>
    <s v="DELEGATE AGENCY"/>
    <s v="UNKNOWN"/>
    <x v="1"/>
  </r>
  <r>
    <n v="286568"/>
    <n v="223822"/>
    <x v="1"/>
    <x v="81"/>
    <x v="12"/>
    <s v="DELEGATE AGENCY"/>
    <s v="UNKNOWN"/>
    <x v="1"/>
  </r>
  <r>
    <n v="286598"/>
    <n v="899958"/>
    <x v="1"/>
    <x v="23"/>
    <x v="12"/>
    <s v="DELEGATE AGENCY"/>
    <s v="UNKNOWN"/>
    <x v="1"/>
  </r>
  <r>
    <n v="286600"/>
    <n v="79295.599999999904"/>
    <x v="2"/>
    <x v="59"/>
    <x v="12"/>
    <s v="DELEGATE AGENCY"/>
    <s v="UNKNOWN"/>
    <x v="1"/>
  </r>
  <r>
    <n v="286601"/>
    <n v="6049.8"/>
    <x v="1"/>
    <x v="544"/>
    <x v="12"/>
    <s v="DELEGATE AGENCY"/>
    <s v="UNKNOWN"/>
    <x v="1"/>
  </r>
  <r>
    <n v="286602"/>
    <n v="1535286"/>
    <x v="3"/>
    <x v="60"/>
    <x v="12"/>
    <s v="DELEGATE AGENCY"/>
    <s v="UNKNOWN"/>
    <x v="1"/>
  </r>
  <r>
    <n v="286603"/>
    <n v="111000"/>
    <x v="0"/>
    <x v="260"/>
    <x v="12"/>
    <s v="DELEGATE AGENCY"/>
    <s v="UNKNOWN"/>
    <x v="1"/>
  </r>
  <r>
    <n v="286604"/>
    <n v="112811"/>
    <x v="1"/>
    <x v="106"/>
    <x v="12"/>
    <s v="DELEGATE AGENCY"/>
    <s v="UNKNOWN"/>
    <x v="1"/>
  </r>
  <r>
    <n v="286605"/>
    <n v="118494"/>
    <x v="1"/>
    <x v="98"/>
    <x v="12"/>
    <s v="DELEGATE AGENCY"/>
    <s v="UNKNOWN"/>
    <x v="1"/>
  </r>
  <r>
    <n v="286606"/>
    <n v="873792"/>
    <x v="1"/>
    <x v="123"/>
    <x v="12"/>
    <s v="DELEGATE AGENCY"/>
    <s v="UNKNOWN"/>
    <x v="1"/>
  </r>
  <r>
    <n v="286607"/>
    <n v="1058816.3999999999"/>
    <x v="2"/>
    <x v="63"/>
    <x v="12"/>
    <s v="DELEGATE AGENCY"/>
    <s v="UNKNOWN"/>
    <x v="1"/>
  </r>
  <r>
    <n v="286608"/>
    <n v="874292"/>
    <x v="0"/>
    <x v="23"/>
    <x v="12"/>
    <s v="DELEGATE AGENCY"/>
    <s v="UNKNOWN"/>
    <x v="1"/>
  </r>
  <r>
    <n v="286609"/>
    <n v="600732"/>
    <x v="2"/>
    <x v="113"/>
    <x v="12"/>
    <s v="DELEGATE AGENCY"/>
    <s v="UNKNOWN"/>
    <x v="1"/>
  </r>
  <r>
    <n v="286610"/>
    <n v="811352.3"/>
    <x v="2"/>
    <x v="566"/>
    <x v="12"/>
    <s v="DELEGATE AGENCY"/>
    <s v="UNKNOWN"/>
    <x v="1"/>
  </r>
  <r>
    <n v="286611"/>
    <n v="60492.3"/>
    <x v="2"/>
    <x v="116"/>
    <x v="12"/>
    <s v="DELEGATE AGENCY"/>
    <s v="UNKNOWN"/>
    <x v="1"/>
  </r>
  <r>
    <n v="286630"/>
    <n v="1770"/>
    <x v="1"/>
    <x v="2045"/>
    <x v="11"/>
    <s v="EXHIBIT-A"/>
    <s v="UNKNOWN"/>
    <x v="1"/>
  </r>
  <r>
    <n v="286679"/>
    <n v="99723.8"/>
    <x v="3"/>
    <x v="2046"/>
    <x v="39"/>
    <s v="PRO SERV CONSULTING UNDER $250,000"/>
    <s v="REFERENCE CONTRACT"/>
    <x v="2"/>
  </r>
  <r>
    <n v="286684"/>
    <n v="4921.8999999999996"/>
    <x v="1"/>
    <x v="2005"/>
    <x v="11"/>
    <s v="RELEASE REQUISITION"/>
    <s v="UNKNOWN"/>
    <x v="1"/>
  </r>
  <r>
    <n v="286718"/>
    <n v="2000000"/>
    <x v="3"/>
    <x v="2047"/>
    <x v="12"/>
    <s v="DELEGATE AGENCY"/>
    <s v="RFP"/>
    <x v="2"/>
  </r>
  <r>
    <n v="286775"/>
    <n v="574674"/>
    <x v="0"/>
    <x v="78"/>
    <x v="12"/>
    <s v="DELEGATE AGENCY"/>
    <s v="UNKNOWN"/>
    <x v="1"/>
  </r>
  <r>
    <n v="286776"/>
    <n v="62679.8"/>
    <x v="2"/>
    <x v="105"/>
    <x v="12"/>
    <s v="DELEGATE AGENCY"/>
    <s v="UNKNOWN"/>
    <x v="1"/>
  </r>
  <r>
    <n v="286778"/>
    <n v="12000"/>
    <x v="1"/>
    <x v="68"/>
    <x v="12"/>
    <s v="DELEGATE AGENCY"/>
    <s v="UNKNOWN"/>
    <x v="1"/>
  </r>
  <r>
    <n v="286780"/>
    <n v="159722.20000000001"/>
    <x v="4"/>
    <x v="71"/>
    <x v="12"/>
    <s v="DELEGATE AGENCY"/>
    <s v="UNKNOWN"/>
    <x v="1"/>
  </r>
  <r>
    <n v="286782"/>
    <n v="1204689"/>
    <x v="1"/>
    <x v="70"/>
    <x v="12"/>
    <s v="DELEGATE AGENCY"/>
    <s v="UNKNOWN"/>
    <x v="1"/>
  </r>
  <r>
    <n v="286783"/>
    <n v="223822"/>
    <x v="0"/>
    <x v="111"/>
    <x v="12"/>
    <s v="DELEGATE AGENCY"/>
    <s v="UNKNOWN"/>
    <x v="1"/>
  </r>
  <r>
    <n v="286784"/>
    <n v="1026948"/>
    <x v="1"/>
    <x v="113"/>
    <x v="12"/>
    <s v="DELEGATE AGENCY"/>
    <s v="UNKNOWN"/>
    <x v="1"/>
  </r>
  <r>
    <n v="286785"/>
    <n v="620605.80000000005"/>
    <x v="0"/>
    <x v="119"/>
    <x v="12"/>
    <s v="DELEGATE AGENCY"/>
    <s v="UNKNOWN"/>
    <x v="1"/>
  </r>
  <r>
    <n v="286786"/>
    <n v="5000"/>
    <x v="2"/>
    <x v="76"/>
    <x v="12"/>
    <s v="DELEGATE AGENCY"/>
    <s v="UNKNOWN"/>
    <x v="1"/>
  </r>
  <r>
    <n v="28698"/>
    <n v="44885"/>
    <x v="3"/>
    <x v="273"/>
    <x v="0"/>
    <s v="ARCH/ENGINEERING"/>
    <s v="MASTER AGREEMENT"/>
    <x v="2"/>
  </r>
  <r>
    <n v="286996"/>
    <n v="6158832"/>
    <x v="4"/>
    <x v="1196"/>
    <x v="5"/>
    <s v="CONSTRUCTION-LARGE $3MILLIONorABOVE"/>
    <s v="BID"/>
    <x v="2"/>
  </r>
  <r>
    <n v="287120"/>
    <n v="89370.5"/>
    <x v="0"/>
    <x v="45"/>
    <x v="8"/>
    <s v="DELEGATE AGENCY"/>
    <s v="UNKNOWN"/>
    <x v="1"/>
  </r>
  <r>
    <n v="287123"/>
    <n v="4090000"/>
    <x v="1"/>
    <x v="290"/>
    <x v="2"/>
    <s v="COMPTROLLER-OTHER"/>
    <s v="UNKNOWN"/>
    <x v="1"/>
  </r>
  <r>
    <n v="287156"/>
    <n v="6000"/>
    <x v="0"/>
    <x v="2048"/>
    <x v="20"/>
    <s v="COMPTROLLER-OTHER"/>
    <s v="UNKNOWN"/>
    <x v="1"/>
  </r>
  <r>
    <n v="287189"/>
    <n v="175000"/>
    <x v="3"/>
    <x v="2049"/>
    <x v="20"/>
    <s v="COMPTROLLER-OTHER"/>
    <s v="UNKNOWN"/>
    <x v="1"/>
  </r>
  <r>
    <n v="287190"/>
    <n v="6000"/>
    <x v="1"/>
    <x v="2050"/>
    <x v="20"/>
    <s v="COMPTROLLER-OTHER"/>
    <s v="UNKNOWN"/>
    <x v="1"/>
  </r>
  <r>
    <n v="287191"/>
    <n v="6000"/>
    <x v="3"/>
    <x v="2051"/>
    <x v="20"/>
    <s v="COMPTROLLER-OTHER"/>
    <s v="UNKNOWN"/>
    <x v="1"/>
  </r>
  <r>
    <n v="287193"/>
    <n v="6000"/>
    <x v="3"/>
    <x v="2052"/>
    <x v="20"/>
    <s v="COMPTROLLER-OTHER"/>
    <s v="UNKNOWN"/>
    <x v="1"/>
  </r>
  <r>
    <n v="287195"/>
    <n v="5000"/>
    <x v="3"/>
    <x v="2053"/>
    <x v="20"/>
    <s v="COMPTROLLER-OTHER"/>
    <s v="UNKNOWN"/>
    <x v="1"/>
  </r>
  <r>
    <n v="287196"/>
    <n v="6000"/>
    <x v="3"/>
    <x v="2054"/>
    <x v="20"/>
    <s v="COMPTROLLER-OTHER"/>
    <s v="UNKNOWN"/>
    <x v="1"/>
  </r>
  <r>
    <n v="287199"/>
    <n v="4000"/>
    <x v="3"/>
    <x v="2055"/>
    <x v="20"/>
    <s v="COMPTROLLER-OTHER"/>
    <s v="UNKNOWN"/>
    <x v="1"/>
  </r>
  <r>
    <n v="287208"/>
    <n v="6000"/>
    <x v="3"/>
    <x v="2056"/>
    <x v="20"/>
    <s v="COMPTROLLER-OTHER"/>
    <s v="UNKNOWN"/>
    <x v="1"/>
  </r>
  <r>
    <n v="287251"/>
    <n v="106714.1"/>
    <x v="3"/>
    <x v="28"/>
    <x v="8"/>
    <s v="DELEGATE AGENCY"/>
    <s v="UNKNOWN"/>
    <x v="1"/>
  </r>
  <r>
    <n v="287337"/>
    <n v="200000"/>
    <x v="1"/>
    <x v="188"/>
    <x v="8"/>
    <s v="DELEGATE AGENCY"/>
    <s v="RFP"/>
    <x v="2"/>
  </r>
  <r>
    <n v="287338"/>
    <n v="200000"/>
    <x v="1"/>
    <x v="24"/>
    <x v="8"/>
    <s v="DELEGATE AGENCY"/>
    <s v="RFP"/>
    <x v="2"/>
  </r>
  <r>
    <n v="287339"/>
    <n v="200000"/>
    <x v="1"/>
    <x v="296"/>
    <x v="8"/>
    <s v="DELEGATE AGENCY"/>
    <s v="RFP"/>
    <x v="2"/>
  </r>
  <r>
    <n v="28734"/>
    <n v="4150000"/>
    <x v="1"/>
    <x v="1094"/>
    <x v="0"/>
    <s v="ARCH/ENGINEERING"/>
    <s v="RFQ"/>
    <x v="0"/>
  </r>
  <r>
    <n v="287340"/>
    <n v="200000"/>
    <x v="0"/>
    <x v="1867"/>
    <x v="8"/>
    <s v="DELEGATE AGENCY"/>
    <s v="RFP"/>
    <x v="2"/>
  </r>
  <r>
    <n v="287342"/>
    <n v="200000"/>
    <x v="1"/>
    <x v="1792"/>
    <x v="8"/>
    <s v="DELEGATE AGENCY"/>
    <s v="RFP"/>
    <x v="2"/>
  </r>
  <r>
    <n v="287524"/>
    <n v="5000"/>
    <x v="1"/>
    <x v="2057"/>
    <x v="20"/>
    <s v="COMPTROLLER-OTHER"/>
    <s v="UNKNOWN"/>
    <x v="1"/>
  </r>
  <r>
    <n v="287525"/>
    <n v="6000"/>
    <x v="3"/>
    <x v="2058"/>
    <x v="20"/>
    <s v="COMPTROLLER-OTHER"/>
    <s v="UNKNOWN"/>
    <x v="1"/>
  </r>
  <r>
    <n v="287527"/>
    <n v="19625"/>
    <x v="3"/>
    <x v="2059"/>
    <x v="20"/>
    <s v="COMPTROLLER-OTHER"/>
    <s v="UNKNOWN"/>
    <x v="1"/>
  </r>
  <r>
    <n v="287529"/>
    <n v="6000"/>
    <x v="4"/>
    <x v="2060"/>
    <x v="20"/>
    <s v="COMPTROLLER-OTHER"/>
    <s v="UNKNOWN"/>
    <x v="1"/>
  </r>
  <r>
    <n v="287532"/>
    <n v="6000"/>
    <x v="3"/>
    <x v="2061"/>
    <x v="20"/>
    <s v="COMPTROLLER-OTHER"/>
    <s v="UNKNOWN"/>
    <x v="1"/>
  </r>
  <r>
    <n v="287542"/>
    <n v="6000"/>
    <x v="3"/>
    <x v="2062"/>
    <x v="20"/>
    <s v="COMPTROLLER-OTHER"/>
    <s v="UNKNOWN"/>
    <x v="1"/>
  </r>
  <r>
    <n v="287545"/>
    <n v="6000"/>
    <x v="3"/>
    <x v="2063"/>
    <x v="20"/>
    <s v="COMPTROLLER-OTHER"/>
    <s v="UNKNOWN"/>
    <x v="1"/>
  </r>
  <r>
    <n v="287547"/>
    <n v="6000"/>
    <x v="3"/>
    <x v="2064"/>
    <x v="20"/>
    <s v="COMPTROLLER-OTHER"/>
    <s v="UNKNOWN"/>
    <x v="1"/>
  </r>
  <r>
    <n v="287549"/>
    <n v="6000"/>
    <x v="3"/>
    <x v="2065"/>
    <x v="20"/>
    <s v="COMPTROLLER-OTHER"/>
    <s v="UNKNOWN"/>
    <x v="1"/>
  </r>
  <r>
    <n v="287552"/>
    <n v="6000"/>
    <x v="3"/>
    <x v="2066"/>
    <x v="20"/>
    <s v="COMPTROLLER-OTHER"/>
    <s v="UNKNOWN"/>
    <x v="1"/>
  </r>
  <r>
    <n v="287554"/>
    <n v="6000"/>
    <x v="3"/>
    <x v="2067"/>
    <x v="20"/>
    <s v="COMPTROLLER-OTHER"/>
    <s v="UNKNOWN"/>
    <x v="1"/>
  </r>
  <r>
    <n v="287558"/>
    <n v="6000"/>
    <x v="3"/>
    <x v="2068"/>
    <x v="20"/>
    <s v="COMPTROLLER-OTHER"/>
    <s v="UNKNOWN"/>
    <x v="1"/>
  </r>
  <r>
    <n v="287559"/>
    <n v="6000"/>
    <x v="3"/>
    <x v="2069"/>
    <x v="20"/>
    <s v="COMPTROLLER-OTHER"/>
    <s v="UNKNOWN"/>
    <x v="1"/>
  </r>
  <r>
    <n v="287569"/>
    <n v="6000"/>
    <x v="3"/>
    <x v="2070"/>
    <x v="20"/>
    <s v="COMPTROLLER-OTHER"/>
    <s v="UNKNOWN"/>
    <x v="1"/>
  </r>
  <r>
    <n v="287574"/>
    <n v="6000"/>
    <x v="3"/>
    <x v="2071"/>
    <x v="20"/>
    <s v="COMPTROLLER-OTHER"/>
    <s v="UNKNOWN"/>
    <x v="1"/>
  </r>
  <r>
    <n v="287576"/>
    <n v="6000"/>
    <x v="3"/>
    <x v="2072"/>
    <x v="20"/>
    <s v="COMPTROLLER-OTHER"/>
    <s v="UNKNOWN"/>
    <x v="1"/>
  </r>
  <r>
    <n v="287578"/>
    <n v="5000"/>
    <x v="3"/>
    <x v="2073"/>
    <x v="20"/>
    <s v="COMPTROLLER-OTHER"/>
    <s v="UNKNOWN"/>
    <x v="1"/>
  </r>
  <r>
    <n v="28758"/>
    <n v="439367"/>
    <x v="3"/>
    <x v="2074"/>
    <x v="9"/>
    <s v="COMPTROLLER-OTHER"/>
    <s v="UNKNOWN"/>
    <x v="0"/>
  </r>
  <r>
    <n v="287580"/>
    <n v="6000"/>
    <x v="2"/>
    <x v="2075"/>
    <x v="20"/>
    <s v="COMPTROLLER-OTHER"/>
    <s v="UNKNOWN"/>
    <x v="1"/>
  </r>
  <r>
    <n v="287589"/>
    <n v="101024.3"/>
    <x v="3"/>
    <x v="204"/>
    <x v="8"/>
    <s v="DELEGATE AGENCY"/>
    <s v="UNKNOWN"/>
    <x v="1"/>
  </r>
  <r>
    <n v="287590"/>
    <n v="119821.1"/>
    <x v="1"/>
    <x v="28"/>
    <x v="8"/>
    <s v="DELEGATE AGENCY"/>
    <s v="UNKNOWN"/>
    <x v="1"/>
  </r>
  <r>
    <n v="287756"/>
    <n v="16557263"/>
    <x v="1"/>
    <x v="2076"/>
    <x v="0"/>
    <s v="COMPTROLLER-OTHER"/>
    <s v="UNKNOWN"/>
    <x v="1"/>
  </r>
  <r>
    <n v="287757"/>
    <n v="6000"/>
    <x v="0"/>
    <x v="2077"/>
    <x v="20"/>
    <s v="COMPTROLLER-OTHER"/>
    <s v="UNKNOWN"/>
    <x v="1"/>
  </r>
  <r>
    <n v="287758"/>
    <n v="1250"/>
    <x v="3"/>
    <x v="2078"/>
    <x v="20"/>
    <s v="COMPTROLLER-OTHER"/>
    <s v="UNKNOWN"/>
    <x v="1"/>
  </r>
  <r>
    <n v="287760"/>
    <n v="6000"/>
    <x v="3"/>
    <x v="2079"/>
    <x v="20"/>
    <s v="COMPTROLLER-OTHER"/>
    <s v="UNKNOWN"/>
    <x v="1"/>
  </r>
  <r>
    <n v="287761"/>
    <n v="1000"/>
    <x v="3"/>
    <x v="2080"/>
    <x v="20"/>
    <s v="COMPTROLLER-OTHER"/>
    <s v="UNKNOWN"/>
    <x v="1"/>
  </r>
  <r>
    <n v="287921"/>
    <n v="6000"/>
    <x v="3"/>
    <x v="2081"/>
    <x v="20"/>
    <s v="COMPTROLLER-OTHER"/>
    <s v="UNKNOWN"/>
    <x v="1"/>
  </r>
  <r>
    <n v="287923"/>
    <n v="2750"/>
    <x v="3"/>
    <x v="2082"/>
    <x v="20"/>
    <s v="COMPTROLLER-OTHER"/>
    <s v="UNKNOWN"/>
    <x v="1"/>
  </r>
  <r>
    <n v="287930"/>
    <n v="6000"/>
    <x v="3"/>
    <x v="2083"/>
    <x v="20"/>
    <s v="COMPTROLLER-OTHER"/>
    <s v="UNKNOWN"/>
    <x v="1"/>
  </r>
  <r>
    <n v="287931"/>
    <n v="5250"/>
    <x v="3"/>
    <x v="2084"/>
    <x v="20"/>
    <s v="COMPTROLLER-OTHER"/>
    <s v="UNKNOWN"/>
    <x v="1"/>
  </r>
  <r>
    <n v="287934"/>
    <n v="1000"/>
    <x v="3"/>
    <x v="2085"/>
    <x v="20"/>
    <s v="COMPTROLLER-OTHER"/>
    <s v="UNKNOWN"/>
    <x v="1"/>
  </r>
  <r>
    <n v="287936"/>
    <n v="6000"/>
    <x v="3"/>
    <x v="2086"/>
    <x v="20"/>
    <s v="COMPTROLLER-OTHER"/>
    <s v="UNKNOWN"/>
    <x v="1"/>
  </r>
  <r>
    <n v="287939"/>
    <n v="6000"/>
    <x v="3"/>
    <x v="2087"/>
    <x v="20"/>
    <s v="COMPTROLLER-OTHER"/>
    <s v="UNKNOWN"/>
    <x v="1"/>
  </r>
  <r>
    <n v="287945"/>
    <n v="6000"/>
    <x v="3"/>
    <x v="2088"/>
    <x v="20"/>
    <s v="COMPTROLLER-OTHER"/>
    <s v="UNKNOWN"/>
    <x v="1"/>
  </r>
  <r>
    <n v="287948"/>
    <n v="6000"/>
    <x v="3"/>
    <x v="2089"/>
    <x v="20"/>
    <s v="COMPTROLLER-OTHER"/>
    <s v="UNKNOWN"/>
    <x v="1"/>
  </r>
  <r>
    <n v="287958"/>
    <n v="6000"/>
    <x v="3"/>
    <x v="2090"/>
    <x v="20"/>
    <s v="COMPTROLLER-OTHER"/>
    <s v="UNKNOWN"/>
    <x v="1"/>
  </r>
  <r>
    <n v="287962"/>
    <n v="6000"/>
    <x v="3"/>
    <x v="2091"/>
    <x v="20"/>
    <s v="COMPTROLLER-OTHER"/>
    <s v="UNKNOWN"/>
    <x v="1"/>
  </r>
  <r>
    <n v="287963"/>
    <n v="91530.6"/>
    <x v="3"/>
    <x v="42"/>
    <x v="8"/>
    <s v="DELEGATE AGENCY"/>
    <s v="UNKNOWN"/>
    <x v="1"/>
  </r>
  <r>
    <n v="287968"/>
    <n v="5000"/>
    <x v="1"/>
    <x v="2092"/>
    <x v="20"/>
    <s v="COMPTROLLER-OTHER"/>
    <s v="UNKNOWN"/>
    <x v="1"/>
  </r>
  <r>
    <n v="288030"/>
    <n v="7619.5"/>
    <x v="3"/>
    <x v="2093"/>
    <x v="20"/>
    <s v="COMPTROLLER-OTHER"/>
    <s v="UNKNOWN"/>
    <x v="1"/>
  </r>
  <r>
    <n v="288031"/>
    <n v="7536"/>
    <x v="3"/>
    <x v="911"/>
    <x v="20"/>
    <s v="COMPTROLLER-OTHER"/>
    <s v="UNKNOWN"/>
    <x v="1"/>
  </r>
  <r>
    <n v="288032"/>
    <n v="15596000"/>
    <x v="3"/>
    <x v="550"/>
    <x v="2"/>
    <s v="COMPTROLLER-OTHER"/>
    <s v="UNKNOWN"/>
    <x v="1"/>
  </r>
  <r>
    <n v="288036"/>
    <n v="1500000"/>
    <x v="0"/>
    <x v="370"/>
    <x v="2"/>
    <s v="COMPTROLLER-OTHER"/>
    <s v="UNKNOWN"/>
    <x v="1"/>
  </r>
  <r>
    <n v="288038"/>
    <n v="524651.69999999995"/>
    <x v="0"/>
    <x v="1136"/>
    <x v="16"/>
    <s v="COMPTROLLER-OTHER"/>
    <s v="UNKNOWN"/>
    <x v="1"/>
  </r>
  <r>
    <n v="288065"/>
    <n v="1200000"/>
    <x v="2"/>
    <x v="321"/>
    <x v="12"/>
    <s v="DELEGATE AGENCY"/>
    <s v="RFP"/>
    <x v="1"/>
  </r>
  <r>
    <n v="288094"/>
    <n v="6850625"/>
    <x v="0"/>
    <x v="417"/>
    <x v="24"/>
    <s v="ARCH/ENGINEERING"/>
    <s v="MASTER AGREEMENT"/>
    <x v="2"/>
  </r>
  <r>
    <n v="288095"/>
    <n v="6850625"/>
    <x v="0"/>
    <x v="149"/>
    <x v="24"/>
    <s v="ARCH/ENGINEERING"/>
    <s v="MASTER AGREEMENT"/>
    <x v="2"/>
  </r>
  <r>
    <n v="288096"/>
    <n v="6850625"/>
    <x v="0"/>
    <x v="2094"/>
    <x v="24"/>
    <s v="ARCH/ENGINEERING"/>
    <s v="MASTER AGREEMENT"/>
    <x v="2"/>
  </r>
  <r>
    <n v="288097"/>
    <n v="6850625"/>
    <x v="0"/>
    <x v="522"/>
    <x v="24"/>
    <s v="ARCH/ENGINEERING"/>
    <s v="MASTER AGREEMENT"/>
    <x v="2"/>
  </r>
  <r>
    <n v="288098"/>
    <n v="6850625"/>
    <x v="0"/>
    <x v="2095"/>
    <x v="24"/>
    <s v="ARCH/ENGINEERING"/>
    <s v="MASTER AGREEMENT"/>
    <x v="2"/>
  </r>
  <r>
    <n v="288099"/>
    <n v="6850625"/>
    <x v="0"/>
    <x v="2096"/>
    <x v="24"/>
    <s v="ARCH/ENGINEERING"/>
    <s v="MASTER AGREEMENT"/>
    <x v="2"/>
  </r>
  <r>
    <n v="288100"/>
    <n v="6850625"/>
    <x v="0"/>
    <x v="1071"/>
    <x v="24"/>
    <s v="ARCH/ENGINEERING"/>
    <s v="MASTER AGREEMENT"/>
    <x v="2"/>
  </r>
  <r>
    <n v="288101"/>
    <n v="6850625"/>
    <x v="0"/>
    <x v="2097"/>
    <x v="24"/>
    <s v="ARCH/ENGINEERING"/>
    <s v="MASTER AGREEMENT"/>
    <x v="2"/>
  </r>
  <r>
    <n v="288106"/>
    <n v="4043965"/>
    <x v="0"/>
    <x v="17"/>
    <x v="6"/>
    <s v="WORK SERV-AVIATION"/>
    <s v="BID"/>
    <x v="2"/>
  </r>
  <r>
    <n v="288161"/>
    <n v="121604"/>
    <x v="0"/>
    <x v="67"/>
    <x v="12"/>
    <s v="DELEGATE AGENCY"/>
    <s v="UNKNOWN"/>
    <x v="1"/>
  </r>
  <r>
    <n v="288166"/>
    <n v="446490"/>
    <x v="1"/>
    <x v="60"/>
    <x v="12"/>
    <s v="DELEGATE AGENCY"/>
    <s v="UNKNOWN"/>
    <x v="1"/>
  </r>
  <r>
    <n v="28817"/>
    <n v="1300000"/>
    <x v="2"/>
    <x v="1744"/>
    <x v="5"/>
    <s v="ARCH/ENGINEERING"/>
    <s v="MASTER AGREEMENT"/>
    <x v="0"/>
  </r>
  <r>
    <n v="288173"/>
    <n v="190907"/>
    <x v="0"/>
    <x v="110"/>
    <x v="12"/>
    <s v="DELEGATE AGENCY"/>
    <s v="UNKNOWN"/>
    <x v="1"/>
  </r>
  <r>
    <n v="288196"/>
    <n v="171365.6"/>
    <x v="1"/>
    <x v="25"/>
    <x v="8"/>
    <s v="DELEGATE AGENCY"/>
    <s v="UNKNOWN"/>
    <x v="1"/>
  </r>
  <r>
    <n v="288197"/>
    <n v="105073"/>
    <x v="1"/>
    <x v="204"/>
    <x v="8"/>
    <s v="DELEGATE AGENCY"/>
    <s v="UNKNOWN"/>
    <x v="1"/>
  </r>
  <r>
    <n v="288280"/>
    <n v="22885"/>
    <x v="1"/>
    <x v="1006"/>
    <x v="28"/>
    <s v="COMPTROLLER-OTHER"/>
    <s v="UNKNOWN"/>
    <x v="1"/>
  </r>
  <r>
    <n v="288301"/>
    <n v="6000"/>
    <x v="4"/>
    <x v="2098"/>
    <x v="20"/>
    <s v="COMPTROLLER-OTHER"/>
    <s v="UNKNOWN"/>
    <x v="1"/>
  </r>
  <r>
    <n v="288302"/>
    <n v="6000"/>
    <x v="3"/>
    <x v="2099"/>
    <x v="20"/>
    <s v="COMPTROLLER-OTHER"/>
    <s v="UNKNOWN"/>
    <x v="1"/>
  </r>
  <r>
    <n v="288303"/>
    <n v="5000"/>
    <x v="3"/>
    <x v="2100"/>
    <x v="20"/>
    <s v="COMPTROLLER-OTHER"/>
    <s v="UNKNOWN"/>
    <x v="1"/>
  </r>
  <r>
    <n v="288305"/>
    <n v="6000"/>
    <x v="3"/>
    <x v="2101"/>
    <x v="20"/>
    <s v="COMPTROLLER-OTHER"/>
    <s v="UNKNOWN"/>
    <x v="1"/>
  </r>
  <r>
    <n v="288308"/>
    <n v="6000"/>
    <x v="3"/>
    <x v="2102"/>
    <x v="20"/>
    <s v="COMPTROLLER-OTHER"/>
    <s v="UNKNOWN"/>
    <x v="1"/>
  </r>
  <r>
    <n v="288310"/>
    <n v="6000"/>
    <x v="3"/>
    <x v="2103"/>
    <x v="20"/>
    <s v="COMPTROLLER-OTHER"/>
    <s v="UNKNOWN"/>
    <x v="1"/>
  </r>
  <r>
    <n v="288312"/>
    <n v="6000"/>
    <x v="3"/>
    <x v="2104"/>
    <x v="20"/>
    <s v="COMPTROLLER-OTHER"/>
    <s v="UNKNOWN"/>
    <x v="1"/>
  </r>
  <r>
    <n v="288404"/>
    <n v="6000"/>
    <x v="3"/>
    <x v="2105"/>
    <x v="20"/>
    <s v="COMPTROLLER-OTHER"/>
    <s v="UNKNOWN"/>
    <x v="1"/>
  </r>
  <r>
    <n v="288419"/>
    <n v="4000"/>
    <x v="3"/>
    <x v="2106"/>
    <x v="20"/>
    <s v="COMPTROLLER-OTHER"/>
    <s v="UNKNOWN"/>
    <x v="1"/>
  </r>
  <r>
    <n v="288438"/>
    <n v="5000"/>
    <x v="3"/>
    <x v="2107"/>
    <x v="20"/>
    <s v="COMPTROLLER-OTHER"/>
    <s v="UNKNOWN"/>
    <x v="1"/>
  </r>
  <r>
    <n v="288466"/>
    <n v="6000"/>
    <x v="3"/>
    <x v="2108"/>
    <x v="20"/>
    <s v="COMPTROLLER-OTHER"/>
    <s v="UNKNOWN"/>
    <x v="1"/>
  </r>
  <r>
    <n v="288485"/>
    <n v="5000"/>
    <x v="3"/>
    <x v="2109"/>
    <x v="20"/>
    <s v="COMPTROLLER-OTHER"/>
    <s v="UNKNOWN"/>
    <x v="1"/>
  </r>
  <r>
    <n v="288489"/>
    <n v="5000"/>
    <x v="3"/>
    <x v="2110"/>
    <x v="20"/>
    <s v="COMPTROLLER-OTHER"/>
    <s v="UNKNOWN"/>
    <x v="1"/>
  </r>
  <r>
    <n v="288490"/>
    <n v="5000"/>
    <x v="3"/>
    <x v="2110"/>
    <x v="20"/>
    <s v="COMPTROLLER-OTHER"/>
    <s v="UNKNOWN"/>
    <x v="1"/>
  </r>
  <r>
    <n v="288491"/>
    <n v="6000"/>
    <x v="3"/>
    <x v="2111"/>
    <x v="20"/>
    <s v="COMPTROLLER-OTHER"/>
    <s v="UNKNOWN"/>
    <x v="1"/>
  </r>
  <r>
    <n v="288493"/>
    <n v="6000"/>
    <x v="3"/>
    <x v="2112"/>
    <x v="20"/>
    <s v="COMPTROLLER-OTHER"/>
    <s v="UNKNOWN"/>
    <x v="1"/>
  </r>
  <r>
    <n v="288549"/>
    <n v="228206"/>
    <x v="3"/>
    <x v="68"/>
    <x v="12"/>
    <s v="DELEGATE AGENCY"/>
    <s v="UNKNOWN"/>
    <x v="1"/>
  </r>
  <r>
    <n v="288550"/>
    <n v="3555"/>
    <x v="1"/>
    <x v="259"/>
    <x v="12"/>
    <s v="DELEGATE AGENCY"/>
    <s v="UNKNOWN"/>
    <x v="1"/>
  </r>
  <r>
    <n v="288551"/>
    <n v="327672"/>
    <x v="3"/>
    <x v="76"/>
    <x v="12"/>
    <s v="DELEGATE AGENCY"/>
    <s v="UNKNOWN"/>
    <x v="1"/>
  </r>
  <r>
    <n v="288552"/>
    <n v="335733"/>
    <x v="2"/>
    <x v="76"/>
    <x v="12"/>
    <s v="DELEGATE AGENCY"/>
    <s v="UNKNOWN"/>
    <x v="1"/>
  </r>
  <r>
    <n v="288559"/>
    <n v="6000"/>
    <x v="2"/>
    <x v="2113"/>
    <x v="20"/>
    <s v="COMPTROLLER-OTHER"/>
    <s v="UNKNOWN"/>
    <x v="1"/>
  </r>
  <r>
    <n v="288560"/>
    <n v="6000"/>
    <x v="3"/>
    <x v="2114"/>
    <x v="20"/>
    <s v="COMPTROLLER-OTHER"/>
    <s v="UNKNOWN"/>
    <x v="1"/>
  </r>
  <r>
    <n v="288561"/>
    <n v="6000"/>
    <x v="3"/>
    <x v="2115"/>
    <x v="20"/>
    <s v="COMPTROLLER-OTHER"/>
    <s v="UNKNOWN"/>
    <x v="1"/>
  </r>
  <r>
    <n v="288562"/>
    <n v="6000"/>
    <x v="3"/>
    <x v="2116"/>
    <x v="20"/>
    <s v="COMPTROLLER-OTHER"/>
    <s v="UNKNOWN"/>
    <x v="1"/>
  </r>
  <r>
    <n v="288563"/>
    <n v="3000"/>
    <x v="3"/>
    <x v="2117"/>
    <x v="20"/>
    <s v="COMPTROLLER-OTHER"/>
    <s v="UNKNOWN"/>
    <x v="1"/>
  </r>
  <r>
    <n v="288564"/>
    <n v="5000"/>
    <x v="3"/>
    <x v="2118"/>
    <x v="20"/>
    <s v="COMPTROLLER-OTHER"/>
    <s v="UNKNOWN"/>
    <x v="1"/>
  </r>
  <r>
    <n v="288565"/>
    <n v="6000"/>
    <x v="3"/>
    <x v="2119"/>
    <x v="20"/>
    <s v="COMPTROLLER-OTHER"/>
    <s v="UNKNOWN"/>
    <x v="1"/>
  </r>
  <r>
    <n v="288566"/>
    <n v="6000"/>
    <x v="3"/>
    <x v="2120"/>
    <x v="20"/>
    <s v="COMPTROLLER-OTHER"/>
    <s v="UNKNOWN"/>
    <x v="1"/>
  </r>
  <r>
    <n v="288568"/>
    <n v="6000"/>
    <x v="3"/>
    <x v="2121"/>
    <x v="20"/>
    <s v="COMPTROLLER-OTHER"/>
    <s v="UNKNOWN"/>
    <x v="1"/>
  </r>
  <r>
    <n v="288569"/>
    <n v="6000"/>
    <x v="3"/>
    <x v="2122"/>
    <x v="20"/>
    <s v="COMPTROLLER-OTHER"/>
    <s v="UNKNOWN"/>
    <x v="1"/>
  </r>
  <r>
    <n v="288570"/>
    <n v="1000"/>
    <x v="3"/>
    <x v="2123"/>
    <x v="20"/>
    <s v="COMPTROLLER-OTHER"/>
    <s v="UNKNOWN"/>
    <x v="1"/>
  </r>
  <r>
    <n v="288660"/>
    <n v="5000"/>
    <x v="3"/>
    <x v="2109"/>
    <x v="20"/>
    <s v="COMPTROLLER-OTHER"/>
    <s v="UNKNOWN"/>
    <x v="1"/>
  </r>
  <r>
    <n v="288661"/>
    <n v="5000"/>
    <x v="3"/>
    <x v="2107"/>
    <x v="20"/>
    <s v="COMPTROLLER-OTHER"/>
    <s v="UNKNOWN"/>
    <x v="1"/>
  </r>
  <r>
    <n v="288662"/>
    <n v="5000"/>
    <x v="3"/>
    <x v="2110"/>
    <x v="20"/>
    <s v="COMPTROLLER-OTHER"/>
    <s v="UNKNOWN"/>
    <x v="1"/>
  </r>
  <r>
    <n v="288663"/>
    <n v="5500"/>
    <x v="3"/>
    <x v="2124"/>
    <x v="20"/>
    <s v="COMPTROLLER-OTHER"/>
    <s v="UNKNOWN"/>
    <x v="1"/>
  </r>
  <r>
    <n v="288664"/>
    <n v="520512.1"/>
    <x v="3"/>
    <x v="1136"/>
    <x v="16"/>
    <s v="COMPTROLLER-OTHER"/>
    <s v="UNKNOWN"/>
    <x v="1"/>
  </r>
  <r>
    <n v="288666"/>
    <n v="6000"/>
    <x v="2"/>
    <x v="2125"/>
    <x v="20"/>
    <s v="COMPTROLLER-OTHER"/>
    <s v="UNKNOWN"/>
    <x v="1"/>
  </r>
  <r>
    <n v="288668"/>
    <n v="6000"/>
    <x v="3"/>
    <x v="2126"/>
    <x v="20"/>
    <s v="COMPTROLLER-OTHER"/>
    <s v="UNKNOWN"/>
    <x v="1"/>
  </r>
  <r>
    <n v="288669"/>
    <n v="6000"/>
    <x v="3"/>
    <x v="2127"/>
    <x v="20"/>
    <s v="COMPTROLLER-OTHER"/>
    <s v="UNKNOWN"/>
    <x v="1"/>
  </r>
  <r>
    <n v="288680"/>
    <n v="112411"/>
    <x v="3"/>
    <x v="103"/>
    <x v="12"/>
    <s v="DELEGATE AGENCY"/>
    <s v="UNKNOWN"/>
    <x v="1"/>
  </r>
  <r>
    <n v="288681"/>
    <n v="983016"/>
    <x v="1"/>
    <x v="70"/>
    <x v="12"/>
    <s v="DELEGATE AGENCY"/>
    <s v="UNKNOWN"/>
    <x v="1"/>
  </r>
  <r>
    <n v="288682"/>
    <n v="736438"/>
    <x v="2"/>
    <x v="125"/>
    <x v="12"/>
    <s v="DELEGATE AGENCY"/>
    <s v="UNKNOWN"/>
    <x v="1"/>
  </r>
  <r>
    <n v="288683"/>
    <n v="750462"/>
    <x v="2"/>
    <x v="107"/>
    <x v="12"/>
    <s v="DELEGATE AGENCY"/>
    <s v="UNKNOWN"/>
    <x v="1"/>
  </r>
  <r>
    <n v="288684"/>
    <n v="876880"/>
    <x v="2"/>
    <x v="68"/>
    <x v="12"/>
    <s v="DELEGATE AGENCY"/>
    <s v="UNKNOWN"/>
    <x v="1"/>
  </r>
  <r>
    <n v="288685"/>
    <n v="1254010.8"/>
    <x v="2"/>
    <x v="77"/>
    <x v="12"/>
    <s v="DELEGATE AGENCY"/>
    <s v="UNKNOWN"/>
    <x v="1"/>
  </r>
  <r>
    <n v="288686"/>
    <n v="1666347"/>
    <x v="0"/>
    <x v="73"/>
    <x v="12"/>
    <s v="DELEGATE AGENCY"/>
    <s v="UNKNOWN"/>
    <x v="1"/>
  </r>
  <r>
    <n v="288687"/>
    <n v="489364.6"/>
    <x v="0"/>
    <x v="91"/>
    <x v="12"/>
    <s v="DELEGATE AGENCY"/>
    <s v="UNKNOWN"/>
    <x v="1"/>
  </r>
  <r>
    <n v="288688"/>
    <n v="121494"/>
    <x v="2"/>
    <x v="95"/>
    <x v="12"/>
    <s v="DELEGATE AGENCY"/>
    <s v="UNKNOWN"/>
    <x v="1"/>
  </r>
  <r>
    <n v="288698"/>
    <n v="3000"/>
    <x v="1"/>
    <x v="1124"/>
    <x v="34"/>
    <s v="RELEASE REQUISITION"/>
    <s v="UNKNOWN"/>
    <x v="1"/>
  </r>
  <r>
    <n v="288715"/>
    <n v="7500"/>
    <x v="3"/>
    <x v="1052"/>
    <x v="34"/>
    <s v="RELEASE REQUISITION"/>
    <s v="UNKNOWN"/>
    <x v="1"/>
  </r>
  <r>
    <n v="288723"/>
    <n v="69792.7"/>
    <x v="3"/>
    <x v="170"/>
    <x v="12"/>
    <s v="DELEGATE AGENCY"/>
    <s v="UNKNOWN"/>
    <x v="1"/>
  </r>
  <r>
    <n v="288724"/>
    <n v="6001.9"/>
    <x v="1"/>
    <x v="64"/>
    <x v="12"/>
    <s v="DELEGATE AGENCY"/>
    <s v="UNKNOWN"/>
    <x v="1"/>
  </r>
  <r>
    <n v="288725"/>
    <n v="150000"/>
    <x v="3"/>
    <x v="83"/>
    <x v="12"/>
    <s v="DELEGATE AGENCY"/>
    <s v="UNKNOWN"/>
    <x v="1"/>
  </r>
  <r>
    <n v="288730"/>
    <n v="6000"/>
    <x v="1"/>
    <x v="2128"/>
    <x v="20"/>
    <s v="COMPTROLLER-OTHER"/>
    <s v="UNKNOWN"/>
    <x v="1"/>
  </r>
  <r>
    <n v="288731"/>
    <n v="6000"/>
    <x v="3"/>
    <x v="2129"/>
    <x v="20"/>
    <s v="COMPTROLLER-OTHER"/>
    <s v="UNKNOWN"/>
    <x v="1"/>
  </r>
  <r>
    <n v="288732"/>
    <n v="6000"/>
    <x v="3"/>
    <x v="2130"/>
    <x v="20"/>
    <s v="COMPTROLLER-OTHER"/>
    <s v="UNKNOWN"/>
    <x v="1"/>
  </r>
  <r>
    <n v="288735"/>
    <n v="5500"/>
    <x v="3"/>
    <x v="2131"/>
    <x v="20"/>
    <s v="COMPTROLLER-OTHER"/>
    <s v="UNKNOWN"/>
    <x v="1"/>
  </r>
  <r>
    <n v="288736"/>
    <n v="2250"/>
    <x v="3"/>
    <x v="2132"/>
    <x v="20"/>
    <s v="COMPTROLLER-OTHER"/>
    <s v="UNKNOWN"/>
    <x v="1"/>
  </r>
  <r>
    <n v="288737"/>
    <n v="5750"/>
    <x v="3"/>
    <x v="2133"/>
    <x v="20"/>
    <s v="COMPTROLLER-OTHER"/>
    <s v="UNKNOWN"/>
    <x v="1"/>
  </r>
  <r>
    <n v="288738"/>
    <n v="5500"/>
    <x v="3"/>
    <x v="2134"/>
    <x v="20"/>
    <s v="COMPTROLLER-OTHER"/>
    <s v="UNKNOWN"/>
    <x v="1"/>
  </r>
  <r>
    <n v="288740"/>
    <n v="6000"/>
    <x v="3"/>
    <x v="2135"/>
    <x v="20"/>
    <s v="COMPTROLLER-OTHER"/>
    <s v="UNKNOWN"/>
    <x v="1"/>
  </r>
  <r>
    <n v="288741"/>
    <n v="93543.6"/>
    <x v="3"/>
    <x v="19"/>
    <x v="8"/>
    <s v="DELEGATE AGENCY"/>
    <s v="UNKNOWN"/>
    <x v="1"/>
  </r>
  <r>
    <n v="288742"/>
    <n v="99204.2"/>
    <x v="1"/>
    <x v="329"/>
    <x v="8"/>
    <s v="DELEGATE AGENCY"/>
    <s v="UNKNOWN"/>
    <x v="1"/>
  </r>
  <r>
    <n v="288743"/>
    <n v="88956.4"/>
    <x v="1"/>
    <x v="328"/>
    <x v="8"/>
    <s v="DELEGATE AGENCY"/>
    <s v="UNKNOWN"/>
    <x v="1"/>
  </r>
  <r>
    <n v="288744"/>
    <n v="97127.2"/>
    <x v="1"/>
    <x v="168"/>
    <x v="8"/>
    <s v="DELEGATE AGENCY"/>
    <s v="UNKNOWN"/>
    <x v="1"/>
  </r>
  <r>
    <n v="288745"/>
    <n v="32044.7"/>
    <x v="1"/>
    <x v="39"/>
    <x v="8"/>
    <s v="DELEGATE AGENCY"/>
    <s v="UNKNOWN"/>
    <x v="1"/>
  </r>
  <r>
    <n v="288746"/>
    <n v="6000"/>
    <x v="4"/>
    <x v="2136"/>
    <x v="20"/>
    <s v="COMPTROLLER-OTHER"/>
    <s v="UNKNOWN"/>
    <x v="1"/>
  </r>
  <r>
    <n v="288753"/>
    <n v="22253000"/>
    <x v="3"/>
    <x v="1212"/>
    <x v="12"/>
    <s v="DELEGATE AGENCY"/>
    <s v="UNKNOWN"/>
    <x v="1"/>
  </r>
  <r>
    <n v="288923"/>
    <n v="223245"/>
    <x v="0"/>
    <x v="239"/>
    <x v="12"/>
    <s v="DELEGATE AGENCY"/>
    <s v="UNKNOWN"/>
    <x v="1"/>
  </r>
  <r>
    <n v="288924"/>
    <n v="190387"/>
    <x v="1"/>
    <x v="198"/>
    <x v="12"/>
    <s v="DELEGATE AGENCY"/>
    <s v="UNKNOWN"/>
    <x v="1"/>
  </r>
  <r>
    <n v="288925"/>
    <n v="77764"/>
    <x v="1"/>
    <x v="198"/>
    <x v="12"/>
    <s v="DELEGATE AGENCY"/>
    <s v="UNKNOWN"/>
    <x v="1"/>
  </r>
  <r>
    <n v="288957"/>
    <n v="6000"/>
    <x v="1"/>
    <x v="2137"/>
    <x v="20"/>
    <s v="COMPTROLLER-OTHER"/>
    <s v="UNKNOWN"/>
    <x v="1"/>
  </r>
  <r>
    <n v="288960"/>
    <n v="5000000"/>
    <x v="3"/>
    <x v="2138"/>
    <x v="2"/>
    <s v="COMPTROLLER-OTHER"/>
    <s v="UNKNOWN"/>
    <x v="1"/>
  </r>
  <r>
    <n v="289006"/>
    <n v="6000"/>
    <x v="0"/>
    <x v="2139"/>
    <x v="20"/>
    <s v="COMPTROLLER-OTHER"/>
    <s v="UNKNOWN"/>
    <x v="1"/>
  </r>
  <r>
    <n v="289009"/>
    <n v="6000"/>
    <x v="3"/>
    <x v="2140"/>
    <x v="20"/>
    <s v="COMPTROLLER-OTHER"/>
    <s v="UNKNOWN"/>
    <x v="1"/>
  </r>
  <r>
    <n v="289011"/>
    <n v="6000"/>
    <x v="3"/>
    <x v="2141"/>
    <x v="20"/>
    <s v="COMPTROLLER-OTHER"/>
    <s v="UNKNOWN"/>
    <x v="1"/>
  </r>
  <r>
    <n v="289012"/>
    <n v="6000"/>
    <x v="3"/>
    <x v="2142"/>
    <x v="20"/>
    <s v="COMPTROLLER-OTHER"/>
    <s v="UNKNOWN"/>
    <x v="1"/>
  </r>
  <r>
    <n v="289013"/>
    <n v="6000"/>
    <x v="3"/>
    <x v="1198"/>
    <x v="20"/>
    <s v="COMPTROLLER-OTHER"/>
    <s v="UNKNOWN"/>
    <x v="1"/>
  </r>
  <r>
    <n v="289015"/>
    <n v="6000"/>
    <x v="3"/>
    <x v="2143"/>
    <x v="20"/>
    <s v="COMPTROLLER-OTHER"/>
    <s v="UNKNOWN"/>
    <x v="1"/>
  </r>
  <r>
    <n v="289020"/>
    <n v="6000"/>
    <x v="3"/>
    <x v="2144"/>
    <x v="20"/>
    <s v="COMPTROLLER-OTHER"/>
    <s v="UNKNOWN"/>
    <x v="1"/>
  </r>
  <r>
    <n v="289028"/>
    <n v="4750"/>
    <x v="3"/>
    <x v="2145"/>
    <x v="20"/>
    <s v="COMPTROLLER-OTHER"/>
    <s v="UNKNOWN"/>
    <x v="1"/>
  </r>
  <r>
    <n v="289031"/>
    <n v="3000"/>
    <x v="3"/>
    <x v="2146"/>
    <x v="20"/>
    <s v="COMPTROLLER-OTHER"/>
    <s v="UNKNOWN"/>
    <x v="1"/>
  </r>
  <r>
    <n v="289034"/>
    <n v="6000"/>
    <x v="3"/>
    <x v="2147"/>
    <x v="20"/>
    <s v="COMPTROLLER-OTHER"/>
    <s v="UNKNOWN"/>
    <x v="1"/>
  </r>
  <r>
    <n v="289036"/>
    <n v="150150"/>
    <x v="3"/>
    <x v="2148"/>
    <x v="2"/>
    <s v="COMPTROLLER-OTHER"/>
    <s v="UNKNOWN"/>
    <x v="1"/>
  </r>
  <r>
    <n v="289040"/>
    <n v="1600000"/>
    <x v="1"/>
    <x v="512"/>
    <x v="8"/>
    <s v="COMPTROLLER-OTHER"/>
    <s v="UNKNOWN"/>
    <x v="1"/>
  </r>
  <r>
    <n v="289054"/>
    <n v="3500"/>
    <x v="0"/>
    <x v="2149"/>
    <x v="20"/>
    <s v="COMPTROLLER-OTHER"/>
    <s v="UNKNOWN"/>
    <x v="1"/>
  </r>
  <r>
    <n v="289057"/>
    <n v="5000"/>
    <x v="3"/>
    <x v="2150"/>
    <x v="20"/>
    <s v="COMPTROLLER-OTHER"/>
    <s v="UNKNOWN"/>
    <x v="1"/>
  </r>
  <r>
    <n v="289064"/>
    <n v="5000"/>
    <x v="3"/>
    <x v="2151"/>
    <x v="20"/>
    <s v="COMPTROLLER-OTHER"/>
    <s v="UNKNOWN"/>
    <x v="1"/>
  </r>
  <r>
    <n v="28908"/>
    <n v="52698.5"/>
    <x v="3"/>
    <x v="2001"/>
    <x v="15"/>
    <s v="WORK SERVICES / FACILITIES MAINT."/>
    <s v="REFERENCE CONTRACT"/>
    <x v="0"/>
  </r>
  <r>
    <n v="289091"/>
    <n v="15923.8"/>
    <x v="1"/>
    <x v="481"/>
    <x v="3"/>
    <s v="EXHIBIT-B"/>
    <s v="UNKNOWN"/>
    <x v="1"/>
  </r>
  <r>
    <n v="289136"/>
    <n v="2750"/>
    <x v="4"/>
    <x v="2152"/>
    <x v="20"/>
    <s v="COMPTROLLER-OTHER"/>
    <s v="UNKNOWN"/>
    <x v="1"/>
  </r>
  <r>
    <n v="289141"/>
    <n v="6000"/>
    <x v="3"/>
    <x v="2153"/>
    <x v="20"/>
    <s v="COMPTROLLER-OTHER"/>
    <s v="UNKNOWN"/>
    <x v="1"/>
  </r>
  <r>
    <n v="289145"/>
    <n v="5750"/>
    <x v="3"/>
    <x v="2133"/>
    <x v="20"/>
    <s v="COMPTROLLER-OTHER"/>
    <s v="UNKNOWN"/>
    <x v="1"/>
  </r>
  <r>
    <n v="289162"/>
    <n v="4750"/>
    <x v="3"/>
    <x v="2154"/>
    <x v="20"/>
    <s v="COMPTROLLER-OTHER"/>
    <s v="UNKNOWN"/>
    <x v="1"/>
  </r>
  <r>
    <n v="289163"/>
    <n v="6000"/>
    <x v="3"/>
    <x v="2155"/>
    <x v="20"/>
    <s v="COMPTROLLER-OTHER"/>
    <s v="UNKNOWN"/>
    <x v="1"/>
  </r>
  <r>
    <n v="289166"/>
    <n v="6000"/>
    <x v="3"/>
    <x v="2156"/>
    <x v="20"/>
    <s v="COMPTROLLER-OTHER"/>
    <s v="UNKNOWN"/>
    <x v="1"/>
  </r>
  <r>
    <n v="289171"/>
    <n v="6000"/>
    <x v="3"/>
    <x v="2157"/>
    <x v="20"/>
    <s v="COMPTROLLER-OTHER"/>
    <s v="UNKNOWN"/>
    <x v="1"/>
  </r>
  <r>
    <n v="289177"/>
    <n v="6000"/>
    <x v="3"/>
    <x v="2158"/>
    <x v="20"/>
    <s v="COMPTROLLER-OTHER"/>
    <s v="UNKNOWN"/>
    <x v="1"/>
  </r>
  <r>
    <n v="289228"/>
    <n v="5000"/>
    <x v="3"/>
    <x v="2159"/>
    <x v="20"/>
    <s v="COMPTROLLER-OTHER"/>
    <s v="UNKNOWN"/>
    <x v="1"/>
  </r>
  <r>
    <n v="289229"/>
    <n v="3250"/>
    <x v="3"/>
    <x v="2160"/>
    <x v="20"/>
    <s v="COMPTROLLER-OTHER"/>
    <s v="UNKNOWN"/>
    <x v="1"/>
  </r>
  <r>
    <n v="289230"/>
    <n v="1750"/>
    <x v="3"/>
    <x v="2161"/>
    <x v="20"/>
    <s v="COMPTROLLER-OTHER"/>
    <s v="UNKNOWN"/>
    <x v="1"/>
  </r>
  <r>
    <n v="289231"/>
    <n v="6000"/>
    <x v="3"/>
    <x v="2162"/>
    <x v="20"/>
    <s v="COMPTROLLER-OTHER"/>
    <s v="UNKNOWN"/>
    <x v="1"/>
  </r>
  <r>
    <n v="289232"/>
    <n v="6000"/>
    <x v="3"/>
    <x v="2163"/>
    <x v="20"/>
    <s v="COMPTROLLER-OTHER"/>
    <s v="UNKNOWN"/>
    <x v="1"/>
  </r>
  <r>
    <n v="289233"/>
    <n v="5750"/>
    <x v="3"/>
    <x v="2164"/>
    <x v="20"/>
    <s v="COMPTROLLER-OTHER"/>
    <s v="UNKNOWN"/>
    <x v="1"/>
  </r>
  <r>
    <n v="289234"/>
    <n v="10000"/>
    <x v="3"/>
    <x v="299"/>
    <x v="20"/>
    <s v="COMPTROLLER-OTHER"/>
    <s v="UNKNOWN"/>
    <x v="1"/>
  </r>
  <r>
    <n v="289235"/>
    <n v="6000"/>
    <x v="4"/>
    <x v="2165"/>
    <x v="20"/>
    <s v="COMPTROLLER-OTHER"/>
    <s v="UNKNOWN"/>
    <x v="1"/>
  </r>
  <r>
    <n v="289236"/>
    <n v="6000"/>
    <x v="3"/>
    <x v="2166"/>
    <x v="20"/>
    <s v="COMPTROLLER-OTHER"/>
    <s v="UNKNOWN"/>
    <x v="1"/>
  </r>
  <r>
    <n v="289237"/>
    <n v="6000"/>
    <x v="3"/>
    <x v="2167"/>
    <x v="20"/>
    <s v="COMPTROLLER-OTHER"/>
    <s v="UNKNOWN"/>
    <x v="1"/>
  </r>
  <r>
    <n v="289240"/>
    <n v="6000"/>
    <x v="3"/>
    <x v="2168"/>
    <x v="20"/>
    <s v="COMPTROLLER-OTHER"/>
    <s v="UNKNOWN"/>
    <x v="1"/>
  </r>
  <r>
    <n v="289268"/>
    <n v="27783"/>
    <x v="3"/>
    <x v="28"/>
    <x v="8"/>
    <s v="DELEGATE AGENCY"/>
    <s v="UNKNOWN"/>
    <x v="1"/>
  </r>
  <r>
    <n v="289272"/>
    <n v="27783"/>
    <x v="4"/>
    <x v="24"/>
    <x v="8"/>
    <s v="DELEGATE AGENCY"/>
    <s v="UNKNOWN"/>
    <x v="1"/>
  </r>
  <r>
    <n v="289313"/>
    <n v="5000"/>
    <x v="4"/>
    <x v="2169"/>
    <x v="20"/>
    <s v="COMPTROLLER-OTHER"/>
    <s v="UNKNOWN"/>
    <x v="1"/>
  </r>
  <r>
    <n v="289318"/>
    <n v="6000"/>
    <x v="3"/>
    <x v="2170"/>
    <x v="20"/>
    <s v="COMPTROLLER-OTHER"/>
    <s v="UNKNOWN"/>
    <x v="1"/>
  </r>
  <r>
    <n v="289328"/>
    <n v="4250"/>
    <x v="3"/>
    <x v="2171"/>
    <x v="20"/>
    <s v="COMPTROLLER-OTHER"/>
    <s v="UNKNOWN"/>
    <x v="1"/>
  </r>
  <r>
    <n v="289330"/>
    <n v="6000"/>
    <x v="3"/>
    <x v="2172"/>
    <x v="20"/>
    <s v="COMPTROLLER-OTHER"/>
    <s v="UNKNOWN"/>
    <x v="1"/>
  </r>
  <r>
    <n v="289334"/>
    <n v="6000"/>
    <x v="3"/>
    <x v="2173"/>
    <x v="20"/>
    <s v="COMPTROLLER-OTHER"/>
    <s v="UNKNOWN"/>
    <x v="1"/>
  </r>
  <r>
    <n v="289342"/>
    <n v="6000"/>
    <x v="3"/>
    <x v="2174"/>
    <x v="20"/>
    <s v="COMPTROLLER-OTHER"/>
    <s v="UNKNOWN"/>
    <x v="1"/>
  </r>
  <r>
    <n v="289344"/>
    <n v="6000"/>
    <x v="3"/>
    <x v="2175"/>
    <x v="20"/>
    <s v="COMPTROLLER-OTHER"/>
    <s v="UNKNOWN"/>
    <x v="1"/>
  </r>
  <r>
    <n v="289348"/>
    <n v="6000"/>
    <x v="3"/>
    <x v="2176"/>
    <x v="20"/>
    <s v="COMPTROLLER-OTHER"/>
    <s v="UNKNOWN"/>
    <x v="1"/>
  </r>
  <r>
    <n v="289349"/>
    <n v="6000"/>
    <x v="3"/>
    <x v="2177"/>
    <x v="20"/>
    <s v="COMPTROLLER-OTHER"/>
    <s v="UNKNOWN"/>
    <x v="1"/>
  </r>
  <r>
    <n v="289409"/>
    <n v="4750"/>
    <x v="3"/>
    <x v="2178"/>
    <x v="20"/>
    <s v="COMPTROLLER-OTHER"/>
    <s v="UNKNOWN"/>
    <x v="1"/>
  </r>
  <r>
    <n v="289410"/>
    <n v="6000"/>
    <x v="3"/>
    <x v="2179"/>
    <x v="20"/>
    <s v="COMPTROLLER-OTHER"/>
    <s v="UNKNOWN"/>
    <x v="1"/>
  </r>
  <r>
    <n v="289415"/>
    <n v="216571.1"/>
    <x v="3"/>
    <x v="642"/>
    <x v="14"/>
    <s v="SOFTWARE"/>
    <s v="JOINT PURCHASE"/>
    <x v="1"/>
  </r>
  <r>
    <n v="289416"/>
    <n v="207075"/>
    <x v="1"/>
    <x v="2180"/>
    <x v="2"/>
    <s v="COMPTROLLER-OTHER"/>
    <s v="UNKNOWN"/>
    <x v="1"/>
  </r>
  <r>
    <n v="289417"/>
    <n v="2600000"/>
    <x v="1"/>
    <x v="892"/>
    <x v="2"/>
    <s v="COMPTROLLER-OTHER"/>
    <s v="UNKNOWN"/>
    <x v="1"/>
  </r>
  <r>
    <n v="289423"/>
    <n v="730000"/>
    <x v="0"/>
    <x v="642"/>
    <x v="14"/>
    <s v="SOFTWARE"/>
    <s v="JOINT PURCHASE"/>
    <x v="1"/>
  </r>
  <r>
    <n v="289425"/>
    <n v="540000"/>
    <x v="2"/>
    <x v="2181"/>
    <x v="2"/>
    <s v="COMPTROLLER-OTHER"/>
    <s v="UNKNOWN"/>
    <x v="1"/>
  </r>
  <r>
    <n v="28953"/>
    <n v="1200000"/>
    <x v="2"/>
    <x v="7"/>
    <x v="0"/>
    <s v="ARCH/ENGINEERING"/>
    <s v="RFP"/>
    <x v="0"/>
  </r>
  <r>
    <n v="289537"/>
    <n v="3000000"/>
    <x v="0"/>
    <x v="2182"/>
    <x v="2"/>
    <s v="COMPTROLLER-OTHER"/>
    <s v="UNKNOWN"/>
    <x v="1"/>
  </r>
  <r>
    <n v="289586"/>
    <n v="27783"/>
    <x v="0"/>
    <x v="37"/>
    <x v="8"/>
    <s v="DELEGATE AGENCY"/>
    <s v="UNKNOWN"/>
    <x v="1"/>
  </r>
  <r>
    <n v="289652"/>
    <n v="1053000"/>
    <x v="4"/>
    <x v="1083"/>
    <x v="25"/>
    <s v="WORK SERVICES / FACILITIES MAINT."/>
    <s v="BID"/>
    <x v="2"/>
  </r>
  <r>
    <n v="289701"/>
    <n v="4200000"/>
    <x v="0"/>
    <x v="2183"/>
    <x v="2"/>
    <s v="COMPTROLLER-OTHER"/>
    <s v="UNKNOWN"/>
    <x v="1"/>
  </r>
  <r>
    <n v="289702"/>
    <n v="152589.70000000001"/>
    <x v="0"/>
    <x v="2184"/>
    <x v="2"/>
    <s v="COMPTROLLER-OTHER"/>
    <s v="UNKNOWN"/>
    <x v="1"/>
  </r>
  <r>
    <n v="289703"/>
    <n v="176550"/>
    <x v="1"/>
    <x v="2185"/>
    <x v="2"/>
    <s v="COMPTROLLER-OTHER"/>
    <s v="UNKNOWN"/>
    <x v="1"/>
  </r>
  <r>
    <n v="289704"/>
    <n v="131660"/>
    <x v="1"/>
    <x v="109"/>
    <x v="12"/>
    <s v="DELEGATE AGENCY"/>
    <s v="UNKNOWN"/>
    <x v="1"/>
  </r>
  <r>
    <n v="289705"/>
    <n v="21699.3"/>
    <x v="1"/>
    <x v="61"/>
    <x v="12"/>
    <s v="DELEGATE AGENCY"/>
    <s v="UNKNOWN"/>
    <x v="1"/>
  </r>
  <r>
    <n v="289706"/>
    <n v="5000000"/>
    <x v="4"/>
    <x v="527"/>
    <x v="2"/>
    <s v="COMPTROLLER-OTHER"/>
    <s v="UNKNOWN"/>
    <x v="1"/>
  </r>
  <r>
    <n v="289707"/>
    <n v="2980209"/>
    <x v="0"/>
    <x v="297"/>
    <x v="12"/>
    <s v="DELEGATE AGENCY"/>
    <s v="UNKNOWN"/>
    <x v="1"/>
  </r>
  <r>
    <n v="289710"/>
    <n v="24180.6"/>
    <x v="0"/>
    <x v="91"/>
    <x v="12"/>
    <s v="DELEGATE AGENCY"/>
    <s v="UNKNOWN"/>
    <x v="1"/>
  </r>
  <r>
    <n v="289783"/>
    <n v="9017825.0999999996"/>
    <x v="4"/>
    <x v="2186"/>
    <x v="25"/>
    <s v="PRO SERV CONSULTING $250,000orABOVE"/>
    <s v="CONTRACT ASSIGNMENT/TRANSFER"/>
    <x v="1"/>
  </r>
  <r>
    <n v="289787"/>
    <n v="126111"/>
    <x v="0"/>
    <x v="140"/>
    <x v="8"/>
    <s v="DELEGATE AGENCY"/>
    <s v="RFP"/>
    <x v="1"/>
  </r>
  <r>
    <n v="289791"/>
    <n v="9321680"/>
    <x v="1"/>
    <x v="1083"/>
    <x v="0"/>
    <s v="COMMODITIES"/>
    <s v="BID"/>
    <x v="2"/>
  </r>
  <r>
    <n v="289831"/>
    <n v="8422306"/>
    <x v="0"/>
    <x v="1064"/>
    <x v="0"/>
    <s v="COMMODITIES"/>
    <s v="BID"/>
    <x v="2"/>
  </r>
  <r>
    <n v="290038"/>
    <n v="455.6"/>
    <x v="0"/>
    <x v="2187"/>
    <x v="25"/>
    <s v="EXHIBIT-A"/>
    <s v="UNKNOWN"/>
    <x v="1"/>
  </r>
  <r>
    <n v="290045"/>
    <n v="351"/>
    <x v="3"/>
    <x v="178"/>
    <x v="11"/>
    <s v="RELEASE REQUISITION"/>
    <s v="UNKNOWN"/>
    <x v="1"/>
  </r>
  <r>
    <n v="290054"/>
    <n v="49820"/>
    <x v="3"/>
    <x v="1098"/>
    <x v="11"/>
    <s v="EXHIBIT-A"/>
    <s v="UNKNOWN"/>
    <x v="1"/>
  </r>
  <r>
    <n v="290181"/>
    <n v="1822365.4"/>
    <x v="4"/>
    <x v="558"/>
    <x v="12"/>
    <s v="DELEGATE AGENCY"/>
    <s v="UNKNOWN"/>
    <x v="1"/>
  </r>
  <r>
    <n v="290260"/>
    <n v="1045646.9"/>
    <x v="0"/>
    <x v="297"/>
    <x v="12"/>
    <s v="DELEGATE AGENCY"/>
    <s v="UNKNOWN"/>
    <x v="1"/>
  </r>
  <r>
    <n v="290263"/>
    <n v="150271"/>
    <x v="0"/>
    <x v="533"/>
    <x v="12"/>
    <s v="DELEGATE AGENCY"/>
    <s v="UNKNOWN"/>
    <x v="1"/>
  </r>
  <r>
    <n v="290264"/>
    <n v="132675"/>
    <x v="1"/>
    <x v="532"/>
    <x v="12"/>
    <s v="DELEGATE AGENCY"/>
    <s v="UNKNOWN"/>
    <x v="1"/>
  </r>
  <r>
    <n v="290265"/>
    <n v="1160310"/>
    <x v="1"/>
    <x v="297"/>
    <x v="12"/>
    <s v="DELEGATE AGENCY"/>
    <s v="UNKNOWN"/>
    <x v="1"/>
  </r>
  <r>
    <n v="290266"/>
    <n v="121765.2"/>
    <x v="0"/>
    <x v="40"/>
    <x v="12"/>
    <s v="DELEGATE AGENCY"/>
    <s v="UNKNOWN"/>
    <x v="1"/>
  </r>
  <r>
    <n v="290267"/>
    <n v="950995.4"/>
    <x v="1"/>
    <x v="297"/>
    <x v="12"/>
    <s v="DELEGATE AGENCY"/>
    <s v="UNKNOWN"/>
    <x v="1"/>
  </r>
  <r>
    <n v="290348"/>
    <n v="250000"/>
    <x v="2"/>
    <x v="2188"/>
    <x v="8"/>
    <s v="DELEGATE AGENCY"/>
    <s v="RFP"/>
    <x v="2"/>
  </r>
  <r>
    <n v="290349"/>
    <n v="250000"/>
    <x v="2"/>
    <x v="572"/>
    <x v="8"/>
    <s v="DELEGATE AGENCY"/>
    <s v="RFP"/>
    <x v="2"/>
  </r>
  <r>
    <n v="290350"/>
    <n v="250000"/>
    <x v="2"/>
    <x v="593"/>
    <x v="8"/>
    <s v="DELEGATE AGENCY"/>
    <s v="RFP"/>
    <x v="2"/>
  </r>
  <r>
    <n v="290351"/>
    <n v="250000"/>
    <x v="2"/>
    <x v="340"/>
    <x v="8"/>
    <s v="DELEGATE AGENCY"/>
    <s v="RFP"/>
    <x v="2"/>
  </r>
  <r>
    <n v="290528"/>
    <n v="5081093"/>
    <x v="2"/>
    <x v="285"/>
    <x v="12"/>
    <s v="DELEGATE AGENCY"/>
    <s v="UNKNOWN"/>
    <x v="1"/>
  </r>
  <r>
    <n v="290719"/>
    <n v="120209"/>
    <x v="0"/>
    <x v="298"/>
    <x v="8"/>
    <s v="DELEGATE AGENCY"/>
    <s v="UNKNOWN"/>
    <x v="1"/>
  </r>
  <r>
    <n v="290720"/>
    <n v="150000"/>
    <x v="1"/>
    <x v="189"/>
    <x v="8"/>
    <s v="DELEGATE AGENCY"/>
    <s v="UNKNOWN"/>
    <x v="1"/>
  </r>
  <r>
    <n v="290821"/>
    <n v="250000"/>
    <x v="1"/>
    <x v="2189"/>
    <x v="0"/>
    <s v="EXHIBIT-A"/>
    <s v="UNKNOWN"/>
    <x v="1"/>
  </r>
  <r>
    <n v="290853"/>
    <n v="95353.2"/>
    <x v="2"/>
    <x v="436"/>
    <x v="8"/>
    <s v="DELEGATE AGENCY"/>
    <s v="UNKNOWN"/>
    <x v="1"/>
  </r>
  <r>
    <n v="290858"/>
    <n v="294820"/>
    <x v="1"/>
    <x v="68"/>
    <x v="8"/>
    <s v="DELEGATE AGENCY"/>
    <s v="UNKNOWN"/>
    <x v="1"/>
  </r>
  <r>
    <n v="290919"/>
    <n v="432296.8"/>
    <x v="2"/>
    <x v="531"/>
    <x v="12"/>
    <s v="DELEGATE AGENCY"/>
    <s v="UNKNOWN"/>
    <x v="1"/>
  </r>
  <r>
    <n v="290920"/>
    <n v="146072.1"/>
    <x v="2"/>
    <x v="170"/>
    <x v="12"/>
    <s v="DELEGATE AGENCY"/>
    <s v="UNKNOWN"/>
    <x v="1"/>
  </r>
  <r>
    <n v="290942"/>
    <n v="2000000"/>
    <x v="1"/>
    <x v="504"/>
    <x v="8"/>
    <s v="DELEGATE AGENCY"/>
    <s v="UNKNOWN"/>
    <x v="1"/>
  </r>
  <r>
    <n v="290977"/>
    <n v="6372.1"/>
    <x v="0"/>
    <x v="42"/>
    <x v="8"/>
    <s v="DELEGATE AGENCY"/>
    <s v="UNKNOWN"/>
    <x v="1"/>
  </r>
  <r>
    <n v="290978"/>
    <n v="64212"/>
    <x v="3"/>
    <x v="40"/>
    <x v="8"/>
    <s v="DELEGATE AGENCY"/>
    <s v="UNKNOWN"/>
    <x v="1"/>
  </r>
  <r>
    <n v="290979"/>
    <n v="30598.400000000001"/>
    <x v="1"/>
    <x v="27"/>
    <x v="8"/>
    <s v="DELEGATE AGENCY"/>
    <s v="UNKNOWN"/>
    <x v="1"/>
  </r>
  <r>
    <n v="290980"/>
    <n v="90805.8"/>
    <x v="4"/>
    <x v="140"/>
    <x v="8"/>
    <s v="DELEGATE AGENCY"/>
    <s v="UNKNOWN"/>
    <x v="1"/>
  </r>
  <r>
    <n v="290981"/>
    <n v="10495.8"/>
    <x v="1"/>
    <x v="44"/>
    <x v="8"/>
    <s v="DELEGATE AGENCY"/>
    <s v="UNKNOWN"/>
    <x v="1"/>
  </r>
  <r>
    <n v="290982"/>
    <n v="34126.1"/>
    <x v="4"/>
    <x v="25"/>
    <x v="8"/>
    <s v="DELEGATE AGENCY"/>
    <s v="UNKNOWN"/>
    <x v="1"/>
  </r>
  <r>
    <n v="290983"/>
    <n v="11677"/>
    <x v="4"/>
    <x v="46"/>
    <x v="8"/>
    <s v="DELEGATE AGENCY"/>
    <s v="UNKNOWN"/>
    <x v="1"/>
  </r>
  <r>
    <n v="290984"/>
    <n v="8126.5"/>
    <x v="4"/>
    <x v="41"/>
    <x v="8"/>
    <s v="DELEGATE AGENCY"/>
    <s v="UNKNOWN"/>
    <x v="1"/>
  </r>
  <r>
    <n v="290985"/>
    <n v="16348"/>
    <x v="3"/>
    <x v="43"/>
    <x v="8"/>
    <s v="DELEGATE AGENCY"/>
    <s v="UNKNOWN"/>
    <x v="1"/>
  </r>
  <r>
    <n v="290986"/>
    <n v="137510.29999999999"/>
    <x v="4"/>
    <x v="25"/>
    <x v="8"/>
    <s v="DELEGATE AGENCY"/>
    <s v="UNKNOWN"/>
    <x v="1"/>
  </r>
  <r>
    <n v="29111"/>
    <n v="7436.1"/>
    <x v="1"/>
    <x v="0"/>
    <x v="0"/>
    <s v="CONSTRUCTION-LARGE $3MILLIONorABOVE"/>
    <s v="BID"/>
    <x v="1"/>
  </r>
  <r>
    <n v="29118"/>
    <n v="1109824.6000000001"/>
    <x v="3"/>
    <x v="514"/>
    <x v="0"/>
    <s v="ARCH/ENGINEERING"/>
    <s v="RFP"/>
    <x v="0"/>
  </r>
  <r>
    <n v="291196"/>
    <n v="5000"/>
    <x v="0"/>
    <x v="2190"/>
    <x v="20"/>
    <s v="COMPTROLLER-OTHER"/>
    <s v="UNKNOWN"/>
    <x v="1"/>
  </r>
  <r>
    <n v="291205"/>
    <n v="8050757"/>
    <x v="3"/>
    <x v="1760"/>
    <x v="2"/>
    <s v="COMPTROLLER-OTHER"/>
    <s v="UNKNOWN"/>
    <x v="1"/>
  </r>
  <r>
    <n v="291208"/>
    <n v="5000"/>
    <x v="0"/>
    <x v="300"/>
    <x v="20"/>
    <s v="COMPTROLLER-OTHER"/>
    <s v="UNKNOWN"/>
    <x v="1"/>
  </r>
  <r>
    <n v="291232"/>
    <n v="117757.5"/>
    <x v="3"/>
    <x v="2191"/>
    <x v="2"/>
    <s v="COMPTROLLER-OTHER"/>
    <s v="UNKNOWN"/>
    <x v="1"/>
  </r>
  <r>
    <n v="291337"/>
    <n v="5000000"/>
    <x v="1"/>
    <x v="842"/>
    <x v="2"/>
    <s v="COMPTROLLER-OTHER"/>
    <s v="UNKNOWN"/>
    <x v="1"/>
  </r>
  <r>
    <n v="291363"/>
    <n v="7990000"/>
    <x v="0"/>
    <x v="1357"/>
    <x v="13"/>
    <s v="WORK SERVICES / FACILITIES MAINT."/>
    <s v="BID"/>
    <x v="2"/>
  </r>
  <r>
    <n v="291430"/>
    <n v="572721"/>
    <x v="0"/>
    <x v="85"/>
    <x v="12"/>
    <s v="DELEGATE AGENCY"/>
    <s v="UNKNOWN"/>
    <x v="1"/>
  </r>
  <r>
    <n v="291490"/>
    <n v="150000"/>
    <x v="2"/>
    <x v="1915"/>
    <x v="2"/>
    <s v="COMPTROLLER-OTHER"/>
    <s v="UNKNOWN"/>
    <x v="1"/>
  </r>
  <r>
    <n v="291491"/>
    <n v="4000000"/>
    <x v="1"/>
    <x v="891"/>
    <x v="0"/>
    <s v="COMPTROLLER-OTHER"/>
    <s v="UNKNOWN"/>
    <x v="1"/>
  </r>
  <r>
    <n v="291493"/>
    <n v="31746"/>
    <x v="0"/>
    <x v="2192"/>
    <x v="25"/>
    <s v="COMPTROLLER-OTHER"/>
    <s v="UNKNOWN"/>
    <x v="1"/>
  </r>
  <r>
    <n v="291596"/>
    <n v="18921.900000000001"/>
    <x v="4"/>
    <x v="128"/>
    <x v="8"/>
    <s v="DELEGATE AGENCY"/>
    <s v="UNKNOWN"/>
    <x v="1"/>
  </r>
  <r>
    <n v="291597"/>
    <n v="17394.2"/>
    <x v="4"/>
    <x v="2007"/>
    <x v="8"/>
    <s v="DELEGATE AGENCY"/>
    <s v="UNKNOWN"/>
    <x v="1"/>
  </r>
  <r>
    <n v="291604"/>
    <n v="18922.599999999999"/>
    <x v="4"/>
    <x v="201"/>
    <x v="8"/>
    <s v="DELEGATE AGENCY"/>
    <s v="UNKNOWN"/>
    <x v="2"/>
  </r>
  <r>
    <n v="291680"/>
    <n v="8000"/>
    <x v="4"/>
    <x v="2193"/>
    <x v="20"/>
    <s v="COMPTROLLER-OTHER"/>
    <s v="UNKNOWN"/>
    <x v="1"/>
  </r>
  <r>
    <n v="291681"/>
    <n v="2000"/>
    <x v="3"/>
    <x v="2194"/>
    <x v="20"/>
    <s v="COMPTROLLER-OTHER"/>
    <s v="UNKNOWN"/>
    <x v="1"/>
  </r>
  <r>
    <n v="291682"/>
    <n v="10000"/>
    <x v="3"/>
    <x v="745"/>
    <x v="20"/>
    <s v="COMPTROLLER-OTHER"/>
    <s v="UNKNOWN"/>
    <x v="1"/>
  </r>
  <r>
    <n v="291683"/>
    <n v="36000"/>
    <x v="4"/>
    <x v="2010"/>
    <x v="20"/>
    <s v="COMPTROLLER-OTHER"/>
    <s v="UNKNOWN"/>
    <x v="1"/>
  </r>
  <r>
    <n v="291684"/>
    <n v="52240"/>
    <x v="4"/>
    <x v="2195"/>
    <x v="20"/>
    <s v="COMPTROLLER-OTHER"/>
    <s v="UNKNOWN"/>
    <x v="1"/>
  </r>
  <r>
    <n v="291685"/>
    <n v="5000"/>
    <x v="1"/>
    <x v="1387"/>
    <x v="20"/>
    <s v="COMPTROLLER-OTHER"/>
    <s v="UNKNOWN"/>
    <x v="1"/>
  </r>
  <r>
    <n v="29173"/>
    <n v="1236808.3"/>
    <x v="3"/>
    <x v="2196"/>
    <x v="6"/>
    <s v="COMPTROLLER-OTHER"/>
    <s v="UNKNOWN"/>
    <x v="0"/>
  </r>
  <r>
    <n v="291771"/>
    <n v="150000"/>
    <x v="0"/>
    <x v="2197"/>
    <x v="8"/>
    <s v="DELEGATE AGENCY"/>
    <s v="RFP"/>
    <x v="2"/>
  </r>
  <r>
    <n v="291772"/>
    <n v="375000"/>
    <x v="1"/>
    <x v="407"/>
    <x v="8"/>
    <s v="DELEGATE AGENCY"/>
    <s v="RFP"/>
    <x v="2"/>
  </r>
  <r>
    <n v="291817"/>
    <n v="374998.6"/>
    <x v="2"/>
    <x v="188"/>
    <x v="8"/>
    <s v="DELEGATE AGENCY"/>
    <s v="UNKNOWN"/>
    <x v="1"/>
  </r>
  <r>
    <n v="291955"/>
    <n v="479566"/>
    <x v="2"/>
    <x v="41"/>
    <x v="8"/>
    <s v="DELEGATE AGENCY"/>
    <s v="UNKNOWN"/>
    <x v="1"/>
  </r>
  <r>
    <n v="291980"/>
    <n v="191797"/>
    <x v="2"/>
    <x v="464"/>
    <x v="8"/>
    <s v="DELEGATE AGENCY"/>
    <s v="UNKNOWN"/>
    <x v="1"/>
  </r>
  <r>
    <n v="292135"/>
    <n v="240000"/>
    <x v="1"/>
    <x v="57"/>
    <x v="1"/>
    <s v="DELEGATE AGENCY"/>
    <s v="UNKNOWN"/>
    <x v="2"/>
  </r>
  <r>
    <n v="292138"/>
    <n v="480000"/>
    <x v="1"/>
    <x v="82"/>
    <x v="1"/>
    <s v="DELEGATE AGENCY"/>
    <s v="UNKNOWN"/>
    <x v="2"/>
  </r>
  <r>
    <n v="292141"/>
    <n v="440000"/>
    <x v="2"/>
    <x v="25"/>
    <x v="1"/>
    <s v="DELEGATE AGENCY"/>
    <s v="UNKNOWN"/>
    <x v="2"/>
  </r>
  <r>
    <n v="292144"/>
    <n v="240000"/>
    <x v="2"/>
    <x v="469"/>
    <x v="1"/>
    <s v="DELEGATE AGENCY"/>
    <s v="UNKNOWN"/>
    <x v="2"/>
  </r>
  <r>
    <n v="292145"/>
    <n v="360000"/>
    <x v="1"/>
    <x v="66"/>
    <x v="1"/>
    <s v="DELEGATE AGENCY"/>
    <s v="UNKNOWN"/>
    <x v="2"/>
  </r>
  <r>
    <n v="292149"/>
    <n v="480000"/>
    <x v="2"/>
    <x v="41"/>
    <x v="1"/>
    <s v="DELEGATE AGENCY"/>
    <s v="UNKNOWN"/>
    <x v="2"/>
  </r>
  <r>
    <n v="292151"/>
    <n v="240000"/>
    <x v="2"/>
    <x v="465"/>
    <x v="1"/>
    <s v="DELEGATE AGENCY"/>
    <s v="UNKNOWN"/>
    <x v="2"/>
  </r>
  <r>
    <n v="292152"/>
    <n v="240000"/>
    <x v="1"/>
    <x v="67"/>
    <x v="1"/>
    <s v="DELEGATE AGENCY"/>
    <s v="UNKNOWN"/>
    <x v="2"/>
  </r>
  <r>
    <n v="292153"/>
    <n v="240000"/>
    <x v="1"/>
    <x v="229"/>
    <x v="1"/>
    <s v="DELEGATE AGENCY"/>
    <s v="UNKNOWN"/>
    <x v="2"/>
  </r>
  <r>
    <n v="292154"/>
    <n v="240000"/>
    <x v="1"/>
    <x v="466"/>
    <x v="1"/>
    <s v="DELEGATE AGENCY"/>
    <s v="UNKNOWN"/>
    <x v="2"/>
  </r>
  <r>
    <n v="292156"/>
    <n v="240000"/>
    <x v="1"/>
    <x v="114"/>
    <x v="1"/>
    <s v="DELEGATE AGENCY"/>
    <s v="UNKNOWN"/>
    <x v="2"/>
  </r>
  <r>
    <n v="292159"/>
    <n v="480000"/>
    <x v="1"/>
    <x v="363"/>
    <x v="1"/>
    <s v="DELEGATE AGENCY"/>
    <s v="UNKNOWN"/>
    <x v="2"/>
  </r>
  <r>
    <n v="292160"/>
    <n v="240000"/>
    <x v="2"/>
    <x v="1771"/>
    <x v="1"/>
    <s v="DELEGATE AGENCY"/>
    <s v="UNKNOWN"/>
    <x v="2"/>
  </r>
  <r>
    <n v="292173"/>
    <n v="240000"/>
    <x v="1"/>
    <x v="468"/>
    <x v="1"/>
    <s v="DELEGATE AGENCY"/>
    <s v="UNKNOWN"/>
    <x v="2"/>
  </r>
  <r>
    <n v="292198"/>
    <n v="12361.8"/>
    <x v="1"/>
    <x v="437"/>
    <x v="8"/>
    <s v="DELEGATE AGENCY"/>
    <s v="UNKNOWN"/>
    <x v="1"/>
  </r>
  <r>
    <n v="292382"/>
    <n v="6000"/>
    <x v="4"/>
    <x v="2198"/>
    <x v="20"/>
    <s v="COMPTROLLER-OTHER"/>
    <s v="UNKNOWN"/>
    <x v="1"/>
  </r>
  <r>
    <n v="292799"/>
    <n v="667500"/>
    <x v="3"/>
    <x v="530"/>
    <x v="8"/>
    <s v="DELEGATE AGENCY"/>
    <s v="RFP"/>
    <x v="2"/>
  </r>
  <r>
    <n v="292800"/>
    <n v="500000"/>
    <x v="2"/>
    <x v="547"/>
    <x v="8"/>
    <s v="DELEGATE AGENCY"/>
    <s v="RFP"/>
    <x v="2"/>
  </r>
  <r>
    <n v="292801"/>
    <n v="500000"/>
    <x v="2"/>
    <x v="201"/>
    <x v="8"/>
    <s v="DELEGATE AGENCY"/>
    <s v="RFP"/>
    <x v="2"/>
  </r>
  <r>
    <n v="292974"/>
    <n v="72083"/>
    <x v="2"/>
    <x v="534"/>
    <x v="12"/>
    <s v="DELEGATE AGENCY"/>
    <s v="UNKNOWN"/>
    <x v="1"/>
  </r>
  <r>
    <n v="292979"/>
    <n v="73274.399999999994"/>
    <x v="1"/>
    <x v="292"/>
    <x v="12"/>
    <s v="DELEGATE AGENCY"/>
    <s v="UNKNOWN"/>
    <x v="1"/>
  </r>
  <r>
    <n v="292981"/>
    <n v="12000"/>
    <x v="1"/>
    <x v="132"/>
    <x v="12"/>
    <s v="DELEGATE AGENCY"/>
    <s v="UNKNOWN"/>
    <x v="1"/>
  </r>
  <r>
    <n v="292996"/>
    <n v="37912.9"/>
    <x v="4"/>
    <x v="1693"/>
    <x v="2"/>
    <s v="COMPTROLLER-OTHER"/>
    <s v="UNKNOWN"/>
    <x v="1"/>
  </r>
  <r>
    <n v="292997"/>
    <n v="3200000"/>
    <x v="4"/>
    <x v="2182"/>
    <x v="2"/>
    <s v="COMPTROLLER-OTHER"/>
    <s v="UNKNOWN"/>
    <x v="1"/>
  </r>
  <r>
    <n v="292999"/>
    <n v="989780"/>
    <x v="0"/>
    <x v="2199"/>
    <x v="8"/>
    <s v="COMPTROLLER-OTHER"/>
    <s v="UNKNOWN"/>
    <x v="1"/>
  </r>
  <r>
    <n v="293017"/>
    <n v="1000000"/>
    <x v="2"/>
    <x v="76"/>
    <x v="12"/>
    <s v="DELEGATE AGENCY"/>
    <s v="RFP"/>
    <x v="1"/>
  </r>
  <r>
    <n v="293116"/>
    <n v="175000"/>
    <x v="0"/>
    <x v="2200"/>
    <x v="9"/>
    <s v="COMPTROLLER-OTHER"/>
    <s v="UNKNOWN"/>
    <x v="1"/>
  </r>
  <r>
    <n v="293144"/>
    <n v="843000"/>
    <x v="1"/>
    <x v="1730"/>
    <x v="12"/>
    <s v="DELEGATE AGENCY"/>
    <s v="UNKNOWN"/>
    <x v="2"/>
  </r>
  <r>
    <n v="293242"/>
    <n v="20000"/>
    <x v="2"/>
    <x v="2201"/>
    <x v="20"/>
    <s v="COMPTROLLER-OTHER"/>
    <s v="UNKNOWN"/>
    <x v="1"/>
  </r>
  <r>
    <n v="293245"/>
    <n v="30000"/>
    <x v="4"/>
    <x v="819"/>
    <x v="20"/>
    <s v="COMPTROLLER-OTHER"/>
    <s v="UNKNOWN"/>
    <x v="1"/>
  </r>
  <r>
    <n v="293246"/>
    <n v="20000"/>
    <x v="4"/>
    <x v="810"/>
    <x v="20"/>
    <s v="COMPTROLLER-OTHER"/>
    <s v="UNKNOWN"/>
    <x v="1"/>
  </r>
  <r>
    <n v="293247"/>
    <n v="40000"/>
    <x v="4"/>
    <x v="656"/>
    <x v="20"/>
    <s v="COMPTROLLER-OTHER"/>
    <s v="UNKNOWN"/>
    <x v="1"/>
  </r>
  <r>
    <n v="293248"/>
    <n v="20000"/>
    <x v="4"/>
    <x v="677"/>
    <x v="20"/>
    <s v="COMPTROLLER-OTHER"/>
    <s v="UNKNOWN"/>
    <x v="1"/>
  </r>
  <r>
    <n v="293250"/>
    <n v="60000"/>
    <x v="4"/>
    <x v="820"/>
    <x v="20"/>
    <s v="COMPTROLLER-OTHER"/>
    <s v="UNKNOWN"/>
    <x v="1"/>
  </r>
  <r>
    <n v="293252"/>
    <n v="40000"/>
    <x v="1"/>
    <x v="764"/>
    <x v="20"/>
    <s v="COMPTROLLER-OTHER"/>
    <s v="UNKNOWN"/>
    <x v="1"/>
  </r>
  <r>
    <n v="293256"/>
    <n v="90000"/>
    <x v="4"/>
    <x v="787"/>
    <x v="20"/>
    <s v="COMPTROLLER-OTHER"/>
    <s v="UNKNOWN"/>
    <x v="1"/>
  </r>
  <r>
    <n v="293258"/>
    <n v="40000"/>
    <x v="1"/>
    <x v="672"/>
    <x v="20"/>
    <s v="COMPTROLLER-OTHER"/>
    <s v="UNKNOWN"/>
    <x v="1"/>
  </r>
  <r>
    <n v="293259"/>
    <n v="80000"/>
    <x v="4"/>
    <x v="627"/>
    <x v="20"/>
    <s v="COMPTROLLER-OTHER"/>
    <s v="UNKNOWN"/>
    <x v="1"/>
  </r>
  <r>
    <n v="293272"/>
    <n v="270061.7"/>
    <x v="1"/>
    <x v="128"/>
    <x v="8"/>
    <s v="DELEGATE AGENCY"/>
    <s v="UNKNOWN"/>
    <x v="1"/>
  </r>
  <r>
    <n v="293274"/>
    <n v="280096.7"/>
    <x v="2"/>
    <x v="44"/>
    <x v="8"/>
    <s v="DELEGATE AGENCY"/>
    <s v="UNKNOWN"/>
    <x v="1"/>
  </r>
  <r>
    <n v="293281"/>
    <n v="50000"/>
    <x v="2"/>
    <x v="816"/>
    <x v="20"/>
    <s v="COMPTROLLER-OTHER"/>
    <s v="UNKNOWN"/>
    <x v="1"/>
  </r>
  <r>
    <n v="293282"/>
    <n v="40000"/>
    <x v="1"/>
    <x v="828"/>
    <x v="20"/>
    <s v="COMPTROLLER-OTHER"/>
    <s v="UNKNOWN"/>
    <x v="1"/>
  </r>
  <r>
    <n v="293283"/>
    <n v="50000"/>
    <x v="4"/>
    <x v="814"/>
    <x v="20"/>
    <s v="COMPTROLLER-OTHER"/>
    <s v="UNKNOWN"/>
    <x v="1"/>
  </r>
  <r>
    <n v="293284"/>
    <n v="50000"/>
    <x v="1"/>
    <x v="838"/>
    <x v="20"/>
    <s v="COMPTROLLER-OTHER"/>
    <s v="UNKNOWN"/>
    <x v="1"/>
  </r>
  <r>
    <n v="293287"/>
    <n v="20000"/>
    <x v="1"/>
    <x v="2202"/>
    <x v="20"/>
    <s v="COMPTROLLER-OTHER"/>
    <s v="UNKNOWN"/>
    <x v="1"/>
  </r>
  <r>
    <n v="293288"/>
    <n v="250000"/>
    <x v="4"/>
    <x v="760"/>
    <x v="2"/>
    <s v="COMPTROLLER-OTHER"/>
    <s v="UNKNOWN"/>
    <x v="1"/>
  </r>
  <r>
    <n v="293289"/>
    <n v="90000"/>
    <x v="2"/>
    <x v="914"/>
    <x v="20"/>
    <s v="COMPTROLLER-OTHER"/>
    <s v="UNKNOWN"/>
    <x v="1"/>
  </r>
  <r>
    <n v="293291"/>
    <n v="90000"/>
    <x v="1"/>
    <x v="622"/>
    <x v="20"/>
    <s v="COMPTROLLER-OTHER"/>
    <s v="UNKNOWN"/>
    <x v="1"/>
  </r>
  <r>
    <n v="293326"/>
    <n v="200000"/>
    <x v="1"/>
    <x v="1227"/>
    <x v="12"/>
    <s v="DELEGATE AGENCY"/>
    <s v="UNKNOWN"/>
    <x v="1"/>
  </r>
  <r>
    <n v="293337"/>
    <n v="280935.59999999998"/>
    <x v="1"/>
    <x v="308"/>
    <x v="12"/>
    <s v="DELEGATE AGENCY"/>
    <s v="UNKNOWN"/>
    <x v="1"/>
  </r>
  <r>
    <n v="293360"/>
    <n v="35690"/>
    <x v="2"/>
    <x v="436"/>
    <x v="8"/>
    <s v="DELEGATE AGENCY"/>
    <s v="UNKNOWN"/>
    <x v="1"/>
  </r>
  <r>
    <n v="293382"/>
    <n v="15000"/>
    <x v="4"/>
    <x v="1227"/>
    <x v="12"/>
    <s v="DELEGATE AGENCY"/>
    <s v="UNKNOWN"/>
    <x v="1"/>
  </r>
  <r>
    <n v="293383"/>
    <n v="750"/>
    <x v="4"/>
    <x v="1227"/>
    <x v="12"/>
    <s v="DELEGATE AGENCY"/>
    <s v="UNKNOWN"/>
    <x v="1"/>
  </r>
  <r>
    <n v="293384"/>
    <n v="22112.6"/>
    <x v="3"/>
    <x v="436"/>
    <x v="8"/>
    <s v="DELEGATE AGENCY"/>
    <s v="UNKNOWN"/>
    <x v="1"/>
  </r>
  <r>
    <n v="293506"/>
    <n v="319295.3"/>
    <x v="4"/>
    <x v="496"/>
    <x v="8"/>
    <s v="DELEGATE AGENCY"/>
    <s v="UNKNOWN"/>
    <x v="1"/>
  </r>
  <r>
    <n v="293548"/>
    <n v="200000"/>
    <x v="2"/>
    <x v="1227"/>
    <x v="12"/>
    <s v="DELEGATE AGENCY"/>
    <s v="UNKNOWN"/>
    <x v="1"/>
  </r>
  <r>
    <n v="293585"/>
    <n v="29422.400000000001"/>
    <x v="1"/>
    <x v="437"/>
    <x v="8"/>
    <s v="DELEGATE AGENCY"/>
    <s v="UNKNOWN"/>
    <x v="1"/>
  </r>
  <r>
    <n v="293589"/>
    <n v="1232183.6000000001"/>
    <x v="4"/>
    <x v="500"/>
    <x v="8"/>
    <s v="DELEGATE AGENCY"/>
    <s v="UNKNOWN"/>
    <x v="2"/>
  </r>
  <r>
    <n v="293597"/>
    <n v="375000"/>
    <x v="0"/>
    <x v="465"/>
    <x v="8"/>
    <s v="DELEGATE AGENCY"/>
    <s v="UNKNOWN"/>
    <x v="1"/>
  </r>
  <r>
    <n v="293601"/>
    <n v="373729"/>
    <x v="2"/>
    <x v="1366"/>
    <x v="8"/>
    <s v="DELEGATE AGENCY"/>
    <s v="UNKNOWN"/>
    <x v="1"/>
  </r>
  <r>
    <n v="293606"/>
    <n v="20000"/>
    <x v="2"/>
    <x v="635"/>
    <x v="20"/>
    <s v="COMPTROLLER-OTHER"/>
    <s v="UNKNOWN"/>
    <x v="1"/>
  </r>
  <r>
    <n v="293614"/>
    <n v="50000"/>
    <x v="4"/>
    <x v="2203"/>
    <x v="20"/>
    <s v="COMPTROLLER-OTHER"/>
    <s v="UNKNOWN"/>
    <x v="1"/>
  </r>
  <r>
    <n v="293616"/>
    <n v="20000"/>
    <x v="1"/>
    <x v="798"/>
    <x v="20"/>
    <s v="COMPTROLLER-OTHER"/>
    <s v="UNKNOWN"/>
    <x v="1"/>
  </r>
  <r>
    <n v="293617"/>
    <n v="556499"/>
    <x v="4"/>
    <x v="2204"/>
    <x v="12"/>
    <s v="DELEGATE AGENCY"/>
    <s v="RFP"/>
    <x v="2"/>
  </r>
  <r>
    <n v="293620"/>
    <n v="90000"/>
    <x v="2"/>
    <x v="751"/>
    <x v="20"/>
    <s v="COMPTROLLER-OTHER"/>
    <s v="UNKNOWN"/>
    <x v="1"/>
  </r>
  <r>
    <n v="293623"/>
    <n v="60000"/>
    <x v="1"/>
    <x v="815"/>
    <x v="20"/>
    <s v="COMPTROLLER-OTHER"/>
    <s v="UNKNOWN"/>
    <x v="1"/>
  </r>
  <r>
    <n v="293625"/>
    <n v="70000"/>
    <x v="1"/>
    <x v="847"/>
    <x v="20"/>
    <s v="COMPTROLLER-OTHER"/>
    <s v="UNKNOWN"/>
    <x v="1"/>
  </r>
  <r>
    <n v="293634"/>
    <n v="70000"/>
    <x v="1"/>
    <x v="585"/>
    <x v="20"/>
    <s v="COMPTROLLER-OTHER"/>
    <s v="UNKNOWN"/>
    <x v="1"/>
  </r>
  <r>
    <n v="293639"/>
    <n v="90000"/>
    <x v="1"/>
    <x v="654"/>
    <x v="20"/>
    <s v="COMPTROLLER-OTHER"/>
    <s v="UNKNOWN"/>
    <x v="1"/>
  </r>
  <r>
    <n v="293642"/>
    <n v="20000"/>
    <x v="1"/>
    <x v="777"/>
    <x v="20"/>
    <s v="COMPTROLLER-OTHER"/>
    <s v="UNKNOWN"/>
    <x v="1"/>
  </r>
  <r>
    <n v="293644"/>
    <n v="30000"/>
    <x v="4"/>
    <x v="782"/>
    <x v="20"/>
    <s v="COMPTROLLER-OTHER"/>
    <s v="UNKNOWN"/>
    <x v="1"/>
  </r>
  <r>
    <n v="293657"/>
    <n v="40000"/>
    <x v="4"/>
    <x v="831"/>
    <x v="20"/>
    <s v="COMPTROLLER-OTHER"/>
    <s v="UNKNOWN"/>
    <x v="1"/>
  </r>
  <r>
    <n v="293673"/>
    <n v="150000"/>
    <x v="4"/>
    <x v="978"/>
    <x v="2"/>
    <s v="COMPTROLLER-OTHER"/>
    <s v="UNKNOWN"/>
    <x v="1"/>
  </r>
  <r>
    <n v="293682"/>
    <n v="30000"/>
    <x v="1"/>
    <x v="2205"/>
    <x v="20"/>
    <s v="COMPTROLLER-OTHER"/>
    <s v="UNKNOWN"/>
    <x v="1"/>
  </r>
  <r>
    <n v="293683"/>
    <n v="5000"/>
    <x v="4"/>
    <x v="2110"/>
    <x v="20"/>
    <s v="COMPTROLLER-OTHER"/>
    <s v="UNKNOWN"/>
    <x v="1"/>
  </r>
  <r>
    <n v="293685"/>
    <n v="5000"/>
    <x v="3"/>
    <x v="2107"/>
    <x v="20"/>
    <s v="COMPTROLLER-OTHER"/>
    <s v="UNKNOWN"/>
    <x v="1"/>
  </r>
  <r>
    <n v="293686"/>
    <n v="5000"/>
    <x v="3"/>
    <x v="2109"/>
    <x v="20"/>
    <s v="COMPTROLLER-OTHER"/>
    <s v="UNKNOWN"/>
    <x v="1"/>
  </r>
  <r>
    <n v="293690"/>
    <n v="60000"/>
    <x v="3"/>
    <x v="860"/>
    <x v="20"/>
    <s v="COMPTROLLER-OTHER"/>
    <s v="UNKNOWN"/>
    <x v="1"/>
  </r>
  <r>
    <n v="293691"/>
    <n v="80000"/>
    <x v="1"/>
    <x v="673"/>
    <x v="20"/>
    <s v="COMPTROLLER-OTHER"/>
    <s v="UNKNOWN"/>
    <x v="1"/>
  </r>
  <r>
    <n v="293692"/>
    <n v="20000"/>
    <x v="1"/>
    <x v="630"/>
    <x v="20"/>
    <s v="COMPTROLLER-OTHER"/>
    <s v="UNKNOWN"/>
    <x v="1"/>
  </r>
  <r>
    <n v="293710"/>
    <n v="20000"/>
    <x v="4"/>
    <x v="678"/>
    <x v="20"/>
    <s v="COMPTROLLER-OTHER"/>
    <s v="UNKNOWN"/>
    <x v="1"/>
  </r>
  <r>
    <n v="293714"/>
    <n v="30000"/>
    <x v="4"/>
    <x v="2206"/>
    <x v="20"/>
    <s v="COMPTROLLER-OTHER"/>
    <s v="UNKNOWN"/>
    <x v="1"/>
  </r>
  <r>
    <n v="293717"/>
    <n v="60000"/>
    <x v="4"/>
    <x v="668"/>
    <x v="20"/>
    <s v="COMPTROLLER-OTHER"/>
    <s v="UNKNOWN"/>
    <x v="1"/>
  </r>
  <r>
    <n v="293718"/>
    <n v="90000"/>
    <x v="1"/>
    <x v="679"/>
    <x v="20"/>
    <s v="COMPTROLLER-OTHER"/>
    <s v="UNKNOWN"/>
    <x v="1"/>
  </r>
  <r>
    <n v="293720"/>
    <n v="20000"/>
    <x v="1"/>
    <x v="753"/>
    <x v="20"/>
    <s v="COMPTROLLER-OTHER"/>
    <s v="UNKNOWN"/>
    <x v="1"/>
  </r>
  <r>
    <n v="293723"/>
    <n v="30000"/>
    <x v="4"/>
    <x v="660"/>
    <x v="20"/>
    <s v="COMPTROLLER-OTHER"/>
    <s v="UNKNOWN"/>
    <x v="1"/>
  </r>
  <r>
    <n v="293725"/>
    <n v="16000"/>
    <x v="4"/>
    <x v="735"/>
    <x v="20"/>
    <s v="COMPTROLLER-OTHER"/>
    <s v="UNKNOWN"/>
    <x v="1"/>
  </r>
  <r>
    <n v="293728"/>
    <n v="8000"/>
    <x v="4"/>
    <x v="2207"/>
    <x v="20"/>
    <s v="COMPTROLLER-OTHER"/>
    <s v="UNKNOWN"/>
    <x v="1"/>
  </r>
  <r>
    <n v="293730"/>
    <n v="20000"/>
    <x v="3"/>
    <x v="785"/>
    <x v="20"/>
    <s v="COMPTROLLER-OTHER"/>
    <s v="UNKNOWN"/>
    <x v="1"/>
  </r>
  <r>
    <n v="293732"/>
    <n v="30000"/>
    <x v="4"/>
    <x v="2208"/>
    <x v="20"/>
    <s v="COMPTROLLER-OTHER"/>
    <s v="UNKNOWN"/>
    <x v="1"/>
  </r>
  <r>
    <n v="293834"/>
    <n v="70000"/>
    <x v="4"/>
    <x v="851"/>
    <x v="20"/>
    <s v="COMPTROLLER-OTHER"/>
    <s v="UNKNOWN"/>
    <x v="1"/>
  </r>
  <r>
    <n v="293841"/>
    <n v="40000"/>
    <x v="1"/>
    <x v="625"/>
    <x v="20"/>
    <s v="COMPTROLLER-OTHER"/>
    <s v="UNKNOWN"/>
    <x v="1"/>
  </r>
  <r>
    <n v="293846"/>
    <n v="20000"/>
    <x v="4"/>
    <x v="836"/>
    <x v="20"/>
    <s v="COMPTROLLER-OTHER"/>
    <s v="UNKNOWN"/>
    <x v="1"/>
  </r>
  <r>
    <n v="293888"/>
    <n v="211200"/>
    <x v="4"/>
    <x v="303"/>
    <x v="12"/>
    <s v="DELEGATE AGENCY"/>
    <s v="UNKNOWN"/>
    <x v="2"/>
  </r>
  <r>
    <n v="293889"/>
    <n v="211200"/>
    <x v="1"/>
    <x v="59"/>
    <x v="12"/>
    <s v="DELEGATE AGENCY"/>
    <s v="UNKNOWN"/>
    <x v="2"/>
  </r>
  <r>
    <n v="293890"/>
    <n v="211200"/>
    <x v="1"/>
    <x v="340"/>
    <x v="12"/>
    <s v="DELEGATE AGENCY"/>
    <s v="UNKNOWN"/>
    <x v="2"/>
  </r>
  <r>
    <n v="293896"/>
    <n v="100000"/>
    <x v="1"/>
    <x v="784"/>
    <x v="20"/>
    <s v="COMPTROLLER-OTHER"/>
    <s v="UNKNOWN"/>
    <x v="1"/>
  </r>
  <r>
    <n v="293900"/>
    <n v="40000"/>
    <x v="1"/>
    <x v="647"/>
    <x v="20"/>
    <s v="COMPTROLLER-OTHER"/>
    <s v="UNKNOWN"/>
    <x v="1"/>
  </r>
  <r>
    <n v="293906"/>
    <n v="40000"/>
    <x v="4"/>
    <x v="756"/>
    <x v="20"/>
    <s v="COMPTROLLER-OTHER"/>
    <s v="UNKNOWN"/>
    <x v="1"/>
  </r>
  <r>
    <n v="293907"/>
    <n v="360000"/>
    <x v="4"/>
    <x v="497"/>
    <x v="1"/>
    <s v="DELEGATE AGENCY"/>
    <s v="UNKNOWN"/>
    <x v="2"/>
  </r>
  <r>
    <n v="293911"/>
    <n v="40000"/>
    <x v="2"/>
    <x v="829"/>
    <x v="20"/>
    <s v="COMPTROLLER-OTHER"/>
    <s v="UNKNOWN"/>
    <x v="1"/>
  </r>
  <r>
    <n v="293915"/>
    <n v="211200"/>
    <x v="4"/>
    <x v="203"/>
    <x v="12"/>
    <s v="DELEGATE AGENCY"/>
    <s v="UNKNOWN"/>
    <x v="2"/>
  </r>
  <r>
    <n v="293928"/>
    <n v="50000"/>
    <x v="1"/>
    <x v="846"/>
    <x v="20"/>
    <s v="COMPTROLLER-OTHER"/>
    <s v="UNKNOWN"/>
    <x v="1"/>
  </r>
  <r>
    <n v="293955"/>
    <n v="50000"/>
    <x v="1"/>
    <x v="745"/>
    <x v="20"/>
    <s v="COMPTROLLER-OTHER"/>
    <s v="UNKNOWN"/>
    <x v="1"/>
  </r>
  <r>
    <n v="293966"/>
    <n v="50000"/>
    <x v="1"/>
    <x v="707"/>
    <x v="20"/>
    <s v="COMPTROLLER-OTHER"/>
    <s v="UNKNOWN"/>
    <x v="1"/>
  </r>
  <r>
    <n v="293969"/>
    <n v="150000"/>
    <x v="1"/>
    <x v="201"/>
    <x v="8"/>
    <s v="DELEGATE AGENCY"/>
    <s v="UNKNOWN"/>
    <x v="1"/>
  </r>
  <r>
    <n v="293970"/>
    <n v="40000"/>
    <x v="1"/>
    <x v="850"/>
    <x v="20"/>
    <s v="COMPTROLLER-OTHER"/>
    <s v="UNKNOWN"/>
    <x v="1"/>
  </r>
  <r>
    <n v="293974"/>
    <n v="90000"/>
    <x v="4"/>
    <x v="750"/>
    <x v="20"/>
    <s v="COMPTROLLER-OTHER"/>
    <s v="UNKNOWN"/>
    <x v="1"/>
  </r>
  <r>
    <n v="293977"/>
    <n v="90000"/>
    <x v="1"/>
    <x v="817"/>
    <x v="20"/>
    <s v="COMPTROLLER-OTHER"/>
    <s v="UNKNOWN"/>
    <x v="1"/>
  </r>
  <r>
    <n v="293981"/>
    <n v="20000"/>
    <x v="1"/>
    <x v="774"/>
    <x v="20"/>
    <s v="COMPTROLLER-OTHER"/>
    <s v="UNKNOWN"/>
    <x v="1"/>
  </r>
  <r>
    <n v="293986"/>
    <n v="20000"/>
    <x v="4"/>
    <x v="761"/>
    <x v="20"/>
    <s v="COMPTROLLER-OTHER"/>
    <s v="UNKNOWN"/>
    <x v="1"/>
  </r>
  <r>
    <n v="293988"/>
    <n v="30000"/>
    <x v="4"/>
    <x v="651"/>
    <x v="20"/>
    <s v="COMPTROLLER-OTHER"/>
    <s v="UNKNOWN"/>
    <x v="1"/>
  </r>
  <r>
    <n v="293992"/>
    <n v="30000"/>
    <x v="4"/>
    <x v="624"/>
    <x v="20"/>
    <s v="COMPTROLLER-OTHER"/>
    <s v="UNKNOWN"/>
    <x v="1"/>
  </r>
  <r>
    <n v="293994"/>
    <n v="90000"/>
    <x v="4"/>
    <x v="789"/>
    <x v="20"/>
    <s v="COMPTROLLER-OTHER"/>
    <s v="UNKNOWN"/>
    <x v="1"/>
  </r>
  <r>
    <n v="294048"/>
    <n v="12000"/>
    <x v="1"/>
    <x v="57"/>
    <x v="12"/>
    <s v="DELEGATE AGENCY"/>
    <s v="UNKNOWN"/>
    <x v="1"/>
  </r>
  <r>
    <n v="294049"/>
    <n v="1174250"/>
    <x v="4"/>
    <x v="447"/>
    <x v="12"/>
    <s v="DELEGATE AGENCY"/>
    <s v="UNKNOWN"/>
    <x v="1"/>
  </r>
  <r>
    <n v="294050"/>
    <n v="136162.70000000001"/>
    <x v="0"/>
    <x v="502"/>
    <x v="8"/>
    <s v="DELEGATE AGENCY"/>
    <s v="UNKNOWN"/>
    <x v="1"/>
  </r>
  <r>
    <n v="294051"/>
    <n v="416695"/>
    <x v="1"/>
    <x v="558"/>
    <x v="12"/>
    <s v="DELEGATE AGENCY"/>
    <s v="UNKNOWN"/>
    <x v="1"/>
  </r>
  <r>
    <n v="294098"/>
    <n v="20000"/>
    <x v="2"/>
    <x v="836"/>
    <x v="20"/>
    <s v="COMPTROLLER-OTHER"/>
    <s v="UNKNOWN"/>
    <x v="1"/>
  </r>
  <r>
    <n v="294104"/>
    <n v="40000"/>
    <x v="4"/>
    <x v="652"/>
    <x v="20"/>
    <s v="COMPTROLLER-OTHER"/>
    <s v="UNKNOWN"/>
    <x v="1"/>
  </r>
  <r>
    <n v="294112"/>
    <n v="30000"/>
    <x v="4"/>
    <x v="663"/>
    <x v="20"/>
    <s v="COMPTROLLER-OTHER"/>
    <s v="UNKNOWN"/>
    <x v="1"/>
  </r>
  <r>
    <n v="294113"/>
    <n v="20000"/>
    <x v="4"/>
    <x v="2209"/>
    <x v="20"/>
    <s v="COMPTROLLER-OTHER"/>
    <s v="UNKNOWN"/>
    <x v="1"/>
  </r>
  <r>
    <n v="294114"/>
    <n v="80000"/>
    <x v="4"/>
    <x v="849"/>
    <x v="20"/>
    <s v="COMPTROLLER-OTHER"/>
    <s v="UNKNOWN"/>
    <x v="1"/>
  </r>
  <r>
    <n v="294115"/>
    <n v="105600"/>
    <x v="1"/>
    <x v="201"/>
    <x v="12"/>
    <s v="DELEGATE AGENCY"/>
    <s v="UNKNOWN"/>
    <x v="2"/>
  </r>
  <r>
    <n v="294117"/>
    <n v="70000"/>
    <x v="1"/>
    <x v="859"/>
    <x v="20"/>
    <s v="COMPTROLLER-OTHER"/>
    <s v="UNKNOWN"/>
    <x v="1"/>
  </r>
  <r>
    <n v="294118"/>
    <n v="16000"/>
    <x v="1"/>
    <x v="1490"/>
    <x v="20"/>
    <s v="COMPTROLLER-OTHER"/>
    <s v="UNKNOWN"/>
    <x v="1"/>
  </r>
  <r>
    <n v="294119"/>
    <n v="20000"/>
    <x v="4"/>
    <x v="2210"/>
    <x v="20"/>
    <s v="COMPTROLLER-OTHER"/>
    <s v="UNKNOWN"/>
    <x v="1"/>
  </r>
  <r>
    <n v="294120"/>
    <n v="40000"/>
    <x v="4"/>
    <x v="864"/>
    <x v="20"/>
    <s v="COMPTROLLER-OTHER"/>
    <s v="UNKNOWN"/>
    <x v="1"/>
  </r>
  <r>
    <n v="294121"/>
    <n v="20000"/>
    <x v="4"/>
    <x v="798"/>
    <x v="20"/>
    <s v="COMPTROLLER-OTHER"/>
    <s v="UNKNOWN"/>
    <x v="1"/>
  </r>
  <r>
    <n v="294123"/>
    <n v="40000"/>
    <x v="4"/>
    <x v="646"/>
    <x v="20"/>
    <s v="COMPTROLLER-OTHER"/>
    <s v="UNKNOWN"/>
    <x v="1"/>
  </r>
  <r>
    <n v="294124"/>
    <n v="20000"/>
    <x v="4"/>
    <x v="1333"/>
    <x v="20"/>
    <s v="COMPTROLLER-OTHER"/>
    <s v="UNKNOWN"/>
    <x v="1"/>
  </r>
  <r>
    <n v="294126"/>
    <n v="20000"/>
    <x v="4"/>
    <x v="2211"/>
    <x v="20"/>
    <s v="COMPTROLLER-OTHER"/>
    <s v="UNKNOWN"/>
    <x v="1"/>
  </r>
  <r>
    <n v="294127"/>
    <n v="16000"/>
    <x v="4"/>
    <x v="1128"/>
    <x v="20"/>
    <s v="COMPTROLLER-OTHER"/>
    <s v="UNKNOWN"/>
    <x v="1"/>
  </r>
  <r>
    <n v="294133"/>
    <n v="20000"/>
    <x v="4"/>
    <x v="665"/>
    <x v="20"/>
    <s v="COMPTROLLER-OTHER"/>
    <s v="UNKNOWN"/>
    <x v="1"/>
  </r>
  <r>
    <n v="294134"/>
    <n v="30000"/>
    <x v="4"/>
    <x v="629"/>
    <x v="20"/>
    <s v="COMPTROLLER-OTHER"/>
    <s v="UNKNOWN"/>
    <x v="1"/>
  </r>
  <r>
    <n v="294135"/>
    <n v="40000"/>
    <x v="4"/>
    <x v="773"/>
    <x v="20"/>
    <s v="COMPTROLLER-OTHER"/>
    <s v="UNKNOWN"/>
    <x v="1"/>
  </r>
  <r>
    <n v="294137"/>
    <n v="40000"/>
    <x v="4"/>
    <x v="756"/>
    <x v="20"/>
    <s v="COMPTROLLER-OTHER"/>
    <s v="UNKNOWN"/>
    <x v="1"/>
  </r>
  <r>
    <n v="294140"/>
    <n v="30000"/>
    <x v="4"/>
    <x v="768"/>
    <x v="20"/>
    <s v="COMPTROLLER-OTHER"/>
    <s v="UNKNOWN"/>
    <x v="1"/>
  </r>
  <r>
    <n v="294141"/>
    <n v="12000"/>
    <x v="4"/>
    <x v="2212"/>
    <x v="20"/>
    <s v="COMPTROLLER-OTHER"/>
    <s v="UNKNOWN"/>
    <x v="1"/>
  </r>
  <r>
    <n v="294142"/>
    <n v="30000"/>
    <x v="4"/>
    <x v="793"/>
    <x v="20"/>
    <s v="COMPTROLLER-OTHER"/>
    <s v="UNKNOWN"/>
    <x v="1"/>
  </r>
  <r>
    <n v="294144"/>
    <n v="50000"/>
    <x v="4"/>
    <x v="713"/>
    <x v="20"/>
    <s v="COMPTROLLER-OTHER"/>
    <s v="UNKNOWN"/>
    <x v="1"/>
  </r>
  <r>
    <n v="294145"/>
    <n v="20000"/>
    <x v="1"/>
    <x v="772"/>
    <x v="20"/>
    <s v="COMPTROLLER-OTHER"/>
    <s v="UNKNOWN"/>
    <x v="1"/>
  </r>
  <r>
    <n v="294146"/>
    <n v="60000"/>
    <x v="4"/>
    <x v="791"/>
    <x v="20"/>
    <s v="COMPTROLLER-OTHER"/>
    <s v="UNKNOWN"/>
    <x v="1"/>
  </r>
  <r>
    <n v="294152"/>
    <n v="12000"/>
    <x v="1"/>
    <x v="2213"/>
    <x v="20"/>
    <s v="COMPTROLLER-OTHER"/>
    <s v="UNKNOWN"/>
    <x v="1"/>
  </r>
  <r>
    <n v="294153"/>
    <n v="80000"/>
    <x v="4"/>
    <x v="734"/>
    <x v="20"/>
    <s v="COMPTROLLER-OTHER"/>
    <s v="UNKNOWN"/>
    <x v="1"/>
  </r>
  <r>
    <n v="294154"/>
    <n v="80000"/>
    <x v="1"/>
    <x v="578"/>
    <x v="20"/>
    <s v="COMPTROLLER-OTHER"/>
    <s v="UNKNOWN"/>
    <x v="1"/>
  </r>
  <r>
    <n v="294155"/>
    <n v="20000"/>
    <x v="1"/>
    <x v="743"/>
    <x v="20"/>
    <s v="COMPTROLLER-OTHER"/>
    <s v="UNKNOWN"/>
    <x v="1"/>
  </r>
  <r>
    <n v="294157"/>
    <n v="302666"/>
    <x v="4"/>
    <x v="404"/>
    <x v="8"/>
    <s v="DELEGATE AGENCY"/>
    <s v="UNKNOWN"/>
    <x v="2"/>
  </r>
  <r>
    <n v="294178"/>
    <n v="60000"/>
    <x v="2"/>
    <x v="797"/>
    <x v="20"/>
    <s v="COMPTROLLER-OTHER"/>
    <s v="UNKNOWN"/>
    <x v="1"/>
  </r>
  <r>
    <n v="294181"/>
    <n v="40000"/>
    <x v="1"/>
    <x v="2214"/>
    <x v="20"/>
    <s v="COMPTROLLER-OTHER"/>
    <s v="UNKNOWN"/>
    <x v="1"/>
  </r>
  <r>
    <n v="294182"/>
    <n v="20000"/>
    <x v="4"/>
    <x v="1337"/>
    <x v="20"/>
    <s v="COMPTROLLER-OTHER"/>
    <s v="UNKNOWN"/>
    <x v="1"/>
  </r>
  <r>
    <n v="294186"/>
    <n v="20000"/>
    <x v="4"/>
    <x v="1011"/>
    <x v="20"/>
    <s v="COMPTROLLER-OTHER"/>
    <s v="UNKNOWN"/>
    <x v="1"/>
  </r>
  <r>
    <n v="294190"/>
    <n v="40000"/>
    <x v="4"/>
    <x v="833"/>
    <x v="20"/>
    <s v="COMPTROLLER-OTHER"/>
    <s v="UNKNOWN"/>
    <x v="1"/>
  </r>
  <r>
    <n v="294199"/>
    <n v="30000"/>
    <x v="4"/>
    <x v="1492"/>
    <x v="20"/>
    <s v="COMPTROLLER-OTHER"/>
    <s v="UNKNOWN"/>
    <x v="1"/>
  </r>
  <r>
    <n v="294212"/>
    <n v="50000"/>
    <x v="4"/>
    <x v="649"/>
    <x v="20"/>
    <s v="COMPTROLLER-OTHER"/>
    <s v="UNKNOWN"/>
    <x v="1"/>
  </r>
  <r>
    <n v="294223"/>
    <n v="30000"/>
    <x v="1"/>
    <x v="1338"/>
    <x v="20"/>
    <s v="COMPTROLLER-OTHER"/>
    <s v="UNKNOWN"/>
    <x v="1"/>
  </r>
  <r>
    <n v="294225"/>
    <n v="24000"/>
    <x v="4"/>
    <x v="1503"/>
    <x v="20"/>
    <s v="COMPTROLLER-OTHER"/>
    <s v="UNKNOWN"/>
    <x v="1"/>
  </r>
  <r>
    <n v="294226"/>
    <n v="20000"/>
    <x v="4"/>
    <x v="2215"/>
    <x v="20"/>
    <s v="COMPTROLLER-OTHER"/>
    <s v="UNKNOWN"/>
    <x v="1"/>
  </r>
  <r>
    <n v="294229"/>
    <n v="20000"/>
    <x v="4"/>
    <x v="790"/>
    <x v="20"/>
    <s v="COMPTROLLER-OTHER"/>
    <s v="UNKNOWN"/>
    <x v="1"/>
  </r>
  <r>
    <n v="294230"/>
    <n v="40000"/>
    <x v="4"/>
    <x v="647"/>
    <x v="20"/>
    <s v="COMPTROLLER-OTHER"/>
    <s v="UNKNOWN"/>
    <x v="1"/>
  </r>
  <r>
    <n v="294232"/>
    <n v="20000"/>
    <x v="4"/>
    <x v="698"/>
    <x v="20"/>
    <s v="COMPTROLLER-OTHER"/>
    <s v="UNKNOWN"/>
    <x v="1"/>
  </r>
  <r>
    <n v="294233"/>
    <n v="20000"/>
    <x v="4"/>
    <x v="2216"/>
    <x v="20"/>
    <s v="COMPTROLLER-OTHER"/>
    <s v="UNKNOWN"/>
    <x v="1"/>
  </r>
  <r>
    <n v="294234"/>
    <n v="90000"/>
    <x v="4"/>
    <x v="808"/>
    <x v="20"/>
    <s v="COMPTROLLER-OTHER"/>
    <s v="UNKNOWN"/>
    <x v="1"/>
  </r>
  <r>
    <n v="294235"/>
    <n v="1115500"/>
    <x v="1"/>
    <x v="1357"/>
    <x v="5"/>
    <s v="COMMODITIES"/>
    <s v="BID"/>
    <x v="2"/>
  </r>
  <r>
    <n v="294236"/>
    <n v="20000"/>
    <x v="0"/>
    <x v="830"/>
    <x v="20"/>
    <s v="COMPTROLLER-OTHER"/>
    <s v="UNKNOWN"/>
    <x v="1"/>
  </r>
  <r>
    <n v="294241"/>
    <n v="1267663.5"/>
    <x v="4"/>
    <x v="2217"/>
    <x v="1"/>
    <s v="PROPERTY LEASE"/>
    <s v="UNKNOWN"/>
    <x v="1"/>
  </r>
  <r>
    <n v="294242"/>
    <n v="19036215.300000001"/>
    <x v="0"/>
    <x v="2218"/>
    <x v="1"/>
    <s v="PROPERTY LEASE"/>
    <s v="UNKNOWN"/>
    <x v="1"/>
  </r>
  <r>
    <n v="294277"/>
    <n v="75000"/>
    <x v="0"/>
    <x v="932"/>
    <x v="0"/>
    <s v="COMPTROLLER-OTHER"/>
    <s v="UNKNOWN"/>
    <x v="1"/>
  </r>
  <r>
    <n v="294287"/>
    <n v="7157360"/>
    <x v="1"/>
    <x v="558"/>
    <x v="12"/>
    <s v="DELEGATE AGENCY"/>
    <s v="UNKNOWN"/>
    <x v="1"/>
  </r>
  <r>
    <n v="294294"/>
    <n v="917960"/>
    <x v="0"/>
    <x v="63"/>
    <x v="12"/>
    <s v="DELEGATE AGENCY"/>
    <s v="UNKNOWN"/>
    <x v="1"/>
  </r>
  <r>
    <n v="294295"/>
    <n v="420864"/>
    <x v="2"/>
    <x v="77"/>
    <x v="12"/>
    <s v="DELEGATE AGENCY"/>
    <s v="UNKNOWN"/>
    <x v="1"/>
  </r>
  <r>
    <n v="294297"/>
    <n v="1490043"/>
    <x v="2"/>
    <x v="77"/>
    <x v="12"/>
    <s v="DELEGATE AGENCY"/>
    <s v="UNKNOWN"/>
    <x v="1"/>
  </r>
  <r>
    <n v="294298"/>
    <n v="545422"/>
    <x v="0"/>
    <x v="77"/>
    <x v="12"/>
    <s v="DELEGATE AGENCY"/>
    <s v="UNKNOWN"/>
    <x v="1"/>
  </r>
  <r>
    <n v="294299"/>
    <n v="1538784"/>
    <x v="2"/>
    <x v="510"/>
    <x v="12"/>
    <s v="DELEGATE AGENCY"/>
    <s v="UNKNOWN"/>
    <x v="1"/>
  </r>
  <r>
    <n v="294300"/>
    <n v="423864"/>
    <x v="0"/>
    <x v="74"/>
    <x v="12"/>
    <s v="DELEGATE AGENCY"/>
    <s v="UNKNOWN"/>
    <x v="1"/>
  </r>
  <r>
    <n v="294301"/>
    <n v="1531428"/>
    <x v="2"/>
    <x v="63"/>
    <x v="12"/>
    <s v="DELEGATE AGENCY"/>
    <s v="UNKNOWN"/>
    <x v="1"/>
  </r>
  <r>
    <n v="294305"/>
    <n v="300000"/>
    <x v="0"/>
    <x v="175"/>
    <x v="8"/>
    <s v="DELEGATE AGENCY"/>
    <s v="UNKNOWN"/>
    <x v="1"/>
  </r>
  <r>
    <n v="294324"/>
    <n v="470436"/>
    <x v="2"/>
    <x v="2219"/>
    <x v="6"/>
    <s v="COMPTROLLER-OTHER"/>
    <s v="UNKNOWN"/>
    <x v="1"/>
  </r>
  <r>
    <n v="294325"/>
    <n v="17398675"/>
    <x v="2"/>
    <x v="2220"/>
    <x v="6"/>
    <s v="COMPTROLLER-OTHER"/>
    <s v="UNKNOWN"/>
    <x v="1"/>
  </r>
  <r>
    <n v="294326"/>
    <n v="5627688"/>
    <x v="0"/>
    <x v="404"/>
    <x v="1"/>
    <s v="DELEGATE AGENCY"/>
    <s v="UNKNOWN"/>
    <x v="2"/>
  </r>
  <r>
    <n v="294328"/>
    <n v="302666"/>
    <x v="0"/>
    <x v="404"/>
    <x v="1"/>
    <s v="DELEGATE AGENCY"/>
    <s v="UNKNOWN"/>
    <x v="2"/>
  </r>
  <r>
    <n v="294329"/>
    <n v="145000"/>
    <x v="2"/>
    <x v="189"/>
    <x v="1"/>
    <s v="DELEGATE AGENCY"/>
    <s v="UNKNOWN"/>
    <x v="2"/>
  </r>
  <r>
    <n v="294330"/>
    <n v="400000"/>
    <x v="1"/>
    <x v="145"/>
    <x v="2"/>
    <s v="COMPTROLLER-OTHER"/>
    <s v="UNKNOWN"/>
    <x v="1"/>
  </r>
  <r>
    <n v="294332"/>
    <n v="1500000"/>
    <x v="2"/>
    <x v="156"/>
    <x v="2"/>
    <s v="COMPTROLLER-OTHER"/>
    <s v="UNKNOWN"/>
    <x v="1"/>
  </r>
  <r>
    <n v="294355"/>
    <n v="329800"/>
    <x v="0"/>
    <x v="145"/>
    <x v="2"/>
    <s v="COMPTROLLER-OTHER"/>
    <s v="UNKNOWN"/>
    <x v="1"/>
  </r>
  <r>
    <n v="294362"/>
    <n v="137032.5"/>
    <x v="2"/>
    <x v="2221"/>
    <x v="2"/>
    <s v="COMPTROLLER-OTHER"/>
    <s v="UNKNOWN"/>
    <x v="1"/>
  </r>
  <r>
    <n v="294366"/>
    <n v="166927.5"/>
    <x v="1"/>
    <x v="2222"/>
    <x v="2"/>
    <s v="COMPTROLLER-OTHER"/>
    <s v="UNKNOWN"/>
    <x v="1"/>
  </r>
  <r>
    <n v="294367"/>
    <n v="783663"/>
    <x v="1"/>
    <x v="145"/>
    <x v="2"/>
    <s v="COMPTROLLER-OTHER"/>
    <s v="UNKNOWN"/>
    <x v="1"/>
  </r>
  <r>
    <n v="294375"/>
    <n v="1562786"/>
    <x v="2"/>
    <x v="2223"/>
    <x v="2"/>
    <s v="COMPTROLLER-OTHER"/>
    <s v="UNKNOWN"/>
    <x v="1"/>
  </r>
  <r>
    <n v="294376"/>
    <n v="400000"/>
    <x v="0"/>
    <x v="145"/>
    <x v="2"/>
    <s v="COMPTROLLER-OTHER"/>
    <s v="UNKNOWN"/>
    <x v="1"/>
  </r>
  <r>
    <n v="294377"/>
    <n v="82121.2"/>
    <x v="2"/>
    <x v="2224"/>
    <x v="2"/>
    <s v="COMPTROLLER-OTHER"/>
    <s v="UNKNOWN"/>
    <x v="1"/>
  </r>
  <r>
    <n v="294388"/>
    <n v="6000000"/>
    <x v="1"/>
    <x v="145"/>
    <x v="2"/>
    <s v="COMPTROLLER-OTHER"/>
    <s v="UNKNOWN"/>
    <x v="1"/>
  </r>
  <r>
    <n v="294389"/>
    <n v="220000"/>
    <x v="0"/>
    <x v="145"/>
    <x v="2"/>
    <s v="COMPTROLLER-OTHER"/>
    <s v="UNKNOWN"/>
    <x v="1"/>
  </r>
  <r>
    <n v="294390"/>
    <n v="180000"/>
    <x v="1"/>
    <x v="145"/>
    <x v="2"/>
    <s v="COMPTROLLER-OTHER"/>
    <s v="UNKNOWN"/>
    <x v="1"/>
  </r>
  <r>
    <n v="294391"/>
    <n v="4541000"/>
    <x v="1"/>
    <x v="145"/>
    <x v="2"/>
    <s v="COMPTROLLER-OTHER"/>
    <s v="UNKNOWN"/>
    <x v="1"/>
  </r>
  <r>
    <n v="294392"/>
    <n v="60830"/>
    <x v="0"/>
    <x v="145"/>
    <x v="2"/>
    <s v="COMPTROLLER-OTHER"/>
    <s v="UNKNOWN"/>
    <x v="1"/>
  </r>
  <r>
    <n v="294393"/>
    <n v="53000"/>
    <x v="1"/>
    <x v="145"/>
    <x v="2"/>
    <s v="COMPTROLLER-OTHER"/>
    <s v="UNKNOWN"/>
    <x v="1"/>
  </r>
  <r>
    <n v="294406"/>
    <n v="216980.9"/>
    <x v="1"/>
    <x v="497"/>
    <x v="8"/>
    <s v="DELEGATE AGENCY"/>
    <s v="UNKNOWN"/>
    <x v="1"/>
  </r>
  <r>
    <n v="294407"/>
    <n v="930000"/>
    <x v="1"/>
    <x v="36"/>
    <x v="6"/>
    <s v="COMPTROLLER-OTHER"/>
    <s v="UNKNOWN"/>
    <x v="1"/>
  </r>
  <r>
    <n v="294410"/>
    <n v="589780"/>
    <x v="2"/>
    <x v="36"/>
    <x v="6"/>
    <s v="COMPTROLLER-OTHER"/>
    <s v="UNKNOWN"/>
    <x v="1"/>
  </r>
  <r>
    <n v="294411"/>
    <n v="5800000"/>
    <x v="2"/>
    <x v="145"/>
    <x v="2"/>
    <s v="COMPTROLLER-OTHER"/>
    <s v="UNKNOWN"/>
    <x v="1"/>
  </r>
  <r>
    <n v="294420"/>
    <n v="139212"/>
    <x v="0"/>
    <x v="145"/>
    <x v="2"/>
    <s v="COMPTROLLER-OTHER"/>
    <s v="UNKNOWN"/>
    <x v="1"/>
  </r>
  <r>
    <n v="294423"/>
    <n v="550000"/>
    <x v="1"/>
    <x v="145"/>
    <x v="2"/>
    <s v="COMPTROLLER-OTHER"/>
    <s v="UNKNOWN"/>
    <x v="1"/>
  </r>
  <r>
    <n v="294424"/>
    <n v="500000"/>
    <x v="2"/>
    <x v="145"/>
    <x v="2"/>
    <s v="COMPTROLLER-OTHER"/>
    <s v="UNKNOWN"/>
    <x v="1"/>
  </r>
  <r>
    <n v="294425"/>
    <n v="4950000"/>
    <x v="2"/>
    <x v="145"/>
    <x v="2"/>
    <s v="COMPTROLLER-OTHER"/>
    <s v="UNKNOWN"/>
    <x v="1"/>
  </r>
  <r>
    <n v="294442"/>
    <n v="1045000"/>
    <x v="0"/>
    <x v="1871"/>
    <x v="12"/>
    <s v="DELEGATE AGENCY"/>
    <s v="UNKNOWN"/>
    <x v="2"/>
  </r>
  <r>
    <n v="294443"/>
    <n v="1800000"/>
    <x v="0"/>
    <x v="1871"/>
    <x v="12"/>
    <s v="DELEGATE AGENCY"/>
    <s v="UNKNOWN"/>
    <x v="2"/>
  </r>
  <r>
    <n v="294452"/>
    <n v="344049"/>
    <x v="0"/>
    <x v="2225"/>
    <x v="2"/>
    <s v="COMPTROLLER-OTHER"/>
    <s v="UNKNOWN"/>
    <x v="1"/>
  </r>
  <r>
    <n v="294458"/>
    <n v="580000"/>
    <x v="2"/>
    <x v="370"/>
    <x v="12"/>
    <s v="DELEGATE AGENCY"/>
    <s v="UNKNOWN"/>
    <x v="2"/>
  </r>
  <r>
    <n v="294462"/>
    <n v="1200000"/>
    <x v="2"/>
    <x v="370"/>
    <x v="12"/>
    <s v="DELEGATE AGENCY"/>
    <s v="UNKNOWN"/>
    <x v="2"/>
  </r>
  <r>
    <n v="294481"/>
    <n v="25222.5"/>
    <x v="0"/>
    <x v="391"/>
    <x v="8"/>
    <s v="DELEGATE AGENCY"/>
    <s v="UNKNOWN"/>
    <x v="1"/>
  </r>
  <r>
    <n v="294603"/>
    <n v="1958166"/>
    <x v="4"/>
    <x v="40"/>
    <x v="8"/>
    <s v="DELEGATE AGENCY"/>
    <s v="RFP"/>
    <x v="2"/>
  </r>
  <r>
    <n v="294606"/>
    <n v="275000"/>
    <x v="0"/>
    <x v="204"/>
    <x v="8"/>
    <s v="DELEGATE AGENCY"/>
    <s v="RFP"/>
    <x v="2"/>
  </r>
  <r>
    <n v="294620"/>
    <n v="1058351"/>
    <x v="2"/>
    <x v="145"/>
    <x v="8"/>
    <s v="COMPTROLLER-OTHER"/>
    <s v="UNKNOWN"/>
    <x v="1"/>
  </r>
  <r>
    <n v="294625"/>
    <n v="4850000"/>
    <x v="0"/>
    <x v="201"/>
    <x v="8"/>
    <s v="DELEGATE AGENCY"/>
    <s v="RFP"/>
    <x v="2"/>
  </r>
  <r>
    <n v="294626"/>
    <n v="150000"/>
    <x v="0"/>
    <x v="437"/>
    <x v="8"/>
    <s v="DELEGATE AGENCY"/>
    <s v="RFP"/>
    <x v="2"/>
  </r>
  <r>
    <n v="294627"/>
    <n v="150000"/>
    <x v="1"/>
    <x v="391"/>
    <x v="8"/>
    <s v="DELEGATE AGENCY"/>
    <s v="RFP"/>
    <x v="2"/>
  </r>
  <r>
    <n v="294628"/>
    <n v="150000"/>
    <x v="1"/>
    <x v="128"/>
    <x v="8"/>
    <s v="DELEGATE AGENCY"/>
    <s v="UNKNOWN"/>
    <x v="2"/>
  </r>
  <r>
    <n v="294629"/>
    <n v="150000"/>
    <x v="1"/>
    <x v="436"/>
    <x v="8"/>
    <s v="DELEGATE AGENCY"/>
    <s v="RFP"/>
    <x v="2"/>
  </r>
  <r>
    <n v="294672"/>
    <n v="1124501"/>
    <x v="1"/>
    <x v="58"/>
    <x v="12"/>
    <s v="DELEGATE AGENCY"/>
    <s v="UNKNOWN"/>
    <x v="1"/>
  </r>
  <r>
    <n v="294673"/>
    <n v="499776"/>
    <x v="0"/>
    <x v="126"/>
    <x v="12"/>
    <s v="DELEGATE AGENCY"/>
    <s v="UNKNOWN"/>
    <x v="1"/>
  </r>
  <r>
    <n v="294674"/>
    <n v="1027952"/>
    <x v="2"/>
    <x v="74"/>
    <x v="12"/>
    <s v="DELEGATE AGENCY"/>
    <s v="UNKNOWN"/>
    <x v="1"/>
  </r>
  <r>
    <n v="294675"/>
    <n v="631296"/>
    <x v="0"/>
    <x v="67"/>
    <x v="12"/>
    <s v="DELEGATE AGENCY"/>
    <s v="UNKNOWN"/>
    <x v="1"/>
  </r>
  <r>
    <n v="294676"/>
    <n v="1050980"/>
    <x v="2"/>
    <x v="75"/>
    <x v="12"/>
    <s v="DELEGATE AGENCY"/>
    <s v="UNKNOWN"/>
    <x v="1"/>
  </r>
  <r>
    <n v="294677"/>
    <n v="1786666"/>
    <x v="0"/>
    <x v="69"/>
    <x v="12"/>
    <s v="DELEGATE AGENCY"/>
    <s v="UNKNOWN"/>
    <x v="1"/>
  </r>
  <r>
    <n v="294678"/>
    <n v="765714"/>
    <x v="0"/>
    <x v="58"/>
    <x v="12"/>
    <s v="DELEGATE AGENCY"/>
    <s v="UNKNOWN"/>
    <x v="1"/>
  </r>
  <r>
    <n v="294679"/>
    <n v="2032012"/>
    <x v="2"/>
    <x v="74"/>
    <x v="12"/>
    <s v="DELEGATE AGENCY"/>
    <s v="UNKNOWN"/>
    <x v="1"/>
  </r>
  <r>
    <n v="294720"/>
    <n v="155274.5"/>
    <x v="0"/>
    <x v="25"/>
    <x v="8"/>
    <s v="DELEGATE AGENCY"/>
    <s v="UNKNOWN"/>
    <x v="1"/>
  </r>
  <r>
    <n v="294742"/>
    <n v="10000000"/>
    <x v="1"/>
    <x v="145"/>
    <x v="2"/>
    <s v="COMPTROLLER-OTHER"/>
    <s v="UNKNOWN"/>
    <x v="1"/>
  </r>
  <r>
    <n v="294743"/>
    <n v="1060000"/>
    <x v="0"/>
    <x v="145"/>
    <x v="2"/>
    <s v="COMPTROLLER-OTHER"/>
    <s v="UNKNOWN"/>
    <x v="1"/>
  </r>
  <r>
    <n v="294933"/>
    <n v="124209"/>
    <x v="0"/>
    <x v="114"/>
    <x v="1"/>
    <s v="DELEGATE AGENCY"/>
    <s v="UNKNOWN"/>
    <x v="2"/>
  </r>
  <r>
    <n v="294934"/>
    <n v="51351.4"/>
    <x v="1"/>
    <x v="642"/>
    <x v="14"/>
    <s v="SOFTWARE"/>
    <s v="JOINT PURCHASE"/>
    <x v="2"/>
  </r>
  <r>
    <n v="294935"/>
    <n v="117853"/>
    <x v="1"/>
    <x v="84"/>
    <x v="1"/>
    <s v="DELEGATE AGENCY"/>
    <s v="UNKNOWN"/>
    <x v="2"/>
  </r>
  <r>
    <n v="294936"/>
    <n v="106156"/>
    <x v="1"/>
    <x v="166"/>
    <x v="1"/>
    <s v="DELEGATE AGENCY"/>
    <s v="UNKNOWN"/>
    <x v="2"/>
  </r>
  <r>
    <n v="294937"/>
    <n v="70012"/>
    <x v="1"/>
    <x v="642"/>
    <x v="14"/>
    <s v="SOFTWARE"/>
    <s v="JOINT PURCHASE"/>
    <x v="2"/>
  </r>
  <r>
    <n v="294938"/>
    <n v="375001"/>
    <x v="1"/>
    <x v="59"/>
    <x v="1"/>
    <s v="DELEGATE AGENCY"/>
    <s v="UNKNOWN"/>
    <x v="2"/>
  </r>
  <r>
    <n v="294940"/>
    <n v="375001"/>
    <x v="2"/>
    <x v="261"/>
    <x v="1"/>
    <s v="DELEGATE AGENCY"/>
    <s v="UNKNOWN"/>
    <x v="2"/>
  </r>
  <r>
    <n v="294941"/>
    <n v="375001"/>
    <x v="2"/>
    <x v="446"/>
    <x v="1"/>
    <s v="DELEGATE AGENCY"/>
    <s v="UNKNOWN"/>
    <x v="2"/>
  </r>
  <r>
    <n v="294942"/>
    <n v="375001"/>
    <x v="2"/>
    <x v="396"/>
    <x v="1"/>
    <s v="DELEGATE AGENCY"/>
    <s v="UNKNOWN"/>
    <x v="2"/>
  </r>
  <r>
    <n v="294943"/>
    <n v="375001"/>
    <x v="2"/>
    <x v="59"/>
    <x v="1"/>
    <s v="DELEGATE AGENCY"/>
    <s v="UNKNOWN"/>
    <x v="2"/>
  </r>
  <r>
    <n v="294944"/>
    <n v="375001"/>
    <x v="2"/>
    <x v="205"/>
    <x v="1"/>
    <s v="DELEGATE AGENCY"/>
    <s v="UNKNOWN"/>
    <x v="2"/>
  </r>
  <r>
    <n v="294945"/>
    <n v="375001"/>
    <x v="2"/>
    <x v="593"/>
    <x v="1"/>
    <s v="DELEGATE AGENCY"/>
    <s v="UNKNOWN"/>
    <x v="2"/>
  </r>
  <r>
    <n v="294947"/>
    <n v="375001"/>
    <x v="2"/>
    <x v="260"/>
    <x v="1"/>
    <s v="DELEGATE AGENCY"/>
    <s v="UNKNOWN"/>
    <x v="2"/>
  </r>
  <r>
    <n v="294948"/>
    <n v="422976"/>
    <x v="2"/>
    <x v="261"/>
    <x v="1"/>
    <s v="DELEGATE AGENCY"/>
    <s v="UNKNOWN"/>
    <x v="2"/>
  </r>
  <r>
    <n v="294949"/>
    <n v="500000"/>
    <x v="2"/>
    <x v="114"/>
    <x v="1"/>
    <s v="DELEGATE AGENCY"/>
    <s v="UNKNOWN"/>
    <x v="2"/>
  </r>
  <r>
    <n v="294956"/>
    <n v="2526300"/>
    <x v="2"/>
    <x v="500"/>
    <x v="1"/>
    <s v="DELEGATE AGENCY"/>
    <s v="UNKNOWN"/>
    <x v="2"/>
  </r>
  <r>
    <n v="294957"/>
    <n v="108938.5"/>
    <x v="0"/>
    <x v="642"/>
    <x v="14"/>
    <s v="SOFTWARE"/>
    <s v="JOINT PURCHASE"/>
    <x v="2"/>
  </r>
  <r>
    <n v="294986"/>
    <n v="1284084"/>
    <x v="1"/>
    <x v="59"/>
    <x v="12"/>
    <s v="DELEGATE AGENCY"/>
    <s v="UNKNOWN"/>
    <x v="1"/>
  </r>
  <r>
    <n v="295100"/>
    <n v="3977228"/>
    <x v="0"/>
    <x v="69"/>
    <x v="12"/>
    <s v="DELEGATE AGENCY"/>
    <s v="UNKNOWN"/>
    <x v="1"/>
  </r>
  <r>
    <n v="295101"/>
    <n v="765714"/>
    <x v="0"/>
    <x v="59"/>
    <x v="12"/>
    <s v="DELEGATE AGENCY"/>
    <s v="UNKNOWN"/>
    <x v="1"/>
  </r>
  <r>
    <n v="295220"/>
    <n v="30592400"/>
    <x v="2"/>
    <x v="1757"/>
    <x v="3"/>
    <s v="WORK SERVICES / FACILITIES MAINT."/>
    <s v="SOLE SOURCE"/>
    <x v="2"/>
  </r>
  <r>
    <n v="295249"/>
    <n v="11441.6"/>
    <x v="0"/>
    <x v="642"/>
    <x v="14"/>
    <s v="SOFTWARE"/>
    <s v="JOINT PURCHASE"/>
    <x v="2"/>
  </r>
  <r>
    <n v="295253"/>
    <n v="3075.6"/>
    <x v="4"/>
    <x v="642"/>
    <x v="14"/>
    <s v="SOFTWARE"/>
    <s v="JOINT PURCHASE"/>
    <x v="2"/>
  </r>
  <r>
    <n v="295256"/>
    <n v="200000"/>
    <x v="3"/>
    <x v="321"/>
    <x v="12"/>
    <s v="DELEGATE AGENCY"/>
    <s v="UNKNOWN"/>
    <x v="2"/>
  </r>
  <r>
    <n v="295257"/>
    <n v="60838.9"/>
    <x v="1"/>
    <x v="436"/>
    <x v="8"/>
    <s v="DELEGATE AGENCY"/>
    <s v="UNKNOWN"/>
    <x v="2"/>
  </r>
  <r>
    <n v="295258"/>
    <n v="63859.4"/>
    <x v="1"/>
    <x v="201"/>
    <x v="8"/>
    <s v="DELEGATE AGENCY"/>
    <s v="UNKNOWN"/>
    <x v="2"/>
  </r>
  <r>
    <n v="295259"/>
    <n v="55345"/>
    <x v="1"/>
    <x v="391"/>
    <x v="8"/>
    <s v="DELEGATE AGENCY"/>
    <s v="UNKNOWN"/>
    <x v="2"/>
  </r>
  <r>
    <n v="295261"/>
    <n v="200000"/>
    <x v="1"/>
    <x v="25"/>
    <x v="8"/>
    <s v="DELEGATE AGENCY"/>
    <s v="UNKNOWN"/>
    <x v="2"/>
  </r>
  <r>
    <n v="295263"/>
    <n v="161267"/>
    <x v="1"/>
    <x v="128"/>
    <x v="8"/>
    <s v="DELEGATE AGENCY"/>
    <s v="UNKNOWN"/>
    <x v="2"/>
  </r>
  <r>
    <n v="295264"/>
    <n v="75000"/>
    <x v="1"/>
    <x v="26"/>
    <x v="8"/>
    <s v="DELEGATE AGENCY"/>
    <s v="UNKNOWN"/>
    <x v="2"/>
  </r>
  <r>
    <n v="295265"/>
    <n v="533382"/>
    <x v="1"/>
    <x v="1466"/>
    <x v="8"/>
    <s v="DELEGATE AGENCY"/>
    <s v="UNKNOWN"/>
    <x v="2"/>
  </r>
  <r>
    <n v="295266"/>
    <n v="200000"/>
    <x v="2"/>
    <x v="1750"/>
    <x v="8"/>
    <s v="DELEGATE AGENCY"/>
    <s v="UNKNOWN"/>
    <x v="2"/>
  </r>
  <r>
    <n v="295267"/>
    <n v="200000"/>
    <x v="1"/>
    <x v="1749"/>
    <x v="8"/>
    <s v="DELEGATE AGENCY"/>
    <s v="UNKNOWN"/>
    <x v="2"/>
  </r>
  <r>
    <n v="295270"/>
    <n v="325000"/>
    <x v="1"/>
    <x v="189"/>
    <x v="8"/>
    <s v="DELEGATE AGENCY"/>
    <s v="UNKNOWN"/>
    <x v="2"/>
  </r>
  <r>
    <n v="295272"/>
    <n v="21200"/>
    <x v="2"/>
    <x v="43"/>
    <x v="8"/>
    <s v="DELEGATE AGENCY"/>
    <s v="UNKNOWN"/>
    <x v="2"/>
  </r>
  <r>
    <n v="295273"/>
    <n v="9375"/>
    <x v="4"/>
    <x v="408"/>
    <x v="8"/>
    <s v="DELEGATE AGENCY"/>
    <s v="UNKNOWN"/>
    <x v="2"/>
  </r>
  <r>
    <n v="295274"/>
    <n v="39898.5"/>
    <x v="3"/>
    <x v="642"/>
    <x v="14"/>
    <s v="SOFTWARE"/>
    <s v="JOINT PURCHASE"/>
    <x v="2"/>
  </r>
  <r>
    <n v="295276"/>
    <n v="922.6"/>
    <x v="4"/>
    <x v="642"/>
    <x v="14"/>
    <s v="SOFTWARE"/>
    <s v="JOINT PURCHASE"/>
    <x v="2"/>
  </r>
  <r>
    <n v="295279"/>
    <n v="22253000"/>
    <x v="3"/>
    <x v="447"/>
    <x v="12"/>
    <s v="DELEGATE AGENCY"/>
    <s v="UNKNOWN"/>
    <x v="2"/>
  </r>
  <r>
    <n v="29536"/>
    <n v="1400000"/>
    <x v="0"/>
    <x v="410"/>
    <x v="15"/>
    <s v="ARCH/ENGINEERING"/>
    <s v="MASTER AGREEMENT"/>
    <x v="0"/>
  </r>
  <r>
    <n v="295428"/>
    <n v="462774.5"/>
    <x v="0"/>
    <x v="2226"/>
    <x v="13"/>
    <s v="PRO SERV CONSULTING $250,000orABOVE"/>
    <s v="CONTRACT ASSIGNMENT/TRANSFER"/>
    <x v="2"/>
  </r>
  <r>
    <n v="295437"/>
    <n v="4372.6000000000004"/>
    <x v="2"/>
    <x v="642"/>
    <x v="14"/>
    <s v="SOFTWARE"/>
    <s v="JOINT PURCHASE"/>
    <x v="2"/>
  </r>
  <r>
    <n v="295439"/>
    <n v="17848030"/>
    <x v="3"/>
    <x v="2227"/>
    <x v="5"/>
    <s v="CONSTRUCTION-LARGE $3MILLIONorABOVE"/>
    <s v="BID"/>
    <x v="2"/>
  </r>
  <r>
    <n v="295440"/>
    <n v="19198880"/>
    <x v="0"/>
    <x v="2227"/>
    <x v="5"/>
    <s v="CONSTRUCTION-LARGE $3MILLIONorABOVE"/>
    <s v="BID"/>
    <x v="2"/>
  </r>
  <r>
    <n v="295441"/>
    <n v="18858030"/>
    <x v="0"/>
    <x v="2227"/>
    <x v="5"/>
    <s v="CONSTRUCTION-LARGE $3MILLIONorABOVE"/>
    <s v="BID"/>
    <x v="2"/>
  </r>
  <r>
    <n v="295443"/>
    <n v="100000"/>
    <x v="0"/>
    <x v="363"/>
    <x v="1"/>
    <s v="DELEGATE AGENCY"/>
    <s v="UNKNOWN"/>
    <x v="2"/>
  </r>
  <r>
    <n v="295473"/>
    <n v="200000"/>
    <x v="1"/>
    <x v="259"/>
    <x v="12"/>
    <s v="DELEGATE AGENCY"/>
    <s v="UNKNOWN"/>
    <x v="2"/>
  </r>
  <r>
    <n v="29554"/>
    <n v="655000"/>
    <x v="1"/>
    <x v="418"/>
    <x v="15"/>
    <s v="ARCH/ENGINEERING"/>
    <s v="MASTER AGREEMENT"/>
    <x v="0"/>
  </r>
  <r>
    <n v="295553"/>
    <n v="514000"/>
    <x v="2"/>
    <x v="2228"/>
    <x v="25"/>
    <s v="COMPTROLLER-OTHER"/>
    <s v="UNKNOWN"/>
    <x v="2"/>
  </r>
  <r>
    <n v="295554"/>
    <n v="349802"/>
    <x v="2"/>
    <x v="2229"/>
    <x v="27"/>
    <s v="COMPTROLLER-OTHER"/>
    <s v="UNKNOWN"/>
    <x v="2"/>
  </r>
  <r>
    <n v="295562"/>
    <n v="288000"/>
    <x v="2"/>
    <x v="896"/>
    <x v="20"/>
    <s v="COMPTROLLER-OTHER"/>
    <s v="UNKNOWN"/>
    <x v="2"/>
  </r>
  <r>
    <n v="295575"/>
    <n v="45635854"/>
    <x v="2"/>
    <x v="1740"/>
    <x v="12"/>
    <s v="DELEGATE AGENCY"/>
    <s v="RFP"/>
    <x v="2"/>
  </r>
  <r>
    <n v="295656"/>
    <n v="946944"/>
    <x v="0"/>
    <x v="127"/>
    <x v="12"/>
    <s v="DELEGATE AGENCY"/>
    <s v="UNKNOWN"/>
    <x v="2"/>
  </r>
  <r>
    <n v="295678"/>
    <n v="381408"/>
    <x v="2"/>
    <x v="71"/>
    <x v="12"/>
    <s v="DELEGATE AGENCY"/>
    <s v="UNKNOWN"/>
    <x v="2"/>
  </r>
  <r>
    <n v="295680"/>
    <n v="683904"/>
    <x v="2"/>
    <x v="62"/>
    <x v="12"/>
    <s v="DELEGATE AGENCY"/>
    <s v="UNKNOWN"/>
    <x v="2"/>
  </r>
  <r>
    <n v="295702"/>
    <n v="2297142"/>
    <x v="2"/>
    <x v="70"/>
    <x v="12"/>
    <s v="DELEGATE AGENCY"/>
    <s v="UNKNOWN"/>
    <x v="2"/>
  </r>
  <r>
    <n v="295707"/>
    <n v="3478708"/>
    <x v="0"/>
    <x v="70"/>
    <x v="12"/>
    <s v="DELEGATE AGENCY"/>
    <s v="UNKNOWN"/>
    <x v="2"/>
  </r>
  <r>
    <n v="295708"/>
    <n v="1066229"/>
    <x v="0"/>
    <x v="57"/>
    <x v="12"/>
    <s v="DELEGATE AGENCY"/>
    <s v="UNKNOWN"/>
    <x v="2"/>
  </r>
  <r>
    <n v="295709"/>
    <n v="841728"/>
    <x v="0"/>
    <x v="61"/>
    <x v="12"/>
    <s v="DELEGATE AGENCY"/>
    <s v="UNKNOWN"/>
    <x v="2"/>
  </r>
  <r>
    <n v="295710"/>
    <n v="527136"/>
    <x v="2"/>
    <x v="66"/>
    <x v="12"/>
    <s v="DELEGATE AGENCY"/>
    <s v="UNKNOWN"/>
    <x v="2"/>
  </r>
  <r>
    <n v="295711"/>
    <n v="1146635"/>
    <x v="2"/>
    <x v="57"/>
    <x v="12"/>
    <s v="DELEGATE AGENCY"/>
    <s v="UNKNOWN"/>
    <x v="2"/>
  </r>
  <r>
    <n v="295712"/>
    <n v="554873"/>
    <x v="0"/>
    <x v="62"/>
    <x v="12"/>
    <s v="DELEGATE AGENCY"/>
    <s v="UNKNOWN"/>
    <x v="2"/>
  </r>
  <r>
    <n v="295713"/>
    <n v="3501320"/>
    <x v="2"/>
    <x v="57"/>
    <x v="12"/>
    <s v="DELEGATE AGENCY"/>
    <s v="UNKNOWN"/>
    <x v="2"/>
  </r>
  <r>
    <n v="295714"/>
    <n v="651277"/>
    <x v="0"/>
    <x v="60"/>
    <x v="12"/>
    <s v="DELEGATE AGENCY"/>
    <s v="UNKNOWN"/>
    <x v="2"/>
  </r>
  <r>
    <n v="295715"/>
    <n v="2019512"/>
    <x v="2"/>
    <x v="62"/>
    <x v="12"/>
    <s v="DELEGATE AGENCY"/>
    <s v="UNKNOWN"/>
    <x v="2"/>
  </r>
  <r>
    <n v="295716"/>
    <n v="3423192"/>
    <x v="0"/>
    <x v="62"/>
    <x v="12"/>
    <s v="DELEGATE AGENCY"/>
    <s v="UNKNOWN"/>
    <x v="2"/>
  </r>
  <r>
    <n v="295717"/>
    <n v="781773.1"/>
    <x v="0"/>
    <x v="78"/>
    <x v="12"/>
    <s v="DELEGATE AGENCY"/>
    <s v="UNKNOWN"/>
    <x v="2"/>
  </r>
  <r>
    <n v="295722"/>
    <n v="2053821"/>
    <x v="2"/>
    <x v="57"/>
    <x v="12"/>
    <s v="DELEGATE AGENCY"/>
    <s v="UNKNOWN"/>
    <x v="2"/>
  </r>
  <r>
    <n v="295741"/>
    <n v="75000"/>
    <x v="0"/>
    <x v="25"/>
    <x v="8"/>
    <s v="DELEGATE AGENCY"/>
    <s v="UNKNOWN"/>
    <x v="2"/>
  </r>
  <r>
    <n v="295742"/>
    <n v="573786"/>
    <x v="1"/>
    <x v="175"/>
    <x v="8"/>
    <s v="DELEGATE AGENCY"/>
    <s v="UNKNOWN"/>
    <x v="2"/>
  </r>
  <r>
    <n v="295845"/>
    <n v="91000"/>
    <x v="2"/>
    <x v="2230"/>
    <x v="9"/>
    <s v="COMPTROLLER-OTHER"/>
    <s v="UNKNOWN"/>
    <x v="2"/>
  </r>
  <r>
    <n v="295850"/>
    <n v="1088560"/>
    <x v="1"/>
    <x v="47"/>
    <x v="8"/>
    <s v="DELEGATE AGENCY"/>
    <s v="RFP"/>
    <x v="2"/>
  </r>
  <r>
    <n v="295856"/>
    <n v="7355330"/>
    <x v="0"/>
    <x v="27"/>
    <x v="8"/>
    <s v="DELEGATE AGENCY"/>
    <s v="RFP"/>
    <x v="2"/>
  </r>
  <r>
    <n v="295859"/>
    <n v="3729035"/>
    <x v="0"/>
    <x v="43"/>
    <x v="8"/>
    <s v="DELEGATE AGENCY"/>
    <s v="RFP"/>
    <x v="2"/>
  </r>
  <r>
    <n v="295860"/>
    <n v="26444691"/>
    <x v="0"/>
    <x v="140"/>
    <x v="8"/>
    <s v="DELEGATE AGENCY"/>
    <s v="RFP"/>
    <x v="2"/>
  </r>
  <r>
    <n v="295861"/>
    <n v="1837189"/>
    <x v="0"/>
    <x v="41"/>
    <x v="8"/>
    <s v="DELEGATE AGENCY"/>
    <s v="RFP"/>
    <x v="2"/>
  </r>
  <r>
    <n v="295862"/>
    <n v="2571736"/>
    <x v="0"/>
    <x v="46"/>
    <x v="8"/>
    <s v="DELEGATE AGENCY"/>
    <s v="RFP"/>
    <x v="2"/>
  </r>
  <r>
    <n v="295866"/>
    <n v="1468518"/>
    <x v="0"/>
    <x v="42"/>
    <x v="8"/>
    <s v="DELEGATE AGENCY"/>
    <s v="RFP"/>
    <x v="2"/>
  </r>
  <r>
    <n v="295867"/>
    <n v="1586918"/>
    <x v="0"/>
    <x v="49"/>
    <x v="8"/>
    <s v="DELEGATE AGENCY"/>
    <s v="RFP"/>
    <x v="2"/>
  </r>
  <r>
    <n v="295874"/>
    <n v="1068455"/>
    <x v="0"/>
    <x v="44"/>
    <x v="1"/>
    <s v="DELEGATE AGENCY"/>
    <s v="UNKNOWN"/>
    <x v="2"/>
  </r>
  <r>
    <n v="295878"/>
    <n v="1723000"/>
    <x v="0"/>
    <x v="45"/>
    <x v="8"/>
    <s v="DELEGATE AGENCY"/>
    <s v="RFP"/>
    <x v="2"/>
  </r>
  <r>
    <n v="296205"/>
    <n v="50000000"/>
    <x v="0"/>
    <x v="2231"/>
    <x v="6"/>
    <s v="PRO SERV-AVIATION"/>
    <s v="RFP"/>
    <x v="2"/>
  </r>
  <r>
    <n v="296335"/>
    <n v="2500000"/>
    <x v="0"/>
    <x v="323"/>
    <x v="12"/>
    <s v="DELEGATE AGENCY"/>
    <s v="UNKNOWN"/>
    <x v="2"/>
  </r>
  <r>
    <n v="296336"/>
    <n v="2500000"/>
    <x v="0"/>
    <x v="323"/>
    <x v="12"/>
    <s v="DELEGATE AGENCY"/>
    <s v="UNKNOWN"/>
    <x v="2"/>
  </r>
  <r>
    <n v="296394"/>
    <n v="12558660"/>
    <x v="0"/>
    <x v="558"/>
    <x v="12"/>
    <s v="DELEGATE AGENCY"/>
    <s v="RFP"/>
    <x v="2"/>
  </r>
  <r>
    <n v="296396"/>
    <n v="62335000"/>
    <x v="0"/>
    <x v="447"/>
    <x v="12"/>
    <s v="DELEGATE AGENCY"/>
    <s v="UNKNOWN"/>
    <x v="2"/>
  </r>
  <r>
    <n v="296397"/>
    <n v="12467000"/>
    <x v="0"/>
    <x v="1830"/>
    <x v="12"/>
    <s v="DELEGATE AGENCY"/>
    <s v="UNKNOWN"/>
    <x v="2"/>
  </r>
  <r>
    <n v="296398"/>
    <n v="250000"/>
    <x v="0"/>
    <x v="2232"/>
    <x v="2"/>
    <s v="COMPTROLLER-OTHER"/>
    <s v="UNKNOWN"/>
    <x v="2"/>
  </r>
  <r>
    <n v="296399"/>
    <n v="15904892.300000001"/>
    <x v="2"/>
    <x v="11"/>
    <x v="0"/>
    <s v="CONSTRUCTION-LARGE $3MILLIONorABOVE"/>
    <s v="BID"/>
    <x v="2"/>
  </r>
  <r>
    <n v="296400"/>
    <n v="3300000"/>
    <x v="0"/>
    <x v="2233"/>
    <x v="2"/>
    <s v="COMPTROLLER-OTHER"/>
    <s v="UNKNOWN"/>
    <x v="2"/>
  </r>
  <r>
    <n v="296401"/>
    <n v="80000"/>
    <x v="0"/>
    <x v="794"/>
    <x v="20"/>
    <s v="COMPTROLLER-OTHER"/>
    <s v="UNKNOWN"/>
    <x v="2"/>
  </r>
  <r>
    <n v="296446"/>
    <n v="16000"/>
    <x v="1"/>
    <x v="699"/>
    <x v="20"/>
    <s v="COMPTROLLER-OTHER"/>
    <s v="UNKNOWN"/>
    <x v="2"/>
  </r>
  <r>
    <n v="296448"/>
    <n v="80000"/>
    <x v="4"/>
    <x v="632"/>
    <x v="20"/>
    <s v="COMPTROLLER-OTHER"/>
    <s v="UNKNOWN"/>
    <x v="2"/>
  </r>
  <r>
    <n v="296456"/>
    <n v="70000"/>
    <x v="1"/>
    <x v="1275"/>
    <x v="20"/>
    <s v="COMPTROLLER-OTHER"/>
    <s v="UNKNOWN"/>
    <x v="2"/>
  </r>
  <r>
    <n v="296471"/>
    <n v="20000"/>
    <x v="1"/>
    <x v="711"/>
    <x v="20"/>
    <s v="COMPTROLLER-OTHER"/>
    <s v="UNKNOWN"/>
    <x v="2"/>
  </r>
  <r>
    <n v="296472"/>
    <n v="40000"/>
    <x v="4"/>
    <x v="802"/>
    <x v="20"/>
    <s v="COMPTROLLER-OTHER"/>
    <s v="UNKNOWN"/>
    <x v="2"/>
  </r>
  <r>
    <n v="296606"/>
    <n v="45000"/>
    <x v="4"/>
    <x v="2234"/>
    <x v="20"/>
    <s v="COMPTROLLER-OTHER"/>
    <s v="UNKNOWN"/>
    <x v="2"/>
  </r>
  <r>
    <n v="296611"/>
    <n v="38000"/>
    <x v="4"/>
    <x v="815"/>
    <x v="20"/>
    <s v="COMPTROLLER-OTHER"/>
    <s v="UNKNOWN"/>
    <x v="2"/>
  </r>
  <r>
    <n v="296612"/>
    <n v="5000"/>
    <x v="4"/>
    <x v="774"/>
    <x v="20"/>
    <s v="COMPTROLLER-OTHER"/>
    <s v="UNKNOWN"/>
    <x v="2"/>
  </r>
  <r>
    <n v="296613"/>
    <n v="462.6"/>
    <x v="3"/>
    <x v="2235"/>
    <x v="37"/>
    <s v="RELEASE REQUISITION"/>
    <s v="UNKNOWN"/>
    <x v="2"/>
  </r>
  <r>
    <n v="296615"/>
    <n v="48000"/>
    <x v="3"/>
    <x v="770"/>
    <x v="20"/>
    <s v="COMPTROLLER-OTHER"/>
    <s v="UNKNOWN"/>
    <x v="2"/>
  </r>
  <r>
    <n v="296616"/>
    <n v="2441372"/>
    <x v="4"/>
    <x v="2236"/>
    <x v="2"/>
    <s v="COMPTROLLER-OTHER"/>
    <s v="UNKNOWN"/>
    <x v="2"/>
  </r>
  <r>
    <n v="296617"/>
    <n v="35000"/>
    <x v="0"/>
    <x v="44"/>
    <x v="8"/>
    <s v="DELEGATE AGENCY"/>
    <s v="UNKNOWN"/>
    <x v="2"/>
  </r>
  <r>
    <n v="296618"/>
    <n v="2100"/>
    <x v="4"/>
    <x v="44"/>
    <x v="8"/>
    <s v="DELEGATE AGENCY"/>
    <s v="UNKNOWN"/>
    <x v="2"/>
  </r>
  <r>
    <n v="296619"/>
    <n v="30002"/>
    <x v="3"/>
    <x v="41"/>
    <x v="8"/>
    <s v="DELEGATE AGENCY"/>
    <s v="UNKNOWN"/>
    <x v="2"/>
  </r>
  <r>
    <n v="296620"/>
    <n v="35873"/>
    <x v="4"/>
    <x v="43"/>
    <x v="8"/>
    <s v="DELEGATE AGENCY"/>
    <s v="UNKNOWN"/>
    <x v="2"/>
  </r>
  <r>
    <n v="296621"/>
    <n v="264189"/>
    <x v="4"/>
    <x v="140"/>
    <x v="8"/>
    <s v="DELEGATE AGENCY"/>
    <s v="UNKNOWN"/>
    <x v="2"/>
  </r>
  <r>
    <n v="296623"/>
    <n v="37653"/>
    <x v="2"/>
    <x v="49"/>
    <x v="8"/>
    <s v="DELEGATE AGENCY"/>
    <s v="UNKNOWN"/>
    <x v="2"/>
  </r>
  <r>
    <n v="296624"/>
    <n v="25213.7"/>
    <x v="4"/>
    <x v="42"/>
    <x v="8"/>
    <s v="DELEGATE AGENCY"/>
    <s v="UNKNOWN"/>
    <x v="2"/>
  </r>
  <r>
    <n v="29663"/>
    <n v="3430000"/>
    <x v="4"/>
    <x v="426"/>
    <x v="6"/>
    <s v="PRO SERV-AVIATION"/>
    <s v="RFP"/>
    <x v="0"/>
  </r>
  <r>
    <n v="296722"/>
    <n v="81000"/>
    <x v="0"/>
    <x v="2237"/>
    <x v="20"/>
    <s v="COMPTROLLER-OTHER"/>
    <s v="UNKNOWN"/>
    <x v="2"/>
  </r>
  <r>
    <n v="296724"/>
    <n v="809250"/>
    <x v="1"/>
    <x v="1"/>
    <x v="0"/>
    <s v="WORK SERVICES / FACILITIES MAINT."/>
    <s v="BID"/>
    <x v="2"/>
  </r>
  <r>
    <n v="296743"/>
    <n v="123000"/>
    <x v="2"/>
    <x v="2238"/>
    <x v="2"/>
    <s v="COMPTROLLER-OTHER"/>
    <s v="UNKNOWN"/>
    <x v="2"/>
  </r>
  <r>
    <n v="296773"/>
    <n v="1700000"/>
    <x v="1"/>
    <x v="2239"/>
    <x v="2"/>
    <s v="COMPTROLLER-OTHER"/>
    <s v="UNKNOWN"/>
    <x v="2"/>
  </r>
  <r>
    <n v="296778"/>
    <n v="23138501"/>
    <x v="0"/>
    <x v="2240"/>
    <x v="25"/>
    <s v="WORK SERVICES / FACILITIES MAINT."/>
    <s v="BID"/>
    <x v="2"/>
  </r>
  <r>
    <n v="296842"/>
    <n v="4999662"/>
    <x v="0"/>
    <x v="65"/>
    <x v="12"/>
    <s v="DELEGATE AGENCY"/>
    <s v="UNKNOWN"/>
    <x v="2"/>
  </r>
  <r>
    <n v="296846"/>
    <n v="631296"/>
    <x v="0"/>
    <x v="65"/>
    <x v="12"/>
    <s v="DELEGATE AGENCY"/>
    <s v="UNKNOWN"/>
    <x v="2"/>
  </r>
  <r>
    <n v="296847"/>
    <n v="4034784"/>
    <x v="2"/>
    <x v="65"/>
    <x v="12"/>
    <s v="DELEGATE AGENCY"/>
    <s v="UNKNOWN"/>
    <x v="2"/>
  </r>
  <r>
    <n v="296859"/>
    <n v="30000"/>
    <x v="0"/>
    <x v="293"/>
    <x v="12"/>
    <s v="DELEGATE AGENCY"/>
    <s v="UNKNOWN"/>
    <x v="2"/>
  </r>
  <r>
    <n v="296876"/>
    <n v="120000"/>
    <x v="4"/>
    <x v="259"/>
    <x v="12"/>
    <s v="DELEGATE AGENCY"/>
    <s v="UNKNOWN"/>
    <x v="2"/>
  </r>
  <r>
    <n v="296916"/>
    <n v="549716"/>
    <x v="1"/>
    <x v="72"/>
    <x v="12"/>
    <s v="DELEGATE AGENCY"/>
    <s v="UNKNOWN"/>
    <x v="2"/>
  </r>
  <r>
    <n v="296917"/>
    <n v="741193"/>
    <x v="2"/>
    <x v="65"/>
    <x v="12"/>
    <s v="DELEGATE AGENCY"/>
    <s v="UNKNOWN"/>
    <x v="2"/>
  </r>
  <r>
    <n v="296918"/>
    <n v="634588"/>
    <x v="2"/>
    <x v="72"/>
    <x v="12"/>
    <s v="DELEGATE AGENCY"/>
    <s v="UNKNOWN"/>
    <x v="2"/>
  </r>
  <r>
    <n v="296933"/>
    <n v="29465.8"/>
    <x v="2"/>
    <x v="91"/>
    <x v="12"/>
    <s v="DELEGATE AGENCY"/>
    <s v="UNKNOWN"/>
    <x v="2"/>
  </r>
  <r>
    <n v="297031"/>
    <n v="80000"/>
    <x v="4"/>
    <x v="2241"/>
    <x v="20"/>
    <s v="COMPTROLLER-OTHER"/>
    <s v="UNKNOWN"/>
    <x v="2"/>
  </r>
  <r>
    <n v="297032"/>
    <n v="50000"/>
    <x v="1"/>
    <x v="700"/>
    <x v="20"/>
    <s v="COMPTROLLER-OTHER"/>
    <s v="UNKNOWN"/>
    <x v="2"/>
  </r>
  <r>
    <n v="297035"/>
    <n v="10000"/>
    <x v="1"/>
    <x v="2242"/>
    <x v="20"/>
    <s v="COMPTROLLER-OTHER"/>
    <s v="UNKNOWN"/>
    <x v="2"/>
  </r>
  <r>
    <n v="297036"/>
    <n v="40000"/>
    <x v="4"/>
    <x v="2243"/>
    <x v="20"/>
    <s v="COMPTROLLER-OTHER"/>
    <s v="UNKNOWN"/>
    <x v="2"/>
  </r>
  <r>
    <n v="297037"/>
    <n v="20000"/>
    <x v="4"/>
    <x v="736"/>
    <x v="20"/>
    <s v="COMPTROLLER-OTHER"/>
    <s v="UNKNOWN"/>
    <x v="2"/>
  </r>
  <r>
    <n v="297039"/>
    <n v="20000"/>
    <x v="4"/>
    <x v="770"/>
    <x v="20"/>
    <s v="COMPTROLLER-OTHER"/>
    <s v="UNKNOWN"/>
    <x v="2"/>
  </r>
  <r>
    <n v="297057"/>
    <n v="20000"/>
    <x v="4"/>
    <x v="2244"/>
    <x v="20"/>
    <s v="COMPTROLLER-OTHER"/>
    <s v="UNKNOWN"/>
    <x v="2"/>
  </r>
  <r>
    <n v="297059"/>
    <n v="24000"/>
    <x v="4"/>
    <x v="719"/>
    <x v="20"/>
    <s v="COMPTROLLER-OTHER"/>
    <s v="UNKNOWN"/>
    <x v="2"/>
  </r>
  <r>
    <n v="297060"/>
    <n v="20000"/>
    <x v="4"/>
    <x v="1668"/>
    <x v="20"/>
    <s v="COMPTROLLER-OTHER"/>
    <s v="UNKNOWN"/>
    <x v="2"/>
  </r>
  <r>
    <n v="297062"/>
    <n v="70000"/>
    <x v="4"/>
    <x v="760"/>
    <x v="20"/>
    <s v="COMPTROLLER-OTHER"/>
    <s v="UNKNOWN"/>
    <x v="2"/>
  </r>
  <r>
    <n v="297064"/>
    <n v="70000"/>
    <x v="1"/>
    <x v="674"/>
    <x v="20"/>
    <s v="COMPTROLLER-OTHER"/>
    <s v="UNKNOWN"/>
    <x v="2"/>
  </r>
  <r>
    <n v="297066"/>
    <n v="20000"/>
    <x v="1"/>
    <x v="644"/>
    <x v="20"/>
    <s v="COMPTROLLER-OTHER"/>
    <s v="UNKNOWN"/>
    <x v="2"/>
  </r>
  <r>
    <n v="297069"/>
    <n v="40000"/>
    <x v="4"/>
    <x v="2245"/>
    <x v="20"/>
    <s v="COMPTROLLER-OTHER"/>
    <s v="UNKNOWN"/>
    <x v="2"/>
  </r>
  <r>
    <n v="297073"/>
    <n v="30000"/>
    <x v="4"/>
    <x v="803"/>
    <x v="20"/>
    <s v="COMPTROLLER-OTHER"/>
    <s v="UNKNOWN"/>
    <x v="2"/>
  </r>
  <r>
    <n v="297075"/>
    <n v="40000"/>
    <x v="4"/>
    <x v="1334"/>
    <x v="20"/>
    <s v="COMPTROLLER-OTHER"/>
    <s v="UNKNOWN"/>
    <x v="2"/>
  </r>
  <r>
    <n v="297079"/>
    <n v="30000"/>
    <x v="4"/>
    <x v="757"/>
    <x v="20"/>
    <s v="COMPTROLLER-OTHER"/>
    <s v="UNKNOWN"/>
    <x v="2"/>
  </r>
  <r>
    <n v="297080"/>
    <n v="60000"/>
    <x v="4"/>
    <x v="724"/>
    <x v="20"/>
    <s v="COMPTROLLER-OTHER"/>
    <s v="UNKNOWN"/>
    <x v="2"/>
  </r>
  <r>
    <n v="297081"/>
    <n v="20000"/>
    <x v="1"/>
    <x v="821"/>
    <x v="20"/>
    <s v="COMPTROLLER-OTHER"/>
    <s v="UNKNOWN"/>
    <x v="2"/>
  </r>
  <r>
    <n v="297083"/>
    <n v="20000"/>
    <x v="4"/>
    <x v="832"/>
    <x v="20"/>
    <s v="COMPTROLLER-OTHER"/>
    <s v="UNKNOWN"/>
    <x v="2"/>
  </r>
  <r>
    <n v="297084"/>
    <n v="70000"/>
    <x v="4"/>
    <x v="866"/>
    <x v="20"/>
    <s v="COMPTROLLER-OTHER"/>
    <s v="UNKNOWN"/>
    <x v="2"/>
  </r>
  <r>
    <n v="297087"/>
    <n v="30000"/>
    <x v="1"/>
    <x v="631"/>
    <x v="20"/>
    <s v="COMPTROLLER-OTHER"/>
    <s v="UNKNOWN"/>
    <x v="2"/>
  </r>
  <r>
    <n v="29709"/>
    <n v="5959695"/>
    <x v="4"/>
    <x v="17"/>
    <x v="15"/>
    <s v="WORK SERVICES / FACILITIES MAINT."/>
    <s v="BID"/>
    <x v="0"/>
  </r>
  <r>
    <n v="297171"/>
    <n v="1058385.6000000001"/>
    <x v="0"/>
    <x v="642"/>
    <x v="14"/>
    <s v="SOFTWARE"/>
    <s v="JOINT PURCHASE"/>
    <x v="2"/>
  </r>
  <r>
    <n v="297188"/>
    <n v="100000"/>
    <x v="0"/>
    <x v="648"/>
    <x v="20"/>
    <s v="COMPTROLLER-OTHER"/>
    <s v="UNKNOWN"/>
    <x v="2"/>
  </r>
  <r>
    <n v="297189"/>
    <n v="30000"/>
    <x v="1"/>
    <x v="716"/>
    <x v="20"/>
    <s v="COMPTROLLER-OTHER"/>
    <s v="UNKNOWN"/>
    <x v="2"/>
  </r>
  <r>
    <n v="297192"/>
    <n v="80000"/>
    <x v="4"/>
    <x v="27"/>
    <x v="20"/>
    <s v="COMPTROLLER-OTHER"/>
    <s v="UNKNOWN"/>
    <x v="2"/>
  </r>
  <r>
    <n v="297195"/>
    <n v="20000"/>
    <x v="1"/>
    <x v="2246"/>
    <x v="20"/>
    <s v="COMPTROLLER-OTHER"/>
    <s v="UNKNOWN"/>
    <x v="2"/>
  </r>
  <r>
    <n v="297197"/>
    <n v="20000"/>
    <x v="4"/>
    <x v="854"/>
    <x v="20"/>
    <s v="COMPTROLLER-OTHER"/>
    <s v="UNKNOWN"/>
    <x v="2"/>
  </r>
  <r>
    <n v="297198"/>
    <n v="20000"/>
    <x v="4"/>
    <x v="747"/>
    <x v="20"/>
    <s v="COMPTROLLER-OTHER"/>
    <s v="UNKNOWN"/>
    <x v="2"/>
  </r>
  <r>
    <n v="297200"/>
    <n v="20000"/>
    <x v="4"/>
    <x v="658"/>
    <x v="20"/>
    <s v="COMPTROLLER-OTHER"/>
    <s v="UNKNOWN"/>
    <x v="2"/>
  </r>
  <r>
    <n v="297201"/>
    <n v="20000"/>
    <x v="4"/>
    <x v="2247"/>
    <x v="20"/>
    <s v="COMPTROLLER-OTHER"/>
    <s v="UNKNOWN"/>
    <x v="2"/>
  </r>
  <r>
    <n v="297204"/>
    <n v="50000"/>
    <x v="4"/>
    <x v="2248"/>
    <x v="20"/>
    <s v="COMPTROLLER-OTHER"/>
    <s v="UNKNOWN"/>
    <x v="2"/>
  </r>
  <r>
    <n v="297210"/>
    <n v="22778661"/>
    <x v="1"/>
    <x v="11"/>
    <x v="5"/>
    <s v="CONSTRUCTION-LARGE $3MILLIONorABOVE"/>
    <s v="BID"/>
    <x v="2"/>
  </r>
  <r>
    <n v="297235"/>
    <n v="30000"/>
    <x v="0"/>
    <x v="696"/>
    <x v="20"/>
    <s v="COMPTROLLER-OTHER"/>
    <s v="UNKNOWN"/>
    <x v="2"/>
  </r>
  <r>
    <n v="297236"/>
    <n v="90000"/>
    <x v="4"/>
    <x v="804"/>
    <x v="20"/>
    <s v="COMPTROLLER-OTHER"/>
    <s v="UNKNOWN"/>
    <x v="2"/>
  </r>
  <r>
    <n v="297238"/>
    <n v="70000"/>
    <x v="1"/>
    <x v="708"/>
    <x v="20"/>
    <s v="COMPTROLLER-OTHER"/>
    <s v="UNKNOWN"/>
    <x v="2"/>
  </r>
  <r>
    <n v="297239"/>
    <n v="24000"/>
    <x v="1"/>
    <x v="653"/>
    <x v="20"/>
    <s v="COMPTROLLER-OTHER"/>
    <s v="UNKNOWN"/>
    <x v="2"/>
  </r>
  <r>
    <n v="297240"/>
    <n v="20000"/>
    <x v="4"/>
    <x v="702"/>
    <x v="20"/>
    <s v="COMPTROLLER-OTHER"/>
    <s v="UNKNOWN"/>
    <x v="2"/>
  </r>
  <r>
    <n v="297241"/>
    <n v="20000"/>
    <x v="4"/>
    <x v="701"/>
    <x v="20"/>
    <s v="COMPTROLLER-OTHER"/>
    <s v="UNKNOWN"/>
    <x v="2"/>
  </r>
  <r>
    <n v="297242"/>
    <n v="30000"/>
    <x v="4"/>
    <x v="703"/>
    <x v="20"/>
    <s v="COMPTROLLER-OTHER"/>
    <s v="UNKNOWN"/>
    <x v="2"/>
  </r>
  <r>
    <n v="297243"/>
    <n v="24000"/>
    <x v="4"/>
    <x v="841"/>
    <x v="20"/>
    <s v="COMPTROLLER-OTHER"/>
    <s v="UNKNOWN"/>
    <x v="2"/>
  </r>
  <r>
    <n v="297283"/>
    <n v="25000"/>
    <x v="4"/>
    <x v="47"/>
    <x v="8"/>
    <s v="DELEGATE AGENCY"/>
    <s v="UNKNOWN"/>
    <x v="2"/>
  </r>
  <r>
    <n v="297413"/>
    <n v="21778661"/>
    <x v="4"/>
    <x v="11"/>
    <x v="5"/>
    <s v="CONSTRUCTION-LARGE $3MILLIONorABOVE"/>
    <s v="BID"/>
    <x v="2"/>
  </r>
  <r>
    <n v="297431"/>
    <n v="19853661"/>
    <x v="0"/>
    <x v="11"/>
    <x v="5"/>
    <s v="CONSTRUCTION-LARGE $3MILLIONorABOVE"/>
    <s v="BID"/>
    <x v="2"/>
  </r>
  <r>
    <n v="297453"/>
    <n v="20000"/>
    <x v="0"/>
    <x v="746"/>
    <x v="20"/>
    <s v="COMPTROLLER-OTHER"/>
    <s v="UNKNOWN"/>
    <x v="2"/>
  </r>
  <r>
    <n v="297584"/>
    <n v="51242"/>
    <x v="4"/>
    <x v="73"/>
    <x v="12"/>
    <s v="DELEGATE AGENCY"/>
    <s v="UNKNOWN"/>
    <x v="2"/>
  </r>
  <r>
    <n v="297604"/>
    <n v="146030"/>
    <x v="1"/>
    <x v="91"/>
    <x v="12"/>
    <s v="DELEGATE AGENCY"/>
    <s v="UNKNOWN"/>
    <x v="2"/>
  </r>
  <r>
    <n v="297607"/>
    <n v="20533"/>
    <x v="1"/>
    <x v="91"/>
    <x v="12"/>
    <s v="DELEGATE AGENCY"/>
    <s v="UNKNOWN"/>
    <x v="2"/>
  </r>
  <r>
    <n v="297608"/>
    <n v="104181"/>
    <x v="4"/>
    <x v="90"/>
    <x v="12"/>
    <s v="DELEGATE AGENCY"/>
    <s v="UNKNOWN"/>
    <x v="2"/>
  </r>
  <r>
    <n v="297609"/>
    <n v="16753.299999999901"/>
    <x v="1"/>
    <x v="259"/>
    <x v="12"/>
    <s v="DELEGATE AGENCY"/>
    <s v="UNKNOWN"/>
    <x v="2"/>
  </r>
  <r>
    <n v="297610"/>
    <n v="144954.5"/>
    <x v="4"/>
    <x v="65"/>
    <x v="12"/>
    <s v="DELEGATE AGENCY"/>
    <s v="UNKNOWN"/>
    <x v="2"/>
  </r>
  <r>
    <n v="297633"/>
    <n v="1209279"/>
    <x v="1"/>
    <x v="76"/>
    <x v="12"/>
    <s v="DELEGATE AGENCY"/>
    <s v="UNKNOWN"/>
    <x v="2"/>
  </r>
  <r>
    <n v="29768"/>
    <n v="2791861.6"/>
    <x v="0"/>
    <x v="2249"/>
    <x v="11"/>
    <s v="PRO SERV CONSULTING $250,000orABOVE"/>
    <s v="REFERENCE CONTRACT"/>
    <x v="0"/>
  </r>
  <r>
    <n v="297799"/>
    <n v="16000"/>
    <x v="0"/>
    <x v="1387"/>
    <x v="20"/>
    <s v="COMPTROLLER-OTHER"/>
    <s v="UNKNOWN"/>
    <x v="2"/>
  </r>
  <r>
    <n v="297800"/>
    <n v="90000"/>
    <x v="4"/>
    <x v="754"/>
    <x v="20"/>
    <s v="COMPTROLLER-OTHER"/>
    <s v="UNKNOWN"/>
    <x v="2"/>
  </r>
  <r>
    <n v="297801"/>
    <n v="40000"/>
    <x v="1"/>
    <x v="748"/>
    <x v="20"/>
    <s v="COMPTROLLER-OTHER"/>
    <s v="UNKNOWN"/>
    <x v="2"/>
  </r>
  <r>
    <n v="297802"/>
    <n v="50000"/>
    <x v="4"/>
    <x v="763"/>
    <x v="20"/>
    <s v="COMPTROLLER-OTHER"/>
    <s v="UNKNOWN"/>
    <x v="2"/>
  </r>
  <r>
    <n v="297803"/>
    <n v="40000"/>
    <x v="1"/>
    <x v="720"/>
    <x v="20"/>
    <s v="COMPTROLLER-OTHER"/>
    <s v="UNKNOWN"/>
    <x v="2"/>
  </r>
  <r>
    <n v="297804"/>
    <n v="80000"/>
    <x v="4"/>
    <x v="837"/>
    <x v="20"/>
    <s v="COMPTROLLER-OTHER"/>
    <s v="UNKNOWN"/>
    <x v="2"/>
  </r>
  <r>
    <n v="297806"/>
    <n v="20000"/>
    <x v="1"/>
    <x v="1330"/>
    <x v="20"/>
    <s v="COMPTROLLER-OTHER"/>
    <s v="UNKNOWN"/>
    <x v="2"/>
  </r>
  <r>
    <n v="297809"/>
    <n v="90000"/>
    <x v="4"/>
    <x v="807"/>
    <x v="20"/>
    <s v="COMPTROLLER-OTHER"/>
    <s v="UNKNOWN"/>
    <x v="2"/>
  </r>
  <r>
    <n v="297812"/>
    <n v="20000"/>
    <x v="1"/>
    <x v="769"/>
    <x v="20"/>
    <s v="COMPTROLLER-OTHER"/>
    <s v="UNKNOWN"/>
    <x v="2"/>
  </r>
  <r>
    <n v="297819"/>
    <n v="20000"/>
    <x v="4"/>
    <x v="822"/>
    <x v="20"/>
    <s v="COMPTROLLER-OTHER"/>
    <s v="UNKNOWN"/>
    <x v="2"/>
  </r>
  <r>
    <n v="297820"/>
    <n v="24000"/>
    <x v="4"/>
    <x v="712"/>
    <x v="20"/>
    <s v="COMPTROLLER-OTHER"/>
    <s v="UNKNOWN"/>
    <x v="2"/>
  </r>
  <r>
    <n v="297821"/>
    <n v="20000"/>
    <x v="4"/>
    <x v="718"/>
    <x v="20"/>
    <s v="COMPTROLLER-OTHER"/>
    <s v="UNKNOWN"/>
    <x v="2"/>
  </r>
  <r>
    <n v="297822"/>
    <n v="20000"/>
    <x v="4"/>
    <x v="639"/>
    <x v="20"/>
    <s v="COMPTROLLER-OTHER"/>
    <s v="UNKNOWN"/>
    <x v="2"/>
  </r>
  <r>
    <n v="297857"/>
    <n v="37100"/>
    <x v="4"/>
    <x v="44"/>
    <x v="8"/>
    <s v="DELEGATE AGENCY"/>
    <s v="UNKNOWN"/>
    <x v="2"/>
  </r>
  <r>
    <n v="297900"/>
    <n v="80000"/>
    <x v="4"/>
    <x v="783"/>
    <x v="20"/>
    <s v="COMPTROLLER-OTHER"/>
    <s v="UNKNOWN"/>
    <x v="2"/>
  </r>
  <r>
    <n v="297901"/>
    <n v="399830.8"/>
    <x v="1"/>
    <x v="642"/>
    <x v="6"/>
    <s v="SOFTWARE"/>
    <s v="JOINT PURCHASE"/>
    <x v="2"/>
  </r>
  <r>
    <n v="297902"/>
    <n v="30000"/>
    <x v="2"/>
    <x v="628"/>
    <x v="20"/>
    <s v="COMPTROLLER-OTHER"/>
    <s v="UNKNOWN"/>
    <x v="2"/>
  </r>
  <r>
    <n v="297905"/>
    <n v="40000"/>
    <x v="4"/>
    <x v="729"/>
    <x v="20"/>
    <s v="COMPTROLLER-OTHER"/>
    <s v="UNKNOWN"/>
    <x v="2"/>
  </r>
  <r>
    <n v="297906"/>
    <n v="186928"/>
    <x v="4"/>
    <x v="1036"/>
    <x v="20"/>
    <s v="COMPTROLLER-OTHER"/>
    <s v="UNKNOWN"/>
    <x v="2"/>
  </r>
  <r>
    <n v="297907"/>
    <n v="50000"/>
    <x v="1"/>
    <x v="670"/>
    <x v="20"/>
    <s v="COMPTROLLER-OTHER"/>
    <s v="UNKNOWN"/>
    <x v="2"/>
  </r>
  <r>
    <n v="297908"/>
    <n v="40000"/>
    <x v="1"/>
    <x v="1332"/>
    <x v="20"/>
    <s v="COMPTROLLER-OTHER"/>
    <s v="UNKNOWN"/>
    <x v="2"/>
  </r>
  <r>
    <n v="297912"/>
    <n v="70000"/>
    <x v="4"/>
    <x v="762"/>
    <x v="20"/>
    <s v="COMPTROLLER-OTHER"/>
    <s v="UNKNOWN"/>
    <x v="2"/>
  </r>
  <r>
    <n v="297913"/>
    <n v="30000"/>
    <x v="1"/>
    <x v="759"/>
    <x v="20"/>
    <s v="COMPTROLLER-OTHER"/>
    <s v="UNKNOWN"/>
    <x v="2"/>
  </r>
  <r>
    <n v="297915"/>
    <n v="40000"/>
    <x v="4"/>
    <x v="733"/>
    <x v="20"/>
    <s v="COMPTROLLER-OTHER"/>
    <s v="UNKNOWN"/>
    <x v="2"/>
  </r>
  <r>
    <n v="297917"/>
    <n v="413354"/>
    <x v="4"/>
    <x v="128"/>
    <x v="8"/>
    <s v="DELEGATE AGENCY"/>
    <s v="RFP"/>
    <x v="2"/>
  </r>
  <r>
    <n v="297918"/>
    <n v="413355"/>
    <x v="2"/>
    <x v="445"/>
    <x v="8"/>
    <s v="DELEGATE AGENCY"/>
    <s v="RFP"/>
    <x v="2"/>
  </r>
  <r>
    <n v="297919"/>
    <n v="413355"/>
    <x v="2"/>
    <x v="391"/>
    <x v="8"/>
    <s v="DELEGATE AGENCY"/>
    <s v="RFP"/>
    <x v="2"/>
  </r>
  <r>
    <n v="297920"/>
    <n v="288148"/>
    <x v="2"/>
    <x v="229"/>
    <x v="8"/>
    <s v="DELEGATE AGENCY"/>
    <s v="RFP"/>
    <x v="2"/>
  </r>
  <r>
    <n v="297921"/>
    <n v="413355"/>
    <x v="2"/>
    <x v="201"/>
    <x v="8"/>
    <s v="DELEGATE AGENCY"/>
    <s v="RFP"/>
    <x v="2"/>
  </r>
  <r>
    <n v="297922"/>
    <n v="413354"/>
    <x v="2"/>
    <x v="464"/>
    <x v="8"/>
    <s v="DELEGATE AGENCY"/>
    <s v="RFP"/>
    <x v="2"/>
  </r>
  <r>
    <n v="297923"/>
    <n v="125206.8"/>
    <x v="2"/>
    <x v="229"/>
    <x v="1"/>
    <s v="DELEGATE AGENCY"/>
    <s v="UNKNOWN"/>
    <x v="2"/>
  </r>
  <r>
    <n v="297924"/>
    <n v="50000"/>
    <x v="1"/>
    <x v="2250"/>
    <x v="20"/>
    <s v="COMPTROLLER-OTHER"/>
    <s v="UNKNOWN"/>
    <x v="2"/>
  </r>
  <r>
    <n v="297925"/>
    <n v="14000"/>
    <x v="1"/>
    <x v="2251"/>
    <x v="20"/>
    <s v="COMPTROLLER-OTHER"/>
    <s v="UNKNOWN"/>
    <x v="2"/>
  </r>
  <r>
    <n v="297930"/>
    <n v="22000"/>
    <x v="4"/>
    <x v="2252"/>
    <x v="20"/>
    <s v="COMPTROLLER-OTHER"/>
    <s v="UNKNOWN"/>
    <x v="2"/>
  </r>
  <r>
    <n v="297979"/>
    <n v="150000"/>
    <x v="4"/>
    <x v="540"/>
    <x v="8"/>
    <s v="DELEGATE AGENCY"/>
    <s v="UNKNOWN"/>
    <x v="2"/>
  </r>
  <r>
    <n v="297981"/>
    <n v="19620"/>
    <x v="1"/>
    <x v="41"/>
    <x v="8"/>
    <s v="DELEGATE AGENCY"/>
    <s v="UNKNOWN"/>
    <x v="2"/>
  </r>
  <r>
    <n v="297982"/>
    <n v="250000"/>
    <x v="4"/>
    <x v="19"/>
    <x v="8"/>
    <s v="DELEGATE AGENCY"/>
    <s v="UNKNOWN"/>
    <x v="2"/>
  </r>
  <r>
    <n v="297983"/>
    <n v="221770.7"/>
    <x v="2"/>
    <x v="40"/>
    <x v="8"/>
    <s v="DELEGATE AGENCY"/>
    <s v="UNKNOWN"/>
    <x v="2"/>
  </r>
  <r>
    <n v="297984"/>
    <n v="270000"/>
    <x v="1"/>
    <x v="27"/>
    <x v="8"/>
    <s v="DELEGATE AGENCY"/>
    <s v="UNKNOWN"/>
    <x v="2"/>
  </r>
  <r>
    <n v="297985"/>
    <n v="84072"/>
    <x v="2"/>
    <x v="25"/>
    <x v="8"/>
    <s v="DELEGATE AGENCY"/>
    <s v="UNKNOWN"/>
    <x v="2"/>
  </r>
  <r>
    <n v="297986"/>
    <n v="39234"/>
    <x v="1"/>
    <x v="43"/>
    <x v="8"/>
    <s v="DELEGATE AGENCY"/>
    <s v="UNKNOWN"/>
    <x v="2"/>
  </r>
  <r>
    <n v="297987"/>
    <n v="28024"/>
    <x v="4"/>
    <x v="46"/>
    <x v="8"/>
    <s v="DELEGATE AGENCY"/>
    <s v="UNKNOWN"/>
    <x v="2"/>
  </r>
  <r>
    <n v="298000"/>
    <n v="101644"/>
    <x v="4"/>
    <x v="47"/>
    <x v="8"/>
    <s v="DELEGATE AGENCY"/>
    <s v="UNKNOWN"/>
    <x v="2"/>
  </r>
  <r>
    <n v="298001"/>
    <n v="93803.8"/>
    <x v="1"/>
    <x v="391"/>
    <x v="12"/>
    <s v="DELEGATE AGENCY"/>
    <s v="UNKNOWN"/>
    <x v="2"/>
  </r>
  <r>
    <n v="298234"/>
    <n v="373518"/>
    <x v="1"/>
    <x v="66"/>
    <x v="12"/>
    <s v="DELEGATE AGENCY"/>
    <s v="UNKNOWN"/>
    <x v="2"/>
  </r>
  <r>
    <n v="298236"/>
    <n v="226482"/>
    <x v="2"/>
    <x v="593"/>
    <x v="12"/>
    <s v="DELEGATE AGENCY"/>
    <s v="UNKNOWN"/>
    <x v="2"/>
  </r>
  <r>
    <n v="298588"/>
    <n v="24635524.399999999"/>
    <x v="1"/>
    <x v="2253"/>
    <x v="3"/>
    <s v="WORK SERVICES / FACILITIES MAINT."/>
    <s v="CONTRACT ASSIGNMENT/TRANSFER"/>
    <x v="2"/>
  </r>
  <r>
    <n v="29859"/>
    <n v="11898733.4"/>
    <x v="0"/>
    <x v="16"/>
    <x v="0"/>
    <s v="COMMODITIES"/>
    <s v="BID"/>
    <x v="1"/>
  </r>
  <r>
    <n v="298590"/>
    <n v="506999"/>
    <x v="0"/>
    <x v="19"/>
    <x v="1"/>
    <s v="DELEGATE AGENCY"/>
    <s v="UNKNOWN"/>
    <x v="2"/>
  </r>
  <r>
    <n v="29860"/>
    <n v="184444.7"/>
    <x v="2"/>
    <x v="2254"/>
    <x v="0"/>
    <s v="COMMODITIES"/>
    <s v="BID"/>
    <x v="0"/>
  </r>
  <r>
    <n v="298651"/>
    <n v="11799377.6"/>
    <x v="1"/>
    <x v="2253"/>
    <x v="3"/>
    <s v="WORK SERVICES / FACILITIES MAINT."/>
    <s v="CONTRACT ASSIGNMENT/TRANSFER"/>
    <x v="2"/>
  </r>
  <r>
    <n v="298655"/>
    <n v="1115400"/>
    <x v="0"/>
    <x v="2253"/>
    <x v="10"/>
    <s v="COMMODITIES"/>
    <s v="CONTRACT ASSIGNMENT/TRANSFER"/>
    <x v="2"/>
  </r>
  <r>
    <n v="298668"/>
    <n v="250000"/>
    <x v="0"/>
    <x v="211"/>
    <x v="1"/>
    <s v="DELEGATE AGENCY"/>
    <s v="UNKNOWN"/>
    <x v="2"/>
  </r>
  <r>
    <n v="298673"/>
    <n v="1004556"/>
    <x v="2"/>
    <x v="2229"/>
    <x v="1"/>
    <s v="ARCH/ENGINEERING"/>
    <s v="RFQ"/>
    <x v="2"/>
  </r>
  <r>
    <n v="298690"/>
    <n v="200000"/>
    <x v="0"/>
    <x v="227"/>
    <x v="8"/>
    <s v="DELEGATE AGENCY"/>
    <s v="UNKNOWN"/>
    <x v="2"/>
  </r>
  <r>
    <n v="298691"/>
    <n v="200000"/>
    <x v="1"/>
    <x v="330"/>
    <x v="8"/>
    <s v="DELEGATE AGENCY"/>
    <s v="UNKNOWN"/>
    <x v="2"/>
  </r>
  <r>
    <n v="298700"/>
    <n v="150000"/>
    <x v="1"/>
    <x v="169"/>
    <x v="8"/>
    <s v="DELEGATE AGENCY"/>
    <s v="UNKNOWN"/>
    <x v="2"/>
  </r>
  <r>
    <n v="298708"/>
    <n v="370940"/>
    <x v="1"/>
    <x v="312"/>
    <x v="8"/>
    <s v="DELEGATE AGENCY"/>
    <s v="UNKNOWN"/>
    <x v="2"/>
  </r>
  <r>
    <n v="298709"/>
    <n v="161811"/>
    <x v="2"/>
    <x v="298"/>
    <x v="8"/>
    <s v="DELEGATE AGENCY"/>
    <s v="UNKNOWN"/>
    <x v="2"/>
  </r>
  <r>
    <n v="298710"/>
    <n v="92950"/>
    <x v="1"/>
    <x v="27"/>
    <x v="8"/>
    <s v="DELEGATE AGENCY"/>
    <s v="UNKNOWN"/>
    <x v="2"/>
  </r>
  <r>
    <n v="298711"/>
    <n v="111007.4"/>
    <x v="1"/>
    <x v="46"/>
    <x v="8"/>
    <s v="DELEGATE AGENCY"/>
    <s v="UNKNOWN"/>
    <x v="2"/>
  </r>
  <r>
    <n v="298712"/>
    <n v="44950.400000000001"/>
    <x v="1"/>
    <x v="45"/>
    <x v="8"/>
    <s v="DELEGATE AGENCY"/>
    <s v="UNKNOWN"/>
    <x v="2"/>
  </r>
  <r>
    <n v="298714"/>
    <n v="1597505"/>
    <x v="4"/>
    <x v="16"/>
    <x v="5"/>
    <s v="WORK SERVICES / FACILITIES MAINT."/>
    <s v="BID"/>
    <x v="2"/>
  </r>
  <r>
    <n v="298749"/>
    <n v="53340"/>
    <x v="0"/>
    <x v="2255"/>
    <x v="17"/>
    <s v="COMMODITIES-SMALL ORDERS"/>
    <s v="BID"/>
    <x v="2"/>
  </r>
  <r>
    <n v="298826"/>
    <n v="178188"/>
    <x v="1"/>
    <x v="204"/>
    <x v="8"/>
    <s v="DELEGATE AGENCY"/>
    <s v="UNKNOWN"/>
    <x v="2"/>
  </r>
  <r>
    <n v="298844"/>
    <n v="1088890"/>
    <x v="1"/>
    <x v="217"/>
    <x v="12"/>
    <s v="DELEGATE AGENCY"/>
    <s v="UNKNOWN"/>
    <x v="2"/>
  </r>
  <r>
    <n v="298845"/>
    <n v="300367"/>
    <x v="0"/>
    <x v="217"/>
    <x v="12"/>
    <s v="DELEGATE AGENCY"/>
    <s v="UNKNOWN"/>
    <x v="2"/>
  </r>
  <r>
    <n v="298846"/>
    <n v="86853"/>
    <x v="2"/>
    <x v="73"/>
    <x v="12"/>
    <s v="DELEGATE AGENCY"/>
    <s v="UNKNOWN"/>
    <x v="2"/>
  </r>
  <r>
    <n v="29885"/>
    <n v="59131385.799999997"/>
    <x v="1"/>
    <x v="2256"/>
    <x v="9"/>
    <s v="PRO SERV CONSULTING $250,000orABOVE"/>
    <s v="RFP"/>
    <x v="0"/>
  </r>
  <r>
    <n v="298859"/>
    <n v="668000"/>
    <x v="0"/>
    <x v="25"/>
    <x v="12"/>
    <s v="DELEGATE AGENCY"/>
    <s v="UNKNOWN"/>
    <x v="2"/>
  </r>
  <r>
    <n v="298910"/>
    <n v="1800000"/>
    <x v="2"/>
    <x v="299"/>
    <x v="12"/>
    <s v="DELEGATE AGENCY"/>
    <s v="RFP"/>
    <x v="2"/>
  </r>
  <r>
    <n v="298911"/>
    <n v="2006220"/>
    <x v="0"/>
    <x v="73"/>
    <x v="12"/>
    <s v="DELEGATE AGENCY"/>
    <s v="UNKNOWN"/>
    <x v="2"/>
  </r>
  <r>
    <n v="298914"/>
    <n v="335720.4"/>
    <x v="0"/>
    <x v="261"/>
    <x v="8"/>
    <s v="DELEGATE AGENCY"/>
    <s v="UNKNOWN"/>
    <x v="2"/>
  </r>
  <r>
    <n v="298988"/>
    <n v="125800"/>
    <x v="2"/>
    <x v="214"/>
    <x v="8"/>
    <s v="DELEGATE AGENCY"/>
    <s v="UNKNOWN"/>
    <x v="2"/>
  </r>
  <r>
    <n v="298996"/>
    <n v="300000"/>
    <x v="1"/>
    <x v="302"/>
    <x v="8"/>
    <s v="DELEGATE AGENCY"/>
    <s v="UNKNOWN"/>
    <x v="2"/>
  </r>
  <r>
    <n v="299029"/>
    <n v="14009"/>
    <x v="2"/>
    <x v="73"/>
    <x v="12"/>
    <s v="DELEGATE AGENCY"/>
    <s v="UNKNOWN"/>
    <x v="2"/>
  </r>
  <r>
    <n v="299046"/>
    <n v="39500"/>
    <x v="4"/>
    <x v="458"/>
    <x v="12"/>
    <s v="DELEGATE AGENCY"/>
    <s v="UNKNOWN"/>
    <x v="2"/>
  </r>
  <r>
    <n v="299047"/>
    <n v="75646"/>
    <x v="4"/>
    <x v="73"/>
    <x v="12"/>
    <s v="DELEGATE AGENCY"/>
    <s v="UNKNOWN"/>
    <x v="2"/>
  </r>
  <r>
    <n v="299048"/>
    <n v="57548"/>
    <x v="1"/>
    <x v="1166"/>
    <x v="12"/>
    <s v="DELEGATE AGENCY"/>
    <s v="UNKNOWN"/>
    <x v="2"/>
  </r>
  <r>
    <n v="299049"/>
    <n v="1497980"/>
    <x v="1"/>
    <x v="23"/>
    <x v="12"/>
    <s v="DELEGATE AGENCY"/>
    <s v="UNKNOWN"/>
    <x v="2"/>
  </r>
  <r>
    <n v="299052"/>
    <n v="40590"/>
    <x v="0"/>
    <x v="217"/>
    <x v="12"/>
    <s v="DELEGATE AGENCY"/>
    <s v="UNKNOWN"/>
    <x v="2"/>
  </r>
  <r>
    <n v="299054"/>
    <n v="251658"/>
    <x v="4"/>
    <x v="217"/>
    <x v="12"/>
    <s v="DELEGATE AGENCY"/>
    <s v="UNKNOWN"/>
    <x v="2"/>
  </r>
  <r>
    <n v="299057"/>
    <n v="87618"/>
    <x v="2"/>
    <x v="193"/>
    <x v="12"/>
    <s v="DELEGATE AGENCY"/>
    <s v="UNKNOWN"/>
    <x v="2"/>
  </r>
  <r>
    <n v="29910"/>
    <n v="1500000"/>
    <x v="1"/>
    <x v="2257"/>
    <x v="3"/>
    <s v="VEHICLES/HEAVY EQUIPMENT (CAPITAL)"/>
    <s v="BID"/>
    <x v="1"/>
  </r>
  <r>
    <n v="299111"/>
    <n v="69000"/>
    <x v="0"/>
    <x v="199"/>
    <x v="12"/>
    <s v="DELEGATE AGENCY"/>
    <s v="UNKNOWN"/>
    <x v="2"/>
  </r>
  <r>
    <n v="299112"/>
    <n v="483000"/>
    <x v="1"/>
    <x v="199"/>
    <x v="12"/>
    <s v="DELEGATE AGENCY"/>
    <s v="UNKNOWN"/>
    <x v="2"/>
  </r>
  <r>
    <n v="299114"/>
    <n v="90000"/>
    <x v="2"/>
    <x v="341"/>
    <x v="12"/>
    <s v="DELEGATE AGENCY"/>
    <s v="UNKNOWN"/>
    <x v="2"/>
  </r>
  <r>
    <n v="299117"/>
    <n v="87000"/>
    <x v="1"/>
    <x v="346"/>
    <x v="12"/>
    <s v="DELEGATE AGENCY"/>
    <s v="UNKNOWN"/>
    <x v="2"/>
  </r>
  <r>
    <n v="299118"/>
    <n v="52800"/>
    <x v="1"/>
    <x v="294"/>
    <x v="12"/>
    <s v="DELEGATE AGENCY"/>
    <s v="UNKNOWN"/>
    <x v="2"/>
  </r>
  <r>
    <n v="299119"/>
    <n v="86400"/>
    <x v="1"/>
    <x v="213"/>
    <x v="12"/>
    <s v="DELEGATE AGENCY"/>
    <s v="UNKNOWN"/>
    <x v="2"/>
  </r>
  <r>
    <n v="299140"/>
    <n v="223760"/>
    <x v="1"/>
    <x v="221"/>
    <x v="2"/>
    <s v="DELEGATE AGENCY"/>
    <s v="RFP"/>
    <x v="2"/>
  </r>
  <r>
    <n v="299141"/>
    <n v="128000"/>
    <x v="1"/>
    <x v="2258"/>
    <x v="2"/>
    <s v="DELEGATE AGENCY"/>
    <s v="RFP"/>
    <x v="2"/>
  </r>
  <r>
    <n v="299142"/>
    <n v="202240"/>
    <x v="1"/>
    <x v="219"/>
    <x v="2"/>
    <s v="DELEGATE AGENCY"/>
    <s v="RFP"/>
    <x v="2"/>
  </r>
  <r>
    <n v="299143"/>
    <n v="259822"/>
    <x v="1"/>
    <x v="378"/>
    <x v="2"/>
    <s v="DELEGATE AGENCY"/>
    <s v="RFP"/>
    <x v="2"/>
  </r>
  <r>
    <n v="299144"/>
    <n v="196420"/>
    <x v="2"/>
    <x v="381"/>
    <x v="2"/>
    <s v="DELEGATE AGENCY"/>
    <s v="RFP"/>
    <x v="2"/>
  </r>
  <r>
    <n v="299145"/>
    <n v="141874"/>
    <x v="1"/>
    <x v="376"/>
    <x v="2"/>
    <s v="DELEGATE AGENCY"/>
    <s v="RFP"/>
    <x v="2"/>
  </r>
  <r>
    <n v="299146"/>
    <n v="174854"/>
    <x v="1"/>
    <x v="992"/>
    <x v="2"/>
    <s v="DELEGATE AGENCY"/>
    <s v="RFP"/>
    <x v="2"/>
  </r>
  <r>
    <n v="299147"/>
    <n v="80604"/>
    <x v="1"/>
    <x v="380"/>
    <x v="2"/>
    <s v="DELEGATE AGENCY"/>
    <s v="RFP"/>
    <x v="2"/>
  </r>
  <r>
    <n v="299148"/>
    <n v="169930"/>
    <x v="1"/>
    <x v="374"/>
    <x v="2"/>
    <s v="DELEGATE AGENCY"/>
    <s v="RFP"/>
    <x v="2"/>
  </r>
  <r>
    <n v="299149"/>
    <n v="222494"/>
    <x v="1"/>
    <x v="379"/>
    <x v="2"/>
    <s v="DELEGATE AGENCY"/>
    <s v="RFP"/>
    <x v="2"/>
  </r>
  <r>
    <n v="299157"/>
    <n v="4110000"/>
    <x v="1"/>
    <x v="2259"/>
    <x v="2"/>
    <s v="DELEGATE AGENCY"/>
    <s v="RFP"/>
    <x v="2"/>
  </r>
  <r>
    <n v="299159"/>
    <n v="137618565.30000001"/>
    <x v="0"/>
    <x v="429"/>
    <x v="0"/>
    <s v="CONSTRUCTION-LARGE $3MILLIONorABOVE"/>
    <s v="BID"/>
    <x v="2"/>
  </r>
  <r>
    <n v="299194"/>
    <n v="5000000"/>
    <x v="0"/>
    <x v="285"/>
    <x v="12"/>
    <s v="DELEGATE AGENCY"/>
    <s v="UNKNOWN"/>
    <x v="2"/>
  </r>
  <r>
    <n v="299228"/>
    <n v="200000"/>
    <x v="0"/>
    <x v="330"/>
    <x v="1"/>
    <s v="DELEGATE AGENCY"/>
    <s v="UNKNOWN"/>
    <x v="2"/>
  </r>
  <r>
    <n v="299231"/>
    <n v="200000"/>
    <x v="1"/>
    <x v="227"/>
    <x v="1"/>
    <s v="DELEGATE AGENCY"/>
    <s v="UNKNOWN"/>
    <x v="2"/>
  </r>
  <r>
    <n v="299234"/>
    <n v="300000"/>
    <x v="1"/>
    <x v="302"/>
    <x v="1"/>
    <s v="DELEGATE AGENCY"/>
    <s v="UNKNOWN"/>
    <x v="2"/>
  </r>
  <r>
    <n v="299236"/>
    <n v="55000"/>
    <x v="2"/>
    <x v="978"/>
    <x v="21"/>
    <s v="DELEGATE AGENCY"/>
    <s v="RFP"/>
    <x v="2"/>
  </r>
  <r>
    <n v="299237"/>
    <n v="25000"/>
    <x v="1"/>
    <x v="984"/>
    <x v="21"/>
    <s v="DELEGATE AGENCY"/>
    <s v="RFP"/>
    <x v="2"/>
  </r>
  <r>
    <n v="299238"/>
    <n v="45000"/>
    <x v="4"/>
    <x v="986"/>
    <x v="21"/>
    <s v="DELEGATE AGENCY"/>
    <s v="RFP"/>
    <x v="2"/>
  </r>
  <r>
    <n v="299239"/>
    <n v="25000"/>
    <x v="4"/>
    <x v="2258"/>
    <x v="21"/>
    <s v="DELEGATE AGENCY"/>
    <s v="RFP"/>
    <x v="2"/>
  </r>
  <r>
    <n v="299240"/>
    <n v="50000"/>
    <x v="4"/>
    <x v="959"/>
    <x v="21"/>
    <s v="DELEGATE AGENCY"/>
    <s v="RFP"/>
    <x v="2"/>
  </r>
  <r>
    <n v="299241"/>
    <n v="25000"/>
    <x v="1"/>
    <x v="980"/>
    <x v="21"/>
    <s v="DELEGATE AGENCY"/>
    <s v="RFP"/>
    <x v="2"/>
  </r>
  <r>
    <n v="299242"/>
    <n v="70000"/>
    <x v="4"/>
    <x v="876"/>
    <x v="21"/>
    <s v="DELEGATE AGENCY"/>
    <s v="RFP"/>
    <x v="2"/>
  </r>
  <r>
    <n v="299243"/>
    <n v="125000"/>
    <x v="1"/>
    <x v="377"/>
    <x v="21"/>
    <s v="DELEGATE AGENCY"/>
    <s v="RFP"/>
    <x v="2"/>
  </r>
  <r>
    <n v="299244"/>
    <n v="25000"/>
    <x v="1"/>
    <x v="2260"/>
    <x v="21"/>
    <s v="DELEGATE AGENCY"/>
    <s v="RFP"/>
    <x v="2"/>
  </r>
  <r>
    <n v="299245"/>
    <n v="35000"/>
    <x v="4"/>
    <x v="956"/>
    <x v="21"/>
    <s v="DELEGATE AGENCY"/>
    <s v="RFP"/>
    <x v="2"/>
  </r>
  <r>
    <n v="299246"/>
    <n v="40000"/>
    <x v="4"/>
    <x v="354"/>
    <x v="21"/>
    <s v="DELEGATE AGENCY"/>
    <s v="RFP"/>
    <x v="2"/>
  </r>
  <r>
    <n v="299248"/>
    <n v="65000"/>
    <x v="4"/>
    <x v="221"/>
    <x v="21"/>
    <s v="DELEGATE AGENCY"/>
    <s v="RFP"/>
    <x v="2"/>
  </r>
  <r>
    <n v="299249"/>
    <n v="55000"/>
    <x v="1"/>
    <x v="686"/>
    <x v="21"/>
    <s v="DELEGATE AGENCY"/>
    <s v="RFP"/>
    <x v="2"/>
  </r>
  <r>
    <n v="299250"/>
    <n v="70000"/>
    <x v="1"/>
    <x v="981"/>
    <x v="21"/>
    <s v="DELEGATE AGENCY"/>
    <s v="RFP"/>
    <x v="2"/>
  </r>
  <r>
    <n v="299251"/>
    <n v="40000"/>
    <x v="1"/>
    <x v="975"/>
    <x v="21"/>
    <s v="DELEGATE AGENCY"/>
    <s v="RFP"/>
    <x v="2"/>
  </r>
  <r>
    <n v="299252"/>
    <n v="45000"/>
    <x v="4"/>
    <x v="380"/>
    <x v="21"/>
    <s v="DELEGATE AGENCY"/>
    <s v="RFP"/>
    <x v="2"/>
  </r>
  <r>
    <n v="299253"/>
    <n v="65000"/>
    <x v="4"/>
    <x v="401"/>
    <x v="21"/>
    <s v="DELEGATE AGENCY"/>
    <s v="RFP"/>
    <x v="2"/>
  </r>
  <r>
    <n v="299254"/>
    <n v="100000"/>
    <x v="1"/>
    <x v="391"/>
    <x v="21"/>
    <s v="DELEGATE AGENCY"/>
    <s v="RFP"/>
    <x v="2"/>
  </r>
  <r>
    <n v="299255"/>
    <n v="40000"/>
    <x v="1"/>
    <x v="966"/>
    <x v="21"/>
    <s v="DELEGATE AGENCY"/>
    <s v="RFP"/>
    <x v="2"/>
  </r>
  <r>
    <n v="299256"/>
    <n v="60000"/>
    <x v="4"/>
    <x v="392"/>
    <x v="21"/>
    <s v="DELEGATE AGENCY"/>
    <s v="RFP"/>
    <x v="2"/>
  </r>
  <r>
    <n v="299257"/>
    <n v="20000"/>
    <x v="1"/>
    <x v="964"/>
    <x v="21"/>
    <s v="DELEGATE AGENCY"/>
    <s v="RFP"/>
    <x v="2"/>
  </r>
  <r>
    <n v="299258"/>
    <n v="67000"/>
    <x v="4"/>
    <x v="204"/>
    <x v="21"/>
    <s v="DELEGATE AGENCY"/>
    <s v="RFP"/>
    <x v="2"/>
  </r>
  <r>
    <n v="299259"/>
    <n v="50000"/>
    <x v="1"/>
    <x v="962"/>
    <x v="21"/>
    <s v="DELEGATE AGENCY"/>
    <s v="RFP"/>
    <x v="2"/>
  </r>
  <r>
    <n v="299260"/>
    <n v="25000"/>
    <x v="1"/>
    <x v="454"/>
    <x v="21"/>
    <s v="DELEGATE AGENCY"/>
    <s v="RFP"/>
    <x v="2"/>
  </r>
  <r>
    <n v="299261"/>
    <n v="40000"/>
    <x v="4"/>
    <x v="972"/>
    <x v="21"/>
    <s v="DELEGATE AGENCY"/>
    <s v="RFP"/>
    <x v="2"/>
  </r>
  <r>
    <n v="299262"/>
    <n v="40000"/>
    <x v="4"/>
    <x v="968"/>
    <x v="21"/>
    <s v="DELEGATE AGENCY"/>
    <s v="RFP"/>
    <x v="2"/>
  </r>
  <r>
    <n v="299263"/>
    <n v="40000"/>
    <x v="4"/>
    <x v="222"/>
    <x v="21"/>
    <s v="DELEGATE AGENCY"/>
    <s v="RFP"/>
    <x v="2"/>
  </r>
  <r>
    <n v="299264"/>
    <n v="25000"/>
    <x v="4"/>
    <x v="470"/>
    <x v="21"/>
    <s v="DELEGATE AGENCY"/>
    <s v="RFP"/>
    <x v="2"/>
  </r>
  <r>
    <n v="299265"/>
    <n v="75000"/>
    <x v="4"/>
    <x v="910"/>
    <x v="21"/>
    <s v="DELEGATE AGENCY"/>
    <s v="RFP"/>
    <x v="2"/>
  </r>
  <r>
    <n v="299266"/>
    <n v="45000"/>
    <x v="1"/>
    <x v="963"/>
    <x v="21"/>
    <s v="DELEGATE AGENCY"/>
    <s v="RFP"/>
    <x v="2"/>
  </r>
  <r>
    <n v="299267"/>
    <n v="50000"/>
    <x v="4"/>
    <x v="991"/>
    <x v="21"/>
    <s v="DELEGATE AGENCY"/>
    <s v="RFP"/>
    <x v="2"/>
  </r>
  <r>
    <n v="299268"/>
    <n v="25000"/>
    <x v="1"/>
    <x v="969"/>
    <x v="21"/>
    <s v="DELEGATE AGENCY"/>
    <s v="RFP"/>
    <x v="2"/>
  </r>
  <r>
    <n v="299269"/>
    <n v="40000"/>
    <x v="4"/>
    <x v="960"/>
    <x v="21"/>
    <s v="DELEGATE AGENCY"/>
    <s v="RFP"/>
    <x v="2"/>
  </r>
  <r>
    <n v="299270"/>
    <n v="55000"/>
    <x v="4"/>
    <x v="948"/>
    <x v="21"/>
    <s v="DELEGATE AGENCY"/>
    <s v="RFP"/>
    <x v="2"/>
  </r>
  <r>
    <n v="299271"/>
    <n v="75000"/>
    <x v="1"/>
    <x v="974"/>
    <x v="21"/>
    <s v="DELEGATE AGENCY"/>
    <s v="RFP"/>
    <x v="2"/>
  </r>
  <r>
    <n v="299272"/>
    <n v="40000"/>
    <x v="1"/>
    <x v="1225"/>
    <x v="21"/>
    <s v="DELEGATE AGENCY"/>
    <s v="RFP"/>
    <x v="2"/>
  </r>
  <r>
    <n v="299273"/>
    <n v="100000"/>
    <x v="4"/>
    <x v="232"/>
    <x v="21"/>
    <s v="DELEGATE AGENCY"/>
    <s v="RFP"/>
    <x v="2"/>
  </r>
  <r>
    <n v="299274"/>
    <n v="40000"/>
    <x v="1"/>
    <x v="1863"/>
    <x v="21"/>
    <s v="DELEGATE AGENCY"/>
    <s v="RFP"/>
    <x v="2"/>
  </r>
  <r>
    <n v="299275"/>
    <n v="30000"/>
    <x v="4"/>
    <x v="982"/>
    <x v="21"/>
    <s v="DELEGATE AGENCY"/>
    <s v="RFP"/>
    <x v="2"/>
  </r>
  <r>
    <n v="299276"/>
    <n v="50000"/>
    <x v="4"/>
    <x v="376"/>
    <x v="21"/>
    <s v="DELEGATE AGENCY"/>
    <s v="RFP"/>
    <x v="2"/>
  </r>
  <r>
    <n v="299277"/>
    <n v="60000"/>
    <x v="1"/>
    <x v="314"/>
    <x v="21"/>
    <s v="DELEGATE AGENCY"/>
    <s v="RFP"/>
    <x v="2"/>
  </r>
  <r>
    <n v="299278"/>
    <n v="50000"/>
    <x v="1"/>
    <x v="353"/>
    <x v="21"/>
    <s v="DELEGATE AGENCY"/>
    <s v="RFP"/>
    <x v="2"/>
  </r>
  <r>
    <n v="299279"/>
    <n v="110000"/>
    <x v="1"/>
    <x v="390"/>
    <x v="21"/>
    <s v="DELEGATE AGENCY"/>
    <s v="RFP"/>
    <x v="2"/>
  </r>
  <r>
    <n v="299280"/>
    <n v="40000"/>
    <x v="1"/>
    <x v="983"/>
    <x v="21"/>
    <s v="DELEGATE AGENCY"/>
    <s v="RFP"/>
    <x v="2"/>
  </r>
  <r>
    <n v="299281"/>
    <n v="30000"/>
    <x v="4"/>
    <x v="473"/>
    <x v="21"/>
    <s v="DELEGATE AGENCY"/>
    <s v="RFP"/>
    <x v="2"/>
  </r>
  <r>
    <n v="299282"/>
    <n v="130000"/>
    <x v="4"/>
    <x v="968"/>
    <x v="21"/>
    <s v="DELEGATE AGENCY"/>
    <s v="RFP"/>
    <x v="2"/>
  </r>
  <r>
    <n v="299283"/>
    <n v="50000"/>
    <x v="1"/>
    <x v="989"/>
    <x v="21"/>
    <s v="DELEGATE AGENCY"/>
    <s v="RFP"/>
    <x v="2"/>
  </r>
  <r>
    <n v="299284"/>
    <n v="50000"/>
    <x v="1"/>
    <x v="979"/>
    <x v="21"/>
    <s v="DELEGATE AGENCY"/>
    <s v="RFP"/>
    <x v="2"/>
  </r>
  <r>
    <n v="299285"/>
    <n v="40000"/>
    <x v="1"/>
    <x v="958"/>
    <x v="21"/>
    <s v="DELEGATE AGENCY"/>
    <s v="RFP"/>
    <x v="2"/>
  </r>
  <r>
    <n v="299286"/>
    <n v="45000"/>
    <x v="4"/>
    <x v="1796"/>
    <x v="21"/>
    <s v="DELEGATE AGENCY"/>
    <s v="RFP"/>
    <x v="2"/>
  </r>
  <r>
    <n v="299287"/>
    <n v="25000"/>
    <x v="4"/>
    <x v="970"/>
    <x v="21"/>
    <s v="DELEGATE AGENCY"/>
    <s v="RFP"/>
    <x v="2"/>
  </r>
  <r>
    <n v="299288"/>
    <n v="40000"/>
    <x v="4"/>
    <x v="973"/>
    <x v="21"/>
    <s v="DELEGATE AGENCY"/>
    <s v="RFP"/>
    <x v="2"/>
  </r>
  <r>
    <n v="299291"/>
    <n v="70000"/>
    <x v="4"/>
    <x v="887"/>
    <x v="21"/>
    <s v="DELEGATE AGENCY"/>
    <s v="RFP"/>
    <x v="2"/>
  </r>
  <r>
    <n v="299292"/>
    <n v="40000"/>
    <x v="1"/>
    <x v="961"/>
    <x v="21"/>
    <s v="DELEGATE AGENCY"/>
    <s v="RFP"/>
    <x v="2"/>
  </r>
  <r>
    <n v="299293"/>
    <n v="95000"/>
    <x v="4"/>
    <x v="223"/>
    <x v="21"/>
    <s v="DELEGATE AGENCY"/>
    <s v="RFP"/>
    <x v="2"/>
  </r>
  <r>
    <n v="299294"/>
    <n v="50000"/>
    <x v="1"/>
    <x v="379"/>
    <x v="21"/>
    <s v="DELEGATE AGENCY"/>
    <s v="RFP"/>
    <x v="2"/>
  </r>
  <r>
    <n v="299295"/>
    <n v="55000"/>
    <x v="1"/>
    <x v="2261"/>
    <x v="21"/>
    <s v="DELEGATE AGENCY"/>
    <s v="RFP"/>
    <x v="2"/>
  </r>
  <r>
    <n v="299296"/>
    <n v="40000"/>
    <x v="1"/>
    <x v="378"/>
    <x v="21"/>
    <s v="DELEGATE AGENCY"/>
    <s v="RFP"/>
    <x v="2"/>
  </r>
  <r>
    <n v="299297"/>
    <n v="50000"/>
    <x v="4"/>
    <x v="1439"/>
    <x v="21"/>
    <s v="DELEGATE AGENCY"/>
    <s v="RFP"/>
    <x v="2"/>
  </r>
  <r>
    <n v="299298"/>
    <n v="50000"/>
    <x v="1"/>
    <x v="967"/>
    <x v="21"/>
    <s v="DELEGATE AGENCY"/>
    <s v="RFP"/>
    <x v="2"/>
  </r>
  <r>
    <n v="299299"/>
    <n v="85000"/>
    <x v="1"/>
    <x v="957"/>
    <x v="21"/>
    <s v="DELEGATE AGENCY"/>
    <s v="RFP"/>
    <x v="2"/>
  </r>
  <r>
    <n v="299301"/>
    <n v="25000"/>
    <x v="1"/>
    <x v="2262"/>
    <x v="21"/>
    <s v="DELEGATE AGENCY"/>
    <s v="RFP"/>
    <x v="2"/>
  </r>
  <r>
    <n v="299365"/>
    <n v="2257503"/>
    <x v="4"/>
    <x v="76"/>
    <x v="12"/>
    <s v="DELEGATE AGENCY"/>
    <s v="UNKNOWN"/>
    <x v="2"/>
  </r>
  <r>
    <n v="299380"/>
    <n v="139182"/>
    <x v="0"/>
    <x v="313"/>
    <x v="8"/>
    <s v="DELEGATE AGENCY"/>
    <s v="UNKNOWN"/>
    <x v="2"/>
  </r>
  <r>
    <n v="299381"/>
    <n v="210040"/>
    <x v="1"/>
    <x v="1129"/>
    <x v="8"/>
    <s v="DELEGATE AGENCY"/>
    <s v="UNKNOWN"/>
    <x v="2"/>
  </r>
  <r>
    <n v="299389"/>
    <n v="2500000"/>
    <x v="1"/>
    <x v="503"/>
    <x v="12"/>
    <s v="DELEGATE AGENCY"/>
    <s v="UNKNOWN"/>
    <x v="2"/>
  </r>
  <r>
    <n v="299394"/>
    <n v="35000"/>
    <x v="0"/>
    <x v="705"/>
    <x v="20"/>
    <s v="COMPTROLLER-OTHER"/>
    <s v="UNKNOWN"/>
    <x v="2"/>
  </r>
  <r>
    <n v="299399"/>
    <n v="40000"/>
    <x v="4"/>
    <x v="604"/>
    <x v="20"/>
    <s v="COMPTROLLER-OTHER"/>
    <s v="UNKNOWN"/>
    <x v="2"/>
  </r>
  <r>
    <n v="299400"/>
    <n v="45000"/>
    <x v="4"/>
    <x v="2263"/>
    <x v="20"/>
    <s v="COMPTROLLER-OTHER"/>
    <s v="UNKNOWN"/>
    <x v="2"/>
  </r>
  <r>
    <n v="299402"/>
    <n v="15000"/>
    <x v="4"/>
    <x v="2264"/>
    <x v="20"/>
    <s v="COMPTROLLER-OTHER"/>
    <s v="UNKNOWN"/>
    <x v="2"/>
  </r>
  <r>
    <n v="299404"/>
    <n v="50000"/>
    <x v="4"/>
    <x v="2265"/>
    <x v="20"/>
    <s v="COMPTROLLER-OTHER"/>
    <s v="UNKNOWN"/>
    <x v="2"/>
  </r>
  <r>
    <n v="299406"/>
    <n v="50000"/>
    <x v="1"/>
    <x v="2266"/>
    <x v="20"/>
    <s v="COMPTROLLER-OTHER"/>
    <s v="UNKNOWN"/>
    <x v="2"/>
  </r>
  <r>
    <n v="299408"/>
    <n v="12000"/>
    <x v="1"/>
    <x v="2267"/>
    <x v="20"/>
    <s v="COMPTROLLER-OTHER"/>
    <s v="UNKNOWN"/>
    <x v="2"/>
  </r>
  <r>
    <n v="299409"/>
    <n v="40000"/>
    <x v="4"/>
    <x v="802"/>
    <x v="20"/>
    <s v="COMPTROLLER-OTHER"/>
    <s v="UNKNOWN"/>
    <x v="2"/>
  </r>
  <r>
    <n v="299411"/>
    <n v="30000"/>
    <x v="4"/>
    <x v="2268"/>
    <x v="20"/>
    <s v="COMPTROLLER-OTHER"/>
    <s v="UNKNOWN"/>
    <x v="2"/>
  </r>
  <r>
    <n v="299598"/>
    <n v="8235500"/>
    <x v="4"/>
    <x v="447"/>
    <x v="12"/>
    <s v="DELEGATE AGENCY"/>
    <s v="UNKNOWN"/>
    <x v="2"/>
  </r>
  <r>
    <n v="299601"/>
    <n v="8706353"/>
    <x v="0"/>
    <x v="2269"/>
    <x v="2"/>
    <s v="COMPTROLLER-OTHER"/>
    <s v="UNKNOWN"/>
    <x v="2"/>
  </r>
  <r>
    <n v="299615"/>
    <n v="125000"/>
    <x v="0"/>
    <x v="341"/>
    <x v="12"/>
    <s v="DELEGATE AGENCY"/>
    <s v="UNKNOWN"/>
    <x v="2"/>
  </r>
  <r>
    <n v="299616"/>
    <n v="119965"/>
    <x v="1"/>
    <x v="342"/>
    <x v="12"/>
    <s v="DELEGATE AGENCY"/>
    <s v="UNKNOWN"/>
    <x v="2"/>
  </r>
  <r>
    <n v="299617"/>
    <n v="150000"/>
    <x v="1"/>
    <x v="1748"/>
    <x v="20"/>
    <s v="COMPTROLLER-OTHER"/>
    <s v="UNKNOWN"/>
    <x v="2"/>
  </r>
  <r>
    <n v="299618"/>
    <n v="69000"/>
    <x v="1"/>
    <x v="66"/>
    <x v="12"/>
    <s v="DELEGATE AGENCY"/>
    <s v="UNKNOWN"/>
    <x v="2"/>
  </r>
  <r>
    <n v="299620"/>
    <n v="135000"/>
    <x v="1"/>
    <x v="84"/>
    <x v="12"/>
    <s v="DELEGATE AGENCY"/>
    <s v="UNKNOWN"/>
    <x v="2"/>
  </r>
  <r>
    <n v="299622"/>
    <n v="54000"/>
    <x v="1"/>
    <x v="353"/>
    <x v="12"/>
    <s v="DELEGATE AGENCY"/>
    <s v="UNKNOWN"/>
    <x v="2"/>
  </r>
  <r>
    <n v="299623"/>
    <n v="54000"/>
    <x v="1"/>
    <x v="590"/>
    <x v="12"/>
    <s v="DELEGATE AGENCY"/>
    <s v="UNKNOWN"/>
    <x v="2"/>
  </r>
  <r>
    <n v="299624"/>
    <n v="54000"/>
    <x v="1"/>
    <x v="579"/>
    <x v="12"/>
    <s v="DELEGATE AGENCY"/>
    <s v="UNKNOWN"/>
    <x v="2"/>
  </r>
  <r>
    <n v="299625"/>
    <n v="54000"/>
    <x v="1"/>
    <x v="67"/>
    <x v="12"/>
    <s v="DELEGATE AGENCY"/>
    <s v="UNKNOWN"/>
    <x v="2"/>
  </r>
  <r>
    <n v="299626"/>
    <n v="54000"/>
    <x v="1"/>
    <x v="578"/>
    <x v="12"/>
    <s v="DELEGATE AGENCY"/>
    <s v="UNKNOWN"/>
    <x v="2"/>
  </r>
  <r>
    <n v="299627"/>
    <n v="54000"/>
    <x v="1"/>
    <x v="63"/>
    <x v="12"/>
    <s v="DELEGATE AGENCY"/>
    <s v="UNKNOWN"/>
    <x v="2"/>
  </r>
  <r>
    <n v="299630"/>
    <n v="54000"/>
    <x v="1"/>
    <x v="165"/>
    <x v="12"/>
    <s v="DELEGATE AGENCY"/>
    <s v="UNKNOWN"/>
    <x v="2"/>
  </r>
  <r>
    <n v="299632"/>
    <n v="54000"/>
    <x v="1"/>
    <x v="80"/>
    <x v="12"/>
    <s v="DELEGATE AGENCY"/>
    <s v="UNKNOWN"/>
    <x v="2"/>
  </r>
  <r>
    <n v="299656"/>
    <n v="3484250"/>
    <x v="1"/>
    <x v="1212"/>
    <x v="12"/>
    <s v="DELEGATE AGENCY"/>
    <s v="UNKNOWN"/>
    <x v="2"/>
  </r>
  <r>
    <n v="299718"/>
    <n v="1590602"/>
    <x v="0"/>
    <x v="2270"/>
    <x v="2"/>
    <s v="COMPTROLLER-OTHER"/>
    <s v="UNKNOWN"/>
    <x v="2"/>
  </r>
  <r>
    <n v="299725"/>
    <n v="245034"/>
    <x v="0"/>
    <x v="198"/>
    <x v="12"/>
    <s v="DELEGATE AGENCY"/>
    <s v="UNKNOWN"/>
    <x v="2"/>
  </r>
  <r>
    <n v="299727"/>
    <n v="103500"/>
    <x v="1"/>
    <x v="578"/>
    <x v="12"/>
    <s v="DELEGATE AGENCY"/>
    <s v="UNKNOWN"/>
    <x v="2"/>
  </r>
  <r>
    <n v="299730"/>
    <n v="219187"/>
    <x v="1"/>
    <x v="217"/>
    <x v="12"/>
    <s v="DELEGATE AGENCY"/>
    <s v="UNKNOWN"/>
    <x v="2"/>
  </r>
  <r>
    <n v="299731"/>
    <n v="363578"/>
    <x v="1"/>
    <x v="198"/>
    <x v="12"/>
    <s v="DELEGATE AGENCY"/>
    <s v="UNKNOWN"/>
    <x v="2"/>
  </r>
  <r>
    <n v="299732"/>
    <n v="221818"/>
    <x v="2"/>
    <x v="198"/>
    <x v="12"/>
    <s v="DELEGATE AGENCY"/>
    <s v="UNKNOWN"/>
    <x v="2"/>
  </r>
  <r>
    <n v="299737"/>
    <n v="765714"/>
    <x v="1"/>
    <x v="76"/>
    <x v="12"/>
    <s v="DELEGATE AGENCY"/>
    <s v="UNKNOWN"/>
    <x v="2"/>
  </r>
  <r>
    <n v="299782"/>
    <n v="765978"/>
    <x v="2"/>
    <x v="23"/>
    <x v="12"/>
    <s v="DELEGATE AGENCY"/>
    <s v="UNKNOWN"/>
    <x v="2"/>
  </r>
  <r>
    <n v="299798"/>
    <n v="8706353"/>
    <x v="2"/>
    <x v="2271"/>
    <x v="2"/>
    <s v="COMPTROLLER-OTHER"/>
    <s v="UNKNOWN"/>
    <x v="2"/>
  </r>
  <r>
    <n v="299800"/>
    <n v="2000000"/>
    <x v="0"/>
    <x v="156"/>
    <x v="2"/>
    <s v="COMPTROLLER-OTHER"/>
    <s v="UNKNOWN"/>
    <x v="2"/>
  </r>
  <r>
    <n v="299828"/>
    <n v="917960"/>
    <x v="0"/>
    <x v="76"/>
    <x v="12"/>
    <s v="DELEGATE AGENCY"/>
    <s v="UNKNOWN"/>
    <x v="2"/>
  </r>
  <r>
    <n v="299829"/>
    <n v="7579"/>
    <x v="2"/>
    <x v="193"/>
    <x v="12"/>
    <s v="DELEGATE AGENCY"/>
    <s v="UNKNOWN"/>
    <x v="2"/>
  </r>
  <r>
    <n v="299830"/>
    <n v="352482"/>
    <x v="3"/>
    <x v="1166"/>
    <x v="12"/>
    <s v="DELEGATE AGENCY"/>
    <s v="UNKNOWN"/>
    <x v="2"/>
  </r>
  <r>
    <n v="299831"/>
    <n v="309320"/>
    <x v="2"/>
    <x v="1166"/>
    <x v="12"/>
    <s v="DELEGATE AGENCY"/>
    <s v="UNKNOWN"/>
    <x v="2"/>
  </r>
  <r>
    <n v="299832"/>
    <n v="40928"/>
    <x v="2"/>
    <x v="193"/>
    <x v="12"/>
    <s v="DELEGATE AGENCY"/>
    <s v="UNKNOWN"/>
    <x v="2"/>
  </r>
  <r>
    <n v="299833"/>
    <n v="94625"/>
    <x v="4"/>
    <x v="193"/>
    <x v="12"/>
    <s v="DELEGATE AGENCY"/>
    <s v="UNKNOWN"/>
    <x v="2"/>
  </r>
  <r>
    <n v="299834"/>
    <n v="69000"/>
    <x v="1"/>
    <x v="354"/>
    <x v="12"/>
    <s v="DELEGATE AGENCY"/>
    <s v="UNKNOWN"/>
    <x v="2"/>
  </r>
  <r>
    <n v="299835"/>
    <n v="69000"/>
    <x v="1"/>
    <x v="445"/>
    <x v="12"/>
    <s v="DELEGATE AGENCY"/>
    <s v="UNKNOWN"/>
    <x v="2"/>
  </r>
  <r>
    <n v="299836"/>
    <n v="207000"/>
    <x v="1"/>
    <x v="582"/>
    <x v="12"/>
    <s v="DELEGATE AGENCY"/>
    <s v="UNKNOWN"/>
    <x v="2"/>
  </r>
  <r>
    <n v="299837"/>
    <n v="69000"/>
    <x v="1"/>
    <x v="113"/>
    <x v="12"/>
    <s v="DELEGATE AGENCY"/>
    <s v="UNKNOWN"/>
    <x v="2"/>
  </r>
  <r>
    <n v="299838"/>
    <n v="862500"/>
    <x v="1"/>
    <x v="593"/>
    <x v="12"/>
    <s v="DELEGATE AGENCY"/>
    <s v="UNKNOWN"/>
    <x v="2"/>
  </r>
  <r>
    <n v="299839"/>
    <n v="69000"/>
    <x v="2"/>
    <x v="577"/>
    <x v="12"/>
    <s v="DELEGATE AGENCY"/>
    <s v="UNKNOWN"/>
    <x v="2"/>
  </r>
  <r>
    <n v="299840"/>
    <n v="69000"/>
    <x v="1"/>
    <x v="73"/>
    <x v="12"/>
    <s v="DELEGATE AGENCY"/>
    <s v="UNKNOWN"/>
    <x v="2"/>
  </r>
  <r>
    <n v="299841"/>
    <n v="69000"/>
    <x v="1"/>
    <x v="578"/>
    <x v="12"/>
    <s v="DELEGATE AGENCY"/>
    <s v="UNKNOWN"/>
    <x v="2"/>
  </r>
  <r>
    <n v="299842"/>
    <n v="103500"/>
    <x v="1"/>
    <x v="610"/>
    <x v="12"/>
    <s v="DELEGATE AGENCY"/>
    <s v="UNKNOWN"/>
    <x v="2"/>
  </r>
  <r>
    <n v="299843"/>
    <n v="69000"/>
    <x v="1"/>
    <x v="315"/>
    <x v="12"/>
    <s v="DELEGATE AGENCY"/>
    <s v="UNKNOWN"/>
    <x v="2"/>
  </r>
  <r>
    <n v="299844"/>
    <n v="11975"/>
    <x v="1"/>
    <x v="324"/>
    <x v="12"/>
    <s v="DELEGATE AGENCY"/>
    <s v="UNKNOWN"/>
    <x v="2"/>
  </r>
  <r>
    <n v="299845"/>
    <n v="125000"/>
    <x v="4"/>
    <x v="340"/>
    <x v="12"/>
    <s v="DELEGATE AGENCY"/>
    <s v="UNKNOWN"/>
    <x v="2"/>
  </r>
  <r>
    <n v="299846"/>
    <n v="52800"/>
    <x v="1"/>
    <x v="305"/>
    <x v="12"/>
    <s v="DELEGATE AGENCY"/>
    <s v="UNKNOWN"/>
    <x v="2"/>
  </r>
  <r>
    <n v="299847"/>
    <n v="52800"/>
    <x v="1"/>
    <x v="228"/>
    <x v="12"/>
    <s v="DELEGATE AGENCY"/>
    <s v="UNKNOWN"/>
    <x v="2"/>
  </r>
  <r>
    <n v="299848"/>
    <n v="600000"/>
    <x v="1"/>
    <x v="355"/>
    <x v="12"/>
    <s v="DELEGATE AGENCY"/>
    <s v="UNKNOWN"/>
    <x v="2"/>
  </r>
  <r>
    <n v="299849"/>
    <n v="39570"/>
    <x v="2"/>
    <x v="198"/>
    <x v="12"/>
    <s v="DELEGATE AGENCY"/>
    <s v="UNKNOWN"/>
    <x v="2"/>
  </r>
  <r>
    <n v="300020"/>
    <n v="4466871.3"/>
    <x v="4"/>
    <x v="2272"/>
    <x v="25"/>
    <s v="PRO SERV CONSULTING $250,000orABOVE"/>
    <s v="SOLE SOURCE"/>
    <x v="2"/>
  </r>
  <r>
    <n v="300023"/>
    <n v="320000"/>
    <x v="0"/>
    <x v="201"/>
    <x v="1"/>
    <s v="DELEGATE AGENCY"/>
    <s v="UNKNOWN"/>
    <x v="2"/>
  </r>
  <r>
    <n v="300025"/>
    <n v="715126"/>
    <x v="2"/>
    <x v="301"/>
    <x v="12"/>
    <s v="DELEGATE AGENCY"/>
    <s v="UNKNOWN"/>
    <x v="2"/>
  </r>
  <r>
    <n v="300026"/>
    <n v="167660"/>
    <x v="2"/>
    <x v="239"/>
    <x v="12"/>
    <s v="DELEGATE AGENCY"/>
    <s v="UNKNOWN"/>
    <x v="2"/>
  </r>
  <r>
    <n v="300027"/>
    <n v="71976"/>
    <x v="1"/>
    <x v="341"/>
    <x v="12"/>
    <s v="DELEGATE AGENCY"/>
    <s v="UNKNOWN"/>
    <x v="2"/>
  </r>
  <r>
    <n v="300028"/>
    <n v="154600"/>
    <x v="1"/>
    <x v="201"/>
    <x v="12"/>
    <s v="DELEGATE AGENCY"/>
    <s v="UNKNOWN"/>
    <x v="2"/>
  </r>
  <r>
    <n v="300030"/>
    <n v="90000"/>
    <x v="1"/>
    <x v="201"/>
    <x v="12"/>
    <s v="DELEGATE AGENCY"/>
    <s v="UNKNOWN"/>
    <x v="2"/>
  </r>
  <r>
    <n v="300031"/>
    <n v="55000"/>
    <x v="1"/>
    <x v="342"/>
    <x v="12"/>
    <s v="DELEGATE AGENCY"/>
    <s v="UNKNOWN"/>
    <x v="2"/>
  </r>
  <r>
    <n v="300035"/>
    <n v="100000"/>
    <x v="1"/>
    <x v="359"/>
    <x v="12"/>
    <s v="DELEGATE AGENCY"/>
    <s v="UNKNOWN"/>
    <x v="2"/>
  </r>
  <r>
    <n v="300037"/>
    <n v="75000"/>
    <x v="1"/>
    <x v="213"/>
    <x v="12"/>
    <s v="DELEGATE AGENCY"/>
    <s v="UNKNOWN"/>
    <x v="2"/>
  </r>
  <r>
    <n v="300038"/>
    <n v="175272"/>
    <x v="1"/>
    <x v="359"/>
    <x v="12"/>
    <s v="DELEGATE AGENCY"/>
    <s v="UNKNOWN"/>
    <x v="2"/>
  </r>
  <r>
    <n v="300039"/>
    <n v="90000"/>
    <x v="1"/>
    <x v="351"/>
    <x v="12"/>
    <s v="DELEGATE AGENCY"/>
    <s v="UNKNOWN"/>
    <x v="2"/>
  </r>
  <r>
    <n v="300040"/>
    <n v="180000"/>
    <x v="1"/>
    <x v="346"/>
    <x v="12"/>
    <s v="DELEGATE AGENCY"/>
    <s v="UNKNOWN"/>
    <x v="2"/>
  </r>
  <r>
    <n v="300041"/>
    <n v="65000"/>
    <x v="1"/>
    <x v="216"/>
    <x v="12"/>
    <s v="DELEGATE AGENCY"/>
    <s v="UNKNOWN"/>
    <x v="2"/>
  </r>
  <r>
    <n v="300042"/>
    <n v="125000"/>
    <x v="1"/>
    <x v="362"/>
    <x v="12"/>
    <s v="DELEGATE AGENCY"/>
    <s v="UNKNOWN"/>
    <x v="2"/>
  </r>
  <r>
    <n v="300043"/>
    <n v="52800"/>
    <x v="1"/>
    <x v="357"/>
    <x v="12"/>
    <s v="DELEGATE AGENCY"/>
    <s v="UNKNOWN"/>
    <x v="2"/>
  </r>
  <r>
    <n v="300044"/>
    <n v="90000"/>
    <x v="1"/>
    <x v="367"/>
    <x v="12"/>
    <s v="DELEGATE AGENCY"/>
    <s v="UNKNOWN"/>
    <x v="2"/>
  </r>
  <r>
    <n v="300045"/>
    <n v="70000"/>
    <x v="1"/>
    <x v="352"/>
    <x v="12"/>
    <s v="DELEGATE AGENCY"/>
    <s v="UNKNOWN"/>
    <x v="2"/>
  </r>
  <r>
    <n v="300046"/>
    <n v="97875"/>
    <x v="1"/>
    <x v="351"/>
    <x v="12"/>
    <s v="DELEGATE AGENCY"/>
    <s v="UNKNOWN"/>
    <x v="2"/>
  </r>
  <r>
    <n v="300047"/>
    <n v="89000"/>
    <x v="1"/>
    <x v="351"/>
    <x v="12"/>
    <s v="DELEGATE AGENCY"/>
    <s v="UNKNOWN"/>
    <x v="2"/>
  </r>
  <r>
    <n v="300048"/>
    <n v="50468"/>
    <x v="1"/>
    <x v="228"/>
    <x v="12"/>
    <s v="DELEGATE AGENCY"/>
    <s v="UNKNOWN"/>
    <x v="2"/>
  </r>
  <r>
    <n v="300049"/>
    <n v="150000"/>
    <x v="1"/>
    <x v="355"/>
    <x v="12"/>
    <s v="DELEGATE AGENCY"/>
    <s v="UNKNOWN"/>
    <x v="2"/>
  </r>
  <r>
    <n v="300050"/>
    <n v="90000"/>
    <x v="1"/>
    <x v="296"/>
    <x v="12"/>
    <s v="DELEGATE AGENCY"/>
    <s v="UNKNOWN"/>
    <x v="2"/>
  </r>
  <r>
    <n v="300051"/>
    <n v="126355"/>
    <x v="1"/>
    <x v="76"/>
    <x v="12"/>
    <s v="DELEGATE AGENCY"/>
    <s v="UNKNOWN"/>
    <x v="2"/>
  </r>
  <r>
    <n v="300052"/>
    <n v="52800"/>
    <x v="1"/>
    <x v="66"/>
    <x v="12"/>
    <s v="DELEGATE AGENCY"/>
    <s v="UNKNOWN"/>
    <x v="2"/>
  </r>
  <r>
    <n v="300053"/>
    <n v="85780"/>
    <x v="1"/>
    <x v="356"/>
    <x v="12"/>
    <s v="DELEGATE AGENCY"/>
    <s v="UNKNOWN"/>
    <x v="2"/>
  </r>
  <r>
    <n v="300054"/>
    <n v="72245"/>
    <x v="1"/>
    <x v="228"/>
    <x v="12"/>
    <s v="DELEGATE AGENCY"/>
    <s v="UNKNOWN"/>
    <x v="2"/>
  </r>
  <r>
    <n v="300055"/>
    <n v="665566"/>
    <x v="1"/>
    <x v="301"/>
    <x v="12"/>
    <s v="DELEGATE AGENCY"/>
    <s v="UNKNOWN"/>
    <x v="2"/>
  </r>
  <r>
    <n v="300056"/>
    <n v="133640"/>
    <x v="2"/>
    <x v="191"/>
    <x v="12"/>
    <s v="DELEGATE AGENCY"/>
    <s v="UNKNOWN"/>
    <x v="2"/>
  </r>
  <r>
    <n v="300070"/>
    <n v="59236"/>
    <x v="1"/>
    <x v="314"/>
    <x v="12"/>
    <s v="DELEGATE AGENCY"/>
    <s v="UNKNOWN"/>
    <x v="2"/>
  </r>
  <r>
    <n v="300149"/>
    <n v="226112.6"/>
    <x v="1"/>
    <x v="301"/>
    <x v="12"/>
    <s v="DELEGATE AGENCY"/>
    <s v="UNKNOWN"/>
    <x v="2"/>
  </r>
  <r>
    <n v="300162"/>
    <n v="400000"/>
    <x v="1"/>
    <x v="156"/>
    <x v="2"/>
    <s v="COMPTROLLER-OTHER"/>
    <s v="UNKNOWN"/>
    <x v="2"/>
  </r>
  <r>
    <n v="300165"/>
    <n v="150000"/>
    <x v="2"/>
    <x v="899"/>
    <x v="2"/>
    <s v="COMPTROLLER-OTHER"/>
    <s v="UNKNOWN"/>
    <x v="2"/>
  </r>
  <r>
    <n v="300167"/>
    <n v="118109.5"/>
    <x v="1"/>
    <x v="2273"/>
    <x v="2"/>
    <s v="COMPTROLLER-OTHER"/>
    <s v="UNKNOWN"/>
    <x v="2"/>
  </r>
  <r>
    <n v="300170"/>
    <n v="174898"/>
    <x v="1"/>
    <x v="2274"/>
    <x v="2"/>
    <s v="COMPTROLLER-OTHER"/>
    <s v="UNKNOWN"/>
    <x v="2"/>
  </r>
  <r>
    <n v="300189"/>
    <n v="1000000"/>
    <x v="1"/>
    <x v="19"/>
    <x v="8"/>
    <s v="DELEGATE AGENCY"/>
    <s v="UNKNOWN"/>
    <x v="2"/>
  </r>
  <r>
    <n v="300193"/>
    <n v="200000"/>
    <x v="0"/>
    <x v="24"/>
    <x v="8"/>
    <s v="DELEGATE AGENCY"/>
    <s v="UNKNOWN"/>
    <x v="2"/>
  </r>
  <r>
    <n v="300194"/>
    <n v="375001"/>
    <x v="1"/>
    <x v="396"/>
    <x v="8"/>
    <s v="DELEGATE AGENCY"/>
    <s v="UNKNOWN"/>
    <x v="2"/>
  </r>
  <r>
    <n v="300195"/>
    <n v="375001"/>
    <x v="2"/>
    <x v="59"/>
    <x v="8"/>
    <s v="DELEGATE AGENCY"/>
    <s v="UNKNOWN"/>
    <x v="2"/>
  </r>
  <r>
    <n v="300196"/>
    <n v="294896.40000000002"/>
    <x v="2"/>
    <x v="205"/>
    <x v="8"/>
    <s v="DELEGATE AGENCY"/>
    <s v="UNKNOWN"/>
    <x v="2"/>
  </r>
  <r>
    <n v="300197"/>
    <n v="200000"/>
    <x v="2"/>
    <x v="296"/>
    <x v="8"/>
    <s v="DELEGATE AGENCY"/>
    <s v="UNKNOWN"/>
    <x v="2"/>
  </r>
  <r>
    <n v="300198"/>
    <n v="91256"/>
    <x v="1"/>
    <x v="49"/>
    <x v="8"/>
    <s v="DELEGATE AGENCY"/>
    <s v="UNKNOWN"/>
    <x v="2"/>
  </r>
  <r>
    <n v="300199"/>
    <n v="200000"/>
    <x v="1"/>
    <x v="1867"/>
    <x v="8"/>
    <s v="DELEGATE AGENCY"/>
    <s v="UNKNOWN"/>
    <x v="2"/>
  </r>
  <r>
    <n v="300200"/>
    <n v="93062"/>
    <x v="1"/>
    <x v="33"/>
    <x v="8"/>
    <s v="DELEGATE AGENCY"/>
    <s v="UNKNOWN"/>
    <x v="2"/>
  </r>
  <r>
    <n v="300201"/>
    <n v="57479"/>
    <x v="1"/>
    <x v="596"/>
    <x v="8"/>
    <s v="DELEGATE AGENCY"/>
    <s v="UNKNOWN"/>
    <x v="2"/>
  </r>
  <r>
    <n v="300202"/>
    <n v="375001"/>
    <x v="1"/>
    <x v="59"/>
    <x v="8"/>
    <s v="DELEGATE AGENCY"/>
    <s v="UNKNOWN"/>
    <x v="2"/>
  </r>
  <r>
    <n v="300203"/>
    <n v="3832500"/>
    <x v="2"/>
    <x v="19"/>
    <x v="8"/>
    <s v="DELEGATE AGENCY"/>
    <s v="UNKNOWN"/>
    <x v="2"/>
  </r>
  <r>
    <n v="300204"/>
    <n v="48170.2"/>
    <x v="0"/>
    <x v="59"/>
    <x v="8"/>
    <s v="DELEGATE AGENCY"/>
    <s v="UNKNOWN"/>
    <x v="2"/>
  </r>
  <r>
    <n v="300205"/>
    <n v="268798.59999999998"/>
    <x v="4"/>
    <x v="261"/>
    <x v="8"/>
    <s v="DELEGATE AGENCY"/>
    <s v="UNKNOWN"/>
    <x v="2"/>
  </r>
  <r>
    <n v="300207"/>
    <n v="84145.8"/>
    <x v="2"/>
    <x v="168"/>
    <x v="8"/>
    <s v="DELEGATE AGENCY"/>
    <s v="UNKNOWN"/>
    <x v="2"/>
  </r>
  <r>
    <n v="300208"/>
    <n v="83112.100000000006"/>
    <x v="1"/>
    <x v="166"/>
    <x v="8"/>
    <s v="DELEGATE AGENCY"/>
    <s v="UNKNOWN"/>
    <x v="2"/>
  </r>
  <r>
    <n v="300209"/>
    <n v="79128.7"/>
    <x v="1"/>
    <x v="166"/>
    <x v="8"/>
    <s v="DELEGATE AGENCY"/>
    <s v="UNKNOWN"/>
    <x v="2"/>
  </r>
  <r>
    <n v="300210"/>
    <n v="89542"/>
    <x v="1"/>
    <x v="166"/>
    <x v="8"/>
    <s v="DELEGATE AGENCY"/>
    <s v="UNKNOWN"/>
    <x v="2"/>
  </r>
  <r>
    <n v="300211"/>
    <n v="71428"/>
    <x v="1"/>
    <x v="49"/>
    <x v="8"/>
    <s v="DELEGATE AGENCY"/>
    <s v="UNKNOWN"/>
    <x v="2"/>
  </r>
  <r>
    <n v="300212"/>
    <n v="80500"/>
    <x v="1"/>
    <x v="168"/>
    <x v="8"/>
    <s v="DELEGATE AGENCY"/>
    <s v="UNKNOWN"/>
    <x v="2"/>
  </r>
  <r>
    <n v="300262"/>
    <n v="14472.7"/>
    <x v="1"/>
    <x v="2275"/>
    <x v="20"/>
    <s v="COMPTROLLER-OTHER"/>
    <s v="UNKNOWN"/>
    <x v="2"/>
  </r>
  <r>
    <n v="300271"/>
    <n v="58160"/>
    <x v="4"/>
    <x v="360"/>
    <x v="12"/>
    <s v="DELEGATE AGENCY"/>
    <s v="UNKNOWN"/>
    <x v="2"/>
  </r>
  <r>
    <n v="300273"/>
    <n v="70000"/>
    <x v="1"/>
    <x v="314"/>
    <x v="12"/>
    <s v="DELEGATE AGENCY"/>
    <s v="UNKNOWN"/>
    <x v="2"/>
  </r>
  <r>
    <n v="300289"/>
    <n v="332586.7"/>
    <x v="1"/>
    <x v="446"/>
    <x v="8"/>
    <s v="DELEGATE AGENCY"/>
    <s v="UNKNOWN"/>
    <x v="2"/>
  </r>
  <r>
    <n v="300290"/>
    <n v="225000"/>
    <x v="2"/>
    <x v="114"/>
    <x v="8"/>
    <s v="DELEGATE AGENCY"/>
    <s v="UNKNOWN"/>
    <x v="2"/>
  </r>
  <r>
    <n v="300302"/>
    <n v="70000"/>
    <x v="1"/>
    <x v="353"/>
    <x v="12"/>
    <s v="DELEGATE AGENCY"/>
    <s v="UNKNOWN"/>
    <x v="2"/>
  </r>
  <r>
    <n v="300308"/>
    <n v="70000"/>
    <x v="1"/>
    <x v="347"/>
    <x v="12"/>
    <s v="DELEGATE AGENCY"/>
    <s v="UNKNOWN"/>
    <x v="2"/>
  </r>
  <r>
    <n v="300312"/>
    <n v="136468"/>
    <x v="1"/>
    <x v="366"/>
    <x v="12"/>
    <s v="DELEGATE AGENCY"/>
    <s v="UNKNOWN"/>
    <x v="2"/>
  </r>
  <r>
    <n v="300314"/>
    <n v="281534"/>
    <x v="1"/>
    <x v="216"/>
    <x v="12"/>
    <s v="DELEGATE AGENCY"/>
    <s v="UNKNOWN"/>
    <x v="2"/>
  </r>
  <r>
    <n v="300315"/>
    <n v="75000"/>
    <x v="2"/>
    <x v="314"/>
    <x v="12"/>
    <s v="DELEGATE AGENCY"/>
    <s v="UNKNOWN"/>
    <x v="2"/>
  </r>
  <r>
    <n v="300317"/>
    <n v="139167"/>
    <x v="1"/>
    <x v="315"/>
    <x v="12"/>
    <s v="DELEGATE AGENCY"/>
    <s v="UNKNOWN"/>
    <x v="2"/>
  </r>
  <r>
    <n v="300319"/>
    <n v="300000"/>
    <x v="1"/>
    <x v="302"/>
    <x v="8"/>
    <s v="DELEGATE AGENCY"/>
    <s v="UNKNOWN"/>
    <x v="2"/>
  </r>
  <r>
    <n v="300324"/>
    <n v="200000"/>
    <x v="2"/>
    <x v="330"/>
    <x v="8"/>
    <s v="DELEGATE AGENCY"/>
    <s v="UNKNOWN"/>
    <x v="2"/>
  </r>
  <r>
    <n v="300333"/>
    <n v="200000"/>
    <x v="1"/>
    <x v="227"/>
    <x v="8"/>
    <s v="DELEGATE AGENCY"/>
    <s v="UNKNOWN"/>
    <x v="2"/>
  </r>
  <r>
    <n v="300334"/>
    <n v="61901"/>
    <x v="1"/>
    <x v="114"/>
    <x v="12"/>
    <s v="DELEGATE AGENCY"/>
    <s v="UNKNOWN"/>
    <x v="2"/>
  </r>
  <r>
    <n v="300374"/>
    <n v="41394.400000000001"/>
    <x v="1"/>
    <x v="301"/>
    <x v="12"/>
    <s v="DELEGATE AGENCY"/>
    <s v="UNKNOWN"/>
    <x v="2"/>
  </r>
  <r>
    <n v="300375"/>
    <n v="151468.9"/>
    <x v="4"/>
    <x v="301"/>
    <x v="12"/>
    <s v="DELEGATE AGENCY"/>
    <s v="UNKNOWN"/>
    <x v="2"/>
  </r>
  <r>
    <n v="300376"/>
    <n v="33980"/>
    <x v="1"/>
    <x v="294"/>
    <x v="12"/>
    <s v="DELEGATE AGENCY"/>
    <s v="UNKNOWN"/>
    <x v="2"/>
  </r>
  <r>
    <n v="300419"/>
    <n v="13984"/>
    <x v="4"/>
    <x v="335"/>
    <x v="12"/>
    <s v="DELEGATE AGENCY"/>
    <s v="UNKNOWN"/>
    <x v="2"/>
  </r>
  <r>
    <n v="30042"/>
    <n v="3669779.8"/>
    <x v="4"/>
    <x v="254"/>
    <x v="13"/>
    <s v="COMMODITIES"/>
    <s v="BID"/>
    <x v="0"/>
  </r>
  <r>
    <n v="300436"/>
    <n v="125000"/>
    <x v="0"/>
    <x v="1290"/>
    <x v="8"/>
    <s v="DELEGATE AGENCY"/>
    <s v="UNKNOWN"/>
    <x v="2"/>
  </r>
  <r>
    <n v="300455"/>
    <n v="240483"/>
    <x v="1"/>
    <x v="19"/>
    <x v="8"/>
    <s v="DELEGATE AGENCY"/>
    <s v="UNKNOWN"/>
    <x v="2"/>
  </r>
  <r>
    <n v="300541"/>
    <n v="151470"/>
    <x v="1"/>
    <x v="114"/>
    <x v="12"/>
    <s v="DELEGATE AGENCY"/>
    <s v="UNKNOWN"/>
    <x v="2"/>
  </r>
  <r>
    <n v="300542"/>
    <n v="1006000"/>
    <x v="1"/>
    <x v="343"/>
    <x v="12"/>
    <s v="DELEGATE AGENCY"/>
    <s v="UNKNOWN"/>
    <x v="2"/>
  </r>
  <r>
    <n v="300543"/>
    <n v="40029"/>
    <x v="0"/>
    <x v="114"/>
    <x v="12"/>
    <s v="DELEGATE AGENCY"/>
    <s v="UNKNOWN"/>
    <x v="2"/>
  </r>
  <r>
    <n v="300546"/>
    <n v="71085"/>
    <x v="4"/>
    <x v="114"/>
    <x v="12"/>
    <s v="DELEGATE AGENCY"/>
    <s v="UNKNOWN"/>
    <x v="2"/>
  </r>
  <r>
    <n v="300555"/>
    <n v="916502"/>
    <x v="1"/>
    <x v="306"/>
    <x v="12"/>
    <s v="DELEGATE AGENCY"/>
    <s v="UNKNOWN"/>
    <x v="2"/>
  </r>
  <r>
    <n v="300563"/>
    <n v="70000"/>
    <x v="2"/>
    <x v="345"/>
    <x v="12"/>
    <s v="DELEGATE AGENCY"/>
    <s v="UNKNOWN"/>
    <x v="2"/>
  </r>
  <r>
    <n v="300569"/>
    <n v="45000"/>
    <x v="1"/>
    <x v="114"/>
    <x v="12"/>
    <s v="DELEGATE AGENCY"/>
    <s v="UNKNOWN"/>
    <x v="2"/>
  </r>
  <r>
    <n v="300570"/>
    <n v="82630"/>
    <x v="4"/>
    <x v="324"/>
    <x v="12"/>
    <s v="DELEGATE AGENCY"/>
    <s v="UNKNOWN"/>
    <x v="2"/>
  </r>
  <r>
    <n v="300571"/>
    <n v="41340"/>
    <x v="1"/>
    <x v="114"/>
    <x v="12"/>
    <s v="DELEGATE AGENCY"/>
    <s v="UNKNOWN"/>
    <x v="2"/>
  </r>
  <r>
    <n v="300713"/>
    <n v="900000"/>
    <x v="4"/>
    <x v="189"/>
    <x v="12"/>
    <s v="DELEGATE AGENCY"/>
    <s v="UNKNOWN"/>
    <x v="2"/>
  </r>
  <r>
    <n v="300727"/>
    <n v="525000"/>
    <x v="2"/>
    <x v="281"/>
    <x v="8"/>
    <s v="DELEGATE AGENCY"/>
    <s v="UNKNOWN"/>
    <x v="2"/>
  </r>
  <r>
    <n v="300824"/>
    <n v="126111"/>
    <x v="2"/>
    <x v="140"/>
    <x v="8"/>
    <s v="DELEGATE AGENCY"/>
    <s v="RFP"/>
    <x v="2"/>
  </r>
  <r>
    <n v="300842"/>
    <n v="518052"/>
    <x v="1"/>
    <x v="288"/>
    <x v="8"/>
    <s v="DELEGATE AGENCY"/>
    <s v="UNKNOWN"/>
    <x v="2"/>
  </r>
  <r>
    <n v="30085"/>
    <n v="40000"/>
    <x v="2"/>
    <x v="160"/>
    <x v="5"/>
    <s v="COMMODITIES"/>
    <s v="BID"/>
    <x v="1"/>
  </r>
  <r>
    <n v="300882"/>
    <n v="1719211.3"/>
    <x v="4"/>
    <x v="642"/>
    <x v="14"/>
    <s v="SOFTWARE"/>
    <s v="JOINT PURCHASE"/>
    <x v="2"/>
  </r>
  <r>
    <n v="300892"/>
    <n v="221085.3"/>
    <x v="0"/>
    <x v="642"/>
    <x v="14"/>
    <s v="SOFTWARE"/>
    <s v="JOINT PURCHASE"/>
    <x v="2"/>
  </r>
  <r>
    <n v="300900"/>
    <n v="73864.800000000003"/>
    <x v="1"/>
    <x v="642"/>
    <x v="14"/>
    <s v="SOFTWARE"/>
    <s v="JOINT PURCHASE"/>
    <x v="2"/>
  </r>
  <r>
    <n v="300950"/>
    <n v="54000"/>
    <x v="1"/>
    <x v="62"/>
    <x v="12"/>
    <s v="DELEGATE AGENCY"/>
    <s v="UNKNOWN"/>
    <x v="2"/>
  </r>
  <r>
    <n v="300951"/>
    <n v="297000"/>
    <x v="1"/>
    <x v="62"/>
    <x v="12"/>
    <s v="DELEGATE AGENCY"/>
    <s v="UNKNOWN"/>
    <x v="2"/>
  </r>
  <r>
    <n v="300952"/>
    <n v="897000"/>
    <x v="2"/>
    <x v="593"/>
    <x v="12"/>
    <s v="DELEGATE AGENCY"/>
    <s v="UNKNOWN"/>
    <x v="2"/>
  </r>
  <r>
    <n v="300953"/>
    <n v="207000"/>
    <x v="2"/>
    <x v="593"/>
    <x v="12"/>
    <s v="DELEGATE AGENCY"/>
    <s v="UNKNOWN"/>
    <x v="2"/>
  </r>
  <r>
    <n v="300954"/>
    <n v="185760"/>
    <x v="1"/>
    <x v="25"/>
    <x v="12"/>
    <s v="DELEGATE AGENCY"/>
    <s v="UNKNOWN"/>
    <x v="2"/>
  </r>
  <r>
    <n v="300955"/>
    <n v="897000"/>
    <x v="1"/>
    <x v="593"/>
    <x v="12"/>
    <s v="DELEGATE AGENCY"/>
    <s v="UNKNOWN"/>
    <x v="2"/>
  </r>
  <r>
    <n v="300956"/>
    <n v="103500"/>
    <x v="2"/>
    <x v="593"/>
    <x v="12"/>
    <s v="DELEGATE AGENCY"/>
    <s v="UNKNOWN"/>
    <x v="2"/>
  </r>
  <r>
    <n v="300959"/>
    <n v="10509"/>
    <x v="1"/>
    <x v="44"/>
    <x v="8"/>
    <s v="DELEGATE AGENCY"/>
    <s v="UNKNOWN"/>
    <x v="2"/>
  </r>
  <r>
    <n v="300960"/>
    <n v="33379.4"/>
    <x v="4"/>
    <x v="25"/>
    <x v="8"/>
    <s v="DELEGATE AGENCY"/>
    <s v="UNKNOWN"/>
    <x v="2"/>
  </r>
  <r>
    <n v="300961"/>
    <n v="134957.5"/>
    <x v="4"/>
    <x v="167"/>
    <x v="8"/>
    <s v="DELEGATE AGENCY"/>
    <s v="UNKNOWN"/>
    <x v="2"/>
  </r>
  <r>
    <n v="300962"/>
    <n v="355837"/>
    <x v="1"/>
    <x v="281"/>
    <x v="8"/>
    <s v="DELEGATE AGENCY"/>
    <s v="UNKNOWN"/>
    <x v="2"/>
  </r>
  <r>
    <n v="300963"/>
    <n v="70147.3"/>
    <x v="2"/>
    <x v="167"/>
    <x v="8"/>
    <s v="DELEGATE AGENCY"/>
    <s v="UNKNOWN"/>
    <x v="2"/>
  </r>
  <r>
    <n v="300964"/>
    <n v="15742"/>
    <x v="1"/>
    <x v="42"/>
    <x v="8"/>
    <s v="DELEGATE AGENCY"/>
    <s v="UNKNOWN"/>
    <x v="2"/>
  </r>
  <r>
    <n v="300965"/>
    <n v="60955.5"/>
    <x v="4"/>
    <x v="40"/>
    <x v="8"/>
    <s v="DELEGATE AGENCY"/>
    <s v="UNKNOWN"/>
    <x v="2"/>
  </r>
  <r>
    <n v="300966"/>
    <n v="33863"/>
    <x v="1"/>
    <x v="27"/>
    <x v="8"/>
    <s v="DELEGATE AGENCY"/>
    <s v="UNKNOWN"/>
    <x v="2"/>
  </r>
  <r>
    <n v="300967"/>
    <n v="157500"/>
    <x v="4"/>
    <x v="26"/>
    <x v="8"/>
    <s v="DELEGATE AGENCY"/>
    <s v="UNKNOWN"/>
    <x v="2"/>
  </r>
  <r>
    <n v="300968"/>
    <n v="11117.8"/>
    <x v="1"/>
    <x v="46"/>
    <x v="8"/>
    <s v="DELEGATE AGENCY"/>
    <s v="UNKNOWN"/>
    <x v="2"/>
  </r>
  <r>
    <n v="300973"/>
    <n v="8019555"/>
    <x v="4"/>
    <x v="114"/>
    <x v="8"/>
    <s v="DELEGATE AGENCY"/>
    <s v="RFP"/>
    <x v="2"/>
  </r>
  <r>
    <n v="300974"/>
    <n v="6419555"/>
    <x v="0"/>
    <x v="547"/>
    <x v="8"/>
    <s v="DELEGATE AGENCY"/>
    <s v="RFP"/>
    <x v="2"/>
  </r>
  <r>
    <n v="300976"/>
    <n v="1376968.2"/>
    <x v="0"/>
    <x v="1739"/>
    <x v="12"/>
    <s v="DELEGATE AGENCY"/>
    <s v="UNKNOWN"/>
    <x v="2"/>
  </r>
  <r>
    <n v="300977"/>
    <n v="145573"/>
    <x v="0"/>
    <x v="66"/>
    <x v="12"/>
    <s v="DELEGATE AGENCY"/>
    <s v="UNKNOWN"/>
    <x v="2"/>
  </r>
  <r>
    <n v="300982"/>
    <n v="50000"/>
    <x v="1"/>
    <x v="128"/>
    <x v="8"/>
    <s v="DELEGATE AGENCY"/>
    <s v="UNKNOWN"/>
    <x v="2"/>
  </r>
  <r>
    <n v="301010"/>
    <n v="20533"/>
    <x v="1"/>
    <x v="61"/>
    <x v="12"/>
    <s v="DELEGATE AGENCY"/>
    <s v="UNKNOWN"/>
    <x v="2"/>
  </r>
  <r>
    <n v="301011"/>
    <n v="29466"/>
    <x v="4"/>
    <x v="61"/>
    <x v="12"/>
    <s v="DELEGATE AGENCY"/>
    <s v="UNKNOWN"/>
    <x v="2"/>
  </r>
  <r>
    <n v="301012"/>
    <n v="84161"/>
    <x v="4"/>
    <x v="336"/>
    <x v="12"/>
    <s v="DELEGATE AGENCY"/>
    <s v="UNKNOWN"/>
    <x v="2"/>
  </r>
  <r>
    <n v="301075"/>
    <n v="1414875"/>
    <x v="1"/>
    <x v="2276"/>
    <x v="37"/>
    <s v="PRO SERV CONSULTING $250,000orABOVE"/>
    <s v="MASTER AGREEMENT"/>
    <x v="2"/>
  </r>
  <r>
    <n v="301077"/>
    <n v="1968750"/>
    <x v="0"/>
    <x v="2277"/>
    <x v="37"/>
    <s v="PRO SERV CONSULTING $250,000orABOVE"/>
    <s v="MASTER AGREEMENT"/>
    <x v="2"/>
  </r>
  <r>
    <n v="301078"/>
    <n v="90000"/>
    <x v="0"/>
    <x v="788"/>
    <x v="20"/>
    <s v="COMPTROLLER-OTHER"/>
    <s v="UNKNOWN"/>
    <x v="2"/>
  </r>
  <r>
    <n v="301079"/>
    <n v="3219688"/>
    <x v="1"/>
    <x v="2278"/>
    <x v="37"/>
    <s v="PRO SERV CONSULTING $250,000orABOVE"/>
    <s v="MASTER AGREEMENT"/>
    <x v="2"/>
  </r>
  <r>
    <n v="301082"/>
    <n v="90000"/>
    <x v="0"/>
    <x v="715"/>
    <x v="20"/>
    <s v="COMPTROLLER-OTHER"/>
    <s v="UNKNOWN"/>
    <x v="2"/>
  </r>
  <r>
    <n v="301083"/>
    <n v="80000"/>
    <x v="1"/>
    <x v="805"/>
    <x v="20"/>
    <s v="COMPTROLLER-OTHER"/>
    <s v="UNKNOWN"/>
    <x v="2"/>
  </r>
  <r>
    <n v="301084"/>
    <n v="60000"/>
    <x v="1"/>
    <x v="731"/>
    <x v="20"/>
    <s v="COMPTROLLER-OTHER"/>
    <s v="UNKNOWN"/>
    <x v="2"/>
  </r>
  <r>
    <n v="301085"/>
    <n v="80000"/>
    <x v="1"/>
    <x v="640"/>
    <x v="20"/>
    <s v="COMPTROLLER-OTHER"/>
    <s v="UNKNOWN"/>
    <x v="2"/>
  </r>
  <r>
    <n v="301088"/>
    <n v="80000"/>
    <x v="1"/>
    <x v="853"/>
    <x v="20"/>
    <s v="COMPTROLLER-OTHER"/>
    <s v="UNKNOWN"/>
    <x v="2"/>
  </r>
  <r>
    <n v="301101"/>
    <n v="70000"/>
    <x v="1"/>
    <x v="2279"/>
    <x v="20"/>
    <s v="COMPTROLLER-OTHER"/>
    <s v="UNKNOWN"/>
    <x v="2"/>
  </r>
  <r>
    <n v="301105"/>
    <n v="60000"/>
    <x v="1"/>
    <x v="801"/>
    <x v="20"/>
    <s v="COMPTROLLER-OTHER"/>
    <s v="UNKNOWN"/>
    <x v="2"/>
  </r>
  <r>
    <n v="301106"/>
    <n v="90000"/>
    <x v="1"/>
    <x v="723"/>
    <x v="20"/>
    <s v="COMPTROLLER-OTHER"/>
    <s v="UNKNOWN"/>
    <x v="2"/>
  </r>
  <r>
    <n v="301111"/>
    <n v="80000"/>
    <x v="1"/>
    <x v="752"/>
    <x v="20"/>
    <s v="COMPTROLLER-OTHER"/>
    <s v="UNKNOWN"/>
    <x v="2"/>
  </r>
  <r>
    <n v="301114"/>
    <n v="90000"/>
    <x v="1"/>
    <x v="1351"/>
    <x v="20"/>
    <s v="COMPTROLLER-OTHER"/>
    <s v="UNKNOWN"/>
    <x v="2"/>
  </r>
  <r>
    <n v="301130"/>
    <n v="480000"/>
    <x v="1"/>
    <x v="2280"/>
    <x v="20"/>
    <s v="COMPTROLLER-OTHER"/>
    <s v="UNKNOWN"/>
    <x v="2"/>
  </r>
  <r>
    <n v="301131"/>
    <n v="1919400"/>
    <x v="2"/>
    <x v="156"/>
    <x v="2"/>
    <s v="COMPTROLLER-OTHER"/>
    <s v="UNKNOWN"/>
    <x v="2"/>
  </r>
  <r>
    <n v="301133"/>
    <n v="71000"/>
    <x v="0"/>
    <x v="1540"/>
    <x v="20"/>
    <s v="COMPTROLLER-OTHER"/>
    <s v="UNKNOWN"/>
    <x v="2"/>
  </r>
  <r>
    <n v="301138"/>
    <n v="100000"/>
    <x v="1"/>
    <x v="387"/>
    <x v="2"/>
    <s v="COMPTROLLER-OTHER"/>
    <s v="UNKNOWN"/>
    <x v="2"/>
  </r>
  <r>
    <n v="301144"/>
    <n v="100000"/>
    <x v="1"/>
    <x v="1230"/>
    <x v="2"/>
    <s v="COMPTROLLER-OTHER"/>
    <s v="UNKNOWN"/>
    <x v="2"/>
  </r>
  <r>
    <n v="301147"/>
    <n v="250000"/>
    <x v="1"/>
    <x v="2281"/>
    <x v="2"/>
    <s v="COMPTROLLER-OTHER"/>
    <s v="UNKNOWN"/>
    <x v="2"/>
  </r>
  <r>
    <n v="301150"/>
    <n v="134080"/>
    <x v="2"/>
    <x v="304"/>
    <x v="12"/>
    <s v="DELEGATE AGENCY"/>
    <s v="UNKNOWN"/>
    <x v="2"/>
  </r>
  <r>
    <n v="301151"/>
    <n v="70000"/>
    <x v="1"/>
    <x v="345"/>
    <x v="12"/>
    <s v="DELEGATE AGENCY"/>
    <s v="UNKNOWN"/>
    <x v="2"/>
  </r>
  <r>
    <n v="301153"/>
    <n v="481800"/>
    <x v="1"/>
    <x v="305"/>
    <x v="12"/>
    <s v="DELEGATE AGENCY"/>
    <s v="UNKNOWN"/>
    <x v="2"/>
  </r>
  <r>
    <n v="301154"/>
    <n v="90000"/>
    <x v="2"/>
    <x v="364"/>
    <x v="12"/>
    <s v="DELEGATE AGENCY"/>
    <s v="UNKNOWN"/>
    <x v="2"/>
  </r>
  <r>
    <n v="301158"/>
    <n v="60000"/>
    <x v="1"/>
    <x v="324"/>
    <x v="12"/>
    <s v="DELEGATE AGENCY"/>
    <s v="UNKNOWN"/>
    <x v="2"/>
  </r>
  <r>
    <n v="301161"/>
    <n v="112745"/>
    <x v="1"/>
    <x v="59"/>
    <x v="12"/>
    <s v="DELEGATE AGENCY"/>
    <s v="UNKNOWN"/>
    <x v="2"/>
  </r>
  <r>
    <n v="301163"/>
    <n v="204438"/>
    <x v="1"/>
    <x v="292"/>
    <x v="12"/>
    <s v="DELEGATE AGENCY"/>
    <s v="UNKNOWN"/>
    <x v="2"/>
  </r>
  <r>
    <n v="301165"/>
    <n v="86400"/>
    <x v="1"/>
    <x v="348"/>
    <x v="12"/>
    <s v="DELEGATE AGENCY"/>
    <s v="UNKNOWN"/>
    <x v="2"/>
  </r>
  <r>
    <n v="301169"/>
    <n v="160000"/>
    <x v="1"/>
    <x v="197"/>
    <x v="2"/>
    <s v="COMPTROLLER-OTHER"/>
    <s v="UNKNOWN"/>
    <x v="2"/>
  </r>
  <r>
    <n v="301184"/>
    <n v="500000"/>
    <x v="1"/>
    <x v="525"/>
    <x v="8"/>
    <s v="DELEGATE AGENCY"/>
    <s v="UNKNOWN"/>
    <x v="2"/>
  </r>
  <r>
    <n v="301185"/>
    <n v="325000"/>
    <x v="2"/>
    <x v="281"/>
    <x v="8"/>
    <s v="DELEGATE AGENCY"/>
    <s v="UNKNOWN"/>
    <x v="2"/>
  </r>
  <r>
    <n v="301186"/>
    <n v="153000"/>
    <x v="2"/>
    <x v="201"/>
    <x v="8"/>
    <s v="DELEGATE AGENCY"/>
    <s v="UNKNOWN"/>
    <x v="2"/>
  </r>
  <r>
    <n v="301187"/>
    <n v="50000"/>
    <x v="1"/>
    <x v="201"/>
    <x v="8"/>
    <s v="DELEGATE AGENCY"/>
    <s v="UNKNOWN"/>
    <x v="2"/>
  </r>
  <r>
    <n v="301189"/>
    <n v="19765.599999999999"/>
    <x v="1"/>
    <x v="114"/>
    <x v="8"/>
    <s v="DELEGATE AGENCY"/>
    <s v="UNKNOWN"/>
    <x v="2"/>
  </r>
  <r>
    <n v="301190"/>
    <n v="200000"/>
    <x v="4"/>
    <x v="188"/>
    <x v="8"/>
    <s v="DELEGATE AGENCY"/>
    <s v="UNKNOWN"/>
    <x v="2"/>
  </r>
  <r>
    <n v="301191"/>
    <n v="8175"/>
    <x v="1"/>
    <x v="41"/>
    <x v="8"/>
    <s v="DELEGATE AGENCY"/>
    <s v="UNKNOWN"/>
    <x v="2"/>
  </r>
  <r>
    <n v="301192"/>
    <n v="110516.6"/>
    <x v="3"/>
    <x v="169"/>
    <x v="8"/>
    <s v="DELEGATE AGENCY"/>
    <s v="UNKNOWN"/>
    <x v="2"/>
  </r>
  <r>
    <n v="301193"/>
    <n v="81270"/>
    <x v="1"/>
    <x v="27"/>
    <x v="8"/>
    <s v="DELEGATE AGENCY"/>
    <s v="UNKNOWN"/>
    <x v="2"/>
  </r>
  <r>
    <n v="301195"/>
    <n v="49050.5"/>
    <x v="1"/>
    <x v="437"/>
    <x v="8"/>
    <s v="DELEGATE AGENCY"/>
    <s v="UNKNOWN"/>
    <x v="2"/>
  </r>
  <r>
    <n v="301197"/>
    <n v="250000"/>
    <x v="4"/>
    <x v="815"/>
    <x v="2"/>
    <s v="COMPTROLLER-OTHER"/>
    <s v="UNKNOWN"/>
    <x v="2"/>
  </r>
  <r>
    <n v="301198"/>
    <n v="200392.5"/>
    <x v="2"/>
    <x v="2282"/>
    <x v="2"/>
    <s v="COMPTROLLER-OTHER"/>
    <s v="UNKNOWN"/>
    <x v="2"/>
  </r>
  <r>
    <n v="301200"/>
    <n v="215000"/>
    <x v="1"/>
    <x v="1182"/>
    <x v="17"/>
    <s v="COMPTROLLER-OTHER"/>
    <s v="UNKNOWN"/>
    <x v="2"/>
  </r>
  <r>
    <n v="301201"/>
    <n v="71000"/>
    <x v="1"/>
    <x v="1667"/>
    <x v="20"/>
    <s v="COMPTROLLER-OTHER"/>
    <s v="UNKNOWN"/>
    <x v="2"/>
  </r>
  <r>
    <n v="301204"/>
    <n v="71000"/>
    <x v="1"/>
    <x v="1717"/>
    <x v="20"/>
    <s v="COMPTROLLER-OTHER"/>
    <s v="UNKNOWN"/>
    <x v="2"/>
  </r>
  <r>
    <n v="301205"/>
    <n v="71000"/>
    <x v="1"/>
    <x v="2283"/>
    <x v="20"/>
    <s v="COMPTROLLER-OTHER"/>
    <s v="UNKNOWN"/>
    <x v="2"/>
  </r>
  <r>
    <n v="301207"/>
    <n v="162783"/>
    <x v="1"/>
    <x v="1034"/>
    <x v="6"/>
    <s v="COMPTROLLER-OTHER"/>
    <s v="UNKNOWN"/>
    <x v="2"/>
  </r>
  <r>
    <n v="301213"/>
    <n v="350000"/>
    <x v="1"/>
    <x v="2284"/>
    <x v="20"/>
    <s v="COMPTROLLER-OTHER"/>
    <s v="UNKNOWN"/>
    <x v="2"/>
  </r>
  <r>
    <n v="301225"/>
    <n v="3000"/>
    <x v="2"/>
    <x v="1990"/>
    <x v="20"/>
    <s v="COMPTROLLER-OTHER"/>
    <s v="UNKNOWN"/>
    <x v="2"/>
  </r>
  <r>
    <n v="301252"/>
    <n v="176702.7"/>
    <x v="3"/>
    <x v="642"/>
    <x v="14"/>
    <s v="SOFTWARE"/>
    <s v="JOINT PURCHASE"/>
    <x v="2"/>
  </r>
  <r>
    <n v="301278"/>
    <n v="50000"/>
    <x v="1"/>
    <x v="675"/>
    <x v="20"/>
    <s v="COMPTROLLER-OTHER"/>
    <s v="UNKNOWN"/>
    <x v="2"/>
  </r>
  <r>
    <n v="301313"/>
    <n v="414000"/>
    <x v="1"/>
    <x v="593"/>
    <x v="12"/>
    <s v="DELEGATE AGENCY"/>
    <s v="UNKNOWN"/>
    <x v="2"/>
  </r>
  <r>
    <n v="301394"/>
    <n v="58717"/>
    <x v="2"/>
    <x v="48"/>
    <x v="8"/>
    <s v="DELEGATE AGENCY"/>
    <s v="UNKNOWN"/>
    <x v="2"/>
  </r>
  <r>
    <n v="301466"/>
    <n v="13000"/>
    <x v="1"/>
    <x v="289"/>
    <x v="12"/>
    <s v="DELEGATE AGENCY"/>
    <s v="UNKNOWN"/>
    <x v="2"/>
  </r>
  <r>
    <n v="301467"/>
    <n v="86400"/>
    <x v="4"/>
    <x v="91"/>
    <x v="12"/>
    <s v="DELEGATE AGENCY"/>
    <s v="UNKNOWN"/>
    <x v="2"/>
  </r>
  <r>
    <n v="301484"/>
    <n v="66662"/>
    <x v="1"/>
    <x v="59"/>
    <x v="8"/>
    <s v="DELEGATE AGENCY"/>
    <s v="RFP"/>
    <x v="2"/>
  </r>
  <r>
    <n v="301536"/>
    <n v="6488000"/>
    <x v="1"/>
    <x v="12"/>
    <x v="5"/>
    <s v="CONSTRUCTION-LARGE $3MILLIONorABOVE"/>
    <s v="BID"/>
    <x v="2"/>
  </r>
  <r>
    <n v="301539"/>
    <n v="36364"/>
    <x v="0"/>
    <x v="392"/>
    <x v="21"/>
    <s v="DELEGATE AGENCY"/>
    <s v="UNKNOWN"/>
    <x v="2"/>
  </r>
  <r>
    <n v="301540"/>
    <n v="40000"/>
    <x v="4"/>
    <x v="222"/>
    <x v="21"/>
    <s v="DELEGATE AGENCY"/>
    <s v="UNKNOWN"/>
    <x v="2"/>
  </r>
  <r>
    <n v="301544"/>
    <n v="61000"/>
    <x v="4"/>
    <x v="342"/>
    <x v="12"/>
    <s v="DELEGATE AGENCY"/>
    <s v="UNKNOWN"/>
    <x v="2"/>
  </r>
  <r>
    <n v="301545"/>
    <n v="16106"/>
    <x v="1"/>
    <x v="114"/>
    <x v="12"/>
    <s v="DELEGATE AGENCY"/>
    <s v="UNKNOWN"/>
    <x v="2"/>
  </r>
  <r>
    <n v="301546"/>
    <n v="13632"/>
    <x v="4"/>
    <x v="114"/>
    <x v="12"/>
    <s v="DELEGATE AGENCY"/>
    <s v="UNKNOWN"/>
    <x v="2"/>
  </r>
  <r>
    <n v="301547"/>
    <n v="32084"/>
    <x v="4"/>
    <x v="114"/>
    <x v="12"/>
    <s v="DELEGATE AGENCY"/>
    <s v="UNKNOWN"/>
    <x v="2"/>
  </r>
  <r>
    <n v="301548"/>
    <n v="54000"/>
    <x v="4"/>
    <x v="572"/>
    <x v="12"/>
    <s v="DELEGATE AGENCY"/>
    <s v="UNKNOWN"/>
    <x v="2"/>
  </r>
  <r>
    <n v="301549"/>
    <n v="162000"/>
    <x v="1"/>
    <x v="62"/>
    <x v="12"/>
    <s v="DELEGATE AGENCY"/>
    <s v="UNKNOWN"/>
    <x v="2"/>
  </r>
  <r>
    <n v="301551"/>
    <n v="81000"/>
    <x v="1"/>
    <x v="169"/>
    <x v="12"/>
    <s v="DELEGATE AGENCY"/>
    <s v="UNKNOWN"/>
    <x v="2"/>
  </r>
  <r>
    <n v="301552"/>
    <n v="54000"/>
    <x v="1"/>
    <x v="448"/>
    <x v="12"/>
    <s v="DELEGATE AGENCY"/>
    <s v="UNKNOWN"/>
    <x v="2"/>
  </r>
  <r>
    <n v="301553"/>
    <n v="81000"/>
    <x v="1"/>
    <x v="592"/>
    <x v="12"/>
    <s v="DELEGATE AGENCY"/>
    <s v="UNKNOWN"/>
    <x v="2"/>
  </r>
  <r>
    <n v="301554"/>
    <n v="900000"/>
    <x v="1"/>
    <x v="302"/>
    <x v="12"/>
    <s v="DELEGATE AGENCY"/>
    <s v="UNKNOWN"/>
    <x v="2"/>
  </r>
  <r>
    <n v="301555"/>
    <n v="54000"/>
    <x v="2"/>
    <x v="593"/>
    <x v="12"/>
    <s v="DELEGATE AGENCY"/>
    <s v="UNKNOWN"/>
    <x v="2"/>
  </r>
  <r>
    <n v="301556"/>
    <n v="54000"/>
    <x v="1"/>
    <x v="62"/>
    <x v="12"/>
    <s v="DELEGATE AGENCY"/>
    <s v="UNKNOWN"/>
    <x v="2"/>
  </r>
  <r>
    <n v="301557"/>
    <n v="900000"/>
    <x v="1"/>
    <x v="593"/>
    <x v="12"/>
    <s v="DELEGATE AGENCY"/>
    <s v="UNKNOWN"/>
    <x v="2"/>
  </r>
  <r>
    <n v="301558"/>
    <n v="270000"/>
    <x v="2"/>
    <x v="446"/>
    <x v="12"/>
    <s v="DELEGATE AGENCY"/>
    <s v="UNKNOWN"/>
    <x v="2"/>
  </r>
  <r>
    <n v="301559"/>
    <n v="900000"/>
    <x v="2"/>
    <x v="503"/>
    <x v="12"/>
    <s v="DELEGATE AGENCY"/>
    <s v="RFP"/>
    <x v="2"/>
  </r>
  <r>
    <n v="301560"/>
    <n v="12782"/>
    <x v="2"/>
    <x v="114"/>
    <x v="12"/>
    <s v="DELEGATE AGENCY"/>
    <s v="UNKNOWN"/>
    <x v="2"/>
  </r>
  <r>
    <n v="301562"/>
    <n v="5166"/>
    <x v="4"/>
    <x v="114"/>
    <x v="12"/>
    <s v="DELEGATE AGENCY"/>
    <s v="UNKNOWN"/>
    <x v="2"/>
  </r>
  <r>
    <n v="301563"/>
    <n v="69000"/>
    <x v="3"/>
    <x v="721"/>
    <x v="12"/>
    <s v="DELEGATE AGENCY"/>
    <s v="UNKNOWN"/>
    <x v="2"/>
  </r>
  <r>
    <n v="301564"/>
    <n v="138000"/>
    <x v="1"/>
    <x v="346"/>
    <x v="12"/>
    <s v="DELEGATE AGENCY"/>
    <s v="UNKNOWN"/>
    <x v="2"/>
  </r>
  <r>
    <n v="301565"/>
    <n v="138000"/>
    <x v="1"/>
    <x v="201"/>
    <x v="12"/>
    <s v="DELEGATE AGENCY"/>
    <s v="UNKNOWN"/>
    <x v="2"/>
  </r>
  <r>
    <n v="301570"/>
    <n v="25000"/>
    <x v="1"/>
    <x v="969"/>
    <x v="21"/>
    <s v="DELEGATE AGENCY"/>
    <s v="UNKNOWN"/>
    <x v="2"/>
  </r>
  <r>
    <n v="301571"/>
    <n v="60000"/>
    <x v="4"/>
    <x v="392"/>
    <x v="21"/>
    <s v="DELEGATE AGENCY"/>
    <s v="UNKNOWN"/>
    <x v="2"/>
  </r>
  <r>
    <n v="301576"/>
    <n v="74957.600000000006"/>
    <x v="1"/>
    <x v="61"/>
    <x v="12"/>
    <s v="DELEGATE AGENCY"/>
    <s v="UNKNOWN"/>
    <x v="2"/>
  </r>
  <r>
    <n v="301598"/>
    <n v="138000"/>
    <x v="1"/>
    <x v="446"/>
    <x v="12"/>
    <s v="DELEGATE AGENCY"/>
    <s v="UNKNOWN"/>
    <x v="2"/>
  </r>
  <r>
    <n v="301600"/>
    <n v="69000"/>
    <x v="1"/>
    <x v="585"/>
    <x v="12"/>
    <s v="DELEGATE AGENCY"/>
    <s v="UNKNOWN"/>
    <x v="2"/>
  </r>
  <r>
    <n v="301601"/>
    <n v="27587.599999999999"/>
    <x v="1"/>
    <x v="616"/>
    <x v="12"/>
    <s v="DELEGATE AGENCY"/>
    <s v="UNKNOWN"/>
    <x v="2"/>
  </r>
  <r>
    <n v="301602"/>
    <n v="69000"/>
    <x v="4"/>
    <x v="84"/>
    <x v="12"/>
    <s v="DELEGATE AGENCY"/>
    <s v="UNKNOWN"/>
    <x v="2"/>
  </r>
  <r>
    <n v="301604"/>
    <n v="69000"/>
    <x v="1"/>
    <x v="1771"/>
    <x v="12"/>
    <s v="DELEGATE AGENCY"/>
    <s v="UNKNOWN"/>
    <x v="2"/>
  </r>
  <r>
    <n v="301645"/>
    <n v="240000"/>
    <x v="1"/>
    <x v="44"/>
    <x v="8"/>
    <s v="DELEGATE AGENCY"/>
    <s v="UNKNOWN"/>
    <x v="2"/>
  </r>
  <r>
    <n v="301646"/>
    <n v="240000"/>
    <x v="1"/>
    <x v="169"/>
    <x v="8"/>
    <s v="DELEGATE AGENCY"/>
    <s v="UNKNOWN"/>
    <x v="2"/>
  </r>
  <r>
    <n v="301650"/>
    <n v="40000"/>
    <x v="1"/>
    <x v="972"/>
    <x v="21"/>
    <s v="DELEGATE AGENCY"/>
    <s v="UNKNOWN"/>
    <x v="2"/>
  </r>
  <r>
    <n v="301651"/>
    <n v="40000"/>
    <x v="4"/>
    <x v="958"/>
    <x v="21"/>
    <s v="DELEGATE AGENCY"/>
    <s v="UNKNOWN"/>
    <x v="2"/>
  </r>
  <r>
    <n v="301653"/>
    <n v="30000"/>
    <x v="4"/>
    <x v="982"/>
    <x v="21"/>
    <s v="DELEGATE AGENCY"/>
    <s v="UNKNOWN"/>
    <x v="2"/>
  </r>
  <r>
    <n v="301654"/>
    <n v="43636"/>
    <x v="4"/>
    <x v="961"/>
    <x v="21"/>
    <s v="DELEGATE AGENCY"/>
    <s v="UNKNOWN"/>
    <x v="2"/>
  </r>
  <r>
    <n v="301657"/>
    <n v="87500"/>
    <x v="4"/>
    <x v="34"/>
    <x v="8"/>
    <s v="DELEGATE AGENCY"/>
    <s v="UNKNOWN"/>
    <x v="2"/>
  </r>
  <r>
    <n v="301663"/>
    <n v="25000"/>
    <x v="1"/>
    <x v="470"/>
    <x v="21"/>
    <s v="DELEGATE AGENCY"/>
    <s v="UNKNOWN"/>
    <x v="2"/>
  </r>
  <r>
    <n v="301677"/>
    <n v="45000"/>
    <x v="4"/>
    <x v="963"/>
    <x v="21"/>
    <s v="DELEGATE AGENCY"/>
    <s v="UNKNOWN"/>
    <x v="2"/>
  </r>
  <r>
    <n v="301716"/>
    <n v="15335"/>
    <x v="4"/>
    <x v="259"/>
    <x v="12"/>
    <s v="DELEGATE AGENCY"/>
    <s v="UNKNOWN"/>
    <x v="2"/>
  </r>
  <r>
    <n v="301727"/>
    <n v="373808.6"/>
    <x v="4"/>
    <x v="593"/>
    <x v="8"/>
    <s v="DELEGATE AGENCY"/>
    <s v="UNKNOWN"/>
    <x v="2"/>
  </r>
  <r>
    <n v="301778"/>
    <n v="70000"/>
    <x v="2"/>
    <x v="350"/>
    <x v="12"/>
    <s v="DELEGATE AGENCY"/>
    <s v="UNKNOWN"/>
    <x v="2"/>
  </r>
  <r>
    <n v="301780"/>
    <n v="90000"/>
    <x v="1"/>
    <x v="350"/>
    <x v="12"/>
    <s v="DELEGATE AGENCY"/>
    <s v="UNKNOWN"/>
    <x v="2"/>
  </r>
  <r>
    <n v="301781"/>
    <n v="70000"/>
    <x v="1"/>
    <x v="91"/>
    <x v="12"/>
    <s v="DELEGATE AGENCY"/>
    <s v="UNKNOWN"/>
    <x v="2"/>
  </r>
  <r>
    <n v="301782"/>
    <n v="90000"/>
    <x v="1"/>
    <x v="91"/>
    <x v="12"/>
    <s v="DELEGATE AGENCY"/>
    <s v="UNKNOWN"/>
    <x v="2"/>
  </r>
  <r>
    <n v="301797"/>
    <n v="157512"/>
    <x v="1"/>
    <x v="460"/>
    <x v="8"/>
    <s v="DELEGATE AGENCY"/>
    <s v="UNKNOWN"/>
    <x v="2"/>
  </r>
  <r>
    <n v="301800"/>
    <n v="75000"/>
    <x v="1"/>
    <x v="910"/>
    <x v="21"/>
    <s v="DELEGATE AGENCY"/>
    <s v="UNKNOWN"/>
    <x v="2"/>
  </r>
  <r>
    <n v="301833"/>
    <n v="69000"/>
    <x v="1"/>
    <x v="680"/>
    <x v="12"/>
    <s v="DELEGATE AGENCY"/>
    <s v="UNKNOWN"/>
    <x v="2"/>
  </r>
  <r>
    <n v="301915"/>
    <n v="77652404.900000006"/>
    <x v="1"/>
    <x v="186"/>
    <x v="0"/>
    <s v="CONSTRUCTION-GENERAL"/>
    <s v="BID"/>
    <x v="2"/>
  </r>
  <r>
    <n v="30193"/>
    <n v="650000"/>
    <x v="0"/>
    <x v="516"/>
    <x v="0"/>
    <s v="ARCH/ENGINEERING"/>
    <s v="MASTER AGREEMENT"/>
    <x v="0"/>
  </r>
  <r>
    <n v="302001"/>
    <n v="1097540"/>
    <x v="2"/>
    <x v="232"/>
    <x v="2"/>
    <s v="PRO SERV CONSULTING $250,000orABOVE"/>
    <s v="RFP"/>
    <x v="2"/>
  </r>
  <r>
    <n v="302008"/>
    <n v="59737"/>
    <x v="0"/>
    <x v="114"/>
    <x v="12"/>
    <s v="DELEGATE AGENCY"/>
    <s v="UNKNOWN"/>
    <x v="2"/>
  </r>
  <r>
    <n v="302009"/>
    <n v="156015"/>
    <x v="1"/>
    <x v="114"/>
    <x v="12"/>
    <s v="DELEGATE AGENCY"/>
    <s v="UNKNOWN"/>
    <x v="2"/>
  </r>
  <r>
    <n v="302010"/>
    <n v="100000"/>
    <x v="1"/>
    <x v="363"/>
    <x v="8"/>
    <s v="DELEGATE AGENCY"/>
    <s v="UNKNOWN"/>
    <x v="2"/>
  </r>
  <r>
    <n v="302021"/>
    <n v="1633150"/>
    <x v="1"/>
    <x v="1740"/>
    <x v="12"/>
    <s v="DELEGATE AGENCY"/>
    <s v="UNKNOWN"/>
    <x v="2"/>
  </r>
  <r>
    <n v="302024"/>
    <n v="86268.3"/>
    <x v="0"/>
    <x v="259"/>
    <x v="12"/>
    <s v="DELEGATE AGENCY"/>
    <s v="UNKNOWN"/>
    <x v="2"/>
  </r>
  <r>
    <n v="302025"/>
    <n v="20533"/>
    <x v="1"/>
    <x v="259"/>
    <x v="12"/>
    <s v="DELEGATE AGENCY"/>
    <s v="UNKNOWN"/>
    <x v="2"/>
  </r>
  <r>
    <n v="302041"/>
    <n v="25432387.5"/>
    <x v="4"/>
    <x v="274"/>
    <x v="5"/>
    <s v="CONSTRUCTION-LARGE $3MILLIONorABOVE"/>
    <s v="BID"/>
    <x v="2"/>
  </r>
  <r>
    <n v="302128"/>
    <n v="116250"/>
    <x v="0"/>
    <x v="359"/>
    <x v="12"/>
    <s v="DELEGATE AGENCY"/>
    <s v="UNKNOWN"/>
    <x v="2"/>
  </r>
  <r>
    <n v="302130"/>
    <n v="61926"/>
    <x v="1"/>
    <x v="582"/>
    <x v="8"/>
    <s v="DELEGATE AGENCY"/>
    <s v="UNKNOWN"/>
    <x v="2"/>
  </r>
  <r>
    <n v="302131"/>
    <n v="78017.899999999994"/>
    <x v="1"/>
    <x v="84"/>
    <x v="8"/>
    <s v="DELEGATE AGENCY"/>
    <s v="UNKNOWN"/>
    <x v="2"/>
  </r>
  <r>
    <n v="302133"/>
    <n v="240000"/>
    <x v="1"/>
    <x v="228"/>
    <x v="8"/>
    <s v="DELEGATE AGENCY"/>
    <s v="UNKNOWN"/>
    <x v="2"/>
  </r>
  <r>
    <n v="302134"/>
    <n v="240000"/>
    <x v="1"/>
    <x v="279"/>
    <x v="8"/>
    <s v="DELEGATE AGENCY"/>
    <s v="UNKNOWN"/>
    <x v="2"/>
  </r>
  <r>
    <n v="302135"/>
    <n v="1080198.2"/>
    <x v="1"/>
    <x v="28"/>
    <x v="8"/>
    <s v="DELEGATE AGENCY"/>
    <s v="UNKNOWN"/>
    <x v="2"/>
  </r>
  <r>
    <n v="302136"/>
    <n v="302948.7"/>
    <x v="0"/>
    <x v="260"/>
    <x v="8"/>
    <s v="DELEGATE AGENCY"/>
    <s v="UNKNOWN"/>
    <x v="2"/>
  </r>
  <r>
    <n v="302138"/>
    <n v="480000"/>
    <x v="2"/>
    <x v="227"/>
    <x v="8"/>
    <s v="DELEGATE AGENCY"/>
    <s v="UNKNOWN"/>
    <x v="2"/>
  </r>
  <r>
    <n v="302140"/>
    <n v="75000"/>
    <x v="2"/>
    <x v="1343"/>
    <x v="8"/>
    <s v="DELEGATE AGENCY"/>
    <s v="UNKNOWN"/>
    <x v="2"/>
  </r>
  <r>
    <n v="302141"/>
    <n v="207384"/>
    <x v="1"/>
    <x v="25"/>
    <x v="8"/>
    <s v="DELEGATE AGENCY"/>
    <s v="UNKNOWN"/>
    <x v="2"/>
  </r>
  <r>
    <n v="302148"/>
    <n v="506999"/>
    <x v="1"/>
    <x v="19"/>
    <x v="8"/>
    <s v="DELEGATE AGENCY"/>
    <s v="UNKNOWN"/>
    <x v="2"/>
  </r>
  <r>
    <n v="302193"/>
    <n v="115000"/>
    <x v="2"/>
    <x v="204"/>
    <x v="8"/>
    <s v="DELEGATE AGENCY"/>
    <s v="RFP"/>
    <x v="2"/>
  </r>
  <r>
    <n v="302194"/>
    <n v="312146"/>
    <x v="1"/>
    <x v="1190"/>
    <x v="8"/>
    <s v="DELEGATE AGENCY"/>
    <s v="RFP"/>
    <x v="2"/>
  </r>
  <r>
    <n v="302196"/>
    <n v="394000"/>
    <x v="2"/>
    <x v="318"/>
    <x v="8"/>
    <s v="DELEGATE AGENCY"/>
    <s v="RFP"/>
    <x v="2"/>
  </r>
  <r>
    <n v="302197"/>
    <n v="305711"/>
    <x v="2"/>
    <x v="38"/>
    <x v="8"/>
    <s v="DELEGATE AGENCY"/>
    <s v="RFP"/>
    <x v="2"/>
  </r>
  <r>
    <n v="302198"/>
    <n v="305060"/>
    <x v="2"/>
    <x v="28"/>
    <x v="8"/>
    <s v="DELEGATE AGENCY"/>
    <s v="RFP"/>
    <x v="2"/>
  </r>
  <r>
    <n v="302201"/>
    <n v="360072"/>
    <x v="2"/>
    <x v="24"/>
    <x v="8"/>
    <s v="DELEGATE AGENCY"/>
    <s v="RFP"/>
    <x v="2"/>
  </r>
  <r>
    <n v="302202"/>
    <n v="322958"/>
    <x v="2"/>
    <x v="37"/>
    <x v="8"/>
    <s v="DELEGATE AGENCY"/>
    <s v="RFP"/>
    <x v="2"/>
  </r>
  <r>
    <n v="302203"/>
    <n v="4914475"/>
    <x v="2"/>
    <x v="1005"/>
    <x v="1"/>
    <s v="DELEGATE AGENCY"/>
    <s v="UNKNOWN"/>
    <x v="2"/>
  </r>
  <r>
    <n v="302205"/>
    <n v="1274726"/>
    <x v="0"/>
    <x v="44"/>
    <x v="1"/>
    <s v="DELEGATE AGENCY"/>
    <s v="UNKNOWN"/>
    <x v="2"/>
  </r>
  <r>
    <n v="302211"/>
    <n v="240000"/>
    <x v="0"/>
    <x v="212"/>
    <x v="8"/>
    <s v="DELEGATE AGENCY"/>
    <s v="UNKNOWN"/>
    <x v="2"/>
  </r>
  <r>
    <n v="302212"/>
    <n v="240000"/>
    <x v="1"/>
    <x v="469"/>
    <x v="8"/>
    <s v="DELEGATE AGENCY"/>
    <s v="UNKNOWN"/>
    <x v="2"/>
  </r>
  <r>
    <n v="302213"/>
    <n v="240000"/>
    <x v="1"/>
    <x v="67"/>
    <x v="8"/>
    <s v="DELEGATE AGENCY"/>
    <s v="UNKNOWN"/>
    <x v="2"/>
  </r>
  <r>
    <n v="302214"/>
    <n v="360000"/>
    <x v="1"/>
    <x v="476"/>
    <x v="8"/>
    <s v="DELEGATE AGENCY"/>
    <s v="UNKNOWN"/>
    <x v="2"/>
  </r>
  <r>
    <n v="302216"/>
    <n v="350000"/>
    <x v="2"/>
    <x v="188"/>
    <x v="8"/>
    <s v="DELEGATE AGENCY"/>
    <s v="UNKNOWN"/>
    <x v="2"/>
  </r>
  <r>
    <n v="302217"/>
    <n v="480700"/>
    <x v="2"/>
    <x v="82"/>
    <x v="8"/>
    <s v="DELEGATE AGENCY"/>
    <s v="UNKNOWN"/>
    <x v="2"/>
  </r>
  <r>
    <n v="302218"/>
    <n v="242740"/>
    <x v="2"/>
    <x v="502"/>
    <x v="8"/>
    <s v="DELEGATE AGENCY"/>
    <s v="UNKNOWN"/>
    <x v="2"/>
  </r>
  <r>
    <n v="302278"/>
    <n v="69000"/>
    <x v="1"/>
    <x v="353"/>
    <x v="12"/>
    <s v="DELEGATE AGENCY"/>
    <s v="UNKNOWN"/>
    <x v="2"/>
  </r>
  <r>
    <n v="302280"/>
    <n v="69000"/>
    <x v="1"/>
    <x v="449"/>
    <x v="12"/>
    <s v="DELEGATE AGENCY"/>
    <s v="UNKNOWN"/>
    <x v="2"/>
  </r>
  <r>
    <n v="302287"/>
    <n v="69000"/>
    <x v="1"/>
    <x v="202"/>
    <x v="12"/>
    <s v="DELEGATE AGENCY"/>
    <s v="UNKNOWN"/>
    <x v="2"/>
  </r>
  <r>
    <n v="302293"/>
    <n v="54000"/>
    <x v="1"/>
    <x v="127"/>
    <x v="12"/>
    <s v="DELEGATE AGENCY"/>
    <s v="UNKNOWN"/>
    <x v="2"/>
  </r>
  <r>
    <n v="302294"/>
    <n v="108000"/>
    <x v="1"/>
    <x v="1065"/>
    <x v="12"/>
    <s v="DELEGATE AGENCY"/>
    <s v="UNKNOWN"/>
    <x v="2"/>
  </r>
  <r>
    <n v="302295"/>
    <n v="54000"/>
    <x v="1"/>
    <x v="73"/>
    <x v="12"/>
    <s v="DELEGATE AGENCY"/>
    <s v="UNKNOWN"/>
    <x v="2"/>
  </r>
  <r>
    <n v="302296"/>
    <n v="54000"/>
    <x v="1"/>
    <x v="360"/>
    <x v="12"/>
    <s v="DELEGATE AGENCY"/>
    <s v="UNKNOWN"/>
    <x v="2"/>
  </r>
  <r>
    <n v="302297"/>
    <n v="54000"/>
    <x v="1"/>
    <x v="544"/>
    <x v="12"/>
    <s v="DELEGATE AGENCY"/>
    <s v="UNKNOWN"/>
    <x v="2"/>
  </r>
  <r>
    <n v="302298"/>
    <n v="54000"/>
    <x v="1"/>
    <x v="585"/>
    <x v="12"/>
    <s v="DELEGATE AGENCY"/>
    <s v="UNKNOWN"/>
    <x v="2"/>
  </r>
  <r>
    <n v="302299"/>
    <n v="135000"/>
    <x v="1"/>
    <x v="451"/>
    <x v="12"/>
    <s v="DELEGATE AGENCY"/>
    <s v="UNKNOWN"/>
    <x v="2"/>
  </r>
  <r>
    <n v="302300"/>
    <n v="54000"/>
    <x v="1"/>
    <x v="354"/>
    <x v="12"/>
    <s v="DELEGATE AGENCY"/>
    <s v="UNKNOWN"/>
    <x v="2"/>
  </r>
  <r>
    <n v="302301"/>
    <n v="135000"/>
    <x v="1"/>
    <x v="85"/>
    <x v="12"/>
    <s v="DELEGATE AGENCY"/>
    <s v="UNKNOWN"/>
    <x v="2"/>
  </r>
  <r>
    <n v="302302"/>
    <n v="104063"/>
    <x v="1"/>
    <x v="89"/>
    <x v="12"/>
    <s v="DELEGATE AGENCY"/>
    <s v="UNKNOWN"/>
    <x v="2"/>
  </r>
  <r>
    <n v="302303"/>
    <n v="54000"/>
    <x v="1"/>
    <x v="341"/>
    <x v="12"/>
    <s v="DELEGATE AGENCY"/>
    <s v="UNKNOWN"/>
    <x v="2"/>
  </r>
  <r>
    <n v="302304"/>
    <n v="72000"/>
    <x v="1"/>
    <x v="261"/>
    <x v="12"/>
    <s v="DELEGATE AGENCY"/>
    <s v="UNKNOWN"/>
    <x v="2"/>
  </r>
  <r>
    <n v="302305"/>
    <n v="144000"/>
    <x v="1"/>
    <x v="78"/>
    <x v="12"/>
    <s v="DELEGATE AGENCY"/>
    <s v="UNKNOWN"/>
    <x v="2"/>
  </r>
  <r>
    <n v="302306"/>
    <n v="65000"/>
    <x v="1"/>
    <x v="86"/>
    <x v="12"/>
    <s v="DELEGATE AGENCY"/>
    <s v="UNKNOWN"/>
    <x v="2"/>
  </r>
  <r>
    <n v="302307"/>
    <n v="54000"/>
    <x v="1"/>
    <x v="444"/>
    <x v="12"/>
    <s v="DELEGATE AGENCY"/>
    <s v="UNKNOWN"/>
    <x v="2"/>
  </r>
  <r>
    <n v="302308"/>
    <n v="48000"/>
    <x v="1"/>
    <x v="78"/>
    <x v="12"/>
    <s v="DELEGATE AGENCY"/>
    <s v="UNKNOWN"/>
    <x v="2"/>
  </r>
  <r>
    <n v="302309"/>
    <n v="108000"/>
    <x v="4"/>
    <x v="444"/>
    <x v="12"/>
    <s v="DELEGATE AGENCY"/>
    <s v="UNKNOWN"/>
    <x v="2"/>
  </r>
  <r>
    <n v="302310"/>
    <n v="54000"/>
    <x v="1"/>
    <x v="444"/>
    <x v="12"/>
    <s v="DELEGATE AGENCY"/>
    <s v="UNKNOWN"/>
    <x v="2"/>
  </r>
  <r>
    <n v="302311"/>
    <n v="81000"/>
    <x v="1"/>
    <x v="444"/>
    <x v="12"/>
    <s v="DELEGATE AGENCY"/>
    <s v="UNKNOWN"/>
    <x v="2"/>
  </r>
  <r>
    <n v="302312"/>
    <n v="54000"/>
    <x v="1"/>
    <x v="66"/>
    <x v="12"/>
    <s v="DELEGATE AGENCY"/>
    <s v="UNKNOWN"/>
    <x v="2"/>
  </r>
  <r>
    <n v="302313"/>
    <n v="138000"/>
    <x v="1"/>
    <x v="681"/>
    <x v="12"/>
    <s v="DELEGATE AGENCY"/>
    <s v="UNKNOWN"/>
    <x v="2"/>
  </r>
  <r>
    <n v="302314"/>
    <n v="69000"/>
    <x v="1"/>
    <x v="114"/>
    <x v="12"/>
    <s v="DELEGATE AGENCY"/>
    <s v="UNKNOWN"/>
    <x v="2"/>
  </r>
  <r>
    <n v="302315"/>
    <n v="81000"/>
    <x v="1"/>
    <x v="574"/>
    <x v="12"/>
    <s v="DELEGATE AGENCY"/>
    <s v="UNKNOWN"/>
    <x v="2"/>
  </r>
  <r>
    <n v="302316"/>
    <n v="162000"/>
    <x v="1"/>
    <x v="78"/>
    <x v="12"/>
    <s v="DELEGATE AGENCY"/>
    <s v="UNKNOWN"/>
    <x v="2"/>
  </r>
  <r>
    <n v="302317"/>
    <n v="54500"/>
    <x v="1"/>
    <x v="59"/>
    <x v="12"/>
    <s v="DELEGATE AGENCY"/>
    <s v="UNKNOWN"/>
    <x v="2"/>
  </r>
  <r>
    <n v="302318"/>
    <n v="1537776.5"/>
    <x v="1"/>
    <x v="78"/>
    <x v="12"/>
    <s v="DELEGATE AGENCY"/>
    <s v="UNKNOWN"/>
    <x v="2"/>
  </r>
  <r>
    <n v="302319"/>
    <n v="56516"/>
    <x v="0"/>
    <x v="78"/>
    <x v="12"/>
    <s v="DELEGATE AGENCY"/>
    <s v="UNKNOWN"/>
    <x v="2"/>
  </r>
  <r>
    <n v="302320"/>
    <n v="12779"/>
    <x v="1"/>
    <x v="324"/>
    <x v="12"/>
    <s v="DELEGATE AGENCY"/>
    <s v="UNKNOWN"/>
    <x v="2"/>
  </r>
  <r>
    <n v="302321"/>
    <n v="108000"/>
    <x v="4"/>
    <x v="78"/>
    <x v="12"/>
    <s v="DELEGATE AGENCY"/>
    <s v="UNKNOWN"/>
    <x v="2"/>
  </r>
  <r>
    <n v="302322"/>
    <n v="48000"/>
    <x v="1"/>
    <x v="78"/>
    <x v="12"/>
    <s v="DELEGATE AGENCY"/>
    <s v="UNKNOWN"/>
    <x v="2"/>
  </r>
  <r>
    <n v="302323"/>
    <n v="216000"/>
    <x v="4"/>
    <x v="91"/>
    <x v="12"/>
    <s v="DELEGATE AGENCY"/>
    <s v="UNKNOWN"/>
    <x v="2"/>
  </r>
  <r>
    <n v="302324"/>
    <n v="135000"/>
    <x v="1"/>
    <x v="78"/>
    <x v="12"/>
    <s v="DELEGATE AGENCY"/>
    <s v="UNKNOWN"/>
    <x v="2"/>
  </r>
  <r>
    <n v="302325"/>
    <n v="52800"/>
    <x v="1"/>
    <x v="364"/>
    <x v="12"/>
    <s v="DELEGATE AGENCY"/>
    <s v="UNKNOWN"/>
    <x v="2"/>
  </r>
  <r>
    <n v="302340"/>
    <n v="69000"/>
    <x v="1"/>
    <x v="692"/>
    <x v="12"/>
    <s v="DELEGATE AGENCY"/>
    <s v="UNKNOWN"/>
    <x v="2"/>
  </r>
  <r>
    <n v="302342"/>
    <n v="34500"/>
    <x v="1"/>
    <x v="692"/>
    <x v="12"/>
    <s v="DELEGATE AGENCY"/>
    <s v="UNKNOWN"/>
    <x v="2"/>
  </r>
  <r>
    <n v="302343"/>
    <n v="222000"/>
    <x v="4"/>
    <x v="73"/>
    <x v="12"/>
    <s v="DELEGATE AGENCY"/>
    <s v="UNKNOWN"/>
    <x v="2"/>
  </r>
  <r>
    <n v="302345"/>
    <n v="207000"/>
    <x v="1"/>
    <x v="169"/>
    <x v="12"/>
    <s v="DELEGATE AGENCY"/>
    <s v="UNKNOWN"/>
    <x v="2"/>
  </r>
  <r>
    <n v="302346"/>
    <n v="104000"/>
    <x v="1"/>
    <x v="59"/>
    <x v="12"/>
    <s v="DELEGATE AGENCY"/>
    <s v="UNKNOWN"/>
    <x v="2"/>
  </r>
  <r>
    <n v="302347"/>
    <n v="40346"/>
    <x v="1"/>
    <x v="493"/>
    <x v="12"/>
    <s v="DELEGATE AGENCY"/>
    <s v="UNKNOWN"/>
    <x v="2"/>
  </r>
  <r>
    <n v="302348"/>
    <n v="222000"/>
    <x v="4"/>
    <x v="582"/>
    <x v="12"/>
    <s v="DELEGATE AGENCY"/>
    <s v="UNKNOWN"/>
    <x v="2"/>
  </r>
  <r>
    <n v="302349"/>
    <n v="111000"/>
    <x v="1"/>
    <x v="202"/>
    <x v="12"/>
    <s v="DELEGATE AGENCY"/>
    <s v="UNKNOWN"/>
    <x v="2"/>
  </r>
  <r>
    <n v="302350"/>
    <n v="69000"/>
    <x v="1"/>
    <x v="85"/>
    <x v="12"/>
    <s v="DELEGATE AGENCY"/>
    <s v="UNKNOWN"/>
    <x v="2"/>
  </r>
  <r>
    <n v="302351"/>
    <n v="222000"/>
    <x v="1"/>
    <x v="167"/>
    <x v="12"/>
    <s v="DELEGATE AGENCY"/>
    <s v="UNKNOWN"/>
    <x v="2"/>
  </r>
  <r>
    <n v="302363"/>
    <n v="45000"/>
    <x v="1"/>
    <x v="380"/>
    <x v="21"/>
    <s v="DELEGATE AGENCY"/>
    <s v="UNKNOWN"/>
    <x v="2"/>
  </r>
  <r>
    <n v="302364"/>
    <n v="8019555"/>
    <x v="4"/>
    <x v="114"/>
    <x v="8"/>
    <s v="DELEGATE AGENCY"/>
    <s v="RFP"/>
    <x v="2"/>
  </r>
  <r>
    <n v="302365"/>
    <n v="6419555"/>
    <x v="0"/>
    <x v="547"/>
    <x v="8"/>
    <s v="DELEGATE AGENCY"/>
    <s v="RFP"/>
    <x v="2"/>
  </r>
  <r>
    <n v="302368"/>
    <n v="185480"/>
    <x v="0"/>
    <x v="217"/>
    <x v="12"/>
    <s v="DELEGATE AGENCY"/>
    <s v="UNKNOWN"/>
    <x v="2"/>
  </r>
  <r>
    <n v="302369"/>
    <n v="46370"/>
    <x v="1"/>
    <x v="217"/>
    <x v="12"/>
    <s v="DELEGATE AGENCY"/>
    <s v="UNKNOWN"/>
    <x v="2"/>
  </r>
  <r>
    <n v="302395"/>
    <n v="52800"/>
    <x v="4"/>
    <x v="365"/>
    <x v="12"/>
    <s v="DELEGATE AGENCY"/>
    <s v="UNKNOWN"/>
    <x v="2"/>
  </r>
  <r>
    <n v="302396"/>
    <n v="222000"/>
    <x v="1"/>
    <x v="317"/>
    <x v="12"/>
    <s v="DELEGATE AGENCY"/>
    <s v="UNKNOWN"/>
    <x v="2"/>
  </r>
  <r>
    <n v="302397"/>
    <n v="333000"/>
    <x v="1"/>
    <x v="199"/>
    <x v="12"/>
    <s v="DELEGATE AGENCY"/>
    <s v="UNKNOWN"/>
    <x v="2"/>
  </r>
  <r>
    <n v="302398"/>
    <n v="81619"/>
    <x v="2"/>
    <x v="175"/>
    <x v="12"/>
    <s v="DELEGATE AGENCY"/>
    <s v="UNKNOWN"/>
    <x v="2"/>
  </r>
  <r>
    <n v="302403"/>
    <n v="103500"/>
    <x v="1"/>
    <x v="604"/>
    <x v="12"/>
    <s v="DELEGATE AGENCY"/>
    <s v="UNKNOWN"/>
    <x v="2"/>
  </r>
  <r>
    <n v="302404"/>
    <n v="222000"/>
    <x v="1"/>
    <x v="260"/>
    <x v="12"/>
    <s v="DELEGATE AGENCY"/>
    <s v="UNKNOWN"/>
    <x v="2"/>
  </r>
  <r>
    <n v="302405"/>
    <n v="52800"/>
    <x v="1"/>
    <x v="350"/>
    <x v="12"/>
    <s v="DELEGATE AGENCY"/>
    <s v="UNKNOWN"/>
    <x v="2"/>
  </r>
  <r>
    <n v="302407"/>
    <n v="223000"/>
    <x v="1"/>
    <x v="449"/>
    <x v="12"/>
    <s v="DELEGATE AGENCY"/>
    <s v="UNKNOWN"/>
    <x v="2"/>
  </r>
  <r>
    <n v="302408"/>
    <n v="69000"/>
    <x v="1"/>
    <x v="544"/>
    <x v="12"/>
    <s v="DELEGATE AGENCY"/>
    <s v="UNKNOWN"/>
    <x v="2"/>
  </r>
  <r>
    <n v="302420"/>
    <n v="480000"/>
    <x v="1"/>
    <x v="363"/>
    <x v="8"/>
    <s v="DELEGATE AGENCY"/>
    <s v="UNKNOWN"/>
    <x v="2"/>
  </r>
  <r>
    <n v="302421"/>
    <n v="70000"/>
    <x v="2"/>
    <x v="876"/>
    <x v="21"/>
    <s v="DELEGATE AGENCY"/>
    <s v="UNKNOWN"/>
    <x v="2"/>
  </r>
  <r>
    <n v="302425"/>
    <n v="356900"/>
    <x v="1"/>
    <x v="42"/>
    <x v="1"/>
    <s v="DELEGATE AGENCY"/>
    <s v="SOLE SOURCE"/>
    <x v="2"/>
  </r>
  <r>
    <n v="302432"/>
    <n v="9463040"/>
    <x v="2"/>
    <x v="362"/>
    <x v="12"/>
    <s v="DELEGATE AGENCY"/>
    <s v="UNKNOWN"/>
    <x v="2"/>
  </r>
  <r>
    <n v="302446"/>
    <n v="500000"/>
    <x v="0"/>
    <x v="189"/>
    <x v="1"/>
    <s v="DELEGATE AGENCY"/>
    <s v="SOLE SOURCE"/>
    <x v="2"/>
  </r>
  <r>
    <n v="302449"/>
    <n v="60000"/>
    <x v="2"/>
    <x v="968"/>
    <x v="21"/>
    <s v="DELEGATE AGENCY"/>
    <s v="UNKNOWN"/>
    <x v="2"/>
  </r>
  <r>
    <n v="302450"/>
    <n v="70000"/>
    <x v="1"/>
    <x v="981"/>
    <x v="21"/>
    <s v="DELEGATE AGENCY"/>
    <s v="UNKNOWN"/>
    <x v="2"/>
  </r>
  <r>
    <n v="302454"/>
    <n v="240000"/>
    <x v="1"/>
    <x v="464"/>
    <x v="8"/>
    <s v="DELEGATE AGENCY"/>
    <s v="UNKNOWN"/>
    <x v="2"/>
  </r>
  <r>
    <n v="302455"/>
    <n v="240000"/>
    <x v="1"/>
    <x v="467"/>
    <x v="8"/>
    <s v="DELEGATE AGENCY"/>
    <s v="UNKNOWN"/>
    <x v="2"/>
  </r>
  <r>
    <n v="302456"/>
    <n v="480000"/>
    <x v="1"/>
    <x v="602"/>
    <x v="8"/>
    <s v="DELEGATE AGENCY"/>
    <s v="UNKNOWN"/>
    <x v="2"/>
  </r>
  <r>
    <n v="302457"/>
    <n v="480000"/>
    <x v="2"/>
    <x v="41"/>
    <x v="8"/>
    <s v="DELEGATE AGENCY"/>
    <s v="UNKNOWN"/>
    <x v="2"/>
  </r>
  <r>
    <n v="302459"/>
    <n v="480000"/>
    <x v="2"/>
    <x v="46"/>
    <x v="8"/>
    <s v="DELEGATE AGENCY"/>
    <s v="UNKNOWN"/>
    <x v="2"/>
  </r>
  <r>
    <n v="302462"/>
    <n v="184000"/>
    <x v="2"/>
    <x v="42"/>
    <x v="8"/>
    <s v="DELEGATE AGENCY"/>
    <s v="UNKNOWN"/>
    <x v="2"/>
  </r>
  <r>
    <n v="302689"/>
    <n v="25000"/>
    <x v="1"/>
    <x v="2258"/>
    <x v="21"/>
    <s v="DELEGATE AGENCY"/>
    <s v="UNKNOWN"/>
    <x v="2"/>
  </r>
  <r>
    <n v="302698"/>
    <n v="240000"/>
    <x v="4"/>
    <x v="1771"/>
    <x v="8"/>
    <s v="DELEGATE AGENCY"/>
    <s v="UNKNOWN"/>
    <x v="2"/>
  </r>
  <r>
    <n v="302699"/>
    <n v="240000"/>
    <x v="1"/>
    <x v="57"/>
    <x v="8"/>
    <s v="DELEGATE AGENCY"/>
    <s v="UNKNOWN"/>
    <x v="2"/>
  </r>
  <r>
    <n v="302700"/>
    <n v="240000"/>
    <x v="1"/>
    <x v="190"/>
    <x v="8"/>
    <s v="DELEGATE AGENCY"/>
    <s v="UNKNOWN"/>
    <x v="2"/>
  </r>
  <r>
    <n v="302701"/>
    <n v="25222"/>
    <x v="1"/>
    <x v="44"/>
    <x v="8"/>
    <s v="DELEGATE AGENCY"/>
    <s v="UNKNOWN"/>
    <x v="2"/>
  </r>
  <r>
    <n v="302702"/>
    <n v="461618"/>
    <x v="4"/>
    <x v="1005"/>
    <x v="8"/>
    <s v="DELEGATE AGENCY"/>
    <s v="UNKNOWN"/>
    <x v="2"/>
  </r>
  <r>
    <n v="302703"/>
    <n v="240000"/>
    <x v="2"/>
    <x v="466"/>
    <x v="8"/>
    <s v="DELEGATE AGENCY"/>
    <s v="UNKNOWN"/>
    <x v="2"/>
  </r>
  <r>
    <n v="302704"/>
    <n v="388734.7"/>
    <x v="1"/>
    <x v="1289"/>
    <x v="8"/>
    <s v="DELEGATE AGENCY"/>
    <s v="UNKNOWN"/>
    <x v="2"/>
  </r>
  <r>
    <n v="302705"/>
    <n v="240000"/>
    <x v="2"/>
    <x v="496"/>
    <x v="8"/>
    <s v="DELEGATE AGENCY"/>
    <s v="UNKNOWN"/>
    <x v="2"/>
  </r>
  <r>
    <n v="302710"/>
    <n v="130000"/>
    <x v="1"/>
    <x v="968"/>
    <x v="21"/>
    <s v="DELEGATE AGENCY"/>
    <s v="UNKNOWN"/>
    <x v="2"/>
  </r>
  <r>
    <n v="302722"/>
    <n v="45000"/>
    <x v="1"/>
    <x v="1796"/>
    <x v="21"/>
    <s v="DELEGATE AGENCY"/>
    <s v="UNKNOWN"/>
    <x v="2"/>
  </r>
  <r>
    <n v="302726"/>
    <n v="592906"/>
    <x v="4"/>
    <x v="25"/>
    <x v="8"/>
    <s v="DELEGATE AGENCY"/>
    <s v="UNKNOWN"/>
    <x v="2"/>
  </r>
  <r>
    <n v="302728"/>
    <n v="426786"/>
    <x v="2"/>
    <x v="468"/>
    <x v="8"/>
    <s v="DELEGATE AGENCY"/>
    <s v="UNKNOWN"/>
    <x v="2"/>
  </r>
  <r>
    <n v="302729"/>
    <n v="65000"/>
    <x v="2"/>
    <x v="401"/>
    <x v="21"/>
    <s v="DELEGATE AGENCY"/>
    <s v="UNKNOWN"/>
    <x v="2"/>
  </r>
  <r>
    <n v="302743"/>
    <n v="340834"/>
    <x v="1"/>
    <x v="204"/>
    <x v="8"/>
    <s v="DELEGATE AGENCY"/>
    <s v="UNKNOWN"/>
    <x v="2"/>
  </r>
  <r>
    <n v="302747"/>
    <n v="3050000"/>
    <x v="2"/>
    <x v="139"/>
    <x v="8"/>
    <s v="DELEGATE AGENCY"/>
    <s v="UNKNOWN"/>
    <x v="2"/>
  </r>
  <r>
    <n v="302754"/>
    <n v="604314"/>
    <x v="0"/>
    <x v="28"/>
    <x v="8"/>
    <s v="DELEGATE AGENCY"/>
    <s v="UNKNOWN"/>
    <x v="2"/>
  </r>
  <r>
    <n v="302766"/>
    <n v="55000"/>
    <x v="2"/>
    <x v="686"/>
    <x v="21"/>
    <s v="DELEGATE AGENCY"/>
    <s v="UNKNOWN"/>
    <x v="2"/>
  </r>
  <r>
    <n v="302788"/>
    <n v="40000"/>
    <x v="1"/>
    <x v="1225"/>
    <x v="21"/>
    <s v="DELEGATE AGENCY"/>
    <s v="UNKNOWN"/>
    <x v="2"/>
  </r>
  <r>
    <n v="302793"/>
    <n v="34560"/>
    <x v="4"/>
    <x v="25"/>
    <x v="12"/>
    <s v="DELEGATE AGENCY"/>
    <s v="UNKNOWN"/>
    <x v="2"/>
  </r>
  <r>
    <n v="302855"/>
    <n v="650846"/>
    <x v="4"/>
    <x v="189"/>
    <x v="8"/>
    <s v="DELEGATE AGENCY"/>
    <s v="UNKNOWN"/>
    <x v="2"/>
  </r>
  <r>
    <n v="302975"/>
    <n v="340834"/>
    <x v="2"/>
    <x v="28"/>
    <x v="8"/>
    <s v="DELEGATE AGENCY"/>
    <s v="UNKNOWN"/>
    <x v="2"/>
  </r>
  <r>
    <n v="302976"/>
    <n v="9914072.8000000007"/>
    <x v="2"/>
    <x v="158"/>
    <x v="5"/>
    <s v="CONSTRUCTION-LARGE $3MILLIONorABOVE"/>
    <s v="BID"/>
    <x v="2"/>
  </r>
  <r>
    <n v="302988"/>
    <n v="350000"/>
    <x v="0"/>
    <x v="284"/>
    <x v="12"/>
    <s v="DELEGATE AGENCY"/>
    <s v="UNKNOWN"/>
    <x v="2"/>
  </r>
  <r>
    <n v="302989"/>
    <n v="60000"/>
    <x v="2"/>
    <x v="293"/>
    <x v="12"/>
    <s v="DELEGATE AGENCY"/>
    <s v="UNKNOWN"/>
    <x v="2"/>
  </r>
  <r>
    <n v="302990"/>
    <n v="69000"/>
    <x v="1"/>
    <x v="721"/>
    <x v="12"/>
    <s v="DELEGATE AGENCY"/>
    <s v="UNKNOWN"/>
    <x v="2"/>
  </r>
  <r>
    <n v="302992"/>
    <n v="103600"/>
    <x v="1"/>
    <x v="293"/>
    <x v="12"/>
    <s v="DELEGATE AGENCY"/>
    <s v="UNKNOWN"/>
    <x v="2"/>
  </r>
  <r>
    <n v="302993"/>
    <n v="35222"/>
    <x v="1"/>
    <x v="114"/>
    <x v="12"/>
    <s v="DELEGATE AGENCY"/>
    <s v="UNKNOWN"/>
    <x v="2"/>
  </r>
  <r>
    <n v="302994"/>
    <n v="65961"/>
    <x v="4"/>
    <x v="284"/>
    <x v="12"/>
    <s v="DELEGATE AGENCY"/>
    <s v="UNKNOWN"/>
    <x v="2"/>
  </r>
  <r>
    <n v="302995"/>
    <n v="222000"/>
    <x v="1"/>
    <x v="604"/>
    <x v="12"/>
    <s v="DELEGATE AGENCY"/>
    <s v="UNKNOWN"/>
    <x v="2"/>
  </r>
  <r>
    <n v="302996"/>
    <n v="120000"/>
    <x v="1"/>
    <x v="310"/>
    <x v="12"/>
    <s v="DELEGATE AGENCY"/>
    <s v="UNKNOWN"/>
    <x v="2"/>
  </r>
  <r>
    <n v="302997"/>
    <n v="12288"/>
    <x v="1"/>
    <x v="114"/>
    <x v="12"/>
    <s v="DELEGATE AGENCY"/>
    <s v="UNKNOWN"/>
    <x v="2"/>
  </r>
  <r>
    <n v="302998"/>
    <n v="500000"/>
    <x v="4"/>
    <x v="258"/>
    <x v="12"/>
    <s v="DELEGATE AGENCY"/>
    <s v="UNKNOWN"/>
    <x v="2"/>
  </r>
  <r>
    <n v="303002"/>
    <n v="59532"/>
    <x v="2"/>
    <x v="73"/>
    <x v="12"/>
    <s v="DELEGATE AGENCY"/>
    <s v="UNKNOWN"/>
    <x v="2"/>
  </r>
  <r>
    <n v="303004"/>
    <n v="1546003"/>
    <x v="1"/>
    <x v="1740"/>
    <x v="12"/>
    <s v="DELEGATE AGENCY"/>
    <s v="UNKNOWN"/>
    <x v="2"/>
  </r>
  <r>
    <n v="303136"/>
    <n v="134789"/>
    <x v="0"/>
    <x v="127"/>
    <x v="12"/>
    <s v="DELEGATE AGENCY"/>
    <s v="UNKNOWN"/>
    <x v="2"/>
  </r>
  <r>
    <n v="303158"/>
    <n v="333000"/>
    <x v="1"/>
    <x v="203"/>
    <x v="12"/>
    <s v="DELEGATE AGENCY"/>
    <s v="UNKNOWN"/>
    <x v="2"/>
  </r>
  <r>
    <n v="303176"/>
    <n v="413355"/>
    <x v="2"/>
    <x v="445"/>
    <x v="8"/>
    <s v="DELEGATE AGENCY"/>
    <s v="UNKNOWN"/>
    <x v="2"/>
  </r>
  <r>
    <n v="303231"/>
    <n v="12034"/>
    <x v="2"/>
    <x v="61"/>
    <x v="12"/>
    <s v="DELEGATE AGENCY"/>
    <s v="UNKNOWN"/>
    <x v="2"/>
  </r>
  <r>
    <n v="303271"/>
    <n v="176320"/>
    <x v="4"/>
    <x v="436"/>
    <x v="12"/>
    <s v="DELEGATE AGENCY"/>
    <s v="UNKNOWN"/>
    <x v="2"/>
  </r>
  <r>
    <n v="303314"/>
    <n v="25000"/>
    <x v="1"/>
    <x v="970"/>
    <x v="21"/>
    <s v="DELEGATE AGENCY"/>
    <s v="UNKNOWN"/>
    <x v="2"/>
  </r>
  <r>
    <n v="303322"/>
    <n v="12034"/>
    <x v="4"/>
    <x v="91"/>
    <x v="12"/>
    <s v="DELEGATE AGENCY"/>
    <s v="UNKNOWN"/>
    <x v="2"/>
  </r>
  <r>
    <n v="303324"/>
    <n v="21200"/>
    <x v="4"/>
    <x v="43"/>
    <x v="8"/>
    <s v="DELEGATE AGENCY"/>
    <s v="UNKNOWN"/>
    <x v="2"/>
  </r>
  <r>
    <n v="303330"/>
    <n v="538831"/>
    <x v="4"/>
    <x v="528"/>
    <x v="8"/>
    <s v="DELEGATE AGENCY"/>
    <s v="UNKNOWN"/>
    <x v="2"/>
  </r>
  <r>
    <n v="303331"/>
    <n v="45000"/>
    <x v="2"/>
    <x v="360"/>
    <x v="12"/>
    <s v="DELEGATE AGENCY"/>
    <s v="UNKNOWN"/>
    <x v="2"/>
  </r>
  <r>
    <n v="303332"/>
    <n v="1243752"/>
    <x v="4"/>
    <x v="315"/>
    <x v="8"/>
    <s v="DELEGATE AGENCY"/>
    <s v="UNKNOWN"/>
    <x v="2"/>
  </r>
  <r>
    <n v="303333"/>
    <n v="800000"/>
    <x v="0"/>
    <x v="188"/>
    <x v="8"/>
    <s v="DELEGATE AGENCY"/>
    <s v="RFP"/>
    <x v="2"/>
  </r>
  <r>
    <n v="303346"/>
    <n v="25000"/>
    <x v="2"/>
    <x v="980"/>
    <x v="21"/>
    <s v="DELEGATE AGENCY"/>
    <s v="UNKNOWN"/>
    <x v="2"/>
  </r>
  <r>
    <n v="303350"/>
    <n v="70000"/>
    <x v="4"/>
    <x v="887"/>
    <x v="21"/>
    <s v="DELEGATE AGENCY"/>
    <s v="UNKNOWN"/>
    <x v="2"/>
  </r>
  <r>
    <n v="303353"/>
    <n v="50000"/>
    <x v="1"/>
    <x v="991"/>
    <x v="21"/>
    <s v="DELEGATE AGENCY"/>
    <s v="UNKNOWN"/>
    <x v="2"/>
  </r>
  <r>
    <n v="303355"/>
    <n v="100000"/>
    <x v="1"/>
    <x v="1226"/>
    <x v="21"/>
    <s v="DELEGATE AGENCY"/>
    <s v="UNKNOWN"/>
    <x v="2"/>
  </r>
  <r>
    <n v="303356"/>
    <n v="50000"/>
    <x v="1"/>
    <x v="989"/>
    <x v="21"/>
    <s v="DELEGATE AGENCY"/>
    <s v="UNKNOWN"/>
    <x v="2"/>
  </r>
  <r>
    <n v="303357"/>
    <n v="40000"/>
    <x v="1"/>
    <x v="975"/>
    <x v="21"/>
    <s v="DELEGATE AGENCY"/>
    <s v="UNKNOWN"/>
    <x v="2"/>
  </r>
  <r>
    <n v="303489"/>
    <n v="26538372.5"/>
    <x v="4"/>
    <x v="2186"/>
    <x v="14"/>
    <s v="TELECOMMUNICATIONS"/>
    <s v="RFP"/>
    <x v="2"/>
  </r>
  <r>
    <n v="303494"/>
    <n v="131797.79999999999"/>
    <x v="0"/>
    <x v="563"/>
    <x v="8"/>
    <s v="DELEGATE AGENCY"/>
    <s v="UNKNOWN"/>
    <x v="2"/>
  </r>
  <r>
    <n v="303528"/>
    <n v="55000"/>
    <x v="1"/>
    <x v="948"/>
    <x v="21"/>
    <s v="DELEGATE AGENCY"/>
    <s v="UNKNOWN"/>
    <x v="2"/>
  </r>
  <r>
    <n v="303529"/>
    <n v="50000"/>
    <x v="1"/>
    <x v="379"/>
    <x v="21"/>
    <s v="DELEGATE AGENCY"/>
    <s v="UNKNOWN"/>
    <x v="2"/>
  </r>
  <r>
    <n v="303541"/>
    <n v="130000"/>
    <x v="1"/>
    <x v="750"/>
    <x v="20"/>
    <s v="COMPTROLLER-OTHER"/>
    <s v="UNKNOWN"/>
    <x v="2"/>
  </r>
  <r>
    <n v="303543"/>
    <n v="8310"/>
    <x v="1"/>
    <x v="2285"/>
    <x v="20"/>
    <s v="COMPTROLLER-OTHER"/>
    <s v="UNKNOWN"/>
    <x v="2"/>
  </r>
  <r>
    <n v="303544"/>
    <n v="200000"/>
    <x v="3"/>
    <x v="1202"/>
    <x v="20"/>
    <s v="COMPTROLLER-OTHER"/>
    <s v="UNKNOWN"/>
    <x v="2"/>
  </r>
  <r>
    <n v="303546"/>
    <n v="83700"/>
    <x v="1"/>
    <x v="361"/>
    <x v="12"/>
    <s v="DELEGATE AGENCY"/>
    <s v="UNKNOWN"/>
    <x v="2"/>
  </r>
  <r>
    <n v="303547"/>
    <n v="204538"/>
    <x v="1"/>
    <x v="311"/>
    <x v="12"/>
    <s v="DELEGATE AGENCY"/>
    <s v="UNKNOWN"/>
    <x v="2"/>
  </r>
  <r>
    <n v="303548"/>
    <n v="136500"/>
    <x v="1"/>
    <x v="76"/>
    <x v="12"/>
    <s v="DELEGATE AGENCY"/>
    <s v="UNKNOWN"/>
    <x v="2"/>
  </r>
  <r>
    <n v="303549"/>
    <n v="65880"/>
    <x v="1"/>
    <x v="114"/>
    <x v="12"/>
    <s v="DELEGATE AGENCY"/>
    <s v="UNKNOWN"/>
    <x v="2"/>
  </r>
  <r>
    <n v="303550"/>
    <n v="120000"/>
    <x v="1"/>
    <x v="300"/>
    <x v="12"/>
    <s v="DELEGATE AGENCY"/>
    <s v="UNKNOWN"/>
    <x v="2"/>
  </r>
  <r>
    <n v="303552"/>
    <n v="107986"/>
    <x v="1"/>
    <x v="316"/>
    <x v="12"/>
    <s v="DELEGATE AGENCY"/>
    <s v="UNKNOWN"/>
    <x v="2"/>
  </r>
  <r>
    <n v="303553"/>
    <n v="46000"/>
    <x v="1"/>
    <x v="300"/>
    <x v="12"/>
    <s v="DELEGATE AGENCY"/>
    <s v="UNKNOWN"/>
    <x v="2"/>
  </r>
  <r>
    <n v="303558"/>
    <n v="40000"/>
    <x v="4"/>
    <x v="960"/>
    <x v="21"/>
    <s v="DELEGATE AGENCY"/>
    <s v="UNKNOWN"/>
    <x v="2"/>
  </r>
  <r>
    <n v="303591"/>
    <n v="69000"/>
    <x v="4"/>
    <x v="689"/>
    <x v="12"/>
    <s v="DELEGATE AGENCY"/>
    <s v="UNKNOWN"/>
    <x v="2"/>
  </r>
  <r>
    <n v="303602"/>
    <n v="145573"/>
    <x v="1"/>
    <x v="66"/>
    <x v="12"/>
    <s v="DELEGATE AGENCY"/>
    <s v="UNKNOWN"/>
    <x v="2"/>
  </r>
  <r>
    <n v="303604"/>
    <n v="12034"/>
    <x v="1"/>
    <x v="259"/>
    <x v="12"/>
    <s v="DELEGATE AGENCY"/>
    <s v="UNKNOWN"/>
    <x v="2"/>
  </r>
  <r>
    <n v="303606"/>
    <n v="480494"/>
    <x v="4"/>
    <x v="45"/>
    <x v="8"/>
    <s v="DELEGATE AGENCY"/>
    <s v="UNKNOWN"/>
    <x v="2"/>
  </r>
  <r>
    <n v="303608"/>
    <n v="7606894"/>
    <x v="2"/>
    <x v="23"/>
    <x v="12"/>
    <s v="DELEGATE AGENCY"/>
    <s v="UNKNOWN"/>
    <x v="2"/>
  </r>
  <r>
    <n v="303618"/>
    <n v="125034.4"/>
    <x v="0"/>
    <x v="317"/>
    <x v="12"/>
    <s v="DELEGATE AGENCY"/>
    <s v="UNKNOWN"/>
    <x v="2"/>
  </r>
  <r>
    <n v="303623"/>
    <n v="76666"/>
    <x v="1"/>
    <x v="317"/>
    <x v="12"/>
    <s v="DELEGATE AGENCY"/>
    <s v="UNKNOWN"/>
    <x v="2"/>
  </r>
  <r>
    <n v="303624"/>
    <n v="115730"/>
    <x v="1"/>
    <x v="317"/>
    <x v="12"/>
    <s v="DELEGATE AGENCY"/>
    <s v="UNKNOWN"/>
    <x v="2"/>
  </r>
  <r>
    <n v="303627"/>
    <n v="40270"/>
    <x v="1"/>
    <x v="317"/>
    <x v="12"/>
    <s v="DELEGATE AGENCY"/>
    <s v="UNKNOWN"/>
    <x v="2"/>
  </r>
  <r>
    <n v="303628"/>
    <n v="55107"/>
    <x v="4"/>
    <x v="317"/>
    <x v="12"/>
    <s v="DELEGATE AGENCY"/>
    <s v="UNKNOWN"/>
    <x v="2"/>
  </r>
  <r>
    <n v="303664"/>
    <n v="55000"/>
    <x v="1"/>
    <x v="317"/>
    <x v="12"/>
    <s v="DELEGATE AGENCY"/>
    <s v="UNKNOWN"/>
    <x v="2"/>
  </r>
  <r>
    <n v="303674"/>
    <n v="483000"/>
    <x v="1"/>
    <x v="199"/>
    <x v="12"/>
    <s v="DELEGATE AGENCY"/>
    <s v="UNKNOWN"/>
    <x v="2"/>
  </r>
  <r>
    <n v="303675"/>
    <n v="138000"/>
    <x v="2"/>
    <x v="199"/>
    <x v="12"/>
    <s v="DELEGATE AGENCY"/>
    <s v="UNKNOWN"/>
    <x v="2"/>
  </r>
  <r>
    <n v="303691"/>
    <n v="650846"/>
    <x v="1"/>
    <x v="530"/>
    <x v="8"/>
    <s v="DELEGATE AGENCY"/>
    <s v="UNKNOWN"/>
    <x v="2"/>
  </r>
  <r>
    <n v="30370"/>
    <n v="7400000"/>
    <x v="2"/>
    <x v="1070"/>
    <x v="18"/>
    <s v="PRO SERV-AVIATION"/>
    <s v="RFQ"/>
    <x v="0"/>
  </r>
  <r>
    <n v="303781"/>
    <n v="324361.40000000002"/>
    <x v="0"/>
    <x v="293"/>
    <x v="12"/>
    <s v="DELEGATE AGENCY"/>
    <s v="UNKNOWN"/>
    <x v="2"/>
  </r>
  <r>
    <n v="303782"/>
    <n v="108900"/>
    <x v="2"/>
    <x v="239"/>
    <x v="12"/>
    <s v="DELEGATE AGENCY"/>
    <s v="UNKNOWN"/>
    <x v="2"/>
  </r>
  <r>
    <n v="303783"/>
    <n v="130540"/>
    <x v="1"/>
    <x v="175"/>
    <x v="12"/>
    <s v="DELEGATE AGENCY"/>
    <s v="UNKNOWN"/>
    <x v="2"/>
  </r>
  <r>
    <n v="303784"/>
    <n v="222000"/>
    <x v="1"/>
    <x v="227"/>
    <x v="12"/>
    <s v="DELEGATE AGENCY"/>
    <s v="UNKNOWN"/>
    <x v="2"/>
  </r>
  <r>
    <n v="303785"/>
    <n v="222000"/>
    <x v="1"/>
    <x v="73"/>
    <x v="12"/>
    <s v="DELEGATE AGENCY"/>
    <s v="UNKNOWN"/>
    <x v="2"/>
  </r>
  <r>
    <n v="303836"/>
    <n v="90744.2"/>
    <x v="1"/>
    <x v="76"/>
    <x v="12"/>
    <s v="DELEGATE AGENCY"/>
    <s v="UNKNOWN"/>
    <x v="2"/>
  </r>
  <r>
    <n v="303857"/>
    <n v="154857.5"/>
    <x v="1"/>
    <x v="76"/>
    <x v="12"/>
    <s v="DELEGATE AGENCY"/>
    <s v="UNKNOWN"/>
    <x v="2"/>
  </r>
  <r>
    <n v="303862"/>
    <n v="187719"/>
    <x v="1"/>
    <x v="114"/>
    <x v="12"/>
    <s v="DELEGATE AGENCY"/>
    <s v="UNKNOWN"/>
    <x v="2"/>
  </r>
  <r>
    <n v="303880"/>
    <n v="48107.4"/>
    <x v="1"/>
    <x v="201"/>
    <x v="8"/>
    <s v="DELEGATE AGENCY"/>
    <s v="UNKNOWN"/>
    <x v="2"/>
  </r>
  <r>
    <n v="303883"/>
    <n v="202963"/>
    <x v="4"/>
    <x v="593"/>
    <x v="12"/>
    <s v="DELEGATE AGENCY"/>
    <s v="UNKNOWN"/>
    <x v="2"/>
  </r>
  <r>
    <n v="303887"/>
    <n v="359195"/>
    <x v="1"/>
    <x v="601"/>
    <x v="8"/>
    <s v="DELEGATE AGENCY"/>
    <s v="UNKNOWN"/>
    <x v="2"/>
  </r>
  <r>
    <n v="303916"/>
    <n v="135125"/>
    <x v="2"/>
    <x v="24"/>
    <x v="12"/>
    <s v="DELEGATE AGENCY"/>
    <s v="UNKNOWN"/>
    <x v="2"/>
  </r>
  <r>
    <n v="303919"/>
    <n v="200000"/>
    <x v="1"/>
    <x v="84"/>
    <x v="12"/>
    <s v="DELEGATE AGENCY"/>
    <s v="UNKNOWN"/>
    <x v="2"/>
  </r>
  <r>
    <n v="303920"/>
    <n v="52800"/>
    <x v="1"/>
    <x v="114"/>
    <x v="12"/>
    <s v="DELEGATE AGENCY"/>
    <s v="UNKNOWN"/>
    <x v="2"/>
  </r>
  <r>
    <n v="303921"/>
    <n v="52800"/>
    <x v="1"/>
    <x v="114"/>
    <x v="12"/>
    <s v="DELEGATE AGENCY"/>
    <s v="UNKNOWN"/>
    <x v="2"/>
  </r>
  <r>
    <n v="303922"/>
    <n v="129000"/>
    <x v="1"/>
    <x v="114"/>
    <x v="12"/>
    <s v="DELEGATE AGENCY"/>
    <s v="UNKNOWN"/>
    <x v="2"/>
  </r>
  <r>
    <n v="303923"/>
    <n v="50000"/>
    <x v="1"/>
    <x v="24"/>
    <x v="12"/>
    <s v="DELEGATE AGENCY"/>
    <s v="UNKNOWN"/>
    <x v="2"/>
  </r>
  <r>
    <n v="303924"/>
    <n v="90000"/>
    <x v="1"/>
    <x v="114"/>
    <x v="12"/>
    <s v="DELEGATE AGENCY"/>
    <s v="UNKNOWN"/>
    <x v="2"/>
  </r>
  <r>
    <n v="303925"/>
    <n v="52800"/>
    <x v="1"/>
    <x v="24"/>
    <x v="12"/>
    <s v="DELEGATE AGENCY"/>
    <s v="UNKNOWN"/>
    <x v="2"/>
  </r>
  <r>
    <n v="304043"/>
    <n v="47331880.799999997"/>
    <x v="1"/>
    <x v="2286"/>
    <x v="6"/>
    <s v="CONSTRUCTION-AVIATION"/>
    <s v="BID"/>
    <x v="2"/>
  </r>
  <r>
    <n v="304072"/>
    <n v="72700"/>
    <x v="0"/>
    <x v="394"/>
    <x v="22"/>
    <s v="DELEGATE AGENCY"/>
    <s v="UNKNOWN"/>
    <x v="2"/>
  </r>
  <r>
    <n v="304118"/>
    <n v="70410"/>
    <x v="1"/>
    <x v="294"/>
    <x v="12"/>
    <s v="DELEGATE AGENCY"/>
    <s v="UNKNOWN"/>
    <x v="2"/>
  </r>
  <r>
    <n v="304119"/>
    <n v="54000"/>
    <x v="1"/>
    <x v="371"/>
    <x v="12"/>
    <s v="DELEGATE AGENCY"/>
    <s v="UNKNOWN"/>
    <x v="2"/>
  </r>
  <r>
    <n v="304120"/>
    <n v="44086"/>
    <x v="1"/>
    <x v="312"/>
    <x v="12"/>
    <s v="DELEGATE AGENCY"/>
    <s v="UNKNOWN"/>
    <x v="2"/>
  </r>
  <r>
    <n v="304121"/>
    <n v="66040"/>
    <x v="4"/>
    <x v="76"/>
    <x v="12"/>
    <s v="DELEGATE AGENCY"/>
    <s v="UNKNOWN"/>
    <x v="2"/>
  </r>
  <r>
    <n v="304122"/>
    <n v="81000"/>
    <x v="1"/>
    <x v="199"/>
    <x v="12"/>
    <s v="DELEGATE AGENCY"/>
    <s v="UNKNOWN"/>
    <x v="2"/>
  </r>
  <r>
    <n v="304123"/>
    <n v="120000"/>
    <x v="1"/>
    <x v="59"/>
    <x v="12"/>
    <s v="DELEGATE AGENCY"/>
    <s v="UNKNOWN"/>
    <x v="2"/>
  </r>
  <r>
    <n v="304124"/>
    <n v="30241"/>
    <x v="1"/>
    <x v="127"/>
    <x v="12"/>
    <s v="DELEGATE AGENCY"/>
    <s v="UNKNOWN"/>
    <x v="2"/>
  </r>
  <r>
    <n v="304125"/>
    <n v="54000"/>
    <x v="4"/>
    <x v="199"/>
    <x v="12"/>
    <s v="DELEGATE AGENCY"/>
    <s v="UNKNOWN"/>
    <x v="2"/>
  </r>
  <r>
    <n v="304126"/>
    <n v="411253.8"/>
    <x v="1"/>
    <x v="292"/>
    <x v="12"/>
    <s v="DELEGATE AGENCY"/>
    <s v="UNKNOWN"/>
    <x v="2"/>
  </r>
  <r>
    <n v="304137"/>
    <n v="65441"/>
    <x v="2"/>
    <x v="370"/>
    <x v="12"/>
    <s v="DELEGATE AGENCY"/>
    <s v="UNKNOWN"/>
    <x v="2"/>
  </r>
  <r>
    <n v="304144"/>
    <n v="112500"/>
    <x v="1"/>
    <x v="294"/>
    <x v="12"/>
    <s v="DELEGATE AGENCY"/>
    <s v="UNKNOWN"/>
    <x v="2"/>
  </r>
  <r>
    <n v="304146"/>
    <n v="72000"/>
    <x v="1"/>
    <x v="606"/>
    <x v="12"/>
    <s v="DELEGATE AGENCY"/>
    <s v="UNKNOWN"/>
    <x v="2"/>
  </r>
  <r>
    <n v="304148"/>
    <n v="162356"/>
    <x v="1"/>
    <x v="311"/>
    <x v="12"/>
    <s v="DELEGATE AGENCY"/>
    <s v="UNKNOWN"/>
    <x v="2"/>
  </r>
  <r>
    <n v="304152"/>
    <n v="72000"/>
    <x v="1"/>
    <x v="604"/>
    <x v="12"/>
    <s v="DELEGATE AGENCY"/>
    <s v="UNKNOWN"/>
    <x v="2"/>
  </r>
  <r>
    <n v="304162"/>
    <n v="72000"/>
    <x v="1"/>
    <x v="73"/>
    <x v="12"/>
    <s v="DELEGATE AGENCY"/>
    <s v="UNKNOWN"/>
    <x v="2"/>
  </r>
  <r>
    <n v="304164"/>
    <n v="69000"/>
    <x v="1"/>
    <x v="167"/>
    <x v="12"/>
    <s v="DELEGATE AGENCY"/>
    <s v="UNKNOWN"/>
    <x v="2"/>
  </r>
  <r>
    <n v="304165"/>
    <n v="29694"/>
    <x v="1"/>
    <x v="300"/>
    <x v="12"/>
    <s v="DELEGATE AGENCY"/>
    <s v="UNKNOWN"/>
    <x v="2"/>
  </r>
  <r>
    <n v="304166"/>
    <n v="378109"/>
    <x v="4"/>
    <x v="284"/>
    <x v="12"/>
    <s v="DELEGATE AGENCY"/>
    <s v="UNKNOWN"/>
    <x v="2"/>
  </r>
  <r>
    <n v="304167"/>
    <n v="138000"/>
    <x v="2"/>
    <x v="167"/>
    <x v="12"/>
    <s v="DELEGATE AGENCY"/>
    <s v="UNKNOWN"/>
    <x v="2"/>
  </r>
  <r>
    <n v="304168"/>
    <n v="175770"/>
    <x v="1"/>
    <x v="84"/>
    <x v="12"/>
    <s v="DELEGATE AGENCY"/>
    <s v="UNKNOWN"/>
    <x v="2"/>
  </r>
  <r>
    <n v="304169"/>
    <n v="103500"/>
    <x v="1"/>
    <x v="576"/>
    <x v="12"/>
    <s v="DELEGATE AGENCY"/>
    <s v="UNKNOWN"/>
    <x v="2"/>
  </r>
  <r>
    <n v="304170"/>
    <n v="56493"/>
    <x v="1"/>
    <x v="114"/>
    <x v="12"/>
    <s v="DELEGATE AGENCY"/>
    <s v="UNKNOWN"/>
    <x v="2"/>
  </r>
  <r>
    <n v="304171"/>
    <n v="26397"/>
    <x v="1"/>
    <x v="300"/>
    <x v="12"/>
    <s v="DELEGATE AGENCY"/>
    <s v="UNKNOWN"/>
    <x v="2"/>
  </r>
  <r>
    <n v="304172"/>
    <n v="49500"/>
    <x v="4"/>
    <x v="59"/>
    <x v="12"/>
    <s v="DELEGATE AGENCY"/>
    <s v="UNKNOWN"/>
    <x v="2"/>
  </r>
  <r>
    <n v="304174"/>
    <n v="69000"/>
    <x v="4"/>
    <x v="76"/>
    <x v="12"/>
    <s v="DELEGATE AGENCY"/>
    <s v="UNKNOWN"/>
    <x v="2"/>
  </r>
  <r>
    <n v="304175"/>
    <n v="48500"/>
    <x v="1"/>
    <x v="1553"/>
    <x v="12"/>
    <s v="DELEGATE AGENCY"/>
    <s v="UNKNOWN"/>
    <x v="2"/>
  </r>
  <r>
    <n v="304176"/>
    <n v="54000"/>
    <x v="4"/>
    <x v="575"/>
    <x v="12"/>
    <s v="DELEGATE AGENCY"/>
    <s v="UNKNOWN"/>
    <x v="2"/>
  </r>
  <r>
    <n v="304177"/>
    <n v="176188"/>
    <x v="1"/>
    <x v="301"/>
    <x v="12"/>
    <s v="DELEGATE AGENCY"/>
    <s v="UNKNOWN"/>
    <x v="2"/>
  </r>
  <r>
    <n v="304179"/>
    <n v="157575"/>
    <x v="1"/>
    <x v="301"/>
    <x v="12"/>
    <s v="DELEGATE AGENCY"/>
    <s v="UNKNOWN"/>
    <x v="2"/>
  </r>
  <r>
    <n v="304180"/>
    <n v="16608"/>
    <x v="1"/>
    <x v="294"/>
    <x v="12"/>
    <s v="DELEGATE AGENCY"/>
    <s v="UNKNOWN"/>
    <x v="2"/>
  </r>
  <r>
    <n v="304200"/>
    <n v="984000"/>
    <x v="4"/>
    <x v="605"/>
    <x v="12"/>
    <s v="DELEGATE AGENCY"/>
    <s v="UNKNOWN"/>
    <x v="2"/>
  </r>
  <r>
    <n v="304201"/>
    <n v="54000"/>
    <x v="2"/>
    <x v="577"/>
    <x v="12"/>
    <s v="DELEGATE AGENCY"/>
    <s v="UNKNOWN"/>
    <x v="2"/>
  </r>
  <r>
    <n v="304212"/>
    <n v="720000"/>
    <x v="1"/>
    <x v="605"/>
    <x v="12"/>
    <s v="DELEGATE AGENCY"/>
    <s v="UNKNOWN"/>
    <x v="2"/>
  </r>
  <r>
    <n v="304222"/>
    <n v="211534.9"/>
    <x v="2"/>
    <x v="138"/>
    <x v="6"/>
    <s v="JOC"/>
    <s v="UNKNOWN"/>
    <x v="2"/>
  </r>
  <r>
    <n v="304233"/>
    <n v="6559"/>
    <x v="1"/>
    <x v="42"/>
    <x v="8"/>
    <s v="DELEGATE AGENCY"/>
    <s v="UNKNOWN"/>
    <x v="2"/>
  </r>
  <r>
    <n v="304234"/>
    <n v="111209"/>
    <x v="3"/>
    <x v="40"/>
    <x v="12"/>
    <s v="DELEGATE AGENCY"/>
    <s v="UNKNOWN"/>
    <x v="2"/>
  </r>
  <r>
    <n v="304235"/>
    <n v="333000"/>
    <x v="1"/>
    <x v="205"/>
    <x v="12"/>
    <s v="DELEGATE AGENCY"/>
    <s v="UNKNOWN"/>
    <x v="2"/>
  </r>
  <r>
    <n v="304236"/>
    <n v="16348"/>
    <x v="2"/>
    <x v="43"/>
    <x v="8"/>
    <s v="DELEGATE AGENCY"/>
    <s v="UNKNOWN"/>
    <x v="2"/>
  </r>
  <r>
    <n v="304238"/>
    <n v="52800"/>
    <x v="4"/>
    <x v="201"/>
    <x v="12"/>
    <s v="DELEGATE AGENCY"/>
    <s v="UNKNOWN"/>
    <x v="2"/>
  </r>
  <r>
    <n v="304239"/>
    <n v="70000"/>
    <x v="1"/>
    <x v="349"/>
    <x v="12"/>
    <s v="DELEGATE AGENCY"/>
    <s v="UNKNOWN"/>
    <x v="2"/>
  </r>
  <r>
    <n v="304240"/>
    <n v="80000"/>
    <x v="1"/>
    <x v="349"/>
    <x v="12"/>
    <s v="DELEGATE AGENCY"/>
    <s v="UNKNOWN"/>
    <x v="2"/>
  </r>
  <r>
    <n v="304241"/>
    <n v="52500"/>
    <x v="1"/>
    <x v="290"/>
    <x v="22"/>
    <s v="DELEGATE AGENCY"/>
    <s v="UNKNOWN"/>
    <x v="2"/>
  </r>
  <r>
    <n v="304242"/>
    <n v="208650"/>
    <x v="1"/>
    <x v="175"/>
    <x v="12"/>
    <s v="DELEGATE AGENCY"/>
    <s v="UNKNOWN"/>
    <x v="2"/>
  </r>
  <r>
    <n v="304243"/>
    <n v="52800"/>
    <x v="1"/>
    <x v="61"/>
    <x v="12"/>
    <s v="DELEGATE AGENCY"/>
    <s v="UNKNOWN"/>
    <x v="2"/>
  </r>
  <r>
    <n v="304244"/>
    <n v="413355"/>
    <x v="1"/>
    <x v="201"/>
    <x v="8"/>
    <s v="DELEGATE AGENCY"/>
    <s v="UNKNOWN"/>
    <x v="2"/>
  </r>
  <r>
    <n v="304245"/>
    <n v="53000"/>
    <x v="2"/>
    <x v="213"/>
    <x v="12"/>
    <s v="DELEGATE AGENCY"/>
    <s v="UNKNOWN"/>
    <x v="2"/>
  </r>
  <r>
    <n v="304246"/>
    <n v="109016"/>
    <x v="1"/>
    <x v="292"/>
    <x v="12"/>
    <s v="DELEGATE AGENCY"/>
    <s v="UNKNOWN"/>
    <x v="2"/>
  </r>
  <r>
    <n v="304247"/>
    <n v="105320"/>
    <x v="1"/>
    <x v="349"/>
    <x v="12"/>
    <s v="DELEGATE AGENCY"/>
    <s v="UNKNOWN"/>
    <x v="2"/>
  </r>
  <r>
    <n v="304259"/>
    <n v="462566"/>
    <x v="1"/>
    <x v="24"/>
    <x v="8"/>
    <s v="DELEGATE AGENCY"/>
    <s v="UNKNOWN"/>
    <x v="2"/>
  </r>
  <r>
    <n v="304264"/>
    <n v="40000"/>
    <x v="2"/>
    <x v="1863"/>
    <x v="21"/>
    <s v="DELEGATE AGENCY"/>
    <s v="UNKNOWN"/>
    <x v="2"/>
  </r>
  <r>
    <n v="304270"/>
    <n v="368094"/>
    <x v="4"/>
    <x v="315"/>
    <x v="12"/>
    <s v="DELEGATE AGENCY"/>
    <s v="UNKNOWN"/>
    <x v="2"/>
  </r>
  <r>
    <n v="304272"/>
    <n v="35000"/>
    <x v="2"/>
    <x v="956"/>
    <x v="21"/>
    <s v="DELEGATE AGENCY"/>
    <s v="UNKNOWN"/>
    <x v="2"/>
  </r>
  <r>
    <n v="304275"/>
    <n v="506036.4"/>
    <x v="4"/>
    <x v="128"/>
    <x v="8"/>
    <s v="DELEGATE AGENCY"/>
    <s v="UNKNOWN"/>
    <x v="2"/>
  </r>
  <r>
    <n v="304277"/>
    <n v="7900000"/>
    <x v="2"/>
    <x v="306"/>
    <x v="2"/>
    <s v="COMPTROLLER-OTHER"/>
    <s v="UNKNOWN"/>
    <x v="2"/>
  </r>
  <r>
    <n v="304287"/>
    <n v="2523970"/>
    <x v="0"/>
    <x v="1499"/>
    <x v="8"/>
    <s v="DELEGATE AGENCY"/>
    <s v="UNKNOWN"/>
    <x v="2"/>
  </r>
  <r>
    <n v="304288"/>
    <n v="180000"/>
    <x v="0"/>
    <x v="433"/>
    <x v="22"/>
    <s v="DELEGATE AGENCY"/>
    <s v="UNKNOWN"/>
    <x v="2"/>
  </r>
  <r>
    <n v="304291"/>
    <n v="52500"/>
    <x v="1"/>
    <x v="390"/>
    <x v="22"/>
    <s v="DELEGATE AGENCY"/>
    <s v="UNKNOWN"/>
    <x v="2"/>
  </r>
  <r>
    <n v="304296"/>
    <n v="124000"/>
    <x v="1"/>
    <x v="390"/>
    <x v="22"/>
    <s v="DELEGATE AGENCY"/>
    <s v="UNKNOWN"/>
    <x v="2"/>
  </r>
  <r>
    <n v="304297"/>
    <n v="124000"/>
    <x v="1"/>
    <x v="1153"/>
    <x v="22"/>
    <s v="DELEGATE AGENCY"/>
    <s v="UNKNOWN"/>
    <x v="2"/>
  </r>
  <r>
    <n v="304363"/>
    <n v="75000"/>
    <x v="1"/>
    <x v="2287"/>
    <x v="9"/>
    <s v="COMPTROLLER-OTHER"/>
    <s v="UNKNOWN"/>
    <x v="2"/>
  </r>
  <r>
    <n v="304397"/>
    <n v="52800"/>
    <x v="1"/>
    <x v="303"/>
    <x v="12"/>
    <s v="DELEGATE AGENCY"/>
    <s v="UNKNOWN"/>
    <x v="2"/>
  </r>
  <r>
    <n v="304398"/>
    <n v="52800"/>
    <x v="1"/>
    <x v="203"/>
    <x v="12"/>
    <s v="DELEGATE AGENCY"/>
    <s v="UNKNOWN"/>
    <x v="2"/>
  </r>
  <r>
    <n v="304399"/>
    <n v="65895"/>
    <x v="1"/>
    <x v="304"/>
    <x v="12"/>
    <s v="DELEGATE AGENCY"/>
    <s v="UNKNOWN"/>
    <x v="2"/>
  </r>
  <r>
    <n v="304400"/>
    <n v="55851"/>
    <x v="1"/>
    <x v="386"/>
    <x v="22"/>
    <s v="DELEGATE AGENCY"/>
    <s v="UNKNOWN"/>
    <x v="2"/>
  </r>
  <r>
    <n v="304401"/>
    <n v="141873"/>
    <x v="1"/>
    <x v="304"/>
    <x v="12"/>
    <s v="DELEGATE AGENCY"/>
    <s v="UNKNOWN"/>
    <x v="2"/>
  </r>
  <r>
    <n v="304402"/>
    <n v="371777"/>
    <x v="1"/>
    <x v="86"/>
    <x v="12"/>
    <s v="DELEGATE AGENCY"/>
    <s v="UNKNOWN"/>
    <x v="2"/>
  </r>
  <r>
    <n v="304519"/>
    <n v="20742025"/>
    <x v="2"/>
    <x v="21"/>
    <x v="5"/>
    <s v="CONSTRUCTION-LARGE $3MILLIONorABOVE"/>
    <s v="BID"/>
    <x v="2"/>
  </r>
  <r>
    <n v="304521"/>
    <n v="696000"/>
    <x v="0"/>
    <x v="605"/>
    <x v="12"/>
    <s v="DELEGATE AGENCY"/>
    <s v="UNKNOWN"/>
    <x v="2"/>
  </r>
  <r>
    <n v="304522"/>
    <n v="80000"/>
    <x v="2"/>
    <x v="728"/>
    <x v="12"/>
    <s v="DELEGATE AGENCY"/>
    <s v="UNKNOWN"/>
    <x v="2"/>
  </r>
  <r>
    <n v="304523"/>
    <n v="1713548"/>
    <x v="1"/>
    <x v="306"/>
    <x v="12"/>
    <s v="DELEGATE AGENCY"/>
    <s v="UNKNOWN"/>
    <x v="2"/>
  </r>
  <r>
    <n v="304524"/>
    <n v="114872"/>
    <x v="0"/>
    <x v="298"/>
    <x v="12"/>
    <s v="DELEGATE AGENCY"/>
    <s v="UNKNOWN"/>
    <x v="2"/>
  </r>
  <r>
    <n v="304525"/>
    <n v="120000"/>
    <x v="1"/>
    <x v="614"/>
    <x v="12"/>
    <s v="DELEGATE AGENCY"/>
    <s v="UNKNOWN"/>
    <x v="2"/>
  </r>
  <r>
    <n v="304526"/>
    <n v="54000"/>
    <x v="1"/>
    <x v="102"/>
    <x v="12"/>
    <s v="DELEGATE AGENCY"/>
    <s v="UNKNOWN"/>
    <x v="2"/>
  </r>
  <r>
    <n v="304527"/>
    <n v="48000"/>
    <x v="1"/>
    <x v="611"/>
    <x v="12"/>
    <s v="DELEGATE AGENCY"/>
    <s v="UNKNOWN"/>
    <x v="2"/>
  </r>
  <r>
    <n v="304529"/>
    <n v="48000"/>
    <x v="4"/>
    <x v="610"/>
    <x v="12"/>
    <s v="DELEGATE AGENCY"/>
    <s v="UNKNOWN"/>
    <x v="2"/>
  </r>
  <r>
    <n v="304530"/>
    <n v="39258"/>
    <x v="4"/>
    <x v="191"/>
    <x v="12"/>
    <s v="DELEGATE AGENCY"/>
    <s v="UNKNOWN"/>
    <x v="2"/>
  </r>
  <r>
    <n v="304531"/>
    <n v="1050000"/>
    <x v="4"/>
    <x v="302"/>
    <x v="12"/>
    <s v="DELEGATE AGENCY"/>
    <s v="UNKNOWN"/>
    <x v="2"/>
  </r>
  <r>
    <n v="304532"/>
    <n v="696000"/>
    <x v="0"/>
    <x v="605"/>
    <x v="12"/>
    <s v="DELEGATE AGENCY"/>
    <s v="UNKNOWN"/>
    <x v="2"/>
  </r>
  <r>
    <n v="304534"/>
    <n v="100000"/>
    <x v="2"/>
    <x v="175"/>
    <x v="12"/>
    <s v="DELEGATE AGENCY"/>
    <s v="UNKNOWN"/>
    <x v="2"/>
  </r>
  <r>
    <n v="304537"/>
    <n v="49474109.200000003"/>
    <x v="1"/>
    <x v="999"/>
    <x v="14"/>
    <s v="PRO SERV CONSULTING $250,000orABOVE"/>
    <s v="JOINT PURCHASE"/>
    <x v="2"/>
  </r>
  <r>
    <n v="304542"/>
    <n v="95500"/>
    <x v="0"/>
    <x v="328"/>
    <x v="8"/>
    <s v="DELEGATE AGENCY"/>
    <s v="UNKNOWN"/>
    <x v="2"/>
  </r>
  <r>
    <n v="304682"/>
    <n v="620000"/>
    <x v="1"/>
    <x v="286"/>
    <x v="12"/>
    <s v="DELEGATE AGENCY"/>
    <s v="UNKNOWN"/>
    <x v="2"/>
  </r>
  <r>
    <n v="304684"/>
    <n v="18332"/>
    <x v="2"/>
    <x v="84"/>
    <x v="12"/>
    <s v="DELEGATE AGENCY"/>
    <s v="UNKNOWN"/>
    <x v="2"/>
  </r>
  <r>
    <n v="304685"/>
    <n v="155000"/>
    <x v="4"/>
    <x v="304"/>
    <x v="12"/>
    <s v="DELEGATE AGENCY"/>
    <s v="UNKNOWN"/>
    <x v="2"/>
  </r>
  <r>
    <n v="304686"/>
    <n v="34500"/>
    <x v="1"/>
    <x v="78"/>
    <x v="12"/>
    <s v="DELEGATE AGENCY"/>
    <s v="UNKNOWN"/>
    <x v="2"/>
  </r>
  <r>
    <n v="304687"/>
    <n v="81800"/>
    <x v="4"/>
    <x v="84"/>
    <x v="12"/>
    <s v="DELEGATE AGENCY"/>
    <s v="UNKNOWN"/>
    <x v="2"/>
  </r>
  <r>
    <n v="304689"/>
    <n v="1440000"/>
    <x v="1"/>
    <x v="605"/>
    <x v="12"/>
    <s v="DELEGATE AGENCY"/>
    <s v="UNKNOWN"/>
    <x v="2"/>
  </r>
  <r>
    <n v="304691"/>
    <n v="110000"/>
    <x v="0"/>
    <x v="390"/>
    <x v="21"/>
    <s v="DELEGATE AGENCY"/>
    <s v="UNKNOWN"/>
    <x v="2"/>
  </r>
  <r>
    <n v="304692"/>
    <n v="50000"/>
    <x v="1"/>
    <x v="376"/>
    <x v="21"/>
    <s v="DELEGATE AGENCY"/>
    <s v="UNKNOWN"/>
    <x v="2"/>
  </r>
  <r>
    <n v="304693"/>
    <n v="250000"/>
    <x v="1"/>
    <x v="127"/>
    <x v="12"/>
    <s v="DELEGATE AGENCY"/>
    <s v="UNKNOWN"/>
    <x v="2"/>
  </r>
  <r>
    <n v="304694"/>
    <n v="444000"/>
    <x v="2"/>
    <x v="169"/>
    <x v="12"/>
    <s v="DELEGATE AGENCY"/>
    <s v="UNKNOWN"/>
    <x v="2"/>
  </r>
  <r>
    <n v="304697"/>
    <n v="31352.699999999899"/>
    <x v="2"/>
    <x v="294"/>
    <x v="12"/>
    <s v="DELEGATE AGENCY"/>
    <s v="UNKNOWN"/>
    <x v="2"/>
  </r>
  <r>
    <n v="304698"/>
    <n v="835952"/>
    <x v="4"/>
    <x v="76"/>
    <x v="12"/>
    <s v="DELEGATE AGENCY"/>
    <s v="UNKNOWN"/>
    <x v="2"/>
  </r>
  <r>
    <n v="304707"/>
    <n v="100000"/>
    <x v="2"/>
    <x v="232"/>
    <x v="21"/>
    <s v="DELEGATE AGENCY"/>
    <s v="UNKNOWN"/>
    <x v="2"/>
  </r>
  <r>
    <n v="304708"/>
    <n v="25000"/>
    <x v="1"/>
    <x v="2262"/>
    <x v="21"/>
    <s v="DELEGATE AGENCY"/>
    <s v="UNKNOWN"/>
    <x v="2"/>
  </r>
  <r>
    <n v="304710"/>
    <n v="175000"/>
    <x v="4"/>
    <x v="1009"/>
    <x v="12"/>
    <s v="DELEGATE AGENCY"/>
    <s v="UNKNOWN"/>
    <x v="2"/>
  </r>
  <r>
    <n v="304711"/>
    <n v="175000"/>
    <x v="1"/>
    <x v="1009"/>
    <x v="12"/>
    <s v="DELEGATE AGENCY"/>
    <s v="UNKNOWN"/>
    <x v="2"/>
  </r>
  <r>
    <n v="304721"/>
    <n v="85000"/>
    <x v="1"/>
    <x v="957"/>
    <x v="21"/>
    <s v="DELEGATE AGENCY"/>
    <s v="UNKNOWN"/>
    <x v="2"/>
  </r>
  <r>
    <n v="304731"/>
    <n v="64100"/>
    <x v="1"/>
    <x v="66"/>
    <x v="22"/>
    <s v="DELEGATE AGENCY"/>
    <s v="UNKNOWN"/>
    <x v="2"/>
  </r>
  <r>
    <n v="304732"/>
    <n v="52500"/>
    <x v="1"/>
    <x v="66"/>
    <x v="22"/>
    <s v="DELEGATE AGENCY"/>
    <s v="UNKNOWN"/>
    <x v="2"/>
  </r>
  <r>
    <n v="304736"/>
    <n v="80590"/>
    <x v="1"/>
    <x v="287"/>
    <x v="12"/>
    <s v="DELEGATE AGENCY"/>
    <s v="UNKNOWN"/>
    <x v="2"/>
  </r>
  <r>
    <n v="304738"/>
    <n v="516301"/>
    <x v="1"/>
    <x v="296"/>
    <x v="12"/>
    <s v="DELEGATE AGENCY"/>
    <s v="UNKNOWN"/>
    <x v="2"/>
  </r>
  <r>
    <n v="304746"/>
    <n v="30000"/>
    <x v="2"/>
    <x v="473"/>
    <x v="21"/>
    <s v="DELEGATE AGENCY"/>
    <s v="UNKNOWN"/>
    <x v="2"/>
  </r>
  <r>
    <n v="304747"/>
    <n v="53435.7"/>
    <x v="4"/>
    <x v="387"/>
    <x v="22"/>
    <s v="DELEGATE AGENCY"/>
    <s v="UNKNOWN"/>
    <x v="2"/>
  </r>
  <r>
    <n v="304754"/>
    <n v="310091"/>
    <x v="1"/>
    <x v="404"/>
    <x v="8"/>
    <s v="DELEGATE AGENCY"/>
    <s v="UNKNOWN"/>
    <x v="2"/>
  </r>
  <r>
    <n v="304755"/>
    <n v="689515.6"/>
    <x v="2"/>
    <x v="504"/>
    <x v="8"/>
    <s v="DELEGATE AGENCY"/>
    <s v="UNKNOWN"/>
    <x v="2"/>
  </r>
  <r>
    <n v="304777"/>
    <n v="47728"/>
    <x v="2"/>
    <x v="984"/>
    <x v="21"/>
    <s v="DELEGATE AGENCY"/>
    <s v="UNKNOWN"/>
    <x v="2"/>
  </r>
  <r>
    <n v="304778"/>
    <n v="50000"/>
    <x v="4"/>
    <x v="967"/>
    <x v="21"/>
    <s v="DELEGATE AGENCY"/>
    <s v="UNKNOWN"/>
    <x v="2"/>
  </r>
  <r>
    <n v="304781"/>
    <n v="41875"/>
    <x v="1"/>
    <x v="113"/>
    <x v="12"/>
    <s v="DELEGATE AGENCY"/>
    <s v="UNKNOWN"/>
    <x v="2"/>
  </r>
  <r>
    <n v="304782"/>
    <n v="41875"/>
    <x v="4"/>
    <x v="113"/>
    <x v="12"/>
    <s v="DELEGATE AGENCY"/>
    <s v="UNKNOWN"/>
    <x v="2"/>
  </r>
  <r>
    <n v="304805"/>
    <n v="166667"/>
    <x v="4"/>
    <x v="328"/>
    <x v="8"/>
    <s v="DELEGATE AGENCY"/>
    <s v="UNKNOWN"/>
    <x v="2"/>
  </r>
  <r>
    <n v="304852"/>
    <n v="240000"/>
    <x v="1"/>
    <x v="229"/>
    <x v="8"/>
    <s v="DELEGATE AGENCY"/>
    <s v="UNKNOWN"/>
    <x v="2"/>
  </r>
  <r>
    <n v="304853"/>
    <n v="581897.6"/>
    <x v="1"/>
    <x v="564"/>
    <x v="8"/>
    <s v="DELEGATE AGENCY"/>
    <s v="UNKNOWN"/>
    <x v="2"/>
  </r>
  <r>
    <n v="304854"/>
    <n v="399048.4"/>
    <x v="2"/>
    <x v="25"/>
    <x v="8"/>
    <s v="DELEGATE AGENCY"/>
    <s v="UNKNOWN"/>
    <x v="2"/>
  </r>
  <r>
    <n v="304858"/>
    <n v="55000"/>
    <x v="2"/>
    <x v="2261"/>
    <x v="21"/>
    <s v="DELEGATE AGENCY"/>
    <s v="UNKNOWN"/>
    <x v="2"/>
  </r>
  <r>
    <n v="304859"/>
    <n v="670840"/>
    <x v="1"/>
    <x v="530"/>
    <x v="8"/>
    <s v="DELEGATE AGENCY"/>
    <s v="UNKNOWN"/>
    <x v="2"/>
  </r>
  <r>
    <n v="304860"/>
    <n v="1943150"/>
    <x v="2"/>
    <x v="512"/>
    <x v="12"/>
    <s v="DELEGATE AGENCY"/>
    <s v="UNKNOWN"/>
    <x v="2"/>
  </r>
  <r>
    <n v="304861"/>
    <n v="500000"/>
    <x v="0"/>
    <x v="201"/>
    <x v="8"/>
    <s v="DELEGATE AGENCY"/>
    <s v="UNKNOWN"/>
    <x v="2"/>
  </r>
  <r>
    <n v="304862"/>
    <n v="288148"/>
    <x v="2"/>
    <x v="229"/>
    <x v="8"/>
    <s v="DELEGATE AGENCY"/>
    <s v="UNKNOWN"/>
    <x v="2"/>
  </r>
  <r>
    <n v="304863"/>
    <n v="52500"/>
    <x v="2"/>
    <x v="383"/>
    <x v="22"/>
    <s v="DELEGATE AGENCY"/>
    <s v="UNKNOWN"/>
    <x v="2"/>
  </r>
  <r>
    <n v="304864"/>
    <n v="66186"/>
    <x v="1"/>
    <x v="389"/>
    <x v="22"/>
    <s v="DELEGATE AGENCY"/>
    <s v="UNKNOWN"/>
    <x v="2"/>
  </r>
  <r>
    <n v="304865"/>
    <n v="52500"/>
    <x v="1"/>
    <x v="391"/>
    <x v="22"/>
    <s v="DELEGATE AGENCY"/>
    <s v="UNKNOWN"/>
    <x v="2"/>
  </r>
  <r>
    <n v="304969"/>
    <n v="22500"/>
    <x v="1"/>
    <x v="861"/>
    <x v="20"/>
    <s v="COMPTROLLER-OTHER"/>
    <s v="UNKNOWN"/>
    <x v="2"/>
  </r>
  <r>
    <n v="305010"/>
    <n v="488801"/>
    <x v="4"/>
    <x v="293"/>
    <x v="12"/>
    <s v="DELEGATE AGENCY"/>
    <s v="UNKNOWN"/>
    <x v="2"/>
  </r>
  <r>
    <n v="305011"/>
    <n v="241634"/>
    <x v="2"/>
    <x v="320"/>
    <x v="12"/>
    <s v="DELEGATE AGENCY"/>
    <s v="UNKNOWN"/>
    <x v="2"/>
  </r>
  <r>
    <n v="305012"/>
    <n v="72000"/>
    <x v="1"/>
    <x v="430"/>
    <x v="12"/>
    <s v="DELEGATE AGENCY"/>
    <s v="UNKNOWN"/>
    <x v="2"/>
  </r>
  <r>
    <n v="305013"/>
    <n v="69000"/>
    <x v="1"/>
    <x v="78"/>
    <x v="12"/>
    <s v="DELEGATE AGENCY"/>
    <s v="UNKNOWN"/>
    <x v="2"/>
  </r>
  <r>
    <n v="305014"/>
    <n v="72000"/>
    <x v="1"/>
    <x v="167"/>
    <x v="12"/>
    <s v="DELEGATE AGENCY"/>
    <s v="UNKNOWN"/>
    <x v="2"/>
  </r>
  <r>
    <n v="305015"/>
    <n v="48000"/>
    <x v="1"/>
    <x v="620"/>
    <x v="12"/>
    <s v="DELEGATE AGENCY"/>
    <s v="UNKNOWN"/>
    <x v="2"/>
  </r>
  <r>
    <n v="305017"/>
    <n v="96000"/>
    <x v="4"/>
    <x v="583"/>
    <x v="12"/>
    <s v="DELEGATE AGENCY"/>
    <s v="UNKNOWN"/>
    <x v="2"/>
  </r>
  <r>
    <n v="305018"/>
    <n v="168000"/>
    <x v="1"/>
    <x v="616"/>
    <x v="12"/>
    <s v="DELEGATE AGENCY"/>
    <s v="UNKNOWN"/>
    <x v="2"/>
  </r>
  <r>
    <n v="305019"/>
    <n v="48000"/>
    <x v="1"/>
    <x v="616"/>
    <x v="12"/>
    <s v="DELEGATE AGENCY"/>
    <s v="UNKNOWN"/>
    <x v="2"/>
  </r>
  <r>
    <n v="305020"/>
    <n v="48000"/>
    <x v="4"/>
    <x v="114"/>
    <x v="12"/>
    <s v="DELEGATE AGENCY"/>
    <s v="UNKNOWN"/>
    <x v="2"/>
  </r>
  <r>
    <n v="305021"/>
    <n v="99211"/>
    <x v="4"/>
    <x v="1103"/>
    <x v="12"/>
    <s v="DELEGATE AGENCY"/>
    <s v="UNKNOWN"/>
    <x v="2"/>
  </r>
  <r>
    <n v="305022"/>
    <n v="96900"/>
    <x v="1"/>
    <x v="114"/>
    <x v="12"/>
    <s v="DELEGATE AGENCY"/>
    <s v="UNKNOWN"/>
    <x v="2"/>
  </r>
  <r>
    <n v="305023"/>
    <n v="135000"/>
    <x v="1"/>
    <x v="78"/>
    <x v="12"/>
    <s v="DELEGATE AGENCY"/>
    <s v="UNKNOWN"/>
    <x v="2"/>
  </r>
  <r>
    <n v="305024"/>
    <n v="405000"/>
    <x v="1"/>
    <x v="78"/>
    <x v="12"/>
    <s v="DELEGATE AGENCY"/>
    <s v="UNKNOWN"/>
    <x v="2"/>
  </r>
  <r>
    <n v="305025"/>
    <n v="48000"/>
    <x v="2"/>
    <x v="228"/>
    <x v="12"/>
    <s v="DELEGATE AGENCY"/>
    <s v="UNKNOWN"/>
    <x v="2"/>
  </r>
  <r>
    <n v="305026"/>
    <n v="49500"/>
    <x v="4"/>
    <x v="228"/>
    <x v="12"/>
    <s v="DELEGATE AGENCY"/>
    <s v="UNKNOWN"/>
    <x v="2"/>
  </r>
  <r>
    <n v="305027"/>
    <n v="48000"/>
    <x v="4"/>
    <x v="228"/>
    <x v="12"/>
    <s v="DELEGATE AGENCY"/>
    <s v="UNKNOWN"/>
    <x v="2"/>
  </r>
  <r>
    <n v="305028"/>
    <n v="240000"/>
    <x v="4"/>
    <x v="621"/>
    <x v="12"/>
    <s v="DELEGATE AGENCY"/>
    <s v="UNKNOWN"/>
    <x v="2"/>
  </r>
  <r>
    <n v="305029"/>
    <n v="264000"/>
    <x v="1"/>
    <x v="621"/>
    <x v="12"/>
    <s v="DELEGATE AGENCY"/>
    <s v="UNKNOWN"/>
    <x v="2"/>
  </r>
  <r>
    <n v="305030"/>
    <n v="54000"/>
    <x v="2"/>
    <x v="584"/>
    <x v="12"/>
    <s v="DELEGATE AGENCY"/>
    <s v="UNKNOWN"/>
    <x v="2"/>
  </r>
  <r>
    <n v="305031"/>
    <n v="126275"/>
    <x v="1"/>
    <x v="318"/>
    <x v="12"/>
    <s v="DELEGATE AGENCY"/>
    <s v="UNKNOWN"/>
    <x v="2"/>
  </r>
  <r>
    <n v="305032"/>
    <n v="81000"/>
    <x v="1"/>
    <x v="37"/>
    <x v="12"/>
    <s v="DELEGATE AGENCY"/>
    <s v="UNKNOWN"/>
    <x v="2"/>
  </r>
  <r>
    <n v="305033"/>
    <n v="546639"/>
    <x v="1"/>
    <x v="293"/>
    <x v="12"/>
    <s v="DELEGATE AGENCY"/>
    <s v="UNKNOWN"/>
    <x v="2"/>
  </r>
  <r>
    <n v="305034"/>
    <n v="368725.4"/>
    <x v="2"/>
    <x v="293"/>
    <x v="12"/>
    <s v="DELEGATE AGENCY"/>
    <s v="UNKNOWN"/>
    <x v="2"/>
  </r>
  <r>
    <n v="305035"/>
    <n v="80000"/>
    <x v="2"/>
    <x v="730"/>
    <x v="12"/>
    <s v="DELEGATE AGENCY"/>
    <s v="UNKNOWN"/>
    <x v="2"/>
  </r>
  <r>
    <n v="305036"/>
    <n v="160000"/>
    <x v="1"/>
    <x v="128"/>
    <x v="12"/>
    <s v="DELEGATE AGENCY"/>
    <s v="UNKNOWN"/>
    <x v="2"/>
  </r>
  <r>
    <n v="305037"/>
    <n v="80000"/>
    <x v="1"/>
    <x v="59"/>
    <x v="12"/>
    <s v="DELEGATE AGENCY"/>
    <s v="UNKNOWN"/>
    <x v="2"/>
  </r>
  <r>
    <n v="305038"/>
    <n v="447551"/>
    <x v="1"/>
    <x v="293"/>
    <x v="12"/>
    <s v="DELEGATE AGENCY"/>
    <s v="UNKNOWN"/>
    <x v="2"/>
  </r>
  <r>
    <n v="305039"/>
    <n v="15263"/>
    <x v="2"/>
    <x v="512"/>
    <x v="12"/>
    <s v="DELEGATE AGENCY"/>
    <s v="UNKNOWN"/>
    <x v="2"/>
  </r>
  <r>
    <n v="305040"/>
    <n v="317000"/>
    <x v="4"/>
    <x v="621"/>
    <x v="12"/>
    <s v="DELEGATE AGENCY"/>
    <s v="UNKNOWN"/>
    <x v="2"/>
  </r>
  <r>
    <n v="305041"/>
    <n v="60000"/>
    <x v="2"/>
    <x v="306"/>
    <x v="12"/>
    <s v="DELEGATE AGENCY"/>
    <s v="UNKNOWN"/>
    <x v="2"/>
  </r>
  <r>
    <n v="305042"/>
    <n v="54445"/>
    <x v="1"/>
    <x v="363"/>
    <x v="12"/>
    <s v="DELEGATE AGENCY"/>
    <s v="UNKNOWN"/>
    <x v="2"/>
  </r>
  <r>
    <n v="305043"/>
    <n v="591650"/>
    <x v="1"/>
    <x v="293"/>
    <x v="12"/>
    <s v="DELEGATE AGENCY"/>
    <s v="UNKNOWN"/>
    <x v="2"/>
  </r>
  <r>
    <n v="305044"/>
    <n v="34500"/>
    <x v="2"/>
    <x v="689"/>
    <x v="12"/>
    <s v="DELEGATE AGENCY"/>
    <s v="UNKNOWN"/>
    <x v="2"/>
  </r>
  <r>
    <n v="305045"/>
    <n v="100000"/>
    <x v="4"/>
    <x v="292"/>
    <x v="12"/>
    <s v="DELEGATE AGENCY"/>
    <s v="UNKNOWN"/>
    <x v="2"/>
  </r>
  <r>
    <n v="305046"/>
    <n v="41095"/>
    <x v="1"/>
    <x v="191"/>
    <x v="12"/>
    <s v="DELEGATE AGENCY"/>
    <s v="UNKNOWN"/>
    <x v="2"/>
  </r>
  <r>
    <n v="305047"/>
    <n v="1128000"/>
    <x v="4"/>
    <x v="605"/>
    <x v="12"/>
    <s v="DELEGATE AGENCY"/>
    <s v="UNKNOWN"/>
    <x v="2"/>
  </r>
  <r>
    <n v="305048"/>
    <n v="160810.29999999999"/>
    <x v="0"/>
    <x v="86"/>
    <x v="12"/>
    <s v="DELEGATE AGENCY"/>
    <s v="UNKNOWN"/>
    <x v="2"/>
  </r>
  <r>
    <n v="305049"/>
    <n v="48000"/>
    <x v="1"/>
    <x v="296"/>
    <x v="12"/>
    <s v="DELEGATE AGENCY"/>
    <s v="UNKNOWN"/>
    <x v="2"/>
  </r>
  <r>
    <n v="305050"/>
    <n v="361350"/>
    <x v="4"/>
    <x v="321"/>
    <x v="12"/>
    <s v="DELEGATE AGENCY"/>
    <s v="UNKNOWN"/>
    <x v="2"/>
  </r>
  <r>
    <n v="305051"/>
    <n v="54000"/>
    <x v="2"/>
    <x v="77"/>
    <x v="12"/>
    <s v="DELEGATE AGENCY"/>
    <s v="UNKNOWN"/>
    <x v="2"/>
  </r>
  <r>
    <n v="305052"/>
    <n v="57398.400000000001"/>
    <x v="1"/>
    <x v="321"/>
    <x v="12"/>
    <s v="DELEGATE AGENCY"/>
    <s v="UNKNOWN"/>
    <x v="2"/>
  </r>
  <r>
    <n v="305053"/>
    <n v="70037"/>
    <x v="1"/>
    <x v="304"/>
    <x v="12"/>
    <s v="DELEGATE AGENCY"/>
    <s v="UNKNOWN"/>
    <x v="2"/>
  </r>
  <r>
    <n v="305054"/>
    <n v="26884"/>
    <x v="1"/>
    <x v="304"/>
    <x v="12"/>
    <s v="DELEGATE AGENCY"/>
    <s v="UNKNOWN"/>
    <x v="2"/>
  </r>
  <r>
    <n v="305055"/>
    <n v="19079"/>
    <x v="4"/>
    <x v="360"/>
    <x v="12"/>
    <s v="DELEGATE AGENCY"/>
    <s v="UNKNOWN"/>
    <x v="2"/>
  </r>
  <r>
    <n v="305056"/>
    <n v="72000"/>
    <x v="4"/>
    <x v="619"/>
    <x v="12"/>
    <s v="DELEGATE AGENCY"/>
    <s v="UNKNOWN"/>
    <x v="2"/>
  </r>
  <r>
    <n v="305057"/>
    <n v="16608"/>
    <x v="1"/>
    <x v="294"/>
    <x v="12"/>
    <s v="DELEGATE AGENCY"/>
    <s v="UNKNOWN"/>
    <x v="2"/>
  </r>
  <r>
    <n v="305058"/>
    <n v="14251"/>
    <x v="4"/>
    <x v="304"/>
    <x v="12"/>
    <s v="DELEGATE AGENCY"/>
    <s v="UNKNOWN"/>
    <x v="2"/>
  </r>
  <r>
    <n v="305059"/>
    <n v="932250"/>
    <x v="4"/>
    <x v="1871"/>
    <x v="12"/>
    <s v="DELEGATE AGENCY"/>
    <s v="UNKNOWN"/>
    <x v="2"/>
  </r>
  <r>
    <n v="305060"/>
    <n v="25691"/>
    <x v="2"/>
    <x v="296"/>
    <x v="12"/>
    <s v="DELEGATE AGENCY"/>
    <s v="UNKNOWN"/>
    <x v="2"/>
  </r>
  <r>
    <n v="305061"/>
    <n v="162356"/>
    <x v="4"/>
    <x v="311"/>
    <x v="12"/>
    <s v="DELEGATE AGENCY"/>
    <s v="UNKNOWN"/>
    <x v="2"/>
  </r>
  <r>
    <n v="305062"/>
    <n v="249999"/>
    <x v="1"/>
    <x v="296"/>
    <x v="12"/>
    <s v="DELEGATE AGENCY"/>
    <s v="UNKNOWN"/>
    <x v="2"/>
  </r>
  <r>
    <n v="305063"/>
    <n v="28728"/>
    <x v="1"/>
    <x v="299"/>
    <x v="12"/>
    <s v="DELEGATE AGENCY"/>
    <s v="UNKNOWN"/>
    <x v="2"/>
  </r>
  <r>
    <n v="305064"/>
    <n v="39085.300000000003"/>
    <x v="4"/>
    <x v="308"/>
    <x v="12"/>
    <s v="DELEGATE AGENCY"/>
    <s v="UNKNOWN"/>
    <x v="2"/>
  </r>
  <r>
    <n v="305065"/>
    <n v="139862.1"/>
    <x v="4"/>
    <x v="290"/>
    <x v="12"/>
    <s v="DELEGATE AGENCY"/>
    <s v="UNKNOWN"/>
    <x v="2"/>
  </r>
  <r>
    <n v="305082"/>
    <n v="240000"/>
    <x v="1"/>
    <x v="465"/>
    <x v="8"/>
    <s v="DELEGATE AGENCY"/>
    <s v="UNKNOWN"/>
    <x v="2"/>
  </r>
  <r>
    <n v="305083"/>
    <n v="1777024.1"/>
    <x v="1"/>
    <x v="565"/>
    <x v="8"/>
    <s v="DELEGATE AGENCY"/>
    <s v="UNKNOWN"/>
    <x v="2"/>
  </r>
  <r>
    <n v="305084"/>
    <n v="160118"/>
    <x v="0"/>
    <x v="24"/>
    <x v="8"/>
    <s v="DELEGATE AGENCY"/>
    <s v="UNKNOWN"/>
    <x v="2"/>
  </r>
  <r>
    <n v="305085"/>
    <n v="100000"/>
    <x v="1"/>
    <x v="563"/>
    <x v="8"/>
    <s v="DELEGATE AGENCY"/>
    <s v="UNKNOWN"/>
    <x v="2"/>
  </r>
  <r>
    <n v="305091"/>
    <n v="240000"/>
    <x v="1"/>
    <x v="298"/>
    <x v="8"/>
    <s v="DELEGATE AGENCY"/>
    <s v="UNKNOWN"/>
    <x v="2"/>
  </r>
  <r>
    <n v="305092"/>
    <n v="360000"/>
    <x v="1"/>
    <x v="497"/>
    <x v="8"/>
    <s v="DELEGATE AGENCY"/>
    <s v="UNKNOWN"/>
    <x v="2"/>
  </r>
  <r>
    <n v="305093"/>
    <n v="360000"/>
    <x v="2"/>
    <x v="66"/>
    <x v="8"/>
    <s v="DELEGATE AGENCY"/>
    <s v="UNKNOWN"/>
    <x v="2"/>
  </r>
  <r>
    <n v="305094"/>
    <n v="350000"/>
    <x v="2"/>
    <x v="191"/>
    <x v="8"/>
    <s v="DELEGATE AGENCY"/>
    <s v="UNKNOWN"/>
    <x v="2"/>
  </r>
  <r>
    <n v="305095"/>
    <n v="49820.7"/>
    <x v="2"/>
    <x v="391"/>
    <x v="8"/>
    <s v="DELEGATE AGENCY"/>
    <s v="UNKNOWN"/>
    <x v="2"/>
  </r>
  <r>
    <n v="305106"/>
    <n v="250000"/>
    <x v="4"/>
    <x v="72"/>
    <x v="12"/>
    <s v="DELEGATE AGENCY"/>
    <s v="UNKNOWN"/>
    <x v="2"/>
  </r>
  <r>
    <n v="305120"/>
    <n v="57059"/>
    <x v="2"/>
    <x v="304"/>
    <x v="12"/>
    <s v="DELEGATE AGENCY"/>
    <s v="UNKNOWN"/>
    <x v="2"/>
  </r>
  <r>
    <n v="305121"/>
    <n v="41875"/>
    <x v="1"/>
    <x v="334"/>
    <x v="12"/>
    <s v="DELEGATE AGENCY"/>
    <s v="UNKNOWN"/>
    <x v="2"/>
  </r>
  <r>
    <n v="305122"/>
    <n v="41875"/>
    <x v="4"/>
    <x v="334"/>
    <x v="12"/>
    <s v="DELEGATE AGENCY"/>
    <s v="UNKNOWN"/>
    <x v="2"/>
  </r>
  <r>
    <n v="305123"/>
    <n v="41875"/>
    <x v="4"/>
    <x v="334"/>
    <x v="12"/>
    <s v="DELEGATE AGENCY"/>
    <s v="UNKNOWN"/>
    <x v="2"/>
  </r>
  <r>
    <n v="305124"/>
    <n v="41875"/>
    <x v="4"/>
    <x v="334"/>
    <x v="12"/>
    <s v="DELEGATE AGENCY"/>
    <s v="UNKNOWN"/>
    <x v="2"/>
  </r>
  <r>
    <n v="305125"/>
    <n v="1800000"/>
    <x v="4"/>
    <x v="297"/>
    <x v="12"/>
    <s v="DELEGATE AGENCY"/>
    <s v="UNKNOWN"/>
    <x v="2"/>
  </r>
  <r>
    <n v="305126"/>
    <n v="41875"/>
    <x v="0"/>
    <x v="334"/>
    <x v="12"/>
    <s v="DELEGATE AGENCY"/>
    <s v="UNKNOWN"/>
    <x v="2"/>
  </r>
  <r>
    <n v="305131"/>
    <n v="10250000"/>
    <x v="4"/>
    <x v="1125"/>
    <x v="20"/>
    <s v="COMPTROLLER-OTHER"/>
    <s v="UNKNOWN"/>
    <x v="2"/>
  </r>
  <r>
    <n v="305135"/>
    <n v="937281.6"/>
    <x v="0"/>
    <x v="156"/>
    <x v="3"/>
    <s v="COMPTROLLER-OTHER"/>
    <s v="UNKNOWN"/>
    <x v="2"/>
  </r>
  <r>
    <n v="305136"/>
    <n v="1529853"/>
    <x v="2"/>
    <x v="285"/>
    <x v="12"/>
    <s v="DELEGATE AGENCY"/>
    <s v="UNKNOWN"/>
    <x v="2"/>
  </r>
  <r>
    <n v="305137"/>
    <n v="978858"/>
    <x v="0"/>
    <x v="2272"/>
    <x v="25"/>
    <s v="COMPTROLLER-OTHER"/>
    <s v="UNKNOWN"/>
    <x v="2"/>
  </r>
  <r>
    <n v="305138"/>
    <n v="80000"/>
    <x v="2"/>
    <x v="436"/>
    <x v="12"/>
    <s v="DELEGATE AGENCY"/>
    <s v="UNKNOWN"/>
    <x v="2"/>
  </r>
  <r>
    <n v="305139"/>
    <n v="640000"/>
    <x v="1"/>
    <x v="5"/>
    <x v="12"/>
    <s v="DELEGATE AGENCY"/>
    <s v="UNKNOWN"/>
    <x v="2"/>
  </r>
  <r>
    <n v="305140"/>
    <n v="80000"/>
    <x v="2"/>
    <x v="496"/>
    <x v="12"/>
    <s v="DELEGATE AGENCY"/>
    <s v="UNKNOWN"/>
    <x v="2"/>
  </r>
  <r>
    <n v="305179"/>
    <n v="155055"/>
    <x v="1"/>
    <x v="362"/>
    <x v="12"/>
    <s v="DELEGATE AGENCY"/>
    <s v="UNKNOWN"/>
    <x v="2"/>
  </r>
  <r>
    <n v="305181"/>
    <n v="141600"/>
    <x v="1"/>
    <x v="368"/>
    <x v="12"/>
    <s v="DELEGATE AGENCY"/>
    <s v="UNKNOWN"/>
    <x v="2"/>
  </r>
  <r>
    <n v="305183"/>
    <n v="177787"/>
    <x v="1"/>
    <x v="289"/>
    <x v="12"/>
    <s v="DELEGATE AGENCY"/>
    <s v="UNKNOWN"/>
    <x v="2"/>
  </r>
  <r>
    <n v="305186"/>
    <n v="211541"/>
    <x v="1"/>
    <x v="369"/>
    <x v="12"/>
    <s v="DELEGATE AGENCY"/>
    <s v="UNKNOWN"/>
    <x v="2"/>
  </r>
  <r>
    <n v="305193"/>
    <n v="175220"/>
    <x v="1"/>
    <x v="356"/>
    <x v="12"/>
    <s v="DELEGATE AGENCY"/>
    <s v="UNKNOWN"/>
    <x v="2"/>
  </r>
  <r>
    <n v="305198"/>
    <n v="98830"/>
    <x v="1"/>
    <x v="341"/>
    <x v="12"/>
    <s v="DELEGATE AGENCY"/>
    <s v="UNKNOWN"/>
    <x v="2"/>
  </r>
  <r>
    <n v="305202"/>
    <n v="400000"/>
    <x v="1"/>
    <x v="25"/>
    <x v="12"/>
    <s v="DELEGATE AGENCY"/>
    <s v="UNKNOWN"/>
    <x v="2"/>
  </r>
  <r>
    <n v="305205"/>
    <n v="1279342"/>
    <x v="2"/>
    <x v="284"/>
    <x v="12"/>
    <s v="DELEGATE AGENCY"/>
    <s v="UNKNOWN"/>
    <x v="2"/>
  </r>
  <r>
    <n v="305212"/>
    <n v="12629"/>
    <x v="0"/>
    <x v="287"/>
    <x v="12"/>
    <s v="DELEGATE AGENCY"/>
    <s v="UNKNOWN"/>
    <x v="2"/>
  </r>
  <r>
    <n v="305216"/>
    <n v="340320"/>
    <x v="4"/>
    <x v="301"/>
    <x v="12"/>
    <s v="DELEGATE AGENCY"/>
    <s v="UNKNOWN"/>
    <x v="2"/>
  </r>
  <r>
    <n v="305217"/>
    <n v="295837"/>
    <x v="2"/>
    <x v="309"/>
    <x v="12"/>
    <s v="DELEGATE AGENCY"/>
    <s v="UNKNOWN"/>
    <x v="2"/>
  </r>
  <r>
    <n v="305218"/>
    <n v="112500"/>
    <x v="2"/>
    <x v="114"/>
    <x v="12"/>
    <s v="DELEGATE AGENCY"/>
    <s v="UNKNOWN"/>
    <x v="2"/>
  </r>
  <r>
    <n v="305219"/>
    <n v="370451"/>
    <x v="1"/>
    <x v="285"/>
    <x v="12"/>
    <s v="DELEGATE AGENCY"/>
    <s v="UNKNOWN"/>
    <x v="2"/>
  </r>
  <r>
    <n v="305220"/>
    <n v="716247"/>
    <x v="2"/>
    <x v="296"/>
    <x v="12"/>
    <s v="DELEGATE AGENCY"/>
    <s v="UNKNOWN"/>
    <x v="2"/>
  </r>
  <r>
    <n v="305222"/>
    <n v="32556.2"/>
    <x v="2"/>
    <x v="295"/>
    <x v="12"/>
    <s v="DELEGATE AGENCY"/>
    <s v="UNKNOWN"/>
    <x v="2"/>
  </r>
  <r>
    <n v="305223"/>
    <n v="548981"/>
    <x v="4"/>
    <x v="86"/>
    <x v="12"/>
    <s v="DELEGATE AGENCY"/>
    <s v="UNKNOWN"/>
    <x v="2"/>
  </r>
  <r>
    <n v="305224"/>
    <n v="8634366"/>
    <x v="2"/>
    <x v="285"/>
    <x v="12"/>
    <s v="DELEGATE AGENCY"/>
    <s v="UNKNOWN"/>
    <x v="2"/>
  </r>
  <r>
    <n v="305225"/>
    <n v="150000"/>
    <x v="0"/>
    <x v="290"/>
    <x v="12"/>
    <s v="DELEGATE AGENCY"/>
    <s v="UNKNOWN"/>
    <x v="2"/>
  </r>
  <r>
    <n v="305226"/>
    <n v="401500"/>
    <x v="1"/>
    <x v="295"/>
    <x v="12"/>
    <s v="DELEGATE AGENCY"/>
    <s v="UNKNOWN"/>
    <x v="2"/>
  </r>
  <r>
    <n v="305227"/>
    <n v="237500"/>
    <x v="2"/>
    <x v="290"/>
    <x v="12"/>
    <s v="DELEGATE AGENCY"/>
    <s v="UNKNOWN"/>
    <x v="2"/>
  </r>
  <r>
    <n v="305228"/>
    <n v="14000092"/>
    <x v="1"/>
    <x v="285"/>
    <x v="12"/>
    <s v="DELEGATE AGENCY"/>
    <s v="UNKNOWN"/>
    <x v="2"/>
  </r>
  <r>
    <n v="305231"/>
    <n v="20222"/>
    <x v="0"/>
    <x v="290"/>
    <x v="12"/>
    <s v="DELEGATE AGENCY"/>
    <s v="UNKNOWN"/>
    <x v="2"/>
  </r>
  <r>
    <n v="305276"/>
    <n v="52500"/>
    <x v="4"/>
    <x v="216"/>
    <x v="22"/>
    <s v="DELEGATE AGENCY"/>
    <s v="UNKNOWN"/>
    <x v="2"/>
  </r>
  <r>
    <n v="305303"/>
    <n v="19609340"/>
    <x v="1"/>
    <x v="21"/>
    <x v="5"/>
    <s v="CONSTRUCTION-GENERAL"/>
    <s v="BID"/>
    <x v="2"/>
  </r>
  <r>
    <n v="305349"/>
    <n v="838628"/>
    <x v="0"/>
    <x v="284"/>
    <x v="12"/>
    <s v="DELEGATE AGENCY"/>
    <s v="UNKNOWN"/>
    <x v="2"/>
  </r>
  <r>
    <n v="305350"/>
    <n v="398008"/>
    <x v="2"/>
    <x v="284"/>
    <x v="12"/>
    <s v="DELEGATE AGENCY"/>
    <s v="UNKNOWN"/>
    <x v="2"/>
  </r>
  <r>
    <n v="305353"/>
    <n v="300000"/>
    <x v="2"/>
    <x v="285"/>
    <x v="12"/>
    <s v="DELEGATE AGENCY"/>
    <s v="UNKNOWN"/>
    <x v="2"/>
  </r>
  <r>
    <n v="305356"/>
    <n v="250098"/>
    <x v="2"/>
    <x v="309"/>
    <x v="12"/>
    <s v="DELEGATE AGENCY"/>
    <s v="UNKNOWN"/>
    <x v="2"/>
  </r>
  <r>
    <n v="305357"/>
    <n v="5687"/>
    <x v="2"/>
    <x v="335"/>
    <x v="12"/>
    <s v="DELEGATE AGENCY"/>
    <s v="UNKNOWN"/>
    <x v="2"/>
  </r>
  <r>
    <n v="305360"/>
    <n v="72269.399999999994"/>
    <x v="3"/>
    <x v="216"/>
    <x v="12"/>
    <s v="DELEGATE AGENCY"/>
    <s v="UNKNOWN"/>
    <x v="2"/>
  </r>
  <r>
    <n v="305362"/>
    <n v="237490"/>
    <x v="1"/>
    <x v="289"/>
    <x v="12"/>
    <s v="DELEGATE AGENCY"/>
    <s v="UNKNOWN"/>
    <x v="2"/>
  </r>
  <r>
    <n v="305366"/>
    <n v="94088"/>
    <x v="1"/>
    <x v="228"/>
    <x v="12"/>
    <s v="DELEGATE AGENCY"/>
    <s v="UNKNOWN"/>
    <x v="2"/>
  </r>
  <r>
    <n v="305368"/>
    <n v="613163.1"/>
    <x v="1"/>
    <x v="306"/>
    <x v="12"/>
    <s v="DELEGATE AGENCY"/>
    <s v="UNKNOWN"/>
    <x v="2"/>
  </r>
  <r>
    <n v="305372"/>
    <n v="221588.7"/>
    <x v="2"/>
    <x v="298"/>
    <x v="12"/>
    <s v="DELEGATE AGENCY"/>
    <s v="UNKNOWN"/>
    <x v="2"/>
  </r>
  <r>
    <n v="305374"/>
    <n v="67000"/>
    <x v="1"/>
    <x v="287"/>
    <x v="12"/>
    <s v="DELEGATE AGENCY"/>
    <s v="UNKNOWN"/>
    <x v="2"/>
  </r>
  <r>
    <n v="305375"/>
    <n v="30560"/>
    <x v="1"/>
    <x v="287"/>
    <x v="12"/>
    <s v="DELEGATE AGENCY"/>
    <s v="UNKNOWN"/>
    <x v="2"/>
  </r>
  <r>
    <n v="305376"/>
    <n v="31478"/>
    <x v="4"/>
    <x v="285"/>
    <x v="12"/>
    <s v="DELEGATE AGENCY"/>
    <s v="UNKNOWN"/>
    <x v="2"/>
  </r>
  <r>
    <n v="305377"/>
    <n v="22783"/>
    <x v="4"/>
    <x v="114"/>
    <x v="12"/>
    <s v="DELEGATE AGENCY"/>
    <s v="UNKNOWN"/>
    <x v="2"/>
  </r>
  <r>
    <n v="305378"/>
    <n v="109709"/>
    <x v="4"/>
    <x v="287"/>
    <x v="12"/>
    <s v="DELEGATE AGENCY"/>
    <s v="UNKNOWN"/>
    <x v="2"/>
  </r>
  <r>
    <n v="305379"/>
    <n v="124346"/>
    <x v="1"/>
    <x v="216"/>
    <x v="12"/>
    <s v="DELEGATE AGENCY"/>
    <s v="UNKNOWN"/>
    <x v="2"/>
  </r>
  <r>
    <n v="305380"/>
    <n v="189000"/>
    <x v="1"/>
    <x v="583"/>
    <x v="12"/>
    <s v="DELEGATE AGENCY"/>
    <s v="UNKNOWN"/>
    <x v="2"/>
  </r>
  <r>
    <n v="305381"/>
    <n v="35343"/>
    <x v="1"/>
    <x v="304"/>
    <x v="12"/>
    <s v="DELEGATE AGENCY"/>
    <s v="UNKNOWN"/>
    <x v="2"/>
  </r>
  <r>
    <n v="305383"/>
    <n v="52650"/>
    <x v="4"/>
    <x v="360"/>
    <x v="22"/>
    <s v="DELEGATE AGENCY"/>
    <s v="UNKNOWN"/>
    <x v="2"/>
  </r>
  <r>
    <n v="305384"/>
    <n v="52500"/>
    <x v="1"/>
    <x v="393"/>
    <x v="22"/>
    <s v="DELEGATE AGENCY"/>
    <s v="UNKNOWN"/>
    <x v="2"/>
  </r>
  <r>
    <n v="30543"/>
    <n v="1391531.9"/>
    <x v="1"/>
    <x v="509"/>
    <x v="0"/>
    <s v="ARCH/ENGINEERING"/>
    <s v="RFP"/>
    <x v="2"/>
  </r>
  <r>
    <n v="30544"/>
    <n v="819348.6"/>
    <x v="0"/>
    <x v="2288"/>
    <x v="3"/>
    <s v="WORK SERVICES / FACILITIES MAINT."/>
    <s v="BID"/>
    <x v="2"/>
  </r>
  <r>
    <n v="305444"/>
    <n v="40000"/>
    <x v="2"/>
    <x v="983"/>
    <x v="21"/>
    <s v="DELEGATE AGENCY"/>
    <s v="UNKNOWN"/>
    <x v="2"/>
  </r>
  <r>
    <n v="305445"/>
    <n v="50000"/>
    <x v="4"/>
    <x v="1439"/>
    <x v="21"/>
    <s v="DELEGATE AGENCY"/>
    <s v="UNKNOWN"/>
    <x v="2"/>
  </r>
  <r>
    <n v="305446"/>
    <n v="40000"/>
    <x v="1"/>
    <x v="378"/>
    <x v="21"/>
    <s v="DELEGATE AGENCY"/>
    <s v="UNKNOWN"/>
    <x v="2"/>
  </r>
  <r>
    <n v="305453"/>
    <n v="78712"/>
    <x v="4"/>
    <x v="228"/>
    <x v="12"/>
    <s v="DELEGATE AGENCY"/>
    <s v="UNKNOWN"/>
    <x v="2"/>
  </r>
  <r>
    <n v="305463"/>
    <n v="95184"/>
    <x v="1"/>
    <x v="1042"/>
    <x v="22"/>
    <s v="DELEGATE AGENCY"/>
    <s v="UNKNOWN"/>
    <x v="2"/>
  </r>
  <r>
    <n v="30547"/>
    <n v="7532075.5999999996"/>
    <x v="1"/>
    <x v="2289"/>
    <x v="1"/>
    <s v="PROPERTY LEASE"/>
    <s v="UNKNOWN"/>
    <x v="0"/>
  </r>
  <r>
    <n v="305506"/>
    <n v="1947000"/>
    <x v="0"/>
    <x v="337"/>
    <x v="26"/>
    <s v="DELEGATE AGENCY"/>
    <s v="UNKNOWN"/>
    <x v="2"/>
  </r>
  <r>
    <n v="305531"/>
    <n v="101121"/>
    <x v="0"/>
    <x v="377"/>
    <x v="2"/>
    <s v="DELEGATE AGENCY"/>
    <s v="UNKNOWN"/>
    <x v="2"/>
  </r>
  <r>
    <n v="305538"/>
    <n v="20909550"/>
    <x v="1"/>
    <x v="267"/>
    <x v="5"/>
    <s v="CONSTRUCTION-GENERAL"/>
    <s v="BID"/>
    <x v="2"/>
  </r>
  <r>
    <n v="305540"/>
    <n v="75000"/>
    <x v="0"/>
    <x v="974"/>
    <x v="21"/>
    <s v="DELEGATE AGENCY"/>
    <s v="UNKNOWN"/>
    <x v="2"/>
  </r>
  <r>
    <n v="305541"/>
    <n v="50000"/>
    <x v="1"/>
    <x v="959"/>
    <x v="21"/>
    <s v="DELEGATE AGENCY"/>
    <s v="UNKNOWN"/>
    <x v="2"/>
  </r>
  <r>
    <n v="305550"/>
    <n v="18443905"/>
    <x v="1"/>
    <x v="226"/>
    <x v="5"/>
    <s v="CONSTRUCTION-GENERAL"/>
    <s v="BID"/>
    <x v="2"/>
  </r>
  <r>
    <n v="305553"/>
    <n v="200000"/>
    <x v="0"/>
    <x v="337"/>
    <x v="26"/>
    <s v="DELEGATE AGENCY"/>
    <s v="UNKNOWN"/>
    <x v="2"/>
  </r>
  <r>
    <n v="305555"/>
    <n v="41875"/>
    <x v="1"/>
    <x v="333"/>
    <x v="12"/>
    <s v="DELEGATE AGENCY"/>
    <s v="UNKNOWN"/>
    <x v="2"/>
  </r>
  <r>
    <n v="305559"/>
    <n v="150000"/>
    <x v="4"/>
    <x v="474"/>
    <x v="2"/>
    <s v="COMPTROLLER-OTHER"/>
    <s v="UNKNOWN"/>
    <x v="2"/>
  </r>
  <r>
    <n v="305561"/>
    <n v="10160500"/>
    <x v="1"/>
    <x v="2290"/>
    <x v="2"/>
    <s v="COMPTROLLER-OTHER"/>
    <s v="UNKNOWN"/>
    <x v="2"/>
  </r>
  <r>
    <n v="305574"/>
    <n v="120000"/>
    <x v="0"/>
    <x v="1109"/>
    <x v="22"/>
    <s v="DELEGATE AGENCY"/>
    <s v="UNKNOWN"/>
    <x v="2"/>
  </r>
  <r>
    <n v="305575"/>
    <n v="87427"/>
    <x v="1"/>
    <x v="992"/>
    <x v="2"/>
    <s v="DELEGATE AGENCY"/>
    <s v="UNKNOWN"/>
    <x v="2"/>
  </r>
  <r>
    <n v="305729"/>
    <n v="173081"/>
    <x v="1"/>
    <x v="468"/>
    <x v="8"/>
    <s v="DELEGATE AGENCY"/>
    <s v="UNKNOWN"/>
    <x v="2"/>
  </r>
  <r>
    <n v="305731"/>
    <n v="100000"/>
    <x v="1"/>
    <x v="391"/>
    <x v="21"/>
    <s v="DELEGATE AGENCY"/>
    <s v="UNKNOWN"/>
    <x v="2"/>
  </r>
  <r>
    <n v="305732"/>
    <n v="240000"/>
    <x v="1"/>
    <x v="114"/>
    <x v="8"/>
    <s v="DELEGATE AGENCY"/>
    <s v="UNKNOWN"/>
    <x v="2"/>
  </r>
  <r>
    <n v="305761"/>
    <n v="66000"/>
    <x v="1"/>
    <x v="335"/>
    <x v="12"/>
    <s v="DELEGATE AGENCY"/>
    <s v="UNKNOWN"/>
    <x v="2"/>
  </r>
  <r>
    <n v="305762"/>
    <n v="200000"/>
    <x v="1"/>
    <x v="326"/>
    <x v="26"/>
    <s v="DELEGATE AGENCY"/>
    <s v="UNKNOWN"/>
    <x v="2"/>
  </r>
  <r>
    <n v="305763"/>
    <n v="749000"/>
    <x v="1"/>
    <x v="326"/>
    <x v="26"/>
    <s v="DELEGATE AGENCY"/>
    <s v="UNKNOWN"/>
    <x v="2"/>
  </r>
  <r>
    <n v="305797"/>
    <n v="72769"/>
    <x v="2"/>
    <x v="433"/>
    <x v="22"/>
    <s v="DELEGATE AGENCY"/>
    <s v="UNKNOWN"/>
    <x v="2"/>
  </r>
  <r>
    <n v="305826"/>
    <n v="50000"/>
    <x v="1"/>
    <x v="353"/>
    <x v="21"/>
    <s v="DELEGATE AGENCY"/>
    <s v="UNKNOWN"/>
    <x v="2"/>
  </r>
  <r>
    <n v="305827"/>
    <n v="40000"/>
    <x v="1"/>
    <x v="966"/>
    <x v="21"/>
    <s v="DELEGATE AGENCY"/>
    <s v="UNKNOWN"/>
    <x v="2"/>
  </r>
  <r>
    <n v="305828"/>
    <n v="59385"/>
    <x v="4"/>
    <x v="370"/>
    <x v="12"/>
    <s v="DELEGATE AGENCY"/>
    <s v="UNKNOWN"/>
    <x v="2"/>
  </r>
  <r>
    <n v="305829"/>
    <n v="105024"/>
    <x v="1"/>
    <x v="76"/>
    <x v="12"/>
    <s v="DELEGATE AGENCY"/>
    <s v="UNKNOWN"/>
    <x v="2"/>
  </r>
  <r>
    <n v="305830"/>
    <n v="129250"/>
    <x v="1"/>
    <x v="311"/>
    <x v="12"/>
    <s v="DELEGATE AGENCY"/>
    <s v="UNKNOWN"/>
    <x v="2"/>
  </r>
  <r>
    <n v="305831"/>
    <n v="52500"/>
    <x v="1"/>
    <x v="385"/>
    <x v="22"/>
    <s v="DELEGATE AGENCY"/>
    <s v="UNKNOWN"/>
    <x v="2"/>
  </r>
  <r>
    <n v="305863"/>
    <n v="25000"/>
    <x v="1"/>
    <x v="2260"/>
    <x v="21"/>
    <s v="DELEGATE AGENCY"/>
    <s v="UNKNOWN"/>
    <x v="2"/>
  </r>
  <r>
    <n v="305875"/>
    <n v="1155"/>
    <x v="4"/>
    <x v="2291"/>
    <x v="0"/>
    <s v="EXHIBIT-A"/>
    <s v="UNKNOWN"/>
    <x v="2"/>
  </r>
  <r>
    <n v="305877"/>
    <n v="299128"/>
    <x v="3"/>
    <x v="1227"/>
    <x v="12"/>
    <s v="DELEGATE AGENCY"/>
    <s v="UNKNOWN"/>
    <x v="2"/>
  </r>
  <r>
    <n v="305878"/>
    <n v="299040"/>
    <x v="2"/>
    <x v="1227"/>
    <x v="12"/>
    <s v="DELEGATE AGENCY"/>
    <s v="UNKNOWN"/>
    <x v="2"/>
  </r>
  <r>
    <n v="305929"/>
    <n v="40000"/>
    <x v="2"/>
    <x v="973"/>
    <x v="21"/>
    <s v="DELEGATE AGENCY"/>
    <s v="UNKNOWN"/>
    <x v="2"/>
  </r>
  <r>
    <n v="305959"/>
    <n v="120000"/>
    <x v="4"/>
    <x v="408"/>
    <x v="22"/>
    <s v="DELEGATE AGENCY"/>
    <s v="UNKNOWN"/>
    <x v="2"/>
  </r>
  <r>
    <n v="305961"/>
    <n v="72770"/>
    <x v="1"/>
    <x v="503"/>
    <x v="22"/>
    <s v="DELEGATE AGENCY"/>
    <s v="UNKNOWN"/>
    <x v="2"/>
  </r>
  <r>
    <n v="305965"/>
    <n v="62280"/>
    <x v="1"/>
    <x v="325"/>
    <x v="22"/>
    <s v="DELEGATE AGENCY"/>
    <s v="UNKNOWN"/>
    <x v="2"/>
  </r>
  <r>
    <n v="305972"/>
    <n v="1352875"/>
    <x v="1"/>
    <x v="359"/>
    <x v="12"/>
    <s v="DELEGATE AGENCY"/>
    <s v="UNKNOWN"/>
    <x v="2"/>
  </r>
  <r>
    <n v="305976"/>
    <n v="494000"/>
    <x v="0"/>
    <x v="379"/>
    <x v="2"/>
    <s v="COMPTROLLER-OTHER"/>
    <s v="UNKNOWN"/>
    <x v="2"/>
  </r>
  <r>
    <n v="305978"/>
    <n v="2500000"/>
    <x v="2"/>
    <x v="2292"/>
    <x v="2"/>
    <s v="COMPTROLLER-OTHER"/>
    <s v="UNKNOWN"/>
    <x v="2"/>
  </r>
  <r>
    <n v="305980"/>
    <n v="250000"/>
    <x v="0"/>
    <x v="2293"/>
    <x v="2"/>
    <s v="COMPTROLLER-OTHER"/>
    <s v="UNKNOWN"/>
    <x v="2"/>
  </r>
  <r>
    <n v="305983"/>
    <n v="455000"/>
    <x v="2"/>
    <x v="197"/>
    <x v="2"/>
    <s v="COMPTROLLER-OTHER"/>
    <s v="UNKNOWN"/>
    <x v="2"/>
  </r>
  <r>
    <n v="305997"/>
    <n v="265500"/>
    <x v="2"/>
    <x v="181"/>
    <x v="21"/>
    <s v="COMPTROLLER-OTHER"/>
    <s v="UNKNOWN"/>
    <x v="2"/>
  </r>
  <r>
    <n v="306008"/>
    <n v="52500"/>
    <x v="2"/>
    <x v="382"/>
    <x v="22"/>
    <s v="DELEGATE AGENCY"/>
    <s v="UNKNOWN"/>
    <x v="2"/>
  </r>
  <r>
    <n v="306010"/>
    <n v="52500"/>
    <x v="1"/>
    <x v="384"/>
    <x v="22"/>
    <s v="DELEGATE AGENCY"/>
    <s v="UNKNOWN"/>
    <x v="2"/>
  </r>
  <r>
    <n v="306042"/>
    <n v="225000"/>
    <x v="1"/>
    <x v="2294"/>
    <x v="20"/>
    <s v="COMPTROLLER-OTHER"/>
    <s v="UNKNOWN"/>
    <x v="2"/>
  </r>
  <r>
    <n v="306071"/>
    <n v="413355"/>
    <x v="1"/>
    <x v="391"/>
    <x v="8"/>
    <s v="DELEGATE AGENCY"/>
    <s v="UNKNOWN"/>
    <x v="2"/>
  </r>
  <r>
    <n v="306114"/>
    <n v="109455.7"/>
    <x v="2"/>
    <x v="490"/>
    <x v="20"/>
    <s v="COMPTROLLER-OTHER"/>
    <s v="UNKNOWN"/>
    <x v="2"/>
  </r>
  <r>
    <n v="306120"/>
    <n v="536500"/>
    <x v="1"/>
    <x v="490"/>
    <x v="20"/>
    <s v="COMPTROLLER-OTHER"/>
    <s v="UNKNOWN"/>
    <x v="2"/>
  </r>
  <r>
    <n v="306135"/>
    <n v="43078"/>
    <x v="2"/>
    <x v="572"/>
    <x v="12"/>
    <s v="DELEGATE AGENCY"/>
    <s v="UNKNOWN"/>
    <x v="2"/>
  </r>
  <r>
    <n v="306148"/>
    <n v="74236"/>
    <x v="4"/>
    <x v="315"/>
    <x v="12"/>
    <s v="DELEGATE AGENCY"/>
    <s v="UNKNOWN"/>
    <x v="2"/>
  </r>
  <r>
    <n v="306222"/>
    <n v="40078"/>
    <x v="1"/>
    <x v="1553"/>
    <x v="12"/>
    <s v="DELEGATE AGENCY"/>
    <s v="UNKNOWN"/>
    <x v="2"/>
  </r>
  <r>
    <n v="306223"/>
    <n v="40078"/>
    <x v="4"/>
    <x v="578"/>
    <x v="12"/>
    <s v="DELEGATE AGENCY"/>
    <s v="UNKNOWN"/>
    <x v="2"/>
  </r>
  <r>
    <n v="306225"/>
    <n v="40078"/>
    <x v="4"/>
    <x v="446"/>
    <x v="12"/>
    <s v="DELEGATE AGENCY"/>
    <s v="UNKNOWN"/>
    <x v="2"/>
  </r>
  <r>
    <n v="306226"/>
    <n v="40078"/>
    <x v="4"/>
    <x v="1152"/>
    <x v="12"/>
    <s v="DELEGATE AGENCY"/>
    <s v="UNKNOWN"/>
    <x v="2"/>
  </r>
  <r>
    <n v="306227"/>
    <n v="50000"/>
    <x v="4"/>
    <x v="962"/>
    <x v="21"/>
    <s v="DELEGATE AGENCY"/>
    <s v="UNKNOWN"/>
    <x v="2"/>
  </r>
  <r>
    <n v="306228"/>
    <n v="40078"/>
    <x v="1"/>
    <x v="391"/>
    <x v="12"/>
    <s v="DELEGATE AGENCY"/>
    <s v="UNKNOWN"/>
    <x v="2"/>
  </r>
  <r>
    <n v="306269"/>
    <n v="275000"/>
    <x v="4"/>
    <x v="44"/>
    <x v="8"/>
    <s v="DELEGATE AGENCY"/>
    <s v="UNKNOWN"/>
    <x v="2"/>
  </r>
  <r>
    <n v="306270"/>
    <n v="5032000"/>
    <x v="2"/>
    <x v="230"/>
    <x v="1"/>
    <s v="CONSTRUCTION-GENERAL"/>
    <s v="BID"/>
    <x v="2"/>
  </r>
  <r>
    <n v="306274"/>
    <n v="90000"/>
    <x v="0"/>
    <x v="1139"/>
    <x v="22"/>
    <s v="DELEGATE AGENCY"/>
    <s v="UNKNOWN"/>
    <x v="2"/>
  </r>
  <r>
    <n v="306283"/>
    <n v="4738000"/>
    <x v="1"/>
    <x v="230"/>
    <x v="1"/>
    <s v="CONSTRUCTION-GENERAL"/>
    <s v="BID"/>
    <x v="2"/>
  </r>
  <r>
    <n v="306286"/>
    <n v="4323000"/>
    <x v="0"/>
    <x v="230"/>
    <x v="5"/>
    <s v="CONSTRUCTION-GENERAL"/>
    <s v="BID"/>
    <x v="2"/>
  </r>
  <r>
    <n v="306315"/>
    <n v="44600"/>
    <x v="0"/>
    <x v="299"/>
    <x v="12"/>
    <s v="DELEGATE AGENCY"/>
    <s v="UNKNOWN"/>
    <x v="2"/>
  </r>
  <r>
    <n v="306318"/>
    <n v="80000"/>
    <x v="4"/>
    <x v="298"/>
    <x v="12"/>
    <s v="DELEGATE AGENCY"/>
    <s v="UNKNOWN"/>
    <x v="2"/>
  </r>
  <r>
    <n v="30633"/>
    <n v="1060000"/>
    <x v="1"/>
    <x v="461"/>
    <x v="8"/>
    <s v="PRO SERV CONSULTING $250,000orABOVE"/>
    <s v="RFP"/>
    <x v="0"/>
  </r>
  <r>
    <n v="306339"/>
    <n v="129911"/>
    <x v="0"/>
    <x v="378"/>
    <x v="2"/>
    <s v="DELEGATE AGENCY"/>
    <s v="UNKNOWN"/>
    <x v="2"/>
  </r>
  <r>
    <n v="306349"/>
    <n v="50000"/>
    <x v="1"/>
    <x v="400"/>
    <x v="22"/>
    <s v="DELEGATE AGENCY"/>
    <s v="UNKNOWN"/>
    <x v="2"/>
  </r>
  <r>
    <n v="306354"/>
    <n v="40302"/>
    <x v="1"/>
    <x v="380"/>
    <x v="2"/>
    <s v="DELEGATE AGENCY"/>
    <s v="UNKNOWN"/>
    <x v="2"/>
  </r>
  <r>
    <n v="306373"/>
    <n v="72770"/>
    <x v="4"/>
    <x v="1501"/>
    <x v="22"/>
    <s v="DELEGATE AGENCY"/>
    <s v="UNKNOWN"/>
    <x v="2"/>
  </r>
  <r>
    <n v="306454"/>
    <n v="156400"/>
    <x v="1"/>
    <x v="346"/>
    <x v="12"/>
    <s v="DELEGATE AGENCY"/>
    <s v="UNKNOWN"/>
    <x v="2"/>
  </r>
  <r>
    <n v="306603"/>
    <n v="52800"/>
    <x v="1"/>
    <x v="59"/>
    <x v="12"/>
    <s v="DELEGATE AGENCY"/>
    <s v="UNKNOWN"/>
    <x v="2"/>
  </r>
  <r>
    <n v="306676"/>
    <n v="40078"/>
    <x v="1"/>
    <x v="201"/>
    <x v="12"/>
    <s v="DELEGATE AGENCY"/>
    <s v="UNKNOWN"/>
    <x v="2"/>
  </r>
  <r>
    <n v="306677"/>
    <n v="40078"/>
    <x v="4"/>
    <x v="593"/>
    <x v="12"/>
    <s v="DELEGATE AGENCY"/>
    <s v="UNKNOWN"/>
    <x v="2"/>
  </r>
  <r>
    <n v="306678"/>
    <n v="124349"/>
    <x v="4"/>
    <x v="436"/>
    <x v="12"/>
    <s v="DELEGATE AGENCY"/>
    <s v="UNKNOWN"/>
    <x v="2"/>
  </r>
  <r>
    <n v="306679"/>
    <n v="40078"/>
    <x v="1"/>
    <x v="204"/>
    <x v="12"/>
    <s v="DELEGATE AGENCY"/>
    <s v="UNKNOWN"/>
    <x v="2"/>
  </r>
  <r>
    <n v="306680"/>
    <n v="40078"/>
    <x v="4"/>
    <x v="879"/>
    <x v="12"/>
    <s v="DELEGATE AGENCY"/>
    <s v="UNKNOWN"/>
    <x v="2"/>
  </r>
  <r>
    <n v="306681"/>
    <n v="40078"/>
    <x v="4"/>
    <x v="583"/>
    <x v="12"/>
    <s v="DELEGATE AGENCY"/>
    <s v="UNKNOWN"/>
    <x v="2"/>
  </r>
  <r>
    <n v="306682"/>
    <n v="12000000"/>
    <x v="4"/>
    <x v="2295"/>
    <x v="6"/>
    <s v="PRO SERV-AVIATION"/>
    <s v="CONTRACT ASSIGNMENT/TRANSFER"/>
    <x v="2"/>
  </r>
  <r>
    <n v="306683"/>
    <n v="111880"/>
    <x v="0"/>
    <x v="221"/>
    <x v="2"/>
    <s v="DELEGATE AGENCY"/>
    <s v="UNKNOWN"/>
    <x v="2"/>
  </r>
  <r>
    <n v="306720"/>
    <n v="60000"/>
    <x v="1"/>
    <x v="316"/>
    <x v="22"/>
    <s v="DELEGATE AGENCY"/>
    <s v="UNKNOWN"/>
    <x v="2"/>
  </r>
  <r>
    <n v="306733"/>
    <n v="247999"/>
    <x v="1"/>
    <x v="59"/>
    <x v="12"/>
    <s v="DELEGATE AGENCY"/>
    <s v="UNKNOWN"/>
    <x v="2"/>
  </r>
  <r>
    <n v="306810"/>
    <n v="75000"/>
    <x v="1"/>
    <x v="228"/>
    <x v="12"/>
    <s v="DELEGATE AGENCY"/>
    <s v="UNKNOWN"/>
    <x v="2"/>
  </r>
  <r>
    <n v="306811"/>
    <n v="200000"/>
    <x v="1"/>
    <x v="1227"/>
    <x v="12"/>
    <s v="DELEGATE AGENCY"/>
    <s v="UNKNOWN"/>
    <x v="2"/>
  </r>
  <r>
    <n v="306812"/>
    <n v="200000"/>
    <x v="1"/>
    <x v="1227"/>
    <x v="12"/>
    <s v="DELEGATE AGENCY"/>
    <s v="UNKNOWN"/>
    <x v="2"/>
  </r>
  <r>
    <n v="306814"/>
    <n v="184487.4"/>
    <x v="1"/>
    <x v="313"/>
    <x v="12"/>
    <s v="DELEGATE AGENCY"/>
    <s v="UNKNOWN"/>
    <x v="2"/>
  </r>
  <r>
    <n v="306815"/>
    <n v="492750"/>
    <x v="1"/>
    <x v="290"/>
    <x v="12"/>
    <s v="DELEGATE AGENCY"/>
    <s v="UNKNOWN"/>
    <x v="2"/>
  </r>
  <r>
    <n v="306816"/>
    <n v="666490"/>
    <x v="2"/>
    <x v="308"/>
    <x v="12"/>
    <s v="DELEGATE AGENCY"/>
    <s v="UNKNOWN"/>
    <x v="2"/>
  </r>
  <r>
    <n v="306817"/>
    <n v="106033"/>
    <x v="2"/>
    <x v="308"/>
    <x v="12"/>
    <s v="DELEGATE AGENCY"/>
    <s v="UNKNOWN"/>
    <x v="2"/>
  </r>
  <r>
    <n v="306818"/>
    <n v="50836"/>
    <x v="1"/>
    <x v="213"/>
    <x v="12"/>
    <s v="DELEGATE AGENCY"/>
    <s v="UNKNOWN"/>
    <x v="2"/>
  </r>
  <r>
    <n v="306819"/>
    <n v="150200"/>
    <x v="1"/>
    <x v="1871"/>
    <x v="12"/>
    <s v="DELEGATE AGENCY"/>
    <s v="UNKNOWN"/>
    <x v="2"/>
  </r>
  <r>
    <n v="306820"/>
    <n v="80750"/>
    <x v="1"/>
    <x v="310"/>
    <x v="12"/>
    <s v="DELEGATE AGENCY"/>
    <s v="UNKNOWN"/>
    <x v="2"/>
  </r>
  <r>
    <n v="306821"/>
    <n v="262500"/>
    <x v="1"/>
    <x v="292"/>
    <x v="12"/>
    <s v="DELEGATE AGENCY"/>
    <s v="UNKNOWN"/>
    <x v="2"/>
  </r>
  <r>
    <n v="306822"/>
    <n v="307516"/>
    <x v="2"/>
    <x v="335"/>
    <x v="12"/>
    <s v="DELEGATE AGENCY"/>
    <s v="UNKNOWN"/>
    <x v="2"/>
  </r>
  <r>
    <n v="306823"/>
    <n v="122241"/>
    <x v="2"/>
    <x v="175"/>
    <x v="12"/>
    <s v="DELEGATE AGENCY"/>
    <s v="UNKNOWN"/>
    <x v="2"/>
  </r>
  <r>
    <n v="306824"/>
    <n v="240358.39999999999"/>
    <x v="1"/>
    <x v="309"/>
    <x v="12"/>
    <s v="DELEGATE AGENCY"/>
    <s v="UNKNOWN"/>
    <x v="2"/>
  </r>
  <r>
    <n v="306825"/>
    <n v="175076"/>
    <x v="1"/>
    <x v="24"/>
    <x v="12"/>
    <s v="DELEGATE AGENCY"/>
    <s v="UNKNOWN"/>
    <x v="2"/>
  </r>
  <r>
    <n v="306826"/>
    <n v="513258"/>
    <x v="1"/>
    <x v="24"/>
    <x v="12"/>
    <s v="DELEGATE AGENCY"/>
    <s v="UNKNOWN"/>
    <x v="2"/>
  </r>
  <r>
    <n v="306827"/>
    <n v="24841.7"/>
    <x v="2"/>
    <x v="310"/>
    <x v="12"/>
    <s v="DELEGATE AGENCY"/>
    <s v="UNKNOWN"/>
    <x v="2"/>
  </r>
  <r>
    <n v="306828"/>
    <n v="257066"/>
    <x v="4"/>
    <x v="309"/>
    <x v="12"/>
    <s v="DELEGATE AGENCY"/>
    <s v="UNKNOWN"/>
    <x v="2"/>
  </r>
  <r>
    <n v="306829"/>
    <n v="69000"/>
    <x v="2"/>
    <x v="588"/>
    <x v="12"/>
    <s v="DELEGATE AGENCY"/>
    <s v="UNKNOWN"/>
    <x v="2"/>
  </r>
  <r>
    <n v="306830"/>
    <n v="72000"/>
    <x v="1"/>
    <x v="125"/>
    <x v="12"/>
    <s v="DELEGATE AGENCY"/>
    <s v="UNKNOWN"/>
    <x v="2"/>
  </r>
  <r>
    <n v="306831"/>
    <n v="60000"/>
    <x v="1"/>
    <x v="313"/>
    <x v="12"/>
    <s v="DELEGATE AGENCY"/>
    <s v="UNKNOWN"/>
    <x v="2"/>
  </r>
  <r>
    <n v="306919"/>
    <n v="247999"/>
    <x v="1"/>
    <x v="341"/>
    <x v="12"/>
    <s v="DELEGATE AGENCY"/>
    <s v="UNKNOWN"/>
    <x v="2"/>
  </r>
  <r>
    <n v="307004"/>
    <n v="48789"/>
    <x v="1"/>
    <x v="336"/>
    <x v="12"/>
    <s v="DELEGATE AGENCY"/>
    <s v="UNKNOWN"/>
    <x v="2"/>
  </r>
  <r>
    <n v="307008"/>
    <n v="216959"/>
    <x v="4"/>
    <x v="305"/>
    <x v="12"/>
    <s v="DELEGATE AGENCY"/>
    <s v="UNKNOWN"/>
    <x v="2"/>
  </r>
  <r>
    <n v="307013"/>
    <n v="52800"/>
    <x v="1"/>
    <x v="340"/>
    <x v="12"/>
    <s v="DELEGATE AGENCY"/>
    <s v="UNKNOWN"/>
    <x v="2"/>
  </r>
  <r>
    <n v="307023"/>
    <n v="1000000"/>
    <x v="1"/>
    <x v="603"/>
    <x v="12"/>
    <s v="DELEGATE AGENCY"/>
    <s v="UNKNOWN"/>
    <x v="2"/>
  </r>
  <r>
    <n v="307052"/>
    <n v="29200"/>
    <x v="0"/>
    <x v="303"/>
    <x v="12"/>
    <s v="DELEGATE AGENCY"/>
    <s v="UNKNOWN"/>
    <x v="2"/>
  </r>
  <r>
    <n v="307065"/>
    <n v="254244.8"/>
    <x v="4"/>
    <x v="642"/>
    <x v="14"/>
    <s v="SOFTWARE"/>
    <s v="JOINT PURCHASE"/>
    <x v="2"/>
  </r>
  <r>
    <n v="307066"/>
    <n v="111247"/>
    <x v="2"/>
    <x v="379"/>
    <x v="2"/>
    <s v="DELEGATE AGENCY"/>
    <s v="UNKNOWN"/>
    <x v="2"/>
  </r>
  <r>
    <n v="307075"/>
    <n v="250000"/>
    <x v="1"/>
    <x v="200"/>
    <x v="12"/>
    <s v="DELEGATE AGENCY"/>
    <s v="UNKNOWN"/>
    <x v="2"/>
  </r>
  <r>
    <n v="307076"/>
    <n v="333000"/>
    <x v="2"/>
    <x v="200"/>
    <x v="12"/>
    <s v="DELEGATE AGENCY"/>
    <s v="UNKNOWN"/>
    <x v="2"/>
  </r>
  <r>
    <n v="307284"/>
    <n v="15650617"/>
    <x v="2"/>
    <x v="161"/>
    <x v="6"/>
    <s v="CONSTRUCTION-AVIATION"/>
    <s v="BID"/>
    <x v="2"/>
  </r>
  <r>
    <n v="307319"/>
    <n v="203000"/>
    <x v="0"/>
    <x v="76"/>
    <x v="12"/>
    <s v="DELEGATE AGENCY"/>
    <s v="UNKNOWN"/>
    <x v="2"/>
  </r>
  <r>
    <n v="307407"/>
    <n v="250000"/>
    <x v="1"/>
    <x v="464"/>
    <x v="8"/>
    <s v="DELEGATE AGENCY"/>
    <s v="UNKNOWN"/>
    <x v="2"/>
  </r>
  <r>
    <n v="307408"/>
    <n v="250000"/>
    <x v="2"/>
    <x v="188"/>
    <x v="8"/>
    <s v="DELEGATE AGENCY"/>
    <s v="UNKNOWN"/>
    <x v="2"/>
  </r>
  <r>
    <n v="307410"/>
    <n v="1647100"/>
    <x v="2"/>
    <x v="1830"/>
    <x v="12"/>
    <s v="DELEGATE AGENCY"/>
    <s v="UNKNOWN"/>
    <x v="2"/>
  </r>
  <r>
    <n v="307411"/>
    <n v="275000"/>
    <x v="0"/>
    <x v="46"/>
    <x v="8"/>
    <s v="DELEGATE AGENCY"/>
    <s v="UNKNOWN"/>
    <x v="2"/>
  </r>
  <r>
    <n v="307412"/>
    <n v="50000"/>
    <x v="2"/>
    <x v="979"/>
    <x v="21"/>
    <s v="DELEGATE AGENCY"/>
    <s v="UNKNOWN"/>
    <x v="2"/>
  </r>
  <r>
    <n v="307413"/>
    <n v="250000"/>
    <x v="1"/>
    <x v="24"/>
    <x v="8"/>
    <s v="DELEGATE AGENCY"/>
    <s v="UNKNOWN"/>
    <x v="2"/>
  </r>
  <r>
    <n v="307414"/>
    <n v="249500"/>
    <x v="2"/>
    <x v="2296"/>
    <x v="8"/>
    <s v="DELEGATE AGENCY"/>
    <s v="UNKNOWN"/>
    <x v="2"/>
  </r>
  <r>
    <n v="307415"/>
    <n v="400000"/>
    <x v="1"/>
    <x v="687"/>
    <x v="8"/>
    <s v="DELEGATE AGENCY"/>
    <s v="UNKNOWN"/>
    <x v="2"/>
  </r>
  <r>
    <n v="307423"/>
    <n v="3186000"/>
    <x v="2"/>
    <x v="181"/>
    <x v="21"/>
    <s v="COMPTROLLER-OTHER"/>
    <s v="UNKNOWN"/>
    <x v="2"/>
  </r>
  <r>
    <n v="307424"/>
    <n v="67000"/>
    <x v="0"/>
    <x v="204"/>
    <x v="21"/>
    <s v="DELEGATE AGENCY"/>
    <s v="UNKNOWN"/>
    <x v="2"/>
  </r>
  <r>
    <n v="307433"/>
    <n v="4584419.8"/>
    <x v="1"/>
    <x v="283"/>
    <x v="6"/>
    <s v="CONSTRUCTION-AVIATION"/>
    <s v="BID"/>
    <x v="2"/>
  </r>
  <r>
    <n v="307434"/>
    <n v="97400"/>
    <x v="0"/>
    <x v="436"/>
    <x v="22"/>
    <s v="DELEGATE AGENCY"/>
    <s v="UNKNOWN"/>
    <x v="2"/>
  </r>
  <r>
    <n v="307435"/>
    <n v="43750"/>
    <x v="1"/>
    <x v="299"/>
    <x v="12"/>
    <s v="DELEGATE AGENCY"/>
    <s v="UNKNOWN"/>
    <x v="2"/>
  </r>
  <r>
    <n v="307486"/>
    <n v="60500"/>
    <x v="4"/>
    <x v="319"/>
    <x v="12"/>
    <s v="DELEGATE AGENCY"/>
    <s v="UNKNOWN"/>
    <x v="2"/>
  </r>
  <r>
    <n v="307568"/>
    <n v="7527"/>
    <x v="1"/>
    <x v="303"/>
    <x v="12"/>
    <s v="DELEGATE AGENCY"/>
    <s v="UNKNOWN"/>
    <x v="2"/>
  </r>
  <r>
    <n v="307618"/>
    <n v="29064"/>
    <x v="3"/>
    <x v="211"/>
    <x v="12"/>
    <s v="DELEGATE AGENCY"/>
    <s v="UNKNOWN"/>
    <x v="2"/>
  </r>
  <r>
    <n v="307619"/>
    <n v="151975.9"/>
    <x v="4"/>
    <x v="296"/>
    <x v="12"/>
    <s v="DELEGATE AGENCY"/>
    <s v="UNKNOWN"/>
    <x v="2"/>
  </r>
  <r>
    <n v="307620"/>
    <n v="50000"/>
    <x v="1"/>
    <x v="303"/>
    <x v="12"/>
    <s v="DELEGATE AGENCY"/>
    <s v="UNKNOWN"/>
    <x v="2"/>
  </r>
  <r>
    <n v="307621"/>
    <n v="222000"/>
    <x v="1"/>
    <x v="114"/>
    <x v="12"/>
    <s v="DELEGATE AGENCY"/>
    <s v="UNKNOWN"/>
    <x v="2"/>
  </r>
  <r>
    <n v="307622"/>
    <n v="21605"/>
    <x v="1"/>
    <x v="168"/>
    <x v="12"/>
    <s v="DELEGATE AGENCY"/>
    <s v="UNKNOWN"/>
    <x v="2"/>
  </r>
  <r>
    <n v="307624"/>
    <n v="222000"/>
    <x v="4"/>
    <x v="114"/>
    <x v="12"/>
    <s v="DELEGATE AGENCY"/>
    <s v="UNKNOWN"/>
    <x v="2"/>
  </r>
  <r>
    <n v="307625"/>
    <n v="109645"/>
    <x v="1"/>
    <x v="303"/>
    <x v="12"/>
    <s v="DELEGATE AGENCY"/>
    <s v="UNKNOWN"/>
    <x v="2"/>
  </r>
  <r>
    <n v="307626"/>
    <n v="178063.4"/>
    <x v="1"/>
    <x v="175"/>
    <x v="12"/>
    <s v="DELEGATE AGENCY"/>
    <s v="UNKNOWN"/>
    <x v="2"/>
  </r>
  <r>
    <n v="307627"/>
    <n v="222000"/>
    <x v="1"/>
    <x v="1788"/>
    <x v="12"/>
    <s v="DELEGATE AGENCY"/>
    <s v="UNKNOWN"/>
    <x v="2"/>
  </r>
  <r>
    <n v="307628"/>
    <n v="202570"/>
    <x v="1"/>
    <x v="209"/>
    <x v="12"/>
    <s v="DELEGATE AGENCY"/>
    <s v="UNKNOWN"/>
    <x v="2"/>
  </r>
  <r>
    <n v="307629"/>
    <n v="5500"/>
    <x v="1"/>
    <x v="191"/>
    <x v="12"/>
    <s v="DELEGATE AGENCY"/>
    <s v="UNKNOWN"/>
    <x v="2"/>
  </r>
  <r>
    <n v="307630"/>
    <n v="108900"/>
    <x v="3"/>
    <x v="306"/>
    <x v="12"/>
    <s v="DELEGATE AGENCY"/>
    <s v="UNKNOWN"/>
    <x v="2"/>
  </r>
  <r>
    <n v="307631"/>
    <n v="620000"/>
    <x v="1"/>
    <x v="370"/>
    <x v="12"/>
    <s v="DELEGATE AGENCY"/>
    <s v="UNKNOWN"/>
    <x v="2"/>
  </r>
  <r>
    <n v="307632"/>
    <n v="138000"/>
    <x v="2"/>
    <x v="588"/>
    <x v="12"/>
    <s v="DELEGATE AGENCY"/>
    <s v="UNKNOWN"/>
    <x v="2"/>
  </r>
  <r>
    <n v="307633"/>
    <n v="1135902"/>
    <x v="1"/>
    <x v="24"/>
    <x v="12"/>
    <s v="DELEGATE AGENCY"/>
    <s v="UNKNOWN"/>
    <x v="2"/>
  </r>
  <r>
    <n v="307634"/>
    <n v="226800"/>
    <x v="0"/>
    <x v="243"/>
    <x v="12"/>
    <s v="DELEGATE AGENCY"/>
    <s v="UNKNOWN"/>
    <x v="2"/>
  </r>
  <r>
    <n v="307638"/>
    <n v="2914854"/>
    <x v="1"/>
    <x v="283"/>
    <x v="0"/>
    <s v="CONSTRUCTION-LARGE $3MILLIONorABOVE"/>
    <s v="BID"/>
    <x v="2"/>
  </r>
  <r>
    <n v="307662"/>
    <n v="108000"/>
    <x v="0"/>
    <x v="243"/>
    <x v="12"/>
    <s v="DELEGATE AGENCY"/>
    <s v="UNKNOWN"/>
    <x v="2"/>
  </r>
  <r>
    <n v="307679"/>
    <n v="1975919.1"/>
    <x v="1"/>
    <x v="285"/>
    <x v="12"/>
    <s v="DELEGATE AGENCY"/>
    <s v="UNKNOWN"/>
    <x v="2"/>
  </r>
  <r>
    <n v="307686"/>
    <n v="120000"/>
    <x v="0"/>
    <x v="316"/>
    <x v="22"/>
    <s v="DELEGATE AGENCY"/>
    <s v="UNKNOWN"/>
    <x v="2"/>
  </r>
  <r>
    <n v="307687"/>
    <n v="70937"/>
    <x v="1"/>
    <x v="376"/>
    <x v="2"/>
    <s v="DELEGATE AGENCY"/>
    <s v="UNKNOWN"/>
    <x v="2"/>
  </r>
  <r>
    <n v="307688"/>
    <n v="239999"/>
    <x v="1"/>
    <x v="91"/>
    <x v="8"/>
    <s v="DELEGATE AGENCY"/>
    <s v="UNKNOWN"/>
    <x v="2"/>
  </r>
  <r>
    <n v="307692"/>
    <n v="41110.5"/>
    <x v="1"/>
    <x v="436"/>
    <x v="8"/>
    <s v="DELEGATE AGENCY"/>
    <s v="UNKNOWN"/>
    <x v="2"/>
  </r>
  <r>
    <n v="307705"/>
    <n v="54000"/>
    <x v="4"/>
    <x v="261"/>
    <x v="12"/>
    <s v="DELEGATE AGENCY"/>
    <s v="UNKNOWN"/>
    <x v="2"/>
  </r>
  <r>
    <n v="307706"/>
    <n v="54000"/>
    <x v="1"/>
    <x v="2297"/>
    <x v="12"/>
    <s v="DELEGATE AGENCY"/>
    <s v="UNKNOWN"/>
    <x v="2"/>
  </r>
  <r>
    <n v="307707"/>
    <n v="54000"/>
    <x v="1"/>
    <x v="28"/>
    <x v="12"/>
    <s v="DELEGATE AGENCY"/>
    <s v="UNKNOWN"/>
    <x v="2"/>
  </r>
  <r>
    <n v="307708"/>
    <n v="54000"/>
    <x v="1"/>
    <x v="576"/>
    <x v="12"/>
    <s v="DELEGATE AGENCY"/>
    <s v="UNKNOWN"/>
    <x v="2"/>
  </r>
  <r>
    <n v="307709"/>
    <n v="48000"/>
    <x v="1"/>
    <x v="279"/>
    <x v="12"/>
    <s v="DELEGATE AGENCY"/>
    <s v="UNKNOWN"/>
    <x v="2"/>
  </r>
  <r>
    <n v="307710"/>
    <n v="81000"/>
    <x v="4"/>
    <x v="72"/>
    <x v="12"/>
    <s v="DELEGATE AGENCY"/>
    <s v="UNKNOWN"/>
    <x v="2"/>
  </r>
  <r>
    <n v="307711"/>
    <n v="378589.2"/>
    <x v="1"/>
    <x v="2298"/>
    <x v="6"/>
    <s v="WORK SERV-AVIATION"/>
    <s v="BID"/>
    <x v="2"/>
  </r>
  <r>
    <n v="307723"/>
    <n v="268275"/>
    <x v="2"/>
    <x v="642"/>
    <x v="14"/>
    <s v="SOFTWARE"/>
    <s v="JOINT PURCHASE"/>
    <x v="2"/>
  </r>
  <r>
    <n v="307724"/>
    <n v="5627787.2000000002"/>
    <x v="2"/>
    <x v="642"/>
    <x v="14"/>
    <s v="SOFTWARE"/>
    <s v="JOINT PURCHASE"/>
    <x v="2"/>
  </r>
  <r>
    <n v="307725"/>
    <n v="84965"/>
    <x v="0"/>
    <x v="374"/>
    <x v="2"/>
    <s v="DELEGATE AGENCY"/>
    <s v="UNKNOWN"/>
    <x v="2"/>
  </r>
  <r>
    <n v="307859"/>
    <n v="40000"/>
    <x v="1"/>
    <x v="2202"/>
    <x v="20"/>
    <s v="COMPTROLLER-OTHER"/>
    <s v="UNKNOWN"/>
    <x v="2"/>
  </r>
  <r>
    <n v="307860"/>
    <n v="50000"/>
    <x v="4"/>
    <x v="2299"/>
    <x v="20"/>
    <s v="COMPTROLLER-OTHER"/>
    <s v="UNKNOWN"/>
    <x v="2"/>
  </r>
  <r>
    <n v="307861"/>
    <n v="12000"/>
    <x v="1"/>
    <x v="698"/>
    <x v="20"/>
    <s v="COMPTROLLER-OTHER"/>
    <s v="UNKNOWN"/>
    <x v="2"/>
  </r>
  <r>
    <n v="307862"/>
    <n v="43000"/>
    <x v="4"/>
    <x v="1332"/>
    <x v="20"/>
    <s v="COMPTROLLER-OTHER"/>
    <s v="UNKNOWN"/>
    <x v="2"/>
  </r>
  <r>
    <n v="307871"/>
    <n v="50000"/>
    <x v="4"/>
    <x v="2300"/>
    <x v="20"/>
    <s v="COMPTROLLER-OTHER"/>
    <s v="UNKNOWN"/>
    <x v="2"/>
  </r>
  <r>
    <n v="307998"/>
    <n v="67500"/>
    <x v="1"/>
    <x v="228"/>
    <x v="22"/>
    <s v="DELEGATE AGENCY"/>
    <s v="UNKNOWN"/>
    <x v="2"/>
  </r>
  <r>
    <n v="308079"/>
    <n v="413354"/>
    <x v="1"/>
    <x v="464"/>
    <x v="8"/>
    <s v="DELEGATE AGENCY"/>
    <s v="UNKNOWN"/>
    <x v="2"/>
  </r>
  <r>
    <n v="30810"/>
    <n v="38911.4"/>
    <x v="2"/>
    <x v="1395"/>
    <x v="1"/>
    <s v="PROPERTY LEASE"/>
    <s v="UNKNOWN"/>
    <x v="0"/>
  </r>
  <r>
    <n v="308143"/>
    <n v="585230"/>
    <x v="4"/>
    <x v="2301"/>
    <x v="2"/>
    <s v="COMPTROLLER-OTHER"/>
    <s v="UNKNOWN"/>
    <x v="2"/>
  </r>
  <r>
    <n v="30816"/>
    <n v="799999.9"/>
    <x v="2"/>
    <x v="296"/>
    <x v="0"/>
    <s v="WORK SERVICES / FACILITIES MAINT."/>
    <s v="INNOVATIVE PROCUREMENT"/>
    <x v="0"/>
  </r>
  <r>
    <n v="308163"/>
    <n v="211680"/>
    <x v="2"/>
    <x v="25"/>
    <x v="12"/>
    <s v="DELEGATE AGENCY"/>
    <s v="UNKNOWN"/>
    <x v="2"/>
  </r>
  <r>
    <n v="308171"/>
    <n v="52500"/>
    <x v="1"/>
    <x v="314"/>
    <x v="22"/>
    <s v="DELEGATE AGENCY"/>
    <s v="UNKNOWN"/>
    <x v="2"/>
  </r>
  <r>
    <n v="308172"/>
    <n v="70500"/>
    <x v="1"/>
    <x v="314"/>
    <x v="22"/>
    <s v="DELEGATE AGENCY"/>
    <s v="UNKNOWN"/>
    <x v="2"/>
  </r>
  <r>
    <n v="308233"/>
    <n v="2000000"/>
    <x v="1"/>
    <x v="285"/>
    <x v="12"/>
    <s v="DELEGATE AGENCY"/>
    <s v="UNKNOWN"/>
    <x v="2"/>
  </r>
  <r>
    <n v="308234"/>
    <n v="300000"/>
    <x v="0"/>
    <x v="302"/>
    <x v="12"/>
    <s v="DELEGATE AGENCY"/>
    <s v="UNKNOWN"/>
    <x v="2"/>
  </r>
  <r>
    <n v="308235"/>
    <n v="76650"/>
    <x v="2"/>
    <x v="305"/>
    <x v="12"/>
    <s v="DELEGATE AGENCY"/>
    <s v="UNKNOWN"/>
    <x v="2"/>
  </r>
  <r>
    <n v="308237"/>
    <n v="138136.70000000001"/>
    <x v="1"/>
    <x v="209"/>
    <x v="12"/>
    <s v="DELEGATE AGENCY"/>
    <s v="UNKNOWN"/>
    <x v="2"/>
  </r>
  <r>
    <n v="308238"/>
    <n v="66150"/>
    <x v="1"/>
    <x v="289"/>
    <x v="12"/>
    <s v="DELEGATE AGENCY"/>
    <s v="UNKNOWN"/>
    <x v="2"/>
  </r>
  <r>
    <n v="308239"/>
    <n v="600000"/>
    <x v="1"/>
    <x v="299"/>
    <x v="12"/>
    <s v="DELEGATE AGENCY"/>
    <s v="UNKNOWN"/>
    <x v="2"/>
  </r>
  <r>
    <n v="308240"/>
    <n v="385688"/>
    <x v="2"/>
    <x v="493"/>
    <x v="12"/>
    <s v="DELEGATE AGENCY"/>
    <s v="UNKNOWN"/>
    <x v="2"/>
  </r>
  <r>
    <n v="308241"/>
    <n v="100000"/>
    <x v="2"/>
    <x v="303"/>
    <x v="12"/>
    <s v="DELEGATE AGENCY"/>
    <s v="UNKNOWN"/>
    <x v="2"/>
  </r>
  <r>
    <n v="308242"/>
    <n v="35912"/>
    <x v="1"/>
    <x v="299"/>
    <x v="12"/>
    <s v="DELEGATE AGENCY"/>
    <s v="UNKNOWN"/>
    <x v="2"/>
  </r>
  <r>
    <n v="308243"/>
    <n v="282281"/>
    <x v="4"/>
    <x v="114"/>
    <x v="12"/>
    <s v="DELEGATE AGENCY"/>
    <s v="UNKNOWN"/>
    <x v="2"/>
  </r>
  <r>
    <n v="308245"/>
    <n v="320480"/>
    <x v="2"/>
    <x v="312"/>
    <x v="12"/>
    <s v="DELEGATE AGENCY"/>
    <s v="UNKNOWN"/>
    <x v="2"/>
  </r>
  <r>
    <n v="308246"/>
    <n v="96500"/>
    <x v="2"/>
    <x v="510"/>
    <x v="12"/>
    <s v="DELEGATE AGENCY"/>
    <s v="UNKNOWN"/>
    <x v="2"/>
  </r>
  <r>
    <n v="308247"/>
    <n v="69000"/>
    <x v="1"/>
    <x v="588"/>
    <x v="12"/>
    <s v="DELEGATE AGENCY"/>
    <s v="UNKNOWN"/>
    <x v="2"/>
  </r>
  <r>
    <n v="308248"/>
    <n v="69000"/>
    <x v="1"/>
    <x v="592"/>
    <x v="12"/>
    <s v="DELEGATE AGENCY"/>
    <s v="UNKNOWN"/>
    <x v="2"/>
  </r>
  <r>
    <n v="308249"/>
    <n v="300000"/>
    <x v="1"/>
    <x v="288"/>
    <x v="12"/>
    <s v="DELEGATE AGENCY"/>
    <s v="UNKNOWN"/>
    <x v="2"/>
  </r>
  <r>
    <n v="308250"/>
    <n v="25900"/>
    <x v="2"/>
    <x v="288"/>
    <x v="12"/>
    <s v="DELEGATE AGENCY"/>
    <s v="UNKNOWN"/>
    <x v="2"/>
  </r>
  <r>
    <n v="308251"/>
    <n v="1795506"/>
    <x v="4"/>
    <x v="285"/>
    <x v="12"/>
    <s v="DELEGATE AGENCY"/>
    <s v="UNKNOWN"/>
    <x v="2"/>
  </r>
  <r>
    <n v="308253"/>
    <n v="72000"/>
    <x v="0"/>
    <x v="203"/>
    <x v="12"/>
    <s v="DELEGATE AGENCY"/>
    <s v="UNKNOWN"/>
    <x v="2"/>
  </r>
  <r>
    <n v="308256"/>
    <n v="54000"/>
    <x v="1"/>
    <x v="588"/>
    <x v="12"/>
    <s v="DELEGATE AGENCY"/>
    <s v="UNKNOWN"/>
    <x v="2"/>
  </r>
  <r>
    <n v="308257"/>
    <n v="11680"/>
    <x v="1"/>
    <x v="211"/>
    <x v="12"/>
    <s v="DELEGATE AGENCY"/>
    <s v="UNKNOWN"/>
    <x v="2"/>
  </r>
  <r>
    <n v="308258"/>
    <n v="17033.3"/>
    <x v="4"/>
    <x v="211"/>
    <x v="12"/>
    <s v="DELEGATE AGENCY"/>
    <s v="UNKNOWN"/>
    <x v="2"/>
  </r>
  <r>
    <n v="308259"/>
    <n v="141081"/>
    <x v="4"/>
    <x v="211"/>
    <x v="12"/>
    <s v="DELEGATE AGENCY"/>
    <s v="UNKNOWN"/>
    <x v="2"/>
  </r>
  <r>
    <n v="308260"/>
    <n v="54000"/>
    <x v="1"/>
    <x v="573"/>
    <x v="12"/>
    <s v="DELEGATE AGENCY"/>
    <s v="UNKNOWN"/>
    <x v="2"/>
  </r>
  <r>
    <n v="308261"/>
    <n v="300000"/>
    <x v="1"/>
    <x v="503"/>
    <x v="12"/>
    <s v="DELEGATE AGENCY"/>
    <s v="UNKNOWN"/>
    <x v="2"/>
  </r>
  <r>
    <n v="308262"/>
    <n v="54000"/>
    <x v="2"/>
    <x v="261"/>
    <x v="12"/>
    <s v="DELEGATE AGENCY"/>
    <s v="UNKNOWN"/>
    <x v="2"/>
  </r>
  <r>
    <n v="308263"/>
    <n v="48000"/>
    <x v="1"/>
    <x v="615"/>
    <x v="12"/>
    <s v="DELEGATE AGENCY"/>
    <s v="UNKNOWN"/>
    <x v="2"/>
  </r>
  <r>
    <n v="308268"/>
    <n v="274987"/>
    <x v="4"/>
    <x v="127"/>
    <x v="1"/>
    <s v="DELEGATE AGENCY"/>
    <s v="UNKNOWN"/>
    <x v="2"/>
  </r>
  <r>
    <n v="308270"/>
    <n v="338994"/>
    <x v="2"/>
    <x v="2302"/>
    <x v="1"/>
    <s v="DELEGATE AGENCY"/>
    <s v="UNKNOWN"/>
    <x v="2"/>
  </r>
  <r>
    <n v="308272"/>
    <n v="235706"/>
    <x v="2"/>
    <x v="84"/>
    <x v="1"/>
    <s v="DELEGATE AGENCY"/>
    <s v="UNKNOWN"/>
    <x v="2"/>
  </r>
  <r>
    <n v="308274"/>
    <n v="214055"/>
    <x v="1"/>
    <x v="2303"/>
    <x v="1"/>
    <s v="DELEGATE AGENCY"/>
    <s v="UNKNOWN"/>
    <x v="2"/>
  </r>
  <r>
    <n v="308277"/>
    <n v="247611"/>
    <x v="1"/>
    <x v="168"/>
    <x v="1"/>
    <s v="DELEGATE AGENCY"/>
    <s v="UNKNOWN"/>
    <x v="2"/>
  </r>
  <r>
    <n v="308278"/>
    <n v="257938"/>
    <x v="1"/>
    <x v="169"/>
    <x v="1"/>
    <s v="DELEGATE AGENCY"/>
    <s v="UNKNOWN"/>
    <x v="2"/>
  </r>
  <r>
    <n v="308280"/>
    <n v="632900"/>
    <x v="2"/>
    <x v="166"/>
    <x v="1"/>
    <s v="DELEGATE AGENCY"/>
    <s v="UNKNOWN"/>
    <x v="2"/>
  </r>
  <r>
    <n v="308281"/>
    <n v="907684"/>
    <x v="2"/>
    <x v="167"/>
    <x v="1"/>
    <s v="DELEGATE AGENCY"/>
    <s v="UNKNOWN"/>
    <x v="2"/>
  </r>
  <r>
    <n v="308353"/>
    <n v="124349"/>
    <x v="2"/>
    <x v="78"/>
    <x v="12"/>
    <s v="DELEGATE AGENCY"/>
    <s v="UNKNOWN"/>
    <x v="2"/>
  </r>
  <r>
    <n v="308354"/>
    <n v="247999"/>
    <x v="1"/>
    <x v="342"/>
    <x v="12"/>
    <s v="DELEGATE AGENCY"/>
    <s v="UNKNOWN"/>
    <x v="2"/>
  </r>
  <r>
    <n v="308355"/>
    <n v="40078"/>
    <x v="1"/>
    <x v="1151"/>
    <x v="12"/>
    <s v="DELEGATE AGENCY"/>
    <s v="UNKNOWN"/>
    <x v="2"/>
  </r>
  <r>
    <n v="308356"/>
    <n v="124349"/>
    <x v="4"/>
    <x v="73"/>
    <x v="12"/>
    <s v="DELEGATE AGENCY"/>
    <s v="UNKNOWN"/>
    <x v="2"/>
  </r>
  <r>
    <n v="308357"/>
    <n v="325743"/>
    <x v="1"/>
    <x v="169"/>
    <x v="12"/>
    <s v="DELEGATE AGENCY"/>
    <s v="UNKNOWN"/>
    <x v="2"/>
  </r>
  <r>
    <n v="308358"/>
    <n v="124349"/>
    <x v="2"/>
    <x v="605"/>
    <x v="12"/>
    <s v="DELEGATE AGENCY"/>
    <s v="UNKNOWN"/>
    <x v="2"/>
  </r>
  <r>
    <n v="308360"/>
    <n v="124349"/>
    <x v="1"/>
    <x v="605"/>
    <x v="12"/>
    <s v="DELEGATE AGENCY"/>
    <s v="UNKNOWN"/>
    <x v="2"/>
  </r>
  <r>
    <n v="308361"/>
    <n v="124349"/>
    <x v="1"/>
    <x v="583"/>
    <x v="12"/>
    <s v="DELEGATE AGENCY"/>
    <s v="UNKNOWN"/>
    <x v="2"/>
  </r>
  <r>
    <n v="308362"/>
    <n v="124349"/>
    <x v="1"/>
    <x v="73"/>
    <x v="12"/>
    <s v="DELEGATE AGENCY"/>
    <s v="UNKNOWN"/>
    <x v="2"/>
  </r>
  <r>
    <n v="308370"/>
    <n v="5000000"/>
    <x v="1"/>
    <x v="2304"/>
    <x v="0"/>
    <s v="ARCH/ENGINEERING"/>
    <s v="CONTRACT ASSIGNMENT/TRANS"/>
    <x v="2"/>
  </r>
  <r>
    <n v="308375"/>
    <n v="89986"/>
    <x v="0"/>
    <x v="228"/>
    <x v="22"/>
    <s v="DELEGATE AGENCY"/>
    <s v="UNKNOWN"/>
    <x v="2"/>
  </r>
  <r>
    <n v="308411"/>
    <n v="124349"/>
    <x v="1"/>
    <x v="880"/>
    <x v="12"/>
    <s v="DELEGATE AGENCY"/>
    <s v="UNKNOWN"/>
    <x v="2"/>
  </r>
  <r>
    <n v="308412"/>
    <n v="124349"/>
    <x v="1"/>
    <x v="880"/>
    <x v="12"/>
    <s v="DELEGATE AGENCY"/>
    <s v="UNKNOWN"/>
    <x v="2"/>
  </r>
  <r>
    <n v="308413"/>
    <n v="247999"/>
    <x v="1"/>
    <x v="340"/>
    <x v="12"/>
    <s v="DELEGATE AGENCY"/>
    <s v="UNKNOWN"/>
    <x v="2"/>
  </r>
  <r>
    <n v="308440"/>
    <n v="40000"/>
    <x v="1"/>
    <x v="408"/>
    <x v="22"/>
    <s v="DELEGATE AGENCY"/>
    <s v="UNKNOWN"/>
    <x v="2"/>
  </r>
  <r>
    <n v="308446"/>
    <n v="360000"/>
    <x v="4"/>
    <x v="188"/>
    <x v="8"/>
    <s v="DELEGATE AGENCY"/>
    <s v="UNKNOWN"/>
    <x v="2"/>
  </r>
  <r>
    <n v="308452"/>
    <n v="52500"/>
    <x v="2"/>
    <x v="333"/>
    <x v="22"/>
    <s v="DELEGATE AGENCY"/>
    <s v="UNKNOWN"/>
    <x v="2"/>
  </r>
  <r>
    <n v="308463"/>
    <n v="500000"/>
    <x v="1"/>
    <x v="114"/>
    <x v="8"/>
    <s v="DELEGATE AGENCY"/>
    <s v="UNKNOWN"/>
    <x v="2"/>
  </r>
  <r>
    <n v="308464"/>
    <n v="250000"/>
    <x v="2"/>
    <x v="317"/>
    <x v="12"/>
    <s v="DELEGATE AGENCY"/>
    <s v="UNKNOWN"/>
    <x v="2"/>
  </r>
  <r>
    <n v="308465"/>
    <n v="250000"/>
    <x v="2"/>
    <x v="168"/>
    <x v="12"/>
    <s v="DELEGATE AGENCY"/>
    <s v="UNKNOWN"/>
    <x v="2"/>
  </r>
  <r>
    <n v="308524"/>
    <n v="72770"/>
    <x v="2"/>
    <x v="1227"/>
    <x v="22"/>
    <s v="DELEGATE AGENCY"/>
    <s v="UNKNOWN"/>
    <x v="2"/>
  </r>
  <r>
    <n v="308553"/>
    <n v="1652566"/>
    <x v="1"/>
    <x v="204"/>
    <x v="8"/>
    <s v="DELEGATE AGENCY"/>
    <s v="UNKNOWN"/>
    <x v="2"/>
  </r>
  <r>
    <n v="308568"/>
    <n v="54000"/>
    <x v="0"/>
    <x v="345"/>
    <x v="12"/>
    <s v="DELEGATE AGENCY"/>
    <s v="UNKNOWN"/>
    <x v="2"/>
  </r>
  <r>
    <n v="308587"/>
    <n v="1740250"/>
    <x v="1"/>
    <x v="1871"/>
    <x v="12"/>
    <s v="DELEGATE AGENCY"/>
    <s v="UNKNOWN"/>
    <x v="2"/>
  </r>
  <r>
    <n v="308592"/>
    <n v="41938823.899999999"/>
    <x v="0"/>
    <x v="0"/>
    <x v="6"/>
    <s v="CONSTRUCTION-AVIATION"/>
    <s v="BID"/>
    <x v="2"/>
  </r>
  <r>
    <n v="308624"/>
    <n v="728345"/>
    <x v="0"/>
    <x v="454"/>
    <x v="2"/>
    <s v="DELEGATE AGENCY"/>
    <s v="UNKNOWN"/>
    <x v="2"/>
  </r>
  <r>
    <n v="308636"/>
    <n v="40000"/>
    <x v="2"/>
    <x v="354"/>
    <x v="21"/>
    <s v="DELEGATE AGENCY"/>
    <s v="UNKNOWN"/>
    <x v="2"/>
  </r>
  <r>
    <n v="308735"/>
    <n v="246860.79999999999"/>
    <x v="4"/>
    <x v="1034"/>
    <x v="6"/>
    <s v="COMPTROLLER-OTHER"/>
    <s v="UNKNOWN"/>
    <x v="2"/>
  </r>
  <r>
    <n v="308742"/>
    <n v="27300"/>
    <x v="1"/>
    <x v="2305"/>
    <x v="20"/>
    <s v="COMPTROLLER-OTHER"/>
    <s v="UNKNOWN"/>
    <x v="2"/>
  </r>
  <r>
    <n v="308796"/>
    <n v="195000"/>
    <x v="4"/>
    <x v="400"/>
    <x v="22"/>
    <s v="DELEGATE AGENCY"/>
    <s v="UNKNOWN"/>
    <x v="2"/>
  </r>
  <r>
    <n v="308800"/>
    <n v="1905860"/>
    <x v="1"/>
    <x v="23"/>
    <x v="12"/>
    <s v="DELEGATE AGENCY"/>
    <s v="UNKNOWN"/>
    <x v="2"/>
  </r>
  <r>
    <n v="308801"/>
    <n v="320000"/>
    <x v="0"/>
    <x v="201"/>
    <x v="8"/>
    <s v="DELEGATE AGENCY"/>
    <s v="UNKNOWN"/>
    <x v="2"/>
  </r>
  <r>
    <n v="308835"/>
    <n v="116800"/>
    <x v="2"/>
    <x v="211"/>
    <x v="12"/>
    <s v="DELEGATE AGENCY"/>
    <s v="UNKNOWN"/>
    <x v="2"/>
  </r>
  <r>
    <n v="308836"/>
    <n v="46666"/>
    <x v="1"/>
    <x v="40"/>
    <x v="12"/>
    <s v="DELEGATE AGENCY"/>
    <s v="UNKNOWN"/>
    <x v="2"/>
  </r>
  <r>
    <n v="308888"/>
    <n v="760032.89999999898"/>
    <x v="4"/>
    <x v="1740"/>
    <x v="12"/>
    <s v="DELEGATE AGENCY"/>
    <s v="UNKNOWN"/>
    <x v="2"/>
  </r>
  <r>
    <n v="308889"/>
    <n v="1000000"/>
    <x v="2"/>
    <x v="321"/>
    <x v="12"/>
    <s v="DELEGATE AGENCY"/>
    <s v="UNKNOWN"/>
    <x v="2"/>
  </r>
  <r>
    <n v="308890"/>
    <n v="450000"/>
    <x v="0"/>
    <x v="503"/>
    <x v="12"/>
    <s v="DELEGATE AGENCY"/>
    <s v="UNKNOWN"/>
    <x v="2"/>
  </r>
  <r>
    <n v="308894"/>
    <n v="148094"/>
    <x v="2"/>
    <x v="570"/>
    <x v="8"/>
    <s v="DELEGATE AGENCY"/>
    <s v="UNKNOWN"/>
    <x v="2"/>
  </r>
  <r>
    <n v="308976"/>
    <n v="316488.40000000002"/>
    <x v="1"/>
    <x v="281"/>
    <x v="8"/>
    <s v="DELEGATE AGENCY"/>
    <s v="UNKNOWN"/>
    <x v="2"/>
  </r>
  <r>
    <n v="308984"/>
    <n v="172455"/>
    <x v="2"/>
    <x v="201"/>
    <x v="8"/>
    <s v="DELEGATE AGENCY"/>
    <s v="UNKNOWN"/>
    <x v="2"/>
  </r>
  <r>
    <n v="309011"/>
    <n v="350000"/>
    <x v="1"/>
    <x v="603"/>
    <x v="12"/>
    <s v="DELEGATE AGENCY"/>
    <s v="UNKNOWN"/>
    <x v="2"/>
  </r>
  <r>
    <n v="309035"/>
    <n v="1000000"/>
    <x v="2"/>
    <x v="503"/>
    <x v="12"/>
    <s v="DELEGATE AGENCY"/>
    <s v="UNKNOWN"/>
    <x v="2"/>
  </r>
  <r>
    <n v="309037"/>
    <n v="249032"/>
    <x v="0"/>
    <x v="285"/>
    <x v="12"/>
    <s v="DELEGATE AGENCY"/>
    <s v="UNKNOWN"/>
    <x v="2"/>
  </r>
  <r>
    <n v="309038"/>
    <n v="442395"/>
    <x v="1"/>
    <x v="296"/>
    <x v="12"/>
    <s v="DELEGATE AGENCY"/>
    <s v="UNKNOWN"/>
    <x v="2"/>
  </r>
  <r>
    <n v="309039"/>
    <n v="69000"/>
    <x v="2"/>
    <x v="168"/>
    <x v="12"/>
    <s v="DELEGATE AGENCY"/>
    <s v="UNKNOWN"/>
    <x v="2"/>
  </r>
  <r>
    <n v="309040"/>
    <n v="20936"/>
    <x v="1"/>
    <x v="336"/>
    <x v="12"/>
    <s v="DELEGATE AGENCY"/>
    <s v="UNKNOWN"/>
    <x v="2"/>
  </r>
  <r>
    <n v="309041"/>
    <n v="130000"/>
    <x v="4"/>
    <x v="285"/>
    <x v="12"/>
    <s v="DELEGATE AGENCY"/>
    <s v="UNKNOWN"/>
    <x v="2"/>
  </r>
  <r>
    <n v="309042"/>
    <n v="174402"/>
    <x v="1"/>
    <x v="285"/>
    <x v="12"/>
    <s v="DELEGATE AGENCY"/>
    <s v="UNKNOWN"/>
    <x v="2"/>
  </r>
  <r>
    <n v="309072"/>
    <n v="405309.1"/>
    <x v="1"/>
    <x v="504"/>
    <x v="8"/>
    <s v="DELEGATE AGENCY"/>
    <s v="UNKNOWN"/>
    <x v="2"/>
  </r>
  <r>
    <n v="309073"/>
    <n v="125000"/>
    <x v="2"/>
    <x v="219"/>
    <x v="21"/>
    <s v="DELEGATE AGENCY"/>
    <s v="UNKNOWN"/>
    <x v="2"/>
  </r>
  <r>
    <n v="309074"/>
    <n v="65000"/>
    <x v="1"/>
    <x v="221"/>
    <x v="21"/>
    <s v="DELEGATE AGENCY"/>
    <s v="UNKNOWN"/>
    <x v="2"/>
  </r>
  <r>
    <n v="309076"/>
    <n v="211555"/>
    <x v="1"/>
    <x v="303"/>
    <x v="12"/>
    <s v="DELEGATE AGENCY"/>
    <s v="UNKNOWN"/>
    <x v="2"/>
  </r>
  <r>
    <n v="309077"/>
    <n v="100000"/>
    <x v="1"/>
    <x v="308"/>
    <x v="12"/>
    <s v="DELEGATE AGENCY"/>
    <s v="UNKNOWN"/>
    <x v="2"/>
  </r>
  <r>
    <n v="309081"/>
    <n v="65214"/>
    <x v="1"/>
    <x v="360"/>
    <x v="22"/>
    <s v="DELEGATE AGENCY"/>
    <s v="UNKNOWN"/>
    <x v="2"/>
  </r>
  <r>
    <n v="309083"/>
    <n v="52500"/>
    <x v="1"/>
    <x v="353"/>
    <x v="22"/>
    <s v="DELEGATE AGENCY"/>
    <s v="UNKNOWN"/>
    <x v="2"/>
  </r>
  <r>
    <n v="309084"/>
    <n v="40000"/>
    <x v="1"/>
    <x v="371"/>
    <x v="12"/>
    <s v="DELEGATE AGENCY"/>
    <s v="UNKNOWN"/>
    <x v="2"/>
  </r>
  <r>
    <n v="309085"/>
    <n v="98790"/>
    <x v="4"/>
    <x v="353"/>
    <x v="22"/>
    <s v="DELEGATE AGENCY"/>
    <s v="UNKNOWN"/>
    <x v="2"/>
  </r>
  <r>
    <n v="309109"/>
    <n v="62931"/>
    <x v="1"/>
    <x v="298"/>
    <x v="12"/>
    <s v="DELEGATE AGENCY"/>
    <s v="UNKNOWN"/>
    <x v="2"/>
  </r>
  <r>
    <n v="309137"/>
    <n v="200754"/>
    <x v="1"/>
    <x v="451"/>
    <x v="12"/>
    <s v="DELEGATE AGENCY"/>
    <s v="UNKNOWN"/>
    <x v="2"/>
  </r>
  <r>
    <n v="309138"/>
    <n v="461733"/>
    <x v="1"/>
    <x v="604"/>
    <x v="12"/>
    <s v="DELEGATE AGENCY"/>
    <s v="UNKNOWN"/>
    <x v="2"/>
  </r>
  <r>
    <n v="309139"/>
    <n v="16506956"/>
    <x v="2"/>
    <x v="605"/>
    <x v="12"/>
    <s v="DELEGATE AGENCY"/>
    <s v="UNKNOWN"/>
    <x v="2"/>
  </r>
  <r>
    <n v="309140"/>
    <n v="10158126"/>
    <x v="0"/>
    <x v="199"/>
    <x v="12"/>
    <s v="DELEGATE AGENCY"/>
    <s v="UNKNOWN"/>
    <x v="2"/>
  </r>
  <r>
    <n v="309141"/>
    <n v="230867"/>
    <x v="0"/>
    <x v="227"/>
    <x v="12"/>
    <s v="DELEGATE AGENCY"/>
    <s v="UNKNOWN"/>
    <x v="2"/>
  </r>
  <r>
    <n v="309142"/>
    <n v="150563"/>
    <x v="1"/>
    <x v="441"/>
    <x v="12"/>
    <s v="DELEGATE AGENCY"/>
    <s v="UNKNOWN"/>
    <x v="2"/>
  </r>
  <r>
    <n v="309143"/>
    <n v="692600"/>
    <x v="1"/>
    <x v="169"/>
    <x v="12"/>
    <s v="DELEGATE AGENCY"/>
    <s v="UNKNOWN"/>
    <x v="2"/>
  </r>
  <r>
    <n v="309144"/>
    <n v="2308665"/>
    <x v="2"/>
    <x v="376"/>
    <x v="12"/>
    <s v="DELEGATE AGENCY"/>
    <s v="UNKNOWN"/>
    <x v="2"/>
  </r>
  <r>
    <n v="309145"/>
    <n v="346301"/>
    <x v="0"/>
    <x v="1553"/>
    <x v="12"/>
    <s v="DELEGATE AGENCY"/>
    <s v="UNKNOWN"/>
    <x v="2"/>
  </r>
  <r>
    <n v="309146"/>
    <n v="461733"/>
    <x v="2"/>
    <x v="609"/>
    <x v="12"/>
    <s v="DELEGATE AGENCY"/>
    <s v="UNKNOWN"/>
    <x v="2"/>
  </r>
  <r>
    <n v="309147"/>
    <n v="692600"/>
    <x v="2"/>
    <x v="445"/>
    <x v="12"/>
    <s v="DELEGATE AGENCY"/>
    <s v="UNKNOWN"/>
    <x v="2"/>
  </r>
  <r>
    <n v="309148"/>
    <n v="230867"/>
    <x v="2"/>
    <x v="89"/>
    <x v="12"/>
    <s v="DELEGATE AGENCY"/>
    <s v="UNKNOWN"/>
    <x v="2"/>
  </r>
  <r>
    <n v="309149"/>
    <n v="230867"/>
    <x v="1"/>
    <x v="345"/>
    <x v="12"/>
    <s v="DELEGATE AGENCY"/>
    <s v="UNKNOWN"/>
    <x v="2"/>
  </r>
  <r>
    <n v="309150"/>
    <n v="692600"/>
    <x v="1"/>
    <x v="446"/>
    <x v="12"/>
    <s v="DELEGATE AGENCY"/>
    <s v="UNKNOWN"/>
    <x v="2"/>
  </r>
  <r>
    <n v="309151"/>
    <n v="230867"/>
    <x v="2"/>
    <x v="2306"/>
    <x v="12"/>
    <s v="DELEGATE AGENCY"/>
    <s v="UNKNOWN"/>
    <x v="2"/>
  </r>
  <r>
    <n v="309152"/>
    <n v="923466"/>
    <x v="1"/>
    <x v="447"/>
    <x v="12"/>
    <s v="DELEGATE AGENCY"/>
    <s v="UNKNOWN"/>
    <x v="2"/>
  </r>
  <r>
    <n v="309153"/>
    <n v="461733"/>
    <x v="2"/>
    <x v="2307"/>
    <x v="12"/>
    <s v="DELEGATE AGENCY"/>
    <s v="UNKNOWN"/>
    <x v="2"/>
  </r>
  <r>
    <n v="309154"/>
    <n v="461733"/>
    <x v="2"/>
    <x v="114"/>
    <x v="12"/>
    <s v="DELEGATE AGENCY"/>
    <s v="UNKNOWN"/>
    <x v="2"/>
  </r>
  <r>
    <n v="309155"/>
    <n v="230867"/>
    <x v="2"/>
    <x v="450"/>
    <x v="12"/>
    <s v="DELEGATE AGENCY"/>
    <s v="UNKNOWN"/>
    <x v="2"/>
  </r>
  <r>
    <n v="309156"/>
    <n v="577167"/>
    <x v="1"/>
    <x v="1192"/>
    <x v="12"/>
    <s v="DELEGATE AGENCY"/>
    <s v="UNKNOWN"/>
    <x v="2"/>
  </r>
  <r>
    <n v="309157"/>
    <n v="2077799"/>
    <x v="2"/>
    <x v="201"/>
    <x v="12"/>
    <s v="DELEGATE AGENCY"/>
    <s v="UNKNOWN"/>
    <x v="2"/>
  </r>
  <r>
    <n v="309158"/>
    <n v="230867"/>
    <x v="0"/>
    <x v="583"/>
    <x v="12"/>
    <s v="DELEGATE AGENCY"/>
    <s v="UNKNOWN"/>
    <x v="2"/>
  </r>
  <r>
    <n v="309159"/>
    <n v="30113"/>
    <x v="1"/>
    <x v="451"/>
    <x v="12"/>
    <s v="DELEGATE AGENCY"/>
    <s v="UNKNOWN"/>
    <x v="2"/>
  </r>
  <r>
    <n v="309160"/>
    <n v="2539533"/>
    <x v="4"/>
    <x v="73"/>
    <x v="12"/>
    <s v="DELEGATE AGENCY"/>
    <s v="UNKNOWN"/>
    <x v="2"/>
  </r>
  <r>
    <n v="309161"/>
    <n v="346301"/>
    <x v="0"/>
    <x v="128"/>
    <x v="12"/>
    <s v="DELEGATE AGENCY"/>
    <s v="UNKNOWN"/>
    <x v="2"/>
  </r>
  <r>
    <n v="309162"/>
    <n v="230867"/>
    <x v="2"/>
    <x v="585"/>
    <x v="12"/>
    <s v="DELEGATE AGENCY"/>
    <s v="UNKNOWN"/>
    <x v="2"/>
  </r>
  <r>
    <n v="309163"/>
    <n v="923466"/>
    <x v="1"/>
    <x v="203"/>
    <x v="12"/>
    <s v="DELEGATE AGENCY"/>
    <s v="UNKNOWN"/>
    <x v="2"/>
  </r>
  <r>
    <n v="309164"/>
    <n v="461733"/>
    <x v="2"/>
    <x v="204"/>
    <x v="12"/>
    <s v="DELEGATE AGENCY"/>
    <s v="UNKNOWN"/>
    <x v="2"/>
  </r>
  <r>
    <n v="309166"/>
    <n v="1154333"/>
    <x v="2"/>
    <x v="167"/>
    <x v="12"/>
    <s v="DELEGATE AGENCY"/>
    <s v="UNKNOWN"/>
    <x v="2"/>
  </r>
  <r>
    <n v="309167"/>
    <n v="461733"/>
    <x v="0"/>
    <x v="27"/>
    <x v="12"/>
    <s v="DELEGATE AGENCY"/>
    <s v="UNKNOWN"/>
    <x v="2"/>
  </r>
  <r>
    <n v="309168"/>
    <n v="346301"/>
    <x v="2"/>
    <x v="621"/>
    <x v="12"/>
    <s v="DELEGATE AGENCY"/>
    <s v="UNKNOWN"/>
    <x v="2"/>
  </r>
  <r>
    <n v="309169"/>
    <n v="346301"/>
    <x v="2"/>
    <x v="880"/>
    <x v="12"/>
    <s v="DELEGATE AGENCY"/>
    <s v="UNKNOWN"/>
    <x v="2"/>
  </r>
  <r>
    <n v="309170"/>
    <n v="923466"/>
    <x v="2"/>
    <x v="359"/>
    <x v="12"/>
    <s v="DELEGATE AGENCY"/>
    <s v="UNKNOWN"/>
    <x v="2"/>
  </r>
  <r>
    <n v="309171"/>
    <n v="230867"/>
    <x v="2"/>
    <x v="593"/>
    <x v="12"/>
    <s v="DELEGATE AGENCY"/>
    <s v="UNKNOWN"/>
    <x v="2"/>
  </r>
  <r>
    <n v="309172"/>
    <n v="577167"/>
    <x v="1"/>
    <x v="1009"/>
    <x v="12"/>
    <s v="DELEGATE AGENCY"/>
    <s v="UNKNOWN"/>
    <x v="2"/>
  </r>
  <r>
    <n v="309174"/>
    <n v="1003770"/>
    <x v="2"/>
    <x v="441"/>
    <x v="12"/>
    <s v="DELEGATE AGENCY"/>
    <s v="UNKNOWN"/>
    <x v="2"/>
  </r>
  <r>
    <n v="309176"/>
    <n v="161752"/>
    <x v="0"/>
    <x v="199"/>
    <x v="12"/>
    <s v="DELEGATE AGENCY"/>
    <s v="UNKNOWN"/>
    <x v="2"/>
  </r>
  <r>
    <n v="309177"/>
    <n v="53918"/>
    <x v="1"/>
    <x v="82"/>
    <x v="12"/>
    <s v="DELEGATE AGENCY"/>
    <s v="UNKNOWN"/>
    <x v="2"/>
  </r>
  <r>
    <n v="309178"/>
    <n v="107835"/>
    <x v="1"/>
    <x v="441"/>
    <x v="12"/>
    <s v="DELEGATE AGENCY"/>
    <s v="UNKNOWN"/>
    <x v="2"/>
  </r>
  <r>
    <n v="309179"/>
    <n v="107835"/>
    <x v="1"/>
    <x v="447"/>
    <x v="12"/>
    <s v="DELEGATE AGENCY"/>
    <s v="UNKNOWN"/>
    <x v="2"/>
  </r>
  <r>
    <n v="309180"/>
    <n v="53918"/>
    <x v="1"/>
    <x v="114"/>
    <x v="12"/>
    <s v="DELEGATE AGENCY"/>
    <s v="UNKNOWN"/>
    <x v="2"/>
  </r>
  <r>
    <n v="309181"/>
    <n v="107835"/>
    <x v="1"/>
    <x v="201"/>
    <x v="12"/>
    <s v="DELEGATE AGENCY"/>
    <s v="UNKNOWN"/>
    <x v="2"/>
  </r>
  <r>
    <n v="309182"/>
    <n v="53918"/>
    <x v="1"/>
    <x v="583"/>
    <x v="12"/>
    <s v="DELEGATE AGENCY"/>
    <s v="UNKNOWN"/>
    <x v="2"/>
  </r>
  <r>
    <n v="309183"/>
    <n v="107835"/>
    <x v="1"/>
    <x v="451"/>
    <x v="12"/>
    <s v="DELEGATE AGENCY"/>
    <s v="UNKNOWN"/>
    <x v="2"/>
  </r>
  <r>
    <n v="309184"/>
    <n v="53918"/>
    <x v="1"/>
    <x v="203"/>
    <x v="12"/>
    <s v="DELEGATE AGENCY"/>
    <s v="UNKNOWN"/>
    <x v="2"/>
  </r>
  <r>
    <n v="309185"/>
    <n v="107835"/>
    <x v="1"/>
    <x v="167"/>
    <x v="12"/>
    <s v="DELEGATE AGENCY"/>
    <s v="UNKNOWN"/>
    <x v="2"/>
  </r>
  <r>
    <n v="309186"/>
    <n v="53918"/>
    <x v="1"/>
    <x v="359"/>
    <x v="12"/>
    <s v="DELEGATE AGENCY"/>
    <s v="UNKNOWN"/>
    <x v="2"/>
  </r>
  <r>
    <n v="309187"/>
    <n v="1078344"/>
    <x v="1"/>
    <x v="199"/>
    <x v="12"/>
    <s v="DELEGATE AGENCY"/>
    <s v="UNKNOWN"/>
    <x v="2"/>
  </r>
  <r>
    <n v="309188"/>
    <n v="359448"/>
    <x v="0"/>
    <x v="82"/>
    <x v="12"/>
    <s v="DELEGATE AGENCY"/>
    <s v="UNKNOWN"/>
    <x v="2"/>
  </r>
  <r>
    <n v="309189"/>
    <n v="718896"/>
    <x v="2"/>
    <x v="441"/>
    <x v="12"/>
    <s v="DELEGATE AGENCY"/>
    <s v="UNKNOWN"/>
    <x v="2"/>
  </r>
  <r>
    <n v="309190"/>
    <n v="718896"/>
    <x v="2"/>
    <x v="447"/>
    <x v="12"/>
    <s v="DELEGATE AGENCY"/>
    <s v="UNKNOWN"/>
    <x v="2"/>
  </r>
  <r>
    <n v="309191"/>
    <n v="359448"/>
    <x v="2"/>
    <x v="114"/>
    <x v="12"/>
    <s v="DELEGATE AGENCY"/>
    <s v="UNKNOWN"/>
    <x v="2"/>
  </r>
  <r>
    <n v="309192"/>
    <n v="718896"/>
    <x v="2"/>
    <x v="201"/>
    <x v="12"/>
    <s v="DELEGATE AGENCY"/>
    <s v="UNKNOWN"/>
    <x v="2"/>
  </r>
  <r>
    <n v="309193"/>
    <n v="359448"/>
    <x v="2"/>
    <x v="583"/>
    <x v="12"/>
    <s v="DELEGATE AGENCY"/>
    <s v="UNKNOWN"/>
    <x v="2"/>
  </r>
  <r>
    <n v="309194"/>
    <n v="718896"/>
    <x v="2"/>
    <x v="451"/>
    <x v="12"/>
    <s v="DELEGATE AGENCY"/>
    <s v="UNKNOWN"/>
    <x v="2"/>
  </r>
  <r>
    <n v="309195"/>
    <n v="359448"/>
    <x v="2"/>
    <x v="203"/>
    <x v="12"/>
    <s v="DELEGATE AGENCY"/>
    <s v="UNKNOWN"/>
    <x v="2"/>
  </r>
  <r>
    <n v="309196"/>
    <n v="718896"/>
    <x v="2"/>
    <x v="167"/>
    <x v="12"/>
    <s v="DELEGATE AGENCY"/>
    <s v="UNKNOWN"/>
    <x v="2"/>
  </r>
  <r>
    <n v="309197"/>
    <n v="359448"/>
    <x v="2"/>
    <x v="359"/>
    <x v="12"/>
    <s v="DELEGATE AGENCY"/>
    <s v="UNKNOWN"/>
    <x v="2"/>
  </r>
  <r>
    <n v="309199"/>
    <n v="162500"/>
    <x v="2"/>
    <x v="201"/>
    <x v="1"/>
    <s v="DELEGATE AGENCY"/>
    <s v="UNKNOWN"/>
    <x v="2"/>
  </r>
  <r>
    <n v="309202"/>
    <n v="212500"/>
    <x v="1"/>
    <x v="128"/>
    <x v="1"/>
    <s v="DELEGATE AGENCY"/>
    <s v="UNKNOWN"/>
    <x v="2"/>
  </r>
  <r>
    <n v="309207"/>
    <n v="40078"/>
    <x v="1"/>
    <x v="436"/>
    <x v="12"/>
    <s v="DELEGATE AGENCY"/>
    <s v="UNKNOWN"/>
    <x v="2"/>
  </r>
  <r>
    <n v="309231"/>
    <n v="172456"/>
    <x v="4"/>
    <x v="128"/>
    <x v="8"/>
    <s v="DELEGATE AGENCY"/>
    <s v="UNKNOWN"/>
    <x v="2"/>
  </r>
  <r>
    <n v="309282"/>
    <n v="8783268"/>
    <x v="1"/>
    <x v="605"/>
    <x v="12"/>
    <s v="DELEGATE AGENCY"/>
    <s v="UNKNOWN"/>
    <x v="2"/>
  </r>
  <r>
    <n v="309284"/>
    <n v="150000"/>
    <x v="0"/>
    <x v="363"/>
    <x v="8"/>
    <s v="DELEGATE AGENCY"/>
    <s v="UNKNOWN"/>
    <x v="2"/>
  </r>
  <r>
    <n v="309291"/>
    <n v="719940"/>
    <x v="1"/>
    <x v="199"/>
    <x v="12"/>
    <s v="DELEGATE AGENCY"/>
    <s v="UNKNOWN"/>
    <x v="2"/>
  </r>
  <r>
    <n v="309302"/>
    <n v="107991"/>
    <x v="2"/>
    <x v="227"/>
    <x v="12"/>
    <s v="DELEGATE AGENCY"/>
    <s v="UNKNOWN"/>
    <x v="2"/>
  </r>
  <r>
    <n v="309341"/>
    <n v="346301"/>
    <x v="1"/>
    <x v="2308"/>
    <x v="12"/>
    <s v="DELEGATE AGENCY"/>
    <s v="UNKNOWN"/>
    <x v="2"/>
  </r>
  <r>
    <n v="309343"/>
    <n v="71994"/>
    <x v="2"/>
    <x v="441"/>
    <x v="12"/>
    <s v="DELEGATE AGENCY"/>
    <s v="UNKNOWN"/>
    <x v="2"/>
  </r>
  <r>
    <n v="309345"/>
    <n v="431964"/>
    <x v="1"/>
    <x v="2309"/>
    <x v="12"/>
    <s v="DELEGATE AGENCY"/>
    <s v="UNKNOWN"/>
    <x v="2"/>
  </r>
  <r>
    <n v="309347"/>
    <n v="215982"/>
    <x v="2"/>
    <x v="544"/>
    <x v="12"/>
    <s v="DELEGATE AGENCY"/>
    <s v="UNKNOWN"/>
    <x v="2"/>
  </r>
  <r>
    <n v="309348"/>
    <n v="107991"/>
    <x v="1"/>
    <x v="84"/>
    <x v="12"/>
    <s v="DELEGATE AGENCY"/>
    <s v="UNKNOWN"/>
    <x v="2"/>
  </r>
  <r>
    <n v="309385"/>
    <n v="71994"/>
    <x v="1"/>
    <x v="376"/>
    <x v="12"/>
    <s v="DELEGATE AGENCY"/>
    <s v="UNKNOWN"/>
    <x v="2"/>
  </r>
  <r>
    <n v="309389"/>
    <n v="143988"/>
    <x v="1"/>
    <x v="609"/>
    <x v="12"/>
    <s v="DELEGATE AGENCY"/>
    <s v="UNKNOWN"/>
    <x v="2"/>
  </r>
  <r>
    <n v="309391"/>
    <n v="143988"/>
    <x v="1"/>
    <x v="59"/>
    <x v="12"/>
    <s v="DELEGATE AGENCY"/>
    <s v="UNKNOWN"/>
    <x v="2"/>
  </r>
  <r>
    <n v="309392"/>
    <n v="71994"/>
    <x v="1"/>
    <x v="1788"/>
    <x v="12"/>
    <s v="DELEGATE AGENCY"/>
    <s v="UNKNOWN"/>
    <x v="2"/>
  </r>
  <r>
    <n v="309394"/>
    <n v="71994"/>
    <x v="1"/>
    <x v="510"/>
    <x v="12"/>
    <s v="DELEGATE AGENCY"/>
    <s v="UNKNOWN"/>
    <x v="2"/>
  </r>
  <r>
    <n v="309400"/>
    <n v="107991"/>
    <x v="1"/>
    <x v="345"/>
    <x v="12"/>
    <s v="DELEGATE AGENCY"/>
    <s v="UNKNOWN"/>
    <x v="2"/>
  </r>
  <r>
    <n v="309406"/>
    <n v="107991"/>
    <x v="1"/>
    <x v="446"/>
    <x v="12"/>
    <s v="DELEGATE AGENCY"/>
    <s v="UNKNOWN"/>
    <x v="2"/>
  </r>
  <r>
    <n v="309410"/>
    <n v="71994"/>
    <x v="1"/>
    <x v="1140"/>
    <x v="12"/>
    <s v="DELEGATE AGENCY"/>
    <s v="UNKNOWN"/>
    <x v="2"/>
  </r>
  <r>
    <n v="309412"/>
    <n v="107991"/>
    <x v="1"/>
    <x v="120"/>
    <x v="12"/>
    <s v="DELEGATE AGENCY"/>
    <s v="UNKNOWN"/>
    <x v="2"/>
  </r>
  <r>
    <n v="309413"/>
    <n v="107991"/>
    <x v="1"/>
    <x v="201"/>
    <x v="12"/>
    <s v="DELEGATE AGENCY"/>
    <s v="UNKNOWN"/>
    <x v="2"/>
  </r>
  <r>
    <n v="309414"/>
    <n v="71994"/>
    <x v="1"/>
    <x v="583"/>
    <x v="12"/>
    <s v="DELEGATE AGENCY"/>
    <s v="UNKNOWN"/>
    <x v="2"/>
  </r>
  <r>
    <n v="309415"/>
    <n v="107991"/>
    <x v="1"/>
    <x v="451"/>
    <x v="12"/>
    <s v="DELEGATE AGENCY"/>
    <s v="UNKNOWN"/>
    <x v="2"/>
  </r>
  <r>
    <n v="309420"/>
    <n v="503958"/>
    <x v="1"/>
    <x v="127"/>
    <x v="12"/>
    <s v="DELEGATE AGENCY"/>
    <s v="UNKNOWN"/>
    <x v="2"/>
  </r>
  <r>
    <n v="309421"/>
    <n v="35997"/>
    <x v="2"/>
    <x v="368"/>
    <x v="12"/>
    <s v="DELEGATE AGENCY"/>
    <s v="UNKNOWN"/>
    <x v="2"/>
  </r>
  <r>
    <n v="309434"/>
    <n v="549338"/>
    <x v="4"/>
    <x v="305"/>
    <x v="12"/>
    <s v="DELEGATE AGENCY"/>
    <s v="UNKNOWN"/>
    <x v="2"/>
  </r>
  <r>
    <n v="309435"/>
    <n v="791934"/>
    <x v="2"/>
    <x v="588"/>
    <x v="12"/>
    <s v="DELEGATE AGENCY"/>
    <s v="UNKNOWN"/>
    <x v="2"/>
  </r>
  <r>
    <n v="309436"/>
    <n v="35997"/>
    <x v="2"/>
    <x v="359"/>
    <x v="12"/>
    <s v="DELEGATE AGENCY"/>
    <s v="UNKNOWN"/>
    <x v="2"/>
  </r>
  <r>
    <n v="309437"/>
    <n v="107991"/>
    <x v="4"/>
    <x v="78"/>
    <x v="12"/>
    <s v="DELEGATE AGENCY"/>
    <s v="UNKNOWN"/>
    <x v="2"/>
  </r>
  <r>
    <n v="309438"/>
    <n v="240294"/>
    <x v="1"/>
    <x v="199"/>
    <x v="12"/>
    <s v="DELEGATE AGENCY"/>
    <s v="UNKNOWN"/>
    <x v="2"/>
  </r>
  <r>
    <n v="309439"/>
    <n v="460572"/>
    <x v="1"/>
    <x v="82"/>
    <x v="12"/>
    <s v="DELEGATE AGENCY"/>
    <s v="UNKNOWN"/>
    <x v="2"/>
  </r>
  <r>
    <n v="309440"/>
    <n v="60074"/>
    <x v="2"/>
    <x v="441"/>
    <x v="12"/>
    <s v="DELEGATE AGENCY"/>
    <s v="UNKNOWN"/>
    <x v="2"/>
  </r>
  <r>
    <n v="309441"/>
    <n v="60074"/>
    <x v="1"/>
    <x v="364"/>
    <x v="12"/>
    <s v="DELEGATE AGENCY"/>
    <s v="UNKNOWN"/>
    <x v="2"/>
  </r>
  <r>
    <n v="309442"/>
    <n v="60074"/>
    <x v="1"/>
    <x v="1192"/>
    <x v="12"/>
    <s v="DELEGATE AGENCY"/>
    <s v="UNKNOWN"/>
    <x v="2"/>
  </r>
  <r>
    <n v="309443"/>
    <n v="60074"/>
    <x v="1"/>
    <x v="583"/>
    <x v="12"/>
    <s v="DELEGATE AGENCY"/>
    <s v="UNKNOWN"/>
    <x v="2"/>
  </r>
  <r>
    <n v="309444"/>
    <n v="60074"/>
    <x v="1"/>
    <x v="127"/>
    <x v="12"/>
    <s v="DELEGATE AGENCY"/>
    <s v="UNKNOWN"/>
    <x v="2"/>
  </r>
  <r>
    <n v="309445"/>
    <n v="120147"/>
    <x v="1"/>
    <x v="167"/>
    <x v="12"/>
    <s v="DELEGATE AGENCY"/>
    <s v="UNKNOWN"/>
    <x v="2"/>
  </r>
  <r>
    <n v="309446"/>
    <n v="800982"/>
    <x v="1"/>
    <x v="167"/>
    <x v="12"/>
    <s v="DELEGATE AGENCY"/>
    <s v="UNKNOWN"/>
    <x v="2"/>
  </r>
  <r>
    <n v="309447"/>
    <n v="1616964"/>
    <x v="2"/>
    <x v="199"/>
    <x v="12"/>
    <s v="DELEGATE AGENCY"/>
    <s v="UNKNOWN"/>
    <x v="2"/>
  </r>
  <r>
    <n v="309448"/>
    <n v="400491"/>
    <x v="0"/>
    <x v="441"/>
    <x v="12"/>
    <s v="DELEGATE AGENCY"/>
    <s v="UNKNOWN"/>
    <x v="2"/>
  </r>
  <r>
    <n v="309449"/>
    <n v="400491"/>
    <x v="2"/>
    <x v="364"/>
    <x v="12"/>
    <s v="DELEGATE AGENCY"/>
    <s v="UNKNOWN"/>
    <x v="2"/>
  </r>
  <r>
    <n v="309451"/>
    <n v="400491"/>
    <x v="2"/>
    <x v="583"/>
    <x v="12"/>
    <s v="DELEGATE AGENCY"/>
    <s v="UNKNOWN"/>
    <x v="2"/>
  </r>
  <r>
    <n v="309452"/>
    <n v="400499"/>
    <x v="2"/>
    <x v="73"/>
    <x v="12"/>
    <s v="DELEGATE AGENCY"/>
    <s v="UNKNOWN"/>
    <x v="2"/>
  </r>
  <r>
    <n v="309455"/>
    <n v="2177999.9"/>
    <x v="2"/>
    <x v="485"/>
    <x v="9"/>
    <s v="DELEGATE AGENCY"/>
    <s v="UNKNOWN"/>
    <x v="2"/>
  </r>
  <r>
    <n v="309460"/>
    <n v="124349"/>
    <x v="0"/>
    <x v="114"/>
    <x v="12"/>
    <s v="DELEGATE AGENCY"/>
    <s v="UNKNOWN"/>
    <x v="2"/>
  </r>
  <r>
    <n v="309461"/>
    <n v="124349"/>
    <x v="1"/>
    <x v="114"/>
    <x v="12"/>
    <s v="DELEGATE AGENCY"/>
    <s v="UNKNOWN"/>
    <x v="2"/>
  </r>
  <r>
    <n v="309469"/>
    <n v="200000"/>
    <x v="1"/>
    <x v="297"/>
    <x v="12"/>
    <s v="DELEGATE AGENCY"/>
    <s v="RFP"/>
    <x v="2"/>
  </r>
  <r>
    <n v="309478"/>
    <n v="98270"/>
    <x v="1"/>
    <x v="91"/>
    <x v="22"/>
    <s v="DELEGATE AGENCY"/>
    <s v="UNKNOWN"/>
    <x v="2"/>
  </r>
  <r>
    <n v="309485"/>
    <n v="125206"/>
    <x v="1"/>
    <x v="229"/>
    <x v="8"/>
    <s v="DELEGATE AGENCY"/>
    <s v="UNKNOWN"/>
    <x v="2"/>
  </r>
  <r>
    <n v="309494"/>
    <n v="173158"/>
    <x v="1"/>
    <x v="1005"/>
    <x v="8"/>
    <s v="DELEGATE AGENCY"/>
    <s v="UNKNOWN"/>
    <x v="2"/>
  </r>
  <r>
    <n v="309506"/>
    <n v="263886"/>
    <x v="1"/>
    <x v="312"/>
    <x v="12"/>
    <s v="DELEGATE AGENCY"/>
    <s v="UNKNOWN"/>
    <x v="2"/>
  </r>
  <r>
    <n v="309513"/>
    <n v="103500"/>
    <x v="2"/>
    <x v="690"/>
    <x v="12"/>
    <s v="DELEGATE AGENCY"/>
    <s v="UNKNOWN"/>
    <x v="2"/>
  </r>
  <r>
    <n v="309514"/>
    <n v="101200"/>
    <x v="1"/>
    <x v="299"/>
    <x v="12"/>
    <s v="DELEGATE AGENCY"/>
    <s v="UNKNOWN"/>
    <x v="2"/>
  </r>
  <r>
    <n v="309515"/>
    <n v="109324.9"/>
    <x v="1"/>
    <x v="307"/>
    <x v="12"/>
    <s v="DELEGATE AGENCY"/>
    <s v="UNKNOWN"/>
    <x v="2"/>
  </r>
  <r>
    <n v="309517"/>
    <n v="28500"/>
    <x v="1"/>
    <x v="299"/>
    <x v="12"/>
    <s v="DELEGATE AGENCY"/>
    <s v="UNKNOWN"/>
    <x v="2"/>
  </r>
  <r>
    <n v="309526"/>
    <n v="67137"/>
    <x v="4"/>
    <x v="371"/>
    <x v="12"/>
    <s v="DELEGATE AGENCY"/>
    <s v="UNKNOWN"/>
    <x v="2"/>
  </r>
  <r>
    <n v="309527"/>
    <n v="96152.4"/>
    <x v="1"/>
    <x v="40"/>
    <x v="12"/>
    <s v="DELEGATE AGENCY"/>
    <s v="UNKNOWN"/>
    <x v="2"/>
  </r>
  <r>
    <n v="309536"/>
    <n v="120000000"/>
    <x v="1"/>
    <x v="402"/>
    <x v="0"/>
    <s v="JOC"/>
    <s v="BID"/>
    <x v="2"/>
  </r>
  <r>
    <n v="309538"/>
    <n v="120000000"/>
    <x v="0"/>
    <x v="138"/>
    <x v="0"/>
    <s v="JOC"/>
    <s v="BID"/>
    <x v="2"/>
  </r>
  <r>
    <n v="309539"/>
    <n v="221410.1"/>
    <x v="0"/>
    <x v="138"/>
    <x v="6"/>
    <s v="JOC"/>
    <s v="UNKNOWN"/>
    <x v="2"/>
  </r>
  <r>
    <n v="309542"/>
    <n v="120000000"/>
    <x v="1"/>
    <x v="0"/>
    <x v="0"/>
    <s v="JOC"/>
    <s v="BID"/>
    <x v="2"/>
  </r>
  <r>
    <n v="309564"/>
    <n v="5000000"/>
    <x v="0"/>
    <x v="139"/>
    <x v="8"/>
    <s v="DELEGATE AGENCY"/>
    <s v="UNKNOWN"/>
    <x v="2"/>
  </r>
  <r>
    <n v="309567"/>
    <n v="1958166"/>
    <x v="0"/>
    <x v="168"/>
    <x v="8"/>
    <s v="DELEGATE AGENCY"/>
    <s v="RFP"/>
    <x v="2"/>
  </r>
  <r>
    <n v="309574"/>
    <n v="50000"/>
    <x v="0"/>
    <x v="2299"/>
    <x v="20"/>
    <s v="COMPTROLLER-OTHER"/>
    <s v="UNKNOWN"/>
    <x v="2"/>
  </r>
  <r>
    <n v="309575"/>
    <n v="250000"/>
    <x v="1"/>
    <x v="2310"/>
    <x v="2"/>
    <s v="COMPTROLLER-OTHER"/>
    <s v="UNKNOWN"/>
    <x v="2"/>
  </r>
  <r>
    <n v="309578"/>
    <n v="45000"/>
    <x v="2"/>
    <x v="342"/>
    <x v="12"/>
    <s v="DELEGATE AGENCY"/>
    <s v="UNKNOWN"/>
    <x v="2"/>
  </r>
  <r>
    <n v="309617"/>
    <n v="373518"/>
    <x v="4"/>
    <x v="66"/>
    <x v="12"/>
    <s v="DELEGATE AGENCY"/>
    <s v="UNKNOWN"/>
    <x v="2"/>
  </r>
  <r>
    <n v="309618"/>
    <n v="324688"/>
    <x v="2"/>
    <x v="308"/>
    <x v="12"/>
    <s v="DELEGATE AGENCY"/>
    <s v="UNKNOWN"/>
    <x v="2"/>
  </r>
  <r>
    <n v="309619"/>
    <n v="106751"/>
    <x v="2"/>
    <x v="336"/>
    <x v="12"/>
    <s v="DELEGATE AGENCY"/>
    <s v="UNKNOWN"/>
    <x v="2"/>
  </r>
  <r>
    <n v="309620"/>
    <n v="211772"/>
    <x v="1"/>
    <x v="86"/>
    <x v="12"/>
    <s v="DELEGATE AGENCY"/>
    <s v="UNKNOWN"/>
    <x v="2"/>
  </r>
  <r>
    <n v="309621"/>
    <n v="376534"/>
    <x v="1"/>
    <x v="76"/>
    <x v="12"/>
    <s v="DELEGATE AGENCY"/>
    <s v="UNKNOWN"/>
    <x v="2"/>
  </r>
  <r>
    <n v="309622"/>
    <n v="100000"/>
    <x v="2"/>
    <x v="90"/>
    <x v="12"/>
    <s v="DELEGATE AGENCY"/>
    <s v="UNKNOWN"/>
    <x v="2"/>
  </r>
  <r>
    <n v="309623"/>
    <n v="230335"/>
    <x v="1"/>
    <x v="76"/>
    <x v="12"/>
    <s v="DELEGATE AGENCY"/>
    <s v="UNKNOWN"/>
    <x v="2"/>
  </r>
  <r>
    <n v="309624"/>
    <n v="90880"/>
    <x v="1"/>
    <x v="307"/>
    <x v="12"/>
    <s v="DELEGATE AGENCY"/>
    <s v="UNKNOWN"/>
    <x v="2"/>
  </r>
  <r>
    <n v="309625"/>
    <n v="1671600"/>
    <x v="1"/>
    <x v="76"/>
    <x v="12"/>
    <s v="DELEGATE AGENCY"/>
    <s v="UNKNOWN"/>
    <x v="2"/>
  </r>
  <r>
    <n v="309626"/>
    <n v="226482"/>
    <x v="0"/>
    <x v="593"/>
    <x v="12"/>
    <s v="DELEGATE AGENCY"/>
    <s v="UNKNOWN"/>
    <x v="2"/>
  </r>
  <r>
    <n v="309627"/>
    <n v="71241"/>
    <x v="1"/>
    <x v="342"/>
    <x v="12"/>
    <s v="DELEGATE AGENCY"/>
    <s v="UNKNOWN"/>
    <x v="2"/>
  </r>
  <r>
    <n v="309658"/>
    <n v="25000"/>
    <x v="1"/>
    <x v="454"/>
    <x v="21"/>
    <s v="DELEGATE AGENCY"/>
    <s v="UNKNOWN"/>
    <x v="2"/>
  </r>
  <r>
    <n v="309664"/>
    <n v="103793.2"/>
    <x v="4"/>
    <x v="2311"/>
    <x v="2"/>
    <s v="COMPTROLLER-OTHER"/>
    <s v="UNKNOWN"/>
    <x v="2"/>
  </r>
  <r>
    <n v="309677"/>
    <n v="350000"/>
    <x v="1"/>
    <x v="2312"/>
    <x v="20"/>
    <s v="COMPTROLLER-OTHER"/>
    <s v="UNKNOWN"/>
    <x v="2"/>
  </r>
  <r>
    <n v="309678"/>
    <n v="1323780"/>
    <x v="2"/>
    <x v="953"/>
    <x v="6"/>
    <s v="COMPTROLLER-OTHER"/>
    <s v="UNKNOWN"/>
    <x v="2"/>
  </r>
  <r>
    <n v="309686"/>
    <n v="100000000"/>
    <x v="0"/>
    <x v="356"/>
    <x v="2"/>
    <s v="COMPTROLLER-OTHER"/>
    <s v="UNKNOWN"/>
    <x v="2"/>
  </r>
  <r>
    <n v="309710"/>
    <n v="85000"/>
    <x v="0"/>
    <x v="377"/>
    <x v="21"/>
    <s v="DELEGATE AGENCY"/>
    <s v="UNKNOWN"/>
    <x v="2"/>
  </r>
  <r>
    <n v="309711"/>
    <n v="85000"/>
    <x v="1"/>
    <x v="220"/>
    <x v="21"/>
    <s v="DELEGATE AGENCY"/>
    <s v="UNKNOWN"/>
    <x v="2"/>
  </r>
  <r>
    <n v="309742"/>
    <n v="1860736"/>
    <x v="1"/>
    <x v="23"/>
    <x v="12"/>
    <s v="COMPTROLLER-OTHER"/>
    <s v="UNKNOWN"/>
    <x v="2"/>
  </r>
  <r>
    <n v="309934"/>
    <n v="158500"/>
    <x v="0"/>
    <x v="227"/>
    <x v="8"/>
    <s v="DELEGATE AGENCY"/>
    <s v="UNKNOWN"/>
    <x v="2"/>
  </r>
  <r>
    <n v="309989"/>
    <n v="35000"/>
    <x v="1"/>
    <x v="2313"/>
    <x v="20"/>
    <s v="COMPTROLLER-OTHER"/>
    <s v="UNKNOWN"/>
    <x v="2"/>
  </r>
  <r>
    <n v="309996"/>
    <n v="40000"/>
    <x v="4"/>
    <x v="910"/>
    <x v="20"/>
    <s v="COMPTROLLER-OTHER"/>
    <s v="UNKNOWN"/>
    <x v="2"/>
  </r>
  <r>
    <n v="310005"/>
    <n v="7500"/>
    <x v="4"/>
    <x v="2314"/>
    <x v="20"/>
    <s v="COMPTROLLER-OTHER"/>
    <s v="UNKNOWN"/>
    <x v="2"/>
  </r>
  <r>
    <n v="310006"/>
    <n v="785000"/>
    <x v="3"/>
    <x v="156"/>
    <x v="20"/>
    <s v="COMPTROLLER-OTHER"/>
    <s v="UNKNOWN"/>
    <x v="2"/>
  </r>
  <r>
    <n v="310020"/>
    <n v="3926945"/>
    <x v="2"/>
    <x v="114"/>
    <x v="8"/>
    <s v="DELEGATE AGENCY"/>
    <s v="UNKNOWN"/>
    <x v="2"/>
  </r>
  <r>
    <n v="310124"/>
    <n v="124349"/>
    <x v="0"/>
    <x v="879"/>
    <x v="12"/>
    <s v="DELEGATE AGENCY"/>
    <s v="UNKNOWN"/>
    <x v="2"/>
  </r>
  <r>
    <n v="310125"/>
    <n v="124349"/>
    <x v="1"/>
    <x v="879"/>
    <x v="12"/>
    <s v="DELEGATE AGENCY"/>
    <s v="UNKNOWN"/>
    <x v="2"/>
  </r>
  <r>
    <n v="310176"/>
    <n v="110770"/>
    <x v="1"/>
    <x v="391"/>
    <x v="8"/>
    <s v="DELEGATE AGENCY"/>
    <s v="UNKNOWN"/>
    <x v="2"/>
  </r>
  <r>
    <n v="310179"/>
    <n v="167606"/>
    <x v="1"/>
    <x v="2007"/>
    <x v="8"/>
    <s v="DELEGATE AGENCY"/>
    <s v="UNKNOWN"/>
    <x v="2"/>
  </r>
  <r>
    <n v="310180"/>
    <n v="390000"/>
    <x v="1"/>
    <x v="325"/>
    <x v="26"/>
    <s v="DELEGATE AGENCY"/>
    <s v="UNKNOWN"/>
    <x v="2"/>
  </r>
  <r>
    <n v="310198"/>
    <n v="12000000"/>
    <x v="2"/>
    <x v="2295"/>
    <x v="6"/>
    <s v="PRO SERV-AVIATION"/>
    <s v="CONTRACT ASSIGNMENT/TRANSFER"/>
    <x v="2"/>
  </r>
  <r>
    <n v="310215"/>
    <n v="1350000"/>
    <x v="0"/>
    <x v="898"/>
    <x v="8"/>
    <s v="DELEGATE AGENCY"/>
    <s v="UNKNOWN"/>
    <x v="2"/>
  </r>
  <r>
    <n v="310259"/>
    <n v="85000"/>
    <x v="0"/>
    <x v="221"/>
    <x v="21"/>
    <s v="DELEGATE AGENCY"/>
    <s v="UNKNOWN"/>
    <x v="2"/>
  </r>
  <r>
    <n v="310289"/>
    <n v="150000"/>
    <x v="1"/>
    <x v="436"/>
    <x v="8"/>
    <s v="DELEGATE AGENCY"/>
    <s v="UNKNOWN"/>
    <x v="2"/>
  </r>
  <r>
    <n v="310332"/>
    <n v="87200"/>
    <x v="1"/>
    <x v="168"/>
    <x v="12"/>
    <s v="DELEGATE AGENCY"/>
    <s v="UNKNOWN"/>
    <x v="2"/>
  </r>
  <r>
    <n v="310366"/>
    <n v="85000"/>
    <x v="1"/>
    <x v="204"/>
    <x v="21"/>
    <s v="DELEGATE AGENCY"/>
    <s v="UNKNOWN"/>
    <x v="2"/>
  </r>
  <r>
    <n v="310415"/>
    <n v="241172"/>
    <x v="1"/>
    <x v="211"/>
    <x v="12"/>
    <s v="DELEGATE AGENCY"/>
    <s v="UNKNOWN"/>
    <x v="2"/>
  </r>
  <r>
    <n v="310416"/>
    <n v="300000"/>
    <x v="1"/>
    <x v="593"/>
    <x v="12"/>
    <s v="DELEGATE AGENCY"/>
    <s v="UNKNOWN"/>
    <x v="2"/>
  </r>
  <r>
    <n v="310417"/>
    <n v="600000"/>
    <x v="2"/>
    <x v="503"/>
    <x v="12"/>
    <s v="DELEGATE AGENCY"/>
    <s v="UNKNOWN"/>
    <x v="2"/>
  </r>
  <r>
    <n v="310443"/>
    <n v="52500"/>
    <x v="2"/>
    <x v="213"/>
    <x v="22"/>
    <s v="DELEGATE AGENCY"/>
    <s v="UNKNOWN"/>
    <x v="2"/>
  </r>
  <r>
    <n v="310444"/>
    <n v="247500"/>
    <x v="1"/>
    <x v="139"/>
    <x v="22"/>
    <s v="DELEGATE AGENCY"/>
    <s v="UNKNOWN"/>
    <x v="2"/>
  </r>
  <r>
    <n v="310464"/>
    <n v="29475"/>
    <x v="1"/>
    <x v="114"/>
    <x v="22"/>
    <s v="DELEGATE AGENCY"/>
    <s v="UNKNOWN"/>
    <x v="2"/>
  </r>
  <r>
    <n v="310465"/>
    <n v="36025"/>
    <x v="4"/>
    <x v="114"/>
    <x v="22"/>
    <s v="DELEGATE AGENCY"/>
    <s v="UNKNOWN"/>
    <x v="2"/>
  </r>
  <r>
    <n v="310471"/>
    <n v="5305110"/>
    <x v="4"/>
    <x v="114"/>
    <x v="8"/>
    <s v="DELEGATE AGENCY"/>
    <s v="UNKNOWN"/>
    <x v="2"/>
  </r>
  <r>
    <n v="310496"/>
    <n v="60000"/>
    <x v="0"/>
    <x v="314"/>
    <x v="21"/>
    <s v="DELEGATE AGENCY"/>
    <s v="UNKNOWN"/>
    <x v="2"/>
  </r>
  <r>
    <n v="310497"/>
    <n v="85000"/>
    <x v="1"/>
    <x v="232"/>
    <x v="21"/>
    <s v="DELEGATE AGENCY"/>
    <s v="UNKNOWN"/>
    <x v="2"/>
  </r>
  <r>
    <n v="310565"/>
    <n v="186956"/>
    <x v="1"/>
    <x v="323"/>
    <x v="12"/>
    <s v="DELEGATE AGENCY"/>
    <s v="UNKNOWN"/>
    <x v="2"/>
  </r>
  <r>
    <n v="31057"/>
    <n v="1950399.3"/>
    <x v="1"/>
    <x v="2315"/>
    <x v="40"/>
    <s v="WORK SERVICES / FACILITIES MAINT."/>
    <s v="BID"/>
    <x v="0"/>
  </r>
  <r>
    <n v="310651"/>
    <n v="300000"/>
    <x v="0"/>
    <x v="201"/>
    <x v="17"/>
    <s v="DELEGATE AGENCY"/>
    <s v="UNKNOWN"/>
    <x v="2"/>
  </r>
  <r>
    <n v="310662"/>
    <n v="40000"/>
    <x v="2"/>
    <x v="282"/>
    <x v="22"/>
    <s v="DELEGATE AGENCY"/>
    <s v="UNKNOWN"/>
    <x v="2"/>
  </r>
  <r>
    <n v="310669"/>
    <n v="6763.4"/>
    <x v="4"/>
    <x v="2041"/>
    <x v="25"/>
    <s v="RELEASE REQUISITION"/>
    <s v="UNKNOWN"/>
    <x v="2"/>
  </r>
  <r>
    <n v="310786"/>
    <n v="265000"/>
    <x v="3"/>
    <x v="572"/>
    <x v="8"/>
    <s v="DELEGATE AGENCY"/>
    <s v="UNKNOWN"/>
    <x v="2"/>
  </r>
  <r>
    <n v="310787"/>
    <n v="248000"/>
    <x v="2"/>
    <x v="2316"/>
    <x v="2"/>
    <s v="COMPTROLLER-OTHER"/>
    <s v="UNKNOWN"/>
    <x v="2"/>
  </r>
  <r>
    <n v="310789"/>
    <n v="120982389.7"/>
    <x v="1"/>
    <x v="0"/>
    <x v="0"/>
    <s v="CONSTRUCTION-LARGE $3MILLIONorABOVE"/>
    <s v="BID"/>
    <x v="2"/>
  </r>
  <r>
    <n v="310819"/>
    <n v="50000"/>
    <x v="0"/>
    <x v="370"/>
    <x v="22"/>
    <s v="DELEGATE AGENCY"/>
    <s v="UNKNOWN"/>
    <x v="2"/>
  </r>
  <r>
    <n v="310820"/>
    <n v="50000"/>
    <x v="1"/>
    <x v="388"/>
    <x v="22"/>
    <s v="DELEGATE AGENCY"/>
    <s v="UNKNOWN"/>
    <x v="2"/>
  </r>
  <r>
    <n v="310821"/>
    <n v="150440"/>
    <x v="1"/>
    <x v="370"/>
    <x v="22"/>
    <s v="DELEGATE AGENCY"/>
    <s v="UNKNOWN"/>
    <x v="2"/>
  </r>
  <r>
    <n v="310824"/>
    <n v="50000"/>
    <x v="1"/>
    <x v="384"/>
    <x v="22"/>
    <s v="DELEGATE AGENCY"/>
    <s v="UNKNOWN"/>
    <x v="2"/>
  </r>
  <r>
    <n v="310835"/>
    <n v="50000"/>
    <x v="1"/>
    <x v="311"/>
    <x v="22"/>
    <s v="DELEGATE AGENCY"/>
    <s v="UNKNOWN"/>
    <x v="2"/>
  </r>
  <r>
    <n v="310836"/>
    <n v="450000"/>
    <x v="1"/>
    <x v="2317"/>
    <x v="20"/>
    <s v="COMPTROLLER-OTHER"/>
    <s v="UNKNOWN"/>
    <x v="2"/>
  </r>
  <r>
    <n v="310884"/>
    <n v="127783"/>
    <x v="2"/>
    <x v="2258"/>
    <x v="2"/>
    <s v="DELEGATE AGENCY"/>
    <s v="UNKNOWN"/>
    <x v="2"/>
  </r>
  <r>
    <n v="310888"/>
    <n v="85000"/>
    <x v="1"/>
    <x v="222"/>
    <x v="21"/>
    <s v="DELEGATE AGENCY"/>
    <s v="UNKNOWN"/>
    <x v="2"/>
  </r>
  <r>
    <n v="310922"/>
    <n v="359970"/>
    <x v="1"/>
    <x v="2309"/>
    <x v="12"/>
    <s v="DELEGATE AGENCY"/>
    <s v="UNKNOWN"/>
    <x v="2"/>
  </r>
  <r>
    <n v="310923"/>
    <n v="71994"/>
    <x v="2"/>
    <x v="2318"/>
    <x v="12"/>
    <s v="DELEGATE AGENCY"/>
    <s v="UNKNOWN"/>
    <x v="2"/>
  </r>
  <r>
    <n v="310924"/>
    <n v="450000"/>
    <x v="1"/>
    <x v="2319"/>
    <x v="6"/>
    <s v="COMPTROLLER-OTHER"/>
    <s v="UNKNOWN"/>
    <x v="2"/>
  </r>
  <r>
    <n v="310925"/>
    <n v="5650"/>
    <x v="2"/>
    <x v="1714"/>
    <x v="20"/>
    <s v="COMPTROLLER-OTHER"/>
    <s v="UNKNOWN"/>
    <x v="2"/>
  </r>
  <r>
    <n v="310958"/>
    <n v="50000"/>
    <x v="3"/>
    <x v="382"/>
    <x v="22"/>
    <s v="DELEGATE AGENCY"/>
    <s v="UNKNOWN"/>
    <x v="2"/>
  </r>
  <r>
    <n v="311070"/>
    <n v="208600"/>
    <x v="1"/>
    <x v="490"/>
    <x v="20"/>
    <s v="COMPTROLLER-OTHER"/>
    <s v="UNKNOWN"/>
    <x v="2"/>
  </r>
  <r>
    <n v="311073"/>
    <n v="300000"/>
    <x v="1"/>
    <x v="452"/>
    <x v="20"/>
    <s v="COMPTROLLER-OTHER"/>
    <s v="UNKNOWN"/>
    <x v="2"/>
  </r>
  <r>
    <n v="311104"/>
    <n v="52500"/>
    <x v="2"/>
    <x v="222"/>
    <x v="22"/>
    <s v="DELEGATE AGENCY"/>
    <s v="UNKNOWN"/>
    <x v="2"/>
  </r>
  <r>
    <n v="311107"/>
    <n v="220000"/>
    <x v="1"/>
    <x v="299"/>
    <x v="12"/>
    <s v="DELEGATE AGENCY"/>
    <s v="UNKNOWN"/>
    <x v="2"/>
  </r>
  <r>
    <n v="311110"/>
    <n v="60059"/>
    <x v="1"/>
    <x v="305"/>
    <x v="12"/>
    <s v="DELEGATE AGENCY"/>
    <s v="UNKNOWN"/>
    <x v="2"/>
  </r>
  <r>
    <n v="311113"/>
    <n v="100000"/>
    <x v="1"/>
    <x v="503"/>
    <x v="12"/>
    <s v="DELEGATE AGENCY"/>
    <s v="UNKNOWN"/>
    <x v="2"/>
  </r>
  <r>
    <n v="311114"/>
    <n v="45597"/>
    <x v="1"/>
    <x v="211"/>
    <x v="12"/>
    <s v="DELEGATE AGENCY"/>
    <s v="UNKNOWN"/>
    <x v="2"/>
  </r>
  <r>
    <n v="311116"/>
    <n v="83668"/>
    <x v="4"/>
    <x v="1232"/>
    <x v="12"/>
    <s v="DELEGATE AGENCY"/>
    <s v="UNKNOWN"/>
    <x v="2"/>
  </r>
  <r>
    <n v="311127"/>
    <n v="72000"/>
    <x v="1"/>
    <x v="612"/>
    <x v="12"/>
    <s v="DELEGATE AGENCY"/>
    <s v="UNKNOWN"/>
    <x v="2"/>
  </r>
  <r>
    <n v="311141"/>
    <n v="72000"/>
    <x v="1"/>
    <x v="612"/>
    <x v="12"/>
    <s v="DELEGATE AGENCY"/>
    <s v="UNKNOWN"/>
    <x v="2"/>
  </r>
  <r>
    <n v="311170"/>
    <n v="95328.699999999895"/>
    <x v="1"/>
    <x v="76"/>
    <x v="12"/>
    <s v="DELEGATE AGENCY"/>
    <s v="UNKNOWN"/>
    <x v="2"/>
  </r>
  <r>
    <n v="311176"/>
    <n v="69000"/>
    <x v="1"/>
    <x v="693"/>
    <x v="12"/>
    <s v="DELEGATE AGENCY"/>
    <s v="UNKNOWN"/>
    <x v="2"/>
  </r>
  <r>
    <n v="311178"/>
    <n v="100000"/>
    <x v="1"/>
    <x v="189"/>
    <x v="8"/>
    <s v="DELEGATE AGENCY"/>
    <s v="UNKNOWN"/>
    <x v="2"/>
  </r>
  <r>
    <n v="311179"/>
    <n v="7123549.5"/>
    <x v="1"/>
    <x v="558"/>
    <x v="12"/>
    <s v="DELEGATE AGENCY"/>
    <s v="UNKNOWN"/>
    <x v="2"/>
  </r>
  <r>
    <n v="311217"/>
    <n v="5363627"/>
    <x v="0"/>
    <x v="558"/>
    <x v="12"/>
    <s v="DELEGATE AGENCY"/>
    <s v="UNKNOWN"/>
    <x v="2"/>
  </r>
  <r>
    <n v="311226"/>
    <n v="75000"/>
    <x v="0"/>
    <x v="1847"/>
    <x v="20"/>
    <s v="COMPTROLLER-OTHER"/>
    <s v="UNKNOWN"/>
    <x v="2"/>
  </r>
  <r>
    <n v="311290"/>
    <n v="55023585"/>
    <x v="1"/>
    <x v="1064"/>
    <x v="0"/>
    <s v="COMMODITIES"/>
    <s v="BID"/>
    <x v="2"/>
  </r>
  <r>
    <n v="311304"/>
    <n v="52500"/>
    <x v="0"/>
    <x v="392"/>
    <x v="22"/>
    <s v="DELEGATE AGENCY"/>
    <s v="UNKNOWN"/>
    <x v="2"/>
  </r>
  <r>
    <n v="311334"/>
    <n v="1964928"/>
    <x v="1"/>
    <x v="362"/>
    <x v="12"/>
    <s v="DELEGATE AGENCY"/>
    <s v="UNKNOWN"/>
    <x v="2"/>
  </r>
  <r>
    <n v="311335"/>
    <n v="130149"/>
    <x v="0"/>
    <x v="323"/>
    <x v="12"/>
    <s v="DELEGATE AGENCY"/>
    <s v="UNKNOWN"/>
    <x v="2"/>
  </r>
  <r>
    <n v="311346"/>
    <n v="98210"/>
    <x v="1"/>
    <x v="381"/>
    <x v="2"/>
    <s v="DELEGATE AGENCY"/>
    <s v="UNKNOWN"/>
    <x v="2"/>
  </r>
  <r>
    <n v="311355"/>
    <n v="36000"/>
    <x v="1"/>
    <x v="354"/>
    <x v="12"/>
    <s v="DELEGATE AGENCY"/>
    <s v="UNKNOWN"/>
    <x v="2"/>
  </r>
  <r>
    <n v="311356"/>
    <n v="300000"/>
    <x v="4"/>
    <x v="503"/>
    <x v="12"/>
    <s v="DELEGATE AGENCY"/>
    <s v="UNKNOWN"/>
    <x v="2"/>
  </r>
  <r>
    <n v="311357"/>
    <n v="36000"/>
    <x v="2"/>
    <x v="371"/>
    <x v="12"/>
    <s v="DELEGATE AGENCY"/>
    <s v="UNKNOWN"/>
    <x v="2"/>
  </r>
  <r>
    <n v="311393"/>
    <n v="300000"/>
    <x v="4"/>
    <x v="336"/>
    <x v="12"/>
    <s v="DELEGATE AGENCY"/>
    <s v="UNKNOWN"/>
    <x v="2"/>
  </r>
  <r>
    <n v="311410"/>
    <n v="36000"/>
    <x v="2"/>
    <x v="692"/>
    <x v="12"/>
    <s v="DELEGATE AGENCY"/>
    <s v="UNKNOWN"/>
    <x v="2"/>
  </r>
  <r>
    <n v="311412"/>
    <n v="163231.29999999999"/>
    <x v="4"/>
    <x v="76"/>
    <x v="12"/>
    <s v="DELEGATE AGENCY"/>
    <s v="UNKNOWN"/>
    <x v="2"/>
  </r>
  <r>
    <n v="311413"/>
    <n v="83980"/>
    <x v="1"/>
    <x v="189"/>
    <x v="12"/>
    <s v="DELEGATE AGENCY"/>
    <s v="UNKNOWN"/>
    <x v="2"/>
  </r>
  <r>
    <n v="311414"/>
    <n v="8175"/>
    <x v="1"/>
    <x v="189"/>
    <x v="12"/>
    <s v="DELEGATE AGENCY"/>
    <s v="UNKNOWN"/>
    <x v="2"/>
  </r>
  <r>
    <n v="311415"/>
    <n v="30000"/>
    <x v="3"/>
    <x v="189"/>
    <x v="12"/>
    <s v="DELEGATE AGENCY"/>
    <s v="UNKNOWN"/>
    <x v="2"/>
  </r>
  <r>
    <n v="311416"/>
    <n v="70000"/>
    <x v="4"/>
    <x v="323"/>
    <x v="12"/>
    <s v="DELEGATE AGENCY"/>
    <s v="UNKNOWN"/>
    <x v="2"/>
  </r>
  <r>
    <n v="311417"/>
    <n v="54000"/>
    <x v="1"/>
    <x v="1161"/>
    <x v="12"/>
    <s v="DELEGATE AGENCY"/>
    <s v="UNKNOWN"/>
    <x v="2"/>
  </r>
  <r>
    <n v="311419"/>
    <n v="36000"/>
    <x v="1"/>
    <x v="78"/>
    <x v="12"/>
    <s v="DELEGATE AGENCY"/>
    <s v="UNKNOWN"/>
    <x v="2"/>
  </r>
  <r>
    <n v="311420"/>
    <n v="36000"/>
    <x v="4"/>
    <x v="78"/>
    <x v="12"/>
    <s v="DELEGATE AGENCY"/>
    <s v="UNKNOWN"/>
    <x v="2"/>
  </r>
  <r>
    <n v="311421"/>
    <n v="36000"/>
    <x v="4"/>
    <x v="444"/>
    <x v="12"/>
    <s v="DELEGATE AGENCY"/>
    <s v="UNKNOWN"/>
    <x v="2"/>
  </r>
  <r>
    <n v="311463"/>
    <n v="274987"/>
    <x v="4"/>
    <x v="73"/>
    <x v="8"/>
    <s v="DELEGATE AGENCY"/>
    <s v="UNKNOWN"/>
    <x v="2"/>
  </r>
  <r>
    <n v="311471"/>
    <n v="235706"/>
    <x v="2"/>
    <x v="84"/>
    <x v="8"/>
    <s v="DELEGATE AGENCY"/>
    <s v="UNKNOWN"/>
    <x v="2"/>
  </r>
  <r>
    <n v="311498"/>
    <n v="750000"/>
    <x v="1"/>
    <x v="316"/>
    <x v="22"/>
    <s v="DELEGATE AGENCY"/>
    <s v="RFP"/>
    <x v="2"/>
  </r>
  <r>
    <n v="311510"/>
    <n v="74395.7"/>
    <x v="2"/>
    <x v="642"/>
    <x v="14"/>
    <s v="SOFTWARE"/>
    <s v="JOINT PURCHASE"/>
    <x v="2"/>
  </r>
  <r>
    <n v="311511"/>
    <n v="907684"/>
    <x v="1"/>
    <x v="167"/>
    <x v="8"/>
    <s v="DELEGATE AGENCY"/>
    <s v="UNKNOWN"/>
    <x v="2"/>
  </r>
  <r>
    <n v="311568"/>
    <n v="1964928"/>
    <x v="2"/>
    <x v="362"/>
    <x v="12"/>
    <s v="DELEGATE AGENCY"/>
    <s v="UNKNOWN"/>
    <x v="2"/>
  </r>
  <r>
    <n v="311569"/>
    <n v="108000"/>
    <x v="0"/>
    <x v="62"/>
    <x v="12"/>
    <s v="DELEGATE AGENCY"/>
    <s v="UNKNOWN"/>
    <x v="2"/>
  </r>
  <r>
    <n v="311571"/>
    <n v="126000"/>
    <x v="1"/>
    <x v="444"/>
    <x v="12"/>
    <s v="DELEGATE AGENCY"/>
    <s v="UNKNOWN"/>
    <x v="2"/>
  </r>
  <r>
    <n v="311573"/>
    <n v="126000"/>
    <x v="1"/>
    <x v="593"/>
    <x v="12"/>
    <s v="DELEGATE AGENCY"/>
    <s v="UNKNOWN"/>
    <x v="2"/>
  </r>
  <r>
    <n v="311574"/>
    <n v="54000"/>
    <x v="1"/>
    <x v="576"/>
    <x v="12"/>
    <s v="DELEGATE AGENCY"/>
    <s v="UNKNOWN"/>
    <x v="2"/>
  </r>
  <r>
    <n v="311630"/>
    <n v="13506.5"/>
    <x v="1"/>
    <x v="2320"/>
    <x v="1"/>
    <s v="PROPERTY LEASE"/>
    <s v="UNKNOWN"/>
    <x v="2"/>
  </r>
  <r>
    <n v="311733"/>
    <n v="30000"/>
    <x v="4"/>
    <x v="486"/>
    <x v="20"/>
    <s v="COMPTROLLER-OTHER"/>
    <s v="UNKNOWN"/>
    <x v="2"/>
  </r>
  <r>
    <n v="311738"/>
    <n v="55000"/>
    <x v="4"/>
    <x v="2321"/>
    <x v="20"/>
    <s v="COMPTROLLER-OTHER"/>
    <s v="UNKNOWN"/>
    <x v="2"/>
  </r>
  <r>
    <n v="311784"/>
    <n v="370000"/>
    <x v="1"/>
    <x v="259"/>
    <x v="26"/>
    <s v="DELEGATE AGENCY"/>
    <s v="UNKNOWN"/>
    <x v="2"/>
  </r>
  <r>
    <n v="312012"/>
    <n v="68166"/>
    <x v="2"/>
    <x v="201"/>
    <x v="8"/>
    <s v="DELEGATE AGENCY"/>
    <s v="UNKNOWN"/>
    <x v="2"/>
  </r>
  <r>
    <n v="312039"/>
    <n v="28125"/>
    <x v="1"/>
    <x v="59"/>
    <x v="8"/>
    <s v="DELEGATE AGENCY"/>
    <s v="UNKNOWN"/>
    <x v="2"/>
  </r>
  <r>
    <n v="312050"/>
    <n v="479264"/>
    <x v="4"/>
    <x v="1212"/>
    <x v="12"/>
    <s v="DELEGATE AGENCY"/>
    <s v="UNKNOWN"/>
    <x v="2"/>
  </r>
  <r>
    <n v="312051"/>
    <n v="479264"/>
    <x v="2"/>
    <x v="201"/>
    <x v="12"/>
    <s v="DELEGATE AGENCY"/>
    <s v="UNKNOWN"/>
    <x v="2"/>
  </r>
  <r>
    <n v="312052"/>
    <n v="239632"/>
    <x v="2"/>
    <x v="583"/>
    <x v="12"/>
    <s v="DELEGATE AGENCY"/>
    <s v="UNKNOWN"/>
    <x v="2"/>
  </r>
  <r>
    <n v="312053"/>
    <n v="239632"/>
    <x v="1"/>
    <x v="203"/>
    <x v="12"/>
    <s v="DELEGATE AGENCY"/>
    <s v="UNKNOWN"/>
    <x v="2"/>
  </r>
  <r>
    <n v="312072"/>
    <n v="668740"/>
    <x v="1"/>
    <x v="73"/>
    <x v="12"/>
    <s v="DELEGATE AGENCY"/>
    <s v="UNKNOWN"/>
    <x v="2"/>
  </r>
  <r>
    <n v="312073"/>
    <n v="36668"/>
    <x v="2"/>
    <x v="84"/>
    <x v="12"/>
    <s v="DELEGATE AGENCY"/>
    <s v="UNKNOWN"/>
    <x v="2"/>
  </r>
  <r>
    <n v="312074"/>
    <n v="15961"/>
    <x v="4"/>
    <x v="284"/>
    <x v="12"/>
    <s v="DELEGATE AGENCY"/>
    <s v="UNKNOWN"/>
    <x v="2"/>
  </r>
  <r>
    <n v="312076"/>
    <n v="209737"/>
    <x v="4"/>
    <x v="512"/>
    <x v="12"/>
    <s v="DELEGATE AGENCY"/>
    <s v="UNKNOWN"/>
    <x v="2"/>
  </r>
  <r>
    <n v="312078"/>
    <n v="66463"/>
    <x v="1"/>
    <x v="290"/>
    <x v="12"/>
    <s v="DELEGATE AGENCY"/>
    <s v="UNKNOWN"/>
    <x v="2"/>
  </r>
  <r>
    <n v="312080"/>
    <n v="179016"/>
    <x v="1"/>
    <x v="437"/>
    <x v="8"/>
    <s v="DELEGATE AGENCY"/>
    <s v="UNKNOWN"/>
    <x v="2"/>
  </r>
  <r>
    <n v="312081"/>
    <n v="500000"/>
    <x v="1"/>
    <x v="547"/>
    <x v="8"/>
    <s v="DELEGATE AGENCY"/>
    <s v="UNKNOWN"/>
    <x v="2"/>
  </r>
  <r>
    <n v="312084"/>
    <n v="337362"/>
    <x v="2"/>
    <x v="1005"/>
    <x v="8"/>
    <s v="DELEGATE AGENCY"/>
    <s v="UNKNOWN"/>
    <x v="2"/>
  </r>
  <r>
    <n v="312086"/>
    <n v="632900"/>
    <x v="2"/>
    <x v="166"/>
    <x v="8"/>
    <s v="DELEGATE AGENCY"/>
    <s v="UNKNOWN"/>
    <x v="2"/>
  </r>
  <r>
    <n v="312087"/>
    <n v="259938"/>
    <x v="2"/>
    <x v="169"/>
    <x v="8"/>
    <s v="DELEGATE AGENCY"/>
    <s v="UNKNOWN"/>
    <x v="2"/>
  </r>
  <r>
    <n v="312088"/>
    <n v="300000"/>
    <x v="2"/>
    <x v="493"/>
    <x v="12"/>
    <s v="DELEGATE AGENCY"/>
    <s v="UNKNOWN"/>
    <x v="2"/>
  </r>
  <r>
    <n v="312089"/>
    <n v="176787.5"/>
    <x v="2"/>
    <x v="323"/>
    <x v="12"/>
    <s v="DELEGATE AGENCY"/>
    <s v="UNKNOWN"/>
    <x v="2"/>
  </r>
  <r>
    <n v="312122"/>
    <n v="348750"/>
    <x v="1"/>
    <x v="359"/>
    <x v="12"/>
    <s v="DELEGATE AGENCY"/>
    <s v="UNKNOWN"/>
    <x v="2"/>
  </r>
  <r>
    <n v="312192"/>
    <n v="266994"/>
    <x v="2"/>
    <x v="583"/>
    <x v="12"/>
    <s v="DELEGATE AGENCY"/>
    <s v="UNKNOWN"/>
    <x v="2"/>
  </r>
  <r>
    <n v="312218"/>
    <n v="787489"/>
    <x v="2"/>
    <x v="1730"/>
    <x v="12"/>
    <s v="DELEGATE AGENCY"/>
    <s v="UNKNOWN"/>
    <x v="2"/>
  </r>
  <r>
    <n v="312228"/>
    <n v="250000"/>
    <x v="2"/>
    <x v="879"/>
    <x v="12"/>
    <s v="DELEGATE AGENCY"/>
    <s v="UNKNOWN"/>
    <x v="2"/>
  </r>
  <r>
    <n v="312247"/>
    <n v="250000"/>
    <x v="2"/>
    <x v="2322"/>
    <x v="9"/>
    <s v="COMPTROLLER-OTHER"/>
    <s v="UNKNOWN"/>
    <x v="2"/>
  </r>
  <r>
    <n v="312254"/>
    <n v="214055"/>
    <x v="2"/>
    <x v="2303"/>
    <x v="8"/>
    <s v="DELEGATE AGENCY"/>
    <s v="UNKNOWN"/>
    <x v="2"/>
  </r>
  <r>
    <n v="312255"/>
    <n v="3419555"/>
    <x v="1"/>
    <x v="547"/>
    <x v="8"/>
    <s v="DELEGATE AGENCY"/>
    <s v="UNKNOWN"/>
    <x v="2"/>
  </r>
  <r>
    <n v="312256"/>
    <n v="34083"/>
    <x v="0"/>
    <x v="128"/>
    <x v="8"/>
    <s v="DELEGATE AGENCY"/>
    <s v="UNKNOWN"/>
    <x v="2"/>
  </r>
  <r>
    <n v="312416"/>
    <n v="49076.3"/>
    <x v="4"/>
    <x v="2229"/>
    <x v="27"/>
    <s v="RELEASE REQUISITION"/>
    <s v="UNKNOWN"/>
    <x v="2"/>
  </r>
  <r>
    <n v="312471"/>
    <n v="533376"/>
    <x v="4"/>
    <x v="340"/>
    <x v="12"/>
    <s v="DELEGATE AGENCY"/>
    <s v="UNKNOWN"/>
    <x v="2"/>
  </r>
  <r>
    <n v="312577"/>
    <n v="50000"/>
    <x v="2"/>
    <x v="383"/>
    <x v="22"/>
    <s v="DELEGATE AGENCY"/>
    <s v="UNKNOWN"/>
    <x v="2"/>
  </r>
  <r>
    <n v="312691"/>
    <n v="81000"/>
    <x v="1"/>
    <x v="201"/>
    <x v="12"/>
    <s v="DELEGATE AGENCY"/>
    <s v="UNKNOWN"/>
    <x v="2"/>
  </r>
  <r>
    <n v="312692"/>
    <n v="338994"/>
    <x v="1"/>
    <x v="2302"/>
    <x v="8"/>
    <s v="DELEGATE AGENCY"/>
    <s v="UNKNOWN"/>
    <x v="2"/>
  </r>
  <r>
    <n v="312694"/>
    <n v="34083"/>
    <x v="2"/>
    <x v="391"/>
    <x v="8"/>
    <s v="DELEGATE AGENCY"/>
    <s v="UNKNOWN"/>
    <x v="2"/>
  </r>
  <r>
    <n v="312697"/>
    <n v="323263"/>
    <x v="4"/>
    <x v="234"/>
    <x v="20"/>
    <s v="COMPTROLLER-OTHER"/>
    <s v="UNKNOWN"/>
    <x v="2"/>
  </r>
  <r>
    <n v="312699"/>
    <n v="150000"/>
    <x v="2"/>
    <x v="197"/>
    <x v="2"/>
    <s v="COMPTROLLER-OTHER"/>
    <s v="UNKNOWN"/>
    <x v="2"/>
  </r>
  <r>
    <n v="312703"/>
    <n v="120580.1"/>
    <x v="1"/>
    <x v="41"/>
    <x v="2"/>
    <s v="COMPTROLLER-OTHER"/>
    <s v="UNKNOWN"/>
    <x v="2"/>
  </r>
  <r>
    <n v="312706"/>
    <n v="15000000"/>
    <x v="1"/>
    <x v="2323"/>
    <x v="2"/>
    <s v="COMPTROLLER-OTHER"/>
    <s v="UNKNOWN"/>
    <x v="2"/>
  </r>
  <r>
    <n v="312712"/>
    <n v="115000"/>
    <x v="0"/>
    <x v="204"/>
    <x v="8"/>
    <s v="DELEGATE AGENCY"/>
    <s v="UNKNOWN"/>
    <x v="2"/>
  </r>
  <r>
    <n v="312713"/>
    <n v="394000"/>
    <x v="1"/>
    <x v="318"/>
    <x v="8"/>
    <s v="DELEGATE AGENCY"/>
    <s v="UNKNOWN"/>
    <x v="2"/>
  </r>
  <r>
    <n v="312715"/>
    <n v="2500000"/>
    <x v="2"/>
    <x v="2324"/>
    <x v="2"/>
    <s v="COMPTROLLER-OTHER"/>
    <s v="UNKNOWN"/>
    <x v="2"/>
  </r>
  <r>
    <n v="312721"/>
    <n v="300000"/>
    <x v="0"/>
    <x v="25"/>
    <x v="8"/>
    <s v="DELEGATE AGENCY"/>
    <s v="UNKNOWN"/>
    <x v="2"/>
  </r>
  <r>
    <n v="312723"/>
    <n v="175000"/>
    <x v="2"/>
    <x v="25"/>
    <x v="8"/>
    <s v="DELEGATE AGENCY"/>
    <s v="UNKNOWN"/>
    <x v="2"/>
  </r>
  <r>
    <n v="312724"/>
    <n v="400000"/>
    <x v="1"/>
    <x v="212"/>
    <x v="8"/>
    <s v="DELEGATE AGENCY"/>
    <s v="UNKNOWN"/>
    <x v="2"/>
  </r>
  <r>
    <n v="312731"/>
    <n v="500000"/>
    <x v="2"/>
    <x v="189"/>
    <x v="8"/>
    <s v="DELEGATE AGENCY"/>
    <s v="UNKNOWN"/>
    <x v="2"/>
  </r>
  <r>
    <n v="312732"/>
    <n v="120000"/>
    <x v="2"/>
    <x v="25"/>
    <x v="8"/>
    <s v="DELEGATE AGENCY"/>
    <s v="UNKNOWN"/>
    <x v="2"/>
  </r>
  <r>
    <n v="312733"/>
    <n v="2526300"/>
    <x v="1"/>
    <x v="500"/>
    <x v="8"/>
    <s v="DELEGATE AGENCY"/>
    <s v="UNKNOWN"/>
    <x v="2"/>
  </r>
  <r>
    <n v="312734"/>
    <n v="2075000"/>
    <x v="0"/>
    <x v="188"/>
    <x v="8"/>
    <s v="DELEGATE AGENCY"/>
    <s v="UNKNOWN"/>
    <x v="2"/>
  </r>
  <r>
    <n v="312736"/>
    <n v="249910"/>
    <x v="0"/>
    <x v="211"/>
    <x v="8"/>
    <s v="DELEGATE AGENCY"/>
    <s v="UNKNOWN"/>
    <x v="2"/>
  </r>
  <r>
    <n v="312818"/>
    <n v="250000"/>
    <x v="1"/>
    <x v="340"/>
    <x v="8"/>
    <s v="DELEGATE AGENCY"/>
    <s v="UNKNOWN"/>
    <x v="2"/>
  </r>
  <r>
    <n v="312819"/>
    <n v="250000"/>
    <x v="2"/>
    <x v="2188"/>
    <x v="8"/>
    <s v="DELEGATE AGENCY"/>
    <s v="UNKNOWN"/>
    <x v="2"/>
  </r>
  <r>
    <n v="312822"/>
    <n v="39897"/>
    <x v="2"/>
    <x v="642"/>
    <x v="14"/>
    <s v="SOFTWARE"/>
    <s v="JOINT PURCHASE"/>
    <x v="2"/>
  </r>
  <r>
    <n v="312823"/>
    <n v="250000"/>
    <x v="4"/>
    <x v="593"/>
    <x v="8"/>
    <s v="DELEGATE AGENCY"/>
    <s v="UNKNOWN"/>
    <x v="2"/>
  </r>
  <r>
    <n v="312824"/>
    <n v="332500"/>
    <x v="2"/>
    <x v="26"/>
    <x v="8"/>
    <s v="DELEGATE AGENCY"/>
    <s v="UNKNOWN"/>
    <x v="2"/>
  </r>
  <r>
    <n v="312977"/>
    <n v="580863"/>
    <x v="2"/>
    <x v="167"/>
    <x v="12"/>
    <s v="DELEGATE AGENCY"/>
    <s v="UNKNOWN"/>
    <x v="2"/>
  </r>
  <r>
    <n v="312978"/>
    <n v="533988"/>
    <x v="2"/>
    <x v="199"/>
    <x v="12"/>
    <s v="DELEGATE AGENCY"/>
    <s v="UNKNOWN"/>
    <x v="2"/>
  </r>
  <r>
    <n v="312979"/>
    <n v="533988"/>
    <x v="2"/>
    <x v="199"/>
    <x v="12"/>
    <s v="DELEGATE AGENCY"/>
    <s v="UNKNOWN"/>
    <x v="2"/>
  </r>
  <r>
    <n v="312982"/>
    <n v="266994"/>
    <x v="2"/>
    <x v="364"/>
    <x v="12"/>
    <s v="DELEGATE AGENCY"/>
    <s v="UNKNOWN"/>
    <x v="2"/>
  </r>
  <r>
    <n v="312983"/>
    <n v="47287"/>
    <x v="2"/>
    <x v="642"/>
    <x v="14"/>
    <s v="SOFTWARE"/>
    <s v="JOINT PURCHASE"/>
    <x v="2"/>
  </r>
  <r>
    <n v="313024"/>
    <n v="95000"/>
    <x v="4"/>
    <x v="223"/>
    <x v="21"/>
    <s v="DELEGATE AGENCY"/>
    <s v="UNKNOWN"/>
    <x v="2"/>
  </r>
  <r>
    <n v="313025"/>
    <n v="85000"/>
    <x v="1"/>
    <x v="223"/>
    <x v="21"/>
    <s v="DELEGATE AGENCY"/>
    <s v="UNKNOWN"/>
    <x v="2"/>
  </r>
  <r>
    <n v="313040"/>
    <n v="40049"/>
    <x v="1"/>
    <x v="583"/>
    <x v="12"/>
    <s v="DELEGATE AGENCY"/>
    <s v="UNKNOWN"/>
    <x v="2"/>
  </r>
  <r>
    <n v="313111"/>
    <n v="615644"/>
    <x v="4"/>
    <x v="447"/>
    <x v="12"/>
    <s v="DELEGATE AGENCY"/>
    <s v="UNKNOWN"/>
    <x v="2"/>
  </r>
  <r>
    <n v="313114"/>
    <n v="1539110"/>
    <x v="2"/>
    <x v="376"/>
    <x v="12"/>
    <s v="DELEGATE AGENCY"/>
    <s v="UNKNOWN"/>
    <x v="2"/>
  </r>
  <r>
    <n v="313115"/>
    <n v="33600"/>
    <x v="0"/>
    <x v="243"/>
    <x v="12"/>
    <s v="DELEGATE AGENCY"/>
    <s v="UNKNOWN"/>
    <x v="2"/>
  </r>
  <r>
    <n v="313116"/>
    <n v="75000"/>
    <x v="4"/>
    <x v="297"/>
    <x v="12"/>
    <s v="DELEGATE AGENCY"/>
    <s v="UNKNOWN"/>
    <x v="2"/>
  </r>
  <r>
    <n v="313117"/>
    <n v="40049"/>
    <x v="1"/>
    <x v="127"/>
    <x v="12"/>
    <s v="DELEGATE AGENCY"/>
    <s v="UNKNOWN"/>
    <x v="2"/>
  </r>
  <r>
    <n v="313118"/>
    <n v="80098"/>
    <x v="4"/>
    <x v="199"/>
    <x v="12"/>
    <s v="DELEGATE AGENCY"/>
    <s v="UNKNOWN"/>
    <x v="2"/>
  </r>
  <r>
    <n v="313119"/>
    <n v="80098"/>
    <x v="1"/>
    <x v="199"/>
    <x v="12"/>
    <s v="DELEGATE AGENCY"/>
    <s v="UNKNOWN"/>
    <x v="2"/>
  </r>
  <r>
    <n v="313120"/>
    <n v="40049"/>
    <x v="1"/>
    <x v="364"/>
    <x v="12"/>
    <s v="DELEGATE AGENCY"/>
    <s v="UNKNOWN"/>
    <x v="2"/>
  </r>
  <r>
    <n v="313121"/>
    <n v="80098"/>
    <x v="4"/>
    <x v="167"/>
    <x v="12"/>
    <s v="DELEGATE AGENCY"/>
    <s v="UNKNOWN"/>
    <x v="2"/>
  </r>
  <r>
    <n v="313122"/>
    <n v="11539.4"/>
    <x v="1"/>
    <x v="78"/>
    <x v="12"/>
    <s v="DELEGATE AGENCY"/>
    <s v="UNKNOWN"/>
    <x v="2"/>
  </r>
  <r>
    <n v="313123"/>
    <n v="26426.799999999999"/>
    <x v="4"/>
    <x v="78"/>
    <x v="12"/>
    <s v="DELEGATE AGENCY"/>
    <s v="UNKNOWN"/>
    <x v="2"/>
  </r>
  <r>
    <n v="313124"/>
    <n v="71994"/>
    <x v="4"/>
    <x v="201"/>
    <x v="12"/>
    <s v="DELEGATE AGENCY"/>
    <s v="UNKNOWN"/>
    <x v="2"/>
  </r>
  <r>
    <n v="313125"/>
    <n v="71994"/>
    <x v="1"/>
    <x v="84"/>
    <x v="12"/>
    <s v="DELEGATE AGENCY"/>
    <s v="UNKNOWN"/>
    <x v="2"/>
  </r>
  <r>
    <n v="313126"/>
    <n v="307822"/>
    <x v="1"/>
    <x v="604"/>
    <x v="12"/>
    <s v="DELEGATE AGENCY"/>
    <s v="UNKNOWN"/>
    <x v="2"/>
  </r>
  <r>
    <n v="313127"/>
    <n v="615644"/>
    <x v="2"/>
    <x v="203"/>
    <x v="12"/>
    <s v="DELEGATE AGENCY"/>
    <s v="UNKNOWN"/>
    <x v="2"/>
  </r>
  <r>
    <n v="313128"/>
    <n v="230867"/>
    <x v="2"/>
    <x v="880"/>
    <x v="12"/>
    <s v="DELEGATE AGENCY"/>
    <s v="UNKNOWN"/>
    <x v="2"/>
  </r>
  <r>
    <n v="313130"/>
    <n v="153911"/>
    <x v="1"/>
    <x v="585"/>
    <x v="12"/>
    <s v="DELEGATE AGENCY"/>
    <s v="UNKNOWN"/>
    <x v="2"/>
  </r>
  <r>
    <n v="313131"/>
    <n v="1385199"/>
    <x v="1"/>
    <x v="201"/>
    <x v="12"/>
    <s v="DELEGATE AGENCY"/>
    <s v="UNKNOWN"/>
    <x v="2"/>
  </r>
  <r>
    <n v="313158"/>
    <n v="34680"/>
    <x v="0"/>
    <x v="437"/>
    <x v="8"/>
    <s v="DELEGATE AGENCY"/>
    <s v="UNKNOWN"/>
    <x v="2"/>
  </r>
  <r>
    <n v="313177"/>
    <n v="566583"/>
    <x v="4"/>
    <x v="370"/>
    <x v="12"/>
    <s v="DELEGATE AGENCY"/>
    <s v="UNKNOWN"/>
    <x v="2"/>
  </r>
  <r>
    <n v="313178"/>
    <n v="3000000"/>
    <x v="2"/>
    <x v="547"/>
    <x v="8"/>
    <s v="DELEGATE AGENCY"/>
    <s v="UNKNOWN"/>
    <x v="2"/>
  </r>
  <r>
    <n v="313304"/>
    <n v="30989"/>
    <x v="0"/>
    <x v="49"/>
    <x v="8"/>
    <s v="DELEGATE AGENCY"/>
    <s v="UNKNOWN"/>
    <x v="2"/>
  </r>
  <r>
    <n v="313314"/>
    <n v="143988"/>
    <x v="4"/>
    <x v="544"/>
    <x v="12"/>
    <s v="DELEGATE AGENCY"/>
    <s v="UNKNOWN"/>
    <x v="2"/>
  </r>
  <r>
    <n v="313410"/>
    <n v="529390"/>
    <x v="1"/>
    <x v="2325"/>
    <x v="5"/>
    <s v="CONSTRUCTION-GENERAL"/>
    <s v="BID"/>
    <x v="2"/>
  </r>
  <r>
    <n v="313413"/>
    <n v="40077"/>
    <x v="2"/>
    <x v="464"/>
    <x v="12"/>
    <s v="DELEGATE AGENCY"/>
    <s v="UNKNOWN"/>
    <x v="2"/>
  </r>
  <r>
    <n v="313443"/>
    <n v="158800"/>
    <x v="4"/>
    <x v="337"/>
    <x v="26"/>
    <s v="DELEGATE AGENCY"/>
    <s v="UNKNOWN"/>
    <x v="2"/>
  </r>
  <r>
    <n v="313532"/>
    <n v="153911"/>
    <x v="1"/>
    <x v="583"/>
    <x v="12"/>
    <s v="DELEGATE AGENCY"/>
    <s v="UNKNOWN"/>
    <x v="2"/>
  </r>
  <r>
    <n v="313535"/>
    <n v="49474109.200000003"/>
    <x v="1"/>
    <x v="999"/>
    <x v="14"/>
    <s v="PRO SERV CONSULTING $250,000orABOVE"/>
    <s v="UNKNOWN"/>
    <x v="2"/>
  </r>
  <r>
    <n v="313558"/>
    <n v="266999"/>
    <x v="0"/>
    <x v="73"/>
    <x v="12"/>
    <s v="DELEGATE AGENCY"/>
    <s v="UNKNOWN"/>
    <x v="2"/>
  </r>
  <r>
    <n v="313562"/>
    <n v="307048"/>
    <x v="2"/>
    <x v="82"/>
    <x v="12"/>
    <s v="DELEGATE AGENCY"/>
    <s v="UNKNOWN"/>
    <x v="2"/>
  </r>
  <r>
    <n v="313573"/>
    <n v="47996"/>
    <x v="2"/>
    <x v="1788"/>
    <x v="12"/>
    <s v="DELEGATE AGENCY"/>
    <s v="UNKNOWN"/>
    <x v="2"/>
  </r>
  <r>
    <n v="313701"/>
    <n v="34083"/>
    <x v="4"/>
    <x v="436"/>
    <x v="8"/>
    <s v="DELEGATE AGENCY"/>
    <s v="UNKNOWN"/>
    <x v="2"/>
  </r>
  <r>
    <n v="313713"/>
    <n v="266994"/>
    <x v="4"/>
    <x v="441"/>
    <x v="12"/>
    <s v="DELEGATE AGENCY"/>
    <s v="UNKNOWN"/>
    <x v="2"/>
  </r>
  <r>
    <n v="313730"/>
    <n v="55440"/>
    <x v="2"/>
    <x v="76"/>
    <x v="12"/>
    <s v="DELEGATE AGENCY"/>
    <s v="UNKNOWN"/>
    <x v="2"/>
  </r>
  <r>
    <n v="313731"/>
    <n v="300000"/>
    <x v="1"/>
    <x v="114"/>
    <x v="12"/>
    <s v="DELEGATE AGENCY"/>
    <s v="UNKNOWN"/>
    <x v="2"/>
  </r>
  <r>
    <n v="313732"/>
    <n v="300000"/>
    <x v="2"/>
    <x v="335"/>
    <x v="12"/>
    <s v="DELEGATE AGENCY"/>
    <s v="UNKNOWN"/>
    <x v="2"/>
  </r>
  <r>
    <n v="313734"/>
    <n v="20800"/>
    <x v="2"/>
    <x v="243"/>
    <x v="12"/>
    <s v="DELEGATE AGENCY"/>
    <s v="UNKNOWN"/>
    <x v="2"/>
  </r>
  <r>
    <n v="313735"/>
    <n v="59150"/>
    <x v="4"/>
    <x v="243"/>
    <x v="12"/>
    <s v="DELEGATE AGENCY"/>
    <s v="UNKNOWN"/>
    <x v="2"/>
  </r>
  <r>
    <n v="313736"/>
    <n v="437504"/>
    <x v="1"/>
    <x v="243"/>
    <x v="12"/>
    <s v="DELEGATE AGENCY"/>
    <s v="UNKNOWN"/>
    <x v="2"/>
  </r>
  <r>
    <n v="313737"/>
    <n v="71994"/>
    <x v="2"/>
    <x v="345"/>
    <x v="12"/>
    <s v="DELEGATE AGENCY"/>
    <s v="UNKNOWN"/>
    <x v="2"/>
  </r>
  <r>
    <n v="313869"/>
    <n v="247611"/>
    <x v="1"/>
    <x v="168"/>
    <x v="8"/>
    <s v="DELEGATE AGENCY"/>
    <s v="UNKNOWN"/>
    <x v="2"/>
  </r>
  <r>
    <n v="313936"/>
    <n v="88317"/>
    <x v="1"/>
    <x v="372"/>
    <x v="12"/>
    <s v="DELEGATE AGENCY"/>
    <s v="UNKNOWN"/>
    <x v="2"/>
  </r>
  <r>
    <n v="313993"/>
    <n v="4250000"/>
    <x v="1"/>
    <x v="145"/>
    <x v="2"/>
    <s v="COMPTROLLER-OTHER"/>
    <s v="UNKNOWN"/>
    <x v="2"/>
  </r>
  <r>
    <n v="313998"/>
    <n v="750000"/>
    <x v="0"/>
    <x v="145"/>
    <x v="2"/>
    <s v="COMPTROLLER-OTHER"/>
    <s v="UNKNOWN"/>
    <x v="2"/>
  </r>
  <r>
    <n v="314001"/>
    <n v="8900000"/>
    <x v="2"/>
    <x v="145"/>
    <x v="2"/>
    <s v="COMPTROLLER-OTHER"/>
    <s v="UNKNOWN"/>
    <x v="2"/>
  </r>
  <r>
    <n v="314010"/>
    <n v="400000"/>
    <x v="0"/>
    <x v="145"/>
    <x v="2"/>
    <s v="COMPTROLLER-OTHER"/>
    <s v="UNKNOWN"/>
    <x v="2"/>
  </r>
  <r>
    <n v="314012"/>
    <n v="10130000"/>
    <x v="2"/>
    <x v="145"/>
    <x v="2"/>
    <s v="COMPTROLLER-OTHER"/>
    <s v="UNKNOWN"/>
    <x v="2"/>
  </r>
  <r>
    <n v="314014"/>
    <n v="1850000"/>
    <x v="0"/>
    <x v="953"/>
    <x v="6"/>
    <s v="COMPTROLLER-OTHER"/>
    <s v="UNKNOWN"/>
    <x v="2"/>
  </r>
  <r>
    <n v="314018"/>
    <n v="8000000"/>
    <x v="0"/>
    <x v="145"/>
    <x v="2"/>
    <s v="COMPTROLLER-OTHER"/>
    <s v="UNKNOWN"/>
    <x v="2"/>
  </r>
  <r>
    <n v="314019"/>
    <n v="200000"/>
    <x v="0"/>
    <x v="145"/>
    <x v="2"/>
    <s v="COMPTROLLER-OTHER"/>
    <s v="UNKNOWN"/>
    <x v="2"/>
  </r>
  <r>
    <n v="314020"/>
    <n v="3100000"/>
    <x v="1"/>
    <x v="145"/>
    <x v="2"/>
    <s v="COMPTROLLER-OTHER"/>
    <s v="UNKNOWN"/>
    <x v="2"/>
  </r>
  <r>
    <n v="314022"/>
    <n v="150000"/>
    <x v="0"/>
    <x v="1855"/>
    <x v="2"/>
    <s v="COMPTROLLER-OTHER"/>
    <s v="UNKNOWN"/>
    <x v="2"/>
  </r>
  <r>
    <n v="314024"/>
    <n v="550000"/>
    <x v="1"/>
    <x v="145"/>
    <x v="2"/>
    <s v="COMPTROLLER-OTHER"/>
    <s v="UNKNOWN"/>
    <x v="2"/>
  </r>
  <r>
    <n v="314025"/>
    <n v="75000"/>
    <x v="2"/>
    <x v="1883"/>
    <x v="20"/>
    <s v="COMPTROLLER-OTHER"/>
    <s v="UNKNOWN"/>
    <x v="2"/>
  </r>
  <r>
    <n v="314027"/>
    <n v="2100000"/>
    <x v="1"/>
    <x v="145"/>
    <x v="2"/>
    <s v="COMPTROLLER-OTHER"/>
    <s v="UNKNOWN"/>
    <x v="2"/>
  </r>
  <r>
    <n v="314028"/>
    <n v="940000"/>
    <x v="0"/>
    <x v="2326"/>
    <x v="2"/>
    <s v="COMPTROLLER-OTHER"/>
    <s v="UNKNOWN"/>
    <x v="2"/>
  </r>
  <r>
    <n v="314029"/>
    <n v="4500000"/>
    <x v="2"/>
    <x v="559"/>
    <x v="2"/>
    <s v="COMPTROLLER-OTHER"/>
    <s v="UNKNOWN"/>
    <x v="2"/>
  </r>
  <r>
    <n v="314033"/>
    <n v="79800"/>
    <x v="0"/>
    <x v="2327"/>
    <x v="6"/>
    <s v="COMPTROLLER-OTHER"/>
    <s v="UNKNOWN"/>
    <x v="2"/>
  </r>
  <r>
    <n v="314062"/>
    <n v="405000"/>
    <x v="1"/>
    <x v="145"/>
    <x v="2"/>
    <s v="COMPTROLLER-OTHER"/>
    <s v="UNKNOWN"/>
    <x v="2"/>
  </r>
  <r>
    <n v="314064"/>
    <n v="250000"/>
    <x v="2"/>
    <x v="2328"/>
    <x v="2"/>
    <s v="COMPTROLLER-OTHER"/>
    <s v="UNKNOWN"/>
    <x v="2"/>
  </r>
  <r>
    <n v="314065"/>
    <n v="280000"/>
    <x v="2"/>
    <x v="145"/>
    <x v="2"/>
    <s v="COMPTROLLER-OTHER"/>
    <s v="UNKNOWN"/>
    <x v="2"/>
  </r>
  <r>
    <n v="314070"/>
    <n v="1348000"/>
    <x v="2"/>
    <x v="145"/>
    <x v="2"/>
    <s v="COMPTROLLER-OTHER"/>
    <s v="UNKNOWN"/>
    <x v="2"/>
  </r>
  <r>
    <n v="314077"/>
    <n v="54460"/>
    <x v="0"/>
    <x v="2329"/>
    <x v="2"/>
    <s v="COMPTROLLER-OTHER"/>
    <s v="UNKNOWN"/>
    <x v="2"/>
  </r>
  <r>
    <n v="314079"/>
    <n v="250000"/>
    <x v="1"/>
    <x v="2330"/>
    <x v="2"/>
    <s v="COMPTROLLER-OTHER"/>
    <s v="UNKNOWN"/>
    <x v="2"/>
  </r>
  <r>
    <n v="314122"/>
    <n v="47996"/>
    <x v="2"/>
    <x v="510"/>
    <x v="12"/>
    <s v="DELEGATE AGENCY"/>
    <s v="UNKNOWN"/>
    <x v="2"/>
  </r>
  <r>
    <n v="314123"/>
    <n v="134997"/>
    <x v="4"/>
    <x v="197"/>
    <x v="2"/>
    <s v="COMPTROLLER-OTHER"/>
    <s v="UNKNOWN"/>
    <x v="2"/>
  </r>
  <r>
    <n v="314124"/>
    <n v="110000"/>
    <x v="1"/>
    <x v="76"/>
    <x v="12"/>
    <s v="DELEGATE AGENCY"/>
    <s v="UNKNOWN"/>
    <x v="2"/>
  </r>
  <r>
    <n v="314125"/>
    <n v="6957"/>
    <x v="1"/>
    <x v="975"/>
    <x v="2"/>
    <s v="COMPTROLLER-OTHER"/>
    <s v="UNKNOWN"/>
    <x v="2"/>
  </r>
  <r>
    <n v="314126"/>
    <n v="771500"/>
    <x v="3"/>
    <x v="76"/>
    <x v="12"/>
    <s v="DELEGATE AGENCY"/>
    <s v="UNKNOWN"/>
    <x v="2"/>
  </r>
  <r>
    <n v="314127"/>
    <n v="742447"/>
    <x v="2"/>
    <x v="175"/>
    <x v="12"/>
    <s v="DELEGATE AGENCY"/>
    <s v="UNKNOWN"/>
    <x v="2"/>
  </r>
  <r>
    <n v="314128"/>
    <n v="349781"/>
    <x v="2"/>
    <x v="76"/>
    <x v="12"/>
    <s v="DELEGATE AGENCY"/>
    <s v="UNKNOWN"/>
    <x v="2"/>
  </r>
  <r>
    <n v="314129"/>
    <n v="1539110"/>
    <x v="2"/>
    <x v="605"/>
    <x v="12"/>
    <s v="DELEGATE AGENCY"/>
    <s v="UNKNOWN"/>
    <x v="2"/>
  </r>
  <r>
    <n v="314130"/>
    <n v="2231710"/>
    <x v="0"/>
    <x v="605"/>
    <x v="12"/>
    <s v="DELEGATE AGENCY"/>
    <s v="UNKNOWN"/>
    <x v="2"/>
  </r>
  <r>
    <n v="314131"/>
    <n v="2033843"/>
    <x v="0"/>
    <x v="605"/>
    <x v="12"/>
    <s v="DELEGATE AGENCY"/>
    <s v="UNKNOWN"/>
    <x v="2"/>
  </r>
  <r>
    <n v="314132"/>
    <n v="1437910"/>
    <x v="0"/>
    <x v="605"/>
    <x v="12"/>
    <s v="DELEGATE AGENCY"/>
    <s v="UNKNOWN"/>
    <x v="2"/>
  </r>
  <r>
    <n v="314133"/>
    <n v="1405199"/>
    <x v="0"/>
    <x v="605"/>
    <x v="12"/>
    <s v="DELEGATE AGENCY"/>
    <s v="UNKNOWN"/>
    <x v="2"/>
  </r>
  <r>
    <n v="314134"/>
    <n v="2462576"/>
    <x v="0"/>
    <x v="605"/>
    <x v="12"/>
    <s v="DELEGATE AGENCY"/>
    <s v="UNKNOWN"/>
    <x v="2"/>
  </r>
  <r>
    <n v="314140"/>
    <n v="120000"/>
    <x v="0"/>
    <x v="169"/>
    <x v="2"/>
    <s v="COMPTROLLER-OTHER"/>
    <s v="UNKNOWN"/>
    <x v="2"/>
  </r>
  <r>
    <n v="314143"/>
    <n v="1260000"/>
    <x v="1"/>
    <x v="145"/>
    <x v="2"/>
    <s v="COMPTROLLER-OTHER"/>
    <s v="UNKNOWN"/>
    <x v="2"/>
  </r>
  <r>
    <n v="314145"/>
    <n v="3714519"/>
    <x v="0"/>
    <x v="2331"/>
    <x v="2"/>
    <s v="COMPTROLLER-OTHER"/>
    <s v="UNKNOWN"/>
    <x v="2"/>
  </r>
  <r>
    <n v="314147"/>
    <n v="300000"/>
    <x v="0"/>
    <x v="145"/>
    <x v="2"/>
    <s v="COMPTROLLER-OTHER"/>
    <s v="UNKNOWN"/>
    <x v="2"/>
  </r>
  <r>
    <n v="314149"/>
    <n v="250000"/>
    <x v="2"/>
    <x v="2332"/>
    <x v="2"/>
    <s v="COMPTROLLER-OTHER"/>
    <s v="UNKNOWN"/>
    <x v="2"/>
  </r>
  <r>
    <n v="314150"/>
    <n v="4700000"/>
    <x v="2"/>
    <x v="145"/>
    <x v="2"/>
    <s v="COMPTROLLER-OTHER"/>
    <s v="UNKNOWN"/>
    <x v="2"/>
  </r>
  <r>
    <n v="314151"/>
    <n v="300000"/>
    <x v="0"/>
    <x v="145"/>
    <x v="2"/>
    <s v="COMPTROLLER-OTHER"/>
    <s v="UNKNOWN"/>
    <x v="2"/>
  </r>
  <r>
    <n v="314153"/>
    <n v="250000"/>
    <x v="2"/>
    <x v="2333"/>
    <x v="2"/>
    <s v="COMPTROLLER-OTHER"/>
    <s v="UNKNOWN"/>
    <x v="2"/>
  </r>
  <r>
    <n v="314157"/>
    <n v="186200"/>
    <x v="2"/>
    <x v="145"/>
    <x v="2"/>
    <s v="COMPTROLLER-OTHER"/>
    <s v="UNKNOWN"/>
    <x v="2"/>
  </r>
  <r>
    <n v="314158"/>
    <n v="95187.4"/>
    <x v="1"/>
    <x v="1499"/>
    <x v="2"/>
    <s v="COMPTROLLER-OTHER"/>
    <s v="UNKNOWN"/>
    <x v="2"/>
  </r>
  <r>
    <n v="314161"/>
    <n v="250000"/>
    <x v="1"/>
    <x v="2334"/>
    <x v="2"/>
    <s v="COMPTROLLER-OTHER"/>
    <s v="UNKNOWN"/>
    <x v="2"/>
  </r>
  <r>
    <n v="314177"/>
    <n v="18700000"/>
    <x v="2"/>
    <x v="2335"/>
    <x v="2"/>
    <s v="COMPTROLLER-OTHER"/>
    <s v="UNKNOWN"/>
    <x v="2"/>
  </r>
  <r>
    <n v="314178"/>
    <n v="6116.8"/>
    <x v="0"/>
    <x v="488"/>
    <x v="20"/>
    <s v="COMPTROLLER-OTHER"/>
    <s v="UNKNOWN"/>
    <x v="2"/>
  </r>
  <r>
    <n v="314183"/>
    <n v="172000"/>
    <x v="3"/>
    <x v="1190"/>
    <x v="8"/>
    <s v="DELEGATE AGENCY"/>
    <s v="UNKNOWN"/>
    <x v="2"/>
  </r>
  <r>
    <n v="314264"/>
    <n v="750000"/>
    <x v="1"/>
    <x v="145"/>
    <x v="2"/>
    <s v="COMPTROLLER-OTHER"/>
    <s v="UNKNOWN"/>
    <x v="2"/>
  </r>
  <r>
    <n v="314266"/>
    <n v="750000"/>
    <x v="2"/>
    <x v="145"/>
    <x v="2"/>
    <s v="COMPTROLLER-OTHER"/>
    <s v="UNKNOWN"/>
    <x v="2"/>
  </r>
  <r>
    <n v="314282"/>
    <n v="2400000"/>
    <x v="2"/>
    <x v="145"/>
    <x v="2"/>
    <s v="COMPTROLLER-OTHER"/>
    <s v="UNKNOWN"/>
    <x v="2"/>
  </r>
  <r>
    <n v="314286"/>
    <n v="250000"/>
    <x v="0"/>
    <x v="145"/>
    <x v="2"/>
    <s v="COMPTROLLER-OTHER"/>
    <s v="UNKNOWN"/>
    <x v="2"/>
  </r>
  <r>
    <n v="314288"/>
    <n v="100000"/>
    <x v="2"/>
    <x v="145"/>
    <x v="2"/>
    <s v="COMPTROLLER-OTHER"/>
    <s v="UNKNOWN"/>
    <x v="2"/>
  </r>
  <r>
    <n v="314290"/>
    <n v="1000000"/>
    <x v="1"/>
    <x v="145"/>
    <x v="2"/>
    <s v="COMPTROLLER-OTHER"/>
    <s v="UNKNOWN"/>
    <x v="2"/>
  </r>
  <r>
    <n v="314295"/>
    <n v="275000"/>
    <x v="0"/>
    <x v="145"/>
    <x v="2"/>
    <s v="COMPTROLLER-OTHER"/>
    <s v="UNKNOWN"/>
    <x v="2"/>
  </r>
  <r>
    <n v="314296"/>
    <n v="3725000"/>
    <x v="2"/>
    <x v="145"/>
    <x v="2"/>
    <s v="COMPTROLLER-OTHER"/>
    <s v="UNKNOWN"/>
    <x v="2"/>
  </r>
  <r>
    <n v="314297"/>
    <n v="750000"/>
    <x v="0"/>
    <x v="145"/>
    <x v="2"/>
    <s v="COMPTROLLER-OTHER"/>
    <s v="UNKNOWN"/>
    <x v="2"/>
  </r>
  <r>
    <n v="314298"/>
    <n v="5000000"/>
    <x v="2"/>
    <x v="1543"/>
    <x v="2"/>
    <s v="COMPTROLLER-OTHER"/>
    <s v="UNKNOWN"/>
    <x v="2"/>
  </r>
  <r>
    <n v="314299"/>
    <n v="431000"/>
    <x v="0"/>
    <x v="145"/>
    <x v="2"/>
    <s v="COMPTROLLER-OTHER"/>
    <s v="UNKNOWN"/>
    <x v="2"/>
  </r>
  <r>
    <n v="314300"/>
    <n v="11050000"/>
    <x v="2"/>
    <x v="145"/>
    <x v="2"/>
    <s v="COMPTROLLER-OTHER"/>
    <s v="UNKNOWN"/>
    <x v="2"/>
  </r>
  <r>
    <n v="314301"/>
    <n v="132892.6"/>
    <x v="0"/>
    <x v="2336"/>
    <x v="2"/>
    <s v="COMPTROLLER-OTHER"/>
    <s v="UNKNOWN"/>
    <x v="2"/>
  </r>
  <r>
    <n v="314305"/>
    <n v="24621"/>
    <x v="1"/>
    <x v="1794"/>
    <x v="2"/>
    <s v="COMPTROLLER-OTHER"/>
    <s v="UNKNOWN"/>
    <x v="2"/>
  </r>
  <r>
    <n v="314306"/>
    <n v="148492.6"/>
    <x v="4"/>
    <x v="2337"/>
    <x v="2"/>
    <s v="COMPTROLLER-OTHER"/>
    <s v="UNKNOWN"/>
    <x v="2"/>
  </r>
  <r>
    <n v="314307"/>
    <n v="73030"/>
    <x v="1"/>
    <x v="2329"/>
    <x v="2"/>
    <s v="COMPTROLLER-OTHER"/>
    <s v="UNKNOWN"/>
    <x v="2"/>
  </r>
  <r>
    <n v="314308"/>
    <n v="7416769"/>
    <x v="1"/>
    <x v="2338"/>
    <x v="2"/>
    <s v="COMPTROLLER-OTHER"/>
    <s v="UNKNOWN"/>
    <x v="2"/>
  </r>
  <r>
    <n v="314309"/>
    <n v="1298000"/>
    <x v="0"/>
    <x v="145"/>
    <x v="2"/>
    <s v="COMPTROLLER-OTHER"/>
    <s v="UNKNOWN"/>
    <x v="2"/>
  </r>
  <r>
    <n v="314310"/>
    <n v="2500000"/>
    <x v="0"/>
    <x v="145"/>
    <x v="2"/>
    <s v="COMPTROLLER-OTHER"/>
    <s v="UNKNOWN"/>
    <x v="2"/>
  </r>
  <r>
    <n v="314311"/>
    <n v="5750000"/>
    <x v="0"/>
    <x v="145"/>
    <x v="2"/>
    <s v="COMPTROLLER-OTHER"/>
    <s v="UNKNOWN"/>
    <x v="2"/>
  </r>
  <r>
    <n v="314312"/>
    <n v="600000"/>
    <x v="0"/>
    <x v="145"/>
    <x v="2"/>
    <s v="COMPTROLLER-OTHER"/>
    <s v="UNKNOWN"/>
    <x v="2"/>
  </r>
  <r>
    <n v="314313"/>
    <n v="750000"/>
    <x v="2"/>
    <x v="145"/>
    <x v="2"/>
    <s v="COMPTROLLER-OTHER"/>
    <s v="UNKNOWN"/>
    <x v="2"/>
  </r>
  <r>
    <n v="314314"/>
    <n v="3740000"/>
    <x v="2"/>
    <x v="145"/>
    <x v="2"/>
    <s v="COMPTROLLER-OTHER"/>
    <s v="UNKNOWN"/>
    <x v="2"/>
  </r>
  <r>
    <n v="314315"/>
    <n v="3800000"/>
    <x v="0"/>
    <x v="145"/>
    <x v="2"/>
    <s v="COMPTROLLER-OTHER"/>
    <s v="UNKNOWN"/>
    <x v="2"/>
  </r>
  <r>
    <n v="314316"/>
    <n v="11510000"/>
    <x v="0"/>
    <x v="145"/>
    <x v="2"/>
    <s v="COMPTROLLER-OTHER"/>
    <s v="UNKNOWN"/>
    <x v="2"/>
  </r>
  <r>
    <n v="314317"/>
    <n v="6952000"/>
    <x v="0"/>
    <x v="145"/>
    <x v="2"/>
    <s v="COMPTROLLER-OTHER"/>
    <s v="UNKNOWN"/>
    <x v="2"/>
  </r>
  <r>
    <n v="314319"/>
    <n v="18000000"/>
    <x v="0"/>
    <x v="306"/>
    <x v="12"/>
    <s v="DELEGATE AGENCY"/>
    <s v="UNKNOWN"/>
    <x v="2"/>
  </r>
  <r>
    <n v="314322"/>
    <n v="431964"/>
    <x v="0"/>
    <x v="2339"/>
    <x v="12"/>
    <s v="DELEGATE AGENCY"/>
    <s v="UNKNOWN"/>
    <x v="2"/>
  </r>
  <r>
    <n v="314323"/>
    <n v="71994"/>
    <x v="2"/>
    <x v="385"/>
    <x v="12"/>
    <s v="DELEGATE AGENCY"/>
    <s v="UNKNOWN"/>
    <x v="2"/>
  </r>
  <r>
    <n v="314324"/>
    <n v="107991"/>
    <x v="1"/>
    <x v="449"/>
    <x v="12"/>
    <s v="DELEGATE AGENCY"/>
    <s v="UNKNOWN"/>
    <x v="2"/>
  </r>
  <r>
    <n v="314325"/>
    <n v="35997"/>
    <x v="1"/>
    <x v="2340"/>
    <x v="12"/>
    <s v="DELEGATE AGENCY"/>
    <s v="UNKNOWN"/>
    <x v="2"/>
  </r>
  <r>
    <n v="314326"/>
    <n v="71994"/>
    <x v="4"/>
    <x v="89"/>
    <x v="12"/>
    <s v="DELEGATE AGENCY"/>
    <s v="UNKNOWN"/>
    <x v="2"/>
  </r>
  <r>
    <n v="314327"/>
    <n v="35997"/>
    <x v="1"/>
    <x v="201"/>
    <x v="12"/>
    <s v="DELEGATE AGENCY"/>
    <s v="UNKNOWN"/>
    <x v="2"/>
  </r>
  <r>
    <n v="314328"/>
    <n v="35997"/>
    <x v="4"/>
    <x v="593"/>
    <x v="12"/>
    <s v="DELEGATE AGENCY"/>
    <s v="UNKNOWN"/>
    <x v="2"/>
  </r>
  <r>
    <n v="314341"/>
    <n v="23998"/>
    <x v="4"/>
    <x v="359"/>
    <x v="12"/>
    <s v="DELEGATE AGENCY"/>
    <s v="UNKNOWN"/>
    <x v="2"/>
  </r>
  <r>
    <n v="314342"/>
    <n v="6000"/>
    <x v="4"/>
    <x v="76"/>
    <x v="12"/>
    <s v="DELEGATE AGENCY"/>
    <s v="UNKNOWN"/>
    <x v="2"/>
  </r>
  <r>
    <n v="314357"/>
    <n v="500000"/>
    <x v="3"/>
    <x v="525"/>
    <x v="1"/>
    <s v="DELEGATE AGENCY"/>
    <s v="UNKNOWN"/>
    <x v="2"/>
  </r>
  <r>
    <n v="314360"/>
    <n v="175000"/>
    <x v="2"/>
    <x v="1005"/>
    <x v="1"/>
    <s v="DELEGATE AGENCY"/>
    <s v="UNKNOWN"/>
    <x v="2"/>
  </r>
  <r>
    <n v="314362"/>
    <n v="325000"/>
    <x v="1"/>
    <x v="281"/>
    <x v="1"/>
    <s v="DELEGATE AGENCY"/>
    <s v="UNKNOWN"/>
    <x v="2"/>
  </r>
  <r>
    <n v="314384"/>
    <n v="25000"/>
    <x v="2"/>
    <x v="284"/>
    <x v="12"/>
    <s v="DELEGATE AGENCY"/>
    <s v="UNKNOWN"/>
    <x v="2"/>
  </r>
  <r>
    <n v="314386"/>
    <n v="19000"/>
    <x v="4"/>
    <x v="293"/>
    <x v="12"/>
    <s v="DELEGATE AGENCY"/>
    <s v="UNKNOWN"/>
    <x v="2"/>
  </r>
  <r>
    <n v="314387"/>
    <n v="25000"/>
    <x v="4"/>
    <x v="317"/>
    <x v="12"/>
    <s v="DELEGATE AGENCY"/>
    <s v="UNKNOWN"/>
    <x v="2"/>
  </r>
  <r>
    <n v="314388"/>
    <n v="6000"/>
    <x v="4"/>
    <x v="306"/>
    <x v="12"/>
    <s v="DELEGATE AGENCY"/>
    <s v="UNKNOWN"/>
    <x v="2"/>
  </r>
  <r>
    <n v="314390"/>
    <n v="23500"/>
    <x v="3"/>
    <x v="86"/>
    <x v="12"/>
    <s v="DELEGATE AGENCY"/>
    <s v="UNKNOWN"/>
    <x v="2"/>
  </r>
  <r>
    <n v="314391"/>
    <n v="6000"/>
    <x v="4"/>
    <x v="293"/>
    <x v="12"/>
    <s v="DELEGATE AGENCY"/>
    <s v="UNKNOWN"/>
    <x v="2"/>
  </r>
  <r>
    <n v="314392"/>
    <n v="16695"/>
    <x v="3"/>
    <x v="303"/>
    <x v="12"/>
    <s v="DELEGATE AGENCY"/>
    <s v="UNKNOWN"/>
    <x v="2"/>
  </r>
  <r>
    <n v="314393"/>
    <n v="3500"/>
    <x v="4"/>
    <x v="84"/>
    <x v="12"/>
    <s v="DELEGATE AGENCY"/>
    <s v="UNKNOWN"/>
    <x v="2"/>
  </r>
  <r>
    <n v="314394"/>
    <n v="6000"/>
    <x v="3"/>
    <x v="312"/>
    <x v="12"/>
    <s v="DELEGATE AGENCY"/>
    <s v="UNKNOWN"/>
    <x v="2"/>
  </r>
  <r>
    <n v="314395"/>
    <n v="5810"/>
    <x v="3"/>
    <x v="312"/>
    <x v="12"/>
    <s v="DELEGATE AGENCY"/>
    <s v="UNKNOWN"/>
    <x v="2"/>
  </r>
  <r>
    <n v="314396"/>
    <n v="5956.2"/>
    <x v="3"/>
    <x v="301"/>
    <x v="12"/>
    <s v="DELEGATE AGENCY"/>
    <s v="UNKNOWN"/>
    <x v="2"/>
  </r>
  <r>
    <n v="314397"/>
    <n v="40049"/>
    <x v="3"/>
    <x v="441"/>
    <x v="12"/>
    <s v="DELEGATE AGENCY"/>
    <s v="UNKNOWN"/>
    <x v="2"/>
  </r>
  <r>
    <n v="314398"/>
    <n v="95992"/>
    <x v="4"/>
    <x v="59"/>
    <x v="12"/>
    <s v="DELEGATE AGENCY"/>
    <s v="UNKNOWN"/>
    <x v="2"/>
  </r>
  <r>
    <n v="314399"/>
    <n v="5832.9"/>
    <x v="1"/>
    <x v="76"/>
    <x v="12"/>
    <s v="DELEGATE AGENCY"/>
    <s v="UNKNOWN"/>
    <x v="2"/>
  </r>
  <r>
    <n v="314400"/>
    <n v="5441"/>
    <x v="3"/>
    <x v="313"/>
    <x v="12"/>
    <s v="DELEGATE AGENCY"/>
    <s v="UNKNOWN"/>
    <x v="2"/>
  </r>
  <r>
    <n v="314401"/>
    <n v="16250"/>
    <x v="3"/>
    <x v="306"/>
    <x v="12"/>
    <s v="DELEGATE AGENCY"/>
    <s v="UNKNOWN"/>
    <x v="2"/>
  </r>
  <r>
    <n v="314402"/>
    <n v="21500"/>
    <x v="4"/>
    <x v="84"/>
    <x v="12"/>
    <s v="DELEGATE AGENCY"/>
    <s v="UNKNOWN"/>
    <x v="2"/>
  </r>
  <r>
    <n v="314404"/>
    <n v="6000"/>
    <x v="4"/>
    <x v="301"/>
    <x v="12"/>
    <s v="DELEGATE AGENCY"/>
    <s v="UNKNOWN"/>
    <x v="2"/>
  </r>
  <r>
    <n v="314405"/>
    <n v="6000"/>
    <x v="3"/>
    <x v="287"/>
    <x v="12"/>
    <s v="DELEGATE AGENCY"/>
    <s v="UNKNOWN"/>
    <x v="2"/>
  </r>
  <r>
    <n v="314406"/>
    <n v="19000"/>
    <x v="3"/>
    <x v="287"/>
    <x v="12"/>
    <s v="DELEGATE AGENCY"/>
    <s v="UNKNOWN"/>
    <x v="2"/>
  </r>
  <r>
    <n v="314407"/>
    <n v="5981"/>
    <x v="4"/>
    <x v="301"/>
    <x v="12"/>
    <s v="DELEGATE AGENCY"/>
    <s v="UNKNOWN"/>
    <x v="2"/>
  </r>
  <r>
    <n v="314409"/>
    <n v="4236"/>
    <x v="3"/>
    <x v="299"/>
    <x v="12"/>
    <s v="DELEGATE AGENCY"/>
    <s v="UNKNOWN"/>
    <x v="2"/>
  </r>
  <r>
    <n v="314410"/>
    <n v="1036.7"/>
    <x v="3"/>
    <x v="304"/>
    <x v="12"/>
    <s v="DELEGATE AGENCY"/>
    <s v="UNKNOWN"/>
    <x v="2"/>
  </r>
  <r>
    <n v="314412"/>
    <n v="18300"/>
    <x v="3"/>
    <x v="298"/>
    <x v="12"/>
    <s v="DELEGATE AGENCY"/>
    <s v="UNKNOWN"/>
    <x v="2"/>
  </r>
  <r>
    <n v="314415"/>
    <n v="23404"/>
    <x v="4"/>
    <x v="304"/>
    <x v="12"/>
    <s v="DELEGATE AGENCY"/>
    <s v="UNKNOWN"/>
    <x v="2"/>
  </r>
  <r>
    <n v="314418"/>
    <n v="5968"/>
    <x v="4"/>
    <x v="305"/>
    <x v="12"/>
    <s v="DELEGATE AGENCY"/>
    <s v="UNKNOWN"/>
    <x v="2"/>
  </r>
  <r>
    <n v="314421"/>
    <n v="6000"/>
    <x v="3"/>
    <x v="76"/>
    <x v="12"/>
    <s v="DELEGATE AGENCY"/>
    <s v="UNKNOWN"/>
    <x v="2"/>
  </r>
  <r>
    <n v="314572"/>
    <n v="4716640"/>
    <x v="3"/>
    <x v="582"/>
    <x v="12"/>
    <s v="DELEGATE AGENCY"/>
    <s v="UNKNOWN"/>
    <x v="2"/>
  </r>
  <r>
    <n v="314585"/>
    <n v="400000"/>
    <x v="0"/>
    <x v="323"/>
    <x v="12"/>
    <s v="DELEGATE AGENCY"/>
    <s v="UNKNOWN"/>
    <x v="2"/>
  </r>
  <r>
    <n v="314590"/>
    <n v="150000"/>
    <x v="2"/>
    <x v="189"/>
    <x v="12"/>
    <s v="DELEGATE AGENCY"/>
    <s v="UNKNOWN"/>
    <x v="2"/>
  </r>
  <r>
    <n v="314784"/>
    <n v="184501"/>
    <x v="1"/>
    <x v="49"/>
    <x v="8"/>
    <s v="DELEGATE AGENCY"/>
    <s v="UNKNOWN"/>
    <x v="2"/>
  </r>
  <r>
    <n v="314943"/>
    <n v="5999"/>
    <x v="1"/>
    <x v="298"/>
    <x v="12"/>
    <s v="DELEGATE AGENCY"/>
    <s v="UNKNOWN"/>
    <x v="2"/>
  </r>
  <r>
    <n v="315185"/>
    <n v="13500"/>
    <x v="3"/>
    <x v="299"/>
    <x v="12"/>
    <s v="DELEGATE AGENCY"/>
    <s v="UNKNOWN"/>
    <x v="2"/>
  </r>
  <r>
    <n v="315186"/>
    <n v="23998"/>
    <x v="4"/>
    <x v="227"/>
    <x v="12"/>
    <s v="DELEGATE AGENCY"/>
    <s v="UNKNOWN"/>
    <x v="2"/>
  </r>
  <r>
    <n v="315191"/>
    <n v="47996"/>
    <x v="4"/>
    <x v="2318"/>
    <x v="12"/>
    <s v="DELEGATE AGENCY"/>
    <s v="UNKNOWN"/>
    <x v="2"/>
  </r>
  <r>
    <n v="315193"/>
    <n v="47996"/>
    <x v="4"/>
    <x v="583"/>
    <x v="12"/>
    <s v="DELEGATE AGENCY"/>
    <s v="UNKNOWN"/>
    <x v="2"/>
  </r>
  <r>
    <n v="315206"/>
    <n v="272683"/>
    <x v="4"/>
    <x v="2309"/>
    <x v="12"/>
    <s v="DELEGATE AGENCY"/>
    <s v="UNKNOWN"/>
    <x v="2"/>
  </r>
  <r>
    <n v="315359"/>
    <n v="2676500"/>
    <x v="2"/>
    <x v="76"/>
    <x v="12"/>
    <s v="DELEGATE AGENCY"/>
    <s v="UNKNOWN"/>
    <x v="2"/>
  </r>
  <r>
    <n v="315362"/>
    <n v="16779"/>
    <x v="0"/>
    <x v="372"/>
    <x v="12"/>
    <s v="DELEGATE AGENCY"/>
    <s v="UNKNOWN"/>
    <x v="2"/>
  </r>
  <r>
    <n v="315363"/>
    <n v="34116.9"/>
    <x v="4"/>
    <x v="376"/>
    <x v="12"/>
    <s v="DELEGATE AGENCY"/>
    <s v="UNKNOWN"/>
    <x v="2"/>
  </r>
  <r>
    <n v="315364"/>
    <n v="215982"/>
    <x v="4"/>
    <x v="199"/>
    <x v="12"/>
    <s v="DELEGATE AGENCY"/>
    <s v="UNKNOWN"/>
    <x v="2"/>
  </r>
  <r>
    <n v="315366"/>
    <n v="263978"/>
    <x v="1"/>
    <x v="199"/>
    <x v="12"/>
    <s v="DELEGATE AGENCY"/>
    <s v="UNKNOWN"/>
    <x v="2"/>
  </r>
  <r>
    <n v="315368"/>
    <n v="71994"/>
    <x v="2"/>
    <x v="446"/>
    <x v="12"/>
    <s v="DELEGATE AGENCY"/>
    <s v="UNKNOWN"/>
    <x v="2"/>
  </r>
  <r>
    <n v="315370"/>
    <n v="1130725"/>
    <x v="1"/>
    <x v="24"/>
    <x v="12"/>
    <s v="DELEGATE AGENCY"/>
    <s v="UNKNOWN"/>
    <x v="2"/>
  </r>
  <r>
    <n v="315373"/>
    <n v="6000"/>
    <x v="0"/>
    <x v="307"/>
    <x v="12"/>
    <s v="DELEGATE AGENCY"/>
    <s v="UNKNOWN"/>
    <x v="2"/>
  </r>
  <r>
    <n v="315374"/>
    <n v="47996"/>
    <x v="3"/>
    <x v="227"/>
    <x v="12"/>
    <s v="DELEGATE AGENCY"/>
    <s v="UNKNOWN"/>
    <x v="2"/>
  </r>
  <r>
    <n v="315382"/>
    <n v="10564.1"/>
    <x v="4"/>
    <x v="642"/>
    <x v="14"/>
    <s v="SOFTWARE"/>
    <s v="JOINT PURCHASE"/>
    <x v="2"/>
  </r>
  <r>
    <n v="315671"/>
    <n v="296748"/>
    <x v="4"/>
    <x v="376"/>
    <x v="2"/>
    <s v="COMPTROLLER-OTHER"/>
    <s v="UNKNOWN"/>
    <x v="2"/>
  </r>
  <r>
    <n v="315673"/>
    <n v="50000"/>
    <x v="2"/>
    <x v="2341"/>
    <x v="20"/>
    <s v="COMPTROLLER-OTHER"/>
    <s v="UNKNOWN"/>
    <x v="2"/>
  </r>
  <r>
    <n v="315688"/>
    <n v="15000000"/>
    <x v="1"/>
    <x v="306"/>
    <x v="2"/>
    <s v="COMPTROLLER-OTHER"/>
    <s v="UNKNOWN"/>
    <x v="2"/>
  </r>
  <r>
    <n v="315693"/>
    <n v="250000"/>
    <x v="0"/>
    <x v="2342"/>
    <x v="2"/>
    <s v="COMPTROLLER-OTHER"/>
    <s v="UNKNOWN"/>
    <x v="2"/>
  </r>
  <r>
    <n v="315696"/>
    <n v="10106"/>
    <x v="2"/>
    <x v="910"/>
    <x v="2"/>
    <s v="COMPTROLLER-OTHER"/>
    <s v="UNKNOWN"/>
    <x v="2"/>
  </r>
  <r>
    <n v="315702"/>
    <n v="250000"/>
    <x v="4"/>
    <x v="491"/>
    <x v="20"/>
    <s v="COMPTROLLER-OTHER"/>
    <s v="UNKNOWN"/>
    <x v="2"/>
  </r>
  <r>
    <n v="315725"/>
    <n v="528769.5"/>
    <x v="2"/>
    <x v="642"/>
    <x v="14"/>
    <s v="SOFTWARE"/>
    <s v="JOINT PURCHASE"/>
    <x v="2"/>
  </r>
  <r>
    <n v="315731"/>
    <n v="215623.9"/>
    <x v="2"/>
    <x v="642"/>
    <x v="14"/>
    <s v="SOFTWARE"/>
    <s v="JOINT PURCHASE"/>
    <x v="2"/>
  </r>
  <r>
    <n v="315768"/>
    <n v="861126"/>
    <x v="1"/>
    <x v="19"/>
    <x v="8"/>
    <s v="DELEGATE AGENCY"/>
    <s v="UNKNOWN"/>
    <x v="2"/>
  </r>
  <r>
    <n v="315776"/>
    <n v="230867"/>
    <x v="2"/>
    <x v="621"/>
    <x v="12"/>
    <s v="DELEGATE AGENCY"/>
    <s v="UNKNOWN"/>
    <x v="2"/>
  </r>
  <r>
    <n v="315781"/>
    <n v="230867"/>
    <x v="1"/>
    <x v="1009"/>
    <x v="12"/>
    <s v="DELEGATE AGENCY"/>
    <s v="UNKNOWN"/>
    <x v="2"/>
  </r>
  <r>
    <n v="315782"/>
    <n v="153911"/>
    <x v="1"/>
    <x v="1009"/>
    <x v="12"/>
    <s v="DELEGATE AGENCY"/>
    <s v="UNKNOWN"/>
    <x v="2"/>
  </r>
  <r>
    <n v="31581"/>
    <n v="6898152.5999999996"/>
    <x v="1"/>
    <x v="2343"/>
    <x v="6"/>
    <s v="COMPTROLLER-OTHER"/>
    <s v="UNKNOWN"/>
    <x v="0"/>
  </r>
  <r>
    <n v="315939"/>
    <n v="133836"/>
    <x v="0"/>
    <x v="451"/>
    <x v="12"/>
    <s v="DELEGATE AGENCY"/>
    <s v="UNKNOWN"/>
    <x v="2"/>
  </r>
  <r>
    <n v="315945"/>
    <n v="153911"/>
    <x v="1"/>
    <x v="593"/>
    <x v="12"/>
    <s v="DELEGATE AGENCY"/>
    <s v="UNKNOWN"/>
    <x v="2"/>
  </r>
  <r>
    <n v="315946"/>
    <n v="615644"/>
    <x v="1"/>
    <x v="359"/>
    <x v="12"/>
    <s v="DELEGATE AGENCY"/>
    <s v="UNKNOWN"/>
    <x v="2"/>
  </r>
  <r>
    <n v="315947"/>
    <n v="769555"/>
    <x v="2"/>
    <x v="167"/>
    <x v="12"/>
    <s v="DELEGATE AGENCY"/>
    <s v="UNKNOWN"/>
    <x v="2"/>
  </r>
  <r>
    <n v="315948"/>
    <n v="692600"/>
    <x v="2"/>
    <x v="127"/>
    <x v="12"/>
    <s v="DELEGATE AGENCY"/>
    <s v="UNKNOWN"/>
    <x v="2"/>
  </r>
  <r>
    <n v="315951"/>
    <n v="230867"/>
    <x v="2"/>
    <x v="128"/>
    <x v="12"/>
    <s v="DELEGATE AGENCY"/>
    <s v="UNKNOWN"/>
    <x v="2"/>
  </r>
  <r>
    <n v="315978"/>
    <n v="29584.5"/>
    <x v="1"/>
    <x v="512"/>
    <x v="8"/>
    <s v="DELEGATE AGENCY"/>
    <s v="UNKNOWN"/>
    <x v="2"/>
  </r>
  <r>
    <n v="316070"/>
    <n v="12467000"/>
    <x v="4"/>
    <x v="1830"/>
    <x v="12"/>
    <s v="DELEGATE AGENCY"/>
    <s v="UNKNOWN"/>
    <x v="2"/>
  </r>
  <r>
    <n v="316159"/>
    <n v="64280"/>
    <x v="0"/>
    <x v="1387"/>
    <x v="20"/>
    <s v="COMPTROLLER-OTHER"/>
    <s v="UNKNOWN"/>
    <x v="2"/>
  </r>
  <r>
    <n v="316162"/>
    <n v="7900"/>
    <x v="1"/>
    <x v="844"/>
    <x v="20"/>
    <s v="COMPTROLLER-OTHER"/>
    <s v="UNKNOWN"/>
    <x v="2"/>
  </r>
  <r>
    <n v="316164"/>
    <n v="10000"/>
    <x v="3"/>
    <x v="2344"/>
    <x v="20"/>
    <s v="COMPTROLLER-OTHER"/>
    <s v="UNKNOWN"/>
    <x v="2"/>
  </r>
  <r>
    <n v="316167"/>
    <n v="22253000"/>
    <x v="4"/>
    <x v="447"/>
    <x v="12"/>
    <s v="DELEGATE AGENCY"/>
    <s v="UNKNOWN"/>
    <x v="2"/>
  </r>
  <r>
    <n v="316173"/>
    <n v="669180"/>
    <x v="0"/>
    <x v="441"/>
    <x v="12"/>
    <s v="DELEGATE AGENCY"/>
    <s v="UNKNOWN"/>
    <x v="2"/>
  </r>
  <r>
    <n v="316209"/>
    <n v="461733"/>
    <x v="2"/>
    <x v="445"/>
    <x v="12"/>
    <s v="DELEGATE AGENCY"/>
    <s v="UNKNOWN"/>
    <x v="2"/>
  </r>
  <r>
    <n v="316210"/>
    <n v="153911"/>
    <x v="2"/>
    <x v="204"/>
    <x v="12"/>
    <s v="DELEGATE AGENCY"/>
    <s v="UNKNOWN"/>
    <x v="2"/>
  </r>
  <r>
    <n v="316211"/>
    <n v="153911"/>
    <x v="1"/>
    <x v="204"/>
    <x v="12"/>
    <s v="DELEGATE AGENCY"/>
    <s v="UNKNOWN"/>
    <x v="2"/>
  </r>
  <r>
    <n v="316212"/>
    <n v="280079"/>
    <x v="1"/>
    <x v="497"/>
    <x v="8"/>
    <s v="DELEGATE AGENCY"/>
    <s v="RFP"/>
    <x v="2"/>
  </r>
  <r>
    <n v="316213"/>
    <n v="221115"/>
    <x v="2"/>
    <x v="68"/>
    <x v="8"/>
    <s v="DELEGATE AGENCY"/>
    <s v="RFP"/>
    <x v="2"/>
  </r>
  <r>
    <n v="316214"/>
    <n v="235856"/>
    <x v="1"/>
    <x v="467"/>
    <x v="8"/>
    <s v="DELEGATE AGENCY"/>
    <s v="RFP"/>
    <x v="2"/>
  </r>
  <r>
    <n v="316215"/>
    <n v="324302"/>
    <x v="1"/>
    <x v="496"/>
    <x v="8"/>
    <s v="DELEGATE AGENCY"/>
    <s v="RFP"/>
    <x v="2"/>
  </r>
  <r>
    <n v="316216"/>
    <n v="589640"/>
    <x v="2"/>
    <x v="41"/>
    <x v="8"/>
    <s v="DELEGATE AGENCY"/>
    <s v="RFP"/>
    <x v="2"/>
  </r>
  <r>
    <n v="316278"/>
    <n v="7136123.5"/>
    <x v="2"/>
    <x v="165"/>
    <x v="12"/>
    <s v="DELEGATE AGENCY"/>
    <s v="UNKNOWN"/>
    <x v="2"/>
  </r>
  <r>
    <n v="316279"/>
    <n v="4999"/>
    <x v="0"/>
    <x v="322"/>
    <x v="2"/>
    <s v="COMPTROLLER-OTHER"/>
    <s v="UNKNOWN"/>
    <x v="2"/>
  </r>
  <r>
    <n v="316281"/>
    <n v="53687"/>
    <x v="3"/>
    <x v="967"/>
    <x v="2"/>
    <s v="COMPTROLLER-OTHER"/>
    <s v="UNKNOWN"/>
    <x v="2"/>
  </r>
  <r>
    <n v="316282"/>
    <n v="461733"/>
    <x v="1"/>
    <x v="169"/>
    <x v="12"/>
    <s v="DELEGATE AGENCY"/>
    <s v="UNKNOWN"/>
    <x v="2"/>
  </r>
  <r>
    <n v="316283"/>
    <n v="153911"/>
    <x v="2"/>
    <x v="227"/>
    <x v="12"/>
    <s v="DELEGATE AGENCY"/>
    <s v="UNKNOWN"/>
    <x v="2"/>
  </r>
  <r>
    <n v="316285"/>
    <n v="20075"/>
    <x v="1"/>
    <x v="451"/>
    <x v="12"/>
    <s v="DELEGATE AGENCY"/>
    <s v="UNKNOWN"/>
    <x v="2"/>
  </r>
  <r>
    <n v="316286"/>
    <n v="239632"/>
    <x v="4"/>
    <x v="82"/>
    <x v="12"/>
    <s v="DELEGATE AGENCY"/>
    <s v="UNKNOWN"/>
    <x v="2"/>
  </r>
  <r>
    <n v="316287"/>
    <n v="307822"/>
    <x v="1"/>
    <x v="2307"/>
    <x v="12"/>
    <s v="DELEGATE AGENCY"/>
    <s v="UNKNOWN"/>
    <x v="2"/>
  </r>
  <r>
    <n v="316288"/>
    <n v="2154754"/>
    <x v="2"/>
    <x v="199"/>
    <x v="12"/>
    <s v="DELEGATE AGENCY"/>
    <s v="UNKNOWN"/>
    <x v="2"/>
  </r>
  <r>
    <n v="316289"/>
    <n v="479264"/>
    <x v="0"/>
    <x v="199"/>
    <x v="12"/>
    <s v="DELEGATE AGENCY"/>
    <s v="UNKNOWN"/>
    <x v="2"/>
  </r>
  <r>
    <n v="316290"/>
    <n v="239632"/>
    <x v="2"/>
    <x v="199"/>
    <x v="12"/>
    <s v="DELEGATE AGENCY"/>
    <s v="UNKNOWN"/>
    <x v="2"/>
  </r>
  <r>
    <n v="316291"/>
    <n v="230867"/>
    <x v="1"/>
    <x v="1553"/>
    <x v="12"/>
    <s v="DELEGATE AGENCY"/>
    <s v="UNKNOWN"/>
    <x v="2"/>
  </r>
  <r>
    <n v="316292"/>
    <n v="33219"/>
    <x v="1"/>
    <x v="989"/>
    <x v="2"/>
    <s v="COMPTROLLER-OTHER"/>
    <s v="UNKNOWN"/>
    <x v="2"/>
  </r>
  <r>
    <n v="316293"/>
    <n v="260000"/>
    <x v="4"/>
    <x v="2204"/>
    <x v="12"/>
    <s v="DELEGATE AGENCY"/>
    <s v="UNKNOWN"/>
    <x v="2"/>
  </r>
  <r>
    <n v="316294"/>
    <n v="153911"/>
    <x v="2"/>
    <x v="345"/>
    <x v="12"/>
    <s v="DELEGATE AGENCY"/>
    <s v="UNKNOWN"/>
    <x v="2"/>
  </r>
  <r>
    <n v="316295"/>
    <n v="307822"/>
    <x v="1"/>
    <x v="114"/>
    <x v="12"/>
    <s v="DELEGATE AGENCY"/>
    <s v="UNKNOWN"/>
    <x v="2"/>
  </r>
  <r>
    <n v="316296"/>
    <n v="307822"/>
    <x v="2"/>
    <x v="27"/>
    <x v="12"/>
    <s v="DELEGATE AGENCY"/>
    <s v="UNKNOWN"/>
    <x v="2"/>
  </r>
  <r>
    <n v="316297"/>
    <n v="119990"/>
    <x v="2"/>
    <x v="73"/>
    <x v="12"/>
    <s v="DELEGATE AGENCY"/>
    <s v="UNKNOWN"/>
    <x v="2"/>
  </r>
  <r>
    <n v="316298"/>
    <n v="153911"/>
    <x v="1"/>
    <x v="89"/>
    <x v="12"/>
    <s v="DELEGATE AGENCY"/>
    <s v="UNKNOWN"/>
    <x v="2"/>
  </r>
  <r>
    <n v="316300"/>
    <n v="62233"/>
    <x v="1"/>
    <x v="221"/>
    <x v="2"/>
    <s v="COMPTROLLER-OTHER"/>
    <s v="UNKNOWN"/>
    <x v="2"/>
  </r>
  <r>
    <n v="316301"/>
    <n v="153911"/>
    <x v="1"/>
    <x v="450"/>
    <x v="12"/>
    <s v="DELEGATE AGENCY"/>
    <s v="UNKNOWN"/>
    <x v="2"/>
  </r>
  <r>
    <n v="316302"/>
    <n v="153911"/>
    <x v="1"/>
    <x v="199"/>
    <x v="12"/>
    <s v="DELEGATE AGENCY"/>
    <s v="UNKNOWN"/>
    <x v="2"/>
  </r>
  <r>
    <n v="316308"/>
    <n v="4800"/>
    <x v="1"/>
    <x v="2345"/>
    <x v="20"/>
    <s v="COMPTROLLER-OTHER"/>
    <s v="UNKNOWN"/>
    <x v="2"/>
  </r>
  <r>
    <n v="316309"/>
    <n v="454364"/>
    <x v="3"/>
    <x v="2346"/>
    <x v="20"/>
    <s v="COMPTROLLER-OTHER"/>
    <s v="UNKNOWN"/>
    <x v="2"/>
  </r>
  <r>
    <n v="316315"/>
    <n v="96000"/>
    <x v="2"/>
    <x v="1821"/>
    <x v="20"/>
    <s v="COMPTROLLER-OTHER"/>
    <s v="UNKNOWN"/>
    <x v="2"/>
  </r>
  <r>
    <n v="316325"/>
    <n v="479264"/>
    <x v="1"/>
    <x v="451"/>
    <x v="12"/>
    <s v="DELEGATE AGENCY"/>
    <s v="UNKNOWN"/>
    <x v="2"/>
  </r>
  <r>
    <n v="316327"/>
    <n v="239632"/>
    <x v="2"/>
    <x v="114"/>
    <x v="12"/>
    <s v="DELEGATE AGENCY"/>
    <s v="UNKNOWN"/>
    <x v="2"/>
  </r>
  <r>
    <n v="316387"/>
    <n v="2540"/>
    <x v="1"/>
    <x v="223"/>
    <x v="2"/>
    <s v="COMPTROLLER-OTHER"/>
    <s v="UNKNOWN"/>
    <x v="2"/>
  </r>
  <r>
    <n v="316390"/>
    <n v="239632"/>
    <x v="3"/>
    <x v="359"/>
    <x v="12"/>
    <s v="DELEGATE AGENCY"/>
    <s v="UNKNOWN"/>
    <x v="2"/>
  </r>
  <r>
    <n v="316406"/>
    <n v="307822"/>
    <x v="1"/>
    <x v="199"/>
    <x v="12"/>
    <s v="DELEGATE AGENCY"/>
    <s v="UNKNOWN"/>
    <x v="2"/>
  </r>
  <r>
    <n v="316407"/>
    <n v="400832"/>
    <x v="2"/>
    <x v="362"/>
    <x v="12"/>
    <s v="DELEGATE AGENCY"/>
    <s v="UNKNOWN"/>
    <x v="2"/>
  </r>
  <r>
    <n v="316408"/>
    <n v="692600"/>
    <x v="2"/>
    <x v="73"/>
    <x v="12"/>
    <s v="DELEGATE AGENCY"/>
    <s v="UNKNOWN"/>
    <x v="2"/>
  </r>
  <r>
    <n v="316409"/>
    <n v="119990"/>
    <x v="2"/>
    <x v="127"/>
    <x v="12"/>
    <s v="DELEGATE AGENCY"/>
    <s v="UNKNOWN"/>
    <x v="2"/>
  </r>
  <r>
    <n v="316410"/>
    <n v="4155597"/>
    <x v="1"/>
    <x v="199"/>
    <x v="12"/>
    <s v="DELEGATE AGENCY"/>
    <s v="UNKNOWN"/>
    <x v="2"/>
  </r>
  <r>
    <n v="316411"/>
    <n v="307822"/>
    <x v="0"/>
    <x v="73"/>
    <x v="12"/>
    <s v="DELEGATE AGENCY"/>
    <s v="UNKNOWN"/>
    <x v="2"/>
  </r>
  <r>
    <n v="316412"/>
    <n v="71994"/>
    <x v="2"/>
    <x v="451"/>
    <x v="12"/>
    <s v="DELEGATE AGENCY"/>
    <s v="UNKNOWN"/>
    <x v="2"/>
  </r>
  <r>
    <n v="316446"/>
    <n v="275000"/>
    <x v="1"/>
    <x v="168"/>
    <x v="8"/>
    <s v="DELEGATE AGENCY"/>
    <s v="UNKNOWN"/>
    <x v="2"/>
  </r>
  <r>
    <n v="316449"/>
    <n v="60000"/>
    <x v="2"/>
    <x v="40"/>
    <x v="8"/>
    <s v="DELEGATE AGENCY"/>
    <s v="UNKNOWN"/>
    <x v="2"/>
  </r>
  <r>
    <n v="316450"/>
    <n v="293158.90000000002"/>
    <x v="1"/>
    <x v="39"/>
    <x v="8"/>
    <s v="DELEGATE AGENCY"/>
    <s v="UNKNOWN"/>
    <x v="2"/>
  </r>
  <r>
    <n v="316513"/>
    <n v="356900"/>
    <x v="2"/>
    <x v="42"/>
    <x v="8"/>
    <s v="DELEGATE AGENCY"/>
    <s v="UNKNOWN"/>
    <x v="2"/>
  </r>
  <r>
    <n v="316664"/>
    <n v="10000000"/>
    <x v="2"/>
    <x v="2347"/>
    <x v="2"/>
    <s v="COMPTROLLER-OTHER"/>
    <s v="UNKNOWN"/>
    <x v="2"/>
  </r>
  <r>
    <n v="316804"/>
    <n v="71890"/>
    <x v="0"/>
    <x v="167"/>
    <x v="12"/>
    <s v="DELEGATE AGENCY"/>
    <s v="UNKNOWN"/>
    <x v="2"/>
  </r>
  <r>
    <n v="316809"/>
    <n v="35945"/>
    <x v="1"/>
    <x v="203"/>
    <x v="12"/>
    <s v="DELEGATE AGENCY"/>
    <s v="UNKNOWN"/>
    <x v="2"/>
  </r>
  <r>
    <n v="316815"/>
    <n v="71890"/>
    <x v="4"/>
    <x v="451"/>
    <x v="12"/>
    <s v="DELEGATE AGENCY"/>
    <s v="UNKNOWN"/>
    <x v="2"/>
  </r>
  <r>
    <n v="316816"/>
    <n v="71890"/>
    <x v="1"/>
    <x v="201"/>
    <x v="12"/>
    <s v="DELEGATE AGENCY"/>
    <s v="UNKNOWN"/>
    <x v="2"/>
  </r>
  <r>
    <n v="316817"/>
    <n v="35945"/>
    <x v="1"/>
    <x v="583"/>
    <x v="12"/>
    <s v="DELEGATE AGENCY"/>
    <s v="UNKNOWN"/>
    <x v="2"/>
  </r>
  <r>
    <n v="316822"/>
    <n v="35945"/>
    <x v="4"/>
    <x v="114"/>
    <x v="12"/>
    <s v="DELEGATE AGENCY"/>
    <s v="UNKNOWN"/>
    <x v="2"/>
  </r>
  <r>
    <n v="316840"/>
    <n v="54000"/>
    <x v="4"/>
    <x v="1162"/>
    <x v="12"/>
    <s v="DELEGATE AGENCY"/>
    <s v="UNKNOWN"/>
    <x v="2"/>
  </r>
  <r>
    <n v="316841"/>
    <n v="36000"/>
    <x v="1"/>
    <x v="430"/>
    <x v="12"/>
    <s v="DELEGATE AGENCY"/>
    <s v="UNKNOWN"/>
    <x v="2"/>
  </r>
  <r>
    <n v="316842"/>
    <n v="108000"/>
    <x v="4"/>
    <x v="995"/>
    <x v="12"/>
    <s v="DELEGATE AGENCY"/>
    <s v="UNKNOWN"/>
    <x v="2"/>
  </r>
  <r>
    <n v="316843"/>
    <n v="461733"/>
    <x v="1"/>
    <x v="446"/>
    <x v="12"/>
    <s v="DELEGATE AGENCY"/>
    <s v="UNKNOWN"/>
    <x v="2"/>
  </r>
  <r>
    <n v="316844"/>
    <n v="71890"/>
    <x v="2"/>
    <x v="1212"/>
    <x v="12"/>
    <s v="DELEGATE AGENCY"/>
    <s v="UNKNOWN"/>
    <x v="2"/>
  </r>
  <r>
    <n v="316845"/>
    <n v="36000"/>
    <x v="1"/>
    <x v="391"/>
    <x v="12"/>
    <s v="DELEGATE AGENCY"/>
    <s v="UNKNOWN"/>
    <x v="2"/>
  </r>
  <r>
    <n v="316846"/>
    <n v="1410539.8"/>
    <x v="4"/>
    <x v="605"/>
    <x v="12"/>
    <s v="DELEGATE AGENCY"/>
    <s v="UNKNOWN"/>
    <x v="2"/>
  </r>
  <r>
    <n v="316847"/>
    <n v="1306922.8"/>
    <x v="0"/>
    <x v="605"/>
    <x v="12"/>
    <s v="DELEGATE AGENCY"/>
    <s v="UNKNOWN"/>
    <x v="2"/>
  </r>
  <r>
    <n v="316848"/>
    <n v="719940"/>
    <x v="0"/>
    <x v="605"/>
    <x v="12"/>
    <s v="DELEGATE AGENCY"/>
    <s v="UNKNOWN"/>
    <x v="2"/>
  </r>
  <r>
    <n v="316849"/>
    <n v="854709.8"/>
    <x v="2"/>
    <x v="605"/>
    <x v="12"/>
    <s v="DELEGATE AGENCY"/>
    <s v="UNKNOWN"/>
    <x v="2"/>
  </r>
  <r>
    <n v="316850"/>
    <n v="95992"/>
    <x v="2"/>
    <x v="73"/>
    <x v="12"/>
    <s v="DELEGATE AGENCY"/>
    <s v="UNKNOWN"/>
    <x v="2"/>
  </r>
  <r>
    <n v="316851"/>
    <n v="555472.19999999995"/>
    <x v="1"/>
    <x v="605"/>
    <x v="12"/>
    <s v="DELEGATE AGENCY"/>
    <s v="UNKNOWN"/>
    <x v="2"/>
  </r>
  <r>
    <n v="316852"/>
    <n v="719940"/>
    <x v="2"/>
    <x v="605"/>
    <x v="12"/>
    <s v="DELEGATE AGENCY"/>
    <s v="UNKNOWN"/>
    <x v="2"/>
  </r>
  <r>
    <n v="316854"/>
    <n v="230867"/>
    <x v="2"/>
    <x v="2308"/>
    <x v="12"/>
    <s v="DELEGATE AGENCY"/>
    <s v="UNKNOWN"/>
    <x v="2"/>
  </r>
  <r>
    <n v="316855"/>
    <n v="198200"/>
    <x v="1"/>
    <x v="307"/>
    <x v="12"/>
    <s v="DELEGATE AGENCY"/>
    <s v="UNKNOWN"/>
    <x v="2"/>
  </r>
  <r>
    <n v="316856"/>
    <n v="35945"/>
    <x v="1"/>
    <x v="359"/>
    <x v="12"/>
    <s v="DELEGATE AGENCY"/>
    <s v="UNKNOWN"/>
    <x v="2"/>
  </r>
  <r>
    <n v="316858"/>
    <n v="100375"/>
    <x v="4"/>
    <x v="441"/>
    <x v="12"/>
    <s v="DELEGATE AGENCY"/>
    <s v="UNKNOWN"/>
    <x v="2"/>
  </r>
  <r>
    <n v="316859"/>
    <n v="35945"/>
    <x v="1"/>
    <x v="199"/>
    <x v="12"/>
    <s v="DELEGATE AGENCY"/>
    <s v="UNKNOWN"/>
    <x v="2"/>
  </r>
  <r>
    <n v="316860"/>
    <n v="36145"/>
    <x v="4"/>
    <x v="82"/>
    <x v="12"/>
    <s v="DELEGATE AGENCY"/>
    <s v="UNKNOWN"/>
    <x v="2"/>
  </r>
  <r>
    <n v="316861"/>
    <n v="71890"/>
    <x v="4"/>
    <x v="441"/>
    <x v="12"/>
    <s v="DELEGATE AGENCY"/>
    <s v="UNKNOWN"/>
    <x v="2"/>
  </r>
  <r>
    <n v="316862"/>
    <n v="54000"/>
    <x v="1"/>
    <x v="583"/>
    <x v="12"/>
    <s v="DELEGATE AGENCY"/>
    <s v="UNKNOWN"/>
    <x v="2"/>
  </r>
  <r>
    <n v="316863"/>
    <n v="36000"/>
    <x v="1"/>
    <x v="363"/>
    <x v="12"/>
    <s v="DELEGATE AGENCY"/>
    <s v="UNKNOWN"/>
    <x v="2"/>
  </r>
  <r>
    <n v="316864"/>
    <n v="36000"/>
    <x v="4"/>
    <x v="62"/>
    <x v="12"/>
    <s v="DELEGATE AGENCY"/>
    <s v="UNKNOWN"/>
    <x v="2"/>
  </r>
  <r>
    <n v="316865"/>
    <n v="36000"/>
    <x v="4"/>
    <x v="611"/>
    <x v="12"/>
    <s v="DELEGATE AGENCY"/>
    <s v="UNKNOWN"/>
    <x v="2"/>
  </r>
  <r>
    <n v="316866"/>
    <n v="36000"/>
    <x v="4"/>
    <x v="92"/>
    <x v="12"/>
    <s v="DELEGATE AGENCY"/>
    <s v="UNKNOWN"/>
    <x v="2"/>
  </r>
  <r>
    <n v="316867"/>
    <n v="71890"/>
    <x v="4"/>
    <x v="199"/>
    <x v="12"/>
    <s v="DELEGATE AGENCY"/>
    <s v="UNKNOWN"/>
    <x v="2"/>
  </r>
  <r>
    <n v="316868"/>
    <n v="36000"/>
    <x v="1"/>
    <x v="1022"/>
    <x v="12"/>
    <s v="DELEGATE AGENCY"/>
    <s v="UNKNOWN"/>
    <x v="2"/>
  </r>
  <r>
    <n v="316956"/>
    <n v="5880719.5"/>
    <x v="4"/>
    <x v="11"/>
    <x v="5"/>
    <s v="CONSTRUCTION-LARGE $3MILLIONorABOVE"/>
    <s v="BID"/>
    <x v="2"/>
  </r>
  <r>
    <n v="317025"/>
    <n v="219826"/>
    <x v="0"/>
    <x v="38"/>
    <x v="8"/>
    <s v="DELEGATE AGENCY"/>
    <s v="UNKNOWN"/>
    <x v="2"/>
  </r>
  <r>
    <n v="317031"/>
    <n v="18044"/>
    <x v="1"/>
    <x v="1440"/>
    <x v="2"/>
    <s v="COMPTROLLER-OTHER"/>
    <s v="UNKNOWN"/>
    <x v="2"/>
  </r>
  <r>
    <n v="317034"/>
    <n v="105252"/>
    <x v="4"/>
    <x v="223"/>
    <x v="2"/>
    <s v="COMPTROLLER-OTHER"/>
    <s v="UNKNOWN"/>
    <x v="2"/>
  </r>
  <r>
    <n v="317036"/>
    <n v="19626"/>
    <x v="1"/>
    <x v="377"/>
    <x v="2"/>
    <s v="COMPTROLLER-OTHER"/>
    <s v="UNKNOWN"/>
    <x v="2"/>
  </r>
  <r>
    <n v="317041"/>
    <n v="29240"/>
    <x v="4"/>
    <x v="470"/>
    <x v="2"/>
    <s v="COMPTROLLER-OTHER"/>
    <s v="UNKNOWN"/>
    <x v="2"/>
  </r>
  <r>
    <n v="317047"/>
    <n v="600000"/>
    <x v="4"/>
    <x v="156"/>
    <x v="2"/>
    <s v="COMPTROLLER-OTHER"/>
    <s v="UNKNOWN"/>
    <x v="2"/>
  </r>
  <r>
    <n v="317051"/>
    <n v="54203"/>
    <x v="2"/>
    <x v="968"/>
    <x v="2"/>
    <s v="COMPTROLLER-OTHER"/>
    <s v="UNKNOWN"/>
    <x v="2"/>
  </r>
  <r>
    <n v="317055"/>
    <n v="108222"/>
    <x v="1"/>
    <x v="948"/>
    <x v="2"/>
    <s v="COMPTROLLER-OTHER"/>
    <s v="UNKNOWN"/>
    <x v="2"/>
  </r>
  <r>
    <n v="317063"/>
    <n v="275000"/>
    <x v="1"/>
    <x v="40"/>
    <x v="8"/>
    <s v="DELEGATE AGENCY"/>
    <s v="UNKNOWN"/>
    <x v="2"/>
  </r>
  <r>
    <n v="317136"/>
    <n v="339000"/>
    <x v="2"/>
    <x v="59"/>
    <x v="12"/>
    <s v="DELEGATE AGENCY"/>
    <s v="RFP"/>
    <x v="2"/>
  </r>
  <r>
    <n v="317151"/>
    <n v="305060"/>
    <x v="2"/>
    <x v="28"/>
    <x v="8"/>
    <s v="DELEGATE AGENCY"/>
    <s v="UNKNOWN"/>
    <x v="2"/>
  </r>
  <r>
    <n v="317152"/>
    <n v="437755"/>
    <x v="2"/>
    <x v="189"/>
    <x v="8"/>
    <s v="DELEGATE AGENCY"/>
    <s v="UNKNOWN"/>
    <x v="2"/>
  </r>
  <r>
    <n v="317382"/>
    <n v="57666631"/>
    <x v="2"/>
    <x v="1739"/>
    <x v="12"/>
    <s v="DELEGATE AGENCY"/>
    <s v="RFP"/>
    <x v="2"/>
  </r>
  <r>
    <n v="317454"/>
    <n v="7039421"/>
    <x v="0"/>
    <x v="233"/>
    <x v="5"/>
    <s v="CONSTRUCTION-LARGE $3MILLIONorABOVE"/>
    <s v="BID"/>
    <x v="2"/>
  </r>
  <r>
    <n v="317465"/>
    <n v="250000"/>
    <x v="0"/>
    <x v="2348"/>
    <x v="2"/>
    <s v="COMPTROLLER-OTHER"/>
    <s v="UNKNOWN"/>
    <x v="2"/>
  </r>
  <r>
    <n v="317466"/>
    <n v="81397"/>
    <x v="2"/>
    <x v="963"/>
    <x v="2"/>
    <s v="COMPTROLLER-OTHER"/>
    <s v="UNKNOWN"/>
    <x v="2"/>
  </r>
  <r>
    <n v="317467"/>
    <n v="35960"/>
    <x v="1"/>
    <x v="2349"/>
    <x v="20"/>
    <s v="COMPTROLLER-OTHER"/>
    <s v="UNKNOWN"/>
    <x v="2"/>
  </r>
  <r>
    <n v="31761"/>
    <n v="877264.8"/>
    <x v="4"/>
    <x v="1401"/>
    <x v="5"/>
    <s v="COMMODITIES"/>
    <s v="BID"/>
    <x v="0"/>
  </r>
  <r>
    <n v="317619"/>
    <n v="36000"/>
    <x v="2"/>
    <x v="91"/>
    <x v="12"/>
    <s v="DELEGATE AGENCY"/>
    <s v="UNKNOWN"/>
    <x v="2"/>
  </r>
  <r>
    <n v="317635"/>
    <n v="96000"/>
    <x v="4"/>
    <x v="1159"/>
    <x v="12"/>
    <s v="DELEGATE AGENCY"/>
    <s v="UNKNOWN"/>
    <x v="2"/>
  </r>
  <r>
    <n v="317756"/>
    <n v="24700"/>
    <x v="1"/>
    <x v="359"/>
    <x v="12"/>
    <s v="DELEGATE AGENCY"/>
    <s v="UNKNOWN"/>
    <x v="2"/>
  </r>
  <r>
    <n v="317773"/>
    <n v="206271"/>
    <x v="4"/>
    <x v="44"/>
    <x v="8"/>
    <s v="DELEGATE AGENCY"/>
    <s v="UNKNOWN"/>
    <x v="2"/>
  </r>
  <r>
    <n v="317782"/>
    <n v="876698"/>
    <x v="1"/>
    <x v="1005"/>
    <x v="8"/>
    <s v="DELEGATE AGENCY"/>
    <s v="UNKNOWN"/>
    <x v="2"/>
  </r>
  <r>
    <n v="317831"/>
    <n v="1464000"/>
    <x v="2"/>
    <x v="2350"/>
    <x v="2"/>
    <s v="COMPTROLLER-OTHER"/>
    <s v="UNKNOWN"/>
    <x v="2"/>
  </r>
  <r>
    <n v="317832"/>
    <n v="27815"/>
    <x v="0"/>
    <x v="1728"/>
    <x v="2"/>
    <s v="COMPTROLLER-OTHER"/>
    <s v="UNKNOWN"/>
    <x v="2"/>
  </r>
  <r>
    <n v="317833"/>
    <n v="11484"/>
    <x v="4"/>
    <x v="1796"/>
    <x v="2"/>
    <s v="COMPTROLLER-OTHER"/>
    <s v="UNKNOWN"/>
    <x v="2"/>
  </r>
  <r>
    <n v="317834"/>
    <n v="93959.7"/>
    <x v="4"/>
    <x v="1161"/>
    <x v="2"/>
    <s v="COMPTROLLER-OTHER"/>
    <s v="UNKNOWN"/>
    <x v="2"/>
  </r>
  <r>
    <n v="318053"/>
    <n v="3283154.0999999898"/>
    <x v="1"/>
    <x v="2351"/>
    <x v="3"/>
    <s v="WORK SERVICES / FACILITIES MAINT."/>
    <s v="CONTRACT ASSIGNMENT/TRANSFER"/>
    <x v="2"/>
  </r>
  <r>
    <n v="318058"/>
    <n v="522780"/>
    <x v="0"/>
    <x v="167"/>
    <x v="12"/>
    <s v="DELEGATE AGENCY"/>
    <s v="UNKNOWN"/>
    <x v="2"/>
  </r>
  <r>
    <n v="318064"/>
    <n v="5000000"/>
    <x v="2"/>
    <x v="1497"/>
    <x v="2"/>
    <s v="COMPTROLLER-OTHER"/>
    <s v="UNKNOWN"/>
    <x v="2"/>
  </r>
  <r>
    <n v="318065"/>
    <n v="183405.4"/>
    <x v="0"/>
    <x v="332"/>
    <x v="2"/>
    <s v="COMPTROLLER-OTHER"/>
    <s v="UNKNOWN"/>
    <x v="2"/>
  </r>
  <r>
    <n v="318067"/>
    <n v="184017.7"/>
    <x v="1"/>
    <x v="350"/>
    <x v="2"/>
    <s v="COMPTROLLER-OTHER"/>
    <s v="UNKNOWN"/>
    <x v="2"/>
  </r>
  <r>
    <n v="318070"/>
    <n v="47996"/>
    <x v="1"/>
    <x v="1140"/>
    <x v="12"/>
    <s v="DELEGATE AGENCY"/>
    <s v="UNKNOWN"/>
    <x v="2"/>
  </r>
  <r>
    <n v="318072"/>
    <n v="10000"/>
    <x v="4"/>
    <x v="544"/>
    <x v="20"/>
    <s v="COMPTROLLER-OTHER"/>
    <s v="UNKNOWN"/>
    <x v="2"/>
  </r>
  <r>
    <n v="318073"/>
    <n v="459402"/>
    <x v="4"/>
    <x v="492"/>
    <x v="20"/>
    <s v="COMPTROLLER-OTHER"/>
    <s v="UNKNOWN"/>
    <x v="2"/>
  </r>
  <r>
    <n v="318074"/>
    <n v="10000"/>
    <x v="2"/>
    <x v="360"/>
    <x v="20"/>
    <s v="COMPTROLLER-OTHER"/>
    <s v="UNKNOWN"/>
    <x v="2"/>
  </r>
  <r>
    <n v="318084"/>
    <n v="7900"/>
    <x v="4"/>
    <x v="844"/>
    <x v="20"/>
    <s v="COMPTROLLER-OTHER"/>
    <s v="UNKNOWN"/>
    <x v="2"/>
  </r>
  <r>
    <n v="318135"/>
    <n v="250000"/>
    <x v="3"/>
    <x v="2352"/>
    <x v="2"/>
    <s v="COMPTROLLER-OTHER"/>
    <s v="UNKNOWN"/>
    <x v="2"/>
  </r>
  <r>
    <n v="318136"/>
    <n v="225000"/>
    <x v="2"/>
    <x v="2353"/>
    <x v="25"/>
    <s v="COMPTROLLER-OTHER"/>
    <s v="UNKNOWN"/>
    <x v="2"/>
  </r>
  <r>
    <n v="318139"/>
    <n v="2983269"/>
    <x v="1"/>
    <x v="2354"/>
    <x v="2"/>
    <s v="COMPTROLLER-OTHER"/>
    <s v="UNKNOWN"/>
    <x v="2"/>
  </r>
  <r>
    <n v="318140"/>
    <n v="249750"/>
    <x v="0"/>
    <x v="1220"/>
    <x v="2"/>
    <s v="COMPTROLLER-OTHER"/>
    <s v="UNKNOWN"/>
    <x v="2"/>
  </r>
  <r>
    <n v="318141"/>
    <n v="8200000"/>
    <x v="1"/>
    <x v="2335"/>
    <x v="2"/>
    <s v="COMPTROLLER-OTHER"/>
    <s v="UNKNOWN"/>
    <x v="2"/>
  </r>
  <r>
    <n v="318142"/>
    <n v="10525000"/>
    <x v="0"/>
    <x v="2335"/>
    <x v="2"/>
    <s v="COMPTROLLER-OTHER"/>
    <s v="UNKNOWN"/>
    <x v="2"/>
  </r>
  <r>
    <n v="318203"/>
    <n v="400000"/>
    <x v="0"/>
    <x v="156"/>
    <x v="2"/>
    <s v="COMPTROLLER-OTHER"/>
    <s v="UNKNOWN"/>
    <x v="2"/>
  </r>
  <r>
    <n v="318206"/>
    <n v="530000"/>
    <x v="2"/>
    <x v="457"/>
    <x v="12"/>
    <s v="COMPTROLLER-OTHER"/>
    <s v="UNKNOWN"/>
    <x v="2"/>
  </r>
  <r>
    <n v="318210"/>
    <n v="221530"/>
    <x v="2"/>
    <x v="220"/>
    <x v="2"/>
    <s v="COMPTROLLER-OTHER"/>
    <s v="UNKNOWN"/>
    <x v="2"/>
  </r>
  <r>
    <n v="318222"/>
    <n v="298092"/>
    <x v="1"/>
    <x v="37"/>
    <x v="8"/>
    <s v="DELEGATE AGENCY"/>
    <s v="UNKNOWN"/>
    <x v="2"/>
  </r>
  <r>
    <n v="318223"/>
    <n v="293392"/>
    <x v="2"/>
    <x v="24"/>
    <x v="8"/>
    <s v="DELEGATE AGENCY"/>
    <s v="UNKNOWN"/>
    <x v="2"/>
  </r>
  <r>
    <n v="318272"/>
    <n v="577550"/>
    <x v="2"/>
    <x v="2355"/>
    <x v="5"/>
    <s v="CONSTRUCTION-GENERAL"/>
    <s v="BID"/>
    <x v="2"/>
  </r>
  <r>
    <n v="318274"/>
    <n v="4000"/>
    <x v="2"/>
    <x v="2356"/>
    <x v="20"/>
    <s v="COMPTROLLER-OTHER"/>
    <s v="UNKNOWN"/>
    <x v="2"/>
  </r>
  <r>
    <n v="318277"/>
    <n v="2425192"/>
    <x v="3"/>
    <x v="2357"/>
    <x v="2"/>
    <s v="COMPTROLLER-OTHER"/>
    <s v="UNKNOWN"/>
    <x v="2"/>
  </r>
  <r>
    <n v="318280"/>
    <n v="62871"/>
    <x v="0"/>
    <x v="2358"/>
    <x v="2"/>
    <s v="COMPTROLLER-OTHER"/>
    <s v="UNKNOWN"/>
    <x v="2"/>
  </r>
  <r>
    <n v="318281"/>
    <n v="72836"/>
    <x v="1"/>
    <x v="1972"/>
    <x v="2"/>
    <s v="COMPTROLLER-OTHER"/>
    <s v="UNKNOWN"/>
    <x v="2"/>
  </r>
  <r>
    <n v="318285"/>
    <n v="225673.2"/>
    <x v="1"/>
    <x v="2359"/>
    <x v="2"/>
    <s v="COMPTROLLER-OTHER"/>
    <s v="UNKNOWN"/>
    <x v="2"/>
  </r>
  <r>
    <n v="318306"/>
    <n v="241109"/>
    <x v="1"/>
    <x v="78"/>
    <x v="2"/>
    <s v="COMPTROLLER-OTHER"/>
    <s v="UNKNOWN"/>
    <x v="2"/>
  </r>
  <r>
    <n v="318308"/>
    <n v="250000"/>
    <x v="1"/>
    <x v="2360"/>
    <x v="2"/>
    <s v="COMPTROLLER-OTHER"/>
    <s v="UNKNOWN"/>
    <x v="2"/>
  </r>
  <r>
    <n v="318309"/>
    <n v="4200000"/>
    <x v="2"/>
    <x v="2361"/>
    <x v="2"/>
    <s v="COMPTROLLER-OTHER"/>
    <s v="UNKNOWN"/>
    <x v="2"/>
  </r>
  <r>
    <n v="318313"/>
    <n v="90750"/>
    <x v="0"/>
    <x v="2362"/>
    <x v="25"/>
    <s v="COMPTROLLER-OTHER"/>
    <s v="UNKNOWN"/>
    <x v="2"/>
  </r>
  <r>
    <n v="318576"/>
    <n v="36000"/>
    <x v="1"/>
    <x v="167"/>
    <x v="12"/>
    <s v="DELEGATE AGENCY"/>
    <s v="UNKNOWN"/>
    <x v="2"/>
  </r>
  <r>
    <n v="318578"/>
    <n v="36000"/>
    <x v="4"/>
    <x v="681"/>
    <x v="12"/>
    <s v="DELEGATE AGENCY"/>
    <s v="UNKNOWN"/>
    <x v="2"/>
  </r>
  <r>
    <n v="318579"/>
    <n v="174176.6"/>
    <x v="4"/>
    <x v="2339"/>
    <x v="12"/>
    <s v="DELEGATE AGENCY"/>
    <s v="UNKNOWN"/>
    <x v="2"/>
  </r>
  <r>
    <n v="318580"/>
    <n v="22158"/>
    <x v="1"/>
    <x v="201"/>
    <x v="12"/>
    <s v="DELEGATE AGENCY"/>
    <s v="UNKNOWN"/>
    <x v="2"/>
  </r>
  <r>
    <n v="318581"/>
    <n v="23998"/>
    <x v="4"/>
    <x v="2340"/>
    <x v="12"/>
    <s v="DELEGATE AGENCY"/>
    <s v="UNKNOWN"/>
    <x v="2"/>
  </r>
  <r>
    <n v="318582"/>
    <n v="36000"/>
    <x v="4"/>
    <x v="76"/>
    <x v="12"/>
    <s v="DELEGATE AGENCY"/>
    <s v="UNKNOWN"/>
    <x v="2"/>
  </r>
  <r>
    <n v="318634"/>
    <n v="479264"/>
    <x v="4"/>
    <x v="441"/>
    <x v="12"/>
    <s v="DELEGATE AGENCY"/>
    <s v="UNKNOWN"/>
    <x v="2"/>
  </r>
  <r>
    <n v="318660"/>
    <n v="300000"/>
    <x v="2"/>
    <x v="19"/>
    <x v="8"/>
    <s v="DELEGATE AGENCY"/>
    <s v="UNKNOWN"/>
    <x v="2"/>
  </r>
  <r>
    <n v="318661"/>
    <n v="444672.4"/>
    <x v="2"/>
    <x v="46"/>
    <x v="8"/>
    <s v="DELEGATE AGENCY"/>
    <s v="UNKNOWN"/>
    <x v="2"/>
  </r>
  <r>
    <n v="318662"/>
    <n v="4557900"/>
    <x v="2"/>
    <x v="19"/>
    <x v="8"/>
    <s v="DELEGATE AGENCY"/>
    <s v="UNKNOWN"/>
    <x v="2"/>
  </r>
  <r>
    <n v="318665"/>
    <n v="20000"/>
    <x v="0"/>
    <x v="2363"/>
    <x v="20"/>
    <s v="COMPTROLLER-OTHER"/>
    <s v="UNKNOWN"/>
    <x v="2"/>
  </r>
  <r>
    <n v="318668"/>
    <n v="20000"/>
    <x v="4"/>
    <x v="2364"/>
    <x v="20"/>
    <s v="COMPTROLLER-OTHER"/>
    <s v="UNKNOWN"/>
    <x v="2"/>
  </r>
  <r>
    <n v="318671"/>
    <n v="20000"/>
    <x v="4"/>
    <x v="2365"/>
    <x v="20"/>
    <s v="COMPTROLLER-OTHER"/>
    <s v="UNKNOWN"/>
    <x v="2"/>
  </r>
  <r>
    <n v="318672"/>
    <n v="20000"/>
    <x v="4"/>
    <x v="2366"/>
    <x v="20"/>
    <s v="COMPTROLLER-OTHER"/>
    <s v="UNKNOWN"/>
    <x v="2"/>
  </r>
  <r>
    <n v="318674"/>
    <n v="303105"/>
    <x v="4"/>
    <x v="197"/>
    <x v="2"/>
    <s v="COMPTROLLER-OTHER"/>
    <s v="UNKNOWN"/>
    <x v="2"/>
  </r>
  <r>
    <n v="318676"/>
    <n v="20000"/>
    <x v="2"/>
    <x v="2367"/>
    <x v="20"/>
    <s v="COMPTROLLER-OTHER"/>
    <s v="UNKNOWN"/>
    <x v="2"/>
  </r>
  <r>
    <n v="318779"/>
    <n v="205898"/>
    <x v="4"/>
    <x v="27"/>
    <x v="8"/>
    <s v="DELEGATE AGENCY"/>
    <s v="UNKNOWN"/>
    <x v="2"/>
  </r>
  <r>
    <n v="318805"/>
    <n v="659812.19999999995"/>
    <x v="1"/>
    <x v="0"/>
    <x v="6"/>
    <s v="CONSTRUCTION-AVIATION"/>
    <s v="UNKNOWN"/>
    <x v="2"/>
  </r>
  <r>
    <n v="319008"/>
    <n v="180000"/>
    <x v="2"/>
    <x v="2368"/>
    <x v="9"/>
    <s v="COMPTROLLER-OTHER"/>
    <s v="UNKNOWN"/>
    <x v="2"/>
  </r>
  <r>
    <n v="319103"/>
    <n v="2750000"/>
    <x v="1"/>
    <x v="424"/>
    <x v="0"/>
    <s v="ARCH/ENGINEERING"/>
    <s v="RFQ"/>
    <x v="2"/>
  </r>
  <r>
    <n v="319105"/>
    <n v="59580.2"/>
    <x v="0"/>
    <x v="588"/>
    <x v="12"/>
    <s v="DELEGATE AGENCY"/>
    <s v="UNKNOWN"/>
    <x v="2"/>
  </r>
  <r>
    <n v="319106"/>
    <n v="148616.9"/>
    <x v="1"/>
    <x v="588"/>
    <x v="12"/>
    <s v="DELEGATE AGENCY"/>
    <s v="UNKNOWN"/>
    <x v="2"/>
  </r>
  <r>
    <n v="319107"/>
    <n v="66932.899999999994"/>
    <x v="1"/>
    <x v="588"/>
    <x v="12"/>
    <s v="DELEGATE AGENCY"/>
    <s v="UNKNOWN"/>
    <x v="2"/>
  </r>
  <r>
    <n v="319256"/>
    <n v="105000000"/>
    <x v="1"/>
    <x v="297"/>
    <x v="12"/>
    <s v="DELEGATE AGENCY"/>
    <s v="RFP"/>
    <x v="2"/>
  </r>
  <r>
    <n v="319285"/>
    <n v="461733"/>
    <x v="0"/>
    <x v="614"/>
    <x v="12"/>
    <s v="DELEGATE AGENCY"/>
    <s v="UNKNOWN"/>
    <x v="2"/>
  </r>
  <r>
    <n v="319292"/>
    <n v="21000"/>
    <x v="2"/>
    <x v="544"/>
    <x v="12"/>
    <s v="DELEGATE AGENCY"/>
    <s v="UNKNOWN"/>
    <x v="2"/>
  </r>
  <r>
    <n v="319294"/>
    <n v="1707000"/>
    <x v="4"/>
    <x v="91"/>
    <x v="12"/>
    <s v="DELEGATE AGENCY"/>
    <s v="UNKNOWN"/>
    <x v="2"/>
  </r>
  <r>
    <n v="319296"/>
    <n v="3813000"/>
    <x v="0"/>
    <x v="63"/>
    <x v="12"/>
    <s v="DELEGATE AGENCY"/>
    <s v="UNKNOWN"/>
    <x v="2"/>
  </r>
  <r>
    <n v="319298"/>
    <n v="522000"/>
    <x v="0"/>
    <x v="65"/>
    <x v="12"/>
    <s v="DELEGATE AGENCY"/>
    <s v="UNKNOWN"/>
    <x v="2"/>
  </r>
  <r>
    <n v="319316"/>
    <n v="216000"/>
    <x v="2"/>
    <x v="105"/>
    <x v="12"/>
    <s v="DELEGATE AGENCY"/>
    <s v="UNKNOWN"/>
    <x v="2"/>
  </r>
  <r>
    <n v="319317"/>
    <n v="3174000"/>
    <x v="1"/>
    <x v="1103"/>
    <x v="12"/>
    <s v="DELEGATE AGENCY"/>
    <s v="UNKNOWN"/>
    <x v="2"/>
  </r>
  <r>
    <n v="319318"/>
    <n v="228000"/>
    <x v="0"/>
    <x v="116"/>
    <x v="12"/>
    <s v="DELEGATE AGENCY"/>
    <s v="UNKNOWN"/>
    <x v="2"/>
  </r>
  <r>
    <n v="319320"/>
    <n v="534000"/>
    <x v="1"/>
    <x v="71"/>
    <x v="12"/>
    <s v="DELEGATE AGENCY"/>
    <s v="UNKNOWN"/>
    <x v="2"/>
  </r>
  <r>
    <n v="319321"/>
    <n v="2142000"/>
    <x v="2"/>
    <x v="119"/>
    <x v="12"/>
    <s v="DELEGATE AGENCY"/>
    <s v="UNKNOWN"/>
    <x v="2"/>
  </r>
  <r>
    <n v="319322"/>
    <n v="246000"/>
    <x v="0"/>
    <x v="170"/>
    <x v="12"/>
    <s v="DELEGATE AGENCY"/>
    <s v="UNKNOWN"/>
    <x v="2"/>
  </r>
  <r>
    <n v="319324"/>
    <n v="960000"/>
    <x v="1"/>
    <x v="76"/>
    <x v="12"/>
    <s v="DELEGATE AGENCY"/>
    <s v="UNKNOWN"/>
    <x v="2"/>
  </r>
  <r>
    <n v="319325"/>
    <n v="4434000"/>
    <x v="2"/>
    <x v="77"/>
    <x v="12"/>
    <s v="DELEGATE AGENCY"/>
    <s v="UNKNOWN"/>
    <x v="2"/>
  </r>
  <r>
    <n v="319326"/>
    <n v="1974000"/>
    <x v="0"/>
    <x v="78"/>
    <x v="12"/>
    <s v="DELEGATE AGENCY"/>
    <s v="UNKNOWN"/>
    <x v="2"/>
  </r>
  <r>
    <n v="319476"/>
    <n v="240000"/>
    <x v="0"/>
    <x v="57"/>
    <x v="1"/>
    <s v="DELEGATE AGENCY"/>
    <s v="UNKNOWN"/>
    <x v="2"/>
  </r>
  <r>
    <n v="31952"/>
    <n v="253431.4"/>
    <x v="1"/>
    <x v="2369"/>
    <x v="13"/>
    <s v="WORK SERVICES / FACILITIES MAINT."/>
    <s v="BID"/>
    <x v="0"/>
  </r>
  <r>
    <n v="319520"/>
    <n v="307822"/>
    <x v="2"/>
    <x v="614"/>
    <x v="12"/>
    <s v="DELEGATE AGENCY"/>
    <s v="UNKNOWN"/>
    <x v="2"/>
  </r>
  <r>
    <n v="31956"/>
    <n v="135648.09999999899"/>
    <x v="2"/>
    <x v="252"/>
    <x v="0"/>
    <s v="CONSTRUCTION-LARGE $3MILLIONorABOVE"/>
    <s v="BID"/>
    <x v="0"/>
  </r>
  <r>
    <n v="319577"/>
    <n v="1323451"/>
    <x v="1"/>
    <x v="27"/>
    <x v="8"/>
    <s v="DELEGATE AGENCY"/>
    <s v="UNKNOWN"/>
    <x v="2"/>
  </r>
  <r>
    <n v="319578"/>
    <n v="146792"/>
    <x v="0"/>
    <x v="48"/>
    <x v="8"/>
    <s v="DELEGATE AGENCY"/>
    <s v="UNKNOWN"/>
    <x v="2"/>
  </r>
  <r>
    <n v="319579"/>
    <n v="129285"/>
    <x v="1"/>
    <x v="47"/>
    <x v="8"/>
    <s v="DELEGATE AGENCY"/>
    <s v="UNKNOWN"/>
    <x v="2"/>
  </r>
  <r>
    <n v="319580"/>
    <n v="310966"/>
    <x v="1"/>
    <x v="41"/>
    <x v="8"/>
    <s v="DELEGATE AGENCY"/>
    <s v="UNKNOWN"/>
    <x v="2"/>
  </r>
  <r>
    <n v="319581"/>
    <n v="249386"/>
    <x v="2"/>
    <x v="42"/>
    <x v="8"/>
    <s v="DELEGATE AGENCY"/>
    <s v="UNKNOWN"/>
    <x v="2"/>
  </r>
  <r>
    <n v="319582"/>
    <n v="236000"/>
    <x v="1"/>
    <x v="45"/>
    <x v="8"/>
    <s v="DELEGATE AGENCY"/>
    <s v="UNKNOWN"/>
    <x v="2"/>
  </r>
  <r>
    <n v="319583"/>
    <n v="3034021"/>
    <x v="1"/>
    <x v="40"/>
    <x v="8"/>
    <s v="DELEGATE AGENCY"/>
    <s v="UNKNOWN"/>
    <x v="2"/>
  </r>
  <r>
    <n v="319584"/>
    <n v="690297"/>
    <x v="0"/>
    <x v="43"/>
    <x v="8"/>
    <s v="DELEGATE AGENCY"/>
    <s v="UNKNOWN"/>
    <x v="2"/>
  </r>
  <r>
    <n v="319585"/>
    <n v="732240"/>
    <x v="2"/>
    <x v="1005"/>
    <x v="8"/>
    <s v="DELEGATE AGENCY"/>
    <s v="UNKNOWN"/>
    <x v="2"/>
  </r>
  <r>
    <n v="319586"/>
    <n v="1000000"/>
    <x v="2"/>
    <x v="27"/>
    <x v="8"/>
    <s v="DELEGATE AGENCY"/>
    <s v="UNKNOWN"/>
    <x v="2"/>
  </r>
  <r>
    <n v="319624"/>
    <n v="240000"/>
    <x v="0"/>
    <x v="57"/>
    <x v="8"/>
    <s v="DELEGATE AGENCY"/>
    <s v="UNKNOWN"/>
    <x v="2"/>
  </r>
  <r>
    <n v="319773"/>
    <n v="20000"/>
    <x v="1"/>
    <x v="2370"/>
    <x v="20"/>
    <s v="COMPTROLLER-OTHER"/>
    <s v="UNKNOWN"/>
    <x v="2"/>
  </r>
  <r>
    <n v="319774"/>
    <n v="15756.1"/>
    <x v="4"/>
    <x v="1742"/>
    <x v="20"/>
    <s v="COMPTROLLER-OTHER"/>
    <s v="UNKNOWN"/>
    <x v="2"/>
  </r>
  <r>
    <n v="319776"/>
    <n v="20000"/>
    <x v="4"/>
    <x v="2371"/>
    <x v="20"/>
    <s v="COMPTROLLER-OTHER"/>
    <s v="UNKNOWN"/>
    <x v="2"/>
  </r>
  <r>
    <n v="319777"/>
    <n v="20000"/>
    <x v="4"/>
    <x v="2372"/>
    <x v="20"/>
    <s v="COMPTROLLER-OTHER"/>
    <s v="UNKNOWN"/>
    <x v="2"/>
  </r>
  <r>
    <n v="319853"/>
    <n v="126111"/>
    <x v="4"/>
    <x v="404"/>
    <x v="8"/>
    <s v="DELEGATE AGENCY"/>
    <s v="UNKNOWN"/>
    <x v="2"/>
  </r>
  <r>
    <n v="319854"/>
    <n v="638530"/>
    <x v="1"/>
    <x v="44"/>
    <x v="8"/>
    <s v="DELEGATE AGENCY"/>
    <s v="UNKNOWN"/>
    <x v="2"/>
  </r>
  <r>
    <n v="319870"/>
    <n v="4002"/>
    <x v="2"/>
    <x v="960"/>
    <x v="2"/>
    <s v="COMPTROLLER-OTHER"/>
    <s v="UNKNOWN"/>
    <x v="2"/>
  </r>
  <r>
    <n v="319871"/>
    <n v="750000"/>
    <x v="3"/>
    <x v="2373"/>
    <x v="2"/>
    <s v="COMPTROLLER-OTHER"/>
    <s v="UNKNOWN"/>
    <x v="2"/>
  </r>
  <r>
    <n v="319903"/>
    <n v="55000"/>
    <x v="2"/>
    <x v="978"/>
    <x v="21"/>
    <s v="DELEGATE AGENCY"/>
    <s v="UNKNOWN"/>
    <x v="2"/>
  </r>
  <r>
    <n v="31991"/>
    <n v="48448117"/>
    <x v="1"/>
    <x v="950"/>
    <x v="9"/>
    <s v="COMPTROLLER-OTHER"/>
    <s v="UNKNOWN"/>
    <x v="0"/>
  </r>
  <r>
    <n v="31994"/>
    <n v="130000"/>
    <x v="0"/>
    <x v="2374"/>
    <x v="0"/>
    <s v="ARCH/ENGINEERING"/>
    <s v="MASTER AGREEMENT"/>
    <x v="0"/>
  </r>
  <r>
    <n v="320011"/>
    <n v="6000"/>
    <x v="1"/>
    <x v="2375"/>
    <x v="20"/>
    <s v="COMPTROLLER-OTHER"/>
    <s v="UNKNOWN"/>
    <x v="2"/>
  </r>
  <r>
    <n v="320017"/>
    <n v="6000"/>
    <x v="3"/>
    <x v="2376"/>
    <x v="20"/>
    <s v="COMPTROLLER-OTHER"/>
    <s v="UNKNOWN"/>
    <x v="2"/>
  </r>
  <r>
    <n v="320026"/>
    <n v="6000"/>
    <x v="3"/>
    <x v="2377"/>
    <x v="20"/>
    <s v="COMPTROLLER-OTHER"/>
    <s v="UNKNOWN"/>
    <x v="2"/>
  </r>
  <r>
    <n v="320104"/>
    <n v="4797668"/>
    <x v="3"/>
    <x v="404"/>
    <x v="8"/>
    <s v="DELEGATE AGENCY"/>
    <s v="UNKNOWN"/>
    <x v="2"/>
  </r>
  <r>
    <n v="320165"/>
    <n v="18344044"/>
    <x v="0"/>
    <x v="2361"/>
    <x v="2"/>
    <s v="COMPTROLLER-OTHER"/>
    <s v="UNKNOWN"/>
    <x v="2"/>
  </r>
  <r>
    <n v="320168"/>
    <n v="40000"/>
    <x v="0"/>
    <x v="169"/>
    <x v="8"/>
    <s v="DELEGATE AGENCY"/>
    <s v="RFP"/>
    <x v="2"/>
  </r>
  <r>
    <n v="320169"/>
    <n v="40000"/>
    <x v="4"/>
    <x v="201"/>
    <x v="8"/>
    <s v="DELEGATE AGENCY"/>
    <s v="RFP"/>
    <x v="2"/>
  </r>
  <r>
    <n v="320173"/>
    <n v="6000"/>
    <x v="4"/>
    <x v="2378"/>
    <x v="20"/>
    <s v="COMPTROLLER-OTHER"/>
    <s v="UNKNOWN"/>
    <x v="2"/>
  </r>
  <r>
    <n v="320174"/>
    <n v="6000"/>
    <x v="3"/>
    <x v="2379"/>
    <x v="20"/>
    <s v="COMPTROLLER-OTHER"/>
    <s v="UNKNOWN"/>
    <x v="2"/>
  </r>
  <r>
    <n v="320178"/>
    <n v="6000"/>
    <x v="3"/>
    <x v="2380"/>
    <x v="20"/>
    <s v="COMPTROLLER-OTHER"/>
    <s v="UNKNOWN"/>
    <x v="2"/>
  </r>
  <r>
    <n v="320182"/>
    <n v="6000"/>
    <x v="3"/>
    <x v="2381"/>
    <x v="20"/>
    <s v="COMPTROLLER-OTHER"/>
    <s v="UNKNOWN"/>
    <x v="2"/>
  </r>
  <r>
    <n v="320191"/>
    <n v="6000"/>
    <x v="3"/>
    <x v="2382"/>
    <x v="20"/>
    <s v="COMPTROLLER-OTHER"/>
    <s v="UNKNOWN"/>
    <x v="2"/>
  </r>
  <r>
    <n v="320196"/>
    <n v="7000"/>
    <x v="3"/>
    <x v="2251"/>
    <x v="20"/>
    <s v="COMPTROLLER-OTHER"/>
    <s v="UNKNOWN"/>
    <x v="2"/>
  </r>
  <r>
    <n v="320272"/>
    <n v="46537"/>
    <x v="3"/>
    <x v="312"/>
    <x v="12"/>
    <s v="DELEGATE AGENCY"/>
    <s v="UNKNOWN"/>
    <x v="2"/>
  </r>
  <r>
    <n v="320273"/>
    <n v="5368108"/>
    <x v="4"/>
    <x v="1740"/>
    <x v="12"/>
    <s v="DELEGATE AGENCY"/>
    <s v="UNKNOWN"/>
    <x v="2"/>
  </r>
  <r>
    <n v="320274"/>
    <n v="106033"/>
    <x v="0"/>
    <x v="308"/>
    <x v="12"/>
    <s v="DELEGATE AGENCY"/>
    <s v="UNKNOWN"/>
    <x v="2"/>
  </r>
  <r>
    <n v="320275"/>
    <n v="371420"/>
    <x v="1"/>
    <x v="293"/>
    <x v="12"/>
    <s v="DELEGATE AGENCY"/>
    <s v="UNKNOWN"/>
    <x v="2"/>
  </r>
  <r>
    <n v="320280"/>
    <n v="72270"/>
    <x v="2"/>
    <x v="216"/>
    <x v="12"/>
    <s v="DELEGATE AGENCY"/>
    <s v="UNKNOWN"/>
    <x v="2"/>
  </r>
  <r>
    <n v="320283"/>
    <n v="262800"/>
    <x v="1"/>
    <x v="313"/>
    <x v="12"/>
    <s v="DELEGATE AGENCY"/>
    <s v="UNKNOWN"/>
    <x v="2"/>
  </r>
  <r>
    <n v="320285"/>
    <n v="328954"/>
    <x v="2"/>
    <x v="293"/>
    <x v="12"/>
    <s v="DELEGATE AGENCY"/>
    <s v="UNKNOWN"/>
    <x v="2"/>
  </r>
  <r>
    <n v="320290"/>
    <n v="57488"/>
    <x v="2"/>
    <x v="321"/>
    <x v="12"/>
    <s v="DELEGATE AGENCY"/>
    <s v="UNKNOWN"/>
    <x v="2"/>
  </r>
  <r>
    <n v="320292"/>
    <n v="267148"/>
    <x v="1"/>
    <x v="301"/>
    <x v="12"/>
    <s v="DELEGATE AGENCY"/>
    <s v="UNKNOWN"/>
    <x v="2"/>
  </r>
  <r>
    <n v="320293"/>
    <n v="186652"/>
    <x v="2"/>
    <x v="301"/>
    <x v="12"/>
    <s v="DELEGATE AGENCY"/>
    <s v="UNKNOWN"/>
    <x v="2"/>
  </r>
  <r>
    <n v="320296"/>
    <n v="42158"/>
    <x v="1"/>
    <x v="301"/>
    <x v="12"/>
    <s v="DELEGATE AGENCY"/>
    <s v="UNKNOWN"/>
    <x v="2"/>
  </r>
  <r>
    <n v="320297"/>
    <n v="63875"/>
    <x v="4"/>
    <x v="295"/>
    <x v="12"/>
    <s v="DELEGATE AGENCY"/>
    <s v="UNKNOWN"/>
    <x v="2"/>
  </r>
  <r>
    <n v="320302"/>
    <n v="71994"/>
    <x v="1"/>
    <x v="449"/>
    <x v="12"/>
    <s v="DELEGATE AGENCY"/>
    <s v="UNKNOWN"/>
    <x v="2"/>
  </r>
  <r>
    <n v="320313"/>
    <n v="492750"/>
    <x v="1"/>
    <x v="290"/>
    <x v="12"/>
    <s v="DELEGATE AGENCY"/>
    <s v="UNKNOWN"/>
    <x v="2"/>
  </r>
  <r>
    <n v="320316"/>
    <n v="488536"/>
    <x v="2"/>
    <x v="284"/>
    <x v="12"/>
    <s v="DELEGATE AGENCY"/>
    <s v="UNKNOWN"/>
    <x v="2"/>
  </r>
  <r>
    <n v="320317"/>
    <n v="260165"/>
    <x v="2"/>
    <x v="298"/>
    <x v="12"/>
    <s v="DELEGATE AGENCY"/>
    <s v="UNKNOWN"/>
    <x v="2"/>
  </r>
  <r>
    <n v="320318"/>
    <n v="29200"/>
    <x v="2"/>
    <x v="303"/>
    <x v="12"/>
    <s v="DELEGATE AGENCY"/>
    <s v="UNKNOWN"/>
    <x v="2"/>
  </r>
  <r>
    <n v="320343"/>
    <n v="8372000"/>
    <x v="4"/>
    <x v="1212"/>
    <x v="12"/>
    <s v="DELEGATE AGENCY"/>
    <s v="UNKNOWN"/>
    <x v="2"/>
  </r>
  <r>
    <n v="320351"/>
    <n v="48167"/>
    <x v="0"/>
    <x v="391"/>
    <x v="12"/>
    <s v="DELEGATE AGENCY"/>
    <s v="UNKNOWN"/>
    <x v="2"/>
  </r>
  <r>
    <n v="320352"/>
    <n v="34688"/>
    <x v="4"/>
    <x v="296"/>
    <x v="12"/>
    <s v="DELEGATE AGENCY"/>
    <s v="UNKNOWN"/>
    <x v="2"/>
  </r>
  <r>
    <n v="320353"/>
    <n v="71994"/>
    <x v="4"/>
    <x v="120"/>
    <x v="12"/>
    <s v="DELEGATE AGENCY"/>
    <s v="UNKNOWN"/>
    <x v="2"/>
  </r>
  <r>
    <n v="320354"/>
    <n v="209629"/>
    <x v="1"/>
    <x v="209"/>
    <x v="12"/>
    <s v="DELEGATE AGENCY"/>
    <s v="UNKNOWN"/>
    <x v="2"/>
  </r>
  <r>
    <n v="320355"/>
    <n v="23998"/>
    <x v="1"/>
    <x v="368"/>
    <x v="12"/>
    <s v="DELEGATE AGENCY"/>
    <s v="UNKNOWN"/>
    <x v="2"/>
  </r>
  <r>
    <n v="320356"/>
    <n v="180128"/>
    <x v="4"/>
    <x v="86"/>
    <x v="12"/>
    <s v="DELEGATE AGENCY"/>
    <s v="UNKNOWN"/>
    <x v="2"/>
  </r>
  <r>
    <n v="320357"/>
    <n v="47996"/>
    <x v="1"/>
    <x v="388"/>
    <x v="12"/>
    <s v="DELEGATE AGENCY"/>
    <s v="UNKNOWN"/>
    <x v="2"/>
  </r>
  <r>
    <n v="320359"/>
    <n v="1333752"/>
    <x v="4"/>
    <x v="65"/>
    <x v="12"/>
    <s v="DELEGATE AGENCY"/>
    <s v="UNKNOWN"/>
    <x v="2"/>
  </r>
  <r>
    <n v="320504"/>
    <n v="9168977.9000000004"/>
    <x v="0"/>
    <x v="267"/>
    <x v="0"/>
    <s v="CONSTRUCTION-LARGE $3MILLIONorABOVE"/>
    <s v="BID"/>
    <x v="2"/>
  </r>
  <r>
    <n v="320573"/>
    <n v="3000000"/>
    <x v="0"/>
    <x v="23"/>
    <x v="12"/>
    <s v="COMPTROLLER-OTHER"/>
    <s v="UNKNOWN"/>
    <x v="2"/>
  </r>
  <r>
    <n v="320579"/>
    <n v="68728961"/>
    <x v="0"/>
    <x v="953"/>
    <x v="6"/>
    <s v="COMPTROLLER-OTHER"/>
    <s v="UNKNOWN"/>
    <x v="2"/>
  </r>
  <r>
    <n v="320586"/>
    <n v="400000"/>
    <x v="0"/>
    <x v="156"/>
    <x v="2"/>
    <s v="COMPTROLLER-OTHER"/>
    <s v="UNKNOWN"/>
    <x v="2"/>
  </r>
  <r>
    <n v="320591"/>
    <n v="6000"/>
    <x v="2"/>
    <x v="2383"/>
    <x v="20"/>
    <s v="COMPTROLLER-OTHER"/>
    <s v="UNKNOWN"/>
    <x v="2"/>
  </r>
  <r>
    <n v="320597"/>
    <n v="1400000"/>
    <x v="3"/>
    <x v="2384"/>
    <x v="2"/>
    <s v="COMPTROLLER-OTHER"/>
    <s v="UNKNOWN"/>
    <x v="2"/>
  </r>
  <r>
    <n v="320605"/>
    <n v="104167"/>
    <x v="0"/>
    <x v="19"/>
    <x v="8"/>
    <s v="DELEGATE AGENCY"/>
    <s v="UNKNOWN"/>
    <x v="2"/>
  </r>
  <r>
    <n v="320614"/>
    <n v="19474200.800000001"/>
    <x v="1"/>
    <x v="2385"/>
    <x v="2"/>
    <s v="COMPTROLLER-OTHER"/>
    <s v="UNKNOWN"/>
    <x v="2"/>
  </r>
  <r>
    <n v="320634"/>
    <n v="16608"/>
    <x v="0"/>
    <x v="294"/>
    <x v="12"/>
    <s v="DELEGATE AGENCY"/>
    <s v="UNKNOWN"/>
    <x v="2"/>
  </r>
  <r>
    <n v="320635"/>
    <n v="330450"/>
    <x v="4"/>
    <x v="76"/>
    <x v="12"/>
    <s v="DELEGATE AGENCY"/>
    <s v="UNKNOWN"/>
    <x v="2"/>
  </r>
  <r>
    <n v="320723"/>
    <n v="3408816.3"/>
    <x v="2"/>
    <x v="2386"/>
    <x v="9"/>
    <s v="PRO SERV CONSULTING $250,000orABOVE"/>
    <s v="CONTRACT ASSIGNMENT/TRANS"/>
    <x v="2"/>
  </r>
  <r>
    <n v="320747"/>
    <n v="250000"/>
    <x v="0"/>
    <x v="2301"/>
    <x v="2"/>
    <s v="COMPTROLLER-OTHER"/>
    <s v="UNKNOWN"/>
    <x v="2"/>
  </r>
  <r>
    <n v="320754"/>
    <n v="150000"/>
    <x v="2"/>
    <x v="2214"/>
    <x v="2"/>
    <s v="COMPTROLLER-OTHER"/>
    <s v="UNKNOWN"/>
    <x v="2"/>
  </r>
  <r>
    <n v="320755"/>
    <n v="750000"/>
    <x v="1"/>
    <x v="145"/>
    <x v="2"/>
    <s v="COMPTROLLER-OTHER"/>
    <s v="UNKNOWN"/>
    <x v="2"/>
  </r>
  <r>
    <n v="320922"/>
    <n v="35943"/>
    <x v="2"/>
    <x v="642"/>
    <x v="14"/>
    <s v="SOFTWARE"/>
    <s v="JOINT PURCHASE"/>
    <x v="2"/>
  </r>
  <r>
    <n v="320949"/>
    <n v="6000"/>
    <x v="4"/>
    <x v="2387"/>
    <x v="20"/>
    <s v="COMPTROLLER-OTHER"/>
    <s v="UNKNOWN"/>
    <x v="2"/>
  </r>
  <r>
    <n v="320954"/>
    <n v="4700"/>
    <x v="3"/>
    <x v="2388"/>
    <x v="20"/>
    <s v="COMPTROLLER-OTHER"/>
    <s v="UNKNOWN"/>
    <x v="2"/>
  </r>
  <r>
    <n v="320956"/>
    <n v="6000"/>
    <x v="3"/>
    <x v="2389"/>
    <x v="20"/>
    <s v="COMPTROLLER-OTHER"/>
    <s v="UNKNOWN"/>
    <x v="2"/>
  </r>
  <r>
    <n v="320962"/>
    <n v="6000"/>
    <x v="3"/>
    <x v="2390"/>
    <x v="20"/>
    <s v="COMPTROLLER-OTHER"/>
    <s v="UNKNOWN"/>
    <x v="2"/>
  </r>
  <r>
    <n v="320964"/>
    <n v="6000"/>
    <x v="3"/>
    <x v="2391"/>
    <x v="20"/>
    <s v="COMPTROLLER-OTHER"/>
    <s v="UNKNOWN"/>
    <x v="2"/>
  </r>
  <r>
    <n v="320966"/>
    <n v="5050"/>
    <x v="3"/>
    <x v="2392"/>
    <x v="20"/>
    <s v="COMPTROLLER-OTHER"/>
    <s v="UNKNOWN"/>
    <x v="2"/>
  </r>
  <r>
    <n v="320967"/>
    <n v="6000"/>
    <x v="3"/>
    <x v="2393"/>
    <x v="20"/>
    <s v="COMPTROLLER-OTHER"/>
    <s v="UNKNOWN"/>
    <x v="2"/>
  </r>
  <r>
    <n v="320969"/>
    <n v="6000"/>
    <x v="3"/>
    <x v="2394"/>
    <x v="20"/>
    <s v="COMPTROLLER-OTHER"/>
    <s v="UNKNOWN"/>
    <x v="2"/>
  </r>
  <r>
    <n v="320970"/>
    <n v="6000"/>
    <x v="3"/>
    <x v="2395"/>
    <x v="20"/>
    <s v="COMPTROLLER-OTHER"/>
    <s v="UNKNOWN"/>
    <x v="2"/>
  </r>
  <r>
    <n v="321097"/>
    <n v="3000"/>
    <x v="3"/>
    <x v="2396"/>
    <x v="20"/>
    <s v="COMPTROLLER-OTHER"/>
    <s v="UNKNOWN"/>
    <x v="2"/>
  </r>
  <r>
    <n v="321098"/>
    <n v="6000"/>
    <x v="3"/>
    <x v="1314"/>
    <x v="20"/>
    <s v="COMPTROLLER-OTHER"/>
    <s v="UNKNOWN"/>
    <x v="2"/>
  </r>
  <r>
    <n v="321103"/>
    <n v="6000"/>
    <x v="3"/>
    <x v="2397"/>
    <x v="20"/>
    <s v="COMPTROLLER-OTHER"/>
    <s v="UNKNOWN"/>
    <x v="2"/>
  </r>
  <r>
    <n v="321107"/>
    <n v="6000"/>
    <x v="3"/>
    <x v="1456"/>
    <x v="20"/>
    <s v="COMPTROLLER-OTHER"/>
    <s v="UNKNOWN"/>
    <x v="2"/>
  </r>
  <r>
    <n v="321112"/>
    <n v="2500"/>
    <x v="3"/>
    <x v="2398"/>
    <x v="20"/>
    <s v="COMPTROLLER-OTHER"/>
    <s v="UNKNOWN"/>
    <x v="2"/>
  </r>
  <r>
    <n v="321113"/>
    <n v="10000"/>
    <x v="3"/>
    <x v="2399"/>
    <x v="20"/>
    <s v="COMPTROLLER-OTHER"/>
    <s v="UNKNOWN"/>
    <x v="2"/>
  </r>
  <r>
    <n v="321116"/>
    <n v="6000"/>
    <x v="4"/>
    <x v="2400"/>
    <x v="20"/>
    <s v="COMPTROLLER-OTHER"/>
    <s v="UNKNOWN"/>
    <x v="2"/>
  </r>
  <r>
    <n v="321117"/>
    <n v="6000"/>
    <x v="3"/>
    <x v="2401"/>
    <x v="20"/>
    <s v="COMPTROLLER-OTHER"/>
    <s v="UNKNOWN"/>
    <x v="2"/>
  </r>
  <r>
    <n v="321119"/>
    <n v="5000"/>
    <x v="3"/>
    <x v="2402"/>
    <x v="20"/>
    <s v="COMPTROLLER-OTHER"/>
    <s v="UNKNOWN"/>
    <x v="2"/>
  </r>
  <r>
    <n v="321120"/>
    <n v="6000"/>
    <x v="3"/>
    <x v="1294"/>
    <x v="20"/>
    <s v="COMPTROLLER-OTHER"/>
    <s v="UNKNOWN"/>
    <x v="2"/>
  </r>
  <r>
    <n v="321121"/>
    <n v="5000"/>
    <x v="3"/>
    <x v="2403"/>
    <x v="20"/>
    <s v="COMPTROLLER-OTHER"/>
    <s v="UNKNOWN"/>
    <x v="2"/>
  </r>
  <r>
    <n v="321122"/>
    <n v="955000"/>
    <x v="3"/>
    <x v="2404"/>
    <x v="2"/>
    <s v="COMPTROLLER-OTHER"/>
    <s v="UNKNOWN"/>
    <x v="2"/>
  </r>
  <r>
    <n v="321125"/>
    <n v="1700000"/>
    <x v="2"/>
    <x v="398"/>
    <x v="22"/>
    <s v="DELEGATE AGENCY"/>
    <s v="UNKNOWN"/>
    <x v="2"/>
  </r>
  <r>
    <n v="321156"/>
    <n v="611814"/>
    <x v="0"/>
    <x v="28"/>
    <x v="8"/>
    <s v="DELEGATE AGENCY"/>
    <s v="UNKNOWN"/>
    <x v="2"/>
  </r>
  <r>
    <n v="321158"/>
    <n v="30587.1"/>
    <x v="2"/>
    <x v="2405"/>
    <x v="6"/>
    <s v="WORK SERV-AVIATION"/>
    <s v="BID"/>
    <x v="2"/>
  </r>
  <r>
    <n v="321190"/>
    <n v="254048"/>
    <x v="4"/>
    <x v="58"/>
    <x v="12"/>
    <s v="DELEGATE AGENCY"/>
    <s v="UNKNOWN"/>
    <x v="2"/>
  </r>
  <r>
    <n v="32120"/>
    <n v="3000000"/>
    <x v="2"/>
    <x v="2406"/>
    <x v="9"/>
    <s v="COMPTROLLER-OTHER"/>
    <s v="UNKNOWN"/>
    <x v="1"/>
  </r>
  <r>
    <n v="321200"/>
    <n v="75000"/>
    <x v="0"/>
    <x v="156"/>
    <x v="2"/>
    <s v="COMPTROLLER-OTHER"/>
    <s v="UNKNOWN"/>
    <x v="2"/>
  </r>
  <r>
    <n v="321203"/>
    <n v="192618.4"/>
    <x v="1"/>
    <x v="2407"/>
    <x v="2"/>
    <s v="COMPTROLLER-OTHER"/>
    <s v="UNKNOWN"/>
    <x v="2"/>
  </r>
  <r>
    <n v="321207"/>
    <n v="14000000"/>
    <x v="1"/>
    <x v="669"/>
    <x v="2"/>
    <s v="COMPTROLLER-OTHER"/>
    <s v="UNKNOWN"/>
    <x v="2"/>
  </r>
  <r>
    <n v="321212"/>
    <n v="250000"/>
    <x v="0"/>
    <x v="610"/>
    <x v="2"/>
    <s v="COMPTROLLER-OTHER"/>
    <s v="UNKNOWN"/>
    <x v="2"/>
  </r>
  <r>
    <n v="32123"/>
    <n v="125187.2"/>
    <x v="2"/>
    <x v="2408"/>
    <x v="13"/>
    <s v="COMMODITIES"/>
    <s v="BID"/>
    <x v="0"/>
  </r>
  <r>
    <n v="32124"/>
    <n v="244343"/>
    <x v="1"/>
    <x v="2409"/>
    <x v="9"/>
    <s v="PRO SERV CONSULTING $250,000orABOVE"/>
    <s v="REFERENCE CONTRACT"/>
    <x v="0"/>
  </r>
  <r>
    <n v="321474"/>
    <n v="20650000"/>
    <x v="1"/>
    <x v="2410"/>
    <x v="2"/>
    <s v="COMPTROLLER-OTHER"/>
    <s v="UNKNOWN"/>
    <x v="2"/>
  </r>
  <r>
    <n v="321580"/>
    <n v="47996"/>
    <x v="0"/>
    <x v="89"/>
    <x v="12"/>
    <s v="DELEGATE AGENCY"/>
    <s v="UNKNOWN"/>
    <x v="2"/>
  </r>
  <r>
    <n v="321589"/>
    <n v="51100"/>
    <x v="4"/>
    <x v="299"/>
    <x v="12"/>
    <s v="DELEGATE AGENCY"/>
    <s v="UNKNOWN"/>
    <x v="2"/>
  </r>
  <r>
    <n v="321594"/>
    <n v="130670"/>
    <x v="1"/>
    <x v="307"/>
    <x v="12"/>
    <s v="DELEGATE AGENCY"/>
    <s v="UNKNOWN"/>
    <x v="2"/>
  </r>
  <r>
    <n v="321609"/>
    <n v="685288"/>
    <x v="1"/>
    <x v="306"/>
    <x v="12"/>
    <s v="DELEGATE AGENCY"/>
    <s v="UNKNOWN"/>
    <x v="2"/>
  </r>
  <r>
    <n v="321624"/>
    <n v="4000000"/>
    <x v="2"/>
    <x v="297"/>
    <x v="12"/>
    <s v="DELEGATE AGENCY"/>
    <s v="UNKNOWN"/>
    <x v="2"/>
  </r>
  <r>
    <n v="321630"/>
    <n v="127750"/>
    <x v="0"/>
    <x v="309"/>
    <x v="12"/>
    <s v="DELEGATE AGENCY"/>
    <s v="UNKNOWN"/>
    <x v="2"/>
  </r>
  <r>
    <n v="321631"/>
    <n v="2250"/>
    <x v="1"/>
    <x v="2411"/>
    <x v="11"/>
    <s v="EXHIBIT-A"/>
    <s v="UNKNOWN"/>
    <x v="2"/>
  </r>
  <r>
    <n v="321632"/>
    <n v="176650"/>
    <x v="3"/>
    <x v="84"/>
    <x v="12"/>
    <s v="DELEGATE AGENCY"/>
    <s v="UNKNOWN"/>
    <x v="2"/>
  </r>
  <r>
    <n v="321634"/>
    <n v="162356"/>
    <x v="1"/>
    <x v="311"/>
    <x v="12"/>
    <s v="DELEGATE AGENCY"/>
    <s v="UNKNOWN"/>
    <x v="2"/>
  </r>
  <r>
    <n v="321635"/>
    <n v="180000"/>
    <x v="1"/>
    <x v="175"/>
    <x v="12"/>
    <s v="DELEGATE AGENCY"/>
    <s v="UNKNOWN"/>
    <x v="2"/>
  </r>
  <r>
    <n v="321636"/>
    <n v="29064"/>
    <x v="1"/>
    <x v="211"/>
    <x v="12"/>
    <s v="DELEGATE AGENCY"/>
    <s v="UNKNOWN"/>
    <x v="2"/>
  </r>
  <r>
    <n v="321638"/>
    <n v="12629"/>
    <x v="4"/>
    <x v="287"/>
    <x v="12"/>
    <s v="DELEGATE AGENCY"/>
    <s v="UNKNOWN"/>
    <x v="2"/>
  </r>
  <r>
    <n v="321642"/>
    <n v="139889"/>
    <x v="4"/>
    <x v="290"/>
    <x v="12"/>
    <s v="DELEGATE AGENCY"/>
    <s v="UNKNOWN"/>
    <x v="2"/>
  </r>
  <r>
    <n v="321643"/>
    <n v="472656"/>
    <x v="1"/>
    <x v="292"/>
    <x v="12"/>
    <s v="DELEGATE AGENCY"/>
    <s v="UNKNOWN"/>
    <x v="2"/>
  </r>
  <r>
    <n v="321644"/>
    <n v="31938"/>
    <x v="2"/>
    <x v="310"/>
    <x v="12"/>
    <s v="DELEGATE AGENCY"/>
    <s v="UNKNOWN"/>
    <x v="2"/>
  </r>
  <r>
    <n v="321646"/>
    <n v="45990"/>
    <x v="4"/>
    <x v="304"/>
    <x v="12"/>
    <s v="DELEGATE AGENCY"/>
    <s v="UNKNOWN"/>
    <x v="2"/>
  </r>
  <r>
    <n v="321647"/>
    <n v="38970.199999999997"/>
    <x v="4"/>
    <x v="441"/>
    <x v="12"/>
    <s v="DELEGATE AGENCY"/>
    <s v="UNKNOWN"/>
    <x v="2"/>
  </r>
  <r>
    <n v="321650"/>
    <n v="126667"/>
    <x v="4"/>
    <x v="317"/>
    <x v="12"/>
    <s v="DELEGATE AGENCY"/>
    <s v="UNKNOWN"/>
    <x v="2"/>
  </r>
  <r>
    <n v="32166"/>
    <n v="2300000"/>
    <x v="1"/>
    <x v="2412"/>
    <x v="0"/>
    <s v="ARCH/ENGINEERING"/>
    <s v="MASTER AGREEMENT"/>
    <x v="0"/>
  </r>
  <r>
    <n v="321757"/>
    <n v="169311"/>
    <x v="0"/>
    <x v="298"/>
    <x v="8"/>
    <s v="DELEGATE AGENCY"/>
    <s v="UNKNOWN"/>
    <x v="2"/>
  </r>
  <r>
    <n v="32179"/>
    <n v="4900000"/>
    <x v="1"/>
    <x v="1072"/>
    <x v="0"/>
    <s v="ARCH/ENGINEERING"/>
    <s v="MASTER AGREEMENT"/>
    <x v="0"/>
  </r>
  <r>
    <n v="322033"/>
    <n v="493000"/>
    <x v="0"/>
    <x v="399"/>
    <x v="22"/>
    <s v="DELEGATE AGENCY"/>
    <s v="UNKNOWN"/>
    <x v="2"/>
  </r>
  <r>
    <n v="322040"/>
    <n v="10000"/>
    <x v="2"/>
    <x v="2413"/>
    <x v="20"/>
    <s v="COMPTROLLER-OTHER"/>
    <s v="UNKNOWN"/>
    <x v="2"/>
  </r>
  <r>
    <n v="322101"/>
    <n v="50000"/>
    <x v="4"/>
    <x v="2414"/>
    <x v="1"/>
    <s v="DELEGATE AGENCY"/>
    <s v="UNKNOWN"/>
    <x v="2"/>
  </r>
  <r>
    <n v="32227"/>
    <n v="136227287"/>
    <x v="1"/>
    <x v="950"/>
    <x v="9"/>
    <s v="COMPTROLLER-OTHER"/>
    <s v="UNKNOWN"/>
    <x v="0"/>
  </r>
  <r>
    <n v="322324"/>
    <n v="4500000"/>
    <x v="0"/>
    <x v="306"/>
    <x v="12"/>
    <s v="DELEGATE AGENCY"/>
    <s v="UNKNOWN"/>
    <x v="2"/>
  </r>
  <r>
    <n v="322326"/>
    <n v="4000000"/>
    <x v="0"/>
    <x v="2415"/>
    <x v="12"/>
    <s v="DELEGATE AGENCY"/>
    <s v="UNKNOWN"/>
    <x v="2"/>
  </r>
  <r>
    <n v="322331"/>
    <n v="3542000"/>
    <x v="0"/>
    <x v="1212"/>
    <x v="12"/>
    <s v="DELEGATE AGENCY"/>
    <s v="UNKNOWN"/>
    <x v="2"/>
  </r>
  <r>
    <n v="322332"/>
    <n v="76650"/>
    <x v="0"/>
    <x v="305"/>
    <x v="12"/>
    <s v="DELEGATE AGENCY"/>
    <s v="UNKNOWN"/>
    <x v="2"/>
  </r>
  <r>
    <n v="322334"/>
    <n v="126667"/>
    <x v="1"/>
    <x v="40"/>
    <x v="12"/>
    <s v="DELEGATE AGENCY"/>
    <s v="UNKNOWN"/>
    <x v="2"/>
  </r>
  <r>
    <n v="322335"/>
    <n v="20440"/>
    <x v="1"/>
    <x v="211"/>
    <x v="12"/>
    <s v="DELEGATE AGENCY"/>
    <s v="UNKNOWN"/>
    <x v="2"/>
  </r>
  <r>
    <n v="322337"/>
    <n v="305000"/>
    <x v="4"/>
    <x v="603"/>
    <x v="12"/>
    <s v="DELEGATE AGENCY"/>
    <s v="UNKNOWN"/>
    <x v="2"/>
  </r>
  <r>
    <n v="322416"/>
    <n v="115593.8"/>
    <x v="2"/>
    <x v="2229"/>
    <x v="27"/>
    <s v="RELEASE REQUISITION"/>
    <s v="UNKNOWN"/>
    <x v="2"/>
  </r>
  <r>
    <n v="322417"/>
    <n v="87.5"/>
    <x v="1"/>
    <x v="2416"/>
    <x v="27"/>
    <s v="RELEASE REQUISITION"/>
    <s v="UNKNOWN"/>
    <x v="2"/>
  </r>
  <r>
    <n v="322422"/>
    <n v="325000"/>
    <x v="3"/>
    <x v="281"/>
    <x v="8"/>
    <s v="DELEGATE AGENCY"/>
    <s v="UNKNOWN"/>
    <x v="2"/>
  </r>
  <r>
    <n v="322423"/>
    <n v="500000"/>
    <x v="2"/>
    <x v="525"/>
    <x v="8"/>
    <s v="DELEGATE AGENCY"/>
    <s v="UNKNOWN"/>
    <x v="2"/>
  </r>
  <r>
    <n v="322441"/>
    <n v="53798"/>
    <x v="2"/>
    <x v="1232"/>
    <x v="12"/>
    <s v="DELEGATE AGENCY"/>
    <s v="UNKNOWN"/>
    <x v="2"/>
  </r>
  <r>
    <n v="322443"/>
    <n v="610000"/>
    <x v="1"/>
    <x v="2259"/>
    <x v="2"/>
    <s v="DELEGATE AGENCY"/>
    <s v="UNKNOWN"/>
    <x v="2"/>
  </r>
  <r>
    <n v="322481"/>
    <n v="1674400"/>
    <x v="2"/>
    <x v="1830"/>
    <x v="12"/>
    <s v="DELEGATE AGENCY"/>
    <s v="UNKNOWN"/>
    <x v="2"/>
  </r>
  <r>
    <n v="322482"/>
    <n v="2697734"/>
    <x v="0"/>
    <x v="1739"/>
    <x v="12"/>
    <s v="DELEGATE AGENCY"/>
    <s v="UNKNOWN"/>
    <x v="2"/>
  </r>
  <r>
    <n v="322501"/>
    <n v="403093"/>
    <x v="0"/>
    <x v="76"/>
    <x v="12"/>
    <s v="DELEGATE AGENCY"/>
    <s v="UNKNOWN"/>
    <x v="2"/>
  </r>
  <r>
    <n v="322502"/>
    <n v="508739"/>
    <x v="2"/>
    <x v="351"/>
    <x v="12"/>
    <s v="DELEGATE AGENCY"/>
    <s v="UNKNOWN"/>
    <x v="2"/>
  </r>
  <r>
    <n v="322520"/>
    <n v="9000000"/>
    <x v="2"/>
    <x v="297"/>
    <x v="12"/>
    <s v="DELEGATE AGENCY"/>
    <s v="RFP"/>
    <x v="2"/>
  </r>
  <r>
    <n v="322522"/>
    <n v="700000"/>
    <x v="0"/>
    <x v="170"/>
    <x v="12"/>
    <s v="DELEGATE AGENCY"/>
    <s v="RFP"/>
    <x v="2"/>
  </r>
  <r>
    <n v="322603"/>
    <n v="600"/>
    <x v="2"/>
    <x v="2417"/>
    <x v="2"/>
    <s v="EXHIBIT-A"/>
    <s v="UNKNOWN"/>
    <x v="2"/>
  </r>
  <r>
    <n v="322604"/>
    <n v="311520"/>
    <x v="3"/>
    <x v="76"/>
    <x v="12"/>
    <s v="DELEGATE AGENCY"/>
    <s v="UNKNOWN"/>
    <x v="2"/>
  </r>
  <r>
    <n v="322607"/>
    <n v="344250"/>
    <x v="2"/>
    <x v="209"/>
    <x v="12"/>
    <s v="DELEGATE AGENCY"/>
    <s v="UNKNOWN"/>
    <x v="2"/>
  </r>
  <r>
    <n v="322609"/>
    <n v="35482"/>
    <x v="2"/>
    <x v="308"/>
    <x v="12"/>
    <s v="DELEGATE AGENCY"/>
    <s v="UNKNOWN"/>
    <x v="2"/>
  </r>
  <r>
    <n v="32270"/>
    <n v="1500000"/>
    <x v="4"/>
    <x v="7"/>
    <x v="0"/>
    <s v="ARCH/ENGINEERING"/>
    <s v="MASTER AGREEMENT"/>
    <x v="2"/>
  </r>
  <r>
    <n v="322776"/>
    <n v="700000"/>
    <x v="0"/>
    <x v="532"/>
    <x v="12"/>
    <s v="DELEGATE AGENCY"/>
    <s v="RFP"/>
    <x v="2"/>
  </r>
  <r>
    <n v="322778"/>
    <n v="750000"/>
    <x v="2"/>
    <x v="533"/>
    <x v="12"/>
    <s v="DELEGATE AGENCY"/>
    <s v="RFP"/>
    <x v="2"/>
  </r>
  <r>
    <n v="322779"/>
    <n v="900000"/>
    <x v="2"/>
    <x v="2418"/>
    <x v="12"/>
    <s v="DELEGATE AGENCY"/>
    <s v="RFP"/>
    <x v="2"/>
  </r>
  <r>
    <n v="322896"/>
    <n v="235856"/>
    <x v="2"/>
    <x v="467"/>
    <x v="8"/>
    <s v="DELEGATE AGENCY"/>
    <s v="UNKNOWN"/>
    <x v="2"/>
  </r>
  <r>
    <n v="322975"/>
    <n v="207000"/>
    <x v="1"/>
    <x v="1932"/>
    <x v="12"/>
    <s v="DELEGATE AGENCY"/>
    <s v="UNKNOWN"/>
    <x v="2"/>
  </r>
  <r>
    <n v="323025"/>
    <n v="40000"/>
    <x v="1"/>
    <x v="2419"/>
    <x v="20"/>
    <s v="COMPTROLLER-OTHER"/>
    <s v="UNKNOWN"/>
    <x v="2"/>
  </r>
  <r>
    <n v="323059"/>
    <n v="287945"/>
    <x v="4"/>
    <x v="2420"/>
    <x v="5"/>
    <s v="CONSTRUCTION-GENERAL"/>
    <s v="BID"/>
    <x v="2"/>
  </r>
  <r>
    <n v="323215"/>
    <n v="275638"/>
    <x v="2"/>
    <x v="2420"/>
    <x v="5"/>
    <s v="CONSTRUCTION-GENERAL"/>
    <s v="BID"/>
    <x v="2"/>
  </r>
  <r>
    <n v="323226"/>
    <n v="70318"/>
    <x v="2"/>
    <x v="351"/>
    <x v="12"/>
    <s v="DELEGATE AGENCY"/>
    <s v="UNKNOWN"/>
    <x v="2"/>
  </r>
  <r>
    <n v="323227"/>
    <n v="74720"/>
    <x v="1"/>
    <x v="130"/>
    <x v="12"/>
    <s v="DELEGATE AGENCY"/>
    <s v="UNKNOWN"/>
    <x v="2"/>
  </r>
  <r>
    <n v="323228"/>
    <n v="283240"/>
    <x v="1"/>
    <x v="91"/>
    <x v="12"/>
    <s v="DELEGATE AGENCY"/>
    <s v="UNKNOWN"/>
    <x v="2"/>
  </r>
  <r>
    <n v="323229"/>
    <n v="149440"/>
    <x v="2"/>
    <x v="105"/>
    <x v="12"/>
    <s v="DELEGATE AGENCY"/>
    <s v="UNKNOWN"/>
    <x v="2"/>
  </r>
  <r>
    <n v="323230"/>
    <n v="341040"/>
    <x v="1"/>
    <x v="130"/>
    <x v="12"/>
    <s v="DELEGATE AGENCY"/>
    <s v="UNKNOWN"/>
    <x v="2"/>
  </r>
  <r>
    <n v="323231"/>
    <n v="2100200"/>
    <x v="2"/>
    <x v="67"/>
    <x v="12"/>
    <s v="DELEGATE AGENCY"/>
    <s v="UNKNOWN"/>
    <x v="2"/>
  </r>
  <r>
    <n v="323233"/>
    <n v="178977"/>
    <x v="0"/>
    <x v="199"/>
    <x v="12"/>
    <s v="DELEGATE AGENCY"/>
    <s v="UNKNOWN"/>
    <x v="2"/>
  </r>
  <r>
    <n v="323234"/>
    <n v="536930"/>
    <x v="1"/>
    <x v="199"/>
    <x v="12"/>
    <s v="DELEGATE AGENCY"/>
    <s v="UNKNOWN"/>
    <x v="2"/>
  </r>
  <r>
    <n v="323235"/>
    <n v="210954"/>
    <x v="2"/>
    <x v="351"/>
    <x v="12"/>
    <s v="DELEGATE AGENCY"/>
    <s v="UNKNOWN"/>
    <x v="2"/>
  </r>
  <r>
    <n v="323237"/>
    <n v="169580"/>
    <x v="1"/>
    <x v="351"/>
    <x v="12"/>
    <s v="DELEGATE AGENCY"/>
    <s v="UNKNOWN"/>
    <x v="2"/>
  </r>
  <r>
    <n v="323238"/>
    <n v="682080"/>
    <x v="1"/>
    <x v="62"/>
    <x v="12"/>
    <s v="DELEGATE AGENCY"/>
    <s v="UNKNOWN"/>
    <x v="2"/>
  </r>
  <r>
    <n v="323239"/>
    <n v="298800"/>
    <x v="2"/>
    <x v="79"/>
    <x v="12"/>
    <s v="DELEGATE AGENCY"/>
    <s v="UNKNOWN"/>
    <x v="2"/>
  </r>
  <r>
    <n v="323240"/>
    <n v="231632"/>
    <x v="2"/>
    <x v="57"/>
    <x v="12"/>
    <s v="DELEGATE AGENCY"/>
    <s v="UNKNOWN"/>
    <x v="2"/>
  </r>
  <r>
    <n v="323241"/>
    <n v="341040"/>
    <x v="1"/>
    <x v="105"/>
    <x v="12"/>
    <s v="DELEGATE AGENCY"/>
    <s v="UNKNOWN"/>
    <x v="2"/>
  </r>
  <r>
    <n v="323242"/>
    <n v="710500"/>
    <x v="2"/>
    <x v="58"/>
    <x v="12"/>
    <s v="DELEGATE AGENCY"/>
    <s v="UNKNOWN"/>
    <x v="2"/>
  </r>
  <r>
    <n v="323243"/>
    <n v="169560"/>
    <x v="2"/>
    <x v="82"/>
    <x v="12"/>
    <s v="DELEGATE AGENCY"/>
    <s v="UNKNOWN"/>
    <x v="2"/>
  </r>
  <r>
    <n v="323244"/>
    <n v="1158160"/>
    <x v="1"/>
    <x v="67"/>
    <x v="12"/>
    <s v="DELEGATE AGENCY"/>
    <s v="UNKNOWN"/>
    <x v="2"/>
  </r>
  <r>
    <n v="323245"/>
    <n v="1105856"/>
    <x v="0"/>
    <x v="62"/>
    <x v="12"/>
    <s v="DELEGATE AGENCY"/>
    <s v="UNKNOWN"/>
    <x v="2"/>
  </r>
  <r>
    <n v="323330"/>
    <n v="7022"/>
    <x v="0"/>
    <x v="33"/>
    <x v="8"/>
    <s v="DELEGATE AGENCY"/>
    <s v="UNKNOWN"/>
    <x v="2"/>
  </r>
  <r>
    <n v="323419"/>
    <n v="302.5"/>
    <x v="3"/>
    <x v="2416"/>
    <x v="27"/>
    <s v="RELEASE REQUISITION"/>
    <s v="UNKNOWN"/>
    <x v="2"/>
  </r>
  <r>
    <n v="323436"/>
    <n v="493952"/>
    <x v="3"/>
    <x v="139"/>
    <x v="8"/>
    <s v="DELEGATE AGENCY"/>
    <s v="RFP"/>
    <x v="2"/>
  </r>
  <r>
    <n v="323468"/>
    <n v="4640"/>
    <x v="2"/>
    <x v="2421"/>
    <x v="13"/>
    <s v="EXHIBIT-A"/>
    <s v="UNKNOWN"/>
    <x v="2"/>
  </r>
  <r>
    <n v="323537"/>
    <n v="589640"/>
    <x v="3"/>
    <x v="41"/>
    <x v="8"/>
    <s v="DELEGATE AGENCY"/>
    <s v="UNKNOWN"/>
    <x v="2"/>
  </r>
  <r>
    <n v="323589"/>
    <n v="280079"/>
    <x v="2"/>
    <x v="497"/>
    <x v="8"/>
    <s v="DELEGATE AGENCY"/>
    <s v="UNKNOWN"/>
    <x v="2"/>
  </r>
  <r>
    <n v="323668"/>
    <n v="523040"/>
    <x v="2"/>
    <x v="92"/>
    <x v="12"/>
    <s v="DELEGATE AGENCY"/>
    <s v="UNKNOWN"/>
    <x v="2"/>
  </r>
  <r>
    <n v="323669"/>
    <n v="904112"/>
    <x v="2"/>
    <x v="597"/>
    <x v="12"/>
    <s v="DELEGATE AGENCY"/>
    <s v="UNKNOWN"/>
    <x v="2"/>
  </r>
  <r>
    <n v="323671"/>
    <n v="112080"/>
    <x v="2"/>
    <x v="94"/>
    <x v="12"/>
    <s v="DELEGATE AGENCY"/>
    <s v="UNKNOWN"/>
    <x v="2"/>
  </r>
  <r>
    <n v="323672"/>
    <n v="508096"/>
    <x v="1"/>
    <x v="118"/>
    <x v="12"/>
    <s v="DELEGATE AGENCY"/>
    <s v="UNKNOWN"/>
    <x v="2"/>
  </r>
  <r>
    <n v="323674"/>
    <n v="1389700"/>
    <x v="2"/>
    <x v="92"/>
    <x v="12"/>
    <s v="DELEGATE AGENCY"/>
    <s v="UNKNOWN"/>
    <x v="2"/>
  </r>
  <r>
    <n v="323677"/>
    <n v="276464"/>
    <x v="0"/>
    <x v="1137"/>
    <x v="12"/>
    <s v="DELEGATE AGENCY"/>
    <s v="UNKNOWN"/>
    <x v="2"/>
  </r>
  <r>
    <n v="323678"/>
    <n v="254048"/>
    <x v="2"/>
    <x v="116"/>
    <x v="12"/>
    <s v="DELEGATE AGENCY"/>
    <s v="UNKNOWN"/>
    <x v="2"/>
  </r>
  <r>
    <n v="323735"/>
    <n v="381072"/>
    <x v="2"/>
    <x v="117"/>
    <x v="12"/>
    <s v="DELEGATE AGENCY"/>
    <s v="UNKNOWN"/>
    <x v="2"/>
  </r>
  <r>
    <n v="323736"/>
    <n v="1023664"/>
    <x v="2"/>
    <x v="69"/>
    <x v="12"/>
    <s v="DELEGATE AGENCY"/>
    <s v="UNKNOWN"/>
    <x v="2"/>
  </r>
  <r>
    <n v="323737"/>
    <n v="1494400"/>
    <x v="0"/>
    <x v="63"/>
    <x v="12"/>
    <s v="DELEGATE AGENCY"/>
    <s v="UNKNOWN"/>
    <x v="2"/>
  </r>
  <r>
    <n v="323738"/>
    <n v="493152"/>
    <x v="0"/>
    <x v="1085"/>
    <x v="12"/>
    <s v="DELEGATE AGENCY"/>
    <s v="UNKNOWN"/>
    <x v="2"/>
  </r>
  <r>
    <n v="323745"/>
    <n v="1136800"/>
    <x v="2"/>
    <x v="65"/>
    <x v="12"/>
    <s v="DELEGATE AGENCY"/>
    <s v="UNKNOWN"/>
    <x v="2"/>
  </r>
  <r>
    <n v="323746"/>
    <n v="1860550"/>
    <x v="0"/>
    <x v="64"/>
    <x v="12"/>
    <s v="DELEGATE AGENCY"/>
    <s v="UNKNOWN"/>
    <x v="2"/>
  </r>
  <r>
    <n v="323749"/>
    <n v="127024"/>
    <x v="0"/>
    <x v="83"/>
    <x v="12"/>
    <s v="DELEGATE AGENCY"/>
    <s v="UNKNOWN"/>
    <x v="2"/>
  </r>
  <r>
    <n v="323750"/>
    <n v="762144"/>
    <x v="1"/>
    <x v="64"/>
    <x v="12"/>
    <s v="DELEGATE AGENCY"/>
    <s v="UNKNOWN"/>
    <x v="2"/>
  </r>
  <r>
    <n v="323752"/>
    <n v="127024"/>
    <x v="2"/>
    <x v="129"/>
    <x v="12"/>
    <s v="DELEGATE AGENCY"/>
    <s v="UNKNOWN"/>
    <x v="2"/>
  </r>
  <r>
    <n v="323754"/>
    <n v="2387280"/>
    <x v="1"/>
    <x v="69"/>
    <x v="12"/>
    <s v="DELEGATE AGENCY"/>
    <s v="UNKNOWN"/>
    <x v="2"/>
  </r>
  <r>
    <n v="323758"/>
    <n v="1136800"/>
    <x v="0"/>
    <x v="88"/>
    <x v="12"/>
    <s v="DELEGATE AGENCY"/>
    <s v="UNKNOWN"/>
    <x v="2"/>
  </r>
  <r>
    <n v="323762"/>
    <n v="141968"/>
    <x v="0"/>
    <x v="88"/>
    <x v="12"/>
    <s v="DELEGATE AGENCY"/>
    <s v="UNKNOWN"/>
    <x v="2"/>
  </r>
  <r>
    <n v="323763"/>
    <n v="426300"/>
    <x v="1"/>
    <x v="1137"/>
    <x v="12"/>
    <s v="DELEGATE AGENCY"/>
    <s v="UNKNOWN"/>
    <x v="2"/>
  </r>
  <r>
    <n v="323766"/>
    <n v="448320"/>
    <x v="2"/>
    <x v="72"/>
    <x v="12"/>
    <s v="DELEGATE AGENCY"/>
    <s v="UNKNOWN"/>
    <x v="2"/>
  </r>
  <r>
    <n v="323768"/>
    <n v="1818880"/>
    <x v="2"/>
    <x v="63"/>
    <x v="12"/>
    <s v="DELEGATE AGENCY"/>
    <s v="UNKNOWN"/>
    <x v="2"/>
  </r>
  <r>
    <n v="323769"/>
    <n v="134496"/>
    <x v="0"/>
    <x v="100"/>
    <x v="12"/>
    <s v="DELEGATE AGENCY"/>
    <s v="UNKNOWN"/>
    <x v="2"/>
  </r>
  <r>
    <n v="323770"/>
    <n v="134496"/>
    <x v="1"/>
    <x v="108"/>
    <x v="12"/>
    <s v="DELEGATE AGENCY"/>
    <s v="UNKNOWN"/>
    <x v="2"/>
  </r>
  <r>
    <n v="323771"/>
    <n v="1441260"/>
    <x v="1"/>
    <x v="133"/>
    <x v="12"/>
    <s v="DELEGATE AGENCY"/>
    <s v="UNKNOWN"/>
    <x v="2"/>
  </r>
  <r>
    <n v="323772"/>
    <n v="227360"/>
    <x v="0"/>
    <x v="108"/>
    <x v="12"/>
    <s v="DELEGATE AGENCY"/>
    <s v="UNKNOWN"/>
    <x v="2"/>
  </r>
  <r>
    <n v="323773"/>
    <n v="149440"/>
    <x v="1"/>
    <x v="153"/>
    <x v="12"/>
    <s v="DELEGATE AGENCY"/>
    <s v="UNKNOWN"/>
    <x v="2"/>
  </r>
  <r>
    <n v="323774"/>
    <n v="1389792"/>
    <x v="1"/>
    <x v="85"/>
    <x v="12"/>
    <s v="DELEGATE AGENCY"/>
    <s v="UNKNOWN"/>
    <x v="2"/>
  </r>
  <r>
    <n v="323775"/>
    <n v="17340.400000000001"/>
    <x v="0"/>
    <x v="593"/>
    <x v="12"/>
    <s v="DELEGATE AGENCY"/>
    <s v="UNKNOWN"/>
    <x v="2"/>
  </r>
  <r>
    <n v="323797"/>
    <n v="324302"/>
    <x v="4"/>
    <x v="496"/>
    <x v="8"/>
    <s v="DELEGATE AGENCY"/>
    <s v="UNKNOWN"/>
    <x v="2"/>
  </r>
  <r>
    <n v="323904"/>
    <n v="33000"/>
    <x v="2"/>
    <x v="39"/>
    <x v="8"/>
    <s v="DELEGATE AGENCY"/>
    <s v="UNKNOWN"/>
    <x v="2"/>
  </r>
  <r>
    <n v="323963"/>
    <n v="333376"/>
    <x v="4"/>
    <x v="340"/>
    <x v="12"/>
    <s v="DELEGATE AGENCY"/>
    <s v="UNKNOWN"/>
    <x v="2"/>
  </r>
  <r>
    <n v="324135"/>
    <n v="1270240"/>
    <x v="2"/>
    <x v="1103"/>
    <x v="12"/>
    <s v="DELEGATE AGENCY"/>
    <s v="UNKNOWN"/>
    <x v="2"/>
  </r>
  <r>
    <n v="324136"/>
    <n v="1367376"/>
    <x v="0"/>
    <x v="70"/>
    <x v="12"/>
    <s v="DELEGATE AGENCY"/>
    <s v="UNKNOWN"/>
    <x v="2"/>
  </r>
  <r>
    <n v="324138"/>
    <n v="1023120"/>
    <x v="0"/>
    <x v="70"/>
    <x v="12"/>
    <s v="DELEGATE AGENCY"/>
    <s v="UNKNOWN"/>
    <x v="2"/>
  </r>
  <r>
    <n v="324139"/>
    <n v="127024"/>
    <x v="0"/>
    <x v="131"/>
    <x v="12"/>
    <s v="DELEGATE AGENCY"/>
    <s v="UNKNOWN"/>
    <x v="2"/>
  </r>
  <r>
    <n v="324140"/>
    <n v="795760"/>
    <x v="1"/>
    <x v="1103"/>
    <x v="12"/>
    <s v="DELEGATE AGENCY"/>
    <s v="UNKNOWN"/>
    <x v="2"/>
  </r>
  <r>
    <n v="324141"/>
    <n v="254048"/>
    <x v="2"/>
    <x v="111"/>
    <x v="12"/>
    <s v="DELEGATE AGENCY"/>
    <s v="UNKNOWN"/>
    <x v="2"/>
  </r>
  <r>
    <n v="324142"/>
    <n v="909440"/>
    <x v="2"/>
    <x v="121"/>
    <x v="12"/>
    <s v="DELEGATE AGENCY"/>
    <s v="UNKNOWN"/>
    <x v="2"/>
  </r>
  <r>
    <n v="324143"/>
    <n v="224160"/>
    <x v="2"/>
    <x v="170"/>
    <x v="12"/>
    <s v="DELEGATE AGENCY"/>
    <s v="UNKNOWN"/>
    <x v="2"/>
  </r>
  <r>
    <n v="324146"/>
    <n v="254048"/>
    <x v="1"/>
    <x v="81"/>
    <x v="12"/>
    <s v="DELEGATE AGENCY"/>
    <s v="UNKNOWN"/>
    <x v="2"/>
  </r>
  <r>
    <n v="324148"/>
    <n v="114103"/>
    <x v="2"/>
    <x v="67"/>
    <x v="12"/>
    <s v="DELEGATE AGENCY"/>
    <s v="UNKNOWN"/>
    <x v="2"/>
  </r>
  <r>
    <n v="324149"/>
    <n v="1017360"/>
    <x v="1"/>
    <x v="128"/>
    <x v="12"/>
    <s v="DELEGATE AGENCY"/>
    <s v="UNKNOWN"/>
    <x v="2"/>
  </r>
  <r>
    <n v="324156"/>
    <n v="395894"/>
    <x v="0"/>
    <x v="391"/>
    <x v="8"/>
    <s v="DELEGATE AGENCY"/>
    <s v="UNKNOWN"/>
    <x v="2"/>
  </r>
  <r>
    <n v="324158"/>
    <n v="398082"/>
    <x v="2"/>
    <x v="437"/>
    <x v="8"/>
    <s v="DELEGATE AGENCY"/>
    <s v="UNKNOWN"/>
    <x v="2"/>
  </r>
  <r>
    <n v="324160"/>
    <n v="216688"/>
    <x v="2"/>
    <x v="110"/>
    <x v="12"/>
    <s v="DELEGATE AGENCY"/>
    <s v="UNKNOWN"/>
    <x v="2"/>
  </r>
  <r>
    <n v="324162"/>
    <n v="833670"/>
    <x v="1"/>
    <x v="125"/>
    <x v="12"/>
    <s v="DELEGATE AGENCY"/>
    <s v="UNKNOWN"/>
    <x v="2"/>
  </r>
  <r>
    <n v="324163"/>
    <n v="127024"/>
    <x v="2"/>
    <x v="115"/>
    <x v="12"/>
    <s v="DELEGATE AGENCY"/>
    <s v="UNKNOWN"/>
    <x v="2"/>
  </r>
  <r>
    <n v="324164"/>
    <n v="198940"/>
    <x v="1"/>
    <x v="97"/>
    <x v="12"/>
    <s v="DELEGATE AGENCY"/>
    <s v="UNKNOWN"/>
    <x v="2"/>
  </r>
  <r>
    <n v="324165"/>
    <n v="1737990"/>
    <x v="1"/>
    <x v="60"/>
    <x v="12"/>
    <s v="DELEGATE AGENCY"/>
    <s v="UNKNOWN"/>
    <x v="2"/>
  </r>
  <r>
    <n v="324166"/>
    <n v="605232"/>
    <x v="0"/>
    <x v="121"/>
    <x v="12"/>
    <s v="DELEGATE AGENCY"/>
    <s v="UNKNOWN"/>
    <x v="2"/>
  </r>
  <r>
    <n v="324167"/>
    <n v="298880"/>
    <x v="2"/>
    <x v="124"/>
    <x v="12"/>
    <s v="DELEGATE AGENCY"/>
    <s v="UNKNOWN"/>
    <x v="2"/>
  </r>
  <r>
    <n v="324168"/>
    <n v="381072"/>
    <x v="2"/>
    <x v="76"/>
    <x v="12"/>
    <s v="DELEGATE AGENCY"/>
    <s v="UNKNOWN"/>
    <x v="2"/>
  </r>
  <r>
    <n v="324169"/>
    <n v="1195520"/>
    <x v="2"/>
    <x v="60"/>
    <x v="12"/>
    <s v="DELEGATE AGENCY"/>
    <s v="UNKNOWN"/>
    <x v="2"/>
  </r>
  <r>
    <n v="324187"/>
    <n v="13500"/>
    <x v="0"/>
    <x v="674"/>
    <x v="20"/>
    <s v="COMPTROLLER-OTHER"/>
    <s v="UNKNOWN"/>
    <x v="2"/>
  </r>
  <r>
    <n v="324189"/>
    <n v="22250"/>
    <x v="4"/>
    <x v="2422"/>
    <x v="20"/>
    <s v="COMPTROLLER-OTHER"/>
    <s v="UNKNOWN"/>
    <x v="2"/>
  </r>
  <r>
    <n v="324198"/>
    <n v="45000"/>
    <x v="4"/>
    <x v="2423"/>
    <x v="20"/>
    <s v="COMPTROLLER-OTHER"/>
    <s v="UNKNOWN"/>
    <x v="2"/>
  </r>
  <r>
    <n v="324229"/>
    <n v="250000"/>
    <x v="4"/>
    <x v="2334"/>
    <x v="2"/>
    <s v="COMPTROLLER-OTHER"/>
    <s v="UNKNOWN"/>
    <x v="2"/>
  </r>
  <r>
    <n v="324233"/>
    <n v="201926.2"/>
    <x v="2"/>
    <x v="2424"/>
    <x v="2"/>
    <s v="COMPTROLLER-OTHER"/>
    <s v="UNKNOWN"/>
    <x v="2"/>
  </r>
  <r>
    <n v="324240"/>
    <n v="250000"/>
    <x v="1"/>
    <x v="2425"/>
    <x v="2"/>
    <s v="COMPTROLLER-OTHER"/>
    <s v="UNKNOWN"/>
    <x v="2"/>
  </r>
  <r>
    <n v="324255"/>
    <n v="825000"/>
    <x v="2"/>
    <x v="2426"/>
    <x v="2"/>
    <s v="COMPTROLLER-OTHER"/>
    <s v="UNKNOWN"/>
    <x v="2"/>
  </r>
  <r>
    <n v="324322"/>
    <n v="1845000"/>
    <x v="2"/>
    <x v="145"/>
    <x v="2"/>
    <s v="COMPTROLLER-OTHER"/>
    <s v="UNKNOWN"/>
    <x v="2"/>
  </r>
  <r>
    <n v="324323"/>
    <n v="11854857.699999999"/>
    <x v="0"/>
    <x v="2427"/>
    <x v="6"/>
    <s v="PRO SERV-AVIATION"/>
    <s v="RFP"/>
    <x v="2"/>
  </r>
  <r>
    <n v="324324"/>
    <n v="3515000"/>
    <x v="0"/>
    <x v="978"/>
    <x v="2"/>
    <s v="COMPTROLLER-OTHER"/>
    <s v="UNKNOWN"/>
    <x v="2"/>
  </r>
  <r>
    <n v="324358"/>
    <n v="381072"/>
    <x v="0"/>
    <x v="112"/>
    <x v="12"/>
    <s v="DELEGATE AGENCY"/>
    <s v="UNKNOWN"/>
    <x v="2"/>
  </r>
  <r>
    <n v="324359"/>
    <n v="190387"/>
    <x v="2"/>
    <x v="198"/>
    <x v="12"/>
    <s v="DELEGATE AGENCY"/>
    <s v="UNKNOWN"/>
    <x v="2"/>
  </r>
  <r>
    <n v="324360"/>
    <n v="1108380"/>
    <x v="1"/>
    <x v="112"/>
    <x v="12"/>
    <s v="DELEGATE AGENCY"/>
    <s v="UNKNOWN"/>
    <x v="2"/>
  </r>
  <r>
    <n v="324361"/>
    <n v="104181"/>
    <x v="0"/>
    <x v="90"/>
    <x v="12"/>
    <s v="DELEGATE AGENCY"/>
    <s v="UNKNOWN"/>
    <x v="2"/>
  </r>
  <r>
    <n v="324362"/>
    <n v="223245"/>
    <x v="1"/>
    <x v="239"/>
    <x v="12"/>
    <s v="DELEGATE AGENCY"/>
    <s v="UNKNOWN"/>
    <x v="2"/>
  </r>
  <r>
    <n v="324363"/>
    <n v="341040"/>
    <x v="1"/>
    <x v="76"/>
    <x v="12"/>
    <s v="DELEGATE AGENCY"/>
    <s v="UNKNOWN"/>
    <x v="2"/>
  </r>
  <r>
    <n v="324404"/>
    <n v="573253"/>
    <x v="2"/>
    <x v="66"/>
    <x v="12"/>
    <s v="DELEGATE AGENCY"/>
    <s v="UNKNOWN"/>
    <x v="2"/>
  </r>
  <r>
    <n v="324406"/>
    <n v="77764"/>
    <x v="2"/>
    <x v="198"/>
    <x v="12"/>
    <s v="DELEGATE AGENCY"/>
    <s v="UNKNOWN"/>
    <x v="2"/>
  </r>
  <r>
    <n v="324413"/>
    <n v="771100"/>
    <x v="1"/>
    <x v="1034"/>
    <x v="6"/>
    <s v="COMPTROLLER-OTHER"/>
    <s v="UNKNOWN"/>
    <x v="2"/>
  </r>
  <r>
    <n v="324415"/>
    <n v="635120"/>
    <x v="2"/>
    <x v="66"/>
    <x v="12"/>
    <s v="DELEGATE AGENCY"/>
    <s v="UNKNOWN"/>
    <x v="2"/>
  </r>
  <r>
    <n v="324416"/>
    <n v="91834176"/>
    <x v="2"/>
    <x v="953"/>
    <x v="6"/>
    <s v="COMPTROLLER-OTHER"/>
    <s v="UNKNOWN"/>
    <x v="2"/>
  </r>
  <r>
    <n v="324417"/>
    <n v="667870"/>
    <x v="0"/>
    <x v="99"/>
    <x v="12"/>
    <s v="DELEGATE AGENCY"/>
    <s v="UNKNOWN"/>
    <x v="2"/>
  </r>
  <r>
    <n v="324418"/>
    <n v="127024"/>
    <x v="2"/>
    <x v="106"/>
    <x v="12"/>
    <s v="DELEGATE AGENCY"/>
    <s v="UNKNOWN"/>
    <x v="2"/>
  </r>
  <r>
    <n v="324419"/>
    <n v="254048"/>
    <x v="1"/>
    <x v="91"/>
    <x v="12"/>
    <s v="DELEGATE AGENCY"/>
    <s v="UNKNOWN"/>
    <x v="2"/>
  </r>
  <r>
    <n v="324421"/>
    <n v="227360"/>
    <x v="2"/>
    <x v="131"/>
    <x v="12"/>
    <s v="DELEGATE AGENCY"/>
    <s v="UNKNOWN"/>
    <x v="2"/>
  </r>
  <r>
    <n v="324422"/>
    <n v="607590"/>
    <x v="1"/>
    <x v="90"/>
    <x v="12"/>
    <s v="DELEGATE AGENCY"/>
    <s v="UNKNOWN"/>
    <x v="2"/>
  </r>
  <r>
    <n v="324423"/>
    <n v="341040"/>
    <x v="2"/>
    <x v="119"/>
    <x v="12"/>
    <s v="DELEGATE AGENCY"/>
    <s v="UNKNOWN"/>
    <x v="2"/>
  </r>
  <r>
    <n v="324424"/>
    <n v="410960"/>
    <x v="2"/>
    <x v="119"/>
    <x v="12"/>
    <s v="DELEGATE AGENCY"/>
    <s v="UNKNOWN"/>
    <x v="2"/>
  </r>
  <r>
    <n v="324425"/>
    <n v="112080"/>
    <x v="2"/>
    <x v="134"/>
    <x v="12"/>
    <s v="DELEGATE AGENCY"/>
    <s v="UNKNOWN"/>
    <x v="2"/>
  </r>
  <r>
    <n v="324426"/>
    <n v="268992"/>
    <x v="1"/>
    <x v="99"/>
    <x v="12"/>
    <s v="DELEGATE AGENCY"/>
    <s v="UNKNOWN"/>
    <x v="2"/>
  </r>
  <r>
    <n v="324428"/>
    <n v="119552"/>
    <x v="2"/>
    <x v="97"/>
    <x v="12"/>
    <s v="DELEGATE AGENCY"/>
    <s v="UNKNOWN"/>
    <x v="2"/>
  </r>
  <r>
    <n v="324429"/>
    <n v="3749520"/>
    <x v="1"/>
    <x v="85"/>
    <x v="12"/>
    <s v="DELEGATE AGENCY"/>
    <s v="UNKNOWN"/>
    <x v="2"/>
  </r>
  <r>
    <n v="324430"/>
    <n v="909440"/>
    <x v="0"/>
    <x v="123"/>
    <x v="12"/>
    <s v="DELEGATE AGENCY"/>
    <s v="UNKNOWN"/>
    <x v="2"/>
  </r>
  <r>
    <n v="324454"/>
    <n v="61000"/>
    <x v="2"/>
    <x v="323"/>
    <x v="12"/>
    <s v="DELEGATE AGENCY"/>
    <s v="UNKNOWN"/>
    <x v="2"/>
  </r>
  <r>
    <n v="324544"/>
    <n v="24335"/>
    <x v="1"/>
    <x v="1232"/>
    <x v="12"/>
    <s v="DELEGATE AGENCY"/>
    <s v="UNKNOWN"/>
    <x v="2"/>
  </r>
  <r>
    <n v="324545"/>
    <n v="221115"/>
    <x v="4"/>
    <x v="68"/>
    <x v="8"/>
    <s v="DELEGATE AGENCY"/>
    <s v="UNKNOWN"/>
    <x v="2"/>
  </r>
  <r>
    <n v="324546"/>
    <n v="90000"/>
    <x v="1"/>
    <x v="45"/>
    <x v="8"/>
    <s v="DELEGATE AGENCY"/>
    <s v="UNKNOWN"/>
    <x v="2"/>
  </r>
  <r>
    <n v="324584"/>
    <n v="395894"/>
    <x v="1"/>
    <x v="128"/>
    <x v="8"/>
    <s v="DELEGATE AGENCY"/>
    <s v="UNKNOWN"/>
    <x v="2"/>
  </r>
  <r>
    <n v="324585"/>
    <n v="395894"/>
    <x v="2"/>
    <x v="201"/>
    <x v="8"/>
    <s v="DELEGATE AGENCY"/>
    <s v="UNKNOWN"/>
    <x v="2"/>
  </r>
  <r>
    <n v="324586"/>
    <n v="395894"/>
    <x v="2"/>
    <x v="436"/>
    <x v="8"/>
    <s v="DELEGATE AGENCY"/>
    <s v="UNKNOWN"/>
    <x v="2"/>
  </r>
  <r>
    <n v="324591"/>
    <n v="77500"/>
    <x v="2"/>
    <x v="407"/>
    <x v="8"/>
    <s v="DELEGATE AGENCY"/>
    <s v="RFP"/>
    <x v="2"/>
  </r>
  <r>
    <n v="324791"/>
    <n v="1109993.8999999999"/>
    <x v="1"/>
    <x v="2428"/>
    <x v="3"/>
    <s v="VEHICLES/HEAVY EQUIPMENT (CAPITAL)"/>
    <s v="CONTRACT ASSIGNMENT/TRANSFER"/>
    <x v="2"/>
  </r>
  <r>
    <n v="324802"/>
    <n v="40000"/>
    <x v="0"/>
    <x v="169"/>
    <x v="8"/>
    <s v="DELEGATE AGENCY"/>
    <s v="UNKNOWN"/>
    <x v="2"/>
  </r>
  <r>
    <n v="324803"/>
    <n v="40000"/>
    <x v="4"/>
    <x v="201"/>
    <x v="8"/>
    <s v="DELEGATE AGENCY"/>
    <s v="UNKNOWN"/>
    <x v="2"/>
  </r>
  <r>
    <n v="324804"/>
    <n v="959000000"/>
    <x v="4"/>
    <x v="1410"/>
    <x v="2"/>
    <s v="COMPTROLLER-OTHER"/>
    <s v="UNKNOWN"/>
    <x v="2"/>
  </r>
  <r>
    <n v="324813"/>
    <n v="12140"/>
    <x v="0"/>
    <x v="189"/>
    <x v="12"/>
    <s v="DELEGATE AGENCY"/>
    <s v="UNKNOWN"/>
    <x v="2"/>
  </r>
  <r>
    <n v="324835"/>
    <n v="11752122.699999999"/>
    <x v="4"/>
    <x v="2428"/>
    <x v="3"/>
    <s v="WORK SERVICES / FACILITIES MAINT."/>
    <s v="BID"/>
    <x v="2"/>
  </r>
  <r>
    <n v="324899"/>
    <n v="752501"/>
    <x v="0"/>
    <x v="76"/>
    <x v="12"/>
    <s v="DELEGATE AGENCY"/>
    <s v="UNKNOWN"/>
    <x v="2"/>
  </r>
  <r>
    <n v="324903"/>
    <n v="209216"/>
    <x v="2"/>
    <x v="68"/>
    <x v="12"/>
    <s v="DELEGATE AGENCY"/>
    <s v="UNKNOWN"/>
    <x v="2"/>
  </r>
  <r>
    <n v="324908"/>
    <n v="428571"/>
    <x v="1"/>
    <x v="502"/>
    <x v="8"/>
    <s v="DELEGATE AGENCY"/>
    <s v="UNKNOWN"/>
    <x v="2"/>
  </r>
  <r>
    <n v="324909"/>
    <n v="428571"/>
    <x v="2"/>
    <x v="1366"/>
    <x v="8"/>
    <s v="DELEGATE AGENCY"/>
    <s v="UNKNOWN"/>
    <x v="2"/>
  </r>
  <r>
    <n v="324921"/>
    <n v="59532"/>
    <x v="2"/>
    <x v="73"/>
    <x v="12"/>
    <s v="DELEGATE AGENCY"/>
    <s v="UNKNOWN"/>
    <x v="2"/>
  </r>
  <r>
    <n v="324924"/>
    <n v="433376"/>
    <x v="1"/>
    <x v="102"/>
    <x v="12"/>
    <s v="DELEGATE AGENCY"/>
    <s v="UNKNOWN"/>
    <x v="2"/>
  </r>
  <r>
    <n v="324925"/>
    <n v="962760"/>
    <x v="2"/>
    <x v="68"/>
    <x v="12"/>
    <s v="DELEGATE AGENCY"/>
    <s v="UNKNOWN"/>
    <x v="2"/>
  </r>
  <r>
    <n v="324926"/>
    <n v="228206"/>
    <x v="2"/>
    <x v="68"/>
    <x v="12"/>
    <s v="DELEGATE AGENCY"/>
    <s v="UNKNOWN"/>
    <x v="2"/>
  </r>
  <r>
    <n v="324927"/>
    <n v="149440"/>
    <x v="1"/>
    <x v="135"/>
    <x v="12"/>
    <s v="DELEGATE AGENCY"/>
    <s v="UNKNOWN"/>
    <x v="2"/>
  </r>
  <r>
    <n v="324928"/>
    <n v="508096"/>
    <x v="1"/>
    <x v="122"/>
    <x v="12"/>
    <s v="DELEGATE AGENCY"/>
    <s v="UNKNOWN"/>
    <x v="2"/>
  </r>
  <r>
    <n v="324929"/>
    <n v="454720"/>
    <x v="2"/>
    <x v="100"/>
    <x v="12"/>
    <s v="DELEGATE AGENCY"/>
    <s v="UNKNOWN"/>
    <x v="2"/>
  </r>
  <r>
    <n v="32493"/>
    <n v="1400000"/>
    <x v="2"/>
    <x v="2429"/>
    <x v="0"/>
    <s v="COMMODITIES"/>
    <s v="BID"/>
    <x v="0"/>
  </r>
  <r>
    <n v="324930"/>
    <n v="127024"/>
    <x v="0"/>
    <x v="103"/>
    <x v="12"/>
    <s v="DELEGATE AGENCY"/>
    <s v="UNKNOWN"/>
    <x v="2"/>
  </r>
  <r>
    <n v="324931"/>
    <n v="170520"/>
    <x v="1"/>
    <x v="135"/>
    <x v="12"/>
    <s v="DELEGATE AGENCY"/>
    <s v="UNKNOWN"/>
    <x v="2"/>
  </r>
  <r>
    <n v="324932"/>
    <n v="40000"/>
    <x v="1"/>
    <x v="189"/>
    <x v="12"/>
    <s v="DELEGATE AGENCY"/>
    <s v="UNKNOWN"/>
    <x v="2"/>
  </r>
  <r>
    <n v="324938"/>
    <n v="428571"/>
    <x v="4"/>
    <x v="188"/>
    <x v="8"/>
    <s v="DELEGATE AGENCY"/>
    <s v="UNKNOWN"/>
    <x v="2"/>
  </r>
  <r>
    <n v="325070"/>
    <n v="125000"/>
    <x v="2"/>
    <x v="1158"/>
    <x v="20"/>
    <s v="COMPTROLLER-OTHER"/>
    <s v="UNKNOWN"/>
    <x v="2"/>
  </r>
  <r>
    <n v="325120"/>
    <n v="3258580"/>
    <x v="1"/>
    <x v="1526"/>
    <x v="1"/>
    <s v="PROPERTY LEASE"/>
    <s v="UNKNOWN"/>
    <x v="2"/>
  </r>
  <r>
    <n v="325150"/>
    <n v="428571"/>
    <x v="0"/>
    <x v="298"/>
    <x v="8"/>
    <s v="DELEGATE AGENCY"/>
    <s v="UNKNOWN"/>
    <x v="2"/>
  </r>
  <r>
    <n v="32520"/>
    <n v="3200000"/>
    <x v="2"/>
    <x v="147"/>
    <x v="0"/>
    <s v="WORK SERVICES / FACILITIES MAINT."/>
    <s v="BID"/>
    <x v="0"/>
  </r>
  <r>
    <n v="325205"/>
    <n v="25641544.300000001"/>
    <x v="0"/>
    <x v="1757"/>
    <x v="3"/>
    <s v="WORK SERVICES / FACILITIES MAINT."/>
    <s v="JOINT PURCHASE"/>
    <x v="2"/>
  </r>
  <r>
    <n v="325269"/>
    <n v="350000"/>
    <x v="0"/>
    <x v="258"/>
    <x v="12"/>
    <s v="DELEGATE AGENCY"/>
    <s v="UNKNOWN"/>
    <x v="2"/>
  </r>
  <r>
    <n v="325270"/>
    <n v="1079704"/>
    <x v="2"/>
    <x v="78"/>
    <x v="12"/>
    <s v="DELEGATE AGENCY"/>
    <s v="UNKNOWN"/>
    <x v="2"/>
  </r>
  <r>
    <n v="32528"/>
    <n v="23271053.300000001"/>
    <x v="0"/>
    <x v="2430"/>
    <x v="13"/>
    <s v="COMMODITIES"/>
    <s v="BID"/>
    <x v="0"/>
  </r>
  <r>
    <n v="325290"/>
    <n v="35400"/>
    <x v="0"/>
    <x v="572"/>
    <x v="12"/>
    <s v="DELEGATE AGENCY"/>
    <s v="UNKNOWN"/>
    <x v="2"/>
  </r>
  <r>
    <n v="325291"/>
    <n v="35400"/>
    <x v="4"/>
    <x v="1553"/>
    <x v="12"/>
    <s v="DELEGATE AGENCY"/>
    <s v="UNKNOWN"/>
    <x v="2"/>
  </r>
  <r>
    <n v="325292"/>
    <n v="35400"/>
    <x v="4"/>
    <x v="578"/>
    <x v="12"/>
    <s v="DELEGATE AGENCY"/>
    <s v="UNKNOWN"/>
    <x v="2"/>
  </r>
  <r>
    <n v="325293"/>
    <n v="35400"/>
    <x v="4"/>
    <x v="446"/>
    <x v="12"/>
    <s v="DELEGATE AGENCY"/>
    <s v="UNKNOWN"/>
    <x v="2"/>
  </r>
  <r>
    <n v="325295"/>
    <n v="35400"/>
    <x v="4"/>
    <x v="391"/>
    <x v="12"/>
    <s v="DELEGATE AGENCY"/>
    <s v="UNKNOWN"/>
    <x v="2"/>
  </r>
  <r>
    <n v="325297"/>
    <n v="35400"/>
    <x v="4"/>
    <x v="464"/>
    <x v="12"/>
    <s v="DELEGATE AGENCY"/>
    <s v="UNKNOWN"/>
    <x v="2"/>
  </r>
  <r>
    <n v="325298"/>
    <n v="35400"/>
    <x v="4"/>
    <x v="1152"/>
    <x v="12"/>
    <s v="DELEGATE AGENCY"/>
    <s v="UNKNOWN"/>
    <x v="2"/>
  </r>
  <r>
    <n v="325299"/>
    <n v="70800"/>
    <x v="4"/>
    <x v="201"/>
    <x v="12"/>
    <s v="DELEGATE AGENCY"/>
    <s v="UNKNOWN"/>
    <x v="2"/>
  </r>
  <r>
    <n v="325300"/>
    <n v="35400"/>
    <x v="1"/>
    <x v="583"/>
    <x v="12"/>
    <s v="DELEGATE AGENCY"/>
    <s v="UNKNOWN"/>
    <x v="2"/>
  </r>
  <r>
    <n v="325301"/>
    <n v="35400"/>
    <x v="4"/>
    <x v="204"/>
    <x v="12"/>
    <s v="DELEGATE AGENCY"/>
    <s v="UNKNOWN"/>
    <x v="2"/>
  </r>
  <r>
    <n v="325302"/>
    <n v="35400"/>
    <x v="4"/>
    <x v="879"/>
    <x v="12"/>
    <s v="DELEGATE AGENCY"/>
    <s v="UNKNOWN"/>
    <x v="2"/>
  </r>
  <r>
    <n v="325303"/>
    <n v="35400"/>
    <x v="4"/>
    <x v="436"/>
    <x v="12"/>
    <s v="DELEGATE AGENCY"/>
    <s v="UNKNOWN"/>
    <x v="2"/>
  </r>
  <r>
    <n v="325304"/>
    <n v="35400"/>
    <x v="4"/>
    <x v="593"/>
    <x v="12"/>
    <s v="DELEGATE AGENCY"/>
    <s v="UNKNOWN"/>
    <x v="2"/>
  </r>
  <r>
    <n v="325305"/>
    <n v="255520"/>
    <x v="4"/>
    <x v="605"/>
    <x v="12"/>
    <s v="DELEGATE AGENCY"/>
    <s v="UNKNOWN"/>
    <x v="2"/>
  </r>
  <r>
    <n v="325311"/>
    <n v="111080"/>
    <x v="2"/>
    <x v="1103"/>
    <x v="12"/>
    <s v="DELEGATE AGENCY"/>
    <s v="UNKNOWN"/>
    <x v="2"/>
  </r>
  <r>
    <n v="325312"/>
    <n v="199980"/>
    <x v="1"/>
    <x v="583"/>
    <x v="12"/>
    <s v="DELEGATE AGENCY"/>
    <s v="UNKNOWN"/>
    <x v="2"/>
  </r>
  <r>
    <n v="325314"/>
    <n v="55540"/>
    <x v="1"/>
    <x v="436"/>
    <x v="12"/>
    <s v="DELEGATE AGENCY"/>
    <s v="UNKNOWN"/>
    <x v="2"/>
  </r>
  <r>
    <n v="325316"/>
    <n v="255520"/>
    <x v="1"/>
    <x v="73"/>
    <x v="12"/>
    <s v="DELEGATE AGENCY"/>
    <s v="UNKNOWN"/>
    <x v="2"/>
  </r>
  <r>
    <n v="325325"/>
    <n v="199980"/>
    <x v="2"/>
    <x v="880"/>
    <x v="12"/>
    <s v="DELEGATE AGENCY"/>
    <s v="UNKNOWN"/>
    <x v="2"/>
  </r>
  <r>
    <n v="325326"/>
    <n v="55540"/>
    <x v="1"/>
    <x v="78"/>
    <x v="12"/>
    <s v="DELEGATE AGENCY"/>
    <s v="UNKNOWN"/>
    <x v="2"/>
  </r>
  <r>
    <n v="325348"/>
    <n v="657984"/>
    <x v="1"/>
    <x v="1739"/>
    <x v="12"/>
    <s v="DELEGATE AGENCY"/>
    <s v="UNKNOWN"/>
    <x v="2"/>
  </r>
  <r>
    <n v="325352"/>
    <n v="119990"/>
    <x v="2"/>
    <x v="605"/>
    <x v="12"/>
    <s v="DELEGATE AGENCY"/>
    <s v="UNKNOWN"/>
    <x v="2"/>
  </r>
  <r>
    <n v="325353"/>
    <n v="47996"/>
    <x v="1"/>
    <x v="605"/>
    <x v="12"/>
    <s v="DELEGATE AGENCY"/>
    <s v="UNKNOWN"/>
    <x v="2"/>
  </r>
  <r>
    <n v="325354"/>
    <n v="95992"/>
    <x v="4"/>
    <x v="605"/>
    <x v="12"/>
    <s v="DELEGATE AGENCY"/>
    <s v="UNKNOWN"/>
    <x v="2"/>
  </r>
  <r>
    <n v="325355"/>
    <n v="47996"/>
    <x v="1"/>
    <x v="605"/>
    <x v="12"/>
    <s v="DELEGATE AGENCY"/>
    <s v="UNKNOWN"/>
    <x v="2"/>
  </r>
  <r>
    <n v="325360"/>
    <n v="47996"/>
    <x v="4"/>
    <x v="605"/>
    <x v="12"/>
    <s v="DELEGATE AGENCY"/>
    <s v="UNKNOWN"/>
    <x v="2"/>
  </r>
  <r>
    <n v="325448"/>
    <n v="9000000"/>
    <x v="4"/>
    <x v="2431"/>
    <x v="2"/>
    <s v="COMPTROLLER-OTHER"/>
    <s v="UNKNOWN"/>
    <x v="2"/>
  </r>
  <r>
    <n v="325498"/>
    <n v="133300"/>
    <x v="0"/>
    <x v="214"/>
    <x v="8"/>
    <s v="DELEGATE AGENCY"/>
    <s v="UNKNOWN"/>
    <x v="2"/>
  </r>
  <r>
    <n v="325581"/>
    <n v="4415000"/>
    <x v="1"/>
    <x v="2432"/>
    <x v="6"/>
    <s v="WORK SERV-AVIATION"/>
    <s v="BID"/>
    <x v="2"/>
  </r>
  <r>
    <n v="32560"/>
    <n v="17000000"/>
    <x v="0"/>
    <x v="918"/>
    <x v="14"/>
    <s v="PRO SERV CONSULTING $250,000orABOVE"/>
    <s v="MASTER AGREEMENT"/>
    <x v="0"/>
  </r>
  <r>
    <n v="32561"/>
    <n v="8767969.3000000007"/>
    <x v="0"/>
    <x v="159"/>
    <x v="14"/>
    <s v="PRO SERV CONSULTING $250,000orABOVE"/>
    <s v="MASTER AGREEMENT"/>
    <x v="0"/>
  </r>
  <r>
    <n v="325647"/>
    <n v="9134878"/>
    <x v="0"/>
    <x v="233"/>
    <x v="5"/>
    <s v="CONSTRUCTION-LARGE $3MILLIONorABOVE"/>
    <s v="BID"/>
    <x v="2"/>
  </r>
  <r>
    <n v="325671"/>
    <n v="260495"/>
    <x v="0"/>
    <x v="2300"/>
    <x v="1"/>
    <s v="DELEGATE AGENCY"/>
    <s v="UNKNOWN"/>
    <x v="2"/>
  </r>
  <r>
    <n v="325681"/>
    <n v="1302399"/>
    <x v="2"/>
    <x v="238"/>
    <x v="12"/>
    <s v="DELEGATE AGENCY"/>
    <s v="UNKNOWN"/>
    <x v="2"/>
  </r>
  <r>
    <n v="325682"/>
    <n v="50585"/>
    <x v="0"/>
    <x v="1932"/>
    <x v="12"/>
    <s v="DELEGATE AGENCY"/>
    <s v="UNKNOWN"/>
    <x v="2"/>
  </r>
  <r>
    <n v="325684"/>
    <n v="2728320"/>
    <x v="1"/>
    <x v="61"/>
    <x v="12"/>
    <s v="DELEGATE AGENCY"/>
    <s v="UNKNOWN"/>
    <x v="2"/>
  </r>
  <r>
    <n v="325685"/>
    <n v="446490"/>
    <x v="0"/>
    <x v="60"/>
    <x v="12"/>
    <s v="DELEGATE AGENCY"/>
    <s v="UNKNOWN"/>
    <x v="2"/>
  </r>
  <r>
    <n v="325686"/>
    <n v="2273600"/>
    <x v="2"/>
    <x v="78"/>
    <x v="12"/>
    <s v="DELEGATE AGENCY"/>
    <s v="UNKNOWN"/>
    <x v="2"/>
  </r>
  <r>
    <n v="325688"/>
    <n v="1815696"/>
    <x v="0"/>
    <x v="61"/>
    <x v="12"/>
    <s v="DELEGATE AGENCY"/>
    <s v="UNKNOWN"/>
    <x v="2"/>
  </r>
  <r>
    <n v="325689"/>
    <n v="254048"/>
    <x v="0"/>
    <x v="126"/>
    <x v="12"/>
    <s v="DELEGATE AGENCY"/>
    <s v="UNKNOWN"/>
    <x v="2"/>
  </r>
  <r>
    <n v="325861"/>
    <n v="375000"/>
    <x v="2"/>
    <x v="1466"/>
    <x v="8"/>
    <s v="DELEGATE AGENCY"/>
    <s v="RFP"/>
    <x v="2"/>
  </r>
  <r>
    <n v="325862"/>
    <n v="375000"/>
    <x v="2"/>
    <x v="175"/>
    <x v="8"/>
    <s v="DELEGATE AGENCY"/>
    <s v="RFP"/>
    <x v="2"/>
  </r>
  <r>
    <n v="325866"/>
    <n v="1388948.4"/>
    <x v="2"/>
    <x v="0"/>
    <x v="6"/>
    <s v="CONSTRUCTION-AVIATION"/>
    <s v="UNKNOWN"/>
    <x v="2"/>
  </r>
  <r>
    <n v="325934"/>
    <n v="224160"/>
    <x v="0"/>
    <x v="71"/>
    <x v="12"/>
    <s v="DELEGATE AGENCY"/>
    <s v="UNKNOWN"/>
    <x v="2"/>
  </r>
  <r>
    <n v="326204"/>
    <n v="2636.8"/>
    <x v="1"/>
    <x v="2433"/>
    <x v="25"/>
    <s v="COMPTROLLER-OTHER"/>
    <s v="UNKNOWN"/>
    <x v="2"/>
  </r>
  <r>
    <n v="326214"/>
    <n v="6000"/>
    <x v="3"/>
    <x v="2434"/>
    <x v="20"/>
    <s v="COMPTROLLER-OTHER"/>
    <s v="UNKNOWN"/>
    <x v="2"/>
  </r>
  <r>
    <n v="326285"/>
    <n v="20000"/>
    <x v="3"/>
    <x v="964"/>
    <x v="21"/>
    <s v="DELEGATE AGENCY"/>
    <s v="UNKNOWN"/>
    <x v="2"/>
  </r>
  <r>
    <n v="326286"/>
    <n v="750000"/>
    <x v="4"/>
    <x v="316"/>
    <x v="22"/>
    <s v="DELEGATE AGENCY"/>
    <s v="UNKNOWN"/>
    <x v="2"/>
  </r>
  <r>
    <n v="326337"/>
    <n v="1842270"/>
    <x v="2"/>
    <x v="127"/>
    <x v="12"/>
    <s v="DELEGATE AGENCY"/>
    <s v="UNKNOWN"/>
    <x v="2"/>
  </r>
  <r>
    <n v="326338"/>
    <n v="44085"/>
    <x v="0"/>
    <x v="127"/>
    <x v="12"/>
    <s v="DELEGATE AGENCY"/>
    <s v="UNKNOWN"/>
    <x v="2"/>
  </r>
  <r>
    <n v="326339"/>
    <n v="1023120"/>
    <x v="4"/>
    <x v="89"/>
    <x v="12"/>
    <s v="DELEGATE AGENCY"/>
    <s v="UNKNOWN"/>
    <x v="2"/>
  </r>
  <r>
    <n v="326342"/>
    <n v="560400"/>
    <x v="0"/>
    <x v="77"/>
    <x v="12"/>
    <s v="DELEGATE AGENCY"/>
    <s v="UNKNOWN"/>
    <x v="2"/>
  </r>
  <r>
    <n v="326344"/>
    <n v="454720"/>
    <x v="2"/>
    <x v="87"/>
    <x v="12"/>
    <s v="DELEGATE AGENCY"/>
    <s v="UNKNOWN"/>
    <x v="2"/>
  </r>
  <r>
    <n v="326349"/>
    <n v="2437400"/>
    <x v="2"/>
    <x v="60"/>
    <x v="12"/>
    <s v="DELEGATE AGENCY"/>
    <s v="UNKNOWN"/>
    <x v="2"/>
  </r>
  <r>
    <n v="326350"/>
    <n v="134496"/>
    <x v="0"/>
    <x v="87"/>
    <x v="12"/>
    <s v="DELEGATE AGENCY"/>
    <s v="UNKNOWN"/>
    <x v="2"/>
  </r>
  <r>
    <n v="32638"/>
    <n v="12287000"/>
    <x v="1"/>
    <x v="1054"/>
    <x v="14"/>
    <s v="PRO SERV CONSULTING $250,000orABOVE"/>
    <s v="MASTER AGREEMENT"/>
    <x v="0"/>
  </r>
  <r>
    <n v="326503"/>
    <n v="7336323"/>
    <x v="0"/>
    <x v="2435"/>
    <x v="1"/>
    <s v="CONSTRUCTION-LARGE $3MILLIONorABOVE"/>
    <s v="BID"/>
    <x v="2"/>
  </r>
  <r>
    <n v="326692"/>
    <n v="175000"/>
    <x v="0"/>
    <x v="1005"/>
    <x v="8"/>
    <s v="DELEGATE AGENCY"/>
    <s v="UNKNOWN"/>
    <x v="2"/>
  </r>
  <r>
    <n v="326744"/>
    <n v="1318.4"/>
    <x v="1"/>
    <x v="2436"/>
    <x v="25"/>
    <s v="COMPTROLLER-OTHER"/>
    <s v="UNKNOWN"/>
    <x v="2"/>
  </r>
  <r>
    <n v="326745"/>
    <n v="3955.2"/>
    <x v="3"/>
    <x v="2437"/>
    <x v="25"/>
    <s v="COMPTROLLER-OTHER"/>
    <s v="UNKNOWN"/>
    <x v="2"/>
  </r>
  <r>
    <n v="326747"/>
    <n v="1318.4"/>
    <x v="3"/>
    <x v="2438"/>
    <x v="25"/>
    <s v="COMPTROLLER-OTHER"/>
    <s v="UNKNOWN"/>
    <x v="2"/>
  </r>
  <r>
    <n v="326771"/>
    <n v="428571"/>
    <x v="3"/>
    <x v="465"/>
    <x v="8"/>
    <s v="DELEGATE AGENCY"/>
    <s v="UNKNOWN"/>
    <x v="2"/>
  </r>
  <r>
    <n v="326772"/>
    <n v="112500"/>
    <x v="2"/>
    <x v="44"/>
    <x v="8"/>
    <s v="DELEGATE AGENCY"/>
    <s v="UNKNOWN"/>
    <x v="2"/>
  </r>
  <r>
    <n v="326773"/>
    <n v="428571"/>
    <x v="1"/>
    <x v="496"/>
    <x v="8"/>
    <s v="DELEGATE AGENCY"/>
    <s v="UNKNOWN"/>
    <x v="2"/>
  </r>
  <r>
    <n v="326774"/>
    <n v="112500"/>
    <x v="2"/>
    <x v="128"/>
    <x v="8"/>
    <s v="DELEGATE AGENCY"/>
    <s v="UNKNOWN"/>
    <x v="2"/>
  </r>
  <r>
    <n v="327069"/>
    <n v="36499"/>
    <x v="1"/>
    <x v="2204"/>
    <x v="12"/>
    <s v="DELEGATE AGENCY"/>
    <s v="UNKNOWN"/>
    <x v="2"/>
  </r>
  <r>
    <n v="327070"/>
    <n v="1886355"/>
    <x v="4"/>
    <x v="127"/>
    <x v="12"/>
    <s v="DELEGATE AGENCY"/>
    <s v="UNKNOWN"/>
    <x v="2"/>
  </r>
  <r>
    <n v="327071"/>
    <n v="1477840"/>
    <x v="0"/>
    <x v="597"/>
    <x v="12"/>
    <s v="DELEGATE AGENCY"/>
    <s v="UNKNOWN"/>
    <x v="2"/>
  </r>
  <r>
    <n v="327072"/>
    <n v="941472"/>
    <x v="0"/>
    <x v="510"/>
    <x v="12"/>
    <s v="DELEGATE AGENCY"/>
    <s v="UNKNOWN"/>
    <x v="2"/>
  </r>
  <r>
    <n v="327073"/>
    <n v="625240"/>
    <x v="2"/>
    <x v="332"/>
    <x v="12"/>
    <s v="DELEGATE AGENCY"/>
    <s v="UNKNOWN"/>
    <x v="2"/>
  </r>
  <r>
    <n v="327074"/>
    <n v="149440"/>
    <x v="2"/>
    <x v="109"/>
    <x v="12"/>
    <s v="DELEGATE AGENCY"/>
    <s v="UNKNOWN"/>
    <x v="2"/>
  </r>
  <r>
    <n v="327075"/>
    <n v="1165632"/>
    <x v="1"/>
    <x v="332"/>
    <x v="12"/>
    <s v="DELEGATE AGENCY"/>
    <s v="UNKNOWN"/>
    <x v="2"/>
  </r>
  <r>
    <n v="327076"/>
    <n v="909440"/>
    <x v="0"/>
    <x v="59"/>
    <x v="12"/>
    <s v="DELEGATE AGENCY"/>
    <s v="UNKNOWN"/>
    <x v="2"/>
  </r>
  <r>
    <n v="327077"/>
    <n v="134496"/>
    <x v="2"/>
    <x v="95"/>
    <x v="12"/>
    <s v="DELEGATE AGENCY"/>
    <s v="UNKNOWN"/>
    <x v="2"/>
  </r>
  <r>
    <n v="327078"/>
    <n v="923650"/>
    <x v="1"/>
    <x v="77"/>
    <x v="12"/>
    <s v="DELEGATE AGENCY"/>
    <s v="UNKNOWN"/>
    <x v="2"/>
  </r>
  <r>
    <n v="327079"/>
    <n v="851808"/>
    <x v="2"/>
    <x v="107"/>
    <x v="12"/>
    <s v="DELEGATE AGENCY"/>
    <s v="UNKNOWN"/>
    <x v="2"/>
  </r>
  <r>
    <n v="327080"/>
    <n v="1690990"/>
    <x v="2"/>
    <x v="510"/>
    <x v="12"/>
    <s v="DELEGATE AGENCY"/>
    <s v="UNKNOWN"/>
    <x v="2"/>
  </r>
  <r>
    <n v="327081"/>
    <n v="762144"/>
    <x v="0"/>
    <x v="89"/>
    <x v="12"/>
    <s v="DELEGATE AGENCY"/>
    <s v="UNKNOWN"/>
    <x v="2"/>
  </r>
  <r>
    <n v="327082"/>
    <n v="67000"/>
    <x v="2"/>
    <x v="391"/>
    <x v="12"/>
    <s v="DELEGATE AGENCY"/>
    <s v="UNKNOWN"/>
    <x v="2"/>
  </r>
  <r>
    <n v="327136"/>
    <n v="227160"/>
    <x v="1"/>
    <x v="340"/>
    <x v="12"/>
    <s v="DELEGATE AGENCY"/>
    <s v="UNKNOWN"/>
    <x v="2"/>
  </r>
  <r>
    <n v="327147"/>
    <n v="1318.4"/>
    <x v="1"/>
    <x v="2439"/>
    <x v="25"/>
    <s v="COMPTROLLER-OTHER"/>
    <s v="UNKNOWN"/>
    <x v="2"/>
  </r>
  <r>
    <n v="327171"/>
    <n v="254048"/>
    <x v="3"/>
    <x v="59"/>
    <x v="12"/>
    <s v="DELEGATE AGENCY"/>
    <s v="UNKNOWN"/>
    <x v="2"/>
  </r>
  <r>
    <n v="327450"/>
    <n v="1000"/>
    <x v="2"/>
    <x v="2440"/>
    <x v="20"/>
    <s v="COMPTROLLER-OTHER"/>
    <s v="UNKNOWN"/>
    <x v="2"/>
  </r>
  <r>
    <n v="327545"/>
    <n v="2000"/>
    <x v="3"/>
    <x v="1574"/>
    <x v="20"/>
    <s v="COMPTROLLER-OTHER"/>
    <s v="UNKNOWN"/>
    <x v="2"/>
  </r>
  <r>
    <n v="327817"/>
    <n v="1452734.3"/>
    <x v="3"/>
    <x v="642"/>
    <x v="14"/>
    <s v="SOFTWARE"/>
    <s v="JOINT PURCHASE"/>
    <x v="2"/>
  </r>
  <r>
    <n v="327830"/>
    <n v="147218.29999999999"/>
    <x v="0"/>
    <x v="642"/>
    <x v="14"/>
    <s v="SOFTWARE"/>
    <s v="JOINT PURCHASE"/>
    <x v="2"/>
  </r>
  <r>
    <n v="32790"/>
    <n v="1000000"/>
    <x v="1"/>
    <x v="156"/>
    <x v="2"/>
    <s v="COMPTROLLER-OTHER"/>
    <s v="UNKNOWN"/>
    <x v="2"/>
  </r>
  <r>
    <n v="328276"/>
    <n v="164653"/>
    <x v="0"/>
    <x v="139"/>
    <x v="8"/>
    <s v="DELEGATE AGENCY"/>
    <s v="UNKNOWN"/>
    <x v="2"/>
  </r>
  <r>
    <n v="328277"/>
    <n v="428571"/>
    <x v="1"/>
    <x v="464"/>
    <x v="8"/>
    <s v="DELEGATE AGENCY"/>
    <s v="UNKNOWN"/>
    <x v="2"/>
  </r>
  <r>
    <n v="328281"/>
    <n v="69112513.5"/>
    <x v="2"/>
    <x v="2386"/>
    <x v="6"/>
    <s v="PRO SERV-AVIATION"/>
    <s v="CONTRACT ASSIGNMENT/TRANSFER"/>
    <x v="2"/>
  </r>
  <r>
    <n v="328283"/>
    <n v="75000"/>
    <x v="0"/>
    <x v="2441"/>
    <x v="9"/>
    <s v="COMPTROLLER-OTHER"/>
    <s v="UNKNOWN"/>
    <x v="2"/>
  </r>
  <r>
    <n v="328284"/>
    <n v="11445"/>
    <x v="1"/>
    <x v="41"/>
    <x v="8"/>
    <s v="DELEGATE AGENCY"/>
    <s v="UNKNOWN"/>
    <x v="2"/>
  </r>
  <r>
    <n v="328285"/>
    <n v="9183"/>
    <x v="4"/>
    <x v="42"/>
    <x v="8"/>
    <s v="DELEGATE AGENCY"/>
    <s v="UNKNOWN"/>
    <x v="2"/>
  </r>
  <r>
    <n v="328286"/>
    <n v="160000"/>
    <x v="3"/>
    <x v="2042"/>
    <x v="9"/>
    <s v="COMPTROLLER-OTHER"/>
    <s v="UNKNOWN"/>
    <x v="2"/>
  </r>
  <r>
    <n v="328289"/>
    <n v="22887"/>
    <x v="1"/>
    <x v="43"/>
    <x v="8"/>
    <s v="DELEGATE AGENCY"/>
    <s v="UNKNOWN"/>
    <x v="2"/>
  </r>
  <r>
    <n v="328292"/>
    <n v="140000"/>
    <x v="4"/>
    <x v="1353"/>
    <x v="9"/>
    <s v="COMPTROLLER-OTHER"/>
    <s v="UNKNOWN"/>
    <x v="2"/>
  </r>
  <r>
    <n v="328296"/>
    <n v="75000"/>
    <x v="1"/>
    <x v="2442"/>
    <x v="9"/>
    <s v="COMPTROLLER-OTHER"/>
    <s v="UNKNOWN"/>
    <x v="2"/>
  </r>
  <r>
    <n v="32835"/>
    <n v="57753.4"/>
    <x v="1"/>
    <x v="2443"/>
    <x v="6"/>
    <s v="CONSTRUCTION-AVIATION"/>
    <s v="BID"/>
    <x v="1"/>
  </r>
  <r>
    <n v="328450"/>
    <n v="260495"/>
    <x v="1"/>
    <x v="2300"/>
    <x v="8"/>
    <s v="DELEGATE AGENCY"/>
    <s v="UNKNOWN"/>
    <x v="2"/>
  </r>
  <r>
    <n v="328455"/>
    <n v="6000"/>
    <x v="2"/>
    <x v="2444"/>
    <x v="20"/>
    <s v="COMPTROLLER-OTHER"/>
    <s v="UNKNOWN"/>
    <x v="2"/>
  </r>
  <r>
    <n v="328457"/>
    <n v="5250"/>
    <x v="3"/>
    <x v="2445"/>
    <x v="20"/>
    <s v="COMPTROLLER-OTHER"/>
    <s v="UNKNOWN"/>
    <x v="2"/>
  </r>
  <r>
    <n v="328459"/>
    <n v="4000"/>
    <x v="3"/>
    <x v="2446"/>
    <x v="20"/>
    <s v="COMPTROLLER-OTHER"/>
    <s v="UNKNOWN"/>
    <x v="2"/>
  </r>
  <r>
    <n v="328461"/>
    <n v="3750"/>
    <x v="3"/>
    <x v="2447"/>
    <x v="20"/>
    <s v="COMPTROLLER-OTHER"/>
    <s v="UNKNOWN"/>
    <x v="2"/>
  </r>
  <r>
    <n v="328464"/>
    <n v="6000"/>
    <x v="3"/>
    <x v="2448"/>
    <x v="20"/>
    <s v="COMPTROLLER-OTHER"/>
    <s v="UNKNOWN"/>
    <x v="2"/>
  </r>
  <r>
    <n v="328465"/>
    <n v="3500"/>
    <x v="3"/>
    <x v="2449"/>
    <x v="20"/>
    <s v="COMPTROLLER-OTHER"/>
    <s v="UNKNOWN"/>
    <x v="2"/>
  </r>
  <r>
    <n v="328466"/>
    <n v="1500"/>
    <x v="3"/>
    <x v="2450"/>
    <x v="20"/>
    <s v="COMPTROLLER-OTHER"/>
    <s v="UNKNOWN"/>
    <x v="2"/>
  </r>
  <r>
    <n v="328467"/>
    <n v="49042"/>
    <x v="3"/>
    <x v="1005"/>
    <x v="8"/>
    <s v="DELEGATE AGENCY"/>
    <s v="UNKNOWN"/>
    <x v="2"/>
  </r>
  <r>
    <n v="328468"/>
    <n v="14713"/>
    <x v="4"/>
    <x v="44"/>
    <x v="8"/>
    <s v="DELEGATE AGENCY"/>
    <s v="UNKNOWN"/>
    <x v="2"/>
  </r>
  <r>
    <n v="328469"/>
    <n v="6000"/>
    <x v="4"/>
    <x v="2451"/>
    <x v="20"/>
    <s v="COMPTROLLER-OTHER"/>
    <s v="UNKNOWN"/>
    <x v="2"/>
  </r>
  <r>
    <n v="328470"/>
    <n v="6000"/>
    <x v="3"/>
    <x v="2452"/>
    <x v="20"/>
    <s v="COMPTROLLER-OTHER"/>
    <s v="UNKNOWN"/>
    <x v="2"/>
  </r>
  <r>
    <n v="328472"/>
    <n v="6000"/>
    <x v="3"/>
    <x v="2453"/>
    <x v="20"/>
    <s v="COMPTROLLER-OTHER"/>
    <s v="UNKNOWN"/>
    <x v="2"/>
  </r>
  <r>
    <n v="328482"/>
    <n v="112500"/>
    <x v="3"/>
    <x v="564"/>
    <x v="8"/>
    <s v="DELEGATE AGENCY"/>
    <s v="RFP"/>
    <x v="2"/>
  </r>
  <r>
    <n v="328483"/>
    <n v="273598"/>
    <x v="1"/>
    <x v="565"/>
    <x v="8"/>
    <s v="DELEGATE AGENCY"/>
    <s v="RFP"/>
    <x v="2"/>
  </r>
  <r>
    <n v="328680"/>
    <n v="851808"/>
    <x v="2"/>
    <x v="101"/>
    <x v="12"/>
    <s v="DELEGATE AGENCY"/>
    <s v="UNKNOWN"/>
    <x v="2"/>
  </r>
  <r>
    <n v="328681"/>
    <n v="100000"/>
    <x v="2"/>
    <x v="563"/>
    <x v="8"/>
    <s v="DELEGATE AGENCY"/>
    <s v="UNKNOWN"/>
    <x v="2"/>
  </r>
  <r>
    <n v="328682"/>
    <n v="108000"/>
    <x v="1"/>
    <x v="243"/>
    <x v="12"/>
    <s v="DELEGATE AGENCY"/>
    <s v="UNKNOWN"/>
    <x v="2"/>
  </r>
  <r>
    <n v="328683"/>
    <n v="1250480"/>
    <x v="1"/>
    <x v="74"/>
    <x v="12"/>
    <s v="DELEGATE AGENCY"/>
    <s v="UNKNOWN"/>
    <x v="2"/>
  </r>
  <r>
    <n v="328722"/>
    <n v="254048"/>
    <x v="0"/>
    <x v="96"/>
    <x v="12"/>
    <s v="DELEGATE AGENCY"/>
    <s v="UNKNOWN"/>
    <x v="2"/>
  </r>
  <r>
    <n v="328724"/>
    <n v="226800"/>
    <x v="2"/>
    <x v="243"/>
    <x v="12"/>
    <s v="DELEGATE AGENCY"/>
    <s v="UNKNOWN"/>
    <x v="2"/>
  </r>
  <r>
    <n v="328725"/>
    <n v="1136800"/>
    <x v="1"/>
    <x v="101"/>
    <x v="12"/>
    <s v="DELEGATE AGENCY"/>
    <s v="UNKNOWN"/>
    <x v="2"/>
  </r>
  <r>
    <n v="328726"/>
    <n v="795760"/>
    <x v="0"/>
    <x v="96"/>
    <x v="12"/>
    <s v="DELEGATE AGENCY"/>
    <s v="UNKNOWN"/>
    <x v="2"/>
  </r>
  <r>
    <n v="328729"/>
    <n v="16347"/>
    <x v="2"/>
    <x v="46"/>
    <x v="8"/>
    <s v="DELEGATE AGENCY"/>
    <s v="UNKNOWN"/>
    <x v="2"/>
  </r>
  <r>
    <n v="328730"/>
    <n v="90477"/>
    <x v="4"/>
    <x v="40"/>
    <x v="8"/>
    <s v="DELEGATE AGENCY"/>
    <s v="UNKNOWN"/>
    <x v="2"/>
  </r>
  <r>
    <n v="328742"/>
    <n v="1345230"/>
    <x v="1"/>
    <x v="306"/>
    <x v="12"/>
    <s v="DELEGATE AGENCY"/>
    <s v="UNKNOWN"/>
    <x v="2"/>
  </r>
  <r>
    <n v="32877"/>
    <n v="4220873.2"/>
    <x v="0"/>
    <x v="2454"/>
    <x v="3"/>
    <s v="VEHICLES/HEAVY EQUIPMENT (CAPITAL)"/>
    <s v="BID"/>
    <x v="2"/>
  </r>
  <r>
    <n v="328775"/>
    <n v="47408"/>
    <x v="0"/>
    <x v="27"/>
    <x v="8"/>
    <s v="DELEGATE AGENCY"/>
    <s v="UNKNOWN"/>
    <x v="2"/>
  </r>
  <r>
    <n v="328776"/>
    <n v="126111"/>
    <x v="4"/>
    <x v="404"/>
    <x v="8"/>
    <s v="DELEGATE AGENCY"/>
    <s v="UNKNOWN"/>
    <x v="2"/>
  </r>
  <r>
    <n v="328777"/>
    <n v="145833"/>
    <x v="1"/>
    <x v="19"/>
    <x v="8"/>
    <s v="DELEGATE AGENCY"/>
    <s v="UNKNOWN"/>
    <x v="2"/>
  </r>
  <r>
    <n v="328877"/>
    <n v="75000"/>
    <x v="1"/>
    <x v="1350"/>
    <x v="20"/>
    <s v="COMPTROLLER-OTHER"/>
    <s v="UNKNOWN"/>
    <x v="2"/>
  </r>
  <r>
    <n v="328900"/>
    <n v="1316304.6000000001"/>
    <x v="1"/>
    <x v="1136"/>
    <x v="16"/>
    <s v="COMPTROLLER-OTHER"/>
    <s v="UNKNOWN"/>
    <x v="2"/>
  </r>
  <r>
    <n v="328908"/>
    <n v="6000"/>
    <x v="0"/>
    <x v="2455"/>
    <x v="20"/>
    <s v="COMPTROLLER-OTHER"/>
    <s v="UNKNOWN"/>
    <x v="2"/>
  </r>
  <r>
    <n v="328917"/>
    <n v="6000"/>
    <x v="3"/>
    <x v="2456"/>
    <x v="20"/>
    <s v="COMPTROLLER-OTHER"/>
    <s v="UNKNOWN"/>
    <x v="2"/>
  </r>
  <r>
    <n v="328926"/>
    <n v="6000"/>
    <x v="3"/>
    <x v="2457"/>
    <x v="20"/>
    <s v="COMPTROLLER-OTHER"/>
    <s v="UNKNOWN"/>
    <x v="2"/>
  </r>
  <r>
    <n v="328928"/>
    <n v="6000"/>
    <x v="3"/>
    <x v="2458"/>
    <x v="20"/>
    <s v="COMPTROLLER-OTHER"/>
    <s v="UNKNOWN"/>
    <x v="2"/>
  </r>
  <r>
    <n v="328936"/>
    <n v="3500"/>
    <x v="3"/>
    <x v="2459"/>
    <x v="20"/>
    <s v="COMPTROLLER-OTHER"/>
    <s v="UNKNOWN"/>
    <x v="2"/>
  </r>
  <r>
    <n v="328940"/>
    <n v="1000"/>
    <x v="3"/>
    <x v="2460"/>
    <x v="20"/>
    <s v="COMPTROLLER-OTHER"/>
    <s v="UNKNOWN"/>
    <x v="2"/>
  </r>
  <r>
    <n v="328945"/>
    <n v="5000"/>
    <x v="3"/>
    <x v="2461"/>
    <x v="20"/>
    <s v="COMPTROLLER-OTHER"/>
    <s v="UNKNOWN"/>
    <x v="2"/>
  </r>
  <r>
    <n v="328967"/>
    <n v="6000"/>
    <x v="3"/>
    <x v="2462"/>
    <x v="20"/>
    <s v="COMPTROLLER-OTHER"/>
    <s v="UNKNOWN"/>
    <x v="2"/>
  </r>
  <r>
    <n v="328968"/>
    <n v="6000"/>
    <x v="3"/>
    <x v="2463"/>
    <x v="20"/>
    <s v="COMPTROLLER-OTHER"/>
    <s v="UNKNOWN"/>
    <x v="2"/>
  </r>
  <r>
    <n v="328970"/>
    <n v="3250"/>
    <x v="3"/>
    <x v="2464"/>
    <x v="20"/>
    <s v="COMPTROLLER-OTHER"/>
    <s v="UNKNOWN"/>
    <x v="2"/>
  </r>
  <r>
    <n v="328972"/>
    <n v="6000"/>
    <x v="3"/>
    <x v="2465"/>
    <x v="20"/>
    <s v="COMPTROLLER-OTHER"/>
    <s v="UNKNOWN"/>
    <x v="2"/>
  </r>
  <r>
    <n v="328974"/>
    <n v="3500"/>
    <x v="3"/>
    <x v="2466"/>
    <x v="20"/>
    <s v="COMPTROLLER-OTHER"/>
    <s v="UNKNOWN"/>
    <x v="2"/>
  </r>
  <r>
    <n v="32900"/>
    <n v="4354133.4000000004"/>
    <x v="3"/>
    <x v="178"/>
    <x v="13"/>
    <s v="WORK SERVICES / FACILITIES MAINT."/>
    <s v="BID"/>
    <x v="0"/>
  </r>
  <r>
    <n v="329003"/>
    <n v="75000"/>
    <x v="0"/>
    <x v="1005"/>
    <x v="8"/>
    <s v="DELEGATE AGENCY"/>
    <s v="UNKNOWN"/>
    <x v="2"/>
  </r>
  <r>
    <n v="329004"/>
    <n v="200000"/>
    <x v="1"/>
    <x v="1005"/>
    <x v="8"/>
    <s v="DELEGATE AGENCY"/>
    <s v="UNKNOWN"/>
    <x v="2"/>
  </r>
  <r>
    <n v="329018"/>
    <n v="28333"/>
    <x v="1"/>
    <x v="91"/>
    <x v="12"/>
    <s v="DELEGATE AGENCY"/>
    <s v="UNKNOWN"/>
    <x v="2"/>
  </r>
  <r>
    <n v="329021"/>
    <n v="268992"/>
    <x v="4"/>
    <x v="84"/>
    <x v="12"/>
    <s v="DELEGATE AGENCY"/>
    <s v="UNKNOWN"/>
    <x v="2"/>
  </r>
  <r>
    <n v="32909"/>
    <n v="838783.5"/>
    <x v="2"/>
    <x v="1978"/>
    <x v="15"/>
    <s v="WORK SERVICES / FACILITIES MAINT."/>
    <s v="BID"/>
    <x v="0"/>
  </r>
  <r>
    <n v="329094"/>
    <n v="5300000"/>
    <x v="2"/>
    <x v="145"/>
    <x v="2"/>
    <s v="COMPTROLLER-OTHER"/>
    <s v="UNKNOWN"/>
    <x v="2"/>
  </r>
  <r>
    <n v="329137"/>
    <n v="3000000"/>
    <x v="0"/>
    <x v="2467"/>
    <x v="2"/>
    <s v="COMPTROLLER-OTHER"/>
    <s v="UNKNOWN"/>
    <x v="2"/>
  </r>
  <r>
    <n v="329142"/>
    <n v="6000"/>
    <x v="0"/>
    <x v="2468"/>
    <x v="20"/>
    <s v="COMPTROLLER-OTHER"/>
    <s v="UNKNOWN"/>
    <x v="2"/>
  </r>
  <r>
    <n v="329143"/>
    <n v="6000"/>
    <x v="3"/>
    <x v="1588"/>
    <x v="20"/>
    <s v="COMPTROLLER-OTHER"/>
    <s v="UNKNOWN"/>
    <x v="2"/>
  </r>
  <r>
    <n v="329147"/>
    <n v="300000"/>
    <x v="3"/>
    <x v="156"/>
    <x v="2"/>
    <s v="COMPTROLLER-OTHER"/>
    <s v="UNKNOWN"/>
    <x v="2"/>
  </r>
  <r>
    <n v="329150"/>
    <n v="6000"/>
    <x v="2"/>
    <x v="2469"/>
    <x v="20"/>
    <s v="COMPTROLLER-OTHER"/>
    <s v="UNKNOWN"/>
    <x v="2"/>
  </r>
  <r>
    <n v="329158"/>
    <n v="275000"/>
    <x v="3"/>
    <x v="204"/>
    <x v="8"/>
    <s v="DELEGATE AGENCY"/>
    <s v="RFP"/>
    <x v="2"/>
  </r>
  <r>
    <n v="32916"/>
    <n v="15421430.4"/>
    <x v="2"/>
    <x v="2470"/>
    <x v="3"/>
    <s v="VEHICLES/HEAVY EQUIPMENT (CAPITAL)"/>
    <s v="BID"/>
    <x v="1"/>
  </r>
  <r>
    <n v="329215"/>
    <n v="275000"/>
    <x v="0"/>
    <x v="204"/>
    <x v="8"/>
    <s v="DELEGATE AGENCY"/>
    <s v="UNKNOWN"/>
    <x v="2"/>
  </r>
  <r>
    <n v="329217"/>
    <n v="6000"/>
    <x v="2"/>
    <x v="2471"/>
    <x v="20"/>
    <s v="COMPTROLLER-OTHER"/>
    <s v="UNKNOWN"/>
    <x v="2"/>
  </r>
  <r>
    <n v="329220"/>
    <n v="840000"/>
    <x v="3"/>
    <x v="730"/>
    <x v="12"/>
    <s v="DELEGATE AGENCY"/>
    <s v="UNKNOWN"/>
    <x v="2"/>
  </r>
  <r>
    <n v="329221"/>
    <n v="4000"/>
    <x v="2"/>
    <x v="2472"/>
    <x v="20"/>
    <s v="COMPTROLLER-OTHER"/>
    <s v="UNKNOWN"/>
    <x v="2"/>
  </r>
  <r>
    <n v="329223"/>
    <n v="6000"/>
    <x v="3"/>
    <x v="2473"/>
    <x v="20"/>
    <s v="COMPTROLLER-OTHER"/>
    <s v="UNKNOWN"/>
    <x v="2"/>
  </r>
  <r>
    <n v="329227"/>
    <n v="840000"/>
    <x v="3"/>
    <x v="728"/>
    <x v="12"/>
    <s v="DELEGATE AGENCY"/>
    <s v="RFP"/>
    <x v="2"/>
  </r>
  <r>
    <n v="329228"/>
    <n v="450000"/>
    <x v="2"/>
    <x v="236"/>
    <x v="2"/>
    <s v="COMPTROLLER-OTHER"/>
    <s v="UNKNOWN"/>
    <x v="2"/>
  </r>
  <r>
    <n v="329233"/>
    <n v="840000"/>
    <x v="2"/>
    <x v="388"/>
    <x v="12"/>
    <s v="DELEGATE AGENCY"/>
    <s v="UNKNOWN"/>
    <x v="2"/>
  </r>
  <r>
    <n v="329234"/>
    <n v="70188.7"/>
    <x v="2"/>
    <x v="1187"/>
    <x v="2"/>
    <s v="COMPTROLLER-OTHER"/>
    <s v="UNKNOWN"/>
    <x v="2"/>
  </r>
  <r>
    <n v="329239"/>
    <n v="250000"/>
    <x v="1"/>
    <x v="2474"/>
    <x v="2"/>
    <s v="COMPTROLLER-OTHER"/>
    <s v="UNKNOWN"/>
    <x v="2"/>
  </r>
  <r>
    <n v="329240"/>
    <n v="7100000"/>
    <x v="2"/>
    <x v="156"/>
    <x v="2"/>
    <s v="COMPTROLLER-OTHER"/>
    <s v="UNKNOWN"/>
    <x v="2"/>
  </r>
  <r>
    <n v="329241"/>
    <n v="3000000"/>
    <x v="0"/>
    <x v="2475"/>
    <x v="2"/>
    <s v="COMPTROLLER-OTHER"/>
    <s v="UNKNOWN"/>
    <x v="2"/>
  </r>
  <r>
    <n v="329242"/>
    <n v="3000000"/>
    <x v="0"/>
    <x v="2476"/>
    <x v="2"/>
    <s v="COMPTROLLER-OTHER"/>
    <s v="UNKNOWN"/>
    <x v="2"/>
  </r>
  <r>
    <n v="329244"/>
    <n v="3000000"/>
    <x v="0"/>
    <x v="2477"/>
    <x v="2"/>
    <s v="COMPTROLLER-OTHER"/>
    <s v="UNKNOWN"/>
    <x v="2"/>
  </r>
  <r>
    <n v="329283"/>
    <n v="3000000"/>
    <x v="0"/>
    <x v="1985"/>
    <x v="2"/>
    <s v="COMPTROLLER-OTHER"/>
    <s v="UNKNOWN"/>
    <x v="2"/>
  </r>
  <r>
    <n v="329285"/>
    <n v="3000000"/>
    <x v="0"/>
    <x v="1392"/>
    <x v="2"/>
    <s v="COMPTROLLER-OTHER"/>
    <s v="UNKNOWN"/>
    <x v="2"/>
  </r>
  <r>
    <n v="329291"/>
    <n v="34350"/>
    <x v="0"/>
    <x v="1395"/>
    <x v="2"/>
    <s v="COMPTROLLER-OTHER"/>
    <s v="UNKNOWN"/>
    <x v="2"/>
  </r>
  <r>
    <n v="329296"/>
    <n v="3000000"/>
    <x v="4"/>
    <x v="1986"/>
    <x v="2"/>
    <s v="COMPTROLLER-OTHER"/>
    <s v="UNKNOWN"/>
    <x v="2"/>
  </r>
  <r>
    <n v="329302"/>
    <n v="150000"/>
    <x v="0"/>
    <x v="145"/>
    <x v="20"/>
    <s v="COMPTROLLER-OTHER"/>
    <s v="UNKNOWN"/>
    <x v="2"/>
  </r>
  <r>
    <n v="329303"/>
    <n v="250000"/>
    <x v="1"/>
    <x v="2478"/>
    <x v="2"/>
    <s v="COMPTROLLER-OTHER"/>
    <s v="UNKNOWN"/>
    <x v="2"/>
  </r>
  <r>
    <n v="329304"/>
    <n v="6000"/>
    <x v="2"/>
    <x v="2479"/>
    <x v="20"/>
    <s v="COMPTROLLER-OTHER"/>
    <s v="UNKNOWN"/>
    <x v="2"/>
  </r>
  <r>
    <n v="32931"/>
    <n v="2482159"/>
    <x v="3"/>
    <x v="1034"/>
    <x v="6"/>
    <s v="COMPTROLLER-OTHER"/>
    <s v="UNKNOWN"/>
    <x v="2"/>
  </r>
  <r>
    <n v="329389"/>
    <n v="2060000"/>
    <x v="0"/>
    <x v="19"/>
    <x v="1"/>
    <s v="DELEGATE AGENCY"/>
    <s v="UNKNOWN"/>
    <x v="2"/>
  </r>
  <r>
    <n v="329390"/>
    <n v="180000"/>
    <x v="0"/>
    <x v="42"/>
    <x v="8"/>
    <s v="DELEGATE AGENCY"/>
    <s v="RFP"/>
    <x v="2"/>
  </r>
  <r>
    <n v="329391"/>
    <n v="278742"/>
    <x v="1"/>
    <x v="38"/>
    <x v="8"/>
    <s v="DELEGATE AGENCY"/>
    <s v="RFP"/>
    <x v="2"/>
  </r>
  <r>
    <n v="329392"/>
    <n v="305060"/>
    <x v="2"/>
    <x v="28"/>
    <x v="8"/>
    <s v="DELEGATE AGENCY"/>
    <s v="RFP"/>
    <x v="2"/>
  </r>
  <r>
    <n v="329393"/>
    <n v="2330048.7000000002"/>
    <x v="2"/>
    <x v="41"/>
    <x v="8"/>
    <s v="DELEGATE AGENCY"/>
    <s v="RFP"/>
    <x v="2"/>
  </r>
  <r>
    <n v="329395"/>
    <n v="14000000"/>
    <x v="0"/>
    <x v="39"/>
    <x v="8"/>
    <s v="DELEGATE AGENCY"/>
    <s v="RFP"/>
    <x v="2"/>
  </r>
  <r>
    <n v="329396"/>
    <n v="533000"/>
    <x v="0"/>
    <x v="318"/>
    <x v="8"/>
    <s v="DELEGATE AGENCY"/>
    <s v="RFP"/>
    <x v="2"/>
  </r>
  <r>
    <n v="329397"/>
    <n v="1215614"/>
    <x v="2"/>
    <x v="47"/>
    <x v="8"/>
    <s v="DELEGATE AGENCY"/>
    <s v="RFP"/>
    <x v="2"/>
  </r>
  <r>
    <n v="329398"/>
    <n v="360072"/>
    <x v="0"/>
    <x v="24"/>
    <x v="8"/>
    <s v="DELEGATE AGENCY"/>
    <s v="RFP"/>
    <x v="2"/>
  </r>
  <r>
    <n v="329399"/>
    <n v="4901983.0999999996"/>
    <x v="2"/>
    <x v="43"/>
    <x v="8"/>
    <s v="DELEGATE AGENCY"/>
    <s v="RFP"/>
    <x v="2"/>
  </r>
  <r>
    <n v="329400"/>
    <n v="5074281"/>
    <x v="0"/>
    <x v="44"/>
    <x v="8"/>
    <s v="DELEGATE AGENCY"/>
    <s v="RFP"/>
    <x v="2"/>
  </r>
  <r>
    <n v="329401"/>
    <n v="1000000"/>
    <x v="0"/>
    <x v="404"/>
    <x v="1"/>
    <s v="DELEGATE AGENCY"/>
    <s v="UNKNOWN"/>
    <x v="2"/>
  </r>
  <r>
    <n v="329405"/>
    <n v="8759725"/>
    <x v="0"/>
    <x v="27"/>
    <x v="8"/>
    <s v="DELEGATE AGENCY"/>
    <s v="RFP"/>
    <x v="2"/>
  </r>
  <r>
    <n v="329408"/>
    <n v="6000"/>
    <x v="0"/>
    <x v="2480"/>
    <x v="20"/>
    <s v="COMPTROLLER-OTHER"/>
    <s v="UNKNOWN"/>
    <x v="2"/>
  </r>
  <r>
    <n v="329409"/>
    <n v="6000"/>
    <x v="3"/>
    <x v="2481"/>
    <x v="20"/>
    <s v="COMPTROLLER-OTHER"/>
    <s v="UNKNOWN"/>
    <x v="2"/>
  </r>
  <r>
    <n v="329412"/>
    <n v="6000"/>
    <x v="3"/>
    <x v="2482"/>
    <x v="20"/>
    <s v="COMPTROLLER-OTHER"/>
    <s v="UNKNOWN"/>
    <x v="2"/>
  </r>
  <r>
    <n v="329413"/>
    <n v="4800"/>
    <x v="3"/>
    <x v="2483"/>
    <x v="20"/>
    <s v="COMPTROLLER-OTHER"/>
    <s v="UNKNOWN"/>
    <x v="2"/>
  </r>
  <r>
    <n v="329415"/>
    <n v="6000"/>
    <x v="3"/>
    <x v="2484"/>
    <x v="20"/>
    <s v="COMPTROLLER-OTHER"/>
    <s v="UNKNOWN"/>
    <x v="2"/>
  </r>
  <r>
    <n v="329422"/>
    <n v="6000"/>
    <x v="3"/>
    <x v="2485"/>
    <x v="20"/>
    <s v="COMPTROLLER-OTHER"/>
    <s v="UNKNOWN"/>
    <x v="2"/>
  </r>
  <r>
    <n v="329425"/>
    <n v="6000"/>
    <x v="3"/>
    <x v="2486"/>
    <x v="20"/>
    <s v="COMPTROLLER-OTHER"/>
    <s v="UNKNOWN"/>
    <x v="2"/>
  </r>
  <r>
    <n v="329432"/>
    <n v="6000"/>
    <x v="3"/>
    <x v="2487"/>
    <x v="20"/>
    <s v="COMPTROLLER-OTHER"/>
    <s v="UNKNOWN"/>
    <x v="2"/>
  </r>
  <r>
    <n v="329433"/>
    <n v="8989068"/>
    <x v="3"/>
    <x v="57"/>
    <x v="12"/>
    <s v="DELEGATE AGENCY"/>
    <s v="UNKNOWN"/>
    <x v="2"/>
  </r>
  <r>
    <n v="329434"/>
    <n v="6000"/>
    <x v="0"/>
    <x v="2488"/>
    <x v="20"/>
    <s v="COMPTROLLER-OTHER"/>
    <s v="UNKNOWN"/>
    <x v="2"/>
  </r>
  <r>
    <n v="329436"/>
    <n v="6000"/>
    <x v="3"/>
    <x v="2489"/>
    <x v="20"/>
    <s v="COMPTROLLER-OTHER"/>
    <s v="UNKNOWN"/>
    <x v="2"/>
  </r>
  <r>
    <n v="329437"/>
    <n v="25280897"/>
    <x v="3"/>
    <x v="78"/>
    <x v="12"/>
    <s v="DELEGATE AGENCY"/>
    <s v="UNKNOWN"/>
    <x v="2"/>
  </r>
  <r>
    <n v="329438"/>
    <n v="6000"/>
    <x v="0"/>
    <x v="2490"/>
    <x v="20"/>
    <s v="COMPTROLLER-OTHER"/>
    <s v="UNKNOWN"/>
    <x v="2"/>
  </r>
  <r>
    <n v="329453"/>
    <n v="52502583"/>
    <x v="3"/>
    <x v="57"/>
    <x v="12"/>
    <s v="DELEGATE AGENCY"/>
    <s v="UNKNOWN"/>
    <x v="2"/>
  </r>
  <r>
    <n v="329457"/>
    <n v="6000"/>
    <x v="0"/>
    <x v="2491"/>
    <x v="20"/>
    <s v="COMPTROLLER-OTHER"/>
    <s v="UNKNOWN"/>
    <x v="2"/>
  </r>
  <r>
    <n v="329459"/>
    <n v="6000"/>
    <x v="3"/>
    <x v="2492"/>
    <x v="20"/>
    <s v="COMPTROLLER-OTHER"/>
    <s v="UNKNOWN"/>
    <x v="2"/>
  </r>
  <r>
    <n v="329460"/>
    <n v="6000"/>
    <x v="3"/>
    <x v="1562"/>
    <x v="20"/>
    <s v="COMPTROLLER-OTHER"/>
    <s v="UNKNOWN"/>
    <x v="2"/>
  </r>
  <r>
    <n v="329461"/>
    <n v="4500"/>
    <x v="3"/>
    <x v="2493"/>
    <x v="20"/>
    <s v="COMPTROLLER-OTHER"/>
    <s v="UNKNOWN"/>
    <x v="2"/>
  </r>
  <r>
    <n v="329462"/>
    <n v="6000"/>
    <x v="3"/>
    <x v="2494"/>
    <x v="20"/>
    <s v="COMPTROLLER-OTHER"/>
    <s v="UNKNOWN"/>
    <x v="2"/>
  </r>
  <r>
    <n v="329463"/>
    <n v="6000"/>
    <x v="3"/>
    <x v="2495"/>
    <x v="20"/>
    <s v="COMPTROLLER-OTHER"/>
    <s v="UNKNOWN"/>
    <x v="2"/>
  </r>
  <r>
    <n v="329465"/>
    <n v="6000"/>
    <x v="3"/>
    <x v="2496"/>
    <x v="20"/>
    <s v="COMPTROLLER-OTHER"/>
    <s v="UNKNOWN"/>
    <x v="2"/>
  </r>
  <r>
    <n v="329466"/>
    <n v="2750"/>
    <x v="3"/>
    <x v="2497"/>
    <x v="20"/>
    <s v="COMPTROLLER-OTHER"/>
    <s v="UNKNOWN"/>
    <x v="2"/>
  </r>
  <r>
    <n v="329467"/>
    <n v="12650640"/>
    <x v="3"/>
    <x v="58"/>
    <x v="12"/>
    <s v="DELEGATE AGENCY"/>
    <s v="UNKNOWN"/>
    <x v="2"/>
  </r>
  <r>
    <n v="329468"/>
    <n v="3798137"/>
    <x v="0"/>
    <x v="78"/>
    <x v="12"/>
    <s v="DELEGATE AGENCY"/>
    <s v="UNKNOWN"/>
    <x v="2"/>
  </r>
  <r>
    <n v="329469"/>
    <n v="6000"/>
    <x v="0"/>
    <x v="1761"/>
    <x v="20"/>
    <s v="COMPTROLLER-OTHER"/>
    <s v="UNKNOWN"/>
    <x v="2"/>
  </r>
  <r>
    <n v="329470"/>
    <n v="6000"/>
    <x v="3"/>
    <x v="2498"/>
    <x v="20"/>
    <s v="COMPTROLLER-OTHER"/>
    <s v="UNKNOWN"/>
    <x v="2"/>
  </r>
  <r>
    <n v="329472"/>
    <n v="6000"/>
    <x v="3"/>
    <x v="2499"/>
    <x v="20"/>
    <s v="COMPTROLLER-OTHER"/>
    <s v="UNKNOWN"/>
    <x v="2"/>
  </r>
  <r>
    <n v="329473"/>
    <n v="6000"/>
    <x v="3"/>
    <x v="2500"/>
    <x v="20"/>
    <s v="COMPTROLLER-OTHER"/>
    <s v="UNKNOWN"/>
    <x v="2"/>
  </r>
  <r>
    <n v="329474"/>
    <n v="19165710"/>
    <x v="3"/>
    <x v="23"/>
    <x v="12"/>
    <s v="DELEGATE AGENCY"/>
    <s v="UNKNOWN"/>
    <x v="2"/>
  </r>
  <r>
    <n v="329476"/>
    <n v="1650"/>
    <x v="0"/>
    <x v="2501"/>
    <x v="20"/>
    <s v="COMPTROLLER-OTHER"/>
    <s v="UNKNOWN"/>
    <x v="2"/>
  </r>
  <r>
    <n v="329482"/>
    <n v="5000"/>
    <x v="3"/>
    <x v="2502"/>
    <x v="20"/>
    <s v="COMPTROLLER-OTHER"/>
    <s v="UNKNOWN"/>
    <x v="2"/>
  </r>
  <r>
    <n v="329484"/>
    <n v="22576260"/>
    <x v="3"/>
    <x v="59"/>
    <x v="12"/>
    <s v="DELEGATE AGENCY"/>
    <s v="UNKNOWN"/>
    <x v="2"/>
  </r>
  <r>
    <n v="329485"/>
    <n v="6000"/>
    <x v="0"/>
    <x v="2503"/>
    <x v="20"/>
    <s v="COMPTROLLER-OTHER"/>
    <s v="UNKNOWN"/>
    <x v="2"/>
  </r>
  <r>
    <n v="329486"/>
    <n v="16220353"/>
    <x v="3"/>
    <x v="77"/>
    <x v="12"/>
    <s v="DELEGATE AGENCY"/>
    <s v="UNKNOWN"/>
    <x v="2"/>
  </r>
  <r>
    <n v="329491"/>
    <n v="6000"/>
    <x v="0"/>
    <x v="2504"/>
    <x v="20"/>
    <s v="COMPTROLLER-OTHER"/>
    <s v="UNKNOWN"/>
    <x v="2"/>
  </r>
  <r>
    <n v="329498"/>
    <n v="6000"/>
    <x v="3"/>
    <x v="2505"/>
    <x v="20"/>
    <s v="COMPTROLLER-OTHER"/>
    <s v="UNKNOWN"/>
    <x v="2"/>
  </r>
  <r>
    <n v="329499"/>
    <n v="20236735"/>
    <x v="3"/>
    <x v="76"/>
    <x v="12"/>
    <s v="DELEGATE AGENCY"/>
    <s v="UNKNOWN"/>
    <x v="2"/>
  </r>
  <r>
    <n v="329501"/>
    <n v="7101860"/>
    <x v="0"/>
    <x v="75"/>
    <x v="12"/>
    <s v="DELEGATE AGENCY"/>
    <s v="UNKNOWN"/>
    <x v="2"/>
  </r>
  <r>
    <n v="329505"/>
    <n v="12178257"/>
    <x v="0"/>
    <x v="60"/>
    <x v="12"/>
    <s v="DELEGATE AGENCY"/>
    <s v="UNKNOWN"/>
    <x v="2"/>
  </r>
  <r>
    <n v="329507"/>
    <n v="35458851"/>
    <x v="0"/>
    <x v="61"/>
    <x v="12"/>
    <s v="DELEGATE AGENCY"/>
    <s v="UNKNOWN"/>
    <x v="2"/>
  </r>
  <r>
    <n v="329508"/>
    <n v="25034037"/>
    <x v="0"/>
    <x v="74"/>
    <x v="12"/>
    <s v="DELEGATE AGENCY"/>
    <s v="UNKNOWN"/>
    <x v="2"/>
  </r>
  <r>
    <n v="329511"/>
    <n v="15188364"/>
    <x v="0"/>
    <x v="127"/>
    <x v="12"/>
    <s v="DELEGATE AGENCY"/>
    <s v="UNKNOWN"/>
    <x v="2"/>
  </r>
  <r>
    <n v="329514"/>
    <n v="6990684"/>
    <x v="0"/>
    <x v="126"/>
    <x v="12"/>
    <s v="DELEGATE AGENCY"/>
    <s v="UNKNOWN"/>
    <x v="2"/>
  </r>
  <r>
    <n v="329515"/>
    <n v="3381847"/>
    <x v="0"/>
    <x v="62"/>
    <x v="12"/>
    <s v="DELEGATE AGENCY"/>
    <s v="UNKNOWN"/>
    <x v="2"/>
  </r>
  <r>
    <n v="329523"/>
    <n v="8201435"/>
    <x v="0"/>
    <x v="72"/>
    <x v="12"/>
    <s v="DELEGATE AGENCY"/>
    <s v="UNKNOWN"/>
    <x v="2"/>
  </r>
  <r>
    <n v="329525"/>
    <n v="2992708"/>
    <x v="0"/>
    <x v="71"/>
    <x v="12"/>
    <s v="DELEGATE AGENCY"/>
    <s v="UNKNOWN"/>
    <x v="2"/>
  </r>
  <r>
    <n v="329526"/>
    <n v="43079925"/>
    <x v="0"/>
    <x v="70"/>
    <x v="12"/>
    <s v="DELEGATE AGENCY"/>
    <s v="UNKNOWN"/>
    <x v="2"/>
  </r>
  <r>
    <n v="329528"/>
    <n v="35219648"/>
    <x v="0"/>
    <x v="69"/>
    <x v="12"/>
    <s v="DELEGATE AGENCY"/>
    <s v="UNKNOWN"/>
    <x v="2"/>
  </r>
  <r>
    <n v="329530"/>
    <n v="27091271"/>
    <x v="0"/>
    <x v="67"/>
    <x v="12"/>
    <s v="DELEGATE AGENCY"/>
    <s v="UNKNOWN"/>
    <x v="2"/>
  </r>
  <r>
    <n v="329593"/>
    <n v="268992"/>
    <x v="0"/>
    <x v="104"/>
    <x v="12"/>
    <s v="DELEGATE AGENCY"/>
    <s v="UNKNOWN"/>
    <x v="2"/>
  </r>
  <r>
    <n v="329594"/>
    <n v="682080"/>
    <x v="2"/>
    <x v="93"/>
    <x v="12"/>
    <s v="DELEGATE AGENCY"/>
    <s v="UNKNOWN"/>
    <x v="2"/>
  </r>
  <r>
    <n v="329596"/>
    <n v="508096"/>
    <x v="2"/>
    <x v="86"/>
    <x v="12"/>
    <s v="DELEGATE AGENCY"/>
    <s v="UNKNOWN"/>
    <x v="2"/>
  </r>
  <r>
    <n v="329597"/>
    <n v="227360"/>
    <x v="2"/>
    <x v="86"/>
    <x v="12"/>
    <s v="DELEGATE AGENCY"/>
    <s v="UNKNOWN"/>
    <x v="2"/>
  </r>
  <r>
    <n v="329624"/>
    <n v="4725"/>
    <x v="1"/>
    <x v="2506"/>
    <x v="20"/>
    <s v="COMPTROLLER-OTHER"/>
    <s v="UNKNOWN"/>
    <x v="2"/>
  </r>
  <r>
    <n v="329625"/>
    <n v="6000"/>
    <x v="3"/>
    <x v="2507"/>
    <x v="20"/>
    <s v="COMPTROLLER-OTHER"/>
    <s v="UNKNOWN"/>
    <x v="2"/>
  </r>
  <r>
    <n v="329626"/>
    <n v="6000"/>
    <x v="3"/>
    <x v="2508"/>
    <x v="20"/>
    <s v="COMPTROLLER-OTHER"/>
    <s v="UNKNOWN"/>
    <x v="2"/>
  </r>
  <r>
    <n v="329627"/>
    <n v="6000"/>
    <x v="3"/>
    <x v="2509"/>
    <x v="20"/>
    <s v="COMPTROLLER-OTHER"/>
    <s v="UNKNOWN"/>
    <x v="2"/>
  </r>
  <r>
    <n v="329628"/>
    <n v="61852"/>
    <x v="3"/>
    <x v="1210"/>
    <x v="20"/>
    <s v="COMPTROLLER-OTHER"/>
    <s v="UNKNOWN"/>
    <x v="2"/>
  </r>
  <r>
    <n v="329629"/>
    <n v="5500"/>
    <x v="1"/>
    <x v="2510"/>
    <x v="20"/>
    <s v="COMPTROLLER-OTHER"/>
    <s v="UNKNOWN"/>
    <x v="2"/>
  </r>
  <r>
    <n v="329630"/>
    <n v="6000"/>
    <x v="3"/>
    <x v="2511"/>
    <x v="20"/>
    <s v="COMPTROLLER-OTHER"/>
    <s v="UNKNOWN"/>
    <x v="2"/>
  </r>
  <r>
    <n v="329631"/>
    <n v="304265"/>
    <x v="3"/>
    <x v="2512"/>
    <x v="25"/>
    <s v="COMPTROLLER-OTHER"/>
    <s v="UNKNOWN"/>
    <x v="2"/>
  </r>
  <r>
    <n v="329633"/>
    <n v="6000"/>
    <x v="2"/>
    <x v="2513"/>
    <x v="20"/>
    <s v="COMPTROLLER-OTHER"/>
    <s v="UNKNOWN"/>
    <x v="2"/>
  </r>
  <r>
    <n v="329634"/>
    <n v="25000"/>
    <x v="3"/>
    <x v="2514"/>
    <x v="20"/>
    <s v="COMPTROLLER-OTHER"/>
    <s v="UNKNOWN"/>
    <x v="2"/>
  </r>
  <r>
    <n v="329635"/>
    <n v="6000"/>
    <x v="4"/>
    <x v="2515"/>
    <x v="20"/>
    <s v="COMPTROLLER-OTHER"/>
    <s v="UNKNOWN"/>
    <x v="2"/>
  </r>
  <r>
    <n v="329636"/>
    <n v="43079313"/>
    <x v="3"/>
    <x v="62"/>
    <x v="12"/>
    <s v="DELEGATE AGENCY"/>
    <s v="UNKNOWN"/>
    <x v="2"/>
  </r>
  <r>
    <n v="329637"/>
    <n v="6000"/>
    <x v="0"/>
    <x v="2516"/>
    <x v="20"/>
    <s v="COMPTROLLER-OTHER"/>
    <s v="UNKNOWN"/>
    <x v="2"/>
  </r>
  <r>
    <n v="329638"/>
    <n v="6000"/>
    <x v="3"/>
    <x v="2517"/>
    <x v="20"/>
    <s v="COMPTROLLER-OTHER"/>
    <s v="UNKNOWN"/>
    <x v="2"/>
  </r>
  <r>
    <n v="329639"/>
    <n v="6000"/>
    <x v="3"/>
    <x v="2518"/>
    <x v="20"/>
    <s v="COMPTROLLER-OTHER"/>
    <s v="UNKNOWN"/>
    <x v="2"/>
  </r>
  <r>
    <n v="329641"/>
    <n v="68229083"/>
    <x v="3"/>
    <x v="953"/>
    <x v="6"/>
    <s v="COMPTROLLER-OTHER"/>
    <s v="UNKNOWN"/>
    <x v="2"/>
  </r>
  <r>
    <n v="329642"/>
    <n v="24387024"/>
    <x v="0"/>
    <x v="63"/>
    <x v="12"/>
    <s v="DELEGATE AGENCY"/>
    <s v="UNKNOWN"/>
    <x v="2"/>
  </r>
  <r>
    <n v="329700"/>
    <n v="35400"/>
    <x v="0"/>
    <x v="201"/>
    <x v="12"/>
    <s v="DELEGATE AGENCY"/>
    <s v="UNKNOWN"/>
    <x v="2"/>
  </r>
  <r>
    <n v="32971"/>
    <n v="767789.39999999898"/>
    <x v="4"/>
    <x v="2519"/>
    <x v="3"/>
    <s v="ARCH/ENGINEERING"/>
    <s v="MASTER AGREEMENT"/>
    <x v="1"/>
  </r>
  <r>
    <n v="329724"/>
    <n v="7389797"/>
    <x v="2"/>
    <x v="510"/>
    <x v="12"/>
    <s v="DELEGATE AGENCY"/>
    <s v="UNKNOWN"/>
    <x v="2"/>
  </r>
  <r>
    <n v="329725"/>
    <n v="4814357"/>
    <x v="0"/>
    <x v="65"/>
    <x v="12"/>
    <s v="DELEGATE AGENCY"/>
    <s v="UNKNOWN"/>
    <x v="2"/>
  </r>
  <r>
    <n v="329728"/>
    <n v="78078351"/>
    <x v="0"/>
    <x v="65"/>
    <x v="12"/>
    <s v="DELEGATE AGENCY"/>
    <s v="UNKNOWN"/>
    <x v="2"/>
  </r>
  <r>
    <n v="329730"/>
    <n v="14165592"/>
    <x v="0"/>
    <x v="66"/>
    <x v="12"/>
    <s v="DELEGATE AGENCY"/>
    <s v="UNKNOWN"/>
    <x v="2"/>
  </r>
  <r>
    <n v="329754"/>
    <n v="75000"/>
    <x v="0"/>
    <x v="26"/>
    <x v="8"/>
    <s v="DELEGATE AGENCY"/>
    <s v="UNKNOWN"/>
    <x v="2"/>
  </r>
  <r>
    <n v="329755"/>
    <n v="325000"/>
    <x v="1"/>
    <x v="189"/>
    <x v="8"/>
    <s v="DELEGATE AGENCY"/>
    <s v="UNKNOWN"/>
    <x v="2"/>
  </r>
  <r>
    <n v="32980"/>
    <n v="3623423.3"/>
    <x v="2"/>
    <x v="513"/>
    <x v="3"/>
    <s v="ARCH/ENGINEERING"/>
    <s v="MASTER AGREEMENT"/>
    <x v="0"/>
  </r>
  <r>
    <n v="329815"/>
    <n v="6000"/>
    <x v="0"/>
    <x v="2520"/>
    <x v="20"/>
    <s v="COMPTROLLER-OTHER"/>
    <s v="UNKNOWN"/>
    <x v="2"/>
  </r>
  <r>
    <n v="329820"/>
    <n v="6000"/>
    <x v="3"/>
    <x v="2521"/>
    <x v="20"/>
    <s v="COMPTROLLER-OTHER"/>
    <s v="UNKNOWN"/>
    <x v="2"/>
  </r>
  <r>
    <n v="329824"/>
    <n v="6000"/>
    <x v="3"/>
    <x v="2522"/>
    <x v="20"/>
    <s v="COMPTROLLER-OTHER"/>
    <s v="UNKNOWN"/>
    <x v="2"/>
  </r>
  <r>
    <n v="329826"/>
    <n v="6000"/>
    <x v="3"/>
    <x v="2523"/>
    <x v="20"/>
    <s v="COMPTROLLER-OTHER"/>
    <s v="UNKNOWN"/>
    <x v="2"/>
  </r>
  <r>
    <n v="329829"/>
    <n v="6000"/>
    <x v="3"/>
    <x v="2524"/>
    <x v="20"/>
    <s v="COMPTROLLER-OTHER"/>
    <s v="UNKNOWN"/>
    <x v="2"/>
  </r>
  <r>
    <n v="329833"/>
    <n v="6000"/>
    <x v="3"/>
    <x v="2525"/>
    <x v="20"/>
    <s v="COMPTROLLER-OTHER"/>
    <s v="UNKNOWN"/>
    <x v="2"/>
  </r>
  <r>
    <n v="329851"/>
    <n v="6000"/>
    <x v="3"/>
    <x v="2526"/>
    <x v="20"/>
    <s v="COMPTROLLER-OTHER"/>
    <s v="UNKNOWN"/>
    <x v="2"/>
  </r>
  <r>
    <n v="329861"/>
    <n v="6000"/>
    <x v="3"/>
    <x v="2527"/>
    <x v="20"/>
    <s v="COMPTROLLER-OTHER"/>
    <s v="UNKNOWN"/>
    <x v="2"/>
  </r>
  <r>
    <n v="329866"/>
    <n v="6000"/>
    <x v="3"/>
    <x v="2528"/>
    <x v="20"/>
    <s v="COMPTROLLER-OTHER"/>
    <s v="UNKNOWN"/>
    <x v="2"/>
  </r>
  <r>
    <n v="329871"/>
    <n v="6000"/>
    <x v="3"/>
    <x v="2529"/>
    <x v="20"/>
    <s v="COMPTROLLER-OTHER"/>
    <s v="UNKNOWN"/>
    <x v="2"/>
  </r>
  <r>
    <n v="329872"/>
    <n v="6000"/>
    <x v="3"/>
    <x v="2530"/>
    <x v="20"/>
    <s v="COMPTROLLER-OTHER"/>
    <s v="UNKNOWN"/>
    <x v="2"/>
  </r>
  <r>
    <n v="329874"/>
    <n v="6000"/>
    <x v="3"/>
    <x v="2531"/>
    <x v="20"/>
    <s v="COMPTROLLER-OTHER"/>
    <s v="UNKNOWN"/>
    <x v="2"/>
  </r>
  <r>
    <n v="329877"/>
    <n v="6000"/>
    <x v="3"/>
    <x v="2532"/>
    <x v="20"/>
    <s v="COMPTROLLER-OTHER"/>
    <s v="UNKNOWN"/>
    <x v="2"/>
  </r>
  <r>
    <n v="329878"/>
    <n v="3500"/>
    <x v="3"/>
    <x v="2533"/>
    <x v="20"/>
    <s v="COMPTROLLER-OTHER"/>
    <s v="UNKNOWN"/>
    <x v="2"/>
  </r>
  <r>
    <n v="329879"/>
    <n v="6000"/>
    <x v="3"/>
    <x v="2534"/>
    <x v="20"/>
    <s v="COMPTROLLER-OTHER"/>
    <s v="UNKNOWN"/>
    <x v="2"/>
  </r>
  <r>
    <n v="329880"/>
    <n v="6000"/>
    <x v="3"/>
    <x v="2535"/>
    <x v="20"/>
    <s v="COMPTROLLER-OTHER"/>
    <s v="UNKNOWN"/>
    <x v="2"/>
  </r>
  <r>
    <n v="329881"/>
    <n v="6000"/>
    <x v="3"/>
    <x v="2536"/>
    <x v="20"/>
    <s v="COMPTROLLER-OTHER"/>
    <s v="UNKNOWN"/>
    <x v="2"/>
  </r>
  <r>
    <n v="329882"/>
    <n v="6000"/>
    <x v="3"/>
    <x v="2537"/>
    <x v="20"/>
    <s v="COMPTROLLER-OTHER"/>
    <s v="UNKNOWN"/>
    <x v="2"/>
  </r>
  <r>
    <n v="329883"/>
    <n v="2000"/>
    <x v="3"/>
    <x v="2538"/>
    <x v="20"/>
    <s v="COMPTROLLER-OTHER"/>
    <s v="UNKNOWN"/>
    <x v="2"/>
  </r>
  <r>
    <n v="329884"/>
    <n v="6000"/>
    <x v="3"/>
    <x v="2539"/>
    <x v="20"/>
    <s v="COMPTROLLER-OTHER"/>
    <s v="UNKNOWN"/>
    <x v="2"/>
  </r>
  <r>
    <n v="329886"/>
    <n v="5000"/>
    <x v="3"/>
    <x v="2540"/>
    <x v="20"/>
    <s v="COMPTROLLER-OTHER"/>
    <s v="UNKNOWN"/>
    <x v="2"/>
  </r>
  <r>
    <n v="329887"/>
    <n v="85414"/>
    <x v="3"/>
    <x v="1344"/>
    <x v="20"/>
    <s v="COMPTROLLER-OTHER"/>
    <s v="UNKNOWN"/>
    <x v="2"/>
  </r>
  <r>
    <n v="329890"/>
    <n v="5000"/>
    <x v="1"/>
    <x v="2541"/>
    <x v="20"/>
    <s v="COMPTROLLER-OTHER"/>
    <s v="UNKNOWN"/>
    <x v="2"/>
  </r>
  <r>
    <n v="329891"/>
    <n v="6000"/>
    <x v="3"/>
    <x v="2542"/>
    <x v="20"/>
    <s v="COMPTROLLER-OTHER"/>
    <s v="UNKNOWN"/>
    <x v="2"/>
  </r>
  <r>
    <n v="329893"/>
    <n v="6000"/>
    <x v="3"/>
    <x v="2543"/>
    <x v="20"/>
    <s v="COMPTROLLER-OTHER"/>
    <s v="UNKNOWN"/>
    <x v="2"/>
  </r>
  <r>
    <n v="329894"/>
    <n v="5000"/>
    <x v="3"/>
    <x v="2544"/>
    <x v="20"/>
    <s v="COMPTROLLER-OTHER"/>
    <s v="UNKNOWN"/>
    <x v="2"/>
  </r>
  <r>
    <n v="329895"/>
    <n v="6000"/>
    <x v="3"/>
    <x v="2545"/>
    <x v="20"/>
    <s v="COMPTROLLER-OTHER"/>
    <s v="UNKNOWN"/>
    <x v="2"/>
  </r>
  <r>
    <n v="329901"/>
    <n v="6000"/>
    <x v="3"/>
    <x v="2546"/>
    <x v="20"/>
    <s v="COMPTROLLER-OTHER"/>
    <s v="UNKNOWN"/>
    <x v="2"/>
  </r>
  <r>
    <n v="329973"/>
    <n v="17700"/>
    <x v="3"/>
    <x v="391"/>
    <x v="12"/>
    <s v="DELEGATE AGENCY"/>
    <s v="UNKNOWN"/>
    <x v="2"/>
  </r>
  <r>
    <n v="329997"/>
    <n v="6000"/>
    <x v="4"/>
    <x v="2547"/>
    <x v="20"/>
    <s v="COMPTROLLER-OTHER"/>
    <s v="UNKNOWN"/>
    <x v="2"/>
  </r>
  <r>
    <n v="330000"/>
    <n v="6000"/>
    <x v="3"/>
    <x v="2548"/>
    <x v="20"/>
    <s v="COMPTROLLER-OTHER"/>
    <s v="UNKNOWN"/>
    <x v="2"/>
  </r>
  <r>
    <n v="330001"/>
    <n v="6000"/>
    <x v="3"/>
    <x v="2549"/>
    <x v="20"/>
    <s v="COMPTROLLER-OTHER"/>
    <s v="UNKNOWN"/>
    <x v="2"/>
  </r>
  <r>
    <n v="330011"/>
    <n v="6000"/>
    <x v="3"/>
    <x v="2550"/>
    <x v="20"/>
    <s v="COMPTROLLER-OTHER"/>
    <s v="UNKNOWN"/>
    <x v="2"/>
  </r>
  <r>
    <n v="330041"/>
    <n v="6000"/>
    <x v="3"/>
    <x v="2551"/>
    <x v="20"/>
    <s v="COMPTROLLER-OTHER"/>
    <s v="UNKNOWN"/>
    <x v="2"/>
  </r>
  <r>
    <n v="330044"/>
    <n v="2000"/>
    <x v="3"/>
    <x v="2552"/>
    <x v="20"/>
    <s v="COMPTROLLER-OTHER"/>
    <s v="UNKNOWN"/>
    <x v="2"/>
  </r>
  <r>
    <n v="330053"/>
    <n v="6000"/>
    <x v="3"/>
    <x v="2553"/>
    <x v="20"/>
    <s v="COMPTROLLER-OTHER"/>
    <s v="UNKNOWN"/>
    <x v="2"/>
  </r>
  <r>
    <n v="330059"/>
    <n v="5000"/>
    <x v="3"/>
    <x v="2554"/>
    <x v="20"/>
    <s v="COMPTROLLER-OTHER"/>
    <s v="UNKNOWN"/>
    <x v="2"/>
  </r>
  <r>
    <n v="330061"/>
    <n v="5000"/>
    <x v="3"/>
    <x v="2555"/>
    <x v="20"/>
    <s v="COMPTROLLER-OTHER"/>
    <s v="UNKNOWN"/>
    <x v="2"/>
  </r>
  <r>
    <n v="330062"/>
    <n v="6000"/>
    <x v="3"/>
    <x v="2556"/>
    <x v="20"/>
    <s v="COMPTROLLER-OTHER"/>
    <s v="UNKNOWN"/>
    <x v="2"/>
  </r>
  <r>
    <n v="330064"/>
    <n v="6000"/>
    <x v="3"/>
    <x v="2557"/>
    <x v="20"/>
    <s v="COMPTROLLER-OTHER"/>
    <s v="UNKNOWN"/>
    <x v="2"/>
  </r>
  <r>
    <n v="330065"/>
    <n v="6000"/>
    <x v="3"/>
    <x v="2558"/>
    <x v="20"/>
    <s v="COMPTROLLER-OTHER"/>
    <s v="UNKNOWN"/>
    <x v="2"/>
  </r>
  <r>
    <n v="330068"/>
    <n v="6000"/>
    <x v="3"/>
    <x v="2559"/>
    <x v="20"/>
    <s v="COMPTROLLER-OTHER"/>
    <s v="UNKNOWN"/>
    <x v="2"/>
  </r>
  <r>
    <n v="330070"/>
    <n v="6000"/>
    <x v="3"/>
    <x v="2560"/>
    <x v="20"/>
    <s v="COMPTROLLER-OTHER"/>
    <s v="UNKNOWN"/>
    <x v="2"/>
  </r>
  <r>
    <n v="330076"/>
    <n v="6000"/>
    <x v="3"/>
    <x v="2561"/>
    <x v="20"/>
    <s v="COMPTROLLER-OTHER"/>
    <s v="UNKNOWN"/>
    <x v="2"/>
  </r>
  <r>
    <n v="330081"/>
    <n v="6000"/>
    <x v="3"/>
    <x v="2000"/>
    <x v="20"/>
    <s v="COMPTROLLER-OTHER"/>
    <s v="UNKNOWN"/>
    <x v="2"/>
  </r>
  <r>
    <n v="330084"/>
    <n v="6000"/>
    <x v="3"/>
    <x v="2562"/>
    <x v="20"/>
    <s v="COMPTROLLER-OTHER"/>
    <s v="UNKNOWN"/>
    <x v="2"/>
  </r>
  <r>
    <n v="330086"/>
    <n v="5000"/>
    <x v="3"/>
    <x v="2563"/>
    <x v="20"/>
    <s v="COMPTROLLER-OTHER"/>
    <s v="UNKNOWN"/>
    <x v="2"/>
  </r>
  <r>
    <n v="330089"/>
    <n v="6000"/>
    <x v="3"/>
    <x v="2564"/>
    <x v="20"/>
    <s v="COMPTROLLER-OTHER"/>
    <s v="UNKNOWN"/>
    <x v="2"/>
  </r>
  <r>
    <n v="330093"/>
    <n v="6000"/>
    <x v="3"/>
    <x v="2565"/>
    <x v="20"/>
    <s v="COMPTROLLER-OTHER"/>
    <s v="UNKNOWN"/>
    <x v="2"/>
  </r>
  <r>
    <n v="330094"/>
    <n v="6000"/>
    <x v="3"/>
    <x v="2566"/>
    <x v="20"/>
    <s v="COMPTROLLER-OTHER"/>
    <s v="UNKNOWN"/>
    <x v="2"/>
  </r>
  <r>
    <n v="330097"/>
    <n v="3500"/>
    <x v="3"/>
    <x v="2567"/>
    <x v="20"/>
    <s v="COMPTROLLER-OTHER"/>
    <s v="UNKNOWN"/>
    <x v="2"/>
  </r>
  <r>
    <n v="330100"/>
    <n v="6000"/>
    <x v="3"/>
    <x v="2568"/>
    <x v="20"/>
    <s v="COMPTROLLER-OTHER"/>
    <s v="UNKNOWN"/>
    <x v="2"/>
  </r>
  <r>
    <n v="330102"/>
    <n v="6000"/>
    <x v="3"/>
    <x v="2569"/>
    <x v="20"/>
    <s v="COMPTROLLER-OTHER"/>
    <s v="UNKNOWN"/>
    <x v="2"/>
  </r>
  <r>
    <n v="330103"/>
    <n v="6000"/>
    <x v="3"/>
    <x v="2570"/>
    <x v="20"/>
    <s v="COMPTROLLER-OTHER"/>
    <s v="UNKNOWN"/>
    <x v="2"/>
  </r>
  <r>
    <n v="330104"/>
    <n v="4250"/>
    <x v="3"/>
    <x v="2571"/>
    <x v="20"/>
    <s v="COMPTROLLER-OTHER"/>
    <s v="UNKNOWN"/>
    <x v="2"/>
  </r>
  <r>
    <n v="330190"/>
    <n v="34850"/>
    <x v="3"/>
    <x v="1612"/>
    <x v="20"/>
    <s v="COMPTROLLER-OTHER"/>
    <s v="UNKNOWN"/>
    <x v="2"/>
  </r>
  <r>
    <n v="330192"/>
    <n v="120000"/>
    <x v="4"/>
    <x v="2572"/>
    <x v="20"/>
    <s v="COMPTROLLER-OTHER"/>
    <s v="UNKNOWN"/>
    <x v="2"/>
  </r>
  <r>
    <n v="330193"/>
    <n v="3000000"/>
    <x v="1"/>
    <x v="1390"/>
    <x v="2"/>
    <s v="COMPTROLLER-OTHER"/>
    <s v="UNKNOWN"/>
    <x v="2"/>
  </r>
  <r>
    <n v="330196"/>
    <n v="2434955"/>
    <x v="0"/>
    <x v="2573"/>
    <x v="2"/>
    <s v="COMPTROLLER-OTHER"/>
    <s v="UNKNOWN"/>
    <x v="2"/>
  </r>
  <r>
    <n v="330197"/>
    <n v="5750"/>
    <x v="0"/>
    <x v="2574"/>
    <x v="20"/>
    <s v="COMPTROLLER-OTHER"/>
    <s v="UNKNOWN"/>
    <x v="2"/>
  </r>
  <r>
    <n v="330198"/>
    <n v="6000"/>
    <x v="3"/>
    <x v="2575"/>
    <x v="20"/>
    <s v="COMPTROLLER-OTHER"/>
    <s v="UNKNOWN"/>
    <x v="2"/>
  </r>
  <r>
    <n v="330199"/>
    <n v="85000"/>
    <x v="3"/>
    <x v="729"/>
    <x v="6"/>
    <s v="COMPTROLLER-OTHER"/>
    <s v="UNKNOWN"/>
    <x v="2"/>
  </r>
  <r>
    <n v="330201"/>
    <n v="6000"/>
    <x v="1"/>
    <x v="2576"/>
    <x v="20"/>
    <s v="COMPTROLLER-OTHER"/>
    <s v="UNKNOWN"/>
    <x v="2"/>
  </r>
  <r>
    <n v="330206"/>
    <n v="700000"/>
    <x v="3"/>
    <x v="1213"/>
    <x v="2"/>
    <s v="COMPTROLLER-OTHER"/>
    <s v="UNKNOWN"/>
    <x v="2"/>
  </r>
  <r>
    <n v="330209"/>
    <n v="3000"/>
    <x v="2"/>
    <x v="743"/>
    <x v="20"/>
    <s v="COMPTROLLER-OTHER"/>
    <s v="UNKNOWN"/>
    <x v="2"/>
  </r>
  <r>
    <n v="330210"/>
    <n v="1000"/>
    <x v="3"/>
    <x v="2577"/>
    <x v="20"/>
    <s v="COMPTROLLER-OTHER"/>
    <s v="UNKNOWN"/>
    <x v="2"/>
  </r>
  <r>
    <n v="330218"/>
    <n v="25000"/>
    <x v="3"/>
    <x v="632"/>
    <x v="20"/>
    <s v="COMPTROLLER-OTHER"/>
    <s v="UNKNOWN"/>
    <x v="2"/>
  </r>
  <r>
    <n v="330222"/>
    <n v="1000"/>
    <x v="4"/>
    <x v="2578"/>
    <x v="20"/>
    <s v="COMPTROLLER-OTHER"/>
    <s v="UNKNOWN"/>
    <x v="2"/>
  </r>
  <r>
    <n v="33030"/>
    <n v="1527381.5"/>
    <x v="3"/>
    <x v="160"/>
    <x v="5"/>
    <s v="COMMODITIES"/>
    <s v="BID"/>
    <x v="0"/>
  </r>
  <r>
    <n v="330313"/>
    <n v="6000"/>
    <x v="0"/>
    <x v="2579"/>
    <x v="20"/>
    <s v="COMPTROLLER-OTHER"/>
    <s v="UNKNOWN"/>
    <x v="2"/>
  </r>
  <r>
    <n v="330314"/>
    <n v="5500"/>
    <x v="3"/>
    <x v="2580"/>
    <x v="20"/>
    <s v="COMPTROLLER-OTHER"/>
    <s v="UNKNOWN"/>
    <x v="2"/>
  </r>
  <r>
    <n v="330316"/>
    <n v="6000"/>
    <x v="3"/>
    <x v="2581"/>
    <x v="20"/>
    <s v="COMPTROLLER-OTHER"/>
    <s v="UNKNOWN"/>
    <x v="2"/>
  </r>
  <r>
    <n v="330321"/>
    <n v="150000"/>
    <x v="3"/>
    <x v="2582"/>
    <x v="2"/>
    <s v="COMPTROLLER-OTHER"/>
    <s v="UNKNOWN"/>
    <x v="2"/>
  </r>
  <r>
    <n v="330324"/>
    <n v="2500"/>
    <x v="1"/>
    <x v="2583"/>
    <x v="20"/>
    <s v="COMPTROLLER-OTHER"/>
    <s v="UNKNOWN"/>
    <x v="2"/>
  </r>
  <r>
    <n v="330325"/>
    <n v="9790"/>
    <x v="3"/>
    <x v="2584"/>
    <x v="31"/>
    <s v="COMPTROLLER-OTHER"/>
    <s v="UNKNOWN"/>
    <x v="2"/>
  </r>
  <r>
    <n v="33033"/>
    <n v="390000"/>
    <x v="3"/>
    <x v="1083"/>
    <x v="0"/>
    <s v="COMMODITIES"/>
    <s v="BID"/>
    <x v="0"/>
  </r>
  <r>
    <n v="330380"/>
    <n v="6000"/>
    <x v="2"/>
    <x v="2585"/>
    <x v="20"/>
    <s v="COMPTROLLER-OTHER"/>
    <s v="UNKNOWN"/>
    <x v="2"/>
  </r>
  <r>
    <n v="330384"/>
    <n v="6000"/>
    <x v="3"/>
    <x v="2586"/>
    <x v="20"/>
    <s v="COMPTROLLER-OTHER"/>
    <s v="UNKNOWN"/>
    <x v="2"/>
  </r>
  <r>
    <n v="330387"/>
    <n v="6000"/>
    <x v="3"/>
    <x v="2587"/>
    <x v="20"/>
    <s v="COMPTROLLER-OTHER"/>
    <s v="UNKNOWN"/>
    <x v="2"/>
  </r>
  <r>
    <n v="330389"/>
    <n v="6000"/>
    <x v="3"/>
    <x v="2588"/>
    <x v="20"/>
    <s v="COMPTROLLER-OTHER"/>
    <s v="UNKNOWN"/>
    <x v="2"/>
  </r>
  <r>
    <n v="330393"/>
    <n v="6000"/>
    <x v="3"/>
    <x v="2589"/>
    <x v="20"/>
    <s v="COMPTROLLER-OTHER"/>
    <s v="UNKNOWN"/>
    <x v="2"/>
  </r>
  <r>
    <n v="330397"/>
    <n v="6000"/>
    <x v="3"/>
    <x v="2590"/>
    <x v="20"/>
    <s v="COMPTROLLER-OTHER"/>
    <s v="UNKNOWN"/>
    <x v="2"/>
  </r>
  <r>
    <n v="330398"/>
    <n v="6000"/>
    <x v="3"/>
    <x v="2591"/>
    <x v="20"/>
    <s v="COMPTROLLER-OTHER"/>
    <s v="UNKNOWN"/>
    <x v="2"/>
  </r>
  <r>
    <n v="330403"/>
    <n v="6000"/>
    <x v="3"/>
    <x v="2592"/>
    <x v="20"/>
    <s v="COMPTROLLER-OTHER"/>
    <s v="UNKNOWN"/>
    <x v="2"/>
  </r>
  <r>
    <n v="330405"/>
    <n v="6000"/>
    <x v="3"/>
    <x v="2593"/>
    <x v="20"/>
    <s v="COMPTROLLER-OTHER"/>
    <s v="UNKNOWN"/>
    <x v="2"/>
  </r>
  <r>
    <n v="330441"/>
    <n v="508382"/>
    <x v="3"/>
    <x v="1466"/>
    <x v="8"/>
    <s v="DELEGATE AGENCY"/>
    <s v="UNKNOWN"/>
    <x v="2"/>
  </r>
  <r>
    <n v="330442"/>
    <n v="200000"/>
    <x v="2"/>
    <x v="1750"/>
    <x v="8"/>
    <s v="DELEGATE AGENCY"/>
    <s v="UNKNOWN"/>
    <x v="2"/>
  </r>
  <r>
    <n v="330443"/>
    <n v="375000"/>
    <x v="1"/>
    <x v="175"/>
    <x v="8"/>
    <s v="DELEGATE AGENCY"/>
    <s v="UNKNOWN"/>
    <x v="2"/>
  </r>
  <r>
    <n v="330447"/>
    <n v="6000"/>
    <x v="2"/>
    <x v="2594"/>
    <x v="20"/>
    <s v="COMPTROLLER-OTHER"/>
    <s v="UNKNOWN"/>
    <x v="2"/>
  </r>
  <r>
    <n v="330449"/>
    <n v="6000"/>
    <x v="3"/>
    <x v="2595"/>
    <x v="20"/>
    <s v="COMPTROLLER-OTHER"/>
    <s v="UNKNOWN"/>
    <x v="2"/>
  </r>
  <r>
    <n v="330450"/>
    <n v="4875"/>
    <x v="3"/>
    <x v="2596"/>
    <x v="20"/>
    <s v="COMPTROLLER-OTHER"/>
    <s v="UNKNOWN"/>
    <x v="2"/>
  </r>
  <r>
    <n v="330451"/>
    <n v="2500"/>
    <x v="3"/>
    <x v="2597"/>
    <x v="20"/>
    <s v="COMPTROLLER-OTHER"/>
    <s v="UNKNOWN"/>
    <x v="2"/>
  </r>
  <r>
    <n v="330453"/>
    <n v="6000"/>
    <x v="3"/>
    <x v="2598"/>
    <x v="20"/>
    <s v="COMPTROLLER-OTHER"/>
    <s v="UNKNOWN"/>
    <x v="2"/>
  </r>
  <r>
    <n v="330455"/>
    <n v="6000"/>
    <x v="3"/>
    <x v="2599"/>
    <x v="20"/>
    <s v="COMPTROLLER-OTHER"/>
    <s v="UNKNOWN"/>
    <x v="2"/>
  </r>
  <r>
    <n v="330460"/>
    <n v="6000"/>
    <x v="3"/>
    <x v="2600"/>
    <x v="20"/>
    <s v="COMPTROLLER-OTHER"/>
    <s v="UNKNOWN"/>
    <x v="2"/>
  </r>
  <r>
    <n v="330461"/>
    <n v="6000"/>
    <x v="3"/>
    <x v="2601"/>
    <x v="20"/>
    <s v="COMPTROLLER-OTHER"/>
    <s v="UNKNOWN"/>
    <x v="2"/>
  </r>
  <r>
    <n v="330462"/>
    <n v="4500"/>
    <x v="3"/>
    <x v="2602"/>
    <x v="20"/>
    <s v="COMPTROLLER-OTHER"/>
    <s v="UNKNOWN"/>
    <x v="2"/>
  </r>
  <r>
    <n v="330465"/>
    <n v="6000"/>
    <x v="3"/>
    <x v="2603"/>
    <x v="20"/>
    <s v="COMPTROLLER-OTHER"/>
    <s v="UNKNOWN"/>
    <x v="2"/>
  </r>
  <r>
    <n v="330472"/>
    <n v="6000"/>
    <x v="3"/>
    <x v="2604"/>
    <x v="20"/>
    <s v="COMPTROLLER-OTHER"/>
    <s v="UNKNOWN"/>
    <x v="2"/>
  </r>
  <r>
    <n v="33048"/>
    <n v="1079724.7"/>
    <x v="3"/>
    <x v="2605"/>
    <x v="1"/>
    <s v="PROPERTY LEASE"/>
    <s v="UNKNOWN"/>
    <x v="0"/>
  </r>
  <r>
    <n v="330488"/>
    <n v="4500"/>
    <x v="0"/>
    <x v="2606"/>
    <x v="20"/>
    <s v="COMPTROLLER-OTHER"/>
    <s v="UNKNOWN"/>
    <x v="2"/>
  </r>
  <r>
    <n v="330493"/>
    <n v="3500"/>
    <x v="3"/>
    <x v="2607"/>
    <x v="20"/>
    <s v="COMPTROLLER-OTHER"/>
    <s v="UNKNOWN"/>
    <x v="2"/>
  </r>
  <r>
    <n v="330497"/>
    <n v="6000"/>
    <x v="3"/>
    <x v="2608"/>
    <x v="20"/>
    <s v="COMPTROLLER-OTHER"/>
    <s v="UNKNOWN"/>
    <x v="2"/>
  </r>
  <r>
    <n v="330515"/>
    <n v="5500"/>
    <x v="3"/>
    <x v="2609"/>
    <x v="20"/>
    <s v="COMPTROLLER-OTHER"/>
    <s v="UNKNOWN"/>
    <x v="2"/>
  </r>
  <r>
    <n v="330516"/>
    <n v="6000"/>
    <x v="3"/>
    <x v="2610"/>
    <x v="20"/>
    <s v="COMPTROLLER-OTHER"/>
    <s v="UNKNOWN"/>
    <x v="2"/>
  </r>
  <r>
    <n v="330517"/>
    <n v="6000"/>
    <x v="3"/>
    <x v="2611"/>
    <x v="20"/>
    <s v="COMPTROLLER-OTHER"/>
    <s v="UNKNOWN"/>
    <x v="2"/>
  </r>
  <r>
    <n v="330518"/>
    <n v="6000"/>
    <x v="3"/>
    <x v="2612"/>
    <x v="20"/>
    <s v="COMPTROLLER-OTHER"/>
    <s v="UNKNOWN"/>
    <x v="2"/>
  </r>
  <r>
    <n v="330520"/>
    <n v="6000"/>
    <x v="3"/>
    <x v="2613"/>
    <x v="20"/>
    <s v="COMPTROLLER-OTHER"/>
    <s v="UNKNOWN"/>
    <x v="2"/>
  </r>
  <r>
    <n v="330528"/>
    <n v="6000"/>
    <x v="3"/>
    <x v="2614"/>
    <x v="20"/>
    <s v="COMPTROLLER-OTHER"/>
    <s v="UNKNOWN"/>
    <x v="2"/>
  </r>
  <r>
    <n v="330529"/>
    <n v="3250"/>
    <x v="3"/>
    <x v="2615"/>
    <x v="20"/>
    <s v="COMPTROLLER-OTHER"/>
    <s v="UNKNOWN"/>
    <x v="2"/>
  </r>
  <r>
    <n v="330530"/>
    <n v="6000"/>
    <x v="3"/>
    <x v="2616"/>
    <x v="20"/>
    <s v="COMPTROLLER-OTHER"/>
    <s v="UNKNOWN"/>
    <x v="2"/>
  </r>
  <r>
    <n v="330532"/>
    <n v="6000"/>
    <x v="3"/>
    <x v="2617"/>
    <x v="20"/>
    <s v="COMPTROLLER-OTHER"/>
    <s v="UNKNOWN"/>
    <x v="2"/>
  </r>
  <r>
    <n v="330533"/>
    <n v="6000"/>
    <x v="3"/>
    <x v="2618"/>
    <x v="20"/>
    <s v="COMPTROLLER-OTHER"/>
    <s v="UNKNOWN"/>
    <x v="2"/>
  </r>
  <r>
    <n v="330536"/>
    <n v="6000"/>
    <x v="3"/>
    <x v="2619"/>
    <x v="20"/>
    <s v="COMPTROLLER-OTHER"/>
    <s v="UNKNOWN"/>
    <x v="2"/>
  </r>
  <r>
    <n v="330539"/>
    <n v="6000"/>
    <x v="3"/>
    <x v="2620"/>
    <x v="20"/>
    <s v="COMPTROLLER-OTHER"/>
    <s v="UNKNOWN"/>
    <x v="2"/>
  </r>
  <r>
    <n v="330540"/>
    <n v="6000"/>
    <x v="3"/>
    <x v="1563"/>
    <x v="20"/>
    <s v="COMPTROLLER-OTHER"/>
    <s v="UNKNOWN"/>
    <x v="2"/>
  </r>
  <r>
    <n v="330543"/>
    <n v="6000"/>
    <x v="3"/>
    <x v="2621"/>
    <x v="20"/>
    <s v="COMPTROLLER-OTHER"/>
    <s v="UNKNOWN"/>
    <x v="2"/>
  </r>
  <r>
    <n v="330547"/>
    <n v="6000"/>
    <x v="3"/>
    <x v="2622"/>
    <x v="20"/>
    <s v="COMPTROLLER-OTHER"/>
    <s v="UNKNOWN"/>
    <x v="2"/>
  </r>
  <r>
    <n v="330549"/>
    <n v="4250"/>
    <x v="3"/>
    <x v="2623"/>
    <x v="20"/>
    <s v="COMPTROLLER-OTHER"/>
    <s v="UNKNOWN"/>
    <x v="2"/>
  </r>
  <r>
    <n v="330555"/>
    <n v="6000"/>
    <x v="3"/>
    <x v="1599"/>
    <x v="20"/>
    <s v="COMPTROLLER-OTHER"/>
    <s v="UNKNOWN"/>
    <x v="2"/>
  </r>
  <r>
    <n v="330567"/>
    <n v="6000"/>
    <x v="3"/>
    <x v="2624"/>
    <x v="20"/>
    <s v="COMPTROLLER-OTHER"/>
    <s v="UNKNOWN"/>
    <x v="2"/>
  </r>
  <r>
    <n v="330568"/>
    <n v="6000"/>
    <x v="3"/>
    <x v="2625"/>
    <x v="20"/>
    <s v="COMPTROLLER-OTHER"/>
    <s v="UNKNOWN"/>
    <x v="2"/>
  </r>
  <r>
    <n v="330569"/>
    <n v="6000"/>
    <x v="3"/>
    <x v="2626"/>
    <x v="20"/>
    <s v="COMPTROLLER-OTHER"/>
    <s v="UNKNOWN"/>
    <x v="2"/>
  </r>
  <r>
    <n v="330570"/>
    <n v="6000"/>
    <x v="3"/>
    <x v="2627"/>
    <x v="20"/>
    <s v="COMPTROLLER-OTHER"/>
    <s v="UNKNOWN"/>
    <x v="2"/>
  </r>
  <r>
    <n v="330574"/>
    <n v="6000"/>
    <x v="3"/>
    <x v="2628"/>
    <x v="20"/>
    <s v="COMPTROLLER-OTHER"/>
    <s v="UNKNOWN"/>
    <x v="2"/>
  </r>
  <r>
    <n v="330575"/>
    <n v="3000"/>
    <x v="3"/>
    <x v="2629"/>
    <x v="20"/>
    <s v="COMPTROLLER-OTHER"/>
    <s v="UNKNOWN"/>
    <x v="2"/>
  </r>
  <r>
    <n v="330577"/>
    <n v="6000"/>
    <x v="3"/>
    <x v="2630"/>
    <x v="20"/>
    <s v="COMPTROLLER-OTHER"/>
    <s v="UNKNOWN"/>
    <x v="2"/>
  </r>
  <r>
    <n v="330581"/>
    <n v="6000"/>
    <x v="3"/>
    <x v="2631"/>
    <x v="20"/>
    <s v="COMPTROLLER-OTHER"/>
    <s v="UNKNOWN"/>
    <x v="2"/>
  </r>
  <r>
    <n v="330583"/>
    <n v="792140"/>
    <x v="3"/>
    <x v="404"/>
    <x v="8"/>
    <s v="COMPTROLLER-OTHER"/>
    <s v="UNKNOWN"/>
    <x v="2"/>
  </r>
  <r>
    <n v="330586"/>
    <n v="6000"/>
    <x v="2"/>
    <x v="2632"/>
    <x v="20"/>
    <s v="COMPTROLLER-OTHER"/>
    <s v="UNKNOWN"/>
    <x v="2"/>
  </r>
  <r>
    <n v="330591"/>
    <n v="6000"/>
    <x v="3"/>
    <x v="2633"/>
    <x v="20"/>
    <s v="COMPTROLLER-OTHER"/>
    <s v="UNKNOWN"/>
    <x v="2"/>
  </r>
  <r>
    <n v="330592"/>
    <n v="3250"/>
    <x v="3"/>
    <x v="2634"/>
    <x v="20"/>
    <s v="COMPTROLLER-OTHER"/>
    <s v="UNKNOWN"/>
    <x v="2"/>
  </r>
  <r>
    <n v="330593"/>
    <n v="6000"/>
    <x v="3"/>
    <x v="2635"/>
    <x v="20"/>
    <s v="COMPTROLLER-OTHER"/>
    <s v="UNKNOWN"/>
    <x v="2"/>
  </r>
  <r>
    <n v="330594"/>
    <n v="6000"/>
    <x v="3"/>
    <x v="2636"/>
    <x v="20"/>
    <s v="COMPTROLLER-OTHER"/>
    <s v="UNKNOWN"/>
    <x v="2"/>
  </r>
  <r>
    <n v="330598"/>
    <n v="6000"/>
    <x v="3"/>
    <x v="2637"/>
    <x v="20"/>
    <s v="COMPTROLLER-OTHER"/>
    <s v="UNKNOWN"/>
    <x v="2"/>
  </r>
  <r>
    <n v="330602"/>
    <n v="6000"/>
    <x v="3"/>
    <x v="2638"/>
    <x v="20"/>
    <s v="COMPTROLLER-OTHER"/>
    <s v="UNKNOWN"/>
    <x v="2"/>
  </r>
  <r>
    <n v="330603"/>
    <n v="6000"/>
    <x v="3"/>
    <x v="1010"/>
    <x v="20"/>
    <s v="COMPTROLLER-OTHER"/>
    <s v="UNKNOWN"/>
    <x v="2"/>
  </r>
  <r>
    <n v="330604"/>
    <n v="6000"/>
    <x v="3"/>
    <x v="2639"/>
    <x v="20"/>
    <s v="COMPTROLLER-OTHER"/>
    <s v="UNKNOWN"/>
    <x v="2"/>
  </r>
  <r>
    <n v="330605"/>
    <n v="6000"/>
    <x v="3"/>
    <x v="1448"/>
    <x v="20"/>
    <s v="COMPTROLLER-OTHER"/>
    <s v="UNKNOWN"/>
    <x v="2"/>
  </r>
  <r>
    <n v="330606"/>
    <n v="6000"/>
    <x v="3"/>
    <x v="2640"/>
    <x v="20"/>
    <s v="COMPTROLLER-OTHER"/>
    <s v="UNKNOWN"/>
    <x v="2"/>
  </r>
  <r>
    <n v="330608"/>
    <n v="6000"/>
    <x v="3"/>
    <x v="2641"/>
    <x v="20"/>
    <s v="COMPTROLLER-OTHER"/>
    <s v="UNKNOWN"/>
    <x v="2"/>
  </r>
  <r>
    <n v="330609"/>
    <n v="5250"/>
    <x v="3"/>
    <x v="2642"/>
    <x v="20"/>
    <s v="COMPTROLLER-OTHER"/>
    <s v="UNKNOWN"/>
    <x v="2"/>
  </r>
  <r>
    <n v="330610"/>
    <n v="6000"/>
    <x v="3"/>
    <x v="2643"/>
    <x v="20"/>
    <s v="COMPTROLLER-OTHER"/>
    <s v="UNKNOWN"/>
    <x v="2"/>
  </r>
  <r>
    <n v="330612"/>
    <n v="3500"/>
    <x v="3"/>
    <x v="2644"/>
    <x v="20"/>
    <s v="COMPTROLLER-OTHER"/>
    <s v="UNKNOWN"/>
    <x v="2"/>
  </r>
  <r>
    <n v="33068"/>
    <n v="225626"/>
    <x v="3"/>
    <x v="2645"/>
    <x v="6"/>
    <s v="PRO SERV-AVIATION"/>
    <s v="RFP"/>
    <x v="0"/>
  </r>
  <r>
    <n v="330731"/>
    <n v="17700"/>
    <x v="1"/>
    <x v="1553"/>
    <x v="12"/>
    <s v="DELEGATE AGENCY"/>
    <s v="UNKNOWN"/>
    <x v="2"/>
  </r>
  <r>
    <n v="330733"/>
    <n v="134496"/>
    <x v="4"/>
    <x v="98"/>
    <x v="12"/>
    <s v="DELEGATE AGENCY"/>
    <s v="UNKNOWN"/>
    <x v="2"/>
  </r>
  <r>
    <n v="330734"/>
    <n v="27770"/>
    <x v="1"/>
    <x v="605"/>
    <x v="12"/>
    <s v="DELEGATE AGENCY"/>
    <s v="UNKNOWN"/>
    <x v="2"/>
  </r>
  <r>
    <n v="330735"/>
    <n v="17741"/>
    <x v="4"/>
    <x v="308"/>
    <x v="12"/>
    <s v="DELEGATE AGENCY"/>
    <s v="UNKNOWN"/>
    <x v="2"/>
  </r>
  <r>
    <n v="330737"/>
    <n v="27770"/>
    <x v="4"/>
    <x v="436"/>
    <x v="12"/>
    <s v="DELEGATE AGENCY"/>
    <s v="UNKNOWN"/>
    <x v="2"/>
  </r>
  <r>
    <n v="330738"/>
    <n v="27770"/>
    <x v="4"/>
    <x v="1103"/>
    <x v="12"/>
    <s v="DELEGATE AGENCY"/>
    <s v="UNKNOWN"/>
    <x v="2"/>
  </r>
  <r>
    <n v="330739"/>
    <n v="99990"/>
    <x v="4"/>
    <x v="605"/>
    <x v="12"/>
    <s v="DELEGATE AGENCY"/>
    <s v="UNKNOWN"/>
    <x v="2"/>
  </r>
  <r>
    <n v="330740"/>
    <n v="17700"/>
    <x v="1"/>
    <x v="446"/>
    <x v="12"/>
    <s v="DELEGATE AGENCY"/>
    <s v="UNKNOWN"/>
    <x v="2"/>
  </r>
  <r>
    <n v="330741"/>
    <n v="27770"/>
    <x v="4"/>
    <x v="1103"/>
    <x v="12"/>
    <s v="DELEGATE AGENCY"/>
    <s v="UNKNOWN"/>
    <x v="2"/>
  </r>
  <r>
    <n v="330744"/>
    <n v="17700"/>
    <x v="4"/>
    <x v="578"/>
    <x v="12"/>
    <s v="DELEGATE AGENCY"/>
    <s v="UNKNOWN"/>
    <x v="2"/>
  </r>
  <r>
    <n v="330745"/>
    <n v="155760"/>
    <x v="4"/>
    <x v="76"/>
    <x v="12"/>
    <s v="DELEGATE AGENCY"/>
    <s v="UNKNOWN"/>
    <x v="2"/>
  </r>
  <r>
    <n v="330746"/>
    <n v="178000"/>
    <x v="1"/>
    <x v="71"/>
    <x v="12"/>
    <s v="DELEGATE AGENCY"/>
    <s v="UNKNOWN"/>
    <x v="2"/>
  </r>
  <r>
    <n v="330747"/>
    <n v="1271000"/>
    <x v="1"/>
    <x v="63"/>
    <x v="12"/>
    <s v="DELEGATE AGENCY"/>
    <s v="UNKNOWN"/>
    <x v="2"/>
  </r>
  <r>
    <n v="330748"/>
    <n v="1058000"/>
    <x v="0"/>
    <x v="1103"/>
    <x v="12"/>
    <s v="DELEGATE AGENCY"/>
    <s v="UNKNOWN"/>
    <x v="2"/>
  </r>
  <r>
    <n v="330749"/>
    <n v="76000"/>
    <x v="0"/>
    <x v="116"/>
    <x v="12"/>
    <s v="DELEGATE AGENCY"/>
    <s v="UNKNOWN"/>
    <x v="2"/>
  </r>
  <r>
    <n v="330750"/>
    <n v="1478000"/>
    <x v="1"/>
    <x v="77"/>
    <x v="12"/>
    <s v="DELEGATE AGENCY"/>
    <s v="UNKNOWN"/>
    <x v="2"/>
  </r>
  <r>
    <n v="330751"/>
    <n v="714000"/>
    <x v="0"/>
    <x v="119"/>
    <x v="12"/>
    <s v="DELEGATE AGENCY"/>
    <s v="UNKNOWN"/>
    <x v="2"/>
  </r>
  <r>
    <n v="330752"/>
    <n v="658000"/>
    <x v="2"/>
    <x v="78"/>
    <x v="12"/>
    <s v="DELEGATE AGENCY"/>
    <s v="UNKNOWN"/>
    <x v="2"/>
  </r>
  <r>
    <n v="330753"/>
    <n v="320000"/>
    <x v="2"/>
    <x v="76"/>
    <x v="12"/>
    <s v="DELEGATE AGENCY"/>
    <s v="UNKNOWN"/>
    <x v="2"/>
  </r>
  <r>
    <n v="330754"/>
    <n v="174000"/>
    <x v="2"/>
    <x v="65"/>
    <x v="12"/>
    <s v="DELEGATE AGENCY"/>
    <s v="UNKNOWN"/>
    <x v="2"/>
  </r>
  <r>
    <n v="330757"/>
    <n v="82000"/>
    <x v="1"/>
    <x v="170"/>
    <x v="12"/>
    <s v="DELEGATE AGENCY"/>
    <s v="UNKNOWN"/>
    <x v="2"/>
  </r>
  <r>
    <n v="330759"/>
    <n v="72000"/>
    <x v="1"/>
    <x v="105"/>
    <x v="12"/>
    <s v="DELEGATE AGENCY"/>
    <s v="UNKNOWN"/>
    <x v="2"/>
  </r>
  <r>
    <n v="330763"/>
    <n v="569000"/>
    <x v="1"/>
    <x v="91"/>
    <x v="12"/>
    <s v="DELEGATE AGENCY"/>
    <s v="UNKNOWN"/>
    <x v="2"/>
  </r>
  <r>
    <n v="330764"/>
    <n v="7000"/>
    <x v="2"/>
    <x v="544"/>
    <x v="12"/>
    <s v="DELEGATE AGENCY"/>
    <s v="UNKNOWN"/>
    <x v="2"/>
  </r>
  <r>
    <n v="331128"/>
    <n v="1356339"/>
    <x v="3"/>
    <x v="500"/>
    <x v="8"/>
    <s v="DELEGATE AGENCY"/>
    <s v="UNKNOWN"/>
    <x v="2"/>
  </r>
  <r>
    <n v="331129"/>
    <n v="290001"/>
    <x v="0"/>
    <x v="46"/>
    <x v="8"/>
    <s v="DELEGATE AGENCY"/>
    <s v="UNKNOWN"/>
    <x v="2"/>
  </r>
  <r>
    <n v="331130"/>
    <n v="300000"/>
    <x v="2"/>
    <x v="40"/>
    <x v="8"/>
    <s v="DELEGATE AGENCY"/>
    <s v="UNKNOWN"/>
    <x v="2"/>
  </r>
  <r>
    <n v="331184"/>
    <n v="200000"/>
    <x v="2"/>
    <x v="1749"/>
    <x v="8"/>
    <s v="DELEGATE AGENCY"/>
    <s v="UNKNOWN"/>
    <x v="2"/>
  </r>
  <r>
    <n v="331307"/>
    <n v="80580"/>
    <x v="1"/>
    <x v="76"/>
    <x v="12"/>
    <s v="DELEGATE AGENCY"/>
    <s v="UNKNOWN"/>
    <x v="2"/>
  </r>
  <r>
    <n v="331308"/>
    <n v="121779"/>
    <x v="1"/>
    <x v="91"/>
    <x v="12"/>
    <s v="DELEGATE AGENCY"/>
    <s v="UNKNOWN"/>
    <x v="2"/>
  </r>
  <r>
    <n v="331311"/>
    <n v="65000"/>
    <x v="1"/>
    <x v="2646"/>
    <x v="31"/>
    <s v="COMPTROLLER-OTHER"/>
    <s v="UNKNOWN"/>
    <x v="2"/>
  </r>
  <r>
    <n v="331394"/>
    <n v="551095"/>
    <x v="1"/>
    <x v="2647"/>
    <x v="31"/>
    <s v="COMPTROLLER-OTHER"/>
    <s v="UNKNOWN"/>
    <x v="2"/>
  </r>
  <r>
    <n v="331402"/>
    <n v="1535504"/>
    <x v="2"/>
    <x v="296"/>
    <x v="12"/>
    <s v="DELEGATE AGENCY"/>
    <s v="UNKNOWN"/>
    <x v="2"/>
  </r>
  <r>
    <n v="331484"/>
    <n v="27960"/>
    <x v="0"/>
    <x v="2320"/>
    <x v="6"/>
    <s v="COMPTROLLER-OTHER"/>
    <s v="UNKNOWN"/>
    <x v="2"/>
  </r>
  <r>
    <n v="331601"/>
    <n v="140146"/>
    <x v="4"/>
    <x v="1190"/>
    <x v="8"/>
    <s v="DELEGATE AGENCY"/>
    <s v="UNKNOWN"/>
    <x v="2"/>
  </r>
  <r>
    <n v="331651"/>
    <n v="37500"/>
    <x v="1"/>
    <x v="59"/>
    <x v="8"/>
    <s v="DELEGATE AGENCY"/>
    <s v="UNKNOWN"/>
    <x v="2"/>
  </r>
  <r>
    <n v="331757"/>
    <n v="1638581.9"/>
    <x v="4"/>
    <x v="36"/>
    <x v="6"/>
    <s v="COMPTROLLER-OTHER"/>
    <s v="UNKNOWN"/>
    <x v="2"/>
  </r>
  <r>
    <n v="331758"/>
    <n v="86356.5"/>
    <x v="0"/>
    <x v="2648"/>
    <x v="2"/>
    <s v="COMPTROLLER-OTHER"/>
    <s v="UNKNOWN"/>
    <x v="2"/>
  </r>
  <r>
    <n v="331760"/>
    <n v="3000000"/>
    <x v="1"/>
    <x v="527"/>
    <x v="2"/>
    <s v="COMPTROLLER-OTHER"/>
    <s v="UNKNOWN"/>
    <x v="2"/>
  </r>
  <r>
    <n v="331891"/>
    <n v="139000"/>
    <x v="0"/>
    <x v="318"/>
    <x v="8"/>
    <s v="DELEGATE AGENCY"/>
    <s v="UNKNOWN"/>
    <x v="2"/>
  </r>
  <r>
    <n v="331892"/>
    <n v="101112"/>
    <x v="1"/>
    <x v="27"/>
    <x v="8"/>
    <s v="DELEGATE AGENCY"/>
    <s v="UNKNOWN"/>
    <x v="2"/>
  </r>
  <r>
    <n v="331893"/>
    <n v="81544"/>
    <x v="1"/>
    <x v="41"/>
    <x v="8"/>
    <s v="DELEGATE AGENCY"/>
    <s v="UNKNOWN"/>
    <x v="2"/>
  </r>
  <r>
    <n v="331894"/>
    <n v="26969"/>
    <x v="1"/>
    <x v="38"/>
    <x v="8"/>
    <s v="DELEGATE AGENCY"/>
    <s v="UNKNOWN"/>
    <x v="2"/>
  </r>
  <r>
    <n v="331896"/>
    <n v="27770"/>
    <x v="4"/>
    <x v="880"/>
    <x v="12"/>
    <s v="DELEGATE AGENCY"/>
    <s v="UNKNOWN"/>
    <x v="2"/>
  </r>
  <r>
    <n v="331901"/>
    <n v="99990"/>
    <x v="4"/>
    <x v="127"/>
    <x v="12"/>
    <s v="DELEGATE AGENCY"/>
    <s v="UNKNOWN"/>
    <x v="2"/>
  </r>
  <r>
    <n v="331902"/>
    <n v="17700"/>
    <x v="1"/>
    <x v="593"/>
    <x v="12"/>
    <s v="DELEGATE AGENCY"/>
    <s v="UNKNOWN"/>
    <x v="2"/>
  </r>
  <r>
    <n v="331905"/>
    <n v="17700"/>
    <x v="4"/>
    <x v="436"/>
    <x v="12"/>
    <s v="DELEGATE AGENCY"/>
    <s v="UNKNOWN"/>
    <x v="2"/>
  </r>
  <r>
    <n v="331907"/>
    <n v="172125"/>
    <x v="4"/>
    <x v="209"/>
    <x v="12"/>
    <s v="DELEGATE AGENCY"/>
    <s v="UNKNOWN"/>
    <x v="2"/>
  </r>
  <r>
    <n v="331973"/>
    <n v="27770"/>
    <x v="1"/>
    <x v="73"/>
    <x v="12"/>
    <s v="DELEGATE AGENCY"/>
    <s v="UNKNOWN"/>
    <x v="2"/>
  </r>
  <r>
    <n v="331976"/>
    <n v="17700"/>
    <x v="4"/>
    <x v="572"/>
    <x v="12"/>
    <s v="DELEGATE AGENCY"/>
    <s v="UNKNOWN"/>
    <x v="2"/>
  </r>
  <r>
    <n v="331981"/>
    <n v="27770"/>
    <x v="4"/>
    <x v="78"/>
    <x v="12"/>
    <s v="DELEGATE AGENCY"/>
    <s v="UNKNOWN"/>
    <x v="2"/>
  </r>
  <r>
    <n v="331994"/>
    <n v="99990"/>
    <x v="4"/>
    <x v="583"/>
    <x v="12"/>
    <s v="DELEGATE AGENCY"/>
    <s v="UNKNOWN"/>
    <x v="2"/>
  </r>
  <r>
    <n v="332001"/>
    <n v="99990"/>
    <x v="1"/>
    <x v="880"/>
    <x v="12"/>
    <s v="DELEGATE AGENCY"/>
    <s v="UNKNOWN"/>
    <x v="2"/>
  </r>
  <r>
    <n v="33232"/>
    <n v="174250000"/>
    <x v="1"/>
    <x v="2649"/>
    <x v="14"/>
    <s v="PRO SERV CONSULTING $250,000orABOVE"/>
    <s v="RFP"/>
    <x v="0"/>
  </r>
  <r>
    <n v="332345"/>
    <n v="20996"/>
    <x v="0"/>
    <x v="41"/>
    <x v="8"/>
    <s v="DELEGATE AGENCY"/>
    <s v="UNKNOWN"/>
    <x v="2"/>
  </r>
  <r>
    <n v="332351"/>
    <n v="60456"/>
    <x v="4"/>
    <x v="45"/>
    <x v="8"/>
    <s v="DELEGATE AGENCY"/>
    <s v="UNKNOWN"/>
    <x v="2"/>
  </r>
  <r>
    <n v="332352"/>
    <n v="21744"/>
    <x v="1"/>
    <x v="39"/>
    <x v="8"/>
    <s v="DELEGATE AGENCY"/>
    <s v="UNKNOWN"/>
    <x v="2"/>
  </r>
  <r>
    <n v="332400"/>
    <n v="17700"/>
    <x v="4"/>
    <x v="1152"/>
    <x v="12"/>
    <s v="DELEGATE AGENCY"/>
    <s v="UNKNOWN"/>
    <x v="2"/>
  </r>
  <r>
    <n v="332401"/>
    <n v="17700"/>
    <x v="4"/>
    <x v="879"/>
    <x v="12"/>
    <s v="DELEGATE AGENCY"/>
    <s v="UNKNOWN"/>
    <x v="2"/>
  </r>
  <r>
    <n v="332403"/>
    <n v="9951320"/>
    <x v="4"/>
    <x v="297"/>
    <x v="12"/>
    <s v="DELEGATE AGENCY"/>
    <s v="UNKNOWN"/>
    <x v="2"/>
  </r>
  <r>
    <n v="332556"/>
    <n v="51875"/>
    <x v="0"/>
    <x v="1129"/>
    <x v="8"/>
    <s v="DELEGATE AGENCY"/>
    <s v="UNKNOWN"/>
    <x v="2"/>
  </r>
  <r>
    <n v="332557"/>
    <n v="15000"/>
    <x v="1"/>
    <x v="204"/>
    <x v="8"/>
    <s v="DELEGATE AGENCY"/>
    <s v="UNKNOWN"/>
    <x v="2"/>
  </r>
  <r>
    <n v="332558"/>
    <n v="14100"/>
    <x v="4"/>
    <x v="288"/>
    <x v="8"/>
    <s v="DELEGATE AGENCY"/>
    <s v="UNKNOWN"/>
    <x v="2"/>
  </r>
  <r>
    <n v="33262"/>
    <n v="2032554"/>
    <x v="4"/>
    <x v="2650"/>
    <x v="5"/>
    <s v="WORK SERVICES / FACILITIES MAINT."/>
    <s v="BID"/>
    <x v="1"/>
  </r>
  <r>
    <n v="332675"/>
    <n v="215818"/>
    <x v="0"/>
    <x v="1042"/>
    <x v="22"/>
    <s v="DELEGATE AGENCY"/>
    <s v="RFP"/>
    <x v="2"/>
  </r>
  <r>
    <n v="332676"/>
    <n v="90000"/>
    <x v="1"/>
    <x v="408"/>
    <x v="22"/>
    <s v="DELEGATE AGENCY"/>
    <s v="RFP"/>
    <x v="2"/>
  </r>
  <r>
    <n v="332685"/>
    <n v="244000"/>
    <x v="1"/>
    <x v="408"/>
    <x v="22"/>
    <s v="DELEGATE AGENCY"/>
    <s v="RFP"/>
    <x v="2"/>
  </r>
  <r>
    <n v="332813"/>
    <n v="6000"/>
    <x v="1"/>
    <x v="2651"/>
    <x v="20"/>
    <s v="COMPTROLLER-OTHER"/>
    <s v="UNKNOWN"/>
    <x v="2"/>
  </r>
  <r>
    <n v="332816"/>
    <n v="2000"/>
    <x v="3"/>
    <x v="2652"/>
    <x v="20"/>
    <s v="COMPTROLLER-OTHER"/>
    <s v="UNKNOWN"/>
    <x v="2"/>
  </r>
  <r>
    <n v="332819"/>
    <n v="2500"/>
    <x v="3"/>
    <x v="2583"/>
    <x v="20"/>
    <s v="COMPTROLLER-OTHER"/>
    <s v="UNKNOWN"/>
    <x v="2"/>
  </r>
  <r>
    <n v="332832"/>
    <n v="72000"/>
    <x v="3"/>
    <x v="2653"/>
    <x v="20"/>
    <s v="COMPTROLLER-OTHER"/>
    <s v="UNKNOWN"/>
    <x v="2"/>
  </r>
  <r>
    <n v="332856"/>
    <n v="70000"/>
    <x v="1"/>
    <x v="979"/>
    <x v="20"/>
    <s v="COMPTROLLER-OTHER"/>
    <s v="UNKNOWN"/>
    <x v="2"/>
  </r>
  <r>
    <n v="332862"/>
    <n v="65000"/>
    <x v="1"/>
    <x v="1265"/>
    <x v="20"/>
    <s v="COMPTROLLER-OTHER"/>
    <s v="UNKNOWN"/>
    <x v="2"/>
  </r>
  <r>
    <n v="332878"/>
    <n v="100000"/>
    <x v="1"/>
    <x v="44"/>
    <x v="8"/>
    <s v="DELEGATE AGENCY"/>
    <s v="UNKNOWN"/>
    <x v="2"/>
  </r>
  <r>
    <n v="332910"/>
    <n v="131400"/>
    <x v="1"/>
    <x v="387"/>
    <x v="22"/>
    <s v="DELEGATE AGENCY"/>
    <s v="RFP"/>
    <x v="2"/>
  </r>
  <r>
    <n v="332911"/>
    <n v="157500"/>
    <x v="1"/>
    <x v="216"/>
    <x v="22"/>
    <s v="DELEGATE AGENCY"/>
    <s v="RFP"/>
    <x v="2"/>
  </r>
  <r>
    <n v="332912"/>
    <n v="157500"/>
    <x v="1"/>
    <x v="386"/>
    <x v="22"/>
    <s v="DELEGATE AGENCY"/>
    <s v="RFP"/>
    <x v="2"/>
  </r>
  <r>
    <n v="332913"/>
    <n v="144000"/>
    <x v="1"/>
    <x v="2654"/>
    <x v="22"/>
    <s v="DELEGATE AGENCY"/>
    <s v="RFP"/>
    <x v="2"/>
  </r>
  <r>
    <n v="332914"/>
    <n v="157500"/>
    <x v="1"/>
    <x v="213"/>
    <x v="22"/>
    <s v="DELEGATE AGENCY"/>
    <s v="RFP"/>
    <x v="2"/>
  </r>
  <r>
    <n v="332915"/>
    <n v="157500"/>
    <x v="1"/>
    <x v="314"/>
    <x v="22"/>
    <s v="DELEGATE AGENCY"/>
    <s v="RFP"/>
    <x v="2"/>
  </r>
  <r>
    <n v="332916"/>
    <n v="144000"/>
    <x v="1"/>
    <x v="82"/>
    <x v="22"/>
    <s v="DELEGATE AGENCY"/>
    <s v="RFP"/>
    <x v="2"/>
  </r>
  <r>
    <n v="332918"/>
    <n v="177000"/>
    <x v="1"/>
    <x v="389"/>
    <x v="22"/>
    <s v="DELEGATE AGENCY"/>
    <s v="RFP"/>
    <x v="2"/>
  </r>
  <r>
    <n v="332920"/>
    <n v="157500"/>
    <x v="1"/>
    <x v="385"/>
    <x v="22"/>
    <s v="DELEGATE AGENCY"/>
    <s v="RFP"/>
    <x v="2"/>
  </r>
  <r>
    <n v="332921"/>
    <n v="138000"/>
    <x v="1"/>
    <x v="290"/>
    <x v="22"/>
    <s v="DELEGATE AGENCY"/>
    <s v="RFP"/>
    <x v="2"/>
  </r>
  <r>
    <n v="332922"/>
    <n v="150000"/>
    <x v="1"/>
    <x v="66"/>
    <x v="22"/>
    <s v="DELEGATE AGENCY"/>
    <s v="RFP"/>
    <x v="2"/>
  </r>
  <r>
    <n v="332924"/>
    <n v="150000"/>
    <x v="1"/>
    <x v="391"/>
    <x v="22"/>
    <s v="DELEGATE AGENCY"/>
    <s v="RFP"/>
    <x v="2"/>
  </r>
  <r>
    <n v="332925"/>
    <n v="153600"/>
    <x v="1"/>
    <x v="363"/>
    <x v="22"/>
    <s v="DELEGATE AGENCY"/>
    <s v="RFP"/>
    <x v="2"/>
  </r>
  <r>
    <n v="332926"/>
    <n v="144000"/>
    <x v="1"/>
    <x v="354"/>
    <x v="22"/>
    <s v="DELEGATE AGENCY"/>
    <s v="RFP"/>
    <x v="2"/>
  </r>
  <r>
    <n v="332927"/>
    <n v="157500"/>
    <x v="1"/>
    <x v="392"/>
    <x v="22"/>
    <s v="DELEGATE AGENCY"/>
    <s v="RFP"/>
    <x v="2"/>
  </r>
  <r>
    <n v="332930"/>
    <n v="157500"/>
    <x v="1"/>
    <x v="383"/>
    <x v="22"/>
    <s v="DELEGATE AGENCY"/>
    <s v="RFP"/>
    <x v="2"/>
  </r>
  <r>
    <n v="332937"/>
    <n v="100000"/>
    <x v="1"/>
    <x v="43"/>
    <x v="8"/>
    <s v="DELEGATE AGENCY"/>
    <s v="UNKNOWN"/>
    <x v="2"/>
  </r>
  <r>
    <n v="332938"/>
    <n v="60000"/>
    <x v="1"/>
    <x v="45"/>
    <x v="8"/>
    <s v="DELEGATE AGENCY"/>
    <s v="UNKNOWN"/>
    <x v="2"/>
  </r>
  <r>
    <n v="332939"/>
    <n v="26969"/>
    <x v="1"/>
    <x v="38"/>
    <x v="8"/>
    <s v="DELEGATE AGENCY"/>
    <s v="UNKNOWN"/>
    <x v="2"/>
  </r>
  <r>
    <n v="332942"/>
    <n v="13476758"/>
    <x v="4"/>
    <x v="2655"/>
    <x v="2"/>
    <s v="COMPTROLLER-OTHER"/>
    <s v="UNKNOWN"/>
    <x v="2"/>
  </r>
  <r>
    <n v="333052"/>
    <n v="100000"/>
    <x v="0"/>
    <x v="311"/>
    <x v="22"/>
    <s v="DELEGATE AGENCY"/>
    <s v="RFP"/>
    <x v="2"/>
  </r>
  <r>
    <n v="333053"/>
    <n v="100000"/>
    <x v="1"/>
    <x v="2656"/>
    <x v="22"/>
    <s v="DELEGATE AGENCY"/>
    <s v="RFP"/>
    <x v="2"/>
  </r>
  <r>
    <n v="333054"/>
    <n v="100000"/>
    <x v="1"/>
    <x v="388"/>
    <x v="22"/>
    <s v="DELEGATE AGENCY"/>
    <s v="RFP"/>
    <x v="2"/>
  </r>
  <r>
    <n v="333058"/>
    <n v="6955"/>
    <x v="1"/>
    <x v="312"/>
    <x v="8"/>
    <s v="DELEGATE AGENCY"/>
    <s v="UNKNOWN"/>
    <x v="2"/>
  </r>
  <r>
    <n v="333062"/>
    <n v="45000"/>
    <x v="3"/>
    <x v="189"/>
    <x v="8"/>
    <s v="DELEGATE AGENCY"/>
    <s v="UNKNOWN"/>
    <x v="2"/>
  </r>
  <r>
    <n v="333081"/>
    <n v="211500"/>
    <x v="4"/>
    <x v="314"/>
    <x v="22"/>
    <s v="DELEGATE AGENCY"/>
    <s v="RFP"/>
    <x v="2"/>
  </r>
  <r>
    <n v="333082"/>
    <n v="192300"/>
    <x v="1"/>
    <x v="66"/>
    <x v="22"/>
    <s v="DELEGATE AGENCY"/>
    <s v="RFP"/>
    <x v="2"/>
  </r>
  <r>
    <n v="333083"/>
    <n v="306000"/>
    <x v="1"/>
    <x v="2654"/>
    <x v="22"/>
    <s v="DELEGATE AGENCY"/>
    <s v="RFP"/>
    <x v="2"/>
  </r>
  <r>
    <n v="333085"/>
    <n v="180000"/>
    <x v="2"/>
    <x v="607"/>
    <x v="22"/>
    <s v="DELEGATE AGENCY"/>
    <s v="RFP"/>
    <x v="2"/>
  </r>
  <r>
    <n v="333087"/>
    <n v="294900"/>
    <x v="1"/>
    <x v="91"/>
    <x v="22"/>
    <s v="DELEGATE AGENCY"/>
    <s v="RFP"/>
    <x v="2"/>
  </r>
  <r>
    <n v="333088"/>
    <n v="300000"/>
    <x v="2"/>
    <x v="2657"/>
    <x v="22"/>
    <s v="DELEGATE AGENCY"/>
    <s v="RFP"/>
    <x v="2"/>
  </r>
  <r>
    <n v="333089"/>
    <n v="742500"/>
    <x v="2"/>
    <x v="139"/>
    <x v="22"/>
    <s v="DELEGATE AGENCY"/>
    <s v="RFP"/>
    <x v="2"/>
  </r>
  <r>
    <n v="333090"/>
    <n v="372000"/>
    <x v="2"/>
    <x v="390"/>
    <x v="22"/>
    <s v="DELEGATE AGENCY"/>
    <s v="RFP"/>
    <x v="2"/>
  </r>
  <r>
    <n v="333095"/>
    <n v="1535504"/>
    <x v="2"/>
    <x v="296"/>
    <x v="12"/>
    <s v="DELEGATE AGENCY"/>
    <s v="UNKNOWN"/>
    <x v="2"/>
  </r>
  <r>
    <n v="333104"/>
    <n v="15000"/>
    <x v="0"/>
    <x v="45"/>
    <x v="8"/>
    <s v="DELEGATE AGENCY"/>
    <s v="UNKNOWN"/>
    <x v="2"/>
  </r>
  <r>
    <n v="333106"/>
    <n v="197086"/>
    <x v="4"/>
    <x v="28"/>
    <x v="8"/>
    <s v="DELEGATE AGENCY"/>
    <s v="UNKNOWN"/>
    <x v="2"/>
  </r>
  <r>
    <n v="333107"/>
    <n v="564100"/>
    <x v="1"/>
    <x v="19"/>
    <x v="8"/>
    <s v="DELEGATE AGENCY"/>
    <s v="UNKNOWN"/>
    <x v="2"/>
  </r>
  <r>
    <n v="333110"/>
    <n v="10000"/>
    <x v="2"/>
    <x v="2658"/>
    <x v="20"/>
    <s v="COMPTROLLER-OTHER"/>
    <s v="UNKNOWN"/>
    <x v="2"/>
  </r>
  <r>
    <n v="333111"/>
    <n v="10000"/>
    <x v="4"/>
    <x v="696"/>
    <x v="20"/>
    <s v="COMPTROLLER-OTHER"/>
    <s v="UNKNOWN"/>
    <x v="2"/>
  </r>
  <r>
    <n v="333114"/>
    <n v="75000"/>
    <x v="4"/>
    <x v="1205"/>
    <x v="20"/>
    <s v="COMPTROLLER-OTHER"/>
    <s v="UNKNOWN"/>
    <x v="2"/>
  </r>
  <r>
    <n v="333117"/>
    <n v="15000"/>
    <x v="1"/>
    <x v="754"/>
    <x v="20"/>
    <s v="COMPTROLLER-OTHER"/>
    <s v="UNKNOWN"/>
    <x v="2"/>
  </r>
  <r>
    <n v="333118"/>
    <n v="10000"/>
    <x v="4"/>
    <x v="847"/>
    <x v="20"/>
    <s v="COMPTROLLER-OTHER"/>
    <s v="UNKNOWN"/>
    <x v="2"/>
  </r>
  <r>
    <n v="333119"/>
    <n v="10000"/>
    <x v="4"/>
    <x v="820"/>
    <x v="20"/>
    <s v="COMPTROLLER-OTHER"/>
    <s v="UNKNOWN"/>
    <x v="2"/>
  </r>
  <r>
    <n v="333120"/>
    <n v="20000"/>
    <x v="4"/>
    <x v="789"/>
    <x v="20"/>
    <s v="COMPTROLLER-OTHER"/>
    <s v="UNKNOWN"/>
    <x v="2"/>
  </r>
  <r>
    <n v="333121"/>
    <n v="30000"/>
    <x v="4"/>
    <x v="1916"/>
    <x v="20"/>
    <s v="COMPTROLLER-OTHER"/>
    <s v="UNKNOWN"/>
    <x v="2"/>
  </r>
  <r>
    <n v="333184"/>
    <n v="75988"/>
    <x v="4"/>
    <x v="39"/>
    <x v="8"/>
    <s v="DELEGATE AGENCY"/>
    <s v="UNKNOWN"/>
    <x v="2"/>
  </r>
  <r>
    <n v="333185"/>
    <n v="50000"/>
    <x v="1"/>
    <x v="47"/>
    <x v="8"/>
    <s v="DELEGATE AGENCY"/>
    <s v="UNKNOWN"/>
    <x v="2"/>
  </r>
  <r>
    <n v="333201"/>
    <n v="10000"/>
    <x v="1"/>
    <x v="313"/>
    <x v="8"/>
    <s v="DELEGATE AGENCY"/>
    <s v="UNKNOWN"/>
    <x v="2"/>
  </r>
  <r>
    <n v="333203"/>
    <n v="9025"/>
    <x v="4"/>
    <x v="49"/>
    <x v="8"/>
    <s v="DELEGATE AGENCY"/>
    <s v="UNKNOWN"/>
    <x v="2"/>
  </r>
  <r>
    <n v="333206"/>
    <n v="500000"/>
    <x v="3"/>
    <x v="343"/>
    <x v="12"/>
    <s v="DELEGATE AGENCY"/>
    <s v="UNKNOWN"/>
    <x v="2"/>
  </r>
  <r>
    <n v="333371"/>
    <n v="1600000"/>
    <x v="2"/>
    <x v="1165"/>
    <x v="16"/>
    <s v="COMPTROLLER-OTHER"/>
    <s v="UNKNOWN"/>
    <x v="2"/>
  </r>
  <r>
    <n v="333535"/>
    <n v="50000"/>
    <x v="0"/>
    <x v="2659"/>
    <x v="20"/>
    <s v="COMPTROLLER-OTHER"/>
    <s v="UNKNOWN"/>
    <x v="2"/>
  </r>
  <r>
    <n v="333579"/>
    <n v="75000"/>
    <x v="1"/>
    <x v="789"/>
    <x v="20"/>
    <s v="COMPTROLLER-OTHER"/>
    <s v="UNKNOWN"/>
    <x v="2"/>
  </r>
  <r>
    <n v="333616"/>
    <n v="10000"/>
    <x v="1"/>
    <x v="659"/>
    <x v="20"/>
    <s v="COMPTROLLER-OTHER"/>
    <s v="UNKNOWN"/>
    <x v="2"/>
  </r>
  <r>
    <n v="333632"/>
    <n v="10000"/>
    <x v="4"/>
    <x v="708"/>
    <x v="20"/>
    <s v="COMPTROLLER-OTHER"/>
    <s v="UNKNOWN"/>
    <x v="2"/>
  </r>
  <r>
    <n v="333639"/>
    <n v="10000"/>
    <x v="4"/>
    <x v="2660"/>
    <x v="20"/>
    <s v="COMPTROLLER-OTHER"/>
    <s v="UNKNOWN"/>
    <x v="2"/>
  </r>
  <r>
    <n v="333642"/>
    <n v="2500000"/>
    <x v="4"/>
    <x v="1165"/>
    <x v="20"/>
    <s v="COMPTROLLER-OTHER"/>
    <s v="UNKNOWN"/>
    <x v="2"/>
  </r>
  <r>
    <n v="333651"/>
    <n v="500000"/>
    <x v="0"/>
    <x v="1165"/>
    <x v="16"/>
    <s v="COMPTROLLER-OTHER"/>
    <s v="UNKNOWN"/>
    <x v="2"/>
  </r>
  <r>
    <n v="333766"/>
    <n v="163310"/>
    <x v="2"/>
    <x v="38"/>
    <x v="8"/>
    <s v="DELEGATE AGENCY"/>
    <s v="UNKNOWN"/>
    <x v="2"/>
  </r>
  <r>
    <n v="333767"/>
    <n v="50000"/>
    <x v="1"/>
    <x v="47"/>
    <x v="8"/>
    <s v="DELEGATE AGENCY"/>
    <s v="UNKNOWN"/>
    <x v="2"/>
  </r>
  <r>
    <n v="333768"/>
    <n v="10000"/>
    <x v="1"/>
    <x v="448"/>
    <x v="20"/>
    <s v="COMPTROLLER-OTHER"/>
    <s v="UNKNOWN"/>
    <x v="2"/>
  </r>
  <r>
    <n v="333772"/>
    <n v="5000"/>
    <x v="4"/>
    <x v="1693"/>
    <x v="20"/>
    <s v="COMPTROLLER-OTHER"/>
    <s v="UNKNOWN"/>
    <x v="2"/>
  </r>
  <r>
    <n v="333774"/>
    <n v="15000"/>
    <x v="3"/>
    <x v="632"/>
    <x v="20"/>
    <s v="COMPTROLLER-OTHER"/>
    <s v="UNKNOWN"/>
    <x v="2"/>
  </r>
  <r>
    <n v="333775"/>
    <n v="10000"/>
    <x v="4"/>
    <x v="2242"/>
    <x v="20"/>
    <s v="COMPTROLLER-OTHER"/>
    <s v="UNKNOWN"/>
    <x v="2"/>
  </r>
  <r>
    <n v="333776"/>
    <n v="302671"/>
    <x v="4"/>
    <x v="24"/>
    <x v="8"/>
    <s v="DELEGATE AGENCY"/>
    <s v="UNKNOWN"/>
    <x v="2"/>
  </r>
  <r>
    <n v="333783"/>
    <n v="10000"/>
    <x v="2"/>
    <x v="2661"/>
    <x v="20"/>
    <s v="COMPTROLLER-OTHER"/>
    <s v="UNKNOWN"/>
    <x v="2"/>
  </r>
  <r>
    <n v="333791"/>
    <n v="10000"/>
    <x v="4"/>
    <x v="2662"/>
    <x v="20"/>
    <s v="COMPTROLLER-OTHER"/>
    <s v="UNKNOWN"/>
    <x v="2"/>
  </r>
  <r>
    <n v="333798"/>
    <n v="10000"/>
    <x v="4"/>
    <x v="2247"/>
    <x v="20"/>
    <s v="COMPTROLLER-OTHER"/>
    <s v="UNKNOWN"/>
    <x v="2"/>
  </r>
  <r>
    <n v="333823"/>
    <n v="10000"/>
    <x v="4"/>
    <x v="2265"/>
    <x v="20"/>
    <s v="COMPTROLLER-OTHER"/>
    <s v="UNKNOWN"/>
    <x v="2"/>
  </r>
  <r>
    <n v="333829"/>
    <n v="5000"/>
    <x v="4"/>
    <x v="638"/>
    <x v="20"/>
    <s v="COMPTROLLER-OTHER"/>
    <s v="UNKNOWN"/>
    <x v="2"/>
  </r>
  <r>
    <n v="333858"/>
    <n v="17700"/>
    <x v="3"/>
    <x v="204"/>
    <x v="12"/>
    <s v="DELEGATE AGENCY"/>
    <s v="UNKNOWN"/>
    <x v="2"/>
  </r>
  <r>
    <n v="333859"/>
    <n v="13133"/>
    <x v="4"/>
    <x v="66"/>
    <x v="12"/>
    <s v="DELEGATE AGENCY"/>
    <s v="UNKNOWN"/>
    <x v="2"/>
  </r>
  <r>
    <n v="333861"/>
    <n v="19700"/>
    <x v="4"/>
    <x v="62"/>
    <x v="12"/>
    <s v="DELEGATE AGENCY"/>
    <s v="UNKNOWN"/>
    <x v="2"/>
  </r>
  <r>
    <n v="333862"/>
    <n v="10423"/>
    <x v="4"/>
    <x v="62"/>
    <x v="12"/>
    <s v="DELEGATE AGENCY"/>
    <s v="UNKNOWN"/>
    <x v="2"/>
  </r>
  <r>
    <n v="333863"/>
    <n v="68464"/>
    <x v="4"/>
    <x v="62"/>
    <x v="12"/>
    <s v="DELEGATE AGENCY"/>
    <s v="UNKNOWN"/>
    <x v="2"/>
  </r>
  <r>
    <n v="333865"/>
    <n v="28333"/>
    <x v="1"/>
    <x v="259"/>
    <x v="12"/>
    <s v="DELEGATE AGENCY"/>
    <s v="UNKNOWN"/>
    <x v="2"/>
  </r>
  <r>
    <n v="333866"/>
    <n v="40390"/>
    <x v="4"/>
    <x v="62"/>
    <x v="12"/>
    <s v="DELEGATE AGENCY"/>
    <s v="UNKNOWN"/>
    <x v="2"/>
  </r>
  <r>
    <n v="333868"/>
    <n v="17700"/>
    <x v="4"/>
    <x v="583"/>
    <x v="12"/>
    <s v="DELEGATE AGENCY"/>
    <s v="UNKNOWN"/>
    <x v="2"/>
  </r>
  <r>
    <n v="333869"/>
    <n v="21020"/>
    <x v="4"/>
    <x v="75"/>
    <x v="12"/>
    <s v="DELEGATE AGENCY"/>
    <s v="UNKNOWN"/>
    <x v="2"/>
  </r>
  <r>
    <n v="333884"/>
    <n v="3500000"/>
    <x v="4"/>
    <x v="145"/>
    <x v="2"/>
    <s v="COMPTROLLER-OTHER"/>
    <s v="UNKNOWN"/>
    <x v="2"/>
  </r>
  <r>
    <n v="333890"/>
    <n v="2000000"/>
    <x v="0"/>
    <x v="1553"/>
    <x v="2"/>
    <s v="COMPTROLLER-OTHER"/>
    <s v="UNKNOWN"/>
    <x v="2"/>
  </r>
  <r>
    <n v="333892"/>
    <n v="144210"/>
    <x v="0"/>
    <x v="2663"/>
    <x v="2"/>
    <s v="COMPTROLLER-OTHER"/>
    <s v="UNKNOWN"/>
    <x v="2"/>
  </r>
  <r>
    <n v="333895"/>
    <n v="10000000"/>
    <x v="1"/>
    <x v="2664"/>
    <x v="2"/>
    <s v="COMPTROLLER-OTHER"/>
    <s v="UNKNOWN"/>
    <x v="2"/>
  </r>
  <r>
    <n v="333899"/>
    <n v="2000000"/>
    <x v="0"/>
    <x v="145"/>
    <x v="2"/>
    <s v="COMPTROLLER-OTHER"/>
    <s v="UNKNOWN"/>
    <x v="2"/>
  </r>
  <r>
    <n v="333903"/>
    <n v="910000"/>
    <x v="0"/>
    <x v="145"/>
    <x v="2"/>
    <s v="COMPTROLLER-OTHER"/>
    <s v="UNKNOWN"/>
    <x v="2"/>
  </r>
  <r>
    <n v="333906"/>
    <n v="1925000"/>
    <x v="2"/>
    <x v="399"/>
    <x v="2"/>
    <s v="COMPTROLLER-OTHER"/>
    <s v="UNKNOWN"/>
    <x v="2"/>
  </r>
  <r>
    <n v="333915"/>
    <n v="8000000"/>
    <x v="0"/>
    <x v="2665"/>
    <x v="2"/>
    <s v="COMPTROLLER-OTHER"/>
    <s v="UNKNOWN"/>
    <x v="2"/>
  </r>
  <r>
    <n v="333918"/>
    <n v="249032"/>
    <x v="0"/>
    <x v="2666"/>
    <x v="2"/>
    <s v="COMPTROLLER-OTHER"/>
    <s v="UNKNOWN"/>
    <x v="2"/>
  </r>
  <r>
    <n v="333920"/>
    <n v="1300000"/>
    <x v="1"/>
    <x v="1154"/>
    <x v="2"/>
    <s v="COMPTROLLER-OTHER"/>
    <s v="UNKNOWN"/>
    <x v="2"/>
  </r>
  <r>
    <n v="333945"/>
    <n v="96283.7"/>
    <x v="0"/>
    <x v="2667"/>
    <x v="2"/>
    <s v="COMPTROLLER-OTHER"/>
    <s v="UNKNOWN"/>
    <x v="2"/>
  </r>
  <r>
    <n v="333951"/>
    <n v="1400000"/>
    <x v="1"/>
    <x v="145"/>
    <x v="2"/>
    <s v="COMPTROLLER-OTHER"/>
    <s v="UNKNOWN"/>
    <x v="2"/>
  </r>
  <r>
    <n v="333958"/>
    <n v="13950000"/>
    <x v="0"/>
    <x v="145"/>
    <x v="2"/>
    <s v="COMPTROLLER-OTHER"/>
    <s v="UNKNOWN"/>
    <x v="2"/>
  </r>
  <r>
    <n v="333961"/>
    <n v="150000"/>
    <x v="0"/>
    <x v="391"/>
    <x v="2"/>
    <s v="COMPTROLLER-OTHER"/>
    <s v="UNKNOWN"/>
    <x v="2"/>
  </r>
  <r>
    <n v="333962"/>
    <n v="65691.7"/>
    <x v="1"/>
    <x v="706"/>
    <x v="2"/>
    <s v="COMPTROLLER-OTHER"/>
    <s v="UNKNOWN"/>
    <x v="2"/>
  </r>
  <r>
    <n v="333964"/>
    <n v="5000000"/>
    <x v="1"/>
    <x v="605"/>
    <x v="2"/>
    <s v="COMPTROLLER-OTHER"/>
    <s v="UNKNOWN"/>
    <x v="2"/>
  </r>
  <r>
    <n v="333966"/>
    <n v="100000"/>
    <x v="0"/>
    <x v="2668"/>
    <x v="20"/>
    <s v="COMPTROLLER-OTHER"/>
    <s v="UNKNOWN"/>
    <x v="2"/>
  </r>
  <r>
    <n v="333974"/>
    <n v="10000"/>
    <x v="1"/>
    <x v="2190"/>
    <x v="20"/>
    <s v="COMPTROLLER-OTHER"/>
    <s v="UNKNOWN"/>
    <x v="2"/>
  </r>
  <r>
    <n v="333975"/>
    <n v="1000"/>
    <x v="4"/>
    <x v="2669"/>
    <x v="20"/>
    <s v="COMPTROLLER-OTHER"/>
    <s v="UNKNOWN"/>
    <x v="2"/>
  </r>
  <r>
    <n v="333981"/>
    <n v="75000"/>
    <x v="3"/>
    <x v="197"/>
    <x v="2"/>
    <s v="COMPTROLLER-OTHER"/>
    <s v="UNKNOWN"/>
    <x v="2"/>
  </r>
  <r>
    <n v="333984"/>
    <n v="125000"/>
    <x v="1"/>
    <x v="2670"/>
    <x v="20"/>
    <s v="COMPTROLLER-OTHER"/>
    <s v="UNKNOWN"/>
    <x v="2"/>
  </r>
  <r>
    <n v="334008"/>
    <n v="121779"/>
    <x v="1"/>
    <x v="61"/>
    <x v="12"/>
    <s v="DELEGATE AGENCY"/>
    <s v="UNKNOWN"/>
    <x v="2"/>
  </r>
  <r>
    <n v="334172"/>
    <n v="17700"/>
    <x v="1"/>
    <x v="464"/>
    <x v="12"/>
    <s v="DELEGATE AGENCY"/>
    <s v="UNKNOWN"/>
    <x v="2"/>
  </r>
  <r>
    <n v="334240"/>
    <n v="155110"/>
    <x v="4"/>
    <x v="24"/>
    <x v="8"/>
    <s v="DELEGATE AGENCY"/>
    <s v="UNKNOWN"/>
    <x v="2"/>
  </r>
  <r>
    <n v="334421"/>
    <n v="176555"/>
    <x v="1"/>
    <x v="404"/>
    <x v="8"/>
    <s v="DELEGATE AGENCY"/>
    <s v="UNKNOWN"/>
    <x v="2"/>
  </r>
  <r>
    <n v="334539"/>
    <n v="150000"/>
    <x v="1"/>
    <x v="201"/>
    <x v="8"/>
    <s v="DELEGATE AGENCY"/>
    <s v="UNKNOWN"/>
    <x v="2"/>
  </r>
  <r>
    <n v="334557"/>
    <n v="273598"/>
    <x v="1"/>
    <x v="565"/>
    <x v="8"/>
    <s v="DELEGATE AGENCY"/>
    <s v="UNKNOWN"/>
    <x v="2"/>
  </r>
  <r>
    <n v="334559"/>
    <n v="10000"/>
    <x v="2"/>
    <x v="1351"/>
    <x v="20"/>
    <s v="COMPTROLLER-OTHER"/>
    <s v="UNKNOWN"/>
    <x v="2"/>
  </r>
  <r>
    <n v="334561"/>
    <n v="35000"/>
    <x v="4"/>
    <x v="699"/>
    <x v="20"/>
    <s v="COMPTROLLER-OTHER"/>
    <s v="UNKNOWN"/>
    <x v="2"/>
  </r>
  <r>
    <n v="334562"/>
    <n v="25000"/>
    <x v="4"/>
    <x v="376"/>
    <x v="20"/>
    <s v="COMPTROLLER-OTHER"/>
    <s v="UNKNOWN"/>
    <x v="2"/>
  </r>
  <r>
    <n v="334563"/>
    <n v="75000"/>
    <x v="4"/>
    <x v="757"/>
    <x v="20"/>
    <s v="COMPTROLLER-OTHER"/>
    <s v="UNKNOWN"/>
    <x v="2"/>
  </r>
  <r>
    <n v="334565"/>
    <n v="10000"/>
    <x v="1"/>
    <x v="622"/>
    <x v="20"/>
    <s v="COMPTROLLER-OTHER"/>
    <s v="UNKNOWN"/>
    <x v="2"/>
  </r>
  <r>
    <n v="334566"/>
    <n v="10000"/>
    <x v="4"/>
    <x v="1542"/>
    <x v="20"/>
    <s v="COMPTROLLER-OTHER"/>
    <s v="UNKNOWN"/>
    <x v="2"/>
  </r>
  <r>
    <n v="334567"/>
    <n v="75000"/>
    <x v="4"/>
    <x v="1269"/>
    <x v="20"/>
    <s v="COMPTROLLER-OTHER"/>
    <s v="UNKNOWN"/>
    <x v="2"/>
  </r>
  <r>
    <n v="334568"/>
    <n v="10000"/>
    <x v="1"/>
    <x v="619"/>
    <x v="20"/>
    <s v="COMPTROLLER-OTHER"/>
    <s v="UNKNOWN"/>
    <x v="2"/>
  </r>
  <r>
    <n v="334573"/>
    <n v="10000"/>
    <x v="4"/>
    <x v="652"/>
    <x v="20"/>
    <s v="COMPTROLLER-OTHER"/>
    <s v="UNKNOWN"/>
    <x v="2"/>
  </r>
  <r>
    <n v="334583"/>
    <n v="25000"/>
    <x v="4"/>
    <x v="1788"/>
    <x v="20"/>
    <s v="COMPTROLLER-OTHER"/>
    <s v="UNKNOWN"/>
    <x v="2"/>
  </r>
  <r>
    <n v="334596"/>
    <n v="10000"/>
    <x v="4"/>
    <x v="1619"/>
    <x v="20"/>
    <s v="COMPTROLLER-OTHER"/>
    <s v="UNKNOWN"/>
    <x v="2"/>
  </r>
  <r>
    <n v="334603"/>
    <n v="20000"/>
    <x v="4"/>
    <x v="578"/>
    <x v="20"/>
    <s v="COMPTROLLER-OTHER"/>
    <s v="UNKNOWN"/>
    <x v="2"/>
  </r>
  <r>
    <n v="334606"/>
    <n v="5000"/>
    <x v="4"/>
    <x v="2671"/>
    <x v="20"/>
    <s v="COMPTROLLER-OTHER"/>
    <s v="UNKNOWN"/>
    <x v="2"/>
  </r>
  <r>
    <n v="334615"/>
    <n v="10000"/>
    <x v="3"/>
    <x v="618"/>
    <x v="20"/>
    <s v="COMPTROLLER-OTHER"/>
    <s v="UNKNOWN"/>
    <x v="2"/>
  </r>
  <r>
    <n v="334616"/>
    <n v="55000"/>
    <x v="4"/>
    <x v="220"/>
    <x v="20"/>
    <s v="COMPTROLLER-OTHER"/>
    <s v="UNKNOWN"/>
    <x v="2"/>
  </r>
  <r>
    <n v="334618"/>
    <n v="10000"/>
    <x v="1"/>
    <x v="2672"/>
    <x v="20"/>
    <s v="COMPTROLLER-OTHER"/>
    <s v="UNKNOWN"/>
    <x v="2"/>
  </r>
  <r>
    <n v="33467"/>
    <n v="14619.7"/>
    <x v="4"/>
    <x v="16"/>
    <x v="3"/>
    <s v="COMMODITIES"/>
    <s v="BID"/>
    <x v="2"/>
  </r>
  <r>
    <n v="33468"/>
    <n v="20000"/>
    <x v="4"/>
    <x v="160"/>
    <x v="3"/>
    <s v="COMMODITIES"/>
    <s v="BID"/>
    <x v="2"/>
  </r>
  <r>
    <n v="33469"/>
    <n v="6003689"/>
    <x v="4"/>
    <x v="2673"/>
    <x v="15"/>
    <s v="COMMODITIES"/>
    <s v="BID"/>
    <x v="0"/>
  </r>
  <r>
    <n v="334706"/>
    <n v="100000"/>
    <x v="0"/>
    <x v="2674"/>
    <x v="20"/>
    <s v="COMPTROLLER-OTHER"/>
    <s v="UNKNOWN"/>
    <x v="2"/>
  </r>
  <r>
    <n v="334712"/>
    <n v="1860736"/>
    <x v="1"/>
    <x v="23"/>
    <x v="12"/>
    <s v="COMPTROLLER-OTHER"/>
    <s v="UNKNOWN"/>
    <x v="2"/>
  </r>
  <r>
    <n v="334736"/>
    <n v="10000"/>
    <x v="0"/>
    <x v="829"/>
    <x v="20"/>
    <s v="COMPTROLLER-OTHER"/>
    <s v="UNKNOWN"/>
    <x v="2"/>
  </r>
  <r>
    <n v="334737"/>
    <n v="10000"/>
    <x v="4"/>
    <x v="635"/>
    <x v="20"/>
    <s v="COMPTROLLER-OTHER"/>
    <s v="UNKNOWN"/>
    <x v="2"/>
  </r>
  <r>
    <n v="334738"/>
    <n v="10000"/>
    <x v="4"/>
    <x v="723"/>
    <x v="20"/>
    <s v="COMPTROLLER-OTHER"/>
    <s v="UNKNOWN"/>
    <x v="2"/>
  </r>
  <r>
    <n v="334740"/>
    <n v="5000"/>
    <x v="4"/>
    <x v="1186"/>
    <x v="20"/>
    <s v="COMPTROLLER-OTHER"/>
    <s v="UNKNOWN"/>
    <x v="2"/>
  </r>
  <r>
    <n v="334743"/>
    <n v="20000"/>
    <x v="3"/>
    <x v="784"/>
    <x v="20"/>
    <s v="COMPTROLLER-OTHER"/>
    <s v="UNKNOWN"/>
    <x v="2"/>
  </r>
  <r>
    <n v="334745"/>
    <n v="400000"/>
    <x v="4"/>
    <x v="343"/>
    <x v="12"/>
    <s v="DELEGATE AGENCY"/>
    <s v="UNKNOWN"/>
    <x v="2"/>
  </r>
  <r>
    <n v="334748"/>
    <n v="40000"/>
    <x v="2"/>
    <x v="652"/>
    <x v="20"/>
    <s v="COMPTROLLER-OTHER"/>
    <s v="UNKNOWN"/>
    <x v="2"/>
  </r>
  <r>
    <n v="334766"/>
    <n v="329299"/>
    <x v="4"/>
    <x v="139"/>
    <x v="8"/>
    <s v="DELEGATE AGENCY"/>
    <s v="UNKNOWN"/>
    <x v="2"/>
  </r>
  <r>
    <n v="334769"/>
    <n v="98000"/>
    <x v="2"/>
    <x v="28"/>
    <x v="8"/>
    <s v="DELEGATE AGENCY"/>
    <s v="UNKNOWN"/>
    <x v="2"/>
  </r>
  <r>
    <n v="334771"/>
    <n v="116247"/>
    <x v="1"/>
    <x v="43"/>
    <x v="8"/>
    <s v="DELEGATE AGENCY"/>
    <s v="UNKNOWN"/>
    <x v="2"/>
  </r>
  <r>
    <n v="334918"/>
    <n v="100000"/>
    <x v="1"/>
    <x v="343"/>
    <x v="12"/>
    <s v="DELEGATE AGENCY"/>
    <s v="UNKNOWN"/>
    <x v="2"/>
  </r>
  <r>
    <n v="33493"/>
    <n v="1571566.3"/>
    <x v="1"/>
    <x v="1300"/>
    <x v="3"/>
    <s v="WORK SERVICES / FACILITIES MAINT."/>
    <s v="BID"/>
    <x v="1"/>
  </r>
  <r>
    <n v="335019"/>
    <n v="10279000"/>
    <x v="0"/>
    <x v="2675"/>
    <x v="22"/>
    <s v="DELEGATE AGENCY"/>
    <s v="RFP"/>
    <x v="2"/>
  </r>
  <r>
    <n v="335020"/>
    <n v="600000"/>
    <x v="0"/>
    <x v="2676"/>
    <x v="22"/>
    <s v="DELEGATE AGENCY"/>
    <s v="RFP"/>
    <x v="2"/>
  </r>
  <r>
    <n v="335036"/>
    <n v="450000"/>
    <x v="2"/>
    <x v="2677"/>
    <x v="8"/>
    <s v="COMPTROLLER-OTHER"/>
    <s v="UNKNOWN"/>
    <x v="2"/>
  </r>
  <r>
    <n v="335042"/>
    <n v="1164133"/>
    <x v="2"/>
    <x v="1848"/>
    <x v="6"/>
    <s v="COMPTROLLER-OTHER"/>
    <s v="UNKNOWN"/>
    <x v="2"/>
  </r>
  <r>
    <n v="335048"/>
    <n v="44736"/>
    <x v="0"/>
    <x v="78"/>
    <x v="12"/>
    <s v="DELEGATE AGENCY"/>
    <s v="UNKNOWN"/>
    <x v="2"/>
  </r>
  <r>
    <n v="335051"/>
    <n v="180000"/>
    <x v="4"/>
    <x v="2678"/>
    <x v="20"/>
    <s v="COMPTROLLER-OTHER"/>
    <s v="UNKNOWN"/>
    <x v="2"/>
  </r>
  <r>
    <n v="335053"/>
    <n v="2000000"/>
    <x v="1"/>
    <x v="156"/>
    <x v="2"/>
    <s v="COMPTROLLER-OTHER"/>
    <s v="UNKNOWN"/>
    <x v="2"/>
  </r>
  <r>
    <n v="335063"/>
    <n v="250000"/>
    <x v="0"/>
    <x v="2679"/>
    <x v="2"/>
    <s v="COMPTROLLER-OTHER"/>
    <s v="UNKNOWN"/>
    <x v="2"/>
  </r>
  <r>
    <n v="335069"/>
    <n v="10000"/>
    <x v="2"/>
    <x v="626"/>
    <x v="20"/>
    <s v="COMPTROLLER-OTHER"/>
    <s v="UNKNOWN"/>
    <x v="2"/>
  </r>
  <r>
    <n v="335072"/>
    <n v="800000"/>
    <x v="4"/>
    <x v="156"/>
    <x v="2"/>
    <s v="COMPTROLLER-OTHER"/>
    <s v="UNKNOWN"/>
    <x v="2"/>
  </r>
  <r>
    <n v="335082"/>
    <n v="1280325"/>
    <x v="2"/>
    <x v="591"/>
    <x v="2"/>
    <s v="COMPTROLLER-OTHER"/>
    <s v="UNKNOWN"/>
    <x v="2"/>
  </r>
  <r>
    <n v="335088"/>
    <n v="10000"/>
    <x v="0"/>
    <x v="756"/>
    <x v="20"/>
    <s v="COMPTROLLER-OTHER"/>
    <s v="UNKNOWN"/>
    <x v="2"/>
  </r>
  <r>
    <n v="335090"/>
    <n v="17500"/>
    <x v="4"/>
    <x v="2243"/>
    <x v="20"/>
    <s v="COMPTROLLER-OTHER"/>
    <s v="UNKNOWN"/>
    <x v="2"/>
  </r>
  <r>
    <n v="335092"/>
    <n v="10000"/>
    <x v="4"/>
    <x v="2208"/>
    <x v="20"/>
    <s v="COMPTROLLER-OTHER"/>
    <s v="UNKNOWN"/>
    <x v="2"/>
  </r>
  <r>
    <n v="335093"/>
    <n v="10000"/>
    <x v="4"/>
    <x v="846"/>
    <x v="20"/>
    <s v="COMPTROLLER-OTHER"/>
    <s v="UNKNOWN"/>
    <x v="2"/>
  </r>
  <r>
    <n v="335094"/>
    <n v="12000"/>
    <x v="4"/>
    <x v="764"/>
    <x v="20"/>
    <s v="COMPTROLLER-OTHER"/>
    <s v="UNKNOWN"/>
    <x v="2"/>
  </r>
  <r>
    <n v="335096"/>
    <n v="15000"/>
    <x v="4"/>
    <x v="653"/>
    <x v="20"/>
    <s v="COMPTROLLER-OTHER"/>
    <s v="UNKNOWN"/>
    <x v="2"/>
  </r>
  <r>
    <n v="335098"/>
    <n v="15000"/>
    <x v="4"/>
    <x v="1701"/>
    <x v="20"/>
    <s v="COMPTROLLER-OTHER"/>
    <s v="UNKNOWN"/>
    <x v="2"/>
  </r>
  <r>
    <n v="335099"/>
    <n v="15000"/>
    <x v="4"/>
    <x v="2680"/>
    <x v="20"/>
    <s v="COMPTROLLER-OTHER"/>
    <s v="UNKNOWN"/>
    <x v="2"/>
  </r>
  <r>
    <n v="335100"/>
    <n v="20000"/>
    <x v="4"/>
    <x v="764"/>
    <x v="20"/>
    <s v="COMPTROLLER-OTHER"/>
    <s v="UNKNOWN"/>
    <x v="2"/>
  </r>
  <r>
    <n v="335101"/>
    <n v="5000"/>
    <x v="4"/>
    <x v="2681"/>
    <x v="20"/>
    <s v="COMPTROLLER-OTHER"/>
    <s v="UNKNOWN"/>
    <x v="2"/>
  </r>
  <r>
    <n v="335102"/>
    <n v="23000"/>
    <x v="3"/>
    <x v="1667"/>
    <x v="20"/>
    <s v="COMPTROLLER-OTHER"/>
    <s v="UNKNOWN"/>
    <x v="2"/>
  </r>
  <r>
    <n v="335111"/>
    <n v="28333"/>
    <x v="4"/>
    <x v="61"/>
    <x v="12"/>
    <s v="DELEGATE AGENCY"/>
    <s v="UNKNOWN"/>
    <x v="2"/>
  </r>
  <r>
    <n v="335112"/>
    <n v="10210"/>
    <x v="4"/>
    <x v="77"/>
    <x v="12"/>
    <s v="DELEGATE AGENCY"/>
    <s v="UNKNOWN"/>
    <x v="2"/>
  </r>
  <r>
    <n v="335113"/>
    <n v="10671"/>
    <x v="4"/>
    <x v="77"/>
    <x v="12"/>
    <s v="DELEGATE AGENCY"/>
    <s v="UNKNOWN"/>
    <x v="2"/>
  </r>
  <r>
    <n v="335114"/>
    <n v="28457"/>
    <x v="4"/>
    <x v="77"/>
    <x v="12"/>
    <s v="DELEGATE AGENCY"/>
    <s v="UNKNOWN"/>
    <x v="2"/>
  </r>
  <r>
    <n v="335115"/>
    <n v="48019"/>
    <x v="4"/>
    <x v="510"/>
    <x v="12"/>
    <s v="DELEGATE AGENCY"/>
    <s v="UNKNOWN"/>
    <x v="2"/>
  </r>
  <r>
    <n v="335116"/>
    <n v="80696"/>
    <x v="4"/>
    <x v="65"/>
    <x v="12"/>
    <s v="DELEGATE AGENCY"/>
    <s v="UNKNOWN"/>
    <x v="2"/>
  </r>
  <r>
    <n v="335117"/>
    <n v="14892"/>
    <x v="1"/>
    <x v="78"/>
    <x v="12"/>
    <s v="DELEGATE AGENCY"/>
    <s v="UNKNOWN"/>
    <x v="2"/>
  </r>
  <r>
    <n v="335119"/>
    <n v="14149"/>
    <x v="4"/>
    <x v="65"/>
    <x v="12"/>
    <s v="DELEGATE AGENCY"/>
    <s v="UNKNOWN"/>
    <x v="2"/>
  </r>
  <r>
    <n v="335120"/>
    <n v="99993"/>
    <x v="4"/>
    <x v="65"/>
    <x v="12"/>
    <s v="DELEGATE AGENCY"/>
    <s v="UNKNOWN"/>
    <x v="2"/>
  </r>
  <r>
    <n v="335138"/>
    <n v="1000"/>
    <x v="1"/>
    <x v="1680"/>
    <x v="20"/>
    <s v="COMPTROLLER-OTHER"/>
    <s v="UNKNOWN"/>
    <x v="2"/>
  </r>
  <r>
    <n v="335151"/>
    <n v="16500"/>
    <x v="3"/>
    <x v="2682"/>
    <x v="20"/>
    <s v="COMPTROLLER-OTHER"/>
    <s v="UNKNOWN"/>
    <x v="2"/>
  </r>
  <r>
    <n v="335221"/>
    <n v="1892928"/>
    <x v="4"/>
    <x v="1742"/>
    <x v="2"/>
    <s v="COMPTROLLER-OTHER"/>
    <s v="UNKNOWN"/>
    <x v="2"/>
  </r>
  <r>
    <n v="335246"/>
    <n v="39065"/>
    <x v="0"/>
    <x v="1005"/>
    <x v="8"/>
    <s v="DELEGATE AGENCY"/>
    <s v="UNKNOWN"/>
    <x v="2"/>
  </r>
  <r>
    <n v="335289"/>
    <n v="12250000"/>
    <x v="4"/>
    <x v="359"/>
    <x v="2"/>
    <s v="COMPTROLLER-OTHER"/>
    <s v="UNKNOWN"/>
    <x v="2"/>
  </r>
  <r>
    <n v="335301"/>
    <n v="13133"/>
    <x v="0"/>
    <x v="60"/>
    <x v="12"/>
    <s v="DELEGATE AGENCY"/>
    <s v="UNKNOWN"/>
    <x v="2"/>
  </r>
  <r>
    <n v="335342"/>
    <n v="112500"/>
    <x v="4"/>
    <x v="564"/>
    <x v="8"/>
    <s v="DELEGATE AGENCY"/>
    <s v="UNKNOWN"/>
    <x v="2"/>
  </r>
  <r>
    <n v="335361"/>
    <n v="508096"/>
    <x v="1"/>
    <x v="23"/>
    <x v="12"/>
    <s v="DELEGATE AGENCY"/>
    <s v="UNKNOWN"/>
    <x v="2"/>
  </r>
  <r>
    <n v="335422"/>
    <n v="21204.1"/>
    <x v="2"/>
    <x v="2683"/>
    <x v="11"/>
    <s v="EXHIBIT-A"/>
    <s v="UNKNOWN"/>
    <x v="2"/>
  </r>
  <r>
    <n v="335626"/>
    <n v="16417"/>
    <x v="4"/>
    <x v="73"/>
    <x v="12"/>
    <s v="DELEGATE AGENCY"/>
    <s v="UNKNOWN"/>
    <x v="2"/>
  </r>
  <r>
    <n v="335627"/>
    <n v="21967"/>
    <x v="4"/>
    <x v="57"/>
    <x v="12"/>
    <s v="DELEGATE AGENCY"/>
    <s v="UNKNOWN"/>
    <x v="2"/>
  </r>
  <r>
    <n v="335628"/>
    <n v="12612"/>
    <x v="4"/>
    <x v="72"/>
    <x v="12"/>
    <s v="DELEGATE AGENCY"/>
    <s v="UNKNOWN"/>
    <x v="2"/>
  </r>
  <r>
    <n v="335629"/>
    <n v="27088"/>
    <x v="4"/>
    <x v="57"/>
    <x v="12"/>
    <s v="DELEGATE AGENCY"/>
    <s v="UNKNOWN"/>
    <x v="2"/>
  </r>
  <r>
    <n v="335630"/>
    <n v="69723"/>
    <x v="4"/>
    <x v="57"/>
    <x v="12"/>
    <s v="DELEGATE AGENCY"/>
    <s v="UNKNOWN"/>
    <x v="2"/>
  </r>
  <r>
    <n v="335632"/>
    <n v="394000"/>
    <x v="1"/>
    <x v="2684"/>
    <x v="8"/>
    <s v="COMPTROLLER-OTHER"/>
    <s v="UNKNOWN"/>
    <x v="2"/>
  </r>
  <r>
    <n v="335652"/>
    <n v="15314"/>
    <x v="2"/>
    <x v="59"/>
    <x v="12"/>
    <s v="DELEGATE AGENCY"/>
    <s v="UNKNOWN"/>
    <x v="2"/>
  </r>
  <r>
    <n v="335653"/>
    <n v="25682"/>
    <x v="4"/>
    <x v="59"/>
    <x v="12"/>
    <s v="DELEGATE AGENCY"/>
    <s v="UNKNOWN"/>
    <x v="2"/>
  </r>
  <r>
    <n v="335654"/>
    <n v="11081"/>
    <x v="4"/>
    <x v="74"/>
    <x v="12"/>
    <s v="DELEGATE AGENCY"/>
    <s v="UNKNOWN"/>
    <x v="2"/>
  </r>
  <r>
    <n v="335655"/>
    <n v="40390"/>
    <x v="4"/>
    <x v="74"/>
    <x v="12"/>
    <s v="DELEGATE AGENCY"/>
    <s v="UNKNOWN"/>
    <x v="2"/>
  </r>
  <r>
    <n v="335838"/>
    <n v="15314"/>
    <x v="4"/>
    <x v="58"/>
    <x v="12"/>
    <s v="DELEGATE AGENCY"/>
    <s v="UNKNOWN"/>
    <x v="2"/>
  </r>
  <r>
    <n v="335839"/>
    <n v="16827"/>
    <x v="4"/>
    <x v="67"/>
    <x v="12"/>
    <s v="DELEGATE AGENCY"/>
    <s v="UNKNOWN"/>
    <x v="2"/>
  </r>
  <r>
    <n v="335840"/>
    <n v="22490"/>
    <x v="4"/>
    <x v="58"/>
    <x v="12"/>
    <s v="DELEGATE AGENCY"/>
    <s v="UNKNOWN"/>
    <x v="2"/>
  </r>
  <r>
    <n v="335841"/>
    <n v="69574"/>
    <x v="4"/>
    <x v="70"/>
    <x v="12"/>
    <s v="DELEGATE AGENCY"/>
    <s v="UNKNOWN"/>
    <x v="2"/>
  </r>
  <r>
    <n v="335843"/>
    <n v="10944"/>
    <x v="1"/>
    <x v="72"/>
    <x v="12"/>
    <s v="DELEGATE AGENCY"/>
    <s v="UNKNOWN"/>
    <x v="2"/>
  </r>
  <r>
    <n v="335844"/>
    <n v="40838"/>
    <x v="4"/>
    <x v="57"/>
    <x v="12"/>
    <s v="DELEGATE AGENCY"/>
    <s v="UNKNOWN"/>
    <x v="2"/>
  </r>
  <r>
    <n v="335845"/>
    <n v="20419"/>
    <x v="4"/>
    <x v="74"/>
    <x v="12"/>
    <s v="DELEGATE AGENCY"/>
    <s v="UNKNOWN"/>
    <x v="2"/>
  </r>
  <r>
    <n v="335847"/>
    <n v="45943"/>
    <x v="4"/>
    <x v="70"/>
    <x v="12"/>
    <s v="DELEGATE AGENCY"/>
    <s v="UNKNOWN"/>
    <x v="2"/>
  </r>
  <r>
    <n v="335848"/>
    <n v="13133"/>
    <x v="4"/>
    <x v="126"/>
    <x v="12"/>
    <s v="DELEGATE AGENCY"/>
    <s v="UNKNOWN"/>
    <x v="2"/>
  </r>
  <r>
    <n v="33717"/>
    <n v="21131207"/>
    <x v="4"/>
    <x v="2685"/>
    <x v="8"/>
    <s v="PRO SERV CONSULTING $250,000orABOVE"/>
    <s v="RFP"/>
    <x v="0"/>
  </r>
  <r>
    <n v="33718"/>
    <n v="2515937"/>
    <x v="0"/>
    <x v="2686"/>
    <x v="8"/>
    <s v="PRO SERV CONSULTING $250,000orABOVE"/>
    <s v="RFP"/>
    <x v="0"/>
  </r>
  <r>
    <n v="33719"/>
    <n v="3166898.9"/>
    <x v="0"/>
    <x v="2687"/>
    <x v="3"/>
    <s v="PRO SERV CONSULTING $250,000orABOVE"/>
    <s v="RFP"/>
    <x v="1"/>
  </r>
  <r>
    <n v="33790"/>
    <n v="299890"/>
    <x v="0"/>
    <x v="2688"/>
    <x v="11"/>
    <s v="WORK SERVICES / FACILITIES MAINT."/>
    <s v="SOLE SOURCE"/>
    <x v="1"/>
  </r>
  <r>
    <n v="33814"/>
    <n v="3500000"/>
    <x v="2"/>
    <x v="2689"/>
    <x v="15"/>
    <s v="VEHICLES/HEAVY EQUIPMENT (CAPITAL)"/>
    <s v="BID"/>
    <x v="0"/>
  </r>
  <r>
    <n v="33939"/>
    <n v="25628555"/>
    <x v="0"/>
    <x v="2690"/>
    <x v="7"/>
    <s v="PRO SERV CONSULTING $250,000orABOVE"/>
    <s v="RFP"/>
    <x v="0"/>
  </r>
  <r>
    <n v="33959"/>
    <n v="37815076.899999999"/>
    <x v="0"/>
    <x v="2691"/>
    <x v="3"/>
    <s v="PRO SERV CONSULTING $250,000orABOVE"/>
    <s v="RFP"/>
    <x v="1"/>
  </r>
  <r>
    <n v="34012"/>
    <n v="100000"/>
    <x v="0"/>
    <x v="5"/>
    <x v="12"/>
    <s v="PRO SERV CONSULTING $250,000orABOVE"/>
    <s v="RFP"/>
    <x v="0"/>
  </r>
  <r>
    <n v="34346"/>
    <n v="600000"/>
    <x v="1"/>
    <x v="2692"/>
    <x v="0"/>
    <s v="WORK SERVICES / FACILITIES MAINT."/>
    <s v="BID"/>
    <x v="2"/>
  </r>
  <r>
    <n v="34466"/>
    <n v="200000"/>
    <x v="2"/>
    <x v="535"/>
    <x v="0"/>
    <s v="COMMODITIES"/>
    <s v="REFERENCE CONTRACT"/>
    <x v="0"/>
  </r>
  <r>
    <n v="34921"/>
    <n v="36986494"/>
    <x v="1"/>
    <x v="2693"/>
    <x v="10"/>
    <s v="PRO SERV CONSULTING $250,000orABOVE"/>
    <s v="RFP"/>
    <x v="1"/>
  </r>
  <r>
    <n v="34964"/>
    <n v="403000"/>
    <x v="0"/>
    <x v="2694"/>
    <x v="3"/>
    <s v="WORK SERVICES / FACILITIES MAINT."/>
    <s v="BID"/>
    <x v="0"/>
  </r>
  <r>
    <n v="35593"/>
    <n v="281850"/>
    <x v="2"/>
    <x v="951"/>
    <x v="1"/>
    <s v="PROPERTY LEASE"/>
    <s v="UNKNOWN"/>
    <x v="0"/>
  </r>
  <r>
    <n v="36370"/>
    <n v="30500"/>
    <x v="2"/>
    <x v="521"/>
    <x v="0"/>
    <s v="ARCH/ENGINEERING"/>
    <s v="RFP"/>
    <x v="0"/>
  </r>
  <r>
    <n v="36561"/>
    <n v="2676396.9"/>
    <x v="4"/>
    <x v="2416"/>
    <x v="7"/>
    <s v="PRO SERV CONSULTING $250,000orABOVE"/>
    <s v="RFP"/>
    <x v="1"/>
  </r>
  <r>
    <n v="37504"/>
    <n v="100000"/>
    <x v="0"/>
    <x v="2695"/>
    <x v="11"/>
    <s v="PRO SERV CONSULTING $250,000orABOVE"/>
    <s v="RFP"/>
    <x v="1"/>
  </r>
  <r>
    <n v="37728"/>
    <n v="1350855"/>
    <x v="1"/>
    <x v="2696"/>
    <x v="2"/>
    <s v="PRO SERV CONSULTING $250,000orABOVE"/>
    <s v="MASTER AGREEMENT"/>
    <x v="2"/>
  </r>
  <r>
    <n v="37742"/>
    <n v="2500000"/>
    <x v="0"/>
    <x v="2697"/>
    <x v="2"/>
    <s v="PRO SERV CONSULTING $250,000orABOVE"/>
    <s v="MASTER AGREEMENT"/>
    <x v="2"/>
  </r>
  <r>
    <n v="37748"/>
    <n v="2595000"/>
    <x v="0"/>
    <x v="2698"/>
    <x v="2"/>
    <s v="PRO SERV CONSULTING $250,000orABOVE"/>
    <s v="MASTER AGREEMENT"/>
    <x v="2"/>
  </r>
  <r>
    <n v="37749"/>
    <n v="2913391"/>
    <x v="0"/>
    <x v="2699"/>
    <x v="2"/>
    <s v="PRO SERV CONSULTING $250,000orABOVE"/>
    <s v="MASTER AGREEMENT"/>
    <x v="2"/>
  </r>
  <r>
    <n v="37887"/>
    <n v="5045790"/>
    <x v="0"/>
    <x v="410"/>
    <x v="5"/>
    <s v="ARCH/ENGINEERING"/>
    <s v="MASTER AGREEMENT"/>
    <x v="1"/>
  </r>
  <r>
    <n v="38318"/>
    <n v="355000"/>
    <x v="0"/>
    <x v="1487"/>
    <x v="6"/>
    <s v="WORK SERV-AVIATION"/>
    <s v="BID"/>
    <x v="0"/>
  </r>
  <r>
    <n v="38326"/>
    <n v="5665618"/>
    <x v="2"/>
    <x v="2700"/>
    <x v="2"/>
    <s v="PRO SERV CONSULTING $250,000orABOVE"/>
    <s v="MASTER AGREEMENT"/>
    <x v="1"/>
  </r>
  <r>
    <n v="38921"/>
    <n v="2000000"/>
    <x v="0"/>
    <x v="1400"/>
    <x v="5"/>
    <s v="COMMODITIES"/>
    <s v="BID"/>
    <x v="0"/>
  </r>
  <r>
    <n v="38959"/>
    <n v="8500000"/>
    <x v="0"/>
    <x v="514"/>
    <x v="0"/>
    <s v="ARCH/ENGINEERING"/>
    <s v="MASTER AGREEMENT"/>
    <x v="0"/>
  </r>
  <r>
    <n v="40336"/>
    <n v="1239999.1000000001"/>
    <x v="0"/>
    <x v="254"/>
    <x v="7"/>
    <s v="COMMODITIES"/>
    <s v="BID"/>
    <x v="0"/>
  </r>
  <r>
    <n v="41299"/>
    <n v="600000"/>
    <x v="0"/>
    <x v="2701"/>
    <x v="5"/>
    <s v="COMMODITIES"/>
    <s v="BID"/>
    <x v="2"/>
  </r>
  <r>
    <n v="41635"/>
    <n v="2699713.1"/>
    <x v="2"/>
    <x v="160"/>
    <x v="3"/>
    <s v="COMMODITIES"/>
    <s v="BID"/>
    <x v="0"/>
  </r>
  <r>
    <n v="41708"/>
    <n v="1920424.5"/>
    <x v="0"/>
    <x v="1996"/>
    <x v="3"/>
    <s v="COMMODITIES"/>
    <s v="BID"/>
    <x v="1"/>
  </r>
  <r>
    <n v="41709"/>
    <n v="120000"/>
    <x v="0"/>
    <x v="2702"/>
    <x v="3"/>
    <s v="COMMODITIES"/>
    <s v="BID"/>
    <x v="1"/>
  </r>
  <r>
    <n v="41787"/>
    <n v="138000"/>
    <x v="1"/>
    <x v="2703"/>
    <x v="3"/>
    <s v="COMMODITIES"/>
    <s v="BID"/>
    <x v="1"/>
  </r>
  <r>
    <n v="41932"/>
    <n v="1005297.4"/>
    <x v="1"/>
    <x v="2704"/>
    <x v="3"/>
    <s v="COMMODITIES"/>
    <s v="BID"/>
    <x v="1"/>
  </r>
  <r>
    <n v="42708"/>
    <n v="2502488"/>
    <x v="0"/>
    <x v="2705"/>
    <x v="6"/>
    <s v="PRO SERV-AVIATION"/>
    <s v="RFP"/>
    <x v="0"/>
  </r>
  <r>
    <n v="43126"/>
    <n v="421000"/>
    <x v="0"/>
    <x v="143"/>
    <x v="7"/>
    <s v="PRO SERV CONSULTING $250,000orABOVE"/>
    <s v="MASTER AGREEMENT"/>
    <x v="2"/>
  </r>
  <r>
    <n v="44375"/>
    <n v="2498325.5"/>
    <x v="2"/>
    <x v="50"/>
    <x v="0"/>
    <s v="ARCH/ENGINEERING"/>
    <s v="RFP"/>
    <x v="2"/>
  </r>
  <r>
    <n v="45947"/>
    <n v="225000"/>
    <x v="0"/>
    <x v="2706"/>
    <x v="3"/>
    <s v="WORK SERVICES / FACILITIES MAINT."/>
    <s v="BID"/>
    <x v="1"/>
  </r>
  <r>
    <n v="46217"/>
    <n v="5000000"/>
    <x v="1"/>
    <x v="2707"/>
    <x v="0"/>
    <s v="ARCH/ENGINEERING"/>
    <s v="MASTER AGREEMENT"/>
    <x v="1"/>
  </r>
  <r>
    <n v="46431"/>
    <n v="406440.6"/>
    <x v="0"/>
    <x v="1400"/>
    <x v="5"/>
    <s v="COMMODITIES"/>
    <s v="BID"/>
    <x v="0"/>
  </r>
  <r>
    <n v="46733"/>
    <n v="20758809.600000001"/>
    <x v="2"/>
    <x v="1060"/>
    <x v="6"/>
    <s v="PRO SERV-AVIATION"/>
    <s v="CONTRACT ASSIGNMENT/TRANS"/>
    <x v="0"/>
  </r>
  <r>
    <n v="46810"/>
    <n v="4307241.5"/>
    <x v="0"/>
    <x v="2708"/>
    <x v="3"/>
    <s v="COMMODITIES"/>
    <s v="BID"/>
    <x v="1"/>
  </r>
  <r>
    <n v="46920"/>
    <n v="1591154.8"/>
    <x v="0"/>
    <x v="1060"/>
    <x v="6"/>
    <s v="PRO SERV-AVIATION"/>
    <s v="RFP"/>
    <x v="0"/>
  </r>
  <r>
    <n v="47438"/>
    <n v="397000"/>
    <x v="0"/>
    <x v="2709"/>
    <x v="9"/>
    <s v="PRO SERV CONSULTING $250,000orABOVE"/>
    <s v="RFP"/>
    <x v="1"/>
  </r>
  <r>
    <n v="47573"/>
    <n v="86472"/>
    <x v="2"/>
    <x v="50"/>
    <x v="0"/>
    <s v="ARCH/ENGINEERING"/>
    <s v="RFQ"/>
    <x v="0"/>
  </r>
  <r>
    <n v="47594"/>
    <n v="658942.30000000005"/>
    <x v="1"/>
    <x v="1487"/>
    <x v="6"/>
    <s v="WORK SERV-AVIATION"/>
    <s v="BID"/>
    <x v="0"/>
  </r>
  <r>
    <n v="48198"/>
    <n v="1072940.7"/>
    <x v="2"/>
    <x v="178"/>
    <x v="13"/>
    <s v="COMMODITIES"/>
    <s v="BID"/>
    <x v="0"/>
  </r>
  <r>
    <n v="48351"/>
    <n v="260668"/>
    <x v="0"/>
    <x v="2710"/>
    <x v="15"/>
    <s v="WORK SERVICES / FACILITIES MAINT."/>
    <s v="REFERENCE CONTRACT"/>
    <x v="0"/>
  </r>
  <r>
    <n v="49308"/>
    <n v="300000"/>
    <x v="2"/>
    <x v="2076"/>
    <x v="37"/>
    <s v="PRO SERV CONSULTING $250,000orABOVE"/>
    <s v="RFP"/>
    <x v="2"/>
  </r>
  <r>
    <n v="49444"/>
    <n v="1210308.7"/>
    <x v="2"/>
    <x v="2711"/>
    <x v="15"/>
    <s v="PRO SERV CONSULTING $250,000orABOVE"/>
    <s v="MASTER AGREEMENT"/>
    <x v="0"/>
  </r>
  <r>
    <n v="49445"/>
    <n v="1000000"/>
    <x v="0"/>
    <x v="2712"/>
    <x v="15"/>
    <s v="PRO SERV CONSULTING $250,000orABOVE"/>
    <s v="MASTER AGREEMENT"/>
    <x v="0"/>
  </r>
  <r>
    <n v="50366"/>
    <n v="7089237"/>
    <x v="0"/>
    <x v="2713"/>
    <x v="2"/>
    <s v="PRO SERV CONSULTING $250,000orABOVE"/>
    <s v="MASTER AGREEMENT"/>
    <x v="0"/>
  </r>
  <r>
    <n v="50459"/>
    <n v="1086099"/>
    <x v="0"/>
    <x v="2714"/>
    <x v="6"/>
    <s v="WORK SERV-AVIATION"/>
    <s v="UNKNOWN"/>
    <x v="0"/>
  </r>
  <r>
    <n v="50514"/>
    <n v="521823.8"/>
    <x v="0"/>
    <x v="2412"/>
    <x v="3"/>
    <s v="PRO SERV CONSULTING $250,000orABOVE"/>
    <s v="MASTER AGREEMENT"/>
    <x v="2"/>
  </r>
  <r>
    <n v="51437"/>
    <n v="300000"/>
    <x v="2"/>
    <x v="2715"/>
    <x v="2"/>
    <s v="PRO SERV CONSULTING $250,000orABOVE"/>
    <s v="MASTER AGREEMENT"/>
    <x v="2"/>
  </r>
  <r>
    <n v="51521"/>
    <n v="500000"/>
    <x v="2"/>
    <x v="2519"/>
    <x v="2"/>
    <s v="PRO SERV CONSULTING $250,000orABOVE"/>
    <s v="MASTER AGREEMENT"/>
    <x v="2"/>
  </r>
  <r>
    <n v="51528"/>
    <n v="6958000"/>
    <x v="2"/>
    <x v="2716"/>
    <x v="28"/>
    <s v="PRO SERV CONSULTING $250,000orABOVE"/>
    <s v="MASTER AGREEMENT"/>
    <x v="1"/>
  </r>
  <r>
    <n v="51549"/>
    <n v="2635938"/>
    <x v="0"/>
    <x v="1065"/>
    <x v="8"/>
    <s v="PRO SERV CONSULTING $250,000orABOVE"/>
    <s v="MASTER AGREEMENT"/>
    <x v="1"/>
  </r>
  <r>
    <n v="51701"/>
    <n v="4338519"/>
    <x v="0"/>
    <x v="50"/>
    <x v="2"/>
    <s v="PRO SERV CONSULTING $250,000orABOVE"/>
    <s v="MASTER AGREEMENT"/>
    <x v="1"/>
  </r>
  <r>
    <n v="51703"/>
    <n v="2500001"/>
    <x v="0"/>
    <x v="2691"/>
    <x v="2"/>
    <s v="PRO SERV CONSULTING $250,000orABOVE"/>
    <s v="MASTER AGREEMENT"/>
    <x v="2"/>
  </r>
  <r>
    <n v="51904"/>
    <n v="31746602.399999999"/>
    <x v="0"/>
    <x v="999"/>
    <x v="14"/>
    <s v="PRO SERV CONSULTING $250,000orABOVE"/>
    <s v="CONTRACT ASSIGNMENT/TRANS"/>
    <x v="0"/>
  </r>
  <r>
    <n v="52685"/>
    <n v="100000000"/>
    <x v="0"/>
    <x v="2717"/>
    <x v="0"/>
    <s v="ARCH/ENGINEERING"/>
    <s v="RFP"/>
    <x v="1"/>
  </r>
  <r>
    <n v="52756"/>
    <n v="745521"/>
    <x v="0"/>
    <x v="2718"/>
    <x v="2"/>
    <s v="PRO SERV CONSULTING $250,000orABOVE"/>
    <s v="MASTER AGREEMENT"/>
    <x v="2"/>
  </r>
  <r>
    <n v="52776"/>
    <n v="4302559"/>
    <x v="2"/>
    <x v="2697"/>
    <x v="2"/>
    <s v="PRO SERV CONSULTING $250,000orABOVE"/>
    <s v="MASTER AGREEMENT"/>
    <x v="1"/>
  </r>
  <r>
    <n v="52802"/>
    <n v="106620"/>
    <x v="0"/>
    <x v="2719"/>
    <x v="2"/>
    <s v="PRO SERV CONSULTING $250,000orABOVE"/>
    <s v="MASTER AGREEMENT"/>
    <x v="2"/>
  </r>
  <r>
    <n v="52811"/>
    <n v="615487"/>
    <x v="1"/>
    <x v="2720"/>
    <x v="2"/>
    <s v="PRO SERV CONSULTING $250,000orABOVE"/>
    <s v="MASTER AGREEMENT"/>
    <x v="2"/>
  </r>
  <r>
    <n v="52814"/>
    <n v="3897820"/>
    <x v="2"/>
    <x v="2721"/>
    <x v="2"/>
    <s v="PRO SERV CONSULTING $250,000orABOVE"/>
    <s v="MASTER AGREEMENT"/>
    <x v="1"/>
  </r>
  <r>
    <n v="52825"/>
    <n v="4389681"/>
    <x v="0"/>
    <x v="482"/>
    <x v="2"/>
    <s v="PRO SERV CONSULTING $250,000orABOVE"/>
    <s v="MASTER AGREEMENT"/>
    <x v="1"/>
  </r>
  <r>
    <n v="53283"/>
    <n v="186000"/>
    <x v="0"/>
    <x v="2722"/>
    <x v="8"/>
    <s v="PRO SERV CONSULTING $250,000orABOVE"/>
    <s v="RFP"/>
    <x v="2"/>
  </r>
  <r>
    <n v="54002"/>
    <n v="50000"/>
    <x v="1"/>
    <x v="25"/>
    <x v="12"/>
    <s v="PRO SERV CONSULTING UNDER $250,000"/>
    <s v="RFP"/>
    <x v="1"/>
  </r>
  <r>
    <n v="5432"/>
    <n v="5910000"/>
    <x v="1"/>
    <x v="2723"/>
    <x v="6"/>
    <s v="PRO SERV CONSULTING $250,000orABOVE"/>
    <s v="RFQ"/>
    <x v="0"/>
  </r>
  <r>
    <n v="54498"/>
    <n v="949800"/>
    <x v="0"/>
    <x v="206"/>
    <x v="7"/>
    <s v="JOC"/>
    <s v="BID"/>
    <x v="1"/>
  </r>
  <r>
    <n v="54698"/>
    <n v="10750000"/>
    <x v="2"/>
    <x v="1983"/>
    <x v="6"/>
    <s v="PRO SERV-AVIATION"/>
    <s v="RFQ"/>
    <x v="0"/>
  </r>
  <r>
    <n v="54742"/>
    <n v="500000"/>
    <x v="0"/>
    <x v="206"/>
    <x v="7"/>
    <s v="JOC"/>
    <s v="BID"/>
    <x v="2"/>
  </r>
  <r>
    <n v="54815"/>
    <n v="21231354.699999999"/>
    <x v="2"/>
    <x v="2724"/>
    <x v="9"/>
    <s v="PRO SERV CONSULTING $250,000orABOVE"/>
    <s v="RFP"/>
    <x v="1"/>
  </r>
  <r>
    <n v="54976"/>
    <n v="402.1"/>
    <x v="0"/>
    <x v="267"/>
    <x v="0"/>
    <s v="CONSTRUCTION-GENERAL"/>
    <s v="BID"/>
    <x v="1"/>
  </r>
  <r>
    <n v="56145"/>
    <n v="6191067"/>
    <x v="3"/>
    <x v="2725"/>
    <x v="9"/>
    <s v="PRO SERV CONSULTING $250,000orABOVE"/>
    <s v="RFP"/>
    <x v="0"/>
  </r>
  <r>
    <n v="56322"/>
    <n v="101847"/>
    <x v="0"/>
    <x v="2726"/>
    <x v="18"/>
    <s v="CONSTRUCTION-AVIATION"/>
    <s v="UNKNOWN"/>
    <x v="0"/>
  </r>
  <r>
    <n v="56484"/>
    <n v="237893"/>
    <x v="1"/>
    <x v="16"/>
    <x v="5"/>
    <s v="WORK SERVICES / FACILITIES MAINT."/>
    <s v="BID"/>
    <x v="1"/>
  </r>
  <r>
    <n v="57097"/>
    <n v="356697.8"/>
    <x v="1"/>
    <x v="178"/>
    <x v="13"/>
    <s v="WORK SERVICES / FACILITIES MAINT."/>
    <s v="BID"/>
    <x v="2"/>
  </r>
  <r>
    <n v="57473"/>
    <n v="795394.9"/>
    <x v="2"/>
    <x v="2727"/>
    <x v="6"/>
    <s v="CONSTRUCTION-AVIATION"/>
    <s v="BID"/>
    <x v="1"/>
  </r>
  <r>
    <n v="58083"/>
    <n v="5000000"/>
    <x v="2"/>
    <x v="21"/>
    <x v="0"/>
    <s v="CONSTRUCTION-LARGE $3MILLIONorABOVE"/>
    <s v="BID"/>
    <x v="0"/>
  </r>
  <r>
    <n v="58084"/>
    <n v="15000000"/>
    <x v="0"/>
    <x v="21"/>
    <x v="0"/>
    <s v="CONSTRUCTION-LARGE $3MILLIONorABOVE"/>
    <s v="BID"/>
    <x v="0"/>
  </r>
  <r>
    <n v="58085"/>
    <n v="5000000"/>
    <x v="0"/>
    <x v="21"/>
    <x v="0"/>
    <s v="CONSTRUCTION-LARGE $3MILLIONorABOVE"/>
    <s v="BID"/>
    <x v="0"/>
  </r>
  <r>
    <n v="58086"/>
    <n v="15000000"/>
    <x v="0"/>
    <x v="21"/>
    <x v="0"/>
    <s v="CONSTRUCTION-LARGE $3MILLIONorABOVE"/>
    <s v="BID"/>
    <x v="0"/>
  </r>
  <r>
    <n v="58578"/>
    <n v="550"/>
    <x v="0"/>
    <x v="2728"/>
    <x v="41"/>
    <s v="CONSTRUCTION-GENERAL"/>
    <s v="BID"/>
    <x v="1"/>
  </r>
  <r>
    <n v="58582"/>
    <n v="37039.199999999997"/>
    <x v="3"/>
    <x v="11"/>
    <x v="5"/>
    <s v="CONSTRUCTION-GENERAL"/>
    <s v="BID"/>
    <x v="1"/>
  </r>
  <r>
    <n v="58961"/>
    <n v="147067.9"/>
    <x v="4"/>
    <x v="160"/>
    <x v="10"/>
    <s v="COMMODITIES"/>
    <s v="BID"/>
    <x v="0"/>
  </r>
  <r>
    <n v="59163"/>
    <n v="726130.1"/>
    <x v="1"/>
    <x v="2729"/>
    <x v="1"/>
    <s v="PROPERTY LEASE"/>
    <s v="UNKNOWN"/>
    <x v="0"/>
  </r>
  <r>
    <n v="59353"/>
    <n v="3008722.6"/>
    <x v="2"/>
    <x v="2730"/>
    <x v="6"/>
    <s v="WORK SERV-AVIATION"/>
    <s v="BID"/>
    <x v="0"/>
  </r>
  <r>
    <n v="59599"/>
    <n v="2085422"/>
    <x v="0"/>
    <x v="523"/>
    <x v="0"/>
    <s v="ARCH/ENGINEERING"/>
    <s v="RFQ"/>
    <x v="1"/>
  </r>
  <r>
    <n v="59907"/>
    <n v="82215"/>
    <x v="0"/>
    <x v="2731"/>
    <x v="1"/>
    <s v="PROPERTY LEASE"/>
    <s v="UNKNOWN"/>
    <x v="0"/>
  </r>
  <r>
    <n v="60151"/>
    <n v="175000"/>
    <x v="1"/>
    <x v="1487"/>
    <x v="6"/>
    <s v="WORK SERV-AVIATION"/>
    <s v="BID"/>
    <x v="0"/>
  </r>
  <r>
    <n v="60334"/>
    <n v="294130.40000000002"/>
    <x v="1"/>
    <x v="2732"/>
    <x v="5"/>
    <s v="CONSTRUCTION-LARGE $3MILLIONorABOVE"/>
    <s v="BID"/>
    <x v="0"/>
  </r>
  <r>
    <n v="60663"/>
    <n v="31055344.5"/>
    <x v="2"/>
    <x v="2733"/>
    <x v="11"/>
    <s v="COMMODITIES"/>
    <s v="SOLE SOURCE"/>
    <x v="0"/>
  </r>
  <r>
    <n v="6078"/>
    <n v="1870712229"/>
    <x v="0"/>
    <x v="950"/>
    <x v="9"/>
    <s v="COMPTROLLER-OTHER"/>
    <s v="UNKNOWN"/>
    <x v="0"/>
  </r>
  <r>
    <n v="6082"/>
    <n v="13100000"/>
    <x v="0"/>
    <x v="2734"/>
    <x v="9"/>
    <s v="COMPTROLLER-OTHER"/>
    <s v="UNKNOWN"/>
    <x v="0"/>
  </r>
  <r>
    <n v="6083"/>
    <n v="2063490"/>
    <x v="0"/>
    <x v="2735"/>
    <x v="9"/>
    <s v="COMPTROLLER-OTHER"/>
    <s v="UNKNOWN"/>
    <x v="0"/>
  </r>
  <r>
    <n v="61840"/>
    <n v="4808358"/>
    <x v="0"/>
    <x v="1873"/>
    <x v="6"/>
    <s v="WORK SERV-AVIATION"/>
    <s v="BID"/>
    <x v="0"/>
  </r>
  <r>
    <n v="61858"/>
    <n v="368000"/>
    <x v="0"/>
    <x v="2408"/>
    <x v="3"/>
    <s v="VEHICLES/HEAVY EQUIPMENT (CAPITAL)"/>
    <s v="BID"/>
    <x v="0"/>
  </r>
  <r>
    <n v="62053"/>
    <n v="38076.199999999997"/>
    <x v="2"/>
    <x v="2736"/>
    <x v="6"/>
    <s v="WORK SERV-AVIATION"/>
    <s v="BID"/>
    <x v="0"/>
  </r>
  <r>
    <n v="62176"/>
    <n v="70605"/>
    <x v="4"/>
    <x v="2737"/>
    <x v="5"/>
    <s v="COMMODITIES"/>
    <s v="BID"/>
    <x v="0"/>
  </r>
  <r>
    <n v="62425"/>
    <n v="213585.4"/>
    <x v="1"/>
    <x v="2738"/>
    <x v="0"/>
    <s v="CONSTRUCTION-LARGE $3MILLIONorABOVE"/>
    <s v="UNKNOWN"/>
    <x v="1"/>
  </r>
  <r>
    <n v="62925"/>
    <n v="345364"/>
    <x v="1"/>
    <x v="536"/>
    <x v="5"/>
    <s v="CONSTRUCTION-LARGE $3MILLIONorABOVE"/>
    <s v="BID"/>
    <x v="1"/>
  </r>
  <r>
    <n v="63191"/>
    <n v="886000"/>
    <x v="2"/>
    <x v="2739"/>
    <x v="8"/>
    <s v="COMPTROLLER-OTHER"/>
    <s v="UNKNOWN"/>
    <x v="1"/>
  </r>
  <r>
    <n v="63621"/>
    <n v="709000"/>
    <x v="2"/>
    <x v="137"/>
    <x v="6"/>
    <s v="WORK SERV-AVIATION"/>
    <s v="BID"/>
    <x v="0"/>
  </r>
  <r>
    <n v="63622"/>
    <n v="747000"/>
    <x v="2"/>
    <x v="2740"/>
    <x v="6"/>
    <s v="WORK SERV-AVIATION"/>
    <s v="BID"/>
    <x v="0"/>
  </r>
  <r>
    <n v="63833"/>
    <n v="1265850"/>
    <x v="2"/>
    <x v="230"/>
    <x v="0"/>
    <s v="CONSTRUCTION-GENERAL"/>
    <s v="BID"/>
    <x v="0"/>
  </r>
  <r>
    <n v="64311"/>
    <n v="913700"/>
    <x v="0"/>
    <x v="2741"/>
    <x v="8"/>
    <s v="COMPTROLLER-OTHER"/>
    <s v="UNKNOWN"/>
    <x v="0"/>
  </r>
  <r>
    <n v="64418"/>
    <n v="3897489.4"/>
    <x v="2"/>
    <x v="138"/>
    <x v="6"/>
    <s v="WORK SERV-AVIATION"/>
    <s v="BID"/>
    <x v="1"/>
  </r>
  <r>
    <n v="64607"/>
    <n v="6059797.7999999998"/>
    <x v="0"/>
    <x v="2742"/>
    <x v="6"/>
    <s v="WORK SERV-AVIATION"/>
    <s v="BID"/>
    <x v="1"/>
  </r>
  <r>
    <n v="64697"/>
    <n v="3533445"/>
    <x v="0"/>
    <x v="2743"/>
    <x v="15"/>
    <s v="WORK SERVICES / FACILITIES MAINT."/>
    <s v="BID"/>
    <x v="0"/>
  </r>
  <r>
    <n v="64702"/>
    <n v="45308.5"/>
    <x v="0"/>
    <x v="2744"/>
    <x v="0"/>
    <s v="CONSTRUCTION-GENERAL"/>
    <s v="BID"/>
    <x v="0"/>
  </r>
  <r>
    <n v="64819"/>
    <n v="5586610.5"/>
    <x v="4"/>
    <x v="2427"/>
    <x v="6"/>
    <s v="PRO SERV-AVIATION"/>
    <s v="RFP"/>
    <x v="0"/>
  </r>
  <r>
    <n v="64824"/>
    <n v="6500000"/>
    <x v="0"/>
    <x v="480"/>
    <x v="6"/>
    <s v="ARCH/ENGINEERING-AVIATION"/>
    <s v="RFQ"/>
    <x v="2"/>
  </r>
  <r>
    <n v="65185"/>
    <n v="432"/>
    <x v="0"/>
    <x v="253"/>
    <x v="0"/>
    <s v="CONSTRUCTION-LARGE $3MILLIONorABOVE"/>
    <s v="BID"/>
    <x v="0"/>
  </r>
  <r>
    <n v="65986"/>
    <n v="2700000"/>
    <x v="3"/>
    <x v="149"/>
    <x v="5"/>
    <s v="ARCH/ENGINEERING"/>
    <s v="MASTER AGREEMENT"/>
    <x v="2"/>
  </r>
  <r>
    <n v="66009"/>
    <n v="567000"/>
    <x v="0"/>
    <x v="1083"/>
    <x v="3"/>
    <s v="COMMODITIES"/>
    <s v="BID"/>
    <x v="1"/>
  </r>
  <r>
    <n v="66808"/>
    <n v="100000000"/>
    <x v="2"/>
    <x v="2690"/>
    <x v="7"/>
    <s v="COMPTROLLER-OTHER"/>
    <s v="UNKNOWN"/>
    <x v="0"/>
  </r>
  <r>
    <n v="66921"/>
    <n v="199318.5"/>
    <x v="0"/>
    <x v="1068"/>
    <x v="0"/>
    <s v="ARCH/ENGINEERING"/>
    <s v="RFQ"/>
    <x v="2"/>
  </r>
  <r>
    <n v="66942"/>
    <n v="2655789.5"/>
    <x v="1"/>
    <x v="2745"/>
    <x v="6"/>
    <s v="WORK SERV-AVIATION"/>
    <s v="BID"/>
    <x v="0"/>
  </r>
  <r>
    <n v="68188"/>
    <n v="1255418.8999999999"/>
    <x v="0"/>
    <x v="2746"/>
    <x v="15"/>
    <s v="WORK SERVICES / FACILITIES MAINT."/>
    <s v="BID"/>
    <x v="0"/>
  </r>
  <r>
    <n v="68348"/>
    <n v="2190000"/>
    <x v="0"/>
    <x v="209"/>
    <x v="0"/>
    <s v="WORK SERVICES / FACILITIES MAINT."/>
    <s v="SOLE SOURCE"/>
    <x v="2"/>
  </r>
  <r>
    <n v="68936"/>
    <n v="214152.2"/>
    <x v="0"/>
    <x v="1978"/>
    <x v="6"/>
    <s v="WORK SERV-AVIATION"/>
    <s v="BID"/>
    <x v="0"/>
  </r>
  <r>
    <n v="69568"/>
    <n v="122000000"/>
    <x v="1"/>
    <x v="2747"/>
    <x v="6"/>
    <s v="PRO SERV-AVIATION"/>
    <s v="RFQ"/>
    <x v="2"/>
  </r>
  <r>
    <n v="69858"/>
    <n v="12000000"/>
    <x v="0"/>
    <x v="1060"/>
    <x v="14"/>
    <s v="PRO SERV CONSULTING $250,000orABOVE"/>
    <s v="SOLE SOURCE"/>
    <x v="0"/>
  </r>
  <r>
    <n v="70751"/>
    <n v="8658607"/>
    <x v="0"/>
    <x v="2748"/>
    <x v="15"/>
    <s v="WORK SERVICES / FACILITIES MAINT."/>
    <s v="CONTRACT ASSIGNMENT/TRANSFER"/>
    <x v="0"/>
  </r>
  <r>
    <n v="70775"/>
    <n v="3928000"/>
    <x v="0"/>
    <x v="2749"/>
    <x v="6"/>
    <s v="WORK SERV-AVIATION"/>
    <s v="BID"/>
    <x v="0"/>
  </r>
  <r>
    <n v="70890"/>
    <n v="6400000"/>
    <x v="0"/>
    <x v="2750"/>
    <x v="3"/>
    <s v="WORK SERVICES / FACILITIES MAINT."/>
    <s v="RFP"/>
    <x v="0"/>
  </r>
  <r>
    <n v="70891"/>
    <n v="5800000"/>
    <x v="0"/>
    <x v="2751"/>
    <x v="3"/>
    <s v="WORK SERVICES / FACILITIES MAINT."/>
    <s v="RFP"/>
    <x v="0"/>
  </r>
  <r>
    <n v="70892"/>
    <n v="9800000"/>
    <x v="0"/>
    <x v="2752"/>
    <x v="3"/>
    <s v="WORK SERVICES / FACILITIES MAINT."/>
    <s v="RFP"/>
    <x v="0"/>
  </r>
  <r>
    <n v="70944"/>
    <n v="13355322.9"/>
    <x v="0"/>
    <x v="2753"/>
    <x v="3"/>
    <s v="WORK SERVICES / FACILITIES MAINT."/>
    <s v="RFP"/>
    <x v="0"/>
  </r>
  <r>
    <n v="71097"/>
    <n v="1591998.2"/>
    <x v="0"/>
    <x v="483"/>
    <x v="5"/>
    <s v="ARCH/ENGINEERING"/>
    <s v="MASTER AGREEMENT"/>
    <x v="0"/>
  </r>
  <r>
    <n v="71133"/>
    <n v="9869552.6999999993"/>
    <x v="0"/>
    <x v="514"/>
    <x v="5"/>
    <s v="ARCH/ENGINEERING"/>
    <s v="MASTER AGREEMENT"/>
    <x v="0"/>
  </r>
  <r>
    <n v="71235"/>
    <n v="5572872.2999999998"/>
    <x v="0"/>
    <x v="2754"/>
    <x v="5"/>
    <s v="ARCH/ENGINEERING"/>
    <s v="MASTER AGREEMENT"/>
    <x v="0"/>
  </r>
  <r>
    <n v="71261"/>
    <n v="14133808"/>
    <x v="0"/>
    <x v="1028"/>
    <x v="6"/>
    <s v="PRO SERV-AVIATION"/>
    <s v="RFP"/>
    <x v="1"/>
  </r>
  <r>
    <n v="71366"/>
    <n v="14399847"/>
    <x v="0"/>
    <x v="2755"/>
    <x v="11"/>
    <s v="COMMODITIES"/>
    <s v="REFERENCE CONTRACT"/>
    <x v="0"/>
  </r>
  <r>
    <n v="74134"/>
    <n v="3000000"/>
    <x v="0"/>
    <x v="2756"/>
    <x v="5"/>
    <s v="ARCH/ENGINEERING"/>
    <s v="RFQ"/>
    <x v="1"/>
  </r>
  <r>
    <n v="74381"/>
    <n v="16766429.300000001"/>
    <x v="0"/>
    <x v="2673"/>
    <x v="5"/>
    <s v="COMMODITIES"/>
    <s v="BID"/>
    <x v="0"/>
  </r>
  <r>
    <n v="74495"/>
    <n v="4071116"/>
    <x v="0"/>
    <x v="461"/>
    <x v="8"/>
    <s v="PRO SERV CONSULTING $250,000orABOVE"/>
    <s v="RFP"/>
    <x v="0"/>
  </r>
  <r>
    <n v="75071"/>
    <n v="9600000"/>
    <x v="0"/>
    <x v="1218"/>
    <x v="5"/>
    <s v="WORK SERVICES / FACILITIES MAINT."/>
    <s v="BID"/>
    <x v="0"/>
  </r>
  <r>
    <n v="75599"/>
    <n v="5502"/>
    <x v="0"/>
    <x v="11"/>
    <x v="41"/>
    <s v="CONSTRUCTION-LARGE $3MILLIONorABOVE"/>
    <s v="BID"/>
    <x v="1"/>
  </r>
  <r>
    <n v="75623"/>
    <n v="139084"/>
    <x v="3"/>
    <x v="233"/>
    <x v="41"/>
    <s v="CONSTRUCTION-LARGE $3MILLIONorABOVE"/>
    <s v="BID"/>
    <x v="2"/>
  </r>
  <r>
    <n v="7581"/>
    <n v="9000000"/>
    <x v="1"/>
    <x v="1410"/>
    <x v="16"/>
    <s v="COMPTROLLER-OTHER"/>
    <s v="UNKNOWN"/>
    <x v="0"/>
  </r>
  <r>
    <n v="76213"/>
    <n v="2324100"/>
    <x v="0"/>
    <x v="2691"/>
    <x v="2"/>
    <s v="PRO SERV CONSULTING $250,000orABOVE"/>
    <s v="MASTER AGREEMENT"/>
    <x v="1"/>
  </r>
  <r>
    <n v="76631"/>
    <n v="463464.4"/>
    <x v="0"/>
    <x v="2757"/>
    <x v="13"/>
    <s v="WORK SERVICES / FACILITIES MAINT."/>
    <s v="BID"/>
    <x v="0"/>
  </r>
  <r>
    <n v="78284"/>
    <n v="150000"/>
    <x v="2"/>
    <x v="2758"/>
    <x v="7"/>
    <s v="WORK SERVICES / FACILITIES MAINT."/>
    <s v="BID"/>
    <x v="0"/>
  </r>
  <r>
    <n v="78459"/>
    <n v="8642.5"/>
    <x v="1"/>
    <x v="267"/>
    <x v="0"/>
    <s v="CONSTRUCTION-GENERAL"/>
    <s v="BID"/>
    <x v="2"/>
  </r>
  <r>
    <n v="79559"/>
    <n v="60289.2"/>
    <x v="3"/>
    <x v="11"/>
    <x v="5"/>
    <s v="CONSTRUCTION-GENERAL"/>
    <s v="BID"/>
    <x v="0"/>
  </r>
  <r>
    <n v="79644"/>
    <n v="436280"/>
    <x v="1"/>
    <x v="2759"/>
    <x v="8"/>
    <s v="PRO SERV CONSULTING $250,000orABOVE"/>
    <s v="RFP"/>
    <x v="0"/>
  </r>
  <r>
    <n v="80313"/>
    <n v="60000"/>
    <x v="2"/>
    <x v="1883"/>
    <x v="20"/>
    <s v="WORK SERVICES / FACILITIES MAINT."/>
    <s v="BID"/>
    <x v="0"/>
  </r>
  <r>
    <n v="80431"/>
    <n v="160000"/>
    <x v="1"/>
    <x v="2760"/>
    <x v="9"/>
    <s v="COMPTROLLER-OTHER"/>
    <s v="UNKNOWN"/>
    <x v="0"/>
  </r>
  <r>
    <n v="80434"/>
    <n v="140000"/>
    <x v="1"/>
    <x v="1353"/>
    <x v="9"/>
    <s v="COMPTROLLER-OTHER"/>
    <s v="UNKNOWN"/>
    <x v="0"/>
  </r>
  <r>
    <n v="81222"/>
    <n v="1366951"/>
    <x v="1"/>
    <x v="2761"/>
    <x v="3"/>
    <s v="PRO SERV CONSULTING $250,000orABOVE"/>
    <s v="RFP"/>
    <x v="1"/>
  </r>
  <r>
    <n v="81226"/>
    <n v="45154483"/>
    <x v="0"/>
    <x v="2762"/>
    <x v="5"/>
    <s v="CONSTRUCTION-LARGE $3MILLIONorABOVE"/>
    <s v="BID"/>
    <x v="0"/>
  </r>
  <r>
    <n v="81297"/>
    <n v="82000"/>
    <x v="0"/>
    <x v="2043"/>
    <x v="9"/>
    <s v="COMPTROLLER-OTHER"/>
    <s v="UNKNOWN"/>
    <x v="0"/>
  </r>
  <r>
    <n v="81298"/>
    <n v="325000"/>
    <x v="1"/>
    <x v="2042"/>
    <x v="9"/>
    <s v="COMPTROLLER-OTHER"/>
    <s v="UNKNOWN"/>
    <x v="0"/>
  </r>
  <r>
    <n v="81301"/>
    <n v="11700000"/>
    <x v="2"/>
    <x v="2763"/>
    <x v="9"/>
    <s v="COMPTROLLER-OTHER"/>
    <s v="UNKNOWN"/>
    <x v="0"/>
  </r>
  <r>
    <n v="81492"/>
    <n v="3600000"/>
    <x v="0"/>
    <x v="2712"/>
    <x v="2"/>
    <s v="PRO SERV CONSULTING $250,000orABOVE"/>
    <s v="RFP"/>
    <x v="2"/>
  </r>
  <r>
    <n v="83272"/>
    <n v="24000000"/>
    <x v="0"/>
    <x v="2764"/>
    <x v="8"/>
    <s v="PRO SERV CONSULTING $250,000orABOVE"/>
    <s v="RFP"/>
    <x v="0"/>
  </r>
  <r>
    <n v="83835"/>
    <n v="197671.5"/>
    <x v="0"/>
    <x v="0"/>
    <x v="5"/>
    <s v="CONSTRUCTION-LARGE $3MILLIONorABOVE"/>
    <s v="BID"/>
    <x v="0"/>
  </r>
  <r>
    <n v="84271"/>
    <n v="74975015.900000006"/>
    <x v="1"/>
    <x v="1091"/>
    <x v="5"/>
    <s v="COMMODITIES"/>
    <s v="BID"/>
    <x v="0"/>
  </r>
  <r>
    <n v="84415"/>
    <n v="44472.6"/>
    <x v="0"/>
    <x v="2405"/>
    <x v="6"/>
    <s v="WORK SERV-AVIATION"/>
    <s v="BID"/>
    <x v="1"/>
  </r>
  <r>
    <n v="84664"/>
    <n v="3900598.5"/>
    <x v="4"/>
    <x v="2738"/>
    <x v="0"/>
    <s v="CONSTRUCTION-LARGE $3MILLIONorABOVE"/>
    <s v="BID"/>
    <x v="0"/>
  </r>
  <r>
    <n v="85577"/>
    <n v="6000270"/>
    <x v="0"/>
    <x v="2765"/>
    <x v="6"/>
    <s v="WORK SERV-AVIATION"/>
    <s v="BID"/>
    <x v="2"/>
  </r>
  <r>
    <n v="86020"/>
    <n v="28106000"/>
    <x v="0"/>
    <x v="2766"/>
    <x v="6"/>
    <s v="COMMODITIES-AVIATION"/>
    <s v="BID"/>
    <x v="0"/>
  </r>
  <r>
    <n v="86023"/>
    <n v="109286.5"/>
    <x v="0"/>
    <x v="2767"/>
    <x v="1"/>
    <s v="WORK SERV-AVIATION"/>
    <s v="UNKNOWN"/>
    <x v="0"/>
  </r>
  <r>
    <n v="86455"/>
    <n v="719367.8"/>
    <x v="1"/>
    <x v="2768"/>
    <x v="1"/>
    <s v="PROPERTY LEASE"/>
    <s v="UNKNOWN"/>
    <x v="0"/>
  </r>
  <r>
    <n v="86478"/>
    <n v="89609.8"/>
    <x v="2"/>
    <x v="252"/>
    <x v="0"/>
    <s v="CONSTRUCTION-LARGE $3MILLIONorABOVE"/>
    <s v="UNKNOWN"/>
    <x v="1"/>
  </r>
  <r>
    <n v="87486"/>
    <n v="491712916"/>
    <x v="1"/>
    <x v="36"/>
    <x v="6"/>
    <s v="COMPTROLLER-OTHER"/>
    <s v="UNKNOWN"/>
    <x v="0"/>
  </r>
  <r>
    <n v="87516"/>
    <n v="27545325.100000001"/>
    <x v="0"/>
    <x v="2769"/>
    <x v="3"/>
    <s v="WORK SERVICES / FACILITIES MAINT."/>
    <s v="RFP"/>
    <x v="0"/>
  </r>
  <r>
    <n v="87822"/>
    <n v="1453144.4"/>
    <x v="0"/>
    <x v="520"/>
    <x v="0"/>
    <s v="ARCH/ENGINEERING"/>
    <s v="RFQ"/>
    <x v="0"/>
  </r>
  <r>
    <n v="89344"/>
    <n v="7800000"/>
    <x v="0"/>
    <x v="2770"/>
    <x v="6"/>
    <s v="PRO SERV-AVIATION"/>
    <s v="RFP"/>
    <x v="0"/>
  </r>
  <r>
    <n v="89427"/>
    <n v="50000"/>
    <x v="0"/>
    <x v="2739"/>
    <x v="8"/>
    <s v="COMPTROLLER-OTHER"/>
    <s v="UNKNOWN"/>
    <x v="0"/>
  </r>
  <r>
    <n v="89433"/>
    <n v="20737846"/>
    <x v="1"/>
    <x v="2771"/>
    <x v="9"/>
    <s v="COMPTROLLER-OTHER"/>
    <s v="UNKNOWN"/>
    <x v="0"/>
  </r>
  <r>
    <n v="89590"/>
    <n v="1370278.8"/>
    <x v="0"/>
    <x v="2738"/>
    <x v="0"/>
    <s v="CONSTRUCTION-LARGE $3MILLIONorABOVE"/>
    <s v="BID"/>
    <x v="0"/>
  </r>
  <r>
    <n v="89748"/>
    <n v="12258594"/>
    <x v="0"/>
    <x v="1054"/>
    <x v="6"/>
    <s v="PRO SERV CONSULTING $250,000orABOVE"/>
    <s v="RFP"/>
    <x v="1"/>
  </r>
  <r>
    <n v="91186"/>
    <n v="287500"/>
    <x v="0"/>
    <x v="204"/>
    <x v="8"/>
    <s v="DELEGATE AGENCY"/>
    <s v="RFP"/>
    <x v="0"/>
  </r>
  <r>
    <n v="91187"/>
    <n v="287500"/>
    <x v="2"/>
    <x v="40"/>
    <x v="8"/>
    <s v="DELEGATE AGENCY"/>
    <s v="RFP"/>
    <x v="0"/>
  </r>
  <r>
    <n v="91188"/>
    <n v="287500"/>
    <x v="2"/>
    <x v="168"/>
    <x v="8"/>
    <s v="DELEGATE AGENCY"/>
    <s v="RFP"/>
    <x v="1"/>
  </r>
  <r>
    <n v="91955"/>
    <n v="1190623"/>
    <x v="2"/>
    <x v="1083"/>
    <x v="6"/>
    <s v="COMMODITIES-AVIATION"/>
    <s v="BID"/>
    <x v="0"/>
  </r>
  <r>
    <n v="91956"/>
    <n v="268000"/>
    <x v="0"/>
    <x v="2772"/>
    <x v="6"/>
    <s v="COMMODITIES-AVIATION"/>
    <s v="BID"/>
    <x v="0"/>
  </r>
  <r>
    <n v="92309"/>
    <n v="412546"/>
    <x v="2"/>
    <x v="313"/>
    <x v="8"/>
    <s v="DELEGATE AGENCY"/>
    <s v="RFP"/>
    <x v="0"/>
  </r>
  <r>
    <n v="92311"/>
    <n v="534564"/>
    <x v="2"/>
    <x v="204"/>
    <x v="8"/>
    <s v="DELEGATE AGENCY"/>
    <s v="RFP"/>
    <x v="0"/>
  </r>
  <r>
    <n v="92312"/>
    <n v="3919098"/>
    <x v="2"/>
    <x v="28"/>
    <x v="8"/>
    <s v="DELEGATE AGENCY"/>
    <s v="RFP"/>
    <x v="0"/>
  </r>
  <r>
    <n v="92313"/>
    <n v="780602"/>
    <x v="0"/>
    <x v="214"/>
    <x v="8"/>
    <s v="DELEGATE AGENCY"/>
    <s v="RFP"/>
    <x v="0"/>
  </r>
  <r>
    <n v="92315"/>
    <n v="1291482"/>
    <x v="2"/>
    <x v="45"/>
    <x v="8"/>
    <s v="DELEGATE AGENCY"/>
    <s v="RFP"/>
    <x v="0"/>
  </r>
  <r>
    <n v="92316"/>
    <n v="1126311"/>
    <x v="0"/>
    <x v="312"/>
    <x v="8"/>
    <s v="DELEGATE AGENCY"/>
    <s v="RFP"/>
    <x v="0"/>
  </r>
  <r>
    <n v="92318"/>
    <n v="527536"/>
    <x v="0"/>
    <x v="460"/>
    <x v="8"/>
    <s v="DELEGATE AGENCY"/>
    <s v="RFP"/>
    <x v="0"/>
  </r>
  <r>
    <n v="92319"/>
    <n v="279793"/>
    <x v="2"/>
    <x v="49"/>
    <x v="8"/>
    <s v="DELEGATE AGENCY"/>
    <s v="RFP"/>
    <x v="0"/>
  </r>
  <r>
    <n v="92320"/>
    <n v="3324216"/>
    <x v="2"/>
    <x v="315"/>
    <x v="8"/>
    <s v="DELEGATE AGENCY"/>
    <s v="RFP"/>
    <x v="0"/>
  </r>
  <r>
    <n v="92321"/>
    <n v="1947635"/>
    <x v="0"/>
    <x v="24"/>
    <x v="8"/>
    <s v="DELEGATE AGENCY"/>
    <s v="RFP"/>
    <x v="0"/>
  </r>
  <r>
    <n v="92322"/>
    <n v="805671"/>
    <x v="0"/>
    <x v="298"/>
    <x v="8"/>
    <s v="DELEGATE AGENCY"/>
    <s v="RFP"/>
    <x v="0"/>
  </r>
  <r>
    <n v="92323"/>
    <n v="666993"/>
    <x v="2"/>
    <x v="1129"/>
    <x v="8"/>
    <s v="DELEGATE AGENCY"/>
    <s v="RFP"/>
    <x v="0"/>
  </r>
  <r>
    <n v="92324"/>
    <n v="1328254"/>
    <x v="2"/>
    <x v="288"/>
    <x v="8"/>
    <s v="DELEGATE AGENCY"/>
    <s v="RFP"/>
    <x v="0"/>
  </r>
  <r>
    <n v="92325"/>
    <n v="13688662"/>
    <x v="0"/>
    <x v="19"/>
    <x v="8"/>
    <s v="DELEGATE AGENCY"/>
    <s v="RFP"/>
    <x v="0"/>
  </r>
  <r>
    <n v="92930"/>
    <n v="1787752"/>
    <x v="0"/>
    <x v="1441"/>
    <x v="10"/>
    <s v="COMMODITIES"/>
    <s v="BID"/>
    <x v="1"/>
  </r>
  <r>
    <n v="92953"/>
    <n v="3780514.5"/>
    <x v="0"/>
    <x v="1107"/>
    <x v="7"/>
    <s v="COMMODITIES"/>
    <s v="BID"/>
    <x v="0"/>
  </r>
  <r>
    <n v="93627"/>
    <n v="68874321"/>
    <x v="0"/>
    <x v="1060"/>
    <x v="14"/>
    <s v="PRO SERV CONSULTING $250,000orABOVE"/>
    <s v="RFP"/>
    <x v="1"/>
  </r>
  <r>
    <n v="94385"/>
    <n v="2127298"/>
    <x v="0"/>
    <x v="19"/>
    <x v="8"/>
    <s v="DELEGATE AGENCY"/>
    <s v="RFP"/>
    <x v="0"/>
  </r>
  <r>
    <n v="94389"/>
    <n v="236688"/>
    <x v="0"/>
    <x v="5"/>
    <x v="8"/>
    <s v="DELEGATE AGENCY"/>
    <s v="RFP"/>
    <x v="0"/>
  </r>
  <r>
    <n v="94391"/>
    <n v="260666"/>
    <x v="1"/>
    <x v="204"/>
    <x v="8"/>
    <s v="DELEGATE AGENCY"/>
    <s v="RFP"/>
    <x v="0"/>
  </r>
  <r>
    <n v="94395"/>
    <n v="18310216"/>
    <x v="2"/>
    <x v="19"/>
    <x v="8"/>
    <s v="DELEGATE AGENCY"/>
    <s v="RFP"/>
    <x v="0"/>
  </r>
  <r>
    <n v="94402"/>
    <n v="322364"/>
    <x v="0"/>
    <x v="1190"/>
    <x v="8"/>
    <s v="DELEGATE AGENCY"/>
    <s v="RFP"/>
    <x v="0"/>
  </r>
  <r>
    <n v="94403"/>
    <n v="802926"/>
    <x v="2"/>
    <x v="318"/>
    <x v="8"/>
    <s v="DELEGATE AGENCY"/>
    <s v="RFP"/>
    <x v="0"/>
  </r>
  <r>
    <n v="94994"/>
    <n v="8043271.9000000004"/>
    <x v="2"/>
    <x v="1"/>
    <x v="6"/>
    <s v="WORK SERV-AVIATION"/>
    <s v="BID"/>
    <x v="0"/>
  </r>
  <r>
    <n v="95359"/>
    <n v="305718.40000000002"/>
    <x v="0"/>
    <x v="2773"/>
    <x v="5"/>
    <s v="COMMODITIES"/>
    <s v="BID"/>
    <x v="0"/>
  </r>
  <r>
    <n v="95695"/>
    <n v="79562"/>
    <x v="2"/>
    <x v="252"/>
    <x v="0"/>
    <s v="CONSTRUCTION-LARGE $3MILLIONorABOVE"/>
    <s v="BID"/>
    <x v="0"/>
  </r>
  <r>
    <n v="96319"/>
    <n v="55250000"/>
    <x v="1"/>
    <x v="2774"/>
    <x v="6"/>
    <s v="PRO SERV-AVIATION"/>
    <s v="UNKNOWN"/>
    <x v="0"/>
  </r>
  <r>
    <n v="97923"/>
    <n v="296731"/>
    <x v="0"/>
    <x v="2775"/>
    <x v="11"/>
    <s v="COMMODITIES"/>
    <s v="BID"/>
    <x v="0"/>
  </r>
  <r>
    <n v="98065"/>
    <n v="508409494"/>
    <x v="2"/>
    <x v="2776"/>
    <x v="6"/>
    <s v="PRO SERV-AVIATION"/>
    <s v="RFQ"/>
    <x v="0"/>
  </r>
  <r>
    <n v="98336"/>
    <n v="2000000"/>
    <x v="0"/>
    <x v="209"/>
    <x v="0"/>
    <s v="WORK SERVICES / FACILITIES MAINT."/>
    <s v="SOLE SOURCE"/>
    <x v="2"/>
  </r>
  <r>
    <n v="98447"/>
    <n v="2082115154"/>
    <x v="0"/>
    <x v="2777"/>
    <x v="6"/>
    <s v="PRO SERV-AVIATION"/>
    <s v="RFQ"/>
    <x v="0"/>
  </r>
  <r>
    <n v="98464"/>
    <n v="2349520"/>
    <x v="0"/>
    <x v="2778"/>
    <x v="6"/>
    <s v="WORK SERV-AVIATION"/>
    <s v="BID"/>
    <x v="2"/>
  </r>
  <r>
    <n v="99121"/>
    <n v="698638.2"/>
    <x v="0"/>
    <x v="160"/>
    <x v="5"/>
    <s v="WORK SERVICES / FACILITIES MAINT."/>
    <s v="BID"/>
    <x v="0"/>
  </r>
  <r>
    <n v="99710"/>
    <n v="30985.5"/>
    <x v="2"/>
    <x v="158"/>
    <x v="5"/>
    <s v="CONSTRUCTION-GENERAL"/>
    <s v="BID"/>
    <x v="1"/>
  </r>
  <r>
    <n v="99711"/>
    <n v="1319"/>
    <x v="4"/>
    <x v="11"/>
    <x v="5"/>
    <s v="CONSTRUCTION-GENERAL"/>
    <s v="BID"/>
    <x v="1"/>
  </r>
  <r>
    <n v="99820"/>
    <n v="927134.7"/>
    <x v="3"/>
    <x v="2732"/>
    <x v="5"/>
    <s v="CONSTRUCTION-LARGE $3MILLIONorABOVE"/>
    <s v="BID"/>
    <x v="2"/>
  </r>
  <r>
    <n v="99821"/>
    <n v="8449.5"/>
    <x v="2"/>
    <x v="233"/>
    <x v="5"/>
    <s v="CONSTRUCTION-GENERAL"/>
    <s v="BID"/>
    <x v="0"/>
  </r>
  <r>
    <n v="9983"/>
    <n v="363090"/>
    <x v="3"/>
    <x v="2779"/>
    <x v="16"/>
    <s v="COMPTROLLER-OTHER"/>
    <s v="UNKNOWN"/>
    <x v="0"/>
  </r>
  <r>
    <n v="99894"/>
    <n v="4989068"/>
    <x v="2"/>
    <x v="57"/>
    <x v="12"/>
    <s v="DELEGATE AGENCY"/>
    <s v="UNKNOWN"/>
    <x v="0"/>
  </r>
  <r>
    <n v="99903"/>
    <n v="1626375"/>
    <x v="0"/>
    <x v="62"/>
    <x v="12"/>
    <s v="DELEGATE AGENCY"/>
    <s v="UNKNOWN"/>
    <x v="1"/>
  </r>
  <r>
    <n v="9991"/>
    <n v="1010538.3"/>
    <x v="0"/>
    <x v="2780"/>
    <x v="2"/>
    <s v="COMPTROLLER-OTHER"/>
    <s v="UNKNOWN"/>
    <x v="0"/>
  </r>
  <r>
    <n v="99983"/>
    <n v="2514565"/>
    <x v="0"/>
    <x v="65"/>
    <x v="12"/>
    <s v="DELEGATE AGENCY"/>
    <s v="UNKNOWN"/>
    <x v="0"/>
  </r>
  <r>
    <n v="99984"/>
    <n v="464022"/>
    <x v="0"/>
    <x v="70"/>
    <x v="12"/>
    <s v="DELEGATE AGENCY"/>
    <s v="UNKNOWN"/>
    <x v="1"/>
  </r>
  <r>
    <n v="99985"/>
    <n v="2250155"/>
    <x v="2"/>
    <x v="78"/>
    <x v="12"/>
    <s v="DELEGATE AGENCY"/>
    <s v="UNKNOWN"/>
    <x v="0"/>
  </r>
  <r>
    <s v="T26824"/>
    <n v="7731390"/>
    <x v="0"/>
    <x v="2781"/>
    <x v="0"/>
    <s v="PRO SERV CONSULTING $250,000orABOVE"/>
    <s v="SOLE SOURC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3F212-E632-1F4B-9C80-C03E67A7D7A2}" name="PivotTable5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1" firstHeaderRow="0" firstDataRow="1" firstDataCol="1" rowPageCount="1" colPageCount="1"/>
  <pivotFields count="8">
    <pivotField dataField="1" showAll="0"/>
    <pivotField dataField="1" numFmtId="164" showAll="0"/>
    <pivotField axis="axisPage" multipleItemSelectionAllowed="1" showAll="0">
      <items count="6">
        <item x="3"/>
        <item x="4"/>
        <item h="1" x="1"/>
        <item h="1" x="2"/>
        <item h="1" x="0"/>
        <item t="default"/>
      </items>
    </pivotField>
    <pivotField showAll="0"/>
    <pivotField axis="axisRow" showAll="0" sortType="descending">
      <items count="43">
        <item x="32"/>
        <item x="6"/>
        <item x="8"/>
        <item x="0"/>
        <item x="13"/>
        <item x="11"/>
        <item x="4"/>
        <item x="34"/>
        <item x="30"/>
        <item x="24"/>
        <item x="20"/>
        <item x="27"/>
        <item x="12"/>
        <item x="9"/>
        <item x="3"/>
        <item x="28"/>
        <item x="37"/>
        <item x="2"/>
        <item x="29"/>
        <item x="23"/>
        <item x="40"/>
        <item x="10"/>
        <item x="14"/>
        <item x="5"/>
        <item x="15"/>
        <item x="19"/>
        <item x="41"/>
        <item x="33"/>
        <item x="18"/>
        <item x="16"/>
        <item x="17"/>
        <item x="7"/>
        <item x="39"/>
        <item x="25"/>
        <item x="31"/>
        <item x="1"/>
        <item x="21"/>
        <item x="22"/>
        <item x="26"/>
        <item x="35"/>
        <item x="36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4"/>
  </rowFields>
  <rowItems count="38">
    <i>
      <x v="10"/>
    </i>
    <i>
      <x v="12"/>
    </i>
    <i>
      <x v="2"/>
    </i>
    <i>
      <x v="25"/>
    </i>
    <i>
      <x v="17"/>
    </i>
    <i>
      <x v="29"/>
    </i>
    <i>
      <x v="36"/>
    </i>
    <i>
      <x v="37"/>
    </i>
    <i>
      <x v="3"/>
    </i>
    <i>
      <x v="23"/>
    </i>
    <i>
      <x v="35"/>
    </i>
    <i>
      <x v="1"/>
    </i>
    <i>
      <x v="14"/>
    </i>
    <i>
      <x v="22"/>
    </i>
    <i>
      <x v="33"/>
    </i>
    <i>
      <x v="24"/>
    </i>
    <i>
      <x v="13"/>
    </i>
    <i>
      <x v="15"/>
    </i>
    <i>
      <x v="38"/>
    </i>
    <i>
      <x v="4"/>
    </i>
    <i>
      <x v="7"/>
    </i>
    <i>
      <x v="34"/>
    </i>
    <i>
      <x v="5"/>
    </i>
    <i>
      <x v="11"/>
    </i>
    <i>
      <x v="21"/>
    </i>
    <i>
      <x v="30"/>
    </i>
    <i>
      <x/>
    </i>
    <i>
      <x v="18"/>
    </i>
    <i>
      <x v="40"/>
    </i>
    <i>
      <x v="32"/>
    </i>
    <i>
      <x v="26"/>
    </i>
    <i>
      <x v="9"/>
    </i>
    <i>
      <x v="39"/>
    </i>
    <i>
      <x v="16"/>
    </i>
    <i>
      <x v="31"/>
    </i>
    <i>
      <x v="41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Count" fld="0" subtotal="count" baseField="0" baseItem="0"/>
    <dataField name="Spend" fld="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39CB0-B403-6742-BDD7-90AD94E190FD}" name="PivotTable4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racts">
  <location ref="A3:E9" firstHeaderRow="0" firstDataRow="1" firstDataCol="1"/>
  <pivotFields count="8">
    <pivotField dataField="1" showAll="0"/>
    <pivotField dataField="1" numFmtId="164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pend" fld="1" baseField="0" baseItem="0" numFmtId="164"/>
    <dataField name="Contracts" fld="0" subtotal="count" baseField="0" baseItem="0"/>
    <dataField name="% of Contracts" fld="0" subtotal="count" showDataAs="percentOfTotal" baseField="0" baseItem="0" numFmtId="10"/>
    <dataField name="% of Spend" fld="1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BD981-B2C7-9D44-969B-1597F5773109}" name="PivotTable1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2784" firstHeaderRow="0" firstDataRow="1" firstDataCol="1"/>
  <pivotFields count="8">
    <pivotField showAll="0"/>
    <pivotField dataField="1" numFmtId="164" showAll="0"/>
    <pivotField showAll="0"/>
    <pivotField axis="axisRow" showAll="0" sortType="descending">
      <items count="2783">
        <item x="1173"/>
        <item x="422"/>
        <item x="2040"/>
        <item x="2750"/>
        <item x="481"/>
        <item x="2369"/>
        <item x="296"/>
        <item x="411"/>
        <item x="1251"/>
        <item x="1978"/>
        <item x="2769"/>
        <item x="409"/>
        <item x="256"/>
        <item x="1735"/>
        <item x="2687"/>
        <item x="2720"/>
        <item x="2756"/>
        <item x="600"/>
        <item x="1004"/>
        <item x="869"/>
        <item x="2724"/>
        <item x="1836"/>
        <item x="2325"/>
        <item x="2777"/>
        <item x="494"/>
        <item x="50"/>
        <item x="667"/>
        <item x="2714"/>
        <item x="55"/>
        <item x="1096"/>
        <item x="196"/>
        <item x="178"/>
        <item x="1833"/>
        <item x="147"/>
        <item x="1930"/>
        <item x="509"/>
        <item x="1738"/>
        <item x="255"/>
        <item x="51"/>
        <item x="35"/>
        <item x="232"/>
        <item x="2737"/>
        <item x="2761"/>
        <item x="2045"/>
        <item x="1974"/>
        <item x="247"/>
        <item x="1763"/>
        <item x="518"/>
        <item x="426"/>
        <item x="1095"/>
        <item x="209"/>
        <item x="427"/>
        <item x="2778"/>
        <item x="554"/>
        <item x="405"/>
        <item x="453"/>
        <item x="2421"/>
        <item x="2427"/>
        <item x="475"/>
        <item x="2186"/>
        <item x="268"/>
        <item x="1079"/>
        <item x="2304"/>
        <item x="2774"/>
        <item x="2733"/>
        <item x="1996"/>
        <item x="2702"/>
        <item x="1421"/>
        <item x="152"/>
        <item x="1912"/>
        <item x="2470"/>
        <item x="192"/>
        <item x="1459"/>
        <item x="177"/>
        <item x="2227"/>
        <item x="12"/>
        <item x="210"/>
        <item x="2688"/>
        <item x="21"/>
        <item x="993"/>
        <item x="161"/>
        <item x="23"/>
        <item x="25"/>
        <item x="1078"/>
        <item x="1215"/>
        <item x="10"/>
        <item x="1832"/>
        <item x="571"/>
        <item x="1053"/>
        <item x="1723"/>
        <item x="2775"/>
        <item x="459"/>
        <item x="17"/>
        <item x="483"/>
        <item x="542"/>
        <item x="18"/>
        <item x="2718"/>
        <item x="1002"/>
        <item x="2351"/>
        <item x="1209"/>
        <item x="252"/>
        <item x="1164"/>
        <item x="419"/>
        <item x="1909"/>
        <item x="1422"/>
        <item x="1054"/>
        <item x="5"/>
        <item x="561"/>
        <item x="2691"/>
        <item x="1473"/>
        <item x="410"/>
        <item x="2649"/>
        <item x="1045"/>
        <item x="811"/>
        <item x="2758"/>
        <item x="908"/>
        <item x="2736"/>
        <item x="1843"/>
        <item x="160"/>
        <item x="1073"/>
        <item x="1072"/>
        <item x="1"/>
        <item x="206"/>
        <item x="537"/>
        <item x="1216"/>
        <item x="2725"/>
        <item x="519"/>
        <item x="918"/>
        <item x="1231"/>
        <item x="1983"/>
        <item x="2717"/>
        <item x="2249"/>
        <item x="1172"/>
        <item x="172"/>
        <item x="461"/>
        <item x="516"/>
        <item x="173"/>
        <item x="2187"/>
        <item x="2291"/>
        <item x="1120"/>
        <item x="1097"/>
        <item x="2044"/>
        <item x="1874"/>
        <item x="2747"/>
        <item x="1889"/>
        <item x="1472"/>
        <item x="1838"/>
        <item x="1379"/>
        <item x="2189"/>
        <item x="1487"/>
        <item x="184"/>
        <item x="1894"/>
        <item x="2716"/>
        <item x="1098"/>
        <item x="2766"/>
        <item x="402"/>
        <item x="2754"/>
        <item x="1110"/>
        <item x="1055"/>
        <item x="2753"/>
        <item x="2"/>
        <item x="2276"/>
        <item x="248"/>
        <item x="999"/>
        <item x="416"/>
        <item x="1087"/>
        <item x="2752"/>
        <item x="642"/>
        <item x="515"/>
        <item x="2723"/>
        <item x="1111"/>
        <item x="1998"/>
        <item x="2767"/>
        <item x="508"/>
        <item x="2744"/>
        <item x="414"/>
        <item x="1401"/>
        <item x="159"/>
        <item x="2405"/>
        <item x="1817"/>
        <item x="2005"/>
        <item x="22"/>
        <item x="425"/>
        <item x="2703"/>
        <item x="524"/>
        <item x="2683"/>
        <item x="2645"/>
        <item x="1424"/>
        <item x="480"/>
        <item x="1301"/>
        <item x="556"/>
        <item x="1356"/>
        <item x="865"/>
        <item x="2428"/>
        <item x="0"/>
        <item x="54"/>
        <item x="1377"/>
        <item x="546"/>
        <item x="1229"/>
        <item x="234"/>
        <item x="163"/>
        <item x="439"/>
        <item x="553"/>
        <item x="1026"/>
        <item x="273"/>
        <item x="1056"/>
        <item x="1075"/>
        <item x="1370"/>
        <item x="1089"/>
        <item x="29"/>
        <item x="2295"/>
        <item x="2041"/>
        <item x="1288"/>
        <item x="482"/>
        <item x="438"/>
        <item x="478"/>
        <item x="2696"/>
        <item x="1143"/>
        <item x="149"/>
        <item x="2712"/>
        <item x="1112"/>
        <item x="1517"/>
        <item x="2781"/>
        <item x="1074"/>
        <item x="429"/>
        <item x="180"/>
        <item x="195"/>
        <item x="1099"/>
        <item x="2076"/>
        <item x="1744"/>
        <item x="2229"/>
        <item x="1890"/>
        <item x="424"/>
        <item x="568"/>
        <item x="2000"/>
        <item x="520"/>
        <item x="1195"/>
        <item x="599"/>
        <item x="1094"/>
        <item x="1081"/>
        <item x="1076"/>
        <item x="2001"/>
        <item x="2253"/>
        <item x="421"/>
        <item x="1218"/>
        <item x="2443"/>
        <item x="146"/>
        <item x="1067"/>
        <item x="420"/>
        <item x="2004"/>
        <item x="2006"/>
        <item x="157"/>
        <item x="1063"/>
        <item x="2701"/>
        <item x="2770"/>
        <item x="2732"/>
        <item x="2762"/>
        <item x="1988"/>
        <item x="1873"/>
        <item x="1174"/>
        <item x="266"/>
        <item x="179"/>
        <item x="1113"/>
        <item x="1858"/>
        <item x="2704"/>
        <item x="901"/>
        <item x="1107"/>
        <item x="56"/>
        <item x="225"/>
        <item x="545"/>
        <item x="2728"/>
        <item x="186"/>
        <item x="174"/>
        <item x="2046"/>
        <item x="2673"/>
        <item x="2697"/>
        <item x="536"/>
        <item x="2726"/>
        <item x="535"/>
        <item x="253"/>
        <item x="2286"/>
        <item x="2743"/>
        <item x="1404"/>
        <item x="171"/>
        <item x="1840"/>
        <item x="2738"/>
        <item x="1108"/>
        <item x="998"/>
        <item x="2255"/>
        <item x="1264"/>
        <item x="1080"/>
        <item x="2694"/>
        <item x="1114"/>
        <item x="1250"/>
        <item x="1057"/>
        <item x="2226"/>
        <item x="264"/>
        <item x="1228"/>
        <item x="2757"/>
        <item x="237"/>
        <item x="1341"/>
        <item x="2416"/>
        <item x="1365"/>
        <item x="275"/>
        <item x="249"/>
        <item x="538"/>
        <item x="31"/>
        <item x="1105"/>
        <item x="954"/>
        <item x="1901"/>
        <item x="246"/>
        <item x="1919"/>
        <item x="1842"/>
        <item x="2740"/>
        <item x="2709"/>
        <item x="1869"/>
        <item x="1100"/>
        <item x="2759"/>
        <item x="1893"/>
        <item x="151"/>
        <item x="1118"/>
        <item x="2686"/>
        <item x="2689"/>
        <item x="1064"/>
        <item x="1255"/>
        <item x="997"/>
        <item x="2094"/>
        <item x="185"/>
        <item x="1743"/>
        <item x="1050"/>
        <item x="1029"/>
        <item x="1044"/>
        <item x="1090"/>
        <item x="226"/>
        <item x="2409"/>
        <item x="1621"/>
        <item x="2711"/>
        <item x="2278"/>
        <item x="138"/>
        <item x="732"/>
        <item x="2719"/>
        <item x="2430"/>
        <item x="2096"/>
        <item x="2727"/>
        <item x="994"/>
        <item x="555"/>
        <item x="1115"/>
        <item x="1066"/>
        <item x="2435"/>
        <item x="1256"/>
        <item x="1086"/>
        <item x="2708"/>
        <item x="2650"/>
        <item x="523"/>
        <item x="1196"/>
        <item x="1950"/>
        <item x="1971"/>
        <item x="474"/>
        <item x="1116"/>
        <item x="2690"/>
        <item x="526"/>
        <item x="484"/>
        <item x="158"/>
        <item x="2772"/>
        <item x="1844"/>
        <item x="1854"/>
        <item x="1900"/>
        <item x="14"/>
        <item x="2700"/>
        <item x="269"/>
        <item x="1857"/>
        <item x="1058"/>
        <item x="1217"/>
        <item x="1065"/>
        <item x="1841"/>
        <item x="1470"/>
        <item x="1252"/>
        <item x="1093"/>
        <item x="1092"/>
        <item x="1091"/>
        <item x="403"/>
        <item x="1069"/>
        <item x="241"/>
        <item x="245"/>
        <item x="2240"/>
        <item x="2745"/>
        <item x="2374"/>
        <item x="11"/>
        <item x="1465"/>
        <item x="1070"/>
        <item x="1068"/>
        <item x="1383"/>
        <item x="1077"/>
        <item x="344"/>
        <item x="244"/>
        <item x="1104"/>
        <item x="1835"/>
        <item x="136"/>
        <item x="271"/>
        <item x="1039"/>
        <item x="1471"/>
        <item x="2417"/>
        <item x="137"/>
        <item x="274"/>
        <item x="2002"/>
        <item x="1219"/>
        <item x="2231"/>
        <item x="2765"/>
        <item x="1071"/>
        <item x="52"/>
        <item x="1083"/>
        <item x="1038"/>
        <item x="2695"/>
        <item x="1117"/>
        <item x="2706"/>
        <item x="1059"/>
        <item x="1911"/>
        <item x="2095"/>
        <item x="1441"/>
        <item x="412"/>
        <item x="283"/>
        <item x="883"/>
        <item x="1467"/>
        <item x="2454"/>
        <item x="233"/>
        <item x="272"/>
        <item x="2429"/>
        <item x="2710"/>
        <item x="208"/>
        <item x="2742"/>
        <item x="1052"/>
        <item x="1101"/>
        <item x="1895"/>
        <item x="1402"/>
        <item x="522"/>
        <item x="2272"/>
        <item x="16"/>
        <item x="551"/>
        <item x="2519"/>
        <item x="15"/>
        <item x="30"/>
        <item x="415"/>
        <item x="1119"/>
        <item x="2408"/>
        <item x="2420"/>
        <item x="434"/>
        <item x="1035"/>
        <item x="1272"/>
        <item x="2707"/>
        <item x="148"/>
        <item x="2003"/>
        <item x="2749"/>
        <item x="1060"/>
        <item x="2020"/>
        <item x="1757"/>
        <item x="1987"/>
        <item x="1845"/>
        <item x="2685"/>
        <item x="20"/>
        <item x="2755"/>
        <item x="2097"/>
        <item x="557"/>
        <item x="254"/>
        <item x="1082"/>
        <item x="2698"/>
        <item x="2721"/>
        <item x="53"/>
        <item x="1834"/>
        <item x="155"/>
        <item x="1102"/>
        <item x="1375"/>
        <item x="2713"/>
        <item x="428"/>
        <item x="2432"/>
        <item x="1061"/>
        <item x="479"/>
        <item x="2386"/>
        <item x="2412"/>
        <item x="413"/>
        <item x="1300"/>
        <item x="2235"/>
        <item x="1355"/>
        <item x="2257"/>
        <item x="1839"/>
        <item x="521"/>
        <item x="2748"/>
        <item x="141"/>
        <item x="13"/>
        <item x="2411"/>
        <item x="267"/>
        <item x="2764"/>
        <item x="9"/>
        <item x="2355"/>
        <item x="1357"/>
        <item x="514"/>
        <item x="1632"/>
        <item x="2019"/>
        <item x="1883"/>
        <item x="1734"/>
        <item x="867"/>
        <item x="2705"/>
        <item x="1736"/>
        <item x="418"/>
        <item x="2715"/>
        <item x="143"/>
        <item x="462"/>
        <item x="1400"/>
        <item x="1469"/>
        <item x="1876"/>
        <item x="2751"/>
        <item x="2692"/>
        <item x="1088"/>
        <item x="7"/>
        <item x="162"/>
        <item x="1423"/>
        <item x="2773"/>
        <item x="1124"/>
        <item x="2776"/>
        <item x="1028"/>
        <item x="230"/>
        <item x="2693"/>
        <item x="2315"/>
        <item x="1816"/>
        <item x="543"/>
        <item x="1997"/>
        <item x="2699"/>
        <item x="2277"/>
        <item x="2746"/>
        <item x="1910"/>
        <item x="1468"/>
        <item x="417"/>
        <item x="2722"/>
        <item x="2298"/>
        <item x="1831"/>
        <item x="142"/>
        <item x="1299"/>
        <item x="2254"/>
        <item x="511"/>
        <item x="1772"/>
        <item x="878"/>
        <item x="164"/>
        <item x="1339"/>
        <item x="2730"/>
        <item x="2288"/>
        <item x="513"/>
        <item x="423"/>
        <item x="1062"/>
        <item x="903"/>
        <item x="224"/>
        <item x="2256"/>
        <item x="517"/>
        <item x="1397"/>
        <item x="3"/>
        <item x="4"/>
        <item x="6"/>
        <item x="8"/>
        <item x="19"/>
        <item x="24"/>
        <item x="26"/>
        <item x="27"/>
        <item x="28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9"/>
        <item x="140"/>
        <item x="144"/>
        <item x="145"/>
        <item x="150"/>
        <item x="153"/>
        <item x="154"/>
        <item x="156"/>
        <item x="165"/>
        <item x="166"/>
        <item x="167"/>
        <item x="168"/>
        <item x="169"/>
        <item x="170"/>
        <item x="175"/>
        <item x="176"/>
        <item x="181"/>
        <item x="182"/>
        <item x="183"/>
        <item x="187"/>
        <item x="188"/>
        <item x="189"/>
        <item x="190"/>
        <item x="191"/>
        <item x="193"/>
        <item x="194"/>
        <item x="197"/>
        <item x="198"/>
        <item x="199"/>
        <item x="200"/>
        <item x="201"/>
        <item x="202"/>
        <item x="203"/>
        <item x="204"/>
        <item x="205"/>
        <item x="207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7"/>
        <item x="228"/>
        <item x="229"/>
        <item x="231"/>
        <item x="235"/>
        <item x="236"/>
        <item x="238"/>
        <item x="239"/>
        <item x="240"/>
        <item x="242"/>
        <item x="243"/>
        <item x="250"/>
        <item x="251"/>
        <item x="257"/>
        <item x="258"/>
        <item x="259"/>
        <item x="260"/>
        <item x="261"/>
        <item x="262"/>
        <item x="263"/>
        <item x="265"/>
        <item x="270"/>
        <item x="276"/>
        <item x="277"/>
        <item x="278"/>
        <item x="279"/>
        <item x="280"/>
        <item x="281"/>
        <item x="282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4"/>
        <item x="406"/>
        <item x="407"/>
        <item x="408"/>
        <item x="430"/>
        <item x="431"/>
        <item x="432"/>
        <item x="433"/>
        <item x="435"/>
        <item x="436"/>
        <item x="437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4"/>
        <item x="455"/>
        <item x="456"/>
        <item x="457"/>
        <item x="458"/>
        <item x="460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6"/>
        <item x="477"/>
        <item x="485"/>
        <item x="486"/>
        <item x="487"/>
        <item x="488"/>
        <item x="489"/>
        <item x="490"/>
        <item x="491"/>
        <item x="492"/>
        <item x="493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10"/>
        <item x="512"/>
        <item x="525"/>
        <item x="527"/>
        <item x="528"/>
        <item x="529"/>
        <item x="530"/>
        <item x="531"/>
        <item x="532"/>
        <item x="533"/>
        <item x="534"/>
        <item x="539"/>
        <item x="540"/>
        <item x="541"/>
        <item x="544"/>
        <item x="547"/>
        <item x="548"/>
        <item x="549"/>
        <item x="550"/>
        <item x="552"/>
        <item x="558"/>
        <item x="559"/>
        <item x="560"/>
        <item x="562"/>
        <item x="563"/>
        <item x="564"/>
        <item x="565"/>
        <item x="566"/>
        <item x="567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6"/>
        <item x="868"/>
        <item x="870"/>
        <item x="871"/>
        <item x="872"/>
        <item x="873"/>
        <item x="874"/>
        <item x="875"/>
        <item x="876"/>
        <item x="877"/>
        <item x="879"/>
        <item x="880"/>
        <item x="881"/>
        <item x="882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4"/>
        <item x="905"/>
        <item x="906"/>
        <item x="907"/>
        <item x="909"/>
        <item x="910"/>
        <item x="911"/>
        <item x="912"/>
        <item x="913"/>
        <item x="914"/>
        <item x="915"/>
        <item x="916"/>
        <item x="917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5"/>
        <item x="996"/>
        <item x="1000"/>
        <item x="1001"/>
        <item x="1003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7"/>
        <item x="1030"/>
        <item x="1031"/>
        <item x="1032"/>
        <item x="1033"/>
        <item x="1034"/>
        <item x="1036"/>
        <item x="1037"/>
        <item x="1040"/>
        <item x="1041"/>
        <item x="1042"/>
        <item x="1043"/>
        <item x="1046"/>
        <item x="1047"/>
        <item x="1048"/>
        <item x="1049"/>
        <item x="1051"/>
        <item x="1084"/>
        <item x="1085"/>
        <item x="1103"/>
        <item x="1106"/>
        <item x="1109"/>
        <item x="1121"/>
        <item x="1122"/>
        <item x="1123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5"/>
        <item x="1166"/>
        <item x="1167"/>
        <item x="1168"/>
        <item x="1169"/>
        <item x="1170"/>
        <item x="1171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10"/>
        <item x="1211"/>
        <item x="1212"/>
        <item x="1213"/>
        <item x="1214"/>
        <item x="1220"/>
        <item x="1221"/>
        <item x="1222"/>
        <item x="1223"/>
        <item x="1224"/>
        <item x="1225"/>
        <item x="1226"/>
        <item x="1227"/>
        <item x="1230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3"/>
        <item x="1254"/>
        <item x="1257"/>
        <item x="1258"/>
        <item x="1259"/>
        <item x="1260"/>
        <item x="1261"/>
        <item x="1262"/>
        <item x="1263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9"/>
        <item x="1290"/>
        <item x="1291"/>
        <item x="1292"/>
        <item x="1293"/>
        <item x="1294"/>
        <item x="1295"/>
        <item x="1296"/>
        <item x="1297"/>
        <item x="1298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40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8"/>
        <item x="1359"/>
        <item x="1360"/>
        <item x="1361"/>
        <item x="1362"/>
        <item x="1363"/>
        <item x="1364"/>
        <item x="1366"/>
        <item x="1367"/>
        <item x="1368"/>
        <item x="1369"/>
        <item x="1371"/>
        <item x="1372"/>
        <item x="1373"/>
        <item x="1374"/>
        <item x="1376"/>
        <item x="1378"/>
        <item x="1380"/>
        <item x="1381"/>
        <item x="1382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8"/>
        <item x="1399"/>
        <item x="1403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60"/>
        <item x="1461"/>
        <item x="1462"/>
        <item x="1463"/>
        <item x="1464"/>
        <item x="1466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2"/>
        <item x="1623"/>
        <item x="1624"/>
        <item x="1625"/>
        <item x="1626"/>
        <item x="1627"/>
        <item x="1628"/>
        <item x="1629"/>
        <item x="1630"/>
        <item x="1631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4"/>
        <item x="1725"/>
        <item x="1726"/>
        <item x="1727"/>
        <item x="1728"/>
        <item x="1729"/>
        <item x="1730"/>
        <item x="1731"/>
        <item x="1732"/>
        <item x="1733"/>
        <item x="1737"/>
        <item x="1739"/>
        <item x="1740"/>
        <item x="1741"/>
        <item x="1742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8"/>
        <item x="1759"/>
        <item x="1760"/>
        <item x="1761"/>
        <item x="1762"/>
        <item x="1764"/>
        <item x="1765"/>
        <item x="1766"/>
        <item x="1767"/>
        <item x="1768"/>
        <item x="1769"/>
        <item x="1770"/>
        <item x="1771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7"/>
        <item x="1846"/>
        <item x="1847"/>
        <item x="1848"/>
        <item x="1849"/>
        <item x="1850"/>
        <item x="1851"/>
        <item x="1852"/>
        <item x="1853"/>
        <item x="1855"/>
        <item x="1856"/>
        <item x="1859"/>
        <item x="1860"/>
        <item x="1861"/>
        <item x="1862"/>
        <item x="1863"/>
        <item x="1864"/>
        <item x="1865"/>
        <item x="1866"/>
        <item x="1867"/>
        <item x="1868"/>
        <item x="1870"/>
        <item x="1871"/>
        <item x="1872"/>
        <item x="1875"/>
        <item x="1877"/>
        <item x="1878"/>
        <item x="1879"/>
        <item x="1880"/>
        <item x="1881"/>
        <item x="1882"/>
        <item x="1884"/>
        <item x="1885"/>
        <item x="1886"/>
        <item x="1887"/>
        <item x="1888"/>
        <item x="1891"/>
        <item x="1892"/>
        <item x="1896"/>
        <item x="1897"/>
        <item x="1898"/>
        <item x="1899"/>
        <item x="1902"/>
        <item x="1903"/>
        <item x="1904"/>
        <item x="1905"/>
        <item x="1906"/>
        <item x="1907"/>
        <item x="1908"/>
        <item x="1913"/>
        <item x="1914"/>
        <item x="1915"/>
        <item x="1916"/>
        <item x="1917"/>
        <item x="1918"/>
        <item x="1920"/>
        <item x="1921"/>
        <item x="1922"/>
        <item x="1923"/>
        <item x="1924"/>
        <item x="1925"/>
        <item x="1926"/>
        <item x="1927"/>
        <item x="1928"/>
        <item x="1929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2"/>
        <item x="1973"/>
        <item x="1975"/>
        <item x="1976"/>
        <item x="1977"/>
        <item x="1979"/>
        <item x="1980"/>
        <item x="1981"/>
        <item x="1982"/>
        <item x="1984"/>
        <item x="1985"/>
        <item x="1986"/>
        <item x="1989"/>
        <item x="1990"/>
        <item x="1991"/>
        <item x="1992"/>
        <item x="1993"/>
        <item x="1994"/>
        <item x="1995"/>
        <item x="1999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2"/>
        <item x="2043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8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8"/>
        <item x="2230"/>
        <item x="2232"/>
        <item x="2233"/>
        <item x="2234"/>
        <item x="2236"/>
        <item x="2237"/>
        <item x="2238"/>
        <item x="2239"/>
        <item x="2241"/>
        <item x="2242"/>
        <item x="2243"/>
        <item x="2244"/>
        <item x="2245"/>
        <item x="2246"/>
        <item x="2247"/>
        <item x="2248"/>
        <item x="2250"/>
        <item x="2251"/>
        <item x="2252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3"/>
        <item x="2274"/>
        <item x="2275"/>
        <item x="2279"/>
        <item x="2280"/>
        <item x="2281"/>
        <item x="2282"/>
        <item x="2283"/>
        <item x="2284"/>
        <item x="2285"/>
        <item x="2287"/>
        <item x="2289"/>
        <item x="2290"/>
        <item x="2292"/>
        <item x="2293"/>
        <item x="2294"/>
        <item x="2296"/>
        <item x="2297"/>
        <item x="2299"/>
        <item x="2300"/>
        <item x="2301"/>
        <item x="2302"/>
        <item x="2303"/>
        <item x="2305"/>
        <item x="2306"/>
        <item x="2307"/>
        <item x="2308"/>
        <item x="2309"/>
        <item x="2310"/>
        <item x="2311"/>
        <item x="2312"/>
        <item x="2313"/>
        <item x="2314"/>
        <item x="2316"/>
        <item x="2317"/>
        <item x="2318"/>
        <item x="2319"/>
        <item x="2320"/>
        <item x="2321"/>
        <item x="2322"/>
        <item x="2323"/>
        <item x="2324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2"/>
        <item x="2353"/>
        <item x="2354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70"/>
        <item x="2371"/>
        <item x="2372"/>
        <item x="2373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6"/>
        <item x="2407"/>
        <item x="2410"/>
        <item x="2413"/>
        <item x="2414"/>
        <item x="2415"/>
        <item x="2418"/>
        <item x="2419"/>
        <item x="2422"/>
        <item x="2423"/>
        <item x="2424"/>
        <item x="2425"/>
        <item x="2426"/>
        <item x="2431"/>
        <item x="2433"/>
        <item x="2434"/>
        <item x="2436"/>
        <item x="2437"/>
        <item x="2438"/>
        <item x="2439"/>
        <item x="2440"/>
        <item x="2441"/>
        <item x="2442"/>
        <item x="2444"/>
        <item x="2445"/>
        <item x="2446"/>
        <item x="2447"/>
        <item x="2448"/>
        <item x="2449"/>
        <item x="2450"/>
        <item x="2451"/>
        <item x="2452"/>
        <item x="2453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6"/>
        <item x="2647"/>
        <item x="2648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4"/>
        <item x="2675"/>
        <item x="2676"/>
        <item x="2677"/>
        <item x="2678"/>
        <item x="2679"/>
        <item x="2680"/>
        <item x="2681"/>
        <item x="2682"/>
        <item x="2684"/>
        <item x="2729"/>
        <item x="2731"/>
        <item x="2734"/>
        <item x="2735"/>
        <item x="2739"/>
        <item x="2741"/>
        <item x="2760"/>
        <item x="2763"/>
        <item x="2768"/>
        <item x="2771"/>
        <item x="2779"/>
        <item x="27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3"/>
  </rowFields>
  <rowItems count="2783">
    <i>
      <x v="1310"/>
    </i>
    <i>
      <x v="23"/>
    </i>
    <i>
      <x v="194"/>
    </i>
    <i>
      <x v="1645"/>
    </i>
    <i>
      <x v="564"/>
    </i>
    <i>
      <x v="517"/>
    </i>
    <i>
      <x v="387"/>
    </i>
    <i>
      <x v="192"/>
    </i>
    <i>
      <x v="103"/>
    </i>
    <i>
      <x v="936"/>
    </i>
    <i>
      <x v="78"/>
    </i>
    <i>
      <x v="383"/>
    </i>
    <i>
      <x v="214"/>
    </i>
    <i>
      <x v="747"/>
    </i>
    <i>
      <x v="660"/>
    </i>
    <i>
      <x v="1313"/>
    </i>
    <i>
      <x v="676"/>
    </i>
    <i>
      <x v="128"/>
    </i>
    <i>
      <x v="45"/>
    </i>
    <i>
      <x v="452"/>
    </i>
    <i>
      <x v="105"/>
    </i>
    <i>
      <x v="310"/>
    </i>
    <i>
      <x v="394"/>
    </i>
    <i>
      <x v="127"/>
    </i>
    <i>
      <x v="46"/>
    </i>
    <i>
      <x v="432"/>
    </i>
    <i>
      <x v="144"/>
    </i>
    <i>
      <x v="231"/>
    </i>
    <i>
      <x v="163"/>
    </i>
    <i>
      <x v="424"/>
    </i>
    <i>
      <x v="736"/>
    </i>
    <i>
      <x v="271"/>
    </i>
    <i>
      <x v="111"/>
    </i>
    <i>
      <x v="294"/>
    </i>
    <i>
      <x v="586"/>
    </i>
    <i>
      <x v="333"/>
    </i>
    <i>
      <x v="26"/>
    </i>
    <i>
      <x v="493"/>
    </i>
    <i>
      <x v="489"/>
    </i>
    <i>
      <x v="338"/>
    </i>
    <i>
      <x v="379"/>
    </i>
    <i>
      <x v="1951"/>
    </i>
    <i>
      <x v="332"/>
    </i>
    <i>
      <x v="136"/>
    </i>
    <i>
      <x v="224"/>
    </i>
    <i>
      <x v="978"/>
    </i>
    <i>
      <x v="155"/>
    </i>
    <i>
      <x v="1453"/>
    </i>
    <i>
      <x v="869"/>
    </i>
    <i>
      <x v="1952"/>
    </i>
    <i>
      <x v="39"/>
    </i>
    <i>
      <x v="359"/>
    </i>
    <i>
      <x v="635"/>
    </i>
    <i>
      <x v="75"/>
    </i>
    <i>
      <x v="350"/>
    </i>
    <i>
      <x v="143"/>
    </i>
    <i>
      <x v="395"/>
    </i>
    <i>
      <x v="578"/>
    </i>
    <i>
      <x v="487"/>
    </i>
    <i>
      <x v="1482"/>
    </i>
    <i>
      <x v="177"/>
    </i>
    <i>
      <x v="109"/>
    </i>
    <i>
      <x v="323"/>
    </i>
    <i>
      <x v="233"/>
    </i>
    <i>
      <x v="371"/>
    </i>
    <i>
      <x v="546"/>
    </i>
    <i>
      <x v="415"/>
    </i>
    <i>
      <x v="511"/>
    </i>
    <i>
      <x v="112"/>
    </i>
    <i>
      <x v="597"/>
    </i>
    <i>
      <x v="583"/>
    </i>
    <i>
      <x v="805"/>
    </i>
    <i>
      <x v="140"/>
    </i>
    <i>
      <x v="130"/>
    </i>
    <i>
      <x v="537"/>
    </i>
    <i>
      <x v="590"/>
    </i>
    <i>
      <x v="299"/>
    </i>
    <i>
      <x v="591"/>
    </i>
    <i>
      <x v="246"/>
    </i>
    <i>
      <x v="362"/>
    </i>
    <i>
      <x v="428"/>
    </i>
    <i>
      <x v="204"/>
    </i>
    <i>
      <x v="296"/>
    </i>
    <i>
      <x v="599"/>
    </i>
    <i>
      <x v="454"/>
    </i>
    <i>
      <x v="25"/>
    </i>
    <i>
      <x v="378"/>
    </i>
    <i>
      <x v="377"/>
    </i>
    <i>
      <x v="458"/>
    </i>
    <i>
      <x v="584"/>
    </i>
    <i>
      <x v="556"/>
    </i>
    <i>
      <x v="491"/>
    </i>
    <i>
      <x v="188"/>
    </i>
    <i>
      <x v="467"/>
    </i>
    <i>
      <x v="44"/>
    </i>
    <i>
      <x v="582"/>
    </i>
    <i>
      <x v="29"/>
    </i>
    <i>
      <x v="81"/>
    </i>
    <i>
      <x v="476"/>
    </i>
    <i>
      <x v="250"/>
    </i>
    <i>
      <x v="566"/>
    </i>
    <i>
      <x v="756"/>
    </i>
    <i>
      <x v="434"/>
    </i>
    <i>
      <x v="580"/>
    </i>
    <i>
      <x v="393"/>
    </i>
    <i>
      <x v="512"/>
    </i>
    <i>
      <x v="544"/>
    </i>
    <i>
      <x v="859"/>
    </i>
    <i>
      <x v="403"/>
    </i>
    <i>
      <x v="664"/>
    </i>
    <i>
      <x v="122"/>
    </i>
    <i>
      <x v="462"/>
    </i>
    <i>
      <x v="2037"/>
    </i>
    <i>
      <x v="93"/>
    </i>
    <i>
      <x v="244"/>
    </i>
    <i>
      <x v="549"/>
    </i>
    <i>
      <x v="685"/>
    </i>
    <i>
      <x v="494"/>
    </i>
    <i>
      <x v="329"/>
    </i>
    <i>
      <x v="74"/>
    </i>
    <i>
      <x v="518"/>
    </i>
    <i>
      <x v="588"/>
    </i>
    <i>
      <x v="595"/>
    </i>
    <i>
      <x v="63"/>
    </i>
    <i>
      <x v="431"/>
    </i>
    <i>
      <x v="469"/>
    </i>
    <i>
      <x v="598"/>
    </i>
    <i>
      <x v="519"/>
    </i>
    <i>
      <x v="657"/>
    </i>
    <i>
      <x v="315"/>
    </i>
    <i>
      <x v="365"/>
    </i>
    <i>
      <x v="353"/>
    </i>
    <i>
      <x v="581"/>
    </i>
    <i>
      <x v="729"/>
    </i>
    <i>
      <x v="439"/>
    </i>
    <i>
      <x v="406"/>
    </i>
    <i>
      <x v="88"/>
    </i>
    <i>
      <x v="168"/>
    </i>
    <i>
      <x v="374"/>
    </i>
    <i>
      <x v="4"/>
    </i>
    <i>
      <x v="360"/>
    </i>
    <i>
      <x v="280"/>
    </i>
    <i>
      <x v="658"/>
    </i>
    <i>
      <x v="256"/>
    </i>
    <i>
      <x v="153"/>
    </i>
    <i>
      <x v="208"/>
    </i>
    <i>
      <x v="530"/>
    </i>
    <i>
      <x v="126"/>
    </i>
    <i>
      <x v="82"/>
    </i>
    <i>
      <x v="361"/>
    </i>
    <i>
      <x v="911"/>
    </i>
    <i>
      <x v="2035"/>
    </i>
    <i>
      <x v="687"/>
    </i>
    <i>
      <x v="466"/>
    </i>
    <i>
      <x v="108"/>
    </i>
    <i>
      <x v="1403"/>
    </i>
    <i>
      <x v="238"/>
    </i>
    <i>
      <x v="483"/>
    </i>
    <i>
      <x v="129"/>
    </i>
    <i>
      <x v="420"/>
    </i>
    <i>
      <x v="162"/>
    </i>
    <i>
      <x v="221"/>
    </i>
    <i>
      <x v="700"/>
    </i>
    <i>
      <x v="167"/>
    </i>
    <i>
      <x v="916"/>
    </i>
    <i>
      <x v="242"/>
    </i>
    <i>
      <x v="2449"/>
    </i>
    <i>
      <x v="606"/>
    </i>
    <i>
      <x v="520"/>
    </i>
    <i>
      <x v="58"/>
    </i>
    <i>
      <x v="648"/>
    </i>
    <i>
      <x v="35"/>
    </i>
    <i>
      <x v="235"/>
    </i>
    <i>
      <x v="118"/>
    </i>
    <i>
      <x v="24"/>
    </i>
    <i>
      <x v="100"/>
    </i>
    <i>
      <x v="135"/>
    </i>
    <i>
      <x v="59"/>
    </i>
    <i>
      <x v="559"/>
    </i>
    <i>
      <x v="92"/>
    </i>
    <i>
      <x v="568"/>
    </i>
    <i>
      <x v="587"/>
    </i>
    <i>
      <x v="765"/>
    </i>
    <i>
      <x v="218"/>
    </i>
    <i>
      <x v="557"/>
    </i>
    <i>
      <x v="579"/>
    </i>
    <i>
      <x v="64"/>
    </i>
    <i>
      <x v="80"/>
    </i>
    <i>
      <x v="968"/>
    </i>
    <i>
      <x v="410"/>
    </i>
    <i>
      <x v="474"/>
    </i>
    <i>
      <x v="176"/>
    </i>
    <i>
      <x v="808"/>
    </i>
    <i>
      <x v="207"/>
    </i>
    <i>
      <x v="36"/>
    </i>
    <i>
      <x v="101"/>
    </i>
    <i>
      <x v="567"/>
    </i>
    <i>
      <x v="154"/>
    </i>
    <i>
      <x v="10"/>
    </i>
    <i>
      <x v="389"/>
    </i>
    <i>
      <x v="2022"/>
    </i>
    <i>
      <x v="1265"/>
    </i>
    <i>
      <x v="1606"/>
    </i>
    <i>
      <x v="1381"/>
    </i>
    <i>
      <x v="484"/>
    </i>
    <i>
      <x v="678"/>
    </i>
    <i>
      <x v="550"/>
    </i>
    <i>
      <x v="534"/>
    </i>
    <i>
      <x v="205"/>
    </i>
    <i>
      <x v="184"/>
    </i>
    <i>
      <x v="47"/>
    </i>
    <i>
      <x v="1264"/>
    </i>
    <i>
      <x v="354"/>
    </i>
    <i>
      <x v="811"/>
    </i>
    <i>
      <x v="912"/>
    </i>
    <i>
      <x v="490"/>
    </i>
    <i>
      <x v="210"/>
    </i>
    <i>
      <x v="594"/>
    </i>
    <i>
      <x v="735"/>
    </i>
    <i>
      <x v="341"/>
    </i>
    <i>
      <x v="384"/>
    </i>
    <i>
      <x v="113"/>
    </i>
    <i>
      <x v="72"/>
    </i>
    <i>
      <x v="274"/>
    </i>
    <i>
      <x v="528"/>
    </i>
    <i>
      <x v="540"/>
    </i>
    <i>
      <x v="2473"/>
    </i>
    <i>
      <x v="2156"/>
    </i>
    <i>
      <x v="934"/>
    </i>
    <i>
      <x v="330"/>
    </i>
    <i>
      <x v="1382"/>
    </i>
    <i>
      <x v="20"/>
    </i>
    <i>
      <x v="457"/>
    </i>
    <i>
      <x v="475"/>
    </i>
    <i>
      <x v="593"/>
    </i>
    <i>
      <x v="669"/>
    </i>
    <i>
      <x v="2779"/>
    </i>
    <i>
      <x v="2516"/>
    </i>
    <i>
      <x v="744"/>
    </i>
    <i>
      <x v="1553"/>
    </i>
    <i>
      <x v="931"/>
    </i>
    <i>
      <x v="690"/>
    </i>
    <i>
      <x v="158"/>
    </i>
    <i>
      <x v="6"/>
    </i>
    <i>
      <x v="1256"/>
    </i>
    <i>
      <x v="1383"/>
    </i>
    <i>
      <x v="1628"/>
    </i>
    <i>
      <x v="2495"/>
    </i>
    <i>
      <x v="572"/>
    </i>
    <i>
      <x v="229"/>
    </i>
    <i>
      <x v="560"/>
    </i>
    <i>
      <x v="908"/>
    </i>
    <i>
      <x v="2356"/>
    </i>
    <i>
      <x v="969"/>
    </i>
    <i>
      <x v="649"/>
    </i>
    <i>
      <x v="585"/>
    </i>
    <i>
      <x v="1266"/>
    </i>
    <i>
      <x v="436"/>
    </i>
    <i>
      <x v="324"/>
    </i>
    <i>
      <x v="677"/>
    </i>
    <i>
      <x v="263"/>
    </i>
    <i>
      <x v="847"/>
    </i>
    <i>
      <x v="972"/>
    </i>
    <i>
      <x v="751"/>
    </i>
    <i>
      <x v="671"/>
    </i>
    <i>
      <x v="134"/>
    </i>
    <i>
      <x v="2049"/>
    </i>
    <i>
      <x v="57"/>
    </i>
    <i>
      <x v="800"/>
    </i>
    <i>
      <x v="2358"/>
    </i>
    <i>
      <x v="87"/>
    </i>
    <i>
      <x v="2060"/>
    </i>
    <i>
      <x v="228"/>
    </i>
    <i>
      <x v="408"/>
    </i>
    <i>
      <x v="667"/>
    </i>
    <i>
      <x v="312"/>
    </i>
    <i>
      <x v="1629"/>
    </i>
    <i>
      <x v="1255"/>
    </i>
    <i>
      <x v="917"/>
    </i>
    <i>
      <x v="213"/>
    </i>
    <i>
      <x v="396"/>
    </i>
    <i>
      <x v="1437"/>
    </i>
    <i>
      <x v="1615"/>
    </i>
    <i>
      <x v="612"/>
    </i>
    <i>
      <x v="141"/>
    </i>
    <i>
      <x v="226"/>
    </i>
    <i>
      <x v="741"/>
    </i>
    <i>
      <x v="851"/>
    </i>
    <i>
      <x v="40"/>
    </i>
    <i>
      <x v="561"/>
    </i>
    <i>
      <x v="70"/>
    </i>
    <i>
      <x v="743"/>
    </i>
    <i>
      <x v="355"/>
    </i>
    <i>
      <x v="390"/>
    </i>
    <i>
      <x v="123"/>
    </i>
    <i>
      <x v="2438"/>
    </i>
    <i>
      <x v="1478"/>
    </i>
    <i>
      <x v="388"/>
    </i>
    <i>
      <x v="120"/>
    </i>
    <i>
      <x v="596"/>
    </i>
    <i>
      <x v="106"/>
    </i>
    <i>
      <x v="603"/>
    </i>
    <i>
      <x v="119"/>
    </i>
    <i>
      <x v="223"/>
    </i>
    <i>
      <x v="61"/>
    </i>
    <i>
      <x v="1617"/>
    </i>
    <i>
      <x v="610"/>
    </i>
    <i>
      <x v="459"/>
    </i>
    <i>
      <x v="607"/>
    </i>
    <i>
      <x v="1040"/>
    </i>
    <i>
      <x v="133"/>
    </i>
    <i>
      <x v="686"/>
    </i>
    <i>
      <x v="589"/>
    </i>
    <i>
      <x v="571"/>
    </i>
    <i>
      <x v="919"/>
    </i>
    <i>
      <x v="2149"/>
    </i>
    <i>
      <x v="2065"/>
    </i>
    <i>
      <x v="2742"/>
    </i>
    <i>
      <x v="159"/>
    </i>
    <i>
      <x v="569"/>
    </i>
    <i>
      <x v="863"/>
    </i>
    <i>
      <x v="1462"/>
    </i>
    <i>
      <x v="622"/>
    </i>
    <i>
      <x v="2772"/>
    </i>
    <i>
      <x v="84"/>
    </i>
    <i>
      <x v="446"/>
    </i>
    <i>
      <x v="825"/>
    </i>
    <i>
      <x v="193"/>
    </i>
    <i>
      <x v="124"/>
    </i>
    <i>
      <x v="31"/>
    </i>
    <i>
      <x v="2000"/>
    </i>
    <i>
      <x v="2002"/>
    </i>
    <i>
      <x v="840"/>
    </i>
    <i>
      <x v="699"/>
    </i>
    <i>
      <x v="373"/>
    </i>
    <i>
      <x v="8"/>
    </i>
    <i>
      <x v="300"/>
    </i>
    <i>
      <x v="398"/>
    </i>
    <i>
      <x v="1616"/>
    </i>
    <i>
      <x v="437"/>
    </i>
    <i>
      <x v="440"/>
    </i>
    <i>
      <x v="215"/>
    </i>
    <i>
      <x v="2777"/>
    </i>
    <i>
      <x v="647"/>
    </i>
    <i>
      <x v="1714"/>
    </i>
    <i>
      <x v="50"/>
    </i>
    <i>
      <x v="691"/>
    </i>
    <i>
      <x v="1969"/>
    </i>
    <i>
      <x v="640"/>
    </i>
    <i>
      <x v="613"/>
    </i>
    <i>
      <x v="2058"/>
    </i>
    <i>
      <x v="634"/>
    </i>
    <i>
      <x v="574"/>
    </i>
    <i>
      <x v="95"/>
    </i>
    <i>
      <x v="819"/>
    </i>
    <i>
      <x v="86"/>
    </i>
    <i>
      <x v="642"/>
    </i>
    <i>
      <x v="2761"/>
    </i>
    <i>
      <x v="418"/>
    </i>
    <i>
      <x v="633"/>
    </i>
    <i>
      <x v="831"/>
    </i>
    <i>
      <x v="2410"/>
    </i>
    <i>
      <x v="1745"/>
    </i>
    <i>
      <x v="1719"/>
    </i>
    <i>
      <x v="506"/>
    </i>
    <i>
      <x v="2751"/>
    </i>
    <i>
      <x v="2461"/>
    </i>
    <i>
      <x v="1529"/>
    </i>
    <i>
      <x v="1555"/>
    </i>
    <i>
      <x v="1390"/>
    </i>
    <i>
      <x v="290"/>
    </i>
    <i>
      <x v="551"/>
    </i>
    <i>
      <x v="381"/>
    </i>
    <i>
      <x v="463"/>
    </i>
    <i>
      <x v="316"/>
    </i>
    <i>
      <x v="347"/>
    </i>
    <i>
      <x v="392"/>
    </i>
    <i>
      <x v="227"/>
    </i>
    <i>
      <x v="240"/>
    </i>
    <i>
      <x v="239"/>
    </i>
    <i>
      <x v="206"/>
    </i>
    <i>
      <x v="247"/>
    </i>
    <i>
      <x v="83"/>
    </i>
    <i>
      <x v="2154"/>
    </i>
    <i>
      <x v="860"/>
    </i>
    <i>
      <x v="733"/>
    </i>
    <i>
      <x v="752"/>
    </i>
    <i>
      <x v="1441"/>
    </i>
    <i>
      <x v="166"/>
    </i>
    <i>
      <x v="605"/>
    </i>
    <i>
      <x v="328"/>
    </i>
    <i>
      <x v="110"/>
    </i>
    <i>
      <x v="142"/>
    </i>
    <i>
      <x v="592"/>
    </i>
    <i>
      <x v="755"/>
    </i>
    <i>
      <x v="758"/>
    </i>
    <i>
      <x v="773"/>
    </i>
    <i>
      <x v="468"/>
    </i>
    <i>
      <x v="2166"/>
    </i>
    <i>
      <x v="683"/>
    </i>
    <i>
      <x v="766"/>
    </i>
    <i>
      <x v="868"/>
    </i>
    <i>
      <x v="665"/>
    </i>
    <i>
      <x v="654"/>
    </i>
    <i>
      <x v="689"/>
    </i>
    <i>
      <x v="2527"/>
    </i>
    <i>
      <x v="1630"/>
    </i>
    <i>
      <x v="121"/>
    </i>
    <i>
      <x v="1357"/>
    </i>
    <i>
      <x v="266"/>
    </i>
    <i>
      <x v="668"/>
    </i>
    <i>
      <x v="609"/>
    </i>
    <i>
      <x v="2395"/>
    </i>
    <i>
      <x v="2397"/>
    </i>
    <i>
      <x v="485"/>
    </i>
    <i>
      <x v="304"/>
    </i>
    <i>
      <x v="712"/>
    </i>
    <i>
      <x v="190"/>
    </i>
    <i>
      <x v="748"/>
    </i>
    <i>
      <x v="706"/>
    </i>
    <i>
      <x v="1262"/>
    </i>
    <i>
      <x v="17"/>
    </i>
    <i>
      <x v="882"/>
    </i>
    <i>
      <x v="866"/>
    </i>
    <i>
      <x v="974"/>
    </i>
    <i>
      <x v="257"/>
    </i>
    <i>
      <x v="2752"/>
    </i>
    <i>
      <x v="286"/>
    </i>
    <i>
      <x v="37"/>
    </i>
    <i>
      <x v="349"/>
    </i>
    <i>
      <x v="151"/>
    </i>
    <i>
      <x v="254"/>
    </i>
    <i>
      <x v="293"/>
    </i>
    <i>
      <x v="453"/>
    </i>
    <i>
      <x v="222"/>
    </i>
    <i>
      <x v="953"/>
    </i>
    <i>
      <x v="715"/>
    </i>
    <i>
      <x v="787"/>
    </i>
    <i>
      <x v="749"/>
    </i>
    <i>
      <x v="1397"/>
    </i>
    <i>
      <x v="433"/>
    </i>
    <i>
      <x v="2409"/>
    </i>
    <i>
      <x v="848"/>
    </i>
    <i>
      <x v="684"/>
    </i>
    <i>
      <x v="283"/>
    </i>
    <i>
      <x v="522"/>
    </i>
    <i>
      <x v="2452"/>
    </i>
    <i>
      <x v="348"/>
    </i>
    <i>
      <x v="471"/>
    </i>
    <i>
      <x v="617"/>
    </i>
    <i>
      <x v="918"/>
    </i>
    <i>
      <x v="1997"/>
    </i>
    <i>
      <x v="152"/>
    </i>
    <i>
      <x v="2457"/>
    </i>
    <i>
      <x v="776"/>
    </i>
    <i>
      <x v="199"/>
    </i>
    <i>
      <x v="342"/>
    </i>
    <i>
      <x v="326"/>
    </i>
    <i>
      <x v="417"/>
    </i>
    <i>
      <x v="460"/>
    </i>
    <i>
      <x v="260"/>
    </i>
    <i>
      <x v="894"/>
    </i>
    <i>
      <x v="181"/>
    </i>
    <i>
      <x v="275"/>
    </i>
    <i>
      <x v="523"/>
    </i>
    <i>
      <x v="723"/>
    </i>
    <i>
      <x v="1632"/>
    </i>
    <i>
      <x v="666"/>
    </i>
    <i>
      <x v="807"/>
    </i>
    <i>
      <x v="693"/>
    </i>
    <i>
      <x v="793"/>
    </i>
    <i>
      <x v="904"/>
    </i>
    <i>
      <x v="753"/>
    </i>
    <i>
      <x v="957"/>
    </i>
    <i>
      <x v="942"/>
    </i>
    <i>
      <x v="209"/>
    </i>
    <i>
      <x v="861"/>
    </i>
    <i>
      <x v="707"/>
    </i>
    <i>
      <x v="958"/>
    </i>
    <i>
      <x v="1401"/>
    </i>
    <i>
      <x v="48"/>
    </i>
    <i>
      <x v="99"/>
    </i>
    <i>
      <x v="759"/>
    </i>
    <i>
      <x v="3"/>
    </i>
    <i>
      <x v="620"/>
    </i>
    <i>
      <x v="284"/>
    </i>
    <i>
      <x v="479"/>
    </i>
    <i>
      <x v="573"/>
    </i>
    <i>
      <x v="994"/>
    </i>
    <i>
      <x v="2323"/>
    </i>
    <i>
      <x v="125"/>
    </i>
    <i>
      <x v="721"/>
    </i>
    <i>
      <x v="644"/>
    </i>
    <i>
      <x v="225"/>
    </i>
    <i>
      <x v="767"/>
    </i>
    <i>
      <x v="429"/>
    </i>
    <i>
      <x v="875"/>
    </i>
    <i>
      <x v="407"/>
    </i>
    <i>
      <x v="2151"/>
    </i>
    <i>
      <x v="2150"/>
    </i>
    <i>
      <x v="2066"/>
    </i>
    <i>
      <x v="169"/>
    </i>
    <i>
      <x v="762"/>
    </i>
    <i>
      <x v="570"/>
    </i>
    <i>
      <x v="1306"/>
    </i>
    <i>
      <x v="2061"/>
    </i>
    <i>
      <x v="258"/>
    </i>
    <i>
      <x v="509"/>
    </i>
    <i>
      <x v="232"/>
    </i>
    <i>
      <x v="368"/>
    </i>
    <i>
      <x v="1717"/>
    </i>
    <i>
      <x v="331"/>
    </i>
    <i>
      <x v="156"/>
    </i>
    <i>
      <x v="628"/>
    </i>
    <i>
      <x v="2006"/>
    </i>
    <i>
      <x v="720"/>
    </i>
    <i>
      <x v="54"/>
    </i>
    <i>
      <x v="285"/>
    </i>
    <i>
      <x v="435"/>
    </i>
    <i>
      <x v="614"/>
    </i>
    <i>
      <x v="1431"/>
    </i>
    <i>
      <x v="9"/>
    </i>
    <i>
      <x v="21"/>
    </i>
    <i>
      <x v="791"/>
    </i>
    <i>
      <x v="771"/>
    </i>
    <i>
      <x v="1414"/>
    </i>
    <i>
      <x v="470"/>
    </i>
    <i>
      <x v="867"/>
    </i>
    <i>
      <x v="1762"/>
    </i>
    <i>
      <x v="1211"/>
    </i>
    <i>
      <x v="548"/>
    </i>
    <i>
      <x v="2279"/>
    </i>
    <i>
      <x v="2161"/>
    </i>
    <i>
      <x v="2143"/>
    </i>
    <i>
      <x v="1279"/>
    </i>
    <i>
      <x v="397"/>
    </i>
    <i>
      <x v="448"/>
    </i>
    <i>
      <x v="146"/>
    </i>
    <i>
      <x v="62"/>
    </i>
    <i>
      <x v="611"/>
    </i>
    <i>
      <x v="1158"/>
    </i>
    <i>
      <x v="790"/>
    </i>
    <i>
      <x v="852"/>
    </i>
    <i>
      <x v="1361"/>
    </i>
    <i>
      <x v="922"/>
    </i>
    <i>
      <x v="357"/>
    </i>
    <i>
      <x v="937"/>
    </i>
    <i>
      <x v="976"/>
    </i>
    <i>
      <x v="812"/>
    </i>
    <i>
      <x v="722"/>
    </i>
    <i>
      <x v="1772"/>
    </i>
    <i>
      <x v="149"/>
    </i>
    <i>
      <x v="2385"/>
    </i>
    <i>
      <x v="1415"/>
    </i>
    <i>
      <x v="201"/>
    </i>
    <i>
      <x v="399"/>
    </i>
    <i>
      <x v="739"/>
    </i>
    <i>
      <x v="370"/>
    </i>
    <i>
      <x v="698"/>
    </i>
    <i>
      <x v="219"/>
    </i>
    <i>
      <x v="673"/>
    </i>
    <i>
      <x v="716"/>
    </i>
    <i>
      <x v="692"/>
    </i>
    <i>
      <x v="498"/>
    </i>
    <i>
      <x v="501"/>
    </i>
    <i>
      <x v="13"/>
    </i>
    <i>
      <x v="653"/>
    </i>
    <i>
      <x v="761"/>
    </i>
    <i>
      <x v="711"/>
    </i>
    <i>
      <x v="646"/>
    </i>
    <i>
      <x v="473"/>
    </i>
    <i>
      <x v="504"/>
    </i>
    <i>
      <x v="754"/>
    </i>
    <i>
      <x v="905"/>
    </i>
    <i>
      <x v="351"/>
    </i>
    <i>
      <x v="1396"/>
    </i>
    <i>
      <x v="1244"/>
    </i>
    <i>
      <x v="1337"/>
    </i>
    <i>
      <x v="261"/>
    </i>
    <i>
      <x v="423"/>
    </i>
    <i>
      <x v="804"/>
    </i>
    <i>
      <x v="2324"/>
    </i>
    <i>
      <x v="708"/>
    </i>
    <i>
      <x v="529"/>
    </i>
    <i>
      <x v="1442"/>
    </i>
    <i>
      <x v="873"/>
    </i>
    <i>
      <x v="621"/>
    </i>
    <i>
      <x v="1492"/>
    </i>
    <i>
      <x v="871"/>
    </i>
    <i>
      <x v="507"/>
    </i>
    <i>
      <x v="2519"/>
    </i>
    <i>
      <x v="1475"/>
    </i>
    <i>
      <x v="303"/>
    </i>
    <i>
      <x v="132"/>
    </i>
    <i>
      <x v="963"/>
    </i>
    <i>
      <x v="763"/>
    </i>
    <i>
      <x v="885"/>
    </i>
    <i>
      <x v="325"/>
    </i>
    <i>
      <x v="943"/>
    </i>
    <i>
      <x v="451"/>
    </i>
    <i>
      <x v="670"/>
    </i>
    <i>
      <x v="608"/>
    </i>
    <i>
      <x v="465"/>
    </i>
    <i>
      <x v="1257"/>
    </i>
    <i>
      <x v="737"/>
    </i>
    <i>
      <x v="977"/>
    </i>
    <i>
      <x v="768"/>
    </i>
    <i>
      <x v="626"/>
    </i>
    <i>
      <x v="495"/>
    </i>
    <i>
      <x v="694"/>
    </i>
    <i>
      <x v="870"/>
    </i>
    <i>
      <x v="623"/>
    </i>
    <i>
      <x v="2445"/>
    </i>
    <i>
      <x v="886"/>
    </i>
    <i>
      <x v="902"/>
    </i>
    <i>
      <x v="680"/>
    </i>
    <i>
      <x v="502"/>
    </i>
    <i>
      <x v="577"/>
    </i>
    <i>
      <x v="268"/>
    </i>
    <i>
      <x v="2039"/>
    </i>
    <i>
      <x v="883"/>
    </i>
    <i>
      <x v="281"/>
    </i>
    <i>
      <x v="575"/>
    </i>
    <i>
      <x v="1416"/>
    </i>
    <i>
      <x v="322"/>
    </i>
    <i>
      <x v="1694"/>
    </i>
    <i>
      <x v="282"/>
    </i>
    <i>
      <x v="785"/>
    </i>
    <i>
      <x v="732"/>
    </i>
    <i>
      <x v="2367"/>
    </i>
    <i>
      <x v="33"/>
    </i>
    <i>
      <x v="98"/>
    </i>
    <i>
      <x v="339"/>
    </i>
    <i>
      <x v="661"/>
    </i>
    <i>
      <x v="538"/>
    </i>
    <i>
      <x v="421"/>
    </i>
    <i>
      <x v="337"/>
    </i>
    <i>
      <x v="1447"/>
    </i>
    <i>
      <x v="445"/>
    </i>
    <i>
      <x v="558"/>
    </i>
    <i>
      <x v="14"/>
    </i>
    <i>
      <x v="757"/>
    </i>
    <i>
      <x v="792"/>
    </i>
    <i>
      <x v="899"/>
    </i>
    <i>
      <x v="413"/>
    </i>
    <i>
      <x v="639"/>
    </i>
    <i>
      <x v="862"/>
    </i>
    <i>
      <x v="801"/>
    </i>
    <i>
      <x v="764"/>
    </i>
    <i>
      <x v="802"/>
    </i>
    <i>
      <x v="1649"/>
    </i>
    <i>
      <x v="910"/>
    </i>
    <i>
      <x v="892"/>
    </i>
    <i>
      <x v="746"/>
    </i>
    <i>
      <x v="542"/>
    </i>
    <i>
      <x v="795"/>
    </i>
    <i>
      <x v="2567"/>
    </i>
    <i>
      <x v="2514"/>
    </i>
    <i>
      <x v="2559"/>
    </i>
    <i>
      <x v="2566"/>
    </i>
    <i>
      <x v="2568"/>
    </i>
    <i>
      <x v="320"/>
    </i>
    <i>
      <x v="442"/>
    </i>
    <i>
      <x v="358"/>
    </i>
    <i>
      <x v="419"/>
    </i>
    <i>
      <x v="478"/>
    </i>
    <i>
      <x v="382"/>
    </i>
    <i>
      <x v="441"/>
    </i>
    <i>
      <x v="472"/>
    </i>
    <i>
      <x v="545"/>
    </i>
    <i>
      <x v="346"/>
    </i>
    <i>
      <x v="292"/>
    </i>
    <i>
      <x v="182"/>
    </i>
    <i>
      <x v="1"/>
    </i>
    <i>
      <x v="164"/>
    </i>
    <i>
      <x v="157"/>
    </i>
    <i>
      <x v="16"/>
    </i>
    <i>
      <x v="102"/>
    </i>
    <i>
      <x v="243"/>
    </i>
    <i>
      <x v="262"/>
    </i>
    <i>
      <x v="170"/>
    </i>
    <i>
      <x v="7"/>
    </i>
    <i>
      <x v="248"/>
    </i>
    <i>
      <x v="11"/>
    </i>
    <i>
      <x v="51"/>
    </i>
    <i>
      <x v="220"/>
    </i>
    <i>
      <x v="175"/>
    </i>
    <i>
      <x v="139"/>
    </i>
    <i>
      <x v="2467"/>
    </i>
    <i>
      <x v="659"/>
    </i>
    <i>
      <x v="674"/>
    </i>
    <i>
      <x v="525"/>
    </i>
    <i>
      <x v="845"/>
    </i>
    <i>
      <x v="212"/>
    </i>
    <i>
      <x v="1245"/>
    </i>
    <i>
      <x v="713"/>
    </i>
    <i>
      <x v="717"/>
    </i>
    <i>
      <x v="279"/>
    </i>
    <i>
      <x v="651"/>
    </i>
    <i>
      <x v="477"/>
    </i>
    <i>
      <x v="555"/>
    </i>
    <i>
      <x v="131"/>
    </i>
    <i>
      <x v="970"/>
    </i>
    <i>
      <x v="302"/>
    </i>
    <i>
      <x v="287"/>
    </i>
    <i>
      <x v="923"/>
    </i>
    <i>
      <x v="200"/>
    </i>
    <i>
      <x v="486"/>
    </i>
    <i>
      <x v="307"/>
    </i>
    <i>
      <x v="301"/>
    </i>
    <i>
      <x v="920"/>
    </i>
    <i>
      <x v="391"/>
    </i>
    <i>
      <x v="385"/>
    </i>
    <i>
      <x v="1312"/>
    </i>
    <i>
      <x v="941"/>
    </i>
    <i>
      <x v="775"/>
    </i>
    <i>
      <x v="464"/>
    </i>
    <i>
      <x v="1459"/>
    </i>
    <i>
      <x v="641"/>
    </i>
    <i>
      <x v="1419"/>
    </i>
    <i>
      <x v="1169"/>
    </i>
    <i>
      <x v="637"/>
    </i>
    <i>
      <x v="856"/>
    </i>
    <i>
      <x v="786"/>
    </i>
    <i>
      <x v="321"/>
    </i>
    <i>
      <x v="975"/>
    </i>
    <i>
      <x v="839"/>
    </i>
    <i>
      <x v="500"/>
    </i>
    <i>
      <x v="2439"/>
    </i>
    <i>
      <x v="2411"/>
    </i>
    <i>
      <x v="259"/>
    </i>
    <i>
      <x v="638"/>
    </i>
    <i>
      <x v="702"/>
    </i>
    <i>
      <x v="740"/>
    </i>
    <i>
      <x v="629"/>
    </i>
    <i>
      <x v="197"/>
    </i>
    <i>
      <x v="2369"/>
    </i>
    <i>
      <x v="2663"/>
    </i>
    <i>
      <x v="2469"/>
    </i>
    <i>
      <x v="652"/>
    </i>
    <i>
      <x v="565"/>
    </i>
    <i>
      <x v="874"/>
    </i>
    <i>
      <x v="1965"/>
    </i>
    <i>
      <x v="369"/>
    </i>
    <i>
      <x v="60"/>
    </i>
    <i>
      <x v="816"/>
    </i>
    <i>
      <x v="52"/>
    </i>
    <i>
      <x v="604"/>
    </i>
    <i>
      <x v="203"/>
    </i>
    <i>
      <x v="409"/>
    </i>
    <i>
      <x v="724"/>
    </i>
    <i>
      <x v="643"/>
    </i>
    <i>
      <x v="782"/>
    </i>
    <i>
      <x v="841"/>
    </i>
    <i>
      <x v="828"/>
    </i>
    <i>
      <x v="618"/>
    </i>
    <i>
      <x v="656"/>
    </i>
    <i>
      <x v="987"/>
    </i>
    <i>
      <x v="830"/>
    </i>
    <i>
      <x v="788"/>
    </i>
    <i>
      <x v="947"/>
    </i>
    <i>
      <x v="703"/>
    </i>
    <i>
      <x v="2773"/>
    </i>
    <i>
      <x v="352"/>
    </i>
    <i>
      <x v="196"/>
    </i>
    <i>
      <x v="930"/>
    </i>
    <i>
      <x v="450"/>
    </i>
    <i>
      <x v="778"/>
    </i>
    <i>
      <x v="2193"/>
    </i>
    <i>
      <x v="1484"/>
    </i>
    <i>
      <x v="327"/>
    </i>
    <i>
      <x v="237"/>
    </i>
    <i>
      <x v="745"/>
    </i>
    <i>
      <x v="688"/>
    </i>
    <i>
      <x v="526"/>
    </i>
    <i>
      <x v="1611"/>
    </i>
    <i>
      <x v="107"/>
    </i>
    <i>
      <x v="600"/>
    </i>
    <i>
      <x v="521"/>
    </i>
    <i>
      <x v="1954"/>
    </i>
    <i>
      <x v="980"/>
    </i>
    <i>
      <x v="695"/>
    </i>
    <i>
      <x v="65"/>
    </i>
    <i>
      <x v="2034"/>
    </i>
    <i>
      <x v="921"/>
    </i>
    <i>
      <x v="2057"/>
    </i>
    <i>
      <x v="1946"/>
    </i>
    <i>
      <x v="1446"/>
    </i>
    <i>
      <x v="533"/>
    </i>
    <i>
      <x v="696"/>
    </i>
    <i>
      <x v="1354"/>
    </i>
    <i>
      <x v="576"/>
    </i>
    <i>
      <x v="563"/>
    </i>
    <i>
      <x v="738"/>
    </i>
    <i>
      <x v="893"/>
    </i>
    <i>
      <x v="872"/>
    </i>
    <i>
      <x v="989"/>
    </i>
    <i>
      <x v="289"/>
    </i>
    <i>
      <x v="826"/>
    </i>
    <i>
      <x v="625"/>
    </i>
    <i>
      <x v="701"/>
    </i>
    <i>
      <x v="1543"/>
    </i>
    <i>
      <x v="402"/>
    </i>
    <i>
      <x v="960"/>
    </i>
    <i>
      <x v="2372"/>
    </i>
    <i>
      <x v="1635"/>
    </i>
    <i>
      <x v="404"/>
    </i>
    <i>
      <x v="191"/>
    </i>
    <i>
      <x v="760"/>
    </i>
    <i>
      <x v="809"/>
    </i>
    <i>
      <x v="2021"/>
    </i>
    <i>
      <x v="55"/>
    </i>
    <i>
      <x v="884"/>
    </i>
    <i>
      <x v="602"/>
    </i>
    <i>
      <x v="632"/>
    </i>
    <i>
      <x v="849"/>
    </i>
    <i>
      <x v="925"/>
    </i>
    <i>
      <x v="887"/>
    </i>
    <i>
      <x v="731"/>
    </i>
    <i>
      <x v="1483"/>
    </i>
    <i>
      <x v="2056"/>
    </i>
    <i>
      <x v="2396"/>
    </i>
    <i>
      <x v="878"/>
    </i>
    <i>
      <x v="924"/>
    </i>
    <i>
      <x v="794"/>
    </i>
    <i>
      <x v="2361"/>
    </i>
    <i>
      <x v="1101"/>
    </i>
    <i>
      <x v="375"/>
    </i>
    <i>
      <x v="230"/>
    </i>
    <i>
      <x v="803"/>
    </i>
    <i>
      <x v="663"/>
    </i>
    <i>
      <x v="710"/>
    </i>
    <i>
      <x v="482"/>
    </i>
    <i>
      <x v="514"/>
    </i>
    <i>
      <x v="236"/>
    </i>
    <i>
      <x/>
    </i>
    <i>
      <x v="966"/>
    </i>
    <i>
      <x v="709"/>
    </i>
    <i>
      <x v="53"/>
    </i>
    <i>
      <x v="272"/>
    </i>
    <i>
      <x v="1099"/>
    </i>
    <i>
      <x v="38"/>
    </i>
    <i>
      <x v="601"/>
    </i>
    <i>
      <x v="770"/>
    </i>
    <i>
      <x v="799"/>
    </i>
    <i>
      <x v="2464"/>
    </i>
    <i>
      <x v="2148"/>
    </i>
    <i>
      <x v="813"/>
    </i>
    <i>
      <x v="1432"/>
    </i>
    <i>
      <x v="940"/>
    </i>
    <i>
      <x v="189"/>
    </i>
    <i>
      <x v="165"/>
    </i>
    <i>
      <x v="645"/>
    </i>
    <i>
      <x v="631"/>
    </i>
    <i>
      <x v="461"/>
    </i>
    <i>
      <x v="161"/>
    </i>
    <i>
      <x v="679"/>
    </i>
    <i>
      <x v="2494"/>
    </i>
    <i>
      <x v="426"/>
    </i>
    <i>
      <x v="251"/>
    </i>
    <i>
      <x v="681"/>
    </i>
    <i>
      <x v="1271"/>
    </i>
    <i>
      <x v="1959"/>
    </i>
    <i>
      <x v="42"/>
    </i>
    <i>
      <x v="951"/>
    </i>
    <i>
      <x v="216"/>
    </i>
    <i>
      <x v="1058"/>
    </i>
    <i>
      <x v="1999"/>
    </i>
    <i>
      <x v="68"/>
    </i>
    <i>
      <x v="946"/>
    </i>
    <i>
      <x v="202"/>
    </i>
    <i>
      <x v="1407"/>
    </i>
    <i>
      <x v="854"/>
    </i>
    <i>
      <x v="783"/>
    </i>
    <i>
      <x v="780"/>
    </i>
    <i>
      <x v="1236"/>
    </i>
    <i>
      <x v="1378"/>
    </i>
    <i>
      <x v="1463"/>
    </i>
    <i>
      <x v="1612"/>
    </i>
    <i>
      <x v="1967"/>
    </i>
    <i>
      <x v="297"/>
    </i>
    <i>
      <x v="104"/>
    </i>
    <i>
      <x v="1720"/>
    </i>
    <i>
      <x v="438"/>
    </i>
    <i>
      <x v="2355"/>
    </i>
    <i>
      <x v="1467"/>
    </i>
    <i>
      <x v="527"/>
    </i>
    <i>
      <x v="2334"/>
    </i>
    <i>
      <x v="750"/>
    </i>
    <i>
      <x v="837"/>
    </i>
    <i>
      <x v="881"/>
    </i>
    <i>
      <x v="255"/>
    </i>
    <i>
      <x v="336"/>
    </i>
    <i>
      <x v="798"/>
    </i>
    <i>
      <x v="1410"/>
    </i>
    <i>
      <x v="1369"/>
    </i>
    <i>
      <x v="952"/>
    </i>
    <i>
      <x v="1618"/>
    </i>
    <i>
      <x v="2191"/>
    </i>
    <i>
      <x v="2055"/>
    </i>
    <i>
      <x v="145"/>
    </i>
    <i>
      <x v="73"/>
    </i>
    <i>
      <x v="1435"/>
    </i>
    <i>
      <x v="1388"/>
    </i>
    <i>
      <x v="1321"/>
    </i>
    <i>
      <x v="18"/>
    </i>
    <i>
      <x v="1485"/>
    </i>
    <i>
      <x v="1434"/>
    </i>
    <i>
      <x v="1554"/>
    </i>
    <i>
      <x v="704"/>
    </i>
    <i>
      <x v="309"/>
    </i>
    <i>
      <x v="335"/>
    </i>
    <i>
      <x v="1960"/>
    </i>
    <i>
      <x v="820"/>
    </i>
    <i>
      <x v="1716"/>
    </i>
    <i>
      <x v="1429"/>
    </i>
    <i>
      <x v="858"/>
    </i>
    <i>
      <x v="173"/>
    </i>
    <i>
      <x v="1060"/>
    </i>
    <i>
      <x v="27"/>
    </i>
    <i>
      <x v="2695"/>
    </i>
    <i>
      <x v="818"/>
    </i>
    <i>
      <x v="405"/>
    </i>
    <i>
      <x v="890"/>
    </i>
    <i>
      <x v="249"/>
    </i>
    <i>
      <x v="497"/>
    </i>
    <i>
      <x v="319"/>
    </i>
    <i>
      <x v="832"/>
    </i>
    <i>
      <x v="973"/>
    </i>
    <i>
      <x v="416"/>
    </i>
    <i>
      <x v="2425"/>
    </i>
    <i>
      <x v="1465"/>
    </i>
    <i>
      <x v="2100"/>
    </i>
    <i>
      <x v="728"/>
    </i>
    <i>
      <x v="1995"/>
    </i>
    <i>
      <x v="705"/>
    </i>
    <i>
      <x v="843"/>
    </i>
    <i>
      <x v="880"/>
    </i>
    <i>
      <x v="823"/>
    </i>
    <i>
      <x v="834"/>
    </i>
    <i>
      <x v="305"/>
    </i>
    <i>
      <x v="876"/>
    </i>
    <i>
      <x v="2781"/>
    </i>
    <i>
      <x v="1062"/>
    </i>
    <i>
      <x v="264"/>
    </i>
    <i>
      <x v="784"/>
    </i>
    <i>
      <x v="2101"/>
    </i>
    <i>
      <x v="1998"/>
    </i>
    <i>
      <x v="1267"/>
    </i>
    <i>
      <x v="267"/>
    </i>
    <i>
      <x v="774"/>
    </i>
    <i>
      <x v="2337"/>
    </i>
    <i>
      <x v="983"/>
    </i>
    <i>
      <x v="827"/>
    </i>
    <i>
      <x v="2169"/>
    </i>
    <i>
      <x v="1398"/>
    </i>
    <i>
      <x v="1307"/>
    </i>
    <i>
      <x v="1052"/>
    </i>
    <i>
      <x v="1428"/>
    </i>
    <i>
      <x v="12"/>
    </i>
    <i>
      <x v="2513"/>
    </i>
    <i>
      <x v="1641"/>
    </i>
    <i>
      <x v="1643"/>
    </i>
    <i>
      <x v="1219"/>
    </i>
    <i>
      <x v="1179"/>
    </i>
    <i>
      <x v="2440"/>
    </i>
    <i>
      <x v="2774"/>
    </i>
    <i>
      <x v="311"/>
    </i>
    <i>
      <x v="1968"/>
    </i>
    <i>
      <x v="1631"/>
    </i>
    <i>
      <x v="1634"/>
    </i>
    <i>
      <x v="630"/>
    </i>
    <i>
      <x v="846"/>
    </i>
    <i>
      <x v="2775"/>
    </i>
    <i>
      <x v="662"/>
    </i>
    <i>
      <x v="2520"/>
    </i>
    <i>
      <x v="269"/>
    </i>
    <i>
      <x v="160"/>
    </i>
    <i>
      <x v="85"/>
    </i>
    <i>
      <x v="961"/>
    </i>
    <i>
      <x v="94"/>
    </i>
    <i>
      <x v="1272"/>
    </i>
    <i>
      <x v="616"/>
    </i>
    <i>
      <x v="619"/>
    </i>
    <i>
      <x v="1231"/>
    </i>
    <i>
      <x v="1979"/>
    </i>
    <i>
      <x v="1721"/>
    </i>
    <i>
      <x v="985"/>
    </i>
    <i>
      <x v="2342"/>
    </i>
    <i>
      <x v="907"/>
    </i>
    <i>
      <x v="364"/>
    </i>
    <i>
      <x v="2418"/>
    </i>
    <i>
      <x v="624"/>
    </i>
    <i>
      <x v="627"/>
    </i>
    <i>
      <x v="650"/>
    </i>
    <i>
      <x v="2102"/>
    </i>
    <i>
      <x v="2526"/>
    </i>
    <i>
      <x v="1633"/>
    </i>
    <i>
      <x v="1327"/>
    </i>
    <i>
      <x v="636"/>
    </i>
    <i>
      <x v="543"/>
    </i>
    <i>
      <x v="959"/>
    </i>
    <i>
      <x v="1374"/>
    </i>
    <i>
      <x v="901"/>
    </i>
    <i>
      <x v="1063"/>
    </i>
    <i>
      <x v="2023"/>
    </i>
    <i>
      <x v="928"/>
    </i>
    <i>
      <x v="1494"/>
    </i>
    <i>
      <x v="343"/>
    </i>
    <i>
      <x v="967"/>
    </i>
    <i>
      <x v="187"/>
    </i>
    <i>
      <x v="824"/>
    </i>
    <i>
      <x v="2423"/>
    </i>
    <i>
      <x v="817"/>
    </i>
    <i>
      <x v="1715"/>
    </i>
    <i>
      <x v="1348"/>
    </i>
    <i>
      <x v="1308"/>
    </i>
    <i>
      <x v="853"/>
    </i>
    <i>
      <x v="1544"/>
    </i>
    <i>
      <x v="2484"/>
    </i>
    <i>
      <x v="1303"/>
    </i>
    <i>
      <x v="982"/>
    </i>
    <i>
      <x v="900"/>
    </i>
    <i>
      <x v="313"/>
    </i>
    <i>
      <x v="96"/>
    </i>
    <i>
      <x v="380"/>
    </i>
    <i>
      <x v="888"/>
    </i>
    <i>
      <x v="655"/>
    </i>
    <i>
      <x v="615"/>
    </i>
    <i>
      <x v="1311"/>
    </i>
    <i>
      <x v="2770"/>
    </i>
    <i>
      <x v="345"/>
    </i>
    <i>
      <x v="730"/>
    </i>
    <i>
      <x v="2778"/>
    </i>
    <i>
      <x v="541"/>
    </i>
    <i>
      <x v="1370"/>
    </i>
    <i>
      <x v="915"/>
    </i>
    <i>
      <x v="889"/>
    </i>
    <i>
      <x v="836"/>
    </i>
    <i>
      <x v="1718"/>
    </i>
    <i>
      <x v="769"/>
    </i>
    <i>
      <x v="1455"/>
    </i>
    <i>
      <x v="815"/>
    </i>
    <i>
      <x v="552"/>
    </i>
    <i>
      <x v="719"/>
    </i>
    <i>
      <x v="1347"/>
    </i>
    <i>
      <x v="1399"/>
    </i>
    <i>
      <x v="1474"/>
    </i>
    <i>
      <x v="2419"/>
    </i>
    <i>
      <x v="1438"/>
    </i>
    <i>
      <x v="276"/>
    </i>
    <i>
      <x v="844"/>
    </i>
    <i>
      <x v="513"/>
    </i>
    <i>
      <x v="1996"/>
    </i>
    <i>
      <x v="1216"/>
    </i>
    <i>
      <x v="1092"/>
    </i>
    <i>
      <x v="1468"/>
    </i>
    <i>
      <x v="1440"/>
    </i>
    <i>
      <x v="67"/>
    </i>
    <i>
      <x v="833"/>
    </i>
    <i>
      <x v="562"/>
    </i>
    <i>
      <x v="1061"/>
    </i>
    <i>
      <x v="1430"/>
    </i>
    <i>
      <x v="1333"/>
    </i>
    <i>
      <x v="15"/>
    </i>
    <i>
      <x v="2033"/>
    </i>
    <i>
      <x v="1637"/>
    </i>
    <i>
      <x v="2453"/>
    </i>
    <i>
      <x v="821"/>
    </i>
    <i>
      <x v="682"/>
    </i>
    <i>
      <x v="553"/>
    </i>
    <i>
      <x v="2762"/>
    </i>
    <i>
      <x v="1491"/>
    </i>
    <i>
      <x v="1493"/>
    </i>
    <i>
      <x v="1375"/>
    </i>
    <i>
      <x v="1373"/>
    </i>
    <i>
      <x v="1377"/>
    </i>
    <i>
      <x v="1367"/>
    </i>
    <i>
      <x v="510"/>
    </i>
    <i>
      <x v="253"/>
    </i>
    <i>
      <x v="1039"/>
    </i>
    <i>
      <x v="714"/>
    </i>
    <i>
      <x v="1029"/>
    </i>
    <i>
      <x v="492"/>
    </i>
    <i>
      <x v="2424"/>
    </i>
    <i>
      <x v="992"/>
    </i>
    <i>
      <x v="1301"/>
    </i>
    <i>
      <x v="734"/>
    </i>
    <i>
      <x v="2417"/>
    </i>
    <i>
      <x v="1309"/>
    </i>
    <i>
      <x v="1958"/>
    </i>
    <i>
      <x v="444"/>
    </i>
    <i>
      <x v="1406"/>
    </i>
    <i>
      <x v="1436"/>
    </i>
    <i>
      <x v="1646"/>
    </i>
    <i>
      <x v="1352"/>
    </i>
    <i>
      <x v="2736"/>
    </i>
    <i>
      <x v="1509"/>
    </i>
    <i>
      <x v="1005"/>
    </i>
    <i>
      <x v="1371"/>
    </i>
    <i>
      <x v="2322"/>
    </i>
    <i>
      <x v="2081"/>
    </i>
    <i>
      <x v="1602"/>
    </i>
    <i>
      <x v="838"/>
    </i>
    <i>
      <x v="22"/>
    </i>
    <i>
      <x v="1302"/>
    </i>
    <i>
      <x v="1322"/>
    </i>
    <i>
      <x v="179"/>
    </i>
    <i>
      <x v="2364"/>
    </i>
    <i>
      <x v="829"/>
    </i>
    <i>
      <x v="1316"/>
    </i>
    <i>
      <x v="1057"/>
    </i>
    <i>
      <x v="984"/>
    </i>
    <i>
      <x v="1319"/>
    </i>
    <i>
      <x v="1711"/>
    </i>
    <i>
      <x v="2327"/>
    </i>
    <i>
      <x v="2448"/>
    </i>
    <i>
      <x v="1758"/>
    </i>
    <i>
      <x v="725"/>
    </i>
    <i>
      <x v="28"/>
    </i>
    <i>
      <x v="508"/>
    </i>
    <i>
      <x v="1472"/>
    </i>
    <i>
      <x v="1486"/>
    </i>
    <i>
      <x v="443"/>
    </i>
    <i>
      <x v="926"/>
    </i>
    <i>
      <x v="781"/>
    </i>
    <i>
      <x v="949"/>
    </i>
    <i>
      <x v="1420"/>
    </i>
    <i>
      <x v="2402"/>
    </i>
    <i>
      <x v="909"/>
    </i>
    <i>
      <x v="986"/>
    </i>
    <i>
      <x v="742"/>
    </i>
    <i>
      <x v="955"/>
    </i>
    <i>
      <x v="2357"/>
    </i>
    <i>
      <x v="1000"/>
    </i>
    <i>
      <x v="298"/>
    </i>
    <i>
      <x v="295"/>
    </i>
    <i>
      <x v="1496"/>
    </i>
    <i>
      <x v="675"/>
    </i>
    <i>
      <x v="2460"/>
    </i>
    <i>
      <x v="855"/>
    </i>
    <i>
      <x v="2741"/>
    </i>
    <i>
      <x v="2763"/>
    </i>
    <i>
      <x v="2432"/>
    </i>
    <i>
      <x v="2434"/>
    </i>
    <i>
      <x v="1417"/>
    </i>
    <i>
      <x v="1533"/>
    </i>
    <i>
      <x v="1592"/>
    </i>
    <i>
      <x v="891"/>
    </i>
    <i>
      <x v="2220"/>
    </i>
    <i>
      <x v="672"/>
    </i>
    <i>
      <x v="317"/>
    </i>
    <i>
      <x v="1066"/>
    </i>
    <i>
      <x v="1400"/>
    </i>
    <i>
      <x v="979"/>
    </i>
    <i>
      <x v="447"/>
    </i>
    <i>
      <x v="797"/>
    </i>
    <i>
      <x v="1188"/>
    </i>
    <i>
      <x v="2420"/>
    </i>
    <i>
      <x v="779"/>
    </i>
    <i>
      <x v="948"/>
    </i>
    <i>
      <x v="1338"/>
    </i>
    <i>
      <x v="835"/>
    </i>
    <i>
      <x v="1051"/>
    </i>
    <i>
      <x v="1064"/>
    </i>
    <i>
      <x v="1202"/>
    </i>
    <i>
      <x v="954"/>
    </i>
    <i>
      <x v="1356"/>
    </i>
    <i>
      <x v="1184"/>
    </i>
    <i>
      <x v="291"/>
    </i>
    <i>
      <x v="400"/>
    </i>
    <i>
      <x v="2045"/>
    </i>
    <i>
      <x v="1376"/>
    </i>
    <i>
      <x v="1146"/>
    </i>
    <i>
      <x v="1837"/>
    </i>
    <i>
      <x v="1263"/>
    </i>
    <i>
      <x v="1481"/>
    </i>
    <i>
      <x v="314"/>
    </i>
    <i>
      <x v="1275"/>
    </i>
    <i>
      <x v="2769"/>
    </i>
    <i>
      <x v="822"/>
    </i>
    <i>
      <x v="945"/>
    </i>
    <i>
      <x v="1242"/>
    </i>
    <i>
      <x v="532"/>
    </i>
    <i>
      <x v="2160"/>
    </i>
    <i>
      <x v="1511"/>
    </i>
    <i>
      <x v="1251"/>
    </i>
    <i>
      <x v="49"/>
    </i>
    <i>
      <x v="2780"/>
    </i>
    <i>
      <x v="1130"/>
    </i>
    <i>
      <x v="1093"/>
    </i>
    <i>
      <x v="772"/>
    </i>
    <i>
      <x v="850"/>
    </i>
    <i>
      <x v="2406"/>
    </i>
    <i>
      <x v="2428"/>
    </i>
    <i>
      <x v="2012"/>
    </i>
    <i>
      <x v="1171"/>
    </i>
    <i>
      <x v="1059"/>
    </i>
    <i>
      <x v="1094"/>
    </i>
    <i>
      <x v="1104"/>
    </i>
    <i>
      <x v="2363"/>
    </i>
    <i>
      <x v="1621"/>
    </i>
    <i>
      <x v="1320"/>
    </i>
    <i>
      <x v="1626"/>
    </i>
    <i>
      <x v="1350"/>
    </i>
    <i>
      <x v="1318"/>
    </i>
    <i>
      <x v="796"/>
    </i>
    <i>
      <x v="1260"/>
    </i>
    <i>
      <x v="1269"/>
    </i>
    <i>
      <x v="1133"/>
    </i>
    <i>
      <x v="1439"/>
    </i>
    <i>
      <x v="965"/>
    </i>
    <i>
      <x v="950"/>
    </i>
    <i>
      <x v="962"/>
    </i>
    <i>
      <x v="1460"/>
    </i>
    <i>
      <x v="1599"/>
    </i>
    <i>
      <x v="1154"/>
    </i>
    <i>
      <x v="1326"/>
    </i>
    <i>
      <x v="1384"/>
    </i>
    <i>
      <x v="1026"/>
    </i>
    <i>
      <x v="2384"/>
    </i>
    <i>
      <x v="515"/>
    </i>
    <i>
      <x v="306"/>
    </i>
    <i>
      <x v="1918"/>
    </i>
    <i>
      <x v="1013"/>
    </i>
    <i>
      <x v="2603"/>
    </i>
    <i>
      <x v="1351"/>
    </i>
    <i>
      <x v="1280"/>
    </i>
    <i>
      <x v="2744"/>
    </i>
    <i>
      <x v="2068"/>
    </i>
    <i>
      <x v="1640"/>
    </i>
    <i>
      <x v="1368"/>
    </i>
    <i>
      <x v="991"/>
    </i>
    <i>
      <x v="503"/>
    </i>
    <i>
      <x v="76"/>
    </i>
    <i>
      <x v="77"/>
    </i>
    <i>
      <x v="1931"/>
    </i>
    <i>
      <x v="430"/>
    </i>
    <i>
      <x v="90"/>
    </i>
    <i>
      <x v="2036"/>
    </i>
    <i>
      <x v="1610"/>
    </i>
    <i>
      <x v="1340"/>
    </i>
    <i>
      <x v="1329"/>
    </i>
    <i>
      <x v="411"/>
    </i>
    <i>
      <x v="993"/>
    </i>
    <i>
      <x v="988"/>
    </i>
    <i>
      <x v="195"/>
    </i>
    <i>
      <x v="1739"/>
    </i>
    <i>
      <x v="810"/>
    </i>
    <i>
      <x v="1053"/>
    </i>
    <i>
      <x v="1071"/>
    </i>
    <i>
      <x v="1673"/>
    </i>
    <i>
      <x v="1120"/>
    </i>
    <i>
      <x v="964"/>
    </i>
    <i>
      <x v="1365"/>
    </i>
    <i>
      <x v="363"/>
    </i>
    <i>
      <x v="1433"/>
    </i>
    <i>
      <x v="1177"/>
    </i>
    <i>
      <x v="814"/>
    </i>
    <i>
      <x v="427"/>
    </i>
    <i>
      <x v="1233"/>
    </i>
    <i>
      <x v="1017"/>
    </i>
    <i>
      <x v="1185"/>
    </i>
    <i>
      <x v="1159"/>
    </i>
    <i>
      <x v="5"/>
    </i>
    <i>
      <x v="1538"/>
    </i>
    <i>
      <x v="79"/>
    </i>
    <i>
      <x v="2565"/>
    </i>
    <i>
      <x v="2569"/>
    </i>
    <i>
      <x v="2765"/>
    </i>
    <i>
      <x v="2525"/>
    </i>
    <i>
      <x v="2465"/>
    </i>
    <i>
      <x v="2462"/>
    </i>
    <i>
      <x v="2426"/>
    </i>
    <i>
      <x v="2456"/>
    </i>
    <i>
      <x v="2366"/>
    </i>
    <i>
      <x v="2472"/>
    </i>
    <i>
      <x v="2403"/>
    </i>
    <i>
      <x v="2437"/>
    </i>
    <i>
      <x v="2442"/>
    </i>
    <i>
      <x v="2412"/>
    </i>
    <i>
      <x v="2444"/>
    </i>
    <i>
      <x v="2446"/>
    </i>
    <i>
      <x v="2447"/>
    </i>
    <i>
      <x v="2016"/>
    </i>
    <i>
      <x v="2027"/>
    </i>
    <i>
      <x v="2028"/>
    </i>
    <i>
      <x v="2069"/>
    </i>
    <i>
      <x v="1963"/>
    </i>
    <i>
      <x v="2080"/>
    </i>
    <i>
      <x v="2106"/>
    </i>
    <i>
      <x v="1993"/>
    </i>
    <i>
      <x v="2015"/>
    </i>
    <i>
      <x v="2046"/>
    </i>
    <i>
      <x v="2030"/>
    </i>
    <i>
      <x v="2152"/>
    </i>
    <i>
      <x v="2067"/>
    </i>
    <i>
      <x v="2024"/>
    </i>
    <i>
      <x v="2157"/>
    </i>
    <i>
      <x v="1961"/>
    </i>
    <i>
      <x v="2032"/>
    </i>
    <i>
      <x v="1966"/>
    </i>
    <i>
      <x v="2165"/>
    </i>
    <i>
      <x v="2084"/>
    </i>
    <i>
      <x v="2048"/>
    </i>
    <i>
      <x v="2087"/>
    </i>
    <i>
      <x v="1962"/>
    </i>
    <i>
      <x v="2063"/>
    </i>
    <i>
      <x v="2044"/>
    </i>
    <i>
      <x v="2092"/>
    </i>
    <i>
      <x v="1738"/>
    </i>
    <i>
      <x v="1915"/>
    </i>
    <i>
      <x v="1894"/>
    </i>
    <i>
      <x v="1943"/>
    </i>
    <i>
      <x v="1735"/>
    </i>
    <i>
      <x v="1771"/>
    </i>
    <i>
      <x v="1531"/>
    </i>
    <i>
      <x v="1642"/>
    </i>
    <i>
      <x v="1449"/>
    </i>
    <i>
      <x v="1532"/>
    </i>
    <i>
      <x v="1451"/>
    </i>
    <i>
      <x v="1644"/>
    </i>
    <i>
      <x v="1452"/>
    </i>
    <i>
      <x v="1598"/>
    </i>
    <i>
      <x v="1506"/>
    </i>
    <i>
      <x v="1458"/>
    </i>
    <i>
      <x v="1596"/>
    </i>
    <i>
      <x v="1614"/>
    </i>
    <i>
      <x v="1648"/>
    </i>
    <i>
      <x v="1523"/>
    </i>
    <i>
      <x v="1524"/>
    </i>
    <i>
      <x v="1456"/>
    </i>
    <i>
      <x v="1500"/>
    </i>
    <i>
      <x v="1473"/>
    </i>
    <i>
      <x v="1499"/>
    </i>
    <i>
      <x v="1457"/>
    </i>
    <i>
      <x v="1594"/>
    </i>
    <i>
      <x v="1167"/>
    </i>
    <i>
      <x v="1200"/>
    </i>
    <i>
      <x v="1372"/>
    </i>
    <i>
      <x v="1379"/>
    </i>
    <i>
      <x v="1380"/>
    </i>
    <i>
      <x v="372"/>
    </i>
    <i>
      <x v="2"/>
    </i>
    <i>
      <x v="148"/>
    </i>
    <i>
      <x v="2414"/>
    </i>
    <i>
      <x v="2753"/>
    </i>
    <i>
      <x v="1422"/>
    </i>
    <i>
      <x v="211"/>
    </i>
    <i>
      <x v="97"/>
    </i>
    <i>
      <x v="842"/>
    </i>
    <i>
      <x v="2431"/>
    </i>
    <i>
      <x v="89"/>
    </i>
    <i>
      <x v="2096"/>
    </i>
    <i>
      <x v="2144"/>
    </i>
    <i>
      <x v="1334"/>
    </i>
    <i>
      <x v="1448"/>
    </i>
    <i>
      <x v="456"/>
    </i>
    <i>
      <x v="1445"/>
    </i>
    <i>
      <x v="334"/>
    </i>
    <i>
      <x v="1519"/>
    </i>
    <i>
      <x v="1964"/>
    </i>
    <i>
      <x v="278"/>
    </i>
    <i>
      <x v="1589"/>
    </i>
    <i>
      <x v="1342"/>
    </i>
    <i>
      <x v="1317"/>
    </i>
    <i>
      <x v="1331"/>
    </i>
    <i>
      <x v="1325"/>
    </i>
    <i>
      <x v="376"/>
    </i>
    <i>
      <x v="2086"/>
    </i>
    <i>
      <x v="1121"/>
    </i>
    <i>
      <x v="1424"/>
    </i>
    <i>
      <x v="1910"/>
    </i>
    <i>
      <x v="1627"/>
    </i>
    <i>
      <x v="2422"/>
    </i>
    <i>
      <x v="1315"/>
    </i>
    <i>
      <x v="1423"/>
    </i>
    <i>
      <x v="971"/>
    </i>
    <i>
      <x v="2471"/>
    </i>
    <i>
      <x v="186"/>
    </i>
    <i>
      <x v="2466"/>
    </i>
    <i>
      <x v="2413"/>
    </i>
    <i>
      <x v="1518"/>
    </i>
    <i>
      <x v="1117"/>
    </i>
    <i>
      <x v="1360"/>
    </i>
    <i>
      <x v="1183"/>
    </i>
    <i>
      <x v="414"/>
    </i>
    <i>
      <x v="1258"/>
    </i>
    <i>
      <x v="2026"/>
    </i>
    <i>
      <x v="1277"/>
    </i>
    <i>
      <x v="2007"/>
    </i>
    <i>
      <x v="1656"/>
    </i>
    <i>
      <x v="1556"/>
    </i>
    <i>
      <x v="1490"/>
    </i>
    <i>
      <x v="806"/>
    </i>
    <i>
      <x v="990"/>
    </i>
    <i>
      <x v="1364"/>
    </i>
    <i>
      <x v="1126"/>
    </i>
    <i>
      <x v="1324"/>
    </i>
    <i>
      <x v="879"/>
    </i>
    <i>
      <x v="217"/>
    </i>
    <i>
      <x v="2064"/>
    </i>
    <i>
      <x v="1994"/>
    </i>
    <i>
      <x v="1562"/>
    </i>
    <i>
      <x v="1341"/>
    </i>
    <i>
      <x v="2108"/>
    </i>
    <i>
      <x v="1464"/>
    </i>
    <i>
      <x v="1408"/>
    </i>
    <i>
      <x v="69"/>
    </i>
    <i>
      <x v="2321"/>
    </i>
    <i>
      <x v="1046"/>
    </i>
    <i>
      <x v="318"/>
    </i>
    <i>
      <x v="1421"/>
    </i>
    <i>
      <x v="2524"/>
    </i>
    <i>
      <x v="944"/>
    </i>
    <i>
      <x v="2404"/>
    </i>
    <i>
      <x v="1749"/>
    </i>
    <i>
      <x v="1766"/>
    </i>
    <i>
      <x v="1332"/>
    </i>
    <i>
      <x v="1189"/>
    </i>
    <i>
      <x v="505"/>
    </i>
    <i>
      <x v="789"/>
    </i>
    <i>
      <x v="1067"/>
    </i>
    <i>
      <x v="2040"/>
    </i>
    <i>
      <x v="1036"/>
    </i>
    <i>
      <x v="1505"/>
    </i>
    <i>
      <x v="1128"/>
    </i>
    <i>
      <x v="697"/>
    </i>
    <i>
      <x v="1343"/>
    </i>
    <i>
      <x v="2515"/>
    </i>
    <i>
      <x v="2192"/>
    </i>
    <i>
      <x v="1175"/>
    </i>
    <i>
      <x v="981"/>
    </i>
    <i>
      <x v="539"/>
    </i>
    <i>
      <x v="2352"/>
    </i>
    <i>
      <x v="1161"/>
    </i>
    <i>
      <x v="1157"/>
    </i>
    <i>
      <x v="1593"/>
    </i>
    <i>
      <x v="2097"/>
    </i>
    <i>
      <x v="1358"/>
    </i>
    <i>
      <x v="1639"/>
    </i>
    <i>
      <x v="535"/>
    </i>
    <i>
      <x v="531"/>
    </i>
    <i>
      <x v="536"/>
    </i>
    <i>
      <x v="547"/>
    </i>
    <i>
      <x v="1595"/>
    </i>
    <i>
      <x v="1418"/>
    </i>
    <i>
      <x v="1305"/>
    </i>
    <i>
      <x v="2764"/>
    </i>
    <i>
      <x v="2480"/>
    </i>
    <i>
      <x v="1712"/>
    </i>
    <i>
      <x v="1206"/>
    </i>
    <i>
      <x v="1173"/>
    </i>
    <i>
      <x v="1084"/>
    </i>
    <i>
      <x v="726"/>
    </i>
    <i>
      <x v="997"/>
    </i>
    <i>
      <x v="1409"/>
    </i>
    <i>
      <x v="1127"/>
    </i>
    <i>
      <x v="2326"/>
    </i>
    <i>
      <x v="2338"/>
    </i>
    <i>
      <x v="2195"/>
    </i>
    <i>
      <x v="1747"/>
    </i>
    <i>
      <x v="1839"/>
    </i>
    <i>
      <x v="1597"/>
    </i>
    <i>
      <x v="1600"/>
    </i>
    <i>
      <x v="1521"/>
    </i>
    <i>
      <x v="1525"/>
    </i>
    <i>
      <x v="1020"/>
    </i>
    <i>
      <x v="2399"/>
    </i>
    <i>
      <x v="499"/>
    </i>
    <i>
      <x v="1909"/>
    </i>
    <i>
      <x v="1884"/>
    </i>
    <i>
      <x v="877"/>
    </i>
    <i>
      <x v="2360"/>
    </i>
    <i>
      <x v="1044"/>
    </i>
    <i>
      <x v="150"/>
    </i>
    <i>
      <x v="1344"/>
    </i>
    <i>
      <x v="2004"/>
    </i>
    <i>
      <x v="2776"/>
    </i>
    <i>
      <x v="1526"/>
    </i>
    <i>
      <x v="1197"/>
    </i>
    <i>
      <x v="1336"/>
    </i>
    <i>
      <x v="1091"/>
    </i>
    <i>
      <x v="1328"/>
    </i>
    <i>
      <x v="2078"/>
    </i>
    <i>
      <x v="2140"/>
    </i>
    <i>
      <x v="1759"/>
    </i>
    <i>
      <x v="2325"/>
    </i>
    <i>
      <x v="1480"/>
    </i>
    <i>
      <x v="1557"/>
    </i>
    <i>
      <x v="2289"/>
    </i>
    <i>
      <x v="2672"/>
    </i>
    <i>
      <x v="2335"/>
    </i>
    <i>
      <x v="2043"/>
    </i>
    <i>
      <x v="2047"/>
    </i>
    <i>
      <x v="2083"/>
    </i>
    <i>
      <x v="2070"/>
    </i>
    <i>
      <x v="2054"/>
    </i>
    <i>
      <x v="2116"/>
    </i>
    <i>
      <x v="2091"/>
    </i>
    <i>
      <x v="2141"/>
    </i>
    <i>
      <x v="2095"/>
    </i>
    <i>
      <x v="2145"/>
    </i>
    <i>
      <x v="2062"/>
    </i>
    <i>
      <x v="2029"/>
    </i>
    <i>
      <x v="2031"/>
    </i>
    <i>
      <x v="2042"/>
    </i>
    <i>
      <x v="2082"/>
    </i>
    <i>
      <x v="2079"/>
    </i>
    <i>
      <x v="1471"/>
    </i>
    <i>
      <x v="1587"/>
    </i>
    <i>
      <x v="1132"/>
    </i>
    <i>
      <x v="1124"/>
    </i>
    <i>
      <x v="1214"/>
    </i>
    <i>
      <x v="1100"/>
    </i>
    <i>
      <x v="1024"/>
    </i>
    <i>
      <x v="455"/>
    </i>
    <i>
      <x v="114"/>
    </i>
    <i>
      <x v="32"/>
    </i>
    <i>
      <x v="2451"/>
    </i>
    <i>
      <x v="1278"/>
    </i>
    <i>
      <x v="1934"/>
    </i>
    <i>
      <x v="2155"/>
    </i>
    <i>
      <x v="1580"/>
    </i>
    <i>
      <x v="1670"/>
    </i>
    <i>
      <x v="1229"/>
    </i>
    <i>
      <x v="1034"/>
    </i>
    <i>
      <x v="1461"/>
    </i>
    <i>
      <x v="2750"/>
    </i>
    <i>
      <x v="1186"/>
    </i>
    <i>
      <x v="1174"/>
    </i>
    <i>
      <x v="1178"/>
    </i>
    <i>
      <x v="1086"/>
    </i>
    <i>
      <x v="995"/>
    </i>
    <i>
      <x v="1050"/>
    </i>
    <i>
      <x v="366"/>
    </i>
    <i>
      <x v="183"/>
    </i>
    <i>
      <x v="2359"/>
    </i>
    <i>
      <x v="1349"/>
    </i>
    <i>
      <x v="1213"/>
    </i>
    <i>
      <x v="91"/>
    </i>
    <i>
      <x v="2050"/>
    </i>
    <i>
      <x v="1583"/>
    </i>
    <i>
      <x v="1083"/>
    </i>
    <i>
      <x v="1070"/>
    </i>
    <i>
      <x v="2450"/>
    </i>
    <i>
      <x v="1625"/>
    </i>
    <i>
      <x v="1476"/>
    </i>
    <i>
      <x v="1164"/>
    </i>
    <i>
      <x v="1339"/>
    </i>
    <i>
      <x v="1122"/>
    </i>
    <i>
      <x v="1208"/>
    </i>
    <i>
      <x v="1002"/>
    </i>
    <i>
      <x v="386"/>
    </i>
    <i>
      <x v="2443"/>
    </i>
    <i>
      <x v="1666"/>
    </i>
    <i>
      <x v="2757"/>
    </i>
    <i>
      <x v="2038"/>
    </i>
    <i>
      <x v="1345"/>
    </i>
    <i>
      <x v="1222"/>
    </i>
    <i>
      <x v="1119"/>
    </i>
    <i>
      <x v="1011"/>
    </i>
    <i>
      <x v="34"/>
    </i>
    <i>
      <x v="1498"/>
    </i>
    <i>
      <x v="2371"/>
    </i>
    <i>
      <x v="1045"/>
    </i>
    <i>
      <x v="1077"/>
    </i>
    <i>
      <x v="2662"/>
    </i>
    <i>
      <x v="2051"/>
    </i>
    <i>
      <x v="1335"/>
    </i>
    <i>
      <x v="1153"/>
    </i>
    <i>
      <x v="1323"/>
    </i>
    <i>
      <x v="1218"/>
    </i>
    <i>
      <x v="1346"/>
    </i>
    <i>
      <x v="1019"/>
    </i>
    <i>
      <x v="864"/>
    </i>
    <i>
      <x v="66"/>
    </i>
    <i>
      <x v="2433"/>
    </i>
    <i>
      <x v="1090"/>
    </i>
    <i>
      <x v="1945"/>
    </i>
    <i>
      <x v="2398"/>
    </i>
    <i>
      <x v="2329"/>
    </i>
    <i>
      <x v="1054"/>
    </i>
    <i>
      <x v="2003"/>
    </i>
    <i>
      <x v="1220"/>
    </i>
    <i>
      <x v="777"/>
    </i>
    <i>
      <x v="1514"/>
    </i>
    <i>
      <x v="554"/>
    </i>
    <i>
      <x v="1268"/>
    </i>
    <i>
      <x v="2387"/>
    </i>
    <i>
      <x v="1734"/>
    </i>
    <i>
      <x v="1516"/>
    </i>
    <i>
      <x v="1031"/>
    </i>
    <i>
      <x v="1079"/>
    </i>
    <i>
      <x v="172"/>
    </i>
    <i>
      <x v="1138"/>
    </i>
    <i>
      <x v="1487"/>
    </i>
    <i>
      <x v="1030"/>
    </i>
    <i>
      <x v="898"/>
    </i>
    <i>
      <x v="340"/>
    </i>
    <i>
      <x v="1314"/>
    </i>
    <i>
      <x v="1495"/>
    </i>
    <i>
      <x v="2427"/>
    </i>
    <i>
      <x v="1893"/>
    </i>
    <i>
      <x v="1723"/>
    </i>
    <i>
      <x v="277"/>
    </i>
    <i>
      <x v="2755"/>
    </i>
    <i>
      <x v="2743"/>
    </i>
    <i>
      <x v="2760"/>
    </i>
    <i>
      <x v="2416"/>
    </i>
    <i>
      <x v="1983"/>
    </i>
    <i>
      <x v="2011"/>
    </i>
    <i>
      <x v="2014"/>
    </i>
    <i>
      <x v="2025"/>
    </i>
    <i>
      <x v="1937"/>
    </i>
    <i>
      <x v="1933"/>
    </i>
    <i>
      <x v="1939"/>
    </i>
    <i>
      <x v="1916"/>
    </i>
    <i>
      <x v="1769"/>
    </i>
    <i>
      <x v="1667"/>
    </i>
    <i>
      <x v="1530"/>
    </i>
    <i>
      <x v="1502"/>
    </i>
    <i>
      <x v="1647"/>
    </i>
    <i>
      <x v="1620"/>
    </i>
    <i>
      <x v="1228"/>
    </i>
    <i>
      <x v="1172"/>
    </i>
    <i>
      <x v="1129"/>
    </i>
    <i>
      <x v="1096"/>
    </i>
    <i>
      <x v="914"/>
    </i>
    <i>
      <x v="1022"/>
    </i>
    <i>
      <x v="1102"/>
    </i>
    <i>
      <x v="865"/>
    </i>
    <i>
      <x v="412"/>
    </i>
    <i>
      <x v="273"/>
    </i>
    <i>
      <x v="1992"/>
    </i>
    <i>
      <x v="516"/>
    </i>
    <i>
      <x v="265"/>
    </i>
    <i>
      <x v="1507"/>
    </i>
    <i>
      <x v="906"/>
    </i>
    <i>
      <x v="449"/>
    </i>
    <i>
      <x v="1134"/>
    </i>
    <i>
      <x v="2754"/>
    </i>
    <i>
      <x v="1885"/>
    </i>
    <i>
      <x v="1425"/>
    </i>
    <i>
      <x v="1116"/>
    </i>
    <i>
      <x v="1234"/>
    </i>
    <i>
      <x v="367"/>
    </i>
    <i>
      <x v="252"/>
    </i>
    <i>
      <x v="999"/>
    </i>
    <i>
      <x v="1025"/>
    </i>
    <i>
      <x v="1470"/>
    </i>
    <i>
      <x v="1724"/>
    </i>
    <i>
      <x v="1536"/>
    </i>
    <i>
      <x v="2365"/>
    </i>
    <i>
      <x v="1710"/>
    </i>
    <i>
      <x v="2474"/>
    </i>
    <i>
      <x v="1450"/>
    </i>
    <i>
      <x v="1805"/>
    </i>
    <i>
      <x v="1160"/>
    </i>
    <i>
      <x v="2041"/>
    </i>
    <i>
      <x v="115"/>
    </i>
    <i>
      <x v="1957"/>
    </i>
    <i>
      <x v="1088"/>
    </i>
    <i>
      <x v="2737"/>
    </i>
    <i>
      <x v="1944"/>
    </i>
    <i>
      <x v="1722"/>
    </i>
    <i>
      <x v="1191"/>
    </i>
    <i>
      <x v="1198"/>
    </i>
    <i>
      <x v="1243"/>
    </i>
    <i>
      <x v="1144"/>
    </i>
    <i>
      <x v="1215"/>
    </i>
    <i>
      <x v="1115"/>
    </i>
    <i>
      <x v="1095"/>
    </i>
    <i>
      <x v="19"/>
    </i>
    <i>
      <x v="496"/>
    </i>
    <i>
      <x v="2771"/>
    </i>
    <i>
      <x v="2362"/>
    </i>
    <i>
      <x v="1907"/>
    </i>
    <i>
      <x v="2370"/>
    </i>
    <i>
      <x v="2075"/>
    </i>
    <i>
      <x v="1897"/>
    </i>
    <i>
      <x v="2373"/>
    </i>
    <i>
      <x v="1980"/>
    </i>
    <i>
      <x v="1908"/>
    </i>
    <i>
      <x v="1832"/>
    </i>
    <i>
      <x v="1622"/>
    </i>
    <i>
      <x v="1363"/>
    </i>
    <i>
      <x v="1330"/>
    </i>
    <i>
      <x v="1068"/>
    </i>
    <i>
      <x v="895"/>
    </i>
    <i>
      <x v="1021"/>
    </i>
    <i>
      <x v="2441"/>
    </i>
    <i>
      <x v="1140"/>
    </i>
    <i>
      <x v="1292"/>
    </i>
    <i>
      <x v="1736"/>
    </i>
    <i>
      <x v="178"/>
    </i>
    <i>
      <x v="2536"/>
    </i>
    <i>
      <x v="2535"/>
    </i>
    <i>
      <x v="2408"/>
    </i>
    <i>
      <x v="2013"/>
    </i>
    <i>
      <x v="1528"/>
    </i>
    <i>
      <x v="1527"/>
    </i>
    <i>
      <x v="1552"/>
    </i>
    <i>
      <x v="1168"/>
    </i>
    <i>
      <x v="1207"/>
    </i>
    <i>
      <x v="1078"/>
    </i>
    <i>
      <x v="1041"/>
    </i>
    <i>
      <x v="2005"/>
    </i>
    <i>
      <x v="1764"/>
    </i>
    <i>
      <x v="344"/>
    </i>
    <i>
      <x v="1055"/>
    </i>
    <i>
      <x v="2740"/>
    </i>
    <i>
      <x v="2405"/>
    </i>
    <i>
      <x v="41"/>
    </i>
    <i>
      <x v="2401"/>
    </i>
    <i>
      <x v="1940"/>
    </i>
    <i>
      <x v="1391"/>
    </i>
    <i>
      <x v="422"/>
    </i>
    <i>
      <x v="30"/>
    </i>
    <i>
      <x v="1300"/>
    </i>
    <i>
      <x v="1746"/>
    </i>
    <i>
      <x v="1196"/>
    </i>
    <i>
      <x v="1387"/>
    </i>
    <i>
      <x v="1247"/>
    </i>
    <i>
      <x v="1246"/>
    </i>
    <i>
      <x v="241"/>
    </i>
    <i>
      <x v="356"/>
    </i>
    <i>
      <x v="1454"/>
    </i>
    <i>
      <x v="2735"/>
    </i>
    <i>
      <x v="1942"/>
    </i>
    <i>
      <x v="998"/>
    </i>
    <i>
      <x v="1018"/>
    </i>
    <i>
      <x v="2142"/>
    </i>
    <i>
      <x v="1671"/>
    </i>
    <i>
      <x v="1947"/>
    </i>
    <i>
      <x v="2470"/>
    </i>
    <i>
      <x v="1444"/>
    </i>
    <i>
      <x v="2340"/>
    </i>
    <i>
      <x v="2391"/>
    </i>
    <i>
      <x v="2020"/>
    </i>
    <i>
      <x v="1585"/>
    </i>
    <i>
      <x v="1591"/>
    </i>
    <i>
      <x v="1143"/>
    </i>
    <i>
      <x v="1225"/>
    </i>
    <i>
      <x v="1028"/>
    </i>
    <i>
      <x v="1103"/>
    </i>
    <i>
      <x v="2454"/>
    </i>
    <i>
      <x v="1359"/>
    </i>
    <i>
      <x v="1603"/>
    </i>
    <i>
      <x v="1443"/>
    </i>
    <i>
      <x v="245"/>
    </i>
    <i>
      <x v="2375"/>
    </i>
    <i>
      <x v="1147"/>
    </i>
    <i>
      <x v="956"/>
    </i>
    <i>
      <x v="2436"/>
    </i>
    <i>
      <x v="2088"/>
    </i>
    <i>
      <x v="1713"/>
    </i>
    <i>
      <x v="1709"/>
    </i>
    <i>
      <x v="1413"/>
    </i>
    <i>
      <x v="1584"/>
    </i>
    <i>
      <x v="1118"/>
    </i>
    <i>
      <x v="1001"/>
    </i>
    <i>
      <x v="1032"/>
    </i>
    <i>
      <x v="1076"/>
    </i>
    <i>
      <x v="1043"/>
    </i>
    <i>
      <x v="2415"/>
    </i>
    <i>
      <x v="288"/>
    </i>
    <i>
      <x v="896"/>
    </i>
    <i>
      <x v="1466"/>
    </i>
    <i>
      <x v="2333"/>
    </i>
    <i>
      <x v="481"/>
    </i>
    <i>
      <x v="2163"/>
    </i>
    <i>
      <x v="1285"/>
    </i>
    <i>
      <x v="2518"/>
    </i>
    <i>
      <x v="2746"/>
    </i>
    <i>
      <x v="2386"/>
    </i>
    <i>
      <x v="2341"/>
    </i>
    <i>
      <x v="2388"/>
    </i>
    <i>
      <x v="2392"/>
    </i>
    <i>
      <x v="2380"/>
    </i>
    <i>
      <x v="2455"/>
    </i>
    <i>
      <x v="2381"/>
    </i>
    <i>
      <x v="2071"/>
    </i>
    <i>
      <x v="2009"/>
    </i>
    <i>
      <x v="2072"/>
    </i>
    <i>
      <x v="2017"/>
    </i>
    <i>
      <x v="2052"/>
    </i>
    <i>
      <x v="1899"/>
    </i>
    <i>
      <x v="1898"/>
    </i>
    <i>
      <x v="1911"/>
    </i>
    <i>
      <x v="1405"/>
    </i>
    <i>
      <x v="1608"/>
    </i>
    <i>
      <x v="1540"/>
    </i>
    <i>
      <x v="1517"/>
    </i>
    <i>
      <x v="1426"/>
    </i>
    <i>
      <x v="1288"/>
    </i>
    <i>
      <x v="1274"/>
    </i>
    <i>
      <x v="1291"/>
    </i>
    <i>
      <x v="1240"/>
    </i>
    <i>
      <x v="1082"/>
    </i>
    <i>
      <x v="1009"/>
    </i>
    <i>
      <x v="903"/>
    </i>
    <i>
      <x v="1035"/>
    </i>
    <i>
      <x v="1004"/>
    </i>
    <i>
      <x v="718"/>
    </i>
    <i>
      <x v="147"/>
    </i>
    <i>
      <x v="1056"/>
    </i>
    <i>
      <x v="1205"/>
    </i>
    <i>
      <x v="1469"/>
    </i>
    <i>
      <x v="1230"/>
    </i>
    <i>
      <x v="1386"/>
    </i>
    <i>
      <x v="1394"/>
    </i>
    <i>
      <x v="1355"/>
    </i>
    <i>
      <x v="174"/>
    </i>
    <i>
      <x v="2523"/>
    </i>
    <i>
      <x v="2389"/>
    </i>
    <i>
      <x v="2368"/>
    </i>
    <i>
      <x v="1941"/>
    </i>
    <i>
      <x v="1669"/>
    </i>
    <i>
      <x v="1651"/>
    </i>
    <i>
      <x v="1601"/>
    </i>
    <i>
      <x v="1501"/>
    </i>
    <i>
      <x v="1508"/>
    </i>
    <i>
      <x v="1163"/>
    </i>
    <i>
      <x v="1156"/>
    </i>
    <i>
      <x v="1111"/>
    </i>
    <i>
      <x v="1087"/>
    </i>
    <i>
      <x v="1074"/>
    </i>
    <i>
      <x v="1366"/>
    </i>
    <i>
      <x v="1210"/>
    </i>
    <i>
      <x v="927"/>
    </i>
    <i>
      <x v="1881"/>
    </i>
    <i>
      <x v="1012"/>
    </i>
    <i>
      <x v="1069"/>
    </i>
    <i>
      <x v="2435"/>
    </i>
    <i>
      <x v="2146"/>
    </i>
    <i>
      <x v="1831"/>
    </i>
    <i>
      <x v="2085"/>
    </i>
    <i>
      <x v="2521"/>
    </i>
    <i>
      <x v="2377"/>
    </i>
    <i>
      <x v="2346"/>
    </i>
    <i>
      <x v="1905"/>
    </i>
    <i>
      <x v="1912"/>
    </i>
    <i>
      <x v="1737"/>
    </i>
    <i>
      <x v="1768"/>
    </i>
    <i>
      <x v="1913"/>
    </i>
    <i>
      <x v="1923"/>
    </i>
    <i>
      <x v="1936"/>
    </i>
    <i>
      <x v="1926"/>
    </i>
    <i>
      <x v="1930"/>
    </i>
    <i>
      <x v="1362"/>
    </i>
    <i>
      <x v="1287"/>
    </i>
    <i>
      <x v="1289"/>
    </i>
    <i>
      <x v="1152"/>
    </i>
    <i>
      <x v="1148"/>
    </i>
    <i>
      <x v="1008"/>
    </i>
    <i>
      <x v="1023"/>
    </i>
    <i>
      <x v="1613"/>
    </i>
    <i>
      <x v="1395"/>
    </i>
    <i>
      <x v="116"/>
    </i>
    <i>
      <x v="1950"/>
    </i>
    <i>
      <x v="2001"/>
    </i>
    <i>
      <x v="1139"/>
    </i>
    <i>
      <x v="1427"/>
    </i>
    <i>
      <x v="198"/>
    </i>
    <i>
      <x v="1293"/>
    </i>
    <i>
      <x v="938"/>
    </i>
    <i>
      <x v="2463"/>
    </i>
    <i>
      <x v="2429"/>
    </i>
    <i>
      <x v="2117"/>
    </i>
    <i>
      <x v="2053"/>
    </i>
    <i>
      <x v="1073"/>
    </i>
    <i>
      <x v="1393"/>
    </i>
    <i>
      <x v="1385"/>
    </i>
    <i>
      <x v="1295"/>
    </i>
    <i>
      <x v="1298"/>
    </i>
    <i>
      <x v="1297"/>
    </i>
    <i>
      <x v="1296"/>
    </i>
    <i>
      <x v="1294"/>
    </i>
    <i>
      <x v="1261"/>
    </i>
    <i>
      <x v="1113"/>
    </i>
    <i>
      <x v="2330"/>
    </i>
    <i>
      <x v="2343"/>
    </i>
    <i>
      <x v="2344"/>
    </i>
    <i>
      <x v="2379"/>
    </i>
    <i>
      <x v="2394"/>
    </i>
    <i>
      <x v="1976"/>
    </i>
    <i>
      <x v="1978"/>
    </i>
    <i>
      <x v="2098"/>
    </i>
    <i>
      <x v="1977"/>
    </i>
    <i>
      <x v="1838"/>
    </i>
    <i>
      <x v="1920"/>
    </i>
    <i>
      <x v="1761"/>
    </i>
    <i>
      <x v="1582"/>
    </i>
    <i>
      <x v="1477"/>
    </i>
    <i>
      <x v="1581"/>
    </i>
    <i>
      <x v="1504"/>
    </i>
    <i>
      <x v="1588"/>
    </i>
    <i>
      <x v="1522"/>
    </i>
    <i>
      <x v="1155"/>
    </i>
    <i>
      <x v="1187"/>
    </i>
    <i>
      <x v="1131"/>
    </i>
    <i>
      <x v="1180"/>
    </i>
    <i>
      <x v="1282"/>
    </i>
    <i>
      <x v="1223"/>
    </i>
    <i>
      <x v="1392"/>
    </i>
    <i>
      <x v="1199"/>
    </i>
    <i>
      <x v="1049"/>
    </i>
    <i>
      <x v="1106"/>
    </i>
    <i>
      <x v="1081"/>
    </i>
    <i>
      <x v="1037"/>
    </i>
    <i>
      <x v="1107"/>
    </i>
    <i>
      <x v="1003"/>
    </i>
    <i>
      <x v="1016"/>
    </i>
    <i>
      <x v="1085"/>
    </i>
    <i>
      <x v="1098"/>
    </i>
    <i>
      <x v="1072"/>
    </i>
    <i>
      <x v="1080"/>
    </i>
    <i>
      <x v="1190"/>
    </i>
    <i>
      <x v="1142"/>
    </i>
    <i>
      <x v="1201"/>
    </i>
    <i>
      <x v="1089"/>
    </i>
    <i>
      <x v="2118"/>
    </i>
    <i>
      <x v="1048"/>
    </i>
    <i>
      <x v="1510"/>
    </i>
    <i>
      <x v="2421"/>
    </i>
    <i>
      <x v="1281"/>
    </i>
    <i>
      <x v="1276"/>
    </i>
    <i>
      <x v="913"/>
    </i>
    <i>
      <x v="2605"/>
    </i>
    <i>
      <x v="1586"/>
    </i>
    <i>
      <x v="1503"/>
    </i>
    <i>
      <x v="1497"/>
    </i>
    <i>
      <x v="1672"/>
    </i>
    <i>
      <x v="1235"/>
    </i>
    <i>
      <x v="1259"/>
    </i>
    <i>
      <x v="1176"/>
    </i>
    <i>
      <x v="1182"/>
    </i>
    <i>
      <x v="1141"/>
    </i>
    <i>
      <x v="1238"/>
    </i>
    <i>
      <x v="1299"/>
    </i>
    <i>
      <x v="1193"/>
    </i>
    <i>
      <x v="1195"/>
    </i>
    <i>
      <x v="1112"/>
    </i>
    <i>
      <x v="71"/>
    </i>
    <i>
      <x v="308"/>
    </i>
    <i>
      <x v="727"/>
    </i>
    <i>
      <x v="1123"/>
    </i>
    <i>
      <x v="2522"/>
    </i>
    <i>
      <x v="2383"/>
    </i>
    <i>
      <x v="1489"/>
    </i>
    <i>
      <x v="2164"/>
    </i>
    <i>
      <x v="185"/>
    </i>
    <i>
      <x v="897"/>
    </i>
    <i>
      <x v="2382"/>
    </i>
    <i>
      <x v="2073"/>
    </i>
    <i>
      <x v="1105"/>
    </i>
    <i>
      <x v="2483"/>
    </i>
    <i>
      <x v="2339"/>
    </i>
    <i>
      <x v="2347"/>
    </i>
    <i>
      <x v="2376"/>
    </i>
    <i>
      <x v="2374"/>
    </i>
    <i>
      <x v="2349"/>
    </i>
    <i>
      <x v="2251"/>
    </i>
    <i>
      <x v="2378"/>
    </i>
    <i>
      <x v="2475"/>
    </i>
    <i>
      <x v="2476"/>
    </i>
    <i>
      <x v="2477"/>
    </i>
    <i>
      <x v="2478"/>
    </i>
    <i>
      <x v="2479"/>
    </i>
    <i>
      <x v="2481"/>
    </i>
    <i>
      <x v="2482"/>
    </i>
    <i>
      <x v="2353"/>
    </i>
    <i>
      <x v="2354"/>
    </i>
    <i>
      <x v="2348"/>
    </i>
    <i>
      <x v="1982"/>
    </i>
    <i>
      <x v="2076"/>
    </i>
    <i>
      <x v="1988"/>
    </i>
    <i>
      <x v="1975"/>
    </i>
    <i>
      <x v="2019"/>
    </i>
    <i>
      <x v="1989"/>
    </i>
    <i>
      <x v="2008"/>
    </i>
    <i>
      <x v="1981"/>
    </i>
    <i>
      <x v="2167"/>
    </i>
    <i>
      <x v="1986"/>
    </i>
    <i>
      <x v="1974"/>
    </i>
    <i>
      <x v="1987"/>
    </i>
    <i>
      <x v="2018"/>
    </i>
    <i>
      <x v="1991"/>
    </i>
    <i>
      <x v="1922"/>
    </i>
    <i>
      <x v="1928"/>
    </i>
    <i>
      <x v="1925"/>
    </i>
    <i>
      <x v="1770"/>
    </i>
    <i>
      <x v="1935"/>
    </i>
    <i>
      <x v="1763"/>
    </i>
    <i>
      <x v="1924"/>
    </i>
    <i>
      <x v="1765"/>
    </i>
    <i>
      <x v="1927"/>
    </i>
    <i>
      <x v="1760"/>
    </i>
    <i>
      <x v="1932"/>
    </i>
    <i>
      <x v="1919"/>
    </i>
    <i>
      <x v="1938"/>
    </i>
    <i>
      <x v="1921"/>
    </i>
    <i>
      <x v="1917"/>
    </i>
    <i>
      <x v="1549"/>
    </i>
    <i>
      <x v="1194"/>
    </i>
    <i>
      <x v="1224"/>
    </i>
    <i>
      <x v="1353"/>
    </i>
    <i>
      <x v="1226"/>
    </i>
    <i>
      <x v="1150"/>
    </i>
    <i>
      <x v="1290"/>
    </i>
    <i>
      <x v="1283"/>
    </i>
    <i>
      <x v="857"/>
    </i>
    <i>
      <x v="996"/>
    </i>
    <i>
      <x v="2205"/>
    </i>
    <i>
      <x v="1929"/>
    </i>
    <i>
      <x v="1605"/>
    </i>
    <i>
      <x v="1479"/>
    </i>
    <i>
      <x v="1402"/>
    </i>
    <i>
      <x v="2059"/>
    </i>
    <i>
      <x v="1668"/>
    </i>
    <i>
      <x v="1270"/>
    </i>
    <i>
      <x v="2768"/>
    </i>
    <i>
      <x v="1607"/>
    </i>
    <i>
      <x v="2766"/>
    </i>
    <i>
      <x v="2390"/>
    </i>
    <i>
      <x v="2328"/>
    </i>
    <i>
      <x v="2248"/>
    </i>
    <i>
      <x v="2250"/>
    </i>
    <i>
      <x v="1550"/>
    </i>
    <i>
      <x v="1389"/>
    </i>
    <i>
      <x v="1149"/>
    </i>
    <i>
      <x v="1273"/>
    </i>
    <i>
      <x v="1239"/>
    </i>
    <i>
      <x v="1227"/>
    </i>
    <i>
      <x v="1108"/>
    </i>
    <i>
      <x v="1014"/>
    </i>
    <i>
      <x v="1253"/>
    </i>
    <i>
      <x v="2400"/>
    </i>
    <i>
      <x v="2162"/>
    </i>
    <i>
      <x v="425"/>
    </i>
    <i>
      <x v="180"/>
    </i>
    <i>
      <x v="1619"/>
    </i>
    <i>
      <x v="939"/>
    </i>
    <i>
      <x v="2393"/>
    </i>
    <i>
      <x v="2351"/>
    </i>
    <i>
      <x v="2350"/>
    </i>
    <i>
      <x v="1773"/>
    </i>
    <i>
      <x v="1781"/>
    </i>
    <i>
      <x v="1801"/>
    </i>
    <i>
      <x v="1903"/>
    </i>
    <i>
      <x v="1818"/>
    </i>
    <i>
      <x v="1782"/>
    </i>
    <i>
      <x v="1686"/>
    </i>
    <i>
      <x v="1847"/>
    </i>
    <i>
      <x v="1678"/>
    </i>
    <i>
      <x v="1732"/>
    </i>
    <i>
      <x v="1565"/>
    </i>
    <i>
      <x v="1548"/>
    </i>
    <i>
      <x v="1636"/>
    </i>
    <i>
      <x v="1249"/>
    </i>
    <i>
      <x v="1237"/>
    </i>
    <i>
      <x v="2274"/>
    </i>
    <i>
      <x v="171"/>
    </i>
    <i>
      <x v="1807"/>
    </i>
    <i>
      <x v="2759"/>
    </i>
    <i>
      <x v="2747"/>
    </i>
    <i>
      <x v="2745"/>
    </i>
    <i>
      <x v="2748"/>
    </i>
    <i>
      <x v="2517"/>
    </i>
    <i>
      <x v="2749"/>
    </i>
    <i>
      <x v="2508"/>
    </i>
    <i>
      <x v="2458"/>
    </i>
    <i>
      <x v="2089"/>
    </i>
    <i>
      <x v="2010"/>
    </i>
    <i>
      <x v="2093"/>
    </i>
    <i>
      <x v="2120"/>
    </i>
    <i>
      <x v="1684"/>
    </i>
    <i>
      <x v="1578"/>
    </i>
    <i>
      <x v="1638"/>
    </i>
    <i>
      <x v="1579"/>
    </i>
    <i>
      <x v="1125"/>
    </i>
    <i>
      <x v="1170"/>
    </i>
    <i>
      <x v="1137"/>
    </i>
    <i>
      <x v="1248"/>
    </i>
    <i>
      <x v="1209"/>
    </i>
    <i>
      <x v="1212"/>
    </i>
    <i>
      <x v="1286"/>
    </i>
    <i>
      <x v="1181"/>
    </i>
    <i>
      <x v="1241"/>
    </i>
    <i>
      <x v="1151"/>
    </i>
    <i>
      <x v="1166"/>
    </i>
    <i>
      <x v="1145"/>
    </i>
    <i>
      <x v="1284"/>
    </i>
    <i>
      <x v="1203"/>
    </i>
    <i>
      <x v="1217"/>
    </i>
    <i>
      <x v="1165"/>
    </i>
    <i>
      <x v="1135"/>
    </i>
    <i>
      <x v="1007"/>
    </i>
    <i>
      <x v="1110"/>
    </i>
    <i>
      <x v="1047"/>
    </i>
    <i>
      <x v="1109"/>
    </i>
    <i>
      <x v="1042"/>
    </i>
    <i>
      <x v="1097"/>
    </i>
    <i>
      <x v="1075"/>
    </i>
    <i>
      <x v="1114"/>
    </i>
    <i>
      <x v="1015"/>
    </i>
    <i>
      <x v="1038"/>
    </i>
    <i>
      <x v="2674"/>
    </i>
    <i>
      <x v="1204"/>
    </i>
    <i>
      <x v="1033"/>
    </i>
    <i>
      <x v="1010"/>
    </i>
    <i>
      <x v="935"/>
    </i>
    <i>
      <x v="2407"/>
    </i>
    <i>
      <x v="2345"/>
    </i>
    <i>
      <x v="2331"/>
    </i>
    <i>
      <x v="2238"/>
    </i>
    <i>
      <x v="2430"/>
    </i>
    <i>
      <x v="234"/>
    </i>
    <i>
      <x v="1970"/>
    </i>
    <i>
      <x v="1411"/>
    </i>
    <i>
      <x v="1221"/>
    </i>
    <i>
      <x v="2690"/>
    </i>
    <i>
      <x v="2730"/>
    </i>
    <i>
      <x v="2711"/>
    </i>
    <i>
      <x v="2609"/>
    </i>
    <i>
      <x v="2604"/>
    </i>
    <i>
      <x v="2610"/>
    </i>
    <i>
      <x v="2702"/>
    </i>
    <i>
      <x v="2611"/>
    </i>
    <i>
      <x v="2721"/>
    </i>
    <i>
      <x v="2612"/>
    </i>
    <i>
      <x v="2589"/>
    </i>
    <i>
      <x v="2613"/>
    </i>
    <i>
      <x v="2684"/>
    </i>
    <i>
      <x v="2614"/>
    </i>
    <i>
      <x v="2583"/>
    </i>
    <i>
      <x v="2615"/>
    </i>
    <i>
      <x v="2707"/>
    </i>
    <i>
      <x v="2616"/>
    </i>
    <i>
      <x v="2716"/>
    </i>
    <i>
      <x v="2617"/>
    </i>
    <i>
      <x v="2726"/>
    </i>
    <i>
      <x v="2618"/>
    </i>
    <i>
      <x v="2550"/>
    </i>
    <i>
      <x v="2619"/>
    </i>
    <i>
      <x v="2591"/>
    </i>
    <i>
      <x v="2620"/>
    </i>
    <i>
      <x v="2598"/>
    </i>
    <i>
      <x v="2621"/>
    </i>
    <i>
      <x v="2688"/>
    </i>
    <i>
      <x v="2622"/>
    </i>
    <i>
      <x v="2693"/>
    </i>
    <i>
      <x v="2624"/>
    </i>
    <i>
      <x v="2700"/>
    </i>
    <i>
      <x v="2625"/>
    </i>
    <i>
      <x v="2704"/>
    </i>
    <i>
      <x v="2626"/>
    </i>
    <i>
      <x v="2709"/>
    </i>
    <i>
      <x v="2627"/>
    </i>
    <i>
      <x v="2714"/>
    </i>
    <i>
      <x v="2629"/>
    </i>
    <i>
      <x v="2718"/>
    </i>
    <i>
      <x v="2632"/>
    </i>
    <i>
      <x v="2723"/>
    </i>
    <i>
      <x v="2633"/>
    </i>
    <i>
      <x v="2728"/>
    </i>
    <i>
      <x v="2635"/>
    </i>
    <i>
      <x v="2733"/>
    </i>
    <i>
      <x v="2636"/>
    </i>
    <i>
      <x v="2608"/>
    </i>
    <i>
      <x v="2637"/>
    </i>
    <i>
      <x v="2555"/>
    </i>
    <i>
      <x v="2638"/>
    </i>
    <i>
      <x v="2607"/>
    </i>
    <i>
      <x v="2639"/>
    </i>
    <i>
      <x v="2564"/>
    </i>
    <i>
      <x v="2640"/>
    </i>
    <i>
      <x v="2545"/>
    </i>
    <i>
      <x v="2641"/>
    </i>
    <i>
      <x v="2685"/>
    </i>
    <i>
      <x v="2643"/>
    </i>
    <i>
      <x v="2689"/>
    </i>
    <i>
      <x v="2647"/>
    </i>
    <i>
      <x v="2691"/>
    </i>
    <i>
      <x v="2648"/>
    </i>
    <i>
      <x v="2694"/>
    </i>
    <i>
      <x v="2649"/>
    </i>
    <i>
      <x v="2698"/>
    </i>
    <i>
      <x v="2548"/>
    </i>
    <i>
      <x v="2701"/>
    </i>
    <i>
      <x v="2651"/>
    </i>
    <i>
      <x v="2703"/>
    </i>
    <i>
      <x v="2652"/>
    </i>
    <i>
      <x v="2706"/>
    </i>
    <i>
      <x v="2654"/>
    </i>
    <i>
      <x v="2708"/>
    </i>
    <i>
      <x v="2655"/>
    </i>
    <i>
      <x v="2710"/>
    </i>
    <i>
      <x v="2656"/>
    </i>
    <i>
      <x v="2712"/>
    </i>
    <i>
      <x v="2658"/>
    </i>
    <i>
      <x v="2715"/>
    </i>
    <i>
      <x v="2659"/>
    </i>
    <i>
      <x v="2717"/>
    </i>
    <i>
      <x v="2660"/>
    </i>
    <i>
      <x v="2720"/>
    </i>
    <i>
      <x v="2537"/>
    </i>
    <i>
      <x v="2722"/>
    </i>
    <i>
      <x v="2579"/>
    </i>
    <i>
      <x v="2725"/>
    </i>
    <i>
      <x v="2665"/>
    </i>
    <i>
      <x v="2727"/>
    </i>
    <i>
      <x v="2666"/>
    </i>
    <i>
      <x v="2729"/>
    </i>
    <i>
      <x v="2669"/>
    </i>
    <i>
      <x v="2731"/>
    </i>
    <i>
      <x v="2671"/>
    </i>
    <i>
      <x v="2585"/>
    </i>
    <i>
      <x v="2549"/>
    </i>
    <i>
      <x v="2586"/>
    </i>
    <i>
      <x v="2738"/>
    </i>
    <i>
      <x v="2587"/>
    </i>
    <i>
      <x v="2554"/>
    </i>
    <i>
      <x v="2602"/>
    </i>
    <i>
      <x v="2590"/>
    </i>
    <i>
      <x v="2600"/>
    </i>
    <i>
      <x v="2578"/>
    </i>
    <i>
      <x v="2547"/>
    </i>
    <i>
      <x v="2606"/>
    </i>
    <i>
      <x v="2561"/>
    </i>
    <i>
      <x v="2595"/>
    </i>
    <i>
      <x v="2557"/>
    </i>
    <i>
      <x v="2546"/>
    </i>
    <i>
      <x v="2560"/>
    </i>
    <i>
      <x v="2580"/>
    </i>
    <i>
      <x v="2594"/>
    </i>
    <i>
      <x v="2529"/>
    </i>
    <i>
      <x v="2562"/>
    </i>
    <i>
      <x v="2573"/>
    </i>
    <i>
      <x v="2596"/>
    </i>
    <i>
      <x v="2581"/>
    </i>
    <i>
      <x v="2541"/>
    </i>
    <i>
      <x v="2582"/>
    </i>
    <i>
      <x v="2544"/>
    </i>
    <i>
      <x v="2682"/>
    </i>
    <i>
      <x v="2599"/>
    </i>
    <i>
      <x v="2683"/>
    </i>
    <i>
      <x v="2675"/>
    </i>
    <i>
      <x v="2570"/>
    </i>
    <i>
      <x v="2676"/>
    </i>
    <i>
      <x v="2571"/>
    </i>
    <i>
      <x v="2677"/>
    </i>
    <i>
      <x v="2572"/>
    </i>
    <i>
      <x v="2678"/>
    </i>
    <i>
      <x v="2575"/>
    </i>
    <i>
      <x v="2679"/>
    </i>
    <i>
      <x v="2576"/>
    </i>
    <i>
      <x v="2680"/>
    </i>
    <i>
      <x v="2577"/>
    </i>
    <i>
      <x v="2681"/>
    </i>
    <i>
      <x v="2650"/>
    </i>
    <i>
      <x v="2646"/>
    </i>
    <i>
      <x v="2252"/>
    </i>
    <i>
      <x v="2261"/>
    </i>
    <i>
      <x v="2315"/>
    </i>
    <i>
      <x v="2509"/>
    </i>
    <i>
      <x v="2486"/>
    </i>
    <i>
      <x v="2240"/>
    </i>
    <i>
      <x v="2308"/>
    </i>
    <i>
      <x v="2276"/>
    </i>
    <i>
      <x v="2318"/>
    </i>
    <i>
      <x v="2244"/>
    </i>
    <i>
      <x v="2254"/>
    </i>
    <i>
      <x v="2277"/>
    </i>
    <i>
      <x v="2304"/>
    </i>
    <i>
      <x v="2278"/>
    </i>
    <i>
      <x v="2307"/>
    </i>
    <i>
      <x v="2255"/>
    </i>
    <i>
      <x v="2313"/>
    </i>
    <i>
      <x v="2506"/>
    </i>
    <i>
      <x v="2316"/>
    </i>
    <i>
      <x v="2493"/>
    </i>
    <i>
      <x v="2242"/>
    </i>
    <i>
      <x v="2235"/>
    </i>
    <i>
      <x v="2260"/>
    </i>
    <i>
      <x v="2496"/>
    </i>
    <i>
      <x v="2320"/>
    </i>
    <i>
      <x v="2499"/>
    </i>
    <i>
      <x v="2488"/>
    </i>
    <i>
      <x v="2492"/>
    </i>
    <i>
      <x v="2257"/>
    </i>
    <i>
      <x v="2504"/>
    </i>
    <i>
      <x v="2306"/>
    </i>
    <i>
      <x v="2256"/>
    </i>
    <i>
      <x v="2267"/>
    </i>
    <i>
      <x v="2309"/>
    </i>
    <i>
      <x v="2263"/>
    </i>
    <i>
      <x v="2268"/>
    </i>
    <i>
      <x v="2311"/>
    </i>
    <i>
      <x v="2288"/>
    </i>
    <i>
      <x v="2314"/>
    </i>
    <i>
      <x v="2266"/>
    </i>
    <i>
      <x v="2269"/>
    </i>
    <i>
      <x v="2234"/>
    </i>
    <i>
      <x v="2317"/>
    </i>
    <i>
      <x v="2249"/>
    </i>
    <i>
      <x v="2336"/>
    </i>
    <i>
      <x v="2489"/>
    </i>
    <i>
      <x v="2232"/>
    </i>
    <i>
      <x v="2490"/>
    </i>
    <i>
      <x v="2262"/>
    </i>
    <i>
      <x v="2245"/>
    </i>
    <i>
      <x v="2239"/>
    </i>
    <i>
      <x v="2296"/>
    </i>
    <i>
      <x v="2246"/>
    </i>
    <i>
      <x v="2297"/>
    </i>
    <i>
      <x v="2485"/>
    </i>
    <i>
      <x v="2298"/>
    </i>
    <i>
      <x v="2487"/>
    </i>
    <i>
      <x v="2299"/>
    </i>
    <i>
      <x v="2270"/>
    </i>
    <i>
      <x v="2303"/>
    </i>
    <i>
      <x v="2491"/>
    </i>
    <i>
      <x v="2243"/>
    </i>
    <i>
      <x v="2294"/>
    </i>
    <i>
      <x v="2502"/>
    </i>
    <i>
      <x v="2236"/>
    </i>
    <i>
      <x v="2281"/>
    </i>
    <i>
      <x v="2498"/>
    </i>
    <i>
      <x v="2282"/>
    </i>
    <i>
      <x v="2500"/>
    </i>
    <i>
      <x v="2283"/>
    </i>
    <i>
      <x v="2503"/>
    </i>
    <i>
      <x v="2284"/>
    </i>
    <i>
      <x v="2253"/>
    </i>
    <i>
      <x v="2285"/>
    </i>
    <i>
      <x v="2280"/>
    </i>
    <i>
      <x v="2510"/>
    </i>
    <i>
      <x v="2271"/>
    </i>
    <i>
      <x v="2233"/>
    </i>
    <i>
      <x v="1953"/>
    </i>
    <i>
      <x v="2179"/>
    </i>
    <i>
      <x v="2113"/>
    </i>
    <i>
      <x v="2103"/>
    </i>
    <i>
      <x v="2185"/>
    </i>
    <i>
      <x v="2190"/>
    </i>
    <i>
      <x v="2194"/>
    </i>
    <i>
      <x v="2198"/>
    </i>
    <i>
      <x v="2212"/>
    </i>
    <i>
      <x v="2209"/>
    </i>
    <i>
      <x v="2213"/>
    </i>
    <i>
      <x v="2181"/>
    </i>
    <i>
      <x v="2215"/>
    </i>
    <i>
      <x v="2188"/>
    </i>
    <i>
      <x v="2217"/>
    </i>
    <i>
      <x v="2109"/>
    </i>
    <i>
      <x v="2107"/>
    </i>
    <i>
      <x v="2196"/>
    </i>
    <i>
      <x v="2222"/>
    </i>
    <i>
      <x v="2202"/>
    </i>
    <i>
      <x v="2226"/>
    </i>
    <i>
      <x v="2207"/>
    </i>
    <i>
      <x v="2159"/>
    </i>
    <i>
      <x v="2211"/>
    </i>
    <i>
      <x v="2231"/>
    </i>
    <i>
      <x v="2180"/>
    </i>
    <i>
      <x v="1984"/>
    </i>
    <i>
      <x v="2183"/>
    </i>
    <i>
      <x v="2132"/>
    </i>
    <i>
      <x v="2187"/>
    </i>
    <i>
      <x v="2094"/>
    </i>
    <i>
      <x v="2189"/>
    </i>
    <i>
      <x v="2134"/>
    </i>
    <i>
      <x v="2138"/>
    </i>
    <i>
      <x v="2135"/>
    </i>
    <i>
      <x v="2110"/>
    </i>
    <i>
      <x v="1985"/>
    </i>
    <i>
      <x v="2112"/>
    </i>
    <i>
      <x v="2136"/>
    </i>
    <i>
      <x v="2197"/>
    </i>
    <i>
      <x v="2168"/>
    </i>
    <i>
      <x v="2200"/>
    </i>
    <i>
      <x v="2137"/>
    </i>
    <i>
      <x v="2204"/>
    </i>
    <i>
      <x v="2173"/>
    </i>
    <i>
      <x v="2206"/>
    </i>
    <i>
      <x v="2174"/>
    </i>
    <i>
      <x v="2208"/>
    </i>
    <i>
      <x v="2176"/>
    </i>
    <i>
      <x v="2210"/>
    </i>
    <i>
      <x v="2177"/>
    </i>
    <i>
      <x v="2115"/>
    </i>
    <i>
      <x v="2178"/>
    </i>
    <i>
      <x v="2214"/>
    </i>
    <i>
      <x v="2121"/>
    </i>
    <i>
      <x v="2216"/>
    </i>
    <i>
      <x v="2122"/>
    </i>
    <i>
      <x v="2218"/>
    </i>
    <i>
      <x v="2123"/>
    </i>
    <i>
      <x v="2221"/>
    </i>
    <i>
      <x v="2126"/>
    </i>
    <i>
      <x v="2224"/>
    </i>
    <i>
      <x v="2128"/>
    </i>
    <i>
      <x v="2228"/>
    </i>
    <i>
      <x v="2129"/>
    </i>
    <i>
      <x v="2130"/>
    </i>
    <i>
      <x v="2133"/>
    </i>
    <i>
      <x v="1887"/>
    </i>
    <i>
      <x v="1791"/>
    </i>
    <i>
      <x v="1906"/>
    </i>
    <i>
      <x v="1809"/>
    </i>
    <i>
      <x v="1690"/>
    </i>
    <i>
      <x v="1810"/>
    </i>
    <i>
      <x v="1785"/>
    </i>
    <i>
      <x v="1811"/>
    </i>
    <i>
      <x v="1914"/>
    </i>
    <i>
      <x v="1812"/>
    </i>
    <i>
      <x v="1751"/>
    </i>
    <i>
      <x v="1674"/>
    </i>
    <i>
      <x v="1882"/>
    </i>
    <i>
      <x v="1949"/>
    </i>
    <i>
      <x v="1728"/>
    </i>
    <i>
      <x v="1676"/>
    </i>
    <i>
      <x v="1901"/>
    </i>
    <i>
      <x v="1817"/>
    </i>
    <i>
      <x v="1740"/>
    </i>
    <i>
      <x v="1777"/>
    </i>
    <i>
      <x v="1748"/>
    </i>
    <i>
      <x v="1820"/>
    </i>
    <i>
      <x v="1750"/>
    </i>
    <i>
      <x v="1821"/>
    </i>
    <i>
      <x v="1756"/>
    </i>
    <i>
      <x v="1822"/>
    </i>
    <i>
      <x v="1683"/>
    </i>
    <i>
      <x v="1823"/>
    </i>
    <i>
      <x v="1725"/>
    </i>
    <i>
      <x v="1824"/>
    </i>
    <i>
      <x v="1889"/>
    </i>
    <i>
      <x v="1825"/>
    </i>
    <i>
      <x v="1895"/>
    </i>
    <i>
      <x v="1827"/>
    </i>
    <i>
      <x v="1698"/>
    </i>
    <i>
      <x v="1828"/>
    </i>
    <i>
      <x v="1786"/>
    </i>
    <i>
      <x v="1830"/>
    </i>
    <i>
      <x v="1702"/>
    </i>
    <i>
      <x v="1692"/>
    </i>
    <i>
      <x v="1744"/>
    </i>
    <i>
      <x v="1693"/>
    </i>
    <i>
      <x v="1707"/>
    </i>
    <i>
      <x v="1834"/>
    </i>
    <i>
      <x v="1789"/>
    </i>
    <i>
      <x v="1836"/>
    </i>
    <i>
      <x v="1792"/>
    </i>
    <i>
      <x v="1778"/>
    </i>
    <i>
      <x v="1797"/>
    </i>
    <i>
      <x v="1779"/>
    </i>
    <i>
      <x v="1687"/>
    </i>
    <i>
      <x v="1695"/>
    </i>
    <i>
      <x v="1757"/>
    </i>
    <i>
      <x v="1840"/>
    </i>
    <i>
      <x v="1806"/>
    </i>
    <i>
      <x v="1841"/>
    </i>
    <i>
      <x v="1696"/>
    </i>
    <i>
      <x v="1842"/>
    </i>
    <i>
      <x v="1883"/>
    </i>
    <i>
      <x v="1843"/>
    </i>
    <i>
      <x v="1727"/>
    </i>
    <i>
      <x v="1845"/>
    </i>
    <i>
      <x v="1888"/>
    </i>
    <i>
      <x v="1846"/>
    </i>
    <i>
      <x v="1890"/>
    </i>
    <i>
      <x v="1780"/>
    </i>
    <i>
      <x v="1731"/>
    </i>
    <i>
      <x v="1848"/>
    </i>
    <i>
      <x v="1896"/>
    </i>
    <i>
      <x v="1850"/>
    </i>
    <i>
      <x v="1697"/>
    </i>
    <i>
      <x v="1852"/>
    </i>
    <i>
      <x v="1900"/>
    </i>
    <i>
      <x v="1853"/>
    </i>
    <i>
      <x v="1902"/>
    </i>
    <i>
      <x v="1856"/>
    </i>
    <i>
      <x v="1699"/>
    </i>
    <i>
      <x v="1857"/>
    </i>
    <i>
      <x v="1700"/>
    </i>
    <i>
      <x v="1858"/>
    </i>
    <i>
      <x v="1704"/>
    </i>
    <i>
      <x v="1859"/>
    </i>
    <i>
      <x v="1742"/>
    </i>
    <i>
      <x v="1860"/>
    </i>
    <i>
      <x v="1705"/>
    </i>
    <i>
      <x v="1688"/>
    </i>
    <i>
      <x v="1706"/>
    </i>
    <i>
      <x v="1689"/>
    </i>
    <i>
      <x v="1787"/>
    </i>
    <i>
      <x v="1767"/>
    </i>
    <i>
      <x v="1788"/>
    </i>
    <i>
      <x v="1784"/>
    </i>
    <i>
      <x v="1790"/>
    </i>
    <i>
      <x v="1867"/>
    </i>
    <i>
      <x v="1680"/>
    </i>
    <i>
      <x v="1868"/>
    </i>
    <i>
      <x v="1794"/>
    </i>
    <i>
      <x v="1869"/>
    </i>
    <i>
      <x v="1795"/>
    </i>
    <i>
      <x v="1870"/>
    </i>
    <i>
      <x v="1800"/>
    </i>
    <i>
      <x v="1871"/>
    </i>
    <i>
      <x v="1753"/>
    </i>
    <i>
      <x v="1872"/>
    </i>
    <i>
      <x v="1754"/>
    </i>
    <i>
      <x v="1874"/>
    </i>
    <i>
      <x v="1804"/>
    </i>
    <i>
      <x v="1876"/>
    </i>
    <i>
      <x v="1681"/>
    </i>
    <i>
      <x v="1877"/>
    </i>
    <i>
      <x v="1682"/>
    </i>
    <i>
      <x v="1878"/>
    </i>
    <i>
      <x v="1774"/>
    </i>
    <i>
      <x v="1879"/>
    </i>
    <i>
      <x v="1808"/>
    </i>
    <i>
      <x v="1880"/>
    </i>
    <i>
      <x v="1862"/>
    </i>
    <i>
      <x v="1685"/>
    </i>
    <i>
      <x v="1864"/>
    </i>
    <i>
      <x v="1948"/>
    </i>
    <i>
      <x v="1865"/>
    </i>
    <i>
      <x v="1866"/>
    </i>
    <i>
      <x v="1675"/>
    </i>
    <i>
      <x v="1816"/>
    </i>
    <i>
      <x v="1815"/>
    </i>
    <i>
      <x v="1813"/>
    </i>
    <i>
      <x v="1659"/>
    </i>
    <i>
      <x v="1573"/>
    </i>
    <i>
      <x v="1561"/>
    </i>
    <i>
      <x v="1663"/>
    </i>
    <i>
      <x v="1574"/>
    </i>
    <i>
      <x v="1657"/>
    </i>
    <i>
      <x v="1575"/>
    </i>
    <i>
      <x v="1661"/>
    </i>
    <i>
      <x v="1567"/>
    </i>
    <i>
      <x v="1558"/>
    </i>
    <i>
      <x v="1412"/>
    </i>
    <i>
      <x v="1513"/>
    </i>
    <i>
      <x v="1568"/>
    </i>
    <i>
      <x v="1572"/>
    </i>
    <i>
      <x v="1537"/>
    </i>
    <i>
      <x v="1658"/>
    </i>
    <i>
      <x v="1570"/>
    </i>
    <i>
      <x v="1660"/>
    </i>
    <i>
      <x v="1571"/>
    </i>
    <i>
      <x v="1662"/>
    </i>
    <i>
      <x v="1564"/>
    </i>
    <i>
      <x v="1664"/>
    </i>
    <i>
      <x v="1541"/>
    </i>
    <i>
      <x v="1559"/>
    </i>
    <i>
      <x v="1547"/>
    </i>
    <i>
      <x v="1512"/>
    </i>
    <i>
      <x v="1653"/>
    </i>
    <i>
      <x v="1560"/>
    </i>
    <i>
      <x v="1654"/>
    </i>
    <i>
      <x v="1520"/>
    </i>
    <i>
      <x v="1655"/>
    </i>
    <i>
      <x v="1534"/>
    </i>
    <i>
      <x v="1162"/>
    </i>
    <i>
      <x v="1192"/>
    </i>
    <i>
      <x v="1232"/>
    </i>
    <i>
      <x v="1136"/>
    </i>
    <i>
      <x v="1539"/>
    </i>
    <i>
      <x v="1542"/>
    </i>
    <i>
      <x v="2664"/>
    </i>
    <i>
      <x v="2305"/>
    </i>
    <i>
      <x v="2182"/>
    </i>
    <i>
      <x v="1730"/>
    </i>
    <i>
      <x v="1814"/>
    </i>
    <i>
      <x v="2601"/>
    </i>
    <i>
      <x v="2670"/>
    </i>
    <i>
      <x v="2699"/>
    </i>
    <i>
      <x v="2272"/>
    </i>
    <i>
      <x v="2275"/>
    </i>
    <i>
      <x v="2265"/>
    </i>
    <i>
      <x v="2170"/>
    </i>
    <i>
      <x v="1826"/>
    </i>
    <i>
      <x v="1691"/>
    </i>
    <i>
      <x v="1703"/>
    </i>
    <i>
      <x v="1803"/>
    </i>
    <i>
      <x v="1546"/>
    </i>
    <i>
      <x v="2732"/>
    </i>
    <i>
      <x v="2538"/>
    </i>
    <i>
      <x v="2229"/>
    </i>
    <i>
      <x v="1892"/>
    </i>
    <i>
      <x v="1854"/>
    </i>
    <i>
      <x v="1752"/>
    </i>
    <i>
      <x v="2501"/>
    </i>
    <i>
      <x v="2553"/>
    </i>
    <i>
      <x v="2644"/>
    </i>
    <i>
      <x v="2673"/>
    </i>
    <i>
      <x v="2511"/>
    </i>
    <i>
      <x v="2758"/>
    </i>
    <i>
      <x v="2630"/>
    </i>
    <i>
      <x v="2767"/>
    </i>
    <i>
      <x v="2634"/>
    </i>
    <i>
      <x v="2512"/>
    </i>
    <i>
      <x v="2631"/>
    </i>
    <i>
      <x v="2645"/>
    </i>
    <i>
      <x v="2653"/>
    </i>
    <i>
      <x v="2593"/>
    </i>
    <i>
      <x v="2237"/>
    </i>
    <i>
      <x v="2241"/>
    </i>
    <i>
      <x v="2300"/>
    </i>
    <i>
      <x v="2292"/>
    </i>
    <i>
      <x v="2291"/>
    </i>
    <i>
      <x v="2310"/>
    </i>
    <i>
      <x v="2259"/>
    </i>
    <i>
      <x v="2199"/>
    </i>
    <i>
      <x v="2175"/>
    </i>
    <i>
      <x v="2127"/>
    </i>
    <i>
      <x v="2125"/>
    </i>
    <i>
      <x v="2153"/>
    </i>
    <i>
      <x v="2203"/>
    </i>
    <i>
      <x v="2219"/>
    </i>
    <i>
      <x v="1990"/>
    </i>
    <i>
      <x v="2172"/>
    </i>
    <i>
      <x v="1708"/>
    </i>
    <i>
      <x v="1829"/>
    </i>
    <i>
      <x v="1802"/>
    </i>
    <i>
      <x v="1844"/>
    </i>
    <i>
      <x v="1798"/>
    </i>
    <i>
      <x v="1701"/>
    </i>
    <i>
      <x v="1863"/>
    </i>
    <i>
      <x v="1851"/>
    </i>
    <i>
      <x v="1677"/>
    </i>
    <i>
      <x v="1873"/>
    </i>
    <i>
      <x v="1535"/>
    </i>
    <i>
      <x v="1590"/>
    </i>
    <i>
      <x v="1650"/>
    </i>
    <i>
      <x v="1566"/>
    </i>
    <i>
      <x v="2686"/>
    </i>
    <i>
      <x v="1545"/>
    </i>
    <i>
      <x v="2574"/>
    </i>
    <i>
      <x v="2459"/>
    </i>
    <i>
      <x v="2286"/>
    </i>
    <i>
      <x v="2319"/>
    </i>
    <i>
      <x v="2295"/>
    </i>
    <i>
      <x v="2114"/>
    </i>
    <i>
      <x v="2171"/>
    </i>
    <i>
      <x v="2131"/>
    </i>
    <i>
      <x v="1729"/>
    </i>
    <i>
      <x v="1835"/>
    </i>
    <i>
      <x v="2597"/>
    </i>
    <i>
      <x v="2497"/>
    </i>
    <i>
      <x v="56"/>
    </i>
    <i>
      <x v="1515"/>
    </i>
    <i>
      <x v="2584"/>
    </i>
    <i>
      <x v="2696"/>
    </i>
    <i>
      <x v="2692"/>
    </i>
    <i>
      <x v="1891"/>
    </i>
    <i>
      <x v="932"/>
    </i>
    <i>
      <x v="2661"/>
    </i>
    <i>
      <x v="2713"/>
    </i>
    <i>
      <x v="2312"/>
    </i>
    <i>
      <x v="1775"/>
    </i>
    <i>
      <x v="1726"/>
    </i>
    <i>
      <x v="1576"/>
    </i>
    <i>
      <x v="2539"/>
    </i>
    <i>
      <x v="2563"/>
    </i>
    <i>
      <x v="2247"/>
    </i>
    <i>
      <x v="2468"/>
    </i>
    <i>
      <x v="2184"/>
    </i>
    <i>
      <x v="2201"/>
    </i>
    <i>
      <x v="1796"/>
    </i>
    <i>
      <x v="1551"/>
    </i>
    <i>
      <x v="1250"/>
    </i>
    <i>
      <x v="1252"/>
    </i>
    <i>
      <x v="1027"/>
    </i>
    <i>
      <x v="2531"/>
    </i>
    <i>
      <x v="2540"/>
    </i>
    <i>
      <x v="2111"/>
    </i>
    <i>
      <x v="2558"/>
    </i>
    <i>
      <x v="2623"/>
    </i>
    <i>
      <x v="2657"/>
    </i>
    <i>
      <x v="2542"/>
    </i>
    <i>
      <x v="2734"/>
    </i>
    <i>
      <x v="2551"/>
    </i>
    <i>
      <x v="2697"/>
    </i>
    <i>
      <x v="2290"/>
    </i>
    <i>
      <x v="1956"/>
    </i>
    <i>
      <x v="1904"/>
    </i>
    <i>
      <x v="1855"/>
    </i>
    <i>
      <x v="1776"/>
    </i>
    <i>
      <x v="929"/>
    </i>
    <i>
      <x v="2724"/>
    </i>
    <i>
      <x v="2705"/>
    </i>
    <i>
      <x v="2556"/>
    </i>
    <i>
      <x v="2301"/>
    </i>
    <i>
      <x v="1886"/>
    </i>
    <i>
      <x v="2719"/>
    </i>
    <i>
      <x v="2287"/>
    </i>
    <i>
      <x v="2258"/>
    </i>
    <i>
      <x v="2505"/>
    </i>
    <i>
      <x v="2139"/>
    </i>
    <i>
      <x v="1793"/>
    </i>
    <i>
      <x v="1733"/>
    </i>
    <i>
      <x v="1799"/>
    </i>
    <i>
      <x v="1679"/>
    </i>
    <i>
      <x v="1577"/>
    </i>
    <i>
      <x v="1569"/>
    </i>
    <i>
      <x v="1563"/>
    </i>
    <i>
      <x v="1006"/>
    </i>
    <i>
      <x v="1955"/>
    </i>
    <i>
      <x v="2588"/>
    </i>
    <i>
      <x v="2293"/>
    </i>
    <i>
      <x v="2227"/>
    </i>
    <i>
      <x v="2528"/>
    </i>
    <i>
      <x v="524"/>
    </i>
    <i>
      <x v="2687"/>
    </i>
    <i>
      <x v="2507"/>
    </i>
    <i>
      <x v="1875"/>
    </i>
    <i>
      <x v="1743"/>
    </i>
    <i>
      <x v="1849"/>
    </i>
    <i>
      <x v="1488"/>
    </i>
    <i>
      <x v="1623"/>
    </i>
    <i>
      <x v="1652"/>
    </i>
    <i>
      <x v="1404"/>
    </i>
    <i>
      <x v="1624"/>
    </i>
    <i>
      <x v="1604"/>
    </i>
    <i>
      <x v="1609"/>
    </i>
    <i>
      <x v="1254"/>
    </i>
    <i>
      <x v="2158"/>
    </i>
    <i>
      <x v="2273"/>
    </i>
    <i>
      <x v="488"/>
    </i>
    <i>
      <x v="2104"/>
    </i>
    <i>
      <x v="2739"/>
    </i>
    <i>
      <x v="2642"/>
    </i>
    <i>
      <x v="2628"/>
    </i>
    <i>
      <x v="2332"/>
    </i>
    <i>
      <x v="1861"/>
    </i>
    <i>
      <x v="1304"/>
    </i>
    <i>
      <x v="43"/>
    </i>
    <i>
      <x v="2302"/>
    </i>
    <i>
      <x v="2592"/>
    </i>
    <i>
      <x v="2543"/>
    </i>
    <i>
      <x v="1755"/>
    </i>
    <i>
      <x v="2124"/>
    </i>
    <i>
      <x v="2074"/>
    </i>
    <i>
      <x v="2105"/>
    </i>
    <i>
      <x v="2530"/>
    </i>
    <i>
      <x v="2532"/>
    </i>
    <i>
      <x v="2533"/>
    </i>
    <i>
      <x v="2186"/>
    </i>
    <i>
      <x v="2223"/>
    </i>
    <i>
      <x v="138"/>
    </i>
    <i>
      <x v="2756"/>
    </i>
    <i>
      <x v="2552"/>
    </i>
    <i>
      <x v="2534"/>
    </i>
    <i>
      <x v="2668"/>
    </i>
    <i>
      <x v="2667"/>
    </i>
    <i>
      <x v="2264"/>
    </i>
    <i>
      <x v="2230"/>
    </i>
    <i>
      <x v="2099"/>
    </i>
    <i>
      <x v="2119"/>
    </i>
    <i>
      <x v="2090"/>
    </i>
    <i>
      <x v="2147"/>
    </i>
    <i>
      <x v="1972"/>
    </i>
    <i>
      <x v="1973"/>
    </i>
    <i>
      <x v="1971"/>
    </i>
    <i>
      <x v="2077"/>
    </i>
    <i>
      <x v="2225"/>
    </i>
    <i>
      <x v="1741"/>
    </i>
    <i>
      <x v="1783"/>
    </i>
    <i>
      <x v="1833"/>
    </i>
    <i>
      <x v="1819"/>
    </i>
    <i>
      <x v="1665"/>
    </i>
    <i>
      <x v="1065"/>
    </i>
    <i>
      <x v="933"/>
    </i>
    <i>
      <x v="401"/>
    </i>
    <i>
      <x v="270"/>
    </i>
    <i>
      <x v="480"/>
    </i>
    <i>
      <x v="137"/>
    </i>
    <i>
      <x v="1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ward Amount" fld="1" baseField="0" baseItem="0" numFmtId="164"/>
    <dataField name="%" fld="1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3F3E7-97AF-7F43-89FF-7E00A798F423}" name="PivotTable3" cacheId="65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>
  <location ref="J1" firstHeaderRow="0" firstDataRow="0" firstDataCol="0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82">
        <item x="1173"/>
        <item x="422"/>
        <item x="2040"/>
        <item x="2750"/>
        <item x="481"/>
        <item x="2369"/>
        <item x="296"/>
        <item x="411"/>
        <item x="1251"/>
        <item x="1978"/>
        <item x="2769"/>
        <item x="409"/>
        <item x="256"/>
        <item x="1735"/>
        <item x="2687"/>
        <item x="2720"/>
        <item x="2756"/>
        <item x="600"/>
        <item x="1004"/>
        <item x="869"/>
        <item x="2724"/>
        <item x="1836"/>
        <item x="2325"/>
        <item x="2777"/>
        <item x="494"/>
        <item x="50"/>
        <item x="667"/>
        <item x="2714"/>
        <item x="55"/>
        <item x="1096"/>
        <item x="196"/>
        <item x="178"/>
        <item x="1833"/>
        <item x="147"/>
        <item x="1930"/>
        <item x="509"/>
        <item x="1738"/>
        <item x="255"/>
        <item x="51"/>
        <item x="35"/>
        <item x="232"/>
        <item x="2737"/>
        <item x="2761"/>
        <item x="2045"/>
        <item x="1974"/>
        <item x="247"/>
        <item x="1763"/>
        <item x="518"/>
        <item x="426"/>
        <item x="1095"/>
        <item x="209"/>
        <item x="427"/>
        <item x="2778"/>
        <item x="554"/>
        <item x="405"/>
        <item x="453"/>
        <item x="2421"/>
        <item x="2427"/>
        <item x="475"/>
        <item x="2186"/>
        <item x="268"/>
        <item x="1079"/>
        <item x="2304"/>
        <item x="2774"/>
        <item x="2733"/>
        <item x="1996"/>
        <item x="2702"/>
        <item x="1421"/>
        <item x="152"/>
        <item x="1912"/>
        <item x="2470"/>
        <item x="192"/>
        <item x="1459"/>
        <item x="177"/>
        <item x="2227"/>
        <item x="12"/>
        <item x="210"/>
        <item x="2688"/>
        <item x="21"/>
        <item x="993"/>
        <item x="161"/>
        <item x="23"/>
        <item x="25"/>
        <item x="1078"/>
        <item x="1215"/>
        <item x="10"/>
        <item x="1832"/>
        <item x="571"/>
        <item x="1053"/>
        <item x="1723"/>
        <item x="2775"/>
        <item x="459"/>
        <item x="17"/>
        <item x="483"/>
        <item x="542"/>
        <item x="18"/>
        <item x="2718"/>
        <item x="1002"/>
        <item x="2351"/>
        <item x="1209"/>
        <item x="252"/>
        <item x="1164"/>
        <item x="419"/>
        <item x="1909"/>
        <item x="1422"/>
        <item x="1054"/>
        <item x="5"/>
        <item x="561"/>
        <item x="2691"/>
        <item x="1473"/>
        <item x="410"/>
        <item x="2649"/>
        <item x="1045"/>
        <item x="811"/>
        <item x="2758"/>
        <item x="908"/>
        <item x="2736"/>
        <item x="1843"/>
        <item x="160"/>
        <item x="1073"/>
        <item x="1072"/>
        <item x="1"/>
        <item x="206"/>
        <item x="537"/>
        <item x="1216"/>
        <item x="2725"/>
        <item x="519"/>
        <item x="918"/>
        <item x="1231"/>
        <item x="1983"/>
        <item x="2717"/>
        <item x="2249"/>
        <item x="1172"/>
        <item x="172"/>
        <item x="461"/>
        <item x="516"/>
        <item x="173"/>
        <item x="2187"/>
        <item x="2291"/>
        <item x="1120"/>
        <item x="1097"/>
        <item x="2044"/>
        <item x="1874"/>
        <item x="2747"/>
        <item x="1889"/>
        <item x="1472"/>
        <item x="1838"/>
        <item x="1379"/>
        <item x="2189"/>
        <item x="1487"/>
        <item x="184"/>
        <item x="1894"/>
        <item x="2716"/>
        <item x="1098"/>
        <item x="2766"/>
        <item x="402"/>
        <item x="2754"/>
        <item x="1110"/>
        <item x="1055"/>
        <item x="2753"/>
        <item x="2"/>
        <item x="2276"/>
        <item x="248"/>
        <item x="999"/>
        <item x="416"/>
        <item x="1087"/>
        <item x="2752"/>
        <item x="642"/>
        <item x="515"/>
        <item x="2723"/>
        <item x="1111"/>
        <item x="1998"/>
        <item x="2767"/>
        <item x="508"/>
        <item x="2744"/>
        <item x="414"/>
        <item x="1401"/>
        <item x="159"/>
        <item x="2405"/>
        <item x="1817"/>
        <item x="2005"/>
        <item x="22"/>
        <item x="425"/>
        <item x="2703"/>
        <item x="524"/>
        <item x="2683"/>
        <item x="2645"/>
        <item x="1424"/>
        <item x="480"/>
        <item x="1301"/>
        <item x="556"/>
        <item x="1356"/>
        <item x="865"/>
        <item x="2428"/>
        <item x="0"/>
        <item x="54"/>
        <item x="1377"/>
        <item x="546"/>
        <item x="1229"/>
        <item x="234"/>
        <item x="163"/>
        <item x="439"/>
        <item x="553"/>
        <item x="1026"/>
        <item x="273"/>
        <item x="1056"/>
        <item x="1075"/>
        <item x="1370"/>
        <item x="1089"/>
        <item x="29"/>
        <item x="2295"/>
        <item x="2041"/>
        <item x="1288"/>
        <item x="482"/>
        <item x="438"/>
        <item x="478"/>
        <item x="2696"/>
        <item x="1143"/>
        <item x="149"/>
        <item x="2712"/>
        <item x="1112"/>
        <item x="1517"/>
        <item x="2781"/>
        <item x="1074"/>
        <item x="429"/>
        <item x="180"/>
        <item x="195"/>
        <item x="1099"/>
        <item x="2076"/>
        <item x="1744"/>
        <item x="2229"/>
        <item x="1890"/>
        <item x="424"/>
        <item x="568"/>
        <item x="2000"/>
        <item x="520"/>
        <item x="1195"/>
        <item x="599"/>
        <item x="1094"/>
        <item x="1081"/>
        <item x="1076"/>
        <item x="2001"/>
        <item x="2253"/>
        <item x="421"/>
        <item x="1218"/>
        <item x="2443"/>
        <item x="146"/>
        <item x="1067"/>
        <item x="420"/>
        <item x="2004"/>
        <item x="2006"/>
        <item x="157"/>
        <item x="1063"/>
        <item x="2701"/>
        <item x="2770"/>
        <item x="2732"/>
        <item x="2762"/>
        <item x="1988"/>
        <item x="1873"/>
        <item x="1174"/>
        <item x="266"/>
        <item x="179"/>
        <item x="1113"/>
        <item x="1858"/>
        <item x="2704"/>
        <item x="901"/>
        <item x="1107"/>
        <item x="56"/>
        <item x="225"/>
        <item x="545"/>
        <item x="2728"/>
        <item x="186"/>
        <item x="174"/>
        <item x="2046"/>
        <item x="2673"/>
        <item x="2697"/>
        <item x="536"/>
        <item x="2726"/>
        <item x="535"/>
        <item x="253"/>
        <item x="2286"/>
        <item x="2743"/>
        <item x="1404"/>
        <item x="171"/>
        <item x="1840"/>
        <item x="2738"/>
        <item x="1108"/>
        <item x="998"/>
        <item x="2255"/>
        <item x="1264"/>
        <item x="1080"/>
        <item x="2694"/>
        <item x="1114"/>
        <item x="1250"/>
        <item x="1057"/>
        <item x="2226"/>
        <item x="264"/>
        <item x="1228"/>
        <item x="2757"/>
        <item x="237"/>
        <item x="1341"/>
        <item x="2416"/>
        <item x="1365"/>
        <item x="275"/>
        <item x="249"/>
        <item x="538"/>
        <item x="31"/>
        <item x="1105"/>
        <item x="954"/>
        <item x="1901"/>
        <item x="246"/>
        <item x="1919"/>
        <item x="1842"/>
        <item x="2740"/>
        <item x="2709"/>
        <item x="1869"/>
        <item x="1100"/>
        <item x="2759"/>
        <item x="1893"/>
        <item x="151"/>
        <item x="1118"/>
        <item x="2686"/>
        <item x="2689"/>
        <item x="1064"/>
        <item x="1255"/>
        <item x="997"/>
        <item x="2094"/>
        <item x="185"/>
        <item x="1743"/>
        <item x="1050"/>
        <item x="1029"/>
        <item x="1044"/>
        <item x="1090"/>
        <item x="226"/>
        <item x="2409"/>
        <item x="1621"/>
        <item x="2711"/>
        <item x="2278"/>
        <item x="138"/>
        <item x="732"/>
        <item x="2719"/>
        <item x="2430"/>
        <item x="2096"/>
        <item x="2727"/>
        <item x="994"/>
        <item x="555"/>
        <item x="1115"/>
        <item x="1066"/>
        <item x="2435"/>
        <item x="1256"/>
        <item x="1086"/>
        <item x="2708"/>
        <item x="2650"/>
        <item x="523"/>
        <item x="1196"/>
        <item x="1950"/>
        <item x="1971"/>
        <item x="474"/>
        <item x="1116"/>
        <item x="2690"/>
        <item x="526"/>
        <item x="484"/>
        <item x="158"/>
        <item x="2772"/>
        <item x="1844"/>
        <item x="1854"/>
        <item x="1900"/>
        <item x="14"/>
        <item x="2700"/>
        <item x="269"/>
        <item x="1857"/>
        <item x="1058"/>
        <item x="1217"/>
        <item x="1065"/>
        <item x="1841"/>
        <item x="1470"/>
        <item x="1252"/>
        <item x="1093"/>
        <item x="1092"/>
        <item x="1091"/>
        <item x="403"/>
        <item x="1069"/>
        <item x="241"/>
        <item x="245"/>
        <item x="2240"/>
        <item x="2745"/>
        <item x="2374"/>
        <item x="11"/>
        <item x="1465"/>
        <item x="1070"/>
        <item x="1068"/>
        <item x="1383"/>
        <item x="1077"/>
        <item x="344"/>
        <item x="244"/>
        <item x="1104"/>
        <item x="1835"/>
        <item x="136"/>
        <item x="271"/>
        <item x="1039"/>
        <item x="1471"/>
        <item x="2417"/>
        <item x="137"/>
        <item x="274"/>
        <item x="2002"/>
        <item x="1219"/>
        <item x="2231"/>
        <item x="2765"/>
        <item x="1071"/>
        <item x="52"/>
        <item x="1083"/>
        <item x="1038"/>
        <item x="2695"/>
        <item x="1117"/>
        <item x="2706"/>
        <item x="1059"/>
        <item x="1911"/>
        <item x="2095"/>
        <item x="1441"/>
        <item x="412"/>
        <item x="283"/>
        <item x="883"/>
        <item x="1467"/>
        <item x="2454"/>
        <item x="233"/>
        <item x="272"/>
        <item x="2429"/>
        <item x="2710"/>
        <item x="208"/>
        <item x="2742"/>
        <item x="1052"/>
        <item x="1101"/>
        <item x="1895"/>
        <item x="1402"/>
        <item x="522"/>
        <item x="2272"/>
        <item x="16"/>
        <item x="551"/>
        <item x="2519"/>
        <item x="15"/>
        <item x="30"/>
        <item x="415"/>
        <item x="1119"/>
        <item x="2408"/>
        <item x="2420"/>
        <item x="434"/>
        <item x="1035"/>
        <item x="1272"/>
        <item x="2707"/>
        <item x="148"/>
        <item x="2003"/>
        <item x="2749"/>
        <item x="1060"/>
        <item x="2020"/>
        <item x="1757"/>
        <item x="1987"/>
        <item x="1845"/>
        <item x="2685"/>
        <item x="20"/>
        <item x="2755"/>
        <item x="2097"/>
        <item x="557"/>
        <item x="254"/>
        <item x="1082"/>
        <item x="2698"/>
        <item x="2721"/>
        <item x="53"/>
        <item x="1834"/>
        <item x="155"/>
        <item x="1102"/>
        <item x="1375"/>
        <item x="2713"/>
        <item x="428"/>
        <item x="2432"/>
        <item x="1061"/>
        <item x="479"/>
        <item x="2386"/>
        <item x="2412"/>
        <item x="413"/>
        <item x="1300"/>
        <item x="2235"/>
        <item x="1355"/>
        <item x="2257"/>
        <item x="1839"/>
        <item x="521"/>
        <item x="2748"/>
        <item x="141"/>
        <item x="13"/>
        <item x="2411"/>
        <item x="267"/>
        <item x="2764"/>
        <item x="9"/>
        <item x="2355"/>
        <item x="1357"/>
        <item x="514"/>
        <item x="1632"/>
        <item x="2019"/>
        <item x="1883"/>
        <item x="1734"/>
        <item x="867"/>
        <item x="2705"/>
        <item x="1736"/>
        <item x="418"/>
        <item x="2715"/>
        <item x="143"/>
        <item x="462"/>
        <item x="1400"/>
        <item x="1469"/>
        <item x="1876"/>
        <item x="2751"/>
        <item x="2692"/>
        <item x="1088"/>
        <item x="7"/>
        <item x="162"/>
        <item x="1423"/>
        <item x="2773"/>
        <item x="1124"/>
        <item x="2776"/>
        <item x="1028"/>
        <item x="230"/>
        <item x="2693"/>
        <item x="2315"/>
        <item x="1816"/>
        <item x="543"/>
        <item x="1997"/>
        <item x="2699"/>
        <item x="2277"/>
        <item x="2746"/>
        <item x="1910"/>
        <item x="1468"/>
        <item x="417"/>
        <item x="2722"/>
        <item x="2298"/>
        <item x="1831"/>
        <item x="142"/>
        <item x="1299"/>
        <item x="2254"/>
        <item x="511"/>
        <item x="1772"/>
        <item x="878"/>
        <item x="164"/>
        <item x="1339"/>
        <item x="2730"/>
        <item x="2288"/>
        <item x="513"/>
        <item x="423"/>
        <item x="1062"/>
        <item x="903"/>
        <item x="224"/>
        <item x="2256"/>
        <item x="517"/>
        <item x="1397"/>
        <item x="3"/>
        <item x="4"/>
        <item x="6"/>
        <item x="8"/>
        <item x="19"/>
        <item x="24"/>
        <item x="26"/>
        <item x="27"/>
        <item x="28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9"/>
        <item x="140"/>
        <item x="144"/>
        <item x="145"/>
        <item x="150"/>
        <item x="153"/>
        <item x="154"/>
        <item x="156"/>
        <item x="165"/>
        <item x="166"/>
        <item x="167"/>
        <item x="168"/>
        <item x="169"/>
        <item x="170"/>
        <item x="175"/>
        <item x="176"/>
        <item x="181"/>
        <item x="182"/>
        <item x="183"/>
        <item x="187"/>
        <item x="188"/>
        <item x="189"/>
        <item x="190"/>
        <item x="191"/>
        <item x="193"/>
        <item x="194"/>
        <item x="197"/>
        <item x="198"/>
        <item x="199"/>
        <item x="200"/>
        <item x="201"/>
        <item x="202"/>
        <item x="203"/>
        <item x="204"/>
        <item x="205"/>
        <item x="207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7"/>
        <item x="228"/>
        <item x="229"/>
        <item x="231"/>
        <item x="235"/>
        <item x="236"/>
        <item x="238"/>
        <item x="239"/>
        <item x="240"/>
        <item x="242"/>
        <item x="243"/>
        <item x="250"/>
        <item x="251"/>
        <item x="257"/>
        <item x="258"/>
        <item x="259"/>
        <item x="260"/>
        <item x="261"/>
        <item x="262"/>
        <item x="263"/>
        <item x="265"/>
        <item x="270"/>
        <item x="276"/>
        <item x="277"/>
        <item x="278"/>
        <item x="279"/>
        <item x="280"/>
        <item x="281"/>
        <item x="282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4"/>
        <item x="406"/>
        <item x="407"/>
        <item x="408"/>
        <item x="430"/>
        <item x="431"/>
        <item x="432"/>
        <item x="433"/>
        <item x="435"/>
        <item x="436"/>
        <item x="437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4"/>
        <item x="455"/>
        <item x="456"/>
        <item x="457"/>
        <item x="458"/>
        <item x="460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6"/>
        <item x="477"/>
        <item x="485"/>
        <item x="486"/>
        <item x="487"/>
        <item x="488"/>
        <item x="489"/>
        <item x="490"/>
        <item x="491"/>
        <item x="492"/>
        <item x="493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10"/>
        <item x="512"/>
        <item x="525"/>
        <item x="527"/>
        <item x="528"/>
        <item x="529"/>
        <item x="530"/>
        <item x="531"/>
        <item x="532"/>
        <item x="533"/>
        <item x="534"/>
        <item x="539"/>
        <item x="540"/>
        <item x="541"/>
        <item x="544"/>
        <item x="547"/>
        <item x="548"/>
        <item x="549"/>
        <item x="550"/>
        <item x="552"/>
        <item x="558"/>
        <item x="559"/>
        <item x="560"/>
        <item x="562"/>
        <item x="563"/>
        <item x="564"/>
        <item x="565"/>
        <item x="566"/>
        <item x="567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6"/>
        <item x="868"/>
        <item x="870"/>
        <item x="871"/>
        <item x="872"/>
        <item x="873"/>
        <item x="874"/>
        <item x="875"/>
        <item x="876"/>
        <item x="877"/>
        <item x="879"/>
        <item x="880"/>
        <item x="881"/>
        <item x="882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4"/>
        <item x="905"/>
        <item x="906"/>
        <item x="907"/>
        <item x="909"/>
        <item x="910"/>
        <item x="911"/>
        <item x="912"/>
        <item x="913"/>
        <item x="914"/>
        <item x="915"/>
        <item x="916"/>
        <item x="917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5"/>
        <item x="996"/>
        <item x="1000"/>
        <item x="1001"/>
        <item x="1003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7"/>
        <item x="1030"/>
        <item x="1031"/>
        <item x="1032"/>
        <item x="1033"/>
        <item x="1034"/>
        <item x="1036"/>
        <item x="1037"/>
        <item x="1040"/>
        <item x="1041"/>
        <item x="1042"/>
        <item x="1043"/>
        <item x="1046"/>
        <item x="1047"/>
        <item x="1048"/>
        <item x="1049"/>
        <item x="1051"/>
        <item x="1084"/>
        <item x="1085"/>
        <item x="1103"/>
        <item x="1106"/>
        <item x="1109"/>
        <item x="1121"/>
        <item x="1122"/>
        <item x="1123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5"/>
        <item x="1166"/>
        <item x="1167"/>
        <item x="1168"/>
        <item x="1169"/>
        <item x="1170"/>
        <item x="1171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10"/>
        <item x="1211"/>
        <item x="1212"/>
        <item x="1213"/>
        <item x="1214"/>
        <item x="1220"/>
        <item x="1221"/>
        <item x="1222"/>
        <item x="1223"/>
        <item x="1224"/>
        <item x="1225"/>
        <item x="1226"/>
        <item x="1227"/>
        <item x="1230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3"/>
        <item x="1254"/>
        <item x="1257"/>
        <item x="1258"/>
        <item x="1259"/>
        <item x="1260"/>
        <item x="1261"/>
        <item x="1262"/>
        <item x="1263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9"/>
        <item x="1290"/>
        <item x="1291"/>
        <item x="1292"/>
        <item x="1293"/>
        <item x="1294"/>
        <item x="1295"/>
        <item x="1296"/>
        <item x="1297"/>
        <item x="1298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40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8"/>
        <item x="1359"/>
        <item x="1360"/>
        <item x="1361"/>
        <item x="1362"/>
        <item x="1363"/>
        <item x="1364"/>
        <item x="1366"/>
        <item x="1367"/>
        <item x="1368"/>
        <item x="1369"/>
        <item x="1371"/>
        <item x="1372"/>
        <item x="1373"/>
        <item x="1374"/>
        <item x="1376"/>
        <item x="1378"/>
        <item x="1380"/>
        <item x="1381"/>
        <item x="1382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8"/>
        <item x="1399"/>
        <item x="1403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60"/>
        <item x="1461"/>
        <item x="1462"/>
        <item x="1463"/>
        <item x="1464"/>
        <item x="1466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2"/>
        <item x="1623"/>
        <item x="1624"/>
        <item x="1625"/>
        <item x="1626"/>
        <item x="1627"/>
        <item x="1628"/>
        <item x="1629"/>
        <item x="1630"/>
        <item x="1631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4"/>
        <item x="1725"/>
        <item x="1726"/>
        <item x="1727"/>
        <item x="1728"/>
        <item x="1729"/>
        <item x="1730"/>
        <item x="1731"/>
        <item x="1732"/>
        <item x="1733"/>
        <item x="1737"/>
        <item x="1739"/>
        <item x="1740"/>
        <item x="1741"/>
        <item x="1742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8"/>
        <item x="1759"/>
        <item x="1760"/>
        <item x="1761"/>
        <item x="1762"/>
        <item x="1764"/>
        <item x="1765"/>
        <item x="1766"/>
        <item x="1767"/>
        <item x="1768"/>
        <item x="1769"/>
        <item x="1770"/>
        <item x="1771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7"/>
        <item x="1846"/>
        <item x="1847"/>
        <item x="1848"/>
        <item x="1849"/>
        <item x="1850"/>
        <item x="1851"/>
        <item x="1852"/>
        <item x="1853"/>
        <item x="1855"/>
        <item x="1856"/>
        <item x="1859"/>
        <item x="1860"/>
        <item x="1861"/>
        <item x="1862"/>
        <item x="1863"/>
        <item x="1864"/>
        <item x="1865"/>
        <item x="1866"/>
        <item x="1867"/>
        <item x="1868"/>
        <item x="1870"/>
        <item x="1871"/>
        <item x="1872"/>
        <item x="1875"/>
        <item x="1877"/>
        <item x="1878"/>
        <item x="1879"/>
        <item x="1880"/>
        <item x="1881"/>
        <item x="1882"/>
        <item x="1884"/>
        <item x="1885"/>
        <item x="1886"/>
        <item x="1887"/>
        <item x="1888"/>
        <item x="1891"/>
        <item x="1892"/>
        <item x="1896"/>
        <item x="1897"/>
        <item x="1898"/>
        <item x="1899"/>
        <item x="1902"/>
        <item x="1903"/>
        <item x="1904"/>
        <item x="1905"/>
        <item x="1906"/>
        <item x="1907"/>
        <item x="1908"/>
        <item x="1913"/>
        <item x="1914"/>
        <item x="1915"/>
        <item x="1916"/>
        <item x="1917"/>
        <item x="1918"/>
        <item x="1920"/>
        <item x="1921"/>
        <item x="1922"/>
        <item x="1923"/>
        <item x="1924"/>
        <item x="1925"/>
        <item x="1926"/>
        <item x="1927"/>
        <item x="1928"/>
        <item x="1929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2"/>
        <item x="1973"/>
        <item x="1975"/>
        <item x="1976"/>
        <item x="1977"/>
        <item x="1979"/>
        <item x="1980"/>
        <item x="1981"/>
        <item x="1982"/>
        <item x="1984"/>
        <item x="1985"/>
        <item x="1986"/>
        <item x="1989"/>
        <item x="1990"/>
        <item x="1991"/>
        <item x="1992"/>
        <item x="1993"/>
        <item x="1994"/>
        <item x="1995"/>
        <item x="1999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2"/>
        <item x="2043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8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8"/>
        <item x="2230"/>
        <item x="2232"/>
        <item x="2233"/>
        <item x="2234"/>
        <item x="2236"/>
        <item x="2237"/>
        <item x="2238"/>
        <item x="2239"/>
        <item x="2241"/>
        <item x="2242"/>
        <item x="2243"/>
        <item x="2244"/>
        <item x="2245"/>
        <item x="2246"/>
        <item x="2247"/>
        <item x="2248"/>
        <item x="2250"/>
        <item x="2251"/>
        <item x="2252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3"/>
        <item x="2274"/>
        <item x="2275"/>
        <item x="2279"/>
        <item x="2280"/>
        <item x="2281"/>
        <item x="2282"/>
        <item x="2283"/>
        <item x="2284"/>
        <item x="2285"/>
        <item x="2287"/>
        <item x="2289"/>
        <item x="2290"/>
        <item x="2292"/>
        <item x="2293"/>
        <item x="2294"/>
        <item x="2296"/>
        <item x="2297"/>
        <item x="2299"/>
        <item x="2300"/>
        <item x="2301"/>
        <item x="2302"/>
        <item x="2303"/>
        <item x="2305"/>
        <item x="2306"/>
        <item x="2307"/>
        <item x="2308"/>
        <item x="2309"/>
        <item x="2310"/>
        <item x="2311"/>
        <item x="2312"/>
        <item x="2313"/>
        <item x="2314"/>
        <item x="2316"/>
        <item x="2317"/>
        <item x="2318"/>
        <item x="2319"/>
        <item x="2320"/>
        <item x="2321"/>
        <item x="2322"/>
        <item x="2323"/>
        <item x="2324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2"/>
        <item x="2353"/>
        <item x="2354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70"/>
        <item x="2371"/>
        <item x="2372"/>
        <item x="2373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6"/>
        <item x="2407"/>
        <item x="2410"/>
        <item x="2413"/>
        <item x="2414"/>
        <item x="2415"/>
        <item x="2418"/>
        <item x="2419"/>
        <item x="2422"/>
        <item x="2423"/>
        <item x="2424"/>
        <item x="2425"/>
        <item x="2426"/>
        <item x="2431"/>
        <item x="2433"/>
        <item x="2434"/>
        <item x="2436"/>
        <item x="2437"/>
        <item x="2438"/>
        <item x="2439"/>
        <item x="2440"/>
        <item x="2441"/>
        <item x="2442"/>
        <item x="2444"/>
        <item x="2445"/>
        <item x="2446"/>
        <item x="2447"/>
        <item x="2448"/>
        <item x="2449"/>
        <item x="2450"/>
        <item x="2451"/>
        <item x="2452"/>
        <item x="2453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6"/>
        <item x="2647"/>
        <item x="2648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4"/>
        <item x="2675"/>
        <item x="2676"/>
        <item x="2677"/>
        <item x="2678"/>
        <item x="2679"/>
        <item x="2680"/>
        <item x="2681"/>
        <item x="2682"/>
        <item x="2684"/>
        <item x="2729"/>
        <item x="2731"/>
        <item x="2734"/>
        <item x="2735"/>
        <item x="2739"/>
        <item x="2741"/>
        <item x="2760"/>
        <item x="2763"/>
        <item x="2768"/>
        <item x="2771"/>
        <item x="2779"/>
        <item x="27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2">
        <item x="32"/>
        <item x="6"/>
        <item x="8"/>
        <item x="0"/>
        <item x="13"/>
        <item x="11"/>
        <item x="4"/>
        <item x="34"/>
        <item x="30"/>
        <item x="24"/>
        <item x="20"/>
        <item x="27"/>
        <item x="12"/>
        <item x="9"/>
        <item x="3"/>
        <item x="28"/>
        <item x="37"/>
        <item x="2"/>
        <item x="29"/>
        <item x="23"/>
        <item x="40"/>
        <item x="10"/>
        <item x="14"/>
        <item x="5"/>
        <item x="15"/>
        <item x="19"/>
        <item x="41"/>
        <item x="33"/>
        <item x="18"/>
        <item x="16"/>
        <item x="17"/>
        <item x="7"/>
        <item x="39"/>
        <item x="25"/>
        <item x="31"/>
        <item x="1"/>
        <item x="21"/>
        <item x="22"/>
        <item x="26"/>
        <item x="35"/>
        <item x="36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3"/>
  </rowFields>
  <rowItems count="3392">
    <i>
      <x/>
      <x v="344"/>
    </i>
    <i r="1">
      <x v="447"/>
    </i>
    <i>
      <x v="1"/>
      <x v="4"/>
    </i>
    <i r="1">
      <x v="9"/>
    </i>
    <i r="1">
      <x v="12"/>
    </i>
    <i r="1">
      <x v="23"/>
    </i>
    <i r="1">
      <x v="24"/>
    </i>
    <i r="1">
      <x v="25"/>
    </i>
    <i r="1">
      <x v="27"/>
    </i>
    <i r="1">
      <x v="28"/>
    </i>
    <i r="1">
      <x v="32"/>
    </i>
    <i r="1">
      <x v="46"/>
    </i>
    <i r="1">
      <x v="48"/>
    </i>
    <i r="1">
      <x v="52"/>
    </i>
    <i r="1">
      <x v="57"/>
    </i>
    <i r="1">
      <x v="63"/>
    </i>
    <i r="1">
      <x v="73"/>
    </i>
    <i r="1">
      <x v="80"/>
    </i>
    <i r="1">
      <x v="86"/>
    </i>
    <i r="1">
      <x v="87"/>
    </i>
    <i r="1">
      <x v="92"/>
    </i>
    <i r="1">
      <x v="101"/>
    </i>
    <i r="1">
      <x v="105"/>
    </i>
    <i r="1">
      <x v="116"/>
    </i>
    <i r="1">
      <x v="118"/>
    </i>
    <i r="1">
      <x v="121"/>
    </i>
    <i r="1">
      <x v="128"/>
    </i>
    <i r="1">
      <x v="129"/>
    </i>
    <i r="1">
      <x v="133"/>
    </i>
    <i r="1">
      <x v="143"/>
    </i>
    <i r="1">
      <x v="145"/>
    </i>
    <i r="1">
      <x v="149"/>
    </i>
    <i r="1">
      <x v="154"/>
    </i>
    <i r="1">
      <x v="162"/>
    </i>
    <i r="1">
      <x v="167"/>
    </i>
    <i r="1">
      <x v="169"/>
    </i>
    <i r="1">
      <x v="178"/>
    </i>
    <i r="1">
      <x v="186"/>
    </i>
    <i r="1">
      <x v="188"/>
    </i>
    <i r="1">
      <x v="194"/>
    </i>
    <i r="1">
      <x v="195"/>
    </i>
    <i r="1">
      <x v="210"/>
    </i>
    <i r="1">
      <x v="212"/>
    </i>
    <i r="1">
      <x v="213"/>
    </i>
    <i r="1">
      <x v="215"/>
    </i>
    <i r="1">
      <x v="218"/>
    </i>
    <i r="1">
      <x v="234"/>
    </i>
    <i r="1">
      <x v="245"/>
    </i>
    <i r="1">
      <x v="246"/>
    </i>
    <i r="1">
      <x v="254"/>
    </i>
    <i r="1">
      <x v="258"/>
    </i>
    <i r="1">
      <x v="267"/>
    </i>
    <i r="1">
      <x v="272"/>
    </i>
    <i r="1">
      <x v="279"/>
    </i>
    <i r="1">
      <x v="280"/>
    </i>
    <i r="1">
      <x v="283"/>
    </i>
    <i r="1">
      <x v="300"/>
    </i>
    <i r="1">
      <x v="306"/>
    </i>
    <i r="1">
      <x v="313"/>
    </i>
    <i r="1">
      <x v="328"/>
    </i>
    <i r="1">
      <x v="338"/>
    </i>
    <i r="1">
      <x v="339"/>
    </i>
    <i r="1">
      <x v="343"/>
    </i>
    <i r="1">
      <x v="350"/>
    </i>
    <i r="1">
      <x v="357"/>
    </i>
    <i r="1">
      <x v="363"/>
    </i>
    <i r="1">
      <x v="364"/>
    </i>
    <i r="1">
      <x v="367"/>
    </i>
    <i r="1">
      <x v="382"/>
    </i>
    <i r="1">
      <x v="385"/>
    </i>
    <i r="1">
      <x v="402"/>
    </i>
    <i r="1">
      <x v="406"/>
    </i>
    <i r="1">
      <x v="407"/>
    </i>
    <i r="1">
      <x v="410"/>
    </i>
    <i r="1">
      <x v="420"/>
    </i>
    <i r="1">
      <x v="428"/>
    </i>
    <i r="1">
      <x v="429"/>
    </i>
    <i r="1">
      <x v="436"/>
    </i>
    <i r="1">
      <x v="437"/>
    </i>
    <i r="1">
      <x v="439"/>
    </i>
    <i r="1">
      <x v="450"/>
    </i>
    <i r="1">
      <x v="451"/>
    </i>
    <i r="1">
      <x v="452"/>
    </i>
    <i r="1">
      <x v="466"/>
    </i>
    <i r="1">
      <x v="467"/>
    </i>
    <i r="1">
      <x v="473"/>
    </i>
    <i r="1">
      <x v="475"/>
    </i>
    <i r="1">
      <x v="476"/>
    </i>
    <i r="1">
      <x v="483"/>
    </i>
    <i r="1">
      <x v="487"/>
    </i>
    <i r="1">
      <x v="500"/>
    </i>
    <i r="1">
      <x v="505"/>
    </i>
    <i r="1">
      <x v="517"/>
    </i>
    <i r="1">
      <x v="518"/>
    </i>
    <i r="1">
      <x v="532"/>
    </i>
    <i r="1">
      <x v="542"/>
    </i>
    <i r="1">
      <x v="564"/>
    </i>
    <i r="1">
      <x v="969"/>
    </i>
    <i r="1">
      <x v="1100"/>
    </i>
    <i r="1">
      <x v="1264"/>
    </i>
    <i r="1">
      <x v="1313"/>
    </i>
    <i r="1">
      <x v="1383"/>
    </i>
    <i r="1">
      <x v="1453"/>
    </i>
    <i r="1">
      <x v="1606"/>
    </i>
    <i r="1">
      <x v="2039"/>
    </i>
    <i r="1">
      <x v="2334"/>
    </i>
    <i r="1">
      <x v="2357"/>
    </i>
    <i r="1">
      <x v="2358"/>
    </i>
    <i r="1">
      <x v="2434"/>
    </i>
    <i r="1">
      <x v="2435"/>
    </i>
    <i r="1">
      <x v="2441"/>
    </i>
    <i r="1">
      <x v="2457"/>
    </i>
    <i>
      <x v="2"/>
      <x v="6"/>
    </i>
    <i r="1">
      <x v="34"/>
    </i>
    <i r="1">
      <x v="50"/>
    </i>
    <i r="1">
      <x v="81"/>
    </i>
    <i r="1">
      <x v="82"/>
    </i>
    <i r="1">
      <x v="106"/>
    </i>
    <i r="1">
      <x v="134"/>
    </i>
    <i r="1">
      <x v="139"/>
    </i>
    <i r="1">
      <x v="157"/>
    </i>
    <i r="1">
      <x v="170"/>
    </i>
    <i r="1">
      <x v="173"/>
    </i>
    <i r="1">
      <x v="189"/>
    </i>
    <i r="1">
      <x v="199"/>
    </i>
    <i r="1">
      <x v="220"/>
    </i>
    <i r="1">
      <x v="237"/>
    </i>
    <i r="1">
      <x v="262"/>
    </i>
    <i r="1">
      <x v="268"/>
    </i>
    <i r="1">
      <x v="292"/>
    </i>
    <i r="1">
      <x v="317"/>
    </i>
    <i r="1">
      <x v="320"/>
    </i>
    <i r="1">
      <x v="321"/>
    </i>
    <i r="1">
      <x v="346"/>
    </i>
    <i r="1">
      <x v="358"/>
    </i>
    <i r="1">
      <x v="373"/>
    </i>
    <i r="1">
      <x v="413"/>
    </i>
    <i r="1">
      <x v="442"/>
    </i>
    <i r="1">
      <x v="457"/>
    </i>
    <i r="1">
      <x v="490"/>
    </i>
    <i r="1">
      <x v="531"/>
    </i>
    <i r="1">
      <x v="535"/>
    </i>
    <i r="1">
      <x v="556"/>
    </i>
    <i r="1">
      <x v="557"/>
    </i>
    <i r="1">
      <x v="558"/>
    </i>
    <i r="1">
      <x v="559"/>
    </i>
    <i r="1">
      <x v="560"/>
    </i>
    <i r="1">
      <x v="562"/>
    </i>
    <i r="1">
      <x v="563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80"/>
    </i>
    <i r="1">
      <x v="587"/>
    </i>
    <i r="1">
      <x v="588"/>
    </i>
    <i r="1">
      <x v="589"/>
    </i>
    <i r="1">
      <x v="594"/>
    </i>
    <i r="1">
      <x v="603"/>
    </i>
    <i r="1">
      <x v="605"/>
    </i>
    <i r="1">
      <x v="612"/>
    </i>
    <i r="1">
      <x v="635"/>
    </i>
    <i r="1">
      <x v="649"/>
    </i>
    <i r="1">
      <x v="657"/>
    </i>
    <i r="1">
      <x v="658"/>
    </i>
    <i r="1">
      <x v="660"/>
    </i>
    <i r="1">
      <x v="663"/>
    </i>
    <i r="1">
      <x v="665"/>
    </i>
    <i r="1">
      <x v="666"/>
    </i>
    <i r="1">
      <x v="667"/>
    </i>
    <i r="1">
      <x v="668"/>
    </i>
    <i r="1">
      <x v="669"/>
    </i>
    <i r="1">
      <x v="671"/>
    </i>
    <i r="1">
      <x v="674"/>
    </i>
    <i r="1">
      <x v="675"/>
    </i>
    <i r="1">
      <x v="677"/>
    </i>
    <i r="1">
      <x v="678"/>
    </i>
    <i r="1">
      <x v="679"/>
    </i>
    <i r="1">
      <x v="680"/>
    </i>
    <i r="1">
      <x v="687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706"/>
    </i>
    <i r="1">
      <x v="707"/>
    </i>
    <i r="1">
      <x v="708"/>
    </i>
    <i r="1">
      <x v="709"/>
    </i>
    <i r="1">
      <x v="710"/>
    </i>
    <i r="1">
      <x v="717"/>
    </i>
    <i r="1">
      <x v="719"/>
    </i>
    <i r="1">
      <x v="722"/>
    </i>
    <i r="1">
      <x v="723"/>
    </i>
    <i r="1">
      <x v="724"/>
    </i>
    <i r="1">
      <x v="725"/>
    </i>
    <i r="1">
      <x v="730"/>
    </i>
    <i r="1">
      <x v="731"/>
    </i>
    <i r="1">
      <x v="732"/>
    </i>
    <i r="1">
      <x v="733"/>
    </i>
    <i r="1">
      <x v="739"/>
    </i>
    <i r="1">
      <x v="748"/>
    </i>
    <i r="1">
      <x v="752"/>
    </i>
    <i r="1">
      <x v="762"/>
    </i>
    <i r="1">
      <x v="763"/>
    </i>
    <i r="1">
      <x v="765"/>
    </i>
    <i r="1">
      <x v="768"/>
    </i>
    <i r="1">
      <x v="778"/>
    </i>
    <i r="1">
      <x v="779"/>
    </i>
    <i r="1">
      <x v="780"/>
    </i>
    <i r="1">
      <x v="790"/>
    </i>
    <i r="1">
      <x v="812"/>
    </i>
    <i r="1">
      <x v="840"/>
    </i>
    <i r="1">
      <x v="845"/>
    </i>
    <i r="1">
      <x v="851"/>
    </i>
    <i r="1">
      <x v="853"/>
    </i>
    <i r="1">
      <x v="854"/>
    </i>
    <i r="1">
      <x v="860"/>
    </i>
    <i r="1">
      <x v="861"/>
    </i>
    <i r="1">
      <x v="867"/>
    </i>
    <i r="1">
      <x v="868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92"/>
    </i>
    <i r="1">
      <x v="893"/>
    </i>
    <i r="1">
      <x v="904"/>
    </i>
    <i r="1">
      <x v="905"/>
    </i>
    <i r="1">
      <x v="908"/>
    </i>
    <i r="1">
      <x v="909"/>
    </i>
    <i r="1">
      <x v="910"/>
    </i>
    <i r="1">
      <x v="912"/>
    </i>
    <i r="1">
      <x v="917"/>
    </i>
    <i r="1">
      <x v="918"/>
    </i>
    <i r="1">
      <x v="920"/>
    </i>
    <i r="1">
      <x v="922"/>
    </i>
    <i r="1">
      <x v="928"/>
    </i>
    <i r="1">
      <x v="931"/>
    </i>
    <i r="1">
      <x v="940"/>
    </i>
    <i r="1">
      <x v="941"/>
    </i>
    <i r="1">
      <x v="942"/>
    </i>
    <i r="1">
      <x v="946"/>
    </i>
    <i r="1">
      <x v="947"/>
    </i>
    <i r="1">
      <x v="957"/>
    </i>
    <i r="1">
      <x v="968"/>
    </i>
    <i r="1">
      <x v="970"/>
    </i>
    <i r="1">
      <x v="971"/>
    </i>
    <i r="1">
      <x v="974"/>
    </i>
    <i r="1">
      <x v="975"/>
    </i>
    <i r="1">
      <x v="1058"/>
    </i>
    <i r="1">
      <x v="1066"/>
    </i>
    <i r="1">
      <x v="1236"/>
    </i>
    <i r="1">
      <x v="1262"/>
    </i>
    <i r="1">
      <x v="1278"/>
    </i>
    <i r="1">
      <x v="1303"/>
    </i>
    <i r="1">
      <x v="1307"/>
    </i>
    <i r="1">
      <x v="1356"/>
    </i>
    <i r="1">
      <x v="1357"/>
    </i>
    <i r="1">
      <x v="1360"/>
    </i>
    <i r="1">
      <x v="1365"/>
    </i>
    <i r="1">
      <x v="1366"/>
    </i>
    <i r="1">
      <x v="1378"/>
    </i>
    <i r="1">
      <x v="1397"/>
    </i>
    <i r="1">
      <x v="1407"/>
    </i>
    <i r="1">
      <x v="1463"/>
    </i>
    <i r="1">
      <x v="1468"/>
    </i>
    <i r="1">
      <x v="1474"/>
    </i>
    <i r="1">
      <x v="1484"/>
    </i>
    <i r="1">
      <x v="1495"/>
    </i>
    <i r="1">
      <x v="1511"/>
    </i>
    <i r="1">
      <x v="1543"/>
    </i>
    <i r="1">
      <x v="1544"/>
    </i>
    <i r="1">
      <x v="1592"/>
    </i>
    <i r="1">
      <x v="1597"/>
    </i>
    <i r="1">
      <x v="1611"/>
    </i>
    <i r="1">
      <x v="1612"/>
    </i>
    <i r="1">
      <x v="1635"/>
    </i>
    <i r="1">
      <x v="1694"/>
    </i>
    <i r="1">
      <x v="1714"/>
    </i>
    <i r="1">
      <x v="1719"/>
    </i>
    <i r="1">
      <x v="1959"/>
    </i>
    <i r="1">
      <x v="1960"/>
    </i>
    <i r="1">
      <x v="1979"/>
    </i>
    <i r="1">
      <x v="1999"/>
    </i>
    <i r="1">
      <x v="2023"/>
    </i>
    <i r="1">
      <x v="2036"/>
    </i>
    <i r="1">
      <x v="2055"/>
    </i>
    <i r="1">
      <x v="2160"/>
    </i>
    <i r="1">
      <x v="2327"/>
    </i>
    <i r="1">
      <x v="2335"/>
    </i>
    <i r="1">
      <x v="2337"/>
    </i>
    <i r="1">
      <x v="2414"/>
    </i>
    <i r="1">
      <x v="2417"/>
    </i>
    <i r="1">
      <x v="2419"/>
    </i>
    <i r="1">
      <x v="2420"/>
    </i>
    <i r="1">
      <x v="2763"/>
    </i>
    <i r="1">
      <x v="2769"/>
    </i>
    <i r="1">
      <x v="2774"/>
    </i>
    <i r="1">
      <x v="2775"/>
    </i>
    <i>
      <x v="3"/>
      <x v="6"/>
    </i>
    <i r="1">
      <x v="21"/>
    </i>
    <i r="1">
      <x v="25"/>
    </i>
    <i r="1">
      <x v="33"/>
    </i>
    <i r="1">
      <x v="35"/>
    </i>
    <i r="1">
      <x v="44"/>
    </i>
    <i r="1">
      <x v="47"/>
    </i>
    <i r="1">
      <x v="50"/>
    </i>
    <i r="1">
      <x v="54"/>
    </i>
    <i r="1">
      <x v="61"/>
    </i>
    <i r="1">
      <x v="62"/>
    </i>
    <i r="1">
      <x v="78"/>
    </i>
    <i r="1">
      <x v="83"/>
    </i>
    <i r="1">
      <x v="93"/>
    </i>
    <i r="1">
      <x v="99"/>
    </i>
    <i r="1">
      <x v="100"/>
    </i>
    <i r="1">
      <x v="112"/>
    </i>
    <i r="1">
      <x v="113"/>
    </i>
    <i r="1">
      <x v="118"/>
    </i>
    <i r="1">
      <x v="119"/>
    </i>
    <i r="1">
      <x v="120"/>
    </i>
    <i r="1">
      <x v="121"/>
    </i>
    <i r="1">
      <x v="122"/>
    </i>
    <i r="1">
      <x v="126"/>
    </i>
    <i r="1">
      <x v="130"/>
    </i>
    <i r="1">
      <x v="135"/>
    </i>
    <i r="1">
      <x v="138"/>
    </i>
    <i r="1">
      <x v="141"/>
    </i>
    <i r="1">
      <x v="148"/>
    </i>
    <i r="1">
      <x v="155"/>
    </i>
    <i r="1">
      <x v="160"/>
    </i>
    <i r="1">
      <x v="163"/>
    </i>
    <i r="1">
      <x v="168"/>
    </i>
    <i r="1">
      <x v="174"/>
    </i>
    <i r="1">
      <x v="184"/>
    </i>
    <i r="1">
      <x v="188"/>
    </i>
    <i r="1">
      <x v="194"/>
    </i>
    <i r="1">
      <x v="200"/>
    </i>
    <i r="1">
      <x v="203"/>
    </i>
    <i r="1">
      <x v="204"/>
    </i>
    <i r="1">
      <x v="206"/>
    </i>
    <i r="1">
      <x v="221"/>
    </i>
    <i r="1">
      <x v="222"/>
    </i>
    <i r="1">
      <x v="223"/>
    </i>
    <i r="1">
      <x v="224"/>
    </i>
    <i r="1">
      <x v="228"/>
    </i>
    <i r="1">
      <x v="232"/>
    </i>
    <i r="1">
      <x v="235"/>
    </i>
    <i r="1">
      <x v="236"/>
    </i>
    <i r="1">
      <x v="238"/>
    </i>
    <i r="1">
      <x v="239"/>
    </i>
    <i r="1">
      <x v="240"/>
    </i>
    <i r="1">
      <x v="246"/>
    </i>
    <i r="1">
      <x v="247"/>
    </i>
    <i r="1">
      <x v="250"/>
    </i>
    <i r="1">
      <x v="258"/>
    </i>
    <i r="1">
      <x v="271"/>
    </i>
    <i r="1">
      <x v="278"/>
    </i>
    <i r="1">
      <x v="279"/>
    </i>
    <i r="1">
      <x v="285"/>
    </i>
    <i r="1">
      <x v="290"/>
    </i>
    <i r="1">
      <x v="323"/>
    </i>
    <i r="1">
      <x v="329"/>
    </i>
    <i r="1">
      <x v="332"/>
    </i>
    <i r="1">
      <x v="333"/>
    </i>
    <i r="1">
      <x v="338"/>
    </i>
    <i r="1">
      <x v="347"/>
    </i>
    <i r="1">
      <x v="353"/>
    </i>
    <i r="1">
      <x v="355"/>
    </i>
    <i r="1">
      <x v="362"/>
    </i>
    <i r="1">
      <x v="365"/>
    </i>
    <i r="1">
      <x v="377"/>
    </i>
    <i r="1">
      <x v="378"/>
    </i>
    <i r="1">
      <x v="379"/>
    </i>
    <i r="1">
      <x v="381"/>
    </i>
    <i r="1">
      <x v="386"/>
    </i>
    <i r="1">
      <x v="387"/>
    </i>
    <i r="1">
      <x v="389"/>
    </i>
    <i r="1">
      <x v="390"/>
    </i>
    <i r="1">
      <x v="392"/>
    </i>
    <i r="1">
      <x v="397"/>
    </i>
    <i r="1">
      <x v="400"/>
    </i>
    <i r="1">
      <x v="408"/>
    </i>
    <i r="1">
      <x v="410"/>
    </i>
    <i r="1">
      <x v="418"/>
    </i>
    <i r="1">
      <x v="420"/>
    </i>
    <i r="1">
      <x v="426"/>
    </i>
    <i r="1">
      <x v="434"/>
    </i>
    <i r="1">
      <x v="436"/>
    </i>
    <i r="1">
      <x v="445"/>
    </i>
    <i r="1">
      <x v="448"/>
    </i>
    <i r="1">
      <x v="458"/>
    </i>
    <i r="1">
      <x v="463"/>
    </i>
    <i r="1">
      <x v="477"/>
    </i>
    <i r="1">
      <x v="479"/>
    </i>
    <i r="1">
      <x v="484"/>
    </i>
    <i r="1">
      <x v="489"/>
    </i>
    <i r="1">
      <x v="494"/>
    </i>
    <i r="1">
      <x v="510"/>
    </i>
    <i r="1">
      <x v="512"/>
    </i>
    <i r="1">
      <x v="519"/>
    </i>
    <i r="1">
      <x v="529"/>
    </i>
    <i r="1">
      <x v="530"/>
    </i>
    <i r="1">
      <x v="536"/>
    </i>
    <i r="1">
      <x v="541"/>
    </i>
    <i r="1">
      <x v="544"/>
    </i>
    <i r="1">
      <x v="550"/>
    </i>
    <i r="1">
      <x v="856"/>
    </i>
    <i r="1">
      <x v="1255"/>
    </i>
    <i r="1">
      <x v="1277"/>
    </i>
    <i r="1">
      <x v="1292"/>
    </i>
    <i r="1">
      <x v="1447"/>
    </i>
    <i r="1">
      <x v="1724"/>
    </i>
    <i r="1">
      <x v="1957"/>
    </i>
    <i r="1">
      <x v="2037"/>
    </i>
    <i r="1">
      <x v="2154"/>
    </i>
    <i>
      <x v="4"/>
      <x v="5"/>
    </i>
    <i r="1">
      <x v="31"/>
    </i>
    <i r="1">
      <x v="56"/>
    </i>
    <i r="1">
      <x v="118"/>
    </i>
    <i r="1">
      <x v="171"/>
    </i>
    <i r="1">
      <x v="190"/>
    </i>
    <i r="1">
      <x v="265"/>
    </i>
    <i r="1">
      <x v="295"/>
    </i>
    <i r="1">
      <x v="298"/>
    </i>
    <i r="1">
      <x v="311"/>
    </i>
    <i r="1">
      <x v="315"/>
    </i>
    <i r="1">
      <x v="341"/>
    </i>
    <i r="1">
      <x v="345"/>
    </i>
    <i r="1">
      <x v="436"/>
    </i>
    <i r="1">
      <x v="443"/>
    </i>
    <i r="1">
      <x v="462"/>
    </i>
    <i r="1">
      <x v="486"/>
    </i>
    <i r="1">
      <x v="493"/>
    </i>
    <i r="1">
      <x v="499"/>
    </i>
    <i r="1">
      <x v="524"/>
    </i>
    <i r="1">
      <x v="539"/>
    </i>
    <i r="1">
      <x v="551"/>
    </i>
    <i>
      <x v="5"/>
      <x v="2"/>
    </i>
    <i r="1">
      <x v="31"/>
    </i>
    <i r="1">
      <x v="43"/>
    </i>
    <i r="1">
      <x v="64"/>
    </i>
    <i r="1">
      <x v="71"/>
    </i>
    <i r="1">
      <x v="77"/>
    </i>
    <i r="1">
      <x v="90"/>
    </i>
    <i r="1">
      <x v="97"/>
    </i>
    <i r="1">
      <x v="118"/>
    </i>
    <i r="1">
      <x v="131"/>
    </i>
    <i r="1">
      <x v="153"/>
    </i>
    <i r="1">
      <x v="180"/>
    </i>
    <i r="1">
      <x v="185"/>
    </i>
    <i r="1">
      <x v="198"/>
    </i>
    <i r="1">
      <x v="211"/>
    </i>
    <i r="1">
      <x v="251"/>
    </i>
    <i r="1">
      <x v="303"/>
    </i>
    <i r="1">
      <x v="409"/>
    </i>
    <i r="1">
      <x v="412"/>
    </i>
    <i r="1">
      <x v="421"/>
    </i>
    <i r="1">
      <x v="446"/>
    </i>
    <i r="1">
      <x v="459"/>
    </i>
    <i r="1">
      <x v="462"/>
    </i>
    <i r="1">
      <x v="488"/>
    </i>
    <i r="1">
      <x v="496"/>
    </i>
    <i r="1">
      <x v="508"/>
    </i>
    <i r="1">
      <x v="513"/>
    </i>
    <i r="1">
      <x v="749"/>
    </i>
    <i>
      <x v="6"/>
      <x v="85"/>
    </i>
    <i r="1">
      <x v="399"/>
    </i>
    <i r="1">
      <x v="456"/>
    </i>
    <i>
      <x v="7"/>
      <x v="430"/>
    </i>
    <i r="1">
      <x v="516"/>
    </i>
    <i r="1">
      <x v="1425"/>
    </i>
    <i r="1">
      <x v="1426"/>
    </i>
    <i r="1">
      <x v="1455"/>
    </i>
    <i>
      <x v="8"/>
      <x v="19"/>
    </i>
    <i>
      <x v="9"/>
      <x v="37"/>
    </i>
    <i r="1">
      <x v="146"/>
    </i>
    <i r="1">
      <x v="218"/>
    </i>
    <i r="1">
      <x v="278"/>
    </i>
    <i r="1">
      <x v="308"/>
    </i>
    <i r="1">
      <x v="326"/>
    </i>
    <i r="1">
      <x v="338"/>
    </i>
    <i r="1">
      <x v="342"/>
    </i>
    <i r="1">
      <x v="408"/>
    </i>
    <i r="1">
      <x v="411"/>
    </i>
    <i r="1">
      <x v="417"/>
    </i>
    <i r="1">
      <x v="434"/>
    </i>
    <i r="1">
      <x v="460"/>
    </i>
    <i r="1">
      <x v="530"/>
    </i>
    <i>
      <x v="10"/>
      <x v="76"/>
    </i>
    <i r="1">
      <x v="81"/>
    </i>
    <i r="1">
      <x v="115"/>
    </i>
    <i r="1">
      <x v="179"/>
    </i>
    <i r="1">
      <x v="199"/>
    </i>
    <i r="1">
      <x v="234"/>
    </i>
    <i r="1">
      <x v="330"/>
    </i>
    <i r="1">
      <x v="413"/>
    </i>
    <i r="1">
      <x v="497"/>
    </i>
    <i r="1">
      <x v="559"/>
    </i>
    <i r="1">
      <x v="657"/>
    </i>
    <i r="1">
      <x v="660"/>
    </i>
    <i r="1">
      <x v="664"/>
    </i>
    <i r="1">
      <x v="702"/>
    </i>
    <i r="1">
      <x v="707"/>
    </i>
    <i r="1">
      <x v="727"/>
    </i>
    <i r="1">
      <x v="749"/>
    </i>
    <i r="1">
      <x v="750"/>
    </i>
    <i r="1">
      <x v="780"/>
    </i>
    <i r="1">
      <x v="797"/>
    </i>
    <i r="1">
      <x v="803"/>
    </i>
    <i r="1">
      <x v="808"/>
    </i>
    <i r="1">
      <x v="809"/>
    </i>
    <i r="1">
      <x v="823"/>
    </i>
    <i r="1">
      <x v="825"/>
    </i>
    <i r="1">
      <x v="840"/>
    </i>
    <i r="1">
      <x v="841"/>
    </i>
    <i r="1">
      <x v="849"/>
    </i>
    <i r="1">
      <x v="865"/>
    </i>
    <i r="1">
      <x v="868"/>
    </i>
    <i r="1">
      <x v="870"/>
    </i>
    <i r="1">
      <x v="874"/>
    </i>
    <i r="1">
      <x v="877"/>
    </i>
    <i r="1">
      <x v="882"/>
    </i>
    <i r="1">
      <x v="890"/>
    </i>
    <i r="1">
      <x v="891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6"/>
    </i>
    <i r="1">
      <x v="913"/>
    </i>
    <i r="1">
      <x v="914"/>
    </i>
    <i r="1">
      <x v="915"/>
    </i>
    <i r="1">
      <x v="930"/>
    </i>
    <i r="1">
      <x v="935"/>
    </i>
    <i r="1">
      <x v="948"/>
    </i>
    <i r="1">
      <x v="953"/>
    </i>
    <i r="1">
      <x v="955"/>
    </i>
    <i r="1">
      <x v="959"/>
    </i>
    <i r="1">
      <x v="960"/>
    </i>
    <i r="1">
      <x v="977"/>
    </i>
    <i r="1">
      <x v="991"/>
    </i>
    <i r="1">
      <x v="992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3"/>
    </i>
    <i r="1">
      <x v="1094"/>
    </i>
    <i r="1">
      <x v="1095"/>
    </i>
    <i r="1">
      <x v="1096"/>
    </i>
    <i r="1">
      <x v="1097"/>
    </i>
    <i r="1">
      <x v="1098"/>
    </i>
    <i r="1">
      <x v="1100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77"/>
    </i>
    <i r="1">
      <x v="1178"/>
    </i>
    <i r="1"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199"/>
    </i>
    <i r="1">
      <x v="1200"/>
    </i>
    <i r="1">
      <x v="1201"/>
    </i>
    <i r="1">
      <x v="1202"/>
    </i>
    <i r="1">
      <x v="1203"/>
    </i>
    <i r="1">
      <x v="1204"/>
    </i>
    <i r="1">
      <x v="1205"/>
    </i>
    <i r="1">
      <x v="1206"/>
    </i>
    <i r="1">
      <x v="1207"/>
    </i>
    <i r="1">
      <x v="1208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5"/>
    </i>
    <i r="1">
      <x v="1216"/>
    </i>
    <i r="1">
      <x v="1217"/>
    </i>
    <i r="1">
      <x v="1218"/>
    </i>
    <i r="1">
      <x v="1219"/>
    </i>
    <i r="1">
      <x v="1220"/>
    </i>
    <i r="1">
      <x v="1221"/>
    </i>
    <i r="1">
      <x v="1222"/>
    </i>
    <i r="1">
      <x v="1223"/>
    </i>
    <i r="1">
      <x v="1224"/>
    </i>
    <i r="1">
      <x v="1225"/>
    </i>
    <i r="1">
      <x v="1226"/>
    </i>
    <i r="1">
      <x v="1227"/>
    </i>
    <i r="1">
      <x v="1228"/>
    </i>
    <i r="1">
      <x v="1229"/>
    </i>
    <i r="1">
      <x v="1230"/>
    </i>
    <i r="1">
      <x v="1232"/>
    </i>
    <i r="1">
      <x v="1233"/>
    </i>
    <i r="1">
      <x v="1234"/>
    </i>
    <i r="1">
      <x v="1245"/>
    </i>
    <i r="1">
      <x v="1254"/>
    </i>
    <i r="1">
      <x v="1260"/>
    </i>
    <i r="1">
      <x v="1261"/>
    </i>
    <i r="1">
      <x v="1271"/>
    </i>
    <i r="1">
      <x v="1272"/>
    </i>
    <i r="1">
      <x v="1273"/>
    </i>
    <i r="1">
      <x v="1274"/>
    </i>
    <i r="1">
      <x v="1275"/>
    </i>
    <i r="1">
      <x v="1276"/>
    </i>
    <i r="1">
      <x v="1319"/>
    </i>
    <i r="1">
      <x v="1337"/>
    </i>
    <i r="1">
      <x v="1338"/>
    </i>
    <i r="1">
      <x v="1344"/>
    </i>
    <i r="1">
      <x v="1362"/>
    </i>
    <i r="1">
      <x v="1363"/>
    </i>
    <i r="1">
      <x v="1374"/>
    </i>
    <i r="1">
      <x v="1384"/>
    </i>
    <i r="1">
      <x v="1385"/>
    </i>
    <i r="1">
      <x v="1402"/>
    </i>
    <i r="1">
      <x v="1403"/>
    </i>
    <i r="1">
      <x v="1404"/>
    </i>
    <i r="1">
      <x v="1405"/>
    </i>
    <i r="1">
      <x v="1406"/>
    </i>
    <i r="1">
      <x v="1411"/>
    </i>
    <i r="1">
      <x v="1412"/>
    </i>
    <i r="1">
      <x v="1413"/>
    </i>
    <i r="1">
      <x v="1435"/>
    </i>
    <i r="1">
      <x v="1438"/>
    </i>
    <i r="1">
      <x v="1441"/>
    </i>
    <i r="1">
      <x v="1459"/>
    </i>
    <i r="1">
      <x v="1469"/>
    </i>
    <i r="1">
      <x v="1470"/>
    </i>
    <i r="1">
      <x v="1471"/>
    </i>
    <i r="1">
      <x v="1472"/>
    </i>
    <i r="1">
      <x v="1473"/>
    </i>
    <i r="1">
      <x v="1474"/>
    </i>
    <i r="1">
      <x v="1476"/>
    </i>
    <i r="1">
      <x v="1477"/>
    </i>
    <i r="1">
      <x v="1479"/>
    </i>
    <i r="1">
      <x v="1480"/>
    </i>
    <i r="1">
      <x v="1487"/>
    </i>
    <i r="1">
      <x v="1488"/>
    </i>
    <i r="1">
      <x v="1489"/>
    </i>
    <i r="1">
      <x v="1496"/>
    </i>
    <i r="1">
      <x v="1497"/>
    </i>
    <i r="1">
      <x v="1501"/>
    </i>
    <i r="1">
      <x v="1502"/>
    </i>
    <i r="1">
      <x v="1503"/>
    </i>
    <i r="1">
      <x v="1504"/>
    </i>
    <i r="1">
      <x v="1505"/>
    </i>
    <i r="1">
      <x v="1508"/>
    </i>
    <i r="1">
      <x v="1509"/>
    </i>
    <i r="1">
      <x v="1510"/>
    </i>
    <i r="1">
      <x v="1512"/>
    </i>
    <i r="1">
      <x v="1513"/>
    </i>
    <i r="1">
      <x v="1516"/>
    </i>
    <i r="1">
      <x v="1517"/>
    </i>
    <i r="1">
      <x v="1518"/>
    </i>
    <i r="1">
      <x v="1520"/>
    </i>
    <i r="1">
      <x v="1521"/>
    </i>
    <i r="1">
      <x v="1522"/>
    </i>
    <i r="1">
      <x v="1525"/>
    </i>
    <i r="1">
      <x v="1526"/>
    </i>
    <i r="1">
      <x v="1527"/>
    </i>
    <i r="1">
      <x v="1528"/>
    </i>
    <i r="1">
      <x v="1530"/>
    </i>
    <i r="1">
      <x v="1531"/>
    </i>
    <i r="1">
      <x v="1533"/>
    </i>
    <i r="1">
      <x v="1534"/>
    </i>
    <i r="1">
      <x v="1535"/>
    </i>
    <i r="1">
      <x v="1536"/>
    </i>
    <i r="1">
      <x v="1537"/>
    </i>
    <i r="1">
      <x v="1539"/>
    </i>
    <i r="1">
      <x v="1540"/>
    </i>
    <i r="1">
      <x v="1541"/>
    </i>
    <i r="1">
      <x v="1542"/>
    </i>
    <i r="1">
      <x v="1545"/>
    </i>
    <i r="1">
      <x v="1546"/>
    </i>
    <i r="1">
      <x v="1547"/>
    </i>
    <i r="1">
      <x v="1548"/>
    </i>
    <i r="1">
      <x v="1549"/>
    </i>
    <i r="1">
      <x v="1550"/>
    </i>
    <i r="1">
      <x v="1551"/>
    </i>
    <i r="1">
      <x v="1552"/>
    </i>
    <i r="1">
      <x v="1558"/>
    </i>
    <i r="1">
      <x v="1559"/>
    </i>
    <i r="1">
      <x v="1560"/>
    </i>
    <i r="1">
      <x v="1561"/>
    </i>
    <i r="1">
      <x v="1562"/>
    </i>
    <i r="1">
      <x v="1563"/>
    </i>
    <i r="1">
      <x v="1564"/>
    </i>
    <i r="1">
      <x v="1565"/>
    </i>
    <i r="1">
      <x v="1566"/>
    </i>
    <i r="1">
      <x v="1567"/>
    </i>
    <i r="1">
      <x v="1568"/>
    </i>
    <i r="1">
      <x v="1569"/>
    </i>
    <i r="1">
      <x v="1570"/>
    </i>
    <i r="1">
      <x v="1571"/>
    </i>
    <i r="1">
      <x v="1572"/>
    </i>
    <i r="1">
      <x v="1573"/>
    </i>
    <i r="1">
      <x v="1574"/>
    </i>
    <i r="1">
      <x v="1575"/>
    </i>
    <i r="1">
      <x v="1576"/>
    </i>
    <i r="1">
      <x v="1577"/>
    </i>
    <i r="1">
      <x v="1578"/>
    </i>
    <i r="1">
      <x v="1579"/>
    </i>
    <i r="1">
      <x v="1580"/>
    </i>
    <i r="1">
      <x v="1581"/>
    </i>
    <i r="1">
      <x v="1582"/>
    </i>
    <i r="1">
      <x v="1583"/>
    </i>
    <i r="1">
      <x v="1584"/>
    </i>
    <i r="1">
      <x v="1585"/>
    </i>
    <i r="1">
      <x v="1586"/>
    </i>
    <i r="1">
      <x v="1587"/>
    </i>
    <i r="1">
      <x v="1588"/>
    </i>
    <i r="1">
      <x v="1589"/>
    </i>
    <i r="1">
      <x v="1590"/>
    </i>
    <i r="1">
      <x v="1591"/>
    </i>
    <i r="1">
      <x v="1593"/>
    </i>
    <i r="1">
      <x v="1595"/>
    </i>
    <i r="1">
      <x v="1598"/>
    </i>
    <i r="1">
      <x v="1599"/>
    </i>
    <i r="1">
      <x v="1600"/>
    </i>
    <i r="1">
      <x v="1601"/>
    </i>
    <i r="1">
      <x v="1604"/>
    </i>
    <i r="1">
      <x v="1605"/>
    </i>
    <i r="1">
      <x v="1607"/>
    </i>
    <i r="1">
      <x v="1608"/>
    </i>
    <i r="1">
      <x v="1609"/>
    </i>
    <i r="1">
      <x v="1610"/>
    </i>
    <i r="1">
      <x v="1619"/>
    </i>
    <i r="1">
      <x v="1620"/>
    </i>
    <i r="1">
      <x v="1622"/>
    </i>
    <i r="1">
      <x v="1623"/>
    </i>
    <i r="1">
      <x v="1624"/>
    </i>
    <i r="1">
      <x v="1626"/>
    </i>
    <i r="1">
      <x v="1627"/>
    </i>
    <i r="1">
      <x v="1636"/>
    </i>
    <i r="1">
      <x v="1638"/>
    </i>
    <i r="1">
      <x v="1646"/>
    </i>
    <i r="1">
      <x v="1650"/>
    </i>
    <i r="1">
      <x v="1651"/>
    </i>
    <i r="1">
      <x v="1652"/>
    </i>
    <i r="1">
      <x v="1653"/>
    </i>
    <i r="1">
      <x v="1654"/>
    </i>
    <i r="1">
      <x v="1655"/>
    </i>
    <i r="1">
      <x v="1656"/>
    </i>
    <i r="1">
      <x v="1657"/>
    </i>
    <i r="1">
      <x v="1658"/>
    </i>
    <i r="1">
      <x v="1659"/>
    </i>
    <i r="1">
      <x v="1660"/>
    </i>
    <i r="1">
      <x v="1661"/>
    </i>
    <i r="1">
      <x v="1662"/>
    </i>
    <i r="1">
      <x v="1663"/>
    </i>
    <i r="1">
      <x v="1664"/>
    </i>
    <i r="1">
      <x v="1665"/>
    </i>
    <i r="1">
      <x v="1667"/>
    </i>
    <i r="1">
      <x v="1668"/>
    </i>
    <i r="1">
      <x v="1669"/>
    </i>
    <i r="1">
      <x v="1670"/>
    </i>
    <i r="1">
      <x v="1671"/>
    </i>
    <i r="1">
      <x v="1672"/>
    </i>
    <i r="1">
      <x v="1673"/>
    </i>
    <i r="1">
      <x v="1674"/>
    </i>
    <i r="1">
      <x v="1675"/>
    </i>
    <i r="1">
      <x v="1676"/>
    </i>
    <i r="1">
      <x v="1677"/>
    </i>
    <i r="1">
      <x v="1678"/>
    </i>
    <i r="1">
      <x v="1679"/>
    </i>
    <i r="1">
      <x v="1680"/>
    </i>
    <i r="1">
      <x v="1681"/>
    </i>
    <i r="1">
      <x v="1682"/>
    </i>
    <i r="1">
      <x v="1683"/>
    </i>
    <i r="1">
      <x v="1684"/>
    </i>
    <i r="1">
      <x v="1685"/>
    </i>
    <i r="1">
      <x v="1686"/>
    </i>
    <i r="1">
      <x v="1687"/>
    </i>
    <i r="1">
      <x v="1688"/>
    </i>
    <i r="1">
      <x v="1689"/>
    </i>
    <i r="1">
      <x v="1690"/>
    </i>
    <i r="1">
      <x v="1691"/>
    </i>
    <i r="1">
      <x v="1692"/>
    </i>
    <i r="1">
      <x v="1693"/>
    </i>
    <i r="1">
      <x v="1695"/>
    </i>
    <i r="1">
      <x v="1696"/>
    </i>
    <i r="1">
      <x v="1697"/>
    </i>
    <i r="1">
      <x v="1698"/>
    </i>
    <i r="1">
      <x v="1699"/>
    </i>
    <i r="1">
      <x v="1700"/>
    </i>
    <i r="1">
      <x v="1701"/>
    </i>
    <i r="1">
      <x v="1702"/>
    </i>
    <i r="1">
      <x v="1703"/>
    </i>
    <i r="1">
      <x v="1704"/>
    </i>
    <i r="1">
      <x v="1705"/>
    </i>
    <i r="1">
      <x v="1706"/>
    </i>
    <i r="1">
      <x v="1707"/>
    </i>
    <i r="1">
      <x v="1708"/>
    </i>
    <i r="1">
      <x v="1709"/>
    </i>
    <i r="1">
      <x v="1710"/>
    </i>
    <i r="1">
      <x v="1712"/>
    </i>
    <i r="1">
      <x v="1713"/>
    </i>
    <i r="1">
      <x v="1722"/>
    </i>
    <i r="1">
      <x v="1723"/>
    </i>
    <i r="1">
      <x v="1724"/>
    </i>
    <i r="1">
      <x v="1725"/>
    </i>
    <i r="1">
      <x v="1726"/>
    </i>
    <i r="1">
      <x v="1727"/>
    </i>
    <i r="1">
      <x v="1728"/>
    </i>
    <i r="1">
      <x v="1729"/>
    </i>
    <i r="1">
      <x v="1730"/>
    </i>
    <i r="1">
      <x v="1731"/>
    </i>
    <i r="1">
      <x v="1732"/>
    </i>
    <i r="1">
      <x v="1733"/>
    </i>
    <i r="1">
      <x v="1734"/>
    </i>
    <i r="1">
      <x v="1735"/>
    </i>
    <i r="1">
      <x v="1736"/>
    </i>
    <i r="1">
      <x v="1737"/>
    </i>
    <i r="1">
      <x v="1739"/>
    </i>
    <i r="1">
      <x v="1740"/>
    </i>
    <i r="1">
      <x v="1741"/>
    </i>
    <i r="1">
      <x v="1742"/>
    </i>
    <i r="1">
      <x v="1743"/>
    </i>
    <i r="1">
      <x v="1744"/>
    </i>
    <i r="1">
      <x v="1746"/>
    </i>
    <i r="1">
      <x v="1747"/>
    </i>
    <i r="1">
      <x v="1748"/>
    </i>
    <i r="1">
      <x v="1750"/>
    </i>
    <i r="1">
      <x v="1751"/>
    </i>
    <i r="1">
      <x v="1752"/>
    </i>
    <i r="1">
      <x v="1753"/>
    </i>
    <i r="1">
      <x v="1754"/>
    </i>
    <i r="1">
      <x v="1755"/>
    </i>
    <i r="1">
      <x v="1756"/>
    </i>
    <i r="1">
      <x v="1757"/>
    </i>
    <i r="1">
      <x v="1758"/>
    </i>
    <i r="1">
      <x v="1759"/>
    </i>
    <i r="1">
      <x v="1760"/>
    </i>
    <i r="1">
      <x v="1761"/>
    </i>
    <i r="1">
      <x v="1762"/>
    </i>
    <i r="1">
      <x v="1763"/>
    </i>
    <i r="1">
      <x v="1764"/>
    </i>
    <i r="1">
      <x v="1765"/>
    </i>
    <i r="1">
      <x v="1766"/>
    </i>
    <i r="1">
      <x v="1767"/>
    </i>
    <i r="1">
      <x v="1768"/>
    </i>
    <i r="1">
      <x v="1769"/>
    </i>
    <i r="1">
      <x v="1770"/>
    </i>
    <i r="1">
      <x v="1773"/>
    </i>
    <i r="1">
      <x v="1774"/>
    </i>
    <i r="1">
      <x v="1775"/>
    </i>
    <i r="1">
      <x v="1776"/>
    </i>
    <i r="1">
      <x v="1777"/>
    </i>
    <i r="1">
      <x v="1778"/>
    </i>
    <i r="1">
      <x v="1779"/>
    </i>
    <i r="1">
      <x v="1780"/>
    </i>
    <i r="1">
      <x v="1781"/>
    </i>
    <i r="1">
      <x v="1782"/>
    </i>
    <i r="1">
      <x v="1783"/>
    </i>
    <i r="1">
      <x v="1784"/>
    </i>
    <i r="1">
      <x v="1785"/>
    </i>
    <i r="1">
      <x v="1786"/>
    </i>
    <i r="1">
      <x v="1787"/>
    </i>
    <i r="1">
      <x v="1788"/>
    </i>
    <i r="1">
      <x v="1789"/>
    </i>
    <i r="1">
      <x v="1790"/>
    </i>
    <i r="1">
      <x v="1791"/>
    </i>
    <i r="1">
      <x v="1792"/>
    </i>
    <i r="1">
      <x v="1793"/>
    </i>
    <i r="1">
      <x v="1794"/>
    </i>
    <i r="1">
      <x v="1795"/>
    </i>
    <i r="1">
      <x v="1796"/>
    </i>
    <i r="1">
      <x v="1797"/>
    </i>
    <i r="1">
      <x v="1798"/>
    </i>
    <i r="1">
      <x v="1799"/>
    </i>
    <i r="1">
      <x v="1800"/>
    </i>
    <i r="1">
      <x v="1801"/>
    </i>
    <i r="1">
      <x v="1802"/>
    </i>
    <i r="1">
      <x v="1803"/>
    </i>
    <i r="1">
      <x v="1804"/>
    </i>
    <i r="1">
      <x v="1805"/>
    </i>
    <i r="1">
      <x v="1806"/>
    </i>
    <i r="1">
      <x v="1807"/>
    </i>
    <i r="1">
      <x v="1808"/>
    </i>
    <i r="1">
      <x v="1809"/>
    </i>
    <i r="1">
      <x v="1810"/>
    </i>
    <i r="1">
      <x v="1811"/>
    </i>
    <i r="1">
      <x v="1812"/>
    </i>
    <i r="1">
      <x v="1813"/>
    </i>
    <i r="1">
      <x v="1814"/>
    </i>
    <i r="1">
      <x v="1815"/>
    </i>
    <i r="1">
      <x v="1816"/>
    </i>
    <i r="1">
      <x v="1817"/>
    </i>
    <i r="1">
      <x v="1818"/>
    </i>
    <i r="1">
      <x v="1819"/>
    </i>
    <i r="1">
      <x v="1820"/>
    </i>
    <i r="1">
      <x v="1821"/>
    </i>
    <i r="1">
      <x v="1822"/>
    </i>
    <i r="1">
      <x v="1823"/>
    </i>
    <i r="1">
      <x v="1824"/>
    </i>
    <i r="1">
      <x v="1825"/>
    </i>
    <i r="1">
      <x v="1826"/>
    </i>
    <i r="1">
      <x v="1827"/>
    </i>
    <i r="1">
      <x v="1828"/>
    </i>
    <i r="1">
      <x v="1829"/>
    </i>
    <i r="1">
      <x v="1830"/>
    </i>
    <i r="1">
      <x v="1831"/>
    </i>
    <i r="1">
      <x v="1832"/>
    </i>
    <i r="1">
      <x v="1833"/>
    </i>
    <i r="1">
      <x v="1834"/>
    </i>
    <i r="1">
      <x v="1835"/>
    </i>
    <i r="1">
      <x v="1836"/>
    </i>
    <i r="1">
      <x v="1838"/>
    </i>
    <i r="1">
      <x v="1839"/>
    </i>
    <i r="1">
      <x v="1840"/>
    </i>
    <i r="1">
      <x v="1841"/>
    </i>
    <i r="1">
      <x v="1842"/>
    </i>
    <i r="1">
      <x v="1843"/>
    </i>
    <i r="1">
      <x v="1844"/>
    </i>
    <i r="1">
      <x v="1845"/>
    </i>
    <i r="1">
      <x v="1846"/>
    </i>
    <i r="1">
      <x v="1847"/>
    </i>
    <i r="1">
      <x v="1848"/>
    </i>
    <i r="1">
      <x v="1849"/>
    </i>
    <i r="1">
      <x v="1850"/>
    </i>
    <i r="1">
      <x v="1851"/>
    </i>
    <i r="1">
      <x v="1852"/>
    </i>
    <i r="1">
      <x v="1853"/>
    </i>
    <i r="1">
      <x v="1854"/>
    </i>
    <i r="1">
      <x v="1855"/>
    </i>
    <i r="1">
      <x v="1856"/>
    </i>
    <i r="1">
      <x v="1857"/>
    </i>
    <i r="1">
      <x v="1858"/>
    </i>
    <i r="1">
      <x v="1859"/>
    </i>
    <i r="1">
      <x v="1860"/>
    </i>
    <i r="1">
      <x v="1861"/>
    </i>
    <i r="1">
      <x v="1862"/>
    </i>
    <i r="1">
      <x v="1863"/>
    </i>
    <i r="1">
      <x v="1864"/>
    </i>
    <i r="1">
      <x v="1865"/>
    </i>
    <i r="1">
      <x v="1866"/>
    </i>
    <i r="1">
      <x v="1867"/>
    </i>
    <i r="1">
      <x v="1868"/>
    </i>
    <i r="1">
      <x v="1869"/>
    </i>
    <i r="1">
      <x v="1870"/>
    </i>
    <i r="1">
      <x v="1871"/>
    </i>
    <i r="1">
      <x v="1872"/>
    </i>
    <i r="1">
      <x v="1873"/>
    </i>
    <i r="1">
      <x v="1874"/>
    </i>
    <i r="1">
      <x v="1875"/>
    </i>
    <i r="1">
      <x v="1876"/>
    </i>
    <i r="1">
      <x v="1877"/>
    </i>
    <i r="1">
      <x v="1878"/>
    </i>
    <i r="1">
      <x v="1879"/>
    </i>
    <i r="1">
      <x v="1880"/>
    </i>
    <i r="1">
      <x v="1881"/>
    </i>
    <i r="1">
      <x v="1882"/>
    </i>
    <i r="1">
      <x v="1883"/>
    </i>
    <i r="1">
      <x v="1884"/>
    </i>
    <i r="1">
      <x v="1885"/>
    </i>
    <i r="1">
      <x v="1886"/>
    </i>
    <i r="1">
      <x v="1887"/>
    </i>
    <i r="1">
      <x v="1888"/>
    </i>
    <i r="1">
      <x v="1889"/>
    </i>
    <i r="1">
      <x v="1890"/>
    </i>
    <i r="1">
      <x v="1891"/>
    </i>
    <i r="1">
      <x v="1892"/>
    </i>
    <i r="1">
      <x v="1893"/>
    </i>
    <i r="1">
      <x v="1894"/>
    </i>
    <i r="1">
      <x v="1895"/>
    </i>
    <i r="1">
      <x v="1896"/>
    </i>
    <i r="1">
      <x v="1897"/>
    </i>
    <i r="1">
      <x v="1898"/>
    </i>
    <i r="1">
      <x v="1899"/>
    </i>
    <i r="1">
      <x v="1900"/>
    </i>
    <i r="1">
      <x v="1901"/>
    </i>
    <i r="1">
      <x v="1902"/>
    </i>
    <i r="1">
      <x v="1903"/>
    </i>
    <i r="1">
      <x v="1904"/>
    </i>
    <i r="1">
      <x v="1905"/>
    </i>
    <i r="1">
      <x v="1906"/>
    </i>
    <i r="1">
      <x v="1907"/>
    </i>
    <i r="1">
      <x v="1908"/>
    </i>
    <i r="1">
      <x v="1909"/>
    </i>
    <i r="1">
      <x v="1910"/>
    </i>
    <i r="1">
      <x v="1911"/>
    </i>
    <i r="1">
      <x v="1912"/>
    </i>
    <i r="1">
      <x v="1913"/>
    </i>
    <i r="1">
      <x v="1914"/>
    </i>
    <i r="1">
      <x v="1915"/>
    </i>
    <i r="1">
      <x v="1916"/>
    </i>
    <i r="1">
      <x v="1917"/>
    </i>
    <i r="1">
      <x v="1918"/>
    </i>
    <i r="1">
      <x v="1919"/>
    </i>
    <i r="1">
      <x v="1920"/>
    </i>
    <i r="1">
      <x v="1921"/>
    </i>
    <i r="1">
      <x v="1922"/>
    </i>
    <i r="1">
      <x v="1923"/>
    </i>
    <i r="1">
      <x v="1924"/>
    </i>
    <i r="1">
      <x v="1925"/>
    </i>
    <i r="1">
      <x v="1926"/>
    </i>
    <i r="1">
      <x v="1927"/>
    </i>
    <i r="1">
      <x v="1928"/>
    </i>
    <i r="1">
      <x v="1929"/>
    </i>
    <i r="1">
      <x v="1930"/>
    </i>
    <i r="1">
      <x v="1931"/>
    </i>
    <i r="1">
      <x v="1932"/>
    </i>
    <i r="1">
      <x v="1933"/>
    </i>
    <i r="1">
      <x v="1934"/>
    </i>
    <i r="1">
      <x v="1935"/>
    </i>
    <i r="1">
      <x v="1936"/>
    </i>
    <i r="1">
      <x v="1937"/>
    </i>
    <i r="1">
      <x v="1938"/>
    </i>
    <i r="1">
      <x v="1939"/>
    </i>
    <i r="1">
      <x v="1940"/>
    </i>
    <i r="1">
      <x v="1941"/>
    </i>
    <i r="1">
      <x v="1942"/>
    </i>
    <i r="1">
      <x v="1947"/>
    </i>
    <i r="1">
      <x v="1949"/>
    </i>
    <i r="1">
      <x v="1950"/>
    </i>
    <i r="1">
      <x v="1953"/>
    </i>
    <i r="1">
      <x v="1954"/>
    </i>
    <i r="1">
      <x v="1955"/>
    </i>
    <i r="1">
      <x v="1956"/>
    </i>
    <i r="1">
      <x v="1958"/>
    </i>
    <i r="1">
      <x v="1970"/>
    </i>
    <i r="1">
      <x v="1971"/>
    </i>
    <i r="1">
      <x v="1972"/>
    </i>
    <i r="1">
      <x v="1973"/>
    </i>
    <i r="1">
      <x v="1974"/>
    </i>
    <i r="1">
      <x v="1975"/>
    </i>
    <i r="1">
      <x v="1976"/>
    </i>
    <i r="1">
      <x v="1977"/>
    </i>
    <i r="1">
      <x v="1978"/>
    </i>
    <i r="1">
      <x v="1980"/>
    </i>
    <i r="1">
      <x v="1981"/>
    </i>
    <i r="1">
      <x v="1982"/>
    </i>
    <i r="1">
      <x v="1983"/>
    </i>
    <i r="1">
      <x v="1984"/>
    </i>
    <i r="1">
      <x v="1985"/>
    </i>
    <i r="1">
      <x v="1986"/>
    </i>
    <i r="1">
      <x v="1987"/>
    </i>
    <i r="1">
      <x v="1988"/>
    </i>
    <i r="1">
      <x v="1989"/>
    </i>
    <i r="1">
      <x v="1990"/>
    </i>
    <i r="1">
      <x v="1991"/>
    </i>
    <i r="1">
      <x v="1995"/>
    </i>
    <i r="1">
      <x v="2007"/>
    </i>
    <i r="1">
      <x v="2008"/>
    </i>
    <i r="1">
      <x v="2009"/>
    </i>
    <i r="1">
      <x v="2010"/>
    </i>
    <i r="1">
      <x v="2011"/>
    </i>
    <i r="1">
      <x v="2012"/>
    </i>
    <i r="1">
      <x v="2013"/>
    </i>
    <i r="1">
      <x v="2014"/>
    </i>
    <i r="1">
      <x v="2017"/>
    </i>
    <i r="1">
      <x v="2018"/>
    </i>
    <i r="1">
      <x v="2019"/>
    </i>
    <i r="1">
      <x v="2020"/>
    </i>
    <i r="1">
      <x v="2024"/>
    </i>
    <i r="1">
      <x v="2025"/>
    </i>
    <i r="1">
      <x v="2026"/>
    </i>
    <i r="1">
      <x v="2038"/>
    </i>
    <i r="1">
      <x v="2050"/>
    </i>
    <i r="1">
      <x v="2052"/>
    </i>
    <i r="1">
      <x v="2053"/>
    </i>
    <i r="1">
      <x v="2059"/>
    </i>
    <i r="1">
      <x v="2071"/>
    </i>
    <i r="1">
      <x v="2072"/>
    </i>
    <i r="1">
      <x v="2073"/>
    </i>
    <i r="1">
      <x v="2074"/>
    </i>
    <i r="1">
      <x v="2075"/>
    </i>
    <i r="1">
      <x v="2076"/>
    </i>
    <i r="1">
      <x v="2077"/>
    </i>
    <i r="1">
      <x v="2085"/>
    </i>
    <i r="1">
      <x v="2088"/>
    </i>
    <i r="1">
      <x v="2089"/>
    </i>
    <i r="1">
      <x v="2090"/>
    </i>
    <i r="1">
      <x v="2093"/>
    </i>
    <i r="1">
      <x v="2094"/>
    </i>
    <i r="1">
      <x v="2099"/>
    </i>
    <i r="1">
      <x v="2103"/>
    </i>
    <i r="1">
      <x v="2104"/>
    </i>
    <i r="1">
      <x v="2105"/>
    </i>
    <i r="1">
      <x v="2107"/>
    </i>
    <i r="1">
      <x v="2109"/>
    </i>
    <i r="1">
      <x v="2110"/>
    </i>
    <i r="1">
      <x v="2111"/>
    </i>
    <i r="1">
      <x v="2112"/>
    </i>
    <i r="1">
      <x v="2113"/>
    </i>
    <i r="1">
      <x v="2114"/>
    </i>
    <i r="1">
      <x v="2115"/>
    </i>
    <i r="1">
      <x v="2116"/>
    </i>
    <i r="1">
      <x v="2117"/>
    </i>
    <i r="1">
      <x v="2118"/>
    </i>
    <i r="1">
      <x v="2119"/>
    </i>
    <i r="1">
      <x v="2120"/>
    </i>
    <i r="1">
      <x v="2121"/>
    </i>
    <i r="1">
      <x v="2122"/>
    </i>
    <i r="1">
      <x v="2123"/>
    </i>
    <i r="1">
      <x v="2124"/>
    </i>
    <i r="1">
      <x v="2125"/>
    </i>
    <i r="1">
      <x v="2126"/>
    </i>
    <i r="1">
      <x v="2127"/>
    </i>
    <i r="1">
      <x v="2128"/>
    </i>
    <i r="1">
      <x v="2129"/>
    </i>
    <i r="1">
      <x v="2130"/>
    </i>
    <i r="1">
      <x v="2131"/>
    </i>
    <i r="1">
      <x v="2132"/>
    </i>
    <i r="1">
      <x v="2133"/>
    </i>
    <i r="1">
      <x v="2134"/>
    </i>
    <i r="1">
      <x v="2135"/>
    </i>
    <i r="1">
      <x v="2136"/>
    </i>
    <i r="1">
      <x v="2137"/>
    </i>
    <i r="1">
      <x v="2138"/>
    </i>
    <i r="1">
      <x v="2139"/>
    </i>
    <i r="1">
      <x v="2142"/>
    </i>
    <i r="1">
      <x v="2146"/>
    </i>
    <i r="1">
      <x v="2147"/>
    </i>
    <i r="1">
      <x v="2152"/>
    </i>
    <i r="1">
      <x v="2153"/>
    </i>
    <i r="1">
      <x v="2158"/>
    </i>
    <i r="1">
      <x v="2159"/>
    </i>
    <i r="1">
      <x v="2162"/>
    </i>
    <i r="1">
      <x v="2163"/>
    </i>
    <i r="1">
      <x v="2164"/>
    </i>
    <i r="1">
      <x v="2167"/>
    </i>
    <i r="1">
      <x v="2168"/>
    </i>
    <i r="1">
      <x v="2170"/>
    </i>
    <i r="1">
      <x v="2171"/>
    </i>
    <i r="1">
      <x v="2172"/>
    </i>
    <i r="1">
      <x v="2173"/>
    </i>
    <i r="1">
      <x v="2174"/>
    </i>
    <i r="1">
      <x v="2175"/>
    </i>
    <i r="1">
      <x v="2176"/>
    </i>
    <i r="1">
      <x v="2177"/>
    </i>
    <i r="1">
      <x v="2178"/>
    </i>
    <i r="1">
      <x v="2179"/>
    </i>
    <i r="1">
      <x v="2180"/>
    </i>
    <i r="1">
      <x v="2181"/>
    </i>
    <i r="1">
      <x v="2182"/>
    </i>
    <i r="1">
      <x v="2183"/>
    </i>
    <i r="1">
      <x v="2184"/>
    </i>
    <i r="1">
      <x v="2185"/>
    </i>
    <i r="1">
      <x v="2186"/>
    </i>
    <i r="1">
      <x v="2187"/>
    </i>
    <i r="1">
      <x v="2188"/>
    </i>
    <i r="1">
      <x v="2189"/>
    </i>
    <i r="1">
      <x v="2190"/>
    </i>
    <i r="1">
      <x v="2194"/>
    </i>
    <i r="1">
      <x v="2195"/>
    </i>
    <i r="1">
      <x v="2196"/>
    </i>
    <i r="1">
      <x v="2197"/>
    </i>
    <i r="1">
      <x v="2198"/>
    </i>
    <i r="1">
      <x v="2199"/>
    </i>
    <i r="1">
      <x v="2200"/>
    </i>
    <i r="1">
      <x v="2201"/>
    </i>
    <i r="1">
      <x v="2202"/>
    </i>
    <i r="1">
      <x v="2203"/>
    </i>
    <i r="1">
      <x v="2204"/>
    </i>
    <i r="1">
      <x v="2205"/>
    </i>
    <i r="1">
      <x v="2206"/>
    </i>
    <i r="1">
      <x v="2207"/>
    </i>
    <i r="1">
      <x v="2208"/>
    </i>
    <i r="1">
      <x v="2209"/>
    </i>
    <i r="1">
      <x v="2210"/>
    </i>
    <i r="1">
      <x v="2211"/>
    </i>
    <i r="1">
      <x v="2212"/>
    </i>
    <i r="1">
      <x v="2213"/>
    </i>
    <i r="1">
      <x v="2214"/>
    </i>
    <i r="1">
      <x v="2215"/>
    </i>
    <i r="1">
      <x v="2216"/>
    </i>
    <i r="1">
      <x v="2217"/>
    </i>
    <i r="1">
      <x v="2218"/>
    </i>
    <i r="1">
      <x v="2219"/>
    </i>
    <i r="1">
      <x v="2221"/>
    </i>
    <i r="1">
      <x v="2222"/>
    </i>
    <i r="1">
      <x v="2223"/>
    </i>
    <i r="1">
      <x v="2224"/>
    </i>
    <i r="1">
      <x v="2225"/>
    </i>
    <i r="1">
      <x v="2226"/>
    </i>
    <i r="1">
      <x v="2227"/>
    </i>
    <i r="1">
      <x v="2228"/>
    </i>
    <i r="1">
      <x v="2229"/>
    </i>
    <i r="1">
      <x v="2230"/>
    </i>
    <i r="1">
      <x v="2231"/>
    </i>
    <i r="1">
      <x v="2232"/>
    </i>
    <i r="1">
      <x v="2233"/>
    </i>
    <i r="1">
      <x v="2234"/>
    </i>
    <i r="1">
      <x v="2235"/>
    </i>
    <i r="1">
      <x v="2236"/>
    </i>
    <i r="1">
      <x v="2237"/>
    </i>
    <i r="1">
      <x v="2238"/>
    </i>
    <i r="1">
      <x v="2239"/>
    </i>
    <i r="1">
      <x v="2240"/>
    </i>
    <i r="1">
      <x v="2241"/>
    </i>
    <i r="1">
      <x v="2242"/>
    </i>
    <i r="1">
      <x v="2243"/>
    </i>
    <i r="1">
      <x v="2244"/>
    </i>
    <i r="1">
      <x v="2245"/>
    </i>
    <i r="1">
      <x v="2246"/>
    </i>
    <i r="1">
      <x v="2247"/>
    </i>
    <i r="1">
      <x v="2248"/>
    </i>
    <i r="1">
      <x v="2249"/>
    </i>
    <i r="1">
      <x v="2250"/>
    </i>
    <i r="1">
      <x v="2251"/>
    </i>
    <i r="1">
      <x v="2252"/>
    </i>
    <i r="1">
      <x v="2253"/>
    </i>
    <i r="1">
      <x v="2254"/>
    </i>
    <i r="1">
      <x v="2255"/>
    </i>
    <i r="1">
      <x v="2256"/>
    </i>
    <i r="1">
      <x v="2257"/>
    </i>
    <i r="1">
      <x v="2258"/>
    </i>
    <i r="1">
      <x v="2259"/>
    </i>
    <i r="1">
      <x v="2260"/>
    </i>
    <i r="1">
      <x v="2261"/>
    </i>
    <i r="1">
      <x v="2262"/>
    </i>
    <i r="1">
      <x v="2263"/>
    </i>
    <i r="1">
      <x v="2264"/>
    </i>
    <i r="1">
      <x v="2265"/>
    </i>
    <i r="1">
      <x v="2266"/>
    </i>
    <i r="1">
      <x v="2267"/>
    </i>
    <i r="1">
      <x v="2268"/>
    </i>
    <i r="1">
      <x v="2269"/>
    </i>
    <i r="1">
      <x v="2270"/>
    </i>
    <i r="1">
      <x v="2271"/>
    </i>
    <i r="1">
      <x v="2272"/>
    </i>
    <i r="1">
      <x v="2273"/>
    </i>
    <i r="1">
      <x v="2274"/>
    </i>
    <i r="1">
      <x v="2275"/>
    </i>
    <i r="1">
      <x v="2276"/>
    </i>
    <i r="1">
      <x v="2277"/>
    </i>
    <i r="1">
      <x v="2278"/>
    </i>
    <i r="1">
      <x v="2280"/>
    </i>
    <i r="1">
      <x v="2281"/>
    </i>
    <i r="1">
      <x v="2282"/>
    </i>
    <i r="1">
      <x v="2283"/>
    </i>
    <i r="1">
      <x v="2284"/>
    </i>
    <i r="1">
      <x v="2285"/>
    </i>
    <i r="1">
      <x v="2286"/>
    </i>
    <i r="1">
      <x v="2287"/>
    </i>
    <i r="1">
      <x v="2288"/>
    </i>
    <i r="1">
      <x v="2290"/>
    </i>
    <i r="1">
      <x v="2291"/>
    </i>
    <i r="1">
      <x v="2292"/>
    </i>
    <i r="1">
      <x v="2293"/>
    </i>
    <i r="1">
      <x v="2294"/>
    </i>
    <i r="1">
      <x v="2295"/>
    </i>
    <i r="1">
      <x v="2296"/>
    </i>
    <i r="1">
      <x v="2297"/>
    </i>
    <i r="1">
      <x v="2298"/>
    </i>
    <i r="1">
      <x v="2299"/>
    </i>
    <i r="1">
      <x v="2300"/>
    </i>
    <i r="1">
      <x v="2301"/>
    </i>
    <i r="1">
      <x v="2302"/>
    </i>
    <i r="1">
      <x v="2303"/>
    </i>
    <i r="1">
      <x v="2304"/>
    </i>
    <i r="1">
      <x v="2305"/>
    </i>
    <i r="1">
      <x v="2306"/>
    </i>
    <i r="1">
      <x v="2307"/>
    </i>
    <i r="1">
      <x v="2308"/>
    </i>
    <i r="1">
      <x v="2309"/>
    </i>
    <i r="1">
      <x v="2310"/>
    </i>
    <i r="1">
      <x v="2311"/>
    </i>
    <i r="1">
      <x v="2312"/>
    </i>
    <i r="1">
      <x v="2313"/>
    </i>
    <i r="1">
      <x v="2314"/>
    </i>
    <i r="1">
      <x v="2315"/>
    </i>
    <i r="1">
      <x v="2316"/>
    </i>
    <i r="1">
      <x v="2317"/>
    </i>
    <i r="1">
      <x v="2318"/>
    </i>
    <i r="1">
      <x v="2319"/>
    </i>
    <i r="1">
      <x v="2320"/>
    </i>
    <i r="1">
      <x v="2328"/>
    </i>
    <i r="1">
      <x v="2331"/>
    </i>
    <i r="1">
      <x v="2332"/>
    </i>
    <i r="1">
      <x v="2333"/>
    </i>
    <i r="1">
      <x v="2336"/>
    </i>
    <i r="1">
      <x v="2339"/>
    </i>
    <i r="1">
      <x v="2340"/>
    </i>
    <i r="1">
      <x v="2341"/>
    </i>
    <i r="1">
      <x v="2343"/>
    </i>
    <i r="1">
      <x v="2344"/>
    </i>
    <i r="1">
      <x v="2345"/>
    </i>
    <i r="1">
      <x v="2346"/>
    </i>
    <i r="1">
      <x v="2347"/>
    </i>
    <i r="1">
      <x v="2348"/>
    </i>
    <i r="1">
      <x v="2349"/>
    </i>
    <i r="1">
      <x v="2350"/>
    </i>
    <i r="1">
      <x v="2351"/>
    </i>
    <i r="1">
      <x v="2352"/>
    </i>
    <i r="1">
      <x v="2353"/>
    </i>
    <i r="1">
      <x v="2354"/>
    </i>
    <i r="1">
      <x v="2368"/>
    </i>
    <i r="1">
      <x v="2370"/>
    </i>
    <i r="1">
      <x v="2373"/>
    </i>
    <i r="1">
      <x v="2374"/>
    </i>
    <i r="1">
      <x v="2375"/>
    </i>
    <i r="1">
      <x v="2376"/>
    </i>
    <i r="1">
      <x v="2377"/>
    </i>
    <i r="1">
      <x v="2378"/>
    </i>
    <i r="1">
      <x v="2379"/>
    </i>
    <i r="1">
      <x v="2380"/>
    </i>
    <i r="1">
      <x v="2381"/>
    </i>
    <i r="1">
      <x v="2382"/>
    </i>
    <i r="1">
      <x v="2383"/>
    </i>
    <i r="1">
      <x v="2389"/>
    </i>
    <i r="1">
      <x v="2390"/>
    </i>
    <i r="1">
      <x v="2391"/>
    </i>
    <i r="1">
      <x v="2392"/>
    </i>
    <i r="1">
      <x v="2393"/>
    </i>
    <i r="1">
      <x v="2394"/>
    </i>
    <i r="1">
      <x v="2400"/>
    </i>
    <i r="1">
      <x v="2401"/>
    </i>
    <i r="1">
      <x v="2402"/>
    </i>
    <i r="1">
      <x v="2405"/>
    </i>
    <i r="1">
      <x v="2406"/>
    </i>
    <i r="1">
      <x v="2407"/>
    </i>
    <i r="1">
      <x v="2413"/>
    </i>
    <i r="1">
      <x v="2416"/>
    </i>
    <i r="1">
      <x v="2417"/>
    </i>
    <i r="1">
      <x v="2421"/>
    </i>
    <i r="1">
      <x v="2428"/>
    </i>
    <i r="1">
      <x v="2429"/>
    </i>
    <i r="1">
      <x v="2430"/>
    </i>
    <i r="1">
      <x v="2432"/>
    </i>
    <i r="1">
      <x v="2436"/>
    </i>
    <i r="1">
      <x v="2455"/>
    </i>
    <i r="1">
      <x v="2458"/>
    </i>
    <i r="1">
      <x v="2459"/>
    </i>
    <i r="1">
      <x v="2460"/>
    </i>
    <i r="1">
      <x v="2463"/>
    </i>
    <i r="1">
      <x v="2468"/>
    </i>
    <i r="1">
      <x v="2475"/>
    </i>
    <i r="1">
      <x v="2476"/>
    </i>
    <i r="1">
      <x v="2477"/>
    </i>
    <i r="1">
      <x v="2478"/>
    </i>
    <i r="1">
      <x v="2479"/>
    </i>
    <i r="1">
      <x v="2481"/>
    </i>
    <i r="1">
      <x v="2482"/>
    </i>
    <i r="1">
      <x v="2483"/>
    </i>
    <i r="1">
      <x v="2485"/>
    </i>
    <i r="1">
      <x v="2486"/>
    </i>
    <i r="1">
      <x v="2487"/>
    </i>
    <i r="1">
      <x v="2488"/>
    </i>
    <i r="1">
      <x v="2489"/>
    </i>
    <i r="1">
      <x v="2490"/>
    </i>
    <i r="1">
      <x v="2491"/>
    </i>
    <i r="1">
      <x v="2492"/>
    </i>
    <i r="1">
      <x v="2493"/>
    </i>
    <i r="1">
      <x v="2496"/>
    </i>
    <i r="1">
      <x v="2497"/>
    </i>
    <i r="1">
      <x v="2498"/>
    </i>
    <i r="1">
      <x v="2499"/>
    </i>
    <i r="1">
      <x v="2500"/>
    </i>
    <i r="1">
      <x v="2501"/>
    </i>
    <i r="1">
      <x v="2502"/>
    </i>
    <i r="1">
      <x v="2503"/>
    </i>
    <i r="1">
      <x v="2504"/>
    </i>
    <i r="1">
      <x v="2505"/>
    </i>
    <i r="1">
      <x v="2506"/>
    </i>
    <i r="1">
      <x v="2507"/>
    </i>
    <i r="1">
      <x v="2508"/>
    </i>
    <i r="1">
      <x v="2509"/>
    </i>
    <i r="1">
      <x v="2510"/>
    </i>
    <i r="1">
      <x v="2511"/>
    </i>
    <i r="1">
      <x v="2512"/>
    </i>
    <i r="1">
      <x v="2517"/>
    </i>
    <i r="1">
      <x v="2521"/>
    </i>
    <i r="1">
      <x v="2522"/>
    </i>
    <i r="1">
      <x v="2523"/>
    </i>
    <i r="1">
      <x v="2529"/>
    </i>
    <i r="1">
      <x v="2534"/>
    </i>
    <i r="1">
      <x v="2537"/>
    </i>
    <i r="1">
      <x v="2538"/>
    </i>
    <i r="1">
      <x v="2539"/>
    </i>
    <i r="1">
      <x v="2540"/>
    </i>
    <i r="1">
      <x v="2541"/>
    </i>
    <i r="1">
      <x v="2542"/>
    </i>
    <i r="1">
      <x v="2543"/>
    </i>
    <i r="1">
      <x v="2544"/>
    </i>
    <i r="1">
      <x v="2545"/>
    </i>
    <i r="1">
      <x v="2546"/>
    </i>
    <i r="1">
      <x v="2547"/>
    </i>
    <i r="1">
      <x v="2548"/>
    </i>
    <i r="1">
      <x v="2549"/>
    </i>
    <i r="1">
      <x v="2550"/>
    </i>
    <i r="1">
      <x v="2551"/>
    </i>
    <i r="1">
      <x v="2552"/>
    </i>
    <i r="1">
      <x v="2553"/>
    </i>
    <i r="1">
      <x v="2554"/>
    </i>
    <i r="1">
      <x v="2555"/>
    </i>
    <i r="1">
      <x v="2556"/>
    </i>
    <i r="1">
      <x v="2557"/>
    </i>
    <i r="1">
      <x v="2558"/>
    </i>
    <i r="1">
      <x v="2560"/>
    </i>
    <i r="1">
      <x v="2561"/>
    </i>
    <i r="1">
      <x v="2562"/>
    </i>
    <i r="1">
      <x v="2563"/>
    </i>
    <i r="1">
      <x v="2564"/>
    </i>
    <i r="1">
      <x v="2570"/>
    </i>
    <i r="1">
      <x v="2571"/>
    </i>
    <i r="1">
      <x v="2572"/>
    </i>
    <i r="1">
      <x v="2573"/>
    </i>
    <i r="1">
      <x v="2574"/>
    </i>
    <i r="1">
      <x v="2575"/>
    </i>
    <i r="1">
      <x v="2576"/>
    </i>
    <i r="1">
      <x v="2577"/>
    </i>
    <i r="1">
      <x v="2578"/>
    </i>
    <i r="1">
      <x v="2579"/>
    </i>
    <i r="1">
      <x v="2580"/>
    </i>
    <i r="1">
      <x v="2581"/>
    </i>
    <i r="1">
      <x v="2582"/>
    </i>
    <i r="1">
      <x v="2583"/>
    </i>
    <i r="1">
      <x v="2584"/>
    </i>
    <i r="1">
      <x v="2585"/>
    </i>
    <i r="1">
      <x v="2586"/>
    </i>
    <i r="1">
      <x v="2587"/>
    </i>
    <i r="1">
      <x v="2588"/>
    </i>
    <i r="1">
      <x v="2589"/>
    </i>
    <i r="1">
      <x v="2590"/>
    </i>
    <i r="1">
      <x v="2591"/>
    </i>
    <i r="1">
      <x v="2592"/>
    </i>
    <i r="1">
      <x v="2593"/>
    </i>
    <i r="1">
      <x v="2594"/>
    </i>
    <i r="1">
      <x v="2595"/>
    </i>
    <i r="1">
      <x v="2596"/>
    </i>
    <i r="1">
      <x v="2597"/>
    </i>
    <i r="1">
      <x v="2598"/>
    </i>
    <i r="1">
      <x v="2599"/>
    </i>
    <i r="1">
      <x v="2600"/>
    </i>
    <i r="1">
      <x v="2601"/>
    </i>
    <i r="1">
      <x v="2602"/>
    </i>
    <i r="1">
      <x v="2604"/>
    </i>
    <i r="1">
      <x v="2605"/>
    </i>
    <i r="1">
      <x v="2606"/>
    </i>
    <i r="1">
      <x v="2607"/>
    </i>
    <i r="1">
      <x v="2608"/>
    </i>
    <i r="1">
      <x v="2609"/>
    </i>
    <i r="1">
      <x v="2610"/>
    </i>
    <i r="1">
      <x v="2611"/>
    </i>
    <i r="1">
      <x v="2612"/>
    </i>
    <i r="1">
      <x v="2613"/>
    </i>
    <i r="1">
      <x v="2614"/>
    </i>
    <i r="1">
      <x v="2615"/>
    </i>
    <i r="1">
      <x v="2616"/>
    </i>
    <i r="1">
      <x v="2617"/>
    </i>
    <i r="1">
      <x v="2618"/>
    </i>
    <i r="1">
      <x v="2619"/>
    </i>
    <i r="1">
      <x v="2620"/>
    </i>
    <i r="1">
      <x v="2621"/>
    </i>
    <i r="1">
      <x v="2622"/>
    </i>
    <i r="1">
      <x v="2623"/>
    </i>
    <i r="1">
      <x v="2624"/>
    </i>
    <i r="1">
      <x v="2625"/>
    </i>
    <i r="1">
      <x v="2626"/>
    </i>
    <i r="1">
      <x v="2627"/>
    </i>
    <i r="1">
      <x v="2628"/>
    </i>
    <i r="1">
      <x v="2629"/>
    </i>
    <i r="1">
      <x v="2630"/>
    </i>
    <i r="1">
      <x v="2631"/>
    </i>
    <i r="1">
      <x v="2632"/>
    </i>
    <i r="1">
      <x v="2633"/>
    </i>
    <i r="1">
      <x v="2634"/>
    </i>
    <i r="1">
      <x v="2635"/>
    </i>
    <i r="1">
      <x v="2636"/>
    </i>
    <i r="1">
      <x v="2637"/>
    </i>
    <i r="1">
      <x v="2638"/>
    </i>
    <i r="1">
      <x v="2639"/>
    </i>
    <i r="1">
      <x v="2640"/>
    </i>
    <i r="1">
      <x v="2641"/>
    </i>
    <i r="1">
      <x v="2642"/>
    </i>
    <i r="1">
      <x v="2643"/>
    </i>
    <i r="1">
      <x v="2644"/>
    </i>
    <i r="1">
      <x v="2645"/>
    </i>
    <i r="1">
      <x v="2646"/>
    </i>
    <i r="1">
      <x v="2647"/>
    </i>
    <i r="1">
      <x v="2648"/>
    </i>
    <i r="1">
      <x v="2649"/>
    </i>
    <i r="1">
      <x v="2650"/>
    </i>
    <i r="1">
      <x v="2651"/>
    </i>
    <i r="1">
      <x v="2652"/>
    </i>
    <i r="1">
      <x v="2653"/>
    </i>
    <i r="1">
      <x v="2654"/>
    </i>
    <i r="1">
      <x v="2655"/>
    </i>
    <i r="1">
      <x v="2656"/>
    </i>
    <i r="1">
      <x v="2657"/>
    </i>
    <i r="1">
      <x v="2658"/>
    </i>
    <i r="1">
      <x v="2659"/>
    </i>
    <i r="1">
      <x v="2660"/>
    </i>
    <i r="1">
      <x v="2661"/>
    </i>
    <i r="1">
      <x v="2662"/>
    </i>
    <i r="1">
      <x v="2664"/>
    </i>
    <i r="1">
      <x v="2665"/>
    </i>
    <i r="1">
      <x v="2666"/>
    </i>
    <i r="1">
      <x v="2667"/>
    </i>
    <i r="1">
      <x v="2668"/>
    </i>
    <i r="1">
      <x v="2669"/>
    </i>
    <i r="1">
      <x v="2670"/>
    </i>
    <i r="1">
      <x v="2671"/>
    </i>
    <i r="1">
      <x v="2673"/>
    </i>
    <i r="1">
      <x v="2675"/>
    </i>
    <i r="1">
      <x v="2676"/>
    </i>
    <i r="1">
      <x v="2677"/>
    </i>
    <i r="1">
      <x v="2678"/>
    </i>
    <i r="1">
      <x v="2679"/>
    </i>
    <i r="1">
      <x v="2680"/>
    </i>
    <i r="1">
      <x v="2681"/>
    </i>
    <i r="1">
      <x v="2682"/>
    </i>
    <i r="1">
      <x v="2683"/>
    </i>
    <i r="1">
      <x v="2684"/>
    </i>
    <i r="1">
      <x v="2685"/>
    </i>
    <i r="1">
      <x v="2686"/>
    </i>
    <i r="1">
      <x v="2687"/>
    </i>
    <i r="1">
      <x v="2688"/>
    </i>
    <i r="1">
      <x v="2689"/>
    </i>
    <i r="1">
      <x v="2690"/>
    </i>
    <i r="1">
      <x v="2691"/>
    </i>
    <i r="1">
      <x v="2692"/>
    </i>
    <i r="1">
      <x v="2693"/>
    </i>
    <i r="1">
      <x v="2694"/>
    </i>
    <i r="1">
      <x v="2696"/>
    </i>
    <i r="1">
      <x v="2697"/>
    </i>
    <i r="1">
      <x v="2698"/>
    </i>
    <i r="1">
      <x v="2699"/>
    </i>
    <i r="1">
      <x v="2700"/>
    </i>
    <i r="1">
      <x v="2701"/>
    </i>
    <i r="1">
      <x v="2702"/>
    </i>
    <i r="1">
      <x v="2703"/>
    </i>
    <i r="1">
      <x v="2704"/>
    </i>
    <i r="1">
      <x v="2705"/>
    </i>
    <i r="1">
      <x v="2706"/>
    </i>
    <i r="1">
      <x v="2707"/>
    </i>
    <i r="1">
      <x v="2708"/>
    </i>
    <i r="1">
      <x v="2709"/>
    </i>
    <i r="1">
      <x v="2710"/>
    </i>
    <i r="1">
      <x v="2711"/>
    </i>
    <i r="1">
      <x v="2712"/>
    </i>
    <i r="1">
      <x v="2713"/>
    </i>
    <i r="1">
      <x v="2714"/>
    </i>
    <i r="1">
      <x v="2715"/>
    </i>
    <i r="1">
      <x v="2716"/>
    </i>
    <i r="1">
      <x v="2717"/>
    </i>
    <i r="1">
      <x v="2718"/>
    </i>
    <i r="1">
      <x v="2719"/>
    </i>
    <i r="1">
      <x v="2720"/>
    </i>
    <i r="1">
      <x v="2721"/>
    </i>
    <i r="1">
      <x v="2722"/>
    </i>
    <i r="1">
      <x v="2723"/>
    </i>
    <i r="1">
      <x v="2724"/>
    </i>
    <i r="1">
      <x v="2725"/>
    </i>
    <i r="1">
      <x v="2726"/>
    </i>
    <i r="1">
      <x v="2727"/>
    </i>
    <i r="1">
      <x v="2728"/>
    </i>
    <i r="1">
      <x v="2729"/>
    </i>
    <i r="1">
      <x v="2730"/>
    </i>
    <i r="1">
      <x v="2731"/>
    </i>
    <i r="1">
      <x v="2732"/>
    </i>
    <i r="1">
      <x v="2733"/>
    </i>
    <i r="1">
      <x v="2734"/>
    </i>
    <i r="1">
      <x v="2738"/>
    </i>
    <i r="1">
      <x v="2739"/>
    </i>
    <i r="1">
      <x v="2740"/>
    </i>
    <i r="1">
      <x v="2745"/>
    </i>
    <i r="1">
      <x v="2746"/>
    </i>
    <i r="1">
      <x v="2747"/>
    </i>
    <i r="1">
      <x v="2748"/>
    </i>
    <i r="1">
      <x v="2749"/>
    </i>
    <i r="1">
      <x v="2755"/>
    </i>
    <i r="1">
      <x v="2756"/>
    </i>
    <i r="1">
      <x v="2757"/>
    </i>
    <i r="1">
      <x v="2758"/>
    </i>
    <i r="1">
      <x v="2759"/>
    </i>
    <i r="1">
      <x v="2760"/>
    </i>
    <i r="1">
      <x v="2764"/>
    </i>
    <i r="1">
      <x v="2766"/>
    </i>
    <i r="1">
      <x v="2767"/>
    </i>
    <i r="1">
      <x v="2768"/>
    </i>
    <i>
      <x v="11"/>
      <x v="1"/>
    </i>
    <i r="1">
      <x v="7"/>
    </i>
    <i r="1">
      <x v="11"/>
    </i>
    <i r="1">
      <x v="25"/>
    </i>
    <i r="1">
      <x v="48"/>
    </i>
    <i r="1">
      <x v="51"/>
    </i>
    <i r="1">
      <x v="102"/>
    </i>
    <i r="1">
      <x v="110"/>
    </i>
    <i r="1">
      <x v="175"/>
    </i>
    <i r="1">
      <x v="182"/>
    </i>
    <i r="1">
      <x v="230"/>
    </i>
    <i r="1">
      <x v="243"/>
    </i>
    <i r="1">
      <x v="248"/>
    </i>
    <i r="1">
      <x v="301"/>
    </i>
    <i r="1">
      <x v="419"/>
    </i>
    <i r="1">
      <x v="441"/>
    </i>
    <i r="1">
      <x v="472"/>
    </i>
    <i r="1">
      <x v="502"/>
    </i>
    <i r="1">
      <x v="504"/>
    </i>
    <i r="1">
      <x v="530"/>
    </i>
    <i r="1">
      <x v="545"/>
    </i>
    <i>
      <x v="12"/>
      <x v="6"/>
    </i>
    <i r="1">
      <x v="50"/>
    </i>
    <i r="1">
      <x v="81"/>
    </i>
    <i r="1">
      <x v="82"/>
    </i>
    <i r="1">
      <x v="106"/>
    </i>
    <i r="1">
      <x v="187"/>
    </i>
    <i r="1">
      <x v="192"/>
    </i>
    <i r="1">
      <x v="218"/>
    </i>
    <i r="1">
      <x v="373"/>
    </i>
    <i r="1">
      <x v="557"/>
    </i>
    <i r="1">
      <x v="559"/>
    </i>
    <i r="1">
      <x v="560"/>
    </i>
    <i r="1">
      <x v="563"/>
    </i>
    <i r="1">
      <x v="565"/>
    </i>
    <i r="1">
      <x v="568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60"/>
    </i>
    <i r="1">
      <x v="661"/>
    </i>
    <i r="1">
      <x v="662"/>
    </i>
    <i r="1">
      <x v="665"/>
    </i>
    <i r="1">
      <x v="667"/>
    </i>
    <i r="1">
      <x v="668"/>
    </i>
    <i r="1">
      <x v="669"/>
    </i>
    <i r="1">
      <x v="670"/>
    </i>
    <i r="1">
      <x v="671"/>
    </i>
    <i r="1">
      <x v="678"/>
    </i>
    <i r="1">
      <x v="680"/>
    </i>
    <i r="1">
      <x v="681"/>
    </i>
    <i r="1">
      <x v="682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3"/>
    </i>
    <i r="1">
      <x v="695"/>
    </i>
    <i r="1">
      <x v="698"/>
    </i>
    <i r="1">
      <x v="699"/>
    </i>
    <i r="1">
      <x v="706"/>
    </i>
    <i r="1">
      <x v="707"/>
    </i>
    <i r="1">
      <x v="712"/>
    </i>
    <i r="1">
      <x v="713"/>
    </i>
    <i r="1">
      <x v="714"/>
    </i>
    <i r="1">
      <x v="716"/>
    </i>
    <i r="1">
      <x v="720"/>
    </i>
    <i r="1">
      <x v="721"/>
    </i>
    <i r="1">
      <x v="722"/>
    </i>
    <i r="1">
      <x v="723"/>
    </i>
    <i r="1">
      <x v="728"/>
    </i>
    <i r="1">
      <x v="731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3"/>
    </i>
    <i r="1">
      <x v="774"/>
    </i>
    <i r="1">
      <x v="775"/>
    </i>
    <i r="1">
      <x v="782"/>
    </i>
    <i r="1">
      <x v="783"/>
    </i>
    <i r="1">
      <x v="784"/>
    </i>
    <i r="1">
      <x v="785"/>
    </i>
    <i r="1">
      <x v="786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5"/>
    </i>
    <i r="1">
      <x v="834"/>
    </i>
    <i r="1">
      <x v="837"/>
    </i>
    <i r="1">
      <x v="840"/>
    </i>
    <i r="1">
      <x v="855"/>
    </i>
    <i r="1">
      <x v="857"/>
    </i>
    <i r="1">
      <x v="858"/>
    </i>
    <i r="1">
      <x v="859"/>
    </i>
    <i r="1">
      <x v="860"/>
    </i>
    <i r="1">
      <x v="863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8"/>
    </i>
    <i r="1">
      <x v="879"/>
    </i>
    <i r="1">
      <x v="882"/>
    </i>
    <i r="1">
      <x v="894"/>
    </i>
    <i r="1">
      <x v="902"/>
    </i>
    <i r="1">
      <x v="904"/>
    </i>
    <i r="1">
      <x v="911"/>
    </i>
    <i r="1">
      <x v="916"/>
    </i>
    <i r="1">
      <x v="917"/>
    </i>
    <i r="1">
      <x v="923"/>
    </i>
    <i r="1">
      <x v="924"/>
    </i>
    <i r="1">
      <x v="925"/>
    </i>
    <i r="1">
      <x v="926"/>
    </i>
    <i r="1">
      <x v="930"/>
    </i>
    <i r="1">
      <x v="932"/>
    </i>
    <i r="1">
      <x v="933"/>
    </i>
    <i r="1">
      <x v="936"/>
    </i>
    <i r="1">
      <x v="938"/>
    </i>
    <i r="1">
      <x v="943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72"/>
    </i>
    <i r="1">
      <x v="973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1029"/>
    </i>
    <i r="1">
      <x v="1051"/>
    </i>
    <i r="1">
      <x v="1052"/>
    </i>
    <i r="1">
      <x v="1053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92"/>
    </i>
    <i r="1">
      <x v="1099"/>
    </i>
    <i r="1">
      <x v="1101"/>
    </i>
    <i r="1">
      <x v="1179"/>
    </i>
    <i r="1">
      <x v="1219"/>
    </i>
    <i r="1">
      <x v="1231"/>
    </i>
    <i r="1">
      <x v="1244"/>
    </i>
    <i r="1">
      <x v="1245"/>
    </i>
    <i r="1">
      <x v="1280"/>
    </i>
    <i r="1">
      <x v="1352"/>
    </i>
    <i r="1">
      <x v="1355"/>
    </i>
    <i r="1">
      <x v="1361"/>
    </i>
    <i r="1">
      <x v="1374"/>
    </i>
    <i r="1">
      <x v="1386"/>
    </i>
    <i r="1">
      <x v="1396"/>
    </i>
    <i r="1">
      <x v="1397"/>
    </i>
    <i r="1">
      <x v="1415"/>
    </i>
    <i r="1">
      <x v="1418"/>
    </i>
    <i r="1">
      <x v="1428"/>
    </i>
    <i r="1">
      <x v="1429"/>
    </i>
    <i r="1">
      <x v="1436"/>
    </i>
    <i r="1">
      <x v="1438"/>
    </i>
    <i r="1">
      <x v="1439"/>
    </i>
    <i r="1">
      <x v="1442"/>
    </i>
    <i r="1">
      <x v="1454"/>
    </i>
    <i r="1">
      <x v="1464"/>
    </i>
    <i r="1">
      <x v="1465"/>
    </i>
    <i r="1">
      <x v="1467"/>
    </i>
    <i r="1">
      <x v="1482"/>
    </i>
    <i r="1">
      <x v="1486"/>
    </i>
    <i r="1">
      <x v="1492"/>
    </i>
    <i r="1">
      <x v="1494"/>
    </i>
    <i r="1">
      <x v="1618"/>
    </i>
    <i r="1">
      <x v="1772"/>
    </i>
    <i r="1">
      <x v="1946"/>
    </i>
    <i r="1">
      <x v="1951"/>
    </i>
    <i r="1">
      <x v="1952"/>
    </i>
    <i r="1">
      <x v="1979"/>
    </i>
    <i r="1">
      <x v="1995"/>
    </i>
    <i r="1">
      <x v="1996"/>
    </i>
    <i r="1">
      <x v="2035"/>
    </i>
    <i r="1">
      <x v="2058"/>
    </i>
    <i r="1">
      <x v="2102"/>
    </i>
    <i r="1">
      <x v="2193"/>
    </i>
    <i r="1">
      <x v="2342"/>
    </i>
    <i r="1">
      <x v="2415"/>
    </i>
    <i r="1">
      <x v="2422"/>
    </i>
    <i r="1">
      <x v="2423"/>
    </i>
    <i r="1">
      <x v="2424"/>
    </i>
    <i r="1">
      <x v="2425"/>
    </i>
    <i r="1">
      <x v="2433"/>
    </i>
    <i r="1">
      <x v="2453"/>
    </i>
    <i r="1">
      <x v="2454"/>
    </i>
    <i r="1">
      <x v="2519"/>
    </i>
    <i r="1">
      <x v="2520"/>
    </i>
    <i>
      <x v="13"/>
      <x v="20"/>
    </i>
    <i r="1">
      <x v="38"/>
    </i>
    <i r="1">
      <x v="60"/>
    </i>
    <i r="1">
      <x v="68"/>
    </i>
    <i r="1">
      <x v="125"/>
    </i>
    <i r="1">
      <x v="233"/>
    </i>
    <i r="1">
      <x v="296"/>
    </i>
    <i r="1">
      <x v="312"/>
    </i>
    <i r="1">
      <x v="314"/>
    </i>
    <i r="1">
      <x v="334"/>
    </i>
    <i r="1">
      <x v="335"/>
    </i>
    <i r="1">
      <x v="355"/>
    </i>
    <i r="1">
      <x v="369"/>
    </i>
    <i r="1">
      <x v="372"/>
    </i>
    <i r="1">
      <x v="404"/>
    </i>
    <i r="1">
      <x v="453"/>
    </i>
    <i r="1">
      <x v="476"/>
    </i>
    <i r="1">
      <x v="522"/>
    </i>
    <i r="1">
      <x v="549"/>
    </i>
    <i r="1">
      <x v="561"/>
    </i>
    <i r="1">
      <x v="659"/>
    </i>
    <i r="1">
      <x v="676"/>
    </i>
    <i r="1">
      <x v="718"/>
    </i>
    <i r="1">
      <x v="781"/>
    </i>
    <i r="1">
      <x v="846"/>
    </i>
    <i r="1">
      <x v="894"/>
    </i>
    <i r="1">
      <x v="903"/>
    </i>
    <i r="1">
      <x v="927"/>
    </i>
    <i r="1">
      <x v="1265"/>
    </i>
    <i r="1">
      <x v="1266"/>
    </i>
    <i r="1">
      <x v="1268"/>
    </i>
    <i r="1">
      <x v="1310"/>
    </i>
    <i r="1">
      <x v="1387"/>
    </i>
    <i r="1">
      <x v="1514"/>
    </i>
    <i r="1">
      <x v="1602"/>
    </i>
    <i r="1">
      <x v="2057"/>
    </i>
    <i r="1">
      <x v="2191"/>
    </i>
    <i r="1">
      <x v="2192"/>
    </i>
    <i r="1">
      <x v="2220"/>
    </i>
    <i r="1">
      <x v="2338"/>
    </i>
    <i r="1">
      <x v="2365"/>
    </i>
    <i r="1">
      <x v="2408"/>
    </i>
    <i r="1">
      <x v="2437"/>
    </i>
    <i r="1">
      <x v="2480"/>
    </i>
    <i r="1">
      <x v="2514"/>
    </i>
    <i r="1">
      <x v="2535"/>
    </i>
    <i r="1">
      <x v="2536"/>
    </i>
    <i r="1">
      <x v="2772"/>
    </i>
    <i r="1">
      <x v="2773"/>
    </i>
    <i r="1">
      <x v="2776"/>
    </i>
    <i r="1">
      <x v="2777"/>
    </i>
    <i r="1">
      <x v="2779"/>
    </i>
    <i>
      <x v="14"/>
      <x v="3"/>
    </i>
    <i r="1">
      <x v="4"/>
    </i>
    <i r="1">
      <x v="8"/>
    </i>
    <i r="1">
      <x v="10"/>
    </i>
    <i r="1">
      <x v="14"/>
    </i>
    <i r="1">
      <x v="18"/>
    </i>
    <i r="1">
      <x v="29"/>
    </i>
    <i r="1">
      <x v="42"/>
    </i>
    <i r="1">
      <x v="45"/>
    </i>
    <i r="1">
      <x v="53"/>
    </i>
    <i r="1">
      <x v="65"/>
    </i>
    <i r="1">
      <x v="66"/>
    </i>
    <i r="1">
      <x v="67"/>
    </i>
    <i r="1">
      <x v="70"/>
    </i>
    <i r="1">
      <x v="88"/>
    </i>
    <i r="1">
      <x v="94"/>
    </i>
    <i r="1">
      <x v="98"/>
    </i>
    <i r="1">
      <x v="104"/>
    </i>
    <i r="1">
      <x v="108"/>
    </i>
    <i r="1">
      <x v="118"/>
    </i>
    <i r="1">
      <x v="123"/>
    </i>
    <i r="1">
      <x v="127"/>
    </i>
    <i r="1">
      <x v="136"/>
    </i>
    <i r="1">
      <x v="144"/>
    </i>
    <i r="1">
      <x v="159"/>
    </i>
    <i r="1">
      <x v="166"/>
    </i>
    <i r="1">
      <x v="167"/>
    </i>
    <i r="1">
      <x v="181"/>
    </i>
    <i r="1">
      <x v="183"/>
    </i>
    <i r="1">
      <x v="193"/>
    </i>
    <i r="1">
      <x v="194"/>
    </i>
    <i r="1">
      <x v="197"/>
    </i>
    <i r="1">
      <x v="201"/>
    </i>
    <i r="1">
      <x v="202"/>
    </i>
    <i r="1">
      <x v="209"/>
    </i>
    <i r="1">
      <x v="214"/>
    </i>
    <i r="1">
      <x v="217"/>
    </i>
    <i r="1">
      <x v="218"/>
    </i>
    <i r="1">
      <x v="224"/>
    </i>
    <i r="1">
      <x v="226"/>
    </i>
    <i r="1">
      <x v="227"/>
    </i>
    <i r="1">
      <x v="231"/>
    </i>
    <i r="1">
      <x v="233"/>
    </i>
    <i r="1">
      <x v="241"/>
    </i>
    <i r="1">
      <x v="242"/>
    </i>
    <i r="1">
      <x v="252"/>
    </i>
    <i r="1">
      <x v="264"/>
    </i>
    <i r="1">
      <x v="269"/>
    </i>
    <i r="1">
      <x v="284"/>
    </i>
    <i r="1">
      <x v="287"/>
    </i>
    <i r="1">
      <x v="291"/>
    </i>
    <i r="1">
      <x v="310"/>
    </i>
    <i r="1">
      <x v="316"/>
    </i>
    <i r="1">
      <x v="318"/>
    </i>
    <i r="1">
      <x v="319"/>
    </i>
    <i r="1">
      <x v="325"/>
    </i>
    <i r="1">
      <x v="327"/>
    </i>
    <i r="1">
      <x v="351"/>
    </i>
    <i r="1">
      <x v="366"/>
    </i>
    <i r="1">
      <x v="371"/>
    </i>
    <i r="1">
      <x v="383"/>
    </i>
    <i r="1">
      <x v="388"/>
    </i>
    <i r="1">
      <x v="393"/>
    </i>
    <i r="1">
      <x v="394"/>
    </i>
    <i r="1">
      <x v="410"/>
    </i>
    <i r="1">
      <x v="414"/>
    </i>
    <i r="1">
      <x v="416"/>
    </i>
    <i r="1">
      <x v="423"/>
    </i>
    <i r="1">
      <x v="432"/>
    </i>
    <i r="1">
      <x v="436"/>
    </i>
    <i r="1">
      <x v="438"/>
    </i>
    <i r="1">
      <x v="440"/>
    </i>
    <i r="1">
      <x v="443"/>
    </i>
    <i r="1">
      <x v="454"/>
    </i>
    <i r="1">
      <x v="461"/>
    </i>
    <i r="1">
      <x v="474"/>
    </i>
    <i r="1">
      <x v="477"/>
    </i>
    <i r="1">
      <x v="479"/>
    </i>
    <i r="1">
      <x v="482"/>
    </i>
    <i r="1">
      <x v="491"/>
    </i>
    <i r="1">
      <x v="509"/>
    </i>
    <i r="1">
      <x v="511"/>
    </i>
    <i r="1">
      <x v="514"/>
    </i>
    <i r="1">
      <x v="538"/>
    </i>
    <i r="1">
      <x v="543"/>
    </i>
    <i r="1">
      <x v="544"/>
    </i>
    <i r="1">
      <x v="548"/>
    </i>
    <i r="1">
      <x v="664"/>
    </i>
    <i r="1">
      <x v="764"/>
    </i>
    <i r="1">
      <x v="768"/>
    </i>
    <i r="1">
      <x v="919"/>
    </i>
    <i r="1">
      <x v="2155"/>
    </i>
    <i>
      <x v="15"/>
      <x/>
    </i>
    <i r="1">
      <x v="91"/>
    </i>
    <i r="1">
      <x v="132"/>
    </i>
    <i r="1">
      <x v="152"/>
    </i>
    <i r="1">
      <x v="259"/>
    </i>
    <i r="1">
      <x v="455"/>
    </i>
    <i r="1">
      <x v="495"/>
    </i>
    <i r="1">
      <x v="537"/>
    </i>
    <i r="1">
      <x v="1358"/>
    </i>
    <i>
      <x v="16"/>
      <x v="161"/>
    </i>
    <i r="1">
      <x v="228"/>
    </i>
    <i r="1">
      <x v="337"/>
    </i>
    <i r="1">
      <x v="370"/>
    </i>
    <i r="1">
      <x v="480"/>
    </i>
    <i r="1">
      <x v="526"/>
    </i>
    <i r="1">
      <x v="533"/>
    </i>
    <i>
      <x v="17"/>
      <x v="15"/>
    </i>
    <i r="1">
      <x v="25"/>
    </i>
    <i r="1">
      <x v="40"/>
    </i>
    <i r="1">
      <x v="82"/>
    </i>
    <i r="1">
      <x v="89"/>
    </i>
    <i r="1">
      <x v="96"/>
    </i>
    <i r="1">
      <x v="108"/>
    </i>
    <i r="1">
      <x v="150"/>
    </i>
    <i r="1">
      <x v="163"/>
    </i>
    <i r="1">
      <x v="213"/>
    </i>
    <i r="1">
      <x v="216"/>
    </i>
    <i r="1">
      <x v="219"/>
    </i>
    <i r="1">
      <x v="233"/>
    </i>
    <i r="1">
      <x v="275"/>
    </i>
    <i r="1">
      <x v="340"/>
    </i>
    <i r="1">
      <x v="357"/>
    </i>
    <i r="1">
      <x v="368"/>
    </i>
    <i r="1">
      <x v="401"/>
    </i>
    <i r="1">
      <x v="438"/>
    </i>
    <i r="1">
      <x v="464"/>
    </i>
    <i r="1">
      <x v="465"/>
    </i>
    <i r="1">
      <x v="471"/>
    </i>
    <i r="1">
      <x v="503"/>
    </i>
    <i r="1">
      <x v="511"/>
    </i>
    <i r="1">
      <x v="525"/>
    </i>
    <i r="1">
      <x v="530"/>
    </i>
    <i r="1">
      <x v="555"/>
    </i>
    <i r="1">
      <x v="569"/>
    </i>
    <i r="1">
      <x v="599"/>
    </i>
    <i r="1">
      <x v="660"/>
    </i>
    <i r="1">
      <x v="664"/>
    </i>
    <i r="1">
      <x v="669"/>
    </i>
    <i r="1">
      <x v="672"/>
    </i>
    <i r="1">
      <x v="683"/>
    </i>
    <i r="1">
      <x v="689"/>
    </i>
    <i r="1">
      <x v="690"/>
    </i>
    <i r="1">
      <x v="698"/>
    </i>
    <i r="1">
      <x v="701"/>
    </i>
    <i r="1">
      <x v="702"/>
    </i>
    <i r="1">
      <x v="703"/>
    </i>
    <i r="1">
      <x v="705"/>
    </i>
    <i r="1">
      <x v="711"/>
    </i>
    <i r="1">
      <x v="715"/>
    </i>
    <i r="1">
      <x v="734"/>
    </i>
    <i r="1">
      <x v="740"/>
    </i>
    <i r="1">
      <x v="741"/>
    </i>
    <i r="1">
      <x v="743"/>
    </i>
    <i r="1">
      <x v="753"/>
    </i>
    <i r="1">
      <x v="756"/>
    </i>
    <i r="1">
      <x v="764"/>
    </i>
    <i r="1">
      <x v="772"/>
    </i>
    <i r="1">
      <x v="782"/>
    </i>
    <i r="1">
      <x v="789"/>
    </i>
    <i r="1">
      <x v="790"/>
    </i>
    <i r="1">
      <x v="799"/>
    </i>
    <i r="1">
      <x v="801"/>
    </i>
    <i r="1">
      <x v="805"/>
    </i>
    <i r="1">
      <x v="808"/>
    </i>
    <i r="1">
      <x v="819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6"/>
    </i>
    <i r="1">
      <x v="839"/>
    </i>
    <i r="1">
      <x v="840"/>
    </i>
    <i r="1">
      <x v="841"/>
    </i>
    <i r="1">
      <x v="848"/>
    </i>
    <i r="1">
      <x v="860"/>
    </i>
    <i r="1">
      <x v="862"/>
    </i>
    <i r="1">
      <x v="874"/>
    </i>
    <i r="1">
      <x v="875"/>
    </i>
    <i r="1">
      <x v="876"/>
    </i>
    <i r="1">
      <x v="882"/>
    </i>
    <i r="1">
      <x v="888"/>
    </i>
    <i r="1">
      <x v="889"/>
    </i>
    <i r="1">
      <x v="890"/>
    </i>
    <i r="1">
      <x v="891"/>
    </i>
    <i r="1">
      <x v="899"/>
    </i>
    <i r="1">
      <x v="919"/>
    </i>
    <i r="1">
      <x v="934"/>
    </i>
    <i r="1">
      <x v="937"/>
    </i>
    <i r="1">
      <x v="945"/>
    </i>
    <i r="1">
      <x v="966"/>
    </i>
    <i r="1">
      <x v="974"/>
    </i>
    <i r="1">
      <x v="978"/>
    </i>
    <i r="1">
      <x v="983"/>
    </i>
    <i r="1">
      <x v="1000"/>
    </i>
    <i r="1">
      <x v="1017"/>
    </i>
    <i r="1">
      <x v="1036"/>
    </i>
    <i r="1">
      <x v="1040"/>
    </i>
    <i r="1">
      <x v="1077"/>
    </i>
    <i r="1">
      <x v="1130"/>
    </i>
    <i r="1">
      <x v="1158"/>
    </i>
    <i r="1">
      <x v="1169"/>
    </i>
    <i r="1">
      <x v="1177"/>
    </i>
    <i r="1">
      <x v="1183"/>
    </i>
    <i r="1">
      <x v="1184"/>
    </i>
    <i r="1">
      <x v="1211"/>
    </i>
    <i r="1">
      <x v="1256"/>
    </i>
    <i r="1">
      <x v="1257"/>
    </i>
    <i r="1">
      <x v="1258"/>
    </i>
    <i r="1">
      <x v="1263"/>
    </i>
    <i r="1">
      <x v="1267"/>
    </i>
    <i r="1">
      <x v="1269"/>
    </i>
    <i r="1">
      <x v="1271"/>
    </i>
    <i r="1">
      <x v="1279"/>
    </i>
    <i r="1">
      <x v="1308"/>
    </i>
    <i r="1">
      <x v="1312"/>
    </i>
    <i r="1">
      <x v="1319"/>
    </i>
    <i r="1">
      <x v="1322"/>
    </i>
    <i r="1">
      <x v="1326"/>
    </i>
    <i r="1">
      <x v="1327"/>
    </i>
    <i r="1">
      <x v="1333"/>
    </i>
    <i r="1">
      <x v="1334"/>
    </i>
    <i r="1">
      <x v="1337"/>
    </i>
    <i r="1">
      <x v="1347"/>
    </i>
    <i r="1">
      <x v="1348"/>
    </i>
    <i r="1">
      <x v="1351"/>
    </i>
    <i r="1">
      <x v="1354"/>
    </i>
    <i r="1">
      <x v="1364"/>
    </i>
    <i r="1">
      <x v="1367"/>
    </i>
    <i r="1">
      <x v="1368"/>
    </i>
    <i r="1">
      <x v="1369"/>
    </i>
    <i r="1">
      <x v="1370"/>
    </i>
    <i r="1">
      <x v="1371"/>
    </i>
    <i r="1">
      <x v="1372"/>
    </i>
    <i r="1">
      <x v="1373"/>
    </i>
    <i r="1">
      <x v="1374"/>
    </i>
    <i r="1">
      <x v="1375"/>
    </i>
    <i r="1">
      <x v="1376"/>
    </i>
    <i r="1">
      <x v="1377"/>
    </i>
    <i r="1">
      <x v="1379"/>
    </i>
    <i r="1">
      <x v="1380"/>
    </i>
    <i r="1">
      <x v="1381"/>
    </i>
    <i r="1">
      <x v="1382"/>
    </i>
    <i r="1">
      <x v="1390"/>
    </i>
    <i r="1">
      <x v="1401"/>
    </i>
    <i r="1">
      <x v="1406"/>
    </i>
    <i r="1">
      <x v="1408"/>
    </i>
    <i r="1">
      <x v="1409"/>
    </i>
    <i r="1">
      <x v="1410"/>
    </i>
    <i r="1">
      <x v="1416"/>
    </i>
    <i r="1">
      <x v="1419"/>
    </i>
    <i r="1">
      <x v="1420"/>
    </i>
    <i r="1">
      <x v="1421"/>
    </i>
    <i r="1">
      <x v="1422"/>
    </i>
    <i r="1">
      <x v="1424"/>
    </i>
    <i r="1">
      <x v="1431"/>
    </i>
    <i r="1">
      <x v="1432"/>
    </i>
    <i r="1">
      <x v="1433"/>
    </i>
    <i r="1">
      <x v="1434"/>
    </i>
    <i r="1">
      <x v="1435"/>
    </i>
    <i r="1">
      <x v="1437"/>
    </i>
    <i r="1">
      <x v="1438"/>
    </i>
    <i r="1">
      <x v="1443"/>
    </i>
    <i r="1">
      <x v="1444"/>
    </i>
    <i r="1">
      <x v="1445"/>
    </i>
    <i r="1">
      <x v="1448"/>
    </i>
    <i r="1">
      <x v="1449"/>
    </i>
    <i r="1">
      <x v="1450"/>
    </i>
    <i r="1">
      <x v="1451"/>
    </i>
    <i r="1">
      <x v="1452"/>
    </i>
    <i r="1">
      <x v="1456"/>
    </i>
    <i r="1">
      <x v="1457"/>
    </i>
    <i r="1">
      <x v="1458"/>
    </i>
    <i r="1">
      <x v="1459"/>
    </i>
    <i r="1">
      <x v="1460"/>
    </i>
    <i r="1">
      <x v="1461"/>
    </i>
    <i r="1">
      <x v="1462"/>
    </i>
    <i r="1">
      <x v="1470"/>
    </i>
    <i r="1">
      <x v="1475"/>
    </i>
    <i r="1">
      <x v="1478"/>
    </i>
    <i r="1">
      <x v="1482"/>
    </i>
    <i r="1">
      <x v="1483"/>
    </i>
    <i r="1">
      <x v="1485"/>
    </i>
    <i r="1">
      <x v="1493"/>
    </i>
    <i r="1">
      <x v="1498"/>
    </i>
    <i r="1">
      <x v="1499"/>
    </i>
    <i r="1">
      <x v="1500"/>
    </i>
    <i r="1">
      <x v="1505"/>
    </i>
    <i r="1">
      <x v="1506"/>
    </i>
    <i r="1">
      <x v="1507"/>
    </i>
    <i r="1">
      <x v="1519"/>
    </i>
    <i r="1">
      <x v="1523"/>
    </i>
    <i r="1">
      <x v="1524"/>
    </i>
    <i r="1">
      <x v="1529"/>
    </i>
    <i r="1">
      <x v="1533"/>
    </i>
    <i r="1">
      <x v="1553"/>
    </i>
    <i r="1">
      <x v="1555"/>
    </i>
    <i r="1">
      <x v="1556"/>
    </i>
    <i r="1">
      <x v="1557"/>
    </i>
    <i r="1">
      <x v="1594"/>
    </i>
    <i r="1">
      <x v="1595"/>
    </i>
    <i r="1">
      <x v="1596"/>
    </i>
    <i r="1">
      <x v="1613"/>
    </i>
    <i r="1">
      <x v="1614"/>
    </i>
    <i r="1">
      <x v="1615"/>
    </i>
    <i r="1">
      <x v="1616"/>
    </i>
    <i r="1">
      <x v="1617"/>
    </i>
    <i r="1">
      <x v="1625"/>
    </i>
    <i r="1">
      <x v="1628"/>
    </i>
    <i r="1">
      <x v="1629"/>
    </i>
    <i r="1">
      <x v="1630"/>
    </i>
    <i r="1">
      <x v="1631"/>
    </i>
    <i r="1">
      <x v="1632"/>
    </i>
    <i r="1">
      <x v="1633"/>
    </i>
    <i r="1">
      <x v="1634"/>
    </i>
    <i r="1">
      <x v="1635"/>
    </i>
    <i r="1">
      <x v="1640"/>
    </i>
    <i r="1">
      <x v="1641"/>
    </i>
    <i r="1">
      <x v="1642"/>
    </i>
    <i r="1">
      <x v="1643"/>
    </i>
    <i r="1">
      <x v="1644"/>
    </i>
    <i r="1">
      <x v="1645"/>
    </i>
    <i r="1">
      <x v="1648"/>
    </i>
    <i r="1">
      <x v="1649"/>
    </i>
    <i r="1">
      <x v="1666"/>
    </i>
    <i r="1">
      <x v="1671"/>
    </i>
    <i r="1">
      <x v="1711"/>
    </i>
    <i r="1">
      <x v="1717"/>
    </i>
    <i r="1">
      <x v="1719"/>
    </i>
    <i r="1">
      <x v="1720"/>
    </i>
    <i r="1">
      <x v="1738"/>
    </i>
    <i r="1">
      <x v="1762"/>
    </i>
    <i r="1">
      <x v="1771"/>
    </i>
    <i r="1">
      <x v="1772"/>
    </i>
    <i r="1">
      <x v="1839"/>
    </i>
    <i r="1">
      <x v="1910"/>
    </i>
    <i r="1">
      <x v="1943"/>
    </i>
    <i r="1">
      <x v="1944"/>
    </i>
    <i r="1">
      <x v="1954"/>
    </i>
    <i r="1">
      <x v="1961"/>
    </i>
    <i r="1">
      <x v="1962"/>
    </i>
    <i r="1">
      <x v="1963"/>
    </i>
    <i r="1">
      <x v="1964"/>
    </i>
    <i r="1">
      <x v="1965"/>
    </i>
    <i r="1">
      <x v="1966"/>
    </i>
    <i r="1">
      <x v="1967"/>
    </i>
    <i r="1">
      <x v="1969"/>
    </i>
    <i r="1">
      <x v="1992"/>
    </i>
    <i r="1">
      <x v="1993"/>
    </i>
    <i r="1">
      <x v="1994"/>
    </i>
    <i r="1">
      <x v="1997"/>
    </i>
    <i r="1">
      <x v="1998"/>
    </i>
    <i r="1">
      <x v="2000"/>
    </i>
    <i r="1">
      <x v="2001"/>
    </i>
    <i r="1">
      <x v="2002"/>
    </i>
    <i r="1">
      <x v="2003"/>
    </i>
    <i r="1">
      <x v="2004"/>
    </i>
    <i r="1">
      <x v="2005"/>
    </i>
    <i r="1">
      <x v="2006"/>
    </i>
    <i r="1">
      <x v="2012"/>
    </i>
    <i r="1">
      <x v="2015"/>
    </i>
    <i r="1">
      <x v="2016"/>
    </i>
    <i r="1">
      <x v="2021"/>
    </i>
    <i r="1">
      <x v="2022"/>
    </i>
    <i r="1">
      <x v="2027"/>
    </i>
    <i r="1">
      <x v="2028"/>
    </i>
    <i r="1">
      <x v="2029"/>
    </i>
    <i r="1">
      <x v="2030"/>
    </i>
    <i r="1">
      <x v="2031"/>
    </i>
    <i r="1">
      <x v="2032"/>
    </i>
    <i r="1">
      <x v="2040"/>
    </i>
    <i r="1">
      <x v="2041"/>
    </i>
    <i r="1">
      <x v="2042"/>
    </i>
    <i r="1">
      <x v="2043"/>
    </i>
    <i r="1">
      <x v="2044"/>
    </i>
    <i r="1">
      <x v="2045"/>
    </i>
    <i r="1">
      <x v="2046"/>
    </i>
    <i r="1">
      <x v="2047"/>
    </i>
    <i r="1">
      <x v="2048"/>
    </i>
    <i r="1">
      <x v="2049"/>
    </i>
    <i r="1">
      <x v="2054"/>
    </i>
    <i r="1">
      <x v="2060"/>
    </i>
    <i r="1">
      <x v="2061"/>
    </i>
    <i r="1">
      <x v="2062"/>
    </i>
    <i r="1">
      <x v="2063"/>
    </i>
    <i r="1">
      <x v="2064"/>
    </i>
    <i r="1">
      <x v="2065"/>
    </i>
    <i r="1">
      <x v="2066"/>
    </i>
    <i r="1">
      <x v="2067"/>
    </i>
    <i r="1">
      <x v="2068"/>
    </i>
    <i r="1">
      <x v="2069"/>
    </i>
    <i r="1">
      <x v="2070"/>
    </i>
    <i r="1">
      <x v="2078"/>
    </i>
    <i r="1">
      <x v="2079"/>
    </i>
    <i r="1">
      <x v="2080"/>
    </i>
    <i r="1">
      <x v="2081"/>
    </i>
    <i r="1">
      <x v="2082"/>
    </i>
    <i r="1">
      <x v="2083"/>
    </i>
    <i r="1">
      <x v="2084"/>
    </i>
    <i r="1">
      <x v="2086"/>
    </i>
    <i r="1">
      <x v="2087"/>
    </i>
    <i r="1">
      <x v="2091"/>
    </i>
    <i r="1">
      <x v="2092"/>
    </i>
    <i r="1">
      <x v="2095"/>
    </i>
    <i r="1">
      <x v="2096"/>
    </i>
    <i r="1">
      <x v="2097"/>
    </i>
    <i r="1">
      <x v="2101"/>
    </i>
    <i r="1">
      <x v="2106"/>
    </i>
    <i r="1">
      <x v="2108"/>
    </i>
    <i r="1">
      <x v="2140"/>
    </i>
    <i r="1">
      <x v="2141"/>
    </i>
    <i r="1">
      <x v="2143"/>
    </i>
    <i r="1">
      <x v="2144"/>
    </i>
    <i r="1">
      <x v="2145"/>
    </i>
    <i r="1">
      <x v="2148"/>
    </i>
    <i r="1">
      <x v="2149"/>
    </i>
    <i r="1">
      <x v="2150"/>
    </i>
    <i r="1">
      <x v="2151"/>
    </i>
    <i r="1">
      <x v="2156"/>
    </i>
    <i r="1">
      <x v="2157"/>
    </i>
    <i r="1">
      <x v="2161"/>
    </i>
    <i r="1">
      <x v="2165"/>
    </i>
    <i r="1">
      <x v="2166"/>
    </i>
    <i r="1">
      <x v="2279"/>
    </i>
    <i r="1">
      <x v="2289"/>
    </i>
    <i r="1">
      <x v="2321"/>
    </i>
    <i r="1">
      <x v="2322"/>
    </i>
    <i r="1">
      <x v="2323"/>
    </i>
    <i r="1">
      <x v="2324"/>
    </i>
    <i r="1">
      <x v="2325"/>
    </i>
    <i r="1">
      <x v="2326"/>
    </i>
    <i r="1">
      <x v="2329"/>
    </i>
    <i r="1">
      <x v="2352"/>
    </i>
    <i r="1">
      <x v="2359"/>
    </i>
    <i r="1">
      <x v="2360"/>
    </i>
    <i r="1">
      <x v="2361"/>
    </i>
    <i r="1">
      <x v="2362"/>
    </i>
    <i r="1">
      <x v="2363"/>
    </i>
    <i r="1">
      <x v="2366"/>
    </i>
    <i r="1">
      <x v="2367"/>
    </i>
    <i r="1">
      <x v="2369"/>
    </i>
    <i r="1">
      <x v="2371"/>
    </i>
    <i r="1">
      <x v="2372"/>
    </i>
    <i r="1">
      <x v="2384"/>
    </i>
    <i r="1">
      <x v="2385"/>
    </i>
    <i r="1">
      <x v="2395"/>
    </i>
    <i r="1">
      <x v="2396"/>
    </i>
    <i r="1">
      <x v="2397"/>
    </i>
    <i r="1">
      <x v="2398"/>
    </i>
    <i r="1">
      <x v="2399"/>
    </i>
    <i r="1">
      <x v="2403"/>
    </i>
    <i r="1">
      <x v="2404"/>
    </i>
    <i r="1">
      <x v="2410"/>
    </i>
    <i r="1">
      <x v="2411"/>
    </i>
    <i r="1">
      <x v="2412"/>
    </i>
    <i r="1">
      <x v="2418"/>
    </i>
    <i r="1">
      <x v="2426"/>
    </i>
    <i r="1">
      <x v="2427"/>
    </i>
    <i r="1">
      <x v="2431"/>
    </i>
    <i r="1">
      <x v="2438"/>
    </i>
    <i r="1">
      <x v="2439"/>
    </i>
    <i r="1">
      <x v="2440"/>
    </i>
    <i r="1">
      <x v="2442"/>
    </i>
    <i r="1">
      <x v="2443"/>
    </i>
    <i r="1">
      <x v="2444"/>
    </i>
    <i r="1">
      <x v="2445"/>
    </i>
    <i r="1">
      <x v="2446"/>
    </i>
    <i r="1">
      <x v="2447"/>
    </i>
    <i r="1">
      <x v="2448"/>
    </i>
    <i r="1">
      <x v="2449"/>
    </i>
    <i r="1">
      <x v="2450"/>
    </i>
    <i r="1">
      <x v="2451"/>
    </i>
    <i r="1">
      <x v="2452"/>
    </i>
    <i r="1">
      <x v="2456"/>
    </i>
    <i r="1">
      <x v="2461"/>
    </i>
    <i r="1">
      <x v="2462"/>
    </i>
    <i r="1">
      <x v="2464"/>
    </i>
    <i r="1">
      <x v="2465"/>
    </i>
    <i r="1">
      <x v="2467"/>
    </i>
    <i r="1">
      <x v="2469"/>
    </i>
    <i r="1">
      <x v="2470"/>
    </i>
    <i r="1">
      <x v="2471"/>
    </i>
    <i r="1">
      <x v="2472"/>
    </i>
    <i r="1">
      <x v="2473"/>
    </i>
    <i r="1">
      <x v="2484"/>
    </i>
    <i r="1">
      <x v="2494"/>
    </i>
    <i r="1">
      <x v="2495"/>
    </i>
    <i r="1">
      <x v="2513"/>
    </i>
    <i r="1">
      <x v="2515"/>
    </i>
    <i r="1">
      <x v="2516"/>
    </i>
    <i r="1">
      <x v="2524"/>
    </i>
    <i r="1">
      <x v="2525"/>
    </i>
    <i r="1">
      <x v="2526"/>
    </i>
    <i r="1">
      <x v="2527"/>
    </i>
    <i r="1">
      <x v="2559"/>
    </i>
    <i r="1">
      <x v="2565"/>
    </i>
    <i r="1">
      <x v="2566"/>
    </i>
    <i r="1">
      <x v="2567"/>
    </i>
    <i r="1">
      <x v="2568"/>
    </i>
    <i r="1">
      <x v="2569"/>
    </i>
    <i r="1">
      <x v="2663"/>
    </i>
    <i r="1">
      <x v="2672"/>
    </i>
    <i r="1">
      <x v="2737"/>
    </i>
    <i r="1">
      <x v="2742"/>
    </i>
    <i r="1">
      <x v="2750"/>
    </i>
    <i r="1">
      <x v="2751"/>
    </i>
    <i r="1">
      <x v="2752"/>
    </i>
    <i r="1">
      <x v="2753"/>
    </i>
    <i r="1">
      <x v="2754"/>
    </i>
    <i r="1">
      <x v="2765"/>
    </i>
    <i r="1">
      <x v="2781"/>
    </i>
    <i>
      <x v="18"/>
      <x v="147"/>
    </i>
    <i r="1">
      <x v="353"/>
    </i>
    <i r="1">
      <x v="1359"/>
    </i>
    <i r="1">
      <x v="2098"/>
    </i>
    <i>
      <x v="19"/>
      <x v="304"/>
    </i>
    <i r="1">
      <x v="374"/>
    </i>
    <i>
      <x v="20"/>
      <x v="521"/>
    </i>
    <i>
      <x v="21"/>
      <x v="39"/>
    </i>
    <i r="1">
      <x v="69"/>
    </i>
    <i r="1">
      <x v="84"/>
    </i>
    <i r="1">
      <x v="118"/>
    </i>
    <i r="1">
      <x v="123"/>
    </i>
    <i r="1">
      <x v="124"/>
    </i>
    <i r="1">
      <x v="242"/>
    </i>
    <i r="1">
      <x v="299"/>
    </i>
    <i r="1">
      <x v="418"/>
    </i>
    <i r="1">
      <x v="433"/>
    </i>
    <i r="1">
      <x v="458"/>
    </i>
    <i r="1">
      <x v="479"/>
    </i>
    <i r="1">
      <x v="507"/>
    </i>
    <i r="1">
      <x v="520"/>
    </i>
    <i>
      <x v="22"/>
      <x v="17"/>
    </i>
    <i r="1">
      <x v="55"/>
    </i>
    <i r="1">
      <x v="58"/>
    </i>
    <i r="1">
      <x v="59"/>
    </i>
    <i r="1">
      <x v="105"/>
    </i>
    <i r="1">
      <x v="111"/>
    </i>
    <i r="1">
      <x v="127"/>
    </i>
    <i r="1">
      <x v="140"/>
    </i>
    <i r="1">
      <x v="153"/>
    </i>
    <i r="1">
      <x v="158"/>
    </i>
    <i r="1">
      <x v="163"/>
    </i>
    <i r="1">
      <x v="167"/>
    </i>
    <i r="1">
      <x v="177"/>
    </i>
    <i r="1">
      <x v="191"/>
    </i>
    <i r="1">
      <x v="260"/>
    </i>
    <i r="1">
      <x v="305"/>
    </i>
    <i r="1">
      <x v="452"/>
    </i>
    <i r="1">
      <x v="469"/>
    </i>
    <i r="1">
      <x v="534"/>
    </i>
    <i>
      <x v="23"/>
      <x v="13"/>
    </i>
    <i r="1">
      <x v="16"/>
    </i>
    <i r="1">
      <x v="22"/>
    </i>
    <i r="1">
      <x v="26"/>
    </i>
    <i r="1">
      <x v="30"/>
    </i>
    <i r="1">
      <x v="36"/>
    </i>
    <i r="1">
      <x v="41"/>
    </i>
    <i r="1">
      <x v="45"/>
    </i>
    <i r="1">
      <x v="49"/>
    </i>
    <i r="1">
      <x v="61"/>
    </i>
    <i r="1">
      <x v="65"/>
    </i>
    <i r="1">
      <x v="74"/>
    </i>
    <i r="1">
      <x v="75"/>
    </i>
    <i r="1">
      <x v="78"/>
    </i>
    <i r="1">
      <x v="93"/>
    </i>
    <i r="1">
      <x v="103"/>
    </i>
    <i r="1">
      <x v="109"/>
    </i>
    <i r="1">
      <x v="110"/>
    </i>
    <i r="1">
      <x v="118"/>
    </i>
    <i r="1">
      <x v="119"/>
    </i>
    <i r="1">
      <x v="142"/>
    </i>
    <i r="1">
      <x v="151"/>
    </i>
    <i r="1">
      <x v="156"/>
    </i>
    <i r="1">
      <x v="176"/>
    </i>
    <i r="1">
      <x v="194"/>
    </i>
    <i r="1">
      <x v="196"/>
    </i>
    <i r="1">
      <x v="218"/>
    </i>
    <i r="1">
      <x v="221"/>
    </i>
    <i r="1">
      <x v="223"/>
    </i>
    <i r="1">
      <x v="225"/>
    </i>
    <i r="1">
      <x v="229"/>
    </i>
    <i r="1">
      <x v="244"/>
    </i>
    <i r="1">
      <x v="253"/>
    </i>
    <i r="1">
      <x v="255"/>
    </i>
    <i r="1">
      <x v="256"/>
    </i>
    <i r="1">
      <x v="261"/>
    </i>
    <i r="1">
      <x v="271"/>
    </i>
    <i r="1">
      <x v="274"/>
    </i>
    <i r="1">
      <x v="276"/>
    </i>
    <i r="1">
      <x v="293"/>
    </i>
    <i r="1">
      <x v="297"/>
    </i>
    <i r="1">
      <x v="307"/>
    </i>
    <i r="1">
      <x v="324"/>
    </i>
    <i r="1">
      <x v="331"/>
    </i>
    <i r="1">
      <x v="333"/>
    </i>
    <i r="1">
      <x v="349"/>
    </i>
    <i r="1">
      <x v="352"/>
    </i>
    <i r="1">
      <x v="354"/>
    </i>
    <i r="1">
      <x v="361"/>
    </i>
    <i r="1">
      <x v="362"/>
    </i>
    <i r="1">
      <x v="379"/>
    </i>
    <i r="1">
      <x v="387"/>
    </i>
    <i r="1">
      <x v="389"/>
    </i>
    <i r="1">
      <x v="395"/>
    </i>
    <i r="1">
      <x v="396"/>
    </i>
    <i r="1">
      <x v="403"/>
    </i>
    <i r="1">
      <x v="405"/>
    </i>
    <i r="1">
      <x v="424"/>
    </i>
    <i r="1">
      <x v="425"/>
    </i>
    <i r="1">
      <x v="436"/>
    </i>
    <i r="1">
      <x v="444"/>
    </i>
    <i r="1">
      <x v="449"/>
    </i>
    <i r="1">
      <x v="458"/>
    </i>
    <i r="1">
      <x v="470"/>
    </i>
    <i r="1">
      <x v="489"/>
    </i>
    <i r="1">
      <x v="492"/>
    </i>
    <i r="1">
      <x v="493"/>
    </i>
    <i r="1">
      <x v="494"/>
    </i>
    <i r="1">
      <x v="498"/>
    </i>
    <i r="1">
      <x v="501"/>
    </i>
    <i r="1">
      <x v="506"/>
    </i>
    <i r="1">
      <x v="512"/>
    </i>
    <i r="1">
      <x v="515"/>
    </i>
    <i r="1">
      <x v="519"/>
    </i>
    <i r="1">
      <x v="528"/>
    </i>
    <i r="1">
      <x v="529"/>
    </i>
    <i r="1">
      <x v="548"/>
    </i>
    <i>
      <x v="24"/>
      <x v="9"/>
    </i>
    <i r="1">
      <x v="88"/>
    </i>
    <i r="1">
      <x v="92"/>
    </i>
    <i r="1">
      <x v="105"/>
    </i>
    <i r="1">
      <x v="110"/>
    </i>
    <i r="1">
      <x v="127"/>
    </i>
    <i r="1">
      <x v="140"/>
    </i>
    <i r="1">
      <x v="164"/>
    </i>
    <i r="1">
      <x v="165"/>
    </i>
    <i r="1">
      <x v="167"/>
    </i>
    <i r="1">
      <x v="177"/>
    </i>
    <i r="1">
      <x v="194"/>
    </i>
    <i r="1">
      <x v="205"/>
    </i>
    <i r="1">
      <x v="208"/>
    </i>
    <i r="1">
      <x v="218"/>
    </i>
    <i r="1">
      <x v="219"/>
    </i>
    <i r="1">
      <x v="232"/>
    </i>
    <i r="1">
      <x v="241"/>
    </i>
    <i r="1">
      <x v="249"/>
    </i>
    <i r="1">
      <x v="266"/>
    </i>
    <i r="1">
      <x v="274"/>
    </i>
    <i r="1">
      <x v="281"/>
    </i>
    <i r="1">
      <x v="282"/>
    </i>
    <i r="1">
      <x v="289"/>
    </i>
    <i r="1">
      <x v="294"/>
    </i>
    <i r="1">
      <x v="322"/>
    </i>
    <i r="1">
      <x v="336"/>
    </i>
    <i r="1">
      <x v="371"/>
    </i>
    <i r="1">
      <x v="376"/>
    </i>
    <i r="1">
      <x v="415"/>
    </i>
    <i r="1">
      <x v="427"/>
    </i>
    <i r="1">
      <x v="431"/>
    </i>
    <i r="1">
      <x v="452"/>
    </i>
    <i r="1">
      <x v="468"/>
    </i>
    <i r="1">
      <x v="478"/>
    </i>
    <i r="1">
      <x v="481"/>
    </i>
    <i r="1">
      <x v="485"/>
    </i>
    <i r="1">
      <x v="502"/>
    </i>
    <i r="1">
      <x v="504"/>
    </i>
    <i r="1">
      <x v="511"/>
    </i>
    <i r="1">
      <x v="527"/>
    </i>
    <i r="1">
      <x v="537"/>
    </i>
    <i r="1">
      <x v="546"/>
    </i>
    <i r="1">
      <x v="729"/>
    </i>
    <i>
      <x v="25"/>
      <x v="40"/>
    </i>
    <i r="1">
      <x v="82"/>
    </i>
    <i r="1">
      <x v="163"/>
    </i>
    <i r="1">
      <x v="669"/>
    </i>
    <i r="1">
      <x v="673"/>
    </i>
    <i r="1">
      <x v="683"/>
    </i>
    <i r="1">
      <x v="690"/>
    </i>
    <i r="1">
      <x v="701"/>
    </i>
    <i r="1">
      <x v="702"/>
    </i>
    <i r="1">
      <x v="703"/>
    </i>
    <i r="1">
      <x v="704"/>
    </i>
    <i r="1">
      <x v="705"/>
    </i>
    <i r="1">
      <x v="707"/>
    </i>
    <i r="1">
      <x v="764"/>
    </i>
    <i r="1">
      <x v="772"/>
    </i>
    <i r="1">
      <x v="777"/>
    </i>
    <i r="1">
      <x v="803"/>
    </i>
    <i r="1">
      <x v="825"/>
    </i>
    <i r="1">
      <x v="826"/>
    </i>
    <i r="1">
      <x v="827"/>
    </i>
    <i r="1">
      <x v="828"/>
    </i>
    <i r="1">
      <x v="829"/>
    </i>
    <i r="1">
      <x v="836"/>
    </i>
    <i r="1">
      <x v="839"/>
    </i>
    <i r="1">
      <x v="840"/>
    </i>
    <i r="1">
      <x v="841"/>
    </i>
    <i r="1">
      <x v="850"/>
    </i>
    <i r="1">
      <x v="874"/>
    </i>
    <i r="1">
      <x v="875"/>
    </i>
    <i r="1">
      <x v="891"/>
    </i>
    <i r="1">
      <x v="1054"/>
    </i>
    <i r="1">
      <x v="1055"/>
    </i>
    <i r="1">
      <x v="1056"/>
    </i>
    <i r="1">
      <x v="1057"/>
    </i>
    <i r="1">
      <x v="1242"/>
    </i>
    <i r="1">
      <x v="1251"/>
    </i>
    <i r="1">
      <x v="1269"/>
    </i>
    <i r="1">
      <x v="1271"/>
    </i>
    <i r="1">
      <x v="1308"/>
    </i>
    <i r="1">
      <x v="1315"/>
    </i>
    <i r="1">
      <x v="1316"/>
    </i>
    <i r="1">
      <x v="1317"/>
    </i>
    <i r="1">
      <x v="1318"/>
    </i>
    <i r="1">
      <x v="1319"/>
    </i>
    <i r="1">
      <x v="1320"/>
    </i>
    <i r="1">
      <x v="1321"/>
    </i>
    <i r="1">
      <x v="1322"/>
    </i>
    <i r="1">
      <x v="1323"/>
    </i>
    <i r="1">
      <x v="1324"/>
    </i>
    <i r="1">
      <x v="1325"/>
    </i>
    <i r="1">
      <x v="1326"/>
    </i>
    <i r="1">
      <x v="1327"/>
    </i>
    <i r="1">
      <x v="1328"/>
    </i>
    <i r="1">
      <x v="1329"/>
    </i>
    <i r="1">
      <x v="1330"/>
    </i>
    <i r="1">
      <x v="1331"/>
    </i>
    <i r="1">
      <x v="1332"/>
    </i>
    <i r="1">
      <x v="1333"/>
    </i>
    <i r="1">
      <x v="1334"/>
    </i>
    <i r="1">
      <x v="1335"/>
    </i>
    <i r="1">
      <x v="1336"/>
    </i>
    <i r="1">
      <x v="1337"/>
    </i>
    <i r="1">
      <x v="1338"/>
    </i>
    <i r="1">
      <x v="1339"/>
    </i>
    <i r="1">
      <x v="1340"/>
    </i>
    <i r="1">
      <x v="1341"/>
    </i>
    <i r="1">
      <x v="1342"/>
    </i>
    <i r="1">
      <x v="1343"/>
    </i>
    <i r="1">
      <x v="1344"/>
    </i>
    <i r="1">
      <x v="1345"/>
    </i>
    <i r="1">
      <x v="1346"/>
    </i>
    <i r="1">
      <x v="1347"/>
    </i>
    <i r="1">
      <x v="1348"/>
    </i>
    <i r="1">
      <x v="1350"/>
    </i>
    <i r="1">
      <x v="1351"/>
    </i>
    <i r="1">
      <x v="1391"/>
    </i>
    <i r="1">
      <x v="1395"/>
    </i>
    <i r="1">
      <x v="1432"/>
    </i>
    <i r="1">
      <x v="1466"/>
    </i>
    <i r="1">
      <x v="1490"/>
    </i>
    <i r="1">
      <x v="1491"/>
    </i>
    <i r="1">
      <x v="1532"/>
    </i>
    <i r="1">
      <x v="1715"/>
    </i>
    <i r="1">
      <x v="1716"/>
    </i>
    <i r="1">
      <x v="1717"/>
    </i>
    <i r="1">
      <x v="1718"/>
    </i>
    <i r="1">
      <x v="1837"/>
    </i>
    <i r="1">
      <x v="2051"/>
    </i>
    <i>
      <x v="26"/>
      <x v="270"/>
    </i>
    <i r="1">
      <x v="387"/>
    </i>
    <i r="1">
      <x v="424"/>
    </i>
    <i>
      <x v="27"/>
      <x v="163"/>
    </i>
    <i>
      <x v="28"/>
      <x v="277"/>
    </i>
    <i r="1">
      <x v="389"/>
    </i>
    <i r="1">
      <x v="540"/>
    </i>
    <i>
      <x v="29"/>
      <x v="81"/>
    </i>
    <i r="1">
      <x v="82"/>
    </i>
    <i r="1">
      <x v="207"/>
    </i>
    <i r="1">
      <x v="637"/>
    </i>
    <i r="1">
      <x v="649"/>
    </i>
    <i r="1">
      <x v="660"/>
    </i>
    <i r="1">
      <x v="664"/>
    </i>
    <i r="1">
      <x v="690"/>
    </i>
    <i r="1">
      <x v="703"/>
    </i>
    <i r="1">
      <x v="711"/>
    </i>
    <i r="1">
      <x v="751"/>
    </i>
    <i r="1">
      <x v="772"/>
    </i>
    <i r="1">
      <x v="894"/>
    </i>
    <i r="1">
      <x v="929"/>
    </i>
    <i r="1">
      <x v="931"/>
    </i>
    <i r="1">
      <x v="939"/>
    </i>
    <i r="1">
      <x v="970"/>
    </i>
    <i r="1">
      <x v="992"/>
    </i>
    <i r="1">
      <x v="1065"/>
    </i>
    <i r="1">
      <x v="1235"/>
    </i>
    <i r="1">
      <x v="1237"/>
    </i>
    <i r="1">
      <x v="1238"/>
    </i>
    <i r="1">
      <x v="1239"/>
    </i>
    <i r="1">
      <x v="1240"/>
    </i>
    <i r="1">
      <x v="1241"/>
    </i>
    <i r="1">
      <x v="1243"/>
    </i>
    <i r="1">
      <x v="1246"/>
    </i>
    <i r="1">
      <x v="1247"/>
    </i>
    <i r="1">
      <x v="1248"/>
    </i>
    <i r="1">
      <x v="1249"/>
    </i>
    <i r="1">
      <x v="1250"/>
    </i>
    <i r="1">
      <x v="1251"/>
    </i>
    <i r="1">
      <x v="1252"/>
    </i>
    <i r="1">
      <x v="1253"/>
    </i>
    <i r="1">
      <x v="1259"/>
    </i>
    <i r="1">
      <x v="1270"/>
    </i>
    <i r="1">
      <x v="1281"/>
    </i>
    <i r="1">
      <x v="1282"/>
    </i>
    <i r="1">
      <x v="1283"/>
    </i>
    <i r="1">
      <x v="1284"/>
    </i>
    <i r="1">
      <x v="1285"/>
    </i>
    <i r="1">
      <x v="1286"/>
    </i>
    <i r="1">
      <x v="1287"/>
    </i>
    <i r="1">
      <x v="1288"/>
    </i>
    <i r="1">
      <x v="1289"/>
    </i>
    <i r="1">
      <x v="1290"/>
    </i>
    <i r="1">
      <x v="1291"/>
    </i>
    <i r="1">
      <x v="1293"/>
    </i>
    <i r="1">
      <x v="1294"/>
    </i>
    <i r="1">
      <x v="1295"/>
    </i>
    <i r="1">
      <x v="1296"/>
    </i>
    <i r="1">
      <x v="1297"/>
    </i>
    <i r="1">
      <x v="1298"/>
    </i>
    <i r="1">
      <x v="1299"/>
    </i>
    <i r="1">
      <x v="1352"/>
    </i>
    <i r="1">
      <x v="1353"/>
    </i>
    <i r="1">
      <x v="1370"/>
    </i>
    <i r="1">
      <x v="1389"/>
    </i>
    <i r="1">
      <x v="1392"/>
    </i>
    <i r="1">
      <x v="1414"/>
    </i>
    <i r="1">
      <x v="1441"/>
    </i>
    <i r="1">
      <x v="1554"/>
    </i>
    <i r="1">
      <x v="1645"/>
    </i>
    <i r="1">
      <x v="2780"/>
    </i>
    <i>
      <x v="30"/>
      <x v="106"/>
    </i>
    <i r="1">
      <x v="117"/>
    </i>
    <i r="1">
      <x v="177"/>
    </i>
    <i r="1">
      <x v="288"/>
    </i>
    <i r="1">
      <x v="687"/>
    </i>
    <i r="1">
      <x v="1398"/>
    </i>
    <i r="1">
      <x v="1455"/>
    </i>
    <i>
      <x v="31"/>
      <x v="95"/>
    </i>
    <i r="1">
      <x v="114"/>
    </i>
    <i r="1">
      <x v="122"/>
    </i>
    <i r="1">
      <x v="257"/>
    </i>
    <i r="1">
      <x v="263"/>
    </i>
    <i r="1">
      <x v="266"/>
    </i>
    <i r="1">
      <x v="301"/>
    </i>
    <i r="1">
      <x v="302"/>
    </i>
    <i r="1">
      <x v="359"/>
    </i>
    <i r="1">
      <x v="462"/>
    </i>
    <i r="1">
      <x v="504"/>
    </i>
    <i>
      <x v="32"/>
      <x v="273"/>
    </i>
    <i>
      <x v="33"/>
      <x v="59"/>
    </i>
    <i r="1">
      <x v="72"/>
    </i>
    <i r="1">
      <x v="137"/>
    </i>
    <i r="1">
      <x v="163"/>
    </i>
    <i r="1">
      <x v="199"/>
    </i>
    <i r="1">
      <x v="211"/>
    </i>
    <i r="1">
      <x v="251"/>
    </i>
    <i r="1">
      <x v="266"/>
    </i>
    <i r="1">
      <x v="309"/>
    </i>
    <i r="1">
      <x v="360"/>
    </i>
    <i r="1">
      <x v="384"/>
    </i>
    <i r="1">
      <x v="398"/>
    </i>
    <i r="1">
      <x v="410"/>
    </i>
    <i r="1">
      <x v="422"/>
    </i>
    <i r="1">
      <x v="435"/>
    </i>
    <i r="1">
      <x v="462"/>
    </i>
    <i r="1">
      <x v="678"/>
    </i>
    <i r="1">
      <x v="1423"/>
    </i>
    <i r="1">
      <x v="1446"/>
    </i>
    <i r="1">
      <x v="1481"/>
    </i>
    <i r="1">
      <x v="1515"/>
    </i>
    <i r="1">
      <x v="1749"/>
    </i>
    <i r="1">
      <x v="1948"/>
    </i>
    <i r="1">
      <x v="1968"/>
    </i>
    <i r="1">
      <x v="2100"/>
    </i>
    <i r="1">
      <x v="2169"/>
    </i>
    <i r="1">
      <x v="2330"/>
    </i>
    <i r="1">
      <x v="2364"/>
    </i>
    <i r="1">
      <x v="2466"/>
    </i>
    <i r="1">
      <x v="2474"/>
    </i>
    <i r="1">
      <x v="2528"/>
    </i>
    <i r="1">
      <x v="2530"/>
    </i>
    <i r="1">
      <x v="2531"/>
    </i>
    <i r="1">
      <x v="2532"/>
    </i>
    <i r="1">
      <x v="2533"/>
    </i>
    <i r="1">
      <x v="2603"/>
    </i>
    <i>
      <x v="34"/>
      <x v="79"/>
    </i>
    <i r="1">
      <x v="547"/>
    </i>
    <i r="1">
      <x v="1621"/>
    </i>
    <i r="1">
      <x v="2674"/>
    </i>
    <i r="1">
      <x v="2735"/>
    </i>
    <i r="1">
      <x v="2736"/>
    </i>
    <i>
      <x v="35"/>
      <x v="81"/>
    </i>
    <i r="1">
      <x v="82"/>
    </i>
    <i r="1">
      <x v="93"/>
    </i>
    <i r="1">
      <x v="99"/>
    </i>
    <i r="1">
      <x v="106"/>
    </i>
    <i r="1">
      <x v="107"/>
    </i>
    <i r="1">
      <x v="163"/>
    </i>
    <i r="1">
      <x v="172"/>
    </i>
    <i r="1">
      <x v="188"/>
    </i>
    <i r="1">
      <x v="230"/>
    </i>
    <i r="1">
      <x v="235"/>
    </i>
    <i r="1">
      <x v="286"/>
    </i>
    <i r="1">
      <x v="348"/>
    </i>
    <i r="1">
      <x v="353"/>
    </i>
    <i r="1">
      <x v="356"/>
    </i>
    <i r="1">
      <x v="375"/>
    </i>
    <i r="1">
      <x v="380"/>
    </i>
    <i r="1">
      <x v="391"/>
    </i>
    <i r="1">
      <x v="512"/>
    </i>
    <i r="1">
      <x v="519"/>
    </i>
    <i r="1">
      <x v="523"/>
    </i>
    <i r="1">
      <x v="530"/>
    </i>
    <i r="1">
      <x v="544"/>
    </i>
    <i r="1">
      <x v="552"/>
    </i>
    <i r="1">
      <x v="553"/>
    </i>
    <i r="1">
      <x v="554"/>
    </i>
    <i r="1">
      <x v="556"/>
    </i>
    <i r="1">
      <x v="568"/>
    </i>
    <i r="1">
      <x v="569"/>
    </i>
    <i r="1">
      <x v="570"/>
    </i>
    <i r="1">
      <x v="572"/>
    </i>
    <i r="1">
      <x v="574"/>
    </i>
    <i r="1">
      <x v="578"/>
    </i>
    <i r="1">
      <x v="580"/>
    </i>
    <i r="1">
      <x v="587"/>
    </i>
    <i r="1">
      <x v="588"/>
    </i>
    <i r="1">
      <x v="603"/>
    </i>
    <i r="1">
      <x v="605"/>
    </i>
    <i r="1">
      <x v="635"/>
    </i>
    <i r="1">
      <x v="648"/>
    </i>
    <i r="1">
      <x v="649"/>
    </i>
    <i r="1">
      <x v="664"/>
    </i>
    <i r="1">
      <x v="666"/>
    </i>
    <i r="1">
      <x v="667"/>
    </i>
    <i r="1">
      <x v="668"/>
    </i>
    <i r="1">
      <x v="669"/>
    </i>
    <i r="1">
      <x v="671"/>
    </i>
    <i r="1">
      <x v="677"/>
    </i>
    <i r="1">
      <x v="678"/>
    </i>
    <i r="1">
      <x v="687"/>
    </i>
    <i r="1">
      <x v="691"/>
    </i>
    <i r="1">
      <x v="693"/>
    </i>
    <i r="1">
      <x v="694"/>
    </i>
    <i r="1">
      <x v="700"/>
    </i>
    <i r="1">
      <x v="706"/>
    </i>
    <i r="1">
      <x v="708"/>
    </i>
    <i r="1">
      <x v="709"/>
    </i>
    <i r="1">
      <x v="711"/>
    </i>
    <i r="1">
      <x v="722"/>
    </i>
    <i r="1">
      <x v="723"/>
    </i>
    <i r="1">
      <x v="726"/>
    </i>
    <i r="1">
      <x v="730"/>
    </i>
    <i r="1">
      <x v="732"/>
    </i>
    <i r="1">
      <x v="733"/>
    </i>
    <i r="1">
      <x v="748"/>
    </i>
    <i r="1">
      <x v="752"/>
    </i>
    <i r="1">
      <x v="780"/>
    </i>
    <i r="1">
      <x v="788"/>
    </i>
    <i r="1">
      <x v="812"/>
    </i>
    <i r="1">
      <x v="845"/>
    </i>
    <i r="1">
      <x v="851"/>
    </i>
    <i r="1">
      <x v="852"/>
    </i>
    <i r="1">
      <x v="864"/>
    </i>
    <i r="1">
      <x v="868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92"/>
    </i>
    <i r="1">
      <x v="894"/>
    </i>
    <i r="1">
      <x v="904"/>
    </i>
    <i r="1">
      <x v="905"/>
    </i>
    <i r="1">
      <x v="907"/>
    </i>
    <i r="1">
      <x v="908"/>
    </i>
    <i r="1">
      <x v="910"/>
    </i>
    <i r="1">
      <x v="918"/>
    </i>
    <i r="1">
      <x v="920"/>
    </i>
    <i r="1">
      <x v="921"/>
    </i>
    <i r="1">
      <x v="922"/>
    </i>
    <i r="1">
      <x v="928"/>
    </i>
    <i r="1">
      <x v="944"/>
    </i>
    <i r="1">
      <x v="968"/>
    </i>
    <i r="1">
      <x v="971"/>
    </i>
    <i r="1">
      <x v="974"/>
    </i>
    <i r="1">
      <x v="1058"/>
    </i>
    <i r="1">
      <x v="1066"/>
    </i>
    <i r="1">
      <x v="1236"/>
    </i>
    <i r="1">
      <x v="1256"/>
    </i>
    <i r="1">
      <x v="1262"/>
    </i>
    <i r="1">
      <x v="1292"/>
    </i>
    <i r="1">
      <x v="1300"/>
    </i>
    <i r="1">
      <x v="1301"/>
    </i>
    <i r="1">
      <x v="1302"/>
    </i>
    <i r="1">
      <x v="1303"/>
    </i>
    <i r="1">
      <x v="1304"/>
    </i>
    <i r="1">
      <x v="1305"/>
    </i>
    <i r="1">
      <x v="1306"/>
    </i>
    <i r="1">
      <x v="1307"/>
    </i>
    <i r="1">
      <x v="1309"/>
    </i>
    <i r="1">
      <x v="1311"/>
    </i>
    <i r="1">
      <x v="1314"/>
    </i>
    <i r="1">
      <x v="1357"/>
    </i>
    <i r="1">
      <x v="1378"/>
    </i>
    <i r="1">
      <x v="1400"/>
    </i>
    <i r="1">
      <x v="1440"/>
    </i>
    <i r="1">
      <x v="1538"/>
    </i>
    <i r="1">
      <x v="1543"/>
    </i>
    <i r="1">
      <x v="1603"/>
    </i>
    <i r="1">
      <x v="1611"/>
    </i>
    <i r="1">
      <x v="1612"/>
    </i>
    <i r="1">
      <x v="1635"/>
    </i>
    <i r="1">
      <x v="1637"/>
    </i>
    <i r="1">
      <x v="1639"/>
    </i>
    <i r="1">
      <x v="1647"/>
    </i>
    <i r="1">
      <x v="1694"/>
    </i>
    <i r="1">
      <x v="1745"/>
    </i>
    <i r="1">
      <x v="1959"/>
    </i>
    <i r="1">
      <x v="1960"/>
    </i>
    <i r="1">
      <x v="1979"/>
    </i>
    <i r="1">
      <x v="2033"/>
    </i>
    <i r="1">
      <x v="2034"/>
    </i>
    <i r="1">
      <x v="2036"/>
    </i>
    <i r="1">
      <x v="2056"/>
    </i>
    <i r="1">
      <x v="2160"/>
    </i>
    <i r="1">
      <x v="2355"/>
    </i>
    <i r="1">
      <x v="2356"/>
    </i>
    <i r="1">
      <x v="2409"/>
    </i>
    <i r="1">
      <x v="2417"/>
    </i>
    <i r="1">
      <x v="2419"/>
    </i>
    <i r="1">
      <x v="2420"/>
    </i>
    <i r="1">
      <x v="2435"/>
    </i>
    <i r="1">
      <x v="2518"/>
    </i>
    <i r="1">
      <x v="2695"/>
    </i>
    <i r="1">
      <x v="2770"/>
    </i>
    <i r="1">
      <x v="2771"/>
    </i>
    <i r="1">
      <x v="2778"/>
    </i>
    <i>
      <x v="36"/>
      <x v="40"/>
    </i>
    <i r="1">
      <x v="673"/>
    </i>
    <i r="1">
      <x v="690"/>
    </i>
    <i r="1">
      <x v="701"/>
    </i>
    <i r="1">
      <x v="702"/>
    </i>
    <i r="1">
      <x v="703"/>
    </i>
    <i r="1">
      <x v="704"/>
    </i>
    <i r="1">
      <x v="705"/>
    </i>
    <i r="1">
      <x v="764"/>
    </i>
    <i r="1">
      <x v="777"/>
    </i>
    <i r="1">
      <x v="802"/>
    </i>
    <i r="1">
      <x v="803"/>
    </i>
    <i r="1">
      <x v="825"/>
    </i>
    <i r="1">
      <x v="826"/>
    </i>
    <i r="1">
      <x v="827"/>
    </i>
    <i r="1">
      <x v="828"/>
    </i>
    <i r="1">
      <x v="829"/>
    </i>
    <i r="1">
      <x v="836"/>
    </i>
    <i r="1">
      <x v="839"/>
    </i>
    <i r="1">
      <x v="840"/>
    </i>
    <i r="1">
      <x v="841"/>
    </i>
    <i r="1">
      <x v="850"/>
    </i>
    <i r="1">
      <x v="875"/>
    </i>
    <i r="1">
      <x v="888"/>
    </i>
    <i r="1">
      <x v="891"/>
    </i>
    <i r="1">
      <x v="1054"/>
    </i>
    <i r="1">
      <x v="1055"/>
    </i>
    <i r="1">
      <x v="1056"/>
    </i>
    <i r="1">
      <x v="1057"/>
    </i>
    <i r="1">
      <x v="1242"/>
    </i>
    <i r="1">
      <x v="1251"/>
    </i>
    <i r="1">
      <x v="1269"/>
    </i>
    <i r="1">
      <x v="1271"/>
    </i>
    <i r="1">
      <x v="1308"/>
    </i>
    <i r="1">
      <x v="1315"/>
    </i>
    <i r="1">
      <x v="1316"/>
    </i>
    <i r="1">
      <x v="1317"/>
    </i>
    <i r="1">
      <x v="1318"/>
    </i>
    <i r="1">
      <x v="1319"/>
    </i>
    <i r="1">
      <x v="1320"/>
    </i>
    <i r="1">
      <x v="1321"/>
    </i>
    <i r="1">
      <x v="1322"/>
    </i>
    <i r="1">
      <x v="1323"/>
    </i>
    <i r="1">
      <x v="1325"/>
    </i>
    <i r="1">
      <x v="1326"/>
    </i>
    <i r="1">
      <x v="1327"/>
    </i>
    <i r="1">
      <x v="1328"/>
    </i>
    <i r="1">
      <x v="1329"/>
    </i>
    <i r="1">
      <x v="1330"/>
    </i>
    <i r="1">
      <x v="1331"/>
    </i>
    <i r="1">
      <x v="1332"/>
    </i>
    <i r="1">
      <x v="1333"/>
    </i>
    <i r="1">
      <x v="1334"/>
    </i>
    <i r="1">
      <x v="1335"/>
    </i>
    <i r="1">
      <x v="1336"/>
    </i>
    <i r="1">
      <x v="1337"/>
    </i>
    <i r="1">
      <x v="1338"/>
    </i>
    <i r="1">
      <x v="1339"/>
    </i>
    <i r="1">
      <x v="1340"/>
    </i>
    <i r="1">
      <x v="1341"/>
    </i>
    <i r="1">
      <x v="1342"/>
    </i>
    <i r="1">
      <x v="1343"/>
    </i>
    <i r="1">
      <x v="1344"/>
    </i>
    <i r="1">
      <x v="1345"/>
    </i>
    <i r="1">
      <x v="1346"/>
    </i>
    <i r="1">
      <x v="1347"/>
    </i>
    <i r="1">
      <x v="1348"/>
    </i>
    <i r="1">
      <x v="1349"/>
    </i>
    <i r="1">
      <x v="1350"/>
    </i>
    <i r="1">
      <x v="1351"/>
    </i>
    <i r="1">
      <x v="1490"/>
    </i>
    <i r="1">
      <x v="1491"/>
    </i>
    <i r="1">
      <x v="1532"/>
    </i>
    <i r="1">
      <x v="1670"/>
    </i>
    <i r="1">
      <x v="1715"/>
    </i>
    <i r="1">
      <x v="1716"/>
    </i>
    <i r="1">
      <x v="1717"/>
    </i>
    <i r="1">
      <x v="1837"/>
    </i>
    <i r="1">
      <x v="2003"/>
    </i>
    <i r="1">
      <x v="2051"/>
    </i>
    <i r="1">
      <x v="2384"/>
    </i>
    <i r="1">
      <x v="2386"/>
    </i>
    <i r="1">
      <x v="2387"/>
    </i>
    <i r="1">
      <x v="2388"/>
    </i>
    <i>
      <x v="37"/>
      <x v="106"/>
    </i>
    <i r="1">
      <x v="587"/>
    </i>
    <i r="1">
      <x v="603"/>
    </i>
    <i r="1">
      <x v="612"/>
    </i>
    <i r="1">
      <x v="635"/>
    </i>
    <i r="1">
      <x v="657"/>
    </i>
    <i r="1">
      <x v="695"/>
    </i>
    <i r="1">
      <x v="698"/>
    </i>
    <i r="1">
      <x v="704"/>
    </i>
    <i r="1">
      <x v="707"/>
    </i>
    <i r="1">
      <x v="734"/>
    </i>
    <i r="1">
      <x v="741"/>
    </i>
    <i r="1">
      <x v="761"/>
    </i>
    <i r="1">
      <x v="764"/>
    </i>
    <i r="1">
      <x v="766"/>
    </i>
    <i r="1">
      <x v="775"/>
    </i>
    <i r="1">
      <x v="783"/>
    </i>
    <i r="1">
      <x v="802"/>
    </i>
    <i r="1">
      <x v="803"/>
    </i>
    <i r="1">
      <x v="809"/>
    </i>
    <i r="1">
      <x v="812"/>
    </i>
    <i r="1">
      <x v="819"/>
    </i>
    <i r="1">
      <x v="825"/>
    </i>
    <i r="1">
      <x v="828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7"/>
    </i>
    <i r="1">
      <x v="848"/>
    </i>
    <i r="1">
      <x v="849"/>
    </i>
    <i r="1">
      <x v="854"/>
    </i>
    <i r="1">
      <x v="858"/>
    </i>
    <i r="1">
      <x v="860"/>
    </i>
    <i r="1">
      <x v="911"/>
    </i>
    <i r="1">
      <x v="919"/>
    </i>
    <i r="1">
      <x v="980"/>
    </i>
    <i r="1">
      <x v="1388"/>
    </i>
    <i r="1">
      <x v="1393"/>
    </i>
    <i r="1">
      <x v="1394"/>
    </i>
    <i r="1">
      <x v="1399"/>
    </i>
    <i r="1">
      <x v="1417"/>
    </i>
    <i r="1">
      <x v="1427"/>
    </i>
    <i r="1">
      <x v="1430"/>
    </i>
    <i r="1">
      <x v="1492"/>
    </i>
    <i r="1">
      <x v="1721"/>
    </i>
    <i r="1">
      <x v="1945"/>
    </i>
    <i r="1">
      <x v="1946"/>
    </i>
    <i r="1">
      <x v="2741"/>
    </i>
    <i r="1">
      <x v="2743"/>
    </i>
    <i r="1">
      <x v="2744"/>
    </i>
    <i r="1">
      <x v="2761"/>
    </i>
    <i r="1">
      <x v="2762"/>
    </i>
    <i>
      <x v="38"/>
      <x v="578"/>
    </i>
    <i r="1">
      <x v="721"/>
    </i>
    <i r="1">
      <x v="775"/>
    </i>
    <i r="1">
      <x v="776"/>
    </i>
    <i r="1">
      <x v="787"/>
    </i>
    <i r="1">
      <x v="788"/>
    </i>
    <i>
      <x v="39"/>
      <x v="1333"/>
    </i>
    <i>
      <x v="40"/>
      <x v="1358"/>
    </i>
    <i>
      <x v="41"/>
      <x v="681"/>
    </i>
  </rowItems>
  <colItems count="1">
    <i/>
  </colItems>
  <dataFields count="1">
    <dataField name="Spend" fld="1" baseField="0" baseItem="0" numFmtId="164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7276C-20FC-234C-8655-D8AC6CDC388D}" name="PivotTable2" cacheId="6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3395" firstHeaderRow="1" firstDataRow="1" firstDataCol="2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82">
        <item x="1173"/>
        <item x="422"/>
        <item x="2040"/>
        <item x="2750"/>
        <item x="481"/>
        <item x="2369"/>
        <item x="296"/>
        <item x="411"/>
        <item x="1251"/>
        <item x="1978"/>
        <item x="2769"/>
        <item x="409"/>
        <item x="256"/>
        <item x="1735"/>
        <item x="2687"/>
        <item x="2720"/>
        <item x="2756"/>
        <item x="600"/>
        <item x="1004"/>
        <item x="869"/>
        <item x="2724"/>
        <item x="1836"/>
        <item x="2325"/>
        <item x="2777"/>
        <item x="494"/>
        <item x="50"/>
        <item x="667"/>
        <item x="2714"/>
        <item x="55"/>
        <item x="1096"/>
        <item x="196"/>
        <item x="178"/>
        <item x="1833"/>
        <item x="147"/>
        <item x="1930"/>
        <item x="509"/>
        <item x="1738"/>
        <item x="255"/>
        <item x="51"/>
        <item x="35"/>
        <item x="232"/>
        <item x="2737"/>
        <item x="2761"/>
        <item x="2045"/>
        <item x="1974"/>
        <item x="247"/>
        <item x="1763"/>
        <item x="518"/>
        <item x="426"/>
        <item x="1095"/>
        <item x="209"/>
        <item x="427"/>
        <item x="2778"/>
        <item x="554"/>
        <item x="405"/>
        <item x="453"/>
        <item x="2421"/>
        <item x="2427"/>
        <item x="475"/>
        <item x="2186"/>
        <item x="268"/>
        <item x="1079"/>
        <item x="2304"/>
        <item x="2774"/>
        <item x="2733"/>
        <item x="1996"/>
        <item x="2702"/>
        <item x="1421"/>
        <item x="152"/>
        <item x="1912"/>
        <item x="2470"/>
        <item x="192"/>
        <item x="1459"/>
        <item x="177"/>
        <item x="2227"/>
        <item x="12"/>
        <item x="210"/>
        <item x="2688"/>
        <item x="21"/>
        <item x="993"/>
        <item x="161"/>
        <item x="23"/>
        <item x="25"/>
        <item x="1078"/>
        <item x="1215"/>
        <item x="10"/>
        <item x="1832"/>
        <item x="571"/>
        <item x="1053"/>
        <item x="1723"/>
        <item x="2775"/>
        <item x="459"/>
        <item x="17"/>
        <item x="483"/>
        <item x="542"/>
        <item x="18"/>
        <item x="2718"/>
        <item x="1002"/>
        <item x="2351"/>
        <item x="1209"/>
        <item x="252"/>
        <item x="1164"/>
        <item x="419"/>
        <item x="1909"/>
        <item x="1422"/>
        <item x="1054"/>
        <item x="5"/>
        <item x="561"/>
        <item x="2691"/>
        <item x="1473"/>
        <item x="410"/>
        <item x="2649"/>
        <item x="1045"/>
        <item x="811"/>
        <item x="2758"/>
        <item x="908"/>
        <item x="2736"/>
        <item x="1843"/>
        <item x="160"/>
        <item x="1073"/>
        <item x="1072"/>
        <item x="1"/>
        <item x="206"/>
        <item x="537"/>
        <item x="1216"/>
        <item x="2725"/>
        <item x="519"/>
        <item x="918"/>
        <item x="1231"/>
        <item x="1983"/>
        <item x="2717"/>
        <item x="2249"/>
        <item x="1172"/>
        <item x="172"/>
        <item x="461"/>
        <item x="516"/>
        <item x="173"/>
        <item x="2187"/>
        <item x="2291"/>
        <item x="1120"/>
        <item x="1097"/>
        <item x="2044"/>
        <item x="1874"/>
        <item x="2747"/>
        <item x="1889"/>
        <item x="1472"/>
        <item x="1838"/>
        <item x="1379"/>
        <item x="2189"/>
        <item x="1487"/>
        <item x="184"/>
        <item x="1894"/>
        <item x="2716"/>
        <item x="1098"/>
        <item x="2766"/>
        <item x="402"/>
        <item x="2754"/>
        <item x="1110"/>
        <item x="1055"/>
        <item x="2753"/>
        <item x="2"/>
        <item x="2276"/>
        <item x="248"/>
        <item x="999"/>
        <item x="416"/>
        <item x="1087"/>
        <item x="2752"/>
        <item x="642"/>
        <item x="515"/>
        <item x="2723"/>
        <item x="1111"/>
        <item x="1998"/>
        <item x="2767"/>
        <item x="508"/>
        <item x="2744"/>
        <item x="414"/>
        <item x="1401"/>
        <item x="159"/>
        <item x="2405"/>
        <item x="1817"/>
        <item x="2005"/>
        <item x="22"/>
        <item x="425"/>
        <item x="2703"/>
        <item x="524"/>
        <item x="2683"/>
        <item x="2645"/>
        <item x="1424"/>
        <item x="480"/>
        <item x="1301"/>
        <item x="556"/>
        <item x="1356"/>
        <item x="865"/>
        <item x="2428"/>
        <item x="0"/>
        <item x="54"/>
        <item x="1377"/>
        <item x="546"/>
        <item x="1229"/>
        <item x="234"/>
        <item x="163"/>
        <item x="439"/>
        <item x="553"/>
        <item x="1026"/>
        <item x="273"/>
        <item x="1056"/>
        <item x="1075"/>
        <item x="1370"/>
        <item x="1089"/>
        <item x="29"/>
        <item x="2295"/>
        <item x="2041"/>
        <item x="1288"/>
        <item x="482"/>
        <item x="438"/>
        <item x="478"/>
        <item x="2696"/>
        <item x="1143"/>
        <item x="149"/>
        <item x="2712"/>
        <item x="1112"/>
        <item x="1517"/>
        <item x="2781"/>
        <item x="1074"/>
        <item x="429"/>
        <item x="180"/>
        <item x="195"/>
        <item x="1099"/>
        <item x="2076"/>
        <item x="1744"/>
        <item x="2229"/>
        <item x="1890"/>
        <item x="424"/>
        <item x="568"/>
        <item x="2000"/>
        <item x="520"/>
        <item x="1195"/>
        <item x="599"/>
        <item x="1094"/>
        <item x="1081"/>
        <item x="1076"/>
        <item x="2001"/>
        <item x="2253"/>
        <item x="421"/>
        <item x="1218"/>
        <item x="2443"/>
        <item x="146"/>
        <item x="1067"/>
        <item x="420"/>
        <item x="2004"/>
        <item x="2006"/>
        <item x="157"/>
        <item x="1063"/>
        <item x="2701"/>
        <item x="2770"/>
        <item x="2732"/>
        <item x="2762"/>
        <item x="1988"/>
        <item x="1873"/>
        <item x="1174"/>
        <item x="266"/>
        <item x="179"/>
        <item x="1113"/>
        <item x="1858"/>
        <item x="2704"/>
        <item x="901"/>
        <item x="1107"/>
        <item x="56"/>
        <item x="225"/>
        <item x="545"/>
        <item x="2728"/>
        <item x="186"/>
        <item x="174"/>
        <item x="2046"/>
        <item x="2673"/>
        <item x="2697"/>
        <item x="536"/>
        <item x="2726"/>
        <item x="535"/>
        <item x="253"/>
        <item x="2286"/>
        <item x="2743"/>
        <item x="1404"/>
        <item x="171"/>
        <item x="1840"/>
        <item x="2738"/>
        <item x="1108"/>
        <item x="998"/>
        <item x="2255"/>
        <item x="1264"/>
        <item x="1080"/>
        <item x="2694"/>
        <item x="1114"/>
        <item x="1250"/>
        <item x="1057"/>
        <item x="2226"/>
        <item x="264"/>
        <item x="1228"/>
        <item x="2757"/>
        <item x="237"/>
        <item x="1341"/>
        <item x="2416"/>
        <item x="1365"/>
        <item x="275"/>
        <item x="249"/>
        <item x="538"/>
        <item x="31"/>
        <item x="1105"/>
        <item x="954"/>
        <item x="1901"/>
        <item x="246"/>
        <item x="1919"/>
        <item x="1842"/>
        <item x="2740"/>
        <item x="2709"/>
        <item x="1869"/>
        <item x="1100"/>
        <item x="2759"/>
        <item x="1893"/>
        <item x="151"/>
        <item x="1118"/>
        <item x="2686"/>
        <item x="2689"/>
        <item x="1064"/>
        <item x="1255"/>
        <item x="997"/>
        <item x="2094"/>
        <item x="185"/>
        <item x="1743"/>
        <item x="1050"/>
        <item x="1029"/>
        <item x="1044"/>
        <item x="1090"/>
        <item x="226"/>
        <item x="2409"/>
        <item x="1621"/>
        <item x="2711"/>
        <item x="2278"/>
        <item x="138"/>
        <item x="732"/>
        <item x="2719"/>
        <item x="2430"/>
        <item x="2096"/>
        <item x="2727"/>
        <item x="994"/>
        <item x="555"/>
        <item x="1115"/>
        <item x="1066"/>
        <item x="2435"/>
        <item x="1256"/>
        <item x="1086"/>
        <item x="2708"/>
        <item x="2650"/>
        <item x="523"/>
        <item x="1196"/>
        <item x="1950"/>
        <item x="1971"/>
        <item x="474"/>
        <item x="1116"/>
        <item x="2690"/>
        <item x="526"/>
        <item x="484"/>
        <item x="158"/>
        <item x="2772"/>
        <item x="1844"/>
        <item x="1854"/>
        <item x="1900"/>
        <item x="14"/>
        <item x="2700"/>
        <item x="269"/>
        <item x="1857"/>
        <item x="1058"/>
        <item x="1217"/>
        <item x="1065"/>
        <item x="1841"/>
        <item x="1470"/>
        <item x="1252"/>
        <item x="1093"/>
        <item x="1092"/>
        <item x="1091"/>
        <item x="403"/>
        <item x="1069"/>
        <item x="241"/>
        <item x="245"/>
        <item x="2240"/>
        <item x="2745"/>
        <item x="2374"/>
        <item x="11"/>
        <item x="1465"/>
        <item x="1070"/>
        <item x="1068"/>
        <item x="1383"/>
        <item x="1077"/>
        <item x="344"/>
        <item x="244"/>
        <item x="1104"/>
        <item x="1835"/>
        <item x="136"/>
        <item x="271"/>
        <item x="1039"/>
        <item x="1471"/>
        <item x="2417"/>
        <item x="137"/>
        <item x="274"/>
        <item x="2002"/>
        <item x="1219"/>
        <item x="2231"/>
        <item x="2765"/>
        <item x="1071"/>
        <item x="52"/>
        <item x="1083"/>
        <item x="1038"/>
        <item x="2695"/>
        <item x="1117"/>
        <item x="2706"/>
        <item x="1059"/>
        <item x="1911"/>
        <item x="2095"/>
        <item x="1441"/>
        <item x="412"/>
        <item x="283"/>
        <item x="883"/>
        <item x="1467"/>
        <item x="2454"/>
        <item x="233"/>
        <item x="272"/>
        <item x="2429"/>
        <item x="2710"/>
        <item x="208"/>
        <item x="2742"/>
        <item x="1052"/>
        <item x="1101"/>
        <item x="1895"/>
        <item x="1402"/>
        <item x="522"/>
        <item x="2272"/>
        <item x="16"/>
        <item x="551"/>
        <item x="2519"/>
        <item x="15"/>
        <item x="30"/>
        <item x="415"/>
        <item x="1119"/>
        <item x="2408"/>
        <item x="2420"/>
        <item x="434"/>
        <item x="1035"/>
        <item x="1272"/>
        <item x="2707"/>
        <item x="148"/>
        <item x="2003"/>
        <item x="2749"/>
        <item x="1060"/>
        <item x="2020"/>
        <item x="1757"/>
        <item x="1987"/>
        <item x="1845"/>
        <item x="2685"/>
        <item x="20"/>
        <item x="2755"/>
        <item x="2097"/>
        <item x="557"/>
        <item x="254"/>
        <item x="1082"/>
        <item x="2698"/>
        <item x="2721"/>
        <item x="53"/>
        <item x="1834"/>
        <item x="155"/>
        <item x="1102"/>
        <item x="1375"/>
        <item x="2713"/>
        <item x="428"/>
        <item x="2432"/>
        <item x="1061"/>
        <item x="479"/>
        <item x="2386"/>
        <item x="2412"/>
        <item x="413"/>
        <item x="1300"/>
        <item x="2235"/>
        <item x="1355"/>
        <item x="2257"/>
        <item x="1839"/>
        <item x="521"/>
        <item x="2748"/>
        <item x="141"/>
        <item x="13"/>
        <item x="2411"/>
        <item x="267"/>
        <item x="2764"/>
        <item x="9"/>
        <item x="2355"/>
        <item x="1357"/>
        <item x="514"/>
        <item x="1632"/>
        <item x="2019"/>
        <item x="1883"/>
        <item x="1734"/>
        <item x="867"/>
        <item x="2705"/>
        <item x="1736"/>
        <item x="418"/>
        <item x="2715"/>
        <item x="143"/>
        <item x="462"/>
        <item x="1400"/>
        <item x="1469"/>
        <item x="1876"/>
        <item x="2751"/>
        <item x="2692"/>
        <item x="1088"/>
        <item x="7"/>
        <item x="162"/>
        <item x="1423"/>
        <item x="2773"/>
        <item x="1124"/>
        <item x="2776"/>
        <item x="1028"/>
        <item x="230"/>
        <item x="2693"/>
        <item x="2315"/>
        <item x="1816"/>
        <item x="543"/>
        <item x="1997"/>
        <item x="2699"/>
        <item x="2277"/>
        <item x="2746"/>
        <item x="1910"/>
        <item x="1468"/>
        <item x="417"/>
        <item x="2722"/>
        <item x="2298"/>
        <item x="1831"/>
        <item x="142"/>
        <item x="1299"/>
        <item x="2254"/>
        <item x="511"/>
        <item x="1772"/>
        <item x="878"/>
        <item x="164"/>
        <item x="1339"/>
        <item x="2730"/>
        <item x="2288"/>
        <item x="513"/>
        <item x="423"/>
        <item x="1062"/>
        <item x="903"/>
        <item x="224"/>
        <item x="2256"/>
        <item x="517"/>
        <item x="1397"/>
        <item x="3"/>
        <item x="4"/>
        <item x="6"/>
        <item x="8"/>
        <item x="19"/>
        <item x="24"/>
        <item x="26"/>
        <item x="27"/>
        <item x="28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9"/>
        <item x="140"/>
        <item x="144"/>
        <item x="145"/>
        <item x="150"/>
        <item x="153"/>
        <item x="154"/>
        <item x="156"/>
        <item x="165"/>
        <item x="166"/>
        <item x="167"/>
        <item x="168"/>
        <item x="169"/>
        <item x="170"/>
        <item x="175"/>
        <item x="176"/>
        <item x="181"/>
        <item x="182"/>
        <item x="183"/>
        <item x="187"/>
        <item x="188"/>
        <item x="189"/>
        <item x="190"/>
        <item x="191"/>
        <item x="193"/>
        <item x="194"/>
        <item x="197"/>
        <item x="198"/>
        <item x="199"/>
        <item x="200"/>
        <item x="201"/>
        <item x="202"/>
        <item x="203"/>
        <item x="204"/>
        <item x="205"/>
        <item x="207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7"/>
        <item x="228"/>
        <item x="229"/>
        <item x="231"/>
        <item x="235"/>
        <item x="236"/>
        <item x="238"/>
        <item x="239"/>
        <item x="240"/>
        <item x="242"/>
        <item x="243"/>
        <item x="250"/>
        <item x="251"/>
        <item x="257"/>
        <item x="258"/>
        <item x="259"/>
        <item x="260"/>
        <item x="261"/>
        <item x="262"/>
        <item x="263"/>
        <item x="265"/>
        <item x="270"/>
        <item x="276"/>
        <item x="277"/>
        <item x="278"/>
        <item x="279"/>
        <item x="280"/>
        <item x="281"/>
        <item x="282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4"/>
        <item x="406"/>
        <item x="407"/>
        <item x="408"/>
        <item x="430"/>
        <item x="431"/>
        <item x="432"/>
        <item x="433"/>
        <item x="435"/>
        <item x="436"/>
        <item x="437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4"/>
        <item x="455"/>
        <item x="456"/>
        <item x="457"/>
        <item x="458"/>
        <item x="460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6"/>
        <item x="477"/>
        <item x="485"/>
        <item x="486"/>
        <item x="487"/>
        <item x="488"/>
        <item x="489"/>
        <item x="490"/>
        <item x="491"/>
        <item x="492"/>
        <item x="493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10"/>
        <item x="512"/>
        <item x="525"/>
        <item x="527"/>
        <item x="528"/>
        <item x="529"/>
        <item x="530"/>
        <item x="531"/>
        <item x="532"/>
        <item x="533"/>
        <item x="534"/>
        <item x="539"/>
        <item x="540"/>
        <item x="541"/>
        <item x="544"/>
        <item x="547"/>
        <item x="548"/>
        <item x="549"/>
        <item x="550"/>
        <item x="552"/>
        <item x="558"/>
        <item x="559"/>
        <item x="560"/>
        <item x="562"/>
        <item x="563"/>
        <item x="564"/>
        <item x="565"/>
        <item x="566"/>
        <item x="567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6"/>
        <item x="868"/>
        <item x="870"/>
        <item x="871"/>
        <item x="872"/>
        <item x="873"/>
        <item x="874"/>
        <item x="875"/>
        <item x="876"/>
        <item x="877"/>
        <item x="879"/>
        <item x="880"/>
        <item x="881"/>
        <item x="882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4"/>
        <item x="905"/>
        <item x="906"/>
        <item x="907"/>
        <item x="909"/>
        <item x="910"/>
        <item x="911"/>
        <item x="912"/>
        <item x="913"/>
        <item x="914"/>
        <item x="915"/>
        <item x="916"/>
        <item x="917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5"/>
        <item x="996"/>
        <item x="1000"/>
        <item x="1001"/>
        <item x="1003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7"/>
        <item x="1030"/>
        <item x="1031"/>
        <item x="1032"/>
        <item x="1033"/>
        <item x="1034"/>
        <item x="1036"/>
        <item x="1037"/>
        <item x="1040"/>
        <item x="1041"/>
        <item x="1042"/>
        <item x="1043"/>
        <item x="1046"/>
        <item x="1047"/>
        <item x="1048"/>
        <item x="1049"/>
        <item x="1051"/>
        <item x="1084"/>
        <item x="1085"/>
        <item x="1103"/>
        <item x="1106"/>
        <item x="1109"/>
        <item x="1121"/>
        <item x="1122"/>
        <item x="1123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5"/>
        <item x="1166"/>
        <item x="1167"/>
        <item x="1168"/>
        <item x="1169"/>
        <item x="1170"/>
        <item x="1171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10"/>
        <item x="1211"/>
        <item x="1212"/>
        <item x="1213"/>
        <item x="1214"/>
        <item x="1220"/>
        <item x="1221"/>
        <item x="1222"/>
        <item x="1223"/>
        <item x="1224"/>
        <item x="1225"/>
        <item x="1226"/>
        <item x="1227"/>
        <item x="1230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3"/>
        <item x="1254"/>
        <item x="1257"/>
        <item x="1258"/>
        <item x="1259"/>
        <item x="1260"/>
        <item x="1261"/>
        <item x="1262"/>
        <item x="1263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9"/>
        <item x="1290"/>
        <item x="1291"/>
        <item x="1292"/>
        <item x="1293"/>
        <item x="1294"/>
        <item x="1295"/>
        <item x="1296"/>
        <item x="1297"/>
        <item x="1298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40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8"/>
        <item x="1359"/>
        <item x="1360"/>
        <item x="1361"/>
        <item x="1362"/>
        <item x="1363"/>
        <item x="1364"/>
        <item x="1366"/>
        <item x="1367"/>
        <item x="1368"/>
        <item x="1369"/>
        <item x="1371"/>
        <item x="1372"/>
        <item x="1373"/>
        <item x="1374"/>
        <item x="1376"/>
        <item x="1378"/>
        <item x="1380"/>
        <item x="1381"/>
        <item x="1382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8"/>
        <item x="1399"/>
        <item x="1403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60"/>
        <item x="1461"/>
        <item x="1462"/>
        <item x="1463"/>
        <item x="1464"/>
        <item x="1466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2"/>
        <item x="1623"/>
        <item x="1624"/>
        <item x="1625"/>
        <item x="1626"/>
        <item x="1627"/>
        <item x="1628"/>
        <item x="1629"/>
        <item x="1630"/>
        <item x="1631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4"/>
        <item x="1725"/>
        <item x="1726"/>
        <item x="1727"/>
        <item x="1728"/>
        <item x="1729"/>
        <item x="1730"/>
        <item x="1731"/>
        <item x="1732"/>
        <item x="1733"/>
        <item x="1737"/>
        <item x="1739"/>
        <item x="1740"/>
        <item x="1741"/>
        <item x="1742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8"/>
        <item x="1759"/>
        <item x="1760"/>
        <item x="1761"/>
        <item x="1762"/>
        <item x="1764"/>
        <item x="1765"/>
        <item x="1766"/>
        <item x="1767"/>
        <item x="1768"/>
        <item x="1769"/>
        <item x="1770"/>
        <item x="1771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7"/>
        <item x="1846"/>
        <item x="1847"/>
        <item x="1848"/>
        <item x="1849"/>
        <item x="1850"/>
        <item x="1851"/>
        <item x="1852"/>
        <item x="1853"/>
        <item x="1855"/>
        <item x="1856"/>
        <item x="1859"/>
        <item x="1860"/>
        <item x="1861"/>
        <item x="1862"/>
        <item x="1863"/>
        <item x="1864"/>
        <item x="1865"/>
        <item x="1866"/>
        <item x="1867"/>
        <item x="1868"/>
        <item x="1870"/>
        <item x="1871"/>
        <item x="1872"/>
        <item x="1875"/>
        <item x="1877"/>
        <item x="1878"/>
        <item x="1879"/>
        <item x="1880"/>
        <item x="1881"/>
        <item x="1882"/>
        <item x="1884"/>
        <item x="1885"/>
        <item x="1886"/>
        <item x="1887"/>
        <item x="1888"/>
        <item x="1891"/>
        <item x="1892"/>
        <item x="1896"/>
        <item x="1897"/>
        <item x="1898"/>
        <item x="1899"/>
        <item x="1902"/>
        <item x="1903"/>
        <item x="1904"/>
        <item x="1905"/>
        <item x="1906"/>
        <item x="1907"/>
        <item x="1908"/>
        <item x="1913"/>
        <item x="1914"/>
        <item x="1915"/>
        <item x="1916"/>
        <item x="1917"/>
        <item x="1918"/>
        <item x="1920"/>
        <item x="1921"/>
        <item x="1922"/>
        <item x="1923"/>
        <item x="1924"/>
        <item x="1925"/>
        <item x="1926"/>
        <item x="1927"/>
        <item x="1928"/>
        <item x="1929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2"/>
        <item x="1973"/>
        <item x="1975"/>
        <item x="1976"/>
        <item x="1977"/>
        <item x="1979"/>
        <item x="1980"/>
        <item x="1981"/>
        <item x="1982"/>
        <item x="1984"/>
        <item x="1985"/>
        <item x="1986"/>
        <item x="1989"/>
        <item x="1990"/>
        <item x="1991"/>
        <item x="1992"/>
        <item x="1993"/>
        <item x="1994"/>
        <item x="1995"/>
        <item x="1999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2"/>
        <item x="2043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8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8"/>
        <item x="2230"/>
        <item x="2232"/>
        <item x="2233"/>
        <item x="2234"/>
        <item x="2236"/>
        <item x="2237"/>
        <item x="2238"/>
        <item x="2239"/>
        <item x="2241"/>
        <item x="2242"/>
        <item x="2243"/>
        <item x="2244"/>
        <item x="2245"/>
        <item x="2246"/>
        <item x="2247"/>
        <item x="2248"/>
        <item x="2250"/>
        <item x="2251"/>
        <item x="2252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3"/>
        <item x="2274"/>
        <item x="2275"/>
        <item x="2279"/>
        <item x="2280"/>
        <item x="2281"/>
        <item x="2282"/>
        <item x="2283"/>
        <item x="2284"/>
        <item x="2285"/>
        <item x="2287"/>
        <item x="2289"/>
        <item x="2290"/>
        <item x="2292"/>
        <item x="2293"/>
        <item x="2294"/>
        <item x="2296"/>
        <item x="2297"/>
        <item x="2299"/>
        <item x="2300"/>
        <item x="2301"/>
        <item x="2302"/>
        <item x="2303"/>
        <item x="2305"/>
        <item x="2306"/>
        <item x="2307"/>
        <item x="2308"/>
        <item x="2309"/>
        <item x="2310"/>
        <item x="2311"/>
        <item x="2312"/>
        <item x="2313"/>
        <item x="2314"/>
        <item x="2316"/>
        <item x="2317"/>
        <item x="2318"/>
        <item x="2319"/>
        <item x="2320"/>
        <item x="2321"/>
        <item x="2322"/>
        <item x="2323"/>
        <item x="2324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2"/>
        <item x="2353"/>
        <item x="2354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70"/>
        <item x="2371"/>
        <item x="2372"/>
        <item x="2373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6"/>
        <item x="2407"/>
        <item x="2410"/>
        <item x="2413"/>
        <item x="2414"/>
        <item x="2415"/>
        <item x="2418"/>
        <item x="2419"/>
        <item x="2422"/>
        <item x="2423"/>
        <item x="2424"/>
        <item x="2425"/>
        <item x="2426"/>
        <item x="2431"/>
        <item x="2433"/>
        <item x="2434"/>
        <item x="2436"/>
        <item x="2437"/>
        <item x="2438"/>
        <item x="2439"/>
        <item x="2440"/>
        <item x="2441"/>
        <item x="2442"/>
        <item x="2444"/>
        <item x="2445"/>
        <item x="2446"/>
        <item x="2447"/>
        <item x="2448"/>
        <item x="2449"/>
        <item x="2450"/>
        <item x="2451"/>
        <item x="2452"/>
        <item x="2453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6"/>
        <item x="2647"/>
        <item x="2648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4"/>
        <item x="2675"/>
        <item x="2676"/>
        <item x="2677"/>
        <item x="2678"/>
        <item x="2679"/>
        <item x="2680"/>
        <item x="2681"/>
        <item x="2682"/>
        <item x="2684"/>
        <item x="2729"/>
        <item x="2731"/>
        <item x="2734"/>
        <item x="2735"/>
        <item x="2739"/>
        <item x="2741"/>
        <item x="2760"/>
        <item x="2763"/>
        <item x="2768"/>
        <item x="2771"/>
        <item x="2779"/>
        <item x="27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2">
        <item x="32"/>
        <item x="6"/>
        <item x="8"/>
        <item x="0"/>
        <item x="13"/>
        <item x="11"/>
        <item x="4"/>
        <item x="34"/>
        <item x="30"/>
        <item x="24"/>
        <item x="20"/>
        <item x="27"/>
        <item x="12"/>
        <item x="9"/>
        <item x="3"/>
        <item x="28"/>
        <item x="37"/>
        <item x="2"/>
        <item x="29"/>
        <item x="23"/>
        <item x="40"/>
        <item x="10"/>
        <item x="14"/>
        <item x="5"/>
        <item x="15"/>
        <item x="19"/>
        <item x="41"/>
        <item x="33"/>
        <item x="18"/>
        <item x="16"/>
        <item x="17"/>
        <item x="7"/>
        <item x="39"/>
        <item x="25"/>
        <item x="31"/>
        <item x="1"/>
        <item x="21"/>
        <item x="22"/>
        <item x="26"/>
        <item x="35"/>
        <item x="36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3"/>
  </rowFields>
  <rowItems count="3392">
    <i>
      <x/>
      <x v="344"/>
    </i>
    <i r="1">
      <x v="447"/>
    </i>
    <i>
      <x v="1"/>
      <x v="4"/>
    </i>
    <i r="1">
      <x v="9"/>
    </i>
    <i r="1">
      <x v="12"/>
    </i>
    <i r="1">
      <x v="23"/>
    </i>
    <i r="1">
      <x v="24"/>
    </i>
    <i r="1">
      <x v="25"/>
    </i>
    <i r="1">
      <x v="27"/>
    </i>
    <i r="1">
      <x v="28"/>
    </i>
    <i r="1">
      <x v="32"/>
    </i>
    <i r="1">
      <x v="46"/>
    </i>
    <i r="1">
      <x v="48"/>
    </i>
    <i r="1">
      <x v="52"/>
    </i>
    <i r="1">
      <x v="57"/>
    </i>
    <i r="1">
      <x v="63"/>
    </i>
    <i r="1">
      <x v="73"/>
    </i>
    <i r="1">
      <x v="80"/>
    </i>
    <i r="1">
      <x v="86"/>
    </i>
    <i r="1">
      <x v="87"/>
    </i>
    <i r="1">
      <x v="92"/>
    </i>
    <i r="1">
      <x v="101"/>
    </i>
    <i r="1">
      <x v="105"/>
    </i>
    <i r="1">
      <x v="116"/>
    </i>
    <i r="1">
      <x v="118"/>
    </i>
    <i r="1">
      <x v="121"/>
    </i>
    <i r="1">
      <x v="128"/>
    </i>
    <i r="1">
      <x v="129"/>
    </i>
    <i r="1">
      <x v="133"/>
    </i>
    <i r="1">
      <x v="143"/>
    </i>
    <i r="1">
      <x v="145"/>
    </i>
    <i r="1">
      <x v="149"/>
    </i>
    <i r="1">
      <x v="154"/>
    </i>
    <i r="1">
      <x v="162"/>
    </i>
    <i r="1">
      <x v="167"/>
    </i>
    <i r="1">
      <x v="169"/>
    </i>
    <i r="1">
      <x v="178"/>
    </i>
    <i r="1">
      <x v="186"/>
    </i>
    <i r="1">
      <x v="188"/>
    </i>
    <i r="1">
      <x v="194"/>
    </i>
    <i r="1">
      <x v="195"/>
    </i>
    <i r="1">
      <x v="210"/>
    </i>
    <i r="1">
      <x v="212"/>
    </i>
    <i r="1">
      <x v="213"/>
    </i>
    <i r="1">
      <x v="215"/>
    </i>
    <i r="1">
      <x v="218"/>
    </i>
    <i r="1">
      <x v="234"/>
    </i>
    <i r="1">
      <x v="245"/>
    </i>
    <i r="1">
      <x v="246"/>
    </i>
    <i r="1">
      <x v="254"/>
    </i>
    <i r="1">
      <x v="258"/>
    </i>
    <i r="1">
      <x v="267"/>
    </i>
    <i r="1">
      <x v="272"/>
    </i>
    <i r="1">
      <x v="279"/>
    </i>
    <i r="1">
      <x v="280"/>
    </i>
    <i r="1">
      <x v="283"/>
    </i>
    <i r="1">
      <x v="300"/>
    </i>
    <i r="1">
      <x v="306"/>
    </i>
    <i r="1">
      <x v="313"/>
    </i>
    <i r="1">
      <x v="328"/>
    </i>
    <i r="1">
      <x v="338"/>
    </i>
    <i r="1">
      <x v="339"/>
    </i>
    <i r="1">
      <x v="343"/>
    </i>
    <i r="1">
      <x v="350"/>
    </i>
    <i r="1">
      <x v="357"/>
    </i>
    <i r="1">
      <x v="363"/>
    </i>
    <i r="1">
      <x v="364"/>
    </i>
    <i r="1">
      <x v="367"/>
    </i>
    <i r="1">
      <x v="382"/>
    </i>
    <i r="1">
      <x v="385"/>
    </i>
    <i r="1">
      <x v="402"/>
    </i>
    <i r="1">
      <x v="406"/>
    </i>
    <i r="1">
      <x v="407"/>
    </i>
    <i r="1">
      <x v="410"/>
    </i>
    <i r="1">
      <x v="420"/>
    </i>
    <i r="1">
      <x v="428"/>
    </i>
    <i r="1">
      <x v="429"/>
    </i>
    <i r="1">
      <x v="436"/>
    </i>
    <i r="1">
      <x v="437"/>
    </i>
    <i r="1">
      <x v="439"/>
    </i>
    <i r="1">
      <x v="450"/>
    </i>
    <i r="1">
      <x v="451"/>
    </i>
    <i r="1">
      <x v="452"/>
    </i>
    <i r="1">
      <x v="466"/>
    </i>
    <i r="1">
      <x v="467"/>
    </i>
    <i r="1">
      <x v="473"/>
    </i>
    <i r="1">
      <x v="475"/>
    </i>
    <i r="1">
      <x v="476"/>
    </i>
    <i r="1">
      <x v="483"/>
    </i>
    <i r="1">
      <x v="487"/>
    </i>
    <i r="1">
      <x v="500"/>
    </i>
    <i r="1">
      <x v="505"/>
    </i>
    <i r="1">
      <x v="517"/>
    </i>
    <i r="1">
      <x v="518"/>
    </i>
    <i r="1">
      <x v="532"/>
    </i>
    <i r="1">
      <x v="542"/>
    </i>
    <i r="1">
      <x v="564"/>
    </i>
    <i r="1">
      <x v="969"/>
    </i>
    <i r="1">
      <x v="1100"/>
    </i>
    <i r="1">
      <x v="1264"/>
    </i>
    <i r="1">
      <x v="1313"/>
    </i>
    <i r="1">
      <x v="1383"/>
    </i>
    <i r="1">
      <x v="1453"/>
    </i>
    <i r="1">
      <x v="1606"/>
    </i>
    <i r="1">
      <x v="2039"/>
    </i>
    <i r="1">
      <x v="2334"/>
    </i>
    <i r="1">
      <x v="2357"/>
    </i>
    <i r="1">
      <x v="2358"/>
    </i>
    <i r="1">
      <x v="2434"/>
    </i>
    <i r="1">
      <x v="2435"/>
    </i>
    <i r="1">
      <x v="2441"/>
    </i>
    <i r="1">
      <x v="2457"/>
    </i>
    <i>
      <x v="2"/>
      <x v="6"/>
    </i>
    <i r="1">
      <x v="34"/>
    </i>
    <i r="1">
      <x v="50"/>
    </i>
    <i r="1">
      <x v="81"/>
    </i>
    <i r="1">
      <x v="82"/>
    </i>
    <i r="1">
      <x v="106"/>
    </i>
    <i r="1">
      <x v="134"/>
    </i>
    <i r="1">
      <x v="139"/>
    </i>
    <i r="1">
      <x v="157"/>
    </i>
    <i r="1">
      <x v="170"/>
    </i>
    <i r="1">
      <x v="173"/>
    </i>
    <i r="1">
      <x v="189"/>
    </i>
    <i r="1">
      <x v="199"/>
    </i>
    <i r="1">
      <x v="220"/>
    </i>
    <i r="1">
      <x v="237"/>
    </i>
    <i r="1">
      <x v="262"/>
    </i>
    <i r="1">
      <x v="268"/>
    </i>
    <i r="1">
      <x v="292"/>
    </i>
    <i r="1">
      <x v="317"/>
    </i>
    <i r="1">
      <x v="320"/>
    </i>
    <i r="1">
      <x v="321"/>
    </i>
    <i r="1">
      <x v="346"/>
    </i>
    <i r="1">
      <x v="358"/>
    </i>
    <i r="1">
      <x v="373"/>
    </i>
    <i r="1">
      <x v="413"/>
    </i>
    <i r="1">
      <x v="442"/>
    </i>
    <i r="1">
      <x v="457"/>
    </i>
    <i r="1">
      <x v="490"/>
    </i>
    <i r="1">
      <x v="531"/>
    </i>
    <i r="1">
      <x v="535"/>
    </i>
    <i r="1">
      <x v="556"/>
    </i>
    <i r="1">
      <x v="557"/>
    </i>
    <i r="1">
      <x v="558"/>
    </i>
    <i r="1">
      <x v="559"/>
    </i>
    <i r="1">
      <x v="560"/>
    </i>
    <i r="1">
      <x v="562"/>
    </i>
    <i r="1">
      <x v="563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80"/>
    </i>
    <i r="1">
      <x v="587"/>
    </i>
    <i r="1">
      <x v="588"/>
    </i>
    <i r="1">
      <x v="589"/>
    </i>
    <i r="1">
      <x v="594"/>
    </i>
    <i r="1">
      <x v="603"/>
    </i>
    <i r="1">
      <x v="605"/>
    </i>
    <i r="1">
      <x v="612"/>
    </i>
    <i r="1">
      <x v="635"/>
    </i>
    <i r="1">
      <x v="649"/>
    </i>
    <i r="1">
      <x v="657"/>
    </i>
    <i r="1">
      <x v="658"/>
    </i>
    <i r="1">
      <x v="660"/>
    </i>
    <i r="1">
      <x v="663"/>
    </i>
    <i r="1">
      <x v="665"/>
    </i>
    <i r="1">
      <x v="666"/>
    </i>
    <i r="1">
      <x v="667"/>
    </i>
    <i r="1">
      <x v="668"/>
    </i>
    <i r="1">
      <x v="669"/>
    </i>
    <i r="1">
      <x v="671"/>
    </i>
    <i r="1">
      <x v="674"/>
    </i>
    <i r="1">
      <x v="675"/>
    </i>
    <i r="1">
      <x v="677"/>
    </i>
    <i r="1">
      <x v="678"/>
    </i>
    <i r="1">
      <x v="679"/>
    </i>
    <i r="1">
      <x v="680"/>
    </i>
    <i r="1">
      <x v="687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706"/>
    </i>
    <i r="1">
      <x v="707"/>
    </i>
    <i r="1">
      <x v="708"/>
    </i>
    <i r="1">
      <x v="709"/>
    </i>
    <i r="1">
      <x v="710"/>
    </i>
    <i r="1">
      <x v="717"/>
    </i>
    <i r="1">
      <x v="719"/>
    </i>
    <i r="1">
      <x v="722"/>
    </i>
    <i r="1">
      <x v="723"/>
    </i>
    <i r="1">
      <x v="724"/>
    </i>
    <i r="1">
      <x v="725"/>
    </i>
    <i r="1">
      <x v="730"/>
    </i>
    <i r="1">
      <x v="731"/>
    </i>
    <i r="1">
      <x v="732"/>
    </i>
    <i r="1">
      <x v="733"/>
    </i>
    <i r="1">
      <x v="739"/>
    </i>
    <i r="1">
      <x v="748"/>
    </i>
    <i r="1">
      <x v="752"/>
    </i>
    <i r="1">
      <x v="762"/>
    </i>
    <i r="1">
      <x v="763"/>
    </i>
    <i r="1">
      <x v="765"/>
    </i>
    <i r="1">
      <x v="768"/>
    </i>
    <i r="1">
      <x v="778"/>
    </i>
    <i r="1">
      <x v="779"/>
    </i>
    <i r="1">
      <x v="780"/>
    </i>
    <i r="1">
      <x v="790"/>
    </i>
    <i r="1">
      <x v="812"/>
    </i>
    <i r="1">
      <x v="840"/>
    </i>
    <i r="1">
      <x v="845"/>
    </i>
    <i r="1">
      <x v="851"/>
    </i>
    <i r="1">
      <x v="853"/>
    </i>
    <i r="1">
      <x v="854"/>
    </i>
    <i r="1">
      <x v="860"/>
    </i>
    <i r="1">
      <x v="861"/>
    </i>
    <i r="1">
      <x v="867"/>
    </i>
    <i r="1">
      <x v="868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92"/>
    </i>
    <i r="1">
      <x v="893"/>
    </i>
    <i r="1">
      <x v="904"/>
    </i>
    <i r="1">
      <x v="905"/>
    </i>
    <i r="1">
      <x v="908"/>
    </i>
    <i r="1">
      <x v="909"/>
    </i>
    <i r="1">
      <x v="910"/>
    </i>
    <i r="1">
      <x v="912"/>
    </i>
    <i r="1">
      <x v="917"/>
    </i>
    <i r="1">
      <x v="918"/>
    </i>
    <i r="1">
      <x v="920"/>
    </i>
    <i r="1">
      <x v="922"/>
    </i>
    <i r="1">
      <x v="928"/>
    </i>
    <i r="1">
      <x v="931"/>
    </i>
    <i r="1">
      <x v="940"/>
    </i>
    <i r="1">
      <x v="941"/>
    </i>
    <i r="1">
      <x v="942"/>
    </i>
    <i r="1">
      <x v="946"/>
    </i>
    <i r="1">
      <x v="947"/>
    </i>
    <i r="1">
      <x v="957"/>
    </i>
    <i r="1">
      <x v="968"/>
    </i>
    <i r="1">
      <x v="970"/>
    </i>
    <i r="1">
      <x v="971"/>
    </i>
    <i r="1">
      <x v="974"/>
    </i>
    <i r="1">
      <x v="975"/>
    </i>
    <i r="1">
      <x v="1058"/>
    </i>
    <i r="1">
      <x v="1066"/>
    </i>
    <i r="1">
      <x v="1236"/>
    </i>
    <i r="1">
      <x v="1262"/>
    </i>
    <i r="1">
      <x v="1278"/>
    </i>
    <i r="1">
      <x v="1303"/>
    </i>
    <i r="1">
      <x v="1307"/>
    </i>
    <i r="1">
      <x v="1356"/>
    </i>
    <i r="1">
      <x v="1357"/>
    </i>
    <i r="1">
      <x v="1360"/>
    </i>
    <i r="1">
      <x v="1365"/>
    </i>
    <i r="1">
      <x v="1366"/>
    </i>
    <i r="1">
      <x v="1378"/>
    </i>
    <i r="1">
      <x v="1397"/>
    </i>
    <i r="1">
      <x v="1407"/>
    </i>
    <i r="1">
      <x v="1463"/>
    </i>
    <i r="1">
      <x v="1468"/>
    </i>
    <i r="1">
      <x v="1474"/>
    </i>
    <i r="1">
      <x v="1484"/>
    </i>
    <i r="1">
      <x v="1495"/>
    </i>
    <i r="1">
      <x v="1511"/>
    </i>
    <i r="1">
      <x v="1543"/>
    </i>
    <i r="1">
      <x v="1544"/>
    </i>
    <i r="1">
      <x v="1592"/>
    </i>
    <i r="1">
      <x v="1597"/>
    </i>
    <i r="1">
      <x v="1611"/>
    </i>
    <i r="1">
      <x v="1612"/>
    </i>
    <i r="1">
      <x v="1635"/>
    </i>
    <i r="1">
      <x v="1694"/>
    </i>
    <i r="1">
      <x v="1714"/>
    </i>
    <i r="1">
      <x v="1719"/>
    </i>
    <i r="1">
      <x v="1959"/>
    </i>
    <i r="1">
      <x v="1960"/>
    </i>
    <i r="1">
      <x v="1979"/>
    </i>
    <i r="1">
      <x v="1999"/>
    </i>
    <i r="1">
      <x v="2023"/>
    </i>
    <i r="1">
      <x v="2036"/>
    </i>
    <i r="1">
      <x v="2055"/>
    </i>
    <i r="1">
      <x v="2160"/>
    </i>
    <i r="1">
      <x v="2327"/>
    </i>
    <i r="1">
      <x v="2335"/>
    </i>
    <i r="1">
      <x v="2337"/>
    </i>
    <i r="1">
      <x v="2414"/>
    </i>
    <i r="1">
      <x v="2417"/>
    </i>
    <i r="1">
      <x v="2419"/>
    </i>
    <i r="1">
      <x v="2420"/>
    </i>
    <i r="1">
      <x v="2763"/>
    </i>
    <i r="1">
      <x v="2769"/>
    </i>
    <i r="1">
      <x v="2774"/>
    </i>
    <i r="1">
      <x v="2775"/>
    </i>
    <i>
      <x v="3"/>
      <x v="6"/>
    </i>
    <i r="1">
      <x v="21"/>
    </i>
    <i r="1">
      <x v="25"/>
    </i>
    <i r="1">
      <x v="33"/>
    </i>
    <i r="1">
      <x v="35"/>
    </i>
    <i r="1">
      <x v="44"/>
    </i>
    <i r="1">
      <x v="47"/>
    </i>
    <i r="1">
      <x v="50"/>
    </i>
    <i r="1">
      <x v="54"/>
    </i>
    <i r="1">
      <x v="61"/>
    </i>
    <i r="1">
      <x v="62"/>
    </i>
    <i r="1">
      <x v="78"/>
    </i>
    <i r="1">
      <x v="83"/>
    </i>
    <i r="1">
      <x v="93"/>
    </i>
    <i r="1">
      <x v="99"/>
    </i>
    <i r="1">
      <x v="100"/>
    </i>
    <i r="1">
      <x v="112"/>
    </i>
    <i r="1">
      <x v="113"/>
    </i>
    <i r="1">
      <x v="118"/>
    </i>
    <i r="1">
      <x v="119"/>
    </i>
    <i r="1">
      <x v="120"/>
    </i>
    <i r="1">
      <x v="121"/>
    </i>
    <i r="1">
      <x v="122"/>
    </i>
    <i r="1">
      <x v="126"/>
    </i>
    <i r="1">
      <x v="130"/>
    </i>
    <i r="1">
      <x v="135"/>
    </i>
    <i r="1">
      <x v="138"/>
    </i>
    <i r="1">
      <x v="141"/>
    </i>
    <i r="1">
      <x v="148"/>
    </i>
    <i r="1">
      <x v="155"/>
    </i>
    <i r="1">
      <x v="160"/>
    </i>
    <i r="1">
      <x v="163"/>
    </i>
    <i r="1">
      <x v="168"/>
    </i>
    <i r="1">
      <x v="174"/>
    </i>
    <i r="1">
      <x v="184"/>
    </i>
    <i r="1">
      <x v="188"/>
    </i>
    <i r="1">
      <x v="194"/>
    </i>
    <i r="1">
      <x v="200"/>
    </i>
    <i r="1">
      <x v="203"/>
    </i>
    <i r="1">
      <x v="204"/>
    </i>
    <i r="1">
      <x v="206"/>
    </i>
    <i r="1">
      <x v="221"/>
    </i>
    <i r="1">
      <x v="222"/>
    </i>
    <i r="1">
      <x v="223"/>
    </i>
    <i r="1">
      <x v="224"/>
    </i>
    <i r="1">
      <x v="228"/>
    </i>
    <i r="1">
      <x v="232"/>
    </i>
    <i r="1">
      <x v="235"/>
    </i>
    <i r="1">
      <x v="236"/>
    </i>
    <i r="1">
      <x v="238"/>
    </i>
    <i r="1">
      <x v="239"/>
    </i>
    <i r="1">
      <x v="240"/>
    </i>
    <i r="1">
      <x v="246"/>
    </i>
    <i r="1">
      <x v="247"/>
    </i>
    <i r="1">
      <x v="250"/>
    </i>
    <i r="1">
      <x v="258"/>
    </i>
    <i r="1">
      <x v="271"/>
    </i>
    <i r="1">
      <x v="278"/>
    </i>
    <i r="1">
      <x v="279"/>
    </i>
    <i r="1">
      <x v="285"/>
    </i>
    <i r="1">
      <x v="290"/>
    </i>
    <i r="1">
      <x v="323"/>
    </i>
    <i r="1">
      <x v="329"/>
    </i>
    <i r="1">
      <x v="332"/>
    </i>
    <i r="1">
      <x v="333"/>
    </i>
    <i r="1">
      <x v="338"/>
    </i>
    <i r="1">
      <x v="347"/>
    </i>
    <i r="1">
      <x v="353"/>
    </i>
    <i r="1">
      <x v="355"/>
    </i>
    <i r="1">
      <x v="362"/>
    </i>
    <i r="1">
      <x v="365"/>
    </i>
    <i r="1">
      <x v="377"/>
    </i>
    <i r="1">
      <x v="378"/>
    </i>
    <i r="1">
      <x v="379"/>
    </i>
    <i r="1">
      <x v="381"/>
    </i>
    <i r="1">
      <x v="386"/>
    </i>
    <i r="1">
      <x v="387"/>
    </i>
    <i r="1">
      <x v="389"/>
    </i>
    <i r="1">
      <x v="390"/>
    </i>
    <i r="1">
      <x v="392"/>
    </i>
    <i r="1">
      <x v="397"/>
    </i>
    <i r="1">
      <x v="400"/>
    </i>
    <i r="1">
      <x v="408"/>
    </i>
    <i r="1">
      <x v="410"/>
    </i>
    <i r="1">
      <x v="418"/>
    </i>
    <i r="1">
      <x v="420"/>
    </i>
    <i r="1">
      <x v="426"/>
    </i>
    <i r="1">
      <x v="434"/>
    </i>
    <i r="1">
      <x v="436"/>
    </i>
    <i r="1">
      <x v="445"/>
    </i>
    <i r="1">
      <x v="448"/>
    </i>
    <i r="1">
      <x v="458"/>
    </i>
    <i r="1">
      <x v="463"/>
    </i>
    <i r="1">
      <x v="477"/>
    </i>
    <i r="1">
      <x v="479"/>
    </i>
    <i r="1">
      <x v="484"/>
    </i>
    <i r="1">
      <x v="489"/>
    </i>
    <i r="1">
      <x v="494"/>
    </i>
    <i r="1">
      <x v="510"/>
    </i>
    <i r="1">
      <x v="512"/>
    </i>
    <i r="1">
      <x v="519"/>
    </i>
    <i r="1">
      <x v="529"/>
    </i>
    <i r="1">
      <x v="530"/>
    </i>
    <i r="1">
      <x v="536"/>
    </i>
    <i r="1">
      <x v="541"/>
    </i>
    <i r="1">
      <x v="544"/>
    </i>
    <i r="1">
      <x v="550"/>
    </i>
    <i r="1">
      <x v="856"/>
    </i>
    <i r="1">
      <x v="1255"/>
    </i>
    <i r="1">
      <x v="1277"/>
    </i>
    <i r="1">
      <x v="1292"/>
    </i>
    <i r="1">
      <x v="1447"/>
    </i>
    <i r="1">
      <x v="1724"/>
    </i>
    <i r="1">
      <x v="1957"/>
    </i>
    <i r="1">
      <x v="2037"/>
    </i>
    <i r="1">
      <x v="2154"/>
    </i>
    <i>
      <x v="4"/>
      <x v="5"/>
    </i>
    <i r="1">
      <x v="31"/>
    </i>
    <i r="1">
      <x v="56"/>
    </i>
    <i r="1">
      <x v="118"/>
    </i>
    <i r="1">
      <x v="171"/>
    </i>
    <i r="1">
      <x v="190"/>
    </i>
    <i r="1">
      <x v="265"/>
    </i>
    <i r="1">
      <x v="295"/>
    </i>
    <i r="1">
      <x v="298"/>
    </i>
    <i r="1">
      <x v="311"/>
    </i>
    <i r="1">
      <x v="315"/>
    </i>
    <i r="1">
      <x v="341"/>
    </i>
    <i r="1">
      <x v="345"/>
    </i>
    <i r="1">
      <x v="436"/>
    </i>
    <i r="1">
      <x v="443"/>
    </i>
    <i r="1">
      <x v="462"/>
    </i>
    <i r="1">
      <x v="486"/>
    </i>
    <i r="1">
      <x v="493"/>
    </i>
    <i r="1">
      <x v="499"/>
    </i>
    <i r="1">
      <x v="524"/>
    </i>
    <i r="1">
      <x v="539"/>
    </i>
    <i r="1">
      <x v="551"/>
    </i>
    <i>
      <x v="5"/>
      <x v="2"/>
    </i>
    <i r="1">
      <x v="31"/>
    </i>
    <i r="1">
      <x v="43"/>
    </i>
    <i r="1">
      <x v="64"/>
    </i>
    <i r="1">
      <x v="71"/>
    </i>
    <i r="1">
      <x v="77"/>
    </i>
    <i r="1">
      <x v="90"/>
    </i>
    <i r="1">
      <x v="97"/>
    </i>
    <i r="1">
      <x v="118"/>
    </i>
    <i r="1">
      <x v="131"/>
    </i>
    <i r="1">
      <x v="153"/>
    </i>
    <i r="1">
      <x v="180"/>
    </i>
    <i r="1">
      <x v="185"/>
    </i>
    <i r="1">
      <x v="198"/>
    </i>
    <i r="1">
      <x v="211"/>
    </i>
    <i r="1">
      <x v="251"/>
    </i>
    <i r="1">
      <x v="303"/>
    </i>
    <i r="1">
      <x v="409"/>
    </i>
    <i r="1">
      <x v="412"/>
    </i>
    <i r="1">
      <x v="421"/>
    </i>
    <i r="1">
      <x v="446"/>
    </i>
    <i r="1">
      <x v="459"/>
    </i>
    <i r="1">
      <x v="462"/>
    </i>
    <i r="1">
      <x v="488"/>
    </i>
    <i r="1">
      <x v="496"/>
    </i>
    <i r="1">
      <x v="508"/>
    </i>
    <i r="1">
      <x v="513"/>
    </i>
    <i r="1">
      <x v="749"/>
    </i>
    <i>
      <x v="6"/>
      <x v="85"/>
    </i>
    <i r="1">
      <x v="399"/>
    </i>
    <i r="1">
      <x v="456"/>
    </i>
    <i>
      <x v="7"/>
      <x v="430"/>
    </i>
    <i r="1">
      <x v="516"/>
    </i>
    <i r="1">
      <x v="1425"/>
    </i>
    <i r="1">
      <x v="1426"/>
    </i>
    <i r="1">
      <x v="1455"/>
    </i>
    <i>
      <x v="8"/>
      <x v="19"/>
    </i>
    <i>
      <x v="9"/>
      <x v="37"/>
    </i>
    <i r="1">
      <x v="146"/>
    </i>
    <i r="1">
      <x v="218"/>
    </i>
    <i r="1">
      <x v="278"/>
    </i>
    <i r="1">
      <x v="308"/>
    </i>
    <i r="1">
      <x v="326"/>
    </i>
    <i r="1">
      <x v="338"/>
    </i>
    <i r="1">
      <x v="342"/>
    </i>
    <i r="1">
      <x v="408"/>
    </i>
    <i r="1">
      <x v="411"/>
    </i>
    <i r="1">
      <x v="417"/>
    </i>
    <i r="1">
      <x v="434"/>
    </i>
    <i r="1">
      <x v="460"/>
    </i>
    <i r="1">
      <x v="530"/>
    </i>
    <i>
      <x v="10"/>
      <x v="76"/>
    </i>
    <i r="1">
      <x v="81"/>
    </i>
    <i r="1">
      <x v="115"/>
    </i>
    <i r="1">
      <x v="179"/>
    </i>
    <i r="1">
      <x v="199"/>
    </i>
    <i r="1">
      <x v="234"/>
    </i>
    <i r="1">
      <x v="330"/>
    </i>
    <i r="1">
      <x v="413"/>
    </i>
    <i r="1">
      <x v="497"/>
    </i>
    <i r="1">
      <x v="559"/>
    </i>
    <i r="1">
      <x v="657"/>
    </i>
    <i r="1">
      <x v="660"/>
    </i>
    <i r="1">
      <x v="664"/>
    </i>
    <i r="1">
      <x v="702"/>
    </i>
    <i r="1">
      <x v="707"/>
    </i>
    <i r="1">
      <x v="727"/>
    </i>
    <i r="1">
      <x v="749"/>
    </i>
    <i r="1">
      <x v="750"/>
    </i>
    <i r="1">
      <x v="780"/>
    </i>
    <i r="1">
      <x v="797"/>
    </i>
    <i r="1">
      <x v="803"/>
    </i>
    <i r="1">
      <x v="808"/>
    </i>
    <i r="1">
      <x v="809"/>
    </i>
    <i r="1">
      <x v="823"/>
    </i>
    <i r="1">
      <x v="825"/>
    </i>
    <i r="1">
      <x v="840"/>
    </i>
    <i r="1">
      <x v="841"/>
    </i>
    <i r="1">
      <x v="849"/>
    </i>
    <i r="1">
      <x v="865"/>
    </i>
    <i r="1">
      <x v="868"/>
    </i>
    <i r="1">
      <x v="870"/>
    </i>
    <i r="1">
      <x v="874"/>
    </i>
    <i r="1">
      <x v="877"/>
    </i>
    <i r="1">
      <x v="882"/>
    </i>
    <i r="1">
      <x v="890"/>
    </i>
    <i r="1">
      <x v="891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6"/>
    </i>
    <i r="1">
      <x v="913"/>
    </i>
    <i r="1">
      <x v="914"/>
    </i>
    <i r="1">
      <x v="915"/>
    </i>
    <i r="1">
      <x v="930"/>
    </i>
    <i r="1">
      <x v="935"/>
    </i>
    <i r="1">
      <x v="948"/>
    </i>
    <i r="1">
      <x v="953"/>
    </i>
    <i r="1">
      <x v="955"/>
    </i>
    <i r="1">
      <x v="959"/>
    </i>
    <i r="1">
      <x v="960"/>
    </i>
    <i r="1">
      <x v="977"/>
    </i>
    <i r="1">
      <x v="991"/>
    </i>
    <i r="1">
      <x v="992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3"/>
    </i>
    <i r="1">
      <x v="1094"/>
    </i>
    <i r="1">
      <x v="1095"/>
    </i>
    <i r="1">
      <x v="1096"/>
    </i>
    <i r="1">
      <x v="1097"/>
    </i>
    <i r="1">
      <x v="1098"/>
    </i>
    <i r="1">
      <x v="1100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77"/>
    </i>
    <i r="1">
      <x v="1178"/>
    </i>
    <i r="1"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199"/>
    </i>
    <i r="1">
      <x v="1200"/>
    </i>
    <i r="1">
      <x v="1201"/>
    </i>
    <i r="1">
      <x v="1202"/>
    </i>
    <i r="1">
      <x v="1203"/>
    </i>
    <i r="1">
      <x v="1204"/>
    </i>
    <i r="1">
      <x v="1205"/>
    </i>
    <i r="1">
      <x v="1206"/>
    </i>
    <i r="1">
      <x v="1207"/>
    </i>
    <i r="1">
      <x v="1208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5"/>
    </i>
    <i r="1">
      <x v="1216"/>
    </i>
    <i r="1">
      <x v="1217"/>
    </i>
    <i r="1">
      <x v="1218"/>
    </i>
    <i r="1">
      <x v="1219"/>
    </i>
    <i r="1">
      <x v="1220"/>
    </i>
    <i r="1">
      <x v="1221"/>
    </i>
    <i r="1">
      <x v="1222"/>
    </i>
    <i r="1">
      <x v="1223"/>
    </i>
    <i r="1">
      <x v="1224"/>
    </i>
    <i r="1">
      <x v="1225"/>
    </i>
    <i r="1">
      <x v="1226"/>
    </i>
    <i r="1">
      <x v="1227"/>
    </i>
    <i r="1">
      <x v="1228"/>
    </i>
    <i r="1">
      <x v="1229"/>
    </i>
    <i r="1">
      <x v="1230"/>
    </i>
    <i r="1">
      <x v="1232"/>
    </i>
    <i r="1">
      <x v="1233"/>
    </i>
    <i r="1">
      <x v="1234"/>
    </i>
    <i r="1">
      <x v="1245"/>
    </i>
    <i r="1">
      <x v="1254"/>
    </i>
    <i r="1">
      <x v="1260"/>
    </i>
    <i r="1">
      <x v="1261"/>
    </i>
    <i r="1">
      <x v="1271"/>
    </i>
    <i r="1">
      <x v="1272"/>
    </i>
    <i r="1">
      <x v="1273"/>
    </i>
    <i r="1">
      <x v="1274"/>
    </i>
    <i r="1">
      <x v="1275"/>
    </i>
    <i r="1">
      <x v="1276"/>
    </i>
    <i r="1">
      <x v="1319"/>
    </i>
    <i r="1">
      <x v="1337"/>
    </i>
    <i r="1">
      <x v="1338"/>
    </i>
    <i r="1">
      <x v="1344"/>
    </i>
    <i r="1">
      <x v="1362"/>
    </i>
    <i r="1">
      <x v="1363"/>
    </i>
    <i r="1">
      <x v="1374"/>
    </i>
    <i r="1">
      <x v="1384"/>
    </i>
    <i r="1">
      <x v="1385"/>
    </i>
    <i r="1">
      <x v="1402"/>
    </i>
    <i r="1">
      <x v="1403"/>
    </i>
    <i r="1">
      <x v="1404"/>
    </i>
    <i r="1">
      <x v="1405"/>
    </i>
    <i r="1">
      <x v="1406"/>
    </i>
    <i r="1">
      <x v="1411"/>
    </i>
    <i r="1">
      <x v="1412"/>
    </i>
    <i r="1">
      <x v="1413"/>
    </i>
    <i r="1">
      <x v="1435"/>
    </i>
    <i r="1">
      <x v="1438"/>
    </i>
    <i r="1">
      <x v="1441"/>
    </i>
    <i r="1">
      <x v="1459"/>
    </i>
    <i r="1">
      <x v="1469"/>
    </i>
    <i r="1">
      <x v="1470"/>
    </i>
    <i r="1">
      <x v="1471"/>
    </i>
    <i r="1">
      <x v="1472"/>
    </i>
    <i r="1">
      <x v="1473"/>
    </i>
    <i r="1">
      <x v="1474"/>
    </i>
    <i r="1">
      <x v="1476"/>
    </i>
    <i r="1">
      <x v="1477"/>
    </i>
    <i r="1">
      <x v="1479"/>
    </i>
    <i r="1">
      <x v="1480"/>
    </i>
    <i r="1">
      <x v="1487"/>
    </i>
    <i r="1">
      <x v="1488"/>
    </i>
    <i r="1">
      <x v="1489"/>
    </i>
    <i r="1">
      <x v="1496"/>
    </i>
    <i r="1">
      <x v="1497"/>
    </i>
    <i r="1">
      <x v="1501"/>
    </i>
    <i r="1">
      <x v="1502"/>
    </i>
    <i r="1">
      <x v="1503"/>
    </i>
    <i r="1">
      <x v="1504"/>
    </i>
    <i r="1">
      <x v="1505"/>
    </i>
    <i r="1">
      <x v="1508"/>
    </i>
    <i r="1">
      <x v="1509"/>
    </i>
    <i r="1">
      <x v="1510"/>
    </i>
    <i r="1">
      <x v="1512"/>
    </i>
    <i r="1">
      <x v="1513"/>
    </i>
    <i r="1">
      <x v="1516"/>
    </i>
    <i r="1">
      <x v="1517"/>
    </i>
    <i r="1">
      <x v="1518"/>
    </i>
    <i r="1">
      <x v="1520"/>
    </i>
    <i r="1">
      <x v="1521"/>
    </i>
    <i r="1">
      <x v="1522"/>
    </i>
    <i r="1">
      <x v="1525"/>
    </i>
    <i r="1">
      <x v="1526"/>
    </i>
    <i r="1">
      <x v="1527"/>
    </i>
    <i r="1">
      <x v="1528"/>
    </i>
    <i r="1">
      <x v="1530"/>
    </i>
    <i r="1">
      <x v="1531"/>
    </i>
    <i r="1">
      <x v="1533"/>
    </i>
    <i r="1">
      <x v="1534"/>
    </i>
    <i r="1">
      <x v="1535"/>
    </i>
    <i r="1">
      <x v="1536"/>
    </i>
    <i r="1">
      <x v="1537"/>
    </i>
    <i r="1">
      <x v="1539"/>
    </i>
    <i r="1">
      <x v="1540"/>
    </i>
    <i r="1">
      <x v="1541"/>
    </i>
    <i r="1">
      <x v="1542"/>
    </i>
    <i r="1">
      <x v="1545"/>
    </i>
    <i r="1">
      <x v="1546"/>
    </i>
    <i r="1">
      <x v="1547"/>
    </i>
    <i r="1">
      <x v="1548"/>
    </i>
    <i r="1">
      <x v="1549"/>
    </i>
    <i r="1">
      <x v="1550"/>
    </i>
    <i r="1">
      <x v="1551"/>
    </i>
    <i r="1">
      <x v="1552"/>
    </i>
    <i r="1">
      <x v="1558"/>
    </i>
    <i r="1">
      <x v="1559"/>
    </i>
    <i r="1">
      <x v="1560"/>
    </i>
    <i r="1">
      <x v="1561"/>
    </i>
    <i r="1">
      <x v="1562"/>
    </i>
    <i r="1">
      <x v="1563"/>
    </i>
    <i r="1">
      <x v="1564"/>
    </i>
    <i r="1">
      <x v="1565"/>
    </i>
    <i r="1">
      <x v="1566"/>
    </i>
    <i r="1">
      <x v="1567"/>
    </i>
    <i r="1">
      <x v="1568"/>
    </i>
    <i r="1">
      <x v="1569"/>
    </i>
    <i r="1">
      <x v="1570"/>
    </i>
    <i r="1">
      <x v="1571"/>
    </i>
    <i r="1">
      <x v="1572"/>
    </i>
    <i r="1">
      <x v="1573"/>
    </i>
    <i r="1">
      <x v="1574"/>
    </i>
    <i r="1">
      <x v="1575"/>
    </i>
    <i r="1">
      <x v="1576"/>
    </i>
    <i r="1">
      <x v="1577"/>
    </i>
    <i r="1">
      <x v="1578"/>
    </i>
    <i r="1">
      <x v="1579"/>
    </i>
    <i r="1">
      <x v="1580"/>
    </i>
    <i r="1">
      <x v="1581"/>
    </i>
    <i r="1">
      <x v="1582"/>
    </i>
    <i r="1">
      <x v="1583"/>
    </i>
    <i r="1">
      <x v="1584"/>
    </i>
    <i r="1">
      <x v="1585"/>
    </i>
    <i r="1">
      <x v="1586"/>
    </i>
    <i r="1">
      <x v="1587"/>
    </i>
    <i r="1">
      <x v="1588"/>
    </i>
    <i r="1">
      <x v="1589"/>
    </i>
    <i r="1">
      <x v="1590"/>
    </i>
    <i r="1">
      <x v="1591"/>
    </i>
    <i r="1">
      <x v="1593"/>
    </i>
    <i r="1">
      <x v="1595"/>
    </i>
    <i r="1">
      <x v="1598"/>
    </i>
    <i r="1">
      <x v="1599"/>
    </i>
    <i r="1">
      <x v="1600"/>
    </i>
    <i r="1">
      <x v="1601"/>
    </i>
    <i r="1">
      <x v="1604"/>
    </i>
    <i r="1">
      <x v="1605"/>
    </i>
    <i r="1">
      <x v="1607"/>
    </i>
    <i r="1">
      <x v="1608"/>
    </i>
    <i r="1">
      <x v="1609"/>
    </i>
    <i r="1">
      <x v="1610"/>
    </i>
    <i r="1">
      <x v="1619"/>
    </i>
    <i r="1">
      <x v="1620"/>
    </i>
    <i r="1">
      <x v="1622"/>
    </i>
    <i r="1">
      <x v="1623"/>
    </i>
    <i r="1">
      <x v="1624"/>
    </i>
    <i r="1">
      <x v="1626"/>
    </i>
    <i r="1">
      <x v="1627"/>
    </i>
    <i r="1">
      <x v="1636"/>
    </i>
    <i r="1">
      <x v="1638"/>
    </i>
    <i r="1">
      <x v="1646"/>
    </i>
    <i r="1">
      <x v="1650"/>
    </i>
    <i r="1">
      <x v="1651"/>
    </i>
    <i r="1">
      <x v="1652"/>
    </i>
    <i r="1">
      <x v="1653"/>
    </i>
    <i r="1">
      <x v="1654"/>
    </i>
    <i r="1">
      <x v="1655"/>
    </i>
    <i r="1">
      <x v="1656"/>
    </i>
    <i r="1">
      <x v="1657"/>
    </i>
    <i r="1">
      <x v="1658"/>
    </i>
    <i r="1">
      <x v="1659"/>
    </i>
    <i r="1">
      <x v="1660"/>
    </i>
    <i r="1">
      <x v="1661"/>
    </i>
    <i r="1">
      <x v="1662"/>
    </i>
    <i r="1">
      <x v="1663"/>
    </i>
    <i r="1">
      <x v="1664"/>
    </i>
    <i r="1">
      <x v="1665"/>
    </i>
    <i r="1">
      <x v="1667"/>
    </i>
    <i r="1">
      <x v="1668"/>
    </i>
    <i r="1">
      <x v="1669"/>
    </i>
    <i r="1">
      <x v="1670"/>
    </i>
    <i r="1">
      <x v="1671"/>
    </i>
    <i r="1">
      <x v="1672"/>
    </i>
    <i r="1">
      <x v="1673"/>
    </i>
    <i r="1">
      <x v="1674"/>
    </i>
    <i r="1">
      <x v="1675"/>
    </i>
    <i r="1">
      <x v="1676"/>
    </i>
    <i r="1">
      <x v="1677"/>
    </i>
    <i r="1">
      <x v="1678"/>
    </i>
    <i r="1">
      <x v="1679"/>
    </i>
    <i r="1">
      <x v="1680"/>
    </i>
    <i r="1">
      <x v="1681"/>
    </i>
    <i r="1">
      <x v="1682"/>
    </i>
    <i r="1">
      <x v="1683"/>
    </i>
    <i r="1">
      <x v="1684"/>
    </i>
    <i r="1">
      <x v="1685"/>
    </i>
    <i r="1">
      <x v="1686"/>
    </i>
    <i r="1">
      <x v="1687"/>
    </i>
    <i r="1">
      <x v="1688"/>
    </i>
    <i r="1">
      <x v="1689"/>
    </i>
    <i r="1">
      <x v="1690"/>
    </i>
    <i r="1">
      <x v="1691"/>
    </i>
    <i r="1">
      <x v="1692"/>
    </i>
    <i r="1">
      <x v="1693"/>
    </i>
    <i r="1">
      <x v="1695"/>
    </i>
    <i r="1">
      <x v="1696"/>
    </i>
    <i r="1">
      <x v="1697"/>
    </i>
    <i r="1">
      <x v="1698"/>
    </i>
    <i r="1">
      <x v="1699"/>
    </i>
    <i r="1">
      <x v="1700"/>
    </i>
    <i r="1">
      <x v="1701"/>
    </i>
    <i r="1">
      <x v="1702"/>
    </i>
    <i r="1">
      <x v="1703"/>
    </i>
    <i r="1">
      <x v="1704"/>
    </i>
    <i r="1">
      <x v="1705"/>
    </i>
    <i r="1">
      <x v="1706"/>
    </i>
    <i r="1">
      <x v="1707"/>
    </i>
    <i r="1">
      <x v="1708"/>
    </i>
    <i r="1">
      <x v="1709"/>
    </i>
    <i r="1">
      <x v="1710"/>
    </i>
    <i r="1">
      <x v="1712"/>
    </i>
    <i r="1">
      <x v="1713"/>
    </i>
    <i r="1">
      <x v="1722"/>
    </i>
    <i r="1">
      <x v="1723"/>
    </i>
    <i r="1">
      <x v="1724"/>
    </i>
    <i r="1">
      <x v="1725"/>
    </i>
    <i r="1">
      <x v="1726"/>
    </i>
    <i r="1">
      <x v="1727"/>
    </i>
    <i r="1">
      <x v="1728"/>
    </i>
    <i r="1">
      <x v="1729"/>
    </i>
    <i r="1">
      <x v="1730"/>
    </i>
    <i r="1">
      <x v="1731"/>
    </i>
    <i r="1">
      <x v="1732"/>
    </i>
    <i r="1">
      <x v="1733"/>
    </i>
    <i r="1">
      <x v="1734"/>
    </i>
    <i r="1">
      <x v="1735"/>
    </i>
    <i r="1">
      <x v="1736"/>
    </i>
    <i r="1">
      <x v="1737"/>
    </i>
    <i r="1">
      <x v="1739"/>
    </i>
    <i r="1">
      <x v="1740"/>
    </i>
    <i r="1">
      <x v="1741"/>
    </i>
    <i r="1">
      <x v="1742"/>
    </i>
    <i r="1">
      <x v="1743"/>
    </i>
    <i r="1">
      <x v="1744"/>
    </i>
    <i r="1">
      <x v="1746"/>
    </i>
    <i r="1">
      <x v="1747"/>
    </i>
    <i r="1">
      <x v="1748"/>
    </i>
    <i r="1">
      <x v="1750"/>
    </i>
    <i r="1">
      <x v="1751"/>
    </i>
    <i r="1">
      <x v="1752"/>
    </i>
    <i r="1">
      <x v="1753"/>
    </i>
    <i r="1">
      <x v="1754"/>
    </i>
    <i r="1">
      <x v="1755"/>
    </i>
    <i r="1">
      <x v="1756"/>
    </i>
    <i r="1">
      <x v="1757"/>
    </i>
    <i r="1">
      <x v="1758"/>
    </i>
    <i r="1">
      <x v="1759"/>
    </i>
    <i r="1">
      <x v="1760"/>
    </i>
    <i r="1">
      <x v="1761"/>
    </i>
    <i r="1">
      <x v="1762"/>
    </i>
    <i r="1">
      <x v="1763"/>
    </i>
    <i r="1">
      <x v="1764"/>
    </i>
    <i r="1">
      <x v="1765"/>
    </i>
    <i r="1">
      <x v="1766"/>
    </i>
    <i r="1">
      <x v="1767"/>
    </i>
    <i r="1">
      <x v="1768"/>
    </i>
    <i r="1">
      <x v="1769"/>
    </i>
    <i r="1">
      <x v="1770"/>
    </i>
    <i r="1">
      <x v="1773"/>
    </i>
    <i r="1">
      <x v="1774"/>
    </i>
    <i r="1">
      <x v="1775"/>
    </i>
    <i r="1">
      <x v="1776"/>
    </i>
    <i r="1">
      <x v="1777"/>
    </i>
    <i r="1">
      <x v="1778"/>
    </i>
    <i r="1">
      <x v="1779"/>
    </i>
    <i r="1">
      <x v="1780"/>
    </i>
    <i r="1">
      <x v="1781"/>
    </i>
    <i r="1">
      <x v="1782"/>
    </i>
    <i r="1">
      <x v="1783"/>
    </i>
    <i r="1">
      <x v="1784"/>
    </i>
    <i r="1">
      <x v="1785"/>
    </i>
    <i r="1">
      <x v="1786"/>
    </i>
    <i r="1">
      <x v="1787"/>
    </i>
    <i r="1">
      <x v="1788"/>
    </i>
    <i r="1">
      <x v="1789"/>
    </i>
    <i r="1">
      <x v="1790"/>
    </i>
    <i r="1">
      <x v="1791"/>
    </i>
    <i r="1">
      <x v="1792"/>
    </i>
    <i r="1">
      <x v="1793"/>
    </i>
    <i r="1">
      <x v="1794"/>
    </i>
    <i r="1">
      <x v="1795"/>
    </i>
    <i r="1">
      <x v="1796"/>
    </i>
    <i r="1">
      <x v="1797"/>
    </i>
    <i r="1">
      <x v="1798"/>
    </i>
    <i r="1">
      <x v="1799"/>
    </i>
    <i r="1">
      <x v="1800"/>
    </i>
    <i r="1">
      <x v="1801"/>
    </i>
    <i r="1">
      <x v="1802"/>
    </i>
    <i r="1">
      <x v="1803"/>
    </i>
    <i r="1">
      <x v="1804"/>
    </i>
    <i r="1">
      <x v="1805"/>
    </i>
    <i r="1">
      <x v="1806"/>
    </i>
    <i r="1">
      <x v="1807"/>
    </i>
    <i r="1">
      <x v="1808"/>
    </i>
    <i r="1">
      <x v="1809"/>
    </i>
    <i r="1">
      <x v="1810"/>
    </i>
    <i r="1">
      <x v="1811"/>
    </i>
    <i r="1">
      <x v="1812"/>
    </i>
    <i r="1">
      <x v="1813"/>
    </i>
    <i r="1">
      <x v="1814"/>
    </i>
    <i r="1">
      <x v="1815"/>
    </i>
    <i r="1">
      <x v="1816"/>
    </i>
    <i r="1">
      <x v="1817"/>
    </i>
    <i r="1">
      <x v="1818"/>
    </i>
    <i r="1">
      <x v="1819"/>
    </i>
    <i r="1">
      <x v="1820"/>
    </i>
    <i r="1">
      <x v="1821"/>
    </i>
    <i r="1">
      <x v="1822"/>
    </i>
    <i r="1">
      <x v="1823"/>
    </i>
    <i r="1">
      <x v="1824"/>
    </i>
    <i r="1">
      <x v="1825"/>
    </i>
    <i r="1">
      <x v="1826"/>
    </i>
    <i r="1">
      <x v="1827"/>
    </i>
    <i r="1">
      <x v="1828"/>
    </i>
    <i r="1">
      <x v="1829"/>
    </i>
    <i r="1">
      <x v="1830"/>
    </i>
    <i r="1">
      <x v="1831"/>
    </i>
    <i r="1">
      <x v="1832"/>
    </i>
    <i r="1">
      <x v="1833"/>
    </i>
    <i r="1">
      <x v="1834"/>
    </i>
    <i r="1">
      <x v="1835"/>
    </i>
    <i r="1">
      <x v="1836"/>
    </i>
    <i r="1">
      <x v="1838"/>
    </i>
    <i r="1">
      <x v="1839"/>
    </i>
    <i r="1">
      <x v="1840"/>
    </i>
    <i r="1">
      <x v="1841"/>
    </i>
    <i r="1">
      <x v="1842"/>
    </i>
    <i r="1">
      <x v="1843"/>
    </i>
    <i r="1">
      <x v="1844"/>
    </i>
    <i r="1">
      <x v="1845"/>
    </i>
    <i r="1">
      <x v="1846"/>
    </i>
    <i r="1">
      <x v="1847"/>
    </i>
    <i r="1">
      <x v="1848"/>
    </i>
    <i r="1">
      <x v="1849"/>
    </i>
    <i r="1">
      <x v="1850"/>
    </i>
    <i r="1">
      <x v="1851"/>
    </i>
    <i r="1">
      <x v="1852"/>
    </i>
    <i r="1">
      <x v="1853"/>
    </i>
    <i r="1">
      <x v="1854"/>
    </i>
    <i r="1">
      <x v="1855"/>
    </i>
    <i r="1">
      <x v="1856"/>
    </i>
    <i r="1">
      <x v="1857"/>
    </i>
    <i r="1">
      <x v="1858"/>
    </i>
    <i r="1">
      <x v="1859"/>
    </i>
    <i r="1">
      <x v="1860"/>
    </i>
    <i r="1">
      <x v="1861"/>
    </i>
    <i r="1">
      <x v="1862"/>
    </i>
    <i r="1">
      <x v="1863"/>
    </i>
    <i r="1">
      <x v="1864"/>
    </i>
    <i r="1">
      <x v="1865"/>
    </i>
    <i r="1">
      <x v="1866"/>
    </i>
    <i r="1">
      <x v="1867"/>
    </i>
    <i r="1">
      <x v="1868"/>
    </i>
    <i r="1">
      <x v="1869"/>
    </i>
    <i r="1">
      <x v="1870"/>
    </i>
    <i r="1">
      <x v="1871"/>
    </i>
    <i r="1">
      <x v="1872"/>
    </i>
    <i r="1">
      <x v="1873"/>
    </i>
    <i r="1">
      <x v="1874"/>
    </i>
    <i r="1">
      <x v="1875"/>
    </i>
    <i r="1">
      <x v="1876"/>
    </i>
    <i r="1">
      <x v="1877"/>
    </i>
    <i r="1">
      <x v="1878"/>
    </i>
    <i r="1">
      <x v="1879"/>
    </i>
    <i r="1">
      <x v="1880"/>
    </i>
    <i r="1">
      <x v="1881"/>
    </i>
    <i r="1">
      <x v="1882"/>
    </i>
    <i r="1">
      <x v="1883"/>
    </i>
    <i r="1">
      <x v="1884"/>
    </i>
    <i r="1">
      <x v="1885"/>
    </i>
    <i r="1">
      <x v="1886"/>
    </i>
    <i r="1">
      <x v="1887"/>
    </i>
    <i r="1">
      <x v="1888"/>
    </i>
    <i r="1">
      <x v="1889"/>
    </i>
    <i r="1">
      <x v="1890"/>
    </i>
    <i r="1">
      <x v="1891"/>
    </i>
    <i r="1">
      <x v="1892"/>
    </i>
    <i r="1">
      <x v="1893"/>
    </i>
    <i r="1">
      <x v="1894"/>
    </i>
    <i r="1">
      <x v="1895"/>
    </i>
    <i r="1">
      <x v="1896"/>
    </i>
    <i r="1">
      <x v="1897"/>
    </i>
    <i r="1">
      <x v="1898"/>
    </i>
    <i r="1">
      <x v="1899"/>
    </i>
    <i r="1">
      <x v="1900"/>
    </i>
    <i r="1">
      <x v="1901"/>
    </i>
    <i r="1">
      <x v="1902"/>
    </i>
    <i r="1">
      <x v="1903"/>
    </i>
    <i r="1">
      <x v="1904"/>
    </i>
    <i r="1">
      <x v="1905"/>
    </i>
    <i r="1">
      <x v="1906"/>
    </i>
    <i r="1">
      <x v="1907"/>
    </i>
    <i r="1">
      <x v="1908"/>
    </i>
    <i r="1">
      <x v="1909"/>
    </i>
    <i r="1">
      <x v="1910"/>
    </i>
    <i r="1">
      <x v="1911"/>
    </i>
    <i r="1">
      <x v="1912"/>
    </i>
    <i r="1">
      <x v="1913"/>
    </i>
    <i r="1">
      <x v="1914"/>
    </i>
    <i r="1">
      <x v="1915"/>
    </i>
    <i r="1">
      <x v="1916"/>
    </i>
    <i r="1">
      <x v="1917"/>
    </i>
    <i r="1">
      <x v="1918"/>
    </i>
    <i r="1">
      <x v="1919"/>
    </i>
    <i r="1">
      <x v="1920"/>
    </i>
    <i r="1">
      <x v="1921"/>
    </i>
    <i r="1">
      <x v="1922"/>
    </i>
    <i r="1">
      <x v="1923"/>
    </i>
    <i r="1">
      <x v="1924"/>
    </i>
    <i r="1">
      <x v="1925"/>
    </i>
    <i r="1">
      <x v="1926"/>
    </i>
    <i r="1">
      <x v="1927"/>
    </i>
    <i r="1">
      <x v="1928"/>
    </i>
    <i r="1">
      <x v="1929"/>
    </i>
    <i r="1">
      <x v="1930"/>
    </i>
    <i r="1">
      <x v="1931"/>
    </i>
    <i r="1">
      <x v="1932"/>
    </i>
    <i r="1">
      <x v="1933"/>
    </i>
    <i r="1">
      <x v="1934"/>
    </i>
    <i r="1">
      <x v="1935"/>
    </i>
    <i r="1">
      <x v="1936"/>
    </i>
    <i r="1">
      <x v="1937"/>
    </i>
    <i r="1">
      <x v="1938"/>
    </i>
    <i r="1">
      <x v="1939"/>
    </i>
    <i r="1">
      <x v="1940"/>
    </i>
    <i r="1">
      <x v="1941"/>
    </i>
    <i r="1">
      <x v="1942"/>
    </i>
    <i r="1">
      <x v="1947"/>
    </i>
    <i r="1">
      <x v="1949"/>
    </i>
    <i r="1">
      <x v="1950"/>
    </i>
    <i r="1">
      <x v="1953"/>
    </i>
    <i r="1">
      <x v="1954"/>
    </i>
    <i r="1">
      <x v="1955"/>
    </i>
    <i r="1">
      <x v="1956"/>
    </i>
    <i r="1">
      <x v="1958"/>
    </i>
    <i r="1">
      <x v="1970"/>
    </i>
    <i r="1">
      <x v="1971"/>
    </i>
    <i r="1">
      <x v="1972"/>
    </i>
    <i r="1">
      <x v="1973"/>
    </i>
    <i r="1">
      <x v="1974"/>
    </i>
    <i r="1">
      <x v="1975"/>
    </i>
    <i r="1">
      <x v="1976"/>
    </i>
    <i r="1">
      <x v="1977"/>
    </i>
    <i r="1">
      <x v="1978"/>
    </i>
    <i r="1">
      <x v="1980"/>
    </i>
    <i r="1">
      <x v="1981"/>
    </i>
    <i r="1">
      <x v="1982"/>
    </i>
    <i r="1">
      <x v="1983"/>
    </i>
    <i r="1">
      <x v="1984"/>
    </i>
    <i r="1">
      <x v="1985"/>
    </i>
    <i r="1">
      <x v="1986"/>
    </i>
    <i r="1">
      <x v="1987"/>
    </i>
    <i r="1">
      <x v="1988"/>
    </i>
    <i r="1">
      <x v="1989"/>
    </i>
    <i r="1">
      <x v="1990"/>
    </i>
    <i r="1">
      <x v="1991"/>
    </i>
    <i r="1">
      <x v="1995"/>
    </i>
    <i r="1">
      <x v="2007"/>
    </i>
    <i r="1">
      <x v="2008"/>
    </i>
    <i r="1">
      <x v="2009"/>
    </i>
    <i r="1">
      <x v="2010"/>
    </i>
    <i r="1">
      <x v="2011"/>
    </i>
    <i r="1">
      <x v="2012"/>
    </i>
    <i r="1">
      <x v="2013"/>
    </i>
    <i r="1">
      <x v="2014"/>
    </i>
    <i r="1">
      <x v="2017"/>
    </i>
    <i r="1">
      <x v="2018"/>
    </i>
    <i r="1">
      <x v="2019"/>
    </i>
    <i r="1">
      <x v="2020"/>
    </i>
    <i r="1">
      <x v="2024"/>
    </i>
    <i r="1">
      <x v="2025"/>
    </i>
    <i r="1">
      <x v="2026"/>
    </i>
    <i r="1">
      <x v="2038"/>
    </i>
    <i r="1">
      <x v="2050"/>
    </i>
    <i r="1">
      <x v="2052"/>
    </i>
    <i r="1">
      <x v="2053"/>
    </i>
    <i r="1">
      <x v="2059"/>
    </i>
    <i r="1">
      <x v="2071"/>
    </i>
    <i r="1">
      <x v="2072"/>
    </i>
    <i r="1">
      <x v="2073"/>
    </i>
    <i r="1">
      <x v="2074"/>
    </i>
    <i r="1">
      <x v="2075"/>
    </i>
    <i r="1">
      <x v="2076"/>
    </i>
    <i r="1">
      <x v="2077"/>
    </i>
    <i r="1">
      <x v="2085"/>
    </i>
    <i r="1">
      <x v="2088"/>
    </i>
    <i r="1">
      <x v="2089"/>
    </i>
    <i r="1">
      <x v="2090"/>
    </i>
    <i r="1">
      <x v="2093"/>
    </i>
    <i r="1">
      <x v="2094"/>
    </i>
    <i r="1">
      <x v="2099"/>
    </i>
    <i r="1">
      <x v="2103"/>
    </i>
    <i r="1">
      <x v="2104"/>
    </i>
    <i r="1">
      <x v="2105"/>
    </i>
    <i r="1">
      <x v="2107"/>
    </i>
    <i r="1">
      <x v="2109"/>
    </i>
    <i r="1">
      <x v="2110"/>
    </i>
    <i r="1">
      <x v="2111"/>
    </i>
    <i r="1">
      <x v="2112"/>
    </i>
    <i r="1">
      <x v="2113"/>
    </i>
    <i r="1">
      <x v="2114"/>
    </i>
    <i r="1">
      <x v="2115"/>
    </i>
    <i r="1">
      <x v="2116"/>
    </i>
    <i r="1">
      <x v="2117"/>
    </i>
    <i r="1">
      <x v="2118"/>
    </i>
    <i r="1">
      <x v="2119"/>
    </i>
    <i r="1">
      <x v="2120"/>
    </i>
    <i r="1">
      <x v="2121"/>
    </i>
    <i r="1">
      <x v="2122"/>
    </i>
    <i r="1">
      <x v="2123"/>
    </i>
    <i r="1">
      <x v="2124"/>
    </i>
    <i r="1">
      <x v="2125"/>
    </i>
    <i r="1">
      <x v="2126"/>
    </i>
    <i r="1">
      <x v="2127"/>
    </i>
    <i r="1">
      <x v="2128"/>
    </i>
    <i r="1">
      <x v="2129"/>
    </i>
    <i r="1">
      <x v="2130"/>
    </i>
    <i r="1">
      <x v="2131"/>
    </i>
    <i r="1">
      <x v="2132"/>
    </i>
    <i r="1">
      <x v="2133"/>
    </i>
    <i r="1">
      <x v="2134"/>
    </i>
    <i r="1">
      <x v="2135"/>
    </i>
    <i r="1">
      <x v="2136"/>
    </i>
    <i r="1">
      <x v="2137"/>
    </i>
    <i r="1">
      <x v="2138"/>
    </i>
    <i r="1">
      <x v="2139"/>
    </i>
    <i r="1">
      <x v="2142"/>
    </i>
    <i r="1">
      <x v="2146"/>
    </i>
    <i r="1">
      <x v="2147"/>
    </i>
    <i r="1">
      <x v="2152"/>
    </i>
    <i r="1">
      <x v="2153"/>
    </i>
    <i r="1">
      <x v="2158"/>
    </i>
    <i r="1">
      <x v="2159"/>
    </i>
    <i r="1">
      <x v="2162"/>
    </i>
    <i r="1">
      <x v="2163"/>
    </i>
    <i r="1">
      <x v="2164"/>
    </i>
    <i r="1">
      <x v="2167"/>
    </i>
    <i r="1">
      <x v="2168"/>
    </i>
    <i r="1">
      <x v="2170"/>
    </i>
    <i r="1">
      <x v="2171"/>
    </i>
    <i r="1">
      <x v="2172"/>
    </i>
    <i r="1">
      <x v="2173"/>
    </i>
    <i r="1">
      <x v="2174"/>
    </i>
    <i r="1">
      <x v="2175"/>
    </i>
    <i r="1">
      <x v="2176"/>
    </i>
    <i r="1">
      <x v="2177"/>
    </i>
    <i r="1">
      <x v="2178"/>
    </i>
    <i r="1">
      <x v="2179"/>
    </i>
    <i r="1">
      <x v="2180"/>
    </i>
    <i r="1">
      <x v="2181"/>
    </i>
    <i r="1">
      <x v="2182"/>
    </i>
    <i r="1">
      <x v="2183"/>
    </i>
    <i r="1">
      <x v="2184"/>
    </i>
    <i r="1">
      <x v="2185"/>
    </i>
    <i r="1">
      <x v="2186"/>
    </i>
    <i r="1">
      <x v="2187"/>
    </i>
    <i r="1">
      <x v="2188"/>
    </i>
    <i r="1">
      <x v="2189"/>
    </i>
    <i r="1">
      <x v="2190"/>
    </i>
    <i r="1">
      <x v="2194"/>
    </i>
    <i r="1">
      <x v="2195"/>
    </i>
    <i r="1">
      <x v="2196"/>
    </i>
    <i r="1">
      <x v="2197"/>
    </i>
    <i r="1">
      <x v="2198"/>
    </i>
    <i r="1">
      <x v="2199"/>
    </i>
    <i r="1">
      <x v="2200"/>
    </i>
    <i r="1">
      <x v="2201"/>
    </i>
    <i r="1">
      <x v="2202"/>
    </i>
    <i r="1">
      <x v="2203"/>
    </i>
    <i r="1">
      <x v="2204"/>
    </i>
    <i r="1">
      <x v="2205"/>
    </i>
    <i r="1">
      <x v="2206"/>
    </i>
    <i r="1">
      <x v="2207"/>
    </i>
    <i r="1">
      <x v="2208"/>
    </i>
    <i r="1">
      <x v="2209"/>
    </i>
    <i r="1">
      <x v="2210"/>
    </i>
    <i r="1">
      <x v="2211"/>
    </i>
    <i r="1">
      <x v="2212"/>
    </i>
    <i r="1">
      <x v="2213"/>
    </i>
    <i r="1">
      <x v="2214"/>
    </i>
    <i r="1">
      <x v="2215"/>
    </i>
    <i r="1">
      <x v="2216"/>
    </i>
    <i r="1">
      <x v="2217"/>
    </i>
    <i r="1">
      <x v="2218"/>
    </i>
    <i r="1">
      <x v="2219"/>
    </i>
    <i r="1">
      <x v="2221"/>
    </i>
    <i r="1">
      <x v="2222"/>
    </i>
    <i r="1">
      <x v="2223"/>
    </i>
    <i r="1">
      <x v="2224"/>
    </i>
    <i r="1">
      <x v="2225"/>
    </i>
    <i r="1">
      <x v="2226"/>
    </i>
    <i r="1">
      <x v="2227"/>
    </i>
    <i r="1">
      <x v="2228"/>
    </i>
    <i r="1">
      <x v="2229"/>
    </i>
    <i r="1">
      <x v="2230"/>
    </i>
    <i r="1">
      <x v="2231"/>
    </i>
    <i r="1">
      <x v="2232"/>
    </i>
    <i r="1">
      <x v="2233"/>
    </i>
    <i r="1">
      <x v="2234"/>
    </i>
    <i r="1">
      <x v="2235"/>
    </i>
    <i r="1">
      <x v="2236"/>
    </i>
    <i r="1">
      <x v="2237"/>
    </i>
    <i r="1">
      <x v="2238"/>
    </i>
    <i r="1">
      <x v="2239"/>
    </i>
    <i r="1">
      <x v="2240"/>
    </i>
    <i r="1">
      <x v="2241"/>
    </i>
    <i r="1">
      <x v="2242"/>
    </i>
    <i r="1">
      <x v="2243"/>
    </i>
    <i r="1">
      <x v="2244"/>
    </i>
    <i r="1">
      <x v="2245"/>
    </i>
    <i r="1">
      <x v="2246"/>
    </i>
    <i r="1">
      <x v="2247"/>
    </i>
    <i r="1">
      <x v="2248"/>
    </i>
    <i r="1">
      <x v="2249"/>
    </i>
    <i r="1">
      <x v="2250"/>
    </i>
    <i r="1">
      <x v="2251"/>
    </i>
    <i r="1">
      <x v="2252"/>
    </i>
    <i r="1">
      <x v="2253"/>
    </i>
    <i r="1">
      <x v="2254"/>
    </i>
    <i r="1">
      <x v="2255"/>
    </i>
    <i r="1">
      <x v="2256"/>
    </i>
    <i r="1">
      <x v="2257"/>
    </i>
    <i r="1">
      <x v="2258"/>
    </i>
    <i r="1">
      <x v="2259"/>
    </i>
    <i r="1">
      <x v="2260"/>
    </i>
    <i r="1">
      <x v="2261"/>
    </i>
    <i r="1">
      <x v="2262"/>
    </i>
    <i r="1">
      <x v="2263"/>
    </i>
    <i r="1">
      <x v="2264"/>
    </i>
    <i r="1">
      <x v="2265"/>
    </i>
    <i r="1">
      <x v="2266"/>
    </i>
    <i r="1">
      <x v="2267"/>
    </i>
    <i r="1">
      <x v="2268"/>
    </i>
    <i r="1">
      <x v="2269"/>
    </i>
    <i r="1">
      <x v="2270"/>
    </i>
    <i r="1">
      <x v="2271"/>
    </i>
    <i r="1">
      <x v="2272"/>
    </i>
    <i r="1">
      <x v="2273"/>
    </i>
    <i r="1">
      <x v="2274"/>
    </i>
    <i r="1">
      <x v="2275"/>
    </i>
    <i r="1">
      <x v="2276"/>
    </i>
    <i r="1">
      <x v="2277"/>
    </i>
    <i r="1">
      <x v="2278"/>
    </i>
    <i r="1">
      <x v="2280"/>
    </i>
    <i r="1">
      <x v="2281"/>
    </i>
    <i r="1">
      <x v="2282"/>
    </i>
    <i r="1">
      <x v="2283"/>
    </i>
    <i r="1">
      <x v="2284"/>
    </i>
    <i r="1">
      <x v="2285"/>
    </i>
    <i r="1">
      <x v="2286"/>
    </i>
    <i r="1">
      <x v="2287"/>
    </i>
    <i r="1">
      <x v="2288"/>
    </i>
    <i r="1">
      <x v="2290"/>
    </i>
    <i r="1">
      <x v="2291"/>
    </i>
    <i r="1">
      <x v="2292"/>
    </i>
    <i r="1">
      <x v="2293"/>
    </i>
    <i r="1">
      <x v="2294"/>
    </i>
    <i r="1">
      <x v="2295"/>
    </i>
    <i r="1">
      <x v="2296"/>
    </i>
    <i r="1">
      <x v="2297"/>
    </i>
    <i r="1">
      <x v="2298"/>
    </i>
    <i r="1">
      <x v="2299"/>
    </i>
    <i r="1">
      <x v="2300"/>
    </i>
    <i r="1">
      <x v="2301"/>
    </i>
    <i r="1">
      <x v="2302"/>
    </i>
    <i r="1">
      <x v="2303"/>
    </i>
    <i r="1">
      <x v="2304"/>
    </i>
    <i r="1">
      <x v="2305"/>
    </i>
    <i r="1">
      <x v="2306"/>
    </i>
    <i r="1">
      <x v="2307"/>
    </i>
    <i r="1">
      <x v="2308"/>
    </i>
    <i r="1">
      <x v="2309"/>
    </i>
    <i r="1">
      <x v="2310"/>
    </i>
    <i r="1">
      <x v="2311"/>
    </i>
    <i r="1">
      <x v="2312"/>
    </i>
    <i r="1">
      <x v="2313"/>
    </i>
    <i r="1">
      <x v="2314"/>
    </i>
    <i r="1">
      <x v="2315"/>
    </i>
    <i r="1">
      <x v="2316"/>
    </i>
    <i r="1">
      <x v="2317"/>
    </i>
    <i r="1">
      <x v="2318"/>
    </i>
    <i r="1">
      <x v="2319"/>
    </i>
    <i r="1">
      <x v="2320"/>
    </i>
    <i r="1">
      <x v="2328"/>
    </i>
    <i r="1">
      <x v="2331"/>
    </i>
    <i r="1">
      <x v="2332"/>
    </i>
    <i r="1">
      <x v="2333"/>
    </i>
    <i r="1">
      <x v="2336"/>
    </i>
    <i r="1">
      <x v="2339"/>
    </i>
    <i r="1">
      <x v="2340"/>
    </i>
    <i r="1">
      <x v="2341"/>
    </i>
    <i r="1">
      <x v="2343"/>
    </i>
    <i r="1">
      <x v="2344"/>
    </i>
    <i r="1">
      <x v="2345"/>
    </i>
    <i r="1">
      <x v="2346"/>
    </i>
    <i r="1">
      <x v="2347"/>
    </i>
    <i r="1">
      <x v="2348"/>
    </i>
    <i r="1">
      <x v="2349"/>
    </i>
    <i r="1">
      <x v="2350"/>
    </i>
    <i r="1">
      <x v="2351"/>
    </i>
    <i r="1">
      <x v="2352"/>
    </i>
    <i r="1">
      <x v="2353"/>
    </i>
    <i r="1">
      <x v="2354"/>
    </i>
    <i r="1">
      <x v="2368"/>
    </i>
    <i r="1">
      <x v="2370"/>
    </i>
    <i r="1">
      <x v="2373"/>
    </i>
    <i r="1">
      <x v="2374"/>
    </i>
    <i r="1">
      <x v="2375"/>
    </i>
    <i r="1">
      <x v="2376"/>
    </i>
    <i r="1">
      <x v="2377"/>
    </i>
    <i r="1">
      <x v="2378"/>
    </i>
    <i r="1">
      <x v="2379"/>
    </i>
    <i r="1">
      <x v="2380"/>
    </i>
    <i r="1">
      <x v="2381"/>
    </i>
    <i r="1">
      <x v="2382"/>
    </i>
    <i r="1">
      <x v="2383"/>
    </i>
    <i r="1">
      <x v="2389"/>
    </i>
    <i r="1">
      <x v="2390"/>
    </i>
    <i r="1">
      <x v="2391"/>
    </i>
    <i r="1">
      <x v="2392"/>
    </i>
    <i r="1">
      <x v="2393"/>
    </i>
    <i r="1">
      <x v="2394"/>
    </i>
    <i r="1">
      <x v="2400"/>
    </i>
    <i r="1">
      <x v="2401"/>
    </i>
    <i r="1">
      <x v="2402"/>
    </i>
    <i r="1">
      <x v="2405"/>
    </i>
    <i r="1">
      <x v="2406"/>
    </i>
    <i r="1">
      <x v="2407"/>
    </i>
    <i r="1">
      <x v="2413"/>
    </i>
    <i r="1">
      <x v="2416"/>
    </i>
    <i r="1">
      <x v="2417"/>
    </i>
    <i r="1">
      <x v="2421"/>
    </i>
    <i r="1">
      <x v="2428"/>
    </i>
    <i r="1">
      <x v="2429"/>
    </i>
    <i r="1">
      <x v="2430"/>
    </i>
    <i r="1">
      <x v="2432"/>
    </i>
    <i r="1">
      <x v="2436"/>
    </i>
    <i r="1">
      <x v="2455"/>
    </i>
    <i r="1">
      <x v="2458"/>
    </i>
    <i r="1">
      <x v="2459"/>
    </i>
    <i r="1">
      <x v="2460"/>
    </i>
    <i r="1">
      <x v="2463"/>
    </i>
    <i r="1">
      <x v="2468"/>
    </i>
    <i r="1">
      <x v="2475"/>
    </i>
    <i r="1">
      <x v="2476"/>
    </i>
    <i r="1">
      <x v="2477"/>
    </i>
    <i r="1">
      <x v="2478"/>
    </i>
    <i r="1">
      <x v="2479"/>
    </i>
    <i r="1">
      <x v="2481"/>
    </i>
    <i r="1">
      <x v="2482"/>
    </i>
    <i r="1">
      <x v="2483"/>
    </i>
    <i r="1">
      <x v="2485"/>
    </i>
    <i r="1">
      <x v="2486"/>
    </i>
    <i r="1">
      <x v="2487"/>
    </i>
    <i r="1">
      <x v="2488"/>
    </i>
    <i r="1">
      <x v="2489"/>
    </i>
    <i r="1">
      <x v="2490"/>
    </i>
    <i r="1">
      <x v="2491"/>
    </i>
    <i r="1">
      <x v="2492"/>
    </i>
    <i r="1">
      <x v="2493"/>
    </i>
    <i r="1">
      <x v="2496"/>
    </i>
    <i r="1">
      <x v="2497"/>
    </i>
    <i r="1">
      <x v="2498"/>
    </i>
    <i r="1">
      <x v="2499"/>
    </i>
    <i r="1">
      <x v="2500"/>
    </i>
    <i r="1">
      <x v="2501"/>
    </i>
    <i r="1">
      <x v="2502"/>
    </i>
    <i r="1">
      <x v="2503"/>
    </i>
    <i r="1">
      <x v="2504"/>
    </i>
    <i r="1">
      <x v="2505"/>
    </i>
    <i r="1">
      <x v="2506"/>
    </i>
    <i r="1">
      <x v="2507"/>
    </i>
    <i r="1">
      <x v="2508"/>
    </i>
    <i r="1">
      <x v="2509"/>
    </i>
    <i r="1">
      <x v="2510"/>
    </i>
    <i r="1">
      <x v="2511"/>
    </i>
    <i r="1">
      <x v="2512"/>
    </i>
    <i r="1">
      <x v="2517"/>
    </i>
    <i r="1">
      <x v="2521"/>
    </i>
    <i r="1">
      <x v="2522"/>
    </i>
    <i r="1">
      <x v="2523"/>
    </i>
    <i r="1">
      <x v="2529"/>
    </i>
    <i r="1">
      <x v="2534"/>
    </i>
    <i r="1">
      <x v="2537"/>
    </i>
    <i r="1">
      <x v="2538"/>
    </i>
    <i r="1">
      <x v="2539"/>
    </i>
    <i r="1">
      <x v="2540"/>
    </i>
    <i r="1">
      <x v="2541"/>
    </i>
    <i r="1">
      <x v="2542"/>
    </i>
    <i r="1">
      <x v="2543"/>
    </i>
    <i r="1">
      <x v="2544"/>
    </i>
    <i r="1">
      <x v="2545"/>
    </i>
    <i r="1">
      <x v="2546"/>
    </i>
    <i r="1">
      <x v="2547"/>
    </i>
    <i r="1">
      <x v="2548"/>
    </i>
    <i r="1">
      <x v="2549"/>
    </i>
    <i r="1">
      <x v="2550"/>
    </i>
    <i r="1">
      <x v="2551"/>
    </i>
    <i r="1">
      <x v="2552"/>
    </i>
    <i r="1">
      <x v="2553"/>
    </i>
    <i r="1">
      <x v="2554"/>
    </i>
    <i r="1">
      <x v="2555"/>
    </i>
    <i r="1">
      <x v="2556"/>
    </i>
    <i r="1">
      <x v="2557"/>
    </i>
    <i r="1">
      <x v="2558"/>
    </i>
    <i r="1">
      <x v="2560"/>
    </i>
    <i r="1">
      <x v="2561"/>
    </i>
    <i r="1">
      <x v="2562"/>
    </i>
    <i r="1">
      <x v="2563"/>
    </i>
    <i r="1">
      <x v="2564"/>
    </i>
    <i r="1">
      <x v="2570"/>
    </i>
    <i r="1">
      <x v="2571"/>
    </i>
    <i r="1">
      <x v="2572"/>
    </i>
    <i r="1">
      <x v="2573"/>
    </i>
    <i r="1">
      <x v="2574"/>
    </i>
    <i r="1">
      <x v="2575"/>
    </i>
    <i r="1">
      <x v="2576"/>
    </i>
    <i r="1">
      <x v="2577"/>
    </i>
    <i r="1">
      <x v="2578"/>
    </i>
    <i r="1">
      <x v="2579"/>
    </i>
    <i r="1">
      <x v="2580"/>
    </i>
    <i r="1">
      <x v="2581"/>
    </i>
    <i r="1">
      <x v="2582"/>
    </i>
    <i r="1">
      <x v="2583"/>
    </i>
    <i r="1">
      <x v="2584"/>
    </i>
    <i r="1">
      <x v="2585"/>
    </i>
    <i r="1">
      <x v="2586"/>
    </i>
    <i r="1">
      <x v="2587"/>
    </i>
    <i r="1">
      <x v="2588"/>
    </i>
    <i r="1">
      <x v="2589"/>
    </i>
    <i r="1">
      <x v="2590"/>
    </i>
    <i r="1">
      <x v="2591"/>
    </i>
    <i r="1">
      <x v="2592"/>
    </i>
    <i r="1">
      <x v="2593"/>
    </i>
    <i r="1">
      <x v="2594"/>
    </i>
    <i r="1">
      <x v="2595"/>
    </i>
    <i r="1">
      <x v="2596"/>
    </i>
    <i r="1">
      <x v="2597"/>
    </i>
    <i r="1">
      <x v="2598"/>
    </i>
    <i r="1">
      <x v="2599"/>
    </i>
    <i r="1">
      <x v="2600"/>
    </i>
    <i r="1">
      <x v="2601"/>
    </i>
    <i r="1">
      <x v="2602"/>
    </i>
    <i r="1">
      <x v="2604"/>
    </i>
    <i r="1">
      <x v="2605"/>
    </i>
    <i r="1">
      <x v="2606"/>
    </i>
    <i r="1">
      <x v="2607"/>
    </i>
    <i r="1">
      <x v="2608"/>
    </i>
    <i r="1">
      <x v="2609"/>
    </i>
    <i r="1">
      <x v="2610"/>
    </i>
    <i r="1">
      <x v="2611"/>
    </i>
    <i r="1">
      <x v="2612"/>
    </i>
    <i r="1">
      <x v="2613"/>
    </i>
    <i r="1">
      <x v="2614"/>
    </i>
    <i r="1">
      <x v="2615"/>
    </i>
    <i r="1">
      <x v="2616"/>
    </i>
    <i r="1">
      <x v="2617"/>
    </i>
    <i r="1">
      <x v="2618"/>
    </i>
    <i r="1">
      <x v="2619"/>
    </i>
    <i r="1">
      <x v="2620"/>
    </i>
    <i r="1">
      <x v="2621"/>
    </i>
    <i r="1">
      <x v="2622"/>
    </i>
    <i r="1">
      <x v="2623"/>
    </i>
    <i r="1">
      <x v="2624"/>
    </i>
    <i r="1">
      <x v="2625"/>
    </i>
    <i r="1">
      <x v="2626"/>
    </i>
    <i r="1">
      <x v="2627"/>
    </i>
    <i r="1">
      <x v="2628"/>
    </i>
    <i r="1">
      <x v="2629"/>
    </i>
    <i r="1">
      <x v="2630"/>
    </i>
    <i r="1">
      <x v="2631"/>
    </i>
    <i r="1">
      <x v="2632"/>
    </i>
    <i r="1">
      <x v="2633"/>
    </i>
    <i r="1">
      <x v="2634"/>
    </i>
    <i r="1">
      <x v="2635"/>
    </i>
    <i r="1">
      <x v="2636"/>
    </i>
    <i r="1">
      <x v="2637"/>
    </i>
    <i r="1">
      <x v="2638"/>
    </i>
    <i r="1">
      <x v="2639"/>
    </i>
    <i r="1">
      <x v="2640"/>
    </i>
    <i r="1">
      <x v="2641"/>
    </i>
    <i r="1">
      <x v="2642"/>
    </i>
    <i r="1">
      <x v="2643"/>
    </i>
    <i r="1">
      <x v="2644"/>
    </i>
    <i r="1">
      <x v="2645"/>
    </i>
    <i r="1">
      <x v="2646"/>
    </i>
    <i r="1">
      <x v="2647"/>
    </i>
    <i r="1">
      <x v="2648"/>
    </i>
    <i r="1">
      <x v="2649"/>
    </i>
    <i r="1">
      <x v="2650"/>
    </i>
    <i r="1">
      <x v="2651"/>
    </i>
    <i r="1">
      <x v="2652"/>
    </i>
    <i r="1">
      <x v="2653"/>
    </i>
    <i r="1">
      <x v="2654"/>
    </i>
    <i r="1">
      <x v="2655"/>
    </i>
    <i r="1">
      <x v="2656"/>
    </i>
    <i r="1">
      <x v="2657"/>
    </i>
    <i r="1">
      <x v="2658"/>
    </i>
    <i r="1">
      <x v="2659"/>
    </i>
    <i r="1">
      <x v="2660"/>
    </i>
    <i r="1">
      <x v="2661"/>
    </i>
    <i r="1">
      <x v="2662"/>
    </i>
    <i r="1">
      <x v="2664"/>
    </i>
    <i r="1">
      <x v="2665"/>
    </i>
    <i r="1">
      <x v="2666"/>
    </i>
    <i r="1">
      <x v="2667"/>
    </i>
    <i r="1">
      <x v="2668"/>
    </i>
    <i r="1">
      <x v="2669"/>
    </i>
    <i r="1">
      <x v="2670"/>
    </i>
    <i r="1">
      <x v="2671"/>
    </i>
    <i r="1">
      <x v="2673"/>
    </i>
    <i r="1">
      <x v="2675"/>
    </i>
    <i r="1">
      <x v="2676"/>
    </i>
    <i r="1">
      <x v="2677"/>
    </i>
    <i r="1">
      <x v="2678"/>
    </i>
    <i r="1">
      <x v="2679"/>
    </i>
    <i r="1">
      <x v="2680"/>
    </i>
    <i r="1">
      <x v="2681"/>
    </i>
    <i r="1">
      <x v="2682"/>
    </i>
    <i r="1">
      <x v="2683"/>
    </i>
    <i r="1">
      <x v="2684"/>
    </i>
    <i r="1">
      <x v="2685"/>
    </i>
    <i r="1">
      <x v="2686"/>
    </i>
    <i r="1">
      <x v="2687"/>
    </i>
    <i r="1">
      <x v="2688"/>
    </i>
    <i r="1">
      <x v="2689"/>
    </i>
    <i r="1">
      <x v="2690"/>
    </i>
    <i r="1">
      <x v="2691"/>
    </i>
    <i r="1">
      <x v="2692"/>
    </i>
    <i r="1">
      <x v="2693"/>
    </i>
    <i r="1">
      <x v="2694"/>
    </i>
    <i r="1">
      <x v="2696"/>
    </i>
    <i r="1">
      <x v="2697"/>
    </i>
    <i r="1">
      <x v="2698"/>
    </i>
    <i r="1">
      <x v="2699"/>
    </i>
    <i r="1">
      <x v="2700"/>
    </i>
    <i r="1">
      <x v="2701"/>
    </i>
    <i r="1">
      <x v="2702"/>
    </i>
    <i r="1">
      <x v="2703"/>
    </i>
    <i r="1">
      <x v="2704"/>
    </i>
    <i r="1">
      <x v="2705"/>
    </i>
    <i r="1">
      <x v="2706"/>
    </i>
    <i r="1">
      <x v="2707"/>
    </i>
    <i r="1">
      <x v="2708"/>
    </i>
    <i r="1">
      <x v="2709"/>
    </i>
    <i r="1">
      <x v="2710"/>
    </i>
    <i r="1">
      <x v="2711"/>
    </i>
    <i r="1">
      <x v="2712"/>
    </i>
    <i r="1">
      <x v="2713"/>
    </i>
    <i r="1">
      <x v="2714"/>
    </i>
    <i r="1">
      <x v="2715"/>
    </i>
    <i r="1">
      <x v="2716"/>
    </i>
    <i r="1">
      <x v="2717"/>
    </i>
    <i r="1">
      <x v="2718"/>
    </i>
    <i r="1">
      <x v="2719"/>
    </i>
    <i r="1">
      <x v="2720"/>
    </i>
    <i r="1">
      <x v="2721"/>
    </i>
    <i r="1">
      <x v="2722"/>
    </i>
    <i r="1">
      <x v="2723"/>
    </i>
    <i r="1">
      <x v="2724"/>
    </i>
    <i r="1">
      <x v="2725"/>
    </i>
    <i r="1">
      <x v="2726"/>
    </i>
    <i r="1">
      <x v="2727"/>
    </i>
    <i r="1">
      <x v="2728"/>
    </i>
    <i r="1">
      <x v="2729"/>
    </i>
    <i r="1">
      <x v="2730"/>
    </i>
    <i r="1">
      <x v="2731"/>
    </i>
    <i r="1">
      <x v="2732"/>
    </i>
    <i r="1">
      <x v="2733"/>
    </i>
    <i r="1">
      <x v="2734"/>
    </i>
    <i r="1">
      <x v="2738"/>
    </i>
    <i r="1">
      <x v="2739"/>
    </i>
    <i r="1">
      <x v="2740"/>
    </i>
    <i r="1">
      <x v="2745"/>
    </i>
    <i r="1">
      <x v="2746"/>
    </i>
    <i r="1">
      <x v="2747"/>
    </i>
    <i r="1">
      <x v="2748"/>
    </i>
    <i r="1">
      <x v="2749"/>
    </i>
    <i r="1">
      <x v="2755"/>
    </i>
    <i r="1">
      <x v="2756"/>
    </i>
    <i r="1">
      <x v="2757"/>
    </i>
    <i r="1">
      <x v="2758"/>
    </i>
    <i r="1">
      <x v="2759"/>
    </i>
    <i r="1">
      <x v="2760"/>
    </i>
    <i r="1">
      <x v="2764"/>
    </i>
    <i r="1">
      <x v="2766"/>
    </i>
    <i r="1">
      <x v="2767"/>
    </i>
    <i r="1">
      <x v="2768"/>
    </i>
    <i>
      <x v="11"/>
      <x v="1"/>
    </i>
    <i r="1">
      <x v="7"/>
    </i>
    <i r="1">
      <x v="11"/>
    </i>
    <i r="1">
      <x v="25"/>
    </i>
    <i r="1">
      <x v="48"/>
    </i>
    <i r="1">
      <x v="51"/>
    </i>
    <i r="1">
      <x v="102"/>
    </i>
    <i r="1">
      <x v="110"/>
    </i>
    <i r="1">
      <x v="175"/>
    </i>
    <i r="1">
      <x v="182"/>
    </i>
    <i r="1">
      <x v="230"/>
    </i>
    <i r="1">
      <x v="243"/>
    </i>
    <i r="1">
      <x v="248"/>
    </i>
    <i r="1">
      <x v="301"/>
    </i>
    <i r="1">
      <x v="419"/>
    </i>
    <i r="1">
      <x v="441"/>
    </i>
    <i r="1">
      <x v="472"/>
    </i>
    <i r="1">
      <x v="502"/>
    </i>
    <i r="1">
      <x v="504"/>
    </i>
    <i r="1">
      <x v="530"/>
    </i>
    <i r="1">
      <x v="545"/>
    </i>
    <i>
      <x v="12"/>
      <x v="6"/>
    </i>
    <i r="1">
      <x v="50"/>
    </i>
    <i r="1">
      <x v="81"/>
    </i>
    <i r="1">
      <x v="82"/>
    </i>
    <i r="1">
      <x v="106"/>
    </i>
    <i r="1">
      <x v="187"/>
    </i>
    <i r="1">
      <x v="192"/>
    </i>
    <i r="1">
      <x v="218"/>
    </i>
    <i r="1">
      <x v="373"/>
    </i>
    <i r="1">
      <x v="557"/>
    </i>
    <i r="1">
      <x v="559"/>
    </i>
    <i r="1">
      <x v="560"/>
    </i>
    <i r="1">
      <x v="563"/>
    </i>
    <i r="1">
      <x v="565"/>
    </i>
    <i r="1">
      <x v="568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60"/>
    </i>
    <i r="1">
      <x v="661"/>
    </i>
    <i r="1">
      <x v="662"/>
    </i>
    <i r="1">
      <x v="665"/>
    </i>
    <i r="1">
      <x v="667"/>
    </i>
    <i r="1">
      <x v="668"/>
    </i>
    <i r="1">
      <x v="669"/>
    </i>
    <i r="1">
      <x v="670"/>
    </i>
    <i r="1">
      <x v="671"/>
    </i>
    <i r="1">
      <x v="678"/>
    </i>
    <i r="1">
      <x v="680"/>
    </i>
    <i r="1">
      <x v="681"/>
    </i>
    <i r="1">
      <x v="682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3"/>
    </i>
    <i r="1">
      <x v="695"/>
    </i>
    <i r="1">
      <x v="698"/>
    </i>
    <i r="1">
      <x v="699"/>
    </i>
    <i r="1">
      <x v="706"/>
    </i>
    <i r="1">
      <x v="707"/>
    </i>
    <i r="1">
      <x v="712"/>
    </i>
    <i r="1">
      <x v="713"/>
    </i>
    <i r="1">
      <x v="714"/>
    </i>
    <i r="1">
      <x v="716"/>
    </i>
    <i r="1">
      <x v="720"/>
    </i>
    <i r="1">
      <x v="721"/>
    </i>
    <i r="1">
      <x v="722"/>
    </i>
    <i r="1">
      <x v="723"/>
    </i>
    <i r="1">
      <x v="728"/>
    </i>
    <i r="1">
      <x v="731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3"/>
    </i>
    <i r="1">
      <x v="774"/>
    </i>
    <i r="1">
      <x v="775"/>
    </i>
    <i r="1">
      <x v="782"/>
    </i>
    <i r="1">
      <x v="783"/>
    </i>
    <i r="1">
      <x v="784"/>
    </i>
    <i r="1">
      <x v="785"/>
    </i>
    <i r="1">
      <x v="786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5"/>
    </i>
    <i r="1">
      <x v="834"/>
    </i>
    <i r="1">
      <x v="837"/>
    </i>
    <i r="1">
      <x v="840"/>
    </i>
    <i r="1">
      <x v="855"/>
    </i>
    <i r="1">
      <x v="857"/>
    </i>
    <i r="1">
      <x v="858"/>
    </i>
    <i r="1">
      <x v="859"/>
    </i>
    <i r="1">
      <x v="860"/>
    </i>
    <i r="1">
      <x v="863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8"/>
    </i>
    <i r="1">
      <x v="879"/>
    </i>
    <i r="1">
      <x v="882"/>
    </i>
    <i r="1">
      <x v="894"/>
    </i>
    <i r="1">
      <x v="902"/>
    </i>
    <i r="1">
      <x v="904"/>
    </i>
    <i r="1">
      <x v="911"/>
    </i>
    <i r="1">
      <x v="916"/>
    </i>
    <i r="1">
      <x v="917"/>
    </i>
    <i r="1">
      <x v="923"/>
    </i>
    <i r="1">
      <x v="924"/>
    </i>
    <i r="1">
      <x v="925"/>
    </i>
    <i r="1">
      <x v="926"/>
    </i>
    <i r="1">
      <x v="930"/>
    </i>
    <i r="1">
      <x v="932"/>
    </i>
    <i r="1">
      <x v="933"/>
    </i>
    <i r="1">
      <x v="936"/>
    </i>
    <i r="1">
      <x v="938"/>
    </i>
    <i r="1">
      <x v="943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72"/>
    </i>
    <i r="1">
      <x v="973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1029"/>
    </i>
    <i r="1">
      <x v="1051"/>
    </i>
    <i r="1">
      <x v="1052"/>
    </i>
    <i r="1">
      <x v="1053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92"/>
    </i>
    <i r="1">
      <x v="1099"/>
    </i>
    <i r="1">
      <x v="1101"/>
    </i>
    <i r="1">
      <x v="1179"/>
    </i>
    <i r="1">
      <x v="1219"/>
    </i>
    <i r="1">
      <x v="1231"/>
    </i>
    <i r="1">
      <x v="1244"/>
    </i>
    <i r="1">
      <x v="1245"/>
    </i>
    <i r="1">
      <x v="1280"/>
    </i>
    <i r="1">
      <x v="1352"/>
    </i>
    <i r="1">
      <x v="1355"/>
    </i>
    <i r="1">
      <x v="1361"/>
    </i>
    <i r="1">
      <x v="1374"/>
    </i>
    <i r="1">
      <x v="1386"/>
    </i>
    <i r="1">
      <x v="1396"/>
    </i>
    <i r="1">
      <x v="1397"/>
    </i>
    <i r="1">
      <x v="1415"/>
    </i>
    <i r="1">
      <x v="1418"/>
    </i>
    <i r="1">
      <x v="1428"/>
    </i>
    <i r="1">
      <x v="1429"/>
    </i>
    <i r="1">
      <x v="1436"/>
    </i>
    <i r="1">
      <x v="1438"/>
    </i>
    <i r="1">
      <x v="1439"/>
    </i>
    <i r="1">
      <x v="1442"/>
    </i>
    <i r="1">
      <x v="1454"/>
    </i>
    <i r="1">
      <x v="1464"/>
    </i>
    <i r="1">
      <x v="1465"/>
    </i>
    <i r="1">
      <x v="1467"/>
    </i>
    <i r="1">
      <x v="1482"/>
    </i>
    <i r="1">
      <x v="1486"/>
    </i>
    <i r="1">
      <x v="1492"/>
    </i>
    <i r="1">
      <x v="1494"/>
    </i>
    <i r="1">
      <x v="1618"/>
    </i>
    <i r="1">
      <x v="1772"/>
    </i>
    <i r="1">
      <x v="1946"/>
    </i>
    <i r="1">
      <x v="1951"/>
    </i>
    <i r="1">
      <x v="1952"/>
    </i>
    <i r="1">
      <x v="1979"/>
    </i>
    <i r="1">
      <x v="1995"/>
    </i>
    <i r="1">
      <x v="1996"/>
    </i>
    <i r="1">
      <x v="2035"/>
    </i>
    <i r="1">
      <x v="2058"/>
    </i>
    <i r="1">
      <x v="2102"/>
    </i>
    <i r="1">
      <x v="2193"/>
    </i>
    <i r="1">
      <x v="2342"/>
    </i>
    <i r="1">
      <x v="2415"/>
    </i>
    <i r="1">
      <x v="2422"/>
    </i>
    <i r="1">
      <x v="2423"/>
    </i>
    <i r="1">
      <x v="2424"/>
    </i>
    <i r="1">
      <x v="2425"/>
    </i>
    <i r="1">
      <x v="2433"/>
    </i>
    <i r="1">
      <x v="2453"/>
    </i>
    <i r="1">
      <x v="2454"/>
    </i>
    <i r="1">
      <x v="2519"/>
    </i>
    <i r="1">
      <x v="2520"/>
    </i>
    <i>
      <x v="13"/>
      <x v="20"/>
    </i>
    <i r="1">
      <x v="38"/>
    </i>
    <i r="1">
      <x v="60"/>
    </i>
    <i r="1">
      <x v="68"/>
    </i>
    <i r="1">
      <x v="125"/>
    </i>
    <i r="1">
      <x v="233"/>
    </i>
    <i r="1">
      <x v="296"/>
    </i>
    <i r="1">
      <x v="312"/>
    </i>
    <i r="1">
      <x v="314"/>
    </i>
    <i r="1">
      <x v="334"/>
    </i>
    <i r="1">
      <x v="335"/>
    </i>
    <i r="1">
      <x v="355"/>
    </i>
    <i r="1">
      <x v="369"/>
    </i>
    <i r="1">
      <x v="372"/>
    </i>
    <i r="1">
      <x v="404"/>
    </i>
    <i r="1">
      <x v="453"/>
    </i>
    <i r="1">
      <x v="476"/>
    </i>
    <i r="1">
      <x v="522"/>
    </i>
    <i r="1">
      <x v="549"/>
    </i>
    <i r="1">
      <x v="561"/>
    </i>
    <i r="1">
      <x v="659"/>
    </i>
    <i r="1">
      <x v="676"/>
    </i>
    <i r="1">
      <x v="718"/>
    </i>
    <i r="1">
      <x v="781"/>
    </i>
    <i r="1">
      <x v="846"/>
    </i>
    <i r="1">
      <x v="894"/>
    </i>
    <i r="1">
      <x v="903"/>
    </i>
    <i r="1">
      <x v="927"/>
    </i>
    <i r="1">
      <x v="1265"/>
    </i>
    <i r="1">
      <x v="1266"/>
    </i>
    <i r="1">
      <x v="1268"/>
    </i>
    <i r="1">
      <x v="1310"/>
    </i>
    <i r="1">
      <x v="1387"/>
    </i>
    <i r="1">
      <x v="1514"/>
    </i>
    <i r="1">
      <x v="1602"/>
    </i>
    <i r="1">
      <x v="2057"/>
    </i>
    <i r="1">
      <x v="2191"/>
    </i>
    <i r="1">
      <x v="2192"/>
    </i>
    <i r="1">
      <x v="2220"/>
    </i>
    <i r="1">
      <x v="2338"/>
    </i>
    <i r="1">
      <x v="2365"/>
    </i>
    <i r="1">
      <x v="2408"/>
    </i>
    <i r="1">
      <x v="2437"/>
    </i>
    <i r="1">
      <x v="2480"/>
    </i>
    <i r="1">
      <x v="2514"/>
    </i>
    <i r="1">
      <x v="2535"/>
    </i>
    <i r="1">
      <x v="2536"/>
    </i>
    <i r="1">
      <x v="2772"/>
    </i>
    <i r="1">
      <x v="2773"/>
    </i>
    <i r="1">
      <x v="2776"/>
    </i>
    <i r="1">
      <x v="2777"/>
    </i>
    <i r="1">
      <x v="2779"/>
    </i>
    <i>
      <x v="14"/>
      <x v="3"/>
    </i>
    <i r="1">
      <x v="4"/>
    </i>
    <i r="1">
      <x v="8"/>
    </i>
    <i r="1">
      <x v="10"/>
    </i>
    <i r="1">
      <x v="14"/>
    </i>
    <i r="1">
      <x v="18"/>
    </i>
    <i r="1">
      <x v="29"/>
    </i>
    <i r="1">
      <x v="42"/>
    </i>
    <i r="1">
      <x v="45"/>
    </i>
    <i r="1">
      <x v="53"/>
    </i>
    <i r="1">
      <x v="65"/>
    </i>
    <i r="1">
      <x v="66"/>
    </i>
    <i r="1">
      <x v="67"/>
    </i>
    <i r="1">
      <x v="70"/>
    </i>
    <i r="1">
      <x v="88"/>
    </i>
    <i r="1">
      <x v="94"/>
    </i>
    <i r="1">
      <x v="98"/>
    </i>
    <i r="1">
      <x v="104"/>
    </i>
    <i r="1">
      <x v="108"/>
    </i>
    <i r="1">
      <x v="118"/>
    </i>
    <i r="1">
      <x v="123"/>
    </i>
    <i r="1">
      <x v="127"/>
    </i>
    <i r="1">
      <x v="136"/>
    </i>
    <i r="1">
      <x v="144"/>
    </i>
    <i r="1">
      <x v="159"/>
    </i>
    <i r="1">
      <x v="166"/>
    </i>
    <i r="1">
      <x v="167"/>
    </i>
    <i r="1">
      <x v="181"/>
    </i>
    <i r="1">
      <x v="183"/>
    </i>
    <i r="1">
      <x v="193"/>
    </i>
    <i r="1">
      <x v="194"/>
    </i>
    <i r="1">
      <x v="197"/>
    </i>
    <i r="1">
      <x v="201"/>
    </i>
    <i r="1">
      <x v="202"/>
    </i>
    <i r="1">
      <x v="209"/>
    </i>
    <i r="1">
      <x v="214"/>
    </i>
    <i r="1">
      <x v="217"/>
    </i>
    <i r="1">
      <x v="218"/>
    </i>
    <i r="1">
      <x v="224"/>
    </i>
    <i r="1">
      <x v="226"/>
    </i>
    <i r="1">
      <x v="227"/>
    </i>
    <i r="1">
      <x v="231"/>
    </i>
    <i r="1">
      <x v="233"/>
    </i>
    <i r="1">
      <x v="241"/>
    </i>
    <i r="1">
      <x v="242"/>
    </i>
    <i r="1">
      <x v="252"/>
    </i>
    <i r="1">
      <x v="264"/>
    </i>
    <i r="1">
      <x v="269"/>
    </i>
    <i r="1">
      <x v="284"/>
    </i>
    <i r="1">
      <x v="287"/>
    </i>
    <i r="1">
      <x v="291"/>
    </i>
    <i r="1">
      <x v="310"/>
    </i>
    <i r="1">
      <x v="316"/>
    </i>
    <i r="1">
      <x v="318"/>
    </i>
    <i r="1">
      <x v="319"/>
    </i>
    <i r="1">
      <x v="325"/>
    </i>
    <i r="1">
      <x v="327"/>
    </i>
    <i r="1">
      <x v="351"/>
    </i>
    <i r="1">
      <x v="366"/>
    </i>
    <i r="1">
      <x v="371"/>
    </i>
    <i r="1">
      <x v="383"/>
    </i>
    <i r="1">
      <x v="388"/>
    </i>
    <i r="1">
      <x v="393"/>
    </i>
    <i r="1">
      <x v="394"/>
    </i>
    <i r="1">
      <x v="410"/>
    </i>
    <i r="1">
      <x v="414"/>
    </i>
    <i r="1">
      <x v="416"/>
    </i>
    <i r="1">
      <x v="423"/>
    </i>
    <i r="1">
      <x v="432"/>
    </i>
    <i r="1">
      <x v="436"/>
    </i>
    <i r="1">
      <x v="438"/>
    </i>
    <i r="1">
      <x v="440"/>
    </i>
    <i r="1">
      <x v="443"/>
    </i>
    <i r="1">
      <x v="454"/>
    </i>
    <i r="1">
      <x v="461"/>
    </i>
    <i r="1">
      <x v="474"/>
    </i>
    <i r="1">
      <x v="477"/>
    </i>
    <i r="1">
      <x v="479"/>
    </i>
    <i r="1">
      <x v="482"/>
    </i>
    <i r="1">
      <x v="491"/>
    </i>
    <i r="1">
      <x v="509"/>
    </i>
    <i r="1">
      <x v="511"/>
    </i>
    <i r="1">
      <x v="514"/>
    </i>
    <i r="1">
      <x v="538"/>
    </i>
    <i r="1">
      <x v="543"/>
    </i>
    <i r="1">
      <x v="544"/>
    </i>
    <i r="1">
      <x v="548"/>
    </i>
    <i r="1">
      <x v="664"/>
    </i>
    <i r="1">
      <x v="764"/>
    </i>
    <i r="1">
      <x v="768"/>
    </i>
    <i r="1">
      <x v="919"/>
    </i>
    <i r="1">
      <x v="2155"/>
    </i>
    <i>
      <x v="15"/>
      <x/>
    </i>
    <i r="1">
      <x v="91"/>
    </i>
    <i r="1">
      <x v="132"/>
    </i>
    <i r="1">
      <x v="152"/>
    </i>
    <i r="1">
      <x v="259"/>
    </i>
    <i r="1">
      <x v="455"/>
    </i>
    <i r="1">
      <x v="495"/>
    </i>
    <i r="1">
      <x v="537"/>
    </i>
    <i r="1">
      <x v="1358"/>
    </i>
    <i>
      <x v="16"/>
      <x v="161"/>
    </i>
    <i r="1">
      <x v="228"/>
    </i>
    <i r="1">
      <x v="337"/>
    </i>
    <i r="1">
      <x v="370"/>
    </i>
    <i r="1">
      <x v="480"/>
    </i>
    <i r="1">
      <x v="526"/>
    </i>
    <i r="1">
      <x v="533"/>
    </i>
    <i>
      <x v="17"/>
      <x v="15"/>
    </i>
    <i r="1">
      <x v="25"/>
    </i>
    <i r="1">
      <x v="40"/>
    </i>
    <i r="1">
      <x v="82"/>
    </i>
    <i r="1">
      <x v="89"/>
    </i>
    <i r="1">
      <x v="96"/>
    </i>
    <i r="1">
      <x v="108"/>
    </i>
    <i r="1">
      <x v="150"/>
    </i>
    <i r="1">
      <x v="163"/>
    </i>
    <i r="1">
      <x v="213"/>
    </i>
    <i r="1">
      <x v="216"/>
    </i>
    <i r="1">
      <x v="219"/>
    </i>
    <i r="1">
      <x v="233"/>
    </i>
    <i r="1">
      <x v="275"/>
    </i>
    <i r="1">
      <x v="340"/>
    </i>
    <i r="1">
      <x v="357"/>
    </i>
    <i r="1">
      <x v="368"/>
    </i>
    <i r="1">
      <x v="401"/>
    </i>
    <i r="1">
      <x v="438"/>
    </i>
    <i r="1">
      <x v="464"/>
    </i>
    <i r="1">
      <x v="465"/>
    </i>
    <i r="1">
      <x v="471"/>
    </i>
    <i r="1">
      <x v="503"/>
    </i>
    <i r="1">
      <x v="511"/>
    </i>
    <i r="1">
      <x v="525"/>
    </i>
    <i r="1">
      <x v="530"/>
    </i>
    <i r="1">
      <x v="555"/>
    </i>
    <i r="1">
      <x v="569"/>
    </i>
    <i r="1">
      <x v="599"/>
    </i>
    <i r="1">
      <x v="660"/>
    </i>
    <i r="1">
      <x v="664"/>
    </i>
    <i r="1">
      <x v="669"/>
    </i>
    <i r="1">
      <x v="672"/>
    </i>
    <i r="1">
      <x v="683"/>
    </i>
    <i r="1">
      <x v="689"/>
    </i>
    <i r="1">
      <x v="690"/>
    </i>
    <i r="1">
      <x v="698"/>
    </i>
    <i r="1">
      <x v="701"/>
    </i>
    <i r="1">
      <x v="702"/>
    </i>
    <i r="1">
      <x v="703"/>
    </i>
    <i r="1">
      <x v="705"/>
    </i>
    <i r="1">
      <x v="711"/>
    </i>
    <i r="1">
      <x v="715"/>
    </i>
    <i r="1">
      <x v="734"/>
    </i>
    <i r="1">
      <x v="740"/>
    </i>
    <i r="1">
      <x v="741"/>
    </i>
    <i r="1">
      <x v="743"/>
    </i>
    <i r="1">
      <x v="753"/>
    </i>
    <i r="1">
      <x v="756"/>
    </i>
    <i r="1">
      <x v="764"/>
    </i>
    <i r="1">
      <x v="772"/>
    </i>
    <i r="1">
      <x v="782"/>
    </i>
    <i r="1">
      <x v="789"/>
    </i>
    <i r="1">
      <x v="790"/>
    </i>
    <i r="1">
      <x v="799"/>
    </i>
    <i r="1">
      <x v="801"/>
    </i>
    <i r="1">
      <x v="805"/>
    </i>
    <i r="1">
      <x v="808"/>
    </i>
    <i r="1">
      <x v="819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6"/>
    </i>
    <i r="1">
      <x v="839"/>
    </i>
    <i r="1">
      <x v="840"/>
    </i>
    <i r="1">
      <x v="841"/>
    </i>
    <i r="1">
      <x v="848"/>
    </i>
    <i r="1">
      <x v="860"/>
    </i>
    <i r="1">
      <x v="862"/>
    </i>
    <i r="1">
      <x v="874"/>
    </i>
    <i r="1">
      <x v="875"/>
    </i>
    <i r="1">
      <x v="876"/>
    </i>
    <i r="1">
      <x v="882"/>
    </i>
    <i r="1">
      <x v="888"/>
    </i>
    <i r="1">
      <x v="889"/>
    </i>
    <i r="1">
      <x v="890"/>
    </i>
    <i r="1">
      <x v="891"/>
    </i>
    <i r="1">
      <x v="899"/>
    </i>
    <i r="1">
      <x v="919"/>
    </i>
    <i r="1">
      <x v="934"/>
    </i>
    <i r="1">
      <x v="937"/>
    </i>
    <i r="1">
      <x v="945"/>
    </i>
    <i r="1">
      <x v="966"/>
    </i>
    <i r="1">
      <x v="974"/>
    </i>
    <i r="1">
      <x v="978"/>
    </i>
    <i r="1">
      <x v="983"/>
    </i>
    <i r="1">
      <x v="1000"/>
    </i>
    <i r="1">
      <x v="1017"/>
    </i>
    <i r="1">
      <x v="1036"/>
    </i>
    <i r="1">
      <x v="1040"/>
    </i>
    <i r="1">
      <x v="1077"/>
    </i>
    <i r="1">
      <x v="1130"/>
    </i>
    <i r="1">
      <x v="1158"/>
    </i>
    <i r="1">
      <x v="1169"/>
    </i>
    <i r="1">
      <x v="1177"/>
    </i>
    <i r="1">
      <x v="1183"/>
    </i>
    <i r="1">
      <x v="1184"/>
    </i>
    <i r="1">
      <x v="1211"/>
    </i>
    <i r="1">
      <x v="1256"/>
    </i>
    <i r="1">
      <x v="1257"/>
    </i>
    <i r="1">
      <x v="1258"/>
    </i>
    <i r="1">
      <x v="1263"/>
    </i>
    <i r="1">
      <x v="1267"/>
    </i>
    <i r="1">
      <x v="1269"/>
    </i>
    <i r="1">
      <x v="1271"/>
    </i>
    <i r="1">
      <x v="1279"/>
    </i>
    <i r="1">
      <x v="1308"/>
    </i>
    <i r="1">
      <x v="1312"/>
    </i>
    <i r="1">
      <x v="1319"/>
    </i>
    <i r="1">
      <x v="1322"/>
    </i>
    <i r="1">
      <x v="1326"/>
    </i>
    <i r="1">
      <x v="1327"/>
    </i>
    <i r="1">
      <x v="1333"/>
    </i>
    <i r="1">
      <x v="1334"/>
    </i>
    <i r="1">
      <x v="1337"/>
    </i>
    <i r="1">
      <x v="1347"/>
    </i>
    <i r="1">
      <x v="1348"/>
    </i>
    <i r="1">
      <x v="1351"/>
    </i>
    <i r="1">
      <x v="1354"/>
    </i>
    <i r="1">
      <x v="1364"/>
    </i>
    <i r="1">
      <x v="1367"/>
    </i>
    <i r="1">
      <x v="1368"/>
    </i>
    <i r="1">
      <x v="1369"/>
    </i>
    <i r="1">
      <x v="1370"/>
    </i>
    <i r="1">
      <x v="1371"/>
    </i>
    <i r="1">
      <x v="1372"/>
    </i>
    <i r="1">
      <x v="1373"/>
    </i>
    <i r="1">
      <x v="1374"/>
    </i>
    <i r="1">
      <x v="1375"/>
    </i>
    <i r="1">
      <x v="1376"/>
    </i>
    <i r="1">
      <x v="1377"/>
    </i>
    <i r="1">
      <x v="1379"/>
    </i>
    <i r="1">
      <x v="1380"/>
    </i>
    <i r="1">
      <x v="1381"/>
    </i>
    <i r="1">
      <x v="1382"/>
    </i>
    <i r="1">
      <x v="1390"/>
    </i>
    <i r="1">
      <x v="1401"/>
    </i>
    <i r="1">
      <x v="1406"/>
    </i>
    <i r="1">
      <x v="1408"/>
    </i>
    <i r="1">
      <x v="1409"/>
    </i>
    <i r="1">
      <x v="1410"/>
    </i>
    <i r="1">
      <x v="1416"/>
    </i>
    <i r="1">
      <x v="1419"/>
    </i>
    <i r="1">
      <x v="1420"/>
    </i>
    <i r="1">
      <x v="1421"/>
    </i>
    <i r="1">
      <x v="1422"/>
    </i>
    <i r="1">
      <x v="1424"/>
    </i>
    <i r="1">
      <x v="1431"/>
    </i>
    <i r="1">
      <x v="1432"/>
    </i>
    <i r="1">
      <x v="1433"/>
    </i>
    <i r="1">
      <x v="1434"/>
    </i>
    <i r="1">
      <x v="1435"/>
    </i>
    <i r="1">
      <x v="1437"/>
    </i>
    <i r="1">
      <x v="1438"/>
    </i>
    <i r="1">
      <x v="1443"/>
    </i>
    <i r="1">
      <x v="1444"/>
    </i>
    <i r="1">
      <x v="1445"/>
    </i>
    <i r="1">
      <x v="1448"/>
    </i>
    <i r="1">
      <x v="1449"/>
    </i>
    <i r="1">
      <x v="1450"/>
    </i>
    <i r="1">
      <x v="1451"/>
    </i>
    <i r="1">
      <x v="1452"/>
    </i>
    <i r="1">
      <x v="1456"/>
    </i>
    <i r="1">
      <x v="1457"/>
    </i>
    <i r="1">
      <x v="1458"/>
    </i>
    <i r="1">
      <x v="1459"/>
    </i>
    <i r="1">
      <x v="1460"/>
    </i>
    <i r="1">
      <x v="1461"/>
    </i>
    <i r="1">
      <x v="1462"/>
    </i>
    <i r="1">
      <x v="1470"/>
    </i>
    <i r="1">
      <x v="1475"/>
    </i>
    <i r="1">
      <x v="1478"/>
    </i>
    <i r="1">
      <x v="1482"/>
    </i>
    <i r="1">
      <x v="1483"/>
    </i>
    <i r="1">
      <x v="1485"/>
    </i>
    <i r="1">
      <x v="1493"/>
    </i>
    <i r="1">
      <x v="1498"/>
    </i>
    <i r="1">
      <x v="1499"/>
    </i>
    <i r="1">
      <x v="1500"/>
    </i>
    <i r="1">
      <x v="1505"/>
    </i>
    <i r="1">
      <x v="1506"/>
    </i>
    <i r="1">
      <x v="1507"/>
    </i>
    <i r="1">
      <x v="1519"/>
    </i>
    <i r="1">
      <x v="1523"/>
    </i>
    <i r="1">
      <x v="1524"/>
    </i>
    <i r="1">
      <x v="1529"/>
    </i>
    <i r="1">
      <x v="1533"/>
    </i>
    <i r="1">
      <x v="1553"/>
    </i>
    <i r="1">
      <x v="1555"/>
    </i>
    <i r="1">
      <x v="1556"/>
    </i>
    <i r="1">
      <x v="1557"/>
    </i>
    <i r="1">
      <x v="1594"/>
    </i>
    <i r="1">
      <x v="1595"/>
    </i>
    <i r="1">
      <x v="1596"/>
    </i>
    <i r="1">
      <x v="1613"/>
    </i>
    <i r="1">
      <x v="1614"/>
    </i>
    <i r="1">
      <x v="1615"/>
    </i>
    <i r="1">
      <x v="1616"/>
    </i>
    <i r="1">
      <x v="1617"/>
    </i>
    <i r="1">
      <x v="1625"/>
    </i>
    <i r="1">
      <x v="1628"/>
    </i>
    <i r="1">
      <x v="1629"/>
    </i>
    <i r="1">
      <x v="1630"/>
    </i>
    <i r="1">
      <x v="1631"/>
    </i>
    <i r="1">
      <x v="1632"/>
    </i>
    <i r="1">
      <x v="1633"/>
    </i>
    <i r="1">
      <x v="1634"/>
    </i>
    <i r="1">
      <x v="1635"/>
    </i>
    <i r="1">
      <x v="1640"/>
    </i>
    <i r="1">
      <x v="1641"/>
    </i>
    <i r="1">
      <x v="1642"/>
    </i>
    <i r="1">
      <x v="1643"/>
    </i>
    <i r="1">
      <x v="1644"/>
    </i>
    <i r="1">
      <x v="1645"/>
    </i>
    <i r="1">
      <x v="1648"/>
    </i>
    <i r="1">
      <x v="1649"/>
    </i>
    <i r="1">
      <x v="1666"/>
    </i>
    <i r="1">
      <x v="1671"/>
    </i>
    <i r="1">
      <x v="1711"/>
    </i>
    <i r="1">
      <x v="1717"/>
    </i>
    <i r="1">
      <x v="1719"/>
    </i>
    <i r="1">
      <x v="1720"/>
    </i>
    <i r="1">
      <x v="1738"/>
    </i>
    <i r="1">
      <x v="1762"/>
    </i>
    <i r="1">
      <x v="1771"/>
    </i>
    <i r="1">
      <x v="1772"/>
    </i>
    <i r="1">
      <x v="1839"/>
    </i>
    <i r="1">
      <x v="1910"/>
    </i>
    <i r="1">
      <x v="1943"/>
    </i>
    <i r="1">
      <x v="1944"/>
    </i>
    <i r="1">
      <x v="1954"/>
    </i>
    <i r="1">
      <x v="1961"/>
    </i>
    <i r="1">
      <x v="1962"/>
    </i>
    <i r="1">
      <x v="1963"/>
    </i>
    <i r="1">
      <x v="1964"/>
    </i>
    <i r="1">
      <x v="1965"/>
    </i>
    <i r="1">
      <x v="1966"/>
    </i>
    <i r="1">
      <x v="1967"/>
    </i>
    <i r="1">
      <x v="1969"/>
    </i>
    <i r="1">
      <x v="1992"/>
    </i>
    <i r="1">
      <x v="1993"/>
    </i>
    <i r="1">
      <x v="1994"/>
    </i>
    <i r="1">
      <x v="1997"/>
    </i>
    <i r="1">
      <x v="1998"/>
    </i>
    <i r="1">
      <x v="2000"/>
    </i>
    <i r="1">
      <x v="2001"/>
    </i>
    <i r="1">
      <x v="2002"/>
    </i>
    <i r="1">
      <x v="2003"/>
    </i>
    <i r="1">
      <x v="2004"/>
    </i>
    <i r="1">
      <x v="2005"/>
    </i>
    <i r="1">
      <x v="2006"/>
    </i>
    <i r="1">
      <x v="2012"/>
    </i>
    <i r="1">
      <x v="2015"/>
    </i>
    <i r="1">
      <x v="2016"/>
    </i>
    <i r="1">
      <x v="2021"/>
    </i>
    <i r="1">
      <x v="2022"/>
    </i>
    <i r="1">
      <x v="2027"/>
    </i>
    <i r="1">
      <x v="2028"/>
    </i>
    <i r="1">
      <x v="2029"/>
    </i>
    <i r="1">
      <x v="2030"/>
    </i>
    <i r="1">
      <x v="2031"/>
    </i>
    <i r="1">
      <x v="2032"/>
    </i>
    <i r="1">
      <x v="2040"/>
    </i>
    <i r="1">
      <x v="2041"/>
    </i>
    <i r="1">
      <x v="2042"/>
    </i>
    <i r="1">
      <x v="2043"/>
    </i>
    <i r="1">
      <x v="2044"/>
    </i>
    <i r="1">
      <x v="2045"/>
    </i>
    <i r="1">
      <x v="2046"/>
    </i>
    <i r="1">
      <x v="2047"/>
    </i>
    <i r="1">
      <x v="2048"/>
    </i>
    <i r="1">
      <x v="2049"/>
    </i>
    <i r="1">
      <x v="2054"/>
    </i>
    <i r="1">
      <x v="2060"/>
    </i>
    <i r="1">
      <x v="2061"/>
    </i>
    <i r="1">
      <x v="2062"/>
    </i>
    <i r="1">
      <x v="2063"/>
    </i>
    <i r="1">
      <x v="2064"/>
    </i>
    <i r="1">
      <x v="2065"/>
    </i>
    <i r="1">
      <x v="2066"/>
    </i>
    <i r="1">
      <x v="2067"/>
    </i>
    <i r="1">
      <x v="2068"/>
    </i>
    <i r="1">
      <x v="2069"/>
    </i>
    <i r="1">
      <x v="2070"/>
    </i>
    <i r="1">
      <x v="2078"/>
    </i>
    <i r="1">
      <x v="2079"/>
    </i>
    <i r="1">
      <x v="2080"/>
    </i>
    <i r="1">
      <x v="2081"/>
    </i>
    <i r="1">
      <x v="2082"/>
    </i>
    <i r="1">
      <x v="2083"/>
    </i>
    <i r="1">
      <x v="2084"/>
    </i>
    <i r="1">
      <x v="2086"/>
    </i>
    <i r="1">
      <x v="2087"/>
    </i>
    <i r="1">
      <x v="2091"/>
    </i>
    <i r="1">
      <x v="2092"/>
    </i>
    <i r="1">
      <x v="2095"/>
    </i>
    <i r="1">
      <x v="2096"/>
    </i>
    <i r="1">
      <x v="2097"/>
    </i>
    <i r="1">
      <x v="2101"/>
    </i>
    <i r="1">
      <x v="2106"/>
    </i>
    <i r="1">
      <x v="2108"/>
    </i>
    <i r="1">
      <x v="2140"/>
    </i>
    <i r="1">
      <x v="2141"/>
    </i>
    <i r="1">
      <x v="2143"/>
    </i>
    <i r="1">
      <x v="2144"/>
    </i>
    <i r="1">
      <x v="2145"/>
    </i>
    <i r="1">
      <x v="2148"/>
    </i>
    <i r="1">
      <x v="2149"/>
    </i>
    <i r="1">
      <x v="2150"/>
    </i>
    <i r="1">
      <x v="2151"/>
    </i>
    <i r="1">
      <x v="2156"/>
    </i>
    <i r="1">
      <x v="2157"/>
    </i>
    <i r="1">
      <x v="2161"/>
    </i>
    <i r="1">
      <x v="2165"/>
    </i>
    <i r="1">
      <x v="2166"/>
    </i>
    <i r="1">
      <x v="2279"/>
    </i>
    <i r="1">
      <x v="2289"/>
    </i>
    <i r="1">
      <x v="2321"/>
    </i>
    <i r="1">
      <x v="2322"/>
    </i>
    <i r="1">
      <x v="2323"/>
    </i>
    <i r="1">
      <x v="2324"/>
    </i>
    <i r="1">
      <x v="2325"/>
    </i>
    <i r="1">
      <x v="2326"/>
    </i>
    <i r="1">
      <x v="2329"/>
    </i>
    <i r="1">
      <x v="2352"/>
    </i>
    <i r="1">
      <x v="2359"/>
    </i>
    <i r="1">
      <x v="2360"/>
    </i>
    <i r="1">
      <x v="2361"/>
    </i>
    <i r="1">
      <x v="2362"/>
    </i>
    <i r="1">
      <x v="2363"/>
    </i>
    <i r="1">
      <x v="2366"/>
    </i>
    <i r="1">
      <x v="2367"/>
    </i>
    <i r="1">
      <x v="2369"/>
    </i>
    <i r="1">
      <x v="2371"/>
    </i>
    <i r="1">
      <x v="2372"/>
    </i>
    <i r="1">
      <x v="2384"/>
    </i>
    <i r="1">
      <x v="2385"/>
    </i>
    <i r="1">
      <x v="2395"/>
    </i>
    <i r="1">
      <x v="2396"/>
    </i>
    <i r="1">
      <x v="2397"/>
    </i>
    <i r="1">
      <x v="2398"/>
    </i>
    <i r="1">
      <x v="2399"/>
    </i>
    <i r="1">
      <x v="2403"/>
    </i>
    <i r="1">
      <x v="2404"/>
    </i>
    <i r="1">
      <x v="2410"/>
    </i>
    <i r="1">
      <x v="2411"/>
    </i>
    <i r="1">
      <x v="2412"/>
    </i>
    <i r="1">
      <x v="2418"/>
    </i>
    <i r="1">
      <x v="2426"/>
    </i>
    <i r="1">
      <x v="2427"/>
    </i>
    <i r="1">
      <x v="2431"/>
    </i>
    <i r="1">
      <x v="2438"/>
    </i>
    <i r="1">
      <x v="2439"/>
    </i>
    <i r="1">
      <x v="2440"/>
    </i>
    <i r="1">
      <x v="2442"/>
    </i>
    <i r="1">
      <x v="2443"/>
    </i>
    <i r="1">
      <x v="2444"/>
    </i>
    <i r="1">
      <x v="2445"/>
    </i>
    <i r="1">
      <x v="2446"/>
    </i>
    <i r="1">
      <x v="2447"/>
    </i>
    <i r="1">
      <x v="2448"/>
    </i>
    <i r="1">
      <x v="2449"/>
    </i>
    <i r="1">
      <x v="2450"/>
    </i>
    <i r="1">
      <x v="2451"/>
    </i>
    <i r="1">
      <x v="2452"/>
    </i>
    <i r="1">
      <x v="2456"/>
    </i>
    <i r="1">
      <x v="2461"/>
    </i>
    <i r="1">
      <x v="2462"/>
    </i>
    <i r="1">
      <x v="2464"/>
    </i>
    <i r="1">
      <x v="2465"/>
    </i>
    <i r="1">
      <x v="2467"/>
    </i>
    <i r="1">
      <x v="2469"/>
    </i>
    <i r="1">
      <x v="2470"/>
    </i>
    <i r="1">
      <x v="2471"/>
    </i>
    <i r="1">
      <x v="2472"/>
    </i>
    <i r="1">
      <x v="2473"/>
    </i>
    <i r="1">
      <x v="2484"/>
    </i>
    <i r="1">
      <x v="2494"/>
    </i>
    <i r="1">
      <x v="2495"/>
    </i>
    <i r="1">
      <x v="2513"/>
    </i>
    <i r="1">
      <x v="2515"/>
    </i>
    <i r="1">
      <x v="2516"/>
    </i>
    <i r="1">
      <x v="2524"/>
    </i>
    <i r="1">
      <x v="2525"/>
    </i>
    <i r="1">
      <x v="2526"/>
    </i>
    <i r="1">
      <x v="2527"/>
    </i>
    <i r="1">
      <x v="2559"/>
    </i>
    <i r="1">
      <x v="2565"/>
    </i>
    <i r="1">
      <x v="2566"/>
    </i>
    <i r="1">
      <x v="2567"/>
    </i>
    <i r="1">
      <x v="2568"/>
    </i>
    <i r="1">
      <x v="2569"/>
    </i>
    <i r="1">
      <x v="2663"/>
    </i>
    <i r="1">
      <x v="2672"/>
    </i>
    <i r="1">
      <x v="2737"/>
    </i>
    <i r="1">
      <x v="2742"/>
    </i>
    <i r="1">
      <x v="2750"/>
    </i>
    <i r="1">
      <x v="2751"/>
    </i>
    <i r="1">
      <x v="2752"/>
    </i>
    <i r="1">
      <x v="2753"/>
    </i>
    <i r="1">
      <x v="2754"/>
    </i>
    <i r="1">
      <x v="2765"/>
    </i>
    <i r="1">
      <x v="2781"/>
    </i>
    <i>
      <x v="18"/>
      <x v="147"/>
    </i>
    <i r="1">
      <x v="353"/>
    </i>
    <i r="1">
      <x v="1359"/>
    </i>
    <i r="1">
      <x v="2098"/>
    </i>
    <i>
      <x v="19"/>
      <x v="304"/>
    </i>
    <i r="1">
      <x v="374"/>
    </i>
    <i>
      <x v="20"/>
      <x v="521"/>
    </i>
    <i>
      <x v="21"/>
      <x v="39"/>
    </i>
    <i r="1">
      <x v="69"/>
    </i>
    <i r="1">
      <x v="84"/>
    </i>
    <i r="1">
      <x v="118"/>
    </i>
    <i r="1">
      <x v="123"/>
    </i>
    <i r="1">
      <x v="124"/>
    </i>
    <i r="1">
      <x v="242"/>
    </i>
    <i r="1">
      <x v="299"/>
    </i>
    <i r="1">
      <x v="418"/>
    </i>
    <i r="1">
      <x v="433"/>
    </i>
    <i r="1">
      <x v="458"/>
    </i>
    <i r="1">
      <x v="479"/>
    </i>
    <i r="1">
      <x v="507"/>
    </i>
    <i r="1">
      <x v="520"/>
    </i>
    <i>
      <x v="22"/>
      <x v="17"/>
    </i>
    <i r="1">
      <x v="55"/>
    </i>
    <i r="1">
      <x v="58"/>
    </i>
    <i r="1">
      <x v="59"/>
    </i>
    <i r="1">
      <x v="105"/>
    </i>
    <i r="1">
      <x v="111"/>
    </i>
    <i r="1">
      <x v="127"/>
    </i>
    <i r="1">
      <x v="140"/>
    </i>
    <i r="1">
      <x v="153"/>
    </i>
    <i r="1">
      <x v="158"/>
    </i>
    <i r="1">
      <x v="163"/>
    </i>
    <i r="1">
      <x v="167"/>
    </i>
    <i r="1">
      <x v="177"/>
    </i>
    <i r="1">
      <x v="191"/>
    </i>
    <i r="1">
      <x v="260"/>
    </i>
    <i r="1">
      <x v="305"/>
    </i>
    <i r="1">
      <x v="452"/>
    </i>
    <i r="1">
      <x v="469"/>
    </i>
    <i r="1">
      <x v="534"/>
    </i>
    <i>
      <x v="23"/>
      <x v="13"/>
    </i>
    <i r="1">
      <x v="16"/>
    </i>
    <i r="1">
      <x v="22"/>
    </i>
    <i r="1">
      <x v="26"/>
    </i>
    <i r="1">
      <x v="30"/>
    </i>
    <i r="1">
      <x v="36"/>
    </i>
    <i r="1">
      <x v="41"/>
    </i>
    <i r="1">
      <x v="45"/>
    </i>
    <i r="1">
      <x v="49"/>
    </i>
    <i r="1">
      <x v="61"/>
    </i>
    <i r="1">
      <x v="65"/>
    </i>
    <i r="1">
      <x v="74"/>
    </i>
    <i r="1">
      <x v="75"/>
    </i>
    <i r="1">
      <x v="78"/>
    </i>
    <i r="1">
      <x v="93"/>
    </i>
    <i r="1">
      <x v="103"/>
    </i>
    <i r="1">
      <x v="109"/>
    </i>
    <i r="1">
      <x v="110"/>
    </i>
    <i r="1">
      <x v="118"/>
    </i>
    <i r="1">
      <x v="119"/>
    </i>
    <i r="1">
      <x v="142"/>
    </i>
    <i r="1">
      <x v="151"/>
    </i>
    <i r="1">
      <x v="156"/>
    </i>
    <i r="1">
      <x v="176"/>
    </i>
    <i r="1">
      <x v="194"/>
    </i>
    <i r="1">
      <x v="196"/>
    </i>
    <i r="1">
      <x v="218"/>
    </i>
    <i r="1">
      <x v="221"/>
    </i>
    <i r="1">
      <x v="223"/>
    </i>
    <i r="1">
      <x v="225"/>
    </i>
    <i r="1">
      <x v="229"/>
    </i>
    <i r="1">
      <x v="244"/>
    </i>
    <i r="1">
      <x v="253"/>
    </i>
    <i r="1">
      <x v="255"/>
    </i>
    <i r="1">
      <x v="256"/>
    </i>
    <i r="1">
      <x v="261"/>
    </i>
    <i r="1">
      <x v="271"/>
    </i>
    <i r="1">
      <x v="274"/>
    </i>
    <i r="1">
      <x v="276"/>
    </i>
    <i r="1">
      <x v="293"/>
    </i>
    <i r="1">
      <x v="297"/>
    </i>
    <i r="1">
      <x v="307"/>
    </i>
    <i r="1">
      <x v="324"/>
    </i>
    <i r="1">
      <x v="331"/>
    </i>
    <i r="1">
      <x v="333"/>
    </i>
    <i r="1">
      <x v="349"/>
    </i>
    <i r="1">
      <x v="352"/>
    </i>
    <i r="1">
      <x v="354"/>
    </i>
    <i r="1">
      <x v="361"/>
    </i>
    <i r="1">
      <x v="362"/>
    </i>
    <i r="1">
      <x v="379"/>
    </i>
    <i r="1">
      <x v="387"/>
    </i>
    <i r="1">
      <x v="389"/>
    </i>
    <i r="1">
      <x v="395"/>
    </i>
    <i r="1">
      <x v="396"/>
    </i>
    <i r="1">
      <x v="403"/>
    </i>
    <i r="1">
      <x v="405"/>
    </i>
    <i r="1">
      <x v="424"/>
    </i>
    <i r="1">
      <x v="425"/>
    </i>
    <i r="1">
      <x v="436"/>
    </i>
    <i r="1">
      <x v="444"/>
    </i>
    <i r="1">
      <x v="449"/>
    </i>
    <i r="1">
      <x v="458"/>
    </i>
    <i r="1">
      <x v="470"/>
    </i>
    <i r="1">
      <x v="489"/>
    </i>
    <i r="1">
      <x v="492"/>
    </i>
    <i r="1">
      <x v="493"/>
    </i>
    <i r="1">
      <x v="494"/>
    </i>
    <i r="1">
      <x v="498"/>
    </i>
    <i r="1">
      <x v="501"/>
    </i>
    <i r="1">
      <x v="506"/>
    </i>
    <i r="1">
      <x v="512"/>
    </i>
    <i r="1">
      <x v="515"/>
    </i>
    <i r="1">
      <x v="519"/>
    </i>
    <i r="1">
      <x v="528"/>
    </i>
    <i r="1">
      <x v="529"/>
    </i>
    <i r="1">
      <x v="548"/>
    </i>
    <i>
      <x v="24"/>
      <x v="9"/>
    </i>
    <i r="1">
      <x v="88"/>
    </i>
    <i r="1">
      <x v="92"/>
    </i>
    <i r="1">
      <x v="105"/>
    </i>
    <i r="1">
      <x v="110"/>
    </i>
    <i r="1">
      <x v="127"/>
    </i>
    <i r="1">
      <x v="140"/>
    </i>
    <i r="1">
      <x v="164"/>
    </i>
    <i r="1">
      <x v="165"/>
    </i>
    <i r="1">
      <x v="167"/>
    </i>
    <i r="1">
      <x v="177"/>
    </i>
    <i r="1">
      <x v="194"/>
    </i>
    <i r="1">
      <x v="205"/>
    </i>
    <i r="1">
      <x v="208"/>
    </i>
    <i r="1">
      <x v="218"/>
    </i>
    <i r="1">
      <x v="219"/>
    </i>
    <i r="1">
      <x v="232"/>
    </i>
    <i r="1">
      <x v="241"/>
    </i>
    <i r="1">
      <x v="249"/>
    </i>
    <i r="1">
      <x v="266"/>
    </i>
    <i r="1">
      <x v="274"/>
    </i>
    <i r="1">
      <x v="281"/>
    </i>
    <i r="1">
      <x v="282"/>
    </i>
    <i r="1">
      <x v="289"/>
    </i>
    <i r="1">
      <x v="294"/>
    </i>
    <i r="1">
      <x v="322"/>
    </i>
    <i r="1">
      <x v="336"/>
    </i>
    <i r="1">
      <x v="371"/>
    </i>
    <i r="1">
      <x v="376"/>
    </i>
    <i r="1">
      <x v="415"/>
    </i>
    <i r="1">
      <x v="427"/>
    </i>
    <i r="1">
      <x v="431"/>
    </i>
    <i r="1">
      <x v="452"/>
    </i>
    <i r="1">
      <x v="468"/>
    </i>
    <i r="1">
      <x v="478"/>
    </i>
    <i r="1">
      <x v="481"/>
    </i>
    <i r="1">
      <x v="485"/>
    </i>
    <i r="1">
      <x v="502"/>
    </i>
    <i r="1">
      <x v="504"/>
    </i>
    <i r="1">
      <x v="511"/>
    </i>
    <i r="1">
      <x v="527"/>
    </i>
    <i r="1">
      <x v="537"/>
    </i>
    <i r="1">
      <x v="546"/>
    </i>
    <i r="1">
      <x v="729"/>
    </i>
    <i>
      <x v="25"/>
      <x v="40"/>
    </i>
    <i r="1">
      <x v="82"/>
    </i>
    <i r="1">
      <x v="163"/>
    </i>
    <i r="1">
      <x v="669"/>
    </i>
    <i r="1">
      <x v="673"/>
    </i>
    <i r="1">
      <x v="683"/>
    </i>
    <i r="1">
      <x v="690"/>
    </i>
    <i r="1">
      <x v="701"/>
    </i>
    <i r="1">
      <x v="702"/>
    </i>
    <i r="1">
      <x v="703"/>
    </i>
    <i r="1">
      <x v="704"/>
    </i>
    <i r="1">
      <x v="705"/>
    </i>
    <i r="1">
      <x v="707"/>
    </i>
    <i r="1">
      <x v="764"/>
    </i>
    <i r="1">
      <x v="772"/>
    </i>
    <i r="1">
      <x v="777"/>
    </i>
    <i r="1">
      <x v="803"/>
    </i>
    <i r="1">
      <x v="825"/>
    </i>
    <i r="1">
      <x v="826"/>
    </i>
    <i r="1">
      <x v="827"/>
    </i>
    <i r="1">
      <x v="828"/>
    </i>
    <i r="1">
      <x v="829"/>
    </i>
    <i r="1">
      <x v="836"/>
    </i>
    <i r="1">
      <x v="839"/>
    </i>
    <i r="1">
      <x v="840"/>
    </i>
    <i r="1">
      <x v="841"/>
    </i>
    <i r="1">
      <x v="850"/>
    </i>
    <i r="1">
      <x v="874"/>
    </i>
    <i r="1">
      <x v="875"/>
    </i>
    <i r="1">
      <x v="891"/>
    </i>
    <i r="1">
      <x v="1054"/>
    </i>
    <i r="1">
      <x v="1055"/>
    </i>
    <i r="1">
      <x v="1056"/>
    </i>
    <i r="1">
      <x v="1057"/>
    </i>
    <i r="1">
      <x v="1242"/>
    </i>
    <i r="1">
      <x v="1251"/>
    </i>
    <i r="1">
      <x v="1269"/>
    </i>
    <i r="1">
      <x v="1271"/>
    </i>
    <i r="1">
      <x v="1308"/>
    </i>
    <i r="1">
      <x v="1315"/>
    </i>
    <i r="1">
      <x v="1316"/>
    </i>
    <i r="1">
      <x v="1317"/>
    </i>
    <i r="1">
      <x v="1318"/>
    </i>
    <i r="1">
      <x v="1319"/>
    </i>
    <i r="1">
      <x v="1320"/>
    </i>
    <i r="1">
      <x v="1321"/>
    </i>
    <i r="1">
      <x v="1322"/>
    </i>
    <i r="1">
      <x v="1323"/>
    </i>
    <i r="1">
      <x v="1324"/>
    </i>
    <i r="1">
      <x v="1325"/>
    </i>
    <i r="1">
      <x v="1326"/>
    </i>
    <i r="1">
      <x v="1327"/>
    </i>
    <i r="1">
      <x v="1328"/>
    </i>
    <i r="1">
      <x v="1329"/>
    </i>
    <i r="1">
      <x v="1330"/>
    </i>
    <i r="1">
      <x v="1331"/>
    </i>
    <i r="1">
      <x v="1332"/>
    </i>
    <i r="1">
      <x v="1333"/>
    </i>
    <i r="1">
      <x v="1334"/>
    </i>
    <i r="1">
      <x v="1335"/>
    </i>
    <i r="1">
      <x v="1336"/>
    </i>
    <i r="1">
      <x v="1337"/>
    </i>
    <i r="1">
      <x v="1338"/>
    </i>
    <i r="1">
      <x v="1339"/>
    </i>
    <i r="1">
      <x v="1340"/>
    </i>
    <i r="1">
      <x v="1341"/>
    </i>
    <i r="1">
      <x v="1342"/>
    </i>
    <i r="1">
      <x v="1343"/>
    </i>
    <i r="1">
      <x v="1344"/>
    </i>
    <i r="1">
      <x v="1345"/>
    </i>
    <i r="1">
      <x v="1346"/>
    </i>
    <i r="1">
      <x v="1347"/>
    </i>
    <i r="1">
      <x v="1348"/>
    </i>
    <i r="1">
      <x v="1350"/>
    </i>
    <i r="1">
      <x v="1351"/>
    </i>
    <i r="1">
      <x v="1391"/>
    </i>
    <i r="1">
      <x v="1395"/>
    </i>
    <i r="1">
      <x v="1432"/>
    </i>
    <i r="1">
      <x v="1466"/>
    </i>
    <i r="1">
      <x v="1490"/>
    </i>
    <i r="1">
      <x v="1491"/>
    </i>
    <i r="1">
      <x v="1532"/>
    </i>
    <i r="1">
      <x v="1715"/>
    </i>
    <i r="1">
      <x v="1716"/>
    </i>
    <i r="1">
      <x v="1717"/>
    </i>
    <i r="1">
      <x v="1718"/>
    </i>
    <i r="1">
      <x v="1837"/>
    </i>
    <i r="1">
      <x v="2051"/>
    </i>
    <i>
      <x v="26"/>
      <x v="270"/>
    </i>
    <i r="1">
      <x v="387"/>
    </i>
    <i r="1">
      <x v="424"/>
    </i>
    <i>
      <x v="27"/>
      <x v="163"/>
    </i>
    <i>
      <x v="28"/>
      <x v="277"/>
    </i>
    <i r="1">
      <x v="389"/>
    </i>
    <i r="1">
      <x v="540"/>
    </i>
    <i>
      <x v="29"/>
      <x v="81"/>
    </i>
    <i r="1">
      <x v="82"/>
    </i>
    <i r="1">
      <x v="207"/>
    </i>
    <i r="1">
      <x v="637"/>
    </i>
    <i r="1">
      <x v="649"/>
    </i>
    <i r="1">
      <x v="660"/>
    </i>
    <i r="1">
      <x v="664"/>
    </i>
    <i r="1">
      <x v="690"/>
    </i>
    <i r="1">
      <x v="703"/>
    </i>
    <i r="1">
      <x v="711"/>
    </i>
    <i r="1">
      <x v="751"/>
    </i>
    <i r="1">
      <x v="772"/>
    </i>
    <i r="1">
      <x v="894"/>
    </i>
    <i r="1">
      <x v="929"/>
    </i>
    <i r="1">
      <x v="931"/>
    </i>
    <i r="1">
      <x v="939"/>
    </i>
    <i r="1">
      <x v="970"/>
    </i>
    <i r="1">
      <x v="992"/>
    </i>
    <i r="1">
      <x v="1065"/>
    </i>
    <i r="1">
      <x v="1235"/>
    </i>
    <i r="1">
      <x v="1237"/>
    </i>
    <i r="1">
      <x v="1238"/>
    </i>
    <i r="1">
      <x v="1239"/>
    </i>
    <i r="1">
      <x v="1240"/>
    </i>
    <i r="1">
      <x v="1241"/>
    </i>
    <i r="1">
      <x v="1243"/>
    </i>
    <i r="1">
      <x v="1246"/>
    </i>
    <i r="1">
      <x v="1247"/>
    </i>
    <i r="1">
      <x v="1248"/>
    </i>
    <i r="1">
      <x v="1249"/>
    </i>
    <i r="1">
      <x v="1250"/>
    </i>
    <i r="1">
      <x v="1251"/>
    </i>
    <i r="1">
      <x v="1252"/>
    </i>
    <i r="1">
      <x v="1253"/>
    </i>
    <i r="1">
      <x v="1259"/>
    </i>
    <i r="1">
      <x v="1270"/>
    </i>
    <i r="1">
      <x v="1281"/>
    </i>
    <i r="1">
      <x v="1282"/>
    </i>
    <i r="1">
      <x v="1283"/>
    </i>
    <i r="1">
      <x v="1284"/>
    </i>
    <i r="1">
      <x v="1285"/>
    </i>
    <i r="1">
      <x v="1286"/>
    </i>
    <i r="1">
      <x v="1287"/>
    </i>
    <i r="1">
      <x v="1288"/>
    </i>
    <i r="1">
      <x v="1289"/>
    </i>
    <i r="1">
      <x v="1290"/>
    </i>
    <i r="1">
      <x v="1291"/>
    </i>
    <i r="1">
      <x v="1293"/>
    </i>
    <i r="1">
      <x v="1294"/>
    </i>
    <i r="1">
      <x v="1295"/>
    </i>
    <i r="1">
      <x v="1296"/>
    </i>
    <i r="1">
      <x v="1297"/>
    </i>
    <i r="1">
      <x v="1298"/>
    </i>
    <i r="1">
      <x v="1299"/>
    </i>
    <i r="1">
      <x v="1352"/>
    </i>
    <i r="1">
      <x v="1353"/>
    </i>
    <i r="1">
      <x v="1370"/>
    </i>
    <i r="1">
      <x v="1389"/>
    </i>
    <i r="1">
      <x v="1392"/>
    </i>
    <i r="1">
      <x v="1414"/>
    </i>
    <i r="1">
      <x v="1441"/>
    </i>
    <i r="1">
      <x v="1554"/>
    </i>
    <i r="1">
      <x v="1645"/>
    </i>
    <i r="1">
      <x v="2780"/>
    </i>
    <i>
      <x v="30"/>
      <x v="106"/>
    </i>
    <i r="1">
      <x v="117"/>
    </i>
    <i r="1">
      <x v="177"/>
    </i>
    <i r="1">
      <x v="288"/>
    </i>
    <i r="1">
      <x v="687"/>
    </i>
    <i r="1">
      <x v="1398"/>
    </i>
    <i r="1">
      <x v="1455"/>
    </i>
    <i>
      <x v="31"/>
      <x v="95"/>
    </i>
    <i r="1">
      <x v="114"/>
    </i>
    <i r="1">
      <x v="122"/>
    </i>
    <i r="1">
      <x v="257"/>
    </i>
    <i r="1">
      <x v="263"/>
    </i>
    <i r="1">
      <x v="266"/>
    </i>
    <i r="1">
      <x v="301"/>
    </i>
    <i r="1">
      <x v="302"/>
    </i>
    <i r="1">
      <x v="359"/>
    </i>
    <i r="1">
      <x v="462"/>
    </i>
    <i r="1">
      <x v="504"/>
    </i>
    <i>
      <x v="32"/>
      <x v="273"/>
    </i>
    <i>
      <x v="33"/>
      <x v="59"/>
    </i>
    <i r="1">
      <x v="72"/>
    </i>
    <i r="1">
      <x v="137"/>
    </i>
    <i r="1">
      <x v="163"/>
    </i>
    <i r="1">
      <x v="199"/>
    </i>
    <i r="1">
      <x v="211"/>
    </i>
    <i r="1">
      <x v="251"/>
    </i>
    <i r="1">
      <x v="266"/>
    </i>
    <i r="1">
      <x v="309"/>
    </i>
    <i r="1">
      <x v="360"/>
    </i>
    <i r="1">
      <x v="384"/>
    </i>
    <i r="1">
      <x v="398"/>
    </i>
    <i r="1">
      <x v="410"/>
    </i>
    <i r="1">
      <x v="422"/>
    </i>
    <i r="1">
      <x v="435"/>
    </i>
    <i r="1">
      <x v="462"/>
    </i>
    <i r="1">
      <x v="678"/>
    </i>
    <i r="1">
      <x v="1423"/>
    </i>
    <i r="1">
      <x v="1446"/>
    </i>
    <i r="1">
      <x v="1481"/>
    </i>
    <i r="1">
      <x v="1515"/>
    </i>
    <i r="1">
      <x v="1749"/>
    </i>
    <i r="1">
      <x v="1948"/>
    </i>
    <i r="1">
      <x v="1968"/>
    </i>
    <i r="1">
      <x v="2100"/>
    </i>
    <i r="1">
      <x v="2169"/>
    </i>
    <i r="1">
      <x v="2330"/>
    </i>
    <i r="1">
      <x v="2364"/>
    </i>
    <i r="1">
      <x v="2466"/>
    </i>
    <i r="1">
      <x v="2474"/>
    </i>
    <i r="1">
      <x v="2528"/>
    </i>
    <i r="1">
      <x v="2530"/>
    </i>
    <i r="1">
      <x v="2531"/>
    </i>
    <i r="1">
      <x v="2532"/>
    </i>
    <i r="1">
      <x v="2533"/>
    </i>
    <i r="1">
      <x v="2603"/>
    </i>
    <i>
      <x v="34"/>
      <x v="79"/>
    </i>
    <i r="1">
      <x v="547"/>
    </i>
    <i r="1">
      <x v="1621"/>
    </i>
    <i r="1">
      <x v="2674"/>
    </i>
    <i r="1">
      <x v="2735"/>
    </i>
    <i r="1">
      <x v="2736"/>
    </i>
    <i>
      <x v="35"/>
      <x v="81"/>
    </i>
    <i r="1">
      <x v="82"/>
    </i>
    <i r="1">
      <x v="93"/>
    </i>
    <i r="1">
      <x v="99"/>
    </i>
    <i r="1">
      <x v="106"/>
    </i>
    <i r="1">
      <x v="107"/>
    </i>
    <i r="1">
      <x v="163"/>
    </i>
    <i r="1">
      <x v="172"/>
    </i>
    <i r="1">
      <x v="188"/>
    </i>
    <i r="1">
      <x v="230"/>
    </i>
    <i r="1">
      <x v="235"/>
    </i>
    <i r="1">
      <x v="286"/>
    </i>
    <i r="1">
      <x v="348"/>
    </i>
    <i r="1">
      <x v="353"/>
    </i>
    <i r="1">
      <x v="356"/>
    </i>
    <i r="1">
      <x v="375"/>
    </i>
    <i r="1">
      <x v="380"/>
    </i>
    <i r="1">
      <x v="391"/>
    </i>
    <i r="1">
      <x v="512"/>
    </i>
    <i r="1">
      <x v="519"/>
    </i>
    <i r="1">
      <x v="523"/>
    </i>
    <i r="1">
      <x v="530"/>
    </i>
    <i r="1">
      <x v="544"/>
    </i>
    <i r="1">
      <x v="552"/>
    </i>
    <i r="1">
      <x v="553"/>
    </i>
    <i r="1">
      <x v="554"/>
    </i>
    <i r="1">
      <x v="556"/>
    </i>
    <i r="1">
      <x v="568"/>
    </i>
    <i r="1">
      <x v="569"/>
    </i>
    <i r="1">
      <x v="570"/>
    </i>
    <i r="1">
      <x v="572"/>
    </i>
    <i r="1">
      <x v="574"/>
    </i>
    <i r="1">
      <x v="578"/>
    </i>
    <i r="1">
      <x v="580"/>
    </i>
    <i r="1">
      <x v="587"/>
    </i>
    <i r="1">
      <x v="588"/>
    </i>
    <i r="1">
      <x v="603"/>
    </i>
    <i r="1">
      <x v="605"/>
    </i>
    <i r="1">
      <x v="635"/>
    </i>
    <i r="1">
      <x v="648"/>
    </i>
    <i r="1">
      <x v="649"/>
    </i>
    <i r="1">
      <x v="664"/>
    </i>
    <i r="1">
      <x v="666"/>
    </i>
    <i r="1">
      <x v="667"/>
    </i>
    <i r="1">
      <x v="668"/>
    </i>
    <i r="1">
      <x v="669"/>
    </i>
    <i r="1">
      <x v="671"/>
    </i>
    <i r="1">
      <x v="677"/>
    </i>
    <i r="1">
      <x v="678"/>
    </i>
    <i r="1">
      <x v="687"/>
    </i>
    <i r="1">
      <x v="691"/>
    </i>
    <i r="1">
      <x v="693"/>
    </i>
    <i r="1">
      <x v="694"/>
    </i>
    <i r="1">
      <x v="700"/>
    </i>
    <i r="1">
      <x v="706"/>
    </i>
    <i r="1">
      <x v="708"/>
    </i>
    <i r="1">
      <x v="709"/>
    </i>
    <i r="1">
      <x v="711"/>
    </i>
    <i r="1">
      <x v="722"/>
    </i>
    <i r="1">
      <x v="723"/>
    </i>
    <i r="1">
      <x v="726"/>
    </i>
    <i r="1">
      <x v="730"/>
    </i>
    <i r="1">
      <x v="732"/>
    </i>
    <i r="1">
      <x v="733"/>
    </i>
    <i r="1">
      <x v="748"/>
    </i>
    <i r="1">
      <x v="752"/>
    </i>
    <i r="1">
      <x v="780"/>
    </i>
    <i r="1">
      <x v="788"/>
    </i>
    <i r="1">
      <x v="812"/>
    </i>
    <i r="1">
      <x v="845"/>
    </i>
    <i r="1">
      <x v="851"/>
    </i>
    <i r="1">
      <x v="852"/>
    </i>
    <i r="1">
      <x v="864"/>
    </i>
    <i r="1">
      <x v="868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92"/>
    </i>
    <i r="1">
      <x v="894"/>
    </i>
    <i r="1">
      <x v="904"/>
    </i>
    <i r="1">
      <x v="905"/>
    </i>
    <i r="1">
      <x v="907"/>
    </i>
    <i r="1">
      <x v="908"/>
    </i>
    <i r="1">
      <x v="910"/>
    </i>
    <i r="1">
      <x v="918"/>
    </i>
    <i r="1">
      <x v="920"/>
    </i>
    <i r="1">
      <x v="921"/>
    </i>
    <i r="1">
      <x v="922"/>
    </i>
    <i r="1">
      <x v="928"/>
    </i>
    <i r="1">
      <x v="944"/>
    </i>
    <i r="1">
      <x v="968"/>
    </i>
    <i r="1">
      <x v="971"/>
    </i>
    <i r="1">
      <x v="974"/>
    </i>
    <i r="1">
      <x v="1058"/>
    </i>
    <i r="1">
      <x v="1066"/>
    </i>
    <i r="1">
      <x v="1236"/>
    </i>
    <i r="1">
      <x v="1256"/>
    </i>
    <i r="1">
      <x v="1262"/>
    </i>
    <i r="1">
      <x v="1292"/>
    </i>
    <i r="1">
      <x v="1300"/>
    </i>
    <i r="1">
      <x v="1301"/>
    </i>
    <i r="1">
      <x v="1302"/>
    </i>
    <i r="1">
      <x v="1303"/>
    </i>
    <i r="1">
      <x v="1304"/>
    </i>
    <i r="1">
      <x v="1305"/>
    </i>
    <i r="1">
      <x v="1306"/>
    </i>
    <i r="1">
      <x v="1307"/>
    </i>
    <i r="1">
      <x v="1309"/>
    </i>
    <i r="1">
      <x v="1311"/>
    </i>
    <i r="1">
      <x v="1314"/>
    </i>
    <i r="1">
      <x v="1357"/>
    </i>
    <i r="1">
      <x v="1378"/>
    </i>
    <i r="1">
      <x v="1400"/>
    </i>
    <i r="1">
      <x v="1440"/>
    </i>
    <i r="1">
      <x v="1538"/>
    </i>
    <i r="1">
      <x v="1543"/>
    </i>
    <i r="1">
      <x v="1603"/>
    </i>
    <i r="1">
      <x v="1611"/>
    </i>
    <i r="1">
      <x v="1612"/>
    </i>
    <i r="1">
      <x v="1635"/>
    </i>
    <i r="1">
      <x v="1637"/>
    </i>
    <i r="1">
      <x v="1639"/>
    </i>
    <i r="1">
      <x v="1647"/>
    </i>
    <i r="1">
      <x v="1694"/>
    </i>
    <i r="1">
      <x v="1745"/>
    </i>
    <i r="1">
      <x v="1959"/>
    </i>
    <i r="1">
      <x v="1960"/>
    </i>
    <i r="1">
      <x v="1979"/>
    </i>
    <i r="1">
      <x v="2033"/>
    </i>
    <i r="1">
      <x v="2034"/>
    </i>
    <i r="1">
      <x v="2036"/>
    </i>
    <i r="1">
      <x v="2056"/>
    </i>
    <i r="1">
      <x v="2160"/>
    </i>
    <i r="1">
      <x v="2355"/>
    </i>
    <i r="1">
      <x v="2356"/>
    </i>
    <i r="1">
      <x v="2409"/>
    </i>
    <i r="1">
      <x v="2417"/>
    </i>
    <i r="1">
      <x v="2419"/>
    </i>
    <i r="1">
      <x v="2420"/>
    </i>
    <i r="1">
      <x v="2435"/>
    </i>
    <i r="1">
      <x v="2518"/>
    </i>
    <i r="1">
      <x v="2695"/>
    </i>
    <i r="1">
      <x v="2770"/>
    </i>
    <i r="1">
      <x v="2771"/>
    </i>
    <i r="1">
      <x v="2778"/>
    </i>
    <i>
      <x v="36"/>
      <x v="40"/>
    </i>
    <i r="1">
      <x v="673"/>
    </i>
    <i r="1">
      <x v="690"/>
    </i>
    <i r="1">
      <x v="701"/>
    </i>
    <i r="1">
      <x v="702"/>
    </i>
    <i r="1">
      <x v="703"/>
    </i>
    <i r="1">
      <x v="704"/>
    </i>
    <i r="1">
      <x v="705"/>
    </i>
    <i r="1">
      <x v="764"/>
    </i>
    <i r="1">
      <x v="777"/>
    </i>
    <i r="1">
      <x v="802"/>
    </i>
    <i r="1">
      <x v="803"/>
    </i>
    <i r="1">
      <x v="825"/>
    </i>
    <i r="1">
      <x v="826"/>
    </i>
    <i r="1">
      <x v="827"/>
    </i>
    <i r="1">
      <x v="828"/>
    </i>
    <i r="1">
      <x v="829"/>
    </i>
    <i r="1">
      <x v="836"/>
    </i>
    <i r="1">
      <x v="839"/>
    </i>
    <i r="1">
      <x v="840"/>
    </i>
    <i r="1">
      <x v="841"/>
    </i>
    <i r="1">
      <x v="850"/>
    </i>
    <i r="1">
      <x v="875"/>
    </i>
    <i r="1">
      <x v="888"/>
    </i>
    <i r="1">
      <x v="891"/>
    </i>
    <i r="1">
      <x v="1054"/>
    </i>
    <i r="1">
      <x v="1055"/>
    </i>
    <i r="1">
      <x v="1056"/>
    </i>
    <i r="1">
      <x v="1057"/>
    </i>
    <i r="1">
      <x v="1242"/>
    </i>
    <i r="1">
      <x v="1251"/>
    </i>
    <i r="1">
      <x v="1269"/>
    </i>
    <i r="1">
      <x v="1271"/>
    </i>
    <i r="1">
      <x v="1308"/>
    </i>
    <i r="1">
      <x v="1315"/>
    </i>
    <i r="1">
      <x v="1316"/>
    </i>
    <i r="1">
      <x v="1317"/>
    </i>
    <i r="1">
      <x v="1318"/>
    </i>
    <i r="1">
      <x v="1319"/>
    </i>
    <i r="1">
      <x v="1320"/>
    </i>
    <i r="1">
      <x v="1321"/>
    </i>
    <i r="1">
      <x v="1322"/>
    </i>
    <i r="1">
      <x v="1323"/>
    </i>
    <i r="1">
      <x v="1325"/>
    </i>
    <i r="1">
      <x v="1326"/>
    </i>
    <i r="1">
      <x v="1327"/>
    </i>
    <i r="1">
      <x v="1328"/>
    </i>
    <i r="1">
      <x v="1329"/>
    </i>
    <i r="1">
      <x v="1330"/>
    </i>
    <i r="1">
      <x v="1331"/>
    </i>
    <i r="1">
      <x v="1332"/>
    </i>
    <i r="1">
      <x v="1333"/>
    </i>
    <i r="1">
      <x v="1334"/>
    </i>
    <i r="1">
      <x v="1335"/>
    </i>
    <i r="1">
      <x v="1336"/>
    </i>
    <i r="1">
      <x v="1337"/>
    </i>
    <i r="1">
      <x v="1338"/>
    </i>
    <i r="1">
      <x v="1339"/>
    </i>
    <i r="1">
      <x v="1340"/>
    </i>
    <i r="1">
      <x v="1341"/>
    </i>
    <i r="1">
      <x v="1342"/>
    </i>
    <i r="1">
      <x v="1343"/>
    </i>
    <i r="1">
      <x v="1344"/>
    </i>
    <i r="1">
      <x v="1345"/>
    </i>
    <i r="1">
      <x v="1346"/>
    </i>
    <i r="1">
      <x v="1347"/>
    </i>
    <i r="1">
      <x v="1348"/>
    </i>
    <i r="1">
      <x v="1349"/>
    </i>
    <i r="1">
      <x v="1350"/>
    </i>
    <i r="1">
      <x v="1351"/>
    </i>
    <i r="1">
      <x v="1490"/>
    </i>
    <i r="1">
      <x v="1491"/>
    </i>
    <i r="1">
      <x v="1532"/>
    </i>
    <i r="1">
      <x v="1670"/>
    </i>
    <i r="1">
      <x v="1715"/>
    </i>
    <i r="1">
      <x v="1716"/>
    </i>
    <i r="1">
      <x v="1717"/>
    </i>
    <i r="1">
      <x v="1837"/>
    </i>
    <i r="1">
      <x v="2003"/>
    </i>
    <i r="1">
      <x v="2051"/>
    </i>
    <i r="1">
      <x v="2384"/>
    </i>
    <i r="1">
      <x v="2386"/>
    </i>
    <i r="1">
      <x v="2387"/>
    </i>
    <i r="1">
      <x v="2388"/>
    </i>
    <i>
      <x v="37"/>
      <x v="106"/>
    </i>
    <i r="1">
      <x v="587"/>
    </i>
    <i r="1">
      <x v="603"/>
    </i>
    <i r="1">
      <x v="612"/>
    </i>
    <i r="1">
      <x v="635"/>
    </i>
    <i r="1">
      <x v="657"/>
    </i>
    <i r="1">
      <x v="695"/>
    </i>
    <i r="1">
      <x v="698"/>
    </i>
    <i r="1">
      <x v="704"/>
    </i>
    <i r="1">
      <x v="707"/>
    </i>
    <i r="1">
      <x v="734"/>
    </i>
    <i r="1">
      <x v="741"/>
    </i>
    <i r="1">
      <x v="761"/>
    </i>
    <i r="1">
      <x v="764"/>
    </i>
    <i r="1">
      <x v="766"/>
    </i>
    <i r="1">
      <x v="775"/>
    </i>
    <i r="1">
      <x v="783"/>
    </i>
    <i r="1">
      <x v="802"/>
    </i>
    <i r="1">
      <x v="803"/>
    </i>
    <i r="1">
      <x v="809"/>
    </i>
    <i r="1">
      <x v="812"/>
    </i>
    <i r="1">
      <x v="819"/>
    </i>
    <i r="1">
      <x v="825"/>
    </i>
    <i r="1">
      <x v="828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7"/>
    </i>
    <i r="1">
      <x v="848"/>
    </i>
    <i r="1">
      <x v="849"/>
    </i>
    <i r="1">
      <x v="854"/>
    </i>
    <i r="1">
      <x v="858"/>
    </i>
    <i r="1">
      <x v="860"/>
    </i>
    <i r="1">
      <x v="911"/>
    </i>
    <i r="1">
      <x v="919"/>
    </i>
    <i r="1">
      <x v="980"/>
    </i>
    <i r="1">
      <x v="1388"/>
    </i>
    <i r="1">
      <x v="1393"/>
    </i>
    <i r="1">
      <x v="1394"/>
    </i>
    <i r="1">
      <x v="1399"/>
    </i>
    <i r="1">
      <x v="1417"/>
    </i>
    <i r="1">
      <x v="1427"/>
    </i>
    <i r="1">
      <x v="1430"/>
    </i>
    <i r="1">
      <x v="1492"/>
    </i>
    <i r="1">
      <x v="1721"/>
    </i>
    <i r="1">
      <x v="1945"/>
    </i>
    <i r="1">
      <x v="1946"/>
    </i>
    <i r="1">
      <x v="2741"/>
    </i>
    <i r="1">
      <x v="2743"/>
    </i>
    <i r="1">
      <x v="2744"/>
    </i>
    <i r="1">
      <x v="2761"/>
    </i>
    <i r="1">
      <x v="2762"/>
    </i>
    <i>
      <x v="38"/>
      <x v="578"/>
    </i>
    <i r="1">
      <x v="721"/>
    </i>
    <i r="1">
      <x v="775"/>
    </i>
    <i r="1">
      <x v="776"/>
    </i>
    <i r="1">
      <x v="787"/>
    </i>
    <i r="1">
      <x v="788"/>
    </i>
    <i>
      <x v="39"/>
      <x v="1333"/>
    </i>
    <i>
      <x v="40"/>
      <x v="1358"/>
    </i>
    <i>
      <x v="41"/>
      <x v="681"/>
    </i>
  </rowItems>
  <colItems count="1">
    <i/>
  </colItems>
  <dataFields count="1">
    <dataField name="Spend" fld="1" baseField="0" baseItem="0" numFmtId="164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AB394-9F23-9846-BE04-308AD31A7AED}" name="PivotTable6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3:C7" firstHeaderRow="0" firstDataRow="1" firstDataCol="1"/>
  <pivotFields count="8">
    <pivotField dataField="1" showAll="0"/>
    <pivotField dataField="1" numFmtId="164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pend" fld="1" baseField="0" baseItem="0" numFmtId="164"/>
    <dataField name="Contract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</v>
    <v>8</v>
    <v>3392</v>
    <v>7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F8A209-9F5A-304B-BEA2-9B502A0BF9F3}" name="Contracts" displayName="Contracts" ref="A1:H11409" totalsRowShown="0" headerRowDxfId="0" tableBorderDxfId="1">
  <autoFilter ref="A1:H11409" xr:uid="{FBF8A209-9F5A-304B-BEA2-9B502A0BF9F3}"/>
  <tableColumns count="8">
    <tableColumn id="1" xr3:uid="{BBC3E383-62F3-B343-BDA9-BDC838BA3F55}" name="Contract ID"/>
    <tableColumn id="2" xr3:uid="{DB6829E2-A422-0240-819D-629279845811}" name="Award Amount"/>
    <tableColumn id="3" xr3:uid="{2F6B6388-1AAB-A949-BC1D-BA5BCA1241A8}" name="Size">
      <calculatedColumnFormula>IF(B1&lt;10000,"1. Under $10K",IF(B1&lt;50000,"2. $10K-50K",IF(B1&lt;250000,"3. $50K-250K",IF(B1&lt;1000000,"4. $250K-1M","5. $1M+"))))</calculatedColumnFormula>
    </tableColumn>
    <tableColumn id="4" xr3:uid="{E822E567-265D-E04E-9794-91D21C50C039}" name="Vendor"/>
    <tableColumn id="5" xr3:uid="{276A7504-00DE-6144-9319-D50061E33925}" name="Department"/>
    <tableColumn id="6" xr3:uid="{D03FCC41-CCBE-5E4F-8567-E5D25B648B4D}" name="Contract Type"/>
    <tableColumn id="7" xr3:uid="{C7E3147E-2889-3746-8442-2B144A69F0E7}" name="Procurement Type"/>
    <tableColumn id="8" xr3:uid="{63689961-2EE1-8244-B9A9-A8821A5EEA2B}" name="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07DFAA-134C-7541-A098-AE38F80E1089}" name="Table1" displayName="Table1" ref="A1:F37" totalsRowShown="0">
  <autoFilter ref="A1:F37" xr:uid="{FC07DFAA-134C-7541-A098-AE38F80E1089}">
    <filterColumn colId="2">
      <customFilters>
        <customFilter operator="greaterThan" val="1000000"/>
      </customFilters>
    </filterColumn>
    <filterColumn colId="3">
      <customFilters>
        <customFilter operator="greaterThan" val="0"/>
      </customFilters>
    </filterColumn>
  </autoFilter>
  <sortState xmlns:xlrd2="http://schemas.microsoft.com/office/spreadsheetml/2017/richdata2" ref="A2:F37">
    <sortCondition descending="1" ref="D1:D37"/>
  </sortState>
  <tableColumns count="6">
    <tableColumn id="1" xr3:uid="{6211E838-A3C3-E740-A5FC-1CD0FBFFB74D}" name="Department"/>
    <tableColumn id="2" xr3:uid="{4CD36F17-4ECF-DC4D-8D6A-57FA7F7255A4}" name="Total Spend"/>
    <tableColumn id="3" xr3:uid="{E75ABAAC-C287-DA40-9801-254689394432}" name="Top Vendor Spend"/>
    <tableColumn id="4" xr3:uid="{608902BB-8007-8945-96BF-A4594E476CB9}" name="Top Vendor Share"/>
    <tableColumn id="5" xr3:uid="{0DE97FD9-5182-D843-B9F1-3D0D12BD1C3D}" name="Top Vendor"/>
    <tableColumn id="6" xr3:uid="{3549056A-9A7C-684E-8F3B-47365B2E2E71}" name="Vendo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681D-1FD2-0546-BD16-40B0BE4073A8}">
  <dimension ref="A1:H11409"/>
  <sheetViews>
    <sheetView tabSelected="1" workbookViewId="0">
      <selection activeCell="F28" sqref="F28"/>
    </sheetView>
  </sheetViews>
  <sheetFormatPr baseColWidth="10" defaultRowHeight="16" x14ac:dyDescent="0.2"/>
  <cols>
    <col min="1" max="1" width="13" customWidth="1"/>
    <col min="2" max="2" width="15.5" style="1" customWidth="1"/>
    <col min="3" max="3" width="11.83203125" style="1" customWidth="1"/>
    <col min="4" max="4" width="34.1640625" customWidth="1"/>
    <col min="5" max="5" width="52.83203125" customWidth="1"/>
    <col min="6" max="6" width="38" customWidth="1"/>
    <col min="7" max="7" width="20.83203125" customWidth="1"/>
    <col min="8" max="8" width="7.1640625" customWidth="1"/>
  </cols>
  <sheetData>
    <row r="1" spans="1:8" x14ac:dyDescent="0.2">
      <c r="A1" s="13" t="s">
        <v>0</v>
      </c>
      <c r="B1" s="14" t="s">
        <v>1</v>
      </c>
      <c r="C1" s="14" t="s">
        <v>632</v>
      </c>
      <c r="D1" s="15" t="s">
        <v>2</v>
      </c>
      <c r="E1" s="15" t="s">
        <v>3</v>
      </c>
      <c r="F1" s="15" t="s">
        <v>4</v>
      </c>
      <c r="G1" s="15" t="s">
        <v>5</v>
      </c>
      <c r="H1" s="16" t="s">
        <v>6</v>
      </c>
    </row>
    <row r="2" spans="1:8" x14ac:dyDescent="0.2">
      <c r="A2">
        <v>100099</v>
      </c>
      <c r="B2">
        <v>161603.5</v>
      </c>
      <c r="C2" t="str">
        <f t="shared" ref="C2:D66" si="0">IF(B1&lt;10000,"1. Under $10K",IF(B1&lt;50000,"2. $10K-50K",IF(B1&lt;250000,"3. $50K-250K",IF(B1&lt;1000000,"4. $250K-1M","5. $1M+"))))</f>
        <v>5. $1M+</v>
      </c>
      <c r="D2" t="s">
        <v>7</v>
      </c>
      <c r="E2" t="s">
        <v>8</v>
      </c>
      <c r="F2" t="s">
        <v>9</v>
      </c>
      <c r="G2" t="s">
        <v>10</v>
      </c>
      <c r="H2">
        <v>2023</v>
      </c>
    </row>
    <row r="3" spans="1:8" x14ac:dyDescent="0.2">
      <c r="A3">
        <v>100414</v>
      </c>
      <c r="B3">
        <v>139000</v>
      </c>
      <c r="C3" t="str">
        <f t="shared" si="0"/>
        <v>3. $50K-250K</v>
      </c>
      <c r="D3" t="s">
        <v>11</v>
      </c>
      <c r="E3" t="s">
        <v>8</v>
      </c>
      <c r="F3" t="s">
        <v>12</v>
      </c>
      <c r="G3" t="s">
        <v>10</v>
      </c>
      <c r="H3">
        <v>2024</v>
      </c>
    </row>
    <row r="4" spans="1:8" x14ac:dyDescent="0.2">
      <c r="A4">
        <v>100721</v>
      </c>
      <c r="B4">
        <v>900000</v>
      </c>
      <c r="C4" t="str">
        <f t="shared" si="0"/>
        <v>3. $50K-250K</v>
      </c>
      <c r="D4" t="s">
        <v>13</v>
      </c>
      <c r="E4" t="s">
        <v>8</v>
      </c>
      <c r="F4" t="s">
        <v>14</v>
      </c>
      <c r="G4" t="s">
        <v>15</v>
      </c>
      <c r="H4">
        <v>2025</v>
      </c>
    </row>
    <row r="5" spans="1:8" x14ac:dyDescent="0.2">
      <c r="A5">
        <v>100763</v>
      </c>
      <c r="B5">
        <v>681592</v>
      </c>
      <c r="C5" t="str">
        <f t="shared" si="0"/>
        <v>4. $250K-1M</v>
      </c>
      <c r="D5" t="s">
        <v>663</v>
      </c>
      <c r="E5" t="s">
        <v>59</v>
      </c>
      <c r="F5" t="s">
        <v>664</v>
      </c>
      <c r="G5" t="s">
        <v>59</v>
      </c>
      <c r="H5">
        <v>2023</v>
      </c>
    </row>
    <row r="6" spans="1:8" x14ac:dyDescent="0.2">
      <c r="A6">
        <v>100764</v>
      </c>
      <c r="B6">
        <v>601293.5</v>
      </c>
      <c r="C6" t="str">
        <f t="shared" si="0"/>
        <v>4. $250K-1M</v>
      </c>
      <c r="D6" t="s">
        <v>665</v>
      </c>
      <c r="E6" t="s">
        <v>59</v>
      </c>
      <c r="F6" t="s">
        <v>664</v>
      </c>
      <c r="G6" t="s">
        <v>59</v>
      </c>
      <c r="H6">
        <v>2023</v>
      </c>
    </row>
    <row r="7" spans="1:8" x14ac:dyDescent="0.2">
      <c r="A7">
        <v>100765</v>
      </c>
      <c r="B7">
        <v>4905.5999999999904</v>
      </c>
      <c r="C7" t="str">
        <f t="shared" si="0"/>
        <v>4. $250K-1M</v>
      </c>
      <c r="D7" t="s">
        <v>548</v>
      </c>
      <c r="E7" t="s">
        <v>59</v>
      </c>
      <c r="F7" t="s">
        <v>664</v>
      </c>
      <c r="G7" t="s">
        <v>59</v>
      </c>
      <c r="H7">
        <v>2023</v>
      </c>
    </row>
    <row r="8" spans="1:8" x14ac:dyDescent="0.2">
      <c r="A8">
        <v>100766</v>
      </c>
      <c r="B8">
        <v>225762.2</v>
      </c>
      <c r="C8" t="str">
        <f t="shared" si="0"/>
        <v>1. Under $10K</v>
      </c>
      <c r="D8" t="s">
        <v>548</v>
      </c>
      <c r="E8" t="s">
        <v>59</v>
      </c>
      <c r="F8" t="s">
        <v>664</v>
      </c>
      <c r="G8" t="s">
        <v>59</v>
      </c>
      <c r="H8">
        <v>2023</v>
      </c>
    </row>
    <row r="9" spans="1:8" x14ac:dyDescent="0.2">
      <c r="A9">
        <v>100771</v>
      </c>
      <c r="B9">
        <v>112147.3</v>
      </c>
      <c r="C9" t="str">
        <f t="shared" si="0"/>
        <v>3. $50K-250K</v>
      </c>
      <c r="D9" t="s">
        <v>666</v>
      </c>
      <c r="E9" t="s">
        <v>59</v>
      </c>
      <c r="F9" t="s">
        <v>664</v>
      </c>
      <c r="G9" t="s">
        <v>59</v>
      </c>
      <c r="H9">
        <v>2023</v>
      </c>
    </row>
    <row r="10" spans="1:8" x14ac:dyDescent="0.2">
      <c r="A10">
        <v>100786</v>
      </c>
      <c r="B10">
        <v>1350000</v>
      </c>
      <c r="C10" t="str">
        <f t="shared" si="0"/>
        <v>3. $50K-250K</v>
      </c>
      <c r="D10" t="s">
        <v>16</v>
      </c>
      <c r="E10" t="s">
        <v>8</v>
      </c>
      <c r="F10" t="s">
        <v>14</v>
      </c>
      <c r="G10" t="s">
        <v>15</v>
      </c>
      <c r="H10">
        <v>2023</v>
      </c>
    </row>
    <row r="11" spans="1:8" x14ac:dyDescent="0.2">
      <c r="A11">
        <v>10082</v>
      </c>
      <c r="B11">
        <v>2819282.5999999898</v>
      </c>
      <c r="C11" t="str">
        <f t="shared" si="0"/>
        <v>5. $1M+</v>
      </c>
      <c r="D11" t="s">
        <v>667</v>
      </c>
      <c r="E11" t="s">
        <v>99</v>
      </c>
      <c r="F11" t="s">
        <v>668</v>
      </c>
      <c r="G11" t="s">
        <v>59</v>
      </c>
      <c r="H11">
        <v>2023</v>
      </c>
    </row>
    <row r="12" spans="1:8" x14ac:dyDescent="0.2">
      <c r="A12">
        <v>101191</v>
      </c>
      <c r="B12">
        <v>68466826</v>
      </c>
      <c r="C12" t="str">
        <f t="shared" si="0"/>
        <v>5. $1M+</v>
      </c>
      <c r="D12" t="s">
        <v>17</v>
      </c>
      <c r="E12" t="s">
        <v>18</v>
      </c>
      <c r="F12" t="s">
        <v>19</v>
      </c>
      <c r="G12" t="s">
        <v>10</v>
      </c>
      <c r="H12">
        <v>2024</v>
      </c>
    </row>
    <row r="13" spans="1:8" x14ac:dyDescent="0.2">
      <c r="A13">
        <v>101219</v>
      </c>
      <c r="B13">
        <v>892475</v>
      </c>
      <c r="C13" t="str">
        <f t="shared" si="0"/>
        <v>5. $1M+</v>
      </c>
      <c r="D13" t="s">
        <v>20</v>
      </c>
      <c r="E13" t="s">
        <v>21</v>
      </c>
      <c r="F13" t="s">
        <v>22</v>
      </c>
      <c r="G13" t="s">
        <v>10</v>
      </c>
      <c r="H13">
        <v>2023</v>
      </c>
    </row>
    <row r="14" spans="1:8" x14ac:dyDescent="0.2">
      <c r="A14">
        <v>101220</v>
      </c>
      <c r="B14">
        <v>107835.9</v>
      </c>
      <c r="C14" t="str">
        <f t="shared" si="0"/>
        <v>4. $250K-1M</v>
      </c>
      <c r="D14" t="s">
        <v>23</v>
      </c>
      <c r="E14" t="s">
        <v>24</v>
      </c>
      <c r="F14" t="s">
        <v>25</v>
      </c>
      <c r="G14" t="s">
        <v>10</v>
      </c>
      <c r="H14">
        <v>2023</v>
      </c>
    </row>
    <row r="15" spans="1:8" x14ac:dyDescent="0.2">
      <c r="A15">
        <v>101223</v>
      </c>
      <c r="B15">
        <v>10392.4</v>
      </c>
      <c r="C15" t="str">
        <f t="shared" si="0"/>
        <v>3. $50K-250K</v>
      </c>
      <c r="D15" t="s">
        <v>26</v>
      </c>
      <c r="E15" t="s">
        <v>24</v>
      </c>
      <c r="F15" t="s">
        <v>25</v>
      </c>
      <c r="G15" t="s">
        <v>10</v>
      </c>
      <c r="H15">
        <v>2024</v>
      </c>
    </row>
    <row r="16" spans="1:8" x14ac:dyDescent="0.2">
      <c r="A16">
        <v>101451</v>
      </c>
      <c r="B16">
        <v>120000000</v>
      </c>
      <c r="C16" t="str">
        <f t="shared" si="0"/>
        <v>2. $10K-50K</v>
      </c>
      <c r="D16" t="s">
        <v>27</v>
      </c>
      <c r="E16" t="s">
        <v>28</v>
      </c>
      <c r="F16" t="s">
        <v>29</v>
      </c>
      <c r="G16" t="s">
        <v>15</v>
      </c>
      <c r="H16">
        <v>2025</v>
      </c>
    </row>
    <row r="17" spans="1:8" x14ac:dyDescent="0.2">
      <c r="A17">
        <v>102379</v>
      </c>
      <c r="B17">
        <v>94950</v>
      </c>
      <c r="C17" t="str">
        <f t="shared" si="0"/>
        <v>5. $1M+</v>
      </c>
      <c r="D17" t="s">
        <v>30</v>
      </c>
      <c r="E17" t="s">
        <v>28</v>
      </c>
      <c r="F17" t="s">
        <v>31</v>
      </c>
      <c r="G17" t="s">
        <v>10</v>
      </c>
      <c r="H17">
        <v>2024</v>
      </c>
    </row>
    <row r="18" spans="1:8" x14ac:dyDescent="0.2">
      <c r="A18">
        <v>102390</v>
      </c>
      <c r="B18">
        <v>24626554.100000001</v>
      </c>
      <c r="C18" t="str">
        <f t="shared" si="0"/>
        <v>3. $50K-250K</v>
      </c>
      <c r="D18" t="s">
        <v>32</v>
      </c>
      <c r="E18" t="s">
        <v>28</v>
      </c>
      <c r="F18" t="s">
        <v>31</v>
      </c>
      <c r="G18" t="s">
        <v>10</v>
      </c>
      <c r="H18">
        <v>2023</v>
      </c>
    </row>
    <row r="19" spans="1:8" x14ac:dyDescent="0.2">
      <c r="A19">
        <v>102520</v>
      </c>
      <c r="B19">
        <v>25782317.600000001</v>
      </c>
      <c r="C19" t="str">
        <f t="shared" si="0"/>
        <v>5. $1M+</v>
      </c>
      <c r="D19" t="s">
        <v>32</v>
      </c>
      <c r="E19" t="s">
        <v>28</v>
      </c>
      <c r="F19" t="s">
        <v>31</v>
      </c>
      <c r="G19" t="s">
        <v>10</v>
      </c>
      <c r="H19">
        <v>2024</v>
      </c>
    </row>
    <row r="20" spans="1:8" x14ac:dyDescent="0.2">
      <c r="A20">
        <v>102620</v>
      </c>
      <c r="B20">
        <v>3092147.9</v>
      </c>
      <c r="C20" t="str">
        <f t="shared" si="0"/>
        <v>5. $1M+</v>
      </c>
      <c r="D20" t="s">
        <v>33</v>
      </c>
      <c r="E20" t="s">
        <v>28</v>
      </c>
      <c r="F20" t="s">
        <v>34</v>
      </c>
      <c r="G20" t="s">
        <v>10</v>
      </c>
      <c r="H20">
        <v>2024</v>
      </c>
    </row>
    <row r="21" spans="1:8" x14ac:dyDescent="0.2">
      <c r="A21">
        <v>102725</v>
      </c>
      <c r="B21">
        <v>24338234.300000001</v>
      </c>
      <c r="C21" t="str">
        <f t="shared" si="0"/>
        <v>5. $1M+</v>
      </c>
      <c r="D21" t="s">
        <v>35</v>
      </c>
      <c r="E21" t="s">
        <v>28</v>
      </c>
      <c r="F21" t="s">
        <v>31</v>
      </c>
      <c r="G21" t="s">
        <v>10</v>
      </c>
      <c r="H21">
        <v>2023</v>
      </c>
    </row>
    <row r="22" spans="1:8" x14ac:dyDescent="0.2">
      <c r="A22">
        <v>102767</v>
      </c>
      <c r="B22">
        <v>10636000</v>
      </c>
      <c r="C22" t="str">
        <f t="shared" si="0"/>
        <v>5. $1M+</v>
      </c>
      <c r="D22" t="s">
        <v>36</v>
      </c>
      <c r="E22" t="s">
        <v>37</v>
      </c>
      <c r="F22" t="s">
        <v>12</v>
      </c>
      <c r="G22" t="s">
        <v>10</v>
      </c>
      <c r="H22">
        <v>2023</v>
      </c>
    </row>
    <row r="23" spans="1:8" x14ac:dyDescent="0.2">
      <c r="A23">
        <v>102897</v>
      </c>
      <c r="B23">
        <v>1202413</v>
      </c>
      <c r="C23" t="str">
        <f t="shared" si="0"/>
        <v>5. $1M+</v>
      </c>
      <c r="D23" t="s">
        <v>669</v>
      </c>
      <c r="E23" t="s">
        <v>59</v>
      </c>
      <c r="F23" t="s">
        <v>670</v>
      </c>
      <c r="G23" t="s">
        <v>59</v>
      </c>
      <c r="H23">
        <v>2023</v>
      </c>
    </row>
    <row r="24" spans="1:8" x14ac:dyDescent="0.2">
      <c r="A24">
        <v>103651</v>
      </c>
      <c r="B24">
        <v>13951050</v>
      </c>
      <c r="C24" t="str">
        <f t="shared" si="0"/>
        <v>5. $1M+</v>
      </c>
      <c r="D24" t="s">
        <v>38</v>
      </c>
      <c r="E24" t="s">
        <v>24</v>
      </c>
      <c r="F24" t="s">
        <v>9</v>
      </c>
      <c r="G24" t="s">
        <v>10</v>
      </c>
      <c r="H24">
        <v>2024</v>
      </c>
    </row>
    <row r="25" spans="1:8" x14ac:dyDescent="0.2">
      <c r="A25">
        <v>103655</v>
      </c>
      <c r="B25">
        <v>11248650</v>
      </c>
      <c r="C25" t="str">
        <f t="shared" si="0"/>
        <v>5. $1M+</v>
      </c>
      <c r="D25" t="s">
        <v>39</v>
      </c>
      <c r="E25" t="s">
        <v>24</v>
      </c>
      <c r="F25" t="s">
        <v>9</v>
      </c>
      <c r="G25" t="s">
        <v>10</v>
      </c>
      <c r="H25">
        <v>2024</v>
      </c>
    </row>
    <row r="26" spans="1:8" x14ac:dyDescent="0.2">
      <c r="A26">
        <v>103814</v>
      </c>
      <c r="B26">
        <v>6812410</v>
      </c>
      <c r="C26" t="str">
        <f t="shared" si="0"/>
        <v>5. $1M+</v>
      </c>
      <c r="D26" t="s">
        <v>40</v>
      </c>
      <c r="E26" t="s">
        <v>18</v>
      </c>
      <c r="F26" t="s">
        <v>12</v>
      </c>
      <c r="G26" t="s">
        <v>10</v>
      </c>
      <c r="H26">
        <v>2024</v>
      </c>
    </row>
    <row r="27" spans="1:8" x14ac:dyDescent="0.2">
      <c r="A27">
        <v>104628</v>
      </c>
      <c r="B27">
        <v>385334</v>
      </c>
      <c r="C27" t="str">
        <f t="shared" si="0"/>
        <v>5. $1M+</v>
      </c>
      <c r="D27" t="s">
        <v>41</v>
      </c>
      <c r="E27" t="s">
        <v>42</v>
      </c>
      <c r="F27" t="s">
        <v>43</v>
      </c>
      <c r="G27" t="s">
        <v>44</v>
      </c>
      <c r="H27">
        <v>2024</v>
      </c>
    </row>
    <row r="28" spans="1:8" x14ac:dyDescent="0.2">
      <c r="A28">
        <v>105436</v>
      </c>
      <c r="B28">
        <v>800583</v>
      </c>
      <c r="C28" t="str">
        <f t="shared" si="0"/>
        <v>4. $250K-1M</v>
      </c>
      <c r="D28" t="s">
        <v>671</v>
      </c>
      <c r="E28" t="s">
        <v>42</v>
      </c>
      <c r="F28" t="s">
        <v>670</v>
      </c>
      <c r="G28" t="s">
        <v>44</v>
      </c>
      <c r="H28">
        <v>2023</v>
      </c>
    </row>
    <row r="29" spans="1:8" x14ac:dyDescent="0.2">
      <c r="A29">
        <v>105437</v>
      </c>
      <c r="B29">
        <v>1166982</v>
      </c>
      <c r="C29" t="str">
        <f t="shared" si="0"/>
        <v>4. $250K-1M</v>
      </c>
      <c r="D29" t="s">
        <v>391</v>
      </c>
      <c r="E29" t="s">
        <v>42</v>
      </c>
      <c r="F29" t="s">
        <v>670</v>
      </c>
      <c r="G29" t="s">
        <v>44</v>
      </c>
      <c r="H29">
        <v>2023</v>
      </c>
    </row>
    <row r="30" spans="1:8" x14ac:dyDescent="0.2">
      <c r="A30">
        <v>105438</v>
      </c>
      <c r="B30">
        <v>787500</v>
      </c>
      <c r="C30" t="str">
        <f t="shared" si="0"/>
        <v>5. $1M+</v>
      </c>
      <c r="D30" t="s">
        <v>672</v>
      </c>
      <c r="E30" t="s">
        <v>42</v>
      </c>
      <c r="F30" t="s">
        <v>670</v>
      </c>
      <c r="G30" t="s">
        <v>44</v>
      </c>
      <c r="H30">
        <v>2023</v>
      </c>
    </row>
    <row r="31" spans="1:8" x14ac:dyDescent="0.2">
      <c r="A31">
        <v>105441</v>
      </c>
      <c r="B31">
        <v>3205898</v>
      </c>
      <c r="C31" t="str">
        <f t="shared" si="0"/>
        <v>4. $250K-1M</v>
      </c>
      <c r="D31" t="s">
        <v>673</v>
      </c>
      <c r="E31" t="s">
        <v>42</v>
      </c>
      <c r="F31" t="s">
        <v>670</v>
      </c>
      <c r="G31" t="s">
        <v>44</v>
      </c>
      <c r="H31">
        <v>2023</v>
      </c>
    </row>
    <row r="32" spans="1:8" x14ac:dyDescent="0.2">
      <c r="A32">
        <v>105444</v>
      </c>
      <c r="B32">
        <v>2250000</v>
      </c>
      <c r="C32" t="str">
        <f t="shared" si="0"/>
        <v>5. $1M+</v>
      </c>
      <c r="D32" t="s">
        <v>674</v>
      </c>
      <c r="E32" t="s">
        <v>42</v>
      </c>
      <c r="F32" t="s">
        <v>670</v>
      </c>
      <c r="G32" t="s">
        <v>44</v>
      </c>
      <c r="H32">
        <v>2023</v>
      </c>
    </row>
    <row r="33" spans="1:8" x14ac:dyDescent="0.2">
      <c r="A33">
        <v>105714</v>
      </c>
      <c r="B33">
        <v>6500000</v>
      </c>
      <c r="C33" t="str">
        <f t="shared" si="0"/>
        <v>5. $1M+</v>
      </c>
      <c r="D33" t="s">
        <v>45</v>
      </c>
      <c r="E33" t="s">
        <v>18</v>
      </c>
      <c r="F33" t="s">
        <v>12</v>
      </c>
      <c r="G33" t="s">
        <v>44</v>
      </c>
      <c r="H33">
        <v>2023</v>
      </c>
    </row>
    <row r="34" spans="1:8" x14ac:dyDescent="0.2">
      <c r="A34">
        <v>105715</v>
      </c>
      <c r="B34">
        <v>12000000</v>
      </c>
      <c r="C34" t="str">
        <f t="shared" si="0"/>
        <v>5. $1M+</v>
      </c>
      <c r="D34" t="s">
        <v>46</v>
      </c>
      <c r="E34" t="s">
        <v>18</v>
      </c>
      <c r="F34" t="s">
        <v>12</v>
      </c>
      <c r="G34" t="s">
        <v>44</v>
      </c>
      <c r="H34">
        <v>2024</v>
      </c>
    </row>
    <row r="35" spans="1:8" x14ac:dyDescent="0.2">
      <c r="A35">
        <v>106360</v>
      </c>
      <c r="B35">
        <v>351294</v>
      </c>
      <c r="C35" t="str">
        <f t="shared" si="0"/>
        <v>5. $1M+</v>
      </c>
      <c r="D35" t="s">
        <v>33</v>
      </c>
      <c r="E35" t="s">
        <v>18</v>
      </c>
      <c r="F35" t="s">
        <v>22</v>
      </c>
      <c r="G35" t="s">
        <v>10</v>
      </c>
      <c r="H35">
        <v>2024</v>
      </c>
    </row>
    <row r="36" spans="1:8" x14ac:dyDescent="0.2">
      <c r="A36">
        <v>108299</v>
      </c>
      <c r="B36">
        <v>305154.09999999998</v>
      </c>
      <c r="C36" t="str">
        <f t="shared" si="0"/>
        <v>4. $250K-1M</v>
      </c>
      <c r="D36" t="s">
        <v>47</v>
      </c>
      <c r="E36" t="s">
        <v>28</v>
      </c>
      <c r="F36" t="s">
        <v>34</v>
      </c>
      <c r="G36" t="s">
        <v>10</v>
      </c>
      <c r="H36">
        <v>2025</v>
      </c>
    </row>
    <row r="37" spans="1:8" x14ac:dyDescent="0.2">
      <c r="A37">
        <v>108929</v>
      </c>
      <c r="B37">
        <v>15634408</v>
      </c>
      <c r="C37" t="str">
        <f t="shared" si="0"/>
        <v>4. $250K-1M</v>
      </c>
      <c r="D37" t="s">
        <v>675</v>
      </c>
      <c r="E37" t="s">
        <v>52</v>
      </c>
      <c r="F37" t="s">
        <v>668</v>
      </c>
      <c r="G37" t="s">
        <v>59</v>
      </c>
      <c r="H37">
        <v>2023</v>
      </c>
    </row>
    <row r="38" spans="1:8" x14ac:dyDescent="0.2">
      <c r="A38">
        <v>109597</v>
      </c>
      <c r="B38">
        <v>438333</v>
      </c>
      <c r="C38" t="str">
        <f t="shared" si="0"/>
        <v>5. $1M+</v>
      </c>
      <c r="D38" t="s">
        <v>669</v>
      </c>
      <c r="E38" t="s">
        <v>59</v>
      </c>
      <c r="F38" t="s">
        <v>670</v>
      </c>
      <c r="G38" t="s">
        <v>59</v>
      </c>
      <c r="H38">
        <v>2023</v>
      </c>
    </row>
    <row r="39" spans="1:8" x14ac:dyDescent="0.2">
      <c r="A39">
        <v>109609</v>
      </c>
      <c r="B39">
        <v>346425</v>
      </c>
      <c r="C39" t="str">
        <f t="shared" si="0"/>
        <v>4. $250K-1M</v>
      </c>
      <c r="D39" t="s">
        <v>676</v>
      </c>
      <c r="E39" t="s">
        <v>42</v>
      </c>
      <c r="F39" t="s">
        <v>670</v>
      </c>
      <c r="G39" t="s">
        <v>44</v>
      </c>
      <c r="H39">
        <v>2023</v>
      </c>
    </row>
    <row r="40" spans="1:8" x14ac:dyDescent="0.2">
      <c r="A40">
        <v>109610</v>
      </c>
      <c r="B40">
        <v>313781</v>
      </c>
      <c r="C40" t="str">
        <f t="shared" si="0"/>
        <v>4. $250K-1M</v>
      </c>
      <c r="D40" t="s">
        <v>677</v>
      </c>
      <c r="E40" t="s">
        <v>42</v>
      </c>
      <c r="F40" t="s">
        <v>670</v>
      </c>
      <c r="G40" t="s">
        <v>44</v>
      </c>
      <c r="H40">
        <v>2023</v>
      </c>
    </row>
    <row r="41" spans="1:8" x14ac:dyDescent="0.2">
      <c r="A41">
        <v>110168</v>
      </c>
      <c r="B41">
        <v>33011455.199999999</v>
      </c>
      <c r="C41" t="str">
        <f t="shared" si="0"/>
        <v>4. $250K-1M</v>
      </c>
      <c r="D41" t="s">
        <v>48</v>
      </c>
      <c r="E41" t="s">
        <v>49</v>
      </c>
      <c r="F41" t="s">
        <v>12</v>
      </c>
      <c r="G41" t="s">
        <v>44</v>
      </c>
      <c r="H41">
        <v>2025</v>
      </c>
    </row>
    <row r="42" spans="1:8" x14ac:dyDescent="0.2">
      <c r="A42">
        <v>110179</v>
      </c>
      <c r="B42">
        <v>2886307</v>
      </c>
      <c r="C42" t="str">
        <f t="shared" si="0"/>
        <v>5. $1M+</v>
      </c>
      <c r="D42" t="s">
        <v>678</v>
      </c>
      <c r="E42" t="s">
        <v>28</v>
      </c>
      <c r="F42" t="s">
        <v>668</v>
      </c>
      <c r="G42" t="s">
        <v>59</v>
      </c>
      <c r="H42">
        <v>2024</v>
      </c>
    </row>
    <row r="43" spans="1:8" x14ac:dyDescent="0.2">
      <c r="A43">
        <v>110194</v>
      </c>
      <c r="B43">
        <v>245000</v>
      </c>
      <c r="C43" t="str">
        <f t="shared" si="0"/>
        <v>5. $1M+</v>
      </c>
      <c r="D43" t="s">
        <v>39</v>
      </c>
      <c r="E43" t="s">
        <v>8</v>
      </c>
      <c r="F43" t="s">
        <v>9</v>
      </c>
      <c r="G43" t="s">
        <v>10</v>
      </c>
      <c r="H43">
        <v>2023</v>
      </c>
    </row>
    <row r="44" spans="1:8" x14ac:dyDescent="0.2">
      <c r="A44">
        <v>110208</v>
      </c>
      <c r="B44">
        <v>66680</v>
      </c>
      <c r="C44" t="str">
        <f t="shared" si="0"/>
        <v>3. $50K-250K</v>
      </c>
      <c r="D44" t="s">
        <v>679</v>
      </c>
      <c r="E44" t="s">
        <v>42</v>
      </c>
      <c r="F44" t="s">
        <v>670</v>
      </c>
      <c r="G44" t="s">
        <v>44</v>
      </c>
      <c r="H44">
        <v>2024</v>
      </c>
    </row>
    <row r="45" spans="1:8" x14ac:dyDescent="0.2">
      <c r="A45">
        <v>110209</v>
      </c>
      <c r="B45">
        <v>66680</v>
      </c>
      <c r="C45" t="str">
        <f t="shared" si="0"/>
        <v>3. $50K-250K</v>
      </c>
      <c r="D45" t="s">
        <v>674</v>
      </c>
      <c r="E45" t="s">
        <v>42</v>
      </c>
      <c r="F45" t="s">
        <v>670</v>
      </c>
      <c r="G45" t="s">
        <v>44</v>
      </c>
      <c r="H45">
        <v>2024</v>
      </c>
    </row>
    <row r="46" spans="1:8" x14ac:dyDescent="0.2">
      <c r="A46">
        <v>110210</v>
      </c>
      <c r="B46">
        <v>49960</v>
      </c>
      <c r="C46" t="str">
        <f t="shared" si="0"/>
        <v>3. $50K-250K</v>
      </c>
      <c r="D46" t="s">
        <v>680</v>
      </c>
      <c r="E46" t="s">
        <v>42</v>
      </c>
      <c r="F46" t="s">
        <v>670</v>
      </c>
      <c r="G46" t="s">
        <v>44</v>
      </c>
      <c r="H46">
        <v>2024</v>
      </c>
    </row>
    <row r="47" spans="1:8" x14ac:dyDescent="0.2">
      <c r="A47">
        <v>110211</v>
      </c>
      <c r="B47">
        <v>119583</v>
      </c>
      <c r="C47" t="str">
        <f t="shared" si="0"/>
        <v>2. $10K-50K</v>
      </c>
      <c r="D47" t="s">
        <v>671</v>
      </c>
      <c r="E47" t="s">
        <v>42</v>
      </c>
      <c r="F47" t="s">
        <v>670</v>
      </c>
      <c r="G47" t="s">
        <v>44</v>
      </c>
      <c r="H47">
        <v>2023</v>
      </c>
    </row>
    <row r="48" spans="1:8" x14ac:dyDescent="0.2">
      <c r="A48">
        <v>110215</v>
      </c>
      <c r="B48">
        <v>13174293</v>
      </c>
      <c r="C48" t="str">
        <f t="shared" si="0"/>
        <v>3. $50K-250K</v>
      </c>
      <c r="D48" t="s">
        <v>681</v>
      </c>
      <c r="E48" t="s">
        <v>42</v>
      </c>
      <c r="F48" t="s">
        <v>670</v>
      </c>
      <c r="G48" t="s">
        <v>44</v>
      </c>
      <c r="H48">
        <v>2023</v>
      </c>
    </row>
    <row r="49" spans="1:8" x14ac:dyDescent="0.2">
      <c r="A49">
        <v>110216</v>
      </c>
      <c r="B49">
        <v>155104</v>
      </c>
      <c r="C49" t="str">
        <f t="shared" si="0"/>
        <v>5. $1M+</v>
      </c>
      <c r="D49" t="s">
        <v>682</v>
      </c>
      <c r="E49" t="s">
        <v>42</v>
      </c>
      <c r="F49" t="s">
        <v>670</v>
      </c>
      <c r="G49" t="s">
        <v>44</v>
      </c>
      <c r="H49">
        <v>2023</v>
      </c>
    </row>
    <row r="50" spans="1:8" x14ac:dyDescent="0.2">
      <c r="A50">
        <v>110218</v>
      </c>
      <c r="B50">
        <v>19620</v>
      </c>
      <c r="C50" t="str">
        <f t="shared" si="0"/>
        <v>3. $50K-250K</v>
      </c>
      <c r="D50" t="s">
        <v>683</v>
      </c>
      <c r="E50" t="s">
        <v>42</v>
      </c>
      <c r="F50" t="s">
        <v>670</v>
      </c>
      <c r="G50" t="s">
        <v>44</v>
      </c>
      <c r="H50">
        <v>2024</v>
      </c>
    </row>
    <row r="51" spans="1:8" x14ac:dyDescent="0.2">
      <c r="A51">
        <v>110219</v>
      </c>
      <c r="B51">
        <v>15742</v>
      </c>
      <c r="C51" t="str">
        <f t="shared" si="0"/>
        <v>2. $10K-50K</v>
      </c>
      <c r="D51" t="s">
        <v>684</v>
      </c>
      <c r="E51" t="s">
        <v>42</v>
      </c>
      <c r="F51" t="s">
        <v>670</v>
      </c>
      <c r="G51" t="s">
        <v>44</v>
      </c>
      <c r="H51">
        <v>2023</v>
      </c>
    </row>
    <row r="52" spans="1:8" x14ac:dyDescent="0.2">
      <c r="A52">
        <v>110220</v>
      </c>
      <c r="B52">
        <v>39234</v>
      </c>
      <c r="C52" t="str">
        <f t="shared" si="0"/>
        <v>2. $10K-50K</v>
      </c>
      <c r="D52" t="s">
        <v>685</v>
      </c>
      <c r="E52" t="s">
        <v>42</v>
      </c>
      <c r="F52" t="s">
        <v>670</v>
      </c>
      <c r="G52" t="s">
        <v>44</v>
      </c>
      <c r="H52">
        <v>2023</v>
      </c>
    </row>
    <row r="53" spans="1:8" x14ac:dyDescent="0.2">
      <c r="A53">
        <v>110221</v>
      </c>
      <c r="B53">
        <v>25222</v>
      </c>
      <c r="C53" t="str">
        <f t="shared" si="0"/>
        <v>2. $10K-50K</v>
      </c>
      <c r="D53" t="s">
        <v>686</v>
      </c>
      <c r="E53" t="s">
        <v>42</v>
      </c>
      <c r="F53" t="s">
        <v>670</v>
      </c>
      <c r="G53" t="s">
        <v>44</v>
      </c>
      <c r="H53">
        <v>2023</v>
      </c>
    </row>
    <row r="54" spans="1:8" x14ac:dyDescent="0.2">
      <c r="A54">
        <v>110223</v>
      </c>
      <c r="B54">
        <v>84072</v>
      </c>
      <c r="C54" t="str">
        <f t="shared" si="0"/>
        <v>2. $10K-50K</v>
      </c>
      <c r="D54" t="s">
        <v>391</v>
      </c>
      <c r="E54" t="s">
        <v>42</v>
      </c>
      <c r="F54" t="s">
        <v>670</v>
      </c>
      <c r="G54" t="s">
        <v>44</v>
      </c>
      <c r="H54">
        <v>2023</v>
      </c>
    </row>
    <row r="55" spans="1:8" x14ac:dyDescent="0.2">
      <c r="A55">
        <v>110224</v>
      </c>
      <c r="B55">
        <v>81270</v>
      </c>
      <c r="C55" t="str">
        <f t="shared" si="0"/>
        <v>3. $50K-250K</v>
      </c>
      <c r="D55" t="s">
        <v>673</v>
      </c>
      <c r="E55" t="s">
        <v>42</v>
      </c>
      <c r="F55" t="s">
        <v>670</v>
      </c>
      <c r="G55" t="s">
        <v>44</v>
      </c>
      <c r="H55">
        <v>2023</v>
      </c>
    </row>
    <row r="56" spans="1:8" x14ac:dyDescent="0.2">
      <c r="A56">
        <v>110225</v>
      </c>
      <c r="B56">
        <v>578565</v>
      </c>
      <c r="C56" t="str">
        <f t="shared" si="0"/>
        <v>3. $50K-250K</v>
      </c>
      <c r="D56" t="s">
        <v>687</v>
      </c>
      <c r="E56" t="s">
        <v>42</v>
      </c>
      <c r="F56" t="s">
        <v>670</v>
      </c>
      <c r="G56" t="s">
        <v>44</v>
      </c>
      <c r="H56">
        <v>2023</v>
      </c>
    </row>
    <row r="57" spans="1:8" x14ac:dyDescent="0.2">
      <c r="A57">
        <v>110226</v>
      </c>
      <c r="B57">
        <v>28024</v>
      </c>
      <c r="C57" t="str">
        <f t="shared" si="0"/>
        <v>4. $250K-1M</v>
      </c>
      <c r="D57" t="s">
        <v>688</v>
      </c>
      <c r="E57" t="s">
        <v>42</v>
      </c>
      <c r="F57" t="s">
        <v>670</v>
      </c>
      <c r="G57" t="s">
        <v>44</v>
      </c>
      <c r="H57">
        <v>2023</v>
      </c>
    </row>
    <row r="58" spans="1:8" x14ac:dyDescent="0.2">
      <c r="A58">
        <v>110227</v>
      </c>
      <c r="B58">
        <v>495638</v>
      </c>
      <c r="C58" t="str">
        <f t="shared" si="0"/>
        <v>2. $10K-50K</v>
      </c>
      <c r="D58" t="s">
        <v>689</v>
      </c>
      <c r="E58" t="s">
        <v>42</v>
      </c>
      <c r="F58" t="s">
        <v>670</v>
      </c>
      <c r="G58" t="s">
        <v>44</v>
      </c>
      <c r="H58">
        <v>2023</v>
      </c>
    </row>
    <row r="59" spans="1:8" x14ac:dyDescent="0.2">
      <c r="A59">
        <v>110228</v>
      </c>
      <c r="B59">
        <v>1264228</v>
      </c>
      <c r="C59" t="str">
        <f t="shared" si="0"/>
        <v>4. $250K-1M</v>
      </c>
      <c r="D59" t="s">
        <v>690</v>
      </c>
      <c r="E59" t="s">
        <v>42</v>
      </c>
      <c r="F59" t="s">
        <v>670</v>
      </c>
      <c r="G59" t="s">
        <v>44</v>
      </c>
      <c r="H59">
        <v>2024</v>
      </c>
    </row>
    <row r="60" spans="1:8" x14ac:dyDescent="0.2">
      <c r="A60">
        <v>110229</v>
      </c>
      <c r="B60">
        <v>728572</v>
      </c>
      <c r="C60" t="str">
        <f t="shared" si="0"/>
        <v>5. $1M+</v>
      </c>
      <c r="D60" t="s">
        <v>691</v>
      </c>
      <c r="E60" t="s">
        <v>42</v>
      </c>
      <c r="F60" t="s">
        <v>670</v>
      </c>
      <c r="G60" t="s">
        <v>44</v>
      </c>
      <c r="H60">
        <v>2023</v>
      </c>
    </row>
    <row r="61" spans="1:8" x14ac:dyDescent="0.2">
      <c r="A61">
        <v>110520</v>
      </c>
      <c r="B61">
        <v>439313</v>
      </c>
      <c r="C61" t="str">
        <f t="shared" si="0"/>
        <v>4. $250K-1M</v>
      </c>
      <c r="D61" t="s">
        <v>50</v>
      </c>
      <c r="E61" t="s">
        <v>8</v>
      </c>
      <c r="F61" t="s">
        <v>14</v>
      </c>
      <c r="G61" t="s">
        <v>15</v>
      </c>
      <c r="H61">
        <v>2024</v>
      </c>
    </row>
    <row r="62" spans="1:8" x14ac:dyDescent="0.2">
      <c r="A62">
        <v>110664</v>
      </c>
      <c r="B62">
        <v>1480000</v>
      </c>
      <c r="C62" t="str">
        <f t="shared" si="0"/>
        <v>4. $250K-1M</v>
      </c>
      <c r="D62" t="s">
        <v>51</v>
      </c>
      <c r="E62" t="s">
        <v>52</v>
      </c>
      <c r="F62" t="s">
        <v>43</v>
      </c>
      <c r="G62" t="s">
        <v>44</v>
      </c>
      <c r="H62">
        <v>2024</v>
      </c>
    </row>
    <row r="63" spans="1:8" x14ac:dyDescent="0.2">
      <c r="A63">
        <v>111215</v>
      </c>
      <c r="B63">
        <v>2250000</v>
      </c>
      <c r="C63" t="str">
        <f t="shared" si="0"/>
        <v>5. $1M+</v>
      </c>
      <c r="D63" t="s">
        <v>53</v>
      </c>
      <c r="E63" t="s">
        <v>54</v>
      </c>
      <c r="F63" t="s">
        <v>22</v>
      </c>
      <c r="G63" t="s">
        <v>10</v>
      </c>
      <c r="H63">
        <v>2024</v>
      </c>
    </row>
    <row r="64" spans="1:8" x14ac:dyDescent="0.2">
      <c r="A64">
        <v>111685</v>
      </c>
      <c r="B64">
        <v>43000000</v>
      </c>
      <c r="C64" t="str">
        <f t="shared" si="0"/>
        <v>5. $1M+</v>
      </c>
      <c r="D64" t="s">
        <v>55</v>
      </c>
      <c r="E64" t="s">
        <v>28</v>
      </c>
      <c r="F64" t="s">
        <v>29</v>
      </c>
      <c r="G64" t="s">
        <v>44</v>
      </c>
      <c r="H64">
        <v>2025</v>
      </c>
    </row>
    <row r="65" spans="1:8" x14ac:dyDescent="0.2">
      <c r="A65">
        <v>112468</v>
      </c>
      <c r="B65">
        <v>281000</v>
      </c>
      <c r="C65" t="str">
        <f t="shared" si="0"/>
        <v>5. $1M+</v>
      </c>
      <c r="D65" t="s">
        <v>56</v>
      </c>
      <c r="E65" t="s">
        <v>28</v>
      </c>
      <c r="F65" t="s">
        <v>29</v>
      </c>
      <c r="G65" t="s">
        <v>44</v>
      </c>
      <c r="H65">
        <v>2023</v>
      </c>
    </row>
    <row r="66" spans="1:8" x14ac:dyDescent="0.2">
      <c r="A66">
        <v>112474</v>
      </c>
      <c r="B66">
        <v>500000</v>
      </c>
      <c r="C66" t="str">
        <f t="shared" si="0"/>
        <v>4. $250K-1M</v>
      </c>
      <c r="D66" t="s">
        <v>57</v>
      </c>
      <c r="E66" t="s">
        <v>28</v>
      </c>
      <c r="F66" t="s">
        <v>31</v>
      </c>
      <c r="G66" t="s">
        <v>10</v>
      </c>
      <c r="H66">
        <v>2025</v>
      </c>
    </row>
    <row r="67" spans="1:8" x14ac:dyDescent="0.2">
      <c r="A67">
        <v>112501</v>
      </c>
      <c r="B67">
        <v>1000000</v>
      </c>
      <c r="C67" t="str">
        <f t="shared" ref="C67:C130" si="1">IF(B66&lt;10000,"1. Under $10K",IF(B66&lt;50000,"2. $10K-50K",IF(B66&lt;250000,"3. $50K-250K",IF(B66&lt;1000000,"4. $250K-1M","5. $1M+"))))</f>
        <v>4. $250K-1M</v>
      </c>
      <c r="D67" t="s">
        <v>58</v>
      </c>
      <c r="E67" t="s">
        <v>28</v>
      </c>
      <c r="F67" t="s">
        <v>31</v>
      </c>
      <c r="G67" t="s">
        <v>59</v>
      </c>
      <c r="H67">
        <v>2025</v>
      </c>
    </row>
    <row r="68" spans="1:8" x14ac:dyDescent="0.2">
      <c r="A68">
        <v>113765</v>
      </c>
      <c r="B68">
        <v>868496</v>
      </c>
      <c r="C68" t="str">
        <f t="shared" si="1"/>
        <v>5. $1M+</v>
      </c>
      <c r="D68" t="s">
        <v>692</v>
      </c>
      <c r="E68" t="s">
        <v>237</v>
      </c>
      <c r="F68" t="s">
        <v>670</v>
      </c>
      <c r="G68" t="s">
        <v>59</v>
      </c>
      <c r="H68">
        <v>2023</v>
      </c>
    </row>
    <row r="69" spans="1:8" x14ac:dyDescent="0.2">
      <c r="A69">
        <v>113791</v>
      </c>
      <c r="B69">
        <v>18749163</v>
      </c>
      <c r="C69" t="str">
        <f t="shared" si="1"/>
        <v>4. $250K-1M</v>
      </c>
      <c r="D69" t="s">
        <v>692</v>
      </c>
      <c r="E69" t="s">
        <v>237</v>
      </c>
      <c r="F69" t="s">
        <v>670</v>
      </c>
      <c r="G69" t="s">
        <v>59</v>
      </c>
      <c r="H69">
        <v>2024</v>
      </c>
    </row>
    <row r="70" spans="1:8" x14ac:dyDescent="0.2">
      <c r="A70">
        <v>113793</v>
      </c>
      <c r="B70">
        <v>6913140</v>
      </c>
      <c r="C70" t="str">
        <f t="shared" si="1"/>
        <v>5. $1M+</v>
      </c>
      <c r="D70" t="s">
        <v>693</v>
      </c>
      <c r="E70" t="s">
        <v>237</v>
      </c>
      <c r="F70" t="s">
        <v>670</v>
      </c>
      <c r="G70" t="s">
        <v>59</v>
      </c>
      <c r="H70">
        <v>2023</v>
      </c>
    </row>
    <row r="71" spans="1:8" x14ac:dyDescent="0.2">
      <c r="A71">
        <v>113795</v>
      </c>
      <c r="B71">
        <v>6549375</v>
      </c>
      <c r="C71" t="str">
        <f t="shared" si="1"/>
        <v>5. $1M+</v>
      </c>
      <c r="D71" t="s">
        <v>41</v>
      </c>
      <c r="E71" t="s">
        <v>237</v>
      </c>
      <c r="F71" t="s">
        <v>670</v>
      </c>
      <c r="G71" t="s">
        <v>59</v>
      </c>
      <c r="H71">
        <v>2024</v>
      </c>
    </row>
    <row r="72" spans="1:8" x14ac:dyDescent="0.2">
      <c r="A72">
        <v>113799</v>
      </c>
      <c r="B72">
        <v>9256845</v>
      </c>
      <c r="C72" t="str">
        <f t="shared" si="1"/>
        <v>5. $1M+</v>
      </c>
      <c r="D72" t="s">
        <v>694</v>
      </c>
      <c r="E72" t="s">
        <v>237</v>
      </c>
      <c r="F72" t="s">
        <v>670</v>
      </c>
      <c r="G72" t="s">
        <v>59</v>
      </c>
      <c r="H72">
        <v>2023</v>
      </c>
    </row>
    <row r="73" spans="1:8" x14ac:dyDescent="0.2">
      <c r="A73">
        <v>113800</v>
      </c>
      <c r="B73">
        <v>1542057</v>
      </c>
      <c r="C73" t="str">
        <f t="shared" si="1"/>
        <v>5. $1M+</v>
      </c>
      <c r="D73" t="s">
        <v>695</v>
      </c>
      <c r="E73" t="s">
        <v>237</v>
      </c>
      <c r="F73" t="s">
        <v>670</v>
      </c>
      <c r="G73" t="s">
        <v>59</v>
      </c>
      <c r="H73">
        <v>2024</v>
      </c>
    </row>
    <row r="74" spans="1:8" x14ac:dyDescent="0.2">
      <c r="A74">
        <v>113801</v>
      </c>
      <c r="B74">
        <v>5551401</v>
      </c>
      <c r="C74" t="str">
        <f t="shared" si="1"/>
        <v>5. $1M+</v>
      </c>
      <c r="D74" t="s">
        <v>696</v>
      </c>
      <c r="E74" t="s">
        <v>237</v>
      </c>
      <c r="F74" t="s">
        <v>670</v>
      </c>
      <c r="G74" t="s">
        <v>59</v>
      </c>
      <c r="H74">
        <v>2024</v>
      </c>
    </row>
    <row r="75" spans="1:8" x14ac:dyDescent="0.2">
      <c r="A75">
        <v>113802</v>
      </c>
      <c r="B75">
        <v>20561673</v>
      </c>
      <c r="C75" t="str">
        <f t="shared" si="1"/>
        <v>5. $1M+</v>
      </c>
      <c r="D75" t="s">
        <v>697</v>
      </c>
      <c r="E75" t="s">
        <v>237</v>
      </c>
      <c r="F75" t="s">
        <v>670</v>
      </c>
      <c r="G75" t="s">
        <v>59</v>
      </c>
      <c r="H75">
        <v>2023</v>
      </c>
    </row>
    <row r="76" spans="1:8" x14ac:dyDescent="0.2">
      <c r="A76">
        <v>113804</v>
      </c>
      <c r="B76">
        <v>10672509</v>
      </c>
      <c r="C76" t="str">
        <f t="shared" si="1"/>
        <v>5. $1M+</v>
      </c>
      <c r="D76" t="s">
        <v>698</v>
      </c>
      <c r="E76" t="s">
        <v>237</v>
      </c>
      <c r="F76" t="s">
        <v>670</v>
      </c>
      <c r="G76" t="s">
        <v>59</v>
      </c>
      <c r="H76">
        <v>2023</v>
      </c>
    </row>
    <row r="77" spans="1:8" x14ac:dyDescent="0.2">
      <c r="A77">
        <v>113806</v>
      </c>
      <c r="B77">
        <v>925233</v>
      </c>
      <c r="C77" t="str">
        <f t="shared" si="1"/>
        <v>5. $1M+</v>
      </c>
      <c r="D77" t="s">
        <v>699</v>
      </c>
      <c r="E77" t="s">
        <v>237</v>
      </c>
      <c r="F77" t="s">
        <v>670</v>
      </c>
      <c r="G77" t="s">
        <v>59</v>
      </c>
      <c r="H77">
        <v>2024</v>
      </c>
    </row>
    <row r="78" spans="1:8" x14ac:dyDescent="0.2">
      <c r="A78">
        <v>113807</v>
      </c>
      <c r="B78">
        <v>28331166</v>
      </c>
      <c r="C78" t="str">
        <f t="shared" si="1"/>
        <v>4. $250K-1M</v>
      </c>
      <c r="D78" t="s">
        <v>700</v>
      </c>
      <c r="E78" t="s">
        <v>237</v>
      </c>
      <c r="F78" t="s">
        <v>670</v>
      </c>
      <c r="G78" t="s">
        <v>59</v>
      </c>
      <c r="H78">
        <v>2024</v>
      </c>
    </row>
    <row r="79" spans="1:8" x14ac:dyDescent="0.2">
      <c r="A79">
        <v>113808</v>
      </c>
      <c r="B79">
        <v>1542057</v>
      </c>
      <c r="C79" t="str">
        <f t="shared" si="1"/>
        <v>5. $1M+</v>
      </c>
      <c r="D79" t="s">
        <v>701</v>
      </c>
      <c r="E79" t="s">
        <v>237</v>
      </c>
      <c r="F79" t="s">
        <v>670</v>
      </c>
      <c r="G79" t="s">
        <v>59</v>
      </c>
      <c r="H79">
        <v>2024</v>
      </c>
    </row>
    <row r="80" spans="1:8" x14ac:dyDescent="0.2">
      <c r="A80">
        <v>113810</v>
      </c>
      <c r="B80">
        <v>2197428</v>
      </c>
      <c r="C80" t="str">
        <f t="shared" si="1"/>
        <v>5. $1M+</v>
      </c>
      <c r="D80" t="s">
        <v>702</v>
      </c>
      <c r="E80" t="s">
        <v>237</v>
      </c>
      <c r="F80" t="s">
        <v>670</v>
      </c>
      <c r="G80" t="s">
        <v>59</v>
      </c>
      <c r="H80">
        <v>2024</v>
      </c>
    </row>
    <row r="81" spans="1:8" x14ac:dyDescent="0.2">
      <c r="A81">
        <v>113812</v>
      </c>
      <c r="B81">
        <v>2158878</v>
      </c>
      <c r="C81" t="str">
        <f t="shared" si="1"/>
        <v>5. $1M+</v>
      </c>
      <c r="D81" t="s">
        <v>703</v>
      </c>
      <c r="E81" t="s">
        <v>237</v>
      </c>
      <c r="F81" t="s">
        <v>670</v>
      </c>
      <c r="G81" t="s">
        <v>59</v>
      </c>
      <c r="H81">
        <v>2024</v>
      </c>
    </row>
    <row r="82" spans="1:8" x14ac:dyDescent="0.2">
      <c r="A82">
        <v>113819</v>
      </c>
      <c r="B82">
        <v>23758148</v>
      </c>
      <c r="C82" t="str">
        <f t="shared" si="1"/>
        <v>5. $1M+</v>
      </c>
      <c r="D82" t="s">
        <v>704</v>
      </c>
      <c r="E82" t="s">
        <v>237</v>
      </c>
      <c r="F82" t="s">
        <v>670</v>
      </c>
      <c r="G82" t="s">
        <v>59</v>
      </c>
      <c r="H82">
        <v>2023</v>
      </c>
    </row>
    <row r="83" spans="1:8" x14ac:dyDescent="0.2">
      <c r="A83">
        <v>113821</v>
      </c>
      <c r="B83">
        <v>17525460</v>
      </c>
      <c r="C83" t="str">
        <f t="shared" si="1"/>
        <v>5. $1M+</v>
      </c>
      <c r="D83" t="s">
        <v>705</v>
      </c>
      <c r="E83" t="s">
        <v>237</v>
      </c>
      <c r="F83" t="s">
        <v>670</v>
      </c>
      <c r="G83" t="s">
        <v>59</v>
      </c>
      <c r="H83">
        <v>2023</v>
      </c>
    </row>
    <row r="84" spans="1:8" x14ac:dyDescent="0.2">
      <c r="A84">
        <v>113825</v>
      </c>
      <c r="B84">
        <v>1347328</v>
      </c>
      <c r="C84" t="str">
        <f t="shared" si="1"/>
        <v>5. $1M+</v>
      </c>
      <c r="D84" t="s">
        <v>706</v>
      </c>
      <c r="E84" t="s">
        <v>237</v>
      </c>
      <c r="F84" t="s">
        <v>670</v>
      </c>
      <c r="G84" t="s">
        <v>59</v>
      </c>
      <c r="H84">
        <v>2023</v>
      </c>
    </row>
    <row r="85" spans="1:8" x14ac:dyDescent="0.2">
      <c r="A85">
        <v>113827</v>
      </c>
      <c r="B85">
        <v>4133480</v>
      </c>
      <c r="C85" t="str">
        <f t="shared" si="1"/>
        <v>5. $1M+</v>
      </c>
      <c r="D85" t="s">
        <v>707</v>
      </c>
      <c r="E85" t="s">
        <v>237</v>
      </c>
      <c r="F85" t="s">
        <v>670</v>
      </c>
      <c r="G85" t="s">
        <v>59</v>
      </c>
      <c r="H85">
        <v>2023</v>
      </c>
    </row>
    <row r="86" spans="1:8" x14ac:dyDescent="0.2">
      <c r="A86">
        <v>113830</v>
      </c>
      <c r="B86">
        <v>2775699</v>
      </c>
      <c r="C86" t="str">
        <f t="shared" si="1"/>
        <v>5. $1M+</v>
      </c>
      <c r="D86" t="s">
        <v>708</v>
      </c>
      <c r="E86" t="s">
        <v>237</v>
      </c>
      <c r="F86" t="s">
        <v>670</v>
      </c>
      <c r="G86" t="s">
        <v>59</v>
      </c>
      <c r="H86">
        <v>2024</v>
      </c>
    </row>
    <row r="87" spans="1:8" x14ac:dyDescent="0.2">
      <c r="A87">
        <v>113831</v>
      </c>
      <c r="B87">
        <v>11991777</v>
      </c>
      <c r="C87" t="str">
        <f t="shared" si="1"/>
        <v>5. $1M+</v>
      </c>
      <c r="D87" t="s">
        <v>709</v>
      </c>
      <c r="E87" t="s">
        <v>237</v>
      </c>
      <c r="F87" t="s">
        <v>670</v>
      </c>
      <c r="G87" t="s">
        <v>59</v>
      </c>
      <c r="H87">
        <v>2023</v>
      </c>
    </row>
    <row r="88" spans="1:8" x14ac:dyDescent="0.2">
      <c r="A88">
        <v>113833</v>
      </c>
      <c r="B88">
        <v>4478360</v>
      </c>
      <c r="C88" t="str">
        <f t="shared" si="1"/>
        <v>5. $1M+</v>
      </c>
      <c r="D88" t="s">
        <v>710</v>
      </c>
      <c r="E88" t="s">
        <v>237</v>
      </c>
      <c r="F88" t="s">
        <v>670</v>
      </c>
      <c r="G88" t="s">
        <v>59</v>
      </c>
      <c r="H88">
        <v>2023</v>
      </c>
    </row>
    <row r="89" spans="1:8" x14ac:dyDescent="0.2">
      <c r="A89">
        <v>113837</v>
      </c>
      <c r="B89">
        <v>8156215</v>
      </c>
      <c r="C89" t="str">
        <f t="shared" si="1"/>
        <v>5. $1M+</v>
      </c>
      <c r="D89" t="s">
        <v>711</v>
      </c>
      <c r="E89" t="s">
        <v>237</v>
      </c>
      <c r="F89" t="s">
        <v>670</v>
      </c>
      <c r="G89" t="s">
        <v>59</v>
      </c>
      <c r="H89">
        <v>2023</v>
      </c>
    </row>
    <row r="90" spans="1:8" x14ac:dyDescent="0.2">
      <c r="A90">
        <v>113838</v>
      </c>
      <c r="B90">
        <v>9610078</v>
      </c>
      <c r="C90" t="str">
        <f t="shared" si="1"/>
        <v>5. $1M+</v>
      </c>
      <c r="D90" t="s">
        <v>712</v>
      </c>
      <c r="E90" t="s">
        <v>237</v>
      </c>
      <c r="F90" t="s">
        <v>670</v>
      </c>
      <c r="G90" t="s">
        <v>59</v>
      </c>
      <c r="H90">
        <v>2023</v>
      </c>
    </row>
    <row r="91" spans="1:8" x14ac:dyDescent="0.2">
      <c r="A91">
        <v>113842</v>
      </c>
      <c r="B91">
        <v>4433409</v>
      </c>
      <c r="C91" t="str">
        <f t="shared" si="1"/>
        <v>5. $1M+</v>
      </c>
      <c r="D91" t="s">
        <v>713</v>
      </c>
      <c r="E91" t="s">
        <v>237</v>
      </c>
      <c r="F91" t="s">
        <v>670</v>
      </c>
      <c r="G91" t="s">
        <v>59</v>
      </c>
      <c r="H91">
        <v>2024</v>
      </c>
    </row>
    <row r="92" spans="1:8" x14ac:dyDescent="0.2">
      <c r="A92">
        <v>113855</v>
      </c>
      <c r="B92">
        <v>1120640</v>
      </c>
      <c r="C92" t="str">
        <f t="shared" si="1"/>
        <v>5. $1M+</v>
      </c>
      <c r="D92" t="s">
        <v>714</v>
      </c>
      <c r="E92" t="s">
        <v>237</v>
      </c>
      <c r="F92" t="s">
        <v>670</v>
      </c>
      <c r="G92" t="s">
        <v>59</v>
      </c>
      <c r="H92">
        <v>2023</v>
      </c>
    </row>
    <row r="93" spans="1:8" x14ac:dyDescent="0.2">
      <c r="A93">
        <v>113857</v>
      </c>
      <c r="B93">
        <v>1009800</v>
      </c>
      <c r="C93" t="str">
        <f t="shared" si="1"/>
        <v>5. $1M+</v>
      </c>
      <c r="D93" t="s">
        <v>715</v>
      </c>
      <c r="E93" t="s">
        <v>237</v>
      </c>
      <c r="F93" t="s">
        <v>670</v>
      </c>
      <c r="G93" t="s">
        <v>59</v>
      </c>
      <c r="H93">
        <v>2023</v>
      </c>
    </row>
    <row r="94" spans="1:8" x14ac:dyDescent="0.2">
      <c r="A94">
        <v>113870</v>
      </c>
      <c r="B94">
        <v>952544</v>
      </c>
      <c r="C94" t="str">
        <f t="shared" si="1"/>
        <v>5. $1M+</v>
      </c>
      <c r="D94" t="s">
        <v>716</v>
      </c>
      <c r="E94" t="s">
        <v>237</v>
      </c>
      <c r="F94" t="s">
        <v>670</v>
      </c>
      <c r="G94" t="s">
        <v>59</v>
      </c>
      <c r="H94">
        <v>2023</v>
      </c>
    </row>
    <row r="95" spans="1:8" x14ac:dyDescent="0.2">
      <c r="A95">
        <v>113872</v>
      </c>
      <c r="B95">
        <v>3762120</v>
      </c>
      <c r="C95" t="str">
        <f t="shared" si="1"/>
        <v>4. $250K-1M</v>
      </c>
      <c r="D95" t="s">
        <v>693</v>
      </c>
      <c r="E95" t="s">
        <v>237</v>
      </c>
      <c r="F95" t="s">
        <v>670</v>
      </c>
      <c r="G95" t="s">
        <v>59</v>
      </c>
      <c r="H95">
        <v>2023</v>
      </c>
    </row>
    <row r="96" spans="1:8" x14ac:dyDescent="0.2">
      <c r="A96">
        <v>113873</v>
      </c>
      <c r="B96">
        <v>3991488</v>
      </c>
      <c r="C96" t="str">
        <f t="shared" si="1"/>
        <v>5. $1M+</v>
      </c>
      <c r="D96" t="s">
        <v>717</v>
      </c>
      <c r="E96" t="s">
        <v>237</v>
      </c>
      <c r="F96" t="s">
        <v>670</v>
      </c>
      <c r="G96" t="s">
        <v>59</v>
      </c>
      <c r="H96">
        <v>2023</v>
      </c>
    </row>
    <row r="97" spans="1:8" x14ac:dyDescent="0.2">
      <c r="A97">
        <v>113874</v>
      </c>
      <c r="B97">
        <v>7998048</v>
      </c>
      <c r="C97" t="str">
        <f t="shared" si="1"/>
        <v>5. $1M+</v>
      </c>
      <c r="D97" t="s">
        <v>41</v>
      </c>
      <c r="E97" t="s">
        <v>237</v>
      </c>
      <c r="F97" t="s">
        <v>670</v>
      </c>
      <c r="G97" t="s">
        <v>59</v>
      </c>
      <c r="H97">
        <v>2023</v>
      </c>
    </row>
    <row r="98" spans="1:8" x14ac:dyDescent="0.2">
      <c r="A98">
        <v>113877</v>
      </c>
      <c r="B98">
        <v>476272</v>
      </c>
      <c r="C98" t="str">
        <f t="shared" si="1"/>
        <v>5. $1M+</v>
      </c>
      <c r="D98" t="s">
        <v>718</v>
      </c>
      <c r="E98" t="s">
        <v>237</v>
      </c>
      <c r="F98" t="s">
        <v>670</v>
      </c>
      <c r="G98" t="s">
        <v>59</v>
      </c>
      <c r="H98">
        <v>2023</v>
      </c>
    </row>
    <row r="99" spans="1:8" x14ac:dyDescent="0.2">
      <c r="A99">
        <v>113878</v>
      </c>
      <c r="B99">
        <v>1008576</v>
      </c>
      <c r="C99" t="str">
        <f t="shared" si="1"/>
        <v>4. $250K-1M</v>
      </c>
      <c r="D99" t="s">
        <v>719</v>
      </c>
      <c r="E99" t="s">
        <v>237</v>
      </c>
      <c r="F99" t="s">
        <v>670</v>
      </c>
      <c r="G99" t="s">
        <v>59</v>
      </c>
      <c r="H99">
        <v>2023</v>
      </c>
    </row>
    <row r="100" spans="1:8" x14ac:dyDescent="0.2">
      <c r="A100">
        <v>113879</v>
      </c>
      <c r="B100">
        <v>19596470</v>
      </c>
      <c r="C100" t="str">
        <f t="shared" si="1"/>
        <v>5. $1M+</v>
      </c>
      <c r="D100" t="s">
        <v>720</v>
      </c>
      <c r="E100" t="s">
        <v>237</v>
      </c>
      <c r="F100" t="s">
        <v>670</v>
      </c>
      <c r="G100" t="s">
        <v>59</v>
      </c>
      <c r="H100">
        <v>2023</v>
      </c>
    </row>
    <row r="101" spans="1:8" x14ac:dyDescent="0.2">
      <c r="A101">
        <v>113881</v>
      </c>
      <c r="B101">
        <v>2825984</v>
      </c>
      <c r="C101" t="str">
        <f t="shared" si="1"/>
        <v>5. $1M+</v>
      </c>
      <c r="D101" t="s">
        <v>721</v>
      </c>
      <c r="E101" t="s">
        <v>237</v>
      </c>
      <c r="F101" t="s">
        <v>670</v>
      </c>
      <c r="G101" t="s">
        <v>44</v>
      </c>
      <c r="H101">
        <v>2023</v>
      </c>
    </row>
    <row r="102" spans="1:8" x14ac:dyDescent="0.2">
      <c r="A102">
        <v>113882</v>
      </c>
      <c r="B102">
        <v>1650000</v>
      </c>
      <c r="C102" t="str">
        <f t="shared" si="1"/>
        <v>5. $1M+</v>
      </c>
      <c r="D102" t="s">
        <v>548</v>
      </c>
      <c r="E102" t="s">
        <v>237</v>
      </c>
      <c r="F102" t="s">
        <v>670</v>
      </c>
      <c r="G102" t="s">
        <v>59</v>
      </c>
      <c r="H102">
        <v>2023</v>
      </c>
    </row>
    <row r="103" spans="1:8" x14ac:dyDescent="0.2">
      <c r="A103">
        <v>113883</v>
      </c>
      <c r="B103">
        <v>7978592</v>
      </c>
      <c r="C103" t="str">
        <f t="shared" si="1"/>
        <v>5. $1M+</v>
      </c>
      <c r="D103" t="s">
        <v>694</v>
      </c>
      <c r="E103" t="s">
        <v>237</v>
      </c>
      <c r="F103" t="s">
        <v>670</v>
      </c>
      <c r="G103" t="s">
        <v>59</v>
      </c>
      <c r="H103">
        <v>2023</v>
      </c>
    </row>
    <row r="104" spans="1:8" x14ac:dyDescent="0.2">
      <c r="A104">
        <v>113886</v>
      </c>
      <c r="B104">
        <v>16937744</v>
      </c>
      <c r="C104" t="str">
        <f t="shared" si="1"/>
        <v>5. $1M+</v>
      </c>
      <c r="D104" t="s">
        <v>696</v>
      </c>
      <c r="E104" t="s">
        <v>237</v>
      </c>
      <c r="F104" t="s">
        <v>670</v>
      </c>
      <c r="G104" t="s">
        <v>59</v>
      </c>
      <c r="H104">
        <v>2023</v>
      </c>
    </row>
    <row r="105" spans="1:8" x14ac:dyDescent="0.2">
      <c r="A105">
        <v>113887</v>
      </c>
      <c r="B105">
        <v>6448608</v>
      </c>
      <c r="C105" t="str">
        <f t="shared" si="1"/>
        <v>5. $1M+</v>
      </c>
      <c r="D105" t="s">
        <v>697</v>
      </c>
      <c r="E105" t="s">
        <v>237</v>
      </c>
      <c r="F105" t="s">
        <v>670</v>
      </c>
      <c r="G105" t="s">
        <v>59</v>
      </c>
      <c r="H105">
        <v>2023</v>
      </c>
    </row>
    <row r="106" spans="1:8" x14ac:dyDescent="0.2">
      <c r="A106">
        <v>113888</v>
      </c>
      <c r="B106">
        <v>2230968</v>
      </c>
      <c r="C106" t="str">
        <f t="shared" si="1"/>
        <v>5. $1M+</v>
      </c>
      <c r="D106" t="s">
        <v>722</v>
      </c>
      <c r="E106" t="s">
        <v>237</v>
      </c>
      <c r="F106" t="s">
        <v>670</v>
      </c>
      <c r="G106" t="s">
        <v>59</v>
      </c>
      <c r="H106">
        <v>2023</v>
      </c>
    </row>
    <row r="107" spans="1:8" x14ac:dyDescent="0.2">
      <c r="A107">
        <v>113889</v>
      </c>
      <c r="B107">
        <v>5136784</v>
      </c>
      <c r="C107" t="str">
        <f t="shared" si="1"/>
        <v>5. $1M+</v>
      </c>
      <c r="D107" t="s">
        <v>723</v>
      </c>
      <c r="E107" t="s">
        <v>237</v>
      </c>
      <c r="F107" t="s">
        <v>670</v>
      </c>
      <c r="G107" t="s">
        <v>59</v>
      </c>
      <c r="H107">
        <v>2023</v>
      </c>
    </row>
    <row r="108" spans="1:8" x14ac:dyDescent="0.2">
      <c r="A108">
        <v>113891</v>
      </c>
      <c r="B108">
        <v>6541216</v>
      </c>
      <c r="C108" t="str">
        <f t="shared" si="1"/>
        <v>5. $1M+</v>
      </c>
      <c r="D108" t="s">
        <v>724</v>
      </c>
      <c r="E108" t="s">
        <v>237</v>
      </c>
      <c r="F108" t="s">
        <v>670</v>
      </c>
      <c r="G108" t="s">
        <v>59</v>
      </c>
      <c r="H108">
        <v>2023</v>
      </c>
    </row>
    <row r="109" spans="1:8" x14ac:dyDescent="0.2">
      <c r="A109">
        <v>113893</v>
      </c>
      <c r="B109">
        <v>2255952</v>
      </c>
      <c r="C109" t="str">
        <f t="shared" si="1"/>
        <v>5. $1M+</v>
      </c>
      <c r="D109" t="s">
        <v>725</v>
      </c>
      <c r="E109" t="s">
        <v>237</v>
      </c>
      <c r="F109" t="s">
        <v>670</v>
      </c>
      <c r="G109" t="s">
        <v>59</v>
      </c>
      <c r="H109">
        <v>2023</v>
      </c>
    </row>
    <row r="110" spans="1:8" x14ac:dyDescent="0.2">
      <c r="A110">
        <v>113939</v>
      </c>
      <c r="B110">
        <v>2042560</v>
      </c>
      <c r="C110" t="str">
        <f t="shared" si="1"/>
        <v>5. $1M+</v>
      </c>
      <c r="D110" t="s">
        <v>726</v>
      </c>
      <c r="E110" t="s">
        <v>237</v>
      </c>
      <c r="F110" t="s">
        <v>670</v>
      </c>
      <c r="G110" t="s">
        <v>59</v>
      </c>
      <c r="H110">
        <v>2023</v>
      </c>
    </row>
    <row r="111" spans="1:8" x14ac:dyDescent="0.2">
      <c r="A111">
        <v>113940</v>
      </c>
      <c r="B111">
        <v>14091008</v>
      </c>
      <c r="C111" t="str">
        <f t="shared" si="1"/>
        <v>5. $1M+</v>
      </c>
      <c r="D111" t="s">
        <v>698</v>
      </c>
      <c r="E111" t="s">
        <v>237</v>
      </c>
      <c r="F111" t="s">
        <v>670</v>
      </c>
      <c r="G111" t="s">
        <v>59</v>
      </c>
      <c r="H111">
        <v>2023</v>
      </c>
    </row>
    <row r="112" spans="1:8" x14ac:dyDescent="0.2">
      <c r="A112">
        <v>113941</v>
      </c>
      <c r="B112">
        <v>5858200</v>
      </c>
      <c r="C112" t="str">
        <f t="shared" si="1"/>
        <v>5. $1M+</v>
      </c>
      <c r="D112" t="s">
        <v>727</v>
      </c>
      <c r="E112" t="s">
        <v>237</v>
      </c>
      <c r="F112" t="s">
        <v>670</v>
      </c>
      <c r="G112" t="s">
        <v>59</v>
      </c>
      <c r="H112">
        <v>2023</v>
      </c>
    </row>
    <row r="113" spans="1:8" x14ac:dyDescent="0.2">
      <c r="A113">
        <v>113942</v>
      </c>
      <c r="B113">
        <v>3223136</v>
      </c>
      <c r="C113" t="str">
        <f t="shared" si="1"/>
        <v>5. $1M+</v>
      </c>
      <c r="D113" t="s">
        <v>728</v>
      </c>
      <c r="E113" t="s">
        <v>237</v>
      </c>
      <c r="F113" t="s">
        <v>670</v>
      </c>
      <c r="G113" t="s">
        <v>59</v>
      </c>
      <c r="H113">
        <v>2023</v>
      </c>
    </row>
    <row r="114" spans="1:8" x14ac:dyDescent="0.2">
      <c r="A114">
        <v>113943</v>
      </c>
      <c r="B114">
        <v>420240</v>
      </c>
      <c r="C114" t="str">
        <f t="shared" si="1"/>
        <v>5. $1M+</v>
      </c>
      <c r="D114" t="s">
        <v>729</v>
      </c>
      <c r="E114" t="s">
        <v>237</v>
      </c>
      <c r="F114" t="s">
        <v>670</v>
      </c>
      <c r="G114" t="s">
        <v>59</v>
      </c>
      <c r="H114">
        <v>2023</v>
      </c>
    </row>
    <row r="115" spans="1:8" x14ac:dyDescent="0.2">
      <c r="A115">
        <v>113944</v>
      </c>
      <c r="B115">
        <v>504288</v>
      </c>
      <c r="C115" t="str">
        <f t="shared" si="1"/>
        <v>4. $250K-1M</v>
      </c>
      <c r="D115" t="s">
        <v>730</v>
      </c>
      <c r="E115" t="s">
        <v>237</v>
      </c>
      <c r="F115" t="s">
        <v>670</v>
      </c>
      <c r="G115" t="s">
        <v>59</v>
      </c>
      <c r="H115">
        <v>2023</v>
      </c>
    </row>
    <row r="116" spans="1:8" x14ac:dyDescent="0.2">
      <c r="A116">
        <v>113946</v>
      </c>
      <c r="B116">
        <v>4004536</v>
      </c>
      <c r="C116" t="str">
        <f t="shared" si="1"/>
        <v>4. $250K-1M</v>
      </c>
      <c r="D116" t="s">
        <v>731</v>
      </c>
      <c r="E116" t="s">
        <v>237</v>
      </c>
      <c r="F116" t="s">
        <v>670</v>
      </c>
      <c r="G116" t="s">
        <v>59</v>
      </c>
      <c r="H116">
        <v>2023</v>
      </c>
    </row>
    <row r="117" spans="1:8" x14ac:dyDescent="0.2">
      <c r="A117">
        <v>113947</v>
      </c>
      <c r="B117">
        <v>10336364</v>
      </c>
      <c r="C117" t="str">
        <f t="shared" si="1"/>
        <v>5. $1M+</v>
      </c>
      <c r="D117" t="s">
        <v>699</v>
      </c>
      <c r="E117" t="s">
        <v>237</v>
      </c>
      <c r="F117" t="s">
        <v>670</v>
      </c>
      <c r="G117" t="s">
        <v>59</v>
      </c>
      <c r="H117">
        <v>2023</v>
      </c>
    </row>
    <row r="118" spans="1:8" x14ac:dyDescent="0.2">
      <c r="A118">
        <v>113952</v>
      </c>
      <c r="B118">
        <v>14606192</v>
      </c>
      <c r="C118" t="str">
        <f t="shared" si="1"/>
        <v>5. $1M+</v>
      </c>
      <c r="D118" t="s">
        <v>700</v>
      </c>
      <c r="E118" t="s">
        <v>237</v>
      </c>
      <c r="F118" t="s">
        <v>670</v>
      </c>
      <c r="G118" t="s">
        <v>59</v>
      </c>
      <c r="H118">
        <v>2023</v>
      </c>
    </row>
    <row r="119" spans="1:8" x14ac:dyDescent="0.2">
      <c r="A119">
        <v>113953</v>
      </c>
      <c r="B119">
        <v>4683600</v>
      </c>
      <c r="C119" t="str">
        <f t="shared" si="1"/>
        <v>5. $1M+</v>
      </c>
      <c r="D119" t="s">
        <v>701</v>
      </c>
      <c r="E119" t="s">
        <v>237</v>
      </c>
      <c r="F119" t="s">
        <v>670</v>
      </c>
      <c r="G119" t="s">
        <v>59</v>
      </c>
      <c r="H119">
        <v>2023</v>
      </c>
    </row>
    <row r="120" spans="1:8" x14ac:dyDescent="0.2">
      <c r="A120">
        <v>113956</v>
      </c>
      <c r="B120">
        <v>1254040</v>
      </c>
      <c r="C120" t="str">
        <f t="shared" si="1"/>
        <v>5. $1M+</v>
      </c>
      <c r="D120" t="s">
        <v>732</v>
      </c>
      <c r="E120" t="s">
        <v>237</v>
      </c>
      <c r="F120" t="s">
        <v>670</v>
      </c>
      <c r="G120" t="s">
        <v>59</v>
      </c>
      <c r="H120">
        <v>2023</v>
      </c>
    </row>
    <row r="121" spans="1:8" x14ac:dyDescent="0.2">
      <c r="A121">
        <v>113957</v>
      </c>
      <c r="B121">
        <v>504288</v>
      </c>
      <c r="C121" t="str">
        <f t="shared" si="1"/>
        <v>5. $1M+</v>
      </c>
      <c r="D121" t="s">
        <v>733</v>
      </c>
      <c r="E121" t="s">
        <v>237</v>
      </c>
      <c r="F121" t="s">
        <v>670</v>
      </c>
      <c r="G121" t="s">
        <v>59</v>
      </c>
      <c r="H121">
        <v>2023</v>
      </c>
    </row>
    <row r="122" spans="1:8" x14ac:dyDescent="0.2">
      <c r="A122">
        <v>113958</v>
      </c>
      <c r="B122">
        <v>12677456</v>
      </c>
      <c r="C122" t="str">
        <f t="shared" si="1"/>
        <v>4. $250K-1M</v>
      </c>
      <c r="D122" t="s">
        <v>702</v>
      </c>
      <c r="E122" t="s">
        <v>237</v>
      </c>
      <c r="F122" t="s">
        <v>670</v>
      </c>
      <c r="G122" t="s">
        <v>59</v>
      </c>
      <c r="H122">
        <v>2023</v>
      </c>
    </row>
    <row r="123" spans="1:8" x14ac:dyDescent="0.2">
      <c r="A123">
        <v>113961</v>
      </c>
      <c r="B123">
        <v>3713708</v>
      </c>
      <c r="C123" t="str">
        <f t="shared" si="1"/>
        <v>5. $1M+</v>
      </c>
      <c r="D123" t="s">
        <v>734</v>
      </c>
      <c r="E123" t="s">
        <v>237</v>
      </c>
      <c r="F123" t="s">
        <v>670</v>
      </c>
      <c r="G123" t="s">
        <v>59</v>
      </c>
      <c r="H123">
        <v>2023</v>
      </c>
    </row>
    <row r="124" spans="1:8" x14ac:dyDescent="0.2">
      <c r="A124">
        <v>113962</v>
      </c>
      <c r="B124">
        <v>4229480</v>
      </c>
      <c r="C124" t="str">
        <f t="shared" si="1"/>
        <v>5. $1M+</v>
      </c>
      <c r="D124" t="s">
        <v>703</v>
      </c>
      <c r="E124" t="s">
        <v>237</v>
      </c>
      <c r="F124" t="s">
        <v>670</v>
      </c>
      <c r="G124" t="s">
        <v>59</v>
      </c>
      <c r="H124">
        <v>2023</v>
      </c>
    </row>
    <row r="125" spans="1:8" x14ac:dyDescent="0.2">
      <c r="A125">
        <v>113963</v>
      </c>
      <c r="B125">
        <v>2346080</v>
      </c>
      <c r="C125" t="str">
        <f t="shared" si="1"/>
        <v>5. $1M+</v>
      </c>
      <c r="D125" t="s">
        <v>735</v>
      </c>
      <c r="E125" t="s">
        <v>237</v>
      </c>
      <c r="F125" t="s">
        <v>670</v>
      </c>
      <c r="G125" t="s">
        <v>59</v>
      </c>
      <c r="H125">
        <v>2023</v>
      </c>
    </row>
    <row r="126" spans="1:8" x14ac:dyDescent="0.2">
      <c r="A126">
        <v>113965</v>
      </c>
      <c r="B126">
        <v>7481708</v>
      </c>
      <c r="C126" t="str">
        <f t="shared" si="1"/>
        <v>5. $1M+</v>
      </c>
      <c r="D126" t="s">
        <v>736</v>
      </c>
      <c r="E126" t="s">
        <v>237</v>
      </c>
      <c r="F126" t="s">
        <v>670</v>
      </c>
      <c r="G126" t="s">
        <v>59</v>
      </c>
      <c r="H126">
        <v>2023</v>
      </c>
    </row>
    <row r="127" spans="1:8" x14ac:dyDescent="0.2">
      <c r="A127">
        <v>113966</v>
      </c>
      <c r="B127">
        <v>1997250</v>
      </c>
      <c r="C127" t="str">
        <f t="shared" si="1"/>
        <v>5. $1M+</v>
      </c>
      <c r="D127" t="s">
        <v>737</v>
      </c>
      <c r="E127" t="s">
        <v>237</v>
      </c>
      <c r="F127" t="s">
        <v>670</v>
      </c>
      <c r="G127" t="s">
        <v>59</v>
      </c>
      <c r="H127">
        <v>2023</v>
      </c>
    </row>
    <row r="128" spans="1:8" x14ac:dyDescent="0.2">
      <c r="A128">
        <v>113969</v>
      </c>
      <c r="B128">
        <v>476272</v>
      </c>
      <c r="C128" t="str">
        <f t="shared" si="1"/>
        <v>5. $1M+</v>
      </c>
      <c r="D128" t="s">
        <v>738</v>
      </c>
      <c r="E128" t="s">
        <v>237</v>
      </c>
      <c r="F128" t="s">
        <v>670</v>
      </c>
      <c r="G128" t="s">
        <v>59</v>
      </c>
      <c r="H128">
        <v>2023</v>
      </c>
    </row>
    <row r="129" spans="1:8" x14ac:dyDescent="0.2">
      <c r="A129">
        <v>113971</v>
      </c>
      <c r="B129">
        <v>1008576</v>
      </c>
      <c r="C129" t="str">
        <f t="shared" si="1"/>
        <v>4. $250K-1M</v>
      </c>
      <c r="D129" t="s">
        <v>739</v>
      </c>
      <c r="E129" t="s">
        <v>237</v>
      </c>
      <c r="F129" t="s">
        <v>670</v>
      </c>
      <c r="G129" t="s">
        <v>59</v>
      </c>
      <c r="H129">
        <v>2023</v>
      </c>
    </row>
    <row r="130" spans="1:8" x14ac:dyDescent="0.2">
      <c r="A130">
        <v>113980</v>
      </c>
      <c r="B130">
        <v>1669964</v>
      </c>
      <c r="C130" t="str">
        <f t="shared" si="1"/>
        <v>5. $1M+</v>
      </c>
      <c r="D130" t="s">
        <v>740</v>
      </c>
      <c r="E130" t="s">
        <v>237</v>
      </c>
      <c r="F130" t="s">
        <v>670</v>
      </c>
      <c r="G130" t="s">
        <v>59</v>
      </c>
      <c r="H130">
        <v>2023</v>
      </c>
    </row>
    <row r="131" spans="1:8" x14ac:dyDescent="0.2">
      <c r="A131">
        <v>113982</v>
      </c>
      <c r="B131">
        <v>476272</v>
      </c>
      <c r="C131" t="str">
        <f t="shared" ref="C131:C194" si="2">IF(B130&lt;10000,"1. Under $10K",IF(B130&lt;50000,"2. $10K-50K",IF(B130&lt;250000,"3. $50K-250K",IF(B130&lt;1000000,"4. $250K-1M","5. $1M+"))))</f>
        <v>5. $1M+</v>
      </c>
      <c r="D131" t="s">
        <v>741</v>
      </c>
      <c r="E131" t="s">
        <v>237</v>
      </c>
      <c r="F131" t="s">
        <v>670</v>
      </c>
      <c r="G131" t="s">
        <v>59</v>
      </c>
      <c r="H131">
        <v>2023</v>
      </c>
    </row>
    <row r="132" spans="1:8" x14ac:dyDescent="0.2">
      <c r="A132">
        <v>113984</v>
      </c>
      <c r="B132">
        <v>12066592</v>
      </c>
      <c r="C132" t="str">
        <f t="shared" si="2"/>
        <v>4. $250K-1M</v>
      </c>
      <c r="D132" t="s">
        <v>704</v>
      </c>
      <c r="E132" t="s">
        <v>237</v>
      </c>
      <c r="F132" t="s">
        <v>670</v>
      </c>
      <c r="G132" t="s">
        <v>59</v>
      </c>
      <c r="H132">
        <v>2023</v>
      </c>
    </row>
    <row r="133" spans="1:8" x14ac:dyDescent="0.2">
      <c r="A133">
        <v>113985</v>
      </c>
      <c r="B133">
        <v>3193824</v>
      </c>
      <c r="C133" t="str">
        <f t="shared" si="2"/>
        <v>5. $1M+</v>
      </c>
      <c r="D133" t="s">
        <v>742</v>
      </c>
      <c r="E133" t="s">
        <v>237</v>
      </c>
      <c r="F133" t="s">
        <v>670</v>
      </c>
      <c r="G133" t="s">
        <v>59</v>
      </c>
      <c r="H133">
        <v>2023</v>
      </c>
    </row>
    <row r="134" spans="1:8" x14ac:dyDescent="0.2">
      <c r="A134">
        <v>113987</v>
      </c>
      <c r="B134">
        <v>1425184</v>
      </c>
      <c r="C134" t="str">
        <f t="shared" si="2"/>
        <v>5. $1M+</v>
      </c>
      <c r="D134" t="s">
        <v>743</v>
      </c>
      <c r="E134" t="s">
        <v>237</v>
      </c>
      <c r="F134" t="s">
        <v>670</v>
      </c>
      <c r="G134" t="s">
        <v>59</v>
      </c>
      <c r="H134">
        <v>2023</v>
      </c>
    </row>
    <row r="135" spans="1:8" x14ac:dyDescent="0.2">
      <c r="A135">
        <v>113988</v>
      </c>
      <c r="B135">
        <v>515770</v>
      </c>
      <c r="C135" t="str">
        <f t="shared" si="2"/>
        <v>5. $1M+</v>
      </c>
      <c r="D135" t="s">
        <v>744</v>
      </c>
      <c r="E135" t="s">
        <v>237</v>
      </c>
      <c r="F135" t="s">
        <v>670</v>
      </c>
      <c r="G135" t="s">
        <v>59</v>
      </c>
      <c r="H135">
        <v>2023</v>
      </c>
    </row>
    <row r="136" spans="1:8" x14ac:dyDescent="0.2">
      <c r="A136">
        <v>113989</v>
      </c>
      <c r="B136">
        <v>812464</v>
      </c>
      <c r="C136" t="str">
        <f t="shared" si="2"/>
        <v>4. $250K-1M</v>
      </c>
      <c r="D136" t="s">
        <v>745</v>
      </c>
      <c r="E136" t="s">
        <v>237</v>
      </c>
      <c r="F136" t="s">
        <v>670</v>
      </c>
      <c r="G136" t="s">
        <v>59</v>
      </c>
      <c r="H136">
        <v>2023</v>
      </c>
    </row>
    <row r="137" spans="1:8" x14ac:dyDescent="0.2">
      <c r="A137">
        <v>113990</v>
      </c>
      <c r="B137">
        <v>952544</v>
      </c>
      <c r="C137" t="str">
        <f t="shared" si="2"/>
        <v>4. $250K-1M</v>
      </c>
      <c r="D137" t="s">
        <v>746</v>
      </c>
      <c r="E137" t="s">
        <v>237</v>
      </c>
      <c r="F137" t="s">
        <v>670</v>
      </c>
      <c r="G137" t="s">
        <v>59</v>
      </c>
      <c r="H137">
        <v>2023</v>
      </c>
    </row>
    <row r="138" spans="1:8" x14ac:dyDescent="0.2">
      <c r="A138">
        <v>113994</v>
      </c>
      <c r="B138">
        <v>5918184</v>
      </c>
      <c r="C138" t="str">
        <f t="shared" si="2"/>
        <v>4. $250K-1M</v>
      </c>
      <c r="D138" t="s">
        <v>747</v>
      </c>
      <c r="E138" t="s">
        <v>237</v>
      </c>
      <c r="F138" t="s">
        <v>670</v>
      </c>
      <c r="G138" t="s">
        <v>59</v>
      </c>
      <c r="H138">
        <v>2023</v>
      </c>
    </row>
    <row r="139" spans="1:8" x14ac:dyDescent="0.2">
      <c r="A139">
        <v>113995</v>
      </c>
      <c r="B139">
        <v>6902960</v>
      </c>
      <c r="C139" t="str">
        <f t="shared" si="2"/>
        <v>5. $1M+</v>
      </c>
      <c r="D139" t="s">
        <v>748</v>
      </c>
      <c r="E139" t="s">
        <v>237</v>
      </c>
      <c r="F139" t="s">
        <v>670</v>
      </c>
      <c r="G139" t="s">
        <v>59</v>
      </c>
      <c r="H139">
        <v>2023</v>
      </c>
    </row>
    <row r="140" spans="1:8" x14ac:dyDescent="0.2">
      <c r="A140">
        <v>114000</v>
      </c>
      <c r="B140">
        <v>8786960</v>
      </c>
      <c r="C140" t="str">
        <f t="shared" si="2"/>
        <v>5. $1M+</v>
      </c>
      <c r="D140" t="s">
        <v>705</v>
      </c>
      <c r="E140" t="s">
        <v>237</v>
      </c>
      <c r="F140" t="s">
        <v>670</v>
      </c>
      <c r="G140" t="s">
        <v>59</v>
      </c>
      <c r="H140">
        <v>2023</v>
      </c>
    </row>
    <row r="141" spans="1:8" x14ac:dyDescent="0.2">
      <c r="A141">
        <v>114001</v>
      </c>
      <c r="B141">
        <v>7743856</v>
      </c>
      <c r="C141" t="str">
        <f t="shared" si="2"/>
        <v>5. $1M+</v>
      </c>
      <c r="D141" t="s">
        <v>749</v>
      </c>
      <c r="E141" t="s">
        <v>237</v>
      </c>
      <c r="F141" t="s">
        <v>670</v>
      </c>
      <c r="G141" t="s">
        <v>59</v>
      </c>
      <c r="H141">
        <v>2023</v>
      </c>
    </row>
    <row r="142" spans="1:8" x14ac:dyDescent="0.2">
      <c r="A142">
        <v>114002</v>
      </c>
      <c r="B142">
        <v>476272</v>
      </c>
      <c r="C142" t="str">
        <f t="shared" si="2"/>
        <v>5. $1M+</v>
      </c>
      <c r="D142" t="s">
        <v>750</v>
      </c>
      <c r="E142" t="s">
        <v>237</v>
      </c>
      <c r="F142" t="s">
        <v>670</v>
      </c>
      <c r="G142" t="s">
        <v>59</v>
      </c>
      <c r="H142">
        <v>2023</v>
      </c>
    </row>
    <row r="143" spans="1:8" x14ac:dyDescent="0.2">
      <c r="A143">
        <v>114003</v>
      </c>
      <c r="B143">
        <v>840480</v>
      </c>
      <c r="C143" t="str">
        <f t="shared" si="2"/>
        <v>4. $250K-1M</v>
      </c>
      <c r="D143" t="s">
        <v>706</v>
      </c>
      <c r="E143" t="s">
        <v>237</v>
      </c>
      <c r="F143" t="s">
        <v>670</v>
      </c>
      <c r="G143" t="s">
        <v>59</v>
      </c>
      <c r="H143">
        <v>2023</v>
      </c>
    </row>
    <row r="144" spans="1:8" x14ac:dyDescent="0.2">
      <c r="A144">
        <v>114004</v>
      </c>
      <c r="B144">
        <v>952544</v>
      </c>
      <c r="C144" t="str">
        <f t="shared" si="2"/>
        <v>4. $250K-1M</v>
      </c>
      <c r="D144" t="s">
        <v>751</v>
      </c>
      <c r="E144" t="s">
        <v>237</v>
      </c>
      <c r="F144" t="s">
        <v>670</v>
      </c>
      <c r="G144" t="s">
        <v>59</v>
      </c>
      <c r="H144">
        <v>2023</v>
      </c>
    </row>
    <row r="145" spans="1:8" x14ac:dyDescent="0.2">
      <c r="A145">
        <v>114005</v>
      </c>
      <c r="B145">
        <v>1680960</v>
      </c>
      <c r="C145" t="str">
        <f t="shared" si="2"/>
        <v>4. $250K-1M</v>
      </c>
      <c r="D145" t="s">
        <v>707</v>
      </c>
      <c r="E145" t="s">
        <v>237</v>
      </c>
      <c r="F145" t="s">
        <v>670</v>
      </c>
      <c r="G145" t="s">
        <v>59</v>
      </c>
      <c r="H145">
        <v>2023</v>
      </c>
    </row>
    <row r="146" spans="1:8" x14ac:dyDescent="0.2">
      <c r="A146">
        <v>114006</v>
      </c>
      <c r="B146">
        <v>1428816</v>
      </c>
      <c r="C146" t="str">
        <f t="shared" si="2"/>
        <v>5. $1M+</v>
      </c>
      <c r="D146" t="s">
        <v>752</v>
      </c>
      <c r="E146" t="s">
        <v>237</v>
      </c>
      <c r="F146" t="s">
        <v>670</v>
      </c>
      <c r="G146" t="s">
        <v>59</v>
      </c>
      <c r="H146">
        <v>2023</v>
      </c>
    </row>
    <row r="147" spans="1:8" x14ac:dyDescent="0.2">
      <c r="A147">
        <v>114007</v>
      </c>
      <c r="B147">
        <v>1905088</v>
      </c>
      <c r="C147" t="str">
        <f t="shared" si="2"/>
        <v>5. $1M+</v>
      </c>
      <c r="D147" t="s">
        <v>753</v>
      </c>
      <c r="E147" t="s">
        <v>237</v>
      </c>
      <c r="F147" t="s">
        <v>670</v>
      </c>
      <c r="G147" t="s">
        <v>59</v>
      </c>
      <c r="H147">
        <v>2023</v>
      </c>
    </row>
    <row r="148" spans="1:8" x14ac:dyDescent="0.2">
      <c r="A148">
        <v>114008</v>
      </c>
      <c r="B148">
        <v>2461776</v>
      </c>
      <c r="C148" t="str">
        <f t="shared" si="2"/>
        <v>5. $1M+</v>
      </c>
      <c r="D148" t="s">
        <v>754</v>
      </c>
      <c r="E148" t="s">
        <v>237</v>
      </c>
      <c r="F148" t="s">
        <v>670</v>
      </c>
      <c r="G148" t="s">
        <v>59</v>
      </c>
      <c r="H148">
        <v>2023</v>
      </c>
    </row>
    <row r="149" spans="1:8" x14ac:dyDescent="0.2">
      <c r="A149">
        <v>114009</v>
      </c>
      <c r="B149">
        <v>1182500</v>
      </c>
      <c r="C149" t="str">
        <f t="shared" si="2"/>
        <v>5. $1M+</v>
      </c>
      <c r="D149" t="s">
        <v>755</v>
      </c>
      <c r="E149" t="s">
        <v>237</v>
      </c>
      <c r="F149" t="s">
        <v>670</v>
      </c>
      <c r="G149" t="s">
        <v>59</v>
      </c>
      <c r="H149">
        <v>2023</v>
      </c>
    </row>
    <row r="150" spans="1:8" x14ac:dyDescent="0.2">
      <c r="A150">
        <v>114010</v>
      </c>
      <c r="B150">
        <v>5952880</v>
      </c>
      <c r="C150" t="str">
        <f t="shared" si="2"/>
        <v>5. $1M+</v>
      </c>
      <c r="D150" t="s">
        <v>756</v>
      </c>
      <c r="E150" t="s">
        <v>237</v>
      </c>
      <c r="F150" t="s">
        <v>670</v>
      </c>
      <c r="G150" t="s">
        <v>59</v>
      </c>
      <c r="H150">
        <v>2023</v>
      </c>
    </row>
    <row r="151" spans="1:8" x14ac:dyDescent="0.2">
      <c r="A151">
        <v>114011</v>
      </c>
      <c r="B151">
        <v>1003200</v>
      </c>
      <c r="C151" t="str">
        <f t="shared" si="2"/>
        <v>5. $1M+</v>
      </c>
      <c r="D151" t="s">
        <v>757</v>
      </c>
      <c r="E151" t="s">
        <v>237</v>
      </c>
      <c r="F151" t="s">
        <v>670</v>
      </c>
      <c r="G151" t="s">
        <v>59</v>
      </c>
      <c r="H151">
        <v>2023</v>
      </c>
    </row>
    <row r="152" spans="1:8" x14ac:dyDescent="0.2">
      <c r="A152">
        <v>114018</v>
      </c>
      <c r="B152">
        <v>3683584</v>
      </c>
      <c r="C152" t="str">
        <f t="shared" si="2"/>
        <v>5. $1M+</v>
      </c>
      <c r="D152" t="s">
        <v>758</v>
      </c>
      <c r="E152" t="s">
        <v>237</v>
      </c>
      <c r="F152" t="s">
        <v>670</v>
      </c>
      <c r="G152" t="s">
        <v>44</v>
      </c>
      <c r="H152">
        <v>2023</v>
      </c>
    </row>
    <row r="153" spans="1:8" x14ac:dyDescent="0.2">
      <c r="A153">
        <v>114019</v>
      </c>
      <c r="B153">
        <v>686928</v>
      </c>
      <c r="C153" t="str">
        <f t="shared" si="2"/>
        <v>5. $1M+</v>
      </c>
      <c r="D153" t="s">
        <v>759</v>
      </c>
      <c r="E153" t="s">
        <v>237</v>
      </c>
      <c r="F153" t="s">
        <v>670</v>
      </c>
      <c r="G153" t="s">
        <v>59</v>
      </c>
      <c r="H153">
        <v>2023</v>
      </c>
    </row>
    <row r="154" spans="1:8" x14ac:dyDescent="0.2">
      <c r="A154">
        <v>114020</v>
      </c>
      <c r="B154">
        <v>2132876</v>
      </c>
      <c r="C154" t="str">
        <f t="shared" si="2"/>
        <v>4. $250K-1M</v>
      </c>
      <c r="D154" t="s">
        <v>760</v>
      </c>
      <c r="E154" t="s">
        <v>237</v>
      </c>
      <c r="F154" t="s">
        <v>670</v>
      </c>
      <c r="G154" t="s">
        <v>59</v>
      </c>
      <c r="H154">
        <v>2023</v>
      </c>
    </row>
    <row r="155" spans="1:8" x14ac:dyDescent="0.2">
      <c r="A155">
        <v>114021</v>
      </c>
      <c r="B155">
        <v>952544</v>
      </c>
      <c r="C155" t="str">
        <f t="shared" si="2"/>
        <v>5. $1M+</v>
      </c>
      <c r="D155" t="s">
        <v>761</v>
      </c>
      <c r="E155" t="s">
        <v>237</v>
      </c>
      <c r="F155" t="s">
        <v>670</v>
      </c>
      <c r="G155" t="s">
        <v>59</v>
      </c>
      <c r="H155">
        <v>2023</v>
      </c>
    </row>
    <row r="156" spans="1:8" x14ac:dyDescent="0.2">
      <c r="A156">
        <v>114022</v>
      </c>
      <c r="B156">
        <v>5666112</v>
      </c>
      <c r="C156" t="str">
        <f t="shared" si="2"/>
        <v>4. $250K-1M</v>
      </c>
      <c r="D156" t="s">
        <v>762</v>
      </c>
      <c r="E156" t="s">
        <v>237</v>
      </c>
      <c r="F156" t="s">
        <v>670</v>
      </c>
      <c r="G156" t="s">
        <v>59</v>
      </c>
      <c r="H156">
        <v>2023</v>
      </c>
    </row>
    <row r="157" spans="1:8" x14ac:dyDescent="0.2">
      <c r="A157">
        <v>114023</v>
      </c>
      <c r="B157">
        <v>5064928</v>
      </c>
      <c r="C157" t="str">
        <f t="shared" si="2"/>
        <v>5. $1M+</v>
      </c>
      <c r="D157" t="s">
        <v>709</v>
      </c>
      <c r="E157" t="s">
        <v>237</v>
      </c>
      <c r="F157" t="s">
        <v>670</v>
      </c>
      <c r="G157" t="s">
        <v>59</v>
      </c>
      <c r="H157">
        <v>2023</v>
      </c>
    </row>
    <row r="158" spans="1:8" x14ac:dyDescent="0.2">
      <c r="A158">
        <v>114025</v>
      </c>
      <c r="B158">
        <v>3147840</v>
      </c>
      <c r="C158" t="str">
        <f t="shared" si="2"/>
        <v>5. $1M+</v>
      </c>
      <c r="D158" t="s">
        <v>763</v>
      </c>
      <c r="E158" t="s">
        <v>237</v>
      </c>
      <c r="F158" t="s">
        <v>670</v>
      </c>
      <c r="G158" t="s">
        <v>59</v>
      </c>
      <c r="H158">
        <v>2023</v>
      </c>
    </row>
    <row r="159" spans="1:8" x14ac:dyDescent="0.2">
      <c r="A159">
        <v>114027</v>
      </c>
      <c r="B159">
        <v>476272</v>
      </c>
      <c r="C159" t="str">
        <f t="shared" si="2"/>
        <v>5. $1M+</v>
      </c>
      <c r="D159" t="s">
        <v>764</v>
      </c>
      <c r="E159" t="s">
        <v>237</v>
      </c>
      <c r="F159" t="s">
        <v>670</v>
      </c>
      <c r="G159" t="s">
        <v>59</v>
      </c>
      <c r="H159">
        <v>2023</v>
      </c>
    </row>
    <row r="160" spans="1:8" x14ac:dyDescent="0.2">
      <c r="A160">
        <v>114028</v>
      </c>
      <c r="B160">
        <v>1661504</v>
      </c>
      <c r="C160" t="str">
        <f t="shared" si="2"/>
        <v>4. $250K-1M</v>
      </c>
      <c r="D160" t="s">
        <v>765</v>
      </c>
      <c r="E160" t="s">
        <v>237</v>
      </c>
      <c r="F160" t="s">
        <v>670</v>
      </c>
      <c r="G160" t="s">
        <v>59</v>
      </c>
      <c r="H160">
        <v>2023</v>
      </c>
    </row>
    <row r="161" spans="1:8" x14ac:dyDescent="0.2">
      <c r="A161">
        <v>114033</v>
      </c>
      <c r="B161">
        <v>1397168</v>
      </c>
      <c r="C161" t="str">
        <f t="shared" si="2"/>
        <v>5. $1M+</v>
      </c>
      <c r="D161" t="s">
        <v>766</v>
      </c>
      <c r="E161" t="s">
        <v>237</v>
      </c>
      <c r="F161" t="s">
        <v>670</v>
      </c>
      <c r="G161" t="s">
        <v>59</v>
      </c>
      <c r="H161">
        <v>2023</v>
      </c>
    </row>
    <row r="162" spans="1:8" x14ac:dyDescent="0.2">
      <c r="A162">
        <v>114035</v>
      </c>
      <c r="B162">
        <v>2318064</v>
      </c>
      <c r="C162" t="str">
        <f t="shared" si="2"/>
        <v>5. $1M+</v>
      </c>
      <c r="D162" t="s">
        <v>767</v>
      </c>
      <c r="E162" t="s">
        <v>237</v>
      </c>
      <c r="F162" t="s">
        <v>670</v>
      </c>
      <c r="G162" t="s">
        <v>59</v>
      </c>
      <c r="H162">
        <v>2023</v>
      </c>
    </row>
    <row r="163" spans="1:8" x14ac:dyDescent="0.2">
      <c r="A163">
        <v>114038</v>
      </c>
      <c r="B163">
        <v>2810160</v>
      </c>
      <c r="C163" t="str">
        <f t="shared" si="2"/>
        <v>5. $1M+</v>
      </c>
      <c r="D163" t="s">
        <v>711</v>
      </c>
      <c r="E163" t="s">
        <v>237</v>
      </c>
      <c r="F163" t="s">
        <v>670</v>
      </c>
      <c r="G163" t="s">
        <v>59</v>
      </c>
      <c r="H163">
        <v>2023</v>
      </c>
    </row>
    <row r="164" spans="1:8" x14ac:dyDescent="0.2">
      <c r="A164">
        <v>114039</v>
      </c>
      <c r="B164">
        <v>5128224</v>
      </c>
      <c r="C164" t="str">
        <f t="shared" si="2"/>
        <v>5. $1M+</v>
      </c>
      <c r="D164" t="s">
        <v>712</v>
      </c>
      <c r="E164" t="s">
        <v>237</v>
      </c>
      <c r="F164" t="s">
        <v>670</v>
      </c>
      <c r="G164" t="s">
        <v>59</v>
      </c>
      <c r="H164">
        <v>2023</v>
      </c>
    </row>
    <row r="165" spans="1:8" x14ac:dyDescent="0.2">
      <c r="A165">
        <v>114040</v>
      </c>
      <c r="B165">
        <v>5351328</v>
      </c>
      <c r="C165" t="str">
        <f t="shared" si="2"/>
        <v>5. $1M+</v>
      </c>
      <c r="D165" t="s">
        <v>768</v>
      </c>
      <c r="E165" t="s">
        <v>237</v>
      </c>
      <c r="F165" t="s">
        <v>670</v>
      </c>
      <c r="G165" t="s">
        <v>59</v>
      </c>
      <c r="H165">
        <v>2023</v>
      </c>
    </row>
    <row r="166" spans="1:8" x14ac:dyDescent="0.2">
      <c r="A166">
        <v>114042</v>
      </c>
      <c r="B166">
        <v>420240</v>
      </c>
      <c r="C166" t="str">
        <f t="shared" si="2"/>
        <v>5. $1M+</v>
      </c>
      <c r="D166" t="s">
        <v>769</v>
      </c>
      <c r="E166" t="s">
        <v>237</v>
      </c>
      <c r="F166" t="s">
        <v>670</v>
      </c>
      <c r="G166" t="s">
        <v>59</v>
      </c>
      <c r="H166">
        <v>2023</v>
      </c>
    </row>
    <row r="167" spans="1:8" x14ac:dyDescent="0.2">
      <c r="A167">
        <v>114043</v>
      </c>
      <c r="B167">
        <v>1250992</v>
      </c>
      <c r="C167" t="str">
        <f t="shared" si="2"/>
        <v>4. $250K-1M</v>
      </c>
      <c r="D167" t="s">
        <v>770</v>
      </c>
      <c r="E167" t="s">
        <v>237</v>
      </c>
      <c r="F167" t="s">
        <v>670</v>
      </c>
      <c r="G167" t="s">
        <v>59</v>
      </c>
      <c r="H167">
        <v>2023</v>
      </c>
    </row>
    <row r="168" spans="1:8" x14ac:dyDescent="0.2">
      <c r="A168">
        <v>114044</v>
      </c>
      <c r="B168">
        <v>17402158</v>
      </c>
      <c r="C168" t="str">
        <f t="shared" si="2"/>
        <v>5. $1M+</v>
      </c>
      <c r="D168" t="s">
        <v>713</v>
      </c>
      <c r="E168" t="s">
        <v>237</v>
      </c>
      <c r="F168" t="s">
        <v>670</v>
      </c>
      <c r="G168" t="s">
        <v>59</v>
      </c>
      <c r="H168">
        <v>2023</v>
      </c>
    </row>
    <row r="169" spans="1:8" x14ac:dyDescent="0.2">
      <c r="A169">
        <v>114553</v>
      </c>
      <c r="B169">
        <v>5000000</v>
      </c>
      <c r="C169" t="str">
        <f t="shared" si="2"/>
        <v>5. $1M+</v>
      </c>
      <c r="D169" t="s">
        <v>60</v>
      </c>
      <c r="E169" t="s">
        <v>8</v>
      </c>
      <c r="F169" t="s">
        <v>14</v>
      </c>
      <c r="G169" t="s">
        <v>61</v>
      </c>
      <c r="H169">
        <v>2023</v>
      </c>
    </row>
    <row r="170" spans="1:8" x14ac:dyDescent="0.2">
      <c r="A170">
        <v>114934</v>
      </c>
      <c r="B170">
        <v>1000000</v>
      </c>
      <c r="C170" t="str">
        <f t="shared" si="2"/>
        <v>5. $1M+</v>
      </c>
      <c r="D170" t="s">
        <v>62</v>
      </c>
      <c r="E170" t="s">
        <v>28</v>
      </c>
      <c r="F170" t="s">
        <v>31</v>
      </c>
      <c r="G170" t="s">
        <v>59</v>
      </c>
      <c r="H170">
        <v>2025</v>
      </c>
    </row>
    <row r="171" spans="1:8" x14ac:dyDescent="0.2">
      <c r="A171">
        <v>115256</v>
      </c>
      <c r="B171">
        <v>13313207</v>
      </c>
      <c r="C171" t="str">
        <f t="shared" si="2"/>
        <v>5. $1M+</v>
      </c>
      <c r="D171" t="s">
        <v>63</v>
      </c>
      <c r="E171" t="s">
        <v>28</v>
      </c>
      <c r="F171" t="s">
        <v>31</v>
      </c>
      <c r="G171" t="s">
        <v>10</v>
      </c>
      <c r="H171">
        <v>2025</v>
      </c>
    </row>
    <row r="172" spans="1:8" x14ac:dyDescent="0.2">
      <c r="A172">
        <v>116014</v>
      </c>
      <c r="B172">
        <v>1454078</v>
      </c>
      <c r="C172" t="str">
        <f t="shared" si="2"/>
        <v>5. $1M+</v>
      </c>
      <c r="D172" t="s">
        <v>771</v>
      </c>
      <c r="E172" t="s">
        <v>42</v>
      </c>
      <c r="F172" t="s">
        <v>670</v>
      </c>
      <c r="G172" t="s">
        <v>44</v>
      </c>
      <c r="H172">
        <v>2023</v>
      </c>
    </row>
    <row r="173" spans="1:8" x14ac:dyDescent="0.2">
      <c r="A173">
        <v>116593</v>
      </c>
      <c r="B173">
        <v>395833</v>
      </c>
      <c r="C173" t="str">
        <f t="shared" si="2"/>
        <v>5. $1M+</v>
      </c>
      <c r="D173" t="s">
        <v>669</v>
      </c>
      <c r="E173" t="s">
        <v>59</v>
      </c>
      <c r="F173" t="s">
        <v>670</v>
      </c>
      <c r="G173" t="s">
        <v>59</v>
      </c>
      <c r="H173">
        <v>2023</v>
      </c>
    </row>
    <row r="174" spans="1:8" x14ac:dyDescent="0.2">
      <c r="A174">
        <v>116594</v>
      </c>
      <c r="B174">
        <v>975000</v>
      </c>
      <c r="C174" t="str">
        <f t="shared" si="2"/>
        <v>4. $250K-1M</v>
      </c>
      <c r="D174" t="s">
        <v>669</v>
      </c>
      <c r="E174" t="s">
        <v>59</v>
      </c>
      <c r="F174" t="s">
        <v>670</v>
      </c>
      <c r="G174" t="s">
        <v>59</v>
      </c>
      <c r="H174">
        <v>2023</v>
      </c>
    </row>
    <row r="175" spans="1:8" x14ac:dyDescent="0.2">
      <c r="A175">
        <v>116595</v>
      </c>
      <c r="B175">
        <v>3843536</v>
      </c>
      <c r="C175" t="str">
        <f t="shared" si="2"/>
        <v>4. $250K-1M</v>
      </c>
      <c r="D175" t="s">
        <v>669</v>
      </c>
      <c r="E175" t="s">
        <v>59</v>
      </c>
      <c r="F175" t="s">
        <v>670</v>
      </c>
      <c r="G175" t="s">
        <v>59</v>
      </c>
      <c r="H175">
        <v>2023</v>
      </c>
    </row>
    <row r="176" spans="1:8" x14ac:dyDescent="0.2">
      <c r="A176">
        <v>116612</v>
      </c>
      <c r="B176">
        <v>70594898</v>
      </c>
      <c r="C176" t="str">
        <f t="shared" si="2"/>
        <v>5. $1M+</v>
      </c>
      <c r="D176" t="s">
        <v>680</v>
      </c>
      <c r="E176" t="s">
        <v>42</v>
      </c>
      <c r="F176" t="s">
        <v>670</v>
      </c>
      <c r="G176" t="s">
        <v>44</v>
      </c>
      <c r="H176">
        <v>2023</v>
      </c>
    </row>
    <row r="177" spans="1:8" x14ac:dyDescent="0.2">
      <c r="A177">
        <v>116615</v>
      </c>
      <c r="B177">
        <v>565500</v>
      </c>
      <c r="C177" t="str">
        <f t="shared" si="2"/>
        <v>5. $1M+</v>
      </c>
      <c r="D177" t="s">
        <v>671</v>
      </c>
      <c r="E177" t="s">
        <v>42</v>
      </c>
      <c r="F177" t="s">
        <v>670</v>
      </c>
      <c r="G177" t="s">
        <v>44</v>
      </c>
      <c r="H177">
        <v>2023</v>
      </c>
    </row>
    <row r="178" spans="1:8" x14ac:dyDescent="0.2">
      <c r="A178">
        <v>116617</v>
      </c>
      <c r="B178">
        <v>566780</v>
      </c>
      <c r="C178" t="str">
        <f t="shared" si="2"/>
        <v>4. $250K-1M</v>
      </c>
      <c r="D178" t="s">
        <v>679</v>
      </c>
      <c r="E178" t="s">
        <v>42</v>
      </c>
      <c r="F178" t="s">
        <v>670</v>
      </c>
      <c r="G178" t="s">
        <v>44</v>
      </c>
      <c r="H178">
        <v>2023</v>
      </c>
    </row>
    <row r="179" spans="1:8" x14ac:dyDescent="0.2">
      <c r="A179">
        <v>116618</v>
      </c>
      <c r="B179">
        <v>56048</v>
      </c>
      <c r="C179" t="str">
        <f t="shared" si="2"/>
        <v>4. $250K-1M</v>
      </c>
      <c r="D179" t="s">
        <v>688</v>
      </c>
      <c r="E179" t="s">
        <v>42</v>
      </c>
      <c r="F179" t="s">
        <v>670</v>
      </c>
      <c r="G179" t="s">
        <v>44</v>
      </c>
      <c r="H179">
        <v>2023</v>
      </c>
    </row>
    <row r="180" spans="1:8" x14ac:dyDescent="0.2">
      <c r="A180">
        <v>116619</v>
      </c>
      <c r="B180">
        <v>1845601</v>
      </c>
      <c r="C180" t="str">
        <f t="shared" si="2"/>
        <v>3. $50K-250K</v>
      </c>
      <c r="D180" t="s">
        <v>688</v>
      </c>
      <c r="E180" t="s">
        <v>42</v>
      </c>
      <c r="F180" t="s">
        <v>670</v>
      </c>
      <c r="G180" t="s">
        <v>44</v>
      </c>
      <c r="H180">
        <v>2023</v>
      </c>
    </row>
    <row r="181" spans="1:8" x14ac:dyDescent="0.2">
      <c r="A181">
        <v>116623</v>
      </c>
      <c r="B181">
        <v>31484</v>
      </c>
      <c r="C181" t="str">
        <f t="shared" si="2"/>
        <v>5. $1M+</v>
      </c>
      <c r="D181" t="s">
        <v>684</v>
      </c>
      <c r="E181" t="s">
        <v>42</v>
      </c>
      <c r="F181" t="s">
        <v>670</v>
      </c>
      <c r="G181" t="s">
        <v>44</v>
      </c>
      <c r="H181">
        <v>2023</v>
      </c>
    </row>
    <row r="182" spans="1:8" x14ac:dyDescent="0.2">
      <c r="A182">
        <v>116624</v>
      </c>
      <c r="B182">
        <v>763536</v>
      </c>
      <c r="C182" t="str">
        <f t="shared" si="2"/>
        <v>2. $10K-50K</v>
      </c>
      <c r="D182" t="s">
        <v>684</v>
      </c>
      <c r="E182" t="s">
        <v>42</v>
      </c>
      <c r="F182" t="s">
        <v>670</v>
      </c>
      <c r="G182" t="s">
        <v>44</v>
      </c>
      <c r="H182">
        <v>2023</v>
      </c>
    </row>
    <row r="183" spans="1:8" x14ac:dyDescent="0.2">
      <c r="A183">
        <v>116625</v>
      </c>
      <c r="B183">
        <v>39240</v>
      </c>
      <c r="C183" t="str">
        <f t="shared" si="2"/>
        <v>4. $250K-1M</v>
      </c>
      <c r="D183" t="s">
        <v>683</v>
      </c>
      <c r="E183" t="s">
        <v>42</v>
      </c>
      <c r="F183" t="s">
        <v>670</v>
      </c>
      <c r="G183" t="s">
        <v>44</v>
      </c>
      <c r="H183">
        <v>2023</v>
      </c>
    </row>
    <row r="184" spans="1:8" x14ac:dyDescent="0.2">
      <c r="A184">
        <v>116627</v>
      </c>
      <c r="B184">
        <v>1144393.7</v>
      </c>
      <c r="C184" t="str">
        <f t="shared" si="2"/>
        <v>2. $10K-50K</v>
      </c>
      <c r="D184" t="s">
        <v>683</v>
      </c>
      <c r="E184" t="s">
        <v>42</v>
      </c>
      <c r="F184" t="s">
        <v>670</v>
      </c>
      <c r="G184" t="s">
        <v>44</v>
      </c>
      <c r="H184">
        <v>2023</v>
      </c>
    </row>
    <row r="185" spans="1:8" x14ac:dyDescent="0.2">
      <c r="A185">
        <v>116667</v>
      </c>
      <c r="B185">
        <v>302666</v>
      </c>
      <c r="C185" t="str">
        <f t="shared" si="2"/>
        <v>5. $1M+</v>
      </c>
      <c r="D185" t="s">
        <v>772</v>
      </c>
      <c r="E185" t="s">
        <v>42</v>
      </c>
      <c r="F185" t="s">
        <v>670</v>
      </c>
      <c r="G185" t="s">
        <v>44</v>
      </c>
      <c r="H185">
        <v>2023</v>
      </c>
    </row>
    <row r="186" spans="1:8" x14ac:dyDescent="0.2">
      <c r="A186">
        <v>116668</v>
      </c>
      <c r="B186">
        <v>9509031</v>
      </c>
      <c r="C186" t="str">
        <f t="shared" si="2"/>
        <v>4. $250K-1M</v>
      </c>
      <c r="D186" t="s">
        <v>772</v>
      </c>
      <c r="E186" t="s">
        <v>42</v>
      </c>
      <c r="F186" t="s">
        <v>670</v>
      </c>
      <c r="G186" t="s">
        <v>44</v>
      </c>
      <c r="H186">
        <v>2023</v>
      </c>
    </row>
    <row r="187" spans="1:8" x14ac:dyDescent="0.2">
      <c r="A187">
        <v>116669</v>
      </c>
      <c r="B187">
        <v>310208</v>
      </c>
      <c r="C187" t="str">
        <f t="shared" si="2"/>
        <v>5. $1M+</v>
      </c>
      <c r="D187" t="s">
        <v>682</v>
      </c>
      <c r="E187" t="s">
        <v>42</v>
      </c>
      <c r="F187" t="s">
        <v>670</v>
      </c>
      <c r="G187" t="s">
        <v>44</v>
      </c>
      <c r="H187">
        <v>2023</v>
      </c>
    </row>
    <row r="188" spans="1:8" x14ac:dyDescent="0.2">
      <c r="A188">
        <v>116670</v>
      </c>
      <c r="B188">
        <v>10426097</v>
      </c>
      <c r="C188" t="str">
        <f t="shared" si="2"/>
        <v>4. $250K-1M</v>
      </c>
      <c r="D188" t="s">
        <v>682</v>
      </c>
      <c r="E188" t="s">
        <v>42</v>
      </c>
      <c r="F188" t="s">
        <v>670</v>
      </c>
      <c r="G188" t="s">
        <v>44</v>
      </c>
      <c r="H188">
        <v>2023</v>
      </c>
    </row>
    <row r="189" spans="1:8" x14ac:dyDescent="0.2">
      <c r="A189">
        <v>116671</v>
      </c>
      <c r="B189">
        <v>259999</v>
      </c>
      <c r="C189" t="str">
        <f t="shared" si="2"/>
        <v>5. $1M+</v>
      </c>
      <c r="D189" t="s">
        <v>682</v>
      </c>
      <c r="E189" t="s">
        <v>42</v>
      </c>
      <c r="F189" t="s">
        <v>670</v>
      </c>
      <c r="G189" t="s">
        <v>44</v>
      </c>
      <c r="H189">
        <v>2023</v>
      </c>
    </row>
    <row r="190" spans="1:8" x14ac:dyDescent="0.2">
      <c r="A190">
        <v>116674</v>
      </c>
      <c r="B190">
        <v>98246</v>
      </c>
      <c r="C190" t="str">
        <f t="shared" si="2"/>
        <v>4. $250K-1M</v>
      </c>
      <c r="D190" t="s">
        <v>681</v>
      </c>
      <c r="E190" t="s">
        <v>42</v>
      </c>
      <c r="F190" t="s">
        <v>670</v>
      </c>
      <c r="G190" t="s">
        <v>44</v>
      </c>
      <c r="H190">
        <v>2023</v>
      </c>
    </row>
    <row r="191" spans="1:8" x14ac:dyDescent="0.2">
      <c r="A191">
        <v>116675</v>
      </c>
      <c r="B191">
        <v>129986</v>
      </c>
      <c r="C191" t="str">
        <f t="shared" si="2"/>
        <v>3. $50K-250K</v>
      </c>
      <c r="D191" t="s">
        <v>685</v>
      </c>
      <c r="E191" t="s">
        <v>42</v>
      </c>
      <c r="F191" t="s">
        <v>670</v>
      </c>
      <c r="G191" t="s">
        <v>44</v>
      </c>
      <c r="H191">
        <v>2023</v>
      </c>
    </row>
    <row r="192" spans="1:8" x14ac:dyDescent="0.2">
      <c r="A192">
        <v>116676</v>
      </c>
      <c r="B192">
        <v>2466012.1000003801</v>
      </c>
      <c r="C192" t="str">
        <f t="shared" si="2"/>
        <v>3. $50K-250K</v>
      </c>
      <c r="D192" t="s">
        <v>685</v>
      </c>
      <c r="E192" t="s">
        <v>42</v>
      </c>
      <c r="F192" t="s">
        <v>670</v>
      </c>
      <c r="G192" t="s">
        <v>44</v>
      </c>
      <c r="H192">
        <v>2023</v>
      </c>
    </row>
    <row r="193" spans="1:8" x14ac:dyDescent="0.2">
      <c r="A193">
        <v>116677</v>
      </c>
      <c r="B193">
        <v>271368</v>
      </c>
      <c r="C193" t="str">
        <f t="shared" si="2"/>
        <v>5. $1M+</v>
      </c>
      <c r="D193" t="s">
        <v>687</v>
      </c>
      <c r="E193" t="s">
        <v>42</v>
      </c>
      <c r="F193" t="s">
        <v>670</v>
      </c>
      <c r="G193" t="s">
        <v>44</v>
      </c>
      <c r="H193">
        <v>2023</v>
      </c>
    </row>
    <row r="194" spans="1:8" x14ac:dyDescent="0.2">
      <c r="A194">
        <v>116678</v>
      </c>
      <c r="B194">
        <v>50444</v>
      </c>
      <c r="C194" t="str">
        <f t="shared" si="2"/>
        <v>4. $250K-1M</v>
      </c>
      <c r="D194" t="s">
        <v>686</v>
      </c>
      <c r="E194" t="s">
        <v>42</v>
      </c>
      <c r="F194" t="s">
        <v>670</v>
      </c>
      <c r="G194" t="s">
        <v>44</v>
      </c>
      <c r="H194">
        <v>2023</v>
      </c>
    </row>
    <row r="195" spans="1:8" x14ac:dyDescent="0.2">
      <c r="A195">
        <v>116679</v>
      </c>
      <c r="B195">
        <v>2377009</v>
      </c>
      <c r="C195" t="str">
        <f t="shared" ref="C195:C258" si="3">IF(B194&lt;10000,"1. Under $10K",IF(B194&lt;50000,"2. $10K-50K",IF(B194&lt;250000,"3. $50K-250K",IF(B194&lt;1000000,"4. $250K-1M","5. $1M+"))))</f>
        <v>3. $50K-250K</v>
      </c>
      <c r="D195" t="s">
        <v>686</v>
      </c>
      <c r="E195" t="s">
        <v>42</v>
      </c>
      <c r="F195" t="s">
        <v>670</v>
      </c>
      <c r="G195" t="s">
        <v>44</v>
      </c>
      <c r="H195">
        <v>2023</v>
      </c>
    </row>
    <row r="196" spans="1:8" x14ac:dyDescent="0.2">
      <c r="A196">
        <v>116680</v>
      </c>
      <c r="B196">
        <v>162540</v>
      </c>
      <c r="C196" t="str">
        <f t="shared" si="3"/>
        <v>5. $1M+</v>
      </c>
      <c r="D196" t="s">
        <v>673</v>
      </c>
      <c r="E196" t="s">
        <v>42</v>
      </c>
      <c r="F196" t="s">
        <v>670</v>
      </c>
      <c r="G196" t="s">
        <v>44</v>
      </c>
      <c r="H196">
        <v>2024</v>
      </c>
    </row>
    <row r="197" spans="1:8" x14ac:dyDescent="0.2">
      <c r="A197">
        <v>116681</v>
      </c>
      <c r="B197">
        <v>4072265</v>
      </c>
      <c r="C197" t="str">
        <f t="shared" si="3"/>
        <v>3. $50K-250K</v>
      </c>
      <c r="D197" t="s">
        <v>673</v>
      </c>
      <c r="E197" t="s">
        <v>42</v>
      </c>
      <c r="F197" t="s">
        <v>670</v>
      </c>
      <c r="G197" t="s">
        <v>44</v>
      </c>
      <c r="H197">
        <v>2023</v>
      </c>
    </row>
    <row r="198" spans="1:8" x14ac:dyDescent="0.2">
      <c r="A198">
        <v>116682</v>
      </c>
      <c r="B198">
        <v>168143</v>
      </c>
      <c r="C198" t="str">
        <f t="shared" si="3"/>
        <v>5. $1M+</v>
      </c>
      <c r="D198" t="s">
        <v>391</v>
      </c>
      <c r="E198" t="s">
        <v>42</v>
      </c>
      <c r="F198" t="s">
        <v>670</v>
      </c>
      <c r="G198" t="s">
        <v>44</v>
      </c>
      <c r="H198">
        <v>2023</v>
      </c>
    </row>
    <row r="199" spans="1:8" x14ac:dyDescent="0.2">
      <c r="A199">
        <v>116683</v>
      </c>
      <c r="B199">
        <v>2337955</v>
      </c>
      <c r="C199" t="str">
        <f t="shared" si="3"/>
        <v>3. $50K-250K</v>
      </c>
      <c r="D199" t="s">
        <v>391</v>
      </c>
      <c r="E199" t="s">
        <v>42</v>
      </c>
      <c r="F199" t="s">
        <v>670</v>
      </c>
      <c r="G199" t="s">
        <v>44</v>
      </c>
      <c r="H199">
        <v>2023</v>
      </c>
    </row>
    <row r="200" spans="1:8" x14ac:dyDescent="0.2">
      <c r="A200">
        <v>116685</v>
      </c>
      <c r="B200">
        <v>554375</v>
      </c>
      <c r="C200" t="str">
        <f t="shared" si="3"/>
        <v>5. $1M+</v>
      </c>
      <c r="D200" t="s">
        <v>674</v>
      </c>
      <c r="E200" t="s">
        <v>42</v>
      </c>
      <c r="F200" t="s">
        <v>670</v>
      </c>
      <c r="G200" t="s">
        <v>44</v>
      </c>
      <c r="H200">
        <v>2023</v>
      </c>
    </row>
    <row r="201" spans="1:8" x14ac:dyDescent="0.2">
      <c r="A201">
        <v>116791</v>
      </c>
      <c r="B201">
        <v>2689991.9</v>
      </c>
      <c r="C201" t="str">
        <f t="shared" si="3"/>
        <v>4. $250K-1M</v>
      </c>
      <c r="D201" t="s">
        <v>64</v>
      </c>
      <c r="E201" t="s">
        <v>65</v>
      </c>
      <c r="F201" t="s">
        <v>12</v>
      </c>
      <c r="G201" t="s">
        <v>10</v>
      </c>
      <c r="H201">
        <v>2023</v>
      </c>
    </row>
    <row r="202" spans="1:8" x14ac:dyDescent="0.2">
      <c r="A202">
        <v>117688</v>
      </c>
      <c r="B202">
        <v>25000000</v>
      </c>
      <c r="C202" t="str">
        <f t="shared" si="3"/>
        <v>5. $1M+</v>
      </c>
      <c r="D202" t="s">
        <v>66</v>
      </c>
      <c r="E202" t="s">
        <v>67</v>
      </c>
      <c r="F202" t="s">
        <v>43</v>
      </c>
      <c r="G202" t="s">
        <v>44</v>
      </c>
      <c r="H202">
        <v>2025</v>
      </c>
    </row>
    <row r="203" spans="1:8" x14ac:dyDescent="0.2">
      <c r="A203">
        <v>119002</v>
      </c>
      <c r="B203">
        <v>960000</v>
      </c>
      <c r="C203" t="str">
        <f t="shared" si="3"/>
        <v>5. $1M+</v>
      </c>
      <c r="D203" t="s">
        <v>68</v>
      </c>
      <c r="E203" t="s">
        <v>69</v>
      </c>
      <c r="F203" t="s">
        <v>14</v>
      </c>
      <c r="G203" t="s">
        <v>61</v>
      </c>
      <c r="H203">
        <v>2023</v>
      </c>
    </row>
    <row r="204" spans="1:8" x14ac:dyDescent="0.2">
      <c r="A204">
        <v>11901</v>
      </c>
      <c r="B204">
        <v>2935565</v>
      </c>
      <c r="C204" t="str">
        <f t="shared" si="3"/>
        <v>4. $250K-1M</v>
      </c>
      <c r="D204" t="s">
        <v>773</v>
      </c>
      <c r="E204" t="s">
        <v>52</v>
      </c>
      <c r="F204" t="s">
        <v>668</v>
      </c>
      <c r="G204" t="s">
        <v>59</v>
      </c>
      <c r="H204">
        <v>2023</v>
      </c>
    </row>
    <row r="205" spans="1:8" x14ac:dyDescent="0.2">
      <c r="A205">
        <v>119180</v>
      </c>
      <c r="B205">
        <v>4000000</v>
      </c>
      <c r="C205" t="str">
        <f t="shared" si="3"/>
        <v>5. $1M+</v>
      </c>
      <c r="D205" t="s">
        <v>774</v>
      </c>
      <c r="E205" t="s">
        <v>368</v>
      </c>
      <c r="F205" t="s">
        <v>668</v>
      </c>
      <c r="G205" t="s">
        <v>59</v>
      </c>
      <c r="H205">
        <v>2024</v>
      </c>
    </row>
    <row r="206" spans="1:8" x14ac:dyDescent="0.2">
      <c r="A206">
        <v>119983</v>
      </c>
      <c r="B206">
        <v>31000000</v>
      </c>
      <c r="C206" t="str">
        <f t="shared" si="3"/>
        <v>5. $1M+</v>
      </c>
      <c r="D206" t="s">
        <v>70</v>
      </c>
      <c r="E206" t="s">
        <v>28</v>
      </c>
      <c r="F206" t="s">
        <v>71</v>
      </c>
      <c r="G206" t="s">
        <v>59</v>
      </c>
      <c r="H206">
        <v>2024</v>
      </c>
    </row>
    <row r="207" spans="1:8" x14ac:dyDescent="0.2">
      <c r="A207">
        <v>120166</v>
      </c>
      <c r="B207">
        <v>93758.9</v>
      </c>
      <c r="C207" t="str">
        <f t="shared" si="3"/>
        <v>5. $1M+</v>
      </c>
      <c r="D207" t="s">
        <v>72</v>
      </c>
      <c r="E207" t="s">
        <v>8</v>
      </c>
      <c r="F207" t="s">
        <v>9</v>
      </c>
      <c r="G207" t="s">
        <v>10</v>
      </c>
      <c r="H207">
        <v>2024</v>
      </c>
    </row>
    <row r="208" spans="1:8" x14ac:dyDescent="0.2">
      <c r="A208">
        <v>120503</v>
      </c>
      <c r="B208">
        <v>12744464</v>
      </c>
      <c r="C208" t="str">
        <f t="shared" si="3"/>
        <v>3. $50K-250K</v>
      </c>
      <c r="D208" t="s">
        <v>695</v>
      </c>
      <c r="E208" t="s">
        <v>237</v>
      </c>
      <c r="F208" t="s">
        <v>670</v>
      </c>
      <c r="G208" t="s">
        <v>59</v>
      </c>
      <c r="H208">
        <v>2023</v>
      </c>
    </row>
    <row r="209" spans="1:8" x14ac:dyDescent="0.2">
      <c r="A209">
        <v>120508</v>
      </c>
      <c r="B209">
        <v>1464954</v>
      </c>
      <c r="C209" t="str">
        <f t="shared" si="3"/>
        <v>5. $1M+</v>
      </c>
      <c r="D209" t="s">
        <v>761</v>
      </c>
      <c r="E209" t="s">
        <v>237</v>
      </c>
      <c r="F209" t="s">
        <v>670</v>
      </c>
      <c r="G209" t="s">
        <v>59</v>
      </c>
      <c r="H209">
        <v>2024</v>
      </c>
    </row>
    <row r="210" spans="1:8" x14ac:dyDescent="0.2">
      <c r="A210">
        <v>121380</v>
      </c>
      <c r="B210">
        <v>302666</v>
      </c>
      <c r="C210" t="str">
        <f t="shared" si="3"/>
        <v>5. $1M+</v>
      </c>
      <c r="D210" t="s">
        <v>772</v>
      </c>
      <c r="E210" t="s">
        <v>42</v>
      </c>
      <c r="F210" t="s">
        <v>670</v>
      </c>
      <c r="G210" t="s">
        <v>44</v>
      </c>
      <c r="H210">
        <v>2023</v>
      </c>
    </row>
    <row r="211" spans="1:8" x14ac:dyDescent="0.2">
      <c r="A211">
        <v>122483</v>
      </c>
      <c r="B211">
        <v>306628</v>
      </c>
      <c r="C211" t="str">
        <f t="shared" si="3"/>
        <v>4. $250K-1M</v>
      </c>
      <c r="D211" t="s">
        <v>686</v>
      </c>
      <c r="E211" t="s">
        <v>59</v>
      </c>
      <c r="F211" t="s">
        <v>664</v>
      </c>
      <c r="G211" t="s">
        <v>59</v>
      </c>
      <c r="H211">
        <v>2024</v>
      </c>
    </row>
    <row r="212" spans="1:8" x14ac:dyDescent="0.2">
      <c r="A212">
        <v>122544</v>
      </c>
      <c r="B212">
        <v>97032</v>
      </c>
      <c r="C212" t="str">
        <f t="shared" si="3"/>
        <v>4. $250K-1M</v>
      </c>
      <c r="D212" t="s">
        <v>73</v>
      </c>
      <c r="E212" t="s">
        <v>24</v>
      </c>
      <c r="F212" t="s">
        <v>12</v>
      </c>
      <c r="G212" t="s">
        <v>10</v>
      </c>
      <c r="H212">
        <v>2025</v>
      </c>
    </row>
    <row r="213" spans="1:8" x14ac:dyDescent="0.2">
      <c r="A213">
        <v>122861</v>
      </c>
      <c r="B213">
        <v>2000000</v>
      </c>
      <c r="C213" t="str">
        <f t="shared" si="3"/>
        <v>3. $50K-250K</v>
      </c>
      <c r="D213" t="s">
        <v>74</v>
      </c>
      <c r="E213" t="s">
        <v>28</v>
      </c>
      <c r="F213" t="s">
        <v>14</v>
      </c>
      <c r="G213" t="s">
        <v>15</v>
      </c>
      <c r="H213">
        <v>2025</v>
      </c>
    </row>
    <row r="214" spans="1:8" x14ac:dyDescent="0.2">
      <c r="A214">
        <v>123436</v>
      </c>
      <c r="B214">
        <v>3102512</v>
      </c>
      <c r="C214" t="str">
        <f t="shared" si="3"/>
        <v>5. $1M+</v>
      </c>
      <c r="D214" t="s">
        <v>775</v>
      </c>
      <c r="E214" t="s">
        <v>237</v>
      </c>
      <c r="F214" t="s">
        <v>670</v>
      </c>
      <c r="G214" t="s">
        <v>59</v>
      </c>
      <c r="H214">
        <v>2023</v>
      </c>
    </row>
    <row r="215" spans="1:8" x14ac:dyDescent="0.2">
      <c r="A215">
        <v>124960</v>
      </c>
      <c r="B215">
        <v>1070000</v>
      </c>
      <c r="C215" t="str">
        <f t="shared" si="3"/>
        <v>5. $1M+</v>
      </c>
      <c r="D215" t="s">
        <v>75</v>
      </c>
      <c r="E215" t="s">
        <v>18</v>
      </c>
      <c r="F215" t="s">
        <v>12</v>
      </c>
      <c r="G215" t="s">
        <v>10</v>
      </c>
      <c r="H215">
        <v>2023</v>
      </c>
    </row>
    <row r="216" spans="1:8" x14ac:dyDescent="0.2">
      <c r="A216">
        <v>125606</v>
      </c>
      <c r="B216">
        <v>1349339</v>
      </c>
      <c r="C216" t="str">
        <f t="shared" si="3"/>
        <v>5. $1M+</v>
      </c>
      <c r="D216" t="s">
        <v>76</v>
      </c>
      <c r="E216" t="s">
        <v>52</v>
      </c>
      <c r="F216" t="s">
        <v>43</v>
      </c>
      <c r="G216" t="s">
        <v>44</v>
      </c>
      <c r="H216">
        <v>2024</v>
      </c>
    </row>
    <row r="217" spans="1:8" x14ac:dyDescent="0.2">
      <c r="A217">
        <v>126315</v>
      </c>
      <c r="B217">
        <v>504288</v>
      </c>
      <c r="C217" t="str">
        <f t="shared" si="3"/>
        <v>5. $1M+</v>
      </c>
      <c r="D217" t="s">
        <v>776</v>
      </c>
      <c r="E217" t="s">
        <v>237</v>
      </c>
      <c r="F217" t="s">
        <v>670</v>
      </c>
      <c r="G217" t="s">
        <v>59</v>
      </c>
      <c r="H217">
        <v>2023</v>
      </c>
    </row>
    <row r="218" spans="1:8" x14ac:dyDescent="0.2">
      <c r="A218">
        <v>126761</v>
      </c>
      <c r="B218">
        <v>1500000</v>
      </c>
      <c r="C218" t="str">
        <f t="shared" si="3"/>
        <v>4. $250K-1M</v>
      </c>
      <c r="D218" t="s">
        <v>777</v>
      </c>
      <c r="E218" t="s">
        <v>42</v>
      </c>
      <c r="F218" t="s">
        <v>668</v>
      </c>
      <c r="G218" t="s">
        <v>59</v>
      </c>
      <c r="H218">
        <v>2023</v>
      </c>
    </row>
    <row r="219" spans="1:8" x14ac:dyDescent="0.2">
      <c r="A219">
        <v>12687</v>
      </c>
      <c r="B219">
        <v>9246882</v>
      </c>
      <c r="C219" t="str">
        <f t="shared" si="3"/>
        <v>5. $1M+</v>
      </c>
      <c r="D219" t="s">
        <v>77</v>
      </c>
      <c r="E219" t="s">
        <v>69</v>
      </c>
      <c r="F219" t="s">
        <v>12</v>
      </c>
      <c r="G219" t="s">
        <v>10</v>
      </c>
      <c r="H219">
        <v>2023</v>
      </c>
    </row>
    <row r="220" spans="1:8" x14ac:dyDescent="0.2">
      <c r="A220">
        <v>126998</v>
      </c>
      <c r="B220">
        <v>1250000</v>
      </c>
      <c r="C220" t="str">
        <f t="shared" si="3"/>
        <v>5. $1M+</v>
      </c>
      <c r="D220" t="s">
        <v>778</v>
      </c>
      <c r="E220" t="s">
        <v>99</v>
      </c>
      <c r="F220" t="s">
        <v>668</v>
      </c>
      <c r="G220" t="s">
        <v>59</v>
      </c>
      <c r="H220">
        <v>2025</v>
      </c>
    </row>
    <row r="221" spans="1:8" x14ac:dyDescent="0.2">
      <c r="A221">
        <v>127218</v>
      </c>
      <c r="B221">
        <v>512076.5</v>
      </c>
      <c r="C221" t="str">
        <f t="shared" si="3"/>
        <v>5. $1M+</v>
      </c>
      <c r="D221" t="s">
        <v>78</v>
      </c>
      <c r="E221" t="s">
        <v>54</v>
      </c>
      <c r="F221" t="s">
        <v>43</v>
      </c>
      <c r="G221" t="s">
        <v>79</v>
      </c>
      <c r="H221">
        <v>2023</v>
      </c>
    </row>
    <row r="222" spans="1:8" x14ac:dyDescent="0.2">
      <c r="A222">
        <v>127340</v>
      </c>
      <c r="B222">
        <v>328461.3</v>
      </c>
      <c r="C222" t="str">
        <f t="shared" si="3"/>
        <v>4. $250K-1M</v>
      </c>
      <c r="D222" t="s">
        <v>80</v>
      </c>
      <c r="E222" t="s">
        <v>24</v>
      </c>
      <c r="F222" t="s">
        <v>25</v>
      </c>
      <c r="G222" t="s">
        <v>10</v>
      </c>
      <c r="H222">
        <v>2024</v>
      </c>
    </row>
    <row r="223" spans="1:8" x14ac:dyDescent="0.2">
      <c r="A223">
        <v>127486</v>
      </c>
      <c r="B223">
        <v>3122509</v>
      </c>
      <c r="C223" t="str">
        <f t="shared" si="3"/>
        <v>4. $250K-1M</v>
      </c>
      <c r="D223" t="s">
        <v>81</v>
      </c>
      <c r="E223" t="s">
        <v>82</v>
      </c>
      <c r="F223" t="s">
        <v>43</v>
      </c>
      <c r="G223" t="s">
        <v>44</v>
      </c>
      <c r="H223">
        <v>2024</v>
      </c>
    </row>
    <row r="224" spans="1:8" x14ac:dyDescent="0.2">
      <c r="A224">
        <v>127551</v>
      </c>
      <c r="B224">
        <v>100380</v>
      </c>
      <c r="C224" t="str">
        <f t="shared" si="3"/>
        <v>5. $1M+</v>
      </c>
      <c r="D224" t="s">
        <v>23</v>
      </c>
      <c r="E224" t="s">
        <v>24</v>
      </c>
      <c r="F224" t="s">
        <v>25</v>
      </c>
      <c r="G224" t="s">
        <v>10</v>
      </c>
      <c r="H224">
        <v>2024</v>
      </c>
    </row>
    <row r="225" spans="1:8" x14ac:dyDescent="0.2">
      <c r="A225">
        <v>127597</v>
      </c>
      <c r="B225">
        <v>74500</v>
      </c>
      <c r="C225" t="str">
        <f t="shared" si="3"/>
        <v>3. $50K-250K</v>
      </c>
      <c r="D225" t="s">
        <v>83</v>
      </c>
      <c r="E225" t="s">
        <v>24</v>
      </c>
      <c r="F225" t="s">
        <v>22</v>
      </c>
      <c r="G225" t="s">
        <v>10</v>
      </c>
      <c r="H225">
        <v>2024</v>
      </c>
    </row>
    <row r="226" spans="1:8" x14ac:dyDescent="0.2">
      <c r="A226">
        <v>127695</v>
      </c>
      <c r="B226">
        <v>548205.99999999895</v>
      </c>
      <c r="C226" t="str">
        <f t="shared" si="3"/>
        <v>3. $50K-250K</v>
      </c>
      <c r="D226" t="s">
        <v>84</v>
      </c>
      <c r="E226" t="s">
        <v>28</v>
      </c>
      <c r="F226" t="s">
        <v>85</v>
      </c>
      <c r="G226" t="s">
        <v>10</v>
      </c>
      <c r="H226">
        <v>2023</v>
      </c>
    </row>
    <row r="227" spans="1:8" x14ac:dyDescent="0.2">
      <c r="A227">
        <v>127702</v>
      </c>
      <c r="B227">
        <v>670613</v>
      </c>
      <c r="C227" t="str">
        <f t="shared" si="3"/>
        <v>4. $250K-1M</v>
      </c>
      <c r="D227" t="s">
        <v>86</v>
      </c>
      <c r="E227" t="s">
        <v>54</v>
      </c>
      <c r="F227" t="s">
        <v>22</v>
      </c>
      <c r="G227" t="s">
        <v>10</v>
      </c>
      <c r="H227">
        <v>2024</v>
      </c>
    </row>
    <row r="228" spans="1:8" x14ac:dyDescent="0.2">
      <c r="A228">
        <v>127741</v>
      </c>
      <c r="B228">
        <v>50000</v>
      </c>
      <c r="C228" t="str">
        <f t="shared" si="3"/>
        <v>4. $250K-1M</v>
      </c>
      <c r="D228" t="s">
        <v>548</v>
      </c>
      <c r="E228" t="s">
        <v>82</v>
      </c>
      <c r="F228" t="s">
        <v>670</v>
      </c>
      <c r="G228" t="s">
        <v>44</v>
      </c>
      <c r="H228">
        <v>2023</v>
      </c>
    </row>
    <row r="229" spans="1:8" x14ac:dyDescent="0.2">
      <c r="A229">
        <v>127928</v>
      </c>
      <c r="B229">
        <v>500000</v>
      </c>
      <c r="C229" t="str">
        <f t="shared" si="3"/>
        <v>3. $50K-250K</v>
      </c>
      <c r="D229" t="s">
        <v>87</v>
      </c>
      <c r="E229" t="s">
        <v>8</v>
      </c>
      <c r="F229" t="s">
        <v>12</v>
      </c>
      <c r="G229" t="s">
        <v>10</v>
      </c>
      <c r="H229">
        <v>2024</v>
      </c>
    </row>
    <row r="230" spans="1:8" x14ac:dyDescent="0.2">
      <c r="A230">
        <v>129033</v>
      </c>
      <c r="B230">
        <v>22564835.300000001</v>
      </c>
      <c r="C230" t="str">
        <f t="shared" si="3"/>
        <v>4. $250K-1M</v>
      </c>
      <c r="D230" t="s">
        <v>88</v>
      </c>
      <c r="E230" t="s">
        <v>89</v>
      </c>
      <c r="F230" t="s">
        <v>85</v>
      </c>
      <c r="G230" t="s">
        <v>10</v>
      </c>
      <c r="H230">
        <v>2023</v>
      </c>
    </row>
    <row r="231" spans="1:8" x14ac:dyDescent="0.2">
      <c r="A231">
        <v>129052</v>
      </c>
      <c r="B231">
        <v>279500</v>
      </c>
      <c r="C231" t="str">
        <f t="shared" si="3"/>
        <v>5. $1M+</v>
      </c>
      <c r="D231" t="s">
        <v>719</v>
      </c>
      <c r="E231" t="s">
        <v>42</v>
      </c>
      <c r="F231" t="s">
        <v>670</v>
      </c>
      <c r="G231" t="s">
        <v>44</v>
      </c>
      <c r="H231">
        <v>2023</v>
      </c>
    </row>
    <row r="232" spans="1:8" x14ac:dyDescent="0.2">
      <c r="A232">
        <v>129053</v>
      </c>
      <c r="B232">
        <v>653111</v>
      </c>
      <c r="C232" t="str">
        <f t="shared" si="3"/>
        <v>4. $250K-1M</v>
      </c>
      <c r="D232" t="s">
        <v>779</v>
      </c>
      <c r="E232" t="s">
        <v>42</v>
      </c>
      <c r="F232" t="s">
        <v>670</v>
      </c>
      <c r="G232" t="s">
        <v>44</v>
      </c>
      <c r="H232">
        <v>2023</v>
      </c>
    </row>
    <row r="233" spans="1:8" x14ac:dyDescent="0.2">
      <c r="A233">
        <v>129054</v>
      </c>
      <c r="B233">
        <v>862894</v>
      </c>
      <c r="C233" t="str">
        <f t="shared" si="3"/>
        <v>4. $250K-1M</v>
      </c>
      <c r="D233" t="s">
        <v>780</v>
      </c>
      <c r="E233" t="s">
        <v>42</v>
      </c>
      <c r="F233" t="s">
        <v>670</v>
      </c>
      <c r="G233" t="s">
        <v>44</v>
      </c>
      <c r="H233">
        <v>2023</v>
      </c>
    </row>
    <row r="234" spans="1:8" x14ac:dyDescent="0.2">
      <c r="A234">
        <v>129055</v>
      </c>
      <c r="B234">
        <v>907405</v>
      </c>
      <c r="C234" t="str">
        <f t="shared" si="3"/>
        <v>4. $250K-1M</v>
      </c>
      <c r="D234" t="s">
        <v>780</v>
      </c>
      <c r="E234" t="s">
        <v>42</v>
      </c>
      <c r="F234" t="s">
        <v>670</v>
      </c>
      <c r="G234" t="s">
        <v>44</v>
      </c>
      <c r="H234">
        <v>2023</v>
      </c>
    </row>
    <row r="235" spans="1:8" x14ac:dyDescent="0.2">
      <c r="A235">
        <v>129056</v>
      </c>
      <c r="B235">
        <v>772456</v>
      </c>
      <c r="C235" t="str">
        <f t="shared" si="3"/>
        <v>4. $250K-1M</v>
      </c>
      <c r="D235" t="s">
        <v>781</v>
      </c>
      <c r="E235" t="s">
        <v>42</v>
      </c>
      <c r="F235" t="s">
        <v>670</v>
      </c>
      <c r="G235" t="s">
        <v>44</v>
      </c>
      <c r="H235">
        <v>2023</v>
      </c>
    </row>
    <row r="236" spans="1:8" x14ac:dyDescent="0.2">
      <c r="A236">
        <v>129057</v>
      </c>
      <c r="B236">
        <v>720223</v>
      </c>
      <c r="C236" t="str">
        <f t="shared" si="3"/>
        <v>4. $250K-1M</v>
      </c>
      <c r="D236" t="s">
        <v>782</v>
      </c>
      <c r="E236" t="s">
        <v>42</v>
      </c>
      <c r="F236" t="s">
        <v>670</v>
      </c>
      <c r="G236" t="s">
        <v>44</v>
      </c>
      <c r="H236">
        <v>2023</v>
      </c>
    </row>
    <row r="237" spans="1:8" x14ac:dyDescent="0.2">
      <c r="A237">
        <v>129058</v>
      </c>
      <c r="B237">
        <v>740876</v>
      </c>
      <c r="C237" t="str">
        <f t="shared" si="3"/>
        <v>4. $250K-1M</v>
      </c>
      <c r="D237" t="s">
        <v>783</v>
      </c>
      <c r="E237" t="s">
        <v>42</v>
      </c>
      <c r="F237" t="s">
        <v>670</v>
      </c>
      <c r="G237" t="s">
        <v>44</v>
      </c>
      <c r="H237">
        <v>2023</v>
      </c>
    </row>
    <row r="238" spans="1:8" x14ac:dyDescent="0.2">
      <c r="A238">
        <v>129059</v>
      </c>
      <c r="B238">
        <v>819631</v>
      </c>
      <c r="C238" t="str">
        <f t="shared" si="3"/>
        <v>4. $250K-1M</v>
      </c>
      <c r="D238" t="s">
        <v>781</v>
      </c>
      <c r="E238" t="s">
        <v>42</v>
      </c>
      <c r="F238" t="s">
        <v>670</v>
      </c>
      <c r="G238" t="s">
        <v>44</v>
      </c>
      <c r="H238">
        <v>2023</v>
      </c>
    </row>
    <row r="239" spans="1:8" x14ac:dyDescent="0.2">
      <c r="A239">
        <v>129060</v>
      </c>
      <c r="B239">
        <v>767380</v>
      </c>
      <c r="C239" t="str">
        <f t="shared" si="3"/>
        <v>4. $250K-1M</v>
      </c>
      <c r="D239" t="s">
        <v>782</v>
      </c>
      <c r="E239" t="s">
        <v>42</v>
      </c>
      <c r="F239" t="s">
        <v>670</v>
      </c>
      <c r="G239" t="s">
        <v>44</v>
      </c>
      <c r="H239">
        <v>2023</v>
      </c>
    </row>
    <row r="240" spans="1:8" x14ac:dyDescent="0.2">
      <c r="A240">
        <v>129061</v>
      </c>
      <c r="B240">
        <v>20326380</v>
      </c>
      <c r="C240" t="str">
        <f t="shared" si="3"/>
        <v>4. $250K-1M</v>
      </c>
      <c r="D240" t="s">
        <v>749</v>
      </c>
      <c r="E240" t="s">
        <v>42</v>
      </c>
      <c r="F240" t="s">
        <v>670</v>
      </c>
      <c r="G240" t="s">
        <v>44</v>
      </c>
      <c r="H240">
        <v>2023</v>
      </c>
    </row>
    <row r="241" spans="1:8" x14ac:dyDescent="0.2">
      <c r="A241">
        <v>129138</v>
      </c>
      <c r="B241">
        <v>840480</v>
      </c>
      <c r="C241" t="str">
        <f t="shared" si="3"/>
        <v>5. $1M+</v>
      </c>
      <c r="D241" t="s">
        <v>784</v>
      </c>
      <c r="E241" t="s">
        <v>237</v>
      </c>
      <c r="F241" t="s">
        <v>670</v>
      </c>
      <c r="G241" t="s">
        <v>59</v>
      </c>
      <c r="H241">
        <v>2023</v>
      </c>
    </row>
    <row r="242" spans="1:8" x14ac:dyDescent="0.2">
      <c r="A242">
        <v>129570</v>
      </c>
      <c r="B242">
        <v>7500000</v>
      </c>
      <c r="C242" t="str">
        <f t="shared" si="3"/>
        <v>4. $250K-1M</v>
      </c>
      <c r="D242" t="s">
        <v>90</v>
      </c>
      <c r="E242" t="s">
        <v>28</v>
      </c>
      <c r="F242" t="s">
        <v>29</v>
      </c>
      <c r="G242" t="s">
        <v>59</v>
      </c>
      <c r="H242">
        <v>2025</v>
      </c>
    </row>
    <row r="243" spans="1:8" x14ac:dyDescent="0.2">
      <c r="A243">
        <v>129571</v>
      </c>
      <c r="B243">
        <v>8500000</v>
      </c>
      <c r="C243" t="str">
        <f t="shared" si="3"/>
        <v>5. $1M+</v>
      </c>
      <c r="D243" t="s">
        <v>91</v>
      </c>
      <c r="E243" t="s">
        <v>28</v>
      </c>
      <c r="F243" t="s">
        <v>29</v>
      </c>
      <c r="G243" t="s">
        <v>59</v>
      </c>
      <c r="H243">
        <v>2024</v>
      </c>
    </row>
    <row r="244" spans="1:8" x14ac:dyDescent="0.2">
      <c r="A244">
        <v>129971</v>
      </c>
      <c r="B244">
        <v>60000000</v>
      </c>
      <c r="C244" t="str">
        <f t="shared" si="3"/>
        <v>5. $1M+</v>
      </c>
      <c r="D244" t="s">
        <v>92</v>
      </c>
      <c r="E244" t="s">
        <v>18</v>
      </c>
      <c r="F244" t="s">
        <v>22</v>
      </c>
      <c r="G244" t="s">
        <v>10</v>
      </c>
      <c r="H244">
        <v>2024</v>
      </c>
    </row>
    <row r="245" spans="1:8" x14ac:dyDescent="0.2">
      <c r="A245">
        <v>129972</v>
      </c>
      <c r="B245">
        <v>80000000</v>
      </c>
      <c r="C245" t="str">
        <f t="shared" si="3"/>
        <v>5. $1M+</v>
      </c>
      <c r="D245" t="s">
        <v>92</v>
      </c>
      <c r="E245" t="s">
        <v>18</v>
      </c>
      <c r="F245" t="s">
        <v>22</v>
      </c>
      <c r="G245" t="s">
        <v>10</v>
      </c>
      <c r="H245">
        <v>2024</v>
      </c>
    </row>
    <row r="246" spans="1:8" x14ac:dyDescent="0.2">
      <c r="A246">
        <v>130155</v>
      </c>
      <c r="B246">
        <v>1482293.6</v>
      </c>
      <c r="C246" t="str">
        <f t="shared" si="3"/>
        <v>5. $1M+</v>
      </c>
      <c r="D246" t="s">
        <v>93</v>
      </c>
      <c r="E246" t="s">
        <v>28</v>
      </c>
      <c r="F246" t="s">
        <v>31</v>
      </c>
      <c r="G246" t="s">
        <v>10</v>
      </c>
      <c r="H246">
        <v>2025</v>
      </c>
    </row>
    <row r="247" spans="1:8" x14ac:dyDescent="0.2">
      <c r="A247">
        <v>130253</v>
      </c>
      <c r="B247">
        <v>357000</v>
      </c>
      <c r="C247" t="str">
        <f t="shared" si="3"/>
        <v>5. $1M+</v>
      </c>
      <c r="D247" t="s">
        <v>785</v>
      </c>
      <c r="E247" t="s">
        <v>59</v>
      </c>
      <c r="F247" t="s">
        <v>670</v>
      </c>
      <c r="G247" t="s">
        <v>59</v>
      </c>
      <c r="H247">
        <v>2023</v>
      </c>
    </row>
    <row r="248" spans="1:8" x14ac:dyDescent="0.2">
      <c r="A248">
        <v>130712</v>
      </c>
      <c r="B248">
        <v>1893</v>
      </c>
      <c r="C248" t="str">
        <f t="shared" si="3"/>
        <v>4. $250K-1M</v>
      </c>
      <c r="D248" t="s">
        <v>7</v>
      </c>
      <c r="E248" t="s">
        <v>8</v>
      </c>
      <c r="F248" t="s">
        <v>9</v>
      </c>
      <c r="G248" t="s">
        <v>10</v>
      </c>
      <c r="H248">
        <v>2023</v>
      </c>
    </row>
    <row r="249" spans="1:8" x14ac:dyDescent="0.2">
      <c r="A249">
        <v>13082</v>
      </c>
      <c r="B249">
        <v>436824.4</v>
      </c>
      <c r="C249" t="str">
        <f t="shared" si="3"/>
        <v>1. Under $10K</v>
      </c>
      <c r="D249" t="s">
        <v>786</v>
      </c>
      <c r="E249" t="s">
        <v>99</v>
      </c>
      <c r="F249" t="s">
        <v>668</v>
      </c>
      <c r="G249" t="s">
        <v>59</v>
      </c>
      <c r="H249">
        <v>2024</v>
      </c>
    </row>
    <row r="250" spans="1:8" x14ac:dyDescent="0.2">
      <c r="A250">
        <v>131840</v>
      </c>
      <c r="B250">
        <v>1167231.1000000001</v>
      </c>
      <c r="C250" t="str">
        <f t="shared" si="3"/>
        <v>4. $250K-1M</v>
      </c>
      <c r="D250" t="s">
        <v>94</v>
      </c>
      <c r="E250" t="s">
        <v>28</v>
      </c>
      <c r="F250" t="s">
        <v>34</v>
      </c>
      <c r="G250" t="s">
        <v>10</v>
      </c>
      <c r="H250">
        <v>2024</v>
      </c>
    </row>
    <row r="251" spans="1:8" x14ac:dyDescent="0.2">
      <c r="A251">
        <v>131988</v>
      </c>
      <c r="B251">
        <v>6488400</v>
      </c>
      <c r="C251" t="str">
        <f t="shared" si="3"/>
        <v>5. $1M+</v>
      </c>
      <c r="D251" t="s">
        <v>95</v>
      </c>
      <c r="E251" t="s">
        <v>65</v>
      </c>
      <c r="F251" t="s">
        <v>22</v>
      </c>
      <c r="G251" t="s">
        <v>10</v>
      </c>
      <c r="H251">
        <v>2024</v>
      </c>
    </row>
    <row r="252" spans="1:8" x14ac:dyDescent="0.2">
      <c r="A252">
        <v>132457</v>
      </c>
      <c r="B252">
        <v>1800828</v>
      </c>
      <c r="C252" t="str">
        <f t="shared" si="3"/>
        <v>5. $1M+</v>
      </c>
      <c r="D252" t="s">
        <v>83</v>
      </c>
      <c r="E252" t="s">
        <v>24</v>
      </c>
      <c r="F252" t="s">
        <v>22</v>
      </c>
      <c r="G252" t="s">
        <v>10</v>
      </c>
      <c r="H252">
        <v>2025</v>
      </c>
    </row>
    <row r="253" spans="1:8" x14ac:dyDescent="0.2">
      <c r="A253">
        <v>132516</v>
      </c>
      <c r="B253">
        <v>2438651.2999999998</v>
      </c>
      <c r="C253" t="str">
        <f t="shared" si="3"/>
        <v>5. $1M+</v>
      </c>
      <c r="D253" t="s">
        <v>96</v>
      </c>
      <c r="E253" t="s">
        <v>24</v>
      </c>
      <c r="F253" t="s">
        <v>9</v>
      </c>
      <c r="G253" t="s">
        <v>10</v>
      </c>
      <c r="H253">
        <v>2025</v>
      </c>
    </row>
    <row r="254" spans="1:8" x14ac:dyDescent="0.2">
      <c r="A254">
        <v>132592</v>
      </c>
      <c r="B254">
        <v>1711804.6</v>
      </c>
      <c r="C254" t="str">
        <f t="shared" si="3"/>
        <v>5. $1M+</v>
      </c>
      <c r="D254" t="s">
        <v>96</v>
      </c>
      <c r="E254" t="s">
        <v>24</v>
      </c>
      <c r="F254" t="s">
        <v>9</v>
      </c>
      <c r="G254" t="s">
        <v>10</v>
      </c>
      <c r="H254">
        <v>2025</v>
      </c>
    </row>
    <row r="255" spans="1:8" x14ac:dyDescent="0.2">
      <c r="A255">
        <v>132634</v>
      </c>
      <c r="B255">
        <v>100446.5</v>
      </c>
      <c r="C255" t="str">
        <f t="shared" si="3"/>
        <v>5. $1M+</v>
      </c>
      <c r="D255" t="s">
        <v>96</v>
      </c>
      <c r="E255" t="s">
        <v>24</v>
      </c>
      <c r="F255" t="s">
        <v>9</v>
      </c>
      <c r="G255" t="s">
        <v>10</v>
      </c>
      <c r="H255">
        <v>2025</v>
      </c>
    </row>
    <row r="256" spans="1:8" x14ac:dyDescent="0.2">
      <c r="A256">
        <v>132635</v>
      </c>
      <c r="B256">
        <v>6110347.9000000004</v>
      </c>
      <c r="C256" t="str">
        <f t="shared" si="3"/>
        <v>3. $50K-250K</v>
      </c>
      <c r="D256" t="s">
        <v>97</v>
      </c>
      <c r="E256" t="s">
        <v>24</v>
      </c>
      <c r="F256" t="s">
        <v>9</v>
      </c>
      <c r="G256" t="s">
        <v>10</v>
      </c>
      <c r="H256">
        <v>2024</v>
      </c>
    </row>
    <row r="257" spans="1:8" x14ac:dyDescent="0.2">
      <c r="A257">
        <v>133236</v>
      </c>
      <c r="B257">
        <v>1100000</v>
      </c>
      <c r="C257" t="str">
        <f t="shared" si="3"/>
        <v>5. $1M+</v>
      </c>
      <c r="D257" t="s">
        <v>787</v>
      </c>
      <c r="E257" t="s">
        <v>432</v>
      </c>
      <c r="F257" t="s">
        <v>668</v>
      </c>
      <c r="G257" t="s">
        <v>59</v>
      </c>
      <c r="H257">
        <v>2023</v>
      </c>
    </row>
    <row r="258" spans="1:8" x14ac:dyDescent="0.2">
      <c r="A258">
        <v>134604</v>
      </c>
      <c r="B258">
        <v>800000</v>
      </c>
      <c r="C258" t="str">
        <f t="shared" si="3"/>
        <v>5. $1M+</v>
      </c>
      <c r="D258" t="s">
        <v>788</v>
      </c>
      <c r="E258" t="s">
        <v>42</v>
      </c>
      <c r="F258" t="s">
        <v>668</v>
      </c>
      <c r="G258" t="s">
        <v>59</v>
      </c>
      <c r="H258">
        <v>2023</v>
      </c>
    </row>
    <row r="259" spans="1:8" x14ac:dyDescent="0.2">
      <c r="A259">
        <v>134774</v>
      </c>
      <c r="B259">
        <v>460000</v>
      </c>
      <c r="C259" t="str">
        <f t="shared" ref="C259:C322" si="4">IF(B258&lt;10000,"1. Under $10K",IF(B258&lt;50000,"2. $10K-50K",IF(B258&lt;250000,"3. $50K-250K",IF(B258&lt;1000000,"4. $250K-1M","5. $1M+"))))</f>
        <v>4. $250K-1M</v>
      </c>
      <c r="D259" t="s">
        <v>789</v>
      </c>
      <c r="E259" t="s">
        <v>42</v>
      </c>
      <c r="F259" t="s">
        <v>668</v>
      </c>
      <c r="G259" t="s">
        <v>59</v>
      </c>
      <c r="H259">
        <v>2023</v>
      </c>
    </row>
    <row r="260" spans="1:8" x14ac:dyDescent="0.2">
      <c r="A260">
        <v>134949</v>
      </c>
      <c r="B260">
        <v>164606.39999999999</v>
      </c>
      <c r="C260" t="str">
        <f t="shared" si="4"/>
        <v>4. $250K-1M</v>
      </c>
      <c r="D260" t="s">
        <v>98</v>
      </c>
      <c r="E260" t="s">
        <v>99</v>
      </c>
      <c r="F260" t="s">
        <v>100</v>
      </c>
      <c r="G260" t="s">
        <v>101</v>
      </c>
      <c r="H260">
        <v>2025</v>
      </c>
    </row>
    <row r="261" spans="1:8" x14ac:dyDescent="0.2">
      <c r="A261">
        <v>135010</v>
      </c>
      <c r="B261">
        <v>2000000</v>
      </c>
      <c r="C261" t="str">
        <f t="shared" si="4"/>
        <v>3. $50K-250K</v>
      </c>
      <c r="D261" t="s">
        <v>102</v>
      </c>
      <c r="E261" t="s">
        <v>18</v>
      </c>
      <c r="F261" t="s">
        <v>19</v>
      </c>
      <c r="G261" t="s">
        <v>103</v>
      </c>
      <c r="H261">
        <v>2025</v>
      </c>
    </row>
    <row r="262" spans="1:8" x14ac:dyDescent="0.2">
      <c r="A262">
        <v>135214</v>
      </c>
      <c r="B262">
        <v>1753094</v>
      </c>
      <c r="C262" t="str">
        <f t="shared" si="4"/>
        <v>5. $1M+</v>
      </c>
      <c r="D262" t="s">
        <v>391</v>
      </c>
      <c r="E262" t="s">
        <v>59</v>
      </c>
      <c r="F262" t="s">
        <v>670</v>
      </c>
      <c r="G262" t="s">
        <v>59</v>
      </c>
      <c r="H262">
        <v>2023</v>
      </c>
    </row>
    <row r="263" spans="1:8" x14ac:dyDescent="0.2">
      <c r="A263">
        <v>135215</v>
      </c>
      <c r="B263">
        <v>449642</v>
      </c>
      <c r="C263" t="str">
        <f t="shared" si="4"/>
        <v>5. $1M+</v>
      </c>
      <c r="D263" t="s">
        <v>686</v>
      </c>
      <c r="E263" t="s">
        <v>59</v>
      </c>
      <c r="F263" t="s">
        <v>670</v>
      </c>
      <c r="G263" t="s">
        <v>59</v>
      </c>
      <c r="H263">
        <v>2023</v>
      </c>
    </row>
    <row r="264" spans="1:8" x14ac:dyDescent="0.2">
      <c r="A264">
        <v>135798</v>
      </c>
      <c r="B264">
        <v>300000</v>
      </c>
      <c r="C264" t="str">
        <f t="shared" si="4"/>
        <v>4. $250K-1M</v>
      </c>
      <c r="D264" t="s">
        <v>84</v>
      </c>
      <c r="E264" t="s">
        <v>28</v>
      </c>
      <c r="F264" t="s">
        <v>85</v>
      </c>
      <c r="G264" t="s">
        <v>59</v>
      </c>
      <c r="H264">
        <v>2023</v>
      </c>
    </row>
    <row r="265" spans="1:8" x14ac:dyDescent="0.2">
      <c r="A265">
        <v>136596</v>
      </c>
      <c r="B265">
        <v>25000000</v>
      </c>
      <c r="C265" t="str">
        <f t="shared" si="4"/>
        <v>4. $250K-1M</v>
      </c>
      <c r="D265" t="s">
        <v>104</v>
      </c>
      <c r="E265" t="s">
        <v>8</v>
      </c>
      <c r="F265" t="s">
        <v>9</v>
      </c>
      <c r="G265" t="s">
        <v>10</v>
      </c>
      <c r="H265">
        <v>2023</v>
      </c>
    </row>
    <row r="266" spans="1:8" x14ac:dyDescent="0.2">
      <c r="A266">
        <v>136811</v>
      </c>
      <c r="B266">
        <v>252000000</v>
      </c>
      <c r="C266" t="str">
        <f t="shared" si="4"/>
        <v>5. $1M+</v>
      </c>
      <c r="D266" t="s">
        <v>790</v>
      </c>
      <c r="E266" t="s">
        <v>52</v>
      </c>
      <c r="F266" t="s">
        <v>668</v>
      </c>
      <c r="G266" t="s">
        <v>59</v>
      </c>
      <c r="H266">
        <v>2023</v>
      </c>
    </row>
    <row r="267" spans="1:8" x14ac:dyDescent="0.2">
      <c r="A267">
        <v>139434</v>
      </c>
      <c r="B267">
        <v>40000</v>
      </c>
      <c r="C267" t="str">
        <f t="shared" si="4"/>
        <v>5. $1M+</v>
      </c>
      <c r="D267" t="s">
        <v>791</v>
      </c>
      <c r="E267" t="s">
        <v>42</v>
      </c>
      <c r="F267" t="s">
        <v>670</v>
      </c>
      <c r="G267" t="s">
        <v>44</v>
      </c>
      <c r="H267">
        <v>2023</v>
      </c>
    </row>
    <row r="268" spans="1:8" x14ac:dyDescent="0.2">
      <c r="A268">
        <v>140117</v>
      </c>
      <c r="B268">
        <v>2015000</v>
      </c>
      <c r="C268" t="str">
        <f t="shared" si="4"/>
        <v>2. $10K-50K</v>
      </c>
      <c r="D268" t="s">
        <v>792</v>
      </c>
      <c r="E268" t="s">
        <v>42</v>
      </c>
      <c r="F268" t="s">
        <v>668</v>
      </c>
      <c r="G268" t="s">
        <v>59</v>
      </c>
      <c r="H268">
        <v>2024</v>
      </c>
    </row>
    <row r="269" spans="1:8" x14ac:dyDescent="0.2">
      <c r="A269">
        <v>140238</v>
      </c>
      <c r="B269">
        <v>667000</v>
      </c>
      <c r="C269" t="str">
        <f t="shared" si="4"/>
        <v>5. $1M+</v>
      </c>
      <c r="D269" t="s">
        <v>23</v>
      </c>
      <c r="E269" t="s">
        <v>24</v>
      </c>
      <c r="F269" t="s">
        <v>25</v>
      </c>
      <c r="G269" t="s">
        <v>10</v>
      </c>
      <c r="H269">
        <v>2023</v>
      </c>
    </row>
    <row r="270" spans="1:8" x14ac:dyDescent="0.2">
      <c r="A270">
        <v>140240</v>
      </c>
      <c r="B270">
        <v>18000</v>
      </c>
      <c r="C270" t="str">
        <f t="shared" si="4"/>
        <v>4. $250K-1M</v>
      </c>
      <c r="D270" t="s">
        <v>39</v>
      </c>
      <c r="E270" t="s">
        <v>8</v>
      </c>
      <c r="F270" t="s">
        <v>9</v>
      </c>
      <c r="G270" t="s">
        <v>10</v>
      </c>
      <c r="H270">
        <v>2023</v>
      </c>
    </row>
    <row r="271" spans="1:8" x14ac:dyDescent="0.2">
      <c r="A271">
        <v>140717</v>
      </c>
      <c r="B271">
        <v>579500</v>
      </c>
      <c r="C271" t="str">
        <f t="shared" si="4"/>
        <v>2. $10K-50K</v>
      </c>
      <c r="D271" t="s">
        <v>694</v>
      </c>
      <c r="E271" t="s">
        <v>42</v>
      </c>
      <c r="F271" t="s">
        <v>670</v>
      </c>
      <c r="G271" t="s">
        <v>44</v>
      </c>
      <c r="H271">
        <v>2023</v>
      </c>
    </row>
    <row r="272" spans="1:8" x14ac:dyDescent="0.2">
      <c r="A272">
        <v>140723</v>
      </c>
      <c r="B272">
        <v>480000</v>
      </c>
      <c r="C272" t="str">
        <f t="shared" si="4"/>
        <v>4. $250K-1M</v>
      </c>
      <c r="D272" t="s">
        <v>686</v>
      </c>
      <c r="E272" t="s">
        <v>42</v>
      </c>
      <c r="F272" t="s">
        <v>670</v>
      </c>
      <c r="G272" t="s">
        <v>44</v>
      </c>
      <c r="H272">
        <v>2023</v>
      </c>
    </row>
    <row r="273" spans="1:8" x14ac:dyDescent="0.2">
      <c r="A273">
        <v>140729</v>
      </c>
      <c r="B273">
        <v>238935</v>
      </c>
      <c r="C273" t="str">
        <f t="shared" si="4"/>
        <v>4. $250K-1M</v>
      </c>
      <c r="D273" t="s">
        <v>793</v>
      </c>
      <c r="E273" t="s">
        <v>42</v>
      </c>
      <c r="F273" t="s">
        <v>670</v>
      </c>
      <c r="G273" t="s">
        <v>44</v>
      </c>
      <c r="H273">
        <v>2023</v>
      </c>
    </row>
    <row r="274" spans="1:8" x14ac:dyDescent="0.2">
      <c r="A274">
        <v>140734</v>
      </c>
      <c r="B274">
        <v>350000</v>
      </c>
      <c r="C274" t="str">
        <f t="shared" si="4"/>
        <v>3. $50K-250K</v>
      </c>
      <c r="D274" t="s">
        <v>682</v>
      </c>
      <c r="E274" t="s">
        <v>42</v>
      </c>
      <c r="F274" t="s">
        <v>670</v>
      </c>
      <c r="G274" t="s">
        <v>44</v>
      </c>
      <c r="H274">
        <v>2023</v>
      </c>
    </row>
    <row r="275" spans="1:8" x14ac:dyDescent="0.2">
      <c r="A275">
        <v>140747</v>
      </c>
      <c r="B275">
        <v>700000</v>
      </c>
      <c r="C275" t="str">
        <f t="shared" si="4"/>
        <v>4. $250K-1M</v>
      </c>
      <c r="D275" t="s">
        <v>794</v>
      </c>
      <c r="E275" t="s">
        <v>42</v>
      </c>
      <c r="F275" t="s">
        <v>670</v>
      </c>
      <c r="G275" t="s">
        <v>44</v>
      </c>
      <c r="H275">
        <v>2023</v>
      </c>
    </row>
    <row r="276" spans="1:8" x14ac:dyDescent="0.2">
      <c r="A276">
        <v>142400</v>
      </c>
      <c r="B276">
        <v>25000</v>
      </c>
      <c r="C276" t="str">
        <f t="shared" si="4"/>
        <v>4. $250K-1M</v>
      </c>
      <c r="D276" t="s">
        <v>105</v>
      </c>
      <c r="E276" t="s">
        <v>54</v>
      </c>
      <c r="F276" t="s">
        <v>106</v>
      </c>
      <c r="G276" t="s">
        <v>10</v>
      </c>
      <c r="H276">
        <v>2023</v>
      </c>
    </row>
    <row r="277" spans="1:8" x14ac:dyDescent="0.2">
      <c r="A277">
        <v>142734</v>
      </c>
      <c r="B277">
        <v>44326</v>
      </c>
      <c r="C277" t="str">
        <f t="shared" si="4"/>
        <v>2. $10K-50K</v>
      </c>
      <c r="D277" t="s">
        <v>795</v>
      </c>
      <c r="E277" t="s">
        <v>237</v>
      </c>
      <c r="F277" t="s">
        <v>670</v>
      </c>
      <c r="G277" t="s">
        <v>59</v>
      </c>
      <c r="H277">
        <v>2023</v>
      </c>
    </row>
    <row r="278" spans="1:8" x14ac:dyDescent="0.2">
      <c r="A278">
        <v>142758</v>
      </c>
      <c r="B278">
        <v>286734</v>
      </c>
      <c r="C278" t="str">
        <f t="shared" si="4"/>
        <v>2. $10K-50K</v>
      </c>
      <c r="D278" t="s">
        <v>796</v>
      </c>
      <c r="E278" t="s">
        <v>237</v>
      </c>
      <c r="F278" t="s">
        <v>670</v>
      </c>
      <c r="G278" t="s">
        <v>59</v>
      </c>
      <c r="H278">
        <v>2023</v>
      </c>
    </row>
    <row r="279" spans="1:8" x14ac:dyDescent="0.2">
      <c r="A279">
        <v>143257</v>
      </c>
      <c r="B279">
        <v>15900000</v>
      </c>
      <c r="C279" t="str">
        <f t="shared" si="4"/>
        <v>4. $250K-1M</v>
      </c>
      <c r="D279" t="s">
        <v>107</v>
      </c>
      <c r="E279" t="s">
        <v>18</v>
      </c>
      <c r="F279" t="s">
        <v>22</v>
      </c>
      <c r="G279" t="s">
        <v>79</v>
      </c>
      <c r="H279">
        <v>2023</v>
      </c>
    </row>
    <row r="280" spans="1:8" x14ac:dyDescent="0.2">
      <c r="A280">
        <v>143326</v>
      </c>
      <c r="B280">
        <v>69423.8</v>
      </c>
      <c r="C280" t="str">
        <f t="shared" si="4"/>
        <v>5. $1M+</v>
      </c>
      <c r="D280" t="s">
        <v>108</v>
      </c>
      <c r="E280" t="s">
        <v>24</v>
      </c>
      <c r="F280" t="s">
        <v>106</v>
      </c>
      <c r="G280" t="s">
        <v>10</v>
      </c>
      <c r="H280">
        <v>2023</v>
      </c>
    </row>
    <row r="281" spans="1:8" x14ac:dyDescent="0.2">
      <c r="A281">
        <v>143578</v>
      </c>
      <c r="B281">
        <v>38155</v>
      </c>
      <c r="C281" t="str">
        <f t="shared" si="4"/>
        <v>3. $50K-250K</v>
      </c>
      <c r="D281" t="s">
        <v>797</v>
      </c>
      <c r="E281" t="s">
        <v>99</v>
      </c>
      <c r="F281" t="s">
        <v>668</v>
      </c>
      <c r="G281" t="s">
        <v>59</v>
      </c>
      <c r="H281">
        <v>2023</v>
      </c>
    </row>
    <row r="282" spans="1:8" x14ac:dyDescent="0.2">
      <c r="A282">
        <v>143675</v>
      </c>
      <c r="B282">
        <v>10000000</v>
      </c>
      <c r="C282" t="str">
        <f t="shared" si="4"/>
        <v>2. $10K-50K</v>
      </c>
      <c r="D282" t="s">
        <v>38</v>
      </c>
      <c r="E282" t="s">
        <v>8</v>
      </c>
      <c r="F282" t="s">
        <v>9</v>
      </c>
      <c r="G282" t="s">
        <v>10</v>
      </c>
      <c r="H282">
        <v>2023</v>
      </c>
    </row>
    <row r="283" spans="1:8" x14ac:dyDescent="0.2">
      <c r="A283">
        <v>144028</v>
      </c>
      <c r="B283">
        <v>292169</v>
      </c>
      <c r="C283" t="str">
        <f t="shared" si="4"/>
        <v>5. $1M+</v>
      </c>
      <c r="D283" t="s">
        <v>798</v>
      </c>
      <c r="E283" t="s">
        <v>237</v>
      </c>
      <c r="F283" t="s">
        <v>670</v>
      </c>
      <c r="G283" t="s">
        <v>59</v>
      </c>
      <c r="H283">
        <v>2023</v>
      </c>
    </row>
    <row r="284" spans="1:8" x14ac:dyDescent="0.2">
      <c r="A284">
        <v>144499</v>
      </c>
      <c r="B284">
        <v>178500</v>
      </c>
      <c r="C284" t="str">
        <f t="shared" si="4"/>
        <v>4. $250K-1M</v>
      </c>
      <c r="D284" t="s">
        <v>799</v>
      </c>
      <c r="E284" t="s">
        <v>237</v>
      </c>
      <c r="F284" t="s">
        <v>670</v>
      </c>
      <c r="G284" t="s">
        <v>59</v>
      </c>
      <c r="H284">
        <v>2023</v>
      </c>
    </row>
    <row r="285" spans="1:8" x14ac:dyDescent="0.2">
      <c r="A285">
        <v>144500</v>
      </c>
      <c r="B285">
        <v>178500</v>
      </c>
      <c r="C285" t="str">
        <f t="shared" si="4"/>
        <v>3. $50K-250K</v>
      </c>
      <c r="D285" t="s">
        <v>548</v>
      </c>
      <c r="E285" t="s">
        <v>237</v>
      </c>
      <c r="F285" t="s">
        <v>670</v>
      </c>
      <c r="G285" t="s">
        <v>59</v>
      </c>
      <c r="H285">
        <v>2023</v>
      </c>
    </row>
    <row r="286" spans="1:8" x14ac:dyDescent="0.2">
      <c r="A286">
        <v>144501</v>
      </c>
      <c r="B286">
        <v>178500</v>
      </c>
      <c r="C286" t="str">
        <f t="shared" si="4"/>
        <v>3. $50K-250K</v>
      </c>
      <c r="D286" t="s">
        <v>724</v>
      </c>
      <c r="E286" t="s">
        <v>237</v>
      </c>
      <c r="F286" t="s">
        <v>670</v>
      </c>
      <c r="G286" t="s">
        <v>59</v>
      </c>
      <c r="H286">
        <v>2023</v>
      </c>
    </row>
    <row r="287" spans="1:8" x14ac:dyDescent="0.2">
      <c r="A287">
        <v>144502</v>
      </c>
      <c r="B287">
        <v>178500</v>
      </c>
      <c r="C287" t="str">
        <f t="shared" si="4"/>
        <v>3. $50K-250K</v>
      </c>
      <c r="D287" t="s">
        <v>800</v>
      </c>
      <c r="E287" t="s">
        <v>237</v>
      </c>
      <c r="F287" t="s">
        <v>670</v>
      </c>
      <c r="G287" t="s">
        <v>59</v>
      </c>
      <c r="H287">
        <v>2023</v>
      </c>
    </row>
    <row r="288" spans="1:8" x14ac:dyDescent="0.2">
      <c r="A288">
        <v>144503</v>
      </c>
      <c r="B288">
        <v>178500</v>
      </c>
      <c r="C288" t="str">
        <f t="shared" si="4"/>
        <v>3. $50K-250K</v>
      </c>
      <c r="D288" t="s">
        <v>749</v>
      </c>
      <c r="E288" t="s">
        <v>237</v>
      </c>
      <c r="F288" t="s">
        <v>670</v>
      </c>
      <c r="G288" t="s">
        <v>59</v>
      </c>
      <c r="H288">
        <v>2023</v>
      </c>
    </row>
    <row r="289" spans="1:8" x14ac:dyDescent="0.2">
      <c r="A289">
        <v>144504</v>
      </c>
      <c r="B289">
        <v>178500</v>
      </c>
      <c r="C289" t="str">
        <f t="shared" si="4"/>
        <v>3. $50K-250K</v>
      </c>
      <c r="D289" t="s">
        <v>801</v>
      </c>
      <c r="E289" t="s">
        <v>237</v>
      </c>
      <c r="F289" t="s">
        <v>670</v>
      </c>
      <c r="G289" t="s">
        <v>59</v>
      </c>
      <c r="H289">
        <v>2023</v>
      </c>
    </row>
    <row r="290" spans="1:8" x14ac:dyDescent="0.2">
      <c r="A290">
        <v>144506</v>
      </c>
      <c r="B290">
        <v>178500</v>
      </c>
      <c r="C290" t="str">
        <f t="shared" si="4"/>
        <v>3. $50K-250K</v>
      </c>
      <c r="D290" t="s">
        <v>802</v>
      </c>
      <c r="E290" t="s">
        <v>237</v>
      </c>
      <c r="F290" t="s">
        <v>670</v>
      </c>
      <c r="G290" t="s">
        <v>59</v>
      </c>
      <c r="H290">
        <v>2023</v>
      </c>
    </row>
    <row r="291" spans="1:8" x14ac:dyDescent="0.2">
      <c r="A291">
        <v>144511</v>
      </c>
      <c r="B291">
        <v>178500</v>
      </c>
      <c r="C291" t="str">
        <f t="shared" si="4"/>
        <v>3. $50K-250K</v>
      </c>
      <c r="D291" t="s">
        <v>803</v>
      </c>
      <c r="E291" t="s">
        <v>237</v>
      </c>
      <c r="F291" t="s">
        <v>670</v>
      </c>
      <c r="G291" t="s">
        <v>59</v>
      </c>
      <c r="H291">
        <v>2023</v>
      </c>
    </row>
    <row r="292" spans="1:8" x14ac:dyDescent="0.2">
      <c r="A292">
        <v>144514</v>
      </c>
      <c r="B292">
        <v>178500</v>
      </c>
      <c r="C292" t="str">
        <f t="shared" si="4"/>
        <v>3. $50K-250K</v>
      </c>
      <c r="D292" t="s">
        <v>804</v>
      </c>
      <c r="E292" t="s">
        <v>237</v>
      </c>
      <c r="F292" t="s">
        <v>670</v>
      </c>
      <c r="G292" t="s">
        <v>59</v>
      </c>
      <c r="H292">
        <v>2023</v>
      </c>
    </row>
    <row r="293" spans="1:8" x14ac:dyDescent="0.2">
      <c r="A293">
        <v>144515</v>
      </c>
      <c r="B293">
        <v>178500</v>
      </c>
      <c r="C293" t="str">
        <f t="shared" si="4"/>
        <v>3. $50K-250K</v>
      </c>
      <c r="D293" t="s">
        <v>805</v>
      </c>
      <c r="E293" t="s">
        <v>237</v>
      </c>
      <c r="F293" t="s">
        <v>670</v>
      </c>
      <c r="G293" t="s">
        <v>59</v>
      </c>
      <c r="H293">
        <v>2023</v>
      </c>
    </row>
    <row r="294" spans="1:8" x14ac:dyDescent="0.2">
      <c r="A294">
        <v>144516</v>
      </c>
      <c r="B294">
        <v>178500</v>
      </c>
      <c r="C294" t="str">
        <f t="shared" si="4"/>
        <v>3. $50K-250K</v>
      </c>
      <c r="D294" t="s">
        <v>783</v>
      </c>
      <c r="E294" t="s">
        <v>237</v>
      </c>
      <c r="F294" t="s">
        <v>670</v>
      </c>
      <c r="G294" t="s">
        <v>59</v>
      </c>
      <c r="H294">
        <v>2023</v>
      </c>
    </row>
    <row r="295" spans="1:8" x14ac:dyDescent="0.2">
      <c r="A295">
        <v>144545</v>
      </c>
      <c r="B295">
        <v>60000000</v>
      </c>
      <c r="C295" t="str">
        <f t="shared" si="4"/>
        <v>3. $50K-250K</v>
      </c>
      <c r="D295" t="s">
        <v>104</v>
      </c>
      <c r="E295" t="s">
        <v>8</v>
      </c>
      <c r="F295" t="s">
        <v>9</v>
      </c>
      <c r="G295" t="s">
        <v>10</v>
      </c>
      <c r="H295">
        <v>2023</v>
      </c>
    </row>
    <row r="296" spans="1:8" x14ac:dyDescent="0.2">
      <c r="A296">
        <v>144546</v>
      </c>
      <c r="B296">
        <v>60000000</v>
      </c>
      <c r="C296" t="str">
        <f t="shared" si="4"/>
        <v>5. $1M+</v>
      </c>
      <c r="D296" t="s">
        <v>109</v>
      </c>
      <c r="E296" t="s">
        <v>8</v>
      </c>
      <c r="F296" t="s">
        <v>9</v>
      </c>
      <c r="G296" t="s">
        <v>10</v>
      </c>
      <c r="H296">
        <v>2023</v>
      </c>
    </row>
    <row r="297" spans="1:8" x14ac:dyDescent="0.2">
      <c r="A297">
        <v>144622</v>
      </c>
      <c r="B297">
        <v>10000000</v>
      </c>
      <c r="C297" t="str">
        <f t="shared" si="4"/>
        <v>5. $1M+</v>
      </c>
      <c r="D297" t="s">
        <v>80</v>
      </c>
      <c r="E297" t="s">
        <v>8</v>
      </c>
      <c r="F297" t="s">
        <v>9</v>
      </c>
      <c r="G297" t="s">
        <v>10</v>
      </c>
      <c r="H297">
        <v>2023</v>
      </c>
    </row>
    <row r="298" spans="1:8" x14ac:dyDescent="0.2">
      <c r="A298">
        <v>144819</v>
      </c>
      <c r="B298">
        <v>4500000</v>
      </c>
      <c r="C298" t="str">
        <f t="shared" si="4"/>
        <v>5. $1M+</v>
      </c>
      <c r="D298" t="s">
        <v>806</v>
      </c>
      <c r="E298" t="s">
        <v>42</v>
      </c>
      <c r="F298" t="s">
        <v>668</v>
      </c>
      <c r="G298" t="s">
        <v>59</v>
      </c>
      <c r="H298">
        <v>2023</v>
      </c>
    </row>
    <row r="299" spans="1:8" x14ac:dyDescent="0.2">
      <c r="A299">
        <v>145306</v>
      </c>
      <c r="B299">
        <v>92700000</v>
      </c>
      <c r="C299" t="str">
        <f t="shared" si="4"/>
        <v>5. $1M+</v>
      </c>
      <c r="D299" t="s">
        <v>110</v>
      </c>
      <c r="E299" t="s">
        <v>28</v>
      </c>
      <c r="F299" t="s">
        <v>29</v>
      </c>
      <c r="G299" t="s">
        <v>44</v>
      </c>
      <c r="H299">
        <v>2023</v>
      </c>
    </row>
    <row r="300" spans="1:8" x14ac:dyDescent="0.2">
      <c r="A300">
        <v>145898</v>
      </c>
      <c r="B300">
        <v>61972</v>
      </c>
      <c r="C300" t="str">
        <f t="shared" si="4"/>
        <v>5. $1M+</v>
      </c>
      <c r="D300" t="s">
        <v>601</v>
      </c>
      <c r="E300" t="s">
        <v>42</v>
      </c>
      <c r="F300" t="s">
        <v>670</v>
      </c>
      <c r="G300" t="s">
        <v>44</v>
      </c>
      <c r="H300">
        <v>2023</v>
      </c>
    </row>
    <row r="301" spans="1:8" x14ac:dyDescent="0.2">
      <c r="A301">
        <v>145986</v>
      </c>
      <c r="B301">
        <v>27319</v>
      </c>
      <c r="C301" t="str">
        <f t="shared" si="4"/>
        <v>3. $50K-250K</v>
      </c>
      <c r="D301" t="s">
        <v>708</v>
      </c>
      <c r="E301" t="s">
        <v>237</v>
      </c>
      <c r="F301" t="s">
        <v>670</v>
      </c>
      <c r="G301" t="s">
        <v>59</v>
      </c>
      <c r="H301">
        <v>2023</v>
      </c>
    </row>
    <row r="302" spans="1:8" x14ac:dyDescent="0.2">
      <c r="A302">
        <v>145993</v>
      </c>
      <c r="B302">
        <v>300000</v>
      </c>
      <c r="C302" t="str">
        <f t="shared" si="4"/>
        <v>2. $10K-50K</v>
      </c>
      <c r="D302" t="s">
        <v>111</v>
      </c>
      <c r="E302" t="s">
        <v>112</v>
      </c>
      <c r="F302" t="s">
        <v>12</v>
      </c>
      <c r="G302" t="s">
        <v>10</v>
      </c>
      <c r="H302">
        <v>2025</v>
      </c>
    </row>
    <row r="303" spans="1:8" x14ac:dyDescent="0.2">
      <c r="A303">
        <v>146004</v>
      </c>
      <c r="B303">
        <v>79380</v>
      </c>
      <c r="C303" t="str">
        <f t="shared" si="4"/>
        <v>4. $250K-1M</v>
      </c>
      <c r="D303" t="s">
        <v>807</v>
      </c>
      <c r="E303" t="s">
        <v>42</v>
      </c>
      <c r="F303" t="s">
        <v>670</v>
      </c>
      <c r="G303" t="s">
        <v>44</v>
      </c>
      <c r="H303">
        <v>2023</v>
      </c>
    </row>
    <row r="304" spans="1:8" x14ac:dyDescent="0.2">
      <c r="A304">
        <v>146021</v>
      </c>
      <c r="B304">
        <v>163877</v>
      </c>
      <c r="C304" t="str">
        <f t="shared" si="4"/>
        <v>3. $50K-250K</v>
      </c>
      <c r="D304" t="s">
        <v>688</v>
      </c>
      <c r="E304" t="s">
        <v>42</v>
      </c>
      <c r="F304" t="s">
        <v>670</v>
      </c>
      <c r="G304" t="s">
        <v>44</v>
      </c>
      <c r="H304">
        <v>2023</v>
      </c>
    </row>
    <row r="305" spans="1:8" x14ac:dyDescent="0.2">
      <c r="A305">
        <v>146022</v>
      </c>
      <c r="B305">
        <v>131571</v>
      </c>
      <c r="C305" t="str">
        <f t="shared" si="4"/>
        <v>3. $50K-250K</v>
      </c>
      <c r="D305" t="s">
        <v>601</v>
      </c>
      <c r="E305" t="s">
        <v>42</v>
      </c>
      <c r="F305" t="s">
        <v>670</v>
      </c>
      <c r="G305" t="s">
        <v>44</v>
      </c>
      <c r="H305">
        <v>2023</v>
      </c>
    </row>
    <row r="306" spans="1:8" x14ac:dyDescent="0.2">
      <c r="A306">
        <v>146024</v>
      </c>
      <c r="B306">
        <v>158571</v>
      </c>
      <c r="C306" t="str">
        <f t="shared" si="4"/>
        <v>3. $50K-250K</v>
      </c>
      <c r="D306" t="s">
        <v>808</v>
      </c>
      <c r="E306" t="s">
        <v>42</v>
      </c>
      <c r="F306" t="s">
        <v>670</v>
      </c>
      <c r="G306" t="s">
        <v>44</v>
      </c>
      <c r="H306">
        <v>2023</v>
      </c>
    </row>
    <row r="307" spans="1:8" x14ac:dyDescent="0.2">
      <c r="A307">
        <v>146025</v>
      </c>
      <c r="B307">
        <v>119000</v>
      </c>
      <c r="C307" t="str">
        <f t="shared" si="4"/>
        <v>3. $50K-250K</v>
      </c>
      <c r="D307" t="s">
        <v>791</v>
      </c>
      <c r="E307" t="s">
        <v>42</v>
      </c>
      <c r="F307" t="s">
        <v>670</v>
      </c>
      <c r="G307" t="s">
        <v>44</v>
      </c>
      <c r="H307">
        <v>2023</v>
      </c>
    </row>
    <row r="308" spans="1:8" x14ac:dyDescent="0.2">
      <c r="A308">
        <v>146026</v>
      </c>
      <c r="B308">
        <v>171112</v>
      </c>
      <c r="C308" t="str">
        <f t="shared" si="4"/>
        <v>3. $50K-250K</v>
      </c>
      <c r="D308" t="s">
        <v>671</v>
      </c>
      <c r="E308" t="s">
        <v>42</v>
      </c>
      <c r="F308" t="s">
        <v>670</v>
      </c>
      <c r="G308" t="s">
        <v>44</v>
      </c>
      <c r="H308">
        <v>2023</v>
      </c>
    </row>
    <row r="309" spans="1:8" x14ac:dyDescent="0.2">
      <c r="A309">
        <v>146027</v>
      </c>
      <c r="B309">
        <v>88116</v>
      </c>
      <c r="C309" t="str">
        <f t="shared" si="4"/>
        <v>3. $50K-250K</v>
      </c>
      <c r="D309" t="s">
        <v>809</v>
      </c>
      <c r="E309" t="s">
        <v>42</v>
      </c>
      <c r="F309" t="s">
        <v>670</v>
      </c>
      <c r="G309" t="s">
        <v>44</v>
      </c>
      <c r="H309">
        <v>2023</v>
      </c>
    </row>
    <row r="310" spans="1:8" x14ac:dyDescent="0.2">
      <c r="A310">
        <v>146030</v>
      </c>
      <c r="B310">
        <v>150000</v>
      </c>
      <c r="C310" t="str">
        <f t="shared" si="4"/>
        <v>3. $50K-250K</v>
      </c>
      <c r="D310" t="s">
        <v>810</v>
      </c>
      <c r="E310" t="s">
        <v>42</v>
      </c>
      <c r="F310" t="s">
        <v>670</v>
      </c>
      <c r="G310" t="s">
        <v>44</v>
      </c>
      <c r="H310">
        <v>2023</v>
      </c>
    </row>
    <row r="311" spans="1:8" x14ac:dyDescent="0.2">
      <c r="A311">
        <v>146031</v>
      </c>
      <c r="B311">
        <v>100046</v>
      </c>
      <c r="C311" t="str">
        <f t="shared" si="4"/>
        <v>3. $50K-250K</v>
      </c>
      <c r="D311" t="s">
        <v>811</v>
      </c>
      <c r="E311" t="s">
        <v>42</v>
      </c>
      <c r="F311" t="s">
        <v>670</v>
      </c>
      <c r="G311" t="s">
        <v>44</v>
      </c>
      <c r="H311">
        <v>2023</v>
      </c>
    </row>
    <row r="312" spans="1:8" x14ac:dyDescent="0.2">
      <c r="A312">
        <v>146033</v>
      </c>
      <c r="B312">
        <v>200000</v>
      </c>
      <c r="C312" t="str">
        <f t="shared" si="4"/>
        <v>3. $50K-250K</v>
      </c>
      <c r="D312" t="s">
        <v>671</v>
      </c>
      <c r="E312" t="s">
        <v>42</v>
      </c>
      <c r="F312" t="s">
        <v>670</v>
      </c>
      <c r="G312" t="s">
        <v>44</v>
      </c>
      <c r="H312">
        <v>2023</v>
      </c>
    </row>
    <row r="313" spans="1:8" x14ac:dyDescent="0.2">
      <c r="A313">
        <v>146034</v>
      </c>
      <c r="B313">
        <v>100000</v>
      </c>
      <c r="C313" t="str">
        <f t="shared" si="4"/>
        <v>3. $50K-250K</v>
      </c>
      <c r="D313" t="s">
        <v>812</v>
      </c>
      <c r="E313" t="s">
        <v>42</v>
      </c>
      <c r="F313" t="s">
        <v>670</v>
      </c>
      <c r="G313" t="s">
        <v>44</v>
      </c>
      <c r="H313">
        <v>2023</v>
      </c>
    </row>
    <row r="314" spans="1:8" x14ac:dyDescent="0.2">
      <c r="A314">
        <v>146035</v>
      </c>
      <c r="B314">
        <v>100000</v>
      </c>
      <c r="C314" t="str">
        <f t="shared" si="4"/>
        <v>3. $50K-250K</v>
      </c>
      <c r="D314" t="s">
        <v>601</v>
      </c>
      <c r="E314" t="s">
        <v>42</v>
      </c>
      <c r="F314" t="s">
        <v>670</v>
      </c>
      <c r="G314" t="s">
        <v>44</v>
      </c>
      <c r="H314">
        <v>2023</v>
      </c>
    </row>
    <row r="315" spans="1:8" x14ac:dyDescent="0.2">
      <c r="A315">
        <v>146036</v>
      </c>
      <c r="B315">
        <v>79405</v>
      </c>
      <c r="C315" t="str">
        <f t="shared" si="4"/>
        <v>3. $50K-250K</v>
      </c>
      <c r="D315" t="s">
        <v>601</v>
      </c>
      <c r="E315" t="s">
        <v>42</v>
      </c>
      <c r="F315" t="s">
        <v>670</v>
      </c>
      <c r="G315" t="s">
        <v>44</v>
      </c>
      <c r="H315">
        <v>2023</v>
      </c>
    </row>
    <row r="316" spans="1:8" x14ac:dyDescent="0.2">
      <c r="A316">
        <v>146037</v>
      </c>
      <c r="B316">
        <v>72780</v>
      </c>
      <c r="C316" t="str">
        <f t="shared" si="4"/>
        <v>3. $50K-250K</v>
      </c>
      <c r="D316" t="s">
        <v>671</v>
      </c>
      <c r="E316" t="s">
        <v>42</v>
      </c>
      <c r="F316" t="s">
        <v>670</v>
      </c>
      <c r="G316" t="s">
        <v>44</v>
      </c>
      <c r="H316">
        <v>2023</v>
      </c>
    </row>
    <row r="317" spans="1:8" x14ac:dyDescent="0.2">
      <c r="A317">
        <v>146038</v>
      </c>
      <c r="B317">
        <v>33907</v>
      </c>
      <c r="C317" t="str">
        <f t="shared" si="4"/>
        <v>3. $50K-250K</v>
      </c>
      <c r="D317" t="s">
        <v>796</v>
      </c>
      <c r="E317" t="s">
        <v>237</v>
      </c>
      <c r="F317" t="s">
        <v>670</v>
      </c>
      <c r="G317" t="s">
        <v>59</v>
      </c>
      <c r="H317">
        <v>2023</v>
      </c>
    </row>
    <row r="318" spans="1:8" x14ac:dyDescent="0.2">
      <c r="A318">
        <v>146071</v>
      </c>
      <c r="B318">
        <v>61617</v>
      </c>
      <c r="C318" t="str">
        <f t="shared" si="4"/>
        <v>2. $10K-50K</v>
      </c>
      <c r="D318" t="s">
        <v>813</v>
      </c>
      <c r="E318" t="s">
        <v>237</v>
      </c>
      <c r="F318" t="s">
        <v>670</v>
      </c>
      <c r="G318" t="s">
        <v>59</v>
      </c>
      <c r="H318">
        <v>2023</v>
      </c>
    </row>
    <row r="319" spans="1:8" x14ac:dyDescent="0.2">
      <c r="A319">
        <v>146078</v>
      </c>
      <c r="B319">
        <v>9112</v>
      </c>
      <c r="C319" t="str">
        <f t="shared" si="4"/>
        <v>3. $50K-250K</v>
      </c>
      <c r="D319" t="s">
        <v>795</v>
      </c>
      <c r="E319" t="s">
        <v>237</v>
      </c>
      <c r="F319" t="s">
        <v>670</v>
      </c>
      <c r="G319" t="s">
        <v>59</v>
      </c>
      <c r="H319">
        <v>2023</v>
      </c>
    </row>
    <row r="320" spans="1:8" x14ac:dyDescent="0.2">
      <c r="A320">
        <v>146303</v>
      </c>
      <c r="B320">
        <v>52908</v>
      </c>
      <c r="C320" t="str">
        <f t="shared" si="4"/>
        <v>1. Under $10K</v>
      </c>
      <c r="D320" t="s">
        <v>798</v>
      </c>
      <c r="E320" t="s">
        <v>237</v>
      </c>
      <c r="F320" t="s">
        <v>670</v>
      </c>
      <c r="G320" t="s">
        <v>59</v>
      </c>
      <c r="H320">
        <v>2023</v>
      </c>
    </row>
    <row r="321" spans="1:8" x14ac:dyDescent="0.2">
      <c r="A321">
        <v>146343</v>
      </c>
      <c r="B321">
        <v>39312887.199999899</v>
      </c>
      <c r="C321" t="str">
        <f t="shared" si="4"/>
        <v>3. $50K-250K</v>
      </c>
      <c r="D321" t="s">
        <v>814</v>
      </c>
      <c r="E321" t="s">
        <v>59</v>
      </c>
      <c r="F321" t="s">
        <v>664</v>
      </c>
      <c r="G321" t="s">
        <v>59</v>
      </c>
      <c r="H321">
        <v>2023</v>
      </c>
    </row>
    <row r="322" spans="1:8" x14ac:dyDescent="0.2">
      <c r="A322">
        <v>147120</v>
      </c>
      <c r="B322">
        <v>255000</v>
      </c>
      <c r="C322" t="str">
        <f t="shared" si="4"/>
        <v>5. $1M+</v>
      </c>
      <c r="D322" t="s">
        <v>804</v>
      </c>
      <c r="E322" t="s">
        <v>432</v>
      </c>
      <c r="F322" t="s">
        <v>670</v>
      </c>
      <c r="G322" t="s">
        <v>44</v>
      </c>
      <c r="H322">
        <v>2023</v>
      </c>
    </row>
    <row r="323" spans="1:8" x14ac:dyDescent="0.2">
      <c r="A323">
        <v>147121</v>
      </c>
      <c r="B323">
        <v>255000</v>
      </c>
      <c r="C323" t="str">
        <f t="shared" ref="C323:C386" si="5">IF(B322&lt;10000,"1. Under $10K",IF(B322&lt;50000,"2. $10K-50K",IF(B322&lt;250000,"3. $50K-250K",IF(B322&lt;1000000,"4. $250K-1M","5. $1M+"))))</f>
        <v>4. $250K-1M</v>
      </c>
      <c r="D323" t="s">
        <v>815</v>
      </c>
      <c r="E323" t="s">
        <v>432</v>
      </c>
      <c r="F323" t="s">
        <v>670</v>
      </c>
      <c r="G323" t="s">
        <v>44</v>
      </c>
      <c r="H323">
        <v>2023</v>
      </c>
    </row>
    <row r="324" spans="1:8" x14ac:dyDescent="0.2">
      <c r="A324">
        <v>147122</v>
      </c>
      <c r="B324">
        <v>255000</v>
      </c>
      <c r="C324" t="str">
        <f t="shared" si="5"/>
        <v>4. $250K-1M</v>
      </c>
      <c r="D324" t="s">
        <v>816</v>
      </c>
      <c r="E324" t="s">
        <v>432</v>
      </c>
      <c r="F324" t="s">
        <v>670</v>
      </c>
      <c r="G324" t="s">
        <v>44</v>
      </c>
      <c r="H324">
        <v>2023</v>
      </c>
    </row>
    <row r="325" spans="1:8" x14ac:dyDescent="0.2">
      <c r="A325">
        <v>147125</v>
      </c>
      <c r="B325">
        <v>255000</v>
      </c>
      <c r="C325" t="str">
        <f t="shared" si="5"/>
        <v>4. $250K-1M</v>
      </c>
      <c r="D325" t="s">
        <v>817</v>
      </c>
      <c r="E325" t="s">
        <v>432</v>
      </c>
      <c r="F325" t="s">
        <v>670</v>
      </c>
      <c r="G325" t="s">
        <v>44</v>
      </c>
      <c r="H325">
        <v>2023</v>
      </c>
    </row>
    <row r="326" spans="1:8" x14ac:dyDescent="0.2">
      <c r="A326">
        <v>147126</v>
      </c>
      <c r="B326">
        <v>255000</v>
      </c>
      <c r="C326" t="str">
        <f t="shared" si="5"/>
        <v>4. $250K-1M</v>
      </c>
      <c r="D326" t="s">
        <v>818</v>
      </c>
      <c r="E326" t="s">
        <v>819</v>
      </c>
      <c r="F326" t="s">
        <v>670</v>
      </c>
      <c r="G326" t="s">
        <v>44</v>
      </c>
      <c r="H326">
        <v>2023</v>
      </c>
    </row>
    <row r="327" spans="1:8" x14ac:dyDescent="0.2">
      <c r="A327">
        <v>147127</v>
      </c>
      <c r="B327">
        <v>255000</v>
      </c>
      <c r="C327" t="str">
        <f t="shared" si="5"/>
        <v>4. $250K-1M</v>
      </c>
      <c r="D327" t="s">
        <v>820</v>
      </c>
      <c r="E327" t="s">
        <v>819</v>
      </c>
      <c r="F327" t="s">
        <v>670</v>
      </c>
      <c r="G327" t="s">
        <v>44</v>
      </c>
      <c r="H327">
        <v>2023</v>
      </c>
    </row>
    <row r="328" spans="1:8" x14ac:dyDescent="0.2">
      <c r="A328">
        <v>147358</v>
      </c>
      <c r="B328">
        <v>5000000</v>
      </c>
      <c r="C328" t="str">
        <f t="shared" si="5"/>
        <v>4. $250K-1M</v>
      </c>
      <c r="D328" t="s">
        <v>113</v>
      </c>
      <c r="E328" t="s">
        <v>24</v>
      </c>
      <c r="F328" t="s">
        <v>14</v>
      </c>
      <c r="G328" t="s">
        <v>15</v>
      </c>
      <c r="H328">
        <v>2023</v>
      </c>
    </row>
    <row r="329" spans="1:8" x14ac:dyDescent="0.2">
      <c r="A329">
        <v>147367</v>
      </c>
      <c r="B329">
        <v>2755266</v>
      </c>
      <c r="C329" t="str">
        <f t="shared" si="5"/>
        <v>5. $1M+</v>
      </c>
      <c r="D329" t="s">
        <v>778</v>
      </c>
      <c r="E329" t="s">
        <v>99</v>
      </c>
      <c r="F329" t="s">
        <v>668</v>
      </c>
      <c r="G329" t="s">
        <v>59</v>
      </c>
      <c r="H329">
        <v>2025</v>
      </c>
    </row>
    <row r="330" spans="1:8" x14ac:dyDescent="0.2">
      <c r="A330">
        <v>147416</v>
      </c>
      <c r="B330">
        <v>600000</v>
      </c>
      <c r="C330" t="str">
        <f t="shared" si="5"/>
        <v>5. $1M+</v>
      </c>
      <c r="D330" t="s">
        <v>324</v>
      </c>
      <c r="E330" t="s">
        <v>42</v>
      </c>
      <c r="F330" t="s">
        <v>668</v>
      </c>
      <c r="G330" t="s">
        <v>59</v>
      </c>
      <c r="H330">
        <v>2024</v>
      </c>
    </row>
    <row r="331" spans="1:8" x14ac:dyDescent="0.2">
      <c r="A331">
        <v>147417</v>
      </c>
      <c r="B331">
        <v>841309.39999999898</v>
      </c>
      <c r="C331" t="str">
        <f t="shared" si="5"/>
        <v>4. $250K-1M</v>
      </c>
      <c r="D331" t="s">
        <v>114</v>
      </c>
      <c r="E331" t="s">
        <v>8</v>
      </c>
      <c r="F331" t="s">
        <v>9</v>
      </c>
      <c r="G331" t="s">
        <v>10</v>
      </c>
      <c r="H331">
        <v>2023</v>
      </c>
    </row>
    <row r="332" spans="1:8" x14ac:dyDescent="0.2">
      <c r="A332">
        <v>147585</v>
      </c>
      <c r="B332">
        <v>480000</v>
      </c>
      <c r="C332" t="str">
        <f t="shared" si="5"/>
        <v>4. $250K-1M</v>
      </c>
      <c r="D332" t="s">
        <v>821</v>
      </c>
      <c r="E332" t="s">
        <v>42</v>
      </c>
      <c r="F332" t="s">
        <v>670</v>
      </c>
      <c r="G332" t="s">
        <v>44</v>
      </c>
      <c r="H332">
        <v>2023</v>
      </c>
    </row>
    <row r="333" spans="1:8" x14ac:dyDescent="0.2">
      <c r="A333">
        <v>147594</v>
      </c>
      <c r="B333">
        <v>480000</v>
      </c>
      <c r="C333" t="str">
        <f t="shared" si="5"/>
        <v>4. $250K-1M</v>
      </c>
      <c r="D333" t="s">
        <v>822</v>
      </c>
      <c r="E333" t="s">
        <v>42</v>
      </c>
      <c r="F333" t="s">
        <v>670</v>
      </c>
      <c r="G333" t="s">
        <v>44</v>
      </c>
      <c r="H333">
        <v>2023</v>
      </c>
    </row>
    <row r="334" spans="1:8" x14ac:dyDescent="0.2">
      <c r="A334">
        <v>147595</v>
      </c>
      <c r="B334">
        <v>240000</v>
      </c>
      <c r="C334" t="str">
        <f t="shared" si="5"/>
        <v>4. $250K-1M</v>
      </c>
      <c r="D334" t="s">
        <v>823</v>
      </c>
      <c r="E334" t="s">
        <v>42</v>
      </c>
      <c r="F334" t="s">
        <v>670</v>
      </c>
      <c r="G334" t="s">
        <v>44</v>
      </c>
      <c r="H334">
        <v>2023</v>
      </c>
    </row>
    <row r="335" spans="1:8" x14ac:dyDescent="0.2">
      <c r="A335">
        <v>147657</v>
      </c>
      <c r="B335">
        <v>250000</v>
      </c>
      <c r="C335" t="str">
        <f t="shared" si="5"/>
        <v>3. $50K-250K</v>
      </c>
      <c r="D335" t="s">
        <v>807</v>
      </c>
      <c r="E335" t="s">
        <v>59</v>
      </c>
      <c r="F335" t="s">
        <v>670</v>
      </c>
      <c r="G335" t="s">
        <v>59</v>
      </c>
      <c r="H335">
        <v>2023</v>
      </c>
    </row>
    <row r="336" spans="1:8" x14ac:dyDescent="0.2">
      <c r="A336">
        <v>148089</v>
      </c>
      <c r="B336">
        <v>348648.5</v>
      </c>
      <c r="C336" t="str">
        <f t="shared" si="5"/>
        <v>4. $250K-1M</v>
      </c>
      <c r="D336" t="s">
        <v>115</v>
      </c>
      <c r="E336" t="s">
        <v>24</v>
      </c>
      <c r="F336" t="s">
        <v>25</v>
      </c>
      <c r="G336" t="s">
        <v>10</v>
      </c>
      <c r="H336">
        <v>2023</v>
      </c>
    </row>
    <row r="337" spans="1:8" x14ac:dyDescent="0.2">
      <c r="A337">
        <v>148130</v>
      </c>
      <c r="B337">
        <v>348648.5</v>
      </c>
      <c r="C337" t="str">
        <f t="shared" si="5"/>
        <v>4. $250K-1M</v>
      </c>
      <c r="D337" t="s">
        <v>115</v>
      </c>
      <c r="E337" t="s">
        <v>24</v>
      </c>
      <c r="F337" t="s">
        <v>25</v>
      </c>
      <c r="G337" t="s">
        <v>10</v>
      </c>
      <c r="H337">
        <v>2023</v>
      </c>
    </row>
    <row r="338" spans="1:8" x14ac:dyDescent="0.2">
      <c r="A338">
        <v>148131</v>
      </c>
      <c r="B338">
        <v>165710.29999999999</v>
      </c>
      <c r="C338" t="str">
        <f t="shared" si="5"/>
        <v>4. $250K-1M</v>
      </c>
      <c r="D338" t="s">
        <v>115</v>
      </c>
      <c r="E338" t="s">
        <v>24</v>
      </c>
      <c r="F338" t="s">
        <v>25</v>
      </c>
      <c r="G338" t="s">
        <v>10</v>
      </c>
      <c r="H338">
        <v>2023</v>
      </c>
    </row>
    <row r="339" spans="1:8" x14ac:dyDescent="0.2">
      <c r="A339">
        <v>148378</v>
      </c>
      <c r="B339">
        <v>750000</v>
      </c>
      <c r="C339" t="str">
        <f t="shared" si="5"/>
        <v>3. $50K-250K</v>
      </c>
      <c r="D339" t="s">
        <v>824</v>
      </c>
      <c r="E339" t="s">
        <v>59</v>
      </c>
      <c r="F339" t="s">
        <v>670</v>
      </c>
      <c r="G339" t="s">
        <v>59</v>
      </c>
      <c r="H339">
        <v>2023</v>
      </c>
    </row>
    <row r="340" spans="1:8" x14ac:dyDescent="0.2">
      <c r="A340">
        <v>149165</v>
      </c>
      <c r="B340">
        <v>255000</v>
      </c>
      <c r="C340" t="str">
        <f t="shared" si="5"/>
        <v>4. $250K-1M</v>
      </c>
      <c r="D340" t="s">
        <v>501</v>
      </c>
      <c r="E340" t="s">
        <v>819</v>
      </c>
      <c r="F340" t="s">
        <v>670</v>
      </c>
      <c r="G340" t="s">
        <v>59</v>
      </c>
      <c r="H340">
        <v>2023</v>
      </c>
    </row>
    <row r="341" spans="1:8" x14ac:dyDescent="0.2">
      <c r="A341">
        <v>149208</v>
      </c>
      <c r="B341">
        <v>474824.3</v>
      </c>
      <c r="C341" t="str">
        <f t="shared" si="5"/>
        <v>4. $250K-1M</v>
      </c>
      <c r="D341" t="s">
        <v>116</v>
      </c>
      <c r="E341" t="s">
        <v>24</v>
      </c>
      <c r="F341" t="s">
        <v>9</v>
      </c>
      <c r="G341" t="s">
        <v>10</v>
      </c>
      <c r="H341">
        <v>2024</v>
      </c>
    </row>
    <row r="342" spans="1:8" x14ac:dyDescent="0.2">
      <c r="A342">
        <v>149676</v>
      </c>
      <c r="B342">
        <v>36843.800000000003</v>
      </c>
      <c r="C342" t="str">
        <f t="shared" si="5"/>
        <v>4. $250K-1M</v>
      </c>
      <c r="D342" t="s">
        <v>23</v>
      </c>
      <c r="E342" t="s">
        <v>24</v>
      </c>
      <c r="F342" t="s">
        <v>9</v>
      </c>
      <c r="G342" t="s">
        <v>10</v>
      </c>
      <c r="H342">
        <v>2024</v>
      </c>
    </row>
    <row r="343" spans="1:8" x14ac:dyDescent="0.2">
      <c r="A343">
        <v>150388</v>
      </c>
      <c r="B343">
        <v>9027000</v>
      </c>
      <c r="C343" t="str">
        <f t="shared" si="5"/>
        <v>2. $10K-50K</v>
      </c>
      <c r="D343" t="s">
        <v>771</v>
      </c>
      <c r="E343" t="s">
        <v>825</v>
      </c>
      <c r="F343" t="s">
        <v>670</v>
      </c>
      <c r="G343" t="s">
        <v>44</v>
      </c>
      <c r="H343">
        <v>2023</v>
      </c>
    </row>
    <row r="344" spans="1:8" x14ac:dyDescent="0.2">
      <c r="A344">
        <v>150704</v>
      </c>
      <c r="B344">
        <v>172119.7</v>
      </c>
      <c r="C344" t="str">
        <f t="shared" si="5"/>
        <v>5. $1M+</v>
      </c>
      <c r="D344" t="s">
        <v>7</v>
      </c>
      <c r="E344" t="s">
        <v>18</v>
      </c>
      <c r="F344" t="s">
        <v>9</v>
      </c>
      <c r="G344" t="s">
        <v>10</v>
      </c>
      <c r="H344">
        <v>2024</v>
      </c>
    </row>
    <row r="345" spans="1:8" x14ac:dyDescent="0.2">
      <c r="A345">
        <v>151058</v>
      </c>
      <c r="B345">
        <v>2000000</v>
      </c>
      <c r="C345" t="str">
        <f t="shared" si="5"/>
        <v>3. $50K-250K</v>
      </c>
      <c r="D345" t="s">
        <v>321</v>
      </c>
      <c r="E345" t="s">
        <v>42</v>
      </c>
      <c r="F345" t="s">
        <v>668</v>
      </c>
      <c r="G345" t="s">
        <v>59</v>
      </c>
      <c r="H345">
        <v>2023</v>
      </c>
    </row>
    <row r="346" spans="1:8" x14ac:dyDescent="0.2">
      <c r="A346">
        <v>151059</v>
      </c>
      <c r="B346">
        <v>1500000</v>
      </c>
      <c r="C346" t="str">
        <f t="shared" si="5"/>
        <v>5. $1M+</v>
      </c>
      <c r="D346" t="s">
        <v>826</v>
      </c>
      <c r="E346" t="s">
        <v>42</v>
      </c>
      <c r="F346" t="s">
        <v>668</v>
      </c>
      <c r="G346" t="s">
        <v>59</v>
      </c>
      <c r="H346">
        <v>2023</v>
      </c>
    </row>
    <row r="347" spans="1:8" x14ac:dyDescent="0.2">
      <c r="A347">
        <v>151192</v>
      </c>
      <c r="B347">
        <v>72000</v>
      </c>
      <c r="C347" t="str">
        <f t="shared" si="5"/>
        <v>5. $1M+</v>
      </c>
      <c r="D347" t="s">
        <v>827</v>
      </c>
      <c r="E347" t="s">
        <v>59</v>
      </c>
      <c r="F347" t="s">
        <v>664</v>
      </c>
      <c r="G347" t="s">
        <v>59</v>
      </c>
      <c r="H347">
        <v>2024</v>
      </c>
    </row>
    <row r="348" spans="1:8" x14ac:dyDescent="0.2">
      <c r="A348">
        <v>151329</v>
      </c>
      <c r="B348">
        <v>95204115.700000003</v>
      </c>
      <c r="C348" t="str">
        <f t="shared" si="5"/>
        <v>3. $50K-250K</v>
      </c>
      <c r="D348" t="s">
        <v>117</v>
      </c>
      <c r="E348" t="s">
        <v>49</v>
      </c>
      <c r="F348" t="s">
        <v>12</v>
      </c>
      <c r="G348" t="s">
        <v>10</v>
      </c>
      <c r="H348">
        <v>2024</v>
      </c>
    </row>
    <row r="349" spans="1:8" x14ac:dyDescent="0.2">
      <c r="A349">
        <v>151948</v>
      </c>
      <c r="B349">
        <v>5158543</v>
      </c>
      <c r="C349" t="str">
        <f t="shared" si="5"/>
        <v>5. $1M+</v>
      </c>
      <c r="D349" t="s">
        <v>828</v>
      </c>
      <c r="E349" t="s">
        <v>237</v>
      </c>
      <c r="F349" t="s">
        <v>670</v>
      </c>
      <c r="G349" t="s">
        <v>59</v>
      </c>
      <c r="H349">
        <v>2023</v>
      </c>
    </row>
    <row r="350" spans="1:8" x14ac:dyDescent="0.2">
      <c r="A350">
        <v>151949</v>
      </c>
      <c r="B350">
        <v>1299345</v>
      </c>
      <c r="C350" t="str">
        <f t="shared" si="5"/>
        <v>5. $1M+</v>
      </c>
      <c r="D350" t="s">
        <v>813</v>
      </c>
      <c r="E350" t="s">
        <v>237</v>
      </c>
      <c r="F350" t="s">
        <v>670</v>
      </c>
      <c r="G350" t="s">
        <v>59</v>
      </c>
      <c r="H350">
        <v>2023</v>
      </c>
    </row>
    <row r="351" spans="1:8" x14ac:dyDescent="0.2">
      <c r="A351">
        <v>151985</v>
      </c>
      <c r="B351">
        <v>473000</v>
      </c>
      <c r="C351" t="str">
        <f t="shared" si="5"/>
        <v>5. $1M+</v>
      </c>
      <c r="D351" t="s">
        <v>548</v>
      </c>
      <c r="E351" t="s">
        <v>237</v>
      </c>
      <c r="F351" t="s">
        <v>670</v>
      </c>
      <c r="G351" t="s">
        <v>15</v>
      </c>
      <c r="H351">
        <v>2023</v>
      </c>
    </row>
    <row r="352" spans="1:8" x14ac:dyDescent="0.2">
      <c r="A352">
        <v>151990</v>
      </c>
      <c r="B352">
        <v>473000</v>
      </c>
      <c r="C352" t="str">
        <f t="shared" si="5"/>
        <v>4. $250K-1M</v>
      </c>
      <c r="D352" t="s">
        <v>829</v>
      </c>
      <c r="E352" t="s">
        <v>237</v>
      </c>
      <c r="F352" t="s">
        <v>670</v>
      </c>
      <c r="G352" t="s">
        <v>59</v>
      </c>
      <c r="H352">
        <v>2023</v>
      </c>
    </row>
    <row r="353" spans="1:8" x14ac:dyDescent="0.2">
      <c r="A353">
        <v>151991</v>
      </c>
      <c r="B353">
        <v>473000</v>
      </c>
      <c r="C353" t="str">
        <f t="shared" si="5"/>
        <v>4. $250K-1M</v>
      </c>
      <c r="D353" t="s">
        <v>703</v>
      </c>
      <c r="E353" t="s">
        <v>237</v>
      </c>
      <c r="F353" t="s">
        <v>670</v>
      </c>
      <c r="G353" t="s">
        <v>59</v>
      </c>
      <c r="H353">
        <v>2023</v>
      </c>
    </row>
    <row r="354" spans="1:8" x14ac:dyDescent="0.2">
      <c r="A354">
        <v>151992</v>
      </c>
      <c r="B354">
        <v>265600</v>
      </c>
      <c r="C354" t="str">
        <f t="shared" si="5"/>
        <v>4. $250K-1M</v>
      </c>
      <c r="D354" t="s">
        <v>830</v>
      </c>
      <c r="E354" t="s">
        <v>237</v>
      </c>
      <c r="F354" t="s">
        <v>670</v>
      </c>
      <c r="G354" t="s">
        <v>59</v>
      </c>
      <c r="H354">
        <v>2023</v>
      </c>
    </row>
    <row r="355" spans="1:8" x14ac:dyDescent="0.2">
      <c r="A355">
        <v>152217</v>
      </c>
      <c r="B355">
        <v>3000000</v>
      </c>
      <c r="C355" t="str">
        <f t="shared" si="5"/>
        <v>4. $250K-1M</v>
      </c>
      <c r="D355" t="s">
        <v>118</v>
      </c>
      <c r="E355" t="s">
        <v>28</v>
      </c>
      <c r="F355" t="s">
        <v>34</v>
      </c>
      <c r="G355" t="s">
        <v>10</v>
      </c>
      <c r="H355">
        <v>2024</v>
      </c>
    </row>
    <row r="356" spans="1:8" x14ac:dyDescent="0.2">
      <c r="A356">
        <v>15262</v>
      </c>
      <c r="B356">
        <v>7693977.5</v>
      </c>
      <c r="C356" t="str">
        <f t="shared" si="5"/>
        <v>5. $1M+</v>
      </c>
      <c r="D356" t="s">
        <v>831</v>
      </c>
      <c r="E356" t="s">
        <v>99</v>
      </c>
      <c r="F356" t="s">
        <v>668</v>
      </c>
      <c r="G356" t="s">
        <v>59</v>
      </c>
      <c r="H356">
        <v>2025</v>
      </c>
    </row>
    <row r="357" spans="1:8" x14ac:dyDescent="0.2">
      <c r="A357">
        <v>152693</v>
      </c>
      <c r="B357">
        <v>993308</v>
      </c>
      <c r="C357" t="str">
        <f t="shared" si="5"/>
        <v>5. $1M+</v>
      </c>
      <c r="D357" t="s">
        <v>832</v>
      </c>
      <c r="E357" t="s">
        <v>237</v>
      </c>
      <c r="F357" t="s">
        <v>670</v>
      </c>
      <c r="G357" t="s">
        <v>59</v>
      </c>
      <c r="H357">
        <v>2024</v>
      </c>
    </row>
    <row r="358" spans="1:8" x14ac:dyDescent="0.2">
      <c r="A358">
        <v>152695</v>
      </c>
      <c r="B358">
        <v>78583</v>
      </c>
      <c r="C358" t="str">
        <f t="shared" si="5"/>
        <v>4. $250K-1M</v>
      </c>
      <c r="D358" t="s">
        <v>832</v>
      </c>
      <c r="E358" t="s">
        <v>237</v>
      </c>
      <c r="F358" t="s">
        <v>670</v>
      </c>
      <c r="G358" t="s">
        <v>59</v>
      </c>
      <c r="H358">
        <v>2023</v>
      </c>
    </row>
    <row r="359" spans="1:8" x14ac:dyDescent="0.2">
      <c r="A359">
        <v>152696</v>
      </c>
      <c r="B359">
        <v>249760</v>
      </c>
      <c r="C359" t="str">
        <f t="shared" si="5"/>
        <v>3. $50K-250K</v>
      </c>
      <c r="D359" t="s">
        <v>832</v>
      </c>
      <c r="E359" t="s">
        <v>237</v>
      </c>
      <c r="F359" t="s">
        <v>670</v>
      </c>
      <c r="G359" t="s">
        <v>59</v>
      </c>
      <c r="H359">
        <v>2023</v>
      </c>
    </row>
    <row r="360" spans="1:8" x14ac:dyDescent="0.2">
      <c r="A360">
        <v>152974</v>
      </c>
      <c r="B360">
        <v>7500000</v>
      </c>
      <c r="C360" t="str">
        <f t="shared" si="5"/>
        <v>3. $50K-250K</v>
      </c>
      <c r="D360" t="s">
        <v>119</v>
      </c>
      <c r="E360" t="s">
        <v>18</v>
      </c>
      <c r="F360" t="s">
        <v>120</v>
      </c>
      <c r="G360" t="s">
        <v>10</v>
      </c>
      <c r="H360">
        <v>2023</v>
      </c>
    </row>
    <row r="361" spans="1:8" x14ac:dyDescent="0.2">
      <c r="A361">
        <v>152975</v>
      </c>
      <c r="B361">
        <v>7500000</v>
      </c>
      <c r="C361" t="str">
        <f t="shared" si="5"/>
        <v>5. $1M+</v>
      </c>
      <c r="D361" t="s">
        <v>7</v>
      </c>
      <c r="E361" t="s">
        <v>69</v>
      </c>
      <c r="F361" t="s">
        <v>120</v>
      </c>
      <c r="G361" t="s">
        <v>10</v>
      </c>
      <c r="H361">
        <v>2023</v>
      </c>
    </row>
    <row r="362" spans="1:8" x14ac:dyDescent="0.2">
      <c r="A362">
        <v>152976</v>
      </c>
      <c r="B362">
        <v>7500000</v>
      </c>
      <c r="C362" t="str">
        <f t="shared" si="5"/>
        <v>5. $1M+</v>
      </c>
      <c r="D362" t="s">
        <v>121</v>
      </c>
      <c r="E362" t="s">
        <v>18</v>
      </c>
      <c r="F362" t="s">
        <v>120</v>
      </c>
      <c r="G362" t="s">
        <v>10</v>
      </c>
      <c r="H362">
        <v>2023</v>
      </c>
    </row>
    <row r="363" spans="1:8" x14ac:dyDescent="0.2">
      <c r="A363">
        <v>152978</v>
      </c>
      <c r="B363">
        <v>7500000</v>
      </c>
      <c r="C363" t="str">
        <f t="shared" si="5"/>
        <v>5. $1M+</v>
      </c>
      <c r="D363" t="s">
        <v>122</v>
      </c>
      <c r="E363" t="s">
        <v>18</v>
      </c>
      <c r="F363" t="s">
        <v>120</v>
      </c>
      <c r="G363" t="s">
        <v>10</v>
      </c>
      <c r="H363">
        <v>2023</v>
      </c>
    </row>
    <row r="364" spans="1:8" x14ac:dyDescent="0.2">
      <c r="A364">
        <v>152979</v>
      </c>
      <c r="B364">
        <v>21244500</v>
      </c>
      <c r="C364" t="str">
        <f t="shared" si="5"/>
        <v>5. $1M+</v>
      </c>
      <c r="D364" t="s">
        <v>123</v>
      </c>
      <c r="E364" t="s">
        <v>24</v>
      </c>
      <c r="F364" t="s">
        <v>120</v>
      </c>
      <c r="G364" t="s">
        <v>124</v>
      </c>
      <c r="H364">
        <v>2023</v>
      </c>
    </row>
    <row r="365" spans="1:8" x14ac:dyDescent="0.2">
      <c r="A365">
        <v>15304</v>
      </c>
      <c r="B365">
        <v>40621476</v>
      </c>
      <c r="C365" t="str">
        <f t="shared" si="5"/>
        <v>5. $1M+</v>
      </c>
      <c r="D365" t="s">
        <v>125</v>
      </c>
      <c r="E365" t="s">
        <v>28</v>
      </c>
      <c r="F365" t="s">
        <v>31</v>
      </c>
      <c r="G365" t="s">
        <v>10</v>
      </c>
      <c r="H365">
        <v>2023</v>
      </c>
    </row>
    <row r="366" spans="1:8" x14ac:dyDescent="0.2">
      <c r="A366">
        <v>153046</v>
      </c>
      <c r="B366">
        <v>397260</v>
      </c>
      <c r="C366" t="str">
        <f t="shared" si="5"/>
        <v>5. $1M+</v>
      </c>
      <c r="D366" t="s">
        <v>391</v>
      </c>
      <c r="E366" t="s">
        <v>237</v>
      </c>
      <c r="F366" t="s">
        <v>670</v>
      </c>
      <c r="G366" t="s">
        <v>59</v>
      </c>
      <c r="H366">
        <v>2023</v>
      </c>
    </row>
    <row r="367" spans="1:8" x14ac:dyDescent="0.2">
      <c r="A367">
        <v>153047</v>
      </c>
      <c r="B367">
        <v>26343</v>
      </c>
      <c r="C367" t="str">
        <f t="shared" si="5"/>
        <v>4. $250K-1M</v>
      </c>
      <c r="D367" t="s">
        <v>391</v>
      </c>
      <c r="E367" t="s">
        <v>237</v>
      </c>
      <c r="F367" t="s">
        <v>670</v>
      </c>
      <c r="G367" t="s">
        <v>59</v>
      </c>
      <c r="H367">
        <v>2023</v>
      </c>
    </row>
    <row r="368" spans="1:8" x14ac:dyDescent="0.2">
      <c r="A368">
        <v>153526</v>
      </c>
      <c r="B368">
        <v>2298888.7000000002</v>
      </c>
      <c r="C368" t="str">
        <f t="shared" si="5"/>
        <v>2. $10K-50K</v>
      </c>
      <c r="D368" t="s">
        <v>23</v>
      </c>
      <c r="E368" t="s">
        <v>8</v>
      </c>
      <c r="F368" t="s">
        <v>9</v>
      </c>
      <c r="G368" t="s">
        <v>10</v>
      </c>
      <c r="H368">
        <v>2023</v>
      </c>
    </row>
    <row r="369" spans="1:8" x14ac:dyDescent="0.2">
      <c r="A369">
        <v>156710</v>
      </c>
      <c r="B369">
        <v>125000</v>
      </c>
      <c r="C369" t="str">
        <f t="shared" si="5"/>
        <v>5. $1M+</v>
      </c>
      <c r="D369" t="s">
        <v>501</v>
      </c>
      <c r="E369" t="s">
        <v>432</v>
      </c>
      <c r="F369" t="s">
        <v>670</v>
      </c>
      <c r="G369" t="s">
        <v>59</v>
      </c>
      <c r="H369">
        <v>2023</v>
      </c>
    </row>
    <row r="370" spans="1:8" x14ac:dyDescent="0.2">
      <c r="A370">
        <v>157471</v>
      </c>
      <c r="B370">
        <v>8609862.7999999896</v>
      </c>
      <c r="C370" t="str">
        <f t="shared" si="5"/>
        <v>3. $50K-250K</v>
      </c>
      <c r="D370" t="s">
        <v>126</v>
      </c>
      <c r="E370" t="s">
        <v>127</v>
      </c>
      <c r="F370" t="s">
        <v>43</v>
      </c>
      <c r="G370" t="s">
        <v>44</v>
      </c>
      <c r="H370">
        <v>2023</v>
      </c>
    </row>
    <row r="371" spans="1:8" x14ac:dyDescent="0.2">
      <c r="A371">
        <v>157775</v>
      </c>
      <c r="B371">
        <v>250000</v>
      </c>
      <c r="C371" t="str">
        <f t="shared" si="5"/>
        <v>5. $1M+</v>
      </c>
      <c r="D371" t="s">
        <v>678</v>
      </c>
      <c r="E371" t="s">
        <v>28</v>
      </c>
      <c r="F371" t="s">
        <v>668</v>
      </c>
      <c r="G371" t="s">
        <v>59</v>
      </c>
      <c r="H371">
        <v>2024</v>
      </c>
    </row>
    <row r="372" spans="1:8" x14ac:dyDescent="0.2">
      <c r="A372">
        <v>157778</v>
      </c>
      <c r="B372">
        <v>267917</v>
      </c>
      <c r="C372" t="str">
        <f t="shared" si="5"/>
        <v>4. $250K-1M</v>
      </c>
      <c r="D372" t="s">
        <v>678</v>
      </c>
      <c r="E372" t="s">
        <v>28</v>
      </c>
      <c r="F372" t="s">
        <v>668</v>
      </c>
      <c r="G372" t="s">
        <v>59</v>
      </c>
      <c r="H372">
        <v>2023</v>
      </c>
    </row>
    <row r="373" spans="1:8" x14ac:dyDescent="0.2">
      <c r="A373">
        <v>157893</v>
      </c>
      <c r="B373">
        <v>13750</v>
      </c>
      <c r="C373" t="str">
        <f t="shared" si="5"/>
        <v>4. $250K-1M</v>
      </c>
      <c r="D373" t="s">
        <v>116</v>
      </c>
      <c r="E373" t="s">
        <v>24</v>
      </c>
      <c r="F373" t="s">
        <v>9</v>
      </c>
      <c r="G373" t="s">
        <v>10</v>
      </c>
      <c r="H373">
        <v>2024</v>
      </c>
    </row>
    <row r="374" spans="1:8" x14ac:dyDescent="0.2">
      <c r="A374">
        <v>158232</v>
      </c>
      <c r="B374">
        <v>6938000</v>
      </c>
      <c r="C374" t="str">
        <f t="shared" si="5"/>
        <v>2. $10K-50K</v>
      </c>
      <c r="D374" t="s">
        <v>792</v>
      </c>
      <c r="E374" t="s">
        <v>42</v>
      </c>
      <c r="F374" t="s">
        <v>668</v>
      </c>
      <c r="G374" t="s">
        <v>59</v>
      </c>
      <c r="H374">
        <v>2023</v>
      </c>
    </row>
    <row r="375" spans="1:8" x14ac:dyDescent="0.2">
      <c r="A375">
        <v>158615</v>
      </c>
      <c r="B375">
        <v>2483084.2999999998</v>
      </c>
      <c r="C375" t="str">
        <f t="shared" si="5"/>
        <v>5. $1M+</v>
      </c>
      <c r="D375" t="s">
        <v>7</v>
      </c>
      <c r="E375" t="s">
        <v>8</v>
      </c>
      <c r="F375" t="s">
        <v>9</v>
      </c>
      <c r="G375" t="s">
        <v>10</v>
      </c>
      <c r="H375">
        <v>2023</v>
      </c>
    </row>
    <row r="376" spans="1:8" x14ac:dyDescent="0.2">
      <c r="A376">
        <v>158837</v>
      </c>
      <c r="B376">
        <v>2849584.1</v>
      </c>
      <c r="C376" t="str">
        <f t="shared" si="5"/>
        <v>5. $1M+</v>
      </c>
      <c r="D376" t="s">
        <v>833</v>
      </c>
      <c r="E376" t="s">
        <v>42</v>
      </c>
      <c r="F376" t="s">
        <v>668</v>
      </c>
      <c r="G376" t="s">
        <v>59</v>
      </c>
      <c r="H376">
        <v>2023</v>
      </c>
    </row>
    <row r="377" spans="1:8" x14ac:dyDescent="0.2">
      <c r="A377">
        <v>159021</v>
      </c>
      <c r="B377">
        <v>544787.30000000005</v>
      </c>
      <c r="C377" t="str">
        <f t="shared" si="5"/>
        <v>5. $1M+</v>
      </c>
      <c r="D377" t="s">
        <v>84</v>
      </c>
      <c r="E377" t="s">
        <v>28</v>
      </c>
      <c r="F377" t="s">
        <v>85</v>
      </c>
      <c r="G377" t="s">
        <v>10</v>
      </c>
      <c r="H377">
        <v>2023</v>
      </c>
    </row>
    <row r="378" spans="1:8" x14ac:dyDescent="0.2">
      <c r="A378">
        <v>159642</v>
      </c>
      <c r="B378">
        <v>50000</v>
      </c>
      <c r="C378" t="str">
        <f t="shared" si="5"/>
        <v>4. $250K-1M</v>
      </c>
      <c r="D378" t="s">
        <v>834</v>
      </c>
      <c r="E378" t="s">
        <v>52</v>
      </c>
      <c r="F378" t="s">
        <v>668</v>
      </c>
      <c r="G378" t="s">
        <v>59</v>
      </c>
      <c r="H378">
        <v>2023</v>
      </c>
    </row>
    <row r="379" spans="1:8" x14ac:dyDescent="0.2">
      <c r="A379">
        <v>160353</v>
      </c>
      <c r="B379">
        <v>407070.9</v>
      </c>
      <c r="C379" t="str">
        <f t="shared" si="5"/>
        <v>3. $50K-250K</v>
      </c>
      <c r="D379" t="s">
        <v>128</v>
      </c>
      <c r="E379" t="s">
        <v>8</v>
      </c>
      <c r="F379" t="s">
        <v>9</v>
      </c>
      <c r="G379" t="s">
        <v>10</v>
      </c>
      <c r="H379">
        <v>2023</v>
      </c>
    </row>
    <row r="380" spans="1:8" x14ac:dyDescent="0.2">
      <c r="A380">
        <v>160570</v>
      </c>
      <c r="B380">
        <v>1240820</v>
      </c>
      <c r="C380" t="str">
        <f t="shared" si="5"/>
        <v>4. $250K-1M</v>
      </c>
      <c r="D380" t="s">
        <v>801</v>
      </c>
      <c r="E380" t="s">
        <v>42</v>
      </c>
      <c r="F380" t="s">
        <v>670</v>
      </c>
      <c r="G380" t="s">
        <v>44</v>
      </c>
      <c r="H380">
        <v>2023</v>
      </c>
    </row>
    <row r="381" spans="1:8" x14ac:dyDescent="0.2">
      <c r="A381">
        <v>160578</v>
      </c>
      <c r="B381">
        <v>15000</v>
      </c>
      <c r="C381" t="str">
        <f t="shared" si="5"/>
        <v>5. $1M+</v>
      </c>
      <c r="D381" t="s">
        <v>116</v>
      </c>
      <c r="E381" t="s">
        <v>24</v>
      </c>
      <c r="F381" t="s">
        <v>9</v>
      </c>
      <c r="G381" t="s">
        <v>10</v>
      </c>
      <c r="H381">
        <v>2024</v>
      </c>
    </row>
    <row r="382" spans="1:8" x14ac:dyDescent="0.2">
      <c r="A382">
        <v>160579</v>
      </c>
      <c r="B382">
        <v>17736.8</v>
      </c>
      <c r="C382" t="str">
        <f t="shared" si="5"/>
        <v>2. $10K-50K</v>
      </c>
      <c r="D382" t="s">
        <v>23</v>
      </c>
      <c r="E382" t="s">
        <v>24</v>
      </c>
      <c r="F382" t="s">
        <v>9</v>
      </c>
      <c r="G382" t="s">
        <v>10</v>
      </c>
      <c r="H382">
        <v>2024</v>
      </c>
    </row>
    <row r="383" spans="1:8" x14ac:dyDescent="0.2">
      <c r="A383">
        <v>161114</v>
      </c>
      <c r="B383">
        <v>137154.1</v>
      </c>
      <c r="C383" t="str">
        <f t="shared" si="5"/>
        <v>2. $10K-50K</v>
      </c>
      <c r="D383" t="s">
        <v>129</v>
      </c>
      <c r="E383" t="s">
        <v>28</v>
      </c>
      <c r="F383" t="s">
        <v>85</v>
      </c>
      <c r="G383" t="s">
        <v>59</v>
      </c>
      <c r="H383">
        <v>2023</v>
      </c>
    </row>
    <row r="384" spans="1:8" x14ac:dyDescent="0.2">
      <c r="A384">
        <v>162116</v>
      </c>
      <c r="B384">
        <v>5000000</v>
      </c>
      <c r="C384" t="str">
        <f t="shared" si="5"/>
        <v>3. $50K-250K</v>
      </c>
      <c r="D384" t="s">
        <v>130</v>
      </c>
      <c r="E384" t="s">
        <v>54</v>
      </c>
      <c r="F384" t="s">
        <v>22</v>
      </c>
      <c r="G384" t="s">
        <v>10</v>
      </c>
      <c r="H384">
        <v>2023</v>
      </c>
    </row>
    <row r="385" spans="1:8" x14ac:dyDescent="0.2">
      <c r="A385">
        <v>162358</v>
      </c>
      <c r="B385">
        <v>8000000</v>
      </c>
      <c r="C385" t="str">
        <f t="shared" si="5"/>
        <v>5. $1M+</v>
      </c>
      <c r="D385" t="s">
        <v>131</v>
      </c>
      <c r="E385" t="s">
        <v>132</v>
      </c>
      <c r="F385" t="s">
        <v>133</v>
      </c>
      <c r="G385" t="s">
        <v>61</v>
      </c>
      <c r="H385">
        <v>2024</v>
      </c>
    </row>
    <row r="386" spans="1:8" x14ac:dyDescent="0.2">
      <c r="A386">
        <v>162366</v>
      </c>
      <c r="B386">
        <v>8000000</v>
      </c>
      <c r="C386" t="str">
        <f t="shared" si="5"/>
        <v>5. $1M+</v>
      </c>
      <c r="D386" t="s">
        <v>63</v>
      </c>
      <c r="E386" t="s">
        <v>132</v>
      </c>
      <c r="F386" t="s">
        <v>133</v>
      </c>
      <c r="G386" t="s">
        <v>61</v>
      </c>
      <c r="H386">
        <v>2023</v>
      </c>
    </row>
    <row r="387" spans="1:8" x14ac:dyDescent="0.2">
      <c r="A387">
        <v>162839</v>
      </c>
      <c r="B387">
        <v>725813.7</v>
      </c>
      <c r="C387" t="str">
        <f t="shared" ref="C387:C450" si="6">IF(B386&lt;10000,"1. Under $10K",IF(B386&lt;50000,"2. $10K-50K",IF(B386&lt;250000,"3. $50K-250K",IF(B386&lt;1000000,"4. $250K-1M","5. $1M+"))))</f>
        <v>5. $1M+</v>
      </c>
      <c r="D387" t="s">
        <v>134</v>
      </c>
      <c r="E387" t="s">
        <v>28</v>
      </c>
      <c r="F387" t="s">
        <v>85</v>
      </c>
      <c r="G387" t="s">
        <v>10</v>
      </c>
      <c r="H387">
        <v>2023</v>
      </c>
    </row>
    <row r="388" spans="1:8" x14ac:dyDescent="0.2">
      <c r="A388">
        <v>164104</v>
      </c>
      <c r="B388">
        <v>680382</v>
      </c>
      <c r="C388" t="str">
        <f t="shared" si="6"/>
        <v>4. $250K-1M</v>
      </c>
      <c r="D388" t="s">
        <v>835</v>
      </c>
      <c r="E388" t="s">
        <v>42</v>
      </c>
      <c r="F388" t="s">
        <v>668</v>
      </c>
      <c r="G388" t="s">
        <v>59</v>
      </c>
      <c r="H388">
        <v>2023</v>
      </c>
    </row>
    <row r="389" spans="1:8" x14ac:dyDescent="0.2">
      <c r="A389">
        <v>164369</v>
      </c>
      <c r="B389">
        <v>437468</v>
      </c>
      <c r="C389" t="str">
        <f t="shared" si="6"/>
        <v>4. $250K-1M</v>
      </c>
      <c r="D389" t="s">
        <v>694</v>
      </c>
      <c r="E389" t="s">
        <v>237</v>
      </c>
      <c r="F389" t="s">
        <v>670</v>
      </c>
      <c r="G389" t="s">
        <v>44</v>
      </c>
      <c r="H389">
        <v>2023</v>
      </c>
    </row>
    <row r="390" spans="1:8" x14ac:dyDescent="0.2">
      <c r="A390">
        <v>164377</v>
      </c>
      <c r="B390">
        <v>396073</v>
      </c>
      <c r="C390" t="str">
        <f t="shared" si="6"/>
        <v>4. $250K-1M</v>
      </c>
      <c r="D390" t="s">
        <v>836</v>
      </c>
      <c r="E390" t="s">
        <v>237</v>
      </c>
      <c r="F390" t="s">
        <v>670</v>
      </c>
      <c r="G390" t="s">
        <v>59</v>
      </c>
      <c r="H390">
        <v>2023</v>
      </c>
    </row>
    <row r="391" spans="1:8" x14ac:dyDescent="0.2">
      <c r="A391">
        <v>164378</v>
      </c>
      <c r="B391">
        <v>100000</v>
      </c>
      <c r="C391" t="str">
        <f t="shared" si="6"/>
        <v>4. $250K-1M</v>
      </c>
      <c r="D391" t="s">
        <v>837</v>
      </c>
      <c r="E391" t="s">
        <v>237</v>
      </c>
      <c r="F391" t="s">
        <v>670</v>
      </c>
      <c r="G391" t="s">
        <v>44</v>
      </c>
      <c r="H391">
        <v>2023</v>
      </c>
    </row>
    <row r="392" spans="1:8" x14ac:dyDescent="0.2">
      <c r="A392">
        <v>164446</v>
      </c>
      <c r="B392">
        <v>75000</v>
      </c>
      <c r="C392" t="str">
        <f t="shared" si="6"/>
        <v>3. $50K-250K</v>
      </c>
      <c r="D392" t="s">
        <v>838</v>
      </c>
      <c r="E392" t="s">
        <v>42</v>
      </c>
      <c r="F392" t="s">
        <v>670</v>
      </c>
      <c r="G392" t="s">
        <v>44</v>
      </c>
      <c r="H392">
        <v>2023</v>
      </c>
    </row>
    <row r="393" spans="1:8" x14ac:dyDescent="0.2">
      <c r="A393">
        <v>164450</v>
      </c>
      <c r="B393">
        <v>100000</v>
      </c>
      <c r="C393" t="str">
        <f t="shared" si="6"/>
        <v>3. $50K-250K</v>
      </c>
      <c r="D393" t="s">
        <v>839</v>
      </c>
      <c r="E393" t="s">
        <v>42</v>
      </c>
      <c r="F393" t="s">
        <v>670</v>
      </c>
      <c r="G393" t="s">
        <v>44</v>
      </c>
      <c r="H393">
        <v>2023</v>
      </c>
    </row>
    <row r="394" spans="1:8" x14ac:dyDescent="0.2">
      <c r="A394">
        <v>165669</v>
      </c>
      <c r="B394">
        <v>2200000</v>
      </c>
      <c r="C394" t="str">
        <f t="shared" si="6"/>
        <v>3. $50K-250K</v>
      </c>
      <c r="D394" t="s">
        <v>840</v>
      </c>
      <c r="E394" t="s">
        <v>42</v>
      </c>
      <c r="F394" t="s">
        <v>668</v>
      </c>
      <c r="G394" t="s">
        <v>59</v>
      </c>
      <c r="H394">
        <v>2023</v>
      </c>
    </row>
    <row r="395" spans="1:8" x14ac:dyDescent="0.2">
      <c r="A395">
        <v>166224</v>
      </c>
      <c r="B395">
        <v>500000</v>
      </c>
      <c r="C395" t="str">
        <f t="shared" si="6"/>
        <v>5. $1M+</v>
      </c>
      <c r="D395" t="s">
        <v>841</v>
      </c>
      <c r="E395" t="s">
        <v>42</v>
      </c>
      <c r="F395" t="s">
        <v>668</v>
      </c>
      <c r="G395" t="s">
        <v>59</v>
      </c>
      <c r="H395">
        <v>2023</v>
      </c>
    </row>
    <row r="396" spans="1:8" x14ac:dyDescent="0.2">
      <c r="A396">
        <v>166316</v>
      </c>
      <c r="B396">
        <v>268920</v>
      </c>
      <c r="C396" t="str">
        <f t="shared" si="6"/>
        <v>4. $250K-1M</v>
      </c>
      <c r="D396" t="s">
        <v>711</v>
      </c>
      <c r="E396" t="s">
        <v>237</v>
      </c>
      <c r="F396" t="s">
        <v>670</v>
      </c>
      <c r="G396" t="s">
        <v>44</v>
      </c>
      <c r="H396">
        <v>2024</v>
      </c>
    </row>
    <row r="397" spans="1:8" x14ac:dyDescent="0.2">
      <c r="A397">
        <v>167067</v>
      </c>
      <c r="B397">
        <v>20273231.399999999</v>
      </c>
      <c r="C397" t="str">
        <f t="shared" si="6"/>
        <v>4. $250K-1M</v>
      </c>
      <c r="D397" t="s">
        <v>7</v>
      </c>
      <c r="E397" t="s">
        <v>8</v>
      </c>
      <c r="F397" t="s">
        <v>9</v>
      </c>
      <c r="G397" t="s">
        <v>10</v>
      </c>
      <c r="H397">
        <v>2023</v>
      </c>
    </row>
    <row r="398" spans="1:8" x14ac:dyDescent="0.2">
      <c r="A398">
        <v>167245</v>
      </c>
      <c r="B398">
        <v>177000</v>
      </c>
      <c r="C398" t="str">
        <f t="shared" si="6"/>
        <v>5. $1M+</v>
      </c>
      <c r="D398" t="s">
        <v>83</v>
      </c>
      <c r="E398" t="s">
        <v>54</v>
      </c>
      <c r="F398" t="s">
        <v>22</v>
      </c>
      <c r="G398" t="s">
        <v>10</v>
      </c>
      <c r="H398">
        <v>2024</v>
      </c>
    </row>
    <row r="399" spans="1:8" x14ac:dyDescent="0.2">
      <c r="A399">
        <v>167326</v>
      </c>
      <c r="B399">
        <v>89890205.299999997</v>
      </c>
      <c r="C399" t="str">
        <f t="shared" si="6"/>
        <v>3. $50K-250K</v>
      </c>
      <c r="D399" t="s">
        <v>135</v>
      </c>
      <c r="E399" t="s">
        <v>52</v>
      </c>
      <c r="F399" t="s">
        <v>43</v>
      </c>
      <c r="G399" t="s">
        <v>124</v>
      </c>
      <c r="H399">
        <v>2025</v>
      </c>
    </row>
    <row r="400" spans="1:8" x14ac:dyDescent="0.2">
      <c r="A400">
        <v>167344</v>
      </c>
      <c r="B400">
        <v>35109.300000000003</v>
      </c>
      <c r="C400" t="str">
        <f t="shared" si="6"/>
        <v>5. $1M+</v>
      </c>
      <c r="D400" t="s">
        <v>104</v>
      </c>
      <c r="E400" t="s">
        <v>8</v>
      </c>
      <c r="F400" t="s">
        <v>25</v>
      </c>
      <c r="G400" t="s">
        <v>10</v>
      </c>
      <c r="H400">
        <v>2023</v>
      </c>
    </row>
    <row r="401" spans="1:8" x14ac:dyDescent="0.2">
      <c r="A401">
        <v>167478</v>
      </c>
      <c r="B401">
        <v>179606.2</v>
      </c>
      <c r="C401" t="str">
        <f t="shared" si="6"/>
        <v>2. $10K-50K</v>
      </c>
      <c r="D401" t="s">
        <v>842</v>
      </c>
      <c r="E401" t="s">
        <v>59</v>
      </c>
      <c r="F401" t="s">
        <v>664</v>
      </c>
      <c r="G401" t="s">
        <v>59</v>
      </c>
      <c r="H401">
        <v>2023</v>
      </c>
    </row>
    <row r="402" spans="1:8" x14ac:dyDescent="0.2">
      <c r="A402">
        <v>167516</v>
      </c>
      <c r="B402">
        <v>66000000</v>
      </c>
      <c r="C402" t="str">
        <f t="shared" si="6"/>
        <v>3. $50K-250K</v>
      </c>
      <c r="D402" t="s">
        <v>80</v>
      </c>
      <c r="E402" t="s">
        <v>8</v>
      </c>
      <c r="F402" t="s">
        <v>9</v>
      </c>
      <c r="G402" t="s">
        <v>10</v>
      </c>
      <c r="H402">
        <v>2023</v>
      </c>
    </row>
    <row r="403" spans="1:8" x14ac:dyDescent="0.2">
      <c r="A403">
        <v>16761</v>
      </c>
      <c r="B403">
        <v>6831602</v>
      </c>
      <c r="C403" t="str">
        <f t="shared" si="6"/>
        <v>5. $1M+</v>
      </c>
      <c r="D403" t="s">
        <v>136</v>
      </c>
      <c r="E403" t="s">
        <v>67</v>
      </c>
      <c r="F403" t="s">
        <v>43</v>
      </c>
      <c r="G403" t="s">
        <v>101</v>
      </c>
      <c r="H403">
        <v>2025</v>
      </c>
    </row>
    <row r="404" spans="1:8" x14ac:dyDescent="0.2">
      <c r="A404">
        <v>169014</v>
      </c>
      <c r="B404">
        <v>63362575</v>
      </c>
      <c r="C404" t="str">
        <f t="shared" si="6"/>
        <v>5. $1M+</v>
      </c>
      <c r="D404" t="s">
        <v>137</v>
      </c>
      <c r="E404" t="s">
        <v>8</v>
      </c>
      <c r="F404" t="s">
        <v>9</v>
      </c>
      <c r="G404" t="s">
        <v>10</v>
      </c>
      <c r="H404">
        <v>2023</v>
      </c>
    </row>
    <row r="405" spans="1:8" x14ac:dyDescent="0.2">
      <c r="A405">
        <v>169049</v>
      </c>
      <c r="B405">
        <v>2400000</v>
      </c>
      <c r="C405" t="str">
        <f t="shared" si="6"/>
        <v>5. $1M+</v>
      </c>
      <c r="D405" t="s">
        <v>138</v>
      </c>
      <c r="E405" t="s">
        <v>52</v>
      </c>
      <c r="F405" t="s">
        <v>43</v>
      </c>
      <c r="G405" t="s">
        <v>15</v>
      </c>
      <c r="H405">
        <v>2024</v>
      </c>
    </row>
    <row r="406" spans="1:8" x14ac:dyDescent="0.2">
      <c r="A406">
        <v>169050</v>
      </c>
      <c r="B406">
        <v>2400000</v>
      </c>
      <c r="C406" t="str">
        <f t="shared" si="6"/>
        <v>5. $1M+</v>
      </c>
      <c r="D406" t="s">
        <v>139</v>
      </c>
      <c r="E406" t="s">
        <v>52</v>
      </c>
      <c r="F406" t="s">
        <v>43</v>
      </c>
      <c r="G406" t="s">
        <v>15</v>
      </c>
      <c r="H406">
        <v>2023</v>
      </c>
    </row>
    <row r="407" spans="1:8" x14ac:dyDescent="0.2">
      <c r="A407">
        <v>169089</v>
      </c>
      <c r="B407">
        <v>971900</v>
      </c>
      <c r="C407" t="str">
        <f t="shared" si="6"/>
        <v>5. $1M+</v>
      </c>
      <c r="D407" t="s">
        <v>771</v>
      </c>
      <c r="E407" t="s">
        <v>42</v>
      </c>
      <c r="F407" t="s">
        <v>670</v>
      </c>
      <c r="G407" t="s">
        <v>44</v>
      </c>
      <c r="H407">
        <v>2023</v>
      </c>
    </row>
    <row r="408" spans="1:8" x14ac:dyDescent="0.2">
      <c r="A408">
        <v>169179</v>
      </c>
      <c r="B408">
        <v>23500</v>
      </c>
      <c r="C408" t="str">
        <f t="shared" si="6"/>
        <v>4. $250K-1M</v>
      </c>
      <c r="D408" t="s">
        <v>843</v>
      </c>
      <c r="E408" t="s">
        <v>112</v>
      </c>
      <c r="F408" t="s">
        <v>668</v>
      </c>
      <c r="G408" t="s">
        <v>59</v>
      </c>
      <c r="H408">
        <v>2024</v>
      </c>
    </row>
    <row r="409" spans="1:8" x14ac:dyDescent="0.2">
      <c r="A409">
        <v>169623</v>
      </c>
      <c r="B409">
        <v>1000000</v>
      </c>
      <c r="C409" t="str">
        <f t="shared" si="6"/>
        <v>2. $10K-50K</v>
      </c>
      <c r="D409" t="s">
        <v>749</v>
      </c>
      <c r="E409" t="s">
        <v>42</v>
      </c>
      <c r="F409" t="s">
        <v>670</v>
      </c>
      <c r="G409" t="s">
        <v>44</v>
      </c>
      <c r="H409">
        <v>2023</v>
      </c>
    </row>
    <row r="410" spans="1:8" x14ac:dyDescent="0.2">
      <c r="A410">
        <v>170495</v>
      </c>
      <c r="B410">
        <v>12067767.5</v>
      </c>
      <c r="C410" t="str">
        <f t="shared" si="6"/>
        <v>5. $1M+</v>
      </c>
      <c r="D410" t="s">
        <v>140</v>
      </c>
      <c r="E410" t="s">
        <v>141</v>
      </c>
      <c r="F410" t="s">
        <v>43</v>
      </c>
      <c r="G410" t="s">
        <v>124</v>
      </c>
      <c r="H410">
        <v>2024</v>
      </c>
    </row>
    <row r="411" spans="1:8" x14ac:dyDescent="0.2">
      <c r="A411">
        <v>170879</v>
      </c>
      <c r="B411">
        <v>13488.6</v>
      </c>
      <c r="C411" t="str">
        <f t="shared" si="6"/>
        <v>5. $1M+</v>
      </c>
      <c r="D411" t="s">
        <v>142</v>
      </c>
      <c r="E411" t="s">
        <v>24</v>
      </c>
      <c r="F411" t="s">
        <v>106</v>
      </c>
      <c r="G411" t="s">
        <v>10</v>
      </c>
      <c r="H411">
        <v>2023</v>
      </c>
    </row>
    <row r="412" spans="1:8" x14ac:dyDescent="0.2">
      <c r="A412">
        <v>170884</v>
      </c>
      <c r="B412">
        <v>66000000</v>
      </c>
      <c r="C412" t="str">
        <f t="shared" si="6"/>
        <v>2. $10K-50K</v>
      </c>
      <c r="D412" t="s">
        <v>143</v>
      </c>
      <c r="E412" t="s">
        <v>8</v>
      </c>
      <c r="F412" t="s">
        <v>9</v>
      </c>
      <c r="G412" t="s">
        <v>10</v>
      </c>
      <c r="H412">
        <v>2023</v>
      </c>
    </row>
    <row r="413" spans="1:8" x14ac:dyDescent="0.2">
      <c r="A413">
        <v>170898</v>
      </c>
      <c r="B413">
        <v>232472</v>
      </c>
      <c r="C413" t="str">
        <f t="shared" si="6"/>
        <v>5. $1M+</v>
      </c>
      <c r="D413" t="s">
        <v>134</v>
      </c>
      <c r="E413" t="s">
        <v>28</v>
      </c>
      <c r="F413" t="s">
        <v>85</v>
      </c>
      <c r="G413" t="s">
        <v>59</v>
      </c>
      <c r="H413">
        <v>2023</v>
      </c>
    </row>
    <row r="414" spans="1:8" x14ac:dyDescent="0.2">
      <c r="A414">
        <v>171225</v>
      </c>
      <c r="B414">
        <v>10005760.1</v>
      </c>
      <c r="C414" t="str">
        <f t="shared" si="6"/>
        <v>3. $50K-250K</v>
      </c>
      <c r="D414" t="s">
        <v>144</v>
      </c>
      <c r="E414" t="s">
        <v>24</v>
      </c>
      <c r="F414" t="s">
        <v>9</v>
      </c>
      <c r="G414" t="s">
        <v>10</v>
      </c>
      <c r="H414">
        <v>2023</v>
      </c>
    </row>
    <row r="415" spans="1:8" x14ac:dyDescent="0.2">
      <c r="A415">
        <v>171226</v>
      </c>
      <c r="B415">
        <v>10005760.1</v>
      </c>
      <c r="C415" t="str">
        <f t="shared" si="6"/>
        <v>5. $1M+</v>
      </c>
      <c r="D415" t="s">
        <v>144</v>
      </c>
      <c r="E415" t="s">
        <v>24</v>
      </c>
      <c r="F415" t="s">
        <v>9</v>
      </c>
      <c r="G415" t="s">
        <v>10</v>
      </c>
      <c r="H415">
        <v>2023</v>
      </c>
    </row>
    <row r="416" spans="1:8" x14ac:dyDescent="0.2">
      <c r="A416">
        <v>171227</v>
      </c>
      <c r="B416">
        <v>10005760.1</v>
      </c>
      <c r="C416" t="str">
        <f t="shared" si="6"/>
        <v>5. $1M+</v>
      </c>
      <c r="D416" t="s">
        <v>144</v>
      </c>
      <c r="E416" t="s">
        <v>24</v>
      </c>
      <c r="F416" t="s">
        <v>9</v>
      </c>
      <c r="G416" t="s">
        <v>10</v>
      </c>
      <c r="H416">
        <v>2023</v>
      </c>
    </row>
    <row r="417" spans="1:8" x14ac:dyDescent="0.2">
      <c r="A417">
        <v>172055</v>
      </c>
      <c r="B417">
        <v>909000.8</v>
      </c>
      <c r="C417" t="str">
        <f t="shared" si="6"/>
        <v>5. $1M+</v>
      </c>
      <c r="D417" t="s">
        <v>114</v>
      </c>
      <c r="E417" t="s">
        <v>8</v>
      </c>
      <c r="F417" t="s">
        <v>9</v>
      </c>
      <c r="G417" t="s">
        <v>10</v>
      </c>
      <c r="H417">
        <v>2023</v>
      </c>
    </row>
    <row r="418" spans="1:8" x14ac:dyDescent="0.2">
      <c r="A418">
        <v>172056</v>
      </c>
      <c r="B418">
        <v>1027819.7</v>
      </c>
      <c r="C418" t="str">
        <f t="shared" si="6"/>
        <v>4. $250K-1M</v>
      </c>
      <c r="D418" t="s">
        <v>114</v>
      </c>
      <c r="E418" t="s">
        <v>8</v>
      </c>
      <c r="F418" t="s">
        <v>9</v>
      </c>
      <c r="G418" t="s">
        <v>10</v>
      </c>
      <c r="H418">
        <v>2023</v>
      </c>
    </row>
    <row r="419" spans="1:8" x14ac:dyDescent="0.2">
      <c r="A419">
        <v>172866</v>
      </c>
      <c r="B419">
        <v>4000000</v>
      </c>
      <c r="C419" t="str">
        <f t="shared" si="6"/>
        <v>5. $1M+</v>
      </c>
      <c r="D419" t="s">
        <v>145</v>
      </c>
      <c r="E419" t="s">
        <v>54</v>
      </c>
      <c r="F419" t="s">
        <v>43</v>
      </c>
      <c r="G419" t="s">
        <v>44</v>
      </c>
      <c r="H419">
        <v>2023</v>
      </c>
    </row>
    <row r="420" spans="1:8" x14ac:dyDescent="0.2">
      <c r="A420">
        <v>173319</v>
      </c>
      <c r="B420">
        <v>741706</v>
      </c>
      <c r="C420" t="str">
        <f t="shared" si="6"/>
        <v>5. $1M+</v>
      </c>
      <c r="D420" t="s">
        <v>844</v>
      </c>
      <c r="E420" t="s">
        <v>237</v>
      </c>
      <c r="F420" t="s">
        <v>670</v>
      </c>
      <c r="G420" t="s">
        <v>59</v>
      </c>
      <c r="H420">
        <v>2023</v>
      </c>
    </row>
    <row r="421" spans="1:8" x14ac:dyDescent="0.2">
      <c r="A421">
        <v>173320</v>
      </c>
      <c r="B421">
        <v>399648</v>
      </c>
      <c r="C421" t="str">
        <f t="shared" si="6"/>
        <v>4. $250K-1M</v>
      </c>
      <c r="D421" t="s">
        <v>798</v>
      </c>
      <c r="E421" t="s">
        <v>237</v>
      </c>
      <c r="F421" t="s">
        <v>670</v>
      </c>
      <c r="G421" t="s">
        <v>59</v>
      </c>
      <c r="H421">
        <v>2023</v>
      </c>
    </row>
    <row r="422" spans="1:8" x14ac:dyDescent="0.2">
      <c r="A422">
        <v>173322</v>
      </c>
      <c r="B422">
        <v>150300</v>
      </c>
      <c r="C422" t="str">
        <f t="shared" si="6"/>
        <v>4. $250K-1M</v>
      </c>
      <c r="D422" t="s">
        <v>832</v>
      </c>
      <c r="E422" t="s">
        <v>237</v>
      </c>
      <c r="F422" t="s">
        <v>670</v>
      </c>
      <c r="G422" t="s">
        <v>59</v>
      </c>
      <c r="H422">
        <v>2023</v>
      </c>
    </row>
    <row r="423" spans="1:8" x14ac:dyDescent="0.2">
      <c r="A423">
        <v>173323</v>
      </c>
      <c r="B423">
        <v>119628</v>
      </c>
      <c r="C423" t="str">
        <f t="shared" si="6"/>
        <v>3. $50K-250K</v>
      </c>
      <c r="D423" t="s">
        <v>762</v>
      </c>
      <c r="E423" t="s">
        <v>237</v>
      </c>
      <c r="F423" t="s">
        <v>670</v>
      </c>
      <c r="G423" t="s">
        <v>59</v>
      </c>
      <c r="H423">
        <v>2023</v>
      </c>
    </row>
    <row r="424" spans="1:8" x14ac:dyDescent="0.2">
      <c r="A424">
        <v>173332</v>
      </c>
      <c r="B424">
        <v>2700000</v>
      </c>
      <c r="C424" t="str">
        <f t="shared" si="6"/>
        <v>3. $50K-250K</v>
      </c>
      <c r="D424" t="s">
        <v>84</v>
      </c>
      <c r="E424" t="s">
        <v>28</v>
      </c>
      <c r="F424" t="s">
        <v>31</v>
      </c>
      <c r="G424" t="s">
        <v>10</v>
      </c>
      <c r="H424">
        <v>2025</v>
      </c>
    </row>
    <row r="425" spans="1:8" x14ac:dyDescent="0.2">
      <c r="A425">
        <v>173521</v>
      </c>
      <c r="B425">
        <v>50423765</v>
      </c>
      <c r="C425" t="str">
        <f t="shared" si="6"/>
        <v>5. $1M+</v>
      </c>
      <c r="D425" t="s">
        <v>845</v>
      </c>
      <c r="E425" t="s">
        <v>69</v>
      </c>
      <c r="F425" t="s">
        <v>668</v>
      </c>
      <c r="G425" t="s">
        <v>59</v>
      </c>
      <c r="H425">
        <v>2023</v>
      </c>
    </row>
    <row r="426" spans="1:8" x14ac:dyDescent="0.2">
      <c r="A426">
        <v>173589</v>
      </c>
      <c r="B426">
        <v>937468.5</v>
      </c>
      <c r="C426" t="str">
        <f t="shared" si="6"/>
        <v>5. $1M+</v>
      </c>
      <c r="D426" t="s">
        <v>39</v>
      </c>
      <c r="E426" t="s">
        <v>8</v>
      </c>
      <c r="F426" t="s">
        <v>9</v>
      </c>
      <c r="G426" t="s">
        <v>10</v>
      </c>
      <c r="H426">
        <v>2023</v>
      </c>
    </row>
    <row r="427" spans="1:8" x14ac:dyDescent="0.2">
      <c r="A427">
        <v>173593</v>
      </c>
      <c r="B427">
        <v>480000</v>
      </c>
      <c r="C427" t="str">
        <f t="shared" si="6"/>
        <v>4. $250K-1M</v>
      </c>
      <c r="D427" t="s">
        <v>846</v>
      </c>
      <c r="E427" t="s">
        <v>59</v>
      </c>
      <c r="F427" t="s">
        <v>670</v>
      </c>
      <c r="G427" t="s">
        <v>59</v>
      </c>
      <c r="H427">
        <v>2023</v>
      </c>
    </row>
    <row r="428" spans="1:8" x14ac:dyDescent="0.2">
      <c r="A428">
        <v>173598</v>
      </c>
      <c r="B428">
        <v>480000</v>
      </c>
      <c r="C428" t="str">
        <f t="shared" si="6"/>
        <v>4. $250K-1M</v>
      </c>
      <c r="D428" t="s">
        <v>548</v>
      </c>
      <c r="E428" t="s">
        <v>42</v>
      </c>
      <c r="F428" t="s">
        <v>670</v>
      </c>
      <c r="G428" t="s">
        <v>44</v>
      </c>
      <c r="H428">
        <v>2023</v>
      </c>
    </row>
    <row r="429" spans="1:8" x14ac:dyDescent="0.2">
      <c r="A429">
        <v>173601</v>
      </c>
      <c r="B429">
        <v>240000</v>
      </c>
      <c r="C429" t="str">
        <f t="shared" si="6"/>
        <v>4. $250K-1M</v>
      </c>
      <c r="D429" t="s">
        <v>847</v>
      </c>
      <c r="E429" t="s">
        <v>42</v>
      </c>
      <c r="F429" t="s">
        <v>670</v>
      </c>
      <c r="G429" t="s">
        <v>44</v>
      </c>
      <c r="H429">
        <v>2023</v>
      </c>
    </row>
    <row r="430" spans="1:8" x14ac:dyDescent="0.2">
      <c r="A430">
        <v>173602</v>
      </c>
      <c r="B430">
        <v>600000</v>
      </c>
      <c r="C430" t="str">
        <f t="shared" si="6"/>
        <v>3. $50K-250K</v>
      </c>
      <c r="D430" t="s">
        <v>701</v>
      </c>
      <c r="E430" t="s">
        <v>42</v>
      </c>
      <c r="F430" t="s">
        <v>670</v>
      </c>
      <c r="G430" t="s">
        <v>44</v>
      </c>
      <c r="H430">
        <v>2023</v>
      </c>
    </row>
    <row r="431" spans="1:8" x14ac:dyDescent="0.2">
      <c r="A431">
        <v>173622</v>
      </c>
      <c r="B431">
        <v>700000</v>
      </c>
      <c r="C431" t="str">
        <f t="shared" si="6"/>
        <v>4. $250K-1M</v>
      </c>
      <c r="D431" t="s">
        <v>848</v>
      </c>
      <c r="E431" t="s">
        <v>42</v>
      </c>
      <c r="F431" t="s">
        <v>670</v>
      </c>
      <c r="G431" t="s">
        <v>44</v>
      </c>
      <c r="H431">
        <v>2024</v>
      </c>
    </row>
    <row r="432" spans="1:8" x14ac:dyDescent="0.2">
      <c r="A432">
        <v>173847</v>
      </c>
      <c r="B432">
        <v>355837</v>
      </c>
      <c r="C432" t="str">
        <f t="shared" si="6"/>
        <v>4. $250K-1M</v>
      </c>
      <c r="D432" t="s">
        <v>849</v>
      </c>
      <c r="E432" t="s">
        <v>42</v>
      </c>
      <c r="F432" t="s">
        <v>670</v>
      </c>
      <c r="G432" t="s">
        <v>44</v>
      </c>
      <c r="H432">
        <v>2023</v>
      </c>
    </row>
    <row r="433" spans="1:8" x14ac:dyDescent="0.2">
      <c r="A433">
        <v>174012</v>
      </c>
      <c r="B433">
        <v>400000</v>
      </c>
      <c r="C433" t="str">
        <f t="shared" si="6"/>
        <v>4. $250K-1M</v>
      </c>
      <c r="D433" t="s">
        <v>850</v>
      </c>
      <c r="E433" t="s">
        <v>99</v>
      </c>
      <c r="F433" t="s">
        <v>668</v>
      </c>
      <c r="G433" t="s">
        <v>59</v>
      </c>
      <c r="H433">
        <v>2023</v>
      </c>
    </row>
    <row r="434" spans="1:8" x14ac:dyDescent="0.2">
      <c r="A434">
        <v>174014</v>
      </c>
      <c r="B434">
        <v>310000</v>
      </c>
      <c r="C434" t="str">
        <f t="shared" si="6"/>
        <v>4. $250K-1M</v>
      </c>
      <c r="D434" t="s">
        <v>778</v>
      </c>
      <c r="E434" t="s">
        <v>99</v>
      </c>
      <c r="F434" t="s">
        <v>668</v>
      </c>
      <c r="G434" t="s">
        <v>59</v>
      </c>
      <c r="H434">
        <v>2023</v>
      </c>
    </row>
    <row r="435" spans="1:8" x14ac:dyDescent="0.2">
      <c r="A435">
        <v>174270</v>
      </c>
      <c r="B435">
        <v>7675894.5999999996</v>
      </c>
      <c r="C435" t="str">
        <f t="shared" si="6"/>
        <v>4. $250K-1M</v>
      </c>
      <c r="D435" t="s">
        <v>146</v>
      </c>
      <c r="E435" t="s">
        <v>8</v>
      </c>
      <c r="F435" t="s">
        <v>9</v>
      </c>
      <c r="G435" t="s">
        <v>10</v>
      </c>
      <c r="H435">
        <v>2023</v>
      </c>
    </row>
    <row r="436" spans="1:8" x14ac:dyDescent="0.2">
      <c r="A436">
        <v>174283</v>
      </c>
      <c r="B436">
        <v>1137500</v>
      </c>
      <c r="C436" t="str">
        <f t="shared" si="6"/>
        <v>5. $1M+</v>
      </c>
      <c r="D436" t="s">
        <v>851</v>
      </c>
      <c r="E436" t="s">
        <v>237</v>
      </c>
      <c r="F436" t="s">
        <v>670</v>
      </c>
      <c r="G436" t="s">
        <v>59</v>
      </c>
      <c r="H436">
        <v>2023</v>
      </c>
    </row>
    <row r="437" spans="1:8" x14ac:dyDescent="0.2">
      <c r="A437">
        <v>174284</v>
      </c>
      <c r="B437">
        <v>102304</v>
      </c>
      <c r="C437" t="str">
        <f t="shared" si="6"/>
        <v>5. $1M+</v>
      </c>
      <c r="D437" t="s">
        <v>852</v>
      </c>
      <c r="E437" t="s">
        <v>237</v>
      </c>
      <c r="F437" t="s">
        <v>670</v>
      </c>
      <c r="G437" t="s">
        <v>59</v>
      </c>
      <c r="H437">
        <v>2023</v>
      </c>
    </row>
    <row r="438" spans="1:8" x14ac:dyDescent="0.2">
      <c r="A438">
        <v>174285</v>
      </c>
      <c r="B438">
        <v>1203966</v>
      </c>
      <c r="C438" t="str">
        <f t="shared" si="6"/>
        <v>3. $50K-250K</v>
      </c>
      <c r="D438" t="s">
        <v>852</v>
      </c>
      <c r="E438" t="s">
        <v>237</v>
      </c>
      <c r="F438" t="s">
        <v>670</v>
      </c>
      <c r="G438" t="s">
        <v>59</v>
      </c>
      <c r="H438">
        <v>2023</v>
      </c>
    </row>
    <row r="439" spans="1:8" x14ac:dyDescent="0.2">
      <c r="A439">
        <v>174286</v>
      </c>
      <c r="B439">
        <v>56551031</v>
      </c>
      <c r="C439" t="str">
        <f t="shared" si="6"/>
        <v>5. $1M+</v>
      </c>
      <c r="D439" t="s">
        <v>852</v>
      </c>
      <c r="E439" t="s">
        <v>237</v>
      </c>
      <c r="F439" t="s">
        <v>670</v>
      </c>
      <c r="G439" t="s">
        <v>59</v>
      </c>
      <c r="H439">
        <v>2023</v>
      </c>
    </row>
    <row r="440" spans="1:8" x14ac:dyDescent="0.2">
      <c r="A440">
        <v>174287</v>
      </c>
      <c r="B440">
        <v>5835395</v>
      </c>
      <c r="C440" t="str">
        <f t="shared" si="6"/>
        <v>5. $1M+</v>
      </c>
      <c r="D440" t="s">
        <v>852</v>
      </c>
      <c r="E440" t="s">
        <v>237</v>
      </c>
      <c r="F440" t="s">
        <v>670</v>
      </c>
      <c r="G440" t="s">
        <v>59</v>
      </c>
      <c r="H440">
        <v>2023</v>
      </c>
    </row>
    <row r="441" spans="1:8" x14ac:dyDescent="0.2">
      <c r="A441">
        <v>174290</v>
      </c>
      <c r="B441">
        <v>59579</v>
      </c>
      <c r="C441" t="str">
        <f t="shared" si="6"/>
        <v>5. $1M+</v>
      </c>
      <c r="D441" t="s">
        <v>719</v>
      </c>
      <c r="E441" t="s">
        <v>237</v>
      </c>
      <c r="F441" t="s">
        <v>670</v>
      </c>
      <c r="G441" t="s">
        <v>59</v>
      </c>
      <c r="H441">
        <v>2023</v>
      </c>
    </row>
    <row r="442" spans="1:8" x14ac:dyDescent="0.2">
      <c r="A442">
        <v>174291</v>
      </c>
      <c r="B442">
        <v>119171</v>
      </c>
      <c r="C442" t="str">
        <f t="shared" si="6"/>
        <v>3. $50K-250K</v>
      </c>
      <c r="D442" t="s">
        <v>719</v>
      </c>
      <c r="E442" t="s">
        <v>237</v>
      </c>
      <c r="F442" t="s">
        <v>670</v>
      </c>
      <c r="G442" t="s">
        <v>59</v>
      </c>
      <c r="H442">
        <v>2023</v>
      </c>
    </row>
    <row r="443" spans="1:8" x14ac:dyDescent="0.2">
      <c r="A443">
        <v>174294</v>
      </c>
      <c r="B443">
        <v>225000</v>
      </c>
      <c r="C443" t="str">
        <f t="shared" si="6"/>
        <v>3. $50K-250K</v>
      </c>
      <c r="D443" t="s">
        <v>548</v>
      </c>
      <c r="E443" t="s">
        <v>237</v>
      </c>
      <c r="F443" t="s">
        <v>670</v>
      </c>
      <c r="G443" t="s">
        <v>59</v>
      </c>
      <c r="H443">
        <v>2023</v>
      </c>
    </row>
    <row r="444" spans="1:8" x14ac:dyDescent="0.2">
      <c r="A444">
        <v>174295</v>
      </c>
      <c r="B444">
        <v>2015000</v>
      </c>
      <c r="C444" t="str">
        <f t="shared" si="6"/>
        <v>3. $50K-250K</v>
      </c>
      <c r="D444" t="s">
        <v>853</v>
      </c>
      <c r="E444" t="s">
        <v>237</v>
      </c>
      <c r="F444" t="s">
        <v>670</v>
      </c>
      <c r="G444" t="s">
        <v>59</v>
      </c>
      <c r="H444">
        <v>2023</v>
      </c>
    </row>
    <row r="445" spans="1:8" x14ac:dyDescent="0.2">
      <c r="A445">
        <v>174296</v>
      </c>
      <c r="B445">
        <v>551674</v>
      </c>
      <c r="C445" t="str">
        <f t="shared" si="6"/>
        <v>5. $1M+</v>
      </c>
      <c r="D445" t="s">
        <v>854</v>
      </c>
      <c r="E445" t="s">
        <v>237</v>
      </c>
      <c r="F445" t="s">
        <v>670</v>
      </c>
      <c r="G445" t="s">
        <v>59</v>
      </c>
      <c r="H445">
        <v>2023</v>
      </c>
    </row>
    <row r="446" spans="1:8" x14ac:dyDescent="0.2">
      <c r="A446">
        <v>174297</v>
      </c>
      <c r="B446">
        <v>1026800</v>
      </c>
      <c r="C446" t="str">
        <f t="shared" si="6"/>
        <v>4. $250K-1M</v>
      </c>
      <c r="D446" t="s">
        <v>855</v>
      </c>
      <c r="E446" t="s">
        <v>237</v>
      </c>
      <c r="F446" t="s">
        <v>670</v>
      </c>
      <c r="G446" t="s">
        <v>59</v>
      </c>
      <c r="H446">
        <v>2023</v>
      </c>
    </row>
    <row r="447" spans="1:8" x14ac:dyDescent="0.2">
      <c r="A447">
        <v>174298</v>
      </c>
      <c r="B447">
        <v>42250</v>
      </c>
      <c r="C447" t="str">
        <f t="shared" si="6"/>
        <v>5. $1M+</v>
      </c>
      <c r="D447" t="s">
        <v>856</v>
      </c>
      <c r="E447" t="s">
        <v>237</v>
      </c>
      <c r="F447" t="s">
        <v>670</v>
      </c>
      <c r="G447" t="s">
        <v>59</v>
      </c>
      <c r="H447">
        <v>2023</v>
      </c>
    </row>
    <row r="448" spans="1:8" x14ac:dyDescent="0.2">
      <c r="A448">
        <v>174299</v>
      </c>
      <c r="B448">
        <v>506250</v>
      </c>
      <c r="C448" t="str">
        <f t="shared" si="6"/>
        <v>2. $10K-50K</v>
      </c>
      <c r="D448" t="s">
        <v>856</v>
      </c>
      <c r="E448" t="s">
        <v>237</v>
      </c>
      <c r="F448" t="s">
        <v>670</v>
      </c>
      <c r="G448" t="s">
        <v>59</v>
      </c>
      <c r="H448">
        <v>2023</v>
      </c>
    </row>
    <row r="449" spans="1:8" x14ac:dyDescent="0.2">
      <c r="A449">
        <v>174309</v>
      </c>
      <c r="B449">
        <v>771875</v>
      </c>
      <c r="C449" t="str">
        <f t="shared" si="6"/>
        <v>4. $250K-1M</v>
      </c>
      <c r="D449" t="s">
        <v>857</v>
      </c>
      <c r="E449" t="s">
        <v>237</v>
      </c>
      <c r="F449" t="s">
        <v>670</v>
      </c>
      <c r="G449" t="s">
        <v>59</v>
      </c>
      <c r="H449">
        <v>2023</v>
      </c>
    </row>
    <row r="450" spans="1:8" x14ac:dyDescent="0.2">
      <c r="A450">
        <v>174310</v>
      </c>
      <c r="B450">
        <v>325191</v>
      </c>
      <c r="C450" t="str">
        <f t="shared" si="6"/>
        <v>4. $250K-1M</v>
      </c>
      <c r="D450" t="s">
        <v>857</v>
      </c>
      <c r="E450" t="s">
        <v>237</v>
      </c>
      <c r="F450" t="s">
        <v>670</v>
      </c>
      <c r="G450" t="s">
        <v>59</v>
      </c>
      <c r="H450">
        <v>2023</v>
      </c>
    </row>
    <row r="451" spans="1:8" x14ac:dyDescent="0.2">
      <c r="A451">
        <v>174311</v>
      </c>
      <c r="B451">
        <v>314800</v>
      </c>
      <c r="C451" t="str">
        <f t="shared" ref="C451:C514" si="7">IF(B450&lt;10000,"1. Under $10K",IF(B450&lt;50000,"2. $10K-50K",IF(B450&lt;250000,"3. $50K-250K",IF(B450&lt;1000000,"4. $250K-1M","5. $1M+"))))</f>
        <v>4. $250K-1M</v>
      </c>
      <c r="D451" t="s">
        <v>858</v>
      </c>
      <c r="E451" t="s">
        <v>237</v>
      </c>
      <c r="F451" t="s">
        <v>670</v>
      </c>
      <c r="G451" t="s">
        <v>59</v>
      </c>
      <c r="H451">
        <v>2025</v>
      </c>
    </row>
    <row r="452" spans="1:8" x14ac:dyDescent="0.2">
      <c r="A452">
        <v>174312</v>
      </c>
      <c r="B452">
        <v>365625</v>
      </c>
      <c r="C452" t="str">
        <f t="shared" si="7"/>
        <v>4. $250K-1M</v>
      </c>
      <c r="D452" t="s">
        <v>749</v>
      </c>
      <c r="E452" t="s">
        <v>237</v>
      </c>
      <c r="F452" t="s">
        <v>670</v>
      </c>
      <c r="G452" t="s">
        <v>59</v>
      </c>
      <c r="H452">
        <v>2024</v>
      </c>
    </row>
    <row r="453" spans="1:8" x14ac:dyDescent="0.2">
      <c r="A453">
        <v>174313</v>
      </c>
      <c r="B453">
        <v>325000</v>
      </c>
      <c r="C453" t="str">
        <f t="shared" si="7"/>
        <v>4. $250K-1M</v>
      </c>
      <c r="D453" t="s">
        <v>859</v>
      </c>
      <c r="E453" t="s">
        <v>237</v>
      </c>
      <c r="F453" t="s">
        <v>670</v>
      </c>
      <c r="G453" t="s">
        <v>59</v>
      </c>
      <c r="H453">
        <v>2023</v>
      </c>
    </row>
    <row r="454" spans="1:8" x14ac:dyDescent="0.2">
      <c r="A454">
        <v>174314</v>
      </c>
      <c r="B454">
        <v>354302</v>
      </c>
      <c r="C454" t="str">
        <f t="shared" si="7"/>
        <v>4. $250K-1M</v>
      </c>
      <c r="D454" t="s">
        <v>859</v>
      </c>
      <c r="E454" t="s">
        <v>237</v>
      </c>
      <c r="F454" t="s">
        <v>670</v>
      </c>
      <c r="G454" t="s">
        <v>59</v>
      </c>
      <c r="H454">
        <v>2023</v>
      </c>
    </row>
    <row r="455" spans="1:8" x14ac:dyDescent="0.2">
      <c r="A455">
        <v>174316</v>
      </c>
      <c r="B455">
        <v>336700</v>
      </c>
      <c r="C455" t="str">
        <f t="shared" si="7"/>
        <v>4. $250K-1M</v>
      </c>
      <c r="D455" t="s">
        <v>860</v>
      </c>
      <c r="E455" t="s">
        <v>237</v>
      </c>
      <c r="F455" t="s">
        <v>670</v>
      </c>
      <c r="G455" t="s">
        <v>59</v>
      </c>
      <c r="H455">
        <v>2023</v>
      </c>
    </row>
    <row r="456" spans="1:8" x14ac:dyDescent="0.2">
      <c r="A456">
        <v>174317</v>
      </c>
      <c r="B456">
        <v>214373</v>
      </c>
      <c r="C456" t="str">
        <f t="shared" si="7"/>
        <v>4. $250K-1M</v>
      </c>
      <c r="D456" t="s">
        <v>851</v>
      </c>
      <c r="E456" t="s">
        <v>237</v>
      </c>
      <c r="F456" t="s">
        <v>670</v>
      </c>
      <c r="G456" t="s">
        <v>59</v>
      </c>
      <c r="H456">
        <v>2023</v>
      </c>
    </row>
    <row r="457" spans="1:8" x14ac:dyDescent="0.2">
      <c r="A457">
        <v>174318</v>
      </c>
      <c r="B457">
        <v>51873</v>
      </c>
      <c r="C457" t="str">
        <f t="shared" si="7"/>
        <v>3. $50K-250K</v>
      </c>
      <c r="D457" t="s">
        <v>851</v>
      </c>
      <c r="E457" t="s">
        <v>237</v>
      </c>
      <c r="F457" t="s">
        <v>670</v>
      </c>
      <c r="G457" t="s">
        <v>59</v>
      </c>
      <c r="H457">
        <v>2023</v>
      </c>
    </row>
    <row r="458" spans="1:8" x14ac:dyDescent="0.2">
      <c r="A458">
        <v>174319</v>
      </c>
      <c r="B458">
        <v>365625</v>
      </c>
      <c r="C458" t="str">
        <f t="shared" si="7"/>
        <v>3. $50K-250K</v>
      </c>
      <c r="D458" t="s">
        <v>861</v>
      </c>
      <c r="E458" t="s">
        <v>237</v>
      </c>
      <c r="F458" t="s">
        <v>670</v>
      </c>
      <c r="G458" t="s">
        <v>59</v>
      </c>
      <c r="H458">
        <v>2024</v>
      </c>
    </row>
    <row r="459" spans="1:8" x14ac:dyDescent="0.2">
      <c r="A459">
        <v>174321</v>
      </c>
      <c r="B459">
        <v>787493</v>
      </c>
      <c r="C459" t="str">
        <f t="shared" si="7"/>
        <v>4. $250K-1M</v>
      </c>
      <c r="D459" t="s">
        <v>785</v>
      </c>
      <c r="E459" t="s">
        <v>237</v>
      </c>
      <c r="F459" t="s">
        <v>670</v>
      </c>
      <c r="G459" t="s">
        <v>59</v>
      </c>
      <c r="H459">
        <v>2023</v>
      </c>
    </row>
    <row r="460" spans="1:8" x14ac:dyDescent="0.2">
      <c r="A460">
        <v>174322</v>
      </c>
      <c r="B460">
        <v>678113</v>
      </c>
      <c r="C460" t="str">
        <f t="shared" si="7"/>
        <v>4. $250K-1M</v>
      </c>
      <c r="D460" t="s">
        <v>785</v>
      </c>
      <c r="E460" t="s">
        <v>237</v>
      </c>
      <c r="F460" t="s">
        <v>670</v>
      </c>
      <c r="G460" t="s">
        <v>59</v>
      </c>
      <c r="H460">
        <v>2024</v>
      </c>
    </row>
    <row r="461" spans="1:8" x14ac:dyDescent="0.2">
      <c r="A461">
        <v>174325</v>
      </c>
      <c r="B461">
        <v>406000</v>
      </c>
      <c r="C461" t="str">
        <f t="shared" si="7"/>
        <v>4. $250K-1M</v>
      </c>
      <c r="D461" t="s">
        <v>711</v>
      </c>
      <c r="E461" t="s">
        <v>237</v>
      </c>
      <c r="F461" t="s">
        <v>670</v>
      </c>
      <c r="G461" t="s">
        <v>59</v>
      </c>
      <c r="H461">
        <v>2023</v>
      </c>
    </row>
    <row r="462" spans="1:8" x14ac:dyDescent="0.2">
      <c r="A462">
        <v>174493</v>
      </c>
      <c r="B462">
        <v>1235000</v>
      </c>
      <c r="C462" t="str">
        <f t="shared" si="7"/>
        <v>4. $250K-1M</v>
      </c>
      <c r="D462" t="s">
        <v>852</v>
      </c>
      <c r="E462" t="s">
        <v>237</v>
      </c>
      <c r="F462" t="s">
        <v>670</v>
      </c>
      <c r="G462" t="s">
        <v>44</v>
      </c>
      <c r="H462">
        <v>2023</v>
      </c>
    </row>
    <row r="463" spans="1:8" x14ac:dyDescent="0.2">
      <c r="A463">
        <v>174497</v>
      </c>
      <c r="B463">
        <v>1304875</v>
      </c>
      <c r="C463" t="str">
        <f t="shared" si="7"/>
        <v>5. $1M+</v>
      </c>
      <c r="D463" t="s">
        <v>862</v>
      </c>
      <c r="E463" t="s">
        <v>237</v>
      </c>
      <c r="F463" t="s">
        <v>670</v>
      </c>
      <c r="G463" t="s">
        <v>59</v>
      </c>
      <c r="H463">
        <v>2023</v>
      </c>
    </row>
    <row r="464" spans="1:8" x14ac:dyDescent="0.2">
      <c r="A464">
        <v>174499</v>
      </c>
      <c r="B464">
        <v>1674728</v>
      </c>
      <c r="C464" t="str">
        <f t="shared" si="7"/>
        <v>5. $1M+</v>
      </c>
      <c r="D464" t="s">
        <v>507</v>
      </c>
      <c r="E464" t="s">
        <v>237</v>
      </c>
      <c r="F464" t="s">
        <v>670</v>
      </c>
      <c r="G464" t="s">
        <v>59</v>
      </c>
      <c r="H464">
        <v>2023</v>
      </c>
    </row>
    <row r="465" spans="1:8" x14ac:dyDescent="0.2">
      <c r="A465">
        <v>174500</v>
      </c>
      <c r="B465">
        <v>2504992</v>
      </c>
      <c r="C465" t="str">
        <f t="shared" si="7"/>
        <v>5. $1M+</v>
      </c>
      <c r="D465" t="s">
        <v>507</v>
      </c>
      <c r="E465" t="s">
        <v>237</v>
      </c>
      <c r="F465" t="s">
        <v>670</v>
      </c>
      <c r="G465" t="s">
        <v>59</v>
      </c>
      <c r="H465">
        <v>2023</v>
      </c>
    </row>
    <row r="466" spans="1:8" x14ac:dyDescent="0.2">
      <c r="A466">
        <v>174502</v>
      </c>
      <c r="B466">
        <v>1625000</v>
      </c>
      <c r="C466" t="str">
        <f t="shared" si="7"/>
        <v>5. $1M+</v>
      </c>
      <c r="D466" t="s">
        <v>507</v>
      </c>
      <c r="E466" t="s">
        <v>237</v>
      </c>
      <c r="F466" t="s">
        <v>670</v>
      </c>
      <c r="G466" t="s">
        <v>59</v>
      </c>
      <c r="H466">
        <v>2023</v>
      </c>
    </row>
    <row r="467" spans="1:8" x14ac:dyDescent="0.2">
      <c r="A467">
        <v>174503</v>
      </c>
      <c r="B467">
        <v>812497</v>
      </c>
      <c r="C467" t="str">
        <f t="shared" si="7"/>
        <v>5. $1M+</v>
      </c>
      <c r="D467" t="s">
        <v>601</v>
      </c>
      <c r="E467" t="s">
        <v>237</v>
      </c>
      <c r="F467" t="s">
        <v>670</v>
      </c>
      <c r="G467" t="s">
        <v>59</v>
      </c>
      <c r="H467">
        <v>2023</v>
      </c>
    </row>
    <row r="468" spans="1:8" x14ac:dyDescent="0.2">
      <c r="A468">
        <v>174504</v>
      </c>
      <c r="B468">
        <v>225472</v>
      </c>
      <c r="C468" t="str">
        <f t="shared" si="7"/>
        <v>4. $250K-1M</v>
      </c>
      <c r="D468" t="s">
        <v>507</v>
      </c>
      <c r="E468" t="s">
        <v>237</v>
      </c>
      <c r="F468" t="s">
        <v>670</v>
      </c>
      <c r="G468" t="s">
        <v>59</v>
      </c>
      <c r="H468">
        <v>2023</v>
      </c>
    </row>
    <row r="469" spans="1:8" x14ac:dyDescent="0.2">
      <c r="A469">
        <v>174505</v>
      </c>
      <c r="B469">
        <v>650000</v>
      </c>
      <c r="C469" t="str">
        <f t="shared" si="7"/>
        <v>3. $50K-250K</v>
      </c>
      <c r="D469" t="s">
        <v>719</v>
      </c>
      <c r="E469" t="s">
        <v>237</v>
      </c>
      <c r="F469" t="s">
        <v>670</v>
      </c>
      <c r="G469" t="s">
        <v>59</v>
      </c>
      <c r="H469">
        <v>2023</v>
      </c>
    </row>
    <row r="470" spans="1:8" x14ac:dyDescent="0.2">
      <c r="A470">
        <v>174507</v>
      </c>
      <c r="B470">
        <v>1016825</v>
      </c>
      <c r="C470" t="str">
        <f t="shared" si="7"/>
        <v>4. $250K-1M</v>
      </c>
      <c r="D470" t="s">
        <v>719</v>
      </c>
      <c r="E470" t="s">
        <v>237</v>
      </c>
      <c r="F470" t="s">
        <v>670</v>
      </c>
      <c r="G470" t="s">
        <v>59</v>
      </c>
      <c r="H470">
        <v>2023</v>
      </c>
    </row>
    <row r="471" spans="1:8" x14ac:dyDescent="0.2">
      <c r="A471">
        <v>174517</v>
      </c>
      <c r="B471">
        <v>3600000</v>
      </c>
      <c r="C471" t="str">
        <f t="shared" si="7"/>
        <v>5. $1M+</v>
      </c>
      <c r="D471" t="s">
        <v>863</v>
      </c>
      <c r="E471" t="s">
        <v>237</v>
      </c>
      <c r="F471" t="s">
        <v>670</v>
      </c>
      <c r="G471" t="s">
        <v>59</v>
      </c>
      <c r="H471">
        <v>2023</v>
      </c>
    </row>
    <row r="472" spans="1:8" x14ac:dyDescent="0.2">
      <c r="A472">
        <v>174518</v>
      </c>
      <c r="B472">
        <v>1168035</v>
      </c>
      <c r="C472" t="str">
        <f t="shared" si="7"/>
        <v>5. $1M+</v>
      </c>
      <c r="D472" t="s">
        <v>721</v>
      </c>
      <c r="E472" t="s">
        <v>237</v>
      </c>
      <c r="F472" t="s">
        <v>670</v>
      </c>
      <c r="G472" t="s">
        <v>59</v>
      </c>
      <c r="H472">
        <v>2023</v>
      </c>
    </row>
    <row r="473" spans="1:8" x14ac:dyDescent="0.2">
      <c r="A473">
        <v>174519</v>
      </c>
      <c r="B473">
        <v>1922484</v>
      </c>
      <c r="C473" t="str">
        <f t="shared" si="7"/>
        <v>5. $1M+</v>
      </c>
      <c r="D473" t="s">
        <v>721</v>
      </c>
      <c r="E473" t="s">
        <v>237</v>
      </c>
      <c r="F473" t="s">
        <v>670</v>
      </c>
      <c r="G473" t="s">
        <v>59</v>
      </c>
      <c r="H473">
        <v>2023</v>
      </c>
    </row>
    <row r="474" spans="1:8" x14ac:dyDescent="0.2">
      <c r="A474">
        <v>174520</v>
      </c>
      <c r="B474">
        <v>373334</v>
      </c>
      <c r="C474" t="str">
        <f t="shared" si="7"/>
        <v>5. $1M+</v>
      </c>
      <c r="D474" t="s">
        <v>864</v>
      </c>
      <c r="E474" t="s">
        <v>237</v>
      </c>
      <c r="F474" t="s">
        <v>670</v>
      </c>
      <c r="G474" t="s">
        <v>59</v>
      </c>
      <c r="H474">
        <v>2023</v>
      </c>
    </row>
    <row r="475" spans="1:8" x14ac:dyDescent="0.2">
      <c r="A475">
        <v>174521</v>
      </c>
      <c r="B475">
        <v>302940</v>
      </c>
      <c r="C475" t="str">
        <f t="shared" si="7"/>
        <v>4. $250K-1M</v>
      </c>
      <c r="D475" t="s">
        <v>749</v>
      </c>
      <c r="E475" t="s">
        <v>237</v>
      </c>
      <c r="F475" t="s">
        <v>670</v>
      </c>
      <c r="G475" t="s">
        <v>59</v>
      </c>
      <c r="H475">
        <v>2023</v>
      </c>
    </row>
    <row r="476" spans="1:8" x14ac:dyDescent="0.2">
      <c r="A476">
        <v>174522</v>
      </c>
      <c r="B476">
        <v>1286669</v>
      </c>
      <c r="C476" t="str">
        <f t="shared" si="7"/>
        <v>4. $250K-1M</v>
      </c>
      <c r="D476" t="s">
        <v>864</v>
      </c>
      <c r="E476" t="s">
        <v>237</v>
      </c>
      <c r="F476" t="s">
        <v>670</v>
      </c>
      <c r="G476" t="s">
        <v>59</v>
      </c>
      <c r="H476">
        <v>2023</v>
      </c>
    </row>
    <row r="477" spans="1:8" x14ac:dyDescent="0.2">
      <c r="A477">
        <v>174523</v>
      </c>
      <c r="B477">
        <v>267280</v>
      </c>
      <c r="C477" t="str">
        <f t="shared" si="7"/>
        <v>5. $1M+</v>
      </c>
      <c r="D477" t="s">
        <v>794</v>
      </c>
      <c r="E477" t="s">
        <v>237</v>
      </c>
      <c r="F477" t="s">
        <v>670</v>
      </c>
      <c r="G477" t="s">
        <v>59</v>
      </c>
      <c r="H477">
        <v>2023</v>
      </c>
    </row>
    <row r="478" spans="1:8" x14ac:dyDescent="0.2">
      <c r="A478">
        <v>174524</v>
      </c>
      <c r="B478">
        <v>917400</v>
      </c>
      <c r="C478" t="str">
        <f t="shared" si="7"/>
        <v>4. $250K-1M</v>
      </c>
      <c r="D478" t="s">
        <v>865</v>
      </c>
      <c r="E478" t="s">
        <v>237</v>
      </c>
      <c r="F478" t="s">
        <v>670</v>
      </c>
      <c r="G478" t="s">
        <v>59</v>
      </c>
      <c r="H478">
        <v>2023</v>
      </c>
    </row>
    <row r="479" spans="1:8" x14ac:dyDescent="0.2">
      <c r="A479">
        <v>174525</v>
      </c>
      <c r="B479">
        <v>240000</v>
      </c>
      <c r="C479" t="str">
        <f t="shared" si="7"/>
        <v>4. $250K-1M</v>
      </c>
      <c r="D479" t="s">
        <v>866</v>
      </c>
      <c r="E479" t="s">
        <v>237</v>
      </c>
      <c r="F479" t="s">
        <v>670</v>
      </c>
      <c r="G479" t="s">
        <v>59</v>
      </c>
      <c r="H479">
        <v>2023</v>
      </c>
    </row>
    <row r="480" spans="1:8" x14ac:dyDescent="0.2">
      <c r="A480">
        <v>174527</v>
      </c>
      <c r="B480">
        <v>1191120</v>
      </c>
      <c r="C480" t="str">
        <f t="shared" si="7"/>
        <v>3. $50K-250K</v>
      </c>
      <c r="D480" t="s">
        <v>867</v>
      </c>
      <c r="E480" t="s">
        <v>237</v>
      </c>
      <c r="F480" t="s">
        <v>670</v>
      </c>
      <c r="G480" t="s">
        <v>59</v>
      </c>
      <c r="H480">
        <v>2023</v>
      </c>
    </row>
    <row r="481" spans="1:8" x14ac:dyDescent="0.2">
      <c r="A481">
        <v>174548</v>
      </c>
      <c r="B481">
        <v>2100000</v>
      </c>
      <c r="C481" t="str">
        <f t="shared" si="7"/>
        <v>5. $1M+</v>
      </c>
      <c r="D481" t="s">
        <v>868</v>
      </c>
      <c r="E481" t="s">
        <v>237</v>
      </c>
      <c r="F481" t="s">
        <v>670</v>
      </c>
      <c r="G481" t="s">
        <v>59</v>
      </c>
      <c r="H481">
        <v>2023</v>
      </c>
    </row>
    <row r="482" spans="1:8" x14ac:dyDescent="0.2">
      <c r="A482">
        <v>174551</v>
      </c>
      <c r="B482">
        <v>34000000</v>
      </c>
      <c r="C482" t="str">
        <f t="shared" si="7"/>
        <v>5. $1M+</v>
      </c>
      <c r="D482" t="s">
        <v>863</v>
      </c>
      <c r="E482" t="s">
        <v>237</v>
      </c>
      <c r="F482" t="s">
        <v>670</v>
      </c>
      <c r="G482" t="s">
        <v>44</v>
      </c>
      <c r="H482">
        <v>2023</v>
      </c>
    </row>
    <row r="483" spans="1:8" x14ac:dyDescent="0.2">
      <c r="A483">
        <v>174579</v>
      </c>
      <c r="B483">
        <v>512119</v>
      </c>
      <c r="C483" t="str">
        <f t="shared" si="7"/>
        <v>5. $1M+</v>
      </c>
      <c r="D483" t="s">
        <v>867</v>
      </c>
      <c r="E483" t="s">
        <v>237</v>
      </c>
      <c r="F483" t="s">
        <v>670</v>
      </c>
      <c r="G483" t="s">
        <v>59</v>
      </c>
      <c r="H483">
        <v>2023</v>
      </c>
    </row>
    <row r="484" spans="1:8" x14ac:dyDescent="0.2">
      <c r="A484">
        <v>174580</v>
      </c>
      <c r="B484">
        <v>3655292</v>
      </c>
      <c r="C484" t="str">
        <f t="shared" si="7"/>
        <v>4. $250K-1M</v>
      </c>
      <c r="D484" t="s">
        <v>867</v>
      </c>
      <c r="E484" t="s">
        <v>237</v>
      </c>
      <c r="F484" t="s">
        <v>670</v>
      </c>
      <c r="G484" t="s">
        <v>59</v>
      </c>
      <c r="H484">
        <v>2023</v>
      </c>
    </row>
    <row r="485" spans="1:8" x14ac:dyDescent="0.2">
      <c r="A485">
        <v>174581</v>
      </c>
      <c r="B485">
        <v>2198370</v>
      </c>
      <c r="C485" t="str">
        <f t="shared" si="7"/>
        <v>5. $1M+</v>
      </c>
      <c r="D485" t="s">
        <v>867</v>
      </c>
      <c r="E485" t="s">
        <v>237</v>
      </c>
      <c r="F485" t="s">
        <v>670</v>
      </c>
      <c r="G485" t="s">
        <v>59</v>
      </c>
      <c r="H485">
        <v>2023</v>
      </c>
    </row>
    <row r="486" spans="1:8" x14ac:dyDescent="0.2">
      <c r="A486">
        <v>174583</v>
      </c>
      <c r="B486">
        <v>629154</v>
      </c>
      <c r="C486" t="str">
        <f t="shared" si="7"/>
        <v>5. $1M+</v>
      </c>
      <c r="D486" t="s">
        <v>869</v>
      </c>
      <c r="E486" t="s">
        <v>237</v>
      </c>
      <c r="F486" t="s">
        <v>670</v>
      </c>
      <c r="G486" t="s">
        <v>59</v>
      </c>
      <c r="H486">
        <v>2023</v>
      </c>
    </row>
    <row r="487" spans="1:8" x14ac:dyDescent="0.2">
      <c r="A487">
        <v>174584</v>
      </c>
      <c r="B487">
        <v>356346</v>
      </c>
      <c r="C487" t="str">
        <f t="shared" si="7"/>
        <v>4. $250K-1M</v>
      </c>
      <c r="D487" t="s">
        <v>869</v>
      </c>
      <c r="E487" t="s">
        <v>237</v>
      </c>
      <c r="F487" t="s">
        <v>670</v>
      </c>
      <c r="G487" t="s">
        <v>59</v>
      </c>
      <c r="H487">
        <v>2023</v>
      </c>
    </row>
    <row r="488" spans="1:8" x14ac:dyDescent="0.2">
      <c r="A488">
        <v>174585</v>
      </c>
      <c r="B488">
        <v>261918</v>
      </c>
      <c r="C488" t="str">
        <f t="shared" si="7"/>
        <v>4. $250K-1M</v>
      </c>
      <c r="D488" t="s">
        <v>854</v>
      </c>
      <c r="E488" t="s">
        <v>237</v>
      </c>
      <c r="F488" t="s">
        <v>670</v>
      </c>
      <c r="G488" t="s">
        <v>59</v>
      </c>
      <c r="H488">
        <v>2023</v>
      </c>
    </row>
    <row r="489" spans="1:8" x14ac:dyDescent="0.2">
      <c r="A489">
        <v>174586</v>
      </c>
      <c r="B489">
        <v>383200</v>
      </c>
      <c r="C489" t="str">
        <f t="shared" si="7"/>
        <v>4. $250K-1M</v>
      </c>
      <c r="D489" t="s">
        <v>870</v>
      </c>
      <c r="E489" t="s">
        <v>237</v>
      </c>
      <c r="F489" t="s">
        <v>670</v>
      </c>
      <c r="G489" t="s">
        <v>59</v>
      </c>
      <c r="H489">
        <v>2023</v>
      </c>
    </row>
    <row r="490" spans="1:8" x14ac:dyDescent="0.2">
      <c r="A490">
        <v>174587</v>
      </c>
      <c r="B490">
        <v>503750</v>
      </c>
      <c r="C490" t="str">
        <f t="shared" si="7"/>
        <v>4. $250K-1M</v>
      </c>
      <c r="D490" t="s">
        <v>870</v>
      </c>
      <c r="E490" t="s">
        <v>237</v>
      </c>
      <c r="F490" t="s">
        <v>670</v>
      </c>
      <c r="G490" t="s">
        <v>59</v>
      </c>
      <c r="H490">
        <v>2024</v>
      </c>
    </row>
    <row r="491" spans="1:8" x14ac:dyDescent="0.2">
      <c r="A491">
        <v>174588</v>
      </c>
      <c r="B491">
        <v>1402250</v>
      </c>
      <c r="C491" t="str">
        <f t="shared" si="7"/>
        <v>4. $250K-1M</v>
      </c>
      <c r="D491" t="s">
        <v>871</v>
      </c>
      <c r="E491" t="s">
        <v>237</v>
      </c>
      <c r="F491" t="s">
        <v>670</v>
      </c>
      <c r="G491" t="s">
        <v>59</v>
      </c>
      <c r="H491">
        <v>2023</v>
      </c>
    </row>
    <row r="492" spans="1:8" x14ac:dyDescent="0.2">
      <c r="A492">
        <v>174589</v>
      </c>
      <c r="B492">
        <v>2978632</v>
      </c>
      <c r="C492" t="str">
        <f t="shared" si="7"/>
        <v>5. $1M+</v>
      </c>
      <c r="D492" t="s">
        <v>872</v>
      </c>
      <c r="E492" t="s">
        <v>237</v>
      </c>
      <c r="F492" t="s">
        <v>670</v>
      </c>
      <c r="G492" t="s">
        <v>59</v>
      </c>
      <c r="H492">
        <v>2023</v>
      </c>
    </row>
    <row r="493" spans="1:8" x14ac:dyDescent="0.2">
      <c r="A493">
        <v>174590</v>
      </c>
      <c r="B493">
        <v>6389031</v>
      </c>
      <c r="C493" t="str">
        <f t="shared" si="7"/>
        <v>5. $1M+</v>
      </c>
      <c r="D493" t="s">
        <v>872</v>
      </c>
      <c r="E493" t="s">
        <v>237</v>
      </c>
      <c r="F493" t="s">
        <v>670</v>
      </c>
      <c r="G493" t="s">
        <v>59</v>
      </c>
      <c r="H493">
        <v>2023</v>
      </c>
    </row>
    <row r="494" spans="1:8" x14ac:dyDescent="0.2">
      <c r="A494">
        <v>174600</v>
      </c>
      <c r="B494">
        <v>395360</v>
      </c>
      <c r="C494" t="str">
        <f t="shared" si="7"/>
        <v>5. $1M+</v>
      </c>
      <c r="D494" t="s">
        <v>873</v>
      </c>
      <c r="E494" t="s">
        <v>237</v>
      </c>
      <c r="F494" t="s">
        <v>670</v>
      </c>
      <c r="G494" t="s">
        <v>59</v>
      </c>
      <c r="H494">
        <v>2023</v>
      </c>
    </row>
    <row r="495" spans="1:8" x14ac:dyDescent="0.2">
      <c r="A495">
        <v>174601</v>
      </c>
      <c r="B495">
        <v>644150</v>
      </c>
      <c r="C495" t="str">
        <f t="shared" si="7"/>
        <v>4. $250K-1M</v>
      </c>
      <c r="D495" t="s">
        <v>873</v>
      </c>
      <c r="E495" t="s">
        <v>237</v>
      </c>
      <c r="F495" t="s">
        <v>670</v>
      </c>
      <c r="G495" t="s">
        <v>59</v>
      </c>
      <c r="H495">
        <v>2023</v>
      </c>
    </row>
    <row r="496" spans="1:8" x14ac:dyDescent="0.2">
      <c r="A496">
        <v>174602</v>
      </c>
      <c r="B496">
        <v>3202875</v>
      </c>
      <c r="C496" t="str">
        <f t="shared" si="7"/>
        <v>4. $250K-1M</v>
      </c>
      <c r="D496" t="s">
        <v>857</v>
      </c>
      <c r="E496" t="s">
        <v>237</v>
      </c>
      <c r="F496" t="s">
        <v>670</v>
      </c>
      <c r="G496" t="s">
        <v>59</v>
      </c>
      <c r="H496">
        <v>2023</v>
      </c>
    </row>
    <row r="497" spans="1:8" x14ac:dyDescent="0.2">
      <c r="A497">
        <v>174603</v>
      </c>
      <c r="B497">
        <v>2915469</v>
      </c>
      <c r="C497" t="str">
        <f t="shared" si="7"/>
        <v>5. $1M+</v>
      </c>
      <c r="D497" t="s">
        <v>874</v>
      </c>
      <c r="E497" t="s">
        <v>237</v>
      </c>
      <c r="F497" t="s">
        <v>670</v>
      </c>
      <c r="G497" t="s">
        <v>59</v>
      </c>
      <c r="H497">
        <v>2023</v>
      </c>
    </row>
    <row r="498" spans="1:8" x14ac:dyDescent="0.2">
      <c r="A498">
        <v>174604</v>
      </c>
      <c r="B498">
        <v>1035430</v>
      </c>
      <c r="C498" t="str">
        <f t="shared" si="7"/>
        <v>5. $1M+</v>
      </c>
      <c r="D498" t="s">
        <v>875</v>
      </c>
      <c r="E498" t="s">
        <v>237</v>
      </c>
      <c r="F498" t="s">
        <v>670</v>
      </c>
      <c r="G498" t="s">
        <v>59</v>
      </c>
      <c r="H498">
        <v>2023</v>
      </c>
    </row>
    <row r="499" spans="1:8" x14ac:dyDescent="0.2">
      <c r="A499">
        <v>174605</v>
      </c>
      <c r="B499">
        <v>962819</v>
      </c>
      <c r="C499" t="str">
        <f t="shared" si="7"/>
        <v>5. $1M+</v>
      </c>
      <c r="D499" t="s">
        <v>875</v>
      </c>
      <c r="E499" t="s">
        <v>237</v>
      </c>
      <c r="F499" t="s">
        <v>670</v>
      </c>
      <c r="G499" t="s">
        <v>59</v>
      </c>
      <c r="H499">
        <v>2023</v>
      </c>
    </row>
    <row r="500" spans="1:8" x14ac:dyDescent="0.2">
      <c r="A500">
        <v>174606</v>
      </c>
      <c r="B500">
        <v>835465</v>
      </c>
      <c r="C500" t="str">
        <f t="shared" si="7"/>
        <v>4. $250K-1M</v>
      </c>
      <c r="D500" t="s">
        <v>875</v>
      </c>
      <c r="E500" t="s">
        <v>237</v>
      </c>
      <c r="F500" t="s">
        <v>670</v>
      </c>
      <c r="G500" t="s">
        <v>59</v>
      </c>
      <c r="H500">
        <v>2023</v>
      </c>
    </row>
    <row r="501" spans="1:8" x14ac:dyDescent="0.2">
      <c r="A501">
        <v>174607</v>
      </c>
      <c r="B501">
        <v>551500</v>
      </c>
      <c r="C501" t="str">
        <f t="shared" si="7"/>
        <v>4. $250K-1M</v>
      </c>
      <c r="D501" t="s">
        <v>876</v>
      </c>
      <c r="E501" t="s">
        <v>237</v>
      </c>
      <c r="F501" t="s">
        <v>670</v>
      </c>
      <c r="G501" t="s">
        <v>59</v>
      </c>
      <c r="H501">
        <v>2023</v>
      </c>
    </row>
    <row r="502" spans="1:8" x14ac:dyDescent="0.2">
      <c r="A502">
        <v>174608</v>
      </c>
      <c r="B502">
        <v>664424</v>
      </c>
      <c r="C502" t="str">
        <f t="shared" si="7"/>
        <v>4. $250K-1M</v>
      </c>
      <c r="D502" t="s">
        <v>859</v>
      </c>
      <c r="E502" t="s">
        <v>237</v>
      </c>
      <c r="F502" t="s">
        <v>670</v>
      </c>
      <c r="G502" t="s">
        <v>59</v>
      </c>
      <c r="H502">
        <v>2023</v>
      </c>
    </row>
    <row r="503" spans="1:8" x14ac:dyDescent="0.2">
      <c r="A503">
        <v>174609</v>
      </c>
      <c r="B503">
        <v>1692564</v>
      </c>
      <c r="C503" t="str">
        <f t="shared" si="7"/>
        <v>4. $250K-1M</v>
      </c>
      <c r="D503" t="s">
        <v>859</v>
      </c>
      <c r="E503" t="s">
        <v>237</v>
      </c>
      <c r="F503" t="s">
        <v>670</v>
      </c>
      <c r="G503" t="s">
        <v>59</v>
      </c>
      <c r="H503">
        <v>2023</v>
      </c>
    </row>
    <row r="504" spans="1:8" x14ac:dyDescent="0.2">
      <c r="A504">
        <v>174610</v>
      </c>
      <c r="B504">
        <v>2046310</v>
      </c>
      <c r="C504" t="str">
        <f t="shared" si="7"/>
        <v>5. $1M+</v>
      </c>
      <c r="D504" t="s">
        <v>860</v>
      </c>
      <c r="E504" t="s">
        <v>237</v>
      </c>
      <c r="F504" t="s">
        <v>670</v>
      </c>
      <c r="G504" t="s">
        <v>59</v>
      </c>
      <c r="H504">
        <v>2023</v>
      </c>
    </row>
    <row r="505" spans="1:8" x14ac:dyDescent="0.2">
      <c r="A505">
        <v>174611</v>
      </c>
      <c r="B505">
        <v>2978324</v>
      </c>
      <c r="C505" t="str">
        <f t="shared" si="7"/>
        <v>5. $1M+</v>
      </c>
      <c r="D505" t="s">
        <v>860</v>
      </c>
      <c r="E505" t="s">
        <v>237</v>
      </c>
      <c r="F505" t="s">
        <v>670</v>
      </c>
      <c r="G505" t="s">
        <v>59</v>
      </c>
      <c r="H505">
        <v>2023</v>
      </c>
    </row>
    <row r="506" spans="1:8" x14ac:dyDescent="0.2">
      <c r="A506">
        <v>174612</v>
      </c>
      <c r="B506">
        <v>2900465</v>
      </c>
      <c r="C506" t="str">
        <f t="shared" si="7"/>
        <v>5. $1M+</v>
      </c>
      <c r="D506" t="s">
        <v>860</v>
      </c>
      <c r="E506" t="s">
        <v>237</v>
      </c>
      <c r="F506" t="s">
        <v>670</v>
      </c>
      <c r="G506" t="s">
        <v>59</v>
      </c>
      <c r="H506">
        <v>2023</v>
      </c>
    </row>
    <row r="507" spans="1:8" x14ac:dyDescent="0.2">
      <c r="A507">
        <v>174613</v>
      </c>
      <c r="B507">
        <v>2452784</v>
      </c>
      <c r="C507" t="str">
        <f t="shared" si="7"/>
        <v>5. $1M+</v>
      </c>
      <c r="D507" t="s">
        <v>851</v>
      </c>
      <c r="E507" t="s">
        <v>237</v>
      </c>
      <c r="F507" t="s">
        <v>670</v>
      </c>
      <c r="G507" t="s">
        <v>59</v>
      </c>
      <c r="H507">
        <v>2024</v>
      </c>
    </row>
    <row r="508" spans="1:8" x14ac:dyDescent="0.2">
      <c r="A508">
        <v>174615</v>
      </c>
      <c r="B508">
        <v>4477697</v>
      </c>
      <c r="C508" t="str">
        <f t="shared" si="7"/>
        <v>5. $1M+</v>
      </c>
      <c r="D508" t="s">
        <v>851</v>
      </c>
      <c r="E508" t="s">
        <v>237</v>
      </c>
      <c r="F508" t="s">
        <v>670</v>
      </c>
      <c r="G508" t="s">
        <v>59</v>
      </c>
      <c r="H508">
        <v>2023</v>
      </c>
    </row>
    <row r="509" spans="1:8" x14ac:dyDescent="0.2">
      <c r="A509">
        <v>174616</v>
      </c>
      <c r="B509">
        <v>1693526</v>
      </c>
      <c r="C509" t="str">
        <f t="shared" si="7"/>
        <v>5. $1M+</v>
      </c>
      <c r="D509" t="s">
        <v>851</v>
      </c>
      <c r="E509" t="s">
        <v>237</v>
      </c>
      <c r="F509" t="s">
        <v>670</v>
      </c>
      <c r="G509" t="s">
        <v>59</v>
      </c>
      <c r="H509">
        <v>2023</v>
      </c>
    </row>
    <row r="510" spans="1:8" x14ac:dyDescent="0.2">
      <c r="A510">
        <v>174617</v>
      </c>
      <c r="B510">
        <v>2725541</v>
      </c>
      <c r="C510" t="str">
        <f t="shared" si="7"/>
        <v>5. $1M+</v>
      </c>
      <c r="D510" t="s">
        <v>851</v>
      </c>
      <c r="E510" t="s">
        <v>237</v>
      </c>
      <c r="F510" t="s">
        <v>670</v>
      </c>
      <c r="G510" t="s">
        <v>59</v>
      </c>
      <c r="H510">
        <v>2023</v>
      </c>
    </row>
    <row r="511" spans="1:8" x14ac:dyDescent="0.2">
      <c r="A511">
        <v>174618</v>
      </c>
      <c r="B511">
        <v>664749</v>
      </c>
      <c r="C511" t="str">
        <f t="shared" si="7"/>
        <v>5. $1M+</v>
      </c>
      <c r="D511" t="s">
        <v>877</v>
      </c>
      <c r="E511" t="s">
        <v>237</v>
      </c>
      <c r="F511" t="s">
        <v>670</v>
      </c>
      <c r="G511" t="s">
        <v>59</v>
      </c>
      <c r="H511">
        <v>2023</v>
      </c>
    </row>
    <row r="512" spans="1:8" x14ac:dyDescent="0.2">
      <c r="A512">
        <v>174619</v>
      </c>
      <c r="B512">
        <v>953314</v>
      </c>
      <c r="C512" t="str">
        <f t="shared" si="7"/>
        <v>4. $250K-1M</v>
      </c>
      <c r="D512" t="s">
        <v>877</v>
      </c>
      <c r="E512" t="s">
        <v>237</v>
      </c>
      <c r="F512" t="s">
        <v>670</v>
      </c>
      <c r="G512" t="s">
        <v>59</v>
      </c>
      <c r="H512">
        <v>2023</v>
      </c>
    </row>
    <row r="513" spans="1:8" x14ac:dyDescent="0.2">
      <c r="A513">
        <v>174620</v>
      </c>
      <c r="B513">
        <v>914986</v>
      </c>
      <c r="C513" t="str">
        <f t="shared" si="7"/>
        <v>4. $250K-1M</v>
      </c>
      <c r="D513" t="s">
        <v>812</v>
      </c>
      <c r="E513" t="s">
        <v>237</v>
      </c>
      <c r="F513" t="s">
        <v>670</v>
      </c>
      <c r="G513" t="s">
        <v>59</v>
      </c>
      <c r="H513">
        <v>2023</v>
      </c>
    </row>
    <row r="514" spans="1:8" x14ac:dyDescent="0.2">
      <c r="A514">
        <v>174621</v>
      </c>
      <c r="B514">
        <v>655965</v>
      </c>
      <c r="C514" t="str">
        <f t="shared" si="7"/>
        <v>4. $250K-1M</v>
      </c>
      <c r="D514" t="s">
        <v>812</v>
      </c>
      <c r="E514" t="s">
        <v>237</v>
      </c>
      <c r="F514" t="s">
        <v>670</v>
      </c>
      <c r="G514" t="s">
        <v>59</v>
      </c>
      <c r="H514">
        <v>2023</v>
      </c>
    </row>
    <row r="515" spans="1:8" x14ac:dyDescent="0.2">
      <c r="A515">
        <v>174622</v>
      </c>
      <c r="B515">
        <v>506498</v>
      </c>
      <c r="C515" t="str">
        <f t="shared" ref="C515:C578" si="8">IF(B514&lt;10000,"1. Under $10K",IF(B514&lt;50000,"2. $10K-50K",IF(B514&lt;250000,"3. $50K-250K",IF(B514&lt;1000000,"4. $250K-1M","5. $1M+"))))</f>
        <v>4. $250K-1M</v>
      </c>
      <c r="D515" t="s">
        <v>878</v>
      </c>
      <c r="E515" t="s">
        <v>237</v>
      </c>
      <c r="F515" t="s">
        <v>670</v>
      </c>
      <c r="G515" t="s">
        <v>59</v>
      </c>
      <c r="H515">
        <v>2023</v>
      </c>
    </row>
    <row r="516" spans="1:8" x14ac:dyDescent="0.2">
      <c r="A516">
        <v>174624</v>
      </c>
      <c r="B516">
        <v>1041560</v>
      </c>
      <c r="C516" t="str">
        <f t="shared" si="8"/>
        <v>4. $250K-1M</v>
      </c>
      <c r="D516" t="s">
        <v>878</v>
      </c>
      <c r="E516" t="s">
        <v>237</v>
      </c>
      <c r="F516" t="s">
        <v>670</v>
      </c>
      <c r="G516" t="s">
        <v>59</v>
      </c>
      <c r="H516">
        <v>2023</v>
      </c>
    </row>
    <row r="517" spans="1:8" x14ac:dyDescent="0.2">
      <c r="A517">
        <v>174625</v>
      </c>
      <c r="B517">
        <v>140435</v>
      </c>
      <c r="C517" t="str">
        <f t="shared" si="8"/>
        <v>5. $1M+</v>
      </c>
      <c r="D517" t="s">
        <v>861</v>
      </c>
      <c r="E517" t="s">
        <v>237</v>
      </c>
      <c r="F517" t="s">
        <v>670</v>
      </c>
      <c r="G517" t="s">
        <v>59</v>
      </c>
      <c r="H517">
        <v>2023</v>
      </c>
    </row>
    <row r="518" spans="1:8" x14ac:dyDescent="0.2">
      <c r="A518">
        <v>174626</v>
      </c>
      <c r="B518">
        <v>228833</v>
      </c>
      <c r="C518" t="str">
        <f t="shared" si="8"/>
        <v>3. $50K-250K</v>
      </c>
      <c r="D518" t="s">
        <v>861</v>
      </c>
      <c r="E518" t="s">
        <v>237</v>
      </c>
      <c r="F518" t="s">
        <v>670</v>
      </c>
      <c r="G518" t="s">
        <v>59</v>
      </c>
      <c r="H518">
        <v>2023</v>
      </c>
    </row>
    <row r="519" spans="1:8" x14ac:dyDescent="0.2">
      <c r="A519">
        <v>174627</v>
      </c>
      <c r="B519">
        <v>783809</v>
      </c>
      <c r="C519" t="str">
        <f t="shared" si="8"/>
        <v>3. $50K-250K</v>
      </c>
      <c r="D519" t="s">
        <v>807</v>
      </c>
      <c r="E519" t="s">
        <v>237</v>
      </c>
      <c r="F519" t="s">
        <v>670</v>
      </c>
      <c r="G519" t="s">
        <v>59</v>
      </c>
      <c r="H519">
        <v>2023</v>
      </c>
    </row>
    <row r="520" spans="1:8" x14ac:dyDescent="0.2">
      <c r="A520">
        <v>174632</v>
      </c>
      <c r="B520">
        <v>188916</v>
      </c>
      <c r="C520" t="str">
        <f t="shared" si="8"/>
        <v>4. $250K-1M</v>
      </c>
      <c r="D520" t="s">
        <v>807</v>
      </c>
      <c r="E520" t="s">
        <v>237</v>
      </c>
      <c r="F520" t="s">
        <v>670</v>
      </c>
      <c r="G520" t="s">
        <v>59</v>
      </c>
      <c r="H520">
        <v>2023</v>
      </c>
    </row>
    <row r="521" spans="1:8" x14ac:dyDescent="0.2">
      <c r="A521">
        <v>174636</v>
      </c>
      <c r="B521">
        <v>379600</v>
      </c>
      <c r="C521" t="str">
        <f t="shared" si="8"/>
        <v>3. $50K-250K</v>
      </c>
      <c r="D521" t="s">
        <v>807</v>
      </c>
      <c r="E521" t="s">
        <v>237</v>
      </c>
      <c r="F521" t="s">
        <v>670</v>
      </c>
      <c r="G521" t="s">
        <v>59</v>
      </c>
      <c r="H521">
        <v>2023</v>
      </c>
    </row>
    <row r="522" spans="1:8" x14ac:dyDescent="0.2">
      <c r="A522">
        <v>174644</v>
      </c>
      <c r="B522">
        <v>5816450</v>
      </c>
      <c r="C522" t="str">
        <f t="shared" si="8"/>
        <v>4. $250K-1M</v>
      </c>
      <c r="D522" t="s">
        <v>711</v>
      </c>
      <c r="E522" t="s">
        <v>237</v>
      </c>
      <c r="F522" t="s">
        <v>670</v>
      </c>
      <c r="G522" t="s">
        <v>59</v>
      </c>
      <c r="H522">
        <v>2023</v>
      </c>
    </row>
    <row r="523" spans="1:8" x14ac:dyDescent="0.2">
      <c r="A523">
        <v>174645</v>
      </c>
      <c r="B523">
        <v>3739725</v>
      </c>
      <c r="C523" t="str">
        <f t="shared" si="8"/>
        <v>5. $1M+</v>
      </c>
      <c r="D523" t="s">
        <v>711</v>
      </c>
      <c r="E523" t="s">
        <v>237</v>
      </c>
      <c r="F523" t="s">
        <v>670</v>
      </c>
      <c r="G523" t="s">
        <v>59</v>
      </c>
      <c r="H523">
        <v>2023</v>
      </c>
    </row>
    <row r="524" spans="1:8" x14ac:dyDescent="0.2">
      <c r="A524">
        <v>174646</v>
      </c>
      <c r="B524">
        <v>1708200</v>
      </c>
      <c r="C524" t="str">
        <f t="shared" si="8"/>
        <v>5. $1M+</v>
      </c>
      <c r="D524" t="s">
        <v>879</v>
      </c>
      <c r="E524" t="s">
        <v>237</v>
      </c>
      <c r="F524" t="s">
        <v>670</v>
      </c>
      <c r="G524" t="s">
        <v>59</v>
      </c>
      <c r="H524">
        <v>2023</v>
      </c>
    </row>
    <row r="525" spans="1:8" x14ac:dyDescent="0.2">
      <c r="A525">
        <v>174651</v>
      </c>
      <c r="B525">
        <v>192517</v>
      </c>
      <c r="C525" t="str">
        <f t="shared" si="8"/>
        <v>5. $1M+</v>
      </c>
      <c r="D525" t="s">
        <v>880</v>
      </c>
      <c r="E525" t="s">
        <v>237</v>
      </c>
      <c r="F525" t="s">
        <v>670</v>
      </c>
      <c r="G525" t="s">
        <v>59</v>
      </c>
      <c r="H525">
        <v>2023</v>
      </c>
    </row>
    <row r="526" spans="1:8" x14ac:dyDescent="0.2">
      <c r="A526">
        <v>174656</v>
      </c>
      <c r="B526">
        <v>241267</v>
      </c>
      <c r="C526" t="str">
        <f t="shared" si="8"/>
        <v>3. $50K-250K</v>
      </c>
      <c r="D526" t="s">
        <v>881</v>
      </c>
      <c r="E526" t="s">
        <v>237</v>
      </c>
      <c r="F526" t="s">
        <v>670</v>
      </c>
      <c r="G526" t="s">
        <v>59</v>
      </c>
      <c r="H526">
        <v>2023</v>
      </c>
    </row>
    <row r="527" spans="1:8" x14ac:dyDescent="0.2">
      <c r="A527">
        <v>174657</v>
      </c>
      <c r="B527">
        <v>350955</v>
      </c>
      <c r="C527" t="str">
        <f t="shared" si="8"/>
        <v>3. $50K-250K</v>
      </c>
      <c r="D527" t="s">
        <v>882</v>
      </c>
      <c r="E527" t="s">
        <v>237</v>
      </c>
      <c r="F527" t="s">
        <v>670</v>
      </c>
      <c r="G527" t="s">
        <v>59</v>
      </c>
      <c r="H527">
        <v>2023</v>
      </c>
    </row>
    <row r="528" spans="1:8" x14ac:dyDescent="0.2">
      <c r="A528">
        <v>174658</v>
      </c>
      <c r="B528">
        <v>243750</v>
      </c>
      <c r="C528" t="str">
        <f t="shared" si="8"/>
        <v>4. $250K-1M</v>
      </c>
      <c r="D528" t="s">
        <v>822</v>
      </c>
      <c r="E528" t="s">
        <v>237</v>
      </c>
      <c r="F528" t="s">
        <v>670</v>
      </c>
      <c r="G528" t="s">
        <v>59</v>
      </c>
      <c r="H528">
        <v>2024</v>
      </c>
    </row>
    <row r="529" spans="1:8" x14ac:dyDescent="0.2">
      <c r="A529">
        <v>174877</v>
      </c>
      <c r="B529">
        <v>1158158</v>
      </c>
      <c r="C529" t="str">
        <f t="shared" si="8"/>
        <v>3. $50K-250K</v>
      </c>
      <c r="D529" t="s">
        <v>852</v>
      </c>
      <c r="E529" t="s">
        <v>237</v>
      </c>
      <c r="F529" t="s">
        <v>670</v>
      </c>
      <c r="G529" t="s">
        <v>59</v>
      </c>
      <c r="H529">
        <v>2023</v>
      </c>
    </row>
    <row r="530" spans="1:8" x14ac:dyDescent="0.2">
      <c r="A530">
        <v>174878</v>
      </c>
      <c r="B530">
        <v>260000</v>
      </c>
      <c r="C530" t="str">
        <f t="shared" si="8"/>
        <v>5. $1M+</v>
      </c>
      <c r="D530" t="s">
        <v>864</v>
      </c>
      <c r="E530" t="s">
        <v>237</v>
      </c>
      <c r="F530" t="s">
        <v>670</v>
      </c>
      <c r="G530" t="s">
        <v>59</v>
      </c>
      <c r="H530">
        <v>2023</v>
      </c>
    </row>
    <row r="531" spans="1:8" x14ac:dyDescent="0.2">
      <c r="A531">
        <v>174880</v>
      </c>
      <c r="B531">
        <v>425000</v>
      </c>
      <c r="C531" t="str">
        <f t="shared" si="8"/>
        <v>4. $250K-1M</v>
      </c>
      <c r="D531" t="s">
        <v>869</v>
      </c>
      <c r="E531" t="s">
        <v>237</v>
      </c>
      <c r="F531" t="s">
        <v>670</v>
      </c>
      <c r="G531" t="s">
        <v>59</v>
      </c>
      <c r="H531">
        <v>2023</v>
      </c>
    </row>
    <row r="532" spans="1:8" x14ac:dyDescent="0.2">
      <c r="A532">
        <v>174881</v>
      </c>
      <c r="B532">
        <v>705117</v>
      </c>
      <c r="C532" t="str">
        <f t="shared" si="8"/>
        <v>4. $250K-1M</v>
      </c>
      <c r="D532" t="s">
        <v>871</v>
      </c>
      <c r="E532" t="s">
        <v>237</v>
      </c>
      <c r="F532" t="s">
        <v>670</v>
      </c>
      <c r="G532" t="s">
        <v>59</v>
      </c>
      <c r="H532">
        <v>2023</v>
      </c>
    </row>
    <row r="533" spans="1:8" x14ac:dyDescent="0.2">
      <c r="A533">
        <v>174882</v>
      </c>
      <c r="B533">
        <v>1785349</v>
      </c>
      <c r="C533" t="str">
        <f t="shared" si="8"/>
        <v>4. $250K-1M</v>
      </c>
      <c r="D533" t="s">
        <v>871</v>
      </c>
      <c r="E533" t="s">
        <v>237</v>
      </c>
      <c r="F533" t="s">
        <v>670</v>
      </c>
      <c r="G533" t="s">
        <v>59</v>
      </c>
      <c r="H533">
        <v>2023</v>
      </c>
    </row>
    <row r="534" spans="1:8" x14ac:dyDescent="0.2">
      <c r="A534">
        <v>174883</v>
      </c>
      <c r="B534">
        <v>353925</v>
      </c>
      <c r="C534" t="str">
        <f t="shared" si="8"/>
        <v>5. $1M+</v>
      </c>
      <c r="D534" t="s">
        <v>872</v>
      </c>
      <c r="E534" t="s">
        <v>237</v>
      </c>
      <c r="F534" t="s">
        <v>670</v>
      </c>
      <c r="G534" t="s">
        <v>59</v>
      </c>
      <c r="H534">
        <v>2023</v>
      </c>
    </row>
    <row r="535" spans="1:8" x14ac:dyDescent="0.2">
      <c r="A535">
        <v>174884</v>
      </c>
      <c r="B535">
        <v>151665</v>
      </c>
      <c r="C535" t="str">
        <f t="shared" si="8"/>
        <v>4. $250K-1M</v>
      </c>
      <c r="D535" t="s">
        <v>682</v>
      </c>
      <c r="E535" t="s">
        <v>237</v>
      </c>
      <c r="F535" t="s">
        <v>670</v>
      </c>
      <c r="G535" t="s">
        <v>59</v>
      </c>
      <c r="H535">
        <v>2023</v>
      </c>
    </row>
    <row r="536" spans="1:8" x14ac:dyDescent="0.2">
      <c r="A536">
        <v>174885</v>
      </c>
      <c r="B536">
        <v>823336</v>
      </c>
      <c r="C536" t="str">
        <f t="shared" si="8"/>
        <v>3. $50K-250K</v>
      </c>
      <c r="D536" t="s">
        <v>682</v>
      </c>
      <c r="E536" t="s">
        <v>237</v>
      </c>
      <c r="F536" t="s">
        <v>670</v>
      </c>
      <c r="G536" t="s">
        <v>59</v>
      </c>
      <c r="H536">
        <v>2023</v>
      </c>
    </row>
    <row r="537" spans="1:8" x14ac:dyDescent="0.2">
      <c r="A537">
        <v>174886</v>
      </c>
      <c r="B537">
        <v>359165</v>
      </c>
      <c r="C537" t="str">
        <f t="shared" si="8"/>
        <v>4. $250K-1M</v>
      </c>
      <c r="D537" t="s">
        <v>883</v>
      </c>
      <c r="E537" t="s">
        <v>237</v>
      </c>
      <c r="F537" t="s">
        <v>670</v>
      </c>
      <c r="G537" t="s">
        <v>59</v>
      </c>
      <c r="H537">
        <v>2023</v>
      </c>
    </row>
    <row r="538" spans="1:8" x14ac:dyDescent="0.2">
      <c r="A538">
        <v>174887</v>
      </c>
      <c r="B538">
        <v>823336</v>
      </c>
      <c r="C538" t="str">
        <f t="shared" si="8"/>
        <v>4. $250K-1M</v>
      </c>
      <c r="D538" t="s">
        <v>883</v>
      </c>
      <c r="E538" t="s">
        <v>237</v>
      </c>
      <c r="F538" t="s">
        <v>670</v>
      </c>
      <c r="G538" t="s">
        <v>59</v>
      </c>
      <c r="H538">
        <v>2023</v>
      </c>
    </row>
    <row r="539" spans="1:8" x14ac:dyDescent="0.2">
      <c r="A539">
        <v>174888</v>
      </c>
      <c r="B539">
        <v>214988</v>
      </c>
      <c r="C539" t="str">
        <f t="shared" si="8"/>
        <v>4. $250K-1M</v>
      </c>
      <c r="D539" t="s">
        <v>856</v>
      </c>
      <c r="E539" t="s">
        <v>237</v>
      </c>
      <c r="F539" t="s">
        <v>670</v>
      </c>
      <c r="G539" t="s">
        <v>59</v>
      </c>
      <c r="H539">
        <v>2023</v>
      </c>
    </row>
    <row r="540" spans="1:8" x14ac:dyDescent="0.2">
      <c r="A540">
        <v>174889</v>
      </c>
      <c r="B540">
        <v>65722</v>
      </c>
      <c r="C540" t="str">
        <f t="shared" si="8"/>
        <v>3. $50K-250K</v>
      </c>
      <c r="D540" t="s">
        <v>857</v>
      </c>
      <c r="E540" t="s">
        <v>237</v>
      </c>
      <c r="F540" t="s">
        <v>670</v>
      </c>
      <c r="G540" t="s">
        <v>59</v>
      </c>
      <c r="H540">
        <v>2023</v>
      </c>
    </row>
    <row r="541" spans="1:8" x14ac:dyDescent="0.2">
      <c r="A541">
        <v>174890</v>
      </c>
      <c r="B541">
        <v>1629501</v>
      </c>
      <c r="C541" t="str">
        <f t="shared" si="8"/>
        <v>3. $50K-250K</v>
      </c>
      <c r="D541" t="s">
        <v>857</v>
      </c>
      <c r="E541" t="s">
        <v>237</v>
      </c>
      <c r="F541" t="s">
        <v>670</v>
      </c>
      <c r="G541" t="s">
        <v>59</v>
      </c>
      <c r="H541">
        <v>2023</v>
      </c>
    </row>
    <row r="542" spans="1:8" x14ac:dyDescent="0.2">
      <c r="A542">
        <v>174891</v>
      </c>
      <c r="B542">
        <v>410394</v>
      </c>
      <c r="C542" t="str">
        <f t="shared" si="8"/>
        <v>5. $1M+</v>
      </c>
      <c r="D542" t="s">
        <v>884</v>
      </c>
      <c r="E542" t="s">
        <v>237</v>
      </c>
      <c r="F542" t="s">
        <v>670</v>
      </c>
      <c r="G542" t="s">
        <v>59</v>
      </c>
      <c r="H542">
        <v>2023</v>
      </c>
    </row>
    <row r="543" spans="1:8" x14ac:dyDescent="0.2">
      <c r="A543">
        <v>174892</v>
      </c>
      <c r="B543">
        <v>325000</v>
      </c>
      <c r="C543" t="str">
        <f t="shared" si="8"/>
        <v>4. $250K-1M</v>
      </c>
      <c r="D543" t="s">
        <v>874</v>
      </c>
      <c r="E543" t="s">
        <v>237</v>
      </c>
      <c r="F543" t="s">
        <v>670</v>
      </c>
      <c r="G543" t="s">
        <v>59</v>
      </c>
      <c r="H543">
        <v>2024</v>
      </c>
    </row>
    <row r="544" spans="1:8" x14ac:dyDescent="0.2">
      <c r="A544">
        <v>174893</v>
      </c>
      <c r="B544">
        <v>1055236</v>
      </c>
      <c r="C544" t="str">
        <f t="shared" si="8"/>
        <v>4. $250K-1M</v>
      </c>
      <c r="D544" t="s">
        <v>874</v>
      </c>
      <c r="E544" t="s">
        <v>237</v>
      </c>
      <c r="F544" t="s">
        <v>670</v>
      </c>
      <c r="G544" t="s">
        <v>59</v>
      </c>
      <c r="H544">
        <v>2023</v>
      </c>
    </row>
    <row r="545" spans="1:8" x14ac:dyDescent="0.2">
      <c r="A545">
        <v>174894</v>
      </c>
      <c r="B545">
        <v>393250</v>
      </c>
      <c r="C545" t="str">
        <f t="shared" si="8"/>
        <v>5. $1M+</v>
      </c>
      <c r="D545" t="s">
        <v>885</v>
      </c>
      <c r="E545" t="s">
        <v>237</v>
      </c>
      <c r="F545" t="s">
        <v>670</v>
      </c>
      <c r="G545" t="s">
        <v>59</v>
      </c>
      <c r="H545">
        <v>2023</v>
      </c>
    </row>
    <row r="546" spans="1:8" x14ac:dyDescent="0.2">
      <c r="A546">
        <v>174895</v>
      </c>
      <c r="B546">
        <v>3691718</v>
      </c>
      <c r="C546" t="str">
        <f t="shared" si="8"/>
        <v>4. $250K-1M</v>
      </c>
      <c r="D546" t="s">
        <v>671</v>
      </c>
      <c r="E546" t="s">
        <v>237</v>
      </c>
      <c r="F546" t="s">
        <v>670</v>
      </c>
      <c r="G546" t="s">
        <v>59</v>
      </c>
      <c r="H546">
        <v>2023</v>
      </c>
    </row>
    <row r="547" spans="1:8" x14ac:dyDescent="0.2">
      <c r="A547">
        <v>174896</v>
      </c>
      <c r="B547">
        <v>1668089</v>
      </c>
      <c r="C547" t="str">
        <f t="shared" si="8"/>
        <v>5. $1M+</v>
      </c>
      <c r="D547" t="s">
        <v>671</v>
      </c>
      <c r="E547" t="s">
        <v>237</v>
      </c>
      <c r="F547" t="s">
        <v>670</v>
      </c>
      <c r="G547" t="s">
        <v>59</v>
      </c>
      <c r="H547">
        <v>2024</v>
      </c>
    </row>
    <row r="548" spans="1:8" x14ac:dyDescent="0.2">
      <c r="A548">
        <v>174897</v>
      </c>
      <c r="B548">
        <v>853125</v>
      </c>
      <c r="C548" t="str">
        <f t="shared" si="8"/>
        <v>5. $1M+</v>
      </c>
      <c r="D548" t="s">
        <v>859</v>
      </c>
      <c r="E548" t="s">
        <v>237</v>
      </c>
      <c r="F548" t="s">
        <v>670</v>
      </c>
      <c r="G548" t="s">
        <v>59</v>
      </c>
      <c r="H548">
        <v>2023</v>
      </c>
    </row>
    <row r="549" spans="1:8" x14ac:dyDescent="0.2">
      <c r="A549">
        <v>174898</v>
      </c>
      <c r="B549">
        <v>785311</v>
      </c>
      <c r="C549" t="str">
        <f t="shared" si="8"/>
        <v>4. $250K-1M</v>
      </c>
      <c r="D549" t="s">
        <v>886</v>
      </c>
      <c r="E549" t="s">
        <v>237</v>
      </c>
      <c r="F549" t="s">
        <v>670</v>
      </c>
      <c r="G549" t="s">
        <v>59</v>
      </c>
      <c r="H549">
        <v>2023</v>
      </c>
    </row>
    <row r="550" spans="1:8" x14ac:dyDescent="0.2">
      <c r="A550">
        <v>174900</v>
      </c>
      <c r="B550">
        <v>420063</v>
      </c>
      <c r="C550" t="str">
        <f t="shared" si="8"/>
        <v>4. $250K-1M</v>
      </c>
      <c r="D550" t="s">
        <v>877</v>
      </c>
      <c r="E550" t="s">
        <v>237</v>
      </c>
      <c r="F550" t="s">
        <v>670</v>
      </c>
      <c r="G550" t="s">
        <v>59</v>
      </c>
      <c r="H550">
        <v>2023</v>
      </c>
    </row>
    <row r="551" spans="1:8" x14ac:dyDescent="0.2">
      <c r="A551">
        <v>174903</v>
      </c>
      <c r="B551">
        <v>458513</v>
      </c>
      <c r="C551" t="str">
        <f t="shared" si="8"/>
        <v>4. $250K-1M</v>
      </c>
      <c r="D551" t="s">
        <v>807</v>
      </c>
      <c r="E551" t="s">
        <v>237</v>
      </c>
      <c r="F551" t="s">
        <v>670</v>
      </c>
      <c r="G551" t="s">
        <v>59</v>
      </c>
      <c r="H551">
        <v>2023</v>
      </c>
    </row>
    <row r="552" spans="1:8" x14ac:dyDescent="0.2">
      <c r="A552">
        <v>174904</v>
      </c>
      <c r="B552">
        <v>443625</v>
      </c>
      <c r="C552" t="str">
        <f t="shared" si="8"/>
        <v>4. $250K-1M</v>
      </c>
      <c r="D552" t="s">
        <v>711</v>
      </c>
      <c r="E552" t="s">
        <v>237</v>
      </c>
      <c r="F552" t="s">
        <v>670</v>
      </c>
      <c r="G552" t="s">
        <v>59</v>
      </c>
      <c r="H552">
        <v>2024</v>
      </c>
    </row>
    <row r="553" spans="1:8" x14ac:dyDescent="0.2">
      <c r="A553">
        <v>174905</v>
      </c>
      <c r="B553">
        <v>433483</v>
      </c>
      <c r="C553" t="str">
        <f t="shared" si="8"/>
        <v>4. $250K-1M</v>
      </c>
      <c r="D553" t="s">
        <v>785</v>
      </c>
      <c r="E553" t="s">
        <v>237</v>
      </c>
      <c r="F553" t="s">
        <v>670</v>
      </c>
      <c r="G553" t="s">
        <v>59</v>
      </c>
      <c r="H553">
        <v>2023</v>
      </c>
    </row>
    <row r="554" spans="1:8" x14ac:dyDescent="0.2">
      <c r="A554">
        <v>174906</v>
      </c>
      <c r="B554">
        <v>1170000</v>
      </c>
      <c r="C554" t="str">
        <f t="shared" si="8"/>
        <v>4. $250K-1M</v>
      </c>
      <c r="D554" t="s">
        <v>785</v>
      </c>
      <c r="E554" t="s">
        <v>237</v>
      </c>
      <c r="F554" t="s">
        <v>670</v>
      </c>
      <c r="G554" t="s">
        <v>59</v>
      </c>
      <c r="H554">
        <v>2023</v>
      </c>
    </row>
    <row r="555" spans="1:8" x14ac:dyDescent="0.2">
      <c r="A555">
        <v>175085</v>
      </c>
      <c r="B555">
        <v>1224388</v>
      </c>
      <c r="C555" t="str">
        <f t="shared" si="8"/>
        <v>5. $1M+</v>
      </c>
      <c r="D555" t="s">
        <v>887</v>
      </c>
      <c r="E555" t="s">
        <v>237</v>
      </c>
      <c r="F555" t="s">
        <v>670</v>
      </c>
      <c r="G555" t="s">
        <v>59</v>
      </c>
      <c r="H555">
        <v>2023</v>
      </c>
    </row>
    <row r="556" spans="1:8" x14ac:dyDescent="0.2">
      <c r="A556">
        <v>175154</v>
      </c>
      <c r="B556">
        <v>1207551</v>
      </c>
      <c r="C556" t="str">
        <f t="shared" si="8"/>
        <v>5. $1M+</v>
      </c>
      <c r="D556" t="s">
        <v>774</v>
      </c>
      <c r="E556" t="s">
        <v>237</v>
      </c>
      <c r="F556" t="s">
        <v>668</v>
      </c>
      <c r="G556" t="s">
        <v>59</v>
      </c>
      <c r="H556">
        <v>2023</v>
      </c>
    </row>
    <row r="557" spans="1:8" x14ac:dyDescent="0.2">
      <c r="A557">
        <v>175192</v>
      </c>
      <c r="B557">
        <v>9027200</v>
      </c>
      <c r="C557" t="str">
        <f t="shared" si="8"/>
        <v>5. $1M+</v>
      </c>
      <c r="D557" t="s">
        <v>63</v>
      </c>
      <c r="E557" t="s">
        <v>28</v>
      </c>
      <c r="F557" t="s">
        <v>120</v>
      </c>
      <c r="G557" t="s">
        <v>10</v>
      </c>
      <c r="H557">
        <v>2025</v>
      </c>
    </row>
    <row r="558" spans="1:8" x14ac:dyDescent="0.2">
      <c r="A558">
        <v>175234</v>
      </c>
      <c r="B558">
        <v>325000</v>
      </c>
      <c r="C558" t="str">
        <f t="shared" si="8"/>
        <v>5. $1M+</v>
      </c>
      <c r="D558" t="s">
        <v>725</v>
      </c>
      <c r="E558" t="s">
        <v>237</v>
      </c>
      <c r="F558" t="s">
        <v>670</v>
      </c>
      <c r="G558" t="s">
        <v>59</v>
      </c>
      <c r="H558">
        <v>2023</v>
      </c>
    </row>
    <row r="559" spans="1:8" x14ac:dyDescent="0.2">
      <c r="A559">
        <v>175235</v>
      </c>
      <c r="B559">
        <v>456663</v>
      </c>
      <c r="C559" t="str">
        <f t="shared" si="8"/>
        <v>4. $250K-1M</v>
      </c>
      <c r="D559" t="s">
        <v>883</v>
      </c>
      <c r="E559" t="s">
        <v>237</v>
      </c>
      <c r="F559" t="s">
        <v>670</v>
      </c>
      <c r="G559" t="s">
        <v>59</v>
      </c>
      <c r="H559">
        <v>2023</v>
      </c>
    </row>
    <row r="560" spans="1:8" x14ac:dyDescent="0.2">
      <c r="A560">
        <v>175237</v>
      </c>
      <c r="B560">
        <v>487500</v>
      </c>
      <c r="C560" t="str">
        <f t="shared" si="8"/>
        <v>4. $250K-1M</v>
      </c>
      <c r="D560" t="s">
        <v>857</v>
      </c>
      <c r="E560" t="s">
        <v>237</v>
      </c>
      <c r="F560" t="s">
        <v>670</v>
      </c>
      <c r="G560" t="s">
        <v>59</v>
      </c>
      <c r="H560">
        <v>2023</v>
      </c>
    </row>
    <row r="561" spans="1:8" x14ac:dyDescent="0.2">
      <c r="A561">
        <v>175239</v>
      </c>
      <c r="B561">
        <v>195000</v>
      </c>
      <c r="C561" t="str">
        <f t="shared" si="8"/>
        <v>4. $250K-1M</v>
      </c>
      <c r="D561" t="s">
        <v>879</v>
      </c>
      <c r="E561" t="s">
        <v>237</v>
      </c>
      <c r="F561" t="s">
        <v>670</v>
      </c>
      <c r="G561" t="s">
        <v>59</v>
      </c>
      <c r="H561">
        <v>2023</v>
      </c>
    </row>
    <row r="562" spans="1:8" x14ac:dyDescent="0.2">
      <c r="A562">
        <v>175245</v>
      </c>
      <c r="B562">
        <v>5185958</v>
      </c>
      <c r="C562" t="str">
        <f t="shared" si="8"/>
        <v>3. $50K-250K</v>
      </c>
      <c r="D562" t="s">
        <v>391</v>
      </c>
      <c r="E562" t="s">
        <v>42</v>
      </c>
      <c r="F562" t="s">
        <v>668</v>
      </c>
      <c r="G562" t="s">
        <v>59</v>
      </c>
      <c r="H562">
        <v>2023</v>
      </c>
    </row>
    <row r="563" spans="1:8" x14ac:dyDescent="0.2">
      <c r="A563">
        <v>175258</v>
      </c>
      <c r="B563">
        <v>18900</v>
      </c>
      <c r="C563" t="str">
        <f t="shared" si="8"/>
        <v>5. $1M+</v>
      </c>
      <c r="D563" t="s">
        <v>888</v>
      </c>
      <c r="E563" t="s">
        <v>432</v>
      </c>
      <c r="F563" t="s">
        <v>670</v>
      </c>
      <c r="G563" t="s">
        <v>59</v>
      </c>
      <c r="H563">
        <v>2023</v>
      </c>
    </row>
    <row r="564" spans="1:8" x14ac:dyDescent="0.2">
      <c r="A564">
        <v>175508</v>
      </c>
      <c r="B564">
        <v>119000</v>
      </c>
      <c r="C564" t="str">
        <f t="shared" si="8"/>
        <v>2. $10K-50K</v>
      </c>
      <c r="D564" t="s">
        <v>889</v>
      </c>
      <c r="E564" t="s">
        <v>237</v>
      </c>
      <c r="F564" t="s">
        <v>670</v>
      </c>
      <c r="G564" t="s">
        <v>59</v>
      </c>
      <c r="H564">
        <v>2025</v>
      </c>
    </row>
    <row r="565" spans="1:8" x14ac:dyDescent="0.2">
      <c r="A565">
        <v>175646</v>
      </c>
      <c r="B565">
        <v>114118</v>
      </c>
      <c r="C565" t="str">
        <f t="shared" si="8"/>
        <v>3. $50K-250K</v>
      </c>
      <c r="D565" t="s">
        <v>870</v>
      </c>
      <c r="E565" t="s">
        <v>237</v>
      </c>
      <c r="F565" t="s">
        <v>670</v>
      </c>
      <c r="G565" t="s">
        <v>59</v>
      </c>
      <c r="H565">
        <v>2023</v>
      </c>
    </row>
    <row r="566" spans="1:8" x14ac:dyDescent="0.2">
      <c r="A566">
        <v>175650</v>
      </c>
      <c r="B566">
        <v>312030</v>
      </c>
      <c r="C566" t="str">
        <f t="shared" si="8"/>
        <v>3. $50K-250K</v>
      </c>
      <c r="D566" t="s">
        <v>749</v>
      </c>
      <c r="E566" t="s">
        <v>237</v>
      </c>
      <c r="F566" t="s">
        <v>670</v>
      </c>
      <c r="G566" t="s">
        <v>59</v>
      </c>
      <c r="H566">
        <v>2023</v>
      </c>
    </row>
    <row r="567" spans="1:8" x14ac:dyDescent="0.2">
      <c r="A567">
        <v>175651</v>
      </c>
      <c r="B567">
        <v>120000</v>
      </c>
      <c r="C567" t="str">
        <f t="shared" si="8"/>
        <v>4. $250K-1M</v>
      </c>
      <c r="D567" t="s">
        <v>890</v>
      </c>
      <c r="E567" t="s">
        <v>237</v>
      </c>
      <c r="F567" t="s">
        <v>670</v>
      </c>
      <c r="G567" t="s">
        <v>59</v>
      </c>
      <c r="H567">
        <v>2023</v>
      </c>
    </row>
    <row r="568" spans="1:8" x14ac:dyDescent="0.2">
      <c r="A568">
        <v>175656</v>
      </c>
      <c r="B568">
        <v>64282</v>
      </c>
      <c r="C568" t="str">
        <f t="shared" si="8"/>
        <v>3. $50K-250K</v>
      </c>
      <c r="D568" t="s">
        <v>865</v>
      </c>
      <c r="E568" t="s">
        <v>237</v>
      </c>
      <c r="F568" t="s">
        <v>670</v>
      </c>
      <c r="G568" t="s">
        <v>59</v>
      </c>
      <c r="H568">
        <v>2023</v>
      </c>
    </row>
    <row r="569" spans="1:8" x14ac:dyDescent="0.2">
      <c r="A569">
        <v>175658</v>
      </c>
      <c r="B569">
        <v>131790</v>
      </c>
      <c r="C569" t="str">
        <f t="shared" si="8"/>
        <v>3. $50K-250K</v>
      </c>
      <c r="D569" t="s">
        <v>870</v>
      </c>
      <c r="E569" t="s">
        <v>237</v>
      </c>
      <c r="F569" t="s">
        <v>670</v>
      </c>
      <c r="G569" t="s">
        <v>59</v>
      </c>
      <c r="H569">
        <v>2023</v>
      </c>
    </row>
    <row r="570" spans="1:8" x14ac:dyDescent="0.2">
      <c r="A570">
        <v>175884</v>
      </c>
      <c r="B570">
        <v>1310000</v>
      </c>
      <c r="C570" t="str">
        <f t="shared" si="8"/>
        <v>3. $50K-250K</v>
      </c>
      <c r="D570" t="s">
        <v>837</v>
      </c>
      <c r="E570" t="s">
        <v>891</v>
      </c>
      <c r="F570" t="s">
        <v>670</v>
      </c>
      <c r="G570" t="s">
        <v>44</v>
      </c>
      <c r="H570">
        <v>2023</v>
      </c>
    </row>
    <row r="571" spans="1:8" x14ac:dyDescent="0.2">
      <c r="A571">
        <v>175894</v>
      </c>
      <c r="B571">
        <v>970000</v>
      </c>
      <c r="C571" t="str">
        <f t="shared" si="8"/>
        <v>5. $1M+</v>
      </c>
      <c r="D571" t="s">
        <v>892</v>
      </c>
      <c r="E571" t="s">
        <v>891</v>
      </c>
      <c r="F571" t="s">
        <v>670</v>
      </c>
      <c r="G571" t="s">
        <v>44</v>
      </c>
      <c r="H571">
        <v>2023</v>
      </c>
    </row>
    <row r="572" spans="1:8" x14ac:dyDescent="0.2">
      <c r="A572">
        <v>175897</v>
      </c>
      <c r="B572">
        <v>2547000</v>
      </c>
      <c r="C572" t="str">
        <f t="shared" si="8"/>
        <v>4. $250K-1M</v>
      </c>
      <c r="D572" t="s">
        <v>893</v>
      </c>
      <c r="E572" t="s">
        <v>891</v>
      </c>
      <c r="F572" t="s">
        <v>670</v>
      </c>
      <c r="G572" t="s">
        <v>44</v>
      </c>
      <c r="H572">
        <v>2023</v>
      </c>
    </row>
    <row r="573" spans="1:8" x14ac:dyDescent="0.2">
      <c r="A573">
        <v>175927</v>
      </c>
      <c r="B573">
        <v>12742.5</v>
      </c>
      <c r="C573" t="str">
        <f t="shared" si="8"/>
        <v>5. $1M+</v>
      </c>
      <c r="D573" t="s">
        <v>894</v>
      </c>
      <c r="E573" t="s">
        <v>432</v>
      </c>
      <c r="F573" t="s">
        <v>670</v>
      </c>
      <c r="G573" t="s">
        <v>59</v>
      </c>
      <c r="H573">
        <v>2023</v>
      </c>
    </row>
    <row r="574" spans="1:8" x14ac:dyDescent="0.2">
      <c r="A574">
        <v>175946</v>
      </c>
      <c r="B574">
        <v>125000</v>
      </c>
      <c r="C574" t="str">
        <f t="shared" si="8"/>
        <v>2. $10K-50K</v>
      </c>
      <c r="D574" t="s">
        <v>895</v>
      </c>
      <c r="E574" t="s">
        <v>42</v>
      </c>
      <c r="F574" t="s">
        <v>670</v>
      </c>
      <c r="G574" t="s">
        <v>44</v>
      </c>
      <c r="H574">
        <v>2023</v>
      </c>
    </row>
    <row r="575" spans="1:8" x14ac:dyDescent="0.2">
      <c r="A575">
        <v>175947</v>
      </c>
      <c r="B575">
        <v>125000</v>
      </c>
      <c r="C575" t="str">
        <f t="shared" si="8"/>
        <v>3. $50K-250K</v>
      </c>
      <c r="D575" t="s">
        <v>674</v>
      </c>
      <c r="E575" t="s">
        <v>42</v>
      </c>
      <c r="F575" t="s">
        <v>670</v>
      </c>
      <c r="G575" t="s">
        <v>44</v>
      </c>
      <c r="H575">
        <v>2023</v>
      </c>
    </row>
    <row r="576" spans="1:8" x14ac:dyDescent="0.2">
      <c r="A576">
        <v>175954</v>
      </c>
      <c r="B576">
        <v>125000</v>
      </c>
      <c r="C576" t="str">
        <f t="shared" si="8"/>
        <v>3. $50K-250K</v>
      </c>
      <c r="D576" t="s">
        <v>896</v>
      </c>
      <c r="E576" t="s">
        <v>42</v>
      </c>
      <c r="F576" t="s">
        <v>670</v>
      </c>
      <c r="G576" t="s">
        <v>44</v>
      </c>
      <c r="H576">
        <v>2023</v>
      </c>
    </row>
    <row r="577" spans="1:8" x14ac:dyDescent="0.2">
      <c r="A577">
        <v>175957</v>
      </c>
      <c r="B577">
        <v>125000</v>
      </c>
      <c r="C577" t="str">
        <f t="shared" si="8"/>
        <v>3. $50K-250K</v>
      </c>
      <c r="D577" t="s">
        <v>804</v>
      </c>
      <c r="E577" t="s">
        <v>42</v>
      </c>
      <c r="F577" t="s">
        <v>670</v>
      </c>
      <c r="G577" t="s">
        <v>44</v>
      </c>
      <c r="H577">
        <v>2023</v>
      </c>
    </row>
    <row r="578" spans="1:8" x14ac:dyDescent="0.2">
      <c r="A578">
        <v>175958</v>
      </c>
      <c r="B578">
        <v>125000</v>
      </c>
      <c r="C578" t="str">
        <f t="shared" si="8"/>
        <v>3. $50K-250K</v>
      </c>
      <c r="D578" t="s">
        <v>674</v>
      </c>
      <c r="E578" t="s">
        <v>42</v>
      </c>
      <c r="F578" t="s">
        <v>670</v>
      </c>
      <c r="G578" t="s">
        <v>44</v>
      </c>
      <c r="H578">
        <v>2023</v>
      </c>
    </row>
    <row r="579" spans="1:8" x14ac:dyDescent="0.2">
      <c r="A579">
        <v>175959</v>
      </c>
      <c r="B579">
        <v>125000</v>
      </c>
      <c r="C579" t="str">
        <f t="shared" ref="C579:C642" si="9">IF(B578&lt;10000,"1. Under $10K",IF(B578&lt;50000,"2. $10K-50K",IF(B578&lt;250000,"3. $50K-250K",IF(B578&lt;1000000,"4. $250K-1M","5. $1M+"))))</f>
        <v>3. $50K-250K</v>
      </c>
      <c r="D579" t="s">
        <v>804</v>
      </c>
      <c r="E579" t="s">
        <v>42</v>
      </c>
      <c r="F579" t="s">
        <v>670</v>
      </c>
      <c r="G579" t="s">
        <v>44</v>
      </c>
      <c r="H579">
        <v>2023</v>
      </c>
    </row>
    <row r="580" spans="1:8" x14ac:dyDescent="0.2">
      <c r="A580">
        <v>175967</v>
      </c>
      <c r="B580">
        <v>1900000</v>
      </c>
      <c r="C580" t="str">
        <f t="shared" si="9"/>
        <v>3. $50K-250K</v>
      </c>
      <c r="D580" t="s">
        <v>823</v>
      </c>
      <c r="E580" t="s">
        <v>42</v>
      </c>
      <c r="F580" t="s">
        <v>670</v>
      </c>
      <c r="G580" t="s">
        <v>44</v>
      </c>
      <c r="H580">
        <v>2023</v>
      </c>
    </row>
    <row r="581" spans="1:8" x14ac:dyDescent="0.2">
      <c r="A581">
        <v>175969</v>
      </c>
      <c r="B581">
        <v>200000</v>
      </c>
      <c r="C581" t="str">
        <f t="shared" si="9"/>
        <v>5. $1M+</v>
      </c>
      <c r="D581" t="s">
        <v>897</v>
      </c>
      <c r="E581" t="s">
        <v>42</v>
      </c>
      <c r="F581" t="s">
        <v>670</v>
      </c>
      <c r="G581" t="s">
        <v>44</v>
      </c>
      <c r="H581">
        <v>2024</v>
      </c>
    </row>
    <row r="582" spans="1:8" x14ac:dyDescent="0.2">
      <c r="A582">
        <v>175970</v>
      </c>
      <c r="B582">
        <v>400000</v>
      </c>
      <c r="C582" t="str">
        <f t="shared" si="9"/>
        <v>3. $50K-250K</v>
      </c>
      <c r="D582" t="s">
        <v>821</v>
      </c>
      <c r="E582" t="s">
        <v>42</v>
      </c>
      <c r="F582" t="s">
        <v>670</v>
      </c>
      <c r="G582" t="s">
        <v>44</v>
      </c>
      <c r="H582">
        <v>2023</v>
      </c>
    </row>
    <row r="583" spans="1:8" x14ac:dyDescent="0.2">
      <c r="A583">
        <v>175971</v>
      </c>
      <c r="B583">
        <v>471000</v>
      </c>
      <c r="C583" t="str">
        <f t="shared" si="9"/>
        <v>4. $250K-1M</v>
      </c>
      <c r="D583" t="s">
        <v>868</v>
      </c>
      <c r="E583" t="s">
        <v>42</v>
      </c>
      <c r="F583" t="s">
        <v>670</v>
      </c>
      <c r="G583" t="s">
        <v>44</v>
      </c>
      <c r="H583">
        <v>2023</v>
      </c>
    </row>
    <row r="584" spans="1:8" x14ac:dyDescent="0.2">
      <c r="A584">
        <v>176276</v>
      </c>
      <c r="B584">
        <v>490000</v>
      </c>
      <c r="C584" t="str">
        <f t="shared" si="9"/>
        <v>4. $250K-1M</v>
      </c>
      <c r="D584" t="s">
        <v>898</v>
      </c>
      <c r="E584" t="s">
        <v>52</v>
      </c>
      <c r="F584" t="s">
        <v>668</v>
      </c>
      <c r="G584" t="s">
        <v>59</v>
      </c>
      <c r="H584">
        <v>2024</v>
      </c>
    </row>
    <row r="585" spans="1:8" x14ac:dyDescent="0.2">
      <c r="A585">
        <v>176303</v>
      </c>
      <c r="B585">
        <v>167500</v>
      </c>
      <c r="C585" t="str">
        <f t="shared" si="9"/>
        <v>4. $250K-1M</v>
      </c>
      <c r="D585" t="s">
        <v>899</v>
      </c>
      <c r="E585" t="s">
        <v>237</v>
      </c>
      <c r="F585" t="s">
        <v>670</v>
      </c>
      <c r="G585" t="s">
        <v>59</v>
      </c>
      <c r="H585">
        <v>2023</v>
      </c>
    </row>
    <row r="586" spans="1:8" x14ac:dyDescent="0.2">
      <c r="A586">
        <v>176307</v>
      </c>
      <c r="B586">
        <v>42000</v>
      </c>
      <c r="C586" t="str">
        <f t="shared" si="9"/>
        <v>3. $50K-250K</v>
      </c>
      <c r="D586" t="s">
        <v>900</v>
      </c>
      <c r="E586" t="s">
        <v>237</v>
      </c>
      <c r="F586" t="s">
        <v>670</v>
      </c>
      <c r="G586" t="s">
        <v>59</v>
      </c>
      <c r="H586">
        <v>2023</v>
      </c>
    </row>
    <row r="587" spans="1:8" x14ac:dyDescent="0.2">
      <c r="A587">
        <v>176343</v>
      </c>
      <c r="B587">
        <v>418750</v>
      </c>
      <c r="C587" t="str">
        <f t="shared" si="9"/>
        <v>2. $10K-50K</v>
      </c>
      <c r="D587" t="s">
        <v>901</v>
      </c>
      <c r="E587" t="s">
        <v>237</v>
      </c>
      <c r="F587" t="s">
        <v>670</v>
      </c>
      <c r="G587" t="s">
        <v>59</v>
      </c>
      <c r="H587">
        <v>2023</v>
      </c>
    </row>
    <row r="588" spans="1:8" x14ac:dyDescent="0.2">
      <c r="A588">
        <v>176407</v>
      </c>
      <c r="B588">
        <v>132000</v>
      </c>
      <c r="C588" t="str">
        <f t="shared" si="9"/>
        <v>4. $250K-1M</v>
      </c>
      <c r="D588" t="s">
        <v>902</v>
      </c>
      <c r="E588" t="s">
        <v>237</v>
      </c>
      <c r="F588" t="s">
        <v>670</v>
      </c>
      <c r="G588" t="s">
        <v>59</v>
      </c>
      <c r="H588">
        <v>2023</v>
      </c>
    </row>
    <row r="589" spans="1:8" x14ac:dyDescent="0.2">
      <c r="A589">
        <v>176408</v>
      </c>
      <c r="B589">
        <v>131760</v>
      </c>
      <c r="C589" t="str">
        <f t="shared" si="9"/>
        <v>3. $50K-250K</v>
      </c>
      <c r="D589" t="s">
        <v>749</v>
      </c>
      <c r="E589" t="s">
        <v>237</v>
      </c>
      <c r="F589" t="s">
        <v>670</v>
      </c>
      <c r="G589" t="s">
        <v>59</v>
      </c>
      <c r="H589">
        <v>2023</v>
      </c>
    </row>
    <row r="590" spans="1:8" x14ac:dyDescent="0.2">
      <c r="A590">
        <v>176409</v>
      </c>
      <c r="B590">
        <v>97587</v>
      </c>
      <c r="C590" t="str">
        <f t="shared" si="9"/>
        <v>3. $50K-250K</v>
      </c>
      <c r="D590" t="s">
        <v>903</v>
      </c>
      <c r="E590" t="s">
        <v>237</v>
      </c>
      <c r="F590" t="s">
        <v>670</v>
      </c>
      <c r="G590" t="s">
        <v>59</v>
      </c>
      <c r="H590">
        <v>2023</v>
      </c>
    </row>
    <row r="591" spans="1:8" x14ac:dyDescent="0.2">
      <c r="A591">
        <v>176551</v>
      </c>
      <c r="B591">
        <v>6000000</v>
      </c>
      <c r="C591" t="str">
        <f t="shared" si="9"/>
        <v>3. $50K-250K</v>
      </c>
      <c r="D591" t="s">
        <v>774</v>
      </c>
      <c r="E591" t="s">
        <v>237</v>
      </c>
      <c r="F591" t="s">
        <v>668</v>
      </c>
      <c r="G591" t="s">
        <v>59</v>
      </c>
      <c r="H591">
        <v>2023</v>
      </c>
    </row>
    <row r="592" spans="1:8" x14ac:dyDescent="0.2">
      <c r="A592">
        <v>176553</v>
      </c>
      <c r="B592">
        <v>600000</v>
      </c>
      <c r="C592" t="str">
        <f t="shared" si="9"/>
        <v>5. $1M+</v>
      </c>
      <c r="D592" t="s">
        <v>893</v>
      </c>
      <c r="E592" t="s">
        <v>891</v>
      </c>
      <c r="F592" t="s">
        <v>670</v>
      </c>
      <c r="G592" t="s">
        <v>44</v>
      </c>
      <c r="H592">
        <v>2023</v>
      </c>
    </row>
    <row r="593" spans="1:8" x14ac:dyDescent="0.2">
      <c r="A593">
        <v>176554</v>
      </c>
      <c r="B593">
        <v>600000</v>
      </c>
      <c r="C593" t="str">
        <f t="shared" si="9"/>
        <v>4. $250K-1M</v>
      </c>
      <c r="D593" t="s">
        <v>904</v>
      </c>
      <c r="E593" t="s">
        <v>891</v>
      </c>
      <c r="F593" t="s">
        <v>670</v>
      </c>
      <c r="G593" t="s">
        <v>44</v>
      </c>
      <c r="H593">
        <v>2023</v>
      </c>
    </row>
    <row r="594" spans="1:8" x14ac:dyDescent="0.2">
      <c r="A594">
        <v>176556</v>
      </c>
      <c r="B594">
        <v>39487.5</v>
      </c>
      <c r="C594" t="str">
        <f t="shared" si="9"/>
        <v>4. $250K-1M</v>
      </c>
      <c r="D594" t="s">
        <v>905</v>
      </c>
      <c r="E594" t="s">
        <v>891</v>
      </c>
      <c r="F594" t="s">
        <v>670</v>
      </c>
      <c r="G594" t="s">
        <v>44</v>
      </c>
      <c r="H594">
        <v>2023</v>
      </c>
    </row>
    <row r="595" spans="1:8" x14ac:dyDescent="0.2">
      <c r="A595">
        <v>17676</v>
      </c>
      <c r="B595">
        <v>199507</v>
      </c>
      <c r="C595" t="str">
        <f t="shared" si="9"/>
        <v>2. $10K-50K</v>
      </c>
      <c r="D595" t="s">
        <v>906</v>
      </c>
      <c r="E595" t="s">
        <v>99</v>
      </c>
      <c r="F595" t="s">
        <v>668</v>
      </c>
      <c r="G595" t="s">
        <v>59</v>
      </c>
      <c r="H595">
        <v>2025</v>
      </c>
    </row>
    <row r="596" spans="1:8" x14ac:dyDescent="0.2">
      <c r="A596">
        <v>176870</v>
      </c>
      <c r="B596">
        <v>250000</v>
      </c>
      <c r="C596" t="str">
        <f t="shared" si="9"/>
        <v>3. $50K-250K</v>
      </c>
      <c r="D596" t="s">
        <v>907</v>
      </c>
      <c r="E596" t="s">
        <v>237</v>
      </c>
      <c r="F596" t="s">
        <v>670</v>
      </c>
      <c r="G596" t="s">
        <v>59</v>
      </c>
      <c r="H596">
        <v>2023</v>
      </c>
    </row>
    <row r="597" spans="1:8" x14ac:dyDescent="0.2">
      <c r="A597">
        <v>176871</v>
      </c>
      <c r="B597">
        <v>250000</v>
      </c>
      <c r="C597" t="str">
        <f t="shared" si="9"/>
        <v>4. $250K-1M</v>
      </c>
      <c r="D597" t="s">
        <v>908</v>
      </c>
      <c r="E597" t="s">
        <v>237</v>
      </c>
      <c r="F597" t="s">
        <v>670</v>
      </c>
      <c r="G597" t="s">
        <v>59</v>
      </c>
      <c r="H597">
        <v>2023</v>
      </c>
    </row>
    <row r="598" spans="1:8" x14ac:dyDescent="0.2">
      <c r="A598">
        <v>176872</v>
      </c>
      <c r="B598">
        <v>239930</v>
      </c>
      <c r="C598" t="str">
        <f t="shared" si="9"/>
        <v>4. $250K-1M</v>
      </c>
      <c r="D598" t="s">
        <v>909</v>
      </c>
      <c r="E598" t="s">
        <v>237</v>
      </c>
      <c r="F598" t="s">
        <v>670</v>
      </c>
      <c r="G598" t="s">
        <v>59</v>
      </c>
      <c r="H598">
        <v>2023</v>
      </c>
    </row>
    <row r="599" spans="1:8" x14ac:dyDescent="0.2">
      <c r="A599">
        <v>176873</v>
      </c>
      <c r="B599">
        <v>240000</v>
      </c>
      <c r="C599" t="str">
        <f t="shared" si="9"/>
        <v>3. $50K-250K</v>
      </c>
      <c r="D599" t="s">
        <v>694</v>
      </c>
      <c r="E599" t="s">
        <v>237</v>
      </c>
      <c r="F599" t="s">
        <v>670</v>
      </c>
      <c r="G599" t="s">
        <v>59</v>
      </c>
      <c r="H599">
        <v>2023</v>
      </c>
    </row>
    <row r="600" spans="1:8" x14ac:dyDescent="0.2">
      <c r="A600">
        <v>177105</v>
      </c>
      <c r="B600">
        <v>2012000</v>
      </c>
      <c r="C600" t="str">
        <f t="shared" si="9"/>
        <v>3. $50K-250K</v>
      </c>
      <c r="D600" t="s">
        <v>910</v>
      </c>
      <c r="E600" t="s">
        <v>237</v>
      </c>
      <c r="F600" t="s">
        <v>670</v>
      </c>
      <c r="G600" t="s">
        <v>59</v>
      </c>
      <c r="H600">
        <v>2023</v>
      </c>
    </row>
    <row r="601" spans="1:8" x14ac:dyDescent="0.2">
      <c r="A601">
        <v>177120</v>
      </c>
      <c r="B601">
        <v>4479000</v>
      </c>
      <c r="C601" t="str">
        <f t="shared" si="9"/>
        <v>5. $1M+</v>
      </c>
      <c r="D601" t="s">
        <v>147</v>
      </c>
      <c r="E601" t="s">
        <v>18</v>
      </c>
      <c r="F601" t="s">
        <v>19</v>
      </c>
      <c r="G601" t="s">
        <v>10</v>
      </c>
      <c r="H601">
        <v>2024</v>
      </c>
    </row>
    <row r="602" spans="1:8" x14ac:dyDescent="0.2">
      <c r="A602">
        <v>177221</v>
      </c>
      <c r="B602">
        <v>140000</v>
      </c>
      <c r="C602" t="str">
        <f t="shared" si="9"/>
        <v>5. $1M+</v>
      </c>
      <c r="D602" t="s">
        <v>911</v>
      </c>
      <c r="E602" t="s">
        <v>237</v>
      </c>
      <c r="F602" t="s">
        <v>670</v>
      </c>
      <c r="G602" t="s">
        <v>59</v>
      </c>
      <c r="H602">
        <v>2023</v>
      </c>
    </row>
    <row r="603" spans="1:8" x14ac:dyDescent="0.2">
      <c r="A603">
        <v>177222</v>
      </c>
      <c r="B603">
        <v>360000</v>
      </c>
      <c r="C603" t="str">
        <f t="shared" si="9"/>
        <v>3. $50K-250K</v>
      </c>
      <c r="D603" t="s">
        <v>912</v>
      </c>
      <c r="E603" t="s">
        <v>237</v>
      </c>
      <c r="F603" t="s">
        <v>670</v>
      </c>
      <c r="G603" t="s">
        <v>59</v>
      </c>
      <c r="H603">
        <v>2023</v>
      </c>
    </row>
    <row r="604" spans="1:8" x14ac:dyDescent="0.2">
      <c r="A604">
        <v>177224</v>
      </c>
      <c r="B604">
        <v>140000</v>
      </c>
      <c r="C604" t="str">
        <f t="shared" si="9"/>
        <v>4. $250K-1M</v>
      </c>
      <c r="D604" t="s">
        <v>913</v>
      </c>
      <c r="E604" t="s">
        <v>237</v>
      </c>
      <c r="F604" t="s">
        <v>670</v>
      </c>
      <c r="G604" t="s">
        <v>59</v>
      </c>
      <c r="H604">
        <v>2023</v>
      </c>
    </row>
    <row r="605" spans="1:8" x14ac:dyDescent="0.2">
      <c r="A605">
        <v>177225</v>
      </c>
      <c r="B605">
        <v>172800</v>
      </c>
      <c r="C605" t="str">
        <f t="shared" si="9"/>
        <v>3. $50K-250K</v>
      </c>
      <c r="D605" t="s">
        <v>914</v>
      </c>
      <c r="E605" t="s">
        <v>237</v>
      </c>
      <c r="F605" t="s">
        <v>670</v>
      </c>
      <c r="G605" t="s">
        <v>59</v>
      </c>
      <c r="H605">
        <v>2023</v>
      </c>
    </row>
    <row r="606" spans="1:8" x14ac:dyDescent="0.2">
      <c r="A606">
        <v>177226</v>
      </c>
      <c r="B606">
        <v>140000</v>
      </c>
      <c r="C606" t="str">
        <f t="shared" si="9"/>
        <v>3. $50K-250K</v>
      </c>
      <c r="D606" t="s">
        <v>915</v>
      </c>
      <c r="E606" t="s">
        <v>237</v>
      </c>
      <c r="F606" t="s">
        <v>670</v>
      </c>
      <c r="G606" t="s">
        <v>59</v>
      </c>
      <c r="H606">
        <v>2023</v>
      </c>
    </row>
    <row r="607" spans="1:8" x14ac:dyDescent="0.2">
      <c r="A607">
        <v>177227</v>
      </c>
      <c r="B607">
        <v>140000</v>
      </c>
      <c r="C607" t="str">
        <f t="shared" si="9"/>
        <v>3. $50K-250K</v>
      </c>
      <c r="D607" t="s">
        <v>916</v>
      </c>
      <c r="E607" t="s">
        <v>237</v>
      </c>
      <c r="F607" t="s">
        <v>670</v>
      </c>
      <c r="G607" t="s">
        <v>59</v>
      </c>
      <c r="H607">
        <v>2023</v>
      </c>
    </row>
    <row r="608" spans="1:8" x14ac:dyDescent="0.2">
      <c r="A608">
        <v>177228</v>
      </c>
      <c r="B608">
        <v>100000</v>
      </c>
      <c r="C608" t="str">
        <f t="shared" si="9"/>
        <v>3. $50K-250K</v>
      </c>
      <c r="D608" t="s">
        <v>671</v>
      </c>
      <c r="E608" t="s">
        <v>237</v>
      </c>
      <c r="F608" t="s">
        <v>670</v>
      </c>
      <c r="G608" t="s">
        <v>59</v>
      </c>
      <c r="H608">
        <v>2023</v>
      </c>
    </row>
    <row r="609" spans="1:8" x14ac:dyDescent="0.2">
      <c r="A609">
        <v>177229</v>
      </c>
      <c r="B609">
        <v>150000</v>
      </c>
      <c r="C609" t="str">
        <f t="shared" si="9"/>
        <v>3. $50K-250K</v>
      </c>
      <c r="D609" t="s">
        <v>809</v>
      </c>
      <c r="E609" t="s">
        <v>237</v>
      </c>
      <c r="F609" t="s">
        <v>670</v>
      </c>
      <c r="G609" t="s">
        <v>59</v>
      </c>
      <c r="H609">
        <v>2023</v>
      </c>
    </row>
    <row r="610" spans="1:8" x14ac:dyDescent="0.2">
      <c r="A610">
        <v>177230</v>
      </c>
      <c r="B610">
        <v>140000</v>
      </c>
      <c r="C610" t="str">
        <f t="shared" si="9"/>
        <v>3. $50K-250K</v>
      </c>
      <c r="D610" t="s">
        <v>880</v>
      </c>
      <c r="E610" t="s">
        <v>237</v>
      </c>
      <c r="F610" t="s">
        <v>670</v>
      </c>
      <c r="G610" t="s">
        <v>59</v>
      </c>
      <c r="H610">
        <v>2023</v>
      </c>
    </row>
    <row r="611" spans="1:8" x14ac:dyDescent="0.2">
      <c r="A611">
        <v>177231</v>
      </c>
      <c r="B611">
        <v>195750</v>
      </c>
      <c r="C611" t="str">
        <f t="shared" si="9"/>
        <v>3. $50K-250K</v>
      </c>
      <c r="D611" t="s">
        <v>917</v>
      </c>
      <c r="E611" t="s">
        <v>237</v>
      </c>
      <c r="F611" t="s">
        <v>670</v>
      </c>
      <c r="G611" t="s">
        <v>59</v>
      </c>
      <c r="H611">
        <v>2023</v>
      </c>
    </row>
    <row r="612" spans="1:8" x14ac:dyDescent="0.2">
      <c r="A612">
        <v>177232</v>
      </c>
      <c r="B612">
        <v>143952</v>
      </c>
      <c r="C612" t="str">
        <f t="shared" si="9"/>
        <v>3. $50K-250K</v>
      </c>
      <c r="D612" t="s">
        <v>908</v>
      </c>
      <c r="E612" t="s">
        <v>237</v>
      </c>
      <c r="F612" t="s">
        <v>670</v>
      </c>
      <c r="G612" t="s">
        <v>59</v>
      </c>
      <c r="H612">
        <v>2023</v>
      </c>
    </row>
    <row r="613" spans="1:8" x14ac:dyDescent="0.2">
      <c r="A613">
        <v>177233</v>
      </c>
      <c r="B613">
        <v>140000</v>
      </c>
      <c r="C613" t="str">
        <f t="shared" si="9"/>
        <v>3. $50K-250K</v>
      </c>
      <c r="D613" t="s">
        <v>918</v>
      </c>
      <c r="E613" t="s">
        <v>237</v>
      </c>
      <c r="F613" t="s">
        <v>670</v>
      </c>
      <c r="G613" t="s">
        <v>59</v>
      </c>
      <c r="H613">
        <v>2023</v>
      </c>
    </row>
    <row r="614" spans="1:8" x14ac:dyDescent="0.2">
      <c r="A614">
        <v>177234</v>
      </c>
      <c r="B614">
        <v>140000</v>
      </c>
      <c r="C614" t="str">
        <f t="shared" si="9"/>
        <v>3. $50K-250K</v>
      </c>
      <c r="D614" t="s">
        <v>726</v>
      </c>
      <c r="E614" t="s">
        <v>237</v>
      </c>
      <c r="F614" t="s">
        <v>670</v>
      </c>
      <c r="G614" t="s">
        <v>59</v>
      </c>
      <c r="H614">
        <v>2023</v>
      </c>
    </row>
    <row r="615" spans="1:8" x14ac:dyDescent="0.2">
      <c r="A615">
        <v>177235</v>
      </c>
      <c r="B615">
        <v>140000</v>
      </c>
      <c r="C615" t="str">
        <f t="shared" si="9"/>
        <v>3. $50K-250K</v>
      </c>
      <c r="D615" t="s">
        <v>822</v>
      </c>
      <c r="E615" t="s">
        <v>237</v>
      </c>
      <c r="F615" t="s">
        <v>670</v>
      </c>
      <c r="G615" t="s">
        <v>59</v>
      </c>
      <c r="H615">
        <v>2023</v>
      </c>
    </row>
    <row r="616" spans="1:8" x14ac:dyDescent="0.2">
      <c r="A616">
        <v>177236</v>
      </c>
      <c r="B616">
        <v>309200</v>
      </c>
      <c r="C616" t="str">
        <f t="shared" si="9"/>
        <v>3. $50K-250K</v>
      </c>
      <c r="D616" t="s">
        <v>801</v>
      </c>
      <c r="E616" t="s">
        <v>237</v>
      </c>
      <c r="F616" t="s">
        <v>670</v>
      </c>
      <c r="G616" t="s">
        <v>59</v>
      </c>
      <c r="H616">
        <v>2023</v>
      </c>
    </row>
    <row r="617" spans="1:8" x14ac:dyDescent="0.2">
      <c r="A617">
        <v>177237</v>
      </c>
      <c r="B617">
        <v>140000</v>
      </c>
      <c r="C617" t="str">
        <f t="shared" si="9"/>
        <v>4. $250K-1M</v>
      </c>
      <c r="D617" t="s">
        <v>919</v>
      </c>
      <c r="E617" t="s">
        <v>237</v>
      </c>
      <c r="F617" t="s">
        <v>670</v>
      </c>
      <c r="G617" t="s">
        <v>59</v>
      </c>
      <c r="H617">
        <v>2023</v>
      </c>
    </row>
    <row r="618" spans="1:8" x14ac:dyDescent="0.2">
      <c r="A618">
        <v>177310</v>
      </c>
      <c r="B618">
        <v>25667838.300000001</v>
      </c>
      <c r="C618" t="str">
        <f t="shared" si="9"/>
        <v>3. $50K-250K</v>
      </c>
      <c r="D618" t="s">
        <v>7</v>
      </c>
      <c r="E618" t="s">
        <v>8</v>
      </c>
      <c r="F618" t="s">
        <v>9</v>
      </c>
      <c r="G618" t="s">
        <v>10</v>
      </c>
      <c r="H618">
        <v>2023</v>
      </c>
    </row>
    <row r="619" spans="1:8" x14ac:dyDescent="0.2">
      <c r="A619">
        <v>177372</v>
      </c>
      <c r="B619">
        <v>140000</v>
      </c>
      <c r="C619" t="str">
        <f t="shared" si="9"/>
        <v>5. $1M+</v>
      </c>
      <c r="D619" t="s">
        <v>920</v>
      </c>
      <c r="E619" t="s">
        <v>237</v>
      </c>
      <c r="F619" t="s">
        <v>670</v>
      </c>
      <c r="G619" t="s">
        <v>59</v>
      </c>
      <c r="H619">
        <v>2023</v>
      </c>
    </row>
    <row r="620" spans="1:8" x14ac:dyDescent="0.2">
      <c r="A620">
        <v>177373</v>
      </c>
      <c r="B620">
        <v>105600</v>
      </c>
      <c r="C620" t="str">
        <f t="shared" si="9"/>
        <v>3. $50K-250K</v>
      </c>
      <c r="D620" t="s">
        <v>671</v>
      </c>
      <c r="E620" t="s">
        <v>237</v>
      </c>
      <c r="F620" t="s">
        <v>670</v>
      </c>
      <c r="G620" t="s">
        <v>59</v>
      </c>
      <c r="H620">
        <v>2023</v>
      </c>
    </row>
    <row r="621" spans="1:8" x14ac:dyDescent="0.2">
      <c r="A621">
        <v>177374</v>
      </c>
      <c r="B621">
        <v>160000</v>
      </c>
      <c r="C621" t="str">
        <f t="shared" si="9"/>
        <v>3. $50K-250K</v>
      </c>
      <c r="D621" t="s">
        <v>915</v>
      </c>
      <c r="E621" t="s">
        <v>237</v>
      </c>
      <c r="F621" t="s">
        <v>670</v>
      </c>
      <c r="G621" t="s">
        <v>59</v>
      </c>
      <c r="H621">
        <v>2023</v>
      </c>
    </row>
    <row r="622" spans="1:8" x14ac:dyDescent="0.2">
      <c r="A622">
        <v>177375</v>
      </c>
      <c r="B622">
        <v>178000</v>
      </c>
      <c r="C622" t="str">
        <f t="shared" si="9"/>
        <v>3. $50K-250K</v>
      </c>
      <c r="D622" t="s">
        <v>917</v>
      </c>
      <c r="E622" t="s">
        <v>237</v>
      </c>
      <c r="F622" t="s">
        <v>670</v>
      </c>
      <c r="G622" t="s">
        <v>59</v>
      </c>
      <c r="H622">
        <v>2023</v>
      </c>
    </row>
    <row r="623" spans="1:8" x14ac:dyDescent="0.2">
      <c r="A623">
        <v>177376</v>
      </c>
      <c r="B623">
        <v>174000</v>
      </c>
      <c r="C623" t="str">
        <f t="shared" si="9"/>
        <v>3. $50K-250K</v>
      </c>
      <c r="D623" t="s">
        <v>912</v>
      </c>
      <c r="E623" t="s">
        <v>237</v>
      </c>
      <c r="F623" t="s">
        <v>670</v>
      </c>
      <c r="G623" t="s">
        <v>59</v>
      </c>
      <c r="H623">
        <v>2023</v>
      </c>
    </row>
    <row r="624" spans="1:8" x14ac:dyDescent="0.2">
      <c r="A624">
        <v>177377</v>
      </c>
      <c r="B624">
        <v>172800</v>
      </c>
      <c r="C624" t="str">
        <f t="shared" si="9"/>
        <v>3. $50K-250K</v>
      </c>
      <c r="D624" t="s">
        <v>809</v>
      </c>
      <c r="E624" t="s">
        <v>237</v>
      </c>
      <c r="F624" t="s">
        <v>670</v>
      </c>
      <c r="G624" t="s">
        <v>59</v>
      </c>
      <c r="H624">
        <v>2023</v>
      </c>
    </row>
    <row r="625" spans="1:8" x14ac:dyDescent="0.2">
      <c r="A625">
        <v>177378</v>
      </c>
      <c r="B625">
        <v>405600</v>
      </c>
      <c r="C625" t="str">
        <f t="shared" si="9"/>
        <v>3. $50K-250K</v>
      </c>
      <c r="D625" t="s">
        <v>921</v>
      </c>
      <c r="E625" t="s">
        <v>237</v>
      </c>
      <c r="F625" t="s">
        <v>670</v>
      </c>
      <c r="G625" t="s">
        <v>59</v>
      </c>
      <c r="H625">
        <v>2023</v>
      </c>
    </row>
    <row r="626" spans="1:8" x14ac:dyDescent="0.2">
      <c r="A626">
        <v>177379</v>
      </c>
      <c r="B626">
        <v>171560</v>
      </c>
      <c r="C626" t="str">
        <f t="shared" si="9"/>
        <v>4. $250K-1M</v>
      </c>
      <c r="D626" t="s">
        <v>922</v>
      </c>
      <c r="E626" t="s">
        <v>237</v>
      </c>
      <c r="F626" t="s">
        <v>670</v>
      </c>
      <c r="G626" t="s">
        <v>59</v>
      </c>
      <c r="H626">
        <v>2023</v>
      </c>
    </row>
    <row r="627" spans="1:8" x14ac:dyDescent="0.2">
      <c r="A627">
        <v>177380</v>
      </c>
      <c r="B627">
        <v>105600</v>
      </c>
      <c r="C627" t="str">
        <f t="shared" si="9"/>
        <v>3. $50K-250K</v>
      </c>
      <c r="D627" t="s">
        <v>923</v>
      </c>
      <c r="E627" t="s">
        <v>237</v>
      </c>
      <c r="F627" t="s">
        <v>670</v>
      </c>
      <c r="G627" t="s">
        <v>59</v>
      </c>
      <c r="H627">
        <v>2023</v>
      </c>
    </row>
    <row r="628" spans="1:8" x14ac:dyDescent="0.2">
      <c r="A628">
        <v>177381</v>
      </c>
      <c r="B628">
        <v>2105600</v>
      </c>
      <c r="C628" t="str">
        <f t="shared" si="9"/>
        <v>3. $50K-250K</v>
      </c>
      <c r="D628" t="s">
        <v>924</v>
      </c>
      <c r="E628" t="s">
        <v>237</v>
      </c>
      <c r="F628" t="s">
        <v>670</v>
      </c>
      <c r="G628" t="s">
        <v>59</v>
      </c>
      <c r="H628">
        <v>2023</v>
      </c>
    </row>
    <row r="629" spans="1:8" x14ac:dyDescent="0.2">
      <c r="A629">
        <v>177382</v>
      </c>
      <c r="B629">
        <v>172800</v>
      </c>
      <c r="C629" t="str">
        <f t="shared" si="9"/>
        <v>5. $1M+</v>
      </c>
      <c r="D629" t="s">
        <v>726</v>
      </c>
      <c r="E629" t="s">
        <v>237</v>
      </c>
      <c r="F629" t="s">
        <v>670</v>
      </c>
      <c r="G629" t="s">
        <v>59</v>
      </c>
      <c r="H629">
        <v>2023</v>
      </c>
    </row>
    <row r="630" spans="1:8" x14ac:dyDescent="0.2">
      <c r="A630">
        <v>177383</v>
      </c>
      <c r="B630">
        <v>110000</v>
      </c>
      <c r="C630" t="str">
        <f t="shared" si="9"/>
        <v>3. $50K-250K</v>
      </c>
      <c r="D630" t="s">
        <v>909</v>
      </c>
      <c r="E630" t="s">
        <v>237</v>
      </c>
      <c r="F630" t="s">
        <v>670</v>
      </c>
      <c r="G630" t="s">
        <v>59</v>
      </c>
      <c r="H630">
        <v>2023</v>
      </c>
    </row>
    <row r="631" spans="1:8" x14ac:dyDescent="0.2">
      <c r="A631">
        <v>177384</v>
      </c>
      <c r="B631">
        <v>200000</v>
      </c>
      <c r="C631" t="str">
        <f t="shared" si="9"/>
        <v>3. $50K-250K</v>
      </c>
      <c r="D631" t="s">
        <v>925</v>
      </c>
      <c r="E631" t="s">
        <v>237</v>
      </c>
      <c r="F631" t="s">
        <v>670</v>
      </c>
      <c r="G631" t="s">
        <v>59</v>
      </c>
      <c r="H631">
        <v>2023</v>
      </c>
    </row>
    <row r="632" spans="1:8" x14ac:dyDescent="0.2">
      <c r="A632">
        <v>177385</v>
      </c>
      <c r="B632">
        <v>140000</v>
      </c>
      <c r="C632" t="str">
        <f t="shared" si="9"/>
        <v>3. $50K-250K</v>
      </c>
      <c r="D632" t="s">
        <v>911</v>
      </c>
      <c r="E632" t="s">
        <v>237</v>
      </c>
      <c r="F632" t="s">
        <v>670</v>
      </c>
      <c r="G632" t="s">
        <v>59</v>
      </c>
      <c r="H632">
        <v>2023</v>
      </c>
    </row>
    <row r="633" spans="1:8" x14ac:dyDescent="0.2">
      <c r="A633">
        <v>177387</v>
      </c>
      <c r="B633">
        <v>180000</v>
      </c>
      <c r="C633" t="str">
        <f t="shared" si="9"/>
        <v>3. $50K-250K</v>
      </c>
      <c r="D633" t="s">
        <v>908</v>
      </c>
      <c r="E633" t="s">
        <v>237</v>
      </c>
      <c r="F633" t="s">
        <v>670</v>
      </c>
      <c r="G633" t="s">
        <v>59</v>
      </c>
      <c r="H633">
        <v>2023</v>
      </c>
    </row>
    <row r="634" spans="1:8" x14ac:dyDescent="0.2">
      <c r="A634">
        <v>177388</v>
      </c>
      <c r="B634">
        <v>130000</v>
      </c>
      <c r="C634" t="str">
        <f t="shared" si="9"/>
        <v>3. $50K-250K</v>
      </c>
      <c r="D634" t="s">
        <v>812</v>
      </c>
      <c r="E634" t="s">
        <v>237</v>
      </c>
      <c r="F634" t="s">
        <v>670</v>
      </c>
      <c r="G634" t="s">
        <v>59</v>
      </c>
      <c r="H634">
        <v>2023</v>
      </c>
    </row>
    <row r="635" spans="1:8" x14ac:dyDescent="0.2">
      <c r="A635">
        <v>177389</v>
      </c>
      <c r="B635">
        <v>105600</v>
      </c>
      <c r="C635" t="str">
        <f t="shared" si="9"/>
        <v>3. $50K-250K</v>
      </c>
      <c r="D635" t="s">
        <v>861</v>
      </c>
      <c r="E635" t="s">
        <v>237</v>
      </c>
      <c r="F635" t="s">
        <v>670</v>
      </c>
      <c r="G635" t="s">
        <v>59</v>
      </c>
      <c r="H635">
        <v>2023</v>
      </c>
    </row>
    <row r="636" spans="1:8" x14ac:dyDescent="0.2">
      <c r="A636">
        <v>177390</v>
      </c>
      <c r="B636">
        <v>105600</v>
      </c>
      <c r="C636" t="str">
        <f t="shared" si="9"/>
        <v>3. $50K-250K</v>
      </c>
      <c r="D636" t="s">
        <v>696</v>
      </c>
      <c r="E636" t="s">
        <v>237</v>
      </c>
      <c r="F636" t="s">
        <v>670</v>
      </c>
      <c r="G636" t="s">
        <v>59</v>
      </c>
      <c r="H636">
        <v>2023</v>
      </c>
    </row>
    <row r="637" spans="1:8" x14ac:dyDescent="0.2">
      <c r="A637">
        <v>177391</v>
      </c>
      <c r="B637">
        <v>105600</v>
      </c>
      <c r="C637" t="str">
        <f t="shared" si="9"/>
        <v>3. $50K-250K</v>
      </c>
      <c r="D637" t="s">
        <v>701</v>
      </c>
      <c r="E637" t="s">
        <v>237</v>
      </c>
      <c r="F637" t="s">
        <v>670</v>
      </c>
      <c r="G637" t="s">
        <v>59</v>
      </c>
      <c r="H637">
        <v>2023</v>
      </c>
    </row>
    <row r="638" spans="1:8" x14ac:dyDescent="0.2">
      <c r="A638">
        <v>177392</v>
      </c>
      <c r="B638">
        <v>469200</v>
      </c>
      <c r="C638" t="str">
        <f t="shared" si="9"/>
        <v>3. $50K-250K</v>
      </c>
      <c r="D638" t="s">
        <v>749</v>
      </c>
      <c r="E638" t="s">
        <v>237</v>
      </c>
      <c r="F638" t="s">
        <v>670</v>
      </c>
      <c r="G638" t="s">
        <v>59</v>
      </c>
      <c r="H638">
        <v>2023</v>
      </c>
    </row>
    <row r="639" spans="1:8" x14ac:dyDescent="0.2">
      <c r="A639">
        <v>177393</v>
      </c>
      <c r="B639">
        <v>116320</v>
      </c>
      <c r="C639" t="str">
        <f t="shared" si="9"/>
        <v>4. $250K-1M</v>
      </c>
      <c r="D639" t="s">
        <v>926</v>
      </c>
      <c r="E639" t="s">
        <v>237</v>
      </c>
      <c r="F639" t="s">
        <v>670</v>
      </c>
      <c r="G639" t="s">
        <v>59</v>
      </c>
      <c r="H639">
        <v>2023</v>
      </c>
    </row>
    <row r="640" spans="1:8" x14ac:dyDescent="0.2">
      <c r="A640">
        <v>177394</v>
      </c>
      <c r="B640">
        <v>150000</v>
      </c>
      <c r="C640" t="str">
        <f t="shared" si="9"/>
        <v>3. $50K-250K</v>
      </c>
      <c r="D640" t="s">
        <v>880</v>
      </c>
      <c r="E640" t="s">
        <v>237</v>
      </c>
      <c r="F640" t="s">
        <v>670</v>
      </c>
      <c r="G640" t="s">
        <v>59</v>
      </c>
      <c r="H640">
        <v>2023</v>
      </c>
    </row>
    <row r="641" spans="1:8" x14ac:dyDescent="0.2">
      <c r="A641">
        <v>177396</v>
      </c>
      <c r="B641">
        <v>167400</v>
      </c>
      <c r="C641" t="str">
        <f t="shared" si="9"/>
        <v>3. $50K-250K</v>
      </c>
      <c r="D641" t="s">
        <v>927</v>
      </c>
      <c r="E641" t="s">
        <v>237</v>
      </c>
      <c r="F641" t="s">
        <v>670</v>
      </c>
      <c r="G641" t="s">
        <v>59</v>
      </c>
      <c r="H641">
        <v>2023</v>
      </c>
    </row>
    <row r="642" spans="1:8" x14ac:dyDescent="0.2">
      <c r="A642">
        <v>177397</v>
      </c>
      <c r="B642">
        <v>250000</v>
      </c>
      <c r="C642" t="str">
        <f t="shared" si="9"/>
        <v>3. $50K-250K</v>
      </c>
      <c r="D642" t="s">
        <v>928</v>
      </c>
      <c r="E642" t="s">
        <v>237</v>
      </c>
      <c r="F642" t="s">
        <v>670</v>
      </c>
      <c r="G642" t="s">
        <v>59</v>
      </c>
      <c r="H642">
        <v>2023</v>
      </c>
    </row>
    <row r="643" spans="1:8" x14ac:dyDescent="0.2">
      <c r="A643">
        <v>177398</v>
      </c>
      <c r="B643">
        <v>110048</v>
      </c>
      <c r="C643" t="str">
        <f t="shared" ref="C643:C706" si="10">IF(B642&lt;10000,"1. Under $10K",IF(B642&lt;50000,"2. $10K-50K",IF(B642&lt;250000,"3. $50K-250K",IF(B642&lt;1000000,"4. $250K-1M","5. $1M+"))))</f>
        <v>4. $250K-1M</v>
      </c>
      <c r="D643" t="s">
        <v>929</v>
      </c>
      <c r="E643" t="s">
        <v>237</v>
      </c>
      <c r="F643" t="s">
        <v>670</v>
      </c>
      <c r="G643" t="s">
        <v>59</v>
      </c>
      <c r="H643">
        <v>2023</v>
      </c>
    </row>
    <row r="644" spans="1:8" x14ac:dyDescent="0.2">
      <c r="A644">
        <v>177400</v>
      </c>
      <c r="B644">
        <v>105600</v>
      </c>
      <c r="C644" t="str">
        <f t="shared" si="10"/>
        <v>3. $50K-250K</v>
      </c>
      <c r="D644" t="s">
        <v>907</v>
      </c>
      <c r="E644" t="s">
        <v>237</v>
      </c>
      <c r="F644" t="s">
        <v>670</v>
      </c>
      <c r="G644" t="s">
        <v>59</v>
      </c>
      <c r="H644">
        <v>2023</v>
      </c>
    </row>
    <row r="645" spans="1:8" x14ac:dyDescent="0.2">
      <c r="A645">
        <v>177401</v>
      </c>
      <c r="B645">
        <v>105600</v>
      </c>
      <c r="C645" t="str">
        <f t="shared" si="10"/>
        <v>3. $50K-250K</v>
      </c>
      <c r="D645" t="s">
        <v>803</v>
      </c>
      <c r="E645" t="s">
        <v>237</v>
      </c>
      <c r="F645" t="s">
        <v>670</v>
      </c>
      <c r="G645" t="s">
        <v>59</v>
      </c>
      <c r="H645">
        <v>2023</v>
      </c>
    </row>
    <row r="646" spans="1:8" x14ac:dyDescent="0.2">
      <c r="A646">
        <v>177402</v>
      </c>
      <c r="B646">
        <v>105600</v>
      </c>
      <c r="C646" t="str">
        <f t="shared" si="10"/>
        <v>3. $50K-250K</v>
      </c>
      <c r="D646" t="s">
        <v>916</v>
      </c>
      <c r="E646" t="s">
        <v>237</v>
      </c>
      <c r="F646" t="s">
        <v>670</v>
      </c>
      <c r="G646" t="s">
        <v>59</v>
      </c>
      <c r="H646">
        <v>2023</v>
      </c>
    </row>
    <row r="647" spans="1:8" x14ac:dyDescent="0.2">
      <c r="A647">
        <v>177403</v>
      </c>
      <c r="B647">
        <v>105600</v>
      </c>
      <c r="C647" t="str">
        <f t="shared" si="10"/>
        <v>3. $50K-250K</v>
      </c>
      <c r="D647" t="s">
        <v>801</v>
      </c>
      <c r="E647" t="s">
        <v>237</v>
      </c>
      <c r="F647" t="s">
        <v>670</v>
      </c>
      <c r="G647" t="s">
        <v>59</v>
      </c>
      <c r="H647">
        <v>2023</v>
      </c>
    </row>
    <row r="648" spans="1:8" x14ac:dyDescent="0.2">
      <c r="A648">
        <v>177404</v>
      </c>
      <c r="B648">
        <v>105600</v>
      </c>
      <c r="C648" t="str">
        <f t="shared" si="10"/>
        <v>3. $50K-250K</v>
      </c>
      <c r="D648" t="s">
        <v>822</v>
      </c>
      <c r="E648" t="s">
        <v>237</v>
      </c>
      <c r="F648" t="s">
        <v>670</v>
      </c>
      <c r="G648" t="s">
        <v>59</v>
      </c>
      <c r="H648">
        <v>2023</v>
      </c>
    </row>
    <row r="649" spans="1:8" x14ac:dyDescent="0.2">
      <c r="A649">
        <v>177405</v>
      </c>
      <c r="B649">
        <v>105600</v>
      </c>
      <c r="C649" t="str">
        <f t="shared" si="10"/>
        <v>3. $50K-250K</v>
      </c>
      <c r="D649" t="s">
        <v>871</v>
      </c>
      <c r="E649" t="s">
        <v>237</v>
      </c>
      <c r="F649" t="s">
        <v>670</v>
      </c>
      <c r="G649" t="s">
        <v>59</v>
      </c>
      <c r="H649">
        <v>2023</v>
      </c>
    </row>
    <row r="650" spans="1:8" x14ac:dyDescent="0.2">
      <c r="A650">
        <v>177406</v>
      </c>
      <c r="B650">
        <v>105600</v>
      </c>
      <c r="C650" t="str">
        <f t="shared" si="10"/>
        <v>3. $50K-250K</v>
      </c>
      <c r="D650" t="s">
        <v>930</v>
      </c>
      <c r="E650" t="s">
        <v>237</v>
      </c>
      <c r="F650" t="s">
        <v>670</v>
      </c>
      <c r="G650" t="s">
        <v>59</v>
      </c>
      <c r="H650">
        <v>2023</v>
      </c>
    </row>
    <row r="651" spans="1:8" x14ac:dyDescent="0.2">
      <c r="A651">
        <v>177407</v>
      </c>
      <c r="B651">
        <v>105600</v>
      </c>
      <c r="C651" t="str">
        <f t="shared" si="10"/>
        <v>3. $50K-250K</v>
      </c>
      <c r="D651" t="s">
        <v>931</v>
      </c>
      <c r="E651" t="s">
        <v>237</v>
      </c>
      <c r="F651" t="s">
        <v>670</v>
      </c>
      <c r="G651" t="s">
        <v>59</v>
      </c>
      <c r="H651">
        <v>2023</v>
      </c>
    </row>
    <row r="652" spans="1:8" x14ac:dyDescent="0.2">
      <c r="A652">
        <v>177408</v>
      </c>
      <c r="B652">
        <v>105600</v>
      </c>
      <c r="C652" t="str">
        <f t="shared" si="10"/>
        <v>3. $50K-250K</v>
      </c>
      <c r="D652" t="s">
        <v>694</v>
      </c>
      <c r="E652" t="s">
        <v>237</v>
      </c>
      <c r="F652" t="s">
        <v>670</v>
      </c>
      <c r="G652" t="s">
        <v>59</v>
      </c>
      <c r="H652">
        <v>2023</v>
      </c>
    </row>
    <row r="653" spans="1:8" x14ac:dyDescent="0.2">
      <c r="A653">
        <v>177409</v>
      </c>
      <c r="B653">
        <v>105600</v>
      </c>
      <c r="C653" t="str">
        <f t="shared" si="10"/>
        <v>3. $50K-250K</v>
      </c>
      <c r="D653" t="s">
        <v>869</v>
      </c>
      <c r="E653" t="s">
        <v>237</v>
      </c>
      <c r="F653" t="s">
        <v>670</v>
      </c>
      <c r="G653" t="s">
        <v>59</v>
      </c>
      <c r="H653">
        <v>2023</v>
      </c>
    </row>
    <row r="654" spans="1:8" x14ac:dyDescent="0.2">
      <c r="A654">
        <v>177412</v>
      </c>
      <c r="B654">
        <v>271408</v>
      </c>
      <c r="C654" t="str">
        <f t="shared" si="10"/>
        <v>3. $50K-250K</v>
      </c>
      <c r="D654" t="s">
        <v>671</v>
      </c>
      <c r="E654" t="s">
        <v>237</v>
      </c>
      <c r="F654" t="s">
        <v>670</v>
      </c>
      <c r="G654" t="s">
        <v>59</v>
      </c>
      <c r="H654">
        <v>2023</v>
      </c>
    </row>
    <row r="655" spans="1:8" x14ac:dyDescent="0.2">
      <c r="A655">
        <v>177414</v>
      </c>
      <c r="B655">
        <v>272936</v>
      </c>
      <c r="C655" t="str">
        <f t="shared" si="10"/>
        <v>4. $250K-1M</v>
      </c>
      <c r="D655" t="s">
        <v>932</v>
      </c>
      <c r="E655" t="s">
        <v>237</v>
      </c>
      <c r="F655" t="s">
        <v>670</v>
      </c>
      <c r="G655" t="s">
        <v>59</v>
      </c>
      <c r="H655">
        <v>2023</v>
      </c>
    </row>
    <row r="656" spans="1:8" x14ac:dyDescent="0.2">
      <c r="A656">
        <v>177415</v>
      </c>
      <c r="B656">
        <v>180000</v>
      </c>
      <c r="C656" t="str">
        <f t="shared" si="10"/>
        <v>4. $250K-1M</v>
      </c>
      <c r="D656" t="s">
        <v>917</v>
      </c>
      <c r="E656" t="s">
        <v>237</v>
      </c>
      <c r="F656" t="s">
        <v>670</v>
      </c>
      <c r="G656" t="s">
        <v>59</v>
      </c>
      <c r="H656">
        <v>2023</v>
      </c>
    </row>
    <row r="657" spans="1:8" x14ac:dyDescent="0.2">
      <c r="A657">
        <v>177416</v>
      </c>
      <c r="B657">
        <v>180000</v>
      </c>
      <c r="C657" t="str">
        <f t="shared" si="10"/>
        <v>3. $50K-250K</v>
      </c>
      <c r="D657" t="s">
        <v>822</v>
      </c>
      <c r="E657" t="s">
        <v>237</v>
      </c>
      <c r="F657" t="s">
        <v>670</v>
      </c>
      <c r="G657" t="s">
        <v>59</v>
      </c>
      <c r="H657">
        <v>2023</v>
      </c>
    </row>
    <row r="658" spans="1:8" x14ac:dyDescent="0.2">
      <c r="A658">
        <v>177417</v>
      </c>
      <c r="B658">
        <v>278334</v>
      </c>
      <c r="C658" t="str">
        <f t="shared" si="10"/>
        <v>3. $50K-250K</v>
      </c>
      <c r="D658" t="s">
        <v>881</v>
      </c>
      <c r="E658" t="s">
        <v>237</v>
      </c>
      <c r="F658" t="s">
        <v>670</v>
      </c>
      <c r="G658" t="s">
        <v>59</v>
      </c>
      <c r="H658">
        <v>2023</v>
      </c>
    </row>
    <row r="659" spans="1:8" x14ac:dyDescent="0.2">
      <c r="A659">
        <v>177418</v>
      </c>
      <c r="B659">
        <v>335320</v>
      </c>
      <c r="C659" t="str">
        <f t="shared" si="10"/>
        <v>4. $250K-1M</v>
      </c>
      <c r="D659" t="s">
        <v>829</v>
      </c>
      <c r="E659" t="s">
        <v>237</v>
      </c>
      <c r="F659" t="s">
        <v>670</v>
      </c>
      <c r="G659" t="s">
        <v>59</v>
      </c>
      <c r="H659">
        <v>2023</v>
      </c>
    </row>
    <row r="660" spans="1:8" x14ac:dyDescent="0.2">
      <c r="A660">
        <v>177419</v>
      </c>
      <c r="B660">
        <v>180000</v>
      </c>
      <c r="C660" t="str">
        <f t="shared" si="10"/>
        <v>4. $250K-1M</v>
      </c>
      <c r="D660" t="s">
        <v>930</v>
      </c>
      <c r="E660" t="s">
        <v>237</v>
      </c>
      <c r="F660" t="s">
        <v>670</v>
      </c>
      <c r="G660" t="s">
        <v>59</v>
      </c>
      <c r="H660">
        <v>2023</v>
      </c>
    </row>
    <row r="661" spans="1:8" x14ac:dyDescent="0.2">
      <c r="A661">
        <v>177420</v>
      </c>
      <c r="B661">
        <v>180000</v>
      </c>
      <c r="C661" t="str">
        <f t="shared" si="10"/>
        <v>3. $50K-250K</v>
      </c>
      <c r="D661" t="s">
        <v>916</v>
      </c>
      <c r="E661" t="s">
        <v>237</v>
      </c>
      <c r="F661" t="s">
        <v>670</v>
      </c>
      <c r="G661" t="s">
        <v>59</v>
      </c>
      <c r="H661">
        <v>2023</v>
      </c>
    </row>
    <row r="662" spans="1:8" x14ac:dyDescent="0.2">
      <c r="A662">
        <v>177421</v>
      </c>
      <c r="B662">
        <v>210640</v>
      </c>
      <c r="C662" t="str">
        <f t="shared" si="10"/>
        <v>3. $50K-250K</v>
      </c>
      <c r="D662" t="s">
        <v>915</v>
      </c>
      <c r="E662" t="s">
        <v>237</v>
      </c>
      <c r="F662" t="s">
        <v>670</v>
      </c>
      <c r="G662" t="s">
        <v>59</v>
      </c>
      <c r="H662">
        <v>2023</v>
      </c>
    </row>
    <row r="663" spans="1:8" x14ac:dyDescent="0.2">
      <c r="A663">
        <v>177422</v>
      </c>
      <c r="B663">
        <v>180000</v>
      </c>
      <c r="C663" t="str">
        <f t="shared" si="10"/>
        <v>3. $50K-250K</v>
      </c>
      <c r="D663" t="s">
        <v>801</v>
      </c>
      <c r="E663" t="s">
        <v>237</v>
      </c>
      <c r="F663" t="s">
        <v>670</v>
      </c>
      <c r="G663" t="s">
        <v>59</v>
      </c>
      <c r="H663">
        <v>2023</v>
      </c>
    </row>
    <row r="664" spans="1:8" x14ac:dyDescent="0.2">
      <c r="A664">
        <v>177423</v>
      </c>
      <c r="B664">
        <v>180000</v>
      </c>
      <c r="C664" t="str">
        <f t="shared" si="10"/>
        <v>3. $50K-250K</v>
      </c>
      <c r="D664" t="s">
        <v>749</v>
      </c>
      <c r="E664" t="s">
        <v>237</v>
      </c>
      <c r="F664" t="s">
        <v>670</v>
      </c>
      <c r="G664" t="s">
        <v>59</v>
      </c>
      <c r="H664">
        <v>2024</v>
      </c>
    </row>
    <row r="665" spans="1:8" x14ac:dyDescent="0.2">
      <c r="A665">
        <v>177424</v>
      </c>
      <c r="B665">
        <v>180000</v>
      </c>
      <c r="C665" t="str">
        <f t="shared" si="10"/>
        <v>3. $50K-250K</v>
      </c>
      <c r="D665" t="s">
        <v>726</v>
      </c>
      <c r="E665" t="s">
        <v>237</v>
      </c>
      <c r="F665" t="s">
        <v>670</v>
      </c>
      <c r="G665" t="s">
        <v>59</v>
      </c>
      <c r="H665">
        <v>2023</v>
      </c>
    </row>
    <row r="666" spans="1:8" x14ac:dyDescent="0.2">
      <c r="A666">
        <v>177425</v>
      </c>
      <c r="B666">
        <v>180000</v>
      </c>
      <c r="C666" t="str">
        <f t="shared" si="10"/>
        <v>3. $50K-250K</v>
      </c>
      <c r="D666" t="s">
        <v>933</v>
      </c>
      <c r="E666" t="s">
        <v>237</v>
      </c>
      <c r="F666" t="s">
        <v>670</v>
      </c>
      <c r="G666" t="s">
        <v>59</v>
      </c>
      <c r="H666">
        <v>2023</v>
      </c>
    </row>
    <row r="667" spans="1:8" x14ac:dyDescent="0.2">
      <c r="A667">
        <v>177426</v>
      </c>
      <c r="B667">
        <v>180000</v>
      </c>
      <c r="C667" t="str">
        <f t="shared" si="10"/>
        <v>3. $50K-250K</v>
      </c>
      <c r="D667" t="s">
        <v>507</v>
      </c>
      <c r="E667" t="s">
        <v>237</v>
      </c>
      <c r="F667" t="s">
        <v>670</v>
      </c>
      <c r="G667" t="s">
        <v>59</v>
      </c>
      <c r="H667">
        <v>2023</v>
      </c>
    </row>
    <row r="668" spans="1:8" x14ac:dyDescent="0.2">
      <c r="A668">
        <v>177427</v>
      </c>
      <c r="B668">
        <v>225490</v>
      </c>
      <c r="C668" t="str">
        <f t="shared" si="10"/>
        <v>3. $50K-250K</v>
      </c>
      <c r="D668" t="s">
        <v>694</v>
      </c>
      <c r="E668" t="s">
        <v>237</v>
      </c>
      <c r="F668" t="s">
        <v>670</v>
      </c>
      <c r="G668" t="s">
        <v>59</v>
      </c>
      <c r="H668">
        <v>2023</v>
      </c>
    </row>
    <row r="669" spans="1:8" x14ac:dyDescent="0.2">
      <c r="A669">
        <v>177428</v>
      </c>
      <c r="B669">
        <v>252710</v>
      </c>
      <c r="C669" t="str">
        <f t="shared" si="10"/>
        <v>3. $50K-250K</v>
      </c>
      <c r="D669" t="s">
        <v>711</v>
      </c>
      <c r="E669" t="s">
        <v>237</v>
      </c>
      <c r="F669" t="s">
        <v>670</v>
      </c>
      <c r="G669" t="s">
        <v>59</v>
      </c>
      <c r="H669">
        <v>2023</v>
      </c>
    </row>
    <row r="670" spans="1:8" x14ac:dyDescent="0.2">
      <c r="A670">
        <v>177429</v>
      </c>
      <c r="B670">
        <v>350544</v>
      </c>
      <c r="C670" t="str">
        <f t="shared" si="10"/>
        <v>4. $250K-1M</v>
      </c>
      <c r="D670" t="s">
        <v>925</v>
      </c>
      <c r="E670" t="s">
        <v>237</v>
      </c>
      <c r="F670" t="s">
        <v>670</v>
      </c>
      <c r="G670" t="s">
        <v>59</v>
      </c>
      <c r="H670">
        <v>2023</v>
      </c>
    </row>
    <row r="671" spans="1:8" x14ac:dyDescent="0.2">
      <c r="A671">
        <v>177528</v>
      </c>
      <c r="B671">
        <v>355574</v>
      </c>
      <c r="C671" t="str">
        <f t="shared" si="10"/>
        <v>4. $250K-1M</v>
      </c>
      <c r="D671" t="s">
        <v>856</v>
      </c>
      <c r="E671" t="s">
        <v>237</v>
      </c>
      <c r="F671" t="s">
        <v>670</v>
      </c>
      <c r="G671" t="s">
        <v>59</v>
      </c>
      <c r="H671">
        <v>2023</v>
      </c>
    </row>
    <row r="672" spans="1:8" x14ac:dyDescent="0.2">
      <c r="A672">
        <v>177529</v>
      </c>
      <c r="B672">
        <v>283200</v>
      </c>
      <c r="C672" t="str">
        <f t="shared" si="10"/>
        <v>4. $250K-1M</v>
      </c>
      <c r="D672" t="s">
        <v>934</v>
      </c>
      <c r="E672" t="s">
        <v>237</v>
      </c>
      <c r="F672" t="s">
        <v>670</v>
      </c>
      <c r="G672" t="s">
        <v>59</v>
      </c>
      <c r="H672">
        <v>2023</v>
      </c>
    </row>
    <row r="673" spans="1:8" x14ac:dyDescent="0.2">
      <c r="A673">
        <v>177530</v>
      </c>
      <c r="B673">
        <v>390660</v>
      </c>
      <c r="C673" t="str">
        <f t="shared" si="10"/>
        <v>4. $250K-1M</v>
      </c>
      <c r="D673" t="s">
        <v>922</v>
      </c>
      <c r="E673" t="s">
        <v>237</v>
      </c>
      <c r="F673" t="s">
        <v>670</v>
      </c>
      <c r="G673" t="s">
        <v>59</v>
      </c>
      <c r="H673">
        <v>2023</v>
      </c>
    </row>
    <row r="674" spans="1:8" x14ac:dyDescent="0.2">
      <c r="A674">
        <v>177532</v>
      </c>
      <c r="B674">
        <v>312800</v>
      </c>
      <c r="C674" t="str">
        <f t="shared" si="10"/>
        <v>4. $250K-1M</v>
      </c>
      <c r="D674" t="s">
        <v>912</v>
      </c>
      <c r="E674" t="s">
        <v>237</v>
      </c>
      <c r="F674" t="s">
        <v>670</v>
      </c>
      <c r="G674" t="s">
        <v>59</v>
      </c>
      <c r="H674">
        <v>2023</v>
      </c>
    </row>
    <row r="675" spans="1:8" x14ac:dyDescent="0.2">
      <c r="A675">
        <v>177533</v>
      </c>
      <c r="B675">
        <v>511082</v>
      </c>
      <c r="C675" t="str">
        <f t="shared" si="10"/>
        <v>4. $250K-1M</v>
      </c>
      <c r="D675" t="s">
        <v>935</v>
      </c>
      <c r="E675" t="s">
        <v>237</v>
      </c>
      <c r="F675" t="s">
        <v>670</v>
      </c>
      <c r="G675" t="s">
        <v>59</v>
      </c>
      <c r="H675">
        <v>2023</v>
      </c>
    </row>
    <row r="676" spans="1:8" x14ac:dyDescent="0.2">
      <c r="A676">
        <v>177534</v>
      </c>
      <c r="B676">
        <v>310110</v>
      </c>
      <c r="C676" t="str">
        <f t="shared" si="10"/>
        <v>4. $250K-1M</v>
      </c>
      <c r="D676" t="s">
        <v>928</v>
      </c>
      <c r="E676" t="s">
        <v>237</v>
      </c>
      <c r="F676" t="s">
        <v>670</v>
      </c>
      <c r="G676" t="s">
        <v>59</v>
      </c>
      <c r="H676">
        <v>2023</v>
      </c>
    </row>
    <row r="677" spans="1:8" x14ac:dyDescent="0.2">
      <c r="A677">
        <v>177535</v>
      </c>
      <c r="B677">
        <v>197660</v>
      </c>
      <c r="C677" t="str">
        <f t="shared" si="10"/>
        <v>4. $250K-1M</v>
      </c>
      <c r="D677" t="s">
        <v>908</v>
      </c>
      <c r="E677" t="s">
        <v>237</v>
      </c>
      <c r="F677" t="s">
        <v>670</v>
      </c>
      <c r="G677" t="s">
        <v>59</v>
      </c>
      <c r="H677">
        <v>2023</v>
      </c>
    </row>
    <row r="678" spans="1:8" x14ac:dyDescent="0.2">
      <c r="A678">
        <v>177696</v>
      </c>
      <c r="B678">
        <v>1305600</v>
      </c>
      <c r="C678" t="str">
        <f t="shared" si="10"/>
        <v>3. $50K-250K</v>
      </c>
      <c r="D678" t="s">
        <v>921</v>
      </c>
      <c r="E678" t="s">
        <v>237</v>
      </c>
      <c r="F678" t="s">
        <v>670</v>
      </c>
      <c r="G678" t="s">
        <v>59</v>
      </c>
      <c r="H678">
        <v>2023</v>
      </c>
    </row>
    <row r="679" spans="1:8" x14ac:dyDescent="0.2">
      <c r="A679">
        <v>177750</v>
      </c>
      <c r="B679">
        <v>118770</v>
      </c>
      <c r="C679" t="str">
        <f t="shared" si="10"/>
        <v>5. $1M+</v>
      </c>
      <c r="D679" t="s">
        <v>936</v>
      </c>
      <c r="E679" t="s">
        <v>237</v>
      </c>
      <c r="F679" t="s">
        <v>670</v>
      </c>
      <c r="G679" t="s">
        <v>59</v>
      </c>
      <c r="H679">
        <v>2023</v>
      </c>
    </row>
    <row r="680" spans="1:8" x14ac:dyDescent="0.2">
      <c r="A680">
        <v>177751</v>
      </c>
      <c r="B680">
        <v>283746</v>
      </c>
      <c r="C680" t="str">
        <f t="shared" si="10"/>
        <v>3. $50K-250K</v>
      </c>
      <c r="D680" t="s">
        <v>870</v>
      </c>
      <c r="E680" t="s">
        <v>237</v>
      </c>
      <c r="F680" t="s">
        <v>670</v>
      </c>
      <c r="G680" t="s">
        <v>59</v>
      </c>
      <c r="H680">
        <v>2023</v>
      </c>
    </row>
    <row r="681" spans="1:8" x14ac:dyDescent="0.2">
      <c r="A681">
        <v>177754</v>
      </c>
      <c r="B681">
        <v>87200</v>
      </c>
      <c r="C681" t="str">
        <f t="shared" si="10"/>
        <v>4. $250K-1M</v>
      </c>
      <c r="D681" t="s">
        <v>782</v>
      </c>
      <c r="E681" t="s">
        <v>237</v>
      </c>
      <c r="F681" t="s">
        <v>670</v>
      </c>
      <c r="G681" t="s">
        <v>59</v>
      </c>
      <c r="H681">
        <v>2023</v>
      </c>
    </row>
    <row r="682" spans="1:8" x14ac:dyDescent="0.2">
      <c r="A682">
        <v>177755</v>
      </c>
      <c r="B682">
        <v>106000</v>
      </c>
      <c r="C682" t="str">
        <f t="shared" si="10"/>
        <v>3. $50K-250K</v>
      </c>
      <c r="D682" t="s">
        <v>809</v>
      </c>
      <c r="E682" t="s">
        <v>237</v>
      </c>
      <c r="F682" t="s">
        <v>670</v>
      </c>
      <c r="G682" t="s">
        <v>59</v>
      </c>
      <c r="H682">
        <v>2023</v>
      </c>
    </row>
    <row r="683" spans="1:8" x14ac:dyDescent="0.2">
      <c r="A683">
        <v>177758</v>
      </c>
      <c r="B683">
        <v>82190</v>
      </c>
      <c r="C683" t="str">
        <f t="shared" si="10"/>
        <v>3. $50K-250K</v>
      </c>
      <c r="D683" t="s">
        <v>794</v>
      </c>
      <c r="E683" t="s">
        <v>237</v>
      </c>
      <c r="F683" t="s">
        <v>670</v>
      </c>
      <c r="G683" t="s">
        <v>59</v>
      </c>
      <c r="H683">
        <v>2023</v>
      </c>
    </row>
    <row r="684" spans="1:8" x14ac:dyDescent="0.2">
      <c r="A684">
        <v>177765</v>
      </c>
      <c r="B684">
        <v>90000</v>
      </c>
      <c r="C684" t="str">
        <f t="shared" si="10"/>
        <v>3. $50K-250K</v>
      </c>
      <c r="D684" t="s">
        <v>909</v>
      </c>
      <c r="E684" t="s">
        <v>237</v>
      </c>
      <c r="F684" t="s">
        <v>670</v>
      </c>
      <c r="G684" t="s">
        <v>59</v>
      </c>
      <c r="H684">
        <v>2023</v>
      </c>
    </row>
    <row r="685" spans="1:8" x14ac:dyDescent="0.2">
      <c r="A685">
        <v>177772</v>
      </c>
      <c r="B685">
        <v>626368</v>
      </c>
      <c r="C685" t="str">
        <f t="shared" si="10"/>
        <v>3. $50K-250K</v>
      </c>
      <c r="D685" t="s">
        <v>749</v>
      </c>
      <c r="E685" t="s">
        <v>237</v>
      </c>
      <c r="F685" t="s">
        <v>670</v>
      </c>
      <c r="G685" t="s">
        <v>59</v>
      </c>
      <c r="H685">
        <v>2023</v>
      </c>
    </row>
    <row r="686" spans="1:8" x14ac:dyDescent="0.2">
      <c r="A686">
        <v>177777</v>
      </c>
      <c r="B686">
        <v>165260</v>
      </c>
      <c r="C686" t="str">
        <f t="shared" si="10"/>
        <v>4. $250K-1M</v>
      </c>
      <c r="D686" t="s">
        <v>890</v>
      </c>
      <c r="E686" t="s">
        <v>237</v>
      </c>
      <c r="F686" t="s">
        <v>670</v>
      </c>
      <c r="G686" t="s">
        <v>59</v>
      </c>
      <c r="H686">
        <v>2023</v>
      </c>
    </row>
    <row r="687" spans="1:8" x14ac:dyDescent="0.2">
      <c r="A687">
        <v>177781</v>
      </c>
      <c r="B687">
        <v>87500</v>
      </c>
      <c r="C687" t="str">
        <f t="shared" si="10"/>
        <v>3. $50K-250K</v>
      </c>
      <c r="D687" t="s">
        <v>865</v>
      </c>
      <c r="E687" t="s">
        <v>237</v>
      </c>
      <c r="F687" t="s">
        <v>670</v>
      </c>
      <c r="G687" t="s">
        <v>59</v>
      </c>
      <c r="H687">
        <v>2023</v>
      </c>
    </row>
    <row r="688" spans="1:8" x14ac:dyDescent="0.2">
      <c r="A688">
        <v>177782</v>
      </c>
      <c r="B688">
        <v>90000</v>
      </c>
      <c r="C688" t="str">
        <f t="shared" si="10"/>
        <v>3. $50K-250K</v>
      </c>
      <c r="D688" t="s">
        <v>926</v>
      </c>
      <c r="E688" t="s">
        <v>237</v>
      </c>
      <c r="F688" t="s">
        <v>670</v>
      </c>
      <c r="G688" t="s">
        <v>59</v>
      </c>
      <c r="H688">
        <v>2023</v>
      </c>
    </row>
    <row r="689" spans="1:8" x14ac:dyDescent="0.2">
      <c r="A689">
        <v>177783</v>
      </c>
      <c r="B689">
        <v>92000</v>
      </c>
      <c r="C689" t="str">
        <f t="shared" si="10"/>
        <v>3. $50K-250K</v>
      </c>
      <c r="D689" t="s">
        <v>866</v>
      </c>
      <c r="E689" t="s">
        <v>237</v>
      </c>
      <c r="F689" t="s">
        <v>670</v>
      </c>
      <c r="G689" t="s">
        <v>59</v>
      </c>
      <c r="H689">
        <v>2023</v>
      </c>
    </row>
    <row r="690" spans="1:8" x14ac:dyDescent="0.2">
      <c r="A690">
        <v>177784</v>
      </c>
      <c r="B690">
        <v>80000</v>
      </c>
      <c r="C690" t="str">
        <f t="shared" si="10"/>
        <v>3. $50K-250K</v>
      </c>
      <c r="D690" t="s">
        <v>937</v>
      </c>
      <c r="E690" t="s">
        <v>237</v>
      </c>
      <c r="F690" t="s">
        <v>670</v>
      </c>
      <c r="G690" t="s">
        <v>59</v>
      </c>
      <c r="H690">
        <v>2023</v>
      </c>
    </row>
    <row r="691" spans="1:8" x14ac:dyDescent="0.2">
      <c r="A691">
        <v>177785</v>
      </c>
      <c r="B691">
        <v>176634</v>
      </c>
      <c r="C691" t="str">
        <f t="shared" si="10"/>
        <v>3. $50K-250K</v>
      </c>
      <c r="D691" t="s">
        <v>938</v>
      </c>
      <c r="E691" t="s">
        <v>237</v>
      </c>
      <c r="F691" t="s">
        <v>670</v>
      </c>
      <c r="G691" t="s">
        <v>59</v>
      </c>
      <c r="H691">
        <v>2023</v>
      </c>
    </row>
    <row r="692" spans="1:8" x14ac:dyDescent="0.2">
      <c r="A692">
        <v>177807</v>
      </c>
      <c r="B692">
        <v>391838.8</v>
      </c>
      <c r="C692" t="str">
        <f t="shared" si="10"/>
        <v>3. $50K-250K</v>
      </c>
      <c r="D692" t="s">
        <v>939</v>
      </c>
      <c r="E692" t="s">
        <v>99</v>
      </c>
      <c r="F692" t="s">
        <v>668</v>
      </c>
      <c r="G692" t="s">
        <v>59</v>
      </c>
      <c r="H692">
        <v>2024</v>
      </c>
    </row>
    <row r="693" spans="1:8" x14ac:dyDescent="0.2">
      <c r="A693">
        <v>178581</v>
      </c>
      <c r="B693">
        <v>89965</v>
      </c>
      <c r="C693" t="str">
        <f t="shared" si="10"/>
        <v>4. $250K-1M</v>
      </c>
      <c r="D693" t="s">
        <v>940</v>
      </c>
      <c r="E693" t="s">
        <v>99</v>
      </c>
      <c r="F693" t="s">
        <v>670</v>
      </c>
      <c r="G693" t="s">
        <v>44</v>
      </c>
      <c r="H693">
        <v>2023</v>
      </c>
    </row>
    <row r="694" spans="1:8" x14ac:dyDescent="0.2">
      <c r="A694">
        <v>178582</v>
      </c>
      <c r="B694">
        <v>97447</v>
      </c>
      <c r="C694" t="str">
        <f t="shared" si="10"/>
        <v>3. $50K-250K</v>
      </c>
      <c r="D694" t="s">
        <v>941</v>
      </c>
      <c r="E694" t="s">
        <v>99</v>
      </c>
      <c r="F694" t="s">
        <v>670</v>
      </c>
      <c r="G694" t="s">
        <v>44</v>
      </c>
      <c r="H694">
        <v>2023</v>
      </c>
    </row>
    <row r="695" spans="1:8" x14ac:dyDescent="0.2">
      <c r="A695">
        <v>178583</v>
      </c>
      <c r="B695">
        <v>75937</v>
      </c>
      <c r="C695" t="str">
        <f t="shared" si="10"/>
        <v>3. $50K-250K</v>
      </c>
      <c r="D695" t="s">
        <v>942</v>
      </c>
      <c r="E695" t="s">
        <v>99</v>
      </c>
      <c r="F695" t="s">
        <v>670</v>
      </c>
      <c r="G695" t="s">
        <v>44</v>
      </c>
      <c r="H695">
        <v>2023</v>
      </c>
    </row>
    <row r="696" spans="1:8" x14ac:dyDescent="0.2">
      <c r="A696">
        <v>178584</v>
      </c>
      <c r="B696">
        <v>93637</v>
      </c>
      <c r="C696" t="str">
        <f t="shared" si="10"/>
        <v>3. $50K-250K</v>
      </c>
      <c r="D696" t="s">
        <v>943</v>
      </c>
      <c r="E696" t="s">
        <v>99</v>
      </c>
      <c r="F696" t="s">
        <v>670</v>
      </c>
      <c r="G696" t="s">
        <v>44</v>
      </c>
      <c r="H696">
        <v>2023</v>
      </c>
    </row>
    <row r="697" spans="1:8" x14ac:dyDescent="0.2">
      <c r="A697">
        <v>178585</v>
      </c>
      <c r="B697">
        <v>139911</v>
      </c>
      <c r="C697" t="str">
        <f t="shared" si="10"/>
        <v>3. $50K-250K</v>
      </c>
      <c r="D697" t="s">
        <v>944</v>
      </c>
      <c r="E697" t="s">
        <v>99</v>
      </c>
      <c r="F697" t="s">
        <v>670</v>
      </c>
      <c r="G697" t="s">
        <v>44</v>
      </c>
      <c r="H697">
        <v>2023</v>
      </c>
    </row>
    <row r="698" spans="1:8" x14ac:dyDescent="0.2">
      <c r="A698">
        <v>178586</v>
      </c>
      <c r="B698">
        <v>113764</v>
      </c>
      <c r="C698" t="str">
        <f t="shared" si="10"/>
        <v>3. $50K-250K</v>
      </c>
      <c r="D698" t="s">
        <v>945</v>
      </c>
      <c r="E698" t="s">
        <v>99</v>
      </c>
      <c r="F698" t="s">
        <v>670</v>
      </c>
      <c r="G698" t="s">
        <v>44</v>
      </c>
      <c r="H698">
        <v>2023</v>
      </c>
    </row>
    <row r="699" spans="1:8" x14ac:dyDescent="0.2">
      <c r="A699">
        <v>178587</v>
      </c>
      <c r="B699">
        <v>60302</v>
      </c>
      <c r="C699" t="str">
        <f t="shared" si="10"/>
        <v>3. $50K-250K</v>
      </c>
      <c r="D699" t="s">
        <v>946</v>
      </c>
      <c r="E699" t="s">
        <v>99</v>
      </c>
      <c r="F699" t="s">
        <v>670</v>
      </c>
      <c r="G699" t="s">
        <v>44</v>
      </c>
      <c r="H699">
        <v>2023</v>
      </c>
    </row>
    <row r="700" spans="1:8" x14ac:dyDescent="0.2">
      <c r="A700">
        <v>178588</v>
      </c>
      <c r="B700">
        <v>136880</v>
      </c>
      <c r="C700" t="str">
        <f t="shared" si="10"/>
        <v>3. $50K-250K</v>
      </c>
      <c r="D700" t="s">
        <v>817</v>
      </c>
      <c r="E700" t="s">
        <v>99</v>
      </c>
      <c r="F700" t="s">
        <v>670</v>
      </c>
      <c r="G700" t="s">
        <v>44</v>
      </c>
      <c r="H700">
        <v>2023</v>
      </c>
    </row>
    <row r="701" spans="1:8" x14ac:dyDescent="0.2">
      <c r="A701">
        <v>178589</v>
      </c>
      <c r="B701">
        <v>113210</v>
      </c>
      <c r="C701" t="str">
        <f t="shared" si="10"/>
        <v>3. $50K-250K</v>
      </c>
      <c r="D701" t="s">
        <v>947</v>
      </c>
      <c r="E701" t="s">
        <v>99</v>
      </c>
      <c r="F701" t="s">
        <v>670</v>
      </c>
      <c r="G701" t="s">
        <v>44</v>
      </c>
      <c r="H701">
        <v>2023</v>
      </c>
    </row>
    <row r="702" spans="1:8" x14ac:dyDescent="0.2">
      <c r="A702">
        <v>178597</v>
      </c>
      <c r="B702">
        <v>100000</v>
      </c>
      <c r="C702" t="str">
        <f t="shared" si="10"/>
        <v>3. $50K-250K</v>
      </c>
      <c r="D702" t="s">
        <v>936</v>
      </c>
      <c r="E702" t="s">
        <v>825</v>
      </c>
      <c r="F702" t="s">
        <v>670</v>
      </c>
      <c r="G702" t="s">
        <v>44</v>
      </c>
      <c r="H702">
        <v>2024</v>
      </c>
    </row>
    <row r="703" spans="1:8" x14ac:dyDescent="0.2">
      <c r="A703">
        <v>178598</v>
      </c>
      <c r="B703">
        <v>100001</v>
      </c>
      <c r="C703" t="str">
        <f t="shared" si="10"/>
        <v>3. $50K-250K</v>
      </c>
      <c r="D703" t="s">
        <v>948</v>
      </c>
      <c r="E703" t="s">
        <v>825</v>
      </c>
      <c r="F703" t="s">
        <v>670</v>
      </c>
      <c r="G703" t="s">
        <v>44</v>
      </c>
      <c r="H703">
        <v>2024</v>
      </c>
    </row>
    <row r="704" spans="1:8" x14ac:dyDescent="0.2">
      <c r="A704">
        <v>178599</v>
      </c>
      <c r="B704">
        <v>100000</v>
      </c>
      <c r="C704" t="str">
        <f t="shared" si="10"/>
        <v>3. $50K-250K</v>
      </c>
      <c r="D704" t="s">
        <v>949</v>
      </c>
      <c r="E704" t="s">
        <v>825</v>
      </c>
      <c r="F704" t="s">
        <v>670</v>
      </c>
      <c r="G704" t="s">
        <v>44</v>
      </c>
      <c r="H704">
        <v>2024</v>
      </c>
    </row>
    <row r="705" spans="1:8" x14ac:dyDescent="0.2">
      <c r="A705">
        <v>178600</v>
      </c>
      <c r="B705">
        <v>100000</v>
      </c>
      <c r="C705" t="str">
        <f t="shared" si="10"/>
        <v>3. $50K-250K</v>
      </c>
      <c r="D705" t="s">
        <v>950</v>
      </c>
      <c r="E705" t="s">
        <v>825</v>
      </c>
      <c r="F705" t="s">
        <v>670</v>
      </c>
      <c r="G705" t="s">
        <v>44</v>
      </c>
      <c r="H705">
        <v>2024</v>
      </c>
    </row>
    <row r="706" spans="1:8" x14ac:dyDescent="0.2">
      <c r="A706">
        <v>178601</v>
      </c>
      <c r="B706">
        <v>100000</v>
      </c>
      <c r="C706" t="str">
        <f t="shared" si="10"/>
        <v>3. $50K-250K</v>
      </c>
      <c r="D706" t="s">
        <v>877</v>
      </c>
      <c r="E706" t="s">
        <v>825</v>
      </c>
      <c r="F706" t="s">
        <v>670</v>
      </c>
      <c r="G706" t="s">
        <v>44</v>
      </c>
      <c r="H706">
        <v>2024</v>
      </c>
    </row>
    <row r="707" spans="1:8" x14ac:dyDescent="0.2">
      <c r="A707">
        <v>178602</v>
      </c>
      <c r="B707">
        <v>100000</v>
      </c>
      <c r="C707" t="str">
        <f t="shared" ref="C707:C770" si="11">IF(B706&lt;10000,"1. Under $10K",IF(B706&lt;50000,"2. $10K-50K",IF(B706&lt;250000,"3. $50K-250K",IF(B706&lt;1000000,"4. $250K-1M","5. $1M+"))))</f>
        <v>3. $50K-250K</v>
      </c>
      <c r="D707" t="s">
        <v>951</v>
      </c>
      <c r="E707" t="s">
        <v>825</v>
      </c>
      <c r="F707" t="s">
        <v>670</v>
      </c>
      <c r="G707" t="s">
        <v>44</v>
      </c>
      <c r="H707">
        <v>2024</v>
      </c>
    </row>
    <row r="708" spans="1:8" x14ac:dyDescent="0.2">
      <c r="A708">
        <v>178736</v>
      </c>
      <c r="B708">
        <v>31140</v>
      </c>
      <c r="C708" t="str">
        <f t="shared" si="11"/>
        <v>3. $50K-250K</v>
      </c>
      <c r="D708" t="s">
        <v>892</v>
      </c>
      <c r="E708" t="s">
        <v>825</v>
      </c>
      <c r="F708" t="s">
        <v>670</v>
      </c>
      <c r="G708" t="s">
        <v>44</v>
      </c>
      <c r="H708">
        <v>2023</v>
      </c>
    </row>
    <row r="709" spans="1:8" x14ac:dyDescent="0.2">
      <c r="A709">
        <v>178737</v>
      </c>
      <c r="B709">
        <v>5500</v>
      </c>
      <c r="C709" t="str">
        <f t="shared" si="11"/>
        <v>2. $10K-50K</v>
      </c>
      <c r="D709" t="s">
        <v>850</v>
      </c>
      <c r="E709" t="s">
        <v>825</v>
      </c>
      <c r="F709" t="s">
        <v>670</v>
      </c>
      <c r="G709" t="s">
        <v>44</v>
      </c>
      <c r="H709">
        <v>2023</v>
      </c>
    </row>
    <row r="710" spans="1:8" x14ac:dyDescent="0.2">
      <c r="A710">
        <v>178757</v>
      </c>
      <c r="B710">
        <v>105000</v>
      </c>
      <c r="C710" t="str">
        <f t="shared" si="11"/>
        <v>1. Under $10K</v>
      </c>
      <c r="D710" t="s">
        <v>950</v>
      </c>
      <c r="E710" t="s">
        <v>825</v>
      </c>
      <c r="F710" t="s">
        <v>670</v>
      </c>
      <c r="G710" t="s">
        <v>44</v>
      </c>
      <c r="H710">
        <v>2024</v>
      </c>
    </row>
    <row r="711" spans="1:8" x14ac:dyDescent="0.2">
      <c r="A711">
        <v>178758</v>
      </c>
      <c r="B711">
        <v>120000</v>
      </c>
      <c r="C711" t="str">
        <f t="shared" si="11"/>
        <v>3. $50K-250K</v>
      </c>
      <c r="D711" t="s">
        <v>952</v>
      </c>
      <c r="E711" t="s">
        <v>825</v>
      </c>
      <c r="F711" t="s">
        <v>670</v>
      </c>
      <c r="G711" t="s">
        <v>44</v>
      </c>
      <c r="H711">
        <v>2023</v>
      </c>
    </row>
    <row r="712" spans="1:8" x14ac:dyDescent="0.2">
      <c r="A712">
        <v>178759</v>
      </c>
      <c r="B712">
        <v>115500</v>
      </c>
      <c r="C712" t="str">
        <f t="shared" si="11"/>
        <v>3. $50K-250K</v>
      </c>
      <c r="D712" t="s">
        <v>953</v>
      </c>
      <c r="E712" t="s">
        <v>825</v>
      </c>
      <c r="F712" t="s">
        <v>670</v>
      </c>
      <c r="G712" t="s">
        <v>44</v>
      </c>
      <c r="H712">
        <v>2023</v>
      </c>
    </row>
    <row r="713" spans="1:8" x14ac:dyDescent="0.2">
      <c r="A713">
        <v>178760</v>
      </c>
      <c r="B713">
        <v>105000</v>
      </c>
      <c r="C713" t="str">
        <f t="shared" si="11"/>
        <v>3. $50K-250K</v>
      </c>
      <c r="D713" t="s">
        <v>926</v>
      </c>
      <c r="E713" t="s">
        <v>825</v>
      </c>
      <c r="F713" t="s">
        <v>670</v>
      </c>
      <c r="G713" t="s">
        <v>44</v>
      </c>
      <c r="H713">
        <v>2024</v>
      </c>
    </row>
    <row r="714" spans="1:8" x14ac:dyDescent="0.2">
      <c r="A714">
        <v>178761</v>
      </c>
      <c r="B714">
        <v>105000</v>
      </c>
      <c r="C714" t="str">
        <f t="shared" si="11"/>
        <v>3. $50K-250K</v>
      </c>
      <c r="D714" t="s">
        <v>880</v>
      </c>
      <c r="E714" t="s">
        <v>825</v>
      </c>
      <c r="F714" t="s">
        <v>670</v>
      </c>
      <c r="G714" t="s">
        <v>44</v>
      </c>
      <c r="H714">
        <v>2024</v>
      </c>
    </row>
    <row r="715" spans="1:8" x14ac:dyDescent="0.2">
      <c r="A715">
        <v>178762</v>
      </c>
      <c r="B715">
        <v>105750</v>
      </c>
      <c r="C715" t="str">
        <f t="shared" si="11"/>
        <v>3. $50K-250K</v>
      </c>
      <c r="D715" t="s">
        <v>954</v>
      </c>
      <c r="E715" t="s">
        <v>825</v>
      </c>
      <c r="F715" t="s">
        <v>670</v>
      </c>
      <c r="G715" t="s">
        <v>44</v>
      </c>
      <c r="H715">
        <v>2023</v>
      </c>
    </row>
    <row r="716" spans="1:8" x14ac:dyDescent="0.2">
      <c r="A716">
        <v>178763</v>
      </c>
      <c r="B716">
        <v>131000</v>
      </c>
      <c r="C716" t="str">
        <f t="shared" si="11"/>
        <v>3. $50K-250K</v>
      </c>
      <c r="D716" t="s">
        <v>749</v>
      </c>
      <c r="E716" t="s">
        <v>825</v>
      </c>
      <c r="F716" t="s">
        <v>670</v>
      </c>
      <c r="G716" t="s">
        <v>44</v>
      </c>
      <c r="H716">
        <v>2024</v>
      </c>
    </row>
    <row r="717" spans="1:8" x14ac:dyDescent="0.2">
      <c r="A717">
        <v>178764</v>
      </c>
      <c r="B717">
        <v>120000</v>
      </c>
      <c r="C717" t="str">
        <f t="shared" si="11"/>
        <v>3. $50K-250K</v>
      </c>
      <c r="D717" t="s">
        <v>701</v>
      </c>
      <c r="E717" t="s">
        <v>825</v>
      </c>
      <c r="F717" t="s">
        <v>670</v>
      </c>
      <c r="G717" t="s">
        <v>44</v>
      </c>
      <c r="H717">
        <v>2023</v>
      </c>
    </row>
    <row r="718" spans="1:8" x14ac:dyDescent="0.2">
      <c r="A718">
        <v>178765</v>
      </c>
      <c r="B718">
        <v>105000</v>
      </c>
      <c r="C718" t="str">
        <f t="shared" si="11"/>
        <v>3. $50K-250K</v>
      </c>
      <c r="D718" t="s">
        <v>818</v>
      </c>
      <c r="E718" t="s">
        <v>825</v>
      </c>
      <c r="F718" t="s">
        <v>670</v>
      </c>
      <c r="G718" t="s">
        <v>44</v>
      </c>
      <c r="H718">
        <v>2024</v>
      </c>
    </row>
    <row r="719" spans="1:8" x14ac:dyDescent="0.2">
      <c r="A719">
        <v>178766</v>
      </c>
      <c r="B719">
        <v>105000</v>
      </c>
      <c r="C719" t="str">
        <f t="shared" si="11"/>
        <v>3. $50K-250K</v>
      </c>
      <c r="D719" t="s">
        <v>809</v>
      </c>
      <c r="E719" t="s">
        <v>825</v>
      </c>
      <c r="F719" t="s">
        <v>670</v>
      </c>
      <c r="G719" t="s">
        <v>44</v>
      </c>
      <c r="H719">
        <v>2024</v>
      </c>
    </row>
    <row r="720" spans="1:8" x14ac:dyDescent="0.2">
      <c r="A720">
        <v>178767</v>
      </c>
      <c r="B720">
        <v>110625</v>
      </c>
      <c r="C720" t="str">
        <f t="shared" si="11"/>
        <v>3. $50K-250K</v>
      </c>
      <c r="D720" t="s">
        <v>949</v>
      </c>
      <c r="E720" t="s">
        <v>825</v>
      </c>
      <c r="F720" t="s">
        <v>670</v>
      </c>
      <c r="G720" t="s">
        <v>44</v>
      </c>
      <c r="H720">
        <v>2023</v>
      </c>
    </row>
    <row r="721" spans="1:8" x14ac:dyDescent="0.2">
      <c r="A721">
        <v>178768</v>
      </c>
      <c r="B721">
        <v>105000</v>
      </c>
      <c r="C721" t="str">
        <f t="shared" si="11"/>
        <v>3. $50K-250K</v>
      </c>
      <c r="D721" t="s">
        <v>948</v>
      </c>
      <c r="E721" t="s">
        <v>825</v>
      </c>
      <c r="F721" t="s">
        <v>670</v>
      </c>
      <c r="G721" t="s">
        <v>44</v>
      </c>
      <c r="H721">
        <v>2024</v>
      </c>
    </row>
    <row r="722" spans="1:8" x14ac:dyDescent="0.2">
      <c r="A722">
        <v>178769</v>
      </c>
      <c r="B722">
        <v>110625</v>
      </c>
      <c r="C722" t="str">
        <f t="shared" si="11"/>
        <v>3. $50K-250K</v>
      </c>
      <c r="D722" t="s">
        <v>857</v>
      </c>
      <c r="E722" t="s">
        <v>825</v>
      </c>
      <c r="F722" t="s">
        <v>670</v>
      </c>
      <c r="G722" t="s">
        <v>44</v>
      </c>
      <c r="H722">
        <v>2023</v>
      </c>
    </row>
    <row r="723" spans="1:8" x14ac:dyDescent="0.2">
      <c r="A723">
        <v>178770</v>
      </c>
      <c r="B723">
        <v>163019</v>
      </c>
      <c r="C723" t="str">
        <f t="shared" si="11"/>
        <v>3. $50K-250K</v>
      </c>
      <c r="D723" t="s">
        <v>955</v>
      </c>
      <c r="E723" t="s">
        <v>825</v>
      </c>
      <c r="F723" t="s">
        <v>670</v>
      </c>
      <c r="G723" t="s">
        <v>44</v>
      </c>
      <c r="H723">
        <v>2023</v>
      </c>
    </row>
    <row r="724" spans="1:8" x14ac:dyDescent="0.2">
      <c r="A724">
        <v>178771</v>
      </c>
      <c r="B724">
        <v>115500</v>
      </c>
      <c r="C724" t="str">
        <f t="shared" si="11"/>
        <v>3. $50K-250K</v>
      </c>
      <c r="D724" t="s">
        <v>956</v>
      </c>
      <c r="E724" t="s">
        <v>825</v>
      </c>
      <c r="F724" t="s">
        <v>670</v>
      </c>
      <c r="G724" t="s">
        <v>44</v>
      </c>
      <c r="H724">
        <v>2023</v>
      </c>
    </row>
    <row r="725" spans="1:8" x14ac:dyDescent="0.2">
      <c r="A725">
        <v>178772</v>
      </c>
      <c r="B725">
        <v>105000</v>
      </c>
      <c r="C725" t="str">
        <f t="shared" si="11"/>
        <v>3. $50K-250K</v>
      </c>
      <c r="D725" t="s">
        <v>957</v>
      </c>
      <c r="E725" t="s">
        <v>825</v>
      </c>
      <c r="F725" t="s">
        <v>670</v>
      </c>
      <c r="G725" t="s">
        <v>44</v>
      </c>
      <c r="H725">
        <v>2024</v>
      </c>
    </row>
    <row r="726" spans="1:8" x14ac:dyDescent="0.2">
      <c r="A726">
        <v>178773</v>
      </c>
      <c r="B726">
        <v>105000</v>
      </c>
      <c r="C726" t="str">
        <f t="shared" si="11"/>
        <v>3. $50K-250K</v>
      </c>
      <c r="D726" t="s">
        <v>900</v>
      </c>
      <c r="E726" t="s">
        <v>825</v>
      </c>
      <c r="F726" t="s">
        <v>670</v>
      </c>
      <c r="G726" t="s">
        <v>44</v>
      </c>
      <c r="H726">
        <v>2024</v>
      </c>
    </row>
    <row r="727" spans="1:8" x14ac:dyDescent="0.2">
      <c r="A727">
        <v>178774</v>
      </c>
      <c r="B727">
        <v>115500</v>
      </c>
      <c r="C727" t="str">
        <f t="shared" si="11"/>
        <v>3. $50K-250K</v>
      </c>
      <c r="D727" t="s">
        <v>919</v>
      </c>
      <c r="E727" t="s">
        <v>825</v>
      </c>
      <c r="F727" t="s">
        <v>670</v>
      </c>
      <c r="G727" t="s">
        <v>44</v>
      </c>
      <c r="H727">
        <v>2023</v>
      </c>
    </row>
    <row r="728" spans="1:8" x14ac:dyDescent="0.2">
      <c r="A728">
        <v>178775</v>
      </c>
      <c r="B728">
        <v>109543</v>
      </c>
      <c r="C728" t="str">
        <f t="shared" si="11"/>
        <v>3. $50K-250K</v>
      </c>
      <c r="D728" t="s">
        <v>958</v>
      </c>
      <c r="E728" t="s">
        <v>825</v>
      </c>
      <c r="F728" t="s">
        <v>670</v>
      </c>
      <c r="G728" t="s">
        <v>44</v>
      </c>
      <c r="H728">
        <v>2023</v>
      </c>
    </row>
    <row r="729" spans="1:8" x14ac:dyDescent="0.2">
      <c r="A729">
        <v>178776</v>
      </c>
      <c r="B729">
        <v>107720</v>
      </c>
      <c r="C729" t="str">
        <f t="shared" si="11"/>
        <v>3. $50K-250K</v>
      </c>
      <c r="D729" t="s">
        <v>812</v>
      </c>
      <c r="E729" t="s">
        <v>825</v>
      </c>
      <c r="F729" t="s">
        <v>670</v>
      </c>
      <c r="G729" t="s">
        <v>44</v>
      </c>
      <c r="H729">
        <v>2023</v>
      </c>
    </row>
    <row r="730" spans="1:8" x14ac:dyDescent="0.2">
      <c r="A730">
        <v>178777</v>
      </c>
      <c r="B730">
        <v>105000</v>
      </c>
      <c r="C730" t="str">
        <f t="shared" si="11"/>
        <v>3. $50K-250K</v>
      </c>
      <c r="D730" t="s">
        <v>959</v>
      </c>
      <c r="E730" t="s">
        <v>825</v>
      </c>
      <c r="F730" t="s">
        <v>670</v>
      </c>
      <c r="G730" t="s">
        <v>44</v>
      </c>
      <c r="H730">
        <v>2024</v>
      </c>
    </row>
    <row r="731" spans="1:8" x14ac:dyDescent="0.2">
      <c r="A731">
        <v>178815</v>
      </c>
      <c r="B731">
        <v>174750</v>
      </c>
      <c r="C731" t="str">
        <f t="shared" si="11"/>
        <v>3. $50K-250K</v>
      </c>
      <c r="D731" t="s">
        <v>960</v>
      </c>
      <c r="E731" t="s">
        <v>825</v>
      </c>
      <c r="F731" t="s">
        <v>670</v>
      </c>
      <c r="G731" t="s">
        <v>44</v>
      </c>
      <c r="H731">
        <v>2023</v>
      </c>
    </row>
    <row r="732" spans="1:8" x14ac:dyDescent="0.2">
      <c r="A732">
        <v>178816</v>
      </c>
      <c r="B732">
        <v>109750</v>
      </c>
      <c r="C732" t="str">
        <f t="shared" si="11"/>
        <v>3. $50K-250K</v>
      </c>
      <c r="D732" t="s">
        <v>961</v>
      </c>
      <c r="E732" t="s">
        <v>825</v>
      </c>
      <c r="F732" t="s">
        <v>670</v>
      </c>
      <c r="G732" t="s">
        <v>44</v>
      </c>
      <c r="H732">
        <v>2023</v>
      </c>
    </row>
    <row r="733" spans="1:8" x14ac:dyDescent="0.2">
      <c r="A733">
        <v>178818</v>
      </c>
      <c r="B733">
        <v>94445</v>
      </c>
      <c r="C733" t="str">
        <f t="shared" si="11"/>
        <v>3. $50K-250K</v>
      </c>
      <c r="D733" t="s">
        <v>945</v>
      </c>
      <c r="E733" t="s">
        <v>825</v>
      </c>
      <c r="F733" t="s">
        <v>670</v>
      </c>
      <c r="G733" t="s">
        <v>44</v>
      </c>
      <c r="H733">
        <v>2023</v>
      </c>
    </row>
    <row r="734" spans="1:8" x14ac:dyDescent="0.2">
      <c r="A734">
        <v>178819</v>
      </c>
      <c r="B734">
        <v>59500</v>
      </c>
      <c r="C734" t="str">
        <f t="shared" si="11"/>
        <v>3. $50K-250K</v>
      </c>
      <c r="D734" t="s">
        <v>948</v>
      </c>
      <c r="E734" t="s">
        <v>825</v>
      </c>
      <c r="F734" t="s">
        <v>670</v>
      </c>
      <c r="G734" t="s">
        <v>44</v>
      </c>
      <c r="H734">
        <v>2023</v>
      </c>
    </row>
    <row r="735" spans="1:8" x14ac:dyDescent="0.2">
      <c r="A735">
        <v>178820</v>
      </c>
      <c r="B735">
        <v>81500</v>
      </c>
      <c r="C735" t="str">
        <f t="shared" si="11"/>
        <v>3. $50K-250K</v>
      </c>
      <c r="D735" t="s">
        <v>949</v>
      </c>
      <c r="E735" t="s">
        <v>825</v>
      </c>
      <c r="F735" t="s">
        <v>670</v>
      </c>
      <c r="G735" t="s">
        <v>44</v>
      </c>
      <c r="H735">
        <v>2023</v>
      </c>
    </row>
    <row r="736" spans="1:8" x14ac:dyDescent="0.2">
      <c r="A736">
        <v>178821</v>
      </c>
      <c r="B736">
        <v>27100</v>
      </c>
      <c r="C736" t="str">
        <f t="shared" si="11"/>
        <v>3. $50K-250K</v>
      </c>
      <c r="D736" t="s">
        <v>771</v>
      </c>
      <c r="E736" t="s">
        <v>825</v>
      </c>
      <c r="F736" t="s">
        <v>670</v>
      </c>
      <c r="G736" t="s">
        <v>44</v>
      </c>
      <c r="H736">
        <v>2023</v>
      </c>
    </row>
    <row r="737" spans="1:8" x14ac:dyDescent="0.2">
      <c r="A737">
        <v>178822</v>
      </c>
      <c r="B737">
        <v>130500</v>
      </c>
      <c r="C737" t="str">
        <f t="shared" si="11"/>
        <v>2. $10K-50K</v>
      </c>
      <c r="D737" t="s">
        <v>726</v>
      </c>
      <c r="E737" t="s">
        <v>825</v>
      </c>
      <c r="F737" t="s">
        <v>670</v>
      </c>
      <c r="G737" t="s">
        <v>44</v>
      </c>
      <c r="H737">
        <v>2023</v>
      </c>
    </row>
    <row r="738" spans="1:8" x14ac:dyDescent="0.2">
      <c r="A738">
        <v>178823</v>
      </c>
      <c r="B738">
        <v>66500</v>
      </c>
      <c r="C738" t="str">
        <f t="shared" si="11"/>
        <v>3. $50K-250K</v>
      </c>
      <c r="D738" t="s">
        <v>957</v>
      </c>
      <c r="E738" t="s">
        <v>825</v>
      </c>
      <c r="F738" t="s">
        <v>670</v>
      </c>
      <c r="G738" t="s">
        <v>44</v>
      </c>
      <c r="H738">
        <v>2023</v>
      </c>
    </row>
    <row r="739" spans="1:8" x14ac:dyDescent="0.2">
      <c r="A739">
        <v>178825</v>
      </c>
      <c r="B739">
        <v>129750</v>
      </c>
      <c r="C739" t="str">
        <f t="shared" si="11"/>
        <v>3. $50K-250K</v>
      </c>
      <c r="D739" t="s">
        <v>942</v>
      </c>
      <c r="E739" t="s">
        <v>825</v>
      </c>
      <c r="F739" t="s">
        <v>670</v>
      </c>
      <c r="G739" t="s">
        <v>44</v>
      </c>
      <c r="H739">
        <v>2023</v>
      </c>
    </row>
    <row r="740" spans="1:8" x14ac:dyDescent="0.2">
      <c r="A740">
        <v>178826</v>
      </c>
      <c r="B740">
        <v>142750</v>
      </c>
      <c r="C740" t="str">
        <f t="shared" si="11"/>
        <v>3. $50K-250K</v>
      </c>
      <c r="D740" t="s">
        <v>900</v>
      </c>
      <c r="E740" t="s">
        <v>825</v>
      </c>
      <c r="F740" t="s">
        <v>670</v>
      </c>
      <c r="G740" t="s">
        <v>44</v>
      </c>
      <c r="H740">
        <v>2023</v>
      </c>
    </row>
    <row r="741" spans="1:8" x14ac:dyDescent="0.2">
      <c r="A741">
        <v>178828</v>
      </c>
      <c r="B741">
        <v>100000</v>
      </c>
      <c r="C741" t="str">
        <f t="shared" si="11"/>
        <v>3. $50K-250K</v>
      </c>
      <c r="D741" t="s">
        <v>962</v>
      </c>
      <c r="E741" t="s">
        <v>42</v>
      </c>
      <c r="F741" t="s">
        <v>670</v>
      </c>
      <c r="G741" t="s">
        <v>44</v>
      </c>
      <c r="H741">
        <v>2023</v>
      </c>
    </row>
    <row r="742" spans="1:8" x14ac:dyDescent="0.2">
      <c r="A742">
        <v>178830</v>
      </c>
      <c r="B742">
        <v>920000</v>
      </c>
      <c r="C742" t="str">
        <f t="shared" si="11"/>
        <v>3. $50K-250K</v>
      </c>
      <c r="D742" t="s">
        <v>963</v>
      </c>
      <c r="E742" t="s">
        <v>52</v>
      </c>
      <c r="F742" t="s">
        <v>668</v>
      </c>
      <c r="G742" t="s">
        <v>59</v>
      </c>
      <c r="H742">
        <v>2024</v>
      </c>
    </row>
    <row r="743" spans="1:8" x14ac:dyDescent="0.2">
      <c r="A743">
        <v>178843</v>
      </c>
      <c r="B743">
        <v>50000</v>
      </c>
      <c r="C743" t="str">
        <f t="shared" si="11"/>
        <v>4. $250K-1M</v>
      </c>
      <c r="D743" t="s">
        <v>936</v>
      </c>
      <c r="E743" t="s">
        <v>825</v>
      </c>
      <c r="F743" t="s">
        <v>670</v>
      </c>
      <c r="G743" t="s">
        <v>44</v>
      </c>
      <c r="H743">
        <v>2023</v>
      </c>
    </row>
    <row r="744" spans="1:8" x14ac:dyDescent="0.2">
      <c r="A744">
        <v>178982</v>
      </c>
      <c r="B744">
        <v>1150000</v>
      </c>
      <c r="C744" t="str">
        <f t="shared" si="11"/>
        <v>3. $50K-250K</v>
      </c>
      <c r="D744" t="s">
        <v>964</v>
      </c>
      <c r="E744" t="s">
        <v>825</v>
      </c>
      <c r="F744" t="s">
        <v>670</v>
      </c>
      <c r="G744" t="s">
        <v>44</v>
      </c>
      <c r="H744">
        <v>2023</v>
      </c>
    </row>
    <row r="745" spans="1:8" x14ac:dyDescent="0.2">
      <c r="A745">
        <v>178983</v>
      </c>
      <c r="B745">
        <v>2418000</v>
      </c>
      <c r="C745" t="str">
        <f t="shared" si="11"/>
        <v>5. $1M+</v>
      </c>
      <c r="D745" t="s">
        <v>965</v>
      </c>
      <c r="E745" t="s">
        <v>825</v>
      </c>
      <c r="F745" t="s">
        <v>670</v>
      </c>
      <c r="G745" t="s">
        <v>44</v>
      </c>
      <c r="H745">
        <v>2024</v>
      </c>
    </row>
    <row r="746" spans="1:8" x14ac:dyDescent="0.2">
      <c r="A746">
        <v>178984</v>
      </c>
      <c r="B746">
        <v>75000</v>
      </c>
      <c r="C746" t="str">
        <f t="shared" si="11"/>
        <v>5. $1M+</v>
      </c>
      <c r="D746" t="s">
        <v>965</v>
      </c>
      <c r="E746" t="s">
        <v>825</v>
      </c>
      <c r="F746" t="s">
        <v>670</v>
      </c>
      <c r="G746" t="s">
        <v>44</v>
      </c>
      <c r="H746">
        <v>2024</v>
      </c>
    </row>
    <row r="747" spans="1:8" x14ac:dyDescent="0.2">
      <c r="A747">
        <v>178985</v>
      </c>
      <c r="B747">
        <v>6465000</v>
      </c>
      <c r="C747" t="str">
        <f t="shared" si="11"/>
        <v>3. $50K-250K</v>
      </c>
      <c r="D747" t="s">
        <v>964</v>
      </c>
      <c r="E747" t="s">
        <v>825</v>
      </c>
      <c r="F747" t="s">
        <v>670</v>
      </c>
      <c r="G747" t="s">
        <v>44</v>
      </c>
      <c r="H747">
        <v>2023</v>
      </c>
    </row>
    <row r="748" spans="1:8" x14ac:dyDescent="0.2">
      <c r="A748">
        <v>178986</v>
      </c>
      <c r="B748">
        <v>175000</v>
      </c>
      <c r="C748" t="str">
        <f t="shared" si="11"/>
        <v>5. $1M+</v>
      </c>
      <c r="D748" t="s">
        <v>964</v>
      </c>
      <c r="E748" t="s">
        <v>825</v>
      </c>
      <c r="F748" t="s">
        <v>670</v>
      </c>
      <c r="G748" t="s">
        <v>44</v>
      </c>
      <c r="H748">
        <v>2024</v>
      </c>
    </row>
    <row r="749" spans="1:8" x14ac:dyDescent="0.2">
      <c r="A749">
        <v>178987</v>
      </c>
      <c r="B749">
        <v>390000</v>
      </c>
      <c r="C749" t="str">
        <f t="shared" si="11"/>
        <v>3. $50K-250K</v>
      </c>
      <c r="D749" t="s">
        <v>966</v>
      </c>
      <c r="E749" t="s">
        <v>825</v>
      </c>
      <c r="F749" t="s">
        <v>670</v>
      </c>
      <c r="G749" t="s">
        <v>44</v>
      </c>
      <c r="H749">
        <v>2024</v>
      </c>
    </row>
    <row r="750" spans="1:8" x14ac:dyDescent="0.2">
      <c r="A750">
        <v>179015</v>
      </c>
      <c r="B750">
        <v>100000</v>
      </c>
      <c r="C750" t="str">
        <f t="shared" si="11"/>
        <v>4. $250K-1M</v>
      </c>
      <c r="D750" t="s">
        <v>966</v>
      </c>
      <c r="E750" t="s">
        <v>825</v>
      </c>
      <c r="F750" t="s">
        <v>670</v>
      </c>
      <c r="G750" t="s">
        <v>44</v>
      </c>
      <c r="H750">
        <v>2024</v>
      </c>
    </row>
    <row r="751" spans="1:8" x14ac:dyDescent="0.2">
      <c r="A751">
        <v>179220</v>
      </c>
      <c r="B751">
        <v>1500000</v>
      </c>
      <c r="C751" t="str">
        <f t="shared" si="11"/>
        <v>3. $50K-250K</v>
      </c>
      <c r="D751" t="s">
        <v>16</v>
      </c>
      <c r="E751" t="s">
        <v>8</v>
      </c>
      <c r="F751" t="s">
        <v>14</v>
      </c>
      <c r="G751" t="s">
        <v>15</v>
      </c>
      <c r="H751">
        <v>2023</v>
      </c>
    </row>
    <row r="752" spans="1:8" x14ac:dyDescent="0.2">
      <c r="A752">
        <v>179400</v>
      </c>
      <c r="B752">
        <v>31528</v>
      </c>
      <c r="C752" t="str">
        <f t="shared" si="11"/>
        <v>5. $1M+</v>
      </c>
      <c r="D752" t="s">
        <v>807</v>
      </c>
      <c r="E752" t="s">
        <v>237</v>
      </c>
      <c r="F752" t="s">
        <v>670</v>
      </c>
      <c r="G752" t="s">
        <v>59</v>
      </c>
      <c r="H752">
        <v>2023</v>
      </c>
    </row>
    <row r="753" spans="1:8" x14ac:dyDescent="0.2">
      <c r="A753">
        <v>179604</v>
      </c>
      <c r="B753">
        <v>5798.4</v>
      </c>
      <c r="C753" t="str">
        <f t="shared" si="11"/>
        <v>2. $10K-50K</v>
      </c>
      <c r="D753" t="s">
        <v>967</v>
      </c>
      <c r="E753" t="s">
        <v>432</v>
      </c>
      <c r="F753" t="s">
        <v>670</v>
      </c>
      <c r="G753" t="s">
        <v>59</v>
      </c>
      <c r="H753">
        <v>2023</v>
      </c>
    </row>
    <row r="754" spans="1:8" x14ac:dyDescent="0.2">
      <c r="A754">
        <v>179944</v>
      </c>
      <c r="B754">
        <v>25205.4</v>
      </c>
      <c r="C754" t="str">
        <f t="shared" si="11"/>
        <v>1. Under $10K</v>
      </c>
      <c r="D754" t="s">
        <v>391</v>
      </c>
      <c r="E754" t="s">
        <v>237</v>
      </c>
      <c r="F754" t="s">
        <v>670</v>
      </c>
      <c r="G754" t="s">
        <v>59</v>
      </c>
      <c r="H754">
        <v>2023</v>
      </c>
    </row>
    <row r="755" spans="1:8" x14ac:dyDescent="0.2">
      <c r="A755">
        <v>180496</v>
      </c>
      <c r="B755">
        <v>900216</v>
      </c>
      <c r="C755" t="str">
        <f t="shared" si="11"/>
        <v>2. $10K-50K</v>
      </c>
      <c r="D755" t="s">
        <v>925</v>
      </c>
      <c r="E755" t="s">
        <v>237</v>
      </c>
      <c r="F755" t="s">
        <v>670</v>
      </c>
      <c r="G755" t="s">
        <v>59</v>
      </c>
      <c r="H755">
        <v>2023</v>
      </c>
    </row>
    <row r="756" spans="1:8" x14ac:dyDescent="0.2">
      <c r="A756">
        <v>180665</v>
      </c>
      <c r="B756">
        <v>3508800</v>
      </c>
      <c r="C756" t="str">
        <f t="shared" si="11"/>
        <v>4. $250K-1M</v>
      </c>
      <c r="D756" t="s">
        <v>917</v>
      </c>
      <c r="E756" t="s">
        <v>237</v>
      </c>
      <c r="F756" t="s">
        <v>670</v>
      </c>
      <c r="G756" t="s">
        <v>59</v>
      </c>
      <c r="H756">
        <v>2023</v>
      </c>
    </row>
    <row r="757" spans="1:8" x14ac:dyDescent="0.2">
      <c r="A757">
        <v>180678</v>
      </c>
      <c r="B757">
        <v>14695280</v>
      </c>
      <c r="C757" t="str">
        <f t="shared" si="11"/>
        <v>5. $1M+</v>
      </c>
      <c r="D757" t="s">
        <v>148</v>
      </c>
      <c r="E757" t="s">
        <v>8</v>
      </c>
      <c r="F757" t="s">
        <v>120</v>
      </c>
      <c r="G757" t="s">
        <v>124</v>
      </c>
      <c r="H757">
        <v>2023</v>
      </c>
    </row>
    <row r="758" spans="1:8" x14ac:dyDescent="0.2">
      <c r="A758">
        <v>180884</v>
      </c>
      <c r="B758">
        <v>63500</v>
      </c>
      <c r="C758" t="str">
        <f t="shared" si="11"/>
        <v>5. $1M+</v>
      </c>
      <c r="D758" t="s">
        <v>391</v>
      </c>
      <c r="E758" t="s">
        <v>42</v>
      </c>
      <c r="F758" t="s">
        <v>670</v>
      </c>
      <c r="G758" t="s">
        <v>59</v>
      </c>
      <c r="H758">
        <v>2023</v>
      </c>
    </row>
    <row r="759" spans="1:8" x14ac:dyDescent="0.2">
      <c r="A759">
        <v>180903</v>
      </c>
      <c r="B759">
        <v>6108.4</v>
      </c>
      <c r="C759" t="str">
        <f t="shared" si="11"/>
        <v>3. $50K-250K</v>
      </c>
      <c r="D759" t="s">
        <v>761</v>
      </c>
      <c r="E759" t="s">
        <v>237</v>
      </c>
      <c r="F759" t="s">
        <v>670</v>
      </c>
      <c r="G759" t="s">
        <v>59</v>
      </c>
      <c r="H759">
        <v>2023</v>
      </c>
    </row>
    <row r="760" spans="1:8" x14ac:dyDescent="0.2">
      <c r="A760">
        <v>180922</v>
      </c>
      <c r="B760">
        <v>739000</v>
      </c>
      <c r="C760" t="str">
        <f t="shared" si="11"/>
        <v>1. Under $10K</v>
      </c>
      <c r="D760" t="s">
        <v>149</v>
      </c>
      <c r="E760" t="s">
        <v>59</v>
      </c>
      <c r="F760" t="s">
        <v>43</v>
      </c>
      <c r="G760" t="s">
        <v>103</v>
      </c>
      <c r="H760">
        <v>2024</v>
      </c>
    </row>
    <row r="761" spans="1:8" x14ac:dyDescent="0.2">
      <c r="A761">
        <v>181249</v>
      </c>
      <c r="B761">
        <v>50000</v>
      </c>
      <c r="C761" t="str">
        <f t="shared" si="11"/>
        <v>4. $250K-1M</v>
      </c>
      <c r="D761" t="s">
        <v>548</v>
      </c>
      <c r="E761" t="s">
        <v>82</v>
      </c>
      <c r="F761" t="s">
        <v>670</v>
      </c>
      <c r="G761" t="s">
        <v>59</v>
      </c>
      <c r="H761">
        <v>2023</v>
      </c>
    </row>
    <row r="762" spans="1:8" x14ac:dyDescent="0.2">
      <c r="A762">
        <v>181547</v>
      </c>
      <c r="B762">
        <v>792140</v>
      </c>
      <c r="C762" t="str">
        <f t="shared" si="11"/>
        <v>3. $50K-250K</v>
      </c>
      <c r="D762" t="s">
        <v>968</v>
      </c>
      <c r="E762" t="s">
        <v>42</v>
      </c>
      <c r="F762" t="s">
        <v>668</v>
      </c>
      <c r="G762" t="s">
        <v>59</v>
      </c>
      <c r="H762">
        <v>2023</v>
      </c>
    </row>
    <row r="763" spans="1:8" x14ac:dyDescent="0.2">
      <c r="A763">
        <v>181609</v>
      </c>
      <c r="B763">
        <v>10237.799999999999</v>
      </c>
      <c r="C763" t="str">
        <f t="shared" si="11"/>
        <v>4. $250K-1M</v>
      </c>
      <c r="D763" t="s">
        <v>391</v>
      </c>
      <c r="E763" t="s">
        <v>237</v>
      </c>
      <c r="F763" t="s">
        <v>670</v>
      </c>
      <c r="G763" t="s">
        <v>59</v>
      </c>
      <c r="H763">
        <v>2023</v>
      </c>
    </row>
    <row r="764" spans="1:8" x14ac:dyDescent="0.2">
      <c r="A764">
        <v>182093</v>
      </c>
      <c r="B764">
        <v>4492628</v>
      </c>
      <c r="C764" t="str">
        <f t="shared" si="11"/>
        <v>2. $10K-50K</v>
      </c>
      <c r="D764" t="s">
        <v>804</v>
      </c>
      <c r="E764" t="s">
        <v>42</v>
      </c>
      <c r="F764" t="s">
        <v>670</v>
      </c>
      <c r="G764" t="s">
        <v>44</v>
      </c>
      <c r="H764">
        <v>2023</v>
      </c>
    </row>
    <row r="765" spans="1:8" x14ac:dyDescent="0.2">
      <c r="A765">
        <v>182625</v>
      </c>
      <c r="B765">
        <v>3322923.5</v>
      </c>
      <c r="C765" t="str">
        <f t="shared" si="11"/>
        <v>5. $1M+</v>
      </c>
      <c r="D765" t="s">
        <v>128</v>
      </c>
      <c r="E765" t="s">
        <v>8</v>
      </c>
      <c r="F765" t="s">
        <v>9</v>
      </c>
      <c r="G765" t="s">
        <v>10</v>
      </c>
      <c r="H765">
        <v>2023</v>
      </c>
    </row>
    <row r="766" spans="1:8" x14ac:dyDescent="0.2">
      <c r="A766">
        <v>182641</v>
      </c>
      <c r="B766">
        <v>38140</v>
      </c>
      <c r="C766" t="str">
        <f t="shared" si="11"/>
        <v>5. $1M+</v>
      </c>
      <c r="D766" t="s">
        <v>792</v>
      </c>
      <c r="E766" t="s">
        <v>237</v>
      </c>
      <c r="F766" t="s">
        <v>670</v>
      </c>
      <c r="G766" t="s">
        <v>59</v>
      </c>
      <c r="H766">
        <v>2023</v>
      </c>
    </row>
    <row r="767" spans="1:8" x14ac:dyDescent="0.2">
      <c r="A767">
        <v>182700</v>
      </c>
      <c r="B767">
        <v>256530.2</v>
      </c>
      <c r="C767" t="str">
        <f t="shared" si="11"/>
        <v>2. $10K-50K</v>
      </c>
      <c r="D767" t="s">
        <v>104</v>
      </c>
      <c r="E767" t="s">
        <v>8</v>
      </c>
      <c r="F767" t="s">
        <v>9</v>
      </c>
      <c r="G767" t="s">
        <v>10</v>
      </c>
      <c r="H767">
        <v>2025</v>
      </c>
    </row>
    <row r="768" spans="1:8" x14ac:dyDescent="0.2">
      <c r="A768">
        <v>182726</v>
      </c>
      <c r="B768">
        <v>60000</v>
      </c>
      <c r="C768" t="str">
        <f t="shared" si="11"/>
        <v>4. $250K-1M</v>
      </c>
      <c r="D768" t="s">
        <v>860</v>
      </c>
      <c r="E768" t="s">
        <v>237</v>
      </c>
      <c r="F768" t="s">
        <v>670</v>
      </c>
      <c r="G768" t="s">
        <v>59</v>
      </c>
      <c r="H768">
        <v>2023</v>
      </c>
    </row>
    <row r="769" spans="1:8" x14ac:dyDescent="0.2">
      <c r="A769">
        <v>182741</v>
      </c>
      <c r="B769">
        <v>5000000</v>
      </c>
      <c r="C769" t="str">
        <f t="shared" si="11"/>
        <v>3. $50K-250K</v>
      </c>
      <c r="D769" t="s">
        <v>150</v>
      </c>
      <c r="E769" t="s">
        <v>8</v>
      </c>
      <c r="F769" t="s">
        <v>120</v>
      </c>
      <c r="G769" t="s">
        <v>103</v>
      </c>
      <c r="H769">
        <v>2025</v>
      </c>
    </row>
    <row r="770" spans="1:8" x14ac:dyDescent="0.2">
      <c r="A770">
        <v>182894</v>
      </c>
      <c r="B770">
        <v>304470</v>
      </c>
      <c r="C770" t="str">
        <f t="shared" si="11"/>
        <v>5. $1M+</v>
      </c>
      <c r="D770" t="s">
        <v>792</v>
      </c>
      <c r="E770" t="s">
        <v>237</v>
      </c>
      <c r="F770" t="s">
        <v>670</v>
      </c>
      <c r="G770" t="s">
        <v>59</v>
      </c>
      <c r="H770">
        <v>2023</v>
      </c>
    </row>
    <row r="771" spans="1:8" x14ac:dyDescent="0.2">
      <c r="A771">
        <v>183830</v>
      </c>
      <c r="B771">
        <v>4879176.9000000004</v>
      </c>
      <c r="C771" t="str">
        <f t="shared" ref="C771:C834" si="12">IF(B770&lt;10000,"1. Under $10K",IF(B770&lt;50000,"2. $10K-50K",IF(B770&lt;250000,"3. $50K-250K",IF(B770&lt;1000000,"4. $250K-1M","5. $1M+"))))</f>
        <v>4. $250K-1M</v>
      </c>
      <c r="D771" t="s">
        <v>969</v>
      </c>
      <c r="E771" t="s">
        <v>59</v>
      </c>
      <c r="F771" t="s">
        <v>664</v>
      </c>
      <c r="G771" t="s">
        <v>59</v>
      </c>
      <c r="H771">
        <v>2023</v>
      </c>
    </row>
    <row r="772" spans="1:8" x14ac:dyDescent="0.2">
      <c r="A772">
        <v>184089</v>
      </c>
      <c r="B772">
        <v>4547</v>
      </c>
      <c r="C772" t="str">
        <f t="shared" si="12"/>
        <v>5. $1M+</v>
      </c>
      <c r="D772" t="s">
        <v>391</v>
      </c>
      <c r="E772" t="s">
        <v>237</v>
      </c>
      <c r="F772" t="s">
        <v>670</v>
      </c>
      <c r="G772" t="s">
        <v>59</v>
      </c>
      <c r="H772">
        <v>2023</v>
      </c>
    </row>
    <row r="773" spans="1:8" x14ac:dyDescent="0.2">
      <c r="A773">
        <v>184259</v>
      </c>
      <c r="B773">
        <v>300000</v>
      </c>
      <c r="C773" t="str">
        <f t="shared" si="12"/>
        <v>1. Under $10K</v>
      </c>
      <c r="D773" t="s">
        <v>970</v>
      </c>
      <c r="E773" t="s">
        <v>42</v>
      </c>
      <c r="F773" t="s">
        <v>670</v>
      </c>
      <c r="G773" t="s">
        <v>44</v>
      </c>
      <c r="H773">
        <v>2023</v>
      </c>
    </row>
    <row r="774" spans="1:8" x14ac:dyDescent="0.2">
      <c r="A774">
        <v>184261</v>
      </c>
      <c r="B774">
        <v>112000</v>
      </c>
      <c r="C774" t="str">
        <f t="shared" si="12"/>
        <v>4. $250K-1M</v>
      </c>
      <c r="D774" t="s">
        <v>971</v>
      </c>
      <c r="E774" t="s">
        <v>42</v>
      </c>
      <c r="F774" t="s">
        <v>670</v>
      </c>
      <c r="G774" t="s">
        <v>44</v>
      </c>
      <c r="H774">
        <v>2023</v>
      </c>
    </row>
    <row r="775" spans="1:8" x14ac:dyDescent="0.2">
      <c r="A775">
        <v>184446</v>
      </c>
      <c r="B775">
        <v>9507</v>
      </c>
      <c r="C775" t="str">
        <f t="shared" si="12"/>
        <v>3. $50K-250K</v>
      </c>
      <c r="D775" t="s">
        <v>785</v>
      </c>
      <c r="E775" t="s">
        <v>42</v>
      </c>
      <c r="F775" t="s">
        <v>670</v>
      </c>
      <c r="G775" t="s">
        <v>59</v>
      </c>
      <c r="H775">
        <v>2023</v>
      </c>
    </row>
    <row r="776" spans="1:8" x14ac:dyDescent="0.2">
      <c r="A776">
        <v>184512</v>
      </c>
      <c r="B776">
        <v>3000000</v>
      </c>
      <c r="C776" t="str">
        <f t="shared" si="12"/>
        <v>1. Under $10K</v>
      </c>
      <c r="D776" t="s">
        <v>151</v>
      </c>
      <c r="E776" t="s">
        <v>152</v>
      </c>
      <c r="F776" t="s">
        <v>14</v>
      </c>
      <c r="G776" t="s">
        <v>61</v>
      </c>
      <c r="H776">
        <v>2023</v>
      </c>
    </row>
    <row r="777" spans="1:8" x14ac:dyDescent="0.2">
      <c r="A777">
        <v>184513</v>
      </c>
      <c r="B777">
        <v>3000000</v>
      </c>
      <c r="C777" t="str">
        <f t="shared" si="12"/>
        <v>5. $1M+</v>
      </c>
      <c r="D777" t="s">
        <v>153</v>
      </c>
      <c r="E777" t="s">
        <v>152</v>
      </c>
      <c r="F777" t="s">
        <v>14</v>
      </c>
      <c r="G777" t="s">
        <v>61</v>
      </c>
      <c r="H777">
        <v>2023</v>
      </c>
    </row>
    <row r="778" spans="1:8" x14ac:dyDescent="0.2">
      <c r="A778">
        <v>184514</v>
      </c>
      <c r="B778">
        <v>3000000</v>
      </c>
      <c r="C778" t="str">
        <f t="shared" si="12"/>
        <v>5. $1M+</v>
      </c>
      <c r="D778" t="s">
        <v>154</v>
      </c>
      <c r="E778" t="s">
        <v>152</v>
      </c>
      <c r="F778" t="s">
        <v>14</v>
      </c>
      <c r="G778" t="s">
        <v>61</v>
      </c>
      <c r="H778">
        <v>2023</v>
      </c>
    </row>
    <row r="779" spans="1:8" x14ac:dyDescent="0.2">
      <c r="A779">
        <v>184515</v>
      </c>
      <c r="B779">
        <v>3000000</v>
      </c>
      <c r="C779" t="str">
        <f t="shared" si="12"/>
        <v>5. $1M+</v>
      </c>
      <c r="D779" t="s">
        <v>155</v>
      </c>
      <c r="E779" t="s">
        <v>152</v>
      </c>
      <c r="F779" t="s">
        <v>14</v>
      </c>
      <c r="G779" t="s">
        <v>61</v>
      </c>
      <c r="H779">
        <v>2023</v>
      </c>
    </row>
    <row r="780" spans="1:8" x14ac:dyDescent="0.2">
      <c r="A780">
        <v>184516</v>
      </c>
      <c r="B780">
        <v>3000000</v>
      </c>
      <c r="C780" t="str">
        <f t="shared" si="12"/>
        <v>5. $1M+</v>
      </c>
      <c r="D780" t="s">
        <v>156</v>
      </c>
      <c r="E780" t="s">
        <v>69</v>
      </c>
      <c r="F780" t="s">
        <v>14</v>
      </c>
      <c r="G780" t="s">
        <v>61</v>
      </c>
      <c r="H780">
        <v>2023</v>
      </c>
    </row>
    <row r="781" spans="1:8" x14ac:dyDescent="0.2">
      <c r="A781">
        <v>184517</v>
      </c>
      <c r="B781">
        <v>3000000</v>
      </c>
      <c r="C781" t="str">
        <f t="shared" si="12"/>
        <v>5. $1M+</v>
      </c>
      <c r="D781" t="s">
        <v>157</v>
      </c>
      <c r="E781" t="s">
        <v>152</v>
      </c>
      <c r="F781" t="s">
        <v>14</v>
      </c>
      <c r="G781" t="s">
        <v>61</v>
      </c>
      <c r="H781">
        <v>2023</v>
      </c>
    </row>
    <row r="782" spans="1:8" x14ac:dyDescent="0.2">
      <c r="A782">
        <v>184518</v>
      </c>
      <c r="B782">
        <v>3000000</v>
      </c>
      <c r="C782" t="str">
        <f t="shared" si="12"/>
        <v>5. $1M+</v>
      </c>
      <c r="D782" t="s">
        <v>158</v>
      </c>
      <c r="E782" t="s">
        <v>152</v>
      </c>
      <c r="F782" t="s">
        <v>14</v>
      </c>
      <c r="G782" t="s">
        <v>61</v>
      </c>
      <c r="H782">
        <v>2023</v>
      </c>
    </row>
    <row r="783" spans="1:8" x14ac:dyDescent="0.2">
      <c r="A783">
        <v>184519</v>
      </c>
      <c r="B783">
        <v>3000000</v>
      </c>
      <c r="C783" t="str">
        <f t="shared" si="12"/>
        <v>5. $1M+</v>
      </c>
      <c r="D783" t="s">
        <v>50</v>
      </c>
      <c r="E783" t="s">
        <v>152</v>
      </c>
      <c r="F783" t="s">
        <v>14</v>
      </c>
      <c r="G783" t="s">
        <v>61</v>
      </c>
      <c r="H783">
        <v>2023</v>
      </c>
    </row>
    <row r="784" spans="1:8" x14ac:dyDescent="0.2">
      <c r="A784">
        <v>184520</v>
      </c>
      <c r="B784">
        <v>3000000</v>
      </c>
      <c r="C784" t="str">
        <f t="shared" si="12"/>
        <v>5. $1M+</v>
      </c>
      <c r="D784" t="s">
        <v>159</v>
      </c>
      <c r="E784" t="s">
        <v>69</v>
      </c>
      <c r="F784" t="s">
        <v>14</v>
      </c>
      <c r="G784" t="s">
        <v>61</v>
      </c>
      <c r="H784">
        <v>2023</v>
      </c>
    </row>
    <row r="785" spans="1:8" x14ac:dyDescent="0.2">
      <c r="A785">
        <v>184522</v>
      </c>
      <c r="B785">
        <v>3000000</v>
      </c>
      <c r="C785" t="str">
        <f t="shared" si="12"/>
        <v>5. $1M+</v>
      </c>
      <c r="D785" t="s">
        <v>160</v>
      </c>
      <c r="E785" t="s">
        <v>152</v>
      </c>
      <c r="F785" t="s">
        <v>14</v>
      </c>
      <c r="G785" t="s">
        <v>61</v>
      </c>
      <c r="H785">
        <v>2023</v>
      </c>
    </row>
    <row r="786" spans="1:8" x14ac:dyDescent="0.2">
      <c r="A786">
        <v>184524</v>
      </c>
      <c r="B786">
        <v>3000000</v>
      </c>
      <c r="C786" t="str">
        <f t="shared" si="12"/>
        <v>5. $1M+</v>
      </c>
      <c r="D786" t="s">
        <v>161</v>
      </c>
      <c r="E786" t="s">
        <v>152</v>
      </c>
      <c r="F786" t="s">
        <v>14</v>
      </c>
      <c r="G786" t="s">
        <v>61</v>
      </c>
      <c r="H786">
        <v>2023</v>
      </c>
    </row>
    <row r="787" spans="1:8" x14ac:dyDescent="0.2">
      <c r="A787">
        <v>184525</v>
      </c>
      <c r="B787">
        <v>3000000</v>
      </c>
      <c r="C787" t="str">
        <f t="shared" si="12"/>
        <v>5. $1M+</v>
      </c>
      <c r="D787" t="s">
        <v>162</v>
      </c>
      <c r="E787" t="s">
        <v>152</v>
      </c>
      <c r="F787" t="s">
        <v>14</v>
      </c>
      <c r="G787" t="s">
        <v>61</v>
      </c>
      <c r="H787">
        <v>2023</v>
      </c>
    </row>
    <row r="788" spans="1:8" x14ac:dyDescent="0.2">
      <c r="A788">
        <v>184526</v>
      </c>
      <c r="B788">
        <v>3000000</v>
      </c>
      <c r="C788" t="str">
        <f t="shared" si="12"/>
        <v>5. $1M+</v>
      </c>
      <c r="D788" t="s">
        <v>163</v>
      </c>
      <c r="E788" t="s">
        <v>152</v>
      </c>
      <c r="F788" t="s">
        <v>14</v>
      </c>
      <c r="G788" t="s">
        <v>61</v>
      </c>
      <c r="H788">
        <v>2023</v>
      </c>
    </row>
    <row r="789" spans="1:8" x14ac:dyDescent="0.2">
      <c r="A789">
        <v>184527</v>
      </c>
      <c r="B789">
        <v>3000000</v>
      </c>
      <c r="C789" t="str">
        <f t="shared" si="12"/>
        <v>5. $1M+</v>
      </c>
      <c r="D789" t="s">
        <v>164</v>
      </c>
      <c r="E789" t="s">
        <v>152</v>
      </c>
      <c r="F789" t="s">
        <v>14</v>
      </c>
      <c r="G789" t="s">
        <v>61</v>
      </c>
      <c r="H789">
        <v>2023</v>
      </c>
    </row>
    <row r="790" spans="1:8" x14ac:dyDescent="0.2">
      <c r="A790">
        <v>184528</v>
      </c>
      <c r="B790">
        <v>3000000</v>
      </c>
      <c r="C790" t="str">
        <f t="shared" si="12"/>
        <v>5. $1M+</v>
      </c>
      <c r="D790" t="s">
        <v>165</v>
      </c>
      <c r="E790" t="s">
        <v>152</v>
      </c>
      <c r="F790" t="s">
        <v>14</v>
      </c>
      <c r="G790" t="s">
        <v>61</v>
      </c>
      <c r="H790">
        <v>2023</v>
      </c>
    </row>
    <row r="791" spans="1:8" x14ac:dyDescent="0.2">
      <c r="A791">
        <v>184529</v>
      </c>
      <c r="B791">
        <v>3000000</v>
      </c>
      <c r="C791" t="str">
        <f t="shared" si="12"/>
        <v>5. $1M+</v>
      </c>
      <c r="D791" t="s">
        <v>166</v>
      </c>
      <c r="E791" t="s">
        <v>152</v>
      </c>
      <c r="F791" t="s">
        <v>14</v>
      </c>
      <c r="G791" t="s">
        <v>61</v>
      </c>
      <c r="H791">
        <v>2023</v>
      </c>
    </row>
    <row r="792" spans="1:8" x14ac:dyDescent="0.2">
      <c r="A792">
        <v>184531</v>
      </c>
      <c r="B792">
        <v>3000000</v>
      </c>
      <c r="C792" t="str">
        <f t="shared" si="12"/>
        <v>5. $1M+</v>
      </c>
      <c r="D792" t="s">
        <v>167</v>
      </c>
      <c r="E792" t="s">
        <v>69</v>
      </c>
      <c r="F792" t="s">
        <v>14</v>
      </c>
      <c r="G792" t="s">
        <v>61</v>
      </c>
      <c r="H792">
        <v>2023</v>
      </c>
    </row>
    <row r="793" spans="1:8" x14ac:dyDescent="0.2">
      <c r="A793">
        <v>184532</v>
      </c>
      <c r="B793">
        <v>3000000</v>
      </c>
      <c r="C793" t="str">
        <f t="shared" si="12"/>
        <v>5. $1M+</v>
      </c>
      <c r="D793" t="s">
        <v>168</v>
      </c>
      <c r="E793" t="s">
        <v>152</v>
      </c>
      <c r="F793" t="s">
        <v>14</v>
      </c>
      <c r="G793" t="s">
        <v>61</v>
      </c>
      <c r="H793">
        <v>2023</v>
      </c>
    </row>
    <row r="794" spans="1:8" x14ac:dyDescent="0.2">
      <c r="A794">
        <v>184533</v>
      </c>
      <c r="B794">
        <v>3000000</v>
      </c>
      <c r="C794" t="str">
        <f t="shared" si="12"/>
        <v>5. $1M+</v>
      </c>
      <c r="D794" t="s">
        <v>169</v>
      </c>
      <c r="E794" t="s">
        <v>152</v>
      </c>
      <c r="F794" t="s">
        <v>14</v>
      </c>
      <c r="G794" t="s">
        <v>61</v>
      </c>
      <c r="H794">
        <v>2023</v>
      </c>
    </row>
    <row r="795" spans="1:8" x14ac:dyDescent="0.2">
      <c r="A795">
        <v>184534</v>
      </c>
      <c r="B795">
        <v>3000000</v>
      </c>
      <c r="C795" t="str">
        <f t="shared" si="12"/>
        <v>5. $1M+</v>
      </c>
      <c r="D795" t="s">
        <v>170</v>
      </c>
      <c r="E795" t="s">
        <v>152</v>
      </c>
      <c r="F795" t="s">
        <v>14</v>
      </c>
      <c r="G795" t="s">
        <v>61</v>
      </c>
      <c r="H795">
        <v>2023</v>
      </c>
    </row>
    <row r="796" spans="1:8" x14ac:dyDescent="0.2">
      <c r="A796">
        <v>184535</v>
      </c>
      <c r="B796">
        <v>3000000</v>
      </c>
      <c r="C796" t="str">
        <f t="shared" si="12"/>
        <v>5. $1M+</v>
      </c>
      <c r="D796" t="s">
        <v>171</v>
      </c>
      <c r="E796" t="s">
        <v>152</v>
      </c>
      <c r="F796" t="s">
        <v>14</v>
      </c>
      <c r="G796" t="s">
        <v>61</v>
      </c>
      <c r="H796">
        <v>2023</v>
      </c>
    </row>
    <row r="797" spans="1:8" x14ac:dyDescent="0.2">
      <c r="A797">
        <v>184541</v>
      </c>
      <c r="B797">
        <v>2704163</v>
      </c>
      <c r="C797" t="str">
        <f t="shared" si="12"/>
        <v>5. $1M+</v>
      </c>
      <c r="D797" t="s">
        <v>129</v>
      </c>
      <c r="E797" t="s">
        <v>28</v>
      </c>
      <c r="F797" t="s">
        <v>85</v>
      </c>
      <c r="G797" t="s">
        <v>10</v>
      </c>
      <c r="H797">
        <v>2023</v>
      </c>
    </row>
    <row r="798" spans="1:8" x14ac:dyDescent="0.2">
      <c r="A798">
        <v>184588</v>
      </c>
      <c r="B798">
        <v>1803572</v>
      </c>
      <c r="C798" t="str">
        <f t="shared" si="12"/>
        <v>5. $1M+</v>
      </c>
      <c r="D798" t="s">
        <v>172</v>
      </c>
      <c r="E798" t="s">
        <v>8</v>
      </c>
      <c r="F798" t="s">
        <v>9</v>
      </c>
      <c r="G798" t="s">
        <v>10</v>
      </c>
      <c r="H798">
        <v>2024</v>
      </c>
    </row>
    <row r="799" spans="1:8" x14ac:dyDescent="0.2">
      <c r="A799">
        <v>184725</v>
      </c>
      <c r="B799">
        <v>697264</v>
      </c>
      <c r="C799" t="str">
        <f t="shared" si="12"/>
        <v>5. $1M+</v>
      </c>
      <c r="D799" t="s">
        <v>917</v>
      </c>
      <c r="E799" t="s">
        <v>237</v>
      </c>
      <c r="F799" t="s">
        <v>670</v>
      </c>
      <c r="G799" t="s">
        <v>59</v>
      </c>
      <c r="H799">
        <v>2023</v>
      </c>
    </row>
    <row r="800" spans="1:8" x14ac:dyDescent="0.2">
      <c r="A800">
        <v>184823</v>
      </c>
      <c r="B800">
        <v>10000</v>
      </c>
      <c r="C800" t="str">
        <f t="shared" si="12"/>
        <v>4. $250K-1M</v>
      </c>
      <c r="D800" t="s">
        <v>972</v>
      </c>
      <c r="E800" t="s">
        <v>237</v>
      </c>
      <c r="F800" t="s">
        <v>670</v>
      </c>
      <c r="G800" t="s">
        <v>59</v>
      </c>
      <c r="H800">
        <v>2023</v>
      </c>
    </row>
    <row r="801" spans="1:8" x14ac:dyDescent="0.2">
      <c r="A801">
        <v>184824</v>
      </c>
      <c r="B801">
        <v>713485.1</v>
      </c>
      <c r="C801" t="str">
        <f t="shared" si="12"/>
        <v>2. $10K-50K</v>
      </c>
      <c r="D801" t="s">
        <v>973</v>
      </c>
      <c r="E801" t="s">
        <v>8</v>
      </c>
      <c r="F801" t="s">
        <v>668</v>
      </c>
      <c r="G801" t="s">
        <v>59</v>
      </c>
      <c r="H801">
        <v>2025</v>
      </c>
    </row>
    <row r="802" spans="1:8" x14ac:dyDescent="0.2">
      <c r="A802">
        <v>184826</v>
      </c>
      <c r="B802">
        <v>10000</v>
      </c>
      <c r="C802" t="str">
        <f t="shared" si="12"/>
        <v>4. $250K-1M</v>
      </c>
      <c r="D802" t="s">
        <v>801</v>
      </c>
      <c r="E802" t="s">
        <v>237</v>
      </c>
      <c r="F802" t="s">
        <v>670</v>
      </c>
      <c r="G802" t="s">
        <v>59</v>
      </c>
      <c r="H802">
        <v>2023</v>
      </c>
    </row>
    <row r="803" spans="1:8" x14ac:dyDescent="0.2">
      <c r="A803">
        <v>184827</v>
      </c>
      <c r="B803">
        <v>10000</v>
      </c>
      <c r="C803" t="str">
        <f t="shared" si="12"/>
        <v>2. $10K-50K</v>
      </c>
      <c r="D803" t="s">
        <v>974</v>
      </c>
      <c r="E803" t="s">
        <v>237</v>
      </c>
      <c r="F803" t="s">
        <v>670</v>
      </c>
      <c r="G803" t="s">
        <v>59</v>
      </c>
      <c r="H803">
        <v>2023</v>
      </c>
    </row>
    <row r="804" spans="1:8" x14ac:dyDescent="0.2">
      <c r="A804">
        <v>184828</v>
      </c>
      <c r="B804">
        <v>10000</v>
      </c>
      <c r="C804" t="str">
        <f t="shared" si="12"/>
        <v>2. $10K-50K</v>
      </c>
      <c r="D804" t="s">
        <v>975</v>
      </c>
      <c r="E804" t="s">
        <v>237</v>
      </c>
      <c r="F804" t="s">
        <v>670</v>
      </c>
      <c r="G804" t="s">
        <v>59</v>
      </c>
      <c r="H804">
        <v>2023</v>
      </c>
    </row>
    <row r="805" spans="1:8" x14ac:dyDescent="0.2">
      <c r="A805">
        <v>184830</v>
      </c>
      <c r="B805">
        <v>10000</v>
      </c>
      <c r="C805" t="str">
        <f t="shared" si="12"/>
        <v>2. $10K-50K</v>
      </c>
      <c r="D805" t="s">
        <v>880</v>
      </c>
      <c r="E805" t="s">
        <v>237</v>
      </c>
      <c r="F805" t="s">
        <v>670</v>
      </c>
      <c r="G805" t="s">
        <v>59</v>
      </c>
      <c r="H805">
        <v>2023</v>
      </c>
    </row>
    <row r="806" spans="1:8" x14ac:dyDescent="0.2">
      <c r="A806">
        <v>184835</v>
      </c>
      <c r="B806">
        <v>211198</v>
      </c>
      <c r="C806" t="str">
        <f t="shared" si="12"/>
        <v>2. $10K-50K</v>
      </c>
      <c r="D806" t="s">
        <v>822</v>
      </c>
      <c r="E806" t="s">
        <v>237</v>
      </c>
      <c r="F806" t="s">
        <v>670</v>
      </c>
      <c r="G806" t="s">
        <v>59</v>
      </c>
      <c r="H806">
        <v>2023</v>
      </c>
    </row>
    <row r="807" spans="1:8" x14ac:dyDescent="0.2">
      <c r="A807">
        <v>184912</v>
      </c>
      <c r="B807">
        <v>3212166.4</v>
      </c>
      <c r="C807" t="str">
        <f t="shared" si="12"/>
        <v>3. $50K-250K</v>
      </c>
      <c r="D807" t="s">
        <v>173</v>
      </c>
      <c r="E807" t="s">
        <v>8</v>
      </c>
      <c r="F807" t="s">
        <v>9</v>
      </c>
      <c r="G807" t="s">
        <v>10</v>
      </c>
      <c r="H807">
        <v>2024</v>
      </c>
    </row>
    <row r="808" spans="1:8" x14ac:dyDescent="0.2">
      <c r="A808">
        <v>184945</v>
      </c>
      <c r="B808">
        <v>32382593</v>
      </c>
      <c r="C808" t="str">
        <f t="shared" si="12"/>
        <v>5. $1M+</v>
      </c>
      <c r="D808" t="s">
        <v>976</v>
      </c>
      <c r="E808" t="s">
        <v>237</v>
      </c>
      <c r="F808" t="s">
        <v>670</v>
      </c>
      <c r="G808" t="s">
        <v>59</v>
      </c>
      <c r="H808">
        <v>2023</v>
      </c>
    </row>
    <row r="809" spans="1:8" x14ac:dyDescent="0.2">
      <c r="A809">
        <v>184997</v>
      </c>
      <c r="B809">
        <v>52800</v>
      </c>
      <c r="C809" t="str">
        <f t="shared" si="12"/>
        <v>5. $1M+</v>
      </c>
      <c r="D809" t="s">
        <v>921</v>
      </c>
      <c r="E809" t="s">
        <v>237</v>
      </c>
      <c r="F809" t="s">
        <v>670</v>
      </c>
      <c r="G809" t="s">
        <v>59</v>
      </c>
      <c r="H809">
        <v>2023</v>
      </c>
    </row>
    <row r="810" spans="1:8" x14ac:dyDescent="0.2">
      <c r="A810">
        <v>185426</v>
      </c>
      <c r="B810">
        <v>833333</v>
      </c>
      <c r="C810" t="str">
        <f t="shared" si="12"/>
        <v>3. $50K-250K</v>
      </c>
      <c r="D810" t="s">
        <v>895</v>
      </c>
      <c r="E810" t="s">
        <v>42</v>
      </c>
      <c r="F810" t="s">
        <v>670</v>
      </c>
      <c r="G810" t="s">
        <v>44</v>
      </c>
      <c r="H810">
        <v>2023</v>
      </c>
    </row>
    <row r="811" spans="1:8" x14ac:dyDescent="0.2">
      <c r="A811">
        <v>185427</v>
      </c>
      <c r="B811">
        <v>1007502</v>
      </c>
      <c r="C811" t="str">
        <f t="shared" si="12"/>
        <v>4. $250K-1M</v>
      </c>
      <c r="D811" t="s">
        <v>804</v>
      </c>
      <c r="E811" t="s">
        <v>42</v>
      </c>
      <c r="F811" t="s">
        <v>670</v>
      </c>
      <c r="G811" t="s">
        <v>44</v>
      </c>
      <c r="H811">
        <v>2023</v>
      </c>
    </row>
    <row r="812" spans="1:8" x14ac:dyDescent="0.2">
      <c r="A812">
        <v>185428</v>
      </c>
      <c r="B812">
        <v>1007500</v>
      </c>
      <c r="C812" t="str">
        <f t="shared" si="12"/>
        <v>5. $1M+</v>
      </c>
      <c r="D812" t="s">
        <v>674</v>
      </c>
      <c r="E812" t="s">
        <v>42</v>
      </c>
      <c r="F812" t="s">
        <v>670</v>
      </c>
      <c r="G812" t="s">
        <v>44</v>
      </c>
      <c r="H812">
        <v>2023</v>
      </c>
    </row>
    <row r="813" spans="1:8" x14ac:dyDescent="0.2">
      <c r="A813">
        <v>185460</v>
      </c>
      <c r="B813">
        <v>500000</v>
      </c>
      <c r="C813" t="str">
        <f t="shared" si="12"/>
        <v>5. $1M+</v>
      </c>
      <c r="D813" t="s">
        <v>977</v>
      </c>
      <c r="E813" t="s">
        <v>42</v>
      </c>
      <c r="F813" t="s">
        <v>670</v>
      </c>
      <c r="G813" t="s">
        <v>44</v>
      </c>
      <c r="H813">
        <v>2023</v>
      </c>
    </row>
    <row r="814" spans="1:8" x14ac:dyDescent="0.2">
      <c r="A814">
        <v>185468</v>
      </c>
      <c r="B814">
        <v>1752874</v>
      </c>
      <c r="C814" t="str">
        <f t="shared" si="12"/>
        <v>4. $250K-1M</v>
      </c>
      <c r="D814" t="s">
        <v>978</v>
      </c>
      <c r="E814" t="s">
        <v>42</v>
      </c>
      <c r="F814" t="s">
        <v>670</v>
      </c>
      <c r="G814" t="s">
        <v>44</v>
      </c>
      <c r="H814">
        <v>2023</v>
      </c>
    </row>
    <row r="815" spans="1:8" x14ac:dyDescent="0.2">
      <c r="A815">
        <v>185469</v>
      </c>
      <c r="B815">
        <v>700000</v>
      </c>
      <c r="C815" t="str">
        <f t="shared" si="12"/>
        <v>5. $1M+</v>
      </c>
      <c r="D815" t="s">
        <v>801</v>
      </c>
      <c r="E815" t="s">
        <v>42</v>
      </c>
      <c r="F815" t="s">
        <v>670</v>
      </c>
      <c r="G815" t="s">
        <v>44</v>
      </c>
      <c r="H815">
        <v>2023</v>
      </c>
    </row>
    <row r="816" spans="1:8" x14ac:dyDescent="0.2">
      <c r="A816">
        <v>185473</v>
      </c>
      <c r="B816">
        <v>700000</v>
      </c>
      <c r="C816" t="str">
        <f t="shared" si="12"/>
        <v>4. $250K-1M</v>
      </c>
      <c r="D816" t="s">
        <v>957</v>
      </c>
      <c r="E816" t="s">
        <v>42</v>
      </c>
      <c r="F816" t="s">
        <v>670</v>
      </c>
      <c r="G816" t="s">
        <v>44</v>
      </c>
      <c r="H816">
        <v>2023</v>
      </c>
    </row>
    <row r="817" spans="1:8" x14ac:dyDescent="0.2">
      <c r="A817">
        <v>185620</v>
      </c>
      <c r="B817">
        <v>52800</v>
      </c>
      <c r="C817" t="str">
        <f t="shared" si="12"/>
        <v>4. $250K-1M</v>
      </c>
      <c r="D817" t="s">
        <v>921</v>
      </c>
      <c r="E817" t="s">
        <v>237</v>
      </c>
      <c r="F817" t="s">
        <v>670</v>
      </c>
      <c r="G817" t="s">
        <v>59</v>
      </c>
      <c r="H817">
        <v>2023</v>
      </c>
    </row>
    <row r="818" spans="1:8" x14ac:dyDescent="0.2">
      <c r="A818">
        <v>185625</v>
      </c>
      <c r="B818">
        <v>79659</v>
      </c>
      <c r="C818" t="str">
        <f t="shared" si="12"/>
        <v>3. $50K-250K</v>
      </c>
      <c r="D818" t="s">
        <v>391</v>
      </c>
      <c r="E818" t="s">
        <v>237</v>
      </c>
      <c r="F818" t="s">
        <v>670</v>
      </c>
      <c r="G818" t="s">
        <v>59</v>
      </c>
      <c r="H818">
        <v>2023</v>
      </c>
    </row>
    <row r="819" spans="1:8" x14ac:dyDescent="0.2">
      <c r="A819">
        <v>186176</v>
      </c>
      <c r="B819">
        <v>2955.9</v>
      </c>
      <c r="C819" t="str">
        <f t="shared" si="12"/>
        <v>3. $50K-250K</v>
      </c>
      <c r="D819" t="s">
        <v>804</v>
      </c>
      <c r="E819" t="s">
        <v>99</v>
      </c>
      <c r="F819" t="s">
        <v>668</v>
      </c>
      <c r="G819" t="s">
        <v>59</v>
      </c>
      <c r="H819">
        <v>2023</v>
      </c>
    </row>
    <row r="820" spans="1:8" x14ac:dyDescent="0.2">
      <c r="A820">
        <v>186191</v>
      </c>
      <c r="B820">
        <v>225000000</v>
      </c>
      <c r="C820" t="str">
        <f t="shared" si="12"/>
        <v>1. Under $10K</v>
      </c>
      <c r="D820" t="s">
        <v>174</v>
      </c>
      <c r="E820" t="s">
        <v>18</v>
      </c>
      <c r="F820" t="s">
        <v>43</v>
      </c>
      <c r="G820" t="s">
        <v>44</v>
      </c>
      <c r="H820">
        <v>2024</v>
      </c>
    </row>
    <row r="821" spans="1:8" x14ac:dyDescent="0.2">
      <c r="A821">
        <v>186198</v>
      </c>
      <c r="B821">
        <v>4674327</v>
      </c>
      <c r="C821" t="str">
        <f t="shared" si="12"/>
        <v>5. $1M+</v>
      </c>
      <c r="D821" t="s">
        <v>175</v>
      </c>
      <c r="E821" t="s">
        <v>18</v>
      </c>
      <c r="F821" t="s">
        <v>22</v>
      </c>
      <c r="G821" t="s">
        <v>10</v>
      </c>
      <c r="H821">
        <v>2024</v>
      </c>
    </row>
    <row r="822" spans="1:8" x14ac:dyDescent="0.2">
      <c r="A822">
        <v>18620</v>
      </c>
      <c r="B822">
        <v>3116081.6</v>
      </c>
      <c r="C822" t="str">
        <f t="shared" si="12"/>
        <v>5. $1M+</v>
      </c>
      <c r="D822" t="s">
        <v>979</v>
      </c>
      <c r="E822" t="s">
        <v>99</v>
      </c>
      <c r="F822" t="s">
        <v>668</v>
      </c>
      <c r="G822" t="s">
        <v>59</v>
      </c>
      <c r="H822">
        <v>2024</v>
      </c>
    </row>
    <row r="823" spans="1:8" x14ac:dyDescent="0.2">
      <c r="A823">
        <v>186883</v>
      </c>
      <c r="B823">
        <v>146612</v>
      </c>
      <c r="C823" t="str">
        <f t="shared" si="12"/>
        <v>5. $1M+</v>
      </c>
      <c r="D823" t="s">
        <v>783</v>
      </c>
      <c r="E823" t="s">
        <v>237</v>
      </c>
      <c r="F823" t="s">
        <v>670</v>
      </c>
      <c r="G823" t="s">
        <v>59</v>
      </c>
      <c r="H823">
        <v>2023</v>
      </c>
    </row>
    <row r="824" spans="1:8" x14ac:dyDescent="0.2">
      <c r="A824">
        <v>186950</v>
      </c>
      <c r="B824">
        <v>460054</v>
      </c>
      <c r="C824" t="str">
        <f t="shared" si="12"/>
        <v>3. $50K-250K</v>
      </c>
      <c r="D824" t="s">
        <v>708</v>
      </c>
      <c r="E824" t="s">
        <v>237</v>
      </c>
      <c r="F824" t="s">
        <v>670</v>
      </c>
      <c r="G824" t="s">
        <v>59</v>
      </c>
      <c r="H824">
        <v>2024</v>
      </c>
    </row>
    <row r="825" spans="1:8" x14ac:dyDescent="0.2">
      <c r="A825">
        <v>187061</v>
      </c>
      <c r="B825">
        <v>164864</v>
      </c>
      <c r="C825" t="str">
        <f t="shared" si="12"/>
        <v>4. $250K-1M</v>
      </c>
      <c r="D825" t="s">
        <v>980</v>
      </c>
      <c r="E825" t="s">
        <v>237</v>
      </c>
      <c r="F825" t="s">
        <v>670</v>
      </c>
      <c r="G825" t="s">
        <v>59</v>
      </c>
      <c r="H825">
        <v>2023</v>
      </c>
    </row>
    <row r="826" spans="1:8" x14ac:dyDescent="0.2">
      <c r="A826">
        <v>187187</v>
      </c>
      <c r="B826">
        <v>120000</v>
      </c>
      <c r="C826" t="str">
        <f t="shared" si="12"/>
        <v>3. $50K-250K</v>
      </c>
      <c r="D826" t="s">
        <v>981</v>
      </c>
      <c r="E826" t="s">
        <v>59</v>
      </c>
      <c r="F826" t="s">
        <v>664</v>
      </c>
      <c r="G826" t="s">
        <v>59</v>
      </c>
      <c r="H826">
        <v>2023</v>
      </c>
    </row>
    <row r="827" spans="1:8" x14ac:dyDescent="0.2">
      <c r="A827">
        <v>187331</v>
      </c>
      <c r="B827">
        <v>100000</v>
      </c>
      <c r="C827" t="str">
        <f t="shared" si="12"/>
        <v>3. $50K-250K</v>
      </c>
      <c r="D827" t="s">
        <v>982</v>
      </c>
      <c r="E827" t="s">
        <v>112</v>
      </c>
      <c r="F827" t="s">
        <v>668</v>
      </c>
      <c r="G827" t="s">
        <v>59</v>
      </c>
      <c r="H827">
        <v>2024</v>
      </c>
    </row>
    <row r="828" spans="1:8" x14ac:dyDescent="0.2">
      <c r="A828">
        <v>187342</v>
      </c>
      <c r="B828">
        <v>62394660</v>
      </c>
      <c r="C828" t="str">
        <f t="shared" si="12"/>
        <v>3. $50K-250K</v>
      </c>
      <c r="D828" t="s">
        <v>39</v>
      </c>
      <c r="E828" t="s">
        <v>8</v>
      </c>
      <c r="F828" t="s">
        <v>9</v>
      </c>
      <c r="G828" t="s">
        <v>10</v>
      </c>
      <c r="H828">
        <v>2023</v>
      </c>
    </row>
    <row r="829" spans="1:8" x14ac:dyDescent="0.2">
      <c r="A829">
        <v>187414</v>
      </c>
      <c r="B829">
        <v>56360</v>
      </c>
      <c r="C829" t="str">
        <f t="shared" si="12"/>
        <v>5. $1M+</v>
      </c>
      <c r="D829" t="s">
        <v>799</v>
      </c>
      <c r="E829" t="s">
        <v>237</v>
      </c>
      <c r="F829" t="s">
        <v>670</v>
      </c>
      <c r="G829" t="s">
        <v>59</v>
      </c>
      <c r="H829">
        <v>2023</v>
      </c>
    </row>
    <row r="830" spans="1:8" x14ac:dyDescent="0.2">
      <c r="A830">
        <v>187415</v>
      </c>
      <c r="B830">
        <v>28180</v>
      </c>
      <c r="C830" t="str">
        <f t="shared" si="12"/>
        <v>3. $50K-250K</v>
      </c>
      <c r="D830" t="s">
        <v>717</v>
      </c>
      <c r="E830" t="s">
        <v>237</v>
      </c>
      <c r="F830" t="s">
        <v>670</v>
      </c>
      <c r="G830" t="s">
        <v>59</v>
      </c>
      <c r="H830">
        <v>2023</v>
      </c>
    </row>
    <row r="831" spans="1:8" x14ac:dyDescent="0.2">
      <c r="A831">
        <v>187417</v>
      </c>
      <c r="B831">
        <v>28180</v>
      </c>
      <c r="C831" t="str">
        <f t="shared" si="12"/>
        <v>2. $10K-50K</v>
      </c>
      <c r="D831" t="s">
        <v>980</v>
      </c>
      <c r="E831" t="s">
        <v>237</v>
      </c>
      <c r="F831" t="s">
        <v>670</v>
      </c>
      <c r="G831" t="s">
        <v>59</v>
      </c>
      <c r="H831">
        <v>2023</v>
      </c>
    </row>
    <row r="832" spans="1:8" x14ac:dyDescent="0.2">
      <c r="A832">
        <v>187418</v>
      </c>
      <c r="B832">
        <v>28180</v>
      </c>
      <c r="C832" t="str">
        <f t="shared" si="12"/>
        <v>2. $10K-50K</v>
      </c>
      <c r="D832" t="s">
        <v>783</v>
      </c>
      <c r="E832" t="s">
        <v>237</v>
      </c>
      <c r="F832" t="s">
        <v>670</v>
      </c>
      <c r="G832" t="s">
        <v>59</v>
      </c>
      <c r="H832">
        <v>2023</v>
      </c>
    </row>
    <row r="833" spans="1:8" x14ac:dyDescent="0.2">
      <c r="A833">
        <v>187419</v>
      </c>
      <c r="B833">
        <v>28280</v>
      </c>
      <c r="C833" t="str">
        <f t="shared" si="12"/>
        <v>2. $10K-50K</v>
      </c>
      <c r="D833" t="s">
        <v>983</v>
      </c>
      <c r="E833" t="s">
        <v>237</v>
      </c>
      <c r="F833" t="s">
        <v>670</v>
      </c>
      <c r="G833" t="s">
        <v>59</v>
      </c>
      <c r="H833">
        <v>2023</v>
      </c>
    </row>
    <row r="834" spans="1:8" x14ac:dyDescent="0.2">
      <c r="A834">
        <v>187420</v>
      </c>
      <c r="B834">
        <v>49412</v>
      </c>
      <c r="C834" t="str">
        <f t="shared" si="12"/>
        <v>2. $10K-50K</v>
      </c>
      <c r="D834" t="s">
        <v>548</v>
      </c>
      <c r="E834" t="s">
        <v>237</v>
      </c>
      <c r="F834" t="s">
        <v>670</v>
      </c>
      <c r="G834" t="s">
        <v>59</v>
      </c>
      <c r="H834">
        <v>2023</v>
      </c>
    </row>
    <row r="835" spans="1:8" x14ac:dyDescent="0.2">
      <c r="A835">
        <v>187434</v>
      </c>
      <c r="B835">
        <v>28180</v>
      </c>
      <c r="C835" t="str">
        <f t="shared" ref="C835:C898" si="13">IF(B834&lt;10000,"1. Under $10K",IF(B834&lt;50000,"2. $10K-50K",IF(B834&lt;250000,"3. $50K-250K",IF(B834&lt;1000000,"4. $250K-1M","5. $1M+"))))</f>
        <v>2. $10K-50K</v>
      </c>
      <c r="D835" t="s">
        <v>984</v>
      </c>
      <c r="E835" t="s">
        <v>237</v>
      </c>
      <c r="F835" t="s">
        <v>670</v>
      </c>
      <c r="G835" t="s">
        <v>59</v>
      </c>
      <c r="H835">
        <v>2023</v>
      </c>
    </row>
    <row r="836" spans="1:8" x14ac:dyDescent="0.2">
      <c r="A836">
        <v>187435</v>
      </c>
      <c r="B836">
        <v>28180</v>
      </c>
      <c r="C836" t="str">
        <f t="shared" si="13"/>
        <v>2. $10K-50K</v>
      </c>
      <c r="D836" t="s">
        <v>985</v>
      </c>
      <c r="E836" t="s">
        <v>237</v>
      </c>
      <c r="F836" t="s">
        <v>670</v>
      </c>
      <c r="G836" t="s">
        <v>59</v>
      </c>
      <c r="H836">
        <v>2023</v>
      </c>
    </row>
    <row r="837" spans="1:8" x14ac:dyDescent="0.2">
      <c r="A837">
        <v>187439</v>
      </c>
      <c r="B837">
        <v>28180</v>
      </c>
      <c r="C837" t="str">
        <f t="shared" si="13"/>
        <v>2. $10K-50K</v>
      </c>
      <c r="D837" t="s">
        <v>986</v>
      </c>
      <c r="E837" t="s">
        <v>237</v>
      </c>
      <c r="F837" t="s">
        <v>670</v>
      </c>
      <c r="G837" t="s">
        <v>59</v>
      </c>
      <c r="H837">
        <v>2023</v>
      </c>
    </row>
    <row r="838" spans="1:8" x14ac:dyDescent="0.2">
      <c r="A838">
        <v>187441</v>
      </c>
      <c r="B838">
        <v>600382</v>
      </c>
      <c r="C838" t="str">
        <f t="shared" si="13"/>
        <v>2. $10K-50K</v>
      </c>
      <c r="D838" t="s">
        <v>987</v>
      </c>
      <c r="E838" t="s">
        <v>237</v>
      </c>
      <c r="F838" t="s">
        <v>670</v>
      </c>
      <c r="G838" t="s">
        <v>59</v>
      </c>
      <c r="H838">
        <v>2023</v>
      </c>
    </row>
    <row r="839" spans="1:8" x14ac:dyDescent="0.2">
      <c r="A839">
        <v>187455</v>
      </c>
      <c r="B839">
        <v>208014</v>
      </c>
      <c r="C839" t="str">
        <f t="shared" si="13"/>
        <v>4. $250K-1M</v>
      </c>
      <c r="D839" t="s">
        <v>988</v>
      </c>
      <c r="E839" t="s">
        <v>237</v>
      </c>
      <c r="F839" t="s">
        <v>670</v>
      </c>
      <c r="G839" t="s">
        <v>59</v>
      </c>
      <c r="H839">
        <v>2023</v>
      </c>
    </row>
    <row r="840" spans="1:8" x14ac:dyDescent="0.2">
      <c r="A840">
        <v>187458</v>
      </c>
      <c r="B840">
        <v>28180</v>
      </c>
      <c r="C840" t="str">
        <f t="shared" si="13"/>
        <v>3. $50K-250K</v>
      </c>
      <c r="D840" t="s">
        <v>989</v>
      </c>
      <c r="E840" t="s">
        <v>237</v>
      </c>
      <c r="F840" t="s">
        <v>670</v>
      </c>
      <c r="G840" t="s">
        <v>59</v>
      </c>
      <c r="H840">
        <v>2023</v>
      </c>
    </row>
    <row r="841" spans="1:8" x14ac:dyDescent="0.2">
      <c r="A841">
        <v>187482</v>
      </c>
      <c r="B841">
        <v>28180</v>
      </c>
      <c r="C841" t="str">
        <f t="shared" si="13"/>
        <v>2. $10K-50K</v>
      </c>
      <c r="D841" t="s">
        <v>781</v>
      </c>
      <c r="E841" t="s">
        <v>237</v>
      </c>
      <c r="F841" t="s">
        <v>670</v>
      </c>
      <c r="G841" t="s">
        <v>59</v>
      </c>
      <c r="H841">
        <v>2023</v>
      </c>
    </row>
    <row r="842" spans="1:8" x14ac:dyDescent="0.2">
      <c r="A842">
        <v>187483</v>
      </c>
      <c r="B842">
        <v>28180</v>
      </c>
      <c r="C842" t="str">
        <f t="shared" si="13"/>
        <v>2. $10K-50K</v>
      </c>
      <c r="D842" t="s">
        <v>925</v>
      </c>
      <c r="E842" t="s">
        <v>237</v>
      </c>
      <c r="F842" t="s">
        <v>670</v>
      </c>
      <c r="G842" t="s">
        <v>59</v>
      </c>
      <c r="H842">
        <v>2023</v>
      </c>
    </row>
    <row r="843" spans="1:8" x14ac:dyDescent="0.2">
      <c r="A843">
        <v>187490</v>
      </c>
      <c r="B843">
        <v>28180</v>
      </c>
      <c r="C843" t="str">
        <f t="shared" si="13"/>
        <v>2. $10K-50K</v>
      </c>
      <c r="D843" t="s">
        <v>838</v>
      </c>
      <c r="E843" t="s">
        <v>237</v>
      </c>
      <c r="F843" t="s">
        <v>670</v>
      </c>
      <c r="G843" t="s">
        <v>59</v>
      </c>
      <c r="H843">
        <v>2023</v>
      </c>
    </row>
    <row r="844" spans="1:8" x14ac:dyDescent="0.2">
      <c r="A844">
        <v>187491</v>
      </c>
      <c r="B844">
        <v>28180</v>
      </c>
      <c r="C844" t="str">
        <f t="shared" si="13"/>
        <v>2. $10K-50K</v>
      </c>
      <c r="D844" t="s">
        <v>990</v>
      </c>
      <c r="E844" t="s">
        <v>237</v>
      </c>
      <c r="F844" t="s">
        <v>670</v>
      </c>
      <c r="G844" t="s">
        <v>59</v>
      </c>
      <c r="H844">
        <v>2023</v>
      </c>
    </row>
    <row r="845" spans="1:8" x14ac:dyDescent="0.2">
      <c r="A845">
        <v>187924</v>
      </c>
      <c r="B845">
        <v>580000</v>
      </c>
      <c r="C845" t="str">
        <f t="shared" si="13"/>
        <v>2. $10K-50K</v>
      </c>
      <c r="D845" t="s">
        <v>936</v>
      </c>
      <c r="E845" t="s">
        <v>237</v>
      </c>
      <c r="F845" t="s">
        <v>670</v>
      </c>
      <c r="G845" t="s">
        <v>59</v>
      </c>
      <c r="H845">
        <v>2024</v>
      </c>
    </row>
    <row r="846" spans="1:8" x14ac:dyDescent="0.2">
      <c r="A846">
        <v>188150</v>
      </c>
      <c r="B846">
        <v>62500</v>
      </c>
      <c r="C846" t="str">
        <f t="shared" si="13"/>
        <v>4. $250K-1M</v>
      </c>
      <c r="D846" t="s">
        <v>991</v>
      </c>
      <c r="E846" t="s">
        <v>99</v>
      </c>
      <c r="F846" t="s">
        <v>670</v>
      </c>
      <c r="G846" t="s">
        <v>44</v>
      </c>
      <c r="H846">
        <v>2023</v>
      </c>
    </row>
    <row r="847" spans="1:8" x14ac:dyDescent="0.2">
      <c r="A847">
        <v>188492</v>
      </c>
      <c r="B847">
        <v>1667024</v>
      </c>
      <c r="C847" t="str">
        <f t="shared" si="13"/>
        <v>3. $50K-250K</v>
      </c>
      <c r="D847" t="s">
        <v>176</v>
      </c>
      <c r="E847" t="s">
        <v>67</v>
      </c>
      <c r="F847" t="s">
        <v>43</v>
      </c>
      <c r="G847" t="s">
        <v>44</v>
      </c>
      <c r="H847">
        <v>2023</v>
      </c>
    </row>
    <row r="848" spans="1:8" x14ac:dyDescent="0.2">
      <c r="A848">
        <v>188624</v>
      </c>
      <c r="B848">
        <v>8300000</v>
      </c>
      <c r="C848" t="str">
        <f t="shared" si="13"/>
        <v>5. $1M+</v>
      </c>
      <c r="D848" t="s">
        <v>852</v>
      </c>
      <c r="E848" t="s">
        <v>237</v>
      </c>
      <c r="F848" t="s">
        <v>670</v>
      </c>
      <c r="G848" t="s">
        <v>44</v>
      </c>
      <c r="H848">
        <v>2023</v>
      </c>
    </row>
    <row r="849" spans="1:8" x14ac:dyDescent="0.2">
      <c r="A849">
        <v>189210</v>
      </c>
      <c r="B849">
        <v>356454.8</v>
      </c>
      <c r="C849" t="str">
        <f t="shared" si="13"/>
        <v>5. $1M+</v>
      </c>
      <c r="D849" t="s">
        <v>146</v>
      </c>
      <c r="E849" t="s">
        <v>8</v>
      </c>
      <c r="F849" t="s">
        <v>25</v>
      </c>
      <c r="G849" t="s">
        <v>10</v>
      </c>
      <c r="H849">
        <v>2023</v>
      </c>
    </row>
    <row r="850" spans="1:8" x14ac:dyDescent="0.2">
      <c r="A850">
        <v>189407</v>
      </c>
      <c r="B850">
        <v>121971.5</v>
      </c>
      <c r="C850" t="str">
        <f t="shared" si="13"/>
        <v>4. $250K-1M</v>
      </c>
      <c r="D850" t="s">
        <v>976</v>
      </c>
      <c r="E850" t="s">
        <v>237</v>
      </c>
      <c r="F850" t="s">
        <v>670</v>
      </c>
      <c r="G850" t="s">
        <v>59</v>
      </c>
      <c r="H850">
        <v>2023</v>
      </c>
    </row>
    <row r="851" spans="1:8" x14ac:dyDescent="0.2">
      <c r="A851">
        <v>189414</v>
      </c>
      <c r="B851">
        <v>12972943.4</v>
      </c>
      <c r="C851" t="str">
        <f t="shared" si="13"/>
        <v>3. $50K-250K</v>
      </c>
      <c r="D851" t="s">
        <v>41</v>
      </c>
      <c r="E851" t="s">
        <v>237</v>
      </c>
      <c r="F851" t="s">
        <v>668</v>
      </c>
      <c r="G851" t="s">
        <v>59</v>
      </c>
      <c r="H851">
        <v>2023</v>
      </c>
    </row>
    <row r="852" spans="1:8" x14ac:dyDescent="0.2">
      <c r="A852">
        <v>190238</v>
      </c>
      <c r="B852">
        <v>11582.3</v>
      </c>
      <c r="C852" t="str">
        <f t="shared" si="13"/>
        <v>5. $1M+</v>
      </c>
      <c r="D852" t="s">
        <v>780</v>
      </c>
      <c r="E852" t="s">
        <v>42</v>
      </c>
      <c r="F852" t="s">
        <v>670</v>
      </c>
      <c r="G852" t="s">
        <v>59</v>
      </c>
      <c r="H852">
        <v>2023</v>
      </c>
    </row>
    <row r="853" spans="1:8" x14ac:dyDescent="0.2">
      <c r="A853">
        <v>190668</v>
      </c>
      <c r="B853">
        <v>637957</v>
      </c>
      <c r="C853" t="str">
        <f t="shared" si="13"/>
        <v>2. $10K-50K</v>
      </c>
      <c r="D853" t="s">
        <v>882</v>
      </c>
      <c r="E853" t="s">
        <v>825</v>
      </c>
      <c r="F853" t="s">
        <v>670</v>
      </c>
      <c r="G853" t="s">
        <v>44</v>
      </c>
      <c r="H853">
        <v>2024</v>
      </c>
    </row>
    <row r="854" spans="1:8" x14ac:dyDescent="0.2">
      <c r="A854">
        <v>190670</v>
      </c>
      <c r="B854">
        <v>395270</v>
      </c>
      <c r="C854" t="str">
        <f t="shared" si="13"/>
        <v>4. $250K-1M</v>
      </c>
      <c r="D854" t="s">
        <v>991</v>
      </c>
      <c r="E854" t="s">
        <v>99</v>
      </c>
      <c r="F854" t="s">
        <v>670</v>
      </c>
      <c r="G854" t="s">
        <v>44</v>
      </c>
      <c r="H854">
        <v>2023</v>
      </c>
    </row>
    <row r="855" spans="1:8" x14ac:dyDescent="0.2">
      <c r="A855">
        <v>190671</v>
      </c>
      <c r="B855">
        <v>1100000</v>
      </c>
      <c r="C855" t="str">
        <f t="shared" si="13"/>
        <v>4. $250K-1M</v>
      </c>
      <c r="D855" t="s">
        <v>992</v>
      </c>
      <c r="E855" t="s">
        <v>99</v>
      </c>
      <c r="F855" t="s">
        <v>670</v>
      </c>
      <c r="G855" t="s">
        <v>44</v>
      </c>
      <c r="H855">
        <v>2023</v>
      </c>
    </row>
    <row r="856" spans="1:8" x14ac:dyDescent="0.2">
      <c r="A856">
        <v>190674</v>
      </c>
      <c r="B856">
        <v>718000</v>
      </c>
      <c r="C856" t="str">
        <f t="shared" si="13"/>
        <v>5. $1M+</v>
      </c>
      <c r="D856" t="s">
        <v>925</v>
      </c>
      <c r="E856" t="s">
        <v>99</v>
      </c>
      <c r="F856" t="s">
        <v>670</v>
      </c>
      <c r="G856" t="s">
        <v>44</v>
      </c>
      <c r="H856">
        <v>2023</v>
      </c>
    </row>
    <row r="857" spans="1:8" x14ac:dyDescent="0.2">
      <c r="A857">
        <v>190675</v>
      </c>
      <c r="B857">
        <v>525270</v>
      </c>
      <c r="C857" t="str">
        <f t="shared" si="13"/>
        <v>4. $250K-1M</v>
      </c>
      <c r="D857" t="s">
        <v>993</v>
      </c>
      <c r="E857" t="s">
        <v>99</v>
      </c>
      <c r="F857" t="s">
        <v>670</v>
      </c>
      <c r="G857" t="s">
        <v>44</v>
      </c>
      <c r="H857">
        <v>2023</v>
      </c>
    </row>
    <row r="858" spans="1:8" x14ac:dyDescent="0.2">
      <c r="A858">
        <v>190677</v>
      </c>
      <c r="B858">
        <v>783521</v>
      </c>
      <c r="C858" t="str">
        <f t="shared" si="13"/>
        <v>4. $250K-1M</v>
      </c>
      <c r="D858" t="s">
        <v>803</v>
      </c>
      <c r="E858" t="s">
        <v>99</v>
      </c>
      <c r="F858" t="s">
        <v>670</v>
      </c>
      <c r="G858" t="s">
        <v>44</v>
      </c>
      <c r="H858">
        <v>2023</v>
      </c>
    </row>
    <row r="859" spans="1:8" x14ac:dyDescent="0.2">
      <c r="A859">
        <v>190678</v>
      </c>
      <c r="B859">
        <v>250000</v>
      </c>
      <c r="C859" t="str">
        <f t="shared" si="13"/>
        <v>4. $250K-1M</v>
      </c>
      <c r="D859" t="s">
        <v>977</v>
      </c>
      <c r="E859" t="s">
        <v>99</v>
      </c>
      <c r="F859" t="s">
        <v>670</v>
      </c>
      <c r="G859" t="s">
        <v>44</v>
      </c>
      <c r="H859">
        <v>2023</v>
      </c>
    </row>
    <row r="860" spans="1:8" x14ac:dyDescent="0.2">
      <c r="A860">
        <v>190679</v>
      </c>
      <c r="B860">
        <v>363722</v>
      </c>
      <c r="C860" t="str">
        <f t="shared" si="13"/>
        <v>4. $250K-1M</v>
      </c>
      <c r="D860" t="s">
        <v>942</v>
      </c>
      <c r="E860" t="s">
        <v>99</v>
      </c>
      <c r="F860" t="s">
        <v>670</v>
      </c>
      <c r="G860" t="s">
        <v>44</v>
      </c>
      <c r="H860">
        <v>2023</v>
      </c>
    </row>
    <row r="861" spans="1:8" x14ac:dyDescent="0.2">
      <c r="A861">
        <v>190680</v>
      </c>
      <c r="B861">
        <v>395000</v>
      </c>
      <c r="C861" t="str">
        <f t="shared" si="13"/>
        <v>4. $250K-1M</v>
      </c>
      <c r="D861" t="s">
        <v>816</v>
      </c>
      <c r="E861" t="s">
        <v>99</v>
      </c>
      <c r="F861" t="s">
        <v>670</v>
      </c>
      <c r="G861" t="s">
        <v>44</v>
      </c>
      <c r="H861">
        <v>2023</v>
      </c>
    </row>
    <row r="862" spans="1:8" x14ac:dyDescent="0.2">
      <c r="A862">
        <v>190681</v>
      </c>
      <c r="B862">
        <v>548310</v>
      </c>
      <c r="C862" t="str">
        <f t="shared" si="13"/>
        <v>4. $250K-1M</v>
      </c>
      <c r="D862" t="s">
        <v>804</v>
      </c>
      <c r="E862" t="s">
        <v>99</v>
      </c>
      <c r="F862" t="s">
        <v>670</v>
      </c>
      <c r="G862" t="s">
        <v>44</v>
      </c>
      <c r="H862">
        <v>2023</v>
      </c>
    </row>
    <row r="863" spans="1:8" x14ac:dyDescent="0.2">
      <c r="A863">
        <v>190705</v>
      </c>
      <c r="B863">
        <v>170000</v>
      </c>
      <c r="C863" t="str">
        <f t="shared" si="13"/>
        <v>4. $250K-1M</v>
      </c>
      <c r="D863" t="s">
        <v>994</v>
      </c>
      <c r="E863" t="s">
        <v>112</v>
      </c>
      <c r="F863" t="s">
        <v>668</v>
      </c>
      <c r="G863" t="s">
        <v>59</v>
      </c>
      <c r="H863">
        <v>2023</v>
      </c>
    </row>
    <row r="864" spans="1:8" x14ac:dyDescent="0.2">
      <c r="A864">
        <v>190708</v>
      </c>
      <c r="B864">
        <v>1060000</v>
      </c>
      <c r="C864" t="str">
        <f t="shared" si="13"/>
        <v>3. $50K-250K</v>
      </c>
      <c r="D864" t="s">
        <v>995</v>
      </c>
      <c r="E864" t="s">
        <v>237</v>
      </c>
      <c r="F864" t="s">
        <v>668</v>
      </c>
      <c r="G864" t="s">
        <v>59</v>
      </c>
      <c r="H864">
        <v>2023</v>
      </c>
    </row>
    <row r="865" spans="1:8" x14ac:dyDescent="0.2">
      <c r="A865">
        <v>190720</v>
      </c>
      <c r="B865">
        <v>42730</v>
      </c>
      <c r="C865" t="str">
        <f t="shared" si="13"/>
        <v>5. $1M+</v>
      </c>
      <c r="D865" t="s">
        <v>996</v>
      </c>
      <c r="E865" t="s">
        <v>237</v>
      </c>
      <c r="F865" t="s">
        <v>670</v>
      </c>
      <c r="G865" t="s">
        <v>59</v>
      </c>
      <c r="H865">
        <v>2023</v>
      </c>
    </row>
    <row r="866" spans="1:8" x14ac:dyDescent="0.2">
      <c r="A866">
        <v>190734</v>
      </c>
      <c r="B866">
        <v>87500</v>
      </c>
      <c r="C866" t="str">
        <f t="shared" si="13"/>
        <v>2. $10K-50K</v>
      </c>
      <c r="D866" t="s">
        <v>848</v>
      </c>
      <c r="E866" t="s">
        <v>42</v>
      </c>
      <c r="F866" t="s">
        <v>670</v>
      </c>
      <c r="G866" t="s">
        <v>59</v>
      </c>
      <c r="H866">
        <v>2023</v>
      </c>
    </row>
    <row r="867" spans="1:8" x14ac:dyDescent="0.2">
      <c r="A867">
        <v>191170</v>
      </c>
      <c r="B867">
        <v>134510</v>
      </c>
      <c r="C867" t="str">
        <f t="shared" si="13"/>
        <v>3. $50K-250K</v>
      </c>
      <c r="D867" t="s">
        <v>177</v>
      </c>
      <c r="E867" t="s">
        <v>178</v>
      </c>
      <c r="F867" t="s">
        <v>43</v>
      </c>
      <c r="G867" t="s">
        <v>44</v>
      </c>
      <c r="H867">
        <v>2023</v>
      </c>
    </row>
    <row r="868" spans="1:8" x14ac:dyDescent="0.2">
      <c r="A868">
        <v>191541</v>
      </c>
      <c r="B868">
        <v>30000</v>
      </c>
      <c r="C868" t="str">
        <f t="shared" si="13"/>
        <v>3. $50K-250K</v>
      </c>
      <c r="D868" t="s">
        <v>997</v>
      </c>
      <c r="E868" t="s">
        <v>42</v>
      </c>
      <c r="F868" t="s">
        <v>670</v>
      </c>
      <c r="G868" t="s">
        <v>59</v>
      </c>
      <c r="H868">
        <v>2023</v>
      </c>
    </row>
    <row r="869" spans="1:8" x14ac:dyDescent="0.2">
      <c r="A869">
        <v>191825</v>
      </c>
      <c r="B869">
        <v>731.7</v>
      </c>
      <c r="C869" t="str">
        <f t="shared" si="13"/>
        <v>2. $10K-50K</v>
      </c>
      <c r="D869" t="s">
        <v>885</v>
      </c>
      <c r="E869" t="s">
        <v>237</v>
      </c>
      <c r="F869" t="s">
        <v>670</v>
      </c>
      <c r="G869" t="s">
        <v>59</v>
      </c>
      <c r="H869">
        <v>2023</v>
      </c>
    </row>
    <row r="870" spans="1:8" x14ac:dyDescent="0.2">
      <c r="A870">
        <v>191993</v>
      </c>
      <c r="B870">
        <v>12465862.300000001</v>
      </c>
      <c r="C870" t="str">
        <f t="shared" si="13"/>
        <v>1. Under $10K</v>
      </c>
      <c r="D870" t="s">
        <v>179</v>
      </c>
      <c r="E870" t="s">
        <v>42</v>
      </c>
      <c r="F870" t="s">
        <v>43</v>
      </c>
      <c r="G870" t="s">
        <v>44</v>
      </c>
      <c r="H870">
        <v>2023</v>
      </c>
    </row>
    <row r="871" spans="1:8" x14ac:dyDescent="0.2">
      <c r="A871">
        <v>192099</v>
      </c>
      <c r="B871">
        <v>456625.2</v>
      </c>
      <c r="C871" t="str">
        <f t="shared" si="13"/>
        <v>5. $1M+</v>
      </c>
      <c r="D871" t="s">
        <v>669</v>
      </c>
      <c r="E871" t="s">
        <v>42</v>
      </c>
      <c r="F871" t="s">
        <v>670</v>
      </c>
      <c r="G871" t="s">
        <v>59</v>
      </c>
      <c r="H871">
        <v>2023</v>
      </c>
    </row>
    <row r="872" spans="1:8" x14ac:dyDescent="0.2">
      <c r="A872">
        <v>192441</v>
      </c>
      <c r="B872">
        <v>1850000</v>
      </c>
      <c r="C872" t="str">
        <f t="shared" si="13"/>
        <v>4. $250K-1M</v>
      </c>
      <c r="D872" t="s">
        <v>797</v>
      </c>
      <c r="E872" t="s">
        <v>99</v>
      </c>
      <c r="F872" t="s">
        <v>668</v>
      </c>
      <c r="G872" t="s">
        <v>59</v>
      </c>
      <c r="H872">
        <v>2024</v>
      </c>
    </row>
    <row r="873" spans="1:8" x14ac:dyDescent="0.2">
      <c r="A873">
        <v>192442</v>
      </c>
      <c r="B873">
        <v>1400000</v>
      </c>
      <c r="C873" t="str">
        <f t="shared" si="13"/>
        <v>5. $1M+</v>
      </c>
      <c r="D873" t="s">
        <v>778</v>
      </c>
      <c r="E873" t="s">
        <v>99</v>
      </c>
      <c r="F873" t="s">
        <v>668</v>
      </c>
      <c r="G873" t="s">
        <v>59</v>
      </c>
      <c r="H873">
        <v>2025</v>
      </c>
    </row>
    <row r="874" spans="1:8" x14ac:dyDescent="0.2">
      <c r="A874">
        <v>192464</v>
      </c>
      <c r="B874">
        <v>302995</v>
      </c>
      <c r="C874" t="str">
        <f t="shared" si="13"/>
        <v>5. $1M+</v>
      </c>
      <c r="D874" t="s">
        <v>678</v>
      </c>
      <c r="E874" t="s">
        <v>28</v>
      </c>
      <c r="F874" t="s">
        <v>668</v>
      </c>
      <c r="G874" t="s">
        <v>59</v>
      </c>
      <c r="H874">
        <v>2024</v>
      </c>
    </row>
    <row r="875" spans="1:8" x14ac:dyDescent="0.2">
      <c r="A875">
        <v>192715</v>
      </c>
      <c r="B875">
        <v>200000</v>
      </c>
      <c r="C875" t="str">
        <f t="shared" si="13"/>
        <v>4. $250K-1M</v>
      </c>
      <c r="D875" t="s">
        <v>180</v>
      </c>
      <c r="E875" t="s">
        <v>28</v>
      </c>
      <c r="F875" t="s">
        <v>31</v>
      </c>
      <c r="G875" t="s">
        <v>10</v>
      </c>
      <c r="H875">
        <v>2025</v>
      </c>
    </row>
    <row r="876" spans="1:8" x14ac:dyDescent="0.2">
      <c r="A876">
        <v>192893</v>
      </c>
      <c r="B876">
        <v>8857</v>
      </c>
      <c r="C876" t="str">
        <f t="shared" si="13"/>
        <v>3. $50K-250K</v>
      </c>
      <c r="D876" t="s">
        <v>801</v>
      </c>
      <c r="E876" t="s">
        <v>237</v>
      </c>
      <c r="F876" t="s">
        <v>670</v>
      </c>
      <c r="G876" t="s">
        <v>59</v>
      </c>
      <c r="H876">
        <v>2023</v>
      </c>
    </row>
    <row r="877" spans="1:8" x14ac:dyDescent="0.2">
      <c r="A877">
        <v>192902</v>
      </c>
      <c r="B877">
        <v>720000</v>
      </c>
      <c r="C877" t="str">
        <f t="shared" si="13"/>
        <v>1. Under $10K</v>
      </c>
      <c r="D877" t="s">
        <v>998</v>
      </c>
      <c r="E877" t="s">
        <v>42</v>
      </c>
      <c r="F877" t="s">
        <v>670</v>
      </c>
      <c r="G877" t="s">
        <v>44</v>
      </c>
      <c r="H877">
        <v>2023</v>
      </c>
    </row>
    <row r="878" spans="1:8" x14ac:dyDescent="0.2">
      <c r="A878">
        <v>192903</v>
      </c>
      <c r="B878">
        <v>720000</v>
      </c>
      <c r="C878" t="str">
        <f t="shared" si="13"/>
        <v>4. $250K-1M</v>
      </c>
      <c r="D878" t="s">
        <v>749</v>
      </c>
      <c r="E878" t="s">
        <v>42</v>
      </c>
      <c r="F878" t="s">
        <v>670</v>
      </c>
      <c r="G878" t="s">
        <v>44</v>
      </c>
      <c r="H878">
        <v>2023</v>
      </c>
    </row>
    <row r="879" spans="1:8" x14ac:dyDescent="0.2">
      <c r="A879">
        <v>192904</v>
      </c>
      <c r="B879">
        <v>687235.5</v>
      </c>
      <c r="C879" t="str">
        <f t="shared" si="13"/>
        <v>4. $250K-1M</v>
      </c>
      <c r="D879" t="s">
        <v>999</v>
      </c>
      <c r="E879" t="s">
        <v>42</v>
      </c>
      <c r="F879" t="s">
        <v>670</v>
      </c>
      <c r="G879" t="s">
        <v>44</v>
      </c>
      <c r="H879">
        <v>2023</v>
      </c>
    </row>
    <row r="880" spans="1:8" x14ac:dyDescent="0.2">
      <c r="A880">
        <v>192905</v>
      </c>
      <c r="B880">
        <v>720000</v>
      </c>
      <c r="C880" t="str">
        <f t="shared" si="13"/>
        <v>4. $250K-1M</v>
      </c>
      <c r="D880" t="s">
        <v>702</v>
      </c>
      <c r="E880" t="s">
        <v>42</v>
      </c>
      <c r="F880" t="s">
        <v>670</v>
      </c>
      <c r="G880" t="s">
        <v>44</v>
      </c>
      <c r="H880">
        <v>2023</v>
      </c>
    </row>
    <row r="881" spans="1:8" x14ac:dyDescent="0.2">
      <c r="A881">
        <v>192906</v>
      </c>
      <c r="B881">
        <v>720000</v>
      </c>
      <c r="C881" t="str">
        <f t="shared" si="13"/>
        <v>4. $250K-1M</v>
      </c>
      <c r="D881" t="s">
        <v>1000</v>
      </c>
      <c r="E881" t="s">
        <v>42</v>
      </c>
      <c r="F881" t="s">
        <v>670</v>
      </c>
      <c r="G881" t="s">
        <v>44</v>
      </c>
      <c r="H881">
        <v>2023</v>
      </c>
    </row>
    <row r="882" spans="1:8" x14ac:dyDescent="0.2">
      <c r="A882">
        <v>192907</v>
      </c>
      <c r="B882">
        <v>720000</v>
      </c>
      <c r="C882" t="str">
        <f t="shared" si="13"/>
        <v>4. $250K-1M</v>
      </c>
      <c r="D882" t="s">
        <v>677</v>
      </c>
      <c r="E882" t="s">
        <v>42</v>
      </c>
      <c r="F882" t="s">
        <v>670</v>
      </c>
      <c r="G882" t="s">
        <v>44</v>
      </c>
      <c r="H882">
        <v>2023</v>
      </c>
    </row>
    <row r="883" spans="1:8" x14ac:dyDescent="0.2">
      <c r="A883">
        <v>192908</v>
      </c>
      <c r="B883">
        <v>720000</v>
      </c>
      <c r="C883" t="str">
        <f t="shared" si="13"/>
        <v>4. $250K-1M</v>
      </c>
      <c r="D883" t="s">
        <v>1001</v>
      </c>
      <c r="E883" t="s">
        <v>42</v>
      </c>
      <c r="F883" t="s">
        <v>670</v>
      </c>
      <c r="G883" t="s">
        <v>44</v>
      </c>
      <c r="H883">
        <v>2023</v>
      </c>
    </row>
    <row r="884" spans="1:8" x14ac:dyDescent="0.2">
      <c r="A884">
        <v>192909</v>
      </c>
      <c r="B884">
        <v>720000</v>
      </c>
      <c r="C884" t="str">
        <f t="shared" si="13"/>
        <v>4. $250K-1M</v>
      </c>
      <c r="D884" t="s">
        <v>692</v>
      </c>
      <c r="E884" t="s">
        <v>42</v>
      </c>
      <c r="F884" t="s">
        <v>670</v>
      </c>
      <c r="G884" t="s">
        <v>44</v>
      </c>
      <c r="H884">
        <v>2023</v>
      </c>
    </row>
    <row r="885" spans="1:8" x14ac:dyDescent="0.2">
      <c r="A885">
        <v>192910</v>
      </c>
      <c r="B885">
        <v>720000</v>
      </c>
      <c r="C885" t="str">
        <f t="shared" si="13"/>
        <v>4. $250K-1M</v>
      </c>
      <c r="D885" t="s">
        <v>726</v>
      </c>
      <c r="E885" t="s">
        <v>42</v>
      </c>
      <c r="F885" t="s">
        <v>670</v>
      </c>
      <c r="G885" t="s">
        <v>44</v>
      </c>
      <c r="H885">
        <v>2023</v>
      </c>
    </row>
    <row r="886" spans="1:8" x14ac:dyDescent="0.2">
      <c r="A886">
        <v>192911</v>
      </c>
      <c r="B886">
        <v>719678</v>
      </c>
      <c r="C886" t="str">
        <f t="shared" si="13"/>
        <v>4. $250K-1M</v>
      </c>
      <c r="D886" t="s">
        <v>1002</v>
      </c>
      <c r="E886" t="s">
        <v>42</v>
      </c>
      <c r="F886" t="s">
        <v>670</v>
      </c>
      <c r="G886" t="s">
        <v>44</v>
      </c>
      <c r="H886">
        <v>2023</v>
      </c>
    </row>
    <row r="887" spans="1:8" x14ac:dyDescent="0.2">
      <c r="A887">
        <v>192912</v>
      </c>
      <c r="B887">
        <v>720000</v>
      </c>
      <c r="C887" t="str">
        <f t="shared" si="13"/>
        <v>4. $250K-1M</v>
      </c>
      <c r="D887" t="s">
        <v>1003</v>
      </c>
      <c r="E887" t="s">
        <v>42</v>
      </c>
      <c r="F887" t="s">
        <v>670</v>
      </c>
      <c r="G887" t="s">
        <v>44</v>
      </c>
      <c r="H887">
        <v>2023</v>
      </c>
    </row>
    <row r="888" spans="1:8" x14ac:dyDescent="0.2">
      <c r="A888">
        <v>192913</v>
      </c>
      <c r="B888">
        <v>720000</v>
      </c>
      <c r="C888" t="str">
        <f t="shared" si="13"/>
        <v>4. $250K-1M</v>
      </c>
      <c r="D888" t="s">
        <v>1004</v>
      </c>
      <c r="E888" t="s">
        <v>42</v>
      </c>
      <c r="F888" t="s">
        <v>670</v>
      </c>
      <c r="G888" t="s">
        <v>44</v>
      </c>
      <c r="H888">
        <v>2023</v>
      </c>
    </row>
    <row r="889" spans="1:8" x14ac:dyDescent="0.2">
      <c r="A889">
        <v>192974</v>
      </c>
      <c r="B889">
        <v>112911</v>
      </c>
      <c r="C889" t="str">
        <f t="shared" si="13"/>
        <v>4. $250K-1M</v>
      </c>
      <c r="D889" t="s">
        <v>925</v>
      </c>
      <c r="E889" t="s">
        <v>99</v>
      </c>
      <c r="F889" t="s">
        <v>670</v>
      </c>
      <c r="G889" t="s">
        <v>44</v>
      </c>
      <c r="H889">
        <v>2023</v>
      </c>
    </row>
    <row r="890" spans="1:8" x14ac:dyDescent="0.2">
      <c r="A890">
        <v>192975</v>
      </c>
      <c r="B890">
        <v>63283</v>
      </c>
      <c r="C890" t="str">
        <f t="shared" si="13"/>
        <v>3. $50K-250K</v>
      </c>
      <c r="D890" t="s">
        <v>816</v>
      </c>
      <c r="E890" t="s">
        <v>99</v>
      </c>
      <c r="F890" t="s">
        <v>670</v>
      </c>
      <c r="G890" t="s">
        <v>44</v>
      </c>
      <c r="H890">
        <v>2023</v>
      </c>
    </row>
    <row r="891" spans="1:8" x14ac:dyDescent="0.2">
      <c r="A891">
        <v>192976</v>
      </c>
      <c r="B891">
        <v>77450</v>
      </c>
      <c r="C891" t="str">
        <f t="shared" si="13"/>
        <v>3. $50K-250K</v>
      </c>
      <c r="D891" t="s">
        <v>1005</v>
      </c>
      <c r="E891" t="s">
        <v>99</v>
      </c>
      <c r="F891" t="s">
        <v>670</v>
      </c>
      <c r="G891" t="s">
        <v>44</v>
      </c>
      <c r="H891">
        <v>2024</v>
      </c>
    </row>
    <row r="892" spans="1:8" x14ac:dyDescent="0.2">
      <c r="A892">
        <v>192977</v>
      </c>
      <c r="B892">
        <v>100000</v>
      </c>
      <c r="C892" t="str">
        <f t="shared" si="13"/>
        <v>3. $50K-250K</v>
      </c>
      <c r="D892" t="s">
        <v>1006</v>
      </c>
      <c r="E892" t="s">
        <v>99</v>
      </c>
      <c r="F892" t="s">
        <v>670</v>
      </c>
      <c r="G892" t="s">
        <v>44</v>
      </c>
      <c r="H892">
        <v>2024</v>
      </c>
    </row>
    <row r="893" spans="1:8" x14ac:dyDescent="0.2">
      <c r="A893">
        <v>192979</v>
      </c>
      <c r="B893">
        <v>212000</v>
      </c>
      <c r="C893" t="str">
        <f t="shared" si="13"/>
        <v>3. $50K-250K</v>
      </c>
      <c r="D893" t="s">
        <v>1007</v>
      </c>
      <c r="E893" t="s">
        <v>99</v>
      </c>
      <c r="F893" t="s">
        <v>670</v>
      </c>
      <c r="G893" t="s">
        <v>44</v>
      </c>
      <c r="H893">
        <v>2023</v>
      </c>
    </row>
    <row r="894" spans="1:8" x14ac:dyDescent="0.2">
      <c r="A894">
        <v>192980</v>
      </c>
      <c r="B894">
        <v>83066.100000000006</v>
      </c>
      <c r="C894" t="str">
        <f t="shared" si="13"/>
        <v>3. $50K-250K</v>
      </c>
      <c r="D894" t="s">
        <v>1008</v>
      </c>
      <c r="E894" t="s">
        <v>99</v>
      </c>
      <c r="F894" t="s">
        <v>670</v>
      </c>
      <c r="G894" t="s">
        <v>44</v>
      </c>
      <c r="H894">
        <v>2024</v>
      </c>
    </row>
    <row r="895" spans="1:8" x14ac:dyDescent="0.2">
      <c r="A895">
        <v>192981</v>
      </c>
      <c r="B895">
        <v>97958</v>
      </c>
      <c r="C895" t="str">
        <f t="shared" si="13"/>
        <v>3. $50K-250K</v>
      </c>
      <c r="D895" t="s">
        <v>956</v>
      </c>
      <c r="E895" t="s">
        <v>99</v>
      </c>
      <c r="F895" t="s">
        <v>670</v>
      </c>
      <c r="G895" t="s">
        <v>44</v>
      </c>
      <c r="H895">
        <v>2023</v>
      </c>
    </row>
    <row r="896" spans="1:8" x14ac:dyDescent="0.2">
      <c r="A896">
        <v>192982</v>
      </c>
      <c r="B896">
        <v>87502</v>
      </c>
      <c r="C896" t="str">
        <f t="shared" si="13"/>
        <v>3. $50K-250K</v>
      </c>
      <c r="D896" t="s">
        <v>999</v>
      </c>
      <c r="E896" t="s">
        <v>99</v>
      </c>
      <c r="F896" t="s">
        <v>670</v>
      </c>
      <c r="G896" t="s">
        <v>44</v>
      </c>
      <c r="H896">
        <v>2024</v>
      </c>
    </row>
    <row r="897" spans="1:8" x14ac:dyDescent="0.2">
      <c r="A897">
        <v>192984</v>
      </c>
      <c r="B897">
        <v>50000</v>
      </c>
      <c r="C897" t="str">
        <f t="shared" si="13"/>
        <v>3. $50K-250K</v>
      </c>
      <c r="D897" t="s">
        <v>907</v>
      </c>
      <c r="E897" t="s">
        <v>99</v>
      </c>
      <c r="F897" t="s">
        <v>670</v>
      </c>
      <c r="G897" t="s">
        <v>44</v>
      </c>
      <c r="H897">
        <v>2024</v>
      </c>
    </row>
    <row r="898" spans="1:8" x14ac:dyDescent="0.2">
      <c r="A898">
        <v>193223</v>
      </c>
      <c r="B898">
        <v>25000</v>
      </c>
      <c r="C898" t="str">
        <f t="shared" si="13"/>
        <v>3. $50K-250K</v>
      </c>
      <c r="D898" t="s">
        <v>991</v>
      </c>
      <c r="E898" t="s">
        <v>99</v>
      </c>
      <c r="F898" t="s">
        <v>670</v>
      </c>
      <c r="G898" t="s">
        <v>59</v>
      </c>
      <c r="H898">
        <v>2024</v>
      </c>
    </row>
    <row r="899" spans="1:8" x14ac:dyDescent="0.2">
      <c r="A899">
        <v>193224</v>
      </c>
      <c r="B899">
        <v>97131.3</v>
      </c>
      <c r="C899" t="str">
        <f t="shared" ref="C899:C962" si="14">IF(B898&lt;10000,"1. Under $10K",IF(B898&lt;50000,"2. $10K-50K",IF(B898&lt;250000,"3. $50K-250K",IF(B898&lt;1000000,"4. $250K-1M","5. $1M+"))))</f>
        <v>2. $10K-50K</v>
      </c>
      <c r="D899" t="s">
        <v>804</v>
      </c>
      <c r="E899" t="s">
        <v>99</v>
      </c>
      <c r="F899" t="s">
        <v>670</v>
      </c>
      <c r="G899" t="s">
        <v>59</v>
      </c>
      <c r="H899">
        <v>2023</v>
      </c>
    </row>
    <row r="900" spans="1:8" x14ac:dyDescent="0.2">
      <c r="A900">
        <v>193225</v>
      </c>
      <c r="B900">
        <v>234683.7</v>
      </c>
      <c r="C900" t="str">
        <f t="shared" si="14"/>
        <v>3. $50K-250K</v>
      </c>
      <c r="D900" t="s">
        <v>803</v>
      </c>
      <c r="E900" t="s">
        <v>99</v>
      </c>
      <c r="F900" t="s">
        <v>670</v>
      </c>
      <c r="G900" t="s">
        <v>59</v>
      </c>
      <c r="H900">
        <v>2023</v>
      </c>
    </row>
    <row r="901" spans="1:8" x14ac:dyDescent="0.2">
      <c r="A901">
        <v>193227</v>
      </c>
      <c r="B901">
        <v>35237.800000000003</v>
      </c>
      <c r="C901" t="str">
        <f t="shared" si="14"/>
        <v>3. $50K-250K</v>
      </c>
      <c r="D901" t="s">
        <v>991</v>
      </c>
      <c r="E901" t="s">
        <v>99</v>
      </c>
      <c r="F901" t="s">
        <v>670</v>
      </c>
      <c r="G901" t="s">
        <v>59</v>
      </c>
      <c r="H901">
        <v>2023</v>
      </c>
    </row>
    <row r="902" spans="1:8" x14ac:dyDescent="0.2">
      <c r="A902">
        <v>193426</v>
      </c>
      <c r="B902">
        <v>91344.7</v>
      </c>
      <c r="C902" t="str">
        <f t="shared" si="14"/>
        <v>2. $10K-50K</v>
      </c>
      <c r="D902" t="s">
        <v>942</v>
      </c>
      <c r="E902" t="s">
        <v>99</v>
      </c>
      <c r="F902" t="s">
        <v>670</v>
      </c>
      <c r="G902" t="s">
        <v>59</v>
      </c>
      <c r="H902">
        <v>2023</v>
      </c>
    </row>
    <row r="903" spans="1:8" x14ac:dyDescent="0.2">
      <c r="A903">
        <v>193499</v>
      </c>
      <c r="B903">
        <v>70368.100000000006</v>
      </c>
      <c r="C903" t="str">
        <f t="shared" si="14"/>
        <v>3. $50K-250K</v>
      </c>
      <c r="D903" t="s">
        <v>925</v>
      </c>
      <c r="E903" t="s">
        <v>99</v>
      </c>
      <c r="F903" t="s">
        <v>670</v>
      </c>
      <c r="G903" t="s">
        <v>59</v>
      </c>
      <c r="H903">
        <v>2023</v>
      </c>
    </row>
    <row r="904" spans="1:8" x14ac:dyDescent="0.2">
      <c r="A904">
        <v>193782</v>
      </c>
      <c r="B904">
        <v>159331.5</v>
      </c>
      <c r="C904" t="str">
        <f t="shared" si="14"/>
        <v>3. $50K-250K</v>
      </c>
      <c r="D904" t="s">
        <v>993</v>
      </c>
      <c r="E904" t="s">
        <v>99</v>
      </c>
      <c r="F904" t="s">
        <v>670</v>
      </c>
      <c r="G904" t="s">
        <v>59</v>
      </c>
      <c r="H904">
        <v>2023</v>
      </c>
    </row>
    <row r="905" spans="1:8" x14ac:dyDescent="0.2">
      <c r="A905">
        <v>193854</v>
      </c>
      <c r="B905">
        <v>4700000</v>
      </c>
      <c r="C905" t="str">
        <f t="shared" si="14"/>
        <v>3. $50K-250K</v>
      </c>
      <c r="D905" t="s">
        <v>181</v>
      </c>
      <c r="E905" t="s">
        <v>28</v>
      </c>
      <c r="F905" t="s">
        <v>29</v>
      </c>
      <c r="G905" t="s">
        <v>15</v>
      </c>
      <c r="H905">
        <v>2025</v>
      </c>
    </row>
    <row r="906" spans="1:8" x14ac:dyDescent="0.2">
      <c r="A906">
        <v>19393</v>
      </c>
      <c r="B906">
        <v>36954206</v>
      </c>
      <c r="C906" t="str">
        <f t="shared" si="14"/>
        <v>5. $1M+</v>
      </c>
      <c r="D906" t="s">
        <v>182</v>
      </c>
      <c r="E906" t="s">
        <v>67</v>
      </c>
      <c r="F906" t="s">
        <v>183</v>
      </c>
      <c r="G906" t="s">
        <v>44</v>
      </c>
      <c r="H906">
        <v>2023</v>
      </c>
    </row>
    <row r="907" spans="1:8" x14ac:dyDescent="0.2">
      <c r="A907">
        <v>193943</v>
      </c>
      <c r="B907">
        <v>68623</v>
      </c>
      <c r="C907" t="str">
        <f t="shared" si="14"/>
        <v>5. $1M+</v>
      </c>
      <c r="D907" t="s">
        <v>895</v>
      </c>
      <c r="E907" t="s">
        <v>42</v>
      </c>
      <c r="F907" t="s">
        <v>670</v>
      </c>
      <c r="G907" t="s">
        <v>44</v>
      </c>
      <c r="H907">
        <v>2023</v>
      </c>
    </row>
    <row r="908" spans="1:8" x14ac:dyDescent="0.2">
      <c r="A908">
        <v>194137</v>
      </c>
      <c r="B908">
        <v>15000</v>
      </c>
      <c r="C908" t="str">
        <f t="shared" si="14"/>
        <v>3. $50K-250K</v>
      </c>
      <c r="D908" t="s">
        <v>855</v>
      </c>
      <c r="E908" t="s">
        <v>42</v>
      </c>
      <c r="F908" t="s">
        <v>670</v>
      </c>
      <c r="G908" t="s">
        <v>59</v>
      </c>
      <c r="H908">
        <v>2023</v>
      </c>
    </row>
    <row r="909" spans="1:8" x14ac:dyDescent="0.2">
      <c r="A909">
        <v>194191</v>
      </c>
      <c r="B909">
        <v>139579.79999999999</v>
      </c>
      <c r="C909" t="str">
        <f t="shared" si="14"/>
        <v>2. $10K-50K</v>
      </c>
      <c r="D909" t="s">
        <v>816</v>
      </c>
      <c r="E909" t="s">
        <v>99</v>
      </c>
      <c r="F909" t="s">
        <v>670</v>
      </c>
      <c r="G909" t="s">
        <v>59</v>
      </c>
      <c r="H909">
        <v>2023</v>
      </c>
    </row>
    <row r="910" spans="1:8" x14ac:dyDescent="0.2">
      <c r="A910">
        <v>194248</v>
      </c>
      <c r="B910">
        <v>720000</v>
      </c>
      <c r="C910" t="str">
        <f t="shared" si="14"/>
        <v>3. $50K-250K</v>
      </c>
      <c r="D910" t="s">
        <v>808</v>
      </c>
      <c r="E910" t="s">
        <v>42</v>
      </c>
      <c r="F910" t="s">
        <v>670</v>
      </c>
      <c r="G910" t="s">
        <v>44</v>
      </c>
      <c r="H910">
        <v>2023</v>
      </c>
    </row>
    <row r="911" spans="1:8" x14ac:dyDescent="0.2">
      <c r="A911">
        <v>194249</v>
      </c>
      <c r="B911">
        <v>720000</v>
      </c>
      <c r="C911" t="str">
        <f t="shared" si="14"/>
        <v>4. $250K-1M</v>
      </c>
      <c r="D911" t="s">
        <v>864</v>
      </c>
      <c r="E911" t="s">
        <v>42</v>
      </c>
      <c r="F911" t="s">
        <v>670</v>
      </c>
      <c r="G911" t="s">
        <v>44</v>
      </c>
      <c r="H911">
        <v>2023</v>
      </c>
    </row>
    <row r="912" spans="1:8" x14ac:dyDescent="0.2">
      <c r="A912">
        <v>194253</v>
      </c>
      <c r="B912">
        <v>960000</v>
      </c>
      <c r="C912" t="str">
        <f t="shared" si="14"/>
        <v>4. $250K-1M</v>
      </c>
      <c r="D912" t="s">
        <v>929</v>
      </c>
      <c r="E912" t="s">
        <v>42</v>
      </c>
      <c r="F912" t="s">
        <v>670</v>
      </c>
      <c r="G912" t="s">
        <v>44</v>
      </c>
      <c r="H912">
        <v>2023</v>
      </c>
    </row>
    <row r="913" spans="1:8" x14ac:dyDescent="0.2">
      <c r="A913">
        <v>194287</v>
      </c>
      <c r="B913">
        <v>792000</v>
      </c>
      <c r="C913" t="str">
        <f t="shared" si="14"/>
        <v>4. $250K-1M</v>
      </c>
      <c r="D913" t="s">
        <v>1009</v>
      </c>
      <c r="E913" t="s">
        <v>42</v>
      </c>
      <c r="F913" t="s">
        <v>670</v>
      </c>
      <c r="G913" t="s">
        <v>44</v>
      </c>
      <c r="H913">
        <v>2023</v>
      </c>
    </row>
    <row r="914" spans="1:8" x14ac:dyDescent="0.2">
      <c r="A914">
        <v>194340</v>
      </c>
      <c r="B914">
        <v>1803653</v>
      </c>
      <c r="C914" t="str">
        <f t="shared" si="14"/>
        <v>4. $250K-1M</v>
      </c>
      <c r="D914" t="s">
        <v>1010</v>
      </c>
      <c r="E914" t="s">
        <v>42</v>
      </c>
      <c r="F914" t="s">
        <v>668</v>
      </c>
      <c r="G914" t="s">
        <v>59</v>
      </c>
      <c r="H914">
        <v>2023</v>
      </c>
    </row>
    <row r="915" spans="1:8" x14ac:dyDescent="0.2">
      <c r="A915">
        <v>194421</v>
      </c>
      <c r="B915">
        <v>4709000</v>
      </c>
      <c r="C915" t="str">
        <f t="shared" si="14"/>
        <v>5. $1M+</v>
      </c>
      <c r="D915" t="s">
        <v>852</v>
      </c>
      <c r="E915" t="s">
        <v>237</v>
      </c>
      <c r="F915" t="s">
        <v>670</v>
      </c>
      <c r="G915" t="s">
        <v>59</v>
      </c>
      <c r="H915">
        <v>2023</v>
      </c>
    </row>
    <row r="916" spans="1:8" x14ac:dyDescent="0.2">
      <c r="A916">
        <v>194439</v>
      </c>
      <c r="B916">
        <v>12000000</v>
      </c>
      <c r="C916" t="str">
        <f t="shared" si="14"/>
        <v>5. $1M+</v>
      </c>
      <c r="D916" t="s">
        <v>70</v>
      </c>
      <c r="E916" t="s">
        <v>28</v>
      </c>
      <c r="F916" t="s">
        <v>29</v>
      </c>
      <c r="G916" t="s">
        <v>15</v>
      </c>
      <c r="H916">
        <v>2023</v>
      </c>
    </row>
    <row r="917" spans="1:8" x14ac:dyDescent="0.2">
      <c r="A917">
        <v>194440</v>
      </c>
      <c r="B917">
        <v>12000000</v>
      </c>
      <c r="C917" t="str">
        <f t="shared" si="14"/>
        <v>5. $1M+</v>
      </c>
      <c r="D917" t="s">
        <v>184</v>
      </c>
      <c r="E917" t="s">
        <v>28</v>
      </c>
      <c r="F917" t="s">
        <v>29</v>
      </c>
      <c r="G917" t="s">
        <v>15</v>
      </c>
      <c r="H917">
        <v>2023</v>
      </c>
    </row>
    <row r="918" spans="1:8" x14ac:dyDescent="0.2">
      <c r="A918">
        <v>194441</v>
      </c>
      <c r="B918">
        <v>12000000</v>
      </c>
      <c r="C918" t="str">
        <f t="shared" si="14"/>
        <v>5. $1M+</v>
      </c>
      <c r="D918" t="s">
        <v>185</v>
      </c>
      <c r="E918" t="s">
        <v>28</v>
      </c>
      <c r="F918" t="s">
        <v>29</v>
      </c>
      <c r="G918" t="s">
        <v>15</v>
      </c>
      <c r="H918">
        <v>2023</v>
      </c>
    </row>
    <row r="919" spans="1:8" x14ac:dyDescent="0.2">
      <c r="A919">
        <v>194442</v>
      </c>
      <c r="B919">
        <v>12000000</v>
      </c>
      <c r="C919" t="str">
        <f t="shared" si="14"/>
        <v>5. $1M+</v>
      </c>
      <c r="D919" t="s">
        <v>186</v>
      </c>
      <c r="E919" t="s">
        <v>28</v>
      </c>
      <c r="F919" t="s">
        <v>29</v>
      </c>
      <c r="G919" t="s">
        <v>15</v>
      </c>
      <c r="H919">
        <v>2023</v>
      </c>
    </row>
    <row r="920" spans="1:8" x14ac:dyDescent="0.2">
      <c r="A920">
        <v>194443</v>
      </c>
      <c r="B920">
        <v>12000000</v>
      </c>
      <c r="C920" t="str">
        <f t="shared" si="14"/>
        <v>5. $1M+</v>
      </c>
      <c r="D920" t="s">
        <v>50</v>
      </c>
      <c r="E920" t="s">
        <v>28</v>
      </c>
      <c r="F920" t="s">
        <v>29</v>
      </c>
      <c r="G920" t="s">
        <v>15</v>
      </c>
      <c r="H920">
        <v>2023</v>
      </c>
    </row>
    <row r="921" spans="1:8" x14ac:dyDescent="0.2">
      <c r="A921">
        <v>194444</v>
      </c>
      <c r="B921">
        <v>12000000</v>
      </c>
      <c r="C921" t="str">
        <f t="shared" si="14"/>
        <v>5. $1M+</v>
      </c>
      <c r="D921" t="s">
        <v>187</v>
      </c>
      <c r="E921" t="s">
        <v>28</v>
      </c>
      <c r="F921" t="s">
        <v>29</v>
      </c>
      <c r="G921" t="s">
        <v>15</v>
      </c>
      <c r="H921">
        <v>2023</v>
      </c>
    </row>
    <row r="922" spans="1:8" x14ac:dyDescent="0.2">
      <c r="A922">
        <v>194445</v>
      </c>
      <c r="B922">
        <v>12000000</v>
      </c>
      <c r="C922" t="str">
        <f t="shared" si="14"/>
        <v>5. $1M+</v>
      </c>
      <c r="D922" t="s">
        <v>188</v>
      </c>
      <c r="E922" t="s">
        <v>28</v>
      </c>
      <c r="F922" t="s">
        <v>29</v>
      </c>
      <c r="G922" t="s">
        <v>15</v>
      </c>
      <c r="H922">
        <v>2023</v>
      </c>
    </row>
    <row r="923" spans="1:8" x14ac:dyDescent="0.2">
      <c r="A923">
        <v>194451</v>
      </c>
      <c r="B923">
        <v>12000000</v>
      </c>
      <c r="C923" t="str">
        <f t="shared" si="14"/>
        <v>5. $1M+</v>
      </c>
      <c r="D923" t="s">
        <v>70</v>
      </c>
      <c r="E923" t="s">
        <v>28</v>
      </c>
      <c r="F923" t="s">
        <v>29</v>
      </c>
      <c r="G923" t="s">
        <v>15</v>
      </c>
      <c r="H923">
        <v>2023</v>
      </c>
    </row>
    <row r="924" spans="1:8" x14ac:dyDescent="0.2">
      <c r="A924">
        <v>194455</v>
      </c>
      <c r="B924">
        <v>12000000</v>
      </c>
      <c r="C924" t="str">
        <f t="shared" si="14"/>
        <v>5. $1M+</v>
      </c>
      <c r="D924" t="s">
        <v>187</v>
      </c>
      <c r="E924" t="s">
        <v>28</v>
      </c>
      <c r="F924" t="s">
        <v>29</v>
      </c>
      <c r="G924" t="s">
        <v>15</v>
      </c>
      <c r="H924">
        <v>2023</v>
      </c>
    </row>
    <row r="925" spans="1:8" x14ac:dyDescent="0.2">
      <c r="A925">
        <v>194456</v>
      </c>
      <c r="B925">
        <v>12000000</v>
      </c>
      <c r="C925" t="str">
        <f t="shared" si="14"/>
        <v>5. $1M+</v>
      </c>
      <c r="D925" t="s">
        <v>189</v>
      </c>
      <c r="E925" t="s">
        <v>59</v>
      </c>
      <c r="F925" t="s">
        <v>29</v>
      </c>
      <c r="G925" t="s">
        <v>59</v>
      </c>
      <c r="H925">
        <v>2023</v>
      </c>
    </row>
    <row r="926" spans="1:8" x14ac:dyDescent="0.2">
      <c r="A926">
        <v>194626</v>
      </c>
      <c r="B926">
        <v>101250</v>
      </c>
      <c r="C926" t="str">
        <f t="shared" si="14"/>
        <v>5. $1M+</v>
      </c>
      <c r="D926" t="s">
        <v>671</v>
      </c>
      <c r="E926" t="s">
        <v>42</v>
      </c>
      <c r="F926" t="s">
        <v>670</v>
      </c>
      <c r="G926" t="s">
        <v>59</v>
      </c>
      <c r="H926">
        <v>2023</v>
      </c>
    </row>
    <row r="927" spans="1:8" x14ac:dyDescent="0.2">
      <c r="A927">
        <v>194742</v>
      </c>
      <c r="B927">
        <v>25000</v>
      </c>
      <c r="C927" t="str">
        <f t="shared" si="14"/>
        <v>3. $50K-250K</v>
      </c>
      <c r="D927" t="s">
        <v>956</v>
      </c>
      <c r="E927" t="s">
        <v>99</v>
      </c>
      <c r="F927" t="s">
        <v>670</v>
      </c>
      <c r="G927" t="s">
        <v>59</v>
      </c>
      <c r="H927">
        <v>2024</v>
      </c>
    </row>
    <row r="928" spans="1:8" x14ac:dyDescent="0.2">
      <c r="A928">
        <v>194860</v>
      </c>
      <c r="B928">
        <v>43593800</v>
      </c>
      <c r="C928" t="str">
        <f t="shared" si="14"/>
        <v>2. $10K-50K</v>
      </c>
      <c r="D928" t="s">
        <v>190</v>
      </c>
      <c r="E928" t="s">
        <v>24</v>
      </c>
      <c r="F928" t="s">
        <v>12</v>
      </c>
      <c r="G928" t="s">
        <v>10</v>
      </c>
      <c r="H928">
        <v>2024</v>
      </c>
    </row>
    <row r="929" spans="1:8" x14ac:dyDescent="0.2">
      <c r="A929">
        <v>195006</v>
      </c>
      <c r="B929">
        <v>1089000.1000000001</v>
      </c>
      <c r="C929" t="str">
        <f t="shared" si="14"/>
        <v>5. $1M+</v>
      </c>
      <c r="D929" t="s">
        <v>1011</v>
      </c>
      <c r="E929" t="s">
        <v>59</v>
      </c>
      <c r="F929" t="s">
        <v>670</v>
      </c>
      <c r="G929" t="s">
        <v>59</v>
      </c>
      <c r="H929">
        <v>2024</v>
      </c>
    </row>
    <row r="930" spans="1:8" x14ac:dyDescent="0.2">
      <c r="A930">
        <v>195177</v>
      </c>
      <c r="B930">
        <v>3697609.8</v>
      </c>
      <c r="C930" t="str">
        <f t="shared" si="14"/>
        <v>5. $1M+</v>
      </c>
      <c r="D930" t="s">
        <v>146</v>
      </c>
      <c r="E930" t="s">
        <v>8</v>
      </c>
      <c r="F930" t="s">
        <v>9</v>
      </c>
      <c r="G930" t="s">
        <v>10</v>
      </c>
      <c r="H930">
        <v>2023</v>
      </c>
    </row>
    <row r="931" spans="1:8" x14ac:dyDescent="0.2">
      <c r="A931">
        <v>195229</v>
      </c>
      <c r="B931">
        <v>50000</v>
      </c>
      <c r="C931" t="str">
        <f t="shared" si="14"/>
        <v>5. $1M+</v>
      </c>
      <c r="D931" t="s">
        <v>1012</v>
      </c>
      <c r="E931" t="s">
        <v>112</v>
      </c>
      <c r="F931" t="s">
        <v>668</v>
      </c>
      <c r="G931" t="s">
        <v>59</v>
      </c>
      <c r="H931">
        <v>2023</v>
      </c>
    </row>
    <row r="932" spans="1:8" x14ac:dyDescent="0.2">
      <c r="A932">
        <v>195261</v>
      </c>
      <c r="B932">
        <v>52835</v>
      </c>
      <c r="C932" t="str">
        <f t="shared" si="14"/>
        <v>3. $50K-250K</v>
      </c>
      <c r="D932" t="s">
        <v>1013</v>
      </c>
      <c r="E932" t="s">
        <v>112</v>
      </c>
      <c r="F932" t="s">
        <v>668</v>
      </c>
      <c r="G932" t="s">
        <v>59</v>
      </c>
      <c r="H932">
        <v>2024</v>
      </c>
    </row>
    <row r="933" spans="1:8" x14ac:dyDescent="0.2">
      <c r="A933">
        <v>195262</v>
      </c>
      <c r="B933">
        <v>15000</v>
      </c>
      <c r="C933" t="str">
        <f t="shared" si="14"/>
        <v>3. $50K-250K</v>
      </c>
      <c r="D933" t="s">
        <v>1014</v>
      </c>
      <c r="E933" t="s">
        <v>112</v>
      </c>
      <c r="F933" t="s">
        <v>668</v>
      </c>
      <c r="G933" t="s">
        <v>59</v>
      </c>
      <c r="H933">
        <v>2023</v>
      </c>
    </row>
    <row r="934" spans="1:8" x14ac:dyDescent="0.2">
      <c r="A934">
        <v>195283</v>
      </c>
      <c r="B934">
        <v>107000</v>
      </c>
      <c r="C934" t="str">
        <f t="shared" si="14"/>
        <v>2. $10K-50K</v>
      </c>
      <c r="D934" t="s">
        <v>1015</v>
      </c>
      <c r="E934" t="s">
        <v>112</v>
      </c>
      <c r="F934" t="s">
        <v>668</v>
      </c>
      <c r="G934" t="s">
        <v>59</v>
      </c>
      <c r="H934">
        <v>2023</v>
      </c>
    </row>
    <row r="935" spans="1:8" x14ac:dyDescent="0.2">
      <c r="A935">
        <v>195376</v>
      </c>
      <c r="B935">
        <v>50000</v>
      </c>
      <c r="C935" t="str">
        <f t="shared" si="14"/>
        <v>3. $50K-250K</v>
      </c>
      <c r="D935" t="s">
        <v>925</v>
      </c>
      <c r="E935" t="s">
        <v>99</v>
      </c>
      <c r="F935" t="s">
        <v>670</v>
      </c>
      <c r="G935" t="s">
        <v>59</v>
      </c>
      <c r="H935">
        <v>2024</v>
      </c>
    </row>
    <row r="936" spans="1:8" x14ac:dyDescent="0.2">
      <c r="A936">
        <v>19539</v>
      </c>
      <c r="B936">
        <v>66531116.5</v>
      </c>
      <c r="C936" t="str">
        <f t="shared" si="14"/>
        <v>3. $50K-250K</v>
      </c>
      <c r="D936" t="s">
        <v>174</v>
      </c>
      <c r="E936" t="s">
        <v>18</v>
      </c>
      <c r="F936" t="s">
        <v>43</v>
      </c>
      <c r="G936" t="s">
        <v>44</v>
      </c>
      <c r="H936">
        <v>2023</v>
      </c>
    </row>
    <row r="937" spans="1:8" x14ac:dyDescent="0.2">
      <c r="A937">
        <v>195548</v>
      </c>
      <c r="B937">
        <v>417600</v>
      </c>
      <c r="C937" t="str">
        <f t="shared" si="14"/>
        <v>5. $1M+</v>
      </c>
      <c r="D937" t="s">
        <v>1016</v>
      </c>
      <c r="E937" t="s">
        <v>112</v>
      </c>
      <c r="F937" t="s">
        <v>668</v>
      </c>
      <c r="G937" t="s">
        <v>59</v>
      </c>
      <c r="H937">
        <v>2023</v>
      </c>
    </row>
    <row r="938" spans="1:8" x14ac:dyDescent="0.2">
      <c r="A938">
        <v>195565</v>
      </c>
      <c r="B938">
        <v>1268790</v>
      </c>
      <c r="C938" t="str">
        <f t="shared" si="14"/>
        <v>4. $250K-1M</v>
      </c>
      <c r="D938" t="s">
        <v>321</v>
      </c>
      <c r="E938" t="s">
        <v>112</v>
      </c>
      <c r="F938" t="s">
        <v>668</v>
      </c>
      <c r="G938" t="s">
        <v>59</v>
      </c>
      <c r="H938">
        <v>2023</v>
      </c>
    </row>
    <row r="939" spans="1:8" x14ac:dyDescent="0.2">
      <c r="A939">
        <v>195572</v>
      </c>
      <c r="B939">
        <v>498520</v>
      </c>
      <c r="C939" t="str">
        <f t="shared" si="14"/>
        <v>5. $1M+</v>
      </c>
      <c r="D939" t="s">
        <v>1017</v>
      </c>
      <c r="E939" t="s">
        <v>112</v>
      </c>
      <c r="F939" t="s">
        <v>668</v>
      </c>
      <c r="G939" t="s">
        <v>59</v>
      </c>
      <c r="H939">
        <v>2023</v>
      </c>
    </row>
    <row r="940" spans="1:8" x14ac:dyDescent="0.2">
      <c r="A940">
        <v>195593</v>
      </c>
      <c r="B940">
        <v>1849000</v>
      </c>
      <c r="C940" t="str">
        <f t="shared" si="14"/>
        <v>4. $250K-1M</v>
      </c>
      <c r="D940" t="s">
        <v>1016</v>
      </c>
      <c r="E940" t="s">
        <v>99</v>
      </c>
      <c r="F940" t="s">
        <v>668</v>
      </c>
      <c r="G940" t="s">
        <v>59</v>
      </c>
      <c r="H940">
        <v>2023</v>
      </c>
    </row>
    <row r="941" spans="1:8" x14ac:dyDescent="0.2">
      <c r="A941">
        <v>196003</v>
      </c>
      <c r="B941">
        <v>348585</v>
      </c>
      <c r="C941" t="str">
        <f t="shared" si="14"/>
        <v>5. $1M+</v>
      </c>
      <c r="D941" t="s">
        <v>1018</v>
      </c>
      <c r="E941" t="s">
        <v>112</v>
      </c>
      <c r="F941" t="s">
        <v>668</v>
      </c>
      <c r="G941" t="s">
        <v>59</v>
      </c>
      <c r="H941">
        <v>2023</v>
      </c>
    </row>
    <row r="942" spans="1:8" x14ac:dyDescent="0.2">
      <c r="A942">
        <v>196045</v>
      </c>
      <c r="B942">
        <v>1580222</v>
      </c>
      <c r="C942" t="str">
        <f t="shared" si="14"/>
        <v>4. $250K-1M</v>
      </c>
      <c r="D942" t="s">
        <v>749</v>
      </c>
      <c r="E942" t="s">
        <v>237</v>
      </c>
      <c r="F942" t="s">
        <v>670</v>
      </c>
      <c r="G942" t="s">
        <v>59</v>
      </c>
      <c r="H942">
        <v>2023</v>
      </c>
    </row>
    <row r="943" spans="1:8" x14ac:dyDescent="0.2">
      <c r="A943">
        <v>196046</v>
      </c>
      <c r="B943">
        <v>1358140</v>
      </c>
      <c r="C943" t="str">
        <f t="shared" si="14"/>
        <v>5. $1M+</v>
      </c>
      <c r="D943" t="s">
        <v>902</v>
      </c>
      <c r="E943" t="s">
        <v>237</v>
      </c>
      <c r="F943" t="s">
        <v>670</v>
      </c>
      <c r="G943" t="s">
        <v>59</v>
      </c>
      <c r="H943">
        <v>2023</v>
      </c>
    </row>
    <row r="944" spans="1:8" x14ac:dyDescent="0.2">
      <c r="A944">
        <v>196047</v>
      </c>
      <c r="B944">
        <v>1638798</v>
      </c>
      <c r="C944" t="str">
        <f t="shared" si="14"/>
        <v>5. $1M+</v>
      </c>
      <c r="D944" t="s">
        <v>1019</v>
      </c>
      <c r="E944" t="s">
        <v>237</v>
      </c>
      <c r="F944" t="s">
        <v>670</v>
      </c>
      <c r="G944" t="s">
        <v>59</v>
      </c>
      <c r="H944">
        <v>2023</v>
      </c>
    </row>
    <row r="945" spans="1:8" x14ac:dyDescent="0.2">
      <c r="A945">
        <v>196048</v>
      </c>
      <c r="B945">
        <v>995123</v>
      </c>
      <c r="C945" t="str">
        <f t="shared" si="14"/>
        <v>5. $1M+</v>
      </c>
      <c r="D945" t="s">
        <v>903</v>
      </c>
      <c r="E945" t="s">
        <v>237</v>
      </c>
      <c r="F945" t="s">
        <v>670</v>
      </c>
      <c r="G945" t="s">
        <v>59</v>
      </c>
      <c r="H945">
        <v>2023</v>
      </c>
    </row>
    <row r="946" spans="1:8" x14ac:dyDescent="0.2">
      <c r="A946">
        <v>196103</v>
      </c>
      <c r="B946">
        <v>12000000</v>
      </c>
      <c r="C946" t="str">
        <f t="shared" si="14"/>
        <v>4. $250K-1M</v>
      </c>
      <c r="D946" t="s">
        <v>191</v>
      </c>
      <c r="E946" t="s">
        <v>28</v>
      </c>
      <c r="F946" t="s">
        <v>29</v>
      </c>
      <c r="G946" t="s">
        <v>15</v>
      </c>
      <c r="H946">
        <v>2023</v>
      </c>
    </row>
    <row r="947" spans="1:8" x14ac:dyDescent="0.2">
      <c r="A947">
        <v>196104</v>
      </c>
      <c r="B947">
        <v>12000000</v>
      </c>
      <c r="C947" t="str">
        <f t="shared" si="14"/>
        <v>5. $1M+</v>
      </c>
      <c r="D947" t="s">
        <v>186</v>
      </c>
      <c r="E947" t="s">
        <v>28</v>
      </c>
      <c r="F947" t="s">
        <v>29</v>
      </c>
      <c r="G947" t="s">
        <v>15</v>
      </c>
      <c r="H947">
        <v>2023</v>
      </c>
    </row>
    <row r="948" spans="1:8" x14ac:dyDescent="0.2">
      <c r="A948">
        <v>196105</v>
      </c>
      <c r="B948">
        <v>12000000</v>
      </c>
      <c r="C948" t="str">
        <f t="shared" si="14"/>
        <v>5. $1M+</v>
      </c>
      <c r="D948" t="s">
        <v>187</v>
      </c>
      <c r="E948" t="s">
        <v>28</v>
      </c>
      <c r="F948" t="s">
        <v>29</v>
      </c>
      <c r="G948" t="s">
        <v>15</v>
      </c>
      <c r="H948">
        <v>2023</v>
      </c>
    </row>
    <row r="949" spans="1:8" x14ac:dyDescent="0.2">
      <c r="A949">
        <v>196108</v>
      </c>
      <c r="B949">
        <v>12000000</v>
      </c>
      <c r="C949" t="str">
        <f t="shared" si="14"/>
        <v>5. $1M+</v>
      </c>
      <c r="D949" t="s">
        <v>191</v>
      </c>
      <c r="E949" t="s">
        <v>28</v>
      </c>
      <c r="F949" t="s">
        <v>29</v>
      </c>
      <c r="G949" t="s">
        <v>15</v>
      </c>
      <c r="H949">
        <v>2023</v>
      </c>
    </row>
    <row r="950" spans="1:8" x14ac:dyDescent="0.2">
      <c r="A950">
        <v>196109</v>
      </c>
      <c r="B950">
        <v>12000000</v>
      </c>
      <c r="C950" t="str">
        <f t="shared" si="14"/>
        <v>5. $1M+</v>
      </c>
      <c r="D950" t="s">
        <v>189</v>
      </c>
      <c r="E950" t="s">
        <v>59</v>
      </c>
      <c r="F950" t="s">
        <v>71</v>
      </c>
      <c r="G950" t="s">
        <v>59</v>
      </c>
      <c r="H950">
        <v>2023</v>
      </c>
    </row>
    <row r="951" spans="1:8" x14ac:dyDescent="0.2">
      <c r="A951">
        <v>196110</v>
      </c>
      <c r="B951">
        <v>12000000</v>
      </c>
      <c r="C951" t="str">
        <f t="shared" si="14"/>
        <v>5. $1M+</v>
      </c>
      <c r="D951" t="s">
        <v>186</v>
      </c>
      <c r="E951" t="s">
        <v>28</v>
      </c>
      <c r="F951" t="s">
        <v>29</v>
      </c>
      <c r="G951" t="s">
        <v>15</v>
      </c>
      <c r="H951">
        <v>2023</v>
      </c>
    </row>
    <row r="952" spans="1:8" x14ac:dyDescent="0.2">
      <c r="A952">
        <v>196111</v>
      </c>
      <c r="B952">
        <v>12000000</v>
      </c>
      <c r="C952" t="str">
        <f t="shared" si="14"/>
        <v>5. $1M+</v>
      </c>
      <c r="D952" t="s">
        <v>187</v>
      </c>
      <c r="E952" t="s">
        <v>28</v>
      </c>
      <c r="F952" t="s">
        <v>29</v>
      </c>
      <c r="G952" t="s">
        <v>15</v>
      </c>
      <c r="H952">
        <v>2023</v>
      </c>
    </row>
    <row r="953" spans="1:8" x14ac:dyDescent="0.2">
      <c r="A953">
        <v>196321</v>
      </c>
      <c r="B953">
        <v>50000</v>
      </c>
      <c r="C953" t="str">
        <f t="shared" si="14"/>
        <v>5. $1M+</v>
      </c>
      <c r="D953" t="s">
        <v>1020</v>
      </c>
      <c r="E953" t="s">
        <v>52</v>
      </c>
      <c r="F953" t="s">
        <v>668</v>
      </c>
      <c r="G953" t="s">
        <v>59</v>
      </c>
      <c r="H953">
        <v>2023</v>
      </c>
    </row>
    <row r="954" spans="1:8" x14ac:dyDescent="0.2">
      <c r="A954">
        <v>196402</v>
      </c>
      <c r="B954">
        <v>1458769</v>
      </c>
      <c r="C954" t="str">
        <f t="shared" si="14"/>
        <v>3. $50K-250K</v>
      </c>
      <c r="D954" t="s">
        <v>683</v>
      </c>
      <c r="E954" t="s">
        <v>42</v>
      </c>
      <c r="F954" t="s">
        <v>670</v>
      </c>
      <c r="G954" t="s">
        <v>44</v>
      </c>
      <c r="H954">
        <v>2023</v>
      </c>
    </row>
    <row r="955" spans="1:8" x14ac:dyDescent="0.2">
      <c r="A955">
        <v>196403</v>
      </c>
      <c r="B955">
        <v>779031</v>
      </c>
      <c r="C955" t="str">
        <f t="shared" si="14"/>
        <v>5. $1M+</v>
      </c>
      <c r="D955" t="s">
        <v>1021</v>
      </c>
      <c r="E955" t="s">
        <v>42</v>
      </c>
      <c r="F955" t="s">
        <v>670</v>
      </c>
      <c r="G955" t="s">
        <v>44</v>
      </c>
      <c r="H955">
        <v>2023</v>
      </c>
    </row>
    <row r="956" spans="1:8" x14ac:dyDescent="0.2">
      <c r="A956">
        <v>196404</v>
      </c>
      <c r="B956">
        <v>767712</v>
      </c>
      <c r="C956" t="str">
        <f t="shared" si="14"/>
        <v>4. $250K-1M</v>
      </c>
      <c r="D956" t="s">
        <v>703</v>
      </c>
      <c r="E956" t="s">
        <v>42</v>
      </c>
      <c r="F956" t="s">
        <v>670</v>
      </c>
      <c r="G956" t="s">
        <v>44</v>
      </c>
      <c r="H956">
        <v>2023</v>
      </c>
    </row>
    <row r="957" spans="1:8" x14ac:dyDescent="0.2">
      <c r="A957">
        <v>196405</v>
      </c>
      <c r="B957">
        <v>749549</v>
      </c>
      <c r="C957" t="str">
        <f t="shared" si="14"/>
        <v>4. $250K-1M</v>
      </c>
      <c r="D957" t="s">
        <v>1002</v>
      </c>
      <c r="E957" t="s">
        <v>42</v>
      </c>
      <c r="F957" t="s">
        <v>670</v>
      </c>
      <c r="G957" t="s">
        <v>44</v>
      </c>
      <c r="H957">
        <v>2023</v>
      </c>
    </row>
    <row r="958" spans="1:8" x14ac:dyDescent="0.2">
      <c r="A958">
        <v>196406</v>
      </c>
      <c r="B958">
        <v>1055699</v>
      </c>
      <c r="C958" t="str">
        <f t="shared" si="14"/>
        <v>4. $250K-1M</v>
      </c>
      <c r="D958" t="s">
        <v>1022</v>
      </c>
      <c r="E958" t="s">
        <v>42</v>
      </c>
      <c r="F958" t="s">
        <v>670</v>
      </c>
      <c r="G958" t="s">
        <v>44</v>
      </c>
      <c r="H958">
        <v>2023</v>
      </c>
    </row>
    <row r="959" spans="1:8" x14ac:dyDescent="0.2">
      <c r="A959">
        <v>196460</v>
      </c>
      <c r="B959">
        <v>2606700</v>
      </c>
      <c r="C959" t="str">
        <f t="shared" si="14"/>
        <v>5. $1M+</v>
      </c>
      <c r="D959" t="s">
        <v>763</v>
      </c>
      <c r="E959" t="s">
        <v>42</v>
      </c>
      <c r="F959" t="s">
        <v>670</v>
      </c>
      <c r="G959" t="s">
        <v>44</v>
      </c>
      <c r="H959">
        <v>2023</v>
      </c>
    </row>
    <row r="960" spans="1:8" x14ac:dyDescent="0.2">
      <c r="A960">
        <v>196462</v>
      </c>
      <c r="B960">
        <v>625000</v>
      </c>
      <c r="C960" t="str">
        <f t="shared" si="14"/>
        <v>5. $1M+</v>
      </c>
      <c r="D960" t="s">
        <v>686</v>
      </c>
      <c r="E960" t="s">
        <v>42</v>
      </c>
      <c r="F960" t="s">
        <v>670</v>
      </c>
      <c r="G960" t="s">
        <v>44</v>
      </c>
      <c r="H960">
        <v>2023</v>
      </c>
    </row>
    <row r="961" spans="1:8" x14ac:dyDescent="0.2">
      <c r="A961">
        <v>196819</v>
      </c>
      <c r="B961">
        <v>97810</v>
      </c>
      <c r="C961" t="str">
        <f t="shared" si="14"/>
        <v>4. $250K-1M</v>
      </c>
      <c r="D961" t="s">
        <v>1023</v>
      </c>
      <c r="E961" t="s">
        <v>112</v>
      </c>
      <c r="F961" t="s">
        <v>668</v>
      </c>
      <c r="G961" t="s">
        <v>59</v>
      </c>
      <c r="H961">
        <v>2023</v>
      </c>
    </row>
    <row r="962" spans="1:8" x14ac:dyDescent="0.2">
      <c r="A962">
        <v>197089</v>
      </c>
      <c r="B962">
        <v>848394.7</v>
      </c>
      <c r="C962" t="str">
        <f t="shared" si="14"/>
        <v>3. $50K-250K</v>
      </c>
      <c r="D962">
        <v>2243</v>
      </c>
      <c r="E962" t="s">
        <v>59</v>
      </c>
      <c r="F962" t="s">
        <v>664</v>
      </c>
      <c r="G962" t="s">
        <v>59</v>
      </c>
      <c r="H962">
        <v>2023</v>
      </c>
    </row>
    <row r="963" spans="1:8" x14ac:dyDescent="0.2">
      <c r="A963">
        <v>197137</v>
      </c>
      <c r="B963">
        <v>2052815</v>
      </c>
      <c r="C963" t="str">
        <f t="shared" ref="C963:C1026" si="15">IF(B962&lt;10000,"1. Under $10K",IF(B962&lt;50000,"2. $10K-50K",IF(B962&lt;250000,"3. $50K-250K",IF(B962&lt;1000000,"4. $250K-1M","5. $1M+"))))</f>
        <v>4. $250K-1M</v>
      </c>
      <c r="D963" t="s">
        <v>1024</v>
      </c>
      <c r="E963" t="s">
        <v>59</v>
      </c>
      <c r="F963" t="s">
        <v>670</v>
      </c>
      <c r="G963" t="s">
        <v>59</v>
      </c>
      <c r="H963">
        <v>2023</v>
      </c>
    </row>
    <row r="964" spans="1:8" x14ac:dyDescent="0.2">
      <c r="A964">
        <v>197249</v>
      </c>
      <c r="B964">
        <v>715786</v>
      </c>
      <c r="C964" t="str">
        <f t="shared" si="15"/>
        <v>5. $1M+</v>
      </c>
      <c r="D964" t="s">
        <v>1021</v>
      </c>
      <c r="E964" t="s">
        <v>42</v>
      </c>
      <c r="F964" t="s">
        <v>670</v>
      </c>
      <c r="G964" t="s">
        <v>44</v>
      </c>
      <c r="H964">
        <v>2023</v>
      </c>
    </row>
    <row r="965" spans="1:8" x14ac:dyDescent="0.2">
      <c r="A965">
        <v>197254</v>
      </c>
      <c r="B965">
        <v>240000</v>
      </c>
      <c r="C965" t="str">
        <f t="shared" si="15"/>
        <v>4. $250K-1M</v>
      </c>
      <c r="D965" t="s">
        <v>1025</v>
      </c>
      <c r="E965" t="s">
        <v>42</v>
      </c>
      <c r="F965" t="s">
        <v>670</v>
      </c>
      <c r="G965" t="s">
        <v>44</v>
      </c>
      <c r="H965">
        <v>2023</v>
      </c>
    </row>
    <row r="966" spans="1:8" x14ac:dyDescent="0.2">
      <c r="A966">
        <v>197258</v>
      </c>
      <c r="B966">
        <v>960000</v>
      </c>
      <c r="C966" t="str">
        <f t="shared" si="15"/>
        <v>3. $50K-250K</v>
      </c>
      <c r="D966" t="s">
        <v>683</v>
      </c>
      <c r="E966" t="s">
        <v>42</v>
      </c>
      <c r="F966" t="s">
        <v>670</v>
      </c>
      <c r="G966" t="s">
        <v>44</v>
      </c>
      <c r="H966">
        <v>2023</v>
      </c>
    </row>
    <row r="967" spans="1:8" x14ac:dyDescent="0.2">
      <c r="A967">
        <v>197263</v>
      </c>
      <c r="B967">
        <v>720000</v>
      </c>
      <c r="C967" t="str">
        <f t="shared" si="15"/>
        <v>4. $250K-1M</v>
      </c>
      <c r="D967" t="s">
        <v>1026</v>
      </c>
      <c r="E967" t="s">
        <v>42</v>
      </c>
      <c r="F967" t="s">
        <v>670</v>
      </c>
      <c r="G967" t="s">
        <v>44</v>
      </c>
      <c r="H967">
        <v>2023</v>
      </c>
    </row>
    <row r="968" spans="1:8" x14ac:dyDescent="0.2">
      <c r="A968">
        <v>197266</v>
      </c>
      <c r="B968">
        <v>97756.799999999901</v>
      </c>
      <c r="C968" t="str">
        <f t="shared" si="15"/>
        <v>4. $250K-1M</v>
      </c>
      <c r="D968" t="s">
        <v>23</v>
      </c>
      <c r="E968" t="s">
        <v>8</v>
      </c>
      <c r="F968" t="s">
        <v>9</v>
      </c>
      <c r="G968" t="s">
        <v>10</v>
      </c>
      <c r="H968">
        <v>2023</v>
      </c>
    </row>
    <row r="969" spans="1:8" x14ac:dyDescent="0.2">
      <c r="A969">
        <v>197272</v>
      </c>
      <c r="B969">
        <v>12052782</v>
      </c>
      <c r="C969" t="str">
        <f t="shared" si="15"/>
        <v>3. $50K-250K</v>
      </c>
      <c r="D969" t="s">
        <v>1027</v>
      </c>
      <c r="E969" t="s">
        <v>237</v>
      </c>
      <c r="F969" t="s">
        <v>670</v>
      </c>
      <c r="G969" t="s">
        <v>59</v>
      </c>
      <c r="H969">
        <v>2023</v>
      </c>
    </row>
    <row r="970" spans="1:8" x14ac:dyDescent="0.2">
      <c r="A970">
        <v>197279</v>
      </c>
      <c r="B970">
        <v>87827</v>
      </c>
      <c r="C970" t="str">
        <f t="shared" si="15"/>
        <v>5. $1M+</v>
      </c>
      <c r="D970" t="s">
        <v>816</v>
      </c>
      <c r="E970" t="s">
        <v>99</v>
      </c>
      <c r="F970" t="s">
        <v>670</v>
      </c>
      <c r="G970" t="s">
        <v>59</v>
      </c>
      <c r="H970">
        <v>2023</v>
      </c>
    </row>
    <row r="971" spans="1:8" x14ac:dyDescent="0.2">
      <c r="A971">
        <v>197661</v>
      </c>
      <c r="B971">
        <v>5928689</v>
      </c>
      <c r="C971" t="str">
        <f t="shared" si="15"/>
        <v>3. $50K-250K</v>
      </c>
      <c r="D971" t="s">
        <v>852</v>
      </c>
      <c r="E971" t="s">
        <v>237</v>
      </c>
      <c r="F971" t="s">
        <v>670</v>
      </c>
      <c r="G971" t="s">
        <v>59</v>
      </c>
      <c r="H971">
        <v>2023</v>
      </c>
    </row>
    <row r="972" spans="1:8" x14ac:dyDescent="0.2">
      <c r="A972">
        <v>197664</v>
      </c>
      <c r="B972">
        <v>320000</v>
      </c>
      <c r="C972" t="str">
        <f t="shared" si="15"/>
        <v>5. $1M+</v>
      </c>
      <c r="D972" t="s">
        <v>881</v>
      </c>
      <c r="E972" t="s">
        <v>237</v>
      </c>
      <c r="F972" t="s">
        <v>670</v>
      </c>
      <c r="G972" t="s">
        <v>59</v>
      </c>
      <c r="H972">
        <v>2023</v>
      </c>
    </row>
    <row r="973" spans="1:8" x14ac:dyDescent="0.2">
      <c r="A973">
        <v>197784</v>
      </c>
      <c r="B973">
        <v>13970000</v>
      </c>
      <c r="C973" t="str">
        <f t="shared" si="15"/>
        <v>4. $250K-1M</v>
      </c>
      <c r="D973" t="s">
        <v>881</v>
      </c>
      <c r="E973" t="s">
        <v>237</v>
      </c>
      <c r="F973" t="s">
        <v>670</v>
      </c>
      <c r="G973" t="s">
        <v>59</v>
      </c>
      <c r="H973">
        <v>2023</v>
      </c>
    </row>
    <row r="974" spans="1:8" x14ac:dyDescent="0.2">
      <c r="A974">
        <v>197792</v>
      </c>
      <c r="B974">
        <v>87502</v>
      </c>
      <c r="C974" t="str">
        <f t="shared" si="15"/>
        <v>5. $1M+</v>
      </c>
      <c r="D974" t="s">
        <v>999</v>
      </c>
      <c r="E974" t="s">
        <v>99</v>
      </c>
      <c r="F974" t="s">
        <v>670</v>
      </c>
      <c r="G974" t="s">
        <v>59</v>
      </c>
      <c r="H974">
        <v>2024</v>
      </c>
    </row>
    <row r="975" spans="1:8" x14ac:dyDescent="0.2">
      <c r="A975">
        <v>198204</v>
      </c>
      <c r="B975">
        <v>6920000</v>
      </c>
      <c r="C975" t="str">
        <f t="shared" si="15"/>
        <v>3. $50K-250K</v>
      </c>
      <c r="D975" t="s">
        <v>1028</v>
      </c>
      <c r="E975" t="s">
        <v>42</v>
      </c>
      <c r="F975" t="s">
        <v>670</v>
      </c>
      <c r="G975" t="s">
        <v>44</v>
      </c>
      <c r="H975">
        <v>2023</v>
      </c>
    </row>
    <row r="976" spans="1:8" x14ac:dyDescent="0.2">
      <c r="A976">
        <v>198394</v>
      </c>
      <c r="B976">
        <v>527096.5</v>
      </c>
      <c r="C976" t="str">
        <f t="shared" si="15"/>
        <v>5. $1M+</v>
      </c>
      <c r="D976" t="s">
        <v>992</v>
      </c>
      <c r="E976" t="s">
        <v>99</v>
      </c>
      <c r="F976" t="s">
        <v>670</v>
      </c>
      <c r="G976" t="s">
        <v>59</v>
      </c>
      <c r="H976">
        <v>2023</v>
      </c>
    </row>
    <row r="977" spans="1:8" x14ac:dyDescent="0.2">
      <c r="A977">
        <v>198850</v>
      </c>
      <c r="B977">
        <v>5000</v>
      </c>
      <c r="C977" t="str">
        <f t="shared" si="15"/>
        <v>4. $250K-1M</v>
      </c>
      <c r="D977" t="s">
        <v>1029</v>
      </c>
      <c r="E977" t="s">
        <v>112</v>
      </c>
      <c r="F977" t="s">
        <v>668</v>
      </c>
      <c r="G977" t="s">
        <v>59</v>
      </c>
      <c r="H977">
        <v>2024</v>
      </c>
    </row>
    <row r="978" spans="1:8" x14ac:dyDescent="0.2">
      <c r="A978">
        <v>198896</v>
      </c>
      <c r="B978">
        <v>100000</v>
      </c>
      <c r="C978" t="str">
        <f t="shared" si="15"/>
        <v>1. Under $10K</v>
      </c>
      <c r="D978" t="s">
        <v>1030</v>
      </c>
      <c r="E978" t="s">
        <v>112</v>
      </c>
      <c r="F978" t="s">
        <v>668</v>
      </c>
      <c r="G978" t="s">
        <v>59</v>
      </c>
      <c r="H978">
        <v>2024</v>
      </c>
    </row>
    <row r="979" spans="1:8" x14ac:dyDescent="0.2">
      <c r="A979">
        <v>198916</v>
      </c>
      <c r="B979">
        <v>700000</v>
      </c>
      <c r="C979" t="str">
        <f t="shared" si="15"/>
        <v>3. $50K-250K</v>
      </c>
      <c r="D979" t="s">
        <v>1031</v>
      </c>
      <c r="E979" t="s">
        <v>112</v>
      </c>
      <c r="F979" t="s">
        <v>668</v>
      </c>
      <c r="G979" t="s">
        <v>59</v>
      </c>
      <c r="H979">
        <v>2024</v>
      </c>
    </row>
    <row r="980" spans="1:8" x14ac:dyDescent="0.2">
      <c r="A980">
        <v>199289</v>
      </c>
      <c r="B980">
        <v>1104062.5</v>
      </c>
      <c r="C980" t="str">
        <f t="shared" si="15"/>
        <v>4. $250K-1M</v>
      </c>
      <c r="D980" t="s">
        <v>192</v>
      </c>
      <c r="E980" t="s">
        <v>42</v>
      </c>
      <c r="F980" t="s">
        <v>43</v>
      </c>
      <c r="G980" t="s">
        <v>101</v>
      </c>
      <c r="H980">
        <v>2023</v>
      </c>
    </row>
    <row r="981" spans="1:8" x14ac:dyDescent="0.2">
      <c r="A981">
        <v>199608</v>
      </c>
      <c r="B981">
        <v>21333</v>
      </c>
      <c r="C981" t="str">
        <f t="shared" si="15"/>
        <v>5. $1M+</v>
      </c>
      <c r="D981" t="s">
        <v>711</v>
      </c>
      <c r="E981" t="s">
        <v>237</v>
      </c>
      <c r="F981" t="s">
        <v>670</v>
      </c>
      <c r="G981" t="s">
        <v>59</v>
      </c>
      <c r="H981">
        <v>2023</v>
      </c>
    </row>
    <row r="982" spans="1:8" x14ac:dyDescent="0.2">
      <c r="A982">
        <v>199664</v>
      </c>
      <c r="B982">
        <v>901314</v>
      </c>
      <c r="C982" t="str">
        <f t="shared" si="15"/>
        <v>2. $10K-50K</v>
      </c>
      <c r="D982" t="s">
        <v>391</v>
      </c>
      <c r="E982" t="s">
        <v>42</v>
      </c>
      <c r="F982" t="s">
        <v>670</v>
      </c>
      <c r="G982" t="s">
        <v>44</v>
      </c>
      <c r="H982">
        <v>2023</v>
      </c>
    </row>
    <row r="983" spans="1:8" x14ac:dyDescent="0.2">
      <c r="A983">
        <v>199668</v>
      </c>
      <c r="B983">
        <v>25000000</v>
      </c>
      <c r="C983" t="str">
        <f t="shared" si="15"/>
        <v>4. $250K-1M</v>
      </c>
      <c r="D983" t="s">
        <v>193</v>
      </c>
      <c r="E983" t="s">
        <v>8</v>
      </c>
      <c r="F983" t="s">
        <v>14</v>
      </c>
      <c r="G983" t="s">
        <v>194</v>
      </c>
      <c r="H983">
        <v>2023</v>
      </c>
    </row>
    <row r="984" spans="1:8" x14ac:dyDescent="0.2">
      <c r="A984">
        <v>199765</v>
      </c>
      <c r="B984">
        <v>9903980</v>
      </c>
      <c r="C984" t="str">
        <f t="shared" si="15"/>
        <v>5. $1M+</v>
      </c>
      <c r="D984" t="s">
        <v>1032</v>
      </c>
      <c r="E984" t="s">
        <v>237</v>
      </c>
      <c r="F984" t="s">
        <v>670</v>
      </c>
      <c r="G984" t="s">
        <v>59</v>
      </c>
      <c r="H984">
        <v>2023</v>
      </c>
    </row>
    <row r="985" spans="1:8" x14ac:dyDescent="0.2">
      <c r="A985">
        <v>199795</v>
      </c>
      <c r="B985">
        <v>100000</v>
      </c>
      <c r="C985" t="str">
        <f t="shared" si="15"/>
        <v>5. $1M+</v>
      </c>
      <c r="D985" t="s">
        <v>1011</v>
      </c>
      <c r="E985" t="s">
        <v>237</v>
      </c>
      <c r="F985" t="s">
        <v>670</v>
      </c>
      <c r="G985" t="s">
        <v>59</v>
      </c>
      <c r="H985">
        <v>2023</v>
      </c>
    </row>
    <row r="986" spans="1:8" x14ac:dyDescent="0.2">
      <c r="A986">
        <v>199841</v>
      </c>
      <c r="B986">
        <v>3000000</v>
      </c>
      <c r="C986" t="str">
        <f t="shared" si="15"/>
        <v>3. $50K-250K</v>
      </c>
      <c r="D986" t="s">
        <v>195</v>
      </c>
      <c r="E986" t="s">
        <v>178</v>
      </c>
      <c r="F986" t="s">
        <v>43</v>
      </c>
      <c r="G986" t="s">
        <v>79</v>
      </c>
      <c r="H986">
        <v>2024</v>
      </c>
    </row>
    <row r="987" spans="1:8" x14ac:dyDescent="0.2">
      <c r="A987">
        <v>199912</v>
      </c>
      <c r="B987">
        <v>29150</v>
      </c>
      <c r="C987" t="str">
        <f t="shared" si="15"/>
        <v>5. $1M+</v>
      </c>
      <c r="D987" t="s">
        <v>711</v>
      </c>
      <c r="E987" t="s">
        <v>237</v>
      </c>
      <c r="F987" t="s">
        <v>670</v>
      </c>
      <c r="G987" t="s">
        <v>59</v>
      </c>
      <c r="H987">
        <v>2023</v>
      </c>
    </row>
    <row r="988" spans="1:8" x14ac:dyDescent="0.2">
      <c r="A988">
        <v>200121</v>
      </c>
      <c r="B988">
        <v>7000000</v>
      </c>
      <c r="C988" t="str">
        <f t="shared" si="15"/>
        <v>2. $10K-50K</v>
      </c>
      <c r="D988" t="s">
        <v>1033</v>
      </c>
      <c r="E988" t="s">
        <v>237</v>
      </c>
      <c r="F988" t="s">
        <v>670</v>
      </c>
      <c r="G988" t="s">
        <v>59</v>
      </c>
      <c r="H988">
        <v>2023</v>
      </c>
    </row>
    <row r="989" spans="1:8" x14ac:dyDescent="0.2">
      <c r="A989">
        <v>200123</v>
      </c>
      <c r="B989">
        <v>25000000</v>
      </c>
      <c r="C989" t="str">
        <f t="shared" si="15"/>
        <v>5. $1M+</v>
      </c>
      <c r="D989" t="s">
        <v>16</v>
      </c>
      <c r="E989" t="s">
        <v>59</v>
      </c>
      <c r="F989" t="s">
        <v>14</v>
      </c>
      <c r="G989" t="s">
        <v>15</v>
      </c>
      <c r="H989">
        <v>2023</v>
      </c>
    </row>
    <row r="990" spans="1:8" x14ac:dyDescent="0.2">
      <c r="A990">
        <v>200129</v>
      </c>
      <c r="B990">
        <v>25000000</v>
      </c>
      <c r="C990" t="str">
        <f t="shared" si="15"/>
        <v>5. $1M+</v>
      </c>
      <c r="D990" t="s">
        <v>50</v>
      </c>
      <c r="E990" t="s">
        <v>8</v>
      </c>
      <c r="F990" t="s">
        <v>14</v>
      </c>
      <c r="G990" t="s">
        <v>194</v>
      </c>
      <c r="H990">
        <v>2023</v>
      </c>
    </row>
    <row r="991" spans="1:8" x14ac:dyDescent="0.2">
      <c r="A991">
        <v>200135</v>
      </c>
      <c r="B991">
        <v>25000000</v>
      </c>
      <c r="C991" t="str">
        <f t="shared" si="15"/>
        <v>5. $1M+</v>
      </c>
      <c r="D991" t="s">
        <v>196</v>
      </c>
      <c r="E991" t="s">
        <v>8</v>
      </c>
      <c r="F991" t="s">
        <v>14</v>
      </c>
      <c r="G991" t="s">
        <v>15</v>
      </c>
      <c r="H991">
        <v>2023</v>
      </c>
    </row>
    <row r="992" spans="1:8" x14ac:dyDescent="0.2">
      <c r="A992">
        <v>200136</v>
      </c>
      <c r="B992">
        <v>25000000</v>
      </c>
      <c r="C992" t="str">
        <f t="shared" si="15"/>
        <v>5. $1M+</v>
      </c>
      <c r="D992" t="s">
        <v>197</v>
      </c>
      <c r="E992" t="s">
        <v>8</v>
      </c>
      <c r="F992" t="s">
        <v>14</v>
      </c>
      <c r="G992" t="s">
        <v>15</v>
      </c>
      <c r="H992">
        <v>2023</v>
      </c>
    </row>
    <row r="993" spans="1:8" x14ac:dyDescent="0.2">
      <c r="A993">
        <v>200137</v>
      </c>
      <c r="B993">
        <v>25000000</v>
      </c>
      <c r="C993" t="str">
        <f t="shared" si="15"/>
        <v>5. $1M+</v>
      </c>
      <c r="D993" t="s">
        <v>198</v>
      </c>
      <c r="E993" t="s">
        <v>8</v>
      </c>
      <c r="F993" t="s">
        <v>14</v>
      </c>
      <c r="G993" t="s">
        <v>15</v>
      </c>
      <c r="H993">
        <v>2023</v>
      </c>
    </row>
    <row r="994" spans="1:8" x14ac:dyDescent="0.2">
      <c r="A994">
        <v>200138</v>
      </c>
      <c r="B994">
        <v>25000000</v>
      </c>
      <c r="C994" t="str">
        <f t="shared" si="15"/>
        <v>5. $1M+</v>
      </c>
      <c r="D994" t="s">
        <v>199</v>
      </c>
      <c r="E994" t="s">
        <v>8</v>
      </c>
      <c r="F994" t="s">
        <v>14</v>
      </c>
      <c r="G994" t="s">
        <v>15</v>
      </c>
      <c r="H994">
        <v>2023</v>
      </c>
    </row>
    <row r="995" spans="1:8" x14ac:dyDescent="0.2">
      <c r="A995">
        <v>200141</v>
      </c>
      <c r="B995">
        <v>25000000</v>
      </c>
      <c r="C995" t="str">
        <f t="shared" si="15"/>
        <v>5. $1M+</v>
      </c>
      <c r="D995" t="s">
        <v>200</v>
      </c>
      <c r="E995" t="s">
        <v>8</v>
      </c>
      <c r="F995" t="s">
        <v>14</v>
      </c>
      <c r="G995" t="s">
        <v>15</v>
      </c>
      <c r="H995">
        <v>2023</v>
      </c>
    </row>
    <row r="996" spans="1:8" x14ac:dyDescent="0.2">
      <c r="A996">
        <v>200142</v>
      </c>
      <c r="B996">
        <v>25000000</v>
      </c>
      <c r="C996" t="str">
        <f t="shared" si="15"/>
        <v>5. $1M+</v>
      </c>
      <c r="D996" t="s">
        <v>189</v>
      </c>
      <c r="E996" t="s">
        <v>59</v>
      </c>
      <c r="F996" t="s">
        <v>14</v>
      </c>
      <c r="G996" t="s">
        <v>15</v>
      </c>
      <c r="H996">
        <v>2023</v>
      </c>
    </row>
    <row r="997" spans="1:8" x14ac:dyDescent="0.2">
      <c r="A997">
        <v>200143</v>
      </c>
      <c r="B997">
        <v>25000000</v>
      </c>
      <c r="C997" t="str">
        <f t="shared" si="15"/>
        <v>5. $1M+</v>
      </c>
      <c r="D997" t="s">
        <v>70</v>
      </c>
      <c r="E997" t="s">
        <v>8</v>
      </c>
      <c r="F997" t="s">
        <v>14</v>
      </c>
      <c r="G997" t="s">
        <v>15</v>
      </c>
      <c r="H997">
        <v>2023</v>
      </c>
    </row>
    <row r="998" spans="1:8" x14ac:dyDescent="0.2">
      <c r="A998">
        <v>200144</v>
      </c>
      <c r="B998">
        <v>25000000</v>
      </c>
      <c r="C998" t="str">
        <f t="shared" si="15"/>
        <v>5. $1M+</v>
      </c>
      <c r="D998" t="s">
        <v>201</v>
      </c>
      <c r="E998" t="s">
        <v>8</v>
      </c>
      <c r="F998" t="s">
        <v>14</v>
      </c>
      <c r="G998" t="s">
        <v>15</v>
      </c>
      <c r="H998">
        <v>2023</v>
      </c>
    </row>
    <row r="999" spans="1:8" x14ac:dyDescent="0.2">
      <c r="A999">
        <v>200145</v>
      </c>
      <c r="B999">
        <v>25000000</v>
      </c>
      <c r="C999" t="str">
        <f t="shared" si="15"/>
        <v>5. $1M+</v>
      </c>
      <c r="D999" t="s">
        <v>160</v>
      </c>
      <c r="E999" t="s">
        <v>59</v>
      </c>
      <c r="F999" t="s">
        <v>14</v>
      </c>
      <c r="G999" t="s">
        <v>15</v>
      </c>
      <c r="H999">
        <v>2023</v>
      </c>
    </row>
    <row r="1000" spans="1:8" x14ac:dyDescent="0.2">
      <c r="A1000">
        <v>200146</v>
      </c>
      <c r="B1000">
        <v>25000000</v>
      </c>
      <c r="C1000" t="str">
        <f t="shared" si="15"/>
        <v>5. $1M+</v>
      </c>
      <c r="D1000" t="s">
        <v>202</v>
      </c>
      <c r="E1000" t="s">
        <v>8</v>
      </c>
      <c r="F1000" t="s">
        <v>14</v>
      </c>
      <c r="G1000" t="s">
        <v>15</v>
      </c>
      <c r="H1000">
        <v>2023</v>
      </c>
    </row>
    <row r="1001" spans="1:8" x14ac:dyDescent="0.2">
      <c r="A1001">
        <v>200148</v>
      </c>
      <c r="B1001">
        <v>25000000</v>
      </c>
      <c r="C1001" t="str">
        <f t="shared" si="15"/>
        <v>5. $1M+</v>
      </c>
      <c r="D1001" t="s">
        <v>203</v>
      </c>
      <c r="E1001" t="s">
        <v>59</v>
      </c>
      <c r="F1001" t="s">
        <v>14</v>
      </c>
      <c r="G1001" t="s">
        <v>15</v>
      </c>
      <c r="H1001">
        <v>2023</v>
      </c>
    </row>
    <row r="1002" spans="1:8" x14ac:dyDescent="0.2">
      <c r="A1002">
        <v>200151</v>
      </c>
      <c r="B1002">
        <v>25000000</v>
      </c>
      <c r="C1002" t="str">
        <f t="shared" si="15"/>
        <v>5. $1M+</v>
      </c>
      <c r="D1002" t="s">
        <v>204</v>
      </c>
      <c r="E1002" t="s">
        <v>8</v>
      </c>
      <c r="F1002" t="s">
        <v>14</v>
      </c>
      <c r="G1002" t="s">
        <v>15</v>
      </c>
      <c r="H1002">
        <v>2023</v>
      </c>
    </row>
    <row r="1003" spans="1:8" x14ac:dyDescent="0.2">
      <c r="A1003">
        <v>200162</v>
      </c>
      <c r="B1003">
        <v>25000000</v>
      </c>
      <c r="C1003" t="str">
        <f t="shared" si="15"/>
        <v>5. $1M+</v>
      </c>
      <c r="D1003" t="s">
        <v>205</v>
      </c>
      <c r="E1003" t="s">
        <v>8</v>
      </c>
      <c r="F1003" t="s">
        <v>14</v>
      </c>
      <c r="G1003" t="s">
        <v>15</v>
      </c>
      <c r="H1003">
        <v>2023</v>
      </c>
    </row>
    <row r="1004" spans="1:8" x14ac:dyDescent="0.2">
      <c r="A1004">
        <v>200164</v>
      </c>
      <c r="B1004">
        <v>25000000</v>
      </c>
      <c r="C1004" t="str">
        <f t="shared" si="15"/>
        <v>5. $1M+</v>
      </c>
      <c r="D1004" t="s">
        <v>206</v>
      </c>
      <c r="E1004" t="s">
        <v>207</v>
      </c>
      <c r="F1004" t="s">
        <v>14</v>
      </c>
      <c r="G1004" t="s">
        <v>15</v>
      </c>
      <c r="H1004">
        <v>2023</v>
      </c>
    </row>
    <row r="1005" spans="1:8" x14ac:dyDescent="0.2">
      <c r="A1005">
        <v>200168</v>
      </c>
      <c r="B1005">
        <v>25000000</v>
      </c>
      <c r="C1005" t="str">
        <f t="shared" si="15"/>
        <v>5. $1M+</v>
      </c>
      <c r="D1005" t="s">
        <v>208</v>
      </c>
      <c r="E1005" t="s">
        <v>8</v>
      </c>
      <c r="F1005" t="s">
        <v>14</v>
      </c>
      <c r="G1005" t="s">
        <v>15</v>
      </c>
      <c r="H1005">
        <v>2023</v>
      </c>
    </row>
    <row r="1006" spans="1:8" x14ac:dyDescent="0.2">
      <c r="A1006">
        <v>200172</v>
      </c>
      <c r="B1006">
        <v>25000000</v>
      </c>
      <c r="C1006" t="str">
        <f t="shared" si="15"/>
        <v>5. $1M+</v>
      </c>
      <c r="D1006" t="s">
        <v>143</v>
      </c>
      <c r="E1006" t="s">
        <v>8</v>
      </c>
      <c r="F1006" t="s">
        <v>14</v>
      </c>
      <c r="G1006" t="s">
        <v>15</v>
      </c>
      <c r="H1006">
        <v>2023</v>
      </c>
    </row>
    <row r="1007" spans="1:8" x14ac:dyDescent="0.2">
      <c r="A1007">
        <v>200177</v>
      </c>
      <c r="B1007">
        <v>25000000</v>
      </c>
      <c r="C1007" t="str">
        <f t="shared" si="15"/>
        <v>5. $1M+</v>
      </c>
      <c r="D1007" t="s">
        <v>186</v>
      </c>
      <c r="E1007" t="s">
        <v>59</v>
      </c>
      <c r="F1007" t="s">
        <v>14</v>
      </c>
      <c r="G1007" t="s">
        <v>15</v>
      </c>
      <c r="H1007">
        <v>2023</v>
      </c>
    </row>
    <row r="1008" spans="1:8" x14ac:dyDescent="0.2">
      <c r="A1008">
        <v>200260</v>
      </c>
      <c r="B1008">
        <v>2500000</v>
      </c>
      <c r="C1008" t="str">
        <f t="shared" si="15"/>
        <v>5. $1M+</v>
      </c>
      <c r="D1008" t="s">
        <v>1034</v>
      </c>
      <c r="E1008" t="s">
        <v>42</v>
      </c>
      <c r="F1008" t="s">
        <v>670</v>
      </c>
      <c r="G1008" t="s">
        <v>44</v>
      </c>
      <c r="H1008">
        <v>2023</v>
      </c>
    </row>
    <row r="1009" spans="1:8" x14ac:dyDescent="0.2">
      <c r="A1009">
        <v>200261</v>
      </c>
      <c r="B1009">
        <v>1750000</v>
      </c>
      <c r="C1009" t="str">
        <f t="shared" si="15"/>
        <v>5. $1M+</v>
      </c>
      <c r="D1009" t="s">
        <v>849</v>
      </c>
      <c r="E1009" t="s">
        <v>42</v>
      </c>
      <c r="F1009" t="s">
        <v>670</v>
      </c>
      <c r="G1009" t="s">
        <v>44</v>
      </c>
      <c r="H1009">
        <v>2023</v>
      </c>
    </row>
    <row r="1010" spans="1:8" x14ac:dyDescent="0.2">
      <c r="A1010">
        <v>200495</v>
      </c>
      <c r="B1010">
        <v>47900000</v>
      </c>
      <c r="C1010" t="str">
        <f t="shared" si="15"/>
        <v>5. $1M+</v>
      </c>
      <c r="D1010" t="s">
        <v>209</v>
      </c>
      <c r="E1010" t="s">
        <v>141</v>
      </c>
      <c r="F1010" t="s">
        <v>43</v>
      </c>
      <c r="G1010" t="s">
        <v>44</v>
      </c>
      <c r="H1010">
        <v>2024</v>
      </c>
    </row>
    <row r="1011" spans="1:8" x14ac:dyDescent="0.2">
      <c r="A1011">
        <v>200597</v>
      </c>
      <c r="B1011">
        <v>500000</v>
      </c>
      <c r="C1011" t="str">
        <f t="shared" si="15"/>
        <v>5. $1M+</v>
      </c>
      <c r="D1011" t="s">
        <v>1028</v>
      </c>
      <c r="E1011" t="s">
        <v>42</v>
      </c>
      <c r="F1011" t="s">
        <v>670</v>
      </c>
      <c r="G1011" t="s">
        <v>44</v>
      </c>
      <c r="H1011">
        <v>2023</v>
      </c>
    </row>
    <row r="1012" spans="1:8" x14ac:dyDescent="0.2">
      <c r="A1012">
        <v>200602</v>
      </c>
      <c r="B1012">
        <v>5000</v>
      </c>
      <c r="C1012" t="str">
        <f t="shared" si="15"/>
        <v>4. $250K-1M</v>
      </c>
      <c r="D1012" t="s">
        <v>1035</v>
      </c>
      <c r="E1012" t="s">
        <v>825</v>
      </c>
      <c r="F1012" t="s">
        <v>670</v>
      </c>
      <c r="G1012" t="s">
        <v>59</v>
      </c>
      <c r="H1012">
        <v>2023</v>
      </c>
    </row>
    <row r="1013" spans="1:8" x14ac:dyDescent="0.2">
      <c r="A1013">
        <v>200749</v>
      </c>
      <c r="B1013">
        <v>1549999.1</v>
      </c>
      <c r="C1013" t="str">
        <f t="shared" si="15"/>
        <v>1. Under $10K</v>
      </c>
      <c r="D1013" t="s">
        <v>904</v>
      </c>
      <c r="E1013" t="s">
        <v>891</v>
      </c>
      <c r="F1013" t="s">
        <v>670</v>
      </c>
      <c r="G1013" t="s">
        <v>59</v>
      </c>
      <c r="H1013">
        <v>2023</v>
      </c>
    </row>
    <row r="1014" spans="1:8" x14ac:dyDescent="0.2">
      <c r="A1014">
        <v>200907</v>
      </c>
      <c r="B1014">
        <v>1546493</v>
      </c>
      <c r="C1014" t="str">
        <f t="shared" si="15"/>
        <v>5. $1M+</v>
      </c>
      <c r="D1014" t="s">
        <v>1036</v>
      </c>
      <c r="E1014" t="s">
        <v>59</v>
      </c>
      <c r="F1014" t="s">
        <v>670</v>
      </c>
      <c r="G1014" t="s">
        <v>59</v>
      </c>
      <c r="H1014">
        <v>2023</v>
      </c>
    </row>
    <row r="1015" spans="1:8" x14ac:dyDescent="0.2">
      <c r="A1015">
        <v>200908</v>
      </c>
      <c r="B1015">
        <v>1882538</v>
      </c>
      <c r="C1015" t="str">
        <f t="shared" si="15"/>
        <v>5. $1M+</v>
      </c>
      <c r="D1015" t="s">
        <v>792</v>
      </c>
      <c r="E1015" t="s">
        <v>59</v>
      </c>
      <c r="F1015" t="s">
        <v>670</v>
      </c>
      <c r="G1015" t="s">
        <v>59</v>
      </c>
      <c r="H1015">
        <v>2023</v>
      </c>
    </row>
    <row r="1016" spans="1:8" x14ac:dyDescent="0.2">
      <c r="A1016">
        <v>200910</v>
      </c>
      <c r="B1016">
        <v>1210448</v>
      </c>
      <c r="C1016" t="str">
        <f t="shared" si="15"/>
        <v>5. $1M+</v>
      </c>
      <c r="D1016" t="s">
        <v>1003</v>
      </c>
      <c r="E1016" t="s">
        <v>59</v>
      </c>
      <c r="F1016" t="s">
        <v>670</v>
      </c>
      <c r="G1016" t="s">
        <v>59</v>
      </c>
      <c r="H1016">
        <v>2023</v>
      </c>
    </row>
    <row r="1017" spans="1:8" x14ac:dyDescent="0.2">
      <c r="A1017">
        <v>200912</v>
      </c>
      <c r="B1017">
        <v>1882538</v>
      </c>
      <c r="C1017" t="str">
        <f t="shared" si="15"/>
        <v>5. $1M+</v>
      </c>
      <c r="D1017" t="s">
        <v>1037</v>
      </c>
      <c r="E1017" t="s">
        <v>59</v>
      </c>
      <c r="F1017" t="s">
        <v>670</v>
      </c>
      <c r="G1017" t="s">
        <v>59</v>
      </c>
      <c r="H1017">
        <v>2023</v>
      </c>
    </row>
    <row r="1018" spans="1:8" x14ac:dyDescent="0.2">
      <c r="A1018">
        <v>200913</v>
      </c>
      <c r="B1018">
        <v>1882538</v>
      </c>
      <c r="C1018" t="str">
        <f t="shared" si="15"/>
        <v>5. $1M+</v>
      </c>
      <c r="D1018" t="s">
        <v>1038</v>
      </c>
      <c r="E1018" t="s">
        <v>59</v>
      </c>
      <c r="F1018" t="s">
        <v>670</v>
      </c>
      <c r="G1018" t="s">
        <v>59</v>
      </c>
      <c r="H1018">
        <v>2023</v>
      </c>
    </row>
    <row r="1019" spans="1:8" x14ac:dyDescent="0.2">
      <c r="A1019">
        <v>201008</v>
      </c>
      <c r="B1019">
        <v>1286556</v>
      </c>
      <c r="C1019" t="str">
        <f t="shared" si="15"/>
        <v>5. $1M+</v>
      </c>
      <c r="D1019" t="s">
        <v>1039</v>
      </c>
      <c r="E1019" t="s">
        <v>237</v>
      </c>
      <c r="F1019" t="s">
        <v>670</v>
      </c>
      <c r="G1019" t="s">
        <v>44</v>
      </c>
      <c r="H1019">
        <v>2023</v>
      </c>
    </row>
    <row r="1020" spans="1:8" x14ac:dyDescent="0.2">
      <c r="A1020">
        <v>201009</v>
      </c>
      <c r="B1020">
        <v>475420</v>
      </c>
      <c r="C1020" t="str">
        <f t="shared" si="15"/>
        <v>5. $1M+</v>
      </c>
      <c r="D1020" t="s">
        <v>1040</v>
      </c>
      <c r="E1020" t="s">
        <v>237</v>
      </c>
      <c r="F1020" t="s">
        <v>670</v>
      </c>
      <c r="G1020" t="s">
        <v>44</v>
      </c>
      <c r="H1020">
        <v>2023</v>
      </c>
    </row>
    <row r="1021" spans="1:8" x14ac:dyDescent="0.2">
      <c r="A1021">
        <v>201010</v>
      </c>
      <c r="B1021">
        <v>508160</v>
      </c>
      <c r="C1021" t="str">
        <f t="shared" si="15"/>
        <v>4. $250K-1M</v>
      </c>
      <c r="D1021" t="s">
        <v>784</v>
      </c>
      <c r="E1021" t="s">
        <v>237</v>
      </c>
      <c r="F1021" t="s">
        <v>670</v>
      </c>
      <c r="G1021" t="s">
        <v>44</v>
      </c>
      <c r="H1021">
        <v>2023</v>
      </c>
    </row>
    <row r="1022" spans="1:8" x14ac:dyDescent="0.2">
      <c r="A1022">
        <v>201011</v>
      </c>
      <c r="B1022">
        <v>433620</v>
      </c>
      <c r="C1022" t="str">
        <f t="shared" si="15"/>
        <v>4. $250K-1M</v>
      </c>
      <c r="D1022" t="s">
        <v>1041</v>
      </c>
      <c r="E1022" t="s">
        <v>237</v>
      </c>
      <c r="F1022" t="s">
        <v>670</v>
      </c>
      <c r="G1022" t="s">
        <v>44</v>
      </c>
      <c r="H1022">
        <v>2023</v>
      </c>
    </row>
    <row r="1023" spans="1:8" x14ac:dyDescent="0.2">
      <c r="A1023">
        <v>201012</v>
      </c>
      <c r="B1023">
        <v>276360</v>
      </c>
      <c r="C1023" t="str">
        <f t="shared" si="15"/>
        <v>4. $250K-1M</v>
      </c>
      <c r="D1023" t="s">
        <v>1042</v>
      </c>
      <c r="E1023" t="s">
        <v>237</v>
      </c>
      <c r="F1023" t="s">
        <v>670</v>
      </c>
      <c r="G1023" t="s">
        <v>44</v>
      </c>
      <c r="H1023">
        <v>2023</v>
      </c>
    </row>
    <row r="1024" spans="1:8" x14ac:dyDescent="0.2">
      <c r="A1024">
        <v>201013</v>
      </c>
      <c r="B1024">
        <v>10033044</v>
      </c>
      <c r="C1024" t="str">
        <f t="shared" si="15"/>
        <v>4. $250K-1M</v>
      </c>
      <c r="D1024" t="s">
        <v>863</v>
      </c>
      <c r="E1024" t="s">
        <v>237</v>
      </c>
      <c r="F1024" t="s">
        <v>670</v>
      </c>
      <c r="G1024" t="s">
        <v>44</v>
      </c>
      <c r="H1024">
        <v>2023</v>
      </c>
    </row>
    <row r="1025" spans="1:8" x14ac:dyDescent="0.2">
      <c r="A1025">
        <v>201081</v>
      </c>
      <c r="B1025">
        <v>25000000</v>
      </c>
      <c r="C1025" t="str">
        <f t="shared" si="15"/>
        <v>5. $1M+</v>
      </c>
      <c r="D1025" t="s">
        <v>196</v>
      </c>
      <c r="E1025" t="s">
        <v>59</v>
      </c>
      <c r="F1025" t="s">
        <v>14</v>
      </c>
      <c r="G1025" t="s">
        <v>59</v>
      </c>
      <c r="H1025">
        <v>2023</v>
      </c>
    </row>
    <row r="1026" spans="1:8" x14ac:dyDescent="0.2">
      <c r="A1026">
        <v>201082</v>
      </c>
      <c r="B1026">
        <v>25000000</v>
      </c>
      <c r="C1026" t="str">
        <f t="shared" si="15"/>
        <v>5. $1M+</v>
      </c>
      <c r="D1026" t="s">
        <v>206</v>
      </c>
      <c r="E1026" t="s">
        <v>59</v>
      </c>
      <c r="F1026" t="s">
        <v>14</v>
      </c>
      <c r="G1026" t="s">
        <v>15</v>
      </c>
      <c r="H1026">
        <v>2023</v>
      </c>
    </row>
    <row r="1027" spans="1:8" x14ac:dyDescent="0.2">
      <c r="A1027">
        <v>201084</v>
      </c>
      <c r="B1027">
        <v>25000000</v>
      </c>
      <c r="C1027" t="str">
        <f t="shared" ref="C1027:C1090" si="16">IF(B1026&lt;10000,"1. Under $10K",IF(B1026&lt;50000,"2. $10K-50K",IF(B1026&lt;250000,"3. $50K-250K",IF(B1026&lt;1000000,"4. $250K-1M","5. $1M+"))))</f>
        <v>5. $1M+</v>
      </c>
      <c r="D1027" t="s">
        <v>205</v>
      </c>
      <c r="E1027" t="s">
        <v>8</v>
      </c>
      <c r="F1027" t="s">
        <v>14</v>
      </c>
      <c r="G1027" t="s">
        <v>15</v>
      </c>
      <c r="H1027">
        <v>2023</v>
      </c>
    </row>
    <row r="1028" spans="1:8" x14ac:dyDescent="0.2">
      <c r="A1028">
        <v>201085</v>
      </c>
      <c r="B1028">
        <v>25000000</v>
      </c>
      <c r="C1028" t="str">
        <f t="shared" si="16"/>
        <v>5. $1M+</v>
      </c>
      <c r="D1028" t="s">
        <v>198</v>
      </c>
      <c r="E1028" t="s">
        <v>8</v>
      </c>
      <c r="F1028" t="s">
        <v>14</v>
      </c>
      <c r="G1028" t="s">
        <v>15</v>
      </c>
      <c r="H1028">
        <v>2023</v>
      </c>
    </row>
    <row r="1029" spans="1:8" x14ac:dyDescent="0.2">
      <c r="A1029">
        <v>201086</v>
      </c>
      <c r="B1029">
        <v>25000000</v>
      </c>
      <c r="C1029" t="str">
        <f t="shared" si="16"/>
        <v>5. $1M+</v>
      </c>
      <c r="D1029" t="s">
        <v>50</v>
      </c>
      <c r="E1029" t="s">
        <v>8</v>
      </c>
      <c r="F1029" t="s">
        <v>14</v>
      </c>
      <c r="G1029" t="s">
        <v>15</v>
      </c>
      <c r="H1029">
        <v>2023</v>
      </c>
    </row>
    <row r="1030" spans="1:8" x14ac:dyDescent="0.2">
      <c r="A1030">
        <v>201110</v>
      </c>
      <c r="B1030">
        <v>60000</v>
      </c>
      <c r="C1030" t="str">
        <f t="shared" si="16"/>
        <v>5. $1M+</v>
      </c>
      <c r="D1030" t="s">
        <v>688</v>
      </c>
      <c r="E1030" t="s">
        <v>42</v>
      </c>
      <c r="F1030" t="s">
        <v>670</v>
      </c>
      <c r="G1030" t="s">
        <v>59</v>
      </c>
      <c r="H1030">
        <v>2023</v>
      </c>
    </row>
    <row r="1031" spans="1:8" x14ac:dyDescent="0.2">
      <c r="A1031">
        <v>201147</v>
      </c>
      <c r="B1031">
        <v>43750</v>
      </c>
      <c r="C1031" t="str">
        <f t="shared" si="16"/>
        <v>3. $50K-250K</v>
      </c>
      <c r="D1031" t="s">
        <v>210</v>
      </c>
      <c r="E1031" t="s">
        <v>132</v>
      </c>
      <c r="F1031" t="s">
        <v>133</v>
      </c>
      <c r="G1031" t="s">
        <v>211</v>
      </c>
      <c r="H1031">
        <v>2023</v>
      </c>
    </row>
    <row r="1032" spans="1:8" x14ac:dyDescent="0.2">
      <c r="A1032">
        <v>201311</v>
      </c>
      <c r="B1032">
        <v>21332</v>
      </c>
      <c r="C1032" t="str">
        <f t="shared" si="16"/>
        <v>2. $10K-50K</v>
      </c>
      <c r="D1032" t="s">
        <v>694</v>
      </c>
      <c r="E1032" t="s">
        <v>237</v>
      </c>
      <c r="F1032" t="s">
        <v>670</v>
      </c>
      <c r="G1032" t="s">
        <v>59</v>
      </c>
      <c r="H1032">
        <v>2023</v>
      </c>
    </row>
    <row r="1033" spans="1:8" x14ac:dyDescent="0.2">
      <c r="A1033">
        <v>201312</v>
      </c>
      <c r="B1033">
        <v>570750</v>
      </c>
      <c r="C1033" t="str">
        <f t="shared" si="16"/>
        <v>2. $10K-50K</v>
      </c>
      <c r="D1033" t="s">
        <v>837</v>
      </c>
      <c r="E1033" t="s">
        <v>237</v>
      </c>
      <c r="F1033" t="s">
        <v>670</v>
      </c>
      <c r="G1033" t="s">
        <v>59</v>
      </c>
      <c r="H1033">
        <v>2023</v>
      </c>
    </row>
    <row r="1034" spans="1:8" x14ac:dyDescent="0.2">
      <c r="A1034">
        <v>201404</v>
      </c>
      <c r="B1034">
        <v>327916.40000000002</v>
      </c>
      <c r="C1034" t="str">
        <f t="shared" si="16"/>
        <v>4. $250K-1M</v>
      </c>
      <c r="D1034" t="s">
        <v>212</v>
      </c>
      <c r="E1034" t="s">
        <v>24</v>
      </c>
      <c r="F1034" t="s">
        <v>9</v>
      </c>
      <c r="G1034" t="s">
        <v>10</v>
      </c>
      <c r="H1034">
        <v>2024</v>
      </c>
    </row>
    <row r="1035" spans="1:8" x14ac:dyDescent="0.2">
      <c r="A1035">
        <v>201418</v>
      </c>
      <c r="B1035">
        <v>6200622.4000000004</v>
      </c>
      <c r="C1035" t="str">
        <f t="shared" si="16"/>
        <v>4. $250K-1M</v>
      </c>
      <c r="D1035" t="s">
        <v>213</v>
      </c>
      <c r="E1035" t="s">
        <v>18</v>
      </c>
      <c r="F1035" t="s">
        <v>12</v>
      </c>
      <c r="G1035" t="s">
        <v>10</v>
      </c>
      <c r="H1035">
        <v>2024</v>
      </c>
    </row>
    <row r="1036" spans="1:8" x14ac:dyDescent="0.2">
      <c r="A1036">
        <v>201501</v>
      </c>
      <c r="B1036">
        <v>60000</v>
      </c>
      <c r="C1036" t="str">
        <f t="shared" si="16"/>
        <v>5. $1M+</v>
      </c>
      <c r="D1036" t="s">
        <v>717</v>
      </c>
      <c r="E1036" t="s">
        <v>42</v>
      </c>
      <c r="F1036" t="s">
        <v>670</v>
      </c>
      <c r="G1036" t="s">
        <v>59</v>
      </c>
      <c r="H1036">
        <v>2023</v>
      </c>
    </row>
    <row r="1037" spans="1:8" x14ac:dyDescent="0.2">
      <c r="A1037">
        <v>201511</v>
      </c>
      <c r="B1037">
        <v>1010986.5</v>
      </c>
      <c r="C1037" t="str">
        <f t="shared" si="16"/>
        <v>3. $50K-250K</v>
      </c>
      <c r="D1037" t="s">
        <v>214</v>
      </c>
      <c r="E1037" t="s">
        <v>67</v>
      </c>
      <c r="F1037" t="s">
        <v>43</v>
      </c>
      <c r="G1037" t="s">
        <v>44</v>
      </c>
      <c r="H1037">
        <v>2023</v>
      </c>
    </row>
    <row r="1038" spans="1:8" x14ac:dyDescent="0.2">
      <c r="A1038">
        <v>201625</v>
      </c>
      <c r="B1038">
        <v>43725</v>
      </c>
      <c r="C1038" t="str">
        <f t="shared" si="16"/>
        <v>5. $1M+</v>
      </c>
      <c r="D1038" t="s">
        <v>1043</v>
      </c>
      <c r="E1038" t="s">
        <v>52</v>
      </c>
      <c r="F1038" t="s">
        <v>668</v>
      </c>
      <c r="G1038" t="s">
        <v>59</v>
      </c>
      <c r="H1038">
        <v>2023</v>
      </c>
    </row>
    <row r="1039" spans="1:8" x14ac:dyDescent="0.2">
      <c r="A1039">
        <v>201667</v>
      </c>
      <c r="B1039">
        <v>720000</v>
      </c>
      <c r="C1039" t="str">
        <f t="shared" si="16"/>
        <v>2. $10K-50K</v>
      </c>
      <c r="D1039" t="s">
        <v>673</v>
      </c>
      <c r="E1039" t="s">
        <v>42</v>
      </c>
      <c r="F1039" t="s">
        <v>670</v>
      </c>
      <c r="G1039" t="s">
        <v>44</v>
      </c>
      <c r="H1039">
        <v>2023</v>
      </c>
    </row>
    <row r="1040" spans="1:8" x14ac:dyDescent="0.2">
      <c r="A1040">
        <v>201805</v>
      </c>
      <c r="B1040">
        <v>3265151</v>
      </c>
      <c r="C1040" t="str">
        <f t="shared" si="16"/>
        <v>4. $250K-1M</v>
      </c>
      <c r="D1040" t="s">
        <v>116</v>
      </c>
      <c r="E1040" t="s">
        <v>24</v>
      </c>
      <c r="F1040" t="s">
        <v>25</v>
      </c>
      <c r="G1040" t="s">
        <v>10</v>
      </c>
      <c r="H1040">
        <v>2024</v>
      </c>
    </row>
    <row r="1041" spans="1:8" x14ac:dyDescent="0.2">
      <c r="A1041">
        <v>201989</v>
      </c>
      <c r="B1041">
        <v>63992.7</v>
      </c>
      <c r="C1041" t="str">
        <f t="shared" si="16"/>
        <v>5. $1M+</v>
      </c>
      <c r="D1041" t="s">
        <v>727</v>
      </c>
      <c r="E1041" t="s">
        <v>237</v>
      </c>
      <c r="F1041" t="s">
        <v>670</v>
      </c>
      <c r="G1041" t="s">
        <v>59</v>
      </c>
      <c r="H1041">
        <v>2023</v>
      </c>
    </row>
    <row r="1042" spans="1:8" x14ac:dyDescent="0.2">
      <c r="A1042">
        <v>201991</v>
      </c>
      <c r="B1042">
        <v>8629</v>
      </c>
      <c r="C1042" t="str">
        <f t="shared" si="16"/>
        <v>3. $50K-250K</v>
      </c>
      <c r="D1042" t="s">
        <v>548</v>
      </c>
      <c r="E1042" t="s">
        <v>42</v>
      </c>
      <c r="F1042" t="s">
        <v>670</v>
      </c>
      <c r="G1042" t="s">
        <v>59</v>
      </c>
      <c r="H1042">
        <v>2023</v>
      </c>
    </row>
    <row r="1043" spans="1:8" x14ac:dyDescent="0.2">
      <c r="A1043">
        <v>201996</v>
      </c>
      <c r="B1043">
        <v>32396.400000000001</v>
      </c>
      <c r="C1043" t="str">
        <f t="shared" si="16"/>
        <v>1. Under $10K</v>
      </c>
      <c r="D1043" t="s">
        <v>727</v>
      </c>
      <c r="E1043" t="s">
        <v>237</v>
      </c>
      <c r="F1043" t="s">
        <v>670</v>
      </c>
      <c r="G1043" t="s">
        <v>59</v>
      </c>
      <c r="H1043">
        <v>2023</v>
      </c>
    </row>
    <row r="1044" spans="1:8" x14ac:dyDescent="0.2">
      <c r="A1044">
        <v>202221</v>
      </c>
      <c r="B1044">
        <v>400000</v>
      </c>
      <c r="C1044" t="str">
        <f t="shared" si="16"/>
        <v>2. $10K-50K</v>
      </c>
      <c r="D1044" t="s">
        <v>1044</v>
      </c>
      <c r="E1044" t="s">
        <v>59</v>
      </c>
      <c r="F1044" t="s">
        <v>670</v>
      </c>
      <c r="G1044" t="s">
        <v>59</v>
      </c>
      <c r="H1044">
        <v>2023</v>
      </c>
    </row>
    <row r="1045" spans="1:8" x14ac:dyDescent="0.2">
      <c r="A1045">
        <v>202268</v>
      </c>
      <c r="B1045">
        <v>7066615</v>
      </c>
      <c r="C1045" t="str">
        <f t="shared" si="16"/>
        <v>4. $250K-1M</v>
      </c>
      <c r="D1045" t="s">
        <v>1032</v>
      </c>
      <c r="E1045" t="s">
        <v>237</v>
      </c>
      <c r="F1045" t="s">
        <v>670</v>
      </c>
      <c r="G1045" t="s">
        <v>59</v>
      </c>
      <c r="H1045">
        <v>2023</v>
      </c>
    </row>
    <row r="1046" spans="1:8" x14ac:dyDescent="0.2">
      <c r="A1046">
        <v>202270</v>
      </c>
      <c r="B1046">
        <v>2450000</v>
      </c>
      <c r="C1046" t="str">
        <f t="shared" si="16"/>
        <v>5. $1M+</v>
      </c>
      <c r="D1046" t="s">
        <v>1035</v>
      </c>
      <c r="E1046" t="s">
        <v>825</v>
      </c>
      <c r="F1046" t="s">
        <v>670</v>
      </c>
      <c r="G1046" t="s">
        <v>44</v>
      </c>
      <c r="H1046">
        <v>2023</v>
      </c>
    </row>
    <row r="1047" spans="1:8" x14ac:dyDescent="0.2">
      <c r="A1047">
        <v>202391</v>
      </c>
      <c r="B1047">
        <v>3300</v>
      </c>
      <c r="C1047" t="str">
        <f t="shared" si="16"/>
        <v>5. $1M+</v>
      </c>
      <c r="D1047" t="s">
        <v>1045</v>
      </c>
      <c r="E1047" t="s">
        <v>368</v>
      </c>
      <c r="F1047" t="s">
        <v>670</v>
      </c>
      <c r="G1047" t="s">
        <v>44</v>
      </c>
      <c r="H1047">
        <v>2023</v>
      </c>
    </row>
    <row r="1048" spans="1:8" x14ac:dyDescent="0.2">
      <c r="A1048">
        <v>202428</v>
      </c>
      <c r="B1048">
        <v>20788.400000000001</v>
      </c>
      <c r="C1048" t="str">
        <f t="shared" si="16"/>
        <v>1. Under $10K</v>
      </c>
      <c r="D1048" t="s">
        <v>702</v>
      </c>
      <c r="E1048" t="s">
        <v>237</v>
      </c>
      <c r="F1048" t="s">
        <v>670</v>
      </c>
      <c r="G1048" t="s">
        <v>59</v>
      </c>
      <c r="H1048">
        <v>2023</v>
      </c>
    </row>
    <row r="1049" spans="1:8" x14ac:dyDescent="0.2">
      <c r="A1049">
        <v>202825</v>
      </c>
      <c r="B1049">
        <v>6000000</v>
      </c>
      <c r="C1049" t="str">
        <f t="shared" si="16"/>
        <v>2. $10K-50K</v>
      </c>
      <c r="D1049" t="s">
        <v>185</v>
      </c>
      <c r="E1049" t="s">
        <v>28</v>
      </c>
      <c r="F1049" t="s">
        <v>29</v>
      </c>
      <c r="G1049" t="s">
        <v>15</v>
      </c>
      <c r="H1049">
        <v>2025</v>
      </c>
    </row>
    <row r="1050" spans="1:8" x14ac:dyDescent="0.2">
      <c r="A1050">
        <v>20300</v>
      </c>
      <c r="B1050">
        <v>884242.7</v>
      </c>
      <c r="C1050" t="str">
        <f t="shared" si="16"/>
        <v>5. $1M+</v>
      </c>
      <c r="D1050" t="s">
        <v>215</v>
      </c>
      <c r="E1050" t="s">
        <v>18</v>
      </c>
      <c r="F1050" t="s">
        <v>19</v>
      </c>
      <c r="G1050" t="s">
        <v>10</v>
      </c>
      <c r="H1050">
        <v>2025</v>
      </c>
    </row>
    <row r="1051" spans="1:8" x14ac:dyDescent="0.2">
      <c r="A1051">
        <v>203199</v>
      </c>
      <c r="B1051">
        <v>6748366.4000000004</v>
      </c>
      <c r="C1051" t="str">
        <f t="shared" si="16"/>
        <v>4. $250K-1M</v>
      </c>
      <c r="D1051" t="s">
        <v>216</v>
      </c>
      <c r="E1051" t="s">
        <v>59</v>
      </c>
      <c r="F1051" t="s">
        <v>12</v>
      </c>
      <c r="G1051" t="s">
        <v>59</v>
      </c>
      <c r="H1051">
        <v>2023</v>
      </c>
    </row>
    <row r="1052" spans="1:8" x14ac:dyDescent="0.2">
      <c r="A1052">
        <v>203225</v>
      </c>
      <c r="B1052">
        <v>25478</v>
      </c>
      <c r="C1052" t="str">
        <f t="shared" si="16"/>
        <v>5. $1M+</v>
      </c>
      <c r="D1052" t="s">
        <v>998</v>
      </c>
      <c r="E1052" t="s">
        <v>42</v>
      </c>
      <c r="F1052" t="s">
        <v>670</v>
      </c>
      <c r="G1052" t="s">
        <v>59</v>
      </c>
      <c r="H1052">
        <v>2023</v>
      </c>
    </row>
    <row r="1053" spans="1:8" x14ac:dyDescent="0.2">
      <c r="A1053">
        <v>203228</v>
      </c>
      <c r="B1053">
        <v>24195.3</v>
      </c>
      <c r="C1053" t="str">
        <f t="shared" si="16"/>
        <v>2. $10K-50K</v>
      </c>
      <c r="D1053" t="s">
        <v>694</v>
      </c>
      <c r="E1053" t="s">
        <v>42</v>
      </c>
      <c r="F1053" t="s">
        <v>670</v>
      </c>
      <c r="G1053" t="s">
        <v>59</v>
      </c>
      <c r="H1053">
        <v>2023</v>
      </c>
    </row>
    <row r="1054" spans="1:8" x14ac:dyDescent="0.2">
      <c r="A1054">
        <v>203272</v>
      </c>
      <c r="B1054">
        <v>2563208</v>
      </c>
      <c r="C1054" t="str">
        <f t="shared" si="16"/>
        <v>2. $10K-50K</v>
      </c>
      <c r="D1054" t="s">
        <v>762</v>
      </c>
      <c r="E1054" t="s">
        <v>237</v>
      </c>
      <c r="F1054" t="s">
        <v>670</v>
      </c>
      <c r="G1054" t="s">
        <v>59</v>
      </c>
      <c r="H1054">
        <v>2023</v>
      </c>
    </row>
    <row r="1055" spans="1:8" x14ac:dyDescent="0.2">
      <c r="A1055">
        <v>203298</v>
      </c>
      <c r="B1055">
        <v>746943</v>
      </c>
      <c r="C1055" t="str">
        <f t="shared" si="16"/>
        <v>5. $1M+</v>
      </c>
      <c r="D1055" t="s">
        <v>749</v>
      </c>
      <c r="E1055" t="s">
        <v>237</v>
      </c>
      <c r="F1055" t="s">
        <v>670</v>
      </c>
      <c r="G1055" t="s">
        <v>59</v>
      </c>
      <c r="H1055">
        <v>2023</v>
      </c>
    </row>
    <row r="1056" spans="1:8" x14ac:dyDescent="0.2">
      <c r="A1056">
        <v>203304</v>
      </c>
      <c r="B1056">
        <v>1387745</v>
      </c>
      <c r="C1056" t="str">
        <f t="shared" si="16"/>
        <v>4. $250K-1M</v>
      </c>
      <c r="D1056" t="s">
        <v>717</v>
      </c>
      <c r="E1056" t="s">
        <v>237</v>
      </c>
      <c r="F1056" t="s">
        <v>670</v>
      </c>
      <c r="G1056" t="s">
        <v>59</v>
      </c>
      <c r="H1056">
        <v>2023</v>
      </c>
    </row>
    <row r="1057" spans="1:8" x14ac:dyDescent="0.2">
      <c r="A1057">
        <v>203305</v>
      </c>
      <c r="B1057">
        <v>2721897</v>
      </c>
      <c r="C1057" t="str">
        <f t="shared" si="16"/>
        <v>5. $1M+</v>
      </c>
      <c r="D1057" t="s">
        <v>980</v>
      </c>
      <c r="E1057" t="s">
        <v>237</v>
      </c>
      <c r="F1057" t="s">
        <v>670</v>
      </c>
      <c r="G1057" t="s">
        <v>44</v>
      </c>
      <c r="H1057">
        <v>2023</v>
      </c>
    </row>
    <row r="1058" spans="1:8" x14ac:dyDescent="0.2">
      <c r="A1058">
        <v>203307</v>
      </c>
      <c r="B1058">
        <v>746943</v>
      </c>
      <c r="C1058" t="str">
        <f t="shared" si="16"/>
        <v>5. $1M+</v>
      </c>
      <c r="D1058" t="s">
        <v>942</v>
      </c>
      <c r="E1058" t="s">
        <v>237</v>
      </c>
      <c r="F1058" t="s">
        <v>670</v>
      </c>
      <c r="G1058" t="s">
        <v>59</v>
      </c>
      <c r="H1058">
        <v>2023</v>
      </c>
    </row>
    <row r="1059" spans="1:8" x14ac:dyDescent="0.2">
      <c r="A1059">
        <v>203319</v>
      </c>
      <c r="B1059">
        <v>29162.1</v>
      </c>
      <c r="C1059" t="str">
        <f t="shared" si="16"/>
        <v>4. $250K-1M</v>
      </c>
      <c r="D1059" t="s">
        <v>754</v>
      </c>
      <c r="E1059" t="s">
        <v>237</v>
      </c>
      <c r="F1059" t="s">
        <v>670</v>
      </c>
      <c r="G1059" t="s">
        <v>59</v>
      </c>
      <c r="H1059">
        <v>2023</v>
      </c>
    </row>
    <row r="1060" spans="1:8" x14ac:dyDescent="0.2">
      <c r="A1060">
        <v>203321</v>
      </c>
      <c r="B1060">
        <v>29227.4</v>
      </c>
      <c r="C1060" t="str">
        <f t="shared" si="16"/>
        <v>2. $10K-50K</v>
      </c>
      <c r="D1060" t="s">
        <v>1046</v>
      </c>
      <c r="E1060" t="s">
        <v>237</v>
      </c>
      <c r="F1060" t="s">
        <v>670</v>
      </c>
      <c r="G1060" t="s">
        <v>59</v>
      </c>
      <c r="H1060">
        <v>2023</v>
      </c>
    </row>
    <row r="1061" spans="1:8" x14ac:dyDescent="0.2">
      <c r="A1061">
        <v>203322</v>
      </c>
      <c r="B1061">
        <v>228473.3</v>
      </c>
      <c r="C1061" t="str">
        <f t="shared" si="16"/>
        <v>2. $10K-50K</v>
      </c>
      <c r="D1061" t="s">
        <v>694</v>
      </c>
      <c r="E1061" t="s">
        <v>237</v>
      </c>
      <c r="F1061" t="s">
        <v>670</v>
      </c>
      <c r="G1061" t="s">
        <v>59</v>
      </c>
      <c r="H1061">
        <v>2023</v>
      </c>
    </row>
    <row r="1062" spans="1:8" x14ac:dyDescent="0.2">
      <c r="A1062">
        <v>203331</v>
      </c>
      <c r="B1062">
        <v>55149.4</v>
      </c>
      <c r="C1062" t="str">
        <f t="shared" si="16"/>
        <v>3. $50K-250K</v>
      </c>
      <c r="D1062" t="s">
        <v>728</v>
      </c>
      <c r="E1062" t="s">
        <v>237</v>
      </c>
      <c r="F1062" t="s">
        <v>670</v>
      </c>
      <c r="G1062" t="s">
        <v>59</v>
      </c>
      <c r="H1062">
        <v>2023</v>
      </c>
    </row>
    <row r="1063" spans="1:8" x14ac:dyDescent="0.2">
      <c r="A1063">
        <v>203344</v>
      </c>
      <c r="B1063">
        <v>28129.1</v>
      </c>
      <c r="C1063" t="str">
        <f t="shared" si="16"/>
        <v>3. $50K-250K</v>
      </c>
      <c r="D1063" t="s">
        <v>712</v>
      </c>
      <c r="E1063" t="s">
        <v>237</v>
      </c>
      <c r="F1063" t="s">
        <v>670</v>
      </c>
      <c r="G1063" t="s">
        <v>59</v>
      </c>
      <c r="H1063">
        <v>2023</v>
      </c>
    </row>
    <row r="1064" spans="1:8" x14ac:dyDescent="0.2">
      <c r="A1064">
        <v>20337</v>
      </c>
      <c r="B1064">
        <v>900000</v>
      </c>
      <c r="C1064" t="str">
        <f t="shared" si="16"/>
        <v>2. $10K-50K</v>
      </c>
      <c r="D1064" t="s">
        <v>217</v>
      </c>
      <c r="E1064" t="s">
        <v>18</v>
      </c>
      <c r="F1064" t="s">
        <v>19</v>
      </c>
      <c r="G1064" t="s">
        <v>10</v>
      </c>
      <c r="H1064">
        <v>2024</v>
      </c>
    </row>
    <row r="1065" spans="1:8" x14ac:dyDescent="0.2">
      <c r="A1065">
        <v>20341</v>
      </c>
      <c r="B1065">
        <v>2465582.7999999998</v>
      </c>
      <c r="C1065" t="str">
        <f t="shared" si="16"/>
        <v>4. $250K-1M</v>
      </c>
      <c r="D1065" t="s">
        <v>218</v>
      </c>
      <c r="E1065" t="s">
        <v>18</v>
      </c>
      <c r="F1065" t="s">
        <v>19</v>
      </c>
      <c r="G1065" t="s">
        <v>10</v>
      </c>
      <c r="H1065">
        <v>2023</v>
      </c>
    </row>
    <row r="1066" spans="1:8" x14ac:dyDescent="0.2">
      <c r="A1066">
        <v>203455</v>
      </c>
      <c r="B1066">
        <v>33950</v>
      </c>
      <c r="C1066" t="str">
        <f t="shared" si="16"/>
        <v>5. $1M+</v>
      </c>
      <c r="D1066" t="s">
        <v>1047</v>
      </c>
      <c r="E1066" t="s">
        <v>368</v>
      </c>
      <c r="F1066" t="s">
        <v>670</v>
      </c>
      <c r="G1066" t="s">
        <v>59</v>
      </c>
      <c r="H1066">
        <v>2023</v>
      </c>
    </row>
    <row r="1067" spans="1:8" x14ac:dyDescent="0.2">
      <c r="A1067">
        <v>203693</v>
      </c>
      <c r="B1067">
        <v>9180</v>
      </c>
      <c r="C1067" t="str">
        <f t="shared" si="16"/>
        <v>2. $10K-50K</v>
      </c>
      <c r="D1067" t="s">
        <v>718</v>
      </c>
      <c r="E1067" t="s">
        <v>237</v>
      </c>
      <c r="F1067" t="s">
        <v>670</v>
      </c>
      <c r="G1067" t="s">
        <v>59</v>
      </c>
      <c r="H1067">
        <v>2023</v>
      </c>
    </row>
    <row r="1068" spans="1:8" x14ac:dyDescent="0.2">
      <c r="A1068">
        <v>203694</v>
      </c>
      <c r="B1068">
        <v>4308.8999999999996</v>
      </c>
      <c r="C1068" t="str">
        <f t="shared" si="16"/>
        <v>1. Under $10K</v>
      </c>
      <c r="D1068" t="s">
        <v>1048</v>
      </c>
      <c r="E1068" t="s">
        <v>237</v>
      </c>
      <c r="F1068" t="s">
        <v>670</v>
      </c>
      <c r="G1068" t="s">
        <v>59</v>
      </c>
      <c r="H1068">
        <v>2023</v>
      </c>
    </row>
    <row r="1069" spans="1:8" x14ac:dyDescent="0.2">
      <c r="A1069">
        <v>203695</v>
      </c>
      <c r="B1069">
        <v>125956.6</v>
      </c>
      <c r="C1069" t="str">
        <f t="shared" si="16"/>
        <v>1. Under $10K</v>
      </c>
      <c r="D1069" t="s">
        <v>702</v>
      </c>
      <c r="E1069" t="s">
        <v>237</v>
      </c>
      <c r="F1069" t="s">
        <v>670</v>
      </c>
      <c r="G1069" t="s">
        <v>59</v>
      </c>
      <c r="H1069">
        <v>2023</v>
      </c>
    </row>
    <row r="1070" spans="1:8" x14ac:dyDescent="0.2">
      <c r="A1070">
        <v>203696</v>
      </c>
      <c r="B1070">
        <v>976</v>
      </c>
      <c r="C1070" t="str">
        <f t="shared" si="16"/>
        <v>3. $50K-250K</v>
      </c>
      <c r="D1070" t="s">
        <v>1049</v>
      </c>
      <c r="E1070" t="s">
        <v>237</v>
      </c>
      <c r="F1070" t="s">
        <v>670</v>
      </c>
      <c r="G1070" t="s">
        <v>59</v>
      </c>
      <c r="H1070">
        <v>2023</v>
      </c>
    </row>
    <row r="1071" spans="1:8" x14ac:dyDescent="0.2">
      <c r="A1071">
        <v>203697</v>
      </c>
      <c r="B1071">
        <v>7984</v>
      </c>
      <c r="C1071" t="str">
        <f t="shared" si="16"/>
        <v>1. Under $10K</v>
      </c>
      <c r="D1071" t="s">
        <v>735</v>
      </c>
      <c r="E1071" t="s">
        <v>237</v>
      </c>
      <c r="F1071" t="s">
        <v>670</v>
      </c>
      <c r="G1071" t="s">
        <v>59</v>
      </c>
      <c r="H1071">
        <v>2023</v>
      </c>
    </row>
    <row r="1072" spans="1:8" x14ac:dyDescent="0.2">
      <c r="A1072">
        <v>203698</v>
      </c>
      <c r="B1072">
        <v>40367</v>
      </c>
      <c r="C1072" t="str">
        <f t="shared" si="16"/>
        <v>1. Under $10K</v>
      </c>
      <c r="D1072" t="s">
        <v>735</v>
      </c>
      <c r="E1072" t="s">
        <v>237</v>
      </c>
      <c r="F1072" t="s">
        <v>670</v>
      </c>
      <c r="G1072" t="s">
        <v>59</v>
      </c>
      <c r="H1072">
        <v>2023</v>
      </c>
    </row>
    <row r="1073" spans="1:8" x14ac:dyDescent="0.2">
      <c r="A1073">
        <v>203699</v>
      </c>
      <c r="B1073">
        <v>10513.8</v>
      </c>
      <c r="C1073" t="str">
        <f t="shared" si="16"/>
        <v>2. $10K-50K</v>
      </c>
      <c r="D1073" t="s">
        <v>721</v>
      </c>
      <c r="E1073" t="s">
        <v>237</v>
      </c>
      <c r="F1073" t="s">
        <v>670</v>
      </c>
      <c r="G1073" t="s">
        <v>59</v>
      </c>
      <c r="H1073">
        <v>2023</v>
      </c>
    </row>
    <row r="1074" spans="1:8" x14ac:dyDescent="0.2">
      <c r="A1074">
        <v>203701</v>
      </c>
      <c r="B1074">
        <v>18860</v>
      </c>
      <c r="C1074" t="str">
        <f t="shared" si="16"/>
        <v>2. $10K-50K</v>
      </c>
      <c r="D1074" t="s">
        <v>726</v>
      </c>
      <c r="E1074" t="s">
        <v>237</v>
      </c>
      <c r="F1074" t="s">
        <v>670</v>
      </c>
      <c r="G1074" t="s">
        <v>59</v>
      </c>
      <c r="H1074">
        <v>2023</v>
      </c>
    </row>
    <row r="1075" spans="1:8" x14ac:dyDescent="0.2">
      <c r="A1075">
        <v>203702</v>
      </c>
      <c r="B1075">
        <v>21647.9</v>
      </c>
      <c r="C1075" t="str">
        <f t="shared" si="16"/>
        <v>2. $10K-50K</v>
      </c>
      <c r="D1075" t="s">
        <v>726</v>
      </c>
      <c r="E1075" t="s">
        <v>237</v>
      </c>
      <c r="F1075" t="s">
        <v>670</v>
      </c>
      <c r="G1075" t="s">
        <v>59</v>
      </c>
      <c r="H1075">
        <v>2023</v>
      </c>
    </row>
    <row r="1076" spans="1:8" x14ac:dyDescent="0.2">
      <c r="A1076">
        <v>203729</v>
      </c>
      <c r="B1076">
        <v>6500000</v>
      </c>
      <c r="C1076" t="str">
        <f t="shared" si="16"/>
        <v>2. $10K-50K</v>
      </c>
      <c r="D1076" t="s">
        <v>1050</v>
      </c>
      <c r="E1076" t="s">
        <v>99</v>
      </c>
      <c r="F1076" t="s">
        <v>668</v>
      </c>
      <c r="G1076" t="s">
        <v>59</v>
      </c>
      <c r="H1076">
        <v>2024</v>
      </c>
    </row>
    <row r="1077" spans="1:8" x14ac:dyDescent="0.2">
      <c r="A1077">
        <v>203748</v>
      </c>
      <c r="B1077">
        <v>12000000</v>
      </c>
      <c r="C1077" t="str">
        <f t="shared" si="16"/>
        <v>5. $1M+</v>
      </c>
      <c r="D1077" t="s">
        <v>219</v>
      </c>
      <c r="E1077" t="s">
        <v>28</v>
      </c>
      <c r="F1077" t="s">
        <v>29</v>
      </c>
      <c r="G1077" t="s">
        <v>15</v>
      </c>
      <c r="H1077">
        <v>2023</v>
      </c>
    </row>
    <row r="1078" spans="1:8" x14ac:dyDescent="0.2">
      <c r="A1078">
        <v>203827</v>
      </c>
      <c r="B1078">
        <v>63559.9</v>
      </c>
      <c r="C1078" t="str">
        <f t="shared" si="16"/>
        <v>5. $1M+</v>
      </c>
      <c r="D1078" t="s">
        <v>768</v>
      </c>
      <c r="E1078" t="s">
        <v>237</v>
      </c>
      <c r="F1078" t="s">
        <v>670</v>
      </c>
      <c r="G1078" t="s">
        <v>59</v>
      </c>
      <c r="H1078">
        <v>2023</v>
      </c>
    </row>
    <row r="1079" spans="1:8" x14ac:dyDescent="0.2">
      <c r="A1079">
        <v>203933</v>
      </c>
      <c r="B1079">
        <v>7949</v>
      </c>
      <c r="C1079" t="str">
        <f t="shared" si="16"/>
        <v>3. $50K-250K</v>
      </c>
      <c r="D1079" t="s">
        <v>1051</v>
      </c>
      <c r="E1079" t="s">
        <v>112</v>
      </c>
      <c r="F1079" t="s">
        <v>668</v>
      </c>
      <c r="G1079" t="s">
        <v>59</v>
      </c>
      <c r="H1079">
        <v>2024</v>
      </c>
    </row>
    <row r="1080" spans="1:8" x14ac:dyDescent="0.2">
      <c r="A1080">
        <v>204026</v>
      </c>
      <c r="B1080">
        <v>8797</v>
      </c>
      <c r="C1080" t="str">
        <f t="shared" si="16"/>
        <v>1. Under $10K</v>
      </c>
      <c r="D1080" t="s">
        <v>150</v>
      </c>
      <c r="E1080" t="s">
        <v>8</v>
      </c>
      <c r="F1080" t="s">
        <v>120</v>
      </c>
      <c r="G1080" t="s">
        <v>59</v>
      </c>
      <c r="H1080">
        <v>2023</v>
      </c>
    </row>
    <row r="1081" spans="1:8" x14ac:dyDescent="0.2">
      <c r="A1081">
        <v>204121</v>
      </c>
      <c r="B1081">
        <v>1338750</v>
      </c>
      <c r="C1081" t="str">
        <f t="shared" si="16"/>
        <v>1. Under $10K</v>
      </c>
      <c r="D1081" t="s">
        <v>220</v>
      </c>
      <c r="E1081" t="s">
        <v>18</v>
      </c>
      <c r="F1081" t="s">
        <v>12</v>
      </c>
      <c r="G1081" t="s">
        <v>10</v>
      </c>
      <c r="H1081">
        <v>2023</v>
      </c>
    </row>
    <row r="1082" spans="1:8" x14ac:dyDescent="0.2">
      <c r="A1082">
        <v>20414</v>
      </c>
      <c r="B1082">
        <v>1492340.9</v>
      </c>
      <c r="C1082" t="str">
        <f t="shared" si="16"/>
        <v>5. $1M+</v>
      </c>
      <c r="D1082" t="s">
        <v>221</v>
      </c>
      <c r="E1082" t="s">
        <v>18</v>
      </c>
      <c r="F1082" t="s">
        <v>19</v>
      </c>
      <c r="G1082" t="s">
        <v>10</v>
      </c>
      <c r="H1082">
        <v>2023</v>
      </c>
    </row>
    <row r="1083" spans="1:8" x14ac:dyDescent="0.2">
      <c r="A1083">
        <v>204220</v>
      </c>
      <c r="B1083">
        <v>9073.2000000000007</v>
      </c>
      <c r="C1083" t="str">
        <f t="shared" si="16"/>
        <v>5. $1M+</v>
      </c>
      <c r="D1083" t="s">
        <v>692</v>
      </c>
      <c r="E1083" t="s">
        <v>237</v>
      </c>
      <c r="F1083" t="s">
        <v>670</v>
      </c>
      <c r="G1083" t="s">
        <v>59</v>
      </c>
      <c r="H1083">
        <v>2023</v>
      </c>
    </row>
    <row r="1084" spans="1:8" x14ac:dyDescent="0.2">
      <c r="A1084">
        <v>204221</v>
      </c>
      <c r="B1084">
        <v>9720</v>
      </c>
      <c r="C1084" t="str">
        <f t="shared" si="16"/>
        <v>1. Under $10K</v>
      </c>
      <c r="D1084" t="s">
        <v>743</v>
      </c>
      <c r="E1084" t="s">
        <v>237</v>
      </c>
      <c r="F1084" t="s">
        <v>670</v>
      </c>
      <c r="G1084" t="s">
        <v>59</v>
      </c>
      <c r="H1084">
        <v>2023</v>
      </c>
    </row>
    <row r="1085" spans="1:8" x14ac:dyDescent="0.2">
      <c r="A1085">
        <v>204222</v>
      </c>
      <c r="B1085">
        <v>17599.7</v>
      </c>
      <c r="C1085" t="str">
        <f t="shared" si="16"/>
        <v>1. Under $10K</v>
      </c>
      <c r="D1085" t="s">
        <v>743</v>
      </c>
      <c r="E1085" t="s">
        <v>237</v>
      </c>
      <c r="F1085" t="s">
        <v>670</v>
      </c>
      <c r="G1085" t="s">
        <v>59</v>
      </c>
      <c r="H1085">
        <v>2023</v>
      </c>
    </row>
    <row r="1086" spans="1:8" x14ac:dyDescent="0.2">
      <c r="A1086">
        <v>204380</v>
      </c>
      <c r="B1086">
        <v>730538</v>
      </c>
      <c r="C1086" t="str">
        <f t="shared" si="16"/>
        <v>2. $10K-50K</v>
      </c>
      <c r="D1086" t="s">
        <v>868</v>
      </c>
      <c r="E1086" t="s">
        <v>237</v>
      </c>
      <c r="F1086" t="s">
        <v>670</v>
      </c>
      <c r="G1086" t="s">
        <v>59</v>
      </c>
      <c r="H1086">
        <v>2023</v>
      </c>
    </row>
    <row r="1087" spans="1:8" x14ac:dyDescent="0.2">
      <c r="A1087">
        <v>204561</v>
      </c>
      <c r="B1087">
        <v>429343.3</v>
      </c>
      <c r="C1087" t="str">
        <f t="shared" si="16"/>
        <v>4. $250K-1M</v>
      </c>
      <c r="D1087" t="s">
        <v>137</v>
      </c>
      <c r="E1087" t="s">
        <v>8</v>
      </c>
      <c r="F1087" t="s">
        <v>9</v>
      </c>
      <c r="G1087" t="s">
        <v>10</v>
      </c>
      <c r="H1087">
        <v>2023</v>
      </c>
    </row>
    <row r="1088" spans="1:8" x14ac:dyDescent="0.2">
      <c r="A1088">
        <v>204595</v>
      </c>
      <c r="B1088">
        <v>7114797.5</v>
      </c>
      <c r="C1088" t="str">
        <f t="shared" si="16"/>
        <v>4. $250K-1M</v>
      </c>
      <c r="D1088" t="s">
        <v>83</v>
      </c>
      <c r="E1088" t="s">
        <v>65</v>
      </c>
      <c r="F1088" t="s">
        <v>12</v>
      </c>
      <c r="G1088" t="s">
        <v>10</v>
      </c>
      <c r="H1088">
        <v>2023</v>
      </c>
    </row>
    <row r="1089" spans="1:8" x14ac:dyDescent="0.2">
      <c r="A1089">
        <v>204596</v>
      </c>
      <c r="B1089">
        <v>723266.5</v>
      </c>
      <c r="C1089" t="str">
        <f t="shared" si="16"/>
        <v>5. $1M+</v>
      </c>
      <c r="D1089" t="s">
        <v>222</v>
      </c>
      <c r="E1089" t="s">
        <v>65</v>
      </c>
      <c r="F1089" t="s">
        <v>12</v>
      </c>
      <c r="G1089" t="s">
        <v>10</v>
      </c>
      <c r="H1089">
        <v>2023</v>
      </c>
    </row>
    <row r="1090" spans="1:8" x14ac:dyDescent="0.2">
      <c r="A1090">
        <v>204598</v>
      </c>
      <c r="B1090">
        <v>8544615</v>
      </c>
      <c r="C1090" t="str">
        <f t="shared" si="16"/>
        <v>4. $250K-1M</v>
      </c>
      <c r="D1090" t="s">
        <v>223</v>
      </c>
      <c r="E1090" t="s">
        <v>65</v>
      </c>
      <c r="F1090" t="s">
        <v>12</v>
      </c>
      <c r="G1090" t="s">
        <v>10</v>
      </c>
      <c r="H1090">
        <v>2023</v>
      </c>
    </row>
    <row r="1091" spans="1:8" x14ac:dyDescent="0.2">
      <c r="A1091">
        <v>204694</v>
      </c>
      <c r="B1091">
        <v>1414999.9</v>
      </c>
      <c r="C1091" t="str">
        <f t="shared" ref="C1091:C1154" si="17">IF(B1090&lt;10000,"1. Under $10K",IF(B1090&lt;50000,"2. $10K-50K",IF(B1090&lt;250000,"3. $50K-250K",IF(B1090&lt;1000000,"4. $250K-1M","5. $1M+"))))</f>
        <v>5. $1M+</v>
      </c>
      <c r="D1091" t="s">
        <v>224</v>
      </c>
      <c r="E1091" t="s">
        <v>18</v>
      </c>
      <c r="F1091" t="s">
        <v>19</v>
      </c>
      <c r="G1091" t="s">
        <v>101</v>
      </c>
      <c r="H1091">
        <v>2024</v>
      </c>
    </row>
    <row r="1092" spans="1:8" x14ac:dyDescent="0.2">
      <c r="A1092">
        <v>204696</v>
      </c>
      <c r="B1092">
        <v>7035000</v>
      </c>
      <c r="C1092" t="str">
        <f t="shared" si="17"/>
        <v>5. $1M+</v>
      </c>
      <c r="D1092" t="s">
        <v>1052</v>
      </c>
      <c r="E1092" t="s">
        <v>237</v>
      </c>
      <c r="F1092" t="s">
        <v>670</v>
      </c>
      <c r="G1092" t="s">
        <v>59</v>
      </c>
      <c r="H1092">
        <v>2023</v>
      </c>
    </row>
    <row r="1093" spans="1:8" x14ac:dyDescent="0.2">
      <c r="A1093">
        <v>204836</v>
      </c>
      <c r="B1093">
        <v>1800</v>
      </c>
      <c r="C1093" t="str">
        <f t="shared" si="17"/>
        <v>5. $1M+</v>
      </c>
      <c r="D1093" t="s">
        <v>683</v>
      </c>
      <c r="E1093" t="s">
        <v>42</v>
      </c>
      <c r="F1093" t="s">
        <v>670</v>
      </c>
      <c r="G1093" t="s">
        <v>59</v>
      </c>
      <c r="H1093">
        <v>2023</v>
      </c>
    </row>
    <row r="1094" spans="1:8" x14ac:dyDescent="0.2">
      <c r="A1094">
        <v>204842</v>
      </c>
      <c r="B1094">
        <v>27404.9</v>
      </c>
      <c r="C1094" t="str">
        <f t="shared" si="17"/>
        <v>1. Under $10K</v>
      </c>
      <c r="D1094" t="s">
        <v>754</v>
      </c>
      <c r="E1094" t="s">
        <v>237</v>
      </c>
      <c r="F1094" t="s">
        <v>670</v>
      </c>
      <c r="G1094" t="s">
        <v>59</v>
      </c>
      <c r="H1094">
        <v>2023</v>
      </c>
    </row>
    <row r="1095" spans="1:8" x14ac:dyDescent="0.2">
      <c r="A1095">
        <v>204843</v>
      </c>
      <c r="B1095">
        <v>15148.8</v>
      </c>
      <c r="C1095" t="str">
        <f t="shared" si="17"/>
        <v>2. $10K-50K</v>
      </c>
      <c r="D1095" t="s">
        <v>754</v>
      </c>
      <c r="E1095" t="s">
        <v>237</v>
      </c>
      <c r="F1095" t="s">
        <v>670</v>
      </c>
      <c r="G1095" t="s">
        <v>59</v>
      </c>
      <c r="H1095">
        <v>2023</v>
      </c>
    </row>
    <row r="1096" spans="1:8" x14ac:dyDescent="0.2">
      <c r="A1096">
        <v>204846</v>
      </c>
      <c r="B1096">
        <v>17589.7</v>
      </c>
      <c r="C1096" t="str">
        <f t="shared" si="17"/>
        <v>2. $10K-50K</v>
      </c>
      <c r="D1096" t="s">
        <v>766</v>
      </c>
      <c r="E1096" t="s">
        <v>237</v>
      </c>
      <c r="F1096" t="s">
        <v>670</v>
      </c>
      <c r="G1096" t="s">
        <v>59</v>
      </c>
      <c r="H1096">
        <v>2023</v>
      </c>
    </row>
    <row r="1097" spans="1:8" x14ac:dyDescent="0.2">
      <c r="A1097">
        <v>204848</v>
      </c>
      <c r="B1097">
        <v>8800</v>
      </c>
      <c r="C1097" t="str">
        <f t="shared" si="17"/>
        <v>2. $10K-50K</v>
      </c>
      <c r="D1097" t="s">
        <v>767</v>
      </c>
      <c r="E1097" t="s">
        <v>237</v>
      </c>
      <c r="F1097" t="s">
        <v>670</v>
      </c>
      <c r="G1097" t="s">
        <v>59</v>
      </c>
      <c r="H1097">
        <v>2023</v>
      </c>
    </row>
    <row r="1098" spans="1:8" x14ac:dyDescent="0.2">
      <c r="A1098">
        <v>204851</v>
      </c>
      <c r="B1098">
        <v>8150.3</v>
      </c>
      <c r="C1098" t="str">
        <f t="shared" si="17"/>
        <v>1. Under $10K</v>
      </c>
      <c r="D1098" t="s">
        <v>741</v>
      </c>
      <c r="E1098" t="s">
        <v>237</v>
      </c>
      <c r="F1098" t="s">
        <v>670</v>
      </c>
      <c r="G1098" t="s">
        <v>59</v>
      </c>
      <c r="H1098">
        <v>2023</v>
      </c>
    </row>
    <row r="1099" spans="1:8" x14ac:dyDescent="0.2">
      <c r="A1099">
        <v>204932</v>
      </c>
      <c r="B1099">
        <v>344600</v>
      </c>
      <c r="C1099" t="str">
        <f t="shared" si="17"/>
        <v>1. Under $10K</v>
      </c>
      <c r="D1099" t="s">
        <v>1053</v>
      </c>
      <c r="E1099" t="s">
        <v>99</v>
      </c>
      <c r="F1099" t="s">
        <v>668</v>
      </c>
      <c r="G1099" t="s">
        <v>59</v>
      </c>
      <c r="H1099">
        <v>2024</v>
      </c>
    </row>
    <row r="1100" spans="1:8" x14ac:dyDescent="0.2">
      <c r="A1100">
        <v>205190</v>
      </c>
      <c r="B1100">
        <v>38096.400000000001</v>
      </c>
      <c r="C1100" t="str">
        <f t="shared" si="17"/>
        <v>4. $250K-1M</v>
      </c>
      <c r="D1100" t="s">
        <v>755</v>
      </c>
      <c r="E1100" t="s">
        <v>237</v>
      </c>
      <c r="F1100" t="s">
        <v>670</v>
      </c>
      <c r="G1100" t="s">
        <v>59</v>
      </c>
      <c r="H1100">
        <v>2023</v>
      </c>
    </row>
    <row r="1101" spans="1:8" x14ac:dyDescent="0.2">
      <c r="A1101">
        <v>205191</v>
      </c>
      <c r="B1101">
        <v>16714.900000000001</v>
      </c>
      <c r="C1101" t="str">
        <f t="shared" si="17"/>
        <v>2. $10K-50K</v>
      </c>
      <c r="D1101" t="s">
        <v>829</v>
      </c>
      <c r="E1101" t="s">
        <v>237</v>
      </c>
      <c r="F1101" t="s">
        <v>670</v>
      </c>
      <c r="G1101" t="s">
        <v>59</v>
      </c>
      <c r="H1101">
        <v>2023</v>
      </c>
    </row>
    <row r="1102" spans="1:8" x14ac:dyDescent="0.2">
      <c r="A1102">
        <v>205192</v>
      </c>
      <c r="B1102">
        <v>8328.7000000000007</v>
      </c>
      <c r="C1102" t="str">
        <f t="shared" si="17"/>
        <v>2. $10K-50K</v>
      </c>
      <c r="D1102" t="s">
        <v>766</v>
      </c>
      <c r="E1102" t="s">
        <v>237</v>
      </c>
      <c r="F1102" t="s">
        <v>670</v>
      </c>
      <c r="G1102" t="s">
        <v>59</v>
      </c>
      <c r="H1102">
        <v>2023</v>
      </c>
    </row>
    <row r="1103" spans="1:8" x14ac:dyDescent="0.2">
      <c r="A1103">
        <v>205193</v>
      </c>
      <c r="B1103">
        <v>24000</v>
      </c>
      <c r="C1103" t="str">
        <f t="shared" si="17"/>
        <v>1. Under $10K</v>
      </c>
      <c r="D1103" t="s">
        <v>760</v>
      </c>
      <c r="E1103" t="s">
        <v>237</v>
      </c>
      <c r="F1103" t="s">
        <v>670</v>
      </c>
      <c r="G1103" t="s">
        <v>59</v>
      </c>
      <c r="H1103">
        <v>2023</v>
      </c>
    </row>
    <row r="1104" spans="1:8" x14ac:dyDescent="0.2">
      <c r="A1104">
        <v>205194</v>
      </c>
      <c r="B1104">
        <v>36715.699999999997</v>
      </c>
      <c r="C1104" t="str">
        <f t="shared" si="17"/>
        <v>2. $10K-50K</v>
      </c>
      <c r="D1104" t="s">
        <v>737</v>
      </c>
      <c r="E1104" t="s">
        <v>237</v>
      </c>
      <c r="F1104" t="s">
        <v>670</v>
      </c>
      <c r="G1104" t="s">
        <v>59</v>
      </c>
      <c r="H1104">
        <v>2023</v>
      </c>
    </row>
    <row r="1105" spans="1:8" x14ac:dyDescent="0.2">
      <c r="A1105">
        <v>205196</v>
      </c>
      <c r="B1105">
        <v>18360</v>
      </c>
      <c r="C1105" t="str">
        <f t="shared" si="17"/>
        <v>2. $10K-50K</v>
      </c>
      <c r="D1105" t="s">
        <v>746</v>
      </c>
      <c r="E1105" t="s">
        <v>237</v>
      </c>
      <c r="F1105" t="s">
        <v>670</v>
      </c>
      <c r="G1105" t="s">
        <v>59</v>
      </c>
      <c r="H1105">
        <v>2023</v>
      </c>
    </row>
    <row r="1106" spans="1:8" x14ac:dyDescent="0.2">
      <c r="A1106">
        <v>205197</v>
      </c>
      <c r="B1106">
        <v>15649.5</v>
      </c>
      <c r="C1106" t="str">
        <f t="shared" si="17"/>
        <v>2. $10K-50K</v>
      </c>
      <c r="D1106" t="s">
        <v>745</v>
      </c>
      <c r="E1106" t="s">
        <v>237</v>
      </c>
      <c r="F1106" t="s">
        <v>670</v>
      </c>
      <c r="G1106" t="s">
        <v>59</v>
      </c>
      <c r="H1106">
        <v>2023</v>
      </c>
    </row>
    <row r="1107" spans="1:8" x14ac:dyDescent="0.2">
      <c r="A1107">
        <v>205199</v>
      </c>
      <c r="B1107">
        <v>105436.5</v>
      </c>
      <c r="C1107" t="str">
        <f t="shared" si="17"/>
        <v>2. $10K-50K</v>
      </c>
      <c r="D1107" t="s">
        <v>749</v>
      </c>
      <c r="E1107" t="s">
        <v>237</v>
      </c>
      <c r="F1107" t="s">
        <v>670</v>
      </c>
      <c r="G1107" t="s">
        <v>59</v>
      </c>
      <c r="H1107">
        <v>2023</v>
      </c>
    </row>
    <row r="1108" spans="1:8" x14ac:dyDescent="0.2">
      <c r="A1108">
        <v>205201</v>
      </c>
      <c r="B1108">
        <v>111583.5</v>
      </c>
      <c r="C1108" t="str">
        <f t="shared" si="17"/>
        <v>3. $50K-250K</v>
      </c>
      <c r="D1108" t="s">
        <v>711</v>
      </c>
      <c r="E1108" t="s">
        <v>237</v>
      </c>
      <c r="F1108" t="s">
        <v>670</v>
      </c>
      <c r="G1108" t="s">
        <v>59</v>
      </c>
      <c r="H1108">
        <v>2023</v>
      </c>
    </row>
    <row r="1109" spans="1:8" x14ac:dyDescent="0.2">
      <c r="A1109">
        <v>205202</v>
      </c>
      <c r="B1109">
        <v>19440</v>
      </c>
      <c r="C1109" t="str">
        <f t="shared" si="17"/>
        <v>3. $50K-250K</v>
      </c>
      <c r="D1109" t="s">
        <v>719</v>
      </c>
      <c r="E1109" t="s">
        <v>237</v>
      </c>
      <c r="F1109" t="s">
        <v>670</v>
      </c>
      <c r="G1109" t="s">
        <v>59</v>
      </c>
      <c r="H1109">
        <v>2023</v>
      </c>
    </row>
    <row r="1110" spans="1:8" x14ac:dyDescent="0.2">
      <c r="A1110">
        <v>205203</v>
      </c>
      <c r="B1110">
        <v>9719.1</v>
      </c>
      <c r="C1110" t="str">
        <f t="shared" si="17"/>
        <v>2. $10K-50K</v>
      </c>
      <c r="D1110" t="s">
        <v>776</v>
      </c>
      <c r="E1110" t="s">
        <v>237</v>
      </c>
      <c r="F1110" t="s">
        <v>670</v>
      </c>
      <c r="G1110" t="s">
        <v>59</v>
      </c>
      <c r="H1110">
        <v>2023</v>
      </c>
    </row>
    <row r="1111" spans="1:8" x14ac:dyDescent="0.2">
      <c r="A1111">
        <v>205204</v>
      </c>
      <c r="B1111">
        <v>9718.5</v>
      </c>
      <c r="C1111" t="str">
        <f t="shared" si="17"/>
        <v>1. Under $10K</v>
      </c>
      <c r="D1111" t="s">
        <v>733</v>
      </c>
      <c r="E1111" t="s">
        <v>237</v>
      </c>
      <c r="F1111" t="s">
        <v>670</v>
      </c>
      <c r="G1111" t="s">
        <v>59</v>
      </c>
      <c r="H1111">
        <v>2023</v>
      </c>
    </row>
    <row r="1112" spans="1:8" x14ac:dyDescent="0.2">
      <c r="A1112">
        <v>205205</v>
      </c>
      <c r="B1112">
        <v>42614.9</v>
      </c>
      <c r="C1112" t="str">
        <f t="shared" si="17"/>
        <v>1. Under $10K</v>
      </c>
      <c r="D1112" t="s">
        <v>697</v>
      </c>
      <c r="E1112" t="s">
        <v>237</v>
      </c>
      <c r="F1112" t="s">
        <v>670</v>
      </c>
      <c r="G1112" t="s">
        <v>59</v>
      </c>
      <c r="H1112">
        <v>2023</v>
      </c>
    </row>
    <row r="1113" spans="1:8" x14ac:dyDescent="0.2">
      <c r="A1113">
        <v>205206</v>
      </c>
      <c r="B1113">
        <v>52920</v>
      </c>
      <c r="C1113" t="str">
        <f t="shared" si="17"/>
        <v>2. $10K-50K</v>
      </c>
      <c r="D1113" t="s">
        <v>736</v>
      </c>
      <c r="E1113" t="s">
        <v>237</v>
      </c>
      <c r="F1113" t="s">
        <v>670</v>
      </c>
      <c r="G1113" t="s">
        <v>59</v>
      </c>
      <c r="H1113">
        <v>2023</v>
      </c>
    </row>
    <row r="1114" spans="1:8" x14ac:dyDescent="0.2">
      <c r="A1114">
        <v>205207</v>
      </c>
      <c r="B1114">
        <v>88000</v>
      </c>
      <c r="C1114" t="str">
        <f t="shared" si="17"/>
        <v>3. $50K-250K</v>
      </c>
      <c r="D1114" t="s">
        <v>736</v>
      </c>
      <c r="E1114" t="s">
        <v>237</v>
      </c>
      <c r="F1114" t="s">
        <v>670</v>
      </c>
      <c r="G1114" t="s">
        <v>59</v>
      </c>
      <c r="H1114">
        <v>2023</v>
      </c>
    </row>
    <row r="1115" spans="1:8" x14ac:dyDescent="0.2">
      <c r="A1115">
        <v>205208</v>
      </c>
      <c r="B1115">
        <v>84240</v>
      </c>
      <c r="C1115" t="str">
        <f t="shared" si="17"/>
        <v>3. $50K-250K</v>
      </c>
      <c r="D1115" t="s">
        <v>748</v>
      </c>
      <c r="E1115" t="s">
        <v>237</v>
      </c>
      <c r="F1115" t="s">
        <v>670</v>
      </c>
      <c r="G1115" t="s">
        <v>59</v>
      </c>
      <c r="H1115">
        <v>2023</v>
      </c>
    </row>
    <row r="1116" spans="1:8" x14ac:dyDescent="0.2">
      <c r="A1116">
        <v>205209</v>
      </c>
      <c r="B1116">
        <v>9180</v>
      </c>
      <c r="C1116" t="str">
        <f t="shared" si="17"/>
        <v>3. $50K-250K</v>
      </c>
      <c r="D1116" t="s">
        <v>764</v>
      </c>
      <c r="E1116" t="s">
        <v>237</v>
      </c>
      <c r="F1116" t="s">
        <v>670</v>
      </c>
      <c r="G1116" t="s">
        <v>59</v>
      </c>
      <c r="H1116">
        <v>2023</v>
      </c>
    </row>
    <row r="1117" spans="1:8" x14ac:dyDescent="0.2">
      <c r="A1117">
        <v>205210</v>
      </c>
      <c r="B1117">
        <v>8090.5</v>
      </c>
      <c r="C1117" t="str">
        <f t="shared" si="17"/>
        <v>1. Under $10K</v>
      </c>
      <c r="D1117" t="s">
        <v>769</v>
      </c>
      <c r="E1117" t="s">
        <v>237</v>
      </c>
      <c r="F1117" t="s">
        <v>670</v>
      </c>
      <c r="G1117" t="s">
        <v>59</v>
      </c>
      <c r="H1117">
        <v>2023</v>
      </c>
    </row>
    <row r="1118" spans="1:8" x14ac:dyDescent="0.2">
      <c r="A1118">
        <v>205211</v>
      </c>
      <c r="B1118">
        <v>18360</v>
      </c>
      <c r="C1118" t="str">
        <f t="shared" si="17"/>
        <v>1. Under $10K</v>
      </c>
      <c r="D1118" t="s">
        <v>716</v>
      </c>
      <c r="E1118" t="s">
        <v>237</v>
      </c>
      <c r="F1118" t="s">
        <v>670</v>
      </c>
      <c r="G1118" t="s">
        <v>59</v>
      </c>
      <c r="H1118">
        <v>2023</v>
      </c>
    </row>
    <row r="1119" spans="1:8" x14ac:dyDescent="0.2">
      <c r="A1119">
        <v>205213</v>
      </c>
      <c r="B1119">
        <v>7843.8</v>
      </c>
      <c r="C1119" t="str">
        <f t="shared" si="17"/>
        <v>2. $10K-50K</v>
      </c>
      <c r="D1119" t="s">
        <v>729</v>
      </c>
      <c r="E1119" t="s">
        <v>237</v>
      </c>
      <c r="F1119" t="s">
        <v>670</v>
      </c>
      <c r="G1119" t="s">
        <v>59</v>
      </c>
      <c r="H1119">
        <v>2023</v>
      </c>
    </row>
    <row r="1120" spans="1:8" x14ac:dyDescent="0.2">
      <c r="A1120">
        <v>205216</v>
      </c>
      <c r="B1120">
        <v>43499.9</v>
      </c>
      <c r="C1120" t="str">
        <f t="shared" si="17"/>
        <v>1. Under $10K</v>
      </c>
      <c r="D1120" t="s">
        <v>756</v>
      </c>
      <c r="E1120" t="s">
        <v>237</v>
      </c>
      <c r="F1120" t="s">
        <v>670</v>
      </c>
      <c r="G1120" t="s">
        <v>59</v>
      </c>
      <c r="H1120">
        <v>2023</v>
      </c>
    </row>
    <row r="1121" spans="1:8" x14ac:dyDescent="0.2">
      <c r="A1121">
        <v>205497</v>
      </c>
      <c r="B1121">
        <v>9702.1</v>
      </c>
      <c r="C1121" t="str">
        <f t="shared" si="17"/>
        <v>2. $10K-50K</v>
      </c>
      <c r="D1121" t="s">
        <v>751</v>
      </c>
      <c r="E1121" t="s">
        <v>237</v>
      </c>
      <c r="F1121" t="s">
        <v>670</v>
      </c>
      <c r="G1121" t="s">
        <v>59</v>
      </c>
      <c r="H1121">
        <v>2023</v>
      </c>
    </row>
    <row r="1122" spans="1:8" x14ac:dyDescent="0.2">
      <c r="A1122">
        <v>205514</v>
      </c>
      <c r="B1122">
        <v>29371.7</v>
      </c>
      <c r="C1122" t="str">
        <f t="shared" si="17"/>
        <v>1. Under $10K</v>
      </c>
      <c r="D1122" t="s">
        <v>722</v>
      </c>
      <c r="E1122" t="s">
        <v>237</v>
      </c>
      <c r="F1122" t="s">
        <v>670</v>
      </c>
      <c r="G1122" t="s">
        <v>59</v>
      </c>
      <c r="H1122">
        <v>2023</v>
      </c>
    </row>
    <row r="1123" spans="1:8" x14ac:dyDescent="0.2">
      <c r="A1123">
        <v>205515</v>
      </c>
      <c r="B1123">
        <v>7325.1</v>
      </c>
      <c r="C1123" t="str">
        <f t="shared" si="17"/>
        <v>2. $10K-50K</v>
      </c>
      <c r="D1123" t="s">
        <v>722</v>
      </c>
      <c r="E1123" t="s">
        <v>237</v>
      </c>
      <c r="F1123" t="s">
        <v>670</v>
      </c>
      <c r="G1123" t="s">
        <v>59</v>
      </c>
      <c r="H1123">
        <v>2023</v>
      </c>
    </row>
    <row r="1124" spans="1:8" x14ac:dyDescent="0.2">
      <c r="A1124">
        <v>205517</v>
      </c>
      <c r="B1124">
        <v>27824.799999999999</v>
      </c>
      <c r="C1124" t="str">
        <f t="shared" si="17"/>
        <v>1. Under $10K</v>
      </c>
      <c r="D1124" t="s">
        <v>699</v>
      </c>
      <c r="E1124" t="s">
        <v>237</v>
      </c>
      <c r="F1124" t="s">
        <v>670</v>
      </c>
      <c r="G1124" t="s">
        <v>59</v>
      </c>
      <c r="H1124">
        <v>2023</v>
      </c>
    </row>
    <row r="1125" spans="1:8" x14ac:dyDescent="0.2">
      <c r="A1125">
        <v>205519</v>
      </c>
      <c r="B1125">
        <v>9089.2000000000007</v>
      </c>
      <c r="C1125" t="str">
        <f t="shared" si="17"/>
        <v>2. $10K-50K</v>
      </c>
      <c r="D1125" t="s">
        <v>706</v>
      </c>
      <c r="E1125" t="s">
        <v>237</v>
      </c>
      <c r="F1125" t="s">
        <v>670</v>
      </c>
      <c r="G1125" t="s">
        <v>59</v>
      </c>
      <c r="H1125">
        <v>2023</v>
      </c>
    </row>
    <row r="1126" spans="1:8" x14ac:dyDescent="0.2">
      <c r="A1126">
        <v>205520</v>
      </c>
      <c r="B1126">
        <v>14119</v>
      </c>
      <c r="C1126" t="str">
        <f t="shared" si="17"/>
        <v>1. Under $10K</v>
      </c>
      <c r="D1126" t="s">
        <v>740</v>
      </c>
      <c r="E1126" t="s">
        <v>237</v>
      </c>
      <c r="F1126" t="s">
        <v>670</v>
      </c>
      <c r="G1126" t="s">
        <v>59</v>
      </c>
      <c r="H1126">
        <v>2023</v>
      </c>
    </row>
    <row r="1127" spans="1:8" x14ac:dyDescent="0.2">
      <c r="A1127">
        <v>205521</v>
      </c>
      <c r="B1127">
        <v>8707.6</v>
      </c>
      <c r="C1127" t="str">
        <f t="shared" si="17"/>
        <v>2. $10K-50K</v>
      </c>
      <c r="D1127" t="s">
        <v>740</v>
      </c>
      <c r="E1127" t="s">
        <v>237</v>
      </c>
      <c r="F1127" t="s">
        <v>670</v>
      </c>
      <c r="G1127" t="s">
        <v>59</v>
      </c>
      <c r="H1127">
        <v>2023</v>
      </c>
    </row>
    <row r="1128" spans="1:8" x14ac:dyDescent="0.2">
      <c r="A1128">
        <v>205522</v>
      </c>
      <c r="B1128">
        <v>36000</v>
      </c>
      <c r="C1128" t="str">
        <f t="shared" si="17"/>
        <v>1. Under $10K</v>
      </c>
      <c r="D1128" t="s">
        <v>1054</v>
      </c>
      <c r="E1128" t="s">
        <v>237</v>
      </c>
      <c r="F1128" t="s">
        <v>670</v>
      </c>
      <c r="G1128" t="s">
        <v>59</v>
      </c>
      <c r="H1128">
        <v>2023</v>
      </c>
    </row>
    <row r="1129" spans="1:8" x14ac:dyDescent="0.2">
      <c r="A1129">
        <v>205524</v>
      </c>
      <c r="B1129">
        <v>143090.6</v>
      </c>
      <c r="C1129" t="str">
        <f t="shared" si="17"/>
        <v>2. $10K-50K</v>
      </c>
      <c r="D1129" t="s">
        <v>704</v>
      </c>
      <c r="E1129" t="s">
        <v>237</v>
      </c>
      <c r="F1129" t="s">
        <v>670</v>
      </c>
      <c r="G1129" t="s">
        <v>59</v>
      </c>
      <c r="H1129">
        <v>2023</v>
      </c>
    </row>
    <row r="1130" spans="1:8" x14ac:dyDescent="0.2">
      <c r="A1130">
        <v>205526</v>
      </c>
      <c r="B1130">
        <v>42380.1</v>
      </c>
      <c r="C1130" t="str">
        <f t="shared" si="17"/>
        <v>3. $50K-250K</v>
      </c>
      <c r="D1130" t="s">
        <v>701</v>
      </c>
      <c r="E1130" t="s">
        <v>237</v>
      </c>
      <c r="F1130" t="s">
        <v>670</v>
      </c>
      <c r="G1130" t="s">
        <v>59</v>
      </c>
      <c r="H1130">
        <v>2023</v>
      </c>
    </row>
    <row r="1131" spans="1:8" x14ac:dyDescent="0.2">
      <c r="A1131">
        <v>205527</v>
      </c>
      <c r="B1131">
        <v>34034</v>
      </c>
      <c r="C1131" t="str">
        <f t="shared" si="17"/>
        <v>2. $10K-50K</v>
      </c>
      <c r="D1131" t="s">
        <v>701</v>
      </c>
      <c r="E1131" t="s">
        <v>237</v>
      </c>
      <c r="F1131" t="s">
        <v>670</v>
      </c>
      <c r="G1131" t="s">
        <v>59</v>
      </c>
      <c r="H1131">
        <v>2023</v>
      </c>
    </row>
    <row r="1132" spans="1:8" x14ac:dyDescent="0.2">
      <c r="A1132">
        <v>205560</v>
      </c>
      <c r="B1132">
        <v>88340.5</v>
      </c>
      <c r="C1132" t="str">
        <f t="shared" si="17"/>
        <v>2. $10K-50K</v>
      </c>
      <c r="D1132" t="s">
        <v>696</v>
      </c>
      <c r="E1132" t="s">
        <v>237</v>
      </c>
      <c r="F1132" t="s">
        <v>670</v>
      </c>
      <c r="G1132" t="s">
        <v>59</v>
      </c>
      <c r="H1132">
        <v>2023</v>
      </c>
    </row>
    <row r="1133" spans="1:8" x14ac:dyDescent="0.2">
      <c r="A1133">
        <v>205602</v>
      </c>
      <c r="B1133">
        <v>60789.7</v>
      </c>
      <c r="C1133" t="str">
        <f t="shared" si="17"/>
        <v>3. $50K-250K</v>
      </c>
      <c r="D1133" t="s">
        <v>696</v>
      </c>
      <c r="E1133" t="s">
        <v>237</v>
      </c>
      <c r="F1133" t="s">
        <v>670</v>
      </c>
      <c r="G1133" t="s">
        <v>59</v>
      </c>
      <c r="H1133">
        <v>2023</v>
      </c>
    </row>
    <row r="1134" spans="1:8" x14ac:dyDescent="0.2">
      <c r="A1134">
        <v>205604</v>
      </c>
      <c r="B1134">
        <v>8779.9</v>
      </c>
      <c r="C1134" t="str">
        <f t="shared" si="17"/>
        <v>3. $50K-250K</v>
      </c>
      <c r="D1134" t="s">
        <v>738</v>
      </c>
      <c r="E1134" t="s">
        <v>237</v>
      </c>
      <c r="F1134" t="s">
        <v>670</v>
      </c>
      <c r="G1134" t="s">
        <v>59</v>
      </c>
      <c r="H1134">
        <v>2023</v>
      </c>
    </row>
    <row r="1135" spans="1:8" x14ac:dyDescent="0.2">
      <c r="A1135">
        <v>205605</v>
      </c>
      <c r="B1135">
        <v>27171.1</v>
      </c>
      <c r="C1135" t="str">
        <f t="shared" si="17"/>
        <v>1. Under $10K</v>
      </c>
      <c r="D1135" t="s">
        <v>697</v>
      </c>
      <c r="E1135" t="s">
        <v>237</v>
      </c>
      <c r="F1135" t="s">
        <v>670</v>
      </c>
      <c r="G1135" t="s">
        <v>59</v>
      </c>
      <c r="H1135">
        <v>2023</v>
      </c>
    </row>
    <row r="1136" spans="1:8" x14ac:dyDescent="0.2">
      <c r="A1136">
        <v>205606</v>
      </c>
      <c r="B1136">
        <v>49556</v>
      </c>
      <c r="C1136" t="str">
        <f t="shared" si="17"/>
        <v>2. $10K-50K</v>
      </c>
      <c r="D1136" t="s">
        <v>749</v>
      </c>
      <c r="E1136" t="s">
        <v>237</v>
      </c>
      <c r="F1136" t="s">
        <v>670</v>
      </c>
      <c r="G1136" t="s">
        <v>59</v>
      </c>
      <c r="H1136">
        <v>2023</v>
      </c>
    </row>
    <row r="1137" spans="1:8" x14ac:dyDescent="0.2">
      <c r="A1137">
        <v>205607</v>
      </c>
      <c r="B1137">
        <v>5742.6</v>
      </c>
      <c r="C1137" t="str">
        <f t="shared" si="17"/>
        <v>2. $10K-50K</v>
      </c>
      <c r="D1137" t="s">
        <v>717</v>
      </c>
      <c r="E1137" t="s">
        <v>237</v>
      </c>
      <c r="F1137" t="s">
        <v>670</v>
      </c>
      <c r="G1137" t="s">
        <v>59</v>
      </c>
      <c r="H1137">
        <v>2023</v>
      </c>
    </row>
    <row r="1138" spans="1:8" x14ac:dyDescent="0.2">
      <c r="A1138">
        <v>205608</v>
      </c>
      <c r="B1138">
        <v>7757.7</v>
      </c>
      <c r="C1138" t="str">
        <f t="shared" si="17"/>
        <v>1. Under $10K</v>
      </c>
      <c r="D1138" t="s">
        <v>759</v>
      </c>
      <c r="E1138" t="s">
        <v>237</v>
      </c>
      <c r="F1138" t="s">
        <v>670</v>
      </c>
      <c r="G1138" t="s">
        <v>59</v>
      </c>
      <c r="H1138">
        <v>2023</v>
      </c>
    </row>
    <row r="1139" spans="1:8" x14ac:dyDescent="0.2">
      <c r="A1139">
        <v>205611</v>
      </c>
      <c r="B1139">
        <v>70400</v>
      </c>
      <c r="C1139" t="str">
        <f t="shared" si="17"/>
        <v>1. Under $10K</v>
      </c>
      <c r="D1139" t="s">
        <v>756</v>
      </c>
      <c r="E1139" t="s">
        <v>237</v>
      </c>
      <c r="F1139" t="s">
        <v>670</v>
      </c>
      <c r="G1139" t="s">
        <v>59</v>
      </c>
      <c r="H1139">
        <v>2023</v>
      </c>
    </row>
    <row r="1140" spans="1:8" x14ac:dyDescent="0.2">
      <c r="A1140">
        <v>205613</v>
      </c>
      <c r="B1140">
        <v>81706.399999999994</v>
      </c>
      <c r="C1140" t="str">
        <f t="shared" si="17"/>
        <v>3. $50K-250K</v>
      </c>
      <c r="D1140" t="s">
        <v>713</v>
      </c>
      <c r="E1140" t="s">
        <v>237</v>
      </c>
      <c r="F1140" t="s">
        <v>670</v>
      </c>
      <c r="G1140" t="s">
        <v>59</v>
      </c>
      <c r="H1140">
        <v>2023</v>
      </c>
    </row>
    <row r="1141" spans="1:8" x14ac:dyDescent="0.2">
      <c r="A1141">
        <v>205614</v>
      </c>
      <c r="B1141">
        <v>18360</v>
      </c>
      <c r="C1141" t="str">
        <f t="shared" si="17"/>
        <v>3. $50K-250K</v>
      </c>
      <c r="D1141" t="s">
        <v>757</v>
      </c>
      <c r="E1141" t="s">
        <v>237</v>
      </c>
      <c r="F1141" t="s">
        <v>670</v>
      </c>
      <c r="G1141" t="s">
        <v>59</v>
      </c>
      <c r="H1141">
        <v>2023</v>
      </c>
    </row>
    <row r="1142" spans="1:8" x14ac:dyDescent="0.2">
      <c r="A1142">
        <v>205615</v>
      </c>
      <c r="B1142">
        <v>48174.7</v>
      </c>
      <c r="C1142" t="str">
        <f t="shared" si="17"/>
        <v>2. $10K-50K</v>
      </c>
      <c r="D1142" t="s">
        <v>731</v>
      </c>
      <c r="E1142" t="s">
        <v>237</v>
      </c>
      <c r="F1142" t="s">
        <v>670</v>
      </c>
      <c r="G1142" t="s">
        <v>59</v>
      </c>
      <c r="H1142">
        <v>2023</v>
      </c>
    </row>
    <row r="1143" spans="1:8" x14ac:dyDescent="0.2">
      <c r="A1143">
        <v>205617</v>
      </c>
      <c r="B1143">
        <v>75370.3</v>
      </c>
      <c r="C1143" t="str">
        <f t="shared" si="17"/>
        <v>2. $10K-50K</v>
      </c>
      <c r="D1143" t="s">
        <v>709</v>
      </c>
      <c r="E1143" t="s">
        <v>237</v>
      </c>
      <c r="F1143" t="s">
        <v>670</v>
      </c>
      <c r="G1143" t="s">
        <v>59</v>
      </c>
      <c r="H1143">
        <v>2023</v>
      </c>
    </row>
    <row r="1144" spans="1:8" x14ac:dyDescent="0.2">
      <c r="A1144">
        <v>205618</v>
      </c>
      <c r="B1144">
        <v>18529.3999999999</v>
      </c>
      <c r="C1144" t="str">
        <f t="shared" si="17"/>
        <v>3. $50K-250K</v>
      </c>
      <c r="D1144" t="s">
        <v>708</v>
      </c>
      <c r="E1144" t="s">
        <v>237</v>
      </c>
      <c r="F1144" t="s">
        <v>670</v>
      </c>
      <c r="G1144" t="s">
        <v>59</v>
      </c>
      <c r="H1144">
        <v>2023</v>
      </c>
    </row>
    <row r="1145" spans="1:8" x14ac:dyDescent="0.2">
      <c r="A1145">
        <v>205619</v>
      </c>
      <c r="B1145">
        <v>61600</v>
      </c>
      <c r="C1145" t="str">
        <f t="shared" si="17"/>
        <v>2. $10K-50K</v>
      </c>
      <c r="D1145" t="s">
        <v>705</v>
      </c>
      <c r="E1145" t="s">
        <v>237</v>
      </c>
      <c r="F1145" t="s">
        <v>670</v>
      </c>
      <c r="G1145" t="s">
        <v>59</v>
      </c>
      <c r="H1145">
        <v>2023</v>
      </c>
    </row>
    <row r="1146" spans="1:8" x14ac:dyDescent="0.2">
      <c r="A1146">
        <v>205620</v>
      </c>
      <c r="B1146">
        <v>84646.2</v>
      </c>
      <c r="C1146" t="str">
        <f t="shared" si="17"/>
        <v>3. $50K-250K</v>
      </c>
      <c r="D1146" t="s">
        <v>705</v>
      </c>
      <c r="E1146" t="s">
        <v>237</v>
      </c>
      <c r="F1146" t="s">
        <v>670</v>
      </c>
      <c r="G1146" t="s">
        <v>59</v>
      </c>
      <c r="H1146">
        <v>2023</v>
      </c>
    </row>
    <row r="1147" spans="1:8" x14ac:dyDescent="0.2">
      <c r="A1147">
        <v>205621</v>
      </c>
      <c r="B1147">
        <v>48400</v>
      </c>
      <c r="C1147" t="str">
        <f t="shared" si="17"/>
        <v>3. $50K-250K</v>
      </c>
      <c r="D1147" t="s">
        <v>748</v>
      </c>
      <c r="E1147" t="s">
        <v>237</v>
      </c>
      <c r="F1147" t="s">
        <v>670</v>
      </c>
      <c r="G1147" t="s">
        <v>59</v>
      </c>
      <c r="H1147">
        <v>2023</v>
      </c>
    </row>
    <row r="1148" spans="1:8" x14ac:dyDescent="0.2">
      <c r="A1148">
        <v>205622</v>
      </c>
      <c r="B1148">
        <v>29876.6</v>
      </c>
      <c r="C1148" t="str">
        <f t="shared" si="17"/>
        <v>2. $10K-50K</v>
      </c>
      <c r="D1148" t="s">
        <v>707</v>
      </c>
      <c r="E1148" t="s">
        <v>237</v>
      </c>
      <c r="F1148" t="s">
        <v>670</v>
      </c>
      <c r="G1148" t="s">
        <v>59</v>
      </c>
      <c r="H1148">
        <v>2023</v>
      </c>
    </row>
    <row r="1149" spans="1:8" x14ac:dyDescent="0.2">
      <c r="A1149">
        <v>205624</v>
      </c>
      <c r="B1149">
        <v>84860.7</v>
      </c>
      <c r="C1149" t="str">
        <f t="shared" si="17"/>
        <v>2. $10K-50K</v>
      </c>
      <c r="D1149" t="s">
        <v>749</v>
      </c>
      <c r="E1149" t="s">
        <v>237</v>
      </c>
      <c r="F1149" t="s">
        <v>670</v>
      </c>
      <c r="G1149" t="s">
        <v>59</v>
      </c>
      <c r="H1149">
        <v>2023</v>
      </c>
    </row>
    <row r="1150" spans="1:8" x14ac:dyDescent="0.2">
      <c r="A1150">
        <v>205625</v>
      </c>
      <c r="B1150">
        <v>28928.6</v>
      </c>
      <c r="C1150" t="str">
        <f t="shared" si="17"/>
        <v>3. $50K-250K</v>
      </c>
      <c r="D1150" t="s">
        <v>725</v>
      </c>
      <c r="E1150" t="s">
        <v>237</v>
      </c>
      <c r="F1150" t="s">
        <v>670</v>
      </c>
      <c r="G1150" t="s">
        <v>59</v>
      </c>
      <c r="H1150">
        <v>2023</v>
      </c>
    </row>
    <row r="1151" spans="1:8" x14ac:dyDescent="0.2">
      <c r="A1151">
        <v>205626</v>
      </c>
      <c r="B1151">
        <v>23419.9</v>
      </c>
      <c r="C1151" t="str">
        <f t="shared" si="17"/>
        <v>2. $10K-50K</v>
      </c>
      <c r="D1151" t="s">
        <v>693</v>
      </c>
      <c r="E1151" t="s">
        <v>237</v>
      </c>
      <c r="F1151" t="s">
        <v>670</v>
      </c>
      <c r="G1151" t="s">
        <v>59</v>
      </c>
      <c r="H1151">
        <v>2023</v>
      </c>
    </row>
    <row r="1152" spans="1:8" x14ac:dyDescent="0.2">
      <c r="A1152">
        <v>205734</v>
      </c>
      <c r="B1152">
        <v>1954826</v>
      </c>
      <c r="C1152" t="str">
        <f t="shared" si="17"/>
        <v>2. $10K-50K</v>
      </c>
      <c r="D1152" t="s">
        <v>225</v>
      </c>
      <c r="E1152" t="s">
        <v>59</v>
      </c>
      <c r="F1152" t="s">
        <v>12</v>
      </c>
      <c r="G1152" t="s">
        <v>59</v>
      </c>
      <c r="H1152">
        <v>2023</v>
      </c>
    </row>
    <row r="1153" spans="1:8" x14ac:dyDescent="0.2">
      <c r="A1153">
        <v>206081</v>
      </c>
      <c r="B1153">
        <v>2500</v>
      </c>
      <c r="C1153" t="str">
        <f t="shared" si="17"/>
        <v>5. $1M+</v>
      </c>
      <c r="D1153" t="s">
        <v>1055</v>
      </c>
      <c r="E1153" t="s">
        <v>368</v>
      </c>
      <c r="F1153" t="s">
        <v>670</v>
      </c>
      <c r="G1153" t="s">
        <v>44</v>
      </c>
      <c r="H1153">
        <v>2023</v>
      </c>
    </row>
    <row r="1154" spans="1:8" x14ac:dyDescent="0.2">
      <c r="A1154">
        <v>206165</v>
      </c>
      <c r="B1154">
        <v>230000</v>
      </c>
      <c r="C1154" t="str">
        <f t="shared" si="17"/>
        <v>1. Under $10K</v>
      </c>
      <c r="D1154" t="s">
        <v>1056</v>
      </c>
      <c r="E1154" t="s">
        <v>42</v>
      </c>
      <c r="F1154" t="s">
        <v>670</v>
      </c>
      <c r="G1154" t="s">
        <v>44</v>
      </c>
      <c r="H1154">
        <v>2023</v>
      </c>
    </row>
    <row r="1155" spans="1:8" x14ac:dyDescent="0.2">
      <c r="A1155">
        <v>206166</v>
      </c>
      <c r="B1155">
        <v>1010000</v>
      </c>
      <c r="C1155" t="str">
        <f t="shared" ref="C1155:C1218" si="18">IF(B1154&lt;10000,"1. Under $10K",IF(B1154&lt;50000,"2. $10K-50K",IF(B1154&lt;250000,"3. $50K-250K",IF(B1154&lt;1000000,"4. $250K-1M","5. $1M+"))))</f>
        <v>3. $50K-250K</v>
      </c>
      <c r="D1155" t="s">
        <v>1057</v>
      </c>
      <c r="E1155" t="s">
        <v>42</v>
      </c>
      <c r="F1155" t="s">
        <v>670</v>
      </c>
      <c r="G1155" t="s">
        <v>44</v>
      </c>
      <c r="H1155">
        <v>2024</v>
      </c>
    </row>
    <row r="1156" spans="1:8" x14ac:dyDescent="0.2">
      <c r="A1156">
        <v>206167</v>
      </c>
      <c r="B1156">
        <v>1870000</v>
      </c>
      <c r="C1156" t="str">
        <f t="shared" si="18"/>
        <v>5. $1M+</v>
      </c>
      <c r="D1156" t="s">
        <v>1058</v>
      </c>
      <c r="E1156" t="s">
        <v>42</v>
      </c>
      <c r="F1156" t="s">
        <v>670</v>
      </c>
      <c r="G1156" t="s">
        <v>44</v>
      </c>
      <c r="H1156">
        <v>2024</v>
      </c>
    </row>
    <row r="1157" spans="1:8" x14ac:dyDescent="0.2">
      <c r="A1157">
        <v>206169</v>
      </c>
      <c r="B1157">
        <v>225000</v>
      </c>
      <c r="C1157" t="str">
        <f t="shared" si="18"/>
        <v>5. $1M+</v>
      </c>
      <c r="D1157" t="s">
        <v>749</v>
      </c>
      <c r="E1157" t="s">
        <v>42</v>
      </c>
      <c r="F1157" t="s">
        <v>670</v>
      </c>
      <c r="G1157" t="s">
        <v>44</v>
      </c>
      <c r="H1157">
        <v>2023</v>
      </c>
    </row>
    <row r="1158" spans="1:8" x14ac:dyDescent="0.2">
      <c r="A1158">
        <v>206284</v>
      </c>
      <c r="B1158">
        <v>5500540</v>
      </c>
      <c r="C1158" t="str">
        <f t="shared" si="18"/>
        <v>3. $50K-250K</v>
      </c>
      <c r="D1158" t="s">
        <v>391</v>
      </c>
      <c r="E1158" t="s">
        <v>237</v>
      </c>
      <c r="F1158" t="s">
        <v>670</v>
      </c>
      <c r="G1158" t="s">
        <v>59</v>
      </c>
      <c r="H1158">
        <v>2023</v>
      </c>
    </row>
    <row r="1159" spans="1:8" x14ac:dyDescent="0.2">
      <c r="A1159">
        <v>206554</v>
      </c>
      <c r="B1159">
        <v>742997</v>
      </c>
      <c r="C1159" t="str">
        <f t="shared" si="18"/>
        <v>5. $1M+</v>
      </c>
      <c r="D1159" t="s">
        <v>694</v>
      </c>
      <c r="E1159" t="s">
        <v>237</v>
      </c>
      <c r="F1159" t="s">
        <v>670</v>
      </c>
      <c r="G1159" t="s">
        <v>59</v>
      </c>
      <c r="H1159">
        <v>2023</v>
      </c>
    </row>
    <row r="1160" spans="1:8" x14ac:dyDescent="0.2">
      <c r="A1160">
        <v>206555</v>
      </c>
      <c r="B1160">
        <v>742997</v>
      </c>
      <c r="C1160" t="str">
        <f t="shared" si="18"/>
        <v>4. $250K-1M</v>
      </c>
      <c r="D1160" t="s">
        <v>908</v>
      </c>
      <c r="E1160" t="s">
        <v>237</v>
      </c>
      <c r="F1160" t="s">
        <v>670</v>
      </c>
      <c r="G1160" t="s">
        <v>59</v>
      </c>
      <c r="H1160">
        <v>2023</v>
      </c>
    </row>
    <row r="1161" spans="1:8" x14ac:dyDescent="0.2">
      <c r="A1161">
        <v>206556</v>
      </c>
      <c r="B1161">
        <v>742997</v>
      </c>
      <c r="C1161" t="str">
        <f t="shared" si="18"/>
        <v>4. $250K-1M</v>
      </c>
      <c r="D1161" t="s">
        <v>909</v>
      </c>
      <c r="E1161" t="s">
        <v>237</v>
      </c>
      <c r="F1161" t="s">
        <v>670</v>
      </c>
      <c r="G1161" t="s">
        <v>59</v>
      </c>
      <c r="H1161">
        <v>2023</v>
      </c>
    </row>
    <row r="1162" spans="1:8" x14ac:dyDescent="0.2">
      <c r="A1162">
        <v>206557</v>
      </c>
      <c r="B1162">
        <v>742997</v>
      </c>
      <c r="C1162" t="str">
        <f t="shared" si="18"/>
        <v>4. $250K-1M</v>
      </c>
      <c r="D1162" t="s">
        <v>907</v>
      </c>
      <c r="E1162" t="s">
        <v>237</v>
      </c>
      <c r="F1162" t="s">
        <v>670</v>
      </c>
      <c r="G1162" t="s">
        <v>59</v>
      </c>
      <c r="H1162">
        <v>2023</v>
      </c>
    </row>
    <row r="1163" spans="1:8" x14ac:dyDescent="0.2">
      <c r="A1163">
        <v>206634</v>
      </c>
      <c r="B1163">
        <v>27540</v>
      </c>
      <c r="C1163" t="str">
        <f t="shared" si="18"/>
        <v>4. $250K-1M</v>
      </c>
      <c r="D1163" t="s">
        <v>747</v>
      </c>
      <c r="E1163" t="s">
        <v>237</v>
      </c>
      <c r="F1163" t="s">
        <v>670</v>
      </c>
      <c r="G1163" t="s">
        <v>59</v>
      </c>
      <c r="H1163">
        <v>2023</v>
      </c>
    </row>
    <row r="1164" spans="1:8" x14ac:dyDescent="0.2">
      <c r="A1164">
        <v>206635</v>
      </c>
      <c r="B1164">
        <v>85800</v>
      </c>
      <c r="C1164" t="str">
        <f t="shared" si="18"/>
        <v>2. $10K-50K</v>
      </c>
      <c r="D1164" t="s">
        <v>747</v>
      </c>
      <c r="E1164" t="s">
        <v>237</v>
      </c>
      <c r="F1164" t="s">
        <v>670</v>
      </c>
      <c r="G1164" t="s">
        <v>59</v>
      </c>
      <c r="H1164">
        <v>2023</v>
      </c>
    </row>
    <row r="1165" spans="1:8" x14ac:dyDescent="0.2">
      <c r="A1165">
        <v>206636</v>
      </c>
      <c r="B1165">
        <v>130887.2</v>
      </c>
      <c r="C1165" t="str">
        <f t="shared" si="18"/>
        <v>3. $50K-250K</v>
      </c>
      <c r="D1165" t="s">
        <v>1032</v>
      </c>
      <c r="E1165" t="s">
        <v>237</v>
      </c>
      <c r="F1165" t="s">
        <v>670</v>
      </c>
      <c r="G1165" t="s">
        <v>59</v>
      </c>
      <c r="H1165">
        <v>2023</v>
      </c>
    </row>
    <row r="1166" spans="1:8" x14ac:dyDescent="0.2">
      <c r="A1166">
        <v>206637</v>
      </c>
      <c r="B1166">
        <v>50759.8</v>
      </c>
      <c r="C1166" t="str">
        <f t="shared" si="18"/>
        <v>3. $50K-250K</v>
      </c>
      <c r="D1166" t="s">
        <v>1032</v>
      </c>
      <c r="E1166" t="s">
        <v>237</v>
      </c>
      <c r="F1166" t="s">
        <v>670</v>
      </c>
      <c r="G1166" t="s">
        <v>59</v>
      </c>
      <c r="H1166">
        <v>2023</v>
      </c>
    </row>
    <row r="1167" spans="1:8" x14ac:dyDescent="0.2">
      <c r="A1167">
        <v>206646</v>
      </c>
      <c r="B1167">
        <v>109695.6</v>
      </c>
      <c r="C1167" t="str">
        <f t="shared" si="18"/>
        <v>3. $50K-250K</v>
      </c>
      <c r="D1167" t="s">
        <v>1059</v>
      </c>
      <c r="E1167" t="s">
        <v>237</v>
      </c>
      <c r="F1167" t="s">
        <v>670</v>
      </c>
      <c r="G1167" t="s">
        <v>59</v>
      </c>
      <c r="H1167">
        <v>2023</v>
      </c>
    </row>
    <row r="1168" spans="1:8" x14ac:dyDescent="0.2">
      <c r="A1168">
        <v>206650</v>
      </c>
      <c r="B1168">
        <v>21599.9</v>
      </c>
      <c r="C1168" t="str">
        <f t="shared" si="18"/>
        <v>3. $50K-250K</v>
      </c>
      <c r="D1168" t="s">
        <v>714</v>
      </c>
      <c r="E1168" t="s">
        <v>237</v>
      </c>
      <c r="F1168" t="s">
        <v>670</v>
      </c>
      <c r="G1168" t="s">
        <v>59</v>
      </c>
      <c r="H1168">
        <v>2023</v>
      </c>
    </row>
    <row r="1169" spans="1:8" x14ac:dyDescent="0.2">
      <c r="A1169">
        <v>206651</v>
      </c>
      <c r="B1169">
        <v>20707.3</v>
      </c>
      <c r="C1169" t="str">
        <f t="shared" si="18"/>
        <v>2. $10K-50K</v>
      </c>
      <c r="D1169" t="s">
        <v>712</v>
      </c>
      <c r="E1169" t="s">
        <v>237</v>
      </c>
      <c r="F1169" t="s">
        <v>670</v>
      </c>
      <c r="G1169" t="s">
        <v>59</v>
      </c>
      <c r="H1169">
        <v>2023</v>
      </c>
    </row>
    <row r="1170" spans="1:8" x14ac:dyDescent="0.2">
      <c r="A1170">
        <v>206652</v>
      </c>
      <c r="B1170">
        <v>49547.199999999997</v>
      </c>
      <c r="C1170" t="str">
        <f t="shared" si="18"/>
        <v>2. $10K-50K</v>
      </c>
      <c r="D1170" t="s">
        <v>712</v>
      </c>
      <c r="E1170" t="s">
        <v>237</v>
      </c>
      <c r="F1170" t="s">
        <v>670</v>
      </c>
      <c r="G1170" t="s">
        <v>59</v>
      </c>
      <c r="H1170">
        <v>2023</v>
      </c>
    </row>
    <row r="1171" spans="1:8" x14ac:dyDescent="0.2">
      <c r="A1171">
        <v>206653</v>
      </c>
      <c r="B1171">
        <v>92000</v>
      </c>
      <c r="C1171" t="str">
        <f t="shared" si="18"/>
        <v>2. $10K-50K</v>
      </c>
      <c r="D1171" t="s">
        <v>717</v>
      </c>
      <c r="E1171" t="s">
        <v>237</v>
      </c>
      <c r="F1171" t="s">
        <v>670</v>
      </c>
      <c r="G1171" t="s">
        <v>59</v>
      </c>
      <c r="H1171">
        <v>2023</v>
      </c>
    </row>
    <row r="1172" spans="1:8" x14ac:dyDescent="0.2">
      <c r="A1172">
        <v>206655</v>
      </c>
      <c r="B1172">
        <v>9347.4</v>
      </c>
      <c r="C1172" t="str">
        <f t="shared" si="18"/>
        <v>3. $50K-250K</v>
      </c>
      <c r="D1172" t="s">
        <v>730</v>
      </c>
      <c r="E1172" t="s">
        <v>237</v>
      </c>
      <c r="F1172" t="s">
        <v>670</v>
      </c>
      <c r="G1172" t="s">
        <v>59</v>
      </c>
      <c r="H1172">
        <v>2023</v>
      </c>
    </row>
    <row r="1173" spans="1:8" x14ac:dyDescent="0.2">
      <c r="A1173">
        <v>206656</v>
      </c>
      <c r="B1173">
        <v>65926.599999999904</v>
      </c>
      <c r="C1173" t="str">
        <f t="shared" si="18"/>
        <v>1. Under $10K</v>
      </c>
      <c r="D1173" t="s">
        <v>734</v>
      </c>
      <c r="E1173" t="s">
        <v>237</v>
      </c>
      <c r="F1173" t="s">
        <v>670</v>
      </c>
      <c r="G1173" t="s">
        <v>59</v>
      </c>
      <c r="H1173">
        <v>2023</v>
      </c>
    </row>
    <row r="1174" spans="1:8" x14ac:dyDescent="0.2">
      <c r="A1174">
        <v>206657</v>
      </c>
      <c r="B1174">
        <v>33813.9</v>
      </c>
      <c r="C1174" t="str">
        <f t="shared" si="18"/>
        <v>3. $50K-250K</v>
      </c>
      <c r="D1174" t="s">
        <v>734</v>
      </c>
      <c r="E1174" t="s">
        <v>237</v>
      </c>
      <c r="F1174" t="s">
        <v>670</v>
      </c>
      <c r="G1174" t="s">
        <v>59</v>
      </c>
      <c r="H1174">
        <v>2023</v>
      </c>
    </row>
    <row r="1175" spans="1:8" x14ac:dyDescent="0.2">
      <c r="A1175">
        <v>206658</v>
      </c>
      <c r="B1175">
        <v>19423.8</v>
      </c>
      <c r="C1175" t="str">
        <f t="shared" si="18"/>
        <v>2. $10K-50K</v>
      </c>
      <c r="D1175" t="s">
        <v>739</v>
      </c>
      <c r="E1175" t="s">
        <v>237</v>
      </c>
      <c r="F1175" t="s">
        <v>670</v>
      </c>
      <c r="G1175" t="s">
        <v>59</v>
      </c>
      <c r="H1175">
        <v>2023</v>
      </c>
    </row>
    <row r="1176" spans="1:8" x14ac:dyDescent="0.2">
      <c r="A1176">
        <v>206810</v>
      </c>
      <c r="B1176">
        <v>201281</v>
      </c>
      <c r="C1176" t="str">
        <f t="shared" si="18"/>
        <v>2. $10K-50K</v>
      </c>
      <c r="D1176" t="s">
        <v>1060</v>
      </c>
      <c r="E1176" t="s">
        <v>59</v>
      </c>
      <c r="F1176" t="s">
        <v>664</v>
      </c>
      <c r="G1176" t="s">
        <v>59</v>
      </c>
      <c r="H1176">
        <v>2023</v>
      </c>
    </row>
    <row r="1177" spans="1:8" x14ac:dyDescent="0.2">
      <c r="A1177">
        <v>206837</v>
      </c>
      <c r="B1177">
        <v>41</v>
      </c>
      <c r="C1177" t="str">
        <f t="shared" si="18"/>
        <v>3. $50K-250K</v>
      </c>
      <c r="D1177" t="s">
        <v>808</v>
      </c>
      <c r="E1177" t="s">
        <v>42</v>
      </c>
      <c r="F1177" t="s">
        <v>670</v>
      </c>
      <c r="G1177" t="s">
        <v>59</v>
      </c>
      <c r="H1177">
        <v>2023</v>
      </c>
    </row>
    <row r="1178" spans="1:8" x14ac:dyDescent="0.2">
      <c r="A1178">
        <v>206923</v>
      </c>
      <c r="B1178">
        <v>6550000</v>
      </c>
      <c r="C1178" t="str">
        <f t="shared" si="18"/>
        <v>1. Under $10K</v>
      </c>
      <c r="D1178" t="s">
        <v>226</v>
      </c>
      <c r="E1178" t="s">
        <v>99</v>
      </c>
      <c r="F1178" t="s">
        <v>43</v>
      </c>
      <c r="G1178" t="s">
        <v>44</v>
      </c>
      <c r="H1178">
        <v>2023</v>
      </c>
    </row>
    <row r="1179" spans="1:8" x14ac:dyDescent="0.2">
      <c r="A1179">
        <v>207038</v>
      </c>
      <c r="B1179">
        <v>13200</v>
      </c>
      <c r="C1179" t="str">
        <f t="shared" si="18"/>
        <v>5. $1M+</v>
      </c>
      <c r="D1179" t="s">
        <v>770</v>
      </c>
      <c r="E1179" t="s">
        <v>237</v>
      </c>
      <c r="F1179" t="s">
        <v>670</v>
      </c>
      <c r="G1179" t="s">
        <v>59</v>
      </c>
      <c r="H1179">
        <v>2023</v>
      </c>
    </row>
    <row r="1180" spans="1:8" x14ac:dyDescent="0.2">
      <c r="A1180">
        <v>207039</v>
      </c>
      <c r="B1180">
        <v>27540</v>
      </c>
      <c r="C1180" t="str">
        <f t="shared" si="18"/>
        <v>2. $10K-50K</v>
      </c>
      <c r="D1180" t="s">
        <v>752</v>
      </c>
      <c r="E1180" t="s">
        <v>237</v>
      </c>
      <c r="F1180" t="s">
        <v>670</v>
      </c>
      <c r="G1180" t="s">
        <v>59</v>
      </c>
      <c r="H1180">
        <v>2023</v>
      </c>
    </row>
    <row r="1181" spans="1:8" x14ac:dyDescent="0.2">
      <c r="A1181">
        <v>207040</v>
      </c>
      <c r="B1181">
        <v>55080</v>
      </c>
      <c r="C1181" t="str">
        <f t="shared" si="18"/>
        <v>2. $10K-50K</v>
      </c>
      <c r="D1181" t="s">
        <v>704</v>
      </c>
      <c r="E1181" t="s">
        <v>237</v>
      </c>
      <c r="F1181" t="s">
        <v>670</v>
      </c>
      <c r="G1181" t="s">
        <v>59</v>
      </c>
      <c r="H1181">
        <v>2023</v>
      </c>
    </row>
    <row r="1182" spans="1:8" x14ac:dyDescent="0.2">
      <c r="A1182">
        <v>207235</v>
      </c>
      <c r="B1182">
        <v>131509.1</v>
      </c>
      <c r="C1182" t="str">
        <f t="shared" si="18"/>
        <v>3. $50K-250K</v>
      </c>
      <c r="D1182" t="s">
        <v>1008</v>
      </c>
      <c r="E1182" t="s">
        <v>99</v>
      </c>
      <c r="F1182" t="s">
        <v>670</v>
      </c>
      <c r="G1182" t="s">
        <v>59</v>
      </c>
      <c r="H1182">
        <v>2024</v>
      </c>
    </row>
    <row r="1183" spans="1:8" x14ac:dyDescent="0.2">
      <c r="A1183">
        <v>20724</v>
      </c>
      <c r="B1183">
        <v>384706.8</v>
      </c>
      <c r="C1183" t="str">
        <f t="shared" si="18"/>
        <v>3. $50K-250K</v>
      </c>
      <c r="D1183" t="s">
        <v>1061</v>
      </c>
      <c r="E1183" t="s">
        <v>99</v>
      </c>
      <c r="F1183" t="s">
        <v>668</v>
      </c>
      <c r="G1183" t="s">
        <v>59</v>
      </c>
      <c r="H1183">
        <v>2024</v>
      </c>
    </row>
    <row r="1184" spans="1:8" x14ac:dyDescent="0.2">
      <c r="A1184">
        <v>207272</v>
      </c>
      <c r="B1184">
        <v>232395</v>
      </c>
      <c r="C1184" t="str">
        <f t="shared" si="18"/>
        <v>4. $250K-1M</v>
      </c>
      <c r="D1184" t="s">
        <v>391</v>
      </c>
      <c r="E1184" t="s">
        <v>42</v>
      </c>
      <c r="F1184" t="s">
        <v>670</v>
      </c>
      <c r="G1184" t="s">
        <v>59</v>
      </c>
      <c r="H1184">
        <v>2024</v>
      </c>
    </row>
    <row r="1185" spans="1:8" x14ac:dyDescent="0.2">
      <c r="A1185">
        <v>207302</v>
      </c>
      <c r="B1185">
        <v>10000</v>
      </c>
      <c r="C1185" t="str">
        <f t="shared" si="18"/>
        <v>3. $50K-250K</v>
      </c>
      <c r="D1185" t="s">
        <v>827</v>
      </c>
      <c r="E1185" t="s">
        <v>368</v>
      </c>
      <c r="F1185" t="s">
        <v>670</v>
      </c>
      <c r="G1185" t="s">
        <v>44</v>
      </c>
      <c r="H1185">
        <v>2023</v>
      </c>
    </row>
    <row r="1186" spans="1:8" x14ac:dyDescent="0.2">
      <c r="A1186">
        <v>207315</v>
      </c>
      <c r="B1186">
        <v>16200</v>
      </c>
      <c r="C1186" t="str">
        <f t="shared" si="18"/>
        <v>2. $10K-50K</v>
      </c>
      <c r="D1186" t="s">
        <v>784</v>
      </c>
      <c r="E1186" t="s">
        <v>237</v>
      </c>
      <c r="F1186" t="s">
        <v>670</v>
      </c>
      <c r="G1186" t="s">
        <v>59</v>
      </c>
      <c r="H1186">
        <v>2023</v>
      </c>
    </row>
    <row r="1187" spans="1:8" x14ac:dyDescent="0.2">
      <c r="A1187">
        <v>207487</v>
      </c>
      <c r="B1187">
        <v>80617.3</v>
      </c>
      <c r="C1187" t="str">
        <f t="shared" si="18"/>
        <v>2. $10K-50K</v>
      </c>
      <c r="D1187" t="s">
        <v>713</v>
      </c>
      <c r="E1187" t="s">
        <v>237</v>
      </c>
      <c r="F1187" t="s">
        <v>670</v>
      </c>
      <c r="G1187" t="s">
        <v>59</v>
      </c>
      <c r="H1187">
        <v>2023</v>
      </c>
    </row>
    <row r="1188" spans="1:8" x14ac:dyDescent="0.2">
      <c r="A1188">
        <v>207537</v>
      </c>
      <c r="B1188">
        <v>2510927.1</v>
      </c>
      <c r="C1188" t="str">
        <f t="shared" si="18"/>
        <v>3. $50K-250K</v>
      </c>
      <c r="D1188" t="s">
        <v>137</v>
      </c>
      <c r="E1188" t="s">
        <v>8</v>
      </c>
      <c r="F1188" t="s">
        <v>9</v>
      </c>
      <c r="G1188" t="s">
        <v>10</v>
      </c>
      <c r="H1188">
        <v>2023</v>
      </c>
    </row>
    <row r="1189" spans="1:8" x14ac:dyDescent="0.2">
      <c r="A1189">
        <v>207560</v>
      </c>
      <c r="B1189">
        <v>2000000</v>
      </c>
      <c r="C1189" t="str">
        <f t="shared" si="18"/>
        <v>5. $1M+</v>
      </c>
      <c r="D1189" t="s">
        <v>792</v>
      </c>
      <c r="E1189" t="s">
        <v>42</v>
      </c>
      <c r="F1189" t="s">
        <v>668</v>
      </c>
      <c r="G1189" t="s">
        <v>59</v>
      </c>
      <c r="H1189">
        <v>2025</v>
      </c>
    </row>
    <row r="1190" spans="1:8" x14ac:dyDescent="0.2">
      <c r="A1190">
        <v>207796</v>
      </c>
      <c r="B1190">
        <v>57292.4</v>
      </c>
      <c r="C1190" t="str">
        <f t="shared" si="18"/>
        <v>5. $1M+</v>
      </c>
      <c r="D1190" t="s">
        <v>723</v>
      </c>
      <c r="E1190" t="s">
        <v>237</v>
      </c>
      <c r="F1190" t="s">
        <v>670</v>
      </c>
      <c r="G1190" t="s">
        <v>59</v>
      </c>
      <c r="H1190">
        <v>2023</v>
      </c>
    </row>
    <row r="1191" spans="1:8" x14ac:dyDescent="0.2">
      <c r="A1191">
        <v>207797</v>
      </c>
      <c r="B1191">
        <v>10176.799999999999</v>
      </c>
      <c r="C1191" t="str">
        <f t="shared" si="18"/>
        <v>3. $50K-250K</v>
      </c>
      <c r="D1191" t="s">
        <v>770</v>
      </c>
      <c r="E1191" t="s">
        <v>237</v>
      </c>
      <c r="F1191" t="s">
        <v>670</v>
      </c>
      <c r="G1191" t="s">
        <v>59</v>
      </c>
      <c r="H1191">
        <v>2023</v>
      </c>
    </row>
    <row r="1192" spans="1:8" x14ac:dyDescent="0.2">
      <c r="A1192">
        <v>207837</v>
      </c>
      <c r="B1192">
        <v>513111</v>
      </c>
      <c r="C1192" t="str">
        <f t="shared" si="18"/>
        <v>2. $10K-50K</v>
      </c>
      <c r="D1192" t="s">
        <v>910</v>
      </c>
      <c r="E1192" t="s">
        <v>237</v>
      </c>
      <c r="F1192" t="s">
        <v>670</v>
      </c>
      <c r="G1192" t="s">
        <v>59</v>
      </c>
      <c r="H1192">
        <v>2023</v>
      </c>
    </row>
    <row r="1193" spans="1:8" x14ac:dyDescent="0.2">
      <c r="A1193">
        <v>207915</v>
      </c>
      <c r="B1193">
        <v>4212668</v>
      </c>
      <c r="C1193" t="str">
        <f t="shared" si="18"/>
        <v>4. $250K-1M</v>
      </c>
      <c r="D1193" t="s">
        <v>749</v>
      </c>
      <c r="E1193" t="s">
        <v>42</v>
      </c>
      <c r="F1193" t="s">
        <v>670</v>
      </c>
      <c r="G1193" t="s">
        <v>44</v>
      </c>
      <c r="H1193">
        <v>2023</v>
      </c>
    </row>
    <row r="1194" spans="1:8" x14ac:dyDescent="0.2">
      <c r="A1194">
        <v>208222</v>
      </c>
      <c r="B1194">
        <v>550000</v>
      </c>
      <c r="C1194" t="str">
        <f t="shared" si="18"/>
        <v>5. $1M+</v>
      </c>
      <c r="D1194" t="s">
        <v>821</v>
      </c>
      <c r="E1194" t="s">
        <v>42</v>
      </c>
      <c r="F1194" t="s">
        <v>670</v>
      </c>
      <c r="G1194" t="s">
        <v>44</v>
      </c>
      <c r="H1194">
        <v>2023</v>
      </c>
    </row>
    <row r="1195" spans="1:8" x14ac:dyDescent="0.2">
      <c r="A1195">
        <v>208223</v>
      </c>
      <c r="B1195">
        <v>550000</v>
      </c>
      <c r="C1195" t="str">
        <f t="shared" si="18"/>
        <v>4. $250K-1M</v>
      </c>
      <c r="D1195" t="s">
        <v>929</v>
      </c>
      <c r="E1195" t="s">
        <v>42</v>
      </c>
      <c r="F1195" t="s">
        <v>670</v>
      </c>
      <c r="G1195" t="s">
        <v>44</v>
      </c>
      <c r="H1195">
        <v>2023</v>
      </c>
    </row>
    <row r="1196" spans="1:8" x14ac:dyDescent="0.2">
      <c r="A1196">
        <v>208224</v>
      </c>
      <c r="B1196">
        <v>550000</v>
      </c>
      <c r="C1196" t="str">
        <f t="shared" si="18"/>
        <v>4. $250K-1M</v>
      </c>
      <c r="D1196" t="s">
        <v>977</v>
      </c>
      <c r="E1196" t="s">
        <v>42</v>
      </c>
      <c r="F1196" t="s">
        <v>670</v>
      </c>
      <c r="G1196" t="s">
        <v>44</v>
      </c>
      <c r="H1196">
        <v>2023</v>
      </c>
    </row>
    <row r="1197" spans="1:8" x14ac:dyDescent="0.2">
      <c r="A1197">
        <v>208225</v>
      </c>
      <c r="B1197">
        <v>600000</v>
      </c>
      <c r="C1197" t="str">
        <f t="shared" si="18"/>
        <v>4. $250K-1M</v>
      </c>
      <c r="D1197" t="s">
        <v>1062</v>
      </c>
      <c r="E1197" t="s">
        <v>42</v>
      </c>
      <c r="F1197" t="s">
        <v>670</v>
      </c>
      <c r="G1197" t="s">
        <v>44</v>
      </c>
      <c r="H1197">
        <v>2023</v>
      </c>
    </row>
    <row r="1198" spans="1:8" x14ac:dyDescent="0.2">
      <c r="A1198">
        <v>208284</v>
      </c>
      <c r="B1198">
        <v>3839688.8</v>
      </c>
      <c r="C1198" t="str">
        <f t="shared" si="18"/>
        <v>4. $250K-1M</v>
      </c>
      <c r="D1198" t="s">
        <v>137</v>
      </c>
      <c r="E1198" t="s">
        <v>8</v>
      </c>
      <c r="F1198" t="s">
        <v>9</v>
      </c>
      <c r="G1198" t="s">
        <v>10</v>
      </c>
      <c r="H1198">
        <v>2023</v>
      </c>
    </row>
    <row r="1199" spans="1:8" x14ac:dyDescent="0.2">
      <c r="A1199">
        <v>208732</v>
      </c>
      <c r="B1199">
        <v>162000</v>
      </c>
      <c r="C1199" t="str">
        <f t="shared" si="18"/>
        <v>5. $1M+</v>
      </c>
      <c r="D1199" t="s">
        <v>715</v>
      </c>
      <c r="E1199" t="s">
        <v>237</v>
      </c>
      <c r="F1199" t="s">
        <v>670</v>
      </c>
      <c r="G1199" t="s">
        <v>59</v>
      </c>
      <c r="H1199">
        <v>2023</v>
      </c>
    </row>
    <row r="1200" spans="1:8" x14ac:dyDescent="0.2">
      <c r="A1200">
        <v>208745</v>
      </c>
      <c r="B1200">
        <v>405000</v>
      </c>
      <c r="C1200" t="str">
        <f t="shared" si="18"/>
        <v>3. $50K-250K</v>
      </c>
      <c r="D1200" t="s">
        <v>799</v>
      </c>
      <c r="E1200" t="s">
        <v>237</v>
      </c>
      <c r="F1200" t="s">
        <v>670</v>
      </c>
      <c r="G1200" t="s">
        <v>59</v>
      </c>
      <c r="H1200">
        <v>2023</v>
      </c>
    </row>
    <row r="1201" spans="1:8" x14ac:dyDescent="0.2">
      <c r="A1201">
        <v>208751</v>
      </c>
      <c r="B1201">
        <v>17192941</v>
      </c>
      <c r="C1201" t="str">
        <f t="shared" si="18"/>
        <v>4. $250K-1M</v>
      </c>
      <c r="D1201" t="s">
        <v>227</v>
      </c>
      <c r="E1201" t="s">
        <v>28</v>
      </c>
      <c r="F1201" t="s">
        <v>31</v>
      </c>
      <c r="G1201" t="s">
        <v>10</v>
      </c>
      <c r="H1201">
        <v>2023</v>
      </c>
    </row>
    <row r="1202" spans="1:8" x14ac:dyDescent="0.2">
      <c r="A1202">
        <v>208752</v>
      </c>
      <c r="B1202">
        <v>243000</v>
      </c>
      <c r="C1202" t="str">
        <f t="shared" si="18"/>
        <v>5. $1M+</v>
      </c>
      <c r="D1202" t="s">
        <v>783</v>
      </c>
      <c r="E1202" t="s">
        <v>237</v>
      </c>
      <c r="F1202" t="s">
        <v>670</v>
      </c>
      <c r="G1202" t="s">
        <v>59</v>
      </c>
      <c r="H1202">
        <v>2023</v>
      </c>
    </row>
    <row r="1203" spans="1:8" x14ac:dyDescent="0.2">
      <c r="A1203">
        <v>208755</v>
      </c>
      <c r="B1203">
        <v>162000</v>
      </c>
      <c r="C1203" t="str">
        <f t="shared" si="18"/>
        <v>3. $50K-250K</v>
      </c>
      <c r="D1203" t="s">
        <v>1046</v>
      </c>
      <c r="E1203" t="s">
        <v>237</v>
      </c>
      <c r="F1203" t="s">
        <v>670</v>
      </c>
      <c r="G1203" t="s">
        <v>59</v>
      </c>
      <c r="H1203">
        <v>2023</v>
      </c>
    </row>
    <row r="1204" spans="1:8" x14ac:dyDescent="0.2">
      <c r="A1204">
        <v>208756</v>
      </c>
      <c r="B1204">
        <v>194000</v>
      </c>
      <c r="C1204" t="str">
        <f t="shared" si="18"/>
        <v>3. $50K-250K</v>
      </c>
      <c r="D1204" t="s">
        <v>1063</v>
      </c>
      <c r="E1204" t="s">
        <v>237</v>
      </c>
      <c r="F1204" t="s">
        <v>670</v>
      </c>
      <c r="G1204" t="s">
        <v>59</v>
      </c>
      <c r="H1204">
        <v>2023</v>
      </c>
    </row>
    <row r="1205" spans="1:8" x14ac:dyDescent="0.2">
      <c r="A1205">
        <v>208763</v>
      </c>
      <c r="B1205">
        <v>891000</v>
      </c>
      <c r="C1205" t="str">
        <f t="shared" si="18"/>
        <v>3. $50K-250K</v>
      </c>
      <c r="D1205" t="s">
        <v>983</v>
      </c>
      <c r="E1205" t="s">
        <v>237</v>
      </c>
      <c r="F1205" t="s">
        <v>670</v>
      </c>
      <c r="G1205" t="s">
        <v>59</v>
      </c>
      <c r="H1205">
        <v>2023</v>
      </c>
    </row>
    <row r="1206" spans="1:8" x14ac:dyDescent="0.2">
      <c r="A1206">
        <v>208772</v>
      </c>
      <c r="B1206">
        <v>351000</v>
      </c>
      <c r="C1206" t="str">
        <f t="shared" si="18"/>
        <v>4. $250K-1M</v>
      </c>
      <c r="D1206" t="s">
        <v>719</v>
      </c>
      <c r="E1206" t="s">
        <v>237</v>
      </c>
      <c r="F1206" t="s">
        <v>670</v>
      </c>
      <c r="G1206" t="s">
        <v>59</v>
      </c>
      <c r="H1206">
        <v>2023</v>
      </c>
    </row>
    <row r="1207" spans="1:8" x14ac:dyDescent="0.2">
      <c r="A1207">
        <v>208775</v>
      </c>
      <c r="B1207">
        <v>297000</v>
      </c>
      <c r="C1207" t="str">
        <f t="shared" si="18"/>
        <v>4. $250K-1M</v>
      </c>
      <c r="D1207" t="s">
        <v>720</v>
      </c>
      <c r="E1207" t="s">
        <v>237</v>
      </c>
      <c r="F1207" t="s">
        <v>670</v>
      </c>
      <c r="G1207" t="s">
        <v>59</v>
      </c>
      <c r="H1207">
        <v>2023</v>
      </c>
    </row>
    <row r="1208" spans="1:8" x14ac:dyDescent="0.2">
      <c r="A1208">
        <v>208776</v>
      </c>
      <c r="B1208">
        <v>162000</v>
      </c>
      <c r="C1208" t="str">
        <f t="shared" si="18"/>
        <v>4. $250K-1M</v>
      </c>
      <c r="D1208" t="s">
        <v>721</v>
      </c>
      <c r="E1208" t="s">
        <v>237</v>
      </c>
      <c r="F1208" t="s">
        <v>670</v>
      </c>
      <c r="G1208" t="s">
        <v>59</v>
      </c>
      <c r="H1208">
        <v>2023</v>
      </c>
    </row>
    <row r="1209" spans="1:8" x14ac:dyDescent="0.2">
      <c r="A1209">
        <v>208777</v>
      </c>
      <c r="B1209">
        <v>162000</v>
      </c>
      <c r="C1209" t="str">
        <f t="shared" si="18"/>
        <v>3. $50K-250K</v>
      </c>
      <c r="D1209" t="s">
        <v>694</v>
      </c>
      <c r="E1209" t="s">
        <v>237</v>
      </c>
      <c r="F1209" t="s">
        <v>670</v>
      </c>
      <c r="G1209" t="s">
        <v>59</v>
      </c>
      <c r="H1209">
        <v>2023</v>
      </c>
    </row>
    <row r="1210" spans="1:8" x14ac:dyDescent="0.2">
      <c r="A1210">
        <v>208778</v>
      </c>
      <c r="B1210">
        <v>162000</v>
      </c>
      <c r="C1210" t="str">
        <f t="shared" si="18"/>
        <v>3. $50K-250K</v>
      </c>
      <c r="D1210" t="s">
        <v>937</v>
      </c>
      <c r="E1210" t="s">
        <v>237</v>
      </c>
      <c r="F1210" t="s">
        <v>670</v>
      </c>
      <c r="G1210" t="s">
        <v>59</v>
      </c>
      <c r="H1210">
        <v>2023</v>
      </c>
    </row>
    <row r="1211" spans="1:8" x14ac:dyDescent="0.2">
      <c r="A1211">
        <v>208779</v>
      </c>
      <c r="B1211">
        <v>162000</v>
      </c>
      <c r="C1211" t="str">
        <f t="shared" si="18"/>
        <v>3. $50K-250K</v>
      </c>
      <c r="D1211" t="s">
        <v>1064</v>
      </c>
      <c r="E1211" t="s">
        <v>237</v>
      </c>
      <c r="F1211" t="s">
        <v>670</v>
      </c>
      <c r="G1211" t="s">
        <v>59</v>
      </c>
      <c r="H1211">
        <v>2023</v>
      </c>
    </row>
    <row r="1212" spans="1:8" x14ac:dyDescent="0.2">
      <c r="A1212">
        <v>208781</v>
      </c>
      <c r="B1212">
        <v>162000</v>
      </c>
      <c r="C1212" t="str">
        <f t="shared" si="18"/>
        <v>3. $50K-250K</v>
      </c>
      <c r="D1212" t="s">
        <v>674</v>
      </c>
      <c r="E1212" t="s">
        <v>237</v>
      </c>
      <c r="F1212" t="s">
        <v>670</v>
      </c>
      <c r="G1212" t="s">
        <v>59</v>
      </c>
      <c r="H1212">
        <v>2023</v>
      </c>
    </row>
    <row r="1213" spans="1:8" x14ac:dyDescent="0.2">
      <c r="A1213">
        <v>208783</v>
      </c>
      <c r="B1213">
        <v>243000</v>
      </c>
      <c r="C1213" t="str">
        <f t="shared" si="18"/>
        <v>3. $50K-250K</v>
      </c>
      <c r="D1213" t="s">
        <v>1065</v>
      </c>
      <c r="E1213" t="s">
        <v>237</v>
      </c>
      <c r="F1213" t="s">
        <v>670</v>
      </c>
      <c r="G1213" t="s">
        <v>59</v>
      </c>
      <c r="H1213">
        <v>2023</v>
      </c>
    </row>
    <row r="1214" spans="1:8" x14ac:dyDescent="0.2">
      <c r="A1214">
        <v>208785</v>
      </c>
      <c r="B1214">
        <v>162000</v>
      </c>
      <c r="C1214" t="str">
        <f t="shared" si="18"/>
        <v>3. $50K-250K</v>
      </c>
      <c r="D1214" t="s">
        <v>919</v>
      </c>
      <c r="E1214" t="s">
        <v>237</v>
      </c>
      <c r="F1214" t="s">
        <v>670</v>
      </c>
      <c r="G1214" t="s">
        <v>59</v>
      </c>
      <c r="H1214">
        <v>2023</v>
      </c>
    </row>
    <row r="1215" spans="1:8" x14ac:dyDescent="0.2">
      <c r="A1215">
        <v>208786</v>
      </c>
      <c r="B1215">
        <v>162000</v>
      </c>
      <c r="C1215" t="str">
        <f t="shared" si="18"/>
        <v>3. $50K-250K</v>
      </c>
      <c r="D1215" t="s">
        <v>1066</v>
      </c>
      <c r="E1215" t="s">
        <v>237</v>
      </c>
      <c r="F1215" t="s">
        <v>670</v>
      </c>
      <c r="G1215" t="s">
        <v>59</v>
      </c>
      <c r="H1215">
        <v>2023</v>
      </c>
    </row>
    <row r="1216" spans="1:8" x14ac:dyDescent="0.2">
      <c r="A1216">
        <v>208787</v>
      </c>
      <c r="B1216">
        <v>1701000</v>
      </c>
      <c r="C1216" t="str">
        <f t="shared" si="18"/>
        <v>3. $50K-250K</v>
      </c>
      <c r="D1216" t="s">
        <v>697</v>
      </c>
      <c r="E1216" t="s">
        <v>237</v>
      </c>
      <c r="F1216" t="s">
        <v>670</v>
      </c>
      <c r="G1216" t="s">
        <v>59</v>
      </c>
      <c r="H1216">
        <v>2023</v>
      </c>
    </row>
    <row r="1217" spans="1:8" x14ac:dyDescent="0.2">
      <c r="A1217">
        <v>208788</v>
      </c>
      <c r="B1217">
        <v>162000</v>
      </c>
      <c r="C1217" t="str">
        <f t="shared" si="18"/>
        <v>5. $1M+</v>
      </c>
      <c r="D1217" t="s">
        <v>1067</v>
      </c>
      <c r="E1217" t="s">
        <v>237</v>
      </c>
      <c r="F1217" t="s">
        <v>670</v>
      </c>
      <c r="G1217" t="s">
        <v>59</v>
      </c>
      <c r="H1217">
        <v>2023</v>
      </c>
    </row>
    <row r="1218" spans="1:8" x14ac:dyDescent="0.2">
      <c r="A1218">
        <v>208790</v>
      </c>
      <c r="B1218">
        <v>162000</v>
      </c>
      <c r="C1218" t="str">
        <f t="shared" si="18"/>
        <v>3. $50K-250K</v>
      </c>
      <c r="D1218" t="s">
        <v>1068</v>
      </c>
      <c r="E1218" t="s">
        <v>237</v>
      </c>
      <c r="F1218" t="s">
        <v>670</v>
      </c>
      <c r="G1218" t="s">
        <v>59</v>
      </c>
      <c r="H1218">
        <v>2023</v>
      </c>
    </row>
    <row r="1219" spans="1:8" x14ac:dyDescent="0.2">
      <c r="A1219">
        <v>208791</v>
      </c>
      <c r="B1219">
        <v>648000</v>
      </c>
      <c r="C1219" t="str">
        <f t="shared" ref="C1219:C1282" si="19">IF(B1218&lt;10000,"1. Under $10K",IF(B1218&lt;50000,"2. $10K-50K",IF(B1218&lt;250000,"3. $50K-250K",IF(B1218&lt;1000000,"4. $250K-1M","5. $1M+"))))</f>
        <v>3. $50K-250K</v>
      </c>
      <c r="D1219" t="s">
        <v>726</v>
      </c>
      <c r="E1219" t="s">
        <v>237</v>
      </c>
      <c r="F1219" t="s">
        <v>670</v>
      </c>
      <c r="G1219" t="s">
        <v>59</v>
      </c>
      <c r="H1219">
        <v>2023</v>
      </c>
    </row>
    <row r="1220" spans="1:8" x14ac:dyDescent="0.2">
      <c r="A1220">
        <v>208792</v>
      </c>
      <c r="B1220">
        <v>162000</v>
      </c>
      <c r="C1220" t="str">
        <f t="shared" si="19"/>
        <v>4. $250K-1M</v>
      </c>
      <c r="D1220" t="s">
        <v>920</v>
      </c>
      <c r="E1220" t="s">
        <v>237</v>
      </c>
      <c r="F1220" t="s">
        <v>670</v>
      </c>
      <c r="G1220" t="s">
        <v>59</v>
      </c>
      <c r="H1220">
        <v>2023</v>
      </c>
    </row>
    <row r="1221" spans="1:8" x14ac:dyDescent="0.2">
      <c r="A1221">
        <v>208793</v>
      </c>
      <c r="B1221">
        <v>162000</v>
      </c>
      <c r="C1221" t="str">
        <f t="shared" si="19"/>
        <v>3. $50K-250K</v>
      </c>
      <c r="D1221" t="s">
        <v>698</v>
      </c>
      <c r="E1221" t="s">
        <v>237</v>
      </c>
      <c r="F1221" t="s">
        <v>670</v>
      </c>
      <c r="G1221" t="s">
        <v>59</v>
      </c>
      <c r="H1221">
        <v>2023</v>
      </c>
    </row>
    <row r="1222" spans="1:8" x14ac:dyDescent="0.2">
      <c r="A1222">
        <v>208794</v>
      </c>
      <c r="B1222">
        <v>162000</v>
      </c>
      <c r="C1222" t="str">
        <f t="shared" si="19"/>
        <v>3. $50K-250K</v>
      </c>
      <c r="D1222" t="s">
        <v>1069</v>
      </c>
      <c r="E1222" t="s">
        <v>237</v>
      </c>
      <c r="F1222" t="s">
        <v>670</v>
      </c>
      <c r="G1222" t="s">
        <v>59</v>
      </c>
      <c r="H1222">
        <v>2023</v>
      </c>
    </row>
    <row r="1223" spans="1:8" x14ac:dyDescent="0.2">
      <c r="A1223">
        <v>208795</v>
      </c>
      <c r="B1223">
        <v>162000</v>
      </c>
      <c r="C1223" t="str">
        <f t="shared" si="19"/>
        <v>3. $50K-250K</v>
      </c>
      <c r="D1223" t="s">
        <v>908</v>
      </c>
      <c r="E1223" t="s">
        <v>237</v>
      </c>
      <c r="F1223" t="s">
        <v>670</v>
      </c>
      <c r="G1223" t="s">
        <v>59</v>
      </c>
      <c r="H1223">
        <v>2023</v>
      </c>
    </row>
    <row r="1224" spans="1:8" x14ac:dyDescent="0.2">
      <c r="A1224">
        <v>208796</v>
      </c>
      <c r="B1224">
        <v>162000</v>
      </c>
      <c r="C1224" t="str">
        <f t="shared" si="19"/>
        <v>3. $50K-250K</v>
      </c>
      <c r="D1224" t="s">
        <v>701</v>
      </c>
      <c r="E1224" t="s">
        <v>237</v>
      </c>
      <c r="F1224" t="s">
        <v>670</v>
      </c>
      <c r="G1224" t="s">
        <v>59</v>
      </c>
      <c r="H1224">
        <v>2023</v>
      </c>
    </row>
    <row r="1225" spans="1:8" x14ac:dyDescent="0.2">
      <c r="A1225">
        <v>208797</v>
      </c>
      <c r="B1225">
        <v>162000</v>
      </c>
      <c r="C1225" t="str">
        <f t="shared" si="19"/>
        <v>3. $50K-250K</v>
      </c>
      <c r="D1225" t="s">
        <v>702</v>
      </c>
      <c r="E1225" t="s">
        <v>237</v>
      </c>
      <c r="F1225" t="s">
        <v>670</v>
      </c>
      <c r="G1225" t="s">
        <v>59</v>
      </c>
      <c r="H1225">
        <v>2023</v>
      </c>
    </row>
    <row r="1226" spans="1:8" x14ac:dyDescent="0.2">
      <c r="A1226">
        <v>208800</v>
      </c>
      <c r="B1226">
        <v>810000</v>
      </c>
      <c r="C1226" t="str">
        <f t="shared" si="19"/>
        <v>3. $50K-250K</v>
      </c>
      <c r="D1226" t="s">
        <v>985</v>
      </c>
      <c r="E1226" t="s">
        <v>237</v>
      </c>
      <c r="F1226" t="s">
        <v>670</v>
      </c>
      <c r="G1226" t="s">
        <v>59</v>
      </c>
      <c r="H1226">
        <v>2023</v>
      </c>
    </row>
    <row r="1227" spans="1:8" x14ac:dyDescent="0.2">
      <c r="A1227">
        <v>208801</v>
      </c>
      <c r="B1227">
        <v>162000</v>
      </c>
      <c r="C1227" t="str">
        <f t="shared" si="19"/>
        <v>4. $250K-1M</v>
      </c>
      <c r="D1227" t="s">
        <v>737</v>
      </c>
      <c r="E1227" t="s">
        <v>237</v>
      </c>
      <c r="F1227" t="s">
        <v>670</v>
      </c>
      <c r="G1227" t="s">
        <v>59</v>
      </c>
      <c r="H1227">
        <v>2023</v>
      </c>
    </row>
    <row r="1228" spans="1:8" x14ac:dyDescent="0.2">
      <c r="A1228">
        <v>208802</v>
      </c>
      <c r="B1228">
        <v>162000</v>
      </c>
      <c r="C1228" t="str">
        <f t="shared" si="19"/>
        <v>3. $50K-250K</v>
      </c>
      <c r="D1228" t="s">
        <v>909</v>
      </c>
      <c r="E1228" t="s">
        <v>237</v>
      </c>
      <c r="F1228" t="s">
        <v>670</v>
      </c>
      <c r="G1228" t="s">
        <v>59</v>
      </c>
      <c r="H1228">
        <v>2023</v>
      </c>
    </row>
    <row r="1229" spans="1:8" x14ac:dyDescent="0.2">
      <c r="A1229">
        <v>208803</v>
      </c>
      <c r="B1229">
        <v>216000</v>
      </c>
      <c r="C1229" t="str">
        <f t="shared" si="19"/>
        <v>3. $50K-250K</v>
      </c>
      <c r="D1229" t="s">
        <v>1070</v>
      </c>
      <c r="E1229" t="s">
        <v>237</v>
      </c>
      <c r="F1229" t="s">
        <v>670</v>
      </c>
      <c r="G1229" t="s">
        <v>59</v>
      </c>
      <c r="H1229">
        <v>2023</v>
      </c>
    </row>
    <row r="1230" spans="1:8" x14ac:dyDescent="0.2">
      <c r="A1230">
        <v>208805</v>
      </c>
      <c r="B1230">
        <v>162000</v>
      </c>
      <c r="C1230" t="str">
        <f t="shared" si="19"/>
        <v>3. $50K-250K</v>
      </c>
      <c r="D1230" t="s">
        <v>987</v>
      </c>
      <c r="E1230" t="s">
        <v>237</v>
      </c>
      <c r="F1230" t="s">
        <v>670</v>
      </c>
      <c r="G1230" t="s">
        <v>59</v>
      </c>
      <c r="H1230">
        <v>2023</v>
      </c>
    </row>
    <row r="1231" spans="1:8" x14ac:dyDescent="0.2">
      <c r="A1231">
        <v>208808</v>
      </c>
      <c r="B1231">
        <v>162000</v>
      </c>
      <c r="C1231" t="str">
        <f t="shared" si="19"/>
        <v>3. $50K-250K</v>
      </c>
      <c r="D1231" t="s">
        <v>1071</v>
      </c>
      <c r="E1231" t="s">
        <v>237</v>
      </c>
      <c r="F1231" t="s">
        <v>670</v>
      </c>
      <c r="G1231" t="s">
        <v>59</v>
      </c>
      <c r="H1231">
        <v>2023</v>
      </c>
    </row>
    <row r="1232" spans="1:8" x14ac:dyDescent="0.2">
      <c r="A1232">
        <v>208810</v>
      </c>
      <c r="B1232">
        <v>5166</v>
      </c>
      <c r="C1232" t="str">
        <f t="shared" si="19"/>
        <v>3. $50K-250K</v>
      </c>
      <c r="D1232" t="s">
        <v>1072</v>
      </c>
      <c r="E1232" t="s">
        <v>237</v>
      </c>
      <c r="F1232" t="s">
        <v>670</v>
      </c>
      <c r="G1232" t="s">
        <v>59</v>
      </c>
      <c r="H1232">
        <v>2023</v>
      </c>
    </row>
    <row r="1233" spans="1:8" x14ac:dyDescent="0.2">
      <c r="A1233">
        <v>208812</v>
      </c>
      <c r="B1233">
        <v>194000</v>
      </c>
      <c r="C1233" t="str">
        <f t="shared" si="19"/>
        <v>1. Under $10K</v>
      </c>
      <c r="D1233" t="s">
        <v>1073</v>
      </c>
      <c r="E1233" t="s">
        <v>237</v>
      </c>
      <c r="F1233" t="s">
        <v>670</v>
      </c>
      <c r="G1233" t="s">
        <v>59</v>
      </c>
      <c r="H1233">
        <v>2023</v>
      </c>
    </row>
    <row r="1234" spans="1:8" x14ac:dyDescent="0.2">
      <c r="A1234">
        <v>208813</v>
      </c>
      <c r="B1234">
        <v>243000</v>
      </c>
      <c r="C1234" t="str">
        <f t="shared" si="19"/>
        <v>3. $50K-250K</v>
      </c>
      <c r="D1234" t="s">
        <v>707</v>
      </c>
      <c r="E1234" t="s">
        <v>237</v>
      </c>
      <c r="F1234" t="s">
        <v>670</v>
      </c>
      <c r="G1234" t="s">
        <v>59</v>
      </c>
      <c r="H1234">
        <v>2023</v>
      </c>
    </row>
    <row r="1235" spans="1:8" x14ac:dyDescent="0.2">
      <c r="A1235">
        <v>208814</v>
      </c>
      <c r="B1235">
        <v>243000</v>
      </c>
      <c r="C1235" t="str">
        <f t="shared" si="19"/>
        <v>3. $50K-250K</v>
      </c>
      <c r="D1235" t="s">
        <v>801</v>
      </c>
      <c r="E1235" t="s">
        <v>237</v>
      </c>
      <c r="F1235" t="s">
        <v>670</v>
      </c>
      <c r="G1235" t="s">
        <v>59</v>
      </c>
      <c r="H1235">
        <v>2023</v>
      </c>
    </row>
    <row r="1236" spans="1:8" x14ac:dyDescent="0.2">
      <c r="A1236">
        <v>208815</v>
      </c>
      <c r="B1236">
        <v>567000</v>
      </c>
      <c r="C1236" t="str">
        <f t="shared" si="19"/>
        <v>3. $50K-250K</v>
      </c>
      <c r="D1236" t="s">
        <v>1074</v>
      </c>
      <c r="E1236" t="s">
        <v>237</v>
      </c>
      <c r="F1236" t="s">
        <v>670</v>
      </c>
      <c r="G1236" t="s">
        <v>59</v>
      </c>
      <c r="H1236">
        <v>2023</v>
      </c>
    </row>
    <row r="1237" spans="1:8" x14ac:dyDescent="0.2">
      <c r="A1237">
        <v>208816</v>
      </c>
      <c r="B1237">
        <v>405000</v>
      </c>
      <c r="C1237" t="str">
        <f t="shared" si="19"/>
        <v>4. $250K-1M</v>
      </c>
      <c r="D1237" t="s">
        <v>990</v>
      </c>
      <c r="E1237" t="s">
        <v>237</v>
      </c>
      <c r="F1237" t="s">
        <v>670</v>
      </c>
      <c r="G1237" t="s">
        <v>59</v>
      </c>
      <c r="H1237">
        <v>2023</v>
      </c>
    </row>
    <row r="1238" spans="1:8" x14ac:dyDescent="0.2">
      <c r="A1238">
        <v>208817</v>
      </c>
      <c r="B1238">
        <v>162000</v>
      </c>
      <c r="C1238" t="str">
        <f t="shared" si="19"/>
        <v>4. $250K-1M</v>
      </c>
      <c r="D1238" t="s">
        <v>1075</v>
      </c>
      <c r="E1238" t="s">
        <v>237</v>
      </c>
      <c r="F1238" t="s">
        <v>670</v>
      </c>
      <c r="G1238" t="s">
        <v>59</v>
      </c>
      <c r="H1238">
        <v>2023</v>
      </c>
    </row>
    <row r="1239" spans="1:8" x14ac:dyDescent="0.2">
      <c r="A1239">
        <v>208818</v>
      </c>
      <c r="B1239">
        <v>324000</v>
      </c>
      <c r="C1239" t="str">
        <f t="shared" si="19"/>
        <v>3. $50K-250K</v>
      </c>
      <c r="D1239" t="s">
        <v>708</v>
      </c>
      <c r="E1239" t="s">
        <v>237</v>
      </c>
      <c r="F1239" t="s">
        <v>670</v>
      </c>
      <c r="G1239" t="s">
        <v>59</v>
      </c>
      <c r="H1239">
        <v>2023</v>
      </c>
    </row>
    <row r="1240" spans="1:8" x14ac:dyDescent="0.2">
      <c r="A1240">
        <v>208819</v>
      </c>
      <c r="B1240">
        <v>162000</v>
      </c>
      <c r="C1240" t="str">
        <f t="shared" si="19"/>
        <v>4. $250K-1M</v>
      </c>
      <c r="D1240" t="s">
        <v>1076</v>
      </c>
      <c r="E1240" t="s">
        <v>237</v>
      </c>
      <c r="F1240" t="s">
        <v>670</v>
      </c>
      <c r="G1240" t="s">
        <v>59</v>
      </c>
      <c r="H1240">
        <v>2023</v>
      </c>
    </row>
    <row r="1241" spans="1:8" x14ac:dyDescent="0.2">
      <c r="A1241">
        <v>208820</v>
      </c>
      <c r="B1241">
        <v>243000</v>
      </c>
      <c r="C1241" t="str">
        <f t="shared" si="19"/>
        <v>3. $50K-250K</v>
      </c>
      <c r="D1241" t="s">
        <v>679</v>
      </c>
      <c r="E1241" t="s">
        <v>237</v>
      </c>
      <c r="F1241" t="s">
        <v>670</v>
      </c>
      <c r="G1241" t="s">
        <v>59</v>
      </c>
      <c r="H1241">
        <v>2023</v>
      </c>
    </row>
    <row r="1242" spans="1:8" x14ac:dyDescent="0.2">
      <c r="A1242">
        <v>208829</v>
      </c>
      <c r="B1242">
        <v>324000</v>
      </c>
      <c r="C1242" t="str">
        <f t="shared" si="19"/>
        <v>3. $50K-250K</v>
      </c>
      <c r="D1242" t="s">
        <v>1077</v>
      </c>
      <c r="E1242" t="s">
        <v>237</v>
      </c>
      <c r="F1242" t="s">
        <v>670</v>
      </c>
      <c r="G1242" t="s">
        <v>59</v>
      </c>
      <c r="H1242">
        <v>2023</v>
      </c>
    </row>
    <row r="1243" spans="1:8" x14ac:dyDescent="0.2">
      <c r="A1243">
        <v>208830</v>
      </c>
      <c r="B1243">
        <v>162000</v>
      </c>
      <c r="C1243" t="str">
        <f t="shared" si="19"/>
        <v>4. $250K-1M</v>
      </c>
      <c r="D1243" t="s">
        <v>775</v>
      </c>
      <c r="E1243" t="s">
        <v>237</v>
      </c>
      <c r="F1243" t="s">
        <v>670</v>
      </c>
      <c r="G1243" t="s">
        <v>59</v>
      </c>
      <c r="H1243">
        <v>2023</v>
      </c>
    </row>
    <row r="1244" spans="1:8" x14ac:dyDescent="0.2">
      <c r="A1244">
        <v>208832</v>
      </c>
      <c r="B1244">
        <v>324000</v>
      </c>
      <c r="C1244" t="str">
        <f t="shared" si="19"/>
        <v>3. $50K-250K</v>
      </c>
      <c r="D1244" t="s">
        <v>1078</v>
      </c>
      <c r="E1244" t="s">
        <v>237</v>
      </c>
      <c r="F1244" t="s">
        <v>670</v>
      </c>
      <c r="G1244" t="s">
        <v>59</v>
      </c>
      <c r="H1244">
        <v>2023</v>
      </c>
    </row>
    <row r="1245" spans="1:8" x14ac:dyDescent="0.2">
      <c r="A1245">
        <v>208834</v>
      </c>
      <c r="B1245">
        <v>162000</v>
      </c>
      <c r="C1245" t="str">
        <f t="shared" si="19"/>
        <v>4. $250K-1M</v>
      </c>
      <c r="D1245" t="s">
        <v>911</v>
      </c>
      <c r="E1245" t="s">
        <v>237</v>
      </c>
      <c r="F1245" t="s">
        <v>670</v>
      </c>
      <c r="G1245" t="s">
        <v>59</v>
      </c>
      <c r="H1245">
        <v>2023</v>
      </c>
    </row>
    <row r="1246" spans="1:8" x14ac:dyDescent="0.2">
      <c r="A1246">
        <v>208835</v>
      </c>
      <c r="B1246">
        <v>162000</v>
      </c>
      <c r="C1246" t="str">
        <f t="shared" si="19"/>
        <v>3. $50K-250K</v>
      </c>
      <c r="D1246" t="s">
        <v>926</v>
      </c>
      <c r="E1246" t="s">
        <v>237</v>
      </c>
      <c r="F1246" t="s">
        <v>670</v>
      </c>
      <c r="G1246" t="s">
        <v>59</v>
      </c>
      <c r="H1246">
        <v>2023</v>
      </c>
    </row>
    <row r="1247" spans="1:8" x14ac:dyDescent="0.2">
      <c r="A1247">
        <v>208836</v>
      </c>
      <c r="B1247">
        <v>324000</v>
      </c>
      <c r="C1247" t="str">
        <f t="shared" si="19"/>
        <v>3. $50K-250K</v>
      </c>
      <c r="D1247" t="s">
        <v>839</v>
      </c>
      <c r="E1247" t="s">
        <v>237</v>
      </c>
      <c r="F1247" t="s">
        <v>670</v>
      </c>
      <c r="G1247" t="s">
        <v>59</v>
      </c>
      <c r="H1247">
        <v>2023</v>
      </c>
    </row>
    <row r="1248" spans="1:8" x14ac:dyDescent="0.2">
      <c r="A1248">
        <v>208837</v>
      </c>
      <c r="B1248">
        <v>162000</v>
      </c>
      <c r="C1248" t="str">
        <f t="shared" si="19"/>
        <v>4. $250K-1M</v>
      </c>
      <c r="D1248" t="s">
        <v>712</v>
      </c>
      <c r="E1248" t="s">
        <v>237</v>
      </c>
      <c r="F1248" t="s">
        <v>670</v>
      </c>
      <c r="G1248" t="s">
        <v>59</v>
      </c>
      <c r="H1248">
        <v>2023</v>
      </c>
    </row>
    <row r="1249" spans="1:8" x14ac:dyDescent="0.2">
      <c r="A1249">
        <v>208839</v>
      </c>
      <c r="B1249">
        <v>162000</v>
      </c>
      <c r="C1249" t="str">
        <f t="shared" si="19"/>
        <v>3. $50K-250K</v>
      </c>
      <c r="D1249" t="s">
        <v>1079</v>
      </c>
      <c r="E1249" t="s">
        <v>237</v>
      </c>
      <c r="F1249" t="s">
        <v>670</v>
      </c>
      <c r="G1249" t="s">
        <v>59</v>
      </c>
      <c r="H1249">
        <v>2023</v>
      </c>
    </row>
    <row r="1250" spans="1:8" x14ac:dyDescent="0.2">
      <c r="A1250">
        <v>208840</v>
      </c>
      <c r="B1250">
        <v>162000</v>
      </c>
      <c r="C1250" t="str">
        <f t="shared" si="19"/>
        <v>3. $50K-250K</v>
      </c>
      <c r="D1250" t="s">
        <v>1080</v>
      </c>
      <c r="E1250" t="s">
        <v>237</v>
      </c>
      <c r="F1250" t="s">
        <v>670</v>
      </c>
      <c r="G1250" t="s">
        <v>59</v>
      </c>
      <c r="H1250">
        <v>2023</v>
      </c>
    </row>
    <row r="1251" spans="1:8" x14ac:dyDescent="0.2">
      <c r="A1251">
        <v>208841</v>
      </c>
      <c r="B1251">
        <v>162000</v>
      </c>
      <c r="C1251" t="str">
        <f t="shared" si="19"/>
        <v>3. $50K-250K</v>
      </c>
      <c r="D1251" t="s">
        <v>1081</v>
      </c>
      <c r="E1251" t="s">
        <v>237</v>
      </c>
      <c r="F1251" t="s">
        <v>670</v>
      </c>
      <c r="G1251" t="s">
        <v>59</v>
      </c>
      <c r="H1251">
        <v>2023</v>
      </c>
    </row>
    <row r="1252" spans="1:8" x14ac:dyDescent="0.2">
      <c r="A1252">
        <v>208842</v>
      </c>
      <c r="B1252">
        <v>162000</v>
      </c>
      <c r="C1252" t="str">
        <f t="shared" si="19"/>
        <v>3. $50K-250K</v>
      </c>
      <c r="D1252" t="s">
        <v>1082</v>
      </c>
      <c r="E1252" t="s">
        <v>237</v>
      </c>
      <c r="F1252" t="s">
        <v>670</v>
      </c>
      <c r="G1252" t="s">
        <v>59</v>
      </c>
      <c r="H1252">
        <v>2023</v>
      </c>
    </row>
    <row r="1253" spans="1:8" x14ac:dyDescent="0.2">
      <c r="A1253">
        <v>208843</v>
      </c>
      <c r="B1253">
        <v>2944000</v>
      </c>
      <c r="C1253" t="str">
        <f t="shared" si="19"/>
        <v>3. $50K-250K</v>
      </c>
      <c r="D1253" t="s">
        <v>713</v>
      </c>
      <c r="E1253" t="s">
        <v>237</v>
      </c>
      <c r="F1253" t="s">
        <v>670</v>
      </c>
      <c r="G1253" t="s">
        <v>59</v>
      </c>
      <c r="H1253">
        <v>2023</v>
      </c>
    </row>
    <row r="1254" spans="1:8" x14ac:dyDescent="0.2">
      <c r="A1254">
        <v>208844</v>
      </c>
      <c r="B1254">
        <v>189000</v>
      </c>
      <c r="C1254" t="str">
        <f t="shared" si="19"/>
        <v>5. $1M+</v>
      </c>
      <c r="D1254" t="s">
        <v>1083</v>
      </c>
      <c r="E1254" t="s">
        <v>237</v>
      </c>
      <c r="F1254" t="s">
        <v>670</v>
      </c>
      <c r="G1254" t="s">
        <v>59</v>
      </c>
      <c r="H1254">
        <v>2023</v>
      </c>
    </row>
    <row r="1255" spans="1:8" x14ac:dyDescent="0.2">
      <c r="A1255">
        <v>208845</v>
      </c>
      <c r="B1255">
        <v>162000</v>
      </c>
      <c r="C1255" t="str">
        <f t="shared" si="19"/>
        <v>3. $50K-250K</v>
      </c>
      <c r="D1255" t="s">
        <v>1084</v>
      </c>
      <c r="E1255" t="s">
        <v>237</v>
      </c>
      <c r="F1255" t="s">
        <v>670</v>
      </c>
      <c r="G1255" t="s">
        <v>59</v>
      </c>
      <c r="H1255">
        <v>2023</v>
      </c>
    </row>
    <row r="1256" spans="1:8" x14ac:dyDescent="0.2">
      <c r="A1256">
        <v>208846</v>
      </c>
      <c r="B1256">
        <v>2349340</v>
      </c>
      <c r="C1256" t="str">
        <f t="shared" si="19"/>
        <v>3. $50K-250K</v>
      </c>
      <c r="D1256" t="s">
        <v>1085</v>
      </c>
      <c r="E1256" t="s">
        <v>28</v>
      </c>
      <c r="F1256" t="s">
        <v>668</v>
      </c>
      <c r="G1256" t="s">
        <v>59</v>
      </c>
      <c r="H1256">
        <v>2023</v>
      </c>
    </row>
    <row r="1257" spans="1:8" x14ac:dyDescent="0.2">
      <c r="A1257">
        <v>208864</v>
      </c>
      <c r="B1257">
        <v>3586</v>
      </c>
      <c r="C1257" t="str">
        <f t="shared" si="19"/>
        <v>5. $1M+</v>
      </c>
      <c r="D1257" t="s">
        <v>1086</v>
      </c>
      <c r="E1257" t="s">
        <v>368</v>
      </c>
      <c r="F1257" t="s">
        <v>670</v>
      </c>
      <c r="G1257" t="s">
        <v>59</v>
      </c>
      <c r="H1257">
        <v>2023</v>
      </c>
    </row>
    <row r="1258" spans="1:8" x14ac:dyDescent="0.2">
      <c r="A1258">
        <v>208938</v>
      </c>
      <c r="B1258">
        <v>458541</v>
      </c>
      <c r="C1258" t="str">
        <f t="shared" si="19"/>
        <v>1. Under $10K</v>
      </c>
      <c r="D1258" t="s">
        <v>801</v>
      </c>
      <c r="E1258" t="s">
        <v>237</v>
      </c>
      <c r="F1258" t="s">
        <v>670</v>
      </c>
      <c r="G1258" t="s">
        <v>59</v>
      </c>
      <c r="H1258">
        <v>2023</v>
      </c>
    </row>
    <row r="1259" spans="1:8" x14ac:dyDescent="0.2">
      <c r="A1259">
        <v>208951</v>
      </c>
      <c r="B1259">
        <v>105000</v>
      </c>
      <c r="C1259" t="str">
        <f t="shared" si="19"/>
        <v>4. $250K-1M</v>
      </c>
      <c r="D1259" t="s">
        <v>1087</v>
      </c>
      <c r="E1259" t="s">
        <v>59</v>
      </c>
      <c r="F1259" t="s">
        <v>670</v>
      </c>
      <c r="G1259" t="s">
        <v>59</v>
      </c>
      <c r="H1259">
        <v>2023</v>
      </c>
    </row>
    <row r="1260" spans="1:8" x14ac:dyDescent="0.2">
      <c r="A1260">
        <v>209078</v>
      </c>
      <c r="B1260">
        <v>9375760</v>
      </c>
      <c r="C1260" t="str">
        <f t="shared" si="19"/>
        <v>3. $50K-250K</v>
      </c>
      <c r="D1260" t="s">
        <v>1088</v>
      </c>
      <c r="E1260" t="s">
        <v>237</v>
      </c>
      <c r="F1260" t="s">
        <v>670</v>
      </c>
      <c r="G1260" t="s">
        <v>59</v>
      </c>
      <c r="H1260">
        <v>2023</v>
      </c>
    </row>
    <row r="1261" spans="1:8" x14ac:dyDescent="0.2">
      <c r="A1261">
        <v>209202</v>
      </c>
      <c r="B1261">
        <v>586624</v>
      </c>
      <c r="C1261" t="str">
        <f t="shared" si="19"/>
        <v>5. $1M+</v>
      </c>
      <c r="D1261" t="s">
        <v>1089</v>
      </c>
      <c r="E1261" t="s">
        <v>237</v>
      </c>
      <c r="F1261" t="s">
        <v>670</v>
      </c>
      <c r="G1261" t="s">
        <v>59</v>
      </c>
      <c r="H1261">
        <v>2023</v>
      </c>
    </row>
    <row r="1262" spans="1:8" x14ac:dyDescent="0.2">
      <c r="A1262">
        <v>209204</v>
      </c>
      <c r="B1262">
        <v>2000000</v>
      </c>
      <c r="C1262" t="str">
        <f t="shared" si="19"/>
        <v>4. $250K-1M</v>
      </c>
      <c r="D1262" t="s">
        <v>228</v>
      </c>
      <c r="E1262" t="s">
        <v>42</v>
      </c>
      <c r="F1262" t="s">
        <v>43</v>
      </c>
      <c r="G1262" t="s">
        <v>44</v>
      </c>
      <c r="H1262">
        <v>2023</v>
      </c>
    </row>
    <row r="1263" spans="1:8" x14ac:dyDescent="0.2">
      <c r="A1263">
        <v>209285</v>
      </c>
      <c r="B1263">
        <v>31984</v>
      </c>
      <c r="C1263" t="str">
        <f t="shared" si="19"/>
        <v>5. $1M+</v>
      </c>
      <c r="D1263" t="s">
        <v>742</v>
      </c>
      <c r="E1263" t="s">
        <v>237</v>
      </c>
      <c r="F1263" t="s">
        <v>670</v>
      </c>
      <c r="G1263" t="s">
        <v>59</v>
      </c>
      <c r="H1263">
        <v>2023</v>
      </c>
    </row>
    <row r="1264" spans="1:8" x14ac:dyDescent="0.2">
      <c r="A1264">
        <v>20935</v>
      </c>
      <c r="B1264">
        <v>8300000</v>
      </c>
      <c r="C1264" t="str">
        <f t="shared" si="19"/>
        <v>2. $10K-50K</v>
      </c>
      <c r="D1264" t="s">
        <v>229</v>
      </c>
      <c r="E1264" t="s">
        <v>67</v>
      </c>
      <c r="F1264" t="s">
        <v>43</v>
      </c>
      <c r="G1264" t="s">
        <v>44</v>
      </c>
      <c r="H1264">
        <v>2025</v>
      </c>
    </row>
    <row r="1265" spans="1:8" x14ac:dyDescent="0.2">
      <c r="A1265">
        <v>209547</v>
      </c>
      <c r="B1265">
        <v>6735565.4000000004</v>
      </c>
      <c r="C1265" t="str">
        <f t="shared" si="19"/>
        <v>5. $1M+</v>
      </c>
      <c r="D1265" t="s">
        <v>23</v>
      </c>
      <c r="E1265" t="s">
        <v>8</v>
      </c>
      <c r="F1265" t="s">
        <v>9</v>
      </c>
      <c r="G1265" t="s">
        <v>10</v>
      </c>
      <c r="H1265">
        <v>2023</v>
      </c>
    </row>
    <row r="1266" spans="1:8" x14ac:dyDescent="0.2">
      <c r="A1266">
        <v>209594</v>
      </c>
      <c r="B1266">
        <v>960000</v>
      </c>
      <c r="C1266" t="str">
        <f t="shared" si="19"/>
        <v>5. $1M+</v>
      </c>
      <c r="D1266" t="s">
        <v>688</v>
      </c>
      <c r="E1266" t="s">
        <v>42</v>
      </c>
      <c r="F1266" t="s">
        <v>670</v>
      </c>
      <c r="G1266" t="s">
        <v>44</v>
      </c>
      <c r="H1266">
        <v>2024</v>
      </c>
    </row>
    <row r="1267" spans="1:8" x14ac:dyDescent="0.2">
      <c r="A1267">
        <v>209596</v>
      </c>
      <c r="B1267">
        <v>480000</v>
      </c>
      <c r="C1267" t="str">
        <f t="shared" si="19"/>
        <v>4. $250K-1M</v>
      </c>
      <c r="D1267" t="s">
        <v>717</v>
      </c>
      <c r="E1267" t="s">
        <v>42</v>
      </c>
      <c r="F1267" t="s">
        <v>670</v>
      </c>
      <c r="G1267" t="s">
        <v>44</v>
      </c>
      <c r="H1267">
        <v>2023</v>
      </c>
    </row>
    <row r="1268" spans="1:8" x14ac:dyDescent="0.2">
      <c r="A1268">
        <v>209597</v>
      </c>
      <c r="B1268">
        <v>720000</v>
      </c>
      <c r="C1268" t="str">
        <f t="shared" si="19"/>
        <v>4. $250K-1M</v>
      </c>
      <c r="D1268" t="s">
        <v>1022</v>
      </c>
      <c r="E1268" t="s">
        <v>42</v>
      </c>
      <c r="F1268" t="s">
        <v>670</v>
      </c>
      <c r="G1268" t="s">
        <v>44</v>
      </c>
      <c r="H1268">
        <v>2023</v>
      </c>
    </row>
    <row r="1269" spans="1:8" x14ac:dyDescent="0.2">
      <c r="A1269">
        <v>209599</v>
      </c>
      <c r="B1269">
        <v>689436.6</v>
      </c>
      <c r="C1269" t="str">
        <f t="shared" si="19"/>
        <v>4. $250K-1M</v>
      </c>
      <c r="D1269" t="s">
        <v>1090</v>
      </c>
      <c r="E1269" t="s">
        <v>42</v>
      </c>
      <c r="F1269" t="s">
        <v>670</v>
      </c>
      <c r="G1269" t="s">
        <v>44</v>
      </c>
      <c r="H1269">
        <v>2023</v>
      </c>
    </row>
    <row r="1270" spans="1:8" x14ac:dyDescent="0.2">
      <c r="A1270">
        <v>209600</v>
      </c>
      <c r="B1270">
        <v>1080000</v>
      </c>
      <c r="C1270" t="str">
        <f t="shared" si="19"/>
        <v>4. $250K-1M</v>
      </c>
      <c r="D1270" t="s">
        <v>1091</v>
      </c>
      <c r="E1270" t="s">
        <v>42</v>
      </c>
      <c r="F1270" t="s">
        <v>670</v>
      </c>
      <c r="G1270" t="s">
        <v>44</v>
      </c>
      <c r="H1270">
        <v>2023</v>
      </c>
    </row>
    <row r="1271" spans="1:8" x14ac:dyDescent="0.2">
      <c r="A1271">
        <v>209601</v>
      </c>
      <c r="B1271">
        <v>960000</v>
      </c>
      <c r="C1271" t="str">
        <f t="shared" si="19"/>
        <v>5. $1M+</v>
      </c>
      <c r="D1271" t="s">
        <v>1086</v>
      </c>
      <c r="E1271" t="s">
        <v>42</v>
      </c>
      <c r="F1271" t="s">
        <v>670</v>
      </c>
      <c r="G1271" t="s">
        <v>44</v>
      </c>
      <c r="H1271">
        <v>2023</v>
      </c>
    </row>
    <row r="1272" spans="1:8" x14ac:dyDescent="0.2">
      <c r="A1272">
        <v>209602</v>
      </c>
      <c r="B1272">
        <v>440000</v>
      </c>
      <c r="C1272" t="str">
        <f t="shared" si="19"/>
        <v>4. $250K-1M</v>
      </c>
      <c r="D1272" t="s">
        <v>391</v>
      </c>
      <c r="E1272" t="s">
        <v>42</v>
      </c>
      <c r="F1272" t="s">
        <v>670</v>
      </c>
      <c r="G1272" t="s">
        <v>44</v>
      </c>
      <c r="H1272">
        <v>2023</v>
      </c>
    </row>
    <row r="1273" spans="1:8" x14ac:dyDescent="0.2">
      <c r="A1273">
        <v>210121</v>
      </c>
      <c r="B1273">
        <v>2142778</v>
      </c>
      <c r="C1273" t="str">
        <f t="shared" si="19"/>
        <v>4. $250K-1M</v>
      </c>
      <c r="D1273" t="s">
        <v>1092</v>
      </c>
      <c r="E1273" t="s">
        <v>237</v>
      </c>
      <c r="F1273" t="s">
        <v>670</v>
      </c>
      <c r="G1273" t="s">
        <v>59</v>
      </c>
      <c r="H1273">
        <v>2023</v>
      </c>
    </row>
    <row r="1274" spans="1:8" x14ac:dyDescent="0.2">
      <c r="A1274">
        <v>210126</v>
      </c>
      <c r="B1274">
        <v>100000</v>
      </c>
      <c r="C1274" t="str">
        <f t="shared" si="19"/>
        <v>5. $1M+</v>
      </c>
      <c r="D1274" t="s">
        <v>792</v>
      </c>
      <c r="E1274" t="s">
        <v>237</v>
      </c>
      <c r="F1274" t="s">
        <v>670</v>
      </c>
      <c r="G1274" t="s">
        <v>59</v>
      </c>
      <c r="H1274">
        <v>2023</v>
      </c>
    </row>
    <row r="1275" spans="1:8" x14ac:dyDescent="0.2">
      <c r="A1275">
        <v>210660</v>
      </c>
      <c r="B1275">
        <v>216000</v>
      </c>
      <c r="C1275" t="str">
        <f t="shared" si="19"/>
        <v>3. $50K-250K</v>
      </c>
      <c r="D1275" t="s">
        <v>1093</v>
      </c>
      <c r="E1275" t="s">
        <v>237</v>
      </c>
      <c r="F1275" t="s">
        <v>670</v>
      </c>
      <c r="G1275" t="s">
        <v>59</v>
      </c>
      <c r="H1275">
        <v>2023</v>
      </c>
    </row>
    <row r="1276" spans="1:8" x14ac:dyDescent="0.2">
      <c r="A1276">
        <v>210663</v>
      </c>
      <c r="B1276">
        <v>144000</v>
      </c>
      <c r="C1276" t="str">
        <f t="shared" si="19"/>
        <v>3. $50K-250K</v>
      </c>
      <c r="D1276" t="s">
        <v>507</v>
      </c>
      <c r="E1276" t="s">
        <v>237</v>
      </c>
      <c r="F1276" t="s">
        <v>670</v>
      </c>
      <c r="G1276" t="s">
        <v>59</v>
      </c>
      <c r="H1276">
        <v>2023</v>
      </c>
    </row>
    <row r="1277" spans="1:8" x14ac:dyDescent="0.2">
      <c r="A1277">
        <v>210665</v>
      </c>
      <c r="B1277">
        <v>17024000</v>
      </c>
      <c r="C1277" t="str">
        <f t="shared" si="19"/>
        <v>3. $50K-250K</v>
      </c>
      <c r="D1277" t="s">
        <v>1094</v>
      </c>
      <c r="E1277" t="s">
        <v>237</v>
      </c>
      <c r="F1277" t="s">
        <v>670</v>
      </c>
      <c r="G1277" t="s">
        <v>59</v>
      </c>
      <c r="H1277">
        <v>2023</v>
      </c>
    </row>
    <row r="1278" spans="1:8" x14ac:dyDescent="0.2">
      <c r="A1278">
        <v>210666</v>
      </c>
      <c r="B1278">
        <v>216000</v>
      </c>
      <c r="C1278" t="str">
        <f t="shared" si="19"/>
        <v>5. $1M+</v>
      </c>
      <c r="D1278" t="s">
        <v>1095</v>
      </c>
      <c r="E1278" t="s">
        <v>237</v>
      </c>
      <c r="F1278" t="s">
        <v>670</v>
      </c>
      <c r="G1278" t="s">
        <v>59</v>
      </c>
      <c r="H1278">
        <v>2023</v>
      </c>
    </row>
    <row r="1279" spans="1:8" x14ac:dyDescent="0.2">
      <c r="A1279">
        <v>210667</v>
      </c>
      <c r="B1279">
        <v>288000</v>
      </c>
      <c r="C1279" t="str">
        <f t="shared" si="19"/>
        <v>3. $50K-250K</v>
      </c>
      <c r="D1279" t="s">
        <v>1046</v>
      </c>
      <c r="E1279" t="s">
        <v>237</v>
      </c>
      <c r="F1279" t="s">
        <v>670</v>
      </c>
      <c r="G1279" t="s">
        <v>59</v>
      </c>
      <c r="H1279">
        <v>2023</v>
      </c>
    </row>
    <row r="1280" spans="1:8" x14ac:dyDescent="0.2">
      <c r="A1280">
        <v>210668</v>
      </c>
      <c r="B1280">
        <v>144000</v>
      </c>
      <c r="C1280" t="str">
        <f t="shared" si="19"/>
        <v>4. $250K-1M</v>
      </c>
      <c r="D1280" t="s">
        <v>1096</v>
      </c>
      <c r="E1280" t="s">
        <v>237</v>
      </c>
      <c r="F1280" t="s">
        <v>670</v>
      </c>
      <c r="G1280" t="s">
        <v>59</v>
      </c>
      <c r="H1280">
        <v>2023</v>
      </c>
    </row>
    <row r="1281" spans="1:8" x14ac:dyDescent="0.2">
      <c r="A1281">
        <v>210669</v>
      </c>
      <c r="B1281">
        <v>144000</v>
      </c>
      <c r="C1281" t="str">
        <f t="shared" si="19"/>
        <v>3. $50K-250K</v>
      </c>
      <c r="D1281" t="s">
        <v>1097</v>
      </c>
      <c r="E1281" t="s">
        <v>237</v>
      </c>
      <c r="F1281" t="s">
        <v>670</v>
      </c>
      <c r="G1281" t="s">
        <v>59</v>
      </c>
      <c r="H1281">
        <v>2023</v>
      </c>
    </row>
    <row r="1282" spans="1:8" x14ac:dyDescent="0.2">
      <c r="A1282">
        <v>210671</v>
      </c>
      <c r="B1282">
        <v>144000</v>
      </c>
      <c r="C1282" t="str">
        <f t="shared" si="19"/>
        <v>3. $50K-250K</v>
      </c>
      <c r="D1282" t="s">
        <v>1098</v>
      </c>
      <c r="E1282" t="s">
        <v>237</v>
      </c>
      <c r="F1282" t="s">
        <v>670</v>
      </c>
      <c r="G1282" t="s">
        <v>59</v>
      </c>
      <c r="H1282">
        <v>2023</v>
      </c>
    </row>
    <row r="1283" spans="1:8" x14ac:dyDescent="0.2">
      <c r="A1283">
        <v>210672</v>
      </c>
      <c r="B1283">
        <v>144000</v>
      </c>
      <c r="C1283" t="str">
        <f t="shared" ref="C1283:C1346" si="20">IF(B1282&lt;10000,"1. Under $10K",IF(B1282&lt;50000,"2. $10K-50K",IF(B1282&lt;250000,"3. $50K-250K",IF(B1282&lt;1000000,"4. $250K-1M","5. $1M+"))))</f>
        <v>3. $50K-250K</v>
      </c>
      <c r="D1283" t="s">
        <v>694</v>
      </c>
      <c r="E1283" t="s">
        <v>237</v>
      </c>
      <c r="F1283" t="s">
        <v>670</v>
      </c>
      <c r="G1283" t="s">
        <v>59</v>
      </c>
      <c r="H1283">
        <v>2023</v>
      </c>
    </row>
    <row r="1284" spans="1:8" x14ac:dyDescent="0.2">
      <c r="A1284">
        <v>210673</v>
      </c>
      <c r="B1284">
        <v>288000</v>
      </c>
      <c r="C1284" t="str">
        <f t="shared" si="20"/>
        <v>3. $50K-250K</v>
      </c>
      <c r="D1284" t="s">
        <v>1032</v>
      </c>
      <c r="E1284" t="s">
        <v>237</v>
      </c>
      <c r="F1284" t="s">
        <v>670</v>
      </c>
      <c r="G1284" t="s">
        <v>59</v>
      </c>
      <c r="H1284">
        <v>2023</v>
      </c>
    </row>
    <row r="1285" spans="1:8" x14ac:dyDescent="0.2">
      <c r="A1285">
        <v>210674</v>
      </c>
      <c r="B1285">
        <v>144000</v>
      </c>
      <c r="C1285" t="str">
        <f t="shared" si="20"/>
        <v>4. $250K-1M</v>
      </c>
      <c r="D1285" t="s">
        <v>847</v>
      </c>
      <c r="E1285" t="s">
        <v>237</v>
      </c>
      <c r="F1285" t="s">
        <v>670</v>
      </c>
      <c r="G1285" t="s">
        <v>59</v>
      </c>
      <c r="H1285">
        <v>2023</v>
      </c>
    </row>
    <row r="1286" spans="1:8" x14ac:dyDescent="0.2">
      <c r="A1286">
        <v>210675</v>
      </c>
      <c r="B1286">
        <v>144000</v>
      </c>
      <c r="C1286" t="str">
        <f t="shared" si="20"/>
        <v>3. $50K-250K</v>
      </c>
      <c r="D1286" t="s">
        <v>1099</v>
      </c>
      <c r="E1286" t="s">
        <v>237</v>
      </c>
      <c r="F1286" t="s">
        <v>670</v>
      </c>
      <c r="G1286" t="s">
        <v>59</v>
      </c>
      <c r="H1286">
        <v>2023</v>
      </c>
    </row>
    <row r="1287" spans="1:8" x14ac:dyDescent="0.2">
      <c r="A1287">
        <v>210676</v>
      </c>
      <c r="B1287">
        <v>144000</v>
      </c>
      <c r="C1287" t="str">
        <f t="shared" si="20"/>
        <v>3. $50K-250K</v>
      </c>
      <c r="D1287" t="s">
        <v>1100</v>
      </c>
      <c r="E1287" t="s">
        <v>237</v>
      </c>
      <c r="F1287" t="s">
        <v>670</v>
      </c>
      <c r="G1287" t="s">
        <v>59</v>
      </c>
      <c r="H1287">
        <v>2023</v>
      </c>
    </row>
    <row r="1288" spans="1:8" x14ac:dyDescent="0.2">
      <c r="A1288">
        <v>210677</v>
      </c>
      <c r="B1288">
        <v>432000</v>
      </c>
      <c r="C1288" t="str">
        <f t="shared" si="20"/>
        <v>3. $50K-250K</v>
      </c>
      <c r="D1288" t="s">
        <v>1101</v>
      </c>
      <c r="E1288" t="s">
        <v>237</v>
      </c>
      <c r="F1288" t="s">
        <v>670</v>
      </c>
      <c r="G1288" t="s">
        <v>59</v>
      </c>
      <c r="H1288">
        <v>2023</v>
      </c>
    </row>
    <row r="1289" spans="1:8" x14ac:dyDescent="0.2">
      <c r="A1289">
        <v>210678</v>
      </c>
      <c r="B1289">
        <v>288000</v>
      </c>
      <c r="C1289" t="str">
        <f t="shared" si="20"/>
        <v>4. $250K-1M</v>
      </c>
      <c r="D1289" t="s">
        <v>1102</v>
      </c>
      <c r="E1289" t="s">
        <v>237</v>
      </c>
      <c r="F1289" t="s">
        <v>670</v>
      </c>
      <c r="G1289" t="s">
        <v>59</v>
      </c>
      <c r="H1289">
        <v>2023</v>
      </c>
    </row>
    <row r="1290" spans="1:8" x14ac:dyDescent="0.2">
      <c r="A1290">
        <v>210679</v>
      </c>
      <c r="B1290">
        <v>360000</v>
      </c>
      <c r="C1290" t="str">
        <f t="shared" si="20"/>
        <v>4. $250K-1M</v>
      </c>
      <c r="D1290" t="s">
        <v>1103</v>
      </c>
      <c r="E1290" t="s">
        <v>237</v>
      </c>
      <c r="F1290" t="s">
        <v>670</v>
      </c>
      <c r="G1290" t="s">
        <v>59</v>
      </c>
      <c r="H1290">
        <v>2023</v>
      </c>
    </row>
    <row r="1291" spans="1:8" x14ac:dyDescent="0.2">
      <c r="A1291">
        <v>210680</v>
      </c>
      <c r="B1291">
        <v>720000</v>
      </c>
      <c r="C1291" t="str">
        <f t="shared" si="20"/>
        <v>4. $250K-1M</v>
      </c>
      <c r="D1291" t="s">
        <v>749</v>
      </c>
      <c r="E1291" t="s">
        <v>237</v>
      </c>
      <c r="F1291" t="s">
        <v>670</v>
      </c>
      <c r="G1291" t="s">
        <v>59</v>
      </c>
      <c r="H1291">
        <v>2023</v>
      </c>
    </row>
    <row r="1292" spans="1:8" x14ac:dyDescent="0.2">
      <c r="A1292">
        <v>210681</v>
      </c>
      <c r="B1292">
        <v>144000</v>
      </c>
      <c r="C1292" t="str">
        <f t="shared" si="20"/>
        <v>4. $250K-1M</v>
      </c>
      <c r="D1292" t="s">
        <v>1104</v>
      </c>
      <c r="E1292" t="s">
        <v>237</v>
      </c>
      <c r="F1292" t="s">
        <v>670</v>
      </c>
      <c r="G1292" t="s">
        <v>59</v>
      </c>
      <c r="H1292">
        <v>2023</v>
      </c>
    </row>
    <row r="1293" spans="1:8" x14ac:dyDescent="0.2">
      <c r="A1293">
        <v>210683</v>
      </c>
      <c r="B1293">
        <v>720000</v>
      </c>
      <c r="C1293" t="str">
        <f t="shared" si="20"/>
        <v>3. $50K-250K</v>
      </c>
      <c r="D1293" t="s">
        <v>1105</v>
      </c>
      <c r="E1293" t="s">
        <v>237</v>
      </c>
      <c r="F1293" t="s">
        <v>670</v>
      </c>
      <c r="G1293" t="s">
        <v>59</v>
      </c>
      <c r="H1293">
        <v>2023</v>
      </c>
    </row>
    <row r="1294" spans="1:8" x14ac:dyDescent="0.2">
      <c r="A1294">
        <v>210684</v>
      </c>
      <c r="B1294">
        <v>288000</v>
      </c>
      <c r="C1294" t="str">
        <f t="shared" si="20"/>
        <v>4. $250K-1M</v>
      </c>
      <c r="D1294" t="s">
        <v>1074</v>
      </c>
      <c r="E1294" t="s">
        <v>237</v>
      </c>
      <c r="F1294" t="s">
        <v>670</v>
      </c>
      <c r="G1294" t="s">
        <v>59</v>
      </c>
      <c r="H1294">
        <v>2023</v>
      </c>
    </row>
    <row r="1295" spans="1:8" x14ac:dyDescent="0.2">
      <c r="A1295">
        <v>210685</v>
      </c>
      <c r="B1295">
        <v>216000</v>
      </c>
      <c r="C1295" t="str">
        <f t="shared" si="20"/>
        <v>4. $250K-1M</v>
      </c>
      <c r="D1295" t="s">
        <v>1106</v>
      </c>
      <c r="E1295" t="s">
        <v>237</v>
      </c>
      <c r="F1295" t="s">
        <v>670</v>
      </c>
      <c r="G1295" t="s">
        <v>59</v>
      </c>
      <c r="H1295">
        <v>2023</v>
      </c>
    </row>
    <row r="1296" spans="1:8" x14ac:dyDescent="0.2">
      <c r="A1296">
        <v>210686</v>
      </c>
      <c r="B1296">
        <v>216000</v>
      </c>
      <c r="C1296" t="str">
        <f t="shared" si="20"/>
        <v>3. $50K-250K</v>
      </c>
      <c r="D1296" t="s">
        <v>760</v>
      </c>
      <c r="E1296" t="s">
        <v>237</v>
      </c>
      <c r="F1296" t="s">
        <v>670</v>
      </c>
      <c r="G1296" t="s">
        <v>59</v>
      </c>
      <c r="H1296">
        <v>2023</v>
      </c>
    </row>
    <row r="1297" spans="1:8" x14ac:dyDescent="0.2">
      <c r="A1297">
        <v>210687</v>
      </c>
      <c r="B1297">
        <v>216000</v>
      </c>
      <c r="C1297" t="str">
        <f t="shared" si="20"/>
        <v>3. $50K-250K</v>
      </c>
      <c r="D1297" t="s">
        <v>708</v>
      </c>
      <c r="E1297" t="s">
        <v>237</v>
      </c>
      <c r="F1297" t="s">
        <v>670</v>
      </c>
      <c r="G1297" t="s">
        <v>59</v>
      </c>
      <c r="H1297">
        <v>2023</v>
      </c>
    </row>
    <row r="1298" spans="1:8" x14ac:dyDescent="0.2">
      <c r="A1298">
        <v>210688</v>
      </c>
      <c r="B1298">
        <v>144000</v>
      </c>
      <c r="C1298" t="str">
        <f t="shared" si="20"/>
        <v>3. $50K-250K</v>
      </c>
      <c r="D1298" t="s">
        <v>1107</v>
      </c>
      <c r="E1298" t="s">
        <v>237</v>
      </c>
      <c r="F1298" t="s">
        <v>670</v>
      </c>
      <c r="G1298" t="s">
        <v>59</v>
      </c>
      <c r="H1298">
        <v>2023</v>
      </c>
    </row>
    <row r="1299" spans="1:8" x14ac:dyDescent="0.2">
      <c r="A1299">
        <v>210689</v>
      </c>
      <c r="B1299">
        <v>216000</v>
      </c>
      <c r="C1299" t="str">
        <f t="shared" si="20"/>
        <v>3. $50K-250K</v>
      </c>
      <c r="D1299" t="s">
        <v>1108</v>
      </c>
      <c r="E1299" t="s">
        <v>237</v>
      </c>
      <c r="F1299" t="s">
        <v>670</v>
      </c>
      <c r="G1299" t="s">
        <v>59</v>
      </c>
      <c r="H1299">
        <v>2023</v>
      </c>
    </row>
    <row r="1300" spans="1:8" x14ac:dyDescent="0.2">
      <c r="A1300">
        <v>210690</v>
      </c>
      <c r="B1300">
        <v>216000</v>
      </c>
      <c r="C1300" t="str">
        <f t="shared" si="20"/>
        <v>3. $50K-250K</v>
      </c>
      <c r="D1300" t="s">
        <v>803</v>
      </c>
      <c r="E1300" t="s">
        <v>237</v>
      </c>
      <c r="F1300" t="s">
        <v>670</v>
      </c>
      <c r="G1300" t="s">
        <v>59</v>
      </c>
      <c r="H1300">
        <v>2023</v>
      </c>
    </row>
    <row r="1301" spans="1:8" x14ac:dyDescent="0.2">
      <c r="A1301">
        <v>210691</v>
      </c>
      <c r="B1301">
        <v>216000</v>
      </c>
      <c r="C1301" t="str">
        <f t="shared" si="20"/>
        <v>3. $50K-250K</v>
      </c>
      <c r="D1301" t="s">
        <v>839</v>
      </c>
      <c r="E1301" t="s">
        <v>237</v>
      </c>
      <c r="F1301" t="s">
        <v>670</v>
      </c>
      <c r="G1301" t="s">
        <v>59</v>
      </c>
      <c r="H1301">
        <v>2023</v>
      </c>
    </row>
    <row r="1302" spans="1:8" x14ac:dyDescent="0.2">
      <c r="A1302">
        <v>210692</v>
      </c>
      <c r="B1302">
        <v>144000</v>
      </c>
      <c r="C1302" t="str">
        <f t="shared" si="20"/>
        <v>3. $50K-250K</v>
      </c>
      <c r="D1302" t="s">
        <v>1109</v>
      </c>
      <c r="E1302" t="s">
        <v>237</v>
      </c>
      <c r="F1302" t="s">
        <v>670</v>
      </c>
      <c r="G1302" t="s">
        <v>59</v>
      </c>
      <c r="H1302">
        <v>2023</v>
      </c>
    </row>
    <row r="1303" spans="1:8" x14ac:dyDescent="0.2">
      <c r="A1303">
        <v>210693</v>
      </c>
      <c r="B1303">
        <v>216000</v>
      </c>
      <c r="C1303" t="str">
        <f t="shared" si="20"/>
        <v>3. $50K-250K</v>
      </c>
      <c r="D1303" t="s">
        <v>781</v>
      </c>
      <c r="E1303" t="s">
        <v>237</v>
      </c>
      <c r="F1303" t="s">
        <v>670</v>
      </c>
      <c r="G1303" t="s">
        <v>59</v>
      </c>
      <c r="H1303">
        <v>2023</v>
      </c>
    </row>
    <row r="1304" spans="1:8" x14ac:dyDescent="0.2">
      <c r="A1304">
        <v>210694</v>
      </c>
      <c r="B1304">
        <v>2432000</v>
      </c>
      <c r="C1304" t="str">
        <f t="shared" si="20"/>
        <v>3. $50K-250K</v>
      </c>
      <c r="D1304" t="s">
        <v>1110</v>
      </c>
      <c r="E1304" t="s">
        <v>237</v>
      </c>
      <c r="F1304" t="s">
        <v>670</v>
      </c>
      <c r="G1304" t="s">
        <v>59</v>
      </c>
      <c r="H1304">
        <v>2023</v>
      </c>
    </row>
    <row r="1305" spans="1:8" x14ac:dyDescent="0.2">
      <c r="A1305">
        <v>210695</v>
      </c>
      <c r="B1305">
        <v>720000</v>
      </c>
      <c r="C1305" t="str">
        <f t="shared" si="20"/>
        <v>5. $1M+</v>
      </c>
      <c r="D1305" t="s">
        <v>713</v>
      </c>
      <c r="E1305" t="s">
        <v>237</v>
      </c>
      <c r="F1305" t="s">
        <v>670</v>
      </c>
      <c r="G1305" t="s">
        <v>59</v>
      </c>
      <c r="H1305">
        <v>2023</v>
      </c>
    </row>
    <row r="1306" spans="1:8" x14ac:dyDescent="0.2">
      <c r="A1306">
        <v>210696</v>
      </c>
      <c r="B1306">
        <v>432000</v>
      </c>
      <c r="C1306" t="str">
        <f t="shared" si="20"/>
        <v>4. $250K-1M</v>
      </c>
      <c r="D1306" t="s">
        <v>822</v>
      </c>
      <c r="E1306" t="s">
        <v>237</v>
      </c>
      <c r="F1306" t="s">
        <v>670</v>
      </c>
      <c r="G1306" t="s">
        <v>59</v>
      </c>
      <c r="H1306">
        <v>2023</v>
      </c>
    </row>
    <row r="1307" spans="1:8" x14ac:dyDescent="0.2">
      <c r="A1307">
        <v>210725</v>
      </c>
      <c r="B1307">
        <v>40000</v>
      </c>
      <c r="C1307" t="str">
        <f t="shared" si="20"/>
        <v>4. $250K-1M</v>
      </c>
      <c r="D1307" t="s">
        <v>1111</v>
      </c>
      <c r="E1307" t="s">
        <v>112</v>
      </c>
      <c r="F1307" t="s">
        <v>668</v>
      </c>
      <c r="G1307" t="s">
        <v>59</v>
      </c>
      <c r="H1307">
        <v>2023</v>
      </c>
    </row>
    <row r="1308" spans="1:8" x14ac:dyDescent="0.2">
      <c r="A1308">
        <v>210726</v>
      </c>
      <c r="B1308">
        <v>20000</v>
      </c>
      <c r="C1308" t="str">
        <f t="shared" si="20"/>
        <v>2. $10K-50K</v>
      </c>
      <c r="D1308" t="s">
        <v>1112</v>
      </c>
      <c r="E1308" t="s">
        <v>112</v>
      </c>
      <c r="F1308" t="s">
        <v>668</v>
      </c>
      <c r="G1308" t="s">
        <v>59</v>
      </c>
      <c r="H1308">
        <v>2023</v>
      </c>
    </row>
    <row r="1309" spans="1:8" x14ac:dyDescent="0.2">
      <c r="A1309">
        <v>210728</v>
      </c>
      <c r="B1309">
        <v>9000</v>
      </c>
      <c r="C1309" t="str">
        <f t="shared" si="20"/>
        <v>2. $10K-50K</v>
      </c>
      <c r="D1309" t="s">
        <v>1113</v>
      </c>
      <c r="E1309" t="s">
        <v>112</v>
      </c>
      <c r="F1309" t="s">
        <v>668</v>
      </c>
      <c r="G1309" t="s">
        <v>59</v>
      </c>
      <c r="H1309">
        <v>2023</v>
      </c>
    </row>
    <row r="1310" spans="1:8" x14ac:dyDescent="0.2">
      <c r="A1310">
        <v>210729</v>
      </c>
      <c r="B1310">
        <v>25000</v>
      </c>
      <c r="C1310" t="str">
        <f t="shared" si="20"/>
        <v>1. Under $10K</v>
      </c>
      <c r="D1310" t="s">
        <v>1114</v>
      </c>
      <c r="E1310" t="s">
        <v>112</v>
      </c>
      <c r="F1310" t="s">
        <v>668</v>
      </c>
      <c r="G1310" t="s">
        <v>59</v>
      </c>
      <c r="H1310">
        <v>2023</v>
      </c>
    </row>
    <row r="1311" spans="1:8" x14ac:dyDescent="0.2">
      <c r="A1311">
        <v>210730</v>
      </c>
      <c r="B1311">
        <v>15000</v>
      </c>
      <c r="C1311" t="str">
        <f t="shared" si="20"/>
        <v>2. $10K-50K</v>
      </c>
      <c r="D1311" t="s">
        <v>1115</v>
      </c>
      <c r="E1311" t="s">
        <v>112</v>
      </c>
      <c r="F1311" t="s">
        <v>668</v>
      </c>
      <c r="G1311" t="s">
        <v>59</v>
      </c>
      <c r="H1311">
        <v>2023</v>
      </c>
    </row>
    <row r="1312" spans="1:8" x14ac:dyDescent="0.2">
      <c r="A1312">
        <v>210848</v>
      </c>
      <c r="B1312">
        <v>20218</v>
      </c>
      <c r="C1312" t="str">
        <f t="shared" si="20"/>
        <v>2. $10K-50K</v>
      </c>
      <c r="D1312" t="s">
        <v>762</v>
      </c>
      <c r="E1312" t="s">
        <v>237</v>
      </c>
      <c r="F1312" t="s">
        <v>670</v>
      </c>
      <c r="G1312" t="s">
        <v>59</v>
      </c>
      <c r="H1312">
        <v>2023</v>
      </c>
    </row>
    <row r="1313" spans="1:8" x14ac:dyDescent="0.2">
      <c r="A1313">
        <v>210857</v>
      </c>
      <c r="B1313">
        <v>40000</v>
      </c>
      <c r="C1313" t="str">
        <f t="shared" si="20"/>
        <v>2. $10K-50K</v>
      </c>
      <c r="D1313" t="s">
        <v>1116</v>
      </c>
      <c r="E1313" t="s">
        <v>112</v>
      </c>
      <c r="F1313" t="s">
        <v>668</v>
      </c>
      <c r="G1313" t="s">
        <v>59</v>
      </c>
      <c r="H1313">
        <v>2023</v>
      </c>
    </row>
    <row r="1314" spans="1:8" x14ac:dyDescent="0.2">
      <c r="A1314">
        <v>210867</v>
      </c>
      <c r="B1314">
        <v>25000</v>
      </c>
      <c r="C1314" t="str">
        <f t="shared" si="20"/>
        <v>2. $10K-50K</v>
      </c>
      <c r="D1314" t="s">
        <v>1117</v>
      </c>
      <c r="E1314" t="s">
        <v>112</v>
      </c>
      <c r="F1314" t="s">
        <v>668</v>
      </c>
      <c r="G1314" t="s">
        <v>59</v>
      </c>
      <c r="H1314">
        <v>2023</v>
      </c>
    </row>
    <row r="1315" spans="1:8" x14ac:dyDescent="0.2">
      <c r="A1315">
        <v>210869</v>
      </c>
      <c r="B1315">
        <v>20000</v>
      </c>
      <c r="C1315" t="str">
        <f t="shared" si="20"/>
        <v>2. $10K-50K</v>
      </c>
      <c r="D1315" t="s">
        <v>1118</v>
      </c>
      <c r="E1315" t="s">
        <v>112</v>
      </c>
      <c r="F1315" t="s">
        <v>668</v>
      </c>
      <c r="G1315" t="s">
        <v>59</v>
      </c>
      <c r="H1315">
        <v>2023</v>
      </c>
    </row>
    <row r="1316" spans="1:8" x14ac:dyDescent="0.2">
      <c r="A1316">
        <v>210874</v>
      </c>
      <c r="B1316">
        <v>1917604</v>
      </c>
      <c r="C1316" t="str">
        <f t="shared" si="20"/>
        <v>2. $10K-50K</v>
      </c>
      <c r="D1316" t="s">
        <v>391</v>
      </c>
      <c r="E1316" t="s">
        <v>237</v>
      </c>
      <c r="F1316" t="s">
        <v>668</v>
      </c>
      <c r="G1316" t="s">
        <v>59</v>
      </c>
      <c r="H1316">
        <v>2023</v>
      </c>
    </row>
    <row r="1317" spans="1:8" x14ac:dyDescent="0.2">
      <c r="A1317">
        <v>210876</v>
      </c>
      <c r="B1317">
        <v>10000</v>
      </c>
      <c r="C1317" t="str">
        <f t="shared" si="20"/>
        <v>5. $1M+</v>
      </c>
      <c r="D1317" t="s">
        <v>1119</v>
      </c>
      <c r="E1317" t="s">
        <v>112</v>
      </c>
      <c r="F1317" t="s">
        <v>668</v>
      </c>
      <c r="G1317" t="s">
        <v>59</v>
      </c>
      <c r="H1317">
        <v>2023</v>
      </c>
    </row>
    <row r="1318" spans="1:8" x14ac:dyDescent="0.2">
      <c r="A1318">
        <v>210917</v>
      </c>
      <c r="B1318">
        <v>225000</v>
      </c>
      <c r="C1318" t="str">
        <f t="shared" si="20"/>
        <v>2. $10K-50K</v>
      </c>
      <c r="D1318" t="s">
        <v>391</v>
      </c>
      <c r="E1318" t="s">
        <v>42</v>
      </c>
      <c r="F1318" t="s">
        <v>668</v>
      </c>
      <c r="G1318" t="s">
        <v>59</v>
      </c>
      <c r="H1318">
        <v>2024</v>
      </c>
    </row>
    <row r="1319" spans="1:8" x14ac:dyDescent="0.2">
      <c r="A1319">
        <v>211204</v>
      </c>
      <c r="B1319">
        <v>2000000</v>
      </c>
      <c r="C1319" t="str">
        <f t="shared" si="20"/>
        <v>3. $50K-250K</v>
      </c>
      <c r="D1319" t="s">
        <v>797</v>
      </c>
      <c r="E1319" t="s">
        <v>432</v>
      </c>
      <c r="F1319" t="s">
        <v>670</v>
      </c>
      <c r="G1319" t="s">
        <v>44</v>
      </c>
      <c r="H1319">
        <v>2023</v>
      </c>
    </row>
    <row r="1320" spans="1:8" x14ac:dyDescent="0.2">
      <c r="A1320">
        <v>211208</v>
      </c>
      <c r="B1320">
        <v>20000</v>
      </c>
      <c r="C1320" t="str">
        <f t="shared" si="20"/>
        <v>5. $1M+</v>
      </c>
      <c r="D1320" t="s">
        <v>1120</v>
      </c>
      <c r="E1320" t="s">
        <v>112</v>
      </c>
      <c r="F1320" t="s">
        <v>668</v>
      </c>
      <c r="G1320" t="s">
        <v>59</v>
      </c>
      <c r="H1320">
        <v>2023</v>
      </c>
    </row>
    <row r="1321" spans="1:8" x14ac:dyDescent="0.2">
      <c r="A1321">
        <v>211214</v>
      </c>
      <c r="B1321">
        <v>50000</v>
      </c>
      <c r="C1321" t="str">
        <f t="shared" si="20"/>
        <v>2. $10K-50K</v>
      </c>
      <c r="D1321" t="s">
        <v>1121</v>
      </c>
      <c r="E1321" t="s">
        <v>112</v>
      </c>
      <c r="F1321" t="s">
        <v>668</v>
      </c>
      <c r="G1321" t="s">
        <v>59</v>
      </c>
      <c r="H1321">
        <v>2023</v>
      </c>
    </row>
    <row r="1322" spans="1:8" x14ac:dyDescent="0.2">
      <c r="A1322">
        <v>211215</v>
      </c>
      <c r="B1322">
        <v>3000</v>
      </c>
      <c r="C1322" t="str">
        <f t="shared" si="20"/>
        <v>3. $50K-250K</v>
      </c>
      <c r="D1322" t="s">
        <v>1122</v>
      </c>
      <c r="E1322" t="s">
        <v>112</v>
      </c>
      <c r="F1322" t="s">
        <v>668</v>
      </c>
      <c r="G1322" t="s">
        <v>59</v>
      </c>
      <c r="H1322">
        <v>2023</v>
      </c>
    </row>
    <row r="1323" spans="1:8" x14ac:dyDescent="0.2">
      <c r="A1323">
        <v>211217</v>
      </c>
      <c r="B1323">
        <v>10000</v>
      </c>
      <c r="C1323" t="str">
        <f t="shared" si="20"/>
        <v>1. Under $10K</v>
      </c>
      <c r="D1323" t="s">
        <v>1123</v>
      </c>
      <c r="E1323" t="s">
        <v>112</v>
      </c>
      <c r="F1323" t="s">
        <v>668</v>
      </c>
      <c r="G1323" t="s">
        <v>59</v>
      </c>
      <c r="H1323">
        <v>2023</v>
      </c>
    </row>
    <row r="1324" spans="1:8" x14ac:dyDescent="0.2">
      <c r="A1324">
        <v>211219</v>
      </c>
      <c r="B1324">
        <v>10000</v>
      </c>
      <c r="C1324" t="str">
        <f t="shared" si="20"/>
        <v>2. $10K-50K</v>
      </c>
      <c r="D1324" t="s">
        <v>1124</v>
      </c>
      <c r="E1324" t="s">
        <v>112</v>
      </c>
      <c r="F1324" t="s">
        <v>668</v>
      </c>
      <c r="G1324" t="s">
        <v>59</v>
      </c>
      <c r="H1324">
        <v>2023</v>
      </c>
    </row>
    <row r="1325" spans="1:8" x14ac:dyDescent="0.2">
      <c r="A1325">
        <v>211220</v>
      </c>
      <c r="B1325">
        <v>50000</v>
      </c>
      <c r="C1325" t="str">
        <f t="shared" si="20"/>
        <v>2. $10K-50K</v>
      </c>
      <c r="D1325" t="s">
        <v>1125</v>
      </c>
      <c r="E1325" t="s">
        <v>112</v>
      </c>
      <c r="F1325" t="s">
        <v>668</v>
      </c>
      <c r="G1325" t="s">
        <v>59</v>
      </c>
      <c r="H1325">
        <v>2023</v>
      </c>
    </row>
    <row r="1326" spans="1:8" x14ac:dyDescent="0.2">
      <c r="A1326">
        <v>211221</v>
      </c>
      <c r="B1326">
        <v>9000</v>
      </c>
      <c r="C1326" t="str">
        <f t="shared" si="20"/>
        <v>3. $50K-250K</v>
      </c>
      <c r="D1326" t="s">
        <v>1126</v>
      </c>
      <c r="E1326" t="s">
        <v>112</v>
      </c>
      <c r="F1326" t="s">
        <v>668</v>
      </c>
      <c r="G1326" t="s">
        <v>59</v>
      </c>
      <c r="H1326">
        <v>2023</v>
      </c>
    </row>
    <row r="1327" spans="1:8" x14ac:dyDescent="0.2">
      <c r="A1327">
        <v>211225</v>
      </c>
      <c r="B1327">
        <v>40000</v>
      </c>
      <c r="C1327" t="str">
        <f t="shared" si="20"/>
        <v>1. Under $10K</v>
      </c>
      <c r="D1327" t="s">
        <v>791</v>
      </c>
      <c r="E1327" t="s">
        <v>42</v>
      </c>
      <c r="F1327" t="s">
        <v>670</v>
      </c>
      <c r="G1327" t="s">
        <v>59</v>
      </c>
      <c r="H1327">
        <v>2023</v>
      </c>
    </row>
    <row r="1328" spans="1:8" x14ac:dyDescent="0.2">
      <c r="A1328">
        <v>211229</v>
      </c>
      <c r="B1328">
        <v>10000</v>
      </c>
      <c r="C1328" t="str">
        <f t="shared" si="20"/>
        <v>2. $10K-50K</v>
      </c>
      <c r="D1328" t="s">
        <v>1127</v>
      </c>
      <c r="E1328" t="s">
        <v>112</v>
      </c>
      <c r="F1328" t="s">
        <v>668</v>
      </c>
      <c r="G1328" t="s">
        <v>59</v>
      </c>
      <c r="H1328">
        <v>2023</v>
      </c>
    </row>
    <row r="1329" spans="1:8" x14ac:dyDescent="0.2">
      <c r="A1329">
        <v>211230</v>
      </c>
      <c r="B1329">
        <v>10000</v>
      </c>
      <c r="C1329" t="str">
        <f t="shared" si="20"/>
        <v>2. $10K-50K</v>
      </c>
      <c r="D1329" t="s">
        <v>1128</v>
      </c>
      <c r="E1329" t="s">
        <v>112</v>
      </c>
      <c r="F1329" t="s">
        <v>668</v>
      </c>
      <c r="G1329" t="s">
        <v>59</v>
      </c>
      <c r="H1329">
        <v>2023</v>
      </c>
    </row>
    <row r="1330" spans="1:8" x14ac:dyDescent="0.2">
      <c r="A1330">
        <v>211231</v>
      </c>
      <c r="B1330">
        <v>50000</v>
      </c>
      <c r="C1330" t="str">
        <f t="shared" si="20"/>
        <v>2. $10K-50K</v>
      </c>
      <c r="D1330" t="s">
        <v>1129</v>
      </c>
      <c r="E1330" t="s">
        <v>112</v>
      </c>
      <c r="F1330" t="s">
        <v>668</v>
      </c>
      <c r="G1330" t="s">
        <v>59</v>
      </c>
      <c r="H1330">
        <v>2023</v>
      </c>
    </row>
    <row r="1331" spans="1:8" x14ac:dyDescent="0.2">
      <c r="A1331">
        <v>211232</v>
      </c>
      <c r="B1331">
        <v>15000</v>
      </c>
      <c r="C1331" t="str">
        <f t="shared" si="20"/>
        <v>3. $50K-250K</v>
      </c>
      <c r="D1331" t="s">
        <v>1130</v>
      </c>
      <c r="E1331" t="s">
        <v>112</v>
      </c>
      <c r="F1331" t="s">
        <v>668</v>
      </c>
      <c r="G1331" t="s">
        <v>59</v>
      </c>
      <c r="H1331">
        <v>2023</v>
      </c>
    </row>
    <row r="1332" spans="1:8" x14ac:dyDescent="0.2">
      <c r="A1332">
        <v>211234</v>
      </c>
      <c r="B1332">
        <v>10766749.9</v>
      </c>
      <c r="C1332" t="str">
        <f t="shared" si="20"/>
        <v>2. $10K-50K</v>
      </c>
      <c r="D1332" t="s">
        <v>84</v>
      </c>
      <c r="E1332" t="s">
        <v>28</v>
      </c>
      <c r="F1332" t="s">
        <v>85</v>
      </c>
      <c r="G1332" t="s">
        <v>10</v>
      </c>
      <c r="H1332">
        <v>2023</v>
      </c>
    </row>
    <row r="1333" spans="1:8" x14ac:dyDescent="0.2">
      <c r="A1333">
        <v>211239</v>
      </c>
      <c r="B1333">
        <v>216610.4</v>
      </c>
      <c r="C1333" t="str">
        <f t="shared" si="20"/>
        <v>5. $1M+</v>
      </c>
      <c r="D1333" t="s">
        <v>230</v>
      </c>
      <c r="E1333" t="s">
        <v>69</v>
      </c>
      <c r="F1333" t="s">
        <v>231</v>
      </c>
      <c r="G1333" t="s">
        <v>232</v>
      </c>
      <c r="H1333">
        <v>2023</v>
      </c>
    </row>
    <row r="1334" spans="1:8" x14ac:dyDescent="0.2">
      <c r="A1334">
        <v>211294</v>
      </c>
      <c r="B1334">
        <v>10000</v>
      </c>
      <c r="C1334" t="str">
        <f t="shared" si="20"/>
        <v>3. $50K-250K</v>
      </c>
      <c r="D1334" t="s">
        <v>1131</v>
      </c>
      <c r="E1334" t="s">
        <v>112</v>
      </c>
      <c r="F1334" t="s">
        <v>668</v>
      </c>
      <c r="G1334" t="s">
        <v>59</v>
      </c>
      <c r="H1334">
        <v>2023</v>
      </c>
    </row>
    <row r="1335" spans="1:8" x14ac:dyDescent="0.2">
      <c r="A1335">
        <v>211296</v>
      </c>
      <c r="B1335">
        <v>10000</v>
      </c>
      <c r="C1335" t="str">
        <f t="shared" si="20"/>
        <v>2. $10K-50K</v>
      </c>
      <c r="D1335" t="s">
        <v>1132</v>
      </c>
      <c r="E1335" t="s">
        <v>112</v>
      </c>
      <c r="F1335" t="s">
        <v>668</v>
      </c>
      <c r="G1335" t="s">
        <v>59</v>
      </c>
      <c r="H1335">
        <v>2023</v>
      </c>
    </row>
    <row r="1336" spans="1:8" x14ac:dyDescent="0.2">
      <c r="A1336">
        <v>211298</v>
      </c>
      <c r="B1336">
        <v>10000</v>
      </c>
      <c r="C1336" t="str">
        <f t="shared" si="20"/>
        <v>2. $10K-50K</v>
      </c>
      <c r="D1336" t="s">
        <v>1133</v>
      </c>
      <c r="E1336" t="s">
        <v>112</v>
      </c>
      <c r="F1336" t="s">
        <v>668</v>
      </c>
      <c r="G1336" t="s">
        <v>59</v>
      </c>
      <c r="H1336">
        <v>2023</v>
      </c>
    </row>
    <row r="1337" spans="1:8" x14ac:dyDescent="0.2">
      <c r="A1337">
        <v>211300</v>
      </c>
      <c r="B1337">
        <v>25000</v>
      </c>
      <c r="C1337" t="str">
        <f t="shared" si="20"/>
        <v>2. $10K-50K</v>
      </c>
      <c r="D1337" t="s">
        <v>1134</v>
      </c>
      <c r="E1337" t="s">
        <v>112</v>
      </c>
      <c r="F1337" t="s">
        <v>668</v>
      </c>
      <c r="G1337" t="s">
        <v>59</v>
      </c>
      <c r="H1337">
        <v>2023</v>
      </c>
    </row>
    <row r="1338" spans="1:8" x14ac:dyDescent="0.2">
      <c r="A1338">
        <v>211302</v>
      </c>
      <c r="B1338">
        <v>35464619</v>
      </c>
      <c r="C1338" t="str">
        <f t="shared" si="20"/>
        <v>2. $10K-50K</v>
      </c>
      <c r="D1338" t="s">
        <v>7</v>
      </c>
      <c r="E1338" t="s">
        <v>8</v>
      </c>
      <c r="F1338" t="s">
        <v>9</v>
      </c>
      <c r="G1338" t="s">
        <v>10</v>
      </c>
      <c r="H1338">
        <v>2023</v>
      </c>
    </row>
    <row r="1339" spans="1:8" x14ac:dyDescent="0.2">
      <c r="A1339">
        <v>211303</v>
      </c>
      <c r="B1339">
        <v>20000</v>
      </c>
      <c r="C1339" t="str">
        <f t="shared" si="20"/>
        <v>5. $1M+</v>
      </c>
      <c r="D1339" t="s">
        <v>1135</v>
      </c>
      <c r="E1339" t="s">
        <v>112</v>
      </c>
      <c r="F1339" t="s">
        <v>668</v>
      </c>
      <c r="G1339" t="s">
        <v>59</v>
      </c>
      <c r="H1339">
        <v>2023</v>
      </c>
    </row>
    <row r="1340" spans="1:8" x14ac:dyDescent="0.2">
      <c r="A1340">
        <v>211307</v>
      </c>
      <c r="B1340">
        <v>50000</v>
      </c>
      <c r="C1340" t="str">
        <f t="shared" si="20"/>
        <v>2. $10K-50K</v>
      </c>
      <c r="D1340" t="s">
        <v>1136</v>
      </c>
      <c r="E1340" t="s">
        <v>112</v>
      </c>
      <c r="F1340" t="s">
        <v>668</v>
      </c>
      <c r="G1340" t="s">
        <v>59</v>
      </c>
      <c r="H1340">
        <v>2023</v>
      </c>
    </row>
    <row r="1341" spans="1:8" x14ac:dyDescent="0.2">
      <c r="A1341">
        <v>211319</v>
      </c>
      <c r="B1341">
        <v>30000</v>
      </c>
      <c r="C1341" t="str">
        <f t="shared" si="20"/>
        <v>3. $50K-250K</v>
      </c>
      <c r="D1341" t="s">
        <v>1137</v>
      </c>
      <c r="E1341" t="s">
        <v>112</v>
      </c>
      <c r="F1341" t="s">
        <v>668</v>
      </c>
      <c r="G1341" t="s">
        <v>59</v>
      </c>
      <c r="H1341">
        <v>2023</v>
      </c>
    </row>
    <row r="1342" spans="1:8" x14ac:dyDescent="0.2">
      <c r="A1342">
        <v>211320</v>
      </c>
      <c r="B1342">
        <v>25000</v>
      </c>
      <c r="C1342" t="str">
        <f t="shared" si="20"/>
        <v>2. $10K-50K</v>
      </c>
      <c r="D1342" t="s">
        <v>1138</v>
      </c>
      <c r="E1342" t="s">
        <v>112</v>
      </c>
      <c r="F1342" t="s">
        <v>668</v>
      </c>
      <c r="G1342" t="s">
        <v>59</v>
      </c>
      <c r="H1342">
        <v>2023</v>
      </c>
    </row>
    <row r="1343" spans="1:8" x14ac:dyDescent="0.2">
      <c r="A1343">
        <v>211322</v>
      </c>
      <c r="B1343">
        <v>10000</v>
      </c>
      <c r="C1343" t="str">
        <f t="shared" si="20"/>
        <v>2. $10K-50K</v>
      </c>
      <c r="D1343" t="s">
        <v>1139</v>
      </c>
      <c r="E1343" t="s">
        <v>112</v>
      </c>
      <c r="F1343" t="s">
        <v>668</v>
      </c>
      <c r="G1343" t="s">
        <v>59</v>
      </c>
      <c r="H1343">
        <v>2023</v>
      </c>
    </row>
    <row r="1344" spans="1:8" x14ac:dyDescent="0.2">
      <c r="A1344">
        <v>211324</v>
      </c>
      <c r="B1344">
        <v>25000</v>
      </c>
      <c r="C1344" t="str">
        <f t="shared" si="20"/>
        <v>2. $10K-50K</v>
      </c>
      <c r="D1344" t="s">
        <v>1140</v>
      </c>
      <c r="E1344" t="s">
        <v>112</v>
      </c>
      <c r="F1344" t="s">
        <v>668</v>
      </c>
      <c r="G1344" t="s">
        <v>59</v>
      </c>
      <c r="H1344">
        <v>2023</v>
      </c>
    </row>
    <row r="1345" spans="1:8" x14ac:dyDescent="0.2">
      <c r="A1345">
        <v>211325</v>
      </c>
      <c r="B1345">
        <v>9000</v>
      </c>
      <c r="C1345" t="str">
        <f t="shared" si="20"/>
        <v>2. $10K-50K</v>
      </c>
      <c r="D1345" t="s">
        <v>1141</v>
      </c>
      <c r="E1345" t="s">
        <v>112</v>
      </c>
      <c r="F1345" t="s">
        <v>668</v>
      </c>
      <c r="G1345" t="s">
        <v>59</v>
      </c>
      <c r="H1345">
        <v>2023</v>
      </c>
    </row>
    <row r="1346" spans="1:8" x14ac:dyDescent="0.2">
      <c r="A1346">
        <v>211326</v>
      </c>
      <c r="B1346">
        <v>50000</v>
      </c>
      <c r="C1346" t="str">
        <f t="shared" si="20"/>
        <v>1. Under $10K</v>
      </c>
      <c r="D1346" t="s">
        <v>1142</v>
      </c>
      <c r="E1346" t="s">
        <v>112</v>
      </c>
      <c r="F1346" t="s">
        <v>668</v>
      </c>
      <c r="G1346" t="s">
        <v>59</v>
      </c>
      <c r="H1346">
        <v>2023</v>
      </c>
    </row>
    <row r="1347" spans="1:8" x14ac:dyDescent="0.2">
      <c r="A1347">
        <v>211372</v>
      </c>
      <c r="B1347">
        <v>4000</v>
      </c>
      <c r="C1347" t="str">
        <f t="shared" ref="C1347:C1410" si="21">IF(B1346&lt;10000,"1. Under $10K",IF(B1346&lt;50000,"2. $10K-50K",IF(B1346&lt;250000,"3. $50K-250K",IF(B1346&lt;1000000,"4. $250K-1M","5. $1M+"))))</f>
        <v>3. $50K-250K</v>
      </c>
      <c r="D1347" t="s">
        <v>1143</v>
      </c>
      <c r="E1347" t="s">
        <v>112</v>
      </c>
      <c r="F1347" t="s">
        <v>668</v>
      </c>
      <c r="G1347" t="s">
        <v>59</v>
      </c>
      <c r="H1347">
        <v>2023</v>
      </c>
    </row>
    <row r="1348" spans="1:8" x14ac:dyDescent="0.2">
      <c r="A1348">
        <v>211373</v>
      </c>
      <c r="B1348">
        <v>20000</v>
      </c>
      <c r="C1348" t="str">
        <f t="shared" si="21"/>
        <v>1. Under $10K</v>
      </c>
      <c r="D1348" t="s">
        <v>1144</v>
      </c>
      <c r="E1348" t="s">
        <v>112</v>
      </c>
      <c r="F1348" t="s">
        <v>668</v>
      </c>
      <c r="G1348" t="s">
        <v>59</v>
      </c>
      <c r="H1348">
        <v>2023</v>
      </c>
    </row>
    <row r="1349" spans="1:8" x14ac:dyDescent="0.2">
      <c r="A1349">
        <v>211377</v>
      </c>
      <c r="B1349">
        <v>50000</v>
      </c>
      <c r="C1349" t="str">
        <f t="shared" si="21"/>
        <v>2. $10K-50K</v>
      </c>
      <c r="D1349" t="s">
        <v>1145</v>
      </c>
      <c r="E1349" t="s">
        <v>112</v>
      </c>
      <c r="F1349" t="s">
        <v>668</v>
      </c>
      <c r="G1349" t="s">
        <v>59</v>
      </c>
      <c r="H1349">
        <v>2023</v>
      </c>
    </row>
    <row r="1350" spans="1:8" x14ac:dyDescent="0.2">
      <c r="A1350">
        <v>211553</v>
      </c>
      <c r="B1350">
        <v>10000</v>
      </c>
      <c r="C1350" t="str">
        <f t="shared" si="21"/>
        <v>3. $50K-250K</v>
      </c>
      <c r="D1350" t="s">
        <v>1146</v>
      </c>
      <c r="E1350" t="s">
        <v>112</v>
      </c>
      <c r="F1350" t="s">
        <v>668</v>
      </c>
      <c r="G1350" t="s">
        <v>59</v>
      </c>
      <c r="H1350">
        <v>2023</v>
      </c>
    </row>
    <row r="1351" spans="1:8" x14ac:dyDescent="0.2">
      <c r="A1351">
        <v>211554</v>
      </c>
      <c r="B1351">
        <v>30000</v>
      </c>
      <c r="C1351" t="str">
        <f t="shared" si="21"/>
        <v>2. $10K-50K</v>
      </c>
      <c r="D1351" t="s">
        <v>1147</v>
      </c>
      <c r="E1351" t="s">
        <v>112</v>
      </c>
      <c r="F1351" t="s">
        <v>668</v>
      </c>
      <c r="G1351" t="s">
        <v>59</v>
      </c>
      <c r="H1351">
        <v>2023</v>
      </c>
    </row>
    <row r="1352" spans="1:8" x14ac:dyDescent="0.2">
      <c r="A1352">
        <v>211555</v>
      </c>
      <c r="B1352">
        <v>25000</v>
      </c>
      <c r="C1352" t="str">
        <f t="shared" si="21"/>
        <v>2. $10K-50K</v>
      </c>
      <c r="D1352" t="s">
        <v>1148</v>
      </c>
      <c r="E1352" t="s">
        <v>112</v>
      </c>
      <c r="F1352" t="s">
        <v>668</v>
      </c>
      <c r="G1352" t="s">
        <v>59</v>
      </c>
      <c r="H1352">
        <v>2023</v>
      </c>
    </row>
    <row r="1353" spans="1:8" x14ac:dyDescent="0.2">
      <c r="A1353">
        <v>211556</v>
      </c>
      <c r="B1353">
        <v>9000</v>
      </c>
      <c r="C1353" t="str">
        <f t="shared" si="21"/>
        <v>2. $10K-50K</v>
      </c>
      <c r="D1353" t="s">
        <v>1149</v>
      </c>
      <c r="E1353" t="s">
        <v>112</v>
      </c>
      <c r="F1353" t="s">
        <v>668</v>
      </c>
      <c r="G1353" t="s">
        <v>59</v>
      </c>
      <c r="H1353">
        <v>2023</v>
      </c>
    </row>
    <row r="1354" spans="1:8" x14ac:dyDescent="0.2">
      <c r="A1354">
        <v>211557</v>
      </c>
      <c r="B1354">
        <v>25000</v>
      </c>
      <c r="C1354" t="str">
        <f t="shared" si="21"/>
        <v>1. Under $10K</v>
      </c>
      <c r="D1354" t="s">
        <v>1150</v>
      </c>
      <c r="E1354" t="s">
        <v>112</v>
      </c>
      <c r="F1354" t="s">
        <v>668</v>
      </c>
      <c r="G1354" t="s">
        <v>59</v>
      </c>
      <c r="H1354">
        <v>2023</v>
      </c>
    </row>
    <row r="1355" spans="1:8" x14ac:dyDescent="0.2">
      <c r="A1355">
        <v>211561</v>
      </c>
      <c r="B1355">
        <v>20000</v>
      </c>
      <c r="C1355" t="str">
        <f t="shared" si="21"/>
        <v>2. $10K-50K</v>
      </c>
      <c r="D1355" t="s">
        <v>1151</v>
      </c>
      <c r="E1355" t="s">
        <v>112</v>
      </c>
      <c r="F1355" t="s">
        <v>668</v>
      </c>
      <c r="G1355" t="s">
        <v>59</v>
      </c>
      <c r="H1355">
        <v>2023</v>
      </c>
    </row>
    <row r="1356" spans="1:8" x14ac:dyDescent="0.2">
      <c r="A1356">
        <v>211576</v>
      </c>
      <c r="B1356">
        <v>10000</v>
      </c>
      <c r="C1356" t="str">
        <f t="shared" si="21"/>
        <v>2. $10K-50K</v>
      </c>
      <c r="D1356" t="s">
        <v>1152</v>
      </c>
      <c r="E1356" t="s">
        <v>112</v>
      </c>
      <c r="F1356" t="s">
        <v>668</v>
      </c>
      <c r="G1356" t="s">
        <v>59</v>
      </c>
      <c r="H1356">
        <v>2023</v>
      </c>
    </row>
    <row r="1357" spans="1:8" x14ac:dyDescent="0.2">
      <c r="A1357">
        <v>211582</v>
      </c>
      <c r="B1357">
        <v>10000</v>
      </c>
      <c r="C1357" t="str">
        <f t="shared" si="21"/>
        <v>2. $10K-50K</v>
      </c>
      <c r="D1357" t="s">
        <v>1153</v>
      </c>
      <c r="E1357" t="s">
        <v>112</v>
      </c>
      <c r="F1357" t="s">
        <v>668</v>
      </c>
      <c r="G1357" t="s">
        <v>59</v>
      </c>
      <c r="H1357">
        <v>2023</v>
      </c>
    </row>
    <row r="1358" spans="1:8" x14ac:dyDescent="0.2">
      <c r="A1358">
        <v>211587</v>
      </c>
      <c r="B1358">
        <v>10000</v>
      </c>
      <c r="C1358" t="str">
        <f t="shared" si="21"/>
        <v>2. $10K-50K</v>
      </c>
      <c r="D1358" t="s">
        <v>1154</v>
      </c>
      <c r="E1358" t="s">
        <v>112</v>
      </c>
      <c r="F1358" t="s">
        <v>668</v>
      </c>
      <c r="G1358" t="s">
        <v>59</v>
      </c>
      <c r="H1358">
        <v>2023</v>
      </c>
    </row>
    <row r="1359" spans="1:8" x14ac:dyDescent="0.2">
      <c r="A1359">
        <v>211620</v>
      </c>
      <c r="B1359">
        <v>164288975</v>
      </c>
      <c r="C1359" t="str">
        <f t="shared" si="21"/>
        <v>2. $10K-50K</v>
      </c>
      <c r="D1359" t="s">
        <v>233</v>
      </c>
      <c r="E1359" t="s">
        <v>24</v>
      </c>
      <c r="F1359" t="s">
        <v>14</v>
      </c>
      <c r="G1359" t="s">
        <v>15</v>
      </c>
      <c r="H1359">
        <v>2023</v>
      </c>
    </row>
    <row r="1360" spans="1:8" x14ac:dyDescent="0.2">
      <c r="A1360">
        <v>211621</v>
      </c>
      <c r="B1360">
        <v>25000</v>
      </c>
      <c r="C1360" t="str">
        <f t="shared" si="21"/>
        <v>5. $1M+</v>
      </c>
      <c r="D1360" t="s">
        <v>1155</v>
      </c>
      <c r="E1360" t="s">
        <v>112</v>
      </c>
      <c r="F1360" t="s">
        <v>668</v>
      </c>
      <c r="G1360" t="s">
        <v>59</v>
      </c>
      <c r="H1360">
        <v>2023</v>
      </c>
    </row>
    <row r="1361" spans="1:8" x14ac:dyDescent="0.2">
      <c r="A1361">
        <v>211622</v>
      </c>
      <c r="B1361">
        <v>50000</v>
      </c>
      <c r="C1361" t="str">
        <f t="shared" si="21"/>
        <v>2. $10K-50K</v>
      </c>
      <c r="D1361" t="s">
        <v>1156</v>
      </c>
      <c r="E1361" t="s">
        <v>112</v>
      </c>
      <c r="F1361" t="s">
        <v>668</v>
      </c>
      <c r="G1361" t="s">
        <v>59</v>
      </c>
      <c r="H1361">
        <v>2023</v>
      </c>
    </row>
    <row r="1362" spans="1:8" x14ac:dyDescent="0.2">
      <c r="A1362">
        <v>211623</v>
      </c>
      <c r="B1362">
        <v>25000</v>
      </c>
      <c r="C1362" t="str">
        <f t="shared" si="21"/>
        <v>3. $50K-250K</v>
      </c>
      <c r="D1362" t="s">
        <v>1157</v>
      </c>
      <c r="E1362" t="s">
        <v>112</v>
      </c>
      <c r="F1362" t="s">
        <v>668</v>
      </c>
      <c r="G1362" t="s">
        <v>59</v>
      </c>
      <c r="H1362">
        <v>2023</v>
      </c>
    </row>
    <row r="1363" spans="1:8" x14ac:dyDescent="0.2">
      <c r="A1363">
        <v>211624</v>
      </c>
      <c r="B1363">
        <v>10000</v>
      </c>
      <c r="C1363" t="str">
        <f t="shared" si="21"/>
        <v>2. $10K-50K</v>
      </c>
      <c r="D1363" t="s">
        <v>1158</v>
      </c>
      <c r="E1363" t="s">
        <v>112</v>
      </c>
      <c r="F1363" t="s">
        <v>668</v>
      </c>
      <c r="G1363" t="s">
        <v>59</v>
      </c>
      <c r="H1363">
        <v>2023</v>
      </c>
    </row>
    <row r="1364" spans="1:8" x14ac:dyDescent="0.2">
      <c r="A1364">
        <v>211627</v>
      </c>
      <c r="B1364">
        <v>15000</v>
      </c>
      <c r="C1364" t="str">
        <f t="shared" si="21"/>
        <v>2. $10K-50K</v>
      </c>
      <c r="D1364" t="s">
        <v>1159</v>
      </c>
      <c r="E1364" t="s">
        <v>112</v>
      </c>
      <c r="F1364" t="s">
        <v>668</v>
      </c>
      <c r="G1364" t="s">
        <v>59</v>
      </c>
      <c r="H1364">
        <v>2023</v>
      </c>
    </row>
    <row r="1365" spans="1:8" x14ac:dyDescent="0.2">
      <c r="A1365">
        <v>211628</v>
      </c>
      <c r="B1365">
        <v>40000</v>
      </c>
      <c r="C1365" t="str">
        <f t="shared" si="21"/>
        <v>2. $10K-50K</v>
      </c>
      <c r="D1365" t="s">
        <v>1160</v>
      </c>
      <c r="E1365" t="s">
        <v>112</v>
      </c>
      <c r="F1365" t="s">
        <v>668</v>
      </c>
      <c r="G1365" t="s">
        <v>59</v>
      </c>
      <c r="H1365">
        <v>2023</v>
      </c>
    </row>
    <row r="1366" spans="1:8" x14ac:dyDescent="0.2">
      <c r="A1366">
        <v>211629</v>
      </c>
      <c r="B1366">
        <v>25000</v>
      </c>
      <c r="C1366" t="str">
        <f t="shared" si="21"/>
        <v>2. $10K-50K</v>
      </c>
      <c r="D1366" t="s">
        <v>1161</v>
      </c>
      <c r="E1366" t="s">
        <v>112</v>
      </c>
      <c r="F1366" t="s">
        <v>668</v>
      </c>
      <c r="G1366" t="s">
        <v>59</v>
      </c>
      <c r="H1366">
        <v>2023</v>
      </c>
    </row>
    <row r="1367" spans="1:8" x14ac:dyDescent="0.2">
      <c r="A1367">
        <v>211630</v>
      </c>
      <c r="B1367">
        <v>35000</v>
      </c>
      <c r="C1367" t="str">
        <f t="shared" si="21"/>
        <v>2. $10K-50K</v>
      </c>
      <c r="D1367" t="s">
        <v>1162</v>
      </c>
      <c r="E1367" t="s">
        <v>112</v>
      </c>
      <c r="F1367" t="s">
        <v>668</v>
      </c>
      <c r="G1367" t="s">
        <v>59</v>
      </c>
      <c r="H1367">
        <v>2023</v>
      </c>
    </row>
    <row r="1368" spans="1:8" x14ac:dyDescent="0.2">
      <c r="A1368">
        <v>211631</v>
      </c>
      <c r="B1368">
        <v>10000</v>
      </c>
      <c r="C1368" t="str">
        <f t="shared" si="21"/>
        <v>2. $10K-50K</v>
      </c>
      <c r="D1368" t="s">
        <v>1163</v>
      </c>
      <c r="E1368" t="s">
        <v>112</v>
      </c>
      <c r="F1368" t="s">
        <v>668</v>
      </c>
      <c r="G1368" t="s">
        <v>59</v>
      </c>
      <c r="H1368">
        <v>2023</v>
      </c>
    </row>
    <row r="1369" spans="1:8" x14ac:dyDescent="0.2">
      <c r="A1369">
        <v>211641</v>
      </c>
      <c r="B1369">
        <v>8000</v>
      </c>
      <c r="C1369" t="str">
        <f t="shared" si="21"/>
        <v>2. $10K-50K</v>
      </c>
      <c r="D1369" t="s">
        <v>1164</v>
      </c>
      <c r="E1369" t="s">
        <v>112</v>
      </c>
      <c r="F1369" t="s">
        <v>668</v>
      </c>
      <c r="G1369" t="s">
        <v>59</v>
      </c>
      <c r="H1369">
        <v>2023</v>
      </c>
    </row>
    <row r="1370" spans="1:8" x14ac:dyDescent="0.2">
      <c r="A1370">
        <v>211642</v>
      </c>
      <c r="B1370">
        <v>10000</v>
      </c>
      <c r="C1370" t="str">
        <f t="shared" si="21"/>
        <v>1. Under $10K</v>
      </c>
      <c r="D1370" t="s">
        <v>1165</v>
      </c>
      <c r="E1370" t="s">
        <v>112</v>
      </c>
      <c r="F1370" t="s">
        <v>668</v>
      </c>
      <c r="G1370" t="s">
        <v>59</v>
      </c>
      <c r="H1370">
        <v>2023</v>
      </c>
    </row>
    <row r="1371" spans="1:8" x14ac:dyDescent="0.2">
      <c r="A1371">
        <v>211644</v>
      </c>
      <c r="B1371">
        <v>50000</v>
      </c>
      <c r="C1371" t="str">
        <f t="shared" si="21"/>
        <v>2. $10K-50K</v>
      </c>
      <c r="D1371" t="s">
        <v>1166</v>
      </c>
      <c r="E1371" t="s">
        <v>112</v>
      </c>
      <c r="F1371" t="s">
        <v>668</v>
      </c>
      <c r="G1371" t="s">
        <v>59</v>
      </c>
      <c r="H1371">
        <v>2023</v>
      </c>
    </row>
    <row r="1372" spans="1:8" x14ac:dyDescent="0.2">
      <c r="A1372">
        <v>211645</v>
      </c>
      <c r="B1372">
        <v>276000</v>
      </c>
      <c r="C1372" t="str">
        <f t="shared" si="21"/>
        <v>3. $50K-250K</v>
      </c>
      <c r="D1372" t="s">
        <v>1093</v>
      </c>
      <c r="E1372" t="s">
        <v>237</v>
      </c>
      <c r="F1372" t="s">
        <v>670</v>
      </c>
      <c r="G1372" t="s">
        <v>59</v>
      </c>
      <c r="H1372">
        <v>2023</v>
      </c>
    </row>
    <row r="1373" spans="1:8" x14ac:dyDescent="0.2">
      <c r="A1373">
        <v>211646</v>
      </c>
      <c r="B1373">
        <v>207000</v>
      </c>
      <c r="C1373" t="str">
        <f t="shared" si="21"/>
        <v>4. $250K-1M</v>
      </c>
      <c r="D1373" t="s">
        <v>892</v>
      </c>
      <c r="E1373" t="s">
        <v>237</v>
      </c>
      <c r="F1373" t="s">
        <v>670</v>
      </c>
      <c r="G1373" t="s">
        <v>59</v>
      </c>
      <c r="H1373">
        <v>2023</v>
      </c>
    </row>
    <row r="1374" spans="1:8" x14ac:dyDescent="0.2">
      <c r="A1374">
        <v>211647</v>
      </c>
      <c r="B1374">
        <v>1449000</v>
      </c>
      <c r="C1374" t="str">
        <f t="shared" si="21"/>
        <v>3. $50K-250K</v>
      </c>
      <c r="D1374" t="s">
        <v>799</v>
      </c>
      <c r="E1374" t="s">
        <v>237</v>
      </c>
      <c r="F1374" t="s">
        <v>670</v>
      </c>
      <c r="G1374" t="s">
        <v>59</v>
      </c>
      <c r="H1374">
        <v>2023</v>
      </c>
    </row>
    <row r="1375" spans="1:8" x14ac:dyDescent="0.2">
      <c r="A1375">
        <v>211648</v>
      </c>
      <c r="B1375">
        <v>207000</v>
      </c>
      <c r="C1375" t="str">
        <f t="shared" si="21"/>
        <v>5. $1M+</v>
      </c>
      <c r="D1375" t="s">
        <v>916</v>
      </c>
      <c r="E1375" t="s">
        <v>237</v>
      </c>
      <c r="F1375" t="s">
        <v>670</v>
      </c>
      <c r="G1375" t="s">
        <v>59</v>
      </c>
      <c r="H1375">
        <v>2023</v>
      </c>
    </row>
    <row r="1376" spans="1:8" x14ac:dyDescent="0.2">
      <c r="A1376">
        <v>211657</v>
      </c>
      <c r="B1376">
        <v>621000</v>
      </c>
      <c r="C1376" t="str">
        <f t="shared" si="21"/>
        <v>3. $50K-250K</v>
      </c>
      <c r="D1376" t="s">
        <v>783</v>
      </c>
      <c r="E1376" t="s">
        <v>237</v>
      </c>
      <c r="F1376" t="s">
        <v>670</v>
      </c>
      <c r="G1376" t="s">
        <v>59</v>
      </c>
      <c r="H1376">
        <v>2023</v>
      </c>
    </row>
    <row r="1377" spans="1:8" x14ac:dyDescent="0.2">
      <c r="A1377">
        <v>211661</v>
      </c>
      <c r="B1377">
        <v>207000</v>
      </c>
      <c r="C1377" t="str">
        <f t="shared" si="21"/>
        <v>4. $250K-1M</v>
      </c>
      <c r="D1377" t="s">
        <v>1046</v>
      </c>
      <c r="E1377" t="s">
        <v>237</v>
      </c>
      <c r="F1377" t="s">
        <v>670</v>
      </c>
      <c r="G1377" t="s">
        <v>59</v>
      </c>
      <c r="H1377">
        <v>2023</v>
      </c>
    </row>
    <row r="1378" spans="1:8" x14ac:dyDescent="0.2">
      <c r="A1378">
        <v>211665</v>
      </c>
      <c r="B1378">
        <v>207000</v>
      </c>
      <c r="C1378" t="str">
        <f t="shared" si="21"/>
        <v>3. $50K-250K</v>
      </c>
      <c r="D1378" t="s">
        <v>1167</v>
      </c>
      <c r="E1378" t="s">
        <v>237</v>
      </c>
      <c r="F1378" t="s">
        <v>670</v>
      </c>
      <c r="G1378" t="s">
        <v>59</v>
      </c>
      <c r="H1378">
        <v>2023</v>
      </c>
    </row>
    <row r="1379" spans="1:8" x14ac:dyDescent="0.2">
      <c r="A1379">
        <v>211666</v>
      </c>
      <c r="B1379">
        <v>207000</v>
      </c>
      <c r="C1379" t="str">
        <f t="shared" si="21"/>
        <v>3. $50K-250K</v>
      </c>
      <c r="D1379" t="s">
        <v>719</v>
      </c>
      <c r="E1379" t="s">
        <v>237</v>
      </c>
      <c r="F1379" t="s">
        <v>670</v>
      </c>
      <c r="G1379" t="s">
        <v>59</v>
      </c>
      <c r="H1379">
        <v>2023</v>
      </c>
    </row>
    <row r="1380" spans="1:8" x14ac:dyDescent="0.2">
      <c r="A1380">
        <v>211667</v>
      </c>
      <c r="B1380">
        <v>207000</v>
      </c>
      <c r="C1380" t="str">
        <f t="shared" si="21"/>
        <v>3. $50K-250K</v>
      </c>
      <c r="D1380" t="s">
        <v>720</v>
      </c>
      <c r="E1380" t="s">
        <v>237</v>
      </c>
      <c r="F1380" t="s">
        <v>670</v>
      </c>
      <c r="G1380" t="s">
        <v>59</v>
      </c>
      <c r="H1380">
        <v>2023</v>
      </c>
    </row>
    <row r="1381" spans="1:8" x14ac:dyDescent="0.2">
      <c r="A1381">
        <v>211669</v>
      </c>
      <c r="B1381">
        <v>414000</v>
      </c>
      <c r="C1381" t="str">
        <f t="shared" si="21"/>
        <v>3. $50K-250K</v>
      </c>
      <c r="D1381" t="s">
        <v>694</v>
      </c>
      <c r="E1381" t="s">
        <v>237</v>
      </c>
      <c r="F1381" t="s">
        <v>670</v>
      </c>
      <c r="G1381" t="s">
        <v>59</v>
      </c>
      <c r="H1381">
        <v>2023</v>
      </c>
    </row>
    <row r="1382" spans="1:8" x14ac:dyDescent="0.2">
      <c r="A1382">
        <v>211670</v>
      </c>
      <c r="B1382">
        <v>207000</v>
      </c>
      <c r="C1382" t="str">
        <f t="shared" si="21"/>
        <v>4. $250K-1M</v>
      </c>
      <c r="D1382" t="s">
        <v>919</v>
      </c>
      <c r="E1382" t="s">
        <v>237</v>
      </c>
      <c r="F1382" t="s">
        <v>670</v>
      </c>
      <c r="G1382" t="s">
        <v>59</v>
      </c>
      <c r="H1382">
        <v>2023</v>
      </c>
    </row>
    <row r="1383" spans="1:8" x14ac:dyDescent="0.2">
      <c r="A1383">
        <v>211671</v>
      </c>
      <c r="B1383">
        <v>414000</v>
      </c>
      <c r="C1383" t="str">
        <f t="shared" si="21"/>
        <v>3. $50K-250K</v>
      </c>
      <c r="D1383" t="s">
        <v>1067</v>
      </c>
      <c r="E1383" t="s">
        <v>237</v>
      </c>
      <c r="F1383" t="s">
        <v>670</v>
      </c>
      <c r="G1383" t="s">
        <v>59</v>
      </c>
      <c r="H1383">
        <v>2023</v>
      </c>
    </row>
    <row r="1384" spans="1:8" x14ac:dyDescent="0.2">
      <c r="A1384">
        <v>211672</v>
      </c>
      <c r="B1384">
        <v>207000</v>
      </c>
      <c r="C1384" t="str">
        <f t="shared" si="21"/>
        <v>4. $250K-1M</v>
      </c>
      <c r="D1384" t="s">
        <v>1068</v>
      </c>
      <c r="E1384" t="s">
        <v>237</v>
      </c>
      <c r="F1384" t="s">
        <v>670</v>
      </c>
      <c r="G1384" t="s">
        <v>59</v>
      </c>
      <c r="H1384">
        <v>2023</v>
      </c>
    </row>
    <row r="1385" spans="1:8" x14ac:dyDescent="0.2">
      <c r="A1385">
        <v>211673</v>
      </c>
      <c r="B1385">
        <v>310500</v>
      </c>
      <c r="C1385" t="str">
        <f t="shared" si="21"/>
        <v>3. $50K-250K</v>
      </c>
      <c r="D1385" t="s">
        <v>724</v>
      </c>
      <c r="E1385" t="s">
        <v>237</v>
      </c>
      <c r="F1385" t="s">
        <v>670</v>
      </c>
      <c r="G1385" t="s">
        <v>59</v>
      </c>
      <c r="H1385">
        <v>2023</v>
      </c>
    </row>
    <row r="1386" spans="1:8" x14ac:dyDescent="0.2">
      <c r="A1386">
        <v>211674</v>
      </c>
      <c r="B1386">
        <v>207000</v>
      </c>
      <c r="C1386" t="str">
        <f t="shared" si="21"/>
        <v>4. $250K-1M</v>
      </c>
      <c r="D1386" t="s">
        <v>920</v>
      </c>
      <c r="E1386" t="s">
        <v>237</v>
      </c>
      <c r="F1386" t="s">
        <v>670</v>
      </c>
      <c r="G1386" t="s">
        <v>59</v>
      </c>
      <c r="H1386">
        <v>2023</v>
      </c>
    </row>
    <row r="1387" spans="1:8" x14ac:dyDescent="0.2">
      <c r="A1387">
        <v>211675</v>
      </c>
      <c r="B1387">
        <v>517500</v>
      </c>
      <c r="C1387" t="str">
        <f t="shared" si="21"/>
        <v>3. $50K-250K</v>
      </c>
      <c r="D1387" t="s">
        <v>1069</v>
      </c>
      <c r="E1387" t="s">
        <v>237</v>
      </c>
      <c r="F1387" t="s">
        <v>670</v>
      </c>
      <c r="G1387" t="s">
        <v>59</v>
      </c>
      <c r="H1387">
        <v>2023</v>
      </c>
    </row>
    <row r="1388" spans="1:8" x14ac:dyDescent="0.2">
      <c r="A1388">
        <v>211680</v>
      </c>
      <c r="B1388">
        <v>379500</v>
      </c>
      <c r="C1388" t="str">
        <f t="shared" si="21"/>
        <v>4. $250K-1M</v>
      </c>
      <c r="D1388" t="s">
        <v>1168</v>
      </c>
      <c r="E1388" t="s">
        <v>237</v>
      </c>
      <c r="F1388" t="s">
        <v>670</v>
      </c>
      <c r="G1388" t="s">
        <v>59</v>
      </c>
      <c r="H1388">
        <v>2023</v>
      </c>
    </row>
    <row r="1389" spans="1:8" x14ac:dyDescent="0.2">
      <c r="A1389">
        <v>211681</v>
      </c>
      <c r="B1389">
        <v>207000</v>
      </c>
      <c r="C1389" t="str">
        <f t="shared" si="21"/>
        <v>4. $250K-1M</v>
      </c>
      <c r="D1389" t="s">
        <v>701</v>
      </c>
      <c r="E1389" t="s">
        <v>237</v>
      </c>
      <c r="F1389" t="s">
        <v>670</v>
      </c>
      <c r="G1389" t="s">
        <v>59</v>
      </c>
      <c r="H1389">
        <v>2023</v>
      </c>
    </row>
    <row r="1390" spans="1:8" x14ac:dyDescent="0.2">
      <c r="A1390">
        <v>211683</v>
      </c>
      <c r="B1390">
        <v>414000</v>
      </c>
      <c r="C1390" t="str">
        <f t="shared" si="21"/>
        <v>3. $50K-250K</v>
      </c>
      <c r="D1390" t="s">
        <v>985</v>
      </c>
      <c r="E1390" t="s">
        <v>237</v>
      </c>
      <c r="F1390" t="s">
        <v>670</v>
      </c>
      <c r="G1390" t="s">
        <v>59</v>
      </c>
      <c r="H1390">
        <v>2023</v>
      </c>
    </row>
    <row r="1391" spans="1:8" x14ac:dyDescent="0.2">
      <c r="A1391">
        <v>211684</v>
      </c>
      <c r="B1391">
        <v>448500</v>
      </c>
      <c r="C1391" t="str">
        <f t="shared" si="21"/>
        <v>4. $250K-1M</v>
      </c>
      <c r="D1391" t="s">
        <v>912</v>
      </c>
      <c r="E1391" t="s">
        <v>237</v>
      </c>
      <c r="F1391" t="s">
        <v>670</v>
      </c>
      <c r="G1391" t="s">
        <v>59</v>
      </c>
      <c r="H1391">
        <v>2023</v>
      </c>
    </row>
    <row r="1392" spans="1:8" x14ac:dyDescent="0.2">
      <c r="A1392">
        <v>211685</v>
      </c>
      <c r="B1392">
        <v>207000</v>
      </c>
      <c r="C1392" t="str">
        <f t="shared" si="21"/>
        <v>4. $250K-1M</v>
      </c>
      <c r="D1392" t="s">
        <v>881</v>
      </c>
      <c r="E1392" t="s">
        <v>237</v>
      </c>
      <c r="F1392" t="s">
        <v>670</v>
      </c>
      <c r="G1392" t="s">
        <v>59</v>
      </c>
      <c r="H1392">
        <v>2023</v>
      </c>
    </row>
    <row r="1393" spans="1:8" x14ac:dyDescent="0.2">
      <c r="A1393">
        <v>211686</v>
      </c>
      <c r="B1393">
        <v>207000</v>
      </c>
      <c r="C1393" t="str">
        <f t="shared" si="21"/>
        <v>3. $50K-250K</v>
      </c>
      <c r="D1393" t="s">
        <v>988</v>
      </c>
      <c r="E1393" t="s">
        <v>237</v>
      </c>
      <c r="F1393" t="s">
        <v>670</v>
      </c>
      <c r="G1393" t="s">
        <v>59</v>
      </c>
      <c r="H1393">
        <v>2023</v>
      </c>
    </row>
    <row r="1394" spans="1:8" x14ac:dyDescent="0.2">
      <c r="A1394">
        <v>211687</v>
      </c>
      <c r="B1394">
        <v>207000</v>
      </c>
      <c r="C1394" t="str">
        <f t="shared" si="21"/>
        <v>3. $50K-250K</v>
      </c>
      <c r="D1394" t="s">
        <v>1169</v>
      </c>
      <c r="E1394" t="s">
        <v>237</v>
      </c>
      <c r="F1394" t="s">
        <v>670</v>
      </c>
      <c r="G1394" t="s">
        <v>59</v>
      </c>
      <c r="H1394">
        <v>2023</v>
      </c>
    </row>
    <row r="1395" spans="1:8" x14ac:dyDescent="0.2">
      <c r="A1395">
        <v>211688</v>
      </c>
      <c r="B1395">
        <v>207000</v>
      </c>
      <c r="C1395" t="str">
        <f t="shared" si="21"/>
        <v>3. $50K-250K</v>
      </c>
      <c r="D1395" t="s">
        <v>748</v>
      </c>
      <c r="E1395" t="s">
        <v>237</v>
      </c>
      <c r="F1395" t="s">
        <v>670</v>
      </c>
      <c r="G1395" t="s">
        <v>59</v>
      </c>
      <c r="H1395">
        <v>2023</v>
      </c>
    </row>
    <row r="1396" spans="1:8" x14ac:dyDescent="0.2">
      <c r="A1396">
        <v>211689</v>
      </c>
      <c r="B1396">
        <v>207000</v>
      </c>
      <c r="C1396" t="str">
        <f t="shared" si="21"/>
        <v>3. $50K-250K</v>
      </c>
      <c r="D1396" t="s">
        <v>749</v>
      </c>
      <c r="E1396" t="s">
        <v>237</v>
      </c>
      <c r="F1396" t="s">
        <v>670</v>
      </c>
      <c r="G1396" t="s">
        <v>59</v>
      </c>
      <c r="H1396">
        <v>2023</v>
      </c>
    </row>
    <row r="1397" spans="1:8" x14ac:dyDescent="0.2">
      <c r="A1397">
        <v>211691</v>
      </c>
      <c r="B1397">
        <v>414000</v>
      </c>
      <c r="C1397" t="str">
        <f t="shared" si="21"/>
        <v>3. $50K-250K</v>
      </c>
      <c r="D1397" t="s">
        <v>989</v>
      </c>
      <c r="E1397" t="s">
        <v>237</v>
      </c>
      <c r="F1397" t="s">
        <v>670</v>
      </c>
      <c r="G1397" t="s">
        <v>59</v>
      </c>
      <c r="H1397">
        <v>2023</v>
      </c>
    </row>
    <row r="1398" spans="1:8" x14ac:dyDescent="0.2">
      <c r="A1398">
        <v>211692</v>
      </c>
      <c r="B1398">
        <v>621000</v>
      </c>
      <c r="C1398" t="str">
        <f t="shared" si="21"/>
        <v>4. $250K-1M</v>
      </c>
      <c r="D1398" t="s">
        <v>779</v>
      </c>
      <c r="E1398" t="s">
        <v>237</v>
      </c>
      <c r="F1398" t="s">
        <v>670</v>
      </c>
      <c r="G1398" t="s">
        <v>59</v>
      </c>
      <c r="H1398">
        <v>2023</v>
      </c>
    </row>
    <row r="1399" spans="1:8" x14ac:dyDescent="0.2">
      <c r="A1399">
        <v>211698</v>
      </c>
      <c r="B1399">
        <v>21000</v>
      </c>
      <c r="C1399" t="str">
        <f t="shared" si="21"/>
        <v>4. $250K-1M</v>
      </c>
      <c r="D1399" t="s">
        <v>1170</v>
      </c>
      <c r="E1399" t="s">
        <v>432</v>
      </c>
      <c r="F1399" t="s">
        <v>670</v>
      </c>
      <c r="G1399" t="s">
        <v>44</v>
      </c>
      <c r="H1399">
        <v>2023</v>
      </c>
    </row>
    <row r="1400" spans="1:8" x14ac:dyDescent="0.2">
      <c r="A1400">
        <v>211699</v>
      </c>
      <c r="B1400">
        <v>25250</v>
      </c>
      <c r="C1400" t="str">
        <f t="shared" si="21"/>
        <v>2. $10K-50K</v>
      </c>
      <c r="D1400" t="s">
        <v>1171</v>
      </c>
      <c r="E1400" t="s">
        <v>819</v>
      </c>
      <c r="F1400" t="s">
        <v>670</v>
      </c>
      <c r="G1400" t="s">
        <v>44</v>
      </c>
      <c r="H1400">
        <v>2023</v>
      </c>
    </row>
    <row r="1401" spans="1:8" x14ac:dyDescent="0.2">
      <c r="A1401">
        <v>211700</v>
      </c>
      <c r="B1401">
        <v>25000</v>
      </c>
      <c r="C1401" t="str">
        <f t="shared" si="21"/>
        <v>2. $10K-50K</v>
      </c>
      <c r="D1401" t="s">
        <v>1172</v>
      </c>
      <c r="E1401" t="s">
        <v>819</v>
      </c>
      <c r="F1401" t="s">
        <v>670</v>
      </c>
      <c r="G1401" t="s">
        <v>44</v>
      </c>
      <c r="H1401">
        <v>2023</v>
      </c>
    </row>
    <row r="1402" spans="1:8" x14ac:dyDescent="0.2">
      <c r="A1402">
        <v>211701</v>
      </c>
      <c r="B1402">
        <v>24976</v>
      </c>
      <c r="C1402" t="str">
        <f t="shared" si="21"/>
        <v>2. $10K-50K</v>
      </c>
      <c r="D1402" t="s">
        <v>1173</v>
      </c>
      <c r="E1402" t="s">
        <v>819</v>
      </c>
      <c r="F1402" t="s">
        <v>670</v>
      </c>
      <c r="G1402" t="s">
        <v>44</v>
      </c>
      <c r="H1402">
        <v>2023</v>
      </c>
    </row>
    <row r="1403" spans="1:8" x14ac:dyDescent="0.2">
      <c r="A1403">
        <v>211708</v>
      </c>
      <c r="B1403">
        <v>338424.2</v>
      </c>
      <c r="C1403" t="str">
        <f t="shared" si="21"/>
        <v>2. $10K-50K</v>
      </c>
      <c r="D1403" t="s">
        <v>1028</v>
      </c>
      <c r="E1403" t="s">
        <v>42</v>
      </c>
      <c r="F1403" t="s">
        <v>670</v>
      </c>
      <c r="G1403" t="s">
        <v>59</v>
      </c>
      <c r="H1403">
        <v>2023</v>
      </c>
    </row>
    <row r="1404" spans="1:8" x14ac:dyDescent="0.2">
      <c r="A1404">
        <v>211710</v>
      </c>
      <c r="B1404">
        <v>150577</v>
      </c>
      <c r="C1404" t="str">
        <f t="shared" si="21"/>
        <v>4. $250K-1M</v>
      </c>
      <c r="D1404" t="s">
        <v>1174</v>
      </c>
      <c r="E1404" t="s">
        <v>42</v>
      </c>
      <c r="F1404" t="s">
        <v>670</v>
      </c>
      <c r="G1404" t="s">
        <v>59</v>
      </c>
      <c r="H1404">
        <v>2023</v>
      </c>
    </row>
    <row r="1405" spans="1:8" x14ac:dyDescent="0.2">
      <c r="A1405">
        <v>211740</v>
      </c>
      <c r="B1405">
        <v>207000</v>
      </c>
      <c r="C1405" t="str">
        <f t="shared" si="21"/>
        <v>3. $50K-250K</v>
      </c>
      <c r="D1405" t="s">
        <v>1105</v>
      </c>
      <c r="E1405" t="s">
        <v>237</v>
      </c>
      <c r="F1405" t="s">
        <v>670</v>
      </c>
      <c r="G1405" t="s">
        <v>59</v>
      </c>
      <c r="H1405">
        <v>2023</v>
      </c>
    </row>
    <row r="1406" spans="1:8" x14ac:dyDescent="0.2">
      <c r="A1406">
        <v>211741</v>
      </c>
      <c r="B1406">
        <v>414000</v>
      </c>
      <c r="C1406" t="str">
        <f t="shared" si="21"/>
        <v>3. $50K-250K</v>
      </c>
      <c r="D1406" t="s">
        <v>801</v>
      </c>
      <c r="E1406" t="s">
        <v>237</v>
      </c>
      <c r="F1406" t="s">
        <v>670</v>
      </c>
      <c r="G1406" t="s">
        <v>59</v>
      </c>
      <c r="H1406">
        <v>2023</v>
      </c>
    </row>
    <row r="1407" spans="1:8" x14ac:dyDescent="0.2">
      <c r="A1407">
        <v>211742</v>
      </c>
      <c r="B1407">
        <v>207000</v>
      </c>
      <c r="C1407" t="str">
        <f t="shared" si="21"/>
        <v>4. $250K-1M</v>
      </c>
      <c r="D1407" t="s">
        <v>830</v>
      </c>
      <c r="E1407" t="s">
        <v>237</v>
      </c>
      <c r="F1407" t="s">
        <v>670</v>
      </c>
      <c r="G1407" t="s">
        <v>59</v>
      </c>
      <c r="H1407">
        <v>2023</v>
      </c>
    </row>
    <row r="1408" spans="1:8" x14ac:dyDescent="0.2">
      <c r="A1408">
        <v>211743</v>
      </c>
      <c r="B1408">
        <v>207000</v>
      </c>
      <c r="C1408" t="str">
        <f t="shared" si="21"/>
        <v>3. $50K-250K</v>
      </c>
      <c r="D1408" t="s">
        <v>802</v>
      </c>
      <c r="E1408" t="s">
        <v>237</v>
      </c>
      <c r="F1408" t="s">
        <v>670</v>
      </c>
      <c r="G1408" t="s">
        <v>59</v>
      </c>
      <c r="H1408">
        <v>2023</v>
      </c>
    </row>
    <row r="1409" spans="1:8" x14ac:dyDescent="0.2">
      <c r="A1409">
        <v>211744</v>
      </c>
      <c r="B1409">
        <v>207000</v>
      </c>
      <c r="C1409" t="str">
        <f t="shared" si="21"/>
        <v>3. $50K-250K</v>
      </c>
      <c r="D1409" t="s">
        <v>1175</v>
      </c>
      <c r="E1409" t="s">
        <v>237</v>
      </c>
      <c r="F1409" t="s">
        <v>670</v>
      </c>
      <c r="G1409" t="s">
        <v>59</v>
      </c>
      <c r="H1409">
        <v>2023</v>
      </c>
    </row>
    <row r="1410" spans="1:8" x14ac:dyDescent="0.2">
      <c r="A1410">
        <v>211745</v>
      </c>
      <c r="B1410">
        <v>414000</v>
      </c>
      <c r="C1410" t="str">
        <f t="shared" si="21"/>
        <v>3. $50K-250K</v>
      </c>
      <c r="D1410" t="s">
        <v>1176</v>
      </c>
      <c r="E1410" t="s">
        <v>237</v>
      </c>
      <c r="F1410" t="s">
        <v>670</v>
      </c>
      <c r="G1410" t="s">
        <v>59</v>
      </c>
      <c r="H1410">
        <v>2023</v>
      </c>
    </row>
    <row r="1411" spans="1:8" x14ac:dyDescent="0.2">
      <c r="A1411">
        <v>211746</v>
      </c>
      <c r="B1411">
        <v>207000</v>
      </c>
      <c r="C1411" t="str">
        <f t="shared" ref="C1411:C1474" si="22">IF(B1410&lt;10000,"1. Under $10K",IF(B1410&lt;50000,"2. $10K-50K",IF(B1410&lt;250000,"3. $50K-250K",IF(B1410&lt;1000000,"4. $250K-1M","5. $1M+"))))</f>
        <v>4. $250K-1M</v>
      </c>
      <c r="D1411" t="s">
        <v>762</v>
      </c>
      <c r="E1411" t="s">
        <v>237</v>
      </c>
      <c r="F1411" t="s">
        <v>670</v>
      </c>
      <c r="G1411" t="s">
        <v>59</v>
      </c>
      <c r="H1411">
        <v>2023</v>
      </c>
    </row>
    <row r="1412" spans="1:8" x14ac:dyDescent="0.2">
      <c r="A1412">
        <v>211747</v>
      </c>
      <c r="B1412">
        <v>207000</v>
      </c>
      <c r="C1412" t="str">
        <f t="shared" si="22"/>
        <v>3. $50K-250K</v>
      </c>
      <c r="D1412" t="s">
        <v>1076</v>
      </c>
      <c r="E1412" t="s">
        <v>237</v>
      </c>
      <c r="F1412" t="s">
        <v>670</v>
      </c>
      <c r="G1412" t="s">
        <v>59</v>
      </c>
      <c r="H1412">
        <v>2023</v>
      </c>
    </row>
    <row r="1413" spans="1:8" x14ac:dyDescent="0.2">
      <c r="A1413">
        <v>211748</v>
      </c>
      <c r="B1413">
        <v>207000</v>
      </c>
      <c r="C1413" t="str">
        <f t="shared" si="22"/>
        <v>3. $50K-250K</v>
      </c>
      <c r="D1413" t="s">
        <v>1077</v>
      </c>
      <c r="E1413" t="s">
        <v>237</v>
      </c>
      <c r="F1413" t="s">
        <v>670</v>
      </c>
      <c r="G1413" t="s">
        <v>59</v>
      </c>
      <c r="H1413">
        <v>2023</v>
      </c>
    </row>
    <row r="1414" spans="1:8" x14ac:dyDescent="0.2">
      <c r="A1414">
        <v>211750</v>
      </c>
      <c r="B1414">
        <v>310500</v>
      </c>
      <c r="C1414" t="str">
        <f t="shared" si="22"/>
        <v>3. $50K-250K</v>
      </c>
      <c r="D1414" t="s">
        <v>1177</v>
      </c>
      <c r="E1414" t="s">
        <v>237</v>
      </c>
      <c r="F1414" t="s">
        <v>670</v>
      </c>
      <c r="G1414" t="s">
        <v>59</v>
      </c>
      <c r="H1414">
        <v>2023</v>
      </c>
    </row>
    <row r="1415" spans="1:8" x14ac:dyDescent="0.2">
      <c r="A1415">
        <v>211751</v>
      </c>
      <c r="B1415">
        <v>207000</v>
      </c>
      <c r="C1415" t="str">
        <f t="shared" si="22"/>
        <v>4. $250K-1M</v>
      </c>
      <c r="D1415" t="s">
        <v>1178</v>
      </c>
      <c r="E1415" t="s">
        <v>237</v>
      </c>
      <c r="F1415" t="s">
        <v>670</v>
      </c>
      <c r="G1415" t="s">
        <v>59</v>
      </c>
      <c r="H1415">
        <v>2023</v>
      </c>
    </row>
    <row r="1416" spans="1:8" x14ac:dyDescent="0.2">
      <c r="A1416">
        <v>211752</v>
      </c>
      <c r="B1416">
        <v>207000</v>
      </c>
      <c r="C1416" t="str">
        <f t="shared" si="22"/>
        <v>3. $50K-250K</v>
      </c>
      <c r="D1416" t="s">
        <v>711</v>
      </c>
      <c r="E1416" t="s">
        <v>237</v>
      </c>
      <c r="F1416" t="s">
        <v>670</v>
      </c>
      <c r="G1416" t="s">
        <v>59</v>
      </c>
      <c r="H1416">
        <v>2023</v>
      </c>
    </row>
    <row r="1417" spans="1:8" x14ac:dyDescent="0.2">
      <c r="A1417">
        <v>211754</v>
      </c>
      <c r="B1417">
        <v>414000</v>
      </c>
      <c r="C1417" t="str">
        <f t="shared" si="22"/>
        <v>3. $50K-250K</v>
      </c>
      <c r="D1417" t="s">
        <v>781</v>
      </c>
      <c r="E1417" t="s">
        <v>237</v>
      </c>
      <c r="F1417" t="s">
        <v>670</v>
      </c>
      <c r="G1417" t="s">
        <v>59</v>
      </c>
      <c r="H1417">
        <v>2023</v>
      </c>
    </row>
    <row r="1418" spans="1:8" x14ac:dyDescent="0.2">
      <c r="A1418">
        <v>211755</v>
      </c>
      <c r="B1418">
        <v>828000</v>
      </c>
      <c r="C1418" t="str">
        <f t="shared" si="22"/>
        <v>4. $250K-1M</v>
      </c>
      <c r="D1418" t="s">
        <v>1079</v>
      </c>
      <c r="E1418" t="s">
        <v>237</v>
      </c>
      <c r="F1418" t="s">
        <v>670</v>
      </c>
      <c r="G1418" t="s">
        <v>59</v>
      </c>
      <c r="H1418">
        <v>2023</v>
      </c>
    </row>
    <row r="1419" spans="1:8" x14ac:dyDescent="0.2">
      <c r="A1419">
        <v>211756</v>
      </c>
      <c r="B1419">
        <v>207000</v>
      </c>
      <c r="C1419" t="str">
        <f t="shared" si="22"/>
        <v>4. $250K-1M</v>
      </c>
      <c r="D1419" t="s">
        <v>782</v>
      </c>
      <c r="E1419" t="s">
        <v>237</v>
      </c>
      <c r="F1419" t="s">
        <v>670</v>
      </c>
      <c r="G1419" t="s">
        <v>59</v>
      </c>
      <c r="H1419">
        <v>2023</v>
      </c>
    </row>
    <row r="1420" spans="1:8" x14ac:dyDescent="0.2">
      <c r="A1420">
        <v>211757</v>
      </c>
      <c r="B1420">
        <v>207000</v>
      </c>
      <c r="C1420" t="str">
        <f t="shared" si="22"/>
        <v>3. $50K-250K</v>
      </c>
      <c r="D1420" t="s">
        <v>1179</v>
      </c>
      <c r="E1420" t="s">
        <v>237</v>
      </c>
      <c r="F1420" t="s">
        <v>670</v>
      </c>
      <c r="G1420" t="s">
        <v>59</v>
      </c>
      <c r="H1420">
        <v>2023</v>
      </c>
    </row>
    <row r="1421" spans="1:8" x14ac:dyDescent="0.2">
      <c r="A1421">
        <v>211758</v>
      </c>
      <c r="B1421">
        <v>207000</v>
      </c>
      <c r="C1421" t="str">
        <f t="shared" si="22"/>
        <v>3. $50K-250K</v>
      </c>
      <c r="D1421" t="s">
        <v>1180</v>
      </c>
      <c r="E1421" t="s">
        <v>237</v>
      </c>
      <c r="F1421" t="s">
        <v>670</v>
      </c>
      <c r="G1421" t="s">
        <v>59</v>
      </c>
      <c r="H1421">
        <v>2023</v>
      </c>
    </row>
    <row r="1422" spans="1:8" x14ac:dyDescent="0.2">
      <c r="A1422">
        <v>211759</v>
      </c>
      <c r="B1422">
        <v>621000</v>
      </c>
      <c r="C1422" t="str">
        <f t="shared" si="22"/>
        <v>3. $50K-250K</v>
      </c>
      <c r="D1422" t="s">
        <v>713</v>
      </c>
      <c r="E1422" t="s">
        <v>237</v>
      </c>
      <c r="F1422" t="s">
        <v>670</v>
      </c>
      <c r="G1422" t="s">
        <v>59</v>
      </c>
      <c r="H1422">
        <v>2023</v>
      </c>
    </row>
    <row r="1423" spans="1:8" x14ac:dyDescent="0.2">
      <c r="A1423">
        <v>211760</v>
      </c>
      <c r="B1423">
        <v>10660550</v>
      </c>
      <c r="C1423" t="str">
        <f t="shared" si="22"/>
        <v>4. $250K-1M</v>
      </c>
      <c r="D1423" t="s">
        <v>1084</v>
      </c>
      <c r="E1423" t="s">
        <v>237</v>
      </c>
      <c r="F1423" t="s">
        <v>670</v>
      </c>
      <c r="G1423" t="s">
        <v>59</v>
      </c>
      <c r="H1423">
        <v>2023</v>
      </c>
    </row>
    <row r="1424" spans="1:8" x14ac:dyDescent="0.2">
      <c r="A1424">
        <v>211876</v>
      </c>
      <c r="B1424">
        <v>5000</v>
      </c>
      <c r="C1424" t="str">
        <f t="shared" si="22"/>
        <v>5. $1M+</v>
      </c>
      <c r="D1424" t="s">
        <v>1108</v>
      </c>
      <c r="E1424" t="s">
        <v>368</v>
      </c>
      <c r="F1424" t="s">
        <v>670</v>
      </c>
      <c r="G1424" t="s">
        <v>59</v>
      </c>
      <c r="H1424">
        <v>2023</v>
      </c>
    </row>
    <row r="1425" spans="1:8" x14ac:dyDescent="0.2">
      <c r="A1425">
        <v>211877</v>
      </c>
      <c r="B1425">
        <v>1000</v>
      </c>
      <c r="C1425" t="str">
        <f t="shared" si="22"/>
        <v>1. Under $10K</v>
      </c>
      <c r="D1425" t="s">
        <v>1181</v>
      </c>
      <c r="E1425" t="s">
        <v>368</v>
      </c>
      <c r="F1425" t="s">
        <v>670</v>
      </c>
      <c r="G1425" t="s">
        <v>59</v>
      </c>
      <c r="H1425">
        <v>2023</v>
      </c>
    </row>
    <row r="1426" spans="1:8" x14ac:dyDescent="0.2">
      <c r="A1426">
        <v>211986</v>
      </c>
      <c r="B1426">
        <v>250000</v>
      </c>
      <c r="C1426" t="str">
        <f t="shared" si="22"/>
        <v>1. Under $10K</v>
      </c>
      <c r="D1426" t="s">
        <v>1182</v>
      </c>
      <c r="E1426" t="s">
        <v>59</v>
      </c>
      <c r="F1426" t="s">
        <v>670</v>
      </c>
      <c r="G1426" t="s">
        <v>59</v>
      </c>
      <c r="H1426">
        <v>2023</v>
      </c>
    </row>
    <row r="1427" spans="1:8" x14ac:dyDescent="0.2">
      <c r="A1427">
        <v>212020</v>
      </c>
      <c r="B1427">
        <v>1047204.8</v>
      </c>
      <c r="C1427" t="str">
        <f t="shared" si="22"/>
        <v>4. $250K-1M</v>
      </c>
      <c r="D1427" t="s">
        <v>791</v>
      </c>
      <c r="E1427" t="s">
        <v>42</v>
      </c>
      <c r="F1427" t="s">
        <v>670</v>
      </c>
      <c r="G1427" t="s">
        <v>44</v>
      </c>
      <c r="H1427">
        <v>2023</v>
      </c>
    </row>
    <row r="1428" spans="1:8" x14ac:dyDescent="0.2">
      <c r="A1428">
        <v>212021</v>
      </c>
      <c r="B1428">
        <v>300000</v>
      </c>
      <c r="C1428" t="str">
        <f t="shared" si="22"/>
        <v>5. $1M+</v>
      </c>
      <c r="D1428" t="s">
        <v>848</v>
      </c>
      <c r="E1428" t="s">
        <v>59</v>
      </c>
      <c r="F1428" t="s">
        <v>670</v>
      </c>
      <c r="G1428" t="s">
        <v>59</v>
      </c>
      <c r="H1428">
        <v>2023</v>
      </c>
    </row>
    <row r="1429" spans="1:8" x14ac:dyDescent="0.2">
      <c r="A1429">
        <v>212035</v>
      </c>
      <c r="B1429">
        <v>9000</v>
      </c>
      <c r="C1429" t="str">
        <f t="shared" si="22"/>
        <v>4. $250K-1M</v>
      </c>
      <c r="D1429" t="s">
        <v>1183</v>
      </c>
      <c r="E1429" t="s">
        <v>112</v>
      </c>
      <c r="F1429" t="s">
        <v>668</v>
      </c>
      <c r="G1429" t="s">
        <v>59</v>
      </c>
      <c r="H1429">
        <v>2023</v>
      </c>
    </row>
    <row r="1430" spans="1:8" x14ac:dyDescent="0.2">
      <c r="A1430">
        <v>212036</v>
      </c>
      <c r="B1430">
        <v>35000</v>
      </c>
      <c r="C1430" t="str">
        <f t="shared" si="22"/>
        <v>1. Under $10K</v>
      </c>
      <c r="D1430" t="s">
        <v>1184</v>
      </c>
      <c r="E1430" t="s">
        <v>112</v>
      </c>
      <c r="F1430" t="s">
        <v>668</v>
      </c>
      <c r="G1430" t="s">
        <v>59</v>
      </c>
      <c r="H1430">
        <v>2023</v>
      </c>
    </row>
    <row r="1431" spans="1:8" x14ac:dyDescent="0.2">
      <c r="A1431">
        <v>212038</v>
      </c>
      <c r="B1431">
        <v>207000</v>
      </c>
      <c r="C1431" t="str">
        <f t="shared" si="22"/>
        <v>2. $10K-50K</v>
      </c>
      <c r="D1431" t="s">
        <v>1083</v>
      </c>
      <c r="E1431" t="s">
        <v>237</v>
      </c>
      <c r="F1431" t="s">
        <v>670</v>
      </c>
      <c r="G1431" t="s">
        <v>59</v>
      </c>
      <c r="H1431">
        <v>2023</v>
      </c>
    </row>
    <row r="1432" spans="1:8" x14ac:dyDescent="0.2">
      <c r="A1432">
        <v>212039</v>
      </c>
      <c r="B1432">
        <v>10000</v>
      </c>
      <c r="C1432" t="str">
        <f t="shared" si="22"/>
        <v>3. $50K-250K</v>
      </c>
      <c r="D1432" t="s">
        <v>1185</v>
      </c>
      <c r="E1432" t="s">
        <v>112</v>
      </c>
      <c r="F1432" t="s">
        <v>668</v>
      </c>
      <c r="G1432" t="s">
        <v>59</v>
      </c>
      <c r="H1432">
        <v>2023</v>
      </c>
    </row>
    <row r="1433" spans="1:8" x14ac:dyDescent="0.2">
      <c r="A1433">
        <v>212042</v>
      </c>
      <c r="B1433">
        <v>7000</v>
      </c>
      <c r="C1433" t="str">
        <f t="shared" si="22"/>
        <v>2. $10K-50K</v>
      </c>
      <c r="D1433" t="s">
        <v>1186</v>
      </c>
      <c r="E1433" t="s">
        <v>112</v>
      </c>
      <c r="F1433" t="s">
        <v>668</v>
      </c>
      <c r="G1433" t="s">
        <v>59</v>
      </c>
      <c r="H1433">
        <v>2023</v>
      </c>
    </row>
    <row r="1434" spans="1:8" x14ac:dyDescent="0.2">
      <c r="A1434">
        <v>212044</v>
      </c>
      <c r="B1434">
        <v>25000</v>
      </c>
      <c r="C1434" t="str">
        <f t="shared" si="22"/>
        <v>1. Under $10K</v>
      </c>
      <c r="D1434" t="s">
        <v>1187</v>
      </c>
      <c r="E1434" t="s">
        <v>112</v>
      </c>
      <c r="F1434" t="s">
        <v>668</v>
      </c>
      <c r="G1434" t="s">
        <v>59</v>
      </c>
      <c r="H1434">
        <v>2023</v>
      </c>
    </row>
    <row r="1435" spans="1:8" x14ac:dyDescent="0.2">
      <c r="A1435">
        <v>212048</v>
      </c>
      <c r="B1435">
        <v>10000</v>
      </c>
      <c r="C1435" t="str">
        <f t="shared" si="22"/>
        <v>2. $10K-50K</v>
      </c>
      <c r="D1435" t="s">
        <v>1188</v>
      </c>
      <c r="E1435" t="s">
        <v>112</v>
      </c>
      <c r="F1435" t="s">
        <v>668</v>
      </c>
      <c r="G1435" t="s">
        <v>59</v>
      </c>
      <c r="H1435">
        <v>2023</v>
      </c>
    </row>
    <row r="1436" spans="1:8" x14ac:dyDescent="0.2">
      <c r="A1436">
        <v>212049</v>
      </c>
      <c r="B1436">
        <v>15000</v>
      </c>
      <c r="C1436" t="str">
        <f t="shared" si="22"/>
        <v>2. $10K-50K</v>
      </c>
      <c r="D1436" t="s">
        <v>1189</v>
      </c>
      <c r="E1436" t="s">
        <v>112</v>
      </c>
      <c r="F1436" t="s">
        <v>668</v>
      </c>
      <c r="G1436" t="s">
        <v>59</v>
      </c>
      <c r="H1436">
        <v>2023</v>
      </c>
    </row>
    <row r="1437" spans="1:8" x14ac:dyDescent="0.2">
      <c r="A1437">
        <v>212053</v>
      </c>
      <c r="B1437">
        <v>15000</v>
      </c>
      <c r="C1437" t="str">
        <f t="shared" si="22"/>
        <v>2. $10K-50K</v>
      </c>
      <c r="D1437" t="s">
        <v>1190</v>
      </c>
      <c r="E1437" t="s">
        <v>112</v>
      </c>
      <c r="F1437" t="s">
        <v>668</v>
      </c>
      <c r="G1437" t="s">
        <v>59</v>
      </c>
      <c r="H1437">
        <v>2023</v>
      </c>
    </row>
    <row r="1438" spans="1:8" x14ac:dyDescent="0.2">
      <c r="A1438">
        <v>212054</v>
      </c>
      <c r="B1438">
        <v>10000</v>
      </c>
      <c r="C1438" t="str">
        <f t="shared" si="22"/>
        <v>2. $10K-50K</v>
      </c>
      <c r="D1438" t="s">
        <v>1191</v>
      </c>
      <c r="E1438" t="s">
        <v>112</v>
      </c>
      <c r="F1438" t="s">
        <v>668</v>
      </c>
      <c r="G1438" t="s">
        <v>59</v>
      </c>
      <c r="H1438">
        <v>2023</v>
      </c>
    </row>
    <row r="1439" spans="1:8" x14ac:dyDescent="0.2">
      <c r="A1439">
        <v>212106</v>
      </c>
      <c r="B1439">
        <v>20000</v>
      </c>
      <c r="C1439" t="str">
        <f t="shared" si="22"/>
        <v>2. $10K-50K</v>
      </c>
      <c r="D1439" t="s">
        <v>1192</v>
      </c>
      <c r="E1439" t="s">
        <v>112</v>
      </c>
      <c r="F1439" t="s">
        <v>668</v>
      </c>
      <c r="G1439" t="s">
        <v>59</v>
      </c>
      <c r="H1439">
        <v>2023</v>
      </c>
    </row>
    <row r="1440" spans="1:8" x14ac:dyDescent="0.2">
      <c r="A1440">
        <v>212114</v>
      </c>
      <c r="B1440">
        <v>10000</v>
      </c>
      <c r="C1440" t="str">
        <f t="shared" si="22"/>
        <v>2. $10K-50K</v>
      </c>
      <c r="D1440" t="s">
        <v>1193</v>
      </c>
      <c r="E1440" t="s">
        <v>112</v>
      </c>
      <c r="F1440" t="s">
        <v>668</v>
      </c>
      <c r="G1440" t="s">
        <v>59</v>
      </c>
      <c r="H1440">
        <v>2023</v>
      </c>
    </row>
    <row r="1441" spans="1:8" x14ac:dyDescent="0.2">
      <c r="A1441">
        <v>212117</v>
      </c>
      <c r="B1441">
        <v>25000</v>
      </c>
      <c r="C1441" t="str">
        <f t="shared" si="22"/>
        <v>2. $10K-50K</v>
      </c>
      <c r="D1441" t="s">
        <v>1194</v>
      </c>
      <c r="E1441" t="s">
        <v>112</v>
      </c>
      <c r="F1441" t="s">
        <v>668</v>
      </c>
      <c r="G1441" t="s">
        <v>59</v>
      </c>
      <c r="H1441">
        <v>2023</v>
      </c>
    </row>
    <row r="1442" spans="1:8" x14ac:dyDescent="0.2">
      <c r="A1442">
        <v>212137</v>
      </c>
      <c r="B1442">
        <v>30000</v>
      </c>
      <c r="C1442" t="str">
        <f t="shared" si="22"/>
        <v>2. $10K-50K</v>
      </c>
      <c r="D1442" t="s">
        <v>1195</v>
      </c>
      <c r="E1442" t="s">
        <v>112</v>
      </c>
      <c r="F1442" t="s">
        <v>668</v>
      </c>
      <c r="G1442" t="s">
        <v>59</v>
      </c>
      <c r="H1442">
        <v>2023</v>
      </c>
    </row>
    <row r="1443" spans="1:8" x14ac:dyDescent="0.2">
      <c r="A1443">
        <v>212149</v>
      </c>
      <c r="B1443">
        <v>30000</v>
      </c>
      <c r="C1443" t="str">
        <f t="shared" si="22"/>
        <v>2. $10K-50K</v>
      </c>
      <c r="D1443" t="s">
        <v>1196</v>
      </c>
      <c r="E1443" t="s">
        <v>112</v>
      </c>
      <c r="F1443" t="s">
        <v>668</v>
      </c>
      <c r="G1443" t="s">
        <v>59</v>
      </c>
      <c r="H1443">
        <v>2023</v>
      </c>
    </row>
    <row r="1444" spans="1:8" x14ac:dyDescent="0.2">
      <c r="A1444">
        <v>212157</v>
      </c>
      <c r="B1444">
        <v>30000</v>
      </c>
      <c r="C1444" t="str">
        <f t="shared" si="22"/>
        <v>2. $10K-50K</v>
      </c>
      <c r="D1444" t="s">
        <v>1197</v>
      </c>
      <c r="E1444" t="s">
        <v>112</v>
      </c>
      <c r="F1444" t="s">
        <v>668</v>
      </c>
      <c r="G1444" t="s">
        <v>59</v>
      </c>
      <c r="H1444">
        <v>2023</v>
      </c>
    </row>
    <row r="1445" spans="1:8" x14ac:dyDescent="0.2">
      <c r="A1445">
        <v>212158</v>
      </c>
      <c r="B1445">
        <v>10000</v>
      </c>
      <c r="C1445" t="str">
        <f t="shared" si="22"/>
        <v>2. $10K-50K</v>
      </c>
      <c r="D1445" t="s">
        <v>1198</v>
      </c>
      <c r="E1445" t="s">
        <v>112</v>
      </c>
      <c r="F1445" t="s">
        <v>668</v>
      </c>
      <c r="G1445" t="s">
        <v>59</v>
      </c>
      <c r="H1445">
        <v>2023</v>
      </c>
    </row>
    <row r="1446" spans="1:8" x14ac:dyDescent="0.2">
      <c r="A1446">
        <v>212166</v>
      </c>
      <c r="B1446">
        <v>10000</v>
      </c>
      <c r="C1446" t="str">
        <f t="shared" si="22"/>
        <v>2. $10K-50K</v>
      </c>
      <c r="D1446" t="s">
        <v>1199</v>
      </c>
      <c r="E1446" t="s">
        <v>112</v>
      </c>
      <c r="F1446" t="s">
        <v>668</v>
      </c>
      <c r="G1446" t="s">
        <v>59</v>
      </c>
      <c r="H1446">
        <v>2023</v>
      </c>
    </row>
    <row r="1447" spans="1:8" x14ac:dyDescent="0.2">
      <c r="A1447">
        <v>212168</v>
      </c>
      <c r="B1447">
        <v>25000</v>
      </c>
      <c r="C1447" t="str">
        <f t="shared" si="22"/>
        <v>2. $10K-50K</v>
      </c>
      <c r="D1447" t="s">
        <v>1200</v>
      </c>
      <c r="E1447" t="s">
        <v>112</v>
      </c>
      <c r="F1447" t="s">
        <v>668</v>
      </c>
      <c r="G1447" t="s">
        <v>59</v>
      </c>
      <c r="H1447">
        <v>2023</v>
      </c>
    </row>
    <row r="1448" spans="1:8" x14ac:dyDescent="0.2">
      <c r="A1448">
        <v>212176</v>
      </c>
      <c r="B1448">
        <v>30000</v>
      </c>
      <c r="C1448" t="str">
        <f t="shared" si="22"/>
        <v>2. $10K-50K</v>
      </c>
      <c r="D1448" t="s">
        <v>1201</v>
      </c>
      <c r="E1448" t="s">
        <v>112</v>
      </c>
      <c r="F1448" t="s">
        <v>668</v>
      </c>
      <c r="G1448" t="s">
        <v>59</v>
      </c>
      <c r="H1448">
        <v>2023</v>
      </c>
    </row>
    <row r="1449" spans="1:8" x14ac:dyDescent="0.2">
      <c r="A1449">
        <v>212177</v>
      </c>
      <c r="B1449">
        <v>50000</v>
      </c>
      <c r="C1449" t="str">
        <f t="shared" si="22"/>
        <v>2. $10K-50K</v>
      </c>
      <c r="D1449" t="s">
        <v>1202</v>
      </c>
      <c r="E1449" t="s">
        <v>112</v>
      </c>
      <c r="F1449" t="s">
        <v>668</v>
      </c>
      <c r="G1449" t="s">
        <v>59</v>
      </c>
      <c r="H1449">
        <v>2023</v>
      </c>
    </row>
    <row r="1450" spans="1:8" x14ac:dyDescent="0.2">
      <c r="A1450">
        <v>212190</v>
      </c>
      <c r="B1450">
        <v>15000</v>
      </c>
      <c r="C1450" t="str">
        <f t="shared" si="22"/>
        <v>3. $50K-250K</v>
      </c>
      <c r="D1450" t="s">
        <v>1203</v>
      </c>
      <c r="E1450" t="s">
        <v>112</v>
      </c>
      <c r="F1450" t="s">
        <v>668</v>
      </c>
      <c r="G1450" t="s">
        <v>59</v>
      </c>
      <c r="H1450">
        <v>2023</v>
      </c>
    </row>
    <row r="1451" spans="1:8" x14ac:dyDescent="0.2">
      <c r="A1451">
        <v>212204</v>
      </c>
      <c r="B1451">
        <v>25000</v>
      </c>
      <c r="C1451" t="str">
        <f t="shared" si="22"/>
        <v>2. $10K-50K</v>
      </c>
      <c r="D1451" t="s">
        <v>1204</v>
      </c>
      <c r="E1451" t="s">
        <v>112</v>
      </c>
      <c r="F1451" t="s">
        <v>668</v>
      </c>
      <c r="G1451" t="s">
        <v>59</v>
      </c>
      <c r="H1451">
        <v>2023</v>
      </c>
    </row>
    <row r="1452" spans="1:8" x14ac:dyDescent="0.2">
      <c r="A1452">
        <v>212206</v>
      </c>
      <c r="B1452">
        <v>9000</v>
      </c>
      <c r="C1452" t="str">
        <f t="shared" si="22"/>
        <v>2. $10K-50K</v>
      </c>
      <c r="D1452" t="s">
        <v>1205</v>
      </c>
      <c r="E1452" t="s">
        <v>112</v>
      </c>
      <c r="F1452" t="s">
        <v>668</v>
      </c>
      <c r="G1452" t="s">
        <v>59</v>
      </c>
      <c r="H1452">
        <v>2023</v>
      </c>
    </row>
    <row r="1453" spans="1:8" x14ac:dyDescent="0.2">
      <c r="A1453">
        <v>212207</v>
      </c>
      <c r="B1453">
        <v>20000</v>
      </c>
      <c r="C1453" t="str">
        <f t="shared" si="22"/>
        <v>1. Under $10K</v>
      </c>
      <c r="D1453" t="s">
        <v>1206</v>
      </c>
      <c r="E1453" t="s">
        <v>112</v>
      </c>
      <c r="F1453" t="s">
        <v>668</v>
      </c>
      <c r="G1453" t="s">
        <v>59</v>
      </c>
      <c r="H1453">
        <v>2023</v>
      </c>
    </row>
    <row r="1454" spans="1:8" x14ac:dyDescent="0.2">
      <c r="A1454">
        <v>212218</v>
      </c>
      <c r="B1454">
        <v>20000</v>
      </c>
      <c r="C1454" t="str">
        <f t="shared" si="22"/>
        <v>2. $10K-50K</v>
      </c>
      <c r="D1454" t="s">
        <v>1207</v>
      </c>
      <c r="E1454" t="s">
        <v>112</v>
      </c>
      <c r="F1454" t="s">
        <v>668</v>
      </c>
      <c r="G1454" t="s">
        <v>59</v>
      </c>
      <c r="H1454">
        <v>2023</v>
      </c>
    </row>
    <row r="1455" spans="1:8" x14ac:dyDescent="0.2">
      <c r="A1455">
        <v>212249</v>
      </c>
      <c r="B1455">
        <v>310500</v>
      </c>
      <c r="C1455" t="str">
        <f t="shared" si="22"/>
        <v>2. $10K-50K</v>
      </c>
      <c r="D1455" t="s">
        <v>1208</v>
      </c>
      <c r="E1455" t="s">
        <v>237</v>
      </c>
      <c r="F1455" t="s">
        <v>670</v>
      </c>
      <c r="G1455" t="s">
        <v>59</v>
      </c>
      <c r="H1455">
        <v>2023</v>
      </c>
    </row>
    <row r="1456" spans="1:8" x14ac:dyDescent="0.2">
      <c r="A1456">
        <v>212318</v>
      </c>
      <c r="B1456">
        <v>40000</v>
      </c>
      <c r="C1456" t="str">
        <f t="shared" si="22"/>
        <v>4. $250K-1M</v>
      </c>
      <c r="D1456" t="s">
        <v>1209</v>
      </c>
      <c r="E1456" t="s">
        <v>112</v>
      </c>
      <c r="F1456" t="s">
        <v>668</v>
      </c>
      <c r="G1456" t="s">
        <v>59</v>
      </c>
      <c r="H1456">
        <v>2024</v>
      </c>
    </row>
    <row r="1457" spans="1:8" x14ac:dyDescent="0.2">
      <c r="A1457">
        <v>212327</v>
      </c>
      <c r="B1457">
        <v>1320700</v>
      </c>
      <c r="C1457" t="str">
        <f t="shared" si="22"/>
        <v>2. $10K-50K</v>
      </c>
      <c r="D1457" t="s">
        <v>999</v>
      </c>
      <c r="E1457" t="s">
        <v>99</v>
      </c>
      <c r="F1457" t="s">
        <v>668</v>
      </c>
      <c r="G1457" t="s">
        <v>59</v>
      </c>
      <c r="H1457">
        <v>2023</v>
      </c>
    </row>
    <row r="1458" spans="1:8" x14ac:dyDescent="0.2">
      <c r="A1458">
        <v>212362</v>
      </c>
      <c r="B1458">
        <v>45000</v>
      </c>
      <c r="C1458" t="str">
        <f t="shared" si="22"/>
        <v>5. $1M+</v>
      </c>
      <c r="D1458" t="s">
        <v>1210</v>
      </c>
      <c r="E1458" t="s">
        <v>112</v>
      </c>
      <c r="F1458" t="s">
        <v>668</v>
      </c>
      <c r="G1458" t="s">
        <v>59</v>
      </c>
      <c r="H1458">
        <v>2023</v>
      </c>
    </row>
    <row r="1459" spans="1:8" x14ac:dyDescent="0.2">
      <c r="A1459">
        <v>212367</v>
      </c>
      <c r="B1459">
        <v>25000</v>
      </c>
      <c r="C1459" t="str">
        <f t="shared" si="22"/>
        <v>2. $10K-50K</v>
      </c>
      <c r="D1459" t="s">
        <v>1211</v>
      </c>
      <c r="E1459" t="s">
        <v>112</v>
      </c>
      <c r="F1459" t="s">
        <v>668</v>
      </c>
      <c r="G1459" t="s">
        <v>59</v>
      </c>
      <c r="H1459">
        <v>2023</v>
      </c>
    </row>
    <row r="1460" spans="1:8" x14ac:dyDescent="0.2">
      <c r="A1460">
        <v>212375</v>
      </c>
      <c r="B1460">
        <v>30000</v>
      </c>
      <c r="C1460" t="str">
        <f t="shared" si="22"/>
        <v>2. $10K-50K</v>
      </c>
      <c r="D1460" t="s">
        <v>1076</v>
      </c>
      <c r="E1460" t="s">
        <v>112</v>
      </c>
      <c r="F1460" t="s">
        <v>668</v>
      </c>
      <c r="G1460" t="s">
        <v>59</v>
      </c>
      <c r="H1460">
        <v>2023</v>
      </c>
    </row>
    <row r="1461" spans="1:8" x14ac:dyDescent="0.2">
      <c r="A1461">
        <v>212379</v>
      </c>
      <c r="B1461">
        <v>25000</v>
      </c>
      <c r="C1461" t="str">
        <f t="shared" si="22"/>
        <v>2. $10K-50K</v>
      </c>
      <c r="D1461" t="s">
        <v>1212</v>
      </c>
      <c r="E1461" t="s">
        <v>112</v>
      </c>
      <c r="F1461" t="s">
        <v>668</v>
      </c>
      <c r="G1461" t="s">
        <v>59</v>
      </c>
      <c r="H1461">
        <v>2023</v>
      </c>
    </row>
    <row r="1462" spans="1:8" x14ac:dyDescent="0.2">
      <c r="A1462">
        <v>212383</v>
      </c>
      <c r="B1462">
        <v>30000</v>
      </c>
      <c r="C1462" t="str">
        <f t="shared" si="22"/>
        <v>2. $10K-50K</v>
      </c>
      <c r="D1462" t="s">
        <v>1071</v>
      </c>
      <c r="E1462" t="s">
        <v>112</v>
      </c>
      <c r="F1462" t="s">
        <v>668</v>
      </c>
      <c r="G1462" t="s">
        <v>59</v>
      </c>
      <c r="H1462">
        <v>2023</v>
      </c>
    </row>
    <row r="1463" spans="1:8" x14ac:dyDescent="0.2">
      <c r="A1463">
        <v>212389</v>
      </c>
      <c r="B1463">
        <v>10000</v>
      </c>
      <c r="C1463" t="str">
        <f t="shared" si="22"/>
        <v>2. $10K-50K</v>
      </c>
      <c r="D1463" t="s">
        <v>1213</v>
      </c>
      <c r="E1463" t="s">
        <v>112</v>
      </c>
      <c r="F1463" t="s">
        <v>668</v>
      </c>
      <c r="G1463" t="s">
        <v>59</v>
      </c>
      <c r="H1463">
        <v>2023</v>
      </c>
    </row>
    <row r="1464" spans="1:8" x14ac:dyDescent="0.2">
      <c r="A1464">
        <v>212422</v>
      </c>
      <c r="B1464">
        <v>20000</v>
      </c>
      <c r="C1464" t="str">
        <f t="shared" si="22"/>
        <v>2. $10K-50K</v>
      </c>
      <c r="D1464" t="s">
        <v>1214</v>
      </c>
      <c r="E1464" t="s">
        <v>112</v>
      </c>
      <c r="F1464" t="s">
        <v>668</v>
      </c>
      <c r="G1464" t="s">
        <v>59</v>
      </c>
      <c r="H1464">
        <v>2023</v>
      </c>
    </row>
    <row r="1465" spans="1:8" x14ac:dyDescent="0.2">
      <c r="A1465">
        <v>212443</v>
      </c>
      <c r="B1465">
        <v>517500</v>
      </c>
      <c r="C1465" t="str">
        <f t="shared" si="22"/>
        <v>2. $10K-50K</v>
      </c>
      <c r="D1465" t="s">
        <v>548</v>
      </c>
      <c r="E1465" t="s">
        <v>237</v>
      </c>
      <c r="F1465" t="s">
        <v>670</v>
      </c>
      <c r="G1465" t="s">
        <v>59</v>
      </c>
      <c r="H1465">
        <v>2023</v>
      </c>
    </row>
    <row r="1466" spans="1:8" x14ac:dyDescent="0.2">
      <c r="A1466">
        <v>212447</v>
      </c>
      <c r="B1466">
        <v>320000</v>
      </c>
      <c r="C1466" t="str">
        <f t="shared" si="22"/>
        <v>4. $250K-1M</v>
      </c>
      <c r="D1466" t="s">
        <v>1021</v>
      </c>
      <c r="E1466" t="s">
        <v>237</v>
      </c>
      <c r="F1466" t="s">
        <v>670</v>
      </c>
      <c r="G1466" t="s">
        <v>59</v>
      </c>
      <c r="H1466">
        <v>2023</v>
      </c>
    </row>
    <row r="1467" spans="1:8" x14ac:dyDescent="0.2">
      <c r="A1467">
        <v>212459</v>
      </c>
      <c r="B1467">
        <v>400000</v>
      </c>
      <c r="C1467" t="str">
        <f t="shared" si="22"/>
        <v>4. $250K-1M</v>
      </c>
      <c r="D1467" t="s">
        <v>694</v>
      </c>
      <c r="E1467" t="s">
        <v>237</v>
      </c>
      <c r="F1467" t="s">
        <v>670</v>
      </c>
      <c r="G1467" t="s">
        <v>59</v>
      </c>
      <c r="H1467">
        <v>2023</v>
      </c>
    </row>
    <row r="1468" spans="1:8" x14ac:dyDescent="0.2">
      <c r="A1468">
        <v>212469</v>
      </c>
      <c r="B1468">
        <v>400000</v>
      </c>
      <c r="C1468" t="str">
        <f t="shared" si="22"/>
        <v>4. $250K-1M</v>
      </c>
      <c r="D1468" t="s">
        <v>977</v>
      </c>
      <c r="E1468" t="s">
        <v>237</v>
      </c>
      <c r="F1468" t="s">
        <v>670</v>
      </c>
      <c r="G1468" t="s">
        <v>59</v>
      </c>
      <c r="H1468">
        <v>2023</v>
      </c>
    </row>
    <row r="1469" spans="1:8" x14ac:dyDescent="0.2">
      <c r="A1469">
        <v>212481</v>
      </c>
      <c r="B1469">
        <v>400000</v>
      </c>
      <c r="C1469" t="str">
        <f t="shared" si="22"/>
        <v>4. $250K-1M</v>
      </c>
      <c r="D1469" t="s">
        <v>1215</v>
      </c>
      <c r="E1469" t="s">
        <v>237</v>
      </c>
      <c r="F1469" t="s">
        <v>670</v>
      </c>
      <c r="G1469" t="s">
        <v>59</v>
      </c>
      <c r="H1469">
        <v>2023</v>
      </c>
    </row>
    <row r="1470" spans="1:8" x14ac:dyDescent="0.2">
      <c r="A1470">
        <v>212506</v>
      </c>
      <c r="B1470">
        <v>800000</v>
      </c>
      <c r="C1470" t="str">
        <f t="shared" si="22"/>
        <v>4. $250K-1M</v>
      </c>
      <c r="D1470" t="s">
        <v>763</v>
      </c>
      <c r="E1470" t="s">
        <v>237</v>
      </c>
      <c r="F1470" t="s">
        <v>670</v>
      </c>
      <c r="G1470" t="s">
        <v>59</v>
      </c>
      <c r="H1470">
        <v>2023</v>
      </c>
    </row>
    <row r="1471" spans="1:8" x14ac:dyDescent="0.2">
      <c r="A1471">
        <v>212520</v>
      </c>
      <c r="B1471">
        <v>25000</v>
      </c>
      <c r="C1471" t="str">
        <f t="shared" si="22"/>
        <v>4. $250K-1M</v>
      </c>
      <c r="D1471" t="s">
        <v>1216</v>
      </c>
      <c r="E1471" t="s">
        <v>112</v>
      </c>
      <c r="F1471" t="s">
        <v>668</v>
      </c>
      <c r="G1471" t="s">
        <v>59</v>
      </c>
      <c r="H1471">
        <v>2023</v>
      </c>
    </row>
    <row r="1472" spans="1:8" x14ac:dyDescent="0.2">
      <c r="A1472">
        <v>212521</v>
      </c>
      <c r="B1472">
        <v>400000</v>
      </c>
      <c r="C1472" t="str">
        <f t="shared" si="22"/>
        <v>2. $10K-50K</v>
      </c>
      <c r="D1472" t="s">
        <v>1217</v>
      </c>
      <c r="E1472" t="s">
        <v>237</v>
      </c>
      <c r="F1472" t="s">
        <v>670</v>
      </c>
      <c r="G1472" t="s">
        <v>59</v>
      </c>
      <c r="H1472">
        <v>2023</v>
      </c>
    </row>
    <row r="1473" spans="1:8" x14ac:dyDescent="0.2">
      <c r="A1473">
        <v>212526</v>
      </c>
      <c r="B1473">
        <v>40000</v>
      </c>
      <c r="C1473" t="str">
        <f t="shared" si="22"/>
        <v>4. $250K-1M</v>
      </c>
      <c r="D1473" t="s">
        <v>1218</v>
      </c>
      <c r="E1473" t="s">
        <v>112</v>
      </c>
      <c r="F1473" t="s">
        <v>668</v>
      </c>
      <c r="G1473" t="s">
        <v>59</v>
      </c>
      <c r="H1473">
        <v>2023</v>
      </c>
    </row>
    <row r="1474" spans="1:8" x14ac:dyDescent="0.2">
      <c r="A1474">
        <v>212527</v>
      </c>
      <c r="B1474">
        <v>3200000</v>
      </c>
      <c r="C1474" t="str">
        <f t="shared" si="22"/>
        <v>2. $10K-50K</v>
      </c>
      <c r="D1474" t="s">
        <v>548</v>
      </c>
      <c r="E1474" t="s">
        <v>237</v>
      </c>
      <c r="F1474" t="s">
        <v>670</v>
      </c>
      <c r="G1474" t="s">
        <v>44</v>
      </c>
      <c r="H1474">
        <v>2023</v>
      </c>
    </row>
    <row r="1475" spans="1:8" x14ac:dyDescent="0.2">
      <c r="A1475">
        <v>212537</v>
      </c>
      <c r="B1475">
        <v>3381000</v>
      </c>
      <c r="C1475" t="str">
        <f t="shared" ref="C1475:C1538" si="23">IF(B1474&lt;10000,"1. Under $10K",IF(B1474&lt;50000,"2. $10K-50K",IF(B1474&lt;250000,"3. $50K-250K",IF(B1474&lt;1000000,"4. $250K-1M","5. $1M+"))))</f>
        <v>5. $1M+</v>
      </c>
      <c r="D1475" t="s">
        <v>799</v>
      </c>
      <c r="E1475" t="s">
        <v>237</v>
      </c>
      <c r="F1475" t="s">
        <v>670</v>
      </c>
      <c r="G1475" t="s">
        <v>59</v>
      </c>
      <c r="H1475">
        <v>2023</v>
      </c>
    </row>
    <row r="1476" spans="1:8" x14ac:dyDescent="0.2">
      <c r="A1476">
        <v>212539</v>
      </c>
      <c r="B1476">
        <v>207000</v>
      </c>
      <c r="C1476" t="str">
        <f t="shared" si="23"/>
        <v>5. $1M+</v>
      </c>
      <c r="D1476" t="s">
        <v>781</v>
      </c>
      <c r="E1476" t="s">
        <v>237</v>
      </c>
      <c r="F1476" t="s">
        <v>670</v>
      </c>
      <c r="G1476" t="s">
        <v>59</v>
      </c>
      <c r="H1476">
        <v>2023</v>
      </c>
    </row>
    <row r="1477" spans="1:8" x14ac:dyDescent="0.2">
      <c r="A1477">
        <v>212559</v>
      </c>
      <c r="B1477">
        <v>3268606.8</v>
      </c>
      <c r="C1477" t="str">
        <f t="shared" si="23"/>
        <v>3. $50K-250K</v>
      </c>
      <c r="D1477" t="s">
        <v>234</v>
      </c>
      <c r="E1477" t="s">
        <v>28</v>
      </c>
      <c r="F1477" t="s">
        <v>31</v>
      </c>
      <c r="G1477" t="s">
        <v>10</v>
      </c>
      <c r="H1477">
        <v>2023</v>
      </c>
    </row>
    <row r="1478" spans="1:8" x14ac:dyDescent="0.2">
      <c r="A1478">
        <v>212710</v>
      </c>
      <c r="B1478">
        <v>20000</v>
      </c>
      <c r="C1478" t="str">
        <f t="shared" si="23"/>
        <v>5. $1M+</v>
      </c>
      <c r="D1478" t="s">
        <v>1219</v>
      </c>
      <c r="E1478" t="s">
        <v>112</v>
      </c>
      <c r="F1478" t="s">
        <v>668</v>
      </c>
      <c r="G1478" t="s">
        <v>59</v>
      </c>
      <c r="H1478">
        <v>2023</v>
      </c>
    </row>
    <row r="1479" spans="1:8" x14ac:dyDescent="0.2">
      <c r="A1479">
        <v>212711</v>
      </c>
      <c r="B1479">
        <v>50000</v>
      </c>
      <c r="C1479" t="str">
        <f t="shared" si="23"/>
        <v>2. $10K-50K</v>
      </c>
      <c r="D1479" t="s">
        <v>1220</v>
      </c>
      <c r="E1479" t="s">
        <v>112</v>
      </c>
      <c r="F1479" t="s">
        <v>668</v>
      </c>
      <c r="G1479" t="s">
        <v>59</v>
      </c>
      <c r="H1479">
        <v>2023</v>
      </c>
    </row>
    <row r="1480" spans="1:8" x14ac:dyDescent="0.2">
      <c r="A1480">
        <v>212713</v>
      </c>
      <c r="B1480">
        <v>5000</v>
      </c>
      <c r="C1480" t="str">
        <f t="shared" si="23"/>
        <v>3. $50K-250K</v>
      </c>
      <c r="D1480" t="s">
        <v>1221</v>
      </c>
      <c r="E1480" t="s">
        <v>112</v>
      </c>
      <c r="F1480" t="s">
        <v>668</v>
      </c>
      <c r="G1480" t="s">
        <v>59</v>
      </c>
      <c r="H1480">
        <v>2023</v>
      </c>
    </row>
    <row r="1481" spans="1:8" x14ac:dyDescent="0.2">
      <c r="A1481">
        <v>212720</v>
      </c>
      <c r="B1481">
        <v>10000</v>
      </c>
      <c r="C1481" t="str">
        <f t="shared" si="23"/>
        <v>1. Under $10K</v>
      </c>
      <c r="D1481" t="s">
        <v>1222</v>
      </c>
      <c r="E1481" t="s">
        <v>112</v>
      </c>
      <c r="F1481" t="s">
        <v>668</v>
      </c>
      <c r="G1481" t="s">
        <v>59</v>
      </c>
      <c r="H1481">
        <v>2023</v>
      </c>
    </row>
    <row r="1482" spans="1:8" x14ac:dyDescent="0.2">
      <c r="A1482">
        <v>212727</v>
      </c>
      <c r="B1482">
        <v>30000</v>
      </c>
      <c r="C1482" t="str">
        <f t="shared" si="23"/>
        <v>2. $10K-50K</v>
      </c>
      <c r="D1482" t="s">
        <v>1223</v>
      </c>
      <c r="E1482" t="s">
        <v>112</v>
      </c>
      <c r="F1482" t="s">
        <v>668</v>
      </c>
      <c r="G1482" t="s">
        <v>59</v>
      </c>
      <c r="H1482">
        <v>2023</v>
      </c>
    </row>
    <row r="1483" spans="1:8" x14ac:dyDescent="0.2">
      <c r="A1483">
        <v>212735</v>
      </c>
      <c r="B1483">
        <v>15000</v>
      </c>
      <c r="C1483" t="str">
        <f t="shared" si="23"/>
        <v>2. $10K-50K</v>
      </c>
      <c r="D1483" t="s">
        <v>1224</v>
      </c>
      <c r="E1483" t="s">
        <v>112</v>
      </c>
      <c r="F1483" t="s">
        <v>668</v>
      </c>
      <c r="G1483" t="s">
        <v>59</v>
      </c>
      <c r="H1483">
        <v>2023</v>
      </c>
    </row>
    <row r="1484" spans="1:8" x14ac:dyDescent="0.2">
      <c r="A1484">
        <v>212753</v>
      </c>
      <c r="B1484">
        <v>10000</v>
      </c>
      <c r="C1484" t="str">
        <f t="shared" si="23"/>
        <v>2. $10K-50K</v>
      </c>
      <c r="D1484" t="s">
        <v>1225</v>
      </c>
      <c r="E1484" t="s">
        <v>112</v>
      </c>
      <c r="F1484" t="s">
        <v>668</v>
      </c>
      <c r="G1484" t="s">
        <v>59</v>
      </c>
      <c r="H1484">
        <v>2023</v>
      </c>
    </row>
    <row r="1485" spans="1:8" x14ac:dyDescent="0.2">
      <c r="A1485">
        <v>212755</v>
      </c>
      <c r="B1485">
        <v>10000</v>
      </c>
      <c r="C1485" t="str">
        <f t="shared" si="23"/>
        <v>2. $10K-50K</v>
      </c>
      <c r="D1485" t="s">
        <v>1226</v>
      </c>
      <c r="E1485" t="s">
        <v>112</v>
      </c>
      <c r="F1485" t="s">
        <v>668</v>
      </c>
      <c r="G1485" t="s">
        <v>59</v>
      </c>
      <c r="H1485">
        <v>2023</v>
      </c>
    </row>
    <row r="1486" spans="1:8" x14ac:dyDescent="0.2">
      <c r="A1486">
        <v>212757</v>
      </c>
      <c r="B1486">
        <v>45000</v>
      </c>
      <c r="C1486" t="str">
        <f t="shared" si="23"/>
        <v>2. $10K-50K</v>
      </c>
      <c r="D1486" t="s">
        <v>1227</v>
      </c>
      <c r="E1486" t="s">
        <v>112</v>
      </c>
      <c r="F1486" t="s">
        <v>668</v>
      </c>
      <c r="G1486" t="s">
        <v>59</v>
      </c>
      <c r="H1486">
        <v>2023</v>
      </c>
    </row>
    <row r="1487" spans="1:8" x14ac:dyDescent="0.2">
      <c r="A1487">
        <v>212761</v>
      </c>
      <c r="B1487">
        <v>25000</v>
      </c>
      <c r="C1487" t="str">
        <f t="shared" si="23"/>
        <v>2. $10K-50K</v>
      </c>
      <c r="D1487" t="s">
        <v>1228</v>
      </c>
      <c r="E1487" t="s">
        <v>112</v>
      </c>
      <c r="F1487" t="s">
        <v>668</v>
      </c>
      <c r="G1487" t="s">
        <v>59</v>
      </c>
      <c r="H1487">
        <v>2023</v>
      </c>
    </row>
    <row r="1488" spans="1:8" x14ac:dyDescent="0.2">
      <c r="A1488">
        <v>212762</v>
      </c>
      <c r="B1488">
        <v>10000</v>
      </c>
      <c r="C1488" t="str">
        <f t="shared" si="23"/>
        <v>2. $10K-50K</v>
      </c>
      <c r="D1488" t="s">
        <v>1229</v>
      </c>
      <c r="E1488" t="s">
        <v>112</v>
      </c>
      <c r="F1488" t="s">
        <v>668</v>
      </c>
      <c r="G1488" t="s">
        <v>59</v>
      </c>
      <c r="H1488">
        <v>2023</v>
      </c>
    </row>
    <row r="1489" spans="1:8" x14ac:dyDescent="0.2">
      <c r="A1489">
        <v>212763</v>
      </c>
      <c r="B1489">
        <v>10000</v>
      </c>
      <c r="C1489" t="str">
        <f t="shared" si="23"/>
        <v>2. $10K-50K</v>
      </c>
      <c r="D1489" t="s">
        <v>1230</v>
      </c>
      <c r="E1489" t="s">
        <v>112</v>
      </c>
      <c r="F1489" t="s">
        <v>668</v>
      </c>
      <c r="G1489" t="s">
        <v>59</v>
      </c>
      <c r="H1489">
        <v>2023</v>
      </c>
    </row>
    <row r="1490" spans="1:8" x14ac:dyDescent="0.2">
      <c r="A1490">
        <v>212766</v>
      </c>
      <c r="B1490">
        <v>25000</v>
      </c>
      <c r="C1490" t="str">
        <f t="shared" si="23"/>
        <v>2. $10K-50K</v>
      </c>
      <c r="D1490" t="s">
        <v>1231</v>
      </c>
      <c r="E1490" t="s">
        <v>112</v>
      </c>
      <c r="F1490" t="s">
        <v>668</v>
      </c>
      <c r="G1490" t="s">
        <v>59</v>
      </c>
      <c r="H1490">
        <v>2023</v>
      </c>
    </row>
    <row r="1491" spans="1:8" x14ac:dyDescent="0.2">
      <c r="A1491">
        <v>212767</v>
      </c>
      <c r="B1491">
        <v>10000</v>
      </c>
      <c r="C1491" t="str">
        <f t="shared" si="23"/>
        <v>2. $10K-50K</v>
      </c>
      <c r="D1491" t="s">
        <v>1232</v>
      </c>
      <c r="E1491" t="s">
        <v>112</v>
      </c>
      <c r="F1491" t="s">
        <v>668</v>
      </c>
      <c r="G1491" t="s">
        <v>59</v>
      </c>
      <c r="H1491">
        <v>2023</v>
      </c>
    </row>
    <row r="1492" spans="1:8" x14ac:dyDescent="0.2">
      <c r="A1492">
        <v>212768</v>
      </c>
      <c r="B1492">
        <v>15000</v>
      </c>
      <c r="C1492" t="str">
        <f t="shared" si="23"/>
        <v>2. $10K-50K</v>
      </c>
      <c r="D1492" t="s">
        <v>1233</v>
      </c>
      <c r="E1492" t="s">
        <v>112</v>
      </c>
      <c r="F1492" t="s">
        <v>668</v>
      </c>
      <c r="G1492" t="s">
        <v>59</v>
      </c>
      <c r="H1492">
        <v>2023</v>
      </c>
    </row>
    <row r="1493" spans="1:8" x14ac:dyDescent="0.2">
      <c r="A1493">
        <v>212769</v>
      </c>
      <c r="B1493">
        <v>15000</v>
      </c>
      <c r="C1493" t="str">
        <f t="shared" si="23"/>
        <v>2. $10K-50K</v>
      </c>
      <c r="D1493" t="s">
        <v>1234</v>
      </c>
      <c r="E1493" t="s">
        <v>112</v>
      </c>
      <c r="F1493" t="s">
        <v>668</v>
      </c>
      <c r="G1493" t="s">
        <v>59</v>
      </c>
      <c r="H1493">
        <v>2023</v>
      </c>
    </row>
    <row r="1494" spans="1:8" x14ac:dyDescent="0.2">
      <c r="A1494">
        <v>212770</v>
      </c>
      <c r="B1494">
        <v>25000</v>
      </c>
      <c r="C1494" t="str">
        <f t="shared" si="23"/>
        <v>2. $10K-50K</v>
      </c>
      <c r="D1494" t="s">
        <v>1235</v>
      </c>
      <c r="E1494" t="s">
        <v>112</v>
      </c>
      <c r="F1494" t="s">
        <v>668</v>
      </c>
      <c r="G1494" t="s">
        <v>59</v>
      </c>
      <c r="H1494">
        <v>2023</v>
      </c>
    </row>
    <row r="1495" spans="1:8" x14ac:dyDescent="0.2">
      <c r="A1495">
        <v>212788</v>
      </c>
      <c r="B1495">
        <v>50000</v>
      </c>
      <c r="C1495" t="str">
        <f t="shared" si="23"/>
        <v>2. $10K-50K</v>
      </c>
      <c r="D1495" t="s">
        <v>1236</v>
      </c>
      <c r="E1495" t="s">
        <v>112</v>
      </c>
      <c r="F1495" t="s">
        <v>668</v>
      </c>
      <c r="G1495" t="s">
        <v>59</v>
      </c>
      <c r="H1495">
        <v>2023</v>
      </c>
    </row>
    <row r="1496" spans="1:8" x14ac:dyDescent="0.2">
      <c r="A1496">
        <v>212791</v>
      </c>
      <c r="B1496">
        <v>45000</v>
      </c>
      <c r="C1496" t="str">
        <f t="shared" si="23"/>
        <v>3. $50K-250K</v>
      </c>
      <c r="D1496" t="s">
        <v>1237</v>
      </c>
      <c r="E1496" t="s">
        <v>112</v>
      </c>
      <c r="F1496" t="s">
        <v>668</v>
      </c>
      <c r="G1496" t="s">
        <v>59</v>
      </c>
      <c r="H1496">
        <v>2023</v>
      </c>
    </row>
    <row r="1497" spans="1:8" x14ac:dyDescent="0.2">
      <c r="A1497">
        <v>212792</v>
      </c>
      <c r="B1497">
        <v>50000</v>
      </c>
      <c r="C1497" t="str">
        <f t="shared" si="23"/>
        <v>2. $10K-50K</v>
      </c>
      <c r="D1497" t="s">
        <v>1238</v>
      </c>
      <c r="E1497" t="s">
        <v>112</v>
      </c>
      <c r="F1497" t="s">
        <v>668</v>
      </c>
      <c r="G1497" t="s">
        <v>59</v>
      </c>
      <c r="H1497">
        <v>2023</v>
      </c>
    </row>
    <row r="1498" spans="1:8" x14ac:dyDescent="0.2">
      <c r="A1498">
        <v>212794</v>
      </c>
      <c r="B1498">
        <v>3000</v>
      </c>
      <c r="C1498" t="str">
        <f t="shared" si="23"/>
        <v>3. $50K-250K</v>
      </c>
      <c r="D1498" t="s">
        <v>1239</v>
      </c>
      <c r="E1498" t="s">
        <v>112</v>
      </c>
      <c r="F1498" t="s">
        <v>668</v>
      </c>
      <c r="G1498" t="s">
        <v>59</v>
      </c>
      <c r="H1498">
        <v>2023</v>
      </c>
    </row>
    <row r="1499" spans="1:8" x14ac:dyDescent="0.2">
      <c r="A1499">
        <v>212795</v>
      </c>
      <c r="B1499">
        <v>45000</v>
      </c>
      <c r="C1499" t="str">
        <f t="shared" si="23"/>
        <v>1. Under $10K</v>
      </c>
      <c r="D1499" t="s">
        <v>1240</v>
      </c>
      <c r="E1499" t="s">
        <v>112</v>
      </c>
      <c r="F1499" t="s">
        <v>668</v>
      </c>
      <c r="G1499" t="s">
        <v>59</v>
      </c>
      <c r="H1499">
        <v>2023</v>
      </c>
    </row>
    <row r="1500" spans="1:8" x14ac:dyDescent="0.2">
      <c r="A1500">
        <v>212796</v>
      </c>
      <c r="B1500">
        <v>10000</v>
      </c>
      <c r="C1500" t="str">
        <f t="shared" si="23"/>
        <v>2. $10K-50K</v>
      </c>
      <c r="D1500" t="s">
        <v>1241</v>
      </c>
      <c r="E1500" t="s">
        <v>112</v>
      </c>
      <c r="F1500" t="s">
        <v>668</v>
      </c>
      <c r="G1500" t="s">
        <v>59</v>
      </c>
      <c r="H1500">
        <v>2023</v>
      </c>
    </row>
    <row r="1501" spans="1:8" x14ac:dyDescent="0.2">
      <c r="A1501">
        <v>212801</v>
      </c>
      <c r="B1501">
        <v>25000</v>
      </c>
      <c r="C1501" t="str">
        <f t="shared" si="23"/>
        <v>2. $10K-50K</v>
      </c>
      <c r="D1501" t="s">
        <v>1242</v>
      </c>
      <c r="E1501" t="s">
        <v>112</v>
      </c>
      <c r="F1501" t="s">
        <v>668</v>
      </c>
      <c r="G1501" t="s">
        <v>59</v>
      </c>
      <c r="H1501">
        <v>2023</v>
      </c>
    </row>
    <row r="1502" spans="1:8" x14ac:dyDescent="0.2">
      <c r="A1502">
        <v>212866</v>
      </c>
      <c r="B1502">
        <v>8000</v>
      </c>
      <c r="C1502" t="str">
        <f t="shared" si="23"/>
        <v>2. $10K-50K</v>
      </c>
      <c r="D1502" t="s">
        <v>1243</v>
      </c>
      <c r="E1502" t="s">
        <v>112</v>
      </c>
      <c r="F1502" t="s">
        <v>668</v>
      </c>
      <c r="G1502" t="s">
        <v>59</v>
      </c>
      <c r="H1502">
        <v>2023</v>
      </c>
    </row>
    <row r="1503" spans="1:8" x14ac:dyDescent="0.2">
      <c r="A1503">
        <v>212867</v>
      </c>
      <c r="B1503">
        <v>45000</v>
      </c>
      <c r="C1503" t="str">
        <f t="shared" si="23"/>
        <v>1. Under $10K</v>
      </c>
      <c r="D1503" t="s">
        <v>1244</v>
      </c>
      <c r="E1503" t="s">
        <v>112</v>
      </c>
      <c r="F1503" t="s">
        <v>668</v>
      </c>
      <c r="G1503" t="s">
        <v>59</v>
      </c>
      <c r="H1503">
        <v>2023</v>
      </c>
    </row>
    <row r="1504" spans="1:8" x14ac:dyDescent="0.2">
      <c r="A1504">
        <v>212868</v>
      </c>
      <c r="B1504">
        <v>15000</v>
      </c>
      <c r="C1504" t="str">
        <f t="shared" si="23"/>
        <v>2. $10K-50K</v>
      </c>
      <c r="D1504" t="s">
        <v>1245</v>
      </c>
      <c r="E1504" t="s">
        <v>112</v>
      </c>
      <c r="F1504" t="s">
        <v>668</v>
      </c>
      <c r="G1504" t="s">
        <v>59</v>
      </c>
      <c r="H1504">
        <v>2023</v>
      </c>
    </row>
    <row r="1505" spans="1:8" x14ac:dyDescent="0.2">
      <c r="A1505">
        <v>212870</v>
      </c>
      <c r="B1505">
        <v>40000</v>
      </c>
      <c r="C1505" t="str">
        <f t="shared" si="23"/>
        <v>2. $10K-50K</v>
      </c>
      <c r="D1505" t="s">
        <v>1246</v>
      </c>
      <c r="E1505" t="s">
        <v>112</v>
      </c>
      <c r="F1505" t="s">
        <v>668</v>
      </c>
      <c r="G1505" t="s">
        <v>59</v>
      </c>
      <c r="H1505">
        <v>2023</v>
      </c>
    </row>
    <row r="1506" spans="1:8" x14ac:dyDescent="0.2">
      <c r="A1506">
        <v>212872</v>
      </c>
      <c r="B1506">
        <v>10000</v>
      </c>
      <c r="C1506" t="str">
        <f t="shared" si="23"/>
        <v>2. $10K-50K</v>
      </c>
      <c r="D1506" t="s">
        <v>1247</v>
      </c>
      <c r="E1506" t="s">
        <v>112</v>
      </c>
      <c r="F1506" t="s">
        <v>668</v>
      </c>
      <c r="G1506" t="s">
        <v>59</v>
      </c>
      <c r="H1506">
        <v>2023</v>
      </c>
    </row>
    <row r="1507" spans="1:8" x14ac:dyDescent="0.2">
      <c r="A1507">
        <v>212873</v>
      </c>
      <c r="B1507">
        <v>35000</v>
      </c>
      <c r="C1507" t="str">
        <f t="shared" si="23"/>
        <v>2. $10K-50K</v>
      </c>
      <c r="D1507" t="s">
        <v>1248</v>
      </c>
      <c r="E1507" t="s">
        <v>112</v>
      </c>
      <c r="F1507" t="s">
        <v>668</v>
      </c>
      <c r="G1507" t="s">
        <v>59</v>
      </c>
      <c r="H1507">
        <v>2023</v>
      </c>
    </row>
    <row r="1508" spans="1:8" x14ac:dyDescent="0.2">
      <c r="A1508">
        <v>212880</v>
      </c>
      <c r="B1508">
        <v>25000</v>
      </c>
      <c r="C1508" t="str">
        <f t="shared" si="23"/>
        <v>2. $10K-50K</v>
      </c>
      <c r="D1508" t="s">
        <v>1249</v>
      </c>
      <c r="E1508" t="s">
        <v>112</v>
      </c>
      <c r="F1508" t="s">
        <v>668</v>
      </c>
      <c r="G1508" t="s">
        <v>59</v>
      </c>
      <c r="H1508">
        <v>2023</v>
      </c>
    </row>
    <row r="1509" spans="1:8" x14ac:dyDescent="0.2">
      <c r="A1509">
        <v>212885</v>
      </c>
      <c r="B1509">
        <v>25000</v>
      </c>
      <c r="C1509" t="str">
        <f t="shared" si="23"/>
        <v>2. $10K-50K</v>
      </c>
      <c r="D1509" t="s">
        <v>1250</v>
      </c>
      <c r="E1509" t="s">
        <v>112</v>
      </c>
      <c r="F1509" t="s">
        <v>668</v>
      </c>
      <c r="G1509" t="s">
        <v>59</v>
      </c>
      <c r="H1509">
        <v>2023</v>
      </c>
    </row>
    <row r="1510" spans="1:8" x14ac:dyDescent="0.2">
      <c r="A1510">
        <v>212887</v>
      </c>
      <c r="B1510">
        <v>10000</v>
      </c>
      <c r="C1510" t="str">
        <f t="shared" si="23"/>
        <v>2. $10K-50K</v>
      </c>
      <c r="D1510" t="s">
        <v>1251</v>
      </c>
      <c r="E1510" t="s">
        <v>112</v>
      </c>
      <c r="F1510" t="s">
        <v>668</v>
      </c>
      <c r="G1510" t="s">
        <v>59</v>
      </c>
      <c r="H1510">
        <v>2023</v>
      </c>
    </row>
    <row r="1511" spans="1:8" x14ac:dyDescent="0.2">
      <c r="A1511">
        <v>212889</v>
      </c>
      <c r="B1511">
        <v>6000</v>
      </c>
      <c r="C1511" t="str">
        <f t="shared" si="23"/>
        <v>2. $10K-50K</v>
      </c>
      <c r="D1511" t="s">
        <v>1252</v>
      </c>
      <c r="E1511" t="s">
        <v>112</v>
      </c>
      <c r="F1511" t="s">
        <v>668</v>
      </c>
      <c r="G1511" t="s">
        <v>59</v>
      </c>
      <c r="H1511">
        <v>2023</v>
      </c>
    </row>
    <row r="1512" spans="1:8" x14ac:dyDescent="0.2">
      <c r="A1512">
        <v>212890</v>
      </c>
      <c r="B1512">
        <v>10000</v>
      </c>
      <c r="C1512" t="str">
        <f t="shared" si="23"/>
        <v>1. Under $10K</v>
      </c>
      <c r="D1512" t="s">
        <v>1253</v>
      </c>
      <c r="E1512" t="s">
        <v>112</v>
      </c>
      <c r="F1512" t="s">
        <v>668</v>
      </c>
      <c r="G1512" t="s">
        <v>59</v>
      </c>
      <c r="H1512">
        <v>2023</v>
      </c>
    </row>
    <row r="1513" spans="1:8" x14ac:dyDescent="0.2">
      <c r="A1513">
        <v>212891</v>
      </c>
      <c r="B1513">
        <v>9000</v>
      </c>
      <c r="C1513" t="str">
        <f t="shared" si="23"/>
        <v>2. $10K-50K</v>
      </c>
      <c r="D1513" t="s">
        <v>1254</v>
      </c>
      <c r="E1513" t="s">
        <v>112</v>
      </c>
      <c r="F1513" t="s">
        <v>668</v>
      </c>
      <c r="G1513" t="s">
        <v>59</v>
      </c>
      <c r="H1513">
        <v>2023</v>
      </c>
    </row>
    <row r="1514" spans="1:8" x14ac:dyDescent="0.2">
      <c r="A1514">
        <v>212892</v>
      </c>
      <c r="B1514">
        <v>10000</v>
      </c>
      <c r="C1514" t="str">
        <f t="shared" si="23"/>
        <v>1. Under $10K</v>
      </c>
      <c r="D1514" t="s">
        <v>1255</v>
      </c>
      <c r="E1514" t="s">
        <v>112</v>
      </c>
      <c r="F1514" t="s">
        <v>668</v>
      </c>
      <c r="G1514" t="s">
        <v>59</v>
      </c>
      <c r="H1514">
        <v>2023</v>
      </c>
    </row>
    <row r="1515" spans="1:8" x14ac:dyDescent="0.2">
      <c r="A1515">
        <v>212906</v>
      </c>
      <c r="B1515">
        <v>10000</v>
      </c>
      <c r="C1515" t="str">
        <f t="shared" si="23"/>
        <v>2. $10K-50K</v>
      </c>
      <c r="D1515" t="s">
        <v>1256</v>
      </c>
      <c r="E1515" t="s">
        <v>112</v>
      </c>
      <c r="F1515" t="s">
        <v>668</v>
      </c>
      <c r="G1515" t="s">
        <v>59</v>
      </c>
      <c r="H1515">
        <v>2023</v>
      </c>
    </row>
    <row r="1516" spans="1:8" x14ac:dyDescent="0.2">
      <c r="A1516">
        <v>212921</v>
      </c>
      <c r="B1516">
        <v>25000</v>
      </c>
      <c r="C1516" t="str">
        <f t="shared" si="23"/>
        <v>2. $10K-50K</v>
      </c>
      <c r="D1516" t="s">
        <v>1257</v>
      </c>
      <c r="E1516" t="s">
        <v>112</v>
      </c>
      <c r="F1516" t="s">
        <v>668</v>
      </c>
      <c r="G1516" t="s">
        <v>59</v>
      </c>
      <c r="H1516">
        <v>2023</v>
      </c>
    </row>
    <row r="1517" spans="1:8" x14ac:dyDescent="0.2">
      <c r="A1517">
        <v>212923</v>
      </c>
      <c r="B1517">
        <v>9000</v>
      </c>
      <c r="C1517" t="str">
        <f t="shared" si="23"/>
        <v>2. $10K-50K</v>
      </c>
      <c r="D1517" t="s">
        <v>1258</v>
      </c>
      <c r="E1517" t="s">
        <v>112</v>
      </c>
      <c r="F1517" t="s">
        <v>668</v>
      </c>
      <c r="G1517" t="s">
        <v>59</v>
      </c>
      <c r="H1517">
        <v>2023</v>
      </c>
    </row>
    <row r="1518" spans="1:8" x14ac:dyDescent="0.2">
      <c r="A1518">
        <v>212925</v>
      </c>
      <c r="B1518">
        <v>20000</v>
      </c>
      <c r="C1518" t="str">
        <f t="shared" si="23"/>
        <v>1. Under $10K</v>
      </c>
      <c r="D1518" t="s">
        <v>1259</v>
      </c>
      <c r="E1518" t="s">
        <v>112</v>
      </c>
      <c r="F1518" t="s">
        <v>668</v>
      </c>
      <c r="G1518" t="s">
        <v>59</v>
      </c>
      <c r="H1518">
        <v>2023</v>
      </c>
    </row>
    <row r="1519" spans="1:8" x14ac:dyDescent="0.2">
      <c r="A1519">
        <v>212927</v>
      </c>
      <c r="B1519">
        <v>10000</v>
      </c>
      <c r="C1519" t="str">
        <f t="shared" si="23"/>
        <v>2. $10K-50K</v>
      </c>
      <c r="D1519" t="s">
        <v>1260</v>
      </c>
      <c r="E1519" t="s">
        <v>112</v>
      </c>
      <c r="F1519" t="s">
        <v>668</v>
      </c>
      <c r="G1519" t="s">
        <v>59</v>
      </c>
      <c r="H1519">
        <v>2023</v>
      </c>
    </row>
    <row r="1520" spans="1:8" x14ac:dyDescent="0.2">
      <c r="A1520">
        <v>212928</v>
      </c>
      <c r="B1520">
        <v>10000</v>
      </c>
      <c r="C1520" t="str">
        <f t="shared" si="23"/>
        <v>2. $10K-50K</v>
      </c>
      <c r="D1520" t="s">
        <v>1261</v>
      </c>
      <c r="E1520" t="s">
        <v>112</v>
      </c>
      <c r="F1520" t="s">
        <v>668</v>
      </c>
      <c r="G1520" t="s">
        <v>59</v>
      </c>
      <c r="H1520">
        <v>2023</v>
      </c>
    </row>
    <row r="1521" spans="1:8" x14ac:dyDescent="0.2">
      <c r="A1521">
        <v>212929</v>
      </c>
      <c r="B1521">
        <v>45000</v>
      </c>
      <c r="C1521" t="str">
        <f t="shared" si="23"/>
        <v>2. $10K-50K</v>
      </c>
      <c r="D1521" t="s">
        <v>1262</v>
      </c>
      <c r="E1521" t="s">
        <v>112</v>
      </c>
      <c r="F1521" t="s">
        <v>668</v>
      </c>
      <c r="G1521" t="s">
        <v>59</v>
      </c>
      <c r="H1521">
        <v>2023</v>
      </c>
    </row>
    <row r="1522" spans="1:8" x14ac:dyDescent="0.2">
      <c r="A1522">
        <v>212930</v>
      </c>
      <c r="B1522">
        <v>9000</v>
      </c>
      <c r="C1522" t="str">
        <f t="shared" si="23"/>
        <v>2. $10K-50K</v>
      </c>
      <c r="D1522" t="s">
        <v>1263</v>
      </c>
      <c r="E1522" t="s">
        <v>112</v>
      </c>
      <c r="F1522" t="s">
        <v>668</v>
      </c>
      <c r="G1522" t="s">
        <v>59</v>
      </c>
      <c r="H1522">
        <v>2023</v>
      </c>
    </row>
    <row r="1523" spans="1:8" x14ac:dyDescent="0.2">
      <c r="A1523">
        <v>212947</v>
      </c>
      <c r="B1523">
        <v>342000</v>
      </c>
      <c r="C1523" t="str">
        <f t="shared" si="23"/>
        <v>1. Under $10K</v>
      </c>
      <c r="D1523" t="s">
        <v>983</v>
      </c>
      <c r="E1523" t="s">
        <v>237</v>
      </c>
      <c r="F1523" t="s">
        <v>670</v>
      </c>
      <c r="G1523" t="s">
        <v>44</v>
      </c>
      <c r="H1523">
        <v>2023</v>
      </c>
    </row>
    <row r="1524" spans="1:8" x14ac:dyDescent="0.2">
      <c r="A1524">
        <v>212948</v>
      </c>
      <c r="B1524">
        <v>324000</v>
      </c>
      <c r="C1524" t="str">
        <f t="shared" si="23"/>
        <v>4. $250K-1M</v>
      </c>
      <c r="D1524" t="s">
        <v>697</v>
      </c>
      <c r="E1524" t="s">
        <v>237</v>
      </c>
      <c r="F1524" t="s">
        <v>670</v>
      </c>
      <c r="G1524" t="s">
        <v>59</v>
      </c>
      <c r="H1524">
        <v>2023</v>
      </c>
    </row>
    <row r="1525" spans="1:8" x14ac:dyDescent="0.2">
      <c r="A1525">
        <v>212949</v>
      </c>
      <c r="B1525">
        <v>108000</v>
      </c>
      <c r="C1525" t="str">
        <f t="shared" si="23"/>
        <v>4. $250K-1M</v>
      </c>
      <c r="D1525" t="s">
        <v>697</v>
      </c>
      <c r="E1525" t="s">
        <v>237</v>
      </c>
      <c r="F1525" t="s">
        <v>670</v>
      </c>
      <c r="G1525" t="s">
        <v>59</v>
      </c>
      <c r="H1525">
        <v>2023</v>
      </c>
    </row>
    <row r="1526" spans="1:8" x14ac:dyDescent="0.2">
      <c r="A1526">
        <v>212963</v>
      </c>
      <c r="B1526">
        <v>108000</v>
      </c>
      <c r="C1526" t="str">
        <f t="shared" si="23"/>
        <v>3. $50K-250K</v>
      </c>
      <c r="D1526" t="s">
        <v>1071</v>
      </c>
      <c r="E1526" t="s">
        <v>237</v>
      </c>
      <c r="F1526" t="s">
        <v>670</v>
      </c>
      <c r="G1526" t="s">
        <v>59</v>
      </c>
      <c r="H1526">
        <v>2023</v>
      </c>
    </row>
    <row r="1527" spans="1:8" x14ac:dyDescent="0.2">
      <c r="A1527">
        <v>212966</v>
      </c>
      <c r="B1527">
        <v>270000</v>
      </c>
      <c r="C1527" t="str">
        <f t="shared" si="23"/>
        <v>3. $50K-250K</v>
      </c>
      <c r="D1527" t="s">
        <v>1084</v>
      </c>
      <c r="E1527" t="s">
        <v>237</v>
      </c>
      <c r="F1527" t="s">
        <v>670</v>
      </c>
      <c r="G1527" t="s">
        <v>59</v>
      </c>
      <c r="H1527">
        <v>2023</v>
      </c>
    </row>
    <row r="1528" spans="1:8" x14ac:dyDescent="0.2">
      <c r="A1528">
        <v>212986</v>
      </c>
      <c r="B1528">
        <v>8639.5</v>
      </c>
      <c r="C1528" t="str">
        <f t="shared" si="23"/>
        <v>4. $250K-1M</v>
      </c>
      <c r="D1528" t="s">
        <v>732</v>
      </c>
      <c r="E1528" t="s">
        <v>237</v>
      </c>
      <c r="F1528" t="s">
        <v>670</v>
      </c>
      <c r="G1528" t="s">
        <v>59</v>
      </c>
      <c r="H1528">
        <v>2023</v>
      </c>
    </row>
    <row r="1529" spans="1:8" x14ac:dyDescent="0.2">
      <c r="A1529">
        <v>212991</v>
      </c>
      <c r="B1529">
        <v>15121.8</v>
      </c>
      <c r="C1529" t="str">
        <f t="shared" si="23"/>
        <v>1. Under $10K</v>
      </c>
      <c r="D1529" t="s">
        <v>732</v>
      </c>
      <c r="E1529" t="s">
        <v>237</v>
      </c>
      <c r="F1529" t="s">
        <v>670</v>
      </c>
      <c r="G1529" t="s">
        <v>59</v>
      </c>
      <c r="H1529">
        <v>2023</v>
      </c>
    </row>
    <row r="1530" spans="1:8" x14ac:dyDescent="0.2">
      <c r="A1530">
        <v>213086</v>
      </c>
      <c r="B1530">
        <v>40000</v>
      </c>
      <c r="C1530" t="str">
        <f t="shared" si="23"/>
        <v>2. $10K-50K</v>
      </c>
      <c r="D1530" t="s">
        <v>1264</v>
      </c>
      <c r="E1530" t="s">
        <v>112</v>
      </c>
      <c r="F1530" t="s">
        <v>668</v>
      </c>
      <c r="G1530" t="s">
        <v>59</v>
      </c>
      <c r="H1530">
        <v>2023</v>
      </c>
    </row>
    <row r="1531" spans="1:8" x14ac:dyDescent="0.2">
      <c r="A1531">
        <v>213088</v>
      </c>
      <c r="B1531">
        <v>15000</v>
      </c>
      <c r="C1531" t="str">
        <f t="shared" si="23"/>
        <v>2. $10K-50K</v>
      </c>
      <c r="D1531" t="s">
        <v>1265</v>
      </c>
      <c r="E1531" t="s">
        <v>112</v>
      </c>
      <c r="F1531" t="s">
        <v>668</v>
      </c>
      <c r="G1531" t="s">
        <v>59</v>
      </c>
      <c r="H1531">
        <v>2023</v>
      </c>
    </row>
    <row r="1532" spans="1:8" x14ac:dyDescent="0.2">
      <c r="A1532">
        <v>213089</v>
      </c>
      <c r="B1532">
        <v>20000</v>
      </c>
      <c r="C1532" t="str">
        <f t="shared" si="23"/>
        <v>2. $10K-50K</v>
      </c>
      <c r="D1532" t="s">
        <v>1266</v>
      </c>
      <c r="E1532" t="s">
        <v>112</v>
      </c>
      <c r="F1532" t="s">
        <v>668</v>
      </c>
      <c r="G1532" t="s">
        <v>59</v>
      </c>
      <c r="H1532">
        <v>2023</v>
      </c>
    </row>
    <row r="1533" spans="1:8" x14ac:dyDescent="0.2">
      <c r="A1533">
        <v>213090</v>
      </c>
      <c r="B1533">
        <v>10000</v>
      </c>
      <c r="C1533" t="str">
        <f t="shared" si="23"/>
        <v>2. $10K-50K</v>
      </c>
      <c r="D1533" t="s">
        <v>1267</v>
      </c>
      <c r="E1533" t="s">
        <v>112</v>
      </c>
      <c r="F1533" t="s">
        <v>668</v>
      </c>
      <c r="G1533" t="s">
        <v>59</v>
      </c>
      <c r="H1533">
        <v>2023</v>
      </c>
    </row>
    <row r="1534" spans="1:8" x14ac:dyDescent="0.2">
      <c r="A1534">
        <v>213094</v>
      </c>
      <c r="B1534">
        <v>10000</v>
      </c>
      <c r="C1534" t="str">
        <f t="shared" si="23"/>
        <v>2. $10K-50K</v>
      </c>
      <c r="D1534" t="s">
        <v>1268</v>
      </c>
      <c r="E1534" t="s">
        <v>112</v>
      </c>
      <c r="F1534" t="s">
        <v>668</v>
      </c>
      <c r="G1534" t="s">
        <v>59</v>
      </c>
      <c r="H1534">
        <v>2023</v>
      </c>
    </row>
    <row r="1535" spans="1:8" x14ac:dyDescent="0.2">
      <c r="A1535">
        <v>213106</v>
      </c>
      <c r="B1535">
        <v>40000</v>
      </c>
      <c r="C1535" t="str">
        <f t="shared" si="23"/>
        <v>2. $10K-50K</v>
      </c>
      <c r="D1535" t="s">
        <v>1269</v>
      </c>
      <c r="E1535" t="s">
        <v>112</v>
      </c>
      <c r="F1535" t="s">
        <v>668</v>
      </c>
      <c r="G1535" t="s">
        <v>59</v>
      </c>
      <c r="H1535">
        <v>2023</v>
      </c>
    </row>
    <row r="1536" spans="1:8" x14ac:dyDescent="0.2">
      <c r="A1536">
        <v>213123</v>
      </c>
      <c r="B1536">
        <v>50000</v>
      </c>
      <c r="C1536" t="str">
        <f t="shared" si="23"/>
        <v>2. $10K-50K</v>
      </c>
      <c r="D1536" t="s">
        <v>1270</v>
      </c>
      <c r="E1536" t="s">
        <v>112</v>
      </c>
      <c r="F1536" t="s">
        <v>668</v>
      </c>
      <c r="G1536" t="s">
        <v>59</v>
      </c>
      <c r="H1536">
        <v>2023</v>
      </c>
    </row>
    <row r="1537" spans="1:8" x14ac:dyDescent="0.2">
      <c r="A1537">
        <v>213126</v>
      </c>
      <c r="B1537">
        <v>10000</v>
      </c>
      <c r="C1537" t="str">
        <f t="shared" si="23"/>
        <v>3. $50K-250K</v>
      </c>
      <c r="D1537" t="s">
        <v>1271</v>
      </c>
      <c r="E1537" t="s">
        <v>112</v>
      </c>
      <c r="F1537" t="s">
        <v>668</v>
      </c>
      <c r="G1537" t="s">
        <v>59</v>
      </c>
      <c r="H1537">
        <v>2023</v>
      </c>
    </row>
    <row r="1538" spans="1:8" x14ac:dyDescent="0.2">
      <c r="A1538">
        <v>213127</v>
      </c>
      <c r="B1538">
        <v>45000</v>
      </c>
      <c r="C1538" t="str">
        <f t="shared" si="23"/>
        <v>2. $10K-50K</v>
      </c>
      <c r="D1538" t="s">
        <v>1272</v>
      </c>
      <c r="E1538" t="s">
        <v>112</v>
      </c>
      <c r="F1538" t="s">
        <v>668</v>
      </c>
      <c r="G1538" t="s">
        <v>59</v>
      </c>
      <c r="H1538">
        <v>2023</v>
      </c>
    </row>
    <row r="1539" spans="1:8" x14ac:dyDescent="0.2">
      <c r="A1539">
        <v>213129</v>
      </c>
      <c r="B1539">
        <v>100000</v>
      </c>
      <c r="C1539" t="str">
        <f t="shared" ref="C1539:C1602" si="24">IF(B1538&lt;10000,"1. Under $10K",IF(B1538&lt;50000,"2. $10K-50K",IF(B1538&lt;250000,"3. $50K-250K",IF(B1538&lt;1000000,"4. $250K-1M","5. $1M+"))))</f>
        <v>2. $10K-50K</v>
      </c>
      <c r="D1539" t="s">
        <v>1273</v>
      </c>
      <c r="E1539" t="s">
        <v>112</v>
      </c>
      <c r="F1539" t="s">
        <v>668</v>
      </c>
      <c r="G1539" t="s">
        <v>59</v>
      </c>
      <c r="H1539">
        <v>2023</v>
      </c>
    </row>
    <row r="1540" spans="1:8" x14ac:dyDescent="0.2">
      <c r="A1540">
        <v>213130</v>
      </c>
      <c r="B1540">
        <v>35000</v>
      </c>
      <c r="C1540" t="str">
        <f t="shared" si="24"/>
        <v>3. $50K-250K</v>
      </c>
      <c r="D1540" t="s">
        <v>1274</v>
      </c>
      <c r="E1540" t="s">
        <v>112</v>
      </c>
      <c r="F1540" t="s">
        <v>668</v>
      </c>
      <c r="G1540" t="s">
        <v>59</v>
      </c>
      <c r="H1540">
        <v>2023</v>
      </c>
    </row>
    <row r="1541" spans="1:8" x14ac:dyDescent="0.2">
      <c r="A1541">
        <v>213132</v>
      </c>
      <c r="B1541">
        <v>40000</v>
      </c>
      <c r="C1541" t="str">
        <f t="shared" si="24"/>
        <v>2. $10K-50K</v>
      </c>
      <c r="D1541" t="s">
        <v>1275</v>
      </c>
      <c r="E1541" t="s">
        <v>112</v>
      </c>
      <c r="F1541" t="s">
        <v>668</v>
      </c>
      <c r="G1541" t="s">
        <v>59</v>
      </c>
      <c r="H1541">
        <v>2023</v>
      </c>
    </row>
    <row r="1542" spans="1:8" x14ac:dyDescent="0.2">
      <c r="A1542">
        <v>213133</v>
      </c>
      <c r="B1542">
        <v>9000</v>
      </c>
      <c r="C1542" t="str">
        <f t="shared" si="24"/>
        <v>2. $10K-50K</v>
      </c>
      <c r="D1542" t="s">
        <v>1276</v>
      </c>
      <c r="E1542" t="s">
        <v>112</v>
      </c>
      <c r="F1542" t="s">
        <v>668</v>
      </c>
      <c r="G1542" t="s">
        <v>59</v>
      </c>
      <c r="H1542">
        <v>2023</v>
      </c>
    </row>
    <row r="1543" spans="1:8" x14ac:dyDescent="0.2">
      <c r="A1543">
        <v>213185</v>
      </c>
      <c r="B1543">
        <v>45000</v>
      </c>
      <c r="C1543" t="str">
        <f t="shared" si="24"/>
        <v>1. Under $10K</v>
      </c>
      <c r="D1543" t="s">
        <v>1108</v>
      </c>
      <c r="E1543" t="s">
        <v>112</v>
      </c>
      <c r="F1543" t="s">
        <v>668</v>
      </c>
      <c r="G1543" t="s">
        <v>59</v>
      </c>
      <c r="H1543">
        <v>2023</v>
      </c>
    </row>
    <row r="1544" spans="1:8" x14ac:dyDescent="0.2">
      <c r="A1544">
        <v>213186</v>
      </c>
      <c r="B1544">
        <v>30000</v>
      </c>
      <c r="C1544" t="str">
        <f t="shared" si="24"/>
        <v>2. $10K-50K</v>
      </c>
      <c r="D1544" t="s">
        <v>1277</v>
      </c>
      <c r="E1544" t="s">
        <v>112</v>
      </c>
      <c r="F1544" t="s">
        <v>668</v>
      </c>
      <c r="G1544" t="s">
        <v>59</v>
      </c>
      <c r="H1544">
        <v>2023</v>
      </c>
    </row>
    <row r="1545" spans="1:8" x14ac:dyDescent="0.2">
      <c r="A1545">
        <v>213187</v>
      </c>
      <c r="B1545">
        <v>6000</v>
      </c>
      <c r="C1545" t="str">
        <f t="shared" si="24"/>
        <v>2. $10K-50K</v>
      </c>
      <c r="D1545" t="s">
        <v>1278</v>
      </c>
      <c r="E1545" t="s">
        <v>112</v>
      </c>
      <c r="F1545" t="s">
        <v>668</v>
      </c>
      <c r="G1545" t="s">
        <v>59</v>
      </c>
      <c r="H1545">
        <v>2023</v>
      </c>
    </row>
    <row r="1546" spans="1:8" x14ac:dyDescent="0.2">
      <c r="A1546">
        <v>213191</v>
      </c>
      <c r="B1546">
        <v>15000</v>
      </c>
      <c r="C1546" t="str">
        <f t="shared" si="24"/>
        <v>1. Under $10K</v>
      </c>
      <c r="D1546" t="s">
        <v>1279</v>
      </c>
      <c r="E1546" t="s">
        <v>112</v>
      </c>
      <c r="F1546" t="s">
        <v>668</v>
      </c>
      <c r="G1546" t="s">
        <v>59</v>
      </c>
      <c r="H1546">
        <v>2023</v>
      </c>
    </row>
    <row r="1547" spans="1:8" x14ac:dyDescent="0.2">
      <c r="A1547">
        <v>213192</v>
      </c>
      <c r="B1547">
        <v>50000</v>
      </c>
      <c r="C1547" t="str">
        <f t="shared" si="24"/>
        <v>2. $10K-50K</v>
      </c>
      <c r="D1547" t="s">
        <v>1280</v>
      </c>
      <c r="E1547" t="s">
        <v>112</v>
      </c>
      <c r="F1547" t="s">
        <v>668</v>
      </c>
      <c r="G1547" t="s">
        <v>59</v>
      </c>
      <c r="H1547">
        <v>2023</v>
      </c>
    </row>
    <row r="1548" spans="1:8" x14ac:dyDescent="0.2">
      <c r="A1548">
        <v>213193</v>
      </c>
      <c r="B1548">
        <v>10000</v>
      </c>
      <c r="C1548" t="str">
        <f t="shared" si="24"/>
        <v>3. $50K-250K</v>
      </c>
      <c r="D1548" t="s">
        <v>1281</v>
      </c>
      <c r="E1548" t="s">
        <v>112</v>
      </c>
      <c r="F1548" t="s">
        <v>668</v>
      </c>
      <c r="G1548" t="s">
        <v>59</v>
      </c>
      <c r="H1548">
        <v>2023</v>
      </c>
    </row>
    <row r="1549" spans="1:8" x14ac:dyDescent="0.2">
      <c r="A1549">
        <v>213198</v>
      </c>
      <c r="B1549">
        <v>10000</v>
      </c>
      <c r="C1549" t="str">
        <f t="shared" si="24"/>
        <v>2. $10K-50K</v>
      </c>
      <c r="D1549" t="s">
        <v>1282</v>
      </c>
      <c r="E1549" t="s">
        <v>112</v>
      </c>
      <c r="F1549" t="s">
        <v>668</v>
      </c>
      <c r="G1549" t="s">
        <v>59</v>
      </c>
      <c r="H1549">
        <v>2023</v>
      </c>
    </row>
    <row r="1550" spans="1:8" x14ac:dyDescent="0.2">
      <c r="A1550">
        <v>213199</v>
      </c>
      <c r="B1550">
        <v>25000</v>
      </c>
      <c r="C1550" t="str">
        <f t="shared" si="24"/>
        <v>2. $10K-50K</v>
      </c>
      <c r="D1550" t="s">
        <v>1283</v>
      </c>
      <c r="E1550" t="s">
        <v>112</v>
      </c>
      <c r="F1550" t="s">
        <v>668</v>
      </c>
      <c r="G1550" t="s">
        <v>59</v>
      </c>
      <c r="H1550">
        <v>2023</v>
      </c>
    </row>
    <row r="1551" spans="1:8" x14ac:dyDescent="0.2">
      <c r="A1551">
        <v>213204</v>
      </c>
      <c r="B1551">
        <v>10000</v>
      </c>
      <c r="C1551" t="str">
        <f t="shared" si="24"/>
        <v>2. $10K-50K</v>
      </c>
      <c r="D1551" t="s">
        <v>1284</v>
      </c>
      <c r="E1551" t="s">
        <v>112</v>
      </c>
      <c r="F1551" t="s">
        <v>668</v>
      </c>
      <c r="G1551" t="s">
        <v>59</v>
      </c>
      <c r="H1551">
        <v>2023</v>
      </c>
    </row>
    <row r="1552" spans="1:8" x14ac:dyDescent="0.2">
      <c r="A1552">
        <v>213205</v>
      </c>
      <c r="B1552">
        <v>45000</v>
      </c>
      <c r="C1552" t="str">
        <f t="shared" si="24"/>
        <v>2. $10K-50K</v>
      </c>
      <c r="D1552" t="s">
        <v>1285</v>
      </c>
      <c r="E1552" t="s">
        <v>112</v>
      </c>
      <c r="F1552" t="s">
        <v>668</v>
      </c>
      <c r="G1552" t="s">
        <v>59</v>
      </c>
      <c r="H1552">
        <v>2023</v>
      </c>
    </row>
    <row r="1553" spans="1:8" x14ac:dyDescent="0.2">
      <c r="A1553">
        <v>213206</v>
      </c>
      <c r="B1553">
        <v>10000</v>
      </c>
      <c r="C1553" t="str">
        <f t="shared" si="24"/>
        <v>2. $10K-50K</v>
      </c>
      <c r="D1553" t="s">
        <v>1286</v>
      </c>
      <c r="E1553" t="s">
        <v>112</v>
      </c>
      <c r="F1553" t="s">
        <v>668</v>
      </c>
      <c r="G1553" t="s">
        <v>59</v>
      </c>
      <c r="H1553">
        <v>2023</v>
      </c>
    </row>
    <row r="1554" spans="1:8" x14ac:dyDescent="0.2">
      <c r="A1554">
        <v>213217</v>
      </c>
      <c r="B1554">
        <v>40000</v>
      </c>
      <c r="C1554" t="str">
        <f t="shared" si="24"/>
        <v>2. $10K-50K</v>
      </c>
      <c r="D1554" t="s">
        <v>1287</v>
      </c>
      <c r="E1554" t="s">
        <v>112</v>
      </c>
      <c r="F1554" t="s">
        <v>668</v>
      </c>
      <c r="G1554" t="s">
        <v>59</v>
      </c>
      <c r="H1554">
        <v>2023</v>
      </c>
    </row>
    <row r="1555" spans="1:8" x14ac:dyDescent="0.2">
      <c r="A1555">
        <v>213219</v>
      </c>
      <c r="B1555">
        <v>20000</v>
      </c>
      <c r="C1555" t="str">
        <f t="shared" si="24"/>
        <v>2. $10K-50K</v>
      </c>
      <c r="D1555" t="s">
        <v>1288</v>
      </c>
      <c r="E1555" t="s">
        <v>112</v>
      </c>
      <c r="F1555" t="s">
        <v>668</v>
      </c>
      <c r="G1555" t="s">
        <v>59</v>
      </c>
      <c r="H1555">
        <v>2023</v>
      </c>
    </row>
    <row r="1556" spans="1:8" x14ac:dyDescent="0.2">
      <c r="A1556">
        <v>213227</v>
      </c>
      <c r="B1556">
        <v>15000</v>
      </c>
      <c r="C1556" t="str">
        <f t="shared" si="24"/>
        <v>2. $10K-50K</v>
      </c>
      <c r="D1556" t="s">
        <v>1289</v>
      </c>
      <c r="E1556" t="s">
        <v>112</v>
      </c>
      <c r="F1556" t="s">
        <v>668</v>
      </c>
      <c r="G1556" t="s">
        <v>59</v>
      </c>
      <c r="H1556">
        <v>2023</v>
      </c>
    </row>
    <row r="1557" spans="1:8" x14ac:dyDescent="0.2">
      <c r="A1557">
        <v>213229</v>
      </c>
      <c r="B1557">
        <v>25000</v>
      </c>
      <c r="C1557" t="str">
        <f t="shared" si="24"/>
        <v>2. $10K-50K</v>
      </c>
      <c r="D1557" t="s">
        <v>987</v>
      </c>
      <c r="E1557" t="s">
        <v>112</v>
      </c>
      <c r="F1557" t="s">
        <v>668</v>
      </c>
      <c r="G1557" t="s">
        <v>59</v>
      </c>
      <c r="H1557">
        <v>2023</v>
      </c>
    </row>
    <row r="1558" spans="1:8" x14ac:dyDescent="0.2">
      <c r="A1558">
        <v>213238</v>
      </c>
      <c r="B1558">
        <v>50000</v>
      </c>
      <c r="C1558" t="str">
        <f t="shared" si="24"/>
        <v>2. $10K-50K</v>
      </c>
      <c r="D1558" t="s">
        <v>1290</v>
      </c>
      <c r="E1558" t="s">
        <v>112</v>
      </c>
      <c r="F1558" t="s">
        <v>668</v>
      </c>
      <c r="G1558" t="s">
        <v>59</v>
      </c>
      <c r="H1558">
        <v>2023</v>
      </c>
    </row>
    <row r="1559" spans="1:8" x14ac:dyDescent="0.2">
      <c r="A1559">
        <v>213239</v>
      </c>
      <c r="B1559">
        <v>50000</v>
      </c>
      <c r="C1559" t="str">
        <f t="shared" si="24"/>
        <v>3. $50K-250K</v>
      </c>
      <c r="D1559" t="s">
        <v>1291</v>
      </c>
      <c r="E1559" t="s">
        <v>112</v>
      </c>
      <c r="F1559" t="s">
        <v>668</v>
      </c>
      <c r="G1559" t="s">
        <v>59</v>
      </c>
      <c r="H1559">
        <v>2023</v>
      </c>
    </row>
    <row r="1560" spans="1:8" x14ac:dyDescent="0.2">
      <c r="A1560">
        <v>213240</v>
      </c>
      <c r="B1560">
        <v>25000</v>
      </c>
      <c r="C1560" t="str">
        <f t="shared" si="24"/>
        <v>3. $50K-250K</v>
      </c>
      <c r="D1560" t="s">
        <v>1292</v>
      </c>
      <c r="E1560" t="s">
        <v>112</v>
      </c>
      <c r="F1560" t="s">
        <v>668</v>
      </c>
      <c r="G1560" t="s">
        <v>59</v>
      </c>
      <c r="H1560">
        <v>2023</v>
      </c>
    </row>
    <row r="1561" spans="1:8" x14ac:dyDescent="0.2">
      <c r="A1561">
        <v>213241</v>
      </c>
      <c r="B1561">
        <v>45000</v>
      </c>
      <c r="C1561" t="str">
        <f t="shared" si="24"/>
        <v>2. $10K-50K</v>
      </c>
      <c r="D1561" t="s">
        <v>1293</v>
      </c>
      <c r="E1561" t="s">
        <v>112</v>
      </c>
      <c r="F1561" t="s">
        <v>668</v>
      </c>
      <c r="G1561" t="s">
        <v>59</v>
      </c>
      <c r="H1561">
        <v>2023</v>
      </c>
    </row>
    <row r="1562" spans="1:8" x14ac:dyDescent="0.2">
      <c r="A1562">
        <v>213245</v>
      </c>
      <c r="B1562">
        <v>50000</v>
      </c>
      <c r="C1562" t="str">
        <f t="shared" si="24"/>
        <v>2. $10K-50K</v>
      </c>
      <c r="D1562" t="s">
        <v>1294</v>
      </c>
      <c r="E1562" t="s">
        <v>112</v>
      </c>
      <c r="F1562" t="s">
        <v>668</v>
      </c>
      <c r="G1562" t="s">
        <v>59</v>
      </c>
      <c r="H1562">
        <v>2023</v>
      </c>
    </row>
    <row r="1563" spans="1:8" x14ac:dyDescent="0.2">
      <c r="A1563">
        <v>213252</v>
      </c>
      <c r="B1563">
        <v>600000</v>
      </c>
      <c r="C1563" t="str">
        <f t="shared" si="24"/>
        <v>3. $50K-250K</v>
      </c>
      <c r="D1563" t="s">
        <v>1295</v>
      </c>
      <c r="E1563" t="s">
        <v>237</v>
      </c>
      <c r="F1563" t="s">
        <v>670</v>
      </c>
      <c r="G1563" t="s">
        <v>59</v>
      </c>
      <c r="H1563">
        <v>2023</v>
      </c>
    </row>
    <row r="1564" spans="1:8" x14ac:dyDescent="0.2">
      <c r="A1564">
        <v>213253</v>
      </c>
      <c r="B1564">
        <v>61000</v>
      </c>
      <c r="C1564" t="str">
        <f t="shared" si="24"/>
        <v>4. $250K-1M</v>
      </c>
      <c r="D1564" t="s">
        <v>852</v>
      </c>
      <c r="E1564" t="s">
        <v>237</v>
      </c>
      <c r="F1564" t="s">
        <v>670</v>
      </c>
      <c r="G1564" t="s">
        <v>59</v>
      </c>
      <c r="H1564">
        <v>2023</v>
      </c>
    </row>
    <row r="1565" spans="1:8" x14ac:dyDescent="0.2">
      <c r="A1565">
        <v>213283</v>
      </c>
      <c r="B1565">
        <v>10000</v>
      </c>
      <c r="C1565" t="str">
        <f t="shared" si="24"/>
        <v>3. $50K-250K</v>
      </c>
      <c r="D1565" t="s">
        <v>1296</v>
      </c>
      <c r="E1565" t="s">
        <v>112</v>
      </c>
      <c r="F1565" t="s">
        <v>668</v>
      </c>
      <c r="G1565" t="s">
        <v>59</v>
      </c>
      <c r="H1565">
        <v>2023</v>
      </c>
    </row>
    <row r="1566" spans="1:8" x14ac:dyDescent="0.2">
      <c r="A1566">
        <v>213297</v>
      </c>
      <c r="B1566">
        <v>18064</v>
      </c>
      <c r="C1566" t="str">
        <f t="shared" si="24"/>
        <v>2. $10K-50K</v>
      </c>
      <c r="D1566" t="s">
        <v>792</v>
      </c>
      <c r="E1566" t="s">
        <v>42</v>
      </c>
      <c r="F1566" t="s">
        <v>670</v>
      </c>
      <c r="G1566" t="s">
        <v>59</v>
      </c>
      <c r="H1566">
        <v>2023</v>
      </c>
    </row>
    <row r="1567" spans="1:8" x14ac:dyDescent="0.2">
      <c r="A1567">
        <v>213326</v>
      </c>
      <c r="B1567">
        <v>22981493.800000001</v>
      </c>
      <c r="C1567" t="str">
        <f t="shared" si="24"/>
        <v>2. $10K-50K</v>
      </c>
      <c r="D1567" t="s">
        <v>235</v>
      </c>
      <c r="E1567" t="s">
        <v>8</v>
      </c>
      <c r="F1567" t="s">
        <v>14</v>
      </c>
      <c r="G1567" t="s">
        <v>15</v>
      </c>
      <c r="H1567">
        <v>2023</v>
      </c>
    </row>
    <row r="1568" spans="1:8" x14ac:dyDescent="0.2">
      <c r="A1568">
        <v>213405</v>
      </c>
      <c r="B1568">
        <v>10000</v>
      </c>
      <c r="C1568" t="str">
        <f t="shared" si="24"/>
        <v>5. $1M+</v>
      </c>
      <c r="D1568" t="s">
        <v>1297</v>
      </c>
      <c r="E1568" t="s">
        <v>112</v>
      </c>
      <c r="F1568" t="s">
        <v>668</v>
      </c>
      <c r="G1568" t="s">
        <v>59</v>
      </c>
      <c r="H1568">
        <v>2023</v>
      </c>
    </row>
    <row r="1569" spans="1:8" x14ac:dyDescent="0.2">
      <c r="A1569">
        <v>213412</v>
      </c>
      <c r="B1569">
        <v>25000</v>
      </c>
      <c r="C1569" t="str">
        <f t="shared" si="24"/>
        <v>2. $10K-50K</v>
      </c>
      <c r="D1569" t="s">
        <v>1298</v>
      </c>
      <c r="E1569" t="s">
        <v>112</v>
      </c>
      <c r="F1569" t="s">
        <v>668</v>
      </c>
      <c r="G1569" t="s">
        <v>59</v>
      </c>
      <c r="H1569">
        <v>2023</v>
      </c>
    </row>
    <row r="1570" spans="1:8" x14ac:dyDescent="0.2">
      <c r="A1570">
        <v>213413</v>
      </c>
      <c r="B1570">
        <v>25000</v>
      </c>
      <c r="C1570" t="str">
        <f t="shared" si="24"/>
        <v>2. $10K-50K</v>
      </c>
      <c r="D1570" t="s">
        <v>1299</v>
      </c>
      <c r="E1570" t="s">
        <v>112</v>
      </c>
      <c r="F1570" t="s">
        <v>668</v>
      </c>
      <c r="G1570" t="s">
        <v>59</v>
      </c>
      <c r="H1570">
        <v>2023</v>
      </c>
    </row>
    <row r="1571" spans="1:8" x14ac:dyDescent="0.2">
      <c r="A1571">
        <v>213416</v>
      </c>
      <c r="B1571">
        <v>30000</v>
      </c>
      <c r="C1571" t="str">
        <f t="shared" si="24"/>
        <v>2. $10K-50K</v>
      </c>
      <c r="D1571" t="s">
        <v>1300</v>
      </c>
      <c r="E1571" t="s">
        <v>112</v>
      </c>
      <c r="F1571" t="s">
        <v>668</v>
      </c>
      <c r="G1571" t="s">
        <v>59</v>
      </c>
      <c r="H1571">
        <v>2023</v>
      </c>
    </row>
    <row r="1572" spans="1:8" x14ac:dyDescent="0.2">
      <c r="A1572">
        <v>213419</v>
      </c>
      <c r="B1572">
        <v>25000</v>
      </c>
      <c r="C1572" t="str">
        <f t="shared" si="24"/>
        <v>2. $10K-50K</v>
      </c>
      <c r="D1572" t="s">
        <v>1301</v>
      </c>
      <c r="E1572" t="s">
        <v>112</v>
      </c>
      <c r="F1572" t="s">
        <v>668</v>
      </c>
      <c r="G1572" t="s">
        <v>59</v>
      </c>
      <c r="H1572">
        <v>2023</v>
      </c>
    </row>
    <row r="1573" spans="1:8" x14ac:dyDescent="0.2">
      <c r="A1573">
        <v>213425</v>
      </c>
      <c r="B1573">
        <v>50000</v>
      </c>
      <c r="C1573" t="str">
        <f t="shared" si="24"/>
        <v>2. $10K-50K</v>
      </c>
      <c r="D1573" t="s">
        <v>1302</v>
      </c>
      <c r="E1573" t="s">
        <v>112</v>
      </c>
      <c r="F1573" t="s">
        <v>668</v>
      </c>
      <c r="G1573" t="s">
        <v>59</v>
      </c>
      <c r="H1573">
        <v>2023</v>
      </c>
    </row>
    <row r="1574" spans="1:8" x14ac:dyDescent="0.2">
      <c r="A1574">
        <v>213427</v>
      </c>
      <c r="B1574">
        <v>30000</v>
      </c>
      <c r="C1574" t="str">
        <f t="shared" si="24"/>
        <v>3. $50K-250K</v>
      </c>
      <c r="D1574" t="s">
        <v>1303</v>
      </c>
      <c r="E1574" t="s">
        <v>112</v>
      </c>
      <c r="F1574" t="s">
        <v>668</v>
      </c>
      <c r="G1574" t="s">
        <v>59</v>
      </c>
      <c r="H1574">
        <v>2023</v>
      </c>
    </row>
    <row r="1575" spans="1:8" x14ac:dyDescent="0.2">
      <c r="A1575">
        <v>213433</v>
      </c>
      <c r="B1575">
        <v>25000</v>
      </c>
      <c r="C1575" t="str">
        <f t="shared" si="24"/>
        <v>2. $10K-50K</v>
      </c>
      <c r="D1575" t="s">
        <v>1304</v>
      </c>
      <c r="E1575" t="s">
        <v>112</v>
      </c>
      <c r="F1575" t="s">
        <v>668</v>
      </c>
      <c r="G1575" t="s">
        <v>59</v>
      </c>
      <c r="H1575">
        <v>2023</v>
      </c>
    </row>
    <row r="1576" spans="1:8" x14ac:dyDescent="0.2">
      <c r="A1576">
        <v>213444</v>
      </c>
      <c r="B1576">
        <v>30000</v>
      </c>
      <c r="C1576" t="str">
        <f t="shared" si="24"/>
        <v>2. $10K-50K</v>
      </c>
      <c r="D1576" t="s">
        <v>1305</v>
      </c>
      <c r="E1576" t="s">
        <v>112</v>
      </c>
      <c r="F1576" t="s">
        <v>668</v>
      </c>
      <c r="G1576" t="s">
        <v>59</v>
      </c>
      <c r="H1576">
        <v>2023</v>
      </c>
    </row>
    <row r="1577" spans="1:8" x14ac:dyDescent="0.2">
      <c r="A1577">
        <v>213447</v>
      </c>
      <c r="B1577">
        <v>9000</v>
      </c>
      <c r="C1577" t="str">
        <f t="shared" si="24"/>
        <v>2. $10K-50K</v>
      </c>
      <c r="D1577" t="s">
        <v>1306</v>
      </c>
      <c r="E1577" t="s">
        <v>112</v>
      </c>
      <c r="F1577" t="s">
        <v>668</v>
      </c>
      <c r="G1577" t="s">
        <v>59</v>
      </c>
      <c r="H1577">
        <v>2023</v>
      </c>
    </row>
    <row r="1578" spans="1:8" x14ac:dyDescent="0.2">
      <c r="A1578">
        <v>213451</v>
      </c>
      <c r="B1578">
        <v>5000</v>
      </c>
      <c r="C1578" t="str">
        <f t="shared" si="24"/>
        <v>1. Under $10K</v>
      </c>
      <c r="D1578" t="s">
        <v>1307</v>
      </c>
      <c r="E1578" t="s">
        <v>112</v>
      </c>
      <c r="F1578" t="s">
        <v>668</v>
      </c>
      <c r="G1578" t="s">
        <v>59</v>
      </c>
      <c r="H1578">
        <v>2023</v>
      </c>
    </row>
    <row r="1579" spans="1:8" x14ac:dyDescent="0.2">
      <c r="A1579">
        <v>213457</v>
      </c>
      <c r="B1579">
        <v>6000</v>
      </c>
      <c r="C1579" t="str">
        <f t="shared" si="24"/>
        <v>1. Under $10K</v>
      </c>
      <c r="D1579" t="s">
        <v>1308</v>
      </c>
      <c r="E1579" t="s">
        <v>112</v>
      </c>
      <c r="F1579" t="s">
        <v>668</v>
      </c>
      <c r="G1579" t="s">
        <v>59</v>
      </c>
      <c r="H1579">
        <v>2023</v>
      </c>
    </row>
    <row r="1580" spans="1:8" x14ac:dyDescent="0.2">
      <c r="A1580">
        <v>213459</v>
      </c>
      <c r="B1580">
        <v>25000</v>
      </c>
      <c r="C1580" t="str">
        <f t="shared" si="24"/>
        <v>1. Under $10K</v>
      </c>
      <c r="D1580" t="s">
        <v>1309</v>
      </c>
      <c r="E1580" t="s">
        <v>112</v>
      </c>
      <c r="F1580" t="s">
        <v>668</v>
      </c>
      <c r="G1580" t="s">
        <v>59</v>
      </c>
      <c r="H1580">
        <v>2023</v>
      </c>
    </row>
    <row r="1581" spans="1:8" x14ac:dyDescent="0.2">
      <c r="A1581">
        <v>213460</v>
      </c>
      <c r="B1581">
        <v>20000</v>
      </c>
      <c r="C1581" t="str">
        <f t="shared" si="24"/>
        <v>2. $10K-50K</v>
      </c>
      <c r="D1581" t="s">
        <v>1310</v>
      </c>
      <c r="E1581" t="s">
        <v>112</v>
      </c>
      <c r="F1581" t="s">
        <v>668</v>
      </c>
      <c r="G1581" t="s">
        <v>59</v>
      </c>
      <c r="H1581">
        <v>2023</v>
      </c>
    </row>
    <row r="1582" spans="1:8" x14ac:dyDescent="0.2">
      <c r="A1582">
        <v>213461</v>
      </c>
      <c r="B1582">
        <v>25000</v>
      </c>
      <c r="C1582" t="str">
        <f t="shared" si="24"/>
        <v>2. $10K-50K</v>
      </c>
      <c r="D1582" t="s">
        <v>1311</v>
      </c>
      <c r="E1582" t="s">
        <v>112</v>
      </c>
      <c r="F1582" t="s">
        <v>668</v>
      </c>
      <c r="G1582" t="s">
        <v>59</v>
      </c>
      <c r="H1582">
        <v>2023</v>
      </c>
    </row>
    <row r="1583" spans="1:8" x14ac:dyDescent="0.2">
      <c r="A1583">
        <v>213462</v>
      </c>
      <c r="B1583">
        <v>22500</v>
      </c>
      <c r="C1583" t="str">
        <f t="shared" si="24"/>
        <v>2. $10K-50K</v>
      </c>
      <c r="D1583" t="s">
        <v>1312</v>
      </c>
      <c r="E1583" t="s">
        <v>112</v>
      </c>
      <c r="F1583" t="s">
        <v>668</v>
      </c>
      <c r="G1583" t="s">
        <v>59</v>
      </c>
      <c r="H1583">
        <v>2023</v>
      </c>
    </row>
    <row r="1584" spans="1:8" x14ac:dyDescent="0.2">
      <c r="A1584">
        <v>213466</v>
      </c>
      <c r="B1584">
        <v>20000</v>
      </c>
      <c r="C1584" t="str">
        <f t="shared" si="24"/>
        <v>2. $10K-50K</v>
      </c>
      <c r="D1584" t="s">
        <v>1313</v>
      </c>
      <c r="E1584" t="s">
        <v>112</v>
      </c>
      <c r="F1584" t="s">
        <v>668</v>
      </c>
      <c r="G1584" t="s">
        <v>59</v>
      </c>
      <c r="H1584">
        <v>2023</v>
      </c>
    </row>
    <row r="1585" spans="1:8" x14ac:dyDescent="0.2">
      <c r="A1585">
        <v>213468</v>
      </c>
      <c r="B1585">
        <v>20000</v>
      </c>
      <c r="C1585" t="str">
        <f t="shared" si="24"/>
        <v>2. $10K-50K</v>
      </c>
      <c r="D1585" t="s">
        <v>1314</v>
      </c>
      <c r="E1585" t="s">
        <v>112</v>
      </c>
      <c r="F1585" t="s">
        <v>668</v>
      </c>
      <c r="G1585" t="s">
        <v>59</v>
      </c>
      <c r="H1585">
        <v>2023</v>
      </c>
    </row>
    <row r="1586" spans="1:8" x14ac:dyDescent="0.2">
      <c r="A1586">
        <v>213469</v>
      </c>
      <c r="B1586">
        <v>10000</v>
      </c>
      <c r="C1586" t="str">
        <f t="shared" si="24"/>
        <v>2. $10K-50K</v>
      </c>
      <c r="D1586" t="s">
        <v>1315</v>
      </c>
      <c r="E1586" t="s">
        <v>112</v>
      </c>
      <c r="F1586" t="s">
        <v>668</v>
      </c>
      <c r="G1586" t="s">
        <v>59</v>
      </c>
      <c r="H1586">
        <v>2023</v>
      </c>
    </row>
    <row r="1587" spans="1:8" x14ac:dyDescent="0.2">
      <c r="A1587">
        <v>213474</v>
      </c>
      <c r="B1587">
        <v>20000</v>
      </c>
      <c r="C1587" t="str">
        <f t="shared" si="24"/>
        <v>2. $10K-50K</v>
      </c>
      <c r="D1587" t="s">
        <v>1316</v>
      </c>
      <c r="E1587" t="s">
        <v>112</v>
      </c>
      <c r="F1587" t="s">
        <v>668</v>
      </c>
      <c r="G1587" t="s">
        <v>59</v>
      </c>
      <c r="H1587">
        <v>2023</v>
      </c>
    </row>
    <row r="1588" spans="1:8" x14ac:dyDescent="0.2">
      <c r="A1588">
        <v>213479</v>
      </c>
      <c r="B1588">
        <v>9000</v>
      </c>
      <c r="C1588" t="str">
        <f t="shared" si="24"/>
        <v>2. $10K-50K</v>
      </c>
      <c r="D1588" t="s">
        <v>1317</v>
      </c>
      <c r="E1588" t="s">
        <v>112</v>
      </c>
      <c r="F1588" t="s">
        <v>668</v>
      </c>
      <c r="G1588" t="s">
        <v>59</v>
      </c>
      <c r="H1588">
        <v>2023</v>
      </c>
    </row>
    <row r="1589" spans="1:8" x14ac:dyDescent="0.2">
      <c r="A1589">
        <v>213483</v>
      </c>
      <c r="B1589">
        <v>20000</v>
      </c>
      <c r="C1589" t="str">
        <f t="shared" si="24"/>
        <v>1. Under $10K</v>
      </c>
      <c r="D1589" t="s">
        <v>1318</v>
      </c>
      <c r="E1589" t="s">
        <v>112</v>
      </c>
      <c r="F1589" t="s">
        <v>668</v>
      </c>
      <c r="G1589" t="s">
        <v>59</v>
      </c>
      <c r="H1589">
        <v>2023</v>
      </c>
    </row>
    <row r="1590" spans="1:8" x14ac:dyDescent="0.2">
      <c r="A1590">
        <v>213484</v>
      </c>
      <c r="B1590">
        <v>10000</v>
      </c>
      <c r="C1590" t="str">
        <f t="shared" si="24"/>
        <v>2. $10K-50K</v>
      </c>
      <c r="D1590" t="s">
        <v>1319</v>
      </c>
      <c r="E1590" t="s">
        <v>112</v>
      </c>
      <c r="F1590" t="s">
        <v>668</v>
      </c>
      <c r="G1590" t="s">
        <v>59</v>
      </c>
      <c r="H1590">
        <v>2023</v>
      </c>
    </row>
    <row r="1591" spans="1:8" x14ac:dyDescent="0.2">
      <c r="A1591">
        <v>213485</v>
      </c>
      <c r="B1591">
        <v>9000</v>
      </c>
      <c r="C1591" t="str">
        <f t="shared" si="24"/>
        <v>2. $10K-50K</v>
      </c>
      <c r="D1591" t="s">
        <v>1320</v>
      </c>
      <c r="E1591" t="s">
        <v>112</v>
      </c>
      <c r="F1591" t="s">
        <v>668</v>
      </c>
      <c r="G1591" t="s">
        <v>59</v>
      </c>
      <c r="H1591">
        <v>2023</v>
      </c>
    </row>
    <row r="1592" spans="1:8" x14ac:dyDescent="0.2">
      <c r="A1592">
        <v>213555</v>
      </c>
      <c r="B1592">
        <v>9000</v>
      </c>
      <c r="C1592" t="str">
        <f t="shared" si="24"/>
        <v>1. Under $10K</v>
      </c>
      <c r="D1592" t="s">
        <v>1321</v>
      </c>
      <c r="E1592" t="s">
        <v>112</v>
      </c>
      <c r="F1592" t="s">
        <v>668</v>
      </c>
      <c r="G1592" t="s">
        <v>59</v>
      </c>
      <c r="H1592">
        <v>2023</v>
      </c>
    </row>
    <row r="1593" spans="1:8" x14ac:dyDescent="0.2">
      <c r="A1593">
        <v>213556</v>
      </c>
      <c r="B1593">
        <v>35000</v>
      </c>
      <c r="C1593" t="str">
        <f t="shared" si="24"/>
        <v>1. Under $10K</v>
      </c>
      <c r="D1593" t="s">
        <v>1322</v>
      </c>
      <c r="E1593" t="s">
        <v>112</v>
      </c>
      <c r="F1593" t="s">
        <v>668</v>
      </c>
      <c r="G1593" t="s">
        <v>59</v>
      </c>
      <c r="H1593">
        <v>2023</v>
      </c>
    </row>
    <row r="1594" spans="1:8" x14ac:dyDescent="0.2">
      <c r="A1594">
        <v>213559</v>
      </c>
      <c r="B1594">
        <v>25000</v>
      </c>
      <c r="C1594" t="str">
        <f t="shared" si="24"/>
        <v>2. $10K-50K</v>
      </c>
      <c r="D1594" t="s">
        <v>1323</v>
      </c>
      <c r="E1594" t="s">
        <v>112</v>
      </c>
      <c r="F1594" t="s">
        <v>668</v>
      </c>
      <c r="G1594" t="s">
        <v>59</v>
      </c>
      <c r="H1594">
        <v>2023</v>
      </c>
    </row>
    <row r="1595" spans="1:8" x14ac:dyDescent="0.2">
      <c r="A1595">
        <v>213560</v>
      </c>
      <c r="B1595">
        <v>40000</v>
      </c>
      <c r="C1595" t="str">
        <f t="shared" si="24"/>
        <v>2. $10K-50K</v>
      </c>
      <c r="D1595" t="s">
        <v>1324</v>
      </c>
      <c r="E1595" t="s">
        <v>112</v>
      </c>
      <c r="F1595" t="s">
        <v>668</v>
      </c>
      <c r="G1595" t="s">
        <v>59</v>
      </c>
      <c r="H1595">
        <v>2023</v>
      </c>
    </row>
    <row r="1596" spans="1:8" x14ac:dyDescent="0.2">
      <c r="A1596">
        <v>213561</v>
      </c>
      <c r="B1596">
        <v>10000</v>
      </c>
      <c r="C1596" t="str">
        <f t="shared" si="24"/>
        <v>2. $10K-50K</v>
      </c>
      <c r="D1596" t="s">
        <v>1325</v>
      </c>
      <c r="E1596" t="s">
        <v>112</v>
      </c>
      <c r="F1596" t="s">
        <v>668</v>
      </c>
      <c r="G1596" t="s">
        <v>59</v>
      </c>
      <c r="H1596">
        <v>2023</v>
      </c>
    </row>
    <row r="1597" spans="1:8" x14ac:dyDescent="0.2">
      <c r="A1597">
        <v>213563</v>
      </c>
      <c r="B1597">
        <v>20000</v>
      </c>
      <c r="C1597" t="str">
        <f t="shared" si="24"/>
        <v>2. $10K-50K</v>
      </c>
      <c r="D1597" t="s">
        <v>1326</v>
      </c>
      <c r="E1597" t="s">
        <v>112</v>
      </c>
      <c r="F1597" t="s">
        <v>668</v>
      </c>
      <c r="G1597" t="s">
        <v>59</v>
      </c>
      <c r="H1597">
        <v>2023</v>
      </c>
    </row>
    <row r="1598" spans="1:8" x14ac:dyDescent="0.2">
      <c r="A1598">
        <v>213565</v>
      </c>
      <c r="B1598">
        <v>40000</v>
      </c>
      <c r="C1598" t="str">
        <f t="shared" si="24"/>
        <v>2. $10K-50K</v>
      </c>
      <c r="D1598" t="s">
        <v>1327</v>
      </c>
      <c r="E1598" t="s">
        <v>112</v>
      </c>
      <c r="F1598" t="s">
        <v>668</v>
      </c>
      <c r="G1598" t="s">
        <v>59</v>
      </c>
      <c r="H1598">
        <v>2023</v>
      </c>
    </row>
    <row r="1599" spans="1:8" x14ac:dyDescent="0.2">
      <c r="A1599">
        <v>213568</v>
      </c>
      <c r="B1599">
        <v>10000</v>
      </c>
      <c r="C1599" t="str">
        <f t="shared" si="24"/>
        <v>2. $10K-50K</v>
      </c>
      <c r="D1599" t="s">
        <v>1328</v>
      </c>
      <c r="E1599" t="s">
        <v>112</v>
      </c>
      <c r="F1599" t="s">
        <v>668</v>
      </c>
      <c r="G1599" t="s">
        <v>59</v>
      </c>
      <c r="H1599">
        <v>2023</v>
      </c>
    </row>
    <row r="1600" spans="1:8" x14ac:dyDescent="0.2">
      <c r="A1600">
        <v>213575</v>
      </c>
      <c r="B1600">
        <v>20000</v>
      </c>
      <c r="C1600" t="str">
        <f t="shared" si="24"/>
        <v>2. $10K-50K</v>
      </c>
      <c r="D1600" t="s">
        <v>1329</v>
      </c>
      <c r="E1600" t="s">
        <v>112</v>
      </c>
      <c r="F1600" t="s">
        <v>668</v>
      </c>
      <c r="G1600" t="s">
        <v>59</v>
      </c>
      <c r="H1600">
        <v>2023</v>
      </c>
    </row>
    <row r="1601" spans="1:8" x14ac:dyDescent="0.2">
      <c r="A1601">
        <v>213576</v>
      </c>
      <c r="B1601">
        <v>25000</v>
      </c>
      <c r="C1601" t="str">
        <f t="shared" si="24"/>
        <v>2. $10K-50K</v>
      </c>
      <c r="D1601" t="s">
        <v>1330</v>
      </c>
      <c r="E1601" t="s">
        <v>112</v>
      </c>
      <c r="F1601" t="s">
        <v>668</v>
      </c>
      <c r="G1601" t="s">
        <v>59</v>
      </c>
      <c r="H1601">
        <v>2023</v>
      </c>
    </row>
    <row r="1602" spans="1:8" x14ac:dyDescent="0.2">
      <c r="A1602">
        <v>213579</v>
      </c>
      <c r="B1602">
        <v>25000</v>
      </c>
      <c r="C1602" t="str">
        <f t="shared" si="24"/>
        <v>2. $10K-50K</v>
      </c>
      <c r="D1602" t="s">
        <v>1331</v>
      </c>
      <c r="E1602" t="s">
        <v>112</v>
      </c>
      <c r="F1602" t="s">
        <v>668</v>
      </c>
      <c r="G1602" t="s">
        <v>59</v>
      </c>
      <c r="H1602">
        <v>2023</v>
      </c>
    </row>
    <row r="1603" spans="1:8" x14ac:dyDescent="0.2">
      <c r="A1603">
        <v>213582</v>
      </c>
      <c r="B1603">
        <v>20000</v>
      </c>
      <c r="C1603" t="str">
        <f t="shared" ref="C1603:C1666" si="25">IF(B1602&lt;10000,"1. Under $10K",IF(B1602&lt;50000,"2. $10K-50K",IF(B1602&lt;250000,"3. $50K-250K",IF(B1602&lt;1000000,"4. $250K-1M","5. $1M+"))))</f>
        <v>2. $10K-50K</v>
      </c>
      <c r="D1603" t="s">
        <v>1332</v>
      </c>
      <c r="E1603" t="s">
        <v>112</v>
      </c>
      <c r="F1603" t="s">
        <v>668</v>
      </c>
      <c r="G1603" t="s">
        <v>59</v>
      </c>
      <c r="H1603">
        <v>2023</v>
      </c>
    </row>
    <row r="1604" spans="1:8" x14ac:dyDescent="0.2">
      <c r="A1604">
        <v>213588</v>
      </c>
      <c r="B1604">
        <v>10000</v>
      </c>
      <c r="C1604" t="str">
        <f t="shared" si="25"/>
        <v>2. $10K-50K</v>
      </c>
      <c r="D1604" t="s">
        <v>1333</v>
      </c>
      <c r="E1604" t="s">
        <v>112</v>
      </c>
      <c r="F1604" t="s">
        <v>668</v>
      </c>
      <c r="G1604" t="s">
        <v>59</v>
      </c>
      <c r="H1604">
        <v>2023</v>
      </c>
    </row>
    <row r="1605" spans="1:8" x14ac:dyDescent="0.2">
      <c r="A1605">
        <v>213589</v>
      </c>
      <c r="B1605">
        <v>40000</v>
      </c>
      <c r="C1605" t="str">
        <f t="shared" si="25"/>
        <v>2. $10K-50K</v>
      </c>
      <c r="D1605" t="s">
        <v>1334</v>
      </c>
      <c r="E1605" t="s">
        <v>112</v>
      </c>
      <c r="F1605" t="s">
        <v>668</v>
      </c>
      <c r="G1605" t="s">
        <v>59</v>
      </c>
      <c r="H1605">
        <v>2023</v>
      </c>
    </row>
    <row r="1606" spans="1:8" x14ac:dyDescent="0.2">
      <c r="A1606">
        <v>213590</v>
      </c>
      <c r="B1606">
        <v>20000</v>
      </c>
      <c r="C1606" t="str">
        <f t="shared" si="25"/>
        <v>2. $10K-50K</v>
      </c>
      <c r="D1606" t="s">
        <v>1335</v>
      </c>
      <c r="E1606" t="s">
        <v>112</v>
      </c>
      <c r="F1606" t="s">
        <v>668</v>
      </c>
      <c r="G1606" t="s">
        <v>59</v>
      </c>
      <c r="H1606">
        <v>2023</v>
      </c>
    </row>
    <row r="1607" spans="1:8" x14ac:dyDescent="0.2">
      <c r="A1607">
        <v>213591</v>
      </c>
      <c r="B1607">
        <v>45000</v>
      </c>
      <c r="C1607" t="str">
        <f t="shared" si="25"/>
        <v>2. $10K-50K</v>
      </c>
      <c r="D1607" t="s">
        <v>1336</v>
      </c>
      <c r="E1607" t="s">
        <v>112</v>
      </c>
      <c r="F1607" t="s">
        <v>668</v>
      </c>
      <c r="G1607" t="s">
        <v>59</v>
      </c>
      <c r="H1607">
        <v>2023</v>
      </c>
    </row>
    <row r="1608" spans="1:8" x14ac:dyDescent="0.2">
      <c r="A1608">
        <v>213598</v>
      </c>
      <c r="B1608">
        <v>7000</v>
      </c>
      <c r="C1608" t="str">
        <f t="shared" si="25"/>
        <v>2. $10K-50K</v>
      </c>
      <c r="D1608" t="s">
        <v>1337</v>
      </c>
      <c r="E1608" t="s">
        <v>112</v>
      </c>
      <c r="F1608" t="s">
        <v>668</v>
      </c>
      <c r="G1608" t="s">
        <v>59</v>
      </c>
      <c r="H1608">
        <v>2023</v>
      </c>
    </row>
    <row r="1609" spans="1:8" x14ac:dyDescent="0.2">
      <c r="A1609">
        <v>213601</v>
      </c>
      <c r="B1609">
        <v>45000</v>
      </c>
      <c r="C1609" t="str">
        <f t="shared" si="25"/>
        <v>1. Under $10K</v>
      </c>
      <c r="D1609" t="s">
        <v>1338</v>
      </c>
      <c r="E1609" t="s">
        <v>112</v>
      </c>
      <c r="F1609" t="s">
        <v>668</v>
      </c>
      <c r="G1609" t="s">
        <v>59</v>
      </c>
      <c r="H1609">
        <v>2023</v>
      </c>
    </row>
    <row r="1610" spans="1:8" x14ac:dyDescent="0.2">
      <c r="A1610">
        <v>213602</v>
      </c>
      <c r="B1610">
        <v>10000</v>
      </c>
      <c r="C1610" t="str">
        <f t="shared" si="25"/>
        <v>2. $10K-50K</v>
      </c>
      <c r="D1610" t="s">
        <v>1339</v>
      </c>
      <c r="E1610" t="s">
        <v>112</v>
      </c>
      <c r="F1610" t="s">
        <v>668</v>
      </c>
      <c r="G1610" t="s">
        <v>59</v>
      </c>
      <c r="H1610">
        <v>2023</v>
      </c>
    </row>
    <row r="1611" spans="1:8" x14ac:dyDescent="0.2">
      <c r="A1611">
        <v>213603</v>
      </c>
      <c r="B1611">
        <v>20000</v>
      </c>
      <c r="C1611" t="str">
        <f t="shared" si="25"/>
        <v>2. $10K-50K</v>
      </c>
      <c r="D1611" t="s">
        <v>1340</v>
      </c>
      <c r="E1611" t="s">
        <v>112</v>
      </c>
      <c r="F1611" t="s">
        <v>668</v>
      </c>
      <c r="G1611" t="s">
        <v>59</v>
      </c>
      <c r="H1611">
        <v>2023</v>
      </c>
    </row>
    <row r="1612" spans="1:8" x14ac:dyDescent="0.2">
      <c r="A1612">
        <v>213604</v>
      </c>
      <c r="B1612">
        <v>20000</v>
      </c>
      <c r="C1612" t="str">
        <f t="shared" si="25"/>
        <v>2. $10K-50K</v>
      </c>
      <c r="D1612" t="s">
        <v>1341</v>
      </c>
      <c r="E1612" t="s">
        <v>112</v>
      </c>
      <c r="F1612" t="s">
        <v>668</v>
      </c>
      <c r="G1612" t="s">
        <v>59</v>
      </c>
      <c r="H1612">
        <v>2023</v>
      </c>
    </row>
    <row r="1613" spans="1:8" x14ac:dyDescent="0.2">
      <c r="A1613">
        <v>213617</v>
      </c>
      <c r="B1613">
        <v>20000</v>
      </c>
      <c r="C1613" t="str">
        <f t="shared" si="25"/>
        <v>2. $10K-50K</v>
      </c>
      <c r="D1613" t="s">
        <v>1342</v>
      </c>
      <c r="E1613" t="s">
        <v>112</v>
      </c>
      <c r="F1613" t="s">
        <v>668</v>
      </c>
      <c r="G1613" t="s">
        <v>59</v>
      </c>
      <c r="H1613">
        <v>2023</v>
      </c>
    </row>
    <row r="1614" spans="1:8" x14ac:dyDescent="0.2">
      <c r="A1614">
        <v>213618</v>
      </c>
      <c r="B1614">
        <v>15000</v>
      </c>
      <c r="C1614" t="str">
        <f t="shared" si="25"/>
        <v>2. $10K-50K</v>
      </c>
      <c r="D1614" t="s">
        <v>1343</v>
      </c>
      <c r="E1614" t="s">
        <v>112</v>
      </c>
      <c r="F1614" t="s">
        <v>668</v>
      </c>
      <c r="G1614" t="s">
        <v>59</v>
      </c>
      <c r="H1614">
        <v>2023</v>
      </c>
    </row>
    <row r="1615" spans="1:8" x14ac:dyDescent="0.2">
      <c r="A1615">
        <v>213623</v>
      </c>
      <c r="B1615">
        <v>35000</v>
      </c>
      <c r="C1615" t="str">
        <f t="shared" si="25"/>
        <v>2. $10K-50K</v>
      </c>
      <c r="D1615" t="s">
        <v>1069</v>
      </c>
      <c r="E1615" t="s">
        <v>112</v>
      </c>
      <c r="F1615" t="s">
        <v>668</v>
      </c>
      <c r="G1615" t="s">
        <v>59</v>
      </c>
      <c r="H1615">
        <v>2023</v>
      </c>
    </row>
    <row r="1616" spans="1:8" x14ac:dyDescent="0.2">
      <c r="A1616">
        <v>213624</v>
      </c>
      <c r="B1616">
        <v>30000</v>
      </c>
      <c r="C1616" t="str">
        <f t="shared" si="25"/>
        <v>2. $10K-50K</v>
      </c>
      <c r="D1616" t="s">
        <v>1344</v>
      </c>
      <c r="E1616" t="s">
        <v>112</v>
      </c>
      <c r="F1616" t="s">
        <v>668</v>
      </c>
      <c r="G1616" t="s">
        <v>59</v>
      </c>
      <c r="H1616">
        <v>2023</v>
      </c>
    </row>
    <row r="1617" spans="1:8" x14ac:dyDescent="0.2">
      <c r="A1617">
        <v>213625</v>
      </c>
      <c r="B1617">
        <v>25000</v>
      </c>
      <c r="C1617" t="str">
        <f t="shared" si="25"/>
        <v>2. $10K-50K</v>
      </c>
      <c r="D1617" t="s">
        <v>1345</v>
      </c>
      <c r="E1617" t="s">
        <v>112</v>
      </c>
      <c r="F1617" t="s">
        <v>668</v>
      </c>
      <c r="G1617" t="s">
        <v>59</v>
      </c>
      <c r="H1617">
        <v>2023</v>
      </c>
    </row>
    <row r="1618" spans="1:8" x14ac:dyDescent="0.2">
      <c r="A1618">
        <v>213626</v>
      </c>
      <c r="B1618">
        <v>25000</v>
      </c>
      <c r="C1618" t="str">
        <f t="shared" si="25"/>
        <v>2. $10K-50K</v>
      </c>
      <c r="D1618" t="s">
        <v>1346</v>
      </c>
      <c r="E1618" t="s">
        <v>112</v>
      </c>
      <c r="F1618" t="s">
        <v>668</v>
      </c>
      <c r="G1618" t="s">
        <v>59</v>
      </c>
      <c r="H1618">
        <v>2023</v>
      </c>
    </row>
    <row r="1619" spans="1:8" x14ac:dyDescent="0.2">
      <c r="A1619">
        <v>213735</v>
      </c>
      <c r="B1619">
        <v>16000</v>
      </c>
      <c r="C1619" t="str">
        <f t="shared" si="25"/>
        <v>2. $10K-50K</v>
      </c>
      <c r="D1619" t="s">
        <v>1332</v>
      </c>
      <c r="E1619" t="s">
        <v>112</v>
      </c>
      <c r="F1619" t="s">
        <v>668</v>
      </c>
      <c r="G1619" t="s">
        <v>59</v>
      </c>
      <c r="H1619">
        <v>2024</v>
      </c>
    </row>
    <row r="1620" spans="1:8" x14ac:dyDescent="0.2">
      <c r="A1620">
        <v>213784</v>
      </c>
      <c r="B1620">
        <v>240000</v>
      </c>
      <c r="C1620" t="str">
        <f t="shared" si="25"/>
        <v>2. $10K-50K</v>
      </c>
      <c r="D1620" t="s">
        <v>1347</v>
      </c>
      <c r="E1620" t="s">
        <v>237</v>
      </c>
      <c r="F1620" t="s">
        <v>670</v>
      </c>
      <c r="G1620" t="s">
        <v>59</v>
      </c>
      <c r="H1620">
        <v>2023</v>
      </c>
    </row>
    <row r="1621" spans="1:8" x14ac:dyDescent="0.2">
      <c r="A1621">
        <v>213792</v>
      </c>
      <c r="B1621">
        <v>1110000</v>
      </c>
      <c r="C1621" t="str">
        <f t="shared" si="25"/>
        <v>3. $50K-250K</v>
      </c>
      <c r="D1621" t="s">
        <v>801</v>
      </c>
      <c r="E1621" t="s">
        <v>237</v>
      </c>
      <c r="F1621" t="s">
        <v>670</v>
      </c>
      <c r="G1621" t="s">
        <v>59</v>
      </c>
      <c r="H1621">
        <v>2023</v>
      </c>
    </row>
    <row r="1622" spans="1:8" x14ac:dyDescent="0.2">
      <c r="A1622">
        <v>213794</v>
      </c>
      <c r="B1622">
        <v>250000</v>
      </c>
      <c r="C1622" t="str">
        <f t="shared" si="25"/>
        <v>5. $1M+</v>
      </c>
      <c r="D1622" t="s">
        <v>925</v>
      </c>
      <c r="E1622" t="s">
        <v>237</v>
      </c>
      <c r="F1622" t="s">
        <v>670</v>
      </c>
      <c r="G1622" t="s">
        <v>59</v>
      </c>
      <c r="H1622">
        <v>2023</v>
      </c>
    </row>
    <row r="1623" spans="1:8" x14ac:dyDescent="0.2">
      <c r="A1623">
        <v>213795</v>
      </c>
      <c r="B1623">
        <v>400000</v>
      </c>
      <c r="C1623" t="str">
        <f t="shared" si="25"/>
        <v>4. $250K-1M</v>
      </c>
      <c r="D1623" t="s">
        <v>919</v>
      </c>
      <c r="E1623" t="s">
        <v>237</v>
      </c>
      <c r="F1623" t="s">
        <v>670</v>
      </c>
      <c r="G1623" t="s">
        <v>59</v>
      </c>
      <c r="H1623">
        <v>2023</v>
      </c>
    </row>
    <row r="1624" spans="1:8" x14ac:dyDescent="0.2">
      <c r="A1624">
        <v>213796</v>
      </c>
      <c r="B1624">
        <v>6000</v>
      </c>
      <c r="C1624" t="str">
        <f t="shared" si="25"/>
        <v>4. $250K-1M</v>
      </c>
      <c r="D1624" t="s">
        <v>1348</v>
      </c>
      <c r="E1624" t="s">
        <v>112</v>
      </c>
      <c r="F1624" t="s">
        <v>668</v>
      </c>
      <c r="G1624" t="s">
        <v>59</v>
      </c>
      <c r="H1624">
        <v>2023</v>
      </c>
    </row>
    <row r="1625" spans="1:8" x14ac:dyDescent="0.2">
      <c r="A1625">
        <v>213819</v>
      </c>
      <c r="B1625">
        <v>20000</v>
      </c>
      <c r="C1625" t="str">
        <f t="shared" si="25"/>
        <v>1. Under $10K</v>
      </c>
      <c r="D1625" t="s">
        <v>1349</v>
      </c>
      <c r="E1625" t="s">
        <v>112</v>
      </c>
      <c r="F1625" t="s">
        <v>668</v>
      </c>
      <c r="G1625" t="s">
        <v>59</v>
      </c>
      <c r="H1625">
        <v>2023</v>
      </c>
    </row>
    <row r="1626" spans="1:8" x14ac:dyDescent="0.2">
      <c r="A1626">
        <v>213857</v>
      </c>
      <c r="B1626">
        <v>10671754.9</v>
      </c>
      <c r="C1626" t="str">
        <f t="shared" si="25"/>
        <v>2. $10K-50K</v>
      </c>
      <c r="D1626" t="s">
        <v>236</v>
      </c>
      <c r="E1626" t="s">
        <v>237</v>
      </c>
      <c r="F1626" t="s">
        <v>43</v>
      </c>
      <c r="G1626" t="s">
        <v>232</v>
      </c>
      <c r="H1626">
        <v>2023</v>
      </c>
    </row>
    <row r="1627" spans="1:8" x14ac:dyDescent="0.2">
      <c r="A1627">
        <v>213860</v>
      </c>
      <c r="B1627">
        <v>25000</v>
      </c>
      <c r="C1627" t="str">
        <f t="shared" si="25"/>
        <v>5. $1M+</v>
      </c>
      <c r="D1627" t="s">
        <v>1350</v>
      </c>
      <c r="E1627" t="s">
        <v>112</v>
      </c>
      <c r="F1627" t="s">
        <v>668</v>
      </c>
      <c r="G1627" t="s">
        <v>59</v>
      </c>
      <c r="H1627">
        <v>2023</v>
      </c>
    </row>
    <row r="1628" spans="1:8" x14ac:dyDescent="0.2">
      <c r="A1628">
        <v>214144</v>
      </c>
      <c r="B1628">
        <v>33715.1</v>
      </c>
      <c r="C1628" t="str">
        <f t="shared" si="25"/>
        <v>2. $10K-50K</v>
      </c>
      <c r="D1628" t="s">
        <v>971</v>
      </c>
      <c r="E1628" t="s">
        <v>42</v>
      </c>
      <c r="F1628" t="s">
        <v>670</v>
      </c>
      <c r="G1628" t="s">
        <v>59</v>
      </c>
      <c r="H1628">
        <v>2023</v>
      </c>
    </row>
    <row r="1629" spans="1:8" x14ac:dyDescent="0.2">
      <c r="A1629">
        <v>214209</v>
      </c>
      <c r="B1629">
        <v>170249.5</v>
      </c>
      <c r="C1629" t="str">
        <f t="shared" si="25"/>
        <v>2. $10K-50K</v>
      </c>
      <c r="D1629" t="s">
        <v>238</v>
      </c>
      <c r="E1629" t="s">
        <v>65</v>
      </c>
      <c r="F1629" t="s">
        <v>239</v>
      </c>
      <c r="G1629" t="s">
        <v>10</v>
      </c>
      <c r="H1629">
        <v>2023</v>
      </c>
    </row>
    <row r="1630" spans="1:8" x14ac:dyDescent="0.2">
      <c r="A1630">
        <v>214256</v>
      </c>
      <c r="B1630">
        <v>25000</v>
      </c>
      <c r="C1630" t="str">
        <f t="shared" si="25"/>
        <v>3. $50K-250K</v>
      </c>
      <c r="D1630" t="s">
        <v>1351</v>
      </c>
      <c r="E1630" t="s">
        <v>368</v>
      </c>
      <c r="F1630" t="s">
        <v>670</v>
      </c>
      <c r="G1630" t="s">
        <v>59</v>
      </c>
      <c r="H1630">
        <v>2023</v>
      </c>
    </row>
    <row r="1631" spans="1:8" x14ac:dyDescent="0.2">
      <c r="A1631">
        <v>214317</v>
      </c>
      <c r="B1631">
        <v>83688</v>
      </c>
      <c r="C1631" t="str">
        <f t="shared" si="25"/>
        <v>2. $10K-50K</v>
      </c>
      <c r="D1631" t="s">
        <v>240</v>
      </c>
      <c r="E1631" t="s">
        <v>241</v>
      </c>
      <c r="F1631" t="s">
        <v>22</v>
      </c>
      <c r="G1631" t="s">
        <v>232</v>
      </c>
      <c r="H1631">
        <v>2023</v>
      </c>
    </row>
    <row r="1632" spans="1:8" x14ac:dyDescent="0.2">
      <c r="A1632">
        <v>214320</v>
      </c>
      <c r="B1632">
        <v>99614.5</v>
      </c>
      <c r="C1632" t="str">
        <f t="shared" si="25"/>
        <v>3. $50K-250K</v>
      </c>
      <c r="D1632" t="s">
        <v>956</v>
      </c>
      <c r="E1632" t="s">
        <v>432</v>
      </c>
      <c r="F1632" t="s">
        <v>670</v>
      </c>
      <c r="G1632" t="s">
        <v>59</v>
      </c>
      <c r="H1632">
        <v>2023</v>
      </c>
    </row>
    <row r="1633" spans="1:8" x14ac:dyDescent="0.2">
      <c r="A1633">
        <v>214327</v>
      </c>
      <c r="B1633">
        <v>4502213</v>
      </c>
      <c r="C1633" t="str">
        <f t="shared" si="25"/>
        <v>3. $50K-250K</v>
      </c>
      <c r="D1633" t="s">
        <v>785</v>
      </c>
      <c r="E1633" t="s">
        <v>237</v>
      </c>
      <c r="F1633" t="s">
        <v>670</v>
      </c>
      <c r="G1633" t="s">
        <v>59</v>
      </c>
      <c r="H1633">
        <v>2023</v>
      </c>
    </row>
    <row r="1634" spans="1:8" x14ac:dyDescent="0.2">
      <c r="A1634">
        <v>214332</v>
      </c>
      <c r="B1634">
        <v>6662130</v>
      </c>
      <c r="C1634" t="str">
        <f t="shared" si="25"/>
        <v>5. $1M+</v>
      </c>
      <c r="D1634" t="s">
        <v>671</v>
      </c>
      <c r="E1634" t="s">
        <v>237</v>
      </c>
      <c r="F1634" t="s">
        <v>670</v>
      </c>
      <c r="G1634" t="s">
        <v>59</v>
      </c>
      <c r="H1634">
        <v>2023</v>
      </c>
    </row>
    <row r="1635" spans="1:8" x14ac:dyDescent="0.2">
      <c r="A1635">
        <v>214399</v>
      </c>
      <c r="B1635">
        <v>90000</v>
      </c>
      <c r="C1635" t="str">
        <f t="shared" si="25"/>
        <v>5. $1M+</v>
      </c>
      <c r="D1635" t="s">
        <v>1352</v>
      </c>
      <c r="E1635" t="s">
        <v>42</v>
      </c>
      <c r="F1635" t="s">
        <v>670</v>
      </c>
      <c r="G1635" t="s">
        <v>59</v>
      </c>
      <c r="H1635">
        <v>2023</v>
      </c>
    </row>
    <row r="1636" spans="1:8" x14ac:dyDescent="0.2">
      <c r="A1636">
        <v>214401</v>
      </c>
      <c r="B1636">
        <v>140000</v>
      </c>
      <c r="C1636" t="str">
        <f t="shared" si="25"/>
        <v>3. $50K-250K</v>
      </c>
      <c r="D1636" t="s">
        <v>673</v>
      </c>
      <c r="E1636" t="s">
        <v>42</v>
      </c>
      <c r="F1636" t="s">
        <v>670</v>
      </c>
      <c r="G1636" t="s">
        <v>59</v>
      </c>
      <c r="H1636">
        <v>2023</v>
      </c>
    </row>
    <row r="1637" spans="1:8" x14ac:dyDescent="0.2">
      <c r="A1637">
        <v>214450</v>
      </c>
      <c r="B1637">
        <v>6478767</v>
      </c>
      <c r="C1637" t="str">
        <f t="shared" si="25"/>
        <v>3. $50K-250K</v>
      </c>
      <c r="D1637" t="s">
        <v>711</v>
      </c>
      <c r="E1637" t="s">
        <v>237</v>
      </c>
      <c r="F1637" t="s">
        <v>670</v>
      </c>
      <c r="G1637" t="s">
        <v>59</v>
      </c>
      <c r="H1637">
        <v>2023</v>
      </c>
    </row>
    <row r="1638" spans="1:8" x14ac:dyDescent="0.2">
      <c r="A1638">
        <v>214451</v>
      </c>
      <c r="B1638">
        <v>720000</v>
      </c>
      <c r="C1638" t="str">
        <f t="shared" si="25"/>
        <v>5. $1M+</v>
      </c>
      <c r="D1638" t="s">
        <v>859</v>
      </c>
      <c r="E1638" t="s">
        <v>237</v>
      </c>
      <c r="F1638" t="s">
        <v>670</v>
      </c>
      <c r="G1638" t="s">
        <v>59</v>
      </c>
      <c r="H1638">
        <v>2023</v>
      </c>
    </row>
    <row r="1639" spans="1:8" x14ac:dyDescent="0.2">
      <c r="A1639">
        <v>214458</v>
      </c>
      <c r="B1639">
        <v>479847</v>
      </c>
      <c r="C1639" t="str">
        <f t="shared" si="25"/>
        <v>4. $250K-1M</v>
      </c>
      <c r="D1639" t="s">
        <v>1089</v>
      </c>
      <c r="E1639" t="s">
        <v>237</v>
      </c>
      <c r="F1639" t="s">
        <v>670</v>
      </c>
      <c r="G1639" t="s">
        <v>59</v>
      </c>
      <c r="H1639">
        <v>2023</v>
      </c>
    </row>
    <row r="1640" spans="1:8" x14ac:dyDescent="0.2">
      <c r="A1640">
        <v>214464</v>
      </c>
      <c r="B1640">
        <v>1780472</v>
      </c>
      <c r="C1640" t="str">
        <f t="shared" si="25"/>
        <v>4. $250K-1M</v>
      </c>
      <c r="D1640" t="s">
        <v>507</v>
      </c>
      <c r="E1640" t="s">
        <v>237</v>
      </c>
      <c r="F1640" t="s">
        <v>670</v>
      </c>
      <c r="G1640" t="s">
        <v>59</v>
      </c>
      <c r="H1640">
        <v>2023</v>
      </c>
    </row>
    <row r="1641" spans="1:8" x14ac:dyDescent="0.2">
      <c r="A1641">
        <v>214472</v>
      </c>
      <c r="B1641">
        <v>429450</v>
      </c>
      <c r="C1641" t="str">
        <f t="shared" si="25"/>
        <v>5. $1M+</v>
      </c>
      <c r="D1641" t="s">
        <v>719</v>
      </c>
      <c r="E1641" t="s">
        <v>237</v>
      </c>
      <c r="F1641" t="s">
        <v>670</v>
      </c>
      <c r="G1641" t="s">
        <v>59</v>
      </c>
      <c r="H1641">
        <v>2023</v>
      </c>
    </row>
    <row r="1642" spans="1:8" x14ac:dyDescent="0.2">
      <c r="A1642">
        <v>214473</v>
      </c>
      <c r="B1642">
        <v>1191083</v>
      </c>
      <c r="C1642" t="str">
        <f t="shared" si="25"/>
        <v>4. $250K-1M</v>
      </c>
      <c r="D1642" t="s">
        <v>721</v>
      </c>
      <c r="E1642" t="s">
        <v>237</v>
      </c>
      <c r="F1642" t="s">
        <v>670</v>
      </c>
      <c r="G1642" t="s">
        <v>59</v>
      </c>
      <c r="H1642">
        <v>2023</v>
      </c>
    </row>
    <row r="1643" spans="1:8" x14ac:dyDescent="0.2">
      <c r="A1643">
        <v>214475</v>
      </c>
      <c r="B1643">
        <v>924987</v>
      </c>
      <c r="C1643" t="str">
        <f t="shared" si="25"/>
        <v>5. $1M+</v>
      </c>
      <c r="D1643" t="s">
        <v>867</v>
      </c>
      <c r="E1643" t="s">
        <v>237</v>
      </c>
      <c r="F1643" t="s">
        <v>670</v>
      </c>
      <c r="G1643" t="s">
        <v>59</v>
      </c>
      <c r="H1643">
        <v>2023</v>
      </c>
    </row>
    <row r="1644" spans="1:8" x14ac:dyDescent="0.2">
      <c r="A1644">
        <v>214486</v>
      </c>
      <c r="B1644">
        <v>116800</v>
      </c>
      <c r="C1644" t="str">
        <f t="shared" si="25"/>
        <v>4. $250K-1M</v>
      </c>
      <c r="D1644" t="s">
        <v>869</v>
      </c>
      <c r="E1644" t="s">
        <v>237</v>
      </c>
      <c r="F1644" t="s">
        <v>670</v>
      </c>
      <c r="G1644" t="s">
        <v>59</v>
      </c>
      <c r="H1644">
        <v>2023</v>
      </c>
    </row>
    <row r="1645" spans="1:8" x14ac:dyDescent="0.2">
      <c r="A1645">
        <v>214490</v>
      </c>
      <c r="B1645">
        <v>52560</v>
      </c>
      <c r="C1645" t="str">
        <f t="shared" si="25"/>
        <v>3. $50K-250K</v>
      </c>
      <c r="D1645" t="s">
        <v>871</v>
      </c>
      <c r="E1645" t="s">
        <v>237</v>
      </c>
      <c r="F1645" t="s">
        <v>670</v>
      </c>
      <c r="G1645" t="s">
        <v>59</v>
      </c>
      <c r="H1645">
        <v>2023</v>
      </c>
    </row>
    <row r="1646" spans="1:8" x14ac:dyDescent="0.2">
      <c r="A1646">
        <v>214492</v>
      </c>
      <c r="B1646">
        <v>61320</v>
      </c>
      <c r="C1646" t="str">
        <f t="shared" si="25"/>
        <v>3. $50K-250K</v>
      </c>
      <c r="D1646" t="s">
        <v>807</v>
      </c>
      <c r="E1646" t="s">
        <v>237</v>
      </c>
      <c r="F1646" t="s">
        <v>670</v>
      </c>
      <c r="G1646" t="s">
        <v>59</v>
      </c>
      <c r="H1646">
        <v>2023</v>
      </c>
    </row>
    <row r="1647" spans="1:8" x14ac:dyDescent="0.2">
      <c r="A1647">
        <v>214513</v>
      </c>
      <c r="B1647">
        <v>218000</v>
      </c>
      <c r="C1647" t="str">
        <f t="shared" si="25"/>
        <v>3. $50K-250K</v>
      </c>
      <c r="D1647" t="s">
        <v>919</v>
      </c>
      <c r="E1647" t="s">
        <v>237</v>
      </c>
      <c r="F1647" t="s">
        <v>670</v>
      </c>
      <c r="G1647" t="s">
        <v>59</v>
      </c>
      <c r="H1647">
        <v>2023</v>
      </c>
    </row>
    <row r="1648" spans="1:8" x14ac:dyDescent="0.2">
      <c r="A1648">
        <v>214514</v>
      </c>
      <c r="B1648">
        <v>200000</v>
      </c>
      <c r="C1648" t="str">
        <f t="shared" si="25"/>
        <v>3. $50K-250K</v>
      </c>
      <c r="D1648" t="s">
        <v>1347</v>
      </c>
      <c r="E1648" t="s">
        <v>237</v>
      </c>
      <c r="F1648" t="s">
        <v>670</v>
      </c>
      <c r="G1648" t="s">
        <v>59</v>
      </c>
      <c r="H1648">
        <v>2023</v>
      </c>
    </row>
    <row r="1649" spans="1:8" x14ac:dyDescent="0.2">
      <c r="A1649">
        <v>214515</v>
      </c>
      <c r="B1649">
        <v>1454000</v>
      </c>
      <c r="C1649" t="str">
        <f t="shared" si="25"/>
        <v>3. $50K-250K</v>
      </c>
      <c r="D1649" t="s">
        <v>801</v>
      </c>
      <c r="E1649" t="s">
        <v>237</v>
      </c>
      <c r="F1649" t="s">
        <v>670</v>
      </c>
      <c r="G1649" t="s">
        <v>59</v>
      </c>
      <c r="H1649">
        <v>2023</v>
      </c>
    </row>
    <row r="1650" spans="1:8" x14ac:dyDescent="0.2">
      <c r="A1650">
        <v>214517</v>
      </c>
      <c r="B1650">
        <v>128000</v>
      </c>
      <c r="C1650" t="str">
        <f t="shared" si="25"/>
        <v>5. $1M+</v>
      </c>
      <c r="D1650" t="s">
        <v>925</v>
      </c>
      <c r="E1650" t="s">
        <v>237</v>
      </c>
      <c r="F1650" t="s">
        <v>670</v>
      </c>
      <c r="G1650" t="s">
        <v>59</v>
      </c>
      <c r="H1650">
        <v>2023</v>
      </c>
    </row>
    <row r="1651" spans="1:8" x14ac:dyDescent="0.2">
      <c r="A1651">
        <v>214532</v>
      </c>
      <c r="B1651">
        <v>645313</v>
      </c>
      <c r="C1651" t="str">
        <f t="shared" si="25"/>
        <v>3. $50K-250K</v>
      </c>
      <c r="D1651" t="s">
        <v>711</v>
      </c>
      <c r="E1651" t="s">
        <v>237</v>
      </c>
      <c r="F1651" t="s">
        <v>670</v>
      </c>
      <c r="G1651" t="s">
        <v>59</v>
      </c>
      <c r="H1651">
        <v>2023</v>
      </c>
    </row>
    <row r="1652" spans="1:8" x14ac:dyDescent="0.2">
      <c r="A1652">
        <v>214560</v>
      </c>
      <c r="B1652">
        <v>12000</v>
      </c>
      <c r="C1652" t="str">
        <f t="shared" si="25"/>
        <v>4. $250K-1M</v>
      </c>
      <c r="D1652" t="s">
        <v>1353</v>
      </c>
      <c r="E1652" t="s">
        <v>368</v>
      </c>
      <c r="F1652" t="s">
        <v>670</v>
      </c>
      <c r="G1652" t="s">
        <v>59</v>
      </c>
      <c r="H1652">
        <v>2023</v>
      </c>
    </row>
    <row r="1653" spans="1:8" x14ac:dyDescent="0.2">
      <c r="A1653">
        <v>214561</v>
      </c>
      <c r="B1653">
        <v>30000</v>
      </c>
      <c r="C1653" t="str">
        <f t="shared" si="25"/>
        <v>2. $10K-50K</v>
      </c>
      <c r="D1653" t="s">
        <v>867</v>
      </c>
      <c r="E1653" t="s">
        <v>368</v>
      </c>
      <c r="F1653" t="s">
        <v>670</v>
      </c>
      <c r="G1653" t="s">
        <v>59</v>
      </c>
      <c r="H1653">
        <v>2023</v>
      </c>
    </row>
    <row r="1654" spans="1:8" x14ac:dyDescent="0.2">
      <c r="A1654">
        <v>214563</v>
      </c>
      <c r="B1654">
        <v>715661.6</v>
      </c>
      <c r="C1654" t="str">
        <f t="shared" si="25"/>
        <v>2. $10K-50K</v>
      </c>
      <c r="D1654" t="s">
        <v>1088</v>
      </c>
      <c r="E1654" t="s">
        <v>237</v>
      </c>
      <c r="F1654" t="s">
        <v>670</v>
      </c>
      <c r="G1654" t="s">
        <v>59</v>
      </c>
      <c r="H1654">
        <v>2023</v>
      </c>
    </row>
    <row r="1655" spans="1:8" x14ac:dyDescent="0.2">
      <c r="A1655">
        <v>214564</v>
      </c>
      <c r="B1655">
        <v>12700</v>
      </c>
      <c r="C1655" t="str">
        <f t="shared" si="25"/>
        <v>4. $250K-1M</v>
      </c>
      <c r="D1655" t="s">
        <v>702</v>
      </c>
      <c r="E1655" t="s">
        <v>42</v>
      </c>
      <c r="F1655" t="s">
        <v>670</v>
      </c>
      <c r="G1655" t="s">
        <v>59</v>
      </c>
      <c r="H1655">
        <v>2023</v>
      </c>
    </row>
    <row r="1656" spans="1:8" x14ac:dyDescent="0.2">
      <c r="A1656">
        <v>214571</v>
      </c>
      <c r="B1656">
        <v>25000</v>
      </c>
      <c r="C1656" t="str">
        <f t="shared" si="25"/>
        <v>2. $10K-50K</v>
      </c>
      <c r="D1656" t="s">
        <v>1354</v>
      </c>
      <c r="E1656" t="s">
        <v>368</v>
      </c>
      <c r="F1656" t="s">
        <v>670</v>
      </c>
      <c r="G1656" t="s">
        <v>59</v>
      </c>
      <c r="H1656">
        <v>2023</v>
      </c>
    </row>
    <row r="1657" spans="1:8" x14ac:dyDescent="0.2">
      <c r="A1657">
        <v>214572</v>
      </c>
      <c r="B1657">
        <v>15000</v>
      </c>
      <c r="C1657" t="str">
        <f t="shared" si="25"/>
        <v>2. $10K-50K</v>
      </c>
      <c r="D1657" t="s">
        <v>1355</v>
      </c>
      <c r="E1657" t="s">
        <v>368</v>
      </c>
      <c r="F1657" t="s">
        <v>670</v>
      </c>
      <c r="G1657" t="s">
        <v>59</v>
      </c>
      <c r="H1657">
        <v>2023</v>
      </c>
    </row>
    <row r="1658" spans="1:8" x14ac:dyDescent="0.2">
      <c r="A1658">
        <v>214573</v>
      </c>
      <c r="B1658">
        <v>50000</v>
      </c>
      <c r="C1658" t="str">
        <f t="shared" si="25"/>
        <v>2. $10K-50K</v>
      </c>
      <c r="D1658" t="s">
        <v>1356</v>
      </c>
      <c r="E1658" t="s">
        <v>368</v>
      </c>
      <c r="F1658" t="s">
        <v>670</v>
      </c>
      <c r="G1658" t="s">
        <v>59</v>
      </c>
      <c r="H1658">
        <v>2023</v>
      </c>
    </row>
    <row r="1659" spans="1:8" x14ac:dyDescent="0.2">
      <c r="A1659">
        <v>214576</v>
      </c>
      <c r="B1659">
        <v>6000</v>
      </c>
      <c r="C1659" t="str">
        <f t="shared" si="25"/>
        <v>3. $50K-250K</v>
      </c>
      <c r="D1659" t="s">
        <v>827</v>
      </c>
      <c r="E1659" t="s">
        <v>368</v>
      </c>
      <c r="F1659" t="s">
        <v>670</v>
      </c>
      <c r="G1659" t="s">
        <v>59</v>
      </c>
      <c r="H1659">
        <v>2023</v>
      </c>
    </row>
    <row r="1660" spans="1:8" x14ac:dyDescent="0.2">
      <c r="A1660">
        <v>214577</v>
      </c>
      <c r="B1660">
        <v>10000</v>
      </c>
      <c r="C1660" t="str">
        <f t="shared" si="25"/>
        <v>1. Under $10K</v>
      </c>
      <c r="D1660" t="s">
        <v>1357</v>
      </c>
      <c r="E1660" t="s">
        <v>368</v>
      </c>
      <c r="F1660" t="s">
        <v>670</v>
      </c>
      <c r="G1660" t="s">
        <v>59</v>
      </c>
      <c r="H1660">
        <v>2023</v>
      </c>
    </row>
    <row r="1661" spans="1:8" x14ac:dyDescent="0.2">
      <c r="A1661">
        <v>214578</v>
      </c>
      <c r="B1661">
        <v>6000</v>
      </c>
      <c r="C1661" t="str">
        <f t="shared" si="25"/>
        <v>2. $10K-50K</v>
      </c>
      <c r="D1661" t="s">
        <v>827</v>
      </c>
      <c r="E1661" t="s">
        <v>368</v>
      </c>
      <c r="F1661" t="s">
        <v>670</v>
      </c>
      <c r="G1661" t="s">
        <v>59</v>
      </c>
      <c r="H1661">
        <v>2023</v>
      </c>
    </row>
    <row r="1662" spans="1:8" x14ac:dyDescent="0.2">
      <c r="A1662">
        <v>214580</v>
      </c>
      <c r="B1662">
        <v>1343706.5</v>
      </c>
      <c r="C1662" t="str">
        <f t="shared" si="25"/>
        <v>1. Under $10K</v>
      </c>
      <c r="D1662" t="s">
        <v>1088</v>
      </c>
      <c r="E1662" t="s">
        <v>237</v>
      </c>
      <c r="F1662" t="s">
        <v>670</v>
      </c>
      <c r="G1662" t="s">
        <v>59</v>
      </c>
      <c r="H1662">
        <v>2023</v>
      </c>
    </row>
    <row r="1663" spans="1:8" x14ac:dyDescent="0.2">
      <c r="A1663">
        <v>214598</v>
      </c>
      <c r="B1663">
        <v>597468</v>
      </c>
      <c r="C1663" t="str">
        <f t="shared" si="25"/>
        <v>5. $1M+</v>
      </c>
      <c r="D1663" t="s">
        <v>780</v>
      </c>
      <c r="E1663" t="s">
        <v>42</v>
      </c>
      <c r="F1663" t="s">
        <v>670</v>
      </c>
      <c r="G1663" t="s">
        <v>44</v>
      </c>
      <c r="H1663">
        <v>2023</v>
      </c>
    </row>
    <row r="1664" spans="1:8" x14ac:dyDescent="0.2">
      <c r="A1664">
        <v>214599</v>
      </c>
      <c r="B1664">
        <v>21305.7</v>
      </c>
      <c r="C1664" t="str">
        <f t="shared" si="25"/>
        <v>4. $250K-1M</v>
      </c>
      <c r="D1664" t="s">
        <v>695</v>
      </c>
      <c r="E1664" t="s">
        <v>237</v>
      </c>
      <c r="F1664" t="s">
        <v>670</v>
      </c>
      <c r="G1664" t="s">
        <v>59</v>
      </c>
      <c r="H1664">
        <v>2023</v>
      </c>
    </row>
    <row r="1665" spans="1:8" x14ac:dyDescent="0.2">
      <c r="A1665">
        <v>214663</v>
      </c>
      <c r="B1665">
        <v>400000</v>
      </c>
      <c r="C1665" t="str">
        <f t="shared" si="25"/>
        <v>2. $10K-50K</v>
      </c>
      <c r="D1665" t="s">
        <v>548</v>
      </c>
      <c r="E1665" t="s">
        <v>237</v>
      </c>
      <c r="F1665" t="s">
        <v>670</v>
      </c>
      <c r="G1665" t="s">
        <v>59</v>
      </c>
      <c r="H1665">
        <v>2023</v>
      </c>
    </row>
    <row r="1666" spans="1:8" x14ac:dyDescent="0.2">
      <c r="A1666">
        <v>214700</v>
      </c>
      <c r="B1666">
        <v>1051718</v>
      </c>
      <c r="C1666" t="str">
        <f t="shared" si="25"/>
        <v>4. $250K-1M</v>
      </c>
      <c r="D1666" t="s">
        <v>1094</v>
      </c>
      <c r="E1666" t="s">
        <v>237</v>
      </c>
      <c r="F1666" t="s">
        <v>670</v>
      </c>
      <c r="G1666" t="s">
        <v>59</v>
      </c>
      <c r="H1666">
        <v>2023</v>
      </c>
    </row>
    <row r="1667" spans="1:8" x14ac:dyDescent="0.2">
      <c r="A1667">
        <v>214714</v>
      </c>
      <c r="B1667">
        <v>888930.8</v>
      </c>
      <c r="C1667" t="str">
        <f t="shared" ref="C1667:C1730" si="26">IF(B1666&lt;10000,"1. Under $10K",IF(B1666&lt;50000,"2. $10K-50K",IF(B1666&lt;250000,"3. $50K-250K",IF(B1666&lt;1000000,"4. $250K-1M","5. $1M+"))))</f>
        <v>5. $1M+</v>
      </c>
      <c r="D1667" t="s">
        <v>852</v>
      </c>
      <c r="E1667" t="s">
        <v>237</v>
      </c>
      <c r="F1667" t="s">
        <v>670</v>
      </c>
      <c r="G1667" t="s">
        <v>59</v>
      </c>
      <c r="H1667">
        <v>2023</v>
      </c>
    </row>
    <row r="1668" spans="1:8" x14ac:dyDescent="0.2">
      <c r="A1668">
        <v>214728</v>
      </c>
      <c r="B1668">
        <v>29500</v>
      </c>
      <c r="C1668" t="str">
        <f t="shared" si="26"/>
        <v>4. $250K-1M</v>
      </c>
      <c r="D1668" t="s">
        <v>1358</v>
      </c>
      <c r="E1668" t="s">
        <v>432</v>
      </c>
      <c r="F1668" t="s">
        <v>670</v>
      </c>
      <c r="G1668" t="s">
        <v>59</v>
      </c>
      <c r="H1668">
        <v>2023</v>
      </c>
    </row>
    <row r="1669" spans="1:8" x14ac:dyDescent="0.2">
      <c r="A1669">
        <v>214732</v>
      </c>
      <c r="B1669">
        <v>50000</v>
      </c>
      <c r="C1669" t="str">
        <f t="shared" si="26"/>
        <v>2. $10K-50K</v>
      </c>
      <c r="D1669" t="s">
        <v>1359</v>
      </c>
      <c r="E1669" t="s">
        <v>368</v>
      </c>
      <c r="F1669" t="s">
        <v>670</v>
      </c>
      <c r="G1669" t="s">
        <v>59</v>
      </c>
      <c r="H1669">
        <v>2023</v>
      </c>
    </row>
    <row r="1670" spans="1:8" x14ac:dyDescent="0.2">
      <c r="A1670">
        <v>214762</v>
      </c>
      <c r="B1670">
        <v>190700</v>
      </c>
      <c r="C1670" t="str">
        <f t="shared" si="26"/>
        <v>3. $50K-250K</v>
      </c>
      <c r="D1670" t="s">
        <v>242</v>
      </c>
      <c r="E1670" t="s">
        <v>65</v>
      </c>
      <c r="F1670" t="s">
        <v>12</v>
      </c>
      <c r="G1670" t="s">
        <v>10</v>
      </c>
      <c r="H1670">
        <v>2023</v>
      </c>
    </row>
    <row r="1671" spans="1:8" x14ac:dyDescent="0.2">
      <c r="A1671">
        <v>214763</v>
      </c>
      <c r="B1671">
        <v>525859</v>
      </c>
      <c r="C1671" t="str">
        <f t="shared" si="26"/>
        <v>3. $50K-250K</v>
      </c>
      <c r="D1671" t="s">
        <v>1074</v>
      </c>
      <c r="E1671" t="s">
        <v>237</v>
      </c>
      <c r="F1671" t="s">
        <v>670</v>
      </c>
      <c r="G1671" t="s">
        <v>59</v>
      </c>
      <c r="H1671">
        <v>2023</v>
      </c>
    </row>
    <row r="1672" spans="1:8" x14ac:dyDescent="0.2">
      <c r="A1672">
        <v>214764</v>
      </c>
      <c r="B1672">
        <v>349539</v>
      </c>
      <c r="C1672" t="str">
        <f t="shared" si="26"/>
        <v>4. $250K-1M</v>
      </c>
      <c r="D1672" t="s">
        <v>1075</v>
      </c>
      <c r="E1672" t="s">
        <v>237</v>
      </c>
      <c r="F1672" t="s">
        <v>670</v>
      </c>
      <c r="G1672" t="s">
        <v>59</v>
      </c>
      <c r="H1672">
        <v>2023</v>
      </c>
    </row>
    <row r="1673" spans="1:8" x14ac:dyDescent="0.2">
      <c r="A1673">
        <v>214765</v>
      </c>
      <c r="B1673">
        <v>525859</v>
      </c>
      <c r="C1673" t="str">
        <f t="shared" si="26"/>
        <v>4. $250K-1M</v>
      </c>
      <c r="D1673" t="s">
        <v>708</v>
      </c>
      <c r="E1673" t="s">
        <v>237</v>
      </c>
      <c r="F1673" t="s">
        <v>670</v>
      </c>
      <c r="G1673" t="s">
        <v>59</v>
      </c>
      <c r="H1673">
        <v>2023</v>
      </c>
    </row>
    <row r="1674" spans="1:8" x14ac:dyDescent="0.2">
      <c r="A1674">
        <v>214766</v>
      </c>
      <c r="B1674">
        <v>525859</v>
      </c>
      <c r="C1674" t="str">
        <f t="shared" si="26"/>
        <v>4. $250K-1M</v>
      </c>
      <c r="D1674" t="s">
        <v>1360</v>
      </c>
      <c r="E1674" t="s">
        <v>237</v>
      </c>
      <c r="F1674" t="s">
        <v>670</v>
      </c>
      <c r="G1674" t="s">
        <v>59</v>
      </c>
      <c r="H1674">
        <v>2023</v>
      </c>
    </row>
    <row r="1675" spans="1:8" x14ac:dyDescent="0.2">
      <c r="A1675">
        <v>214767</v>
      </c>
      <c r="B1675">
        <v>525859</v>
      </c>
      <c r="C1675" t="str">
        <f t="shared" si="26"/>
        <v>4. $250K-1M</v>
      </c>
      <c r="D1675" t="s">
        <v>1361</v>
      </c>
      <c r="E1675" t="s">
        <v>237</v>
      </c>
      <c r="F1675" t="s">
        <v>670</v>
      </c>
      <c r="G1675" t="s">
        <v>59</v>
      </c>
      <c r="H1675">
        <v>2023</v>
      </c>
    </row>
    <row r="1676" spans="1:8" x14ac:dyDescent="0.2">
      <c r="A1676">
        <v>214768</v>
      </c>
      <c r="B1676">
        <v>525859</v>
      </c>
      <c r="C1676" t="str">
        <f t="shared" si="26"/>
        <v>4. $250K-1M</v>
      </c>
      <c r="D1676" t="s">
        <v>749</v>
      </c>
      <c r="E1676" t="s">
        <v>237</v>
      </c>
      <c r="F1676" t="s">
        <v>670</v>
      </c>
      <c r="G1676" t="s">
        <v>59</v>
      </c>
      <c r="H1676">
        <v>2023</v>
      </c>
    </row>
    <row r="1677" spans="1:8" x14ac:dyDescent="0.2">
      <c r="A1677">
        <v>214769</v>
      </c>
      <c r="B1677">
        <v>349539</v>
      </c>
      <c r="C1677" t="str">
        <f t="shared" si="26"/>
        <v>4. $250K-1M</v>
      </c>
      <c r="D1677" t="s">
        <v>1178</v>
      </c>
      <c r="E1677" t="s">
        <v>237</v>
      </c>
      <c r="F1677" t="s">
        <v>670</v>
      </c>
      <c r="G1677" t="s">
        <v>59</v>
      </c>
      <c r="H1677">
        <v>2023</v>
      </c>
    </row>
    <row r="1678" spans="1:8" x14ac:dyDescent="0.2">
      <c r="A1678">
        <v>214770</v>
      </c>
      <c r="B1678">
        <v>525859</v>
      </c>
      <c r="C1678" t="str">
        <f t="shared" si="26"/>
        <v>4. $250K-1M</v>
      </c>
      <c r="D1678" t="s">
        <v>781</v>
      </c>
      <c r="E1678" t="s">
        <v>237</v>
      </c>
      <c r="F1678" t="s">
        <v>670</v>
      </c>
      <c r="G1678" t="s">
        <v>59</v>
      </c>
      <c r="H1678">
        <v>2023</v>
      </c>
    </row>
    <row r="1679" spans="1:8" x14ac:dyDescent="0.2">
      <c r="A1679">
        <v>214771</v>
      </c>
      <c r="B1679">
        <v>525859</v>
      </c>
      <c r="C1679" t="str">
        <f t="shared" si="26"/>
        <v>4. $250K-1M</v>
      </c>
      <c r="D1679" t="s">
        <v>713</v>
      </c>
      <c r="E1679" t="s">
        <v>237</v>
      </c>
      <c r="F1679" t="s">
        <v>670</v>
      </c>
      <c r="G1679" t="s">
        <v>59</v>
      </c>
      <c r="H1679">
        <v>2023</v>
      </c>
    </row>
    <row r="1680" spans="1:8" x14ac:dyDescent="0.2">
      <c r="A1680">
        <v>214789</v>
      </c>
      <c r="B1680">
        <v>33333</v>
      </c>
      <c r="C1680" t="str">
        <f t="shared" si="26"/>
        <v>4. $250K-1M</v>
      </c>
      <c r="D1680" t="s">
        <v>1362</v>
      </c>
      <c r="E1680" t="s">
        <v>368</v>
      </c>
      <c r="F1680" t="s">
        <v>670</v>
      </c>
      <c r="G1680" t="s">
        <v>44</v>
      </c>
      <c r="H1680">
        <v>2023</v>
      </c>
    </row>
    <row r="1681" spans="1:8" x14ac:dyDescent="0.2">
      <c r="A1681">
        <v>214790</v>
      </c>
      <c r="B1681">
        <v>33333</v>
      </c>
      <c r="C1681" t="str">
        <f t="shared" si="26"/>
        <v>2. $10K-50K</v>
      </c>
      <c r="D1681" t="s">
        <v>751</v>
      </c>
      <c r="E1681" t="s">
        <v>368</v>
      </c>
      <c r="F1681" t="s">
        <v>670</v>
      </c>
      <c r="G1681" t="s">
        <v>44</v>
      </c>
      <c r="H1681">
        <v>2023</v>
      </c>
    </row>
    <row r="1682" spans="1:8" x14ac:dyDescent="0.2">
      <c r="A1682">
        <v>214791</v>
      </c>
      <c r="B1682">
        <v>33333</v>
      </c>
      <c r="C1682" t="str">
        <f t="shared" si="26"/>
        <v>2. $10K-50K</v>
      </c>
      <c r="D1682" t="s">
        <v>1363</v>
      </c>
      <c r="E1682" t="s">
        <v>368</v>
      </c>
      <c r="F1682" t="s">
        <v>670</v>
      </c>
      <c r="G1682" t="s">
        <v>44</v>
      </c>
      <c r="H1682">
        <v>2023</v>
      </c>
    </row>
    <row r="1683" spans="1:8" x14ac:dyDescent="0.2">
      <c r="A1683">
        <v>214793</v>
      </c>
      <c r="B1683">
        <v>3223348.5</v>
      </c>
      <c r="C1683" t="str">
        <f t="shared" si="26"/>
        <v>2. $10K-50K</v>
      </c>
      <c r="D1683" t="s">
        <v>243</v>
      </c>
      <c r="E1683" t="s">
        <v>54</v>
      </c>
      <c r="F1683" t="s">
        <v>22</v>
      </c>
      <c r="G1683" t="s">
        <v>10</v>
      </c>
      <c r="H1683">
        <v>2023</v>
      </c>
    </row>
    <row r="1684" spans="1:8" x14ac:dyDescent="0.2">
      <c r="A1684">
        <v>214810</v>
      </c>
      <c r="B1684">
        <v>564355.4</v>
      </c>
      <c r="C1684" t="str">
        <f t="shared" si="26"/>
        <v>5. $1M+</v>
      </c>
      <c r="D1684" t="s">
        <v>749</v>
      </c>
      <c r="E1684" t="s">
        <v>237</v>
      </c>
      <c r="F1684" t="s">
        <v>670</v>
      </c>
      <c r="G1684" t="s">
        <v>59</v>
      </c>
      <c r="H1684">
        <v>2023</v>
      </c>
    </row>
    <row r="1685" spans="1:8" x14ac:dyDescent="0.2">
      <c r="A1685">
        <v>214826</v>
      </c>
      <c r="B1685">
        <v>515757.8</v>
      </c>
      <c r="C1685" t="str">
        <f t="shared" si="26"/>
        <v>4. $250K-1M</v>
      </c>
      <c r="D1685" t="s">
        <v>708</v>
      </c>
      <c r="E1685" t="s">
        <v>237</v>
      </c>
      <c r="F1685" t="s">
        <v>670</v>
      </c>
      <c r="G1685" t="s">
        <v>59</v>
      </c>
      <c r="H1685">
        <v>2023</v>
      </c>
    </row>
    <row r="1686" spans="1:8" x14ac:dyDescent="0.2">
      <c r="A1686">
        <v>214827</v>
      </c>
      <c r="B1686">
        <v>520707.5</v>
      </c>
      <c r="C1686" t="str">
        <f t="shared" si="26"/>
        <v>4. $250K-1M</v>
      </c>
      <c r="D1686" t="s">
        <v>708</v>
      </c>
      <c r="E1686" t="s">
        <v>237</v>
      </c>
      <c r="F1686" t="s">
        <v>670</v>
      </c>
      <c r="G1686" t="s">
        <v>59</v>
      </c>
      <c r="H1686">
        <v>2023</v>
      </c>
    </row>
    <row r="1687" spans="1:8" x14ac:dyDescent="0.2">
      <c r="A1687">
        <v>214840</v>
      </c>
      <c r="B1687">
        <v>490540.7</v>
      </c>
      <c r="C1687" t="str">
        <f t="shared" si="26"/>
        <v>4. $250K-1M</v>
      </c>
      <c r="D1687" t="s">
        <v>942</v>
      </c>
      <c r="E1687" t="s">
        <v>237</v>
      </c>
      <c r="F1687" t="s">
        <v>670</v>
      </c>
      <c r="G1687" t="s">
        <v>59</v>
      </c>
      <c r="H1687">
        <v>2023</v>
      </c>
    </row>
    <row r="1688" spans="1:8" x14ac:dyDescent="0.2">
      <c r="A1688">
        <v>215018</v>
      </c>
      <c r="B1688">
        <v>531087.80000000005</v>
      </c>
      <c r="C1688" t="str">
        <f t="shared" si="26"/>
        <v>4. $250K-1M</v>
      </c>
      <c r="D1688" t="s">
        <v>980</v>
      </c>
      <c r="E1688" t="s">
        <v>237</v>
      </c>
      <c r="F1688" t="s">
        <v>670</v>
      </c>
      <c r="G1688" t="s">
        <v>59</v>
      </c>
      <c r="H1688">
        <v>2023</v>
      </c>
    </row>
    <row r="1689" spans="1:8" x14ac:dyDescent="0.2">
      <c r="A1689">
        <v>215028</v>
      </c>
      <c r="B1689">
        <v>10000</v>
      </c>
      <c r="C1689" t="str">
        <f t="shared" si="26"/>
        <v>4. $250K-1M</v>
      </c>
      <c r="D1689" t="s">
        <v>1364</v>
      </c>
      <c r="E1689" t="s">
        <v>368</v>
      </c>
      <c r="F1689" t="s">
        <v>670</v>
      </c>
      <c r="G1689" t="s">
        <v>59</v>
      </c>
      <c r="H1689">
        <v>2023</v>
      </c>
    </row>
    <row r="1690" spans="1:8" x14ac:dyDescent="0.2">
      <c r="A1690">
        <v>215029</v>
      </c>
      <c r="B1690">
        <v>12000</v>
      </c>
      <c r="C1690" t="str">
        <f t="shared" si="26"/>
        <v>2. $10K-50K</v>
      </c>
      <c r="D1690" t="s">
        <v>1365</v>
      </c>
      <c r="E1690" t="s">
        <v>368</v>
      </c>
      <c r="F1690" t="s">
        <v>670</v>
      </c>
      <c r="G1690" t="s">
        <v>59</v>
      </c>
      <c r="H1690">
        <v>2023</v>
      </c>
    </row>
    <row r="1691" spans="1:8" x14ac:dyDescent="0.2">
      <c r="A1691">
        <v>215038</v>
      </c>
      <c r="B1691">
        <v>952500.7</v>
      </c>
      <c r="C1691" t="str">
        <f t="shared" si="26"/>
        <v>2. $10K-50K</v>
      </c>
      <c r="D1691" t="s">
        <v>792</v>
      </c>
      <c r="E1691" t="s">
        <v>42</v>
      </c>
      <c r="F1691" t="s">
        <v>670</v>
      </c>
      <c r="G1691" t="s">
        <v>59</v>
      </c>
      <c r="H1691">
        <v>2023</v>
      </c>
    </row>
    <row r="1692" spans="1:8" x14ac:dyDescent="0.2">
      <c r="A1692">
        <v>215040</v>
      </c>
      <c r="B1692">
        <v>1967470.2</v>
      </c>
      <c r="C1692" t="str">
        <f t="shared" si="26"/>
        <v>4. $250K-1M</v>
      </c>
      <c r="D1692" t="s">
        <v>230</v>
      </c>
      <c r="E1692" t="s">
        <v>69</v>
      </c>
      <c r="F1692" t="s">
        <v>231</v>
      </c>
      <c r="G1692" t="s">
        <v>59</v>
      </c>
      <c r="H1692">
        <v>2023</v>
      </c>
    </row>
    <row r="1693" spans="1:8" x14ac:dyDescent="0.2">
      <c r="A1693">
        <v>215045</v>
      </c>
      <c r="B1693">
        <v>4000</v>
      </c>
      <c r="C1693" t="str">
        <f t="shared" si="26"/>
        <v>5. $1M+</v>
      </c>
      <c r="D1693" t="s">
        <v>1366</v>
      </c>
      <c r="E1693" t="s">
        <v>368</v>
      </c>
      <c r="F1693" t="s">
        <v>670</v>
      </c>
      <c r="G1693" t="s">
        <v>59</v>
      </c>
      <c r="H1693">
        <v>2023</v>
      </c>
    </row>
    <row r="1694" spans="1:8" x14ac:dyDescent="0.2">
      <c r="A1694">
        <v>215157</v>
      </c>
      <c r="B1694">
        <v>10000</v>
      </c>
      <c r="C1694" t="str">
        <f t="shared" si="26"/>
        <v>1. Under $10K</v>
      </c>
      <c r="D1694" t="s">
        <v>1367</v>
      </c>
      <c r="E1694" t="s">
        <v>368</v>
      </c>
      <c r="F1694" t="s">
        <v>670</v>
      </c>
      <c r="G1694" t="s">
        <v>59</v>
      </c>
      <c r="H1694">
        <v>2023</v>
      </c>
    </row>
    <row r="1695" spans="1:8" x14ac:dyDescent="0.2">
      <c r="A1695">
        <v>215158</v>
      </c>
      <c r="B1695">
        <v>4000</v>
      </c>
      <c r="C1695" t="str">
        <f t="shared" si="26"/>
        <v>2. $10K-50K</v>
      </c>
      <c r="D1695" t="s">
        <v>1368</v>
      </c>
      <c r="E1695" t="s">
        <v>368</v>
      </c>
      <c r="F1695" t="s">
        <v>670</v>
      </c>
      <c r="G1695" t="s">
        <v>59</v>
      </c>
      <c r="H1695">
        <v>2023</v>
      </c>
    </row>
    <row r="1696" spans="1:8" x14ac:dyDescent="0.2">
      <c r="A1696">
        <v>215172</v>
      </c>
      <c r="B1696">
        <v>556424.9</v>
      </c>
      <c r="C1696" t="str">
        <f t="shared" si="26"/>
        <v>1. Under $10K</v>
      </c>
      <c r="D1696" t="s">
        <v>717</v>
      </c>
      <c r="E1696" t="s">
        <v>237</v>
      </c>
      <c r="F1696" t="s">
        <v>670</v>
      </c>
      <c r="G1696" t="s">
        <v>59</v>
      </c>
      <c r="H1696">
        <v>2023</v>
      </c>
    </row>
    <row r="1697" spans="1:8" x14ac:dyDescent="0.2">
      <c r="A1697">
        <v>215173</v>
      </c>
      <c r="B1697">
        <v>14988</v>
      </c>
      <c r="C1697" t="str">
        <f t="shared" si="26"/>
        <v>4. $250K-1M</v>
      </c>
      <c r="D1697" t="s">
        <v>1369</v>
      </c>
      <c r="E1697" t="s">
        <v>368</v>
      </c>
      <c r="F1697" t="s">
        <v>670</v>
      </c>
      <c r="G1697" t="s">
        <v>59</v>
      </c>
      <c r="H1697">
        <v>2023</v>
      </c>
    </row>
    <row r="1698" spans="1:8" x14ac:dyDescent="0.2">
      <c r="A1698">
        <v>215174</v>
      </c>
      <c r="B1698">
        <v>50000</v>
      </c>
      <c r="C1698" t="str">
        <f t="shared" si="26"/>
        <v>2. $10K-50K</v>
      </c>
      <c r="D1698" t="s">
        <v>827</v>
      </c>
      <c r="E1698" t="s">
        <v>368</v>
      </c>
      <c r="F1698" t="s">
        <v>670</v>
      </c>
      <c r="G1698" t="s">
        <v>59</v>
      </c>
      <c r="H1698">
        <v>2023</v>
      </c>
    </row>
    <row r="1699" spans="1:8" x14ac:dyDescent="0.2">
      <c r="A1699">
        <v>215175</v>
      </c>
      <c r="B1699">
        <v>6608494</v>
      </c>
      <c r="C1699" t="str">
        <f t="shared" si="26"/>
        <v>3. $50K-250K</v>
      </c>
      <c r="D1699" t="s">
        <v>678</v>
      </c>
      <c r="E1699" t="s">
        <v>28</v>
      </c>
      <c r="F1699" t="s">
        <v>668</v>
      </c>
      <c r="G1699" t="s">
        <v>59</v>
      </c>
      <c r="H1699">
        <v>2023</v>
      </c>
    </row>
    <row r="1700" spans="1:8" x14ac:dyDescent="0.2">
      <c r="A1700">
        <v>215176</v>
      </c>
      <c r="B1700">
        <v>2500</v>
      </c>
      <c r="C1700" t="str">
        <f t="shared" si="26"/>
        <v>5. $1M+</v>
      </c>
      <c r="D1700" t="s">
        <v>1370</v>
      </c>
      <c r="E1700" t="s">
        <v>112</v>
      </c>
      <c r="F1700" t="s">
        <v>668</v>
      </c>
      <c r="G1700" t="s">
        <v>59</v>
      </c>
      <c r="H1700">
        <v>2023</v>
      </c>
    </row>
    <row r="1701" spans="1:8" x14ac:dyDescent="0.2">
      <c r="A1701">
        <v>215179</v>
      </c>
      <c r="B1701">
        <v>3000000</v>
      </c>
      <c r="C1701" t="str">
        <f t="shared" si="26"/>
        <v>1. Under $10K</v>
      </c>
      <c r="D1701" t="s">
        <v>1371</v>
      </c>
      <c r="E1701" t="s">
        <v>8</v>
      </c>
      <c r="F1701" t="s">
        <v>668</v>
      </c>
      <c r="G1701" t="s">
        <v>59</v>
      </c>
      <c r="H1701">
        <v>2023</v>
      </c>
    </row>
    <row r="1702" spans="1:8" x14ac:dyDescent="0.2">
      <c r="A1702">
        <v>215181</v>
      </c>
      <c r="B1702">
        <v>3100000</v>
      </c>
      <c r="C1702" t="str">
        <f t="shared" si="26"/>
        <v>5. $1M+</v>
      </c>
      <c r="D1702" t="s">
        <v>1372</v>
      </c>
      <c r="E1702" t="s">
        <v>99</v>
      </c>
      <c r="F1702" t="s">
        <v>668</v>
      </c>
      <c r="G1702" t="s">
        <v>59</v>
      </c>
      <c r="H1702">
        <v>2023</v>
      </c>
    </row>
    <row r="1703" spans="1:8" x14ac:dyDescent="0.2">
      <c r="A1703">
        <v>215183</v>
      </c>
      <c r="B1703">
        <v>3885962</v>
      </c>
      <c r="C1703" t="str">
        <f t="shared" si="26"/>
        <v>5. $1M+</v>
      </c>
      <c r="D1703" t="s">
        <v>1373</v>
      </c>
      <c r="E1703" t="s">
        <v>99</v>
      </c>
      <c r="F1703" t="s">
        <v>668</v>
      </c>
      <c r="G1703" t="s">
        <v>59</v>
      </c>
      <c r="H1703">
        <v>2023</v>
      </c>
    </row>
    <row r="1704" spans="1:8" x14ac:dyDescent="0.2">
      <c r="A1704">
        <v>215184</v>
      </c>
      <c r="B1704">
        <v>221323.6</v>
      </c>
      <c r="C1704" t="str">
        <f t="shared" si="26"/>
        <v>5. $1M+</v>
      </c>
      <c r="D1704" t="s">
        <v>1374</v>
      </c>
      <c r="E1704" t="s">
        <v>99</v>
      </c>
      <c r="F1704" t="s">
        <v>668</v>
      </c>
      <c r="G1704" t="s">
        <v>59</v>
      </c>
      <c r="H1704">
        <v>2023</v>
      </c>
    </row>
    <row r="1705" spans="1:8" x14ac:dyDescent="0.2">
      <c r="A1705">
        <v>215185</v>
      </c>
      <c r="B1705">
        <v>25000</v>
      </c>
      <c r="C1705" t="str">
        <f t="shared" si="26"/>
        <v>3. $50K-250K</v>
      </c>
      <c r="D1705" t="s">
        <v>1375</v>
      </c>
      <c r="E1705" t="s">
        <v>368</v>
      </c>
      <c r="F1705" t="s">
        <v>670</v>
      </c>
      <c r="G1705" t="s">
        <v>59</v>
      </c>
      <c r="H1705">
        <v>2023</v>
      </c>
    </row>
    <row r="1706" spans="1:8" x14ac:dyDescent="0.2">
      <c r="A1706">
        <v>215232</v>
      </c>
      <c r="B1706">
        <v>1000</v>
      </c>
      <c r="C1706" t="str">
        <f t="shared" si="26"/>
        <v>2. $10K-50K</v>
      </c>
      <c r="D1706" t="s">
        <v>1029</v>
      </c>
      <c r="E1706" t="s">
        <v>112</v>
      </c>
      <c r="F1706" t="s">
        <v>668</v>
      </c>
      <c r="G1706" t="s">
        <v>59</v>
      </c>
      <c r="H1706">
        <v>2023</v>
      </c>
    </row>
    <row r="1707" spans="1:8" x14ac:dyDescent="0.2">
      <c r="A1707">
        <v>215234</v>
      </c>
      <c r="B1707">
        <v>50000</v>
      </c>
      <c r="C1707" t="str">
        <f t="shared" si="26"/>
        <v>1. Under $10K</v>
      </c>
      <c r="D1707" t="s">
        <v>1376</v>
      </c>
      <c r="E1707" t="s">
        <v>112</v>
      </c>
      <c r="F1707" t="s">
        <v>668</v>
      </c>
      <c r="G1707" t="s">
        <v>59</v>
      </c>
      <c r="H1707">
        <v>2023</v>
      </c>
    </row>
    <row r="1708" spans="1:8" x14ac:dyDescent="0.2">
      <c r="A1708">
        <v>215235</v>
      </c>
      <c r="B1708">
        <v>5000</v>
      </c>
      <c r="C1708" t="str">
        <f t="shared" si="26"/>
        <v>3. $50K-250K</v>
      </c>
      <c r="D1708" t="s">
        <v>1377</v>
      </c>
      <c r="E1708" t="s">
        <v>112</v>
      </c>
      <c r="F1708" t="s">
        <v>668</v>
      </c>
      <c r="G1708" t="s">
        <v>59</v>
      </c>
      <c r="H1708">
        <v>2023</v>
      </c>
    </row>
    <row r="1709" spans="1:8" x14ac:dyDescent="0.2">
      <c r="A1709">
        <v>215246</v>
      </c>
      <c r="B1709">
        <v>500000</v>
      </c>
      <c r="C1709" t="str">
        <f t="shared" si="26"/>
        <v>1. Under $10K</v>
      </c>
      <c r="D1709" t="s">
        <v>1378</v>
      </c>
      <c r="E1709" t="s">
        <v>59</v>
      </c>
      <c r="F1709" t="s">
        <v>670</v>
      </c>
      <c r="G1709" t="s">
        <v>59</v>
      </c>
      <c r="H1709">
        <v>2023</v>
      </c>
    </row>
    <row r="1710" spans="1:8" x14ac:dyDescent="0.2">
      <c r="A1710">
        <v>215258</v>
      </c>
      <c r="B1710">
        <v>249541</v>
      </c>
      <c r="C1710" t="str">
        <f t="shared" si="26"/>
        <v>4. $250K-1M</v>
      </c>
      <c r="D1710" t="s">
        <v>1379</v>
      </c>
      <c r="E1710" t="s">
        <v>99</v>
      </c>
      <c r="F1710" t="s">
        <v>668</v>
      </c>
      <c r="G1710" t="s">
        <v>59</v>
      </c>
      <c r="H1710">
        <v>2023</v>
      </c>
    </row>
    <row r="1711" spans="1:8" x14ac:dyDescent="0.2">
      <c r="A1711">
        <v>215260</v>
      </c>
      <c r="B1711">
        <v>90850.4</v>
      </c>
      <c r="C1711" t="str">
        <f t="shared" si="26"/>
        <v>3. $50K-250K</v>
      </c>
      <c r="D1711" t="s">
        <v>805</v>
      </c>
      <c r="E1711" t="s">
        <v>237</v>
      </c>
      <c r="F1711" t="s">
        <v>670</v>
      </c>
      <c r="G1711" t="s">
        <v>59</v>
      </c>
      <c r="H1711">
        <v>2023</v>
      </c>
    </row>
    <row r="1712" spans="1:8" x14ac:dyDescent="0.2">
      <c r="A1712">
        <v>215261</v>
      </c>
      <c r="B1712">
        <v>1082000</v>
      </c>
      <c r="C1712" t="str">
        <f t="shared" si="26"/>
        <v>3. $50K-250K</v>
      </c>
      <c r="D1712" t="s">
        <v>230</v>
      </c>
      <c r="E1712" t="s">
        <v>69</v>
      </c>
      <c r="F1712" t="s">
        <v>231</v>
      </c>
      <c r="G1712" t="s">
        <v>59</v>
      </c>
      <c r="H1712">
        <v>2023</v>
      </c>
    </row>
    <row r="1713" spans="1:8" x14ac:dyDescent="0.2">
      <c r="A1713">
        <v>215264</v>
      </c>
      <c r="B1713">
        <v>235667.4</v>
      </c>
      <c r="C1713" t="str">
        <f t="shared" si="26"/>
        <v>5. $1M+</v>
      </c>
      <c r="D1713" t="s">
        <v>881</v>
      </c>
      <c r="E1713" t="s">
        <v>237</v>
      </c>
      <c r="F1713" t="s">
        <v>670</v>
      </c>
      <c r="G1713" t="s">
        <v>59</v>
      </c>
      <c r="H1713">
        <v>2023</v>
      </c>
    </row>
    <row r="1714" spans="1:8" x14ac:dyDescent="0.2">
      <c r="A1714">
        <v>215276</v>
      </c>
      <c r="B1714">
        <v>8000</v>
      </c>
      <c r="C1714" t="str">
        <f t="shared" si="26"/>
        <v>3. $50K-250K</v>
      </c>
      <c r="D1714" t="s">
        <v>827</v>
      </c>
      <c r="E1714" t="s">
        <v>368</v>
      </c>
      <c r="F1714" t="s">
        <v>670</v>
      </c>
      <c r="G1714" t="s">
        <v>59</v>
      </c>
      <c r="H1714">
        <v>2023</v>
      </c>
    </row>
    <row r="1715" spans="1:8" x14ac:dyDescent="0.2">
      <c r="A1715">
        <v>215277</v>
      </c>
      <c r="B1715">
        <v>8000</v>
      </c>
      <c r="C1715" t="str">
        <f t="shared" si="26"/>
        <v>1. Under $10K</v>
      </c>
      <c r="D1715" t="s">
        <v>827</v>
      </c>
      <c r="E1715" t="s">
        <v>368</v>
      </c>
      <c r="F1715" t="s">
        <v>670</v>
      </c>
      <c r="G1715" t="s">
        <v>59</v>
      </c>
      <c r="H1715">
        <v>2023</v>
      </c>
    </row>
    <row r="1716" spans="1:8" x14ac:dyDescent="0.2">
      <c r="A1716">
        <v>215293</v>
      </c>
      <c r="B1716">
        <v>2702979</v>
      </c>
      <c r="C1716" t="str">
        <f t="shared" si="26"/>
        <v>1. Under $10K</v>
      </c>
      <c r="D1716" t="s">
        <v>1380</v>
      </c>
      <c r="E1716" t="s">
        <v>28</v>
      </c>
      <c r="F1716" t="s">
        <v>668</v>
      </c>
      <c r="G1716" t="s">
        <v>59</v>
      </c>
      <c r="H1716">
        <v>2023</v>
      </c>
    </row>
    <row r="1717" spans="1:8" x14ac:dyDescent="0.2">
      <c r="A1717">
        <v>215330</v>
      </c>
      <c r="B1717">
        <v>98600</v>
      </c>
      <c r="C1717" t="str">
        <f t="shared" si="26"/>
        <v>5. $1M+</v>
      </c>
      <c r="D1717" t="s">
        <v>244</v>
      </c>
      <c r="E1717" t="s">
        <v>65</v>
      </c>
      <c r="F1717" t="s">
        <v>239</v>
      </c>
      <c r="G1717" t="s">
        <v>10</v>
      </c>
      <c r="H1717">
        <v>2023</v>
      </c>
    </row>
    <row r="1718" spans="1:8" x14ac:dyDescent="0.2">
      <c r="A1718">
        <v>215467</v>
      </c>
      <c r="B1718">
        <v>26100000</v>
      </c>
      <c r="C1718" t="str">
        <f t="shared" si="26"/>
        <v>3. $50K-250K</v>
      </c>
      <c r="D1718" t="s">
        <v>1381</v>
      </c>
      <c r="E1718" t="s">
        <v>52</v>
      </c>
      <c r="F1718" t="s">
        <v>668</v>
      </c>
      <c r="G1718" t="s">
        <v>59</v>
      </c>
      <c r="H1718">
        <v>2023</v>
      </c>
    </row>
    <row r="1719" spans="1:8" x14ac:dyDescent="0.2">
      <c r="A1719">
        <v>215488</v>
      </c>
      <c r="B1719">
        <v>102800</v>
      </c>
      <c r="C1719" t="str">
        <f t="shared" si="26"/>
        <v>5. $1M+</v>
      </c>
      <c r="D1719" t="s">
        <v>694</v>
      </c>
      <c r="E1719" t="s">
        <v>237</v>
      </c>
      <c r="F1719" t="s">
        <v>670</v>
      </c>
      <c r="G1719" t="s">
        <v>59</v>
      </c>
      <c r="H1719">
        <v>2023</v>
      </c>
    </row>
    <row r="1720" spans="1:8" x14ac:dyDescent="0.2">
      <c r="A1720">
        <v>215489</v>
      </c>
      <c r="B1720">
        <v>47896.5</v>
      </c>
      <c r="C1720" t="str">
        <f t="shared" si="26"/>
        <v>3. $50K-250K</v>
      </c>
      <c r="D1720" t="s">
        <v>762</v>
      </c>
      <c r="E1720" t="s">
        <v>237</v>
      </c>
      <c r="F1720" t="s">
        <v>670</v>
      </c>
      <c r="G1720" t="s">
        <v>59</v>
      </c>
      <c r="H1720">
        <v>2023</v>
      </c>
    </row>
    <row r="1721" spans="1:8" x14ac:dyDescent="0.2">
      <c r="A1721">
        <v>215490</v>
      </c>
      <c r="B1721">
        <v>67645.3</v>
      </c>
      <c r="C1721" t="str">
        <f t="shared" si="26"/>
        <v>2. $10K-50K</v>
      </c>
      <c r="D1721" t="s">
        <v>712</v>
      </c>
      <c r="E1721" t="s">
        <v>237</v>
      </c>
      <c r="F1721" t="s">
        <v>670</v>
      </c>
      <c r="G1721" t="s">
        <v>59</v>
      </c>
      <c r="H1721">
        <v>2023</v>
      </c>
    </row>
    <row r="1722" spans="1:8" x14ac:dyDescent="0.2">
      <c r="A1722">
        <v>215491</v>
      </c>
      <c r="B1722">
        <v>70620</v>
      </c>
      <c r="C1722" t="str">
        <f t="shared" si="26"/>
        <v>3. $50K-250K</v>
      </c>
      <c r="D1722" t="s">
        <v>709</v>
      </c>
      <c r="E1722" t="s">
        <v>237</v>
      </c>
      <c r="F1722" t="s">
        <v>670</v>
      </c>
      <c r="G1722" t="s">
        <v>59</v>
      </c>
      <c r="H1722">
        <v>2023</v>
      </c>
    </row>
    <row r="1723" spans="1:8" x14ac:dyDescent="0.2">
      <c r="A1723">
        <v>215492</v>
      </c>
      <c r="B1723">
        <v>11000</v>
      </c>
      <c r="C1723" t="str">
        <f t="shared" si="26"/>
        <v>3. $50K-250K</v>
      </c>
      <c r="D1723" t="s">
        <v>711</v>
      </c>
      <c r="E1723" t="s">
        <v>237</v>
      </c>
      <c r="F1723" t="s">
        <v>670</v>
      </c>
      <c r="G1723" t="s">
        <v>59</v>
      </c>
      <c r="H1723">
        <v>2023</v>
      </c>
    </row>
    <row r="1724" spans="1:8" x14ac:dyDescent="0.2">
      <c r="A1724">
        <v>215493</v>
      </c>
      <c r="B1724">
        <v>35999.699999999997</v>
      </c>
      <c r="C1724" t="str">
        <f t="shared" si="26"/>
        <v>2. $10K-50K</v>
      </c>
      <c r="D1724" t="s">
        <v>700</v>
      </c>
      <c r="E1724" t="s">
        <v>237</v>
      </c>
      <c r="F1724" t="s">
        <v>670</v>
      </c>
      <c r="G1724" t="s">
        <v>59</v>
      </c>
      <c r="H1724">
        <v>2023</v>
      </c>
    </row>
    <row r="1725" spans="1:8" x14ac:dyDescent="0.2">
      <c r="A1725">
        <v>215494</v>
      </c>
      <c r="B1725">
        <v>2453.9</v>
      </c>
      <c r="C1725" t="str">
        <f t="shared" si="26"/>
        <v>2. $10K-50K</v>
      </c>
      <c r="D1725" t="s">
        <v>731</v>
      </c>
      <c r="E1725" t="s">
        <v>237</v>
      </c>
      <c r="F1725" t="s">
        <v>670</v>
      </c>
      <c r="G1725" t="s">
        <v>59</v>
      </c>
      <c r="H1725">
        <v>2023</v>
      </c>
    </row>
    <row r="1726" spans="1:8" x14ac:dyDescent="0.2">
      <c r="A1726">
        <v>215495</v>
      </c>
      <c r="B1726">
        <v>256555</v>
      </c>
      <c r="C1726" t="str">
        <f t="shared" si="26"/>
        <v>1. Under $10K</v>
      </c>
      <c r="D1726" t="s">
        <v>910</v>
      </c>
      <c r="E1726" t="s">
        <v>237</v>
      </c>
      <c r="F1726" t="s">
        <v>670</v>
      </c>
      <c r="G1726" t="s">
        <v>59</v>
      </c>
      <c r="H1726">
        <v>2023</v>
      </c>
    </row>
    <row r="1727" spans="1:8" x14ac:dyDescent="0.2">
      <c r="A1727">
        <v>215496</v>
      </c>
      <c r="B1727">
        <v>6000</v>
      </c>
      <c r="C1727" t="str">
        <f t="shared" si="26"/>
        <v>4. $250K-1M</v>
      </c>
      <c r="D1727" t="s">
        <v>827</v>
      </c>
      <c r="E1727" t="s">
        <v>368</v>
      </c>
      <c r="F1727" t="s">
        <v>670</v>
      </c>
      <c r="G1727" t="s">
        <v>44</v>
      </c>
      <c r="H1727">
        <v>2023</v>
      </c>
    </row>
    <row r="1728" spans="1:8" x14ac:dyDescent="0.2">
      <c r="A1728">
        <v>215497</v>
      </c>
      <c r="B1728">
        <v>184000</v>
      </c>
      <c r="C1728" t="str">
        <f t="shared" si="26"/>
        <v>1. Under $10K</v>
      </c>
      <c r="D1728" t="s">
        <v>245</v>
      </c>
      <c r="E1728" t="s">
        <v>246</v>
      </c>
      <c r="F1728" t="s">
        <v>100</v>
      </c>
      <c r="G1728" t="s">
        <v>101</v>
      </c>
      <c r="H1728">
        <v>2023</v>
      </c>
    </row>
    <row r="1729" spans="1:8" x14ac:dyDescent="0.2">
      <c r="A1729">
        <v>215573</v>
      </c>
      <c r="B1729">
        <v>6000</v>
      </c>
      <c r="C1729" t="str">
        <f t="shared" si="26"/>
        <v>3. $50K-250K</v>
      </c>
      <c r="D1729" t="s">
        <v>827</v>
      </c>
      <c r="E1729" t="s">
        <v>368</v>
      </c>
      <c r="F1729" t="s">
        <v>670</v>
      </c>
      <c r="G1729" t="s">
        <v>59</v>
      </c>
      <c r="H1729">
        <v>2023</v>
      </c>
    </row>
    <row r="1730" spans="1:8" x14ac:dyDescent="0.2">
      <c r="A1730">
        <v>215574</v>
      </c>
      <c r="B1730">
        <v>35000</v>
      </c>
      <c r="C1730" t="str">
        <f t="shared" si="26"/>
        <v>1. Under $10K</v>
      </c>
      <c r="D1730" t="s">
        <v>1359</v>
      </c>
      <c r="E1730" t="s">
        <v>368</v>
      </c>
      <c r="F1730" t="s">
        <v>670</v>
      </c>
      <c r="G1730" t="s">
        <v>59</v>
      </c>
      <c r="H1730">
        <v>2023</v>
      </c>
    </row>
    <row r="1731" spans="1:8" x14ac:dyDescent="0.2">
      <c r="A1731">
        <v>215575</v>
      </c>
      <c r="B1731">
        <v>10748030</v>
      </c>
      <c r="C1731" t="str">
        <f t="shared" ref="C1731:C1794" si="27">IF(B1730&lt;10000,"1. Under $10K",IF(B1730&lt;50000,"2. $10K-50K",IF(B1730&lt;250000,"3. $50K-250K",IF(B1730&lt;1000000,"4. $250K-1M","5. $1M+"))))</f>
        <v>2. $10K-50K</v>
      </c>
      <c r="D1731" t="s">
        <v>38</v>
      </c>
      <c r="E1731" t="s">
        <v>49</v>
      </c>
      <c r="F1731" t="s">
        <v>12</v>
      </c>
      <c r="G1731" t="s">
        <v>10</v>
      </c>
      <c r="H1731">
        <v>2023</v>
      </c>
    </row>
    <row r="1732" spans="1:8" x14ac:dyDescent="0.2">
      <c r="A1732">
        <v>215577</v>
      </c>
      <c r="B1732">
        <v>10509440</v>
      </c>
      <c r="C1732" t="str">
        <f t="shared" si="27"/>
        <v>5. $1M+</v>
      </c>
      <c r="D1732" t="s">
        <v>38</v>
      </c>
      <c r="E1732" t="s">
        <v>49</v>
      </c>
      <c r="F1732" t="s">
        <v>12</v>
      </c>
      <c r="G1732" t="s">
        <v>10</v>
      </c>
      <c r="H1732">
        <v>2023</v>
      </c>
    </row>
    <row r="1733" spans="1:8" x14ac:dyDescent="0.2">
      <c r="A1733">
        <v>215633</v>
      </c>
      <c r="B1733">
        <v>18630000</v>
      </c>
      <c r="C1733" t="str">
        <f t="shared" si="27"/>
        <v>5. $1M+</v>
      </c>
      <c r="D1733" t="s">
        <v>1382</v>
      </c>
      <c r="E1733" t="s">
        <v>52</v>
      </c>
      <c r="F1733" t="s">
        <v>668</v>
      </c>
      <c r="G1733" t="s">
        <v>59</v>
      </c>
      <c r="H1733">
        <v>2023</v>
      </c>
    </row>
    <row r="1734" spans="1:8" x14ac:dyDescent="0.2">
      <c r="A1734">
        <v>215634</v>
      </c>
      <c r="B1734">
        <v>10509440</v>
      </c>
      <c r="C1734" t="str">
        <f t="shared" si="27"/>
        <v>5. $1M+</v>
      </c>
      <c r="D1734" t="s">
        <v>38</v>
      </c>
      <c r="E1734" t="s">
        <v>49</v>
      </c>
      <c r="F1734" t="s">
        <v>12</v>
      </c>
      <c r="G1734" t="s">
        <v>10</v>
      </c>
      <c r="H1734">
        <v>2023</v>
      </c>
    </row>
    <row r="1735" spans="1:8" x14ac:dyDescent="0.2">
      <c r="A1735">
        <v>215635</v>
      </c>
      <c r="B1735">
        <v>60000</v>
      </c>
      <c r="C1735" t="str">
        <f t="shared" si="27"/>
        <v>5. $1M+</v>
      </c>
      <c r="D1735" t="s">
        <v>226</v>
      </c>
      <c r="E1735" t="s">
        <v>52</v>
      </c>
      <c r="F1735" t="s">
        <v>668</v>
      </c>
      <c r="G1735" t="s">
        <v>59</v>
      </c>
      <c r="H1735">
        <v>2023</v>
      </c>
    </row>
    <row r="1736" spans="1:8" x14ac:dyDescent="0.2">
      <c r="A1736">
        <v>215636</v>
      </c>
      <c r="B1736">
        <v>10748030</v>
      </c>
      <c r="C1736" t="str">
        <f t="shared" si="27"/>
        <v>3. $50K-250K</v>
      </c>
      <c r="D1736" t="s">
        <v>38</v>
      </c>
      <c r="E1736" t="s">
        <v>49</v>
      </c>
      <c r="F1736" t="s">
        <v>12</v>
      </c>
      <c r="G1736" t="s">
        <v>10</v>
      </c>
      <c r="H1736">
        <v>2023</v>
      </c>
    </row>
    <row r="1737" spans="1:8" x14ac:dyDescent="0.2">
      <c r="A1737">
        <v>215702</v>
      </c>
      <c r="B1737">
        <v>25096.3</v>
      </c>
      <c r="C1737" t="str">
        <f t="shared" si="27"/>
        <v>5. $1M+</v>
      </c>
      <c r="D1737" t="s">
        <v>230</v>
      </c>
      <c r="E1737" t="s">
        <v>69</v>
      </c>
      <c r="F1737" t="s">
        <v>231</v>
      </c>
      <c r="G1737" t="s">
        <v>59</v>
      </c>
      <c r="H1737">
        <v>2023</v>
      </c>
    </row>
    <row r="1738" spans="1:8" x14ac:dyDescent="0.2">
      <c r="A1738">
        <v>215712</v>
      </c>
      <c r="B1738">
        <v>9711</v>
      </c>
      <c r="C1738" t="str">
        <f t="shared" si="27"/>
        <v>2. $10K-50K</v>
      </c>
      <c r="D1738" t="s">
        <v>783</v>
      </c>
      <c r="E1738" t="s">
        <v>42</v>
      </c>
      <c r="F1738" t="s">
        <v>670</v>
      </c>
      <c r="G1738" t="s">
        <v>59</v>
      </c>
      <c r="H1738">
        <v>2023</v>
      </c>
    </row>
    <row r="1739" spans="1:8" x14ac:dyDescent="0.2">
      <c r="A1739">
        <v>215783</v>
      </c>
      <c r="B1739">
        <v>1000000</v>
      </c>
      <c r="C1739" t="str">
        <f t="shared" si="27"/>
        <v>1. Under $10K</v>
      </c>
      <c r="D1739" t="s">
        <v>1383</v>
      </c>
      <c r="E1739" t="s">
        <v>99</v>
      </c>
      <c r="F1739" t="s">
        <v>670</v>
      </c>
      <c r="G1739" t="s">
        <v>44</v>
      </c>
      <c r="H1739">
        <v>2023</v>
      </c>
    </row>
    <row r="1740" spans="1:8" x14ac:dyDescent="0.2">
      <c r="A1740">
        <v>215824</v>
      </c>
      <c r="B1740">
        <v>10000</v>
      </c>
      <c r="C1740" t="str">
        <f t="shared" si="27"/>
        <v>5. $1M+</v>
      </c>
      <c r="D1740" t="s">
        <v>1055</v>
      </c>
      <c r="E1740" t="s">
        <v>368</v>
      </c>
      <c r="F1740" t="s">
        <v>670</v>
      </c>
      <c r="G1740" t="s">
        <v>59</v>
      </c>
      <c r="H1740">
        <v>2023</v>
      </c>
    </row>
    <row r="1741" spans="1:8" x14ac:dyDescent="0.2">
      <c r="A1741">
        <v>215826</v>
      </c>
      <c r="B1741">
        <v>6000</v>
      </c>
      <c r="C1741" t="str">
        <f t="shared" si="27"/>
        <v>2. $10K-50K</v>
      </c>
      <c r="D1741" t="s">
        <v>827</v>
      </c>
      <c r="E1741" t="s">
        <v>368</v>
      </c>
      <c r="F1741" t="s">
        <v>670</v>
      </c>
      <c r="G1741" t="s">
        <v>59</v>
      </c>
      <c r="H1741">
        <v>2023</v>
      </c>
    </row>
    <row r="1742" spans="1:8" x14ac:dyDescent="0.2">
      <c r="A1742">
        <v>215827</v>
      </c>
      <c r="B1742">
        <v>6000</v>
      </c>
      <c r="C1742" t="str">
        <f t="shared" si="27"/>
        <v>1. Under $10K</v>
      </c>
      <c r="D1742" t="s">
        <v>827</v>
      </c>
      <c r="E1742" t="s">
        <v>368</v>
      </c>
      <c r="F1742" t="s">
        <v>670</v>
      </c>
      <c r="G1742" t="s">
        <v>59</v>
      </c>
      <c r="H1742">
        <v>2023</v>
      </c>
    </row>
    <row r="1743" spans="1:8" x14ac:dyDescent="0.2">
      <c r="A1743">
        <v>215828</v>
      </c>
      <c r="B1743">
        <v>6000</v>
      </c>
      <c r="C1743" t="str">
        <f t="shared" si="27"/>
        <v>1. Under $10K</v>
      </c>
      <c r="D1743" t="s">
        <v>827</v>
      </c>
      <c r="E1743" t="s">
        <v>368</v>
      </c>
      <c r="F1743" t="s">
        <v>670</v>
      </c>
      <c r="G1743" t="s">
        <v>59</v>
      </c>
      <c r="H1743">
        <v>2023</v>
      </c>
    </row>
    <row r="1744" spans="1:8" x14ac:dyDescent="0.2">
      <c r="A1744">
        <v>215829</v>
      </c>
      <c r="B1744">
        <v>6000</v>
      </c>
      <c r="C1744" t="str">
        <f t="shared" si="27"/>
        <v>1. Under $10K</v>
      </c>
      <c r="D1744" t="s">
        <v>827</v>
      </c>
      <c r="E1744" t="s">
        <v>368</v>
      </c>
      <c r="F1744" t="s">
        <v>670</v>
      </c>
      <c r="G1744" t="s">
        <v>59</v>
      </c>
      <c r="H1744">
        <v>2023</v>
      </c>
    </row>
    <row r="1745" spans="1:8" x14ac:dyDescent="0.2">
      <c r="A1745">
        <v>215830</v>
      </c>
      <c r="B1745">
        <v>6000</v>
      </c>
      <c r="C1745" t="str">
        <f t="shared" si="27"/>
        <v>1. Under $10K</v>
      </c>
      <c r="D1745" t="s">
        <v>827</v>
      </c>
      <c r="E1745" t="s">
        <v>368</v>
      </c>
      <c r="F1745" t="s">
        <v>670</v>
      </c>
      <c r="G1745" t="s">
        <v>59</v>
      </c>
      <c r="H1745">
        <v>2023</v>
      </c>
    </row>
    <row r="1746" spans="1:8" x14ac:dyDescent="0.2">
      <c r="A1746">
        <v>215831</v>
      </c>
      <c r="B1746">
        <v>3000</v>
      </c>
      <c r="C1746" t="str">
        <f t="shared" si="27"/>
        <v>1. Under $10K</v>
      </c>
      <c r="D1746" t="s">
        <v>391</v>
      </c>
      <c r="E1746" t="s">
        <v>368</v>
      </c>
      <c r="F1746" t="s">
        <v>670</v>
      </c>
      <c r="G1746" t="s">
        <v>59</v>
      </c>
      <c r="H1746">
        <v>2023</v>
      </c>
    </row>
    <row r="1747" spans="1:8" x14ac:dyDescent="0.2">
      <c r="A1747">
        <v>215832</v>
      </c>
      <c r="B1747">
        <v>20000</v>
      </c>
      <c r="C1747" t="str">
        <f t="shared" si="27"/>
        <v>1. Under $10K</v>
      </c>
      <c r="D1747" t="s">
        <v>827</v>
      </c>
      <c r="E1747" t="s">
        <v>368</v>
      </c>
      <c r="F1747" t="s">
        <v>670</v>
      </c>
      <c r="G1747" t="s">
        <v>59</v>
      </c>
      <c r="H1747">
        <v>2023</v>
      </c>
    </row>
    <row r="1748" spans="1:8" x14ac:dyDescent="0.2">
      <c r="A1748">
        <v>215833</v>
      </c>
      <c r="B1748">
        <v>6000</v>
      </c>
      <c r="C1748" t="str">
        <f t="shared" si="27"/>
        <v>2. $10K-50K</v>
      </c>
      <c r="D1748" t="s">
        <v>827</v>
      </c>
      <c r="E1748" t="s">
        <v>368</v>
      </c>
      <c r="F1748" t="s">
        <v>670</v>
      </c>
      <c r="G1748" t="s">
        <v>59</v>
      </c>
      <c r="H1748">
        <v>2023</v>
      </c>
    </row>
    <row r="1749" spans="1:8" x14ac:dyDescent="0.2">
      <c r="A1749">
        <v>216054</v>
      </c>
      <c r="B1749">
        <v>23077</v>
      </c>
      <c r="C1749" t="str">
        <f t="shared" si="27"/>
        <v>1. Under $10K</v>
      </c>
      <c r="D1749" t="s">
        <v>837</v>
      </c>
      <c r="E1749" t="s">
        <v>237</v>
      </c>
      <c r="F1749" t="s">
        <v>670</v>
      </c>
      <c r="G1749" t="s">
        <v>59</v>
      </c>
      <c r="H1749">
        <v>2023</v>
      </c>
    </row>
    <row r="1750" spans="1:8" x14ac:dyDescent="0.2">
      <c r="A1750">
        <v>216055</v>
      </c>
      <c r="B1750">
        <v>111000</v>
      </c>
      <c r="C1750" t="str">
        <f t="shared" si="27"/>
        <v>2. $10K-50K</v>
      </c>
      <c r="D1750" t="s">
        <v>1384</v>
      </c>
      <c r="E1750" t="s">
        <v>52</v>
      </c>
      <c r="F1750" t="s">
        <v>668</v>
      </c>
      <c r="G1750" t="s">
        <v>59</v>
      </c>
      <c r="H1750">
        <v>2023</v>
      </c>
    </row>
    <row r="1751" spans="1:8" x14ac:dyDescent="0.2">
      <c r="A1751">
        <v>216163</v>
      </c>
      <c r="B1751">
        <v>8390727.8000000007</v>
      </c>
      <c r="C1751" t="str">
        <f t="shared" si="27"/>
        <v>3. $50K-250K</v>
      </c>
      <c r="D1751" t="s">
        <v>881</v>
      </c>
      <c r="E1751" t="s">
        <v>237</v>
      </c>
      <c r="F1751" t="s">
        <v>670</v>
      </c>
      <c r="G1751" t="s">
        <v>59</v>
      </c>
      <c r="H1751">
        <v>2023</v>
      </c>
    </row>
    <row r="1752" spans="1:8" x14ac:dyDescent="0.2">
      <c r="A1752">
        <v>216165</v>
      </c>
      <c r="B1752">
        <v>57010.2</v>
      </c>
      <c r="C1752" t="str">
        <f t="shared" si="27"/>
        <v>5. $1M+</v>
      </c>
      <c r="D1752" t="s">
        <v>818</v>
      </c>
      <c r="E1752" t="s">
        <v>432</v>
      </c>
      <c r="F1752" t="s">
        <v>670</v>
      </c>
      <c r="G1752" t="s">
        <v>59</v>
      </c>
      <c r="H1752">
        <v>2023</v>
      </c>
    </row>
    <row r="1753" spans="1:8" x14ac:dyDescent="0.2">
      <c r="A1753">
        <v>216166</v>
      </c>
      <c r="B1753">
        <v>118575.9</v>
      </c>
      <c r="C1753" t="str">
        <f t="shared" si="27"/>
        <v>3. $50K-250K</v>
      </c>
      <c r="D1753" t="s">
        <v>1385</v>
      </c>
      <c r="E1753" t="s">
        <v>432</v>
      </c>
      <c r="F1753" t="s">
        <v>670</v>
      </c>
      <c r="G1753" t="s">
        <v>59</v>
      </c>
      <c r="H1753">
        <v>2023</v>
      </c>
    </row>
    <row r="1754" spans="1:8" x14ac:dyDescent="0.2">
      <c r="A1754">
        <v>216169</v>
      </c>
      <c r="B1754">
        <v>6826.9</v>
      </c>
      <c r="C1754" t="str">
        <f t="shared" si="27"/>
        <v>3. $50K-250K</v>
      </c>
      <c r="D1754" t="s">
        <v>230</v>
      </c>
      <c r="E1754" t="s">
        <v>69</v>
      </c>
      <c r="F1754" t="s">
        <v>231</v>
      </c>
      <c r="G1754" t="s">
        <v>59</v>
      </c>
      <c r="H1754">
        <v>2023</v>
      </c>
    </row>
    <row r="1755" spans="1:8" x14ac:dyDescent="0.2">
      <c r="A1755">
        <v>216193</v>
      </c>
      <c r="B1755">
        <v>87602.6</v>
      </c>
      <c r="C1755" t="str">
        <f t="shared" si="27"/>
        <v>1. Under $10K</v>
      </c>
      <c r="D1755" t="s">
        <v>247</v>
      </c>
      <c r="E1755" t="s">
        <v>112</v>
      </c>
      <c r="F1755" t="s">
        <v>106</v>
      </c>
      <c r="G1755" t="s">
        <v>10</v>
      </c>
      <c r="H1755">
        <v>2023</v>
      </c>
    </row>
    <row r="1756" spans="1:8" x14ac:dyDescent="0.2">
      <c r="A1756">
        <v>216218</v>
      </c>
      <c r="B1756">
        <v>3367909</v>
      </c>
      <c r="C1756" t="str">
        <f t="shared" si="27"/>
        <v>3. $50K-250K</v>
      </c>
      <c r="D1756" t="s">
        <v>1378</v>
      </c>
      <c r="E1756" t="s">
        <v>59</v>
      </c>
      <c r="F1756" t="s">
        <v>670</v>
      </c>
      <c r="G1756" t="s">
        <v>59</v>
      </c>
      <c r="H1756">
        <v>2023</v>
      </c>
    </row>
    <row r="1757" spans="1:8" x14ac:dyDescent="0.2">
      <c r="A1757">
        <v>216240</v>
      </c>
      <c r="B1757">
        <v>2300000</v>
      </c>
      <c r="C1757" t="str">
        <f t="shared" si="27"/>
        <v>5. $1M+</v>
      </c>
      <c r="D1757" t="s">
        <v>863</v>
      </c>
      <c r="E1757" t="s">
        <v>237</v>
      </c>
      <c r="F1757" t="s">
        <v>670</v>
      </c>
      <c r="G1757" t="s">
        <v>59</v>
      </c>
      <c r="H1757">
        <v>2023</v>
      </c>
    </row>
    <row r="1758" spans="1:8" x14ac:dyDescent="0.2">
      <c r="A1758">
        <v>216242</v>
      </c>
      <c r="B1758">
        <v>99441</v>
      </c>
      <c r="C1758" t="str">
        <f t="shared" si="27"/>
        <v>5. $1M+</v>
      </c>
      <c r="D1758" t="s">
        <v>1044</v>
      </c>
      <c r="E1758" t="s">
        <v>42</v>
      </c>
      <c r="F1758" t="s">
        <v>670</v>
      </c>
      <c r="G1758" t="s">
        <v>59</v>
      </c>
      <c r="H1758">
        <v>2023</v>
      </c>
    </row>
    <row r="1759" spans="1:8" x14ac:dyDescent="0.2">
      <c r="A1759">
        <v>216244</v>
      </c>
      <c r="B1759">
        <v>1000000</v>
      </c>
      <c r="C1759" t="str">
        <f t="shared" si="27"/>
        <v>3. $50K-250K</v>
      </c>
      <c r="D1759" t="s">
        <v>694</v>
      </c>
      <c r="E1759" t="s">
        <v>42</v>
      </c>
      <c r="F1759" t="s">
        <v>670</v>
      </c>
      <c r="G1759" t="s">
        <v>44</v>
      </c>
      <c r="H1759">
        <v>2023</v>
      </c>
    </row>
    <row r="1760" spans="1:8" x14ac:dyDescent="0.2">
      <c r="A1760">
        <v>216245</v>
      </c>
      <c r="B1760">
        <v>1143925</v>
      </c>
      <c r="C1760" t="str">
        <f t="shared" si="27"/>
        <v>5. $1M+</v>
      </c>
      <c r="D1760" t="s">
        <v>839</v>
      </c>
      <c r="E1760" t="s">
        <v>42</v>
      </c>
      <c r="F1760" t="s">
        <v>670</v>
      </c>
      <c r="G1760" t="s">
        <v>44</v>
      </c>
      <c r="H1760">
        <v>2023</v>
      </c>
    </row>
    <row r="1761" spans="1:8" x14ac:dyDescent="0.2">
      <c r="A1761">
        <v>216246</v>
      </c>
      <c r="B1761">
        <v>1000000</v>
      </c>
      <c r="C1761" t="str">
        <f t="shared" si="27"/>
        <v>5. $1M+</v>
      </c>
      <c r="D1761" t="s">
        <v>985</v>
      </c>
      <c r="E1761" t="s">
        <v>42</v>
      </c>
      <c r="F1761" t="s">
        <v>670</v>
      </c>
      <c r="G1761" t="s">
        <v>44</v>
      </c>
      <c r="H1761">
        <v>2023</v>
      </c>
    </row>
    <row r="1762" spans="1:8" x14ac:dyDescent="0.2">
      <c r="A1762">
        <v>216247</v>
      </c>
      <c r="B1762">
        <v>1000000</v>
      </c>
      <c r="C1762" t="str">
        <f t="shared" si="27"/>
        <v>5. $1M+</v>
      </c>
      <c r="D1762" t="s">
        <v>962</v>
      </c>
      <c r="E1762" t="s">
        <v>42</v>
      </c>
      <c r="F1762" t="s">
        <v>670</v>
      </c>
      <c r="G1762" t="s">
        <v>44</v>
      </c>
      <c r="H1762">
        <v>2023</v>
      </c>
    </row>
    <row r="1763" spans="1:8" x14ac:dyDescent="0.2">
      <c r="A1763">
        <v>216248</v>
      </c>
      <c r="B1763">
        <v>1000000</v>
      </c>
      <c r="C1763" t="str">
        <f t="shared" si="27"/>
        <v>5. $1M+</v>
      </c>
      <c r="D1763" t="s">
        <v>694</v>
      </c>
      <c r="E1763" t="s">
        <v>42</v>
      </c>
      <c r="F1763" t="s">
        <v>670</v>
      </c>
      <c r="G1763" t="s">
        <v>44</v>
      </c>
      <c r="H1763">
        <v>2023</v>
      </c>
    </row>
    <row r="1764" spans="1:8" x14ac:dyDescent="0.2">
      <c r="A1764">
        <v>216249</v>
      </c>
      <c r="B1764">
        <v>1000000</v>
      </c>
      <c r="C1764" t="str">
        <f t="shared" si="27"/>
        <v>5. $1M+</v>
      </c>
      <c r="D1764" t="s">
        <v>805</v>
      </c>
      <c r="E1764" t="s">
        <v>42</v>
      </c>
      <c r="F1764" t="s">
        <v>670</v>
      </c>
      <c r="G1764" t="s">
        <v>44</v>
      </c>
      <c r="H1764">
        <v>2023</v>
      </c>
    </row>
    <row r="1765" spans="1:8" x14ac:dyDescent="0.2">
      <c r="A1765">
        <v>216250</v>
      </c>
      <c r="B1765">
        <v>1000000</v>
      </c>
      <c r="C1765" t="str">
        <f t="shared" si="27"/>
        <v>5. $1M+</v>
      </c>
      <c r="D1765" t="s">
        <v>1084</v>
      </c>
      <c r="E1765" t="s">
        <v>42</v>
      </c>
      <c r="F1765" t="s">
        <v>670</v>
      </c>
      <c r="G1765" t="s">
        <v>44</v>
      </c>
      <c r="H1765">
        <v>2023</v>
      </c>
    </row>
    <row r="1766" spans="1:8" x14ac:dyDescent="0.2">
      <c r="A1766">
        <v>216251</v>
      </c>
      <c r="B1766">
        <v>1000000</v>
      </c>
      <c r="C1766" t="str">
        <f t="shared" si="27"/>
        <v>5. $1M+</v>
      </c>
      <c r="D1766" t="s">
        <v>838</v>
      </c>
      <c r="E1766" t="s">
        <v>42</v>
      </c>
      <c r="F1766" t="s">
        <v>670</v>
      </c>
      <c r="G1766" t="s">
        <v>44</v>
      </c>
      <c r="H1766">
        <v>2023</v>
      </c>
    </row>
    <row r="1767" spans="1:8" x14ac:dyDescent="0.2">
      <c r="A1767">
        <v>216252</v>
      </c>
      <c r="B1767">
        <v>123000</v>
      </c>
      <c r="C1767" t="str">
        <f t="shared" si="27"/>
        <v>5. $1M+</v>
      </c>
      <c r="D1767" t="s">
        <v>669</v>
      </c>
      <c r="E1767" t="s">
        <v>42</v>
      </c>
      <c r="F1767" t="s">
        <v>670</v>
      </c>
      <c r="G1767" t="s">
        <v>59</v>
      </c>
      <c r="H1767">
        <v>2023</v>
      </c>
    </row>
    <row r="1768" spans="1:8" x14ac:dyDescent="0.2">
      <c r="A1768">
        <v>216253</v>
      </c>
      <c r="B1768">
        <v>1000000</v>
      </c>
      <c r="C1768" t="str">
        <f t="shared" si="27"/>
        <v>3. $50K-250K</v>
      </c>
      <c r="D1768" t="s">
        <v>839</v>
      </c>
      <c r="E1768" t="s">
        <v>42</v>
      </c>
      <c r="F1768" t="s">
        <v>670</v>
      </c>
      <c r="G1768" t="s">
        <v>44</v>
      </c>
      <c r="H1768">
        <v>2023</v>
      </c>
    </row>
    <row r="1769" spans="1:8" x14ac:dyDescent="0.2">
      <c r="A1769">
        <v>216257</v>
      </c>
      <c r="B1769">
        <v>1500000</v>
      </c>
      <c r="C1769" t="str">
        <f t="shared" si="27"/>
        <v>5. $1M+</v>
      </c>
      <c r="D1769" t="s">
        <v>749</v>
      </c>
      <c r="E1769" t="s">
        <v>42</v>
      </c>
      <c r="F1769" t="s">
        <v>670</v>
      </c>
      <c r="G1769" t="s">
        <v>44</v>
      </c>
      <c r="H1769">
        <v>2023</v>
      </c>
    </row>
    <row r="1770" spans="1:8" x14ac:dyDescent="0.2">
      <c r="A1770">
        <v>216284</v>
      </c>
      <c r="B1770">
        <v>1222445.7</v>
      </c>
      <c r="C1770" t="str">
        <f t="shared" si="27"/>
        <v>5. $1M+</v>
      </c>
      <c r="D1770" t="s">
        <v>1024</v>
      </c>
      <c r="E1770" t="s">
        <v>42</v>
      </c>
      <c r="F1770" t="s">
        <v>670</v>
      </c>
      <c r="G1770" t="s">
        <v>59</v>
      </c>
      <c r="H1770">
        <v>2023</v>
      </c>
    </row>
    <row r="1771" spans="1:8" x14ac:dyDescent="0.2">
      <c r="A1771">
        <v>216285</v>
      </c>
      <c r="B1771">
        <v>304495.09999999998</v>
      </c>
      <c r="C1771" t="str">
        <f t="shared" si="27"/>
        <v>5. $1M+</v>
      </c>
      <c r="D1771" t="s">
        <v>822</v>
      </c>
      <c r="E1771" t="s">
        <v>237</v>
      </c>
      <c r="F1771" t="s">
        <v>670</v>
      </c>
      <c r="G1771" t="s">
        <v>59</v>
      </c>
      <c r="H1771">
        <v>2023</v>
      </c>
    </row>
    <row r="1772" spans="1:8" x14ac:dyDescent="0.2">
      <c r="A1772">
        <v>216349</v>
      </c>
      <c r="B1772">
        <v>190012.1</v>
      </c>
      <c r="C1772" t="str">
        <f t="shared" si="27"/>
        <v>4. $250K-1M</v>
      </c>
      <c r="D1772" t="s">
        <v>905</v>
      </c>
      <c r="E1772" t="s">
        <v>891</v>
      </c>
      <c r="F1772" t="s">
        <v>670</v>
      </c>
      <c r="G1772" t="s">
        <v>59</v>
      </c>
      <c r="H1772">
        <v>2023</v>
      </c>
    </row>
    <row r="1773" spans="1:8" x14ac:dyDescent="0.2">
      <c r="A1773">
        <v>216351</v>
      </c>
      <c r="B1773">
        <v>183581</v>
      </c>
      <c r="C1773" t="str">
        <f t="shared" si="27"/>
        <v>3. $50K-250K</v>
      </c>
      <c r="D1773" t="s">
        <v>804</v>
      </c>
      <c r="E1773" t="s">
        <v>432</v>
      </c>
      <c r="F1773" t="s">
        <v>670</v>
      </c>
      <c r="G1773" t="s">
        <v>59</v>
      </c>
      <c r="H1773">
        <v>2023</v>
      </c>
    </row>
    <row r="1774" spans="1:8" x14ac:dyDescent="0.2">
      <c r="A1774">
        <v>216352</v>
      </c>
      <c r="B1774">
        <v>169940.9</v>
      </c>
      <c r="C1774" t="str">
        <f t="shared" si="27"/>
        <v>3. $50K-250K</v>
      </c>
      <c r="D1774" t="s">
        <v>992</v>
      </c>
      <c r="E1774" t="s">
        <v>432</v>
      </c>
      <c r="F1774" t="s">
        <v>670</v>
      </c>
      <c r="G1774" t="s">
        <v>59</v>
      </c>
      <c r="H1774">
        <v>2023</v>
      </c>
    </row>
    <row r="1775" spans="1:8" x14ac:dyDescent="0.2">
      <c r="A1775">
        <v>216472</v>
      </c>
      <c r="B1775">
        <v>200000</v>
      </c>
      <c r="C1775" t="str">
        <f t="shared" si="27"/>
        <v>3. $50K-250K</v>
      </c>
      <c r="D1775" t="s">
        <v>821</v>
      </c>
      <c r="E1775" t="s">
        <v>42</v>
      </c>
      <c r="F1775" t="s">
        <v>670</v>
      </c>
      <c r="G1775" t="s">
        <v>59</v>
      </c>
      <c r="H1775">
        <v>2023</v>
      </c>
    </row>
    <row r="1776" spans="1:8" x14ac:dyDescent="0.2">
      <c r="A1776">
        <v>216473</v>
      </c>
      <c r="B1776">
        <v>200000</v>
      </c>
      <c r="C1776" t="str">
        <f t="shared" si="27"/>
        <v>3. $50K-250K</v>
      </c>
      <c r="D1776" t="s">
        <v>1062</v>
      </c>
      <c r="E1776" t="s">
        <v>42</v>
      </c>
      <c r="F1776" t="s">
        <v>670</v>
      </c>
      <c r="G1776" t="s">
        <v>59</v>
      </c>
      <c r="H1776">
        <v>2023</v>
      </c>
    </row>
    <row r="1777" spans="1:8" x14ac:dyDescent="0.2">
      <c r="A1777">
        <v>216474</v>
      </c>
      <c r="B1777">
        <v>1557467</v>
      </c>
      <c r="C1777" t="str">
        <f t="shared" si="27"/>
        <v>3. $50K-250K</v>
      </c>
      <c r="D1777" t="s">
        <v>849</v>
      </c>
      <c r="E1777" t="s">
        <v>42</v>
      </c>
      <c r="F1777" t="s">
        <v>670</v>
      </c>
      <c r="G1777" t="s">
        <v>59</v>
      </c>
      <c r="H1777">
        <v>2023</v>
      </c>
    </row>
    <row r="1778" spans="1:8" x14ac:dyDescent="0.2">
      <c r="A1778">
        <v>216475</v>
      </c>
      <c r="B1778">
        <v>350000</v>
      </c>
      <c r="C1778" t="str">
        <f t="shared" si="27"/>
        <v>5. $1M+</v>
      </c>
      <c r="D1778" t="s">
        <v>794</v>
      </c>
      <c r="E1778" t="s">
        <v>42</v>
      </c>
      <c r="F1778" t="s">
        <v>670</v>
      </c>
      <c r="G1778" t="s">
        <v>59</v>
      </c>
      <c r="H1778">
        <v>2023</v>
      </c>
    </row>
    <row r="1779" spans="1:8" x14ac:dyDescent="0.2">
      <c r="A1779">
        <v>216476</v>
      </c>
      <c r="B1779">
        <v>240000</v>
      </c>
      <c r="C1779" t="str">
        <f t="shared" si="27"/>
        <v>4. $250K-1M</v>
      </c>
      <c r="D1779" t="s">
        <v>846</v>
      </c>
      <c r="E1779" t="s">
        <v>42</v>
      </c>
      <c r="F1779" t="s">
        <v>670</v>
      </c>
      <c r="G1779" t="s">
        <v>59</v>
      </c>
      <c r="H1779">
        <v>2023</v>
      </c>
    </row>
    <row r="1780" spans="1:8" x14ac:dyDescent="0.2">
      <c r="A1780">
        <v>216477</v>
      </c>
      <c r="B1780">
        <v>240000</v>
      </c>
      <c r="C1780" t="str">
        <f t="shared" si="27"/>
        <v>3. $50K-250K</v>
      </c>
      <c r="D1780" t="s">
        <v>1025</v>
      </c>
      <c r="E1780" t="s">
        <v>42</v>
      </c>
      <c r="F1780" t="s">
        <v>670</v>
      </c>
      <c r="G1780" t="s">
        <v>59</v>
      </c>
      <c r="H1780">
        <v>2023</v>
      </c>
    </row>
    <row r="1781" spans="1:8" x14ac:dyDescent="0.2">
      <c r="A1781">
        <v>216478</v>
      </c>
      <c r="B1781">
        <v>111200.299999999</v>
      </c>
      <c r="C1781" t="str">
        <f t="shared" si="27"/>
        <v>3. $50K-250K</v>
      </c>
      <c r="D1781" t="s">
        <v>864</v>
      </c>
      <c r="E1781" t="s">
        <v>42</v>
      </c>
      <c r="F1781" t="s">
        <v>670</v>
      </c>
      <c r="G1781" t="s">
        <v>59</v>
      </c>
      <c r="H1781">
        <v>2023</v>
      </c>
    </row>
    <row r="1782" spans="1:8" x14ac:dyDescent="0.2">
      <c r="A1782">
        <v>216489</v>
      </c>
      <c r="B1782">
        <v>479778.1</v>
      </c>
      <c r="C1782" t="str">
        <f t="shared" si="27"/>
        <v>3. $50K-250K</v>
      </c>
      <c r="D1782" t="s">
        <v>683</v>
      </c>
      <c r="E1782" t="s">
        <v>42</v>
      </c>
      <c r="F1782" t="s">
        <v>670</v>
      </c>
      <c r="G1782" t="s">
        <v>59</v>
      </c>
      <c r="H1782">
        <v>2023</v>
      </c>
    </row>
    <row r="1783" spans="1:8" x14ac:dyDescent="0.2">
      <c r="A1783">
        <v>216490</v>
      </c>
      <c r="B1783">
        <v>166667.70000000001</v>
      </c>
      <c r="C1783" t="str">
        <f t="shared" si="27"/>
        <v>4. $250K-1M</v>
      </c>
      <c r="D1783" t="s">
        <v>682</v>
      </c>
      <c r="E1783" t="s">
        <v>42</v>
      </c>
      <c r="F1783" t="s">
        <v>670</v>
      </c>
      <c r="G1783" t="s">
        <v>59</v>
      </c>
      <c r="H1783">
        <v>2023</v>
      </c>
    </row>
    <row r="1784" spans="1:8" x14ac:dyDescent="0.2">
      <c r="A1784">
        <v>216491</v>
      </c>
      <c r="B1784">
        <v>33112.300000000003</v>
      </c>
      <c r="C1784" t="str">
        <f t="shared" si="27"/>
        <v>3. $50K-250K</v>
      </c>
      <c r="D1784" t="s">
        <v>1087</v>
      </c>
      <c r="E1784" t="s">
        <v>42</v>
      </c>
      <c r="F1784" t="s">
        <v>670</v>
      </c>
      <c r="G1784" t="s">
        <v>59</v>
      </c>
      <c r="H1784">
        <v>2023</v>
      </c>
    </row>
    <row r="1785" spans="1:8" x14ac:dyDescent="0.2">
      <c r="A1785">
        <v>216492</v>
      </c>
      <c r="B1785">
        <v>1650000</v>
      </c>
      <c r="C1785" t="str">
        <f t="shared" si="27"/>
        <v>2. $10K-50K</v>
      </c>
      <c r="D1785" t="s">
        <v>1034</v>
      </c>
      <c r="E1785" t="s">
        <v>42</v>
      </c>
      <c r="F1785" t="s">
        <v>670</v>
      </c>
      <c r="G1785" t="s">
        <v>59</v>
      </c>
      <c r="H1785">
        <v>2023</v>
      </c>
    </row>
    <row r="1786" spans="1:8" x14ac:dyDescent="0.2">
      <c r="A1786">
        <v>216493</v>
      </c>
      <c r="B1786">
        <v>200000</v>
      </c>
      <c r="C1786" t="str">
        <f t="shared" si="27"/>
        <v>5. $1M+</v>
      </c>
      <c r="D1786" t="s">
        <v>929</v>
      </c>
      <c r="E1786" t="s">
        <v>42</v>
      </c>
      <c r="F1786" t="s">
        <v>670</v>
      </c>
      <c r="G1786" t="s">
        <v>59</v>
      </c>
      <c r="H1786">
        <v>2023</v>
      </c>
    </row>
    <row r="1787" spans="1:8" x14ac:dyDescent="0.2">
      <c r="A1787">
        <v>216494</v>
      </c>
      <c r="B1787">
        <v>99800</v>
      </c>
      <c r="C1787" t="str">
        <f t="shared" si="27"/>
        <v>3. $50K-250K</v>
      </c>
      <c r="D1787" t="s">
        <v>673</v>
      </c>
      <c r="E1787" t="s">
        <v>42</v>
      </c>
      <c r="F1787" t="s">
        <v>670</v>
      </c>
      <c r="G1787" t="s">
        <v>59</v>
      </c>
      <c r="H1787">
        <v>2023</v>
      </c>
    </row>
    <row r="1788" spans="1:8" x14ac:dyDescent="0.2">
      <c r="A1788">
        <v>216525</v>
      </c>
      <c r="B1788">
        <v>119965</v>
      </c>
      <c r="C1788" t="str">
        <f t="shared" si="27"/>
        <v>3. $50K-250K</v>
      </c>
      <c r="D1788" t="s">
        <v>909</v>
      </c>
      <c r="E1788" t="s">
        <v>237</v>
      </c>
      <c r="F1788" t="s">
        <v>670</v>
      </c>
      <c r="G1788" t="s">
        <v>59</v>
      </c>
      <c r="H1788">
        <v>2023</v>
      </c>
    </row>
    <row r="1789" spans="1:8" x14ac:dyDescent="0.2">
      <c r="A1789">
        <v>216526</v>
      </c>
      <c r="B1789">
        <v>357000</v>
      </c>
      <c r="C1789" t="str">
        <f t="shared" si="27"/>
        <v>3. $50K-250K</v>
      </c>
      <c r="D1789" t="s">
        <v>783</v>
      </c>
      <c r="E1789" t="s">
        <v>237</v>
      </c>
      <c r="F1789" t="s">
        <v>670</v>
      </c>
      <c r="G1789" t="s">
        <v>59</v>
      </c>
      <c r="H1789">
        <v>2023</v>
      </c>
    </row>
    <row r="1790" spans="1:8" x14ac:dyDescent="0.2">
      <c r="A1790">
        <v>216528</v>
      </c>
      <c r="B1790">
        <v>362000</v>
      </c>
      <c r="C1790" t="str">
        <f t="shared" si="27"/>
        <v>4. $250K-1M</v>
      </c>
      <c r="D1790" t="s">
        <v>783</v>
      </c>
      <c r="E1790" t="s">
        <v>237</v>
      </c>
      <c r="F1790" t="s">
        <v>670</v>
      </c>
      <c r="G1790" t="s">
        <v>59</v>
      </c>
      <c r="H1790">
        <v>2023</v>
      </c>
    </row>
    <row r="1791" spans="1:8" x14ac:dyDescent="0.2">
      <c r="A1791">
        <v>216529</v>
      </c>
      <c r="B1791">
        <v>357000</v>
      </c>
      <c r="C1791" t="str">
        <f t="shared" si="27"/>
        <v>4. $250K-1M</v>
      </c>
      <c r="D1791" t="s">
        <v>805</v>
      </c>
      <c r="E1791" t="s">
        <v>237</v>
      </c>
      <c r="F1791" t="s">
        <v>670</v>
      </c>
      <c r="G1791" t="s">
        <v>59</v>
      </c>
      <c r="H1791">
        <v>2023</v>
      </c>
    </row>
    <row r="1792" spans="1:8" x14ac:dyDescent="0.2">
      <c r="A1792">
        <v>216530</v>
      </c>
      <c r="B1792">
        <v>357000</v>
      </c>
      <c r="C1792" t="str">
        <f t="shared" si="27"/>
        <v>4. $250K-1M</v>
      </c>
      <c r="D1792" t="s">
        <v>804</v>
      </c>
      <c r="E1792" t="s">
        <v>237</v>
      </c>
      <c r="F1792" t="s">
        <v>670</v>
      </c>
      <c r="G1792" t="s">
        <v>59</v>
      </c>
      <c r="H1792">
        <v>2023</v>
      </c>
    </row>
    <row r="1793" spans="1:8" x14ac:dyDescent="0.2">
      <c r="A1793">
        <v>216532</v>
      </c>
      <c r="B1793">
        <v>357000</v>
      </c>
      <c r="C1793" t="str">
        <f t="shared" si="27"/>
        <v>4. $250K-1M</v>
      </c>
      <c r="D1793" t="s">
        <v>803</v>
      </c>
      <c r="E1793" t="s">
        <v>237</v>
      </c>
      <c r="F1793" t="s">
        <v>670</v>
      </c>
      <c r="G1793" t="s">
        <v>59</v>
      </c>
      <c r="H1793">
        <v>2023</v>
      </c>
    </row>
    <row r="1794" spans="1:8" x14ac:dyDescent="0.2">
      <c r="A1794">
        <v>216533</v>
      </c>
      <c r="B1794">
        <v>357000</v>
      </c>
      <c r="C1794" t="str">
        <f t="shared" si="27"/>
        <v>4. $250K-1M</v>
      </c>
      <c r="D1794" t="s">
        <v>708</v>
      </c>
      <c r="E1794" t="s">
        <v>237</v>
      </c>
      <c r="F1794" t="s">
        <v>670</v>
      </c>
      <c r="G1794" t="s">
        <v>59</v>
      </c>
      <c r="H1794">
        <v>2023</v>
      </c>
    </row>
    <row r="1795" spans="1:8" x14ac:dyDescent="0.2">
      <c r="A1795">
        <v>216534</v>
      </c>
      <c r="B1795">
        <v>348632</v>
      </c>
      <c r="C1795" t="str">
        <f t="shared" ref="C1795:C1858" si="28">IF(B1794&lt;10000,"1. Under $10K",IF(B1794&lt;50000,"2. $10K-50K",IF(B1794&lt;250000,"3. $50K-250K",IF(B1794&lt;1000000,"4. $250K-1M","5. $1M+"))))</f>
        <v>4. $250K-1M</v>
      </c>
      <c r="D1795" t="s">
        <v>917</v>
      </c>
      <c r="E1795" t="s">
        <v>237</v>
      </c>
      <c r="F1795" t="s">
        <v>670</v>
      </c>
      <c r="G1795" t="s">
        <v>59</v>
      </c>
      <c r="H1795">
        <v>2023</v>
      </c>
    </row>
    <row r="1796" spans="1:8" x14ac:dyDescent="0.2">
      <c r="A1796">
        <v>216535</v>
      </c>
      <c r="B1796">
        <v>52800</v>
      </c>
      <c r="C1796" t="str">
        <f t="shared" si="28"/>
        <v>4. $250K-1M</v>
      </c>
      <c r="D1796" t="s">
        <v>907</v>
      </c>
      <c r="E1796" t="s">
        <v>237</v>
      </c>
      <c r="F1796" t="s">
        <v>670</v>
      </c>
      <c r="G1796" t="s">
        <v>59</v>
      </c>
      <c r="H1796">
        <v>2023</v>
      </c>
    </row>
    <row r="1797" spans="1:8" x14ac:dyDescent="0.2">
      <c r="A1797">
        <v>216536</v>
      </c>
      <c r="B1797">
        <v>52800</v>
      </c>
      <c r="C1797" t="str">
        <f t="shared" si="28"/>
        <v>3. $50K-250K</v>
      </c>
      <c r="D1797" t="s">
        <v>869</v>
      </c>
      <c r="E1797" t="s">
        <v>237</v>
      </c>
      <c r="F1797" t="s">
        <v>670</v>
      </c>
      <c r="G1797" t="s">
        <v>59</v>
      </c>
      <c r="H1797">
        <v>2023</v>
      </c>
    </row>
    <row r="1798" spans="1:8" x14ac:dyDescent="0.2">
      <c r="A1798">
        <v>216537</v>
      </c>
      <c r="B1798">
        <v>69000</v>
      </c>
      <c r="C1798" t="str">
        <f t="shared" si="28"/>
        <v>3. $50K-250K</v>
      </c>
      <c r="D1798" t="s">
        <v>802</v>
      </c>
      <c r="E1798" t="s">
        <v>237</v>
      </c>
      <c r="F1798" t="s">
        <v>670</v>
      </c>
      <c r="G1798" t="s">
        <v>59</v>
      </c>
      <c r="H1798">
        <v>2023</v>
      </c>
    </row>
    <row r="1799" spans="1:8" x14ac:dyDescent="0.2">
      <c r="A1799">
        <v>216538</v>
      </c>
      <c r="B1799">
        <v>74000</v>
      </c>
      <c r="C1799" t="str">
        <f t="shared" si="28"/>
        <v>3. $50K-250K</v>
      </c>
      <c r="D1799" t="s">
        <v>1175</v>
      </c>
      <c r="E1799" t="s">
        <v>237</v>
      </c>
      <c r="F1799" t="s">
        <v>670</v>
      </c>
      <c r="G1799" t="s">
        <v>59</v>
      </c>
      <c r="H1799">
        <v>2023</v>
      </c>
    </row>
    <row r="1800" spans="1:8" x14ac:dyDescent="0.2">
      <c r="A1800">
        <v>216539</v>
      </c>
      <c r="B1800">
        <v>69000</v>
      </c>
      <c r="C1800" t="str">
        <f t="shared" si="28"/>
        <v>3. $50K-250K</v>
      </c>
      <c r="D1800" t="s">
        <v>762</v>
      </c>
      <c r="E1800" t="s">
        <v>237</v>
      </c>
      <c r="F1800" t="s">
        <v>670</v>
      </c>
      <c r="G1800" t="s">
        <v>59</v>
      </c>
      <c r="H1800">
        <v>2023</v>
      </c>
    </row>
    <row r="1801" spans="1:8" x14ac:dyDescent="0.2">
      <c r="A1801">
        <v>216540</v>
      </c>
      <c r="B1801">
        <v>357000</v>
      </c>
      <c r="C1801" t="str">
        <f t="shared" si="28"/>
        <v>3. $50K-250K</v>
      </c>
      <c r="D1801" t="s">
        <v>548</v>
      </c>
      <c r="E1801" t="s">
        <v>237</v>
      </c>
      <c r="F1801" t="s">
        <v>670</v>
      </c>
      <c r="G1801" t="s">
        <v>59</v>
      </c>
      <c r="H1801">
        <v>2023</v>
      </c>
    </row>
    <row r="1802" spans="1:8" x14ac:dyDescent="0.2">
      <c r="A1802">
        <v>216543</v>
      </c>
      <c r="B1802">
        <v>52800</v>
      </c>
      <c r="C1802" t="str">
        <f t="shared" si="28"/>
        <v>4. $250K-1M</v>
      </c>
      <c r="D1802" t="s">
        <v>871</v>
      </c>
      <c r="E1802" t="s">
        <v>237</v>
      </c>
      <c r="F1802" t="s">
        <v>670</v>
      </c>
      <c r="G1802" t="s">
        <v>59</v>
      </c>
      <c r="H1802">
        <v>2023</v>
      </c>
    </row>
    <row r="1803" spans="1:8" x14ac:dyDescent="0.2">
      <c r="A1803">
        <v>216544</v>
      </c>
      <c r="B1803">
        <v>52800</v>
      </c>
      <c r="C1803" t="str">
        <f t="shared" si="28"/>
        <v>3. $50K-250K</v>
      </c>
      <c r="D1803" t="s">
        <v>801</v>
      </c>
      <c r="E1803" t="s">
        <v>237</v>
      </c>
      <c r="F1803" t="s">
        <v>670</v>
      </c>
      <c r="G1803" t="s">
        <v>59</v>
      </c>
      <c r="H1803">
        <v>2023</v>
      </c>
    </row>
    <row r="1804" spans="1:8" x14ac:dyDescent="0.2">
      <c r="A1804">
        <v>216545</v>
      </c>
      <c r="B1804">
        <v>52800</v>
      </c>
      <c r="C1804" t="str">
        <f t="shared" si="28"/>
        <v>3. $50K-250K</v>
      </c>
      <c r="D1804" t="s">
        <v>916</v>
      </c>
      <c r="E1804" t="s">
        <v>237</v>
      </c>
      <c r="F1804" t="s">
        <v>670</v>
      </c>
      <c r="G1804" t="s">
        <v>59</v>
      </c>
      <c r="H1804">
        <v>2023</v>
      </c>
    </row>
    <row r="1805" spans="1:8" x14ac:dyDescent="0.2">
      <c r="A1805">
        <v>216565</v>
      </c>
      <c r="B1805">
        <v>22463.599999999999</v>
      </c>
      <c r="C1805" t="str">
        <f t="shared" si="28"/>
        <v>3. $50K-250K</v>
      </c>
      <c r="D1805" t="s">
        <v>692</v>
      </c>
      <c r="E1805" t="s">
        <v>237</v>
      </c>
      <c r="F1805" t="s">
        <v>670</v>
      </c>
      <c r="G1805" t="s">
        <v>59</v>
      </c>
      <c r="H1805">
        <v>2023</v>
      </c>
    </row>
    <row r="1806" spans="1:8" x14ac:dyDescent="0.2">
      <c r="A1806">
        <v>216566</v>
      </c>
      <c r="B1806">
        <v>12012</v>
      </c>
      <c r="C1806" t="str">
        <f t="shared" si="28"/>
        <v>2. $10K-50K</v>
      </c>
      <c r="D1806" t="s">
        <v>707</v>
      </c>
      <c r="E1806" t="s">
        <v>237</v>
      </c>
      <c r="F1806" t="s">
        <v>670</v>
      </c>
      <c r="G1806" t="s">
        <v>59</v>
      </c>
      <c r="H1806">
        <v>2023</v>
      </c>
    </row>
    <row r="1807" spans="1:8" x14ac:dyDescent="0.2">
      <c r="A1807">
        <v>216567</v>
      </c>
      <c r="B1807">
        <v>357000</v>
      </c>
      <c r="C1807" t="str">
        <f t="shared" si="28"/>
        <v>2. $10K-50K</v>
      </c>
      <c r="D1807" t="s">
        <v>799</v>
      </c>
      <c r="E1807" t="s">
        <v>237</v>
      </c>
      <c r="F1807" t="s">
        <v>670</v>
      </c>
      <c r="G1807" t="s">
        <v>59</v>
      </c>
      <c r="H1807">
        <v>2023</v>
      </c>
    </row>
    <row r="1808" spans="1:8" x14ac:dyDescent="0.2">
      <c r="A1808">
        <v>216568</v>
      </c>
      <c r="B1808">
        <v>14865.2</v>
      </c>
      <c r="C1808" t="str">
        <f t="shared" si="28"/>
        <v>4. $250K-1M</v>
      </c>
      <c r="D1808" t="s">
        <v>693</v>
      </c>
      <c r="E1808" t="s">
        <v>237</v>
      </c>
      <c r="F1808" t="s">
        <v>670</v>
      </c>
      <c r="G1808" t="s">
        <v>59</v>
      </c>
      <c r="H1808">
        <v>2023</v>
      </c>
    </row>
    <row r="1809" spans="1:8" x14ac:dyDescent="0.2">
      <c r="A1809">
        <v>216569</v>
      </c>
      <c r="B1809">
        <v>14039.3</v>
      </c>
      <c r="C1809" t="str">
        <f t="shared" si="28"/>
        <v>2. $10K-50K</v>
      </c>
      <c r="D1809" t="s">
        <v>700</v>
      </c>
      <c r="E1809" t="s">
        <v>237</v>
      </c>
      <c r="F1809" t="s">
        <v>670</v>
      </c>
      <c r="G1809" t="s">
        <v>59</v>
      </c>
      <c r="H1809">
        <v>2023</v>
      </c>
    </row>
    <row r="1810" spans="1:8" x14ac:dyDescent="0.2">
      <c r="A1810">
        <v>216631</v>
      </c>
      <c r="B1810">
        <v>99115.5</v>
      </c>
      <c r="C1810" t="str">
        <f t="shared" si="28"/>
        <v>2. $10K-50K</v>
      </c>
      <c r="D1810" t="s">
        <v>837</v>
      </c>
      <c r="E1810" t="s">
        <v>237</v>
      </c>
      <c r="F1810" t="s">
        <v>670</v>
      </c>
      <c r="G1810" t="s">
        <v>59</v>
      </c>
      <c r="H1810">
        <v>2023</v>
      </c>
    </row>
    <row r="1811" spans="1:8" x14ac:dyDescent="0.2">
      <c r="A1811">
        <v>216632</v>
      </c>
      <c r="B1811">
        <v>27577</v>
      </c>
      <c r="C1811" t="str">
        <f t="shared" si="28"/>
        <v>3. $50K-250K</v>
      </c>
      <c r="D1811" t="s">
        <v>1041</v>
      </c>
      <c r="E1811" t="s">
        <v>237</v>
      </c>
      <c r="F1811" t="s">
        <v>670</v>
      </c>
      <c r="G1811" t="s">
        <v>59</v>
      </c>
      <c r="H1811">
        <v>2023</v>
      </c>
    </row>
    <row r="1812" spans="1:8" x14ac:dyDescent="0.2">
      <c r="A1812">
        <v>216634</v>
      </c>
      <c r="B1812">
        <v>37822</v>
      </c>
      <c r="C1812" t="str">
        <f t="shared" si="28"/>
        <v>2. $10K-50K</v>
      </c>
      <c r="D1812" t="s">
        <v>1042</v>
      </c>
      <c r="E1812" t="s">
        <v>237</v>
      </c>
      <c r="F1812" t="s">
        <v>670</v>
      </c>
      <c r="G1812" t="s">
        <v>59</v>
      </c>
      <c r="H1812">
        <v>2023</v>
      </c>
    </row>
    <row r="1813" spans="1:8" x14ac:dyDescent="0.2">
      <c r="A1813">
        <v>216635</v>
      </c>
      <c r="B1813">
        <v>101599.5</v>
      </c>
      <c r="C1813" t="str">
        <f t="shared" si="28"/>
        <v>2. $10K-50K</v>
      </c>
      <c r="D1813" t="s">
        <v>1041</v>
      </c>
      <c r="E1813" t="s">
        <v>237</v>
      </c>
      <c r="F1813" t="s">
        <v>670</v>
      </c>
      <c r="G1813" t="s">
        <v>59</v>
      </c>
      <c r="H1813">
        <v>2023</v>
      </c>
    </row>
    <row r="1814" spans="1:8" x14ac:dyDescent="0.2">
      <c r="A1814">
        <v>216636</v>
      </c>
      <c r="B1814">
        <v>22884</v>
      </c>
      <c r="C1814" t="str">
        <f t="shared" si="28"/>
        <v>3. $50K-250K</v>
      </c>
      <c r="D1814" t="s">
        <v>1040</v>
      </c>
      <c r="E1814" t="s">
        <v>237</v>
      </c>
      <c r="F1814" t="s">
        <v>670</v>
      </c>
      <c r="G1814" t="s">
        <v>59</v>
      </c>
      <c r="H1814">
        <v>2023</v>
      </c>
    </row>
    <row r="1815" spans="1:8" x14ac:dyDescent="0.2">
      <c r="A1815">
        <v>216637</v>
      </c>
      <c r="B1815">
        <v>85941.7</v>
      </c>
      <c r="C1815" t="str">
        <f t="shared" si="28"/>
        <v>2. $10K-50K</v>
      </c>
      <c r="D1815" t="s">
        <v>1040</v>
      </c>
      <c r="E1815" t="s">
        <v>237</v>
      </c>
      <c r="F1815" t="s">
        <v>670</v>
      </c>
      <c r="G1815" t="s">
        <v>59</v>
      </c>
      <c r="H1815">
        <v>2023</v>
      </c>
    </row>
    <row r="1816" spans="1:8" x14ac:dyDescent="0.2">
      <c r="A1816">
        <v>216639</v>
      </c>
      <c r="B1816">
        <v>4861183.5999999996</v>
      </c>
      <c r="C1816" t="str">
        <f t="shared" si="28"/>
        <v>3. $50K-250K</v>
      </c>
      <c r="D1816" t="s">
        <v>1027</v>
      </c>
      <c r="E1816" t="s">
        <v>237</v>
      </c>
      <c r="F1816" t="s">
        <v>670</v>
      </c>
      <c r="G1816" t="s">
        <v>59</v>
      </c>
      <c r="H1816">
        <v>2023</v>
      </c>
    </row>
    <row r="1817" spans="1:8" x14ac:dyDescent="0.2">
      <c r="A1817">
        <v>216640</v>
      </c>
      <c r="B1817">
        <v>78404</v>
      </c>
      <c r="C1817" t="str">
        <f t="shared" si="28"/>
        <v>5. $1M+</v>
      </c>
      <c r="D1817" t="s">
        <v>889</v>
      </c>
      <c r="E1817" t="s">
        <v>237</v>
      </c>
      <c r="F1817" t="s">
        <v>670</v>
      </c>
      <c r="G1817" t="s">
        <v>59</v>
      </c>
      <c r="H1817">
        <v>2023</v>
      </c>
    </row>
    <row r="1818" spans="1:8" x14ac:dyDescent="0.2">
      <c r="A1818">
        <v>216641</v>
      </c>
      <c r="B1818">
        <v>1049854.3999999999</v>
      </c>
      <c r="C1818" t="str">
        <f t="shared" si="28"/>
        <v>3. $50K-250K</v>
      </c>
      <c r="D1818" t="s">
        <v>863</v>
      </c>
      <c r="E1818" t="s">
        <v>237</v>
      </c>
      <c r="F1818" t="s">
        <v>670</v>
      </c>
      <c r="G1818" t="s">
        <v>59</v>
      </c>
      <c r="H1818">
        <v>2023</v>
      </c>
    </row>
    <row r="1819" spans="1:8" x14ac:dyDescent="0.2">
      <c r="A1819">
        <v>216645</v>
      </c>
      <c r="B1819">
        <v>133108</v>
      </c>
      <c r="C1819" t="str">
        <f t="shared" si="28"/>
        <v>5. $1M+</v>
      </c>
      <c r="D1819" t="s">
        <v>1092</v>
      </c>
      <c r="E1819" t="s">
        <v>237</v>
      </c>
      <c r="F1819" t="s">
        <v>670</v>
      </c>
      <c r="G1819" t="s">
        <v>59</v>
      </c>
      <c r="H1819">
        <v>2023</v>
      </c>
    </row>
    <row r="1820" spans="1:8" x14ac:dyDescent="0.2">
      <c r="A1820">
        <v>216646</v>
      </c>
      <c r="B1820">
        <v>1467853.5</v>
      </c>
      <c r="C1820" t="str">
        <f t="shared" si="28"/>
        <v>3. $50K-250K</v>
      </c>
      <c r="D1820" t="s">
        <v>863</v>
      </c>
      <c r="E1820" t="s">
        <v>237</v>
      </c>
      <c r="F1820" t="s">
        <v>670</v>
      </c>
      <c r="G1820" t="s">
        <v>59</v>
      </c>
      <c r="H1820">
        <v>2023</v>
      </c>
    </row>
    <row r="1821" spans="1:8" x14ac:dyDescent="0.2">
      <c r="A1821">
        <v>216654</v>
      </c>
      <c r="B1821">
        <v>186956</v>
      </c>
      <c r="C1821" t="str">
        <f t="shared" si="28"/>
        <v>5. $1M+</v>
      </c>
      <c r="D1821" t="s">
        <v>889</v>
      </c>
      <c r="E1821" t="s">
        <v>237</v>
      </c>
      <c r="F1821" t="s">
        <v>670</v>
      </c>
      <c r="G1821" t="s">
        <v>59</v>
      </c>
      <c r="H1821">
        <v>2023</v>
      </c>
    </row>
    <row r="1822" spans="1:8" x14ac:dyDescent="0.2">
      <c r="A1822">
        <v>216655</v>
      </c>
      <c r="B1822">
        <v>52785</v>
      </c>
      <c r="C1822" t="str">
        <f t="shared" si="28"/>
        <v>3. $50K-250K</v>
      </c>
      <c r="D1822" t="s">
        <v>784</v>
      </c>
      <c r="E1822" t="s">
        <v>237</v>
      </c>
      <c r="F1822" t="s">
        <v>670</v>
      </c>
      <c r="G1822" t="s">
        <v>59</v>
      </c>
      <c r="H1822">
        <v>2023</v>
      </c>
    </row>
    <row r="1823" spans="1:8" x14ac:dyDescent="0.2">
      <c r="A1823">
        <v>216674</v>
      </c>
      <c r="B1823">
        <v>17000</v>
      </c>
      <c r="C1823" t="str">
        <f t="shared" si="28"/>
        <v>3. $50K-250K</v>
      </c>
      <c r="D1823" t="s">
        <v>1386</v>
      </c>
      <c r="E1823" t="s">
        <v>368</v>
      </c>
      <c r="F1823" t="s">
        <v>670</v>
      </c>
      <c r="G1823" t="s">
        <v>59</v>
      </c>
      <c r="H1823">
        <v>2023</v>
      </c>
    </row>
    <row r="1824" spans="1:8" x14ac:dyDescent="0.2">
      <c r="A1824">
        <v>216686</v>
      </c>
      <c r="B1824">
        <v>114750</v>
      </c>
      <c r="C1824" t="str">
        <f t="shared" si="28"/>
        <v>2. $10K-50K</v>
      </c>
      <c r="D1824" t="s">
        <v>1039</v>
      </c>
      <c r="E1824" t="s">
        <v>237</v>
      </c>
      <c r="F1824" t="s">
        <v>670</v>
      </c>
      <c r="G1824" t="s">
        <v>59</v>
      </c>
      <c r="H1824">
        <v>2023</v>
      </c>
    </row>
    <row r="1825" spans="1:8" x14ac:dyDescent="0.2">
      <c r="A1825">
        <v>216687</v>
      </c>
      <c r="B1825">
        <v>14998.1</v>
      </c>
      <c r="C1825" t="str">
        <f t="shared" si="28"/>
        <v>3. $50K-250K</v>
      </c>
      <c r="D1825" t="s">
        <v>711</v>
      </c>
      <c r="E1825" t="s">
        <v>237</v>
      </c>
      <c r="F1825" t="s">
        <v>670</v>
      </c>
      <c r="G1825" t="s">
        <v>59</v>
      </c>
      <c r="H1825">
        <v>2023</v>
      </c>
    </row>
    <row r="1826" spans="1:8" x14ac:dyDescent="0.2">
      <c r="A1826">
        <v>216688</v>
      </c>
      <c r="B1826">
        <v>84461.3</v>
      </c>
      <c r="C1826" t="str">
        <f t="shared" si="28"/>
        <v>2. $10K-50K</v>
      </c>
      <c r="D1826" t="s">
        <v>711</v>
      </c>
      <c r="E1826" t="s">
        <v>237</v>
      </c>
      <c r="F1826" t="s">
        <v>670</v>
      </c>
      <c r="G1826" t="s">
        <v>59</v>
      </c>
      <c r="H1826">
        <v>2023</v>
      </c>
    </row>
    <row r="1827" spans="1:8" x14ac:dyDescent="0.2">
      <c r="A1827">
        <v>216703</v>
      </c>
      <c r="B1827">
        <v>480000</v>
      </c>
      <c r="C1827" t="str">
        <f t="shared" si="28"/>
        <v>3. $50K-250K</v>
      </c>
      <c r="D1827" t="s">
        <v>391</v>
      </c>
      <c r="E1827" t="s">
        <v>42</v>
      </c>
      <c r="F1827" t="s">
        <v>670</v>
      </c>
      <c r="G1827" t="s">
        <v>59</v>
      </c>
      <c r="H1827">
        <v>2023</v>
      </c>
    </row>
    <row r="1828" spans="1:8" x14ac:dyDescent="0.2">
      <c r="A1828">
        <v>216756</v>
      </c>
      <c r="B1828">
        <v>95654.6</v>
      </c>
      <c r="C1828" t="str">
        <f t="shared" si="28"/>
        <v>4. $250K-1M</v>
      </c>
      <c r="D1828" t="s">
        <v>1387</v>
      </c>
      <c r="E1828" t="s">
        <v>432</v>
      </c>
      <c r="F1828" t="s">
        <v>670</v>
      </c>
      <c r="G1828" t="s">
        <v>59</v>
      </c>
      <c r="H1828">
        <v>2023</v>
      </c>
    </row>
    <row r="1829" spans="1:8" x14ac:dyDescent="0.2">
      <c r="A1829">
        <v>216759</v>
      </c>
      <c r="B1829">
        <v>28219.599999999999</v>
      </c>
      <c r="C1829" t="str">
        <f t="shared" si="28"/>
        <v>3. $50K-250K</v>
      </c>
      <c r="D1829" t="s">
        <v>1173</v>
      </c>
      <c r="E1829" t="s">
        <v>432</v>
      </c>
      <c r="F1829" t="s">
        <v>670</v>
      </c>
      <c r="G1829" t="s">
        <v>59</v>
      </c>
      <c r="H1829">
        <v>2023</v>
      </c>
    </row>
    <row r="1830" spans="1:8" x14ac:dyDescent="0.2">
      <c r="A1830">
        <v>216760</v>
      </c>
      <c r="B1830">
        <v>200000</v>
      </c>
      <c r="C1830" t="str">
        <f t="shared" si="28"/>
        <v>2. $10K-50K</v>
      </c>
      <c r="D1830" t="s">
        <v>893</v>
      </c>
      <c r="E1830" t="s">
        <v>891</v>
      </c>
      <c r="F1830" t="s">
        <v>670</v>
      </c>
      <c r="G1830" t="s">
        <v>59</v>
      </c>
      <c r="H1830">
        <v>2023</v>
      </c>
    </row>
    <row r="1831" spans="1:8" x14ac:dyDescent="0.2">
      <c r="A1831">
        <v>216761</v>
      </c>
      <c r="B1831">
        <v>221000</v>
      </c>
      <c r="C1831" t="str">
        <f t="shared" si="28"/>
        <v>3. $50K-250K</v>
      </c>
      <c r="D1831" t="s">
        <v>868</v>
      </c>
      <c r="E1831" t="s">
        <v>42</v>
      </c>
      <c r="F1831" t="s">
        <v>670</v>
      </c>
      <c r="G1831" t="s">
        <v>59</v>
      </c>
      <c r="H1831">
        <v>2023</v>
      </c>
    </row>
    <row r="1832" spans="1:8" x14ac:dyDescent="0.2">
      <c r="A1832">
        <v>216762</v>
      </c>
      <c r="B1832">
        <v>288046.40000000002</v>
      </c>
      <c r="C1832" t="str">
        <f t="shared" si="28"/>
        <v>3. $50K-250K</v>
      </c>
      <c r="D1832" t="s">
        <v>892</v>
      </c>
      <c r="E1832" t="s">
        <v>891</v>
      </c>
      <c r="F1832" t="s">
        <v>670</v>
      </c>
      <c r="G1832" t="s">
        <v>59</v>
      </c>
      <c r="H1832">
        <v>2023</v>
      </c>
    </row>
    <row r="1833" spans="1:8" x14ac:dyDescent="0.2">
      <c r="A1833">
        <v>216763</v>
      </c>
      <c r="B1833">
        <v>173581.09999999899</v>
      </c>
      <c r="C1833" t="str">
        <f t="shared" si="28"/>
        <v>4. $250K-1M</v>
      </c>
      <c r="D1833" t="s">
        <v>1036</v>
      </c>
      <c r="E1833" t="s">
        <v>42</v>
      </c>
      <c r="F1833" t="s">
        <v>670</v>
      </c>
      <c r="G1833" t="s">
        <v>59</v>
      </c>
      <c r="H1833">
        <v>2023</v>
      </c>
    </row>
    <row r="1834" spans="1:8" x14ac:dyDescent="0.2">
      <c r="A1834">
        <v>216765</v>
      </c>
      <c r="B1834">
        <v>155672.79999999999</v>
      </c>
      <c r="C1834" t="str">
        <f t="shared" si="28"/>
        <v>3. $50K-250K</v>
      </c>
      <c r="D1834" t="s">
        <v>821</v>
      </c>
      <c r="E1834" t="s">
        <v>42</v>
      </c>
      <c r="F1834" t="s">
        <v>670</v>
      </c>
      <c r="G1834" t="s">
        <v>59</v>
      </c>
      <c r="H1834">
        <v>2023</v>
      </c>
    </row>
    <row r="1835" spans="1:8" x14ac:dyDescent="0.2">
      <c r="A1835">
        <v>216766</v>
      </c>
      <c r="B1835">
        <v>199999.6</v>
      </c>
      <c r="C1835" t="str">
        <f t="shared" si="28"/>
        <v>3. $50K-250K</v>
      </c>
      <c r="D1835" t="s">
        <v>897</v>
      </c>
      <c r="E1835" t="s">
        <v>42</v>
      </c>
      <c r="F1835" t="s">
        <v>670</v>
      </c>
      <c r="G1835" t="s">
        <v>59</v>
      </c>
      <c r="H1835">
        <v>2023</v>
      </c>
    </row>
    <row r="1836" spans="1:8" x14ac:dyDescent="0.2">
      <c r="A1836">
        <v>216771</v>
      </c>
      <c r="B1836">
        <v>150000</v>
      </c>
      <c r="C1836" t="str">
        <f t="shared" si="28"/>
        <v>3. $50K-250K</v>
      </c>
      <c r="D1836" t="s">
        <v>1388</v>
      </c>
      <c r="E1836" t="s">
        <v>112</v>
      </c>
      <c r="F1836" t="s">
        <v>668</v>
      </c>
      <c r="G1836" t="s">
        <v>59</v>
      </c>
      <c r="H1836">
        <v>2023</v>
      </c>
    </row>
    <row r="1837" spans="1:8" x14ac:dyDescent="0.2">
      <c r="A1837">
        <v>216774</v>
      </c>
      <c r="B1837">
        <v>15000</v>
      </c>
      <c r="C1837" t="str">
        <f t="shared" si="28"/>
        <v>3. $50K-250K</v>
      </c>
      <c r="D1837" t="s">
        <v>1389</v>
      </c>
      <c r="E1837" t="s">
        <v>112</v>
      </c>
      <c r="F1837" t="s">
        <v>668</v>
      </c>
      <c r="G1837" t="s">
        <v>59</v>
      </c>
      <c r="H1837">
        <v>2023</v>
      </c>
    </row>
    <row r="1838" spans="1:8" x14ac:dyDescent="0.2">
      <c r="A1838">
        <v>216775</v>
      </c>
      <c r="B1838">
        <v>50000</v>
      </c>
      <c r="C1838" t="str">
        <f t="shared" si="28"/>
        <v>2. $10K-50K</v>
      </c>
      <c r="D1838" t="s">
        <v>1390</v>
      </c>
      <c r="E1838" t="s">
        <v>112</v>
      </c>
      <c r="F1838" t="s">
        <v>668</v>
      </c>
      <c r="G1838" t="s">
        <v>59</v>
      </c>
      <c r="H1838">
        <v>2023</v>
      </c>
    </row>
    <row r="1839" spans="1:8" x14ac:dyDescent="0.2">
      <c r="A1839">
        <v>216776</v>
      </c>
      <c r="B1839">
        <v>207235.5</v>
      </c>
      <c r="C1839" t="str">
        <f t="shared" si="28"/>
        <v>3. $50K-250K</v>
      </c>
      <c r="D1839" t="s">
        <v>999</v>
      </c>
      <c r="E1839" t="s">
        <v>42</v>
      </c>
      <c r="F1839" t="s">
        <v>670</v>
      </c>
      <c r="G1839" t="s">
        <v>59</v>
      </c>
      <c r="H1839">
        <v>2023</v>
      </c>
    </row>
    <row r="1840" spans="1:8" x14ac:dyDescent="0.2">
      <c r="A1840">
        <v>216778</v>
      </c>
      <c r="B1840">
        <v>4752593.3</v>
      </c>
      <c r="C1840" t="str">
        <f t="shared" si="28"/>
        <v>3. $50K-250K</v>
      </c>
      <c r="D1840" t="s">
        <v>1033</v>
      </c>
      <c r="E1840" t="s">
        <v>237</v>
      </c>
      <c r="F1840" t="s">
        <v>670</v>
      </c>
      <c r="G1840" t="s">
        <v>59</v>
      </c>
      <c r="H1840">
        <v>2023</v>
      </c>
    </row>
    <row r="1841" spans="1:8" x14ac:dyDescent="0.2">
      <c r="A1841">
        <v>216779</v>
      </c>
      <c r="B1841">
        <v>30845</v>
      </c>
      <c r="C1841" t="str">
        <f t="shared" si="28"/>
        <v>5. $1M+</v>
      </c>
      <c r="D1841" t="s">
        <v>1391</v>
      </c>
      <c r="E1841" t="s">
        <v>112</v>
      </c>
      <c r="F1841" t="s">
        <v>668</v>
      </c>
      <c r="G1841" t="s">
        <v>59</v>
      </c>
      <c r="H1841">
        <v>2023</v>
      </c>
    </row>
    <row r="1842" spans="1:8" x14ac:dyDescent="0.2">
      <c r="A1842">
        <v>216782</v>
      </c>
      <c r="B1842">
        <v>11000</v>
      </c>
      <c r="C1842" t="str">
        <f t="shared" si="28"/>
        <v>2. $10K-50K</v>
      </c>
      <c r="D1842" t="s">
        <v>1392</v>
      </c>
      <c r="E1842" t="s">
        <v>112</v>
      </c>
      <c r="F1842" t="s">
        <v>668</v>
      </c>
      <c r="G1842" t="s">
        <v>59</v>
      </c>
      <c r="H1842">
        <v>2023</v>
      </c>
    </row>
    <row r="1843" spans="1:8" x14ac:dyDescent="0.2">
      <c r="A1843">
        <v>216786</v>
      </c>
      <c r="B1843">
        <v>14000</v>
      </c>
      <c r="C1843" t="str">
        <f t="shared" si="28"/>
        <v>2. $10K-50K</v>
      </c>
      <c r="D1843" t="s">
        <v>817</v>
      </c>
      <c r="E1843" t="s">
        <v>99</v>
      </c>
      <c r="F1843" t="s">
        <v>668</v>
      </c>
      <c r="G1843" t="s">
        <v>59</v>
      </c>
      <c r="H1843">
        <v>2023</v>
      </c>
    </row>
    <row r="1844" spans="1:8" x14ac:dyDescent="0.2">
      <c r="A1844">
        <v>216790</v>
      </c>
      <c r="B1844">
        <v>220330</v>
      </c>
      <c r="C1844" t="str">
        <f t="shared" si="28"/>
        <v>2. $10K-50K</v>
      </c>
      <c r="D1844" t="s">
        <v>1393</v>
      </c>
      <c r="E1844" t="s">
        <v>8</v>
      </c>
      <c r="F1844" t="s">
        <v>668</v>
      </c>
      <c r="G1844" t="s">
        <v>59</v>
      </c>
      <c r="H1844">
        <v>2023</v>
      </c>
    </row>
    <row r="1845" spans="1:8" x14ac:dyDescent="0.2">
      <c r="A1845">
        <v>216792</v>
      </c>
      <c r="B1845">
        <v>147167.5</v>
      </c>
      <c r="C1845" t="str">
        <f t="shared" si="28"/>
        <v>3. $50K-250K</v>
      </c>
      <c r="D1845" t="s">
        <v>1394</v>
      </c>
      <c r="E1845" t="s">
        <v>42</v>
      </c>
      <c r="F1845" t="s">
        <v>668</v>
      </c>
      <c r="G1845" t="s">
        <v>59</v>
      </c>
      <c r="H1845">
        <v>2023</v>
      </c>
    </row>
    <row r="1846" spans="1:8" x14ac:dyDescent="0.2">
      <c r="A1846">
        <v>216799</v>
      </c>
      <c r="B1846">
        <v>1004605.6</v>
      </c>
      <c r="C1846" t="str">
        <f t="shared" si="28"/>
        <v>3. $50K-250K</v>
      </c>
      <c r="D1846" t="s">
        <v>863</v>
      </c>
      <c r="E1846" t="s">
        <v>237</v>
      </c>
      <c r="F1846" t="s">
        <v>670</v>
      </c>
      <c r="G1846" t="s">
        <v>59</v>
      </c>
      <c r="H1846">
        <v>2023</v>
      </c>
    </row>
    <row r="1847" spans="1:8" x14ac:dyDescent="0.2">
      <c r="A1847">
        <v>216868</v>
      </c>
      <c r="B1847">
        <v>752514.1</v>
      </c>
      <c r="C1847" t="str">
        <f t="shared" si="28"/>
        <v>5. $1M+</v>
      </c>
      <c r="D1847" t="s">
        <v>248</v>
      </c>
      <c r="E1847" t="s">
        <v>18</v>
      </c>
      <c r="F1847" t="s">
        <v>43</v>
      </c>
      <c r="G1847" t="s">
        <v>61</v>
      </c>
      <c r="H1847">
        <v>2023</v>
      </c>
    </row>
    <row r="1848" spans="1:8" x14ac:dyDescent="0.2">
      <c r="A1848">
        <v>216872</v>
      </c>
      <c r="B1848">
        <v>513184.1</v>
      </c>
      <c r="C1848" t="str">
        <f t="shared" si="28"/>
        <v>4. $250K-1M</v>
      </c>
      <c r="D1848" t="s">
        <v>986</v>
      </c>
      <c r="E1848" t="s">
        <v>237</v>
      </c>
      <c r="F1848" t="s">
        <v>670</v>
      </c>
      <c r="G1848" t="s">
        <v>59</v>
      </c>
      <c r="H1848">
        <v>2023</v>
      </c>
    </row>
    <row r="1849" spans="1:8" x14ac:dyDescent="0.2">
      <c r="A1849">
        <v>216877</v>
      </c>
      <c r="B1849">
        <v>432050.1</v>
      </c>
      <c r="C1849" t="str">
        <f t="shared" si="28"/>
        <v>4. $250K-1M</v>
      </c>
      <c r="D1849" t="s">
        <v>988</v>
      </c>
      <c r="E1849" t="s">
        <v>237</v>
      </c>
      <c r="F1849" t="s">
        <v>670</v>
      </c>
      <c r="G1849" t="s">
        <v>59</v>
      </c>
      <c r="H1849">
        <v>2023</v>
      </c>
    </row>
    <row r="1850" spans="1:8" x14ac:dyDescent="0.2">
      <c r="A1850">
        <v>216879</v>
      </c>
      <c r="B1850">
        <v>285537.3</v>
      </c>
      <c r="C1850" t="str">
        <f t="shared" si="28"/>
        <v>4. $250K-1M</v>
      </c>
      <c r="D1850" t="s">
        <v>985</v>
      </c>
      <c r="E1850" t="s">
        <v>237</v>
      </c>
      <c r="F1850" t="s">
        <v>670</v>
      </c>
      <c r="G1850" t="s">
        <v>59</v>
      </c>
      <c r="H1850">
        <v>2023</v>
      </c>
    </row>
    <row r="1851" spans="1:8" x14ac:dyDescent="0.2">
      <c r="A1851">
        <v>216880</v>
      </c>
      <c r="B1851">
        <v>332815.09999999998</v>
      </c>
      <c r="C1851" t="str">
        <f t="shared" si="28"/>
        <v>4. $250K-1M</v>
      </c>
      <c r="D1851" t="s">
        <v>781</v>
      </c>
      <c r="E1851" t="s">
        <v>237</v>
      </c>
      <c r="F1851" t="s">
        <v>670</v>
      </c>
      <c r="G1851" t="s">
        <v>59</v>
      </c>
      <c r="H1851">
        <v>2023</v>
      </c>
    </row>
    <row r="1852" spans="1:8" x14ac:dyDescent="0.2">
      <c r="A1852">
        <v>216881</v>
      </c>
      <c r="B1852">
        <v>473109.7</v>
      </c>
      <c r="C1852" t="str">
        <f t="shared" si="28"/>
        <v>4. $250K-1M</v>
      </c>
      <c r="D1852" t="s">
        <v>717</v>
      </c>
      <c r="E1852" t="s">
        <v>237</v>
      </c>
      <c r="F1852" t="s">
        <v>670</v>
      </c>
      <c r="G1852" t="s">
        <v>59</v>
      </c>
      <c r="H1852">
        <v>2023</v>
      </c>
    </row>
    <row r="1853" spans="1:8" x14ac:dyDescent="0.2">
      <c r="A1853">
        <v>216882</v>
      </c>
      <c r="B1853">
        <v>481958.2</v>
      </c>
      <c r="C1853" t="str">
        <f t="shared" si="28"/>
        <v>4. $250K-1M</v>
      </c>
      <c r="D1853" t="s">
        <v>799</v>
      </c>
      <c r="E1853" t="s">
        <v>237</v>
      </c>
      <c r="F1853" t="s">
        <v>670</v>
      </c>
      <c r="G1853" t="s">
        <v>59</v>
      </c>
      <c r="H1853">
        <v>2023</v>
      </c>
    </row>
    <row r="1854" spans="1:8" x14ac:dyDescent="0.2">
      <c r="A1854">
        <v>216909</v>
      </c>
      <c r="B1854">
        <v>14430</v>
      </c>
      <c r="C1854" t="str">
        <f t="shared" si="28"/>
        <v>4. $250K-1M</v>
      </c>
      <c r="D1854" t="s">
        <v>938</v>
      </c>
      <c r="E1854" t="s">
        <v>237</v>
      </c>
      <c r="F1854" t="s">
        <v>670</v>
      </c>
      <c r="G1854" t="s">
        <v>59</v>
      </c>
      <c r="H1854">
        <v>2023</v>
      </c>
    </row>
    <row r="1855" spans="1:8" x14ac:dyDescent="0.2">
      <c r="A1855">
        <v>216943</v>
      </c>
      <c r="B1855">
        <v>19719.5</v>
      </c>
      <c r="C1855" t="str">
        <f t="shared" si="28"/>
        <v>2. $10K-50K</v>
      </c>
      <c r="D1855" t="s">
        <v>683</v>
      </c>
      <c r="E1855" t="s">
        <v>42</v>
      </c>
      <c r="F1855" t="s">
        <v>670</v>
      </c>
      <c r="G1855" t="s">
        <v>59</v>
      </c>
      <c r="H1855">
        <v>2023</v>
      </c>
    </row>
    <row r="1856" spans="1:8" x14ac:dyDescent="0.2">
      <c r="A1856">
        <v>216945</v>
      </c>
      <c r="B1856">
        <v>235786</v>
      </c>
      <c r="C1856" t="str">
        <f t="shared" si="28"/>
        <v>2. $10K-50K</v>
      </c>
      <c r="D1856" t="s">
        <v>1021</v>
      </c>
      <c r="E1856" t="s">
        <v>42</v>
      </c>
      <c r="F1856" t="s">
        <v>670</v>
      </c>
      <c r="G1856" t="s">
        <v>59</v>
      </c>
      <c r="H1856">
        <v>2023</v>
      </c>
    </row>
    <row r="1857" spans="1:8" x14ac:dyDescent="0.2">
      <c r="A1857">
        <v>216947</v>
      </c>
      <c r="B1857">
        <v>128968.1</v>
      </c>
      <c r="C1857" t="str">
        <f t="shared" si="28"/>
        <v>3. $50K-250K</v>
      </c>
      <c r="D1857" t="s">
        <v>507</v>
      </c>
      <c r="E1857" t="s">
        <v>42</v>
      </c>
      <c r="F1857" t="s">
        <v>670</v>
      </c>
      <c r="G1857" t="s">
        <v>59</v>
      </c>
      <c r="H1857">
        <v>2023</v>
      </c>
    </row>
    <row r="1858" spans="1:8" x14ac:dyDescent="0.2">
      <c r="A1858">
        <v>216948</v>
      </c>
      <c r="B1858">
        <v>480000</v>
      </c>
      <c r="C1858" t="str">
        <f t="shared" si="28"/>
        <v>3. $50K-250K</v>
      </c>
      <c r="D1858" t="s">
        <v>929</v>
      </c>
      <c r="E1858" t="s">
        <v>42</v>
      </c>
      <c r="F1858" t="s">
        <v>670</v>
      </c>
      <c r="G1858" t="s">
        <v>59</v>
      </c>
      <c r="H1858">
        <v>2023</v>
      </c>
    </row>
    <row r="1859" spans="1:8" x14ac:dyDescent="0.2">
      <c r="A1859">
        <v>216950</v>
      </c>
      <c r="B1859">
        <v>67484.100000000006</v>
      </c>
      <c r="C1859" t="str">
        <f t="shared" ref="C1859:C1922" si="29">IF(B1858&lt;10000,"1. Under $10K",IF(B1858&lt;50000,"2. $10K-50K",IF(B1858&lt;250000,"3. $50K-250K",IF(B1858&lt;1000000,"4. $250K-1M","5. $1M+"))))</f>
        <v>4. $250K-1M</v>
      </c>
      <c r="D1859" t="s">
        <v>391</v>
      </c>
      <c r="E1859" t="s">
        <v>42</v>
      </c>
      <c r="F1859" t="s">
        <v>670</v>
      </c>
      <c r="G1859" t="s">
        <v>59</v>
      </c>
      <c r="H1859">
        <v>2023</v>
      </c>
    </row>
    <row r="1860" spans="1:8" x14ac:dyDescent="0.2">
      <c r="A1860">
        <v>216951</v>
      </c>
      <c r="B1860">
        <v>28024</v>
      </c>
      <c r="C1860" t="str">
        <f t="shared" si="29"/>
        <v>3. $50K-250K</v>
      </c>
      <c r="D1860" t="s">
        <v>688</v>
      </c>
      <c r="E1860" t="s">
        <v>42</v>
      </c>
      <c r="F1860" t="s">
        <v>670</v>
      </c>
      <c r="G1860" t="s">
        <v>59</v>
      </c>
      <c r="H1860">
        <v>2023</v>
      </c>
    </row>
    <row r="1861" spans="1:8" x14ac:dyDescent="0.2">
      <c r="A1861">
        <v>216978</v>
      </c>
      <c r="B1861">
        <v>483657</v>
      </c>
      <c r="C1861" t="str">
        <f t="shared" si="29"/>
        <v>2. $10K-50K</v>
      </c>
      <c r="D1861" t="s">
        <v>799</v>
      </c>
      <c r="E1861" t="s">
        <v>237</v>
      </c>
      <c r="F1861" t="s">
        <v>670</v>
      </c>
      <c r="G1861" t="s">
        <v>59</v>
      </c>
      <c r="H1861">
        <v>2023</v>
      </c>
    </row>
    <row r="1862" spans="1:8" x14ac:dyDescent="0.2">
      <c r="A1862">
        <v>216979</v>
      </c>
      <c r="B1862">
        <v>5000000</v>
      </c>
      <c r="C1862" t="str">
        <f t="shared" si="29"/>
        <v>4. $250K-1M</v>
      </c>
      <c r="D1862" t="s">
        <v>1395</v>
      </c>
      <c r="E1862" t="s">
        <v>99</v>
      </c>
      <c r="F1862" t="s">
        <v>668</v>
      </c>
      <c r="G1862" t="s">
        <v>59</v>
      </c>
      <c r="H1862">
        <v>2023</v>
      </c>
    </row>
    <row r="1863" spans="1:8" x14ac:dyDescent="0.2">
      <c r="A1863">
        <v>216982</v>
      </c>
      <c r="B1863">
        <v>415752.9</v>
      </c>
      <c r="C1863" t="str">
        <f t="shared" si="29"/>
        <v>5. $1M+</v>
      </c>
      <c r="D1863" t="s">
        <v>980</v>
      </c>
      <c r="E1863" t="s">
        <v>237</v>
      </c>
      <c r="F1863" t="s">
        <v>670</v>
      </c>
      <c r="G1863" t="s">
        <v>59</v>
      </c>
      <c r="H1863">
        <v>2023</v>
      </c>
    </row>
    <row r="1864" spans="1:8" x14ac:dyDescent="0.2">
      <c r="A1864">
        <v>217017</v>
      </c>
      <c r="B1864">
        <v>450579.5</v>
      </c>
      <c r="C1864" t="str">
        <f t="shared" si="29"/>
        <v>4. $250K-1M</v>
      </c>
      <c r="D1864" t="s">
        <v>984</v>
      </c>
      <c r="E1864" t="s">
        <v>237</v>
      </c>
      <c r="F1864" t="s">
        <v>670</v>
      </c>
      <c r="G1864" t="s">
        <v>59</v>
      </c>
      <c r="H1864">
        <v>2023</v>
      </c>
    </row>
    <row r="1865" spans="1:8" x14ac:dyDescent="0.2">
      <c r="A1865">
        <v>217019</v>
      </c>
      <c r="B1865">
        <v>138000</v>
      </c>
      <c r="C1865" t="str">
        <f t="shared" si="29"/>
        <v>4. $250K-1M</v>
      </c>
      <c r="D1865" t="s">
        <v>799</v>
      </c>
      <c r="E1865" t="s">
        <v>237</v>
      </c>
      <c r="F1865" t="s">
        <v>670</v>
      </c>
      <c r="G1865" t="s">
        <v>59</v>
      </c>
      <c r="H1865">
        <v>2023</v>
      </c>
    </row>
    <row r="1866" spans="1:8" x14ac:dyDescent="0.2">
      <c r="A1866">
        <v>217043</v>
      </c>
      <c r="B1866">
        <v>334078.2</v>
      </c>
      <c r="C1866" t="str">
        <f t="shared" si="29"/>
        <v>3. $50K-250K</v>
      </c>
      <c r="D1866" t="s">
        <v>1039</v>
      </c>
      <c r="E1866" t="s">
        <v>237</v>
      </c>
      <c r="F1866" t="s">
        <v>670</v>
      </c>
      <c r="G1866" t="s">
        <v>59</v>
      </c>
      <c r="H1866">
        <v>2023</v>
      </c>
    </row>
    <row r="1867" spans="1:8" x14ac:dyDescent="0.2">
      <c r="A1867">
        <v>217044</v>
      </c>
      <c r="B1867">
        <v>55000</v>
      </c>
      <c r="C1867" t="str">
        <f t="shared" si="29"/>
        <v>4. $250K-1M</v>
      </c>
      <c r="D1867" t="s">
        <v>1057</v>
      </c>
      <c r="E1867" t="s">
        <v>42</v>
      </c>
      <c r="F1867" t="s">
        <v>670</v>
      </c>
      <c r="G1867" t="s">
        <v>59</v>
      </c>
      <c r="H1867">
        <v>2023</v>
      </c>
    </row>
    <row r="1868" spans="1:8" x14ac:dyDescent="0.2">
      <c r="A1868">
        <v>217045</v>
      </c>
      <c r="B1868">
        <v>107844.2</v>
      </c>
      <c r="C1868" t="str">
        <f t="shared" si="29"/>
        <v>3. $50K-250K</v>
      </c>
      <c r="D1868" t="s">
        <v>784</v>
      </c>
      <c r="E1868" t="s">
        <v>237</v>
      </c>
      <c r="F1868" t="s">
        <v>670</v>
      </c>
      <c r="G1868" t="s">
        <v>59</v>
      </c>
      <c r="H1868">
        <v>2023</v>
      </c>
    </row>
    <row r="1869" spans="1:8" x14ac:dyDescent="0.2">
      <c r="A1869">
        <v>217048</v>
      </c>
      <c r="B1869">
        <v>300997.5</v>
      </c>
      <c r="C1869" t="str">
        <f t="shared" si="29"/>
        <v>3. $50K-250K</v>
      </c>
      <c r="D1869" t="s">
        <v>1396</v>
      </c>
      <c r="E1869" t="s">
        <v>237</v>
      </c>
      <c r="F1869" t="s">
        <v>670</v>
      </c>
      <c r="G1869" t="s">
        <v>59</v>
      </c>
      <c r="H1869">
        <v>2023</v>
      </c>
    </row>
    <row r="1870" spans="1:8" x14ac:dyDescent="0.2">
      <c r="A1870">
        <v>217052</v>
      </c>
      <c r="B1870">
        <v>10000</v>
      </c>
      <c r="C1870" t="str">
        <f t="shared" si="29"/>
        <v>4. $250K-1M</v>
      </c>
      <c r="D1870" t="s">
        <v>1397</v>
      </c>
      <c r="E1870" t="s">
        <v>368</v>
      </c>
      <c r="F1870" t="s">
        <v>670</v>
      </c>
      <c r="G1870" t="s">
        <v>44</v>
      </c>
      <c r="H1870">
        <v>2023</v>
      </c>
    </row>
    <row r="1871" spans="1:8" x14ac:dyDescent="0.2">
      <c r="A1871">
        <v>217053</v>
      </c>
      <c r="B1871">
        <v>15000</v>
      </c>
      <c r="C1871" t="str">
        <f t="shared" si="29"/>
        <v>2. $10K-50K</v>
      </c>
      <c r="D1871" t="s">
        <v>1398</v>
      </c>
      <c r="E1871" t="s">
        <v>368</v>
      </c>
      <c r="F1871" t="s">
        <v>670</v>
      </c>
      <c r="G1871" t="s">
        <v>44</v>
      </c>
      <c r="H1871">
        <v>2023</v>
      </c>
    </row>
    <row r="1872" spans="1:8" x14ac:dyDescent="0.2">
      <c r="A1872">
        <v>217056</v>
      </c>
      <c r="B1872">
        <v>10000</v>
      </c>
      <c r="C1872" t="str">
        <f t="shared" si="29"/>
        <v>2. $10K-50K</v>
      </c>
      <c r="D1872" t="s">
        <v>1399</v>
      </c>
      <c r="E1872" t="s">
        <v>368</v>
      </c>
      <c r="F1872" t="s">
        <v>670</v>
      </c>
      <c r="G1872" t="s">
        <v>44</v>
      </c>
      <c r="H1872">
        <v>2023</v>
      </c>
    </row>
    <row r="1873" spans="1:8" x14ac:dyDescent="0.2">
      <c r="A1873">
        <v>217063</v>
      </c>
      <c r="B1873">
        <v>10000</v>
      </c>
      <c r="C1873" t="str">
        <f t="shared" si="29"/>
        <v>2. $10K-50K</v>
      </c>
      <c r="D1873" t="s">
        <v>1400</v>
      </c>
      <c r="E1873" t="s">
        <v>368</v>
      </c>
      <c r="F1873" t="s">
        <v>670</v>
      </c>
      <c r="G1873" t="s">
        <v>44</v>
      </c>
      <c r="H1873">
        <v>2023</v>
      </c>
    </row>
    <row r="1874" spans="1:8" x14ac:dyDescent="0.2">
      <c r="A1874">
        <v>217064</v>
      </c>
      <c r="B1874">
        <v>4758</v>
      </c>
      <c r="C1874" t="str">
        <f t="shared" si="29"/>
        <v>2. $10K-50K</v>
      </c>
      <c r="D1874" t="s">
        <v>827</v>
      </c>
      <c r="E1874" t="s">
        <v>368</v>
      </c>
      <c r="F1874" t="s">
        <v>670</v>
      </c>
      <c r="G1874" t="s">
        <v>44</v>
      </c>
      <c r="H1874">
        <v>2023</v>
      </c>
    </row>
    <row r="1875" spans="1:8" x14ac:dyDescent="0.2">
      <c r="A1875">
        <v>217065</v>
      </c>
      <c r="B1875">
        <v>25010</v>
      </c>
      <c r="C1875" t="str">
        <f t="shared" si="29"/>
        <v>1. Under $10K</v>
      </c>
      <c r="D1875" t="s">
        <v>1401</v>
      </c>
      <c r="E1875" t="s">
        <v>368</v>
      </c>
      <c r="F1875" t="s">
        <v>670</v>
      </c>
      <c r="G1875" t="s">
        <v>44</v>
      </c>
      <c r="H1875">
        <v>2023</v>
      </c>
    </row>
    <row r="1876" spans="1:8" x14ac:dyDescent="0.2">
      <c r="A1876">
        <v>217066</v>
      </c>
      <c r="B1876">
        <v>10000</v>
      </c>
      <c r="C1876" t="str">
        <f t="shared" si="29"/>
        <v>2. $10K-50K</v>
      </c>
      <c r="D1876" t="s">
        <v>1402</v>
      </c>
      <c r="E1876" t="s">
        <v>368</v>
      </c>
      <c r="F1876" t="s">
        <v>670</v>
      </c>
      <c r="G1876" t="s">
        <v>44</v>
      </c>
      <c r="H1876">
        <v>2023</v>
      </c>
    </row>
    <row r="1877" spans="1:8" x14ac:dyDescent="0.2">
      <c r="A1877">
        <v>217067</v>
      </c>
      <c r="B1877">
        <v>20000</v>
      </c>
      <c r="C1877" t="str">
        <f t="shared" si="29"/>
        <v>2. $10K-50K</v>
      </c>
      <c r="D1877" t="s">
        <v>1403</v>
      </c>
      <c r="E1877" t="s">
        <v>368</v>
      </c>
      <c r="F1877" t="s">
        <v>670</v>
      </c>
      <c r="G1877" t="s">
        <v>44</v>
      </c>
      <c r="H1877">
        <v>2023</v>
      </c>
    </row>
    <row r="1878" spans="1:8" x14ac:dyDescent="0.2">
      <c r="A1878">
        <v>217069</v>
      </c>
      <c r="B1878">
        <v>25000</v>
      </c>
      <c r="C1878" t="str">
        <f t="shared" si="29"/>
        <v>2. $10K-50K</v>
      </c>
      <c r="D1878" t="s">
        <v>1404</v>
      </c>
      <c r="E1878" t="s">
        <v>368</v>
      </c>
      <c r="F1878" t="s">
        <v>670</v>
      </c>
      <c r="G1878" t="s">
        <v>44</v>
      </c>
      <c r="H1878">
        <v>2023</v>
      </c>
    </row>
    <row r="1879" spans="1:8" x14ac:dyDescent="0.2">
      <c r="A1879">
        <v>217071</v>
      </c>
      <c r="B1879">
        <v>20000</v>
      </c>
      <c r="C1879" t="str">
        <f t="shared" si="29"/>
        <v>2. $10K-50K</v>
      </c>
      <c r="D1879" t="s">
        <v>1405</v>
      </c>
      <c r="E1879" t="s">
        <v>368</v>
      </c>
      <c r="F1879" t="s">
        <v>670</v>
      </c>
      <c r="G1879" t="s">
        <v>44</v>
      </c>
      <c r="H1879">
        <v>2023</v>
      </c>
    </row>
    <row r="1880" spans="1:8" x14ac:dyDescent="0.2">
      <c r="A1880">
        <v>217072</v>
      </c>
      <c r="B1880">
        <v>10000</v>
      </c>
      <c r="C1880" t="str">
        <f t="shared" si="29"/>
        <v>2. $10K-50K</v>
      </c>
      <c r="D1880" t="s">
        <v>1406</v>
      </c>
      <c r="E1880" t="s">
        <v>368</v>
      </c>
      <c r="F1880" t="s">
        <v>670</v>
      </c>
      <c r="G1880" t="s">
        <v>44</v>
      </c>
      <c r="H1880">
        <v>2023</v>
      </c>
    </row>
    <row r="1881" spans="1:8" x14ac:dyDescent="0.2">
      <c r="A1881">
        <v>217079</v>
      </c>
      <c r="B1881">
        <v>25000</v>
      </c>
      <c r="C1881" t="str">
        <f t="shared" si="29"/>
        <v>2. $10K-50K</v>
      </c>
      <c r="D1881" t="s">
        <v>1407</v>
      </c>
      <c r="E1881" t="s">
        <v>368</v>
      </c>
      <c r="F1881" t="s">
        <v>670</v>
      </c>
      <c r="G1881" t="s">
        <v>44</v>
      </c>
      <c r="H1881">
        <v>2023</v>
      </c>
    </row>
    <row r="1882" spans="1:8" x14ac:dyDescent="0.2">
      <c r="A1882">
        <v>21708</v>
      </c>
      <c r="B1882">
        <v>1400</v>
      </c>
      <c r="C1882" t="str">
        <f t="shared" si="29"/>
        <v>2. $10K-50K</v>
      </c>
      <c r="D1882" t="s">
        <v>1408</v>
      </c>
      <c r="E1882" t="s">
        <v>59</v>
      </c>
      <c r="F1882" t="s">
        <v>664</v>
      </c>
      <c r="G1882" t="s">
        <v>59</v>
      </c>
      <c r="H1882">
        <v>2024</v>
      </c>
    </row>
    <row r="1883" spans="1:8" x14ac:dyDescent="0.2">
      <c r="A1883">
        <v>217080</v>
      </c>
      <c r="B1883">
        <v>18000</v>
      </c>
      <c r="C1883" t="str">
        <f t="shared" si="29"/>
        <v>1. Under $10K</v>
      </c>
      <c r="D1883" t="s">
        <v>1409</v>
      </c>
      <c r="E1883" t="s">
        <v>368</v>
      </c>
      <c r="F1883" t="s">
        <v>670</v>
      </c>
      <c r="G1883" t="s">
        <v>44</v>
      </c>
      <c r="H1883">
        <v>2023</v>
      </c>
    </row>
    <row r="1884" spans="1:8" x14ac:dyDescent="0.2">
      <c r="A1884">
        <v>217135</v>
      </c>
      <c r="B1884">
        <v>16666</v>
      </c>
      <c r="C1884" t="str">
        <f t="shared" si="29"/>
        <v>2. $10K-50K</v>
      </c>
      <c r="D1884" t="s">
        <v>763</v>
      </c>
      <c r="E1884" t="s">
        <v>368</v>
      </c>
      <c r="F1884" t="s">
        <v>670</v>
      </c>
      <c r="G1884" t="s">
        <v>44</v>
      </c>
      <c r="H1884">
        <v>2023</v>
      </c>
    </row>
    <row r="1885" spans="1:8" x14ac:dyDescent="0.2">
      <c r="A1885">
        <v>217136</v>
      </c>
      <c r="B1885">
        <v>16666</v>
      </c>
      <c r="C1885" t="str">
        <f t="shared" si="29"/>
        <v>2. $10K-50K</v>
      </c>
      <c r="D1885" t="s">
        <v>1410</v>
      </c>
      <c r="E1885" t="s">
        <v>368</v>
      </c>
      <c r="F1885" t="s">
        <v>670</v>
      </c>
      <c r="G1885" t="s">
        <v>44</v>
      </c>
      <c r="H1885">
        <v>2023</v>
      </c>
    </row>
    <row r="1886" spans="1:8" x14ac:dyDescent="0.2">
      <c r="A1886">
        <v>217145</v>
      </c>
      <c r="B1886">
        <v>16666</v>
      </c>
      <c r="C1886" t="str">
        <f t="shared" si="29"/>
        <v>2. $10K-50K</v>
      </c>
      <c r="D1886" t="s">
        <v>1411</v>
      </c>
      <c r="E1886" t="s">
        <v>368</v>
      </c>
      <c r="F1886" t="s">
        <v>670</v>
      </c>
      <c r="G1886" t="s">
        <v>44</v>
      </c>
      <c r="H1886">
        <v>2023</v>
      </c>
    </row>
    <row r="1887" spans="1:8" x14ac:dyDescent="0.2">
      <c r="A1887">
        <v>217146</v>
      </c>
      <c r="B1887">
        <v>16666</v>
      </c>
      <c r="C1887" t="str">
        <f t="shared" si="29"/>
        <v>2. $10K-50K</v>
      </c>
      <c r="D1887" t="s">
        <v>1412</v>
      </c>
      <c r="E1887" t="s">
        <v>368</v>
      </c>
      <c r="F1887" t="s">
        <v>670</v>
      </c>
      <c r="G1887" t="s">
        <v>44</v>
      </c>
      <c r="H1887">
        <v>2023</v>
      </c>
    </row>
    <row r="1888" spans="1:8" x14ac:dyDescent="0.2">
      <c r="A1888">
        <v>217161</v>
      </c>
      <c r="B1888">
        <v>16666</v>
      </c>
      <c r="C1888" t="str">
        <f t="shared" si="29"/>
        <v>2. $10K-50K</v>
      </c>
      <c r="D1888" t="s">
        <v>1413</v>
      </c>
      <c r="E1888" t="s">
        <v>368</v>
      </c>
      <c r="F1888" t="s">
        <v>670</v>
      </c>
      <c r="G1888" t="s">
        <v>44</v>
      </c>
      <c r="H1888">
        <v>2023</v>
      </c>
    </row>
    <row r="1889" spans="1:8" x14ac:dyDescent="0.2">
      <c r="A1889">
        <v>217162</v>
      </c>
      <c r="B1889">
        <v>16666</v>
      </c>
      <c r="C1889" t="str">
        <f t="shared" si="29"/>
        <v>2. $10K-50K</v>
      </c>
      <c r="D1889" t="s">
        <v>1414</v>
      </c>
      <c r="E1889" t="s">
        <v>368</v>
      </c>
      <c r="F1889" t="s">
        <v>670</v>
      </c>
      <c r="G1889" t="s">
        <v>44</v>
      </c>
      <c r="H1889">
        <v>2023</v>
      </c>
    </row>
    <row r="1890" spans="1:8" x14ac:dyDescent="0.2">
      <c r="A1890">
        <v>217185</v>
      </c>
      <c r="B1890">
        <v>25000</v>
      </c>
      <c r="C1890" t="str">
        <f t="shared" si="29"/>
        <v>2. $10K-50K</v>
      </c>
      <c r="D1890" t="s">
        <v>1415</v>
      </c>
      <c r="E1890" t="s">
        <v>368</v>
      </c>
      <c r="F1890" t="s">
        <v>670</v>
      </c>
      <c r="G1890" t="s">
        <v>44</v>
      </c>
      <c r="H1890">
        <v>2023</v>
      </c>
    </row>
    <row r="1891" spans="1:8" x14ac:dyDescent="0.2">
      <c r="A1891">
        <v>217269</v>
      </c>
      <c r="B1891">
        <v>9317.6</v>
      </c>
      <c r="C1891" t="str">
        <f t="shared" si="29"/>
        <v>2. $10K-50K</v>
      </c>
      <c r="D1891" t="s">
        <v>1092</v>
      </c>
      <c r="E1891" t="s">
        <v>237</v>
      </c>
      <c r="F1891" t="s">
        <v>670</v>
      </c>
      <c r="G1891" t="s">
        <v>59</v>
      </c>
      <c r="H1891">
        <v>2023</v>
      </c>
    </row>
    <row r="1892" spans="1:8" x14ac:dyDescent="0.2">
      <c r="A1892">
        <v>217286</v>
      </c>
      <c r="B1892">
        <v>250000</v>
      </c>
      <c r="C1892" t="str">
        <f t="shared" si="29"/>
        <v>1. Under $10K</v>
      </c>
      <c r="D1892" t="s">
        <v>807</v>
      </c>
      <c r="E1892" t="s">
        <v>42</v>
      </c>
      <c r="F1892" t="s">
        <v>670</v>
      </c>
      <c r="G1892" t="s">
        <v>59</v>
      </c>
      <c r="H1892">
        <v>2023</v>
      </c>
    </row>
    <row r="1893" spans="1:8" x14ac:dyDescent="0.2">
      <c r="A1893">
        <v>217287</v>
      </c>
      <c r="B1893">
        <v>167504.20000000001</v>
      </c>
      <c r="C1893" t="str">
        <f t="shared" si="29"/>
        <v>4. $250K-1M</v>
      </c>
      <c r="D1893" t="s">
        <v>671</v>
      </c>
      <c r="E1893" t="s">
        <v>42</v>
      </c>
      <c r="F1893" t="s">
        <v>670</v>
      </c>
      <c r="G1893" t="s">
        <v>59</v>
      </c>
      <c r="H1893">
        <v>2023</v>
      </c>
    </row>
    <row r="1894" spans="1:8" x14ac:dyDescent="0.2">
      <c r="A1894">
        <v>217289</v>
      </c>
      <c r="B1894">
        <v>273024.59999999998</v>
      </c>
      <c r="C1894" t="str">
        <f t="shared" si="29"/>
        <v>3. $50K-250K</v>
      </c>
      <c r="D1894" t="s">
        <v>391</v>
      </c>
      <c r="E1894" t="s">
        <v>42</v>
      </c>
      <c r="F1894" t="s">
        <v>670</v>
      </c>
      <c r="G1894" t="s">
        <v>59</v>
      </c>
      <c r="H1894">
        <v>2023</v>
      </c>
    </row>
    <row r="1895" spans="1:8" x14ac:dyDescent="0.2">
      <c r="A1895">
        <v>21729</v>
      </c>
      <c r="B1895">
        <v>68296.2</v>
      </c>
      <c r="C1895" t="str">
        <f t="shared" si="29"/>
        <v>4. $250K-1M</v>
      </c>
      <c r="D1895" t="s">
        <v>1416</v>
      </c>
      <c r="E1895" t="s">
        <v>59</v>
      </c>
      <c r="F1895" t="s">
        <v>664</v>
      </c>
      <c r="G1895" t="s">
        <v>59</v>
      </c>
      <c r="H1895">
        <v>2023</v>
      </c>
    </row>
    <row r="1896" spans="1:8" x14ac:dyDescent="0.2">
      <c r="A1896">
        <v>217290</v>
      </c>
      <c r="B1896">
        <v>143426.20000000001</v>
      </c>
      <c r="C1896" t="str">
        <f t="shared" si="29"/>
        <v>3. $50K-250K</v>
      </c>
      <c r="D1896" t="s">
        <v>810</v>
      </c>
      <c r="E1896" t="s">
        <v>42</v>
      </c>
      <c r="F1896" t="s">
        <v>670</v>
      </c>
      <c r="G1896" t="s">
        <v>59</v>
      </c>
      <c r="H1896">
        <v>2023</v>
      </c>
    </row>
    <row r="1897" spans="1:8" x14ac:dyDescent="0.2">
      <c r="A1897">
        <v>217291</v>
      </c>
      <c r="B1897">
        <v>33421.800000000003</v>
      </c>
      <c r="C1897" t="str">
        <f t="shared" si="29"/>
        <v>3. $50K-250K</v>
      </c>
      <c r="D1897" t="s">
        <v>507</v>
      </c>
      <c r="E1897" t="s">
        <v>42</v>
      </c>
      <c r="F1897" t="s">
        <v>670</v>
      </c>
      <c r="G1897" t="s">
        <v>59</v>
      </c>
      <c r="H1897">
        <v>2023</v>
      </c>
    </row>
    <row r="1898" spans="1:8" x14ac:dyDescent="0.2">
      <c r="A1898">
        <v>217292</v>
      </c>
      <c r="B1898">
        <v>93002.6</v>
      </c>
      <c r="C1898" t="str">
        <f t="shared" si="29"/>
        <v>2. $10K-50K</v>
      </c>
      <c r="D1898" t="s">
        <v>507</v>
      </c>
      <c r="E1898" t="s">
        <v>42</v>
      </c>
      <c r="F1898" t="s">
        <v>670</v>
      </c>
      <c r="G1898" t="s">
        <v>59</v>
      </c>
      <c r="H1898">
        <v>2023</v>
      </c>
    </row>
    <row r="1899" spans="1:8" x14ac:dyDescent="0.2">
      <c r="A1899">
        <v>217293</v>
      </c>
      <c r="B1899">
        <v>163877</v>
      </c>
      <c r="C1899" t="str">
        <f t="shared" si="29"/>
        <v>3. $50K-250K</v>
      </c>
      <c r="D1899" t="s">
        <v>688</v>
      </c>
      <c r="E1899" t="s">
        <v>42</v>
      </c>
      <c r="F1899" t="s">
        <v>670</v>
      </c>
      <c r="G1899" t="s">
        <v>59</v>
      </c>
      <c r="H1899">
        <v>2023</v>
      </c>
    </row>
    <row r="1900" spans="1:8" x14ac:dyDescent="0.2">
      <c r="A1900">
        <v>217294</v>
      </c>
      <c r="B1900">
        <v>25222</v>
      </c>
      <c r="C1900" t="str">
        <f t="shared" si="29"/>
        <v>3. $50K-250K</v>
      </c>
      <c r="D1900" t="s">
        <v>686</v>
      </c>
      <c r="E1900" t="s">
        <v>42</v>
      </c>
      <c r="F1900" t="s">
        <v>670</v>
      </c>
      <c r="G1900" t="s">
        <v>59</v>
      </c>
      <c r="H1900">
        <v>2023</v>
      </c>
    </row>
    <row r="1901" spans="1:8" x14ac:dyDescent="0.2">
      <c r="A1901">
        <v>217295</v>
      </c>
      <c r="B1901">
        <v>240000</v>
      </c>
      <c r="C1901" t="str">
        <f t="shared" si="29"/>
        <v>2. $10K-50K</v>
      </c>
      <c r="D1901" t="s">
        <v>1026</v>
      </c>
      <c r="E1901" t="s">
        <v>42</v>
      </c>
      <c r="F1901" t="s">
        <v>670</v>
      </c>
      <c r="G1901" t="s">
        <v>59</v>
      </c>
      <c r="H1901">
        <v>2023</v>
      </c>
    </row>
    <row r="1902" spans="1:8" x14ac:dyDescent="0.2">
      <c r="A1902">
        <v>217297</v>
      </c>
      <c r="B1902">
        <v>70565.8</v>
      </c>
      <c r="C1902" t="str">
        <f t="shared" si="29"/>
        <v>3. $50K-250K</v>
      </c>
      <c r="D1902" t="s">
        <v>691</v>
      </c>
      <c r="E1902" t="s">
        <v>42</v>
      </c>
      <c r="F1902" t="s">
        <v>670</v>
      </c>
      <c r="G1902" t="s">
        <v>59</v>
      </c>
      <c r="H1902">
        <v>2023</v>
      </c>
    </row>
    <row r="1903" spans="1:8" x14ac:dyDescent="0.2">
      <c r="A1903">
        <v>217298</v>
      </c>
      <c r="B1903">
        <v>94023.3</v>
      </c>
      <c r="C1903" t="str">
        <f t="shared" si="29"/>
        <v>3. $50K-250K</v>
      </c>
      <c r="D1903" t="s">
        <v>811</v>
      </c>
      <c r="E1903" t="s">
        <v>42</v>
      </c>
      <c r="F1903" t="s">
        <v>670</v>
      </c>
      <c r="G1903" t="s">
        <v>59</v>
      </c>
      <c r="H1903">
        <v>2023</v>
      </c>
    </row>
    <row r="1904" spans="1:8" x14ac:dyDescent="0.2">
      <c r="A1904">
        <v>217299</v>
      </c>
      <c r="B1904">
        <v>59461.599999999999</v>
      </c>
      <c r="C1904" t="str">
        <f t="shared" si="29"/>
        <v>3. $50K-250K</v>
      </c>
      <c r="D1904" t="s">
        <v>809</v>
      </c>
      <c r="E1904" t="s">
        <v>42</v>
      </c>
      <c r="F1904" t="s">
        <v>670</v>
      </c>
      <c r="G1904" t="s">
        <v>59</v>
      </c>
      <c r="H1904">
        <v>2023</v>
      </c>
    </row>
    <row r="1905" spans="1:8" x14ac:dyDescent="0.2">
      <c r="A1905">
        <v>21730</v>
      </c>
      <c r="B1905">
        <v>575401.1</v>
      </c>
      <c r="C1905" t="str">
        <f t="shared" si="29"/>
        <v>3. $50K-250K</v>
      </c>
      <c r="D1905" t="s">
        <v>1417</v>
      </c>
      <c r="E1905" t="s">
        <v>59</v>
      </c>
      <c r="F1905" t="s">
        <v>664</v>
      </c>
      <c r="G1905" t="s">
        <v>59</v>
      </c>
      <c r="H1905">
        <v>2023</v>
      </c>
    </row>
    <row r="1906" spans="1:8" x14ac:dyDescent="0.2">
      <c r="A1906">
        <v>217300</v>
      </c>
      <c r="B1906">
        <v>79380</v>
      </c>
      <c r="C1906" t="str">
        <f t="shared" si="29"/>
        <v>4. $250K-1M</v>
      </c>
      <c r="D1906" t="s">
        <v>807</v>
      </c>
      <c r="E1906" t="s">
        <v>42</v>
      </c>
      <c r="F1906" t="s">
        <v>670</v>
      </c>
      <c r="G1906" t="s">
        <v>59</v>
      </c>
      <c r="H1906">
        <v>2023</v>
      </c>
    </row>
    <row r="1907" spans="1:8" x14ac:dyDescent="0.2">
      <c r="A1907">
        <v>217302</v>
      </c>
      <c r="B1907">
        <v>158597</v>
      </c>
      <c r="C1907" t="str">
        <f t="shared" si="29"/>
        <v>3. $50K-250K</v>
      </c>
      <c r="D1907" t="s">
        <v>808</v>
      </c>
      <c r="E1907" t="s">
        <v>42</v>
      </c>
      <c r="F1907" t="s">
        <v>670</v>
      </c>
      <c r="G1907" t="s">
        <v>59</v>
      </c>
      <c r="H1907">
        <v>2023</v>
      </c>
    </row>
    <row r="1908" spans="1:8" x14ac:dyDescent="0.2">
      <c r="A1908">
        <v>217303</v>
      </c>
      <c r="B1908">
        <v>200000</v>
      </c>
      <c r="C1908" t="str">
        <f t="shared" si="29"/>
        <v>3. $50K-250K</v>
      </c>
      <c r="D1908" t="s">
        <v>671</v>
      </c>
      <c r="E1908" t="s">
        <v>42</v>
      </c>
      <c r="F1908" t="s">
        <v>670</v>
      </c>
      <c r="G1908" t="s">
        <v>59</v>
      </c>
      <c r="H1908">
        <v>2023</v>
      </c>
    </row>
    <row r="1909" spans="1:8" x14ac:dyDescent="0.2">
      <c r="A1909">
        <v>217304</v>
      </c>
      <c r="B1909">
        <v>183537.2</v>
      </c>
      <c r="C1909" t="str">
        <f t="shared" si="29"/>
        <v>3. $50K-250K</v>
      </c>
      <c r="D1909" t="s">
        <v>1182</v>
      </c>
      <c r="E1909" t="s">
        <v>42</v>
      </c>
      <c r="F1909" t="s">
        <v>670</v>
      </c>
      <c r="G1909" t="s">
        <v>59</v>
      </c>
      <c r="H1909">
        <v>2023</v>
      </c>
    </row>
    <row r="1910" spans="1:8" x14ac:dyDescent="0.2">
      <c r="A1910">
        <v>217335</v>
      </c>
      <c r="B1910">
        <v>445000</v>
      </c>
      <c r="C1910" t="str">
        <f t="shared" si="29"/>
        <v>3. $50K-250K</v>
      </c>
      <c r="D1910" t="s">
        <v>1058</v>
      </c>
      <c r="E1910" t="s">
        <v>42</v>
      </c>
      <c r="F1910" t="s">
        <v>670</v>
      </c>
      <c r="G1910" t="s">
        <v>59</v>
      </c>
      <c r="H1910">
        <v>2023</v>
      </c>
    </row>
    <row r="1911" spans="1:8" x14ac:dyDescent="0.2">
      <c r="A1911">
        <v>217338</v>
      </c>
      <c r="B1911">
        <v>100000</v>
      </c>
      <c r="C1911" t="str">
        <f t="shared" si="29"/>
        <v>4. $250K-1M</v>
      </c>
      <c r="D1911" t="s">
        <v>812</v>
      </c>
      <c r="E1911" t="s">
        <v>42</v>
      </c>
      <c r="F1911" t="s">
        <v>670</v>
      </c>
      <c r="G1911" t="s">
        <v>59</v>
      </c>
      <c r="H1911">
        <v>2023</v>
      </c>
    </row>
    <row r="1912" spans="1:8" x14ac:dyDescent="0.2">
      <c r="A1912">
        <v>217339</v>
      </c>
      <c r="B1912">
        <v>119000</v>
      </c>
      <c r="C1912" t="str">
        <f t="shared" si="29"/>
        <v>3. $50K-250K</v>
      </c>
      <c r="D1912" t="s">
        <v>791</v>
      </c>
      <c r="E1912" t="s">
        <v>42</v>
      </c>
      <c r="F1912" t="s">
        <v>670</v>
      </c>
      <c r="G1912" t="s">
        <v>59</v>
      </c>
      <c r="H1912">
        <v>2023</v>
      </c>
    </row>
    <row r="1913" spans="1:8" x14ac:dyDescent="0.2">
      <c r="A1913">
        <v>21734</v>
      </c>
      <c r="B1913">
        <v>524727.5</v>
      </c>
      <c r="C1913" t="str">
        <f t="shared" si="29"/>
        <v>3. $50K-250K</v>
      </c>
      <c r="D1913" t="s">
        <v>1418</v>
      </c>
      <c r="E1913" t="s">
        <v>59</v>
      </c>
      <c r="F1913" t="s">
        <v>664</v>
      </c>
      <c r="G1913" t="s">
        <v>59</v>
      </c>
      <c r="H1913">
        <v>2023</v>
      </c>
    </row>
    <row r="1914" spans="1:8" x14ac:dyDescent="0.2">
      <c r="A1914">
        <v>217340</v>
      </c>
      <c r="B1914">
        <v>64012.4</v>
      </c>
      <c r="C1914" t="str">
        <f t="shared" si="29"/>
        <v>4. $250K-1M</v>
      </c>
      <c r="D1914" t="s">
        <v>601</v>
      </c>
      <c r="E1914" t="s">
        <v>42</v>
      </c>
      <c r="F1914" t="s">
        <v>670</v>
      </c>
      <c r="G1914" t="s">
        <v>59</v>
      </c>
      <c r="H1914">
        <v>2023</v>
      </c>
    </row>
    <row r="1915" spans="1:8" x14ac:dyDescent="0.2">
      <c r="A1915">
        <v>217341</v>
      </c>
      <c r="B1915">
        <v>72237</v>
      </c>
      <c r="C1915" t="str">
        <f t="shared" si="29"/>
        <v>3. $50K-250K</v>
      </c>
      <c r="D1915" t="s">
        <v>671</v>
      </c>
      <c r="E1915" t="s">
        <v>42</v>
      </c>
      <c r="F1915" t="s">
        <v>670</v>
      </c>
      <c r="G1915" t="s">
        <v>59</v>
      </c>
      <c r="H1915">
        <v>2023</v>
      </c>
    </row>
    <row r="1916" spans="1:8" x14ac:dyDescent="0.2">
      <c r="A1916">
        <v>217342</v>
      </c>
      <c r="B1916">
        <v>240000</v>
      </c>
      <c r="C1916" t="str">
        <f t="shared" si="29"/>
        <v>3. $50K-250K</v>
      </c>
      <c r="D1916" t="s">
        <v>686</v>
      </c>
      <c r="E1916" t="s">
        <v>42</v>
      </c>
      <c r="F1916" t="s">
        <v>670</v>
      </c>
      <c r="G1916" t="s">
        <v>59</v>
      </c>
      <c r="H1916">
        <v>2023</v>
      </c>
    </row>
    <row r="1917" spans="1:8" x14ac:dyDescent="0.2">
      <c r="A1917">
        <v>217343</v>
      </c>
      <c r="B1917">
        <v>400000</v>
      </c>
      <c r="C1917" t="str">
        <f t="shared" si="29"/>
        <v>3. $50K-250K</v>
      </c>
      <c r="D1917" t="s">
        <v>977</v>
      </c>
      <c r="E1917" t="s">
        <v>42</v>
      </c>
      <c r="F1917" t="s">
        <v>670</v>
      </c>
      <c r="G1917" t="s">
        <v>59</v>
      </c>
      <c r="H1917">
        <v>2023</v>
      </c>
    </row>
    <row r="1918" spans="1:8" x14ac:dyDescent="0.2">
      <c r="A1918">
        <v>217344</v>
      </c>
      <c r="B1918">
        <v>240052</v>
      </c>
      <c r="C1918" t="str">
        <f t="shared" si="29"/>
        <v>4. $250K-1M</v>
      </c>
      <c r="D1918" t="s">
        <v>808</v>
      </c>
      <c r="E1918" t="s">
        <v>42</v>
      </c>
      <c r="F1918" t="s">
        <v>670</v>
      </c>
      <c r="G1918" t="s">
        <v>59</v>
      </c>
      <c r="H1918">
        <v>2023</v>
      </c>
    </row>
    <row r="1919" spans="1:8" x14ac:dyDescent="0.2">
      <c r="A1919">
        <v>217345</v>
      </c>
      <c r="B1919">
        <v>39233.4</v>
      </c>
      <c r="C1919" t="str">
        <f t="shared" si="29"/>
        <v>3. $50K-250K</v>
      </c>
      <c r="D1919" t="s">
        <v>685</v>
      </c>
      <c r="E1919" t="s">
        <v>42</v>
      </c>
      <c r="F1919" t="s">
        <v>670</v>
      </c>
      <c r="G1919" t="s">
        <v>59</v>
      </c>
      <c r="H1919">
        <v>2023</v>
      </c>
    </row>
    <row r="1920" spans="1:8" x14ac:dyDescent="0.2">
      <c r="A1920">
        <v>217346</v>
      </c>
      <c r="B1920">
        <v>438210.2</v>
      </c>
      <c r="C1920" t="str">
        <f t="shared" si="29"/>
        <v>2. $10K-50K</v>
      </c>
      <c r="D1920" t="s">
        <v>1009</v>
      </c>
      <c r="E1920" t="s">
        <v>42</v>
      </c>
      <c r="F1920" t="s">
        <v>670</v>
      </c>
      <c r="G1920" t="s">
        <v>59</v>
      </c>
      <c r="H1920">
        <v>2023</v>
      </c>
    </row>
    <row r="1921" spans="1:8" x14ac:dyDescent="0.2">
      <c r="A1921">
        <v>217363</v>
      </c>
      <c r="B1921">
        <v>450000</v>
      </c>
      <c r="C1921" t="str">
        <f t="shared" si="29"/>
        <v>4. $250K-1M</v>
      </c>
      <c r="D1921" t="s">
        <v>1419</v>
      </c>
      <c r="E1921" t="s">
        <v>59</v>
      </c>
      <c r="F1921" t="s">
        <v>670</v>
      </c>
      <c r="G1921" t="s">
        <v>59</v>
      </c>
      <c r="H1921">
        <v>2023</v>
      </c>
    </row>
    <row r="1922" spans="1:8" x14ac:dyDescent="0.2">
      <c r="A1922">
        <v>217366</v>
      </c>
      <c r="B1922">
        <v>242247.5</v>
      </c>
      <c r="C1922" t="str">
        <f t="shared" si="29"/>
        <v>4. $250K-1M</v>
      </c>
      <c r="D1922" t="s">
        <v>837</v>
      </c>
      <c r="E1922" t="s">
        <v>891</v>
      </c>
      <c r="F1922" t="s">
        <v>670</v>
      </c>
      <c r="G1922" t="s">
        <v>59</v>
      </c>
      <c r="H1922">
        <v>2023</v>
      </c>
    </row>
    <row r="1923" spans="1:8" x14ac:dyDescent="0.2">
      <c r="A1923">
        <v>217367</v>
      </c>
      <c r="B1923">
        <v>113095.3</v>
      </c>
      <c r="C1923" t="str">
        <f t="shared" ref="C1923:C1986" si="30">IF(B1922&lt;10000,"1. Under $10K",IF(B1922&lt;50000,"2. $10K-50K",IF(B1922&lt;250000,"3. $50K-250K",IF(B1922&lt;1000000,"4. $250K-1M","5. $1M+"))))</f>
        <v>3. $50K-250K</v>
      </c>
      <c r="D1923" t="s">
        <v>548</v>
      </c>
      <c r="E1923" t="s">
        <v>237</v>
      </c>
      <c r="F1923" t="s">
        <v>670</v>
      </c>
      <c r="G1923" t="s">
        <v>59</v>
      </c>
      <c r="H1923">
        <v>2023</v>
      </c>
    </row>
    <row r="1924" spans="1:8" x14ac:dyDescent="0.2">
      <c r="A1924">
        <v>21738</v>
      </c>
      <c r="B1924">
        <v>1890</v>
      </c>
      <c r="C1924" t="str">
        <f t="shared" si="30"/>
        <v>3. $50K-250K</v>
      </c>
      <c r="D1924" t="s">
        <v>1420</v>
      </c>
      <c r="E1924" t="s">
        <v>59</v>
      </c>
      <c r="F1924" t="s">
        <v>664</v>
      </c>
      <c r="G1924" t="s">
        <v>59</v>
      </c>
      <c r="H1924">
        <v>2023</v>
      </c>
    </row>
    <row r="1925" spans="1:8" x14ac:dyDescent="0.2">
      <c r="A1925">
        <v>217381</v>
      </c>
      <c r="B1925">
        <v>185597.8</v>
      </c>
      <c r="C1925" t="str">
        <f t="shared" si="30"/>
        <v>1. Under $10K</v>
      </c>
      <c r="D1925" t="s">
        <v>1004</v>
      </c>
      <c r="E1925" t="s">
        <v>42</v>
      </c>
      <c r="F1925" t="s">
        <v>670</v>
      </c>
      <c r="G1925" t="s">
        <v>59</v>
      </c>
      <c r="H1925">
        <v>2023</v>
      </c>
    </row>
    <row r="1926" spans="1:8" x14ac:dyDescent="0.2">
      <c r="A1926">
        <v>217384</v>
      </c>
      <c r="B1926">
        <v>226242.8</v>
      </c>
      <c r="C1926" t="str">
        <f t="shared" si="30"/>
        <v>3. $50K-250K</v>
      </c>
      <c r="D1926" t="s">
        <v>702</v>
      </c>
      <c r="E1926" t="s">
        <v>42</v>
      </c>
      <c r="F1926" t="s">
        <v>670</v>
      </c>
      <c r="G1926" t="s">
        <v>59</v>
      </c>
      <c r="H1926">
        <v>2023</v>
      </c>
    </row>
    <row r="1927" spans="1:8" x14ac:dyDescent="0.2">
      <c r="A1927">
        <v>217401</v>
      </c>
      <c r="B1927">
        <v>436362.1</v>
      </c>
      <c r="C1927" t="str">
        <f t="shared" si="30"/>
        <v>3. $50K-250K</v>
      </c>
      <c r="D1927" t="s">
        <v>783</v>
      </c>
      <c r="E1927" t="s">
        <v>237</v>
      </c>
      <c r="F1927" t="s">
        <v>670</v>
      </c>
      <c r="G1927" t="s">
        <v>59</v>
      </c>
      <c r="H1927">
        <v>2023</v>
      </c>
    </row>
    <row r="1928" spans="1:8" x14ac:dyDescent="0.2">
      <c r="A1928">
        <v>217402</v>
      </c>
      <c r="B1928">
        <v>410483.9</v>
      </c>
      <c r="C1928" t="str">
        <f t="shared" si="30"/>
        <v>4. $250K-1M</v>
      </c>
      <c r="D1928" t="s">
        <v>983</v>
      </c>
      <c r="E1928" t="s">
        <v>237</v>
      </c>
      <c r="F1928" t="s">
        <v>670</v>
      </c>
      <c r="G1928" t="s">
        <v>59</v>
      </c>
      <c r="H1928">
        <v>2023</v>
      </c>
    </row>
    <row r="1929" spans="1:8" x14ac:dyDescent="0.2">
      <c r="A1929">
        <v>217403</v>
      </c>
      <c r="B1929">
        <v>368698.4</v>
      </c>
      <c r="C1929" t="str">
        <f t="shared" si="30"/>
        <v>4. $250K-1M</v>
      </c>
      <c r="D1929" t="s">
        <v>925</v>
      </c>
      <c r="E1929" t="s">
        <v>237</v>
      </c>
      <c r="F1929" t="s">
        <v>670</v>
      </c>
      <c r="G1929" t="s">
        <v>59</v>
      </c>
      <c r="H1929">
        <v>2023</v>
      </c>
    </row>
    <row r="1930" spans="1:8" x14ac:dyDescent="0.2">
      <c r="A1930">
        <v>217404</v>
      </c>
      <c r="B1930">
        <v>882202</v>
      </c>
      <c r="C1930" t="str">
        <f t="shared" si="30"/>
        <v>4. $250K-1M</v>
      </c>
      <c r="D1930" t="s">
        <v>801</v>
      </c>
      <c r="E1930" t="s">
        <v>237</v>
      </c>
      <c r="F1930" t="s">
        <v>670</v>
      </c>
      <c r="G1930" t="s">
        <v>59</v>
      </c>
      <c r="H1930">
        <v>2023</v>
      </c>
    </row>
    <row r="1931" spans="1:8" x14ac:dyDescent="0.2">
      <c r="A1931">
        <v>21741</v>
      </c>
      <c r="B1931">
        <v>180432</v>
      </c>
      <c r="C1931" t="str">
        <f t="shared" si="30"/>
        <v>4. $250K-1M</v>
      </c>
      <c r="D1931" t="s">
        <v>1421</v>
      </c>
      <c r="E1931" t="s">
        <v>59</v>
      </c>
      <c r="F1931" t="s">
        <v>664</v>
      </c>
      <c r="G1931" t="s">
        <v>59</v>
      </c>
      <c r="H1931">
        <v>2023</v>
      </c>
    </row>
    <row r="1932" spans="1:8" x14ac:dyDescent="0.2">
      <c r="A1932">
        <v>21747</v>
      </c>
      <c r="B1932">
        <v>2769688.6</v>
      </c>
      <c r="C1932" t="str">
        <f t="shared" si="30"/>
        <v>3. $50K-250K</v>
      </c>
      <c r="D1932" t="s">
        <v>1422</v>
      </c>
      <c r="E1932" t="s">
        <v>59</v>
      </c>
      <c r="F1932" t="s">
        <v>664</v>
      </c>
      <c r="G1932" t="s">
        <v>59</v>
      </c>
      <c r="H1932">
        <v>2023</v>
      </c>
    </row>
    <row r="1933" spans="1:8" x14ac:dyDescent="0.2">
      <c r="A1933">
        <v>217506</v>
      </c>
      <c r="B1933">
        <v>273207.8</v>
      </c>
      <c r="C1933" t="str">
        <f t="shared" si="30"/>
        <v>5. $1M+</v>
      </c>
      <c r="D1933" t="s">
        <v>848</v>
      </c>
      <c r="E1933" t="s">
        <v>42</v>
      </c>
      <c r="F1933" t="s">
        <v>670</v>
      </c>
      <c r="G1933" t="s">
        <v>59</v>
      </c>
      <c r="H1933">
        <v>2023</v>
      </c>
    </row>
    <row r="1934" spans="1:8" x14ac:dyDescent="0.2">
      <c r="A1934">
        <v>217507</v>
      </c>
      <c r="B1934">
        <v>50822</v>
      </c>
      <c r="C1934" t="str">
        <f t="shared" si="30"/>
        <v>4. $250K-1M</v>
      </c>
      <c r="D1934" t="s">
        <v>689</v>
      </c>
      <c r="E1934" t="s">
        <v>42</v>
      </c>
      <c r="F1934" t="s">
        <v>670</v>
      </c>
      <c r="G1934" t="s">
        <v>59</v>
      </c>
      <c r="H1934">
        <v>2023</v>
      </c>
    </row>
    <row r="1935" spans="1:8" x14ac:dyDescent="0.2">
      <c r="A1935">
        <v>217513</v>
      </c>
      <c r="B1935">
        <v>321965</v>
      </c>
      <c r="C1935" t="str">
        <f t="shared" si="30"/>
        <v>3. $50K-250K</v>
      </c>
      <c r="D1935" t="s">
        <v>1423</v>
      </c>
      <c r="E1935" t="s">
        <v>59</v>
      </c>
      <c r="F1935" t="s">
        <v>670</v>
      </c>
      <c r="G1935" t="s">
        <v>59</v>
      </c>
      <c r="H1935">
        <v>2023</v>
      </c>
    </row>
    <row r="1936" spans="1:8" x14ac:dyDescent="0.2">
      <c r="A1936">
        <v>217514</v>
      </c>
      <c r="B1936">
        <v>452566.39999999898</v>
      </c>
      <c r="C1936" t="str">
        <f t="shared" si="30"/>
        <v>4. $250K-1M</v>
      </c>
      <c r="D1936" t="s">
        <v>230</v>
      </c>
      <c r="E1936" t="s">
        <v>18</v>
      </c>
      <c r="F1936" t="s">
        <v>231</v>
      </c>
      <c r="G1936" t="s">
        <v>59</v>
      </c>
      <c r="H1936">
        <v>2023</v>
      </c>
    </row>
    <row r="1937" spans="1:8" x14ac:dyDescent="0.2">
      <c r="A1937">
        <v>217523</v>
      </c>
      <c r="B1937">
        <v>637538.4</v>
      </c>
      <c r="C1937" t="str">
        <f t="shared" si="30"/>
        <v>4. $250K-1M</v>
      </c>
      <c r="D1937" t="s">
        <v>848</v>
      </c>
      <c r="E1937" t="s">
        <v>42</v>
      </c>
      <c r="F1937" t="s">
        <v>670</v>
      </c>
      <c r="G1937" t="s">
        <v>59</v>
      </c>
      <c r="H1937">
        <v>2023</v>
      </c>
    </row>
    <row r="1938" spans="1:8" x14ac:dyDescent="0.2">
      <c r="A1938">
        <v>217524</v>
      </c>
      <c r="B1938">
        <v>214802.1</v>
      </c>
      <c r="C1938" t="str">
        <f t="shared" si="30"/>
        <v>4. $250K-1M</v>
      </c>
      <c r="D1938" t="s">
        <v>793</v>
      </c>
      <c r="E1938" t="s">
        <v>42</v>
      </c>
      <c r="F1938" t="s">
        <v>670</v>
      </c>
      <c r="G1938" t="s">
        <v>59</v>
      </c>
      <c r="H1938">
        <v>2023</v>
      </c>
    </row>
    <row r="1939" spans="1:8" x14ac:dyDescent="0.2">
      <c r="A1939">
        <v>217608</v>
      </c>
      <c r="B1939">
        <v>78673.7</v>
      </c>
      <c r="C1939" t="str">
        <f t="shared" si="30"/>
        <v>3. $50K-250K</v>
      </c>
      <c r="D1939" t="s">
        <v>1424</v>
      </c>
      <c r="E1939" t="s">
        <v>432</v>
      </c>
      <c r="F1939" t="s">
        <v>670</v>
      </c>
      <c r="G1939" t="s">
        <v>59</v>
      </c>
      <c r="H1939">
        <v>2023</v>
      </c>
    </row>
    <row r="1940" spans="1:8" x14ac:dyDescent="0.2">
      <c r="A1940">
        <v>217609</v>
      </c>
      <c r="B1940">
        <v>63000</v>
      </c>
      <c r="C1940" t="str">
        <f t="shared" si="30"/>
        <v>3. $50K-250K</v>
      </c>
      <c r="D1940" t="s">
        <v>1056</v>
      </c>
      <c r="E1940" t="s">
        <v>42</v>
      </c>
      <c r="F1940" t="s">
        <v>670</v>
      </c>
      <c r="G1940" t="s">
        <v>59</v>
      </c>
      <c r="H1940">
        <v>2023</v>
      </c>
    </row>
    <row r="1941" spans="1:8" x14ac:dyDescent="0.2">
      <c r="A1941">
        <v>217647</v>
      </c>
      <c r="B1941">
        <v>2229517.4</v>
      </c>
      <c r="C1941" t="str">
        <f t="shared" si="30"/>
        <v>3. $50K-250K</v>
      </c>
      <c r="D1941" t="s">
        <v>863</v>
      </c>
      <c r="E1941" t="s">
        <v>237</v>
      </c>
      <c r="F1941" t="s">
        <v>670</v>
      </c>
      <c r="G1941" t="s">
        <v>59</v>
      </c>
      <c r="H1941">
        <v>2023</v>
      </c>
    </row>
    <row r="1942" spans="1:8" x14ac:dyDescent="0.2">
      <c r="A1942">
        <v>21773</v>
      </c>
      <c r="B1942">
        <v>3046087.2</v>
      </c>
      <c r="C1942" t="str">
        <f t="shared" si="30"/>
        <v>5. $1M+</v>
      </c>
      <c r="D1942" t="s">
        <v>1422</v>
      </c>
      <c r="E1942" t="s">
        <v>59</v>
      </c>
      <c r="F1942" t="s">
        <v>664</v>
      </c>
      <c r="G1942" t="s">
        <v>59</v>
      </c>
      <c r="H1942">
        <v>2023</v>
      </c>
    </row>
    <row r="1943" spans="1:8" x14ac:dyDescent="0.2">
      <c r="A1943">
        <v>21774</v>
      </c>
      <c r="B1943">
        <v>567636</v>
      </c>
      <c r="C1943" t="str">
        <f t="shared" si="30"/>
        <v>5. $1M+</v>
      </c>
      <c r="D1943" t="s">
        <v>1425</v>
      </c>
      <c r="E1943" t="s">
        <v>59</v>
      </c>
      <c r="F1943" t="s">
        <v>664</v>
      </c>
      <c r="G1943" t="s">
        <v>59</v>
      </c>
      <c r="H1943">
        <v>2023</v>
      </c>
    </row>
    <row r="1944" spans="1:8" x14ac:dyDescent="0.2">
      <c r="A1944">
        <v>217753</v>
      </c>
      <c r="B1944">
        <v>84300000</v>
      </c>
      <c r="C1944" t="str">
        <f t="shared" si="30"/>
        <v>4. $250K-1M</v>
      </c>
      <c r="D1944" t="s">
        <v>1426</v>
      </c>
      <c r="E1944" t="s">
        <v>52</v>
      </c>
      <c r="F1944" t="s">
        <v>668</v>
      </c>
      <c r="G1944" t="s">
        <v>59</v>
      </c>
      <c r="H1944">
        <v>2023</v>
      </c>
    </row>
    <row r="1945" spans="1:8" x14ac:dyDescent="0.2">
      <c r="A1945">
        <v>217770</v>
      </c>
      <c r="B1945">
        <v>1754400</v>
      </c>
      <c r="C1945" t="str">
        <f t="shared" si="30"/>
        <v>5. $1M+</v>
      </c>
      <c r="D1945" t="s">
        <v>917</v>
      </c>
      <c r="E1945" t="s">
        <v>237</v>
      </c>
      <c r="F1945" t="s">
        <v>670</v>
      </c>
      <c r="G1945" t="s">
        <v>59</v>
      </c>
      <c r="H1945">
        <v>2023</v>
      </c>
    </row>
    <row r="1946" spans="1:8" x14ac:dyDescent="0.2">
      <c r="A1946">
        <v>21780</v>
      </c>
      <c r="B1946">
        <v>445574</v>
      </c>
      <c r="C1946" t="str">
        <f t="shared" si="30"/>
        <v>5. $1M+</v>
      </c>
      <c r="D1946" t="s">
        <v>1427</v>
      </c>
      <c r="E1946" t="s">
        <v>59</v>
      </c>
      <c r="F1946" t="s">
        <v>664</v>
      </c>
      <c r="G1946" t="s">
        <v>59</v>
      </c>
      <c r="H1946">
        <v>2023</v>
      </c>
    </row>
    <row r="1947" spans="1:8" x14ac:dyDescent="0.2">
      <c r="A1947">
        <v>217801</v>
      </c>
      <c r="B1947">
        <v>62950.5</v>
      </c>
      <c r="C1947" t="str">
        <f t="shared" si="30"/>
        <v>4. $250K-1M</v>
      </c>
      <c r="D1947" t="s">
        <v>724</v>
      </c>
      <c r="E1947" t="s">
        <v>237</v>
      </c>
      <c r="F1947" t="s">
        <v>670</v>
      </c>
      <c r="G1947" t="s">
        <v>59</v>
      </c>
      <c r="H1947">
        <v>2023</v>
      </c>
    </row>
    <row r="1948" spans="1:8" x14ac:dyDescent="0.2">
      <c r="A1948">
        <v>217812</v>
      </c>
      <c r="B1948">
        <v>19600</v>
      </c>
      <c r="C1948" t="str">
        <f t="shared" si="30"/>
        <v>3. $50K-250K</v>
      </c>
      <c r="D1948" t="s">
        <v>694</v>
      </c>
      <c r="E1948" t="s">
        <v>237</v>
      </c>
      <c r="F1948" t="s">
        <v>670</v>
      </c>
      <c r="G1948" t="s">
        <v>59</v>
      </c>
      <c r="H1948">
        <v>2023</v>
      </c>
    </row>
    <row r="1949" spans="1:8" x14ac:dyDescent="0.2">
      <c r="A1949">
        <v>217850</v>
      </c>
      <c r="B1949">
        <v>103500</v>
      </c>
      <c r="C1949" t="str">
        <f t="shared" si="30"/>
        <v>2. $10K-50K</v>
      </c>
      <c r="D1949" t="s">
        <v>1069</v>
      </c>
      <c r="E1949" t="s">
        <v>237</v>
      </c>
      <c r="F1949" t="s">
        <v>670</v>
      </c>
      <c r="G1949" t="s">
        <v>59</v>
      </c>
      <c r="H1949">
        <v>2023</v>
      </c>
    </row>
    <row r="1950" spans="1:8" x14ac:dyDescent="0.2">
      <c r="A1950">
        <v>217887</v>
      </c>
      <c r="B1950">
        <v>125000</v>
      </c>
      <c r="C1950" t="str">
        <f t="shared" si="30"/>
        <v>3. $50K-250K</v>
      </c>
      <c r="D1950" t="s">
        <v>908</v>
      </c>
      <c r="E1950" t="s">
        <v>237</v>
      </c>
      <c r="F1950" t="s">
        <v>670</v>
      </c>
      <c r="G1950" t="s">
        <v>59</v>
      </c>
      <c r="H1950">
        <v>2023</v>
      </c>
    </row>
    <row r="1951" spans="1:8" x14ac:dyDescent="0.2">
      <c r="A1951">
        <v>217899</v>
      </c>
      <c r="B1951">
        <v>2645279</v>
      </c>
      <c r="C1951" t="str">
        <f t="shared" si="30"/>
        <v>3. $50K-250K</v>
      </c>
      <c r="D1951" t="s">
        <v>1428</v>
      </c>
      <c r="E1951" t="s">
        <v>99</v>
      </c>
      <c r="F1951" t="s">
        <v>668</v>
      </c>
      <c r="G1951" t="s">
        <v>59</v>
      </c>
      <c r="H1951">
        <v>2023</v>
      </c>
    </row>
    <row r="1952" spans="1:8" x14ac:dyDescent="0.2">
      <c r="A1952">
        <v>217901</v>
      </c>
      <c r="B1952">
        <v>2001441</v>
      </c>
      <c r="C1952" t="str">
        <f t="shared" si="30"/>
        <v>5. $1M+</v>
      </c>
      <c r="D1952" t="s">
        <v>1429</v>
      </c>
      <c r="E1952" t="s">
        <v>28</v>
      </c>
      <c r="F1952" t="s">
        <v>668</v>
      </c>
      <c r="G1952" t="s">
        <v>59</v>
      </c>
      <c r="H1952">
        <v>2023</v>
      </c>
    </row>
    <row r="1953" spans="1:8" x14ac:dyDescent="0.2">
      <c r="A1953">
        <v>217904</v>
      </c>
      <c r="B1953">
        <v>24750</v>
      </c>
      <c r="C1953" t="str">
        <f t="shared" si="30"/>
        <v>5. $1M+</v>
      </c>
      <c r="D1953" t="s">
        <v>249</v>
      </c>
      <c r="E1953" t="s">
        <v>132</v>
      </c>
      <c r="F1953" t="s">
        <v>133</v>
      </c>
      <c r="G1953" t="s">
        <v>211</v>
      </c>
      <c r="H1953">
        <v>2023</v>
      </c>
    </row>
    <row r="1954" spans="1:8" x14ac:dyDescent="0.2">
      <c r="A1954">
        <v>217916</v>
      </c>
      <c r="B1954">
        <v>88906.6</v>
      </c>
      <c r="C1954" t="str">
        <f t="shared" si="30"/>
        <v>2. $10K-50K</v>
      </c>
      <c r="D1954" t="s">
        <v>802</v>
      </c>
      <c r="E1954" t="s">
        <v>237</v>
      </c>
      <c r="F1954" t="s">
        <v>670</v>
      </c>
      <c r="G1954" t="s">
        <v>59</v>
      </c>
      <c r="H1954">
        <v>2023</v>
      </c>
    </row>
    <row r="1955" spans="1:8" x14ac:dyDescent="0.2">
      <c r="A1955">
        <v>217920</v>
      </c>
      <c r="B1955">
        <v>300000</v>
      </c>
      <c r="C1955" t="str">
        <f t="shared" si="30"/>
        <v>3. $50K-250K</v>
      </c>
      <c r="D1955" t="s">
        <v>791</v>
      </c>
      <c r="E1955" t="s">
        <v>59</v>
      </c>
      <c r="F1955" t="s">
        <v>670</v>
      </c>
      <c r="G1955" t="s">
        <v>59</v>
      </c>
      <c r="H1955">
        <v>2023</v>
      </c>
    </row>
    <row r="1956" spans="1:8" x14ac:dyDescent="0.2">
      <c r="A1956">
        <v>217951</v>
      </c>
      <c r="B1956">
        <v>246411.7</v>
      </c>
      <c r="C1956" t="str">
        <f t="shared" si="30"/>
        <v>4. $250K-1M</v>
      </c>
      <c r="D1956" t="s">
        <v>988</v>
      </c>
      <c r="E1956" t="s">
        <v>237</v>
      </c>
      <c r="F1956" t="s">
        <v>670</v>
      </c>
      <c r="G1956" t="s">
        <v>59</v>
      </c>
      <c r="H1956">
        <v>2023</v>
      </c>
    </row>
    <row r="1957" spans="1:8" x14ac:dyDescent="0.2">
      <c r="A1957">
        <v>217956</v>
      </c>
      <c r="B1957">
        <v>105157</v>
      </c>
      <c r="C1957" t="str">
        <f t="shared" si="30"/>
        <v>3. $50K-250K</v>
      </c>
      <c r="D1957" t="s">
        <v>1430</v>
      </c>
      <c r="E1957" t="s">
        <v>59</v>
      </c>
      <c r="F1957" t="s">
        <v>664</v>
      </c>
      <c r="G1957" t="s">
        <v>59</v>
      </c>
      <c r="H1957">
        <v>2023</v>
      </c>
    </row>
    <row r="1958" spans="1:8" x14ac:dyDescent="0.2">
      <c r="A1958">
        <v>217957</v>
      </c>
      <c r="B1958">
        <v>347204.8</v>
      </c>
      <c r="C1958" t="str">
        <f t="shared" si="30"/>
        <v>3. $50K-250K</v>
      </c>
      <c r="D1958" t="s">
        <v>791</v>
      </c>
      <c r="E1958" t="s">
        <v>42</v>
      </c>
      <c r="F1958" t="s">
        <v>670</v>
      </c>
      <c r="G1958" t="s">
        <v>59</v>
      </c>
      <c r="H1958">
        <v>2023</v>
      </c>
    </row>
    <row r="1959" spans="1:8" x14ac:dyDescent="0.2">
      <c r="A1959">
        <v>217959</v>
      </c>
      <c r="B1959">
        <v>110000</v>
      </c>
      <c r="C1959" t="str">
        <f t="shared" si="30"/>
        <v>4. $250K-1M</v>
      </c>
      <c r="D1959" t="s">
        <v>1424</v>
      </c>
      <c r="E1959" t="s">
        <v>432</v>
      </c>
      <c r="F1959" t="s">
        <v>670</v>
      </c>
      <c r="G1959" t="s">
        <v>44</v>
      </c>
      <c r="H1959">
        <v>2023</v>
      </c>
    </row>
    <row r="1960" spans="1:8" x14ac:dyDescent="0.2">
      <c r="A1960">
        <v>217960</v>
      </c>
      <c r="B1960">
        <v>60000</v>
      </c>
      <c r="C1960" t="str">
        <f t="shared" si="30"/>
        <v>3. $50K-250K</v>
      </c>
      <c r="D1960" t="s">
        <v>880</v>
      </c>
      <c r="E1960" t="s">
        <v>432</v>
      </c>
      <c r="F1960" t="s">
        <v>670</v>
      </c>
      <c r="G1960" t="s">
        <v>44</v>
      </c>
      <c r="H1960">
        <v>2023</v>
      </c>
    </row>
    <row r="1961" spans="1:8" x14ac:dyDescent="0.2">
      <c r="A1961">
        <v>217961</v>
      </c>
      <c r="B1961">
        <v>80000</v>
      </c>
      <c r="C1961" t="str">
        <f t="shared" si="30"/>
        <v>3. $50K-250K</v>
      </c>
      <c r="D1961" t="s">
        <v>1431</v>
      </c>
      <c r="E1961" t="s">
        <v>432</v>
      </c>
      <c r="F1961" t="s">
        <v>670</v>
      </c>
      <c r="G1961" t="s">
        <v>44</v>
      </c>
      <c r="H1961">
        <v>2023</v>
      </c>
    </row>
    <row r="1962" spans="1:8" x14ac:dyDescent="0.2">
      <c r="A1962">
        <v>217962</v>
      </c>
      <c r="B1962">
        <v>80000</v>
      </c>
      <c r="C1962" t="str">
        <f t="shared" si="30"/>
        <v>3. $50K-250K</v>
      </c>
      <c r="D1962" t="s">
        <v>818</v>
      </c>
      <c r="E1962" t="s">
        <v>432</v>
      </c>
      <c r="F1962" t="s">
        <v>670</v>
      </c>
      <c r="G1962" t="s">
        <v>44</v>
      </c>
      <c r="H1962">
        <v>2023</v>
      </c>
    </row>
    <row r="1963" spans="1:8" x14ac:dyDescent="0.2">
      <c r="A1963">
        <v>217963</v>
      </c>
      <c r="B1963">
        <v>110000</v>
      </c>
      <c r="C1963" t="str">
        <f t="shared" si="30"/>
        <v>3. $50K-250K</v>
      </c>
      <c r="D1963" t="s">
        <v>1367</v>
      </c>
      <c r="E1963" t="s">
        <v>819</v>
      </c>
      <c r="F1963" t="s">
        <v>670</v>
      </c>
      <c r="G1963" t="s">
        <v>44</v>
      </c>
      <c r="H1963">
        <v>2023</v>
      </c>
    </row>
    <row r="1964" spans="1:8" x14ac:dyDescent="0.2">
      <c r="A1964">
        <v>217964</v>
      </c>
      <c r="B1964">
        <v>60000</v>
      </c>
      <c r="C1964" t="str">
        <f t="shared" si="30"/>
        <v>3. $50K-250K</v>
      </c>
      <c r="D1964" t="s">
        <v>1432</v>
      </c>
      <c r="E1964" t="s">
        <v>819</v>
      </c>
      <c r="F1964" t="s">
        <v>670</v>
      </c>
      <c r="G1964" t="s">
        <v>44</v>
      </c>
      <c r="H1964">
        <v>2023</v>
      </c>
    </row>
    <row r="1965" spans="1:8" x14ac:dyDescent="0.2">
      <c r="A1965">
        <v>217965</v>
      </c>
      <c r="B1965">
        <v>50000</v>
      </c>
      <c r="C1965" t="str">
        <f t="shared" si="30"/>
        <v>3. $50K-250K</v>
      </c>
      <c r="D1965" t="s">
        <v>943</v>
      </c>
      <c r="E1965" t="s">
        <v>432</v>
      </c>
      <c r="F1965" t="s">
        <v>670</v>
      </c>
      <c r="G1965" t="s">
        <v>44</v>
      </c>
      <c r="H1965">
        <v>2023</v>
      </c>
    </row>
    <row r="1966" spans="1:8" x14ac:dyDescent="0.2">
      <c r="A1966">
        <v>217966</v>
      </c>
      <c r="B1966">
        <v>80000</v>
      </c>
      <c r="C1966" t="str">
        <f t="shared" si="30"/>
        <v>3. $50K-250K</v>
      </c>
      <c r="D1966" t="s">
        <v>1433</v>
      </c>
      <c r="E1966" t="s">
        <v>819</v>
      </c>
      <c r="F1966" t="s">
        <v>670</v>
      </c>
      <c r="G1966" t="s">
        <v>44</v>
      </c>
      <c r="H1966">
        <v>2023</v>
      </c>
    </row>
    <row r="1967" spans="1:8" x14ac:dyDescent="0.2">
      <c r="A1967">
        <v>217967</v>
      </c>
      <c r="B1967">
        <v>40000</v>
      </c>
      <c r="C1967" t="str">
        <f t="shared" si="30"/>
        <v>3. $50K-250K</v>
      </c>
      <c r="D1967" t="s">
        <v>1434</v>
      </c>
      <c r="E1967" t="s">
        <v>819</v>
      </c>
      <c r="F1967" t="s">
        <v>670</v>
      </c>
      <c r="G1967" t="s">
        <v>44</v>
      </c>
      <c r="H1967">
        <v>2023</v>
      </c>
    </row>
    <row r="1968" spans="1:8" x14ac:dyDescent="0.2">
      <c r="A1968">
        <v>217968</v>
      </c>
      <c r="B1968">
        <v>50000</v>
      </c>
      <c r="C1968" t="str">
        <f t="shared" si="30"/>
        <v>2. $10K-50K</v>
      </c>
      <c r="D1968" t="s">
        <v>1435</v>
      </c>
      <c r="E1968" t="s">
        <v>819</v>
      </c>
      <c r="F1968" t="s">
        <v>670</v>
      </c>
      <c r="G1968" t="s">
        <v>44</v>
      </c>
      <c r="H1968">
        <v>2023</v>
      </c>
    </row>
    <row r="1969" spans="1:8" x14ac:dyDescent="0.2">
      <c r="A1969">
        <v>217969</v>
      </c>
      <c r="B1969">
        <v>128454</v>
      </c>
      <c r="C1969" t="str">
        <f t="shared" si="30"/>
        <v>3. $50K-250K</v>
      </c>
      <c r="D1969" t="s">
        <v>1436</v>
      </c>
      <c r="E1969" t="s">
        <v>819</v>
      </c>
      <c r="F1969" t="s">
        <v>670</v>
      </c>
      <c r="G1969" t="s">
        <v>44</v>
      </c>
      <c r="H1969">
        <v>2023</v>
      </c>
    </row>
    <row r="1970" spans="1:8" x14ac:dyDescent="0.2">
      <c r="A1970">
        <v>217970</v>
      </c>
      <c r="B1970">
        <v>100000</v>
      </c>
      <c r="C1970" t="str">
        <f t="shared" si="30"/>
        <v>3. $50K-250K</v>
      </c>
      <c r="D1970" t="s">
        <v>1437</v>
      </c>
      <c r="E1970" t="s">
        <v>432</v>
      </c>
      <c r="F1970" t="s">
        <v>670</v>
      </c>
      <c r="G1970" t="s">
        <v>44</v>
      </c>
      <c r="H1970">
        <v>2023</v>
      </c>
    </row>
    <row r="1971" spans="1:8" x14ac:dyDescent="0.2">
      <c r="A1971">
        <v>217971</v>
      </c>
      <c r="B1971">
        <v>110000</v>
      </c>
      <c r="C1971" t="str">
        <f t="shared" si="30"/>
        <v>3. $50K-250K</v>
      </c>
      <c r="D1971" t="s">
        <v>1387</v>
      </c>
      <c r="E1971" t="s">
        <v>432</v>
      </c>
      <c r="F1971" t="s">
        <v>670</v>
      </c>
      <c r="G1971" t="s">
        <v>44</v>
      </c>
      <c r="H1971">
        <v>2023</v>
      </c>
    </row>
    <row r="1972" spans="1:8" x14ac:dyDescent="0.2">
      <c r="A1972">
        <v>217972</v>
      </c>
      <c r="B1972">
        <v>80000</v>
      </c>
      <c r="C1972" t="str">
        <f t="shared" si="30"/>
        <v>3. $50K-250K</v>
      </c>
      <c r="D1972" t="s">
        <v>1438</v>
      </c>
      <c r="E1972" t="s">
        <v>819</v>
      </c>
      <c r="F1972" t="s">
        <v>670</v>
      </c>
      <c r="G1972" t="s">
        <v>44</v>
      </c>
      <c r="H1972">
        <v>2023</v>
      </c>
    </row>
    <row r="1973" spans="1:8" x14ac:dyDescent="0.2">
      <c r="A1973">
        <v>217973</v>
      </c>
      <c r="B1973">
        <v>110000</v>
      </c>
      <c r="C1973" t="str">
        <f t="shared" si="30"/>
        <v>3. $50K-250K</v>
      </c>
      <c r="D1973" t="s">
        <v>957</v>
      </c>
      <c r="E1973" t="s">
        <v>819</v>
      </c>
      <c r="F1973" t="s">
        <v>670</v>
      </c>
      <c r="G1973" t="s">
        <v>44</v>
      </c>
      <c r="H1973">
        <v>2023</v>
      </c>
    </row>
    <row r="1974" spans="1:8" x14ac:dyDescent="0.2">
      <c r="A1974">
        <v>217974</v>
      </c>
      <c r="B1974">
        <v>110000</v>
      </c>
      <c r="C1974" t="str">
        <f t="shared" si="30"/>
        <v>3. $50K-250K</v>
      </c>
      <c r="D1974" t="s">
        <v>967</v>
      </c>
      <c r="E1974" t="s">
        <v>432</v>
      </c>
      <c r="F1974" t="s">
        <v>670</v>
      </c>
      <c r="G1974" t="s">
        <v>44</v>
      </c>
      <c r="H1974">
        <v>2023</v>
      </c>
    </row>
    <row r="1975" spans="1:8" x14ac:dyDescent="0.2">
      <c r="A1975">
        <v>217975</v>
      </c>
      <c r="B1975">
        <v>60000</v>
      </c>
      <c r="C1975" t="str">
        <f t="shared" si="30"/>
        <v>3. $50K-250K</v>
      </c>
      <c r="D1975" t="s">
        <v>1358</v>
      </c>
      <c r="E1975" t="s">
        <v>819</v>
      </c>
      <c r="F1975" t="s">
        <v>670</v>
      </c>
      <c r="G1975" t="s">
        <v>44</v>
      </c>
      <c r="H1975">
        <v>2023</v>
      </c>
    </row>
    <row r="1976" spans="1:8" x14ac:dyDescent="0.2">
      <c r="A1976">
        <v>217976</v>
      </c>
      <c r="B1976">
        <v>40000</v>
      </c>
      <c r="C1976" t="str">
        <f t="shared" si="30"/>
        <v>3. $50K-250K</v>
      </c>
      <c r="D1976" t="s">
        <v>1439</v>
      </c>
      <c r="E1976" t="s">
        <v>432</v>
      </c>
      <c r="F1976" t="s">
        <v>670</v>
      </c>
      <c r="G1976" t="s">
        <v>44</v>
      </c>
      <c r="H1976">
        <v>2023</v>
      </c>
    </row>
    <row r="1977" spans="1:8" x14ac:dyDescent="0.2">
      <c r="A1977">
        <v>217977</v>
      </c>
      <c r="B1977">
        <v>90000</v>
      </c>
      <c r="C1977" t="str">
        <f t="shared" si="30"/>
        <v>2. $10K-50K</v>
      </c>
      <c r="D1977" t="s">
        <v>1440</v>
      </c>
      <c r="E1977" t="s">
        <v>432</v>
      </c>
      <c r="F1977" t="s">
        <v>670</v>
      </c>
      <c r="G1977" t="s">
        <v>44</v>
      </c>
      <c r="H1977">
        <v>2023</v>
      </c>
    </row>
    <row r="1978" spans="1:8" x14ac:dyDescent="0.2">
      <c r="A1978">
        <v>217978</v>
      </c>
      <c r="B1978">
        <v>40000</v>
      </c>
      <c r="C1978" t="str">
        <f t="shared" si="30"/>
        <v>3. $50K-250K</v>
      </c>
      <c r="D1978" t="s">
        <v>501</v>
      </c>
      <c r="E1978" t="s">
        <v>432</v>
      </c>
      <c r="F1978" t="s">
        <v>670</v>
      </c>
      <c r="G1978" t="s">
        <v>44</v>
      </c>
      <c r="H1978">
        <v>2023</v>
      </c>
    </row>
    <row r="1979" spans="1:8" x14ac:dyDescent="0.2">
      <c r="A1979">
        <v>217979</v>
      </c>
      <c r="B1979">
        <v>80000</v>
      </c>
      <c r="C1979" t="str">
        <f t="shared" si="30"/>
        <v>2. $10K-50K</v>
      </c>
      <c r="D1979" t="s">
        <v>1441</v>
      </c>
      <c r="E1979" t="s">
        <v>819</v>
      </c>
      <c r="F1979" t="s">
        <v>670</v>
      </c>
      <c r="G1979" t="s">
        <v>44</v>
      </c>
      <c r="H1979">
        <v>2023</v>
      </c>
    </row>
    <row r="1980" spans="1:8" x14ac:dyDescent="0.2">
      <c r="A1980">
        <v>217980</v>
      </c>
      <c r="B1980">
        <v>80000</v>
      </c>
      <c r="C1980" t="str">
        <f t="shared" si="30"/>
        <v>3. $50K-250K</v>
      </c>
      <c r="D1980" t="s">
        <v>1442</v>
      </c>
      <c r="E1980" t="s">
        <v>432</v>
      </c>
      <c r="F1980" t="s">
        <v>670</v>
      </c>
      <c r="G1980" t="s">
        <v>44</v>
      </c>
      <c r="H1980">
        <v>2023</v>
      </c>
    </row>
    <row r="1981" spans="1:8" x14ac:dyDescent="0.2">
      <c r="A1981">
        <v>217981</v>
      </c>
      <c r="B1981">
        <v>80000</v>
      </c>
      <c r="C1981" t="str">
        <f t="shared" si="30"/>
        <v>3. $50K-250K</v>
      </c>
      <c r="D1981" t="s">
        <v>945</v>
      </c>
      <c r="E1981" t="s">
        <v>819</v>
      </c>
      <c r="F1981" t="s">
        <v>670</v>
      </c>
      <c r="G1981" t="s">
        <v>44</v>
      </c>
      <c r="H1981">
        <v>2023</v>
      </c>
    </row>
    <row r="1982" spans="1:8" x14ac:dyDescent="0.2">
      <c r="A1982">
        <v>217982</v>
      </c>
      <c r="B1982">
        <v>60000</v>
      </c>
      <c r="C1982" t="str">
        <f t="shared" si="30"/>
        <v>3. $50K-250K</v>
      </c>
      <c r="D1982" t="s">
        <v>1443</v>
      </c>
      <c r="E1982" t="s">
        <v>819</v>
      </c>
      <c r="F1982" t="s">
        <v>670</v>
      </c>
      <c r="G1982" t="s">
        <v>44</v>
      </c>
      <c r="H1982">
        <v>2023</v>
      </c>
    </row>
    <row r="1983" spans="1:8" x14ac:dyDescent="0.2">
      <c r="A1983">
        <v>217983</v>
      </c>
      <c r="B1983">
        <v>53576</v>
      </c>
      <c r="C1983" t="str">
        <f t="shared" si="30"/>
        <v>3. $50K-250K</v>
      </c>
      <c r="D1983" t="s">
        <v>1444</v>
      </c>
      <c r="E1983" t="s">
        <v>819</v>
      </c>
      <c r="F1983" t="s">
        <v>670</v>
      </c>
      <c r="G1983" t="s">
        <v>44</v>
      </c>
      <c r="H1983">
        <v>2023</v>
      </c>
    </row>
    <row r="1984" spans="1:8" x14ac:dyDescent="0.2">
      <c r="A1984">
        <v>217984</v>
      </c>
      <c r="B1984">
        <v>60000</v>
      </c>
      <c r="C1984" t="str">
        <f t="shared" si="30"/>
        <v>3. $50K-250K</v>
      </c>
      <c r="D1984" t="s">
        <v>944</v>
      </c>
      <c r="E1984" t="s">
        <v>819</v>
      </c>
      <c r="F1984" t="s">
        <v>670</v>
      </c>
      <c r="G1984" t="s">
        <v>44</v>
      </c>
      <c r="H1984">
        <v>2023</v>
      </c>
    </row>
    <row r="1985" spans="1:8" x14ac:dyDescent="0.2">
      <c r="A1985">
        <v>217986</v>
      </c>
      <c r="B1985">
        <v>40000</v>
      </c>
      <c r="C1985" t="str">
        <f t="shared" si="30"/>
        <v>3. $50K-250K</v>
      </c>
      <c r="D1985" t="s">
        <v>942</v>
      </c>
      <c r="E1985" t="s">
        <v>819</v>
      </c>
      <c r="F1985" t="s">
        <v>670</v>
      </c>
      <c r="G1985" t="s">
        <v>44</v>
      </c>
      <c r="H1985">
        <v>2023</v>
      </c>
    </row>
    <row r="1986" spans="1:8" x14ac:dyDescent="0.2">
      <c r="A1986">
        <v>217987</v>
      </c>
      <c r="B1986">
        <v>40000</v>
      </c>
      <c r="C1986" t="str">
        <f t="shared" si="30"/>
        <v>2. $10K-50K</v>
      </c>
      <c r="D1986" t="s">
        <v>991</v>
      </c>
      <c r="E1986" t="s">
        <v>432</v>
      </c>
      <c r="F1986" t="s">
        <v>670</v>
      </c>
      <c r="G1986" t="s">
        <v>44</v>
      </c>
      <c r="H1986">
        <v>2023</v>
      </c>
    </row>
    <row r="1987" spans="1:8" x14ac:dyDescent="0.2">
      <c r="A1987">
        <v>217988</v>
      </c>
      <c r="B1987">
        <v>80000</v>
      </c>
      <c r="C1987" t="str">
        <f t="shared" ref="C1987:C2050" si="31">IF(B1986&lt;10000,"1. Under $10K",IF(B1986&lt;50000,"2. $10K-50K",IF(B1986&lt;250000,"3. $50K-250K",IF(B1986&lt;1000000,"4. $250K-1M","5. $1M+"))))</f>
        <v>2. $10K-50K</v>
      </c>
      <c r="D1987" t="s">
        <v>1358</v>
      </c>
      <c r="E1987" t="s">
        <v>819</v>
      </c>
      <c r="F1987" t="s">
        <v>670</v>
      </c>
      <c r="G1987" t="s">
        <v>44</v>
      </c>
      <c r="H1987">
        <v>2023</v>
      </c>
    </row>
    <row r="1988" spans="1:8" x14ac:dyDescent="0.2">
      <c r="A1988">
        <v>217989</v>
      </c>
      <c r="B1988">
        <v>50000</v>
      </c>
      <c r="C1988" t="str">
        <f t="shared" si="31"/>
        <v>3. $50K-250K</v>
      </c>
      <c r="D1988" t="s">
        <v>818</v>
      </c>
      <c r="E1988" t="s">
        <v>432</v>
      </c>
      <c r="F1988" t="s">
        <v>670</v>
      </c>
      <c r="G1988" t="s">
        <v>44</v>
      </c>
      <c r="H1988">
        <v>2023</v>
      </c>
    </row>
    <row r="1989" spans="1:8" x14ac:dyDescent="0.2">
      <c r="A1989">
        <v>217990</v>
      </c>
      <c r="B1989">
        <v>50000</v>
      </c>
      <c r="C1989" t="str">
        <f t="shared" si="31"/>
        <v>3. $50K-250K</v>
      </c>
      <c r="D1989" t="s">
        <v>804</v>
      </c>
      <c r="E1989" t="s">
        <v>432</v>
      </c>
      <c r="F1989" t="s">
        <v>670</v>
      </c>
      <c r="G1989" t="s">
        <v>44</v>
      </c>
      <c r="H1989">
        <v>2023</v>
      </c>
    </row>
    <row r="1990" spans="1:8" x14ac:dyDescent="0.2">
      <c r="A1990">
        <v>217991</v>
      </c>
      <c r="B1990">
        <v>80000</v>
      </c>
      <c r="C1990" t="str">
        <f t="shared" si="31"/>
        <v>3. $50K-250K</v>
      </c>
      <c r="D1990" t="s">
        <v>1435</v>
      </c>
      <c r="E1990" t="s">
        <v>819</v>
      </c>
      <c r="F1990" t="s">
        <v>670</v>
      </c>
      <c r="G1990" t="s">
        <v>44</v>
      </c>
      <c r="H1990">
        <v>2023</v>
      </c>
    </row>
    <row r="1991" spans="1:8" x14ac:dyDescent="0.2">
      <c r="A1991">
        <v>217992</v>
      </c>
      <c r="B1991">
        <v>80000</v>
      </c>
      <c r="C1991" t="str">
        <f t="shared" si="31"/>
        <v>3. $50K-250K</v>
      </c>
      <c r="D1991" t="s">
        <v>816</v>
      </c>
      <c r="E1991" t="s">
        <v>819</v>
      </c>
      <c r="F1991" t="s">
        <v>670</v>
      </c>
      <c r="G1991" t="s">
        <v>44</v>
      </c>
      <c r="H1991">
        <v>2023</v>
      </c>
    </row>
    <row r="1992" spans="1:8" x14ac:dyDescent="0.2">
      <c r="A1992">
        <v>217993</v>
      </c>
      <c r="B1992">
        <v>50000</v>
      </c>
      <c r="C1992" t="str">
        <f t="shared" si="31"/>
        <v>3. $50K-250K</v>
      </c>
      <c r="D1992" t="s">
        <v>956</v>
      </c>
      <c r="E1992" t="s">
        <v>819</v>
      </c>
      <c r="F1992" t="s">
        <v>670</v>
      </c>
      <c r="G1992" t="s">
        <v>44</v>
      </c>
      <c r="H1992">
        <v>2023</v>
      </c>
    </row>
    <row r="1993" spans="1:8" x14ac:dyDescent="0.2">
      <c r="A1993">
        <v>217994</v>
      </c>
      <c r="B1993">
        <v>80000</v>
      </c>
      <c r="C1993" t="str">
        <f t="shared" si="31"/>
        <v>3. $50K-250K</v>
      </c>
      <c r="D1993" t="s">
        <v>1445</v>
      </c>
      <c r="E1993" t="s">
        <v>819</v>
      </c>
      <c r="F1993" t="s">
        <v>670</v>
      </c>
      <c r="G1993" t="s">
        <v>44</v>
      </c>
      <c r="H1993">
        <v>2023</v>
      </c>
    </row>
    <row r="1994" spans="1:8" x14ac:dyDescent="0.2">
      <c r="A1994">
        <v>217996</v>
      </c>
      <c r="B1994">
        <v>40000</v>
      </c>
      <c r="C1994" t="str">
        <f t="shared" si="31"/>
        <v>3. $50K-250K</v>
      </c>
      <c r="D1994" t="s">
        <v>1445</v>
      </c>
      <c r="E1994" t="s">
        <v>819</v>
      </c>
      <c r="F1994" t="s">
        <v>670</v>
      </c>
      <c r="G1994" t="s">
        <v>44</v>
      </c>
      <c r="H1994">
        <v>2023</v>
      </c>
    </row>
    <row r="1995" spans="1:8" x14ac:dyDescent="0.2">
      <c r="A1995">
        <v>217997</v>
      </c>
      <c r="B1995">
        <v>60000</v>
      </c>
      <c r="C1995" t="str">
        <f t="shared" si="31"/>
        <v>2. $10K-50K</v>
      </c>
      <c r="D1995" t="s">
        <v>816</v>
      </c>
      <c r="E1995" t="s">
        <v>432</v>
      </c>
      <c r="F1995" t="s">
        <v>670</v>
      </c>
      <c r="G1995" t="s">
        <v>44</v>
      </c>
      <c r="H1995">
        <v>2023</v>
      </c>
    </row>
    <row r="1996" spans="1:8" x14ac:dyDescent="0.2">
      <c r="A1996">
        <v>217998</v>
      </c>
      <c r="B1996">
        <v>40000</v>
      </c>
      <c r="C1996" t="str">
        <f t="shared" si="31"/>
        <v>3. $50K-250K</v>
      </c>
      <c r="D1996" t="s">
        <v>1446</v>
      </c>
      <c r="E1996" t="s">
        <v>819</v>
      </c>
      <c r="F1996" t="s">
        <v>670</v>
      </c>
      <c r="G1996" t="s">
        <v>44</v>
      </c>
      <c r="H1996">
        <v>2023</v>
      </c>
    </row>
    <row r="1997" spans="1:8" x14ac:dyDescent="0.2">
      <c r="A1997">
        <v>218000</v>
      </c>
      <c r="B1997">
        <v>60000</v>
      </c>
      <c r="C1997" t="str">
        <f t="shared" si="31"/>
        <v>2. $10K-50K</v>
      </c>
      <c r="D1997" t="s">
        <v>920</v>
      </c>
      <c r="E1997" t="s">
        <v>819</v>
      </c>
      <c r="F1997" t="s">
        <v>670</v>
      </c>
      <c r="G1997" t="s">
        <v>44</v>
      </c>
      <c r="H1997">
        <v>2023</v>
      </c>
    </row>
    <row r="1998" spans="1:8" x14ac:dyDescent="0.2">
      <c r="A1998">
        <v>218001</v>
      </c>
      <c r="B1998">
        <v>40000</v>
      </c>
      <c r="C1998" t="str">
        <f t="shared" si="31"/>
        <v>3. $50K-250K</v>
      </c>
      <c r="D1998" t="s">
        <v>956</v>
      </c>
      <c r="E1998" t="s">
        <v>819</v>
      </c>
      <c r="F1998" t="s">
        <v>670</v>
      </c>
      <c r="G1998" t="s">
        <v>44</v>
      </c>
      <c r="H1998">
        <v>2023</v>
      </c>
    </row>
    <row r="1999" spans="1:8" x14ac:dyDescent="0.2">
      <c r="A1999">
        <v>218002</v>
      </c>
      <c r="B1999">
        <v>40000</v>
      </c>
      <c r="C1999" t="str">
        <f t="shared" si="31"/>
        <v>2. $10K-50K</v>
      </c>
      <c r="D1999" t="s">
        <v>958</v>
      </c>
      <c r="E1999" t="s">
        <v>819</v>
      </c>
      <c r="F1999" t="s">
        <v>670</v>
      </c>
      <c r="G1999" t="s">
        <v>44</v>
      </c>
      <c r="H1999">
        <v>2023</v>
      </c>
    </row>
    <row r="2000" spans="1:8" x14ac:dyDescent="0.2">
      <c r="A2000">
        <v>218003</v>
      </c>
      <c r="B2000">
        <v>50000</v>
      </c>
      <c r="C2000" t="str">
        <f t="shared" si="31"/>
        <v>2. $10K-50K</v>
      </c>
      <c r="D2000" t="s">
        <v>894</v>
      </c>
      <c r="E2000" t="s">
        <v>819</v>
      </c>
      <c r="F2000" t="s">
        <v>670</v>
      </c>
      <c r="G2000" t="s">
        <v>44</v>
      </c>
      <c r="H2000">
        <v>2023</v>
      </c>
    </row>
    <row r="2001" spans="1:8" x14ac:dyDescent="0.2">
      <c r="A2001">
        <v>218004</v>
      </c>
      <c r="B2001">
        <v>80000</v>
      </c>
      <c r="C2001" t="str">
        <f t="shared" si="31"/>
        <v>3. $50K-250K</v>
      </c>
      <c r="D2001" t="s">
        <v>1447</v>
      </c>
      <c r="E2001" t="s">
        <v>819</v>
      </c>
      <c r="F2001" t="s">
        <v>670</v>
      </c>
      <c r="G2001" t="s">
        <v>44</v>
      </c>
      <c r="H2001">
        <v>2023</v>
      </c>
    </row>
    <row r="2002" spans="1:8" x14ac:dyDescent="0.2">
      <c r="A2002">
        <v>218005</v>
      </c>
      <c r="B2002">
        <v>40000</v>
      </c>
      <c r="C2002" t="str">
        <f t="shared" si="31"/>
        <v>3. $50K-250K</v>
      </c>
      <c r="D2002" t="s">
        <v>822</v>
      </c>
      <c r="E2002" t="s">
        <v>432</v>
      </c>
      <c r="F2002" t="s">
        <v>670</v>
      </c>
      <c r="G2002" t="s">
        <v>44</v>
      </c>
      <c r="H2002">
        <v>2023</v>
      </c>
    </row>
    <row r="2003" spans="1:8" x14ac:dyDescent="0.2">
      <c r="A2003">
        <v>218006</v>
      </c>
      <c r="B2003">
        <v>60000</v>
      </c>
      <c r="C2003" t="str">
        <f t="shared" si="31"/>
        <v>2. $10K-50K</v>
      </c>
      <c r="D2003" t="s">
        <v>1387</v>
      </c>
      <c r="E2003" t="s">
        <v>819</v>
      </c>
      <c r="F2003" t="s">
        <v>670</v>
      </c>
      <c r="G2003" t="s">
        <v>44</v>
      </c>
      <c r="H2003">
        <v>2023</v>
      </c>
    </row>
    <row r="2004" spans="1:8" x14ac:dyDescent="0.2">
      <c r="A2004">
        <v>218007</v>
      </c>
      <c r="B2004">
        <v>50000</v>
      </c>
      <c r="C2004" t="str">
        <f t="shared" si="31"/>
        <v>3. $50K-250K</v>
      </c>
      <c r="D2004" t="s">
        <v>804</v>
      </c>
      <c r="E2004" t="s">
        <v>819</v>
      </c>
      <c r="F2004" t="s">
        <v>670</v>
      </c>
      <c r="G2004" t="s">
        <v>44</v>
      </c>
      <c r="H2004">
        <v>2023</v>
      </c>
    </row>
    <row r="2005" spans="1:8" x14ac:dyDescent="0.2">
      <c r="A2005">
        <v>218008</v>
      </c>
      <c r="B2005">
        <v>40000</v>
      </c>
      <c r="C2005" t="str">
        <f t="shared" si="31"/>
        <v>3. $50K-250K</v>
      </c>
      <c r="D2005" t="s">
        <v>817</v>
      </c>
      <c r="E2005" t="s">
        <v>432</v>
      </c>
      <c r="F2005" t="s">
        <v>670</v>
      </c>
      <c r="G2005" t="s">
        <v>44</v>
      </c>
      <c r="H2005">
        <v>2023</v>
      </c>
    </row>
    <row r="2006" spans="1:8" x14ac:dyDescent="0.2">
      <c r="A2006">
        <v>218009</v>
      </c>
      <c r="B2006">
        <v>80000</v>
      </c>
      <c r="C2006" t="str">
        <f t="shared" si="31"/>
        <v>2. $10K-50K</v>
      </c>
      <c r="D2006" t="s">
        <v>946</v>
      </c>
      <c r="E2006" t="s">
        <v>819</v>
      </c>
      <c r="F2006" t="s">
        <v>670</v>
      </c>
      <c r="G2006" t="s">
        <v>44</v>
      </c>
      <c r="H2006">
        <v>2023</v>
      </c>
    </row>
    <row r="2007" spans="1:8" x14ac:dyDescent="0.2">
      <c r="A2007">
        <v>218010</v>
      </c>
      <c r="B2007">
        <v>60000</v>
      </c>
      <c r="C2007" t="str">
        <f t="shared" si="31"/>
        <v>3. $50K-250K</v>
      </c>
      <c r="D2007" t="s">
        <v>1448</v>
      </c>
      <c r="E2007" t="s">
        <v>819</v>
      </c>
      <c r="F2007" t="s">
        <v>670</v>
      </c>
      <c r="G2007" t="s">
        <v>44</v>
      </c>
      <c r="H2007">
        <v>2023</v>
      </c>
    </row>
    <row r="2008" spans="1:8" x14ac:dyDescent="0.2">
      <c r="A2008">
        <v>218011</v>
      </c>
      <c r="B2008">
        <v>60000</v>
      </c>
      <c r="C2008" t="str">
        <f t="shared" si="31"/>
        <v>3. $50K-250K</v>
      </c>
      <c r="D2008" t="s">
        <v>1008</v>
      </c>
      <c r="E2008" t="s">
        <v>432</v>
      </c>
      <c r="F2008" t="s">
        <v>670</v>
      </c>
      <c r="G2008" t="s">
        <v>44</v>
      </c>
      <c r="H2008">
        <v>2023</v>
      </c>
    </row>
    <row r="2009" spans="1:8" x14ac:dyDescent="0.2">
      <c r="A2009">
        <v>218012</v>
      </c>
      <c r="B2009">
        <v>100000</v>
      </c>
      <c r="C2009" t="str">
        <f t="shared" si="31"/>
        <v>3. $50K-250K</v>
      </c>
      <c r="D2009" t="s">
        <v>1449</v>
      </c>
      <c r="E2009" t="s">
        <v>432</v>
      </c>
      <c r="F2009" t="s">
        <v>670</v>
      </c>
      <c r="G2009" t="s">
        <v>44</v>
      </c>
      <c r="H2009">
        <v>2023</v>
      </c>
    </row>
    <row r="2010" spans="1:8" x14ac:dyDescent="0.2">
      <c r="A2010">
        <v>218013</v>
      </c>
      <c r="B2010">
        <v>110000</v>
      </c>
      <c r="C2010" t="str">
        <f t="shared" si="31"/>
        <v>3. $50K-250K</v>
      </c>
      <c r="D2010" t="s">
        <v>1173</v>
      </c>
      <c r="E2010" t="s">
        <v>432</v>
      </c>
      <c r="F2010" t="s">
        <v>670</v>
      </c>
      <c r="G2010" t="s">
        <v>44</v>
      </c>
      <c r="H2010">
        <v>2023</v>
      </c>
    </row>
    <row r="2011" spans="1:8" x14ac:dyDescent="0.2">
      <c r="A2011">
        <v>218014</v>
      </c>
      <c r="B2011">
        <v>80000</v>
      </c>
      <c r="C2011" t="str">
        <f t="shared" si="31"/>
        <v>3. $50K-250K</v>
      </c>
      <c r="D2011" t="s">
        <v>1450</v>
      </c>
      <c r="E2011" t="s">
        <v>819</v>
      </c>
      <c r="F2011" t="s">
        <v>670</v>
      </c>
      <c r="G2011" t="s">
        <v>44</v>
      </c>
      <c r="H2011">
        <v>2023</v>
      </c>
    </row>
    <row r="2012" spans="1:8" x14ac:dyDescent="0.2">
      <c r="A2012">
        <v>218015</v>
      </c>
      <c r="B2012">
        <v>100000</v>
      </c>
      <c r="C2012" t="str">
        <f t="shared" si="31"/>
        <v>3. $50K-250K</v>
      </c>
      <c r="D2012" t="s">
        <v>956</v>
      </c>
      <c r="E2012" t="s">
        <v>819</v>
      </c>
      <c r="F2012" t="s">
        <v>670</v>
      </c>
      <c r="G2012" t="s">
        <v>44</v>
      </c>
      <c r="H2012">
        <v>2023</v>
      </c>
    </row>
    <row r="2013" spans="1:8" x14ac:dyDescent="0.2">
      <c r="A2013">
        <v>218016</v>
      </c>
      <c r="B2013">
        <v>80000</v>
      </c>
      <c r="C2013" t="str">
        <f t="shared" si="31"/>
        <v>3. $50K-250K</v>
      </c>
      <c r="D2013" t="s">
        <v>1451</v>
      </c>
      <c r="E2013" t="s">
        <v>819</v>
      </c>
      <c r="F2013" t="s">
        <v>670</v>
      </c>
      <c r="G2013" t="s">
        <v>44</v>
      </c>
      <c r="H2013">
        <v>2023</v>
      </c>
    </row>
    <row r="2014" spans="1:8" x14ac:dyDescent="0.2">
      <c r="A2014">
        <v>218017</v>
      </c>
      <c r="B2014">
        <v>80000</v>
      </c>
      <c r="C2014" t="str">
        <f t="shared" si="31"/>
        <v>3. $50K-250K</v>
      </c>
      <c r="D2014" t="s">
        <v>1452</v>
      </c>
      <c r="E2014" t="s">
        <v>819</v>
      </c>
      <c r="F2014" t="s">
        <v>670</v>
      </c>
      <c r="G2014" t="s">
        <v>44</v>
      </c>
      <c r="H2014">
        <v>2023</v>
      </c>
    </row>
    <row r="2015" spans="1:8" x14ac:dyDescent="0.2">
      <c r="A2015">
        <v>218020</v>
      </c>
      <c r="B2015">
        <v>110000</v>
      </c>
      <c r="C2015" t="str">
        <f t="shared" si="31"/>
        <v>3. $50K-250K</v>
      </c>
      <c r="D2015" t="s">
        <v>1453</v>
      </c>
      <c r="E2015" t="s">
        <v>819</v>
      </c>
      <c r="F2015" t="s">
        <v>670</v>
      </c>
      <c r="G2015" t="s">
        <v>44</v>
      </c>
      <c r="H2015">
        <v>2023</v>
      </c>
    </row>
    <row r="2016" spans="1:8" x14ac:dyDescent="0.2">
      <c r="A2016">
        <v>218021</v>
      </c>
      <c r="B2016">
        <v>60000</v>
      </c>
      <c r="C2016" t="str">
        <f t="shared" si="31"/>
        <v>3. $50K-250K</v>
      </c>
      <c r="D2016" t="s">
        <v>1387</v>
      </c>
      <c r="E2016" t="s">
        <v>819</v>
      </c>
      <c r="F2016" t="s">
        <v>670</v>
      </c>
      <c r="G2016" t="s">
        <v>44</v>
      </c>
      <c r="H2016">
        <v>2023</v>
      </c>
    </row>
    <row r="2017" spans="1:8" x14ac:dyDescent="0.2">
      <c r="A2017">
        <v>218022</v>
      </c>
      <c r="B2017">
        <v>50000</v>
      </c>
      <c r="C2017" t="str">
        <f t="shared" si="31"/>
        <v>3. $50K-250K</v>
      </c>
      <c r="D2017" t="s">
        <v>804</v>
      </c>
      <c r="E2017" t="s">
        <v>819</v>
      </c>
      <c r="F2017" t="s">
        <v>670</v>
      </c>
      <c r="G2017" t="s">
        <v>44</v>
      </c>
      <c r="H2017">
        <v>2023</v>
      </c>
    </row>
    <row r="2018" spans="1:8" x14ac:dyDescent="0.2">
      <c r="A2018">
        <v>218023</v>
      </c>
      <c r="B2018">
        <v>25000</v>
      </c>
      <c r="C2018" t="str">
        <f t="shared" si="31"/>
        <v>3. $50K-250K</v>
      </c>
      <c r="D2018" t="s">
        <v>1385</v>
      </c>
      <c r="E2018" t="s">
        <v>819</v>
      </c>
      <c r="F2018" t="s">
        <v>670</v>
      </c>
      <c r="G2018" t="s">
        <v>44</v>
      </c>
      <c r="H2018">
        <v>2023</v>
      </c>
    </row>
    <row r="2019" spans="1:8" x14ac:dyDescent="0.2">
      <c r="A2019">
        <v>218024</v>
      </c>
      <c r="B2019">
        <v>80000</v>
      </c>
      <c r="C2019" t="str">
        <f t="shared" si="31"/>
        <v>2. $10K-50K</v>
      </c>
      <c r="D2019" t="s">
        <v>1434</v>
      </c>
      <c r="E2019" t="s">
        <v>819</v>
      </c>
      <c r="F2019" t="s">
        <v>670</v>
      </c>
      <c r="G2019" t="s">
        <v>44</v>
      </c>
      <c r="H2019">
        <v>2023</v>
      </c>
    </row>
    <row r="2020" spans="1:8" x14ac:dyDescent="0.2">
      <c r="A2020">
        <v>218025</v>
      </c>
      <c r="B2020">
        <v>100000</v>
      </c>
      <c r="C2020" t="str">
        <f t="shared" si="31"/>
        <v>3. $50K-250K</v>
      </c>
      <c r="D2020" t="s">
        <v>1454</v>
      </c>
      <c r="E2020" t="s">
        <v>819</v>
      </c>
      <c r="F2020" t="s">
        <v>670</v>
      </c>
      <c r="G2020" t="s">
        <v>44</v>
      </c>
      <c r="H2020">
        <v>2023</v>
      </c>
    </row>
    <row r="2021" spans="1:8" x14ac:dyDescent="0.2">
      <c r="A2021">
        <v>218026</v>
      </c>
      <c r="B2021">
        <v>40000</v>
      </c>
      <c r="C2021" t="str">
        <f t="shared" si="31"/>
        <v>3. $50K-250K</v>
      </c>
      <c r="D2021" t="s">
        <v>1455</v>
      </c>
      <c r="E2021" t="s">
        <v>819</v>
      </c>
      <c r="F2021" t="s">
        <v>670</v>
      </c>
      <c r="G2021" t="s">
        <v>44</v>
      </c>
      <c r="H2021">
        <v>2023</v>
      </c>
    </row>
    <row r="2022" spans="1:8" x14ac:dyDescent="0.2">
      <c r="A2022">
        <v>218027</v>
      </c>
      <c r="B2022">
        <v>110000</v>
      </c>
      <c r="C2022" t="str">
        <f t="shared" si="31"/>
        <v>2. $10K-50K</v>
      </c>
      <c r="D2022" t="s">
        <v>888</v>
      </c>
      <c r="E2022" t="s">
        <v>432</v>
      </c>
      <c r="F2022" t="s">
        <v>670</v>
      </c>
      <c r="G2022" t="s">
        <v>44</v>
      </c>
      <c r="H2022">
        <v>2023</v>
      </c>
    </row>
    <row r="2023" spans="1:8" x14ac:dyDescent="0.2">
      <c r="A2023">
        <v>218028</v>
      </c>
      <c r="B2023">
        <v>50000</v>
      </c>
      <c r="C2023" t="str">
        <f t="shared" si="31"/>
        <v>3. $50K-250K</v>
      </c>
      <c r="D2023" t="s">
        <v>943</v>
      </c>
      <c r="E2023" t="s">
        <v>432</v>
      </c>
      <c r="F2023" t="s">
        <v>670</v>
      </c>
      <c r="G2023" t="s">
        <v>44</v>
      </c>
      <c r="H2023">
        <v>2023</v>
      </c>
    </row>
    <row r="2024" spans="1:8" x14ac:dyDescent="0.2">
      <c r="A2024">
        <v>218029</v>
      </c>
      <c r="B2024">
        <v>75000</v>
      </c>
      <c r="C2024" t="str">
        <f t="shared" si="31"/>
        <v>3. $50K-250K</v>
      </c>
      <c r="D2024" t="s">
        <v>1387</v>
      </c>
      <c r="E2024" t="s">
        <v>819</v>
      </c>
      <c r="F2024" t="s">
        <v>670</v>
      </c>
      <c r="G2024" t="s">
        <v>44</v>
      </c>
      <c r="H2024">
        <v>2023</v>
      </c>
    </row>
    <row r="2025" spans="1:8" x14ac:dyDescent="0.2">
      <c r="A2025">
        <v>218030</v>
      </c>
      <c r="B2025">
        <v>80000</v>
      </c>
      <c r="C2025" t="str">
        <f t="shared" si="31"/>
        <v>3. $50K-250K</v>
      </c>
      <c r="D2025" t="s">
        <v>958</v>
      </c>
      <c r="E2025" t="s">
        <v>819</v>
      </c>
      <c r="F2025" t="s">
        <v>670</v>
      </c>
      <c r="G2025" t="s">
        <v>44</v>
      </c>
      <c r="H2025">
        <v>2023</v>
      </c>
    </row>
    <row r="2026" spans="1:8" x14ac:dyDescent="0.2">
      <c r="A2026">
        <v>218031</v>
      </c>
      <c r="B2026">
        <v>110000</v>
      </c>
      <c r="C2026" t="str">
        <f t="shared" si="31"/>
        <v>3. $50K-250K</v>
      </c>
      <c r="D2026" t="s">
        <v>1432</v>
      </c>
      <c r="E2026" t="s">
        <v>819</v>
      </c>
      <c r="F2026" t="s">
        <v>670</v>
      </c>
      <c r="G2026" t="s">
        <v>44</v>
      </c>
      <c r="H2026">
        <v>2023</v>
      </c>
    </row>
    <row r="2027" spans="1:8" x14ac:dyDescent="0.2">
      <c r="A2027">
        <v>218032</v>
      </c>
      <c r="B2027">
        <v>75000</v>
      </c>
      <c r="C2027" t="str">
        <f t="shared" si="31"/>
        <v>3. $50K-250K</v>
      </c>
      <c r="D2027" t="s">
        <v>1456</v>
      </c>
      <c r="E2027" t="s">
        <v>819</v>
      </c>
      <c r="F2027" t="s">
        <v>670</v>
      </c>
      <c r="G2027" t="s">
        <v>44</v>
      </c>
      <c r="H2027">
        <v>2023</v>
      </c>
    </row>
    <row r="2028" spans="1:8" x14ac:dyDescent="0.2">
      <c r="A2028">
        <v>218033</v>
      </c>
      <c r="B2028">
        <v>60000</v>
      </c>
      <c r="C2028" t="str">
        <f t="shared" si="31"/>
        <v>3. $50K-250K</v>
      </c>
      <c r="D2028" t="s">
        <v>1457</v>
      </c>
      <c r="E2028" t="s">
        <v>819</v>
      </c>
      <c r="F2028" t="s">
        <v>670</v>
      </c>
      <c r="G2028" t="s">
        <v>44</v>
      </c>
      <c r="H2028">
        <v>2023</v>
      </c>
    </row>
    <row r="2029" spans="1:8" x14ac:dyDescent="0.2">
      <c r="A2029">
        <v>218034</v>
      </c>
      <c r="B2029">
        <v>80000</v>
      </c>
      <c r="C2029" t="str">
        <f t="shared" si="31"/>
        <v>3. $50K-250K</v>
      </c>
      <c r="D2029" t="s">
        <v>1443</v>
      </c>
      <c r="E2029" t="s">
        <v>819</v>
      </c>
      <c r="F2029" t="s">
        <v>670</v>
      </c>
      <c r="G2029" t="s">
        <v>44</v>
      </c>
      <c r="H2029">
        <v>2023</v>
      </c>
    </row>
    <row r="2030" spans="1:8" x14ac:dyDescent="0.2">
      <c r="A2030">
        <v>218035</v>
      </c>
      <c r="B2030">
        <v>50000</v>
      </c>
      <c r="C2030" t="str">
        <f t="shared" si="31"/>
        <v>3. $50K-250K</v>
      </c>
      <c r="D2030" t="s">
        <v>1449</v>
      </c>
      <c r="E2030" t="s">
        <v>819</v>
      </c>
      <c r="F2030" t="s">
        <v>670</v>
      </c>
      <c r="G2030" t="s">
        <v>44</v>
      </c>
      <c r="H2030">
        <v>2023</v>
      </c>
    </row>
    <row r="2031" spans="1:8" x14ac:dyDescent="0.2">
      <c r="A2031">
        <v>218036</v>
      </c>
      <c r="B2031">
        <v>80000</v>
      </c>
      <c r="C2031" t="str">
        <f t="shared" si="31"/>
        <v>3. $50K-250K</v>
      </c>
      <c r="D2031" t="s">
        <v>1458</v>
      </c>
      <c r="E2031" t="s">
        <v>819</v>
      </c>
      <c r="F2031" t="s">
        <v>670</v>
      </c>
      <c r="G2031" t="s">
        <v>44</v>
      </c>
      <c r="H2031">
        <v>2023</v>
      </c>
    </row>
    <row r="2032" spans="1:8" x14ac:dyDescent="0.2">
      <c r="A2032">
        <v>218037</v>
      </c>
      <c r="B2032">
        <v>40000</v>
      </c>
      <c r="C2032" t="str">
        <f t="shared" si="31"/>
        <v>3. $50K-250K</v>
      </c>
      <c r="D2032" t="s">
        <v>815</v>
      </c>
      <c r="E2032" t="s">
        <v>432</v>
      </c>
      <c r="F2032" t="s">
        <v>670</v>
      </c>
      <c r="G2032" t="s">
        <v>44</v>
      </c>
      <c r="H2032">
        <v>2023</v>
      </c>
    </row>
    <row r="2033" spans="1:8" x14ac:dyDescent="0.2">
      <c r="A2033">
        <v>218038</v>
      </c>
      <c r="B2033">
        <v>40000</v>
      </c>
      <c r="C2033" t="str">
        <f t="shared" si="31"/>
        <v>2. $10K-50K</v>
      </c>
      <c r="D2033" t="s">
        <v>1170</v>
      </c>
      <c r="E2033" t="s">
        <v>819</v>
      </c>
      <c r="F2033" t="s">
        <v>670</v>
      </c>
      <c r="G2033" t="s">
        <v>44</v>
      </c>
      <c r="H2033">
        <v>2023</v>
      </c>
    </row>
    <row r="2034" spans="1:8" x14ac:dyDescent="0.2">
      <c r="A2034">
        <v>218039</v>
      </c>
      <c r="B2034">
        <v>50000</v>
      </c>
      <c r="C2034" t="str">
        <f t="shared" si="31"/>
        <v>2. $10K-50K</v>
      </c>
      <c r="D2034" t="s">
        <v>1459</v>
      </c>
      <c r="E2034" t="s">
        <v>432</v>
      </c>
      <c r="F2034" t="s">
        <v>670</v>
      </c>
      <c r="G2034" t="s">
        <v>44</v>
      </c>
      <c r="H2034">
        <v>2023</v>
      </c>
    </row>
    <row r="2035" spans="1:8" x14ac:dyDescent="0.2">
      <c r="A2035">
        <v>218040</v>
      </c>
      <c r="B2035">
        <v>110000</v>
      </c>
      <c r="C2035" t="str">
        <f t="shared" si="31"/>
        <v>3. $50K-250K</v>
      </c>
      <c r="D2035" t="s">
        <v>820</v>
      </c>
      <c r="E2035" t="s">
        <v>819</v>
      </c>
      <c r="F2035" t="s">
        <v>670</v>
      </c>
      <c r="G2035" t="s">
        <v>44</v>
      </c>
      <c r="H2035">
        <v>2023</v>
      </c>
    </row>
    <row r="2036" spans="1:8" x14ac:dyDescent="0.2">
      <c r="A2036">
        <v>218041</v>
      </c>
      <c r="B2036">
        <v>40000</v>
      </c>
      <c r="C2036" t="str">
        <f t="shared" si="31"/>
        <v>3. $50K-250K</v>
      </c>
      <c r="D2036" t="s">
        <v>1460</v>
      </c>
      <c r="E2036" t="s">
        <v>819</v>
      </c>
      <c r="F2036" t="s">
        <v>670</v>
      </c>
      <c r="G2036" t="s">
        <v>44</v>
      </c>
      <c r="H2036">
        <v>2023</v>
      </c>
    </row>
    <row r="2037" spans="1:8" x14ac:dyDescent="0.2">
      <c r="A2037">
        <v>218042</v>
      </c>
      <c r="B2037">
        <v>50000</v>
      </c>
      <c r="C2037" t="str">
        <f t="shared" si="31"/>
        <v>2. $10K-50K</v>
      </c>
      <c r="D2037" t="s">
        <v>1437</v>
      </c>
      <c r="E2037" t="s">
        <v>819</v>
      </c>
      <c r="F2037" t="s">
        <v>670</v>
      </c>
      <c r="G2037" t="s">
        <v>44</v>
      </c>
      <c r="H2037">
        <v>2023</v>
      </c>
    </row>
    <row r="2038" spans="1:8" x14ac:dyDescent="0.2">
      <c r="A2038">
        <v>218043</v>
      </c>
      <c r="B2038">
        <v>40000</v>
      </c>
      <c r="C2038" t="str">
        <f t="shared" si="31"/>
        <v>3. $50K-250K</v>
      </c>
      <c r="D2038" t="s">
        <v>1461</v>
      </c>
      <c r="E2038" t="s">
        <v>819</v>
      </c>
      <c r="F2038" t="s">
        <v>670</v>
      </c>
      <c r="G2038" t="s">
        <v>44</v>
      </c>
      <c r="H2038">
        <v>2024</v>
      </c>
    </row>
    <row r="2039" spans="1:8" x14ac:dyDescent="0.2">
      <c r="A2039">
        <v>218045</v>
      </c>
      <c r="B2039">
        <v>110000</v>
      </c>
      <c r="C2039" t="str">
        <f t="shared" si="31"/>
        <v>2. $10K-50K</v>
      </c>
      <c r="D2039" t="s">
        <v>815</v>
      </c>
      <c r="E2039" t="s">
        <v>432</v>
      </c>
      <c r="F2039" t="s">
        <v>670</v>
      </c>
      <c r="G2039" t="s">
        <v>44</v>
      </c>
      <c r="H2039">
        <v>2023</v>
      </c>
    </row>
    <row r="2040" spans="1:8" x14ac:dyDescent="0.2">
      <c r="A2040">
        <v>218046</v>
      </c>
      <c r="B2040">
        <v>60000</v>
      </c>
      <c r="C2040" t="str">
        <f t="shared" si="31"/>
        <v>3. $50K-250K</v>
      </c>
      <c r="D2040" t="s">
        <v>1462</v>
      </c>
      <c r="E2040" t="s">
        <v>819</v>
      </c>
      <c r="F2040" t="s">
        <v>670</v>
      </c>
      <c r="G2040" t="s">
        <v>44</v>
      </c>
      <c r="H2040">
        <v>2023</v>
      </c>
    </row>
    <row r="2041" spans="1:8" x14ac:dyDescent="0.2">
      <c r="A2041">
        <v>218047</v>
      </c>
      <c r="B2041">
        <v>40000</v>
      </c>
      <c r="C2041" t="str">
        <f t="shared" si="31"/>
        <v>3. $50K-250K</v>
      </c>
      <c r="D2041" t="s">
        <v>1463</v>
      </c>
      <c r="E2041" t="s">
        <v>819</v>
      </c>
      <c r="F2041" t="s">
        <v>670</v>
      </c>
      <c r="G2041" t="s">
        <v>44</v>
      </c>
      <c r="H2041">
        <v>2023</v>
      </c>
    </row>
    <row r="2042" spans="1:8" x14ac:dyDescent="0.2">
      <c r="A2042">
        <v>218048</v>
      </c>
      <c r="B2042">
        <v>100000</v>
      </c>
      <c r="C2042" t="str">
        <f t="shared" si="31"/>
        <v>2. $10K-50K</v>
      </c>
      <c r="D2042" t="s">
        <v>1464</v>
      </c>
      <c r="E2042" t="s">
        <v>432</v>
      </c>
      <c r="F2042" t="s">
        <v>670</v>
      </c>
      <c r="G2042" t="s">
        <v>44</v>
      </c>
      <c r="H2042">
        <v>2023</v>
      </c>
    </row>
    <row r="2043" spans="1:8" x14ac:dyDescent="0.2">
      <c r="A2043">
        <v>218049</v>
      </c>
      <c r="B2043">
        <v>40000</v>
      </c>
      <c r="C2043" t="str">
        <f t="shared" si="31"/>
        <v>3. $50K-250K</v>
      </c>
      <c r="D2043" t="s">
        <v>1465</v>
      </c>
      <c r="E2043" t="s">
        <v>819</v>
      </c>
      <c r="F2043" t="s">
        <v>670</v>
      </c>
      <c r="G2043" t="s">
        <v>44</v>
      </c>
      <c r="H2043">
        <v>2023</v>
      </c>
    </row>
    <row r="2044" spans="1:8" x14ac:dyDescent="0.2">
      <c r="A2044">
        <v>218050</v>
      </c>
      <c r="B2044">
        <v>40000</v>
      </c>
      <c r="C2044" t="str">
        <f t="shared" si="31"/>
        <v>2. $10K-50K</v>
      </c>
      <c r="D2044" t="s">
        <v>1385</v>
      </c>
      <c r="E2044" t="s">
        <v>819</v>
      </c>
      <c r="F2044" t="s">
        <v>670</v>
      </c>
      <c r="G2044" t="s">
        <v>44</v>
      </c>
      <c r="H2044">
        <v>2023</v>
      </c>
    </row>
    <row r="2045" spans="1:8" x14ac:dyDescent="0.2">
      <c r="A2045">
        <v>218051</v>
      </c>
      <c r="B2045">
        <v>96804</v>
      </c>
      <c r="C2045" t="str">
        <f t="shared" si="31"/>
        <v>2. $10K-50K</v>
      </c>
      <c r="D2045" t="s">
        <v>1465</v>
      </c>
      <c r="E2045" t="s">
        <v>819</v>
      </c>
      <c r="F2045" t="s">
        <v>670</v>
      </c>
      <c r="G2045" t="s">
        <v>44</v>
      </c>
      <c r="H2045">
        <v>2023</v>
      </c>
    </row>
    <row r="2046" spans="1:8" x14ac:dyDescent="0.2">
      <c r="A2046">
        <v>218052</v>
      </c>
      <c r="B2046">
        <v>20000</v>
      </c>
      <c r="C2046" t="str">
        <f t="shared" si="31"/>
        <v>3. $50K-250K</v>
      </c>
      <c r="D2046" t="s">
        <v>1385</v>
      </c>
      <c r="E2046" t="s">
        <v>819</v>
      </c>
      <c r="F2046" t="s">
        <v>670</v>
      </c>
      <c r="G2046" t="s">
        <v>44</v>
      </c>
      <c r="H2046">
        <v>2023</v>
      </c>
    </row>
    <row r="2047" spans="1:8" x14ac:dyDescent="0.2">
      <c r="A2047">
        <v>218053</v>
      </c>
      <c r="B2047">
        <v>100000</v>
      </c>
      <c r="C2047" t="str">
        <f t="shared" si="31"/>
        <v>2. $10K-50K</v>
      </c>
      <c r="D2047" t="s">
        <v>1466</v>
      </c>
      <c r="E2047" t="s">
        <v>819</v>
      </c>
      <c r="F2047" t="s">
        <v>670</v>
      </c>
      <c r="G2047" t="s">
        <v>44</v>
      </c>
      <c r="H2047">
        <v>2023</v>
      </c>
    </row>
    <row r="2048" spans="1:8" x14ac:dyDescent="0.2">
      <c r="A2048">
        <v>218054</v>
      </c>
      <c r="B2048">
        <v>20000</v>
      </c>
      <c r="C2048" t="str">
        <f t="shared" si="31"/>
        <v>3. $50K-250K</v>
      </c>
      <c r="D2048" t="s">
        <v>1467</v>
      </c>
      <c r="E2048" t="s">
        <v>819</v>
      </c>
      <c r="F2048" t="s">
        <v>670</v>
      </c>
      <c r="G2048" t="s">
        <v>44</v>
      </c>
      <c r="H2048">
        <v>2023</v>
      </c>
    </row>
    <row r="2049" spans="1:8" x14ac:dyDescent="0.2">
      <c r="A2049">
        <v>218143</v>
      </c>
      <c r="B2049">
        <v>5490629</v>
      </c>
      <c r="C2049" t="str">
        <f t="shared" si="31"/>
        <v>2. $10K-50K</v>
      </c>
      <c r="D2049" t="s">
        <v>1052</v>
      </c>
      <c r="E2049" t="s">
        <v>237</v>
      </c>
      <c r="F2049" t="s">
        <v>670</v>
      </c>
      <c r="G2049" t="s">
        <v>59</v>
      </c>
      <c r="H2049">
        <v>2023</v>
      </c>
    </row>
    <row r="2050" spans="1:8" x14ac:dyDescent="0.2">
      <c r="A2050">
        <v>218239</v>
      </c>
      <c r="B2050">
        <v>9552.6</v>
      </c>
      <c r="C2050" t="str">
        <f t="shared" si="31"/>
        <v>5. $1M+</v>
      </c>
      <c r="D2050" t="s">
        <v>694</v>
      </c>
      <c r="E2050" t="s">
        <v>237</v>
      </c>
      <c r="F2050" t="s">
        <v>670</v>
      </c>
      <c r="G2050" t="s">
        <v>59</v>
      </c>
      <c r="H2050">
        <v>2023</v>
      </c>
    </row>
    <row r="2051" spans="1:8" x14ac:dyDescent="0.2">
      <c r="A2051">
        <v>218258</v>
      </c>
      <c r="B2051">
        <v>252000</v>
      </c>
      <c r="C2051" t="str">
        <f t="shared" ref="C2051:C2114" si="32">IF(B2050&lt;10000,"1. Under $10K",IF(B2050&lt;50000,"2. $10K-50K",IF(B2050&lt;250000,"3. $50K-250K",IF(B2050&lt;1000000,"4. $250K-1M","5. $1M+"))))</f>
        <v>1. Under $10K</v>
      </c>
      <c r="D2051" t="s">
        <v>250</v>
      </c>
      <c r="E2051" t="s">
        <v>246</v>
      </c>
      <c r="F2051" t="s">
        <v>100</v>
      </c>
      <c r="G2051" t="s">
        <v>59</v>
      </c>
      <c r="H2051">
        <v>2023</v>
      </c>
    </row>
    <row r="2052" spans="1:8" x14ac:dyDescent="0.2">
      <c r="A2052">
        <v>218390</v>
      </c>
      <c r="B2052">
        <v>225345.9</v>
      </c>
      <c r="C2052" t="str">
        <f t="shared" si="32"/>
        <v>4. $250K-1M</v>
      </c>
      <c r="D2052" t="s">
        <v>1423</v>
      </c>
      <c r="E2052" t="s">
        <v>42</v>
      </c>
      <c r="F2052" t="s">
        <v>670</v>
      </c>
      <c r="G2052" t="s">
        <v>59</v>
      </c>
      <c r="H2052">
        <v>2023</v>
      </c>
    </row>
    <row r="2053" spans="1:8" x14ac:dyDescent="0.2">
      <c r="A2053">
        <v>218391</v>
      </c>
      <c r="B2053">
        <v>299999.8</v>
      </c>
      <c r="C2053" t="str">
        <f t="shared" si="32"/>
        <v>3. $50K-250K</v>
      </c>
      <c r="D2053" t="s">
        <v>791</v>
      </c>
      <c r="E2053" t="s">
        <v>42</v>
      </c>
      <c r="F2053" t="s">
        <v>670</v>
      </c>
      <c r="G2053" t="s">
        <v>59</v>
      </c>
      <c r="H2053">
        <v>2023</v>
      </c>
    </row>
    <row r="2054" spans="1:8" x14ac:dyDescent="0.2">
      <c r="A2054">
        <v>218471</v>
      </c>
      <c r="B2054">
        <v>1300000</v>
      </c>
      <c r="C2054" t="str">
        <f t="shared" si="32"/>
        <v>4. $250K-1M</v>
      </c>
      <c r="D2054" t="s">
        <v>701</v>
      </c>
      <c r="E2054" t="s">
        <v>237</v>
      </c>
      <c r="F2054" t="s">
        <v>670</v>
      </c>
      <c r="G2054" t="s">
        <v>59</v>
      </c>
      <c r="H2054">
        <v>2023</v>
      </c>
    </row>
    <row r="2055" spans="1:8" x14ac:dyDescent="0.2">
      <c r="A2055">
        <v>218472</v>
      </c>
      <c r="B2055">
        <v>1163538</v>
      </c>
      <c r="C2055" t="str">
        <f t="shared" si="32"/>
        <v>5. $1M+</v>
      </c>
      <c r="D2055" t="s">
        <v>881</v>
      </c>
      <c r="E2055" t="s">
        <v>237</v>
      </c>
      <c r="F2055" t="s">
        <v>670</v>
      </c>
      <c r="G2055" t="s">
        <v>59</v>
      </c>
      <c r="H2055">
        <v>2023</v>
      </c>
    </row>
    <row r="2056" spans="1:8" x14ac:dyDescent="0.2">
      <c r="A2056">
        <v>218475</v>
      </c>
      <c r="B2056">
        <v>1073616</v>
      </c>
      <c r="C2056" t="str">
        <f t="shared" si="32"/>
        <v>5. $1M+</v>
      </c>
      <c r="D2056" t="s">
        <v>1084</v>
      </c>
      <c r="E2056" t="s">
        <v>237</v>
      </c>
      <c r="F2056" t="s">
        <v>670</v>
      </c>
      <c r="G2056" t="s">
        <v>59</v>
      </c>
      <c r="H2056">
        <v>2023</v>
      </c>
    </row>
    <row r="2057" spans="1:8" x14ac:dyDescent="0.2">
      <c r="A2057">
        <v>218476</v>
      </c>
      <c r="B2057">
        <v>862846</v>
      </c>
      <c r="C2057" t="str">
        <f t="shared" si="32"/>
        <v>5. $1M+</v>
      </c>
      <c r="D2057" t="s">
        <v>682</v>
      </c>
      <c r="E2057" t="s">
        <v>237</v>
      </c>
      <c r="F2057" t="s">
        <v>670</v>
      </c>
      <c r="G2057" t="s">
        <v>44</v>
      </c>
      <c r="H2057">
        <v>2023</v>
      </c>
    </row>
    <row r="2058" spans="1:8" x14ac:dyDescent="0.2">
      <c r="A2058">
        <v>218497</v>
      </c>
      <c r="B2058">
        <v>23669307.699999999</v>
      </c>
      <c r="C2058" t="str">
        <f t="shared" si="32"/>
        <v>4. $250K-1M</v>
      </c>
      <c r="D2058" t="s">
        <v>7</v>
      </c>
      <c r="E2058" t="s">
        <v>8</v>
      </c>
      <c r="F2058" t="s">
        <v>9</v>
      </c>
      <c r="G2058" t="s">
        <v>10</v>
      </c>
      <c r="H2058">
        <v>2023</v>
      </c>
    </row>
    <row r="2059" spans="1:8" x14ac:dyDescent="0.2">
      <c r="A2059">
        <v>218571</v>
      </c>
      <c r="B2059">
        <v>286399.40000000002</v>
      </c>
      <c r="C2059" t="str">
        <f t="shared" si="32"/>
        <v>5. $1M+</v>
      </c>
      <c r="D2059" t="s">
        <v>822</v>
      </c>
      <c r="E2059" t="s">
        <v>42</v>
      </c>
      <c r="F2059" t="s">
        <v>670</v>
      </c>
      <c r="G2059" t="s">
        <v>59</v>
      </c>
      <c r="H2059">
        <v>2023</v>
      </c>
    </row>
    <row r="2060" spans="1:8" x14ac:dyDescent="0.2">
      <c r="A2060">
        <v>218572</v>
      </c>
      <c r="B2060">
        <v>195670.7</v>
      </c>
      <c r="C2060" t="str">
        <f t="shared" si="32"/>
        <v>4. $250K-1M</v>
      </c>
      <c r="D2060" t="s">
        <v>1000</v>
      </c>
      <c r="E2060" t="s">
        <v>42</v>
      </c>
      <c r="F2060" t="s">
        <v>670</v>
      </c>
      <c r="G2060" t="s">
        <v>59</v>
      </c>
      <c r="H2060">
        <v>2023</v>
      </c>
    </row>
    <row r="2061" spans="1:8" x14ac:dyDescent="0.2">
      <c r="A2061">
        <v>218573</v>
      </c>
      <c r="B2061">
        <v>171920</v>
      </c>
      <c r="C2061" t="str">
        <f t="shared" si="32"/>
        <v>3. $50K-250K</v>
      </c>
      <c r="D2061" t="s">
        <v>889</v>
      </c>
      <c r="E2061" t="s">
        <v>237</v>
      </c>
      <c r="F2061" t="s">
        <v>670</v>
      </c>
      <c r="G2061" t="s">
        <v>59</v>
      </c>
      <c r="H2061">
        <v>2023</v>
      </c>
    </row>
    <row r="2062" spans="1:8" x14ac:dyDescent="0.2">
      <c r="A2062">
        <v>218574</v>
      </c>
      <c r="B2062">
        <v>17156</v>
      </c>
      <c r="C2062" t="str">
        <f t="shared" si="32"/>
        <v>3. $50K-250K</v>
      </c>
      <c r="D2062" t="s">
        <v>1042</v>
      </c>
      <c r="E2062" t="s">
        <v>237</v>
      </c>
      <c r="F2062" t="s">
        <v>670</v>
      </c>
      <c r="G2062" t="s">
        <v>59</v>
      </c>
      <c r="H2062">
        <v>2023</v>
      </c>
    </row>
    <row r="2063" spans="1:8" x14ac:dyDescent="0.2">
      <c r="A2063">
        <v>218579</v>
      </c>
      <c r="B2063">
        <v>28371.4</v>
      </c>
      <c r="C2063" t="str">
        <f t="shared" si="32"/>
        <v>2. $10K-50K</v>
      </c>
      <c r="D2063" t="s">
        <v>694</v>
      </c>
      <c r="E2063" t="s">
        <v>237</v>
      </c>
      <c r="F2063" t="s">
        <v>670</v>
      </c>
      <c r="G2063" t="s">
        <v>59</v>
      </c>
      <c r="H2063">
        <v>2023</v>
      </c>
    </row>
    <row r="2064" spans="1:8" x14ac:dyDescent="0.2">
      <c r="A2064">
        <v>218580</v>
      </c>
      <c r="B2064">
        <v>12000</v>
      </c>
      <c r="C2064" t="str">
        <f t="shared" si="32"/>
        <v>2. $10K-50K</v>
      </c>
      <c r="D2064" t="s">
        <v>694</v>
      </c>
      <c r="E2064" t="s">
        <v>237</v>
      </c>
      <c r="F2064" t="s">
        <v>670</v>
      </c>
      <c r="G2064" t="s">
        <v>59</v>
      </c>
      <c r="H2064">
        <v>2023</v>
      </c>
    </row>
    <row r="2065" spans="1:8" x14ac:dyDescent="0.2">
      <c r="A2065">
        <v>218581</v>
      </c>
      <c r="B2065">
        <v>7299.5</v>
      </c>
      <c r="C2065" t="str">
        <f t="shared" si="32"/>
        <v>2. $10K-50K</v>
      </c>
      <c r="D2065" t="s">
        <v>694</v>
      </c>
      <c r="E2065" t="s">
        <v>237</v>
      </c>
      <c r="F2065" t="s">
        <v>670</v>
      </c>
      <c r="G2065" t="s">
        <v>59</v>
      </c>
      <c r="H2065">
        <v>2023</v>
      </c>
    </row>
    <row r="2066" spans="1:8" x14ac:dyDescent="0.2">
      <c r="A2066">
        <v>218582</v>
      </c>
      <c r="B2066">
        <v>15000</v>
      </c>
      <c r="C2066" t="str">
        <f t="shared" si="32"/>
        <v>1. Under $10K</v>
      </c>
      <c r="D2066" t="s">
        <v>888</v>
      </c>
      <c r="E2066" t="s">
        <v>368</v>
      </c>
      <c r="F2066" t="s">
        <v>670</v>
      </c>
      <c r="G2066" t="s">
        <v>44</v>
      </c>
      <c r="H2066">
        <v>2023</v>
      </c>
    </row>
    <row r="2067" spans="1:8" x14ac:dyDescent="0.2">
      <c r="A2067">
        <v>218583</v>
      </c>
      <c r="B2067">
        <v>23768</v>
      </c>
      <c r="C2067" t="str">
        <f t="shared" si="32"/>
        <v>2. $10K-50K</v>
      </c>
      <c r="D2067" t="s">
        <v>694</v>
      </c>
      <c r="E2067" t="s">
        <v>237</v>
      </c>
      <c r="F2067" t="s">
        <v>670</v>
      </c>
      <c r="G2067" t="s">
        <v>59</v>
      </c>
      <c r="H2067">
        <v>2023</v>
      </c>
    </row>
    <row r="2068" spans="1:8" x14ac:dyDescent="0.2">
      <c r="A2068">
        <v>218585</v>
      </c>
      <c r="B2068">
        <v>73600</v>
      </c>
      <c r="C2068" t="str">
        <f t="shared" si="32"/>
        <v>2. $10K-50K</v>
      </c>
      <c r="D2068" t="s">
        <v>251</v>
      </c>
      <c r="E2068" t="s">
        <v>252</v>
      </c>
      <c r="F2068" t="s">
        <v>22</v>
      </c>
      <c r="G2068" t="s">
        <v>10</v>
      </c>
      <c r="H2068">
        <v>2023</v>
      </c>
    </row>
    <row r="2069" spans="1:8" x14ac:dyDescent="0.2">
      <c r="A2069">
        <v>218586</v>
      </c>
      <c r="B2069">
        <v>10000</v>
      </c>
      <c r="C2069" t="str">
        <f t="shared" si="32"/>
        <v>3. $50K-250K</v>
      </c>
      <c r="D2069" t="s">
        <v>1468</v>
      </c>
      <c r="E2069" t="s">
        <v>368</v>
      </c>
      <c r="F2069" t="s">
        <v>670</v>
      </c>
      <c r="G2069" t="s">
        <v>44</v>
      </c>
      <c r="H2069">
        <v>2023</v>
      </c>
    </row>
    <row r="2070" spans="1:8" x14ac:dyDescent="0.2">
      <c r="A2070">
        <v>218587</v>
      </c>
      <c r="B2070">
        <v>10000</v>
      </c>
      <c r="C2070" t="str">
        <f t="shared" si="32"/>
        <v>2. $10K-50K</v>
      </c>
      <c r="D2070" t="s">
        <v>1469</v>
      </c>
      <c r="E2070" t="s">
        <v>368</v>
      </c>
      <c r="F2070" t="s">
        <v>670</v>
      </c>
      <c r="G2070" t="s">
        <v>44</v>
      </c>
      <c r="H2070">
        <v>2023</v>
      </c>
    </row>
    <row r="2071" spans="1:8" x14ac:dyDescent="0.2">
      <c r="A2071">
        <v>21859</v>
      </c>
      <c r="B2071">
        <v>3963710.1</v>
      </c>
      <c r="C2071" t="str">
        <f t="shared" si="32"/>
        <v>2. $10K-50K</v>
      </c>
      <c r="D2071" t="s">
        <v>253</v>
      </c>
      <c r="E2071" t="s">
        <v>18</v>
      </c>
      <c r="F2071" t="s">
        <v>19</v>
      </c>
      <c r="G2071" t="s">
        <v>10</v>
      </c>
      <c r="H2071">
        <v>2023</v>
      </c>
    </row>
    <row r="2072" spans="1:8" x14ac:dyDescent="0.2">
      <c r="A2072">
        <v>218597</v>
      </c>
      <c r="B2072">
        <v>935000</v>
      </c>
      <c r="C2072" t="str">
        <f t="shared" si="32"/>
        <v>5. $1M+</v>
      </c>
      <c r="D2072" t="s">
        <v>1058</v>
      </c>
      <c r="E2072" t="s">
        <v>42</v>
      </c>
      <c r="F2072" t="s">
        <v>670</v>
      </c>
      <c r="G2072" t="s">
        <v>59</v>
      </c>
      <c r="H2072">
        <v>2023</v>
      </c>
    </row>
    <row r="2073" spans="1:8" x14ac:dyDescent="0.2">
      <c r="A2073">
        <v>218598</v>
      </c>
      <c r="B2073">
        <v>80317.899999999994</v>
      </c>
      <c r="C2073" t="str">
        <f t="shared" si="32"/>
        <v>4. $250K-1M</v>
      </c>
      <c r="D2073" t="s">
        <v>673</v>
      </c>
      <c r="E2073" t="s">
        <v>42</v>
      </c>
      <c r="F2073" t="s">
        <v>670</v>
      </c>
      <c r="G2073" t="s">
        <v>59</v>
      </c>
      <c r="H2073">
        <v>2023</v>
      </c>
    </row>
    <row r="2074" spans="1:8" x14ac:dyDescent="0.2">
      <c r="A2074">
        <v>218599</v>
      </c>
      <c r="B2074">
        <v>155104</v>
      </c>
      <c r="C2074" t="str">
        <f t="shared" si="32"/>
        <v>3. $50K-250K</v>
      </c>
      <c r="D2074" t="s">
        <v>682</v>
      </c>
      <c r="E2074" t="s">
        <v>42</v>
      </c>
      <c r="F2074" t="s">
        <v>670</v>
      </c>
      <c r="G2074" t="s">
        <v>59</v>
      </c>
      <c r="H2074">
        <v>2023</v>
      </c>
    </row>
    <row r="2075" spans="1:8" x14ac:dyDescent="0.2">
      <c r="A2075">
        <v>21860</v>
      </c>
      <c r="B2075">
        <v>2752236.6</v>
      </c>
      <c r="C2075" t="str">
        <f t="shared" si="32"/>
        <v>3. $50K-250K</v>
      </c>
      <c r="D2075" t="s">
        <v>254</v>
      </c>
      <c r="E2075" t="s">
        <v>18</v>
      </c>
      <c r="F2075" t="s">
        <v>19</v>
      </c>
      <c r="G2075" t="s">
        <v>10</v>
      </c>
      <c r="H2075">
        <v>2024</v>
      </c>
    </row>
    <row r="2076" spans="1:8" x14ac:dyDescent="0.2">
      <c r="A2076">
        <v>218600</v>
      </c>
      <c r="B2076">
        <v>250410.5</v>
      </c>
      <c r="C2076" t="str">
        <f t="shared" si="32"/>
        <v>5. $1M+</v>
      </c>
      <c r="D2076" t="s">
        <v>1057</v>
      </c>
      <c r="E2076" t="s">
        <v>42</v>
      </c>
      <c r="F2076" t="s">
        <v>670</v>
      </c>
      <c r="G2076" t="s">
        <v>59</v>
      </c>
      <c r="H2076">
        <v>2023</v>
      </c>
    </row>
    <row r="2077" spans="1:8" x14ac:dyDescent="0.2">
      <c r="A2077">
        <v>218608</v>
      </c>
      <c r="B2077">
        <v>69000</v>
      </c>
      <c r="C2077" t="str">
        <f t="shared" si="32"/>
        <v>4. $250K-1M</v>
      </c>
      <c r="D2077" t="s">
        <v>1069</v>
      </c>
      <c r="E2077" t="s">
        <v>237</v>
      </c>
      <c r="F2077" t="s">
        <v>670</v>
      </c>
      <c r="G2077" t="s">
        <v>59</v>
      </c>
      <c r="H2077">
        <v>2023</v>
      </c>
    </row>
    <row r="2078" spans="1:8" x14ac:dyDescent="0.2">
      <c r="A2078">
        <v>218619</v>
      </c>
      <c r="B2078">
        <v>324928.90000000002</v>
      </c>
      <c r="C2078" t="str">
        <f t="shared" si="32"/>
        <v>3. $50K-250K</v>
      </c>
      <c r="D2078" t="s">
        <v>800</v>
      </c>
      <c r="E2078" t="s">
        <v>237</v>
      </c>
      <c r="F2078" t="s">
        <v>670</v>
      </c>
      <c r="G2078" t="s">
        <v>59</v>
      </c>
      <c r="H2078">
        <v>2023</v>
      </c>
    </row>
    <row r="2079" spans="1:8" x14ac:dyDescent="0.2">
      <c r="A2079">
        <v>218620</v>
      </c>
      <c r="B2079">
        <v>69000</v>
      </c>
      <c r="C2079" t="str">
        <f t="shared" si="32"/>
        <v>4. $250K-1M</v>
      </c>
      <c r="D2079" t="s">
        <v>1169</v>
      </c>
      <c r="E2079" t="s">
        <v>237</v>
      </c>
      <c r="F2079" t="s">
        <v>670</v>
      </c>
      <c r="G2079" t="s">
        <v>59</v>
      </c>
      <c r="H2079">
        <v>2023</v>
      </c>
    </row>
    <row r="2080" spans="1:8" x14ac:dyDescent="0.2">
      <c r="A2080">
        <v>218622</v>
      </c>
      <c r="B2080">
        <v>16170</v>
      </c>
      <c r="C2080" t="str">
        <f t="shared" si="32"/>
        <v>3. $50K-250K</v>
      </c>
      <c r="D2080" t="s">
        <v>694</v>
      </c>
      <c r="E2080" t="s">
        <v>237</v>
      </c>
      <c r="F2080" t="s">
        <v>670</v>
      </c>
      <c r="G2080" t="s">
        <v>59</v>
      </c>
      <c r="H2080">
        <v>2023</v>
      </c>
    </row>
    <row r="2081" spans="1:8" x14ac:dyDescent="0.2">
      <c r="A2081">
        <v>218632</v>
      </c>
      <c r="B2081">
        <v>19616.900000000001</v>
      </c>
      <c r="C2081" t="str">
        <f t="shared" si="32"/>
        <v>2. $10K-50K</v>
      </c>
      <c r="D2081" t="s">
        <v>683</v>
      </c>
      <c r="E2081" t="s">
        <v>42</v>
      </c>
      <c r="F2081" t="s">
        <v>670</v>
      </c>
      <c r="G2081" t="s">
        <v>59</v>
      </c>
      <c r="H2081">
        <v>2023</v>
      </c>
    </row>
    <row r="2082" spans="1:8" x14ac:dyDescent="0.2">
      <c r="A2082">
        <v>218633</v>
      </c>
      <c r="B2082">
        <v>68979.8</v>
      </c>
      <c r="C2082" t="str">
        <f t="shared" si="32"/>
        <v>2. $10K-50K</v>
      </c>
      <c r="D2082" t="s">
        <v>391</v>
      </c>
      <c r="E2082" t="s">
        <v>42</v>
      </c>
      <c r="F2082" t="s">
        <v>670</v>
      </c>
      <c r="G2082" t="s">
        <v>59</v>
      </c>
      <c r="H2082">
        <v>2023</v>
      </c>
    </row>
    <row r="2083" spans="1:8" x14ac:dyDescent="0.2">
      <c r="A2083">
        <v>218634</v>
      </c>
      <c r="B2083">
        <v>27173.5</v>
      </c>
      <c r="C2083" t="str">
        <f t="shared" si="32"/>
        <v>3. $50K-250K</v>
      </c>
      <c r="D2083" t="s">
        <v>688</v>
      </c>
      <c r="E2083" t="s">
        <v>42</v>
      </c>
      <c r="F2083" t="s">
        <v>670</v>
      </c>
      <c r="G2083" t="s">
        <v>59</v>
      </c>
      <c r="H2083">
        <v>2023</v>
      </c>
    </row>
    <row r="2084" spans="1:8" x14ac:dyDescent="0.2">
      <c r="A2084">
        <v>218635</v>
      </c>
      <c r="B2084">
        <v>24996.6</v>
      </c>
      <c r="C2084" t="str">
        <f t="shared" si="32"/>
        <v>2. $10K-50K</v>
      </c>
      <c r="D2084" t="s">
        <v>686</v>
      </c>
      <c r="E2084" t="s">
        <v>42</v>
      </c>
      <c r="F2084" t="s">
        <v>670</v>
      </c>
      <c r="G2084" t="s">
        <v>59</v>
      </c>
      <c r="H2084">
        <v>2023</v>
      </c>
    </row>
    <row r="2085" spans="1:8" x14ac:dyDescent="0.2">
      <c r="A2085">
        <v>218637</v>
      </c>
      <c r="B2085">
        <v>60585</v>
      </c>
      <c r="C2085" t="str">
        <f t="shared" si="32"/>
        <v>2. $10K-50K</v>
      </c>
      <c r="D2085" t="s">
        <v>255</v>
      </c>
      <c r="E2085" t="s">
        <v>59</v>
      </c>
      <c r="F2085" t="s">
        <v>231</v>
      </c>
      <c r="G2085" t="s">
        <v>232</v>
      </c>
      <c r="H2085">
        <v>2023</v>
      </c>
    </row>
    <row r="2086" spans="1:8" x14ac:dyDescent="0.2">
      <c r="A2086">
        <v>218638</v>
      </c>
      <c r="B2086">
        <v>62508.2</v>
      </c>
      <c r="C2086" t="str">
        <f t="shared" si="32"/>
        <v>3. $50K-250K</v>
      </c>
      <c r="D2086" t="s">
        <v>799</v>
      </c>
      <c r="E2086" t="s">
        <v>237</v>
      </c>
      <c r="F2086" t="s">
        <v>670</v>
      </c>
      <c r="G2086" t="s">
        <v>59</v>
      </c>
      <c r="H2086">
        <v>2023</v>
      </c>
    </row>
    <row r="2087" spans="1:8" x14ac:dyDescent="0.2">
      <c r="A2087">
        <v>218651</v>
      </c>
      <c r="B2087">
        <v>514260.2</v>
      </c>
      <c r="C2087" t="str">
        <f t="shared" si="32"/>
        <v>3. $50K-250K</v>
      </c>
      <c r="D2087" t="s">
        <v>799</v>
      </c>
      <c r="E2087" t="s">
        <v>237</v>
      </c>
      <c r="F2087" t="s">
        <v>670</v>
      </c>
      <c r="G2087" t="s">
        <v>59</v>
      </c>
      <c r="H2087">
        <v>2023</v>
      </c>
    </row>
    <row r="2088" spans="1:8" x14ac:dyDescent="0.2">
      <c r="A2088">
        <v>21876</v>
      </c>
      <c r="B2088">
        <v>1838592.2</v>
      </c>
      <c r="C2088" t="str">
        <f t="shared" si="32"/>
        <v>4. $250K-1M</v>
      </c>
      <c r="D2088" t="s">
        <v>1470</v>
      </c>
      <c r="E2088" t="s">
        <v>99</v>
      </c>
      <c r="F2088" t="s">
        <v>668</v>
      </c>
      <c r="G2088" t="s">
        <v>59</v>
      </c>
      <c r="H2088">
        <v>2023</v>
      </c>
    </row>
    <row r="2089" spans="1:8" x14ac:dyDescent="0.2">
      <c r="A2089">
        <v>218768</v>
      </c>
      <c r="B2089">
        <v>13000</v>
      </c>
      <c r="C2089" t="str">
        <f t="shared" si="32"/>
        <v>5. $1M+</v>
      </c>
      <c r="D2089" t="s">
        <v>694</v>
      </c>
      <c r="E2089" t="s">
        <v>237</v>
      </c>
      <c r="F2089" t="s">
        <v>670</v>
      </c>
      <c r="G2089" t="s">
        <v>59</v>
      </c>
      <c r="H2089">
        <v>2023</v>
      </c>
    </row>
    <row r="2090" spans="1:8" x14ac:dyDescent="0.2">
      <c r="A2090">
        <v>218772</v>
      </c>
      <c r="B2090">
        <v>70937</v>
      </c>
      <c r="C2090" t="str">
        <f t="shared" si="32"/>
        <v>2. $10K-50K</v>
      </c>
      <c r="D2090" t="s">
        <v>942</v>
      </c>
      <c r="E2090" t="s">
        <v>99</v>
      </c>
      <c r="F2090" t="s">
        <v>670</v>
      </c>
      <c r="G2090" t="s">
        <v>59</v>
      </c>
      <c r="H2090">
        <v>2023</v>
      </c>
    </row>
    <row r="2091" spans="1:8" x14ac:dyDescent="0.2">
      <c r="A2091">
        <v>218776</v>
      </c>
      <c r="B2091">
        <v>52800</v>
      </c>
      <c r="C2091" t="str">
        <f t="shared" si="32"/>
        <v>3. $50K-250K</v>
      </c>
      <c r="D2091" t="s">
        <v>671</v>
      </c>
      <c r="E2091" t="s">
        <v>237</v>
      </c>
      <c r="F2091" t="s">
        <v>670</v>
      </c>
      <c r="G2091" t="s">
        <v>59</v>
      </c>
      <c r="H2091">
        <v>2023</v>
      </c>
    </row>
    <row r="2092" spans="1:8" x14ac:dyDescent="0.2">
      <c r="A2092">
        <v>218778</v>
      </c>
      <c r="B2092">
        <v>52800</v>
      </c>
      <c r="C2092" t="str">
        <f t="shared" si="32"/>
        <v>3. $50K-250K</v>
      </c>
      <c r="D2092" t="s">
        <v>861</v>
      </c>
      <c r="E2092" t="s">
        <v>237</v>
      </c>
      <c r="F2092" t="s">
        <v>670</v>
      </c>
      <c r="G2092" t="s">
        <v>59</v>
      </c>
      <c r="H2092">
        <v>2023</v>
      </c>
    </row>
    <row r="2093" spans="1:8" x14ac:dyDescent="0.2">
      <c r="A2093">
        <v>218779</v>
      </c>
      <c r="B2093">
        <v>304573.90000000002</v>
      </c>
      <c r="C2093" t="str">
        <f t="shared" si="32"/>
        <v>3. $50K-250K</v>
      </c>
      <c r="D2093" t="s">
        <v>672</v>
      </c>
      <c r="E2093" t="s">
        <v>42</v>
      </c>
      <c r="F2093" t="s">
        <v>670</v>
      </c>
      <c r="G2093" t="s">
        <v>59</v>
      </c>
      <c r="H2093">
        <v>2023</v>
      </c>
    </row>
    <row r="2094" spans="1:8" x14ac:dyDescent="0.2">
      <c r="A2094">
        <v>218781</v>
      </c>
      <c r="B2094">
        <v>52026.8</v>
      </c>
      <c r="C2094" t="str">
        <f t="shared" si="32"/>
        <v>4. $250K-1M</v>
      </c>
      <c r="D2094" t="s">
        <v>911</v>
      </c>
      <c r="E2094" t="s">
        <v>237</v>
      </c>
      <c r="F2094" t="s">
        <v>670</v>
      </c>
      <c r="G2094" t="s">
        <v>59</v>
      </c>
      <c r="H2094">
        <v>2023</v>
      </c>
    </row>
    <row r="2095" spans="1:8" x14ac:dyDescent="0.2">
      <c r="A2095">
        <v>218791</v>
      </c>
      <c r="B2095">
        <v>64999.9</v>
      </c>
      <c r="C2095" t="str">
        <f t="shared" si="32"/>
        <v>3. $50K-250K</v>
      </c>
      <c r="D2095" t="s">
        <v>812</v>
      </c>
      <c r="E2095" t="s">
        <v>237</v>
      </c>
      <c r="F2095" t="s">
        <v>670</v>
      </c>
      <c r="G2095" t="s">
        <v>59</v>
      </c>
      <c r="H2095">
        <v>2023</v>
      </c>
    </row>
    <row r="2096" spans="1:8" x14ac:dyDescent="0.2">
      <c r="A2096">
        <v>218820</v>
      </c>
      <c r="B2096">
        <v>235952</v>
      </c>
      <c r="C2096" t="str">
        <f t="shared" si="32"/>
        <v>3. $50K-250K</v>
      </c>
      <c r="D2096" t="s">
        <v>998</v>
      </c>
      <c r="E2096" t="s">
        <v>42</v>
      </c>
      <c r="F2096" t="s">
        <v>670</v>
      </c>
      <c r="G2096" t="s">
        <v>59</v>
      </c>
      <c r="H2096">
        <v>2023</v>
      </c>
    </row>
    <row r="2097" spans="1:8" x14ac:dyDescent="0.2">
      <c r="A2097">
        <v>218825</v>
      </c>
      <c r="B2097">
        <v>25010</v>
      </c>
      <c r="C2097" t="str">
        <f t="shared" si="32"/>
        <v>3. $50K-250K</v>
      </c>
      <c r="D2097" t="s">
        <v>1401</v>
      </c>
      <c r="E2097" t="s">
        <v>368</v>
      </c>
      <c r="F2097" t="s">
        <v>670</v>
      </c>
      <c r="G2097" t="s">
        <v>59</v>
      </c>
      <c r="H2097">
        <v>2023</v>
      </c>
    </row>
    <row r="2098" spans="1:8" x14ac:dyDescent="0.2">
      <c r="A2098">
        <v>218827</v>
      </c>
      <c r="B2098">
        <v>230067.9</v>
      </c>
      <c r="C2098" t="str">
        <f t="shared" si="32"/>
        <v>2. $10K-50K</v>
      </c>
      <c r="D2098" t="s">
        <v>1003</v>
      </c>
      <c r="E2098" t="s">
        <v>42</v>
      </c>
      <c r="F2098" t="s">
        <v>670</v>
      </c>
      <c r="G2098" t="s">
        <v>59</v>
      </c>
      <c r="H2098">
        <v>2023</v>
      </c>
    </row>
    <row r="2099" spans="1:8" x14ac:dyDescent="0.2">
      <c r="A2099">
        <v>218858</v>
      </c>
      <c r="B2099">
        <v>86399.4</v>
      </c>
      <c r="C2099" t="str">
        <f t="shared" si="32"/>
        <v>3. $50K-250K</v>
      </c>
      <c r="D2099" t="s">
        <v>809</v>
      </c>
      <c r="E2099" t="s">
        <v>237</v>
      </c>
      <c r="F2099" t="s">
        <v>670</v>
      </c>
      <c r="G2099" t="s">
        <v>59</v>
      </c>
      <c r="H2099">
        <v>2023</v>
      </c>
    </row>
    <row r="2100" spans="1:8" x14ac:dyDescent="0.2">
      <c r="A2100">
        <v>218870</v>
      </c>
      <c r="B2100">
        <v>29097.1</v>
      </c>
      <c r="C2100" t="str">
        <f t="shared" si="32"/>
        <v>3. $50K-250K</v>
      </c>
      <c r="D2100" t="s">
        <v>920</v>
      </c>
      <c r="E2100" t="s">
        <v>237</v>
      </c>
      <c r="F2100" t="s">
        <v>670</v>
      </c>
      <c r="G2100" t="s">
        <v>59</v>
      </c>
      <c r="H2100">
        <v>2023</v>
      </c>
    </row>
    <row r="2101" spans="1:8" x14ac:dyDescent="0.2">
      <c r="A2101">
        <v>218872</v>
      </c>
      <c r="B2101">
        <v>45462.3</v>
      </c>
      <c r="C2101" t="str">
        <f t="shared" si="32"/>
        <v>2. $10K-50K</v>
      </c>
      <c r="D2101" t="s">
        <v>1471</v>
      </c>
      <c r="E2101" t="s">
        <v>237</v>
      </c>
      <c r="F2101" t="s">
        <v>670</v>
      </c>
      <c r="G2101" t="s">
        <v>59</v>
      </c>
      <c r="H2101">
        <v>2023</v>
      </c>
    </row>
    <row r="2102" spans="1:8" x14ac:dyDescent="0.2">
      <c r="A2102">
        <v>218874</v>
      </c>
      <c r="B2102">
        <v>69762.100000000006</v>
      </c>
      <c r="C2102" t="str">
        <f t="shared" si="32"/>
        <v>2. $10K-50K</v>
      </c>
      <c r="D2102" t="s">
        <v>880</v>
      </c>
      <c r="E2102" t="s">
        <v>237</v>
      </c>
      <c r="F2102" t="s">
        <v>670</v>
      </c>
      <c r="G2102" t="s">
        <v>59</v>
      </c>
      <c r="H2102">
        <v>2023</v>
      </c>
    </row>
    <row r="2103" spans="1:8" x14ac:dyDescent="0.2">
      <c r="A2103">
        <v>218884</v>
      </c>
      <c r="B2103">
        <v>25481.3</v>
      </c>
      <c r="C2103" t="str">
        <f t="shared" si="32"/>
        <v>3. $50K-250K</v>
      </c>
      <c r="D2103" t="s">
        <v>749</v>
      </c>
      <c r="E2103" t="s">
        <v>237</v>
      </c>
      <c r="F2103" t="s">
        <v>670</v>
      </c>
      <c r="G2103" t="s">
        <v>59</v>
      </c>
      <c r="H2103">
        <v>2023</v>
      </c>
    </row>
    <row r="2104" spans="1:8" x14ac:dyDescent="0.2">
      <c r="A2104">
        <v>218885</v>
      </c>
      <c r="B2104">
        <v>52800</v>
      </c>
      <c r="C2104" t="str">
        <f t="shared" si="32"/>
        <v>2. $10K-50K</v>
      </c>
      <c r="D2104" t="s">
        <v>749</v>
      </c>
      <c r="E2104" t="s">
        <v>237</v>
      </c>
      <c r="F2104" t="s">
        <v>670</v>
      </c>
      <c r="G2104" t="s">
        <v>59</v>
      </c>
      <c r="H2104">
        <v>2023</v>
      </c>
    </row>
    <row r="2105" spans="1:8" x14ac:dyDescent="0.2">
      <c r="A2105">
        <v>218893</v>
      </c>
      <c r="B2105">
        <v>48478.8</v>
      </c>
      <c r="C2105" t="str">
        <f t="shared" si="32"/>
        <v>3. $50K-250K</v>
      </c>
      <c r="D2105" t="s">
        <v>749</v>
      </c>
      <c r="E2105" t="s">
        <v>237</v>
      </c>
      <c r="F2105" t="s">
        <v>670</v>
      </c>
      <c r="G2105" t="s">
        <v>59</v>
      </c>
      <c r="H2105">
        <v>2023</v>
      </c>
    </row>
    <row r="2106" spans="1:8" x14ac:dyDescent="0.2">
      <c r="A2106">
        <v>218895</v>
      </c>
      <c r="B2106">
        <v>82920.7</v>
      </c>
      <c r="C2106" t="str">
        <f t="shared" si="32"/>
        <v>2. $10K-50K</v>
      </c>
      <c r="D2106" t="s">
        <v>922</v>
      </c>
      <c r="E2106" t="s">
        <v>237</v>
      </c>
      <c r="F2106" t="s">
        <v>670</v>
      </c>
      <c r="G2106" t="s">
        <v>59</v>
      </c>
      <c r="H2106">
        <v>2023</v>
      </c>
    </row>
    <row r="2107" spans="1:8" x14ac:dyDescent="0.2">
      <c r="A2107">
        <v>218913</v>
      </c>
      <c r="B2107">
        <v>69000</v>
      </c>
      <c r="C2107" t="str">
        <f t="shared" si="32"/>
        <v>3. $50K-250K</v>
      </c>
      <c r="D2107" t="s">
        <v>1079</v>
      </c>
      <c r="E2107" t="s">
        <v>237</v>
      </c>
      <c r="F2107" t="s">
        <v>670</v>
      </c>
      <c r="G2107" t="s">
        <v>59</v>
      </c>
      <c r="H2107">
        <v>2023</v>
      </c>
    </row>
    <row r="2108" spans="1:8" x14ac:dyDescent="0.2">
      <c r="A2108">
        <v>218914</v>
      </c>
      <c r="B2108">
        <v>138000</v>
      </c>
      <c r="C2108" t="str">
        <f t="shared" si="32"/>
        <v>3. $50K-250K</v>
      </c>
      <c r="D2108" t="s">
        <v>1079</v>
      </c>
      <c r="E2108" t="s">
        <v>237</v>
      </c>
      <c r="F2108" t="s">
        <v>670</v>
      </c>
      <c r="G2108" t="s">
        <v>59</v>
      </c>
      <c r="H2108">
        <v>2023</v>
      </c>
    </row>
    <row r="2109" spans="1:8" x14ac:dyDescent="0.2">
      <c r="A2109">
        <v>218915</v>
      </c>
      <c r="B2109">
        <v>69000</v>
      </c>
      <c r="C2109" t="str">
        <f t="shared" si="32"/>
        <v>3. $50K-250K</v>
      </c>
      <c r="D2109" t="s">
        <v>748</v>
      </c>
      <c r="E2109" t="s">
        <v>237</v>
      </c>
      <c r="F2109" t="s">
        <v>670</v>
      </c>
      <c r="G2109" t="s">
        <v>59</v>
      </c>
      <c r="H2109">
        <v>2023</v>
      </c>
    </row>
    <row r="2110" spans="1:8" x14ac:dyDescent="0.2">
      <c r="A2110">
        <v>218916</v>
      </c>
      <c r="B2110">
        <v>207000</v>
      </c>
      <c r="C2110" t="str">
        <f t="shared" si="32"/>
        <v>3. $50K-250K</v>
      </c>
      <c r="D2110" t="s">
        <v>1073</v>
      </c>
      <c r="E2110" t="s">
        <v>237</v>
      </c>
      <c r="F2110" t="s">
        <v>670</v>
      </c>
      <c r="G2110" t="s">
        <v>59</v>
      </c>
      <c r="H2110">
        <v>2023</v>
      </c>
    </row>
    <row r="2111" spans="1:8" x14ac:dyDescent="0.2">
      <c r="A2111">
        <v>218920</v>
      </c>
      <c r="B2111">
        <v>76590</v>
      </c>
      <c r="C2111" t="str">
        <f t="shared" si="32"/>
        <v>3. $50K-250K</v>
      </c>
      <c r="D2111" t="s">
        <v>908</v>
      </c>
      <c r="E2111" t="s">
        <v>237</v>
      </c>
      <c r="F2111" t="s">
        <v>670</v>
      </c>
      <c r="G2111" t="s">
        <v>59</v>
      </c>
      <c r="H2111">
        <v>2023</v>
      </c>
    </row>
    <row r="2112" spans="1:8" x14ac:dyDescent="0.2">
      <c r="A2112">
        <v>218950</v>
      </c>
      <c r="B2112">
        <v>10000</v>
      </c>
      <c r="C2112" t="str">
        <f t="shared" si="32"/>
        <v>3. $50K-250K</v>
      </c>
      <c r="D2112" t="s">
        <v>694</v>
      </c>
      <c r="E2112" t="s">
        <v>237</v>
      </c>
      <c r="F2112" t="s">
        <v>670</v>
      </c>
      <c r="G2112" t="s">
        <v>59</v>
      </c>
      <c r="H2112">
        <v>2023</v>
      </c>
    </row>
    <row r="2113" spans="1:8" x14ac:dyDescent="0.2">
      <c r="A2113">
        <v>218951</v>
      </c>
      <c r="B2113">
        <v>20000</v>
      </c>
      <c r="C2113" t="str">
        <f t="shared" si="32"/>
        <v>2. $10K-50K</v>
      </c>
      <c r="D2113" t="s">
        <v>694</v>
      </c>
      <c r="E2113" t="s">
        <v>237</v>
      </c>
      <c r="F2113" t="s">
        <v>670</v>
      </c>
      <c r="G2113" t="s">
        <v>59</v>
      </c>
      <c r="H2113">
        <v>2023</v>
      </c>
    </row>
    <row r="2114" spans="1:8" x14ac:dyDescent="0.2">
      <c r="A2114">
        <v>218952</v>
      </c>
      <c r="B2114">
        <v>13236.0999999999</v>
      </c>
      <c r="C2114" t="str">
        <f t="shared" si="32"/>
        <v>2. $10K-50K</v>
      </c>
      <c r="D2114" t="s">
        <v>694</v>
      </c>
      <c r="E2114" t="s">
        <v>237</v>
      </c>
      <c r="F2114" t="s">
        <v>670</v>
      </c>
      <c r="G2114" t="s">
        <v>59</v>
      </c>
      <c r="H2114">
        <v>2023</v>
      </c>
    </row>
    <row r="2115" spans="1:8" x14ac:dyDescent="0.2">
      <c r="A2115">
        <v>218955</v>
      </c>
      <c r="B2115">
        <v>69000</v>
      </c>
      <c r="C2115" t="str">
        <f t="shared" ref="C2115:C2178" si="33">IF(B2114&lt;10000,"1. Under $10K",IF(B2114&lt;50000,"2. $10K-50K",IF(B2114&lt;250000,"3. $50K-250K",IF(B2114&lt;1000000,"4. $250K-1M","5. $1M+"))))</f>
        <v>2. $10K-50K</v>
      </c>
      <c r="D2115" t="s">
        <v>920</v>
      </c>
      <c r="E2115" t="s">
        <v>237</v>
      </c>
      <c r="F2115" t="s">
        <v>670</v>
      </c>
      <c r="G2115" t="s">
        <v>59</v>
      </c>
      <c r="H2115">
        <v>2023</v>
      </c>
    </row>
    <row r="2116" spans="1:8" x14ac:dyDescent="0.2">
      <c r="A2116">
        <v>218956</v>
      </c>
      <c r="B2116">
        <v>69000</v>
      </c>
      <c r="C2116" t="str">
        <f t="shared" si="33"/>
        <v>3. $50K-250K</v>
      </c>
      <c r="D2116" t="s">
        <v>1178</v>
      </c>
      <c r="E2116" t="s">
        <v>237</v>
      </c>
      <c r="F2116" t="s">
        <v>670</v>
      </c>
      <c r="G2116" t="s">
        <v>59</v>
      </c>
      <c r="H2116">
        <v>2023</v>
      </c>
    </row>
    <row r="2117" spans="1:8" x14ac:dyDescent="0.2">
      <c r="A2117">
        <v>218971</v>
      </c>
      <c r="B2117">
        <v>138000</v>
      </c>
      <c r="C2117" t="str">
        <f t="shared" si="33"/>
        <v>3. $50K-250K</v>
      </c>
      <c r="D2117" t="s">
        <v>985</v>
      </c>
      <c r="E2117" t="s">
        <v>237</v>
      </c>
      <c r="F2117" t="s">
        <v>670</v>
      </c>
      <c r="G2117" t="s">
        <v>59</v>
      </c>
      <c r="H2117">
        <v>2023</v>
      </c>
    </row>
    <row r="2118" spans="1:8" x14ac:dyDescent="0.2">
      <c r="A2118">
        <v>218983</v>
      </c>
      <c r="B2118">
        <v>42846.7</v>
      </c>
      <c r="C2118" t="str">
        <f t="shared" si="33"/>
        <v>3. $50K-250K</v>
      </c>
      <c r="D2118" t="s">
        <v>680</v>
      </c>
      <c r="E2118" t="s">
        <v>42</v>
      </c>
      <c r="F2118" t="s">
        <v>670</v>
      </c>
      <c r="G2118" t="s">
        <v>59</v>
      </c>
      <c r="H2118">
        <v>2023</v>
      </c>
    </row>
    <row r="2119" spans="1:8" x14ac:dyDescent="0.2">
      <c r="A2119">
        <v>218984</v>
      </c>
      <c r="B2119">
        <v>57818</v>
      </c>
      <c r="C2119" t="str">
        <f t="shared" si="33"/>
        <v>2. $10K-50K</v>
      </c>
      <c r="D2119" t="s">
        <v>674</v>
      </c>
      <c r="E2119" t="s">
        <v>42</v>
      </c>
      <c r="F2119" t="s">
        <v>670</v>
      </c>
      <c r="G2119" t="s">
        <v>59</v>
      </c>
      <c r="H2119">
        <v>2023</v>
      </c>
    </row>
    <row r="2120" spans="1:8" x14ac:dyDescent="0.2">
      <c r="A2120">
        <v>218987</v>
      </c>
      <c r="B2120">
        <v>80506.2</v>
      </c>
      <c r="C2120" t="str">
        <f t="shared" si="33"/>
        <v>3. $50K-250K</v>
      </c>
      <c r="D2120" t="s">
        <v>673</v>
      </c>
      <c r="E2120" t="s">
        <v>42</v>
      </c>
      <c r="F2120" t="s">
        <v>670</v>
      </c>
      <c r="G2120" t="s">
        <v>59</v>
      </c>
      <c r="H2120">
        <v>2023</v>
      </c>
    </row>
    <row r="2121" spans="1:8" x14ac:dyDescent="0.2">
      <c r="A2121">
        <v>218995</v>
      </c>
      <c r="B2121">
        <v>65961</v>
      </c>
      <c r="C2121" t="str">
        <f t="shared" si="33"/>
        <v>3. $50K-250K</v>
      </c>
      <c r="D2121" t="s">
        <v>851</v>
      </c>
      <c r="E2121" t="s">
        <v>237</v>
      </c>
      <c r="F2121" t="s">
        <v>670</v>
      </c>
      <c r="G2121" t="s">
        <v>59</v>
      </c>
      <c r="H2121">
        <v>2023</v>
      </c>
    </row>
    <row r="2122" spans="1:8" x14ac:dyDescent="0.2">
      <c r="A2122">
        <v>218996</v>
      </c>
      <c r="B2122">
        <v>684428</v>
      </c>
      <c r="C2122" t="str">
        <f t="shared" si="33"/>
        <v>3. $50K-250K</v>
      </c>
      <c r="D2122" t="s">
        <v>851</v>
      </c>
      <c r="E2122" t="s">
        <v>237</v>
      </c>
      <c r="F2122" t="s">
        <v>670</v>
      </c>
      <c r="G2122" t="s">
        <v>59</v>
      </c>
      <c r="H2122">
        <v>2023</v>
      </c>
    </row>
    <row r="2123" spans="1:8" x14ac:dyDescent="0.2">
      <c r="A2123">
        <v>219000</v>
      </c>
      <c r="B2123">
        <v>69000</v>
      </c>
      <c r="C2123" t="str">
        <f t="shared" si="33"/>
        <v>4. $250K-1M</v>
      </c>
      <c r="D2123" t="s">
        <v>1068</v>
      </c>
      <c r="E2123" t="s">
        <v>237</v>
      </c>
      <c r="F2123" t="s">
        <v>670</v>
      </c>
      <c r="G2123" t="s">
        <v>59</v>
      </c>
      <c r="H2123">
        <v>2023</v>
      </c>
    </row>
    <row r="2124" spans="1:8" x14ac:dyDescent="0.2">
      <c r="A2124">
        <v>219001</v>
      </c>
      <c r="B2124">
        <v>69000</v>
      </c>
      <c r="C2124" t="str">
        <f t="shared" si="33"/>
        <v>3. $50K-250K</v>
      </c>
      <c r="D2124" t="s">
        <v>1167</v>
      </c>
      <c r="E2124" t="s">
        <v>237</v>
      </c>
      <c r="F2124" t="s">
        <v>670</v>
      </c>
      <c r="G2124" t="s">
        <v>59</v>
      </c>
      <c r="H2124">
        <v>2023</v>
      </c>
    </row>
    <row r="2125" spans="1:8" x14ac:dyDescent="0.2">
      <c r="A2125">
        <v>219002</v>
      </c>
      <c r="B2125">
        <v>207000</v>
      </c>
      <c r="C2125" t="str">
        <f t="shared" si="33"/>
        <v>3. $50K-250K</v>
      </c>
      <c r="D2125" t="s">
        <v>783</v>
      </c>
      <c r="E2125" t="s">
        <v>237</v>
      </c>
      <c r="F2125" t="s">
        <v>670</v>
      </c>
      <c r="G2125" t="s">
        <v>59</v>
      </c>
      <c r="H2125">
        <v>2023</v>
      </c>
    </row>
    <row r="2126" spans="1:8" x14ac:dyDescent="0.2">
      <c r="A2126">
        <v>219013</v>
      </c>
      <c r="B2126">
        <v>103500</v>
      </c>
      <c r="C2126" t="str">
        <f t="shared" si="33"/>
        <v>3. $50K-250K</v>
      </c>
      <c r="D2126" t="s">
        <v>724</v>
      </c>
      <c r="E2126" t="s">
        <v>237</v>
      </c>
      <c r="F2126" t="s">
        <v>670</v>
      </c>
      <c r="G2126" t="s">
        <v>59</v>
      </c>
      <c r="H2126">
        <v>2023</v>
      </c>
    </row>
    <row r="2127" spans="1:8" x14ac:dyDescent="0.2">
      <c r="A2127">
        <v>219014</v>
      </c>
      <c r="B2127">
        <v>133644</v>
      </c>
      <c r="C2127" t="str">
        <f t="shared" si="33"/>
        <v>3. $50K-250K</v>
      </c>
      <c r="D2127" t="s">
        <v>801</v>
      </c>
      <c r="E2127" t="s">
        <v>237</v>
      </c>
      <c r="F2127" t="s">
        <v>670</v>
      </c>
      <c r="G2127" t="s">
        <v>59</v>
      </c>
      <c r="H2127">
        <v>2023</v>
      </c>
    </row>
    <row r="2128" spans="1:8" x14ac:dyDescent="0.2">
      <c r="A2128">
        <v>219015</v>
      </c>
      <c r="B2128">
        <v>69000</v>
      </c>
      <c r="C2128" t="str">
        <f t="shared" si="33"/>
        <v>3. $50K-250K</v>
      </c>
      <c r="D2128" t="s">
        <v>713</v>
      </c>
      <c r="E2128" t="s">
        <v>237</v>
      </c>
      <c r="F2128" t="s">
        <v>670</v>
      </c>
      <c r="G2128" t="s">
        <v>59</v>
      </c>
      <c r="H2128">
        <v>2023</v>
      </c>
    </row>
    <row r="2129" spans="1:8" x14ac:dyDescent="0.2">
      <c r="A2129">
        <v>219016</v>
      </c>
      <c r="B2129">
        <v>69000</v>
      </c>
      <c r="C2129" t="str">
        <f t="shared" si="33"/>
        <v>3. $50K-250K</v>
      </c>
      <c r="D2129" t="s">
        <v>1179</v>
      </c>
      <c r="E2129" t="s">
        <v>237</v>
      </c>
      <c r="F2129" t="s">
        <v>670</v>
      </c>
      <c r="G2129" t="s">
        <v>59</v>
      </c>
      <c r="H2129">
        <v>2023</v>
      </c>
    </row>
    <row r="2130" spans="1:8" x14ac:dyDescent="0.2">
      <c r="A2130">
        <v>219017</v>
      </c>
      <c r="B2130">
        <v>69000</v>
      </c>
      <c r="C2130" t="str">
        <f t="shared" si="33"/>
        <v>3. $50K-250K</v>
      </c>
      <c r="D2130" t="s">
        <v>782</v>
      </c>
      <c r="E2130" t="s">
        <v>237</v>
      </c>
      <c r="F2130" t="s">
        <v>670</v>
      </c>
      <c r="G2130" t="s">
        <v>59</v>
      </c>
      <c r="H2130">
        <v>2023</v>
      </c>
    </row>
    <row r="2131" spans="1:8" x14ac:dyDescent="0.2">
      <c r="A2131">
        <v>219018</v>
      </c>
      <c r="B2131">
        <v>69000</v>
      </c>
      <c r="C2131" t="str">
        <f t="shared" si="33"/>
        <v>3. $50K-250K</v>
      </c>
      <c r="D2131" t="s">
        <v>713</v>
      </c>
      <c r="E2131" t="s">
        <v>237</v>
      </c>
      <c r="F2131" t="s">
        <v>670</v>
      </c>
      <c r="G2131" t="s">
        <v>59</v>
      </c>
      <c r="H2131">
        <v>2023</v>
      </c>
    </row>
    <row r="2132" spans="1:8" x14ac:dyDescent="0.2">
      <c r="A2132">
        <v>219019</v>
      </c>
      <c r="B2132">
        <v>69000</v>
      </c>
      <c r="C2132" t="str">
        <f t="shared" si="33"/>
        <v>3. $50K-250K</v>
      </c>
      <c r="D2132" t="s">
        <v>713</v>
      </c>
      <c r="E2132" t="s">
        <v>237</v>
      </c>
      <c r="F2132" t="s">
        <v>670</v>
      </c>
      <c r="G2132" t="s">
        <v>59</v>
      </c>
      <c r="H2132">
        <v>2023</v>
      </c>
    </row>
    <row r="2133" spans="1:8" x14ac:dyDescent="0.2">
      <c r="A2133">
        <v>219020</v>
      </c>
      <c r="B2133">
        <v>69000</v>
      </c>
      <c r="C2133" t="str">
        <f t="shared" si="33"/>
        <v>3. $50K-250K</v>
      </c>
      <c r="D2133" t="s">
        <v>1079</v>
      </c>
      <c r="E2133" t="s">
        <v>237</v>
      </c>
      <c r="F2133" t="s">
        <v>670</v>
      </c>
      <c r="G2133" t="s">
        <v>59</v>
      </c>
      <c r="H2133">
        <v>2023</v>
      </c>
    </row>
    <row r="2134" spans="1:8" x14ac:dyDescent="0.2">
      <c r="A2134">
        <v>219021</v>
      </c>
      <c r="B2134">
        <v>69000</v>
      </c>
      <c r="C2134" t="str">
        <f t="shared" si="33"/>
        <v>3. $50K-250K</v>
      </c>
      <c r="D2134" t="s">
        <v>749</v>
      </c>
      <c r="E2134" t="s">
        <v>237</v>
      </c>
      <c r="F2134" t="s">
        <v>670</v>
      </c>
      <c r="G2134" t="s">
        <v>59</v>
      </c>
      <c r="H2134">
        <v>2023</v>
      </c>
    </row>
    <row r="2135" spans="1:8" x14ac:dyDescent="0.2">
      <c r="A2135">
        <v>219022</v>
      </c>
      <c r="B2135">
        <v>69000</v>
      </c>
      <c r="C2135" t="str">
        <f t="shared" si="33"/>
        <v>3. $50K-250K</v>
      </c>
      <c r="D2135" t="s">
        <v>720</v>
      </c>
      <c r="E2135" t="s">
        <v>237</v>
      </c>
      <c r="F2135" t="s">
        <v>670</v>
      </c>
      <c r="G2135" t="s">
        <v>59</v>
      </c>
      <c r="H2135">
        <v>2023</v>
      </c>
    </row>
    <row r="2136" spans="1:8" x14ac:dyDescent="0.2">
      <c r="A2136">
        <v>219023</v>
      </c>
      <c r="B2136">
        <v>69000</v>
      </c>
      <c r="C2136" t="str">
        <f t="shared" si="33"/>
        <v>3. $50K-250K</v>
      </c>
      <c r="D2136" t="s">
        <v>1077</v>
      </c>
      <c r="E2136" t="s">
        <v>237</v>
      </c>
      <c r="F2136" t="s">
        <v>670</v>
      </c>
      <c r="G2136" t="s">
        <v>59</v>
      </c>
      <c r="H2136">
        <v>2023</v>
      </c>
    </row>
    <row r="2137" spans="1:8" x14ac:dyDescent="0.2">
      <c r="A2137">
        <v>219024</v>
      </c>
      <c r="B2137">
        <v>103500</v>
      </c>
      <c r="C2137" t="str">
        <f t="shared" si="33"/>
        <v>3. $50K-250K</v>
      </c>
      <c r="D2137" t="s">
        <v>1168</v>
      </c>
      <c r="E2137" t="s">
        <v>237</v>
      </c>
      <c r="F2137" t="s">
        <v>670</v>
      </c>
      <c r="G2137" t="s">
        <v>59</v>
      </c>
      <c r="H2137">
        <v>2023</v>
      </c>
    </row>
    <row r="2138" spans="1:8" x14ac:dyDescent="0.2">
      <c r="A2138">
        <v>219025</v>
      </c>
      <c r="B2138">
        <v>69000</v>
      </c>
      <c r="C2138" t="str">
        <f t="shared" si="33"/>
        <v>3. $50K-250K</v>
      </c>
      <c r="D2138" t="s">
        <v>1046</v>
      </c>
      <c r="E2138" t="s">
        <v>237</v>
      </c>
      <c r="F2138" t="s">
        <v>670</v>
      </c>
      <c r="G2138" t="s">
        <v>59</v>
      </c>
      <c r="H2138">
        <v>2023</v>
      </c>
    </row>
    <row r="2139" spans="1:8" x14ac:dyDescent="0.2">
      <c r="A2139">
        <v>219026</v>
      </c>
      <c r="B2139">
        <v>69000</v>
      </c>
      <c r="C2139" t="str">
        <f t="shared" si="33"/>
        <v>3. $50K-250K</v>
      </c>
      <c r="D2139" t="s">
        <v>988</v>
      </c>
      <c r="E2139" t="s">
        <v>237</v>
      </c>
      <c r="F2139" t="s">
        <v>670</v>
      </c>
      <c r="G2139" t="s">
        <v>59</v>
      </c>
      <c r="H2139">
        <v>2023</v>
      </c>
    </row>
    <row r="2140" spans="1:8" x14ac:dyDescent="0.2">
      <c r="A2140">
        <v>219027</v>
      </c>
      <c r="B2140">
        <v>138000</v>
      </c>
      <c r="C2140" t="str">
        <f t="shared" si="33"/>
        <v>3. $50K-250K</v>
      </c>
      <c r="D2140" t="s">
        <v>801</v>
      </c>
      <c r="E2140" t="s">
        <v>237</v>
      </c>
      <c r="F2140" t="s">
        <v>670</v>
      </c>
      <c r="G2140" t="s">
        <v>59</v>
      </c>
      <c r="H2140">
        <v>2023</v>
      </c>
    </row>
    <row r="2141" spans="1:8" x14ac:dyDescent="0.2">
      <c r="A2141">
        <v>219028</v>
      </c>
      <c r="B2141">
        <v>357000</v>
      </c>
      <c r="C2141" t="str">
        <f t="shared" si="33"/>
        <v>3. $50K-250K</v>
      </c>
      <c r="D2141" t="s">
        <v>802</v>
      </c>
      <c r="E2141" t="s">
        <v>237</v>
      </c>
      <c r="F2141" t="s">
        <v>670</v>
      </c>
      <c r="G2141" t="s">
        <v>59</v>
      </c>
      <c r="H2141">
        <v>2023</v>
      </c>
    </row>
    <row r="2142" spans="1:8" x14ac:dyDescent="0.2">
      <c r="A2142">
        <v>219029</v>
      </c>
      <c r="B2142">
        <v>69000</v>
      </c>
      <c r="C2142" t="str">
        <f t="shared" si="33"/>
        <v>4. $250K-1M</v>
      </c>
      <c r="D2142" t="s">
        <v>677</v>
      </c>
      <c r="E2142" t="s">
        <v>237</v>
      </c>
      <c r="F2142" t="s">
        <v>670</v>
      </c>
      <c r="G2142" t="s">
        <v>59</v>
      </c>
      <c r="H2142">
        <v>2023</v>
      </c>
    </row>
    <row r="2143" spans="1:8" x14ac:dyDescent="0.2">
      <c r="A2143">
        <v>219030</v>
      </c>
      <c r="B2143">
        <v>69000</v>
      </c>
      <c r="C2143" t="str">
        <f t="shared" si="33"/>
        <v>3. $50K-250K</v>
      </c>
      <c r="D2143" t="s">
        <v>1176</v>
      </c>
      <c r="E2143" t="s">
        <v>237</v>
      </c>
      <c r="F2143" t="s">
        <v>670</v>
      </c>
      <c r="G2143" t="s">
        <v>59</v>
      </c>
      <c r="H2143">
        <v>2023</v>
      </c>
    </row>
    <row r="2144" spans="1:8" x14ac:dyDescent="0.2">
      <c r="A2144">
        <v>219031</v>
      </c>
      <c r="B2144">
        <v>897000</v>
      </c>
      <c r="C2144" t="str">
        <f t="shared" si="33"/>
        <v>3. $50K-250K</v>
      </c>
      <c r="D2144" t="s">
        <v>1084</v>
      </c>
      <c r="E2144" t="s">
        <v>237</v>
      </c>
      <c r="F2144" t="s">
        <v>670</v>
      </c>
      <c r="G2144" t="s">
        <v>59</v>
      </c>
      <c r="H2144">
        <v>2023</v>
      </c>
    </row>
    <row r="2145" spans="1:8" x14ac:dyDescent="0.2">
      <c r="A2145">
        <v>219032</v>
      </c>
      <c r="B2145">
        <v>1018500</v>
      </c>
      <c r="C2145" t="str">
        <f t="shared" si="33"/>
        <v>4. $250K-1M</v>
      </c>
      <c r="D2145" t="s">
        <v>1084</v>
      </c>
      <c r="E2145" t="s">
        <v>237</v>
      </c>
      <c r="F2145" t="s">
        <v>670</v>
      </c>
      <c r="G2145" t="s">
        <v>59</v>
      </c>
      <c r="H2145">
        <v>2023</v>
      </c>
    </row>
    <row r="2146" spans="1:8" x14ac:dyDescent="0.2">
      <c r="A2146">
        <v>219033</v>
      </c>
      <c r="B2146">
        <v>207000</v>
      </c>
      <c r="C2146" t="str">
        <f t="shared" si="33"/>
        <v>5. $1M+</v>
      </c>
      <c r="D2146" t="s">
        <v>1084</v>
      </c>
      <c r="E2146" t="s">
        <v>237</v>
      </c>
      <c r="F2146" t="s">
        <v>670</v>
      </c>
      <c r="G2146" t="s">
        <v>59</v>
      </c>
      <c r="H2146">
        <v>2023</v>
      </c>
    </row>
    <row r="2147" spans="1:8" x14ac:dyDescent="0.2">
      <c r="A2147">
        <v>219034</v>
      </c>
      <c r="B2147">
        <v>103500</v>
      </c>
      <c r="C2147" t="str">
        <f t="shared" si="33"/>
        <v>3. $50K-250K</v>
      </c>
      <c r="D2147" t="s">
        <v>1084</v>
      </c>
      <c r="E2147" t="s">
        <v>237</v>
      </c>
      <c r="F2147" t="s">
        <v>670</v>
      </c>
      <c r="G2147" t="s">
        <v>59</v>
      </c>
      <c r="H2147">
        <v>2023</v>
      </c>
    </row>
    <row r="2148" spans="1:8" x14ac:dyDescent="0.2">
      <c r="A2148">
        <v>219035</v>
      </c>
      <c r="B2148">
        <v>495000</v>
      </c>
      <c r="C2148" t="str">
        <f t="shared" si="33"/>
        <v>3. $50K-250K</v>
      </c>
      <c r="D2148" t="s">
        <v>1084</v>
      </c>
      <c r="E2148" t="s">
        <v>237</v>
      </c>
      <c r="F2148" t="s">
        <v>670</v>
      </c>
      <c r="G2148" t="s">
        <v>59</v>
      </c>
      <c r="H2148">
        <v>2023</v>
      </c>
    </row>
    <row r="2149" spans="1:8" x14ac:dyDescent="0.2">
      <c r="A2149">
        <v>219036</v>
      </c>
      <c r="B2149">
        <v>1035000</v>
      </c>
      <c r="C2149" t="str">
        <f t="shared" si="33"/>
        <v>4. $250K-1M</v>
      </c>
      <c r="D2149" t="s">
        <v>1084</v>
      </c>
      <c r="E2149" t="s">
        <v>237</v>
      </c>
      <c r="F2149" t="s">
        <v>670</v>
      </c>
      <c r="G2149" t="s">
        <v>59</v>
      </c>
      <c r="H2149">
        <v>2023</v>
      </c>
    </row>
    <row r="2150" spans="1:8" x14ac:dyDescent="0.2">
      <c r="A2150">
        <v>219037</v>
      </c>
      <c r="B2150">
        <v>357000</v>
      </c>
      <c r="C2150" t="str">
        <f t="shared" si="33"/>
        <v>5. $1M+</v>
      </c>
      <c r="D2150" t="s">
        <v>800</v>
      </c>
      <c r="E2150" t="s">
        <v>237</v>
      </c>
      <c r="F2150" t="s">
        <v>670</v>
      </c>
      <c r="G2150" t="s">
        <v>59</v>
      </c>
      <c r="H2150">
        <v>2023</v>
      </c>
    </row>
    <row r="2151" spans="1:8" x14ac:dyDescent="0.2">
      <c r="A2151">
        <v>219038</v>
      </c>
      <c r="B2151">
        <v>138000</v>
      </c>
      <c r="C2151" t="str">
        <f t="shared" si="33"/>
        <v>4. $250K-1M</v>
      </c>
      <c r="D2151" t="s">
        <v>1067</v>
      </c>
      <c r="E2151" t="s">
        <v>237</v>
      </c>
      <c r="F2151" t="s">
        <v>670</v>
      </c>
      <c r="G2151" t="s">
        <v>59</v>
      </c>
      <c r="H2151">
        <v>2023</v>
      </c>
    </row>
    <row r="2152" spans="1:8" x14ac:dyDescent="0.2">
      <c r="A2152">
        <v>219039</v>
      </c>
      <c r="B2152">
        <v>379200</v>
      </c>
      <c r="C2152" t="str">
        <f t="shared" si="33"/>
        <v>3. $50K-250K</v>
      </c>
      <c r="D2152" t="s">
        <v>724</v>
      </c>
      <c r="E2152" t="s">
        <v>237</v>
      </c>
      <c r="F2152" t="s">
        <v>670</v>
      </c>
      <c r="G2152" t="s">
        <v>59</v>
      </c>
      <c r="H2152">
        <v>2023</v>
      </c>
    </row>
    <row r="2153" spans="1:8" x14ac:dyDescent="0.2">
      <c r="A2153">
        <v>219040</v>
      </c>
      <c r="B2153">
        <v>69000</v>
      </c>
      <c r="C2153" t="str">
        <f t="shared" si="33"/>
        <v>4. $250K-1M</v>
      </c>
      <c r="D2153" t="s">
        <v>912</v>
      </c>
      <c r="E2153" t="s">
        <v>237</v>
      </c>
      <c r="F2153" t="s">
        <v>670</v>
      </c>
      <c r="G2153" t="s">
        <v>59</v>
      </c>
      <c r="H2153">
        <v>2023</v>
      </c>
    </row>
    <row r="2154" spans="1:8" x14ac:dyDescent="0.2">
      <c r="A2154">
        <v>219041</v>
      </c>
      <c r="B2154">
        <v>69000</v>
      </c>
      <c r="C2154" t="str">
        <f t="shared" si="33"/>
        <v>3. $50K-250K</v>
      </c>
      <c r="D2154" t="s">
        <v>711</v>
      </c>
      <c r="E2154" t="s">
        <v>237</v>
      </c>
      <c r="F2154" t="s">
        <v>670</v>
      </c>
      <c r="G2154" t="s">
        <v>59</v>
      </c>
      <c r="H2154">
        <v>2023</v>
      </c>
    </row>
    <row r="2155" spans="1:8" x14ac:dyDescent="0.2">
      <c r="A2155">
        <v>219042</v>
      </c>
      <c r="B2155">
        <v>69000</v>
      </c>
      <c r="C2155" t="str">
        <f t="shared" si="33"/>
        <v>3. $50K-250K</v>
      </c>
      <c r="D2155" t="s">
        <v>892</v>
      </c>
      <c r="E2155" t="s">
        <v>237</v>
      </c>
      <c r="F2155" t="s">
        <v>670</v>
      </c>
      <c r="G2155" t="s">
        <v>59</v>
      </c>
      <c r="H2155">
        <v>2023</v>
      </c>
    </row>
    <row r="2156" spans="1:8" x14ac:dyDescent="0.2">
      <c r="A2156">
        <v>219043</v>
      </c>
      <c r="B2156">
        <v>32006.1</v>
      </c>
      <c r="C2156" t="str">
        <f t="shared" si="33"/>
        <v>3. $50K-250K</v>
      </c>
      <c r="D2156" t="s">
        <v>916</v>
      </c>
      <c r="E2156" t="s">
        <v>237</v>
      </c>
      <c r="F2156" t="s">
        <v>670</v>
      </c>
      <c r="G2156" t="s">
        <v>59</v>
      </c>
      <c r="H2156">
        <v>2023</v>
      </c>
    </row>
    <row r="2157" spans="1:8" x14ac:dyDescent="0.2">
      <c r="A2157">
        <v>219044</v>
      </c>
      <c r="B2157">
        <v>69000</v>
      </c>
      <c r="C2157" t="str">
        <f t="shared" si="33"/>
        <v>2. $10K-50K</v>
      </c>
      <c r="D2157" t="s">
        <v>1105</v>
      </c>
      <c r="E2157" t="s">
        <v>237</v>
      </c>
      <c r="F2157" t="s">
        <v>670</v>
      </c>
      <c r="G2157" t="s">
        <v>59</v>
      </c>
      <c r="H2157">
        <v>2023</v>
      </c>
    </row>
    <row r="2158" spans="1:8" x14ac:dyDescent="0.2">
      <c r="A2158">
        <v>219045</v>
      </c>
      <c r="B2158">
        <v>52800</v>
      </c>
      <c r="C2158" t="str">
        <f t="shared" si="33"/>
        <v>3. $50K-250K</v>
      </c>
      <c r="D2158" t="s">
        <v>803</v>
      </c>
      <c r="E2158" t="s">
        <v>237</v>
      </c>
      <c r="F2158" t="s">
        <v>670</v>
      </c>
      <c r="G2158" t="s">
        <v>59</v>
      </c>
      <c r="H2158">
        <v>2023</v>
      </c>
    </row>
    <row r="2159" spans="1:8" x14ac:dyDescent="0.2">
      <c r="A2159">
        <v>219046</v>
      </c>
      <c r="B2159">
        <v>486465</v>
      </c>
      <c r="C2159" t="str">
        <f t="shared" si="33"/>
        <v>3. $50K-250K</v>
      </c>
      <c r="D2159" t="s">
        <v>799</v>
      </c>
      <c r="E2159" t="s">
        <v>237</v>
      </c>
      <c r="F2159" t="s">
        <v>670</v>
      </c>
      <c r="G2159" t="s">
        <v>59</v>
      </c>
      <c r="H2159">
        <v>2023</v>
      </c>
    </row>
    <row r="2160" spans="1:8" x14ac:dyDescent="0.2">
      <c r="A2160">
        <v>219047</v>
      </c>
      <c r="B2160">
        <v>103500</v>
      </c>
      <c r="C2160" t="str">
        <f t="shared" si="33"/>
        <v>4. $250K-1M</v>
      </c>
      <c r="D2160" t="s">
        <v>1208</v>
      </c>
      <c r="E2160" t="s">
        <v>237</v>
      </c>
      <c r="F2160" t="s">
        <v>670</v>
      </c>
      <c r="G2160" t="s">
        <v>59</v>
      </c>
      <c r="H2160">
        <v>2023</v>
      </c>
    </row>
    <row r="2161" spans="1:8" x14ac:dyDescent="0.2">
      <c r="A2161">
        <v>219085</v>
      </c>
      <c r="B2161">
        <v>87181.1</v>
      </c>
      <c r="C2161" t="str">
        <f t="shared" si="33"/>
        <v>3. $50K-250K</v>
      </c>
      <c r="D2161" t="s">
        <v>749</v>
      </c>
      <c r="E2161" t="s">
        <v>237</v>
      </c>
      <c r="F2161" t="s">
        <v>670</v>
      </c>
      <c r="G2161" t="s">
        <v>59</v>
      </c>
      <c r="H2161">
        <v>2023</v>
      </c>
    </row>
    <row r="2162" spans="1:8" x14ac:dyDescent="0.2">
      <c r="A2162">
        <v>219089</v>
      </c>
      <c r="B2162">
        <v>68018.100000000006</v>
      </c>
      <c r="C2162" t="str">
        <f t="shared" si="33"/>
        <v>3. $50K-250K</v>
      </c>
      <c r="D2162" t="s">
        <v>912</v>
      </c>
      <c r="E2162" t="s">
        <v>237</v>
      </c>
      <c r="F2162" t="s">
        <v>670</v>
      </c>
      <c r="G2162" t="s">
        <v>59</v>
      </c>
      <c r="H2162">
        <v>2023</v>
      </c>
    </row>
    <row r="2163" spans="1:8" x14ac:dyDescent="0.2">
      <c r="A2163">
        <v>219090</v>
      </c>
      <c r="B2163">
        <v>104314.9</v>
      </c>
      <c r="C2163" t="str">
        <f t="shared" si="33"/>
        <v>3. $50K-250K</v>
      </c>
      <c r="D2163" t="s">
        <v>915</v>
      </c>
      <c r="E2163" t="s">
        <v>237</v>
      </c>
      <c r="F2163" t="s">
        <v>670</v>
      </c>
      <c r="G2163" t="s">
        <v>59</v>
      </c>
      <c r="H2163">
        <v>2023</v>
      </c>
    </row>
    <row r="2164" spans="1:8" x14ac:dyDescent="0.2">
      <c r="A2164">
        <v>219091</v>
      </c>
      <c r="B2164">
        <v>203000</v>
      </c>
      <c r="C2164" t="str">
        <f t="shared" si="33"/>
        <v>3. $50K-250K</v>
      </c>
      <c r="D2164" t="s">
        <v>711</v>
      </c>
      <c r="E2164" t="s">
        <v>237</v>
      </c>
      <c r="F2164" t="s">
        <v>670</v>
      </c>
      <c r="G2164" t="s">
        <v>59</v>
      </c>
      <c r="H2164">
        <v>2023</v>
      </c>
    </row>
    <row r="2165" spans="1:8" x14ac:dyDescent="0.2">
      <c r="A2165">
        <v>219102</v>
      </c>
      <c r="B2165">
        <v>97878.7</v>
      </c>
      <c r="C2165" t="str">
        <f t="shared" si="33"/>
        <v>3. $50K-250K</v>
      </c>
      <c r="D2165" t="s">
        <v>917</v>
      </c>
      <c r="E2165" t="s">
        <v>237</v>
      </c>
      <c r="F2165" t="s">
        <v>670</v>
      </c>
      <c r="G2165" t="s">
        <v>59</v>
      </c>
      <c r="H2165">
        <v>2023</v>
      </c>
    </row>
    <row r="2166" spans="1:8" x14ac:dyDescent="0.2">
      <c r="A2166">
        <v>219104</v>
      </c>
      <c r="B2166">
        <v>357000</v>
      </c>
      <c r="C2166" t="str">
        <f t="shared" si="33"/>
        <v>3. $50K-250K</v>
      </c>
      <c r="D2166" t="s">
        <v>801</v>
      </c>
      <c r="E2166" t="s">
        <v>237</v>
      </c>
      <c r="F2166" t="s">
        <v>670</v>
      </c>
      <c r="G2166" t="s">
        <v>59</v>
      </c>
      <c r="H2166">
        <v>2023</v>
      </c>
    </row>
    <row r="2167" spans="1:8" x14ac:dyDescent="0.2">
      <c r="A2167">
        <v>219110</v>
      </c>
      <c r="B2167">
        <v>61000</v>
      </c>
      <c r="C2167" t="str">
        <f t="shared" si="33"/>
        <v>4. $250K-1M</v>
      </c>
      <c r="D2167" t="s">
        <v>889</v>
      </c>
      <c r="E2167" t="s">
        <v>237</v>
      </c>
      <c r="F2167" t="s">
        <v>670</v>
      </c>
      <c r="G2167" t="s">
        <v>59</v>
      </c>
      <c r="H2167">
        <v>2023</v>
      </c>
    </row>
    <row r="2168" spans="1:8" x14ac:dyDescent="0.2">
      <c r="A2168">
        <v>219113</v>
      </c>
      <c r="B2168">
        <v>12140</v>
      </c>
      <c r="C2168" t="str">
        <f t="shared" si="33"/>
        <v>3. $50K-250K</v>
      </c>
      <c r="D2168" t="s">
        <v>792</v>
      </c>
      <c r="E2168" t="s">
        <v>237</v>
      </c>
      <c r="F2168" t="s">
        <v>670</v>
      </c>
      <c r="G2168" t="s">
        <v>59</v>
      </c>
      <c r="H2168">
        <v>2023</v>
      </c>
    </row>
    <row r="2169" spans="1:8" x14ac:dyDescent="0.2">
      <c r="A2169">
        <v>219124</v>
      </c>
      <c r="B2169">
        <v>41875</v>
      </c>
      <c r="C2169" t="str">
        <f t="shared" si="33"/>
        <v>2. $10K-50K</v>
      </c>
      <c r="D2169" t="s">
        <v>748</v>
      </c>
      <c r="E2169" t="s">
        <v>237</v>
      </c>
      <c r="F2169" t="s">
        <v>670</v>
      </c>
      <c r="G2169" t="s">
        <v>59</v>
      </c>
      <c r="H2169">
        <v>2023</v>
      </c>
    </row>
    <row r="2170" spans="1:8" x14ac:dyDescent="0.2">
      <c r="A2170">
        <v>219127</v>
      </c>
      <c r="B2170">
        <v>41875</v>
      </c>
      <c r="C2170" t="str">
        <f t="shared" si="33"/>
        <v>2. $10K-50K</v>
      </c>
      <c r="D2170" t="s">
        <v>748</v>
      </c>
      <c r="E2170" t="s">
        <v>237</v>
      </c>
      <c r="F2170" t="s">
        <v>670</v>
      </c>
      <c r="G2170" t="s">
        <v>59</v>
      </c>
      <c r="H2170">
        <v>2023</v>
      </c>
    </row>
    <row r="2171" spans="1:8" x14ac:dyDescent="0.2">
      <c r="A2171">
        <v>219128</v>
      </c>
      <c r="B2171">
        <v>66418.3</v>
      </c>
      <c r="C2171" t="str">
        <f t="shared" si="33"/>
        <v>2. $10K-50K</v>
      </c>
      <c r="D2171" t="s">
        <v>915</v>
      </c>
      <c r="E2171" t="s">
        <v>237</v>
      </c>
      <c r="F2171" t="s">
        <v>670</v>
      </c>
      <c r="G2171" t="s">
        <v>59</v>
      </c>
      <c r="H2171">
        <v>2023</v>
      </c>
    </row>
    <row r="2172" spans="1:8" x14ac:dyDescent="0.2">
      <c r="A2172">
        <v>219131</v>
      </c>
      <c r="B2172">
        <v>89000</v>
      </c>
      <c r="C2172" t="str">
        <f t="shared" si="33"/>
        <v>3. $50K-250K</v>
      </c>
      <c r="D2172" t="s">
        <v>917</v>
      </c>
      <c r="E2172" t="s">
        <v>237</v>
      </c>
      <c r="F2172" t="s">
        <v>670</v>
      </c>
      <c r="G2172" t="s">
        <v>59</v>
      </c>
      <c r="H2172">
        <v>2023</v>
      </c>
    </row>
    <row r="2173" spans="1:8" x14ac:dyDescent="0.2">
      <c r="A2173">
        <v>219133</v>
      </c>
      <c r="B2173">
        <v>64551.4</v>
      </c>
      <c r="C2173" t="str">
        <f t="shared" si="33"/>
        <v>3. $50K-250K</v>
      </c>
      <c r="D2173" t="s">
        <v>915</v>
      </c>
      <c r="E2173" t="s">
        <v>237</v>
      </c>
      <c r="F2173" t="s">
        <v>670</v>
      </c>
      <c r="G2173" t="s">
        <v>59</v>
      </c>
      <c r="H2173">
        <v>2023</v>
      </c>
    </row>
    <row r="2174" spans="1:8" x14ac:dyDescent="0.2">
      <c r="A2174">
        <v>219134</v>
      </c>
      <c r="B2174">
        <v>55000</v>
      </c>
      <c r="C2174" t="str">
        <f t="shared" si="33"/>
        <v>3. $50K-250K</v>
      </c>
      <c r="D2174" t="s">
        <v>909</v>
      </c>
      <c r="E2174" t="s">
        <v>237</v>
      </c>
      <c r="F2174" t="s">
        <v>670</v>
      </c>
      <c r="G2174" t="s">
        <v>59</v>
      </c>
      <c r="H2174">
        <v>2023</v>
      </c>
    </row>
    <row r="2175" spans="1:8" x14ac:dyDescent="0.2">
      <c r="A2175">
        <v>219135</v>
      </c>
      <c r="B2175">
        <v>111000</v>
      </c>
      <c r="C2175" t="str">
        <f t="shared" si="33"/>
        <v>3. $50K-250K</v>
      </c>
      <c r="D2175" t="s">
        <v>928</v>
      </c>
      <c r="E2175" t="s">
        <v>237</v>
      </c>
      <c r="F2175" t="s">
        <v>670</v>
      </c>
      <c r="G2175" t="s">
        <v>59</v>
      </c>
      <c r="H2175">
        <v>2023</v>
      </c>
    </row>
    <row r="2176" spans="1:8" x14ac:dyDescent="0.2">
      <c r="A2176">
        <v>219242</v>
      </c>
      <c r="B2176">
        <v>18054.3</v>
      </c>
      <c r="C2176" t="str">
        <f t="shared" si="33"/>
        <v>3. $50K-250K</v>
      </c>
      <c r="D2176" t="s">
        <v>923</v>
      </c>
      <c r="E2176" t="s">
        <v>237</v>
      </c>
      <c r="F2176" t="s">
        <v>670</v>
      </c>
      <c r="G2176" t="s">
        <v>59</v>
      </c>
      <c r="H2176">
        <v>2023</v>
      </c>
    </row>
    <row r="2177" spans="1:8" x14ac:dyDescent="0.2">
      <c r="A2177">
        <v>219243</v>
      </c>
      <c r="B2177">
        <v>150000</v>
      </c>
      <c r="C2177" t="str">
        <f t="shared" si="33"/>
        <v>2. $10K-50K</v>
      </c>
      <c r="D2177" t="s">
        <v>921</v>
      </c>
      <c r="E2177" t="s">
        <v>237</v>
      </c>
      <c r="F2177" t="s">
        <v>670</v>
      </c>
      <c r="G2177" t="s">
        <v>59</v>
      </c>
      <c r="H2177">
        <v>2023</v>
      </c>
    </row>
    <row r="2178" spans="1:8" x14ac:dyDescent="0.2">
      <c r="A2178">
        <v>219244</v>
      </c>
      <c r="B2178">
        <v>86666.7</v>
      </c>
      <c r="C2178" t="str">
        <f t="shared" si="33"/>
        <v>3. $50K-250K</v>
      </c>
      <c r="D2178" t="s">
        <v>925</v>
      </c>
      <c r="E2178" t="s">
        <v>237</v>
      </c>
      <c r="F2178" t="s">
        <v>670</v>
      </c>
      <c r="G2178" t="s">
        <v>59</v>
      </c>
      <c r="H2178">
        <v>2023</v>
      </c>
    </row>
    <row r="2179" spans="1:8" x14ac:dyDescent="0.2">
      <c r="A2179">
        <v>219245</v>
      </c>
      <c r="B2179">
        <v>33668.5</v>
      </c>
      <c r="C2179" t="str">
        <f t="shared" ref="C2179:C2242" si="34">IF(B2178&lt;10000,"1. Under $10K",IF(B2178&lt;50000,"2. $10K-50K",IF(B2178&lt;250000,"3. $50K-250K",IF(B2178&lt;1000000,"4. $250K-1M","5. $1M+"))))</f>
        <v>3. $50K-250K</v>
      </c>
      <c r="D2179" t="s">
        <v>880</v>
      </c>
      <c r="E2179" t="s">
        <v>237</v>
      </c>
      <c r="F2179" t="s">
        <v>670</v>
      </c>
      <c r="G2179" t="s">
        <v>59</v>
      </c>
      <c r="H2179">
        <v>2023</v>
      </c>
    </row>
    <row r="2180" spans="1:8" x14ac:dyDescent="0.2">
      <c r="A2180">
        <v>219246</v>
      </c>
      <c r="B2180">
        <v>21120</v>
      </c>
      <c r="C2180" t="str">
        <f t="shared" si="34"/>
        <v>2. $10K-50K</v>
      </c>
      <c r="D2180" t="s">
        <v>696</v>
      </c>
      <c r="E2180" t="s">
        <v>237</v>
      </c>
      <c r="F2180" t="s">
        <v>670</v>
      </c>
      <c r="G2180" t="s">
        <v>59</v>
      </c>
      <c r="H2180">
        <v>2023</v>
      </c>
    </row>
    <row r="2181" spans="1:8" x14ac:dyDescent="0.2">
      <c r="A2181">
        <v>219247</v>
      </c>
      <c r="B2181">
        <v>10801.199999999901</v>
      </c>
      <c r="C2181" t="str">
        <f t="shared" si="34"/>
        <v>2. $10K-50K</v>
      </c>
      <c r="D2181" t="s">
        <v>926</v>
      </c>
      <c r="E2181" t="s">
        <v>237</v>
      </c>
      <c r="F2181" t="s">
        <v>670</v>
      </c>
      <c r="G2181" t="s">
        <v>59</v>
      </c>
      <c r="H2181">
        <v>2023</v>
      </c>
    </row>
    <row r="2182" spans="1:8" x14ac:dyDescent="0.2">
      <c r="A2182">
        <v>219248</v>
      </c>
      <c r="B2182">
        <v>9625.5</v>
      </c>
      <c r="C2182" t="str">
        <f t="shared" si="34"/>
        <v>2. $10K-50K</v>
      </c>
      <c r="D2182" t="s">
        <v>927</v>
      </c>
      <c r="E2182" t="s">
        <v>237</v>
      </c>
      <c r="F2182" t="s">
        <v>670</v>
      </c>
      <c r="G2182" t="s">
        <v>59</v>
      </c>
      <c r="H2182">
        <v>2023</v>
      </c>
    </row>
    <row r="2183" spans="1:8" x14ac:dyDescent="0.2">
      <c r="A2183">
        <v>219249</v>
      </c>
      <c r="B2183">
        <v>41875</v>
      </c>
      <c r="C2183" t="str">
        <f t="shared" si="34"/>
        <v>1. Under $10K</v>
      </c>
      <c r="D2183" t="s">
        <v>901</v>
      </c>
      <c r="E2183" t="s">
        <v>237</v>
      </c>
      <c r="F2183" t="s">
        <v>670</v>
      </c>
      <c r="G2183" t="s">
        <v>59</v>
      </c>
      <c r="H2183">
        <v>2023</v>
      </c>
    </row>
    <row r="2184" spans="1:8" x14ac:dyDescent="0.2">
      <c r="A2184">
        <v>219250</v>
      </c>
      <c r="B2184">
        <v>41875</v>
      </c>
      <c r="C2184" t="str">
        <f t="shared" si="34"/>
        <v>2. $10K-50K</v>
      </c>
      <c r="D2184" t="s">
        <v>901</v>
      </c>
      <c r="E2184" t="s">
        <v>237</v>
      </c>
      <c r="F2184" t="s">
        <v>670</v>
      </c>
      <c r="G2184" t="s">
        <v>59</v>
      </c>
      <c r="H2184">
        <v>2023</v>
      </c>
    </row>
    <row r="2185" spans="1:8" x14ac:dyDescent="0.2">
      <c r="A2185">
        <v>219251</v>
      </c>
      <c r="B2185">
        <v>41875</v>
      </c>
      <c r="C2185" t="str">
        <f t="shared" si="34"/>
        <v>2. $10K-50K</v>
      </c>
      <c r="D2185" t="s">
        <v>901</v>
      </c>
      <c r="E2185" t="s">
        <v>237</v>
      </c>
      <c r="F2185" t="s">
        <v>670</v>
      </c>
      <c r="G2185" t="s">
        <v>59</v>
      </c>
      <c r="H2185">
        <v>2023</v>
      </c>
    </row>
    <row r="2186" spans="1:8" x14ac:dyDescent="0.2">
      <c r="A2186">
        <v>219252</v>
      </c>
      <c r="B2186">
        <v>200000</v>
      </c>
      <c r="C2186" t="str">
        <f t="shared" si="34"/>
        <v>2. $10K-50K</v>
      </c>
      <c r="D2186" t="s">
        <v>868</v>
      </c>
      <c r="E2186" t="s">
        <v>237</v>
      </c>
      <c r="F2186" t="s">
        <v>670</v>
      </c>
      <c r="G2186" t="s">
        <v>59</v>
      </c>
      <c r="H2186">
        <v>2023</v>
      </c>
    </row>
    <row r="2187" spans="1:8" x14ac:dyDescent="0.2">
      <c r="A2187">
        <v>219253</v>
      </c>
      <c r="B2187">
        <v>41875</v>
      </c>
      <c r="C2187" t="str">
        <f t="shared" si="34"/>
        <v>3. $50K-250K</v>
      </c>
      <c r="D2187" t="s">
        <v>694</v>
      </c>
      <c r="E2187" t="s">
        <v>237</v>
      </c>
      <c r="F2187" t="s">
        <v>670</v>
      </c>
      <c r="G2187" t="s">
        <v>59</v>
      </c>
      <c r="H2187">
        <v>2023</v>
      </c>
    </row>
    <row r="2188" spans="1:8" x14ac:dyDescent="0.2">
      <c r="A2188">
        <v>219256</v>
      </c>
      <c r="B2188">
        <v>147979.4</v>
      </c>
      <c r="C2188" t="str">
        <f t="shared" si="34"/>
        <v>2. $10K-50K</v>
      </c>
      <c r="D2188" t="s">
        <v>925</v>
      </c>
      <c r="E2188" t="s">
        <v>237</v>
      </c>
      <c r="F2188" t="s">
        <v>670</v>
      </c>
      <c r="G2188" t="s">
        <v>59</v>
      </c>
      <c r="H2188">
        <v>2023</v>
      </c>
    </row>
    <row r="2189" spans="1:8" x14ac:dyDescent="0.2">
      <c r="A2189">
        <v>219259</v>
      </c>
      <c r="B2189">
        <v>17033.8</v>
      </c>
      <c r="C2189" t="str">
        <f t="shared" si="34"/>
        <v>3. $50K-250K</v>
      </c>
      <c r="D2189" t="s">
        <v>924</v>
      </c>
      <c r="E2189" t="s">
        <v>237</v>
      </c>
      <c r="F2189" t="s">
        <v>670</v>
      </c>
      <c r="G2189" t="s">
        <v>59</v>
      </c>
      <c r="H2189">
        <v>2023</v>
      </c>
    </row>
    <row r="2190" spans="1:8" x14ac:dyDescent="0.2">
      <c r="A2190">
        <v>219260</v>
      </c>
      <c r="B2190">
        <v>200000</v>
      </c>
      <c r="C2190" t="str">
        <f t="shared" si="34"/>
        <v>2. $10K-50K</v>
      </c>
      <c r="D2190" t="s">
        <v>719</v>
      </c>
      <c r="E2190" t="s">
        <v>237</v>
      </c>
      <c r="F2190" t="s">
        <v>670</v>
      </c>
      <c r="G2190" t="s">
        <v>59</v>
      </c>
      <c r="H2190">
        <v>2023</v>
      </c>
    </row>
    <row r="2191" spans="1:8" x14ac:dyDescent="0.2">
      <c r="A2191">
        <v>219296</v>
      </c>
      <c r="B2191">
        <v>132698.29999999999</v>
      </c>
      <c r="C2191" t="str">
        <f t="shared" si="34"/>
        <v>3. $50K-250K</v>
      </c>
      <c r="D2191" t="s">
        <v>801</v>
      </c>
      <c r="E2191" t="s">
        <v>237</v>
      </c>
      <c r="F2191" t="s">
        <v>670</v>
      </c>
      <c r="G2191" t="s">
        <v>59</v>
      </c>
      <c r="H2191">
        <v>2023</v>
      </c>
    </row>
    <row r="2192" spans="1:8" x14ac:dyDescent="0.2">
      <c r="A2192">
        <v>219315</v>
      </c>
      <c r="B2192">
        <v>180000</v>
      </c>
      <c r="C2192" t="str">
        <f t="shared" si="34"/>
        <v>3. $50K-250K</v>
      </c>
      <c r="D2192" t="s">
        <v>912</v>
      </c>
      <c r="E2192" t="s">
        <v>237</v>
      </c>
      <c r="F2192" t="s">
        <v>670</v>
      </c>
      <c r="G2192" t="s">
        <v>59</v>
      </c>
      <c r="H2192">
        <v>2023</v>
      </c>
    </row>
    <row r="2193" spans="1:8" x14ac:dyDescent="0.2">
      <c r="A2193">
        <v>219328</v>
      </c>
      <c r="B2193">
        <v>74669</v>
      </c>
      <c r="C2193" t="str">
        <f t="shared" si="34"/>
        <v>3. $50K-250K</v>
      </c>
      <c r="D2193" t="s">
        <v>930</v>
      </c>
      <c r="E2193" t="s">
        <v>237</v>
      </c>
      <c r="F2193" t="s">
        <v>670</v>
      </c>
      <c r="G2193" t="s">
        <v>59</v>
      </c>
      <c r="H2193">
        <v>2023</v>
      </c>
    </row>
    <row r="2194" spans="1:8" x14ac:dyDescent="0.2">
      <c r="A2194">
        <v>219334</v>
      </c>
      <c r="B2194">
        <v>48547.8</v>
      </c>
      <c r="C2194" t="str">
        <f t="shared" si="34"/>
        <v>3. $50K-250K</v>
      </c>
      <c r="D2194" t="s">
        <v>507</v>
      </c>
      <c r="E2194" t="s">
        <v>237</v>
      </c>
      <c r="F2194" t="s">
        <v>670</v>
      </c>
      <c r="G2194" t="s">
        <v>59</v>
      </c>
      <c r="H2194">
        <v>2023</v>
      </c>
    </row>
    <row r="2195" spans="1:8" x14ac:dyDescent="0.2">
      <c r="A2195">
        <v>219335</v>
      </c>
      <c r="B2195">
        <v>62790.8</v>
      </c>
      <c r="C2195" t="str">
        <f t="shared" si="34"/>
        <v>2. $10K-50K</v>
      </c>
      <c r="D2195" t="s">
        <v>916</v>
      </c>
      <c r="E2195" t="s">
        <v>237</v>
      </c>
      <c r="F2195" t="s">
        <v>670</v>
      </c>
      <c r="G2195" t="s">
        <v>59</v>
      </c>
      <c r="H2195">
        <v>2023</v>
      </c>
    </row>
    <row r="2196" spans="1:8" x14ac:dyDescent="0.2">
      <c r="A2196">
        <v>219337</v>
      </c>
      <c r="B2196">
        <v>54239.1</v>
      </c>
      <c r="C2196" t="str">
        <f t="shared" si="34"/>
        <v>3. $50K-250K</v>
      </c>
      <c r="D2196" t="s">
        <v>701</v>
      </c>
      <c r="E2196" t="s">
        <v>237</v>
      </c>
      <c r="F2196" t="s">
        <v>670</v>
      </c>
      <c r="G2196" t="s">
        <v>59</v>
      </c>
      <c r="H2196">
        <v>2023</v>
      </c>
    </row>
    <row r="2197" spans="1:8" x14ac:dyDescent="0.2">
      <c r="A2197">
        <v>219340</v>
      </c>
      <c r="B2197">
        <v>69871.600000000006</v>
      </c>
      <c r="C2197" t="str">
        <f t="shared" si="34"/>
        <v>3. $50K-250K</v>
      </c>
      <c r="D2197" t="s">
        <v>918</v>
      </c>
      <c r="E2197" t="s">
        <v>237</v>
      </c>
      <c r="F2197" t="s">
        <v>670</v>
      </c>
      <c r="G2197" t="s">
        <v>59</v>
      </c>
      <c r="H2197">
        <v>2023</v>
      </c>
    </row>
    <row r="2198" spans="1:8" x14ac:dyDescent="0.2">
      <c r="A2198">
        <v>219343</v>
      </c>
      <c r="B2198">
        <v>19999.900000000001</v>
      </c>
      <c r="C2198" t="str">
        <f t="shared" si="34"/>
        <v>3. $50K-250K</v>
      </c>
      <c r="D2198" t="s">
        <v>711</v>
      </c>
      <c r="E2198" t="s">
        <v>237</v>
      </c>
      <c r="F2198" t="s">
        <v>670</v>
      </c>
      <c r="G2198" t="s">
        <v>59</v>
      </c>
      <c r="H2198">
        <v>2023</v>
      </c>
    </row>
    <row r="2199" spans="1:8" x14ac:dyDescent="0.2">
      <c r="A2199">
        <v>219344</v>
      </c>
      <c r="B2199">
        <v>50000</v>
      </c>
      <c r="C2199" t="str">
        <f t="shared" si="34"/>
        <v>2. $10K-50K</v>
      </c>
      <c r="D2199" t="s">
        <v>711</v>
      </c>
      <c r="E2199" t="s">
        <v>237</v>
      </c>
      <c r="F2199" t="s">
        <v>670</v>
      </c>
      <c r="G2199" t="s">
        <v>59</v>
      </c>
      <c r="H2199">
        <v>2023</v>
      </c>
    </row>
    <row r="2200" spans="1:8" x14ac:dyDescent="0.2">
      <c r="A2200">
        <v>219345</v>
      </c>
      <c r="B2200">
        <v>14999.9</v>
      </c>
      <c r="C2200" t="str">
        <f t="shared" si="34"/>
        <v>3. $50K-250K</v>
      </c>
      <c r="D2200" t="s">
        <v>711</v>
      </c>
      <c r="E2200" t="s">
        <v>237</v>
      </c>
      <c r="F2200" t="s">
        <v>670</v>
      </c>
      <c r="G2200" t="s">
        <v>59</v>
      </c>
      <c r="H2200">
        <v>2023</v>
      </c>
    </row>
    <row r="2201" spans="1:8" x14ac:dyDescent="0.2">
      <c r="A2201">
        <v>219346</v>
      </c>
      <c r="B2201">
        <v>20000</v>
      </c>
      <c r="C2201" t="str">
        <f t="shared" si="34"/>
        <v>2. $10K-50K</v>
      </c>
      <c r="D2201" t="s">
        <v>711</v>
      </c>
      <c r="E2201" t="s">
        <v>237</v>
      </c>
      <c r="F2201" t="s">
        <v>670</v>
      </c>
      <c r="G2201" t="s">
        <v>59</v>
      </c>
      <c r="H2201">
        <v>2023</v>
      </c>
    </row>
    <row r="2202" spans="1:8" x14ac:dyDescent="0.2">
      <c r="A2202">
        <v>219376</v>
      </c>
      <c r="B2202">
        <v>358500</v>
      </c>
      <c r="C2202" t="str">
        <f t="shared" si="34"/>
        <v>2. $10K-50K</v>
      </c>
      <c r="D2202" t="s">
        <v>749</v>
      </c>
      <c r="E2202" t="s">
        <v>237</v>
      </c>
      <c r="F2202" t="s">
        <v>670</v>
      </c>
      <c r="G2202" t="s">
        <v>59</v>
      </c>
      <c r="H2202">
        <v>2023</v>
      </c>
    </row>
    <row r="2203" spans="1:8" x14ac:dyDescent="0.2">
      <c r="A2203">
        <v>219377</v>
      </c>
      <c r="B2203">
        <v>52800</v>
      </c>
      <c r="C2203" t="str">
        <f t="shared" si="34"/>
        <v>4. $250K-1M</v>
      </c>
      <c r="D2203" t="s">
        <v>931</v>
      </c>
      <c r="E2203" t="s">
        <v>237</v>
      </c>
      <c r="F2203" t="s">
        <v>670</v>
      </c>
      <c r="G2203" t="s">
        <v>59</v>
      </c>
      <c r="H2203">
        <v>2023</v>
      </c>
    </row>
    <row r="2204" spans="1:8" x14ac:dyDescent="0.2">
      <c r="A2204">
        <v>219378</v>
      </c>
      <c r="B2204">
        <v>120000</v>
      </c>
      <c r="C2204" t="str">
        <f t="shared" si="34"/>
        <v>3. $50K-250K</v>
      </c>
      <c r="D2204" t="s">
        <v>694</v>
      </c>
      <c r="E2204" t="s">
        <v>237</v>
      </c>
      <c r="F2204" t="s">
        <v>670</v>
      </c>
      <c r="G2204" t="s">
        <v>59</v>
      </c>
      <c r="H2204">
        <v>2023</v>
      </c>
    </row>
    <row r="2205" spans="1:8" x14ac:dyDescent="0.2">
      <c r="A2205">
        <v>219379</v>
      </c>
      <c r="B2205">
        <v>52800</v>
      </c>
      <c r="C2205" t="str">
        <f t="shared" si="34"/>
        <v>3. $50K-250K</v>
      </c>
      <c r="D2205" t="s">
        <v>930</v>
      </c>
      <c r="E2205" t="s">
        <v>237</v>
      </c>
      <c r="F2205" t="s">
        <v>670</v>
      </c>
      <c r="G2205" t="s">
        <v>59</v>
      </c>
      <c r="H2205">
        <v>2023</v>
      </c>
    </row>
    <row r="2206" spans="1:8" x14ac:dyDescent="0.2">
      <c r="A2206">
        <v>219380</v>
      </c>
      <c r="B2206">
        <v>98830</v>
      </c>
      <c r="C2206" t="str">
        <f t="shared" si="34"/>
        <v>3. $50K-250K</v>
      </c>
      <c r="D2206" t="s">
        <v>908</v>
      </c>
      <c r="E2206" t="s">
        <v>237</v>
      </c>
      <c r="F2206" t="s">
        <v>670</v>
      </c>
      <c r="G2206" t="s">
        <v>59</v>
      </c>
      <c r="H2206">
        <v>2023</v>
      </c>
    </row>
    <row r="2207" spans="1:8" x14ac:dyDescent="0.2">
      <c r="A2207">
        <v>219381</v>
      </c>
      <c r="B2207">
        <v>141600</v>
      </c>
      <c r="C2207" t="str">
        <f t="shared" si="34"/>
        <v>3. $50K-250K</v>
      </c>
      <c r="D2207" t="s">
        <v>934</v>
      </c>
      <c r="E2207" t="s">
        <v>237</v>
      </c>
      <c r="F2207" t="s">
        <v>670</v>
      </c>
      <c r="G2207" t="s">
        <v>59</v>
      </c>
      <c r="H2207">
        <v>2023</v>
      </c>
    </row>
    <row r="2208" spans="1:8" x14ac:dyDescent="0.2">
      <c r="A2208">
        <v>219382</v>
      </c>
      <c r="B2208">
        <v>107720</v>
      </c>
      <c r="C2208" t="str">
        <f t="shared" si="34"/>
        <v>3. $50K-250K</v>
      </c>
      <c r="D2208" t="s">
        <v>922</v>
      </c>
      <c r="E2208" t="s">
        <v>237</v>
      </c>
      <c r="F2208" t="s">
        <v>670</v>
      </c>
      <c r="G2208" t="s">
        <v>59</v>
      </c>
      <c r="H2208">
        <v>2023</v>
      </c>
    </row>
    <row r="2209" spans="1:8" x14ac:dyDescent="0.2">
      <c r="A2209">
        <v>219383</v>
      </c>
      <c r="B2209">
        <v>156400</v>
      </c>
      <c r="C2209" t="str">
        <f t="shared" si="34"/>
        <v>3. $50K-250K</v>
      </c>
      <c r="D2209" t="s">
        <v>912</v>
      </c>
      <c r="E2209" t="s">
        <v>237</v>
      </c>
      <c r="F2209" t="s">
        <v>670</v>
      </c>
      <c r="G2209" t="s">
        <v>59</v>
      </c>
      <c r="H2209">
        <v>2023</v>
      </c>
    </row>
    <row r="2210" spans="1:8" x14ac:dyDescent="0.2">
      <c r="A2210">
        <v>219384</v>
      </c>
      <c r="B2210">
        <v>52800</v>
      </c>
      <c r="C2210" t="str">
        <f t="shared" si="34"/>
        <v>3. $50K-250K</v>
      </c>
      <c r="D2210" t="s">
        <v>694</v>
      </c>
      <c r="E2210" t="s">
        <v>237</v>
      </c>
      <c r="F2210" t="s">
        <v>670</v>
      </c>
      <c r="G2210" t="s">
        <v>59</v>
      </c>
      <c r="H2210">
        <v>2023</v>
      </c>
    </row>
    <row r="2211" spans="1:8" x14ac:dyDescent="0.2">
      <c r="A2211">
        <v>219385</v>
      </c>
      <c r="B2211">
        <v>144041</v>
      </c>
      <c r="C2211" t="str">
        <f t="shared" si="34"/>
        <v>3. $50K-250K</v>
      </c>
      <c r="D2211" t="s">
        <v>935</v>
      </c>
      <c r="E2211" t="s">
        <v>237</v>
      </c>
      <c r="F2211" t="s">
        <v>670</v>
      </c>
      <c r="G2211" t="s">
        <v>59</v>
      </c>
      <c r="H2211">
        <v>2023</v>
      </c>
    </row>
    <row r="2212" spans="1:8" x14ac:dyDescent="0.2">
      <c r="A2212">
        <v>219386</v>
      </c>
      <c r="B2212">
        <v>155055</v>
      </c>
      <c r="C2212" t="str">
        <f t="shared" si="34"/>
        <v>3. $50K-250K</v>
      </c>
      <c r="D2212" t="s">
        <v>928</v>
      </c>
      <c r="E2212" t="s">
        <v>237</v>
      </c>
      <c r="F2212" t="s">
        <v>670</v>
      </c>
      <c r="G2212" t="s">
        <v>59</v>
      </c>
      <c r="H2212">
        <v>2023</v>
      </c>
    </row>
    <row r="2213" spans="1:8" x14ac:dyDescent="0.2">
      <c r="A2213">
        <v>219387</v>
      </c>
      <c r="B2213">
        <v>107750</v>
      </c>
      <c r="C2213" t="str">
        <f t="shared" si="34"/>
        <v>3. $50K-250K</v>
      </c>
      <c r="D2213" t="s">
        <v>1177</v>
      </c>
      <c r="E2213" t="s">
        <v>237</v>
      </c>
      <c r="F2213" t="s">
        <v>670</v>
      </c>
      <c r="G2213" t="s">
        <v>59</v>
      </c>
      <c r="H2213">
        <v>2023</v>
      </c>
    </row>
    <row r="2214" spans="1:8" x14ac:dyDescent="0.2">
      <c r="A2214">
        <v>219388</v>
      </c>
      <c r="B2214">
        <v>600000</v>
      </c>
      <c r="C2214" t="str">
        <f t="shared" si="34"/>
        <v>3. $50K-250K</v>
      </c>
      <c r="D2214" t="s">
        <v>921</v>
      </c>
      <c r="E2214" t="s">
        <v>237</v>
      </c>
      <c r="F2214" t="s">
        <v>670</v>
      </c>
      <c r="G2214" t="s">
        <v>59</v>
      </c>
      <c r="H2214">
        <v>2023</v>
      </c>
    </row>
    <row r="2215" spans="1:8" x14ac:dyDescent="0.2">
      <c r="A2215">
        <v>219389</v>
      </c>
      <c r="B2215">
        <v>52800</v>
      </c>
      <c r="C2215" t="str">
        <f t="shared" si="34"/>
        <v>4. $250K-1M</v>
      </c>
      <c r="D2215" t="s">
        <v>822</v>
      </c>
      <c r="E2215" t="s">
        <v>237</v>
      </c>
      <c r="F2215" t="s">
        <v>670</v>
      </c>
      <c r="G2215" t="s">
        <v>59</v>
      </c>
      <c r="H2215">
        <v>2023</v>
      </c>
    </row>
    <row r="2216" spans="1:8" x14ac:dyDescent="0.2">
      <c r="A2216">
        <v>219390</v>
      </c>
      <c r="B2216">
        <v>177787</v>
      </c>
      <c r="C2216" t="str">
        <f t="shared" si="34"/>
        <v>3. $50K-250K</v>
      </c>
      <c r="D2216" t="s">
        <v>856</v>
      </c>
      <c r="E2216" t="s">
        <v>237</v>
      </c>
      <c r="F2216" t="s">
        <v>670</v>
      </c>
      <c r="G2216" t="s">
        <v>59</v>
      </c>
      <c r="H2216">
        <v>2023</v>
      </c>
    </row>
    <row r="2217" spans="1:8" x14ac:dyDescent="0.2">
      <c r="A2217">
        <v>219403</v>
      </c>
      <c r="B2217">
        <v>66417.100000000006</v>
      </c>
      <c r="C2217" t="str">
        <f t="shared" si="34"/>
        <v>3. $50K-250K</v>
      </c>
      <c r="D2217" t="s">
        <v>679</v>
      </c>
      <c r="E2217" t="s">
        <v>42</v>
      </c>
      <c r="F2217" t="s">
        <v>670</v>
      </c>
      <c r="G2217" t="s">
        <v>59</v>
      </c>
      <c r="H2217">
        <v>2023</v>
      </c>
    </row>
    <row r="2218" spans="1:8" x14ac:dyDescent="0.2">
      <c r="A2218">
        <v>219404</v>
      </c>
      <c r="B2218">
        <v>39233.1</v>
      </c>
      <c r="C2218" t="str">
        <f t="shared" si="34"/>
        <v>3. $50K-250K</v>
      </c>
      <c r="D2218" t="s">
        <v>685</v>
      </c>
      <c r="E2218" t="s">
        <v>42</v>
      </c>
      <c r="F2218" t="s">
        <v>670</v>
      </c>
      <c r="G2218" t="s">
        <v>59</v>
      </c>
      <c r="H2218">
        <v>2023</v>
      </c>
    </row>
    <row r="2219" spans="1:8" x14ac:dyDescent="0.2">
      <c r="A2219">
        <v>219405</v>
      </c>
      <c r="B2219">
        <v>286624.8</v>
      </c>
      <c r="C2219" t="str">
        <f t="shared" si="34"/>
        <v>2. $10K-50K</v>
      </c>
      <c r="D2219" t="s">
        <v>804</v>
      </c>
      <c r="E2219" t="s">
        <v>42</v>
      </c>
      <c r="F2219" t="s">
        <v>670</v>
      </c>
      <c r="G2219" t="s">
        <v>59</v>
      </c>
      <c r="H2219">
        <v>2023</v>
      </c>
    </row>
    <row r="2220" spans="1:8" x14ac:dyDescent="0.2">
      <c r="A2220">
        <v>219406</v>
      </c>
      <c r="B2220">
        <v>78298.399999999994</v>
      </c>
      <c r="C2220" t="str">
        <f t="shared" si="34"/>
        <v>4. $250K-1M</v>
      </c>
      <c r="D2220" t="s">
        <v>671</v>
      </c>
      <c r="E2220" t="s">
        <v>42</v>
      </c>
      <c r="F2220" t="s">
        <v>670</v>
      </c>
      <c r="G2220" t="s">
        <v>59</v>
      </c>
      <c r="H2220">
        <v>2023</v>
      </c>
    </row>
    <row r="2221" spans="1:8" x14ac:dyDescent="0.2">
      <c r="A2221">
        <v>219456</v>
      </c>
      <c r="B2221">
        <v>239678</v>
      </c>
      <c r="C2221" t="str">
        <f t="shared" si="34"/>
        <v>3. $50K-250K</v>
      </c>
      <c r="D2221" t="s">
        <v>1002</v>
      </c>
      <c r="E2221" t="s">
        <v>42</v>
      </c>
      <c r="F2221" t="s">
        <v>670</v>
      </c>
      <c r="G2221" t="s">
        <v>59</v>
      </c>
      <c r="H2221">
        <v>2023</v>
      </c>
    </row>
    <row r="2222" spans="1:8" x14ac:dyDescent="0.2">
      <c r="A2222">
        <v>219460</v>
      </c>
      <c r="B2222">
        <v>203180.3</v>
      </c>
      <c r="C2222" t="str">
        <f t="shared" si="34"/>
        <v>3. $50K-250K</v>
      </c>
      <c r="D2222" t="s">
        <v>783</v>
      </c>
      <c r="E2222" t="s">
        <v>42</v>
      </c>
      <c r="F2222" t="s">
        <v>670</v>
      </c>
      <c r="G2222" t="s">
        <v>59</v>
      </c>
      <c r="H2222">
        <v>2023</v>
      </c>
    </row>
    <row r="2223" spans="1:8" x14ac:dyDescent="0.2">
      <c r="A2223">
        <v>219465</v>
      </c>
      <c r="B2223">
        <v>303413</v>
      </c>
      <c r="C2223" t="str">
        <f t="shared" si="34"/>
        <v>3. $50K-250K</v>
      </c>
      <c r="D2223" t="s">
        <v>548</v>
      </c>
      <c r="E2223" t="s">
        <v>42</v>
      </c>
      <c r="F2223" t="s">
        <v>670</v>
      </c>
      <c r="G2223" t="s">
        <v>59</v>
      </c>
      <c r="H2223">
        <v>2023</v>
      </c>
    </row>
    <row r="2224" spans="1:8" x14ac:dyDescent="0.2">
      <c r="A2224">
        <v>219485</v>
      </c>
      <c r="B2224">
        <v>85000</v>
      </c>
      <c r="C2224" t="str">
        <f t="shared" si="34"/>
        <v>4. $250K-1M</v>
      </c>
      <c r="D2224" t="s">
        <v>818</v>
      </c>
      <c r="E2224" t="s">
        <v>432</v>
      </c>
      <c r="F2224" t="s">
        <v>670</v>
      </c>
      <c r="G2224" t="s">
        <v>59</v>
      </c>
      <c r="H2224">
        <v>2023</v>
      </c>
    </row>
    <row r="2225" spans="1:8" x14ac:dyDescent="0.2">
      <c r="A2225">
        <v>219486</v>
      </c>
      <c r="B2225">
        <v>474634</v>
      </c>
      <c r="C2225" t="str">
        <f t="shared" si="34"/>
        <v>3. $50K-250K</v>
      </c>
      <c r="D2225" t="s">
        <v>1091</v>
      </c>
      <c r="E2225" t="s">
        <v>42</v>
      </c>
      <c r="F2225" t="s">
        <v>670</v>
      </c>
      <c r="G2225" t="s">
        <v>59</v>
      </c>
      <c r="H2225">
        <v>2023</v>
      </c>
    </row>
    <row r="2226" spans="1:8" x14ac:dyDescent="0.2">
      <c r="A2226">
        <v>219489</v>
      </c>
      <c r="B2226">
        <v>85000</v>
      </c>
      <c r="C2226" t="str">
        <f t="shared" si="34"/>
        <v>4. $250K-1M</v>
      </c>
      <c r="D2226" t="s">
        <v>501</v>
      </c>
      <c r="E2226" t="s">
        <v>432</v>
      </c>
      <c r="F2226" t="s">
        <v>670</v>
      </c>
      <c r="G2226" t="s">
        <v>59</v>
      </c>
      <c r="H2226">
        <v>2023</v>
      </c>
    </row>
    <row r="2227" spans="1:8" x14ac:dyDescent="0.2">
      <c r="A2227">
        <v>219493</v>
      </c>
      <c r="B2227">
        <v>329436.59999999998</v>
      </c>
      <c r="C2227" t="str">
        <f t="shared" si="34"/>
        <v>3. $50K-250K</v>
      </c>
      <c r="D2227" t="s">
        <v>1090</v>
      </c>
      <c r="E2227" t="s">
        <v>42</v>
      </c>
      <c r="F2227" t="s">
        <v>670</v>
      </c>
      <c r="G2227" t="s">
        <v>59</v>
      </c>
      <c r="H2227">
        <v>2023</v>
      </c>
    </row>
    <row r="2228" spans="1:8" x14ac:dyDescent="0.2">
      <c r="A2228">
        <v>219498</v>
      </c>
      <c r="B2228">
        <v>227937.8</v>
      </c>
      <c r="C2228" t="str">
        <f t="shared" si="34"/>
        <v>4. $250K-1M</v>
      </c>
      <c r="D2228" t="s">
        <v>1001</v>
      </c>
      <c r="E2228" t="s">
        <v>42</v>
      </c>
      <c r="F2228" t="s">
        <v>670</v>
      </c>
      <c r="G2228" t="s">
        <v>59</v>
      </c>
      <c r="H2228">
        <v>2023</v>
      </c>
    </row>
    <row r="2229" spans="1:8" x14ac:dyDescent="0.2">
      <c r="A2229">
        <v>219503</v>
      </c>
      <c r="B2229">
        <v>248400</v>
      </c>
      <c r="C2229" t="str">
        <f t="shared" si="34"/>
        <v>3. $50K-250K</v>
      </c>
      <c r="D2229" t="s">
        <v>256</v>
      </c>
      <c r="E2229" t="s">
        <v>54</v>
      </c>
      <c r="F2229" t="s">
        <v>106</v>
      </c>
      <c r="G2229" t="s">
        <v>10</v>
      </c>
      <c r="H2229">
        <v>2023</v>
      </c>
    </row>
    <row r="2230" spans="1:8" x14ac:dyDescent="0.2">
      <c r="A2230">
        <v>219509</v>
      </c>
      <c r="B2230">
        <v>199910.2</v>
      </c>
      <c r="C2230" t="str">
        <f t="shared" si="34"/>
        <v>3. $50K-250K</v>
      </c>
      <c r="D2230" t="s">
        <v>847</v>
      </c>
      <c r="E2230" t="s">
        <v>42</v>
      </c>
      <c r="F2230" t="s">
        <v>670</v>
      </c>
      <c r="G2230" t="s">
        <v>59</v>
      </c>
      <c r="H2230">
        <v>2023</v>
      </c>
    </row>
    <row r="2231" spans="1:8" x14ac:dyDescent="0.2">
      <c r="A2231">
        <v>219536</v>
      </c>
      <c r="B2231">
        <v>1089000</v>
      </c>
      <c r="C2231" t="str">
        <f t="shared" si="34"/>
        <v>3. $50K-250K</v>
      </c>
      <c r="D2231" t="s">
        <v>1011</v>
      </c>
      <c r="E2231" t="s">
        <v>368</v>
      </c>
      <c r="F2231" t="s">
        <v>670</v>
      </c>
      <c r="G2231" t="s">
        <v>59</v>
      </c>
      <c r="H2231">
        <v>2023</v>
      </c>
    </row>
    <row r="2232" spans="1:8" x14ac:dyDescent="0.2">
      <c r="A2232">
        <v>219539</v>
      </c>
      <c r="B2232">
        <v>98274.4</v>
      </c>
      <c r="C2232" t="str">
        <f t="shared" si="34"/>
        <v>5. $1M+</v>
      </c>
      <c r="D2232" t="s">
        <v>991</v>
      </c>
      <c r="E2232" t="s">
        <v>432</v>
      </c>
      <c r="F2232" t="s">
        <v>670</v>
      </c>
      <c r="G2232" t="s">
        <v>59</v>
      </c>
      <c r="H2232">
        <v>2023</v>
      </c>
    </row>
    <row r="2233" spans="1:8" x14ac:dyDescent="0.2">
      <c r="A2233">
        <v>219540</v>
      </c>
      <c r="B2233">
        <v>227860.3</v>
      </c>
      <c r="C2233" t="str">
        <f t="shared" si="34"/>
        <v>3. $50K-250K</v>
      </c>
      <c r="D2233" t="s">
        <v>686</v>
      </c>
      <c r="E2233" t="s">
        <v>42</v>
      </c>
      <c r="F2233" t="s">
        <v>670</v>
      </c>
      <c r="G2233" t="s">
        <v>59</v>
      </c>
      <c r="H2233">
        <v>2023</v>
      </c>
    </row>
    <row r="2234" spans="1:8" x14ac:dyDescent="0.2">
      <c r="A2234">
        <v>219554</v>
      </c>
      <c r="B2234">
        <v>66589.7</v>
      </c>
      <c r="C2234" t="str">
        <f t="shared" si="34"/>
        <v>3. $50K-250K</v>
      </c>
      <c r="D2234" t="s">
        <v>911</v>
      </c>
      <c r="E2234" t="s">
        <v>237</v>
      </c>
      <c r="F2234" t="s">
        <v>670</v>
      </c>
      <c r="G2234" t="s">
        <v>59</v>
      </c>
      <c r="H2234">
        <v>2023</v>
      </c>
    </row>
    <row r="2235" spans="1:8" x14ac:dyDescent="0.2">
      <c r="A2235">
        <v>219556</v>
      </c>
      <c r="B2235">
        <v>62040.3</v>
      </c>
      <c r="C2235" t="str">
        <f t="shared" si="34"/>
        <v>3. $50K-250K</v>
      </c>
      <c r="D2235" t="s">
        <v>781</v>
      </c>
      <c r="E2235" t="s">
        <v>237</v>
      </c>
      <c r="F2235" t="s">
        <v>670</v>
      </c>
      <c r="G2235" t="s">
        <v>59</v>
      </c>
      <c r="H2235">
        <v>2023</v>
      </c>
    </row>
    <row r="2236" spans="1:8" x14ac:dyDescent="0.2">
      <c r="A2236">
        <v>219557</v>
      </c>
      <c r="B2236">
        <v>41875</v>
      </c>
      <c r="C2236" t="str">
        <f t="shared" si="34"/>
        <v>3. $50K-250K</v>
      </c>
      <c r="D2236" t="s">
        <v>901</v>
      </c>
      <c r="E2236" t="s">
        <v>237</v>
      </c>
      <c r="F2236" t="s">
        <v>670</v>
      </c>
      <c r="G2236" t="s">
        <v>59</v>
      </c>
      <c r="H2236">
        <v>2023</v>
      </c>
    </row>
    <row r="2237" spans="1:8" x14ac:dyDescent="0.2">
      <c r="A2237">
        <v>219559</v>
      </c>
      <c r="B2237">
        <v>41875</v>
      </c>
      <c r="C2237" t="str">
        <f t="shared" si="34"/>
        <v>2. $10K-50K</v>
      </c>
      <c r="D2237" t="s">
        <v>900</v>
      </c>
      <c r="E2237" t="s">
        <v>237</v>
      </c>
      <c r="F2237" t="s">
        <v>670</v>
      </c>
      <c r="G2237" t="s">
        <v>59</v>
      </c>
      <c r="H2237">
        <v>2023</v>
      </c>
    </row>
    <row r="2238" spans="1:8" x14ac:dyDescent="0.2">
      <c r="A2238">
        <v>219562</v>
      </c>
      <c r="B2238">
        <v>302666</v>
      </c>
      <c r="C2238" t="str">
        <f t="shared" si="34"/>
        <v>2. $10K-50K</v>
      </c>
      <c r="D2238" t="s">
        <v>772</v>
      </c>
      <c r="E2238" t="s">
        <v>42</v>
      </c>
      <c r="F2238" t="s">
        <v>670</v>
      </c>
      <c r="G2238" t="s">
        <v>59</v>
      </c>
      <c r="H2238">
        <v>2023</v>
      </c>
    </row>
    <row r="2239" spans="1:8" x14ac:dyDescent="0.2">
      <c r="A2239">
        <v>219589</v>
      </c>
      <c r="B2239">
        <v>55906</v>
      </c>
      <c r="C2239" t="str">
        <f t="shared" si="34"/>
        <v>4. $250K-1M</v>
      </c>
      <c r="D2239" t="s">
        <v>1472</v>
      </c>
      <c r="E2239" t="s">
        <v>42</v>
      </c>
      <c r="F2239" t="s">
        <v>670</v>
      </c>
      <c r="G2239" t="s">
        <v>59</v>
      </c>
      <c r="H2239">
        <v>2023</v>
      </c>
    </row>
    <row r="2240" spans="1:8" x14ac:dyDescent="0.2">
      <c r="A2240">
        <v>219679</v>
      </c>
      <c r="B2240">
        <v>46777.9</v>
      </c>
      <c r="C2240" t="str">
        <f t="shared" si="34"/>
        <v>3. $50K-250K</v>
      </c>
      <c r="D2240" t="s">
        <v>1171</v>
      </c>
      <c r="E2240" t="s">
        <v>432</v>
      </c>
      <c r="F2240" t="s">
        <v>670</v>
      </c>
      <c r="G2240" t="s">
        <v>59</v>
      </c>
      <c r="H2240">
        <v>2023</v>
      </c>
    </row>
    <row r="2241" spans="1:8" x14ac:dyDescent="0.2">
      <c r="A2241">
        <v>219684</v>
      </c>
      <c r="B2241">
        <v>317451.59999999998</v>
      </c>
      <c r="C2241" t="str">
        <f t="shared" si="34"/>
        <v>2. $10K-50K</v>
      </c>
      <c r="D2241" t="s">
        <v>548</v>
      </c>
      <c r="E2241" t="s">
        <v>237</v>
      </c>
      <c r="F2241" t="s">
        <v>670</v>
      </c>
      <c r="G2241" t="s">
        <v>59</v>
      </c>
      <c r="H2241">
        <v>2023</v>
      </c>
    </row>
    <row r="2242" spans="1:8" x14ac:dyDescent="0.2">
      <c r="A2242">
        <v>219685</v>
      </c>
      <c r="B2242">
        <v>52800</v>
      </c>
      <c r="C2242" t="str">
        <f t="shared" si="34"/>
        <v>4. $250K-1M</v>
      </c>
      <c r="D2242" t="s">
        <v>694</v>
      </c>
      <c r="E2242" t="s">
        <v>237</v>
      </c>
      <c r="F2242" t="s">
        <v>670</v>
      </c>
      <c r="G2242" t="s">
        <v>59</v>
      </c>
      <c r="H2242">
        <v>2023</v>
      </c>
    </row>
    <row r="2243" spans="1:8" x14ac:dyDescent="0.2">
      <c r="A2243">
        <v>219690</v>
      </c>
      <c r="B2243">
        <v>809830.7</v>
      </c>
      <c r="C2243" t="str">
        <f t="shared" ref="C2243:C2306" si="35">IF(B2242&lt;10000,"1. Under $10K",IF(B2242&lt;50000,"2. $10K-50K",IF(B2242&lt;250000,"3. $50K-250K",IF(B2242&lt;1000000,"4. $250K-1M","5. $1M+"))))</f>
        <v>3. $50K-250K</v>
      </c>
      <c r="D2243" t="s">
        <v>851</v>
      </c>
      <c r="E2243" t="s">
        <v>237</v>
      </c>
      <c r="F2243" t="s">
        <v>670</v>
      </c>
      <c r="G2243" t="s">
        <v>59</v>
      </c>
      <c r="H2243">
        <v>2023</v>
      </c>
    </row>
    <row r="2244" spans="1:8" x14ac:dyDescent="0.2">
      <c r="A2244">
        <v>219691</v>
      </c>
      <c r="B2244">
        <v>66961</v>
      </c>
      <c r="C2244" t="str">
        <f t="shared" si="35"/>
        <v>4. $250K-1M</v>
      </c>
      <c r="D2244" t="s">
        <v>851</v>
      </c>
      <c r="E2244" t="s">
        <v>237</v>
      </c>
      <c r="F2244" t="s">
        <v>670</v>
      </c>
      <c r="G2244" t="s">
        <v>59</v>
      </c>
      <c r="H2244">
        <v>2023</v>
      </c>
    </row>
    <row r="2245" spans="1:8" x14ac:dyDescent="0.2">
      <c r="A2245">
        <v>219692</v>
      </c>
      <c r="B2245">
        <v>43107.199999999997</v>
      </c>
      <c r="C2245" t="str">
        <f t="shared" si="35"/>
        <v>3. $50K-250K</v>
      </c>
      <c r="D2245" t="s">
        <v>713</v>
      </c>
      <c r="E2245" t="s">
        <v>237</v>
      </c>
      <c r="F2245" t="s">
        <v>670</v>
      </c>
      <c r="G2245" t="s">
        <v>59</v>
      </c>
      <c r="H2245">
        <v>2023</v>
      </c>
    </row>
    <row r="2246" spans="1:8" x14ac:dyDescent="0.2">
      <c r="A2246">
        <v>219724</v>
      </c>
      <c r="B2246">
        <v>254466.4</v>
      </c>
      <c r="C2246" t="str">
        <f t="shared" si="35"/>
        <v>2. $10K-50K</v>
      </c>
      <c r="D2246" t="s">
        <v>682</v>
      </c>
      <c r="E2246" t="s">
        <v>42</v>
      </c>
      <c r="F2246" t="s">
        <v>670</v>
      </c>
      <c r="G2246" t="s">
        <v>59</v>
      </c>
      <c r="H2246">
        <v>2023</v>
      </c>
    </row>
    <row r="2247" spans="1:8" x14ac:dyDescent="0.2">
      <c r="A2247">
        <v>219725</v>
      </c>
      <c r="B2247">
        <v>283809</v>
      </c>
      <c r="C2247" t="str">
        <f t="shared" si="35"/>
        <v>4. $250K-1M</v>
      </c>
      <c r="D2247" t="s">
        <v>772</v>
      </c>
      <c r="E2247" t="s">
        <v>42</v>
      </c>
      <c r="F2247" t="s">
        <v>670</v>
      </c>
      <c r="G2247" t="s">
        <v>59</v>
      </c>
      <c r="H2247">
        <v>2023</v>
      </c>
    </row>
    <row r="2248" spans="1:8" x14ac:dyDescent="0.2">
      <c r="A2248">
        <v>219732</v>
      </c>
      <c r="B2248">
        <v>234076</v>
      </c>
      <c r="C2248" t="str">
        <f t="shared" si="35"/>
        <v>4. $250K-1M</v>
      </c>
      <c r="D2248" t="s">
        <v>782</v>
      </c>
      <c r="E2248" t="s">
        <v>42</v>
      </c>
      <c r="F2248" t="s">
        <v>670</v>
      </c>
      <c r="G2248" t="s">
        <v>59</v>
      </c>
      <c r="H2248">
        <v>2023</v>
      </c>
    </row>
    <row r="2249" spans="1:8" x14ac:dyDescent="0.2">
      <c r="A2249">
        <v>219733</v>
      </c>
      <c r="B2249">
        <v>15737.7</v>
      </c>
      <c r="C2249" t="str">
        <f t="shared" si="35"/>
        <v>3. $50K-250K</v>
      </c>
      <c r="D2249" t="s">
        <v>684</v>
      </c>
      <c r="E2249" t="s">
        <v>42</v>
      </c>
      <c r="F2249" t="s">
        <v>670</v>
      </c>
      <c r="G2249" t="s">
        <v>59</v>
      </c>
      <c r="H2249">
        <v>2023</v>
      </c>
    </row>
    <row r="2250" spans="1:8" x14ac:dyDescent="0.2">
      <c r="A2250">
        <v>219734</v>
      </c>
      <c r="B2250">
        <v>141185.79999999999</v>
      </c>
      <c r="C2250" t="str">
        <f t="shared" si="35"/>
        <v>2. $10K-50K</v>
      </c>
      <c r="D2250" t="s">
        <v>682</v>
      </c>
      <c r="E2250" t="s">
        <v>42</v>
      </c>
      <c r="F2250" t="s">
        <v>670</v>
      </c>
      <c r="G2250" t="s">
        <v>59</v>
      </c>
      <c r="H2250">
        <v>2023</v>
      </c>
    </row>
    <row r="2251" spans="1:8" x14ac:dyDescent="0.2">
      <c r="A2251">
        <v>219736</v>
      </c>
      <c r="B2251">
        <v>167660</v>
      </c>
      <c r="C2251" t="str">
        <f t="shared" si="35"/>
        <v>3. $50K-250K</v>
      </c>
      <c r="D2251" t="s">
        <v>829</v>
      </c>
      <c r="E2251" t="s">
        <v>237</v>
      </c>
      <c r="F2251" t="s">
        <v>670</v>
      </c>
      <c r="G2251" t="s">
        <v>59</v>
      </c>
      <c r="H2251">
        <v>2023</v>
      </c>
    </row>
    <row r="2252" spans="1:8" x14ac:dyDescent="0.2">
      <c r="A2252">
        <v>21974</v>
      </c>
      <c r="B2252">
        <v>1150000</v>
      </c>
      <c r="C2252" t="str">
        <f t="shared" si="35"/>
        <v>3. $50K-250K</v>
      </c>
      <c r="D2252" t="s">
        <v>257</v>
      </c>
      <c r="E2252" t="s">
        <v>18</v>
      </c>
      <c r="F2252" t="s">
        <v>19</v>
      </c>
      <c r="G2252" t="s">
        <v>10</v>
      </c>
      <c r="H2252">
        <v>2023</v>
      </c>
    </row>
    <row r="2253" spans="1:8" x14ac:dyDescent="0.2">
      <c r="A2253">
        <v>219766</v>
      </c>
      <c r="B2253">
        <v>69000</v>
      </c>
      <c r="C2253" t="str">
        <f t="shared" si="35"/>
        <v>5. $1M+</v>
      </c>
      <c r="D2253" t="s">
        <v>719</v>
      </c>
      <c r="E2253" t="s">
        <v>237</v>
      </c>
      <c r="F2253" t="s">
        <v>670</v>
      </c>
      <c r="G2253" t="s">
        <v>59</v>
      </c>
      <c r="H2253">
        <v>2023</v>
      </c>
    </row>
    <row r="2254" spans="1:8" x14ac:dyDescent="0.2">
      <c r="A2254">
        <v>219774</v>
      </c>
      <c r="B2254">
        <v>46313.1</v>
      </c>
      <c r="C2254" t="str">
        <f t="shared" si="35"/>
        <v>3. $50K-250K</v>
      </c>
      <c r="D2254" t="s">
        <v>1072</v>
      </c>
      <c r="E2254" t="s">
        <v>237</v>
      </c>
      <c r="F2254" t="s">
        <v>670</v>
      </c>
      <c r="G2254" t="s">
        <v>59</v>
      </c>
      <c r="H2254">
        <v>2023</v>
      </c>
    </row>
    <row r="2255" spans="1:8" x14ac:dyDescent="0.2">
      <c r="A2255">
        <v>219775</v>
      </c>
      <c r="B2255">
        <v>69000</v>
      </c>
      <c r="C2255" t="str">
        <f t="shared" si="35"/>
        <v>2. $10K-50K</v>
      </c>
      <c r="D2255" t="s">
        <v>1076</v>
      </c>
      <c r="E2255" t="s">
        <v>237</v>
      </c>
      <c r="F2255" t="s">
        <v>670</v>
      </c>
      <c r="G2255" t="s">
        <v>59</v>
      </c>
      <c r="H2255">
        <v>2023</v>
      </c>
    </row>
    <row r="2256" spans="1:8" x14ac:dyDescent="0.2">
      <c r="A2256">
        <v>219795</v>
      </c>
      <c r="B2256">
        <v>287189.3</v>
      </c>
      <c r="C2256" t="str">
        <f t="shared" si="35"/>
        <v>3. $50K-250K</v>
      </c>
      <c r="D2256" t="s">
        <v>989</v>
      </c>
      <c r="E2256" t="s">
        <v>237</v>
      </c>
      <c r="F2256" t="s">
        <v>670</v>
      </c>
      <c r="G2256" t="s">
        <v>59</v>
      </c>
      <c r="H2256">
        <v>2023</v>
      </c>
    </row>
    <row r="2257" spans="1:8" x14ac:dyDescent="0.2">
      <c r="A2257">
        <v>219799</v>
      </c>
      <c r="B2257">
        <v>80590</v>
      </c>
      <c r="C2257" t="str">
        <f t="shared" si="35"/>
        <v>4. $250K-1M</v>
      </c>
      <c r="D2257" t="s">
        <v>854</v>
      </c>
      <c r="E2257" t="s">
        <v>237</v>
      </c>
      <c r="F2257" t="s">
        <v>670</v>
      </c>
      <c r="G2257" t="s">
        <v>59</v>
      </c>
      <c r="H2257">
        <v>2023</v>
      </c>
    </row>
    <row r="2258" spans="1:8" x14ac:dyDescent="0.2">
      <c r="A2258">
        <v>219888</v>
      </c>
      <c r="B2258">
        <v>25000</v>
      </c>
      <c r="C2258" t="str">
        <f t="shared" si="35"/>
        <v>3. $50K-250K</v>
      </c>
      <c r="D2258" t="s">
        <v>1404</v>
      </c>
      <c r="E2258" t="s">
        <v>368</v>
      </c>
      <c r="F2258" t="s">
        <v>670</v>
      </c>
      <c r="G2258" t="s">
        <v>59</v>
      </c>
      <c r="H2258">
        <v>2023</v>
      </c>
    </row>
    <row r="2259" spans="1:8" x14ac:dyDescent="0.2">
      <c r="A2259">
        <v>219889</v>
      </c>
      <c r="B2259">
        <v>16666</v>
      </c>
      <c r="C2259" t="str">
        <f t="shared" si="35"/>
        <v>2. $10K-50K</v>
      </c>
      <c r="D2259" t="s">
        <v>1412</v>
      </c>
      <c r="E2259" t="s">
        <v>368</v>
      </c>
      <c r="F2259" t="s">
        <v>670</v>
      </c>
      <c r="G2259" t="s">
        <v>59</v>
      </c>
      <c r="H2259">
        <v>2023</v>
      </c>
    </row>
    <row r="2260" spans="1:8" x14ac:dyDescent="0.2">
      <c r="A2260">
        <v>219890</v>
      </c>
      <c r="B2260">
        <v>16666</v>
      </c>
      <c r="C2260" t="str">
        <f t="shared" si="35"/>
        <v>2. $10K-50K</v>
      </c>
      <c r="D2260" t="s">
        <v>1410</v>
      </c>
      <c r="E2260" t="s">
        <v>368</v>
      </c>
      <c r="F2260" t="s">
        <v>670</v>
      </c>
      <c r="G2260" t="s">
        <v>59</v>
      </c>
      <c r="H2260">
        <v>2023</v>
      </c>
    </row>
    <row r="2261" spans="1:8" x14ac:dyDescent="0.2">
      <c r="A2261">
        <v>219891</v>
      </c>
      <c r="B2261">
        <v>49445.7</v>
      </c>
      <c r="C2261" t="str">
        <f t="shared" si="35"/>
        <v>2. $10K-50K</v>
      </c>
      <c r="D2261" t="s">
        <v>801</v>
      </c>
      <c r="E2261" t="s">
        <v>237</v>
      </c>
      <c r="F2261" t="s">
        <v>670</v>
      </c>
      <c r="G2261" t="s">
        <v>59</v>
      </c>
      <c r="H2261">
        <v>2023</v>
      </c>
    </row>
    <row r="2262" spans="1:8" x14ac:dyDescent="0.2">
      <c r="A2262">
        <v>219897</v>
      </c>
      <c r="B2262">
        <v>550000</v>
      </c>
      <c r="C2262" t="str">
        <f t="shared" si="35"/>
        <v>2. $10K-50K</v>
      </c>
      <c r="D2262" t="s">
        <v>907</v>
      </c>
      <c r="E2262" t="s">
        <v>99</v>
      </c>
      <c r="F2262" t="s">
        <v>670</v>
      </c>
      <c r="G2262" t="s">
        <v>59</v>
      </c>
      <c r="H2262">
        <v>2023</v>
      </c>
    </row>
    <row r="2263" spans="1:8" x14ac:dyDescent="0.2">
      <c r="A2263">
        <v>219956</v>
      </c>
      <c r="B2263">
        <v>409609.5</v>
      </c>
      <c r="C2263" t="str">
        <f t="shared" si="35"/>
        <v>4. $250K-1M</v>
      </c>
      <c r="D2263" t="s">
        <v>1473</v>
      </c>
      <c r="E2263" t="s">
        <v>42</v>
      </c>
      <c r="F2263" t="s">
        <v>670</v>
      </c>
      <c r="G2263" t="s">
        <v>59</v>
      </c>
      <c r="H2263">
        <v>2023</v>
      </c>
    </row>
    <row r="2264" spans="1:8" x14ac:dyDescent="0.2">
      <c r="A2264">
        <v>219957</v>
      </c>
      <c r="B2264">
        <v>15733.4</v>
      </c>
      <c r="C2264" t="str">
        <f t="shared" si="35"/>
        <v>4. $250K-1M</v>
      </c>
      <c r="D2264" t="s">
        <v>684</v>
      </c>
      <c r="E2264" t="s">
        <v>42</v>
      </c>
      <c r="F2264" t="s">
        <v>670</v>
      </c>
      <c r="G2264" t="s">
        <v>59</v>
      </c>
      <c r="H2264">
        <v>2023</v>
      </c>
    </row>
    <row r="2265" spans="1:8" x14ac:dyDescent="0.2">
      <c r="A2265">
        <v>219979</v>
      </c>
      <c r="B2265">
        <v>1382.2</v>
      </c>
      <c r="C2265" t="str">
        <f t="shared" si="35"/>
        <v>2. $10K-50K</v>
      </c>
      <c r="D2265" t="s">
        <v>230</v>
      </c>
      <c r="E2265" t="s">
        <v>69</v>
      </c>
      <c r="F2265" t="s">
        <v>231</v>
      </c>
      <c r="G2265" t="s">
        <v>59</v>
      </c>
      <c r="H2265">
        <v>2023</v>
      </c>
    </row>
    <row r="2266" spans="1:8" x14ac:dyDescent="0.2">
      <c r="A2266">
        <v>220004</v>
      </c>
      <c r="B2266">
        <v>10598</v>
      </c>
      <c r="C2266" t="str">
        <f t="shared" si="35"/>
        <v>1. Under $10K</v>
      </c>
      <c r="D2266" t="s">
        <v>712</v>
      </c>
      <c r="E2266" t="s">
        <v>237</v>
      </c>
      <c r="F2266" t="s">
        <v>670</v>
      </c>
      <c r="G2266" t="s">
        <v>59</v>
      </c>
      <c r="H2266">
        <v>2023</v>
      </c>
    </row>
    <row r="2267" spans="1:8" x14ac:dyDescent="0.2">
      <c r="A2267">
        <v>220006</v>
      </c>
      <c r="B2267">
        <v>10000</v>
      </c>
      <c r="C2267" t="str">
        <f t="shared" si="35"/>
        <v>2. $10K-50K</v>
      </c>
      <c r="D2267" t="s">
        <v>711</v>
      </c>
      <c r="E2267" t="s">
        <v>237</v>
      </c>
      <c r="F2267" t="s">
        <v>670</v>
      </c>
      <c r="G2267" t="s">
        <v>59</v>
      </c>
      <c r="H2267">
        <v>2023</v>
      </c>
    </row>
    <row r="2268" spans="1:8" x14ac:dyDescent="0.2">
      <c r="A2268">
        <v>220007</v>
      </c>
      <c r="B2268">
        <v>10000</v>
      </c>
      <c r="C2268" t="str">
        <f t="shared" si="35"/>
        <v>2. $10K-50K</v>
      </c>
      <c r="D2268" t="s">
        <v>711</v>
      </c>
      <c r="E2268" t="s">
        <v>237</v>
      </c>
      <c r="F2268" t="s">
        <v>670</v>
      </c>
      <c r="G2268" t="s">
        <v>59</v>
      </c>
      <c r="H2268">
        <v>2023</v>
      </c>
    </row>
    <row r="2269" spans="1:8" x14ac:dyDescent="0.2">
      <c r="A2269">
        <v>220027</v>
      </c>
      <c r="B2269">
        <v>400000</v>
      </c>
      <c r="C2269" t="str">
        <f t="shared" si="35"/>
        <v>2. $10K-50K</v>
      </c>
      <c r="D2269" t="s">
        <v>968</v>
      </c>
      <c r="E2269" t="s">
        <v>42</v>
      </c>
      <c r="F2269" t="s">
        <v>668</v>
      </c>
      <c r="G2269" t="s">
        <v>59</v>
      </c>
      <c r="H2269">
        <v>2023</v>
      </c>
    </row>
    <row r="2270" spans="1:8" x14ac:dyDescent="0.2">
      <c r="A2270">
        <v>220063</v>
      </c>
      <c r="B2270">
        <v>478618.1</v>
      </c>
      <c r="C2270" t="str">
        <f t="shared" si="35"/>
        <v>4. $250K-1M</v>
      </c>
      <c r="D2270" t="s">
        <v>701</v>
      </c>
      <c r="E2270" t="s">
        <v>42</v>
      </c>
      <c r="F2270" t="s">
        <v>670</v>
      </c>
      <c r="G2270" t="s">
        <v>59</v>
      </c>
      <c r="H2270">
        <v>2023</v>
      </c>
    </row>
    <row r="2271" spans="1:8" x14ac:dyDescent="0.2">
      <c r="A2271">
        <v>220064</v>
      </c>
      <c r="B2271">
        <v>240000</v>
      </c>
      <c r="C2271" t="str">
        <f t="shared" si="35"/>
        <v>4. $250K-1M</v>
      </c>
      <c r="D2271" t="s">
        <v>726</v>
      </c>
      <c r="E2271" t="s">
        <v>42</v>
      </c>
      <c r="F2271" t="s">
        <v>670</v>
      </c>
      <c r="G2271" t="s">
        <v>59</v>
      </c>
      <c r="H2271">
        <v>2023</v>
      </c>
    </row>
    <row r="2272" spans="1:8" x14ac:dyDescent="0.2">
      <c r="A2272">
        <v>220065</v>
      </c>
      <c r="B2272">
        <v>230887.5</v>
      </c>
      <c r="C2272" t="str">
        <f t="shared" si="35"/>
        <v>3. $50K-250K</v>
      </c>
      <c r="D2272" t="s">
        <v>677</v>
      </c>
      <c r="E2272" t="s">
        <v>42</v>
      </c>
      <c r="F2272" t="s">
        <v>670</v>
      </c>
      <c r="G2272" t="s">
        <v>59</v>
      </c>
      <c r="H2272">
        <v>2023</v>
      </c>
    </row>
    <row r="2273" spans="1:8" x14ac:dyDescent="0.2">
      <c r="A2273">
        <v>220066</v>
      </c>
      <c r="B2273">
        <v>415692.4</v>
      </c>
      <c r="C2273" t="str">
        <f t="shared" si="35"/>
        <v>3. $50K-250K</v>
      </c>
      <c r="D2273" t="s">
        <v>1086</v>
      </c>
      <c r="E2273" t="s">
        <v>42</v>
      </c>
      <c r="F2273" t="s">
        <v>670</v>
      </c>
      <c r="G2273" t="s">
        <v>59</v>
      </c>
      <c r="H2273">
        <v>2023</v>
      </c>
    </row>
    <row r="2274" spans="1:8" x14ac:dyDescent="0.2">
      <c r="A2274">
        <v>220067</v>
      </c>
      <c r="B2274">
        <v>356638.2</v>
      </c>
      <c r="C2274" t="str">
        <f t="shared" si="35"/>
        <v>4. $250K-1M</v>
      </c>
      <c r="D2274" t="s">
        <v>821</v>
      </c>
      <c r="E2274" t="s">
        <v>42</v>
      </c>
      <c r="F2274" t="s">
        <v>670</v>
      </c>
      <c r="G2274" t="s">
        <v>59</v>
      </c>
      <c r="H2274">
        <v>2023</v>
      </c>
    </row>
    <row r="2275" spans="1:8" x14ac:dyDescent="0.2">
      <c r="A2275">
        <v>220068</v>
      </c>
      <c r="B2275">
        <v>198527.1</v>
      </c>
      <c r="C2275" t="str">
        <f t="shared" si="35"/>
        <v>4. $250K-1M</v>
      </c>
      <c r="D2275" t="s">
        <v>823</v>
      </c>
      <c r="E2275" t="s">
        <v>42</v>
      </c>
      <c r="F2275" t="s">
        <v>670</v>
      </c>
      <c r="G2275" t="s">
        <v>59</v>
      </c>
      <c r="H2275">
        <v>2023</v>
      </c>
    </row>
    <row r="2276" spans="1:8" x14ac:dyDescent="0.2">
      <c r="A2276">
        <v>220073</v>
      </c>
      <c r="B2276">
        <v>33333</v>
      </c>
      <c r="C2276" t="str">
        <f t="shared" si="35"/>
        <v>3. $50K-250K</v>
      </c>
      <c r="D2276" t="s">
        <v>1363</v>
      </c>
      <c r="E2276" t="s">
        <v>368</v>
      </c>
      <c r="F2276" t="s">
        <v>670</v>
      </c>
      <c r="G2276" t="s">
        <v>59</v>
      </c>
      <c r="H2276">
        <v>2023</v>
      </c>
    </row>
    <row r="2277" spans="1:8" x14ac:dyDescent="0.2">
      <c r="A2277">
        <v>220080</v>
      </c>
      <c r="B2277">
        <v>514673.9</v>
      </c>
      <c r="C2277" t="str">
        <f t="shared" si="35"/>
        <v>2. $10K-50K</v>
      </c>
      <c r="D2277" t="s">
        <v>987</v>
      </c>
      <c r="E2277" t="s">
        <v>237</v>
      </c>
      <c r="F2277" t="s">
        <v>670</v>
      </c>
      <c r="G2277" t="s">
        <v>59</v>
      </c>
      <c r="H2277">
        <v>2023</v>
      </c>
    </row>
    <row r="2278" spans="1:8" x14ac:dyDescent="0.2">
      <c r="A2278">
        <v>220100</v>
      </c>
      <c r="B2278">
        <v>514753.1</v>
      </c>
      <c r="C2278" t="str">
        <f t="shared" si="35"/>
        <v>4. $250K-1M</v>
      </c>
      <c r="D2278" t="s">
        <v>987</v>
      </c>
      <c r="E2278" t="s">
        <v>237</v>
      </c>
      <c r="F2278" t="s">
        <v>670</v>
      </c>
      <c r="G2278" t="s">
        <v>59</v>
      </c>
      <c r="H2278">
        <v>2023</v>
      </c>
    </row>
    <row r="2279" spans="1:8" x14ac:dyDescent="0.2">
      <c r="A2279">
        <v>220101</v>
      </c>
      <c r="B2279">
        <v>75000</v>
      </c>
      <c r="C2279" t="str">
        <f t="shared" si="35"/>
        <v>4. $250K-1M</v>
      </c>
      <c r="D2279" t="s">
        <v>809</v>
      </c>
      <c r="E2279" t="s">
        <v>237</v>
      </c>
      <c r="F2279" t="s">
        <v>670</v>
      </c>
      <c r="G2279" t="s">
        <v>59</v>
      </c>
      <c r="H2279">
        <v>2023</v>
      </c>
    </row>
    <row r="2280" spans="1:8" x14ac:dyDescent="0.2">
      <c r="A2280">
        <v>220102</v>
      </c>
      <c r="B2280">
        <v>4300</v>
      </c>
      <c r="C2280" t="str">
        <f t="shared" si="35"/>
        <v>3. $50K-250K</v>
      </c>
      <c r="D2280" t="s">
        <v>711</v>
      </c>
      <c r="E2280" t="s">
        <v>237</v>
      </c>
      <c r="F2280" t="s">
        <v>670</v>
      </c>
      <c r="G2280" t="s">
        <v>59</v>
      </c>
      <c r="H2280">
        <v>2023</v>
      </c>
    </row>
    <row r="2281" spans="1:8" x14ac:dyDescent="0.2">
      <c r="A2281">
        <v>220115</v>
      </c>
      <c r="B2281">
        <v>1006000</v>
      </c>
      <c r="C2281" t="str">
        <f t="shared" si="35"/>
        <v>1. Under $10K</v>
      </c>
      <c r="D2281" t="s">
        <v>910</v>
      </c>
      <c r="E2281" t="s">
        <v>237</v>
      </c>
      <c r="F2281" t="s">
        <v>670</v>
      </c>
      <c r="G2281" t="s">
        <v>59</v>
      </c>
      <c r="H2281">
        <v>2023</v>
      </c>
    </row>
    <row r="2282" spans="1:8" x14ac:dyDescent="0.2">
      <c r="A2282">
        <v>220119</v>
      </c>
      <c r="B2282">
        <v>233773</v>
      </c>
      <c r="C2282" t="str">
        <f t="shared" si="35"/>
        <v>5. $1M+</v>
      </c>
      <c r="D2282" t="s">
        <v>669</v>
      </c>
      <c r="E2282" t="s">
        <v>42</v>
      </c>
      <c r="F2282" t="s">
        <v>670</v>
      </c>
      <c r="G2282" t="s">
        <v>59</v>
      </c>
      <c r="H2282">
        <v>2023</v>
      </c>
    </row>
    <row r="2283" spans="1:8" x14ac:dyDescent="0.2">
      <c r="A2283">
        <v>220120</v>
      </c>
      <c r="B2283">
        <v>320233</v>
      </c>
      <c r="C2283" t="str">
        <f t="shared" si="35"/>
        <v>3. $50K-250K</v>
      </c>
      <c r="D2283" t="s">
        <v>671</v>
      </c>
      <c r="E2283" t="s">
        <v>42</v>
      </c>
      <c r="F2283" t="s">
        <v>670</v>
      </c>
      <c r="G2283" t="s">
        <v>59</v>
      </c>
      <c r="H2283">
        <v>2023</v>
      </c>
    </row>
    <row r="2284" spans="1:8" x14ac:dyDescent="0.2">
      <c r="A2284">
        <v>220121</v>
      </c>
      <c r="B2284">
        <v>371249.2</v>
      </c>
      <c r="C2284" t="str">
        <f t="shared" si="35"/>
        <v>4. $250K-1M</v>
      </c>
      <c r="D2284" t="s">
        <v>824</v>
      </c>
      <c r="E2284" t="s">
        <v>42</v>
      </c>
      <c r="F2284" t="s">
        <v>670</v>
      </c>
      <c r="G2284" t="s">
        <v>59</v>
      </c>
      <c r="H2284">
        <v>2023</v>
      </c>
    </row>
    <row r="2285" spans="1:8" x14ac:dyDescent="0.2">
      <c r="A2285">
        <v>220122</v>
      </c>
      <c r="B2285">
        <v>1377506.6</v>
      </c>
      <c r="C2285" t="str">
        <f t="shared" si="35"/>
        <v>4. $250K-1M</v>
      </c>
      <c r="D2285" t="s">
        <v>771</v>
      </c>
      <c r="E2285" t="s">
        <v>42</v>
      </c>
      <c r="F2285" t="s">
        <v>670</v>
      </c>
      <c r="G2285" t="s">
        <v>59</v>
      </c>
      <c r="H2285">
        <v>2023</v>
      </c>
    </row>
    <row r="2286" spans="1:8" x14ac:dyDescent="0.2">
      <c r="A2286">
        <v>220127</v>
      </c>
      <c r="B2286">
        <v>279305.90000000002</v>
      </c>
      <c r="C2286" t="str">
        <f t="shared" si="35"/>
        <v>5. $1M+</v>
      </c>
      <c r="D2286" t="s">
        <v>782</v>
      </c>
      <c r="E2286" t="s">
        <v>237</v>
      </c>
      <c r="F2286" t="s">
        <v>670</v>
      </c>
      <c r="G2286" t="s">
        <v>59</v>
      </c>
      <c r="H2286">
        <v>2023</v>
      </c>
    </row>
    <row r="2287" spans="1:8" x14ac:dyDescent="0.2">
      <c r="A2287">
        <v>220189</v>
      </c>
      <c r="B2287">
        <v>71085</v>
      </c>
      <c r="C2287" t="str">
        <f t="shared" si="35"/>
        <v>4. $250K-1M</v>
      </c>
      <c r="D2287" t="s">
        <v>749</v>
      </c>
      <c r="E2287" t="s">
        <v>237</v>
      </c>
      <c r="F2287" t="s">
        <v>670</v>
      </c>
      <c r="G2287" t="s">
        <v>59</v>
      </c>
      <c r="H2287">
        <v>2023</v>
      </c>
    </row>
    <row r="2288" spans="1:8" x14ac:dyDescent="0.2">
      <c r="A2288">
        <v>220190</v>
      </c>
      <c r="B2288">
        <v>59737</v>
      </c>
      <c r="C2288" t="str">
        <f t="shared" si="35"/>
        <v>3. $50K-250K</v>
      </c>
      <c r="D2288" t="s">
        <v>749</v>
      </c>
      <c r="E2288" t="s">
        <v>237</v>
      </c>
      <c r="F2288" t="s">
        <v>670</v>
      </c>
      <c r="G2288" t="s">
        <v>59</v>
      </c>
      <c r="H2288">
        <v>2023</v>
      </c>
    </row>
    <row r="2289" spans="1:8" x14ac:dyDescent="0.2">
      <c r="A2289">
        <v>220199</v>
      </c>
      <c r="B2289">
        <v>62638</v>
      </c>
      <c r="C2289" t="str">
        <f t="shared" si="35"/>
        <v>3. $50K-250K</v>
      </c>
      <c r="D2289" t="s">
        <v>919</v>
      </c>
      <c r="E2289" t="s">
        <v>237</v>
      </c>
      <c r="F2289" t="s">
        <v>670</v>
      </c>
      <c r="G2289" t="s">
        <v>59</v>
      </c>
      <c r="H2289">
        <v>2023</v>
      </c>
    </row>
    <row r="2290" spans="1:8" x14ac:dyDescent="0.2">
      <c r="A2290">
        <v>220224</v>
      </c>
      <c r="B2290">
        <v>66000</v>
      </c>
      <c r="C2290" t="str">
        <f t="shared" si="35"/>
        <v>3. $50K-250K</v>
      </c>
      <c r="D2290" t="s">
        <v>902</v>
      </c>
      <c r="E2290" t="s">
        <v>237</v>
      </c>
      <c r="F2290" t="s">
        <v>670</v>
      </c>
      <c r="G2290" t="s">
        <v>59</v>
      </c>
      <c r="H2290">
        <v>2023</v>
      </c>
    </row>
    <row r="2291" spans="1:8" x14ac:dyDescent="0.2">
      <c r="A2291">
        <v>220228</v>
      </c>
      <c r="B2291">
        <v>72958</v>
      </c>
      <c r="C2291" t="str">
        <f t="shared" si="35"/>
        <v>3. $50K-250K</v>
      </c>
      <c r="D2291" t="s">
        <v>956</v>
      </c>
      <c r="E2291" t="s">
        <v>99</v>
      </c>
      <c r="F2291" t="s">
        <v>670</v>
      </c>
      <c r="G2291" t="s">
        <v>59</v>
      </c>
      <c r="H2291">
        <v>2023</v>
      </c>
    </row>
    <row r="2292" spans="1:8" x14ac:dyDescent="0.2">
      <c r="A2292">
        <v>220242</v>
      </c>
      <c r="B2292">
        <v>6500</v>
      </c>
      <c r="C2292" t="str">
        <f t="shared" si="35"/>
        <v>3. $50K-250K</v>
      </c>
      <c r="D2292" t="s">
        <v>160</v>
      </c>
      <c r="E2292" t="s">
        <v>99</v>
      </c>
      <c r="F2292" t="s">
        <v>106</v>
      </c>
      <c r="G2292" t="s">
        <v>10</v>
      </c>
      <c r="H2292">
        <v>2023</v>
      </c>
    </row>
    <row r="2293" spans="1:8" x14ac:dyDescent="0.2">
      <c r="A2293">
        <v>220380</v>
      </c>
      <c r="B2293">
        <v>20356</v>
      </c>
      <c r="C2293" t="str">
        <f t="shared" si="35"/>
        <v>1. Under $10K</v>
      </c>
      <c r="D2293" t="s">
        <v>1474</v>
      </c>
      <c r="E2293" t="s">
        <v>178</v>
      </c>
      <c r="F2293" t="s">
        <v>668</v>
      </c>
      <c r="G2293" t="s">
        <v>59</v>
      </c>
      <c r="H2293">
        <v>2023</v>
      </c>
    </row>
    <row r="2294" spans="1:8" x14ac:dyDescent="0.2">
      <c r="A2294">
        <v>220407</v>
      </c>
      <c r="B2294">
        <v>69000</v>
      </c>
      <c r="C2294" t="str">
        <f t="shared" si="35"/>
        <v>2. $10K-50K</v>
      </c>
      <c r="D2294" t="s">
        <v>881</v>
      </c>
      <c r="E2294" t="s">
        <v>237</v>
      </c>
      <c r="F2294" t="s">
        <v>670</v>
      </c>
      <c r="G2294" t="s">
        <v>59</v>
      </c>
      <c r="H2294">
        <v>2023</v>
      </c>
    </row>
    <row r="2295" spans="1:8" x14ac:dyDescent="0.2">
      <c r="A2295">
        <v>220408</v>
      </c>
      <c r="B2295">
        <v>514756</v>
      </c>
      <c r="C2295" t="str">
        <f t="shared" si="35"/>
        <v>3. $50K-250K</v>
      </c>
      <c r="D2295" t="s">
        <v>990</v>
      </c>
      <c r="E2295" t="s">
        <v>237</v>
      </c>
      <c r="F2295" t="s">
        <v>670</v>
      </c>
      <c r="G2295" t="s">
        <v>59</v>
      </c>
      <c r="H2295">
        <v>2023</v>
      </c>
    </row>
    <row r="2296" spans="1:8" x14ac:dyDescent="0.2">
      <c r="A2296">
        <v>220409</v>
      </c>
      <c r="B2296">
        <v>22189.8</v>
      </c>
      <c r="C2296" t="str">
        <f t="shared" si="35"/>
        <v>4. $250K-1M</v>
      </c>
      <c r="D2296" t="s">
        <v>877</v>
      </c>
      <c r="E2296" t="s">
        <v>237</v>
      </c>
      <c r="F2296" t="s">
        <v>670</v>
      </c>
      <c r="G2296" t="s">
        <v>59</v>
      </c>
      <c r="H2296">
        <v>2023</v>
      </c>
    </row>
    <row r="2297" spans="1:8" x14ac:dyDescent="0.2">
      <c r="A2297">
        <v>220410</v>
      </c>
      <c r="B2297">
        <v>18332</v>
      </c>
      <c r="C2297" t="str">
        <f t="shared" si="35"/>
        <v>2. $10K-50K</v>
      </c>
      <c r="D2297" t="s">
        <v>719</v>
      </c>
      <c r="E2297" t="s">
        <v>237</v>
      </c>
      <c r="F2297" t="s">
        <v>670</v>
      </c>
      <c r="G2297" t="s">
        <v>59</v>
      </c>
      <c r="H2297">
        <v>2023</v>
      </c>
    </row>
    <row r="2298" spans="1:8" x14ac:dyDescent="0.2">
      <c r="A2298">
        <v>220411</v>
      </c>
      <c r="B2298">
        <v>100000</v>
      </c>
      <c r="C2298" t="str">
        <f t="shared" si="35"/>
        <v>2. $10K-50K</v>
      </c>
      <c r="D2298" t="s">
        <v>719</v>
      </c>
      <c r="E2298" t="s">
        <v>237</v>
      </c>
      <c r="F2298" t="s">
        <v>670</v>
      </c>
      <c r="G2298" t="s">
        <v>59</v>
      </c>
      <c r="H2298">
        <v>2023</v>
      </c>
    </row>
    <row r="2299" spans="1:8" x14ac:dyDescent="0.2">
      <c r="A2299">
        <v>220412</v>
      </c>
      <c r="B2299">
        <v>108900</v>
      </c>
      <c r="C2299" t="str">
        <f t="shared" si="35"/>
        <v>3. $50K-250K</v>
      </c>
      <c r="D2299" t="s">
        <v>829</v>
      </c>
      <c r="E2299" t="s">
        <v>237</v>
      </c>
      <c r="F2299" t="s">
        <v>670</v>
      </c>
      <c r="G2299" t="s">
        <v>59</v>
      </c>
      <c r="H2299">
        <v>2023</v>
      </c>
    </row>
    <row r="2300" spans="1:8" x14ac:dyDescent="0.2">
      <c r="A2300">
        <v>220413</v>
      </c>
      <c r="B2300">
        <v>123350.5</v>
      </c>
      <c r="C2300" t="str">
        <f t="shared" si="35"/>
        <v>3. $50K-250K</v>
      </c>
      <c r="D2300" t="s">
        <v>861</v>
      </c>
      <c r="E2300" t="s">
        <v>237</v>
      </c>
      <c r="F2300" t="s">
        <v>670</v>
      </c>
      <c r="G2300" t="s">
        <v>59</v>
      </c>
      <c r="H2300">
        <v>2023</v>
      </c>
    </row>
    <row r="2301" spans="1:8" x14ac:dyDescent="0.2">
      <c r="A2301">
        <v>220414</v>
      </c>
      <c r="B2301">
        <v>67000</v>
      </c>
      <c r="C2301" t="str">
        <f t="shared" si="35"/>
        <v>3. $50K-250K</v>
      </c>
      <c r="D2301" t="s">
        <v>854</v>
      </c>
      <c r="E2301" t="s">
        <v>237</v>
      </c>
      <c r="F2301" t="s">
        <v>670</v>
      </c>
      <c r="G2301" t="s">
        <v>59</v>
      </c>
      <c r="H2301">
        <v>2023</v>
      </c>
    </row>
    <row r="2302" spans="1:8" x14ac:dyDescent="0.2">
      <c r="A2302">
        <v>220415</v>
      </c>
      <c r="B2302">
        <v>30560</v>
      </c>
      <c r="C2302" t="str">
        <f t="shared" si="35"/>
        <v>3. $50K-250K</v>
      </c>
      <c r="D2302" t="s">
        <v>854</v>
      </c>
      <c r="E2302" t="s">
        <v>237</v>
      </c>
      <c r="F2302" t="s">
        <v>670</v>
      </c>
      <c r="G2302" t="s">
        <v>59</v>
      </c>
      <c r="H2302">
        <v>2023</v>
      </c>
    </row>
    <row r="2303" spans="1:8" x14ac:dyDescent="0.2">
      <c r="A2303">
        <v>220416</v>
      </c>
      <c r="B2303">
        <v>138000</v>
      </c>
      <c r="C2303" t="str">
        <f t="shared" si="35"/>
        <v>2. $10K-50K</v>
      </c>
      <c r="D2303" t="s">
        <v>694</v>
      </c>
      <c r="E2303" t="s">
        <v>237</v>
      </c>
      <c r="F2303" t="s">
        <v>670</v>
      </c>
      <c r="G2303" t="s">
        <v>59</v>
      </c>
      <c r="H2303">
        <v>2023</v>
      </c>
    </row>
    <row r="2304" spans="1:8" x14ac:dyDescent="0.2">
      <c r="A2304">
        <v>220417</v>
      </c>
      <c r="B2304">
        <v>36668</v>
      </c>
      <c r="C2304" t="str">
        <f t="shared" si="35"/>
        <v>3. $50K-250K</v>
      </c>
      <c r="D2304" t="s">
        <v>719</v>
      </c>
      <c r="E2304" t="s">
        <v>237</v>
      </c>
      <c r="F2304" t="s">
        <v>670</v>
      </c>
      <c r="G2304" t="s">
        <v>59</v>
      </c>
      <c r="H2304">
        <v>2023</v>
      </c>
    </row>
    <row r="2305" spans="1:8" x14ac:dyDescent="0.2">
      <c r="A2305">
        <v>220418</v>
      </c>
      <c r="B2305">
        <v>15210.6</v>
      </c>
      <c r="C2305" t="str">
        <f t="shared" si="35"/>
        <v>2. $10K-50K</v>
      </c>
      <c r="D2305" t="s">
        <v>851</v>
      </c>
      <c r="E2305" t="s">
        <v>237</v>
      </c>
      <c r="F2305" t="s">
        <v>670</v>
      </c>
      <c r="G2305" t="s">
        <v>59</v>
      </c>
      <c r="H2305">
        <v>2023</v>
      </c>
    </row>
    <row r="2306" spans="1:8" x14ac:dyDescent="0.2">
      <c r="A2306">
        <v>220419</v>
      </c>
      <c r="B2306">
        <v>69000</v>
      </c>
      <c r="C2306" t="str">
        <f t="shared" si="35"/>
        <v>2. $10K-50K</v>
      </c>
      <c r="D2306" t="s">
        <v>701</v>
      </c>
      <c r="E2306" t="s">
        <v>237</v>
      </c>
      <c r="F2306" t="s">
        <v>670</v>
      </c>
      <c r="G2306" t="s">
        <v>59</v>
      </c>
      <c r="H2306">
        <v>2023</v>
      </c>
    </row>
    <row r="2307" spans="1:8" x14ac:dyDescent="0.2">
      <c r="A2307">
        <v>220420</v>
      </c>
      <c r="B2307">
        <v>350000</v>
      </c>
      <c r="C2307" t="str">
        <f t="shared" ref="C2307:C2370" si="36">IF(B2306&lt;10000,"1. Under $10K",IF(B2306&lt;50000,"2. $10K-50K",IF(B2306&lt;250000,"3. $50K-250K",IF(B2306&lt;1000000,"4. $250K-1M","5. $1M+"))))</f>
        <v>3. $50K-250K</v>
      </c>
      <c r="D2307" t="s">
        <v>851</v>
      </c>
      <c r="E2307" t="s">
        <v>237</v>
      </c>
      <c r="F2307" t="s">
        <v>670</v>
      </c>
      <c r="G2307" t="s">
        <v>59</v>
      </c>
      <c r="H2307">
        <v>2023</v>
      </c>
    </row>
    <row r="2308" spans="1:8" x14ac:dyDescent="0.2">
      <c r="A2308">
        <v>220421</v>
      </c>
      <c r="B2308">
        <v>996730</v>
      </c>
      <c r="C2308" t="str">
        <f t="shared" si="36"/>
        <v>4. $250K-1M</v>
      </c>
      <c r="D2308" t="s">
        <v>851</v>
      </c>
      <c r="E2308" t="s">
        <v>237</v>
      </c>
      <c r="F2308" t="s">
        <v>670</v>
      </c>
      <c r="G2308" t="s">
        <v>59</v>
      </c>
      <c r="H2308">
        <v>2023</v>
      </c>
    </row>
    <row r="2309" spans="1:8" x14ac:dyDescent="0.2">
      <c r="A2309">
        <v>220422</v>
      </c>
      <c r="B2309">
        <v>109709</v>
      </c>
      <c r="C2309" t="str">
        <f t="shared" si="36"/>
        <v>4. $250K-1M</v>
      </c>
      <c r="D2309" t="s">
        <v>854</v>
      </c>
      <c r="E2309" t="s">
        <v>237</v>
      </c>
      <c r="F2309" t="s">
        <v>670</v>
      </c>
      <c r="G2309" t="s">
        <v>59</v>
      </c>
      <c r="H2309">
        <v>2023</v>
      </c>
    </row>
    <row r="2310" spans="1:8" x14ac:dyDescent="0.2">
      <c r="A2310">
        <v>220423</v>
      </c>
      <c r="B2310">
        <v>3398875</v>
      </c>
      <c r="C2310" t="str">
        <f t="shared" si="36"/>
        <v>3. $50K-250K</v>
      </c>
      <c r="D2310" t="s">
        <v>705</v>
      </c>
      <c r="E2310" t="s">
        <v>237</v>
      </c>
      <c r="F2310" t="s">
        <v>670</v>
      </c>
      <c r="G2310" t="s">
        <v>59</v>
      </c>
      <c r="H2310">
        <v>2023</v>
      </c>
    </row>
    <row r="2311" spans="1:8" x14ac:dyDescent="0.2">
      <c r="A2311">
        <v>220424</v>
      </c>
      <c r="B2311">
        <v>2244341</v>
      </c>
      <c r="C2311" t="str">
        <f t="shared" si="36"/>
        <v>5. $1M+</v>
      </c>
      <c r="D2311" t="s">
        <v>705</v>
      </c>
      <c r="E2311" t="s">
        <v>237</v>
      </c>
      <c r="F2311" t="s">
        <v>670</v>
      </c>
      <c r="G2311" t="s">
        <v>59</v>
      </c>
      <c r="H2311">
        <v>2023</v>
      </c>
    </row>
    <row r="2312" spans="1:8" x14ac:dyDescent="0.2">
      <c r="A2312">
        <v>220425</v>
      </c>
      <c r="B2312">
        <v>249999</v>
      </c>
      <c r="C2312" t="str">
        <f t="shared" si="36"/>
        <v>5. $1M+</v>
      </c>
      <c r="D2312" t="s">
        <v>507</v>
      </c>
      <c r="E2312" t="s">
        <v>237</v>
      </c>
      <c r="F2312" t="s">
        <v>670</v>
      </c>
      <c r="G2312" t="s">
        <v>59</v>
      </c>
      <c r="H2312">
        <v>2023</v>
      </c>
    </row>
    <row r="2313" spans="1:8" x14ac:dyDescent="0.2">
      <c r="A2313">
        <v>220426</v>
      </c>
      <c r="B2313">
        <v>655000</v>
      </c>
      <c r="C2313" t="str">
        <f t="shared" si="36"/>
        <v>3. $50K-250K</v>
      </c>
      <c r="D2313" t="s">
        <v>936</v>
      </c>
      <c r="E2313" t="s">
        <v>237</v>
      </c>
      <c r="F2313" t="s">
        <v>670</v>
      </c>
      <c r="G2313" t="s">
        <v>59</v>
      </c>
      <c r="H2313">
        <v>2023</v>
      </c>
    </row>
    <row r="2314" spans="1:8" x14ac:dyDescent="0.2">
      <c r="A2314">
        <v>220427</v>
      </c>
      <c r="B2314">
        <v>363257.5</v>
      </c>
      <c r="C2314" t="str">
        <f t="shared" si="36"/>
        <v>4. $250K-1M</v>
      </c>
      <c r="D2314" t="s">
        <v>706</v>
      </c>
      <c r="E2314" t="s">
        <v>237</v>
      </c>
      <c r="F2314" t="s">
        <v>670</v>
      </c>
      <c r="G2314" t="s">
        <v>59</v>
      </c>
      <c r="H2314">
        <v>2023</v>
      </c>
    </row>
    <row r="2315" spans="1:8" x14ac:dyDescent="0.2">
      <c r="A2315">
        <v>220428</v>
      </c>
      <c r="B2315">
        <v>54000</v>
      </c>
      <c r="C2315" t="str">
        <f t="shared" si="36"/>
        <v>4. $250K-1M</v>
      </c>
      <c r="D2315" t="s">
        <v>697</v>
      </c>
      <c r="E2315" t="s">
        <v>237</v>
      </c>
      <c r="F2315" t="s">
        <v>670</v>
      </c>
      <c r="G2315" t="s">
        <v>59</v>
      </c>
      <c r="H2315">
        <v>2023</v>
      </c>
    </row>
    <row r="2316" spans="1:8" x14ac:dyDescent="0.2">
      <c r="A2316">
        <v>220429</v>
      </c>
      <c r="B2316">
        <v>162000</v>
      </c>
      <c r="C2316" t="str">
        <f t="shared" si="36"/>
        <v>3. $50K-250K</v>
      </c>
      <c r="D2316" t="s">
        <v>697</v>
      </c>
      <c r="E2316" t="s">
        <v>237</v>
      </c>
      <c r="F2316" t="s">
        <v>670</v>
      </c>
      <c r="G2316" t="s">
        <v>59</v>
      </c>
      <c r="H2316">
        <v>2023</v>
      </c>
    </row>
    <row r="2317" spans="1:8" x14ac:dyDescent="0.2">
      <c r="A2317">
        <v>220430</v>
      </c>
      <c r="B2317">
        <v>54000</v>
      </c>
      <c r="C2317" t="str">
        <f t="shared" si="36"/>
        <v>3. $50K-250K</v>
      </c>
      <c r="D2317" t="s">
        <v>697</v>
      </c>
      <c r="E2317" t="s">
        <v>237</v>
      </c>
      <c r="F2317" t="s">
        <v>670</v>
      </c>
      <c r="G2317" t="s">
        <v>59</v>
      </c>
      <c r="H2317">
        <v>2023</v>
      </c>
    </row>
    <row r="2318" spans="1:8" x14ac:dyDescent="0.2">
      <c r="A2318">
        <v>220438</v>
      </c>
      <c r="B2318">
        <v>93764</v>
      </c>
      <c r="C2318" t="str">
        <f t="shared" si="36"/>
        <v>3. $50K-250K</v>
      </c>
      <c r="D2318" t="s">
        <v>945</v>
      </c>
      <c r="E2318" t="s">
        <v>99</v>
      </c>
      <c r="F2318" t="s">
        <v>670</v>
      </c>
      <c r="G2318" t="s">
        <v>59</v>
      </c>
      <c r="H2318">
        <v>2023</v>
      </c>
    </row>
    <row r="2319" spans="1:8" x14ac:dyDescent="0.2">
      <c r="A2319">
        <v>220439</v>
      </c>
      <c r="B2319">
        <v>98210</v>
      </c>
      <c r="C2319" t="str">
        <f t="shared" si="36"/>
        <v>3. $50K-250K</v>
      </c>
      <c r="D2319" t="s">
        <v>947</v>
      </c>
      <c r="E2319" t="s">
        <v>99</v>
      </c>
      <c r="F2319" t="s">
        <v>670</v>
      </c>
      <c r="G2319" t="s">
        <v>59</v>
      </c>
      <c r="H2319">
        <v>2023</v>
      </c>
    </row>
    <row r="2320" spans="1:8" x14ac:dyDescent="0.2">
      <c r="A2320">
        <v>220440</v>
      </c>
      <c r="B2320">
        <v>40302</v>
      </c>
      <c r="C2320" t="str">
        <f t="shared" si="36"/>
        <v>3. $50K-250K</v>
      </c>
      <c r="D2320" t="s">
        <v>946</v>
      </c>
      <c r="E2320" t="s">
        <v>99</v>
      </c>
      <c r="F2320" t="s">
        <v>670</v>
      </c>
      <c r="G2320" t="s">
        <v>59</v>
      </c>
      <c r="H2320">
        <v>2023</v>
      </c>
    </row>
    <row r="2321" spans="1:8" x14ac:dyDescent="0.2">
      <c r="A2321">
        <v>220463</v>
      </c>
      <c r="B2321">
        <v>138000</v>
      </c>
      <c r="C2321" t="str">
        <f t="shared" si="36"/>
        <v>2. $10K-50K</v>
      </c>
      <c r="D2321" t="s">
        <v>989</v>
      </c>
      <c r="E2321" t="s">
        <v>237</v>
      </c>
      <c r="F2321" t="s">
        <v>670</v>
      </c>
      <c r="G2321" t="s">
        <v>59</v>
      </c>
      <c r="H2321">
        <v>2023</v>
      </c>
    </row>
    <row r="2322" spans="1:8" x14ac:dyDescent="0.2">
      <c r="A2322">
        <v>220483</v>
      </c>
      <c r="B2322">
        <v>1800000</v>
      </c>
      <c r="C2322" t="str">
        <f t="shared" si="36"/>
        <v>3. $50K-250K</v>
      </c>
      <c r="D2322" t="s">
        <v>863</v>
      </c>
      <c r="E2322" t="s">
        <v>237</v>
      </c>
      <c r="F2322" t="s">
        <v>670</v>
      </c>
      <c r="G2322" t="s">
        <v>59</v>
      </c>
      <c r="H2322">
        <v>2023</v>
      </c>
    </row>
    <row r="2323" spans="1:8" x14ac:dyDescent="0.2">
      <c r="A2323">
        <v>220485</v>
      </c>
      <c r="B2323">
        <v>297000</v>
      </c>
      <c r="C2323" t="str">
        <f t="shared" si="36"/>
        <v>5. $1M+</v>
      </c>
      <c r="D2323" t="s">
        <v>697</v>
      </c>
      <c r="E2323" t="s">
        <v>237</v>
      </c>
      <c r="F2323" t="s">
        <v>670</v>
      </c>
      <c r="G2323" t="s">
        <v>59</v>
      </c>
      <c r="H2323">
        <v>2023</v>
      </c>
    </row>
    <row r="2324" spans="1:8" x14ac:dyDescent="0.2">
      <c r="A2324">
        <v>220487</v>
      </c>
      <c r="B2324">
        <v>54000</v>
      </c>
      <c r="C2324" t="str">
        <f t="shared" si="36"/>
        <v>4. $250K-1M</v>
      </c>
      <c r="D2324" t="s">
        <v>1084</v>
      </c>
      <c r="E2324" t="s">
        <v>237</v>
      </c>
      <c r="F2324" t="s">
        <v>670</v>
      </c>
      <c r="G2324" t="s">
        <v>59</v>
      </c>
      <c r="H2324">
        <v>2023</v>
      </c>
    </row>
    <row r="2325" spans="1:8" x14ac:dyDescent="0.2">
      <c r="A2325">
        <v>220488</v>
      </c>
      <c r="B2325">
        <v>514756</v>
      </c>
      <c r="C2325" t="str">
        <f t="shared" si="36"/>
        <v>3. $50K-250K</v>
      </c>
      <c r="D2325" t="s">
        <v>838</v>
      </c>
      <c r="E2325" t="s">
        <v>237</v>
      </c>
      <c r="F2325" t="s">
        <v>670</v>
      </c>
      <c r="G2325" t="s">
        <v>59</v>
      </c>
      <c r="H2325">
        <v>2023</v>
      </c>
    </row>
    <row r="2326" spans="1:8" x14ac:dyDescent="0.2">
      <c r="A2326">
        <v>220489</v>
      </c>
      <c r="B2326">
        <v>62911</v>
      </c>
      <c r="C2326" t="str">
        <f t="shared" si="36"/>
        <v>4. $250K-1M</v>
      </c>
      <c r="D2326" t="s">
        <v>925</v>
      </c>
      <c r="E2326" t="s">
        <v>99</v>
      </c>
      <c r="F2326" t="s">
        <v>670</v>
      </c>
      <c r="G2326" t="s">
        <v>59</v>
      </c>
      <c r="H2326">
        <v>2023</v>
      </c>
    </row>
    <row r="2327" spans="1:8" x14ac:dyDescent="0.2">
      <c r="A2327">
        <v>220490</v>
      </c>
      <c r="B2327">
        <v>507570.6</v>
      </c>
      <c r="C2327" t="str">
        <f t="shared" si="36"/>
        <v>3. $50K-250K</v>
      </c>
      <c r="D2327" t="s">
        <v>707</v>
      </c>
      <c r="E2327" t="s">
        <v>237</v>
      </c>
      <c r="F2327" t="s">
        <v>670</v>
      </c>
      <c r="G2327" t="s">
        <v>59</v>
      </c>
      <c r="H2327">
        <v>2023</v>
      </c>
    </row>
    <row r="2328" spans="1:8" x14ac:dyDescent="0.2">
      <c r="A2328">
        <v>220491</v>
      </c>
      <c r="B2328">
        <v>608264.4</v>
      </c>
      <c r="C2328" t="str">
        <f t="shared" si="36"/>
        <v>4. $250K-1M</v>
      </c>
      <c r="D2328" t="s">
        <v>707</v>
      </c>
      <c r="E2328" t="s">
        <v>237</v>
      </c>
      <c r="F2328" t="s">
        <v>670</v>
      </c>
      <c r="G2328" t="s">
        <v>59</v>
      </c>
      <c r="H2328">
        <v>2023</v>
      </c>
    </row>
    <row r="2329" spans="1:8" x14ac:dyDescent="0.2">
      <c r="A2329">
        <v>220492</v>
      </c>
      <c r="B2329">
        <v>250098</v>
      </c>
      <c r="C2329" t="str">
        <f t="shared" si="36"/>
        <v>4. $250K-1M</v>
      </c>
      <c r="D2329" t="s">
        <v>875</v>
      </c>
      <c r="E2329" t="s">
        <v>237</v>
      </c>
      <c r="F2329" t="s">
        <v>670</v>
      </c>
      <c r="G2329" t="s">
        <v>59</v>
      </c>
      <c r="H2329">
        <v>2023</v>
      </c>
    </row>
    <row r="2330" spans="1:8" x14ac:dyDescent="0.2">
      <c r="A2330">
        <v>220493</v>
      </c>
      <c r="B2330">
        <v>108900</v>
      </c>
      <c r="C2330" t="str">
        <f t="shared" si="36"/>
        <v>4. $250K-1M</v>
      </c>
      <c r="D2330" t="s">
        <v>872</v>
      </c>
      <c r="E2330" t="s">
        <v>237</v>
      </c>
      <c r="F2330" t="s">
        <v>670</v>
      </c>
      <c r="G2330" t="s">
        <v>59</v>
      </c>
      <c r="H2330">
        <v>2023</v>
      </c>
    </row>
    <row r="2331" spans="1:8" x14ac:dyDescent="0.2">
      <c r="A2331">
        <v>220495</v>
      </c>
      <c r="B2331">
        <v>351657</v>
      </c>
      <c r="C2331" t="str">
        <f t="shared" si="36"/>
        <v>3. $50K-250K</v>
      </c>
      <c r="D2331" t="s">
        <v>721</v>
      </c>
      <c r="E2331" t="s">
        <v>237</v>
      </c>
      <c r="F2331" t="s">
        <v>670</v>
      </c>
      <c r="G2331" t="s">
        <v>59</v>
      </c>
      <c r="H2331">
        <v>2023</v>
      </c>
    </row>
    <row r="2332" spans="1:8" x14ac:dyDescent="0.2">
      <c r="A2332">
        <v>220496</v>
      </c>
      <c r="B2332">
        <v>25900</v>
      </c>
      <c r="C2332" t="str">
        <f t="shared" si="36"/>
        <v>4. $250K-1M</v>
      </c>
      <c r="D2332" t="s">
        <v>855</v>
      </c>
      <c r="E2332" t="s">
        <v>237</v>
      </c>
      <c r="F2332" t="s">
        <v>670</v>
      </c>
      <c r="G2332" t="s">
        <v>59</v>
      </c>
      <c r="H2332">
        <v>2023</v>
      </c>
    </row>
    <row r="2333" spans="1:8" x14ac:dyDescent="0.2">
      <c r="A2333">
        <v>220497</v>
      </c>
      <c r="B2333">
        <v>1</v>
      </c>
      <c r="C2333" t="str">
        <f t="shared" si="36"/>
        <v>2. $10K-50K</v>
      </c>
      <c r="D2333" t="s">
        <v>863</v>
      </c>
      <c r="E2333" t="s">
        <v>237</v>
      </c>
      <c r="F2333" t="s">
        <v>670</v>
      </c>
      <c r="G2333" t="s">
        <v>59</v>
      </c>
      <c r="H2333">
        <v>2023</v>
      </c>
    </row>
    <row r="2334" spans="1:8" x14ac:dyDescent="0.2">
      <c r="A2334">
        <v>220498</v>
      </c>
      <c r="B2334">
        <v>24768.400000000001</v>
      </c>
      <c r="C2334" t="str">
        <f t="shared" si="36"/>
        <v>1. Under $10K</v>
      </c>
      <c r="D2334" t="s">
        <v>693</v>
      </c>
      <c r="E2334" t="s">
        <v>237</v>
      </c>
      <c r="F2334" t="s">
        <v>670</v>
      </c>
      <c r="G2334" t="s">
        <v>59</v>
      </c>
      <c r="H2334">
        <v>2023</v>
      </c>
    </row>
    <row r="2335" spans="1:8" x14ac:dyDescent="0.2">
      <c r="A2335">
        <v>220499</v>
      </c>
      <c r="B2335">
        <v>69000</v>
      </c>
      <c r="C2335" t="str">
        <f t="shared" si="36"/>
        <v>2. $10K-50K</v>
      </c>
      <c r="D2335" t="s">
        <v>1093</v>
      </c>
      <c r="E2335" t="s">
        <v>237</v>
      </c>
      <c r="F2335" t="s">
        <v>670</v>
      </c>
      <c r="G2335" t="s">
        <v>59</v>
      </c>
      <c r="H2335">
        <v>2023</v>
      </c>
    </row>
    <row r="2336" spans="1:8" x14ac:dyDescent="0.2">
      <c r="A2336">
        <v>220500</v>
      </c>
      <c r="B2336">
        <v>69000</v>
      </c>
      <c r="C2336" t="str">
        <f t="shared" si="36"/>
        <v>3. $50K-250K</v>
      </c>
      <c r="D2336" t="s">
        <v>1176</v>
      </c>
      <c r="E2336" t="s">
        <v>237</v>
      </c>
      <c r="F2336" t="s">
        <v>670</v>
      </c>
      <c r="G2336" t="s">
        <v>59</v>
      </c>
      <c r="H2336">
        <v>2023</v>
      </c>
    </row>
    <row r="2337" spans="1:8" x14ac:dyDescent="0.2">
      <c r="A2337">
        <v>220501</v>
      </c>
      <c r="B2337">
        <v>54445</v>
      </c>
      <c r="C2337" t="str">
        <f t="shared" si="36"/>
        <v>3. $50K-250K</v>
      </c>
      <c r="D2337" t="s">
        <v>929</v>
      </c>
      <c r="E2337" t="s">
        <v>237</v>
      </c>
      <c r="F2337" t="s">
        <v>670</v>
      </c>
      <c r="G2337" t="s">
        <v>59</v>
      </c>
      <c r="H2337">
        <v>2023</v>
      </c>
    </row>
    <row r="2338" spans="1:8" x14ac:dyDescent="0.2">
      <c r="A2338">
        <v>220502</v>
      </c>
      <c r="B2338">
        <v>80000</v>
      </c>
      <c r="C2338" t="str">
        <f t="shared" si="36"/>
        <v>3. $50K-250K</v>
      </c>
      <c r="D2338" t="s">
        <v>1217</v>
      </c>
      <c r="E2338" t="s">
        <v>237</v>
      </c>
      <c r="F2338" t="s">
        <v>670</v>
      </c>
      <c r="G2338" t="s">
        <v>59</v>
      </c>
      <c r="H2338">
        <v>2023</v>
      </c>
    </row>
    <row r="2339" spans="1:8" x14ac:dyDescent="0.2">
      <c r="A2339">
        <v>220503</v>
      </c>
      <c r="B2339">
        <v>423347.20000000001</v>
      </c>
      <c r="C2339" t="str">
        <f t="shared" si="36"/>
        <v>3. $50K-250K</v>
      </c>
      <c r="D2339" t="s">
        <v>695</v>
      </c>
      <c r="E2339" t="s">
        <v>237</v>
      </c>
      <c r="F2339" t="s">
        <v>670</v>
      </c>
      <c r="G2339" t="s">
        <v>59</v>
      </c>
      <c r="H2339">
        <v>2023</v>
      </c>
    </row>
    <row r="2340" spans="1:8" x14ac:dyDescent="0.2">
      <c r="A2340">
        <v>220506</v>
      </c>
      <c r="B2340">
        <v>37500</v>
      </c>
      <c r="C2340" t="str">
        <f t="shared" si="36"/>
        <v>4. $250K-1M</v>
      </c>
      <c r="D2340" t="s">
        <v>991</v>
      </c>
      <c r="E2340" t="s">
        <v>99</v>
      </c>
      <c r="F2340" t="s">
        <v>670</v>
      </c>
      <c r="G2340" t="s">
        <v>59</v>
      </c>
      <c r="H2340">
        <v>2023</v>
      </c>
    </row>
    <row r="2341" spans="1:8" x14ac:dyDescent="0.2">
      <c r="A2341">
        <v>220522</v>
      </c>
      <c r="B2341">
        <v>29913</v>
      </c>
      <c r="C2341" t="str">
        <f t="shared" si="36"/>
        <v>2. $10K-50K</v>
      </c>
      <c r="D2341" t="s">
        <v>1475</v>
      </c>
      <c r="E2341" t="s">
        <v>207</v>
      </c>
      <c r="F2341" t="s">
        <v>1476</v>
      </c>
      <c r="G2341" t="s">
        <v>59</v>
      </c>
      <c r="H2341">
        <v>2023</v>
      </c>
    </row>
    <row r="2342" spans="1:8" x14ac:dyDescent="0.2">
      <c r="A2342">
        <v>220523</v>
      </c>
      <c r="B2342">
        <v>66944.800000000003</v>
      </c>
      <c r="C2342" t="str">
        <f t="shared" si="36"/>
        <v>2. $10K-50K</v>
      </c>
      <c r="D2342" t="s">
        <v>908</v>
      </c>
      <c r="E2342" t="s">
        <v>237</v>
      </c>
      <c r="F2342" t="s">
        <v>670</v>
      </c>
      <c r="G2342" t="s">
        <v>59</v>
      </c>
      <c r="H2342">
        <v>2023</v>
      </c>
    </row>
    <row r="2343" spans="1:8" x14ac:dyDescent="0.2">
      <c r="A2343">
        <v>220524</v>
      </c>
      <c r="B2343">
        <v>875000</v>
      </c>
      <c r="C2343" t="str">
        <f t="shared" si="36"/>
        <v>3. $50K-250K</v>
      </c>
      <c r="D2343" t="s">
        <v>883</v>
      </c>
      <c r="E2343" t="s">
        <v>237</v>
      </c>
      <c r="F2343" t="s">
        <v>670</v>
      </c>
      <c r="G2343" t="s">
        <v>59</v>
      </c>
      <c r="H2343">
        <v>2023</v>
      </c>
    </row>
    <row r="2344" spans="1:8" x14ac:dyDescent="0.2">
      <c r="A2344">
        <v>220526</v>
      </c>
      <c r="B2344">
        <v>59385</v>
      </c>
      <c r="C2344" t="str">
        <f t="shared" si="36"/>
        <v>4. $250K-1M</v>
      </c>
      <c r="D2344" t="s">
        <v>936</v>
      </c>
      <c r="E2344" t="s">
        <v>237</v>
      </c>
      <c r="F2344" t="s">
        <v>670</v>
      </c>
      <c r="G2344" t="s">
        <v>59</v>
      </c>
      <c r="H2344">
        <v>2023</v>
      </c>
    </row>
    <row r="2345" spans="1:8" x14ac:dyDescent="0.2">
      <c r="A2345">
        <v>220527</v>
      </c>
      <c r="B2345">
        <v>875000</v>
      </c>
      <c r="C2345" t="str">
        <f t="shared" si="36"/>
        <v>3. $50K-250K</v>
      </c>
      <c r="D2345" t="s">
        <v>1360</v>
      </c>
      <c r="E2345" t="s">
        <v>237</v>
      </c>
      <c r="F2345" t="s">
        <v>670</v>
      </c>
      <c r="G2345" t="s">
        <v>59</v>
      </c>
      <c r="H2345">
        <v>2023</v>
      </c>
    </row>
    <row r="2346" spans="1:8" x14ac:dyDescent="0.2">
      <c r="A2346">
        <v>220528</v>
      </c>
      <c r="B2346">
        <v>48458.9</v>
      </c>
      <c r="C2346" t="str">
        <f t="shared" si="36"/>
        <v>4. $250K-1M</v>
      </c>
      <c r="D2346" t="s">
        <v>914</v>
      </c>
      <c r="E2346" t="s">
        <v>237</v>
      </c>
      <c r="F2346" t="s">
        <v>670</v>
      </c>
      <c r="G2346" t="s">
        <v>59</v>
      </c>
      <c r="H2346">
        <v>2023</v>
      </c>
    </row>
    <row r="2347" spans="1:8" x14ac:dyDescent="0.2">
      <c r="A2347">
        <v>220529</v>
      </c>
      <c r="B2347">
        <v>65608</v>
      </c>
      <c r="C2347" t="str">
        <f t="shared" si="36"/>
        <v>2. $10K-50K</v>
      </c>
      <c r="D2347" t="s">
        <v>726</v>
      </c>
      <c r="E2347" t="s">
        <v>237</v>
      </c>
      <c r="F2347" t="s">
        <v>670</v>
      </c>
      <c r="G2347" t="s">
        <v>59</v>
      </c>
      <c r="H2347">
        <v>2023</v>
      </c>
    </row>
    <row r="2348" spans="1:8" x14ac:dyDescent="0.2">
      <c r="A2348">
        <v>220530</v>
      </c>
      <c r="B2348">
        <v>875000</v>
      </c>
      <c r="C2348" t="str">
        <f t="shared" si="36"/>
        <v>3. $50K-250K</v>
      </c>
      <c r="D2348" t="s">
        <v>762</v>
      </c>
      <c r="E2348" t="s">
        <v>237</v>
      </c>
      <c r="F2348" t="s">
        <v>670</v>
      </c>
      <c r="G2348" t="s">
        <v>59</v>
      </c>
      <c r="H2348">
        <v>2023</v>
      </c>
    </row>
    <row r="2349" spans="1:8" x14ac:dyDescent="0.2">
      <c r="A2349">
        <v>220531</v>
      </c>
      <c r="B2349">
        <v>875000</v>
      </c>
      <c r="C2349" t="str">
        <f t="shared" si="36"/>
        <v>4. $250K-1M</v>
      </c>
      <c r="D2349" t="s">
        <v>782</v>
      </c>
      <c r="E2349" t="s">
        <v>237</v>
      </c>
      <c r="F2349" t="s">
        <v>670</v>
      </c>
      <c r="G2349" t="s">
        <v>59</v>
      </c>
      <c r="H2349">
        <v>2023</v>
      </c>
    </row>
    <row r="2350" spans="1:8" x14ac:dyDescent="0.2">
      <c r="A2350">
        <v>220532</v>
      </c>
      <c r="B2350">
        <v>875000</v>
      </c>
      <c r="C2350" t="str">
        <f t="shared" si="36"/>
        <v>4. $250K-1M</v>
      </c>
      <c r="D2350" t="s">
        <v>707</v>
      </c>
      <c r="E2350" t="s">
        <v>237</v>
      </c>
      <c r="F2350" t="s">
        <v>670</v>
      </c>
      <c r="G2350" t="s">
        <v>59</v>
      </c>
      <c r="H2350">
        <v>2023</v>
      </c>
    </row>
    <row r="2351" spans="1:8" x14ac:dyDescent="0.2">
      <c r="A2351">
        <v>220533</v>
      </c>
      <c r="B2351">
        <v>225000</v>
      </c>
      <c r="C2351" t="str">
        <f t="shared" si="36"/>
        <v>4. $250K-1M</v>
      </c>
      <c r="D2351" t="s">
        <v>1477</v>
      </c>
      <c r="E2351" t="s">
        <v>42</v>
      </c>
      <c r="F2351" t="s">
        <v>668</v>
      </c>
      <c r="G2351" t="s">
        <v>59</v>
      </c>
      <c r="H2351">
        <v>2023</v>
      </c>
    </row>
    <row r="2352" spans="1:8" x14ac:dyDescent="0.2">
      <c r="A2352">
        <v>220534</v>
      </c>
      <c r="B2352">
        <v>87201.8</v>
      </c>
      <c r="C2352" t="str">
        <f t="shared" si="36"/>
        <v>3. $50K-250K</v>
      </c>
      <c r="D2352" t="s">
        <v>917</v>
      </c>
      <c r="E2352" t="s">
        <v>237</v>
      </c>
      <c r="F2352" t="s">
        <v>670</v>
      </c>
      <c r="G2352" t="s">
        <v>59</v>
      </c>
      <c r="H2352">
        <v>2023</v>
      </c>
    </row>
    <row r="2353" spans="1:8" x14ac:dyDescent="0.2">
      <c r="A2353">
        <v>220535</v>
      </c>
      <c r="B2353">
        <v>875000</v>
      </c>
      <c r="C2353" t="str">
        <f t="shared" si="36"/>
        <v>3. $50K-250K</v>
      </c>
      <c r="D2353" t="s">
        <v>800</v>
      </c>
      <c r="E2353" t="s">
        <v>237</v>
      </c>
      <c r="F2353" t="s">
        <v>670</v>
      </c>
      <c r="G2353" t="s">
        <v>59</v>
      </c>
      <c r="H2353">
        <v>2023</v>
      </c>
    </row>
    <row r="2354" spans="1:8" x14ac:dyDescent="0.2">
      <c r="A2354">
        <v>220536</v>
      </c>
      <c r="B2354">
        <v>1750000</v>
      </c>
      <c r="C2354" t="str">
        <f t="shared" si="36"/>
        <v>4. $250K-1M</v>
      </c>
      <c r="D2354" t="s">
        <v>1478</v>
      </c>
      <c r="E2354" t="s">
        <v>237</v>
      </c>
      <c r="F2354" t="s">
        <v>670</v>
      </c>
      <c r="G2354" t="s">
        <v>59</v>
      </c>
      <c r="H2354">
        <v>2023</v>
      </c>
    </row>
    <row r="2355" spans="1:8" x14ac:dyDescent="0.2">
      <c r="A2355">
        <v>220537</v>
      </c>
      <c r="B2355">
        <v>204538</v>
      </c>
      <c r="C2355" t="str">
        <f t="shared" si="36"/>
        <v>5. $1M+</v>
      </c>
      <c r="D2355" t="s">
        <v>877</v>
      </c>
      <c r="E2355" t="s">
        <v>237</v>
      </c>
      <c r="F2355" t="s">
        <v>670</v>
      </c>
      <c r="G2355" t="s">
        <v>59</v>
      </c>
      <c r="H2355">
        <v>2023</v>
      </c>
    </row>
    <row r="2356" spans="1:8" x14ac:dyDescent="0.2">
      <c r="A2356">
        <v>220538</v>
      </c>
      <c r="B2356">
        <v>734576.2</v>
      </c>
      <c r="C2356" t="str">
        <f t="shared" si="36"/>
        <v>3. $50K-250K</v>
      </c>
      <c r="D2356" t="s">
        <v>852</v>
      </c>
      <c r="E2356" t="s">
        <v>237</v>
      </c>
      <c r="F2356" t="s">
        <v>670</v>
      </c>
      <c r="G2356" t="s">
        <v>59</v>
      </c>
      <c r="H2356">
        <v>2023</v>
      </c>
    </row>
    <row r="2357" spans="1:8" x14ac:dyDescent="0.2">
      <c r="A2357">
        <v>220539</v>
      </c>
      <c r="B2357">
        <v>851402.5</v>
      </c>
      <c r="C2357" t="str">
        <f t="shared" si="36"/>
        <v>4. $250K-1M</v>
      </c>
      <c r="D2357" t="s">
        <v>904</v>
      </c>
      <c r="E2357" t="s">
        <v>891</v>
      </c>
      <c r="F2357" t="s">
        <v>670</v>
      </c>
      <c r="G2357" t="s">
        <v>59</v>
      </c>
      <c r="H2357">
        <v>2023</v>
      </c>
    </row>
    <row r="2358" spans="1:8" x14ac:dyDescent="0.2">
      <c r="A2358">
        <v>220540</v>
      </c>
      <c r="B2358">
        <v>136468</v>
      </c>
      <c r="C2358" t="str">
        <f t="shared" si="36"/>
        <v>4. $250K-1M</v>
      </c>
      <c r="D2358" t="s">
        <v>932</v>
      </c>
      <c r="E2358" t="s">
        <v>237</v>
      </c>
      <c r="F2358" t="s">
        <v>670</v>
      </c>
      <c r="G2358" t="s">
        <v>59</v>
      </c>
      <c r="H2358">
        <v>2023</v>
      </c>
    </row>
    <row r="2359" spans="1:8" x14ac:dyDescent="0.2">
      <c r="A2359">
        <v>220585</v>
      </c>
      <c r="B2359">
        <v>69847.399999999994</v>
      </c>
      <c r="C2359" t="str">
        <f t="shared" si="36"/>
        <v>3. $50K-250K</v>
      </c>
      <c r="D2359" t="s">
        <v>726</v>
      </c>
      <c r="E2359" t="s">
        <v>237</v>
      </c>
      <c r="F2359" t="s">
        <v>670</v>
      </c>
      <c r="G2359" t="s">
        <v>59</v>
      </c>
      <c r="H2359">
        <v>2023</v>
      </c>
    </row>
    <row r="2360" spans="1:8" x14ac:dyDescent="0.2">
      <c r="A2360">
        <v>220602</v>
      </c>
      <c r="B2360">
        <v>140778.1</v>
      </c>
      <c r="C2360" t="str">
        <f t="shared" si="36"/>
        <v>3. $50K-250K</v>
      </c>
      <c r="D2360" t="s">
        <v>781</v>
      </c>
      <c r="E2360" t="s">
        <v>42</v>
      </c>
      <c r="F2360" t="s">
        <v>670</v>
      </c>
      <c r="G2360" t="s">
        <v>59</v>
      </c>
      <c r="H2360">
        <v>2023</v>
      </c>
    </row>
    <row r="2361" spans="1:8" x14ac:dyDescent="0.2">
      <c r="A2361">
        <v>220603</v>
      </c>
      <c r="B2361">
        <v>188274.3</v>
      </c>
      <c r="C2361" t="str">
        <f t="shared" si="36"/>
        <v>3. $50K-250K</v>
      </c>
      <c r="D2361" t="s">
        <v>783</v>
      </c>
      <c r="E2361" t="s">
        <v>42</v>
      </c>
      <c r="F2361" t="s">
        <v>670</v>
      </c>
      <c r="G2361" t="s">
        <v>59</v>
      </c>
      <c r="H2361">
        <v>2023</v>
      </c>
    </row>
    <row r="2362" spans="1:8" x14ac:dyDescent="0.2">
      <c r="A2362">
        <v>220739</v>
      </c>
      <c r="B2362">
        <v>39188.1</v>
      </c>
      <c r="C2362" t="str">
        <f t="shared" si="36"/>
        <v>3. $50K-250K</v>
      </c>
      <c r="D2362" t="s">
        <v>230</v>
      </c>
      <c r="E2362" t="s">
        <v>69</v>
      </c>
      <c r="F2362" t="s">
        <v>231</v>
      </c>
      <c r="G2362" t="s">
        <v>59</v>
      </c>
      <c r="H2362">
        <v>2023</v>
      </c>
    </row>
    <row r="2363" spans="1:8" x14ac:dyDescent="0.2">
      <c r="A2363">
        <v>220740</v>
      </c>
      <c r="B2363">
        <v>890662.2</v>
      </c>
      <c r="C2363" t="str">
        <f t="shared" si="36"/>
        <v>2. $10K-50K</v>
      </c>
      <c r="D2363" t="s">
        <v>230</v>
      </c>
      <c r="E2363" t="s">
        <v>69</v>
      </c>
      <c r="F2363" t="s">
        <v>231</v>
      </c>
      <c r="G2363" t="s">
        <v>59</v>
      </c>
      <c r="H2363">
        <v>2023</v>
      </c>
    </row>
    <row r="2364" spans="1:8" x14ac:dyDescent="0.2">
      <c r="A2364">
        <v>220769</v>
      </c>
      <c r="B2364">
        <v>225000</v>
      </c>
      <c r="C2364" t="str">
        <f t="shared" si="36"/>
        <v>4. $250K-1M</v>
      </c>
      <c r="D2364" t="s">
        <v>1073</v>
      </c>
      <c r="E2364" t="s">
        <v>42</v>
      </c>
      <c r="F2364" t="s">
        <v>670</v>
      </c>
      <c r="G2364" t="s">
        <v>59</v>
      </c>
      <c r="H2364">
        <v>2023</v>
      </c>
    </row>
    <row r="2365" spans="1:8" x14ac:dyDescent="0.2">
      <c r="A2365">
        <v>220776</v>
      </c>
      <c r="B2365">
        <v>39974.800000000003</v>
      </c>
      <c r="C2365" t="str">
        <f t="shared" si="36"/>
        <v>3. $50K-250K</v>
      </c>
      <c r="D2365" t="s">
        <v>671</v>
      </c>
      <c r="E2365" t="s">
        <v>237</v>
      </c>
      <c r="F2365" t="s">
        <v>670</v>
      </c>
      <c r="G2365" t="s">
        <v>59</v>
      </c>
      <c r="H2365">
        <v>2023</v>
      </c>
    </row>
    <row r="2366" spans="1:8" x14ac:dyDescent="0.2">
      <c r="A2366">
        <v>220788</v>
      </c>
      <c r="B2366">
        <v>40190</v>
      </c>
      <c r="C2366" t="str">
        <f t="shared" si="36"/>
        <v>2. $10K-50K</v>
      </c>
      <c r="D2366" t="s">
        <v>1385</v>
      </c>
      <c r="E2366" t="s">
        <v>99</v>
      </c>
      <c r="F2366" t="s">
        <v>670</v>
      </c>
      <c r="G2366" t="s">
        <v>59</v>
      </c>
      <c r="H2366">
        <v>2023</v>
      </c>
    </row>
    <row r="2367" spans="1:8" x14ac:dyDescent="0.2">
      <c r="A2367">
        <v>220790</v>
      </c>
      <c r="B2367">
        <v>172100.2</v>
      </c>
      <c r="C2367" t="str">
        <f t="shared" si="36"/>
        <v>2. $10K-50K</v>
      </c>
      <c r="D2367" t="s">
        <v>781</v>
      </c>
      <c r="E2367" t="s">
        <v>42</v>
      </c>
      <c r="F2367" t="s">
        <v>670</v>
      </c>
      <c r="G2367" t="s">
        <v>59</v>
      </c>
      <c r="H2367">
        <v>2023</v>
      </c>
    </row>
    <row r="2368" spans="1:8" x14ac:dyDescent="0.2">
      <c r="A2368">
        <v>220791</v>
      </c>
      <c r="B2368">
        <v>7658506.0999999996</v>
      </c>
      <c r="C2368" t="str">
        <f t="shared" si="36"/>
        <v>3. $50K-250K</v>
      </c>
      <c r="D2368" t="s">
        <v>80</v>
      </c>
      <c r="E2368" t="s">
        <v>8</v>
      </c>
      <c r="F2368" t="s">
        <v>9</v>
      </c>
      <c r="G2368" t="s">
        <v>10</v>
      </c>
      <c r="H2368">
        <v>2023</v>
      </c>
    </row>
    <row r="2369" spans="1:8" x14ac:dyDescent="0.2">
      <c r="A2369">
        <v>220794</v>
      </c>
      <c r="B2369">
        <v>5000</v>
      </c>
      <c r="C2369" t="str">
        <f t="shared" si="36"/>
        <v>5. $1M+</v>
      </c>
      <c r="D2369" t="s">
        <v>1479</v>
      </c>
      <c r="E2369" t="s">
        <v>112</v>
      </c>
      <c r="F2369" t="s">
        <v>668</v>
      </c>
      <c r="G2369" t="s">
        <v>59</v>
      </c>
      <c r="H2369">
        <v>2023</v>
      </c>
    </row>
    <row r="2370" spans="1:8" x14ac:dyDescent="0.2">
      <c r="A2370">
        <v>220796</v>
      </c>
      <c r="B2370">
        <v>50000</v>
      </c>
      <c r="C2370" t="str">
        <f t="shared" si="36"/>
        <v>1. Under $10K</v>
      </c>
      <c r="D2370" t="s">
        <v>1332</v>
      </c>
      <c r="E2370" t="s">
        <v>112</v>
      </c>
      <c r="F2370" t="s">
        <v>668</v>
      </c>
      <c r="G2370" t="s">
        <v>59</v>
      </c>
      <c r="H2370">
        <v>2023</v>
      </c>
    </row>
    <row r="2371" spans="1:8" x14ac:dyDescent="0.2">
      <c r="A2371">
        <v>220798</v>
      </c>
      <c r="B2371">
        <v>50000</v>
      </c>
      <c r="C2371" t="str">
        <f t="shared" ref="C2371:C2434" si="37">IF(B2370&lt;10000,"1. Under $10K",IF(B2370&lt;50000,"2. $10K-50K",IF(B2370&lt;250000,"3. $50K-250K",IF(B2370&lt;1000000,"4. $250K-1M","5. $1M+"))))</f>
        <v>3. $50K-250K</v>
      </c>
      <c r="D2371" t="s">
        <v>1480</v>
      </c>
      <c r="E2371" t="s">
        <v>112</v>
      </c>
      <c r="F2371" t="s">
        <v>668</v>
      </c>
      <c r="G2371" t="s">
        <v>59</v>
      </c>
      <c r="H2371">
        <v>2023</v>
      </c>
    </row>
    <row r="2372" spans="1:8" x14ac:dyDescent="0.2">
      <c r="A2372">
        <v>220799</v>
      </c>
      <c r="B2372">
        <v>14000</v>
      </c>
      <c r="C2372" t="str">
        <f t="shared" si="37"/>
        <v>3. $50K-250K</v>
      </c>
      <c r="D2372" t="s">
        <v>822</v>
      </c>
      <c r="E2372" t="s">
        <v>112</v>
      </c>
      <c r="F2372" t="s">
        <v>668</v>
      </c>
      <c r="G2372" t="s">
        <v>59</v>
      </c>
      <c r="H2372">
        <v>2023</v>
      </c>
    </row>
    <row r="2373" spans="1:8" x14ac:dyDescent="0.2">
      <c r="A2373">
        <v>220800</v>
      </c>
      <c r="B2373">
        <v>215000</v>
      </c>
      <c r="C2373" t="str">
        <f t="shared" si="37"/>
        <v>2. $10K-50K</v>
      </c>
      <c r="D2373" t="s">
        <v>1481</v>
      </c>
      <c r="E2373" t="s">
        <v>99</v>
      </c>
      <c r="F2373" t="s">
        <v>668</v>
      </c>
      <c r="G2373" t="s">
        <v>59</v>
      </c>
      <c r="H2373">
        <v>2023</v>
      </c>
    </row>
    <row r="2374" spans="1:8" x14ac:dyDescent="0.2">
      <c r="A2374">
        <v>220801</v>
      </c>
      <c r="B2374">
        <v>69000</v>
      </c>
      <c r="C2374" t="str">
        <f t="shared" si="37"/>
        <v>3. $50K-250K</v>
      </c>
      <c r="D2374" t="s">
        <v>919</v>
      </c>
      <c r="E2374" t="s">
        <v>237</v>
      </c>
      <c r="F2374" t="s">
        <v>670</v>
      </c>
      <c r="G2374" t="s">
        <v>59</v>
      </c>
      <c r="H2374">
        <v>2023</v>
      </c>
    </row>
    <row r="2375" spans="1:8" x14ac:dyDescent="0.2">
      <c r="A2375">
        <v>220802</v>
      </c>
      <c r="B2375">
        <v>668279.19999999995</v>
      </c>
      <c r="C2375" t="str">
        <f t="shared" si="37"/>
        <v>3. $50K-250K</v>
      </c>
      <c r="D2375" t="s">
        <v>702</v>
      </c>
      <c r="E2375" t="s">
        <v>237</v>
      </c>
      <c r="F2375" t="s">
        <v>670</v>
      </c>
      <c r="G2375" t="s">
        <v>59</v>
      </c>
      <c r="H2375">
        <v>2023</v>
      </c>
    </row>
    <row r="2376" spans="1:8" x14ac:dyDescent="0.2">
      <c r="A2376">
        <v>220803</v>
      </c>
      <c r="B2376">
        <v>3436271</v>
      </c>
      <c r="C2376" t="str">
        <f t="shared" si="37"/>
        <v>4. $250K-1M</v>
      </c>
      <c r="D2376" t="s">
        <v>704</v>
      </c>
      <c r="E2376" t="s">
        <v>237</v>
      </c>
      <c r="F2376" t="s">
        <v>670</v>
      </c>
      <c r="G2376" t="s">
        <v>59</v>
      </c>
      <c r="H2376">
        <v>2023</v>
      </c>
    </row>
    <row r="2377" spans="1:8" x14ac:dyDescent="0.2">
      <c r="A2377">
        <v>220804</v>
      </c>
      <c r="B2377">
        <v>987256</v>
      </c>
      <c r="C2377" t="str">
        <f t="shared" si="37"/>
        <v>5. $1M+</v>
      </c>
      <c r="D2377" t="s">
        <v>709</v>
      </c>
      <c r="E2377" t="s">
        <v>237</v>
      </c>
      <c r="F2377" t="s">
        <v>670</v>
      </c>
      <c r="G2377" t="s">
        <v>59</v>
      </c>
      <c r="H2377">
        <v>2023</v>
      </c>
    </row>
    <row r="2378" spans="1:8" x14ac:dyDescent="0.2">
      <c r="A2378">
        <v>220805</v>
      </c>
      <c r="B2378">
        <v>240431.5</v>
      </c>
      <c r="C2378" t="str">
        <f t="shared" si="37"/>
        <v>4. $250K-1M</v>
      </c>
      <c r="D2378" t="s">
        <v>875</v>
      </c>
      <c r="E2378" t="s">
        <v>237</v>
      </c>
      <c r="F2378" t="s">
        <v>670</v>
      </c>
      <c r="G2378" t="s">
        <v>59</v>
      </c>
      <c r="H2378">
        <v>2023</v>
      </c>
    </row>
    <row r="2379" spans="1:8" x14ac:dyDescent="0.2">
      <c r="A2379">
        <v>220806</v>
      </c>
      <c r="B2379">
        <v>121000</v>
      </c>
      <c r="C2379" t="str">
        <f t="shared" si="37"/>
        <v>3. $50K-250K</v>
      </c>
      <c r="D2379" t="s">
        <v>885</v>
      </c>
      <c r="E2379" t="s">
        <v>237</v>
      </c>
      <c r="F2379" t="s">
        <v>670</v>
      </c>
      <c r="G2379" t="s">
        <v>59</v>
      </c>
      <c r="H2379">
        <v>2023</v>
      </c>
    </row>
    <row r="2380" spans="1:8" x14ac:dyDescent="0.2">
      <c r="A2380">
        <v>220807</v>
      </c>
      <c r="B2380">
        <v>1169603.7</v>
      </c>
      <c r="C2380" t="str">
        <f t="shared" si="37"/>
        <v>3. $50K-250K</v>
      </c>
      <c r="D2380" t="s">
        <v>712</v>
      </c>
      <c r="E2380" t="s">
        <v>237</v>
      </c>
      <c r="F2380" t="s">
        <v>670</v>
      </c>
      <c r="G2380" t="s">
        <v>59</v>
      </c>
      <c r="H2380">
        <v>2023</v>
      </c>
    </row>
    <row r="2381" spans="1:8" x14ac:dyDescent="0.2">
      <c r="A2381">
        <v>220818</v>
      </c>
      <c r="B2381">
        <v>269997</v>
      </c>
      <c r="C2381" t="str">
        <f t="shared" si="37"/>
        <v>5. $1M+</v>
      </c>
      <c r="D2381" t="s">
        <v>1482</v>
      </c>
      <c r="E2381" t="s">
        <v>42</v>
      </c>
      <c r="F2381" t="s">
        <v>668</v>
      </c>
      <c r="G2381" t="s">
        <v>59</v>
      </c>
      <c r="H2381">
        <v>2023</v>
      </c>
    </row>
    <row r="2382" spans="1:8" x14ac:dyDescent="0.2">
      <c r="A2382">
        <v>220824</v>
      </c>
      <c r="B2382">
        <v>44358</v>
      </c>
      <c r="C2382" t="str">
        <f t="shared" si="37"/>
        <v>4. $250K-1M</v>
      </c>
      <c r="D2382" t="s">
        <v>1483</v>
      </c>
      <c r="E2382" t="s">
        <v>42</v>
      </c>
      <c r="F2382" t="s">
        <v>668</v>
      </c>
      <c r="G2382" t="s">
        <v>59</v>
      </c>
      <c r="H2382">
        <v>2023</v>
      </c>
    </row>
    <row r="2383" spans="1:8" x14ac:dyDescent="0.2">
      <c r="A2383">
        <v>220884</v>
      </c>
      <c r="B2383">
        <v>748463.6</v>
      </c>
      <c r="C2383" t="str">
        <f t="shared" si="37"/>
        <v>2. $10K-50K</v>
      </c>
      <c r="D2383" t="s">
        <v>893</v>
      </c>
      <c r="E2383" t="s">
        <v>891</v>
      </c>
      <c r="F2383" t="s">
        <v>670</v>
      </c>
      <c r="G2383" t="s">
        <v>59</v>
      </c>
      <c r="H2383">
        <v>2023</v>
      </c>
    </row>
    <row r="2384" spans="1:8" x14ac:dyDescent="0.2">
      <c r="A2384">
        <v>220885</v>
      </c>
      <c r="B2384">
        <v>237663.6</v>
      </c>
      <c r="C2384" t="str">
        <f t="shared" si="37"/>
        <v>4. $250K-1M</v>
      </c>
      <c r="D2384" t="s">
        <v>749</v>
      </c>
      <c r="E2384" t="s">
        <v>42</v>
      </c>
      <c r="F2384" t="s">
        <v>670</v>
      </c>
      <c r="G2384" t="s">
        <v>59</v>
      </c>
      <c r="H2384">
        <v>2023</v>
      </c>
    </row>
    <row r="2385" spans="1:8" x14ac:dyDescent="0.2">
      <c r="A2385">
        <v>220888</v>
      </c>
      <c r="B2385">
        <v>26788</v>
      </c>
      <c r="C2385" t="str">
        <f t="shared" si="37"/>
        <v>3. $50K-250K</v>
      </c>
      <c r="D2385" t="s">
        <v>1444</v>
      </c>
      <c r="E2385" t="s">
        <v>432</v>
      </c>
      <c r="F2385" t="s">
        <v>670</v>
      </c>
      <c r="G2385" t="s">
        <v>59</v>
      </c>
      <c r="H2385">
        <v>2023</v>
      </c>
    </row>
    <row r="2386" spans="1:8" x14ac:dyDescent="0.2">
      <c r="A2386">
        <v>220889</v>
      </c>
      <c r="B2386">
        <v>430630.5</v>
      </c>
      <c r="C2386" t="str">
        <f t="shared" si="37"/>
        <v>2. $10K-50K</v>
      </c>
      <c r="D2386" t="s">
        <v>717</v>
      </c>
      <c r="E2386" t="s">
        <v>42</v>
      </c>
      <c r="F2386" t="s">
        <v>670</v>
      </c>
      <c r="G2386" t="s">
        <v>59</v>
      </c>
      <c r="H2386">
        <v>2023</v>
      </c>
    </row>
    <row r="2387" spans="1:8" x14ac:dyDescent="0.2">
      <c r="A2387">
        <v>220890</v>
      </c>
      <c r="B2387">
        <v>240000</v>
      </c>
      <c r="C2387" t="str">
        <f t="shared" si="37"/>
        <v>4. $250K-1M</v>
      </c>
      <c r="D2387" t="s">
        <v>677</v>
      </c>
      <c r="E2387" t="s">
        <v>42</v>
      </c>
      <c r="F2387" t="s">
        <v>670</v>
      </c>
      <c r="G2387" t="s">
        <v>59</v>
      </c>
      <c r="H2387">
        <v>2023</v>
      </c>
    </row>
    <row r="2388" spans="1:8" x14ac:dyDescent="0.2">
      <c r="A2388">
        <v>220891</v>
      </c>
      <c r="B2388">
        <v>461902</v>
      </c>
      <c r="C2388" t="str">
        <f t="shared" si="37"/>
        <v>3. $50K-250K</v>
      </c>
      <c r="D2388" t="s">
        <v>1038</v>
      </c>
      <c r="E2388" t="s">
        <v>42</v>
      </c>
      <c r="F2388" t="s">
        <v>670</v>
      </c>
      <c r="G2388" t="s">
        <v>59</v>
      </c>
      <c r="H2388">
        <v>2023</v>
      </c>
    </row>
    <row r="2389" spans="1:8" x14ac:dyDescent="0.2">
      <c r="A2389">
        <v>220929</v>
      </c>
      <c r="B2389">
        <v>16666</v>
      </c>
      <c r="C2389" t="str">
        <f t="shared" si="37"/>
        <v>4. $250K-1M</v>
      </c>
      <c r="D2389" t="s">
        <v>1414</v>
      </c>
      <c r="E2389" t="s">
        <v>368</v>
      </c>
      <c r="F2389" t="s">
        <v>670</v>
      </c>
      <c r="G2389" t="s">
        <v>59</v>
      </c>
      <c r="H2389">
        <v>2023</v>
      </c>
    </row>
    <row r="2390" spans="1:8" x14ac:dyDescent="0.2">
      <c r="A2390">
        <v>220930</v>
      </c>
      <c r="B2390">
        <v>39163</v>
      </c>
      <c r="C2390" t="str">
        <f t="shared" si="37"/>
        <v>2. $10K-50K</v>
      </c>
      <c r="D2390" t="s">
        <v>751</v>
      </c>
      <c r="E2390" t="s">
        <v>368</v>
      </c>
      <c r="F2390" t="s">
        <v>670</v>
      </c>
      <c r="G2390" t="s">
        <v>59</v>
      </c>
      <c r="H2390">
        <v>2023</v>
      </c>
    </row>
    <row r="2391" spans="1:8" x14ac:dyDescent="0.2">
      <c r="A2391">
        <v>220931</v>
      </c>
      <c r="B2391">
        <v>16666</v>
      </c>
      <c r="C2391" t="str">
        <f t="shared" si="37"/>
        <v>2. $10K-50K</v>
      </c>
      <c r="D2391" t="s">
        <v>763</v>
      </c>
      <c r="E2391" t="s">
        <v>368</v>
      </c>
      <c r="F2391" t="s">
        <v>670</v>
      </c>
      <c r="G2391" t="s">
        <v>59</v>
      </c>
      <c r="H2391">
        <v>2023</v>
      </c>
    </row>
    <row r="2392" spans="1:8" x14ac:dyDescent="0.2">
      <c r="A2392">
        <v>220959</v>
      </c>
      <c r="B2392">
        <v>300000</v>
      </c>
      <c r="C2392" t="str">
        <f t="shared" si="37"/>
        <v>2. $10K-50K</v>
      </c>
      <c r="D2392" t="s">
        <v>1372</v>
      </c>
      <c r="E2392" t="s">
        <v>59</v>
      </c>
      <c r="F2392" t="s">
        <v>670</v>
      </c>
      <c r="G2392" t="s">
        <v>59</v>
      </c>
      <c r="H2392">
        <v>2023</v>
      </c>
    </row>
    <row r="2393" spans="1:8" x14ac:dyDescent="0.2">
      <c r="A2393">
        <v>220964</v>
      </c>
      <c r="B2393">
        <v>300000</v>
      </c>
      <c r="C2393" t="str">
        <f t="shared" si="37"/>
        <v>4. $250K-1M</v>
      </c>
      <c r="D2393" t="s">
        <v>1463</v>
      </c>
      <c r="E2393" t="s">
        <v>99</v>
      </c>
      <c r="F2393" t="s">
        <v>670</v>
      </c>
      <c r="G2393" t="s">
        <v>44</v>
      </c>
      <c r="H2393">
        <v>2023</v>
      </c>
    </row>
    <row r="2394" spans="1:8" x14ac:dyDescent="0.2">
      <c r="A2394">
        <v>220965</v>
      </c>
      <c r="B2394">
        <v>290000</v>
      </c>
      <c r="C2394" t="str">
        <f t="shared" si="37"/>
        <v>4. $250K-1M</v>
      </c>
      <c r="D2394" t="s">
        <v>391</v>
      </c>
      <c r="E2394" t="s">
        <v>99</v>
      </c>
      <c r="F2394" t="s">
        <v>670</v>
      </c>
      <c r="G2394" t="s">
        <v>44</v>
      </c>
      <c r="H2394">
        <v>2023</v>
      </c>
    </row>
    <row r="2395" spans="1:8" x14ac:dyDescent="0.2">
      <c r="A2395">
        <v>220966</v>
      </c>
      <c r="B2395">
        <v>300000</v>
      </c>
      <c r="C2395" t="str">
        <f t="shared" si="37"/>
        <v>4. $250K-1M</v>
      </c>
      <c r="D2395" t="s">
        <v>936</v>
      </c>
      <c r="E2395" t="s">
        <v>99</v>
      </c>
      <c r="F2395" t="s">
        <v>670</v>
      </c>
      <c r="G2395" t="s">
        <v>44</v>
      </c>
      <c r="H2395">
        <v>2023</v>
      </c>
    </row>
    <row r="2396" spans="1:8" x14ac:dyDescent="0.2">
      <c r="A2396">
        <v>220967</v>
      </c>
      <c r="B2396">
        <v>300000</v>
      </c>
      <c r="C2396" t="str">
        <f t="shared" si="37"/>
        <v>4. $250K-1M</v>
      </c>
      <c r="D2396" t="s">
        <v>1484</v>
      </c>
      <c r="E2396" t="s">
        <v>99</v>
      </c>
      <c r="F2396" t="s">
        <v>670</v>
      </c>
      <c r="G2396" t="s">
        <v>44</v>
      </c>
      <c r="H2396">
        <v>2023</v>
      </c>
    </row>
    <row r="2397" spans="1:8" x14ac:dyDescent="0.2">
      <c r="A2397">
        <v>220968</v>
      </c>
      <c r="B2397">
        <v>300000</v>
      </c>
      <c r="C2397" t="str">
        <f t="shared" si="37"/>
        <v>4. $250K-1M</v>
      </c>
      <c r="D2397" t="s">
        <v>1485</v>
      </c>
      <c r="E2397" t="s">
        <v>99</v>
      </c>
      <c r="F2397" t="s">
        <v>670</v>
      </c>
      <c r="G2397" t="s">
        <v>44</v>
      </c>
      <c r="H2397">
        <v>2023</v>
      </c>
    </row>
    <row r="2398" spans="1:8" x14ac:dyDescent="0.2">
      <c r="A2398">
        <v>220969</v>
      </c>
      <c r="B2398">
        <v>600000</v>
      </c>
      <c r="C2398" t="str">
        <f t="shared" si="37"/>
        <v>4. $250K-1M</v>
      </c>
      <c r="D2398" t="s">
        <v>1486</v>
      </c>
      <c r="E2398" t="s">
        <v>99</v>
      </c>
      <c r="F2398" t="s">
        <v>670</v>
      </c>
      <c r="G2398" t="s">
        <v>44</v>
      </c>
      <c r="H2398">
        <v>2023</v>
      </c>
    </row>
    <row r="2399" spans="1:8" x14ac:dyDescent="0.2">
      <c r="A2399">
        <v>220970</v>
      </c>
      <c r="B2399">
        <v>350000</v>
      </c>
      <c r="C2399" t="str">
        <f t="shared" si="37"/>
        <v>4. $250K-1M</v>
      </c>
      <c r="D2399" t="s">
        <v>1487</v>
      </c>
      <c r="E2399" t="s">
        <v>99</v>
      </c>
      <c r="F2399" t="s">
        <v>670</v>
      </c>
      <c r="G2399" t="s">
        <v>44</v>
      </c>
      <c r="H2399">
        <v>2023</v>
      </c>
    </row>
    <row r="2400" spans="1:8" x14ac:dyDescent="0.2">
      <c r="A2400">
        <v>220971</v>
      </c>
      <c r="B2400">
        <v>270000</v>
      </c>
      <c r="C2400" t="str">
        <f t="shared" si="37"/>
        <v>4. $250K-1M</v>
      </c>
      <c r="D2400" t="s">
        <v>1488</v>
      </c>
      <c r="E2400" t="s">
        <v>99</v>
      </c>
      <c r="F2400" t="s">
        <v>670</v>
      </c>
      <c r="G2400" t="s">
        <v>44</v>
      </c>
      <c r="H2400">
        <v>2023</v>
      </c>
    </row>
    <row r="2401" spans="1:8" x14ac:dyDescent="0.2">
      <c r="A2401">
        <v>220972</v>
      </c>
      <c r="B2401">
        <v>250000</v>
      </c>
      <c r="C2401" t="str">
        <f t="shared" si="37"/>
        <v>4. $250K-1M</v>
      </c>
      <c r="D2401" t="s">
        <v>1489</v>
      </c>
      <c r="E2401" t="s">
        <v>99</v>
      </c>
      <c r="F2401" t="s">
        <v>670</v>
      </c>
      <c r="G2401" t="s">
        <v>44</v>
      </c>
      <c r="H2401">
        <v>2023</v>
      </c>
    </row>
    <row r="2402" spans="1:8" x14ac:dyDescent="0.2">
      <c r="A2402">
        <v>220973</v>
      </c>
      <c r="B2402">
        <v>300000</v>
      </c>
      <c r="C2402" t="str">
        <f t="shared" si="37"/>
        <v>4. $250K-1M</v>
      </c>
      <c r="D2402" t="s">
        <v>1490</v>
      </c>
      <c r="E2402" t="s">
        <v>99</v>
      </c>
      <c r="F2402" t="s">
        <v>670</v>
      </c>
      <c r="G2402" t="s">
        <v>44</v>
      </c>
      <c r="H2402">
        <v>2023</v>
      </c>
    </row>
    <row r="2403" spans="1:8" x14ac:dyDescent="0.2">
      <c r="A2403">
        <v>220974</v>
      </c>
      <c r="B2403">
        <v>250000</v>
      </c>
      <c r="C2403" t="str">
        <f t="shared" si="37"/>
        <v>4. $250K-1M</v>
      </c>
      <c r="D2403" t="s">
        <v>1491</v>
      </c>
      <c r="E2403" t="s">
        <v>99</v>
      </c>
      <c r="F2403" t="s">
        <v>670</v>
      </c>
      <c r="G2403" t="s">
        <v>44</v>
      </c>
      <c r="H2403">
        <v>2023</v>
      </c>
    </row>
    <row r="2404" spans="1:8" x14ac:dyDescent="0.2">
      <c r="A2404">
        <v>220975</v>
      </c>
      <c r="B2404">
        <v>300000</v>
      </c>
      <c r="C2404" t="str">
        <f t="shared" si="37"/>
        <v>4. $250K-1M</v>
      </c>
      <c r="D2404" t="s">
        <v>1492</v>
      </c>
      <c r="E2404" t="s">
        <v>99</v>
      </c>
      <c r="F2404" t="s">
        <v>670</v>
      </c>
      <c r="G2404" t="s">
        <v>44</v>
      </c>
      <c r="H2404">
        <v>2023</v>
      </c>
    </row>
    <row r="2405" spans="1:8" x14ac:dyDescent="0.2">
      <c r="A2405">
        <v>220976</v>
      </c>
      <c r="B2405">
        <v>200000</v>
      </c>
      <c r="C2405" t="str">
        <f t="shared" si="37"/>
        <v>4. $250K-1M</v>
      </c>
      <c r="D2405" t="s">
        <v>1493</v>
      </c>
      <c r="E2405" t="s">
        <v>99</v>
      </c>
      <c r="F2405" t="s">
        <v>670</v>
      </c>
      <c r="G2405" t="s">
        <v>44</v>
      </c>
      <c r="H2405">
        <v>2023</v>
      </c>
    </row>
    <row r="2406" spans="1:8" x14ac:dyDescent="0.2">
      <c r="A2406">
        <v>220977</v>
      </c>
      <c r="B2406">
        <v>730000</v>
      </c>
      <c r="C2406" t="str">
        <f t="shared" si="37"/>
        <v>3. $50K-250K</v>
      </c>
      <c r="D2406" t="s">
        <v>391</v>
      </c>
      <c r="E2406" t="s">
        <v>99</v>
      </c>
      <c r="F2406" t="s">
        <v>670</v>
      </c>
      <c r="G2406" t="s">
        <v>44</v>
      </c>
      <c r="H2406">
        <v>2023</v>
      </c>
    </row>
    <row r="2407" spans="1:8" x14ac:dyDescent="0.2">
      <c r="A2407">
        <v>220978</v>
      </c>
      <c r="B2407">
        <v>300000</v>
      </c>
      <c r="C2407" t="str">
        <f t="shared" si="37"/>
        <v>4. $250K-1M</v>
      </c>
      <c r="D2407" t="s">
        <v>1494</v>
      </c>
      <c r="E2407" t="s">
        <v>99</v>
      </c>
      <c r="F2407" t="s">
        <v>670</v>
      </c>
      <c r="G2407" t="s">
        <v>44</v>
      </c>
      <c r="H2407">
        <v>2023</v>
      </c>
    </row>
    <row r="2408" spans="1:8" x14ac:dyDescent="0.2">
      <c r="A2408">
        <v>220979</v>
      </c>
      <c r="B2408">
        <v>400000</v>
      </c>
      <c r="C2408" t="str">
        <f t="shared" si="37"/>
        <v>4. $250K-1M</v>
      </c>
      <c r="D2408" t="s">
        <v>880</v>
      </c>
      <c r="E2408" t="s">
        <v>99</v>
      </c>
      <c r="F2408" t="s">
        <v>670</v>
      </c>
      <c r="G2408" t="s">
        <v>44</v>
      </c>
      <c r="H2408">
        <v>2023</v>
      </c>
    </row>
    <row r="2409" spans="1:8" x14ac:dyDescent="0.2">
      <c r="A2409">
        <v>220983</v>
      </c>
      <c r="B2409">
        <v>2345000</v>
      </c>
      <c r="C2409" t="str">
        <f t="shared" si="37"/>
        <v>4. $250K-1M</v>
      </c>
      <c r="D2409" t="s">
        <v>1052</v>
      </c>
      <c r="E2409" t="s">
        <v>237</v>
      </c>
      <c r="F2409" t="s">
        <v>670</v>
      </c>
      <c r="G2409" t="s">
        <v>59</v>
      </c>
      <c r="H2409">
        <v>2023</v>
      </c>
    </row>
    <row r="2410" spans="1:8" x14ac:dyDescent="0.2">
      <c r="A2410">
        <v>221058</v>
      </c>
      <c r="B2410">
        <v>2292171</v>
      </c>
      <c r="C2410" t="str">
        <f t="shared" si="37"/>
        <v>5. $1M+</v>
      </c>
      <c r="D2410" t="s">
        <v>258</v>
      </c>
      <c r="E2410" t="s">
        <v>8</v>
      </c>
      <c r="F2410" t="s">
        <v>22</v>
      </c>
      <c r="G2410" t="s">
        <v>10</v>
      </c>
      <c r="H2410">
        <v>2023</v>
      </c>
    </row>
    <row r="2411" spans="1:8" x14ac:dyDescent="0.2">
      <c r="A2411">
        <v>221064</v>
      </c>
      <c r="B2411">
        <v>33079.300000000003</v>
      </c>
      <c r="C2411" t="str">
        <f t="shared" si="37"/>
        <v>5. $1M+</v>
      </c>
      <c r="D2411" t="s">
        <v>749</v>
      </c>
      <c r="E2411" t="s">
        <v>237</v>
      </c>
      <c r="F2411" t="s">
        <v>670</v>
      </c>
      <c r="G2411" t="s">
        <v>59</v>
      </c>
      <c r="H2411">
        <v>2023</v>
      </c>
    </row>
    <row r="2412" spans="1:8" x14ac:dyDescent="0.2">
      <c r="A2412">
        <v>221088</v>
      </c>
      <c r="B2412">
        <v>450000</v>
      </c>
      <c r="C2412" t="str">
        <f t="shared" si="37"/>
        <v>2. $10K-50K</v>
      </c>
      <c r="D2412" t="s">
        <v>783</v>
      </c>
      <c r="E2412" t="s">
        <v>42</v>
      </c>
      <c r="F2412" t="s">
        <v>670</v>
      </c>
      <c r="G2412" t="s">
        <v>44</v>
      </c>
      <c r="H2412">
        <v>2023</v>
      </c>
    </row>
    <row r="2413" spans="1:8" x14ac:dyDescent="0.2">
      <c r="A2413">
        <v>221116</v>
      </c>
      <c r="B2413">
        <v>450000</v>
      </c>
      <c r="C2413" t="str">
        <f t="shared" si="37"/>
        <v>4. $250K-1M</v>
      </c>
      <c r="D2413" t="s">
        <v>801</v>
      </c>
      <c r="E2413" t="s">
        <v>42</v>
      </c>
      <c r="F2413" t="s">
        <v>670</v>
      </c>
      <c r="G2413" t="s">
        <v>44</v>
      </c>
      <c r="H2413">
        <v>2023</v>
      </c>
    </row>
    <row r="2414" spans="1:8" x14ac:dyDescent="0.2">
      <c r="A2414">
        <v>221173</v>
      </c>
      <c r="B2414">
        <v>695118</v>
      </c>
      <c r="C2414" t="str">
        <f t="shared" si="37"/>
        <v>4. $250K-1M</v>
      </c>
      <c r="D2414" t="s">
        <v>933</v>
      </c>
      <c r="E2414" t="s">
        <v>237</v>
      </c>
      <c r="F2414" t="s">
        <v>670</v>
      </c>
      <c r="G2414" t="s">
        <v>59</v>
      </c>
      <c r="H2414">
        <v>2023</v>
      </c>
    </row>
    <row r="2415" spans="1:8" x14ac:dyDescent="0.2">
      <c r="A2415">
        <v>221174</v>
      </c>
      <c r="B2415">
        <v>1390235</v>
      </c>
      <c r="C2415" t="str">
        <f t="shared" si="37"/>
        <v>4. $250K-1M</v>
      </c>
      <c r="D2415" t="s">
        <v>925</v>
      </c>
      <c r="E2415" t="s">
        <v>237</v>
      </c>
      <c r="F2415" t="s">
        <v>670</v>
      </c>
      <c r="G2415" t="s">
        <v>59</v>
      </c>
      <c r="H2415">
        <v>2023</v>
      </c>
    </row>
    <row r="2416" spans="1:8" x14ac:dyDescent="0.2">
      <c r="A2416">
        <v>221176</v>
      </c>
      <c r="B2416">
        <v>162650.6</v>
      </c>
      <c r="C2416" t="str">
        <f t="shared" si="37"/>
        <v>5. $1M+</v>
      </c>
      <c r="D2416" t="s">
        <v>694</v>
      </c>
      <c r="E2416" t="s">
        <v>42</v>
      </c>
      <c r="F2416" t="s">
        <v>670</v>
      </c>
      <c r="G2416" t="s">
        <v>59</v>
      </c>
      <c r="H2416">
        <v>2023</v>
      </c>
    </row>
    <row r="2417" spans="1:8" x14ac:dyDescent="0.2">
      <c r="A2417">
        <v>221177</v>
      </c>
      <c r="B2417">
        <v>480000</v>
      </c>
      <c r="C2417" t="str">
        <f t="shared" si="37"/>
        <v>3. $50K-250K</v>
      </c>
      <c r="D2417" t="s">
        <v>1495</v>
      </c>
      <c r="E2417" t="s">
        <v>59</v>
      </c>
      <c r="F2417" t="s">
        <v>670</v>
      </c>
      <c r="G2417" t="s">
        <v>59</v>
      </c>
      <c r="H2417">
        <v>2023</v>
      </c>
    </row>
    <row r="2418" spans="1:8" x14ac:dyDescent="0.2">
      <c r="A2418">
        <v>221178</v>
      </c>
      <c r="B2418">
        <v>40000000</v>
      </c>
      <c r="C2418" t="str">
        <f t="shared" si="37"/>
        <v>4. $250K-1M</v>
      </c>
      <c r="D2418" t="s">
        <v>259</v>
      </c>
      <c r="E2418" t="s">
        <v>28</v>
      </c>
      <c r="F2418" t="s">
        <v>29</v>
      </c>
      <c r="G2418" t="s">
        <v>44</v>
      </c>
      <c r="H2418">
        <v>2023</v>
      </c>
    </row>
    <row r="2419" spans="1:8" x14ac:dyDescent="0.2">
      <c r="A2419">
        <v>221183</v>
      </c>
      <c r="B2419">
        <v>22032608.199999999</v>
      </c>
      <c r="C2419" t="str">
        <f t="shared" si="37"/>
        <v>5. $1M+</v>
      </c>
      <c r="D2419" t="s">
        <v>260</v>
      </c>
      <c r="E2419" t="s">
        <v>112</v>
      </c>
      <c r="F2419" t="s">
        <v>12</v>
      </c>
      <c r="G2419" t="s">
        <v>10</v>
      </c>
      <c r="H2419">
        <v>2023</v>
      </c>
    </row>
    <row r="2420" spans="1:8" x14ac:dyDescent="0.2">
      <c r="A2420">
        <v>221187</v>
      </c>
      <c r="B2420">
        <v>250000</v>
      </c>
      <c r="C2420" t="str">
        <f t="shared" si="37"/>
        <v>5. $1M+</v>
      </c>
      <c r="D2420" t="s">
        <v>1496</v>
      </c>
      <c r="E2420" t="s">
        <v>99</v>
      </c>
      <c r="F2420" t="s">
        <v>668</v>
      </c>
      <c r="G2420" t="s">
        <v>59</v>
      </c>
      <c r="H2420">
        <v>2023</v>
      </c>
    </row>
    <row r="2421" spans="1:8" x14ac:dyDescent="0.2">
      <c r="A2421">
        <v>221190</v>
      </c>
      <c r="B2421">
        <v>250000</v>
      </c>
      <c r="C2421" t="str">
        <f t="shared" si="37"/>
        <v>4. $250K-1M</v>
      </c>
      <c r="D2421" t="s">
        <v>1497</v>
      </c>
      <c r="E2421" t="s">
        <v>99</v>
      </c>
      <c r="F2421" t="s">
        <v>668</v>
      </c>
      <c r="G2421" t="s">
        <v>59</v>
      </c>
      <c r="H2421">
        <v>2023</v>
      </c>
    </row>
    <row r="2422" spans="1:8" x14ac:dyDescent="0.2">
      <c r="A2422">
        <v>221193</v>
      </c>
      <c r="B2422">
        <v>7325000</v>
      </c>
      <c r="C2422" t="str">
        <f t="shared" si="37"/>
        <v>4. $250K-1M</v>
      </c>
      <c r="D2422" t="s">
        <v>1498</v>
      </c>
      <c r="E2422" t="s">
        <v>99</v>
      </c>
      <c r="F2422" t="s">
        <v>668</v>
      </c>
      <c r="G2422" t="s">
        <v>59</v>
      </c>
      <c r="H2422">
        <v>2023</v>
      </c>
    </row>
    <row r="2423" spans="1:8" x14ac:dyDescent="0.2">
      <c r="A2423">
        <v>221194</v>
      </c>
      <c r="B2423">
        <v>4600000</v>
      </c>
      <c r="C2423" t="str">
        <f t="shared" si="37"/>
        <v>5. $1M+</v>
      </c>
      <c r="D2423" t="s">
        <v>1499</v>
      </c>
      <c r="E2423" t="s">
        <v>99</v>
      </c>
      <c r="F2423" t="s">
        <v>668</v>
      </c>
      <c r="G2423" t="s">
        <v>59</v>
      </c>
      <c r="H2423">
        <v>2023</v>
      </c>
    </row>
    <row r="2424" spans="1:8" x14ac:dyDescent="0.2">
      <c r="A2424">
        <v>221195</v>
      </c>
      <c r="B2424">
        <v>18000000</v>
      </c>
      <c r="C2424" t="str">
        <f t="shared" si="37"/>
        <v>5. $1M+</v>
      </c>
      <c r="D2424" t="s">
        <v>1498</v>
      </c>
      <c r="E2424" t="s">
        <v>99</v>
      </c>
      <c r="F2424" t="s">
        <v>668</v>
      </c>
      <c r="G2424" t="s">
        <v>59</v>
      </c>
      <c r="H2424">
        <v>2023</v>
      </c>
    </row>
    <row r="2425" spans="1:8" x14ac:dyDescent="0.2">
      <c r="A2425">
        <v>221196</v>
      </c>
      <c r="B2425">
        <v>17000000</v>
      </c>
      <c r="C2425" t="str">
        <f t="shared" si="37"/>
        <v>5. $1M+</v>
      </c>
      <c r="D2425" t="s">
        <v>1499</v>
      </c>
      <c r="E2425" t="s">
        <v>99</v>
      </c>
      <c r="F2425" t="s">
        <v>668</v>
      </c>
      <c r="G2425" t="s">
        <v>59</v>
      </c>
      <c r="H2425">
        <v>2023</v>
      </c>
    </row>
    <row r="2426" spans="1:8" x14ac:dyDescent="0.2">
      <c r="A2426">
        <v>221197</v>
      </c>
      <c r="B2426">
        <v>111068</v>
      </c>
      <c r="C2426" t="str">
        <f t="shared" si="37"/>
        <v>5. $1M+</v>
      </c>
      <c r="D2426" t="s">
        <v>797</v>
      </c>
      <c r="E2426" t="s">
        <v>99</v>
      </c>
      <c r="F2426" t="s">
        <v>668</v>
      </c>
      <c r="G2426" t="s">
        <v>59</v>
      </c>
      <c r="H2426">
        <v>2023</v>
      </c>
    </row>
    <row r="2427" spans="1:8" x14ac:dyDescent="0.2">
      <c r="A2427">
        <v>221201</v>
      </c>
      <c r="B2427">
        <v>1288063.1000000001</v>
      </c>
      <c r="C2427" t="str">
        <f t="shared" si="37"/>
        <v>3. $50K-250K</v>
      </c>
      <c r="D2427" t="s">
        <v>1500</v>
      </c>
      <c r="E2427" t="s">
        <v>28</v>
      </c>
      <c r="F2427" t="s">
        <v>668</v>
      </c>
      <c r="G2427" t="s">
        <v>59</v>
      </c>
      <c r="H2427">
        <v>2023</v>
      </c>
    </row>
    <row r="2428" spans="1:8" x14ac:dyDescent="0.2">
      <c r="A2428">
        <v>221210</v>
      </c>
      <c r="B2428">
        <v>58703</v>
      </c>
      <c r="C2428" t="str">
        <f t="shared" si="37"/>
        <v>5. $1M+</v>
      </c>
      <c r="D2428" t="s">
        <v>822</v>
      </c>
      <c r="E2428" t="s">
        <v>237</v>
      </c>
      <c r="F2428" t="s">
        <v>670</v>
      </c>
      <c r="G2428" t="s">
        <v>59</v>
      </c>
      <c r="H2428">
        <v>2023</v>
      </c>
    </row>
    <row r="2429" spans="1:8" x14ac:dyDescent="0.2">
      <c r="A2429">
        <v>221252</v>
      </c>
      <c r="B2429">
        <v>84965</v>
      </c>
      <c r="C2429" t="str">
        <f t="shared" si="37"/>
        <v>3. $50K-250K</v>
      </c>
      <c r="D2429" t="s">
        <v>940</v>
      </c>
      <c r="E2429" t="s">
        <v>99</v>
      </c>
      <c r="F2429" t="s">
        <v>670</v>
      </c>
      <c r="G2429" t="s">
        <v>59</v>
      </c>
      <c r="H2429">
        <v>2023</v>
      </c>
    </row>
    <row r="2430" spans="1:8" x14ac:dyDescent="0.2">
      <c r="A2430">
        <v>221254</v>
      </c>
      <c r="B2430">
        <v>111880</v>
      </c>
      <c r="C2430" t="str">
        <f t="shared" si="37"/>
        <v>3. $50K-250K</v>
      </c>
      <c r="D2430" t="s">
        <v>817</v>
      </c>
      <c r="E2430" t="s">
        <v>99</v>
      </c>
      <c r="F2430" t="s">
        <v>670</v>
      </c>
      <c r="G2430" t="s">
        <v>59</v>
      </c>
      <c r="H2430">
        <v>2023</v>
      </c>
    </row>
    <row r="2431" spans="1:8" x14ac:dyDescent="0.2">
      <c r="A2431">
        <v>221256</v>
      </c>
      <c r="B2431">
        <v>129911</v>
      </c>
      <c r="C2431" t="str">
        <f t="shared" si="37"/>
        <v>3. $50K-250K</v>
      </c>
      <c r="D2431" t="s">
        <v>944</v>
      </c>
      <c r="E2431" t="s">
        <v>99</v>
      </c>
      <c r="F2431" t="s">
        <v>670</v>
      </c>
      <c r="G2431" t="s">
        <v>59</v>
      </c>
      <c r="H2431">
        <v>2023</v>
      </c>
    </row>
    <row r="2432" spans="1:8" x14ac:dyDescent="0.2">
      <c r="A2432">
        <v>221279</v>
      </c>
      <c r="B2432">
        <v>281534</v>
      </c>
      <c r="C2432" t="str">
        <f t="shared" si="37"/>
        <v>3. $50K-250K</v>
      </c>
      <c r="D2432" t="s">
        <v>812</v>
      </c>
      <c r="E2432" t="s">
        <v>237</v>
      </c>
      <c r="F2432" t="s">
        <v>670</v>
      </c>
      <c r="G2432" t="s">
        <v>59</v>
      </c>
      <c r="H2432">
        <v>2023</v>
      </c>
    </row>
    <row r="2433" spans="1:8" x14ac:dyDescent="0.2">
      <c r="A2433">
        <v>221280</v>
      </c>
      <c r="B2433">
        <v>129250</v>
      </c>
      <c r="C2433" t="str">
        <f t="shared" si="37"/>
        <v>4. $250K-1M</v>
      </c>
      <c r="D2433" t="s">
        <v>877</v>
      </c>
      <c r="E2433" t="s">
        <v>237</v>
      </c>
      <c r="F2433" t="s">
        <v>670</v>
      </c>
      <c r="G2433" t="s">
        <v>59</v>
      </c>
      <c r="H2433">
        <v>2023</v>
      </c>
    </row>
    <row r="2434" spans="1:8" x14ac:dyDescent="0.2">
      <c r="A2434">
        <v>221286</v>
      </c>
      <c r="B2434">
        <v>111842.3</v>
      </c>
      <c r="C2434" t="str">
        <f t="shared" si="37"/>
        <v>3. $50K-250K</v>
      </c>
      <c r="D2434" t="s">
        <v>671</v>
      </c>
      <c r="E2434" t="s">
        <v>237</v>
      </c>
      <c r="F2434" t="s">
        <v>670</v>
      </c>
      <c r="G2434" t="s">
        <v>59</v>
      </c>
      <c r="H2434">
        <v>2023</v>
      </c>
    </row>
    <row r="2435" spans="1:8" x14ac:dyDescent="0.2">
      <c r="A2435">
        <v>221501</v>
      </c>
      <c r="B2435">
        <v>87891.5</v>
      </c>
      <c r="C2435" t="str">
        <f t="shared" ref="C2435:C2498" si="38">IF(B2434&lt;10000,"1. Under $10K",IF(B2434&lt;50000,"2. $10K-50K",IF(B2434&lt;250000,"3. $50K-250K",IF(B2434&lt;1000000,"4. $250K-1M","5. $1M+"))))</f>
        <v>3. $50K-250K</v>
      </c>
      <c r="D2435" t="s">
        <v>933</v>
      </c>
      <c r="E2435" t="s">
        <v>237</v>
      </c>
      <c r="F2435" t="s">
        <v>670</v>
      </c>
      <c r="G2435" t="s">
        <v>59</v>
      </c>
      <c r="H2435">
        <v>2023</v>
      </c>
    </row>
    <row r="2436" spans="1:8" x14ac:dyDescent="0.2">
      <c r="A2436">
        <v>221505</v>
      </c>
      <c r="B2436">
        <v>68760.7</v>
      </c>
      <c r="C2436" t="str">
        <f t="shared" si="38"/>
        <v>3. $50K-250K</v>
      </c>
      <c r="D2436" t="s">
        <v>913</v>
      </c>
      <c r="E2436" t="s">
        <v>237</v>
      </c>
      <c r="F2436" t="s">
        <v>670</v>
      </c>
      <c r="G2436" t="s">
        <v>59</v>
      </c>
      <c r="H2436">
        <v>2023</v>
      </c>
    </row>
    <row r="2437" spans="1:8" x14ac:dyDescent="0.2">
      <c r="A2437">
        <v>221508</v>
      </c>
      <c r="B2437">
        <v>55514.5</v>
      </c>
      <c r="C2437" t="str">
        <f t="shared" si="38"/>
        <v>3. $50K-250K</v>
      </c>
      <c r="D2437" t="s">
        <v>694</v>
      </c>
      <c r="E2437" t="s">
        <v>237</v>
      </c>
      <c r="F2437" t="s">
        <v>670</v>
      </c>
      <c r="G2437" t="s">
        <v>59</v>
      </c>
      <c r="H2437">
        <v>2023</v>
      </c>
    </row>
    <row r="2438" spans="1:8" x14ac:dyDescent="0.2">
      <c r="A2438">
        <v>221510</v>
      </c>
      <c r="B2438">
        <v>121229.2</v>
      </c>
      <c r="C2438" t="str">
        <f t="shared" si="38"/>
        <v>3. $50K-250K</v>
      </c>
      <c r="D2438" t="s">
        <v>711</v>
      </c>
      <c r="E2438" t="s">
        <v>237</v>
      </c>
      <c r="F2438" t="s">
        <v>670</v>
      </c>
      <c r="G2438" t="s">
        <v>59</v>
      </c>
      <c r="H2438">
        <v>2023</v>
      </c>
    </row>
    <row r="2439" spans="1:8" x14ac:dyDescent="0.2">
      <c r="A2439">
        <v>221511</v>
      </c>
      <c r="B2439">
        <v>160000</v>
      </c>
      <c r="C2439" t="str">
        <f t="shared" si="38"/>
        <v>3. $50K-250K</v>
      </c>
      <c r="D2439" t="s">
        <v>763</v>
      </c>
      <c r="E2439" t="s">
        <v>237</v>
      </c>
      <c r="F2439" t="s">
        <v>670</v>
      </c>
      <c r="G2439" t="s">
        <v>59</v>
      </c>
      <c r="H2439">
        <v>2023</v>
      </c>
    </row>
    <row r="2440" spans="1:8" x14ac:dyDescent="0.2">
      <c r="A2440">
        <v>221521</v>
      </c>
      <c r="B2440">
        <v>635000</v>
      </c>
      <c r="C2440" t="str">
        <f t="shared" si="38"/>
        <v>3. $50K-250K</v>
      </c>
      <c r="D2440" t="s">
        <v>924</v>
      </c>
      <c r="E2440" t="s">
        <v>237</v>
      </c>
      <c r="F2440" t="s">
        <v>670</v>
      </c>
      <c r="G2440" t="s">
        <v>59</v>
      </c>
      <c r="H2440">
        <v>2023</v>
      </c>
    </row>
    <row r="2441" spans="1:8" x14ac:dyDescent="0.2">
      <c r="A2441">
        <v>221537</v>
      </c>
      <c r="B2441">
        <v>225000</v>
      </c>
      <c r="C2441" t="str">
        <f t="shared" si="38"/>
        <v>4. $250K-1M</v>
      </c>
      <c r="D2441" t="s">
        <v>780</v>
      </c>
      <c r="E2441" t="s">
        <v>42</v>
      </c>
      <c r="F2441" t="s">
        <v>670</v>
      </c>
      <c r="G2441" t="s">
        <v>59</v>
      </c>
      <c r="H2441">
        <v>2023</v>
      </c>
    </row>
    <row r="2442" spans="1:8" x14ac:dyDescent="0.2">
      <c r="A2442">
        <v>221551</v>
      </c>
      <c r="B2442">
        <v>248913.1</v>
      </c>
      <c r="C2442" t="str">
        <f t="shared" si="38"/>
        <v>3. $50K-250K</v>
      </c>
      <c r="D2442" t="s">
        <v>669</v>
      </c>
      <c r="E2442" t="s">
        <v>42</v>
      </c>
      <c r="F2442" t="s">
        <v>670</v>
      </c>
      <c r="G2442" t="s">
        <v>59</v>
      </c>
      <c r="H2442">
        <v>2023</v>
      </c>
    </row>
    <row r="2443" spans="1:8" x14ac:dyDescent="0.2">
      <c r="A2443">
        <v>221562</v>
      </c>
      <c r="B2443">
        <v>86500.6</v>
      </c>
      <c r="C2443" t="str">
        <f t="shared" si="38"/>
        <v>3. $50K-250K</v>
      </c>
      <c r="D2443" t="s">
        <v>726</v>
      </c>
      <c r="E2443" t="s">
        <v>237</v>
      </c>
      <c r="F2443" t="s">
        <v>670</v>
      </c>
      <c r="G2443" t="s">
        <v>59</v>
      </c>
      <c r="H2443">
        <v>2023</v>
      </c>
    </row>
    <row r="2444" spans="1:8" x14ac:dyDescent="0.2">
      <c r="A2444">
        <v>221567</v>
      </c>
      <c r="B2444">
        <v>630768</v>
      </c>
      <c r="C2444" t="str">
        <f t="shared" si="38"/>
        <v>3. $50K-250K</v>
      </c>
      <c r="D2444" t="s">
        <v>548</v>
      </c>
      <c r="E2444" t="s">
        <v>237</v>
      </c>
      <c r="F2444" t="s">
        <v>670</v>
      </c>
      <c r="G2444" t="s">
        <v>59</v>
      </c>
      <c r="H2444">
        <v>2023</v>
      </c>
    </row>
    <row r="2445" spans="1:8" x14ac:dyDescent="0.2">
      <c r="A2445">
        <v>221585</v>
      </c>
      <c r="B2445">
        <v>30840</v>
      </c>
      <c r="C2445" t="str">
        <f t="shared" si="38"/>
        <v>4. $250K-1M</v>
      </c>
      <c r="D2445" t="s">
        <v>699</v>
      </c>
      <c r="E2445" t="s">
        <v>237</v>
      </c>
      <c r="F2445" t="s">
        <v>670</v>
      </c>
      <c r="G2445" t="s">
        <v>59</v>
      </c>
      <c r="H2445">
        <v>2023</v>
      </c>
    </row>
    <row r="2446" spans="1:8" x14ac:dyDescent="0.2">
      <c r="A2446">
        <v>221587</v>
      </c>
      <c r="B2446">
        <v>1200000</v>
      </c>
      <c r="C2446" t="str">
        <f t="shared" si="38"/>
        <v>2. $10K-50K</v>
      </c>
      <c r="D2446" t="s">
        <v>865</v>
      </c>
      <c r="E2446" t="s">
        <v>237</v>
      </c>
      <c r="F2446" t="s">
        <v>670</v>
      </c>
      <c r="G2446" t="s">
        <v>59</v>
      </c>
      <c r="H2446">
        <v>2023</v>
      </c>
    </row>
    <row r="2447" spans="1:8" x14ac:dyDescent="0.2">
      <c r="A2447">
        <v>221606</v>
      </c>
      <c r="B2447">
        <v>240000</v>
      </c>
      <c r="C2447" t="str">
        <f t="shared" si="38"/>
        <v>5. $1M+</v>
      </c>
      <c r="D2447" t="s">
        <v>999</v>
      </c>
      <c r="E2447" t="s">
        <v>42</v>
      </c>
      <c r="F2447" t="s">
        <v>670</v>
      </c>
      <c r="G2447" t="s">
        <v>59</v>
      </c>
      <c r="H2447">
        <v>2023</v>
      </c>
    </row>
    <row r="2448" spans="1:8" x14ac:dyDescent="0.2">
      <c r="A2448">
        <v>221613</v>
      </c>
      <c r="B2448">
        <v>225000</v>
      </c>
      <c r="C2448" t="str">
        <f t="shared" si="38"/>
        <v>3. $50K-250K</v>
      </c>
      <c r="D2448" t="s">
        <v>749</v>
      </c>
      <c r="E2448" t="s">
        <v>42</v>
      </c>
      <c r="F2448" t="s">
        <v>670</v>
      </c>
      <c r="G2448" t="s">
        <v>59</v>
      </c>
      <c r="H2448">
        <v>2023</v>
      </c>
    </row>
    <row r="2449" spans="1:8" x14ac:dyDescent="0.2">
      <c r="A2449">
        <v>221651</v>
      </c>
      <c r="B2449">
        <v>12900000</v>
      </c>
      <c r="C2449" t="str">
        <f t="shared" si="38"/>
        <v>3. $50K-250K</v>
      </c>
      <c r="D2449" t="s">
        <v>261</v>
      </c>
      <c r="E2449" t="s">
        <v>54</v>
      </c>
      <c r="F2449" t="s">
        <v>22</v>
      </c>
      <c r="G2449" t="s">
        <v>10</v>
      </c>
      <c r="H2449">
        <v>2023</v>
      </c>
    </row>
    <row r="2450" spans="1:8" x14ac:dyDescent="0.2">
      <c r="A2450">
        <v>221901</v>
      </c>
      <c r="B2450">
        <v>354309.5</v>
      </c>
      <c r="C2450" t="str">
        <f t="shared" si="38"/>
        <v>5. $1M+</v>
      </c>
      <c r="D2450" t="s">
        <v>771</v>
      </c>
      <c r="E2450" t="s">
        <v>42</v>
      </c>
      <c r="F2450" t="s">
        <v>670</v>
      </c>
      <c r="G2450" t="s">
        <v>59</v>
      </c>
      <c r="H2450">
        <v>2023</v>
      </c>
    </row>
    <row r="2451" spans="1:8" x14ac:dyDescent="0.2">
      <c r="A2451">
        <v>221902</v>
      </c>
      <c r="B2451">
        <v>33000000</v>
      </c>
      <c r="C2451" t="str">
        <f t="shared" si="38"/>
        <v>4. $250K-1M</v>
      </c>
      <c r="D2451" t="s">
        <v>255</v>
      </c>
      <c r="E2451" t="s">
        <v>262</v>
      </c>
      <c r="F2451" t="s">
        <v>43</v>
      </c>
      <c r="G2451" t="s">
        <v>232</v>
      </c>
      <c r="H2451">
        <v>2023</v>
      </c>
    </row>
    <row r="2452" spans="1:8" x14ac:dyDescent="0.2">
      <c r="A2452">
        <v>221916</v>
      </c>
      <c r="B2452">
        <v>327200</v>
      </c>
      <c r="C2452" t="str">
        <f t="shared" si="38"/>
        <v>5. $1M+</v>
      </c>
      <c r="D2452" t="s">
        <v>871</v>
      </c>
      <c r="E2452" t="s">
        <v>237</v>
      </c>
      <c r="F2452" t="s">
        <v>670</v>
      </c>
      <c r="G2452" t="s">
        <v>59</v>
      </c>
      <c r="H2452">
        <v>2023</v>
      </c>
    </row>
    <row r="2453" spans="1:8" x14ac:dyDescent="0.2">
      <c r="A2453">
        <v>221920</v>
      </c>
      <c r="B2453">
        <v>488801</v>
      </c>
      <c r="C2453" t="str">
        <f t="shared" si="38"/>
        <v>4. $250K-1M</v>
      </c>
      <c r="D2453" t="s">
        <v>860</v>
      </c>
      <c r="E2453" t="s">
        <v>237</v>
      </c>
      <c r="F2453" t="s">
        <v>670</v>
      </c>
      <c r="G2453" t="s">
        <v>59</v>
      </c>
      <c r="H2453">
        <v>2023</v>
      </c>
    </row>
    <row r="2454" spans="1:8" x14ac:dyDescent="0.2">
      <c r="A2454">
        <v>221926</v>
      </c>
      <c r="B2454">
        <v>1920500</v>
      </c>
      <c r="C2454" t="str">
        <f t="shared" si="38"/>
        <v>4. $250K-1M</v>
      </c>
      <c r="D2454" t="s">
        <v>749</v>
      </c>
      <c r="E2454" t="s">
        <v>42</v>
      </c>
      <c r="F2454" t="s">
        <v>670</v>
      </c>
      <c r="G2454" t="s">
        <v>59</v>
      </c>
      <c r="H2454">
        <v>2023</v>
      </c>
    </row>
    <row r="2455" spans="1:8" x14ac:dyDescent="0.2">
      <c r="A2455">
        <v>221943</v>
      </c>
      <c r="B2455">
        <v>156800</v>
      </c>
      <c r="C2455" t="str">
        <f t="shared" si="38"/>
        <v>5. $1M+</v>
      </c>
      <c r="D2455" t="s">
        <v>860</v>
      </c>
      <c r="E2455" t="s">
        <v>237</v>
      </c>
      <c r="F2455" t="s">
        <v>670</v>
      </c>
      <c r="G2455" t="s">
        <v>59</v>
      </c>
      <c r="H2455">
        <v>2023</v>
      </c>
    </row>
    <row r="2456" spans="1:8" x14ac:dyDescent="0.2">
      <c r="A2456">
        <v>221977</v>
      </c>
      <c r="B2456">
        <v>76741.5</v>
      </c>
      <c r="C2456" t="str">
        <f t="shared" si="38"/>
        <v>3. $50K-250K</v>
      </c>
      <c r="D2456" t="s">
        <v>916</v>
      </c>
      <c r="E2456" t="s">
        <v>237</v>
      </c>
      <c r="F2456" t="s">
        <v>670</v>
      </c>
      <c r="G2456" t="s">
        <v>59</v>
      </c>
      <c r="H2456">
        <v>2023</v>
      </c>
    </row>
    <row r="2457" spans="1:8" x14ac:dyDescent="0.2">
      <c r="A2457">
        <v>221986</v>
      </c>
      <c r="B2457">
        <v>58718</v>
      </c>
      <c r="C2457" t="str">
        <f t="shared" si="38"/>
        <v>3. $50K-250K</v>
      </c>
      <c r="D2457" t="s">
        <v>690</v>
      </c>
      <c r="E2457" t="s">
        <v>42</v>
      </c>
      <c r="F2457" t="s">
        <v>670</v>
      </c>
      <c r="G2457" t="s">
        <v>59</v>
      </c>
      <c r="H2457">
        <v>2023</v>
      </c>
    </row>
    <row r="2458" spans="1:8" x14ac:dyDescent="0.2">
      <c r="A2458">
        <v>221987</v>
      </c>
      <c r="B2458">
        <v>49843.1</v>
      </c>
      <c r="C2458" t="str">
        <f t="shared" si="38"/>
        <v>3. $50K-250K</v>
      </c>
      <c r="D2458" t="s">
        <v>726</v>
      </c>
      <c r="E2458" t="s">
        <v>825</v>
      </c>
      <c r="F2458" t="s">
        <v>670</v>
      </c>
      <c r="G2458" t="s">
        <v>59</v>
      </c>
      <c r="H2458">
        <v>2023</v>
      </c>
    </row>
    <row r="2459" spans="1:8" x14ac:dyDescent="0.2">
      <c r="A2459">
        <v>221988</v>
      </c>
      <c r="B2459">
        <v>65895</v>
      </c>
      <c r="C2459" t="str">
        <f t="shared" si="38"/>
        <v>2. $10K-50K</v>
      </c>
      <c r="D2459" t="s">
        <v>870</v>
      </c>
      <c r="E2459" t="s">
        <v>237</v>
      </c>
      <c r="F2459" t="s">
        <v>670</v>
      </c>
      <c r="G2459" t="s">
        <v>59</v>
      </c>
      <c r="H2459">
        <v>2023</v>
      </c>
    </row>
    <row r="2460" spans="1:8" x14ac:dyDescent="0.2">
      <c r="A2460">
        <v>221993</v>
      </c>
      <c r="B2460">
        <v>52501.2</v>
      </c>
      <c r="C2460" t="str">
        <f t="shared" si="38"/>
        <v>3. $50K-250K</v>
      </c>
      <c r="D2460" t="s">
        <v>823</v>
      </c>
      <c r="E2460" t="s">
        <v>42</v>
      </c>
      <c r="F2460" t="s">
        <v>670</v>
      </c>
      <c r="G2460" t="s">
        <v>59</v>
      </c>
      <c r="H2460">
        <v>2023</v>
      </c>
    </row>
    <row r="2461" spans="1:8" x14ac:dyDescent="0.2">
      <c r="A2461">
        <v>221997</v>
      </c>
      <c r="B2461">
        <v>469625.8</v>
      </c>
      <c r="C2461" t="str">
        <f t="shared" si="38"/>
        <v>3. $50K-250K</v>
      </c>
      <c r="D2461" t="s">
        <v>688</v>
      </c>
      <c r="E2461" t="s">
        <v>42</v>
      </c>
      <c r="F2461" t="s">
        <v>670</v>
      </c>
      <c r="G2461" t="s">
        <v>59</v>
      </c>
      <c r="H2461">
        <v>2023</v>
      </c>
    </row>
    <row r="2462" spans="1:8" x14ac:dyDescent="0.2">
      <c r="A2462">
        <v>221998</v>
      </c>
      <c r="B2462">
        <v>216012.1</v>
      </c>
      <c r="C2462" t="str">
        <f t="shared" si="38"/>
        <v>4. $250K-1M</v>
      </c>
      <c r="D2462" t="s">
        <v>692</v>
      </c>
      <c r="E2462" t="s">
        <v>42</v>
      </c>
      <c r="F2462" t="s">
        <v>670</v>
      </c>
      <c r="G2462" t="s">
        <v>59</v>
      </c>
      <c r="H2462">
        <v>2023</v>
      </c>
    </row>
    <row r="2463" spans="1:8" x14ac:dyDescent="0.2">
      <c r="A2463">
        <v>222006</v>
      </c>
      <c r="B2463">
        <v>55000</v>
      </c>
      <c r="C2463" t="str">
        <f t="shared" si="38"/>
        <v>3. $50K-250K</v>
      </c>
      <c r="D2463" t="s">
        <v>957</v>
      </c>
      <c r="E2463" t="s">
        <v>432</v>
      </c>
      <c r="F2463" t="s">
        <v>670</v>
      </c>
      <c r="G2463" t="s">
        <v>59</v>
      </c>
      <c r="H2463">
        <v>2023</v>
      </c>
    </row>
    <row r="2464" spans="1:8" x14ac:dyDescent="0.2">
      <c r="A2464">
        <v>222009</v>
      </c>
      <c r="B2464">
        <v>50000</v>
      </c>
      <c r="C2464" t="str">
        <f t="shared" si="38"/>
        <v>3. $50K-250K</v>
      </c>
      <c r="D2464" t="s">
        <v>1437</v>
      </c>
      <c r="E2464" t="s">
        <v>432</v>
      </c>
      <c r="F2464" t="s">
        <v>670</v>
      </c>
      <c r="G2464" t="s">
        <v>59</v>
      </c>
      <c r="H2464">
        <v>2023</v>
      </c>
    </row>
    <row r="2465" spans="1:8" x14ac:dyDescent="0.2">
      <c r="A2465">
        <v>222014</v>
      </c>
      <c r="B2465">
        <v>597704.9</v>
      </c>
      <c r="C2465" t="str">
        <f t="shared" si="38"/>
        <v>3. $50K-250K</v>
      </c>
      <c r="D2465" t="s">
        <v>792</v>
      </c>
      <c r="E2465" t="s">
        <v>42</v>
      </c>
      <c r="F2465" t="s">
        <v>670</v>
      </c>
      <c r="G2465" t="s">
        <v>59</v>
      </c>
      <c r="H2465">
        <v>2023</v>
      </c>
    </row>
    <row r="2466" spans="1:8" x14ac:dyDescent="0.2">
      <c r="A2466">
        <v>222150</v>
      </c>
      <c r="B2466">
        <v>126310</v>
      </c>
      <c r="C2466" t="str">
        <f t="shared" si="38"/>
        <v>4. $250K-1M</v>
      </c>
      <c r="D2466" t="s">
        <v>1501</v>
      </c>
      <c r="E2466" t="s">
        <v>112</v>
      </c>
      <c r="F2466" t="s">
        <v>668</v>
      </c>
      <c r="G2466" t="s">
        <v>59</v>
      </c>
      <c r="H2466">
        <v>2023</v>
      </c>
    </row>
    <row r="2467" spans="1:8" x14ac:dyDescent="0.2">
      <c r="A2467">
        <v>222151</v>
      </c>
      <c r="B2467">
        <v>34000</v>
      </c>
      <c r="C2467" t="str">
        <f t="shared" si="38"/>
        <v>3. $50K-250K</v>
      </c>
      <c r="D2467" t="s">
        <v>1502</v>
      </c>
      <c r="E2467" t="s">
        <v>112</v>
      </c>
      <c r="F2467" t="s">
        <v>668</v>
      </c>
      <c r="G2467" t="s">
        <v>59</v>
      </c>
      <c r="H2467">
        <v>2023</v>
      </c>
    </row>
    <row r="2468" spans="1:8" x14ac:dyDescent="0.2">
      <c r="A2468">
        <v>22216</v>
      </c>
      <c r="B2468">
        <v>290000</v>
      </c>
      <c r="C2468" t="str">
        <f t="shared" si="38"/>
        <v>2. $10K-50K</v>
      </c>
      <c r="D2468" t="s">
        <v>263</v>
      </c>
      <c r="E2468" t="s">
        <v>132</v>
      </c>
      <c r="F2468" t="s">
        <v>12</v>
      </c>
      <c r="G2468" t="s">
        <v>10</v>
      </c>
      <c r="H2468">
        <v>2023</v>
      </c>
    </row>
    <row r="2469" spans="1:8" x14ac:dyDescent="0.2">
      <c r="A2469">
        <v>222163</v>
      </c>
      <c r="B2469">
        <v>4647616.3</v>
      </c>
      <c r="C2469" t="str">
        <f t="shared" si="38"/>
        <v>4. $250K-1M</v>
      </c>
      <c r="D2469" t="s">
        <v>264</v>
      </c>
      <c r="E2469" t="s">
        <v>21</v>
      </c>
      <c r="F2469" t="s">
        <v>22</v>
      </c>
      <c r="G2469" t="s">
        <v>10</v>
      </c>
      <c r="H2469">
        <v>2023</v>
      </c>
    </row>
    <row r="2470" spans="1:8" x14ac:dyDescent="0.2">
      <c r="A2470">
        <v>222174</v>
      </c>
      <c r="B2470">
        <v>485955.5</v>
      </c>
      <c r="C2470" t="str">
        <f t="shared" si="38"/>
        <v>5. $1M+</v>
      </c>
      <c r="D2470" t="s">
        <v>761</v>
      </c>
      <c r="E2470" t="s">
        <v>237</v>
      </c>
      <c r="F2470" t="s">
        <v>670</v>
      </c>
      <c r="G2470" t="s">
        <v>59</v>
      </c>
      <c r="H2470">
        <v>2023</v>
      </c>
    </row>
    <row r="2471" spans="1:8" x14ac:dyDescent="0.2">
      <c r="A2471">
        <v>222175</v>
      </c>
      <c r="B2471">
        <v>48000</v>
      </c>
      <c r="C2471" t="str">
        <f t="shared" si="38"/>
        <v>4. $250K-1M</v>
      </c>
      <c r="D2471" t="s">
        <v>1109</v>
      </c>
      <c r="E2471" t="s">
        <v>237</v>
      </c>
      <c r="F2471" t="s">
        <v>670</v>
      </c>
      <c r="G2471" t="s">
        <v>59</v>
      </c>
      <c r="H2471">
        <v>2023</v>
      </c>
    </row>
    <row r="2472" spans="1:8" x14ac:dyDescent="0.2">
      <c r="A2472">
        <v>222176</v>
      </c>
      <c r="B2472">
        <v>125000</v>
      </c>
      <c r="C2472" t="str">
        <f t="shared" si="38"/>
        <v>2. $10K-50K</v>
      </c>
      <c r="D2472" t="s">
        <v>907</v>
      </c>
      <c r="E2472" t="s">
        <v>237</v>
      </c>
      <c r="F2472" t="s">
        <v>670</v>
      </c>
      <c r="G2472" t="s">
        <v>59</v>
      </c>
      <c r="H2472">
        <v>2023</v>
      </c>
    </row>
    <row r="2473" spans="1:8" x14ac:dyDescent="0.2">
      <c r="A2473">
        <v>222177</v>
      </c>
      <c r="B2473">
        <v>46731</v>
      </c>
      <c r="C2473" t="str">
        <f t="shared" si="38"/>
        <v>3. $50K-250K</v>
      </c>
      <c r="D2473" t="s">
        <v>1503</v>
      </c>
      <c r="E2473" t="s">
        <v>237</v>
      </c>
      <c r="F2473" t="s">
        <v>670</v>
      </c>
      <c r="G2473" t="s">
        <v>59</v>
      </c>
      <c r="H2473">
        <v>2023</v>
      </c>
    </row>
    <row r="2474" spans="1:8" x14ac:dyDescent="0.2">
      <c r="A2474">
        <v>222178</v>
      </c>
      <c r="B2474">
        <v>138000</v>
      </c>
      <c r="C2474" t="str">
        <f t="shared" si="38"/>
        <v>2. $10K-50K</v>
      </c>
      <c r="D2474" t="s">
        <v>781</v>
      </c>
      <c r="E2474" t="s">
        <v>237</v>
      </c>
      <c r="F2474" t="s">
        <v>670</v>
      </c>
      <c r="G2474" t="s">
        <v>59</v>
      </c>
      <c r="H2474">
        <v>2023</v>
      </c>
    </row>
    <row r="2475" spans="1:8" x14ac:dyDescent="0.2">
      <c r="A2475">
        <v>222179</v>
      </c>
      <c r="B2475">
        <v>69000</v>
      </c>
      <c r="C2475" t="str">
        <f t="shared" si="38"/>
        <v>3. $50K-250K</v>
      </c>
      <c r="D2475" t="s">
        <v>1180</v>
      </c>
      <c r="E2475" t="s">
        <v>237</v>
      </c>
      <c r="F2475" t="s">
        <v>670</v>
      </c>
      <c r="G2475" t="s">
        <v>59</v>
      </c>
      <c r="H2475">
        <v>2023</v>
      </c>
    </row>
    <row r="2476" spans="1:8" x14ac:dyDescent="0.2">
      <c r="A2476">
        <v>222180</v>
      </c>
      <c r="B2476">
        <v>314626</v>
      </c>
      <c r="C2476" t="str">
        <f t="shared" si="38"/>
        <v>3. $50K-250K</v>
      </c>
      <c r="D2476" t="s">
        <v>671</v>
      </c>
      <c r="E2476" t="s">
        <v>237</v>
      </c>
      <c r="F2476" t="s">
        <v>670</v>
      </c>
      <c r="G2476" t="s">
        <v>59</v>
      </c>
      <c r="H2476">
        <v>2023</v>
      </c>
    </row>
    <row r="2477" spans="1:8" x14ac:dyDescent="0.2">
      <c r="A2477">
        <v>222182</v>
      </c>
      <c r="B2477">
        <v>93172.9</v>
      </c>
      <c r="C2477" t="str">
        <f t="shared" si="38"/>
        <v>4. $250K-1M</v>
      </c>
      <c r="D2477" t="s">
        <v>857</v>
      </c>
      <c r="E2477" t="s">
        <v>237</v>
      </c>
      <c r="F2477" t="s">
        <v>670</v>
      </c>
      <c r="G2477" t="s">
        <v>59</v>
      </c>
      <c r="H2477">
        <v>2023</v>
      </c>
    </row>
    <row r="2478" spans="1:8" x14ac:dyDescent="0.2">
      <c r="A2478">
        <v>222183</v>
      </c>
      <c r="B2478">
        <v>36668</v>
      </c>
      <c r="C2478" t="str">
        <f t="shared" si="38"/>
        <v>3. $50K-250K</v>
      </c>
      <c r="D2478" t="s">
        <v>719</v>
      </c>
      <c r="E2478" t="s">
        <v>237</v>
      </c>
      <c r="F2478" t="s">
        <v>670</v>
      </c>
      <c r="G2478" t="s">
        <v>59</v>
      </c>
      <c r="H2478">
        <v>2023</v>
      </c>
    </row>
    <row r="2479" spans="1:8" x14ac:dyDescent="0.2">
      <c r="A2479">
        <v>222184</v>
      </c>
      <c r="B2479">
        <v>513325.6</v>
      </c>
      <c r="C2479" t="str">
        <f t="shared" si="38"/>
        <v>2. $10K-50K</v>
      </c>
      <c r="D2479" t="s">
        <v>701</v>
      </c>
      <c r="E2479" t="s">
        <v>237</v>
      </c>
      <c r="F2479" t="s">
        <v>670</v>
      </c>
      <c r="G2479" t="s">
        <v>59</v>
      </c>
      <c r="H2479">
        <v>2023</v>
      </c>
    </row>
    <row r="2480" spans="1:8" x14ac:dyDescent="0.2">
      <c r="A2480">
        <v>222185</v>
      </c>
      <c r="B2480">
        <v>127731</v>
      </c>
      <c r="C2480" t="str">
        <f t="shared" si="38"/>
        <v>4. $250K-1M</v>
      </c>
      <c r="D2480" t="s">
        <v>877</v>
      </c>
      <c r="E2480" t="s">
        <v>237</v>
      </c>
      <c r="F2480" t="s">
        <v>670</v>
      </c>
      <c r="G2480" t="s">
        <v>59</v>
      </c>
      <c r="H2480">
        <v>2023</v>
      </c>
    </row>
    <row r="2481" spans="1:8" x14ac:dyDescent="0.2">
      <c r="A2481">
        <v>222186</v>
      </c>
      <c r="B2481">
        <v>33980</v>
      </c>
      <c r="C2481" t="str">
        <f t="shared" si="38"/>
        <v>3. $50K-250K</v>
      </c>
      <c r="D2481" t="s">
        <v>861</v>
      </c>
      <c r="E2481" t="s">
        <v>237</v>
      </c>
      <c r="F2481" t="s">
        <v>670</v>
      </c>
      <c r="G2481" t="s">
        <v>59</v>
      </c>
      <c r="H2481">
        <v>2023</v>
      </c>
    </row>
    <row r="2482" spans="1:8" x14ac:dyDescent="0.2">
      <c r="A2482">
        <v>222187</v>
      </c>
      <c r="B2482">
        <v>60000</v>
      </c>
      <c r="C2482" t="str">
        <f t="shared" si="38"/>
        <v>2. $10K-50K</v>
      </c>
      <c r="D2482" t="s">
        <v>872</v>
      </c>
      <c r="E2482" t="s">
        <v>237</v>
      </c>
      <c r="F2482" t="s">
        <v>670</v>
      </c>
      <c r="G2482" t="s">
        <v>59</v>
      </c>
      <c r="H2482">
        <v>2023</v>
      </c>
    </row>
    <row r="2483" spans="1:8" x14ac:dyDescent="0.2">
      <c r="A2483">
        <v>222188</v>
      </c>
      <c r="B2483">
        <v>1050000</v>
      </c>
      <c r="C2483" t="str">
        <f t="shared" si="38"/>
        <v>3. $50K-250K</v>
      </c>
      <c r="D2483" t="s">
        <v>868</v>
      </c>
      <c r="E2483" t="s">
        <v>237</v>
      </c>
      <c r="F2483" t="s">
        <v>670</v>
      </c>
      <c r="G2483" t="s">
        <v>59</v>
      </c>
      <c r="H2483">
        <v>2023</v>
      </c>
    </row>
    <row r="2484" spans="1:8" x14ac:dyDescent="0.2">
      <c r="A2484">
        <v>222189</v>
      </c>
      <c r="B2484">
        <v>46666</v>
      </c>
      <c r="C2484" t="str">
        <f t="shared" si="38"/>
        <v>5. $1M+</v>
      </c>
      <c r="D2484" t="s">
        <v>682</v>
      </c>
      <c r="E2484" t="s">
        <v>237</v>
      </c>
      <c r="F2484" t="s">
        <v>670</v>
      </c>
      <c r="G2484" t="s">
        <v>59</v>
      </c>
      <c r="H2484">
        <v>2023</v>
      </c>
    </row>
    <row r="2485" spans="1:8" x14ac:dyDescent="0.2">
      <c r="A2485">
        <v>222190</v>
      </c>
      <c r="B2485">
        <v>285635.09999999998</v>
      </c>
      <c r="C2485" t="str">
        <f t="shared" si="38"/>
        <v>2. $10K-50K</v>
      </c>
      <c r="D2485" t="s">
        <v>697</v>
      </c>
      <c r="E2485" t="s">
        <v>237</v>
      </c>
      <c r="F2485" t="s">
        <v>670</v>
      </c>
      <c r="G2485" t="s">
        <v>59</v>
      </c>
      <c r="H2485">
        <v>2023</v>
      </c>
    </row>
    <row r="2486" spans="1:8" x14ac:dyDescent="0.2">
      <c r="A2486">
        <v>222191</v>
      </c>
      <c r="B2486">
        <v>1475684.6</v>
      </c>
      <c r="C2486" t="str">
        <f t="shared" si="38"/>
        <v>4. $250K-1M</v>
      </c>
      <c r="D2486" t="s">
        <v>704</v>
      </c>
      <c r="E2486" t="s">
        <v>237</v>
      </c>
      <c r="F2486" t="s">
        <v>670</v>
      </c>
      <c r="G2486" t="s">
        <v>59</v>
      </c>
      <c r="H2486">
        <v>2023</v>
      </c>
    </row>
    <row r="2487" spans="1:8" x14ac:dyDescent="0.2">
      <c r="A2487">
        <v>222192</v>
      </c>
      <c r="B2487">
        <v>69413.8</v>
      </c>
      <c r="C2487" t="str">
        <f t="shared" si="38"/>
        <v>5. $1M+</v>
      </c>
      <c r="D2487" t="s">
        <v>861</v>
      </c>
      <c r="E2487" t="s">
        <v>237</v>
      </c>
      <c r="F2487" t="s">
        <v>670</v>
      </c>
      <c r="G2487" t="s">
        <v>59</v>
      </c>
      <c r="H2487">
        <v>2023</v>
      </c>
    </row>
    <row r="2488" spans="1:8" x14ac:dyDescent="0.2">
      <c r="A2488">
        <v>222193</v>
      </c>
      <c r="B2488">
        <v>241172</v>
      </c>
      <c r="C2488" t="str">
        <f t="shared" si="38"/>
        <v>3. $50K-250K</v>
      </c>
      <c r="D2488" t="s">
        <v>807</v>
      </c>
      <c r="E2488" t="s">
        <v>237</v>
      </c>
      <c r="F2488" t="s">
        <v>670</v>
      </c>
      <c r="G2488" t="s">
        <v>59</v>
      </c>
      <c r="H2488">
        <v>2023</v>
      </c>
    </row>
    <row r="2489" spans="1:8" x14ac:dyDescent="0.2">
      <c r="A2489">
        <v>222194</v>
      </c>
      <c r="B2489">
        <v>395308.9</v>
      </c>
      <c r="C2489" t="str">
        <f t="shared" si="38"/>
        <v>3. $50K-250K</v>
      </c>
      <c r="D2489" t="s">
        <v>712</v>
      </c>
      <c r="E2489" t="s">
        <v>237</v>
      </c>
      <c r="F2489" t="s">
        <v>670</v>
      </c>
      <c r="G2489" t="s">
        <v>59</v>
      </c>
      <c r="H2489">
        <v>2023</v>
      </c>
    </row>
    <row r="2490" spans="1:8" x14ac:dyDescent="0.2">
      <c r="A2490">
        <v>222195</v>
      </c>
      <c r="B2490">
        <v>116800</v>
      </c>
      <c r="C2490" t="str">
        <f t="shared" si="38"/>
        <v>4. $250K-1M</v>
      </c>
      <c r="D2490" t="s">
        <v>807</v>
      </c>
      <c r="E2490" t="s">
        <v>237</v>
      </c>
      <c r="F2490" t="s">
        <v>670</v>
      </c>
      <c r="G2490" t="s">
        <v>59</v>
      </c>
      <c r="H2490">
        <v>2023</v>
      </c>
    </row>
    <row r="2491" spans="1:8" x14ac:dyDescent="0.2">
      <c r="A2491">
        <v>222196</v>
      </c>
      <c r="B2491">
        <v>433530.7</v>
      </c>
      <c r="C2491" t="str">
        <f t="shared" si="38"/>
        <v>3. $50K-250K</v>
      </c>
      <c r="D2491" t="s">
        <v>712</v>
      </c>
      <c r="E2491" t="s">
        <v>237</v>
      </c>
      <c r="F2491" t="s">
        <v>670</v>
      </c>
      <c r="G2491" t="s">
        <v>59</v>
      </c>
      <c r="H2491">
        <v>2023</v>
      </c>
    </row>
    <row r="2492" spans="1:8" x14ac:dyDescent="0.2">
      <c r="A2492">
        <v>222197</v>
      </c>
      <c r="B2492">
        <v>944123.3</v>
      </c>
      <c r="C2492" t="str">
        <f t="shared" si="38"/>
        <v>4. $250K-1M</v>
      </c>
      <c r="D2492" t="s">
        <v>693</v>
      </c>
      <c r="E2492" t="s">
        <v>237</v>
      </c>
      <c r="F2492" t="s">
        <v>670</v>
      </c>
      <c r="G2492" t="s">
        <v>59</v>
      </c>
      <c r="H2492">
        <v>2023</v>
      </c>
    </row>
    <row r="2493" spans="1:8" x14ac:dyDescent="0.2">
      <c r="A2493">
        <v>222198</v>
      </c>
      <c r="B2493">
        <v>1383988</v>
      </c>
      <c r="C2493" t="str">
        <f t="shared" si="38"/>
        <v>4. $250K-1M</v>
      </c>
      <c r="D2493" t="s">
        <v>711</v>
      </c>
      <c r="E2493" t="s">
        <v>237</v>
      </c>
      <c r="F2493" t="s">
        <v>670</v>
      </c>
      <c r="G2493" t="s">
        <v>59</v>
      </c>
      <c r="H2493">
        <v>2023</v>
      </c>
    </row>
    <row r="2494" spans="1:8" x14ac:dyDescent="0.2">
      <c r="A2494">
        <v>222199</v>
      </c>
      <c r="B2494">
        <v>562168.1</v>
      </c>
      <c r="C2494" t="str">
        <f t="shared" si="38"/>
        <v>5. $1M+</v>
      </c>
      <c r="D2494" t="s">
        <v>693</v>
      </c>
      <c r="E2494" t="s">
        <v>237</v>
      </c>
      <c r="F2494" t="s">
        <v>670</v>
      </c>
      <c r="G2494" t="s">
        <v>59</v>
      </c>
      <c r="H2494">
        <v>2023</v>
      </c>
    </row>
    <row r="2495" spans="1:8" x14ac:dyDescent="0.2">
      <c r="A2495">
        <v>222200</v>
      </c>
      <c r="B2495">
        <v>2961785.8</v>
      </c>
      <c r="C2495" t="str">
        <f t="shared" si="38"/>
        <v>4. $250K-1M</v>
      </c>
      <c r="D2495" t="s">
        <v>697</v>
      </c>
      <c r="E2495" t="s">
        <v>237</v>
      </c>
      <c r="F2495" t="s">
        <v>670</v>
      </c>
      <c r="G2495" t="s">
        <v>59</v>
      </c>
      <c r="H2495">
        <v>2023</v>
      </c>
    </row>
    <row r="2496" spans="1:8" x14ac:dyDescent="0.2">
      <c r="A2496">
        <v>222201</v>
      </c>
      <c r="B2496">
        <v>771044.3</v>
      </c>
      <c r="C2496" t="str">
        <f t="shared" si="38"/>
        <v>5. $1M+</v>
      </c>
      <c r="D2496" t="s">
        <v>762</v>
      </c>
      <c r="E2496" t="s">
        <v>237</v>
      </c>
      <c r="F2496" t="s">
        <v>670</v>
      </c>
      <c r="G2496" t="s">
        <v>59</v>
      </c>
      <c r="H2496">
        <v>2023</v>
      </c>
    </row>
    <row r="2497" spans="1:8" x14ac:dyDescent="0.2">
      <c r="A2497">
        <v>222202</v>
      </c>
      <c r="B2497">
        <v>491260.1</v>
      </c>
      <c r="C2497" t="str">
        <f t="shared" si="38"/>
        <v>4. $250K-1M</v>
      </c>
      <c r="D2497" t="s">
        <v>697</v>
      </c>
      <c r="E2497" t="s">
        <v>237</v>
      </c>
      <c r="F2497" t="s">
        <v>670</v>
      </c>
      <c r="G2497" t="s">
        <v>59</v>
      </c>
      <c r="H2497">
        <v>2023</v>
      </c>
    </row>
    <row r="2498" spans="1:8" x14ac:dyDescent="0.2">
      <c r="A2498">
        <v>22223</v>
      </c>
      <c r="B2498">
        <v>66699.8</v>
      </c>
      <c r="C2498" t="str">
        <f t="shared" si="38"/>
        <v>4. $250K-1M</v>
      </c>
      <c r="D2498" t="s">
        <v>1504</v>
      </c>
      <c r="E2498" t="s">
        <v>52</v>
      </c>
      <c r="F2498" t="s">
        <v>664</v>
      </c>
      <c r="G2498" t="s">
        <v>59</v>
      </c>
      <c r="H2498">
        <v>2023</v>
      </c>
    </row>
    <row r="2499" spans="1:8" x14ac:dyDescent="0.2">
      <c r="A2499">
        <v>222274</v>
      </c>
      <c r="B2499">
        <v>326333</v>
      </c>
      <c r="C2499" t="str">
        <f t="shared" ref="C2499:C2562" si="39">IF(B2498&lt;10000,"1. Under $10K",IF(B2498&lt;50000,"2. $10K-50K",IF(B2498&lt;250000,"3. $50K-250K",IF(B2498&lt;1000000,"4. $250K-1M","5. $1M+"))))</f>
        <v>3. $50K-250K</v>
      </c>
      <c r="D2499" t="s">
        <v>968</v>
      </c>
      <c r="E2499" t="s">
        <v>42</v>
      </c>
      <c r="F2499" t="s">
        <v>670</v>
      </c>
      <c r="G2499" t="s">
        <v>59</v>
      </c>
      <c r="H2499">
        <v>2023</v>
      </c>
    </row>
    <row r="2500" spans="1:8" x14ac:dyDescent="0.2">
      <c r="A2500">
        <v>222275</v>
      </c>
      <c r="B2500">
        <v>232034.4</v>
      </c>
      <c r="C2500" t="str">
        <f t="shared" si="39"/>
        <v>4. $250K-1M</v>
      </c>
      <c r="D2500" t="s">
        <v>669</v>
      </c>
      <c r="E2500" t="s">
        <v>42</v>
      </c>
      <c r="F2500" t="s">
        <v>670</v>
      </c>
      <c r="G2500" t="s">
        <v>59</v>
      </c>
      <c r="H2500">
        <v>2023</v>
      </c>
    </row>
    <row r="2501" spans="1:8" x14ac:dyDescent="0.2">
      <c r="A2501">
        <v>222286</v>
      </c>
      <c r="B2501">
        <v>88317</v>
      </c>
      <c r="C2501" t="str">
        <f t="shared" si="39"/>
        <v>3. $50K-250K</v>
      </c>
      <c r="D2501" t="s">
        <v>938</v>
      </c>
      <c r="E2501" t="s">
        <v>237</v>
      </c>
      <c r="F2501" t="s">
        <v>670</v>
      </c>
      <c r="G2501" t="s">
        <v>59</v>
      </c>
      <c r="H2501">
        <v>2023</v>
      </c>
    </row>
    <row r="2502" spans="1:8" x14ac:dyDescent="0.2">
      <c r="A2502">
        <v>222288</v>
      </c>
      <c r="B2502">
        <v>57059</v>
      </c>
      <c r="C2502" t="str">
        <f t="shared" si="39"/>
        <v>3. $50K-250K</v>
      </c>
      <c r="D2502" t="s">
        <v>870</v>
      </c>
      <c r="E2502" t="s">
        <v>237</v>
      </c>
      <c r="F2502" t="s">
        <v>670</v>
      </c>
      <c r="G2502" t="s">
        <v>59</v>
      </c>
      <c r="H2502">
        <v>2023</v>
      </c>
    </row>
    <row r="2503" spans="1:8" x14ac:dyDescent="0.2">
      <c r="A2503">
        <v>222292</v>
      </c>
      <c r="B2503">
        <v>365535.7</v>
      </c>
      <c r="C2503" t="str">
        <f t="shared" si="39"/>
        <v>3. $50K-250K</v>
      </c>
      <c r="D2503" t="s">
        <v>782</v>
      </c>
      <c r="E2503" t="s">
        <v>42</v>
      </c>
      <c r="F2503" t="s">
        <v>670</v>
      </c>
      <c r="G2503" t="s">
        <v>59</v>
      </c>
      <c r="H2503">
        <v>2023</v>
      </c>
    </row>
    <row r="2504" spans="1:8" x14ac:dyDescent="0.2">
      <c r="A2504">
        <v>222295</v>
      </c>
      <c r="B2504">
        <v>60000</v>
      </c>
      <c r="C2504" t="str">
        <f t="shared" si="39"/>
        <v>4. $250K-1M</v>
      </c>
      <c r="D2504" t="s">
        <v>890</v>
      </c>
      <c r="E2504" t="s">
        <v>237</v>
      </c>
      <c r="F2504" t="s">
        <v>670</v>
      </c>
      <c r="G2504" t="s">
        <v>59</v>
      </c>
      <c r="H2504">
        <v>2023</v>
      </c>
    </row>
    <row r="2505" spans="1:8" x14ac:dyDescent="0.2">
      <c r="A2505">
        <v>222314</v>
      </c>
      <c r="B2505">
        <v>355639.1</v>
      </c>
      <c r="C2505" t="str">
        <f t="shared" si="39"/>
        <v>3. $50K-250K</v>
      </c>
      <c r="D2505" t="s">
        <v>902</v>
      </c>
      <c r="E2505" t="s">
        <v>237</v>
      </c>
      <c r="F2505" t="s">
        <v>670</v>
      </c>
      <c r="G2505" t="s">
        <v>59</v>
      </c>
      <c r="H2505">
        <v>2023</v>
      </c>
    </row>
    <row r="2506" spans="1:8" x14ac:dyDescent="0.2">
      <c r="A2506">
        <v>222317</v>
      </c>
      <c r="B2506">
        <v>4197230</v>
      </c>
      <c r="C2506" t="str">
        <f t="shared" si="39"/>
        <v>4. $250K-1M</v>
      </c>
      <c r="D2506" t="s">
        <v>50</v>
      </c>
      <c r="E2506" t="s">
        <v>8</v>
      </c>
      <c r="F2506" t="s">
        <v>14</v>
      </c>
      <c r="G2506" t="s">
        <v>15</v>
      </c>
      <c r="H2506">
        <v>2023</v>
      </c>
    </row>
    <row r="2507" spans="1:8" x14ac:dyDescent="0.2">
      <c r="A2507">
        <v>222321</v>
      </c>
      <c r="B2507">
        <v>100000</v>
      </c>
      <c r="C2507" t="str">
        <f t="shared" si="39"/>
        <v>5. $1M+</v>
      </c>
      <c r="D2507" t="s">
        <v>1505</v>
      </c>
      <c r="E2507" t="s">
        <v>825</v>
      </c>
      <c r="F2507" t="s">
        <v>670</v>
      </c>
      <c r="G2507" t="s">
        <v>59</v>
      </c>
      <c r="H2507">
        <v>2023</v>
      </c>
    </row>
    <row r="2508" spans="1:8" x14ac:dyDescent="0.2">
      <c r="A2508">
        <v>222324</v>
      </c>
      <c r="B2508">
        <v>15000</v>
      </c>
      <c r="C2508" t="str">
        <f t="shared" si="39"/>
        <v>3. $50K-250K</v>
      </c>
      <c r="D2508" t="s">
        <v>1506</v>
      </c>
      <c r="E2508" t="s">
        <v>368</v>
      </c>
      <c r="F2508" t="s">
        <v>670</v>
      </c>
      <c r="G2508" t="s">
        <v>59</v>
      </c>
      <c r="H2508">
        <v>2023</v>
      </c>
    </row>
    <row r="2509" spans="1:8" x14ac:dyDescent="0.2">
      <c r="A2509">
        <v>222360</v>
      </c>
      <c r="B2509">
        <v>105120</v>
      </c>
      <c r="C2509" t="str">
        <f t="shared" si="39"/>
        <v>2. $10K-50K</v>
      </c>
      <c r="D2509" t="s">
        <v>870</v>
      </c>
      <c r="E2509" t="s">
        <v>237</v>
      </c>
      <c r="F2509" t="s">
        <v>670</v>
      </c>
      <c r="G2509" t="s">
        <v>59</v>
      </c>
      <c r="H2509">
        <v>2023</v>
      </c>
    </row>
    <row r="2510" spans="1:8" x14ac:dyDescent="0.2">
      <c r="A2510">
        <v>222388</v>
      </c>
      <c r="B2510">
        <v>105000000</v>
      </c>
      <c r="C2510" t="str">
        <f t="shared" si="39"/>
        <v>3. $50K-250K</v>
      </c>
      <c r="D2510" t="s">
        <v>81</v>
      </c>
      <c r="E2510" t="s">
        <v>69</v>
      </c>
      <c r="F2510" t="s">
        <v>43</v>
      </c>
      <c r="G2510" t="s">
        <v>61</v>
      </c>
      <c r="H2510">
        <v>2023</v>
      </c>
    </row>
    <row r="2511" spans="1:8" x14ac:dyDescent="0.2">
      <c r="A2511">
        <v>222390</v>
      </c>
      <c r="B2511">
        <v>4771354.4000000004</v>
      </c>
      <c r="C2511" t="str">
        <f t="shared" si="39"/>
        <v>5. $1M+</v>
      </c>
      <c r="D2511" t="s">
        <v>230</v>
      </c>
      <c r="E2511" t="s">
        <v>69</v>
      </c>
      <c r="F2511" t="s">
        <v>231</v>
      </c>
      <c r="G2511" t="s">
        <v>232</v>
      </c>
      <c r="H2511">
        <v>2023</v>
      </c>
    </row>
    <row r="2512" spans="1:8" x14ac:dyDescent="0.2">
      <c r="A2512">
        <v>222553</v>
      </c>
      <c r="B2512">
        <v>1494715.8</v>
      </c>
      <c r="C2512" t="str">
        <f t="shared" si="39"/>
        <v>5. $1M+</v>
      </c>
      <c r="D2512" t="s">
        <v>1032</v>
      </c>
      <c r="E2512" t="s">
        <v>237</v>
      </c>
      <c r="F2512" t="s">
        <v>670</v>
      </c>
      <c r="G2512" t="s">
        <v>59</v>
      </c>
      <c r="H2512">
        <v>2023</v>
      </c>
    </row>
    <row r="2513" spans="1:8" x14ac:dyDescent="0.2">
      <c r="A2513">
        <v>222554</v>
      </c>
      <c r="B2513">
        <v>80000</v>
      </c>
      <c r="C2513" t="str">
        <f t="shared" si="39"/>
        <v>5. $1M+</v>
      </c>
      <c r="D2513" t="s">
        <v>1021</v>
      </c>
      <c r="E2513" t="s">
        <v>237</v>
      </c>
      <c r="F2513" t="s">
        <v>670</v>
      </c>
      <c r="G2513" t="s">
        <v>59</v>
      </c>
      <c r="H2513">
        <v>2023</v>
      </c>
    </row>
    <row r="2514" spans="1:8" x14ac:dyDescent="0.2">
      <c r="A2514">
        <v>222555</v>
      </c>
      <c r="B2514">
        <v>80000</v>
      </c>
      <c r="C2514" t="str">
        <f t="shared" si="39"/>
        <v>3. $50K-250K</v>
      </c>
      <c r="D2514" t="s">
        <v>694</v>
      </c>
      <c r="E2514" t="s">
        <v>237</v>
      </c>
      <c r="F2514" t="s">
        <v>670</v>
      </c>
      <c r="G2514" t="s">
        <v>59</v>
      </c>
      <c r="H2514">
        <v>2023</v>
      </c>
    </row>
    <row r="2515" spans="1:8" x14ac:dyDescent="0.2">
      <c r="A2515">
        <v>222556</v>
      </c>
      <c r="B2515">
        <v>20608</v>
      </c>
      <c r="C2515" t="str">
        <f t="shared" si="39"/>
        <v>3. $50K-250K</v>
      </c>
      <c r="D2515" t="s">
        <v>783</v>
      </c>
      <c r="E2515" t="s">
        <v>237</v>
      </c>
      <c r="F2515" t="s">
        <v>670</v>
      </c>
      <c r="G2515" t="s">
        <v>59</v>
      </c>
      <c r="H2515">
        <v>2023</v>
      </c>
    </row>
    <row r="2516" spans="1:8" x14ac:dyDescent="0.2">
      <c r="A2516">
        <v>222557</v>
      </c>
      <c r="B2516">
        <v>154674</v>
      </c>
      <c r="C2516" t="str">
        <f t="shared" si="39"/>
        <v>2. $10K-50K</v>
      </c>
      <c r="D2516" t="s">
        <v>705</v>
      </c>
      <c r="E2516" t="s">
        <v>237</v>
      </c>
      <c r="F2516" t="s">
        <v>670</v>
      </c>
      <c r="G2516" t="s">
        <v>59</v>
      </c>
      <c r="H2516">
        <v>2023</v>
      </c>
    </row>
    <row r="2517" spans="1:8" x14ac:dyDescent="0.2">
      <c r="A2517">
        <v>222558</v>
      </c>
      <c r="B2517">
        <v>80000</v>
      </c>
      <c r="C2517" t="str">
        <f t="shared" si="39"/>
        <v>3. $50K-250K</v>
      </c>
      <c r="D2517" t="s">
        <v>977</v>
      </c>
      <c r="E2517" t="s">
        <v>237</v>
      </c>
      <c r="F2517" t="s">
        <v>670</v>
      </c>
      <c r="G2517" t="s">
        <v>59</v>
      </c>
      <c r="H2517">
        <v>2023</v>
      </c>
    </row>
    <row r="2518" spans="1:8" x14ac:dyDescent="0.2">
      <c r="A2518">
        <v>222560</v>
      </c>
      <c r="B2518">
        <v>54000</v>
      </c>
      <c r="C2518" t="str">
        <f t="shared" si="39"/>
        <v>3. $50K-250K</v>
      </c>
      <c r="D2518" t="s">
        <v>920</v>
      </c>
      <c r="E2518" t="s">
        <v>237</v>
      </c>
      <c r="F2518" t="s">
        <v>670</v>
      </c>
      <c r="G2518" t="s">
        <v>59</v>
      </c>
      <c r="H2518">
        <v>2023</v>
      </c>
    </row>
    <row r="2519" spans="1:8" x14ac:dyDescent="0.2">
      <c r="A2519">
        <v>222561</v>
      </c>
      <c r="B2519">
        <v>36000</v>
      </c>
      <c r="C2519" t="str">
        <f t="shared" si="39"/>
        <v>3. $50K-250K</v>
      </c>
      <c r="D2519" t="s">
        <v>697</v>
      </c>
      <c r="E2519" t="s">
        <v>237</v>
      </c>
      <c r="F2519" t="s">
        <v>670</v>
      </c>
      <c r="G2519" t="s">
        <v>59</v>
      </c>
      <c r="H2519">
        <v>2023</v>
      </c>
    </row>
    <row r="2520" spans="1:8" x14ac:dyDescent="0.2">
      <c r="A2520">
        <v>222562</v>
      </c>
      <c r="B2520">
        <v>54000</v>
      </c>
      <c r="C2520" t="str">
        <f t="shared" si="39"/>
        <v>2. $10K-50K</v>
      </c>
      <c r="D2520" t="s">
        <v>1068</v>
      </c>
      <c r="E2520" t="s">
        <v>237</v>
      </c>
      <c r="F2520" t="s">
        <v>670</v>
      </c>
      <c r="G2520" t="s">
        <v>59</v>
      </c>
      <c r="H2520">
        <v>2023</v>
      </c>
    </row>
    <row r="2521" spans="1:8" x14ac:dyDescent="0.2">
      <c r="A2521">
        <v>222563</v>
      </c>
      <c r="B2521">
        <v>100000</v>
      </c>
      <c r="C2521" t="str">
        <f t="shared" si="39"/>
        <v>3. $50K-250K</v>
      </c>
      <c r="D2521" t="s">
        <v>785</v>
      </c>
      <c r="E2521" t="s">
        <v>237</v>
      </c>
      <c r="F2521" t="s">
        <v>670</v>
      </c>
      <c r="G2521" t="s">
        <v>59</v>
      </c>
      <c r="H2521">
        <v>2023</v>
      </c>
    </row>
    <row r="2522" spans="1:8" x14ac:dyDescent="0.2">
      <c r="A2522">
        <v>222564</v>
      </c>
      <c r="B2522">
        <v>108000</v>
      </c>
      <c r="C2522" t="str">
        <f t="shared" si="39"/>
        <v>3. $50K-250K</v>
      </c>
      <c r="D2522" t="s">
        <v>719</v>
      </c>
      <c r="E2522" t="s">
        <v>237</v>
      </c>
      <c r="F2522" t="s">
        <v>670</v>
      </c>
      <c r="G2522" t="s">
        <v>59</v>
      </c>
      <c r="H2522">
        <v>2023</v>
      </c>
    </row>
    <row r="2523" spans="1:8" x14ac:dyDescent="0.2">
      <c r="A2523">
        <v>222565</v>
      </c>
      <c r="B2523">
        <v>54000</v>
      </c>
      <c r="C2523" t="str">
        <f t="shared" si="39"/>
        <v>3. $50K-250K</v>
      </c>
      <c r="D2523" t="s">
        <v>983</v>
      </c>
      <c r="E2523" t="s">
        <v>237</v>
      </c>
      <c r="F2523" t="s">
        <v>670</v>
      </c>
      <c r="G2523" t="s">
        <v>59</v>
      </c>
      <c r="H2523">
        <v>2023</v>
      </c>
    </row>
    <row r="2524" spans="1:8" x14ac:dyDescent="0.2">
      <c r="A2524">
        <v>222566</v>
      </c>
      <c r="B2524">
        <v>54000</v>
      </c>
      <c r="C2524" t="str">
        <f t="shared" si="39"/>
        <v>3. $50K-250K</v>
      </c>
      <c r="D2524" t="s">
        <v>983</v>
      </c>
      <c r="E2524" t="s">
        <v>237</v>
      </c>
      <c r="F2524" t="s">
        <v>670</v>
      </c>
      <c r="G2524" t="s">
        <v>59</v>
      </c>
      <c r="H2524">
        <v>2023</v>
      </c>
    </row>
    <row r="2525" spans="1:8" x14ac:dyDescent="0.2">
      <c r="A2525">
        <v>222567</v>
      </c>
      <c r="B2525">
        <v>108000</v>
      </c>
      <c r="C2525" t="str">
        <f t="shared" si="39"/>
        <v>3. $50K-250K</v>
      </c>
      <c r="D2525" t="s">
        <v>983</v>
      </c>
      <c r="E2525" t="s">
        <v>237</v>
      </c>
      <c r="F2525" t="s">
        <v>670</v>
      </c>
      <c r="G2525" t="s">
        <v>59</v>
      </c>
      <c r="H2525">
        <v>2023</v>
      </c>
    </row>
    <row r="2526" spans="1:8" x14ac:dyDescent="0.2">
      <c r="A2526">
        <v>222568</v>
      </c>
      <c r="B2526">
        <v>81000</v>
      </c>
      <c r="C2526" t="str">
        <f t="shared" si="39"/>
        <v>3. $50K-250K</v>
      </c>
      <c r="D2526" t="s">
        <v>983</v>
      </c>
      <c r="E2526" t="s">
        <v>237</v>
      </c>
      <c r="F2526" t="s">
        <v>670</v>
      </c>
      <c r="G2526" t="s">
        <v>59</v>
      </c>
      <c r="H2526">
        <v>2023</v>
      </c>
    </row>
    <row r="2527" spans="1:8" x14ac:dyDescent="0.2">
      <c r="A2527">
        <v>222569</v>
      </c>
      <c r="B2527">
        <v>54000</v>
      </c>
      <c r="C2527" t="str">
        <f t="shared" si="39"/>
        <v>3. $50K-250K</v>
      </c>
      <c r="D2527" t="s">
        <v>1075</v>
      </c>
      <c r="E2527" t="s">
        <v>237</v>
      </c>
      <c r="F2527" t="s">
        <v>670</v>
      </c>
      <c r="G2527" t="s">
        <v>59</v>
      </c>
      <c r="H2527">
        <v>2023</v>
      </c>
    </row>
    <row r="2528" spans="1:8" x14ac:dyDescent="0.2">
      <c r="A2528">
        <v>222570</v>
      </c>
      <c r="B2528">
        <v>96000</v>
      </c>
      <c r="C2528" t="str">
        <f t="shared" si="39"/>
        <v>3. $50K-250K</v>
      </c>
      <c r="D2528" t="s">
        <v>1046</v>
      </c>
      <c r="E2528" t="s">
        <v>237</v>
      </c>
      <c r="F2528" t="s">
        <v>670</v>
      </c>
      <c r="G2528" t="s">
        <v>59</v>
      </c>
      <c r="H2528">
        <v>2023</v>
      </c>
    </row>
    <row r="2529" spans="1:8" x14ac:dyDescent="0.2">
      <c r="A2529">
        <v>222571</v>
      </c>
      <c r="B2529">
        <v>41216</v>
      </c>
      <c r="C2529" t="str">
        <f t="shared" si="39"/>
        <v>3. $50K-250K</v>
      </c>
      <c r="D2529" t="s">
        <v>985</v>
      </c>
      <c r="E2529" t="s">
        <v>237</v>
      </c>
      <c r="F2529" t="s">
        <v>670</v>
      </c>
      <c r="G2529" t="s">
        <v>59</v>
      </c>
      <c r="H2529">
        <v>2023</v>
      </c>
    </row>
    <row r="2530" spans="1:8" x14ac:dyDescent="0.2">
      <c r="A2530">
        <v>222572</v>
      </c>
      <c r="B2530">
        <v>340320</v>
      </c>
      <c r="C2530" t="str">
        <f t="shared" si="39"/>
        <v>2. $10K-50K</v>
      </c>
      <c r="D2530" t="s">
        <v>867</v>
      </c>
      <c r="E2530" t="s">
        <v>237</v>
      </c>
      <c r="F2530" t="s">
        <v>670</v>
      </c>
      <c r="G2530" t="s">
        <v>59</v>
      </c>
      <c r="H2530">
        <v>2023</v>
      </c>
    </row>
    <row r="2531" spans="1:8" x14ac:dyDescent="0.2">
      <c r="A2531">
        <v>222573</v>
      </c>
      <c r="B2531">
        <v>990671.8</v>
      </c>
      <c r="C2531" t="str">
        <f t="shared" si="39"/>
        <v>4. $250K-1M</v>
      </c>
      <c r="D2531" t="s">
        <v>710</v>
      </c>
      <c r="E2531" t="s">
        <v>237</v>
      </c>
      <c r="F2531" t="s">
        <v>670</v>
      </c>
      <c r="G2531" t="s">
        <v>59</v>
      </c>
      <c r="H2531">
        <v>2023</v>
      </c>
    </row>
    <row r="2532" spans="1:8" x14ac:dyDescent="0.2">
      <c r="A2532">
        <v>222574</v>
      </c>
      <c r="B2532">
        <v>640000</v>
      </c>
      <c r="C2532" t="str">
        <f t="shared" si="39"/>
        <v>4. $250K-1M</v>
      </c>
      <c r="D2532" t="s">
        <v>548</v>
      </c>
      <c r="E2532" t="s">
        <v>237</v>
      </c>
      <c r="F2532" t="s">
        <v>670</v>
      </c>
      <c r="G2532" t="s">
        <v>59</v>
      </c>
      <c r="H2532">
        <v>2023</v>
      </c>
    </row>
    <row r="2533" spans="1:8" x14ac:dyDescent="0.2">
      <c r="A2533">
        <v>222575</v>
      </c>
      <c r="B2533">
        <v>200550.2</v>
      </c>
      <c r="C2533" t="str">
        <f t="shared" si="39"/>
        <v>4. $250K-1M</v>
      </c>
      <c r="D2533" t="s">
        <v>782</v>
      </c>
      <c r="E2533" t="s">
        <v>42</v>
      </c>
      <c r="F2533" t="s">
        <v>670</v>
      </c>
      <c r="G2533" t="s">
        <v>59</v>
      </c>
      <c r="H2533">
        <v>2023</v>
      </c>
    </row>
    <row r="2534" spans="1:8" x14ac:dyDescent="0.2">
      <c r="A2534">
        <v>222576</v>
      </c>
      <c r="B2534">
        <v>2988586.2</v>
      </c>
      <c r="C2534" t="str">
        <f t="shared" si="39"/>
        <v>3. $50K-250K</v>
      </c>
      <c r="D2534" t="s">
        <v>700</v>
      </c>
      <c r="E2534" t="s">
        <v>237</v>
      </c>
      <c r="F2534" t="s">
        <v>670</v>
      </c>
      <c r="G2534" t="s">
        <v>59</v>
      </c>
      <c r="H2534">
        <v>2023</v>
      </c>
    </row>
    <row r="2535" spans="1:8" x14ac:dyDescent="0.2">
      <c r="A2535">
        <v>222577</v>
      </c>
      <c r="B2535">
        <v>4107515.6</v>
      </c>
      <c r="C2535" t="str">
        <f t="shared" si="39"/>
        <v>5. $1M+</v>
      </c>
      <c r="D2535" t="s">
        <v>700</v>
      </c>
      <c r="E2535" t="s">
        <v>237</v>
      </c>
      <c r="F2535" t="s">
        <v>670</v>
      </c>
      <c r="G2535" t="s">
        <v>59</v>
      </c>
      <c r="H2535">
        <v>2023</v>
      </c>
    </row>
    <row r="2536" spans="1:8" x14ac:dyDescent="0.2">
      <c r="A2536">
        <v>222579</v>
      </c>
      <c r="B2536">
        <v>328453.09999999998</v>
      </c>
      <c r="C2536" t="str">
        <f t="shared" si="39"/>
        <v>5. $1M+</v>
      </c>
      <c r="D2536" t="s">
        <v>936</v>
      </c>
      <c r="E2536" t="s">
        <v>237</v>
      </c>
      <c r="F2536" t="s">
        <v>670</v>
      </c>
      <c r="G2536" t="s">
        <v>59</v>
      </c>
      <c r="H2536">
        <v>2023</v>
      </c>
    </row>
    <row r="2537" spans="1:8" x14ac:dyDescent="0.2">
      <c r="A2537">
        <v>222580</v>
      </c>
      <c r="B2537">
        <v>82630</v>
      </c>
      <c r="C2537" t="str">
        <f t="shared" si="39"/>
        <v>4. $250K-1M</v>
      </c>
      <c r="D2537" t="s">
        <v>890</v>
      </c>
      <c r="E2537" t="s">
        <v>237</v>
      </c>
      <c r="F2537" t="s">
        <v>670</v>
      </c>
      <c r="G2537" t="s">
        <v>59</v>
      </c>
      <c r="H2537">
        <v>2023</v>
      </c>
    </row>
    <row r="2538" spans="1:8" x14ac:dyDescent="0.2">
      <c r="A2538">
        <v>222581</v>
      </c>
      <c r="B2538">
        <v>389386.8</v>
      </c>
      <c r="C2538" t="str">
        <f t="shared" si="39"/>
        <v>3. $50K-250K</v>
      </c>
      <c r="D2538" t="s">
        <v>700</v>
      </c>
      <c r="E2538" t="s">
        <v>237</v>
      </c>
      <c r="F2538" t="s">
        <v>670</v>
      </c>
      <c r="G2538" t="s">
        <v>59</v>
      </c>
      <c r="H2538">
        <v>2023</v>
      </c>
    </row>
    <row r="2539" spans="1:8" x14ac:dyDescent="0.2">
      <c r="A2539">
        <v>222584</v>
      </c>
      <c r="B2539">
        <v>1483439.9</v>
      </c>
      <c r="C2539" t="str">
        <f t="shared" si="39"/>
        <v>4. $250K-1M</v>
      </c>
      <c r="D2539" t="s">
        <v>713</v>
      </c>
      <c r="E2539" t="s">
        <v>237</v>
      </c>
      <c r="F2539" t="s">
        <v>670</v>
      </c>
      <c r="G2539" t="s">
        <v>59</v>
      </c>
      <c r="H2539">
        <v>2023</v>
      </c>
    </row>
    <row r="2540" spans="1:8" x14ac:dyDescent="0.2">
      <c r="A2540">
        <v>222591</v>
      </c>
      <c r="B2540">
        <v>223045.1</v>
      </c>
      <c r="C2540" t="str">
        <f t="shared" si="39"/>
        <v>5. $1M+</v>
      </c>
      <c r="D2540" t="s">
        <v>942</v>
      </c>
      <c r="E2540" t="s">
        <v>825</v>
      </c>
      <c r="F2540" t="s">
        <v>670</v>
      </c>
      <c r="G2540" t="s">
        <v>59</v>
      </c>
      <c r="H2540">
        <v>2023</v>
      </c>
    </row>
    <row r="2541" spans="1:8" x14ac:dyDescent="0.2">
      <c r="A2541">
        <v>222594</v>
      </c>
      <c r="B2541">
        <v>182262.1</v>
      </c>
      <c r="C2541" t="str">
        <f t="shared" si="39"/>
        <v>3. $50K-250K</v>
      </c>
      <c r="D2541" t="s">
        <v>960</v>
      </c>
      <c r="E2541" t="s">
        <v>825</v>
      </c>
      <c r="F2541" t="s">
        <v>670</v>
      </c>
      <c r="G2541" t="s">
        <v>59</v>
      </c>
      <c r="H2541">
        <v>2023</v>
      </c>
    </row>
    <row r="2542" spans="1:8" x14ac:dyDescent="0.2">
      <c r="A2542">
        <v>222600</v>
      </c>
      <c r="B2542">
        <v>26241.199999999899</v>
      </c>
      <c r="C2542" t="str">
        <f t="shared" si="39"/>
        <v>3. $50K-250K</v>
      </c>
      <c r="D2542" t="s">
        <v>839</v>
      </c>
      <c r="E2542" t="s">
        <v>42</v>
      </c>
      <c r="F2542" t="s">
        <v>670</v>
      </c>
      <c r="G2542" t="s">
        <v>59</v>
      </c>
      <c r="H2542">
        <v>2023</v>
      </c>
    </row>
    <row r="2543" spans="1:8" x14ac:dyDescent="0.2">
      <c r="A2543">
        <v>222601</v>
      </c>
      <c r="B2543">
        <v>10667</v>
      </c>
      <c r="C2543" t="str">
        <f t="shared" si="39"/>
        <v>2. $10K-50K</v>
      </c>
      <c r="D2543" t="s">
        <v>711</v>
      </c>
      <c r="E2543" t="s">
        <v>237</v>
      </c>
      <c r="F2543" t="s">
        <v>670</v>
      </c>
      <c r="G2543" t="s">
        <v>59</v>
      </c>
      <c r="H2543">
        <v>2023</v>
      </c>
    </row>
    <row r="2544" spans="1:8" x14ac:dyDescent="0.2">
      <c r="A2544">
        <v>222603</v>
      </c>
      <c r="B2544">
        <v>6600</v>
      </c>
      <c r="C2544" t="str">
        <f t="shared" si="39"/>
        <v>2. $10K-50K</v>
      </c>
      <c r="D2544" t="s">
        <v>694</v>
      </c>
      <c r="E2544" t="s">
        <v>237</v>
      </c>
      <c r="F2544" t="s">
        <v>670</v>
      </c>
      <c r="G2544" t="s">
        <v>59</v>
      </c>
      <c r="H2544">
        <v>2023</v>
      </c>
    </row>
    <row r="2545" spans="1:8" x14ac:dyDescent="0.2">
      <c r="A2545">
        <v>222604</v>
      </c>
      <c r="B2545">
        <v>750000</v>
      </c>
      <c r="C2545" t="str">
        <f t="shared" si="39"/>
        <v>1. Under $10K</v>
      </c>
      <c r="D2545" t="s">
        <v>674</v>
      </c>
      <c r="E2545" t="s">
        <v>42</v>
      </c>
      <c r="F2545" t="s">
        <v>670</v>
      </c>
      <c r="G2545" t="s">
        <v>59</v>
      </c>
      <c r="H2545">
        <v>2023</v>
      </c>
    </row>
    <row r="2546" spans="1:8" x14ac:dyDescent="0.2">
      <c r="A2546">
        <v>222617</v>
      </c>
      <c r="B2546">
        <v>575080</v>
      </c>
      <c r="C2546" t="str">
        <f t="shared" si="39"/>
        <v>4. $250K-1M</v>
      </c>
      <c r="D2546" t="s">
        <v>1388</v>
      </c>
      <c r="E2546" t="s">
        <v>112</v>
      </c>
      <c r="F2546" t="s">
        <v>668</v>
      </c>
      <c r="G2546" t="s">
        <v>59</v>
      </c>
      <c r="H2546">
        <v>2023</v>
      </c>
    </row>
    <row r="2547" spans="1:8" x14ac:dyDescent="0.2">
      <c r="A2547">
        <v>222837</v>
      </c>
      <c r="B2547">
        <v>20000</v>
      </c>
      <c r="C2547" t="str">
        <f t="shared" si="39"/>
        <v>4. $250K-1M</v>
      </c>
      <c r="D2547" t="s">
        <v>822</v>
      </c>
      <c r="E2547" t="s">
        <v>432</v>
      </c>
      <c r="F2547" t="s">
        <v>670</v>
      </c>
      <c r="G2547" t="s">
        <v>59</v>
      </c>
      <c r="H2547">
        <v>2023</v>
      </c>
    </row>
    <row r="2548" spans="1:8" x14ac:dyDescent="0.2">
      <c r="A2548">
        <v>222841</v>
      </c>
      <c r="B2548">
        <v>174598.7</v>
      </c>
      <c r="C2548" t="str">
        <f t="shared" si="39"/>
        <v>2. $10K-50K</v>
      </c>
      <c r="D2548" t="s">
        <v>1003</v>
      </c>
      <c r="E2548" t="s">
        <v>42</v>
      </c>
      <c r="F2548" t="s">
        <v>670</v>
      </c>
      <c r="G2548" t="s">
        <v>59</v>
      </c>
      <c r="H2548">
        <v>2023</v>
      </c>
    </row>
    <row r="2549" spans="1:8" x14ac:dyDescent="0.2">
      <c r="A2549">
        <v>222853</v>
      </c>
      <c r="B2549">
        <v>30000</v>
      </c>
      <c r="C2549" t="str">
        <f t="shared" si="39"/>
        <v>3. $50K-250K</v>
      </c>
      <c r="D2549" t="s">
        <v>880</v>
      </c>
      <c r="E2549" t="s">
        <v>432</v>
      </c>
      <c r="F2549" t="s">
        <v>670</v>
      </c>
      <c r="G2549" t="s">
        <v>59</v>
      </c>
      <c r="H2549">
        <v>2023</v>
      </c>
    </row>
    <row r="2550" spans="1:8" x14ac:dyDescent="0.2">
      <c r="A2550">
        <v>222857</v>
      </c>
      <c r="B2550">
        <v>346471.3</v>
      </c>
      <c r="C2550" t="str">
        <f t="shared" si="39"/>
        <v>2. $10K-50K</v>
      </c>
      <c r="D2550" t="s">
        <v>849</v>
      </c>
      <c r="E2550" t="s">
        <v>42</v>
      </c>
      <c r="F2550" t="s">
        <v>670</v>
      </c>
      <c r="G2550" t="s">
        <v>59</v>
      </c>
      <c r="H2550">
        <v>2023</v>
      </c>
    </row>
    <row r="2551" spans="1:8" x14ac:dyDescent="0.2">
      <c r="A2551">
        <v>222860</v>
      </c>
      <c r="B2551">
        <v>528238.19999999995</v>
      </c>
      <c r="C2551" t="str">
        <f t="shared" si="39"/>
        <v>4. $250K-1M</v>
      </c>
      <c r="D2551" t="s">
        <v>780</v>
      </c>
      <c r="E2551" t="s">
        <v>42</v>
      </c>
      <c r="F2551" t="s">
        <v>670</v>
      </c>
      <c r="G2551" t="s">
        <v>59</v>
      </c>
      <c r="H2551">
        <v>2023</v>
      </c>
    </row>
    <row r="2552" spans="1:8" x14ac:dyDescent="0.2">
      <c r="A2552">
        <v>222863</v>
      </c>
      <c r="B2552">
        <v>2569437.5</v>
      </c>
      <c r="C2552" t="str">
        <f t="shared" si="39"/>
        <v>4. $250K-1M</v>
      </c>
      <c r="D2552" t="s">
        <v>83</v>
      </c>
      <c r="E2552" t="s">
        <v>24</v>
      </c>
      <c r="F2552" t="s">
        <v>22</v>
      </c>
      <c r="G2552" t="s">
        <v>10</v>
      </c>
      <c r="H2552">
        <v>2023</v>
      </c>
    </row>
    <row r="2553" spans="1:8" x14ac:dyDescent="0.2">
      <c r="A2553">
        <v>222865</v>
      </c>
      <c r="B2553">
        <v>5610000</v>
      </c>
      <c r="C2553" t="str">
        <f t="shared" si="39"/>
        <v>5. $1M+</v>
      </c>
      <c r="D2553" t="s">
        <v>265</v>
      </c>
      <c r="E2553" t="s">
        <v>24</v>
      </c>
      <c r="F2553" t="s">
        <v>22</v>
      </c>
      <c r="G2553" t="s">
        <v>10</v>
      </c>
      <c r="H2553">
        <v>2023</v>
      </c>
    </row>
    <row r="2554" spans="1:8" x14ac:dyDescent="0.2">
      <c r="A2554">
        <v>222873</v>
      </c>
      <c r="B2554">
        <v>105173250</v>
      </c>
      <c r="C2554" t="str">
        <f t="shared" si="39"/>
        <v>5. $1M+</v>
      </c>
      <c r="D2554" t="s">
        <v>266</v>
      </c>
      <c r="E2554" t="s">
        <v>8</v>
      </c>
      <c r="F2554" t="s">
        <v>12</v>
      </c>
      <c r="G2554" t="s">
        <v>10</v>
      </c>
      <c r="H2554">
        <v>2023</v>
      </c>
    </row>
    <row r="2555" spans="1:8" x14ac:dyDescent="0.2">
      <c r="A2555">
        <v>222880</v>
      </c>
      <c r="B2555">
        <v>120973.1</v>
      </c>
      <c r="C2555" t="str">
        <f t="shared" si="39"/>
        <v>5. $1M+</v>
      </c>
      <c r="D2555" t="s">
        <v>904</v>
      </c>
      <c r="E2555" t="s">
        <v>891</v>
      </c>
      <c r="F2555" t="s">
        <v>670</v>
      </c>
      <c r="G2555" t="s">
        <v>59</v>
      </c>
      <c r="H2555">
        <v>2023</v>
      </c>
    </row>
    <row r="2556" spans="1:8" x14ac:dyDescent="0.2">
      <c r="A2556">
        <v>222888</v>
      </c>
      <c r="B2556">
        <v>7500</v>
      </c>
      <c r="C2556" t="str">
        <f t="shared" si="39"/>
        <v>3. $50K-250K</v>
      </c>
      <c r="D2556" t="s">
        <v>1255</v>
      </c>
      <c r="E2556" t="s">
        <v>112</v>
      </c>
      <c r="F2556" t="s">
        <v>668</v>
      </c>
      <c r="G2556" t="s">
        <v>59</v>
      </c>
      <c r="H2556">
        <v>2023</v>
      </c>
    </row>
    <row r="2557" spans="1:8" x14ac:dyDescent="0.2">
      <c r="A2557">
        <v>222891</v>
      </c>
      <c r="B2557">
        <v>10000000</v>
      </c>
      <c r="C2557" t="str">
        <f t="shared" si="39"/>
        <v>1. Under $10K</v>
      </c>
      <c r="D2557" t="s">
        <v>1507</v>
      </c>
      <c r="E2557" t="s">
        <v>99</v>
      </c>
      <c r="F2557" t="s">
        <v>668</v>
      </c>
      <c r="G2557" t="s">
        <v>59</v>
      </c>
      <c r="H2557">
        <v>2023</v>
      </c>
    </row>
    <row r="2558" spans="1:8" x14ac:dyDescent="0.2">
      <c r="A2558">
        <v>222897</v>
      </c>
      <c r="B2558">
        <v>30852.9</v>
      </c>
      <c r="C2558" t="str">
        <f t="shared" si="39"/>
        <v>5. $1M+</v>
      </c>
      <c r="D2558" t="s">
        <v>1084</v>
      </c>
      <c r="E2558" t="s">
        <v>237</v>
      </c>
      <c r="F2558" t="s">
        <v>670</v>
      </c>
      <c r="G2558" t="s">
        <v>59</v>
      </c>
      <c r="H2558">
        <v>2023</v>
      </c>
    </row>
    <row r="2559" spans="1:8" x14ac:dyDescent="0.2">
      <c r="A2559">
        <v>222898</v>
      </c>
      <c r="B2559">
        <v>36000</v>
      </c>
      <c r="C2559" t="str">
        <f t="shared" si="39"/>
        <v>2. $10K-50K</v>
      </c>
      <c r="D2559" t="s">
        <v>983</v>
      </c>
      <c r="E2559" t="s">
        <v>237</v>
      </c>
      <c r="F2559" t="s">
        <v>670</v>
      </c>
      <c r="G2559" t="s">
        <v>59</v>
      </c>
      <c r="H2559">
        <v>2023</v>
      </c>
    </row>
    <row r="2560" spans="1:8" x14ac:dyDescent="0.2">
      <c r="A2560">
        <v>222901</v>
      </c>
      <c r="B2560">
        <v>126000</v>
      </c>
      <c r="C2560" t="str">
        <f t="shared" si="39"/>
        <v>2. $10K-50K</v>
      </c>
      <c r="D2560" t="s">
        <v>1067</v>
      </c>
      <c r="E2560" t="s">
        <v>237</v>
      </c>
      <c r="F2560" t="s">
        <v>670</v>
      </c>
      <c r="G2560" t="s">
        <v>59</v>
      </c>
      <c r="H2560">
        <v>2023</v>
      </c>
    </row>
    <row r="2561" spans="1:8" x14ac:dyDescent="0.2">
      <c r="A2561">
        <v>222976</v>
      </c>
      <c r="B2561">
        <v>30385</v>
      </c>
      <c r="C2561" t="str">
        <f t="shared" si="39"/>
        <v>3. $50K-250K</v>
      </c>
      <c r="D2561" t="s">
        <v>701</v>
      </c>
      <c r="E2561" t="s">
        <v>825</v>
      </c>
      <c r="F2561" t="s">
        <v>670</v>
      </c>
      <c r="G2561" t="s">
        <v>59</v>
      </c>
      <c r="H2561">
        <v>2023</v>
      </c>
    </row>
    <row r="2562" spans="1:8" x14ac:dyDescent="0.2">
      <c r="A2562">
        <v>222977</v>
      </c>
      <c r="B2562">
        <v>41258.300000000003</v>
      </c>
      <c r="C2562" t="str">
        <f t="shared" si="39"/>
        <v>2. $10K-50K</v>
      </c>
      <c r="D2562" t="s">
        <v>818</v>
      </c>
      <c r="E2562" t="s">
        <v>825</v>
      </c>
      <c r="F2562" t="s">
        <v>670</v>
      </c>
      <c r="G2562" t="s">
        <v>59</v>
      </c>
      <c r="H2562">
        <v>2023</v>
      </c>
    </row>
    <row r="2563" spans="1:8" x14ac:dyDescent="0.2">
      <c r="A2563">
        <v>222980</v>
      </c>
      <c r="B2563">
        <v>577450</v>
      </c>
      <c r="C2563" t="str">
        <f t="shared" ref="C2563:C2626" si="40">IF(B2562&lt;10000,"1. Under $10K",IF(B2562&lt;50000,"2. $10K-50K",IF(B2562&lt;250000,"3. $50K-250K",IF(B2562&lt;1000000,"4. $250K-1M","5. $1M+"))))</f>
        <v>2. $10K-50K</v>
      </c>
      <c r="D2563" t="s">
        <v>1005</v>
      </c>
      <c r="E2563" t="s">
        <v>99</v>
      </c>
      <c r="F2563" t="s">
        <v>670</v>
      </c>
      <c r="G2563" t="s">
        <v>59</v>
      </c>
      <c r="H2563">
        <v>2023</v>
      </c>
    </row>
    <row r="2564" spans="1:8" x14ac:dyDescent="0.2">
      <c r="A2564">
        <v>222982</v>
      </c>
      <c r="B2564">
        <v>59592.9</v>
      </c>
      <c r="C2564" t="str">
        <f t="shared" si="40"/>
        <v>4. $250K-1M</v>
      </c>
      <c r="D2564" t="s">
        <v>880</v>
      </c>
      <c r="E2564" t="s">
        <v>825</v>
      </c>
      <c r="F2564" t="s">
        <v>670</v>
      </c>
      <c r="G2564" t="s">
        <v>59</v>
      </c>
      <c r="H2564">
        <v>2023</v>
      </c>
    </row>
    <row r="2565" spans="1:8" x14ac:dyDescent="0.2">
      <c r="A2565">
        <v>222983</v>
      </c>
      <c r="B2565">
        <v>3000</v>
      </c>
      <c r="C2565" t="str">
        <f t="shared" si="40"/>
        <v>3. $50K-250K</v>
      </c>
      <c r="D2565" t="s">
        <v>1073</v>
      </c>
      <c r="E2565" t="s">
        <v>42</v>
      </c>
      <c r="F2565" t="s">
        <v>670</v>
      </c>
      <c r="G2565" t="s">
        <v>59</v>
      </c>
      <c r="H2565">
        <v>2023</v>
      </c>
    </row>
    <row r="2566" spans="1:8" x14ac:dyDescent="0.2">
      <c r="A2566">
        <v>223103</v>
      </c>
      <c r="B2566">
        <v>229845</v>
      </c>
      <c r="C2566" t="str">
        <f t="shared" si="40"/>
        <v>1. Under $10K</v>
      </c>
      <c r="D2566" t="s">
        <v>701</v>
      </c>
      <c r="E2566" t="s">
        <v>42</v>
      </c>
      <c r="F2566" t="s">
        <v>670</v>
      </c>
      <c r="G2566" t="s">
        <v>59</v>
      </c>
      <c r="H2566">
        <v>2023</v>
      </c>
    </row>
    <row r="2567" spans="1:8" x14ac:dyDescent="0.2">
      <c r="A2567">
        <v>223104</v>
      </c>
      <c r="B2567">
        <v>91453.9</v>
      </c>
      <c r="C2567" t="str">
        <f t="shared" si="40"/>
        <v>3. $50K-250K</v>
      </c>
      <c r="D2567" t="s">
        <v>962</v>
      </c>
      <c r="E2567" t="s">
        <v>42</v>
      </c>
      <c r="F2567" t="s">
        <v>670</v>
      </c>
      <c r="G2567" t="s">
        <v>59</v>
      </c>
      <c r="H2567">
        <v>2023</v>
      </c>
    </row>
    <row r="2568" spans="1:8" x14ac:dyDescent="0.2">
      <c r="A2568">
        <v>223163</v>
      </c>
      <c r="B2568">
        <v>54000</v>
      </c>
      <c r="C2568" t="str">
        <f t="shared" si="40"/>
        <v>3. $50K-250K</v>
      </c>
      <c r="D2568" t="s">
        <v>919</v>
      </c>
      <c r="E2568" t="s">
        <v>237</v>
      </c>
      <c r="F2568" t="s">
        <v>670</v>
      </c>
      <c r="G2568" t="s">
        <v>59</v>
      </c>
      <c r="H2568">
        <v>2023</v>
      </c>
    </row>
    <row r="2569" spans="1:8" x14ac:dyDescent="0.2">
      <c r="A2569">
        <v>223164</v>
      </c>
      <c r="B2569">
        <v>546639</v>
      </c>
      <c r="C2569" t="str">
        <f t="shared" si="40"/>
        <v>3. $50K-250K</v>
      </c>
      <c r="D2569" t="s">
        <v>860</v>
      </c>
      <c r="E2569" t="s">
        <v>237</v>
      </c>
      <c r="F2569" t="s">
        <v>670</v>
      </c>
      <c r="G2569" t="s">
        <v>59</v>
      </c>
      <c r="H2569">
        <v>2023</v>
      </c>
    </row>
    <row r="2570" spans="1:8" x14ac:dyDescent="0.2">
      <c r="A2570">
        <v>223165</v>
      </c>
      <c r="B2570">
        <v>1170345.3999999999</v>
      </c>
      <c r="C2570" t="str">
        <f t="shared" si="40"/>
        <v>4. $250K-1M</v>
      </c>
      <c r="D2570" t="s">
        <v>696</v>
      </c>
      <c r="E2570" t="s">
        <v>237</v>
      </c>
      <c r="F2570" t="s">
        <v>670</v>
      </c>
      <c r="G2570" t="s">
        <v>59</v>
      </c>
      <c r="H2570">
        <v>2023</v>
      </c>
    </row>
    <row r="2571" spans="1:8" x14ac:dyDescent="0.2">
      <c r="A2571">
        <v>223230</v>
      </c>
      <c r="B2571">
        <v>69000</v>
      </c>
      <c r="C2571" t="str">
        <f t="shared" si="40"/>
        <v>5. $1M+</v>
      </c>
      <c r="D2571" t="s">
        <v>1083</v>
      </c>
      <c r="E2571" t="s">
        <v>237</v>
      </c>
      <c r="F2571" t="s">
        <v>670</v>
      </c>
      <c r="G2571" t="s">
        <v>59</v>
      </c>
      <c r="H2571">
        <v>2023</v>
      </c>
    </row>
    <row r="2572" spans="1:8" x14ac:dyDescent="0.2">
      <c r="A2572">
        <v>223231</v>
      </c>
      <c r="B2572">
        <v>48000</v>
      </c>
      <c r="C2572" t="str">
        <f t="shared" si="40"/>
        <v>3. $50K-250K</v>
      </c>
      <c r="D2572" t="s">
        <v>507</v>
      </c>
      <c r="E2572" t="s">
        <v>237</v>
      </c>
      <c r="F2572" t="s">
        <v>670</v>
      </c>
      <c r="G2572" t="s">
        <v>59</v>
      </c>
      <c r="H2572">
        <v>2023</v>
      </c>
    </row>
    <row r="2573" spans="1:8" x14ac:dyDescent="0.2">
      <c r="A2573">
        <v>223239</v>
      </c>
      <c r="B2573">
        <v>100000</v>
      </c>
      <c r="C2573" t="str">
        <f t="shared" si="40"/>
        <v>2. $10K-50K</v>
      </c>
      <c r="D2573" t="s">
        <v>1056</v>
      </c>
      <c r="E2573" t="s">
        <v>42</v>
      </c>
      <c r="F2573" t="s">
        <v>670</v>
      </c>
      <c r="G2573" t="s">
        <v>59</v>
      </c>
      <c r="H2573">
        <v>2023</v>
      </c>
    </row>
    <row r="2574" spans="1:8" x14ac:dyDescent="0.2">
      <c r="A2574">
        <v>223242</v>
      </c>
      <c r="B2574">
        <v>40000</v>
      </c>
      <c r="C2574" t="str">
        <f t="shared" si="40"/>
        <v>3. $50K-250K</v>
      </c>
      <c r="D2574" t="s">
        <v>816</v>
      </c>
      <c r="E2574" t="s">
        <v>432</v>
      </c>
      <c r="F2574" t="s">
        <v>670</v>
      </c>
      <c r="G2574" t="s">
        <v>59</v>
      </c>
      <c r="H2574">
        <v>2023</v>
      </c>
    </row>
    <row r="2575" spans="1:8" x14ac:dyDescent="0.2">
      <c r="A2575">
        <v>223245</v>
      </c>
      <c r="B2575">
        <v>30000</v>
      </c>
      <c r="C2575" t="str">
        <f t="shared" si="40"/>
        <v>2. $10K-50K</v>
      </c>
      <c r="D2575" t="s">
        <v>816</v>
      </c>
      <c r="E2575" t="s">
        <v>432</v>
      </c>
      <c r="F2575" t="s">
        <v>670</v>
      </c>
      <c r="G2575" t="s">
        <v>59</v>
      </c>
      <c r="H2575">
        <v>2023</v>
      </c>
    </row>
    <row r="2576" spans="1:8" x14ac:dyDescent="0.2">
      <c r="A2576">
        <v>223246</v>
      </c>
      <c r="B2576">
        <v>20000</v>
      </c>
      <c r="C2576" t="str">
        <f t="shared" si="40"/>
        <v>2. $10K-50K</v>
      </c>
      <c r="D2576" t="s">
        <v>1459</v>
      </c>
      <c r="E2576" t="s">
        <v>432</v>
      </c>
      <c r="F2576" t="s">
        <v>670</v>
      </c>
      <c r="G2576" t="s">
        <v>59</v>
      </c>
      <c r="H2576">
        <v>2023</v>
      </c>
    </row>
    <row r="2577" spans="1:8" x14ac:dyDescent="0.2">
      <c r="A2577">
        <v>223247</v>
      </c>
      <c r="B2577">
        <v>40000</v>
      </c>
      <c r="C2577" t="str">
        <f t="shared" si="40"/>
        <v>2. $10K-50K</v>
      </c>
      <c r="D2577" t="s">
        <v>1508</v>
      </c>
      <c r="E2577" t="s">
        <v>432</v>
      </c>
      <c r="F2577" t="s">
        <v>670</v>
      </c>
      <c r="G2577" t="s">
        <v>59</v>
      </c>
      <c r="H2577">
        <v>2023</v>
      </c>
    </row>
    <row r="2578" spans="1:8" x14ac:dyDescent="0.2">
      <c r="A2578">
        <v>223250</v>
      </c>
      <c r="B2578">
        <v>750000</v>
      </c>
      <c r="C2578" t="str">
        <f t="shared" si="40"/>
        <v>2. $10K-50K</v>
      </c>
      <c r="D2578" t="s">
        <v>674</v>
      </c>
      <c r="E2578" t="s">
        <v>42</v>
      </c>
      <c r="F2578" t="s">
        <v>670</v>
      </c>
      <c r="G2578" t="s">
        <v>59</v>
      </c>
      <c r="H2578">
        <v>2023</v>
      </c>
    </row>
    <row r="2579" spans="1:8" x14ac:dyDescent="0.2">
      <c r="A2579">
        <v>223255</v>
      </c>
      <c r="B2579">
        <v>40000</v>
      </c>
      <c r="C2579" t="str">
        <f t="shared" si="40"/>
        <v>4. $250K-1M</v>
      </c>
      <c r="D2579" t="s">
        <v>1466</v>
      </c>
      <c r="E2579" t="s">
        <v>432</v>
      </c>
      <c r="F2579" t="s">
        <v>670</v>
      </c>
      <c r="G2579" t="s">
        <v>59</v>
      </c>
      <c r="H2579">
        <v>2023</v>
      </c>
    </row>
    <row r="2580" spans="1:8" x14ac:dyDescent="0.2">
      <c r="A2580">
        <v>223268</v>
      </c>
      <c r="B2580">
        <v>750000</v>
      </c>
      <c r="C2580" t="str">
        <f t="shared" si="40"/>
        <v>2. $10K-50K</v>
      </c>
      <c r="D2580" t="s">
        <v>674</v>
      </c>
      <c r="E2580" t="s">
        <v>42</v>
      </c>
      <c r="F2580" t="s">
        <v>670</v>
      </c>
      <c r="G2580" t="s">
        <v>59</v>
      </c>
      <c r="H2580">
        <v>2023</v>
      </c>
    </row>
    <row r="2581" spans="1:8" x14ac:dyDescent="0.2">
      <c r="A2581">
        <v>223309</v>
      </c>
      <c r="B2581">
        <v>15000</v>
      </c>
      <c r="C2581" t="str">
        <f t="shared" si="40"/>
        <v>4. $250K-1M</v>
      </c>
      <c r="D2581" t="s">
        <v>1509</v>
      </c>
      <c r="E2581" t="s">
        <v>368</v>
      </c>
      <c r="F2581" t="s">
        <v>670</v>
      </c>
      <c r="G2581" t="s">
        <v>44</v>
      </c>
      <c r="H2581">
        <v>2023</v>
      </c>
    </row>
    <row r="2582" spans="1:8" x14ac:dyDescent="0.2">
      <c r="A2582">
        <v>223310</v>
      </c>
      <c r="B2582">
        <v>50000</v>
      </c>
      <c r="C2582" t="str">
        <f t="shared" si="40"/>
        <v>2. $10K-50K</v>
      </c>
      <c r="D2582" t="s">
        <v>817</v>
      </c>
      <c r="E2582" t="s">
        <v>368</v>
      </c>
      <c r="F2582" t="s">
        <v>670</v>
      </c>
      <c r="G2582" t="s">
        <v>44</v>
      </c>
      <c r="H2582">
        <v>2023</v>
      </c>
    </row>
    <row r="2583" spans="1:8" x14ac:dyDescent="0.2">
      <c r="A2583">
        <v>223344</v>
      </c>
      <c r="B2583">
        <v>38894.5</v>
      </c>
      <c r="C2583" t="str">
        <f t="shared" si="40"/>
        <v>3. $50K-250K</v>
      </c>
      <c r="D2583" t="s">
        <v>880</v>
      </c>
      <c r="E2583" t="s">
        <v>825</v>
      </c>
      <c r="F2583" t="s">
        <v>670</v>
      </c>
      <c r="G2583" t="s">
        <v>59</v>
      </c>
      <c r="H2583">
        <v>2023</v>
      </c>
    </row>
    <row r="2584" spans="1:8" x14ac:dyDescent="0.2">
      <c r="A2584">
        <v>223349</v>
      </c>
      <c r="B2584">
        <v>34125</v>
      </c>
      <c r="C2584" t="str">
        <f t="shared" si="40"/>
        <v>2. $10K-50K</v>
      </c>
      <c r="D2584" t="s">
        <v>1510</v>
      </c>
      <c r="E2584" t="s">
        <v>825</v>
      </c>
      <c r="F2584" t="s">
        <v>670</v>
      </c>
      <c r="G2584" t="s">
        <v>59</v>
      </c>
      <c r="H2584">
        <v>2023</v>
      </c>
    </row>
    <row r="2585" spans="1:8" x14ac:dyDescent="0.2">
      <c r="A2585">
        <v>223404</v>
      </c>
      <c r="B2585">
        <v>60000</v>
      </c>
      <c r="C2585" t="str">
        <f t="shared" si="40"/>
        <v>2. $10K-50K</v>
      </c>
      <c r="D2585" t="s">
        <v>682</v>
      </c>
      <c r="E2585" t="s">
        <v>42</v>
      </c>
      <c r="F2585" t="s">
        <v>670</v>
      </c>
      <c r="G2585" t="s">
        <v>59</v>
      </c>
      <c r="H2585">
        <v>2023</v>
      </c>
    </row>
    <row r="2586" spans="1:8" x14ac:dyDescent="0.2">
      <c r="A2586">
        <v>223519</v>
      </c>
      <c r="B2586">
        <v>56239223.799999997</v>
      </c>
      <c r="C2586" t="str">
        <f t="shared" si="40"/>
        <v>3. $50K-250K</v>
      </c>
      <c r="D2586" t="s">
        <v>267</v>
      </c>
      <c r="E2586" t="s">
        <v>8</v>
      </c>
      <c r="F2586" t="s">
        <v>12</v>
      </c>
      <c r="G2586" t="s">
        <v>10</v>
      </c>
      <c r="H2586">
        <v>2023</v>
      </c>
    </row>
    <row r="2587" spans="1:8" x14ac:dyDescent="0.2">
      <c r="A2587">
        <v>223534</v>
      </c>
      <c r="B2587">
        <v>45499.9</v>
      </c>
      <c r="C2587" t="str">
        <f t="shared" si="40"/>
        <v>5. $1M+</v>
      </c>
      <c r="D2587" t="s">
        <v>1511</v>
      </c>
      <c r="E2587" t="s">
        <v>825</v>
      </c>
      <c r="F2587" t="s">
        <v>670</v>
      </c>
      <c r="G2587" t="s">
        <v>59</v>
      </c>
      <c r="H2587">
        <v>2023</v>
      </c>
    </row>
    <row r="2588" spans="1:8" x14ac:dyDescent="0.2">
      <c r="A2588">
        <v>223539</v>
      </c>
      <c r="B2588">
        <v>89504.4</v>
      </c>
      <c r="C2588" t="str">
        <f t="shared" si="40"/>
        <v>2. $10K-50K</v>
      </c>
      <c r="D2588" t="s">
        <v>975</v>
      </c>
      <c r="E2588" t="s">
        <v>825</v>
      </c>
      <c r="F2588" t="s">
        <v>670</v>
      </c>
      <c r="G2588" t="s">
        <v>59</v>
      </c>
      <c r="H2588">
        <v>2023</v>
      </c>
    </row>
    <row r="2589" spans="1:8" x14ac:dyDescent="0.2">
      <c r="A2589">
        <v>223550</v>
      </c>
      <c r="B2589">
        <v>25000</v>
      </c>
      <c r="C2589" t="str">
        <f t="shared" si="40"/>
        <v>3. $50K-250K</v>
      </c>
      <c r="D2589" t="s">
        <v>1459</v>
      </c>
      <c r="E2589" t="s">
        <v>432</v>
      </c>
      <c r="F2589" t="s">
        <v>670</v>
      </c>
      <c r="G2589" t="s">
        <v>59</v>
      </c>
      <c r="H2589">
        <v>2023</v>
      </c>
    </row>
    <row r="2590" spans="1:8" x14ac:dyDescent="0.2">
      <c r="A2590">
        <v>223554</v>
      </c>
      <c r="B2590">
        <v>759071</v>
      </c>
      <c r="C2590" t="str">
        <f t="shared" si="40"/>
        <v>2. $10K-50K</v>
      </c>
      <c r="D2590" t="s">
        <v>548</v>
      </c>
      <c r="E2590" t="s">
        <v>59</v>
      </c>
      <c r="F2590" t="s">
        <v>670</v>
      </c>
      <c r="G2590" t="s">
        <v>59</v>
      </c>
      <c r="H2590">
        <v>2023</v>
      </c>
    </row>
    <row r="2591" spans="1:8" x14ac:dyDescent="0.2">
      <c r="A2591">
        <v>223572</v>
      </c>
      <c r="B2591">
        <v>130540</v>
      </c>
      <c r="C2591" t="str">
        <f t="shared" si="40"/>
        <v>4. $250K-1M</v>
      </c>
      <c r="D2591" t="s">
        <v>785</v>
      </c>
      <c r="E2591" t="s">
        <v>237</v>
      </c>
      <c r="F2591" t="s">
        <v>670</v>
      </c>
      <c r="G2591" t="s">
        <v>59</v>
      </c>
      <c r="H2591">
        <v>2023</v>
      </c>
    </row>
    <row r="2592" spans="1:8" x14ac:dyDescent="0.2">
      <c r="A2592">
        <v>223573</v>
      </c>
      <c r="B2592">
        <v>618382.69999999995</v>
      </c>
      <c r="C2592" t="str">
        <f t="shared" si="40"/>
        <v>3. $50K-250K</v>
      </c>
      <c r="D2592" t="s">
        <v>700</v>
      </c>
      <c r="E2592" t="s">
        <v>237</v>
      </c>
      <c r="F2592" t="s">
        <v>670</v>
      </c>
      <c r="G2592" t="s">
        <v>59</v>
      </c>
      <c r="H2592">
        <v>2023</v>
      </c>
    </row>
    <row r="2593" spans="1:8" x14ac:dyDescent="0.2">
      <c r="A2593">
        <v>223574</v>
      </c>
      <c r="B2593">
        <v>85000</v>
      </c>
      <c r="C2593" t="str">
        <f t="shared" si="40"/>
        <v>4. $250K-1M</v>
      </c>
      <c r="D2593" t="s">
        <v>817</v>
      </c>
      <c r="E2593" t="s">
        <v>432</v>
      </c>
      <c r="F2593" t="s">
        <v>670</v>
      </c>
      <c r="G2593" t="s">
        <v>59</v>
      </c>
      <c r="H2593">
        <v>2023</v>
      </c>
    </row>
    <row r="2594" spans="1:8" x14ac:dyDescent="0.2">
      <c r="A2594">
        <v>223575</v>
      </c>
      <c r="B2594">
        <v>32943.699999999997</v>
      </c>
      <c r="C2594" t="str">
        <f t="shared" si="40"/>
        <v>3. $50K-250K</v>
      </c>
      <c r="D2594" t="s">
        <v>943</v>
      </c>
      <c r="E2594" t="s">
        <v>432</v>
      </c>
      <c r="F2594" t="s">
        <v>670</v>
      </c>
      <c r="G2594" t="s">
        <v>59</v>
      </c>
      <c r="H2594">
        <v>2023</v>
      </c>
    </row>
    <row r="2595" spans="1:8" x14ac:dyDescent="0.2">
      <c r="A2595">
        <v>223576</v>
      </c>
      <c r="B2595">
        <v>30000</v>
      </c>
      <c r="C2595" t="str">
        <f t="shared" si="40"/>
        <v>2. $10K-50K</v>
      </c>
      <c r="D2595" t="s">
        <v>1508</v>
      </c>
      <c r="E2595" t="s">
        <v>432</v>
      </c>
      <c r="F2595" t="s">
        <v>670</v>
      </c>
      <c r="G2595" t="s">
        <v>59</v>
      </c>
      <c r="H2595">
        <v>2023</v>
      </c>
    </row>
    <row r="2596" spans="1:8" x14ac:dyDescent="0.2">
      <c r="A2596">
        <v>223577</v>
      </c>
      <c r="B2596">
        <v>500000</v>
      </c>
      <c r="C2596" t="str">
        <f t="shared" si="40"/>
        <v>2. $10K-50K</v>
      </c>
      <c r="D2596" t="s">
        <v>838</v>
      </c>
      <c r="E2596" t="s">
        <v>42</v>
      </c>
      <c r="F2596" t="s">
        <v>670</v>
      </c>
      <c r="G2596" t="s">
        <v>59</v>
      </c>
      <c r="H2596">
        <v>2023</v>
      </c>
    </row>
    <row r="2597" spans="1:8" x14ac:dyDescent="0.2">
      <c r="A2597">
        <v>223580</v>
      </c>
      <c r="B2597">
        <v>30000</v>
      </c>
      <c r="C2597" t="str">
        <f t="shared" si="40"/>
        <v>4. $250K-1M</v>
      </c>
      <c r="D2597" t="s">
        <v>1443</v>
      </c>
      <c r="E2597" t="s">
        <v>432</v>
      </c>
      <c r="F2597" t="s">
        <v>670</v>
      </c>
      <c r="G2597" t="s">
        <v>59</v>
      </c>
      <c r="H2597">
        <v>2023</v>
      </c>
    </row>
    <row r="2598" spans="1:8" x14ac:dyDescent="0.2">
      <c r="A2598">
        <v>223582</v>
      </c>
      <c r="B2598">
        <v>42000</v>
      </c>
      <c r="C2598" t="str">
        <f t="shared" si="40"/>
        <v>2. $10K-50K</v>
      </c>
      <c r="D2598" t="s">
        <v>481</v>
      </c>
      <c r="E2598" t="s">
        <v>480</v>
      </c>
      <c r="F2598" t="s">
        <v>668</v>
      </c>
      <c r="G2598" t="s">
        <v>59</v>
      </c>
      <c r="H2598">
        <v>2023</v>
      </c>
    </row>
    <row r="2599" spans="1:8" x14ac:dyDescent="0.2">
      <c r="A2599">
        <v>223608</v>
      </c>
      <c r="B2599">
        <v>2550916.7999999998</v>
      </c>
      <c r="C2599" t="str">
        <f t="shared" si="40"/>
        <v>2. $10K-50K</v>
      </c>
      <c r="D2599" t="s">
        <v>1052</v>
      </c>
      <c r="E2599" t="s">
        <v>237</v>
      </c>
      <c r="F2599" t="s">
        <v>670</v>
      </c>
      <c r="G2599" t="s">
        <v>59</v>
      </c>
      <c r="H2599">
        <v>2023</v>
      </c>
    </row>
    <row r="2600" spans="1:8" x14ac:dyDescent="0.2">
      <c r="A2600">
        <v>223633</v>
      </c>
      <c r="B2600">
        <v>645313</v>
      </c>
      <c r="C2600" t="str">
        <f t="shared" si="40"/>
        <v>5. $1M+</v>
      </c>
      <c r="D2600" t="s">
        <v>711</v>
      </c>
      <c r="E2600" t="s">
        <v>237</v>
      </c>
      <c r="F2600" t="s">
        <v>670</v>
      </c>
      <c r="G2600" t="s">
        <v>59</v>
      </c>
      <c r="H2600">
        <v>2023</v>
      </c>
    </row>
    <row r="2601" spans="1:8" x14ac:dyDescent="0.2">
      <c r="A2601">
        <v>223764</v>
      </c>
      <c r="B2601">
        <v>238725</v>
      </c>
      <c r="C2601" t="str">
        <f t="shared" si="40"/>
        <v>4. $250K-1M</v>
      </c>
      <c r="D2601" t="s">
        <v>321</v>
      </c>
      <c r="E2601" t="s">
        <v>141</v>
      </c>
      <c r="F2601" t="s">
        <v>668</v>
      </c>
      <c r="G2601" t="s">
        <v>59</v>
      </c>
      <c r="H2601">
        <v>2023</v>
      </c>
    </row>
    <row r="2602" spans="1:8" x14ac:dyDescent="0.2">
      <c r="A2602">
        <v>223767</v>
      </c>
      <c r="B2602">
        <v>500000</v>
      </c>
      <c r="C2602" t="str">
        <f t="shared" si="40"/>
        <v>3. $50K-250K</v>
      </c>
      <c r="D2602" t="s">
        <v>836</v>
      </c>
      <c r="E2602" t="s">
        <v>237</v>
      </c>
      <c r="F2602" t="s">
        <v>670</v>
      </c>
      <c r="G2602" t="s">
        <v>59</v>
      </c>
      <c r="H2602">
        <v>2023</v>
      </c>
    </row>
    <row r="2603" spans="1:8" x14ac:dyDescent="0.2">
      <c r="A2603">
        <v>223771</v>
      </c>
      <c r="B2603">
        <v>440000</v>
      </c>
      <c r="C2603" t="str">
        <f t="shared" si="40"/>
        <v>4. $250K-1M</v>
      </c>
      <c r="D2603" t="s">
        <v>925</v>
      </c>
      <c r="E2603" t="s">
        <v>237</v>
      </c>
      <c r="F2603" t="s">
        <v>670</v>
      </c>
      <c r="G2603" t="s">
        <v>59</v>
      </c>
      <c r="H2603">
        <v>2023</v>
      </c>
    </row>
    <row r="2604" spans="1:8" x14ac:dyDescent="0.2">
      <c r="A2604">
        <v>223774</v>
      </c>
      <c r="B2604">
        <v>25000000</v>
      </c>
      <c r="C2604" t="str">
        <f t="shared" si="40"/>
        <v>4. $250K-1M</v>
      </c>
      <c r="D2604" t="s">
        <v>268</v>
      </c>
      <c r="E2604" t="s">
        <v>69</v>
      </c>
      <c r="F2604" t="s">
        <v>43</v>
      </c>
      <c r="G2604" t="s">
        <v>61</v>
      </c>
      <c r="H2604">
        <v>2023</v>
      </c>
    </row>
    <row r="2605" spans="1:8" x14ac:dyDescent="0.2">
      <c r="A2605">
        <v>223779</v>
      </c>
      <c r="B2605">
        <v>105000000</v>
      </c>
      <c r="C2605" t="str">
        <f t="shared" si="40"/>
        <v>5. $1M+</v>
      </c>
      <c r="D2605" t="s">
        <v>269</v>
      </c>
      <c r="E2605" t="s">
        <v>69</v>
      </c>
      <c r="F2605" t="s">
        <v>43</v>
      </c>
      <c r="G2605" t="s">
        <v>61</v>
      </c>
      <c r="H2605">
        <v>2023</v>
      </c>
    </row>
    <row r="2606" spans="1:8" x14ac:dyDescent="0.2">
      <c r="A2606">
        <v>223782</v>
      </c>
      <c r="B2606">
        <v>105000000</v>
      </c>
      <c r="C2606" t="str">
        <f t="shared" si="40"/>
        <v>5. $1M+</v>
      </c>
      <c r="D2606" t="s">
        <v>248</v>
      </c>
      <c r="E2606" t="s">
        <v>69</v>
      </c>
      <c r="F2606" t="s">
        <v>43</v>
      </c>
      <c r="G2606" t="s">
        <v>61</v>
      </c>
      <c r="H2606">
        <v>2023</v>
      </c>
    </row>
    <row r="2607" spans="1:8" x14ac:dyDescent="0.2">
      <c r="A2607">
        <v>223783</v>
      </c>
      <c r="B2607">
        <v>20000000</v>
      </c>
      <c r="C2607" t="str">
        <f t="shared" si="40"/>
        <v>5. $1M+</v>
      </c>
      <c r="D2607" t="s">
        <v>270</v>
      </c>
      <c r="E2607" t="s">
        <v>67</v>
      </c>
      <c r="F2607" t="s">
        <v>43</v>
      </c>
      <c r="G2607" t="s">
        <v>61</v>
      </c>
      <c r="H2607">
        <v>2024</v>
      </c>
    </row>
    <row r="2608" spans="1:8" x14ac:dyDescent="0.2">
      <c r="A2608">
        <v>223786</v>
      </c>
      <c r="B2608">
        <v>25000000</v>
      </c>
      <c r="C2608" t="str">
        <f t="shared" si="40"/>
        <v>5. $1M+</v>
      </c>
      <c r="D2608" t="s">
        <v>271</v>
      </c>
      <c r="E2608" t="s">
        <v>69</v>
      </c>
      <c r="F2608" t="s">
        <v>43</v>
      </c>
      <c r="G2608" t="s">
        <v>61</v>
      </c>
      <c r="H2608">
        <v>2023</v>
      </c>
    </row>
    <row r="2609" spans="1:8" x14ac:dyDescent="0.2">
      <c r="A2609">
        <v>223787</v>
      </c>
      <c r="B2609">
        <v>10000000</v>
      </c>
      <c r="C2609" t="str">
        <f t="shared" si="40"/>
        <v>5. $1M+</v>
      </c>
      <c r="D2609" t="s">
        <v>74</v>
      </c>
      <c r="E2609" t="s">
        <v>69</v>
      </c>
      <c r="F2609" t="s">
        <v>43</v>
      </c>
      <c r="G2609" t="s">
        <v>61</v>
      </c>
      <c r="H2609">
        <v>2023</v>
      </c>
    </row>
    <row r="2610" spans="1:8" x14ac:dyDescent="0.2">
      <c r="A2610">
        <v>223788</v>
      </c>
      <c r="B2610">
        <v>95000000</v>
      </c>
      <c r="C2610" t="str">
        <f t="shared" si="40"/>
        <v>5. $1M+</v>
      </c>
      <c r="D2610" t="s">
        <v>272</v>
      </c>
      <c r="E2610" t="s">
        <v>69</v>
      </c>
      <c r="F2610" t="s">
        <v>43</v>
      </c>
      <c r="G2610" t="s">
        <v>61</v>
      </c>
      <c r="H2610">
        <v>2023</v>
      </c>
    </row>
    <row r="2611" spans="1:8" x14ac:dyDescent="0.2">
      <c r="A2611">
        <v>223789</v>
      </c>
      <c r="B2611">
        <v>55000000</v>
      </c>
      <c r="C2611" t="str">
        <f t="shared" si="40"/>
        <v>5. $1M+</v>
      </c>
      <c r="D2611" t="s">
        <v>273</v>
      </c>
      <c r="E2611" t="s">
        <v>69</v>
      </c>
      <c r="F2611" t="s">
        <v>43</v>
      </c>
      <c r="G2611" t="s">
        <v>61</v>
      </c>
      <c r="H2611">
        <v>2023</v>
      </c>
    </row>
    <row r="2612" spans="1:8" x14ac:dyDescent="0.2">
      <c r="A2612">
        <v>223794</v>
      </c>
      <c r="B2612">
        <v>55000000</v>
      </c>
      <c r="C2612" t="str">
        <f t="shared" si="40"/>
        <v>5. $1M+</v>
      </c>
      <c r="D2612" t="s">
        <v>274</v>
      </c>
      <c r="E2612" t="s">
        <v>69</v>
      </c>
      <c r="F2612" t="s">
        <v>43</v>
      </c>
      <c r="G2612" t="s">
        <v>61</v>
      </c>
      <c r="H2612">
        <v>2023</v>
      </c>
    </row>
    <row r="2613" spans="1:8" x14ac:dyDescent="0.2">
      <c r="A2613">
        <v>223819</v>
      </c>
      <c r="B2613">
        <v>85000000</v>
      </c>
      <c r="C2613" t="str">
        <f t="shared" si="40"/>
        <v>5. $1M+</v>
      </c>
      <c r="D2613" t="s">
        <v>275</v>
      </c>
      <c r="E2613" t="s">
        <v>69</v>
      </c>
      <c r="F2613" t="s">
        <v>43</v>
      </c>
      <c r="G2613" t="s">
        <v>61</v>
      </c>
      <c r="H2613">
        <v>2023</v>
      </c>
    </row>
    <row r="2614" spans="1:8" x14ac:dyDescent="0.2">
      <c r="A2614">
        <v>223827</v>
      </c>
      <c r="B2614">
        <v>30000000</v>
      </c>
      <c r="C2614" t="str">
        <f t="shared" si="40"/>
        <v>5. $1M+</v>
      </c>
      <c r="D2614" t="s">
        <v>276</v>
      </c>
      <c r="E2614" t="s">
        <v>18</v>
      </c>
      <c r="F2614" t="s">
        <v>43</v>
      </c>
      <c r="G2614" t="s">
        <v>61</v>
      </c>
      <c r="H2614">
        <v>2024</v>
      </c>
    </row>
    <row r="2615" spans="1:8" x14ac:dyDescent="0.2">
      <c r="A2615">
        <v>223832</v>
      </c>
      <c r="B2615">
        <v>55000000</v>
      </c>
      <c r="C2615" t="str">
        <f t="shared" si="40"/>
        <v>5. $1M+</v>
      </c>
      <c r="D2615" t="s">
        <v>277</v>
      </c>
      <c r="E2615" t="s">
        <v>69</v>
      </c>
      <c r="F2615" t="s">
        <v>43</v>
      </c>
      <c r="G2615" t="s">
        <v>61</v>
      </c>
      <c r="H2615">
        <v>2023</v>
      </c>
    </row>
    <row r="2616" spans="1:8" x14ac:dyDescent="0.2">
      <c r="A2616">
        <v>223834</v>
      </c>
      <c r="B2616">
        <v>95000000</v>
      </c>
      <c r="C2616" t="str">
        <f t="shared" si="40"/>
        <v>5. $1M+</v>
      </c>
      <c r="D2616" t="s">
        <v>195</v>
      </c>
      <c r="E2616" t="s">
        <v>69</v>
      </c>
      <c r="F2616" t="s">
        <v>43</v>
      </c>
      <c r="G2616" t="s">
        <v>61</v>
      </c>
      <c r="H2616">
        <v>2023</v>
      </c>
    </row>
    <row r="2617" spans="1:8" x14ac:dyDescent="0.2">
      <c r="A2617">
        <v>223839</v>
      </c>
      <c r="B2617">
        <v>93088.8</v>
      </c>
      <c r="C2617" t="str">
        <f t="shared" si="40"/>
        <v>5. $1M+</v>
      </c>
      <c r="D2617" t="s">
        <v>278</v>
      </c>
      <c r="E2617" t="s">
        <v>18</v>
      </c>
      <c r="F2617" t="s">
        <v>239</v>
      </c>
      <c r="G2617" t="s">
        <v>10</v>
      </c>
      <c r="H2617">
        <v>2023</v>
      </c>
    </row>
    <row r="2618" spans="1:8" x14ac:dyDescent="0.2">
      <c r="A2618">
        <v>223843</v>
      </c>
      <c r="B2618">
        <v>47301435</v>
      </c>
      <c r="C2618" t="str">
        <f t="shared" si="40"/>
        <v>3. $50K-250K</v>
      </c>
      <c r="D2618" t="s">
        <v>279</v>
      </c>
      <c r="E2618" t="s">
        <v>8</v>
      </c>
      <c r="F2618" t="s">
        <v>22</v>
      </c>
      <c r="G2618" t="s">
        <v>10</v>
      </c>
      <c r="H2618">
        <v>2023</v>
      </c>
    </row>
    <row r="2619" spans="1:8" x14ac:dyDescent="0.2">
      <c r="A2619">
        <v>223861</v>
      </c>
      <c r="B2619">
        <v>992720</v>
      </c>
      <c r="C2619" t="str">
        <f t="shared" si="40"/>
        <v>5. $1M+</v>
      </c>
      <c r="D2619" t="s">
        <v>575</v>
      </c>
      <c r="E2619" t="s">
        <v>237</v>
      </c>
      <c r="F2619" t="s">
        <v>670</v>
      </c>
      <c r="G2619" t="s">
        <v>59</v>
      </c>
      <c r="H2619">
        <v>2023</v>
      </c>
    </row>
    <row r="2620" spans="1:8" x14ac:dyDescent="0.2">
      <c r="A2620">
        <v>223862</v>
      </c>
      <c r="B2620">
        <v>33170.800000000003</v>
      </c>
      <c r="C2620" t="str">
        <f t="shared" si="40"/>
        <v>4. $250K-1M</v>
      </c>
      <c r="D2620" t="s">
        <v>950</v>
      </c>
      <c r="E2620" t="s">
        <v>825</v>
      </c>
      <c r="F2620" t="s">
        <v>670</v>
      </c>
      <c r="G2620" t="s">
        <v>59</v>
      </c>
      <c r="H2620">
        <v>2023</v>
      </c>
    </row>
    <row r="2621" spans="1:8" x14ac:dyDescent="0.2">
      <c r="A2621">
        <v>223866</v>
      </c>
      <c r="B2621">
        <v>556094</v>
      </c>
      <c r="C2621" t="str">
        <f t="shared" si="40"/>
        <v>2. $10K-50K</v>
      </c>
      <c r="D2621" t="s">
        <v>575</v>
      </c>
      <c r="E2621" t="s">
        <v>237</v>
      </c>
      <c r="F2621" t="s">
        <v>670</v>
      </c>
      <c r="G2621" t="s">
        <v>59</v>
      </c>
      <c r="H2621">
        <v>2023</v>
      </c>
    </row>
    <row r="2622" spans="1:8" x14ac:dyDescent="0.2">
      <c r="A2622">
        <v>223891</v>
      </c>
      <c r="B2622">
        <v>89000</v>
      </c>
      <c r="C2622" t="str">
        <f t="shared" si="40"/>
        <v>4. $250K-1M</v>
      </c>
      <c r="D2622" t="s">
        <v>948</v>
      </c>
      <c r="E2622" t="s">
        <v>825</v>
      </c>
      <c r="F2622" t="s">
        <v>670</v>
      </c>
      <c r="G2622" t="s">
        <v>59</v>
      </c>
      <c r="H2622">
        <v>2023</v>
      </c>
    </row>
    <row r="2623" spans="1:8" x14ac:dyDescent="0.2">
      <c r="A2623">
        <v>223892</v>
      </c>
      <c r="B2623">
        <v>123409.8</v>
      </c>
      <c r="C2623" t="str">
        <f t="shared" si="40"/>
        <v>3. $50K-250K</v>
      </c>
      <c r="D2623" t="s">
        <v>948</v>
      </c>
      <c r="E2623" t="s">
        <v>825</v>
      </c>
      <c r="F2623" t="s">
        <v>670</v>
      </c>
      <c r="G2623" t="s">
        <v>59</v>
      </c>
      <c r="H2623">
        <v>2023</v>
      </c>
    </row>
    <row r="2624" spans="1:8" x14ac:dyDescent="0.2">
      <c r="A2624">
        <v>223893</v>
      </c>
      <c r="B2624">
        <v>29993.7</v>
      </c>
      <c r="C2624" t="str">
        <f t="shared" si="40"/>
        <v>3. $50K-250K</v>
      </c>
      <c r="D2624" t="s">
        <v>857</v>
      </c>
      <c r="E2624" t="s">
        <v>825</v>
      </c>
      <c r="F2624" t="s">
        <v>670</v>
      </c>
      <c r="G2624" t="s">
        <v>59</v>
      </c>
      <c r="H2624">
        <v>2023</v>
      </c>
    </row>
    <row r="2625" spans="1:8" x14ac:dyDescent="0.2">
      <c r="A2625">
        <v>223894</v>
      </c>
      <c r="B2625">
        <v>153446</v>
      </c>
      <c r="C2625" t="str">
        <f t="shared" si="40"/>
        <v>2. $10K-50K</v>
      </c>
      <c r="D2625" t="s">
        <v>961</v>
      </c>
      <c r="E2625" t="s">
        <v>825</v>
      </c>
      <c r="F2625" t="s">
        <v>670</v>
      </c>
      <c r="G2625" t="s">
        <v>59</v>
      </c>
      <c r="H2625">
        <v>2023</v>
      </c>
    </row>
    <row r="2626" spans="1:8" x14ac:dyDescent="0.2">
      <c r="A2626">
        <v>223968</v>
      </c>
      <c r="B2626">
        <v>107210.9</v>
      </c>
      <c r="C2626" t="str">
        <f t="shared" si="40"/>
        <v>3. $50K-250K</v>
      </c>
      <c r="D2626" t="s">
        <v>713</v>
      </c>
      <c r="E2626" t="s">
        <v>237</v>
      </c>
      <c r="F2626" t="s">
        <v>670</v>
      </c>
      <c r="G2626" t="s">
        <v>59</v>
      </c>
      <c r="H2626">
        <v>2023</v>
      </c>
    </row>
    <row r="2627" spans="1:8" x14ac:dyDescent="0.2">
      <c r="A2627">
        <v>223969</v>
      </c>
      <c r="B2627">
        <v>58459.1</v>
      </c>
      <c r="C2627" t="str">
        <f t="shared" ref="C2627:C2690" si="41">IF(B2626&lt;10000,"1. Under $10K",IF(B2626&lt;50000,"2. $10K-50K",IF(B2626&lt;250000,"3. $50K-250K",IF(B2626&lt;1000000,"4. $250K-1M","5. $1M+"))))</f>
        <v>3. $50K-250K</v>
      </c>
      <c r="D2627" t="s">
        <v>822</v>
      </c>
      <c r="E2627" t="s">
        <v>237</v>
      </c>
      <c r="F2627" t="s">
        <v>670</v>
      </c>
      <c r="G2627" t="s">
        <v>59</v>
      </c>
      <c r="H2627">
        <v>2023</v>
      </c>
    </row>
    <row r="2628" spans="1:8" x14ac:dyDescent="0.2">
      <c r="A2628">
        <v>223971</v>
      </c>
      <c r="B2628">
        <v>48789</v>
      </c>
      <c r="C2628" t="str">
        <f t="shared" si="41"/>
        <v>3. $50K-250K</v>
      </c>
      <c r="D2628" t="s">
        <v>903</v>
      </c>
      <c r="E2628" t="s">
        <v>237</v>
      </c>
      <c r="F2628" t="s">
        <v>670</v>
      </c>
      <c r="G2628" t="s">
        <v>59</v>
      </c>
      <c r="H2628">
        <v>2023</v>
      </c>
    </row>
    <row r="2629" spans="1:8" x14ac:dyDescent="0.2">
      <c r="A2629">
        <v>223972</v>
      </c>
      <c r="B2629">
        <v>10000000</v>
      </c>
      <c r="C2629" t="str">
        <f t="shared" si="41"/>
        <v>2. $10K-50K</v>
      </c>
      <c r="D2629" t="s">
        <v>280</v>
      </c>
      <c r="E2629" t="s">
        <v>8</v>
      </c>
      <c r="F2629" t="s">
        <v>14</v>
      </c>
      <c r="G2629" t="s">
        <v>15</v>
      </c>
      <c r="H2629">
        <v>2023</v>
      </c>
    </row>
    <row r="2630" spans="1:8" x14ac:dyDescent="0.2">
      <c r="A2630">
        <v>223973</v>
      </c>
      <c r="B2630">
        <v>10000000</v>
      </c>
      <c r="C2630" t="str">
        <f t="shared" si="41"/>
        <v>5. $1M+</v>
      </c>
      <c r="D2630" t="s">
        <v>281</v>
      </c>
      <c r="E2630" t="s">
        <v>8</v>
      </c>
      <c r="F2630" t="s">
        <v>14</v>
      </c>
      <c r="G2630" t="s">
        <v>15</v>
      </c>
      <c r="H2630">
        <v>2023</v>
      </c>
    </row>
    <row r="2631" spans="1:8" x14ac:dyDescent="0.2">
      <c r="A2631">
        <v>223974</v>
      </c>
      <c r="B2631">
        <v>10000000</v>
      </c>
      <c r="C2631" t="str">
        <f t="shared" si="41"/>
        <v>5. $1M+</v>
      </c>
      <c r="D2631" t="s">
        <v>282</v>
      </c>
      <c r="E2631" t="s">
        <v>8</v>
      </c>
      <c r="F2631" t="s">
        <v>14</v>
      </c>
      <c r="G2631" t="s">
        <v>15</v>
      </c>
      <c r="H2631">
        <v>2024</v>
      </c>
    </row>
    <row r="2632" spans="1:8" x14ac:dyDescent="0.2">
      <c r="A2632">
        <v>223975</v>
      </c>
      <c r="B2632">
        <v>10000000</v>
      </c>
      <c r="C2632" t="str">
        <f t="shared" si="41"/>
        <v>5. $1M+</v>
      </c>
      <c r="D2632" t="s">
        <v>160</v>
      </c>
      <c r="E2632" t="s">
        <v>8</v>
      </c>
      <c r="F2632" t="s">
        <v>14</v>
      </c>
      <c r="G2632" t="s">
        <v>15</v>
      </c>
      <c r="H2632">
        <v>2024</v>
      </c>
    </row>
    <row r="2633" spans="1:8" x14ac:dyDescent="0.2">
      <c r="A2633">
        <v>223976</v>
      </c>
      <c r="B2633">
        <v>10000000</v>
      </c>
      <c r="C2633" t="str">
        <f t="shared" si="41"/>
        <v>5. $1M+</v>
      </c>
      <c r="D2633" t="s">
        <v>70</v>
      </c>
      <c r="E2633" t="s">
        <v>8</v>
      </c>
      <c r="F2633" t="s">
        <v>14</v>
      </c>
      <c r="G2633" t="s">
        <v>15</v>
      </c>
      <c r="H2633">
        <v>2023</v>
      </c>
    </row>
    <row r="2634" spans="1:8" x14ac:dyDescent="0.2">
      <c r="A2634">
        <v>223977</v>
      </c>
      <c r="B2634">
        <v>10000000</v>
      </c>
      <c r="C2634" t="str">
        <f t="shared" si="41"/>
        <v>5. $1M+</v>
      </c>
      <c r="D2634" t="s">
        <v>283</v>
      </c>
      <c r="E2634" t="s">
        <v>8</v>
      </c>
      <c r="F2634" t="s">
        <v>14</v>
      </c>
      <c r="G2634" t="s">
        <v>15</v>
      </c>
      <c r="H2634">
        <v>2024</v>
      </c>
    </row>
    <row r="2635" spans="1:8" x14ac:dyDescent="0.2">
      <c r="A2635">
        <v>223978</v>
      </c>
      <c r="B2635">
        <v>10000000</v>
      </c>
      <c r="C2635" t="str">
        <f t="shared" si="41"/>
        <v>5. $1M+</v>
      </c>
      <c r="D2635" t="s">
        <v>284</v>
      </c>
      <c r="E2635" t="s">
        <v>8</v>
      </c>
      <c r="F2635" t="s">
        <v>14</v>
      </c>
      <c r="G2635" t="s">
        <v>15</v>
      </c>
      <c r="H2635">
        <v>2023</v>
      </c>
    </row>
    <row r="2636" spans="1:8" x14ac:dyDescent="0.2">
      <c r="A2636">
        <v>223979</v>
      </c>
      <c r="B2636">
        <v>10000000</v>
      </c>
      <c r="C2636" t="str">
        <f t="shared" si="41"/>
        <v>5. $1M+</v>
      </c>
      <c r="D2636" t="s">
        <v>285</v>
      </c>
      <c r="E2636" t="s">
        <v>8</v>
      </c>
      <c r="F2636" t="s">
        <v>14</v>
      </c>
      <c r="G2636" t="s">
        <v>15</v>
      </c>
      <c r="H2636">
        <v>2024</v>
      </c>
    </row>
    <row r="2637" spans="1:8" x14ac:dyDescent="0.2">
      <c r="A2637">
        <v>223980</v>
      </c>
      <c r="B2637">
        <v>10000000</v>
      </c>
      <c r="C2637" t="str">
        <f t="shared" si="41"/>
        <v>5. $1M+</v>
      </c>
      <c r="D2637" t="s">
        <v>16</v>
      </c>
      <c r="E2637" t="s">
        <v>8</v>
      </c>
      <c r="F2637" t="s">
        <v>14</v>
      </c>
      <c r="G2637" t="s">
        <v>15</v>
      </c>
      <c r="H2637">
        <v>2023</v>
      </c>
    </row>
    <row r="2638" spans="1:8" x14ac:dyDescent="0.2">
      <c r="A2638">
        <v>223981</v>
      </c>
      <c r="B2638">
        <v>10000000</v>
      </c>
      <c r="C2638" t="str">
        <f t="shared" si="41"/>
        <v>5. $1M+</v>
      </c>
      <c r="D2638" t="s">
        <v>50</v>
      </c>
      <c r="E2638" t="s">
        <v>8</v>
      </c>
      <c r="F2638" t="s">
        <v>14</v>
      </c>
      <c r="G2638" t="s">
        <v>15</v>
      </c>
      <c r="H2638">
        <v>2024</v>
      </c>
    </row>
    <row r="2639" spans="1:8" x14ac:dyDescent="0.2">
      <c r="A2639">
        <v>223982</v>
      </c>
      <c r="B2639">
        <v>10000000</v>
      </c>
      <c r="C2639" t="str">
        <f t="shared" si="41"/>
        <v>5. $1M+</v>
      </c>
      <c r="D2639" t="s">
        <v>286</v>
      </c>
      <c r="E2639" t="s">
        <v>8</v>
      </c>
      <c r="F2639" t="s">
        <v>14</v>
      </c>
      <c r="G2639" t="s">
        <v>15</v>
      </c>
      <c r="H2639">
        <v>2024</v>
      </c>
    </row>
    <row r="2640" spans="1:8" x14ac:dyDescent="0.2">
      <c r="A2640">
        <v>223983</v>
      </c>
      <c r="B2640">
        <v>10000000</v>
      </c>
      <c r="C2640" t="str">
        <f t="shared" si="41"/>
        <v>5. $1M+</v>
      </c>
      <c r="D2640" t="s">
        <v>186</v>
      </c>
      <c r="E2640" t="s">
        <v>8</v>
      </c>
      <c r="F2640" t="s">
        <v>14</v>
      </c>
      <c r="G2640" t="s">
        <v>15</v>
      </c>
      <c r="H2640">
        <v>2024</v>
      </c>
    </row>
    <row r="2641" spans="1:8" x14ac:dyDescent="0.2">
      <c r="A2641">
        <v>223984</v>
      </c>
      <c r="B2641">
        <v>10000000</v>
      </c>
      <c r="C2641" t="str">
        <f t="shared" si="41"/>
        <v>5. $1M+</v>
      </c>
      <c r="D2641" t="s">
        <v>287</v>
      </c>
      <c r="E2641" t="s">
        <v>8</v>
      </c>
      <c r="F2641" t="s">
        <v>14</v>
      </c>
      <c r="G2641" t="s">
        <v>15</v>
      </c>
      <c r="H2641">
        <v>2024</v>
      </c>
    </row>
    <row r="2642" spans="1:8" x14ac:dyDescent="0.2">
      <c r="A2642">
        <v>223985</v>
      </c>
      <c r="B2642">
        <v>10000000</v>
      </c>
      <c r="C2642" t="str">
        <f t="shared" si="41"/>
        <v>5. $1M+</v>
      </c>
      <c r="D2642" t="s">
        <v>288</v>
      </c>
      <c r="E2642" t="s">
        <v>8</v>
      </c>
      <c r="F2642" t="s">
        <v>14</v>
      </c>
      <c r="G2642" t="s">
        <v>15</v>
      </c>
      <c r="H2642">
        <v>2024</v>
      </c>
    </row>
    <row r="2643" spans="1:8" x14ac:dyDescent="0.2">
      <c r="A2643">
        <v>223986</v>
      </c>
      <c r="B2643">
        <v>10000000</v>
      </c>
      <c r="C2643" t="str">
        <f t="shared" si="41"/>
        <v>5. $1M+</v>
      </c>
      <c r="D2643" t="s">
        <v>189</v>
      </c>
      <c r="E2643" t="s">
        <v>8</v>
      </c>
      <c r="F2643" t="s">
        <v>14</v>
      </c>
      <c r="G2643" t="s">
        <v>15</v>
      </c>
      <c r="H2643">
        <v>2024</v>
      </c>
    </row>
    <row r="2644" spans="1:8" x14ac:dyDescent="0.2">
      <c r="A2644">
        <v>223987</v>
      </c>
      <c r="B2644">
        <v>10000000</v>
      </c>
      <c r="C2644" t="str">
        <f t="shared" si="41"/>
        <v>5. $1M+</v>
      </c>
      <c r="D2644" t="s">
        <v>289</v>
      </c>
      <c r="E2644" t="s">
        <v>8</v>
      </c>
      <c r="F2644" t="s">
        <v>14</v>
      </c>
      <c r="G2644" t="s">
        <v>15</v>
      </c>
      <c r="H2644">
        <v>2024</v>
      </c>
    </row>
    <row r="2645" spans="1:8" x14ac:dyDescent="0.2">
      <c r="A2645">
        <v>223988</v>
      </c>
      <c r="B2645">
        <v>10000000</v>
      </c>
      <c r="C2645" t="str">
        <f t="shared" si="41"/>
        <v>5. $1M+</v>
      </c>
      <c r="D2645" t="s">
        <v>197</v>
      </c>
      <c r="E2645" t="s">
        <v>8</v>
      </c>
      <c r="F2645" t="s">
        <v>14</v>
      </c>
      <c r="G2645" t="s">
        <v>15</v>
      </c>
      <c r="H2645">
        <v>2023</v>
      </c>
    </row>
    <row r="2646" spans="1:8" x14ac:dyDescent="0.2">
      <c r="A2646">
        <v>223989</v>
      </c>
      <c r="B2646">
        <v>10000000</v>
      </c>
      <c r="C2646" t="str">
        <f t="shared" si="41"/>
        <v>5. $1M+</v>
      </c>
      <c r="D2646" t="s">
        <v>193</v>
      </c>
      <c r="E2646" t="s">
        <v>8</v>
      </c>
      <c r="F2646" t="s">
        <v>14</v>
      </c>
      <c r="G2646" t="s">
        <v>15</v>
      </c>
      <c r="H2646">
        <v>2023</v>
      </c>
    </row>
    <row r="2647" spans="1:8" x14ac:dyDescent="0.2">
      <c r="A2647">
        <v>223990</v>
      </c>
      <c r="B2647">
        <v>10000000</v>
      </c>
      <c r="C2647" t="str">
        <f t="shared" si="41"/>
        <v>5. $1M+</v>
      </c>
      <c r="D2647" t="s">
        <v>290</v>
      </c>
      <c r="E2647" t="s">
        <v>8</v>
      </c>
      <c r="F2647" t="s">
        <v>14</v>
      </c>
      <c r="G2647" t="s">
        <v>15</v>
      </c>
      <c r="H2647">
        <v>2024</v>
      </c>
    </row>
    <row r="2648" spans="1:8" x14ac:dyDescent="0.2">
      <c r="A2648">
        <v>223991</v>
      </c>
      <c r="B2648">
        <v>10000000</v>
      </c>
      <c r="C2648" t="str">
        <f t="shared" si="41"/>
        <v>5. $1M+</v>
      </c>
      <c r="D2648" t="s">
        <v>199</v>
      </c>
      <c r="E2648" t="s">
        <v>8</v>
      </c>
      <c r="F2648" t="s">
        <v>14</v>
      </c>
      <c r="G2648" t="s">
        <v>15</v>
      </c>
      <c r="H2648">
        <v>2023</v>
      </c>
    </row>
    <row r="2649" spans="1:8" x14ac:dyDescent="0.2">
      <c r="A2649">
        <v>223992</v>
      </c>
      <c r="B2649">
        <v>10000000</v>
      </c>
      <c r="C2649" t="str">
        <f t="shared" si="41"/>
        <v>5. $1M+</v>
      </c>
      <c r="D2649" t="s">
        <v>291</v>
      </c>
      <c r="E2649" t="s">
        <v>8</v>
      </c>
      <c r="F2649" t="s">
        <v>14</v>
      </c>
      <c r="G2649" t="s">
        <v>15</v>
      </c>
      <c r="H2649">
        <v>2024</v>
      </c>
    </row>
    <row r="2650" spans="1:8" x14ac:dyDescent="0.2">
      <c r="A2650">
        <v>223994</v>
      </c>
      <c r="B2650">
        <v>10000000</v>
      </c>
      <c r="C2650" t="str">
        <f t="shared" si="41"/>
        <v>5. $1M+</v>
      </c>
      <c r="D2650" t="s">
        <v>202</v>
      </c>
      <c r="E2650" t="s">
        <v>8</v>
      </c>
      <c r="F2650" t="s">
        <v>14</v>
      </c>
      <c r="G2650" t="s">
        <v>15</v>
      </c>
      <c r="H2650">
        <v>2023</v>
      </c>
    </row>
    <row r="2651" spans="1:8" x14ac:dyDescent="0.2">
      <c r="A2651">
        <v>223996</v>
      </c>
      <c r="B2651">
        <v>10000000</v>
      </c>
      <c r="C2651" t="str">
        <f t="shared" si="41"/>
        <v>5. $1M+</v>
      </c>
      <c r="D2651" t="s">
        <v>292</v>
      </c>
      <c r="E2651" t="s">
        <v>8</v>
      </c>
      <c r="F2651" t="s">
        <v>14</v>
      </c>
      <c r="G2651" t="s">
        <v>15</v>
      </c>
      <c r="H2651">
        <v>2023</v>
      </c>
    </row>
    <row r="2652" spans="1:8" x14ac:dyDescent="0.2">
      <c r="A2652">
        <v>223997</v>
      </c>
      <c r="B2652">
        <v>10000000</v>
      </c>
      <c r="C2652" t="str">
        <f t="shared" si="41"/>
        <v>5. $1M+</v>
      </c>
      <c r="D2652" t="s">
        <v>293</v>
      </c>
      <c r="E2652" t="s">
        <v>8</v>
      </c>
      <c r="F2652" t="s">
        <v>14</v>
      </c>
      <c r="G2652" t="s">
        <v>15</v>
      </c>
      <c r="H2652">
        <v>2023</v>
      </c>
    </row>
    <row r="2653" spans="1:8" x14ac:dyDescent="0.2">
      <c r="A2653">
        <v>223998</v>
      </c>
      <c r="B2653">
        <v>10000000</v>
      </c>
      <c r="C2653" t="str">
        <f t="shared" si="41"/>
        <v>5. $1M+</v>
      </c>
      <c r="D2653" t="s">
        <v>205</v>
      </c>
      <c r="E2653" t="s">
        <v>8</v>
      </c>
      <c r="F2653" t="s">
        <v>14</v>
      </c>
      <c r="G2653" t="s">
        <v>15</v>
      </c>
      <c r="H2653">
        <v>2024</v>
      </c>
    </row>
    <row r="2654" spans="1:8" x14ac:dyDescent="0.2">
      <c r="A2654">
        <v>223999</v>
      </c>
      <c r="B2654">
        <v>10000000</v>
      </c>
      <c r="C2654" t="str">
        <f t="shared" si="41"/>
        <v>5. $1M+</v>
      </c>
      <c r="D2654" t="s">
        <v>203</v>
      </c>
      <c r="E2654" t="s">
        <v>8</v>
      </c>
      <c r="F2654" t="s">
        <v>14</v>
      </c>
      <c r="G2654" t="s">
        <v>15</v>
      </c>
      <c r="H2654">
        <v>2023</v>
      </c>
    </row>
    <row r="2655" spans="1:8" x14ac:dyDescent="0.2">
      <c r="A2655">
        <v>224000</v>
      </c>
      <c r="B2655">
        <v>10000000</v>
      </c>
      <c r="C2655" t="str">
        <f t="shared" si="41"/>
        <v>5. $1M+</v>
      </c>
      <c r="D2655" t="s">
        <v>294</v>
      </c>
      <c r="E2655" t="s">
        <v>8</v>
      </c>
      <c r="F2655" t="s">
        <v>14</v>
      </c>
      <c r="G2655" t="s">
        <v>15</v>
      </c>
      <c r="H2655">
        <v>2024</v>
      </c>
    </row>
    <row r="2656" spans="1:8" x14ac:dyDescent="0.2">
      <c r="A2656">
        <v>224001</v>
      </c>
      <c r="B2656">
        <v>10000000</v>
      </c>
      <c r="C2656" t="str">
        <f t="shared" si="41"/>
        <v>5. $1M+</v>
      </c>
      <c r="D2656" t="s">
        <v>295</v>
      </c>
      <c r="E2656" t="s">
        <v>8</v>
      </c>
      <c r="F2656" t="s">
        <v>14</v>
      </c>
      <c r="G2656" t="s">
        <v>15</v>
      </c>
      <c r="H2656">
        <v>2023</v>
      </c>
    </row>
    <row r="2657" spans="1:8" x14ac:dyDescent="0.2">
      <c r="A2657">
        <v>224002</v>
      </c>
      <c r="B2657">
        <v>10000000</v>
      </c>
      <c r="C2657" t="str">
        <f t="shared" si="41"/>
        <v>5. $1M+</v>
      </c>
      <c r="D2657" t="s">
        <v>296</v>
      </c>
      <c r="E2657" t="s">
        <v>8</v>
      </c>
      <c r="F2657" t="s">
        <v>14</v>
      </c>
      <c r="G2657" t="s">
        <v>15</v>
      </c>
      <c r="H2657">
        <v>2023</v>
      </c>
    </row>
    <row r="2658" spans="1:8" x14ac:dyDescent="0.2">
      <c r="A2658">
        <v>224003</v>
      </c>
      <c r="B2658">
        <v>141873</v>
      </c>
      <c r="C2658" t="str">
        <f t="shared" si="41"/>
        <v>5. $1M+</v>
      </c>
      <c r="D2658" t="s">
        <v>870</v>
      </c>
      <c r="E2658" t="s">
        <v>237</v>
      </c>
      <c r="F2658" t="s">
        <v>670</v>
      </c>
      <c r="G2658" t="s">
        <v>59</v>
      </c>
      <c r="H2658">
        <v>2023</v>
      </c>
    </row>
    <row r="2659" spans="1:8" x14ac:dyDescent="0.2">
      <c r="A2659">
        <v>224004</v>
      </c>
      <c r="B2659">
        <v>45466</v>
      </c>
      <c r="C2659" t="str">
        <f t="shared" si="41"/>
        <v>3. $50K-250K</v>
      </c>
      <c r="D2659" t="s">
        <v>909</v>
      </c>
      <c r="E2659" t="s">
        <v>237</v>
      </c>
      <c r="F2659" t="s">
        <v>670</v>
      </c>
      <c r="G2659" t="s">
        <v>59</v>
      </c>
      <c r="H2659">
        <v>2023</v>
      </c>
    </row>
    <row r="2660" spans="1:8" x14ac:dyDescent="0.2">
      <c r="A2660">
        <v>224005</v>
      </c>
      <c r="B2660">
        <v>269461.5</v>
      </c>
      <c r="C2660" t="str">
        <f t="shared" si="41"/>
        <v>2. $10K-50K</v>
      </c>
      <c r="D2660" t="s">
        <v>868</v>
      </c>
      <c r="E2660" t="s">
        <v>237</v>
      </c>
      <c r="F2660" t="s">
        <v>670</v>
      </c>
      <c r="G2660" t="s">
        <v>59</v>
      </c>
      <c r="H2660">
        <v>2023</v>
      </c>
    </row>
    <row r="2661" spans="1:8" x14ac:dyDescent="0.2">
      <c r="A2661">
        <v>224009</v>
      </c>
      <c r="B2661">
        <v>5295738.9000000004</v>
      </c>
      <c r="C2661" t="str">
        <f t="shared" si="41"/>
        <v>4. $250K-1M</v>
      </c>
      <c r="D2661" t="s">
        <v>1028</v>
      </c>
      <c r="E2661" t="s">
        <v>42</v>
      </c>
      <c r="F2661" t="s">
        <v>670</v>
      </c>
      <c r="G2661" t="s">
        <v>59</v>
      </c>
      <c r="H2661">
        <v>2023</v>
      </c>
    </row>
    <row r="2662" spans="1:8" x14ac:dyDescent="0.2">
      <c r="A2662">
        <v>224011</v>
      </c>
      <c r="B2662">
        <v>95698.8</v>
      </c>
      <c r="C2662" t="str">
        <f t="shared" si="41"/>
        <v>5. $1M+</v>
      </c>
      <c r="D2662" t="s">
        <v>1453</v>
      </c>
      <c r="E2662" t="s">
        <v>432</v>
      </c>
      <c r="F2662" t="s">
        <v>670</v>
      </c>
      <c r="G2662" t="s">
        <v>59</v>
      </c>
      <c r="H2662">
        <v>2023</v>
      </c>
    </row>
    <row r="2663" spans="1:8" x14ac:dyDescent="0.2">
      <c r="A2663">
        <v>224012</v>
      </c>
      <c r="B2663">
        <v>206044</v>
      </c>
      <c r="C2663" t="str">
        <f t="shared" si="41"/>
        <v>3. $50K-250K</v>
      </c>
      <c r="D2663" t="s">
        <v>719</v>
      </c>
      <c r="E2663" t="s">
        <v>42</v>
      </c>
      <c r="F2663" t="s">
        <v>670</v>
      </c>
      <c r="G2663" t="s">
        <v>59</v>
      </c>
      <c r="H2663">
        <v>2023</v>
      </c>
    </row>
    <row r="2664" spans="1:8" x14ac:dyDescent="0.2">
      <c r="A2664">
        <v>224034</v>
      </c>
      <c r="B2664">
        <v>16666</v>
      </c>
      <c r="C2664" t="str">
        <f t="shared" si="41"/>
        <v>3. $50K-250K</v>
      </c>
      <c r="D2664" t="s">
        <v>1411</v>
      </c>
      <c r="E2664" t="s">
        <v>368</v>
      </c>
      <c r="F2664" t="s">
        <v>670</v>
      </c>
      <c r="G2664" t="s">
        <v>59</v>
      </c>
      <c r="H2664">
        <v>2023</v>
      </c>
    </row>
    <row r="2665" spans="1:8" x14ac:dyDescent="0.2">
      <c r="A2665">
        <v>224035</v>
      </c>
      <c r="B2665">
        <v>312803</v>
      </c>
      <c r="C2665" t="str">
        <f t="shared" si="41"/>
        <v>2. $10K-50K</v>
      </c>
      <c r="D2665" t="s">
        <v>1094</v>
      </c>
      <c r="E2665" t="s">
        <v>237</v>
      </c>
      <c r="F2665" t="s">
        <v>670</v>
      </c>
      <c r="G2665" t="s">
        <v>59</v>
      </c>
      <c r="H2665">
        <v>2023</v>
      </c>
    </row>
    <row r="2666" spans="1:8" x14ac:dyDescent="0.2">
      <c r="A2666">
        <v>224036</v>
      </c>
      <c r="B2666">
        <v>2227164</v>
      </c>
      <c r="C2666" t="str">
        <f t="shared" si="41"/>
        <v>4. $250K-1M</v>
      </c>
      <c r="D2666" t="s">
        <v>1094</v>
      </c>
      <c r="E2666" t="s">
        <v>237</v>
      </c>
      <c r="F2666" t="s">
        <v>670</v>
      </c>
      <c r="G2666" t="s">
        <v>59</v>
      </c>
      <c r="H2666">
        <v>2023</v>
      </c>
    </row>
    <row r="2667" spans="1:8" x14ac:dyDescent="0.2">
      <c r="A2667">
        <v>224067</v>
      </c>
      <c r="B2667">
        <v>48500</v>
      </c>
      <c r="C2667" t="str">
        <f t="shared" si="41"/>
        <v>5. $1M+</v>
      </c>
      <c r="D2667" t="s">
        <v>948</v>
      </c>
      <c r="E2667" t="s">
        <v>825</v>
      </c>
      <c r="F2667" t="s">
        <v>670</v>
      </c>
      <c r="G2667" t="s">
        <v>59</v>
      </c>
      <c r="H2667">
        <v>2023</v>
      </c>
    </row>
    <row r="2668" spans="1:8" x14ac:dyDescent="0.2">
      <c r="A2668">
        <v>224251</v>
      </c>
      <c r="B2668">
        <v>815425</v>
      </c>
      <c r="C2668" t="str">
        <f t="shared" si="41"/>
        <v>2. $10K-50K</v>
      </c>
      <c r="D2668" t="s">
        <v>297</v>
      </c>
      <c r="E2668" t="s">
        <v>8</v>
      </c>
      <c r="F2668" t="s">
        <v>22</v>
      </c>
      <c r="G2668" t="s">
        <v>10</v>
      </c>
      <c r="H2668">
        <v>2023</v>
      </c>
    </row>
    <row r="2669" spans="1:8" x14ac:dyDescent="0.2">
      <c r="A2669">
        <v>224281</v>
      </c>
      <c r="B2669">
        <v>40000</v>
      </c>
      <c r="C2669" t="str">
        <f t="shared" si="41"/>
        <v>4. $250K-1M</v>
      </c>
      <c r="D2669" t="s">
        <v>1443</v>
      </c>
      <c r="E2669" t="s">
        <v>432</v>
      </c>
      <c r="F2669" t="s">
        <v>670</v>
      </c>
      <c r="G2669" t="s">
        <v>59</v>
      </c>
      <c r="H2669">
        <v>2023</v>
      </c>
    </row>
    <row r="2670" spans="1:8" x14ac:dyDescent="0.2">
      <c r="A2670">
        <v>224283</v>
      </c>
      <c r="B2670">
        <v>38750</v>
      </c>
      <c r="C2670" t="str">
        <f t="shared" si="41"/>
        <v>2. $10K-50K</v>
      </c>
      <c r="D2670" t="s">
        <v>1512</v>
      </c>
      <c r="E2670" t="s">
        <v>432</v>
      </c>
      <c r="F2670" t="s">
        <v>670</v>
      </c>
      <c r="G2670" t="s">
        <v>59</v>
      </c>
      <c r="H2670">
        <v>2023</v>
      </c>
    </row>
    <row r="2671" spans="1:8" x14ac:dyDescent="0.2">
      <c r="A2671">
        <v>224331</v>
      </c>
      <c r="B2671">
        <v>7907442.0999999996</v>
      </c>
      <c r="C2671" t="str">
        <f t="shared" si="41"/>
        <v>2. $10K-50K</v>
      </c>
      <c r="D2671" t="s">
        <v>749</v>
      </c>
      <c r="E2671" t="s">
        <v>42</v>
      </c>
      <c r="F2671" t="s">
        <v>670</v>
      </c>
      <c r="G2671" t="s">
        <v>59</v>
      </c>
      <c r="H2671">
        <v>2023</v>
      </c>
    </row>
    <row r="2672" spans="1:8" x14ac:dyDescent="0.2">
      <c r="A2672">
        <v>224349</v>
      </c>
      <c r="B2672">
        <v>16666</v>
      </c>
      <c r="C2672" t="str">
        <f t="shared" si="41"/>
        <v>5. $1M+</v>
      </c>
      <c r="D2672" t="s">
        <v>1413</v>
      </c>
      <c r="E2672" t="s">
        <v>368</v>
      </c>
      <c r="F2672" t="s">
        <v>670</v>
      </c>
      <c r="G2672" t="s">
        <v>59</v>
      </c>
      <c r="H2672">
        <v>2023</v>
      </c>
    </row>
    <row r="2673" spans="1:8" x14ac:dyDescent="0.2">
      <c r="A2673">
        <v>224350</v>
      </c>
      <c r="B2673">
        <v>110000</v>
      </c>
      <c r="C2673" t="str">
        <f t="shared" si="41"/>
        <v>2. $10K-50K</v>
      </c>
      <c r="D2673" t="s">
        <v>971</v>
      </c>
      <c r="E2673" t="s">
        <v>825</v>
      </c>
      <c r="F2673" t="s">
        <v>670</v>
      </c>
      <c r="G2673" t="s">
        <v>59</v>
      </c>
      <c r="H2673">
        <v>2023</v>
      </c>
    </row>
    <row r="2674" spans="1:8" x14ac:dyDescent="0.2">
      <c r="A2674">
        <v>224355</v>
      </c>
      <c r="B2674">
        <v>37000</v>
      </c>
      <c r="C2674" t="str">
        <f t="shared" si="41"/>
        <v>3. $50K-250K</v>
      </c>
      <c r="D2674" t="s">
        <v>971</v>
      </c>
      <c r="E2674" t="s">
        <v>825</v>
      </c>
      <c r="F2674" t="s">
        <v>670</v>
      </c>
      <c r="G2674" t="s">
        <v>59</v>
      </c>
      <c r="H2674">
        <v>2023</v>
      </c>
    </row>
    <row r="2675" spans="1:8" x14ac:dyDescent="0.2">
      <c r="A2675">
        <v>224367</v>
      </c>
      <c r="B2675">
        <v>44600</v>
      </c>
      <c r="C2675" t="str">
        <f t="shared" si="41"/>
        <v>2. $10K-50K</v>
      </c>
      <c r="D2675" t="s">
        <v>865</v>
      </c>
      <c r="E2675" t="s">
        <v>237</v>
      </c>
      <c r="F2675" t="s">
        <v>670</v>
      </c>
      <c r="G2675" t="s">
        <v>59</v>
      </c>
      <c r="H2675">
        <v>2023</v>
      </c>
    </row>
    <row r="2676" spans="1:8" x14ac:dyDescent="0.2">
      <c r="A2676">
        <v>224369</v>
      </c>
      <c r="B2676">
        <v>43750</v>
      </c>
      <c r="C2676" t="str">
        <f t="shared" si="41"/>
        <v>2. $10K-50K</v>
      </c>
      <c r="D2676" t="s">
        <v>865</v>
      </c>
      <c r="E2676" t="s">
        <v>237</v>
      </c>
      <c r="F2676" t="s">
        <v>670</v>
      </c>
      <c r="G2676" t="s">
        <v>59</v>
      </c>
      <c r="H2676">
        <v>2023</v>
      </c>
    </row>
    <row r="2677" spans="1:8" x14ac:dyDescent="0.2">
      <c r="A2677">
        <v>224372</v>
      </c>
      <c r="B2677">
        <v>208650</v>
      </c>
      <c r="C2677" t="str">
        <f t="shared" si="41"/>
        <v>2. $10K-50K</v>
      </c>
      <c r="D2677" t="s">
        <v>785</v>
      </c>
      <c r="E2677" t="s">
        <v>237</v>
      </c>
      <c r="F2677" t="s">
        <v>670</v>
      </c>
      <c r="G2677" t="s">
        <v>59</v>
      </c>
      <c r="H2677">
        <v>2023</v>
      </c>
    </row>
    <row r="2678" spans="1:8" x14ac:dyDescent="0.2">
      <c r="A2678">
        <v>224377</v>
      </c>
      <c r="B2678">
        <v>45000</v>
      </c>
      <c r="C2678" t="str">
        <f t="shared" si="41"/>
        <v>3. $50K-250K</v>
      </c>
      <c r="D2678" t="s">
        <v>926</v>
      </c>
      <c r="E2678" t="s">
        <v>237</v>
      </c>
      <c r="F2678" t="s">
        <v>670</v>
      </c>
      <c r="G2678" t="s">
        <v>59</v>
      </c>
      <c r="H2678">
        <v>2023</v>
      </c>
    </row>
    <row r="2679" spans="1:8" x14ac:dyDescent="0.2">
      <c r="A2679">
        <v>224378</v>
      </c>
      <c r="B2679">
        <v>462251.8</v>
      </c>
      <c r="C2679" t="str">
        <f t="shared" si="41"/>
        <v>2. $10K-50K</v>
      </c>
      <c r="D2679" t="s">
        <v>749</v>
      </c>
      <c r="E2679" t="s">
        <v>237</v>
      </c>
      <c r="F2679" t="s">
        <v>670</v>
      </c>
      <c r="G2679" t="s">
        <v>59</v>
      </c>
      <c r="H2679">
        <v>2023</v>
      </c>
    </row>
    <row r="2680" spans="1:8" x14ac:dyDescent="0.2">
      <c r="A2680">
        <v>224408</v>
      </c>
      <c r="B2680">
        <v>2561856</v>
      </c>
      <c r="C2680" t="str">
        <f t="shared" si="41"/>
        <v>4. $250K-1M</v>
      </c>
      <c r="D2680" t="s">
        <v>1513</v>
      </c>
      <c r="E2680" t="s">
        <v>237</v>
      </c>
      <c r="F2680" t="s">
        <v>670</v>
      </c>
      <c r="G2680" t="s">
        <v>59</v>
      </c>
      <c r="H2680">
        <v>2023</v>
      </c>
    </row>
    <row r="2681" spans="1:8" x14ac:dyDescent="0.2">
      <c r="A2681">
        <v>224411</v>
      </c>
      <c r="B2681">
        <v>89505.3</v>
      </c>
      <c r="C2681" t="str">
        <f t="shared" si="41"/>
        <v>5. $1M+</v>
      </c>
      <c r="D2681" t="s">
        <v>956</v>
      </c>
      <c r="E2681" t="s">
        <v>825</v>
      </c>
      <c r="F2681" t="s">
        <v>670</v>
      </c>
      <c r="G2681" t="s">
        <v>59</v>
      </c>
      <c r="H2681">
        <v>2023</v>
      </c>
    </row>
    <row r="2682" spans="1:8" x14ac:dyDescent="0.2">
      <c r="A2682">
        <v>224418</v>
      </c>
      <c r="B2682">
        <v>29921.8</v>
      </c>
      <c r="C2682" t="str">
        <f t="shared" si="41"/>
        <v>3. $50K-250K</v>
      </c>
      <c r="D2682" t="s">
        <v>956</v>
      </c>
      <c r="E2682" t="s">
        <v>825</v>
      </c>
      <c r="F2682" t="s">
        <v>670</v>
      </c>
      <c r="G2682" t="s">
        <v>59</v>
      </c>
      <c r="H2682">
        <v>2023</v>
      </c>
    </row>
    <row r="2683" spans="1:8" x14ac:dyDescent="0.2">
      <c r="A2683">
        <v>224422</v>
      </c>
      <c r="B2683">
        <v>216959</v>
      </c>
      <c r="C2683" t="str">
        <f t="shared" si="41"/>
        <v>2. $10K-50K</v>
      </c>
      <c r="D2683" t="s">
        <v>871</v>
      </c>
      <c r="E2683" t="s">
        <v>237</v>
      </c>
      <c r="F2683" t="s">
        <v>670</v>
      </c>
      <c r="G2683" t="s">
        <v>59</v>
      </c>
      <c r="H2683">
        <v>2023</v>
      </c>
    </row>
    <row r="2684" spans="1:8" x14ac:dyDescent="0.2">
      <c r="A2684">
        <v>224438</v>
      </c>
      <c r="B2684">
        <v>400000</v>
      </c>
      <c r="C2684" t="str">
        <f t="shared" si="41"/>
        <v>3. $50K-250K</v>
      </c>
      <c r="D2684" t="s">
        <v>871</v>
      </c>
      <c r="E2684" t="s">
        <v>237</v>
      </c>
      <c r="F2684" t="s">
        <v>670</v>
      </c>
      <c r="G2684" t="s">
        <v>59</v>
      </c>
      <c r="H2684">
        <v>2023</v>
      </c>
    </row>
    <row r="2685" spans="1:8" x14ac:dyDescent="0.2">
      <c r="A2685">
        <v>224443</v>
      </c>
      <c r="B2685">
        <v>46000</v>
      </c>
      <c r="C2685" t="str">
        <f t="shared" si="41"/>
        <v>4. $250K-1M</v>
      </c>
      <c r="D2685" t="s">
        <v>866</v>
      </c>
      <c r="E2685" t="s">
        <v>237</v>
      </c>
      <c r="F2685" t="s">
        <v>670</v>
      </c>
      <c r="G2685" t="s">
        <v>59</v>
      </c>
      <c r="H2685">
        <v>2023</v>
      </c>
    </row>
    <row r="2686" spans="1:8" x14ac:dyDescent="0.2">
      <c r="A2686">
        <v>224471</v>
      </c>
      <c r="B2686">
        <v>625608</v>
      </c>
      <c r="C2686" t="str">
        <f t="shared" si="41"/>
        <v>2. $10K-50K</v>
      </c>
      <c r="D2686" t="s">
        <v>1094</v>
      </c>
      <c r="E2686" t="s">
        <v>237</v>
      </c>
      <c r="F2686" t="s">
        <v>670</v>
      </c>
      <c r="G2686" t="s">
        <v>59</v>
      </c>
      <c r="H2686">
        <v>2023</v>
      </c>
    </row>
    <row r="2687" spans="1:8" x14ac:dyDescent="0.2">
      <c r="A2687">
        <v>224472</v>
      </c>
      <c r="B2687">
        <v>2470309</v>
      </c>
      <c r="C2687" t="str">
        <f t="shared" si="41"/>
        <v>4. $250K-1M</v>
      </c>
      <c r="D2687" t="s">
        <v>799</v>
      </c>
      <c r="E2687" t="s">
        <v>237</v>
      </c>
      <c r="F2687" t="s">
        <v>670</v>
      </c>
      <c r="G2687" t="s">
        <v>59</v>
      </c>
      <c r="H2687">
        <v>2023</v>
      </c>
    </row>
    <row r="2688" spans="1:8" x14ac:dyDescent="0.2">
      <c r="A2688">
        <v>224475</v>
      </c>
      <c r="B2688">
        <v>816486</v>
      </c>
      <c r="C2688" t="str">
        <f t="shared" si="41"/>
        <v>5. $1M+</v>
      </c>
      <c r="D2688" t="s">
        <v>791</v>
      </c>
      <c r="E2688" t="s">
        <v>42</v>
      </c>
      <c r="F2688" t="s">
        <v>670</v>
      </c>
      <c r="G2688" t="s">
        <v>44</v>
      </c>
      <c r="H2688">
        <v>2023</v>
      </c>
    </row>
    <row r="2689" spans="1:8" x14ac:dyDescent="0.2">
      <c r="A2689">
        <v>224476</v>
      </c>
      <c r="B2689">
        <v>590093</v>
      </c>
      <c r="C2689" t="str">
        <f t="shared" si="41"/>
        <v>4. $250K-1M</v>
      </c>
      <c r="D2689" t="s">
        <v>791</v>
      </c>
      <c r="E2689" t="s">
        <v>42</v>
      </c>
      <c r="F2689" t="s">
        <v>670</v>
      </c>
      <c r="G2689" t="s">
        <v>44</v>
      </c>
      <c r="H2689">
        <v>2023</v>
      </c>
    </row>
    <row r="2690" spans="1:8" x14ac:dyDescent="0.2">
      <c r="A2690">
        <v>224479</v>
      </c>
      <c r="B2690">
        <v>122156864</v>
      </c>
      <c r="C2690" t="str">
        <f t="shared" si="41"/>
        <v>4. $250K-1M</v>
      </c>
      <c r="D2690" t="s">
        <v>298</v>
      </c>
      <c r="E2690" t="s">
        <v>28</v>
      </c>
      <c r="F2690" t="s">
        <v>29</v>
      </c>
      <c r="G2690" t="s">
        <v>44</v>
      </c>
      <c r="H2690">
        <v>2023</v>
      </c>
    </row>
    <row r="2691" spans="1:8" x14ac:dyDescent="0.2">
      <c r="A2691">
        <v>224482</v>
      </c>
      <c r="B2691">
        <v>22231.4</v>
      </c>
      <c r="C2691" t="str">
        <f t="shared" ref="C2691:C2754" si="42">IF(B2690&lt;10000,"1. Under $10K",IF(B2690&lt;50000,"2. $10K-50K",IF(B2690&lt;250000,"3. $50K-250K",IF(B2690&lt;1000000,"4. $250K-1M","5. $1M+"))))</f>
        <v>5. $1M+</v>
      </c>
      <c r="D2691" t="s">
        <v>953</v>
      </c>
      <c r="E2691" t="s">
        <v>825</v>
      </c>
      <c r="F2691" t="s">
        <v>670</v>
      </c>
      <c r="G2691" t="s">
        <v>59</v>
      </c>
      <c r="H2691">
        <v>2023</v>
      </c>
    </row>
    <row r="2692" spans="1:8" x14ac:dyDescent="0.2">
      <c r="A2692">
        <v>224518</v>
      </c>
      <c r="B2692">
        <v>204893.1</v>
      </c>
      <c r="C2692" t="str">
        <f t="shared" si="42"/>
        <v>2. $10K-50K</v>
      </c>
      <c r="D2692" t="s">
        <v>726</v>
      </c>
      <c r="E2692" t="s">
        <v>825</v>
      </c>
      <c r="F2692" t="s">
        <v>670</v>
      </c>
      <c r="G2692" t="s">
        <v>59</v>
      </c>
      <c r="H2692">
        <v>2023</v>
      </c>
    </row>
    <row r="2693" spans="1:8" x14ac:dyDescent="0.2">
      <c r="A2693">
        <v>224530</v>
      </c>
      <c r="B2693">
        <v>83637</v>
      </c>
      <c r="C2693" t="str">
        <f t="shared" si="42"/>
        <v>3. $50K-250K</v>
      </c>
      <c r="D2693" t="s">
        <v>815</v>
      </c>
      <c r="E2693" t="s">
        <v>99</v>
      </c>
      <c r="F2693" t="s">
        <v>670</v>
      </c>
      <c r="G2693" t="s">
        <v>59</v>
      </c>
      <c r="H2693">
        <v>2023</v>
      </c>
    </row>
    <row r="2694" spans="1:8" x14ac:dyDescent="0.2">
      <c r="A2694">
        <v>224533</v>
      </c>
      <c r="B2694">
        <v>681151</v>
      </c>
      <c r="C2694" t="str">
        <f t="shared" si="42"/>
        <v>3. $50K-250K</v>
      </c>
      <c r="D2694" t="s">
        <v>878</v>
      </c>
      <c r="E2694" t="s">
        <v>42</v>
      </c>
      <c r="F2694" t="s">
        <v>670</v>
      </c>
      <c r="G2694" t="s">
        <v>59</v>
      </c>
      <c r="H2694">
        <v>2023</v>
      </c>
    </row>
    <row r="2695" spans="1:8" x14ac:dyDescent="0.2">
      <c r="A2695">
        <v>224541</v>
      </c>
      <c r="B2695">
        <v>307532.2</v>
      </c>
      <c r="C2695" t="str">
        <f t="shared" si="42"/>
        <v>4. $250K-1M</v>
      </c>
      <c r="D2695" t="s">
        <v>805</v>
      </c>
      <c r="E2695" t="s">
        <v>42</v>
      </c>
      <c r="F2695" t="s">
        <v>670</v>
      </c>
      <c r="G2695" t="s">
        <v>59</v>
      </c>
      <c r="H2695">
        <v>2023</v>
      </c>
    </row>
    <row r="2696" spans="1:8" x14ac:dyDescent="0.2">
      <c r="A2696">
        <v>224543</v>
      </c>
      <c r="B2696">
        <v>18652</v>
      </c>
      <c r="C2696" t="str">
        <f t="shared" si="42"/>
        <v>4. $250K-1M</v>
      </c>
      <c r="D2696" t="s">
        <v>958</v>
      </c>
      <c r="E2696" t="s">
        <v>432</v>
      </c>
      <c r="F2696" t="s">
        <v>670</v>
      </c>
      <c r="G2696" t="s">
        <v>59</v>
      </c>
      <c r="H2696">
        <v>2023</v>
      </c>
    </row>
    <row r="2697" spans="1:8" x14ac:dyDescent="0.2">
      <c r="A2697">
        <v>224589</v>
      </c>
      <c r="B2697">
        <v>1426436</v>
      </c>
      <c r="C2697" t="str">
        <f t="shared" si="42"/>
        <v>2. $10K-50K</v>
      </c>
      <c r="D2697" t="s">
        <v>299</v>
      </c>
      <c r="E2697" t="s">
        <v>69</v>
      </c>
      <c r="F2697" t="s">
        <v>12</v>
      </c>
      <c r="G2697" t="s">
        <v>10</v>
      </c>
      <c r="H2697">
        <v>2023</v>
      </c>
    </row>
    <row r="2698" spans="1:8" x14ac:dyDescent="0.2">
      <c r="A2698">
        <v>224595</v>
      </c>
      <c r="B2698">
        <v>4941698.8</v>
      </c>
      <c r="C2698" t="str">
        <f t="shared" si="42"/>
        <v>5. $1M+</v>
      </c>
      <c r="D2698" t="s">
        <v>300</v>
      </c>
      <c r="E2698" t="s">
        <v>69</v>
      </c>
      <c r="F2698" t="s">
        <v>43</v>
      </c>
      <c r="G2698" t="s">
        <v>124</v>
      </c>
      <c r="H2698">
        <v>2023</v>
      </c>
    </row>
    <row r="2699" spans="1:8" x14ac:dyDescent="0.2">
      <c r="A2699">
        <v>224600</v>
      </c>
      <c r="B2699">
        <v>22350587.5</v>
      </c>
      <c r="C2699" t="str">
        <f t="shared" si="42"/>
        <v>5. $1M+</v>
      </c>
      <c r="D2699" t="s">
        <v>300</v>
      </c>
      <c r="E2699" t="s">
        <v>18</v>
      </c>
      <c r="F2699" t="s">
        <v>43</v>
      </c>
      <c r="G2699" t="s">
        <v>103</v>
      </c>
      <c r="H2699">
        <v>2023</v>
      </c>
    </row>
    <row r="2700" spans="1:8" x14ac:dyDescent="0.2">
      <c r="A2700">
        <v>224700</v>
      </c>
      <c r="B2700">
        <v>675000</v>
      </c>
      <c r="C2700" t="str">
        <f t="shared" si="42"/>
        <v>5. $1M+</v>
      </c>
      <c r="D2700" t="s">
        <v>749</v>
      </c>
      <c r="E2700" t="s">
        <v>42</v>
      </c>
      <c r="F2700" t="s">
        <v>670</v>
      </c>
      <c r="G2700" t="s">
        <v>44</v>
      </c>
      <c r="H2700">
        <v>2023</v>
      </c>
    </row>
    <row r="2701" spans="1:8" x14ac:dyDescent="0.2">
      <c r="A2701">
        <v>224702</v>
      </c>
      <c r="B2701">
        <v>156015</v>
      </c>
      <c r="C2701" t="str">
        <f t="shared" si="42"/>
        <v>4. $250K-1M</v>
      </c>
      <c r="D2701" t="s">
        <v>749</v>
      </c>
      <c r="E2701" t="s">
        <v>237</v>
      </c>
      <c r="F2701" t="s">
        <v>670</v>
      </c>
      <c r="G2701" t="s">
        <v>59</v>
      </c>
      <c r="H2701">
        <v>2023</v>
      </c>
    </row>
    <row r="2702" spans="1:8" x14ac:dyDescent="0.2">
      <c r="A2702">
        <v>224713</v>
      </c>
      <c r="B2702">
        <v>30000</v>
      </c>
      <c r="C2702" t="str">
        <f t="shared" si="42"/>
        <v>3. $50K-250K</v>
      </c>
      <c r="D2702" t="s">
        <v>812</v>
      </c>
      <c r="E2702" t="s">
        <v>825</v>
      </c>
      <c r="F2702" t="s">
        <v>670</v>
      </c>
      <c r="G2702" t="s">
        <v>59</v>
      </c>
      <c r="H2702">
        <v>2023</v>
      </c>
    </row>
    <row r="2703" spans="1:8" x14ac:dyDescent="0.2">
      <c r="A2703">
        <v>224714</v>
      </c>
      <c r="B2703">
        <v>45000000</v>
      </c>
      <c r="C2703" t="str">
        <f t="shared" si="42"/>
        <v>2. $10K-50K</v>
      </c>
      <c r="D2703" t="s">
        <v>301</v>
      </c>
      <c r="E2703" t="s">
        <v>69</v>
      </c>
      <c r="F2703" t="s">
        <v>43</v>
      </c>
      <c r="G2703" t="s">
        <v>61</v>
      </c>
      <c r="H2703">
        <v>2023</v>
      </c>
    </row>
    <row r="2704" spans="1:8" x14ac:dyDescent="0.2">
      <c r="A2704">
        <v>224715</v>
      </c>
      <c r="B2704">
        <v>133277.1</v>
      </c>
      <c r="C2704" t="str">
        <f t="shared" si="42"/>
        <v>5. $1M+</v>
      </c>
      <c r="D2704" t="s">
        <v>881</v>
      </c>
      <c r="E2704" t="s">
        <v>237</v>
      </c>
      <c r="F2704" t="s">
        <v>670</v>
      </c>
      <c r="G2704" t="s">
        <v>59</v>
      </c>
      <c r="H2704">
        <v>2023</v>
      </c>
    </row>
    <row r="2705" spans="1:8" x14ac:dyDescent="0.2">
      <c r="A2705">
        <v>224742</v>
      </c>
      <c r="B2705">
        <v>6377.5</v>
      </c>
      <c r="C2705" t="str">
        <f t="shared" si="42"/>
        <v>3. $50K-250K</v>
      </c>
      <c r="D2705" t="s">
        <v>792</v>
      </c>
      <c r="E2705" t="s">
        <v>237</v>
      </c>
      <c r="F2705" t="s">
        <v>670</v>
      </c>
      <c r="G2705" t="s">
        <v>59</v>
      </c>
      <c r="H2705">
        <v>2023</v>
      </c>
    </row>
    <row r="2706" spans="1:8" x14ac:dyDescent="0.2">
      <c r="A2706">
        <v>224743</v>
      </c>
      <c r="B2706">
        <v>68499.600000000006</v>
      </c>
      <c r="C2706" t="str">
        <f t="shared" si="42"/>
        <v>1. Under $10K</v>
      </c>
      <c r="D2706" t="s">
        <v>792</v>
      </c>
      <c r="E2706" t="s">
        <v>237</v>
      </c>
      <c r="F2706" t="s">
        <v>670</v>
      </c>
      <c r="G2706" t="s">
        <v>59</v>
      </c>
      <c r="H2706">
        <v>2023</v>
      </c>
    </row>
    <row r="2707" spans="1:8" x14ac:dyDescent="0.2">
      <c r="A2707">
        <v>224744</v>
      </c>
      <c r="B2707">
        <v>9450</v>
      </c>
      <c r="C2707" t="str">
        <f t="shared" si="42"/>
        <v>3. $50K-250K</v>
      </c>
      <c r="D2707" t="s">
        <v>792</v>
      </c>
      <c r="E2707" t="s">
        <v>237</v>
      </c>
      <c r="F2707" t="s">
        <v>670</v>
      </c>
      <c r="G2707" t="s">
        <v>59</v>
      </c>
      <c r="H2707">
        <v>2023</v>
      </c>
    </row>
    <row r="2708" spans="1:8" x14ac:dyDescent="0.2">
      <c r="A2708">
        <v>224745</v>
      </c>
      <c r="B2708">
        <v>28149</v>
      </c>
      <c r="C2708" t="str">
        <f t="shared" si="42"/>
        <v>1. Under $10K</v>
      </c>
      <c r="D2708" t="s">
        <v>792</v>
      </c>
      <c r="E2708" t="s">
        <v>237</v>
      </c>
      <c r="F2708" t="s">
        <v>670</v>
      </c>
      <c r="G2708" t="s">
        <v>59</v>
      </c>
      <c r="H2708">
        <v>2023</v>
      </c>
    </row>
    <row r="2709" spans="1:8" x14ac:dyDescent="0.2">
      <c r="A2709">
        <v>224778</v>
      </c>
      <c r="B2709">
        <v>1628706.4</v>
      </c>
      <c r="C2709" t="str">
        <f t="shared" si="42"/>
        <v>2. $10K-50K</v>
      </c>
      <c r="D2709" t="s">
        <v>697</v>
      </c>
      <c r="E2709" t="s">
        <v>237</v>
      </c>
      <c r="F2709" t="s">
        <v>670</v>
      </c>
      <c r="G2709" t="s">
        <v>59</v>
      </c>
      <c r="H2709">
        <v>2023</v>
      </c>
    </row>
    <row r="2710" spans="1:8" x14ac:dyDescent="0.2">
      <c r="A2710">
        <v>224781</v>
      </c>
      <c r="B2710">
        <v>11680</v>
      </c>
      <c r="C2710" t="str">
        <f t="shared" si="42"/>
        <v>5. $1M+</v>
      </c>
      <c r="D2710" t="s">
        <v>807</v>
      </c>
      <c r="E2710" t="s">
        <v>237</v>
      </c>
      <c r="F2710" t="s">
        <v>670</v>
      </c>
      <c r="G2710" t="s">
        <v>59</v>
      </c>
      <c r="H2710">
        <v>2023</v>
      </c>
    </row>
    <row r="2711" spans="1:8" x14ac:dyDescent="0.2">
      <c r="A2711">
        <v>224782</v>
      </c>
      <c r="B2711">
        <v>40000</v>
      </c>
      <c r="C2711" t="str">
        <f t="shared" si="42"/>
        <v>2. $10K-50K</v>
      </c>
      <c r="D2711" t="s">
        <v>785</v>
      </c>
      <c r="E2711" t="s">
        <v>237</v>
      </c>
      <c r="F2711" t="s">
        <v>670</v>
      </c>
      <c r="G2711" t="s">
        <v>59</v>
      </c>
      <c r="H2711">
        <v>2023</v>
      </c>
    </row>
    <row r="2712" spans="1:8" x14ac:dyDescent="0.2">
      <c r="A2712">
        <v>224783</v>
      </c>
      <c r="B2712">
        <v>20608</v>
      </c>
      <c r="C2712" t="str">
        <f t="shared" si="42"/>
        <v>2. $10K-50K</v>
      </c>
      <c r="D2712" t="s">
        <v>942</v>
      </c>
      <c r="E2712" t="s">
        <v>237</v>
      </c>
      <c r="F2712" t="s">
        <v>670</v>
      </c>
      <c r="G2712" t="s">
        <v>59</v>
      </c>
      <c r="H2712">
        <v>2023</v>
      </c>
    </row>
    <row r="2713" spans="1:8" x14ac:dyDescent="0.2">
      <c r="A2713">
        <v>224784</v>
      </c>
      <c r="B2713">
        <v>361350</v>
      </c>
      <c r="C2713" t="str">
        <f t="shared" si="42"/>
        <v>2. $10K-50K</v>
      </c>
      <c r="D2713" t="s">
        <v>887</v>
      </c>
      <c r="E2713" t="s">
        <v>237</v>
      </c>
      <c r="F2713" t="s">
        <v>670</v>
      </c>
      <c r="G2713" t="s">
        <v>59</v>
      </c>
      <c r="H2713">
        <v>2023</v>
      </c>
    </row>
    <row r="2714" spans="1:8" x14ac:dyDescent="0.2">
      <c r="A2714">
        <v>224785</v>
      </c>
      <c r="B2714">
        <v>16492.3</v>
      </c>
      <c r="C2714" t="str">
        <f t="shared" si="42"/>
        <v>4. $250K-1M</v>
      </c>
      <c r="D2714" t="s">
        <v>988</v>
      </c>
      <c r="E2714" t="s">
        <v>237</v>
      </c>
      <c r="F2714" t="s">
        <v>670</v>
      </c>
      <c r="G2714" t="s">
        <v>59</v>
      </c>
      <c r="H2714">
        <v>2023</v>
      </c>
    </row>
    <row r="2715" spans="1:8" x14ac:dyDescent="0.2">
      <c r="A2715">
        <v>224786</v>
      </c>
      <c r="B2715">
        <v>72778260</v>
      </c>
      <c r="C2715" t="str">
        <f t="shared" si="42"/>
        <v>2. $10K-50K</v>
      </c>
      <c r="D2715" t="s">
        <v>302</v>
      </c>
      <c r="E2715" t="s">
        <v>8</v>
      </c>
      <c r="F2715" t="s">
        <v>22</v>
      </c>
      <c r="G2715" t="s">
        <v>10</v>
      </c>
      <c r="H2715">
        <v>2023</v>
      </c>
    </row>
    <row r="2716" spans="1:8" x14ac:dyDescent="0.2">
      <c r="A2716">
        <v>224787</v>
      </c>
      <c r="B2716">
        <v>26726.799999999999</v>
      </c>
      <c r="C2716" t="str">
        <f t="shared" si="42"/>
        <v>5. $1M+</v>
      </c>
      <c r="D2716" t="s">
        <v>1071</v>
      </c>
      <c r="E2716" t="s">
        <v>237</v>
      </c>
      <c r="F2716" t="s">
        <v>670</v>
      </c>
      <c r="G2716" t="s">
        <v>59</v>
      </c>
      <c r="H2716">
        <v>2023</v>
      </c>
    </row>
    <row r="2717" spans="1:8" x14ac:dyDescent="0.2">
      <c r="A2717">
        <v>224789</v>
      </c>
      <c r="B2717">
        <v>23336.2</v>
      </c>
      <c r="C2717" t="str">
        <f t="shared" si="42"/>
        <v>2. $10K-50K</v>
      </c>
      <c r="D2717" t="s">
        <v>697</v>
      </c>
      <c r="E2717" t="s">
        <v>237</v>
      </c>
      <c r="F2717" t="s">
        <v>670</v>
      </c>
      <c r="G2717" t="s">
        <v>59</v>
      </c>
      <c r="H2717">
        <v>2023</v>
      </c>
    </row>
    <row r="2718" spans="1:8" x14ac:dyDescent="0.2">
      <c r="A2718">
        <v>224791</v>
      </c>
      <c r="B2718">
        <v>72327180</v>
      </c>
      <c r="C2718" t="str">
        <f t="shared" si="42"/>
        <v>2. $10K-50K</v>
      </c>
      <c r="D2718" t="s">
        <v>303</v>
      </c>
      <c r="E2718" t="s">
        <v>8</v>
      </c>
      <c r="F2718" t="s">
        <v>22</v>
      </c>
      <c r="G2718" t="s">
        <v>10</v>
      </c>
      <c r="H2718">
        <v>2023</v>
      </c>
    </row>
    <row r="2719" spans="1:8" x14ac:dyDescent="0.2">
      <c r="A2719">
        <v>224795</v>
      </c>
      <c r="B2719">
        <v>30897.200000000001</v>
      </c>
      <c r="C2719" t="str">
        <f t="shared" si="42"/>
        <v>5. $1M+</v>
      </c>
      <c r="D2719" t="s">
        <v>1067</v>
      </c>
      <c r="E2719" t="s">
        <v>237</v>
      </c>
      <c r="F2719" t="s">
        <v>670</v>
      </c>
      <c r="G2719" t="s">
        <v>59</v>
      </c>
      <c r="H2719">
        <v>2023</v>
      </c>
    </row>
    <row r="2720" spans="1:8" x14ac:dyDescent="0.2">
      <c r="A2720">
        <v>224796</v>
      </c>
      <c r="B2720">
        <v>68476260</v>
      </c>
      <c r="C2720" t="str">
        <f t="shared" si="42"/>
        <v>2. $10K-50K</v>
      </c>
      <c r="D2720" t="s">
        <v>302</v>
      </c>
      <c r="E2720" t="s">
        <v>8</v>
      </c>
      <c r="F2720" t="s">
        <v>22</v>
      </c>
      <c r="G2720" t="s">
        <v>10</v>
      </c>
      <c r="H2720">
        <v>2023</v>
      </c>
    </row>
    <row r="2721" spans="1:8" x14ac:dyDescent="0.2">
      <c r="A2721">
        <v>224797</v>
      </c>
      <c r="B2721">
        <v>85047510</v>
      </c>
      <c r="C2721" t="str">
        <f t="shared" si="42"/>
        <v>5. $1M+</v>
      </c>
      <c r="D2721" t="s">
        <v>304</v>
      </c>
      <c r="E2721" t="s">
        <v>8</v>
      </c>
      <c r="F2721" t="s">
        <v>22</v>
      </c>
      <c r="G2721" t="s">
        <v>10</v>
      </c>
      <c r="H2721">
        <v>2023</v>
      </c>
    </row>
    <row r="2722" spans="1:8" x14ac:dyDescent="0.2">
      <c r="A2722">
        <v>224798</v>
      </c>
      <c r="B2722">
        <v>84371700</v>
      </c>
      <c r="C2722" t="str">
        <f t="shared" si="42"/>
        <v>5. $1M+</v>
      </c>
      <c r="D2722" t="s">
        <v>305</v>
      </c>
      <c r="E2722" t="s">
        <v>8</v>
      </c>
      <c r="F2722" t="s">
        <v>22</v>
      </c>
      <c r="G2722" t="s">
        <v>10</v>
      </c>
      <c r="H2722">
        <v>2023</v>
      </c>
    </row>
    <row r="2723" spans="1:8" x14ac:dyDescent="0.2">
      <c r="A2723">
        <v>224810</v>
      </c>
      <c r="B2723">
        <v>41216</v>
      </c>
      <c r="C2723" t="str">
        <f t="shared" si="42"/>
        <v>5. $1M+</v>
      </c>
      <c r="D2723" t="s">
        <v>1079</v>
      </c>
      <c r="E2723" t="s">
        <v>237</v>
      </c>
      <c r="F2723" t="s">
        <v>670</v>
      </c>
      <c r="G2723" t="s">
        <v>59</v>
      </c>
      <c r="H2723">
        <v>2023</v>
      </c>
    </row>
    <row r="2724" spans="1:8" x14ac:dyDescent="0.2">
      <c r="A2724">
        <v>224888</v>
      </c>
      <c r="B2724">
        <v>78913740.799999997</v>
      </c>
      <c r="C2724" t="str">
        <f t="shared" si="42"/>
        <v>2. $10K-50K</v>
      </c>
      <c r="D2724" t="s">
        <v>300</v>
      </c>
      <c r="E2724" t="s">
        <v>69</v>
      </c>
      <c r="F2724" t="s">
        <v>43</v>
      </c>
      <c r="G2724" t="s">
        <v>103</v>
      </c>
      <c r="H2724">
        <v>2023</v>
      </c>
    </row>
    <row r="2725" spans="1:8" x14ac:dyDescent="0.2">
      <c r="A2725">
        <v>224892</v>
      </c>
      <c r="B2725">
        <v>37500000</v>
      </c>
      <c r="C2725" t="str">
        <f t="shared" si="42"/>
        <v>5. $1M+</v>
      </c>
      <c r="D2725" t="s">
        <v>306</v>
      </c>
      <c r="E2725" t="s">
        <v>8</v>
      </c>
      <c r="F2725" t="s">
        <v>14</v>
      </c>
      <c r="G2725" t="s">
        <v>15</v>
      </c>
      <c r="H2725">
        <v>2023</v>
      </c>
    </row>
    <row r="2726" spans="1:8" x14ac:dyDescent="0.2">
      <c r="A2726">
        <v>224895</v>
      </c>
      <c r="B2726">
        <v>6959</v>
      </c>
      <c r="C2726" t="str">
        <f t="shared" si="42"/>
        <v>5. $1M+</v>
      </c>
      <c r="D2726" t="s">
        <v>1052</v>
      </c>
      <c r="E2726" t="s">
        <v>237</v>
      </c>
      <c r="F2726" t="s">
        <v>670</v>
      </c>
      <c r="G2726" t="s">
        <v>59</v>
      </c>
      <c r="H2726">
        <v>2023</v>
      </c>
    </row>
    <row r="2727" spans="1:8" x14ac:dyDescent="0.2">
      <c r="A2727">
        <v>224909</v>
      </c>
      <c r="B2727">
        <v>36126.6</v>
      </c>
      <c r="C2727" t="str">
        <f t="shared" si="42"/>
        <v>1. Under $10K</v>
      </c>
      <c r="D2727" t="s">
        <v>1170</v>
      </c>
      <c r="E2727" t="s">
        <v>432</v>
      </c>
      <c r="F2727" t="s">
        <v>670</v>
      </c>
      <c r="G2727" t="s">
        <v>59</v>
      </c>
      <c r="H2727">
        <v>2023</v>
      </c>
    </row>
    <row r="2728" spans="1:8" x14ac:dyDescent="0.2">
      <c r="A2728">
        <v>224920</v>
      </c>
      <c r="B2728">
        <v>123648</v>
      </c>
      <c r="C2728" t="str">
        <f t="shared" si="42"/>
        <v>2. $10K-50K</v>
      </c>
      <c r="D2728" t="s">
        <v>1079</v>
      </c>
      <c r="E2728" t="s">
        <v>237</v>
      </c>
      <c r="F2728" t="s">
        <v>670</v>
      </c>
      <c r="G2728" t="s">
        <v>59</v>
      </c>
      <c r="H2728">
        <v>2023</v>
      </c>
    </row>
    <row r="2729" spans="1:8" x14ac:dyDescent="0.2">
      <c r="A2729">
        <v>224927</v>
      </c>
      <c r="B2729">
        <v>30912</v>
      </c>
      <c r="C2729" t="str">
        <f t="shared" si="42"/>
        <v>3. $50K-250K</v>
      </c>
      <c r="D2729" t="s">
        <v>1094</v>
      </c>
      <c r="E2729" t="s">
        <v>237</v>
      </c>
      <c r="F2729" t="s">
        <v>670</v>
      </c>
      <c r="G2729" t="s">
        <v>59</v>
      </c>
      <c r="H2729">
        <v>2023</v>
      </c>
    </row>
    <row r="2730" spans="1:8" x14ac:dyDescent="0.2">
      <c r="A2730">
        <v>224944</v>
      </c>
      <c r="B2730">
        <v>1101250</v>
      </c>
      <c r="C2730" t="str">
        <f t="shared" si="42"/>
        <v>2. $10K-50K</v>
      </c>
      <c r="D2730" t="s">
        <v>230</v>
      </c>
      <c r="E2730" t="s">
        <v>18</v>
      </c>
      <c r="F2730" t="s">
        <v>231</v>
      </c>
      <c r="G2730" t="s">
        <v>232</v>
      </c>
      <c r="H2730">
        <v>2023</v>
      </c>
    </row>
    <row r="2731" spans="1:8" x14ac:dyDescent="0.2">
      <c r="A2731">
        <v>224945</v>
      </c>
      <c r="B2731">
        <v>200000</v>
      </c>
      <c r="C2731" t="str">
        <f t="shared" si="42"/>
        <v>5. $1M+</v>
      </c>
      <c r="D2731" t="s">
        <v>230</v>
      </c>
      <c r="E2731" t="s">
        <v>69</v>
      </c>
      <c r="F2731" t="s">
        <v>231</v>
      </c>
      <c r="G2731" t="s">
        <v>232</v>
      </c>
      <c r="H2731">
        <v>2023</v>
      </c>
    </row>
    <row r="2732" spans="1:8" x14ac:dyDescent="0.2">
      <c r="A2732">
        <v>225038</v>
      </c>
      <c r="B2732">
        <v>35000</v>
      </c>
      <c r="C2732" t="str">
        <f t="shared" si="42"/>
        <v>3. $50K-250K</v>
      </c>
      <c r="D2732" t="s">
        <v>1047</v>
      </c>
      <c r="E2732" t="s">
        <v>368</v>
      </c>
      <c r="F2732" t="s">
        <v>670</v>
      </c>
      <c r="G2732" t="s">
        <v>59</v>
      </c>
      <c r="H2732">
        <v>2023</v>
      </c>
    </row>
    <row r="2733" spans="1:8" x14ac:dyDescent="0.2">
      <c r="A2733">
        <v>225039</v>
      </c>
      <c r="B2733">
        <v>476504</v>
      </c>
      <c r="C2733" t="str">
        <f t="shared" si="42"/>
        <v>2. $10K-50K</v>
      </c>
      <c r="D2733" t="s">
        <v>871</v>
      </c>
      <c r="E2733" t="s">
        <v>237</v>
      </c>
      <c r="F2733" t="s">
        <v>670</v>
      </c>
      <c r="G2733" t="s">
        <v>59</v>
      </c>
      <c r="H2733">
        <v>2023</v>
      </c>
    </row>
    <row r="2734" spans="1:8" x14ac:dyDescent="0.2">
      <c r="A2734">
        <v>225040</v>
      </c>
      <c r="B2734">
        <v>671490</v>
      </c>
      <c r="C2734" t="str">
        <f t="shared" si="42"/>
        <v>4. $250K-1M</v>
      </c>
      <c r="D2734" t="s">
        <v>874</v>
      </c>
      <c r="E2734" t="s">
        <v>237</v>
      </c>
      <c r="F2734" t="s">
        <v>670</v>
      </c>
      <c r="G2734" t="s">
        <v>59</v>
      </c>
      <c r="H2734">
        <v>2023</v>
      </c>
    </row>
    <row r="2735" spans="1:8" x14ac:dyDescent="0.2">
      <c r="A2735">
        <v>225041</v>
      </c>
      <c r="B2735">
        <v>642168.80000000005</v>
      </c>
      <c r="C2735" t="str">
        <f t="shared" si="42"/>
        <v>4. $250K-1M</v>
      </c>
      <c r="D2735" t="s">
        <v>698</v>
      </c>
      <c r="E2735" t="s">
        <v>237</v>
      </c>
      <c r="F2735" t="s">
        <v>670</v>
      </c>
      <c r="G2735" t="s">
        <v>59</v>
      </c>
      <c r="H2735">
        <v>2023</v>
      </c>
    </row>
    <row r="2736" spans="1:8" x14ac:dyDescent="0.2">
      <c r="A2736">
        <v>225043</v>
      </c>
      <c r="B2736">
        <v>1450952.3</v>
      </c>
      <c r="C2736" t="str">
        <f t="shared" si="42"/>
        <v>4. $250K-1M</v>
      </c>
      <c r="D2736" t="s">
        <v>698</v>
      </c>
      <c r="E2736" t="s">
        <v>237</v>
      </c>
      <c r="F2736" t="s">
        <v>670</v>
      </c>
      <c r="G2736" t="s">
        <v>59</v>
      </c>
      <c r="H2736">
        <v>2023</v>
      </c>
    </row>
    <row r="2737" spans="1:8" x14ac:dyDescent="0.2">
      <c r="A2737">
        <v>225044</v>
      </c>
      <c r="B2737">
        <v>200266</v>
      </c>
      <c r="C2737" t="str">
        <f t="shared" si="42"/>
        <v>5. $1M+</v>
      </c>
      <c r="D2737" t="s">
        <v>812</v>
      </c>
      <c r="E2737" t="s">
        <v>237</v>
      </c>
      <c r="F2737" t="s">
        <v>670</v>
      </c>
      <c r="G2737" t="s">
        <v>59</v>
      </c>
      <c r="H2737">
        <v>2023</v>
      </c>
    </row>
    <row r="2738" spans="1:8" x14ac:dyDescent="0.2">
      <c r="A2738">
        <v>225078</v>
      </c>
      <c r="B2738">
        <v>151470</v>
      </c>
      <c r="C2738" t="str">
        <f t="shared" si="42"/>
        <v>3. $50K-250K</v>
      </c>
      <c r="D2738" t="s">
        <v>749</v>
      </c>
      <c r="E2738" t="s">
        <v>237</v>
      </c>
      <c r="F2738" t="s">
        <v>670</v>
      </c>
      <c r="G2738" t="s">
        <v>59</v>
      </c>
      <c r="H2738">
        <v>2023</v>
      </c>
    </row>
    <row r="2739" spans="1:8" x14ac:dyDescent="0.2">
      <c r="A2739">
        <v>225081</v>
      </c>
      <c r="B2739">
        <v>10000</v>
      </c>
      <c r="C2739" t="str">
        <f t="shared" si="42"/>
        <v>3. $50K-250K</v>
      </c>
      <c r="D2739" t="s">
        <v>1406</v>
      </c>
      <c r="E2739" t="s">
        <v>368</v>
      </c>
      <c r="F2739" t="s">
        <v>670</v>
      </c>
      <c r="G2739" t="s">
        <v>59</v>
      </c>
      <c r="H2739">
        <v>2023</v>
      </c>
    </row>
    <row r="2740" spans="1:8" x14ac:dyDescent="0.2">
      <c r="A2740">
        <v>225083</v>
      </c>
      <c r="B2740">
        <v>324001</v>
      </c>
      <c r="C2740" t="str">
        <f t="shared" si="42"/>
        <v>2. $10K-50K</v>
      </c>
      <c r="D2740" t="s">
        <v>575</v>
      </c>
      <c r="E2740" t="s">
        <v>237</v>
      </c>
      <c r="F2740" t="s">
        <v>670</v>
      </c>
      <c r="G2740" t="s">
        <v>59</v>
      </c>
      <c r="H2740">
        <v>2023</v>
      </c>
    </row>
    <row r="2741" spans="1:8" x14ac:dyDescent="0.2">
      <c r="A2741">
        <v>225084</v>
      </c>
      <c r="B2741">
        <v>87427</v>
      </c>
      <c r="C2741" t="str">
        <f t="shared" si="42"/>
        <v>4. $250K-1M</v>
      </c>
      <c r="D2741" t="s">
        <v>941</v>
      </c>
      <c r="E2741" t="s">
        <v>99</v>
      </c>
      <c r="F2741" t="s">
        <v>670</v>
      </c>
      <c r="G2741" t="s">
        <v>59</v>
      </c>
      <c r="H2741">
        <v>2023</v>
      </c>
    </row>
    <row r="2742" spans="1:8" x14ac:dyDescent="0.2">
      <c r="A2742">
        <v>225085</v>
      </c>
      <c r="B2742">
        <v>40000</v>
      </c>
      <c r="C2742" t="str">
        <f t="shared" si="42"/>
        <v>3. $50K-250K</v>
      </c>
      <c r="D2742" t="s">
        <v>850</v>
      </c>
      <c r="E2742" t="s">
        <v>825</v>
      </c>
      <c r="F2742" t="s">
        <v>670</v>
      </c>
      <c r="G2742" t="s">
        <v>59</v>
      </c>
      <c r="H2742">
        <v>2023</v>
      </c>
    </row>
    <row r="2743" spans="1:8" x14ac:dyDescent="0.2">
      <c r="A2743">
        <v>225095</v>
      </c>
      <c r="B2743">
        <v>24954.3</v>
      </c>
      <c r="C2743" t="str">
        <f t="shared" si="42"/>
        <v>2. $10K-50K</v>
      </c>
      <c r="D2743" t="s">
        <v>1172</v>
      </c>
      <c r="E2743" t="s">
        <v>432</v>
      </c>
      <c r="F2743" t="s">
        <v>670</v>
      </c>
      <c r="G2743" t="s">
        <v>59</v>
      </c>
      <c r="H2743">
        <v>2023</v>
      </c>
    </row>
    <row r="2744" spans="1:8" x14ac:dyDescent="0.2">
      <c r="A2744">
        <v>225100</v>
      </c>
      <c r="B2744">
        <v>40029</v>
      </c>
      <c r="C2744" t="str">
        <f t="shared" si="42"/>
        <v>2. $10K-50K</v>
      </c>
      <c r="D2744" t="s">
        <v>749</v>
      </c>
      <c r="E2744" t="s">
        <v>237</v>
      </c>
      <c r="F2744" t="s">
        <v>670</v>
      </c>
      <c r="G2744" t="s">
        <v>59</v>
      </c>
      <c r="H2744">
        <v>2023</v>
      </c>
    </row>
    <row r="2745" spans="1:8" x14ac:dyDescent="0.2">
      <c r="A2745">
        <v>225101</v>
      </c>
      <c r="B2745">
        <v>150012</v>
      </c>
      <c r="C2745" t="str">
        <f t="shared" si="42"/>
        <v>2. $10K-50K</v>
      </c>
      <c r="D2745" t="s">
        <v>997</v>
      </c>
      <c r="E2745" t="s">
        <v>42</v>
      </c>
      <c r="F2745" t="s">
        <v>670</v>
      </c>
      <c r="G2745" t="s">
        <v>59</v>
      </c>
      <c r="H2745">
        <v>2023</v>
      </c>
    </row>
    <row r="2746" spans="1:8" x14ac:dyDescent="0.2">
      <c r="A2746">
        <v>225103</v>
      </c>
      <c r="B2746">
        <v>53000</v>
      </c>
      <c r="C2746" t="str">
        <f t="shared" si="42"/>
        <v>3. $50K-250K</v>
      </c>
      <c r="D2746" t="s">
        <v>809</v>
      </c>
      <c r="E2746" t="s">
        <v>237</v>
      </c>
      <c r="F2746" t="s">
        <v>670</v>
      </c>
      <c r="G2746" t="s">
        <v>59</v>
      </c>
      <c r="H2746">
        <v>2023</v>
      </c>
    </row>
    <row r="2747" spans="1:8" x14ac:dyDescent="0.2">
      <c r="A2747">
        <v>225126</v>
      </c>
      <c r="B2747">
        <v>599999</v>
      </c>
      <c r="C2747" t="str">
        <f t="shared" si="42"/>
        <v>3. $50K-250K</v>
      </c>
      <c r="D2747" t="s">
        <v>1006</v>
      </c>
      <c r="E2747" t="s">
        <v>99</v>
      </c>
      <c r="F2747" t="s">
        <v>670</v>
      </c>
      <c r="G2747" t="s">
        <v>59</v>
      </c>
      <c r="H2747">
        <v>2023</v>
      </c>
    </row>
    <row r="2748" spans="1:8" x14ac:dyDescent="0.2">
      <c r="A2748">
        <v>225130</v>
      </c>
      <c r="B2748">
        <v>137000</v>
      </c>
      <c r="C2748" t="str">
        <f t="shared" si="42"/>
        <v>4. $250K-1M</v>
      </c>
      <c r="D2748" t="s">
        <v>711</v>
      </c>
      <c r="E2748" t="s">
        <v>237</v>
      </c>
      <c r="F2748" t="s">
        <v>670</v>
      </c>
      <c r="G2748" t="s">
        <v>59</v>
      </c>
      <c r="H2748">
        <v>2023</v>
      </c>
    </row>
    <row r="2749" spans="1:8" x14ac:dyDescent="0.2">
      <c r="A2749">
        <v>225135</v>
      </c>
      <c r="B2749">
        <v>109016</v>
      </c>
      <c r="C2749" t="str">
        <f t="shared" si="42"/>
        <v>3. $50K-250K</v>
      </c>
      <c r="D2749" t="s">
        <v>859</v>
      </c>
      <c r="E2749" t="s">
        <v>237</v>
      </c>
      <c r="F2749" t="s">
        <v>670</v>
      </c>
      <c r="G2749" t="s">
        <v>59</v>
      </c>
      <c r="H2749">
        <v>2023</v>
      </c>
    </row>
    <row r="2750" spans="1:8" x14ac:dyDescent="0.2">
      <c r="A2750">
        <v>225139</v>
      </c>
      <c r="B2750">
        <v>204438</v>
      </c>
      <c r="C2750" t="str">
        <f t="shared" si="42"/>
        <v>3. $50K-250K</v>
      </c>
      <c r="D2750" t="s">
        <v>859</v>
      </c>
      <c r="E2750" t="s">
        <v>237</v>
      </c>
      <c r="F2750" t="s">
        <v>670</v>
      </c>
      <c r="G2750" t="s">
        <v>59</v>
      </c>
      <c r="H2750">
        <v>2023</v>
      </c>
    </row>
    <row r="2751" spans="1:8" x14ac:dyDescent="0.2">
      <c r="A2751">
        <v>225140</v>
      </c>
      <c r="B2751">
        <v>262710</v>
      </c>
      <c r="C2751" t="str">
        <f t="shared" si="42"/>
        <v>3. $50K-250K</v>
      </c>
      <c r="D2751" t="s">
        <v>95</v>
      </c>
      <c r="E2751" t="s">
        <v>65</v>
      </c>
      <c r="F2751" t="s">
        <v>22</v>
      </c>
      <c r="G2751" t="s">
        <v>10</v>
      </c>
      <c r="H2751">
        <v>2023</v>
      </c>
    </row>
    <row r="2752" spans="1:8" x14ac:dyDescent="0.2">
      <c r="A2752">
        <v>225162</v>
      </c>
      <c r="B2752">
        <v>364000</v>
      </c>
      <c r="C2752" t="str">
        <f t="shared" si="42"/>
        <v>4. $250K-1M</v>
      </c>
      <c r="D2752" t="s">
        <v>307</v>
      </c>
      <c r="E2752" t="s">
        <v>24</v>
      </c>
      <c r="F2752" t="s">
        <v>12</v>
      </c>
      <c r="G2752" t="s">
        <v>10</v>
      </c>
      <c r="H2752">
        <v>2023</v>
      </c>
    </row>
    <row r="2753" spans="1:8" x14ac:dyDescent="0.2">
      <c r="A2753">
        <v>225191</v>
      </c>
      <c r="B2753">
        <v>100000</v>
      </c>
      <c r="C2753" t="str">
        <f t="shared" si="42"/>
        <v>4. $250K-1M</v>
      </c>
      <c r="D2753" t="s">
        <v>1011</v>
      </c>
      <c r="E2753" t="s">
        <v>237</v>
      </c>
      <c r="F2753" t="s">
        <v>670</v>
      </c>
      <c r="G2753" t="s">
        <v>59</v>
      </c>
      <c r="H2753">
        <v>2023</v>
      </c>
    </row>
    <row r="2754" spans="1:8" x14ac:dyDescent="0.2">
      <c r="A2754">
        <v>225197</v>
      </c>
      <c r="B2754">
        <v>101000</v>
      </c>
      <c r="C2754" t="str">
        <f t="shared" si="42"/>
        <v>3. $50K-250K</v>
      </c>
      <c r="D2754" t="s">
        <v>874</v>
      </c>
      <c r="E2754" t="s">
        <v>237</v>
      </c>
      <c r="F2754" t="s">
        <v>670</v>
      </c>
      <c r="G2754" t="s">
        <v>59</v>
      </c>
      <c r="H2754">
        <v>2023</v>
      </c>
    </row>
    <row r="2755" spans="1:8" x14ac:dyDescent="0.2">
      <c r="A2755">
        <v>225199</v>
      </c>
      <c r="B2755">
        <v>133595.9</v>
      </c>
      <c r="C2755" t="str">
        <f t="shared" ref="C2755:C2818" si="43">IF(B2754&lt;10000,"1. Under $10K",IF(B2754&lt;50000,"2. $10K-50K",IF(B2754&lt;250000,"3. $50K-250K",IF(B2754&lt;1000000,"4. $250K-1M","5. $1M+"))))</f>
        <v>3. $50K-250K</v>
      </c>
      <c r="D2755" t="s">
        <v>949</v>
      </c>
      <c r="E2755" t="s">
        <v>825</v>
      </c>
      <c r="F2755" t="s">
        <v>670</v>
      </c>
      <c r="G2755" t="s">
        <v>59</v>
      </c>
      <c r="H2755">
        <v>2023</v>
      </c>
    </row>
    <row r="2756" spans="1:8" x14ac:dyDescent="0.2">
      <c r="A2756">
        <v>225201</v>
      </c>
      <c r="B2756">
        <v>10169.799999999999</v>
      </c>
      <c r="C2756" t="str">
        <f t="shared" si="43"/>
        <v>3. $50K-250K</v>
      </c>
      <c r="D2756" t="s">
        <v>821</v>
      </c>
      <c r="E2756" t="s">
        <v>237</v>
      </c>
      <c r="F2756" t="s">
        <v>670</v>
      </c>
      <c r="G2756" t="s">
        <v>59</v>
      </c>
      <c r="H2756">
        <v>2023</v>
      </c>
    </row>
    <row r="2757" spans="1:8" x14ac:dyDescent="0.2">
      <c r="A2757">
        <v>225203</v>
      </c>
      <c r="B2757">
        <v>20000</v>
      </c>
      <c r="C2757" t="str">
        <f t="shared" si="43"/>
        <v>2. $10K-50K</v>
      </c>
      <c r="D2757" t="s">
        <v>1405</v>
      </c>
      <c r="E2757" t="s">
        <v>368</v>
      </c>
      <c r="F2757" t="s">
        <v>670</v>
      </c>
      <c r="G2757" t="s">
        <v>59</v>
      </c>
      <c r="H2757">
        <v>2023</v>
      </c>
    </row>
    <row r="2758" spans="1:8" x14ac:dyDescent="0.2">
      <c r="A2758">
        <v>225207</v>
      </c>
      <c r="B2758">
        <v>75000000</v>
      </c>
      <c r="C2758" t="str">
        <f t="shared" si="43"/>
        <v>2. $10K-50K</v>
      </c>
      <c r="D2758" t="s">
        <v>308</v>
      </c>
      <c r="E2758" t="s">
        <v>18</v>
      </c>
      <c r="F2758" t="s">
        <v>43</v>
      </c>
      <c r="G2758" t="s">
        <v>15</v>
      </c>
      <c r="H2758">
        <v>2024</v>
      </c>
    </row>
    <row r="2759" spans="1:8" x14ac:dyDescent="0.2">
      <c r="A2759">
        <v>225222</v>
      </c>
      <c r="B2759">
        <v>25000000</v>
      </c>
      <c r="C2759" t="str">
        <f t="shared" si="43"/>
        <v>5. $1M+</v>
      </c>
      <c r="D2759" t="s">
        <v>268</v>
      </c>
      <c r="E2759" t="s">
        <v>18</v>
      </c>
      <c r="F2759" t="s">
        <v>43</v>
      </c>
      <c r="G2759" t="s">
        <v>61</v>
      </c>
      <c r="H2759">
        <v>2024</v>
      </c>
    </row>
    <row r="2760" spans="1:8" x14ac:dyDescent="0.2">
      <c r="A2760">
        <v>225224</v>
      </c>
      <c r="B2760">
        <v>105000000</v>
      </c>
      <c r="C2760" t="str">
        <f t="shared" si="43"/>
        <v>5. $1M+</v>
      </c>
      <c r="D2760" t="s">
        <v>269</v>
      </c>
      <c r="E2760" t="s">
        <v>69</v>
      </c>
      <c r="F2760" t="s">
        <v>43</v>
      </c>
      <c r="G2760" t="s">
        <v>61</v>
      </c>
      <c r="H2760">
        <v>2023</v>
      </c>
    </row>
    <row r="2761" spans="1:8" x14ac:dyDescent="0.2">
      <c r="A2761">
        <v>225232</v>
      </c>
      <c r="B2761">
        <v>105000000</v>
      </c>
      <c r="C2761" t="str">
        <f t="shared" si="43"/>
        <v>5. $1M+</v>
      </c>
      <c r="D2761" t="s">
        <v>248</v>
      </c>
      <c r="E2761" t="s">
        <v>69</v>
      </c>
      <c r="F2761" t="s">
        <v>43</v>
      </c>
      <c r="G2761" t="s">
        <v>61</v>
      </c>
      <c r="H2761">
        <v>2023</v>
      </c>
    </row>
    <row r="2762" spans="1:8" x14ac:dyDescent="0.2">
      <c r="A2762">
        <v>225233</v>
      </c>
      <c r="B2762">
        <v>75000000</v>
      </c>
      <c r="C2762" t="str">
        <f t="shared" si="43"/>
        <v>5. $1M+</v>
      </c>
      <c r="D2762" t="s">
        <v>309</v>
      </c>
      <c r="E2762" t="s">
        <v>69</v>
      </c>
      <c r="F2762" t="s">
        <v>43</v>
      </c>
      <c r="G2762" t="s">
        <v>61</v>
      </c>
      <c r="H2762">
        <v>2023</v>
      </c>
    </row>
    <row r="2763" spans="1:8" x14ac:dyDescent="0.2">
      <c r="A2763">
        <v>225234</v>
      </c>
      <c r="B2763">
        <v>45000000</v>
      </c>
      <c r="C2763" t="str">
        <f t="shared" si="43"/>
        <v>5. $1M+</v>
      </c>
      <c r="D2763" t="s">
        <v>310</v>
      </c>
      <c r="E2763" t="s">
        <v>67</v>
      </c>
      <c r="F2763" t="s">
        <v>43</v>
      </c>
      <c r="G2763" t="s">
        <v>61</v>
      </c>
      <c r="H2763">
        <v>2024</v>
      </c>
    </row>
    <row r="2764" spans="1:8" x14ac:dyDescent="0.2">
      <c r="A2764">
        <v>225236</v>
      </c>
      <c r="B2764">
        <v>10000000</v>
      </c>
      <c r="C2764" t="str">
        <f t="shared" si="43"/>
        <v>5. $1M+</v>
      </c>
      <c r="D2764" t="s">
        <v>74</v>
      </c>
      <c r="E2764" t="s">
        <v>18</v>
      </c>
      <c r="F2764" t="s">
        <v>43</v>
      </c>
      <c r="G2764" t="s">
        <v>61</v>
      </c>
      <c r="H2764">
        <v>2024</v>
      </c>
    </row>
    <row r="2765" spans="1:8" x14ac:dyDescent="0.2">
      <c r="A2765">
        <v>225239</v>
      </c>
      <c r="B2765">
        <v>10000000</v>
      </c>
      <c r="C2765" t="str">
        <f t="shared" si="43"/>
        <v>5. $1M+</v>
      </c>
      <c r="D2765" t="s">
        <v>311</v>
      </c>
      <c r="E2765" t="s">
        <v>18</v>
      </c>
      <c r="F2765" t="s">
        <v>43</v>
      </c>
      <c r="G2765" t="s">
        <v>61</v>
      </c>
      <c r="H2765">
        <v>2024</v>
      </c>
    </row>
    <row r="2766" spans="1:8" x14ac:dyDescent="0.2">
      <c r="A2766">
        <v>225241</v>
      </c>
      <c r="B2766">
        <v>95000000</v>
      </c>
      <c r="C2766" t="str">
        <f t="shared" si="43"/>
        <v>5. $1M+</v>
      </c>
      <c r="D2766" t="s">
        <v>226</v>
      </c>
      <c r="E2766" t="s">
        <v>18</v>
      </c>
      <c r="F2766" t="s">
        <v>43</v>
      </c>
      <c r="G2766" t="s">
        <v>61</v>
      </c>
      <c r="H2766">
        <v>2024</v>
      </c>
    </row>
    <row r="2767" spans="1:8" x14ac:dyDescent="0.2">
      <c r="A2767">
        <v>225242</v>
      </c>
      <c r="B2767">
        <v>75000000</v>
      </c>
      <c r="C2767" t="str">
        <f t="shared" si="43"/>
        <v>5. $1M+</v>
      </c>
      <c r="D2767" t="s">
        <v>272</v>
      </c>
      <c r="E2767" t="s">
        <v>69</v>
      </c>
      <c r="F2767" t="s">
        <v>43</v>
      </c>
      <c r="G2767" t="s">
        <v>61</v>
      </c>
      <c r="H2767">
        <v>2023</v>
      </c>
    </row>
    <row r="2768" spans="1:8" x14ac:dyDescent="0.2">
      <c r="A2768">
        <v>225243</v>
      </c>
      <c r="B2768">
        <v>10000000</v>
      </c>
      <c r="C2768" t="str">
        <f t="shared" si="43"/>
        <v>5. $1M+</v>
      </c>
      <c r="D2768" t="s">
        <v>312</v>
      </c>
      <c r="E2768" t="s">
        <v>18</v>
      </c>
      <c r="F2768" t="s">
        <v>43</v>
      </c>
      <c r="G2768" t="s">
        <v>61</v>
      </c>
      <c r="H2768">
        <v>2024</v>
      </c>
    </row>
    <row r="2769" spans="1:8" x14ac:dyDescent="0.2">
      <c r="A2769">
        <v>225244</v>
      </c>
      <c r="B2769">
        <v>55000000</v>
      </c>
      <c r="C2769" t="str">
        <f t="shared" si="43"/>
        <v>5. $1M+</v>
      </c>
      <c r="D2769" t="s">
        <v>273</v>
      </c>
      <c r="E2769" t="s">
        <v>18</v>
      </c>
      <c r="F2769" t="s">
        <v>43</v>
      </c>
      <c r="G2769" t="s">
        <v>61</v>
      </c>
      <c r="H2769">
        <v>2024</v>
      </c>
    </row>
    <row r="2770" spans="1:8" x14ac:dyDescent="0.2">
      <c r="A2770">
        <v>225245</v>
      </c>
      <c r="B2770">
        <v>55000000</v>
      </c>
      <c r="C2770" t="str">
        <f t="shared" si="43"/>
        <v>5. $1M+</v>
      </c>
      <c r="D2770" t="s">
        <v>274</v>
      </c>
      <c r="E2770" t="s">
        <v>69</v>
      </c>
      <c r="F2770" t="s">
        <v>43</v>
      </c>
      <c r="G2770" t="s">
        <v>61</v>
      </c>
      <c r="H2770">
        <v>2023</v>
      </c>
    </row>
    <row r="2771" spans="1:8" x14ac:dyDescent="0.2">
      <c r="A2771">
        <v>225246</v>
      </c>
      <c r="B2771">
        <v>55000000</v>
      </c>
      <c r="C2771" t="str">
        <f t="shared" si="43"/>
        <v>5. $1M+</v>
      </c>
      <c r="D2771" t="s">
        <v>313</v>
      </c>
      <c r="E2771" t="s">
        <v>69</v>
      </c>
      <c r="F2771" t="s">
        <v>43</v>
      </c>
      <c r="G2771" t="s">
        <v>61</v>
      </c>
      <c r="H2771">
        <v>2023</v>
      </c>
    </row>
    <row r="2772" spans="1:8" x14ac:dyDescent="0.2">
      <c r="A2772">
        <v>225306</v>
      </c>
      <c r="B2772">
        <v>55000000</v>
      </c>
      <c r="C2772" t="str">
        <f t="shared" si="43"/>
        <v>5. $1M+</v>
      </c>
      <c r="D2772" t="s">
        <v>275</v>
      </c>
      <c r="E2772" t="s">
        <v>69</v>
      </c>
      <c r="F2772" t="s">
        <v>43</v>
      </c>
      <c r="G2772" t="s">
        <v>61</v>
      </c>
      <c r="H2772">
        <v>2023</v>
      </c>
    </row>
    <row r="2773" spans="1:8" x14ac:dyDescent="0.2">
      <c r="A2773">
        <v>225313</v>
      </c>
      <c r="B2773">
        <v>55000000</v>
      </c>
      <c r="C2773" t="str">
        <f t="shared" si="43"/>
        <v>5. $1M+</v>
      </c>
      <c r="D2773" t="s">
        <v>314</v>
      </c>
      <c r="E2773" t="s">
        <v>67</v>
      </c>
      <c r="F2773" t="s">
        <v>43</v>
      </c>
      <c r="G2773" t="s">
        <v>61</v>
      </c>
      <c r="H2773">
        <v>2024</v>
      </c>
    </row>
    <row r="2774" spans="1:8" x14ac:dyDescent="0.2">
      <c r="A2774">
        <v>225314</v>
      </c>
      <c r="B2774">
        <v>55000000</v>
      </c>
      <c r="C2774" t="str">
        <f t="shared" si="43"/>
        <v>5. $1M+</v>
      </c>
      <c r="D2774" t="s">
        <v>277</v>
      </c>
      <c r="E2774" t="s">
        <v>69</v>
      </c>
      <c r="F2774" t="s">
        <v>43</v>
      </c>
      <c r="G2774" t="s">
        <v>61</v>
      </c>
      <c r="H2774">
        <v>2023</v>
      </c>
    </row>
    <row r="2775" spans="1:8" x14ac:dyDescent="0.2">
      <c r="A2775">
        <v>225318</v>
      </c>
      <c r="B2775">
        <v>100760.6</v>
      </c>
      <c r="C2775" t="str">
        <f t="shared" si="43"/>
        <v>5. $1M+</v>
      </c>
      <c r="D2775" t="s">
        <v>690</v>
      </c>
      <c r="E2775" t="s">
        <v>42</v>
      </c>
      <c r="F2775" t="s">
        <v>670</v>
      </c>
      <c r="G2775" t="s">
        <v>59</v>
      </c>
      <c r="H2775">
        <v>2023</v>
      </c>
    </row>
    <row r="2776" spans="1:8" x14ac:dyDescent="0.2">
      <c r="A2776">
        <v>225319</v>
      </c>
      <c r="B2776">
        <v>146029.79999999999</v>
      </c>
      <c r="C2776" t="str">
        <f t="shared" si="43"/>
        <v>3. $50K-250K</v>
      </c>
      <c r="D2776" t="s">
        <v>801</v>
      </c>
      <c r="E2776" t="s">
        <v>42</v>
      </c>
      <c r="F2776" t="s">
        <v>670</v>
      </c>
      <c r="G2776" t="s">
        <v>59</v>
      </c>
      <c r="H2776">
        <v>2023</v>
      </c>
    </row>
    <row r="2777" spans="1:8" x14ac:dyDescent="0.2">
      <c r="A2777">
        <v>225320</v>
      </c>
      <c r="B2777">
        <v>346234</v>
      </c>
      <c r="C2777" t="str">
        <f t="shared" si="43"/>
        <v>3. $50K-250K</v>
      </c>
      <c r="D2777" t="s">
        <v>1514</v>
      </c>
      <c r="E2777" t="s">
        <v>42</v>
      </c>
      <c r="F2777" t="s">
        <v>670</v>
      </c>
      <c r="G2777" t="s">
        <v>59</v>
      </c>
      <c r="H2777">
        <v>2023</v>
      </c>
    </row>
    <row r="2778" spans="1:8" x14ac:dyDescent="0.2">
      <c r="A2778">
        <v>225321</v>
      </c>
      <c r="B2778">
        <v>150000</v>
      </c>
      <c r="C2778" t="str">
        <f t="shared" si="43"/>
        <v>4. $250K-1M</v>
      </c>
      <c r="D2778" t="s">
        <v>783</v>
      </c>
      <c r="E2778" t="s">
        <v>42</v>
      </c>
      <c r="F2778" t="s">
        <v>670</v>
      </c>
      <c r="G2778" t="s">
        <v>59</v>
      </c>
      <c r="H2778">
        <v>2023</v>
      </c>
    </row>
    <row r="2779" spans="1:8" x14ac:dyDescent="0.2">
      <c r="A2779">
        <v>225322</v>
      </c>
      <c r="B2779">
        <v>116484.1</v>
      </c>
      <c r="C2779" t="str">
        <f t="shared" si="43"/>
        <v>3. $50K-250K</v>
      </c>
      <c r="D2779" t="s">
        <v>879</v>
      </c>
      <c r="E2779" t="s">
        <v>42</v>
      </c>
      <c r="F2779" t="s">
        <v>670</v>
      </c>
      <c r="G2779" t="s">
        <v>59</v>
      </c>
      <c r="H2779">
        <v>2023</v>
      </c>
    </row>
    <row r="2780" spans="1:8" x14ac:dyDescent="0.2">
      <c r="A2780">
        <v>225323</v>
      </c>
      <c r="B2780">
        <v>454765.2</v>
      </c>
      <c r="C2780" t="str">
        <f t="shared" si="43"/>
        <v>3. $50K-250K</v>
      </c>
      <c r="D2780" t="s">
        <v>671</v>
      </c>
      <c r="E2780" t="s">
        <v>42</v>
      </c>
      <c r="F2780" t="s">
        <v>670</v>
      </c>
      <c r="G2780" t="s">
        <v>59</v>
      </c>
      <c r="H2780">
        <v>2023</v>
      </c>
    </row>
    <row r="2781" spans="1:8" x14ac:dyDescent="0.2">
      <c r="A2781">
        <v>225412</v>
      </c>
      <c r="B2781">
        <v>41213.800000000003</v>
      </c>
      <c r="C2781" t="str">
        <f t="shared" si="43"/>
        <v>4. $250K-1M</v>
      </c>
      <c r="D2781" t="s">
        <v>1079</v>
      </c>
      <c r="E2781" t="s">
        <v>237</v>
      </c>
      <c r="F2781" t="s">
        <v>670</v>
      </c>
      <c r="G2781" t="s">
        <v>59</v>
      </c>
      <c r="H2781">
        <v>2023</v>
      </c>
    </row>
    <row r="2782" spans="1:8" x14ac:dyDescent="0.2">
      <c r="A2782">
        <v>225415</v>
      </c>
      <c r="B2782">
        <v>41213.800000000003</v>
      </c>
      <c r="C2782" t="str">
        <f t="shared" si="43"/>
        <v>2. $10K-50K</v>
      </c>
      <c r="D2782" t="s">
        <v>1079</v>
      </c>
      <c r="E2782" t="s">
        <v>237</v>
      </c>
      <c r="F2782" t="s">
        <v>670</v>
      </c>
      <c r="G2782" t="s">
        <v>59</v>
      </c>
      <c r="H2782">
        <v>2023</v>
      </c>
    </row>
    <row r="2783" spans="1:8" x14ac:dyDescent="0.2">
      <c r="A2783">
        <v>225418</v>
      </c>
      <c r="B2783">
        <v>41213.800000000003</v>
      </c>
      <c r="C2783" t="str">
        <f t="shared" si="43"/>
        <v>2. $10K-50K</v>
      </c>
      <c r="D2783" t="s">
        <v>1079</v>
      </c>
      <c r="E2783" t="s">
        <v>237</v>
      </c>
      <c r="F2783" t="s">
        <v>670</v>
      </c>
      <c r="G2783" t="s">
        <v>59</v>
      </c>
      <c r="H2783">
        <v>2023</v>
      </c>
    </row>
    <row r="2784" spans="1:8" x14ac:dyDescent="0.2">
      <c r="A2784">
        <v>225428</v>
      </c>
      <c r="B2784">
        <v>108984.7</v>
      </c>
      <c r="C2784" t="str">
        <f t="shared" si="43"/>
        <v>2. $10K-50K</v>
      </c>
      <c r="D2784" t="s">
        <v>919</v>
      </c>
      <c r="E2784" t="s">
        <v>237</v>
      </c>
      <c r="F2784" t="s">
        <v>670</v>
      </c>
      <c r="G2784" t="s">
        <v>59</v>
      </c>
      <c r="H2784">
        <v>2023</v>
      </c>
    </row>
    <row r="2785" spans="1:8" x14ac:dyDescent="0.2">
      <c r="A2785">
        <v>225449</v>
      </c>
      <c r="B2785">
        <v>135000</v>
      </c>
      <c r="C2785" t="str">
        <f t="shared" si="43"/>
        <v>3. $50K-250K</v>
      </c>
      <c r="D2785" t="s">
        <v>1035</v>
      </c>
      <c r="E2785" t="s">
        <v>825</v>
      </c>
      <c r="F2785" t="s">
        <v>670</v>
      </c>
      <c r="G2785" t="s">
        <v>59</v>
      </c>
      <c r="H2785">
        <v>2023</v>
      </c>
    </row>
    <row r="2786" spans="1:8" x14ac:dyDescent="0.2">
      <c r="A2786">
        <v>225463</v>
      </c>
      <c r="B2786">
        <v>121879015.3</v>
      </c>
      <c r="C2786" t="str">
        <f t="shared" si="43"/>
        <v>3. $50K-250K</v>
      </c>
      <c r="D2786" t="s">
        <v>315</v>
      </c>
      <c r="E2786" t="s">
        <v>24</v>
      </c>
      <c r="F2786" t="s">
        <v>14</v>
      </c>
      <c r="G2786" t="s">
        <v>15</v>
      </c>
      <c r="H2786">
        <v>2023</v>
      </c>
    </row>
    <row r="2787" spans="1:8" x14ac:dyDescent="0.2">
      <c r="A2787">
        <v>225465</v>
      </c>
      <c r="B2787">
        <v>2681210.7000000002</v>
      </c>
      <c r="C2787" t="str">
        <f t="shared" si="43"/>
        <v>5. $1M+</v>
      </c>
      <c r="D2787" t="s">
        <v>316</v>
      </c>
      <c r="E2787" t="s">
        <v>24</v>
      </c>
      <c r="F2787" t="s">
        <v>22</v>
      </c>
      <c r="G2787" t="s">
        <v>10</v>
      </c>
      <c r="H2787">
        <v>2023</v>
      </c>
    </row>
    <row r="2788" spans="1:8" x14ac:dyDescent="0.2">
      <c r="A2788">
        <v>225467</v>
      </c>
      <c r="B2788">
        <v>714000</v>
      </c>
      <c r="C2788" t="str">
        <f t="shared" si="43"/>
        <v>5. $1M+</v>
      </c>
      <c r="D2788" t="s">
        <v>801</v>
      </c>
      <c r="E2788" t="s">
        <v>82</v>
      </c>
      <c r="F2788" t="s">
        <v>670</v>
      </c>
      <c r="G2788" t="s">
        <v>44</v>
      </c>
      <c r="H2788">
        <v>2023</v>
      </c>
    </row>
    <row r="2789" spans="1:8" x14ac:dyDescent="0.2">
      <c r="A2789">
        <v>225468</v>
      </c>
      <c r="B2789">
        <v>489000</v>
      </c>
      <c r="C2789" t="str">
        <f t="shared" si="43"/>
        <v>4. $250K-1M</v>
      </c>
      <c r="D2789" t="s">
        <v>1515</v>
      </c>
      <c r="E2789" t="s">
        <v>82</v>
      </c>
      <c r="F2789" t="s">
        <v>670</v>
      </c>
      <c r="G2789" t="s">
        <v>44</v>
      </c>
      <c r="H2789">
        <v>2023</v>
      </c>
    </row>
    <row r="2790" spans="1:8" x14ac:dyDescent="0.2">
      <c r="A2790">
        <v>225471</v>
      </c>
      <c r="B2790">
        <v>193177.5</v>
      </c>
      <c r="C2790" t="str">
        <f t="shared" si="43"/>
        <v>4. $250K-1M</v>
      </c>
      <c r="D2790" t="s">
        <v>317</v>
      </c>
      <c r="E2790" t="s">
        <v>69</v>
      </c>
      <c r="F2790" t="s">
        <v>239</v>
      </c>
      <c r="G2790" t="s">
        <v>10</v>
      </c>
      <c r="H2790">
        <v>2023</v>
      </c>
    </row>
    <row r="2791" spans="1:8" x14ac:dyDescent="0.2">
      <c r="A2791">
        <v>225493</v>
      </c>
      <c r="B2791">
        <v>54000</v>
      </c>
      <c r="C2791" t="str">
        <f t="shared" si="43"/>
        <v>3. $50K-250K</v>
      </c>
      <c r="D2791" t="s">
        <v>701</v>
      </c>
      <c r="E2791" t="s">
        <v>237</v>
      </c>
      <c r="F2791" t="s">
        <v>670</v>
      </c>
      <c r="G2791" t="s">
        <v>59</v>
      </c>
      <c r="H2791">
        <v>2023</v>
      </c>
    </row>
    <row r="2792" spans="1:8" x14ac:dyDescent="0.2">
      <c r="A2792">
        <v>225496</v>
      </c>
      <c r="B2792">
        <v>54000</v>
      </c>
      <c r="C2792" t="str">
        <f t="shared" si="43"/>
        <v>3. $50K-250K</v>
      </c>
      <c r="D2792" t="s">
        <v>737</v>
      </c>
      <c r="E2792" t="s">
        <v>237</v>
      </c>
      <c r="F2792" t="s">
        <v>670</v>
      </c>
      <c r="G2792" t="s">
        <v>59</v>
      </c>
      <c r="H2792">
        <v>2023</v>
      </c>
    </row>
    <row r="2793" spans="1:8" x14ac:dyDescent="0.2">
      <c r="A2793">
        <v>225503</v>
      </c>
      <c r="B2793">
        <v>54000</v>
      </c>
      <c r="C2793" t="str">
        <f t="shared" si="43"/>
        <v>3. $50K-250K</v>
      </c>
      <c r="D2793" t="s">
        <v>926</v>
      </c>
      <c r="E2793" t="s">
        <v>237</v>
      </c>
      <c r="F2793" t="s">
        <v>670</v>
      </c>
      <c r="G2793" t="s">
        <v>59</v>
      </c>
      <c r="H2793">
        <v>2023</v>
      </c>
    </row>
    <row r="2794" spans="1:8" x14ac:dyDescent="0.2">
      <c r="A2794">
        <v>225504</v>
      </c>
      <c r="B2794">
        <v>112500</v>
      </c>
      <c r="C2794" t="str">
        <f t="shared" si="43"/>
        <v>3. $50K-250K</v>
      </c>
      <c r="D2794" t="s">
        <v>548</v>
      </c>
      <c r="E2794" t="s">
        <v>237</v>
      </c>
      <c r="F2794" t="s">
        <v>670</v>
      </c>
      <c r="G2794" t="s">
        <v>59</v>
      </c>
      <c r="H2794">
        <v>2023</v>
      </c>
    </row>
    <row r="2795" spans="1:8" x14ac:dyDescent="0.2">
      <c r="A2795">
        <v>225505</v>
      </c>
      <c r="B2795">
        <v>405000</v>
      </c>
      <c r="C2795" t="str">
        <f t="shared" si="43"/>
        <v>3. $50K-250K</v>
      </c>
      <c r="D2795" t="s">
        <v>713</v>
      </c>
      <c r="E2795" t="s">
        <v>237</v>
      </c>
      <c r="F2795" t="s">
        <v>670</v>
      </c>
      <c r="G2795" t="s">
        <v>59</v>
      </c>
      <c r="H2795">
        <v>2023</v>
      </c>
    </row>
    <row r="2796" spans="1:8" x14ac:dyDescent="0.2">
      <c r="A2796">
        <v>225506</v>
      </c>
      <c r="B2796">
        <v>54000</v>
      </c>
      <c r="C2796" t="str">
        <f t="shared" si="43"/>
        <v>4. $250K-1M</v>
      </c>
      <c r="D2796" t="s">
        <v>713</v>
      </c>
      <c r="E2796" t="s">
        <v>237</v>
      </c>
      <c r="F2796" t="s">
        <v>670</v>
      </c>
      <c r="G2796" t="s">
        <v>59</v>
      </c>
      <c r="H2796">
        <v>2023</v>
      </c>
    </row>
    <row r="2797" spans="1:8" x14ac:dyDescent="0.2">
      <c r="A2797">
        <v>225507</v>
      </c>
      <c r="B2797">
        <v>108000</v>
      </c>
      <c r="C2797" t="str">
        <f t="shared" si="43"/>
        <v>3. $50K-250K</v>
      </c>
      <c r="D2797" t="s">
        <v>713</v>
      </c>
      <c r="E2797" t="s">
        <v>237</v>
      </c>
      <c r="F2797" t="s">
        <v>670</v>
      </c>
      <c r="G2797" t="s">
        <v>59</v>
      </c>
      <c r="H2797">
        <v>2023</v>
      </c>
    </row>
    <row r="2798" spans="1:8" x14ac:dyDescent="0.2">
      <c r="A2798">
        <v>225508</v>
      </c>
      <c r="B2798">
        <v>135000</v>
      </c>
      <c r="C2798" t="str">
        <f t="shared" si="43"/>
        <v>3. $50K-250K</v>
      </c>
      <c r="D2798" t="s">
        <v>713</v>
      </c>
      <c r="E2798" t="s">
        <v>237</v>
      </c>
      <c r="F2798" t="s">
        <v>670</v>
      </c>
      <c r="G2798" t="s">
        <v>59</v>
      </c>
      <c r="H2798">
        <v>2023</v>
      </c>
    </row>
    <row r="2799" spans="1:8" x14ac:dyDescent="0.2">
      <c r="A2799">
        <v>225512</v>
      </c>
      <c r="B2799">
        <v>10108</v>
      </c>
      <c r="C2799" t="str">
        <f t="shared" si="43"/>
        <v>3. $50K-250K</v>
      </c>
      <c r="D2799" t="s">
        <v>925</v>
      </c>
      <c r="E2799" t="s">
        <v>237</v>
      </c>
      <c r="F2799" t="s">
        <v>670</v>
      </c>
      <c r="G2799" t="s">
        <v>59</v>
      </c>
      <c r="H2799">
        <v>2023</v>
      </c>
    </row>
    <row r="2800" spans="1:8" x14ac:dyDescent="0.2">
      <c r="A2800">
        <v>225513</v>
      </c>
      <c r="B2800">
        <v>72000</v>
      </c>
      <c r="C2800" t="str">
        <f t="shared" si="43"/>
        <v>2. $10K-50K</v>
      </c>
      <c r="D2800" t="s">
        <v>1095</v>
      </c>
      <c r="E2800" t="s">
        <v>237</v>
      </c>
      <c r="F2800" t="s">
        <v>670</v>
      </c>
      <c r="G2800" t="s">
        <v>59</v>
      </c>
      <c r="H2800">
        <v>2023</v>
      </c>
    </row>
    <row r="2801" spans="1:8" x14ac:dyDescent="0.2">
      <c r="A2801">
        <v>225514</v>
      </c>
      <c r="B2801">
        <v>48000</v>
      </c>
      <c r="C2801" t="str">
        <f t="shared" si="43"/>
        <v>3. $50K-250K</v>
      </c>
      <c r="D2801" t="s">
        <v>1100</v>
      </c>
      <c r="E2801" t="s">
        <v>237</v>
      </c>
      <c r="F2801" t="s">
        <v>670</v>
      </c>
      <c r="G2801" t="s">
        <v>59</v>
      </c>
      <c r="H2801">
        <v>2023</v>
      </c>
    </row>
    <row r="2802" spans="1:8" x14ac:dyDescent="0.2">
      <c r="A2802">
        <v>225515</v>
      </c>
      <c r="B2802">
        <v>282612</v>
      </c>
      <c r="C2802" t="str">
        <f t="shared" si="43"/>
        <v>2. $10K-50K</v>
      </c>
      <c r="D2802" t="s">
        <v>711</v>
      </c>
      <c r="E2802" t="s">
        <v>237</v>
      </c>
      <c r="F2802" t="s">
        <v>670</v>
      </c>
      <c r="G2802" t="s">
        <v>59</v>
      </c>
      <c r="H2802">
        <v>2023</v>
      </c>
    </row>
    <row r="2803" spans="1:8" x14ac:dyDescent="0.2">
      <c r="A2803">
        <v>225516</v>
      </c>
      <c r="B2803">
        <v>204000</v>
      </c>
      <c r="C2803" t="str">
        <f t="shared" si="43"/>
        <v>4. $250K-1M</v>
      </c>
      <c r="D2803" t="s">
        <v>886</v>
      </c>
      <c r="E2803" t="s">
        <v>237</v>
      </c>
      <c r="F2803" t="s">
        <v>670</v>
      </c>
      <c r="G2803" t="s">
        <v>59</v>
      </c>
      <c r="H2803">
        <v>2023</v>
      </c>
    </row>
    <row r="2804" spans="1:8" x14ac:dyDescent="0.2">
      <c r="A2804">
        <v>225663</v>
      </c>
      <c r="B2804">
        <v>8000000</v>
      </c>
      <c r="C2804" t="str">
        <f t="shared" si="43"/>
        <v>3. $50K-250K</v>
      </c>
      <c r="D2804" t="s">
        <v>318</v>
      </c>
      <c r="E2804" t="s">
        <v>59</v>
      </c>
      <c r="F2804" t="s">
        <v>43</v>
      </c>
      <c r="G2804" t="s">
        <v>44</v>
      </c>
      <c r="H2804">
        <v>2023</v>
      </c>
    </row>
    <row r="2805" spans="1:8" x14ac:dyDescent="0.2">
      <c r="A2805">
        <v>225722</v>
      </c>
      <c r="B2805">
        <v>4454354.0999999996</v>
      </c>
      <c r="C2805" t="str">
        <f t="shared" si="43"/>
        <v>5. $1M+</v>
      </c>
      <c r="D2805" t="s">
        <v>669</v>
      </c>
      <c r="E2805" t="s">
        <v>42</v>
      </c>
      <c r="F2805" t="s">
        <v>670</v>
      </c>
      <c r="G2805" t="s">
        <v>59</v>
      </c>
      <c r="H2805">
        <v>2023</v>
      </c>
    </row>
    <row r="2806" spans="1:8" x14ac:dyDescent="0.2">
      <c r="A2806">
        <v>225723</v>
      </c>
      <c r="B2806">
        <v>973791.1</v>
      </c>
      <c r="C2806" t="str">
        <f t="shared" si="43"/>
        <v>5. $1M+</v>
      </c>
      <c r="D2806" t="s">
        <v>669</v>
      </c>
      <c r="E2806" t="s">
        <v>42</v>
      </c>
      <c r="F2806" t="s">
        <v>670</v>
      </c>
      <c r="G2806" t="s">
        <v>59</v>
      </c>
      <c r="H2806">
        <v>2023</v>
      </c>
    </row>
    <row r="2807" spans="1:8" x14ac:dyDescent="0.2">
      <c r="A2807">
        <v>225728</v>
      </c>
      <c r="B2807">
        <v>99500</v>
      </c>
      <c r="C2807" t="str">
        <f t="shared" si="43"/>
        <v>4. $250K-1M</v>
      </c>
      <c r="D2807" t="s">
        <v>1516</v>
      </c>
      <c r="E2807" t="s">
        <v>825</v>
      </c>
      <c r="F2807" t="s">
        <v>670</v>
      </c>
      <c r="G2807" t="s">
        <v>59</v>
      </c>
      <c r="H2807">
        <v>2023</v>
      </c>
    </row>
    <row r="2808" spans="1:8" x14ac:dyDescent="0.2">
      <c r="A2808">
        <v>225748</v>
      </c>
      <c r="B2808">
        <v>91479</v>
      </c>
      <c r="C2808" t="str">
        <f t="shared" si="43"/>
        <v>3. $50K-250K</v>
      </c>
      <c r="D2808" t="s">
        <v>882</v>
      </c>
      <c r="E2808" t="s">
        <v>825</v>
      </c>
      <c r="F2808" t="s">
        <v>670</v>
      </c>
      <c r="G2808" t="s">
        <v>59</v>
      </c>
      <c r="H2808">
        <v>2023</v>
      </c>
    </row>
    <row r="2809" spans="1:8" x14ac:dyDescent="0.2">
      <c r="A2809">
        <v>225750</v>
      </c>
      <c r="B2809">
        <v>3000000</v>
      </c>
      <c r="C2809" t="str">
        <f t="shared" si="43"/>
        <v>3. $50K-250K</v>
      </c>
      <c r="D2809" t="s">
        <v>319</v>
      </c>
      <c r="E2809" t="s">
        <v>42</v>
      </c>
      <c r="F2809" t="s">
        <v>43</v>
      </c>
      <c r="G2809" t="s">
        <v>61</v>
      </c>
      <c r="H2809">
        <v>2024</v>
      </c>
    </row>
    <row r="2810" spans="1:8" x14ac:dyDescent="0.2">
      <c r="A2810">
        <v>225754</v>
      </c>
      <c r="B2810">
        <v>3000000</v>
      </c>
      <c r="C2810" t="str">
        <f t="shared" si="43"/>
        <v>5. $1M+</v>
      </c>
      <c r="D2810" t="s">
        <v>320</v>
      </c>
      <c r="E2810" t="s">
        <v>42</v>
      </c>
      <c r="F2810" t="s">
        <v>43</v>
      </c>
      <c r="G2810" t="s">
        <v>15</v>
      </c>
      <c r="H2810">
        <v>2025</v>
      </c>
    </row>
    <row r="2811" spans="1:8" x14ac:dyDescent="0.2">
      <c r="A2811">
        <v>225755</v>
      </c>
      <c r="B2811">
        <v>3000000</v>
      </c>
      <c r="C2811" t="str">
        <f t="shared" si="43"/>
        <v>5. $1M+</v>
      </c>
      <c r="D2811" t="s">
        <v>321</v>
      </c>
      <c r="E2811" t="s">
        <v>42</v>
      </c>
      <c r="F2811" t="s">
        <v>43</v>
      </c>
      <c r="G2811" t="s">
        <v>61</v>
      </c>
      <c r="H2811">
        <v>2024</v>
      </c>
    </row>
    <row r="2812" spans="1:8" x14ac:dyDescent="0.2">
      <c r="A2812">
        <v>225756</v>
      </c>
      <c r="B2812">
        <v>3000000</v>
      </c>
      <c r="C2812" t="str">
        <f t="shared" si="43"/>
        <v>5. $1M+</v>
      </c>
      <c r="D2812" t="s">
        <v>322</v>
      </c>
      <c r="E2812" t="s">
        <v>42</v>
      </c>
      <c r="F2812" t="s">
        <v>43</v>
      </c>
      <c r="G2812" t="s">
        <v>61</v>
      </c>
      <c r="H2812">
        <v>2024</v>
      </c>
    </row>
    <row r="2813" spans="1:8" x14ac:dyDescent="0.2">
      <c r="A2813">
        <v>225757</v>
      </c>
      <c r="B2813">
        <v>3000000</v>
      </c>
      <c r="C2813" t="str">
        <f t="shared" si="43"/>
        <v>5. $1M+</v>
      </c>
      <c r="D2813" t="s">
        <v>323</v>
      </c>
      <c r="E2813" t="s">
        <v>42</v>
      </c>
      <c r="F2813" t="s">
        <v>43</v>
      </c>
      <c r="G2813" t="s">
        <v>61</v>
      </c>
      <c r="H2813">
        <v>2025</v>
      </c>
    </row>
    <row r="2814" spans="1:8" x14ac:dyDescent="0.2">
      <c r="A2814">
        <v>225758</v>
      </c>
      <c r="B2814">
        <v>3000000</v>
      </c>
      <c r="C2814" t="str">
        <f t="shared" si="43"/>
        <v>5. $1M+</v>
      </c>
      <c r="D2814" t="s">
        <v>324</v>
      </c>
      <c r="E2814" t="s">
        <v>42</v>
      </c>
      <c r="F2814" t="s">
        <v>43</v>
      </c>
      <c r="G2814" t="s">
        <v>15</v>
      </c>
      <c r="H2814">
        <v>2024</v>
      </c>
    </row>
    <row r="2815" spans="1:8" x14ac:dyDescent="0.2">
      <c r="A2815">
        <v>225759</v>
      </c>
      <c r="B2815">
        <v>3000000</v>
      </c>
      <c r="C2815" t="str">
        <f t="shared" si="43"/>
        <v>5. $1M+</v>
      </c>
      <c r="D2815" t="s">
        <v>325</v>
      </c>
      <c r="E2815" t="s">
        <v>42</v>
      </c>
      <c r="F2815" t="s">
        <v>43</v>
      </c>
      <c r="G2815" t="s">
        <v>15</v>
      </c>
      <c r="H2815">
        <v>2024</v>
      </c>
    </row>
    <row r="2816" spans="1:8" x14ac:dyDescent="0.2">
      <c r="A2816">
        <v>225760</v>
      </c>
      <c r="B2816">
        <v>3000000</v>
      </c>
      <c r="C2816" t="str">
        <f t="shared" si="43"/>
        <v>5. $1M+</v>
      </c>
      <c r="D2816" t="s">
        <v>326</v>
      </c>
      <c r="E2816" t="s">
        <v>42</v>
      </c>
      <c r="F2816" t="s">
        <v>43</v>
      </c>
      <c r="G2816" t="s">
        <v>61</v>
      </c>
      <c r="H2816">
        <v>2025</v>
      </c>
    </row>
    <row r="2817" spans="1:8" x14ac:dyDescent="0.2">
      <c r="A2817">
        <v>225761</v>
      </c>
      <c r="B2817">
        <v>3000000</v>
      </c>
      <c r="C2817" t="str">
        <f t="shared" si="43"/>
        <v>5. $1M+</v>
      </c>
      <c r="D2817" t="s">
        <v>327</v>
      </c>
      <c r="E2817" t="s">
        <v>42</v>
      </c>
      <c r="F2817" t="s">
        <v>43</v>
      </c>
      <c r="G2817" t="s">
        <v>61</v>
      </c>
      <c r="H2817">
        <v>2025</v>
      </c>
    </row>
    <row r="2818" spans="1:8" x14ac:dyDescent="0.2">
      <c r="A2818">
        <v>225762</v>
      </c>
      <c r="B2818">
        <v>3000000</v>
      </c>
      <c r="C2818" t="str">
        <f t="shared" si="43"/>
        <v>5. $1M+</v>
      </c>
      <c r="D2818" t="s">
        <v>328</v>
      </c>
      <c r="E2818" t="s">
        <v>42</v>
      </c>
      <c r="F2818" t="s">
        <v>43</v>
      </c>
      <c r="G2818" t="s">
        <v>61</v>
      </c>
      <c r="H2818">
        <v>2024</v>
      </c>
    </row>
    <row r="2819" spans="1:8" x14ac:dyDescent="0.2">
      <c r="A2819">
        <v>225764</v>
      </c>
      <c r="B2819">
        <v>3000000</v>
      </c>
      <c r="C2819" t="str">
        <f t="shared" ref="C2819:C2882" si="44">IF(B2818&lt;10000,"1. Under $10K",IF(B2818&lt;50000,"2. $10K-50K",IF(B2818&lt;250000,"3. $50K-250K",IF(B2818&lt;1000000,"4. $250K-1M","5. $1M+"))))</f>
        <v>5. $1M+</v>
      </c>
      <c r="D2819" t="s">
        <v>329</v>
      </c>
      <c r="E2819" t="s">
        <v>42</v>
      </c>
      <c r="F2819" t="s">
        <v>43</v>
      </c>
      <c r="G2819" t="s">
        <v>61</v>
      </c>
      <c r="H2819">
        <v>2024</v>
      </c>
    </row>
    <row r="2820" spans="1:8" x14ac:dyDescent="0.2">
      <c r="A2820">
        <v>225765</v>
      </c>
      <c r="B2820">
        <v>3000000</v>
      </c>
      <c r="C2820" t="str">
        <f t="shared" si="44"/>
        <v>5. $1M+</v>
      </c>
      <c r="D2820" t="s">
        <v>330</v>
      </c>
      <c r="E2820" t="s">
        <v>42</v>
      </c>
      <c r="F2820" t="s">
        <v>43</v>
      </c>
      <c r="G2820" t="s">
        <v>61</v>
      </c>
      <c r="H2820">
        <v>2024</v>
      </c>
    </row>
    <row r="2821" spans="1:8" x14ac:dyDescent="0.2">
      <c r="A2821">
        <v>225770</v>
      </c>
      <c r="B2821">
        <v>3000000</v>
      </c>
      <c r="C2821" t="str">
        <f t="shared" si="44"/>
        <v>5. $1M+</v>
      </c>
      <c r="D2821" t="s">
        <v>331</v>
      </c>
      <c r="E2821" t="s">
        <v>42</v>
      </c>
      <c r="F2821" t="s">
        <v>43</v>
      </c>
      <c r="G2821" t="s">
        <v>61</v>
      </c>
      <c r="H2821">
        <v>2024</v>
      </c>
    </row>
    <row r="2822" spans="1:8" x14ac:dyDescent="0.2">
      <c r="A2822">
        <v>225792</v>
      </c>
      <c r="B2822">
        <v>108000</v>
      </c>
      <c r="C2822" t="str">
        <f t="shared" si="44"/>
        <v>5. $1M+</v>
      </c>
      <c r="D2822" t="s">
        <v>713</v>
      </c>
      <c r="E2822" t="s">
        <v>237</v>
      </c>
      <c r="F2822" t="s">
        <v>670</v>
      </c>
      <c r="G2822" t="s">
        <v>59</v>
      </c>
      <c r="H2822">
        <v>2023</v>
      </c>
    </row>
    <row r="2823" spans="1:8" x14ac:dyDescent="0.2">
      <c r="A2823">
        <v>225805</v>
      </c>
      <c r="B2823">
        <v>432809.8</v>
      </c>
      <c r="C2823" t="str">
        <f t="shared" si="44"/>
        <v>3. $50K-250K</v>
      </c>
      <c r="D2823" t="s">
        <v>1517</v>
      </c>
      <c r="E2823" t="s">
        <v>59</v>
      </c>
      <c r="F2823" t="s">
        <v>664</v>
      </c>
      <c r="G2823" t="s">
        <v>59</v>
      </c>
      <c r="H2823">
        <v>2023</v>
      </c>
    </row>
    <row r="2824" spans="1:8" x14ac:dyDescent="0.2">
      <c r="A2824">
        <v>225806</v>
      </c>
      <c r="B2824">
        <v>20000</v>
      </c>
      <c r="C2824" t="str">
        <f t="shared" si="44"/>
        <v>4. $250K-1M</v>
      </c>
      <c r="D2824" t="s">
        <v>1446</v>
      </c>
      <c r="E2824" t="s">
        <v>432</v>
      </c>
      <c r="F2824" t="s">
        <v>670</v>
      </c>
      <c r="G2824" t="s">
        <v>59</v>
      </c>
      <c r="H2824">
        <v>2023</v>
      </c>
    </row>
    <row r="2825" spans="1:8" x14ac:dyDescent="0.2">
      <c r="A2825">
        <v>225935</v>
      </c>
      <c r="B2825">
        <v>525859</v>
      </c>
      <c r="C2825" t="str">
        <f t="shared" si="44"/>
        <v>2. $10K-50K</v>
      </c>
      <c r="D2825" t="s">
        <v>749</v>
      </c>
      <c r="E2825" t="s">
        <v>237</v>
      </c>
      <c r="F2825" t="s">
        <v>670</v>
      </c>
      <c r="G2825" t="s">
        <v>59</v>
      </c>
      <c r="H2825">
        <v>2023</v>
      </c>
    </row>
    <row r="2826" spans="1:8" x14ac:dyDescent="0.2">
      <c r="A2826">
        <v>225938</v>
      </c>
      <c r="B2826">
        <v>525859</v>
      </c>
      <c r="C2826" t="str">
        <f t="shared" si="44"/>
        <v>4. $250K-1M</v>
      </c>
      <c r="D2826" t="s">
        <v>762</v>
      </c>
      <c r="E2826" t="s">
        <v>237</v>
      </c>
      <c r="F2826" t="s">
        <v>670</v>
      </c>
      <c r="G2826" t="s">
        <v>59</v>
      </c>
      <c r="H2826">
        <v>2023</v>
      </c>
    </row>
    <row r="2827" spans="1:8" x14ac:dyDescent="0.2">
      <c r="A2827">
        <v>225939</v>
      </c>
      <c r="B2827">
        <v>525859</v>
      </c>
      <c r="C2827" t="str">
        <f t="shared" si="44"/>
        <v>4. $250K-1M</v>
      </c>
      <c r="D2827" t="s">
        <v>1360</v>
      </c>
      <c r="E2827" t="s">
        <v>237</v>
      </c>
      <c r="F2827" t="s">
        <v>670</v>
      </c>
      <c r="G2827" t="s">
        <v>59</v>
      </c>
      <c r="H2827">
        <v>2023</v>
      </c>
    </row>
    <row r="2828" spans="1:8" x14ac:dyDescent="0.2">
      <c r="A2828">
        <v>225943</v>
      </c>
      <c r="B2828">
        <v>29200</v>
      </c>
      <c r="C2828" t="str">
        <f t="shared" si="44"/>
        <v>4. $250K-1M</v>
      </c>
      <c r="D2828" t="s">
        <v>869</v>
      </c>
      <c r="E2828" t="s">
        <v>237</v>
      </c>
      <c r="F2828" t="s">
        <v>670</v>
      </c>
      <c r="G2828" t="s">
        <v>59</v>
      </c>
      <c r="H2828">
        <v>2023</v>
      </c>
    </row>
    <row r="2829" spans="1:8" x14ac:dyDescent="0.2">
      <c r="A2829">
        <v>225944</v>
      </c>
      <c r="B2829">
        <v>1713548</v>
      </c>
      <c r="C2829" t="str">
        <f t="shared" si="44"/>
        <v>2. $10K-50K</v>
      </c>
      <c r="D2829" t="s">
        <v>872</v>
      </c>
      <c r="E2829" t="s">
        <v>237</v>
      </c>
      <c r="F2829" t="s">
        <v>670</v>
      </c>
      <c r="G2829" t="s">
        <v>59</v>
      </c>
      <c r="H2829">
        <v>2023</v>
      </c>
    </row>
    <row r="2830" spans="1:8" x14ac:dyDescent="0.2">
      <c r="A2830">
        <v>225946</v>
      </c>
      <c r="B2830">
        <v>66150</v>
      </c>
      <c r="C2830" t="str">
        <f t="shared" si="44"/>
        <v>5. $1M+</v>
      </c>
      <c r="D2830" t="s">
        <v>856</v>
      </c>
      <c r="E2830" t="s">
        <v>237</v>
      </c>
      <c r="F2830" t="s">
        <v>670</v>
      </c>
      <c r="G2830" t="s">
        <v>59</v>
      </c>
      <c r="H2830">
        <v>2023</v>
      </c>
    </row>
    <row r="2831" spans="1:8" x14ac:dyDescent="0.2">
      <c r="A2831">
        <v>225947</v>
      </c>
      <c r="B2831">
        <v>50000</v>
      </c>
      <c r="C2831" t="str">
        <f t="shared" si="44"/>
        <v>3. $50K-250K</v>
      </c>
      <c r="D2831" t="s">
        <v>869</v>
      </c>
      <c r="E2831" t="s">
        <v>237</v>
      </c>
      <c r="F2831" t="s">
        <v>670</v>
      </c>
      <c r="G2831" t="s">
        <v>59</v>
      </c>
      <c r="H2831">
        <v>2023</v>
      </c>
    </row>
    <row r="2832" spans="1:8" x14ac:dyDescent="0.2">
      <c r="A2832">
        <v>225948</v>
      </c>
      <c r="B2832">
        <v>88641</v>
      </c>
      <c r="C2832" t="str">
        <f t="shared" si="44"/>
        <v>3. $50K-250K</v>
      </c>
      <c r="D2832" t="s">
        <v>884</v>
      </c>
      <c r="E2832" t="s">
        <v>237</v>
      </c>
      <c r="F2832" t="s">
        <v>670</v>
      </c>
      <c r="G2832" t="s">
        <v>59</v>
      </c>
      <c r="H2832">
        <v>2023</v>
      </c>
    </row>
    <row r="2833" spans="1:8" x14ac:dyDescent="0.2">
      <c r="A2833">
        <v>225949</v>
      </c>
      <c r="B2833">
        <v>80750</v>
      </c>
      <c r="C2833" t="str">
        <f t="shared" si="44"/>
        <v>3. $50K-250K</v>
      </c>
      <c r="D2833" t="s">
        <v>876</v>
      </c>
      <c r="E2833" t="s">
        <v>237</v>
      </c>
      <c r="F2833" t="s">
        <v>670</v>
      </c>
      <c r="G2833" t="s">
        <v>59</v>
      </c>
      <c r="H2833">
        <v>2023</v>
      </c>
    </row>
    <row r="2834" spans="1:8" x14ac:dyDescent="0.2">
      <c r="A2834">
        <v>225950</v>
      </c>
      <c r="B2834">
        <v>41216</v>
      </c>
      <c r="C2834" t="str">
        <f t="shared" si="44"/>
        <v>3. $50K-250K</v>
      </c>
      <c r="D2834" t="s">
        <v>983</v>
      </c>
      <c r="E2834" t="s">
        <v>237</v>
      </c>
      <c r="F2834" t="s">
        <v>670</v>
      </c>
      <c r="G2834" t="s">
        <v>59</v>
      </c>
      <c r="H2834">
        <v>2023</v>
      </c>
    </row>
    <row r="2835" spans="1:8" x14ac:dyDescent="0.2">
      <c r="A2835">
        <v>225951</v>
      </c>
      <c r="B2835">
        <v>48000</v>
      </c>
      <c r="C2835" t="str">
        <f t="shared" si="44"/>
        <v>2. $10K-50K</v>
      </c>
      <c r="D2835" t="s">
        <v>1097</v>
      </c>
      <c r="E2835" t="s">
        <v>237</v>
      </c>
      <c r="F2835" t="s">
        <v>670</v>
      </c>
      <c r="G2835" t="s">
        <v>59</v>
      </c>
      <c r="H2835">
        <v>2023</v>
      </c>
    </row>
    <row r="2836" spans="1:8" x14ac:dyDescent="0.2">
      <c r="A2836">
        <v>225954</v>
      </c>
      <c r="B2836">
        <v>82432</v>
      </c>
      <c r="C2836" t="str">
        <f t="shared" si="44"/>
        <v>2. $10K-50K</v>
      </c>
      <c r="D2836" t="s">
        <v>805</v>
      </c>
      <c r="E2836" t="s">
        <v>237</v>
      </c>
      <c r="F2836" t="s">
        <v>670</v>
      </c>
      <c r="G2836" t="s">
        <v>59</v>
      </c>
      <c r="H2836">
        <v>2023</v>
      </c>
    </row>
    <row r="2837" spans="1:8" x14ac:dyDescent="0.2">
      <c r="A2837">
        <v>225955</v>
      </c>
      <c r="B2837">
        <v>126667</v>
      </c>
      <c r="C2837" t="str">
        <f t="shared" si="44"/>
        <v>3. $50K-250K</v>
      </c>
      <c r="D2837" t="s">
        <v>883</v>
      </c>
      <c r="E2837" t="s">
        <v>237</v>
      </c>
      <c r="F2837" t="s">
        <v>670</v>
      </c>
      <c r="G2837" t="s">
        <v>59</v>
      </c>
      <c r="H2837">
        <v>2023</v>
      </c>
    </row>
    <row r="2838" spans="1:8" x14ac:dyDescent="0.2">
      <c r="A2838">
        <v>225956</v>
      </c>
      <c r="B2838">
        <v>410727.6</v>
      </c>
      <c r="C2838" t="str">
        <f t="shared" si="44"/>
        <v>3. $50K-250K</v>
      </c>
      <c r="D2838" t="s">
        <v>709</v>
      </c>
      <c r="E2838" t="s">
        <v>237</v>
      </c>
      <c r="F2838" t="s">
        <v>670</v>
      </c>
      <c r="G2838" t="s">
        <v>59</v>
      </c>
      <c r="H2838">
        <v>2023</v>
      </c>
    </row>
    <row r="2839" spans="1:8" x14ac:dyDescent="0.2">
      <c r="A2839">
        <v>225957</v>
      </c>
      <c r="B2839">
        <v>550096.6</v>
      </c>
      <c r="C2839" t="str">
        <f t="shared" si="44"/>
        <v>4. $250K-1M</v>
      </c>
      <c r="D2839" t="s">
        <v>703</v>
      </c>
      <c r="E2839" t="s">
        <v>237</v>
      </c>
      <c r="F2839" t="s">
        <v>670</v>
      </c>
      <c r="G2839" t="s">
        <v>59</v>
      </c>
      <c r="H2839">
        <v>2023</v>
      </c>
    </row>
    <row r="2840" spans="1:8" x14ac:dyDescent="0.2">
      <c r="A2840">
        <v>225958</v>
      </c>
      <c r="B2840">
        <v>295837</v>
      </c>
      <c r="C2840" t="str">
        <f t="shared" si="44"/>
        <v>4. $250K-1M</v>
      </c>
      <c r="D2840" t="s">
        <v>875</v>
      </c>
      <c r="E2840" t="s">
        <v>237</v>
      </c>
      <c r="F2840" t="s">
        <v>670</v>
      </c>
      <c r="G2840" t="s">
        <v>59</v>
      </c>
      <c r="H2840">
        <v>2023</v>
      </c>
    </row>
    <row r="2841" spans="1:8" x14ac:dyDescent="0.2">
      <c r="A2841">
        <v>225959</v>
      </c>
      <c r="B2841">
        <v>139889</v>
      </c>
      <c r="C2841" t="str">
        <f t="shared" si="44"/>
        <v>4. $250K-1M</v>
      </c>
      <c r="D2841" t="s">
        <v>857</v>
      </c>
      <c r="E2841" t="s">
        <v>237</v>
      </c>
      <c r="F2841" t="s">
        <v>670</v>
      </c>
      <c r="G2841" t="s">
        <v>59</v>
      </c>
      <c r="H2841">
        <v>2023</v>
      </c>
    </row>
    <row r="2842" spans="1:8" x14ac:dyDescent="0.2">
      <c r="A2842">
        <v>225960</v>
      </c>
      <c r="B2842">
        <v>300000</v>
      </c>
      <c r="C2842" t="str">
        <f t="shared" si="44"/>
        <v>3. $50K-250K</v>
      </c>
      <c r="D2842" t="s">
        <v>852</v>
      </c>
      <c r="E2842" t="s">
        <v>237</v>
      </c>
      <c r="F2842" t="s">
        <v>670</v>
      </c>
      <c r="G2842" t="s">
        <v>59</v>
      </c>
      <c r="H2842">
        <v>2023</v>
      </c>
    </row>
    <row r="2843" spans="1:8" x14ac:dyDescent="0.2">
      <c r="A2843">
        <v>225961</v>
      </c>
      <c r="B2843">
        <v>620000</v>
      </c>
      <c r="C2843" t="str">
        <f t="shared" si="44"/>
        <v>4. $250K-1M</v>
      </c>
      <c r="D2843" t="s">
        <v>853</v>
      </c>
      <c r="E2843" t="s">
        <v>237</v>
      </c>
      <c r="F2843" t="s">
        <v>670</v>
      </c>
      <c r="G2843" t="s">
        <v>59</v>
      </c>
      <c r="H2843">
        <v>2023</v>
      </c>
    </row>
    <row r="2844" spans="1:8" x14ac:dyDescent="0.2">
      <c r="A2844">
        <v>225962</v>
      </c>
      <c r="B2844">
        <v>1859403.3</v>
      </c>
      <c r="C2844" t="str">
        <f t="shared" si="44"/>
        <v>4. $250K-1M</v>
      </c>
      <c r="D2844" t="s">
        <v>709</v>
      </c>
      <c r="E2844" t="s">
        <v>237</v>
      </c>
      <c r="F2844" t="s">
        <v>670</v>
      </c>
      <c r="G2844" t="s">
        <v>59</v>
      </c>
      <c r="H2844">
        <v>2023</v>
      </c>
    </row>
    <row r="2845" spans="1:8" x14ac:dyDescent="0.2">
      <c r="A2845">
        <v>225964</v>
      </c>
      <c r="B2845">
        <v>525859</v>
      </c>
      <c r="C2845" t="str">
        <f t="shared" si="44"/>
        <v>5. $1M+</v>
      </c>
      <c r="D2845" t="s">
        <v>1361</v>
      </c>
      <c r="E2845" t="s">
        <v>237</v>
      </c>
      <c r="F2845" t="s">
        <v>670</v>
      </c>
      <c r="G2845" t="s">
        <v>59</v>
      </c>
      <c r="H2845">
        <v>2023</v>
      </c>
    </row>
    <row r="2846" spans="1:8" x14ac:dyDescent="0.2">
      <c r="A2846">
        <v>225975</v>
      </c>
      <c r="B2846">
        <v>155782.29999999999</v>
      </c>
      <c r="C2846" t="str">
        <f t="shared" si="44"/>
        <v>4. $250K-1M</v>
      </c>
      <c r="D2846" t="s">
        <v>680</v>
      </c>
      <c r="E2846" t="s">
        <v>42</v>
      </c>
      <c r="F2846" t="s">
        <v>670</v>
      </c>
      <c r="G2846" t="s">
        <v>59</v>
      </c>
      <c r="H2846">
        <v>2023</v>
      </c>
    </row>
    <row r="2847" spans="1:8" x14ac:dyDescent="0.2">
      <c r="A2847">
        <v>225990</v>
      </c>
      <c r="B2847">
        <v>1250000</v>
      </c>
      <c r="C2847" t="str">
        <f t="shared" si="44"/>
        <v>3. $50K-250K</v>
      </c>
      <c r="D2847" t="s">
        <v>1052</v>
      </c>
      <c r="E2847" t="s">
        <v>237</v>
      </c>
      <c r="F2847" t="s">
        <v>670</v>
      </c>
      <c r="G2847" t="s">
        <v>59</v>
      </c>
      <c r="H2847">
        <v>2023</v>
      </c>
    </row>
    <row r="2848" spans="1:8" x14ac:dyDescent="0.2">
      <c r="A2848">
        <v>225992</v>
      </c>
      <c r="B2848">
        <v>6435980</v>
      </c>
      <c r="C2848" t="str">
        <f t="shared" si="44"/>
        <v>5. $1M+</v>
      </c>
      <c r="D2848" t="s">
        <v>1518</v>
      </c>
      <c r="E2848" t="s">
        <v>99</v>
      </c>
      <c r="F2848" t="s">
        <v>668</v>
      </c>
      <c r="G2848" t="s">
        <v>59</v>
      </c>
      <c r="H2848">
        <v>2023</v>
      </c>
    </row>
    <row r="2849" spans="1:8" x14ac:dyDescent="0.2">
      <c r="A2849">
        <v>225995</v>
      </c>
      <c r="B2849">
        <v>45000</v>
      </c>
      <c r="C2849" t="str">
        <f t="shared" si="44"/>
        <v>5. $1M+</v>
      </c>
      <c r="D2849" t="s">
        <v>1008</v>
      </c>
      <c r="E2849" t="s">
        <v>112</v>
      </c>
      <c r="F2849" t="s">
        <v>668</v>
      </c>
      <c r="G2849" t="s">
        <v>59</v>
      </c>
      <c r="H2849">
        <v>2023</v>
      </c>
    </row>
    <row r="2850" spans="1:8" x14ac:dyDescent="0.2">
      <c r="A2850">
        <v>226002</v>
      </c>
      <c r="B2850">
        <v>2673731</v>
      </c>
      <c r="C2850" t="str">
        <f t="shared" si="44"/>
        <v>2. $10K-50K</v>
      </c>
      <c r="D2850" t="s">
        <v>197</v>
      </c>
      <c r="E2850" t="s">
        <v>8</v>
      </c>
      <c r="F2850" t="s">
        <v>14</v>
      </c>
      <c r="G2850" t="s">
        <v>15</v>
      </c>
      <c r="H2850">
        <v>2024</v>
      </c>
    </row>
    <row r="2851" spans="1:8" x14ac:dyDescent="0.2">
      <c r="A2851">
        <v>226008</v>
      </c>
      <c r="B2851">
        <v>267805.5</v>
      </c>
      <c r="C2851" t="str">
        <f t="shared" si="44"/>
        <v>5. $1M+</v>
      </c>
      <c r="D2851" t="s">
        <v>1024</v>
      </c>
      <c r="E2851" t="s">
        <v>42</v>
      </c>
      <c r="F2851" t="s">
        <v>670</v>
      </c>
      <c r="G2851" t="s">
        <v>59</v>
      </c>
      <c r="H2851">
        <v>2023</v>
      </c>
    </row>
    <row r="2852" spans="1:8" x14ac:dyDescent="0.2">
      <c r="A2852">
        <v>226134</v>
      </c>
      <c r="B2852">
        <v>4065792.5</v>
      </c>
      <c r="C2852" t="str">
        <f t="shared" si="44"/>
        <v>4. $250K-1M</v>
      </c>
      <c r="D2852" t="s">
        <v>83</v>
      </c>
      <c r="E2852" t="s">
        <v>24</v>
      </c>
      <c r="F2852" t="s">
        <v>22</v>
      </c>
      <c r="G2852" t="s">
        <v>10</v>
      </c>
      <c r="H2852">
        <v>2023</v>
      </c>
    </row>
    <row r="2853" spans="1:8" x14ac:dyDescent="0.2">
      <c r="A2853">
        <v>226163</v>
      </c>
      <c r="B2853">
        <v>548981</v>
      </c>
      <c r="C2853" t="str">
        <f t="shared" si="44"/>
        <v>5. $1M+</v>
      </c>
      <c r="D2853" t="s">
        <v>721</v>
      </c>
      <c r="E2853" t="s">
        <v>237</v>
      </c>
      <c r="F2853" t="s">
        <v>670</v>
      </c>
      <c r="G2853" t="s">
        <v>59</v>
      </c>
      <c r="H2853">
        <v>2023</v>
      </c>
    </row>
    <row r="2854" spans="1:8" x14ac:dyDescent="0.2">
      <c r="A2854">
        <v>226164</v>
      </c>
      <c r="B2854">
        <v>57375</v>
      </c>
      <c r="C2854" t="str">
        <f t="shared" si="44"/>
        <v>4. $250K-1M</v>
      </c>
      <c r="D2854" t="s">
        <v>839</v>
      </c>
      <c r="E2854" t="s">
        <v>237</v>
      </c>
      <c r="F2854" t="s">
        <v>670</v>
      </c>
      <c r="G2854" t="s">
        <v>59</v>
      </c>
      <c r="H2854">
        <v>2023</v>
      </c>
    </row>
    <row r="2855" spans="1:8" x14ac:dyDescent="0.2">
      <c r="A2855">
        <v>226165</v>
      </c>
      <c r="B2855">
        <v>130000</v>
      </c>
      <c r="C2855" t="str">
        <f t="shared" si="44"/>
        <v>3. $50K-250K</v>
      </c>
      <c r="D2855" t="s">
        <v>852</v>
      </c>
      <c r="E2855" t="s">
        <v>237</v>
      </c>
      <c r="F2855" t="s">
        <v>670</v>
      </c>
      <c r="G2855" t="s">
        <v>59</v>
      </c>
      <c r="H2855">
        <v>2023</v>
      </c>
    </row>
    <row r="2856" spans="1:8" x14ac:dyDescent="0.2">
      <c r="A2856">
        <v>226166</v>
      </c>
      <c r="B2856">
        <v>54000</v>
      </c>
      <c r="C2856" t="str">
        <f t="shared" si="44"/>
        <v>3. $50K-250K</v>
      </c>
      <c r="D2856" t="s">
        <v>839</v>
      </c>
      <c r="E2856" t="s">
        <v>237</v>
      </c>
      <c r="F2856" t="s">
        <v>670</v>
      </c>
      <c r="G2856" t="s">
        <v>59</v>
      </c>
      <c r="H2856">
        <v>2023</v>
      </c>
    </row>
    <row r="2857" spans="1:8" x14ac:dyDescent="0.2">
      <c r="A2857">
        <v>226167</v>
      </c>
      <c r="B2857">
        <v>81000</v>
      </c>
      <c r="C2857" t="str">
        <f t="shared" si="44"/>
        <v>3. $50K-250K</v>
      </c>
      <c r="D2857" t="s">
        <v>783</v>
      </c>
      <c r="E2857" t="s">
        <v>237</v>
      </c>
      <c r="F2857" t="s">
        <v>670</v>
      </c>
      <c r="G2857" t="s">
        <v>59</v>
      </c>
      <c r="H2857">
        <v>2023</v>
      </c>
    </row>
    <row r="2858" spans="1:8" x14ac:dyDescent="0.2">
      <c r="A2858">
        <v>226168</v>
      </c>
      <c r="B2858">
        <v>144000</v>
      </c>
      <c r="C2858" t="str">
        <f t="shared" si="44"/>
        <v>3. $50K-250K</v>
      </c>
      <c r="D2858" t="s">
        <v>713</v>
      </c>
      <c r="E2858" t="s">
        <v>237</v>
      </c>
      <c r="F2858" t="s">
        <v>670</v>
      </c>
      <c r="G2858" t="s">
        <v>59</v>
      </c>
      <c r="H2858">
        <v>2023</v>
      </c>
    </row>
    <row r="2859" spans="1:8" x14ac:dyDescent="0.2">
      <c r="A2859">
        <v>226169</v>
      </c>
      <c r="B2859">
        <v>80000</v>
      </c>
      <c r="C2859" t="str">
        <f t="shared" si="44"/>
        <v>3. $50K-250K</v>
      </c>
      <c r="D2859" t="s">
        <v>1215</v>
      </c>
      <c r="E2859" t="s">
        <v>237</v>
      </c>
      <c r="F2859" t="s">
        <v>670</v>
      </c>
      <c r="G2859" t="s">
        <v>59</v>
      </c>
      <c r="H2859">
        <v>2023</v>
      </c>
    </row>
    <row r="2860" spans="1:8" x14ac:dyDescent="0.2">
      <c r="A2860">
        <v>226170</v>
      </c>
      <c r="B2860">
        <v>54000</v>
      </c>
      <c r="C2860" t="str">
        <f t="shared" si="44"/>
        <v>3. $50K-250K</v>
      </c>
      <c r="D2860" t="s">
        <v>779</v>
      </c>
      <c r="E2860" t="s">
        <v>237</v>
      </c>
      <c r="F2860" t="s">
        <v>670</v>
      </c>
      <c r="G2860" t="s">
        <v>59</v>
      </c>
      <c r="H2860">
        <v>2023</v>
      </c>
    </row>
    <row r="2861" spans="1:8" x14ac:dyDescent="0.2">
      <c r="A2861">
        <v>226171</v>
      </c>
      <c r="B2861">
        <v>48000</v>
      </c>
      <c r="C2861" t="str">
        <f t="shared" si="44"/>
        <v>3. $50K-250K</v>
      </c>
      <c r="D2861" t="s">
        <v>713</v>
      </c>
      <c r="E2861" t="s">
        <v>237</v>
      </c>
      <c r="F2861" t="s">
        <v>670</v>
      </c>
      <c r="G2861" t="s">
        <v>59</v>
      </c>
      <c r="H2861">
        <v>2023</v>
      </c>
    </row>
    <row r="2862" spans="1:8" x14ac:dyDescent="0.2">
      <c r="A2862">
        <v>226172</v>
      </c>
      <c r="B2862">
        <v>72000</v>
      </c>
      <c r="C2862" t="str">
        <f t="shared" si="44"/>
        <v>2. $10K-50K</v>
      </c>
      <c r="D2862" t="s">
        <v>972</v>
      </c>
      <c r="E2862" t="s">
        <v>237</v>
      </c>
      <c r="F2862" t="s">
        <v>670</v>
      </c>
      <c r="G2862" t="s">
        <v>59</v>
      </c>
      <c r="H2862">
        <v>2023</v>
      </c>
    </row>
    <row r="2863" spans="1:8" x14ac:dyDescent="0.2">
      <c r="A2863">
        <v>226204</v>
      </c>
      <c r="B2863">
        <v>18000</v>
      </c>
      <c r="C2863" t="str">
        <f t="shared" si="44"/>
        <v>3. $50K-250K</v>
      </c>
      <c r="D2863" t="s">
        <v>1519</v>
      </c>
      <c r="E2863" t="s">
        <v>112</v>
      </c>
      <c r="F2863" t="s">
        <v>668</v>
      </c>
      <c r="G2863" t="s">
        <v>59</v>
      </c>
      <c r="H2863">
        <v>2023</v>
      </c>
    </row>
    <row r="2864" spans="1:8" x14ac:dyDescent="0.2">
      <c r="A2864">
        <v>226205</v>
      </c>
      <c r="B2864">
        <v>24000</v>
      </c>
      <c r="C2864" t="str">
        <f t="shared" si="44"/>
        <v>2. $10K-50K</v>
      </c>
      <c r="D2864" t="s">
        <v>479</v>
      </c>
      <c r="E2864" t="s">
        <v>480</v>
      </c>
      <c r="F2864" t="s">
        <v>668</v>
      </c>
      <c r="G2864" t="s">
        <v>59</v>
      </c>
      <c r="H2864">
        <v>2023</v>
      </c>
    </row>
    <row r="2865" spans="1:8" x14ac:dyDescent="0.2">
      <c r="A2865">
        <v>226206</v>
      </c>
      <c r="B2865">
        <v>10546900</v>
      </c>
      <c r="C2865" t="str">
        <f t="shared" si="44"/>
        <v>2. $10K-50K</v>
      </c>
      <c r="D2865" t="s">
        <v>1520</v>
      </c>
      <c r="E2865" t="s">
        <v>112</v>
      </c>
      <c r="F2865" t="s">
        <v>668</v>
      </c>
      <c r="G2865" t="s">
        <v>59</v>
      </c>
      <c r="H2865">
        <v>2023</v>
      </c>
    </row>
    <row r="2866" spans="1:8" x14ac:dyDescent="0.2">
      <c r="A2866">
        <v>226208</v>
      </c>
      <c r="B2866">
        <v>2500</v>
      </c>
      <c r="C2866" t="str">
        <f t="shared" si="44"/>
        <v>5. $1M+</v>
      </c>
      <c r="D2866" t="s">
        <v>1521</v>
      </c>
      <c r="E2866" t="s">
        <v>112</v>
      </c>
      <c r="F2866" t="s">
        <v>668</v>
      </c>
      <c r="G2866" t="s">
        <v>59</v>
      </c>
      <c r="H2866">
        <v>2023</v>
      </c>
    </row>
    <row r="2867" spans="1:8" x14ac:dyDescent="0.2">
      <c r="A2867">
        <v>226209</v>
      </c>
      <c r="B2867">
        <v>50000</v>
      </c>
      <c r="C2867" t="str">
        <f t="shared" si="44"/>
        <v>1. Under $10K</v>
      </c>
      <c r="D2867" t="s">
        <v>1522</v>
      </c>
      <c r="E2867" t="s">
        <v>112</v>
      </c>
      <c r="F2867" t="s">
        <v>668</v>
      </c>
      <c r="G2867" t="s">
        <v>59</v>
      </c>
      <c r="H2867">
        <v>2023</v>
      </c>
    </row>
    <row r="2868" spans="1:8" x14ac:dyDescent="0.2">
      <c r="A2868">
        <v>226210</v>
      </c>
      <c r="B2868">
        <v>39997.4</v>
      </c>
      <c r="C2868" t="str">
        <f t="shared" si="44"/>
        <v>3. $50K-250K</v>
      </c>
      <c r="D2868" t="s">
        <v>959</v>
      </c>
      <c r="E2868" t="s">
        <v>825</v>
      </c>
      <c r="F2868" t="s">
        <v>670</v>
      </c>
      <c r="G2868" t="s">
        <v>59</v>
      </c>
      <c r="H2868">
        <v>2023</v>
      </c>
    </row>
    <row r="2869" spans="1:8" x14ac:dyDescent="0.2">
      <c r="A2869">
        <v>226211</v>
      </c>
      <c r="B2869">
        <v>712000</v>
      </c>
      <c r="C2869" t="str">
        <f t="shared" si="44"/>
        <v>2. $10K-50K</v>
      </c>
      <c r="D2869" t="s">
        <v>1007</v>
      </c>
      <c r="E2869" t="s">
        <v>99</v>
      </c>
      <c r="F2869" t="s">
        <v>670</v>
      </c>
      <c r="G2869" t="s">
        <v>59</v>
      </c>
      <c r="H2869">
        <v>2023</v>
      </c>
    </row>
    <row r="2870" spans="1:8" x14ac:dyDescent="0.2">
      <c r="A2870">
        <v>226212</v>
      </c>
      <c r="B2870">
        <v>19720.3</v>
      </c>
      <c r="C2870" t="str">
        <f t="shared" si="44"/>
        <v>4. $250K-1M</v>
      </c>
      <c r="D2870" t="s">
        <v>719</v>
      </c>
      <c r="E2870" t="s">
        <v>237</v>
      </c>
      <c r="F2870" t="s">
        <v>670</v>
      </c>
      <c r="G2870" t="s">
        <v>59</v>
      </c>
      <c r="H2870">
        <v>2023</v>
      </c>
    </row>
    <row r="2871" spans="1:8" x14ac:dyDescent="0.2">
      <c r="A2871">
        <v>226218</v>
      </c>
      <c r="B2871">
        <v>715126</v>
      </c>
      <c r="C2871" t="str">
        <f t="shared" si="44"/>
        <v>2. $10K-50K</v>
      </c>
      <c r="D2871" t="s">
        <v>867</v>
      </c>
      <c r="E2871" t="s">
        <v>237</v>
      </c>
      <c r="F2871" t="s">
        <v>670</v>
      </c>
      <c r="G2871" t="s">
        <v>59</v>
      </c>
      <c r="H2871">
        <v>2023</v>
      </c>
    </row>
    <row r="2872" spans="1:8" x14ac:dyDescent="0.2">
      <c r="A2872">
        <v>226240</v>
      </c>
      <c r="B2872">
        <v>250000</v>
      </c>
      <c r="C2872" t="str">
        <f t="shared" si="44"/>
        <v>4. $250K-1M</v>
      </c>
      <c r="D2872" t="s">
        <v>1523</v>
      </c>
      <c r="E2872" t="s">
        <v>99</v>
      </c>
      <c r="F2872" t="s">
        <v>668</v>
      </c>
      <c r="G2872" t="s">
        <v>59</v>
      </c>
      <c r="H2872">
        <v>2023</v>
      </c>
    </row>
    <row r="2873" spans="1:8" x14ac:dyDescent="0.2">
      <c r="A2873">
        <v>226241</v>
      </c>
      <c r="B2873">
        <v>10000000</v>
      </c>
      <c r="C2873" t="str">
        <f t="shared" si="44"/>
        <v>4. $250K-1M</v>
      </c>
      <c r="D2873" t="s">
        <v>778</v>
      </c>
      <c r="E2873" t="s">
        <v>99</v>
      </c>
      <c r="F2873" t="s">
        <v>668</v>
      </c>
      <c r="G2873" t="s">
        <v>59</v>
      </c>
      <c r="H2873">
        <v>2023</v>
      </c>
    </row>
    <row r="2874" spans="1:8" x14ac:dyDescent="0.2">
      <c r="A2874">
        <v>226251</v>
      </c>
      <c r="B2874">
        <v>473640.5</v>
      </c>
      <c r="C2874" t="str">
        <f t="shared" si="44"/>
        <v>5. $1M+</v>
      </c>
      <c r="D2874" t="s">
        <v>669</v>
      </c>
      <c r="E2874" t="s">
        <v>42</v>
      </c>
      <c r="F2874" t="s">
        <v>670</v>
      </c>
      <c r="G2874" t="s">
        <v>59</v>
      </c>
      <c r="H2874">
        <v>2023</v>
      </c>
    </row>
    <row r="2875" spans="1:8" x14ac:dyDescent="0.2">
      <c r="A2875">
        <v>226253</v>
      </c>
      <c r="B2875">
        <v>167378.70000000001</v>
      </c>
      <c r="C2875" t="str">
        <f t="shared" si="44"/>
        <v>4. $250K-1M</v>
      </c>
      <c r="D2875" t="s">
        <v>804</v>
      </c>
      <c r="E2875" t="s">
        <v>42</v>
      </c>
      <c r="F2875" t="s">
        <v>670</v>
      </c>
      <c r="G2875" t="s">
        <v>59</v>
      </c>
      <c r="H2875">
        <v>2023</v>
      </c>
    </row>
    <row r="2876" spans="1:8" x14ac:dyDescent="0.2">
      <c r="A2876">
        <v>226254</v>
      </c>
      <c r="B2876">
        <v>214951.4</v>
      </c>
      <c r="C2876" t="str">
        <f t="shared" si="44"/>
        <v>3. $50K-250K</v>
      </c>
      <c r="D2876" t="s">
        <v>749</v>
      </c>
      <c r="E2876" t="s">
        <v>42</v>
      </c>
      <c r="F2876" t="s">
        <v>670</v>
      </c>
      <c r="G2876" t="s">
        <v>59</v>
      </c>
      <c r="H2876">
        <v>2023</v>
      </c>
    </row>
    <row r="2877" spans="1:8" x14ac:dyDescent="0.2">
      <c r="A2877">
        <v>226255</v>
      </c>
      <c r="B2877">
        <v>150000</v>
      </c>
      <c r="C2877" t="str">
        <f t="shared" si="44"/>
        <v>3. $50K-250K</v>
      </c>
      <c r="D2877" t="s">
        <v>1419</v>
      </c>
      <c r="E2877" t="s">
        <v>42</v>
      </c>
      <c r="F2877" t="s">
        <v>670</v>
      </c>
      <c r="G2877" t="s">
        <v>59</v>
      </c>
      <c r="H2877">
        <v>2023</v>
      </c>
    </row>
    <row r="2878" spans="1:8" x14ac:dyDescent="0.2">
      <c r="A2878">
        <v>226256</v>
      </c>
      <c r="B2878">
        <v>90253.4</v>
      </c>
      <c r="C2878" t="str">
        <f t="shared" si="44"/>
        <v>3. $50K-250K</v>
      </c>
      <c r="D2878" t="s">
        <v>676</v>
      </c>
      <c r="E2878" t="s">
        <v>42</v>
      </c>
      <c r="F2878" t="s">
        <v>670</v>
      </c>
      <c r="G2878" t="s">
        <v>59</v>
      </c>
      <c r="H2878">
        <v>2023</v>
      </c>
    </row>
    <row r="2879" spans="1:8" x14ac:dyDescent="0.2">
      <c r="A2879">
        <v>226257</v>
      </c>
      <c r="B2879">
        <v>149795.1</v>
      </c>
      <c r="C2879" t="str">
        <f t="shared" si="44"/>
        <v>3. $50K-250K</v>
      </c>
      <c r="D2879" t="s">
        <v>864</v>
      </c>
      <c r="E2879" t="s">
        <v>42</v>
      </c>
      <c r="F2879" t="s">
        <v>670</v>
      </c>
      <c r="G2879" t="s">
        <v>59</v>
      </c>
      <c r="H2879">
        <v>2023</v>
      </c>
    </row>
    <row r="2880" spans="1:8" x14ac:dyDescent="0.2">
      <c r="A2880">
        <v>226258</v>
      </c>
      <c r="B2880">
        <v>86835.5</v>
      </c>
      <c r="C2880" t="str">
        <f t="shared" si="44"/>
        <v>3. $50K-250K</v>
      </c>
      <c r="D2880" t="s">
        <v>691</v>
      </c>
      <c r="E2880" t="s">
        <v>42</v>
      </c>
      <c r="F2880" t="s">
        <v>670</v>
      </c>
      <c r="G2880" t="s">
        <v>59</v>
      </c>
      <c r="H2880">
        <v>2023</v>
      </c>
    </row>
    <row r="2881" spans="1:8" x14ac:dyDescent="0.2">
      <c r="A2881">
        <v>226259</v>
      </c>
      <c r="B2881">
        <v>742157.5</v>
      </c>
      <c r="C2881" t="str">
        <f t="shared" si="44"/>
        <v>3. $50K-250K</v>
      </c>
      <c r="D2881" t="s">
        <v>674</v>
      </c>
      <c r="E2881" t="s">
        <v>42</v>
      </c>
      <c r="F2881" t="s">
        <v>670</v>
      </c>
      <c r="G2881" t="s">
        <v>59</v>
      </c>
      <c r="H2881">
        <v>2023</v>
      </c>
    </row>
    <row r="2882" spans="1:8" x14ac:dyDescent="0.2">
      <c r="A2882">
        <v>226260</v>
      </c>
      <c r="B2882">
        <v>200930.2</v>
      </c>
      <c r="C2882" t="str">
        <f t="shared" si="44"/>
        <v>4. $250K-1M</v>
      </c>
      <c r="D2882" t="s">
        <v>1524</v>
      </c>
      <c r="E2882" t="s">
        <v>42</v>
      </c>
      <c r="F2882" t="s">
        <v>670</v>
      </c>
      <c r="G2882" t="s">
        <v>59</v>
      </c>
      <c r="H2882">
        <v>2023</v>
      </c>
    </row>
    <row r="2883" spans="1:8" x14ac:dyDescent="0.2">
      <c r="A2883">
        <v>226261</v>
      </c>
      <c r="B2883">
        <v>230644.3</v>
      </c>
      <c r="C2883" t="str">
        <f t="shared" ref="C2883:C2946" si="45">IF(B2882&lt;10000,"1. Under $10K",IF(B2882&lt;50000,"2. $10K-50K",IF(B2882&lt;250000,"3. $50K-250K",IF(B2882&lt;1000000,"4. $250K-1M","5. $1M+"))))</f>
        <v>3. $50K-250K</v>
      </c>
      <c r="D2883" t="s">
        <v>674</v>
      </c>
      <c r="E2883" t="s">
        <v>42</v>
      </c>
      <c r="F2883" t="s">
        <v>670</v>
      </c>
      <c r="G2883" t="s">
        <v>59</v>
      </c>
      <c r="H2883">
        <v>2023</v>
      </c>
    </row>
    <row r="2884" spans="1:8" x14ac:dyDescent="0.2">
      <c r="A2884">
        <v>226262</v>
      </c>
      <c r="B2884">
        <v>800563.19999999995</v>
      </c>
      <c r="C2884" t="str">
        <f t="shared" si="45"/>
        <v>3. $50K-250K</v>
      </c>
      <c r="D2884" t="s">
        <v>669</v>
      </c>
      <c r="E2884" t="s">
        <v>42</v>
      </c>
      <c r="F2884" t="s">
        <v>670</v>
      </c>
      <c r="G2884" t="s">
        <v>59</v>
      </c>
      <c r="H2884">
        <v>2023</v>
      </c>
    </row>
    <row r="2885" spans="1:8" x14ac:dyDescent="0.2">
      <c r="A2885">
        <v>226294</v>
      </c>
      <c r="B2885">
        <v>208200</v>
      </c>
      <c r="C2885" t="str">
        <f t="shared" si="45"/>
        <v>4. $250K-1M</v>
      </c>
      <c r="D2885" t="s">
        <v>1525</v>
      </c>
      <c r="E2885" t="s">
        <v>99</v>
      </c>
      <c r="F2885" t="s">
        <v>668</v>
      </c>
      <c r="G2885" t="s">
        <v>59</v>
      </c>
      <c r="H2885">
        <v>2023</v>
      </c>
    </row>
    <row r="2886" spans="1:8" x14ac:dyDescent="0.2">
      <c r="A2886">
        <v>226295</v>
      </c>
      <c r="B2886">
        <v>178428.79999999999</v>
      </c>
      <c r="C2886" t="str">
        <f t="shared" si="45"/>
        <v>3. $50K-250K</v>
      </c>
      <c r="D2886" t="s">
        <v>1526</v>
      </c>
      <c r="E2886" t="s">
        <v>99</v>
      </c>
      <c r="F2886" t="s">
        <v>668</v>
      </c>
      <c r="G2886" t="s">
        <v>59</v>
      </c>
      <c r="H2886">
        <v>2023</v>
      </c>
    </row>
    <row r="2887" spans="1:8" x14ac:dyDescent="0.2">
      <c r="A2887">
        <v>226299</v>
      </c>
      <c r="B2887">
        <v>5000000</v>
      </c>
      <c r="C2887" t="str">
        <f t="shared" si="45"/>
        <v>3. $50K-250K</v>
      </c>
      <c r="D2887" t="s">
        <v>1372</v>
      </c>
      <c r="E2887" t="s">
        <v>99</v>
      </c>
      <c r="F2887" t="s">
        <v>668</v>
      </c>
      <c r="G2887" t="s">
        <v>59</v>
      </c>
      <c r="H2887">
        <v>2023</v>
      </c>
    </row>
    <row r="2888" spans="1:8" x14ac:dyDescent="0.2">
      <c r="A2888">
        <v>226301</v>
      </c>
      <c r="B2888">
        <v>1200000</v>
      </c>
      <c r="C2888" t="str">
        <f t="shared" si="45"/>
        <v>5. $1M+</v>
      </c>
      <c r="D2888" t="s">
        <v>1527</v>
      </c>
      <c r="E2888" t="s">
        <v>99</v>
      </c>
      <c r="F2888" t="s">
        <v>668</v>
      </c>
      <c r="G2888" t="s">
        <v>59</v>
      </c>
      <c r="H2888">
        <v>2023</v>
      </c>
    </row>
    <row r="2889" spans="1:8" x14ac:dyDescent="0.2">
      <c r="A2889">
        <v>226347</v>
      </c>
      <c r="B2889">
        <v>20073.3</v>
      </c>
      <c r="C2889" t="str">
        <f t="shared" si="45"/>
        <v>5. $1M+</v>
      </c>
      <c r="D2889" t="s">
        <v>980</v>
      </c>
      <c r="E2889" t="s">
        <v>237</v>
      </c>
      <c r="F2889" t="s">
        <v>670</v>
      </c>
      <c r="G2889" t="s">
        <v>59</v>
      </c>
      <c r="H2889">
        <v>2023</v>
      </c>
    </row>
    <row r="2890" spans="1:8" x14ac:dyDescent="0.2">
      <c r="A2890">
        <v>226349</v>
      </c>
      <c r="B2890">
        <v>42475.1</v>
      </c>
      <c r="C2890" t="str">
        <f t="shared" si="45"/>
        <v>2. $10K-50K</v>
      </c>
      <c r="D2890" t="s">
        <v>809</v>
      </c>
      <c r="E2890" t="s">
        <v>825</v>
      </c>
      <c r="F2890" t="s">
        <v>670</v>
      </c>
      <c r="G2890" t="s">
        <v>59</v>
      </c>
      <c r="H2890">
        <v>2023</v>
      </c>
    </row>
    <row r="2891" spans="1:8" x14ac:dyDescent="0.2">
      <c r="A2891">
        <v>226366</v>
      </c>
      <c r="B2891">
        <v>81000</v>
      </c>
      <c r="C2891" t="str">
        <f t="shared" si="45"/>
        <v>2. $10K-50K</v>
      </c>
      <c r="D2891" t="s">
        <v>679</v>
      </c>
      <c r="E2891" t="s">
        <v>237</v>
      </c>
      <c r="F2891" t="s">
        <v>670</v>
      </c>
      <c r="G2891" t="s">
        <v>59</v>
      </c>
      <c r="H2891">
        <v>2023</v>
      </c>
    </row>
    <row r="2892" spans="1:8" x14ac:dyDescent="0.2">
      <c r="A2892">
        <v>226367</v>
      </c>
      <c r="B2892">
        <v>54000</v>
      </c>
      <c r="C2892" t="str">
        <f t="shared" si="45"/>
        <v>3. $50K-250K</v>
      </c>
      <c r="D2892" t="s">
        <v>1066</v>
      </c>
      <c r="E2892" t="s">
        <v>237</v>
      </c>
      <c r="F2892" t="s">
        <v>670</v>
      </c>
      <c r="G2892" t="s">
        <v>59</v>
      </c>
      <c r="H2892">
        <v>2023</v>
      </c>
    </row>
    <row r="2893" spans="1:8" x14ac:dyDescent="0.2">
      <c r="A2893">
        <v>226369</v>
      </c>
      <c r="B2893">
        <v>216000</v>
      </c>
      <c r="C2893" t="str">
        <f t="shared" si="45"/>
        <v>3. $50K-250K</v>
      </c>
      <c r="D2893" t="s">
        <v>726</v>
      </c>
      <c r="E2893" t="s">
        <v>237</v>
      </c>
      <c r="F2893" t="s">
        <v>670</v>
      </c>
      <c r="G2893" t="s">
        <v>59</v>
      </c>
      <c r="H2893">
        <v>2023</v>
      </c>
    </row>
    <row r="2894" spans="1:8" x14ac:dyDescent="0.2">
      <c r="A2894">
        <v>226370</v>
      </c>
      <c r="B2894">
        <v>54000</v>
      </c>
      <c r="C2894" t="str">
        <f t="shared" si="45"/>
        <v>3. $50K-250K</v>
      </c>
      <c r="D2894" t="s">
        <v>708</v>
      </c>
      <c r="E2894" t="s">
        <v>237</v>
      </c>
      <c r="F2894" t="s">
        <v>670</v>
      </c>
      <c r="G2894" t="s">
        <v>59</v>
      </c>
      <c r="H2894">
        <v>2023</v>
      </c>
    </row>
    <row r="2895" spans="1:8" x14ac:dyDescent="0.2">
      <c r="A2895">
        <v>226371</v>
      </c>
      <c r="B2895">
        <v>54000</v>
      </c>
      <c r="C2895" t="str">
        <f t="shared" si="45"/>
        <v>3. $50K-250K</v>
      </c>
      <c r="D2895" t="s">
        <v>708</v>
      </c>
      <c r="E2895" t="s">
        <v>237</v>
      </c>
      <c r="F2895" t="s">
        <v>670</v>
      </c>
      <c r="G2895" t="s">
        <v>59</v>
      </c>
      <c r="H2895">
        <v>2023</v>
      </c>
    </row>
    <row r="2896" spans="1:8" x14ac:dyDescent="0.2">
      <c r="A2896">
        <v>226372</v>
      </c>
      <c r="B2896">
        <v>81000</v>
      </c>
      <c r="C2896" t="str">
        <f t="shared" si="45"/>
        <v>3. $50K-250K</v>
      </c>
      <c r="D2896" t="s">
        <v>801</v>
      </c>
      <c r="E2896" t="s">
        <v>237</v>
      </c>
      <c r="F2896" t="s">
        <v>670</v>
      </c>
      <c r="G2896" t="s">
        <v>59</v>
      </c>
      <c r="H2896">
        <v>2023</v>
      </c>
    </row>
    <row r="2897" spans="1:8" x14ac:dyDescent="0.2">
      <c r="A2897">
        <v>226373</v>
      </c>
      <c r="B2897">
        <v>54000</v>
      </c>
      <c r="C2897" t="str">
        <f t="shared" si="45"/>
        <v>3. $50K-250K</v>
      </c>
      <c r="D2897" t="s">
        <v>1070</v>
      </c>
      <c r="E2897" t="s">
        <v>237</v>
      </c>
      <c r="F2897" t="s">
        <v>670</v>
      </c>
      <c r="G2897" t="s">
        <v>59</v>
      </c>
      <c r="H2897">
        <v>2023</v>
      </c>
    </row>
    <row r="2898" spans="1:8" x14ac:dyDescent="0.2">
      <c r="A2898">
        <v>226374</v>
      </c>
      <c r="B2898">
        <v>54000</v>
      </c>
      <c r="C2898" t="str">
        <f t="shared" si="45"/>
        <v>3. $50K-250K</v>
      </c>
      <c r="D2898" t="s">
        <v>909</v>
      </c>
      <c r="E2898" t="s">
        <v>237</v>
      </c>
      <c r="F2898" t="s">
        <v>670</v>
      </c>
      <c r="G2898" t="s">
        <v>59</v>
      </c>
      <c r="H2898">
        <v>2023</v>
      </c>
    </row>
    <row r="2899" spans="1:8" x14ac:dyDescent="0.2">
      <c r="A2899">
        <v>226375</v>
      </c>
      <c r="B2899">
        <v>300330.59999999998</v>
      </c>
      <c r="C2899" t="str">
        <f t="shared" si="45"/>
        <v>3. $50K-250K</v>
      </c>
      <c r="D2899" t="s">
        <v>878</v>
      </c>
      <c r="E2899" t="s">
        <v>237</v>
      </c>
      <c r="F2899" t="s">
        <v>670</v>
      </c>
      <c r="G2899" t="s">
        <v>59</v>
      </c>
      <c r="H2899">
        <v>2023</v>
      </c>
    </row>
    <row r="2900" spans="1:8" x14ac:dyDescent="0.2">
      <c r="A2900">
        <v>226376</v>
      </c>
      <c r="B2900">
        <v>54000</v>
      </c>
      <c r="C2900" t="str">
        <f t="shared" si="45"/>
        <v>4. $250K-1M</v>
      </c>
      <c r="D2900" t="s">
        <v>702</v>
      </c>
      <c r="E2900" t="s">
        <v>237</v>
      </c>
      <c r="F2900" t="s">
        <v>670</v>
      </c>
      <c r="G2900" t="s">
        <v>59</v>
      </c>
      <c r="H2900">
        <v>2023</v>
      </c>
    </row>
    <row r="2901" spans="1:8" x14ac:dyDescent="0.2">
      <c r="A2901">
        <v>226378</v>
      </c>
      <c r="B2901">
        <v>174402</v>
      </c>
      <c r="C2901" t="str">
        <f t="shared" si="45"/>
        <v>3. $50K-250K</v>
      </c>
      <c r="D2901" t="s">
        <v>852</v>
      </c>
      <c r="E2901" t="s">
        <v>237</v>
      </c>
      <c r="F2901" t="s">
        <v>670</v>
      </c>
      <c r="G2901" t="s">
        <v>59</v>
      </c>
      <c r="H2901">
        <v>2023</v>
      </c>
    </row>
    <row r="2902" spans="1:8" x14ac:dyDescent="0.2">
      <c r="A2902">
        <v>226379</v>
      </c>
      <c r="B2902">
        <v>64227</v>
      </c>
      <c r="C2902" t="str">
        <f t="shared" si="45"/>
        <v>3. $50K-250K</v>
      </c>
      <c r="D2902" t="s">
        <v>1436</v>
      </c>
      <c r="E2902" t="s">
        <v>432</v>
      </c>
      <c r="F2902" t="s">
        <v>670</v>
      </c>
      <c r="G2902" t="s">
        <v>59</v>
      </c>
      <c r="H2902">
        <v>2023</v>
      </c>
    </row>
    <row r="2903" spans="1:8" x14ac:dyDescent="0.2">
      <c r="A2903">
        <v>226380</v>
      </c>
      <c r="B2903">
        <v>81800</v>
      </c>
      <c r="C2903" t="str">
        <f t="shared" si="45"/>
        <v>3. $50K-250K</v>
      </c>
      <c r="D2903" t="s">
        <v>719</v>
      </c>
      <c r="E2903" t="s">
        <v>237</v>
      </c>
      <c r="F2903" t="s">
        <v>670</v>
      </c>
      <c r="G2903" t="s">
        <v>59</v>
      </c>
      <c r="H2903">
        <v>2023</v>
      </c>
    </row>
    <row r="2904" spans="1:8" x14ac:dyDescent="0.2">
      <c r="A2904">
        <v>226381</v>
      </c>
      <c r="B2904">
        <v>55000</v>
      </c>
      <c r="C2904" t="str">
        <f t="shared" si="45"/>
        <v>3. $50K-250K</v>
      </c>
      <c r="D2904" t="s">
        <v>815</v>
      </c>
      <c r="E2904" t="s">
        <v>432</v>
      </c>
      <c r="F2904" t="s">
        <v>670</v>
      </c>
      <c r="G2904" t="s">
        <v>59</v>
      </c>
      <c r="H2904">
        <v>2023</v>
      </c>
    </row>
    <row r="2905" spans="1:8" x14ac:dyDescent="0.2">
      <c r="A2905">
        <v>226382</v>
      </c>
      <c r="B2905">
        <v>6494000</v>
      </c>
      <c r="C2905" t="str">
        <f t="shared" si="45"/>
        <v>3. $50K-250K</v>
      </c>
      <c r="D2905" t="s">
        <v>852</v>
      </c>
      <c r="E2905" t="s">
        <v>237</v>
      </c>
      <c r="F2905" t="s">
        <v>670</v>
      </c>
      <c r="G2905" t="s">
        <v>59</v>
      </c>
      <c r="H2905">
        <v>2023</v>
      </c>
    </row>
    <row r="2906" spans="1:8" x14ac:dyDescent="0.2">
      <c r="A2906">
        <v>226383</v>
      </c>
      <c r="B2906">
        <v>25000</v>
      </c>
      <c r="C2906" t="str">
        <f t="shared" si="45"/>
        <v>5. $1M+</v>
      </c>
      <c r="D2906" t="s">
        <v>815</v>
      </c>
      <c r="E2906" t="s">
        <v>432</v>
      </c>
      <c r="F2906" t="s">
        <v>670</v>
      </c>
      <c r="G2906" t="s">
        <v>59</v>
      </c>
      <c r="H2906">
        <v>2023</v>
      </c>
    </row>
    <row r="2907" spans="1:8" x14ac:dyDescent="0.2">
      <c r="A2907">
        <v>226384</v>
      </c>
      <c r="B2907">
        <v>588251.19999999995</v>
      </c>
      <c r="C2907" t="str">
        <f t="shared" si="45"/>
        <v>2. $10K-50K</v>
      </c>
      <c r="D2907" t="s">
        <v>694</v>
      </c>
      <c r="E2907" t="s">
        <v>237</v>
      </c>
      <c r="F2907" t="s">
        <v>670</v>
      </c>
      <c r="G2907" t="s">
        <v>59</v>
      </c>
      <c r="H2907">
        <v>2023</v>
      </c>
    </row>
    <row r="2908" spans="1:8" x14ac:dyDescent="0.2">
      <c r="A2908">
        <v>226385</v>
      </c>
      <c r="B2908">
        <v>54000</v>
      </c>
      <c r="C2908" t="str">
        <f t="shared" si="45"/>
        <v>4. $250K-1M</v>
      </c>
      <c r="D2908" t="s">
        <v>698</v>
      </c>
      <c r="E2908" t="s">
        <v>237</v>
      </c>
      <c r="F2908" t="s">
        <v>670</v>
      </c>
      <c r="G2908" t="s">
        <v>59</v>
      </c>
      <c r="H2908">
        <v>2023</v>
      </c>
    </row>
    <row r="2909" spans="1:8" x14ac:dyDescent="0.2">
      <c r="A2909">
        <v>226386</v>
      </c>
      <c r="B2909">
        <v>54000</v>
      </c>
      <c r="C2909" t="str">
        <f t="shared" si="45"/>
        <v>3. $50K-250K</v>
      </c>
      <c r="D2909" t="s">
        <v>937</v>
      </c>
      <c r="E2909" t="s">
        <v>237</v>
      </c>
      <c r="F2909" t="s">
        <v>670</v>
      </c>
      <c r="G2909" t="s">
        <v>59</v>
      </c>
      <c r="H2909">
        <v>2023</v>
      </c>
    </row>
    <row r="2910" spans="1:8" x14ac:dyDescent="0.2">
      <c r="A2910">
        <v>226387</v>
      </c>
      <c r="B2910">
        <v>20608</v>
      </c>
      <c r="C2910" t="str">
        <f t="shared" si="45"/>
        <v>3. $50K-250K</v>
      </c>
      <c r="D2910" t="s">
        <v>990</v>
      </c>
      <c r="E2910" t="s">
        <v>237</v>
      </c>
      <c r="F2910" t="s">
        <v>670</v>
      </c>
      <c r="G2910" t="s">
        <v>59</v>
      </c>
      <c r="H2910">
        <v>2023</v>
      </c>
    </row>
    <row r="2911" spans="1:8" x14ac:dyDescent="0.2">
      <c r="A2911">
        <v>226388</v>
      </c>
      <c r="B2911">
        <v>72000</v>
      </c>
      <c r="C2911" t="str">
        <f t="shared" si="45"/>
        <v>2. $10K-50K</v>
      </c>
      <c r="D2911" t="s">
        <v>1101</v>
      </c>
      <c r="E2911" t="s">
        <v>237</v>
      </c>
      <c r="F2911" t="s">
        <v>670</v>
      </c>
      <c r="G2911" t="s">
        <v>59</v>
      </c>
      <c r="H2911">
        <v>2023</v>
      </c>
    </row>
    <row r="2912" spans="1:8" x14ac:dyDescent="0.2">
      <c r="A2912">
        <v>226389</v>
      </c>
      <c r="B2912">
        <v>20000</v>
      </c>
      <c r="C2912" t="str">
        <f t="shared" si="45"/>
        <v>3. $50K-250K</v>
      </c>
      <c r="D2912" t="s">
        <v>943</v>
      </c>
      <c r="E2912" t="s">
        <v>432</v>
      </c>
      <c r="F2912" t="s">
        <v>670</v>
      </c>
      <c r="G2912" t="s">
        <v>59</v>
      </c>
      <c r="H2912">
        <v>2023</v>
      </c>
    </row>
    <row r="2913" spans="1:8" x14ac:dyDescent="0.2">
      <c r="A2913">
        <v>226390</v>
      </c>
      <c r="B2913">
        <v>2500</v>
      </c>
      <c r="C2913" t="str">
        <f t="shared" si="45"/>
        <v>2. $10K-50K</v>
      </c>
      <c r="D2913" t="s">
        <v>1528</v>
      </c>
      <c r="E2913" t="s">
        <v>112</v>
      </c>
      <c r="F2913" t="s">
        <v>668</v>
      </c>
      <c r="G2913" t="s">
        <v>59</v>
      </c>
      <c r="H2913">
        <v>2023</v>
      </c>
    </row>
    <row r="2914" spans="1:8" x14ac:dyDescent="0.2">
      <c r="A2914">
        <v>226391</v>
      </c>
      <c r="B2914">
        <v>895000</v>
      </c>
      <c r="C2914" t="str">
        <f t="shared" si="45"/>
        <v>1. Under $10K</v>
      </c>
      <c r="D2914" t="s">
        <v>924</v>
      </c>
      <c r="E2914" t="s">
        <v>237</v>
      </c>
      <c r="F2914" t="s">
        <v>670</v>
      </c>
      <c r="G2914" t="s">
        <v>59</v>
      </c>
      <c r="H2914">
        <v>2023</v>
      </c>
    </row>
    <row r="2915" spans="1:8" x14ac:dyDescent="0.2">
      <c r="A2915">
        <v>226395</v>
      </c>
      <c r="B2915">
        <v>227000</v>
      </c>
      <c r="C2915" t="str">
        <f t="shared" si="45"/>
        <v>4. $250K-1M</v>
      </c>
      <c r="D2915" t="s">
        <v>874</v>
      </c>
      <c r="E2915" t="s">
        <v>237</v>
      </c>
      <c r="F2915" t="s">
        <v>670</v>
      </c>
      <c r="G2915" t="s">
        <v>59</v>
      </c>
      <c r="H2915">
        <v>2023</v>
      </c>
    </row>
    <row r="2916" spans="1:8" x14ac:dyDescent="0.2">
      <c r="A2916">
        <v>226396</v>
      </c>
      <c r="B2916">
        <v>249032</v>
      </c>
      <c r="C2916" t="str">
        <f t="shared" si="45"/>
        <v>3. $50K-250K</v>
      </c>
      <c r="D2916" t="s">
        <v>852</v>
      </c>
      <c r="E2916" t="s">
        <v>237</v>
      </c>
      <c r="F2916" t="s">
        <v>670</v>
      </c>
      <c r="G2916" t="s">
        <v>59</v>
      </c>
      <c r="H2916">
        <v>2023</v>
      </c>
    </row>
    <row r="2917" spans="1:8" x14ac:dyDescent="0.2">
      <c r="A2917">
        <v>226397</v>
      </c>
      <c r="B2917">
        <v>157575</v>
      </c>
      <c r="C2917" t="str">
        <f t="shared" si="45"/>
        <v>3. $50K-250K</v>
      </c>
      <c r="D2917" t="s">
        <v>867</v>
      </c>
      <c r="E2917" t="s">
        <v>237</v>
      </c>
      <c r="F2917" t="s">
        <v>670</v>
      </c>
      <c r="G2917" t="s">
        <v>59</v>
      </c>
      <c r="H2917">
        <v>2023</v>
      </c>
    </row>
    <row r="2918" spans="1:8" x14ac:dyDescent="0.2">
      <c r="A2918">
        <v>226398</v>
      </c>
      <c r="B2918">
        <v>96000</v>
      </c>
      <c r="C2918" t="str">
        <f t="shared" si="45"/>
        <v>3. $50K-250K</v>
      </c>
      <c r="D2918" t="s">
        <v>1074</v>
      </c>
      <c r="E2918" t="s">
        <v>237</v>
      </c>
      <c r="F2918" t="s">
        <v>670</v>
      </c>
      <c r="G2918" t="s">
        <v>59</v>
      </c>
      <c r="H2918">
        <v>2023</v>
      </c>
    </row>
    <row r="2919" spans="1:8" x14ac:dyDescent="0.2">
      <c r="A2919">
        <v>226399</v>
      </c>
      <c r="B2919">
        <v>64818.9</v>
      </c>
      <c r="C2919" t="str">
        <f t="shared" si="45"/>
        <v>3. $50K-250K</v>
      </c>
      <c r="D2919" t="s">
        <v>867</v>
      </c>
      <c r="E2919" t="s">
        <v>237</v>
      </c>
      <c r="F2919" t="s">
        <v>670</v>
      </c>
      <c r="G2919" t="s">
        <v>59</v>
      </c>
      <c r="H2919">
        <v>2023</v>
      </c>
    </row>
    <row r="2920" spans="1:8" x14ac:dyDescent="0.2">
      <c r="A2920">
        <v>226400</v>
      </c>
      <c r="B2920">
        <v>20608</v>
      </c>
      <c r="C2920" t="str">
        <f t="shared" si="45"/>
        <v>3. $50K-250K</v>
      </c>
      <c r="D2920" t="s">
        <v>925</v>
      </c>
      <c r="E2920" t="s">
        <v>237</v>
      </c>
      <c r="F2920" t="s">
        <v>670</v>
      </c>
      <c r="G2920" t="s">
        <v>59</v>
      </c>
      <c r="H2920">
        <v>2023</v>
      </c>
    </row>
    <row r="2921" spans="1:8" x14ac:dyDescent="0.2">
      <c r="A2921">
        <v>226401</v>
      </c>
      <c r="B2921">
        <v>32763.7</v>
      </c>
      <c r="C2921" t="str">
        <f t="shared" si="45"/>
        <v>2. $10K-50K</v>
      </c>
      <c r="D2921" t="s">
        <v>713</v>
      </c>
      <c r="E2921" t="s">
        <v>237</v>
      </c>
      <c r="F2921" t="s">
        <v>670</v>
      </c>
      <c r="G2921" t="s">
        <v>59</v>
      </c>
      <c r="H2921">
        <v>2023</v>
      </c>
    </row>
    <row r="2922" spans="1:8" x14ac:dyDescent="0.2">
      <c r="A2922">
        <v>226402</v>
      </c>
      <c r="B2922">
        <v>80000</v>
      </c>
      <c r="C2922" t="str">
        <f t="shared" si="45"/>
        <v>2. $10K-50K</v>
      </c>
      <c r="D2922" t="s">
        <v>1217</v>
      </c>
      <c r="E2922" t="s">
        <v>237</v>
      </c>
      <c r="F2922" t="s">
        <v>670</v>
      </c>
      <c r="G2922" t="s">
        <v>59</v>
      </c>
      <c r="H2922">
        <v>2023</v>
      </c>
    </row>
    <row r="2923" spans="1:8" x14ac:dyDescent="0.2">
      <c r="A2923">
        <v>226403</v>
      </c>
      <c r="B2923">
        <v>96000</v>
      </c>
      <c r="C2923" t="str">
        <f t="shared" si="45"/>
        <v>3. $50K-250K</v>
      </c>
      <c r="D2923" t="s">
        <v>1102</v>
      </c>
      <c r="E2923" t="s">
        <v>237</v>
      </c>
      <c r="F2923" t="s">
        <v>670</v>
      </c>
      <c r="G2923" t="s">
        <v>59</v>
      </c>
      <c r="H2923">
        <v>2023</v>
      </c>
    </row>
    <row r="2924" spans="1:8" x14ac:dyDescent="0.2">
      <c r="A2924">
        <v>226404</v>
      </c>
      <c r="B2924">
        <v>48000</v>
      </c>
      <c r="C2924" t="str">
        <f t="shared" si="45"/>
        <v>3. $50K-250K</v>
      </c>
      <c r="D2924" t="s">
        <v>749</v>
      </c>
      <c r="E2924" t="s">
        <v>237</v>
      </c>
      <c r="F2924" t="s">
        <v>670</v>
      </c>
      <c r="G2924" t="s">
        <v>59</v>
      </c>
      <c r="H2924">
        <v>2023</v>
      </c>
    </row>
    <row r="2925" spans="1:8" x14ac:dyDescent="0.2">
      <c r="A2925">
        <v>226405</v>
      </c>
      <c r="B2925">
        <v>54000</v>
      </c>
      <c r="C2925" t="str">
        <f t="shared" si="45"/>
        <v>2. $10K-50K</v>
      </c>
      <c r="D2925" t="s">
        <v>1079</v>
      </c>
      <c r="E2925" t="s">
        <v>237</v>
      </c>
      <c r="F2925" t="s">
        <v>670</v>
      </c>
      <c r="G2925" t="s">
        <v>59</v>
      </c>
      <c r="H2925">
        <v>2023</v>
      </c>
    </row>
    <row r="2926" spans="1:8" x14ac:dyDescent="0.2">
      <c r="A2926">
        <v>226406</v>
      </c>
      <c r="B2926">
        <v>54000</v>
      </c>
      <c r="C2926" t="str">
        <f t="shared" si="45"/>
        <v>3. $50K-250K</v>
      </c>
      <c r="D2926" t="s">
        <v>715</v>
      </c>
      <c r="E2926" t="s">
        <v>237</v>
      </c>
      <c r="F2926" t="s">
        <v>670</v>
      </c>
      <c r="G2926" t="s">
        <v>59</v>
      </c>
      <c r="H2926">
        <v>2023</v>
      </c>
    </row>
    <row r="2927" spans="1:8" x14ac:dyDescent="0.2">
      <c r="A2927">
        <v>226407</v>
      </c>
      <c r="B2927">
        <v>112500</v>
      </c>
      <c r="C2927" t="str">
        <f t="shared" si="45"/>
        <v>3. $50K-250K</v>
      </c>
      <c r="D2927" t="s">
        <v>856</v>
      </c>
      <c r="E2927" t="s">
        <v>237</v>
      </c>
      <c r="F2927" t="s">
        <v>670</v>
      </c>
      <c r="G2927" t="s">
        <v>59</v>
      </c>
      <c r="H2927">
        <v>2023</v>
      </c>
    </row>
    <row r="2928" spans="1:8" x14ac:dyDescent="0.2">
      <c r="A2928">
        <v>226408</v>
      </c>
      <c r="B2928">
        <v>54000</v>
      </c>
      <c r="C2928" t="str">
        <f t="shared" si="45"/>
        <v>3. $50K-250K</v>
      </c>
      <c r="D2928" t="s">
        <v>712</v>
      </c>
      <c r="E2928" t="s">
        <v>237</v>
      </c>
      <c r="F2928" t="s">
        <v>670</v>
      </c>
      <c r="G2928" t="s">
        <v>59</v>
      </c>
      <c r="H2928">
        <v>2023</v>
      </c>
    </row>
    <row r="2929" spans="1:8" x14ac:dyDescent="0.2">
      <c r="A2929">
        <v>226409</v>
      </c>
      <c r="B2929">
        <v>20222</v>
      </c>
      <c r="C2929" t="str">
        <f t="shared" si="45"/>
        <v>3. $50K-250K</v>
      </c>
      <c r="D2929" t="s">
        <v>857</v>
      </c>
      <c r="E2929" t="s">
        <v>237</v>
      </c>
      <c r="F2929" t="s">
        <v>670</v>
      </c>
      <c r="G2929" t="s">
        <v>59</v>
      </c>
      <c r="H2929">
        <v>2023</v>
      </c>
    </row>
    <row r="2930" spans="1:8" x14ac:dyDescent="0.2">
      <c r="A2930">
        <v>226410</v>
      </c>
      <c r="B2930">
        <v>96000</v>
      </c>
      <c r="C2930" t="str">
        <f t="shared" si="45"/>
        <v>2. $10K-50K</v>
      </c>
      <c r="D2930" t="s">
        <v>749</v>
      </c>
      <c r="E2930" t="s">
        <v>237</v>
      </c>
      <c r="F2930" t="s">
        <v>670</v>
      </c>
      <c r="G2930" t="s">
        <v>59</v>
      </c>
      <c r="H2930">
        <v>2023</v>
      </c>
    </row>
    <row r="2931" spans="1:8" x14ac:dyDescent="0.2">
      <c r="A2931">
        <v>226411</v>
      </c>
      <c r="B2931">
        <v>48000</v>
      </c>
      <c r="C2931" t="str">
        <f t="shared" si="45"/>
        <v>3. $50K-250K</v>
      </c>
      <c r="D2931" t="s">
        <v>713</v>
      </c>
      <c r="E2931" t="s">
        <v>237</v>
      </c>
      <c r="F2931" t="s">
        <v>670</v>
      </c>
      <c r="G2931" t="s">
        <v>59</v>
      </c>
      <c r="H2931">
        <v>2023</v>
      </c>
    </row>
    <row r="2932" spans="1:8" x14ac:dyDescent="0.2">
      <c r="A2932">
        <v>226412</v>
      </c>
      <c r="B2932">
        <v>287438</v>
      </c>
      <c r="C2932" t="str">
        <f t="shared" si="45"/>
        <v>2. $10K-50K</v>
      </c>
      <c r="D2932" t="s">
        <v>857</v>
      </c>
      <c r="E2932" t="s">
        <v>237</v>
      </c>
      <c r="F2932" t="s">
        <v>670</v>
      </c>
      <c r="G2932" t="s">
        <v>59</v>
      </c>
      <c r="H2932">
        <v>2023</v>
      </c>
    </row>
    <row r="2933" spans="1:8" x14ac:dyDescent="0.2">
      <c r="A2933">
        <v>226413</v>
      </c>
      <c r="B2933">
        <v>2000092</v>
      </c>
      <c r="C2933" t="str">
        <f t="shared" si="45"/>
        <v>4. $250K-1M</v>
      </c>
      <c r="D2933" t="s">
        <v>852</v>
      </c>
      <c r="E2933" t="s">
        <v>237</v>
      </c>
      <c r="F2933" t="s">
        <v>670</v>
      </c>
      <c r="G2933" t="s">
        <v>59</v>
      </c>
      <c r="H2933">
        <v>2023</v>
      </c>
    </row>
    <row r="2934" spans="1:8" x14ac:dyDescent="0.2">
      <c r="A2934">
        <v>226414</v>
      </c>
      <c r="B2934">
        <v>101073</v>
      </c>
      <c r="C2934" t="str">
        <f t="shared" si="45"/>
        <v>5. $1M+</v>
      </c>
      <c r="D2934" t="s">
        <v>867</v>
      </c>
      <c r="E2934" t="s">
        <v>237</v>
      </c>
      <c r="F2934" t="s">
        <v>670</v>
      </c>
      <c r="G2934" t="s">
        <v>59</v>
      </c>
      <c r="H2934">
        <v>2023</v>
      </c>
    </row>
    <row r="2935" spans="1:8" x14ac:dyDescent="0.2">
      <c r="A2935">
        <v>226415</v>
      </c>
      <c r="B2935">
        <v>650000</v>
      </c>
      <c r="C2935" t="str">
        <f t="shared" si="45"/>
        <v>3. $50K-250K</v>
      </c>
      <c r="D2935" t="s">
        <v>671</v>
      </c>
      <c r="E2935" t="s">
        <v>237</v>
      </c>
      <c r="F2935" t="s">
        <v>670</v>
      </c>
      <c r="G2935" t="s">
        <v>59</v>
      </c>
      <c r="H2935">
        <v>2023</v>
      </c>
    </row>
    <row r="2936" spans="1:8" x14ac:dyDescent="0.2">
      <c r="A2936">
        <v>226416</v>
      </c>
      <c r="B2936">
        <v>96000</v>
      </c>
      <c r="C2936" t="str">
        <f t="shared" si="45"/>
        <v>4. $250K-1M</v>
      </c>
      <c r="D2936" t="s">
        <v>749</v>
      </c>
      <c r="E2936" t="s">
        <v>237</v>
      </c>
      <c r="F2936" t="s">
        <v>670</v>
      </c>
      <c r="G2936" t="s">
        <v>59</v>
      </c>
      <c r="H2936">
        <v>2023</v>
      </c>
    </row>
    <row r="2937" spans="1:8" x14ac:dyDescent="0.2">
      <c r="A2937">
        <v>226417</v>
      </c>
      <c r="B2937">
        <v>150000</v>
      </c>
      <c r="C2937" t="str">
        <f t="shared" si="45"/>
        <v>3. $50K-250K</v>
      </c>
      <c r="D2937" t="s">
        <v>857</v>
      </c>
      <c r="E2937" t="s">
        <v>237</v>
      </c>
      <c r="F2937" t="s">
        <v>670</v>
      </c>
      <c r="G2937" t="s">
        <v>59</v>
      </c>
      <c r="H2937">
        <v>2023</v>
      </c>
    </row>
    <row r="2938" spans="1:8" x14ac:dyDescent="0.2">
      <c r="A2938">
        <v>226418</v>
      </c>
      <c r="B2938">
        <v>54000</v>
      </c>
      <c r="C2938" t="str">
        <f t="shared" si="45"/>
        <v>3. $50K-250K</v>
      </c>
      <c r="D2938" t="s">
        <v>1064</v>
      </c>
      <c r="E2938" t="s">
        <v>237</v>
      </c>
      <c r="F2938" t="s">
        <v>670</v>
      </c>
      <c r="G2938" t="s">
        <v>59</v>
      </c>
      <c r="H2938">
        <v>2023</v>
      </c>
    </row>
    <row r="2939" spans="1:8" x14ac:dyDescent="0.2">
      <c r="A2939">
        <v>226419</v>
      </c>
      <c r="B2939">
        <v>54000</v>
      </c>
      <c r="C2939" t="str">
        <f t="shared" si="45"/>
        <v>3. $50K-250K</v>
      </c>
      <c r="D2939" t="s">
        <v>1067</v>
      </c>
      <c r="E2939" t="s">
        <v>237</v>
      </c>
      <c r="F2939" t="s">
        <v>670</v>
      </c>
      <c r="G2939" t="s">
        <v>59</v>
      </c>
      <c r="H2939">
        <v>2023</v>
      </c>
    </row>
    <row r="2940" spans="1:8" x14ac:dyDescent="0.2">
      <c r="A2940">
        <v>226420</v>
      </c>
      <c r="B2940">
        <v>54000</v>
      </c>
      <c r="C2940" t="str">
        <f t="shared" si="45"/>
        <v>3. $50K-250K</v>
      </c>
      <c r="D2940" t="s">
        <v>1080</v>
      </c>
      <c r="E2940" t="s">
        <v>237</v>
      </c>
      <c r="F2940" t="s">
        <v>670</v>
      </c>
      <c r="G2940" t="s">
        <v>59</v>
      </c>
      <c r="H2940">
        <v>2023</v>
      </c>
    </row>
    <row r="2941" spans="1:8" x14ac:dyDescent="0.2">
      <c r="A2941">
        <v>226421</v>
      </c>
      <c r="B2941">
        <v>13565.9</v>
      </c>
      <c r="C2941" t="str">
        <f t="shared" si="45"/>
        <v>3. $50K-250K</v>
      </c>
      <c r="D2941" t="s">
        <v>713</v>
      </c>
      <c r="E2941" t="s">
        <v>237</v>
      </c>
      <c r="F2941" t="s">
        <v>670</v>
      </c>
      <c r="G2941" t="s">
        <v>59</v>
      </c>
      <c r="H2941">
        <v>2023</v>
      </c>
    </row>
    <row r="2942" spans="1:8" x14ac:dyDescent="0.2">
      <c r="A2942">
        <v>226422</v>
      </c>
      <c r="B2942">
        <v>13887.8</v>
      </c>
      <c r="C2942" t="str">
        <f t="shared" si="45"/>
        <v>2. $10K-50K</v>
      </c>
      <c r="D2942" t="s">
        <v>713</v>
      </c>
      <c r="E2942" t="s">
        <v>237</v>
      </c>
      <c r="F2942" t="s">
        <v>670</v>
      </c>
      <c r="G2942" t="s">
        <v>59</v>
      </c>
      <c r="H2942">
        <v>2023</v>
      </c>
    </row>
    <row r="2943" spans="1:8" x14ac:dyDescent="0.2">
      <c r="A2943">
        <v>226423</v>
      </c>
      <c r="B2943">
        <v>1000000</v>
      </c>
      <c r="C2943" t="str">
        <f t="shared" si="45"/>
        <v>2. $10K-50K</v>
      </c>
      <c r="D2943" t="s">
        <v>852</v>
      </c>
      <c r="E2943" t="s">
        <v>237</v>
      </c>
      <c r="F2943" t="s">
        <v>670</v>
      </c>
      <c r="G2943" t="s">
        <v>59</v>
      </c>
      <c r="H2943">
        <v>2023</v>
      </c>
    </row>
    <row r="2944" spans="1:8" x14ac:dyDescent="0.2">
      <c r="A2944">
        <v>226426</v>
      </c>
      <c r="B2944">
        <v>2500</v>
      </c>
      <c r="C2944" t="str">
        <f t="shared" si="45"/>
        <v>5. $1M+</v>
      </c>
      <c r="D2944" t="s">
        <v>1529</v>
      </c>
      <c r="E2944" t="s">
        <v>112</v>
      </c>
      <c r="F2944" t="s">
        <v>668</v>
      </c>
      <c r="G2944" t="s">
        <v>59</v>
      </c>
      <c r="H2944">
        <v>2023</v>
      </c>
    </row>
    <row r="2945" spans="1:8" x14ac:dyDescent="0.2">
      <c r="A2945">
        <v>226427</v>
      </c>
      <c r="B2945">
        <v>5000</v>
      </c>
      <c r="C2945" t="str">
        <f t="shared" si="45"/>
        <v>1. Under $10K</v>
      </c>
      <c r="D2945" t="s">
        <v>1530</v>
      </c>
      <c r="E2945" t="s">
        <v>112</v>
      </c>
      <c r="F2945" t="s">
        <v>668</v>
      </c>
      <c r="G2945" t="s">
        <v>59</v>
      </c>
      <c r="H2945">
        <v>2023</v>
      </c>
    </row>
    <row r="2946" spans="1:8" x14ac:dyDescent="0.2">
      <c r="A2946">
        <v>226448</v>
      </c>
      <c r="B2946">
        <v>83477.5</v>
      </c>
      <c r="C2946" t="str">
        <f t="shared" si="45"/>
        <v>1. Under $10K</v>
      </c>
      <c r="D2946" t="s">
        <v>83</v>
      </c>
      <c r="E2946" t="s">
        <v>28</v>
      </c>
      <c r="F2946" t="s">
        <v>239</v>
      </c>
      <c r="G2946" t="s">
        <v>10</v>
      </c>
      <c r="H2946">
        <v>2023</v>
      </c>
    </row>
    <row r="2947" spans="1:8" x14ac:dyDescent="0.2">
      <c r="A2947">
        <v>226460</v>
      </c>
      <c r="B2947">
        <v>1158577</v>
      </c>
      <c r="C2947" t="str">
        <f t="shared" ref="C2947:C3010" si="46">IF(B2946&lt;10000,"1. Under $10K",IF(B2946&lt;50000,"2. $10K-50K",IF(B2946&lt;250000,"3. $50K-250K",IF(B2946&lt;1000000,"4. $250K-1M","5. $1M+"))))</f>
        <v>3. $50K-250K</v>
      </c>
      <c r="D2947" t="s">
        <v>1531</v>
      </c>
      <c r="E2947" t="s">
        <v>368</v>
      </c>
      <c r="F2947" t="s">
        <v>668</v>
      </c>
      <c r="G2947" t="s">
        <v>59</v>
      </c>
      <c r="H2947">
        <v>2023</v>
      </c>
    </row>
    <row r="2948" spans="1:8" x14ac:dyDescent="0.2">
      <c r="A2948">
        <v>226463</v>
      </c>
      <c r="B2948">
        <v>1285000</v>
      </c>
      <c r="C2948" t="str">
        <f t="shared" si="46"/>
        <v>5. $1M+</v>
      </c>
      <c r="D2948" t="s">
        <v>778</v>
      </c>
      <c r="E2948" t="s">
        <v>112</v>
      </c>
      <c r="F2948" t="s">
        <v>668</v>
      </c>
      <c r="G2948" t="s">
        <v>59</v>
      </c>
      <c r="H2948">
        <v>2023</v>
      </c>
    </row>
    <row r="2949" spans="1:8" x14ac:dyDescent="0.2">
      <c r="A2949">
        <v>226493</v>
      </c>
      <c r="B2949">
        <v>34890.400000000001</v>
      </c>
      <c r="C2949" t="str">
        <f t="shared" si="46"/>
        <v>5. $1M+</v>
      </c>
      <c r="D2949" t="s">
        <v>762</v>
      </c>
      <c r="E2949" t="s">
        <v>237</v>
      </c>
      <c r="F2949" t="s">
        <v>670</v>
      </c>
      <c r="G2949" t="s">
        <v>59</v>
      </c>
      <c r="H2949">
        <v>2023</v>
      </c>
    </row>
    <row r="2950" spans="1:8" x14ac:dyDescent="0.2">
      <c r="A2950">
        <v>226494</v>
      </c>
      <c r="B2950">
        <v>18766.7</v>
      </c>
      <c r="C2950" t="str">
        <f t="shared" si="46"/>
        <v>2. $10K-50K</v>
      </c>
      <c r="D2950" t="s">
        <v>708</v>
      </c>
      <c r="E2950" t="s">
        <v>237</v>
      </c>
      <c r="F2950" t="s">
        <v>670</v>
      </c>
      <c r="G2950" t="s">
        <v>59</v>
      </c>
      <c r="H2950">
        <v>2023</v>
      </c>
    </row>
    <row r="2951" spans="1:8" x14ac:dyDescent="0.2">
      <c r="A2951">
        <v>226496</v>
      </c>
      <c r="B2951">
        <v>66174</v>
      </c>
      <c r="C2951" t="str">
        <f t="shared" si="46"/>
        <v>2. $10K-50K</v>
      </c>
      <c r="D2951" t="s">
        <v>955</v>
      </c>
      <c r="E2951" t="s">
        <v>825</v>
      </c>
      <c r="F2951" t="s">
        <v>670</v>
      </c>
      <c r="G2951" t="s">
        <v>59</v>
      </c>
      <c r="H2951">
        <v>2023</v>
      </c>
    </row>
    <row r="2952" spans="1:8" x14ac:dyDescent="0.2">
      <c r="A2952">
        <v>226501</v>
      </c>
      <c r="B2952">
        <v>93700.800000000003</v>
      </c>
      <c r="C2952" t="str">
        <f t="shared" si="46"/>
        <v>3. $50K-250K</v>
      </c>
      <c r="D2952" t="s">
        <v>977</v>
      </c>
      <c r="E2952" t="s">
        <v>825</v>
      </c>
      <c r="F2952" t="s">
        <v>670</v>
      </c>
      <c r="G2952" t="s">
        <v>59</v>
      </c>
      <c r="H2952">
        <v>2023</v>
      </c>
    </row>
    <row r="2953" spans="1:8" x14ac:dyDescent="0.2">
      <c r="A2953">
        <v>226505</v>
      </c>
      <c r="B2953">
        <v>50000</v>
      </c>
      <c r="C2953" t="str">
        <f t="shared" si="46"/>
        <v>3. $50K-250K</v>
      </c>
      <c r="D2953" t="s">
        <v>804</v>
      </c>
      <c r="E2953" t="s">
        <v>368</v>
      </c>
      <c r="F2953" t="s">
        <v>670</v>
      </c>
      <c r="G2953" t="s">
        <v>44</v>
      </c>
      <c r="H2953">
        <v>2023</v>
      </c>
    </row>
    <row r="2954" spans="1:8" x14ac:dyDescent="0.2">
      <c r="A2954">
        <v>226507</v>
      </c>
      <c r="B2954">
        <v>16000000</v>
      </c>
      <c r="C2954" t="str">
        <f t="shared" si="46"/>
        <v>3. $50K-250K</v>
      </c>
      <c r="D2954" t="s">
        <v>236</v>
      </c>
      <c r="E2954" t="s">
        <v>237</v>
      </c>
      <c r="F2954" t="s">
        <v>43</v>
      </c>
      <c r="G2954" t="s">
        <v>232</v>
      </c>
      <c r="H2954">
        <v>2023</v>
      </c>
    </row>
    <row r="2955" spans="1:8" x14ac:dyDescent="0.2">
      <c r="A2955">
        <v>226508</v>
      </c>
      <c r="B2955">
        <v>48735.6</v>
      </c>
      <c r="C2955" t="str">
        <f t="shared" si="46"/>
        <v>5. $1M+</v>
      </c>
      <c r="D2955" t="s">
        <v>900</v>
      </c>
      <c r="E2955" t="s">
        <v>825</v>
      </c>
      <c r="F2955" t="s">
        <v>670</v>
      </c>
      <c r="G2955" t="s">
        <v>59</v>
      </c>
      <c r="H2955">
        <v>2023</v>
      </c>
    </row>
    <row r="2956" spans="1:8" x14ac:dyDescent="0.2">
      <c r="A2956">
        <v>226510</v>
      </c>
      <c r="B2956">
        <v>2658168</v>
      </c>
      <c r="C2956" t="str">
        <f t="shared" si="46"/>
        <v>2. $10K-50K</v>
      </c>
      <c r="D2956" t="s">
        <v>1532</v>
      </c>
      <c r="E2956" t="s">
        <v>237</v>
      </c>
      <c r="F2956" t="s">
        <v>670</v>
      </c>
      <c r="G2956" t="s">
        <v>59</v>
      </c>
      <c r="H2956">
        <v>2023</v>
      </c>
    </row>
    <row r="2957" spans="1:8" x14ac:dyDescent="0.2">
      <c r="A2957">
        <v>226540</v>
      </c>
      <c r="B2957">
        <v>3500000</v>
      </c>
      <c r="C2957" t="str">
        <f t="shared" si="46"/>
        <v>5. $1M+</v>
      </c>
      <c r="D2957" t="s">
        <v>1533</v>
      </c>
      <c r="E2957" t="s">
        <v>99</v>
      </c>
      <c r="F2957" t="s">
        <v>668</v>
      </c>
      <c r="G2957" t="s">
        <v>59</v>
      </c>
      <c r="H2957">
        <v>2023</v>
      </c>
    </row>
    <row r="2958" spans="1:8" x14ac:dyDescent="0.2">
      <c r="A2958">
        <v>226595</v>
      </c>
      <c r="B2958">
        <v>85000</v>
      </c>
      <c r="C2958" t="str">
        <f t="shared" si="46"/>
        <v>5. $1M+</v>
      </c>
      <c r="D2958" t="s">
        <v>820</v>
      </c>
      <c r="E2958" t="s">
        <v>432</v>
      </c>
      <c r="F2958" t="s">
        <v>670</v>
      </c>
      <c r="G2958" t="s">
        <v>59</v>
      </c>
      <c r="H2958">
        <v>2023</v>
      </c>
    </row>
    <row r="2959" spans="1:8" x14ac:dyDescent="0.2">
      <c r="A2959">
        <v>226599</v>
      </c>
      <c r="B2959">
        <v>25000</v>
      </c>
      <c r="C2959" t="str">
        <f t="shared" si="46"/>
        <v>3. $50K-250K</v>
      </c>
      <c r="D2959" t="s">
        <v>943</v>
      </c>
      <c r="E2959" t="s">
        <v>432</v>
      </c>
      <c r="F2959" t="s">
        <v>670</v>
      </c>
      <c r="G2959" t="s">
        <v>59</v>
      </c>
      <c r="H2959">
        <v>2023</v>
      </c>
    </row>
    <row r="2960" spans="1:8" x14ac:dyDescent="0.2">
      <c r="A2960">
        <v>226603</v>
      </c>
      <c r="B2960">
        <v>25000</v>
      </c>
      <c r="C2960" t="str">
        <f t="shared" si="46"/>
        <v>2. $10K-50K</v>
      </c>
      <c r="D2960" t="s">
        <v>818</v>
      </c>
      <c r="E2960" t="s">
        <v>432</v>
      </c>
      <c r="F2960" t="s">
        <v>670</v>
      </c>
      <c r="G2960" t="s">
        <v>59</v>
      </c>
      <c r="H2960">
        <v>2023</v>
      </c>
    </row>
    <row r="2961" spans="1:8" x14ac:dyDescent="0.2">
      <c r="A2961">
        <v>226606</v>
      </c>
      <c r="B2961">
        <v>20000</v>
      </c>
      <c r="C2961" t="str">
        <f t="shared" si="46"/>
        <v>2. $10K-50K</v>
      </c>
      <c r="D2961" t="s">
        <v>942</v>
      </c>
      <c r="E2961" t="s">
        <v>432</v>
      </c>
      <c r="F2961" t="s">
        <v>670</v>
      </c>
      <c r="G2961" t="s">
        <v>59</v>
      </c>
      <c r="H2961">
        <v>2023</v>
      </c>
    </row>
    <row r="2962" spans="1:8" x14ac:dyDescent="0.2">
      <c r="A2962">
        <v>226619</v>
      </c>
      <c r="B2962">
        <v>1196357</v>
      </c>
      <c r="C2962" t="str">
        <f t="shared" si="46"/>
        <v>2. $10K-50K</v>
      </c>
      <c r="D2962" t="s">
        <v>905</v>
      </c>
      <c r="E2962" t="s">
        <v>891</v>
      </c>
      <c r="F2962" t="s">
        <v>670</v>
      </c>
      <c r="G2962" t="s">
        <v>59</v>
      </c>
      <c r="H2962">
        <v>2023</v>
      </c>
    </row>
    <row r="2963" spans="1:8" x14ac:dyDescent="0.2">
      <c r="A2963">
        <v>226620</v>
      </c>
      <c r="B2963">
        <v>20000</v>
      </c>
      <c r="C2963" t="str">
        <f t="shared" si="46"/>
        <v>5. $1M+</v>
      </c>
      <c r="D2963" t="s">
        <v>956</v>
      </c>
      <c r="E2963" t="s">
        <v>432</v>
      </c>
      <c r="F2963" t="s">
        <v>670</v>
      </c>
      <c r="G2963" t="s">
        <v>59</v>
      </c>
      <c r="H2963">
        <v>2023</v>
      </c>
    </row>
    <row r="2964" spans="1:8" x14ac:dyDescent="0.2">
      <c r="A2964">
        <v>226621</v>
      </c>
      <c r="B2964">
        <v>50000</v>
      </c>
      <c r="C2964" t="str">
        <f t="shared" si="46"/>
        <v>2. $10K-50K</v>
      </c>
      <c r="D2964" t="s">
        <v>1466</v>
      </c>
      <c r="E2964" t="s">
        <v>432</v>
      </c>
      <c r="F2964" t="s">
        <v>670</v>
      </c>
      <c r="G2964" t="s">
        <v>59</v>
      </c>
      <c r="H2964">
        <v>2023</v>
      </c>
    </row>
    <row r="2965" spans="1:8" x14ac:dyDescent="0.2">
      <c r="A2965">
        <v>226622</v>
      </c>
      <c r="B2965">
        <v>50000</v>
      </c>
      <c r="C2965" t="str">
        <f t="shared" si="46"/>
        <v>3. $50K-250K</v>
      </c>
      <c r="D2965" t="s">
        <v>956</v>
      </c>
      <c r="E2965" t="s">
        <v>432</v>
      </c>
      <c r="F2965" t="s">
        <v>670</v>
      </c>
      <c r="G2965" t="s">
        <v>59</v>
      </c>
      <c r="H2965">
        <v>2023</v>
      </c>
    </row>
    <row r="2966" spans="1:8" x14ac:dyDescent="0.2">
      <c r="A2966">
        <v>226623</v>
      </c>
      <c r="B2966">
        <v>25000</v>
      </c>
      <c r="C2966" t="str">
        <f t="shared" si="46"/>
        <v>3. $50K-250K</v>
      </c>
      <c r="D2966" t="s">
        <v>956</v>
      </c>
      <c r="E2966" t="s">
        <v>432</v>
      </c>
      <c r="F2966" t="s">
        <v>670</v>
      </c>
      <c r="G2966" t="s">
        <v>59</v>
      </c>
      <c r="H2966">
        <v>2023</v>
      </c>
    </row>
    <row r="2967" spans="1:8" x14ac:dyDescent="0.2">
      <c r="A2967">
        <v>226624</v>
      </c>
      <c r="B2967">
        <v>85000</v>
      </c>
      <c r="C2967" t="str">
        <f t="shared" si="46"/>
        <v>2. $10K-50K</v>
      </c>
      <c r="D2967" t="s">
        <v>815</v>
      </c>
      <c r="E2967" t="s">
        <v>432</v>
      </c>
      <c r="F2967" t="s">
        <v>670</v>
      </c>
      <c r="G2967" t="s">
        <v>59</v>
      </c>
      <c r="H2967">
        <v>2023</v>
      </c>
    </row>
    <row r="2968" spans="1:8" x14ac:dyDescent="0.2">
      <c r="A2968">
        <v>226637</v>
      </c>
      <c r="B2968">
        <v>225283.3</v>
      </c>
      <c r="C2968" t="str">
        <f t="shared" si="46"/>
        <v>3. $50K-250K</v>
      </c>
      <c r="D2968" t="s">
        <v>900</v>
      </c>
      <c r="E2968" t="s">
        <v>825</v>
      </c>
      <c r="F2968" t="s">
        <v>670</v>
      </c>
      <c r="G2968" t="s">
        <v>59</v>
      </c>
      <c r="H2968">
        <v>2023</v>
      </c>
    </row>
    <row r="2969" spans="1:8" x14ac:dyDescent="0.2">
      <c r="A2969">
        <v>226801</v>
      </c>
      <c r="B2969">
        <v>85000</v>
      </c>
      <c r="C2969" t="str">
        <f t="shared" si="46"/>
        <v>3. $50K-250K</v>
      </c>
      <c r="D2969" t="s">
        <v>816</v>
      </c>
      <c r="E2969" t="s">
        <v>432</v>
      </c>
      <c r="F2969" t="s">
        <v>670</v>
      </c>
      <c r="G2969" t="s">
        <v>59</v>
      </c>
      <c r="H2969">
        <v>2023</v>
      </c>
    </row>
    <row r="2970" spans="1:8" x14ac:dyDescent="0.2">
      <c r="A2970">
        <v>226807</v>
      </c>
      <c r="B2970">
        <v>40000</v>
      </c>
      <c r="C2970" t="str">
        <f t="shared" si="46"/>
        <v>3. $50K-250K</v>
      </c>
      <c r="D2970" t="s">
        <v>818</v>
      </c>
      <c r="E2970" t="s">
        <v>432</v>
      </c>
      <c r="F2970" t="s">
        <v>670</v>
      </c>
      <c r="G2970" t="s">
        <v>59</v>
      </c>
      <c r="H2970">
        <v>2023</v>
      </c>
    </row>
    <row r="2971" spans="1:8" x14ac:dyDescent="0.2">
      <c r="A2971">
        <v>226809</v>
      </c>
      <c r="B2971">
        <v>90000</v>
      </c>
      <c r="C2971" t="str">
        <f t="shared" si="46"/>
        <v>2. $10K-50K</v>
      </c>
      <c r="D2971" t="s">
        <v>1534</v>
      </c>
      <c r="E2971" t="s">
        <v>825</v>
      </c>
      <c r="F2971" t="s">
        <v>670</v>
      </c>
      <c r="G2971" t="s">
        <v>59</v>
      </c>
      <c r="H2971">
        <v>2023</v>
      </c>
    </row>
    <row r="2972" spans="1:8" x14ac:dyDescent="0.2">
      <c r="A2972">
        <v>226810</v>
      </c>
      <c r="B2972">
        <v>43174</v>
      </c>
      <c r="C2972" t="str">
        <f t="shared" si="46"/>
        <v>3. $50K-250K</v>
      </c>
      <c r="D2972" t="s">
        <v>882</v>
      </c>
      <c r="E2972" t="s">
        <v>825</v>
      </c>
      <c r="F2972" t="s">
        <v>670</v>
      </c>
      <c r="G2972" t="s">
        <v>59</v>
      </c>
      <c r="H2972">
        <v>2023</v>
      </c>
    </row>
    <row r="2973" spans="1:8" x14ac:dyDescent="0.2">
      <c r="A2973">
        <v>226811</v>
      </c>
      <c r="B2973">
        <v>42903</v>
      </c>
      <c r="C2973" t="str">
        <f t="shared" si="46"/>
        <v>2. $10K-50K</v>
      </c>
      <c r="D2973" t="s">
        <v>882</v>
      </c>
      <c r="E2973" t="s">
        <v>825</v>
      </c>
      <c r="F2973" t="s">
        <v>670</v>
      </c>
      <c r="G2973" t="s">
        <v>59</v>
      </c>
      <c r="H2973">
        <v>2023</v>
      </c>
    </row>
    <row r="2974" spans="1:8" x14ac:dyDescent="0.2">
      <c r="A2974">
        <v>226848</v>
      </c>
      <c r="B2974">
        <v>55000</v>
      </c>
      <c r="C2974" t="str">
        <f t="shared" si="46"/>
        <v>2. $10K-50K</v>
      </c>
      <c r="D2974" t="s">
        <v>1432</v>
      </c>
      <c r="E2974" t="s">
        <v>432</v>
      </c>
      <c r="F2974" t="s">
        <v>670</v>
      </c>
      <c r="G2974" t="s">
        <v>59</v>
      </c>
      <c r="H2974">
        <v>2023</v>
      </c>
    </row>
    <row r="2975" spans="1:8" x14ac:dyDescent="0.2">
      <c r="A2975">
        <v>226849</v>
      </c>
      <c r="B2975">
        <v>41340</v>
      </c>
      <c r="C2975" t="str">
        <f t="shared" si="46"/>
        <v>3. $50K-250K</v>
      </c>
      <c r="D2975" t="s">
        <v>749</v>
      </c>
      <c r="E2975" t="s">
        <v>237</v>
      </c>
      <c r="F2975" t="s">
        <v>670</v>
      </c>
      <c r="G2975" t="s">
        <v>59</v>
      </c>
      <c r="H2975">
        <v>2023</v>
      </c>
    </row>
    <row r="2976" spans="1:8" x14ac:dyDescent="0.2">
      <c r="A2976">
        <v>226850</v>
      </c>
      <c r="B2976">
        <v>19968</v>
      </c>
      <c r="C2976" t="str">
        <f t="shared" si="46"/>
        <v>2. $10K-50K</v>
      </c>
      <c r="D2976" t="s">
        <v>41</v>
      </c>
      <c r="E2976" t="s">
        <v>237</v>
      </c>
      <c r="F2976" t="s">
        <v>670</v>
      </c>
      <c r="G2976" t="s">
        <v>59</v>
      </c>
      <c r="H2976">
        <v>2023</v>
      </c>
    </row>
    <row r="2977" spans="1:8" x14ac:dyDescent="0.2">
      <c r="A2977">
        <v>226851</v>
      </c>
      <c r="B2977">
        <v>11124.2</v>
      </c>
      <c r="C2977" t="str">
        <f t="shared" si="46"/>
        <v>2. $10K-50K</v>
      </c>
      <c r="D2977" t="s">
        <v>1535</v>
      </c>
      <c r="E2977" t="s">
        <v>237</v>
      </c>
      <c r="F2977" t="s">
        <v>670</v>
      </c>
      <c r="G2977" t="s">
        <v>59</v>
      </c>
      <c r="H2977">
        <v>2023</v>
      </c>
    </row>
    <row r="2978" spans="1:8" x14ac:dyDescent="0.2">
      <c r="A2978">
        <v>226852</v>
      </c>
      <c r="B2978">
        <v>791750.2</v>
      </c>
      <c r="C2978" t="str">
        <f t="shared" si="46"/>
        <v>2. $10K-50K</v>
      </c>
      <c r="D2978" t="s">
        <v>694</v>
      </c>
      <c r="E2978" t="s">
        <v>237</v>
      </c>
      <c r="F2978" t="s">
        <v>670</v>
      </c>
      <c r="G2978" t="s">
        <v>59</v>
      </c>
      <c r="H2978">
        <v>2023</v>
      </c>
    </row>
    <row r="2979" spans="1:8" x14ac:dyDescent="0.2">
      <c r="A2979">
        <v>226853</v>
      </c>
      <c r="B2979">
        <v>48800</v>
      </c>
      <c r="C2979" t="str">
        <f t="shared" si="46"/>
        <v>4. $250K-1M</v>
      </c>
      <c r="D2979" t="s">
        <v>822</v>
      </c>
      <c r="E2979" t="s">
        <v>237</v>
      </c>
      <c r="F2979" t="s">
        <v>670</v>
      </c>
      <c r="G2979" t="s">
        <v>59</v>
      </c>
      <c r="H2979">
        <v>2023</v>
      </c>
    </row>
    <row r="2980" spans="1:8" x14ac:dyDescent="0.2">
      <c r="A2980">
        <v>226854</v>
      </c>
      <c r="B2980">
        <v>54000</v>
      </c>
      <c r="C2980" t="str">
        <f t="shared" si="46"/>
        <v>2. $10K-50K</v>
      </c>
      <c r="D2980" t="s">
        <v>1076</v>
      </c>
      <c r="E2980" t="s">
        <v>237</v>
      </c>
      <c r="F2980" t="s">
        <v>670</v>
      </c>
      <c r="G2980" t="s">
        <v>59</v>
      </c>
      <c r="H2980">
        <v>2023</v>
      </c>
    </row>
    <row r="2981" spans="1:8" x14ac:dyDescent="0.2">
      <c r="A2981">
        <v>226855</v>
      </c>
      <c r="B2981">
        <v>97384.5</v>
      </c>
      <c r="C2981" t="str">
        <f t="shared" si="46"/>
        <v>3. $50K-250K</v>
      </c>
      <c r="D2981" t="s">
        <v>852</v>
      </c>
      <c r="E2981" t="s">
        <v>237</v>
      </c>
      <c r="F2981" t="s">
        <v>670</v>
      </c>
      <c r="G2981" t="s">
        <v>59</v>
      </c>
      <c r="H2981">
        <v>2023</v>
      </c>
    </row>
    <row r="2982" spans="1:8" x14ac:dyDescent="0.2">
      <c r="A2982">
        <v>226856</v>
      </c>
      <c r="B2982">
        <v>62324</v>
      </c>
      <c r="C2982" t="str">
        <f t="shared" si="46"/>
        <v>3. $50K-250K</v>
      </c>
      <c r="D2982" t="s">
        <v>801</v>
      </c>
      <c r="E2982" t="s">
        <v>237</v>
      </c>
      <c r="F2982" t="s">
        <v>670</v>
      </c>
      <c r="G2982" t="s">
        <v>59</v>
      </c>
      <c r="H2982">
        <v>2023</v>
      </c>
    </row>
    <row r="2983" spans="1:8" x14ac:dyDescent="0.2">
      <c r="A2983">
        <v>226882</v>
      </c>
      <c r="B2983">
        <v>279500</v>
      </c>
      <c r="C2983" t="str">
        <f t="shared" si="46"/>
        <v>3. $50K-250K</v>
      </c>
      <c r="D2983" t="s">
        <v>780</v>
      </c>
      <c r="E2983" t="s">
        <v>42</v>
      </c>
      <c r="F2983" t="s">
        <v>670</v>
      </c>
      <c r="G2983" t="s">
        <v>59</v>
      </c>
      <c r="H2983">
        <v>2023</v>
      </c>
    </row>
    <row r="2984" spans="1:8" x14ac:dyDescent="0.2">
      <c r="A2984">
        <v>226895</v>
      </c>
      <c r="B2984">
        <v>147558.70000000001</v>
      </c>
      <c r="C2984" t="str">
        <f t="shared" si="46"/>
        <v>4. $250K-1M</v>
      </c>
      <c r="D2984" t="s">
        <v>391</v>
      </c>
      <c r="E2984" t="s">
        <v>42</v>
      </c>
      <c r="F2984" t="s">
        <v>670</v>
      </c>
      <c r="G2984" t="s">
        <v>59</v>
      </c>
      <c r="H2984">
        <v>2023</v>
      </c>
    </row>
    <row r="2985" spans="1:8" x14ac:dyDescent="0.2">
      <c r="A2985">
        <v>226906</v>
      </c>
      <c r="B2985">
        <v>275874</v>
      </c>
      <c r="C2985" t="str">
        <f t="shared" si="46"/>
        <v>3. $50K-250K</v>
      </c>
      <c r="D2985" t="s">
        <v>391</v>
      </c>
      <c r="E2985" t="s">
        <v>42</v>
      </c>
      <c r="F2985" t="s">
        <v>670</v>
      </c>
      <c r="G2985" t="s">
        <v>59</v>
      </c>
      <c r="H2985">
        <v>2023</v>
      </c>
    </row>
    <row r="2986" spans="1:8" x14ac:dyDescent="0.2">
      <c r="A2986">
        <v>226913</v>
      </c>
      <c r="B2986">
        <v>38750</v>
      </c>
      <c r="C2986" t="str">
        <f t="shared" si="46"/>
        <v>4. $250K-1M</v>
      </c>
      <c r="D2986" t="s">
        <v>749</v>
      </c>
      <c r="E2986" t="s">
        <v>237</v>
      </c>
      <c r="F2986" t="s">
        <v>670</v>
      </c>
      <c r="G2986" t="s">
        <v>59</v>
      </c>
      <c r="H2986">
        <v>2023</v>
      </c>
    </row>
    <row r="2987" spans="1:8" x14ac:dyDescent="0.2">
      <c r="A2987">
        <v>226914</v>
      </c>
      <c r="B2987">
        <v>65880</v>
      </c>
      <c r="C2987" t="str">
        <f t="shared" si="46"/>
        <v>2. $10K-50K</v>
      </c>
      <c r="D2987" t="s">
        <v>749</v>
      </c>
      <c r="E2987" t="s">
        <v>237</v>
      </c>
      <c r="F2987" t="s">
        <v>670</v>
      </c>
      <c r="G2987" t="s">
        <v>59</v>
      </c>
      <c r="H2987">
        <v>2023</v>
      </c>
    </row>
    <row r="2988" spans="1:8" x14ac:dyDescent="0.2">
      <c r="A2988">
        <v>226915</v>
      </c>
      <c r="B2988">
        <v>37500</v>
      </c>
      <c r="C2988" t="str">
        <f t="shared" si="46"/>
        <v>3. $50K-250K</v>
      </c>
      <c r="D2988" t="s">
        <v>1456</v>
      </c>
      <c r="E2988" t="s">
        <v>432</v>
      </c>
      <c r="F2988" t="s">
        <v>670</v>
      </c>
      <c r="G2988" t="s">
        <v>59</v>
      </c>
      <c r="H2988">
        <v>2023</v>
      </c>
    </row>
    <row r="2989" spans="1:8" x14ac:dyDescent="0.2">
      <c r="A2989">
        <v>227008</v>
      </c>
      <c r="B2989">
        <v>50000</v>
      </c>
      <c r="C2989" t="str">
        <f t="shared" si="46"/>
        <v>2. $10K-50K</v>
      </c>
      <c r="D2989" t="s">
        <v>949</v>
      </c>
      <c r="E2989" t="s">
        <v>825</v>
      </c>
      <c r="F2989" t="s">
        <v>670</v>
      </c>
      <c r="G2989" t="s">
        <v>59</v>
      </c>
      <c r="H2989">
        <v>2023</v>
      </c>
    </row>
    <row r="2990" spans="1:8" x14ac:dyDescent="0.2">
      <c r="A2990">
        <v>227220</v>
      </c>
      <c r="B2990">
        <v>78686.8</v>
      </c>
      <c r="C2990" t="str">
        <f t="shared" si="46"/>
        <v>3. $50K-250K</v>
      </c>
      <c r="D2990" t="s">
        <v>677</v>
      </c>
      <c r="E2990" t="s">
        <v>42</v>
      </c>
      <c r="F2990" t="s">
        <v>670</v>
      </c>
      <c r="G2990" t="s">
        <v>59</v>
      </c>
      <c r="H2990">
        <v>2023</v>
      </c>
    </row>
    <row r="2991" spans="1:8" x14ac:dyDescent="0.2">
      <c r="A2991">
        <v>227221</v>
      </c>
      <c r="B2991">
        <v>4283439.7</v>
      </c>
      <c r="C2991" t="str">
        <f t="shared" si="46"/>
        <v>3. $50K-250K</v>
      </c>
      <c r="D2991" t="s">
        <v>772</v>
      </c>
      <c r="E2991" t="s">
        <v>42</v>
      </c>
      <c r="F2991" t="s">
        <v>670</v>
      </c>
      <c r="G2991" t="s">
        <v>59</v>
      </c>
      <c r="H2991">
        <v>2023</v>
      </c>
    </row>
    <row r="2992" spans="1:8" x14ac:dyDescent="0.2">
      <c r="A2992">
        <v>227232</v>
      </c>
      <c r="B2992">
        <v>50000</v>
      </c>
      <c r="C2992" t="str">
        <f t="shared" si="46"/>
        <v>5. $1M+</v>
      </c>
      <c r="D2992" t="s">
        <v>877</v>
      </c>
      <c r="E2992" t="s">
        <v>825</v>
      </c>
      <c r="F2992" t="s">
        <v>670</v>
      </c>
      <c r="G2992" t="s">
        <v>59</v>
      </c>
      <c r="H2992">
        <v>2023</v>
      </c>
    </row>
    <row r="2993" spans="1:8" x14ac:dyDescent="0.2">
      <c r="A2993">
        <v>227247</v>
      </c>
      <c r="B2993">
        <v>50000</v>
      </c>
      <c r="C2993" t="str">
        <f t="shared" si="46"/>
        <v>3. $50K-250K</v>
      </c>
      <c r="D2993" t="s">
        <v>949</v>
      </c>
      <c r="E2993" t="s">
        <v>825</v>
      </c>
      <c r="F2993" t="s">
        <v>670</v>
      </c>
      <c r="G2993" t="s">
        <v>59</v>
      </c>
      <c r="H2993">
        <v>2023</v>
      </c>
    </row>
    <row r="2994" spans="1:8" x14ac:dyDescent="0.2">
      <c r="A2994">
        <v>227248</v>
      </c>
      <c r="B2994">
        <v>50000</v>
      </c>
      <c r="C2994" t="str">
        <f t="shared" si="46"/>
        <v>3. $50K-250K</v>
      </c>
      <c r="D2994" t="s">
        <v>950</v>
      </c>
      <c r="E2994" t="s">
        <v>825</v>
      </c>
      <c r="F2994" t="s">
        <v>670</v>
      </c>
      <c r="G2994" t="s">
        <v>59</v>
      </c>
      <c r="H2994">
        <v>2023</v>
      </c>
    </row>
    <row r="2995" spans="1:8" x14ac:dyDescent="0.2">
      <c r="A2995">
        <v>227249</v>
      </c>
      <c r="B2995">
        <v>50000</v>
      </c>
      <c r="C2995" t="str">
        <f t="shared" si="46"/>
        <v>3. $50K-250K</v>
      </c>
      <c r="D2995" t="s">
        <v>948</v>
      </c>
      <c r="E2995" t="s">
        <v>825</v>
      </c>
      <c r="F2995" t="s">
        <v>670</v>
      </c>
      <c r="G2995" t="s">
        <v>59</v>
      </c>
      <c r="H2995">
        <v>2023</v>
      </c>
    </row>
    <row r="2996" spans="1:8" x14ac:dyDescent="0.2">
      <c r="A2996">
        <v>227250</v>
      </c>
      <c r="B2996">
        <v>47207</v>
      </c>
      <c r="C2996" t="str">
        <f t="shared" si="46"/>
        <v>3. $50K-250K</v>
      </c>
      <c r="D2996" t="s">
        <v>966</v>
      </c>
      <c r="E2996" t="s">
        <v>825</v>
      </c>
      <c r="F2996" t="s">
        <v>670</v>
      </c>
      <c r="G2996" t="s">
        <v>59</v>
      </c>
      <c r="H2996">
        <v>2023</v>
      </c>
    </row>
    <row r="2997" spans="1:8" x14ac:dyDescent="0.2">
      <c r="A2997">
        <v>227251</v>
      </c>
      <c r="B2997">
        <v>191793</v>
      </c>
      <c r="C2997" t="str">
        <f t="shared" si="46"/>
        <v>2. $10K-50K</v>
      </c>
      <c r="D2997" t="s">
        <v>966</v>
      </c>
      <c r="E2997" t="s">
        <v>825</v>
      </c>
      <c r="F2997" t="s">
        <v>670</v>
      </c>
      <c r="G2997" t="s">
        <v>59</v>
      </c>
      <c r="H2997">
        <v>2023</v>
      </c>
    </row>
    <row r="2998" spans="1:8" x14ac:dyDescent="0.2">
      <c r="A2998">
        <v>227301</v>
      </c>
      <c r="B2998">
        <v>56025</v>
      </c>
      <c r="C2998" t="str">
        <f t="shared" si="46"/>
        <v>3. $50K-250K</v>
      </c>
      <c r="D2998" t="s">
        <v>1027</v>
      </c>
      <c r="E2998" t="s">
        <v>825</v>
      </c>
      <c r="F2998" t="s">
        <v>670</v>
      </c>
      <c r="G2998" t="s">
        <v>59</v>
      </c>
      <c r="H2998">
        <v>2023</v>
      </c>
    </row>
    <row r="2999" spans="1:8" x14ac:dyDescent="0.2">
      <c r="A2999">
        <v>227304</v>
      </c>
      <c r="B2999">
        <v>300000</v>
      </c>
      <c r="C2999" t="str">
        <f t="shared" si="46"/>
        <v>3. $50K-250K</v>
      </c>
      <c r="D2999" t="s">
        <v>893</v>
      </c>
      <c r="E2999" t="s">
        <v>891</v>
      </c>
      <c r="F2999" t="s">
        <v>670</v>
      </c>
      <c r="G2999" t="s">
        <v>44</v>
      </c>
      <c r="H2999">
        <v>2023</v>
      </c>
    </row>
    <row r="3000" spans="1:8" x14ac:dyDescent="0.2">
      <c r="A3000">
        <v>227324</v>
      </c>
      <c r="B3000">
        <v>279500</v>
      </c>
      <c r="C3000" t="str">
        <f t="shared" si="46"/>
        <v>4. $250K-1M</v>
      </c>
      <c r="D3000" t="s">
        <v>780</v>
      </c>
      <c r="E3000" t="s">
        <v>42</v>
      </c>
      <c r="F3000" t="s">
        <v>670</v>
      </c>
      <c r="G3000" t="s">
        <v>59</v>
      </c>
      <c r="H3000">
        <v>2023</v>
      </c>
    </row>
    <row r="3001" spans="1:8" x14ac:dyDescent="0.2">
      <c r="A3001">
        <v>227359</v>
      </c>
      <c r="B3001">
        <v>72000</v>
      </c>
      <c r="C3001" t="str">
        <f t="shared" si="46"/>
        <v>4. $250K-1M</v>
      </c>
      <c r="D3001" t="s">
        <v>1093</v>
      </c>
      <c r="E3001" t="s">
        <v>237</v>
      </c>
      <c r="F3001" t="s">
        <v>670</v>
      </c>
      <c r="G3001" t="s">
        <v>59</v>
      </c>
      <c r="H3001">
        <v>2023</v>
      </c>
    </row>
    <row r="3002" spans="1:8" x14ac:dyDescent="0.2">
      <c r="A3002">
        <v>227360</v>
      </c>
      <c r="B3002">
        <v>3183876.1</v>
      </c>
      <c r="C3002" t="str">
        <f t="shared" si="46"/>
        <v>3. $50K-250K</v>
      </c>
      <c r="D3002" t="s">
        <v>692</v>
      </c>
      <c r="E3002" t="s">
        <v>237</v>
      </c>
      <c r="F3002" t="s">
        <v>670</v>
      </c>
      <c r="G3002" t="s">
        <v>59</v>
      </c>
      <c r="H3002">
        <v>2023</v>
      </c>
    </row>
    <row r="3003" spans="1:8" x14ac:dyDescent="0.2">
      <c r="A3003">
        <v>227361</v>
      </c>
      <c r="B3003">
        <v>1965459.6</v>
      </c>
      <c r="C3003" t="str">
        <f t="shared" si="46"/>
        <v>5. $1M+</v>
      </c>
      <c r="D3003" t="s">
        <v>692</v>
      </c>
      <c r="E3003" t="s">
        <v>237</v>
      </c>
      <c r="F3003" t="s">
        <v>670</v>
      </c>
      <c r="G3003" t="s">
        <v>59</v>
      </c>
      <c r="H3003">
        <v>2023</v>
      </c>
    </row>
    <row r="3004" spans="1:8" x14ac:dyDescent="0.2">
      <c r="A3004">
        <v>227362</v>
      </c>
      <c r="B3004">
        <v>990239.2</v>
      </c>
      <c r="C3004" t="str">
        <f t="shared" si="46"/>
        <v>5. $1M+</v>
      </c>
      <c r="D3004" t="s">
        <v>692</v>
      </c>
      <c r="E3004" t="s">
        <v>237</v>
      </c>
      <c r="F3004" t="s">
        <v>670</v>
      </c>
      <c r="G3004" t="s">
        <v>59</v>
      </c>
      <c r="H3004">
        <v>2023</v>
      </c>
    </row>
    <row r="3005" spans="1:8" x14ac:dyDescent="0.2">
      <c r="A3005">
        <v>227363</v>
      </c>
      <c r="B3005">
        <v>20608</v>
      </c>
      <c r="C3005" t="str">
        <f t="shared" si="46"/>
        <v>4. $250K-1M</v>
      </c>
      <c r="D3005" t="s">
        <v>980</v>
      </c>
      <c r="E3005" t="s">
        <v>237</v>
      </c>
      <c r="F3005" t="s">
        <v>670</v>
      </c>
      <c r="G3005" t="s">
        <v>59</v>
      </c>
      <c r="H3005">
        <v>2023</v>
      </c>
    </row>
    <row r="3006" spans="1:8" x14ac:dyDescent="0.2">
      <c r="A3006">
        <v>227364</v>
      </c>
      <c r="B3006">
        <v>72000</v>
      </c>
      <c r="C3006" t="str">
        <f t="shared" si="46"/>
        <v>2. $10K-50K</v>
      </c>
      <c r="D3006" t="s">
        <v>1101</v>
      </c>
      <c r="E3006" t="s">
        <v>237</v>
      </c>
      <c r="F3006" t="s">
        <v>670</v>
      </c>
      <c r="G3006" t="s">
        <v>59</v>
      </c>
      <c r="H3006">
        <v>2023</v>
      </c>
    </row>
    <row r="3007" spans="1:8" x14ac:dyDescent="0.2">
      <c r="A3007">
        <v>227365</v>
      </c>
      <c r="B3007">
        <v>72000</v>
      </c>
      <c r="C3007" t="str">
        <f t="shared" si="46"/>
        <v>3. $50K-250K</v>
      </c>
      <c r="D3007" t="s">
        <v>1108</v>
      </c>
      <c r="E3007" t="s">
        <v>237</v>
      </c>
      <c r="F3007" t="s">
        <v>670</v>
      </c>
      <c r="G3007" t="s">
        <v>59</v>
      </c>
      <c r="H3007">
        <v>2023</v>
      </c>
    </row>
    <row r="3008" spans="1:8" x14ac:dyDescent="0.2">
      <c r="A3008">
        <v>227366</v>
      </c>
      <c r="B3008">
        <v>2549478</v>
      </c>
      <c r="C3008" t="str">
        <f t="shared" si="46"/>
        <v>3. $50K-250K</v>
      </c>
      <c r="D3008" t="s">
        <v>1536</v>
      </c>
      <c r="E3008" t="s">
        <v>99</v>
      </c>
      <c r="F3008" t="s">
        <v>668</v>
      </c>
      <c r="G3008" t="s">
        <v>59</v>
      </c>
      <c r="H3008">
        <v>2023</v>
      </c>
    </row>
    <row r="3009" spans="1:8" x14ac:dyDescent="0.2">
      <c r="A3009">
        <v>227369</v>
      </c>
      <c r="B3009">
        <v>485082</v>
      </c>
      <c r="C3009" t="str">
        <f t="shared" si="46"/>
        <v>5. $1M+</v>
      </c>
      <c r="D3009" t="s">
        <v>1537</v>
      </c>
      <c r="E3009" t="s">
        <v>99</v>
      </c>
      <c r="F3009" t="s">
        <v>668</v>
      </c>
      <c r="G3009" t="s">
        <v>59</v>
      </c>
      <c r="H3009">
        <v>2023</v>
      </c>
    </row>
    <row r="3010" spans="1:8" x14ac:dyDescent="0.2">
      <c r="A3010">
        <v>227374</v>
      </c>
      <c r="B3010">
        <v>213095</v>
      </c>
      <c r="C3010" t="str">
        <f t="shared" si="46"/>
        <v>4. $250K-1M</v>
      </c>
      <c r="D3010" t="s">
        <v>332</v>
      </c>
      <c r="E3010" t="s">
        <v>18</v>
      </c>
      <c r="F3010" t="s">
        <v>333</v>
      </c>
      <c r="G3010" t="s">
        <v>44</v>
      </c>
      <c r="H3010">
        <v>2023</v>
      </c>
    </row>
    <row r="3011" spans="1:8" x14ac:dyDescent="0.2">
      <c r="A3011">
        <v>227375</v>
      </c>
      <c r="B3011">
        <v>203083</v>
      </c>
      <c r="C3011" t="str">
        <f t="shared" ref="C3011:C3074" si="47">IF(B3010&lt;10000,"1. Under $10K",IF(B3010&lt;50000,"2. $10K-50K",IF(B3010&lt;250000,"3. $50K-250K",IF(B3010&lt;1000000,"4. $250K-1M","5. $1M+"))))</f>
        <v>3. $50K-250K</v>
      </c>
      <c r="D3011" t="s">
        <v>1538</v>
      </c>
      <c r="E3011" t="s">
        <v>99</v>
      </c>
      <c r="F3011" t="s">
        <v>668</v>
      </c>
      <c r="G3011" t="s">
        <v>59</v>
      </c>
      <c r="H3011">
        <v>2023</v>
      </c>
    </row>
    <row r="3012" spans="1:8" x14ac:dyDescent="0.2">
      <c r="A3012">
        <v>227376</v>
      </c>
      <c r="B3012">
        <v>248962.5</v>
      </c>
      <c r="C3012" t="str">
        <f t="shared" si="47"/>
        <v>3. $50K-250K</v>
      </c>
      <c r="D3012" t="s">
        <v>1539</v>
      </c>
      <c r="E3012" t="s">
        <v>99</v>
      </c>
      <c r="F3012" t="s">
        <v>668</v>
      </c>
      <c r="G3012" t="s">
        <v>59</v>
      </c>
      <c r="H3012">
        <v>2023</v>
      </c>
    </row>
    <row r="3013" spans="1:8" x14ac:dyDescent="0.2">
      <c r="A3013">
        <v>227378</v>
      </c>
      <c r="B3013">
        <v>40571</v>
      </c>
      <c r="C3013" t="str">
        <f t="shared" si="47"/>
        <v>3. $50K-250K</v>
      </c>
      <c r="D3013" t="s">
        <v>1540</v>
      </c>
      <c r="E3013" t="s">
        <v>141</v>
      </c>
      <c r="F3013" t="s">
        <v>668</v>
      </c>
      <c r="G3013" t="s">
        <v>59</v>
      </c>
      <c r="H3013">
        <v>2023</v>
      </c>
    </row>
    <row r="3014" spans="1:8" x14ac:dyDescent="0.2">
      <c r="A3014">
        <v>227395</v>
      </c>
      <c r="B3014">
        <v>131843.20000000001</v>
      </c>
      <c r="C3014" t="str">
        <f t="shared" si="47"/>
        <v>2. $10K-50K</v>
      </c>
      <c r="D3014" t="s">
        <v>1293</v>
      </c>
      <c r="E3014" t="s">
        <v>99</v>
      </c>
      <c r="F3014" t="s">
        <v>668</v>
      </c>
      <c r="G3014" t="s">
        <v>59</v>
      </c>
      <c r="H3014">
        <v>2023</v>
      </c>
    </row>
    <row r="3015" spans="1:8" x14ac:dyDescent="0.2">
      <c r="A3015">
        <v>227398</v>
      </c>
      <c r="B3015">
        <v>234375</v>
      </c>
      <c r="C3015" t="str">
        <f t="shared" si="47"/>
        <v>3. $50K-250K</v>
      </c>
      <c r="D3015" t="s">
        <v>1541</v>
      </c>
      <c r="E3015" t="s">
        <v>99</v>
      </c>
      <c r="F3015" t="s">
        <v>668</v>
      </c>
      <c r="G3015" t="s">
        <v>59</v>
      </c>
      <c r="H3015">
        <v>2023</v>
      </c>
    </row>
    <row r="3016" spans="1:8" x14ac:dyDescent="0.2">
      <c r="A3016">
        <v>227407</v>
      </c>
      <c r="B3016">
        <v>4180000</v>
      </c>
      <c r="C3016" t="str">
        <f t="shared" si="47"/>
        <v>3. $50K-250K</v>
      </c>
      <c r="D3016" t="s">
        <v>678</v>
      </c>
      <c r="E3016" t="s">
        <v>28</v>
      </c>
      <c r="F3016" t="s">
        <v>668</v>
      </c>
      <c r="G3016" t="s">
        <v>59</v>
      </c>
      <c r="H3016">
        <v>2023</v>
      </c>
    </row>
    <row r="3017" spans="1:8" x14ac:dyDescent="0.2">
      <c r="A3017">
        <v>227518</v>
      </c>
      <c r="B3017">
        <v>9319384.1999999993</v>
      </c>
      <c r="C3017" t="str">
        <f t="shared" si="47"/>
        <v>5. $1M+</v>
      </c>
      <c r="D3017" t="s">
        <v>23</v>
      </c>
      <c r="E3017" t="s">
        <v>8</v>
      </c>
      <c r="F3017" t="s">
        <v>9</v>
      </c>
      <c r="G3017" t="s">
        <v>10</v>
      </c>
      <c r="H3017">
        <v>2023</v>
      </c>
    </row>
    <row r="3018" spans="1:8" x14ac:dyDescent="0.2">
      <c r="A3018">
        <v>227539</v>
      </c>
      <c r="B3018">
        <v>95000</v>
      </c>
      <c r="C3018" t="str">
        <f t="shared" si="47"/>
        <v>5. $1M+</v>
      </c>
      <c r="D3018" t="s">
        <v>1542</v>
      </c>
      <c r="E3018" t="s">
        <v>480</v>
      </c>
      <c r="F3018" t="s">
        <v>668</v>
      </c>
      <c r="G3018" t="s">
        <v>59</v>
      </c>
      <c r="H3018">
        <v>2023</v>
      </c>
    </row>
    <row r="3019" spans="1:8" x14ac:dyDescent="0.2">
      <c r="A3019">
        <v>227542</v>
      </c>
      <c r="B3019">
        <v>50000</v>
      </c>
      <c r="C3019" t="str">
        <f t="shared" si="47"/>
        <v>3. $50K-250K</v>
      </c>
      <c r="D3019" t="s">
        <v>1543</v>
      </c>
      <c r="E3019" t="s">
        <v>480</v>
      </c>
      <c r="F3019" t="s">
        <v>668</v>
      </c>
      <c r="G3019" t="s">
        <v>59</v>
      </c>
      <c r="H3019">
        <v>2023</v>
      </c>
    </row>
    <row r="3020" spans="1:8" x14ac:dyDescent="0.2">
      <c r="A3020">
        <v>227544</v>
      </c>
      <c r="B3020">
        <v>722034.1</v>
      </c>
      <c r="C3020" t="str">
        <f t="shared" si="47"/>
        <v>3. $50K-250K</v>
      </c>
      <c r="D3020" t="s">
        <v>801</v>
      </c>
      <c r="E3020" t="s">
        <v>42</v>
      </c>
      <c r="F3020" t="s">
        <v>670</v>
      </c>
      <c r="G3020" t="s">
        <v>59</v>
      </c>
      <c r="H3020">
        <v>2023</v>
      </c>
    </row>
    <row r="3021" spans="1:8" x14ac:dyDescent="0.2">
      <c r="A3021">
        <v>227545</v>
      </c>
      <c r="B3021">
        <v>387526.40000000002</v>
      </c>
      <c r="C3021" t="str">
        <f t="shared" si="47"/>
        <v>4. $250K-1M</v>
      </c>
      <c r="D3021" t="s">
        <v>884</v>
      </c>
      <c r="E3021" t="s">
        <v>42</v>
      </c>
      <c r="F3021" t="s">
        <v>670</v>
      </c>
      <c r="G3021" t="s">
        <v>59</v>
      </c>
      <c r="H3021">
        <v>2023</v>
      </c>
    </row>
    <row r="3022" spans="1:8" x14ac:dyDescent="0.2">
      <c r="A3022">
        <v>227578</v>
      </c>
      <c r="B3022">
        <v>342761.3</v>
      </c>
      <c r="C3022" t="str">
        <f t="shared" si="47"/>
        <v>4. $250K-1M</v>
      </c>
      <c r="D3022" t="s">
        <v>1022</v>
      </c>
      <c r="E3022" t="s">
        <v>42</v>
      </c>
      <c r="F3022" t="s">
        <v>670</v>
      </c>
      <c r="G3022" t="s">
        <v>59</v>
      </c>
      <c r="H3022">
        <v>2023</v>
      </c>
    </row>
    <row r="3023" spans="1:8" x14ac:dyDescent="0.2">
      <c r="A3023">
        <v>227579</v>
      </c>
      <c r="B3023">
        <v>83649</v>
      </c>
      <c r="C3023" t="str">
        <f t="shared" si="47"/>
        <v>4. $250K-1M</v>
      </c>
      <c r="D3023" t="s">
        <v>888</v>
      </c>
      <c r="E3023" t="s">
        <v>432</v>
      </c>
      <c r="F3023" t="s">
        <v>670</v>
      </c>
      <c r="G3023" t="s">
        <v>59</v>
      </c>
      <c r="H3023">
        <v>2023</v>
      </c>
    </row>
    <row r="3024" spans="1:8" x14ac:dyDescent="0.2">
      <c r="A3024">
        <v>227635</v>
      </c>
      <c r="B3024">
        <v>20203</v>
      </c>
      <c r="C3024" t="str">
        <f t="shared" si="47"/>
        <v>3. $50K-250K</v>
      </c>
      <c r="D3024" t="s">
        <v>749</v>
      </c>
      <c r="E3024" t="s">
        <v>825</v>
      </c>
      <c r="F3024" t="s">
        <v>670</v>
      </c>
      <c r="G3024" t="s">
        <v>59</v>
      </c>
      <c r="H3024">
        <v>2023</v>
      </c>
    </row>
    <row r="3025" spans="1:8" x14ac:dyDescent="0.2">
      <c r="A3025">
        <v>227676</v>
      </c>
      <c r="B3025">
        <v>29249.5</v>
      </c>
      <c r="C3025" t="str">
        <f t="shared" si="47"/>
        <v>2. $10K-50K</v>
      </c>
      <c r="D3025" t="s">
        <v>749</v>
      </c>
      <c r="E3025" t="s">
        <v>825</v>
      </c>
      <c r="F3025" t="s">
        <v>670</v>
      </c>
      <c r="G3025" t="s">
        <v>59</v>
      </c>
      <c r="H3025">
        <v>2023</v>
      </c>
    </row>
    <row r="3026" spans="1:8" x14ac:dyDescent="0.2">
      <c r="A3026">
        <v>227706</v>
      </c>
      <c r="B3026">
        <v>18795.2</v>
      </c>
      <c r="C3026" t="str">
        <f t="shared" si="47"/>
        <v>2. $10K-50K</v>
      </c>
      <c r="D3026" t="s">
        <v>821</v>
      </c>
      <c r="E3026" t="s">
        <v>237</v>
      </c>
      <c r="F3026" t="s">
        <v>670</v>
      </c>
      <c r="G3026" t="s">
        <v>59</v>
      </c>
      <c r="H3026">
        <v>2023</v>
      </c>
    </row>
    <row r="3027" spans="1:8" x14ac:dyDescent="0.2">
      <c r="A3027">
        <v>227709</v>
      </c>
      <c r="B3027">
        <v>37196</v>
      </c>
      <c r="C3027" t="str">
        <f t="shared" si="47"/>
        <v>2. $10K-50K</v>
      </c>
      <c r="D3027" t="s">
        <v>724</v>
      </c>
      <c r="E3027" t="s">
        <v>237</v>
      </c>
      <c r="F3027" t="s">
        <v>670</v>
      </c>
      <c r="G3027" t="s">
        <v>59</v>
      </c>
      <c r="H3027">
        <v>2023</v>
      </c>
    </row>
    <row r="3028" spans="1:8" x14ac:dyDescent="0.2">
      <c r="A3028">
        <v>227710</v>
      </c>
      <c r="B3028">
        <v>161273.60000000001</v>
      </c>
      <c r="C3028" t="str">
        <f t="shared" si="47"/>
        <v>2. $10K-50K</v>
      </c>
      <c r="D3028" t="s">
        <v>957</v>
      </c>
      <c r="E3028" t="s">
        <v>825</v>
      </c>
      <c r="F3028" t="s">
        <v>670</v>
      </c>
      <c r="G3028" t="s">
        <v>59</v>
      </c>
      <c r="H3028">
        <v>2023</v>
      </c>
    </row>
    <row r="3029" spans="1:8" x14ac:dyDescent="0.2">
      <c r="A3029">
        <v>227711</v>
      </c>
      <c r="B3029">
        <v>140907.1</v>
      </c>
      <c r="C3029" t="str">
        <f t="shared" si="47"/>
        <v>3. $50K-250K</v>
      </c>
      <c r="D3029" t="s">
        <v>903</v>
      </c>
      <c r="E3029" t="s">
        <v>237</v>
      </c>
      <c r="F3029" t="s">
        <v>670</v>
      </c>
      <c r="G3029" t="s">
        <v>59</v>
      </c>
      <c r="H3029">
        <v>2023</v>
      </c>
    </row>
    <row r="3030" spans="1:8" x14ac:dyDescent="0.2">
      <c r="A3030">
        <v>227712</v>
      </c>
      <c r="B3030">
        <v>33949.5</v>
      </c>
      <c r="C3030" t="str">
        <f t="shared" si="47"/>
        <v>3. $50K-250K</v>
      </c>
      <c r="D3030" t="s">
        <v>957</v>
      </c>
      <c r="E3030" t="s">
        <v>825</v>
      </c>
      <c r="F3030" t="s">
        <v>670</v>
      </c>
      <c r="G3030" t="s">
        <v>59</v>
      </c>
      <c r="H3030">
        <v>2023</v>
      </c>
    </row>
    <row r="3031" spans="1:8" x14ac:dyDescent="0.2">
      <c r="A3031">
        <v>227716</v>
      </c>
      <c r="B3031">
        <v>143861.79999999999</v>
      </c>
      <c r="C3031" t="str">
        <f t="shared" si="47"/>
        <v>2. $10K-50K</v>
      </c>
      <c r="D3031" t="s">
        <v>936</v>
      </c>
      <c r="E3031" t="s">
        <v>825</v>
      </c>
      <c r="F3031" t="s">
        <v>670</v>
      </c>
      <c r="G3031" t="s">
        <v>59</v>
      </c>
      <c r="H3031">
        <v>2023</v>
      </c>
    </row>
    <row r="3032" spans="1:8" x14ac:dyDescent="0.2">
      <c r="A3032">
        <v>227734</v>
      </c>
      <c r="B3032">
        <v>372257.6</v>
      </c>
      <c r="C3032" t="str">
        <f t="shared" si="47"/>
        <v>3. $50K-250K</v>
      </c>
      <c r="D3032" t="s">
        <v>1019</v>
      </c>
      <c r="E3032" t="s">
        <v>237</v>
      </c>
      <c r="F3032" t="s">
        <v>670</v>
      </c>
      <c r="G3032" t="s">
        <v>59</v>
      </c>
      <c r="H3032">
        <v>2023</v>
      </c>
    </row>
    <row r="3033" spans="1:8" x14ac:dyDescent="0.2">
      <c r="A3033">
        <v>227736</v>
      </c>
      <c r="B3033">
        <v>63627.9</v>
      </c>
      <c r="C3033" t="str">
        <f t="shared" si="47"/>
        <v>4. $250K-1M</v>
      </c>
      <c r="D3033" t="s">
        <v>925</v>
      </c>
      <c r="E3033" t="s">
        <v>237</v>
      </c>
      <c r="F3033" t="s">
        <v>670</v>
      </c>
      <c r="G3033" t="s">
        <v>59</v>
      </c>
      <c r="H3033">
        <v>2023</v>
      </c>
    </row>
    <row r="3034" spans="1:8" x14ac:dyDescent="0.2">
      <c r="A3034">
        <v>227738</v>
      </c>
      <c r="B3034">
        <v>686370.5</v>
      </c>
      <c r="C3034" t="str">
        <f t="shared" si="47"/>
        <v>3. $50K-250K</v>
      </c>
      <c r="D3034" t="s">
        <v>801</v>
      </c>
      <c r="E3034" t="s">
        <v>237</v>
      </c>
      <c r="F3034" t="s">
        <v>670</v>
      </c>
      <c r="G3034" t="s">
        <v>59</v>
      </c>
      <c r="H3034">
        <v>2023</v>
      </c>
    </row>
    <row r="3035" spans="1:8" x14ac:dyDescent="0.2">
      <c r="A3035">
        <v>227741</v>
      </c>
      <c r="B3035">
        <v>125287.6</v>
      </c>
      <c r="C3035" t="str">
        <f t="shared" si="47"/>
        <v>4. $250K-1M</v>
      </c>
      <c r="D3035" t="s">
        <v>707</v>
      </c>
      <c r="E3035" t="s">
        <v>237</v>
      </c>
      <c r="F3035" t="s">
        <v>670</v>
      </c>
      <c r="G3035" t="s">
        <v>59</v>
      </c>
      <c r="H3035">
        <v>2023</v>
      </c>
    </row>
    <row r="3036" spans="1:8" x14ac:dyDescent="0.2">
      <c r="A3036">
        <v>227742</v>
      </c>
      <c r="B3036">
        <v>172743.2</v>
      </c>
      <c r="C3036" t="str">
        <f t="shared" si="47"/>
        <v>3. $50K-250K</v>
      </c>
      <c r="D3036" t="s">
        <v>708</v>
      </c>
      <c r="E3036" t="s">
        <v>237</v>
      </c>
      <c r="F3036" t="s">
        <v>670</v>
      </c>
      <c r="G3036" t="s">
        <v>59</v>
      </c>
      <c r="H3036">
        <v>2023</v>
      </c>
    </row>
    <row r="3037" spans="1:8" x14ac:dyDescent="0.2">
      <c r="A3037">
        <v>227745</v>
      </c>
      <c r="B3037">
        <v>74236</v>
      </c>
      <c r="C3037" t="str">
        <f t="shared" si="47"/>
        <v>3. $50K-250K</v>
      </c>
      <c r="D3037" t="s">
        <v>881</v>
      </c>
      <c r="E3037" t="s">
        <v>237</v>
      </c>
      <c r="F3037" t="s">
        <v>670</v>
      </c>
      <c r="G3037" t="s">
        <v>59</v>
      </c>
      <c r="H3037">
        <v>2023</v>
      </c>
    </row>
    <row r="3038" spans="1:8" x14ac:dyDescent="0.2">
      <c r="A3038">
        <v>227790</v>
      </c>
      <c r="B3038">
        <v>59236</v>
      </c>
      <c r="C3038" t="str">
        <f t="shared" si="47"/>
        <v>3. $50K-250K</v>
      </c>
      <c r="D3038" t="s">
        <v>880</v>
      </c>
      <c r="E3038" t="s">
        <v>18</v>
      </c>
      <c r="F3038" t="s">
        <v>670</v>
      </c>
      <c r="G3038" t="s">
        <v>59</v>
      </c>
      <c r="H3038">
        <v>2023</v>
      </c>
    </row>
    <row r="3039" spans="1:8" x14ac:dyDescent="0.2">
      <c r="A3039">
        <v>227791</v>
      </c>
      <c r="B3039">
        <v>13000</v>
      </c>
      <c r="C3039" t="str">
        <f t="shared" si="47"/>
        <v>3. $50K-250K</v>
      </c>
      <c r="D3039" t="s">
        <v>856</v>
      </c>
      <c r="E3039" t="s">
        <v>237</v>
      </c>
      <c r="F3039" t="s">
        <v>670</v>
      </c>
      <c r="G3039" t="s">
        <v>59</v>
      </c>
      <c r="H3039">
        <v>2023</v>
      </c>
    </row>
    <row r="3040" spans="1:8" x14ac:dyDescent="0.2">
      <c r="A3040">
        <v>227795</v>
      </c>
      <c r="B3040">
        <v>916502</v>
      </c>
      <c r="C3040" t="str">
        <f t="shared" si="47"/>
        <v>2. $10K-50K</v>
      </c>
      <c r="D3040" t="s">
        <v>872</v>
      </c>
      <c r="E3040" t="s">
        <v>237</v>
      </c>
      <c r="F3040" t="s">
        <v>670</v>
      </c>
      <c r="G3040" t="s">
        <v>59</v>
      </c>
      <c r="H3040">
        <v>2023</v>
      </c>
    </row>
    <row r="3041" spans="1:8" x14ac:dyDescent="0.2">
      <c r="A3041">
        <v>227796</v>
      </c>
      <c r="B3041">
        <v>182355</v>
      </c>
      <c r="C3041" t="str">
        <f t="shared" si="47"/>
        <v>4. $250K-1M</v>
      </c>
      <c r="D3041" t="s">
        <v>869</v>
      </c>
      <c r="E3041" t="s">
        <v>237</v>
      </c>
      <c r="F3041" t="s">
        <v>670</v>
      </c>
      <c r="G3041" t="s">
        <v>59</v>
      </c>
      <c r="H3041">
        <v>2023</v>
      </c>
    </row>
    <row r="3042" spans="1:8" x14ac:dyDescent="0.2">
      <c r="A3042">
        <v>227797</v>
      </c>
      <c r="B3042">
        <v>665566</v>
      </c>
      <c r="C3042" t="str">
        <f t="shared" si="47"/>
        <v>3. $50K-250K</v>
      </c>
      <c r="D3042" t="s">
        <v>867</v>
      </c>
      <c r="E3042" t="s">
        <v>237</v>
      </c>
      <c r="F3042" t="s">
        <v>670</v>
      </c>
      <c r="G3042" t="s">
        <v>59</v>
      </c>
      <c r="H3042">
        <v>2023</v>
      </c>
    </row>
    <row r="3043" spans="1:8" x14ac:dyDescent="0.2">
      <c r="A3043">
        <v>227799</v>
      </c>
      <c r="B3043">
        <v>107986</v>
      </c>
      <c r="C3043" t="str">
        <f t="shared" si="47"/>
        <v>4. $250K-1M</v>
      </c>
      <c r="D3043" t="s">
        <v>882</v>
      </c>
      <c r="E3043" t="s">
        <v>237</v>
      </c>
      <c r="F3043" t="s">
        <v>670</v>
      </c>
      <c r="G3043" t="s">
        <v>59</v>
      </c>
      <c r="H3043">
        <v>2023</v>
      </c>
    </row>
    <row r="3044" spans="1:8" x14ac:dyDescent="0.2">
      <c r="A3044">
        <v>227800</v>
      </c>
      <c r="B3044">
        <v>133640</v>
      </c>
      <c r="C3044" t="str">
        <f t="shared" si="47"/>
        <v>3. $50K-250K</v>
      </c>
      <c r="D3044" t="s">
        <v>794</v>
      </c>
      <c r="E3044" t="s">
        <v>237</v>
      </c>
      <c r="F3044" t="s">
        <v>670</v>
      </c>
      <c r="G3044" t="s">
        <v>59</v>
      </c>
      <c r="H3044">
        <v>2023</v>
      </c>
    </row>
    <row r="3045" spans="1:8" x14ac:dyDescent="0.2">
      <c r="A3045">
        <v>227801</v>
      </c>
      <c r="B3045">
        <v>243423.7</v>
      </c>
      <c r="C3045" t="str">
        <f t="shared" si="47"/>
        <v>3. $50K-250K</v>
      </c>
      <c r="D3045" t="s">
        <v>810</v>
      </c>
      <c r="E3045" t="s">
        <v>42</v>
      </c>
      <c r="F3045" t="s">
        <v>670</v>
      </c>
      <c r="G3045" t="s">
        <v>59</v>
      </c>
      <c r="H3045">
        <v>2023</v>
      </c>
    </row>
    <row r="3046" spans="1:8" x14ac:dyDescent="0.2">
      <c r="A3046">
        <v>227802</v>
      </c>
      <c r="B3046">
        <v>189978.4</v>
      </c>
      <c r="C3046" t="str">
        <f t="shared" si="47"/>
        <v>3. $50K-250K</v>
      </c>
      <c r="D3046" t="s">
        <v>800</v>
      </c>
      <c r="E3046" t="s">
        <v>237</v>
      </c>
      <c r="F3046" t="s">
        <v>670</v>
      </c>
      <c r="G3046" t="s">
        <v>59</v>
      </c>
      <c r="H3046">
        <v>2023</v>
      </c>
    </row>
    <row r="3047" spans="1:8" x14ac:dyDescent="0.2">
      <c r="A3047">
        <v>227804</v>
      </c>
      <c r="B3047">
        <v>213396.5</v>
      </c>
      <c r="C3047" t="str">
        <f t="shared" si="47"/>
        <v>3. $50K-250K</v>
      </c>
      <c r="D3047" t="s">
        <v>832</v>
      </c>
      <c r="E3047" t="s">
        <v>237</v>
      </c>
      <c r="F3047" t="s">
        <v>670</v>
      </c>
      <c r="G3047" t="s">
        <v>59</v>
      </c>
      <c r="H3047">
        <v>2023</v>
      </c>
    </row>
    <row r="3048" spans="1:8" x14ac:dyDescent="0.2">
      <c r="A3048">
        <v>227805</v>
      </c>
      <c r="B3048">
        <v>72000</v>
      </c>
      <c r="C3048" t="str">
        <f t="shared" si="47"/>
        <v>3. $50K-250K</v>
      </c>
      <c r="D3048" t="s">
        <v>839</v>
      </c>
      <c r="E3048" t="s">
        <v>237</v>
      </c>
      <c r="F3048" t="s">
        <v>670</v>
      </c>
      <c r="G3048" t="s">
        <v>59</v>
      </c>
      <c r="H3048">
        <v>2023</v>
      </c>
    </row>
    <row r="3049" spans="1:8" x14ac:dyDescent="0.2">
      <c r="A3049">
        <v>227806</v>
      </c>
      <c r="B3049">
        <v>150000</v>
      </c>
      <c r="C3049" t="str">
        <f t="shared" si="47"/>
        <v>3. $50K-250K</v>
      </c>
      <c r="D3049" t="s">
        <v>924</v>
      </c>
      <c r="E3049" t="s">
        <v>237</v>
      </c>
      <c r="F3049" t="s">
        <v>670</v>
      </c>
      <c r="G3049" t="s">
        <v>59</v>
      </c>
      <c r="H3049">
        <v>2023</v>
      </c>
    </row>
    <row r="3050" spans="1:8" x14ac:dyDescent="0.2">
      <c r="A3050">
        <v>227807</v>
      </c>
      <c r="B3050">
        <v>6753.0999999999904</v>
      </c>
      <c r="C3050" t="str">
        <f t="shared" si="47"/>
        <v>3. $50K-250K</v>
      </c>
      <c r="D3050" t="s">
        <v>832</v>
      </c>
      <c r="E3050" t="s">
        <v>237</v>
      </c>
      <c r="F3050" t="s">
        <v>670</v>
      </c>
      <c r="G3050" t="s">
        <v>59</v>
      </c>
      <c r="H3050">
        <v>2023</v>
      </c>
    </row>
    <row r="3051" spans="1:8" x14ac:dyDescent="0.2">
      <c r="A3051">
        <v>227808</v>
      </c>
      <c r="B3051">
        <v>49200</v>
      </c>
      <c r="C3051" t="str">
        <f t="shared" si="47"/>
        <v>1. Under $10K</v>
      </c>
      <c r="D3051" t="s">
        <v>822</v>
      </c>
      <c r="E3051" t="s">
        <v>237</v>
      </c>
      <c r="F3051" t="s">
        <v>670</v>
      </c>
      <c r="G3051" t="s">
        <v>59</v>
      </c>
      <c r="H3051">
        <v>2023</v>
      </c>
    </row>
    <row r="3052" spans="1:8" x14ac:dyDescent="0.2">
      <c r="A3052">
        <v>227809</v>
      </c>
      <c r="B3052">
        <v>72000</v>
      </c>
      <c r="C3052" t="str">
        <f t="shared" si="47"/>
        <v>2. $10K-50K</v>
      </c>
      <c r="D3052" t="s">
        <v>1105</v>
      </c>
      <c r="E3052" t="s">
        <v>237</v>
      </c>
      <c r="F3052" t="s">
        <v>670</v>
      </c>
      <c r="G3052" t="s">
        <v>59</v>
      </c>
      <c r="H3052">
        <v>2023</v>
      </c>
    </row>
    <row r="3053" spans="1:8" x14ac:dyDescent="0.2">
      <c r="A3053">
        <v>227810</v>
      </c>
      <c r="B3053">
        <v>48000</v>
      </c>
      <c r="C3053" t="str">
        <f t="shared" si="47"/>
        <v>3. $50K-250K</v>
      </c>
      <c r="D3053" t="s">
        <v>1096</v>
      </c>
      <c r="E3053" t="s">
        <v>237</v>
      </c>
      <c r="F3053" t="s">
        <v>670</v>
      </c>
      <c r="G3053" t="s">
        <v>59</v>
      </c>
      <c r="H3053">
        <v>2023</v>
      </c>
    </row>
    <row r="3054" spans="1:8" x14ac:dyDescent="0.2">
      <c r="A3054">
        <v>227811</v>
      </c>
      <c r="B3054">
        <v>72000</v>
      </c>
      <c r="C3054" t="str">
        <f t="shared" si="47"/>
        <v>2. $10K-50K</v>
      </c>
      <c r="D3054" t="s">
        <v>762</v>
      </c>
      <c r="E3054" t="s">
        <v>237</v>
      </c>
      <c r="F3054" t="s">
        <v>670</v>
      </c>
      <c r="G3054" t="s">
        <v>59</v>
      </c>
      <c r="H3054">
        <v>2023</v>
      </c>
    </row>
    <row r="3055" spans="1:8" x14ac:dyDescent="0.2">
      <c r="A3055">
        <v>227812</v>
      </c>
      <c r="B3055">
        <v>320508</v>
      </c>
      <c r="C3055" t="str">
        <f t="shared" si="47"/>
        <v>3. $50K-250K</v>
      </c>
      <c r="D3055" t="s">
        <v>697</v>
      </c>
      <c r="E3055" t="s">
        <v>237</v>
      </c>
      <c r="F3055" t="s">
        <v>670</v>
      </c>
      <c r="G3055" t="s">
        <v>59</v>
      </c>
      <c r="H3055">
        <v>2023</v>
      </c>
    </row>
    <row r="3056" spans="1:8" x14ac:dyDescent="0.2">
      <c r="A3056">
        <v>227813</v>
      </c>
      <c r="B3056">
        <v>20608</v>
      </c>
      <c r="C3056" t="str">
        <f t="shared" si="47"/>
        <v>4. $250K-1M</v>
      </c>
      <c r="D3056" t="s">
        <v>1099</v>
      </c>
      <c r="E3056" t="s">
        <v>237</v>
      </c>
      <c r="F3056" t="s">
        <v>670</v>
      </c>
      <c r="G3056" t="s">
        <v>59</v>
      </c>
      <c r="H3056">
        <v>2023</v>
      </c>
    </row>
    <row r="3057" spans="1:8" x14ac:dyDescent="0.2">
      <c r="A3057">
        <v>227814</v>
      </c>
      <c r="B3057">
        <v>48000</v>
      </c>
      <c r="C3057" t="str">
        <f t="shared" si="47"/>
        <v>2. $10K-50K</v>
      </c>
      <c r="D3057" t="s">
        <v>1099</v>
      </c>
      <c r="E3057" t="s">
        <v>237</v>
      </c>
      <c r="F3057" t="s">
        <v>670</v>
      </c>
      <c r="G3057" t="s">
        <v>59</v>
      </c>
      <c r="H3057">
        <v>2023</v>
      </c>
    </row>
    <row r="3058" spans="1:8" x14ac:dyDescent="0.2">
      <c r="A3058">
        <v>227815</v>
      </c>
      <c r="B3058">
        <v>54000</v>
      </c>
      <c r="C3058" t="str">
        <f t="shared" si="47"/>
        <v>2. $10K-50K</v>
      </c>
      <c r="D3058" t="s">
        <v>1063</v>
      </c>
      <c r="E3058" t="s">
        <v>237</v>
      </c>
      <c r="F3058" t="s">
        <v>670</v>
      </c>
      <c r="G3058" t="s">
        <v>59</v>
      </c>
      <c r="H3058">
        <v>2023</v>
      </c>
    </row>
    <row r="3059" spans="1:8" x14ac:dyDescent="0.2">
      <c r="A3059">
        <v>227816</v>
      </c>
      <c r="B3059">
        <v>54000</v>
      </c>
      <c r="C3059" t="str">
        <f t="shared" si="47"/>
        <v>3. $50K-250K</v>
      </c>
      <c r="D3059" t="s">
        <v>908</v>
      </c>
      <c r="E3059" t="s">
        <v>237</v>
      </c>
      <c r="F3059" t="s">
        <v>670</v>
      </c>
      <c r="G3059" t="s">
        <v>59</v>
      </c>
      <c r="H3059">
        <v>2023</v>
      </c>
    </row>
    <row r="3060" spans="1:8" x14ac:dyDescent="0.2">
      <c r="A3060">
        <v>227817</v>
      </c>
      <c r="B3060">
        <v>168000</v>
      </c>
      <c r="C3060" t="str">
        <f t="shared" si="47"/>
        <v>3. $50K-250K</v>
      </c>
      <c r="D3060" t="s">
        <v>1105</v>
      </c>
      <c r="E3060" t="s">
        <v>237</v>
      </c>
      <c r="F3060" t="s">
        <v>670</v>
      </c>
      <c r="G3060" t="s">
        <v>59</v>
      </c>
      <c r="H3060">
        <v>2023</v>
      </c>
    </row>
    <row r="3061" spans="1:8" x14ac:dyDescent="0.2">
      <c r="A3061">
        <v>227822</v>
      </c>
      <c r="B3061">
        <v>37063.5</v>
      </c>
      <c r="C3061" t="str">
        <f t="shared" si="47"/>
        <v>3. $50K-250K</v>
      </c>
      <c r="D3061" t="s">
        <v>1544</v>
      </c>
      <c r="E3061" t="s">
        <v>825</v>
      </c>
      <c r="F3061" t="s">
        <v>670</v>
      </c>
      <c r="G3061" t="s">
        <v>59</v>
      </c>
      <c r="H3061">
        <v>2023</v>
      </c>
    </row>
    <row r="3062" spans="1:8" x14ac:dyDescent="0.2">
      <c r="A3062">
        <v>227836</v>
      </c>
      <c r="B3062">
        <v>580878</v>
      </c>
      <c r="C3062" t="str">
        <f t="shared" si="47"/>
        <v>2. $10K-50K</v>
      </c>
      <c r="D3062" t="s">
        <v>1063</v>
      </c>
      <c r="E3062" t="s">
        <v>237</v>
      </c>
      <c r="F3062" t="s">
        <v>670</v>
      </c>
      <c r="G3062" t="s">
        <v>59</v>
      </c>
      <c r="H3062">
        <v>2023</v>
      </c>
    </row>
    <row r="3063" spans="1:8" x14ac:dyDescent="0.2">
      <c r="A3063">
        <v>227838</v>
      </c>
      <c r="B3063">
        <v>580878</v>
      </c>
      <c r="C3063" t="str">
        <f t="shared" si="47"/>
        <v>4. $250K-1M</v>
      </c>
      <c r="D3063" t="s">
        <v>1096</v>
      </c>
      <c r="E3063" t="s">
        <v>237</v>
      </c>
      <c r="F3063" t="s">
        <v>670</v>
      </c>
      <c r="G3063" t="s">
        <v>59</v>
      </c>
      <c r="H3063">
        <v>2023</v>
      </c>
    </row>
    <row r="3064" spans="1:8" x14ac:dyDescent="0.2">
      <c r="A3064">
        <v>227839</v>
      </c>
      <c r="B3064">
        <v>580878</v>
      </c>
      <c r="C3064" t="str">
        <f t="shared" si="47"/>
        <v>4. $250K-1M</v>
      </c>
      <c r="D3064" t="s">
        <v>1545</v>
      </c>
      <c r="E3064" t="s">
        <v>237</v>
      </c>
      <c r="F3064" t="s">
        <v>670</v>
      </c>
      <c r="G3064" t="s">
        <v>59</v>
      </c>
      <c r="H3064">
        <v>2023</v>
      </c>
    </row>
    <row r="3065" spans="1:8" x14ac:dyDescent="0.2">
      <c r="A3065">
        <v>227840</v>
      </c>
      <c r="B3065">
        <v>580878</v>
      </c>
      <c r="C3065" t="str">
        <f t="shared" si="47"/>
        <v>4. $250K-1M</v>
      </c>
      <c r="D3065" t="s">
        <v>1069</v>
      </c>
      <c r="E3065" t="s">
        <v>237</v>
      </c>
      <c r="F3065" t="s">
        <v>670</v>
      </c>
      <c r="G3065" t="s">
        <v>59</v>
      </c>
      <c r="H3065">
        <v>2023</v>
      </c>
    </row>
    <row r="3066" spans="1:8" x14ac:dyDescent="0.2">
      <c r="A3066">
        <v>227841</v>
      </c>
      <c r="B3066">
        <v>580878</v>
      </c>
      <c r="C3066" t="str">
        <f t="shared" si="47"/>
        <v>4. $250K-1M</v>
      </c>
      <c r="D3066" t="s">
        <v>985</v>
      </c>
      <c r="E3066" t="s">
        <v>237</v>
      </c>
      <c r="F3066" t="s">
        <v>670</v>
      </c>
      <c r="G3066" t="s">
        <v>59</v>
      </c>
      <c r="H3066">
        <v>2023</v>
      </c>
    </row>
    <row r="3067" spans="1:8" x14ac:dyDescent="0.2">
      <c r="A3067">
        <v>227842</v>
      </c>
      <c r="B3067">
        <v>580878</v>
      </c>
      <c r="C3067" t="str">
        <f t="shared" si="47"/>
        <v>4. $250K-1M</v>
      </c>
      <c r="D3067" t="s">
        <v>957</v>
      </c>
      <c r="E3067" t="s">
        <v>237</v>
      </c>
      <c r="F3067" t="s">
        <v>670</v>
      </c>
      <c r="G3067" t="s">
        <v>59</v>
      </c>
      <c r="H3067">
        <v>2023</v>
      </c>
    </row>
    <row r="3068" spans="1:8" x14ac:dyDescent="0.2">
      <c r="A3068">
        <v>227844</v>
      </c>
      <c r="B3068">
        <v>580878</v>
      </c>
      <c r="C3068" t="str">
        <f t="shared" si="47"/>
        <v>4. $250K-1M</v>
      </c>
      <c r="D3068" t="s">
        <v>999</v>
      </c>
      <c r="E3068" t="s">
        <v>237</v>
      </c>
      <c r="F3068" t="s">
        <v>670</v>
      </c>
      <c r="G3068" t="s">
        <v>59</v>
      </c>
      <c r="H3068">
        <v>2023</v>
      </c>
    </row>
    <row r="3069" spans="1:8" x14ac:dyDescent="0.2">
      <c r="A3069">
        <v>227845</v>
      </c>
      <c r="B3069">
        <v>580878</v>
      </c>
      <c r="C3069" t="str">
        <f t="shared" si="47"/>
        <v>4. $250K-1M</v>
      </c>
      <c r="D3069" t="s">
        <v>1546</v>
      </c>
      <c r="E3069" t="s">
        <v>237</v>
      </c>
      <c r="F3069" t="s">
        <v>670</v>
      </c>
      <c r="G3069" t="s">
        <v>59</v>
      </c>
      <c r="H3069">
        <v>2023</v>
      </c>
    </row>
    <row r="3070" spans="1:8" x14ac:dyDescent="0.2">
      <c r="A3070">
        <v>227846</v>
      </c>
      <c r="B3070">
        <v>580878</v>
      </c>
      <c r="C3070" t="str">
        <f t="shared" si="47"/>
        <v>4. $250K-1M</v>
      </c>
      <c r="D3070" t="s">
        <v>801</v>
      </c>
      <c r="E3070" t="s">
        <v>237</v>
      </c>
      <c r="F3070" t="s">
        <v>670</v>
      </c>
      <c r="G3070" t="s">
        <v>59</v>
      </c>
      <c r="H3070">
        <v>2023</v>
      </c>
    </row>
    <row r="3071" spans="1:8" x14ac:dyDescent="0.2">
      <c r="A3071">
        <v>227847</v>
      </c>
      <c r="B3071">
        <v>580878</v>
      </c>
      <c r="C3071" t="str">
        <f t="shared" si="47"/>
        <v>4. $250K-1M</v>
      </c>
      <c r="D3071" t="s">
        <v>1074</v>
      </c>
      <c r="E3071" t="s">
        <v>237</v>
      </c>
      <c r="F3071" t="s">
        <v>670</v>
      </c>
      <c r="G3071" t="s">
        <v>59</v>
      </c>
      <c r="H3071">
        <v>2023</v>
      </c>
    </row>
    <row r="3072" spans="1:8" x14ac:dyDescent="0.2">
      <c r="A3072">
        <v>227849</v>
      </c>
      <c r="B3072">
        <v>580878</v>
      </c>
      <c r="C3072" t="str">
        <f t="shared" si="47"/>
        <v>4. $250K-1M</v>
      </c>
      <c r="D3072" t="s">
        <v>804</v>
      </c>
      <c r="E3072" t="s">
        <v>237</v>
      </c>
      <c r="F3072" t="s">
        <v>670</v>
      </c>
      <c r="G3072" t="s">
        <v>59</v>
      </c>
      <c r="H3072">
        <v>2023</v>
      </c>
    </row>
    <row r="3073" spans="1:8" x14ac:dyDescent="0.2">
      <c r="A3073">
        <v>227851</v>
      </c>
      <c r="B3073">
        <v>580878</v>
      </c>
      <c r="C3073" t="str">
        <f t="shared" si="47"/>
        <v>4. $250K-1M</v>
      </c>
      <c r="D3073" t="s">
        <v>1360</v>
      </c>
      <c r="E3073" t="s">
        <v>237</v>
      </c>
      <c r="F3073" t="s">
        <v>670</v>
      </c>
      <c r="G3073" t="s">
        <v>59</v>
      </c>
      <c r="H3073">
        <v>2023</v>
      </c>
    </row>
    <row r="3074" spans="1:8" x14ac:dyDescent="0.2">
      <c r="A3074">
        <v>227853</v>
      </c>
      <c r="B3074">
        <v>123999</v>
      </c>
      <c r="C3074" t="str">
        <f t="shared" si="47"/>
        <v>4. $250K-1M</v>
      </c>
      <c r="D3074" t="s">
        <v>1547</v>
      </c>
      <c r="E3074" t="s">
        <v>825</v>
      </c>
      <c r="F3074" t="s">
        <v>670</v>
      </c>
      <c r="G3074" t="s">
        <v>59</v>
      </c>
      <c r="H3074">
        <v>2023</v>
      </c>
    </row>
    <row r="3075" spans="1:8" x14ac:dyDescent="0.2">
      <c r="A3075">
        <v>227871</v>
      </c>
      <c r="B3075">
        <v>187124.1</v>
      </c>
      <c r="C3075" t="str">
        <f t="shared" ref="C3075:C3138" si="48">IF(B3074&lt;10000,"1. Under $10K",IF(B3074&lt;50000,"2. $10K-50K",IF(B3074&lt;250000,"3. $50K-250K",IF(B3074&lt;1000000,"4. $250K-1M","5. $1M+"))))</f>
        <v>3. $50K-250K</v>
      </c>
      <c r="D3075" t="s">
        <v>945</v>
      </c>
      <c r="E3075" t="s">
        <v>825</v>
      </c>
      <c r="F3075" t="s">
        <v>670</v>
      </c>
      <c r="G3075" t="s">
        <v>59</v>
      </c>
      <c r="H3075">
        <v>2023</v>
      </c>
    </row>
    <row r="3076" spans="1:8" x14ac:dyDescent="0.2">
      <c r="A3076">
        <v>227925</v>
      </c>
      <c r="B3076">
        <v>120000</v>
      </c>
      <c r="C3076" t="str">
        <f t="shared" si="48"/>
        <v>3. $50K-250K</v>
      </c>
      <c r="D3076" t="s">
        <v>876</v>
      </c>
      <c r="E3076" t="s">
        <v>237</v>
      </c>
      <c r="F3076" t="s">
        <v>670</v>
      </c>
      <c r="G3076" t="s">
        <v>59</v>
      </c>
      <c r="H3076">
        <v>2023</v>
      </c>
    </row>
    <row r="3077" spans="1:8" x14ac:dyDescent="0.2">
      <c r="A3077">
        <v>227953</v>
      </c>
      <c r="B3077">
        <v>300000</v>
      </c>
      <c r="C3077" t="str">
        <f t="shared" si="48"/>
        <v>3. $50K-250K</v>
      </c>
      <c r="D3077" t="s">
        <v>1295</v>
      </c>
      <c r="E3077" t="s">
        <v>237</v>
      </c>
      <c r="F3077" t="s">
        <v>670</v>
      </c>
      <c r="G3077" t="s">
        <v>59</v>
      </c>
      <c r="H3077">
        <v>2023</v>
      </c>
    </row>
    <row r="3078" spans="1:8" x14ac:dyDescent="0.2">
      <c r="A3078">
        <v>227977</v>
      </c>
      <c r="B3078">
        <v>300000</v>
      </c>
      <c r="C3078" t="str">
        <f t="shared" si="48"/>
        <v>4. $250K-1M</v>
      </c>
      <c r="D3078" t="s">
        <v>893</v>
      </c>
      <c r="E3078" t="s">
        <v>891</v>
      </c>
      <c r="F3078" t="s">
        <v>670</v>
      </c>
      <c r="G3078" t="s">
        <v>59</v>
      </c>
      <c r="H3078">
        <v>2023</v>
      </c>
    </row>
    <row r="3079" spans="1:8" x14ac:dyDescent="0.2">
      <c r="A3079">
        <v>228006</v>
      </c>
      <c r="B3079">
        <v>2400000</v>
      </c>
      <c r="C3079" t="str">
        <f t="shared" si="48"/>
        <v>4. $250K-1M</v>
      </c>
      <c r="D3079" t="s">
        <v>863</v>
      </c>
      <c r="E3079" t="s">
        <v>237</v>
      </c>
      <c r="F3079" t="s">
        <v>670</v>
      </c>
      <c r="G3079" t="s">
        <v>59</v>
      </c>
      <c r="H3079">
        <v>2023</v>
      </c>
    </row>
    <row r="3080" spans="1:8" x14ac:dyDescent="0.2">
      <c r="A3080">
        <v>228024</v>
      </c>
      <c r="B3080">
        <v>62280</v>
      </c>
      <c r="C3080" t="str">
        <f t="shared" si="48"/>
        <v>5. $1M+</v>
      </c>
      <c r="D3080" t="s">
        <v>892</v>
      </c>
      <c r="E3080" t="s">
        <v>825</v>
      </c>
      <c r="F3080" t="s">
        <v>670</v>
      </c>
      <c r="G3080" t="s">
        <v>59</v>
      </c>
      <c r="H3080">
        <v>2023</v>
      </c>
    </row>
    <row r="3081" spans="1:8" x14ac:dyDescent="0.2">
      <c r="A3081">
        <v>228029</v>
      </c>
      <c r="B3081">
        <v>61901</v>
      </c>
      <c r="C3081" t="str">
        <f t="shared" si="48"/>
        <v>3. $50K-250K</v>
      </c>
      <c r="D3081" t="s">
        <v>749</v>
      </c>
      <c r="E3081" t="s">
        <v>237</v>
      </c>
      <c r="F3081" t="s">
        <v>670</v>
      </c>
      <c r="G3081" t="s">
        <v>59</v>
      </c>
      <c r="H3081">
        <v>2023</v>
      </c>
    </row>
    <row r="3082" spans="1:8" x14ac:dyDescent="0.2">
      <c r="A3082">
        <v>228030</v>
      </c>
      <c r="B3082">
        <v>93308.6</v>
      </c>
      <c r="C3082" t="str">
        <f t="shared" si="48"/>
        <v>3. $50K-250K</v>
      </c>
      <c r="D3082" t="s">
        <v>1478</v>
      </c>
      <c r="E3082" t="s">
        <v>237</v>
      </c>
      <c r="F3082" t="s">
        <v>670</v>
      </c>
      <c r="G3082" t="s">
        <v>59</v>
      </c>
      <c r="H3082">
        <v>2023</v>
      </c>
    </row>
    <row r="3083" spans="1:8" x14ac:dyDescent="0.2">
      <c r="A3083">
        <v>228035</v>
      </c>
      <c r="B3083">
        <v>76686.7</v>
      </c>
      <c r="C3083" t="str">
        <f t="shared" si="48"/>
        <v>3. $50K-250K</v>
      </c>
      <c r="D3083" t="s">
        <v>1478</v>
      </c>
      <c r="E3083" t="s">
        <v>237</v>
      </c>
      <c r="F3083" t="s">
        <v>670</v>
      </c>
      <c r="G3083" t="s">
        <v>59</v>
      </c>
      <c r="H3083">
        <v>2023</v>
      </c>
    </row>
    <row r="3084" spans="1:8" x14ac:dyDescent="0.2">
      <c r="A3084">
        <v>228079</v>
      </c>
      <c r="B3084">
        <v>347183.6</v>
      </c>
      <c r="C3084" t="str">
        <f t="shared" si="48"/>
        <v>3. $50K-250K</v>
      </c>
      <c r="D3084" t="s">
        <v>1531</v>
      </c>
      <c r="E3084" t="s">
        <v>368</v>
      </c>
      <c r="F3084" t="s">
        <v>668</v>
      </c>
      <c r="G3084" t="s">
        <v>59</v>
      </c>
      <c r="H3084">
        <v>2023</v>
      </c>
    </row>
    <row r="3085" spans="1:8" x14ac:dyDescent="0.2">
      <c r="A3085">
        <v>228081</v>
      </c>
      <c r="B3085">
        <v>1500000</v>
      </c>
      <c r="C3085" t="str">
        <f t="shared" si="48"/>
        <v>4. $250K-1M</v>
      </c>
      <c r="D3085" t="s">
        <v>1548</v>
      </c>
      <c r="E3085" t="s">
        <v>99</v>
      </c>
      <c r="F3085" t="s">
        <v>668</v>
      </c>
      <c r="G3085" t="s">
        <v>59</v>
      </c>
      <c r="H3085">
        <v>2023</v>
      </c>
    </row>
    <row r="3086" spans="1:8" x14ac:dyDescent="0.2">
      <c r="A3086">
        <v>228082</v>
      </c>
      <c r="B3086">
        <v>527270</v>
      </c>
      <c r="C3086" t="str">
        <f t="shared" si="48"/>
        <v>5. $1M+</v>
      </c>
      <c r="D3086" t="s">
        <v>943</v>
      </c>
      <c r="E3086" t="s">
        <v>99</v>
      </c>
      <c r="F3086" t="s">
        <v>670</v>
      </c>
      <c r="G3086" t="s">
        <v>44</v>
      </c>
      <c r="H3086">
        <v>2023</v>
      </c>
    </row>
    <row r="3087" spans="1:8" x14ac:dyDescent="0.2">
      <c r="A3087">
        <v>228083</v>
      </c>
      <c r="B3087">
        <v>542472</v>
      </c>
      <c r="C3087" t="str">
        <f t="shared" si="48"/>
        <v>4. $250K-1M</v>
      </c>
      <c r="D3087" t="s">
        <v>1549</v>
      </c>
      <c r="E3087" t="s">
        <v>99</v>
      </c>
      <c r="F3087" t="s">
        <v>670</v>
      </c>
      <c r="G3087" t="s">
        <v>44</v>
      </c>
      <c r="H3087">
        <v>2023</v>
      </c>
    </row>
    <row r="3088" spans="1:8" x14ac:dyDescent="0.2">
      <c r="A3088">
        <v>228084</v>
      </c>
      <c r="B3088">
        <v>267000</v>
      </c>
      <c r="C3088" t="str">
        <f t="shared" si="48"/>
        <v>4. $250K-1M</v>
      </c>
      <c r="D3088" t="s">
        <v>1550</v>
      </c>
      <c r="E3088" t="s">
        <v>99</v>
      </c>
      <c r="F3088" t="s">
        <v>670</v>
      </c>
      <c r="G3088" t="s">
        <v>44</v>
      </c>
      <c r="H3088">
        <v>2023</v>
      </c>
    </row>
    <row r="3089" spans="1:8" x14ac:dyDescent="0.2">
      <c r="A3089">
        <v>228085</v>
      </c>
      <c r="B3089">
        <v>1146876</v>
      </c>
      <c r="C3089" t="str">
        <f t="shared" si="48"/>
        <v>4. $250K-1M</v>
      </c>
      <c r="D3089" t="s">
        <v>1551</v>
      </c>
      <c r="E3089" t="s">
        <v>99</v>
      </c>
      <c r="F3089" t="s">
        <v>670</v>
      </c>
      <c r="G3089" t="s">
        <v>44</v>
      </c>
      <c r="H3089">
        <v>2023</v>
      </c>
    </row>
    <row r="3090" spans="1:8" x14ac:dyDescent="0.2">
      <c r="A3090">
        <v>228086</v>
      </c>
      <c r="B3090">
        <v>536000</v>
      </c>
      <c r="C3090" t="str">
        <f t="shared" si="48"/>
        <v>5. $1M+</v>
      </c>
      <c r="D3090" t="s">
        <v>1552</v>
      </c>
      <c r="E3090" t="s">
        <v>99</v>
      </c>
      <c r="F3090" t="s">
        <v>670</v>
      </c>
      <c r="G3090" t="s">
        <v>44</v>
      </c>
      <c r="H3090">
        <v>2023</v>
      </c>
    </row>
    <row r="3091" spans="1:8" x14ac:dyDescent="0.2">
      <c r="A3091">
        <v>228087</v>
      </c>
      <c r="B3091">
        <v>267000</v>
      </c>
      <c r="C3091" t="str">
        <f t="shared" si="48"/>
        <v>4. $250K-1M</v>
      </c>
      <c r="D3091" t="s">
        <v>1387</v>
      </c>
      <c r="E3091" t="s">
        <v>99</v>
      </c>
      <c r="F3091" t="s">
        <v>670</v>
      </c>
      <c r="G3091" t="s">
        <v>44</v>
      </c>
      <c r="H3091">
        <v>2023</v>
      </c>
    </row>
    <row r="3092" spans="1:8" x14ac:dyDescent="0.2">
      <c r="A3092">
        <v>228088</v>
      </c>
      <c r="B3092">
        <v>216000</v>
      </c>
      <c r="C3092" t="str">
        <f t="shared" si="48"/>
        <v>4. $250K-1M</v>
      </c>
      <c r="D3092" t="s">
        <v>1176</v>
      </c>
      <c r="E3092" t="s">
        <v>237</v>
      </c>
      <c r="F3092" t="s">
        <v>670</v>
      </c>
      <c r="G3092" t="s">
        <v>59</v>
      </c>
      <c r="H3092">
        <v>2023</v>
      </c>
    </row>
    <row r="3093" spans="1:8" x14ac:dyDescent="0.2">
      <c r="A3093">
        <v>228089</v>
      </c>
      <c r="B3093">
        <v>288000</v>
      </c>
      <c r="C3093" t="str">
        <f t="shared" si="48"/>
        <v>3. $50K-250K</v>
      </c>
      <c r="D3093" t="s">
        <v>1553</v>
      </c>
      <c r="E3093" t="s">
        <v>237</v>
      </c>
      <c r="F3093" t="s">
        <v>670</v>
      </c>
      <c r="G3093" t="s">
        <v>59</v>
      </c>
      <c r="H3093">
        <v>2023</v>
      </c>
    </row>
    <row r="3094" spans="1:8" x14ac:dyDescent="0.2">
      <c r="A3094">
        <v>228090</v>
      </c>
      <c r="B3094">
        <v>108000</v>
      </c>
      <c r="C3094" t="str">
        <f t="shared" si="48"/>
        <v>4. $250K-1M</v>
      </c>
      <c r="D3094" t="s">
        <v>1491</v>
      </c>
      <c r="E3094" t="s">
        <v>237</v>
      </c>
      <c r="F3094" t="s">
        <v>670</v>
      </c>
      <c r="G3094" t="s">
        <v>59</v>
      </c>
      <c r="H3094">
        <v>2023</v>
      </c>
    </row>
    <row r="3095" spans="1:8" x14ac:dyDescent="0.2">
      <c r="A3095">
        <v>228092</v>
      </c>
      <c r="B3095">
        <v>6220058</v>
      </c>
      <c r="C3095" t="str">
        <f t="shared" si="48"/>
        <v>3. $50K-250K</v>
      </c>
      <c r="D3095" t="s">
        <v>1554</v>
      </c>
      <c r="E3095" t="s">
        <v>99</v>
      </c>
      <c r="F3095" t="s">
        <v>668</v>
      </c>
      <c r="G3095" t="s">
        <v>59</v>
      </c>
      <c r="H3095">
        <v>2023</v>
      </c>
    </row>
    <row r="3096" spans="1:8" x14ac:dyDescent="0.2">
      <c r="A3096">
        <v>228093</v>
      </c>
      <c r="B3096">
        <v>108000</v>
      </c>
      <c r="C3096" t="str">
        <f t="shared" si="48"/>
        <v>5. $1M+</v>
      </c>
      <c r="D3096" t="s">
        <v>983</v>
      </c>
      <c r="E3096" t="s">
        <v>237</v>
      </c>
      <c r="F3096" t="s">
        <v>670</v>
      </c>
      <c r="G3096" t="s">
        <v>59</v>
      </c>
      <c r="H3096">
        <v>2023</v>
      </c>
    </row>
    <row r="3097" spans="1:8" x14ac:dyDescent="0.2">
      <c r="A3097">
        <v>228094</v>
      </c>
      <c r="B3097">
        <v>108000</v>
      </c>
      <c r="C3097" t="str">
        <f t="shared" si="48"/>
        <v>3. $50K-250K</v>
      </c>
      <c r="D3097" t="s">
        <v>937</v>
      </c>
      <c r="E3097" t="s">
        <v>237</v>
      </c>
      <c r="F3097" t="s">
        <v>670</v>
      </c>
      <c r="G3097" t="s">
        <v>59</v>
      </c>
      <c r="H3097">
        <v>2023</v>
      </c>
    </row>
    <row r="3098" spans="1:8" x14ac:dyDescent="0.2">
      <c r="A3098">
        <v>228095</v>
      </c>
      <c r="B3098">
        <v>108000</v>
      </c>
      <c r="C3098" t="str">
        <f t="shared" si="48"/>
        <v>3. $50K-250K</v>
      </c>
      <c r="D3098" t="s">
        <v>697</v>
      </c>
      <c r="E3098" t="s">
        <v>237</v>
      </c>
      <c r="F3098" t="s">
        <v>670</v>
      </c>
      <c r="G3098" t="s">
        <v>59</v>
      </c>
      <c r="H3098">
        <v>2023</v>
      </c>
    </row>
    <row r="3099" spans="1:8" x14ac:dyDescent="0.2">
      <c r="A3099">
        <v>228096</v>
      </c>
      <c r="B3099">
        <v>108000</v>
      </c>
      <c r="C3099" t="str">
        <f t="shared" si="48"/>
        <v>3. $50K-250K</v>
      </c>
      <c r="D3099" t="s">
        <v>726</v>
      </c>
      <c r="E3099" t="s">
        <v>237</v>
      </c>
      <c r="F3099" t="s">
        <v>670</v>
      </c>
      <c r="G3099" t="s">
        <v>59</v>
      </c>
      <c r="H3099">
        <v>2023</v>
      </c>
    </row>
    <row r="3100" spans="1:8" x14ac:dyDescent="0.2">
      <c r="A3100">
        <v>228097</v>
      </c>
      <c r="B3100">
        <v>108000</v>
      </c>
      <c r="C3100" t="str">
        <f t="shared" si="48"/>
        <v>3. $50K-250K</v>
      </c>
      <c r="D3100" t="s">
        <v>920</v>
      </c>
      <c r="E3100" t="s">
        <v>237</v>
      </c>
      <c r="F3100" t="s">
        <v>670</v>
      </c>
      <c r="G3100" t="s">
        <v>59</v>
      </c>
      <c r="H3100">
        <v>2023</v>
      </c>
    </row>
    <row r="3101" spans="1:8" x14ac:dyDescent="0.2">
      <c r="A3101">
        <v>228099</v>
      </c>
      <c r="B3101">
        <v>108000</v>
      </c>
      <c r="C3101" t="str">
        <f t="shared" si="48"/>
        <v>3. $50K-250K</v>
      </c>
      <c r="D3101" t="s">
        <v>1168</v>
      </c>
      <c r="E3101" t="s">
        <v>237</v>
      </c>
      <c r="F3101" t="s">
        <v>670</v>
      </c>
      <c r="G3101" t="s">
        <v>59</v>
      </c>
      <c r="H3101">
        <v>2023</v>
      </c>
    </row>
    <row r="3102" spans="1:8" x14ac:dyDescent="0.2">
      <c r="A3102">
        <v>228100</v>
      </c>
      <c r="B3102">
        <v>108000</v>
      </c>
      <c r="C3102" t="str">
        <f t="shared" si="48"/>
        <v>3. $50K-250K</v>
      </c>
      <c r="D3102" t="s">
        <v>727</v>
      </c>
      <c r="E3102" t="s">
        <v>237</v>
      </c>
      <c r="F3102" t="s">
        <v>670</v>
      </c>
      <c r="G3102" t="s">
        <v>59</v>
      </c>
      <c r="H3102">
        <v>2023</v>
      </c>
    </row>
    <row r="3103" spans="1:8" x14ac:dyDescent="0.2">
      <c r="A3103">
        <v>228101</v>
      </c>
      <c r="B3103">
        <v>108000</v>
      </c>
      <c r="C3103" t="str">
        <f t="shared" si="48"/>
        <v>3. $50K-250K</v>
      </c>
      <c r="D3103" t="s">
        <v>1100</v>
      </c>
      <c r="E3103" t="s">
        <v>237</v>
      </c>
      <c r="F3103" t="s">
        <v>670</v>
      </c>
      <c r="G3103" t="s">
        <v>59</v>
      </c>
      <c r="H3103">
        <v>2023</v>
      </c>
    </row>
    <row r="3104" spans="1:8" x14ac:dyDescent="0.2">
      <c r="A3104">
        <v>228102</v>
      </c>
      <c r="B3104">
        <v>108000</v>
      </c>
      <c r="C3104" t="str">
        <f t="shared" si="48"/>
        <v>3. $50K-250K</v>
      </c>
      <c r="D3104" t="s">
        <v>957</v>
      </c>
      <c r="E3104" t="s">
        <v>237</v>
      </c>
      <c r="F3104" t="s">
        <v>670</v>
      </c>
      <c r="G3104" t="s">
        <v>59</v>
      </c>
      <c r="H3104">
        <v>2023</v>
      </c>
    </row>
    <row r="3105" spans="1:8" x14ac:dyDescent="0.2">
      <c r="A3105">
        <v>228103</v>
      </c>
      <c r="B3105">
        <v>108000</v>
      </c>
      <c r="C3105" t="str">
        <f t="shared" si="48"/>
        <v>3. $50K-250K</v>
      </c>
      <c r="D3105" t="s">
        <v>929</v>
      </c>
      <c r="E3105" t="s">
        <v>237</v>
      </c>
      <c r="F3105" t="s">
        <v>670</v>
      </c>
      <c r="G3105" t="s">
        <v>59</v>
      </c>
      <c r="H3105">
        <v>2023</v>
      </c>
    </row>
    <row r="3106" spans="1:8" x14ac:dyDescent="0.2">
      <c r="A3106">
        <v>228104</v>
      </c>
      <c r="B3106">
        <v>144000</v>
      </c>
      <c r="C3106" t="str">
        <f t="shared" si="48"/>
        <v>3. $50K-250K</v>
      </c>
      <c r="D3106" t="s">
        <v>1555</v>
      </c>
      <c r="E3106" t="s">
        <v>237</v>
      </c>
      <c r="F3106" t="s">
        <v>670</v>
      </c>
      <c r="G3106" t="s">
        <v>59</v>
      </c>
      <c r="H3106">
        <v>2023</v>
      </c>
    </row>
    <row r="3107" spans="1:8" x14ac:dyDescent="0.2">
      <c r="A3107">
        <v>228105</v>
      </c>
      <c r="B3107">
        <v>108000</v>
      </c>
      <c r="C3107" t="str">
        <f t="shared" si="48"/>
        <v>3. $50K-250K</v>
      </c>
      <c r="D3107" t="s">
        <v>707</v>
      </c>
      <c r="E3107" t="s">
        <v>237</v>
      </c>
      <c r="F3107" t="s">
        <v>670</v>
      </c>
      <c r="G3107" t="s">
        <v>59</v>
      </c>
      <c r="H3107">
        <v>2023</v>
      </c>
    </row>
    <row r="3108" spans="1:8" x14ac:dyDescent="0.2">
      <c r="A3108">
        <v>228106</v>
      </c>
      <c r="B3108">
        <v>162000</v>
      </c>
      <c r="C3108" t="str">
        <f t="shared" si="48"/>
        <v>3. $50K-250K</v>
      </c>
      <c r="D3108" t="s">
        <v>1074</v>
      </c>
      <c r="E3108" t="s">
        <v>237</v>
      </c>
      <c r="F3108" t="s">
        <v>670</v>
      </c>
      <c r="G3108" t="s">
        <v>59</v>
      </c>
      <c r="H3108">
        <v>2023</v>
      </c>
    </row>
    <row r="3109" spans="1:8" x14ac:dyDescent="0.2">
      <c r="A3109">
        <v>228107</v>
      </c>
      <c r="B3109">
        <v>162000</v>
      </c>
      <c r="C3109" t="str">
        <f t="shared" si="48"/>
        <v>3. $50K-250K</v>
      </c>
      <c r="D3109" t="s">
        <v>1556</v>
      </c>
      <c r="E3109" t="s">
        <v>237</v>
      </c>
      <c r="F3109" t="s">
        <v>670</v>
      </c>
      <c r="G3109" t="s">
        <v>59</v>
      </c>
      <c r="H3109">
        <v>2023</v>
      </c>
    </row>
    <row r="3110" spans="1:8" x14ac:dyDescent="0.2">
      <c r="A3110">
        <v>228108</v>
      </c>
      <c r="B3110">
        <v>108000</v>
      </c>
      <c r="C3110" t="str">
        <f t="shared" si="48"/>
        <v>3. $50K-250K</v>
      </c>
      <c r="D3110" t="s">
        <v>972</v>
      </c>
      <c r="E3110" t="s">
        <v>237</v>
      </c>
      <c r="F3110" t="s">
        <v>670</v>
      </c>
      <c r="G3110" t="s">
        <v>59</v>
      </c>
      <c r="H3110">
        <v>2023</v>
      </c>
    </row>
    <row r="3111" spans="1:8" x14ac:dyDescent="0.2">
      <c r="A3111">
        <v>228111</v>
      </c>
      <c r="B3111">
        <v>108000</v>
      </c>
      <c r="C3111" t="str">
        <f t="shared" si="48"/>
        <v>3. $50K-250K</v>
      </c>
      <c r="D3111" t="s">
        <v>711</v>
      </c>
      <c r="E3111" t="s">
        <v>237</v>
      </c>
      <c r="F3111" t="s">
        <v>670</v>
      </c>
      <c r="G3111" t="s">
        <v>59</v>
      </c>
      <c r="H3111">
        <v>2023</v>
      </c>
    </row>
    <row r="3112" spans="1:8" x14ac:dyDescent="0.2">
      <c r="A3112">
        <v>228112</v>
      </c>
      <c r="B3112">
        <v>108000</v>
      </c>
      <c r="C3112" t="str">
        <f t="shared" si="48"/>
        <v>3. $50K-250K</v>
      </c>
      <c r="D3112" t="s">
        <v>1179</v>
      </c>
      <c r="E3112" t="s">
        <v>237</v>
      </c>
      <c r="F3112" t="s">
        <v>670</v>
      </c>
      <c r="G3112" t="s">
        <v>59</v>
      </c>
      <c r="H3112">
        <v>2023</v>
      </c>
    </row>
    <row r="3113" spans="1:8" x14ac:dyDescent="0.2">
      <c r="A3113">
        <v>228113</v>
      </c>
      <c r="B3113">
        <v>270000</v>
      </c>
      <c r="C3113" t="str">
        <f t="shared" si="48"/>
        <v>3. $50K-250K</v>
      </c>
      <c r="D3113" t="s">
        <v>1468</v>
      </c>
      <c r="E3113" t="s">
        <v>237</v>
      </c>
      <c r="F3113" t="s">
        <v>670</v>
      </c>
      <c r="G3113" t="s">
        <v>59</v>
      </c>
      <c r="H3113">
        <v>2023</v>
      </c>
    </row>
    <row r="3114" spans="1:8" x14ac:dyDescent="0.2">
      <c r="A3114">
        <v>228114</v>
      </c>
      <c r="B3114">
        <v>216000</v>
      </c>
      <c r="C3114" t="str">
        <f t="shared" si="48"/>
        <v>4. $250K-1M</v>
      </c>
      <c r="D3114" t="s">
        <v>713</v>
      </c>
      <c r="E3114" t="s">
        <v>237</v>
      </c>
      <c r="F3114" t="s">
        <v>670</v>
      </c>
      <c r="G3114" t="s">
        <v>59</v>
      </c>
      <c r="H3114">
        <v>2023</v>
      </c>
    </row>
    <row r="3115" spans="1:8" x14ac:dyDescent="0.2">
      <c r="A3115">
        <v>228125</v>
      </c>
      <c r="B3115">
        <v>54000</v>
      </c>
      <c r="C3115" t="str">
        <f t="shared" si="48"/>
        <v>3. $50K-250K</v>
      </c>
      <c r="D3115" t="s">
        <v>1069</v>
      </c>
      <c r="E3115" t="s">
        <v>237</v>
      </c>
      <c r="F3115" t="s">
        <v>670</v>
      </c>
      <c r="G3115" t="s">
        <v>59</v>
      </c>
      <c r="H3115">
        <v>2023</v>
      </c>
    </row>
    <row r="3116" spans="1:8" x14ac:dyDescent="0.2">
      <c r="A3116">
        <v>228126</v>
      </c>
      <c r="B3116">
        <v>270000</v>
      </c>
      <c r="C3116" t="str">
        <f t="shared" si="48"/>
        <v>3. $50K-250K</v>
      </c>
      <c r="D3116" t="s">
        <v>985</v>
      </c>
      <c r="E3116" t="s">
        <v>237</v>
      </c>
      <c r="F3116" t="s">
        <v>670</v>
      </c>
      <c r="G3116" t="s">
        <v>59</v>
      </c>
      <c r="H3116">
        <v>2023</v>
      </c>
    </row>
    <row r="3117" spans="1:8" x14ac:dyDescent="0.2">
      <c r="A3117">
        <v>228127</v>
      </c>
      <c r="B3117">
        <v>54000</v>
      </c>
      <c r="C3117" t="str">
        <f t="shared" si="48"/>
        <v>4. $250K-1M</v>
      </c>
      <c r="D3117" t="s">
        <v>694</v>
      </c>
      <c r="E3117" t="s">
        <v>237</v>
      </c>
      <c r="F3117" t="s">
        <v>670</v>
      </c>
      <c r="G3117" t="s">
        <v>59</v>
      </c>
      <c r="H3117">
        <v>2023</v>
      </c>
    </row>
    <row r="3118" spans="1:8" x14ac:dyDescent="0.2">
      <c r="A3118">
        <v>228128</v>
      </c>
      <c r="B3118">
        <v>125000</v>
      </c>
      <c r="C3118" t="str">
        <f t="shared" si="48"/>
        <v>3. $50K-250K</v>
      </c>
      <c r="D3118" t="s">
        <v>925</v>
      </c>
      <c r="E3118" t="s">
        <v>237</v>
      </c>
      <c r="F3118" t="s">
        <v>670</v>
      </c>
      <c r="G3118" t="s">
        <v>59</v>
      </c>
      <c r="H3118">
        <v>2023</v>
      </c>
    </row>
    <row r="3119" spans="1:8" x14ac:dyDescent="0.2">
      <c r="A3119">
        <v>228130</v>
      </c>
      <c r="B3119">
        <v>81000</v>
      </c>
      <c r="C3119" t="str">
        <f t="shared" si="48"/>
        <v>3. $50K-250K</v>
      </c>
      <c r="D3119" t="s">
        <v>720</v>
      </c>
      <c r="E3119" t="s">
        <v>237</v>
      </c>
      <c r="F3119" t="s">
        <v>670</v>
      </c>
      <c r="G3119" t="s">
        <v>59</v>
      </c>
      <c r="H3119">
        <v>2023</v>
      </c>
    </row>
    <row r="3120" spans="1:8" x14ac:dyDescent="0.2">
      <c r="A3120">
        <v>228133</v>
      </c>
      <c r="B3120">
        <v>108000</v>
      </c>
      <c r="C3120" t="str">
        <f t="shared" si="48"/>
        <v>3. $50K-250K</v>
      </c>
      <c r="D3120" t="s">
        <v>1077</v>
      </c>
      <c r="E3120" t="s">
        <v>237</v>
      </c>
      <c r="F3120" t="s">
        <v>670</v>
      </c>
      <c r="G3120" t="s">
        <v>59</v>
      </c>
      <c r="H3120">
        <v>2023</v>
      </c>
    </row>
    <row r="3121" spans="1:8" x14ac:dyDescent="0.2">
      <c r="A3121">
        <v>228134</v>
      </c>
      <c r="B3121">
        <v>1795506</v>
      </c>
      <c r="C3121" t="str">
        <f t="shared" si="48"/>
        <v>3. $50K-250K</v>
      </c>
      <c r="D3121" t="s">
        <v>852</v>
      </c>
      <c r="E3121" t="s">
        <v>237</v>
      </c>
      <c r="F3121" t="s">
        <v>670</v>
      </c>
      <c r="G3121" t="s">
        <v>59</v>
      </c>
      <c r="H3121">
        <v>2023</v>
      </c>
    </row>
    <row r="3122" spans="1:8" x14ac:dyDescent="0.2">
      <c r="A3122">
        <v>228135</v>
      </c>
      <c r="B3122">
        <v>135000</v>
      </c>
      <c r="C3122" t="str">
        <f t="shared" si="48"/>
        <v>5. $1M+</v>
      </c>
      <c r="D3122" t="s">
        <v>990</v>
      </c>
      <c r="E3122" t="s">
        <v>237</v>
      </c>
      <c r="F3122" t="s">
        <v>670</v>
      </c>
      <c r="G3122" t="s">
        <v>59</v>
      </c>
      <c r="H3122">
        <v>2023</v>
      </c>
    </row>
    <row r="3123" spans="1:8" x14ac:dyDescent="0.2">
      <c r="A3123">
        <v>228136</v>
      </c>
      <c r="B3123">
        <v>54000</v>
      </c>
      <c r="C3123" t="str">
        <f t="shared" si="48"/>
        <v>3. $50K-250K</v>
      </c>
      <c r="D3123" t="s">
        <v>911</v>
      </c>
      <c r="E3123" t="s">
        <v>237</v>
      </c>
      <c r="F3123" t="s">
        <v>670</v>
      </c>
      <c r="G3123" t="s">
        <v>59</v>
      </c>
      <c r="H3123">
        <v>2023</v>
      </c>
    </row>
    <row r="3124" spans="1:8" x14ac:dyDescent="0.2">
      <c r="A3124">
        <v>228137</v>
      </c>
      <c r="B3124">
        <v>135000</v>
      </c>
      <c r="C3124" t="str">
        <f t="shared" si="48"/>
        <v>3. $50K-250K</v>
      </c>
      <c r="D3124" t="s">
        <v>713</v>
      </c>
      <c r="E3124" t="s">
        <v>237</v>
      </c>
      <c r="F3124" t="s">
        <v>670</v>
      </c>
      <c r="G3124" t="s">
        <v>59</v>
      </c>
      <c r="H3124">
        <v>2023</v>
      </c>
    </row>
    <row r="3125" spans="1:8" x14ac:dyDescent="0.2">
      <c r="A3125">
        <v>228138</v>
      </c>
      <c r="B3125">
        <v>54000</v>
      </c>
      <c r="C3125" t="str">
        <f t="shared" si="48"/>
        <v>3. $50K-250K</v>
      </c>
      <c r="D3125" t="s">
        <v>1083</v>
      </c>
      <c r="E3125" t="s">
        <v>237</v>
      </c>
      <c r="F3125" t="s">
        <v>670</v>
      </c>
      <c r="G3125" t="s">
        <v>59</v>
      </c>
      <c r="H3125">
        <v>2023</v>
      </c>
    </row>
    <row r="3126" spans="1:8" x14ac:dyDescent="0.2">
      <c r="A3126">
        <v>228139</v>
      </c>
      <c r="B3126">
        <v>54000</v>
      </c>
      <c r="C3126" t="str">
        <f t="shared" si="48"/>
        <v>3. $50K-250K</v>
      </c>
      <c r="D3126" t="s">
        <v>674</v>
      </c>
      <c r="E3126" t="s">
        <v>237</v>
      </c>
      <c r="F3126" t="s">
        <v>670</v>
      </c>
      <c r="G3126" t="s">
        <v>59</v>
      </c>
      <c r="H3126">
        <v>2023</v>
      </c>
    </row>
    <row r="3127" spans="1:8" x14ac:dyDescent="0.2">
      <c r="A3127">
        <v>228140</v>
      </c>
      <c r="B3127">
        <v>48000</v>
      </c>
      <c r="C3127" t="str">
        <f t="shared" si="48"/>
        <v>3. $50K-250K</v>
      </c>
      <c r="D3127" t="s">
        <v>694</v>
      </c>
      <c r="E3127" t="s">
        <v>237</v>
      </c>
      <c r="F3127" t="s">
        <v>670</v>
      </c>
      <c r="G3127" t="s">
        <v>59</v>
      </c>
      <c r="H3127">
        <v>2023</v>
      </c>
    </row>
    <row r="3128" spans="1:8" x14ac:dyDescent="0.2">
      <c r="A3128">
        <v>228141</v>
      </c>
      <c r="B3128">
        <v>10723.3</v>
      </c>
      <c r="C3128" t="str">
        <f t="shared" si="48"/>
        <v>2. $10K-50K</v>
      </c>
      <c r="D3128" t="s">
        <v>1032</v>
      </c>
      <c r="E3128" t="s">
        <v>237</v>
      </c>
      <c r="F3128" t="s">
        <v>670</v>
      </c>
      <c r="G3128" t="s">
        <v>59</v>
      </c>
      <c r="H3128">
        <v>2023</v>
      </c>
    </row>
    <row r="3129" spans="1:8" x14ac:dyDescent="0.2">
      <c r="A3129">
        <v>228142</v>
      </c>
      <c r="B3129">
        <v>81000</v>
      </c>
      <c r="C3129" t="str">
        <f t="shared" si="48"/>
        <v>2. $10K-50K</v>
      </c>
      <c r="D3129" t="s">
        <v>707</v>
      </c>
      <c r="E3129" t="s">
        <v>237</v>
      </c>
      <c r="F3129" t="s">
        <v>670</v>
      </c>
      <c r="G3129" t="s">
        <v>59</v>
      </c>
      <c r="H3129">
        <v>2023</v>
      </c>
    </row>
    <row r="3130" spans="1:8" x14ac:dyDescent="0.2">
      <c r="A3130">
        <v>228143</v>
      </c>
      <c r="B3130">
        <v>54000</v>
      </c>
      <c r="C3130" t="str">
        <f t="shared" si="48"/>
        <v>3. $50K-250K</v>
      </c>
      <c r="D3130" t="s">
        <v>721</v>
      </c>
      <c r="E3130" t="s">
        <v>237</v>
      </c>
      <c r="F3130" t="s">
        <v>670</v>
      </c>
      <c r="G3130" t="s">
        <v>59</v>
      </c>
      <c r="H3130">
        <v>2023</v>
      </c>
    </row>
    <row r="3131" spans="1:8" x14ac:dyDescent="0.2">
      <c r="A3131">
        <v>228144</v>
      </c>
      <c r="B3131">
        <v>54000</v>
      </c>
      <c r="C3131" t="str">
        <f t="shared" si="48"/>
        <v>3. $50K-250K</v>
      </c>
      <c r="D3131" t="s">
        <v>987</v>
      </c>
      <c r="E3131" t="s">
        <v>237</v>
      </c>
      <c r="F3131" t="s">
        <v>670</v>
      </c>
      <c r="G3131" t="s">
        <v>59</v>
      </c>
      <c r="H3131">
        <v>2023</v>
      </c>
    </row>
    <row r="3132" spans="1:8" x14ac:dyDescent="0.2">
      <c r="A3132">
        <v>228145</v>
      </c>
      <c r="B3132">
        <v>189000</v>
      </c>
      <c r="C3132" t="str">
        <f t="shared" si="48"/>
        <v>3. $50K-250K</v>
      </c>
      <c r="D3132" t="s">
        <v>1074</v>
      </c>
      <c r="E3132" t="s">
        <v>237</v>
      </c>
      <c r="F3132" t="s">
        <v>670</v>
      </c>
      <c r="G3132" t="s">
        <v>59</v>
      </c>
      <c r="H3132">
        <v>2023</v>
      </c>
    </row>
    <row r="3133" spans="1:8" x14ac:dyDescent="0.2">
      <c r="A3133">
        <v>228146</v>
      </c>
      <c r="B3133">
        <v>15912</v>
      </c>
      <c r="C3133" t="str">
        <f t="shared" si="48"/>
        <v>3. $50K-250K</v>
      </c>
      <c r="D3133" t="s">
        <v>41</v>
      </c>
      <c r="E3133" t="s">
        <v>237</v>
      </c>
      <c r="F3133" t="s">
        <v>670</v>
      </c>
      <c r="G3133" t="s">
        <v>59</v>
      </c>
      <c r="H3133">
        <v>2023</v>
      </c>
    </row>
    <row r="3134" spans="1:8" x14ac:dyDescent="0.2">
      <c r="A3134">
        <v>228147</v>
      </c>
      <c r="B3134">
        <v>52044.1</v>
      </c>
      <c r="C3134" t="str">
        <f t="shared" si="48"/>
        <v>2. $10K-50K</v>
      </c>
      <c r="D3134" t="s">
        <v>707</v>
      </c>
      <c r="E3134" t="s">
        <v>237</v>
      </c>
      <c r="F3134" t="s">
        <v>670</v>
      </c>
      <c r="G3134" t="s">
        <v>59</v>
      </c>
      <c r="H3134">
        <v>2023</v>
      </c>
    </row>
    <row r="3135" spans="1:8" x14ac:dyDescent="0.2">
      <c r="A3135">
        <v>228148</v>
      </c>
      <c r="B3135">
        <v>33337.1</v>
      </c>
      <c r="C3135" t="str">
        <f t="shared" si="48"/>
        <v>3. $50K-250K</v>
      </c>
      <c r="D3135" t="s">
        <v>707</v>
      </c>
      <c r="E3135" t="s">
        <v>237</v>
      </c>
      <c r="F3135" t="s">
        <v>670</v>
      </c>
      <c r="G3135" t="s">
        <v>59</v>
      </c>
      <c r="H3135">
        <v>2023</v>
      </c>
    </row>
    <row r="3136" spans="1:8" x14ac:dyDescent="0.2">
      <c r="A3136">
        <v>228150</v>
      </c>
      <c r="B3136">
        <v>109645</v>
      </c>
      <c r="C3136" t="str">
        <f t="shared" si="48"/>
        <v>2. $10K-50K</v>
      </c>
      <c r="D3136" t="s">
        <v>869</v>
      </c>
      <c r="E3136" t="s">
        <v>237</v>
      </c>
      <c r="F3136" t="s">
        <v>670</v>
      </c>
      <c r="G3136" t="s">
        <v>59</v>
      </c>
      <c r="H3136">
        <v>2023</v>
      </c>
    </row>
    <row r="3137" spans="1:8" x14ac:dyDescent="0.2">
      <c r="A3137">
        <v>228151</v>
      </c>
      <c r="B3137">
        <v>174460.5</v>
      </c>
      <c r="C3137" t="str">
        <f t="shared" si="48"/>
        <v>3. $50K-250K</v>
      </c>
      <c r="D3137" t="s">
        <v>992</v>
      </c>
      <c r="E3137" t="s">
        <v>432</v>
      </c>
      <c r="F3137" t="s">
        <v>670</v>
      </c>
      <c r="G3137" t="s">
        <v>59</v>
      </c>
      <c r="H3137">
        <v>2023</v>
      </c>
    </row>
    <row r="3138" spans="1:8" x14ac:dyDescent="0.2">
      <c r="A3138">
        <v>228152</v>
      </c>
      <c r="B3138">
        <v>240000</v>
      </c>
      <c r="C3138" t="str">
        <f t="shared" si="48"/>
        <v>3. $50K-250K</v>
      </c>
      <c r="D3138" t="s">
        <v>1110</v>
      </c>
      <c r="E3138" t="s">
        <v>237</v>
      </c>
      <c r="F3138" t="s">
        <v>670</v>
      </c>
      <c r="G3138" t="s">
        <v>59</v>
      </c>
      <c r="H3138">
        <v>2023</v>
      </c>
    </row>
    <row r="3139" spans="1:8" x14ac:dyDescent="0.2">
      <c r="A3139">
        <v>228153</v>
      </c>
      <c r="B3139">
        <v>696000</v>
      </c>
      <c r="C3139" t="str">
        <f t="shared" ref="C3139:C3202" si="49">IF(B3138&lt;10000,"1. Under $10K",IF(B3138&lt;50000,"2. $10K-50K",IF(B3138&lt;250000,"3. $50K-250K",IF(B3138&lt;1000000,"4. $250K-1M","5. $1M+"))))</f>
        <v>3. $50K-250K</v>
      </c>
      <c r="D3139" t="s">
        <v>1094</v>
      </c>
      <c r="E3139" t="s">
        <v>237</v>
      </c>
      <c r="F3139" t="s">
        <v>670</v>
      </c>
      <c r="G3139" t="s">
        <v>59</v>
      </c>
      <c r="H3139">
        <v>2023</v>
      </c>
    </row>
    <row r="3140" spans="1:8" x14ac:dyDescent="0.2">
      <c r="A3140">
        <v>228154</v>
      </c>
      <c r="B3140">
        <v>264000</v>
      </c>
      <c r="C3140" t="str">
        <f t="shared" si="49"/>
        <v>4. $250K-1M</v>
      </c>
      <c r="D3140" t="s">
        <v>1110</v>
      </c>
      <c r="E3140" t="s">
        <v>237</v>
      </c>
      <c r="F3140" t="s">
        <v>670</v>
      </c>
      <c r="G3140" t="s">
        <v>59</v>
      </c>
      <c r="H3140">
        <v>2023</v>
      </c>
    </row>
    <row r="3141" spans="1:8" x14ac:dyDescent="0.2">
      <c r="A3141">
        <v>228155</v>
      </c>
      <c r="B3141">
        <v>48000</v>
      </c>
      <c r="C3141" t="str">
        <f t="shared" si="49"/>
        <v>4. $250K-1M</v>
      </c>
      <c r="D3141" t="s">
        <v>1107</v>
      </c>
      <c r="E3141" t="s">
        <v>237</v>
      </c>
      <c r="F3141" t="s">
        <v>670</v>
      </c>
      <c r="G3141" t="s">
        <v>59</v>
      </c>
      <c r="H3141">
        <v>2023</v>
      </c>
    </row>
    <row r="3142" spans="1:8" x14ac:dyDescent="0.2">
      <c r="A3142">
        <v>228156</v>
      </c>
      <c r="B3142">
        <v>48000</v>
      </c>
      <c r="C3142" t="str">
        <f t="shared" si="49"/>
        <v>2. $10K-50K</v>
      </c>
      <c r="D3142" t="s">
        <v>1104</v>
      </c>
      <c r="E3142" t="s">
        <v>237</v>
      </c>
      <c r="F3142" t="s">
        <v>670</v>
      </c>
      <c r="G3142" t="s">
        <v>59</v>
      </c>
      <c r="H3142">
        <v>2023</v>
      </c>
    </row>
    <row r="3143" spans="1:8" x14ac:dyDescent="0.2">
      <c r="A3143">
        <v>228157</v>
      </c>
      <c r="B3143">
        <v>1440000</v>
      </c>
      <c r="C3143" t="str">
        <f t="shared" si="49"/>
        <v>2. $10K-50K</v>
      </c>
      <c r="D3143" t="s">
        <v>1094</v>
      </c>
      <c r="E3143" t="s">
        <v>237</v>
      </c>
      <c r="F3143" t="s">
        <v>670</v>
      </c>
      <c r="G3143" t="s">
        <v>59</v>
      </c>
      <c r="H3143">
        <v>2023</v>
      </c>
    </row>
    <row r="3144" spans="1:8" x14ac:dyDescent="0.2">
      <c r="A3144">
        <v>228158</v>
      </c>
      <c r="B3144">
        <v>984000</v>
      </c>
      <c r="C3144" t="str">
        <f t="shared" si="49"/>
        <v>5. $1M+</v>
      </c>
      <c r="D3144" t="s">
        <v>1094</v>
      </c>
      <c r="E3144" t="s">
        <v>237</v>
      </c>
      <c r="F3144" t="s">
        <v>670</v>
      </c>
      <c r="G3144" t="s">
        <v>59</v>
      </c>
      <c r="H3144">
        <v>2023</v>
      </c>
    </row>
    <row r="3145" spans="1:8" x14ac:dyDescent="0.2">
      <c r="A3145">
        <v>228159</v>
      </c>
      <c r="B3145">
        <v>696000</v>
      </c>
      <c r="C3145" t="str">
        <f t="shared" si="49"/>
        <v>4. $250K-1M</v>
      </c>
      <c r="D3145" t="s">
        <v>1094</v>
      </c>
      <c r="E3145" t="s">
        <v>237</v>
      </c>
      <c r="F3145" t="s">
        <v>670</v>
      </c>
      <c r="G3145" t="s">
        <v>59</v>
      </c>
      <c r="H3145">
        <v>2023</v>
      </c>
    </row>
    <row r="3146" spans="1:8" x14ac:dyDescent="0.2">
      <c r="A3146">
        <v>228160</v>
      </c>
      <c r="B3146">
        <v>72000</v>
      </c>
      <c r="C3146" t="str">
        <f t="shared" si="49"/>
        <v>4. $250K-1M</v>
      </c>
      <c r="D3146" t="s">
        <v>803</v>
      </c>
      <c r="E3146" t="s">
        <v>237</v>
      </c>
      <c r="F3146" t="s">
        <v>670</v>
      </c>
      <c r="G3146" t="s">
        <v>59</v>
      </c>
      <c r="H3146">
        <v>2023</v>
      </c>
    </row>
    <row r="3147" spans="1:8" x14ac:dyDescent="0.2">
      <c r="A3147">
        <v>228161</v>
      </c>
      <c r="B3147">
        <v>1128000</v>
      </c>
      <c r="C3147" t="str">
        <f t="shared" si="49"/>
        <v>3. $50K-250K</v>
      </c>
      <c r="D3147" t="s">
        <v>1094</v>
      </c>
      <c r="E3147" t="s">
        <v>237</v>
      </c>
      <c r="F3147" t="s">
        <v>670</v>
      </c>
      <c r="G3147" t="s">
        <v>59</v>
      </c>
      <c r="H3147">
        <v>2023</v>
      </c>
    </row>
    <row r="3148" spans="1:8" x14ac:dyDescent="0.2">
      <c r="A3148">
        <v>228162</v>
      </c>
      <c r="B3148">
        <v>720000</v>
      </c>
      <c r="C3148" t="str">
        <f t="shared" si="49"/>
        <v>5. $1M+</v>
      </c>
      <c r="D3148" t="s">
        <v>1094</v>
      </c>
      <c r="E3148" t="s">
        <v>237</v>
      </c>
      <c r="F3148" t="s">
        <v>670</v>
      </c>
      <c r="G3148" t="s">
        <v>59</v>
      </c>
      <c r="H3148">
        <v>2023</v>
      </c>
    </row>
    <row r="3149" spans="1:8" x14ac:dyDescent="0.2">
      <c r="A3149">
        <v>228163</v>
      </c>
      <c r="B3149">
        <v>264000</v>
      </c>
      <c r="C3149" t="str">
        <f t="shared" si="49"/>
        <v>4. $250K-1M</v>
      </c>
      <c r="D3149" t="s">
        <v>1110</v>
      </c>
      <c r="E3149" t="s">
        <v>237</v>
      </c>
      <c r="F3149" t="s">
        <v>670</v>
      </c>
      <c r="G3149" t="s">
        <v>59</v>
      </c>
      <c r="H3149">
        <v>2023</v>
      </c>
    </row>
    <row r="3150" spans="1:8" x14ac:dyDescent="0.2">
      <c r="A3150">
        <v>228180</v>
      </c>
      <c r="B3150">
        <v>54000</v>
      </c>
      <c r="C3150" t="str">
        <f t="shared" si="49"/>
        <v>4. $250K-1M</v>
      </c>
      <c r="D3150" t="s">
        <v>1071</v>
      </c>
      <c r="E3150" t="s">
        <v>237</v>
      </c>
      <c r="F3150" t="s">
        <v>670</v>
      </c>
      <c r="G3150" t="s">
        <v>59</v>
      </c>
      <c r="H3150">
        <v>2023</v>
      </c>
    </row>
    <row r="3151" spans="1:8" x14ac:dyDescent="0.2">
      <c r="A3151">
        <v>228181</v>
      </c>
      <c r="B3151">
        <v>72000</v>
      </c>
      <c r="C3151" t="str">
        <f t="shared" si="49"/>
        <v>3. $50K-250K</v>
      </c>
      <c r="D3151" t="s">
        <v>760</v>
      </c>
      <c r="E3151" t="s">
        <v>237</v>
      </c>
      <c r="F3151" t="s">
        <v>670</v>
      </c>
      <c r="G3151" t="s">
        <v>59</v>
      </c>
      <c r="H3151">
        <v>2023</v>
      </c>
    </row>
    <row r="3152" spans="1:8" x14ac:dyDescent="0.2">
      <c r="A3152">
        <v>228246</v>
      </c>
      <c r="B3152">
        <v>50000</v>
      </c>
      <c r="C3152" t="str">
        <f t="shared" si="49"/>
        <v>3. $50K-250K</v>
      </c>
      <c r="D3152" t="s">
        <v>936</v>
      </c>
      <c r="E3152" t="s">
        <v>825</v>
      </c>
      <c r="F3152" t="s">
        <v>670</v>
      </c>
      <c r="G3152" t="s">
        <v>59</v>
      </c>
      <c r="H3152">
        <v>2023</v>
      </c>
    </row>
    <row r="3153" spans="1:8" x14ac:dyDescent="0.2">
      <c r="A3153">
        <v>228254</v>
      </c>
      <c r="B3153">
        <v>175000</v>
      </c>
      <c r="C3153" t="str">
        <f t="shared" si="49"/>
        <v>3. $50K-250K</v>
      </c>
      <c r="D3153" t="s">
        <v>964</v>
      </c>
      <c r="E3153" t="s">
        <v>825</v>
      </c>
      <c r="F3153" t="s">
        <v>670</v>
      </c>
      <c r="G3153" t="s">
        <v>59</v>
      </c>
      <c r="H3153">
        <v>2023</v>
      </c>
    </row>
    <row r="3154" spans="1:8" x14ac:dyDescent="0.2">
      <c r="A3154">
        <v>228377</v>
      </c>
      <c r="B3154">
        <v>615474.30000000005</v>
      </c>
      <c r="C3154" t="str">
        <f t="shared" si="49"/>
        <v>3. $50K-250K</v>
      </c>
      <c r="D3154" t="s">
        <v>685</v>
      </c>
      <c r="E3154" t="s">
        <v>42</v>
      </c>
      <c r="F3154" t="s">
        <v>670</v>
      </c>
      <c r="G3154" t="s">
        <v>59</v>
      </c>
      <c r="H3154">
        <v>2023</v>
      </c>
    </row>
    <row r="3155" spans="1:8" x14ac:dyDescent="0.2">
      <c r="A3155">
        <v>228378</v>
      </c>
      <c r="B3155">
        <v>282210.7</v>
      </c>
      <c r="C3155" t="str">
        <f t="shared" si="49"/>
        <v>4. $250K-1M</v>
      </c>
      <c r="D3155" t="s">
        <v>671</v>
      </c>
      <c r="E3155" t="s">
        <v>42</v>
      </c>
      <c r="F3155" t="s">
        <v>670</v>
      </c>
      <c r="G3155" t="s">
        <v>59</v>
      </c>
      <c r="H3155">
        <v>2023</v>
      </c>
    </row>
    <row r="3156" spans="1:8" x14ac:dyDescent="0.2">
      <c r="A3156">
        <v>228379</v>
      </c>
      <c r="B3156">
        <v>998788.5</v>
      </c>
      <c r="C3156" t="str">
        <f t="shared" si="49"/>
        <v>4. $250K-1M</v>
      </c>
      <c r="D3156" t="s">
        <v>673</v>
      </c>
      <c r="E3156" t="s">
        <v>42</v>
      </c>
      <c r="F3156" t="s">
        <v>670</v>
      </c>
      <c r="G3156" t="s">
        <v>59</v>
      </c>
      <c r="H3156">
        <v>2023</v>
      </c>
    </row>
    <row r="3157" spans="1:8" x14ac:dyDescent="0.2">
      <c r="A3157">
        <v>228380</v>
      </c>
      <c r="B3157">
        <v>587692</v>
      </c>
      <c r="C3157" t="str">
        <f t="shared" si="49"/>
        <v>4. $250K-1M</v>
      </c>
      <c r="D3157" t="s">
        <v>791</v>
      </c>
      <c r="E3157" t="s">
        <v>42</v>
      </c>
      <c r="F3157" t="s">
        <v>670</v>
      </c>
      <c r="G3157" t="s">
        <v>59</v>
      </c>
      <c r="H3157">
        <v>2023</v>
      </c>
    </row>
    <row r="3158" spans="1:8" x14ac:dyDescent="0.2">
      <c r="A3158">
        <v>228381</v>
      </c>
      <c r="B3158">
        <v>638413.5</v>
      </c>
      <c r="C3158" t="str">
        <f t="shared" si="49"/>
        <v>4. $250K-1M</v>
      </c>
      <c r="D3158" t="s">
        <v>686</v>
      </c>
      <c r="E3158" t="s">
        <v>42</v>
      </c>
      <c r="F3158" t="s">
        <v>670</v>
      </c>
      <c r="G3158" t="s">
        <v>59</v>
      </c>
      <c r="H3158">
        <v>2023</v>
      </c>
    </row>
    <row r="3159" spans="1:8" x14ac:dyDescent="0.2">
      <c r="A3159">
        <v>228484</v>
      </c>
      <c r="B3159">
        <v>651462.19999999995</v>
      </c>
      <c r="C3159" t="str">
        <f t="shared" si="49"/>
        <v>4. $250K-1M</v>
      </c>
      <c r="D3159" t="s">
        <v>1557</v>
      </c>
      <c r="E3159" t="s">
        <v>59</v>
      </c>
      <c r="F3159" t="s">
        <v>664</v>
      </c>
      <c r="G3159" t="s">
        <v>59</v>
      </c>
      <c r="H3159">
        <v>2023</v>
      </c>
    </row>
    <row r="3160" spans="1:8" x14ac:dyDescent="0.2">
      <c r="A3160">
        <v>228630</v>
      </c>
      <c r="B3160">
        <v>157400</v>
      </c>
      <c r="C3160" t="str">
        <f t="shared" si="49"/>
        <v>4. $250K-1M</v>
      </c>
      <c r="D3160" t="s">
        <v>858</v>
      </c>
      <c r="E3160" t="s">
        <v>237</v>
      </c>
      <c r="F3160" t="s">
        <v>670</v>
      </c>
      <c r="G3160" t="s">
        <v>59</v>
      </c>
      <c r="H3160">
        <v>2023</v>
      </c>
    </row>
    <row r="3161" spans="1:8" x14ac:dyDescent="0.2">
      <c r="A3161">
        <v>228634</v>
      </c>
      <c r="B3161">
        <v>43600</v>
      </c>
      <c r="C3161" t="str">
        <f t="shared" si="49"/>
        <v>3. $50K-250K</v>
      </c>
      <c r="D3161" t="s">
        <v>782</v>
      </c>
      <c r="E3161" t="s">
        <v>237</v>
      </c>
      <c r="F3161" t="s">
        <v>670</v>
      </c>
      <c r="G3161" t="s">
        <v>59</v>
      </c>
      <c r="H3161">
        <v>2023</v>
      </c>
    </row>
    <row r="3162" spans="1:8" x14ac:dyDescent="0.2">
      <c r="A3162">
        <v>228635</v>
      </c>
      <c r="B3162">
        <v>97672.5</v>
      </c>
      <c r="C3162" t="str">
        <f t="shared" si="49"/>
        <v>2. $10K-50K</v>
      </c>
      <c r="D3162" t="s">
        <v>548</v>
      </c>
      <c r="E3162" t="s">
        <v>42</v>
      </c>
      <c r="F3162" t="s">
        <v>670</v>
      </c>
      <c r="G3162" t="s">
        <v>59</v>
      </c>
      <c r="H3162">
        <v>2023</v>
      </c>
    </row>
    <row r="3163" spans="1:8" x14ac:dyDescent="0.2">
      <c r="A3163">
        <v>228636</v>
      </c>
      <c r="B3163">
        <v>130496.2</v>
      </c>
      <c r="C3163" t="str">
        <f t="shared" si="49"/>
        <v>3. $50K-250K</v>
      </c>
      <c r="D3163" t="s">
        <v>691</v>
      </c>
      <c r="E3163" t="s">
        <v>42</v>
      </c>
      <c r="F3163" t="s">
        <v>670</v>
      </c>
      <c r="G3163" t="s">
        <v>59</v>
      </c>
      <c r="H3163">
        <v>2023</v>
      </c>
    </row>
    <row r="3164" spans="1:8" x14ac:dyDescent="0.2">
      <c r="A3164">
        <v>228654</v>
      </c>
      <c r="B3164">
        <v>107800</v>
      </c>
      <c r="C3164" t="str">
        <f t="shared" si="49"/>
        <v>3. $50K-250K</v>
      </c>
      <c r="D3164" t="s">
        <v>870</v>
      </c>
      <c r="E3164" t="s">
        <v>237</v>
      </c>
      <c r="F3164" t="s">
        <v>670</v>
      </c>
      <c r="G3164" t="s">
        <v>59</v>
      </c>
      <c r="H3164">
        <v>2023</v>
      </c>
    </row>
    <row r="3165" spans="1:8" x14ac:dyDescent="0.2">
      <c r="A3165">
        <v>228657</v>
      </c>
      <c r="B3165">
        <v>120000</v>
      </c>
      <c r="C3165" t="str">
        <f t="shared" si="49"/>
        <v>3. $50K-250K</v>
      </c>
      <c r="D3165" t="s">
        <v>866</v>
      </c>
      <c r="E3165" t="s">
        <v>237</v>
      </c>
      <c r="F3165" t="s">
        <v>670</v>
      </c>
      <c r="G3165" t="s">
        <v>59</v>
      </c>
      <c r="H3165">
        <v>2023</v>
      </c>
    </row>
    <row r="3166" spans="1:8" x14ac:dyDescent="0.2">
      <c r="A3166">
        <v>228694</v>
      </c>
      <c r="B3166">
        <v>50000</v>
      </c>
      <c r="C3166" t="str">
        <f t="shared" si="49"/>
        <v>3. $50K-250K</v>
      </c>
      <c r="D3166" t="s">
        <v>1464</v>
      </c>
      <c r="E3166" t="s">
        <v>432</v>
      </c>
      <c r="F3166" t="s">
        <v>670</v>
      </c>
      <c r="G3166" t="s">
        <v>59</v>
      </c>
      <c r="H3166">
        <v>2023</v>
      </c>
    </row>
    <row r="3167" spans="1:8" x14ac:dyDescent="0.2">
      <c r="A3167">
        <v>228704</v>
      </c>
      <c r="B3167">
        <v>8190</v>
      </c>
      <c r="C3167" t="str">
        <f t="shared" si="49"/>
        <v>3. $50K-250K</v>
      </c>
      <c r="D3167" t="s">
        <v>996</v>
      </c>
      <c r="E3167" t="s">
        <v>237</v>
      </c>
      <c r="F3167" t="s">
        <v>670</v>
      </c>
      <c r="G3167" t="s">
        <v>59</v>
      </c>
      <c r="H3167">
        <v>2023</v>
      </c>
    </row>
    <row r="3168" spans="1:8" x14ac:dyDescent="0.2">
      <c r="A3168">
        <v>228705</v>
      </c>
      <c r="B3168">
        <v>251659</v>
      </c>
      <c r="C3168" t="str">
        <f t="shared" si="49"/>
        <v>1. Under $10K</v>
      </c>
      <c r="D3168" t="s">
        <v>813</v>
      </c>
      <c r="E3168" t="s">
        <v>237</v>
      </c>
      <c r="F3168" t="s">
        <v>670</v>
      </c>
      <c r="G3168" t="s">
        <v>59</v>
      </c>
      <c r="H3168">
        <v>2023</v>
      </c>
    </row>
    <row r="3169" spans="1:8" x14ac:dyDescent="0.2">
      <c r="A3169">
        <v>228706</v>
      </c>
      <c r="B3169">
        <v>219187</v>
      </c>
      <c r="C3169" t="str">
        <f t="shared" si="49"/>
        <v>4. $250K-1M</v>
      </c>
      <c r="D3169" t="s">
        <v>813</v>
      </c>
      <c r="E3169" t="s">
        <v>237</v>
      </c>
      <c r="F3169" t="s">
        <v>670</v>
      </c>
      <c r="G3169" t="s">
        <v>59</v>
      </c>
      <c r="H3169">
        <v>2023</v>
      </c>
    </row>
    <row r="3170" spans="1:8" x14ac:dyDescent="0.2">
      <c r="A3170">
        <v>228707</v>
      </c>
      <c r="B3170">
        <v>123121</v>
      </c>
      <c r="C3170" t="str">
        <f t="shared" si="49"/>
        <v>3. $50K-250K</v>
      </c>
      <c r="D3170" t="s">
        <v>1103</v>
      </c>
      <c r="E3170" t="s">
        <v>237</v>
      </c>
      <c r="F3170" t="s">
        <v>670</v>
      </c>
      <c r="G3170" t="s">
        <v>59</v>
      </c>
      <c r="H3170">
        <v>2023</v>
      </c>
    </row>
    <row r="3171" spans="1:8" x14ac:dyDescent="0.2">
      <c r="A3171">
        <v>228709</v>
      </c>
      <c r="B3171">
        <v>1096494.6000000001</v>
      </c>
      <c r="C3171" t="str">
        <f t="shared" si="49"/>
        <v>3. $50K-250K</v>
      </c>
      <c r="D3171" t="s">
        <v>692</v>
      </c>
      <c r="E3171" t="s">
        <v>237</v>
      </c>
      <c r="F3171" t="s">
        <v>670</v>
      </c>
      <c r="G3171" t="s">
        <v>59</v>
      </c>
      <c r="H3171">
        <v>2023</v>
      </c>
    </row>
    <row r="3172" spans="1:8" x14ac:dyDescent="0.2">
      <c r="A3172">
        <v>228710</v>
      </c>
      <c r="B3172">
        <v>165707</v>
      </c>
      <c r="C3172" t="str">
        <f t="shared" si="49"/>
        <v>5. $1M+</v>
      </c>
      <c r="D3172" t="s">
        <v>844</v>
      </c>
      <c r="E3172" t="s">
        <v>237</v>
      </c>
      <c r="F3172" t="s">
        <v>670</v>
      </c>
      <c r="G3172" t="s">
        <v>59</v>
      </c>
      <c r="H3172">
        <v>2023</v>
      </c>
    </row>
    <row r="3173" spans="1:8" x14ac:dyDescent="0.2">
      <c r="A3173">
        <v>228711</v>
      </c>
      <c r="B3173">
        <v>40590</v>
      </c>
      <c r="C3173" t="str">
        <f t="shared" si="49"/>
        <v>3. $50K-250K</v>
      </c>
      <c r="D3173" t="s">
        <v>813</v>
      </c>
      <c r="E3173" t="s">
        <v>237</v>
      </c>
      <c r="F3173" t="s">
        <v>670</v>
      </c>
      <c r="G3173" t="s">
        <v>59</v>
      </c>
      <c r="H3173">
        <v>2023</v>
      </c>
    </row>
    <row r="3174" spans="1:8" x14ac:dyDescent="0.2">
      <c r="A3174">
        <v>228712</v>
      </c>
      <c r="B3174">
        <v>173557.8</v>
      </c>
      <c r="C3174" t="str">
        <f t="shared" si="49"/>
        <v>2. $10K-50K</v>
      </c>
      <c r="D3174" t="s">
        <v>699</v>
      </c>
      <c r="E3174" t="s">
        <v>237</v>
      </c>
      <c r="F3174" t="s">
        <v>670</v>
      </c>
      <c r="G3174" t="s">
        <v>59</v>
      </c>
      <c r="H3174">
        <v>2023</v>
      </c>
    </row>
    <row r="3175" spans="1:8" x14ac:dyDescent="0.2">
      <c r="A3175">
        <v>228713</v>
      </c>
      <c r="B3175">
        <v>54000</v>
      </c>
      <c r="C3175" t="str">
        <f t="shared" si="49"/>
        <v>3. $50K-250K</v>
      </c>
      <c r="D3175" t="s">
        <v>1046</v>
      </c>
      <c r="E3175" t="s">
        <v>237</v>
      </c>
      <c r="F3175" t="s">
        <v>670</v>
      </c>
      <c r="G3175" t="s">
        <v>59</v>
      </c>
      <c r="H3175">
        <v>2023</v>
      </c>
    </row>
    <row r="3176" spans="1:8" x14ac:dyDescent="0.2">
      <c r="A3176">
        <v>228714</v>
      </c>
      <c r="B3176">
        <v>100000</v>
      </c>
      <c r="C3176" t="str">
        <f t="shared" si="49"/>
        <v>3. $50K-250K</v>
      </c>
      <c r="D3176" t="s">
        <v>869</v>
      </c>
      <c r="E3176" t="s">
        <v>237</v>
      </c>
      <c r="F3176" t="s">
        <v>670</v>
      </c>
      <c r="G3176" t="s">
        <v>59</v>
      </c>
      <c r="H3176">
        <v>2023</v>
      </c>
    </row>
    <row r="3177" spans="1:8" x14ac:dyDescent="0.2">
      <c r="A3177">
        <v>228715</v>
      </c>
      <c r="B3177">
        <v>20608</v>
      </c>
      <c r="C3177" t="str">
        <f t="shared" si="49"/>
        <v>3. $50K-250K</v>
      </c>
      <c r="D3177" t="s">
        <v>1094</v>
      </c>
      <c r="E3177" t="s">
        <v>237</v>
      </c>
      <c r="F3177" t="s">
        <v>670</v>
      </c>
      <c r="G3177" t="s">
        <v>59</v>
      </c>
      <c r="H3177">
        <v>2023</v>
      </c>
    </row>
    <row r="3178" spans="1:8" x14ac:dyDescent="0.2">
      <c r="A3178">
        <v>228716</v>
      </c>
      <c r="B3178">
        <v>20608</v>
      </c>
      <c r="C3178" t="str">
        <f t="shared" si="49"/>
        <v>2. $10K-50K</v>
      </c>
      <c r="D3178" t="s">
        <v>1094</v>
      </c>
      <c r="E3178" t="s">
        <v>237</v>
      </c>
      <c r="F3178" t="s">
        <v>670</v>
      </c>
      <c r="G3178" t="s">
        <v>59</v>
      </c>
      <c r="H3178">
        <v>2023</v>
      </c>
    </row>
    <row r="3179" spans="1:8" x14ac:dyDescent="0.2">
      <c r="A3179">
        <v>228717</v>
      </c>
      <c r="B3179">
        <v>155000</v>
      </c>
      <c r="C3179" t="str">
        <f t="shared" si="49"/>
        <v>2. $10K-50K</v>
      </c>
      <c r="D3179" t="s">
        <v>870</v>
      </c>
      <c r="E3179" t="s">
        <v>237</v>
      </c>
      <c r="F3179" t="s">
        <v>670</v>
      </c>
      <c r="G3179" t="s">
        <v>59</v>
      </c>
      <c r="H3179">
        <v>2023</v>
      </c>
    </row>
    <row r="3180" spans="1:8" x14ac:dyDescent="0.2">
      <c r="A3180">
        <v>228718</v>
      </c>
      <c r="B3180">
        <v>106019.2</v>
      </c>
      <c r="C3180" t="str">
        <f t="shared" si="49"/>
        <v>3. $50K-250K</v>
      </c>
      <c r="D3180" t="s">
        <v>798</v>
      </c>
      <c r="E3180" t="s">
        <v>237</v>
      </c>
      <c r="F3180" t="s">
        <v>670</v>
      </c>
      <c r="G3180" t="s">
        <v>59</v>
      </c>
      <c r="H3180">
        <v>2023</v>
      </c>
    </row>
    <row r="3181" spans="1:8" x14ac:dyDescent="0.2">
      <c r="A3181">
        <v>228719</v>
      </c>
      <c r="B3181">
        <v>104964.299999999</v>
      </c>
      <c r="C3181" t="str">
        <f t="shared" si="49"/>
        <v>3. $50K-250K</v>
      </c>
      <c r="D3181" t="s">
        <v>798</v>
      </c>
      <c r="E3181" t="s">
        <v>237</v>
      </c>
      <c r="F3181" t="s">
        <v>670</v>
      </c>
      <c r="G3181" t="s">
        <v>59</v>
      </c>
      <c r="H3181">
        <v>2023</v>
      </c>
    </row>
    <row r="3182" spans="1:8" x14ac:dyDescent="0.2">
      <c r="A3182">
        <v>228720</v>
      </c>
      <c r="B3182">
        <v>17099.900000000001</v>
      </c>
      <c r="C3182" t="str">
        <f t="shared" si="49"/>
        <v>3. $50K-250K</v>
      </c>
      <c r="D3182" t="s">
        <v>798</v>
      </c>
      <c r="E3182" t="s">
        <v>237</v>
      </c>
      <c r="F3182" t="s">
        <v>670</v>
      </c>
      <c r="G3182" t="s">
        <v>59</v>
      </c>
      <c r="H3182">
        <v>2023</v>
      </c>
    </row>
    <row r="3183" spans="1:8" x14ac:dyDescent="0.2">
      <c r="A3183">
        <v>228721</v>
      </c>
      <c r="B3183">
        <v>41095</v>
      </c>
      <c r="C3183" t="str">
        <f t="shared" si="49"/>
        <v>2. $10K-50K</v>
      </c>
      <c r="D3183" t="s">
        <v>794</v>
      </c>
      <c r="E3183" t="s">
        <v>237</v>
      </c>
      <c r="F3183" t="s">
        <v>670</v>
      </c>
      <c r="G3183" t="s">
        <v>59</v>
      </c>
      <c r="H3183">
        <v>2023</v>
      </c>
    </row>
    <row r="3184" spans="1:8" x14ac:dyDescent="0.2">
      <c r="A3184">
        <v>228722</v>
      </c>
      <c r="B3184">
        <v>501256.5</v>
      </c>
      <c r="C3184" t="str">
        <f t="shared" si="49"/>
        <v>2. $10K-50K</v>
      </c>
      <c r="D3184" t="s">
        <v>713</v>
      </c>
      <c r="E3184" t="s">
        <v>237</v>
      </c>
      <c r="F3184" t="s">
        <v>670</v>
      </c>
      <c r="G3184" t="s">
        <v>59</v>
      </c>
      <c r="H3184">
        <v>2023</v>
      </c>
    </row>
    <row r="3185" spans="1:8" x14ac:dyDescent="0.2">
      <c r="A3185">
        <v>228723</v>
      </c>
      <c r="B3185">
        <v>126529.1</v>
      </c>
      <c r="C3185" t="str">
        <f t="shared" si="49"/>
        <v>4. $250K-1M</v>
      </c>
      <c r="D3185" t="s">
        <v>798</v>
      </c>
      <c r="E3185" t="s">
        <v>237</v>
      </c>
      <c r="F3185" t="s">
        <v>670</v>
      </c>
      <c r="G3185" t="s">
        <v>59</v>
      </c>
      <c r="H3185">
        <v>2023</v>
      </c>
    </row>
    <row r="3186" spans="1:8" x14ac:dyDescent="0.2">
      <c r="A3186">
        <v>228724</v>
      </c>
      <c r="B3186">
        <v>647931.1</v>
      </c>
      <c r="C3186" t="str">
        <f t="shared" si="49"/>
        <v>3. $50K-250K</v>
      </c>
      <c r="D3186" t="s">
        <v>694</v>
      </c>
      <c r="E3186" t="s">
        <v>237</v>
      </c>
      <c r="F3186" t="s">
        <v>670</v>
      </c>
      <c r="G3186" t="s">
        <v>59</v>
      </c>
      <c r="H3186">
        <v>2023</v>
      </c>
    </row>
    <row r="3187" spans="1:8" x14ac:dyDescent="0.2">
      <c r="A3187">
        <v>22875</v>
      </c>
      <c r="B3187">
        <v>28774814</v>
      </c>
      <c r="C3187" t="str">
        <f t="shared" si="49"/>
        <v>4. $250K-1M</v>
      </c>
      <c r="D3187" t="s">
        <v>334</v>
      </c>
      <c r="E3187" t="s">
        <v>28</v>
      </c>
      <c r="F3187" t="s">
        <v>29</v>
      </c>
      <c r="G3187" t="s">
        <v>15</v>
      </c>
      <c r="H3187">
        <v>2023</v>
      </c>
    </row>
    <row r="3188" spans="1:8" x14ac:dyDescent="0.2">
      <c r="A3188">
        <v>228768</v>
      </c>
      <c r="B3188">
        <v>49500</v>
      </c>
      <c r="C3188" t="str">
        <f t="shared" si="49"/>
        <v>5. $1M+</v>
      </c>
      <c r="D3188" t="s">
        <v>822</v>
      </c>
      <c r="E3188" t="s">
        <v>237</v>
      </c>
      <c r="F3188" t="s">
        <v>670</v>
      </c>
      <c r="G3188" t="s">
        <v>59</v>
      </c>
      <c r="H3188">
        <v>2023</v>
      </c>
    </row>
    <row r="3189" spans="1:8" x14ac:dyDescent="0.2">
      <c r="A3189">
        <v>228799</v>
      </c>
      <c r="B3189">
        <v>1600000</v>
      </c>
      <c r="C3189" t="str">
        <f t="shared" si="49"/>
        <v>2. $10K-50K</v>
      </c>
      <c r="D3189" t="s">
        <v>1558</v>
      </c>
      <c r="E3189" t="s">
        <v>368</v>
      </c>
      <c r="F3189" t="s">
        <v>668</v>
      </c>
      <c r="G3189" t="s">
        <v>59</v>
      </c>
      <c r="H3189">
        <v>2023</v>
      </c>
    </row>
    <row r="3190" spans="1:8" x14ac:dyDescent="0.2">
      <c r="A3190">
        <v>228821</v>
      </c>
      <c r="B3190">
        <v>16201.6</v>
      </c>
      <c r="C3190" t="str">
        <f t="shared" si="49"/>
        <v>5. $1M+</v>
      </c>
      <c r="D3190" t="s">
        <v>708</v>
      </c>
      <c r="E3190" t="s">
        <v>237</v>
      </c>
      <c r="F3190" t="s">
        <v>670</v>
      </c>
      <c r="G3190" t="s">
        <v>59</v>
      </c>
      <c r="H3190">
        <v>2023</v>
      </c>
    </row>
    <row r="3191" spans="1:8" x14ac:dyDescent="0.2">
      <c r="A3191">
        <v>228822</v>
      </c>
      <c r="B3191">
        <v>300367</v>
      </c>
      <c r="C3191" t="str">
        <f t="shared" si="49"/>
        <v>2. $10K-50K</v>
      </c>
      <c r="D3191" t="s">
        <v>813</v>
      </c>
      <c r="E3191" t="s">
        <v>237</v>
      </c>
      <c r="F3191" t="s">
        <v>670</v>
      </c>
      <c r="G3191" t="s">
        <v>59</v>
      </c>
      <c r="H3191">
        <v>2023</v>
      </c>
    </row>
    <row r="3192" spans="1:8" x14ac:dyDescent="0.2">
      <c r="A3192">
        <v>228823</v>
      </c>
      <c r="B3192">
        <v>301908.59999999998</v>
      </c>
      <c r="C3192" t="str">
        <f t="shared" si="49"/>
        <v>4. $250K-1M</v>
      </c>
      <c r="D3192" t="s">
        <v>1559</v>
      </c>
      <c r="E3192" t="s">
        <v>237</v>
      </c>
      <c r="F3192" t="s">
        <v>670</v>
      </c>
      <c r="G3192" t="s">
        <v>59</v>
      </c>
      <c r="H3192">
        <v>2023</v>
      </c>
    </row>
    <row r="3193" spans="1:8" x14ac:dyDescent="0.2">
      <c r="A3193">
        <v>228824</v>
      </c>
      <c r="B3193">
        <v>335030.59999999998</v>
      </c>
      <c r="C3193" t="str">
        <f t="shared" si="49"/>
        <v>4. $250K-1M</v>
      </c>
      <c r="D3193" t="s">
        <v>1559</v>
      </c>
      <c r="E3193" t="s">
        <v>237</v>
      </c>
      <c r="F3193" t="s">
        <v>670</v>
      </c>
      <c r="G3193" t="s">
        <v>59</v>
      </c>
      <c r="H3193">
        <v>2023</v>
      </c>
    </row>
    <row r="3194" spans="1:8" x14ac:dyDescent="0.2">
      <c r="A3194">
        <v>228826</v>
      </c>
      <c r="B3194">
        <v>57548</v>
      </c>
      <c r="C3194" t="str">
        <f t="shared" si="49"/>
        <v>4. $250K-1M</v>
      </c>
      <c r="D3194" t="s">
        <v>1559</v>
      </c>
      <c r="E3194" t="s">
        <v>237</v>
      </c>
      <c r="F3194" t="s">
        <v>670</v>
      </c>
      <c r="G3194" t="s">
        <v>59</v>
      </c>
      <c r="H3194">
        <v>2023</v>
      </c>
    </row>
    <row r="3195" spans="1:8" x14ac:dyDescent="0.2">
      <c r="A3195">
        <v>228827</v>
      </c>
      <c r="B3195">
        <v>1856.79999999999</v>
      </c>
      <c r="C3195" t="str">
        <f t="shared" si="49"/>
        <v>3. $50K-250K</v>
      </c>
      <c r="D3195" t="s">
        <v>832</v>
      </c>
      <c r="E3195" t="s">
        <v>237</v>
      </c>
      <c r="F3195" t="s">
        <v>670</v>
      </c>
      <c r="G3195" t="s">
        <v>59</v>
      </c>
      <c r="H3195">
        <v>2023</v>
      </c>
    </row>
    <row r="3196" spans="1:8" x14ac:dyDescent="0.2">
      <c r="A3196">
        <v>228833</v>
      </c>
      <c r="B3196">
        <v>60682.5</v>
      </c>
      <c r="C3196" t="str">
        <f t="shared" si="49"/>
        <v>1. Under $10K</v>
      </c>
      <c r="D3196" t="s">
        <v>762</v>
      </c>
      <c r="E3196" t="s">
        <v>237</v>
      </c>
      <c r="F3196" t="s">
        <v>670</v>
      </c>
      <c r="G3196" t="s">
        <v>59</v>
      </c>
      <c r="H3196">
        <v>2023</v>
      </c>
    </row>
    <row r="3197" spans="1:8" x14ac:dyDescent="0.2">
      <c r="A3197">
        <v>228840</v>
      </c>
      <c r="B3197">
        <v>869114</v>
      </c>
      <c r="C3197" t="str">
        <f t="shared" si="49"/>
        <v>3. $50K-250K</v>
      </c>
      <c r="D3197" t="s">
        <v>711</v>
      </c>
      <c r="E3197" t="s">
        <v>237</v>
      </c>
      <c r="F3197" t="s">
        <v>670</v>
      </c>
      <c r="G3197" t="s">
        <v>59</v>
      </c>
      <c r="H3197">
        <v>2023</v>
      </c>
    </row>
    <row r="3198" spans="1:8" x14ac:dyDescent="0.2">
      <c r="A3198">
        <v>228841</v>
      </c>
      <c r="B3198">
        <v>951892.8</v>
      </c>
      <c r="C3198" t="str">
        <f t="shared" si="49"/>
        <v>4. $250K-1M</v>
      </c>
      <c r="D3198" t="s">
        <v>711</v>
      </c>
      <c r="E3198" t="s">
        <v>237</v>
      </c>
      <c r="F3198" t="s">
        <v>670</v>
      </c>
      <c r="G3198" t="s">
        <v>59</v>
      </c>
      <c r="H3198">
        <v>2023</v>
      </c>
    </row>
    <row r="3199" spans="1:8" x14ac:dyDescent="0.2">
      <c r="A3199">
        <v>228842</v>
      </c>
      <c r="B3199">
        <v>58791</v>
      </c>
      <c r="C3199" t="str">
        <f t="shared" si="49"/>
        <v>4. $250K-1M</v>
      </c>
      <c r="D3199" t="s">
        <v>1560</v>
      </c>
      <c r="E3199" t="s">
        <v>99</v>
      </c>
      <c r="F3199" t="s">
        <v>668</v>
      </c>
      <c r="G3199" t="s">
        <v>59</v>
      </c>
      <c r="H3199">
        <v>2023</v>
      </c>
    </row>
    <row r="3200" spans="1:8" x14ac:dyDescent="0.2">
      <c r="A3200">
        <v>228849</v>
      </c>
      <c r="B3200">
        <v>25000</v>
      </c>
      <c r="C3200" t="str">
        <f t="shared" si="49"/>
        <v>3. $50K-250K</v>
      </c>
      <c r="D3200" t="s">
        <v>1437</v>
      </c>
      <c r="E3200" t="s">
        <v>432</v>
      </c>
      <c r="F3200" t="s">
        <v>670</v>
      </c>
      <c r="G3200" t="s">
        <v>59</v>
      </c>
      <c r="H3200">
        <v>2023</v>
      </c>
    </row>
    <row r="3201" spans="1:8" x14ac:dyDescent="0.2">
      <c r="A3201">
        <v>228904</v>
      </c>
      <c r="B3201">
        <v>10676</v>
      </c>
      <c r="C3201" t="str">
        <f t="shared" si="49"/>
        <v>2. $10K-50K</v>
      </c>
      <c r="D3201" t="s">
        <v>1474</v>
      </c>
      <c r="E3201" t="s">
        <v>178</v>
      </c>
      <c r="F3201" t="s">
        <v>668</v>
      </c>
      <c r="G3201" t="s">
        <v>59</v>
      </c>
      <c r="H3201">
        <v>2023</v>
      </c>
    </row>
    <row r="3202" spans="1:8" x14ac:dyDescent="0.2">
      <c r="A3202">
        <v>228908</v>
      </c>
      <c r="B3202">
        <v>61177</v>
      </c>
      <c r="C3202" t="str">
        <f t="shared" si="49"/>
        <v>2. $10K-50K</v>
      </c>
      <c r="D3202" t="s">
        <v>1561</v>
      </c>
      <c r="E3202" t="s">
        <v>99</v>
      </c>
      <c r="F3202" t="s">
        <v>668</v>
      </c>
      <c r="G3202" t="s">
        <v>59</v>
      </c>
      <c r="H3202">
        <v>2023</v>
      </c>
    </row>
    <row r="3203" spans="1:8" x14ac:dyDescent="0.2">
      <c r="A3203">
        <v>228909</v>
      </c>
      <c r="B3203">
        <v>39669</v>
      </c>
      <c r="C3203" t="str">
        <f t="shared" ref="C3203:C3266" si="50">IF(B3202&lt;10000,"1. Under $10K",IF(B3202&lt;50000,"2. $10K-50K",IF(B3202&lt;250000,"3. $50K-250K",IF(B3202&lt;1000000,"4. $250K-1M","5. $1M+"))))</f>
        <v>3. $50K-250K</v>
      </c>
      <c r="D3203" t="s">
        <v>711</v>
      </c>
      <c r="E3203" t="s">
        <v>237</v>
      </c>
      <c r="F3203" t="s">
        <v>670</v>
      </c>
      <c r="G3203" t="s">
        <v>59</v>
      </c>
      <c r="H3203">
        <v>2023</v>
      </c>
    </row>
    <row r="3204" spans="1:8" x14ac:dyDescent="0.2">
      <c r="A3204">
        <v>228911</v>
      </c>
      <c r="B3204">
        <v>356648.6</v>
      </c>
      <c r="C3204" t="str">
        <f t="shared" si="50"/>
        <v>2. $10K-50K</v>
      </c>
      <c r="D3204" t="s">
        <v>852</v>
      </c>
      <c r="E3204" t="s">
        <v>237</v>
      </c>
      <c r="F3204" t="s">
        <v>670</v>
      </c>
      <c r="G3204" t="s">
        <v>59</v>
      </c>
      <c r="H3204">
        <v>2023</v>
      </c>
    </row>
    <row r="3205" spans="1:8" x14ac:dyDescent="0.2">
      <c r="A3205">
        <v>228912</v>
      </c>
      <c r="B3205">
        <v>31478</v>
      </c>
      <c r="C3205" t="str">
        <f t="shared" si="50"/>
        <v>4. $250K-1M</v>
      </c>
      <c r="D3205" t="s">
        <v>852</v>
      </c>
      <c r="E3205" t="s">
        <v>237</v>
      </c>
      <c r="F3205" t="s">
        <v>670</v>
      </c>
      <c r="G3205" t="s">
        <v>59</v>
      </c>
      <c r="H3205">
        <v>2023</v>
      </c>
    </row>
    <row r="3206" spans="1:8" x14ac:dyDescent="0.2">
      <c r="A3206">
        <v>228913</v>
      </c>
      <c r="B3206">
        <v>564097.30000000005</v>
      </c>
      <c r="C3206" t="str">
        <f t="shared" si="50"/>
        <v>2. $10K-50K</v>
      </c>
      <c r="D3206" t="s">
        <v>41</v>
      </c>
      <c r="E3206" t="s">
        <v>237</v>
      </c>
      <c r="F3206" t="s">
        <v>670</v>
      </c>
      <c r="G3206" t="s">
        <v>59</v>
      </c>
      <c r="H3206">
        <v>2023</v>
      </c>
    </row>
    <row r="3207" spans="1:8" x14ac:dyDescent="0.2">
      <c r="A3207">
        <v>228916</v>
      </c>
      <c r="B3207">
        <v>245136.1</v>
      </c>
      <c r="C3207" t="str">
        <f t="shared" si="50"/>
        <v>4. $250K-1M</v>
      </c>
      <c r="D3207" t="s">
        <v>1562</v>
      </c>
      <c r="E3207" t="s">
        <v>99</v>
      </c>
      <c r="F3207" t="s">
        <v>668</v>
      </c>
      <c r="G3207" t="s">
        <v>59</v>
      </c>
      <c r="H3207">
        <v>2023</v>
      </c>
    </row>
    <row r="3208" spans="1:8" x14ac:dyDescent="0.2">
      <c r="A3208">
        <v>228920</v>
      </c>
      <c r="B3208">
        <v>1858000</v>
      </c>
      <c r="C3208" t="str">
        <f t="shared" si="50"/>
        <v>3. $50K-250K</v>
      </c>
      <c r="D3208" t="s">
        <v>1563</v>
      </c>
      <c r="E3208" t="s">
        <v>141</v>
      </c>
      <c r="F3208" t="s">
        <v>668</v>
      </c>
      <c r="G3208" t="s">
        <v>59</v>
      </c>
      <c r="H3208">
        <v>2023</v>
      </c>
    </row>
    <row r="3209" spans="1:8" x14ac:dyDescent="0.2">
      <c r="A3209">
        <v>228941</v>
      </c>
      <c r="B3209">
        <v>15000</v>
      </c>
      <c r="C3209" t="str">
        <f t="shared" si="50"/>
        <v>5. $1M+</v>
      </c>
      <c r="D3209" t="s">
        <v>888</v>
      </c>
      <c r="E3209" t="s">
        <v>368</v>
      </c>
      <c r="F3209" t="s">
        <v>670</v>
      </c>
      <c r="G3209" t="s">
        <v>59</v>
      </c>
      <c r="H3209">
        <v>2023</v>
      </c>
    </row>
    <row r="3210" spans="1:8" x14ac:dyDescent="0.2">
      <c r="A3210">
        <v>228942</v>
      </c>
      <c r="B3210">
        <v>15000</v>
      </c>
      <c r="C3210" t="str">
        <f t="shared" si="50"/>
        <v>2. $10K-50K</v>
      </c>
      <c r="D3210" t="s">
        <v>1398</v>
      </c>
      <c r="E3210" t="s">
        <v>368</v>
      </c>
      <c r="F3210" t="s">
        <v>670</v>
      </c>
      <c r="G3210" t="s">
        <v>59</v>
      </c>
      <c r="H3210">
        <v>2023</v>
      </c>
    </row>
    <row r="3211" spans="1:8" x14ac:dyDescent="0.2">
      <c r="A3211">
        <v>228944</v>
      </c>
      <c r="B3211">
        <v>20000</v>
      </c>
      <c r="C3211" t="str">
        <f t="shared" si="50"/>
        <v>2. $10K-50K</v>
      </c>
      <c r="D3211" t="s">
        <v>1403</v>
      </c>
      <c r="E3211" t="s">
        <v>368</v>
      </c>
      <c r="F3211" t="s">
        <v>670</v>
      </c>
      <c r="G3211" t="s">
        <v>59</v>
      </c>
      <c r="H3211">
        <v>2023</v>
      </c>
    </row>
    <row r="3212" spans="1:8" x14ac:dyDescent="0.2">
      <c r="A3212">
        <v>228946</v>
      </c>
      <c r="B3212">
        <v>10000</v>
      </c>
      <c r="C3212" t="str">
        <f t="shared" si="50"/>
        <v>2. $10K-50K</v>
      </c>
      <c r="D3212" t="s">
        <v>1469</v>
      </c>
      <c r="E3212" t="s">
        <v>368</v>
      </c>
      <c r="F3212" t="s">
        <v>670</v>
      </c>
      <c r="G3212" t="s">
        <v>59</v>
      </c>
      <c r="H3212">
        <v>2023</v>
      </c>
    </row>
    <row r="3213" spans="1:8" x14ac:dyDescent="0.2">
      <c r="A3213">
        <v>228947</v>
      </c>
      <c r="B3213">
        <v>1051069.6000000001</v>
      </c>
      <c r="C3213" t="str">
        <f t="shared" si="50"/>
        <v>2. $10K-50K</v>
      </c>
      <c r="D3213" t="s">
        <v>41</v>
      </c>
      <c r="E3213" t="s">
        <v>237</v>
      </c>
      <c r="F3213" t="s">
        <v>670</v>
      </c>
      <c r="G3213" t="s">
        <v>59</v>
      </c>
      <c r="H3213">
        <v>2023</v>
      </c>
    </row>
    <row r="3214" spans="1:8" x14ac:dyDescent="0.2">
      <c r="A3214">
        <v>228948</v>
      </c>
      <c r="B3214">
        <v>300000</v>
      </c>
      <c r="C3214" t="str">
        <f t="shared" si="50"/>
        <v>5. $1M+</v>
      </c>
      <c r="D3214" t="s">
        <v>865</v>
      </c>
      <c r="E3214" t="s">
        <v>237</v>
      </c>
      <c r="F3214" t="s">
        <v>670</v>
      </c>
      <c r="G3214" t="s">
        <v>59</v>
      </c>
      <c r="H3214">
        <v>2023</v>
      </c>
    </row>
    <row r="3215" spans="1:8" x14ac:dyDescent="0.2">
      <c r="A3215">
        <v>228950</v>
      </c>
      <c r="B3215">
        <v>15000</v>
      </c>
      <c r="C3215" t="str">
        <f t="shared" si="50"/>
        <v>4. $250K-1M</v>
      </c>
      <c r="D3215" t="s">
        <v>1509</v>
      </c>
      <c r="E3215" t="s">
        <v>368</v>
      </c>
      <c r="F3215" t="s">
        <v>670</v>
      </c>
      <c r="G3215" t="s">
        <v>59</v>
      </c>
      <c r="H3215">
        <v>2023</v>
      </c>
    </row>
    <row r="3216" spans="1:8" x14ac:dyDescent="0.2">
      <c r="A3216">
        <v>228951</v>
      </c>
      <c r="B3216">
        <v>25000</v>
      </c>
      <c r="C3216" t="str">
        <f t="shared" si="50"/>
        <v>2. $10K-50K</v>
      </c>
      <c r="D3216" t="s">
        <v>1407</v>
      </c>
      <c r="E3216" t="s">
        <v>368</v>
      </c>
      <c r="F3216" t="s">
        <v>670</v>
      </c>
      <c r="G3216" t="s">
        <v>59</v>
      </c>
      <c r="H3216">
        <v>2023</v>
      </c>
    </row>
    <row r="3217" spans="1:8" x14ac:dyDescent="0.2">
      <c r="A3217">
        <v>228957</v>
      </c>
      <c r="B3217">
        <v>138873.5</v>
      </c>
      <c r="C3217" t="str">
        <f t="shared" si="50"/>
        <v>2. $10K-50K</v>
      </c>
      <c r="D3217" t="s">
        <v>1178</v>
      </c>
      <c r="E3217" t="s">
        <v>237</v>
      </c>
      <c r="F3217" t="s">
        <v>670</v>
      </c>
      <c r="G3217" t="s">
        <v>59</v>
      </c>
      <c r="H3217">
        <v>2023</v>
      </c>
    </row>
    <row r="3218" spans="1:8" x14ac:dyDescent="0.2">
      <c r="A3218">
        <v>228967</v>
      </c>
      <c r="B3218">
        <v>510727</v>
      </c>
      <c r="C3218" t="str">
        <f t="shared" si="50"/>
        <v>3. $50K-250K</v>
      </c>
      <c r="D3218" t="s">
        <v>749</v>
      </c>
      <c r="E3218" t="s">
        <v>42</v>
      </c>
      <c r="F3218" t="s">
        <v>670</v>
      </c>
      <c r="G3218" t="s">
        <v>59</v>
      </c>
      <c r="H3218">
        <v>2023</v>
      </c>
    </row>
    <row r="3219" spans="1:8" x14ac:dyDescent="0.2">
      <c r="A3219">
        <v>228968</v>
      </c>
      <c r="B3219">
        <v>40000</v>
      </c>
      <c r="C3219" t="str">
        <f t="shared" si="50"/>
        <v>4. $250K-1M</v>
      </c>
      <c r="D3219" t="s">
        <v>1451</v>
      </c>
      <c r="E3219" t="s">
        <v>432</v>
      </c>
      <c r="F3219" t="s">
        <v>670</v>
      </c>
      <c r="G3219" t="s">
        <v>59</v>
      </c>
      <c r="H3219">
        <v>2023</v>
      </c>
    </row>
    <row r="3220" spans="1:8" x14ac:dyDescent="0.2">
      <c r="A3220">
        <v>228969</v>
      </c>
      <c r="B3220">
        <v>25000</v>
      </c>
      <c r="C3220" t="str">
        <f t="shared" si="50"/>
        <v>2. $10K-50K</v>
      </c>
      <c r="D3220" t="s">
        <v>1435</v>
      </c>
      <c r="E3220" t="s">
        <v>432</v>
      </c>
      <c r="F3220" t="s">
        <v>670</v>
      </c>
      <c r="G3220" t="s">
        <v>59</v>
      </c>
      <c r="H3220">
        <v>2023</v>
      </c>
    </row>
    <row r="3221" spans="1:8" x14ac:dyDescent="0.2">
      <c r="A3221">
        <v>228970</v>
      </c>
      <c r="B3221">
        <v>40000</v>
      </c>
      <c r="C3221" t="str">
        <f t="shared" si="50"/>
        <v>2. $10K-50K</v>
      </c>
      <c r="D3221" t="s">
        <v>1435</v>
      </c>
      <c r="E3221" t="s">
        <v>432</v>
      </c>
      <c r="F3221" t="s">
        <v>670</v>
      </c>
      <c r="G3221" t="s">
        <v>59</v>
      </c>
      <c r="H3221">
        <v>2023</v>
      </c>
    </row>
    <row r="3222" spans="1:8" x14ac:dyDescent="0.2">
      <c r="A3222">
        <v>228972</v>
      </c>
      <c r="B3222">
        <v>40000</v>
      </c>
      <c r="C3222" t="str">
        <f t="shared" si="50"/>
        <v>2. $10K-50K</v>
      </c>
      <c r="D3222" t="s">
        <v>1438</v>
      </c>
      <c r="E3222" t="s">
        <v>432</v>
      </c>
      <c r="F3222" t="s">
        <v>670</v>
      </c>
      <c r="G3222" t="s">
        <v>59</v>
      </c>
      <c r="H3222">
        <v>2023</v>
      </c>
    </row>
    <row r="3223" spans="1:8" x14ac:dyDescent="0.2">
      <c r="A3223">
        <v>228978</v>
      </c>
      <c r="B3223">
        <v>3213000</v>
      </c>
      <c r="C3223" t="str">
        <f t="shared" si="50"/>
        <v>2. $10K-50K</v>
      </c>
      <c r="D3223" t="s">
        <v>1564</v>
      </c>
      <c r="E3223" t="s">
        <v>8</v>
      </c>
      <c r="F3223" t="s">
        <v>668</v>
      </c>
      <c r="G3223" t="s">
        <v>59</v>
      </c>
      <c r="H3223">
        <v>2023</v>
      </c>
    </row>
    <row r="3224" spans="1:8" x14ac:dyDescent="0.2">
      <c r="A3224">
        <v>228985</v>
      </c>
      <c r="B3224">
        <v>40000</v>
      </c>
      <c r="C3224" t="str">
        <f t="shared" si="50"/>
        <v>5. $1M+</v>
      </c>
      <c r="D3224" t="s">
        <v>945</v>
      </c>
      <c r="E3224" t="s">
        <v>432</v>
      </c>
      <c r="F3224" t="s">
        <v>670</v>
      </c>
      <c r="G3224" t="s">
        <v>59</v>
      </c>
      <c r="H3224">
        <v>2023</v>
      </c>
    </row>
    <row r="3225" spans="1:8" x14ac:dyDescent="0.2">
      <c r="A3225">
        <v>228986</v>
      </c>
      <c r="B3225">
        <v>50000</v>
      </c>
      <c r="C3225" t="str">
        <f t="shared" si="50"/>
        <v>2. $10K-50K</v>
      </c>
      <c r="D3225" t="s">
        <v>1454</v>
      </c>
      <c r="E3225" t="s">
        <v>432</v>
      </c>
      <c r="F3225" t="s">
        <v>670</v>
      </c>
      <c r="G3225" t="s">
        <v>59</v>
      </c>
      <c r="H3225">
        <v>2023</v>
      </c>
    </row>
    <row r="3226" spans="1:8" x14ac:dyDescent="0.2">
      <c r="A3226">
        <v>228989</v>
      </c>
      <c r="B3226">
        <v>30000</v>
      </c>
      <c r="C3226" t="str">
        <f t="shared" si="50"/>
        <v>3. $50K-250K</v>
      </c>
      <c r="D3226" t="s">
        <v>944</v>
      </c>
      <c r="E3226" t="s">
        <v>432</v>
      </c>
      <c r="F3226" t="s">
        <v>670</v>
      </c>
      <c r="G3226" t="s">
        <v>59</v>
      </c>
      <c r="H3226">
        <v>2023</v>
      </c>
    </row>
    <row r="3227" spans="1:8" x14ac:dyDescent="0.2">
      <c r="A3227">
        <v>228991</v>
      </c>
      <c r="B3227">
        <v>20000</v>
      </c>
      <c r="C3227" t="str">
        <f t="shared" si="50"/>
        <v>2. $10K-50K</v>
      </c>
      <c r="D3227" t="s">
        <v>1460</v>
      </c>
      <c r="E3227" t="s">
        <v>432</v>
      </c>
      <c r="F3227" t="s">
        <v>670</v>
      </c>
      <c r="G3227" t="s">
        <v>59</v>
      </c>
      <c r="H3227">
        <v>2023</v>
      </c>
    </row>
    <row r="3228" spans="1:8" x14ac:dyDescent="0.2">
      <c r="A3228">
        <v>228992</v>
      </c>
      <c r="B3228">
        <v>25000</v>
      </c>
      <c r="C3228" t="str">
        <f t="shared" si="50"/>
        <v>2. $10K-50K</v>
      </c>
      <c r="D3228" t="s">
        <v>1449</v>
      </c>
      <c r="E3228" t="s">
        <v>1565</v>
      </c>
      <c r="F3228" t="s">
        <v>670</v>
      </c>
      <c r="G3228" t="s">
        <v>59</v>
      </c>
      <c r="H3228">
        <v>2023</v>
      </c>
    </row>
    <row r="3229" spans="1:8" x14ac:dyDescent="0.2">
      <c r="A3229">
        <v>228993</v>
      </c>
      <c r="B3229">
        <v>50000</v>
      </c>
      <c r="C3229" t="str">
        <f t="shared" si="50"/>
        <v>2. $10K-50K</v>
      </c>
      <c r="D3229" t="s">
        <v>1449</v>
      </c>
      <c r="E3229" t="s">
        <v>432</v>
      </c>
      <c r="F3229" t="s">
        <v>670</v>
      </c>
      <c r="G3229" t="s">
        <v>59</v>
      </c>
      <c r="H3229">
        <v>2023</v>
      </c>
    </row>
    <row r="3230" spans="1:8" x14ac:dyDescent="0.2">
      <c r="A3230">
        <v>228994</v>
      </c>
      <c r="B3230">
        <v>40000</v>
      </c>
      <c r="C3230" t="str">
        <f t="shared" si="50"/>
        <v>3. $50K-250K</v>
      </c>
      <c r="D3230" t="s">
        <v>1450</v>
      </c>
      <c r="E3230" t="s">
        <v>432</v>
      </c>
      <c r="F3230" t="s">
        <v>670</v>
      </c>
      <c r="G3230" t="s">
        <v>59</v>
      </c>
      <c r="H3230">
        <v>2023</v>
      </c>
    </row>
    <row r="3231" spans="1:8" x14ac:dyDescent="0.2">
      <c r="A3231">
        <v>228995</v>
      </c>
      <c r="B3231">
        <v>60000</v>
      </c>
      <c r="C3231" t="str">
        <f t="shared" si="50"/>
        <v>2. $10K-50K</v>
      </c>
      <c r="D3231" t="s">
        <v>1457</v>
      </c>
      <c r="E3231" t="s">
        <v>432</v>
      </c>
      <c r="F3231" t="s">
        <v>670</v>
      </c>
      <c r="G3231" t="s">
        <v>59</v>
      </c>
      <c r="H3231">
        <v>2023</v>
      </c>
    </row>
    <row r="3232" spans="1:8" x14ac:dyDescent="0.2">
      <c r="A3232">
        <v>229009</v>
      </c>
      <c r="B3232">
        <v>31605.9</v>
      </c>
      <c r="C3232" t="str">
        <f t="shared" si="50"/>
        <v>3. $50K-250K</v>
      </c>
      <c r="D3232" t="s">
        <v>926</v>
      </c>
      <c r="E3232" t="s">
        <v>825</v>
      </c>
      <c r="F3232" t="s">
        <v>670</v>
      </c>
      <c r="G3232" t="s">
        <v>59</v>
      </c>
      <c r="H3232">
        <v>2023</v>
      </c>
    </row>
    <row r="3233" spans="1:8" x14ac:dyDescent="0.2">
      <c r="A3233">
        <v>229010</v>
      </c>
      <c r="B3233">
        <v>63195.6</v>
      </c>
      <c r="C3233" t="str">
        <f t="shared" si="50"/>
        <v>2. $10K-50K</v>
      </c>
      <c r="D3233" t="s">
        <v>1347</v>
      </c>
      <c r="E3233" t="s">
        <v>237</v>
      </c>
      <c r="F3233" t="s">
        <v>670</v>
      </c>
      <c r="G3233" t="s">
        <v>59</v>
      </c>
      <c r="H3233">
        <v>2023</v>
      </c>
    </row>
    <row r="3234" spans="1:8" x14ac:dyDescent="0.2">
      <c r="A3234">
        <v>229102</v>
      </c>
      <c r="B3234">
        <v>4000000</v>
      </c>
      <c r="C3234" t="str">
        <f t="shared" si="50"/>
        <v>3. $50K-250K</v>
      </c>
      <c r="D3234" t="s">
        <v>335</v>
      </c>
      <c r="E3234" t="s">
        <v>178</v>
      </c>
      <c r="F3234" t="s">
        <v>43</v>
      </c>
      <c r="G3234" t="s">
        <v>44</v>
      </c>
      <c r="H3234">
        <v>2023</v>
      </c>
    </row>
    <row r="3235" spans="1:8" x14ac:dyDescent="0.2">
      <c r="A3235">
        <v>229103</v>
      </c>
      <c r="B3235">
        <v>1500000</v>
      </c>
      <c r="C3235" t="str">
        <f t="shared" si="50"/>
        <v>5. $1M+</v>
      </c>
      <c r="D3235" t="s">
        <v>336</v>
      </c>
      <c r="E3235" t="s">
        <v>178</v>
      </c>
      <c r="F3235" t="s">
        <v>43</v>
      </c>
      <c r="G3235" t="s">
        <v>44</v>
      </c>
      <c r="H3235">
        <v>2023</v>
      </c>
    </row>
    <row r="3236" spans="1:8" x14ac:dyDescent="0.2">
      <c r="A3236">
        <v>229104</v>
      </c>
      <c r="B3236">
        <v>2500000</v>
      </c>
      <c r="C3236" t="str">
        <f t="shared" si="50"/>
        <v>5. $1M+</v>
      </c>
      <c r="D3236" t="s">
        <v>337</v>
      </c>
      <c r="E3236" t="s">
        <v>178</v>
      </c>
      <c r="F3236" t="s">
        <v>43</v>
      </c>
      <c r="G3236" t="s">
        <v>44</v>
      </c>
      <c r="H3236">
        <v>2023</v>
      </c>
    </row>
    <row r="3237" spans="1:8" x14ac:dyDescent="0.2">
      <c r="A3237">
        <v>229227</v>
      </c>
      <c r="B3237">
        <v>253000</v>
      </c>
      <c r="C3237" t="str">
        <f t="shared" si="50"/>
        <v>5. $1M+</v>
      </c>
      <c r="D3237" t="s">
        <v>883</v>
      </c>
      <c r="E3237" t="s">
        <v>237</v>
      </c>
      <c r="F3237" t="s">
        <v>670</v>
      </c>
      <c r="G3237" t="s">
        <v>59</v>
      </c>
      <c r="H3237">
        <v>2023</v>
      </c>
    </row>
    <row r="3238" spans="1:8" x14ac:dyDescent="0.2">
      <c r="A3238">
        <v>229228</v>
      </c>
      <c r="B3238">
        <v>29999.8</v>
      </c>
      <c r="C3238" t="str">
        <f t="shared" si="50"/>
        <v>4. $250K-1M</v>
      </c>
      <c r="D3238" t="s">
        <v>958</v>
      </c>
      <c r="E3238" t="s">
        <v>825</v>
      </c>
      <c r="F3238" t="s">
        <v>670</v>
      </c>
      <c r="G3238" t="s">
        <v>59</v>
      </c>
      <c r="H3238">
        <v>2023</v>
      </c>
    </row>
    <row r="3239" spans="1:8" x14ac:dyDescent="0.2">
      <c r="A3239">
        <v>229229</v>
      </c>
      <c r="B3239">
        <v>119617.1</v>
      </c>
      <c r="C3239" t="str">
        <f t="shared" si="50"/>
        <v>2. $10K-50K</v>
      </c>
      <c r="D3239" t="s">
        <v>1360</v>
      </c>
      <c r="E3239" t="s">
        <v>237</v>
      </c>
      <c r="F3239" t="s">
        <v>670</v>
      </c>
      <c r="G3239" t="s">
        <v>59</v>
      </c>
      <c r="H3239">
        <v>2023</v>
      </c>
    </row>
    <row r="3240" spans="1:8" x14ac:dyDescent="0.2">
      <c r="A3240">
        <v>229230</v>
      </c>
      <c r="B3240">
        <v>58648.2</v>
      </c>
      <c r="C3240" t="str">
        <f t="shared" si="50"/>
        <v>3. $50K-250K</v>
      </c>
      <c r="D3240" t="s">
        <v>895</v>
      </c>
      <c r="E3240" t="s">
        <v>42</v>
      </c>
      <c r="F3240" t="s">
        <v>670</v>
      </c>
      <c r="G3240" t="s">
        <v>59</v>
      </c>
      <c r="H3240">
        <v>2023</v>
      </c>
    </row>
    <row r="3241" spans="1:8" x14ac:dyDescent="0.2">
      <c r="A3241">
        <v>229232</v>
      </c>
      <c r="B3241">
        <v>214743.5</v>
      </c>
      <c r="C3241" t="str">
        <f t="shared" si="50"/>
        <v>3. $50K-250K</v>
      </c>
      <c r="D3241" t="s">
        <v>780</v>
      </c>
      <c r="E3241" t="s">
        <v>42</v>
      </c>
      <c r="F3241" t="s">
        <v>670</v>
      </c>
      <c r="G3241" t="s">
        <v>59</v>
      </c>
      <c r="H3241">
        <v>2023</v>
      </c>
    </row>
    <row r="3242" spans="1:8" x14ac:dyDescent="0.2">
      <c r="A3242">
        <v>229235</v>
      </c>
      <c r="B3242">
        <v>60000</v>
      </c>
      <c r="C3242" t="str">
        <f t="shared" si="50"/>
        <v>3. $50K-250K</v>
      </c>
      <c r="D3242" t="s">
        <v>879</v>
      </c>
      <c r="E3242" t="s">
        <v>237</v>
      </c>
      <c r="F3242" t="s">
        <v>670</v>
      </c>
      <c r="G3242" t="s">
        <v>59</v>
      </c>
      <c r="H3242">
        <v>2023</v>
      </c>
    </row>
    <row r="3243" spans="1:8" x14ac:dyDescent="0.2">
      <c r="A3243">
        <v>229259</v>
      </c>
      <c r="B3243">
        <v>15000000</v>
      </c>
      <c r="C3243" t="str">
        <f t="shared" si="50"/>
        <v>3. $50K-250K</v>
      </c>
      <c r="D3243" t="s">
        <v>1052</v>
      </c>
      <c r="E3243" t="s">
        <v>237</v>
      </c>
      <c r="F3243" t="s">
        <v>670</v>
      </c>
      <c r="G3243" t="s">
        <v>59</v>
      </c>
      <c r="H3243">
        <v>2023</v>
      </c>
    </row>
    <row r="3244" spans="1:8" x14ac:dyDescent="0.2">
      <c r="A3244">
        <v>229427</v>
      </c>
      <c r="B3244">
        <v>20000</v>
      </c>
      <c r="C3244" t="str">
        <f t="shared" si="50"/>
        <v>5. $1M+</v>
      </c>
      <c r="D3244" t="s">
        <v>501</v>
      </c>
      <c r="E3244" t="s">
        <v>432</v>
      </c>
      <c r="F3244" t="s">
        <v>670</v>
      </c>
      <c r="G3244" t="s">
        <v>59</v>
      </c>
      <c r="H3244">
        <v>2023</v>
      </c>
    </row>
    <row r="3245" spans="1:8" x14ac:dyDescent="0.2">
      <c r="A3245">
        <v>229428</v>
      </c>
      <c r="B3245">
        <v>40000</v>
      </c>
      <c r="C3245" t="str">
        <f t="shared" si="50"/>
        <v>2. $10K-50K</v>
      </c>
      <c r="D3245" t="s">
        <v>1447</v>
      </c>
      <c r="E3245" t="s">
        <v>432</v>
      </c>
      <c r="F3245" t="s">
        <v>670</v>
      </c>
      <c r="G3245" t="s">
        <v>59</v>
      </c>
      <c r="H3245">
        <v>2023</v>
      </c>
    </row>
    <row r="3246" spans="1:8" x14ac:dyDescent="0.2">
      <c r="A3246">
        <v>229439</v>
      </c>
      <c r="B3246">
        <v>245625</v>
      </c>
      <c r="C3246" t="str">
        <f t="shared" si="50"/>
        <v>2. $10K-50K</v>
      </c>
      <c r="D3246" t="s">
        <v>1566</v>
      </c>
      <c r="E3246" t="s">
        <v>99</v>
      </c>
      <c r="F3246" t="s">
        <v>668</v>
      </c>
      <c r="G3246" t="s">
        <v>59</v>
      </c>
      <c r="H3246">
        <v>2023</v>
      </c>
    </row>
    <row r="3247" spans="1:8" x14ac:dyDescent="0.2">
      <c r="A3247">
        <v>229450</v>
      </c>
      <c r="B3247">
        <v>250000</v>
      </c>
      <c r="C3247" t="str">
        <f t="shared" si="50"/>
        <v>3. $50K-250K</v>
      </c>
      <c r="D3247" t="s">
        <v>1567</v>
      </c>
      <c r="E3247" t="s">
        <v>99</v>
      </c>
      <c r="F3247" t="s">
        <v>668</v>
      </c>
      <c r="G3247" t="s">
        <v>59</v>
      </c>
      <c r="H3247">
        <v>2023</v>
      </c>
    </row>
    <row r="3248" spans="1:8" x14ac:dyDescent="0.2">
      <c r="A3248">
        <v>229451</v>
      </c>
      <c r="B3248">
        <v>90043.199999999997</v>
      </c>
      <c r="C3248" t="str">
        <f t="shared" si="50"/>
        <v>4. $250K-1M</v>
      </c>
      <c r="D3248" t="s">
        <v>1568</v>
      </c>
      <c r="E3248" t="s">
        <v>99</v>
      </c>
      <c r="F3248" t="s">
        <v>668</v>
      </c>
      <c r="G3248" t="s">
        <v>59</v>
      </c>
      <c r="H3248">
        <v>2023</v>
      </c>
    </row>
    <row r="3249" spans="1:8" x14ac:dyDescent="0.2">
      <c r="A3249">
        <v>229453</v>
      </c>
      <c r="B3249">
        <v>250000</v>
      </c>
      <c r="C3249" t="str">
        <f t="shared" si="50"/>
        <v>3. $50K-250K</v>
      </c>
      <c r="D3249" t="s">
        <v>1569</v>
      </c>
      <c r="E3249" t="s">
        <v>99</v>
      </c>
      <c r="F3249" t="s">
        <v>668</v>
      </c>
      <c r="G3249" t="s">
        <v>59</v>
      </c>
      <c r="H3249">
        <v>2023</v>
      </c>
    </row>
    <row r="3250" spans="1:8" x14ac:dyDescent="0.2">
      <c r="A3250">
        <v>229454</v>
      </c>
      <c r="B3250">
        <v>250000</v>
      </c>
      <c r="C3250" t="str">
        <f t="shared" si="50"/>
        <v>4. $250K-1M</v>
      </c>
      <c r="D3250" t="s">
        <v>1570</v>
      </c>
      <c r="E3250" t="s">
        <v>99</v>
      </c>
      <c r="F3250" t="s">
        <v>668</v>
      </c>
      <c r="G3250" t="s">
        <v>59</v>
      </c>
      <c r="H3250">
        <v>2023</v>
      </c>
    </row>
    <row r="3251" spans="1:8" x14ac:dyDescent="0.2">
      <c r="A3251">
        <v>229457</v>
      </c>
      <c r="B3251">
        <v>4000000</v>
      </c>
      <c r="C3251" t="str">
        <f t="shared" si="50"/>
        <v>4. $250K-1M</v>
      </c>
      <c r="D3251" t="s">
        <v>1571</v>
      </c>
      <c r="E3251" t="s">
        <v>28</v>
      </c>
      <c r="F3251" t="s">
        <v>668</v>
      </c>
      <c r="G3251" t="s">
        <v>59</v>
      </c>
      <c r="H3251">
        <v>2023</v>
      </c>
    </row>
    <row r="3252" spans="1:8" x14ac:dyDescent="0.2">
      <c r="A3252">
        <v>229458</v>
      </c>
      <c r="B3252">
        <v>9385000</v>
      </c>
      <c r="C3252" t="str">
        <f t="shared" si="50"/>
        <v>5. $1M+</v>
      </c>
      <c r="D3252" t="s">
        <v>1571</v>
      </c>
      <c r="E3252" t="s">
        <v>28</v>
      </c>
      <c r="F3252" t="s">
        <v>668</v>
      </c>
      <c r="G3252" t="s">
        <v>59</v>
      </c>
      <c r="H3252">
        <v>2023</v>
      </c>
    </row>
    <row r="3253" spans="1:8" x14ac:dyDescent="0.2">
      <c r="A3253">
        <v>229463</v>
      </c>
      <c r="B3253">
        <v>8449025</v>
      </c>
      <c r="C3253" t="str">
        <f t="shared" si="50"/>
        <v>5. $1M+</v>
      </c>
      <c r="D3253" t="s">
        <v>38</v>
      </c>
      <c r="E3253" t="s">
        <v>8</v>
      </c>
      <c r="F3253" t="s">
        <v>338</v>
      </c>
      <c r="G3253" t="s">
        <v>10</v>
      </c>
      <c r="H3253">
        <v>2023</v>
      </c>
    </row>
    <row r="3254" spans="1:8" x14ac:dyDescent="0.2">
      <c r="A3254">
        <v>229465</v>
      </c>
      <c r="B3254">
        <v>65272</v>
      </c>
      <c r="C3254" t="str">
        <f t="shared" si="50"/>
        <v>5. $1M+</v>
      </c>
      <c r="D3254" t="s">
        <v>1572</v>
      </c>
      <c r="E3254" t="s">
        <v>237</v>
      </c>
      <c r="F3254" t="s">
        <v>668</v>
      </c>
      <c r="G3254" t="s">
        <v>59</v>
      </c>
      <c r="H3254">
        <v>2023</v>
      </c>
    </row>
    <row r="3255" spans="1:8" x14ac:dyDescent="0.2">
      <c r="A3255">
        <v>229467</v>
      </c>
      <c r="B3255">
        <v>141085</v>
      </c>
      <c r="C3255" t="str">
        <f t="shared" si="50"/>
        <v>3. $50K-250K</v>
      </c>
      <c r="D3255" t="s">
        <v>792</v>
      </c>
      <c r="E3255" t="s">
        <v>141</v>
      </c>
      <c r="F3255" t="s">
        <v>668</v>
      </c>
      <c r="G3255" t="s">
        <v>59</v>
      </c>
      <c r="H3255">
        <v>2023</v>
      </c>
    </row>
    <row r="3256" spans="1:8" x14ac:dyDescent="0.2">
      <c r="A3256">
        <v>229469</v>
      </c>
      <c r="B3256">
        <v>504426.7</v>
      </c>
      <c r="C3256" t="str">
        <f t="shared" si="50"/>
        <v>3. $50K-250K</v>
      </c>
      <c r="D3256" t="s">
        <v>701</v>
      </c>
      <c r="E3256" t="s">
        <v>237</v>
      </c>
      <c r="F3256" t="s">
        <v>670</v>
      </c>
      <c r="G3256" t="s">
        <v>59</v>
      </c>
      <c r="H3256">
        <v>2023</v>
      </c>
    </row>
    <row r="3257" spans="1:8" x14ac:dyDescent="0.2">
      <c r="A3257">
        <v>229471</v>
      </c>
      <c r="B3257">
        <v>71500</v>
      </c>
      <c r="C3257" t="str">
        <f t="shared" si="50"/>
        <v>4. $250K-1M</v>
      </c>
      <c r="D3257" t="s">
        <v>1573</v>
      </c>
      <c r="E3257" t="s">
        <v>480</v>
      </c>
      <c r="F3257" t="s">
        <v>668</v>
      </c>
      <c r="G3257" t="s">
        <v>59</v>
      </c>
      <c r="H3257">
        <v>2023</v>
      </c>
    </row>
    <row r="3258" spans="1:8" x14ac:dyDescent="0.2">
      <c r="A3258">
        <v>229472</v>
      </c>
      <c r="B3258">
        <v>250000</v>
      </c>
      <c r="C3258" t="str">
        <f t="shared" si="50"/>
        <v>3. $50K-250K</v>
      </c>
      <c r="D3258" t="s">
        <v>1574</v>
      </c>
      <c r="E3258" t="s">
        <v>99</v>
      </c>
      <c r="F3258" t="s">
        <v>668</v>
      </c>
      <c r="G3258" t="s">
        <v>59</v>
      </c>
      <c r="H3258">
        <v>2023</v>
      </c>
    </row>
    <row r="3259" spans="1:8" x14ac:dyDescent="0.2">
      <c r="A3259">
        <v>229473</v>
      </c>
      <c r="B3259">
        <v>250000</v>
      </c>
      <c r="C3259" t="str">
        <f t="shared" si="50"/>
        <v>4. $250K-1M</v>
      </c>
      <c r="D3259" t="s">
        <v>1133</v>
      </c>
      <c r="E3259" t="s">
        <v>99</v>
      </c>
      <c r="F3259" t="s">
        <v>668</v>
      </c>
      <c r="G3259" t="s">
        <v>59</v>
      </c>
      <c r="H3259">
        <v>2023</v>
      </c>
    </row>
    <row r="3260" spans="1:8" x14ac:dyDescent="0.2">
      <c r="A3260">
        <v>229474</v>
      </c>
      <c r="B3260">
        <v>250000</v>
      </c>
      <c r="C3260" t="str">
        <f t="shared" si="50"/>
        <v>4. $250K-1M</v>
      </c>
      <c r="D3260" t="s">
        <v>1575</v>
      </c>
      <c r="E3260" t="s">
        <v>99</v>
      </c>
      <c r="F3260" t="s">
        <v>668</v>
      </c>
      <c r="G3260" t="s">
        <v>59</v>
      </c>
      <c r="H3260">
        <v>2023</v>
      </c>
    </row>
    <row r="3261" spans="1:8" x14ac:dyDescent="0.2">
      <c r="A3261">
        <v>229476</v>
      </c>
      <c r="B3261">
        <v>250000</v>
      </c>
      <c r="C3261" t="str">
        <f t="shared" si="50"/>
        <v>4. $250K-1M</v>
      </c>
      <c r="D3261" t="s">
        <v>1576</v>
      </c>
      <c r="E3261" t="s">
        <v>99</v>
      </c>
      <c r="F3261" t="s">
        <v>668</v>
      </c>
      <c r="G3261" t="s">
        <v>59</v>
      </c>
      <c r="H3261">
        <v>2023</v>
      </c>
    </row>
    <row r="3262" spans="1:8" x14ac:dyDescent="0.2">
      <c r="A3262">
        <v>229477</v>
      </c>
      <c r="B3262">
        <v>250000</v>
      </c>
      <c r="C3262" t="str">
        <f t="shared" si="50"/>
        <v>4. $250K-1M</v>
      </c>
      <c r="D3262" t="s">
        <v>1577</v>
      </c>
      <c r="E3262" t="s">
        <v>99</v>
      </c>
      <c r="F3262" t="s">
        <v>668</v>
      </c>
      <c r="G3262" t="s">
        <v>59</v>
      </c>
      <c r="H3262">
        <v>2023</v>
      </c>
    </row>
    <row r="3263" spans="1:8" x14ac:dyDescent="0.2">
      <c r="A3263">
        <v>229478</v>
      </c>
      <c r="B3263">
        <v>250000</v>
      </c>
      <c r="C3263" t="str">
        <f t="shared" si="50"/>
        <v>4. $250K-1M</v>
      </c>
      <c r="D3263" t="s">
        <v>1578</v>
      </c>
      <c r="E3263" t="s">
        <v>99</v>
      </c>
      <c r="F3263" t="s">
        <v>668</v>
      </c>
      <c r="G3263" t="s">
        <v>59</v>
      </c>
      <c r="H3263">
        <v>2023</v>
      </c>
    </row>
    <row r="3264" spans="1:8" x14ac:dyDescent="0.2">
      <c r="A3264">
        <v>229482</v>
      </c>
      <c r="B3264">
        <v>144513</v>
      </c>
      <c r="C3264" t="str">
        <f t="shared" si="50"/>
        <v>4. $250K-1M</v>
      </c>
      <c r="D3264" t="s">
        <v>1579</v>
      </c>
      <c r="E3264" t="s">
        <v>99</v>
      </c>
      <c r="F3264" t="s">
        <v>668</v>
      </c>
      <c r="G3264" t="s">
        <v>59</v>
      </c>
      <c r="H3264">
        <v>2023</v>
      </c>
    </row>
    <row r="3265" spans="1:8" x14ac:dyDescent="0.2">
      <c r="A3265">
        <v>229486</v>
      </c>
      <c r="B3265">
        <v>156909.29999999999</v>
      </c>
      <c r="C3265" t="str">
        <f t="shared" si="50"/>
        <v>3. $50K-250K</v>
      </c>
      <c r="D3265" t="s">
        <v>1361</v>
      </c>
      <c r="E3265" t="s">
        <v>237</v>
      </c>
      <c r="F3265" t="s">
        <v>670</v>
      </c>
      <c r="G3265" t="s">
        <v>59</v>
      </c>
      <c r="H3265">
        <v>2023</v>
      </c>
    </row>
    <row r="3266" spans="1:8" x14ac:dyDescent="0.2">
      <c r="A3266">
        <v>229488</v>
      </c>
      <c r="B3266">
        <v>5046000</v>
      </c>
      <c r="C3266" t="str">
        <f t="shared" si="50"/>
        <v>3. $50K-250K</v>
      </c>
      <c r="D3266" t="s">
        <v>1580</v>
      </c>
      <c r="E3266" t="s">
        <v>99</v>
      </c>
      <c r="F3266" t="s">
        <v>668</v>
      </c>
      <c r="G3266" t="s">
        <v>59</v>
      </c>
      <c r="H3266">
        <v>2023</v>
      </c>
    </row>
    <row r="3267" spans="1:8" x14ac:dyDescent="0.2">
      <c r="A3267">
        <v>229489</v>
      </c>
      <c r="B3267">
        <v>120559.1</v>
      </c>
      <c r="C3267" t="str">
        <f t="shared" ref="C3267:C3330" si="51">IF(B3266&lt;10000,"1. Under $10K",IF(B3266&lt;50000,"2. $10K-50K",IF(B3266&lt;250000,"3. $50K-250K",IF(B3266&lt;1000000,"4. $250K-1M","5. $1M+"))))</f>
        <v>5. $1M+</v>
      </c>
      <c r="D3267" t="s">
        <v>1360</v>
      </c>
      <c r="E3267" t="s">
        <v>237</v>
      </c>
      <c r="F3267" t="s">
        <v>670</v>
      </c>
      <c r="G3267" t="s">
        <v>59</v>
      </c>
      <c r="H3267">
        <v>2023</v>
      </c>
    </row>
    <row r="3268" spans="1:8" x14ac:dyDescent="0.2">
      <c r="A3268">
        <v>229678</v>
      </c>
      <c r="B3268">
        <v>1179469.7</v>
      </c>
      <c r="C3268" t="str">
        <f t="shared" si="51"/>
        <v>3. $50K-250K</v>
      </c>
      <c r="D3268" t="s">
        <v>673</v>
      </c>
      <c r="E3268" t="s">
        <v>42</v>
      </c>
      <c r="F3268" t="s">
        <v>670</v>
      </c>
      <c r="G3268" t="s">
        <v>59</v>
      </c>
      <c r="H3268">
        <v>2023</v>
      </c>
    </row>
    <row r="3269" spans="1:8" x14ac:dyDescent="0.2">
      <c r="A3269">
        <v>229679</v>
      </c>
      <c r="B3269">
        <v>114972.3</v>
      </c>
      <c r="C3269" t="str">
        <f t="shared" si="51"/>
        <v>5. $1M+</v>
      </c>
      <c r="D3269" t="s">
        <v>804</v>
      </c>
      <c r="E3269" t="s">
        <v>42</v>
      </c>
      <c r="F3269" t="s">
        <v>670</v>
      </c>
      <c r="G3269" t="s">
        <v>59</v>
      </c>
      <c r="H3269">
        <v>2023</v>
      </c>
    </row>
    <row r="3270" spans="1:8" x14ac:dyDescent="0.2">
      <c r="A3270">
        <v>229726</v>
      </c>
      <c r="B3270">
        <v>744059.4</v>
      </c>
      <c r="C3270" t="str">
        <f t="shared" si="51"/>
        <v>3. $50K-250K</v>
      </c>
      <c r="D3270" t="s">
        <v>391</v>
      </c>
      <c r="E3270" t="s">
        <v>42</v>
      </c>
      <c r="F3270" t="s">
        <v>670</v>
      </c>
      <c r="G3270" t="s">
        <v>59</v>
      </c>
      <c r="H3270">
        <v>2023</v>
      </c>
    </row>
    <row r="3271" spans="1:8" x14ac:dyDescent="0.2">
      <c r="A3271">
        <v>229727</v>
      </c>
      <c r="B3271">
        <v>124794.6</v>
      </c>
      <c r="C3271" t="str">
        <f t="shared" si="51"/>
        <v>4. $250K-1M</v>
      </c>
      <c r="D3271" t="s">
        <v>689</v>
      </c>
      <c r="E3271" t="s">
        <v>42</v>
      </c>
      <c r="F3271" t="s">
        <v>670</v>
      </c>
      <c r="G3271" t="s">
        <v>59</v>
      </c>
      <c r="H3271">
        <v>2023</v>
      </c>
    </row>
    <row r="3272" spans="1:8" x14ac:dyDescent="0.2">
      <c r="A3272">
        <v>229728</v>
      </c>
      <c r="B3272">
        <v>287637</v>
      </c>
      <c r="C3272" t="str">
        <f t="shared" si="51"/>
        <v>3. $50K-250K</v>
      </c>
      <c r="D3272" t="s">
        <v>669</v>
      </c>
      <c r="E3272" t="s">
        <v>42</v>
      </c>
      <c r="F3272" t="s">
        <v>670</v>
      </c>
      <c r="G3272" t="s">
        <v>59</v>
      </c>
      <c r="H3272">
        <v>2023</v>
      </c>
    </row>
    <row r="3273" spans="1:8" x14ac:dyDescent="0.2">
      <c r="A3273">
        <v>229730</v>
      </c>
      <c r="B3273">
        <v>299968.2</v>
      </c>
      <c r="C3273" t="str">
        <f t="shared" si="51"/>
        <v>4. $250K-1M</v>
      </c>
      <c r="D3273" t="s">
        <v>683</v>
      </c>
      <c r="E3273" t="s">
        <v>42</v>
      </c>
      <c r="F3273" t="s">
        <v>670</v>
      </c>
      <c r="G3273" t="s">
        <v>59</v>
      </c>
      <c r="H3273">
        <v>2023</v>
      </c>
    </row>
    <row r="3274" spans="1:8" x14ac:dyDescent="0.2">
      <c r="A3274">
        <v>229737</v>
      </c>
      <c r="B3274">
        <v>172000</v>
      </c>
      <c r="C3274" t="str">
        <f t="shared" si="51"/>
        <v>4. $250K-1M</v>
      </c>
      <c r="D3274" t="s">
        <v>1581</v>
      </c>
      <c r="E3274" t="s">
        <v>42</v>
      </c>
      <c r="F3274" t="s">
        <v>670</v>
      </c>
      <c r="G3274" t="s">
        <v>59</v>
      </c>
      <c r="H3274">
        <v>2023</v>
      </c>
    </row>
    <row r="3275" spans="1:8" x14ac:dyDescent="0.2">
      <c r="A3275">
        <v>229750</v>
      </c>
      <c r="B3275">
        <v>4165983.1</v>
      </c>
      <c r="C3275" t="str">
        <f t="shared" si="51"/>
        <v>3. $50K-250K</v>
      </c>
      <c r="D3275" t="s">
        <v>669</v>
      </c>
      <c r="E3275" t="s">
        <v>42</v>
      </c>
      <c r="F3275" t="s">
        <v>670</v>
      </c>
      <c r="G3275" t="s">
        <v>59</v>
      </c>
      <c r="H3275">
        <v>2023</v>
      </c>
    </row>
    <row r="3276" spans="1:8" x14ac:dyDescent="0.2">
      <c r="A3276">
        <v>229790</v>
      </c>
      <c r="B3276">
        <v>50000</v>
      </c>
      <c r="C3276" t="str">
        <f t="shared" si="51"/>
        <v>5. $1M+</v>
      </c>
      <c r="D3276" t="s">
        <v>954</v>
      </c>
      <c r="E3276" t="s">
        <v>825</v>
      </c>
      <c r="F3276" t="s">
        <v>670</v>
      </c>
      <c r="G3276" t="s">
        <v>59</v>
      </c>
      <c r="H3276">
        <v>2023</v>
      </c>
    </row>
    <row r="3277" spans="1:8" x14ac:dyDescent="0.2">
      <c r="A3277">
        <v>229816</v>
      </c>
      <c r="B3277">
        <v>9333.1</v>
      </c>
      <c r="C3277" t="str">
        <f t="shared" si="51"/>
        <v>3. $50K-250K</v>
      </c>
      <c r="D3277" t="s">
        <v>708</v>
      </c>
      <c r="E3277" t="s">
        <v>237</v>
      </c>
      <c r="F3277" t="s">
        <v>670</v>
      </c>
      <c r="G3277" t="s">
        <v>59</v>
      </c>
      <c r="H3277">
        <v>2023</v>
      </c>
    </row>
    <row r="3278" spans="1:8" x14ac:dyDescent="0.2">
      <c r="A3278">
        <v>229818</v>
      </c>
      <c r="B3278">
        <v>120000</v>
      </c>
      <c r="C3278" t="str">
        <f t="shared" si="51"/>
        <v>1. Under $10K</v>
      </c>
      <c r="D3278" t="s">
        <v>1347</v>
      </c>
      <c r="E3278" t="s">
        <v>237</v>
      </c>
      <c r="F3278" t="s">
        <v>670</v>
      </c>
      <c r="G3278" t="s">
        <v>59</v>
      </c>
      <c r="H3278">
        <v>2023</v>
      </c>
    </row>
    <row r="3279" spans="1:8" x14ac:dyDescent="0.2">
      <c r="A3279">
        <v>229819</v>
      </c>
      <c r="B3279">
        <v>81619</v>
      </c>
      <c r="C3279" t="str">
        <f t="shared" si="51"/>
        <v>3. $50K-250K</v>
      </c>
      <c r="D3279" t="s">
        <v>785</v>
      </c>
      <c r="E3279" t="s">
        <v>237</v>
      </c>
      <c r="F3279" t="s">
        <v>670</v>
      </c>
      <c r="G3279" t="s">
        <v>59</v>
      </c>
      <c r="H3279">
        <v>2023</v>
      </c>
    </row>
    <row r="3280" spans="1:8" x14ac:dyDescent="0.2">
      <c r="A3280">
        <v>229821</v>
      </c>
      <c r="B3280">
        <v>15726.1</v>
      </c>
      <c r="C3280" t="str">
        <f t="shared" si="51"/>
        <v>3. $50K-250K</v>
      </c>
      <c r="D3280" t="s">
        <v>1176</v>
      </c>
      <c r="E3280" t="s">
        <v>237</v>
      </c>
      <c r="F3280" t="s">
        <v>670</v>
      </c>
      <c r="G3280" t="s">
        <v>59</v>
      </c>
      <c r="H3280">
        <v>2023</v>
      </c>
    </row>
    <row r="3281" spans="1:8" x14ac:dyDescent="0.2">
      <c r="A3281">
        <v>229822</v>
      </c>
      <c r="B3281">
        <v>90880</v>
      </c>
      <c r="C3281" t="str">
        <f t="shared" si="51"/>
        <v>2. $10K-50K</v>
      </c>
      <c r="D3281" t="s">
        <v>873</v>
      </c>
      <c r="E3281" t="s">
        <v>237</v>
      </c>
      <c r="F3281" t="s">
        <v>670</v>
      </c>
      <c r="G3281" t="s">
        <v>59</v>
      </c>
      <c r="H3281">
        <v>2023</v>
      </c>
    </row>
    <row r="3282" spans="1:8" x14ac:dyDescent="0.2">
      <c r="A3282">
        <v>229823</v>
      </c>
      <c r="B3282">
        <v>55000</v>
      </c>
      <c r="C3282" t="str">
        <f t="shared" si="51"/>
        <v>3. $50K-250K</v>
      </c>
      <c r="D3282" t="s">
        <v>883</v>
      </c>
      <c r="E3282" t="s">
        <v>237</v>
      </c>
      <c r="F3282" t="s">
        <v>670</v>
      </c>
      <c r="G3282" t="s">
        <v>59</v>
      </c>
      <c r="H3282">
        <v>2023</v>
      </c>
    </row>
    <row r="3283" spans="1:8" x14ac:dyDescent="0.2">
      <c r="A3283">
        <v>229825</v>
      </c>
      <c r="B3283">
        <v>49900</v>
      </c>
      <c r="C3283" t="str">
        <f t="shared" si="51"/>
        <v>3. $50K-250K</v>
      </c>
      <c r="D3283" t="s">
        <v>847</v>
      </c>
      <c r="E3283" t="s">
        <v>237</v>
      </c>
      <c r="F3283" t="s">
        <v>670</v>
      </c>
      <c r="G3283" t="s">
        <v>59</v>
      </c>
      <c r="H3283">
        <v>2023</v>
      </c>
    </row>
    <row r="3284" spans="1:8" x14ac:dyDescent="0.2">
      <c r="A3284">
        <v>229827</v>
      </c>
      <c r="B3284">
        <v>81000</v>
      </c>
      <c r="C3284" t="str">
        <f t="shared" si="51"/>
        <v>2. $10K-50K</v>
      </c>
      <c r="D3284" t="s">
        <v>799</v>
      </c>
      <c r="E3284" t="s">
        <v>237</v>
      </c>
      <c r="F3284" t="s">
        <v>670</v>
      </c>
      <c r="G3284" t="s">
        <v>59</v>
      </c>
      <c r="H3284">
        <v>2023</v>
      </c>
    </row>
    <row r="3285" spans="1:8" x14ac:dyDescent="0.2">
      <c r="A3285">
        <v>229828</v>
      </c>
      <c r="B3285">
        <v>29064</v>
      </c>
      <c r="C3285" t="str">
        <f t="shared" si="51"/>
        <v>3. $50K-250K</v>
      </c>
      <c r="D3285" t="s">
        <v>807</v>
      </c>
      <c r="E3285" t="s">
        <v>237</v>
      </c>
      <c r="F3285" t="s">
        <v>670</v>
      </c>
      <c r="G3285" t="s">
        <v>59</v>
      </c>
      <c r="H3285">
        <v>2023</v>
      </c>
    </row>
    <row r="3286" spans="1:8" x14ac:dyDescent="0.2">
      <c r="A3286">
        <v>229829</v>
      </c>
      <c r="B3286">
        <v>141081</v>
      </c>
      <c r="C3286" t="str">
        <f t="shared" si="51"/>
        <v>2. $10K-50K</v>
      </c>
      <c r="D3286" t="s">
        <v>807</v>
      </c>
      <c r="E3286" t="s">
        <v>237</v>
      </c>
      <c r="F3286" t="s">
        <v>670</v>
      </c>
      <c r="G3286" t="s">
        <v>59</v>
      </c>
      <c r="H3286">
        <v>2023</v>
      </c>
    </row>
    <row r="3287" spans="1:8" x14ac:dyDescent="0.2">
      <c r="A3287">
        <v>229861</v>
      </c>
      <c r="B3287">
        <v>2294.6</v>
      </c>
      <c r="C3287" t="str">
        <f t="shared" si="51"/>
        <v>3. $50K-250K</v>
      </c>
      <c r="D3287" t="s">
        <v>711</v>
      </c>
      <c r="E3287" t="s">
        <v>237</v>
      </c>
      <c r="F3287" t="s">
        <v>670</v>
      </c>
      <c r="G3287" t="s">
        <v>59</v>
      </c>
      <c r="H3287">
        <v>2023</v>
      </c>
    </row>
    <row r="3288" spans="1:8" x14ac:dyDescent="0.2">
      <c r="A3288">
        <v>229864</v>
      </c>
      <c r="B3288">
        <v>20000</v>
      </c>
      <c r="C3288" t="str">
        <f t="shared" si="51"/>
        <v>1. Under $10K</v>
      </c>
      <c r="D3288" t="s">
        <v>1445</v>
      </c>
      <c r="E3288" t="s">
        <v>432</v>
      </c>
      <c r="F3288" t="s">
        <v>670</v>
      </c>
      <c r="G3288" t="s">
        <v>59</v>
      </c>
      <c r="H3288">
        <v>2023</v>
      </c>
    </row>
    <row r="3289" spans="1:8" x14ac:dyDescent="0.2">
      <c r="A3289">
        <v>229865</v>
      </c>
      <c r="B3289">
        <v>55000</v>
      </c>
      <c r="C3289" t="str">
        <f t="shared" si="51"/>
        <v>2. $10K-50K</v>
      </c>
      <c r="D3289" t="s">
        <v>1367</v>
      </c>
      <c r="E3289" t="s">
        <v>432</v>
      </c>
      <c r="F3289" t="s">
        <v>670</v>
      </c>
      <c r="G3289" t="s">
        <v>59</v>
      </c>
      <c r="H3289">
        <v>2023</v>
      </c>
    </row>
    <row r="3290" spans="1:8" x14ac:dyDescent="0.2">
      <c r="A3290">
        <v>229866</v>
      </c>
      <c r="B3290">
        <v>10000</v>
      </c>
      <c r="C3290" t="str">
        <f t="shared" si="51"/>
        <v>3. $50K-250K</v>
      </c>
      <c r="D3290" t="s">
        <v>1468</v>
      </c>
      <c r="E3290" t="s">
        <v>368</v>
      </c>
      <c r="F3290" t="s">
        <v>670</v>
      </c>
      <c r="G3290" t="s">
        <v>59</v>
      </c>
      <c r="H3290">
        <v>2023</v>
      </c>
    </row>
    <row r="3291" spans="1:8" x14ac:dyDescent="0.2">
      <c r="A3291">
        <v>229867</v>
      </c>
      <c r="B3291">
        <v>103600</v>
      </c>
      <c r="C3291" t="str">
        <f t="shared" si="51"/>
        <v>2. $10K-50K</v>
      </c>
      <c r="D3291" t="s">
        <v>860</v>
      </c>
      <c r="E3291" t="s">
        <v>237</v>
      </c>
      <c r="F3291" t="s">
        <v>670</v>
      </c>
      <c r="G3291" t="s">
        <v>59</v>
      </c>
      <c r="H3291">
        <v>2023</v>
      </c>
    </row>
    <row r="3292" spans="1:8" x14ac:dyDescent="0.2">
      <c r="A3292">
        <v>229868</v>
      </c>
      <c r="B3292">
        <v>60000</v>
      </c>
      <c r="C3292" t="str">
        <f t="shared" si="51"/>
        <v>3. $50K-250K</v>
      </c>
      <c r="D3292" t="s">
        <v>860</v>
      </c>
      <c r="E3292" t="s">
        <v>237</v>
      </c>
      <c r="F3292" t="s">
        <v>670</v>
      </c>
      <c r="G3292" t="s">
        <v>59</v>
      </c>
      <c r="H3292">
        <v>2023</v>
      </c>
    </row>
    <row r="3293" spans="1:8" x14ac:dyDescent="0.2">
      <c r="A3293">
        <v>229869</v>
      </c>
      <c r="B3293">
        <v>447551</v>
      </c>
      <c r="C3293" t="str">
        <f t="shared" si="51"/>
        <v>3. $50K-250K</v>
      </c>
      <c r="D3293" t="s">
        <v>860</v>
      </c>
      <c r="E3293" t="s">
        <v>237</v>
      </c>
      <c r="F3293" t="s">
        <v>670</v>
      </c>
      <c r="G3293" t="s">
        <v>59</v>
      </c>
      <c r="H3293">
        <v>2023</v>
      </c>
    </row>
    <row r="3294" spans="1:8" x14ac:dyDescent="0.2">
      <c r="A3294">
        <v>229870</v>
      </c>
      <c r="B3294">
        <v>591650</v>
      </c>
      <c r="C3294" t="str">
        <f t="shared" si="51"/>
        <v>4. $250K-1M</v>
      </c>
      <c r="D3294" t="s">
        <v>860</v>
      </c>
      <c r="E3294" t="s">
        <v>237</v>
      </c>
      <c r="F3294" t="s">
        <v>670</v>
      </c>
      <c r="G3294" t="s">
        <v>59</v>
      </c>
      <c r="H3294">
        <v>2023</v>
      </c>
    </row>
    <row r="3295" spans="1:8" x14ac:dyDescent="0.2">
      <c r="A3295">
        <v>229871</v>
      </c>
      <c r="B3295">
        <v>300000</v>
      </c>
      <c r="C3295" t="str">
        <f t="shared" si="51"/>
        <v>4. $250K-1M</v>
      </c>
      <c r="D3295" t="s">
        <v>855</v>
      </c>
      <c r="E3295" t="s">
        <v>237</v>
      </c>
      <c r="F3295" t="s">
        <v>670</v>
      </c>
      <c r="G3295" t="s">
        <v>59</v>
      </c>
      <c r="H3295">
        <v>2023</v>
      </c>
    </row>
    <row r="3296" spans="1:8" x14ac:dyDescent="0.2">
      <c r="A3296">
        <v>229875</v>
      </c>
      <c r="B3296">
        <v>326634.40000000002</v>
      </c>
      <c r="C3296" t="str">
        <f t="shared" si="51"/>
        <v>4. $250K-1M</v>
      </c>
      <c r="D3296" t="s">
        <v>674</v>
      </c>
      <c r="E3296" t="s">
        <v>42</v>
      </c>
      <c r="F3296" t="s">
        <v>670</v>
      </c>
      <c r="G3296" t="s">
        <v>59</v>
      </c>
      <c r="H3296">
        <v>2023</v>
      </c>
    </row>
    <row r="3297" spans="1:8" x14ac:dyDescent="0.2">
      <c r="A3297">
        <v>229891</v>
      </c>
      <c r="B3297">
        <v>208535</v>
      </c>
      <c r="C3297" t="str">
        <f t="shared" si="51"/>
        <v>4. $250K-1M</v>
      </c>
      <c r="D3297" t="s">
        <v>1582</v>
      </c>
      <c r="E3297" t="s">
        <v>237</v>
      </c>
      <c r="F3297" t="s">
        <v>670</v>
      </c>
      <c r="G3297" t="s">
        <v>59</v>
      </c>
      <c r="H3297">
        <v>2023</v>
      </c>
    </row>
    <row r="3298" spans="1:8" x14ac:dyDescent="0.2">
      <c r="A3298">
        <v>229892</v>
      </c>
      <c r="B3298">
        <v>278047</v>
      </c>
      <c r="C3298" t="str">
        <f t="shared" si="51"/>
        <v>3. $50K-250K</v>
      </c>
      <c r="D3298" t="s">
        <v>1093</v>
      </c>
      <c r="E3298" t="s">
        <v>237</v>
      </c>
      <c r="F3298" t="s">
        <v>670</v>
      </c>
      <c r="G3298" t="s">
        <v>59</v>
      </c>
      <c r="H3298">
        <v>2023</v>
      </c>
    </row>
    <row r="3299" spans="1:8" x14ac:dyDescent="0.2">
      <c r="A3299">
        <v>229904</v>
      </c>
      <c r="B3299">
        <v>875406.1</v>
      </c>
      <c r="C3299" t="str">
        <f t="shared" si="51"/>
        <v>4. $250K-1M</v>
      </c>
      <c r="D3299" t="s">
        <v>230</v>
      </c>
      <c r="E3299" t="s">
        <v>69</v>
      </c>
      <c r="F3299" t="s">
        <v>231</v>
      </c>
      <c r="G3299" t="s">
        <v>232</v>
      </c>
      <c r="H3299">
        <v>2023</v>
      </c>
    </row>
    <row r="3300" spans="1:8" x14ac:dyDescent="0.2">
      <c r="A3300">
        <v>229933</v>
      </c>
      <c r="B3300">
        <v>229485.3</v>
      </c>
      <c r="C3300" t="str">
        <f t="shared" si="51"/>
        <v>4. $250K-1M</v>
      </c>
      <c r="D3300" t="s">
        <v>687</v>
      </c>
      <c r="E3300" t="s">
        <v>42</v>
      </c>
      <c r="F3300" t="s">
        <v>670</v>
      </c>
      <c r="G3300" t="s">
        <v>59</v>
      </c>
      <c r="H3300">
        <v>2023</v>
      </c>
    </row>
    <row r="3301" spans="1:8" x14ac:dyDescent="0.2">
      <c r="A3301">
        <v>229935</v>
      </c>
      <c r="B3301">
        <v>246664.3</v>
      </c>
      <c r="C3301" t="str">
        <f t="shared" si="51"/>
        <v>3. $50K-250K</v>
      </c>
      <c r="D3301" t="s">
        <v>684</v>
      </c>
      <c r="E3301" t="s">
        <v>42</v>
      </c>
      <c r="F3301" t="s">
        <v>670</v>
      </c>
      <c r="G3301" t="s">
        <v>59</v>
      </c>
      <c r="H3301">
        <v>2023</v>
      </c>
    </row>
    <row r="3302" spans="1:8" x14ac:dyDescent="0.2">
      <c r="A3302">
        <v>229936</v>
      </c>
      <c r="B3302">
        <v>221986.2</v>
      </c>
      <c r="C3302" t="str">
        <f t="shared" si="51"/>
        <v>3. $50K-250K</v>
      </c>
      <c r="D3302" t="s">
        <v>679</v>
      </c>
      <c r="E3302" t="s">
        <v>42</v>
      </c>
      <c r="F3302" t="s">
        <v>670</v>
      </c>
      <c r="G3302" t="s">
        <v>59</v>
      </c>
      <c r="H3302">
        <v>2023</v>
      </c>
    </row>
    <row r="3303" spans="1:8" x14ac:dyDescent="0.2">
      <c r="A3303">
        <v>229937</v>
      </c>
      <c r="B3303">
        <v>2933419.6</v>
      </c>
      <c r="C3303" t="str">
        <f t="shared" si="51"/>
        <v>3. $50K-250K</v>
      </c>
      <c r="D3303" t="s">
        <v>682</v>
      </c>
      <c r="E3303" t="s">
        <v>42</v>
      </c>
      <c r="F3303" t="s">
        <v>670</v>
      </c>
      <c r="G3303" t="s">
        <v>59</v>
      </c>
      <c r="H3303">
        <v>2023</v>
      </c>
    </row>
    <row r="3304" spans="1:8" x14ac:dyDescent="0.2">
      <c r="A3304">
        <v>229938</v>
      </c>
      <c r="B3304">
        <v>644367</v>
      </c>
      <c r="C3304" t="str">
        <f t="shared" si="51"/>
        <v>5. $1M+</v>
      </c>
      <c r="D3304" t="s">
        <v>391</v>
      </c>
      <c r="E3304" t="s">
        <v>42</v>
      </c>
      <c r="F3304" t="s">
        <v>670</v>
      </c>
      <c r="G3304" t="s">
        <v>59</v>
      </c>
      <c r="H3304">
        <v>2023</v>
      </c>
    </row>
    <row r="3305" spans="1:8" x14ac:dyDescent="0.2">
      <c r="A3305">
        <v>229940</v>
      </c>
      <c r="B3305">
        <v>1500000</v>
      </c>
      <c r="C3305" t="str">
        <f t="shared" si="51"/>
        <v>4. $250K-1M</v>
      </c>
      <c r="D3305" t="s">
        <v>749</v>
      </c>
      <c r="E3305" t="s">
        <v>237</v>
      </c>
      <c r="F3305" t="s">
        <v>670</v>
      </c>
      <c r="G3305" t="s">
        <v>59</v>
      </c>
      <c r="H3305">
        <v>2023</v>
      </c>
    </row>
    <row r="3306" spans="1:8" x14ac:dyDescent="0.2">
      <c r="A3306">
        <v>229942</v>
      </c>
      <c r="B3306">
        <v>27851.8</v>
      </c>
      <c r="C3306" t="str">
        <f t="shared" si="51"/>
        <v>5. $1M+</v>
      </c>
      <c r="D3306" t="s">
        <v>919</v>
      </c>
      <c r="E3306" t="s">
        <v>825</v>
      </c>
      <c r="F3306" t="s">
        <v>670</v>
      </c>
      <c r="G3306" t="s">
        <v>59</v>
      </c>
      <c r="H3306">
        <v>2023</v>
      </c>
    </row>
    <row r="3307" spans="1:8" x14ac:dyDescent="0.2">
      <c r="A3307">
        <v>229944</v>
      </c>
      <c r="B3307">
        <v>644413.9</v>
      </c>
      <c r="C3307" t="str">
        <f t="shared" si="51"/>
        <v>2. $10K-50K</v>
      </c>
      <c r="D3307" t="s">
        <v>942</v>
      </c>
      <c r="E3307" t="s">
        <v>237</v>
      </c>
      <c r="F3307" t="s">
        <v>670</v>
      </c>
      <c r="G3307" t="s">
        <v>59</v>
      </c>
      <c r="H3307">
        <v>2023</v>
      </c>
    </row>
    <row r="3308" spans="1:8" x14ac:dyDescent="0.2">
      <c r="A3308">
        <v>229945</v>
      </c>
      <c r="B3308">
        <v>426044.6</v>
      </c>
      <c r="C3308" t="str">
        <f t="shared" si="51"/>
        <v>4. $250K-1M</v>
      </c>
      <c r="D3308" t="s">
        <v>688</v>
      </c>
      <c r="E3308" t="s">
        <v>42</v>
      </c>
      <c r="F3308" t="s">
        <v>670</v>
      </c>
      <c r="G3308" t="s">
        <v>59</v>
      </c>
      <c r="H3308">
        <v>2023</v>
      </c>
    </row>
    <row r="3309" spans="1:8" x14ac:dyDescent="0.2">
      <c r="A3309">
        <v>229946</v>
      </c>
      <c r="B3309">
        <v>214273.7</v>
      </c>
      <c r="C3309" t="str">
        <f t="shared" si="51"/>
        <v>4. $250K-1M</v>
      </c>
      <c r="D3309" t="s">
        <v>681</v>
      </c>
      <c r="E3309" t="s">
        <v>42</v>
      </c>
      <c r="F3309" t="s">
        <v>670</v>
      </c>
      <c r="G3309" t="s">
        <v>59</v>
      </c>
      <c r="H3309">
        <v>2023</v>
      </c>
    </row>
    <row r="3310" spans="1:8" x14ac:dyDescent="0.2">
      <c r="A3310">
        <v>230030</v>
      </c>
      <c r="B3310">
        <v>96000</v>
      </c>
      <c r="C3310" t="str">
        <f t="shared" si="51"/>
        <v>3. $50K-250K</v>
      </c>
      <c r="D3310" t="s">
        <v>1032</v>
      </c>
      <c r="E3310" t="s">
        <v>237</v>
      </c>
      <c r="F3310" t="s">
        <v>670</v>
      </c>
      <c r="G3310" t="s">
        <v>59</v>
      </c>
      <c r="H3310">
        <v>2023</v>
      </c>
    </row>
    <row r="3311" spans="1:8" x14ac:dyDescent="0.2">
      <c r="A3311">
        <v>230031</v>
      </c>
      <c r="B3311">
        <v>139024</v>
      </c>
      <c r="C3311" t="str">
        <f t="shared" si="51"/>
        <v>3. $50K-250K</v>
      </c>
      <c r="D3311" t="s">
        <v>755</v>
      </c>
      <c r="E3311" t="s">
        <v>237</v>
      </c>
      <c r="F3311" t="s">
        <v>670</v>
      </c>
      <c r="G3311" t="s">
        <v>59</v>
      </c>
      <c r="H3311">
        <v>2023</v>
      </c>
    </row>
    <row r="3312" spans="1:8" x14ac:dyDescent="0.2">
      <c r="A3312">
        <v>230032</v>
      </c>
      <c r="B3312">
        <v>139024</v>
      </c>
      <c r="C3312" t="str">
        <f t="shared" si="51"/>
        <v>3. $50K-250K</v>
      </c>
      <c r="D3312" t="s">
        <v>821</v>
      </c>
      <c r="E3312" t="s">
        <v>237</v>
      </c>
      <c r="F3312" t="s">
        <v>670</v>
      </c>
      <c r="G3312" t="s">
        <v>59</v>
      </c>
      <c r="H3312">
        <v>2023</v>
      </c>
    </row>
    <row r="3313" spans="1:8" x14ac:dyDescent="0.2">
      <c r="A3313">
        <v>230033</v>
      </c>
      <c r="B3313">
        <v>82928.899999999994</v>
      </c>
      <c r="C3313" t="str">
        <f t="shared" si="51"/>
        <v>3. $50K-250K</v>
      </c>
      <c r="D3313" t="s">
        <v>1335</v>
      </c>
      <c r="E3313" t="s">
        <v>237</v>
      </c>
      <c r="F3313" t="s">
        <v>670</v>
      </c>
      <c r="G3313" t="s">
        <v>59</v>
      </c>
      <c r="H3313">
        <v>2023</v>
      </c>
    </row>
    <row r="3314" spans="1:8" x14ac:dyDescent="0.2">
      <c r="A3314">
        <v>230034</v>
      </c>
      <c r="B3314">
        <v>121654.8</v>
      </c>
      <c r="C3314" t="str">
        <f t="shared" si="51"/>
        <v>3. $50K-250K</v>
      </c>
      <c r="D3314" t="s">
        <v>1335</v>
      </c>
      <c r="E3314" t="s">
        <v>237</v>
      </c>
      <c r="F3314" t="s">
        <v>670</v>
      </c>
      <c r="G3314" t="s">
        <v>59</v>
      </c>
      <c r="H3314">
        <v>2023</v>
      </c>
    </row>
    <row r="3315" spans="1:8" x14ac:dyDescent="0.2">
      <c r="A3315">
        <v>230035</v>
      </c>
      <c r="B3315">
        <v>72000</v>
      </c>
      <c r="C3315" t="str">
        <f t="shared" si="51"/>
        <v>3. $50K-250K</v>
      </c>
      <c r="D3315" t="s">
        <v>781</v>
      </c>
      <c r="E3315" t="s">
        <v>237</v>
      </c>
      <c r="F3315" t="s">
        <v>670</v>
      </c>
      <c r="G3315" t="s">
        <v>59</v>
      </c>
      <c r="H3315">
        <v>2023</v>
      </c>
    </row>
    <row r="3316" spans="1:8" x14ac:dyDescent="0.2">
      <c r="A3316">
        <v>230036</v>
      </c>
      <c r="B3316">
        <v>134472.9</v>
      </c>
      <c r="C3316" t="str">
        <f t="shared" si="51"/>
        <v>3. $50K-250K</v>
      </c>
      <c r="D3316" t="s">
        <v>1583</v>
      </c>
      <c r="E3316" t="s">
        <v>237</v>
      </c>
      <c r="F3316" t="s">
        <v>670</v>
      </c>
      <c r="G3316" t="s">
        <v>59</v>
      </c>
      <c r="H3316">
        <v>2023</v>
      </c>
    </row>
    <row r="3317" spans="1:8" x14ac:dyDescent="0.2">
      <c r="A3317">
        <v>230037</v>
      </c>
      <c r="B3317">
        <v>139024</v>
      </c>
      <c r="C3317" t="str">
        <f t="shared" si="51"/>
        <v>3. $50K-250K</v>
      </c>
      <c r="D3317" t="s">
        <v>1076</v>
      </c>
      <c r="E3317" t="s">
        <v>237</v>
      </c>
      <c r="F3317" t="s">
        <v>670</v>
      </c>
      <c r="G3317" t="s">
        <v>59</v>
      </c>
      <c r="H3317">
        <v>2023</v>
      </c>
    </row>
    <row r="3318" spans="1:8" x14ac:dyDescent="0.2">
      <c r="A3318">
        <v>230038</v>
      </c>
      <c r="B3318">
        <v>93533.3</v>
      </c>
      <c r="C3318" t="str">
        <f t="shared" si="51"/>
        <v>3. $50K-250K</v>
      </c>
      <c r="D3318" t="s">
        <v>711</v>
      </c>
      <c r="E3318" t="s">
        <v>237</v>
      </c>
      <c r="F3318" t="s">
        <v>670</v>
      </c>
      <c r="G3318" t="s">
        <v>59</v>
      </c>
      <c r="H3318">
        <v>2023</v>
      </c>
    </row>
    <row r="3319" spans="1:8" x14ac:dyDescent="0.2">
      <c r="A3319">
        <v>230039</v>
      </c>
      <c r="B3319">
        <v>54000</v>
      </c>
      <c r="C3319" t="str">
        <f t="shared" si="51"/>
        <v>3. $50K-250K</v>
      </c>
      <c r="D3319" t="s">
        <v>1082</v>
      </c>
      <c r="E3319" t="s">
        <v>237</v>
      </c>
      <c r="F3319" t="s">
        <v>670</v>
      </c>
      <c r="G3319" t="s">
        <v>59</v>
      </c>
      <c r="H3319">
        <v>2023</v>
      </c>
    </row>
    <row r="3320" spans="1:8" x14ac:dyDescent="0.2">
      <c r="A3320">
        <v>230104</v>
      </c>
      <c r="B3320">
        <v>149543.79999999999</v>
      </c>
      <c r="C3320" t="str">
        <f t="shared" si="51"/>
        <v>3. $50K-250K</v>
      </c>
      <c r="D3320" t="s">
        <v>230</v>
      </c>
      <c r="E3320" t="s">
        <v>69</v>
      </c>
      <c r="F3320" t="s">
        <v>231</v>
      </c>
      <c r="G3320" t="s">
        <v>232</v>
      </c>
      <c r="H3320">
        <v>2023</v>
      </c>
    </row>
    <row r="3321" spans="1:8" x14ac:dyDescent="0.2">
      <c r="A3321">
        <v>230126</v>
      </c>
      <c r="B3321">
        <v>8294680</v>
      </c>
      <c r="C3321" t="str">
        <f t="shared" si="51"/>
        <v>3. $50K-250K</v>
      </c>
      <c r="D3321" t="s">
        <v>115</v>
      </c>
      <c r="E3321" t="s">
        <v>8</v>
      </c>
      <c r="F3321" t="s">
        <v>9</v>
      </c>
      <c r="G3321" t="s">
        <v>10</v>
      </c>
      <c r="H3321">
        <v>2023</v>
      </c>
    </row>
    <row r="3322" spans="1:8" x14ac:dyDescent="0.2">
      <c r="A3322">
        <v>230161</v>
      </c>
      <c r="B3322">
        <v>963074.3</v>
      </c>
      <c r="C3322" t="str">
        <f t="shared" si="51"/>
        <v>5. $1M+</v>
      </c>
      <c r="D3322" t="s">
        <v>1378</v>
      </c>
      <c r="E3322" t="s">
        <v>42</v>
      </c>
      <c r="F3322" t="s">
        <v>670</v>
      </c>
      <c r="G3322" t="s">
        <v>59</v>
      </c>
      <c r="H3322">
        <v>2023</v>
      </c>
    </row>
    <row r="3323" spans="1:8" x14ac:dyDescent="0.2">
      <c r="A3323">
        <v>230162</v>
      </c>
      <c r="B3323">
        <v>30000</v>
      </c>
      <c r="C3323" t="str">
        <f t="shared" si="51"/>
        <v>4. $250K-1M</v>
      </c>
      <c r="D3323" t="s">
        <v>1462</v>
      </c>
      <c r="E3323" t="s">
        <v>432</v>
      </c>
      <c r="F3323" t="s">
        <v>670</v>
      </c>
      <c r="G3323" t="s">
        <v>59</v>
      </c>
      <c r="H3323">
        <v>2023</v>
      </c>
    </row>
    <row r="3324" spans="1:8" x14ac:dyDescent="0.2">
      <c r="A3324">
        <v>230164</v>
      </c>
      <c r="B3324">
        <v>25000</v>
      </c>
      <c r="C3324" t="str">
        <f t="shared" si="51"/>
        <v>2. $10K-50K</v>
      </c>
      <c r="D3324" t="s">
        <v>894</v>
      </c>
      <c r="E3324" t="s">
        <v>432</v>
      </c>
      <c r="F3324" t="s">
        <v>670</v>
      </c>
      <c r="G3324" t="s">
        <v>59</v>
      </c>
      <c r="H3324">
        <v>2023</v>
      </c>
    </row>
    <row r="3325" spans="1:8" x14ac:dyDescent="0.2">
      <c r="A3325">
        <v>230165</v>
      </c>
      <c r="B3325">
        <v>251310</v>
      </c>
      <c r="C3325" t="str">
        <f t="shared" si="51"/>
        <v>2. $10K-50K</v>
      </c>
      <c r="D3325" t="s">
        <v>957</v>
      </c>
      <c r="E3325" t="s">
        <v>432</v>
      </c>
      <c r="F3325" t="s">
        <v>670</v>
      </c>
      <c r="G3325" t="s">
        <v>59</v>
      </c>
      <c r="H3325">
        <v>2023</v>
      </c>
    </row>
    <row r="3326" spans="1:8" x14ac:dyDescent="0.2">
      <c r="A3326">
        <v>230166</v>
      </c>
      <c r="B3326">
        <v>25198.5</v>
      </c>
      <c r="C3326" t="str">
        <f t="shared" si="51"/>
        <v>4. $250K-1M</v>
      </c>
      <c r="D3326" t="s">
        <v>945</v>
      </c>
      <c r="E3326" t="s">
        <v>432</v>
      </c>
      <c r="F3326" t="s">
        <v>670</v>
      </c>
      <c r="G3326" t="s">
        <v>59</v>
      </c>
      <c r="H3326">
        <v>2023</v>
      </c>
    </row>
    <row r="3327" spans="1:8" x14ac:dyDescent="0.2">
      <c r="A3327">
        <v>230168</v>
      </c>
      <c r="B3327">
        <v>55000</v>
      </c>
      <c r="C3327" t="str">
        <f t="shared" si="51"/>
        <v>2. $10K-50K</v>
      </c>
      <c r="D3327" t="s">
        <v>1424</v>
      </c>
      <c r="E3327" t="s">
        <v>432</v>
      </c>
      <c r="F3327" t="s">
        <v>670</v>
      </c>
      <c r="G3327" t="s">
        <v>59</v>
      </c>
      <c r="H3327">
        <v>2023</v>
      </c>
    </row>
    <row r="3328" spans="1:8" x14ac:dyDescent="0.2">
      <c r="A3328">
        <v>230169</v>
      </c>
      <c r="B3328">
        <v>759071</v>
      </c>
      <c r="C3328" t="str">
        <f t="shared" si="51"/>
        <v>3. $50K-250K</v>
      </c>
      <c r="D3328" t="s">
        <v>548</v>
      </c>
      <c r="E3328" t="s">
        <v>825</v>
      </c>
      <c r="F3328" t="s">
        <v>670</v>
      </c>
      <c r="G3328" t="s">
        <v>59</v>
      </c>
      <c r="H3328">
        <v>2023</v>
      </c>
    </row>
    <row r="3329" spans="1:8" x14ac:dyDescent="0.2">
      <c r="A3329">
        <v>230180</v>
      </c>
      <c r="B3329">
        <v>80000</v>
      </c>
      <c r="C3329" t="str">
        <f t="shared" si="51"/>
        <v>4. $250K-1M</v>
      </c>
      <c r="D3329" t="s">
        <v>864</v>
      </c>
      <c r="E3329" t="s">
        <v>237</v>
      </c>
      <c r="F3329" t="s">
        <v>670</v>
      </c>
      <c r="G3329" t="s">
        <v>59</v>
      </c>
      <c r="H3329">
        <v>2023</v>
      </c>
    </row>
    <row r="3330" spans="1:8" x14ac:dyDescent="0.2">
      <c r="A3330">
        <v>230185</v>
      </c>
      <c r="B3330">
        <v>32331.9</v>
      </c>
      <c r="C3330" t="str">
        <f t="shared" si="51"/>
        <v>3. $50K-250K</v>
      </c>
      <c r="D3330" t="s">
        <v>1584</v>
      </c>
      <c r="E3330" t="s">
        <v>432</v>
      </c>
      <c r="F3330" t="s">
        <v>670</v>
      </c>
      <c r="G3330" t="s">
        <v>59</v>
      </c>
      <c r="H3330">
        <v>2023</v>
      </c>
    </row>
    <row r="3331" spans="1:8" x14ac:dyDescent="0.2">
      <c r="A3331">
        <v>230186</v>
      </c>
      <c r="B3331">
        <v>189000</v>
      </c>
      <c r="C3331" t="str">
        <f t="shared" ref="C3331:C3394" si="52">IF(B3330&lt;10000,"1. Under $10K",IF(B3330&lt;50000,"2. $10K-50K",IF(B3330&lt;250000,"3. $50K-250K",IF(B3330&lt;1000000,"4. $250K-1M","5. $1M+"))))</f>
        <v>2. $10K-50K</v>
      </c>
      <c r="D3331" t="s">
        <v>801</v>
      </c>
      <c r="E3331" t="s">
        <v>82</v>
      </c>
      <c r="F3331" t="s">
        <v>670</v>
      </c>
      <c r="G3331" t="s">
        <v>59</v>
      </c>
      <c r="H3331">
        <v>2023</v>
      </c>
    </row>
    <row r="3332" spans="1:8" x14ac:dyDescent="0.2">
      <c r="A3332">
        <v>230191</v>
      </c>
      <c r="B3332">
        <v>200000</v>
      </c>
      <c r="C3332" t="str">
        <f t="shared" si="52"/>
        <v>3. $50K-250K</v>
      </c>
      <c r="D3332" t="s">
        <v>919</v>
      </c>
      <c r="E3332" t="s">
        <v>237</v>
      </c>
      <c r="F3332" t="s">
        <v>670</v>
      </c>
      <c r="G3332" t="s">
        <v>59</v>
      </c>
      <c r="H3332">
        <v>2023</v>
      </c>
    </row>
    <row r="3333" spans="1:8" x14ac:dyDescent="0.2">
      <c r="A3333">
        <v>230200</v>
      </c>
      <c r="B3333">
        <v>139024</v>
      </c>
      <c r="C3333" t="str">
        <f t="shared" si="52"/>
        <v>3. $50K-250K</v>
      </c>
      <c r="D3333" t="s">
        <v>951</v>
      </c>
      <c r="E3333" t="s">
        <v>237</v>
      </c>
      <c r="F3333" t="s">
        <v>670</v>
      </c>
      <c r="G3333" t="s">
        <v>59</v>
      </c>
      <c r="H3333">
        <v>2023</v>
      </c>
    </row>
    <row r="3334" spans="1:8" x14ac:dyDescent="0.2">
      <c r="A3334">
        <v>230201</v>
      </c>
      <c r="B3334">
        <v>262500</v>
      </c>
      <c r="C3334" t="str">
        <f t="shared" si="52"/>
        <v>3. $50K-250K</v>
      </c>
      <c r="D3334" t="s">
        <v>859</v>
      </c>
      <c r="E3334" t="s">
        <v>237</v>
      </c>
      <c r="F3334" t="s">
        <v>670</v>
      </c>
      <c r="G3334" t="s">
        <v>59</v>
      </c>
      <c r="H3334">
        <v>2023</v>
      </c>
    </row>
    <row r="3335" spans="1:8" x14ac:dyDescent="0.2">
      <c r="A3335">
        <v>230202</v>
      </c>
      <c r="B3335">
        <v>231592</v>
      </c>
      <c r="C3335" t="str">
        <f t="shared" si="52"/>
        <v>4. $250K-1M</v>
      </c>
      <c r="D3335" t="s">
        <v>721</v>
      </c>
      <c r="E3335" t="s">
        <v>237</v>
      </c>
      <c r="F3335" t="s">
        <v>670</v>
      </c>
      <c r="G3335" t="s">
        <v>59</v>
      </c>
      <c r="H3335">
        <v>2023</v>
      </c>
    </row>
    <row r="3336" spans="1:8" x14ac:dyDescent="0.2">
      <c r="A3336">
        <v>230203</v>
      </c>
      <c r="B3336">
        <v>401500</v>
      </c>
      <c r="C3336" t="str">
        <f t="shared" si="52"/>
        <v>3. $50K-250K</v>
      </c>
      <c r="D3336" t="s">
        <v>862</v>
      </c>
      <c r="E3336" t="s">
        <v>237</v>
      </c>
      <c r="F3336" t="s">
        <v>670</v>
      </c>
      <c r="G3336" t="s">
        <v>59</v>
      </c>
      <c r="H3336">
        <v>2023</v>
      </c>
    </row>
    <row r="3337" spans="1:8" x14ac:dyDescent="0.2">
      <c r="A3337">
        <v>230204</v>
      </c>
      <c r="B3337">
        <v>100000</v>
      </c>
      <c r="C3337" t="str">
        <f t="shared" si="52"/>
        <v>4. $250K-1M</v>
      </c>
      <c r="D3337" t="s">
        <v>859</v>
      </c>
      <c r="E3337" t="s">
        <v>237</v>
      </c>
      <c r="F3337" t="s">
        <v>670</v>
      </c>
      <c r="G3337" t="s">
        <v>59</v>
      </c>
      <c r="H3337">
        <v>2023</v>
      </c>
    </row>
    <row r="3338" spans="1:8" x14ac:dyDescent="0.2">
      <c r="A3338">
        <v>230205</v>
      </c>
      <c r="B3338">
        <v>185472</v>
      </c>
      <c r="C3338" t="str">
        <f t="shared" si="52"/>
        <v>3. $50K-250K</v>
      </c>
      <c r="D3338" t="s">
        <v>1094</v>
      </c>
      <c r="E3338" t="s">
        <v>237</v>
      </c>
      <c r="F3338" t="s">
        <v>670</v>
      </c>
      <c r="G3338" t="s">
        <v>59</v>
      </c>
      <c r="H3338">
        <v>2023</v>
      </c>
    </row>
    <row r="3339" spans="1:8" x14ac:dyDescent="0.2">
      <c r="A3339">
        <v>230206</v>
      </c>
      <c r="B3339">
        <v>144256</v>
      </c>
      <c r="C3339" t="str">
        <f t="shared" si="52"/>
        <v>3. $50K-250K</v>
      </c>
      <c r="D3339" t="s">
        <v>1094</v>
      </c>
      <c r="E3339" t="s">
        <v>237</v>
      </c>
      <c r="F3339" t="s">
        <v>670</v>
      </c>
      <c r="G3339" t="s">
        <v>59</v>
      </c>
      <c r="H3339">
        <v>2023</v>
      </c>
    </row>
    <row r="3340" spans="1:8" x14ac:dyDescent="0.2">
      <c r="A3340">
        <v>230207</v>
      </c>
      <c r="B3340">
        <v>103040</v>
      </c>
      <c r="C3340" t="str">
        <f t="shared" si="52"/>
        <v>3. $50K-250K</v>
      </c>
      <c r="D3340" t="s">
        <v>1094</v>
      </c>
      <c r="E3340" t="s">
        <v>237</v>
      </c>
      <c r="F3340" t="s">
        <v>670</v>
      </c>
      <c r="G3340" t="s">
        <v>59</v>
      </c>
      <c r="H3340">
        <v>2023</v>
      </c>
    </row>
    <row r="3341" spans="1:8" x14ac:dyDescent="0.2">
      <c r="A3341">
        <v>230208</v>
      </c>
      <c r="B3341">
        <v>350336</v>
      </c>
      <c r="C3341" t="str">
        <f t="shared" si="52"/>
        <v>3. $50K-250K</v>
      </c>
      <c r="D3341" t="s">
        <v>1094</v>
      </c>
      <c r="E3341" t="s">
        <v>237</v>
      </c>
      <c r="F3341" t="s">
        <v>670</v>
      </c>
      <c r="G3341" t="s">
        <v>59</v>
      </c>
      <c r="H3341">
        <v>2023</v>
      </c>
    </row>
    <row r="3342" spans="1:8" x14ac:dyDescent="0.2">
      <c r="A3342">
        <v>230215</v>
      </c>
      <c r="B3342">
        <v>206173.8</v>
      </c>
      <c r="C3342" t="str">
        <f t="shared" si="52"/>
        <v>4. $250K-1M</v>
      </c>
      <c r="D3342" t="s">
        <v>686</v>
      </c>
      <c r="E3342" t="s">
        <v>42</v>
      </c>
      <c r="F3342" t="s">
        <v>670</v>
      </c>
      <c r="G3342" t="s">
        <v>59</v>
      </c>
      <c r="H3342">
        <v>2023</v>
      </c>
    </row>
    <row r="3343" spans="1:8" x14ac:dyDescent="0.2">
      <c r="A3343">
        <v>230220</v>
      </c>
      <c r="B3343">
        <v>40000</v>
      </c>
      <c r="C3343" t="str">
        <f t="shared" si="52"/>
        <v>3. $50K-250K</v>
      </c>
      <c r="D3343" t="s">
        <v>937</v>
      </c>
      <c r="E3343" t="s">
        <v>237</v>
      </c>
      <c r="F3343" t="s">
        <v>670</v>
      </c>
      <c r="G3343" t="s">
        <v>59</v>
      </c>
      <c r="H3343">
        <v>2023</v>
      </c>
    </row>
    <row r="3344" spans="1:8" x14ac:dyDescent="0.2">
      <c r="A3344">
        <v>230223</v>
      </c>
      <c r="B3344">
        <v>41216</v>
      </c>
      <c r="C3344" t="str">
        <f t="shared" si="52"/>
        <v>2. $10K-50K</v>
      </c>
      <c r="D3344" t="s">
        <v>694</v>
      </c>
      <c r="E3344" t="s">
        <v>237</v>
      </c>
      <c r="F3344" t="s">
        <v>670</v>
      </c>
      <c r="G3344" t="s">
        <v>59</v>
      </c>
      <c r="H3344">
        <v>2023</v>
      </c>
    </row>
    <row r="3345" spans="1:8" x14ac:dyDescent="0.2">
      <c r="A3345">
        <v>230224</v>
      </c>
      <c r="B3345">
        <v>556094</v>
      </c>
      <c r="C3345" t="str">
        <f t="shared" si="52"/>
        <v>2. $10K-50K</v>
      </c>
      <c r="D3345" t="s">
        <v>803</v>
      </c>
      <c r="E3345" t="s">
        <v>237</v>
      </c>
      <c r="F3345" t="s">
        <v>670</v>
      </c>
      <c r="G3345" t="s">
        <v>59</v>
      </c>
      <c r="H3345">
        <v>2023</v>
      </c>
    </row>
    <row r="3346" spans="1:8" x14ac:dyDescent="0.2">
      <c r="A3346">
        <v>230225</v>
      </c>
      <c r="B3346">
        <v>20608</v>
      </c>
      <c r="C3346" t="str">
        <f t="shared" si="52"/>
        <v>4. $250K-1M</v>
      </c>
      <c r="D3346" t="s">
        <v>951</v>
      </c>
      <c r="E3346" t="s">
        <v>237</v>
      </c>
      <c r="F3346" t="s">
        <v>670</v>
      </c>
      <c r="G3346" t="s">
        <v>59</v>
      </c>
      <c r="H3346">
        <v>2023</v>
      </c>
    </row>
    <row r="3347" spans="1:8" x14ac:dyDescent="0.2">
      <c r="A3347">
        <v>230231</v>
      </c>
      <c r="B3347">
        <v>555000</v>
      </c>
      <c r="C3347" t="str">
        <f t="shared" si="52"/>
        <v>2. $10K-50K</v>
      </c>
      <c r="D3347" t="s">
        <v>801</v>
      </c>
      <c r="E3347" t="s">
        <v>237</v>
      </c>
      <c r="F3347" t="s">
        <v>670</v>
      </c>
      <c r="G3347" t="s">
        <v>59</v>
      </c>
      <c r="H3347">
        <v>2023</v>
      </c>
    </row>
    <row r="3348" spans="1:8" x14ac:dyDescent="0.2">
      <c r="A3348">
        <v>230233</v>
      </c>
      <c r="B3348">
        <v>220000</v>
      </c>
      <c r="C3348" t="str">
        <f t="shared" si="52"/>
        <v>4. $250K-1M</v>
      </c>
      <c r="D3348" t="s">
        <v>865</v>
      </c>
      <c r="E3348" t="s">
        <v>237</v>
      </c>
      <c r="F3348" t="s">
        <v>670</v>
      </c>
      <c r="G3348" t="s">
        <v>59</v>
      </c>
      <c r="H3348">
        <v>2023</v>
      </c>
    </row>
    <row r="3349" spans="1:8" x14ac:dyDescent="0.2">
      <c r="A3349">
        <v>230234</v>
      </c>
      <c r="B3349">
        <v>81000</v>
      </c>
      <c r="C3349" t="str">
        <f t="shared" si="52"/>
        <v>3. $50K-250K</v>
      </c>
      <c r="D3349" t="s">
        <v>1065</v>
      </c>
      <c r="E3349" t="s">
        <v>237</v>
      </c>
      <c r="F3349" t="s">
        <v>670</v>
      </c>
      <c r="G3349" t="s">
        <v>59</v>
      </c>
      <c r="H3349">
        <v>2023</v>
      </c>
    </row>
    <row r="3350" spans="1:8" x14ac:dyDescent="0.2">
      <c r="A3350">
        <v>230236</v>
      </c>
      <c r="B3350">
        <v>114872</v>
      </c>
      <c r="C3350" t="str">
        <f t="shared" si="52"/>
        <v>3. $50K-250K</v>
      </c>
      <c r="D3350" t="s">
        <v>864</v>
      </c>
      <c r="E3350" t="s">
        <v>237</v>
      </c>
      <c r="F3350" t="s">
        <v>670</v>
      </c>
      <c r="G3350" t="s">
        <v>59</v>
      </c>
      <c r="H3350">
        <v>2023</v>
      </c>
    </row>
    <row r="3351" spans="1:8" x14ac:dyDescent="0.2">
      <c r="A3351">
        <v>230237</v>
      </c>
      <c r="B3351">
        <v>40270</v>
      </c>
      <c r="C3351" t="str">
        <f t="shared" si="52"/>
        <v>3. $50K-250K</v>
      </c>
      <c r="D3351" t="s">
        <v>883</v>
      </c>
      <c r="E3351" t="s">
        <v>237</v>
      </c>
      <c r="F3351" t="s">
        <v>670</v>
      </c>
      <c r="G3351" t="s">
        <v>59</v>
      </c>
      <c r="H3351">
        <v>2023</v>
      </c>
    </row>
    <row r="3352" spans="1:8" x14ac:dyDescent="0.2">
      <c r="A3352">
        <v>230241</v>
      </c>
      <c r="B3352">
        <v>81800</v>
      </c>
      <c r="C3352" t="str">
        <f t="shared" si="52"/>
        <v>2. $10K-50K</v>
      </c>
      <c r="D3352" t="s">
        <v>871</v>
      </c>
      <c r="E3352" t="s">
        <v>237</v>
      </c>
      <c r="F3352" t="s">
        <v>670</v>
      </c>
      <c r="G3352" t="s">
        <v>59</v>
      </c>
      <c r="H3352">
        <v>2023</v>
      </c>
    </row>
    <row r="3353" spans="1:8" x14ac:dyDescent="0.2">
      <c r="A3353">
        <v>230246</v>
      </c>
      <c r="B3353">
        <v>78069.2</v>
      </c>
      <c r="C3353" t="str">
        <f t="shared" si="52"/>
        <v>3. $50K-250K</v>
      </c>
      <c r="D3353" t="s">
        <v>859</v>
      </c>
      <c r="E3353" t="s">
        <v>237</v>
      </c>
      <c r="F3353" t="s">
        <v>670</v>
      </c>
      <c r="G3353" t="s">
        <v>59</v>
      </c>
      <c r="H3353">
        <v>2023</v>
      </c>
    </row>
    <row r="3354" spans="1:8" x14ac:dyDescent="0.2">
      <c r="A3354">
        <v>230247</v>
      </c>
      <c r="B3354">
        <v>76666</v>
      </c>
      <c r="C3354" t="str">
        <f t="shared" si="52"/>
        <v>3. $50K-250K</v>
      </c>
      <c r="D3354" t="s">
        <v>883</v>
      </c>
      <c r="E3354" t="s">
        <v>237</v>
      </c>
      <c r="F3354" t="s">
        <v>670</v>
      </c>
      <c r="G3354" t="s">
        <v>59</v>
      </c>
      <c r="H3354">
        <v>2023</v>
      </c>
    </row>
    <row r="3355" spans="1:8" x14ac:dyDescent="0.2">
      <c r="A3355">
        <v>230292</v>
      </c>
      <c r="B3355">
        <v>181640.2</v>
      </c>
      <c r="C3355" t="str">
        <f t="shared" si="52"/>
        <v>3. $50K-250K</v>
      </c>
      <c r="D3355" t="s">
        <v>782</v>
      </c>
      <c r="E3355" t="s">
        <v>237</v>
      </c>
      <c r="F3355" t="s">
        <v>670</v>
      </c>
      <c r="G3355" t="s">
        <v>59</v>
      </c>
      <c r="H3355">
        <v>2023</v>
      </c>
    </row>
    <row r="3356" spans="1:8" x14ac:dyDescent="0.2">
      <c r="A3356">
        <v>230358</v>
      </c>
      <c r="B3356">
        <v>304395.2</v>
      </c>
      <c r="C3356" t="str">
        <f t="shared" si="52"/>
        <v>3. $50K-250K</v>
      </c>
      <c r="D3356" t="s">
        <v>687</v>
      </c>
      <c r="E3356" t="s">
        <v>42</v>
      </c>
      <c r="F3356" t="s">
        <v>670</v>
      </c>
      <c r="G3356" t="s">
        <v>59</v>
      </c>
      <c r="H3356">
        <v>2023</v>
      </c>
    </row>
    <row r="3357" spans="1:8" x14ac:dyDescent="0.2">
      <c r="A3357">
        <v>230422</v>
      </c>
      <c r="B3357">
        <v>251916</v>
      </c>
      <c r="C3357" t="str">
        <f t="shared" si="52"/>
        <v>4. $250K-1M</v>
      </c>
      <c r="D3357" t="s">
        <v>391</v>
      </c>
      <c r="E3357" t="s">
        <v>42</v>
      </c>
      <c r="F3357" t="s">
        <v>670</v>
      </c>
      <c r="G3357" t="s">
        <v>44</v>
      </c>
      <c r="H3357">
        <v>2023</v>
      </c>
    </row>
    <row r="3358" spans="1:8" x14ac:dyDescent="0.2">
      <c r="A3358">
        <v>230435</v>
      </c>
      <c r="B3358">
        <v>28619.3</v>
      </c>
      <c r="C3358" t="str">
        <f t="shared" si="52"/>
        <v>4. $250K-1M</v>
      </c>
      <c r="D3358" t="s">
        <v>951</v>
      </c>
      <c r="E3358" t="s">
        <v>825</v>
      </c>
      <c r="F3358" t="s">
        <v>670</v>
      </c>
      <c r="G3358" t="s">
        <v>59</v>
      </c>
      <c r="H3358">
        <v>2023</v>
      </c>
    </row>
    <row r="3359" spans="1:8" x14ac:dyDescent="0.2">
      <c r="A3359">
        <v>230440</v>
      </c>
      <c r="B3359">
        <v>115730</v>
      </c>
      <c r="C3359" t="str">
        <f t="shared" si="52"/>
        <v>2. $10K-50K</v>
      </c>
      <c r="D3359" t="s">
        <v>883</v>
      </c>
      <c r="E3359" t="s">
        <v>237</v>
      </c>
      <c r="F3359" t="s">
        <v>670</v>
      </c>
      <c r="G3359" t="s">
        <v>59</v>
      </c>
      <c r="H3359">
        <v>2023</v>
      </c>
    </row>
    <row r="3360" spans="1:8" x14ac:dyDescent="0.2">
      <c r="A3360">
        <v>230441</v>
      </c>
      <c r="B3360">
        <v>59713.3999999999</v>
      </c>
      <c r="C3360" t="str">
        <f t="shared" si="52"/>
        <v>3. $50K-250K</v>
      </c>
      <c r="D3360" t="s">
        <v>879</v>
      </c>
      <c r="E3360" t="s">
        <v>237</v>
      </c>
      <c r="F3360" t="s">
        <v>670</v>
      </c>
      <c r="G3360" t="s">
        <v>59</v>
      </c>
      <c r="H3360">
        <v>2023</v>
      </c>
    </row>
    <row r="3361" spans="1:8" x14ac:dyDescent="0.2">
      <c r="A3361">
        <v>230469</v>
      </c>
      <c r="B3361">
        <v>169440.1</v>
      </c>
      <c r="C3361" t="str">
        <f t="shared" si="52"/>
        <v>3. $50K-250K</v>
      </c>
      <c r="D3361" t="s">
        <v>150</v>
      </c>
      <c r="E3361" t="s">
        <v>8</v>
      </c>
      <c r="F3361" t="s">
        <v>120</v>
      </c>
      <c r="G3361" t="s">
        <v>59</v>
      </c>
      <c r="H3361">
        <v>2023</v>
      </c>
    </row>
    <row r="3362" spans="1:8" x14ac:dyDescent="0.2">
      <c r="A3362">
        <v>230514</v>
      </c>
      <c r="B3362">
        <v>29762.9</v>
      </c>
      <c r="C3362" t="str">
        <f t="shared" si="52"/>
        <v>3. $50K-250K</v>
      </c>
      <c r="D3362" t="s">
        <v>507</v>
      </c>
      <c r="E3362" t="s">
        <v>237</v>
      </c>
      <c r="F3362" t="s">
        <v>670</v>
      </c>
      <c r="G3362" t="s">
        <v>59</v>
      </c>
      <c r="H3362">
        <v>2023</v>
      </c>
    </row>
    <row r="3363" spans="1:8" x14ac:dyDescent="0.2">
      <c r="A3363">
        <v>230515</v>
      </c>
      <c r="B3363">
        <v>88320</v>
      </c>
      <c r="C3363" t="str">
        <f t="shared" si="52"/>
        <v>2. $10K-50K</v>
      </c>
      <c r="D3363" t="s">
        <v>878</v>
      </c>
      <c r="E3363" t="s">
        <v>237</v>
      </c>
      <c r="F3363" t="s">
        <v>670</v>
      </c>
      <c r="G3363" t="s">
        <v>59</v>
      </c>
      <c r="H3363">
        <v>2023</v>
      </c>
    </row>
    <row r="3364" spans="1:8" x14ac:dyDescent="0.2">
      <c r="A3364">
        <v>230549</v>
      </c>
      <c r="B3364">
        <v>75000</v>
      </c>
      <c r="C3364" t="str">
        <f t="shared" si="52"/>
        <v>3. $50K-250K</v>
      </c>
      <c r="D3364" t="s">
        <v>822</v>
      </c>
      <c r="E3364" t="s">
        <v>237</v>
      </c>
      <c r="F3364" t="s">
        <v>670</v>
      </c>
      <c r="G3364" t="s">
        <v>59</v>
      </c>
      <c r="H3364">
        <v>2023</v>
      </c>
    </row>
    <row r="3365" spans="1:8" x14ac:dyDescent="0.2">
      <c r="A3365">
        <v>230561</v>
      </c>
      <c r="B3365">
        <v>48595084.700000003</v>
      </c>
      <c r="C3365" t="str">
        <f t="shared" si="52"/>
        <v>3. $50K-250K</v>
      </c>
      <c r="D3365" t="s">
        <v>23</v>
      </c>
      <c r="E3365" t="s">
        <v>24</v>
      </c>
      <c r="F3365" t="s">
        <v>9</v>
      </c>
      <c r="G3365" t="s">
        <v>10</v>
      </c>
      <c r="H3365">
        <v>2023</v>
      </c>
    </row>
    <row r="3366" spans="1:8" x14ac:dyDescent="0.2">
      <c r="A3366">
        <v>230562</v>
      </c>
      <c r="B3366">
        <v>38888000</v>
      </c>
      <c r="C3366" t="str">
        <f t="shared" si="52"/>
        <v>5. $1M+</v>
      </c>
      <c r="D3366" t="s">
        <v>26</v>
      </c>
      <c r="E3366" t="s">
        <v>24</v>
      </c>
      <c r="F3366" t="s">
        <v>9</v>
      </c>
      <c r="G3366" t="s">
        <v>10</v>
      </c>
      <c r="H3366">
        <v>2023</v>
      </c>
    </row>
    <row r="3367" spans="1:8" x14ac:dyDescent="0.2">
      <c r="A3367">
        <v>230564</v>
      </c>
      <c r="B3367">
        <v>55000</v>
      </c>
      <c r="C3367" t="str">
        <f t="shared" si="52"/>
        <v>5. $1M+</v>
      </c>
      <c r="D3367" t="s">
        <v>820</v>
      </c>
      <c r="E3367" t="s">
        <v>432</v>
      </c>
      <c r="F3367" t="s">
        <v>670</v>
      </c>
      <c r="G3367" t="s">
        <v>59</v>
      </c>
      <c r="H3367">
        <v>2023</v>
      </c>
    </row>
    <row r="3368" spans="1:8" x14ac:dyDescent="0.2">
      <c r="A3368">
        <v>230567</v>
      </c>
      <c r="B3368">
        <v>30000</v>
      </c>
      <c r="C3368" t="str">
        <f t="shared" si="52"/>
        <v>3. $50K-250K</v>
      </c>
      <c r="D3368" t="s">
        <v>1387</v>
      </c>
      <c r="E3368" t="s">
        <v>432</v>
      </c>
      <c r="F3368" t="s">
        <v>670</v>
      </c>
      <c r="G3368" t="s">
        <v>59</v>
      </c>
      <c r="H3368">
        <v>2023</v>
      </c>
    </row>
    <row r="3369" spans="1:8" x14ac:dyDescent="0.2">
      <c r="A3369">
        <v>230568</v>
      </c>
      <c r="B3369">
        <v>30000</v>
      </c>
      <c r="C3369" t="str">
        <f t="shared" si="52"/>
        <v>2. $10K-50K</v>
      </c>
      <c r="D3369" t="s">
        <v>1387</v>
      </c>
      <c r="E3369" t="s">
        <v>432</v>
      </c>
      <c r="F3369" t="s">
        <v>670</v>
      </c>
      <c r="G3369" t="s">
        <v>59</v>
      </c>
      <c r="H3369">
        <v>2023</v>
      </c>
    </row>
    <row r="3370" spans="1:8" x14ac:dyDescent="0.2">
      <c r="A3370">
        <v>230569</v>
      </c>
      <c r="B3370">
        <v>55000</v>
      </c>
      <c r="C3370" t="str">
        <f t="shared" si="52"/>
        <v>2. $10K-50K</v>
      </c>
      <c r="D3370" t="s">
        <v>1387</v>
      </c>
      <c r="E3370" t="s">
        <v>432</v>
      </c>
      <c r="F3370" t="s">
        <v>670</v>
      </c>
      <c r="G3370" t="s">
        <v>59</v>
      </c>
      <c r="H3370">
        <v>2023</v>
      </c>
    </row>
    <row r="3371" spans="1:8" x14ac:dyDescent="0.2">
      <c r="A3371">
        <v>230570</v>
      </c>
      <c r="B3371">
        <v>40000</v>
      </c>
      <c r="C3371" t="str">
        <f t="shared" si="52"/>
        <v>3. $50K-250K</v>
      </c>
      <c r="D3371" t="s">
        <v>1445</v>
      </c>
      <c r="E3371" t="s">
        <v>432</v>
      </c>
      <c r="F3371" t="s">
        <v>670</v>
      </c>
      <c r="G3371" t="s">
        <v>59</v>
      </c>
      <c r="H3371">
        <v>2023</v>
      </c>
    </row>
    <row r="3372" spans="1:8" x14ac:dyDescent="0.2">
      <c r="A3372">
        <v>230644</v>
      </c>
      <c r="B3372">
        <v>253229</v>
      </c>
      <c r="C3372" t="str">
        <f t="shared" si="52"/>
        <v>2. $10K-50K</v>
      </c>
      <c r="D3372" t="s">
        <v>864</v>
      </c>
      <c r="E3372" t="s">
        <v>237</v>
      </c>
      <c r="F3372" t="s">
        <v>670</v>
      </c>
      <c r="G3372" t="s">
        <v>59</v>
      </c>
      <c r="H3372">
        <v>2023</v>
      </c>
    </row>
    <row r="3373" spans="1:8" x14ac:dyDescent="0.2">
      <c r="A3373">
        <v>230655</v>
      </c>
      <c r="B3373">
        <v>31990</v>
      </c>
      <c r="C3373" t="str">
        <f t="shared" si="52"/>
        <v>4. $250K-1M</v>
      </c>
      <c r="D3373" t="s">
        <v>869</v>
      </c>
      <c r="E3373" t="s">
        <v>237</v>
      </c>
      <c r="F3373" t="s">
        <v>670</v>
      </c>
      <c r="G3373" t="s">
        <v>59</v>
      </c>
      <c r="H3373">
        <v>2023</v>
      </c>
    </row>
    <row r="3374" spans="1:8" x14ac:dyDescent="0.2">
      <c r="A3374">
        <v>23066</v>
      </c>
      <c r="B3374">
        <v>2227027</v>
      </c>
      <c r="C3374" t="str">
        <f t="shared" si="52"/>
        <v>2. $10K-50K</v>
      </c>
      <c r="D3374" t="s">
        <v>1577</v>
      </c>
      <c r="E3374" t="s">
        <v>112</v>
      </c>
      <c r="F3374" t="s">
        <v>668</v>
      </c>
      <c r="G3374" t="s">
        <v>59</v>
      </c>
      <c r="H3374">
        <v>2025</v>
      </c>
    </row>
    <row r="3375" spans="1:8" x14ac:dyDescent="0.2">
      <c r="A3375">
        <v>230661</v>
      </c>
      <c r="B3375">
        <v>252181</v>
      </c>
      <c r="C3375" t="str">
        <f t="shared" si="52"/>
        <v>5. $1M+</v>
      </c>
      <c r="D3375" t="s">
        <v>871</v>
      </c>
      <c r="E3375" t="s">
        <v>237</v>
      </c>
      <c r="F3375" t="s">
        <v>670</v>
      </c>
      <c r="G3375" t="s">
        <v>59</v>
      </c>
      <c r="H3375">
        <v>2023</v>
      </c>
    </row>
    <row r="3376" spans="1:8" x14ac:dyDescent="0.2">
      <c r="A3376">
        <v>230662</v>
      </c>
      <c r="B3376">
        <v>223790</v>
      </c>
      <c r="C3376" t="str">
        <f t="shared" si="52"/>
        <v>4. $250K-1M</v>
      </c>
      <c r="D3376" t="s">
        <v>883</v>
      </c>
      <c r="E3376" t="s">
        <v>237</v>
      </c>
      <c r="F3376" t="s">
        <v>670</v>
      </c>
      <c r="G3376" t="s">
        <v>59</v>
      </c>
      <c r="H3376">
        <v>2023</v>
      </c>
    </row>
    <row r="3377" spans="1:8" x14ac:dyDescent="0.2">
      <c r="A3377">
        <v>230663</v>
      </c>
      <c r="B3377">
        <v>708759</v>
      </c>
      <c r="C3377" t="str">
        <f t="shared" si="52"/>
        <v>3. $50K-250K</v>
      </c>
      <c r="D3377" t="s">
        <v>671</v>
      </c>
      <c r="E3377" t="s">
        <v>237</v>
      </c>
      <c r="F3377" t="s">
        <v>670</v>
      </c>
      <c r="G3377" t="s">
        <v>59</v>
      </c>
      <c r="H3377">
        <v>2023</v>
      </c>
    </row>
    <row r="3378" spans="1:8" x14ac:dyDescent="0.2">
      <c r="A3378">
        <v>230664</v>
      </c>
      <c r="B3378">
        <v>190470</v>
      </c>
      <c r="C3378" t="str">
        <f t="shared" si="52"/>
        <v>4. $250K-1M</v>
      </c>
      <c r="D3378" t="s">
        <v>807</v>
      </c>
      <c r="E3378" t="s">
        <v>237</v>
      </c>
      <c r="F3378" t="s">
        <v>670</v>
      </c>
      <c r="G3378" t="s">
        <v>59</v>
      </c>
      <c r="H3378">
        <v>2023</v>
      </c>
    </row>
    <row r="3379" spans="1:8" x14ac:dyDescent="0.2">
      <c r="A3379">
        <v>230677</v>
      </c>
      <c r="B3379">
        <v>268835</v>
      </c>
      <c r="C3379" t="str">
        <f t="shared" si="52"/>
        <v>3. $50K-250K</v>
      </c>
      <c r="D3379" t="s">
        <v>711</v>
      </c>
      <c r="E3379" t="s">
        <v>237</v>
      </c>
      <c r="F3379" t="s">
        <v>670</v>
      </c>
      <c r="G3379" t="s">
        <v>59</v>
      </c>
      <c r="H3379">
        <v>2023</v>
      </c>
    </row>
    <row r="3380" spans="1:8" x14ac:dyDescent="0.2">
      <c r="A3380">
        <v>230697</v>
      </c>
      <c r="B3380">
        <v>625000</v>
      </c>
      <c r="C3380" t="str">
        <f t="shared" si="52"/>
        <v>4. $250K-1M</v>
      </c>
      <c r="D3380" t="s">
        <v>1585</v>
      </c>
      <c r="E3380" t="s">
        <v>237</v>
      </c>
      <c r="F3380" t="s">
        <v>670</v>
      </c>
      <c r="G3380" t="s">
        <v>59</v>
      </c>
      <c r="H3380">
        <v>2023</v>
      </c>
    </row>
    <row r="3381" spans="1:8" x14ac:dyDescent="0.2">
      <c r="A3381">
        <v>230716</v>
      </c>
      <c r="B3381">
        <v>1500000</v>
      </c>
      <c r="C3381" t="str">
        <f t="shared" si="52"/>
        <v>4. $250K-1M</v>
      </c>
      <c r="D3381" t="s">
        <v>339</v>
      </c>
      <c r="E3381" t="s">
        <v>8</v>
      </c>
      <c r="F3381" t="s">
        <v>14</v>
      </c>
      <c r="G3381" t="s">
        <v>15</v>
      </c>
      <c r="H3381">
        <v>2023</v>
      </c>
    </row>
    <row r="3382" spans="1:8" x14ac:dyDescent="0.2">
      <c r="A3382">
        <v>230732</v>
      </c>
      <c r="B3382">
        <v>405000</v>
      </c>
      <c r="C3382" t="str">
        <f t="shared" si="52"/>
        <v>5. $1M+</v>
      </c>
      <c r="D3382" t="s">
        <v>1056</v>
      </c>
      <c r="E3382" t="s">
        <v>42</v>
      </c>
      <c r="F3382" t="s">
        <v>670</v>
      </c>
      <c r="G3382" t="s">
        <v>44</v>
      </c>
      <c r="H3382">
        <v>2023</v>
      </c>
    </row>
    <row r="3383" spans="1:8" x14ac:dyDescent="0.2">
      <c r="A3383">
        <v>230737</v>
      </c>
      <c r="B3383">
        <v>48595084.700000003</v>
      </c>
      <c r="C3383" t="str">
        <f t="shared" si="52"/>
        <v>4. $250K-1M</v>
      </c>
      <c r="D3383" t="s">
        <v>23</v>
      </c>
      <c r="E3383" t="s">
        <v>24</v>
      </c>
      <c r="F3383" t="s">
        <v>9</v>
      </c>
      <c r="G3383" t="s">
        <v>10</v>
      </c>
      <c r="H3383">
        <v>2023</v>
      </c>
    </row>
    <row r="3384" spans="1:8" x14ac:dyDescent="0.2">
      <c r="A3384">
        <v>230738</v>
      </c>
      <c r="B3384">
        <v>38888000</v>
      </c>
      <c r="C3384" t="str">
        <f t="shared" si="52"/>
        <v>5. $1M+</v>
      </c>
      <c r="D3384" t="s">
        <v>26</v>
      </c>
      <c r="E3384" t="s">
        <v>24</v>
      </c>
      <c r="F3384" t="s">
        <v>9</v>
      </c>
      <c r="G3384" t="s">
        <v>10</v>
      </c>
      <c r="H3384">
        <v>2023</v>
      </c>
    </row>
    <row r="3385" spans="1:8" x14ac:dyDescent="0.2">
      <c r="A3385">
        <v>230742</v>
      </c>
      <c r="B3385">
        <v>2896084.6</v>
      </c>
      <c r="C3385" t="str">
        <f t="shared" si="52"/>
        <v>5. $1M+</v>
      </c>
      <c r="D3385" t="s">
        <v>23</v>
      </c>
      <c r="E3385" t="s">
        <v>24</v>
      </c>
      <c r="F3385" t="s">
        <v>9</v>
      </c>
      <c r="G3385" t="s">
        <v>10</v>
      </c>
      <c r="H3385">
        <v>2023</v>
      </c>
    </row>
    <row r="3386" spans="1:8" x14ac:dyDescent="0.2">
      <c r="A3386">
        <v>230743</v>
      </c>
      <c r="B3386">
        <v>3185294</v>
      </c>
      <c r="C3386" t="str">
        <f t="shared" si="52"/>
        <v>5. $1M+</v>
      </c>
      <c r="D3386" t="s">
        <v>340</v>
      </c>
      <c r="E3386" t="s">
        <v>24</v>
      </c>
      <c r="F3386" t="s">
        <v>9</v>
      </c>
      <c r="G3386" t="s">
        <v>10</v>
      </c>
      <c r="H3386">
        <v>2023</v>
      </c>
    </row>
    <row r="3387" spans="1:8" x14ac:dyDescent="0.2">
      <c r="A3387">
        <v>230745</v>
      </c>
      <c r="B3387">
        <v>8130617</v>
      </c>
      <c r="C3387" t="str">
        <f t="shared" si="52"/>
        <v>5. $1M+</v>
      </c>
      <c r="D3387" t="s">
        <v>340</v>
      </c>
      <c r="E3387" t="s">
        <v>24</v>
      </c>
      <c r="F3387" t="s">
        <v>9</v>
      </c>
      <c r="G3387" t="s">
        <v>10</v>
      </c>
      <c r="H3387">
        <v>2023</v>
      </c>
    </row>
    <row r="3388" spans="1:8" x14ac:dyDescent="0.2">
      <c r="A3388">
        <v>230854</v>
      </c>
      <c r="B3388">
        <v>62390</v>
      </c>
      <c r="C3388" t="str">
        <f t="shared" si="52"/>
        <v>5. $1M+</v>
      </c>
      <c r="D3388" t="s">
        <v>795</v>
      </c>
      <c r="E3388" t="s">
        <v>237</v>
      </c>
      <c r="F3388" t="s">
        <v>670</v>
      </c>
      <c r="G3388" t="s">
        <v>59</v>
      </c>
      <c r="H3388">
        <v>2023</v>
      </c>
    </row>
    <row r="3389" spans="1:8" x14ac:dyDescent="0.2">
      <c r="A3389">
        <v>230855</v>
      </c>
      <c r="B3389">
        <v>556094</v>
      </c>
      <c r="C3389" t="str">
        <f t="shared" si="52"/>
        <v>3. $50K-250K</v>
      </c>
      <c r="D3389" t="s">
        <v>986</v>
      </c>
      <c r="E3389" t="s">
        <v>237</v>
      </c>
      <c r="F3389" t="s">
        <v>670</v>
      </c>
      <c r="G3389" t="s">
        <v>59</v>
      </c>
      <c r="H3389">
        <v>2023</v>
      </c>
    </row>
    <row r="3390" spans="1:8" x14ac:dyDescent="0.2">
      <c r="A3390">
        <v>230856</v>
      </c>
      <c r="B3390">
        <v>334781</v>
      </c>
      <c r="C3390" t="str">
        <f t="shared" si="52"/>
        <v>4. $250K-1M</v>
      </c>
      <c r="D3390" t="s">
        <v>711</v>
      </c>
      <c r="E3390" t="s">
        <v>237</v>
      </c>
      <c r="F3390" t="s">
        <v>670</v>
      </c>
      <c r="G3390" t="s">
        <v>59</v>
      </c>
      <c r="H3390">
        <v>2023</v>
      </c>
    </row>
    <row r="3391" spans="1:8" x14ac:dyDescent="0.2">
      <c r="A3391">
        <v>230857</v>
      </c>
      <c r="B3391">
        <v>40928</v>
      </c>
      <c r="C3391" t="str">
        <f t="shared" si="52"/>
        <v>4. $250K-1M</v>
      </c>
      <c r="D3391" t="s">
        <v>795</v>
      </c>
      <c r="E3391" t="s">
        <v>237</v>
      </c>
      <c r="F3391" t="s">
        <v>670</v>
      </c>
      <c r="G3391" t="s">
        <v>59</v>
      </c>
      <c r="H3391">
        <v>2023</v>
      </c>
    </row>
    <row r="3392" spans="1:8" x14ac:dyDescent="0.2">
      <c r="A3392">
        <v>230858</v>
      </c>
      <c r="B3392">
        <v>7579</v>
      </c>
      <c r="C3392" t="str">
        <f t="shared" si="52"/>
        <v>2. $10K-50K</v>
      </c>
      <c r="D3392" t="s">
        <v>795</v>
      </c>
      <c r="E3392" t="s">
        <v>237</v>
      </c>
      <c r="F3392" t="s">
        <v>670</v>
      </c>
      <c r="G3392" t="s">
        <v>59</v>
      </c>
      <c r="H3392">
        <v>2023</v>
      </c>
    </row>
    <row r="3393" spans="1:8" x14ac:dyDescent="0.2">
      <c r="A3393">
        <v>230859</v>
      </c>
      <c r="B3393">
        <v>54000</v>
      </c>
      <c r="C3393" t="str">
        <f t="shared" si="52"/>
        <v>1. Under $10K</v>
      </c>
      <c r="D3393" t="s">
        <v>799</v>
      </c>
      <c r="E3393" t="s">
        <v>237</v>
      </c>
      <c r="F3393" t="s">
        <v>670</v>
      </c>
      <c r="G3393" t="s">
        <v>59</v>
      </c>
      <c r="H3393">
        <v>2023</v>
      </c>
    </row>
    <row r="3394" spans="1:8" x14ac:dyDescent="0.2">
      <c r="A3394">
        <v>230871</v>
      </c>
      <c r="B3394">
        <v>136066.4</v>
      </c>
      <c r="C3394" t="str">
        <f t="shared" si="52"/>
        <v>3. $50K-250K</v>
      </c>
      <c r="D3394" t="s">
        <v>749</v>
      </c>
      <c r="E3394" t="s">
        <v>237</v>
      </c>
      <c r="F3394" t="s">
        <v>670</v>
      </c>
      <c r="G3394" t="s">
        <v>59</v>
      </c>
      <c r="H3394">
        <v>2023</v>
      </c>
    </row>
    <row r="3395" spans="1:8" x14ac:dyDescent="0.2">
      <c r="A3395">
        <v>230874</v>
      </c>
      <c r="B3395">
        <v>101504</v>
      </c>
      <c r="C3395" t="str">
        <f t="shared" ref="C3395:C3458" si="53">IF(B3394&lt;10000,"1. Under $10K",IF(B3394&lt;50000,"2. $10K-50K",IF(B3394&lt;250000,"3. $50K-250K",IF(B3394&lt;1000000,"4. $250K-1M","5. $1M+"))))</f>
        <v>3. $50K-250K</v>
      </c>
      <c r="D3395" t="s">
        <v>717</v>
      </c>
      <c r="E3395" t="s">
        <v>237</v>
      </c>
      <c r="F3395" t="s">
        <v>670</v>
      </c>
      <c r="G3395" t="s">
        <v>59</v>
      </c>
      <c r="H3395">
        <v>2023</v>
      </c>
    </row>
    <row r="3396" spans="1:8" x14ac:dyDescent="0.2">
      <c r="A3396">
        <v>230875</v>
      </c>
      <c r="B3396">
        <v>833704</v>
      </c>
      <c r="C3396" t="str">
        <f t="shared" si="53"/>
        <v>3. $50K-250K</v>
      </c>
      <c r="D3396" t="s">
        <v>801</v>
      </c>
      <c r="E3396" t="s">
        <v>237</v>
      </c>
      <c r="F3396" t="s">
        <v>670</v>
      </c>
      <c r="G3396" t="s">
        <v>59</v>
      </c>
      <c r="H3396">
        <v>2023</v>
      </c>
    </row>
    <row r="3397" spans="1:8" x14ac:dyDescent="0.2">
      <c r="A3397">
        <v>230876</v>
      </c>
      <c r="B3397">
        <v>54000</v>
      </c>
      <c r="C3397" t="str">
        <f t="shared" si="53"/>
        <v>4. $250K-1M</v>
      </c>
      <c r="D3397" t="s">
        <v>1081</v>
      </c>
      <c r="E3397" t="s">
        <v>237</v>
      </c>
      <c r="F3397" t="s">
        <v>670</v>
      </c>
      <c r="G3397" t="s">
        <v>59</v>
      </c>
      <c r="H3397">
        <v>2023</v>
      </c>
    </row>
    <row r="3398" spans="1:8" x14ac:dyDescent="0.2">
      <c r="A3398">
        <v>230877</v>
      </c>
      <c r="B3398">
        <v>110000</v>
      </c>
      <c r="C3398" t="str">
        <f t="shared" si="53"/>
        <v>3. $50K-250K</v>
      </c>
      <c r="D3398" t="s">
        <v>711</v>
      </c>
      <c r="E3398" t="s">
        <v>237</v>
      </c>
      <c r="F3398" t="s">
        <v>670</v>
      </c>
      <c r="G3398" t="s">
        <v>59</v>
      </c>
      <c r="H3398">
        <v>2023</v>
      </c>
    </row>
    <row r="3399" spans="1:8" x14ac:dyDescent="0.2">
      <c r="A3399">
        <v>230902</v>
      </c>
      <c r="B3399">
        <v>15000</v>
      </c>
      <c r="C3399" t="str">
        <f t="shared" si="53"/>
        <v>3. $50K-250K</v>
      </c>
      <c r="D3399" t="s">
        <v>711</v>
      </c>
      <c r="E3399" t="s">
        <v>237</v>
      </c>
      <c r="F3399" t="s">
        <v>670</v>
      </c>
      <c r="G3399" t="s">
        <v>59</v>
      </c>
      <c r="H3399">
        <v>2023</v>
      </c>
    </row>
    <row r="3400" spans="1:8" x14ac:dyDescent="0.2">
      <c r="A3400">
        <v>231129</v>
      </c>
      <c r="B3400">
        <v>41216</v>
      </c>
      <c r="C3400" t="str">
        <f t="shared" si="53"/>
        <v>2. $10K-50K</v>
      </c>
      <c r="D3400" t="s">
        <v>1094</v>
      </c>
      <c r="E3400" t="s">
        <v>237</v>
      </c>
      <c r="F3400" t="s">
        <v>670</v>
      </c>
      <c r="G3400" t="s">
        <v>59</v>
      </c>
      <c r="H3400">
        <v>2023</v>
      </c>
    </row>
    <row r="3401" spans="1:8" x14ac:dyDescent="0.2">
      <c r="A3401">
        <v>231130</v>
      </c>
      <c r="B3401">
        <v>41216</v>
      </c>
      <c r="C3401" t="str">
        <f t="shared" si="53"/>
        <v>2. $10K-50K</v>
      </c>
      <c r="D3401" t="s">
        <v>1094</v>
      </c>
      <c r="E3401" t="s">
        <v>237</v>
      </c>
      <c r="F3401" t="s">
        <v>670</v>
      </c>
      <c r="G3401" t="s">
        <v>59</v>
      </c>
      <c r="H3401">
        <v>2023</v>
      </c>
    </row>
    <row r="3402" spans="1:8" x14ac:dyDescent="0.2">
      <c r="A3402">
        <v>231131</v>
      </c>
      <c r="B3402">
        <v>41216</v>
      </c>
      <c r="C3402" t="str">
        <f t="shared" si="53"/>
        <v>2. $10K-50K</v>
      </c>
      <c r="D3402" t="s">
        <v>1094</v>
      </c>
      <c r="E3402" t="s">
        <v>237</v>
      </c>
      <c r="F3402" t="s">
        <v>670</v>
      </c>
      <c r="G3402" t="s">
        <v>59</v>
      </c>
      <c r="H3402">
        <v>2023</v>
      </c>
    </row>
    <row r="3403" spans="1:8" x14ac:dyDescent="0.2">
      <c r="A3403">
        <v>231132</v>
      </c>
      <c r="B3403">
        <v>61824</v>
      </c>
      <c r="C3403" t="str">
        <f t="shared" si="53"/>
        <v>2. $10K-50K</v>
      </c>
      <c r="D3403" t="s">
        <v>1094</v>
      </c>
      <c r="E3403" t="s">
        <v>237</v>
      </c>
      <c r="F3403" t="s">
        <v>670</v>
      </c>
      <c r="G3403" t="s">
        <v>59</v>
      </c>
      <c r="H3403">
        <v>2023</v>
      </c>
    </row>
    <row r="3404" spans="1:8" x14ac:dyDescent="0.2">
      <c r="A3404">
        <v>231286</v>
      </c>
      <c r="B3404">
        <v>350000</v>
      </c>
      <c r="C3404" t="str">
        <f t="shared" si="53"/>
        <v>3. $50K-250K</v>
      </c>
      <c r="D3404" t="s">
        <v>852</v>
      </c>
      <c r="E3404" t="s">
        <v>237</v>
      </c>
      <c r="F3404" t="s">
        <v>670</v>
      </c>
      <c r="G3404" t="s">
        <v>44</v>
      </c>
      <c r="H3404">
        <v>2023</v>
      </c>
    </row>
    <row r="3405" spans="1:8" x14ac:dyDescent="0.2">
      <c r="A3405">
        <v>231319</v>
      </c>
      <c r="B3405">
        <v>10000</v>
      </c>
      <c r="C3405" t="str">
        <f t="shared" si="53"/>
        <v>4. $250K-1M</v>
      </c>
      <c r="D3405" t="s">
        <v>1399</v>
      </c>
      <c r="E3405" t="s">
        <v>368</v>
      </c>
      <c r="F3405" t="s">
        <v>670</v>
      </c>
      <c r="G3405" t="s">
        <v>59</v>
      </c>
      <c r="H3405">
        <v>2023</v>
      </c>
    </row>
    <row r="3406" spans="1:8" x14ac:dyDescent="0.2">
      <c r="A3406">
        <v>231320</v>
      </c>
      <c r="B3406">
        <v>33333</v>
      </c>
      <c r="C3406" t="str">
        <f t="shared" si="53"/>
        <v>2. $10K-50K</v>
      </c>
      <c r="D3406" t="s">
        <v>1362</v>
      </c>
      <c r="E3406" t="s">
        <v>368</v>
      </c>
      <c r="F3406" t="s">
        <v>670</v>
      </c>
      <c r="G3406" t="s">
        <v>59</v>
      </c>
      <c r="H3406">
        <v>2023</v>
      </c>
    </row>
    <row r="3407" spans="1:8" x14ac:dyDescent="0.2">
      <c r="A3407">
        <v>231344</v>
      </c>
      <c r="B3407">
        <v>354234.2</v>
      </c>
      <c r="C3407" t="str">
        <f t="shared" si="53"/>
        <v>2. $10K-50K</v>
      </c>
      <c r="D3407" t="s">
        <v>804</v>
      </c>
      <c r="E3407" t="s">
        <v>42</v>
      </c>
      <c r="F3407" t="s">
        <v>670</v>
      </c>
      <c r="G3407" t="s">
        <v>59</v>
      </c>
      <c r="H3407">
        <v>2023</v>
      </c>
    </row>
    <row r="3408" spans="1:8" x14ac:dyDescent="0.2">
      <c r="A3408">
        <v>231360</v>
      </c>
      <c r="B3408">
        <v>2399543.6</v>
      </c>
      <c r="C3408" t="str">
        <f t="shared" si="53"/>
        <v>4. $250K-1M</v>
      </c>
      <c r="D3408" t="s">
        <v>863</v>
      </c>
      <c r="E3408" t="s">
        <v>237</v>
      </c>
      <c r="F3408" t="s">
        <v>670</v>
      </c>
      <c r="G3408" t="s">
        <v>59</v>
      </c>
      <c r="H3408">
        <v>2023</v>
      </c>
    </row>
    <row r="3409" spans="1:8" x14ac:dyDescent="0.2">
      <c r="A3409">
        <v>231380</v>
      </c>
      <c r="B3409">
        <v>1588698.7</v>
      </c>
      <c r="C3409" t="str">
        <f t="shared" si="53"/>
        <v>5. $1M+</v>
      </c>
      <c r="D3409" t="s">
        <v>1052</v>
      </c>
      <c r="E3409" t="s">
        <v>237</v>
      </c>
      <c r="F3409" t="s">
        <v>670</v>
      </c>
      <c r="G3409" t="s">
        <v>59</v>
      </c>
      <c r="H3409">
        <v>2023</v>
      </c>
    </row>
    <row r="3410" spans="1:8" x14ac:dyDescent="0.2">
      <c r="A3410">
        <v>231391</v>
      </c>
      <c r="B3410">
        <v>108000</v>
      </c>
      <c r="C3410" t="str">
        <f t="shared" si="53"/>
        <v>5. $1M+</v>
      </c>
      <c r="D3410" t="s">
        <v>781</v>
      </c>
      <c r="E3410" t="s">
        <v>237</v>
      </c>
      <c r="F3410" t="s">
        <v>670</v>
      </c>
      <c r="G3410" t="s">
        <v>59</v>
      </c>
      <c r="H3410">
        <v>2023</v>
      </c>
    </row>
    <row r="3411" spans="1:8" x14ac:dyDescent="0.2">
      <c r="A3411">
        <v>231408</v>
      </c>
      <c r="B3411">
        <v>290000</v>
      </c>
      <c r="C3411" t="str">
        <f t="shared" si="53"/>
        <v>3. $50K-250K</v>
      </c>
      <c r="D3411" t="s">
        <v>1586</v>
      </c>
      <c r="E3411" t="s">
        <v>42</v>
      </c>
      <c r="F3411" t="s">
        <v>670</v>
      </c>
      <c r="G3411" t="s">
        <v>44</v>
      </c>
      <c r="H3411">
        <v>2023</v>
      </c>
    </row>
    <row r="3412" spans="1:8" x14ac:dyDescent="0.2">
      <c r="A3412">
        <v>231443</v>
      </c>
      <c r="B3412">
        <v>30000</v>
      </c>
      <c r="C3412" t="str">
        <f t="shared" si="53"/>
        <v>4. $250K-1M</v>
      </c>
      <c r="D3412" t="s">
        <v>1587</v>
      </c>
      <c r="E3412" t="s">
        <v>112</v>
      </c>
      <c r="F3412" t="s">
        <v>668</v>
      </c>
      <c r="G3412" t="s">
        <v>59</v>
      </c>
      <c r="H3412">
        <v>2023</v>
      </c>
    </row>
    <row r="3413" spans="1:8" x14ac:dyDescent="0.2">
      <c r="A3413">
        <v>231447</v>
      </c>
      <c r="B3413">
        <v>100000</v>
      </c>
      <c r="C3413" t="str">
        <f t="shared" si="53"/>
        <v>2. $10K-50K</v>
      </c>
      <c r="D3413" t="s">
        <v>1453</v>
      </c>
      <c r="E3413" t="s">
        <v>112</v>
      </c>
      <c r="F3413" t="s">
        <v>668</v>
      </c>
      <c r="G3413" t="s">
        <v>59</v>
      </c>
      <c r="H3413">
        <v>2023</v>
      </c>
    </row>
    <row r="3414" spans="1:8" x14ac:dyDescent="0.2">
      <c r="A3414">
        <v>231448</v>
      </c>
      <c r="B3414">
        <v>25000</v>
      </c>
      <c r="C3414" t="str">
        <f t="shared" si="53"/>
        <v>3. $50K-250K</v>
      </c>
      <c r="D3414" t="s">
        <v>1588</v>
      </c>
      <c r="E3414" t="s">
        <v>112</v>
      </c>
      <c r="F3414" t="s">
        <v>668</v>
      </c>
      <c r="G3414" t="s">
        <v>59</v>
      </c>
      <c r="H3414">
        <v>2023</v>
      </c>
    </row>
    <row r="3415" spans="1:8" x14ac:dyDescent="0.2">
      <c r="A3415">
        <v>231464</v>
      </c>
      <c r="B3415">
        <v>150000</v>
      </c>
      <c r="C3415" t="str">
        <f t="shared" si="53"/>
        <v>2. $10K-50K</v>
      </c>
      <c r="D3415" t="s">
        <v>1589</v>
      </c>
      <c r="E3415" t="s">
        <v>112</v>
      </c>
      <c r="F3415" t="s">
        <v>668</v>
      </c>
      <c r="G3415" t="s">
        <v>59</v>
      </c>
      <c r="H3415">
        <v>2023</v>
      </c>
    </row>
    <row r="3416" spans="1:8" x14ac:dyDescent="0.2">
      <c r="A3416">
        <v>231466</v>
      </c>
      <c r="B3416">
        <v>32500</v>
      </c>
      <c r="C3416" t="str">
        <f t="shared" si="53"/>
        <v>3. $50K-250K</v>
      </c>
      <c r="D3416" t="s">
        <v>673</v>
      </c>
      <c r="E3416" t="s">
        <v>112</v>
      </c>
      <c r="F3416" t="s">
        <v>668</v>
      </c>
      <c r="G3416" t="s">
        <v>59</v>
      </c>
      <c r="H3416">
        <v>2023</v>
      </c>
    </row>
    <row r="3417" spans="1:8" x14ac:dyDescent="0.2">
      <c r="A3417">
        <v>231469</v>
      </c>
      <c r="B3417">
        <v>15000</v>
      </c>
      <c r="C3417" t="str">
        <f t="shared" si="53"/>
        <v>2. $10K-50K</v>
      </c>
      <c r="D3417" t="s">
        <v>1590</v>
      </c>
      <c r="E3417" t="s">
        <v>112</v>
      </c>
      <c r="F3417" t="s">
        <v>668</v>
      </c>
      <c r="G3417" t="s">
        <v>59</v>
      </c>
      <c r="H3417">
        <v>2023</v>
      </c>
    </row>
    <row r="3418" spans="1:8" x14ac:dyDescent="0.2">
      <c r="A3418">
        <v>231472</v>
      </c>
      <c r="B3418">
        <v>50000</v>
      </c>
      <c r="C3418" t="str">
        <f t="shared" si="53"/>
        <v>2. $10K-50K</v>
      </c>
      <c r="D3418" t="s">
        <v>1591</v>
      </c>
      <c r="E3418" t="s">
        <v>112</v>
      </c>
      <c r="F3418" t="s">
        <v>668</v>
      </c>
      <c r="G3418" t="s">
        <v>59</v>
      </c>
      <c r="H3418">
        <v>2023</v>
      </c>
    </row>
    <row r="3419" spans="1:8" x14ac:dyDescent="0.2">
      <c r="A3419">
        <v>231478</v>
      </c>
      <c r="B3419">
        <v>40000</v>
      </c>
      <c r="C3419" t="str">
        <f t="shared" si="53"/>
        <v>3. $50K-250K</v>
      </c>
      <c r="D3419" t="s">
        <v>946</v>
      </c>
      <c r="E3419" t="s">
        <v>432</v>
      </c>
      <c r="F3419" t="s">
        <v>670</v>
      </c>
      <c r="G3419" t="s">
        <v>59</v>
      </c>
      <c r="H3419">
        <v>2023</v>
      </c>
    </row>
    <row r="3420" spans="1:8" x14ac:dyDescent="0.2">
      <c r="A3420">
        <v>231479</v>
      </c>
      <c r="B3420">
        <v>20000</v>
      </c>
      <c r="C3420" t="str">
        <f t="shared" si="53"/>
        <v>2. $10K-50K</v>
      </c>
      <c r="D3420" t="s">
        <v>1463</v>
      </c>
      <c r="E3420" t="s">
        <v>432</v>
      </c>
      <c r="F3420" t="s">
        <v>670</v>
      </c>
      <c r="G3420" t="s">
        <v>59</v>
      </c>
      <c r="H3420">
        <v>2023</v>
      </c>
    </row>
    <row r="3421" spans="1:8" x14ac:dyDescent="0.2">
      <c r="A3421">
        <v>231480</v>
      </c>
      <c r="B3421">
        <v>30000</v>
      </c>
      <c r="C3421" t="str">
        <f t="shared" si="53"/>
        <v>2. $10K-50K</v>
      </c>
      <c r="D3421" t="s">
        <v>1448</v>
      </c>
      <c r="E3421" t="s">
        <v>432</v>
      </c>
      <c r="F3421" t="s">
        <v>670</v>
      </c>
      <c r="G3421" t="s">
        <v>59</v>
      </c>
      <c r="H3421">
        <v>2023</v>
      </c>
    </row>
    <row r="3422" spans="1:8" x14ac:dyDescent="0.2">
      <c r="A3422">
        <v>231481</v>
      </c>
      <c r="B3422">
        <v>16714.099999999999</v>
      </c>
      <c r="C3422" t="str">
        <f t="shared" si="53"/>
        <v>2. $10K-50K</v>
      </c>
      <c r="D3422" t="s">
        <v>1173</v>
      </c>
      <c r="E3422" t="s">
        <v>432</v>
      </c>
      <c r="F3422" t="s">
        <v>670</v>
      </c>
      <c r="G3422" t="s">
        <v>59</v>
      </c>
      <c r="H3422">
        <v>2023</v>
      </c>
    </row>
    <row r="3423" spans="1:8" x14ac:dyDescent="0.2">
      <c r="A3423">
        <v>231482</v>
      </c>
      <c r="B3423">
        <v>2000000</v>
      </c>
      <c r="C3423" t="str">
        <f t="shared" si="53"/>
        <v>2. $10K-50K</v>
      </c>
      <c r="D3423" t="s">
        <v>797</v>
      </c>
      <c r="E3423" t="s">
        <v>432</v>
      </c>
      <c r="F3423" t="s">
        <v>670</v>
      </c>
      <c r="G3423" t="s">
        <v>59</v>
      </c>
      <c r="H3423">
        <v>2023</v>
      </c>
    </row>
    <row r="3424" spans="1:8" x14ac:dyDescent="0.2">
      <c r="A3424">
        <v>231483</v>
      </c>
      <c r="B3424">
        <v>37500</v>
      </c>
      <c r="C3424" t="str">
        <f t="shared" si="53"/>
        <v>5. $1M+</v>
      </c>
      <c r="D3424" t="s">
        <v>1387</v>
      </c>
      <c r="E3424" t="s">
        <v>432</v>
      </c>
      <c r="F3424" t="s">
        <v>670</v>
      </c>
      <c r="G3424" t="s">
        <v>59</v>
      </c>
      <c r="H3424">
        <v>2023</v>
      </c>
    </row>
    <row r="3425" spans="1:8" x14ac:dyDescent="0.2">
      <c r="A3425">
        <v>231490</v>
      </c>
      <c r="B3425">
        <v>141818</v>
      </c>
      <c r="C3425" t="str">
        <f t="shared" si="53"/>
        <v>2. $10K-50K</v>
      </c>
      <c r="D3425" t="s">
        <v>1495</v>
      </c>
      <c r="E3425" t="s">
        <v>42</v>
      </c>
      <c r="F3425" t="s">
        <v>670</v>
      </c>
      <c r="G3425" t="s">
        <v>59</v>
      </c>
      <c r="H3425">
        <v>2023</v>
      </c>
    </row>
    <row r="3426" spans="1:8" x14ac:dyDescent="0.2">
      <c r="A3426">
        <v>231491</v>
      </c>
      <c r="B3426">
        <v>30000</v>
      </c>
      <c r="C3426" t="str">
        <f t="shared" si="53"/>
        <v>3. $50K-250K</v>
      </c>
      <c r="D3426" t="s">
        <v>920</v>
      </c>
      <c r="E3426" t="s">
        <v>432</v>
      </c>
      <c r="F3426" t="s">
        <v>670</v>
      </c>
      <c r="G3426" t="s">
        <v>59</v>
      </c>
      <c r="H3426">
        <v>2023</v>
      </c>
    </row>
    <row r="3427" spans="1:8" x14ac:dyDescent="0.2">
      <c r="A3427">
        <v>231570</v>
      </c>
      <c r="B3427">
        <v>17995</v>
      </c>
      <c r="C3427" t="str">
        <f t="shared" si="53"/>
        <v>2. $10K-50K</v>
      </c>
      <c r="D3427" t="s">
        <v>1474</v>
      </c>
      <c r="E3427" t="s">
        <v>1592</v>
      </c>
      <c r="F3427" t="s">
        <v>668</v>
      </c>
      <c r="G3427" t="s">
        <v>59</v>
      </c>
      <c r="H3427">
        <v>2023</v>
      </c>
    </row>
    <row r="3428" spans="1:8" x14ac:dyDescent="0.2">
      <c r="A3428">
        <v>231580</v>
      </c>
      <c r="B3428">
        <v>464733</v>
      </c>
      <c r="C3428" t="str">
        <f t="shared" si="53"/>
        <v>2. $10K-50K</v>
      </c>
      <c r="D3428" t="s">
        <v>1593</v>
      </c>
      <c r="E3428" t="s">
        <v>112</v>
      </c>
      <c r="F3428" t="s">
        <v>668</v>
      </c>
      <c r="G3428" t="s">
        <v>59</v>
      </c>
      <c r="H3428">
        <v>2023</v>
      </c>
    </row>
    <row r="3429" spans="1:8" x14ac:dyDescent="0.2">
      <c r="A3429">
        <v>231660</v>
      </c>
      <c r="B3429">
        <v>515301</v>
      </c>
      <c r="C3429" t="str">
        <f t="shared" si="53"/>
        <v>4. $250K-1M</v>
      </c>
      <c r="D3429" t="s">
        <v>507</v>
      </c>
      <c r="E3429" t="s">
        <v>237</v>
      </c>
      <c r="F3429" t="s">
        <v>670</v>
      </c>
      <c r="G3429" t="s">
        <v>59</v>
      </c>
      <c r="H3429">
        <v>2023</v>
      </c>
    </row>
    <row r="3430" spans="1:8" x14ac:dyDescent="0.2">
      <c r="A3430">
        <v>231751</v>
      </c>
      <c r="B3430">
        <v>7887529.0999999996</v>
      </c>
      <c r="C3430" t="str">
        <f t="shared" si="53"/>
        <v>4. $250K-1M</v>
      </c>
      <c r="D3430" t="s">
        <v>137</v>
      </c>
      <c r="E3430" t="s">
        <v>8</v>
      </c>
      <c r="F3430" t="s">
        <v>9</v>
      </c>
      <c r="G3430" t="s">
        <v>10</v>
      </c>
      <c r="H3430">
        <v>2023</v>
      </c>
    </row>
    <row r="3431" spans="1:8" x14ac:dyDescent="0.2">
      <c r="A3431">
        <v>231756</v>
      </c>
      <c r="B3431">
        <v>690270</v>
      </c>
      <c r="C3431" t="str">
        <f t="shared" si="53"/>
        <v>5. $1M+</v>
      </c>
      <c r="D3431" t="s">
        <v>958</v>
      </c>
      <c r="E3431" t="s">
        <v>99</v>
      </c>
      <c r="F3431" t="s">
        <v>670</v>
      </c>
      <c r="G3431" t="s">
        <v>44</v>
      </c>
      <c r="H3431">
        <v>2023</v>
      </c>
    </row>
    <row r="3432" spans="1:8" x14ac:dyDescent="0.2">
      <c r="A3432">
        <v>231772</v>
      </c>
      <c r="B3432">
        <v>12300450</v>
      </c>
      <c r="C3432" t="str">
        <f t="shared" si="53"/>
        <v>4. $250K-1M</v>
      </c>
      <c r="D3432" t="s">
        <v>7</v>
      </c>
      <c r="E3432" t="s">
        <v>69</v>
      </c>
      <c r="F3432" t="s">
        <v>9</v>
      </c>
      <c r="G3432" t="s">
        <v>10</v>
      </c>
      <c r="H3432">
        <v>2023</v>
      </c>
    </row>
    <row r="3433" spans="1:8" x14ac:dyDescent="0.2">
      <c r="A3433">
        <v>231777</v>
      </c>
      <c r="B3433">
        <v>4000000</v>
      </c>
      <c r="C3433" t="str">
        <f t="shared" si="53"/>
        <v>5. $1M+</v>
      </c>
      <c r="D3433" t="s">
        <v>1594</v>
      </c>
      <c r="E3433" t="s">
        <v>99</v>
      </c>
      <c r="F3433" t="s">
        <v>668</v>
      </c>
      <c r="G3433" t="s">
        <v>59</v>
      </c>
      <c r="H3433">
        <v>2023</v>
      </c>
    </row>
    <row r="3434" spans="1:8" x14ac:dyDescent="0.2">
      <c r="A3434">
        <v>231778</v>
      </c>
      <c r="B3434">
        <v>38000</v>
      </c>
      <c r="C3434" t="str">
        <f t="shared" si="53"/>
        <v>5. $1M+</v>
      </c>
      <c r="D3434" t="s">
        <v>1460</v>
      </c>
      <c r="E3434" t="s">
        <v>112</v>
      </c>
      <c r="F3434" t="s">
        <v>668</v>
      </c>
      <c r="G3434" t="s">
        <v>59</v>
      </c>
      <c r="H3434">
        <v>2023</v>
      </c>
    </row>
    <row r="3435" spans="1:8" x14ac:dyDescent="0.2">
      <c r="A3435">
        <v>231796</v>
      </c>
      <c r="B3435">
        <v>72220</v>
      </c>
      <c r="C3435" t="str">
        <f t="shared" si="53"/>
        <v>2. $10K-50K</v>
      </c>
      <c r="D3435" t="s">
        <v>795</v>
      </c>
      <c r="E3435" t="s">
        <v>237</v>
      </c>
      <c r="F3435" t="s">
        <v>670</v>
      </c>
      <c r="G3435" t="s">
        <v>59</v>
      </c>
      <c r="H3435">
        <v>2023</v>
      </c>
    </row>
    <row r="3436" spans="1:8" x14ac:dyDescent="0.2">
      <c r="A3436">
        <v>231819</v>
      </c>
      <c r="B3436">
        <v>55000</v>
      </c>
      <c r="C3436" t="str">
        <f t="shared" si="53"/>
        <v>3. $50K-250K</v>
      </c>
      <c r="D3436" t="s">
        <v>1595</v>
      </c>
      <c r="E3436" t="s">
        <v>112</v>
      </c>
      <c r="F3436" t="s">
        <v>668</v>
      </c>
      <c r="G3436" t="s">
        <v>59</v>
      </c>
      <c r="H3436">
        <v>2023</v>
      </c>
    </row>
    <row r="3437" spans="1:8" x14ac:dyDescent="0.2">
      <c r="A3437">
        <v>231820</v>
      </c>
      <c r="B3437">
        <v>30000</v>
      </c>
      <c r="C3437" t="str">
        <f t="shared" si="53"/>
        <v>3. $50K-250K</v>
      </c>
      <c r="D3437" t="s">
        <v>1596</v>
      </c>
      <c r="E3437" t="s">
        <v>112</v>
      </c>
      <c r="F3437" t="s">
        <v>668</v>
      </c>
      <c r="G3437" t="s">
        <v>59</v>
      </c>
      <c r="H3437">
        <v>2023</v>
      </c>
    </row>
    <row r="3438" spans="1:8" x14ac:dyDescent="0.2">
      <c r="A3438">
        <v>231821</v>
      </c>
      <c r="B3438">
        <v>20000</v>
      </c>
      <c r="C3438" t="str">
        <f t="shared" si="53"/>
        <v>2. $10K-50K</v>
      </c>
      <c r="D3438" t="s">
        <v>1162</v>
      </c>
      <c r="E3438" t="s">
        <v>112</v>
      </c>
      <c r="F3438" t="s">
        <v>668</v>
      </c>
      <c r="G3438" t="s">
        <v>59</v>
      </c>
      <c r="H3438">
        <v>2023</v>
      </c>
    </row>
    <row r="3439" spans="1:8" x14ac:dyDescent="0.2">
      <c r="A3439">
        <v>231823</v>
      </c>
      <c r="B3439">
        <v>28000</v>
      </c>
      <c r="C3439" t="str">
        <f t="shared" si="53"/>
        <v>2. $10K-50K</v>
      </c>
      <c r="D3439" t="s">
        <v>1263</v>
      </c>
      <c r="E3439" t="s">
        <v>112</v>
      </c>
      <c r="F3439" t="s">
        <v>668</v>
      </c>
      <c r="G3439" t="s">
        <v>59</v>
      </c>
      <c r="H3439">
        <v>2023</v>
      </c>
    </row>
    <row r="3440" spans="1:8" x14ac:dyDescent="0.2">
      <c r="A3440">
        <v>231828</v>
      </c>
      <c r="B3440">
        <v>15000000</v>
      </c>
      <c r="C3440" t="str">
        <f t="shared" si="53"/>
        <v>2. $10K-50K</v>
      </c>
      <c r="D3440" t="s">
        <v>1597</v>
      </c>
      <c r="E3440" t="s">
        <v>99</v>
      </c>
      <c r="F3440" t="s">
        <v>668</v>
      </c>
      <c r="G3440" t="s">
        <v>59</v>
      </c>
      <c r="H3440">
        <v>2023</v>
      </c>
    </row>
    <row r="3441" spans="1:8" x14ac:dyDescent="0.2">
      <c r="A3441">
        <v>231832</v>
      </c>
      <c r="B3441">
        <v>18000</v>
      </c>
      <c r="C3441" t="str">
        <f t="shared" si="53"/>
        <v>5. $1M+</v>
      </c>
      <c r="D3441" t="s">
        <v>1598</v>
      </c>
      <c r="E3441" t="s">
        <v>112</v>
      </c>
      <c r="F3441" t="s">
        <v>668</v>
      </c>
      <c r="G3441" t="s">
        <v>59</v>
      </c>
      <c r="H3441">
        <v>2023</v>
      </c>
    </row>
    <row r="3442" spans="1:8" x14ac:dyDescent="0.2">
      <c r="A3442">
        <v>231834</v>
      </c>
      <c r="B3442">
        <v>3767800</v>
      </c>
      <c r="C3442" t="str">
        <f t="shared" si="53"/>
        <v>2. $10K-50K</v>
      </c>
      <c r="D3442" t="s">
        <v>341</v>
      </c>
      <c r="E3442" t="s">
        <v>8</v>
      </c>
      <c r="F3442" t="s">
        <v>22</v>
      </c>
      <c r="G3442" t="s">
        <v>10</v>
      </c>
      <c r="H3442">
        <v>2023</v>
      </c>
    </row>
    <row r="3443" spans="1:8" x14ac:dyDescent="0.2">
      <c r="A3443">
        <v>231835</v>
      </c>
      <c r="B3443">
        <v>42000</v>
      </c>
      <c r="C3443" t="str">
        <f t="shared" si="53"/>
        <v>5. $1M+</v>
      </c>
      <c r="D3443" t="s">
        <v>1599</v>
      </c>
      <c r="E3443" t="s">
        <v>112</v>
      </c>
      <c r="F3443" t="s">
        <v>668</v>
      </c>
      <c r="G3443" t="s">
        <v>59</v>
      </c>
      <c r="H3443">
        <v>2023</v>
      </c>
    </row>
    <row r="3444" spans="1:8" x14ac:dyDescent="0.2">
      <c r="A3444">
        <v>2319</v>
      </c>
      <c r="B3444">
        <v>122915.4</v>
      </c>
      <c r="C3444" t="str">
        <f t="shared" si="53"/>
        <v>2. $10K-50K</v>
      </c>
      <c r="D3444" t="s">
        <v>143</v>
      </c>
      <c r="E3444" t="s">
        <v>8</v>
      </c>
      <c r="F3444" t="s">
        <v>9</v>
      </c>
      <c r="G3444" t="s">
        <v>59</v>
      </c>
      <c r="H3444">
        <v>2024</v>
      </c>
    </row>
    <row r="3445" spans="1:8" x14ac:dyDescent="0.2">
      <c r="A3445">
        <v>231916</v>
      </c>
      <c r="B3445">
        <v>231823.3</v>
      </c>
      <c r="C3445" t="str">
        <f t="shared" si="53"/>
        <v>3. $50K-250K</v>
      </c>
      <c r="D3445" t="s">
        <v>780</v>
      </c>
      <c r="E3445" t="s">
        <v>42</v>
      </c>
      <c r="F3445" t="s">
        <v>670</v>
      </c>
      <c r="G3445" t="s">
        <v>59</v>
      </c>
      <c r="H3445">
        <v>2023</v>
      </c>
    </row>
    <row r="3446" spans="1:8" x14ac:dyDescent="0.2">
      <c r="A3446">
        <v>231917</v>
      </c>
      <c r="B3446">
        <v>809090.6</v>
      </c>
      <c r="C3446" t="str">
        <f t="shared" si="53"/>
        <v>3. $50K-250K</v>
      </c>
      <c r="D3446" t="s">
        <v>881</v>
      </c>
      <c r="E3446" t="s">
        <v>42</v>
      </c>
      <c r="F3446" t="s">
        <v>670</v>
      </c>
      <c r="G3446" t="s">
        <v>59</v>
      </c>
      <c r="H3446">
        <v>2023</v>
      </c>
    </row>
    <row r="3447" spans="1:8" x14ac:dyDescent="0.2">
      <c r="A3447">
        <v>231918</v>
      </c>
      <c r="B3447">
        <v>281256.40000000002</v>
      </c>
      <c r="C3447" t="str">
        <f t="shared" si="53"/>
        <v>4. $250K-1M</v>
      </c>
      <c r="D3447" t="s">
        <v>855</v>
      </c>
      <c r="E3447" t="s">
        <v>42</v>
      </c>
      <c r="F3447" t="s">
        <v>670</v>
      </c>
      <c r="G3447" t="s">
        <v>59</v>
      </c>
      <c r="H3447">
        <v>2023</v>
      </c>
    </row>
    <row r="3448" spans="1:8" x14ac:dyDescent="0.2">
      <c r="A3448">
        <v>231955</v>
      </c>
      <c r="B3448">
        <v>834141</v>
      </c>
      <c r="C3448" t="str">
        <f t="shared" si="53"/>
        <v>4. $250K-1M</v>
      </c>
      <c r="D3448" t="s">
        <v>799</v>
      </c>
      <c r="E3448" t="s">
        <v>237</v>
      </c>
      <c r="F3448" t="s">
        <v>670</v>
      </c>
      <c r="G3448" t="s">
        <v>59</v>
      </c>
      <c r="H3448">
        <v>2023</v>
      </c>
    </row>
    <row r="3449" spans="1:8" x14ac:dyDescent="0.2">
      <c r="A3449">
        <v>231956</v>
      </c>
      <c r="B3449">
        <v>625605</v>
      </c>
      <c r="C3449" t="str">
        <f t="shared" si="53"/>
        <v>4. $250K-1M</v>
      </c>
      <c r="D3449" t="s">
        <v>980</v>
      </c>
      <c r="E3449" t="s">
        <v>237</v>
      </c>
      <c r="F3449" t="s">
        <v>670</v>
      </c>
      <c r="G3449" t="s">
        <v>59</v>
      </c>
      <c r="H3449">
        <v>2023</v>
      </c>
    </row>
    <row r="3450" spans="1:8" x14ac:dyDescent="0.2">
      <c r="A3450">
        <v>231957</v>
      </c>
      <c r="B3450">
        <v>417072</v>
      </c>
      <c r="C3450" t="str">
        <f t="shared" si="53"/>
        <v>4. $250K-1M</v>
      </c>
      <c r="D3450" t="s">
        <v>983</v>
      </c>
      <c r="E3450" t="s">
        <v>237</v>
      </c>
      <c r="F3450" t="s">
        <v>670</v>
      </c>
      <c r="G3450" t="s">
        <v>59</v>
      </c>
      <c r="H3450">
        <v>2023</v>
      </c>
    </row>
    <row r="3451" spans="1:8" x14ac:dyDescent="0.2">
      <c r="A3451">
        <v>231958</v>
      </c>
      <c r="B3451">
        <v>919235</v>
      </c>
      <c r="C3451" t="str">
        <f t="shared" si="53"/>
        <v>4. $250K-1M</v>
      </c>
      <c r="D3451" t="s">
        <v>749</v>
      </c>
      <c r="E3451" t="s">
        <v>237</v>
      </c>
      <c r="F3451" t="s">
        <v>670</v>
      </c>
      <c r="G3451" t="s">
        <v>59</v>
      </c>
      <c r="H3451">
        <v>2023</v>
      </c>
    </row>
    <row r="3452" spans="1:8" x14ac:dyDescent="0.2">
      <c r="A3452">
        <v>231959</v>
      </c>
      <c r="B3452">
        <v>417072</v>
      </c>
      <c r="C3452" t="str">
        <f t="shared" si="53"/>
        <v>4. $250K-1M</v>
      </c>
      <c r="D3452" t="s">
        <v>805</v>
      </c>
      <c r="E3452" t="s">
        <v>237</v>
      </c>
      <c r="F3452" t="s">
        <v>670</v>
      </c>
      <c r="G3452" t="s">
        <v>59</v>
      </c>
      <c r="H3452">
        <v>2023</v>
      </c>
    </row>
    <row r="3453" spans="1:8" x14ac:dyDescent="0.2">
      <c r="A3453">
        <v>231960</v>
      </c>
      <c r="B3453">
        <v>417070</v>
      </c>
      <c r="C3453" t="str">
        <f t="shared" si="53"/>
        <v>4. $250K-1M</v>
      </c>
      <c r="D3453" t="s">
        <v>1094</v>
      </c>
      <c r="E3453" t="s">
        <v>237</v>
      </c>
      <c r="F3453" t="s">
        <v>670</v>
      </c>
      <c r="G3453" t="s">
        <v>59</v>
      </c>
      <c r="H3453">
        <v>2023</v>
      </c>
    </row>
    <row r="3454" spans="1:8" x14ac:dyDescent="0.2">
      <c r="A3454">
        <v>231977</v>
      </c>
      <c r="B3454">
        <v>61824</v>
      </c>
      <c r="C3454" t="str">
        <f t="shared" si="53"/>
        <v>4. $250K-1M</v>
      </c>
      <c r="D3454" t="s">
        <v>983</v>
      </c>
      <c r="E3454" t="s">
        <v>237</v>
      </c>
      <c r="F3454" t="s">
        <v>670</v>
      </c>
      <c r="G3454" t="s">
        <v>59</v>
      </c>
      <c r="H3454">
        <v>2023</v>
      </c>
    </row>
    <row r="3455" spans="1:8" x14ac:dyDescent="0.2">
      <c r="A3455">
        <v>231983</v>
      </c>
      <c r="B3455">
        <v>185472</v>
      </c>
      <c r="C3455" t="str">
        <f t="shared" si="53"/>
        <v>3. $50K-250K</v>
      </c>
      <c r="D3455" t="s">
        <v>783</v>
      </c>
      <c r="E3455" t="s">
        <v>237</v>
      </c>
      <c r="F3455" t="s">
        <v>670</v>
      </c>
      <c r="G3455" t="s">
        <v>59</v>
      </c>
      <c r="H3455">
        <v>2023</v>
      </c>
    </row>
    <row r="3456" spans="1:8" x14ac:dyDescent="0.2">
      <c r="A3456">
        <v>231984</v>
      </c>
      <c r="B3456">
        <v>61824</v>
      </c>
      <c r="C3456" t="str">
        <f t="shared" si="53"/>
        <v>3. $50K-250K</v>
      </c>
      <c r="D3456" t="s">
        <v>801</v>
      </c>
      <c r="E3456" t="s">
        <v>237</v>
      </c>
      <c r="F3456" t="s">
        <v>670</v>
      </c>
      <c r="G3456" t="s">
        <v>59</v>
      </c>
      <c r="H3456">
        <v>2023</v>
      </c>
    </row>
    <row r="3457" spans="1:8" x14ac:dyDescent="0.2">
      <c r="A3457">
        <v>231986</v>
      </c>
      <c r="B3457">
        <v>468738.4</v>
      </c>
      <c r="C3457" t="str">
        <f t="shared" si="53"/>
        <v>3. $50K-250K</v>
      </c>
      <c r="D3457" t="s">
        <v>799</v>
      </c>
      <c r="E3457" t="s">
        <v>237</v>
      </c>
      <c r="F3457" t="s">
        <v>670</v>
      </c>
      <c r="G3457" t="s">
        <v>59</v>
      </c>
      <c r="H3457">
        <v>2023</v>
      </c>
    </row>
    <row r="3458" spans="1:8" x14ac:dyDescent="0.2">
      <c r="A3458">
        <v>231988</v>
      </c>
      <c r="B3458">
        <v>61824</v>
      </c>
      <c r="C3458" t="str">
        <f t="shared" si="53"/>
        <v>4. $250K-1M</v>
      </c>
      <c r="D3458" t="s">
        <v>990</v>
      </c>
      <c r="E3458" t="s">
        <v>237</v>
      </c>
      <c r="F3458" t="s">
        <v>670</v>
      </c>
      <c r="G3458" t="s">
        <v>59</v>
      </c>
      <c r="H3458">
        <v>2023</v>
      </c>
    </row>
    <row r="3459" spans="1:8" x14ac:dyDescent="0.2">
      <c r="A3459">
        <v>231990</v>
      </c>
      <c r="B3459">
        <v>82432</v>
      </c>
      <c r="C3459" t="str">
        <f t="shared" ref="C3459:C3522" si="54">IF(B3458&lt;10000,"1. Under $10K",IF(B3458&lt;50000,"2. $10K-50K",IF(B3458&lt;250000,"3. $50K-250K",IF(B3458&lt;1000000,"4. $250K-1M","5. $1M+"))))</f>
        <v>3. $50K-250K</v>
      </c>
      <c r="D3459" t="s">
        <v>925</v>
      </c>
      <c r="E3459" t="s">
        <v>237</v>
      </c>
      <c r="F3459" t="s">
        <v>670</v>
      </c>
      <c r="G3459" t="s">
        <v>59</v>
      </c>
      <c r="H3459">
        <v>2023</v>
      </c>
    </row>
    <row r="3460" spans="1:8" x14ac:dyDescent="0.2">
      <c r="A3460">
        <v>231991</v>
      </c>
      <c r="B3460">
        <v>61824</v>
      </c>
      <c r="C3460" t="str">
        <f t="shared" si="54"/>
        <v>3. $50K-250K</v>
      </c>
      <c r="D3460" t="s">
        <v>805</v>
      </c>
      <c r="E3460" t="s">
        <v>237</v>
      </c>
      <c r="F3460" t="s">
        <v>670</v>
      </c>
      <c r="G3460" t="s">
        <v>59</v>
      </c>
      <c r="H3460">
        <v>2023</v>
      </c>
    </row>
    <row r="3461" spans="1:8" x14ac:dyDescent="0.2">
      <c r="A3461">
        <v>231994</v>
      </c>
      <c r="B3461">
        <v>139024</v>
      </c>
      <c r="C3461" t="str">
        <f t="shared" si="54"/>
        <v>3. $50K-250K</v>
      </c>
      <c r="D3461" t="s">
        <v>1094</v>
      </c>
      <c r="E3461" t="s">
        <v>237</v>
      </c>
      <c r="F3461" t="s">
        <v>670</v>
      </c>
      <c r="G3461" t="s">
        <v>59</v>
      </c>
      <c r="H3461">
        <v>2023</v>
      </c>
    </row>
    <row r="3462" spans="1:8" x14ac:dyDescent="0.2">
      <c r="A3462">
        <v>232041</v>
      </c>
      <c r="B3462">
        <v>397000</v>
      </c>
      <c r="C3462" t="str">
        <f t="shared" si="54"/>
        <v>3. $50K-250K</v>
      </c>
      <c r="D3462" t="s">
        <v>1600</v>
      </c>
      <c r="E3462" t="s">
        <v>141</v>
      </c>
      <c r="F3462" t="s">
        <v>668</v>
      </c>
      <c r="G3462" t="s">
        <v>59</v>
      </c>
      <c r="H3462">
        <v>2023</v>
      </c>
    </row>
    <row r="3463" spans="1:8" x14ac:dyDescent="0.2">
      <c r="A3463">
        <v>232042</v>
      </c>
      <c r="B3463">
        <v>486965.4</v>
      </c>
      <c r="C3463" t="str">
        <f t="shared" si="54"/>
        <v>4. $250K-1M</v>
      </c>
      <c r="D3463" t="s">
        <v>785</v>
      </c>
      <c r="E3463" t="s">
        <v>237</v>
      </c>
      <c r="F3463" t="s">
        <v>670</v>
      </c>
      <c r="G3463" t="s">
        <v>59</v>
      </c>
      <c r="H3463">
        <v>2023</v>
      </c>
    </row>
    <row r="3464" spans="1:8" x14ac:dyDescent="0.2">
      <c r="A3464">
        <v>232044</v>
      </c>
      <c r="B3464">
        <v>36000</v>
      </c>
      <c r="C3464" t="str">
        <f t="shared" si="54"/>
        <v>4. $250K-1M</v>
      </c>
      <c r="D3464" t="s">
        <v>771</v>
      </c>
      <c r="E3464" t="s">
        <v>112</v>
      </c>
      <c r="F3464" t="s">
        <v>668</v>
      </c>
      <c r="G3464" t="s">
        <v>59</v>
      </c>
      <c r="H3464">
        <v>2023</v>
      </c>
    </row>
    <row r="3465" spans="1:8" x14ac:dyDescent="0.2">
      <c r="A3465">
        <v>232046</v>
      </c>
      <c r="B3465">
        <v>186018.4</v>
      </c>
      <c r="C3465" t="str">
        <f t="shared" si="54"/>
        <v>2. $10K-50K</v>
      </c>
      <c r="D3465" t="s">
        <v>873</v>
      </c>
      <c r="E3465" t="s">
        <v>237</v>
      </c>
      <c r="F3465" t="s">
        <v>670</v>
      </c>
      <c r="G3465" t="s">
        <v>59</v>
      </c>
      <c r="H3465">
        <v>2023</v>
      </c>
    </row>
    <row r="3466" spans="1:8" x14ac:dyDescent="0.2">
      <c r="A3466">
        <v>232047</v>
      </c>
      <c r="B3466">
        <v>250000</v>
      </c>
      <c r="C3466" t="str">
        <f t="shared" si="54"/>
        <v>3. $50K-250K</v>
      </c>
      <c r="D3466" t="s">
        <v>1116</v>
      </c>
      <c r="E3466" t="s">
        <v>99</v>
      </c>
      <c r="F3466" t="s">
        <v>668</v>
      </c>
      <c r="G3466" t="s">
        <v>59</v>
      </c>
      <c r="H3466">
        <v>2023</v>
      </c>
    </row>
    <row r="3467" spans="1:8" x14ac:dyDescent="0.2">
      <c r="A3467">
        <v>232048</v>
      </c>
      <c r="B3467">
        <v>949054</v>
      </c>
      <c r="C3467" t="str">
        <f t="shared" si="54"/>
        <v>4. $250K-1M</v>
      </c>
      <c r="D3467" t="s">
        <v>813</v>
      </c>
      <c r="E3467" t="s">
        <v>237</v>
      </c>
      <c r="F3467" t="s">
        <v>670</v>
      </c>
      <c r="G3467" t="s">
        <v>59</v>
      </c>
      <c r="H3467">
        <v>2023</v>
      </c>
    </row>
    <row r="3468" spans="1:8" x14ac:dyDescent="0.2">
      <c r="A3468">
        <v>232050</v>
      </c>
      <c r="B3468">
        <v>18000000</v>
      </c>
      <c r="C3468" t="str">
        <f t="shared" si="54"/>
        <v>4. $250K-1M</v>
      </c>
      <c r="D3468" t="s">
        <v>1601</v>
      </c>
      <c r="E3468" t="s">
        <v>99</v>
      </c>
      <c r="F3468" t="s">
        <v>668</v>
      </c>
      <c r="G3468" t="s">
        <v>59</v>
      </c>
      <c r="H3468">
        <v>2023</v>
      </c>
    </row>
    <row r="3469" spans="1:8" x14ac:dyDescent="0.2">
      <c r="A3469">
        <v>232051</v>
      </c>
      <c r="B3469">
        <v>4200000</v>
      </c>
      <c r="C3469" t="str">
        <f t="shared" si="54"/>
        <v>5. $1M+</v>
      </c>
      <c r="D3469" t="s">
        <v>1090</v>
      </c>
      <c r="E3469" t="s">
        <v>99</v>
      </c>
      <c r="F3469" t="s">
        <v>668</v>
      </c>
      <c r="G3469" t="s">
        <v>59</v>
      </c>
      <c r="H3469">
        <v>2023</v>
      </c>
    </row>
    <row r="3470" spans="1:8" x14ac:dyDescent="0.2">
      <c r="A3470">
        <v>232052</v>
      </c>
      <c r="B3470">
        <v>500000</v>
      </c>
      <c r="C3470" t="str">
        <f t="shared" si="54"/>
        <v>5. $1M+</v>
      </c>
      <c r="D3470" t="s">
        <v>1602</v>
      </c>
      <c r="E3470" t="s">
        <v>99</v>
      </c>
      <c r="F3470" t="s">
        <v>668</v>
      </c>
      <c r="G3470" t="s">
        <v>59</v>
      </c>
      <c r="H3470">
        <v>2023</v>
      </c>
    </row>
    <row r="3471" spans="1:8" x14ac:dyDescent="0.2">
      <c r="A3471">
        <v>232060</v>
      </c>
      <c r="B3471">
        <v>1741130</v>
      </c>
      <c r="C3471" t="str">
        <f t="shared" si="54"/>
        <v>4. $250K-1M</v>
      </c>
      <c r="D3471" t="s">
        <v>774</v>
      </c>
      <c r="E3471" t="s">
        <v>42</v>
      </c>
      <c r="F3471" t="s">
        <v>668</v>
      </c>
      <c r="G3471" t="s">
        <v>59</v>
      </c>
      <c r="H3471">
        <v>2023</v>
      </c>
    </row>
    <row r="3472" spans="1:8" x14ac:dyDescent="0.2">
      <c r="A3472">
        <v>232062</v>
      </c>
      <c r="B3472">
        <v>2000000</v>
      </c>
      <c r="C3472" t="str">
        <f t="shared" si="54"/>
        <v>5. $1M+</v>
      </c>
      <c r="D3472" t="s">
        <v>1603</v>
      </c>
      <c r="E3472" t="s">
        <v>42</v>
      </c>
      <c r="F3472" t="s">
        <v>668</v>
      </c>
      <c r="G3472" t="s">
        <v>59</v>
      </c>
      <c r="H3472">
        <v>2023</v>
      </c>
    </row>
    <row r="3473" spans="1:8" x14ac:dyDescent="0.2">
      <c r="A3473">
        <v>232066</v>
      </c>
      <c r="B3473">
        <v>1250000</v>
      </c>
      <c r="C3473" t="str">
        <f t="shared" si="54"/>
        <v>5. $1M+</v>
      </c>
      <c r="D3473" t="s">
        <v>1052</v>
      </c>
      <c r="E3473" t="s">
        <v>237</v>
      </c>
      <c r="F3473" t="s">
        <v>670</v>
      </c>
      <c r="G3473" t="s">
        <v>59</v>
      </c>
      <c r="H3473">
        <v>2023</v>
      </c>
    </row>
    <row r="3474" spans="1:8" x14ac:dyDescent="0.2">
      <c r="A3474">
        <v>232068</v>
      </c>
      <c r="B3474">
        <v>1276144</v>
      </c>
      <c r="C3474" t="str">
        <f t="shared" si="54"/>
        <v>5. $1M+</v>
      </c>
      <c r="D3474" t="s">
        <v>801</v>
      </c>
      <c r="E3474" t="s">
        <v>237</v>
      </c>
      <c r="F3474" t="s">
        <v>670</v>
      </c>
      <c r="G3474" t="s">
        <v>59</v>
      </c>
      <c r="H3474">
        <v>2023</v>
      </c>
    </row>
    <row r="3475" spans="1:8" x14ac:dyDescent="0.2">
      <c r="A3475">
        <v>232069</v>
      </c>
      <c r="B3475">
        <v>139024</v>
      </c>
      <c r="C3475" t="str">
        <f t="shared" si="54"/>
        <v>5. $1M+</v>
      </c>
      <c r="D3475" t="s">
        <v>942</v>
      </c>
      <c r="E3475" t="s">
        <v>237</v>
      </c>
      <c r="F3475" t="s">
        <v>670</v>
      </c>
      <c r="G3475" t="s">
        <v>59</v>
      </c>
      <c r="H3475">
        <v>2023</v>
      </c>
    </row>
    <row r="3476" spans="1:8" x14ac:dyDescent="0.2">
      <c r="A3476">
        <v>232074</v>
      </c>
      <c r="B3476">
        <v>455029.2</v>
      </c>
      <c r="C3476" t="str">
        <f t="shared" si="54"/>
        <v>3. $50K-250K</v>
      </c>
      <c r="D3476" t="s">
        <v>783</v>
      </c>
      <c r="E3476" t="s">
        <v>237</v>
      </c>
      <c r="F3476" t="s">
        <v>670</v>
      </c>
      <c r="G3476" t="s">
        <v>59</v>
      </c>
      <c r="H3476">
        <v>2023</v>
      </c>
    </row>
    <row r="3477" spans="1:8" x14ac:dyDescent="0.2">
      <c r="A3477">
        <v>232077</v>
      </c>
      <c r="B3477">
        <v>41232520.899999999</v>
      </c>
      <c r="C3477" t="str">
        <f t="shared" si="54"/>
        <v>4. $250K-1M</v>
      </c>
      <c r="D3477" t="s">
        <v>23</v>
      </c>
      <c r="E3477" t="s">
        <v>24</v>
      </c>
      <c r="F3477" t="s">
        <v>9</v>
      </c>
      <c r="G3477" t="s">
        <v>10</v>
      </c>
      <c r="H3477">
        <v>2023</v>
      </c>
    </row>
    <row r="3478" spans="1:8" x14ac:dyDescent="0.2">
      <c r="A3478">
        <v>232078</v>
      </c>
      <c r="B3478">
        <v>44522630</v>
      </c>
      <c r="C3478" t="str">
        <f t="shared" si="54"/>
        <v>5. $1M+</v>
      </c>
      <c r="D3478" t="s">
        <v>116</v>
      </c>
      <c r="E3478" t="s">
        <v>24</v>
      </c>
      <c r="F3478" t="s">
        <v>9</v>
      </c>
      <c r="G3478" t="s">
        <v>10</v>
      </c>
      <c r="H3478">
        <v>2023</v>
      </c>
    </row>
    <row r="3479" spans="1:8" x14ac:dyDescent="0.2">
      <c r="A3479">
        <v>232079</v>
      </c>
      <c r="B3479">
        <v>1075967.3999999999</v>
      </c>
      <c r="C3479" t="str">
        <f t="shared" si="54"/>
        <v>5. $1M+</v>
      </c>
      <c r="D3479" t="s">
        <v>828</v>
      </c>
      <c r="E3479" t="s">
        <v>237</v>
      </c>
      <c r="F3479" t="s">
        <v>670</v>
      </c>
      <c r="G3479" t="s">
        <v>59</v>
      </c>
      <c r="H3479">
        <v>2023</v>
      </c>
    </row>
    <row r="3480" spans="1:8" x14ac:dyDescent="0.2">
      <c r="A3480">
        <v>232080</v>
      </c>
      <c r="B3480">
        <v>42322160.399999999</v>
      </c>
      <c r="C3480" t="str">
        <f t="shared" si="54"/>
        <v>5. $1M+</v>
      </c>
      <c r="D3480" t="s">
        <v>23</v>
      </c>
      <c r="E3480" t="s">
        <v>24</v>
      </c>
      <c r="F3480" t="s">
        <v>9</v>
      </c>
      <c r="G3480" t="s">
        <v>10</v>
      </c>
      <c r="H3480">
        <v>2023</v>
      </c>
    </row>
    <row r="3481" spans="1:8" x14ac:dyDescent="0.2">
      <c r="A3481">
        <v>232081</v>
      </c>
      <c r="B3481">
        <v>44522630</v>
      </c>
      <c r="C3481" t="str">
        <f t="shared" si="54"/>
        <v>5. $1M+</v>
      </c>
      <c r="D3481" t="s">
        <v>116</v>
      </c>
      <c r="E3481" t="s">
        <v>24</v>
      </c>
      <c r="F3481" t="s">
        <v>9</v>
      </c>
      <c r="G3481" t="s">
        <v>10</v>
      </c>
      <c r="H3481">
        <v>2023</v>
      </c>
    </row>
    <row r="3482" spans="1:8" x14ac:dyDescent="0.2">
      <c r="A3482">
        <v>232082</v>
      </c>
      <c r="B3482">
        <v>44043719</v>
      </c>
      <c r="C3482" t="str">
        <f t="shared" si="54"/>
        <v>5. $1M+</v>
      </c>
      <c r="D3482" t="s">
        <v>116</v>
      </c>
      <c r="E3482" t="s">
        <v>24</v>
      </c>
      <c r="F3482" t="s">
        <v>9</v>
      </c>
      <c r="G3482" t="s">
        <v>10</v>
      </c>
      <c r="H3482">
        <v>2023</v>
      </c>
    </row>
    <row r="3483" spans="1:8" x14ac:dyDescent="0.2">
      <c r="A3483">
        <v>232083</v>
      </c>
      <c r="B3483">
        <v>38938000</v>
      </c>
      <c r="C3483" t="str">
        <f t="shared" si="54"/>
        <v>5. $1M+</v>
      </c>
      <c r="D3483" t="s">
        <v>26</v>
      </c>
      <c r="E3483" t="s">
        <v>24</v>
      </c>
      <c r="F3483" t="s">
        <v>9</v>
      </c>
      <c r="G3483" t="s">
        <v>10</v>
      </c>
      <c r="H3483">
        <v>2023</v>
      </c>
    </row>
    <row r="3484" spans="1:8" x14ac:dyDescent="0.2">
      <c r="A3484">
        <v>232085</v>
      </c>
      <c r="B3484">
        <v>41232520.899999999</v>
      </c>
      <c r="C3484" t="str">
        <f t="shared" si="54"/>
        <v>5. $1M+</v>
      </c>
      <c r="D3484" t="s">
        <v>23</v>
      </c>
      <c r="E3484" t="s">
        <v>24</v>
      </c>
      <c r="F3484" t="s">
        <v>9</v>
      </c>
      <c r="G3484" t="s">
        <v>10</v>
      </c>
      <c r="H3484">
        <v>2023</v>
      </c>
    </row>
    <row r="3485" spans="1:8" x14ac:dyDescent="0.2">
      <c r="A3485">
        <v>232086</v>
      </c>
      <c r="B3485">
        <v>43315097</v>
      </c>
      <c r="C3485" t="str">
        <f t="shared" si="54"/>
        <v>5. $1M+</v>
      </c>
      <c r="D3485" t="s">
        <v>116</v>
      </c>
      <c r="E3485" t="s">
        <v>24</v>
      </c>
      <c r="F3485" t="s">
        <v>9</v>
      </c>
      <c r="G3485" t="s">
        <v>10</v>
      </c>
      <c r="H3485">
        <v>2023</v>
      </c>
    </row>
    <row r="3486" spans="1:8" x14ac:dyDescent="0.2">
      <c r="A3486">
        <v>232087</v>
      </c>
      <c r="B3486">
        <v>270562.59999999998</v>
      </c>
      <c r="C3486" t="str">
        <f t="shared" si="54"/>
        <v>5. $1M+</v>
      </c>
      <c r="D3486" t="s">
        <v>804</v>
      </c>
      <c r="E3486" t="s">
        <v>237</v>
      </c>
      <c r="F3486" t="s">
        <v>670</v>
      </c>
      <c r="G3486" t="s">
        <v>59</v>
      </c>
      <c r="H3486">
        <v>2023</v>
      </c>
    </row>
    <row r="3487" spans="1:8" x14ac:dyDescent="0.2">
      <c r="A3487">
        <v>232090</v>
      </c>
      <c r="B3487">
        <v>453376</v>
      </c>
      <c r="C3487" t="str">
        <f t="shared" si="54"/>
        <v>4. $250K-1M</v>
      </c>
      <c r="D3487" t="s">
        <v>1094</v>
      </c>
      <c r="E3487" t="s">
        <v>237</v>
      </c>
      <c r="F3487" t="s">
        <v>670</v>
      </c>
      <c r="G3487" t="s">
        <v>59</v>
      </c>
      <c r="H3487">
        <v>2023</v>
      </c>
    </row>
    <row r="3488" spans="1:8" x14ac:dyDescent="0.2">
      <c r="A3488">
        <v>232094</v>
      </c>
      <c r="B3488">
        <v>247296</v>
      </c>
      <c r="C3488" t="str">
        <f t="shared" si="54"/>
        <v>4. $250K-1M</v>
      </c>
      <c r="D3488" t="s">
        <v>1094</v>
      </c>
      <c r="E3488" t="s">
        <v>237</v>
      </c>
      <c r="F3488" t="s">
        <v>670</v>
      </c>
      <c r="G3488" t="s">
        <v>59</v>
      </c>
      <c r="H3488">
        <v>2023</v>
      </c>
    </row>
    <row r="3489" spans="1:8" x14ac:dyDescent="0.2">
      <c r="A3489">
        <v>232132</v>
      </c>
      <c r="B3489">
        <v>8067750</v>
      </c>
      <c r="C3489" t="str">
        <f t="shared" si="54"/>
        <v>3. $50K-250K</v>
      </c>
      <c r="D3489" t="s">
        <v>342</v>
      </c>
      <c r="E3489" t="s">
        <v>49</v>
      </c>
      <c r="F3489" t="s">
        <v>12</v>
      </c>
      <c r="G3489" t="s">
        <v>10</v>
      </c>
      <c r="H3489">
        <v>2023</v>
      </c>
    </row>
    <row r="3490" spans="1:8" x14ac:dyDescent="0.2">
      <c r="A3490">
        <v>232137</v>
      </c>
      <c r="B3490">
        <v>4675536</v>
      </c>
      <c r="C3490" t="str">
        <f t="shared" si="54"/>
        <v>5. $1M+</v>
      </c>
      <c r="D3490" t="s">
        <v>343</v>
      </c>
      <c r="E3490" t="s">
        <v>49</v>
      </c>
      <c r="F3490" t="s">
        <v>12</v>
      </c>
      <c r="G3490" t="s">
        <v>10</v>
      </c>
      <c r="H3490">
        <v>2023</v>
      </c>
    </row>
    <row r="3491" spans="1:8" x14ac:dyDescent="0.2">
      <c r="A3491">
        <v>232149</v>
      </c>
      <c r="B3491">
        <v>4902837.0999999996</v>
      </c>
      <c r="C3491" t="str">
        <f t="shared" si="54"/>
        <v>5. $1M+</v>
      </c>
      <c r="D3491" t="s">
        <v>342</v>
      </c>
      <c r="E3491" t="s">
        <v>49</v>
      </c>
      <c r="F3491" t="s">
        <v>12</v>
      </c>
      <c r="G3491" t="s">
        <v>10</v>
      </c>
      <c r="H3491">
        <v>2023</v>
      </c>
    </row>
    <row r="3492" spans="1:8" x14ac:dyDescent="0.2">
      <c r="A3492">
        <v>232150</v>
      </c>
      <c r="B3492">
        <v>8149512</v>
      </c>
      <c r="C3492" t="str">
        <f t="shared" si="54"/>
        <v>5. $1M+</v>
      </c>
      <c r="D3492" t="s">
        <v>343</v>
      </c>
      <c r="E3492" t="s">
        <v>49</v>
      </c>
      <c r="F3492" t="s">
        <v>12</v>
      </c>
      <c r="G3492" t="s">
        <v>10</v>
      </c>
      <c r="H3492">
        <v>2023</v>
      </c>
    </row>
    <row r="3493" spans="1:8" x14ac:dyDescent="0.2">
      <c r="A3493">
        <v>232210</v>
      </c>
      <c r="B3493">
        <v>194974.7</v>
      </c>
      <c r="C3493" t="str">
        <f t="shared" si="54"/>
        <v>5. $1M+</v>
      </c>
      <c r="D3493" t="s">
        <v>763</v>
      </c>
      <c r="E3493" t="s">
        <v>237</v>
      </c>
      <c r="F3493" t="s">
        <v>670</v>
      </c>
      <c r="G3493" t="s">
        <v>59</v>
      </c>
      <c r="H3493">
        <v>2023</v>
      </c>
    </row>
    <row r="3494" spans="1:8" x14ac:dyDescent="0.2">
      <c r="A3494">
        <v>232286</v>
      </c>
      <c r="B3494">
        <v>6884926</v>
      </c>
      <c r="C3494" t="str">
        <f t="shared" si="54"/>
        <v>3. $50K-250K</v>
      </c>
      <c r="D3494" t="s">
        <v>115</v>
      </c>
      <c r="E3494" t="s">
        <v>8</v>
      </c>
      <c r="F3494" t="s">
        <v>338</v>
      </c>
      <c r="G3494" t="s">
        <v>10</v>
      </c>
      <c r="H3494">
        <v>2023</v>
      </c>
    </row>
    <row r="3495" spans="1:8" x14ac:dyDescent="0.2">
      <c r="A3495">
        <v>232302</v>
      </c>
      <c r="B3495">
        <v>250000</v>
      </c>
      <c r="C3495" t="str">
        <f t="shared" si="54"/>
        <v>5. $1M+</v>
      </c>
      <c r="D3495" t="s">
        <v>344</v>
      </c>
      <c r="E3495" t="s">
        <v>52</v>
      </c>
      <c r="F3495" t="s">
        <v>106</v>
      </c>
      <c r="G3495" t="s">
        <v>10</v>
      </c>
      <c r="H3495">
        <v>2023</v>
      </c>
    </row>
    <row r="3496" spans="1:8" x14ac:dyDescent="0.2">
      <c r="A3496">
        <v>232325</v>
      </c>
      <c r="B3496">
        <v>50233199.200000003</v>
      </c>
      <c r="C3496" t="str">
        <f t="shared" si="54"/>
        <v>4. $250K-1M</v>
      </c>
      <c r="D3496" t="s">
        <v>345</v>
      </c>
      <c r="E3496" t="s">
        <v>24</v>
      </c>
      <c r="F3496" t="s">
        <v>12</v>
      </c>
      <c r="G3496" t="s">
        <v>10</v>
      </c>
      <c r="H3496">
        <v>2023</v>
      </c>
    </row>
    <row r="3497" spans="1:8" x14ac:dyDescent="0.2">
      <c r="A3497">
        <v>232326</v>
      </c>
      <c r="B3497">
        <v>1075200</v>
      </c>
      <c r="C3497" t="str">
        <f t="shared" si="54"/>
        <v>5. $1M+</v>
      </c>
      <c r="D3497" t="s">
        <v>346</v>
      </c>
      <c r="E3497" t="s">
        <v>24</v>
      </c>
      <c r="F3497" t="s">
        <v>22</v>
      </c>
      <c r="G3497" t="s">
        <v>10</v>
      </c>
      <c r="H3497">
        <v>2023</v>
      </c>
    </row>
    <row r="3498" spans="1:8" x14ac:dyDescent="0.2">
      <c r="A3498">
        <v>232432</v>
      </c>
      <c r="B3498">
        <v>109353.4</v>
      </c>
      <c r="C3498" t="str">
        <f t="shared" si="54"/>
        <v>5. $1M+</v>
      </c>
      <c r="D3498" t="s">
        <v>682</v>
      </c>
      <c r="E3498" t="s">
        <v>237</v>
      </c>
      <c r="F3498" t="s">
        <v>670</v>
      </c>
      <c r="G3498" t="s">
        <v>59</v>
      </c>
      <c r="H3498">
        <v>2023</v>
      </c>
    </row>
    <row r="3499" spans="1:8" x14ac:dyDescent="0.2">
      <c r="A3499">
        <v>232433</v>
      </c>
      <c r="B3499">
        <v>237500</v>
      </c>
      <c r="C3499" t="str">
        <f t="shared" si="54"/>
        <v>3. $50K-250K</v>
      </c>
      <c r="D3499" t="s">
        <v>857</v>
      </c>
      <c r="E3499" t="s">
        <v>237</v>
      </c>
      <c r="F3499" t="s">
        <v>670</v>
      </c>
      <c r="G3499" t="s">
        <v>59</v>
      </c>
      <c r="H3499">
        <v>2023</v>
      </c>
    </row>
    <row r="3500" spans="1:8" x14ac:dyDescent="0.2">
      <c r="A3500">
        <v>232434</v>
      </c>
      <c r="B3500">
        <v>900000</v>
      </c>
      <c r="C3500" t="str">
        <f t="shared" si="54"/>
        <v>3. $50K-250K</v>
      </c>
      <c r="D3500" t="s">
        <v>1604</v>
      </c>
      <c r="E3500" t="s">
        <v>99</v>
      </c>
      <c r="F3500" t="s">
        <v>668</v>
      </c>
      <c r="G3500" t="s">
        <v>59</v>
      </c>
      <c r="H3500">
        <v>2023</v>
      </c>
    </row>
    <row r="3501" spans="1:8" x14ac:dyDescent="0.2">
      <c r="A3501">
        <v>232435</v>
      </c>
      <c r="B3501">
        <v>348398</v>
      </c>
      <c r="C3501" t="str">
        <f t="shared" si="54"/>
        <v>4. $250K-1M</v>
      </c>
      <c r="D3501" t="s">
        <v>507</v>
      </c>
      <c r="E3501" t="s">
        <v>237</v>
      </c>
      <c r="F3501" t="s">
        <v>670</v>
      </c>
      <c r="G3501" t="s">
        <v>59</v>
      </c>
      <c r="H3501">
        <v>2023</v>
      </c>
    </row>
    <row r="3502" spans="1:8" x14ac:dyDescent="0.2">
      <c r="A3502">
        <v>232436</v>
      </c>
      <c r="B3502">
        <v>198022.9</v>
      </c>
      <c r="C3502" t="str">
        <f t="shared" si="54"/>
        <v>4. $250K-1M</v>
      </c>
      <c r="D3502" t="s">
        <v>980</v>
      </c>
      <c r="E3502" t="s">
        <v>237</v>
      </c>
      <c r="F3502" t="s">
        <v>670</v>
      </c>
      <c r="G3502" t="s">
        <v>59</v>
      </c>
      <c r="H3502">
        <v>2023</v>
      </c>
    </row>
    <row r="3503" spans="1:8" x14ac:dyDescent="0.2">
      <c r="A3503">
        <v>232437</v>
      </c>
      <c r="B3503">
        <v>101200</v>
      </c>
      <c r="C3503" t="str">
        <f t="shared" si="54"/>
        <v>3. $50K-250K</v>
      </c>
      <c r="D3503" t="s">
        <v>865</v>
      </c>
      <c r="E3503" t="s">
        <v>237</v>
      </c>
      <c r="F3503" t="s">
        <v>670</v>
      </c>
      <c r="G3503" t="s">
        <v>59</v>
      </c>
      <c r="H3503">
        <v>2023</v>
      </c>
    </row>
    <row r="3504" spans="1:8" x14ac:dyDescent="0.2">
      <c r="A3504">
        <v>232448</v>
      </c>
      <c r="B3504">
        <v>14854.0999999999</v>
      </c>
      <c r="C3504" t="str">
        <f t="shared" si="54"/>
        <v>3. $50K-250K</v>
      </c>
      <c r="D3504" t="s">
        <v>832</v>
      </c>
      <c r="E3504" t="s">
        <v>237</v>
      </c>
      <c r="F3504" t="s">
        <v>670</v>
      </c>
      <c r="G3504" t="s">
        <v>59</v>
      </c>
      <c r="H3504">
        <v>2023</v>
      </c>
    </row>
    <row r="3505" spans="1:8" x14ac:dyDescent="0.2">
      <c r="A3505">
        <v>232451</v>
      </c>
      <c r="B3505">
        <v>391040</v>
      </c>
      <c r="C3505" t="str">
        <f t="shared" si="54"/>
        <v>2. $10K-50K</v>
      </c>
      <c r="D3505" t="s">
        <v>1513</v>
      </c>
      <c r="E3505" t="s">
        <v>237</v>
      </c>
      <c r="F3505" t="s">
        <v>670</v>
      </c>
      <c r="G3505" t="s">
        <v>59</v>
      </c>
      <c r="H3505">
        <v>2023</v>
      </c>
    </row>
    <row r="3506" spans="1:8" x14ac:dyDescent="0.2">
      <c r="A3506">
        <v>232460</v>
      </c>
      <c r="B3506">
        <v>30000</v>
      </c>
      <c r="C3506" t="str">
        <f t="shared" si="54"/>
        <v>4. $250K-1M</v>
      </c>
      <c r="D3506" t="s">
        <v>1432</v>
      </c>
      <c r="E3506" t="s">
        <v>432</v>
      </c>
      <c r="F3506" t="s">
        <v>670</v>
      </c>
      <c r="G3506" t="s">
        <v>59</v>
      </c>
      <c r="H3506">
        <v>2023</v>
      </c>
    </row>
    <row r="3507" spans="1:8" x14ac:dyDescent="0.2">
      <c r="A3507">
        <v>232461</v>
      </c>
      <c r="B3507">
        <v>40000</v>
      </c>
      <c r="C3507" t="str">
        <f t="shared" si="54"/>
        <v>2. $10K-50K</v>
      </c>
      <c r="D3507" t="s">
        <v>1431</v>
      </c>
      <c r="E3507" t="s">
        <v>432</v>
      </c>
      <c r="F3507" t="s">
        <v>670</v>
      </c>
      <c r="G3507" t="s">
        <v>59</v>
      </c>
      <c r="H3507">
        <v>2023</v>
      </c>
    </row>
    <row r="3508" spans="1:8" x14ac:dyDescent="0.2">
      <c r="A3508">
        <v>232462</v>
      </c>
      <c r="B3508">
        <v>55000</v>
      </c>
      <c r="C3508" t="str">
        <f t="shared" si="54"/>
        <v>2. $10K-50K</v>
      </c>
      <c r="D3508" t="s">
        <v>967</v>
      </c>
      <c r="E3508" t="s">
        <v>432</v>
      </c>
      <c r="F3508" t="s">
        <v>670</v>
      </c>
      <c r="G3508" t="s">
        <v>59</v>
      </c>
      <c r="H3508">
        <v>2023</v>
      </c>
    </row>
    <row r="3509" spans="1:8" x14ac:dyDescent="0.2">
      <c r="A3509">
        <v>232464</v>
      </c>
      <c r="B3509">
        <v>20000</v>
      </c>
      <c r="C3509" t="str">
        <f t="shared" si="54"/>
        <v>3. $50K-250K</v>
      </c>
      <c r="D3509" t="s">
        <v>991</v>
      </c>
      <c r="E3509" t="s">
        <v>432</v>
      </c>
      <c r="F3509" t="s">
        <v>670</v>
      </c>
      <c r="G3509" t="s">
        <v>59</v>
      </c>
      <c r="H3509">
        <v>2023</v>
      </c>
    </row>
    <row r="3510" spans="1:8" x14ac:dyDescent="0.2">
      <c r="A3510">
        <v>232466</v>
      </c>
      <c r="B3510">
        <v>85000</v>
      </c>
      <c r="C3510" t="str">
        <f t="shared" si="54"/>
        <v>2. $10K-50K</v>
      </c>
      <c r="D3510" t="s">
        <v>804</v>
      </c>
      <c r="E3510" t="s">
        <v>432</v>
      </c>
      <c r="F3510" t="s">
        <v>670</v>
      </c>
      <c r="G3510" t="s">
        <v>59</v>
      </c>
      <c r="H3510">
        <v>2023</v>
      </c>
    </row>
    <row r="3511" spans="1:8" x14ac:dyDescent="0.2">
      <c r="A3511">
        <v>232467</v>
      </c>
      <c r="B3511">
        <v>20000</v>
      </c>
      <c r="C3511" t="str">
        <f t="shared" si="54"/>
        <v>3. $50K-250K</v>
      </c>
      <c r="D3511" t="s">
        <v>1455</v>
      </c>
      <c r="E3511" t="s">
        <v>432</v>
      </c>
      <c r="F3511" t="s">
        <v>670</v>
      </c>
      <c r="G3511" t="s">
        <v>59</v>
      </c>
      <c r="H3511">
        <v>2023</v>
      </c>
    </row>
    <row r="3512" spans="1:8" x14ac:dyDescent="0.2">
      <c r="A3512">
        <v>232468</v>
      </c>
      <c r="B3512">
        <v>40000</v>
      </c>
      <c r="C3512" t="str">
        <f t="shared" si="54"/>
        <v>2. $10K-50K</v>
      </c>
      <c r="D3512" t="s">
        <v>1433</v>
      </c>
      <c r="E3512" t="s">
        <v>432</v>
      </c>
      <c r="F3512" t="s">
        <v>670</v>
      </c>
      <c r="G3512" t="s">
        <v>59</v>
      </c>
      <c r="H3512">
        <v>2023</v>
      </c>
    </row>
    <row r="3513" spans="1:8" x14ac:dyDescent="0.2">
      <c r="A3513">
        <v>232469</v>
      </c>
      <c r="B3513">
        <v>40000</v>
      </c>
      <c r="C3513" t="str">
        <f t="shared" si="54"/>
        <v>2. $10K-50K</v>
      </c>
      <c r="D3513" t="s">
        <v>1434</v>
      </c>
      <c r="E3513" t="s">
        <v>432</v>
      </c>
      <c r="F3513" t="s">
        <v>670</v>
      </c>
      <c r="G3513" t="s">
        <v>59</v>
      </c>
      <c r="H3513">
        <v>2023</v>
      </c>
    </row>
    <row r="3514" spans="1:8" x14ac:dyDescent="0.2">
      <c r="A3514">
        <v>232471</v>
      </c>
      <c r="B3514">
        <v>6000</v>
      </c>
      <c r="C3514" t="str">
        <f t="shared" si="54"/>
        <v>2. $10K-50K</v>
      </c>
      <c r="D3514" t="s">
        <v>827</v>
      </c>
      <c r="E3514" t="s">
        <v>368</v>
      </c>
      <c r="F3514" t="s">
        <v>670</v>
      </c>
      <c r="G3514" t="s">
        <v>59</v>
      </c>
      <c r="H3514">
        <v>2023</v>
      </c>
    </row>
    <row r="3515" spans="1:8" x14ac:dyDescent="0.2">
      <c r="A3515">
        <v>232472</v>
      </c>
      <c r="B3515">
        <v>6000</v>
      </c>
      <c r="C3515" t="str">
        <f t="shared" si="54"/>
        <v>1. Under $10K</v>
      </c>
      <c r="D3515" t="s">
        <v>827</v>
      </c>
      <c r="E3515" t="s">
        <v>368</v>
      </c>
      <c r="F3515" t="s">
        <v>670</v>
      </c>
      <c r="G3515" t="s">
        <v>59</v>
      </c>
      <c r="H3515">
        <v>2023</v>
      </c>
    </row>
    <row r="3516" spans="1:8" x14ac:dyDescent="0.2">
      <c r="A3516">
        <v>232473</v>
      </c>
      <c r="B3516">
        <v>4758</v>
      </c>
      <c r="C3516" t="str">
        <f t="shared" si="54"/>
        <v>1. Under $10K</v>
      </c>
      <c r="D3516" t="s">
        <v>827</v>
      </c>
      <c r="E3516" t="s">
        <v>368</v>
      </c>
      <c r="F3516" t="s">
        <v>670</v>
      </c>
      <c r="G3516" t="s">
        <v>59</v>
      </c>
      <c r="H3516">
        <v>2023</v>
      </c>
    </row>
    <row r="3517" spans="1:8" x14ac:dyDescent="0.2">
      <c r="A3517">
        <v>232474</v>
      </c>
      <c r="B3517">
        <v>139024</v>
      </c>
      <c r="C3517" t="str">
        <f t="shared" si="54"/>
        <v>1. Under $10K</v>
      </c>
      <c r="D3517" t="s">
        <v>1605</v>
      </c>
      <c r="E3517" t="s">
        <v>237</v>
      </c>
      <c r="F3517" t="s">
        <v>670</v>
      </c>
      <c r="G3517" t="s">
        <v>59</v>
      </c>
      <c r="H3517">
        <v>2023</v>
      </c>
    </row>
    <row r="3518" spans="1:8" x14ac:dyDescent="0.2">
      <c r="A3518">
        <v>232501</v>
      </c>
      <c r="B3518">
        <v>45000</v>
      </c>
      <c r="C3518" t="str">
        <f t="shared" si="54"/>
        <v>3. $50K-250K</v>
      </c>
      <c r="D3518" t="s">
        <v>1312</v>
      </c>
      <c r="E3518" t="s">
        <v>112</v>
      </c>
      <c r="F3518" t="s">
        <v>668</v>
      </c>
      <c r="G3518" t="s">
        <v>59</v>
      </c>
      <c r="H3518">
        <v>2023</v>
      </c>
    </row>
    <row r="3519" spans="1:8" x14ac:dyDescent="0.2">
      <c r="A3519">
        <v>232502</v>
      </c>
      <c r="B3519">
        <v>60000</v>
      </c>
      <c r="C3519" t="str">
        <f t="shared" si="54"/>
        <v>2. $10K-50K</v>
      </c>
      <c r="D3519" t="s">
        <v>1276</v>
      </c>
      <c r="E3519" t="s">
        <v>112</v>
      </c>
      <c r="F3519" t="s">
        <v>668</v>
      </c>
      <c r="G3519" t="s">
        <v>59</v>
      </c>
      <c r="H3519">
        <v>2023</v>
      </c>
    </row>
    <row r="3520" spans="1:8" x14ac:dyDescent="0.2">
      <c r="A3520">
        <v>232503</v>
      </c>
      <c r="B3520">
        <v>50000</v>
      </c>
      <c r="C3520" t="str">
        <f t="shared" si="54"/>
        <v>3. $50K-250K</v>
      </c>
      <c r="D3520" t="s">
        <v>942</v>
      </c>
      <c r="E3520" t="s">
        <v>112</v>
      </c>
      <c r="F3520" t="s">
        <v>668</v>
      </c>
      <c r="G3520" t="s">
        <v>59</v>
      </c>
      <c r="H3520">
        <v>2023</v>
      </c>
    </row>
    <row r="3521" spans="1:8" x14ac:dyDescent="0.2">
      <c r="A3521">
        <v>232504</v>
      </c>
      <c r="B3521">
        <v>45000</v>
      </c>
      <c r="C3521" t="str">
        <f t="shared" si="54"/>
        <v>3. $50K-250K</v>
      </c>
      <c r="D3521" t="s">
        <v>1606</v>
      </c>
      <c r="E3521" t="s">
        <v>112</v>
      </c>
      <c r="F3521" t="s">
        <v>668</v>
      </c>
      <c r="G3521" t="s">
        <v>59</v>
      </c>
      <c r="H3521">
        <v>2023</v>
      </c>
    </row>
    <row r="3522" spans="1:8" x14ac:dyDescent="0.2">
      <c r="A3522">
        <v>232506</v>
      </c>
      <c r="B3522">
        <v>2500</v>
      </c>
      <c r="C3522" t="str">
        <f t="shared" si="54"/>
        <v>2. $10K-50K</v>
      </c>
      <c r="D3522" t="s">
        <v>1607</v>
      </c>
      <c r="E3522" t="s">
        <v>112</v>
      </c>
      <c r="F3522" t="s">
        <v>668</v>
      </c>
      <c r="G3522" t="s">
        <v>59</v>
      </c>
      <c r="H3522">
        <v>2023</v>
      </c>
    </row>
    <row r="3523" spans="1:8" x14ac:dyDescent="0.2">
      <c r="A3523">
        <v>232508</v>
      </c>
      <c r="B3523">
        <v>20000</v>
      </c>
      <c r="C3523" t="str">
        <f t="shared" ref="C3523:C3586" si="55">IF(B3522&lt;10000,"1. Under $10K",IF(B3522&lt;50000,"2. $10K-50K",IF(B3522&lt;250000,"3. $50K-250K",IF(B3522&lt;1000000,"4. $250K-1M","5. $1M+"))))</f>
        <v>1. Under $10K</v>
      </c>
      <c r="D3523" t="s">
        <v>1029</v>
      </c>
      <c r="E3523" t="s">
        <v>112</v>
      </c>
      <c r="F3523" t="s">
        <v>668</v>
      </c>
      <c r="G3523" t="s">
        <v>59</v>
      </c>
      <c r="H3523">
        <v>2023</v>
      </c>
    </row>
    <row r="3524" spans="1:8" x14ac:dyDescent="0.2">
      <c r="A3524">
        <v>232515</v>
      </c>
      <c r="B3524">
        <v>22000</v>
      </c>
      <c r="C3524" t="str">
        <f t="shared" si="55"/>
        <v>2. $10K-50K</v>
      </c>
      <c r="D3524" t="s">
        <v>1608</v>
      </c>
      <c r="E3524" t="s">
        <v>112</v>
      </c>
      <c r="F3524" t="s">
        <v>668</v>
      </c>
      <c r="G3524" t="s">
        <v>59</v>
      </c>
      <c r="H3524">
        <v>2023</v>
      </c>
    </row>
    <row r="3525" spans="1:8" x14ac:dyDescent="0.2">
      <c r="A3525">
        <v>232543</v>
      </c>
      <c r="B3525">
        <v>20000</v>
      </c>
      <c r="C3525" t="str">
        <f t="shared" si="55"/>
        <v>2. $10K-50K</v>
      </c>
      <c r="D3525" t="s">
        <v>1439</v>
      </c>
      <c r="E3525" t="s">
        <v>432</v>
      </c>
      <c r="F3525" t="s">
        <v>670</v>
      </c>
      <c r="G3525" t="s">
        <v>59</v>
      </c>
      <c r="H3525">
        <v>2023</v>
      </c>
    </row>
    <row r="3526" spans="1:8" x14ac:dyDescent="0.2">
      <c r="A3526">
        <v>232544</v>
      </c>
      <c r="B3526">
        <v>48402</v>
      </c>
      <c r="C3526" t="str">
        <f t="shared" si="55"/>
        <v>2. $10K-50K</v>
      </c>
      <c r="D3526" t="s">
        <v>1609</v>
      </c>
      <c r="E3526" t="s">
        <v>432</v>
      </c>
      <c r="F3526" t="s">
        <v>670</v>
      </c>
      <c r="G3526" t="s">
        <v>59</v>
      </c>
      <c r="H3526">
        <v>2023</v>
      </c>
    </row>
    <row r="3527" spans="1:8" x14ac:dyDescent="0.2">
      <c r="A3527">
        <v>232652</v>
      </c>
      <c r="B3527">
        <v>300000</v>
      </c>
      <c r="C3527" t="str">
        <f t="shared" si="55"/>
        <v>2. $10K-50K</v>
      </c>
      <c r="D3527" t="s">
        <v>1610</v>
      </c>
      <c r="E3527" t="s">
        <v>432</v>
      </c>
      <c r="F3527" t="s">
        <v>670</v>
      </c>
      <c r="G3527" t="s">
        <v>44</v>
      </c>
      <c r="H3527">
        <v>2023</v>
      </c>
    </row>
    <row r="3528" spans="1:8" x14ac:dyDescent="0.2">
      <c r="A3528">
        <v>232686</v>
      </c>
      <c r="B3528">
        <v>40000</v>
      </c>
      <c r="C3528" t="str">
        <f t="shared" si="55"/>
        <v>4. $250K-1M</v>
      </c>
      <c r="D3528" t="s">
        <v>1611</v>
      </c>
      <c r="E3528" t="s">
        <v>825</v>
      </c>
      <c r="F3528" t="s">
        <v>670</v>
      </c>
      <c r="G3528" t="s">
        <v>59</v>
      </c>
      <c r="H3528">
        <v>2023</v>
      </c>
    </row>
    <row r="3529" spans="1:8" x14ac:dyDescent="0.2">
      <c r="A3529">
        <v>232687</v>
      </c>
      <c r="B3529">
        <v>272426.59999999998</v>
      </c>
      <c r="C3529" t="str">
        <f t="shared" si="55"/>
        <v>2. $10K-50K</v>
      </c>
      <c r="D3529" t="s">
        <v>708</v>
      </c>
      <c r="E3529" t="s">
        <v>237</v>
      </c>
      <c r="F3529" t="s">
        <v>670</v>
      </c>
      <c r="G3529" t="s">
        <v>59</v>
      </c>
      <c r="H3529">
        <v>2023</v>
      </c>
    </row>
    <row r="3530" spans="1:8" x14ac:dyDescent="0.2">
      <c r="A3530">
        <v>232688</v>
      </c>
      <c r="B3530">
        <v>263419.3</v>
      </c>
      <c r="C3530" t="str">
        <f t="shared" si="55"/>
        <v>4. $250K-1M</v>
      </c>
      <c r="D3530" t="s">
        <v>708</v>
      </c>
      <c r="E3530" t="s">
        <v>237</v>
      </c>
      <c r="F3530" t="s">
        <v>670</v>
      </c>
      <c r="G3530" t="s">
        <v>59</v>
      </c>
      <c r="H3530">
        <v>2023</v>
      </c>
    </row>
    <row r="3531" spans="1:8" x14ac:dyDescent="0.2">
      <c r="A3531">
        <v>232727</v>
      </c>
      <c r="B3531">
        <v>61050.1</v>
      </c>
      <c r="C3531" t="str">
        <f t="shared" si="55"/>
        <v>4. $250K-1M</v>
      </c>
      <c r="D3531" t="s">
        <v>919</v>
      </c>
      <c r="E3531" t="s">
        <v>825</v>
      </c>
      <c r="F3531" t="s">
        <v>670</v>
      </c>
      <c r="G3531" t="s">
        <v>59</v>
      </c>
      <c r="H3531">
        <v>2023</v>
      </c>
    </row>
    <row r="3532" spans="1:8" x14ac:dyDescent="0.2">
      <c r="A3532">
        <v>232736</v>
      </c>
      <c r="B3532">
        <v>29575.7</v>
      </c>
      <c r="C3532" t="str">
        <f t="shared" si="55"/>
        <v>3. $50K-250K</v>
      </c>
      <c r="D3532" t="s">
        <v>949</v>
      </c>
      <c r="E3532" t="s">
        <v>825</v>
      </c>
      <c r="F3532" t="s">
        <v>670</v>
      </c>
      <c r="G3532" t="s">
        <v>59</v>
      </c>
      <c r="H3532">
        <v>2023</v>
      </c>
    </row>
    <row r="3533" spans="1:8" x14ac:dyDescent="0.2">
      <c r="A3533">
        <v>232739</v>
      </c>
      <c r="B3533">
        <v>28664.799999999999</v>
      </c>
      <c r="C3533" t="str">
        <f t="shared" si="55"/>
        <v>2. $10K-50K</v>
      </c>
      <c r="D3533" t="s">
        <v>952</v>
      </c>
      <c r="E3533" t="s">
        <v>825</v>
      </c>
      <c r="F3533" t="s">
        <v>670</v>
      </c>
      <c r="G3533" t="s">
        <v>59</v>
      </c>
      <c r="H3533">
        <v>2023</v>
      </c>
    </row>
    <row r="3534" spans="1:8" x14ac:dyDescent="0.2">
      <c r="A3534">
        <v>232740</v>
      </c>
      <c r="B3534">
        <v>266534.8</v>
      </c>
      <c r="C3534" t="str">
        <f t="shared" si="55"/>
        <v>2. $10K-50K</v>
      </c>
      <c r="D3534" t="s">
        <v>964</v>
      </c>
      <c r="E3534" t="s">
        <v>825</v>
      </c>
      <c r="F3534" t="s">
        <v>670</v>
      </c>
      <c r="G3534" t="s">
        <v>59</v>
      </c>
      <c r="H3534">
        <v>2023</v>
      </c>
    </row>
    <row r="3535" spans="1:8" x14ac:dyDescent="0.2">
      <c r="A3535">
        <v>232775</v>
      </c>
      <c r="B3535">
        <v>20000</v>
      </c>
      <c r="C3535" t="str">
        <f t="shared" si="55"/>
        <v>4. $250K-1M</v>
      </c>
      <c r="D3535" t="s">
        <v>817</v>
      </c>
      <c r="E3535" t="s">
        <v>432</v>
      </c>
      <c r="F3535" t="s">
        <v>670</v>
      </c>
      <c r="G3535" t="s">
        <v>59</v>
      </c>
      <c r="H3535">
        <v>2023</v>
      </c>
    </row>
    <row r="3536" spans="1:8" x14ac:dyDescent="0.2">
      <c r="A3536">
        <v>232789</v>
      </c>
      <c r="B3536">
        <v>217851.8</v>
      </c>
      <c r="C3536" t="str">
        <f t="shared" si="55"/>
        <v>2. $10K-50K</v>
      </c>
      <c r="D3536" t="s">
        <v>694</v>
      </c>
      <c r="E3536" t="s">
        <v>42</v>
      </c>
      <c r="F3536" t="s">
        <v>670</v>
      </c>
      <c r="G3536" t="s">
        <v>59</v>
      </c>
      <c r="H3536">
        <v>2023</v>
      </c>
    </row>
    <row r="3537" spans="1:8" x14ac:dyDescent="0.2">
      <c r="A3537">
        <v>232790</v>
      </c>
      <c r="B3537">
        <v>1133787.7</v>
      </c>
      <c r="C3537" t="str">
        <f t="shared" si="55"/>
        <v>3. $50K-250K</v>
      </c>
      <c r="D3537" t="s">
        <v>749</v>
      </c>
      <c r="E3537" t="s">
        <v>42</v>
      </c>
      <c r="F3537" t="s">
        <v>670</v>
      </c>
      <c r="G3537" t="s">
        <v>59</v>
      </c>
      <c r="H3537">
        <v>2023</v>
      </c>
    </row>
    <row r="3538" spans="1:8" x14ac:dyDescent="0.2">
      <c r="A3538">
        <v>232791</v>
      </c>
      <c r="B3538">
        <v>436286.1</v>
      </c>
      <c r="C3538" t="str">
        <f t="shared" si="55"/>
        <v>5. $1M+</v>
      </c>
      <c r="D3538" t="s">
        <v>1084</v>
      </c>
      <c r="E3538" t="s">
        <v>42</v>
      </c>
      <c r="F3538" t="s">
        <v>670</v>
      </c>
      <c r="G3538" t="s">
        <v>59</v>
      </c>
      <c r="H3538">
        <v>2023</v>
      </c>
    </row>
    <row r="3539" spans="1:8" x14ac:dyDescent="0.2">
      <c r="A3539">
        <v>232802</v>
      </c>
      <c r="B3539">
        <v>355638</v>
      </c>
      <c r="C3539" t="str">
        <f t="shared" si="55"/>
        <v>4. $250K-1M</v>
      </c>
      <c r="D3539" t="s">
        <v>839</v>
      </c>
      <c r="E3539" t="s">
        <v>42</v>
      </c>
      <c r="F3539" t="s">
        <v>670</v>
      </c>
      <c r="G3539" t="s">
        <v>59</v>
      </c>
      <c r="H3539">
        <v>2023</v>
      </c>
    </row>
    <row r="3540" spans="1:8" x14ac:dyDescent="0.2">
      <c r="A3540">
        <v>232803</v>
      </c>
      <c r="B3540">
        <v>319326.7</v>
      </c>
      <c r="C3540" t="str">
        <f t="shared" si="55"/>
        <v>4. $250K-1M</v>
      </c>
      <c r="D3540" t="s">
        <v>985</v>
      </c>
      <c r="E3540" t="s">
        <v>42</v>
      </c>
      <c r="F3540" t="s">
        <v>670</v>
      </c>
      <c r="G3540" t="s">
        <v>59</v>
      </c>
      <c r="H3540">
        <v>2023</v>
      </c>
    </row>
    <row r="3541" spans="1:8" x14ac:dyDescent="0.2">
      <c r="A3541">
        <v>232804</v>
      </c>
      <c r="B3541">
        <v>20000</v>
      </c>
      <c r="C3541" t="str">
        <f t="shared" si="55"/>
        <v>4. $250K-1M</v>
      </c>
      <c r="D3541" t="s">
        <v>1434</v>
      </c>
      <c r="E3541" t="s">
        <v>432</v>
      </c>
      <c r="F3541" t="s">
        <v>670</v>
      </c>
      <c r="G3541" t="s">
        <v>59</v>
      </c>
      <c r="H3541">
        <v>2023</v>
      </c>
    </row>
    <row r="3542" spans="1:8" x14ac:dyDescent="0.2">
      <c r="A3542">
        <v>232805</v>
      </c>
      <c r="B3542">
        <v>40000</v>
      </c>
      <c r="C3542" t="str">
        <f t="shared" si="55"/>
        <v>2. $10K-50K</v>
      </c>
      <c r="D3542" t="s">
        <v>1458</v>
      </c>
      <c r="E3542" t="s">
        <v>432</v>
      </c>
      <c r="F3542" t="s">
        <v>670</v>
      </c>
      <c r="G3542" t="s">
        <v>59</v>
      </c>
      <c r="H3542">
        <v>2023</v>
      </c>
    </row>
    <row r="3543" spans="1:8" x14ac:dyDescent="0.2">
      <c r="A3543">
        <v>232810</v>
      </c>
      <c r="B3543">
        <v>1280900</v>
      </c>
      <c r="C3543" t="str">
        <f t="shared" si="55"/>
        <v>2. $10K-50K</v>
      </c>
      <c r="D3543" t="s">
        <v>347</v>
      </c>
      <c r="E3543" t="s">
        <v>24</v>
      </c>
      <c r="F3543" t="s">
        <v>12</v>
      </c>
      <c r="G3543" t="s">
        <v>10</v>
      </c>
      <c r="H3543">
        <v>2023</v>
      </c>
    </row>
    <row r="3544" spans="1:8" x14ac:dyDescent="0.2">
      <c r="A3544">
        <v>232875</v>
      </c>
      <c r="B3544">
        <v>4301387</v>
      </c>
      <c r="C3544" t="str">
        <f t="shared" si="55"/>
        <v>5. $1M+</v>
      </c>
      <c r="D3544" t="s">
        <v>863</v>
      </c>
      <c r="E3544" t="s">
        <v>237</v>
      </c>
      <c r="F3544" t="s">
        <v>670</v>
      </c>
      <c r="G3544" t="s">
        <v>59</v>
      </c>
      <c r="H3544">
        <v>2023</v>
      </c>
    </row>
    <row r="3545" spans="1:8" x14ac:dyDescent="0.2">
      <c r="A3545">
        <v>233017</v>
      </c>
      <c r="B3545">
        <v>103592.5</v>
      </c>
      <c r="C3545" t="str">
        <f t="shared" si="55"/>
        <v>5. $1M+</v>
      </c>
      <c r="D3545" t="s">
        <v>1056</v>
      </c>
      <c r="E3545" t="s">
        <v>42</v>
      </c>
      <c r="F3545" t="s">
        <v>670</v>
      </c>
      <c r="G3545" t="s">
        <v>59</v>
      </c>
      <c r="H3545">
        <v>2023</v>
      </c>
    </row>
    <row r="3546" spans="1:8" x14ac:dyDescent="0.2">
      <c r="A3546">
        <v>233176</v>
      </c>
      <c r="B3546">
        <v>20000</v>
      </c>
      <c r="C3546" t="str">
        <f t="shared" si="55"/>
        <v>3. $50K-250K</v>
      </c>
      <c r="D3546" t="s">
        <v>1609</v>
      </c>
      <c r="E3546" t="s">
        <v>432</v>
      </c>
      <c r="F3546" t="s">
        <v>670</v>
      </c>
      <c r="G3546" t="s">
        <v>59</v>
      </c>
      <c r="H3546">
        <v>2023</v>
      </c>
    </row>
    <row r="3547" spans="1:8" x14ac:dyDescent="0.2">
      <c r="A3547">
        <v>233182</v>
      </c>
      <c r="B3547">
        <v>55000</v>
      </c>
      <c r="C3547" t="str">
        <f t="shared" si="55"/>
        <v>2. $10K-50K</v>
      </c>
      <c r="D3547" t="s">
        <v>1453</v>
      </c>
      <c r="E3547" t="s">
        <v>432</v>
      </c>
      <c r="F3547" t="s">
        <v>670</v>
      </c>
      <c r="G3547" t="s">
        <v>59</v>
      </c>
      <c r="H3547">
        <v>2023</v>
      </c>
    </row>
    <row r="3548" spans="1:8" x14ac:dyDescent="0.2">
      <c r="A3548">
        <v>233183</v>
      </c>
      <c r="B3548">
        <v>100000</v>
      </c>
      <c r="C3548" t="str">
        <f t="shared" si="55"/>
        <v>3. $50K-250K</v>
      </c>
      <c r="D3548" t="s">
        <v>725</v>
      </c>
      <c r="E3548" t="s">
        <v>237</v>
      </c>
      <c r="F3548" t="s">
        <v>670</v>
      </c>
      <c r="G3548" t="s">
        <v>59</v>
      </c>
      <c r="H3548">
        <v>2023</v>
      </c>
    </row>
    <row r="3549" spans="1:8" x14ac:dyDescent="0.2">
      <c r="A3549">
        <v>233186</v>
      </c>
      <c r="B3549">
        <v>367308</v>
      </c>
      <c r="C3549" t="str">
        <f t="shared" si="55"/>
        <v>3. $50K-250K</v>
      </c>
      <c r="D3549" t="s">
        <v>711</v>
      </c>
      <c r="E3549" t="s">
        <v>237</v>
      </c>
      <c r="F3549" t="s">
        <v>670</v>
      </c>
      <c r="G3549" t="s">
        <v>59</v>
      </c>
      <c r="H3549">
        <v>2023</v>
      </c>
    </row>
    <row r="3550" spans="1:8" x14ac:dyDescent="0.2">
      <c r="A3550">
        <v>233193</v>
      </c>
      <c r="B3550">
        <v>196250</v>
      </c>
      <c r="C3550" t="str">
        <f t="shared" si="55"/>
        <v>4. $250K-1M</v>
      </c>
      <c r="D3550" t="s">
        <v>33</v>
      </c>
      <c r="E3550" t="s">
        <v>65</v>
      </c>
      <c r="F3550" t="s">
        <v>239</v>
      </c>
      <c r="G3550" t="s">
        <v>10</v>
      </c>
      <c r="H3550">
        <v>2023</v>
      </c>
    </row>
    <row r="3551" spans="1:8" x14ac:dyDescent="0.2">
      <c r="A3551">
        <v>233202</v>
      </c>
      <c r="B3551">
        <v>676169.5</v>
      </c>
      <c r="C3551" t="str">
        <f t="shared" si="55"/>
        <v>3. $50K-250K</v>
      </c>
      <c r="D3551" t="s">
        <v>799</v>
      </c>
      <c r="E3551" t="s">
        <v>237</v>
      </c>
      <c r="F3551" t="s">
        <v>670</v>
      </c>
      <c r="G3551" t="s">
        <v>59</v>
      </c>
      <c r="H3551">
        <v>2023</v>
      </c>
    </row>
    <row r="3552" spans="1:8" x14ac:dyDescent="0.2">
      <c r="A3552">
        <v>233203</v>
      </c>
      <c r="B3552">
        <v>556094</v>
      </c>
      <c r="C3552" t="str">
        <f t="shared" si="55"/>
        <v>4. $250K-1M</v>
      </c>
      <c r="D3552" t="s">
        <v>908</v>
      </c>
      <c r="E3552" t="s">
        <v>237</v>
      </c>
      <c r="F3552" t="s">
        <v>670</v>
      </c>
      <c r="G3552" t="s">
        <v>59</v>
      </c>
      <c r="H3552">
        <v>2023</v>
      </c>
    </row>
    <row r="3553" spans="1:8" x14ac:dyDescent="0.2">
      <c r="A3553">
        <v>233204</v>
      </c>
      <c r="B3553">
        <v>649115.19999999995</v>
      </c>
      <c r="C3553" t="str">
        <f t="shared" si="55"/>
        <v>4. $250K-1M</v>
      </c>
      <c r="D3553" t="s">
        <v>805</v>
      </c>
      <c r="E3553" t="s">
        <v>237</v>
      </c>
      <c r="F3553" t="s">
        <v>670</v>
      </c>
      <c r="G3553" t="s">
        <v>59</v>
      </c>
      <c r="H3553">
        <v>2023</v>
      </c>
    </row>
    <row r="3554" spans="1:8" x14ac:dyDescent="0.2">
      <c r="A3554">
        <v>233205</v>
      </c>
      <c r="B3554">
        <v>208535</v>
      </c>
      <c r="C3554" t="str">
        <f t="shared" si="55"/>
        <v>4. $250K-1M</v>
      </c>
      <c r="D3554" t="s">
        <v>1094</v>
      </c>
      <c r="E3554" t="s">
        <v>237</v>
      </c>
      <c r="F3554" t="s">
        <v>670</v>
      </c>
      <c r="G3554" t="s">
        <v>59</v>
      </c>
      <c r="H3554">
        <v>2023</v>
      </c>
    </row>
    <row r="3555" spans="1:8" x14ac:dyDescent="0.2">
      <c r="A3555">
        <v>233239</v>
      </c>
      <c r="B3555">
        <v>435365.1</v>
      </c>
      <c r="C3555" t="str">
        <f t="shared" si="55"/>
        <v>3. $50K-250K</v>
      </c>
      <c r="D3555" t="s">
        <v>1035</v>
      </c>
      <c r="E3555" t="s">
        <v>825</v>
      </c>
      <c r="F3555" t="s">
        <v>670</v>
      </c>
      <c r="G3555" t="s">
        <v>59</v>
      </c>
      <c r="H3555">
        <v>2023</v>
      </c>
    </row>
    <row r="3556" spans="1:8" x14ac:dyDescent="0.2">
      <c r="A3556">
        <v>233253</v>
      </c>
      <c r="B3556">
        <v>217291</v>
      </c>
      <c r="C3556" t="str">
        <f t="shared" si="55"/>
        <v>4. $250K-1M</v>
      </c>
      <c r="D3556" t="s">
        <v>1515</v>
      </c>
      <c r="E3556" t="s">
        <v>82</v>
      </c>
      <c r="F3556" t="s">
        <v>670</v>
      </c>
      <c r="G3556" t="s">
        <v>59</v>
      </c>
      <c r="H3556">
        <v>2023</v>
      </c>
    </row>
    <row r="3557" spans="1:8" x14ac:dyDescent="0.2">
      <c r="A3557">
        <v>233254</v>
      </c>
      <c r="B3557">
        <v>40000</v>
      </c>
      <c r="C3557" t="str">
        <f t="shared" si="55"/>
        <v>3. $50K-250K</v>
      </c>
      <c r="D3557" t="s">
        <v>1452</v>
      </c>
      <c r="E3557" t="s">
        <v>432</v>
      </c>
      <c r="F3557" t="s">
        <v>670</v>
      </c>
      <c r="G3557" t="s">
        <v>59</v>
      </c>
      <c r="H3557">
        <v>2023</v>
      </c>
    </row>
    <row r="3558" spans="1:8" x14ac:dyDescent="0.2">
      <c r="A3558">
        <v>233255</v>
      </c>
      <c r="B3558">
        <v>213419.5</v>
      </c>
      <c r="C3558" t="str">
        <f t="shared" si="55"/>
        <v>2. $10K-50K</v>
      </c>
      <c r="D3558" t="s">
        <v>1593</v>
      </c>
      <c r="E3558" t="s">
        <v>42</v>
      </c>
      <c r="F3558" t="s">
        <v>670</v>
      </c>
      <c r="G3558" t="s">
        <v>59</v>
      </c>
      <c r="H3558">
        <v>2023</v>
      </c>
    </row>
    <row r="3559" spans="1:8" x14ac:dyDescent="0.2">
      <c r="A3559">
        <v>233256</v>
      </c>
      <c r="B3559">
        <v>373830.6</v>
      </c>
      <c r="C3559" t="str">
        <f t="shared" si="55"/>
        <v>3. $50K-250K</v>
      </c>
      <c r="D3559" t="s">
        <v>694</v>
      </c>
      <c r="E3559" t="s">
        <v>42</v>
      </c>
      <c r="F3559" t="s">
        <v>670</v>
      </c>
      <c r="G3559" t="s">
        <v>59</v>
      </c>
      <c r="H3559">
        <v>2023</v>
      </c>
    </row>
    <row r="3560" spans="1:8" x14ac:dyDescent="0.2">
      <c r="A3560">
        <v>233262</v>
      </c>
      <c r="B3560">
        <v>70294.8</v>
      </c>
      <c r="C3560" t="str">
        <f t="shared" si="55"/>
        <v>4. $250K-1M</v>
      </c>
      <c r="D3560" t="s">
        <v>964</v>
      </c>
      <c r="E3560" t="s">
        <v>825</v>
      </c>
      <c r="F3560" t="s">
        <v>670</v>
      </c>
      <c r="G3560" t="s">
        <v>59</v>
      </c>
      <c r="H3560">
        <v>2023</v>
      </c>
    </row>
    <row r="3561" spans="1:8" x14ac:dyDescent="0.2">
      <c r="A3561">
        <v>233270</v>
      </c>
      <c r="B3561">
        <v>333844.59999999998</v>
      </c>
      <c r="C3561" t="str">
        <f t="shared" si="55"/>
        <v>3. $50K-250K</v>
      </c>
      <c r="D3561" t="s">
        <v>1084</v>
      </c>
      <c r="E3561" t="s">
        <v>237</v>
      </c>
      <c r="F3561" t="s">
        <v>670</v>
      </c>
      <c r="G3561" t="s">
        <v>59</v>
      </c>
      <c r="H3561">
        <v>2023</v>
      </c>
    </row>
    <row r="3562" spans="1:8" x14ac:dyDescent="0.2">
      <c r="A3562">
        <v>233271</v>
      </c>
      <c r="B3562">
        <v>139024</v>
      </c>
      <c r="C3562" t="str">
        <f t="shared" si="55"/>
        <v>4. $250K-1M</v>
      </c>
      <c r="D3562" t="s">
        <v>1478</v>
      </c>
      <c r="E3562" t="s">
        <v>237</v>
      </c>
      <c r="F3562" t="s">
        <v>670</v>
      </c>
      <c r="G3562" t="s">
        <v>59</v>
      </c>
      <c r="H3562">
        <v>2023</v>
      </c>
    </row>
    <row r="3563" spans="1:8" x14ac:dyDescent="0.2">
      <c r="A3563">
        <v>233272</v>
      </c>
      <c r="B3563">
        <v>139024</v>
      </c>
      <c r="C3563" t="str">
        <f t="shared" si="55"/>
        <v>3. $50K-250K</v>
      </c>
      <c r="D3563" t="s">
        <v>1478</v>
      </c>
      <c r="E3563" t="s">
        <v>237</v>
      </c>
      <c r="F3563" t="s">
        <v>670</v>
      </c>
      <c r="G3563" t="s">
        <v>59</v>
      </c>
      <c r="H3563">
        <v>2023</v>
      </c>
    </row>
    <row r="3564" spans="1:8" x14ac:dyDescent="0.2">
      <c r="A3564">
        <v>233273</v>
      </c>
      <c r="B3564">
        <v>1874236</v>
      </c>
      <c r="C3564" t="str">
        <f t="shared" si="55"/>
        <v>3. $50K-250K</v>
      </c>
      <c r="D3564" t="s">
        <v>827</v>
      </c>
      <c r="E3564" t="s">
        <v>59</v>
      </c>
      <c r="F3564" t="s">
        <v>670</v>
      </c>
      <c r="G3564" t="s">
        <v>59</v>
      </c>
      <c r="H3564">
        <v>2023</v>
      </c>
    </row>
    <row r="3565" spans="1:8" x14ac:dyDescent="0.2">
      <c r="A3565">
        <v>233277</v>
      </c>
      <c r="B3565">
        <v>55000</v>
      </c>
      <c r="C3565" t="str">
        <f t="shared" si="55"/>
        <v>5. $1M+</v>
      </c>
      <c r="D3565" t="s">
        <v>888</v>
      </c>
      <c r="E3565" t="s">
        <v>432</v>
      </c>
      <c r="F3565" t="s">
        <v>670</v>
      </c>
      <c r="G3565" t="s">
        <v>59</v>
      </c>
      <c r="H3565">
        <v>2023</v>
      </c>
    </row>
    <row r="3566" spans="1:8" x14ac:dyDescent="0.2">
      <c r="A3566">
        <v>233393</v>
      </c>
      <c r="B3566">
        <v>36154</v>
      </c>
      <c r="C3566" t="str">
        <f t="shared" si="55"/>
        <v>3. $50K-250K</v>
      </c>
      <c r="D3566" t="s">
        <v>348</v>
      </c>
      <c r="E3566" t="s">
        <v>54</v>
      </c>
      <c r="F3566" t="s">
        <v>239</v>
      </c>
      <c r="G3566" t="s">
        <v>10</v>
      </c>
      <c r="H3566">
        <v>2023</v>
      </c>
    </row>
    <row r="3567" spans="1:8" x14ac:dyDescent="0.2">
      <c r="A3567">
        <v>233417</v>
      </c>
      <c r="B3567">
        <v>213674.8</v>
      </c>
      <c r="C3567" t="str">
        <f t="shared" si="55"/>
        <v>2. $10K-50K</v>
      </c>
      <c r="D3567" t="s">
        <v>881</v>
      </c>
      <c r="E3567" t="s">
        <v>237</v>
      </c>
      <c r="F3567" t="s">
        <v>670</v>
      </c>
      <c r="G3567" t="s">
        <v>59</v>
      </c>
      <c r="H3567">
        <v>2023</v>
      </c>
    </row>
    <row r="3568" spans="1:8" x14ac:dyDescent="0.2">
      <c r="A3568">
        <v>233425</v>
      </c>
      <c r="B3568">
        <v>695118</v>
      </c>
      <c r="C3568" t="str">
        <f t="shared" si="55"/>
        <v>3. $50K-250K</v>
      </c>
      <c r="D3568" t="s">
        <v>781</v>
      </c>
      <c r="E3568" t="s">
        <v>237</v>
      </c>
      <c r="F3568" t="s">
        <v>670</v>
      </c>
      <c r="G3568" t="s">
        <v>59</v>
      </c>
      <c r="H3568">
        <v>2023</v>
      </c>
    </row>
    <row r="3569" spans="1:8" x14ac:dyDescent="0.2">
      <c r="A3569">
        <v>233427</v>
      </c>
      <c r="B3569">
        <v>2676500</v>
      </c>
      <c r="C3569" t="str">
        <f t="shared" si="55"/>
        <v>4. $250K-1M</v>
      </c>
      <c r="D3569" t="s">
        <v>711</v>
      </c>
      <c r="E3569" t="s">
        <v>237</v>
      </c>
      <c r="F3569" t="s">
        <v>670</v>
      </c>
      <c r="G3569" t="s">
        <v>59</v>
      </c>
      <c r="H3569">
        <v>2023</v>
      </c>
    </row>
    <row r="3570" spans="1:8" x14ac:dyDescent="0.2">
      <c r="A3570">
        <v>233553</v>
      </c>
      <c r="B3570">
        <v>45000</v>
      </c>
      <c r="C3570" t="str">
        <f t="shared" si="55"/>
        <v>5. $1M+</v>
      </c>
      <c r="D3570" t="s">
        <v>1440</v>
      </c>
      <c r="E3570" t="s">
        <v>432</v>
      </c>
      <c r="F3570" t="s">
        <v>670</v>
      </c>
      <c r="G3570" t="s">
        <v>59</v>
      </c>
      <c r="H3570">
        <v>2023</v>
      </c>
    </row>
    <row r="3571" spans="1:8" x14ac:dyDescent="0.2">
      <c r="A3571">
        <v>233554</v>
      </c>
      <c r="B3571">
        <v>475927.6</v>
      </c>
      <c r="C3571" t="str">
        <f t="shared" si="55"/>
        <v>2. $10K-50K</v>
      </c>
      <c r="D3571" t="s">
        <v>962</v>
      </c>
      <c r="E3571" t="s">
        <v>42</v>
      </c>
      <c r="F3571" t="s">
        <v>670</v>
      </c>
      <c r="G3571" t="s">
        <v>59</v>
      </c>
      <c r="H3571">
        <v>2023</v>
      </c>
    </row>
    <row r="3572" spans="1:8" x14ac:dyDescent="0.2">
      <c r="A3572">
        <v>233563</v>
      </c>
      <c r="B3572">
        <v>482248.3</v>
      </c>
      <c r="C3572" t="str">
        <f t="shared" si="55"/>
        <v>4. $250K-1M</v>
      </c>
      <c r="D3572" t="s">
        <v>925</v>
      </c>
      <c r="E3572" t="s">
        <v>237</v>
      </c>
      <c r="F3572" t="s">
        <v>670</v>
      </c>
      <c r="G3572" t="s">
        <v>59</v>
      </c>
      <c r="H3572">
        <v>2023</v>
      </c>
    </row>
    <row r="3573" spans="1:8" x14ac:dyDescent="0.2">
      <c r="A3573">
        <v>233628</v>
      </c>
      <c r="B3573">
        <v>695118</v>
      </c>
      <c r="C3573" t="str">
        <f t="shared" si="55"/>
        <v>4. $250K-1M</v>
      </c>
      <c r="D3573" t="s">
        <v>1094</v>
      </c>
      <c r="E3573" t="s">
        <v>237</v>
      </c>
      <c r="F3573" t="s">
        <v>670</v>
      </c>
      <c r="G3573" t="s">
        <v>59</v>
      </c>
      <c r="H3573">
        <v>2023</v>
      </c>
    </row>
    <row r="3574" spans="1:8" x14ac:dyDescent="0.2">
      <c r="A3574">
        <v>233629</v>
      </c>
      <c r="B3574">
        <v>125658.5</v>
      </c>
      <c r="C3574" t="str">
        <f t="shared" si="55"/>
        <v>4. $250K-1M</v>
      </c>
      <c r="D3574" t="s">
        <v>1110</v>
      </c>
      <c r="E3574" t="s">
        <v>237</v>
      </c>
      <c r="F3574" t="s">
        <v>670</v>
      </c>
      <c r="G3574" t="s">
        <v>59</v>
      </c>
      <c r="H3574">
        <v>2023</v>
      </c>
    </row>
    <row r="3575" spans="1:8" x14ac:dyDescent="0.2">
      <c r="A3575">
        <v>233630</v>
      </c>
      <c r="B3575">
        <v>695118</v>
      </c>
      <c r="C3575" t="str">
        <f t="shared" si="55"/>
        <v>3. $50K-250K</v>
      </c>
      <c r="D3575" t="s">
        <v>1094</v>
      </c>
      <c r="E3575" t="s">
        <v>237</v>
      </c>
      <c r="F3575" t="s">
        <v>670</v>
      </c>
      <c r="G3575" t="s">
        <v>59</v>
      </c>
      <c r="H3575">
        <v>2023</v>
      </c>
    </row>
    <row r="3576" spans="1:8" x14ac:dyDescent="0.2">
      <c r="A3576">
        <v>233631</v>
      </c>
      <c r="B3576">
        <v>1181700</v>
      </c>
      <c r="C3576" t="str">
        <f t="shared" si="55"/>
        <v>4. $250K-1M</v>
      </c>
      <c r="D3576" t="s">
        <v>1094</v>
      </c>
      <c r="E3576" t="s">
        <v>237</v>
      </c>
      <c r="F3576" t="s">
        <v>670</v>
      </c>
      <c r="G3576" t="s">
        <v>59</v>
      </c>
      <c r="H3576">
        <v>2023</v>
      </c>
    </row>
    <row r="3577" spans="1:8" x14ac:dyDescent="0.2">
      <c r="A3577">
        <v>233632</v>
      </c>
      <c r="B3577">
        <v>973165</v>
      </c>
      <c r="C3577" t="str">
        <f t="shared" si="55"/>
        <v>5. $1M+</v>
      </c>
      <c r="D3577" t="s">
        <v>1094</v>
      </c>
      <c r="E3577" t="s">
        <v>237</v>
      </c>
      <c r="F3577" t="s">
        <v>670</v>
      </c>
      <c r="G3577" t="s">
        <v>59</v>
      </c>
      <c r="H3577">
        <v>2023</v>
      </c>
    </row>
    <row r="3578" spans="1:8" x14ac:dyDescent="0.2">
      <c r="A3578">
        <v>233633</v>
      </c>
      <c r="B3578">
        <v>139024</v>
      </c>
      <c r="C3578" t="str">
        <f t="shared" si="55"/>
        <v>4. $250K-1M</v>
      </c>
      <c r="D3578" t="s">
        <v>724</v>
      </c>
      <c r="E3578" t="s">
        <v>237</v>
      </c>
      <c r="F3578" t="s">
        <v>670</v>
      </c>
      <c r="G3578" t="s">
        <v>59</v>
      </c>
      <c r="H3578">
        <v>2023</v>
      </c>
    </row>
    <row r="3579" spans="1:8" x14ac:dyDescent="0.2">
      <c r="A3579">
        <v>233634</v>
      </c>
      <c r="B3579">
        <v>118958.8</v>
      </c>
      <c r="C3579" t="str">
        <f t="shared" si="55"/>
        <v>3. $50K-250K</v>
      </c>
      <c r="D3579" t="s">
        <v>1032</v>
      </c>
      <c r="E3579" t="s">
        <v>237</v>
      </c>
      <c r="F3579" t="s">
        <v>670</v>
      </c>
      <c r="G3579" t="s">
        <v>59</v>
      </c>
      <c r="H3579">
        <v>2023</v>
      </c>
    </row>
    <row r="3580" spans="1:8" x14ac:dyDescent="0.2">
      <c r="A3580">
        <v>233635</v>
      </c>
      <c r="B3580">
        <v>208535</v>
      </c>
      <c r="C3580" t="str">
        <f t="shared" si="55"/>
        <v>3. $50K-250K</v>
      </c>
      <c r="D3580" t="s">
        <v>1096</v>
      </c>
      <c r="E3580" t="s">
        <v>237</v>
      </c>
      <c r="F3580" t="s">
        <v>670</v>
      </c>
      <c r="G3580" t="s">
        <v>59</v>
      </c>
      <c r="H3580">
        <v>2023</v>
      </c>
    </row>
    <row r="3581" spans="1:8" x14ac:dyDescent="0.2">
      <c r="A3581">
        <v>233636</v>
      </c>
      <c r="B3581">
        <v>611815.1</v>
      </c>
      <c r="C3581" t="str">
        <f t="shared" si="55"/>
        <v>3. $50K-250K</v>
      </c>
      <c r="D3581" t="s">
        <v>799</v>
      </c>
      <c r="E3581" t="s">
        <v>237</v>
      </c>
      <c r="F3581" t="s">
        <v>670</v>
      </c>
      <c r="G3581" t="s">
        <v>59</v>
      </c>
      <c r="H3581">
        <v>2023</v>
      </c>
    </row>
    <row r="3582" spans="1:8" x14ac:dyDescent="0.2">
      <c r="A3582">
        <v>233637</v>
      </c>
      <c r="B3582">
        <v>240000</v>
      </c>
      <c r="C3582" t="str">
        <f t="shared" si="55"/>
        <v>4. $250K-1M</v>
      </c>
      <c r="D3582" t="s">
        <v>859</v>
      </c>
      <c r="E3582" t="s">
        <v>237</v>
      </c>
      <c r="F3582" t="s">
        <v>670</v>
      </c>
      <c r="G3582" t="s">
        <v>59</v>
      </c>
      <c r="H3582">
        <v>2023</v>
      </c>
    </row>
    <row r="3583" spans="1:8" x14ac:dyDescent="0.2">
      <c r="A3583">
        <v>233638</v>
      </c>
      <c r="B3583">
        <v>3267052</v>
      </c>
      <c r="C3583" t="str">
        <f t="shared" si="55"/>
        <v>3. $50K-250K</v>
      </c>
      <c r="D3583" t="s">
        <v>1094</v>
      </c>
      <c r="E3583" t="s">
        <v>237</v>
      </c>
      <c r="F3583" t="s">
        <v>670</v>
      </c>
      <c r="G3583" t="s">
        <v>59</v>
      </c>
      <c r="H3583">
        <v>2023</v>
      </c>
    </row>
    <row r="3584" spans="1:8" x14ac:dyDescent="0.2">
      <c r="A3584">
        <v>233639</v>
      </c>
      <c r="B3584">
        <v>176188</v>
      </c>
      <c r="C3584" t="str">
        <f t="shared" si="55"/>
        <v>5. $1M+</v>
      </c>
      <c r="D3584" t="s">
        <v>867</v>
      </c>
      <c r="E3584" t="s">
        <v>237</v>
      </c>
      <c r="F3584" t="s">
        <v>670</v>
      </c>
      <c r="G3584" t="s">
        <v>59</v>
      </c>
      <c r="H3584">
        <v>2023</v>
      </c>
    </row>
    <row r="3585" spans="1:8" x14ac:dyDescent="0.2">
      <c r="A3585">
        <v>233640</v>
      </c>
      <c r="B3585">
        <v>139024</v>
      </c>
      <c r="C3585" t="str">
        <f t="shared" si="55"/>
        <v>3. $50K-250K</v>
      </c>
      <c r="D3585" t="s">
        <v>1145</v>
      </c>
      <c r="E3585" t="s">
        <v>237</v>
      </c>
      <c r="F3585" t="s">
        <v>670</v>
      </c>
      <c r="G3585" t="s">
        <v>59</v>
      </c>
      <c r="H3585">
        <v>2023</v>
      </c>
    </row>
    <row r="3586" spans="1:8" x14ac:dyDescent="0.2">
      <c r="A3586">
        <v>233641</v>
      </c>
      <c r="B3586">
        <v>473591.3</v>
      </c>
      <c r="C3586" t="str">
        <f t="shared" si="55"/>
        <v>3. $50K-250K</v>
      </c>
      <c r="D3586" t="s">
        <v>507</v>
      </c>
      <c r="E3586" t="s">
        <v>237</v>
      </c>
      <c r="F3586" t="s">
        <v>670</v>
      </c>
      <c r="G3586" t="s">
        <v>59</v>
      </c>
      <c r="H3586">
        <v>2023</v>
      </c>
    </row>
    <row r="3587" spans="1:8" x14ac:dyDescent="0.2">
      <c r="A3587">
        <v>233642</v>
      </c>
      <c r="B3587">
        <v>715712</v>
      </c>
      <c r="C3587" t="str">
        <f t="shared" ref="C3587:C3650" si="56">IF(B3586&lt;10000,"1. Under $10K",IF(B3586&lt;50000,"2. $10K-50K",IF(B3586&lt;250000,"3. $50K-250K",IF(B3586&lt;1000000,"4. $250K-1M","5. $1M+"))))</f>
        <v>4. $250K-1M</v>
      </c>
      <c r="D3587" t="s">
        <v>507</v>
      </c>
      <c r="E3587" t="s">
        <v>237</v>
      </c>
      <c r="F3587" t="s">
        <v>670</v>
      </c>
      <c r="G3587" t="s">
        <v>59</v>
      </c>
      <c r="H3587">
        <v>2023</v>
      </c>
    </row>
    <row r="3588" spans="1:8" x14ac:dyDescent="0.2">
      <c r="A3588">
        <v>233643</v>
      </c>
      <c r="B3588">
        <v>417071</v>
      </c>
      <c r="C3588" t="str">
        <f t="shared" si="56"/>
        <v>4. $250K-1M</v>
      </c>
      <c r="D3588" t="s">
        <v>984</v>
      </c>
      <c r="E3588" t="s">
        <v>237</v>
      </c>
      <c r="F3588" t="s">
        <v>670</v>
      </c>
      <c r="G3588" t="s">
        <v>59</v>
      </c>
      <c r="H3588">
        <v>2023</v>
      </c>
    </row>
    <row r="3589" spans="1:8" x14ac:dyDescent="0.2">
      <c r="A3589">
        <v>233644</v>
      </c>
      <c r="B3589">
        <v>278047</v>
      </c>
      <c r="C3589" t="str">
        <f t="shared" si="56"/>
        <v>4. $250K-1M</v>
      </c>
      <c r="D3589" t="s">
        <v>985</v>
      </c>
      <c r="E3589" t="s">
        <v>237</v>
      </c>
      <c r="F3589" t="s">
        <v>670</v>
      </c>
      <c r="G3589" t="s">
        <v>59</v>
      </c>
      <c r="H3589">
        <v>2023</v>
      </c>
    </row>
    <row r="3590" spans="1:8" x14ac:dyDescent="0.2">
      <c r="A3590">
        <v>233645</v>
      </c>
      <c r="B3590">
        <v>145242.5</v>
      </c>
      <c r="C3590" t="str">
        <f t="shared" si="56"/>
        <v>4. $250K-1M</v>
      </c>
      <c r="D3590" t="s">
        <v>864</v>
      </c>
      <c r="E3590" t="s">
        <v>237</v>
      </c>
      <c r="F3590" t="s">
        <v>670</v>
      </c>
      <c r="G3590" t="s">
        <v>59</v>
      </c>
      <c r="H3590">
        <v>2023</v>
      </c>
    </row>
    <row r="3591" spans="1:8" x14ac:dyDescent="0.2">
      <c r="A3591">
        <v>233646</v>
      </c>
      <c r="B3591">
        <v>129438.7</v>
      </c>
      <c r="C3591" t="str">
        <f t="shared" si="56"/>
        <v>3. $50K-250K</v>
      </c>
      <c r="D3591" t="s">
        <v>988</v>
      </c>
      <c r="E3591" t="s">
        <v>237</v>
      </c>
      <c r="F3591" t="s">
        <v>670</v>
      </c>
      <c r="G3591" t="s">
        <v>59</v>
      </c>
      <c r="H3591">
        <v>2023</v>
      </c>
    </row>
    <row r="3592" spans="1:8" x14ac:dyDescent="0.2">
      <c r="A3592">
        <v>233647</v>
      </c>
      <c r="B3592">
        <v>139024</v>
      </c>
      <c r="C3592" t="str">
        <f t="shared" si="56"/>
        <v>3. $50K-250K</v>
      </c>
      <c r="D3592" t="s">
        <v>1068</v>
      </c>
      <c r="E3592" t="s">
        <v>237</v>
      </c>
      <c r="F3592" t="s">
        <v>670</v>
      </c>
      <c r="G3592" t="s">
        <v>59</v>
      </c>
      <c r="H3592">
        <v>2023</v>
      </c>
    </row>
    <row r="3593" spans="1:8" x14ac:dyDescent="0.2">
      <c r="A3593">
        <v>233648</v>
      </c>
      <c r="B3593">
        <v>417071</v>
      </c>
      <c r="C3593" t="str">
        <f t="shared" si="56"/>
        <v>3. $50K-250K</v>
      </c>
      <c r="D3593" t="s">
        <v>983</v>
      </c>
      <c r="E3593" t="s">
        <v>237</v>
      </c>
      <c r="F3593" t="s">
        <v>670</v>
      </c>
      <c r="G3593" t="s">
        <v>59</v>
      </c>
      <c r="H3593">
        <v>2023</v>
      </c>
    </row>
    <row r="3594" spans="1:8" x14ac:dyDescent="0.2">
      <c r="A3594">
        <v>233649</v>
      </c>
      <c r="B3594">
        <v>1737794</v>
      </c>
      <c r="C3594" t="str">
        <f t="shared" si="56"/>
        <v>4. $250K-1M</v>
      </c>
      <c r="D3594" t="s">
        <v>1094</v>
      </c>
      <c r="E3594" t="s">
        <v>237</v>
      </c>
      <c r="F3594" t="s">
        <v>670</v>
      </c>
      <c r="G3594" t="s">
        <v>59</v>
      </c>
      <c r="H3594">
        <v>2023</v>
      </c>
    </row>
    <row r="3595" spans="1:8" x14ac:dyDescent="0.2">
      <c r="A3595">
        <v>233652</v>
      </c>
      <c r="B3595">
        <v>115500</v>
      </c>
      <c r="C3595" t="str">
        <f t="shared" si="56"/>
        <v>5. $1M+</v>
      </c>
      <c r="D3595" t="s">
        <v>749</v>
      </c>
      <c r="E3595" t="s">
        <v>237</v>
      </c>
      <c r="F3595" t="s">
        <v>670</v>
      </c>
      <c r="G3595" t="s">
        <v>59</v>
      </c>
      <c r="H3595">
        <v>2023</v>
      </c>
    </row>
    <row r="3596" spans="1:8" x14ac:dyDescent="0.2">
      <c r="A3596">
        <v>233660</v>
      </c>
      <c r="B3596">
        <v>771500</v>
      </c>
      <c r="C3596" t="str">
        <f t="shared" si="56"/>
        <v>3. $50K-250K</v>
      </c>
      <c r="D3596" t="s">
        <v>711</v>
      </c>
      <c r="E3596" t="s">
        <v>237</v>
      </c>
      <c r="F3596" t="s">
        <v>670</v>
      </c>
      <c r="G3596" t="s">
        <v>59</v>
      </c>
      <c r="H3596">
        <v>2023</v>
      </c>
    </row>
    <row r="3597" spans="1:8" x14ac:dyDescent="0.2">
      <c r="A3597">
        <v>233661</v>
      </c>
      <c r="B3597">
        <v>180000</v>
      </c>
      <c r="C3597" t="str">
        <f t="shared" si="56"/>
        <v>4. $250K-1M</v>
      </c>
      <c r="D3597" t="s">
        <v>785</v>
      </c>
      <c r="E3597" t="s">
        <v>237</v>
      </c>
      <c r="F3597" t="s">
        <v>670</v>
      </c>
      <c r="G3597" t="s">
        <v>59</v>
      </c>
      <c r="H3597">
        <v>2023</v>
      </c>
    </row>
    <row r="3598" spans="1:8" x14ac:dyDescent="0.2">
      <c r="A3598">
        <v>233665</v>
      </c>
      <c r="B3598">
        <v>8450000</v>
      </c>
      <c r="C3598" t="str">
        <f t="shared" si="56"/>
        <v>3. $50K-250K</v>
      </c>
      <c r="D3598" t="s">
        <v>1052</v>
      </c>
      <c r="E3598" t="s">
        <v>237</v>
      </c>
      <c r="F3598" t="s">
        <v>670</v>
      </c>
      <c r="G3598" t="s">
        <v>59</v>
      </c>
      <c r="H3598">
        <v>2023</v>
      </c>
    </row>
    <row r="3599" spans="1:8" x14ac:dyDescent="0.2">
      <c r="A3599">
        <v>233679</v>
      </c>
      <c r="B3599">
        <v>208994</v>
      </c>
      <c r="C3599" t="str">
        <f t="shared" si="56"/>
        <v>5. $1M+</v>
      </c>
      <c r="D3599" t="s">
        <v>771</v>
      </c>
      <c r="E3599" t="s">
        <v>825</v>
      </c>
      <c r="F3599" t="s">
        <v>670</v>
      </c>
      <c r="G3599" t="s">
        <v>59</v>
      </c>
      <c r="H3599">
        <v>2023</v>
      </c>
    </row>
    <row r="3600" spans="1:8" x14ac:dyDescent="0.2">
      <c r="A3600">
        <v>233681</v>
      </c>
      <c r="B3600">
        <v>3655039.3</v>
      </c>
      <c r="C3600" t="str">
        <f t="shared" si="56"/>
        <v>3. $50K-250K</v>
      </c>
      <c r="D3600" t="s">
        <v>771</v>
      </c>
      <c r="E3600" t="s">
        <v>825</v>
      </c>
      <c r="F3600" t="s">
        <v>670</v>
      </c>
      <c r="G3600" t="s">
        <v>59</v>
      </c>
      <c r="H3600">
        <v>2023</v>
      </c>
    </row>
    <row r="3601" spans="1:8" x14ac:dyDescent="0.2">
      <c r="A3601">
        <v>233686</v>
      </c>
      <c r="B3601">
        <v>835544.4</v>
      </c>
      <c r="C3601" t="str">
        <f t="shared" si="56"/>
        <v>5. $1M+</v>
      </c>
      <c r="D3601" t="s">
        <v>671</v>
      </c>
      <c r="E3601" t="s">
        <v>237</v>
      </c>
      <c r="F3601" t="s">
        <v>670</v>
      </c>
      <c r="G3601" t="s">
        <v>59</v>
      </c>
      <c r="H3601">
        <v>2023</v>
      </c>
    </row>
    <row r="3602" spans="1:8" x14ac:dyDescent="0.2">
      <c r="A3602">
        <v>233692</v>
      </c>
      <c r="B3602">
        <v>2986200</v>
      </c>
      <c r="C3602" t="str">
        <f t="shared" si="56"/>
        <v>4. $250K-1M</v>
      </c>
      <c r="D3602" t="s">
        <v>678</v>
      </c>
      <c r="E3602" t="s">
        <v>28</v>
      </c>
      <c r="F3602" t="s">
        <v>668</v>
      </c>
      <c r="G3602" t="s">
        <v>59</v>
      </c>
      <c r="H3602">
        <v>2023</v>
      </c>
    </row>
    <row r="3603" spans="1:8" x14ac:dyDescent="0.2">
      <c r="A3603">
        <v>233850</v>
      </c>
      <c r="B3603">
        <v>500000</v>
      </c>
      <c r="C3603" t="str">
        <f t="shared" si="56"/>
        <v>5. $1M+</v>
      </c>
      <c r="D3603" t="s">
        <v>1612</v>
      </c>
      <c r="E3603" t="s">
        <v>99</v>
      </c>
      <c r="F3603" t="s">
        <v>668</v>
      </c>
      <c r="G3603" t="s">
        <v>59</v>
      </c>
      <c r="H3603">
        <v>2023</v>
      </c>
    </row>
    <row r="3604" spans="1:8" x14ac:dyDescent="0.2">
      <c r="A3604">
        <v>233853</v>
      </c>
      <c r="B3604">
        <v>189269</v>
      </c>
      <c r="C3604" t="str">
        <f t="shared" si="56"/>
        <v>4. $250K-1M</v>
      </c>
      <c r="D3604" t="s">
        <v>1540</v>
      </c>
      <c r="E3604" t="s">
        <v>141</v>
      </c>
      <c r="F3604" t="s">
        <v>668</v>
      </c>
      <c r="G3604" t="s">
        <v>59</v>
      </c>
      <c r="H3604">
        <v>2023</v>
      </c>
    </row>
    <row r="3605" spans="1:8" x14ac:dyDescent="0.2">
      <c r="A3605">
        <v>233858</v>
      </c>
      <c r="B3605">
        <v>28000</v>
      </c>
      <c r="C3605" t="str">
        <f t="shared" si="56"/>
        <v>3. $50K-250K</v>
      </c>
      <c r="D3605" t="s">
        <v>1377</v>
      </c>
      <c r="E3605" t="s">
        <v>112</v>
      </c>
      <c r="F3605" t="s">
        <v>668</v>
      </c>
      <c r="G3605" t="s">
        <v>59</v>
      </c>
      <c r="H3605">
        <v>2023</v>
      </c>
    </row>
    <row r="3606" spans="1:8" x14ac:dyDescent="0.2">
      <c r="A3606">
        <v>233859</v>
      </c>
      <c r="B3606">
        <v>3020000000</v>
      </c>
      <c r="C3606" t="str">
        <f t="shared" si="56"/>
        <v>2. $10K-50K</v>
      </c>
      <c r="D3606" t="s">
        <v>1426</v>
      </c>
      <c r="E3606" t="s">
        <v>52</v>
      </c>
      <c r="F3606" t="s">
        <v>668</v>
      </c>
      <c r="G3606" t="s">
        <v>59</v>
      </c>
      <c r="H3606">
        <v>2023</v>
      </c>
    </row>
    <row r="3607" spans="1:8" x14ac:dyDescent="0.2">
      <c r="A3607">
        <v>233862</v>
      </c>
      <c r="B3607">
        <v>150110.5</v>
      </c>
      <c r="C3607" t="str">
        <f t="shared" si="56"/>
        <v>5. $1M+</v>
      </c>
      <c r="D3607" t="s">
        <v>771</v>
      </c>
      <c r="E3607" t="s">
        <v>825</v>
      </c>
      <c r="F3607" t="s">
        <v>670</v>
      </c>
      <c r="G3607" t="s">
        <v>59</v>
      </c>
      <c r="H3607">
        <v>2023</v>
      </c>
    </row>
    <row r="3608" spans="1:8" x14ac:dyDescent="0.2">
      <c r="A3608">
        <v>234015</v>
      </c>
      <c r="B3608">
        <v>50000</v>
      </c>
      <c r="C3608" t="str">
        <f t="shared" si="56"/>
        <v>3. $50K-250K</v>
      </c>
      <c r="D3608" t="s">
        <v>822</v>
      </c>
      <c r="E3608" t="s">
        <v>825</v>
      </c>
      <c r="F3608" t="s">
        <v>670</v>
      </c>
      <c r="G3608" t="s">
        <v>59</v>
      </c>
      <c r="H3608">
        <v>2023</v>
      </c>
    </row>
    <row r="3609" spans="1:8" x14ac:dyDescent="0.2">
      <c r="A3609">
        <v>234082</v>
      </c>
      <c r="B3609">
        <v>314907.59999999998</v>
      </c>
      <c r="C3609" t="str">
        <f t="shared" si="56"/>
        <v>3. $50K-250K</v>
      </c>
      <c r="D3609" t="s">
        <v>150</v>
      </c>
      <c r="E3609" t="s">
        <v>8</v>
      </c>
      <c r="F3609" t="s">
        <v>120</v>
      </c>
      <c r="G3609" t="s">
        <v>59</v>
      </c>
      <c r="H3609">
        <v>2023</v>
      </c>
    </row>
    <row r="3610" spans="1:8" x14ac:dyDescent="0.2">
      <c r="A3610">
        <v>234083</v>
      </c>
      <c r="B3610">
        <v>23053839.899999999</v>
      </c>
      <c r="C3610" t="str">
        <f t="shared" si="56"/>
        <v>4. $250K-1M</v>
      </c>
      <c r="D3610" t="s">
        <v>7</v>
      </c>
      <c r="E3610" t="s">
        <v>8</v>
      </c>
      <c r="F3610" t="s">
        <v>9</v>
      </c>
      <c r="G3610" t="s">
        <v>10</v>
      </c>
      <c r="H3610">
        <v>2023</v>
      </c>
    </row>
    <row r="3611" spans="1:8" x14ac:dyDescent="0.2">
      <c r="A3611">
        <v>234091</v>
      </c>
      <c r="B3611">
        <v>90764</v>
      </c>
      <c r="C3611" t="str">
        <f t="shared" si="56"/>
        <v>5. $1M+</v>
      </c>
      <c r="D3611" t="s">
        <v>1092</v>
      </c>
      <c r="E3611" t="s">
        <v>237</v>
      </c>
      <c r="F3611" t="s">
        <v>670</v>
      </c>
      <c r="G3611" t="s">
        <v>59</v>
      </c>
      <c r="H3611">
        <v>2023</v>
      </c>
    </row>
    <row r="3612" spans="1:8" x14ac:dyDescent="0.2">
      <c r="A3612">
        <v>234093</v>
      </c>
      <c r="B3612">
        <v>781561.7</v>
      </c>
      <c r="C3612" t="str">
        <f t="shared" si="56"/>
        <v>3. $50K-250K</v>
      </c>
      <c r="D3612" t="s">
        <v>863</v>
      </c>
      <c r="E3612" t="s">
        <v>237</v>
      </c>
      <c r="F3612" t="s">
        <v>670</v>
      </c>
      <c r="G3612" t="s">
        <v>59</v>
      </c>
      <c r="H3612">
        <v>2023</v>
      </c>
    </row>
    <row r="3613" spans="1:8" x14ac:dyDescent="0.2">
      <c r="A3613">
        <v>234122</v>
      </c>
      <c r="B3613">
        <v>4898000</v>
      </c>
      <c r="C3613" t="str">
        <f t="shared" si="56"/>
        <v>4. $250K-1M</v>
      </c>
      <c r="D3613" t="s">
        <v>800</v>
      </c>
      <c r="E3613" t="s">
        <v>237</v>
      </c>
      <c r="F3613" t="s">
        <v>670</v>
      </c>
      <c r="G3613" t="s">
        <v>59</v>
      </c>
      <c r="H3613">
        <v>2023</v>
      </c>
    </row>
    <row r="3614" spans="1:8" x14ac:dyDescent="0.2">
      <c r="A3614">
        <v>234137</v>
      </c>
      <c r="B3614">
        <v>55000</v>
      </c>
      <c r="C3614" t="str">
        <f t="shared" si="56"/>
        <v>5. $1M+</v>
      </c>
      <c r="D3614" t="s">
        <v>1173</v>
      </c>
      <c r="E3614" t="s">
        <v>432</v>
      </c>
      <c r="F3614" t="s">
        <v>670</v>
      </c>
      <c r="G3614" t="s">
        <v>59</v>
      </c>
      <c r="H3614">
        <v>2023</v>
      </c>
    </row>
    <row r="3615" spans="1:8" x14ac:dyDescent="0.2">
      <c r="A3615">
        <v>234140</v>
      </c>
      <c r="B3615">
        <v>250000000</v>
      </c>
      <c r="C3615" t="str">
        <f t="shared" si="56"/>
        <v>3. $50K-250K</v>
      </c>
      <c r="D3615" t="s">
        <v>349</v>
      </c>
      <c r="E3615" t="s">
        <v>28</v>
      </c>
      <c r="F3615" t="s">
        <v>29</v>
      </c>
      <c r="G3615" t="s">
        <v>44</v>
      </c>
      <c r="H3615">
        <v>2023</v>
      </c>
    </row>
    <row r="3616" spans="1:8" x14ac:dyDescent="0.2">
      <c r="A3616">
        <v>234165</v>
      </c>
      <c r="B3616">
        <v>20000</v>
      </c>
      <c r="C3616" t="str">
        <f t="shared" si="56"/>
        <v>5. $1M+</v>
      </c>
      <c r="D3616" t="s">
        <v>958</v>
      </c>
      <c r="E3616" t="s">
        <v>432</v>
      </c>
      <c r="F3616" t="s">
        <v>670</v>
      </c>
      <c r="G3616" t="s">
        <v>59</v>
      </c>
      <c r="H3616">
        <v>2023</v>
      </c>
    </row>
    <row r="3617" spans="1:8" x14ac:dyDescent="0.2">
      <c r="A3617">
        <v>234166</v>
      </c>
      <c r="B3617">
        <v>431470</v>
      </c>
      <c r="C3617" t="str">
        <f t="shared" si="56"/>
        <v>2. $10K-50K</v>
      </c>
      <c r="D3617" t="s">
        <v>1613</v>
      </c>
      <c r="E3617" t="s">
        <v>237</v>
      </c>
      <c r="F3617" t="s">
        <v>670</v>
      </c>
      <c r="G3617" t="s">
        <v>59</v>
      </c>
      <c r="H3617">
        <v>2023</v>
      </c>
    </row>
    <row r="3618" spans="1:8" x14ac:dyDescent="0.2">
      <c r="A3618">
        <v>234167</v>
      </c>
      <c r="B3618">
        <v>308000</v>
      </c>
      <c r="C3618" t="str">
        <f t="shared" si="56"/>
        <v>4. $250K-1M</v>
      </c>
      <c r="D3618" t="s">
        <v>762</v>
      </c>
      <c r="E3618" t="s">
        <v>237</v>
      </c>
      <c r="F3618" t="s">
        <v>670</v>
      </c>
      <c r="G3618" t="s">
        <v>59</v>
      </c>
      <c r="H3618">
        <v>2023</v>
      </c>
    </row>
    <row r="3619" spans="1:8" x14ac:dyDescent="0.2">
      <c r="A3619">
        <v>234169</v>
      </c>
      <c r="B3619">
        <v>427904</v>
      </c>
      <c r="C3619" t="str">
        <f t="shared" si="56"/>
        <v>4. $250K-1M</v>
      </c>
      <c r="D3619" t="s">
        <v>711</v>
      </c>
      <c r="E3619" t="s">
        <v>237</v>
      </c>
      <c r="F3619" t="s">
        <v>670</v>
      </c>
      <c r="G3619" t="s">
        <v>59</v>
      </c>
      <c r="H3619">
        <v>2023</v>
      </c>
    </row>
    <row r="3620" spans="1:8" x14ac:dyDescent="0.2">
      <c r="A3620">
        <v>234170</v>
      </c>
      <c r="B3620">
        <v>460800</v>
      </c>
      <c r="C3620" t="str">
        <f t="shared" si="56"/>
        <v>4. $250K-1M</v>
      </c>
      <c r="D3620" t="s">
        <v>822</v>
      </c>
      <c r="E3620" t="s">
        <v>237</v>
      </c>
      <c r="F3620" t="s">
        <v>670</v>
      </c>
      <c r="G3620" t="s">
        <v>59</v>
      </c>
      <c r="H3620">
        <v>2023</v>
      </c>
    </row>
    <row r="3621" spans="1:8" x14ac:dyDescent="0.2">
      <c r="A3621">
        <v>234171</v>
      </c>
      <c r="B3621">
        <v>4846000</v>
      </c>
      <c r="C3621" t="str">
        <f t="shared" si="56"/>
        <v>4. $250K-1M</v>
      </c>
      <c r="D3621" t="s">
        <v>928</v>
      </c>
      <c r="E3621" t="s">
        <v>237</v>
      </c>
      <c r="F3621" t="s">
        <v>670</v>
      </c>
      <c r="G3621" t="s">
        <v>59</v>
      </c>
      <c r="H3621">
        <v>2023</v>
      </c>
    </row>
    <row r="3622" spans="1:8" x14ac:dyDescent="0.2">
      <c r="A3622">
        <v>234237</v>
      </c>
      <c r="B3622">
        <v>2887060</v>
      </c>
      <c r="C3622" t="str">
        <f t="shared" si="56"/>
        <v>5. $1M+</v>
      </c>
      <c r="D3622" t="s">
        <v>1429</v>
      </c>
      <c r="E3622" t="s">
        <v>28</v>
      </c>
      <c r="F3622" t="s">
        <v>668</v>
      </c>
      <c r="G3622" t="s">
        <v>59</v>
      </c>
      <c r="H3622">
        <v>2023</v>
      </c>
    </row>
    <row r="3623" spans="1:8" x14ac:dyDescent="0.2">
      <c r="A3623">
        <v>234263</v>
      </c>
      <c r="B3623">
        <v>40000</v>
      </c>
      <c r="C3623" t="str">
        <f t="shared" si="56"/>
        <v>5. $1M+</v>
      </c>
      <c r="D3623" t="s">
        <v>958</v>
      </c>
      <c r="E3623" t="s">
        <v>432</v>
      </c>
      <c r="F3623" t="s">
        <v>670</v>
      </c>
      <c r="G3623" t="s">
        <v>59</v>
      </c>
      <c r="H3623">
        <v>2023</v>
      </c>
    </row>
    <row r="3624" spans="1:8" x14ac:dyDescent="0.2">
      <c r="A3624">
        <v>234274</v>
      </c>
      <c r="B3624">
        <v>25000</v>
      </c>
      <c r="C3624" t="str">
        <f t="shared" si="56"/>
        <v>2. $10K-50K</v>
      </c>
      <c r="D3624" t="s">
        <v>804</v>
      </c>
      <c r="E3624" t="s">
        <v>432</v>
      </c>
      <c r="F3624" t="s">
        <v>670</v>
      </c>
      <c r="G3624" t="s">
        <v>59</v>
      </c>
      <c r="H3624">
        <v>2023</v>
      </c>
    </row>
    <row r="3625" spans="1:8" x14ac:dyDescent="0.2">
      <c r="A3625">
        <v>234275</v>
      </c>
      <c r="B3625">
        <v>50000</v>
      </c>
      <c r="C3625" t="str">
        <f t="shared" si="56"/>
        <v>2. $10K-50K</v>
      </c>
      <c r="D3625" t="s">
        <v>817</v>
      </c>
      <c r="E3625" t="s">
        <v>368</v>
      </c>
      <c r="F3625" t="s">
        <v>670</v>
      </c>
      <c r="G3625" t="s">
        <v>59</v>
      </c>
      <c r="H3625">
        <v>2023</v>
      </c>
    </row>
    <row r="3626" spans="1:8" x14ac:dyDescent="0.2">
      <c r="A3626">
        <v>234276</v>
      </c>
      <c r="B3626">
        <v>105000</v>
      </c>
      <c r="C3626" t="str">
        <f t="shared" si="56"/>
        <v>3. $50K-250K</v>
      </c>
      <c r="D3626" t="s">
        <v>1614</v>
      </c>
      <c r="E3626" t="s">
        <v>42</v>
      </c>
      <c r="F3626" t="s">
        <v>668</v>
      </c>
      <c r="G3626" t="s">
        <v>59</v>
      </c>
      <c r="H3626">
        <v>2023</v>
      </c>
    </row>
    <row r="3627" spans="1:8" x14ac:dyDescent="0.2">
      <c r="A3627">
        <v>234374</v>
      </c>
      <c r="B3627">
        <v>450000</v>
      </c>
      <c r="C3627" t="str">
        <f t="shared" si="56"/>
        <v>3. $50K-250K</v>
      </c>
      <c r="D3627" t="s">
        <v>1615</v>
      </c>
      <c r="E3627" t="s">
        <v>112</v>
      </c>
      <c r="F3627" t="s">
        <v>668</v>
      </c>
      <c r="G3627" t="s">
        <v>59</v>
      </c>
      <c r="H3627">
        <v>2023</v>
      </c>
    </row>
    <row r="3628" spans="1:8" x14ac:dyDescent="0.2">
      <c r="A3628">
        <v>234377</v>
      </c>
      <c r="B3628">
        <v>50000</v>
      </c>
      <c r="C3628" t="str">
        <f t="shared" si="56"/>
        <v>4. $250K-1M</v>
      </c>
      <c r="D3628" t="s">
        <v>1289</v>
      </c>
      <c r="E3628" t="s">
        <v>112</v>
      </c>
      <c r="F3628" t="s">
        <v>668</v>
      </c>
      <c r="G3628" t="s">
        <v>59</v>
      </c>
      <c r="H3628">
        <v>2023</v>
      </c>
    </row>
    <row r="3629" spans="1:8" x14ac:dyDescent="0.2">
      <c r="A3629">
        <v>234379</v>
      </c>
      <c r="B3629">
        <v>25000</v>
      </c>
      <c r="C3629" t="str">
        <f t="shared" si="56"/>
        <v>3. $50K-250K</v>
      </c>
      <c r="D3629" t="s">
        <v>1616</v>
      </c>
      <c r="E3629" t="s">
        <v>112</v>
      </c>
      <c r="F3629" t="s">
        <v>668</v>
      </c>
      <c r="G3629" t="s">
        <v>59</v>
      </c>
      <c r="H3629">
        <v>2023</v>
      </c>
    </row>
    <row r="3630" spans="1:8" x14ac:dyDescent="0.2">
      <c r="A3630">
        <v>234385</v>
      </c>
      <c r="B3630">
        <v>123345</v>
      </c>
      <c r="C3630" t="str">
        <f t="shared" si="56"/>
        <v>2. $10K-50K</v>
      </c>
      <c r="D3630" t="s">
        <v>1617</v>
      </c>
      <c r="E3630" t="s">
        <v>99</v>
      </c>
      <c r="F3630" t="s">
        <v>668</v>
      </c>
      <c r="G3630" t="s">
        <v>59</v>
      </c>
      <c r="H3630">
        <v>2023</v>
      </c>
    </row>
    <row r="3631" spans="1:8" x14ac:dyDescent="0.2">
      <c r="A3631">
        <v>234386</v>
      </c>
      <c r="B3631">
        <v>250000</v>
      </c>
      <c r="C3631" t="str">
        <f t="shared" si="56"/>
        <v>3. $50K-250K</v>
      </c>
      <c r="D3631" t="s">
        <v>1618</v>
      </c>
      <c r="E3631" t="s">
        <v>99</v>
      </c>
      <c r="F3631" t="s">
        <v>668</v>
      </c>
      <c r="G3631" t="s">
        <v>59</v>
      </c>
      <c r="H3631">
        <v>2023</v>
      </c>
    </row>
    <row r="3632" spans="1:8" x14ac:dyDescent="0.2">
      <c r="A3632">
        <v>234388</v>
      </c>
      <c r="B3632">
        <v>250000</v>
      </c>
      <c r="C3632" t="str">
        <f t="shared" si="56"/>
        <v>4. $250K-1M</v>
      </c>
      <c r="D3632" t="s">
        <v>1619</v>
      </c>
      <c r="E3632" t="s">
        <v>99</v>
      </c>
      <c r="F3632" t="s">
        <v>668</v>
      </c>
      <c r="G3632" t="s">
        <v>59</v>
      </c>
      <c r="H3632">
        <v>2023</v>
      </c>
    </row>
    <row r="3633" spans="1:8" x14ac:dyDescent="0.2">
      <c r="A3633">
        <v>234398</v>
      </c>
      <c r="B3633">
        <v>45000</v>
      </c>
      <c r="C3633" t="str">
        <f t="shared" si="56"/>
        <v>4. $250K-1M</v>
      </c>
      <c r="D3633" t="s">
        <v>1620</v>
      </c>
      <c r="E3633" t="s">
        <v>112</v>
      </c>
      <c r="F3633" t="s">
        <v>668</v>
      </c>
      <c r="G3633" t="s">
        <v>59</v>
      </c>
      <c r="H3633">
        <v>2023</v>
      </c>
    </row>
    <row r="3634" spans="1:8" x14ac:dyDescent="0.2">
      <c r="A3634">
        <v>234400</v>
      </c>
      <c r="B3634">
        <v>100000</v>
      </c>
      <c r="C3634" t="str">
        <f t="shared" si="56"/>
        <v>2. $10K-50K</v>
      </c>
      <c r="D3634" t="s">
        <v>1621</v>
      </c>
      <c r="E3634" t="s">
        <v>112</v>
      </c>
      <c r="F3634" t="s">
        <v>668</v>
      </c>
      <c r="G3634" t="s">
        <v>59</v>
      </c>
      <c r="H3634">
        <v>2023</v>
      </c>
    </row>
    <row r="3635" spans="1:8" x14ac:dyDescent="0.2">
      <c r="A3635">
        <v>234418</v>
      </c>
      <c r="B3635">
        <v>280599</v>
      </c>
      <c r="C3635" t="str">
        <f t="shared" si="56"/>
        <v>3. $50K-250K</v>
      </c>
      <c r="D3635" t="s">
        <v>41</v>
      </c>
      <c r="E3635" t="s">
        <v>59</v>
      </c>
      <c r="F3635" t="s">
        <v>670</v>
      </c>
      <c r="G3635" t="s">
        <v>59</v>
      </c>
      <c r="H3635">
        <v>2023</v>
      </c>
    </row>
    <row r="3636" spans="1:8" x14ac:dyDescent="0.2">
      <c r="A3636">
        <v>234446</v>
      </c>
      <c r="B3636">
        <v>864903.6</v>
      </c>
      <c r="C3636" t="str">
        <f t="shared" si="56"/>
        <v>4. $250K-1M</v>
      </c>
      <c r="D3636" t="s">
        <v>801</v>
      </c>
      <c r="E3636" t="s">
        <v>42</v>
      </c>
      <c r="F3636" t="s">
        <v>670</v>
      </c>
      <c r="G3636" t="s">
        <v>59</v>
      </c>
      <c r="H3636">
        <v>2023</v>
      </c>
    </row>
    <row r="3637" spans="1:8" x14ac:dyDescent="0.2">
      <c r="A3637">
        <v>234516</v>
      </c>
      <c r="B3637">
        <v>25000</v>
      </c>
      <c r="C3637" t="str">
        <f t="shared" si="56"/>
        <v>4. $250K-1M</v>
      </c>
      <c r="D3637" t="s">
        <v>1622</v>
      </c>
      <c r="E3637" t="s">
        <v>112</v>
      </c>
      <c r="F3637" t="s">
        <v>668</v>
      </c>
      <c r="G3637" t="s">
        <v>59</v>
      </c>
      <c r="H3637">
        <v>2023</v>
      </c>
    </row>
    <row r="3638" spans="1:8" x14ac:dyDescent="0.2">
      <c r="A3638">
        <v>234604</v>
      </c>
      <c r="B3638">
        <v>16960</v>
      </c>
      <c r="C3638" t="str">
        <f t="shared" si="56"/>
        <v>2. $10K-50K</v>
      </c>
      <c r="D3638" t="s">
        <v>1397</v>
      </c>
      <c r="E3638" t="s">
        <v>368</v>
      </c>
      <c r="F3638" t="s">
        <v>670</v>
      </c>
      <c r="G3638" t="s">
        <v>59</v>
      </c>
      <c r="H3638">
        <v>2023</v>
      </c>
    </row>
    <row r="3639" spans="1:8" x14ac:dyDescent="0.2">
      <c r="A3639">
        <v>234607</v>
      </c>
      <c r="B3639">
        <v>100000</v>
      </c>
      <c r="C3639" t="str">
        <f t="shared" si="56"/>
        <v>2. $10K-50K</v>
      </c>
      <c r="D3639" t="s">
        <v>897</v>
      </c>
      <c r="E3639" t="s">
        <v>112</v>
      </c>
      <c r="F3639" t="s">
        <v>668</v>
      </c>
      <c r="G3639" t="s">
        <v>59</v>
      </c>
      <c r="H3639">
        <v>2023</v>
      </c>
    </row>
    <row r="3640" spans="1:8" x14ac:dyDescent="0.2">
      <c r="A3640">
        <v>234608</v>
      </c>
      <c r="B3640">
        <v>30000</v>
      </c>
      <c r="C3640" t="str">
        <f t="shared" si="56"/>
        <v>3. $50K-250K</v>
      </c>
      <c r="D3640" t="s">
        <v>1623</v>
      </c>
      <c r="E3640" t="s">
        <v>112</v>
      </c>
      <c r="F3640" t="s">
        <v>668</v>
      </c>
      <c r="G3640" t="s">
        <v>59</v>
      </c>
      <c r="H3640">
        <v>2023</v>
      </c>
    </row>
    <row r="3641" spans="1:8" x14ac:dyDescent="0.2">
      <c r="A3641">
        <v>234610</v>
      </c>
      <c r="B3641">
        <v>45000</v>
      </c>
      <c r="C3641" t="str">
        <f t="shared" si="56"/>
        <v>2. $10K-50K</v>
      </c>
      <c r="D3641" t="s">
        <v>920</v>
      </c>
      <c r="E3641" t="s">
        <v>112</v>
      </c>
      <c r="F3641" t="s">
        <v>668</v>
      </c>
      <c r="G3641" t="s">
        <v>59</v>
      </c>
      <c r="H3641">
        <v>2023</v>
      </c>
    </row>
    <row r="3642" spans="1:8" x14ac:dyDescent="0.2">
      <c r="A3642">
        <v>234613</v>
      </c>
      <c r="B3642">
        <v>40000</v>
      </c>
      <c r="C3642" t="str">
        <f t="shared" si="56"/>
        <v>2. $10K-50K</v>
      </c>
      <c r="D3642" t="s">
        <v>816</v>
      </c>
      <c r="E3642" t="s">
        <v>112</v>
      </c>
      <c r="F3642" t="s">
        <v>668</v>
      </c>
      <c r="G3642" t="s">
        <v>59</v>
      </c>
      <c r="H3642">
        <v>2023</v>
      </c>
    </row>
    <row r="3643" spans="1:8" x14ac:dyDescent="0.2">
      <c r="A3643">
        <v>234614</v>
      </c>
      <c r="B3643">
        <v>45000</v>
      </c>
      <c r="C3643" t="str">
        <f t="shared" si="56"/>
        <v>2. $10K-50K</v>
      </c>
      <c r="D3643" t="s">
        <v>1624</v>
      </c>
      <c r="E3643" t="s">
        <v>112</v>
      </c>
      <c r="F3643" t="s">
        <v>668</v>
      </c>
      <c r="G3643" t="s">
        <v>59</v>
      </c>
      <c r="H3643">
        <v>2023</v>
      </c>
    </row>
    <row r="3644" spans="1:8" x14ac:dyDescent="0.2">
      <c r="A3644">
        <v>234658</v>
      </c>
      <c r="B3644">
        <v>25000</v>
      </c>
      <c r="C3644" t="str">
        <f t="shared" si="56"/>
        <v>2. $10K-50K</v>
      </c>
      <c r="D3644" t="s">
        <v>804</v>
      </c>
      <c r="E3644" t="s">
        <v>432</v>
      </c>
      <c r="F3644" t="s">
        <v>670</v>
      </c>
      <c r="G3644" t="s">
        <v>59</v>
      </c>
      <c r="H3644">
        <v>2023</v>
      </c>
    </row>
    <row r="3645" spans="1:8" x14ac:dyDescent="0.2">
      <c r="A3645">
        <v>234659</v>
      </c>
      <c r="B3645">
        <v>25000</v>
      </c>
      <c r="C3645" t="str">
        <f t="shared" si="56"/>
        <v>2. $10K-50K</v>
      </c>
      <c r="D3645" t="s">
        <v>804</v>
      </c>
      <c r="E3645" t="s">
        <v>432</v>
      </c>
      <c r="F3645" t="s">
        <v>670</v>
      </c>
      <c r="G3645" t="s">
        <v>59</v>
      </c>
      <c r="H3645">
        <v>2023</v>
      </c>
    </row>
    <row r="3646" spans="1:8" x14ac:dyDescent="0.2">
      <c r="A3646">
        <v>234677</v>
      </c>
      <c r="B3646">
        <v>30000000</v>
      </c>
      <c r="C3646" t="str">
        <f t="shared" si="56"/>
        <v>2. $10K-50K</v>
      </c>
      <c r="D3646" t="s">
        <v>236</v>
      </c>
      <c r="E3646" t="s">
        <v>237</v>
      </c>
      <c r="F3646" t="s">
        <v>43</v>
      </c>
      <c r="G3646" t="s">
        <v>232</v>
      </c>
      <c r="H3646">
        <v>2023</v>
      </c>
    </row>
    <row r="3647" spans="1:8" x14ac:dyDescent="0.2">
      <c r="A3647">
        <v>234698</v>
      </c>
      <c r="B3647">
        <v>1833651</v>
      </c>
      <c r="C3647" t="str">
        <f t="shared" si="56"/>
        <v>5. $1M+</v>
      </c>
      <c r="D3647" t="s">
        <v>778</v>
      </c>
      <c r="E3647" t="s">
        <v>59</v>
      </c>
      <c r="F3647" t="s">
        <v>670</v>
      </c>
      <c r="G3647" t="s">
        <v>59</v>
      </c>
      <c r="H3647">
        <v>2023</v>
      </c>
    </row>
    <row r="3648" spans="1:8" x14ac:dyDescent="0.2">
      <c r="A3648">
        <v>234731</v>
      </c>
      <c r="B3648">
        <v>250000</v>
      </c>
      <c r="C3648" t="str">
        <f t="shared" si="56"/>
        <v>5. $1M+</v>
      </c>
      <c r="D3648" t="s">
        <v>1625</v>
      </c>
      <c r="E3648" t="s">
        <v>99</v>
      </c>
      <c r="F3648" t="s">
        <v>668</v>
      </c>
      <c r="G3648" t="s">
        <v>59</v>
      </c>
      <c r="H3648">
        <v>2023</v>
      </c>
    </row>
    <row r="3649" spans="1:8" x14ac:dyDescent="0.2">
      <c r="A3649">
        <v>234732</v>
      </c>
      <c r="B3649">
        <v>98489</v>
      </c>
      <c r="C3649" t="str">
        <f t="shared" si="56"/>
        <v>4. $250K-1M</v>
      </c>
      <c r="D3649" t="s">
        <v>1626</v>
      </c>
      <c r="E3649" t="s">
        <v>99</v>
      </c>
      <c r="F3649" t="s">
        <v>668</v>
      </c>
      <c r="G3649" t="s">
        <v>59</v>
      </c>
      <c r="H3649">
        <v>2023</v>
      </c>
    </row>
    <row r="3650" spans="1:8" x14ac:dyDescent="0.2">
      <c r="A3650">
        <v>234868</v>
      </c>
      <c r="B3650">
        <v>99500</v>
      </c>
      <c r="C3650" t="str">
        <f t="shared" si="56"/>
        <v>3. $50K-250K</v>
      </c>
      <c r="D3650" t="s">
        <v>1516</v>
      </c>
      <c r="E3650" t="s">
        <v>825</v>
      </c>
      <c r="F3650" t="s">
        <v>670</v>
      </c>
      <c r="G3650" t="s">
        <v>59</v>
      </c>
      <c r="H3650">
        <v>2023</v>
      </c>
    </row>
    <row r="3651" spans="1:8" x14ac:dyDescent="0.2">
      <c r="A3651">
        <v>234962</v>
      </c>
      <c r="B3651">
        <v>30000</v>
      </c>
      <c r="C3651" t="str">
        <f t="shared" ref="C3651:C3714" si="57">IF(B3650&lt;10000,"1. Under $10K",IF(B3650&lt;50000,"2. $10K-50K",IF(B3650&lt;250000,"3. $50K-250K",IF(B3650&lt;1000000,"4. $250K-1M","5. $1M+"))))</f>
        <v>3. $50K-250K</v>
      </c>
      <c r="D3651" t="s">
        <v>1008</v>
      </c>
      <c r="E3651" t="s">
        <v>432</v>
      </c>
      <c r="F3651" t="s">
        <v>670</v>
      </c>
      <c r="G3651" t="s">
        <v>59</v>
      </c>
      <c r="H3651">
        <v>2023</v>
      </c>
    </row>
    <row r="3652" spans="1:8" x14ac:dyDescent="0.2">
      <c r="A3652">
        <v>234963</v>
      </c>
      <c r="B3652">
        <v>40000</v>
      </c>
      <c r="C3652" t="str">
        <f t="shared" si="57"/>
        <v>2. $10K-50K</v>
      </c>
      <c r="D3652" t="s">
        <v>1441</v>
      </c>
      <c r="E3652" t="s">
        <v>432</v>
      </c>
      <c r="F3652" t="s">
        <v>670</v>
      </c>
      <c r="G3652" t="s">
        <v>59</v>
      </c>
      <c r="H3652">
        <v>2023</v>
      </c>
    </row>
    <row r="3653" spans="1:8" x14ac:dyDescent="0.2">
      <c r="A3653">
        <v>234964</v>
      </c>
      <c r="B3653">
        <v>41077</v>
      </c>
      <c r="C3653" t="str">
        <f t="shared" si="57"/>
        <v>2. $10K-50K</v>
      </c>
      <c r="D3653" t="s">
        <v>701</v>
      </c>
      <c r="E3653" t="s">
        <v>42</v>
      </c>
      <c r="F3653" t="s">
        <v>670</v>
      </c>
      <c r="G3653" t="s">
        <v>59</v>
      </c>
      <c r="H3653">
        <v>2023</v>
      </c>
    </row>
    <row r="3654" spans="1:8" x14ac:dyDescent="0.2">
      <c r="A3654">
        <v>234977</v>
      </c>
      <c r="B3654">
        <v>45000</v>
      </c>
      <c r="C3654" t="str">
        <f t="shared" si="57"/>
        <v>2. $10K-50K</v>
      </c>
      <c r="D3654" t="s">
        <v>1627</v>
      </c>
      <c r="E3654" t="s">
        <v>112</v>
      </c>
      <c r="F3654" t="s">
        <v>668</v>
      </c>
      <c r="G3654" t="s">
        <v>59</v>
      </c>
      <c r="H3654">
        <v>2023</v>
      </c>
    </row>
    <row r="3655" spans="1:8" x14ac:dyDescent="0.2">
      <c r="A3655">
        <v>234978</v>
      </c>
      <c r="B3655">
        <v>36892</v>
      </c>
      <c r="C3655" t="str">
        <f t="shared" si="57"/>
        <v>2. $10K-50K</v>
      </c>
      <c r="D3655" t="s">
        <v>1628</v>
      </c>
      <c r="E3655" t="s">
        <v>112</v>
      </c>
      <c r="F3655" t="s">
        <v>668</v>
      </c>
      <c r="G3655" t="s">
        <v>59</v>
      </c>
      <c r="H3655">
        <v>2023</v>
      </c>
    </row>
    <row r="3656" spans="1:8" x14ac:dyDescent="0.2">
      <c r="A3656">
        <v>234979</v>
      </c>
      <c r="B3656">
        <v>2500</v>
      </c>
      <c r="C3656" t="str">
        <f t="shared" si="57"/>
        <v>2. $10K-50K</v>
      </c>
      <c r="D3656" t="s">
        <v>1629</v>
      </c>
      <c r="E3656" t="s">
        <v>112</v>
      </c>
      <c r="F3656" t="s">
        <v>668</v>
      </c>
      <c r="G3656" t="s">
        <v>59</v>
      </c>
      <c r="H3656">
        <v>2023</v>
      </c>
    </row>
    <row r="3657" spans="1:8" x14ac:dyDescent="0.2">
      <c r="A3657">
        <v>234981</v>
      </c>
      <c r="B3657">
        <v>576609.30000000005</v>
      </c>
      <c r="C3657" t="str">
        <f t="shared" si="57"/>
        <v>1. Under $10K</v>
      </c>
      <c r="D3657" t="s">
        <v>957</v>
      </c>
      <c r="E3657" t="s">
        <v>42</v>
      </c>
      <c r="F3657" t="s">
        <v>670</v>
      </c>
      <c r="G3657" t="s">
        <v>59</v>
      </c>
      <c r="H3657">
        <v>2023</v>
      </c>
    </row>
    <row r="3658" spans="1:8" x14ac:dyDescent="0.2">
      <c r="A3658">
        <v>234987</v>
      </c>
      <c r="B3658">
        <v>395803.6</v>
      </c>
      <c r="C3658" t="str">
        <f t="shared" si="57"/>
        <v>4. $250K-1M</v>
      </c>
      <c r="D3658" t="s">
        <v>838</v>
      </c>
      <c r="E3658" t="s">
        <v>42</v>
      </c>
      <c r="F3658" t="s">
        <v>670</v>
      </c>
      <c r="G3658" t="s">
        <v>59</v>
      </c>
      <c r="H3658">
        <v>2023</v>
      </c>
    </row>
    <row r="3659" spans="1:8" x14ac:dyDescent="0.2">
      <c r="A3659">
        <v>234997</v>
      </c>
      <c r="B3659">
        <v>600000</v>
      </c>
      <c r="C3659" t="str">
        <f t="shared" si="57"/>
        <v>4. $250K-1M</v>
      </c>
      <c r="D3659" t="s">
        <v>391</v>
      </c>
      <c r="E3659" t="s">
        <v>42</v>
      </c>
      <c r="F3659" t="s">
        <v>670</v>
      </c>
      <c r="G3659" t="s">
        <v>44</v>
      </c>
      <c r="H3659">
        <v>2023</v>
      </c>
    </row>
    <row r="3660" spans="1:8" x14ac:dyDescent="0.2">
      <c r="A3660">
        <v>235030</v>
      </c>
      <c r="B3660">
        <v>24120</v>
      </c>
      <c r="C3660" t="str">
        <f t="shared" si="57"/>
        <v>4. $250K-1M</v>
      </c>
      <c r="D3660" t="s">
        <v>1039</v>
      </c>
      <c r="E3660" t="s">
        <v>237</v>
      </c>
      <c r="F3660" t="s">
        <v>670</v>
      </c>
      <c r="G3660" t="s">
        <v>59</v>
      </c>
      <c r="H3660">
        <v>2023</v>
      </c>
    </row>
    <row r="3661" spans="1:8" x14ac:dyDescent="0.2">
      <c r="A3661">
        <v>235034</v>
      </c>
      <c r="B3661">
        <v>88458.3</v>
      </c>
      <c r="C3661" t="str">
        <f t="shared" si="57"/>
        <v>2. $10K-50K</v>
      </c>
      <c r="D3661" t="s">
        <v>1011</v>
      </c>
      <c r="E3661" t="s">
        <v>237</v>
      </c>
      <c r="F3661" t="s">
        <v>670</v>
      </c>
      <c r="G3661" t="s">
        <v>59</v>
      </c>
      <c r="H3661">
        <v>2023</v>
      </c>
    </row>
    <row r="3662" spans="1:8" x14ac:dyDescent="0.2">
      <c r="A3662">
        <v>235118</v>
      </c>
      <c r="B3662">
        <v>50000</v>
      </c>
      <c r="C3662" t="str">
        <f t="shared" si="57"/>
        <v>3. $50K-250K</v>
      </c>
      <c r="D3662" t="s">
        <v>804</v>
      </c>
      <c r="E3662" t="s">
        <v>368</v>
      </c>
      <c r="F3662" t="s">
        <v>670</v>
      </c>
      <c r="G3662" t="s">
        <v>59</v>
      </c>
      <c r="H3662">
        <v>2023</v>
      </c>
    </row>
    <row r="3663" spans="1:8" x14ac:dyDescent="0.2">
      <c r="A3663">
        <v>235128</v>
      </c>
      <c r="B3663">
        <v>64110</v>
      </c>
      <c r="C3663" t="str">
        <f t="shared" si="57"/>
        <v>3. $50K-250K</v>
      </c>
      <c r="D3663" t="s">
        <v>1532</v>
      </c>
      <c r="E3663" t="s">
        <v>237</v>
      </c>
      <c r="F3663" t="s">
        <v>670</v>
      </c>
      <c r="G3663" t="s">
        <v>59</v>
      </c>
      <c r="H3663">
        <v>2023</v>
      </c>
    </row>
    <row r="3664" spans="1:8" x14ac:dyDescent="0.2">
      <c r="A3664">
        <v>235130</v>
      </c>
      <c r="B3664">
        <v>143059</v>
      </c>
      <c r="C3664" t="str">
        <f t="shared" si="57"/>
        <v>3. $50K-250K</v>
      </c>
      <c r="D3664" t="s">
        <v>1532</v>
      </c>
      <c r="E3664" t="s">
        <v>237</v>
      </c>
      <c r="F3664" t="s">
        <v>670</v>
      </c>
      <c r="G3664" t="s">
        <v>59</v>
      </c>
      <c r="H3664">
        <v>2023</v>
      </c>
    </row>
    <row r="3665" spans="1:8" x14ac:dyDescent="0.2">
      <c r="A3665">
        <v>235142</v>
      </c>
      <c r="B3665">
        <v>5998</v>
      </c>
      <c r="C3665" t="str">
        <f t="shared" si="57"/>
        <v>3. $50K-250K</v>
      </c>
      <c r="D3665" t="s">
        <v>507</v>
      </c>
      <c r="E3665" t="s">
        <v>237</v>
      </c>
      <c r="F3665" t="s">
        <v>670</v>
      </c>
      <c r="G3665" t="s">
        <v>59</v>
      </c>
      <c r="H3665">
        <v>2023</v>
      </c>
    </row>
    <row r="3666" spans="1:8" x14ac:dyDescent="0.2">
      <c r="A3666">
        <v>235160</v>
      </c>
      <c r="B3666">
        <v>36000</v>
      </c>
      <c r="C3666" t="str">
        <f t="shared" si="57"/>
        <v>1. Under $10K</v>
      </c>
      <c r="D3666" t="s">
        <v>726</v>
      </c>
      <c r="E3666" t="s">
        <v>237</v>
      </c>
      <c r="F3666" t="s">
        <v>670</v>
      </c>
      <c r="G3666" t="s">
        <v>59</v>
      </c>
      <c r="H3666">
        <v>2023</v>
      </c>
    </row>
    <row r="3667" spans="1:8" x14ac:dyDescent="0.2">
      <c r="A3667">
        <v>235231</v>
      </c>
      <c r="B3667">
        <v>278047</v>
      </c>
      <c r="C3667" t="str">
        <f t="shared" si="57"/>
        <v>2. $10K-50K</v>
      </c>
      <c r="D3667" t="s">
        <v>933</v>
      </c>
      <c r="E3667" t="s">
        <v>237</v>
      </c>
      <c r="F3667" t="s">
        <v>670</v>
      </c>
      <c r="G3667" t="s">
        <v>59</v>
      </c>
      <c r="H3667">
        <v>2023</v>
      </c>
    </row>
    <row r="3668" spans="1:8" x14ac:dyDescent="0.2">
      <c r="A3668">
        <v>235232</v>
      </c>
      <c r="B3668">
        <v>5166</v>
      </c>
      <c r="C3668" t="str">
        <f t="shared" si="57"/>
        <v>4. $250K-1M</v>
      </c>
      <c r="D3668" t="s">
        <v>1072</v>
      </c>
      <c r="E3668" t="s">
        <v>237</v>
      </c>
      <c r="F3668" t="s">
        <v>670</v>
      </c>
      <c r="G3668" t="s">
        <v>59</v>
      </c>
      <c r="H3668">
        <v>2023</v>
      </c>
    </row>
    <row r="3669" spans="1:8" x14ac:dyDescent="0.2">
      <c r="A3669">
        <v>235234</v>
      </c>
      <c r="B3669">
        <v>41216</v>
      </c>
      <c r="C3669" t="str">
        <f t="shared" si="57"/>
        <v>1. Under $10K</v>
      </c>
      <c r="D3669" t="s">
        <v>1079</v>
      </c>
      <c r="E3669" t="s">
        <v>237</v>
      </c>
      <c r="F3669" t="s">
        <v>670</v>
      </c>
      <c r="G3669" t="s">
        <v>59</v>
      </c>
      <c r="H3669">
        <v>2023</v>
      </c>
    </row>
    <row r="3670" spans="1:8" x14ac:dyDescent="0.2">
      <c r="A3670">
        <v>235236</v>
      </c>
      <c r="B3670">
        <v>41216</v>
      </c>
      <c r="C3670" t="str">
        <f t="shared" si="57"/>
        <v>2. $10K-50K</v>
      </c>
      <c r="D3670" t="s">
        <v>1079</v>
      </c>
      <c r="E3670" t="s">
        <v>237</v>
      </c>
      <c r="F3670" t="s">
        <v>670</v>
      </c>
      <c r="G3670" t="s">
        <v>59</v>
      </c>
      <c r="H3670">
        <v>2023</v>
      </c>
    </row>
    <row r="3671" spans="1:8" x14ac:dyDescent="0.2">
      <c r="A3671">
        <v>235254</v>
      </c>
      <c r="B3671">
        <v>370260</v>
      </c>
      <c r="C3671" t="str">
        <f t="shared" si="57"/>
        <v>2. $10K-50K</v>
      </c>
      <c r="D3671" t="s">
        <v>1630</v>
      </c>
      <c r="E3671" t="s">
        <v>42</v>
      </c>
      <c r="F3671" t="s">
        <v>668</v>
      </c>
      <c r="G3671" t="s">
        <v>59</v>
      </c>
      <c r="H3671">
        <v>2023</v>
      </c>
    </row>
    <row r="3672" spans="1:8" x14ac:dyDescent="0.2">
      <c r="A3672">
        <v>235404</v>
      </c>
      <c r="B3672">
        <v>171921.8</v>
      </c>
      <c r="C3672" t="str">
        <f t="shared" si="57"/>
        <v>4. $250K-1M</v>
      </c>
      <c r="D3672" t="s">
        <v>749</v>
      </c>
      <c r="E3672" t="s">
        <v>237</v>
      </c>
      <c r="F3672" t="s">
        <v>670</v>
      </c>
      <c r="G3672" t="s">
        <v>59</v>
      </c>
      <c r="H3672">
        <v>2023</v>
      </c>
    </row>
    <row r="3673" spans="1:8" x14ac:dyDescent="0.2">
      <c r="A3673">
        <v>235425</v>
      </c>
      <c r="B3673">
        <v>190996.2</v>
      </c>
      <c r="C3673" t="str">
        <f t="shared" si="57"/>
        <v>3. $50K-250K</v>
      </c>
      <c r="D3673" t="s">
        <v>785</v>
      </c>
      <c r="E3673" t="s">
        <v>42</v>
      </c>
      <c r="F3673" t="s">
        <v>670</v>
      </c>
      <c r="G3673" t="s">
        <v>59</v>
      </c>
      <c r="H3673">
        <v>2023</v>
      </c>
    </row>
    <row r="3674" spans="1:8" x14ac:dyDescent="0.2">
      <c r="A3674">
        <v>235426</v>
      </c>
      <c r="B3674">
        <v>430807.9</v>
      </c>
      <c r="C3674" t="str">
        <f t="shared" si="57"/>
        <v>3. $50K-250K</v>
      </c>
      <c r="D3674" t="s">
        <v>977</v>
      </c>
      <c r="E3674" t="s">
        <v>42</v>
      </c>
      <c r="F3674" t="s">
        <v>670</v>
      </c>
      <c r="G3674" t="s">
        <v>59</v>
      </c>
      <c r="H3674">
        <v>2023</v>
      </c>
    </row>
    <row r="3675" spans="1:8" x14ac:dyDescent="0.2">
      <c r="A3675">
        <v>235427</v>
      </c>
      <c r="B3675">
        <v>719615.4</v>
      </c>
      <c r="C3675" t="str">
        <f t="shared" si="57"/>
        <v>4. $250K-1M</v>
      </c>
      <c r="D3675" t="s">
        <v>978</v>
      </c>
      <c r="E3675" t="s">
        <v>42</v>
      </c>
      <c r="F3675" t="s">
        <v>670</v>
      </c>
      <c r="G3675" t="s">
        <v>59</v>
      </c>
      <c r="H3675">
        <v>2023</v>
      </c>
    </row>
    <row r="3676" spans="1:8" x14ac:dyDescent="0.2">
      <c r="A3676">
        <v>235438</v>
      </c>
      <c r="B3676">
        <v>40000</v>
      </c>
      <c r="C3676" t="str">
        <f t="shared" si="57"/>
        <v>4. $250K-1M</v>
      </c>
      <c r="D3676" t="s">
        <v>1442</v>
      </c>
      <c r="E3676" t="s">
        <v>432</v>
      </c>
      <c r="F3676" t="s">
        <v>670</v>
      </c>
      <c r="G3676" t="s">
        <v>59</v>
      </c>
      <c r="H3676">
        <v>2023</v>
      </c>
    </row>
    <row r="3677" spans="1:8" x14ac:dyDescent="0.2">
      <c r="A3677">
        <v>235468</v>
      </c>
      <c r="B3677">
        <v>6000</v>
      </c>
      <c r="C3677" t="str">
        <f t="shared" si="57"/>
        <v>2. $10K-50K</v>
      </c>
      <c r="D3677" t="s">
        <v>807</v>
      </c>
      <c r="E3677" t="s">
        <v>237</v>
      </c>
      <c r="F3677" t="s">
        <v>670</v>
      </c>
      <c r="G3677" t="s">
        <v>59</v>
      </c>
      <c r="H3677">
        <v>2023</v>
      </c>
    </row>
    <row r="3678" spans="1:8" x14ac:dyDescent="0.2">
      <c r="A3678">
        <v>235499</v>
      </c>
      <c r="B3678">
        <v>129352.2</v>
      </c>
      <c r="C3678" t="str">
        <f t="shared" si="57"/>
        <v>1. Under $10K</v>
      </c>
      <c r="D3678" t="s">
        <v>1075</v>
      </c>
      <c r="E3678" t="s">
        <v>237</v>
      </c>
      <c r="F3678" t="s">
        <v>670</v>
      </c>
      <c r="G3678" t="s">
        <v>59</v>
      </c>
      <c r="H3678">
        <v>2023</v>
      </c>
    </row>
    <row r="3679" spans="1:8" x14ac:dyDescent="0.2">
      <c r="A3679">
        <v>235500</v>
      </c>
      <c r="B3679">
        <v>18000</v>
      </c>
      <c r="C3679" t="str">
        <f t="shared" si="57"/>
        <v>3. $50K-250K</v>
      </c>
      <c r="D3679" t="s">
        <v>1409</v>
      </c>
      <c r="E3679" t="s">
        <v>368</v>
      </c>
      <c r="F3679" t="s">
        <v>670</v>
      </c>
      <c r="G3679" t="s">
        <v>59</v>
      </c>
      <c r="H3679">
        <v>2023</v>
      </c>
    </row>
    <row r="3680" spans="1:8" x14ac:dyDescent="0.2">
      <c r="A3680">
        <v>235501</v>
      </c>
      <c r="B3680">
        <v>165806.79999999999</v>
      </c>
      <c r="C3680" t="str">
        <f t="shared" si="57"/>
        <v>2. $10K-50K</v>
      </c>
      <c r="D3680" t="s">
        <v>1074</v>
      </c>
      <c r="E3680" t="s">
        <v>237</v>
      </c>
      <c r="F3680" t="s">
        <v>670</v>
      </c>
      <c r="G3680" t="s">
        <v>59</v>
      </c>
      <c r="H3680">
        <v>2023</v>
      </c>
    </row>
    <row r="3681" spans="1:8" x14ac:dyDescent="0.2">
      <c r="A3681">
        <v>235524</v>
      </c>
      <c r="B3681">
        <v>7791624</v>
      </c>
      <c r="C3681" t="str">
        <f t="shared" si="57"/>
        <v>3. $50K-250K</v>
      </c>
      <c r="D3681" t="s">
        <v>350</v>
      </c>
      <c r="E3681" t="s">
        <v>24</v>
      </c>
      <c r="F3681" t="s">
        <v>12</v>
      </c>
      <c r="G3681" t="s">
        <v>10</v>
      </c>
      <c r="H3681">
        <v>2023</v>
      </c>
    </row>
    <row r="3682" spans="1:8" x14ac:dyDescent="0.2">
      <c r="A3682">
        <v>235531</v>
      </c>
      <c r="B3682">
        <v>88854.1</v>
      </c>
      <c r="C3682" t="str">
        <f t="shared" si="57"/>
        <v>5. $1M+</v>
      </c>
      <c r="D3682" t="s">
        <v>804</v>
      </c>
      <c r="E3682" t="s">
        <v>237</v>
      </c>
      <c r="F3682" t="s">
        <v>670</v>
      </c>
      <c r="G3682" t="s">
        <v>59</v>
      </c>
      <c r="H3682">
        <v>2023</v>
      </c>
    </row>
    <row r="3683" spans="1:8" x14ac:dyDescent="0.2">
      <c r="A3683">
        <v>235550</v>
      </c>
      <c r="B3683">
        <v>248070.3</v>
      </c>
      <c r="C3683" t="str">
        <f t="shared" si="57"/>
        <v>3. $50K-250K</v>
      </c>
      <c r="D3683" t="s">
        <v>1074</v>
      </c>
      <c r="E3683" t="s">
        <v>237</v>
      </c>
      <c r="F3683" t="s">
        <v>670</v>
      </c>
      <c r="G3683" t="s">
        <v>59</v>
      </c>
      <c r="H3683">
        <v>2023</v>
      </c>
    </row>
    <row r="3684" spans="1:8" x14ac:dyDescent="0.2">
      <c r="A3684">
        <v>235554</v>
      </c>
      <c r="B3684">
        <v>120790.39999999999</v>
      </c>
      <c r="C3684" t="str">
        <f t="shared" si="57"/>
        <v>3. $50K-250K</v>
      </c>
      <c r="D3684" t="s">
        <v>1360</v>
      </c>
      <c r="E3684" t="s">
        <v>237</v>
      </c>
      <c r="F3684" t="s">
        <v>670</v>
      </c>
      <c r="G3684" t="s">
        <v>59</v>
      </c>
      <c r="H3684">
        <v>2023</v>
      </c>
    </row>
    <row r="3685" spans="1:8" x14ac:dyDescent="0.2">
      <c r="A3685">
        <v>235558</v>
      </c>
      <c r="B3685">
        <v>36000</v>
      </c>
      <c r="C3685" t="str">
        <f t="shared" si="57"/>
        <v>3. $50K-250K</v>
      </c>
      <c r="D3685" t="s">
        <v>707</v>
      </c>
      <c r="E3685" t="s">
        <v>237</v>
      </c>
      <c r="F3685" t="s">
        <v>670</v>
      </c>
      <c r="G3685" t="s">
        <v>59</v>
      </c>
      <c r="H3685">
        <v>2023</v>
      </c>
    </row>
    <row r="3686" spans="1:8" x14ac:dyDescent="0.2">
      <c r="A3686">
        <v>235559</v>
      </c>
      <c r="B3686">
        <v>99832.8</v>
      </c>
      <c r="C3686" t="str">
        <f t="shared" si="57"/>
        <v>2. $10K-50K</v>
      </c>
      <c r="D3686" t="s">
        <v>1360</v>
      </c>
      <c r="E3686" t="s">
        <v>237</v>
      </c>
      <c r="F3686" t="s">
        <v>670</v>
      </c>
      <c r="G3686" t="s">
        <v>59</v>
      </c>
      <c r="H3686">
        <v>2023</v>
      </c>
    </row>
    <row r="3687" spans="1:8" x14ac:dyDescent="0.2">
      <c r="A3687">
        <v>235560</v>
      </c>
      <c r="B3687">
        <v>86350.399999999994</v>
      </c>
      <c r="C3687" t="str">
        <f t="shared" si="57"/>
        <v>3. $50K-250K</v>
      </c>
      <c r="D3687" t="s">
        <v>762</v>
      </c>
      <c r="E3687" t="s">
        <v>237</v>
      </c>
      <c r="F3687" t="s">
        <v>670</v>
      </c>
      <c r="G3687" t="s">
        <v>59</v>
      </c>
      <c r="H3687">
        <v>2023</v>
      </c>
    </row>
    <row r="3688" spans="1:8" x14ac:dyDescent="0.2">
      <c r="A3688">
        <v>235562</v>
      </c>
      <c r="B3688">
        <v>237389.6</v>
      </c>
      <c r="C3688" t="str">
        <f t="shared" si="57"/>
        <v>3. $50K-250K</v>
      </c>
      <c r="D3688" t="s">
        <v>1549</v>
      </c>
      <c r="E3688" t="s">
        <v>99</v>
      </c>
      <c r="F3688" t="s">
        <v>670</v>
      </c>
      <c r="G3688" t="s">
        <v>59</v>
      </c>
      <c r="H3688">
        <v>2023</v>
      </c>
    </row>
    <row r="3689" spans="1:8" x14ac:dyDescent="0.2">
      <c r="A3689">
        <v>235646</v>
      </c>
      <c r="B3689">
        <v>139024</v>
      </c>
      <c r="C3689" t="str">
        <f t="shared" si="57"/>
        <v>3. $50K-250K</v>
      </c>
      <c r="D3689" t="s">
        <v>673</v>
      </c>
      <c r="E3689" t="s">
        <v>237</v>
      </c>
      <c r="F3689" t="s">
        <v>670</v>
      </c>
      <c r="G3689" t="s">
        <v>59</v>
      </c>
      <c r="H3689">
        <v>2023</v>
      </c>
    </row>
    <row r="3690" spans="1:8" x14ac:dyDescent="0.2">
      <c r="A3690">
        <v>235671</v>
      </c>
      <c r="B3690">
        <v>12256480</v>
      </c>
      <c r="C3690" t="str">
        <f t="shared" si="57"/>
        <v>3. $50K-250K</v>
      </c>
      <c r="D3690" t="s">
        <v>351</v>
      </c>
      <c r="E3690" t="s">
        <v>18</v>
      </c>
      <c r="F3690" t="s">
        <v>12</v>
      </c>
      <c r="G3690" t="s">
        <v>10</v>
      </c>
      <c r="H3690">
        <v>2023</v>
      </c>
    </row>
    <row r="3691" spans="1:8" x14ac:dyDescent="0.2">
      <c r="A3691">
        <v>235714</v>
      </c>
      <c r="B3691">
        <v>36000</v>
      </c>
      <c r="C3691" t="str">
        <f t="shared" si="57"/>
        <v>5. $1M+</v>
      </c>
      <c r="D3691" t="s">
        <v>929</v>
      </c>
      <c r="E3691" t="s">
        <v>237</v>
      </c>
      <c r="F3691" t="s">
        <v>670</v>
      </c>
      <c r="G3691" t="s">
        <v>59</v>
      </c>
      <c r="H3691">
        <v>2023</v>
      </c>
    </row>
    <row r="3692" spans="1:8" x14ac:dyDescent="0.2">
      <c r="A3692">
        <v>235716</v>
      </c>
      <c r="B3692">
        <v>54000</v>
      </c>
      <c r="C3692" t="str">
        <f t="shared" si="57"/>
        <v>2. $10K-50K</v>
      </c>
      <c r="D3692" t="s">
        <v>1468</v>
      </c>
      <c r="E3692" t="s">
        <v>237</v>
      </c>
      <c r="F3692" t="s">
        <v>670</v>
      </c>
      <c r="G3692" t="s">
        <v>59</v>
      </c>
      <c r="H3692">
        <v>2023</v>
      </c>
    </row>
    <row r="3693" spans="1:8" x14ac:dyDescent="0.2">
      <c r="A3693">
        <v>235726</v>
      </c>
      <c r="B3693">
        <v>6000</v>
      </c>
      <c r="C3693" t="str">
        <f t="shared" si="57"/>
        <v>3. $50K-250K</v>
      </c>
      <c r="D3693" t="s">
        <v>719</v>
      </c>
      <c r="E3693" t="s">
        <v>237</v>
      </c>
      <c r="F3693" t="s">
        <v>670</v>
      </c>
      <c r="G3693" t="s">
        <v>59</v>
      </c>
      <c r="H3693">
        <v>2023</v>
      </c>
    </row>
    <row r="3694" spans="1:8" x14ac:dyDescent="0.2">
      <c r="A3694">
        <v>235727</v>
      </c>
      <c r="B3694">
        <v>6000</v>
      </c>
      <c r="C3694" t="str">
        <f t="shared" si="57"/>
        <v>1. Under $10K</v>
      </c>
      <c r="D3694" t="s">
        <v>719</v>
      </c>
      <c r="E3694" t="s">
        <v>237</v>
      </c>
      <c r="F3694" t="s">
        <v>670</v>
      </c>
      <c r="G3694" t="s">
        <v>59</v>
      </c>
      <c r="H3694">
        <v>2023</v>
      </c>
    </row>
    <row r="3695" spans="1:8" x14ac:dyDescent="0.2">
      <c r="A3695">
        <v>235730</v>
      </c>
      <c r="B3695">
        <v>239310.6</v>
      </c>
      <c r="C3695" t="str">
        <f t="shared" si="57"/>
        <v>1. Under $10K</v>
      </c>
      <c r="D3695" t="s">
        <v>352</v>
      </c>
      <c r="E3695" t="s">
        <v>69</v>
      </c>
      <c r="F3695" t="s">
        <v>22</v>
      </c>
      <c r="G3695" t="s">
        <v>103</v>
      </c>
      <c r="H3695">
        <v>2023</v>
      </c>
    </row>
    <row r="3696" spans="1:8" x14ac:dyDescent="0.2">
      <c r="A3696">
        <v>236043</v>
      </c>
      <c r="B3696">
        <v>18000</v>
      </c>
      <c r="C3696" t="str">
        <f t="shared" si="57"/>
        <v>3. $50K-250K</v>
      </c>
      <c r="D3696" t="s">
        <v>783</v>
      </c>
      <c r="E3696" t="s">
        <v>42</v>
      </c>
      <c r="F3696" t="s">
        <v>670</v>
      </c>
      <c r="G3696" t="s">
        <v>44</v>
      </c>
      <c r="H3696">
        <v>2023</v>
      </c>
    </row>
    <row r="3697" spans="1:8" x14ac:dyDescent="0.2">
      <c r="A3697">
        <v>236047</v>
      </c>
      <c r="B3697">
        <v>45000</v>
      </c>
      <c r="C3697" t="str">
        <f t="shared" si="57"/>
        <v>2. $10K-50K</v>
      </c>
      <c r="D3697" t="s">
        <v>801</v>
      </c>
      <c r="E3697" t="s">
        <v>42</v>
      </c>
      <c r="F3697" t="s">
        <v>670</v>
      </c>
      <c r="G3697" t="s">
        <v>44</v>
      </c>
      <c r="H3697">
        <v>2023</v>
      </c>
    </row>
    <row r="3698" spans="1:8" x14ac:dyDescent="0.2">
      <c r="A3698">
        <v>236095</v>
      </c>
      <c r="B3698">
        <v>30000</v>
      </c>
      <c r="C3698" t="str">
        <f t="shared" si="57"/>
        <v>2. $10K-50K</v>
      </c>
      <c r="D3698" t="s">
        <v>812</v>
      </c>
      <c r="E3698" t="s">
        <v>825</v>
      </c>
      <c r="F3698" t="s">
        <v>670</v>
      </c>
      <c r="G3698" t="s">
        <v>59</v>
      </c>
      <c r="H3698">
        <v>2023</v>
      </c>
    </row>
    <row r="3699" spans="1:8" x14ac:dyDescent="0.2">
      <c r="A3699">
        <v>236097</v>
      </c>
      <c r="B3699">
        <v>14854</v>
      </c>
      <c r="C3699" t="str">
        <f t="shared" si="57"/>
        <v>2. $10K-50K</v>
      </c>
      <c r="D3699" t="s">
        <v>832</v>
      </c>
      <c r="E3699" t="s">
        <v>237</v>
      </c>
      <c r="F3699" t="s">
        <v>670</v>
      </c>
      <c r="G3699" t="s">
        <v>59</v>
      </c>
      <c r="H3699">
        <v>2023</v>
      </c>
    </row>
    <row r="3700" spans="1:8" x14ac:dyDescent="0.2">
      <c r="A3700">
        <v>236098</v>
      </c>
      <c r="B3700">
        <v>6000</v>
      </c>
      <c r="C3700" t="str">
        <f t="shared" si="57"/>
        <v>2. $10K-50K</v>
      </c>
      <c r="D3700" t="s">
        <v>860</v>
      </c>
      <c r="E3700" t="s">
        <v>237</v>
      </c>
      <c r="F3700" t="s">
        <v>670</v>
      </c>
      <c r="G3700" t="s">
        <v>59</v>
      </c>
      <c r="H3700">
        <v>2023</v>
      </c>
    </row>
    <row r="3701" spans="1:8" x14ac:dyDescent="0.2">
      <c r="A3701">
        <v>236099</v>
      </c>
      <c r="B3701">
        <v>6000</v>
      </c>
      <c r="C3701" t="str">
        <f t="shared" si="57"/>
        <v>1. Under $10K</v>
      </c>
      <c r="D3701" t="s">
        <v>507</v>
      </c>
      <c r="E3701" t="s">
        <v>237</v>
      </c>
      <c r="F3701" t="s">
        <v>670</v>
      </c>
      <c r="G3701" t="s">
        <v>59</v>
      </c>
      <c r="H3701">
        <v>2023</v>
      </c>
    </row>
    <row r="3702" spans="1:8" x14ac:dyDescent="0.2">
      <c r="A3702">
        <v>236102</v>
      </c>
      <c r="B3702">
        <v>194959.3</v>
      </c>
      <c r="C3702" t="str">
        <f t="shared" si="57"/>
        <v>1. Under $10K</v>
      </c>
      <c r="D3702" t="s">
        <v>832</v>
      </c>
      <c r="E3702" t="s">
        <v>237</v>
      </c>
      <c r="F3702" t="s">
        <v>670</v>
      </c>
      <c r="G3702" t="s">
        <v>59</v>
      </c>
      <c r="H3702">
        <v>2023</v>
      </c>
    </row>
    <row r="3703" spans="1:8" x14ac:dyDescent="0.2">
      <c r="A3703">
        <v>236130</v>
      </c>
      <c r="B3703">
        <v>109835</v>
      </c>
      <c r="C3703" t="str">
        <f t="shared" si="57"/>
        <v>3. $50K-250K</v>
      </c>
      <c r="D3703" t="s">
        <v>807</v>
      </c>
      <c r="E3703" t="s">
        <v>59</v>
      </c>
      <c r="F3703" t="s">
        <v>670</v>
      </c>
      <c r="G3703" t="s">
        <v>59</v>
      </c>
      <c r="H3703">
        <v>2023</v>
      </c>
    </row>
    <row r="3704" spans="1:8" x14ac:dyDescent="0.2">
      <c r="A3704">
        <v>236134</v>
      </c>
      <c r="B3704">
        <v>139024</v>
      </c>
      <c r="C3704" t="str">
        <f t="shared" si="57"/>
        <v>3. $50K-250K</v>
      </c>
      <c r="D3704" t="s">
        <v>1103</v>
      </c>
      <c r="E3704" t="s">
        <v>237</v>
      </c>
      <c r="F3704" t="s">
        <v>670</v>
      </c>
      <c r="G3704" t="s">
        <v>59</v>
      </c>
      <c r="H3704">
        <v>2023</v>
      </c>
    </row>
    <row r="3705" spans="1:8" x14ac:dyDescent="0.2">
      <c r="A3705">
        <v>236213</v>
      </c>
      <c r="B3705">
        <v>6000</v>
      </c>
      <c r="C3705" t="str">
        <f t="shared" si="57"/>
        <v>3. $50K-250K</v>
      </c>
      <c r="D3705" t="s">
        <v>1631</v>
      </c>
      <c r="E3705" t="s">
        <v>112</v>
      </c>
      <c r="F3705" t="s">
        <v>668</v>
      </c>
      <c r="G3705" t="s">
        <v>59</v>
      </c>
      <c r="H3705">
        <v>2023</v>
      </c>
    </row>
    <row r="3706" spans="1:8" x14ac:dyDescent="0.2">
      <c r="A3706">
        <v>236214</v>
      </c>
      <c r="B3706">
        <v>6000</v>
      </c>
      <c r="C3706" t="str">
        <f t="shared" si="57"/>
        <v>1. Under $10K</v>
      </c>
      <c r="D3706" t="s">
        <v>1632</v>
      </c>
      <c r="E3706" t="s">
        <v>112</v>
      </c>
      <c r="F3706" t="s">
        <v>668</v>
      </c>
      <c r="G3706" t="s">
        <v>59</v>
      </c>
      <c r="H3706">
        <v>2023</v>
      </c>
    </row>
    <row r="3707" spans="1:8" x14ac:dyDescent="0.2">
      <c r="A3707">
        <v>236215</v>
      </c>
      <c r="B3707">
        <v>248669.9</v>
      </c>
      <c r="C3707" t="str">
        <f t="shared" si="57"/>
        <v>1. Under $10K</v>
      </c>
      <c r="D3707" t="s">
        <v>1063</v>
      </c>
      <c r="E3707" t="s">
        <v>237</v>
      </c>
      <c r="F3707" t="s">
        <v>670</v>
      </c>
      <c r="G3707" t="s">
        <v>59</v>
      </c>
      <c r="H3707">
        <v>2023</v>
      </c>
    </row>
    <row r="3708" spans="1:8" x14ac:dyDescent="0.2">
      <c r="A3708">
        <v>236217</v>
      </c>
      <c r="B3708">
        <v>136834.79999999999</v>
      </c>
      <c r="C3708" t="str">
        <f t="shared" si="57"/>
        <v>3. $50K-250K</v>
      </c>
      <c r="D3708" t="s">
        <v>957</v>
      </c>
      <c r="E3708" t="s">
        <v>237</v>
      </c>
      <c r="F3708" t="s">
        <v>670</v>
      </c>
      <c r="G3708" t="s">
        <v>59</v>
      </c>
      <c r="H3708">
        <v>2023</v>
      </c>
    </row>
    <row r="3709" spans="1:8" x14ac:dyDescent="0.2">
      <c r="A3709">
        <v>236219</v>
      </c>
      <c r="B3709">
        <v>183907.8</v>
      </c>
      <c r="C3709" t="str">
        <f t="shared" si="57"/>
        <v>3. $50K-250K</v>
      </c>
      <c r="D3709" t="s">
        <v>801</v>
      </c>
      <c r="E3709" t="s">
        <v>237</v>
      </c>
      <c r="F3709" t="s">
        <v>670</v>
      </c>
      <c r="G3709" t="s">
        <v>59</v>
      </c>
      <c r="H3709">
        <v>2023</v>
      </c>
    </row>
    <row r="3710" spans="1:8" x14ac:dyDescent="0.2">
      <c r="A3710">
        <v>236222</v>
      </c>
      <c r="B3710">
        <v>113012.1</v>
      </c>
      <c r="C3710" t="str">
        <f t="shared" si="57"/>
        <v>3. $50K-250K</v>
      </c>
      <c r="D3710" t="s">
        <v>1096</v>
      </c>
      <c r="E3710" t="s">
        <v>237</v>
      </c>
      <c r="F3710" t="s">
        <v>670</v>
      </c>
      <c r="G3710" t="s">
        <v>59</v>
      </c>
      <c r="H3710">
        <v>2023</v>
      </c>
    </row>
    <row r="3711" spans="1:8" x14ac:dyDescent="0.2">
      <c r="A3711">
        <v>236233</v>
      </c>
      <c r="B3711">
        <v>105322.5</v>
      </c>
      <c r="C3711" t="str">
        <f t="shared" si="57"/>
        <v>3. $50K-250K</v>
      </c>
      <c r="D3711" t="s">
        <v>805</v>
      </c>
      <c r="E3711" t="s">
        <v>237</v>
      </c>
      <c r="F3711" t="s">
        <v>670</v>
      </c>
      <c r="G3711" t="s">
        <v>59</v>
      </c>
      <c r="H3711">
        <v>2023</v>
      </c>
    </row>
    <row r="3712" spans="1:8" x14ac:dyDescent="0.2">
      <c r="A3712">
        <v>236271</v>
      </c>
      <c r="B3712">
        <v>13228376.199999999</v>
      </c>
      <c r="C3712" t="str">
        <f t="shared" si="57"/>
        <v>3. $50K-250K</v>
      </c>
      <c r="D3712" t="s">
        <v>353</v>
      </c>
      <c r="E3712" t="s">
        <v>24</v>
      </c>
      <c r="F3712" t="s">
        <v>12</v>
      </c>
      <c r="G3712" t="s">
        <v>10</v>
      </c>
      <c r="H3712">
        <v>2023</v>
      </c>
    </row>
    <row r="3713" spans="1:8" x14ac:dyDescent="0.2">
      <c r="A3713">
        <v>236274</v>
      </c>
      <c r="B3713">
        <v>3645354.6</v>
      </c>
      <c r="C3713" t="str">
        <f t="shared" si="57"/>
        <v>5. $1M+</v>
      </c>
      <c r="D3713" t="s">
        <v>354</v>
      </c>
      <c r="E3713" t="s">
        <v>24</v>
      </c>
      <c r="F3713" t="s">
        <v>9</v>
      </c>
      <c r="G3713" t="s">
        <v>10</v>
      </c>
      <c r="H3713">
        <v>2024</v>
      </c>
    </row>
    <row r="3714" spans="1:8" x14ac:dyDescent="0.2">
      <c r="A3714">
        <v>236275</v>
      </c>
      <c r="B3714">
        <v>5115129.2</v>
      </c>
      <c r="C3714" t="str">
        <f t="shared" si="57"/>
        <v>5. $1M+</v>
      </c>
      <c r="D3714" t="s">
        <v>353</v>
      </c>
      <c r="E3714" t="s">
        <v>24</v>
      </c>
      <c r="F3714" t="s">
        <v>9</v>
      </c>
      <c r="G3714" t="s">
        <v>10</v>
      </c>
      <c r="H3714">
        <v>2023</v>
      </c>
    </row>
    <row r="3715" spans="1:8" x14ac:dyDescent="0.2">
      <c r="A3715">
        <v>236276</v>
      </c>
      <c r="B3715">
        <v>4310378.0999999996</v>
      </c>
      <c r="C3715" t="str">
        <f t="shared" ref="C3715:C3778" si="58">IF(B3714&lt;10000,"1. Under $10K",IF(B3714&lt;50000,"2. $10K-50K",IF(B3714&lt;250000,"3. $50K-250K",IF(B3714&lt;1000000,"4. $250K-1M","5. $1M+"))))</f>
        <v>5. $1M+</v>
      </c>
      <c r="D3715" t="s">
        <v>354</v>
      </c>
      <c r="E3715" t="s">
        <v>24</v>
      </c>
      <c r="F3715" t="s">
        <v>9</v>
      </c>
      <c r="G3715" t="s">
        <v>10</v>
      </c>
      <c r="H3715">
        <v>2023</v>
      </c>
    </row>
    <row r="3716" spans="1:8" x14ac:dyDescent="0.2">
      <c r="A3716">
        <v>236279</v>
      </c>
      <c r="B3716">
        <v>112500</v>
      </c>
      <c r="C3716" t="str">
        <f t="shared" si="58"/>
        <v>5. $1M+</v>
      </c>
      <c r="D3716" t="s">
        <v>1633</v>
      </c>
      <c r="E3716" t="s">
        <v>52</v>
      </c>
      <c r="F3716" t="s">
        <v>668</v>
      </c>
      <c r="G3716" t="s">
        <v>59</v>
      </c>
      <c r="H3716">
        <v>2023</v>
      </c>
    </row>
    <row r="3717" spans="1:8" x14ac:dyDescent="0.2">
      <c r="A3717">
        <v>236282</v>
      </c>
      <c r="B3717">
        <v>4550</v>
      </c>
      <c r="C3717" t="str">
        <f t="shared" si="58"/>
        <v>3. $50K-250K</v>
      </c>
      <c r="D3717" t="s">
        <v>1634</v>
      </c>
      <c r="E3717" t="s">
        <v>141</v>
      </c>
      <c r="F3717" t="s">
        <v>668</v>
      </c>
      <c r="G3717" t="s">
        <v>59</v>
      </c>
      <c r="H3717">
        <v>2023</v>
      </c>
    </row>
    <row r="3718" spans="1:8" x14ac:dyDescent="0.2">
      <c r="A3718">
        <v>236285</v>
      </c>
      <c r="B3718">
        <v>8271894</v>
      </c>
      <c r="C3718" t="str">
        <f t="shared" si="58"/>
        <v>1. Under $10K</v>
      </c>
      <c r="D3718" t="s">
        <v>774</v>
      </c>
      <c r="E3718" t="s">
        <v>42</v>
      </c>
      <c r="F3718" t="s">
        <v>668</v>
      </c>
      <c r="G3718" t="s">
        <v>59</v>
      </c>
      <c r="H3718">
        <v>2023</v>
      </c>
    </row>
    <row r="3719" spans="1:8" x14ac:dyDescent="0.2">
      <c r="A3719">
        <v>236288</v>
      </c>
      <c r="B3719">
        <v>1825725.2</v>
      </c>
      <c r="C3719" t="str">
        <f t="shared" si="58"/>
        <v>5. $1M+</v>
      </c>
      <c r="D3719" t="s">
        <v>1500</v>
      </c>
      <c r="E3719" t="s">
        <v>28</v>
      </c>
      <c r="F3719" t="s">
        <v>668</v>
      </c>
      <c r="G3719" t="s">
        <v>59</v>
      </c>
      <c r="H3719">
        <v>2023</v>
      </c>
    </row>
    <row r="3720" spans="1:8" x14ac:dyDescent="0.2">
      <c r="A3720">
        <v>236289</v>
      </c>
      <c r="B3720">
        <v>16500000</v>
      </c>
      <c r="C3720" t="str">
        <f t="shared" si="58"/>
        <v>5. $1M+</v>
      </c>
      <c r="D3720" t="s">
        <v>1085</v>
      </c>
      <c r="E3720" t="s">
        <v>28</v>
      </c>
      <c r="F3720" t="s">
        <v>668</v>
      </c>
      <c r="G3720" t="s">
        <v>59</v>
      </c>
      <c r="H3720">
        <v>2023</v>
      </c>
    </row>
    <row r="3721" spans="1:8" x14ac:dyDescent="0.2">
      <c r="A3721">
        <v>236290</v>
      </c>
      <c r="B3721">
        <v>336313.1</v>
      </c>
      <c r="C3721" t="str">
        <f t="shared" si="58"/>
        <v>5. $1M+</v>
      </c>
      <c r="D3721" t="s">
        <v>575</v>
      </c>
      <c r="E3721" t="s">
        <v>237</v>
      </c>
      <c r="F3721" t="s">
        <v>670</v>
      </c>
      <c r="G3721" t="s">
        <v>59</v>
      </c>
      <c r="H3721">
        <v>2023</v>
      </c>
    </row>
    <row r="3722" spans="1:8" x14ac:dyDescent="0.2">
      <c r="A3722">
        <v>236291</v>
      </c>
      <c r="B3722">
        <v>275009</v>
      </c>
      <c r="C3722" t="str">
        <f t="shared" si="58"/>
        <v>4. $250K-1M</v>
      </c>
      <c r="D3722" t="s">
        <v>799</v>
      </c>
      <c r="E3722" t="s">
        <v>237</v>
      </c>
      <c r="F3722" t="s">
        <v>670</v>
      </c>
      <c r="G3722" t="s">
        <v>59</v>
      </c>
      <c r="H3722">
        <v>2023</v>
      </c>
    </row>
    <row r="3723" spans="1:8" x14ac:dyDescent="0.2">
      <c r="A3723">
        <v>236293</v>
      </c>
      <c r="B3723">
        <v>69903.8</v>
      </c>
      <c r="C3723" t="str">
        <f t="shared" si="58"/>
        <v>4. $250K-1M</v>
      </c>
      <c r="D3723" t="s">
        <v>713</v>
      </c>
      <c r="E3723" t="s">
        <v>237</v>
      </c>
      <c r="F3723" t="s">
        <v>670</v>
      </c>
      <c r="G3723" t="s">
        <v>59</v>
      </c>
      <c r="H3723">
        <v>2023</v>
      </c>
    </row>
    <row r="3724" spans="1:8" x14ac:dyDescent="0.2">
      <c r="A3724">
        <v>236294</v>
      </c>
      <c r="B3724">
        <v>547215.80000000005</v>
      </c>
      <c r="C3724" t="str">
        <f t="shared" si="58"/>
        <v>3. $50K-250K</v>
      </c>
      <c r="D3724" t="s">
        <v>575</v>
      </c>
      <c r="E3724" t="s">
        <v>237</v>
      </c>
      <c r="F3724" t="s">
        <v>670</v>
      </c>
      <c r="G3724" t="s">
        <v>59</v>
      </c>
      <c r="H3724">
        <v>2023</v>
      </c>
    </row>
    <row r="3725" spans="1:8" x14ac:dyDescent="0.2">
      <c r="A3725">
        <v>236296</v>
      </c>
      <c r="B3725">
        <v>141166.20000000001</v>
      </c>
      <c r="C3725" t="str">
        <f t="shared" si="58"/>
        <v>4. $250K-1M</v>
      </c>
      <c r="D3725" t="s">
        <v>980</v>
      </c>
      <c r="E3725" t="s">
        <v>237</v>
      </c>
      <c r="F3725" t="s">
        <v>670</v>
      </c>
      <c r="G3725" t="s">
        <v>59</v>
      </c>
      <c r="H3725">
        <v>2023</v>
      </c>
    </row>
    <row r="3726" spans="1:8" x14ac:dyDescent="0.2">
      <c r="A3726">
        <v>236299</v>
      </c>
      <c r="B3726">
        <v>206576.1</v>
      </c>
      <c r="C3726" t="str">
        <f t="shared" si="58"/>
        <v>3. $50K-250K</v>
      </c>
      <c r="D3726" t="s">
        <v>1094</v>
      </c>
      <c r="E3726" t="s">
        <v>237</v>
      </c>
      <c r="F3726" t="s">
        <v>670</v>
      </c>
      <c r="G3726" t="s">
        <v>59</v>
      </c>
      <c r="H3726">
        <v>2023</v>
      </c>
    </row>
    <row r="3727" spans="1:8" x14ac:dyDescent="0.2">
      <c r="A3727">
        <v>236310</v>
      </c>
      <c r="B3727">
        <v>275125.09999999998</v>
      </c>
      <c r="C3727" t="str">
        <f t="shared" si="58"/>
        <v>3. $50K-250K</v>
      </c>
      <c r="D3727" t="s">
        <v>799</v>
      </c>
      <c r="E3727" t="s">
        <v>237</v>
      </c>
      <c r="F3727" t="s">
        <v>670</v>
      </c>
      <c r="G3727" t="s">
        <v>59</v>
      </c>
      <c r="H3727">
        <v>2023</v>
      </c>
    </row>
    <row r="3728" spans="1:8" x14ac:dyDescent="0.2">
      <c r="A3728">
        <v>236311</v>
      </c>
      <c r="B3728">
        <v>633099</v>
      </c>
      <c r="C3728" t="str">
        <f t="shared" si="58"/>
        <v>4. $250K-1M</v>
      </c>
      <c r="D3728" t="s">
        <v>719</v>
      </c>
      <c r="E3728" t="s">
        <v>42</v>
      </c>
      <c r="F3728" t="s">
        <v>670</v>
      </c>
      <c r="G3728" t="s">
        <v>44</v>
      </c>
      <c r="H3728">
        <v>2023</v>
      </c>
    </row>
    <row r="3729" spans="1:8" x14ac:dyDescent="0.2">
      <c r="A3729">
        <v>236312</v>
      </c>
      <c r="B3729">
        <v>107606.9</v>
      </c>
      <c r="C3729" t="str">
        <f t="shared" si="58"/>
        <v>4. $250K-1M</v>
      </c>
      <c r="D3729" t="s">
        <v>762</v>
      </c>
      <c r="E3729" t="s">
        <v>237</v>
      </c>
      <c r="F3729" t="s">
        <v>670</v>
      </c>
      <c r="G3729" t="s">
        <v>59</v>
      </c>
      <c r="H3729">
        <v>2023</v>
      </c>
    </row>
    <row r="3730" spans="1:8" x14ac:dyDescent="0.2">
      <c r="A3730">
        <v>236323</v>
      </c>
      <c r="B3730">
        <v>89987</v>
      </c>
      <c r="C3730" t="str">
        <f t="shared" si="58"/>
        <v>3. $50K-250K</v>
      </c>
      <c r="D3730" t="s">
        <v>822</v>
      </c>
      <c r="E3730" t="s">
        <v>825</v>
      </c>
      <c r="F3730" t="s">
        <v>670</v>
      </c>
      <c r="G3730" t="s">
        <v>59</v>
      </c>
      <c r="H3730">
        <v>2023</v>
      </c>
    </row>
    <row r="3731" spans="1:8" x14ac:dyDescent="0.2">
      <c r="A3731">
        <v>236342</v>
      </c>
      <c r="B3731">
        <v>110000</v>
      </c>
      <c r="C3731" t="str">
        <f t="shared" si="58"/>
        <v>3. $50K-250K</v>
      </c>
      <c r="D3731" t="s">
        <v>1635</v>
      </c>
      <c r="E3731" t="s">
        <v>112</v>
      </c>
      <c r="F3731" t="s">
        <v>668</v>
      </c>
      <c r="G3731" t="s">
        <v>59</v>
      </c>
      <c r="H3731">
        <v>2023</v>
      </c>
    </row>
    <row r="3732" spans="1:8" x14ac:dyDescent="0.2">
      <c r="A3732">
        <v>236343</v>
      </c>
      <c r="B3732">
        <v>50000</v>
      </c>
      <c r="C3732" t="str">
        <f t="shared" si="58"/>
        <v>3. $50K-250K</v>
      </c>
      <c r="D3732" t="s">
        <v>1636</v>
      </c>
      <c r="E3732" t="s">
        <v>112</v>
      </c>
      <c r="F3732" t="s">
        <v>668</v>
      </c>
      <c r="G3732" t="s">
        <v>59</v>
      </c>
      <c r="H3732">
        <v>2023</v>
      </c>
    </row>
    <row r="3733" spans="1:8" x14ac:dyDescent="0.2">
      <c r="A3733">
        <v>236344</v>
      </c>
      <c r="B3733">
        <v>225000</v>
      </c>
      <c r="C3733" t="str">
        <f t="shared" si="58"/>
        <v>3. $50K-250K</v>
      </c>
      <c r="D3733" t="s">
        <v>1637</v>
      </c>
      <c r="E3733" t="s">
        <v>112</v>
      </c>
      <c r="F3733" t="s">
        <v>668</v>
      </c>
      <c r="G3733" t="s">
        <v>59</v>
      </c>
      <c r="H3733">
        <v>2023</v>
      </c>
    </row>
    <row r="3734" spans="1:8" x14ac:dyDescent="0.2">
      <c r="A3734">
        <v>236345</v>
      </c>
      <c r="B3734">
        <v>243920</v>
      </c>
      <c r="C3734" t="str">
        <f t="shared" si="58"/>
        <v>3. $50K-250K</v>
      </c>
      <c r="D3734" t="s">
        <v>1638</v>
      </c>
      <c r="E3734" t="s">
        <v>99</v>
      </c>
      <c r="F3734" t="s">
        <v>668</v>
      </c>
      <c r="G3734" t="s">
        <v>59</v>
      </c>
      <c r="H3734">
        <v>2023</v>
      </c>
    </row>
    <row r="3735" spans="1:8" x14ac:dyDescent="0.2">
      <c r="A3735">
        <v>236346</v>
      </c>
      <c r="B3735">
        <v>102834</v>
      </c>
      <c r="C3735" t="str">
        <f t="shared" si="58"/>
        <v>3. $50K-250K</v>
      </c>
      <c r="D3735" t="s">
        <v>575</v>
      </c>
      <c r="E3735" t="s">
        <v>237</v>
      </c>
      <c r="F3735" t="s">
        <v>670</v>
      </c>
      <c r="G3735" t="s">
        <v>59</v>
      </c>
      <c r="H3735">
        <v>2023</v>
      </c>
    </row>
    <row r="3736" spans="1:8" x14ac:dyDescent="0.2">
      <c r="A3736">
        <v>236348</v>
      </c>
      <c r="B3736">
        <v>36000</v>
      </c>
      <c r="C3736" t="str">
        <f t="shared" si="58"/>
        <v>3. $50K-250K</v>
      </c>
      <c r="D3736" t="s">
        <v>1168</v>
      </c>
      <c r="E3736" t="s">
        <v>237</v>
      </c>
      <c r="F3736" t="s">
        <v>670</v>
      </c>
      <c r="G3736" t="s">
        <v>59</v>
      </c>
      <c r="H3736">
        <v>2023</v>
      </c>
    </row>
    <row r="3737" spans="1:8" x14ac:dyDescent="0.2">
      <c r="A3737">
        <v>236349</v>
      </c>
      <c r="B3737">
        <v>6000</v>
      </c>
      <c r="C3737" t="str">
        <f t="shared" si="58"/>
        <v>2. $10K-50K</v>
      </c>
      <c r="D3737" t="s">
        <v>867</v>
      </c>
      <c r="E3737" t="s">
        <v>237</v>
      </c>
      <c r="F3737" t="s">
        <v>670</v>
      </c>
      <c r="G3737" t="s">
        <v>59</v>
      </c>
      <c r="H3737">
        <v>2023</v>
      </c>
    </row>
    <row r="3738" spans="1:8" x14ac:dyDescent="0.2">
      <c r="A3738">
        <v>236351</v>
      </c>
      <c r="B3738">
        <v>6000</v>
      </c>
      <c r="C3738" t="str">
        <f t="shared" si="58"/>
        <v>1. Under $10K</v>
      </c>
      <c r="D3738" t="s">
        <v>867</v>
      </c>
      <c r="E3738" t="s">
        <v>237</v>
      </c>
      <c r="F3738" t="s">
        <v>670</v>
      </c>
      <c r="G3738" t="s">
        <v>59</v>
      </c>
      <c r="H3738">
        <v>2023</v>
      </c>
    </row>
    <row r="3739" spans="1:8" x14ac:dyDescent="0.2">
      <c r="A3739">
        <v>236352</v>
      </c>
      <c r="B3739">
        <v>26280</v>
      </c>
      <c r="C3739" t="str">
        <f t="shared" si="58"/>
        <v>1. Under $10K</v>
      </c>
      <c r="D3739" t="s">
        <v>870</v>
      </c>
      <c r="E3739" t="s">
        <v>237</v>
      </c>
      <c r="F3739" t="s">
        <v>670</v>
      </c>
      <c r="G3739" t="s">
        <v>59</v>
      </c>
      <c r="H3739">
        <v>2023</v>
      </c>
    </row>
    <row r="3740" spans="1:8" x14ac:dyDescent="0.2">
      <c r="A3740">
        <v>236353</v>
      </c>
      <c r="B3740">
        <v>193317.4</v>
      </c>
      <c r="C3740" t="str">
        <f t="shared" si="58"/>
        <v>2. $10K-50K</v>
      </c>
      <c r="D3740" t="s">
        <v>1546</v>
      </c>
      <c r="E3740" t="s">
        <v>237</v>
      </c>
      <c r="F3740" t="s">
        <v>670</v>
      </c>
      <c r="G3740" t="s">
        <v>59</v>
      </c>
      <c r="H3740">
        <v>2023</v>
      </c>
    </row>
    <row r="3741" spans="1:8" x14ac:dyDescent="0.2">
      <c r="A3741">
        <v>236354</v>
      </c>
      <c r="B3741">
        <v>169329.3</v>
      </c>
      <c r="C3741" t="str">
        <f t="shared" si="58"/>
        <v>3. $50K-250K</v>
      </c>
      <c r="D3741" t="s">
        <v>749</v>
      </c>
      <c r="E3741" t="s">
        <v>237</v>
      </c>
      <c r="F3741" t="s">
        <v>670</v>
      </c>
      <c r="G3741" t="s">
        <v>59</v>
      </c>
      <c r="H3741">
        <v>2023</v>
      </c>
    </row>
    <row r="3742" spans="1:8" x14ac:dyDescent="0.2">
      <c r="A3742">
        <v>236355</v>
      </c>
      <c r="B3742">
        <v>149272.70000000001</v>
      </c>
      <c r="C3742" t="str">
        <f t="shared" si="58"/>
        <v>3. $50K-250K</v>
      </c>
      <c r="D3742" t="s">
        <v>749</v>
      </c>
      <c r="E3742" t="s">
        <v>237</v>
      </c>
      <c r="F3742" t="s">
        <v>670</v>
      </c>
      <c r="G3742" t="s">
        <v>59</v>
      </c>
      <c r="H3742">
        <v>2023</v>
      </c>
    </row>
    <row r="3743" spans="1:8" x14ac:dyDescent="0.2">
      <c r="A3743">
        <v>236356</v>
      </c>
      <c r="B3743">
        <v>141318.39999999999</v>
      </c>
      <c r="C3743" t="str">
        <f t="shared" si="58"/>
        <v>3. $50K-250K</v>
      </c>
      <c r="D3743" t="s">
        <v>1094</v>
      </c>
      <c r="E3743" t="s">
        <v>237</v>
      </c>
      <c r="F3743" t="s">
        <v>670</v>
      </c>
      <c r="G3743" t="s">
        <v>59</v>
      </c>
      <c r="H3743">
        <v>2023</v>
      </c>
    </row>
    <row r="3744" spans="1:8" x14ac:dyDescent="0.2">
      <c r="A3744">
        <v>236357</v>
      </c>
      <c r="B3744">
        <v>148024.70000000001</v>
      </c>
      <c r="C3744" t="str">
        <f t="shared" si="58"/>
        <v>3. $50K-250K</v>
      </c>
      <c r="D3744" t="s">
        <v>1094</v>
      </c>
      <c r="E3744" t="s">
        <v>237</v>
      </c>
      <c r="F3744" t="s">
        <v>670</v>
      </c>
      <c r="G3744" t="s">
        <v>59</v>
      </c>
      <c r="H3744">
        <v>2023</v>
      </c>
    </row>
    <row r="3745" spans="1:8" x14ac:dyDescent="0.2">
      <c r="A3745">
        <v>236364</v>
      </c>
      <c r="B3745">
        <v>6000</v>
      </c>
      <c r="C3745" t="str">
        <f t="shared" si="58"/>
        <v>3. $50K-250K</v>
      </c>
      <c r="D3745" t="s">
        <v>1639</v>
      </c>
      <c r="E3745" t="s">
        <v>112</v>
      </c>
      <c r="F3745" t="s">
        <v>668</v>
      </c>
      <c r="G3745" t="s">
        <v>59</v>
      </c>
      <c r="H3745">
        <v>2023</v>
      </c>
    </row>
    <row r="3746" spans="1:8" x14ac:dyDescent="0.2">
      <c r="A3746">
        <v>236378</v>
      </c>
      <c r="B3746">
        <v>1483511</v>
      </c>
      <c r="C3746" t="str">
        <f t="shared" si="58"/>
        <v>1. Under $10K</v>
      </c>
      <c r="D3746" t="s">
        <v>957</v>
      </c>
      <c r="E3746" t="s">
        <v>42</v>
      </c>
      <c r="F3746" t="s">
        <v>670</v>
      </c>
      <c r="G3746" t="s">
        <v>44</v>
      </c>
      <c r="H3746">
        <v>2023</v>
      </c>
    </row>
    <row r="3747" spans="1:8" x14ac:dyDescent="0.2">
      <c r="A3747">
        <v>236380</v>
      </c>
      <c r="B3747">
        <v>1074329</v>
      </c>
      <c r="C3747" t="str">
        <f t="shared" si="58"/>
        <v>5. $1M+</v>
      </c>
      <c r="D3747" t="s">
        <v>977</v>
      </c>
      <c r="E3747" t="s">
        <v>42</v>
      </c>
      <c r="F3747" t="s">
        <v>670</v>
      </c>
      <c r="G3747" t="s">
        <v>44</v>
      </c>
      <c r="H3747">
        <v>2023</v>
      </c>
    </row>
    <row r="3748" spans="1:8" x14ac:dyDescent="0.2">
      <c r="A3748">
        <v>236381</v>
      </c>
      <c r="B3748">
        <v>1398166</v>
      </c>
      <c r="C3748" t="str">
        <f t="shared" si="58"/>
        <v>5. $1M+</v>
      </c>
      <c r="D3748" t="s">
        <v>978</v>
      </c>
      <c r="E3748" t="s">
        <v>42</v>
      </c>
      <c r="F3748" t="s">
        <v>670</v>
      </c>
      <c r="G3748" t="s">
        <v>44</v>
      </c>
      <c r="H3748">
        <v>2023</v>
      </c>
    </row>
    <row r="3749" spans="1:8" x14ac:dyDescent="0.2">
      <c r="A3749">
        <v>236383</v>
      </c>
      <c r="B3749">
        <v>1398166</v>
      </c>
      <c r="C3749" t="str">
        <f t="shared" si="58"/>
        <v>5. $1M+</v>
      </c>
      <c r="D3749" t="s">
        <v>801</v>
      </c>
      <c r="E3749" t="s">
        <v>42</v>
      </c>
      <c r="F3749" t="s">
        <v>670</v>
      </c>
      <c r="G3749" t="s">
        <v>44</v>
      </c>
      <c r="H3749">
        <v>2023</v>
      </c>
    </row>
    <row r="3750" spans="1:8" x14ac:dyDescent="0.2">
      <c r="A3750">
        <v>236546</v>
      </c>
      <c r="B3750">
        <v>8449025</v>
      </c>
      <c r="C3750" t="str">
        <f t="shared" si="58"/>
        <v>5. $1M+</v>
      </c>
      <c r="D3750" t="s">
        <v>38</v>
      </c>
      <c r="E3750" t="s">
        <v>8</v>
      </c>
      <c r="F3750" t="s">
        <v>25</v>
      </c>
      <c r="G3750" t="s">
        <v>10</v>
      </c>
      <c r="H3750">
        <v>2023</v>
      </c>
    </row>
    <row r="3751" spans="1:8" x14ac:dyDescent="0.2">
      <c r="A3751">
        <v>236555</v>
      </c>
      <c r="B3751">
        <v>5500000</v>
      </c>
      <c r="C3751" t="str">
        <f t="shared" si="58"/>
        <v>5. $1M+</v>
      </c>
      <c r="D3751" t="s">
        <v>1520</v>
      </c>
      <c r="E3751" t="s">
        <v>112</v>
      </c>
      <c r="F3751" t="s">
        <v>670</v>
      </c>
      <c r="G3751" t="s">
        <v>44</v>
      </c>
      <c r="H3751">
        <v>2023</v>
      </c>
    </row>
    <row r="3752" spans="1:8" x14ac:dyDescent="0.2">
      <c r="A3752">
        <v>236573</v>
      </c>
      <c r="B3752">
        <v>6000</v>
      </c>
      <c r="C3752" t="str">
        <f t="shared" si="58"/>
        <v>5. $1M+</v>
      </c>
      <c r="D3752" t="s">
        <v>860</v>
      </c>
      <c r="E3752" t="s">
        <v>237</v>
      </c>
      <c r="F3752" t="s">
        <v>670</v>
      </c>
      <c r="G3752" t="s">
        <v>59</v>
      </c>
      <c r="H3752">
        <v>2023</v>
      </c>
    </row>
    <row r="3753" spans="1:8" x14ac:dyDescent="0.2">
      <c r="A3753">
        <v>236581</v>
      </c>
      <c r="B3753">
        <v>15409.8</v>
      </c>
      <c r="C3753" t="str">
        <f t="shared" si="58"/>
        <v>1. Under $10K</v>
      </c>
      <c r="D3753" t="s">
        <v>983</v>
      </c>
      <c r="E3753" t="s">
        <v>237</v>
      </c>
      <c r="F3753" t="s">
        <v>670</v>
      </c>
      <c r="G3753" t="s">
        <v>59</v>
      </c>
      <c r="H3753">
        <v>2023</v>
      </c>
    </row>
    <row r="3754" spans="1:8" x14ac:dyDescent="0.2">
      <c r="A3754">
        <v>236583</v>
      </c>
      <c r="B3754">
        <v>48023.4</v>
      </c>
      <c r="C3754" t="str">
        <f t="shared" si="58"/>
        <v>2. $10K-50K</v>
      </c>
      <c r="D3754" t="s">
        <v>783</v>
      </c>
      <c r="E3754" t="s">
        <v>237</v>
      </c>
      <c r="F3754" t="s">
        <v>670</v>
      </c>
      <c r="G3754" t="s">
        <v>59</v>
      </c>
      <c r="H3754">
        <v>2023</v>
      </c>
    </row>
    <row r="3755" spans="1:8" x14ac:dyDescent="0.2">
      <c r="A3755">
        <v>236584</v>
      </c>
      <c r="B3755">
        <v>17690.599999999999</v>
      </c>
      <c r="C3755" t="str">
        <f t="shared" si="58"/>
        <v>2. $10K-50K</v>
      </c>
      <c r="D3755" t="s">
        <v>925</v>
      </c>
      <c r="E3755" t="s">
        <v>237</v>
      </c>
      <c r="F3755" t="s">
        <v>670</v>
      </c>
      <c r="G3755" t="s">
        <v>59</v>
      </c>
      <c r="H3755">
        <v>2023</v>
      </c>
    </row>
    <row r="3756" spans="1:8" x14ac:dyDescent="0.2">
      <c r="A3756">
        <v>236586</v>
      </c>
      <c r="B3756">
        <v>149608.79999999999</v>
      </c>
      <c r="C3756" t="str">
        <f t="shared" si="58"/>
        <v>2. $10K-50K</v>
      </c>
      <c r="D3756" t="s">
        <v>762</v>
      </c>
      <c r="E3756" t="s">
        <v>237</v>
      </c>
      <c r="F3756" t="s">
        <v>670</v>
      </c>
      <c r="G3756" t="s">
        <v>59</v>
      </c>
      <c r="H3756">
        <v>2023</v>
      </c>
    </row>
    <row r="3757" spans="1:8" x14ac:dyDescent="0.2">
      <c r="A3757">
        <v>236608</v>
      </c>
      <c r="B3757">
        <v>146380.1</v>
      </c>
      <c r="C3757" t="str">
        <f t="shared" si="58"/>
        <v>3. $50K-250K</v>
      </c>
      <c r="D3757" t="s">
        <v>708</v>
      </c>
      <c r="E3757" t="s">
        <v>237</v>
      </c>
      <c r="F3757" t="s">
        <v>670</v>
      </c>
      <c r="G3757" t="s">
        <v>59</v>
      </c>
      <c r="H3757">
        <v>2023</v>
      </c>
    </row>
    <row r="3758" spans="1:8" x14ac:dyDescent="0.2">
      <c r="A3758">
        <v>236609</v>
      </c>
      <c r="B3758">
        <v>105206.39999999999</v>
      </c>
      <c r="C3758" t="str">
        <f t="shared" si="58"/>
        <v>3. $50K-250K</v>
      </c>
      <c r="D3758" t="s">
        <v>781</v>
      </c>
      <c r="E3758" t="s">
        <v>237</v>
      </c>
      <c r="F3758" t="s">
        <v>670</v>
      </c>
      <c r="G3758" t="s">
        <v>59</v>
      </c>
      <c r="H3758">
        <v>2023</v>
      </c>
    </row>
    <row r="3759" spans="1:8" x14ac:dyDescent="0.2">
      <c r="A3759">
        <v>236612</v>
      </c>
      <c r="B3759">
        <v>111359</v>
      </c>
      <c r="C3759" t="str">
        <f t="shared" si="58"/>
        <v>3. $50K-250K</v>
      </c>
      <c r="D3759" t="s">
        <v>1361</v>
      </c>
      <c r="E3759" t="s">
        <v>237</v>
      </c>
      <c r="F3759" t="s">
        <v>670</v>
      </c>
      <c r="G3759" t="s">
        <v>59</v>
      </c>
      <c r="H3759">
        <v>2023</v>
      </c>
    </row>
    <row r="3760" spans="1:8" x14ac:dyDescent="0.2">
      <c r="A3760">
        <v>236804</v>
      </c>
      <c r="B3760">
        <v>10366</v>
      </c>
      <c r="C3760" t="str">
        <f t="shared" si="58"/>
        <v>3. $50K-250K</v>
      </c>
      <c r="D3760" t="s">
        <v>859</v>
      </c>
      <c r="E3760" t="s">
        <v>237</v>
      </c>
      <c r="F3760" t="s">
        <v>670</v>
      </c>
      <c r="G3760" t="s">
        <v>59</v>
      </c>
      <c r="H3760">
        <v>2023</v>
      </c>
    </row>
    <row r="3761" spans="1:8" x14ac:dyDescent="0.2">
      <c r="A3761">
        <v>236805</v>
      </c>
      <c r="B3761">
        <v>15206.8</v>
      </c>
      <c r="C3761" t="str">
        <f t="shared" si="58"/>
        <v>2. $10K-50K</v>
      </c>
      <c r="D3761" t="s">
        <v>697</v>
      </c>
      <c r="E3761" t="s">
        <v>237</v>
      </c>
      <c r="F3761" t="s">
        <v>670</v>
      </c>
      <c r="G3761" t="s">
        <v>59</v>
      </c>
      <c r="H3761">
        <v>2023</v>
      </c>
    </row>
    <row r="3762" spans="1:8" x14ac:dyDescent="0.2">
      <c r="A3762">
        <v>236806</v>
      </c>
      <c r="B3762">
        <v>18141</v>
      </c>
      <c r="C3762" t="str">
        <f t="shared" si="58"/>
        <v>2. $10K-50K</v>
      </c>
      <c r="D3762" t="s">
        <v>719</v>
      </c>
      <c r="E3762" t="s">
        <v>237</v>
      </c>
      <c r="F3762" t="s">
        <v>670</v>
      </c>
      <c r="G3762" t="s">
        <v>59</v>
      </c>
      <c r="H3762">
        <v>2023</v>
      </c>
    </row>
    <row r="3763" spans="1:8" x14ac:dyDescent="0.2">
      <c r="A3763">
        <v>236807</v>
      </c>
      <c r="B3763">
        <v>221075.7</v>
      </c>
      <c r="C3763" t="str">
        <f t="shared" si="58"/>
        <v>2. $10K-50K</v>
      </c>
      <c r="D3763" t="s">
        <v>1069</v>
      </c>
      <c r="E3763" t="s">
        <v>237</v>
      </c>
      <c r="F3763" t="s">
        <v>670</v>
      </c>
      <c r="G3763" t="s">
        <v>59</v>
      </c>
      <c r="H3763">
        <v>2023</v>
      </c>
    </row>
    <row r="3764" spans="1:8" x14ac:dyDescent="0.2">
      <c r="A3764">
        <v>236809</v>
      </c>
      <c r="B3764">
        <v>1771247.5</v>
      </c>
      <c r="C3764" t="str">
        <f t="shared" si="58"/>
        <v>3. $50K-250K</v>
      </c>
      <c r="D3764" t="s">
        <v>355</v>
      </c>
      <c r="E3764" t="s">
        <v>69</v>
      </c>
      <c r="F3764" t="s">
        <v>19</v>
      </c>
      <c r="G3764" t="s">
        <v>10</v>
      </c>
      <c r="H3764">
        <v>2023</v>
      </c>
    </row>
    <row r="3765" spans="1:8" x14ac:dyDescent="0.2">
      <c r="A3765">
        <v>236810</v>
      </c>
      <c r="B3765">
        <v>28507</v>
      </c>
      <c r="C3765" t="str">
        <f t="shared" si="58"/>
        <v>5. $1M+</v>
      </c>
      <c r="D3765" t="s">
        <v>867</v>
      </c>
      <c r="E3765" t="s">
        <v>237</v>
      </c>
      <c r="F3765" t="s">
        <v>670</v>
      </c>
      <c r="G3765" t="s">
        <v>59</v>
      </c>
      <c r="H3765">
        <v>2023</v>
      </c>
    </row>
    <row r="3766" spans="1:8" x14ac:dyDescent="0.2">
      <c r="A3766">
        <v>236812</v>
      </c>
      <c r="B3766">
        <v>918747</v>
      </c>
      <c r="C3766" t="str">
        <f t="shared" si="58"/>
        <v>2. $10K-50K</v>
      </c>
      <c r="D3766" t="s">
        <v>917</v>
      </c>
      <c r="E3766" t="s">
        <v>237</v>
      </c>
      <c r="F3766" t="s">
        <v>670</v>
      </c>
      <c r="G3766" t="s">
        <v>44</v>
      </c>
      <c r="H3766">
        <v>2023</v>
      </c>
    </row>
    <row r="3767" spans="1:8" x14ac:dyDescent="0.2">
      <c r="A3767">
        <v>236813</v>
      </c>
      <c r="B3767">
        <v>20730</v>
      </c>
      <c r="C3767" t="str">
        <f t="shared" si="58"/>
        <v>4. $250K-1M</v>
      </c>
      <c r="D3767" t="s">
        <v>879</v>
      </c>
      <c r="E3767" t="s">
        <v>237</v>
      </c>
      <c r="F3767" t="s">
        <v>670</v>
      </c>
      <c r="G3767" t="s">
        <v>59</v>
      </c>
      <c r="H3767">
        <v>2023</v>
      </c>
    </row>
    <row r="3768" spans="1:8" x14ac:dyDescent="0.2">
      <c r="A3768">
        <v>236815</v>
      </c>
      <c r="B3768">
        <v>470815.3</v>
      </c>
      <c r="C3768" t="str">
        <f t="shared" si="58"/>
        <v>2. $10K-50K</v>
      </c>
      <c r="D3768" t="s">
        <v>839</v>
      </c>
      <c r="E3768" t="s">
        <v>42</v>
      </c>
      <c r="F3768" t="s">
        <v>670</v>
      </c>
      <c r="G3768" t="s">
        <v>59</v>
      </c>
      <c r="H3768">
        <v>2023</v>
      </c>
    </row>
    <row r="3769" spans="1:8" x14ac:dyDescent="0.2">
      <c r="A3769">
        <v>236873</v>
      </c>
      <c r="B3769">
        <v>1874235</v>
      </c>
      <c r="C3769" t="str">
        <f t="shared" si="58"/>
        <v>4. $250K-1M</v>
      </c>
      <c r="D3769" t="s">
        <v>827</v>
      </c>
      <c r="E3769" t="s">
        <v>368</v>
      </c>
      <c r="F3769" t="s">
        <v>670</v>
      </c>
      <c r="G3769" t="s">
        <v>59</v>
      </c>
      <c r="H3769">
        <v>2023</v>
      </c>
    </row>
    <row r="3770" spans="1:8" x14ac:dyDescent="0.2">
      <c r="A3770">
        <v>236875</v>
      </c>
      <c r="B3770">
        <v>65000</v>
      </c>
      <c r="C3770" t="str">
        <f t="shared" si="58"/>
        <v>5. $1M+</v>
      </c>
      <c r="D3770" t="s">
        <v>1640</v>
      </c>
      <c r="E3770" t="s">
        <v>112</v>
      </c>
      <c r="F3770" t="s">
        <v>668</v>
      </c>
      <c r="G3770" t="s">
        <v>59</v>
      </c>
      <c r="H3770">
        <v>2023</v>
      </c>
    </row>
    <row r="3771" spans="1:8" x14ac:dyDescent="0.2">
      <c r="A3771">
        <v>236876</v>
      </c>
      <c r="B3771">
        <v>30000</v>
      </c>
      <c r="C3771" t="str">
        <f t="shared" si="58"/>
        <v>3. $50K-250K</v>
      </c>
      <c r="D3771" t="s">
        <v>1641</v>
      </c>
      <c r="E3771" t="s">
        <v>112</v>
      </c>
      <c r="F3771" t="s">
        <v>668</v>
      </c>
      <c r="G3771" t="s">
        <v>59</v>
      </c>
      <c r="H3771">
        <v>2023</v>
      </c>
    </row>
    <row r="3772" spans="1:8" x14ac:dyDescent="0.2">
      <c r="A3772">
        <v>236877</v>
      </c>
      <c r="B3772">
        <v>250000</v>
      </c>
      <c r="C3772" t="str">
        <f t="shared" si="58"/>
        <v>2. $10K-50K</v>
      </c>
      <c r="D3772" t="s">
        <v>1642</v>
      </c>
      <c r="E3772" t="s">
        <v>99</v>
      </c>
      <c r="F3772" t="s">
        <v>668</v>
      </c>
      <c r="G3772" t="s">
        <v>59</v>
      </c>
      <c r="H3772">
        <v>2023</v>
      </c>
    </row>
    <row r="3773" spans="1:8" x14ac:dyDescent="0.2">
      <c r="A3773">
        <v>236879</v>
      </c>
      <c r="B3773">
        <v>1260000</v>
      </c>
      <c r="C3773" t="str">
        <f t="shared" si="58"/>
        <v>4. $250K-1M</v>
      </c>
      <c r="D3773" t="s">
        <v>849</v>
      </c>
      <c r="E3773" t="s">
        <v>42</v>
      </c>
      <c r="F3773" t="s">
        <v>670</v>
      </c>
      <c r="G3773" t="s">
        <v>44</v>
      </c>
      <c r="H3773">
        <v>2023</v>
      </c>
    </row>
    <row r="3774" spans="1:8" x14ac:dyDescent="0.2">
      <c r="A3774">
        <v>236896</v>
      </c>
      <c r="B3774">
        <v>250000</v>
      </c>
      <c r="C3774" t="str">
        <f t="shared" si="58"/>
        <v>5. $1M+</v>
      </c>
      <c r="D3774" t="s">
        <v>1643</v>
      </c>
      <c r="E3774" t="s">
        <v>99</v>
      </c>
      <c r="F3774" t="s">
        <v>668</v>
      </c>
      <c r="G3774" t="s">
        <v>59</v>
      </c>
      <c r="H3774">
        <v>2023</v>
      </c>
    </row>
    <row r="3775" spans="1:8" x14ac:dyDescent="0.2">
      <c r="A3775">
        <v>236899</v>
      </c>
      <c r="B3775">
        <v>10000000</v>
      </c>
      <c r="C3775" t="str">
        <f t="shared" si="58"/>
        <v>4. $250K-1M</v>
      </c>
      <c r="D3775" t="s">
        <v>1554</v>
      </c>
      <c r="E3775" t="s">
        <v>99</v>
      </c>
      <c r="F3775" t="s">
        <v>668</v>
      </c>
      <c r="G3775" t="s">
        <v>59</v>
      </c>
      <c r="H3775">
        <v>2023</v>
      </c>
    </row>
    <row r="3776" spans="1:8" x14ac:dyDescent="0.2">
      <c r="A3776">
        <v>237011</v>
      </c>
      <c r="B3776">
        <v>4772072</v>
      </c>
      <c r="C3776" t="str">
        <f t="shared" si="58"/>
        <v>5. $1M+</v>
      </c>
      <c r="D3776" t="s">
        <v>695</v>
      </c>
      <c r="E3776" t="s">
        <v>237</v>
      </c>
      <c r="F3776" t="s">
        <v>670</v>
      </c>
      <c r="G3776" t="s">
        <v>44</v>
      </c>
      <c r="H3776">
        <v>2023</v>
      </c>
    </row>
    <row r="3777" spans="1:8" x14ac:dyDescent="0.2">
      <c r="A3777">
        <v>237016</v>
      </c>
      <c r="B3777">
        <v>1187409</v>
      </c>
      <c r="C3777" t="str">
        <f t="shared" si="58"/>
        <v>5. $1M+</v>
      </c>
      <c r="D3777" t="s">
        <v>695</v>
      </c>
      <c r="E3777" t="s">
        <v>237</v>
      </c>
      <c r="F3777" t="s">
        <v>670</v>
      </c>
      <c r="G3777" t="s">
        <v>44</v>
      </c>
      <c r="H3777">
        <v>2023</v>
      </c>
    </row>
    <row r="3778" spans="1:8" x14ac:dyDescent="0.2">
      <c r="A3778">
        <v>237067</v>
      </c>
      <c r="B3778">
        <v>304946.7</v>
      </c>
      <c r="C3778" t="str">
        <f t="shared" si="58"/>
        <v>5. $1M+</v>
      </c>
      <c r="D3778" t="s">
        <v>1552</v>
      </c>
      <c r="E3778" t="s">
        <v>99</v>
      </c>
      <c r="F3778" t="s">
        <v>670</v>
      </c>
      <c r="G3778" t="s">
        <v>59</v>
      </c>
      <c r="H3778">
        <v>2023</v>
      </c>
    </row>
    <row r="3779" spans="1:8" x14ac:dyDescent="0.2">
      <c r="A3779">
        <v>237083</v>
      </c>
      <c r="B3779">
        <v>1000000</v>
      </c>
      <c r="C3779" t="str">
        <f t="shared" ref="C3779:C3842" si="59">IF(B3778&lt;10000,"1. Under $10K",IF(B3778&lt;50000,"2. $10K-50K",IF(B3778&lt;250000,"3. $50K-250K",IF(B3778&lt;1000000,"4. $250K-1M","5. $1M+"))))</f>
        <v>4. $250K-1M</v>
      </c>
      <c r="D3779" t="s">
        <v>726</v>
      </c>
      <c r="E3779" t="s">
        <v>237</v>
      </c>
      <c r="F3779" t="s">
        <v>670</v>
      </c>
      <c r="G3779" t="s">
        <v>44</v>
      </c>
      <c r="H3779">
        <v>2023</v>
      </c>
    </row>
    <row r="3780" spans="1:8" x14ac:dyDescent="0.2">
      <c r="A3780">
        <v>237086</v>
      </c>
      <c r="B3780">
        <v>60000</v>
      </c>
      <c r="C3780" t="str">
        <f t="shared" si="59"/>
        <v>5. $1M+</v>
      </c>
      <c r="D3780" t="s">
        <v>692</v>
      </c>
      <c r="E3780" t="s">
        <v>237</v>
      </c>
      <c r="F3780" t="s">
        <v>670</v>
      </c>
      <c r="G3780" t="s">
        <v>44</v>
      </c>
      <c r="H3780">
        <v>2023</v>
      </c>
    </row>
    <row r="3781" spans="1:8" x14ac:dyDescent="0.2">
      <c r="A3781">
        <v>237089</v>
      </c>
      <c r="B3781">
        <v>232336</v>
      </c>
      <c r="C3781" t="str">
        <f t="shared" si="59"/>
        <v>3. $50K-250K</v>
      </c>
      <c r="D3781" t="s">
        <v>1046</v>
      </c>
      <c r="E3781" t="s">
        <v>237</v>
      </c>
      <c r="F3781" t="s">
        <v>670</v>
      </c>
      <c r="G3781" t="s">
        <v>44</v>
      </c>
      <c r="H3781">
        <v>2023</v>
      </c>
    </row>
    <row r="3782" spans="1:8" x14ac:dyDescent="0.2">
      <c r="A3782">
        <v>237092</v>
      </c>
      <c r="B3782">
        <v>700000</v>
      </c>
      <c r="C3782" t="str">
        <f t="shared" si="59"/>
        <v>3. $50K-250K</v>
      </c>
      <c r="D3782" t="s">
        <v>718</v>
      </c>
      <c r="E3782" t="s">
        <v>237</v>
      </c>
      <c r="F3782" t="s">
        <v>670</v>
      </c>
      <c r="G3782" t="s">
        <v>44</v>
      </c>
      <c r="H3782">
        <v>2023</v>
      </c>
    </row>
    <row r="3783" spans="1:8" x14ac:dyDescent="0.2">
      <c r="A3783">
        <v>237093</v>
      </c>
      <c r="B3783">
        <v>1027690</v>
      </c>
      <c r="C3783" t="str">
        <f t="shared" si="59"/>
        <v>4. $250K-1M</v>
      </c>
      <c r="D3783" t="s">
        <v>694</v>
      </c>
      <c r="E3783" t="s">
        <v>237</v>
      </c>
      <c r="F3783" t="s">
        <v>670</v>
      </c>
      <c r="G3783" t="s">
        <v>44</v>
      </c>
      <c r="H3783">
        <v>2023</v>
      </c>
    </row>
    <row r="3784" spans="1:8" x14ac:dyDescent="0.2">
      <c r="A3784">
        <v>237095</v>
      </c>
      <c r="B3784">
        <v>240000</v>
      </c>
      <c r="C3784" t="str">
        <f t="shared" si="59"/>
        <v>5. $1M+</v>
      </c>
      <c r="D3784" t="s">
        <v>696</v>
      </c>
      <c r="E3784" t="s">
        <v>237</v>
      </c>
      <c r="F3784" t="s">
        <v>670</v>
      </c>
      <c r="G3784" t="s">
        <v>44</v>
      </c>
      <c r="H3784">
        <v>2023</v>
      </c>
    </row>
    <row r="3785" spans="1:8" x14ac:dyDescent="0.2">
      <c r="A3785">
        <v>237106</v>
      </c>
      <c r="B3785">
        <v>4063913</v>
      </c>
      <c r="C3785" t="str">
        <f t="shared" si="59"/>
        <v>3. $50K-250K</v>
      </c>
      <c r="D3785" t="s">
        <v>698</v>
      </c>
      <c r="E3785" t="s">
        <v>237</v>
      </c>
      <c r="F3785" t="s">
        <v>670</v>
      </c>
      <c r="G3785" t="s">
        <v>44</v>
      </c>
      <c r="H3785">
        <v>2023</v>
      </c>
    </row>
    <row r="3786" spans="1:8" x14ac:dyDescent="0.2">
      <c r="A3786">
        <v>237107</v>
      </c>
      <c r="B3786">
        <v>5183</v>
      </c>
      <c r="C3786" t="str">
        <f t="shared" si="59"/>
        <v>5. $1M+</v>
      </c>
      <c r="D3786" t="s">
        <v>507</v>
      </c>
      <c r="E3786" t="s">
        <v>237</v>
      </c>
      <c r="F3786" t="s">
        <v>670</v>
      </c>
      <c r="G3786" t="s">
        <v>59</v>
      </c>
      <c r="H3786">
        <v>2023</v>
      </c>
    </row>
    <row r="3787" spans="1:8" x14ac:dyDescent="0.2">
      <c r="A3787">
        <v>237108</v>
      </c>
      <c r="B3787">
        <v>25915</v>
      </c>
      <c r="C3787" t="str">
        <f t="shared" si="59"/>
        <v>1. Under $10K</v>
      </c>
      <c r="D3787" t="s">
        <v>864</v>
      </c>
      <c r="E3787" t="s">
        <v>237</v>
      </c>
      <c r="F3787" t="s">
        <v>670</v>
      </c>
      <c r="G3787" t="s">
        <v>59</v>
      </c>
      <c r="H3787">
        <v>2023</v>
      </c>
    </row>
    <row r="3788" spans="1:8" x14ac:dyDescent="0.2">
      <c r="A3788">
        <v>237109</v>
      </c>
      <c r="B3788">
        <v>70000</v>
      </c>
      <c r="C3788" t="str">
        <f t="shared" si="59"/>
        <v>2. $10K-50K</v>
      </c>
      <c r="D3788" t="s">
        <v>1254</v>
      </c>
      <c r="E3788" t="s">
        <v>112</v>
      </c>
      <c r="F3788" t="s">
        <v>668</v>
      </c>
      <c r="G3788" t="s">
        <v>59</v>
      </c>
      <c r="H3788">
        <v>2023</v>
      </c>
    </row>
    <row r="3789" spans="1:8" x14ac:dyDescent="0.2">
      <c r="A3789">
        <v>237110</v>
      </c>
      <c r="B3789">
        <v>760000</v>
      </c>
      <c r="C3789" t="str">
        <f t="shared" si="59"/>
        <v>3. $50K-250K</v>
      </c>
      <c r="D3789" t="s">
        <v>1059</v>
      </c>
      <c r="E3789" t="s">
        <v>237</v>
      </c>
      <c r="F3789" t="s">
        <v>670</v>
      </c>
      <c r="G3789" t="s">
        <v>44</v>
      </c>
      <c r="H3789">
        <v>2023</v>
      </c>
    </row>
    <row r="3790" spans="1:8" x14ac:dyDescent="0.2">
      <c r="A3790">
        <v>237111</v>
      </c>
      <c r="B3790">
        <v>20000</v>
      </c>
      <c r="C3790" t="str">
        <f t="shared" si="59"/>
        <v>4. $250K-1M</v>
      </c>
      <c r="D3790" t="s">
        <v>1142</v>
      </c>
      <c r="E3790" t="s">
        <v>112</v>
      </c>
      <c r="F3790" t="s">
        <v>668</v>
      </c>
      <c r="G3790" t="s">
        <v>59</v>
      </c>
      <c r="H3790">
        <v>2023</v>
      </c>
    </row>
    <row r="3791" spans="1:8" x14ac:dyDescent="0.2">
      <c r="A3791">
        <v>237112</v>
      </c>
      <c r="B3791">
        <v>70000</v>
      </c>
      <c r="C3791" t="str">
        <f t="shared" si="59"/>
        <v>2. $10K-50K</v>
      </c>
      <c r="D3791" t="s">
        <v>1644</v>
      </c>
      <c r="E3791" t="s">
        <v>112</v>
      </c>
      <c r="F3791" t="s">
        <v>668</v>
      </c>
      <c r="G3791" t="s">
        <v>59</v>
      </c>
      <c r="H3791">
        <v>2023</v>
      </c>
    </row>
    <row r="3792" spans="1:8" x14ac:dyDescent="0.2">
      <c r="A3792">
        <v>237113</v>
      </c>
      <c r="B3792">
        <v>100000</v>
      </c>
      <c r="C3792" t="str">
        <f t="shared" si="59"/>
        <v>3. $50K-250K</v>
      </c>
      <c r="D3792" t="s">
        <v>731</v>
      </c>
      <c r="E3792" t="s">
        <v>237</v>
      </c>
      <c r="F3792" t="s">
        <v>670</v>
      </c>
      <c r="G3792" t="s">
        <v>44</v>
      </c>
      <c r="H3792">
        <v>2023</v>
      </c>
    </row>
    <row r="3793" spans="1:8" x14ac:dyDescent="0.2">
      <c r="A3793">
        <v>237114</v>
      </c>
      <c r="B3793">
        <v>50000</v>
      </c>
      <c r="C3793" t="str">
        <f t="shared" si="59"/>
        <v>3. $50K-250K</v>
      </c>
      <c r="D3793" t="s">
        <v>699</v>
      </c>
      <c r="E3793" t="s">
        <v>237</v>
      </c>
      <c r="F3793" t="s">
        <v>670</v>
      </c>
      <c r="G3793" t="s">
        <v>44</v>
      </c>
      <c r="H3793">
        <v>2023</v>
      </c>
    </row>
    <row r="3794" spans="1:8" x14ac:dyDescent="0.2">
      <c r="A3794">
        <v>237115</v>
      </c>
      <c r="B3794">
        <v>962000</v>
      </c>
      <c r="C3794" t="str">
        <f t="shared" si="59"/>
        <v>3. $50K-250K</v>
      </c>
      <c r="D3794" t="s">
        <v>700</v>
      </c>
      <c r="E3794" t="s">
        <v>237</v>
      </c>
      <c r="F3794" t="s">
        <v>670</v>
      </c>
      <c r="G3794" t="s">
        <v>44</v>
      </c>
      <c r="H3794">
        <v>2023</v>
      </c>
    </row>
    <row r="3795" spans="1:8" x14ac:dyDescent="0.2">
      <c r="A3795">
        <v>237116</v>
      </c>
      <c r="B3795">
        <v>200000</v>
      </c>
      <c r="C3795" t="str">
        <f t="shared" si="59"/>
        <v>4. $250K-1M</v>
      </c>
      <c r="D3795" t="s">
        <v>703</v>
      </c>
      <c r="E3795" t="s">
        <v>237</v>
      </c>
      <c r="F3795" t="s">
        <v>670</v>
      </c>
      <c r="G3795" t="s">
        <v>44</v>
      </c>
      <c r="H3795">
        <v>2023</v>
      </c>
    </row>
    <row r="3796" spans="1:8" x14ac:dyDescent="0.2">
      <c r="A3796">
        <v>237120</v>
      </c>
      <c r="B3796">
        <v>260000</v>
      </c>
      <c r="C3796" t="str">
        <f t="shared" si="59"/>
        <v>3. $50K-250K</v>
      </c>
      <c r="D3796" t="s">
        <v>740</v>
      </c>
      <c r="E3796" t="s">
        <v>237</v>
      </c>
      <c r="F3796" t="s">
        <v>670</v>
      </c>
      <c r="G3796" t="s">
        <v>44</v>
      </c>
      <c r="H3796">
        <v>2023</v>
      </c>
    </row>
    <row r="3797" spans="1:8" x14ac:dyDescent="0.2">
      <c r="A3797">
        <v>237122</v>
      </c>
      <c r="B3797">
        <v>1954718</v>
      </c>
      <c r="C3797" t="str">
        <f t="shared" si="59"/>
        <v>4. $250K-1M</v>
      </c>
      <c r="D3797" t="s">
        <v>749</v>
      </c>
      <c r="E3797" t="s">
        <v>237</v>
      </c>
      <c r="F3797" t="s">
        <v>670</v>
      </c>
      <c r="G3797" t="s">
        <v>44</v>
      </c>
      <c r="H3797">
        <v>2023</v>
      </c>
    </row>
    <row r="3798" spans="1:8" x14ac:dyDescent="0.2">
      <c r="A3798">
        <v>237124</v>
      </c>
      <c r="B3798">
        <v>774000</v>
      </c>
      <c r="C3798" t="str">
        <f t="shared" si="59"/>
        <v>5. $1M+</v>
      </c>
      <c r="D3798" t="s">
        <v>706</v>
      </c>
      <c r="E3798" t="s">
        <v>237</v>
      </c>
      <c r="F3798" t="s">
        <v>670</v>
      </c>
      <c r="G3798" t="s">
        <v>44</v>
      </c>
      <c r="H3798">
        <v>2023</v>
      </c>
    </row>
    <row r="3799" spans="1:8" x14ac:dyDescent="0.2">
      <c r="A3799">
        <v>237129</v>
      </c>
      <c r="B3799">
        <v>186000</v>
      </c>
      <c r="C3799" t="str">
        <f t="shared" si="59"/>
        <v>4. $250K-1M</v>
      </c>
      <c r="D3799" t="s">
        <v>751</v>
      </c>
      <c r="E3799" t="s">
        <v>237</v>
      </c>
      <c r="F3799" t="s">
        <v>670</v>
      </c>
      <c r="G3799" t="s">
        <v>44</v>
      </c>
      <c r="H3799">
        <v>2023</v>
      </c>
    </row>
    <row r="3800" spans="1:8" x14ac:dyDescent="0.2">
      <c r="A3800">
        <v>237130</v>
      </c>
      <c r="B3800">
        <v>1282300</v>
      </c>
      <c r="C3800" t="str">
        <f t="shared" si="59"/>
        <v>3. $50K-250K</v>
      </c>
      <c r="D3800" t="s">
        <v>754</v>
      </c>
      <c r="E3800" t="s">
        <v>237</v>
      </c>
      <c r="F3800" t="s">
        <v>670</v>
      </c>
      <c r="G3800" t="s">
        <v>44</v>
      </c>
      <c r="H3800">
        <v>2023</v>
      </c>
    </row>
    <row r="3801" spans="1:8" x14ac:dyDescent="0.2">
      <c r="A3801">
        <v>237132</v>
      </c>
      <c r="B3801">
        <v>102000</v>
      </c>
      <c r="C3801" t="str">
        <f t="shared" si="59"/>
        <v>5. $1M+</v>
      </c>
      <c r="D3801" t="s">
        <v>784</v>
      </c>
      <c r="E3801" t="s">
        <v>237</v>
      </c>
      <c r="F3801" t="s">
        <v>670</v>
      </c>
      <c r="G3801" t="s">
        <v>44</v>
      </c>
      <c r="H3801">
        <v>2023</v>
      </c>
    </row>
    <row r="3802" spans="1:8" x14ac:dyDescent="0.2">
      <c r="A3802">
        <v>237133</v>
      </c>
      <c r="B3802">
        <v>700000</v>
      </c>
      <c r="C3802" t="str">
        <f t="shared" si="59"/>
        <v>3. $50K-250K</v>
      </c>
      <c r="D3802" t="s">
        <v>767</v>
      </c>
      <c r="E3802" t="s">
        <v>237</v>
      </c>
      <c r="F3802" t="s">
        <v>670</v>
      </c>
      <c r="G3802" t="s">
        <v>44</v>
      </c>
      <c r="H3802">
        <v>2023</v>
      </c>
    </row>
    <row r="3803" spans="1:8" x14ac:dyDescent="0.2">
      <c r="A3803">
        <v>237137</v>
      </c>
      <c r="B3803">
        <v>329738</v>
      </c>
      <c r="C3803" t="str">
        <f t="shared" si="59"/>
        <v>4. $250K-1M</v>
      </c>
      <c r="D3803" t="s">
        <v>711</v>
      </c>
      <c r="E3803" t="s">
        <v>237</v>
      </c>
      <c r="F3803" t="s">
        <v>670</v>
      </c>
      <c r="G3803" t="s">
        <v>44</v>
      </c>
      <c r="H3803">
        <v>2023</v>
      </c>
    </row>
    <row r="3804" spans="1:8" x14ac:dyDescent="0.2">
      <c r="A3804">
        <v>237140</v>
      </c>
      <c r="B3804">
        <v>1500000</v>
      </c>
      <c r="C3804" t="str">
        <f t="shared" si="59"/>
        <v>4. $250K-1M</v>
      </c>
      <c r="D3804" t="s">
        <v>712</v>
      </c>
      <c r="E3804" t="s">
        <v>237</v>
      </c>
      <c r="F3804" t="s">
        <v>670</v>
      </c>
      <c r="G3804" t="s">
        <v>44</v>
      </c>
      <c r="H3804">
        <v>2023</v>
      </c>
    </row>
    <row r="3805" spans="1:8" x14ac:dyDescent="0.2">
      <c r="A3805">
        <v>237142</v>
      </c>
      <c r="B3805">
        <v>1790000</v>
      </c>
      <c r="C3805" t="str">
        <f t="shared" si="59"/>
        <v>5. $1M+</v>
      </c>
      <c r="D3805" t="s">
        <v>713</v>
      </c>
      <c r="E3805" t="s">
        <v>237</v>
      </c>
      <c r="F3805" t="s">
        <v>670</v>
      </c>
      <c r="G3805" t="s">
        <v>44</v>
      </c>
      <c r="H3805">
        <v>2023</v>
      </c>
    </row>
    <row r="3806" spans="1:8" x14ac:dyDescent="0.2">
      <c r="A3806">
        <v>237223</v>
      </c>
      <c r="B3806">
        <v>19623.400000000001</v>
      </c>
      <c r="C3806" t="str">
        <f t="shared" si="59"/>
        <v>5. $1M+</v>
      </c>
      <c r="D3806" t="s">
        <v>990</v>
      </c>
      <c r="E3806" t="s">
        <v>237</v>
      </c>
      <c r="F3806" t="s">
        <v>670</v>
      </c>
      <c r="G3806" t="s">
        <v>59</v>
      </c>
      <c r="H3806">
        <v>2023</v>
      </c>
    </row>
    <row r="3807" spans="1:8" x14ac:dyDescent="0.2">
      <c r="A3807">
        <v>237260</v>
      </c>
      <c r="B3807">
        <v>129406</v>
      </c>
      <c r="C3807" t="str">
        <f t="shared" si="59"/>
        <v>2. $10K-50K</v>
      </c>
      <c r="D3807" t="s">
        <v>1094</v>
      </c>
      <c r="E3807" t="s">
        <v>237</v>
      </c>
      <c r="F3807" t="s">
        <v>670</v>
      </c>
      <c r="G3807" t="s">
        <v>59</v>
      </c>
      <c r="H3807">
        <v>2023</v>
      </c>
    </row>
    <row r="3808" spans="1:8" x14ac:dyDescent="0.2">
      <c r="A3808">
        <v>237271</v>
      </c>
      <c r="B3808">
        <v>2000000</v>
      </c>
      <c r="C3808" t="str">
        <f t="shared" si="59"/>
        <v>3. $50K-250K</v>
      </c>
      <c r="D3808" t="s">
        <v>1027</v>
      </c>
      <c r="E3808" t="s">
        <v>237</v>
      </c>
      <c r="F3808" t="s">
        <v>670</v>
      </c>
      <c r="G3808" t="s">
        <v>59</v>
      </c>
      <c r="H3808">
        <v>2023</v>
      </c>
    </row>
    <row r="3809" spans="1:8" x14ac:dyDescent="0.2">
      <c r="A3809">
        <v>237292</v>
      </c>
      <c r="B3809">
        <v>4301387</v>
      </c>
      <c r="C3809" t="str">
        <f t="shared" si="59"/>
        <v>5. $1M+</v>
      </c>
      <c r="D3809" t="s">
        <v>863</v>
      </c>
      <c r="E3809" t="s">
        <v>237</v>
      </c>
      <c r="F3809" t="s">
        <v>670</v>
      </c>
      <c r="G3809" t="s">
        <v>59</v>
      </c>
      <c r="H3809">
        <v>2023</v>
      </c>
    </row>
    <row r="3810" spans="1:8" x14ac:dyDescent="0.2">
      <c r="A3810">
        <v>237365</v>
      </c>
      <c r="B3810">
        <v>425701.4</v>
      </c>
      <c r="C3810" t="str">
        <f t="shared" si="59"/>
        <v>5. $1M+</v>
      </c>
      <c r="D3810" t="s">
        <v>1028</v>
      </c>
      <c r="E3810" t="s">
        <v>42</v>
      </c>
      <c r="F3810" t="s">
        <v>670</v>
      </c>
      <c r="G3810" t="s">
        <v>59</v>
      </c>
      <c r="H3810">
        <v>2023</v>
      </c>
    </row>
    <row r="3811" spans="1:8" x14ac:dyDescent="0.2">
      <c r="A3811">
        <v>237375</v>
      </c>
      <c r="B3811">
        <v>254312.5</v>
      </c>
      <c r="C3811" t="str">
        <f t="shared" si="59"/>
        <v>4. $250K-1M</v>
      </c>
      <c r="D3811" t="s">
        <v>719</v>
      </c>
      <c r="E3811" t="s">
        <v>42</v>
      </c>
      <c r="F3811" t="s">
        <v>670</v>
      </c>
      <c r="G3811" t="s">
        <v>59</v>
      </c>
      <c r="H3811">
        <v>2023</v>
      </c>
    </row>
    <row r="3812" spans="1:8" x14ac:dyDescent="0.2">
      <c r="A3812">
        <v>237376</v>
      </c>
      <c r="B3812">
        <v>40000</v>
      </c>
      <c r="C3812" t="str">
        <f t="shared" si="59"/>
        <v>4. $250K-1M</v>
      </c>
      <c r="D3812" t="s">
        <v>1385</v>
      </c>
      <c r="E3812" t="s">
        <v>432</v>
      </c>
      <c r="F3812" t="s">
        <v>670</v>
      </c>
      <c r="G3812" t="s">
        <v>59</v>
      </c>
      <c r="H3812">
        <v>2023</v>
      </c>
    </row>
    <row r="3813" spans="1:8" x14ac:dyDescent="0.2">
      <c r="A3813">
        <v>237378</v>
      </c>
      <c r="B3813">
        <v>25000</v>
      </c>
      <c r="C3813" t="str">
        <f t="shared" si="59"/>
        <v>2. $10K-50K</v>
      </c>
      <c r="D3813" t="s">
        <v>1385</v>
      </c>
      <c r="E3813" t="s">
        <v>432</v>
      </c>
      <c r="F3813" t="s">
        <v>670</v>
      </c>
      <c r="G3813" t="s">
        <v>59</v>
      </c>
      <c r="H3813">
        <v>2023</v>
      </c>
    </row>
    <row r="3814" spans="1:8" x14ac:dyDescent="0.2">
      <c r="A3814">
        <v>237380</v>
      </c>
      <c r="B3814">
        <v>20000</v>
      </c>
      <c r="C3814" t="str">
        <f t="shared" si="59"/>
        <v>2. $10K-50K</v>
      </c>
      <c r="D3814" t="s">
        <v>1385</v>
      </c>
      <c r="E3814" t="s">
        <v>432</v>
      </c>
      <c r="F3814" t="s">
        <v>670</v>
      </c>
      <c r="G3814" t="s">
        <v>59</v>
      </c>
      <c r="H3814">
        <v>2023</v>
      </c>
    </row>
    <row r="3815" spans="1:8" x14ac:dyDescent="0.2">
      <c r="A3815">
        <v>237406</v>
      </c>
      <c r="B3815">
        <v>29000</v>
      </c>
      <c r="C3815" t="str">
        <f t="shared" si="59"/>
        <v>2. $10K-50K</v>
      </c>
      <c r="D3815" t="s">
        <v>1479</v>
      </c>
      <c r="E3815" t="s">
        <v>112</v>
      </c>
      <c r="F3815" t="s">
        <v>668</v>
      </c>
      <c r="G3815" t="s">
        <v>59</v>
      </c>
      <c r="H3815">
        <v>2023</v>
      </c>
    </row>
    <row r="3816" spans="1:8" x14ac:dyDescent="0.2">
      <c r="A3816">
        <v>237408</v>
      </c>
      <c r="B3816">
        <v>70000</v>
      </c>
      <c r="C3816" t="str">
        <f t="shared" si="59"/>
        <v>2. $10K-50K</v>
      </c>
      <c r="D3816" t="s">
        <v>1645</v>
      </c>
      <c r="E3816" t="s">
        <v>112</v>
      </c>
      <c r="F3816" t="s">
        <v>668</v>
      </c>
      <c r="G3816" t="s">
        <v>59</v>
      </c>
      <c r="H3816">
        <v>2023</v>
      </c>
    </row>
    <row r="3817" spans="1:8" x14ac:dyDescent="0.2">
      <c r="A3817">
        <v>237414</v>
      </c>
      <c r="B3817">
        <v>45000</v>
      </c>
      <c r="C3817" t="str">
        <f t="shared" si="59"/>
        <v>3. $50K-250K</v>
      </c>
      <c r="D3817" t="s">
        <v>1555</v>
      </c>
      <c r="E3817" t="s">
        <v>112</v>
      </c>
      <c r="F3817" t="s">
        <v>668</v>
      </c>
      <c r="G3817" t="s">
        <v>59</v>
      </c>
      <c r="H3817">
        <v>2023</v>
      </c>
    </row>
    <row r="3818" spans="1:8" x14ac:dyDescent="0.2">
      <c r="A3818">
        <v>237415</v>
      </c>
      <c r="B3818">
        <v>75000</v>
      </c>
      <c r="C3818" t="str">
        <f t="shared" si="59"/>
        <v>2. $10K-50K</v>
      </c>
      <c r="D3818" t="s">
        <v>1646</v>
      </c>
      <c r="E3818" t="s">
        <v>112</v>
      </c>
      <c r="F3818" t="s">
        <v>668</v>
      </c>
      <c r="G3818" t="s">
        <v>59</v>
      </c>
      <c r="H3818">
        <v>2023</v>
      </c>
    </row>
    <row r="3819" spans="1:8" x14ac:dyDescent="0.2">
      <c r="A3819">
        <v>237425</v>
      </c>
      <c r="B3819">
        <v>6000</v>
      </c>
      <c r="C3819" t="str">
        <f t="shared" si="59"/>
        <v>3. $50K-250K</v>
      </c>
      <c r="D3819" t="s">
        <v>877</v>
      </c>
      <c r="E3819" t="s">
        <v>237</v>
      </c>
      <c r="F3819" t="s">
        <v>670</v>
      </c>
      <c r="G3819" t="s">
        <v>59</v>
      </c>
      <c r="H3819">
        <v>2023</v>
      </c>
    </row>
    <row r="3820" spans="1:8" x14ac:dyDescent="0.2">
      <c r="A3820">
        <v>237427</v>
      </c>
      <c r="B3820">
        <v>5938</v>
      </c>
      <c r="C3820" t="str">
        <f t="shared" si="59"/>
        <v>1. Under $10K</v>
      </c>
      <c r="D3820" t="s">
        <v>851</v>
      </c>
      <c r="E3820" t="s">
        <v>237</v>
      </c>
      <c r="F3820" t="s">
        <v>670</v>
      </c>
      <c r="G3820" t="s">
        <v>59</v>
      </c>
      <c r="H3820">
        <v>2023</v>
      </c>
    </row>
    <row r="3821" spans="1:8" x14ac:dyDescent="0.2">
      <c r="A3821">
        <v>237428</v>
      </c>
      <c r="B3821">
        <v>7527</v>
      </c>
      <c r="C3821" t="str">
        <f t="shared" si="59"/>
        <v>1. Under $10K</v>
      </c>
      <c r="D3821" t="s">
        <v>869</v>
      </c>
      <c r="E3821" t="s">
        <v>237</v>
      </c>
      <c r="F3821" t="s">
        <v>670</v>
      </c>
      <c r="G3821" t="s">
        <v>59</v>
      </c>
      <c r="H3821">
        <v>2023</v>
      </c>
    </row>
    <row r="3822" spans="1:8" x14ac:dyDescent="0.2">
      <c r="A3822">
        <v>237430</v>
      </c>
      <c r="B3822">
        <v>23323</v>
      </c>
      <c r="C3822" t="str">
        <f t="shared" si="59"/>
        <v>1. Under $10K</v>
      </c>
      <c r="D3822" t="s">
        <v>857</v>
      </c>
      <c r="E3822" t="s">
        <v>237</v>
      </c>
      <c r="F3822" t="s">
        <v>670</v>
      </c>
      <c r="G3822" t="s">
        <v>59</v>
      </c>
      <c r="H3822">
        <v>2023</v>
      </c>
    </row>
    <row r="3823" spans="1:8" x14ac:dyDescent="0.2">
      <c r="A3823">
        <v>237431</v>
      </c>
      <c r="B3823">
        <v>36281</v>
      </c>
      <c r="C3823" t="str">
        <f t="shared" si="59"/>
        <v>2. $10K-50K</v>
      </c>
      <c r="D3823" t="s">
        <v>857</v>
      </c>
      <c r="E3823" t="s">
        <v>237</v>
      </c>
      <c r="F3823" t="s">
        <v>670</v>
      </c>
      <c r="G3823" t="s">
        <v>59</v>
      </c>
      <c r="H3823">
        <v>2023</v>
      </c>
    </row>
    <row r="3824" spans="1:8" x14ac:dyDescent="0.2">
      <c r="A3824">
        <v>237432</v>
      </c>
      <c r="B3824">
        <v>5183</v>
      </c>
      <c r="C3824" t="str">
        <f t="shared" si="59"/>
        <v>2. $10K-50K</v>
      </c>
      <c r="D3824" t="s">
        <v>851</v>
      </c>
      <c r="E3824" t="s">
        <v>237</v>
      </c>
      <c r="F3824" t="s">
        <v>670</v>
      </c>
      <c r="G3824" t="s">
        <v>59</v>
      </c>
      <c r="H3824">
        <v>2023</v>
      </c>
    </row>
    <row r="3825" spans="1:8" x14ac:dyDescent="0.2">
      <c r="A3825">
        <v>237438</v>
      </c>
      <c r="B3825">
        <v>20732</v>
      </c>
      <c r="C3825" t="str">
        <f t="shared" si="59"/>
        <v>1. Under $10K</v>
      </c>
      <c r="D3825" t="s">
        <v>877</v>
      </c>
      <c r="E3825" t="s">
        <v>237</v>
      </c>
      <c r="F3825" t="s">
        <v>670</v>
      </c>
      <c r="G3825" t="s">
        <v>59</v>
      </c>
      <c r="H3825">
        <v>2023</v>
      </c>
    </row>
    <row r="3826" spans="1:8" x14ac:dyDescent="0.2">
      <c r="A3826">
        <v>237440</v>
      </c>
      <c r="B3826">
        <v>64788</v>
      </c>
      <c r="C3826" t="str">
        <f t="shared" si="59"/>
        <v>2. $10K-50K</v>
      </c>
      <c r="D3826" t="s">
        <v>860</v>
      </c>
      <c r="E3826" t="s">
        <v>237</v>
      </c>
      <c r="F3826" t="s">
        <v>670</v>
      </c>
      <c r="G3826" t="s">
        <v>59</v>
      </c>
      <c r="H3826">
        <v>2023</v>
      </c>
    </row>
    <row r="3827" spans="1:8" x14ac:dyDescent="0.2">
      <c r="A3827">
        <v>237453</v>
      </c>
      <c r="B3827">
        <v>48624</v>
      </c>
      <c r="C3827" t="str">
        <f t="shared" si="59"/>
        <v>3. $50K-250K</v>
      </c>
      <c r="D3827" t="s">
        <v>980</v>
      </c>
      <c r="E3827" t="s">
        <v>237</v>
      </c>
      <c r="F3827" t="s">
        <v>670</v>
      </c>
      <c r="G3827" t="s">
        <v>59</v>
      </c>
      <c r="H3827">
        <v>2023</v>
      </c>
    </row>
    <row r="3828" spans="1:8" x14ac:dyDescent="0.2">
      <c r="A3828">
        <v>237454</v>
      </c>
      <c r="B3828">
        <v>4528625</v>
      </c>
      <c r="C3828" t="str">
        <f t="shared" si="59"/>
        <v>2. $10K-50K</v>
      </c>
      <c r="D3828" t="s">
        <v>964</v>
      </c>
      <c r="E3828" t="s">
        <v>825</v>
      </c>
      <c r="F3828" t="s">
        <v>670</v>
      </c>
      <c r="G3828" t="s">
        <v>59</v>
      </c>
      <c r="H3828">
        <v>2023</v>
      </c>
    </row>
    <row r="3829" spans="1:8" x14ac:dyDescent="0.2">
      <c r="A3829">
        <v>237455</v>
      </c>
      <c r="B3829">
        <v>20383</v>
      </c>
      <c r="C3829" t="str">
        <f t="shared" si="59"/>
        <v>5. $1M+</v>
      </c>
      <c r="D3829" t="s">
        <v>801</v>
      </c>
      <c r="E3829" t="s">
        <v>237</v>
      </c>
      <c r="F3829" t="s">
        <v>670</v>
      </c>
      <c r="G3829" t="s">
        <v>59</v>
      </c>
      <c r="H3829">
        <v>2023</v>
      </c>
    </row>
    <row r="3830" spans="1:8" x14ac:dyDescent="0.2">
      <c r="A3830">
        <v>237624</v>
      </c>
      <c r="B3830">
        <v>6959</v>
      </c>
      <c r="C3830" t="str">
        <f t="shared" si="59"/>
        <v>2. $10K-50K</v>
      </c>
      <c r="D3830" t="s">
        <v>1052</v>
      </c>
      <c r="E3830" t="s">
        <v>237</v>
      </c>
      <c r="F3830" t="s">
        <v>670</v>
      </c>
      <c r="G3830" t="s">
        <v>59</v>
      </c>
      <c r="H3830">
        <v>2023</v>
      </c>
    </row>
    <row r="3831" spans="1:8" x14ac:dyDescent="0.2">
      <c r="A3831">
        <v>237625</v>
      </c>
      <c r="B3831">
        <v>60005</v>
      </c>
      <c r="C3831" t="str">
        <f t="shared" si="59"/>
        <v>1. Under $10K</v>
      </c>
      <c r="D3831" t="s">
        <v>796</v>
      </c>
      <c r="E3831" t="s">
        <v>237</v>
      </c>
      <c r="F3831" t="s">
        <v>670</v>
      </c>
      <c r="G3831" t="s">
        <v>59</v>
      </c>
      <c r="H3831">
        <v>2023</v>
      </c>
    </row>
    <row r="3832" spans="1:8" x14ac:dyDescent="0.2">
      <c r="A3832">
        <v>237626</v>
      </c>
      <c r="B3832">
        <v>37634</v>
      </c>
      <c r="C3832" t="str">
        <f t="shared" si="59"/>
        <v>3. $50K-250K</v>
      </c>
      <c r="D3832" t="s">
        <v>884</v>
      </c>
      <c r="E3832" t="s">
        <v>18</v>
      </c>
      <c r="F3832" t="s">
        <v>670</v>
      </c>
      <c r="G3832" t="s">
        <v>59</v>
      </c>
      <c r="H3832">
        <v>2023</v>
      </c>
    </row>
    <row r="3833" spans="1:8" x14ac:dyDescent="0.2">
      <c r="A3833">
        <v>237627</v>
      </c>
      <c r="B3833">
        <v>44692</v>
      </c>
      <c r="C3833" t="str">
        <f t="shared" si="59"/>
        <v>2. $10K-50K</v>
      </c>
      <c r="D3833" t="s">
        <v>883</v>
      </c>
      <c r="E3833" t="s">
        <v>237</v>
      </c>
      <c r="F3833" t="s">
        <v>670</v>
      </c>
      <c r="G3833" t="s">
        <v>59</v>
      </c>
      <c r="H3833">
        <v>2023</v>
      </c>
    </row>
    <row r="3834" spans="1:8" x14ac:dyDescent="0.2">
      <c r="A3834">
        <v>237628</v>
      </c>
      <c r="B3834">
        <v>116160</v>
      </c>
      <c r="C3834" t="str">
        <f t="shared" si="59"/>
        <v>2. $10K-50K</v>
      </c>
      <c r="D3834" t="s">
        <v>796</v>
      </c>
      <c r="E3834" t="s">
        <v>237</v>
      </c>
      <c r="F3834" t="s">
        <v>670</v>
      </c>
      <c r="G3834" t="s">
        <v>59</v>
      </c>
      <c r="H3834">
        <v>2023</v>
      </c>
    </row>
    <row r="3835" spans="1:8" x14ac:dyDescent="0.2">
      <c r="A3835">
        <v>237629</v>
      </c>
      <c r="B3835">
        <v>70000</v>
      </c>
      <c r="C3835" t="str">
        <f t="shared" si="59"/>
        <v>3. $50K-250K</v>
      </c>
      <c r="D3835" t="s">
        <v>874</v>
      </c>
      <c r="E3835" t="s">
        <v>237</v>
      </c>
      <c r="F3835" t="s">
        <v>670</v>
      </c>
      <c r="G3835" t="s">
        <v>59</v>
      </c>
      <c r="H3835">
        <v>2023</v>
      </c>
    </row>
    <row r="3836" spans="1:8" x14ac:dyDescent="0.2">
      <c r="A3836">
        <v>237630</v>
      </c>
      <c r="B3836">
        <v>81770</v>
      </c>
      <c r="C3836" t="str">
        <f t="shared" si="59"/>
        <v>3. $50K-250K</v>
      </c>
      <c r="D3836" t="s">
        <v>796</v>
      </c>
      <c r="E3836" t="s">
        <v>237</v>
      </c>
      <c r="F3836" t="s">
        <v>670</v>
      </c>
      <c r="G3836" t="s">
        <v>59</v>
      </c>
      <c r="H3836">
        <v>2023</v>
      </c>
    </row>
    <row r="3837" spans="1:8" x14ac:dyDescent="0.2">
      <c r="A3837">
        <v>237631</v>
      </c>
      <c r="B3837">
        <v>139027</v>
      </c>
      <c r="C3837" t="str">
        <f t="shared" si="59"/>
        <v>3. $50K-250K</v>
      </c>
      <c r="D3837" t="s">
        <v>874</v>
      </c>
      <c r="E3837" t="s">
        <v>237</v>
      </c>
      <c r="F3837" t="s">
        <v>670</v>
      </c>
      <c r="G3837" t="s">
        <v>59</v>
      </c>
      <c r="H3837">
        <v>2023</v>
      </c>
    </row>
    <row r="3838" spans="1:8" x14ac:dyDescent="0.2">
      <c r="A3838">
        <v>237632</v>
      </c>
      <c r="B3838">
        <v>27104</v>
      </c>
      <c r="C3838" t="str">
        <f t="shared" si="59"/>
        <v>3. $50K-250K</v>
      </c>
      <c r="D3838" t="s">
        <v>391</v>
      </c>
      <c r="E3838" t="s">
        <v>237</v>
      </c>
      <c r="F3838" t="s">
        <v>670</v>
      </c>
      <c r="G3838" t="s">
        <v>59</v>
      </c>
      <c r="H3838">
        <v>2023</v>
      </c>
    </row>
    <row r="3839" spans="1:8" x14ac:dyDescent="0.2">
      <c r="A3839">
        <v>237670</v>
      </c>
      <c r="B3839">
        <v>141119.20000000001</v>
      </c>
      <c r="C3839" t="str">
        <f t="shared" si="59"/>
        <v>2. $10K-50K</v>
      </c>
      <c r="D3839" t="s">
        <v>908</v>
      </c>
      <c r="E3839" t="s">
        <v>237</v>
      </c>
      <c r="F3839" t="s">
        <v>670</v>
      </c>
      <c r="G3839" t="s">
        <v>59</v>
      </c>
      <c r="H3839">
        <v>2023</v>
      </c>
    </row>
    <row r="3840" spans="1:8" x14ac:dyDescent="0.2">
      <c r="A3840">
        <v>237677</v>
      </c>
      <c r="B3840">
        <v>65000</v>
      </c>
      <c r="C3840" t="str">
        <f t="shared" si="59"/>
        <v>3. $50K-250K</v>
      </c>
      <c r="D3840" t="s">
        <v>1243</v>
      </c>
      <c r="E3840" t="s">
        <v>112</v>
      </c>
      <c r="F3840" t="s">
        <v>668</v>
      </c>
      <c r="G3840" t="s">
        <v>59</v>
      </c>
      <c r="H3840">
        <v>2023</v>
      </c>
    </row>
    <row r="3841" spans="1:8" x14ac:dyDescent="0.2">
      <c r="A3841">
        <v>237685</v>
      </c>
      <c r="B3841">
        <v>40000</v>
      </c>
      <c r="C3841" t="str">
        <f t="shared" si="59"/>
        <v>3. $50K-250K</v>
      </c>
      <c r="D3841" t="s">
        <v>1341</v>
      </c>
      <c r="E3841" t="s">
        <v>112</v>
      </c>
      <c r="F3841" t="s">
        <v>668</v>
      </c>
      <c r="G3841" t="s">
        <v>59</v>
      </c>
      <c r="H3841">
        <v>2023</v>
      </c>
    </row>
    <row r="3842" spans="1:8" x14ac:dyDescent="0.2">
      <c r="A3842">
        <v>237686</v>
      </c>
      <c r="B3842">
        <v>30000</v>
      </c>
      <c r="C3842" t="str">
        <f t="shared" si="59"/>
        <v>2. $10K-50K</v>
      </c>
      <c r="D3842" t="s">
        <v>1275</v>
      </c>
      <c r="E3842" t="s">
        <v>112</v>
      </c>
      <c r="F3842" t="s">
        <v>668</v>
      </c>
      <c r="G3842" t="s">
        <v>59</v>
      </c>
      <c r="H3842">
        <v>2023</v>
      </c>
    </row>
    <row r="3843" spans="1:8" x14ac:dyDescent="0.2">
      <c r="A3843">
        <v>237688</v>
      </c>
      <c r="B3843">
        <v>25000</v>
      </c>
      <c r="C3843" t="str">
        <f t="shared" ref="C3843:C3906" si="60">IF(B3842&lt;10000,"1. Under $10K",IF(B3842&lt;50000,"2. $10K-50K",IF(B3842&lt;250000,"3. $50K-250K",IF(B3842&lt;1000000,"4. $250K-1M","5. $1M+"))))</f>
        <v>2. $10K-50K</v>
      </c>
      <c r="D3843" t="s">
        <v>1300</v>
      </c>
      <c r="E3843" t="s">
        <v>112</v>
      </c>
      <c r="F3843" t="s">
        <v>668</v>
      </c>
      <c r="G3843" t="s">
        <v>59</v>
      </c>
      <c r="H3843">
        <v>2023</v>
      </c>
    </row>
    <row r="3844" spans="1:8" x14ac:dyDescent="0.2">
      <c r="A3844">
        <v>237849</v>
      </c>
      <c r="B3844">
        <v>28816</v>
      </c>
      <c r="C3844" t="str">
        <f t="shared" si="60"/>
        <v>2. $10K-50K</v>
      </c>
      <c r="D3844" t="s">
        <v>957</v>
      </c>
      <c r="E3844" t="s">
        <v>237</v>
      </c>
      <c r="F3844" t="s">
        <v>670</v>
      </c>
      <c r="G3844" t="s">
        <v>59</v>
      </c>
      <c r="H3844">
        <v>2023</v>
      </c>
    </row>
    <row r="3845" spans="1:8" x14ac:dyDescent="0.2">
      <c r="A3845">
        <v>237878</v>
      </c>
      <c r="B3845">
        <v>40000</v>
      </c>
      <c r="C3845" t="str">
        <f t="shared" si="60"/>
        <v>2. $10K-50K</v>
      </c>
      <c r="D3845" t="s">
        <v>1108</v>
      </c>
      <c r="E3845" t="s">
        <v>368</v>
      </c>
      <c r="F3845" t="s">
        <v>670</v>
      </c>
      <c r="G3845" t="s">
        <v>59</v>
      </c>
      <c r="H3845">
        <v>2023</v>
      </c>
    </row>
    <row r="3846" spans="1:8" x14ac:dyDescent="0.2">
      <c r="A3846">
        <v>237946</v>
      </c>
      <c r="B3846">
        <v>124331.3</v>
      </c>
      <c r="C3846" t="str">
        <f t="shared" si="60"/>
        <v>2. $10K-50K</v>
      </c>
      <c r="D3846" t="s">
        <v>740</v>
      </c>
      <c r="E3846" t="s">
        <v>237</v>
      </c>
      <c r="F3846" t="s">
        <v>670</v>
      </c>
      <c r="G3846" t="s">
        <v>59</v>
      </c>
      <c r="H3846">
        <v>2023</v>
      </c>
    </row>
    <row r="3847" spans="1:8" x14ac:dyDescent="0.2">
      <c r="A3847">
        <v>237954</v>
      </c>
      <c r="B3847">
        <v>711479.9</v>
      </c>
      <c r="C3847" t="str">
        <f t="shared" si="60"/>
        <v>3. $50K-250K</v>
      </c>
      <c r="D3847" t="s">
        <v>728</v>
      </c>
      <c r="E3847" t="s">
        <v>237</v>
      </c>
      <c r="F3847" t="s">
        <v>670</v>
      </c>
      <c r="G3847" t="s">
        <v>59</v>
      </c>
      <c r="H3847">
        <v>2023</v>
      </c>
    </row>
    <row r="3848" spans="1:8" x14ac:dyDescent="0.2">
      <c r="A3848">
        <v>237961</v>
      </c>
      <c r="B3848">
        <v>3957272</v>
      </c>
      <c r="C3848" t="str">
        <f t="shared" si="60"/>
        <v>4. $250K-1M</v>
      </c>
      <c r="D3848" t="s">
        <v>70</v>
      </c>
      <c r="E3848" t="s">
        <v>8</v>
      </c>
      <c r="F3848" t="s">
        <v>14</v>
      </c>
      <c r="G3848" t="s">
        <v>15</v>
      </c>
      <c r="H3848">
        <v>2023</v>
      </c>
    </row>
    <row r="3849" spans="1:8" x14ac:dyDescent="0.2">
      <c r="A3849">
        <v>237972</v>
      </c>
      <c r="B3849">
        <v>500594</v>
      </c>
      <c r="C3849" t="str">
        <f t="shared" si="60"/>
        <v>5. $1M+</v>
      </c>
      <c r="D3849" t="s">
        <v>977</v>
      </c>
      <c r="E3849" t="s">
        <v>237</v>
      </c>
      <c r="F3849" t="s">
        <v>670</v>
      </c>
      <c r="G3849" t="s">
        <v>59</v>
      </c>
      <c r="H3849">
        <v>2023</v>
      </c>
    </row>
    <row r="3850" spans="1:8" x14ac:dyDescent="0.2">
      <c r="A3850">
        <v>237973</v>
      </c>
      <c r="B3850">
        <v>500594</v>
      </c>
      <c r="C3850" t="str">
        <f t="shared" si="60"/>
        <v>4. $250K-1M</v>
      </c>
      <c r="D3850" t="s">
        <v>1084</v>
      </c>
      <c r="E3850" t="s">
        <v>237</v>
      </c>
      <c r="F3850" t="s">
        <v>670</v>
      </c>
      <c r="G3850" t="s">
        <v>59</v>
      </c>
      <c r="H3850">
        <v>2023</v>
      </c>
    </row>
    <row r="3851" spans="1:8" x14ac:dyDescent="0.2">
      <c r="A3851">
        <v>237974</v>
      </c>
      <c r="B3851">
        <v>352797</v>
      </c>
      <c r="C3851" t="str">
        <f t="shared" si="60"/>
        <v>4. $250K-1M</v>
      </c>
      <c r="D3851" t="s">
        <v>781</v>
      </c>
      <c r="E3851" t="s">
        <v>237</v>
      </c>
      <c r="F3851" t="s">
        <v>670</v>
      </c>
      <c r="G3851" t="s">
        <v>59</v>
      </c>
      <c r="H3851">
        <v>2023</v>
      </c>
    </row>
    <row r="3852" spans="1:8" x14ac:dyDescent="0.2">
      <c r="A3852">
        <v>237976</v>
      </c>
      <c r="B3852">
        <v>249480</v>
      </c>
      <c r="C3852" t="str">
        <f t="shared" si="60"/>
        <v>4. $250K-1M</v>
      </c>
      <c r="D3852" t="s">
        <v>714</v>
      </c>
      <c r="E3852" t="s">
        <v>237</v>
      </c>
      <c r="F3852" t="s">
        <v>670</v>
      </c>
      <c r="G3852" t="s">
        <v>59</v>
      </c>
      <c r="H3852">
        <v>2023</v>
      </c>
    </row>
    <row r="3853" spans="1:8" x14ac:dyDescent="0.2">
      <c r="A3853">
        <v>237977</v>
      </c>
      <c r="B3853">
        <v>305478.09999999998</v>
      </c>
      <c r="C3853" t="str">
        <f t="shared" si="60"/>
        <v>3. $50K-250K</v>
      </c>
      <c r="D3853" t="s">
        <v>740</v>
      </c>
      <c r="E3853" t="s">
        <v>237</v>
      </c>
      <c r="F3853" t="s">
        <v>670</v>
      </c>
      <c r="G3853" t="s">
        <v>59</v>
      </c>
      <c r="H3853">
        <v>2023</v>
      </c>
    </row>
    <row r="3854" spans="1:8" x14ac:dyDescent="0.2">
      <c r="A3854">
        <v>237978</v>
      </c>
      <c r="B3854">
        <v>105963.9</v>
      </c>
      <c r="C3854" t="str">
        <f t="shared" si="60"/>
        <v>4. $250K-1M</v>
      </c>
      <c r="D3854" t="s">
        <v>741</v>
      </c>
      <c r="E3854" t="s">
        <v>237</v>
      </c>
      <c r="F3854" t="s">
        <v>670</v>
      </c>
      <c r="G3854" t="s">
        <v>59</v>
      </c>
      <c r="H3854">
        <v>2023</v>
      </c>
    </row>
    <row r="3855" spans="1:8" x14ac:dyDescent="0.2">
      <c r="A3855">
        <v>237981</v>
      </c>
      <c r="B3855">
        <v>432000</v>
      </c>
      <c r="C3855" t="str">
        <f t="shared" si="60"/>
        <v>3. $50K-250K</v>
      </c>
      <c r="D3855" t="s">
        <v>356</v>
      </c>
      <c r="E3855" t="s">
        <v>252</v>
      </c>
      <c r="F3855" t="s">
        <v>12</v>
      </c>
      <c r="G3855" t="s">
        <v>10</v>
      </c>
      <c r="H3855">
        <v>2023</v>
      </c>
    </row>
    <row r="3856" spans="1:8" x14ac:dyDescent="0.2">
      <c r="A3856">
        <v>237984</v>
      </c>
      <c r="B3856">
        <v>75000</v>
      </c>
      <c r="C3856" t="str">
        <f t="shared" si="60"/>
        <v>4. $250K-1M</v>
      </c>
      <c r="D3856" t="s">
        <v>1647</v>
      </c>
      <c r="E3856" t="s">
        <v>112</v>
      </c>
      <c r="F3856" t="s">
        <v>668</v>
      </c>
      <c r="G3856" t="s">
        <v>59</v>
      </c>
      <c r="H3856">
        <v>2023</v>
      </c>
    </row>
    <row r="3857" spans="1:8" x14ac:dyDescent="0.2">
      <c r="A3857">
        <v>237988</v>
      </c>
      <c r="B3857">
        <v>10000000</v>
      </c>
      <c r="C3857" t="str">
        <f t="shared" si="60"/>
        <v>3. $50K-250K</v>
      </c>
      <c r="D3857" t="s">
        <v>1648</v>
      </c>
      <c r="E3857" t="s">
        <v>99</v>
      </c>
      <c r="F3857" t="s">
        <v>668</v>
      </c>
      <c r="G3857" t="s">
        <v>59</v>
      </c>
      <c r="H3857">
        <v>2023</v>
      </c>
    </row>
    <row r="3858" spans="1:8" x14ac:dyDescent="0.2">
      <c r="A3858">
        <v>237989</v>
      </c>
      <c r="B3858">
        <v>188350.7</v>
      </c>
      <c r="C3858" t="str">
        <f t="shared" si="60"/>
        <v>5. $1M+</v>
      </c>
      <c r="D3858" t="s">
        <v>230</v>
      </c>
      <c r="E3858" t="s">
        <v>69</v>
      </c>
      <c r="F3858" t="s">
        <v>231</v>
      </c>
      <c r="G3858" t="s">
        <v>232</v>
      </c>
      <c r="H3858">
        <v>2023</v>
      </c>
    </row>
    <row r="3859" spans="1:8" x14ac:dyDescent="0.2">
      <c r="A3859">
        <v>237991</v>
      </c>
      <c r="B3859">
        <v>508918.2</v>
      </c>
      <c r="C3859" t="str">
        <f t="shared" si="60"/>
        <v>3. $50K-250K</v>
      </c>
      <c r="D3859" t="s">
        <v>1628</v>
      </c>
      <c r="E3859" t="s">
        <v>112</v>
      </c>
      <c r="F3859" t="s">
        <v>668</v>
      </c>
      <c r="G3859" t="s">
        <v>59</v>
      </c>
      <c r="H3859">
        <v>2023</v>
      </c>
    </row>
    <row r="3860" spans="1:8" x14ac:dyDescent="0.2">
      <c r="A3860">
        <v>237992</v>
      </c>
      <c r="B3860">
        <v>41305.9</v>
      </c>
      <c r="C3860" t="str">
        <f t="shared" si="60"/>
        <v>4. $250K-1M</v>
      </c>
      <c r="D3860" t="s">
        <v>230</v>
      </c>
      <c r="E3860" t="s">
        <v>69</v>
      </c>
      <c r="F3860" t="s">
        <v>231</v>
      </c>
      <c r="G3860" t="s">
        <v>232</v>
      </c>
      <c r="H3860">
        <v>2023</v>
      </c>
    </row>
    <row r="3861" spans="1:8" x14ac:dyDescent="0.2">
      <c r="A3861">
        <v>237993</v>
      </c>
      <c r="B3861">
        <v>30000</v>
      </c>
      <c r="C3861" t="str">
        <f t="shared" si="60"/>
        <v>2. $10K-50K</v>
      </c>
      <c r="D3861" t="s">
        <v>1649</v>
      </c>
      <c r="E3861" t="s">
        <v>112</v>
      </c>
      <c r="F3861" t="s">
        <v>668</v>
      </c>
      <c r="G3861" t="s">
        <v>59</v>
      </c>
      <c r="H3861">
        <v>2023</v>
      </c>
    </row>
    <row r="3862" spans="1:8" x14ac:dyDescent="0.2">
      <c r="A3862">
        <v>237994</v>
      </c>
      <c r="B3862">
        <v>24816.1</v>
      </c>
      <c r="C3862" t="str">
        <f t="shared" si="60"/>
        <v>2. $10K-50K</v>
      </c>
      <c r="D3862" t="s">
        <v>230</v>
      </c>
      <c r="E3862" t="s">
        <v>69</v>
      </c>
      <c r="F3862" t="s">
        <v>231</v>
      </c>
      <c r="G3862" t="s">
        <v>232</v>
      </c>
      <c r="H3862">
        <v>2023</v>
      </c>
    </row>
    <row r="3863" spans="1:8" x14ac:dyDescent="0.2">
      <c r="A3863">
        <v>237995</v>
      </c>
      <c r="B3863">
        <v>14186.8</v>
      </c>
      <c r="C3863" t="str">
        <f t="shared" si="60"/>
        <v>2. $10K-50K</v>
      </c>
      <c r="D3863" t="s">
        <v>230</v>
      </c>
      <c r="E3863" t="s">
        <v>69</v>
      </c>
      <c r="F3863" t="s">
        <v>231</v>
      </c>
      <c r="G3863" t="s">
        <v>232</v>
      </c>
      <c r="H3863">
        <v>2023</v>
      </c>
    </row>
    <row r="3864" spans="1:8" x14ac:dyDescent="0.2">
      <c r="A3864">
        <v>237996</v>
      </c>
      <c r="B3864">
        <v>250000</v>
      </c>
      <c r="C3864" t="str">
        <f t="shared" si="60"/>
        <v>2. $10K-50K</v>
      </c>
      <c r="D3864" t="s">
        <v>1650</v>
      </c>
      <c r="E3864" t="s">
        <v>112</v>
      </c>
      <c r="F3864" t="s">
        <v>668</v>
      </c>
      <c r="G3864" t="s">
        <v>59</v>
      </c>
      <c r="H3864">
        <v>2023</v>
      </c>
    </row>
    <row r="3865" spans="1:8" x14ac:dyDescent="0.2">
      <c r="A3865">
        <v>237997</v>
      </c>
      <c r="B3865">
        <v>125000</v>
      </c>
      <c r="C3865" t="str">
        <f t="shared" si="60"/>
        <v>4. $250K-1M</v>
      </c>
      <c r="D3865" t="s">
        <v>1651</v>
      </c>
      <c r="E3865" t="s">
        <v>819</v>
      </c>
      <c r="F3865" t="s">
        <v>670</v>
      </c>
      <c r="G3865" t="s">
        <v>44</v>
      </c>
      <c r="H3865">
        <v>2023</v>
      </c>
    </row>
    <row r="3866" spans="1:8" x14ac:dyDescent="0.2">
      <c r="A3866">
        <v>237998</v>
      </c>
      <c r="B3866">
        <v>125000</v>
      </c>
      <c r="C3866" t="str">
        <f t="shared" si="60"/>
        <v>3. $50K-250K</v>
      </c>
      <c r="D3866" t="s">
        <v>1437</v>
      </c>
      <c r="E3866" t="s">
        <v>432</v>
      </c>
      <c r="F3866" t="s">
        <v>670</v>
      </c>
      <c r="G3866" t="s">
        <v>44</v>
      </c>
      <c r="H3866">
        <v>2023</v>
      </c>
    </row>
    <row r="3867" spans="1:8" x14ac:dyDescent="0.2">
      <c r="A3867">
        <v>237999</v>
      </c>
      <c r="B3867">
        <v>40000</v>
      </c>
      <c r="C3867" t="str">
        <f t="shared" si="60"/>
        <v>3. $50K-250K</v>
      </c>
      <c r="D3867" t="s">
        <v>1391</v>
      </c>
      <c r="E3867" t="s">
        <v>112</v>
      </c>
      <c r="F3867" t="s">
        <v>668</v>
      </c>
      <c r="G3867" t="s">
        <v>59</v>
      </c>
      <c r="H3867">
        <v>2023</v>
      </c>
    </row>
    <row r="3868" spans="1:8" x14ac:dyDescent="0.2">
      <c r="A3868">
        <v>238001</v>
      </c>
      <c r="B3868">
        <v>250000</v>
      </c>
      <c r="C3868" t="str">
        <f t="shared" si="60"/>
        <v>2. $10K-50K</v>
      </c>
      <c r="D3868" t="s">
        <v>966</v>
      </c>
      <c r="E3868" t="s">
        <v>112</v>
      </c>
      <c r="F3868" t="s">
        <v>668</v>
      </c>
      <c r="G3868" t="s">
        <v>59</v>
      </c>
      <c r="H3868">
        <v>2024</v>
      </c>
    </row>
    <row r="3869" spans="1:8" x14ac:dyDescent="0.2">
      <c r="A3869">
        <v>238013</v>
      </c>
      <c r="B3869">
        <v>112266</v>
      </c>
      <c r="C3869" t="str">
        <f t="shared" si="60"/>
        <v>4. $250K-1M</v>
      </c>
      <c r="D3869" t="s">
        <v>776</v>
      </c>
      <c r="E3869" t="s">
        <v>237</v>
      </c>
      <c r="F3869" t="s">
        <v>670</v>
      </c>
      <c r="G3869" t="s">
        <v>59</v>
      </c>
      <c r="H3869">
        <v>2023</v>
      </c>
    </row>
    <row r="3870" spans="1:8" x14ac:dyDescent="0.2">
      <c r="A3870">
        <v>238079</v>
      </c>
      <c r="B3870">
        <v>250000</v>
      </c>
      <c r="C3870" t="str">
        <f t="shared" si="60"/>
        <v>3. $50K-250K</v>
      </c>
      <c r="D3870" t="s">
        <v>1652</v>
      </c>
      <c r="E3870" t="s">
        <v>99</v>
      </c>
      <c r="F3870" t="s">
        <v>668</v>
      </c>
      <c r="G3870" t="s">
        <v>59</v>
      </c>
      <c r="H3870">
        <v>2023</v>
      </c>
    </row>
    <row r="3871" spans="1:8" x14ac:dyDescent="0.2">
      <c r="A3871">
        <v>238216</v>
      </c>
      <c r="B3871">
        <v>500000</v>
      </c>
      <c r="C3871" t="str">
        <f t="shared" si="60"/>
        <v>4. $250K-1M</v>
      </c>
      <c r="D3871" t="s">
        <v>778</v>
      </c>
      <c r="E3871" t="s">
        <v>99</v>
      </c>
      <c r="F3871" t="s">
        <v>668</v>
      </c>
      <c r="G3871" t="s">
        <v>59</v>
      </c>
      <c r="H3871">
        <v>2023</v>
      </c>
    </row>
    <row r="3872" spans="1:8" x14ac:dyDescent="0.2">
      <c r="A3872">
        <v>238217</v>
      </c>
      <c r="B3872">
        <v>500000</v>
      </c>
      <c r="C3872" t="str">
        <f t="shared" si="60"/>
        <v>4. $250K-1M</v>
      </c>
      <c r="D3872" t="s">
        <v>778</v>
      </c>
      <c r="E3872" t="s">
        <v>99</v>
      </c>
      <c r="F3872" t="s">
        <v>668</v>
      </c>
      <c r="G3872" t="s">
        <v>59</v>
      </c>
      <c r="H3872">
        <v>2023</v>
      </c>
    </row>
    <row r="3873" spans="1:8" x14ac:dyDescent="0.2">
      <c r="A3873">
        <v>238218</v>
      </c>
      <c r="B3873">
        <v>6000</v>
      </c>
      <c r="C3873" t="str">
        <f t="shared" si="60"/>
        <v>4. $250K-1M</v>
      </c>
      <c r="D3873" t="s">
        <v>1653</v>
      </c>
      <c r="E3873" t="s">
        <v>112</v>
      </c>
      <c r="F3873" t="s">
        <v>668</v>
      </c>
      <c r="G3873" t="s">
        <v>59</v>
      </c>
      <c r="H3873">
        <v>2023</v>
      </c>
    </row>
    <row r="3874" spans="1:8" x14ac:dyDescent="0.2">
      <c r="A3874">
        <v>238219</v>
      </c>
      <c r="B3874">
        <v>5000</v>
      </c>
      <c r="C3874" t="str">
        <f t="shared" si="60"/>
        <v>1. Under $10K</v>
      </c>
      <c r="D3874" t="s">
        <v>1654</v>
      </c>
      <c r="E3874" t="s">
        <v>112</v>
      </c>
      <c r="F3874" t="s">
        <v>668</v>
      </c>
      <c r="G3874" t="s">
        <v>59</v>
      </c>
      <c r="H3874">
        <v>2023</v>
      </c>
    </row>
    <row r="3875" spans="1:8" x14ac:dyDescent="0.2">
      <c r="A3875">
        <v>238222</v>
      </c>
      <c r="B3875">
        <v>18168104.300000001</v>
      </c>
      <c r="C3875" t="str">
        <f t="shared" si="60"/>
        <v>1. Under $10K</v>
      </c>
      <c r="D3875" t="s">
        <v>104</v>
      </c>
      <c r="E3875" t="s">
        <v>24</v>
      </c>
      <c r="F3875" t="s">
        <v>9</v>
      </c>
      <c r="G3875" t="s">
        <v>10</v>
      </c>
      <c r="H3875">
        <v>2024</v>
      </c>
    </row>
    <row r="3876" spans="1:8" x14ac:dyDescent="0.2">
      <c r="A3876">
        <v>238223</v>
      </c>
      <c r="B3876">
        <v>6000</v>
      </c>
      <c r="C3876" t="str">
        <f t="shared" si="60"/>
        <v>5. $1M+</v>
      </c>
      <c r="D3876" t="s">
        <v>1655</v>
      </c>
      <c r="E3876" t="s">
        <v>112</v>
      </c>
      <c r="F3876" t="s">
        <v>668</v>
      </c>
      <c r="G3876" t="s">
        <v>59</v>
      </c>
      <c r="H3876">
        <v>2023</v>
      </c>
    </row>
    <row r="3877" spans="1:8" x14ac:dyDescent="0.2">
      <c r="A3877">
        <v>238224</v>
      </c>
      <c r="B3877">
        <v>6000</v>
      </c>
      <c r="C3877" t="str">
        <f t="shared" si="60"/>
        <v>1. Under $10K</v>
      </c>
      <c r="D3877" t="s">
        <v>1656</v>
      </c>
      <c r="E3877" t="s">
        <v>112</v>
      </c>
      <c r="F3877" t="s">
        <v>668</v>
      </c>
      <c r="G3877" t="s">
        <v>59</v>
      </c>
      <c r="H3877">
        <v>2023</v>
      </c>
    </row>
    <row r="3878" spans="1:8" x14ac:dyDescent="0.2">
      <c r="A3878">
        <v>238244</v>
      </c>
      <c r="B3878">
        <v>252924</v>
      </c>
      <c r="C3878" t="str">
        <f t="shared" si="60"/>
        <v>1. Under $10K</v>
      </c>
      <c r="D3878" t="s">
        <v>1657</v>
      </c>
      <c r="E3878" t="s">
        <v>59</v>
      </c>
      <c r="F3878" t="s">
        <v>664</v>
      </c>
      <c r="G3878" t="s">
        <v>59</v>
      </c>
      <c r="H3878">
        <v>2023</v>
      </c>
    </row>
    <row r="3879" spans="1:8" x14ac:dyDescent="0.2">
      <c r="A3879">
        <v>238247</v>
      </c>
      <c r="B3879">
        <v>180235</v>
      </c>
      <c r="C3879" t="str">
        <f t="shared" si="60"/>
        <v>4. $250K-1M</v>
      </c>
      <c r="D3879" t="s">
        <v>1585</v>
      </c>
      <c r="E3879" t="s">
        <v>237</v>
      </c>
      <c r="F3879" t="s">
        <v>670</v>
      </c>
      <c r="G3879" t="s">
        <v>59</v>
      </c>
      <c r="H3879">
        <v>2023</v>
      </c>
    </row>
    <row r="3880" spans="1:8" x14ac:dyDescent="0.2">
      <c r="A3880">
        <v>238251</v>
      </c>
      <c r="B3880">
        <v>1357657.2</v>
      </c>
      <c r="C3880" t="str">
        <f t="shared" si="60"/>
        <v>3. $50K-250K</v>
      </c>
      <c r="D3880" t="s">
        <v>1024</v>
      </c>
      <c r="E3880" t="s">
        <v>42</v>
      </c>
      <c r="F3880" t="s">
        <v>670</v>
      </c>
      <c r="G3880" t="s">
        <v>59</v>
      </c>
      <c r="H3880">
        <v>2023</v>
      </c>
    </row>
    <row r="3881" spans="1:8" x14ac:dyDescent="0.2">
      <c r="A3881">
        <v>238265</v>
      </c>
      <c r="B3881">
        <v>100000</v>
      </c>
      <c r="C3881" t="str">
        <f t="shared" si="60"/>
        <v>5. $1M+</v>
      </c>
      <c r="D3881" t="s">
        <v>1491</v>
      </c>
      <c r="E3881" t="s">
        <v>112</v>
      </c>
      <c r="F3881" t="s">
        <v>668</v>
      </c>
      <c r="G3881" t="s">
        <v>59</v>
      </c>
      <c r="H3881">
        <v>2023</v>
      </c>
    </row>
    <row r="3882" spans="1:8" x14ac:dyDescent="0.2">
      <c r="A3882">
        <v>238266</v>
      </c>
      <c r="B3882">
        <v>5850</v>
      </c>
      <c r="C3882" t="str">
        <f t="shared" si="60"/>
        <v>3. $50K-250K</v>
      </c>
      <c r="D3882" t="s">
        <v>1658</v>
      </c>
      <c r="E3882" t="s">
        <v>112</v>
      </c>
      <c r="F3882" t="s">
        <v>668</v>
      </c>
      <c r="G3882" t="s">
        <v>59</v>
      </c>
      <c r="H3882">
        <v>2023</v>
      </c>
    </row>
    <row r="3883" spans="1:8" x14ac:dyDescent="0.2">
      <c r="A3883">
        <v>238267</v>
      </c>
      <c r="B3883">
        <v>55000</v>
      </c>
      <c r="C3883" t="str">
        <f t="shared" si="60"/>
        <v>1. Under $10K</v>
      </c>
      <c r="D3883" t="s">
        <v>1245</v>
      </c>
      <c r="E3883" t="s">
        <v>112</v>
      </c>
      <c r="F3883" t="s">
        <v>668</v>
      </c>
      <c r="G3883" t="s">
        <v>59</v>
      </c>
      <c r="H3883">
        <v>2023</v>
      </c>
    </row>
    <row r="3884" spans="1:8" x14ac:dyDescent="0.2">
      <c r="A3884">
        <v>238270</v>
      </c>
      <c r="B3884">
        <v>50000</v>
      </c>
      <c r="C3884" t="str">
        <f t="shared" si="60"/>
        <v>3. $50K-250K</v>
      </c>
      <c r="D3884" t="s">
        <v>1659</v>
      </c>
      <c r="E3884" t="s">
        <v>112</v>
      </c>
      <c r="F3884" t="s">
        <v>668</v>
      </c>
      <c r="G3884" t="s">
        <v>59</v>
      </c>
      <c r="H3884">
        <v>2023</v>
      </c>
    </row>
    <row r="3885" spans="1:8" x14ac:dyDescent="0.2">
      <c r="A3885">
        <v>238272</v>
      </c>
      <c r="B3885">
        <v>20000</v>
      </c>
      <c r="C3885" t="str">
        <f t="shared" si="60"/>
        <v>3. $50K-250K</v>
      </c>
      <c r="D3885" t="s">
        <v>1135</v>
      </c>
      <c r="E3885" t="s">
        <v>112</v>
      </c>
      <c r="F3885" t="s">
        <v>668</v>
      </c>
      <c r="G3885" t="s">
        <v>59</v>
      </c>
      <c r="H3885">
        <v>2023</v>
      </c>
    </row>
    <row r="3886" spans="1:8" x14ac:dyDescent="0.2">
      <c r="A3886">
        <v>238273</v>
      </c>
      <c r="B3886">
        <v>6000</v>
      </c>
      <c r="C3886" t="str">
        <f t="shared" si="60"/>
        <v>2. $10K-50K</v>
      </c>
      <c r="D3886" t="s">
        <v>1660</v>
      </c>
      <c r="E3886" t="s">
        <v>112</v>
      </c>
      <c r="F3886" t="s">
        <v>668</v>
      </c>
      <c r="G3886" t="s">
        <v>59</v>
      </c>
      <c r="H3886">
        <v>2023</v>
      </c>
    </row>
    <row r="3887" spans="1:8" x14ac:dyDescent="0.2">
      <c r="A3887">
        <v>238274</v>
      </c>
      <c r="B3887">
        <v>5800</v>
      </c>
      <c r="C3887" t="str">
        <f t="shared" si="60"/>
        <v>1. Under $10K</v>
      </c>
      <c r="D3887" t="s">
        <v>1661</v>
      </c>
      <c r="E3887" t="s">
        <v>112</v>
      </c>
      <c r="F3887" t="s">
        <v>668</v>
      </c>
      <c r="G3887" t="s">
        <v>59</v>
      </c>
      <c r="H3887">
        <v>2023</v>
      </c>
    </row>
    <row r="3888" spans="1:8" x14ac:dyDescent="0.2">
      <c r="A3888">
        <v>238281</v>
      </c>
      <c r="B3888">
        <v>11206.7</v>
      </c>
      <c r="C3888" t="str">
        <f t="shared" si="60"/>
        <v>1. Under $10K</v>
      </c>
      <c r="D3888" t="s">
        <v>805</v>
      </c>
      <c r="E3888" t="s">
        <v>237</v>
      </c>
      <c r="F3888" t="s">
        <v>670</v>
      </c>
      <c r="G3888" t="s">
        <v>59</v>
      </c>
      <c r="H3888">
        <v>2023</v>
      </c>
    </row>
    <row r="3889" spans="1:8" x14ac:dyDescent="0.2">
      <c r="A3889">
        <v>238282</v>
      </c>
      <c r="B3889">
        <v>155207.9</v>
      </c>
      <c r="C3889" t="str">
        <f t="shared" si="60"/>
        <v>2. $10K-50K</v>
      </c>
      <c r="D3889" t="s">
        <v>801</v>
      </c>
      <c r="E3889" t="s">
        <v>237</v>
      </c>
      <c r="F3889" t="s">
        <v>670</v>
      </c>
      <c r="G3889" t="s">
        <v>59</v>
      </c>
      <c r="H3889">
        <v>2023</v>
      </c>
    </row>
    <row r="3890" spans="1:8" x14ac:dyDescent="0.2">
      <c r="A3890">
        <v>238285</v>
      </c>
      <c r="B3890">
        <v>8447483.5999999996</v>
      </c>
      <c r="C3890" t="str">
        <f t="shared" si="60"/>
        <v>3. $50K-250K</v>
      </c>
      <c r="D3890" t="s">
        <v>1052</v>
      </c>
      <c r="E3890" t="s">
        <v>237</v>
      </c>
      <c r="F3890" t="s">
        <v>670</v>
      </c>
      <c r="G3890" t="s">
        <v>59</v>
      </c>
      <c r="H3890">
        <v>2023</v>
      </c>
    </row>
    <row r="3891" spans="1:8" x14ac:dyDescent="0.2">
      <c r="A3891">
        <v>238407</v>
      </c>
      <c r="B3891">
        <v>2881532.0999999898</v>
      </c>
      <c r="C3891" t="str">
        <f t="shared" si="60"/>
        <v>5. $1M+</v>
      </c>
      <c r="D3891" t="s">
        <v>357</v>
      </c>
      <c r="E3891" t="s">
        <v>28</v>
      </c>
      <c r="F3891" t="s">
        <v>29</v>
      </c>
      <c r="G3891" t="s">
        <v>59</v>
      </c>
      <c r="H3891">
        <v>2023</v>
      </c>
    </row>
    <row r="3892" spans="1:8" x14ac:dyDescent="0.2">
      <c r="A3892">
        <v>238448</v>
      </c>
      <c r="B3892">
        <v>399273.2</v>
      </c>
      <c r="C3892" t="str">
        <f t="shared" si="60"/>
        <v>5. $1M+</v>
      </c>
      <c r="D3892" t="s">
        <v>391</v>
      </c>
      <c r="E3892" t="s">
        <v>237</v>
      </c>
      <c r="F3892" t="s">
        <v>670</v>
      </c>
      <c r="G3892" t="s">
        <v>59</v>
      </c>
      <c r="H3892">
        <v>2023</v>
      </c>
    </row>
    <row r="3893" spans="1:8" x14ac:dyDescent="0.2">
      <c r="A3893">
        <v>238449</v>
      </c>
      <c r="B3893">
        <v>201349.9</v>
      </c>
      <c r="C3893" t="str">
        <f t="shared" si="60"/>
        <v>4. $250K-1M</v>
      </c>
      <c r="D3893" t="s">
        <v>391</v>
      </c>
      <c r="E3893" t="s">
        <v>237</v>
      </c>
      <c r="F3893" t="s">
        <v>670</v>
      </c>
      <c r="G3893" t="s">
        <v>59</v>
      </c>
      <c r="H3893">
        <v>2023</v>
      </c>
    </row>
    <row r="3894" spans="1:8" x14ac:dyDescent="0.2">
      <c r="A3894">
        <v>238451</v>
      </c>
      <c r="B3894">
        <v>167567.79999999999</v>
      </c>
      <c r="C3894" t="str">
        <f t="shared" si="60"/>
        <v>3. $50K-250K</v>
      </c>
      <c r="D3894" t="s">
        <v>391</v>
      </c>
      <c r="E3894" t="s">
        <v>237</v>
      </c>
      <c r="F3894" t="s">
        <v>670</v>
      </c>
      <c r="G3894" t="s">
        <v>59</v>
      </c>
      <c r="H3894">
        <v>2023</v>
      </c>
    </row>
    <row r="3895" spans="1:8" x14ac:dyDescent="0.2">
      <c r="A3895">
        <v>238452</v>
      </c>
      <c r="B3895">
        <v>22844</v>
      </c>
      <c r="C3895" t="str">
        <f t="shared" si="60"/>
        <v>3. $50K-250K</v>
      </c>
      <c r="D3895" t="s">
        <v>796</v>
      </c>
      <c r="E3895" t="s">
        <v>237</v>
      </c>
      <c r="F3895" t="s">
        <v>670</v>
      </c>
      <c r="G3895" t="s">
        <v>59</v>
      </c>
      <c r="H3895">
        <v>2023</v>
      </c>
    </row>
    <row r="3896" spans="1:8" x14ac:dyDescent="0.2">
      <c r="A3896">
        <v>238456</v>
      </c>
      <c r="B3896">
        <v>593000</v>
      </c>
      <c r="C3896" t="str">
        <f t="shared" si="60"/>
        <v>2. $10K-50K</v>
      </c>
      <c r="D3896" t="s">
        <v>686</v>
      </c>
      <c r="E3896" t="s">
        <v>59</v>
      </c>
      <c r="F3896" t="s">
        <v>670</v>
      </c>
      <c r="G3896" t="s">
        <v>59</v>
      </c>
      <c r="H3896">
        <v>2023</v>
      </c>
    </row>
    <row r="3897" spans="1:8" x14ac:dyDescent="0.2">
      <c r="A3897">
        <v>238457</v>
      </c>
      <c r="B3897">
        <v>834000</v>
      </c>
      <c r="C3897" t="str">
        <f t="shared" si="60"/>
        <v>4. $250K-1M</v>
      </c>
      <c r="D3897" t="s">
        <v>1662</v>
      </c>
      <c r="E3897" t="s">
        <v>59</v>
      </c>
      <c r="F3897" t="s">
        <v>670</v>
      </c>
      <c r="G3897" t="s">
        <v>59</v>
      </c>
      <c r="H3897">
        <v>2023</v>
      </c>
    </row>
    <row r="3898" spans="1:8" x14ac:dyDescent="0.2">
      <c r="A3898">
        <v>238458</v>
      </c>
      <c r="B3898">
        <v>240000</v>
      </c>
      <c r="C3898" t="str">
        <f t="shared" si="60"/>
        <v>4. $250K-1M</v>
      </c>
      <c r="D3898" t="s">
        <v>859</v>
      </c>
      <c r="E3898" t="s">
        <v>237</v>
      </c>
      <c r="F3898" t="s">
        <v>670</v>
      </c>
      <c r="G3898" t="s">
        <v>59</v>
      </c>
      <c r="H3898">
        <v>2023</v>
      </c>
    </row>
    <row r="3899" spans="1:8" x14ac:dyDescent="0.2">
      <c r="A3899">
        <v>238465</v>
      </c>
      <c r="B3899">
        <v>180869.3</v>
      </c>
      <c r="C3899" t="str">
        <f t="shared" si="60"/>
        <v>3. $50K-250K</v>
      </c>
      <c r="D3899" t="s">
        <v>745</v>
      </c>
      <c r="E3899" t="s">
        <v>237</v>
      </c>
      <c r="F3899" t="s">
        <v>670</v>
      </c>
      <c r="G3899" t="s">
        <v>59</v>
      </c>
      <c r="H3899">
        <v>2023</v>
      </c>
    </row>
    <row r="3900" spans="1:8" x14ac:dyDescent="0.2">
      <c r="A3900">
        <v>238466</v>
      </c>
      <c r="B3900">
        <v>198556.79999999999</v>
      </c>
      <c r="C3900" t="str">
        <f t="shared" si="60"/>
        <v>3. $50K-250K</v>
      </c>
      <c r="D3900" t="s">
        <v>829</v>
      </c>
      <c r="E3900" t="s">
        <v>237</v>
      </c>
      <c r="F3900" t="s">
        <v>670</v>
      </c>
      <c r="G3900" t="s">
        <v>59</v>
      </c>
      <c r="H3900">
        <v>2023</v>
      </c>
    </row>
    <row r="3901" spans="1:8" x14ac:dyDescent="0.2">
      <c r="A3901">
        <v>238467</v>
      </c>
      <c r="B3901">
        <v>339557.3</v>
      </c>
      <c r="C3901" t="str">
        <f t="shared" si="60"/>
        <v>3. $50K-250K</v>
      </c>
      <c r="D3901" t="s">
        <v>754</v>
      </c>
      <c r="E3901" t="s">
        <v>237</v>
      </c>
      <c r="F3901" t="s">
        <v>670</v>
      </c>
      <c r="G3901" t="s">
        <v>59</v>
      </c>
      <c r="H3901">
        <v>2023</v>
      </c>
    </row>
    <row r="3902" spans="1:8" x14ac:dyDescent="0.2">
      <c r="A3902">
        <v>238468</v>
      </c>
      <c r="B3902">
        <v>201642.7</v>
      </c>
      <c r="C3902" t="str">
        <f t="shared" si="60"/>
        <v>4. $250K-1M</v>
      </c>
      <c r="D3902" t="s">
        <v>754</v>
      </c>
      <c r="E3902" t="s">
        <v>237</v>
      </c>
      <c r="F3902" t="s">
        <v>670</v>
      </c>
      <c r="G3902" t="s">
        <v>59</v>
      </c>
      <c r="H3902">
        <v>2023</v>
      </c>
    </row>
    <row r="3903" spans="1:8" x14ac:dyDescent="0.2">
      <c r="A3903">
        <v>238469</v>
      </c>
      <c r="B3903">
        <v>405405</v>
      </c>
      <c r="C3903" t="str">
        <f t="shared" si="60"/>
        <v>3. $50K-250K</v>
      </c>
      <c r="D3903" t="s">
        <v>727</v>
      </c>
      <c r="E3903" t="s">
        <v>237</v>
      </c>
      <c r="F3903" t="s">
        <v>670</v>
      </c>
      <c r="G3903" t="s">
        <v>59</v>
      </c>
      <c r="H3903">
        <v>2023</v>
      </c>
    </row>
    <row r="3904" spans="1:8" x14ac:dyDescent="0.2">
      <c r="A3904">
        <v>238470</v>
      </c>
      <c r="B3904">
        <v>963270</v>
      </c>
      <c r="C3904" t="str">
        <f t="shared" si="60"/>
        <v>4. $250K-1M</v>
      </c>
      <c r="D3904" t="s">
        <v>727</v>
      </c>
      <c r="E3904" t="s">
        <v>237</v>
      </c>
      <c r="F3904" t="s">
        <v>670</v>
      </c>
      <c r="G3904" t="s">
        <v>59</v>
      </c>
      <c r="H3904">
        <v>2023</v>
      </c>
    </row>
    <row r="3905" spans="1:8" x14ac:dyDescent="0.2">
      <c r="A3905">
        <v>238473</v>
      </c>
      <c r="B3905">
        <v>946366.8</v>
      </c>
      <c r="C3905" t="str">
        <f t="shared" si="60"/>
        <v>4. $250K-1M</v>
      </c>
      <c r="D3905" t="s">
        <v>694</v>
      </c>
      <c r="E3905" t="s">
        <v>237</v>
      </c>
      <c r="F3905" t="s">
        <v>670</v>
      </c>
      <c r="G3905" t="s">
        <v>59</v>
      </c>
      <c r="H3905">
        <v>2023</v>
      </c>
    </row>
    <row r="3906" spans="1:8" x14ac:dyDescent="0.2">
      <c r="A3906">
        <v>238474</v>
      </c>
      <c r="B3906">
        <v>224532</v>
      </c>
      <c r="C3906" t="str">
        <f t="shared" si="60"/>
        <v>4. $250K-1M</v>
      </c>
      <c r="D3906" t="s">
        <v>719</v>
      </c>
      <c r="E3906" t="s">
        <v>237</v>
      </c>
      <c r="F3906" t="s">
        <v>670</v>
      </c>
      <c r="G3906" t="s">
        <v>59</v>
      </c>
      <c r="H3906">
        <v>2023</v>
      </c>
    </row>
    <row r="3907" spans="1:8" x14ac:dyDescent="0.2">
      <c r="A3907">
        <v>238475</v>
      </c>
      <c r="B3907">
        <v>203280</v>
      </c>
      <c r="C3907" t="str">
        <f t="shared" ref="C3907:C3970" si="61">IF(B3906&lt;10000,"1. Under $10K",IF(B3906&lt;50000,"2. $10K-50K",IF(B3906&lt;250000,"3. $50K-250K",IF(B3906&lt;1000000,"4. $250K-1M","5. $1M+"))))</f>
        <v>3. $50K-250K</v>
      </c>
      <c r="D3907" t="s">
        <v>743</v>
      </c>
      <c r="E3907" t="s">
        <v>237</v>
      </c>
      <c r="F3907" t="s">
        <v>670</v>
      </c>
      <c r="G3907" t="s">
        <v>59</v>
      </c>
      <c r="H3907">
        <v>2023</v>
      </c>
    </row>
    <row r="3908" spans="1:8" x14ac:dyDescent="0.2">
      <c r="A3908">
        <v>238476</v>
      </c>
      <c r="B3908">
        <v>918610.6</v>
      </c>
      <c r="C3908" t="str">
        <f t="shared" si="61"/>
        <v>3. $50K-250K</v>
      </c>
      <c r="D3908" t="s">
        <v>697</v>
      </c>
      <c r="E3908" t="s">
        <v>237</v>
      </c>
      <c r="F3908" t="s">
        <v>670</v>
      </c>
      <c r="G3908" t="s">
        <v>59</v>
      </c>
      <c r="H3908">
        <v>2023</v>
      </c>
    </row>
    <row r="3909" spans="1:8" x14ac:dyDescent="0.2">
      <c r="A3909">
        <v>238477</v>
      </c>
      <c r="B3909">
        <v>206682.8</v>
      </c>
      <c r="C3909" t="str">
        <f t="shared" si="61"/>
        <v>4. $250K-1M</v>
      </c>
      <c r="D3909" t="s">
        <v>751</v>
      </c>
      <c r="E3909" t="s">
        <v>237</v>
      </c>
      <c r="F3909" t="s">
        <v>670</v>
      </c>
      <c r="G3909" t="s">
        <v>59</v>
      </c>
      <c r="H3909">
        <v>2023</v>
      </c>
    </row>
    <row r="3910" spans="1:8" x14ac:dyDescent="0.2">
      <c r="A3910">
        <v>238478</v>
      </c>
      <c r="B3910">
        <v>411642</v>
      </c>
      <c r="C3910" t="str">
        <f t="shared" si="61"/>
        <v>3. $50K-250K</v>
      </c>
      <c r="D3910" t="s">
        <v>1513</v>
      </c>
      <c r="E3910" t="s">
        <v>237</v>
      </c>
      <c r="F3910" t="s">
        <v>670</v>
      </c>
      <c r="G3910" t="s">
        <v>59</v>
      </c>
      <c r="H3910">
        <v>2023</v>
      </c>
    </row>
    <row r="3911" spans="1:8" x14ac:dyDescent="0.2">
      <c r="A3911">
        <v>238479</v>
      </c>
      <c r="B3911">
        <v>93601.7</v>
      </c>
      <c r="C3911" t="str">
        <f t="shared" si="61"/>
        <v>4. $250K-1M</v>
      </c>
      <c r="D3911" t="s">
        <v>1553</v>
      </c>
      <c r="E3911" t="s">
        <v>237</v>
      </c>
      <c r="F3911" t="s">
        <v>670</v>
      </c>
      <c r="G3911" t="s">
        <v>59</v>
      </c>
      <c r="H3911">
        <v>2023</v>
      </c>
    </row>
    <row r="3912" spans="1:8" x14ac:dyDescent="0.2">
      <c r="A3912">
        <v>238520</v>
      </c>
      <c r="B3912">
        <v>375000</v>
      </c>
      <c r="C3912" t="str">
        <f t="shared" si="61"/>
        <v>3. $50K-250K</v>
      </c>
      <c r="D3912" t="s">
        <v>1663</v>
      </c>
      <c r="E3912" t="s">
        <v>42</v>
      </c>
      <c r="F3912" t="s">
        <v>670</v>
      </c>
      <c r="G3912" t="s">
        <v>44</v>
      </c>
      <c r="H3912">
        <v>2023</v>
      </c>
    </row>
    <row r="3913" spans="1:8" x14ac:dyDescent="0.2">
      <c r="A3913">
        <v>238537</v>
      </c>
      <c r="B3913">
        <v>4850</v>
      </c>
      <c r="C3913" t="str">
        <f t="shared" si="61"/>
        <v>4. $250K-1M</v>
      </c>
      <c r="D3913" t="s">
        <v>1664</v>
      </c>
      <c r="E3913" t="s">
        <v>112</v>
      </c>
      <c r="F3913" t="s">
        <v>668</v>
      </c>
      <c r="G3913" t="s">
        <v>59</v>
      </c>
      <c r="H3913">
        <v>2023</v>
      </c>
    </row>
    <row r="3914" spans="1:8" x14ac:dyDescent="0.2">
      <c r="A3914">
        <v>238538</v>
      </c>
      <c r="B3914">
        <v>5500</v>
      </c>
      <c r="C3914" t="str">
        <f t="shared" si="61"/>
        <v>1. Under $10K</v>
      </c>
      <c r="D3914" t="s">
        <v>1665</v>
      </c>
      <c r="E3914" t="s">
        <v>112</v>
      </c>
      <c r="F3914" t="s">
        <v>668</v>
      </c>
      <c r="G3914" t="s">
        <v>59</v>
      </c>
      <c r="H3914">
        <v>2023</v>
      </c>
    </row>
    <row r="3915" spans="1:8" x14ac:dyDescent="0.2">
      <c r="A3915">
        <v>238540</v>
      </c>
      <c r="B3915">
        <v>6000</v>
      </c>
      <c r="C3915" t="str">
        <f t="shared" si="61"/>
        <v>1. Under $10K</v>
      </c>
      <c r="D3915" t="s">
        <v>1666</v>
      </c>
      <c r="E3915" t="s">
        <v>112</v>
      </c>
      <c r="F3915" t="s">
        <v>668</v>
      </c>
      <c r="G3915" t="s">
        <v>59</v>
      </c>
      <c r="H3915">
        <v>2023</v>
      </c>
    </row>
    <row r="3916" spans="1:8" x14ac:dyDescent="0.2">
      <c r="A3916">
        <v>238543</v>
      </c>
      <c r="B3916">
        <v>6000</v>
      </c>
      <c r="C3916" t="str">
        <f t="shared" si="61"/>
        <v>1. Under $10K</v>
      </c>
      <c r="D3916" t="s">
        <v>1667</v>
      </c>
      <c r="E3916" t="s">
        <v>112</v>
      </c>
      <c r="F3916" t="s">
        <v>668</v>
      </c>
      <c r="G3916" t="s">
        <v>59</v>
      </c>
      <c r="H3916">
        <v>2023</v>
      </c>
    </row>
    <row r="3917" spans="1:8" x14ac:dyDescent="0.2">
      <c r="A3917">
        <v>238544</v>
      </c>
      <c r="B3917">
        <v>20000</v>
      </c>
      <c r="C3917" t="str">
        <f t="shared" si="61"/>
        <v>1. Under $10K</v>
      </c>
      <c r="D3917" t="s">
        <v>1668</v>
      </c>
      <c r="E3917" t="s">
        <v>112</v>
      </c>
      <c r="F3917" t="s">
        <v>668</v>
      </c>
      <c r="G3917" t="s">
        <v>59</v>
      </c>
      <c r="H3917">
        <v>2023</v>
      </c>
    </row>
    <row r="3918" spans="1:8" x14ac:dyDescent="0.2">
      <c r="A3918">
        <v>238545</v>
      </c>
      <c r="B3918">
        <v>15000</v>
      </c>
      <c r="C3918" t="str">
        <f t="shared" si="61"/>
        <v>2. $10K-50K</v>
      </c>
      <c r="D3918" t="s">
        <v>1669</v>
      </c>
      <c r="E3918" t="s">
        <v>112</v>
      </c>
      <c r="F3918" t="s">
        <v>668</v>
      </c>
      <c r="G3918" t="s">
        <v>59</v>
      </c>
      <c r="H3918">
        <v>2023</v>
      </c>
    </row>
    <row r="3919" spans="1:8" x14ac:dyDescent="0.2">
      <c r="A3919">
        <v>238551</v>
      </c>
      <c r="B3919">
        <v>4000</v>
      </c>
      <c r="C3919" t="str">
        <f t="shared" si="61"/>
        <v>2. $10K-50K</v>
      </c>
      <c r="D3919" t="s">
        <v>1670</v>
      </c>
      <c r="E3919" t="s">
        <v>112</v>
      </c>
      <c r="F3919" t="s">
        <v>668</v>
      </c>
      <c r="G3919" t="s">
        <v>59</v>
      </c>
      <c r="H3919">
        <v>2023</v>
      </c>
    </row>
    <row r="3920" spans="1:8" x14ac:dyDescent="0.2">
      <c r="A3920">
        <v>238552</v>
      </c>
      <c r="B3920">
        <v>50000</v>
      </c>
      <c r="C3920" t="str">
        <f t="shared" si="61"/>
        <v>1. Under $10K</v>
      </c>
      <c r="D3920" t="s">
        <v>1671</v>
      </c>
      <c r="E3920" t="s">
        <v>112</v>
      </c>
      <c r="F3920" t="s">
        <v>668</v>
      </c>
      <c r="G3920" t="s">
        <v>59</v>
      </c>
      <c r="H3920">
        <v>2023</v>
      </c>
    </row>
    <row r="3921" spans="1:8" x14ac:dyDescent="0.2">
      <c r="A3921">
        <v>238561</v>
      </c>
      <c r="B3921">
        <v>20000</v>
      </c>
      <c r="C3921" t="str">
        <f t="shared" si="61"/>
        <v>3. $50K-250K</v>
      </c>
      <c r="D3921" t="s">
        <v>1467</v>
      </c>
      <c r="E3921" t="s">
        <v>432</v>
      </c>
      <c r="F3921" t="s">
        <v>670</v>
      </c>
      <c r="G3921" t="s">
        <v>59</v>
      </c>
      <c r="H3921">
        <v>2023</v>
      </c>
    </row>
    <row r="3922" spans="1:8" x14ac:dyDescent="0.2">
      <c r="A3922">
        <v>238563</v>
      </c>
      <c r="B3922">
        <v>20000</v>
      </c>
      <c r="C3922" t="str">
        <f t="shared" si="61"/>
        <v>2. $10K-50K</v>
      </c>
      <c r="D3922" t="s">
        <v>1584</v>
      </c>
      <c r="E3922" t="s">
        <v>432</v>
      </c>
      <c r="F3922" t="s">
        <v>670</v>
      </c>
      <c r="G3922" t="s">
        <v>59</v>
      </c>
      <c r="H3922">
        <v>2023</v>
      </c>
    </row>
    <row r="3923" spans="1:8" x14ac:dyDescent="0.2">
      <c r="A3923">
        <v>238565</v>
      </c>
      <c r="B3923">
        <v>100000</v>
      </c>
      <c r="C3923" t="str">
        <f t="shared" si="61"/>
        <v>2. $10K-50K</v>
      </c>
      <c r="D3923" t="s">
        <v>1610</v>
      </c>
      <c r="E3923" t="s">
        <v>432</v>
      </c>
      <c r="F3923" t="s">
        <v>670</v>
      </c>
      <c r="G3923" t="s">
        <v>59</v>
      </c>
      <c r="H3923">
        <v>2023</v>
      </c>
    </row>
    <row r="3924" spans="1:8" x14ac:dyDescent="0.2">
      <c r="A3924">
        <v>238582</v>
      </c>
      <c r="B3924">
        <v>187220</v>
      </c>
      <c r="C3924" t="str">
        <f t="shared" si="61"/>
        <v>3. $50K-250K</v>
      </c>
      <c r="D3924" t="s">
        <v>358</v>
      </c>
      <c r="E3924" t="s">
        <v>42</v>
      </c>
      <c r="F3924" t="s">
        <v>106</v>
      </c>
      <c r="G3924" t="s">
        <v>10</v>
      </c>
      <c r="H3924">
        <v>2024</v>
      </c>
    </row>
    <row r="3925" spans="1:8" x14ac:dyDescent="0.2">
      <c r="A3925">
        <v>238584</v>
      </c>
      <c r="B3925">
        <v>6626352</v>
      </c>
      <c r="C3925" t="str">
        <f t="shared" si="61"/>
        <v>3. $50K-250K</v>
      </c>
      <c r="D3925" t="s">
        <v>771</v>
      </c>
      <c r="E3925" t="s">
        <v>42</v>
      </c>
      <c r="F3925" t="s">
        <v>670</v>
      </c>
      <c r="G3925" t="s">
        <v>44</v>
      </c>
      <c r="H3925">
        <v>2023</v>
      </c>
    </row>
    <row r="3926" spans="1:8" x14ac:dyDescent="0.2">
      <c r="A3926">
        <v>238660</v>
      </c>
      <c r="B3926">
        <v>215207</v>
      </c>
      <c r="C3926" t="str">
        <f t="shared" si="61"/>
        <v>5. $1M+</v>
      </c>
      <c r="D3926" t="s">
        <v>771</v>
      </c>
      <c r="E3926" t="s">
        <v>825</v>
      </c>
      <c r="F3926" t="s">
        <v>670</v>
      </c>
      <c r="G3926" t="s">
        <v>59</v>
      </c>
      <c r="H3926">
        <v>2023</v>
      </c>
    </row>
    <row r="3927" spans="1:8" x14ac:dyDescent="0.2">
      <c r="A3927">
        <v>238663</v>
      </c>
      <c r="B3927">
        <v>718000</v>
      </c>
      <c r="C3927" t="str">
        <f t="shared" si="61"/>
        <v>3. $50K-250K</v>
      </c>
      <c r="D3927" t="s">
        <v>359</v>
      </c>
      <c r="E3927" t="s">
        <v>8</v>
      </c>
      <c r="F3927" t="s">
        <v>12</v>
      </c>
      <c r="G3927" t="s">
        <v>10</v>
      </c>
      <c r="H3927">
        <v>2023</v>
      </c>
    </row>
    <row r="3928" spans="1:8" x14ac:dyDescent="0.2">
      <c r="A3928">
        <v>238810</v>
      </c>
      <c r="B3928">
        <v>2057388.2</v>
      </c>
      <c r="C3928" t="str">
        <f t="shared" si="61"/>
        <v>4. $250K-1M</v>
      </c>
      <c r="D3928" t="s">
        <v>700</v>
      </c>
      <c r="E3928" t="s">
        <v>237</v>
      </c>
      <c r="F3928" t="s">
        <v>670</v>
      </c>
      <c r="G3928" t="s">
        <v>59</v>
      </c>
      <c r="H3928">
        <v>2023</v>
      </c>
    </row>
    <row r="3929" spans="1:8" x14ac:dyDescent="0.2">
      <c r="A3929">
        <v>238811</v>
      </c>
      <c r="B3929">
        <v>112266</v>
      </c>
      <c r="C3929" t="str">
        <f t="shared" si="61"/>
        <v>5. $1M+</v>
      </c>
      <c r="D3929" t="s">
        <v>1532</v>
      </c>
      <c r="E3929" t="s">
        <v>237</v>
      </c>
      <c r="F3929" t="s">
        <v>670</v>
      </c>
      <c r="G3929" t="s">
        <v>59</v>
      </c>
      <c r="H3929">
        <v>2023</v>
      </c>
    </row>
    <row r="3930" spans="1:8" x14ac:dyDescent="0.2">
      <c r="A3930">
        <v>238812</v>
      </c>
      <c r="B3930">
        <v>656200.69999999995</v>
      </c>
      <c r="C3930" t="str">
        <f t="shared" si="61"/>
        <v>3. $50K-250K</v>
      </c>
      <c r="D3930" t="s">
        <v>548</v>
      </c>
      <c r="E3930" t="s">
        <v>237</v>
      </c>
      <c r="F3930" t="s">
        <v>670</v>
      </c>
      <c r="G3930" t="s">
        <v>59</v>
      </c>
      <c r="H3930">
        <v>2023</v>
      </c>
    </row>
    <row r="3931" spans="1:8" x14ac:dyDescent="0.2">
      <c r="A3931">
        <v>238813</v>
      </c>
      <c r="B3931">
        <v>381150</v>
      </c>
      <c r="C3931" t="str">
        <f t="shared" si="61"/>
        <v>4. $250K-1M</v>
      </c>
      <c r="D3931" t="s">
        <v>1532</v>
      </c>
      <c r="E3931" t="s">
        <v>237</v>
      </c>
      <c r="F3931" t="s">
        <v>670</v>
      </c>
      <c r="G3931" t="s">
        <v>59</v>
      </c>
      <c r="H3931">
        <v>2023</v>
      </c>
    </row>
    <row r="3932" spans="1:8" x14ac:dyDescent="0.2">
      <c r="A3932">
        <v>238814</v>
      </c>
      <c r="B3932">
        <v>111296</v>
      </c>
      <c r="C3932" t="str">
        <f t="shared" si="61"/>
        <v>4. $250K-1M</v>
      </c>
      <c r="D3932" t="s">
        <v>743</v>
      </c>
      <c r="E3932" t="s">
        <v>237</v>
      </c>
      <c r="F3932" t="s">
        <v>670</v>
      </c>
      <c r="G3932" t="s">
        <v>59</v>
      </c>
      <c r="H3932">
        <v>2023</v>
      </c>
    </row>
    <row r="3933" spans="1:8" x14ac:dyDescent="0.2">
      <c r="A3933">
        <v>238818</v>
      </c>
      <c r="B3933">
        <v>359595.8</v>
      </c>
      <c r="C3933" t="str">
        <f t="shared" si="61"/>
        <v>3. $50K-250K</v>
      </c>
      <c r="D3933" t="s">
        <v>41</v>
      </c>
      <c r="E3933" t="s">
        <v>368</v>
      </c>
      <c r="F3933" t="s">
        <v>670</v>
      </c>
      <c r="G3933" t="s">
        <v>59</v>
      </c>
      <c r="H3933">
        <v>2023</v>
      </c>
    </row>
    <row r="3934" spans="1:8" x14ac:dyDescent="0.2">
      <c r="A3934">
        <v>238821</v>
      </c>
      <c r="B3934">
        <v>1436387</v>
      </c>
      <c r="C3934" t="str">
        <f t="shared" si="61"/>
        <v>4. $250K-1M</v>
      </c>
      <c r="D3934" t="s">
        <v>360</v>
      </c>
      <c r="E3934" t="s">
        <v>42</v>
      </c>
      <c r="F3934" t="s">
        <v>43</v>
      </c>
      <c r="G3934" t="s">
        <v>101</v>
      </c>
      <c r="H3934">
        <v>2023</v>
      </c>
    </row>
    <row r="3935" spans="1:8" x14ac:dyDescent="0.2">
      <c r="A3935">
        <v>238852</v>
      </c>
      <c r="B3935">
        <v>1776000</v>
      </c>
      <c r="C3935" t="str">
        <f t="shared" si="61"/>
        <v>5. $1M+</v>
      </c>
      <c r="D3935" t="s">
        <v>83</v>
      </c>
      <c r="E3935" t="s">
        <v>24</v>
      </c>
      <c r="F3935" t="s">
        <v>22</v>
      </c>
      <c r="G3935" t="s">
        <v>10</v>
      </c>
      <c r="H3935">
        <v>2024</v>
      </c>
    </row>
    <row r="3936" spans="1:8" x14ac:dyDescent="0.2">
      <c r="A3936">
        <v>238881</v>
      </c>
      <c r="B3936">
        <v>75000</v>
      </c>
      <c r="C3936" t="str">
        <f t="shared" si="61"/>
        <v>5. $1M+</v>
      </c>
      <c r="D3936" t="s">
        <v>1552</v>
      </c>
      <c r="E3936" t="s">
        <v>112</v>
      </c>
      <c r="F3936" t="s">
        <v>668</v>
      </c>
      <c r="G3936" t="s">
        <v>59</v>
      </c>
      <c r="H3936">
        <v>2023</v>
      </c>
    </row>
    <row r="3937" spans="1:8" x14ac:dyDescent="0.2">
      <c r="A3937">
        <v>238882</v>
      </c>
      <c r="B3937">
        <v>20400000</v>
      </c>
      <c r="C3937" t="str">
        <f t="shared" si="61"/>
        <v>3. $50K-250K</v>
      </c>
      <c r="D3937" t="s">
        <v>1672</v>
      </c>
      <c r="E3937" t="s">
        <v>99</v>
      </c>
      <c r="F3937" t="s">
        <v>668</v>
      </c>
      <c r="G3937" t="s">
        <v>59</v>
      </c>
      <c r="H3937">
        <v>2023</v>
      </c>
    </row>
    <row r="3938" spans="1:8" x14ac:dyDescent="0.2">
      <c r="A3938">
        <v>238883</v>
      </c>
      <c r="B3938">
        <v>995613</v>
      </c>
      <c r="C3938" t="str">
        <f t="shared" si="61"/>
        <v>5. $1M+</v>
      </c>
      <c r="D3938" t="s">
        <v>1673</v>
      </c>
      <c r="E3938" t="s">
        <v>368</v>
      </c>
      <c r="F3938" t="s">
        <v>668</v>
      </c>
      <c r="G3938" t="s">
        <v>59</v>
      </c>
      <c r="H3938">
        <v>2023</v>
      </c>
    </row>
    <row r="3939" spans="1:8" x14ac:dyDescent="0.2">
      <c r="A3939">
        <v>238884</v>
      </c>
      <c r="B3939">
        <v>500000</v>
      </c>
      <c r="C3939" t="str">
        <f t="shared" si="61"/>
        <v>4. $250K-1M</v>
      </c>
      <c r="D3939" t="s">
        <v>1558</v>
      </c>
      <c r="E3939" t="s">
        <v>368</v>
      </c>
      <c r="F3939" t="s">
        <v>668</v>
      </c>
      <c r="G3939" t="s">
        <v>59</v>
      </c>
      <c r="H3939">
        <v>2023</v>
      </c>
    </row>
    <row r="3940" spans="1:8" x14ac:dyDescent="0.2">
      <c r="A3940">
        <v>238886</v>
      </c>
      <c r="B3940">
        <v>500000</v>
      </c>
      <c r="C3940" t="str">
        <f t="shared" si="61"/>
        <v>4. $250K-1M</v>
      </c>
      <c r="D3940" t="s">
        <v>1558</v>
      </c>
      <c r="E3940" t="s">
        <v>368</v>
      </c>
      <c r="F3940" t="s">
        <v>668</v>
      </c>
      <c r="G3940" t="s">
        <v>59</v>
      </c>
      <c r="H3940">
        <v>2023</v>
      </c>
    </row>
    <row r="3941" spans="1:8" x14ac:dyDescent="0.2">
      <c r="A3941">
        <v>238888</v>
      </c>
      <c r="B3941">
        <v>10000000</v>
      </c>
      <c r="C3941" t="str">
        <f t="shared" si="61"/>
        <v>4. $250K-1M</v>
      </c>
      <c r="D3941" t="s">
        <v>1674</v>
      </c>
      <c r="E3941" t="s">
        <v>99</v>
      </c>
      <c r="F3941" t="s">
        <v>668</v>
      </c>
      <c r="G3941" t="s">
        <v>59</v>
      </c>
      <c r="H3941">
        <v>2023</v>
      </c>
    </row>
    <row r="3942" spans="1:8" x14ac:dyDescent="0.2">
      <c r="A3942">
        <v>238891</v>
      </c>
      <c r="B3942">
        <v>217398</v>
      </c>
      <c r="C3942" t="str">
        <f t="shared" si="61"/>
        <v>5. $1M+</v>
      </c>
      <c r="D3942" t="s">
        <v>1675</v>
      </c>
      <c r="E3942" t="s">
        <v>99</v>
      </c>
      <c r="F3942" t="s">
        <v>668</v>
      </c>
      <c r="G3942" t="s">
        <v>59</v>
      </c>
      <c r="H3942">
        <v>2023</v>
      </c>
    </row>
    <row r="3943" spans="1:8" x14ac:dyDescent="0.2">
      <c r="A3943">
        <v>238892</v>
      </c>
      <c r="B3943">
        <v>151782</v>
      </c>
      <c r="C3943" t="str">
        <f t="shared" si="61"/>
        <v>3. $50K-250K</v>
      </c>
      <c r="D3943" t="s">
        <v>1676</v>
      </c>
      <c r="E3943" t="s">
        <v>99</v>
      </c>
      <c r="F3943" t="s">
        <v>668</v>
      </c>
      <c r="G3943" t="s">
        <v>59</v>
      </c>
      <c r="H3943">
        <v>2023</v>
      </c>
    </row>
    <row r="3944" spans="1:8" x14ac:dyDescent="0.2">
      <c r="A3944">
        <v>238916</v>
      </c>
      <c r="B3944">
        <v>484048.39999999898</v>
      </c>
      <c r="C3944" t="str">
        <f t="shared" si="61"/>
        <v>3. $50K-250K</v>
      </c>
      <c r="D3944" t="s">
        <v>804</v>
      </c>
      <c r="E3944" t="s">
        <v>42</v>
      </c>
      <c r="F3944" t="s">
        <v>670</v>
      </c>
      <c r="G3944" t="s">
        <v>59</v>
      </c>
      <c r="H3944">
        <v>2023</v>
      </c>
    </row>
    <row r="3945" spans="1:8" x14ac:dyDescent="0.2">
      <c r="A3945">
        <v>238924</v>
      </c>
      <c r="B3945">
        <v>20608</v>
      </c>
      <c r="C3945" t="str">
        <f t="shared" si="61"/>
        <v>4. $250K-1M</v>
      </c>
      <c r="D3945" t="s">
        <v>1094</v>
      </c>
      <c r="E3945" t="s">
        <v>237</v>
      </c>
      <c r="F3945" t="s">
        <v>670</v>
      </c>
      <c r="G3945" t="s">
        <v>59</v>
      </c>
      <c r="H3945">
        <v>2023</v>
      </c>
    </row>
    <row r="3946" spans="1:8" x14ac:dyDescent="0.2">
      <c r="A3946">
        <v>238926</v>
      </c>
      <c r="B3946">
        <v>36000</v>
      </c>
      <c r="C3946" t="str">
        <f t="shared" si="61"/>
        <v>2. $10K-50K</v>
      </c>
      <c r="D3946" t="s">
        <v>1100</v>
      </c>
      <c r="E3946" t="s">
        <v>237</v>
      </c>
      <c r="F3946" t="s">
        <v>670</v>
      </c>
      <c r="G3946" t="s">
        <v>59</v>
      </c>
      <c r="H3946">
        <v>2023</v>
      </c>
    </row>
    <row r="3947" spans="1:8" x14ac:dyDescent="0.2">
      <c r="A3947">
        <v>238940</v>
      </c>
      <c r="B3947">
        <v>1789609.9</v>
      </c>
      <c r="C3947" t="str">
        <f t="shared" si="61"/>
        <v>2. $10K-50K</v>
      </c>
      <c r="D3947" t="s">
        <v>778</v>
      </c>
      <c r="E3947" t="s">
        <v>368</v>
      </c>
      <c r="F3947" t="s">
        <v>670</v>
      </c>
      <c r="G3947" t="s">
        <v>59</v>
      </c>
      <c r="H3947">
        <v>2023</v>
      </c>
    </row>
    <row r="3948" spans="1:8" x14ac:dyDescent="0.2">
      <c r="A3948">
        <v>238941</v>
      </c>
      <c r="B3948">
        <v>126025.8</v>
      </c>
      <c r="C3948" t="str">
        <f t="shared" si="61"/>
        <v>5. $1M+</v>
      </c>
      <c r="D3948" t="s">
        <v>983</v>
      </c>
      <c r="E3948" t="s">
        <v>237</v>
      </c>
      <c r="F3948" t="s">
        <v>670</v>
      </c>
      <c r="G3948" t="s">
        <v>59</v>
      </c>
      <c r="H3948">
        <v>2023</v>
      </c>
    </row>
    <row r="3949" spans="1:8" x14ac:dyDescent="0.2">
      <c r="A3949">
        <v>238952</v>
      </c>
      <c r="B3949">
        <v>990990</v>
      </c>
      <c r="C3949" t="str">
        <f t="shared" si="61"/>
        <v>3. $50K-250K</v>
      </c>
      <c r="D3949" t="s">
        <v>747</v>
      </c>
      <c r="E3949" t="s">
        <v>237</v>
      </c>
      <c r="F3949" t="s">
        <v>670</v>
      </c>
      <c r="G3949" t="s">
        <v>59</v>
      </c>
      <c r="H3949">
        <v>2023</v>
      </c>
    </row>
    <row r="3950" spans="1:8" x14ac:dyDescent="0.2">
      <c r="A3950">
        <v>238953</v>
      </c>
      <c r="B3950">
        <v>318087</v>
      </c>
      <c r="C3950" t="str">
        <f t="shared" si="61"/>
        <v>4. $250K-1M</v>
      </c>
      <c r="D3950" t="s">
        <v>747</v>
      </c>
      <c r="E3950" t="s">
        <v>237</v>
      </c>
      <c r="F3950" t="s">
        <v>670</v>
      </c>
      <c r="G3950" t="s">
        <v>59</v>
      </c>
      <c r="H3950">
        <v>2023</v>
      </c>
    </row>
    <row r="3951" spans="1:8" x14ac:dyDescent="0.2">
      <c r="A3951">
        <v>238959</v>
      </c>
      <c r="B3951">
        <v>467744</v>
      </c>
      <c r="C3951" t="str">
        <f t="shared" si="61"/>
        <v>4. $250K-1M</v>
      </c>
      <c r="D3951" t="s">
        <v>737</v>
      </c>
      <c r="E3951" t="s">
        <v>237</v>
      </c>
      <c r="F3951" t="s">
        <v>670</v>
      </c>
      <c r="G3951" t="s">
        <v>59</v>
      </c>
      <c r="H3951">
        <v>2023</v>
      </c>
    </row>
    <row r="3952" spans="1:8" x14ac:dyDescent="0.2">
      <c r="A3952">
        <v>238960</v>
      </c>
      <c r="B3952">
        <v>636174</v>
      </c>
      <c r="C3952" t="str">
        <f t="shared" si="61"/>
        <v>4. $250K-1M</v>
      </c>
      <c r="D3952" t="s">
        <v>704</v>
      </c>
      <c r="E3952" t="s">
        <v>237</v>
      </c>
      <c r="F3952" t="s">
        <v>670</v>
      </c>
      <c r="G3952" t="s">
        <v>59</v>
      </c>
      <c r="H3952">
        <v>2023</v>
      </c>
    </row>
    <row r="3953" spans="1:8" x14ac:dyDescent="0.2">
      <c r="A3953">
        <v>238961</v>
      </c>
      <c r="B3953">
        <v>2013741.2</v>
      </c>
      <c r="C3953" t="str">
        <f t="shared" si="61"/>
        <v>4. $250K-1M</v>
      </c>
      <c r="D3953" t="s">
        <v>704</v>
      </c>
      <c r="E3953" t="s">
        <v>237</v>
      </c>
      <c r="F3953" t="s">
        <v>670</v>
      </c>
      <c r="G3953" t="s">
        <v>59</v>
      </c>
      <c r="H3953">
        <v>2023</v>
      </c>
    </row>
    <row r="3954" spans="1:8" x14ac:dyDescent="0.2">
      <c r="A3954">
        <v>238962</v>
      </c>
      <c r="B3954">
        <v>212058</v>
      </c>
      <c r="C3954" t="str">
        <f t="shared" si="61"/>
        <v>5. $1M+</v>
      </c>
      <c r="D3954" t="s">
        <v>746</v>
      </c>
      <c r="E3954" t="s">
        <v>237</v>
      </c>
      <c r="F3954" t="s">
        <v>670</v>
      </c>
      <c r="G3954" t="s">
        <v>59</v>
      </c>
      <c r="H3954">
        <v>2023</v>
      </c>
    </row>
    <row r="3955" spans="1:8" x14ac:dyDescent="0.2">
      <c r="A3955">
        <v>239121</v>
      </c>
      <c r="B3955">
        <v>75000</v>
      </c>
      <c r="C3955" t="str">
        <f t="shared" si="61"/>
        <v>3. $50K-250K</v>
      </c>
      <c r="D3955" t="s">
        <v>965</v>
      </c>
      <c r="E3955" t="s">
        <v>825</v>
      </c>
      <c r="F3955" t="s">
        <v>670</v>
      </c>
      <c r="G3955" t="s">
        <v>59</v>
      </c>
      <c r="H3955">
        <v>2023</v>
      </c>
    </row>
    <row r="3956" spans="1:8" x14ac:dyDescent="0.2">
      <c r="A3956">
        <v>239122</v>
      </c>
      <c r="B3956">
        <v>100000</v>
      </c>
      <c r="C3956" t="str">
        <f t="shared" si="61"/>
        <v>3. $50K-250K</v>
      </c>
      <c r="D3956" t="s">
        <v>1586</v>
      </c>
      <c r="E3956" t="s">
        <v>42</v>
      </c>
      <c r="F3956" t="s">
        <v>670</v>
      </c>
      <c r="G3956" t="s">
        <v>59</v>
      </c>
      <c r="H3956">
        <v>2023</v>
      </c>
    </row>
    <row r="3957" spans="1:8" x14ac:dyDescent="0.2">
      <c r="A3957">
        <v>239129</v>
      </c>
      <c r="B3957">
        <v>58316</v>
      </c>
      <c r="C3957" t="str">
        <f t="shared" si="61"/>
        <v>3. $50K-250K</v>
      </c>
      <c r="D3957" t="s">
        <v>985</v>
      </c>
      <c r="E3957" t="s">
        <v>237</v>
      </c>
      <c r="F3957" t="s">
        <v>670</v>
      </c>
      <c r="G3957" t="s">
        <v>59</v>
      </c>
      <c r="H3957">
        <v>2023</v>
      </c>
    </row>
    <row r="3958" spans="1:8" x14ac:dyDescent="0.2">
      <c r="A3958">
        <v>239134</v>
      </c>
      <c r="B3958">
        <v>141884.1</v>
      </c>
      <c r="C3958" t="str">
        <f t="shared" si="61"/>
        <v>3. $50K-250K</v>
      </c>
      <c r="D3958" t="s">
        <v>1545</v>
      </c>
      <c r="E3958" t="s">
        <v>237</v>
      </c>
      <c r="F3958" t="s">
        <v>670</v>
      </c>
      <c r="G3958" t="s">
        <v>59</v>
      </c>
      <c r="H3958">
        <v>2023</v>
      </c>
    </row>
    <row r="3959" spans="1:8" x14ac:dyDescent="0.2">
      <c r="A3959">
        <v>239150</v>
      </c>
      <c r="B3959">
        <v>209653</v>
      </c>
      <c r="C3959" t="str">
        <f t="shared" si="61"/>
        <v>3. $50K-250K</v>
      </c>
      <c r="D3959" t="s">
        <v>1387</v>
      </c>
      <c r="E3959" t="s">
        <v>99</v>
      </c>
      <c r="F3959" t="s">
        <v>670</v>
      </c>
      <c r="G3959" t="s">
        <v>59</v>
      </c>
      <c r="H3959">
        <v>2023</v>
      </c>
    </row>
    <row r="3960" spans="1:8" x14ac:dyDescent="0.2">
      <c r="A3960">
        <v>239225</v>
      </c>
      <c r="B3960">
        <v>354838</v>
      </c>
      <c r="C3960" t="str">
        <f t="shared" si="61"/>
        <v>3. $50K-250K</v>
      </c>
      <c r="D3960" t="s">
        <v>749</v>
      </c>
      <c r="E3960" t="s">
        <v>237</v>
      </c>
      <c r="F3960" t="s">
        <v>670</v>
      </c>
      <c r="G3960" t="s">
        <v>59</v>
      </c>
      <c r="H3960">
        <v>2023</v>
      </c>
    </row>
    <row r="3961" spans="1:8" x14ac:dyDescent="0.2">
      <c r="A3961">
        <v>239226</v>
      </c>
      <c r="B3961">
        <v>8641</v>
      </c>
      <c r="C3961" t="str">
        <f t="shared" si="61"/>
        <v>4. $250K-1M</v>
      </c>
      <c r="D3961" t="s">
        <v>920</v>
      </c>
      <c r="E3961" t="s">
        <v>237</v>
      </c>
      <c r="F3961" t="s">
        <v>670</v>
      </c>
      <c r="G3961" t="s">
        <v>59</v>
      </c>
      <c r="H3961">
        <v>2023</v>
      </c>
    </row>
    <row r="3962" spans="1:8" x14ac:dyDescent="0.2">
      <c r="A3962">
        <v>239227</v>
      </c>
      <c r="B3962">
        <v>5500000</v>
      </c>
      <c r="C3962" t="str">
        <f t="shared" si="61"/>
        <v>1. Under $10K</v>
      </c>
      <c r="D3962" t="s">
        <v>1520</v>
      </c>
      <c r="E3962" t="s">
        <v>112</v>
      </c>
      <c r="F3962" t="s">
        <v>670</v>
      </c>
      <c r="G3962" t="s">
        <v>59</v>
      </c>
      <c r="H3962">
        <v>2023</v>
      </c>
    </row>
    <row r="3963" spans="1:8" x14ac:dyDescent="0.2">
      <c r="A3963">
        <v>239256</v>
      </c>
      <c r="B3963">
        <v>36000</v>
      </c>
      <c r="C3963" t="str">
        <f t="shared" si="61"/>
        <v>5. $1M+</v>
      </c>
      <c r="D3963" t="s">
        <v>1555</v>
      </c>
      <c r="E3963" t="s">
        <v>237</v>
      </c>
      <c r="F3963" t="s">
        <v>670</v>
      </c>
      <c r="G3963" t="s">
        <v>59</v>
      </c>
      <c r="H3963">
        <v>2023</v>
      </c>
    </row>
    <row r="3964" spans="1:8" x14ac:dyDescent="0.2">
      <c r="A3964">
        <v>239257</v>
      </c>
      <c r="B3964">
        <v>24111.200000000001</v>
      </c>
      <c r="C3964" t="str">
        <f t="shared" si="61"/>
        <v>2. $10K-50K</v>
      </c>
      <c r="D3964" t="s">
        <v>713</v>
      </c>
      <c r="E3964" t="s">
        <v>237</v>
      </c>
      <c r="F3964" t="s">
        <v>670</v>
      </c>
      <c r="G3964" t="s">
        <v>59</v>
      </c>
      <c r="H3964">
        <v>2023</v>
      </c>
    </row>
    <row r="3965" spans="1:8" x14ac:dyDescent="0.2">
      <c r="A3965">
        <v>239258</v>
      </c>
      <c r="B3965">
        <v>37237</v>
      </c>
      <c r="C3965" t="str">
        <f t="shared" si="61"/>
        <v>2. $10K-50K</v>
      </c>
      <c r="D3965" t="s">
        <v>972</v>
      </c>
      <c r="E3965" t="s">
        <v>237</v>
      </c>
      <c r="F3965" t="s">
        <v>670</v>
      </c>
      <c r="G3965" t="s">
        <v>59</v>
      </c>
      <c r="H3965">
        <v>2023</v>
      </c>
    </row>
    <row r="3966" spans="1:8" x14ac:dyDescent="0.2">
      <c r="A3966">
        <v>239259</v>
      </c>
      <c r="B3966">
        <v>34875.1</v>
      </c>
      <c r="C3966" t="str">
        <f t="shared" si="61"/>
        <v>2. $10K-50K</v>
      </c>
      <c r="D3966" t="s">
        <v>727</v>
      </c>
      <c r="E3966" t="s">
        <v>237</v>
      </c>
      <c r="F3966" t="s">
        <v>670</v>
      </c>
      <c r="G3966" t="s">
        <v>59</v>
      </c>
      <c r="H3966">
        <v>2023</v>
      </c>
    </row>
    <row r="3967" spans="1:8" x14ac:dyDescent="0.2">
      <c r="A3967">
        <v>239260</v>
      </c>
      <c r="B3967">
        <v>36000</v>
      </c>
      <c r="C3967" t="str">
        <f t="shared" si="61"/>
        <v>2. $10K-50K</v>
      </c>
      <c r="D3967" t="s">
        <v>1179</v>
      </c>
      <c r="E3967" t="s">
        <v>237</v>
      </c>
      <c r="F3967" t="s">
        <v>670</v>
      </c>
      <c r="G3967" t="s">
        <v>59</v>
      </c>
      <c r="H3967">
        <v>2023</v>
      </c>
    </row>
    <row r="3968" spans="1:8" x14ac:dyDescent="0.2">
      <c r="A3968">
        <v>239261</v>
      </c>
      <c r="B3968">
        <v>36000</v>
      </c>
      <c r="C3968" t="str">
        <f t="shared" si="61"/>
        <v>2. $10K-50K</v>
      </c>
      <c r="D3968" t="s">
        <v>937</v>
      </c>
      <c r="E3968" t="s">
        <v>237</v>
      </c>
      <c r="F3968" t="s">
        <v>670</v>
      </c>
      <c r="G3968" t="s">
        <v>59</v>
      </c>
      <c r="H3968">
        <v>2023</v>
      </c>
    </row>
    <row r="3969" spans="1:8" x14ac:dyDescent="0.2">
      <c r="A3969">
        <v>239267</v>
      </c>
      <c r="B3969">
        <v>756409.9</v>
      </c>
      <c r="C3969" t="str">
        <f t="shared" si="61"/>
        <v>2. $10K-50K</v>
      </c>
      <c r="D3969" t="s">
        <v>771</v>
      </c>
      <c r="E3969" t="s">
        <v>825</v>
      </c>
      <c r="F3969" t="s">
        <v>670</v>
      </c>
      <c r="G3969" t="s">
        <v>59</v>
      </c>
      <c r="H3969">
        <v>2023</v>
      </c>
    </row>
    <row r="3970" spans="1:8" x14ac:dyDescent="0.2">
      <c r="A3970">
        <v>239270</v>
      </c>
      <c r="B3970">
        <v>1674152.6</v>
      </c>
      <c r="C3970" t="str">
        <f t="shared" si="61"/>
        <v>4. $250K-1M</v>
      </c>
      <c r="D3970" t="s">
        <v>965</v>
      </c>
      <c r="E3970" t="s">
        <v>825</v>
      </c>
      <c r="F3970" t="s">
        <v>670</v>
      </c>
      <c r="G3970" t="s">
        <v>59</v>
      </c>
      <c r="H3970">
        <v>2023</v>
      </c>
    </row>
    <row r="3971" spans="1:8" x14ac:dyDescent="0.2">
      <c r="A3971">
        <v>239274</v>
      </c>
      <c r="B3971">
        <v>410793</v>
      </c>
      <c r="C3971" t="str">
        <f t="shared" ref="C3971:C4034" si="62">IF(B3970&lt;10000,"1. Under $10K",IF(B3970&lt;50000,"2. $10K-50K",IF(B3970&lt;250000,"3. $50K-250K",IF(B3970&lt;1000000,"4. $250K-1M","5. $1M+"))))</f>
        <v>5. $1M+</v>
      </c>
      <c r="D3971" t="s">
        <v>771</v>
      </c>
      <c r="E3971" t="s">
        <v>825</v>
      </c>
      <c r="F3971" t="s">
        <v>670</v>
      </c>
      <c r="G3971" t="s">
        <v>59</v>
      </c>
      <c r="H3971">
        <v>2023</v>
      </c>
    </row>
    <row r="3972" spans="1:8" x14ac:dyDescent="0.2">
      <c r="A3972">
        <v>239278</v>
      </c>
      <c r="B3972">
        <v>36000</v>
      </c>
      <c r="C3972" t="str">
        <f t="shared" si="62"/>
        <v>4. $250K-1M</v>
      </c>
      <c r="D3972" t="s">
        <v>983</v>
      </c>
      <c r="E3972" t="s">
        <v>237</v>
      </c>
      <c r="F3972" t="s">
        <v>670</v>
      </c>
      <c r="G3972" t="s">
        <v>59</v>
      </c>
      <c r="H3972">
        <v>2023</v>
      </c>
    </row>
    <row r="3973" spans="1:8" x14ac:dyDescent="0.2">
      <c r="A3973">
        <v>239281</v>
      </c>
      <c r="B3973">
        <v>14004.3</v>
      </c>
      <c r="C3973" t="str">
        <f t="shared" si="62"/>
        <v>2. $10K-50K</v>
      </c>
      <c r="D3973" t="s">
        <v>713</v>
      </c>
      <c r="E3973" t="s">
        <v>237</v>
      </c>
      <c r="F3973" t="s">
        <v>670</v>
      </c>
      <c r="G3973" t="s">
        <v>59</v>
      </c>
      <c r="H3973">
        <v>2023</v>
      </c>
    </row>
    <row r="3974" spans="1:8" x14ac:dyDescent="0.2">
      <c r="A3974">
        <v>239282</v>
      </c>
      <c r="B3974">
        <v>54000</v>
      </c>
      <c r="C3974" t="str">
        <f t="shared" si="62"/>
        <v>2. $10K-50K</v>
      </c>
      <c r="D3974" t="s">
        <v>1556</v>
      </c>
      <c r="E3974" t="s">
        <v>237</v>
      </c>
      <c r="F3974" t="s">
        <v>670</v>
      </c>
      <c r="G3974" t="s">
        <v>59</v>
      </c>
      <c r="H3974">
        <v>2023</v>
      </c>
    </row>
    <row r="3975" spans="1:8" x14ac:dyDescent="0.2">
      <c r="A3975">
        <v>239287</v>
      </c>
      <c r="B3975">
        <v>10000</v>
      </c>
      <c r="C3975" t="str">
        <f t="shared" si="62"/>
        <v>3. $50K-250K</v>
      </c>
      <c r="D3975" t="s">
        <v>1480</v>
      </c>
      <c r="E3975" t="s">
        <v>112</v>
      </c>
      <c r="F3975" t="s">
        <v>668</v>
      </c>
      <c r="G3975" t="s">
        <v>59</v>
      </c>
      <c r="H3975">
        <v>2023</v>
      </c>
    </row>
    <row r="3976" spans="1:8" x14ac:dyDescent="0.2">
      <c r="A3976">
        <v>239297</v>
      </c>
      <c r="B3976">
        <v>6000</v>
      </c>
      <c r="C3976" t="str">
        <f t="shared" si="62"/>
        <v>2. $10K-50K</v>
      </c>
      <c r="D3976" t="s">
        <v>1677</v>
      </c>
      <c r="E3976" t="s">
        <v>112</v>
      </c>
      <c r="F3976" t="s">
        <v>668</v>
      </c>
      <c r="G3976" t="s">
        <v>59</v>
      </c>
      <c r="H3976">
        <v>2023</v>
      </c>
    </row>
    <row r="3977" spans="1:8" x14ac:dyDescent="0.2">
      <c r="A3977">
        <v>239298</v>
      </c>
      <c r="B3977">
        <v>6000</v>
      </c>
      <c r="C3977" t="str">
        <f t="shared" si="62"/>
        <v>1. Under $10K</v>
      </c>
      <c r="D3977" t="s">
        <v>1678</v>
      </c>
      <c r="E3977" t="s">
        <v>112</v>
      </c>
      <c r="F3977" t="s">
        <v>668</v>
      </c>
      <c r="G3977" t="s">
        <v>59</v>
      </c>
      <c r="H3977">
        <v>2023</v>
      </c>
    </row>
    <row r="3978" spans="1:8" x14ac:dyDescent="0.2">
      <c r="A3978">
        <v>239300</v>
      </c>
      <c r="B3978">
        <v>6000</v>
      </c>
      <c r="C3978" t="str">
        <f t="shared" si="62"/>
        <v>1. Under $10K</v>
      </c>
      <c r="D3978" t="s">
        <v>1679</v>
      </c>
      <c r="E3978" t="s">
        <v>112</v>
      </c>
      <c r="F3978" t="s">
        <v>668</v>
      </c>
      <c r="G3978" t="s">
        <v>59</v>
      </c>
      <c r="H3978">
        <v>2023</v>
      </c>
    </row>
    <row r="3979" spans="1:8" x14ac:dyDescent="0.2">
      <c r="A3979">
        <v>239301</v>
      </c>
      <c r="B3979">
        <v>108921.9</v>
      </c>
      <c r="C3979" t="str">
        <f t="shared" si="62"/>
        <v>1. Under $10K</v>
      </c>
      <c r="D3979" t="s">
        <v>722</v>
      </c>
      <c r="E3979" t="s">
        <v>237</v>
      </c>
      <c r="F3979" t="s">
        <v>670</v>
      </c>
      <c r="G3979" t="s">
        <v>59</v>
      </c>
      <c r="H3979">
        <v>2023</v>
      </c>
    </row>
    <row r="3980" spans="1:8" x14ac:dyDescent="0.2">
      <c r="A3980">
        <v>239302</v>
      </c>
      <c r="B3980">
        <v>6000</v>
      </c>
      <c r="C3980" t="str">
        <f t="shared" si="62"/>
        <v>3. $50K-250K</v>
      </c>
      <c r="D3980" t="s">
        <v>1680</v>
      </c>
      <c r="E3980" t="s">
        <v>112</v>
      </c>
      <c r="F3980" t="s">
        <v>668</v>
      </c>
      <c r="G3980" t="s">
        <v>59</v>
      </c>
      <c r="H3980">
        <v>2023</v>
      </c>
    </row>
    <row r="3981" spans="1:8" x14ac:dyDescent="0.2">
      <c r="A3981">
        <v>239303</v>
      </c>
      <c r="B3981">
        <v>954120.7</v>
      </c>
      <c r="C3981" t="str">
        <f t="shared" si="62"/>
        <v>1. Under $10K</v>
      </c>
      <c r="D3981" t="s">
        <v>709</v>
      </c>
      <c r="E3981" t="s">
        <v>237</v>
      </c>
      <c r="F3981" t="s">
        <v>670</v>
      </c>
      <c r="G3981" t="s">
        <v>59</v>
      </c>
      <c r="H3981">
        <v>2023</v>
      </c>
    </row>
    <row r="3982" spans="1:8" x14ac:dyDescent="0.2">
      <c r="A3982">
        <v>239305</v>
      </c>
      <c r="B3982">
        <v>15000</v>
      </c>
      <c r="C3982" t="str">
        <f t="shared" si="62"/>
        <v>4. $250K-1M</v>
      </c>
      <c r="D3982" t="s">
        <v>1681</v>
      </c>
      <c r="E3982" t="s">
        <v>112</v>
      </c>
      <c r="F3982" t="s">
        <v>668</v>
      </c>
      <c r="G3982" t="s">
        <v>59</v>
      </c>
      <c r="H3982">
        <v>2023</v>
      </c>
    </row>
    <row r="3983" spans="1:8" x14ac:dyDescent="0.2">
      <c r="A3983">
        <v>239306</v>
      </c>
      <c r="B3983">
        <v>3000</v>
      </c>
      <c r="C3983" t="str">
        <f t="shared" si="62"/>
        <v>2. $10K-50K</v>
      </c>
      <c r="D3983" t="s">
        <v>1682</v>
      </c>
      <c r="E3983" t="s">
        <v>112</v>
      </c>
      <c r="F3983" t="s">
        <v>668</v>
      </c>
      <c r="G3983" t="s">
        <v>59</v>
      </c>
      <c r="H3983">
        <v>2023</v>
      </c>
    </row>
    <row r="3984" spans="1:8" x14ac:dyDescent="0.2">
      <c r="A3984">
        <v>239307</v>
      </c>
      <c r="B3984">
        <v>6000</v>
      </c>
      <c r="C3984" t="str">
        <f t="shared" si="62"/>
        <v>1. Under $10K</v>
      </c>
      <c r="D3984" t="s">
        <v>1683</v>
      </c>
      <c r="E3984" t="s">
        <v>112</v>
      </c>
      <c r="F3984" t="s">
        <v>668</v>
      </c>
      <c r="G3984" t="s">
        <v>59</v>
      </c>
      <c r="H3984">
        <v>2023</v>
      </c>
    </row>
    <row r="3985" spans="1:8" x14ac:dyDescent="0.2">
      <c r="A3985">
        <v>239309</v>
      </c>
      <c r="B3985">
        <v>6000</v>
      </c>
      <c r="C3985" t="str">
        <f t="shared" si="62"/>
        <v>1. Under $10K</v>
      </c>
      <c r="D3985" t="s">
        <v>1684</v>
      </c>
      <c r="E3985" t="s">
        <v>112</v>
      </c>
      <c r="F3985" t="s">
        <v>668</v>
      </c>
      <c r="G3985" t="s">
        <v>59</v>
      </c>
      <c r="H3985">
        <v>2023</v>
      </c>
    </row>
    <row r="3986" spans="1:8" x14ac:dyDescent="0.2">
      <c r="A3986">
        <v>239310</v>
      </c>
      <c r="B3986">
        <v>5000</v>
      </c>
      <c r="C3986" t="str">
        <f t="shared" si="62"/>
        <v>1. Under $10K</v>
      </c>
      <c r="D3986" t="s">
        <v>1685</v>
      </c>
      <c r="E3986" t="s">
        <v>112</v>
      </c>
      <c r="F3986" t="s">
        <v>668</v>
      </c>
      <c r="G3986" t="s">
        <v>59</v>
      </c>
      <c r="H3986">
        <v>2023</v>
      </c>
    </row>
    <row r="3987" spans="1:8" x14ac:dyDescent="0.2">
      <c r="A3987">
        <v>239312</v>
      </c>
      <c r="B3987">
        <v>6000</v>
      </c>
      <c r="C3987" t="str">
        <f t="shared" si="62"/>
        <v>1. Under $10K</v>
      </c>
      <c r="D3987" t="s">
        <v>1686</v>
      </c>
      <c r="E3987" t="s">
        <v>112</v>
      </c>
      <c r="F3987" t="s">
        <v>668</v>
      </c>
      <c r="G3987" t="s">
        <v>59</v>
      </c>
      <c r="H3987">
        <v>2023</v>
      </c>
    </row>
    <row r="3988" spans="1:8" x14ac:dyDescent="0.2">
      <c r="A3988">
        <v>239314</v>
      </c>
      <c r="B3988">
        <v>6000</v>
      </c>
      <c r="C3988" t="str">
        <f t="shared" si="62"/>
        <v>1. Under $10K</v>
      </c>
      <c r="D3988" t="s">
        <v>1687</v>
      </c>
      <c r="E3988" t="s">
        <v>112</v>
      </c>
      <c r="F3988" t="s">
        <v>668</v>
      </c>
      <c r="G3988" t="s">
        <v>59</v>
      </c>
      <c r="H3988">
        <v>2023</v>
      </c>
    </row>
    <row r="3989" spans="1:8" x14ac:dyDescent="0.2">
      <c r="A3989">
        <v>239315</v>
      </c>
      <c r="B3989">
        <v>3000</v>
      </c>
      <c r="C3989" t="str">
        <f t="shared" si="62"/>
        <v>1. Under $10K</v>
      </c>
      <c r="D3989" t="s">
        <v>1688</v>
      </c>
      <c r="E3989" t="s">
        <v>112</v>
      </c>
      <c r="F3989" t="s">
        <v>668</v>
      </c>
      <c r="G3989" t="s">
        <v>59</v>
      </c>
      <c r="H3989">
        <v>2023</v>
      </c>
    </row>
    <row r="3990" spans="1:8" x14ac:dyDescent="0.2">
      <c r="A3990">
        <v>239318</v>
      </c>
      <c r="B3990">
        <v>6000</v>
      </c>
      <c r="C3990" t="str">
        <f t="shared" si="62"/>
        <v>1. Under $10K</v>
      </c>
      <c r="D3990" t="s">
        <v>1689</v>
      </c>
      <c r="E3990" t="s">
        <v>112</v>
      </c>
      <c r="F3990" t="s">
        <v>668</v>
      </c>
      <c r="G3990" t="s">
        <v>59</v>
      </c>
      <c r="H3990">
        <v>2023</v>
      </c>
    </row>
    <row r="3991" spans="1:8" x14ac:dyDescent="0.2">
      <c r="A3991">
        <v>239319</v>
      </c>
      <c r="B3991">
        <v>6000</v>
      </c>
      <c r="C3991" t="str">
        <f t="shared" si="62"/>
        <v>1. Under $10K</v>
      </c>
      <c r="D3991" t="s">
        <v>1690</v>
      </c>
      <c r="E3991" t="s">
        <v>112</v>
      </c>
      <c r="F3991" t="s">
        <v>668</v>
      </c>
      <c r="G3991" t="s">
        <v>59</v>
      </c>
      <c r="H3991">
        <v>2023</v>
      </c>
    </row>
    <row r="3992" spans="1:8" x14ac:dyDescent="0.2">
      <c r="A3992">
        <v>239322</v>
      </c>
      <c r="B3992">
        <v>6000</v>
      </c>
      <c r="C3992" t="str">
        <f t="shared" si="62"/>
        <v>1. Under $10K</v>
      </c>
      <c r="D3992" t="s">
        <v>1691</v>
      </c>
      <c r="E3992" t="s">
        <v>112</v>
      </c>
      <c r="F3992" t="s">
        <v>668</v>
      </c>
      <c r="G3992" t="s">
        <v>59</v>
      </c>
      <c r="H3992">
        <v>2023</v>
      </c>
    </row>
    <row r="3993" spans="1:8" x14ac:dyDescent="0.2">
      <c r="A3993">
        <v>239323</v>
      </c>
      <c r="B3993">
        <v>6000</v>
      </c>
      <c r="C3993" t="str">
        <f t="shared" si="62"/>
        <v>1. Under $10K</v>
      </c>
      <c r="D3993" t="s">
        <v>1692</v>
      </c>
      <c r="E3993" t="s">
        <v>112</v>
      </c>
      <c r="F3993" t="s">
        <v>668</v>
      </c>
      <c r="G3993" t="s">
        <v>59</v>
      </c>
      <c r="H3993">
        <v>2023</v>
      </c>
    </row>
    <row r="3994" spans="1:8" x14ac:dyDescent="0.2">
      <c r="A3994">
        <v>239325</v>
      </c>
      <c r="B3994">
        <v>6000</v>
      </c>
      <c r="C3994" t="str">
        <f t="shared" si="62"/>
        <v>1. Under $10K</v>
      </c>
      <c r="D3994" t="s">
        <v>1693</v>
      </c>
      <c r="E3994" t="s">
        <v>112</v>
      </c>
      <c r="F3994" t="s">
        <v>668</v>
      </c>
      <c r="G3994" t="s">
        <v>59</v>
      </c>
      <c r="H3994">
        <v>2023</v>
      </c>
    </row>
    <row r="3995" spans="1:8" x14ac:dyDescent="0.2">
      <c r="A3995">
        <v>239326</v>
      </c>
      <c r="B3995">
        <v>6000</v>
      </c>
      <c r="C3995" t="str">
        <f t="shared" si="62"/>
        <v>1. Under $10K</v>
      </c>
      <c r="D3995" t="s">
        <v>1694</v>
      </c>
      <c r="E3995" t="s">
        <v>112</v>
      </c>
      <c r="F3995" t="s">
        <v>668</v>
      </c>
      <c r="G3995" t="s">
        <v>59</v>
      </c>
      <c r="H3995">
        <v>2023</v>
      </c>
    </row>
    <row r="3996" spans="1:8" x14ac:dyDescent="0.2">
      <c r="A3996">
        <v>239327</v>
      </c>
      <c r="B3996">
        <v>4250</v>
      </c>
      <c r="C3996" t="str">
        <f t="shared" si="62"/>
        <v>1. Under $10K</v>
      </c>
      <c r="D3996" t="s">
        <v>1695</v>
      </c>
      <c r="E3996" t="s">
        <v>112</v>
      </c>
      <c r="F3996" t="s">
        <v>668</v>
      </c>
      <c r="G3996" t="s">
        <v>59</v>
      </c>
      <c r="H3996">
        <v>2023</v>
      </c>
    </row>
    <row r="3997" spans="1:8" x14ac:dyDescent="0.2">
      <c r="A3997">
        <v>239328</v>
      </c>
      <c r="B3997">
        <v>3000</v>
      </c>
      <c r="C3997" t="str">
        <f t="shared" si="62"/>
        <v>1. Under $10K</v>
      </c>
      <c r="D3997" t="s">
        <v>1696</v>
      </c>
      <c r="E3997" t="s">
        <v>112</v>
      </c>
      <c r="F3997" t="s">
        <v>668</v>
      </c>
      <c r="G3997" t="s">
        <v>59</v>
      </c>
      <c r="H3997">
        <v>2023</v>
      </c>
    </row>
    <row r="3998" spans="1:8" x14ac:dyDescent="0.2">
      <c r="A3998">
        <v>239427</v>
      </c>
      <c r="B3998">
        <v>175457</v>
      </c>
      <c r="C3998" t="str">
        <f t="shared" si="62"/>
        <v>1. Under $10K</v>
      </c>
      <c r="D3998" t="s">
        <v>671</v>
      </c>
      <c r="E3998" t="s">
        <v>237</v>
      </c>
      <c r="F3998" t="s">
        <v>670</v>
      </c>
      <c r="G3998" t="s">
        <v>59</v>
      </c>
      <c r="H3998">
        <v>2023</v>
      </c>
    </row>
    <row r="3999" spans="1:8" x14ac:dyDescent="0.2">
      <c r="A3999">
        <v>239428</v>
      </c>
      <c r="B3999">
        <v>42280</v>
      </c>
      <c r="C3999" t="str">
        <f t="shared" si="62"/>
        <v>3. $50K-250K</v>
      </c>
      <c r="D3999" t="s">
        <v>807</v>
      </c>
      <c r="E3999" t="s">
        <v>237</v>
      </c>
      <c r="F3999" t="s">
        <v>670</v>
      </c>
      <c r="G3999" t="s">
        <v>59</v>
      </c>
      <c r="H3999">
        <v>2023</v>
      </c>
    </row>
    <row r="4000" spans="1:8" x14ac:dyDescent="0.2">
      <c r="A4000">
        <v>239429</v>
      </c>
      <c r="B4000">
        <v>106029</v>
      </c>
      <c r="C4000" t="str">
        <f t="shared" si="62"/>
        <v>2. $10K-50K</v>
      </c>
      <c r="D4000" t="s">
        <v>750</v>
      </c>
      <c r="E4000" t="s">
        <v>237</v>
      </c>
      <c r="F4000" t="s">
        <v>670</v>
      </c>
      <c r="G4000" t="s">
        <v>59</v>
      </c>
      <c r="H4000">
        <v>2023</v>
      </c>
    </row>
    <row r="4001" spans="1:8" x14ac:dyDescent="0.2">
      <c r="A4001">
        <v>239430</v>
      </c>
      <c r="B4001">
        <v>318087</v>
      </c>
      <c r="C4001" t="str">
        <f t="shared" si="62"/>
        <v>3. $50K-250K</v>
      </c>
      <c r="D4001" t="s">
        <v>752</v>
      </c>
      <c r="E4001" t="s">
        <v>237</v>
      </c>
      <c r="F4001" t="s">
        <v>670</v>
      </c>
      <c r="G4001" t="s">
        <v>59</v>
      </c>
      <c r="H4001">
        <v>2023</v>
      </c>
    </row>
    <row r="4002" spans="1:8" x14ac:dyDescent="0.2">
      <c r="A4002">
        <v>239474</v>
      </c>
      <c r="B4002">
        <v>10000</v>
      </c>
      <c r="C4002" t="str">
        <f t="shared" si="62"/>
        <v>4. $250K-1M</v>
      </c>
      <c r="D4002" t="s">
        <v>1697</v>
      </c>
      <c r="E4002" t="s">
        <v>112</v>
      </c>
      <c r="F4002" t="s">
        <v>668</v>
      </c>
      <c r="G4002" t="s">
        <v>59</v>
      </c>
      <c r="H4002">
        <v>2023</v>
      </c>
    </row>
    <row r="4003" spans="1:8" x14ac:dyDescent="0.2">
      <c r="A4003">
        <v>239477</v>
      </c>
      <c r="B4003">
        <v>10000</v>
      </c>
      <c r="C4003" t="str">
        <f t="shared" si="62"/>
        <v>2. $10K-50K</v>
      </c>
      <c r="D4003" t="s">
        <v>1698</v>
      </c>
      <c r="E4003" t="s">
        <v>112</v>
      </c>
      <c r="F4003" t="s">
        <v>668</v>
      </c>
      <c r="G4003" t="s">
        <v>59</v>
      </c>
      <c r="H4003">
        <v>2023</v>
      </c>
    </row>
    <row r="4004" spans="1:8" x14ac:dyDescent="0.2">
      <c r="A4004">
        <v>239479</v>
      </c>
      <c r="B4004">
        <v>10000</v>
      </c>
      <c r="C4004" t="str">
        <f t="shared" si="62"/>
        <v>2. $10K-50K</v>
      </c>
      <c r="D4004" t="s">
        <v>1615</v>
      </c>
      <c r="E4004" t="s">
        <v>112</v>
      </c>
      <c r="F4004" t="s">
        <v>668</v>
      </c>
      <c r="G4004" t="s">
        <v>59</v>
      </c>
      <c r="H4004">
        <v>2023</v>
      </c>
    </row>
    <row r="4005" spans="1:8" x14ac:dyDescent="0.2">
      <c r="A4005">
        <v>239481</v>
      </c>
      <c r="B4005">
        <v>45000</v>
      </c>
      <c r="C4005" t="str">
        <f t="shared" si="62"/>
        <v>2. $10K-50K</v>
      </c>
      <c r="D4005" t="s">
        <v>1699</v>
      </c>
      <c r="E4005" t="s">
        <v>112</v>
      </c>
      <c r="F4005" t="s">
        <v>668</v>
      </c>
      <c r="G4005" t="s">
        <v>59</v>
      </c>
      <c r="H4005">
        <v>2023</v>
      </c>
    </row>
    <row r="4006" spans="1:8" x14ac:dyDescent="0.2">
      <c r="A4006">
        <v>239482</v>
      </c>
      <c r="B4006">
        <v>10000</v>
      </c>
      <c r="C4006" t="str">
        <f t="shared" si="62"/>
        <v>2. $10K-50K</v>
      </c>
      <c r="D4006" t="s">
        <v>1700</v>
      </c>
      <c r="E4006" t="s">
        <v>112</v>
      </c>
      <c r="F4006" t="s">
        <v>668</v>
      </c>
      <c r="G4006" t="s">
        <v>59</v>
      </c>
      <c r="H4006">
        <v>2023</v>
      </c>
    </row>
    <row r="4007" spans="1:8" x14ac:dyDescent="0.2">
      <c r="A4007">
        <v>239483</v>
      </c>
      <c r="B4007">
        <v>30000</v>
      </c>
      <c r="C4007" t="str">
        <f t="shared" si="62"/>
        <v>2. $10K-50K</v>
      </c>
      <c r="D4007" t="s">
        <v>1701</v>
      </c>
      <c r="E4007" t="s">
        <v>112</v>
      </c>
      <c r="F4007" t="s">
        <v>668</v>
      </c>
      <c r="G4007" t="s">
        <v>59</v>
      </c>
      <c r="H4007">
        <v>2023</v>
      </c>
    </row>
    <row r="4008" spans="1:8" x14ac:dyDescent="0.2">
      <c r="A4008">
        <v>239486</v>
      </c>
      <c r="B4008">
        <v>10000</v>
      </c>
      <c r="C4008" t="str">
        <f t="shared" si="62"/>
        <v>2. $10K-50K</v>
      </c>
      <c r="D4008" t="s">
        <v>1702</v>
      </c>
      <c r="E4008" t="s">
        <v>112</v>
      </c>
      <c r="F4008" t="s">
        <v>668</v>
      </c>
      <c r="G4008" t="s">
        <v>59</v>
      </c>
      <c r="H4008">
        <v>2023</v>
      </c>
    </row>
    <row r="4009" spans="1:8" x14ac:dyDescent="0.2">
      <c r="A4009">
        <v>239487</v>
      </c>
      <c r="B4009">
        <v>10000</v>
      </c>
      <c r="C4009" t="str">
        <f t="shared" si="62"/>
        <v>2. $10K-50K</v>
      </c>
      <c r="D4009" t="s">
        <v>1703</v>
      </c>
      <c r="E4009" t="s">
        <v>112</v>
      </c>
      <c r="F4009" t="s">
        <v>668</v>
      </c>
      <c r="G4009" t="s">
        <v>59</v>
      </c>
      <c r="H4009">
        <v>2023</v>
      </c>
    </row>
    <row r="4010" spans="1:8" x14ac:dyDescent="0.2">
      <c r="A4010">
        <v>239488</v>
      </c>
      <c r="B4010">
        <v>150206.9</v>
      </c>
      <c r="C4010" t="str">
        <f t="shared" si="62"/>
        <v>2. $10K-50K</v>
      </c>
      <c r="D4010" t="s">
        <v>694</v>
      </c>
      <c r="E4010" t="s">
        <v>237</v>
      </c>
      <c r="F4010" t="s">
        <v>670</v>
      </c>
      <c r="G4010" t="s">
        <v>59</v>
      </c>
      <c r="H4010">
        <v>2023</v>
      </c>
    </row>
    <row r="4011" spans="1:8" x14ac:dyDescent="0.2">
      <c r="A4011">
        <v>239489</v>
      </c>
      <c r="B4011">
        <v>20000</v>
      </c>
      <c r="C4011" t="str">
        <f t="shared" si="62"/>
        <v>3. $50K-250K</v>
      </c>
      <c r="D4011" t="s">
        <v>1704</v>
      </c>
      <c r="E4011" t="s">
        <v>112</v>
      </c>
      <c r="F4011" t="s">
        <v>668</v>
      </c>
      <c r="G4011" t="s">
        <v>59</v>
      </c>
      <c r="H4011">
        <v>2023</v>
      </c>
    </row>
    <row r="4012" spans="1:8" x14ac:dyDescent="0.2">
      <c r="A4012">
        <v>239490</v>
      </c>
      <c r="B4012">
        <v>25000</v>
      </c>
      <c r="C4012" t="str">
        <f t="shared" si="62"/>
        <v>2. $10K-50K</v>
      </c>
      <c r="D4012" t="s">
        <v>1705</v>
      </c>
      <c r="E4012" t="s">
        <v>112</v>
      </c>
      <c r="F4012" t="s">
        <v>668</v>
      </c>
      <c r="G4012" t="s">
        <v>59</v>
      </c>
      <c r="H4012">
        <v>2023</v>
      </c>
    </row>
    <row r="4013" spans="1:8" x14ac:dyDescent="0.2">
      <c r="A4013">
        <v>239493</v>
      </c>
      <c r="B4013">
        <v>20000</v>
      </c>
      <c r="C4013" t="str">
        <f t="shared" si="62"/>
        <v>2. $10K-50K</v>
      </c>
      <c r="D4013" t="s">
        <v>1706</v>
      </c>
      <c r="E4013" t="s">
        <v>112</v>
      </c>
      <c r="F4013" t="s">
        <v>668</v>
      </c>
      <c r="G4013" t="s">
        <v>59</v>
      </c>
      <c r="H4013">
        <v>2023</v>
      </c>
    </row>
    <row r="4014" spans="1:8" x14ac:dyDescent="0.2">
      <c r="A4014">
        <v>239494</v>
      </c>
      <c r="B4014">
        <v>10000</v>
      </c>
      <c r="C4014" t="str">
        <f t="shared" si="62"/>
        <v>2. $10K-50K</v>
      </c>
      <c r="D4014" t="s">
        <v>1707</v>
      </c>
      <c r="E4014" t="s">
        <v>112</v>
      </c>
      <c r="F4014" t="s">
        <v>668</v>
      </c>
      <c r="G4014" t="s">
        <v>59</v>
      </c>
      <c r="H4014">
        <v>2023</v>
      </c>
    </row>
    <row r="4015" spans="1:8" x14ac:dyDescent="0.2">
      <c r="A4015">
        <v>239496</v>
      </c>
      <c r="B4015">
        <v>10000</v>
      </c>
      <c r="C4015" t="str">
        <f t="shared" si="62"/>
        <v>2. $10K-50K</v>
      </c>
      <c r="D4015" t="s">
        <v>1708</v>
      </c>
      <c r="E4015" t="s">
        <v>112</v>
      </c>
      <c r="F4015" t="s">
        <v>668</v>
      </c>
      <c r="G4015" t="s">
        <v>59</v>
      </c>
      <c r="H4015">
        <v>2023</v>
      </c>
    </row>
    <row r="4016" spans="1:8" x14ac:dyDescent="0.2">
      <c r="A4016">
        <v>239508</v>
      </c>
      <c r="B4016">
        <v>9657534</v>
      </c>
      <c r="C4016" t="str">
        <f t="shared" si="62"/>
        <v>2. $10K-50K</v>
      </c>
      <c r="D4016" t="s">
        <v>771</v>
      </c>
      <c r="E4016" t="s">
        <v>42</v>
      </c>
      <c r="F4016" t="s">
        <v>670</v>
      </c>
      <c r="G4016" t="s">
        <v>44</v>
      </c>
      <c r="H4016">
        <v>2023</v>
      </c>
    </row>
    <row r="4017" spans="1:8" x14ac:dyDescent="0.2">
      <c r="A4017">
        <v>23954</v>
      </c>
      <c r="B4017">
        <v>714872.2</v>
      </c>
      <c r="C4017" t="str">
        <f t="shared" si="62"/>
        <v>5. $1M+</v>
      </c>
      <c r="D4017" t="s">
        <v>361</v>
      </c>
      <c r="E4017" t="s">
        <v>8</v>
      </c>
      <c r="F4017" t="s">
        <v>25</v>
      </c>
      <c r="G4017" t="s">
        <v>10</v>
      </c>
      <c r="H4017">
        <v>2023</v>
      </c>
    </row>
    <row r="4018" spans="1:8" x14ac:dyDescent="0.2">
      <c r="A4018">
        <v>239731</v>
      </c>
      <c r="B4018">
        <v>46703</v>
      </c>
      <c r="C4018" t="str">
        <f t="shared" si="62"/>
        <v>4. $250K-1M</v>
      </c>
      <c r="D4018" t="s">
        <v>864</v>
      </c>
      <c r="E4018" t="s">
        <v>237</v>
      </c>
      <c r="F4018" t="s">
        <v>670</v>
      </c>
      <c r="G4018" t="s">
        <v>59</v>
      </c>
      <c r="H4018">
        <v>2023</v>
      </c>
    </row>
    <row r="4019" spans="1:8" x14ac:dyDescent="0.2">
      <c r="A4019">
        <v>239732</v>
      </c>
      <c r="B4019">
        <v>107523</v>
      </c>
      <c r="C4019" t="str">
        <f t="shared" si="62"/>
        <v>2. $10K-50K</v>
      </c>
      <c r="D4019" t="s">
        <v>852</v>
      </c>
      <c r="E4019" t="s">
        <v>237</v>
      </c>
      <c r="F4019" t="s">
        <v>670</v>
      </c>
      <c r="G4019" t="s">
        <v>59</v>
      </c>
      <c r="H4019">
        <v>2023</v>
      </c>
    </row>
    <row r="4020" spans="1:8" x14ac:dyDescent="0.2">
      <c r="A4020">
        <v>239733</v>
      </c>
      <c r="B4020">
        <v>800082.9</v>
      </c>
      <c r="C4020" t="str">
        <f t="shared" si="62"/>
        <v>3. $50K-250K</v>
      </c>
      <c r="D4020" t="s">
        <v>700</v>
      </c>
      <c r="E4020" t="s">
        <v>237</v>
      </c>
      <c r="F4020" t="s">
        <v>670</v>
      </c>
      <c r="G4020" t="s">
        <v>59</v>
      </c>
      <c r="H4020">
        <v>2023</v>
      </c>
    </row>
    <row r="4021" spans="1:8" x14ac:dyDescent="0.2">
      <c r="A4021">
        <v>239734</v>
      </c>
      <c r="B4021">
        <v>813120</v>
      </c>
      <c r="C4021" t="str">
        <f t="shared" si="62"/>
        <v>4. $250K-1M</v>
      </c>
      <c r="D4021" t="s">
        <v>756</v>
      </c>
      <c r="E4021" t="s">
        <v>237</v>
      </c>
      <c r="F4021" t="s">
        <v>670</v>
      </c>
      <c r="G4021" t="s">
        <v>59</v>
      </c>
      <c r="H4021">
        <v>2023</v>
      </c>
    </row>
    <row r="4022" spans="1:8" x14ac:dyDescent="0.2">
      <c r="A4022">
        <v>239735</v>
      </c>
      <c r="B4022">
        <v>381150</v>
      </c>
      <c r="C4022" t="str">
        <f t="shared" si="62"/>
        <v>4. $250K-1M</v>
      </c>
      <c r="D4022" t="s">
        <v>722</v>
      </c>
      <c r="E4022" t="s">
        <v>237</v>
      </c>
      <c r="F4022" t="s">
        <v>670</v>
      </c>
      <c r="G4022" t="s">
        <v>59</v>
      </c>
      <c r="H4022">
        <v>2023</v>
      </c>
    </row>
    <row r="4023" spans="1:8" x14ac:dyDescent="0.2">
      <c r="A4023">
        <v>239736</v>
      </c>
      <c r="B4023">
        <v>1457580.5</v>
      </c>
      <c r="C4023" t="str">
        <f t="shared" si="62"/>
        <v>4. $250K-1M</v>
      </c>
      <c r="D4023" t="s">
        <v>698</v>
      </c>
      <c r="E4023" t="s">
        <v>237</v>
      </c>
      <c r="F4023" t="s">
        <v>670</v>
      </c>
      <c r="G4023" t="s">
        <v>59</v>
      </c>
      <c r="H4023">
        <v>2023</v>
      </c>
    </row>
    <row r="4024" spans="1:8" x14ac:dyDescent="0.2">
      <c r="A4024">
        <v>239737</v>
      </c>
      <c r="B4024">
        <v>962018.6</v>
      </c>
      <c r="C4024" t="str">
        <f t="shared" si="62"/>
        <v>5. $1M+</v>
      </c>
      <c r="D4024" t="s">
        <v>702</v>
      </c>
      <c r="E4024" t="s">
        <v>237</v>
      </c>
      <c r="F4024" t="s">
        <v>670</v>
      </c>
      <c r="G4024" t="s">
        <v>59</v>
      </c>
      <c r="H4024">
        <v>2023</v>
      </c>
    </row>
    <row r="4025" spans="1:8" x14ac:dyDescent="0.2">
      <c r="A4025">
        <v>239738</v>
      </c>
      <c r="B4025">
        <v>1826425.9</v>
      </c>
      <c r="C4025" t="str">
        <f t="shared" si="62"/>
        <v>4. $250K-1M</v>
      </c>
      <c r="D4025" t="s">
        <v>702</v>
      </c>
      <c r="E4025" t="s">
        <v>237</v>
      </c>
      <c r="F4025" t="s">
        <v>670</v>
      </c>
      <c r="G4025" t="s">
        <v>59</v>
      </c>
      <c r="H4025">
        <v>2023</v>
      </c>
    </row>
    <row r="4026" spans="1:8" x14ac:dyDescent="0.2">
      <c r="A4026">
        <v>239749</v>
      </c>
      <c r="B4026">
        <v>256130</v>
      </c>
      <c r="C4026" t="str">
        <f t="shared" si="62"/>
        <v>5. $1M+</v>
      </c>
      <c r="D4026" t="s">
        <v>703</v>
      </c>
      <c r="E4026" t="s">
        <v>42</v>
      </c>
      <c r="F4026" t="s">
        <v>670</v>
      </c>
      <c r="G4026" t="s">
        <v>59</v>
      </c>
      <c r="H4026">
        <v>2023</v>
      </c>
    </row>
    <row r="4027" spans="1:8" x14ac:dyDescent="0.2">
      <c r="A4027">
        <v>239750</v>
      </c>
      <c r="B4027">
        <v>244421</v>
      </c>
      <c r="C4027" t="str">
        <f t="shared" si="62"/>
        <v>4. $250K-1M</v>
      </c>
      <c r="D4027" t="s">
        <v>1021</v>
      </c>
      <c r="E4027" t="s">
        <v>42</v>
      </c>
      <c r="F4027" t="s">
        <v>670</v>
      </c>
      <c r="G4027" t="s">
        <v>59</v>
      </c>
      <c r="H4027">
        <v>2023</v>
      </c>
    </row>
    <row r="4028" spans="1:8" x14ac:dyDescent="0.2">
      <c r="A4028">
        <v>239751</v>
      </c>
      <c r="B4028">
        <v>236307</v>
      </c>
      <c r="C4028" t="str">
        <f t="shared" si="62"/>
        <v>3. $50K-250K</v>
      </c>
      <c r="D4028" t="s">
        <v>1002</v>
      </c>
      <c r="E4028" t="s">
        <v>42</v>
      </c>
      <c r="F4028" t="s">
        <v>670</v>
      </c>
      <c r="G4028" t="s">
        <v>59</v>
      </c>
      <c r="H4028">
        <v>2023</v>
      </c>
    </row>
    <row r="4029" spans="1:8" x14ac:dyDescent="0.2">
      <c r="A4029">
        <v>239752</v>
      </c>
      <c r="B4029">
        <v>431762</v>
      </c>
      <c r="C4029" t="str">
        <f t="shared" si="62"/>
        <v>3. $50K-250K</v>
      </c>
      <c r="D4029" t="s">
        <v>683</v>
      </c>
      <c r="E4029" t="s">
        <v>42</v>
      </c>
      <c r="F4029" t="s">
        <v>670</v>
      </c>
      <c r="G4029" t="s">
        <v>59</v>
      </c>
      <c r="H4029">
        <v>2023</v>
      </c>
    </row>
    <row r="4030" spans="1:8" x14ac:dyDescent="0.2">
      <c r="A4030">
        <v>239764</v>
      </c>
      <c r="B4030">
        <v>5000</v>
      </c>
      <c r="C4030" t="str">
        <f t="shared" si="62"/>
        <v>4. $250K-1M</v>
      </c>
      <c r="D4030" t="s">
        <v>1709</v>
      </c>
      <c r="E4030" t="s">
        <v>112</v>
      </c>
      <c r="F4030" t="s">
        <v>668</v>
      </c>
      <c r="G4030" t="s">
        <v>59</v>
      </c>
      <c r="H4030">
        <v>2023</v>
      </c>
    </row>
    <row r="4031" spans="1:8" x14ac:dyDescent="0.2">
      <c r="A4031">
        <v>239765</v>
      </c>
      <c r="B4031">
        <v>12000000</v>
      </c>
      <c r="C4031" t="str">
        <f t="shared" si="62"/>
        <v>1. Under $10K</v>
      </c>
      <c r="D4031" t="s">
        <v>362</v>
      </c>
      <c r="E4031" t="s">
        <v>28</v>
      </c>
      <c r="F4031" t="s">
        <v>29</v>
      </c>
      <c r="G4031" t="s">
        <v>15</v>
      </c>
      <c r="H4031">
        <v>2023</v>
      </c>
    </row>
    <row r="4032" spans="1:8" x14ac:dyDescent="0.2">
      <c r="A4032">
        <v>239766</v>
      </c>
      <c r="B4032">
        <v>10000</v>
      </c>
      <c r="C4032" t="str">
        <f t="shared" si="62"/>
        <v>5. $1M+</v>
      </c>
      <c r="D4032" t="s">
        <v>1710</v>
      </c>
      <c r="E4032" t="s">
        <v>112</v>
      </c>
      <c r="F4032" t="s">
        <v>668</v>
      </c>
      <c r="G4032" t="s">
        <v>59</v>
      </c>
      <c r="H4032">
        <v>2023</v>
      </c>
    </row>
    <row r="4033" spans="1:8" x14ac:dyDescent="0.2">
      <c r="A4033">
        <v>239772</v>
      </c>
      <c r="B4033">
        <v>36000</v>
      </c>
      <c r="C4033" t="str">
        <f t="shared" si="62"/>
        <v>2. $10K-50K</v>
      </c>
      <c r="D4033" t="s">
        <v>781</v>
      </c>
      <c r="E4033" t="s">
        <v>237</v>
      </c>
      <c r="F4033" t="s">
        <v>670</v>
      </c>
      <c r="G4033" t="s">
        <v>59</v>
      </c>
      <c r="H4033">
        <v>2023</v>
      </c>
    </row>
    <row r="4034" spans="1:8" x14ac:dyDescent="0.2">
      <c r="A4034">
        <v>239773</v>
      </c>
      <c r="B4034">
        <v>36000</v>
      </c>
      <c r="C4034" t="str">
        <f t="shared" si="62"/>
        <v>2. $10K-50K</v>
      </c>
      <c r="D4034" t="s">
        <v>711</v>
      </c>
      <c r="E4034" t="s">
        <v>237</v>
      </c>
      <c r="F4034" t="s">
        <v>670</v>
      </c>
      <c r="G4034" t="s">
        <v>59</v>
      </c>
      <c r="H4034">
        <v>2023</v>
      </c>
    </row>
    <row r="4035" spans="1:8" x14ac:dyDescent="0.2">
      <c r="A4035">
        <v>239776</v>
      </c>
      <c r="B4035">
        <v>225000</v>
      </c>
      <c r="C4035" t="str">
        <f t="shared" ref="C4035:C4098" si="63">IF(B4034&lt;10000,"1. Under $10K",IF(B4034&lt;50000,"2. $10K-50K",IF(B4034&lt;250000,"3. $50K-250K",IF(B4034&lt;1000000,"4. $250K-1M","5. $1M+"))))</f>
        <v>2. $10K-50K</v>
      </c>
      <c r="D4035" t="s">
        <v>1711</v>
      </c>
      <c r="E4035" t="s">
        <v>42</v>
      </c>
      <c r="F4035" t="s">
        <v>670</v>
      </c>
      <c r="G4035" t="s">
        <v>44</v>
      </c>
      <c r="H4035">
        <v>2023</v>
      </c>
    </row>
    <row r="4036" spans="1:8" x14ac:dyDescent="0.2">
      <c r="A4036">
        <v>239783</v>
      </c>
      <c r="B4036">
        <v>65704.3</v>
      </c>
      <c r="C4036" t="str">
        <f t="shared" si="63"/>
        <v>3. $50K-250K</v>
      </c>
      <c r="D4036" t="s">
        <v>942</v>
      </c>
      <c r="E4036" t="s">
        <v>237</v>
      </c>
      <c r="F4036" t="s">
        <v>670</v>
      </c>
      <c r="G4036" t="s">
        <v>59</v>
      </c>
      <c r="H4036">
        <v>2023</v>
      </c>
    </row>
    <row r="4037" spans="1:8" x14ac:dyDescent="0.2">
      <c r="A4037">
        <v>239787</v>
      </c>
      <c r="B4037">
        <v>168935.9</v>
      </c>
      <c r="C4037" t="str">
        <f t="shared" si="63"/>
        <v>3. $50K-250K</v>
      </c>
      <c r="D4037" t="s">
        <v>907</v>
      </c>
      <c r="E4037" t="s">
        <v>237</v>
      </c>
      <c r="F4037" t="s">
        <v>670</v>
      </c>
      <c r="G4037" t="s">
        <v>59</v>
      </c>
      <c r="H4037">
        <v>2023</v>
      </c>
    </row>
    <row r="4038" spans="1:8" x14ac:dyDescent="0.2">
      <c r="A4038">
        <v>239791</v>
      </c>
      <c r="B4038">
        <v>30000</v>
      </c>
      <c r="C4038" t="str">
        <f t="shared" si="63"/>
        <v>3. $50K-250K</v>
      </c>
      <c r="D4038" t="s">
        <v>1712</v>
      </c>
      <c r="E4038" t="s">
        <v>112</v>
      </c>
      <c r="F4038" t="s">
        <v>668</v>
      </c>
      <c r="G4038" t="s">
        <v>59</v>
      </c>
      <c r="H4038">
        <v>2023</v>
      </c>
    </row>
    <row r="4039" spans="1:8" x14ac:dyDescent="0.2">
      <c r="A4039">
        <v>239792</v>
      </c>
      <c r="B4039">
        <v>250000</v>
      </c>
      <c r="C4039" t="str">
        <f t="shared" si="63"/>
        <v>2. $10K-50K</v>
      </c>
      <c r="D4039" t="s">
        <v>1713</v>
      </c>
      <c r="E4039" t="s">
        <v>99</v>
      </c>
      <c r="F4039" t="s">
        <v>668</v>
      </c>
      <c r="G4039" t="s">
        <v>59</v>
      </c>
      <c r="H4039">
        <v>2023</v>
      </c>
    </row>
    <row r="4040" spans="1:8" x14ac:dyDescent="0.2">
      <c r="A4040">
        <v>239795</v>
      </c>
      <c r="B4040">
        <v>162691</v>
      </c>
      <c r="C4040" t="str">
        <f t="shared" si="63"/>
        <v>4. $250K-1M</v>
      </c>
      <c r="D4040" t="s">
        <v>1714</v>
      </c>
      <c r="E4040" t="s">
        <v>99</v>
      </c>
      <c r="F4040" t="s">
        <v>668</v>
      </c>
      <c r="G4040" t="s">
        <v>59</v>
      </c>
      <c r="H4040">
        <v>2023</v>
      </c>
    </row>
    <row r="4041" spans="1:8" x14ac:dyDescent="0.2">
      <c r="A4041">
        <v>239796</v>
      </c>
      <c r="B4041">
        <v>740000</v>
      </c>
      <c r="C4041" t="str">
        <f t="shared" si="63"/>
        <v>3. $50K-250K</v>
      </c>
      <c r="D4041" t="s">
        <v>774</v>
      </c>
      <c r="E4041" t="s">
        <v>99</v>
      </c>
      <c r="F4041" t="s">
        <v>668</v>
      </c>
      <c r="G4041" t="s">
        <v>59</v>
      </c>
      <c r="H4041">
        <v>2023</v>
      </c>
    </row>
    <row r="4042" spans="1:8" x14ac:dyDescent="0.2">
      <c r="A4042">
        <v>239797</v>
      </c>
      <c r="B4042">
        <v>250000</v>
      </c>
      <c r="C4042" t="str">
        <f t="shared" si="63"/>
        <v>4. $250K-1M</v>
      </c>
      <c r="D4042" t="s">
        <v>1715</v>
      </c>
      <c r="E4042" t="s">
        <v>99</v>
      </c>
      <c r="F4042" t="s">
        <v>668</v>
      </c>
      <c r="G4042" t="s">
        <v>59</v>
      </c>
      <c r="H4042">
        <v>2023</v>
      </c>
    </row>
    <row r="4043" spans="1:8" x14ac:dyDescent="0.2">
      <c r="A4043">
        <v>239806</v>
      </c>
      <c r="B4043">
        <v>172000</v>
      </c>
      <c r="C4043" t="str">
        <f t="shared" si="63"/>
        <v>4. $250K-1M</v>
      </c>
      <c r="D4043" t="s">
        <v>774</v>
      </c>
      <c r="E4043" t="s">
        <v>99</v>
      </c>
      <c r="F4043" t="s">
        <v>668</v>
      </c>
      <c r="G4043" t="s">
        <v>59</v>
      </c>
      <c r="H4043">
        <v>2023</v>
      </c>
    </row>
    <row r="4044" spans="1:8" x14ac:dyDescent="0.2">
      <c r="A4044">
        <v>239835</v>
      </c>
      <c r="B4044">
        <v>175000</v>
      </c>
      <c r="C4044" t="str">
        <f t="shared" si="63"/>
        <v>3. $50K-250K</v>
      </c>
      <c r="D4044" t="s">
        <v>1716</v>
      </c>
      <c r="E4044" t="s">
        <v>42</v>
      </c>
      <c r="F4044" t="s">
        <v>668</v>
      </c>
      <c r="G4044" t="s">
        <v>59</v>
      </c>
      <c r="H4044">
        <v>2023</v>
      </c>
    </row>
    <row r="4045" spans="1:8" x14ac:dyDescent="0.2">
      <c r="A4045">
        <v>239851</v>
      </c>
      <c r="B4045">
        <v>45000</v>
      </c>
      <c r="C4045" t="str">
        <f t="shared" si="63"/>
        <v>3. $50K-250K</v>
      </c>
      <c r="D4045" t="s">
        <v>1160</v>
      </c>
      <c r="E4045" t="s">
        <v>112</v>
      </c>
      <c r="F4045" t="s">
        <v>668</v>
      </c>
      <c r="G4045" t="s">
        <v>59</v>
      </c>
      <c r="H4045">
        <v>2023</v>
      </c>
    </row>
    <row r="4046" spans="1:8" x14ac:dyDescent="0.2">
      <c r="A4046">
        <v>239854</v>
      </c>
      <c r="B4046">
        <v>250000</v>
      </c>
      <c r="C4046" t="str">
        <f t="shared" si="63"/>
        <v>2. $10K-50K</v>
      </c>
      <c r="D4046" t="s">
        <v>1717</v>
      </c>
      <c r="E4046" t="s">
        <v>112</v>
      </c>
      <c r="F4046" t="s">
        <v>668</v>
      </c>
      <c r="G4046" t="s">
        <v>59</v>
      </c>
      <c r="H4046">
        <v>2023</v>
      </c>
    </row>
    <row r="4047" spans="1:8" x14ac:dyDescent="0.2">
      <c r="A4047">
        <v>239856</v>
      </c>
      <c r="B4047">
        <v>150000</v>
      </c>
      <c r="C4047" t="str">
        <f t="shared" si="63"/>
        <v>4. $250K-1M</v>
      </c>
      <c r="D4047" t="s">
        <v>1718</v>
      </c>
      <c r="E4047" t="s">
        <v>112</v>
      </c>
      <c r="F4047" t="s">
        <v>668</v>
      </c>
      <c r="G4047" t="s">
        <v>59</v>
      </c>
      <c r="H4047">
        <v>2023</v>
      </c>
    </row>
    <row r="4048" spans="1:8" x14ac:dyDescent="0.2">
      <c r="A4048">
        <v>239857</v>
      </c>
      <c r="B4048">
        <v>75000</v>
      </c>
      <c r="C4048" t="str">
        <f t="shared" si="63"/>
        <v>3. $50K-250K</v>
      </c>
      <c r="D4048" t="s">
        <v>1719</v>
      </c>
      <c r="E4048" t="s">
        <v>112</v>
      </c>
      <c r="F4048" t="s">
        <v>668</v>
      </c>
      <c r="G4048" t="s">
        <v>59</v>
      </c>
      <c r="H4048">
        <v>2023</v>
      </c>
    </row>
    <row r="4049" spans="1:8" x14ac:dyDescent="0.2">
      <c r="A4049">
        <v>239861</v>
      </c>
      <c r="B4049">
        <v>45000</v>
      </c>
      <c r="C4049" t="str">
        <f t="shared" si="63"/>
        <v>3. $50K-250K</v>
      </c>
      <c r="D4049" t="s">
        <v>1720</v>
      </c>
      <c r="E4049" t="s">
        <v>112</v>
      </c>
      <c r="F4049" t="s">
        <v>668</v>
      </c>
      <c r="G4049" t="s">
        <v>59</v>
      </c>
      <c r="H4049">
        <v>2023</v>
      </c>
    </row>
    <row r="4050" spans="1:8" x14ac:dyDescent="0.2">
      <c r="A4050">
        <v>239864</v>
      </c>
      <c r="B4050">
        <v>100000</v>
      </c>
      <c r="C4050" t="str">
        <f t="shared" si="63"/>
        <v>2. $10K-50K</v>
      </c>
      <c r="D4050" t="s">
        <v>1721</v>
      </c>
      <c r="E4050" t="s">
        <v>52</v>
      </c>
      <c r="F4050" t="s">
        <v>668</v>
      </c>
      <c r="G4050" t="s">
        <v>59</v>
      </c>
      <c r="H4050">
        <v>2023</v>
      </c>
    </row>
    <row r="4051" spans="1:8" x14ac:dyDescent="0.2">
      <c r="A4051">
        <v>239867</v>
      </c>
      <c r="B4051">
        <v>1208103.3</v>
      </c>
      <c r="C4051" t="str">
        <f t="shared" si="63"/>
        <v>3. $50K-250K</v>
      </c>
      <c r="D4051" t="s">
        <v>771</v>
      </c>
      <c r="E4051" t="s">
        <v>825</v>
      </c>
      <c r="F4051" t="s">
        <v>670</v>
      </c>
      <c r="G4051" t="s">
        <v>59</v>
      </c>
      <c r="H4051">
        <v>2023</v>
      </c>
    </row>
    <row r="4052" spans="1:8" x14ac:dyDescent="0.2">
      <c r="A4052">
        <v>239920</v>
      </c>
      <c r="B4052">
        <v>776989.6</v>
      </c>
      <c r="C4052" t="str">
        <f t="shared" si="63"/>
        <v>5. $1M+</v>
      </c>
      <c r="D4052" t="s">
        <v>1032</v>
      </c>
      <c r="E4052" t="s">
        <v>237</v>
      </c>
      <c r="F4052" t="s">
        <v>670</v>
      </c>
      <c r="G4052" t="s">
        <v>59</v>
      </c>
      <c r="H4052">
        <v>2023</v>
      </c>
    </row>
    <row r="4053" spans="1:8" x14ac:dyDescent="0.2">
      <c r="A4053">
        <v>239921</v>
      </c>
      <c r="B4053">
        <v>1513913</v>
      </c>
      <c r="C4053" t="str">
        <f t="shared" si="63"/>
        <v>4. $250K-1M</v>
      </c>
      <c r="D4053" t="s">
        <v>1032</v>
      </c>
      <c r="E4053" t="s">
        <v>237</v>
      </c>
      <c r="F4053" t="s">
        <v>670</v>
      </c>
      <c r="G4053" t="s">
        <v>59</v>
      </c>
      <c r="H4053">
        <v>2023</v>
      </c>
    </row>
    <row r="4054" spans="1:8" x14ac:dyDescent="0.2">
      <c r="A4054">
        <v>239941</v>
      </c>
      <c r="B4054">
        <v>70712</v>
      </c>
      <c r="C4054" t="str">
        <f t="shared" si="63"/>
        <v>5. $1M+</v>
      </c>
      <c r="D4054" t="s">
        <v>871</v>
      </c>
      <c r="E4054" t="s">
        <v>237</v>
      </c>
      <c r="F4054" t="s">
        <v>670</v>
      </c>
      <c r="G4054" t="s">
        <v>59</v>
      </c>
      <c r="H4054">
        <v>2023</v>
      </c>
    </row>
    <row r="4055" spans="1:8" x14ac:dyDescent="0.2">
      <c r="A4055">
        <v>239942</v>
      </c>
      <c r="B4055">
        <v>56989</v>
      </c>
      <c r="C4055" t="str">
        <f t="shared" si="63"/>
        <v>3. $50K-250K</v>
      </c>
      <c r="D4055" t="s">
        <v>871</v>
      </c>
      <c r="E4055" t="s">
        <v>237</v>
      </c>
      <c r="F4055" t="s">
        <v>670</v>
      </c>
      <c r="G4055" t="s">
        <v>59</v>
      </c>
      <c r="H4055">
        <v>2023</v>
      </c>
    </row>
    <row r="4056" spans="1:8" x14ac:dyDescent="0.2">
      <c r="A4056">
        <v>239943</v>
      </c>
      <c r="B4056">
        <v>567608.4</v>
      </c>
      <c r="C4056" t="str">
        <f t="shared" si="63"/>
        <v>3. $50K-250K</v>
      </c>
      <c r="D4056" t="s">
        <v>391</v>
      </c>
      <c r="E4056" t="s">
        <v>237</v>
      </c>
      <c r="F4056" t="s">
        <v>670</v>
      </c>
      <c r="G4056" t="s">
        <v>59</v>
      </c>
      <c r="H4056">
        <v>2023</v>
      </c>
    </row>
    <row r="4057" spans="1:8" x14ac:dyDescent="0.2">
      <c r="A4057">
        <v>239944</v>
      </c>
      <c r="B4057">
        <v>1556339</v>
      </c>
      <c r="C4057" t="str">
        <f t="shared" si="63"/>
        <v>4. $250K-1M</v>
      </c>
      <c r="D4057" t="s">
        <v>698</v>
      </c>
      <c r="E4057" t="s">
        <v>237</v>
      </c>
      <c r="F4057" t="s">
        <v>670</v>
      </c>
      <c r="G4057" t="s">
        <v>59</v>
      </c>
      <c r="H4057">
        <v>2023</v>
      </c>
    </row>
    <row r="4058" spans="1:8" x14ac:dyDescent="0.2">
      <c r="A4058">
        <v>239945</v>
      </c>
      <c r="B4058">
        <v>112266</v>
      </c>
      <c r="C4058" t="str">
        <f t="shared" si="63"/>
        <v>5. $1M+</v>
      </c>
      <c r="D4058" t="s">
        <v>735</v>
      </c>
      <c r="E4058" t="s">
        <v>237</v>
      </c>
      <c r="F4058" t="s">
        <v>670</v>
      </c>
      <c r="G4058" t="s">
        <v>59</v>
      </c>
      <c r="H4058">
        <v>2023</v>
      </c>
    </row>
    <row r="4059" spans="1:8" x14ac:dyDescent="0.2">
      <c r="A4059">
        <v>239946</v>
      </c>
      <c r="B4059">
        <v>406560</v>
      </c>
      <c r="C4059" t="str">
        <f t="shared" si="63"/>
        <v>3. $50K-250K</v>
      </c>
      <c r="D4059" t="s">
        <v>735</v>
      </c>
      <c r="E4059" t="s">
        <v>237</v>
      </c>
      <c r="F4059" t="s">
        <v>670</v>
      </c>
      <c r="G4059" t="s">
        <v>59</v>
      </c>
      <c r="H4059">
        <v>2023</v>
      </c>
    </row>
    <row r="4060" spans="1:8" x14ac:dyDescent="0.2">
      <c r="A4060">
        <v>239947</v>
      </c>
      <c r="B4060">
        <v>505197</v>
      </c>
      <c r="C4060" t="str">
        <f t="shared" si="63"/>
        <v>4. $250K-1M</v>
      </c>
      <c r="D4060" t="s">
        <v>756</v>
      </c>
      <c r="E4060" t="s">
        <v>237</v>
      </c>
      <c r="F4060" t="s">
        <v>670</v>
      </c>
      <c r="G4060" t="s">
        <v>59</v>
      </c>
      <c r="H4060">
        <v>2023</v>
      </c>
    </row>
    <row r="4061" spans="1:8" x14ac:dyDescent="0.2">
      <c r="A4061">
        <v>239948</v>
      </c>
      <c r="B4061">
        <v>304920</v>
      </c>
      <c r="C4061" t="str">
        <f t="shared" si="63"/>
        <v>4. $250K-1M</v>
      </c>
      <c r="D4061" t="s">
        <v>765</v>
      </c>
      <c r="E4061" t="s">
        <v>237</v>
      </c>
      <c r="F4061" t="s">
        <v>670</v>
      </c>
      <c r="G4061" t="s">
        <v>59</v>
      </c>
      <c r="H4061">
        <v>2023</v>
      </c>
    </row>
    <row r="4062" spans="1:8" x14ac:dyDescent="0.2">
      <c r="A4062">
        <v>239949</v>
      </c>
      <c r="B4062">
        <v>62369.2</v>
      </c>
      <c r="C4062" t="str">
        <f t="shared" si="63"/>
        <v>4. $250K-1M</v>
      </c>
      <c r="D4062" t="s">
        <v>765</v>
      </c>
      <c r="E4062" t="s">
        <v>237</v>
      </c>
      <c r="F4062" t="s">
        <v>670</v>
      </c>
      <c r="G4062" t="s">
        <v>59</v>
      </c>
      <c r="H4062">
        <v>2023</v>
      </c>
    </row>
    <row r="4063" spans="1:8" x14ac:dyDescent="0.2">
      <c r="A4063">
        <v>239950</v>
      </c>
      <c r="B4063">
        <v>660158.80000000005</v>
      </c>
      <c r="C4063" t="str">
        <f t="shared" si="63"/>
        <v>3. $50K-250K</v>
      </c>
      <c r="D4063" t="s">
        <v>1088</v>
      </c>
      <c r="E4063" t="s">
        <v>237</v>
      </c>
      <c r="F4063" t="s">
        <v>670</v>
      </c>
      <c r="G4063" t="s">
        <v>59</v>
      </c>
      <c r="H4063">
        <v>2023</v>
      </c>
    </row>
    <row r="4064" spans="1:8" x14ac:dyDescent="0.2">
      <c r="A4064">
        <v>239951</v>
      </c>
      <c r="B4064">
        <v>1217181.2</v>
      </c>
      <c r="C4064" t="str">
        <f t="shared" si="63"/>
        <v>4. $250K-1M</v>
      </c>
      <c r="D4064" t="s">
        <v>1088</v>
      </c>
      <c r="E4064" t="s">
        <v>237</v>
      </c>
      <c r="F4064" t="s">
        <v>670</v>
      </c>
      <c r="G4064" t="s">
        <v>59</v>
      </c>
      <c r="H4064">
        <v>2023</v>
      </c>
    </row>
    <row r="4065" spans="1:8" x14ac:dyDescent="0.2">
      <c r="A4065">
        <v>239952</v>
      </c>
      <c r="B4065">
        <v>420080.9</v>
      </c>
      <c r="C4065" t="str">
        <f t="shared" si="63"/>
        <v>5. $1M+</v>
      </c>
      <c r="D4065" t="s">
        <v>712</v>
      </c>
      <c r="E4065" t="s">
        <v>237</v>
      </c>
      <c r="F4065" t="s">
        <v>670</v>
      </c>
      <c r="G4065" t="s">
        <v>59</v>
      </c>
      <c r="H4065">
        <v>2023</v>
      </c>
    </row>
    <row r="4066" spans="1:8" x14ac:dyDescent="0.2">
      <c r="A4066">
        <v>239953</v>
      </c>
      <c r="B4066">
        <v>145519</v>
      </c>
      <c r="C4066" t="str">
        <f t="shared" si="63"/>
        <v>4. $250K-1M</v>
      </c>
      <c r="D4066" t="s">
        <v>715</v>
      </c>
      <c r="E4066" t="s">
        <v>237</v>
      </c>
      <c r="F4066" t="s">
        <v>670</v>
      </c>
      <c r="G4066" t="s">
        <v>59</v>
      </c>
      <c r="H4066">
        <v>2023</v>
      </c>
    </row>
    <row r="4067" spans="1:8" x14ac:dyDescent="0.2">
      <c r="A4067">
        <v>239954</v>
      </c>
      <c r="B4067">
        <v>367802.5</v>
      </c>
      <c r="C4067" t="str">
        <f t="shared" si="63"/>
        <v>3. $50K-250K</v>
      </c>
      <c r="D4067" t="s">
        <v>694</v>
      </c>
      <c r="E4067" t="s">
        <v>237</v>
      </c>
      <c r="F4067" t="s">
        <v>670</v>
      </c>
      <c r="G4067" t="s">
        <v>59</v>
      </c>
      <c r="H4067">
        <v>2023</v>
      </c>
    </row>
    <row r="4068" spans="1:8" x14ac:dyDescent="0.2">
      <c r="A4068">
        <v>239955</v>
      </c>
      <c r="B4068">
        <v>673536</v>
      </c>
      <c r="C4068" t="str">
        <f t="shared" si="63"/>
        <v>4. $250K-1M</v>
      </c>
      <c r="D4068" t="s">
        <v>736</v>
      </c>
      <c r="E4068" t="s">
        <v>237</v>
      </c>
      <c r="F4068" t="s">
        <v>670</v>
      </c>
      <c r="G4068" t="s">
        <v>59</v>
      </c>
      <c r="H4068">
        <v>2023</v>
      </c>
    </row>
    <row r="4069" spans="1:8" x14ac:dyDescent="0.2">
      <c r="A4069">
        <v>239956</v>
      </c>
      <c r="B4069">
        <v>1016400</v>
      </c>
      <c r="C4069" t="str">
        <f t="shared" si="63"/>
        <v>4. $250K-1M</v>
      </c>
      <c r="D4069" t="s">
        <v>736</v>
      </c>
      <c r="E4069" t="s">
        <v>237</v>
      </c>
      <c r="F4069" t="s">
        <v>670</v>
      </c>
      <c r="G4069" t="s">
        <v>59</v>
      </c>
      <c r="H4069">
        <v>2023</v>
      </c>
    </row>
    <row r="4070" spans="1:8" x14ac:dyDescent="0.2">
      <c r="A4070">
        <v>239957</v>
      </c>
      <c r="B4070">
        <v>134157.4</v>
      </c>
      <c r="C4070" t="str">
        <f t="shared" si="63"/>
        <v>5. $1M+</v>
      </c>
      <c r="D4070" t="s">
        <v>717</v>
      </c>
      <c r="E4070" t="s">
        <v>237</v>
      </c>
      <c r="F4070" t="s">
        <v>670</v>
      </c>
      <c r="G4070" t="s">
        <v>59</v>
      </c>
      <c r="H4070">
        <v>2023</v>
      </c>
    </row>
    <row r="4071" spans="1:8" x14ac:dyDescent="0.2">
      <c r="A4071">
        <v>239959</v>
      </c>
      <c r="B4071">
        <v>2189919.2000000002</v>
      </c>
      <c r="C4071" t="str">
        <f t="shared" si="63"/>
        <v>3. $50K-250K</v>
      </c>
      <c r="D4071" t="s">
        <v>696</v>
      </c>
      <c r="E4071" t="s">
        <v>237</v>
      </c>
      <c r="F4071" t="s">
        <v>670</v>
      </c>
      <c r="G4071" t="s">
        <v>59</v>
      </c>
      <c r="H4071">
        <v>2023</v>
      </c>
    </row>
    <row r="4072" spans="1:8" x14ac:dyDescent="0.2">
      <c r="A4072">
        <v>239961</v>
      </c>
      <c r="B4072">
        <v>106029</v>
      </c>
      <c r="C4072" t="str">
        <f t="shared" si="63"/>
        <v>5. $1M+</v>
      </c>
      <c r="D4072" t="s">
        <v>767</v>
      </c>
      <c r="E4072" t="s">
        <v>237</v>
      </c>
      <c r="F4072" t="s">
        <v>670</v>
      </c>
      <c r="G4072" t="s">
        <v>59</v>
      </c>
      <c r="H4072">
        <v>2023</v>
      </c>
    </row>
    <row r="4073" spans="1:8" x14ac:dyDescent="0.2">
      <c r="A4073">
        <v>239962</v>
      </c>
      <c r="B4073">
        <v>212058</v>
      </c>
      <c r="C4073" t="str">
        <f t="shared" si="63"/>
        <v>3. $50K-250K</v>
      </c>
      <c r="D4073" t="s">
        <v>726</v>
      </c>
      <c r="E4073" t="s">
        <v>237</v>
      </c>
      <c r="F4073" t="s">
        <v>670</v>
      </c>
      <c r="G4073" t="s">
        <v>59</v>
      </c>
      <c r="H4073">
        <v>2023</v>
      </c>
    </row>
    <row r="4074" spans="1:8" x14ac:dyDescent="0.2">
      <c r="A4074">
        <v>239963</v>
      </c>
      <c r="B4074">
        <v>400827.1</v>
      </c>
      <c r="C4074" t="str">
        <f t="shared" si="63"/>
        <v>3. $50K-250K</v>
      </c>
      <c r="D4074" t="s">
        <v>767</v>
      </c>
      <c r="E4074" t="s">
        <v>237</v>
      </c>
      <c r="F4074" t="s">
        <v>670</v>
      </c>
      <c r="G4074" t="s">
        <v>59</v>
      </c>
      <c r="H4074">
        <v>2023</v>
      </c>
    </row>
    <row r="4075" spans="1:8" x14ac:dyDescent="0.2">
      <c r="A4075">
        <v>239964</v>
      </c>
      <c r="B4075">
        <v>241240</v>
      </c>
      <c r="C4075" t="str">
        <f t="shared" si="63"/>
        <v>4. $250K-1M</v>
      </c>
      <c r="D4075" t="s">
        <v>726</v>
      </c>
      <c r="E4075" t="s">
        <v>237</v>
      </c>
      <c r="F4075" t="s">
        <v>670</v>
      </c>
      <c r="G4075" t="s">
        <v>59</v>
      </c>
      <c r="H4075">
        <v>2023</v>
      </c>
    </row>
    <row r="4076" spans="1:8" x14ac:dyDescent="0.2">
      <c r="A4076">
        <v>239965</v>
      </c>
      <c r="B4076">
        <v>1052287.8999999999</v>
      </c>
      <c r="C4076" t="str">
        <f t="shared" si="63"/>
        <v>3. $50K-250K</v>
      </c>
      <c r="D4076" t="s">
        <v>749</v>
      </c>
      <c r="E4076" t="s">
        <v>237</v>
      </c>
      <c r="F4076" t="s">
        <v>670</v>
      </c>
      <c r="G4076" t="s">
        <v>59</v>
      </c>
      <c r="H4076">
        <v>2023</v>
      </c>
    </row>
    <row r="4077" spans="1:8" x14ac:dyDescent="0.2">
      <c r="A4077">
        <v>239966</v>
      </c>
      <c r="B4077">
        <v>708026.3</v>
      </c>
      <c r="C4077" t="str">
        <f t="shared" si="63"/>
        <v>5. $1M+</v>
      </c>
      <c r="D4077" t="s">
        <v>749</v>
      </c>
      <c r="E4077" t="s">
        <v>237</v>
      </c>
      <c r="F4077" t="s">
        <v>670</v>
      </c>
      <c r="G4077" t="s">
        <v>59</v>
      </c>
      <c r="H4077">
        <v>2023</v>
      </c>
    </row>
    <row r="4078" spans="1:8" x14ac:dyDescent="0.2">
      <c r="A4078">
        <v>239981</v>
      </c>
      <c r="B4078">
        <v>799083</v>
      </c>
      <c r="C4078" t="str">
        <f t="shared" si="63"/>
        <v>4. $250K-1M</v>
      </c>
      <c r="D4078" t="s">
        <v>801</v>
      </c>
      <c r="E4078" t="s">
        <v>42</v>
      </c>
      <c r="F4078" t="s">
        <v>670</v>
      </c>
      <c r="G4078" t="s">
        <v>44</v>
      </c>
      <c r="H4078">
        <v>2023</v>
      </c>
    </row>
    <row r="4079" spans="1:8" x14ac:dyDescent="0.2">
      <c r="A4079">
        <v>239987</v>
      </c>
      <c r="B4079">
        <v>59718</v>
      </c>
      <c r="C4079" t="str">
        <f t="shared" si="63"/>
        <v>4. $250K-1M</v>
      </c>
      <c r="D4079" t="s">
        <v>1722</v>
      </c>
      <c r="E4079" t="s">
        <v>59</v>
      </c>
      <c r="F4079" t="s">
        <v>664</v>
      </c>
      <c r="G4079" t="s">
        <v>59</v>
      </c>
      <c r="H4079">
        <v>2023</v>
      </c>
    </row>
    <row r="4080" spans="1:8" x14ac:dyDescent="0.2">
      <c r="A4080">
        <v>240039</v>
      </c>
      <c r="B4080">
        <v>179682.8</v>
      </c>
      <c r="C4080" t="str">
        <f t="shared" si="63"/>
        <v>3. $50K-250K</v>
      </c>
      <c r="D4080" t="s">
        <v>692</v>
      </c>
      <c r="E4080" t="s">
        <v>237</v>
      </c>
      <c r="F4080" t="s">
        <v>670</v>
      </c>
      <c r="G4080" t="s">
        <v>59</v>
      </c>
      <c r="H4080">
        <v>2023</v>
      </c>
    </row>
    <row r="4081" spans="1:8" x14ac:dyDescent="0.2">
      <c r="A4081">
        <v>240250</v>
      </c>
      <c r="B4081">
        <v>152188.20000000001</v>
      </c>
      <c r="C4081" t="str">
        <f t="shared" si="63"/>
        <v>3. $50K-250K</v>
      </c>
      <c r="D4081" t="s">
        <v>909</v>
      </c>
      <c r="E4081" t="s">
        <v>237</v>
      </c>
      <c r="F4081" t="s">
        <v>670</v>
      </c>
      <c r="G4081" t="s">
        <v>59</v>
      </c>
      <c r="H4081">
        <v>2023</v>
      </c>
    </row>
    <row r="4082" spans="1:8" x14ac:dyDescent="0.2">
      <c r="A4082">
        <v>240271</v>
      </c>
      <c r="B4082">
        <v>730000</v>
      </c>
      <c r="C4082" t="str">
        <f t="shared" si="63"/>
        <v>3. $50K-250K</v>
      </c>
      <c r="D4082" t="s">
        <v>391</v>
      </c>
      <c r="E4082" t="s">
        <v>99</v>
      </c>
      <c r="F4082" t="s">
        <v>670</v>
      </c>
      <c r="G4082" t="s">
        <v>59</v>
      </c>
      <c r="H4082">
        <v>2023</v>
      </c>
    </row>
    <row r="4083" spans="1:8" x14ac:dyDescent="0.2">
      <c r="A4083">
        <v>240423</v>
      </c>
      <c r="B4083">
        <v>300000</v>
      </c>
      <c r="C4083" t="str">
        <f t="shared" si="63"/>
        <v>4. $250K-1M</v>
      </c>
      <c r="D4083" t="s">
        <v>1492</v>
      </c>
      <c r="E4083" t="s">
        <v>99</v>
      </c>
      <c r="F4083" t="s">
        <v>670</v>
      </c>
      <c r="G4083" t="s">
        <v>59</v>
      </c>
      <c r="H4083">
        <v>2023</v>
      </c>
    </row>
    <row r="4084" spans="1:8" x14ac:dyDescent="0.2">
      <c r="A4084">
        <v>240427</v>
      </c>
      <c r="B4084">
        <v>300000</v>
      </c>
      <c r="C4084" t="str">
        <f t="shared" si="63"/>
        <v>4. $250K-1M</v>
      </c>
      <c r="D4084" t="s">
        <v>936</v>
      </c>
      <c r="E4084" t="s">
        <v>99</v>
      </c>
      <c r="F4084" t="s">
        <v>670</v>
      </c>
      <c r="G4084" t="s">
        <v>59</v>
      </c>
      <c r="H4084">
        <v>2023</v>
      </c>
    </row>
    <row r="4085" spans="1:8" x14ac:dyDescent="0.2">
      <c r="A4085">
        <v>240453</v>
      </c>
      <c r="B4085">
        <v>271200</v>
      </c>
      <c r="C4085" t="str">
        <f t="shared" si="63"/>
        <v>4. $250K-1M</v>
      </c>
      <c r="D4085" t="s">
        <v>1488</v>
      </c>
      <c r="E4085" t="s">
        <v>99</v>
      </c>
      <c r="F4085" t="s">
        <v>670</v>
      </c>
      <c r="G4085" t="s">
        <v>59</v>
      </c>
      <c r="H4085">
        <v>2023</v>
      </c>
    </row>
    <row r="4086" spans="1:8" x14ac:dyDescent="0.2">
      <c r="A4086">
        <v>240611</v>
      </c>
      <c r="B4086">
        <v>118916.4</v>
      </c>
      <c r="C4086" t="str">
        <f t="shared" si="63"/>
        <v>4. $250K-1M</v>
      </c>
      <c r="D4086" t="s">
        <v>943</v>
      </c>
      <c r="E4086" t="s">
        <v>99</v>
      </c>
      <c r="F4086" t="s">
        <v>670</v>
      </c>
      <c r="G4086" t="s">
        <v>59</v>
      </c>
      <c r="H4086">
        <v>2023</v>
      </c>
    </row>
    <row r="4087" spans="1:8" x14ac:dyDescent="0.2">
      <c r="A4087">
        <v>240624</v>
      </c>
      <c r="B4087">
        <v>350000</v>
      </c>
      <c r="C4087" t="str">
        <f t="shared" si="63"/>
        <v>3. $50K-250K</v>
      </c>
      <c r="D4087" t="s">
        <v>1487</v>
      </c>
      <c r="E4087" t="s">
        <v>368</v>
      </c>
      <c r="F4087" t="s">
        <v>670</v>
      </c>
      <c r="G4087" t="s">
        <v>59</v>
      </c>
      <c r="H4087">
        <v>2023</v>
      </c>
    </row>
    <row r="4088" spans="1:8" x14ac:dyDescent="0.2">
      <c r="A4088">
        <v>240627</v>
      </c>
      <c r="B4088">
        <v>300000</v>
      </c>
      <c r="C4088" t="str">
        <f t="shared" si="63"/>
        <v>4. $250K-1M</v>
      </c>
      <c r="D4088" t="s">
        <v>1463</v>
      </c>
      <c r="E4088" t="s">
        <v>99</v>
      </c>
      <c r="F4088" t="s">
        <v>670</v>
      </c>
      <c r="G4088" t="s">
        <v>59</v>
      </c>
      <c r="H4088">
        <v>2023</v>
      </c>
    </row>
    <row r="4089" spans="1:8" x14ac:dyDescent="0.2">
      <c r="A4089">
        <v>240634</v>
      </c>
      <c r="B4089">
        <v>200000</v>
      </c>
      <c r="C4089" t="str">
        <f t="shared" si="63"/>
        <v>4. $250K-1M</v>
      </c>
      <c r="D4089" t="s">
        <v>1493</v>
      </c>
      <c r="E4089" t="s">
        <v>99</v>
      </c>
      <c r="F4089" t="s">
        <v>670</v>
      </c>
      <c r="G4089" t="s">
        <v>59</v>
      </c>
      <c r="H4089">
        <v>2023</v>
      </c>
    </row>
    <row r="4090" spans="1:8" x14ac:dyDescent="0.2">
      <c r="A4090">
        <v>240636</v>
      </c>
      <c r="B4090">
        <v>418000</v>
      </c>
      <c r="C4090" t="str">
        <f t="shared" si="63"/>
        <v>3. $50K-250K</v>
      </c>
      <c r="D4090" t="s">
        <v>880</v>
      </c>
      <c r="E4090" t="s">
        <v>99</v>
      </c>
      <c r="F4090" t="s">
        <v>670</v>
      </c>
      <c r="G4090" t="s">
        <v>59</v>
      </c>
      <c r="H4090">
        <v>2023</v>
      </c>
    </row>
    <row r="4091" spans="1:8" x14ac:dyDescent="0.2">
      <c r="A4091">
        <v>240637</v>
      </c>
      <c r="B4091">
        <v>4643348.5999999996</v>
      </c>
      <c r="C4091" t="str">
        <f t="shared" si="63"/>
        <v>4. $250K-1M</v>
      </c>
      <c r="D4091" t="s">
        <v>83</v>
      </c>
      <c r="E4091" t="s">
        <v>24</v>
      </c>
      <c r="F4091" t="s">
        <v>22</v>
      </c>
      <c r="G4091" t="s">
        <v>10</v>
      </c>
      <c r="H4091">
        <v>2024</v>
      </c>
    </row>
    <row r="4092" spans="1:8" x14ac:dyDescent="0.2">
      <c r="A4092">
        <v>240700</v>
      </c>
      <c r="B4092">
        <v>37352.6</v>
      </c>
      <c r="C4092" t="str">
        <f t="shared" si="63"/>
        <v>5. $1M+</v>
      </c>
      <c r="D4092" t="s">
        <v>697</v>
      </c>
      <c r="E4092" t="s">
        <v>237</v>
      </c>
      <c r="F4092" t="s">
        <v>670</v>
      </c>
      <c r="G4092" t="s">
        <v>59</v>
      </c>
      <c r="H4092">
        <v>2023</v>
      </c>
    </row>
    <row r="4093" spans="1:8" x14ac:dyDescent="0.2">
      <c r="A4093">
        <v>240701</v>
      </c>
      <c r="B4093">
        <v>34344</v>
      </c>
      <c r="C4093" t="str">
        <f t="shared" si="63"/>
        <v>2. $10K-50K</v>
      </c>
      <c r="D4093" t="s">
        <v>1491</v>
      </c>
      <c r="E4093" t="s">
        <v>237</v>
      </c>
      <c r="F4093" t="s">
        <v>670</v>
      </c>
      <c r="G4093" t="s">
        <v>59</v>
      </c>
      <c r="H4093">
        <v>2023</v>
      </c>
    </row>
    <row r="4094" spans="1:8" x14ac:dyDescent="0.2">
      <c r="A4094">
        <v>240731</v>
      </c>
      <c r="B4094">
        <v>61000</v>
      </c>
      <c r="C4094" t="str">
        <f t="shared" si="63"/>
        <v>2. $10K-50K</v>
      </c>
      <c r="D4094" t="s">
        <v>852</v>
      </c>
      <c r="E4094" t="s">
        <v>237</v>
      </c>
      <c r="F4094" t="s">
        <v>670</v>
      </c>
      <c r="G4094" t="s">
        <v>59</v>
      </c>
      <c r="H4094">
        <v>2023</v>
      </c>
    </row>
    <row r="4095" spans="1:8" x14ac:dyDescent="0.2">
      <c r="A4095">
        <v>240736</v>
      </c>
      <c r="B4095">
        <v>124368.2</v>
      </c>
      <c r="C4095" t="str">
        <f t="shared" si="63"/>
        <v>3. $50K-250K</v>
      </c>
      <c r="D4095" t="s">
        <v>682</v>
      </c>
      <c r="E4095" t="s">
        <v>237</v>
      </c>
      <c r="F4095" t="s">
        <v>670</v>
      </c>
      <c r="G4095" t="s">
        <v>59</v>
      </c>
      <c r="H4095">
        <v>2023</v>
      </c>
    </row>
    <row r="4096" spans="1:8" x14ac:dyDescent="0.2">
      <c r="A4096">
        <v>240737</v>
      </c>
      <c r="B4096">
        <v>83066.7</v>
      </c>
      <c r="C4096" t="str">
        <f t="shared" si="63"/>
        <v>3. $50K-250K</v>
      </c>
      <c r="D4096" t="s">
        <v>867</v>
      </c>
      <c r="E4096" t="s">
        <v>237</v>
      </c>
      <c r="F4096" t="s">
        <v>670</v>
      </c>
      <c r="G4096" t="s">
        <v>59</v>
      </c>
      <c r="H4096">
        <v>2023</v>
      </c>
    </row>
    <row r="4097" spans="1:8" x14ac:dyDescent="0.2">
      <c r="A4097">
        <v>240738</v>
      </c>
      <c r="B4097">
        <v>128580.1</v>
      </c>
      <c r="C4097" t="str">
        <f t="shared" si="63"/>
        <v>3. $50K-250K</v>
      </c>
      <c r="D4097" t="s">
        <v>857</v>
      </c>
      <c r="E4097" t="s">
        <v>237</v>
      </c>
      <c r="F4097" t="s">
        <v>670</v>
      </c>
      <c r="G4097" t="s">
        <v>59</v>
      </c>
      <c r="H4097">
        <v>2023</v>
      </c>
    </row>
    <row r="4098" spans="1:8" x14ac:dyDescent="0.2">
      <c r="A4098">
        <v>240739</v>
      </c>
      <c r="B4098">
        <v>33788.1</v>
      </c>
      <c r="C4098" t="str">
        <f t="shared" si="63"/>
        <v>3. $50K-250K</v>
      </c>
      <c r="D4098" t="s">
        <v>507</v>
      </c>
      <c r="E4098" t="s">
        <v>237</v>
      </c>
      <c r="F4098" t="s">
        <v>670</v>
      </c>
      <c r="G4098" t="s">
        <v>59</v>
      </c>
      <c r="H4098">
        <v>2023</v>
      </c>
    </row>
    <row r="4099" spans="1:8" x14ac:dyDescent="0.2">
      <c r="A4099">
        <v>240740</v>
      </c>
      <c r="B4099">
        <v>100000</v>
      </c>
      <c r="C4099" t="str">
        <f t="shared" ref="C4099:C4162" si="64">IF(B4098&lt;10000,"1. Under $10K",IF(B4098&lt;50000,"2. $10K-50K",IF(B4098&lt;250000,"3. $50K-250K",IF(B4098&lt;1000000,"4. $250K-1M","5. $1M+"))))</f>
        <v>2. $10K-50K</v>
      </c>
      <c r="D4099" t="s">
        <v>719</v>
      </c>
      <c r="E4099" t="s">
        <v>237</v>
      </c>
      <c r="F4099" t="s">
        <v>670</v>
      </c>
      <c r="G4099" t="s">
        <v>59</v>
      </c>
      <c r="H4099">
        <v>2023</v>
      </c>
    </row>
    <row r="4100" spans="1:8" x14ac:dyDescent="0.2">
      <c r="A4100">
        <v>240741</v>
      </c>
      <c r="B4100">
        <v>150903.4</v>
      </c>
      <c r="C4100" t="str">
        <f t="shared" si="64"/>
        <v>3. $50K-250K</v>
      </c>
      <c r="D4100" t="s">
        <v>864</v>
      </c>
      <c r="E4100" t="s">
        <v>237</v>
      </c>
      <c r="F4100" t="s">
        <v>670</v>
      </c>
      <c r="G4100" t="s">
        <v>59</v>
      </c>
      <c r="H4100">
        <v>2023</v>
      </c>
    </row>
    <row r="4101" spans="1:8" x14ac:dyDescent="0.2">
      <c r="A4101">
        <v>240742</v>
      </c>
      <c r="B4101">
        <v>54279.1</v>
      </c>
      <c r="C4101" t="str">
        <f t="shared" si="64"/>
        <v>3. $50K-250K</v>
      </c>
      <c r="D4101" t="s">
        <v>867</v>
      </c>
      <c r="E4101" t="s">
        <v>237</v>
      </c>
      <c r="F4101" t="s">
        <v>670</v>
      </c>
      <c r="G4101" t="s">
        <v>59</v>
      </c>
      <c r="H4101">
        <v>2023</v>
      </c>
    </row>
    <row r="4102" spans="1:8" x14ac:dyDescent="0.2">
      <c r="A4102">
        <v>240767</v>
      </c>
      <c r="B4102">
        <v>28700</v>
      </c>
      <c r="C4102" t="str">
        <f t="shared" si="64"/>
        <v>3. $50K-250K</v>
      </c>
      <c r="D4102" t="s">
        <v>801</v>
      </c>
      <c r="E4102" t="s">
        <v>42</v>
      </c>
      <c r="F4102" t="s">
        <v>670</v>
      </c>
      <c r="G4102" t="s">
        <v>59</v>
      </c>
      <c r="H4102">
        <v>2023</v>
      </c>
    </row>
    <row r="4103" spans="1:8" x14ac:dyDescent="0.2">
      <c r="A4103">
        <v>240814</v>
      </c>
      <c r="B4103">
        <v>14400</v>
      </c>
      <c r="C4103" t="str">
        <f t="shared" si="64"/>
        <v>2. $10K-50K</v>
      </c>
      <c r="D4103" t="s">
        <v>783</v>
      </c>
      <c r="E4103" t="s">
        <v>42</v>
      </c>
      <c r="F4103" t="s">
        <v>670</v>
      </c>
      <c r="G4103" t="s">
        <v>59</v>
      </c>
      <c r="H4103">
        <v>2023</v>
      </c>
    </row>
    <row r="4104" spans="1:8" x14ac:dyDescent="0.2">
      <c r="A4104">
        <v>240863</v>
      </c>
      <c r="B4104">
        <v>57500</v>
      </c>
      <c r="C4104" t="str">
        <f t="shared" si="64"/>
        <v>2. $10K-50K</v>
      </c>
      <c r="D4104" t="s">
        <v>912</v>
      </c>
      <c r="E4104" t="s">
        <v>237</v>
      </c>
      <c r="F4104" t="s">
        <v>670</v>
      </c>
      <c r="G4104" t="s">
        <v>59</v>
      </c>
      <c r="H4104">
        <v>2023</v>
      </c>
    </row>
    <row r="4105" spans="1:8" x14ac:dyDescent="0.2">
      <c r="A4105">
        <v>240893</v>
      </c>
      <c r="B4105">
        <v>8967735</v>
      </c>
      <c r="C4105" t="str">
        <f t="shared" si="64"/>
        <v>3. $50K-250K</v>
      </c>
      <c r="D4105" t="s">
        <v>226</v>
      </c>
      <c r="E4105" t="s">
        <v>52</v>
      </c>
      <c r="F4105" t="s">
        <v>43</v>
      </c>
      <c r="G4105" t="s">
        <v>79</v>
      </c>
      <c r="H4105">
        <v>2023</v>
      </c>
    </row>
    <row r="4106" spans="1:8" x14ac:dyDescent="0.2">
      <c r="A4106">
        <v>240949</v>
      </c>
      <c r="B4106">
        <v>296598.09999999998</v>
      </c>
      <c r="C4106" t="str">
        <f t="shared" si="64"/>
        <v>5. $1M+</v>
      </c>
      <c r="D4106" t="s">
        <v>958</v>
      </c>
      <c r="E4106" t="s">
        <v>99</v>
      </c>
      <c r="F4106" t="s">
        <v>670</v>
      </c>
      <c r="G4106" t="s">
        <v>59</v>
      </c>
      <c r="H4106">
        <v>2023</v>
      </c>
    </row>
    <row r="4107" spans="1:8" x14ac:dyDescent="0.2">
      <c r="A4107">
        <v>240990</v>
      </c>
      <c r="B4107">
        <v>631660</v>
      </c>
      <c r="C4107" t="str">
        <f t="shared" si="64"/>
        <v>4. $250K-1M</v>
      </c>
      <c r="D4107" t="s">
        <v>686</v>
      </c>
      <c r="E4107" t="s">
        <v>59</v>
      </c>
      <c r="F4107" t="s">
        <v>670</v>
      </c>
      <c r="G4107" t="s">
        <v>101</v>
      </c>
      <c r="H4107">
        <v>2023</v>
      </c>
    </row>
    <row r="4108" spans="1:8" x14ac:dyDescent="0.2">
      <c r="A4108">
        <v>240998</v>
      </c>
      <c r="B4108">
        <v>118808</v>
      </c>
      <c r="C4108" t="str">
        <f t="shared" si="64"/>
        <v>4. $250K-1M</v>
      </c>
      <c r="D4108" t="s">
        <v>1039</v>
      </c>
      <c r="E4108" t="s">
        <v>237</v>
      </c>
      <c r="F4108" t="s">
        <v>670</v>
      </c>
      <c r="G4108" t="s">
        <v>44</v>
      </c>
      <c r="H4108">
        <v>2023</v>
      </c>
    </row>
    <row r="4109" spans="1:8" x14ac:dyDescent="0.2">
      <c r="A4109">
        <v>240999</v>
      </c>
      <c r="B4109">
        <v>35640</v>
      </c>
      <c r="C4109" t="str">
        <f t="shared" si="64"/>
        <v>3. $50K-250K</v>
      </c>
      <c r="D4109" t="s">
        <v>1040</v>
      </c>
      <c r="E4109" t="s">
        <v>237</v>
      </c>
      <c r="F4109" t="s">
        <v>670</v>
      </c>
      <c r="G4109" t="s">
        <v>44</v>
      </c>
      <c r="H4109">
        <v>2023</v>
      </c>
    </row>
    <row r="4110" spans="1:8" x14ac:dyDescent="0.2">
      <c r="A4110">
        <v>241000</v>
      </c>
      <c r="B4110">
        <v>43560</v>
      </c>
      <c r="C4110" t="str">
        <f t="shared" si="64"/>
        <v>2. $10K-50K</v>
      </c>
      <c r="D4110" t="s">
        <v>784</v>
      </c>
      <c r="E4110" t="s">
        <v>237</v>
      </c>
      <c r="F4110" t="s">
        <v>670</v>
      </c>
      <c r="G4110" t="s">
        <v>44</v>
      </c>
      <c r="H4110">
        <v>2023</v>
      </c>
    </row>
    <row r="4111" spans="1:8" x14ac:dyDescent="0.2">
      <c r="A4111">
        <v>241001</v>
      </c>
      <c r="B4111">
        <v>31680</v>
      </c>
      <c r="C4111" t="str">
        <f t="shared" si="64"/>
        <v>2. $10K-50K</v>
      </c>
      <c r="D4111" t="s">
        <v>1041</v>
      </c>
      <c r="E4111" t="s">
        <v>237</v>
      </c>
      <c r="F4111" t="s">
        <v>670</v>
      </c>
      <c r="G4111" t="s">
        <v>44</v>
      </c>
      <c r="H4111">
        <v>2023</v>
      </c>
    </row>
    <row r="4112" spans="1:8" x14ac:dyDescent="0.2">
      <c r="A4112">
        <v>241002</v>
      </c>
      <c r="B4112">
        <v>21780</v>
      </c>
      <c r="C4112" t="str">
        <f t="shared" si="64"/>
        <v>2. $10K-50K</v>
      </c>
      <c r="D4112" t="s">
        <v>1042</v>
      </c>
      <c r="E4112" t="s">
        <v>237</v>
      </c>
      <c r="F4112" t="s">
        <v>670</v>
      </c>
      <c r="G4112" t="s">
        <v>44</v>
      </c>
      <c r="H4112">
        <v>2023</v>
      </c>
    </row>
    <row r="4113" spans="1:8" x14ac:dyDescent="0.2">
      <c r="A4113">
        <v>241003</v>
      </c>
      <c r="B4113">
        <v>2300000</v>
      </c>
      <c r="C4113" t="str">
        <f t="shared" si="64"/>
        <v>2. $10K-50K</v>
      </c>
      <c r="D4113" t="s">
        <v>863</v>
      </c>
      <c r="E4113" t="s">
        <v>237</v>
      </c>
      <c r="F4113" t="s">
        <v>670</v>
      </c>
      <c r="G4113" t="s">
        <v>44</v>
      </c>
      <c r="H4113">
        <v>2023</v>
      </c>
    </row>
    <row r="4114" spans="1:8" x14ac:dyDescent="0.2">
      <c r="A4114">
        <v>241011</v>
      </c>
      <c r="B4114">
        <v>334639082</v>
      </c>
      <c r="C4114" t="str">
        <f t="shared" si="64"/>
        <v>5. $1M+</v>
      </c>
      <c r="D4114" t="s">
        <v>236</v>
      </c>
      <c r="E4114" t="s">
        <v>237</v>
      </c>
      <c r="F4114" t="s">
        <v>43</v>
      </c>
      <c r="G4114" t="s">
        <v>79</v>
      </c>
      <c r="H4114">
        <v>2023</v>
      </c>
    </row>
    <row r="4115" spans="1:8" x14ac:dyDescent="0.2">
      <c r="A4115">
        <v>241024</v>
      </c>
      <c r="B4115">
        <v>729083</v>
      </c>
      <c r="C4115" t="str">
        <f t="shared" si="64"/>
        <v>5. $1M+</v>
      </c>
      <c r="D4115" t="s">
        <v>686</v>
      </c>
      <c r="E4115" t="s">
        <v>59</v>
      </c>
      <c r="F4115" t="s">
        <v>670</v>
      </c>
      <c r="G4115" t="s">
        <v>101</v>
      </c>
      <c r="H4115">
        <v>2023</v>
      </c>
    </row>
    <row r="4116" spans="1:8" x14ac:dyDescent="0.2">
      <c r="A4116">
        <v>241059</v>
      </c>
      <c r="B4116">
        <v>224307.6</v>
      </c>
      <c r="C4116" t="str">
        <f t="shared" si="64"/>
        <v>4. $250K-1M</v>
      </c>
      <c r="D4116" t="s">
        <v>686</v>
      </c>
      <c r="E4116" t="s">
        <v>42</v>
      </c>
      <c r="F4116" t="s">
        <v>670</v>
      </c>
      <c r="G4116" t="s">
        <v>59</v>
      </c>
      <c r="H4116">
        <v>2023</v>
      </c>
    </row>
    <row r="4117" spans="1:8" x14ac:dyDescent="0.2">
      <c r="A4117">
        <v>241080</v>
      </c>
      <c r="B4117">
        <v>65354.9</v>
      </c>
      <c r="C4117" t="str">
        <f t="shared" si="64"/>
        <v>3. $50K-250K</v>
      </c>
      <c r="D4117" t="s">
        <v>851</v>
      </c>
      <c r="E4117" t="s">
        <v>237</v>
      </c>
      <c r="F4117" t="s">
        <v>670</v>
      </c>
      <c r="G4117" t="s">
        <v>59</v>
      </c>
      <c r="H4117">
        <v>2023</v>
      </c>
    </row>
    <row r="4118" spans="1:8" x14ac:dyDescent="0.2">
      <c r="A4118">
        <v>241081</v>
      </c>
      <c r="B4118">
        <v>66181.7</v>
      </c>
      <c r="C4118" t="str">
        <f t="shared" si="64"/>
        <v>3. $50K-250K</v>
      </c>
      <c r="D4118" t="s">
        <v>883</v>
      </c>
      <c r="E4118" t="s">
        <v>237</v>
      </c>
      <c r="F4118" t="s">
        <v>670</v>
      </c>
      <c r="G4118" t="s">
        <v>59</v>
      </c>
      <c r="H4118">
        <v>2023</v>
      </c>
    </row>
    <row r="4119" spans="1:8" x14ac:dyDescent="0.2">
      <c r="A4119">
        <v>241082</v>
      </c>
      <c r="B4119">
        <v>286207.40000000002</v>
      </c>
      <c r="C4119" t="str">
        <f t="shared" si="64"/>
        <v>3. $50K-250K</v>
      </c>
      <c r="D4119" t="s">
        <v>857</v>
      </c>
      <c r="E4119" t="s">
        <v>237</v>
      </c>
      <c r="F4119" t="s">
        <v>670</v>
      </c>
      <c r="G4119" t="s">
        <v>59</v>
      </c>
      <c r="H4119">
        <v>2023</v>
      </c>
    </row>
    <row r="4120" spans="1:8" x14ac:dyDescent="0.2">
      <c r="A4120">
        <v>241083</v>
      </c>
      <c r="B4120">
        <v>617191</v>
      </c>
      <c r="C4120" t="str">
        <f t="shared" si="64"/>
        <v>4. $250K-1M</v>
      </c>
      <c r="D4120" t="s">
        <v>763</v>
      </c>
      <c r="E4120" t="s">
        <v>237</v>
      </c>
      <c r="F4120" t="s">
        <v>670</v>
      </c>
      <c r="G4120" t="s">
        <v>59</v>
      </c>
      <c r="H4120">
        <v>2023</v>
      </c>
    </row>
    <row r="4121" spans="1:8" x14ac:dyDescent="0.2">
      <c r="A4121">
        <v>241084</v>
      </c>
      <c r="B4121">
        <v>475086.5</v>
      </c>
      <c r="C4121" t="str">
        <f t="shared" si="64"/>
        <v>4. $250K-1M</v>
      </c>
      <c r="D4121" t="s">
        <v>699</v>
      </c>
      <c r="E4121" t="s">
        <v>237</v>
      </c>
      <c r="F4121" t="s">
        <v>670</v>
      </c>
      <c r="G4121" t="s">
        <v>59</v>
      </c>
      <c r="H4121">
        <v>2023</v>
      </c>
    </row>
    <row r="4122" spans="1:8" x14ac:dyDescent="0.2">
      <c r="A4122">
        <v>241085</v>
      </c>
      <c r="B4122">
        <v>162502.1</v>
      </c>
      <c r="C4122" t="str">
        <f t="shared" si="64"/>
        <v>4. $250K-1M</v>
      </c>
      <c r="D4122" t="s">
        <v>759</v>
      </c>
      <c r="E4122" t="s">
        <v>237</v>
      </c>
      <c r="F4122" t="s">
        <v>670</v>
      </c>
      <c r="G4122" t="s">
        <v>59</v>
      </c>
      <c r="H4122">
        <v>2023</v>
      </c>
    </row>
    <row r="4123" spans="1:8" x14ac:dyDescent="0.2">
      <c r="A4123">
        <v>241086</v>
      </c>
      <c r="B4123">
        <v>277200</v>
      </c>
      <c r="C4123" t="str">
        <f t="shared" si="64"/>
        <v>3. $50K-250K</v>
      </c>
      <c r="D4123" t="s">
        <v>760</v>
      </c>
      <c r="E4123" t="s">
        <v>237</v>
      </c>
      <c r="F4123" t="s">
        <v>670</v>
      </c>
      <c r="G4123" t="s">
        <v>59</v>
      </c>
      <c r="H4123">
        <v>2023</v>
      </c>
    </row>
    <row r="4124" spans="1:8" x14ac:dyDescent="0.2">
      <c r="A4124">
        <v>241087</v>
      </c>
      <c r="B4124">
        <v>471923.5</v>
      </c>
      <c r="C4124" t="str">
        <f t="shared" si="64"/>
        <v>4. $250K-1M</v>
      </c>
      <c r="D4124" t="s">
        <v>725</v>
      </c>
      <c r="E4124" t="s">
        <v>237</v>
      </c>
      <c r="F4124" t="s">
        <v>670</v>
      </c>
      <c r="G4124" t="s">
        <v>59</v>
      </c>
      <c r="H4124">
        <v>2023</v>
      </c>
    </row>
    <row r="4125" spans="1:8" x14ac:dyDescent="0.2">
      <c r="A4125">
        <v>241089</v>
      </c>
      <c r="B4125">
        <v>1141371</v>
      </c>
      <c r="C4125" t="str">
        <f t="shared" si="64"/>
        <v>4. $250K-1M</v>
      </c>
      <c r="D4125" t="s">
        <v>705</v>
      </c>
      <c r="E4125" t="s">
        <v>237</v>
      </c>
      <c r="F4125" t="s">
        <v>670</v>
      </c>
      <c r="G4125" t="s">
        <v>59</v>
      </c>
      <c r="H4125">
        <v>2023</v>
      </c>
    </row>
    <row r="4126" spans="1:8" x14ac:dyDescent="0.2">
      <c r="A4126">
        <v>241092</v>
      </c>
      <c r="B4126">
        <v>914760</v>
      </c>
      <c r="C4126" t="str">
        <f t="shared" si="64"/>
        <v>5. $1M+</v>
      </c>
      <c r="D4126" t="s">
        <v>705</v>
      </c>
      <c r="E4126" t="s">
        <v>237</v>
      </c>
      <c r="F4126" t="s">
        <v>670</v>
      </c>
      <c r="G4126" t="s">
        <v>59</v>
      </c>
      <c r="H4126">
        <v>2023</v>
      </c>
    </row>
    <row r="4127" spans="1:8" x14ac:dyDescent="0.2">
      <c r="A4127">
        <v>241093</v>
      </c>
      <c r="B4127">
        <v>685415.8</v>
      </c>
      <c r="C4127" t="str">
        <f t="shared" si="64"/>
        <v>4. $250K-1M</v>
      </c>
      <c r="D4127" t="s">
        <v>712</v>
      </c>
      <c r="E4127" t="s">
        <v>237</v>
      </c>
      <c r="F4127" t="s">
        <v>670</v>
      </c>
      <c r="G4127" t="s">
        <v>59</v>
      </c>
      <c r="H4127">
        <v>2023</v>
      </c>
    </row>
    <row r="4128" spans="1:8" x14ac:dyDescent="0.2">
      <c r="A4128">
        <v>241094</v>
      </c>
      <c r="B4128">
        <v>540730.9</v>
      </c>
      <c r="C4128" t="str">
        <f t="shared" si="64"/>
        <v>4. $250K-1M</v>
      </c>
      <c r="D4128" t="s">
        <v>748</v>
      </c>
      <c r="E4128" t="s">
        <v>237</v>
      </c>
      <c r="F4128" t="s">
        <v>670</v>
      </c>
      <c r="G4128" t="s">
        <v>59</v>
      </c>
      <c r="H4128">
        <v>2023</v>
      </c>
    </row>
    <row r="4129" spans="1:8" x14ac:dyDescent="0.2">
      <c r="A4129">
        <v>241095</v>
      </c>
      <c r="B4129">
        <v>124737.4</v>
      </c>
      <c r="C4129" t="str">
        <f t="shared" si="64"/>
        <v>4. $250K-1M</v>
      </c>
      <c r="D4129" t="s">
        <v>770</v>
      </c>
      <c r="E4129" t="s">
        <v>237</v>
      </c>
      <c r="F4129" t="s">
        <v>670</v>
      </c>
      <c r="G4129" t="s">
        <v>59</v>
      </c>
      <c r="H4129">
        <v>2023</v>
      </c>
    </row>
    <row r="4130" spans="1:8" x14ac:dyDescent="0.2">
      <c r="A4130">
        <v>241096</v>
      </c>
      <c r="B4130">
        <v>142010.70000000001</v>
      </c>
      <c r="C4130" t="str">
        <f t="shared" si="64"/>
        <v>3. $50K-250K</v>
      </c>
      <c r="D4130" t="s">
        <v>770</v>
      </c>
      <c r="E4130" t="s">
        <v>237</v>
      </c>
      <c r="F4130" t="s">
        <v>670</v>
      </c>
      <c r="G4130" t="s">
        <v>59</v>
      </c>
      <c r="H4130">
        <v>2023</v>
      </c>
    </row>
    <row r="4131" spans="1:8" x14ac:dyDescent="0.2">
      <c r="A4131">
        <v>241097</v>
      </c>
      <c r="B4131">
        <v>898570.8</v>
      </c>
      <c r="C4131" t="str">
        <f t="shared" si="64"/>
        <v>3. $50K-250K</v>
      </c>
      <c r="D4131" t="s">
        <v>768</v>
      </c>
      <c r="E4131" t="s">
        <v>237</v>
      </c>
      <c r="F4131" t="s">
        <v>670</v>
      </c>
      <c r="G4131" t="s">
        <v>59</v>
      </c>
      <c r="H4131">
        <v>2023</v>
      </c>
    </row>
    <row r="4132" spans="1:8" x14ac:dyDescent="0.2">
      <c r="A4132">
        <v>241098</v>
      </c>
      <c r="B4132">
        <v>506335.6</v>
      </c>
      <c r="C4132" t="str">
        <f t="shared" si="64"/>
        <v>4. $250K-1M</v>
      </c>
      <c r="D4132" t="s">
        <v>701</v>
      </c>
      <c r="E4132" t="s">
        <v>237</v>
      </c>
      <c r="F4132" t="s">
        <v>670</v>
      </c>
      <c r="G4132" t="s">
        <v>59</v>
      </c>
      <c r="H4132">
        <v>2023</v>
      </c>
    </row>
    <row r="4133" spans="1:8" x14ac:dyDescent="0.2">
      <c r="A4133">
        <v>241099</v>
      </c>
      <c r="B4133">
        <v>233277.4</v>
      </c>
      <c r="C4133" t="str">
        <f t="shared" si="64"/>
        <v>4. $250K-1M</v>
      </c>
      <c r="D4133" t="s">
        <v>703</v>
      </c>
      <c r="E4133" t="s">
        <v>237</v>
      </c>
      <c r="F4133" t="s">
        <v>670</v>
      </c>
      <c r="G4133" t="s">
        <v>59</v>
      </c>
      <c r="H4133">
        <v>2023</v>
      </c>
    </row>
    <row r="4134" spans="1:8" x14ac:dyDescent="0.2">
      <c r="A4134">
        <v>241100</v>
      </c>
      <c r="B4134">
        <v>212058</v>
      </c>
      <c r="C4134" t="str">
        <f t="shared" si="64"/>
        <v>3. $50K-250K</v>
      </c>
      <c r="D4134" t="s">
        <v>757</v>
      </c>
      <c r="E4134" t="s">
        <v>237</v>
      </c>
      <c r="F4134" t="s">
        <v>670</v>
      </c>
      <c r="G4134" t="s">
        <v>59</v>
      </c>
      <c r="H4134">
        <v>2023</v>
      </c>
    </row>
    <row r="4135" spans="1:8" x14ac:dyDescent="0.2">
      <c r="A4135">
        <v>241101</v>
      </c>
      <c r="B4135">
        <v>256033.8</v>
      </c>
      <c r="C4135" t="str">
        <f t="shared" si="64"/>
        <v>3. $50K-250K</v>
      </c>
      <c r="D4135" t="s">
        <v>753</v>
      </c>
      <c r="E4135" t="s">
        <v>237</v>
      </c>
      <c r="F4135" t="s">
        <v>670</v>
      </c>
      <c r="G4135" t="s">
        <v>59</v>
      </c>
      <c r="H4135">
        <v>2023</v>
      </c>
    </row>
    <row r="4136" spans="1:8" x14ac:dyDescent="0.2">
      <c r="A4136">
        <v>241102</v>
      </c>
      <c r="B4136">
        <v>93400.4</v>
      </c>
      <c r="C4136" t="str">
        <f t="shared" si="64"/>
        <v>4. $250K-1M</v>
      </c>
      <c r="D4136" t="s">
        <v>729</v>
      </c>
      <c r="E4136" t="s">
        <v>237</v>
      </c>
      <c r="F4136" t="s">
        <v>670</v>
      </c>
      <c r="G4136" t="s">
        <v>59</v>
      </c>
      <c r="H4136">
        <v>2023</v>
      </c>
    </row>
    <row r="4137" spans="1:8" x14ac:dyDescent="0.2">
      <c r="A4137">
        <v>241103</v>
      </c>
      <c r="B4137">
        <v>183266.5</v>
      </c>
      <c r="C4137" t="str">
        <f t="shared" si="64"/>
        <v>3. $50K-250K</v>
      </c>
      <c r="D4137" t="s">
        <v>706</v>
      </c>
      <c r="E4137" t="s">
        <v>237</v>
      </c>
      <c r="F4137" t="s">
        <v>670</v>
      </c>
      <c r="G4137" t="s">
        <v>59</v>
      </c>
      <c r="H4137">
        <v>2023</v>
      </c>
    </row>
    <row r="4138" spans="1:8" x14ac:dyDescent="0.2">
      <c r="A4138">
        <v>241104</v>
      </c>
      <c r="B4138">
        <v>224511.8</v>
      </c>
      <c r="C4138" t="str">
        <f t="shared" si="64"/>
        <v>3. $50K-250K</v>
      </c>
      <c r="D4138" t="s">
        <v>739</v>
      </c>
      <c r="E4138" t="s">
        <v>237</v>
      </c>
      <c r="F4138" t="s">
        <v>670</v>
      </c>
      <c r="G4138" t="s">
        <v>59</v>
      </c>
      <c r="H4138">
        <v>2023</v>
      </c>
    </row>
    <row r="4139" spans="1:8" x14ac:dyDescent="0.2">
      <c r="A4139">
        <v>241105</v>
      </c>
      <c r="B4139">
        <v>190973.2</v>
      </c>
      <c r="C4139" t="str">
        <f t="shared" si="64"/>
        <v>3. $50K-250K</v>
      </c>
      <c r="D4139" t="s">
        <v>731</v>
      </c>
      <c r="E4139" t="s">
        <v>237</v>
      </c>
      <c r="F4139" t="s">
        <v>670</v>
      </c>
      <c r="G4139" t="s">
        <v>59</v>
      </c>
      <c r="H4139">
        <v>2023</v>
      </c>
    </row>
    <row r="4140" spans="1:8" x14ac:dyDescent="0.2">
      <c r="A4140">
        <v>241199</v>
      </c>
      <c r="B4140">
        <v>54000</v>
      </c>
      <c r="C4140" t="str">
        <f t="shared" si="64"/>
        <v>3. $50K-250K</v>
      </c>
      <c r="D4140" t="s">
        <v>1074</v>
      </c>
      <c r="E4140" t="s">
        <v>237</v>
      </c>
      <c r="F4140" t="s">
        <v>670</v>
      </c>
      <c r="G4140" t="s">
        <v>59</v>
      </c>
      <c r="H4140">
        <v>2023</v>
      </c>
    </row>
    <row r="4141" spans="1:8" x14ac:dyDescent="0.2">
      <c r="A4141">
        <v>241270</v>
      </c>
      <c r="B4141">
        <v>1331865</v>
      </c>
      <c r="C4141" t="str">
        <f t="shared" si="64"/>
        <v>3. $50K-250K</v>
      </c>
      <c r="D4141" t="s">
        <v>763</v>
      </c>
      <c r="E4141" t="s">
        <v>59</v>
      </c>
      <c r="F4141" t="s">
        <v>670</v>
      </c>
      <c r="G4141" t="s">
        <v>101</v>
      </c>
      <c r="H4141">
        <v>2023</v>
      </c>
    </row>
    <row r="4142" spans="1:8" x14ac:dyDescent="0.2">
      <c r="A4142">
        <v>241271</v>
      </c>
      <c r="B4142">
        <v>51513.2</v>
      </c>
      <c r="C4142" t="str">
        <f t="shared" si="64"/>
        <v>5. $1M+</v>
      </c>
      <c r="D4142" t="s">
        <v>363</v>
      </c>
      <c r="E4142" t="s">
        <v>69</v>
      </c>
      <c r="F4142" t="s">
        <v>22</v>
      </c>
      <c r="G4142" t="s">
        <v>10</v>
      </c>
      <c r="H4142">
        <v>2023</v>
      </c>
    </row>
    <row r="4143" spans="1:8" x14ac:dyDescent="0.2">
      <c r="A4143">
        <v>241301</v>
      </c>
      <c r="B4143">
        <v>1680845.5</v>
      </c>
      <c r="C4143" t="str">
        <f t="shared" si="64"/>
        <v>3. $50K-250K</v>
      </c>
      <c r="D4143" t="s">
        <v>364</v>
      </c>
      <c r="E4143" t="s">
        <v>67</v>
      </c>
      <c r="F4143" t="s">
        <v>43</v>
      </c>
      <c r="G4143" t="s">
        <v>44</v>
      </c>
      <c r="H4143">
        <v>2023</v>
      </c>
    </row>
    <row r="4144" spans="1:8" x14ac:dyDescent="0.2">
      <c r="A4144">
        <v>241352</v>
      </c>
      <c r="B4144">
        <v>200000</v>
      </c>
      <c r="C4144" t="str">
        <f t="shared" si="64"/>
        <v>5. $1M+</v>
      </c>
      <c r="D4144" t="s">
        <v>1573</v>
      </c>
      <c r="E4144" t="s">
        <v>480</v>
      </c>
      <c r="F4144" t="s">
        <v>668</v>
      </c>
      <c r="G4144" t="s">
        <v>59</v>
      </c>
      <c r="H4144">
        <v>2023</v>
      </c>
    </row>
    <row r="4145" spans="1:8" x14ac:dyDescent="0.2">
      <c r="A4145">
        <v>241380</v>
      </c>
      <c r="B4145">
        <v>530078.6</v>
      </c>
      <c r="C4145" t="str">
        <f t="shared" si="64"/>
        <v>3. $50K-250K</v>
      </c>
      <c r="D4145" t="s">
        <v>701</v>
      </c>
      <c r="E4145" t="s">
        <v>237</v>
      </c>
      <c r="F4145" t="s">
        <v>670</v>
      </c>
      <c r="G4145" t="s">
        <v>59</v>
      </c>
      <c r="H4145">
        <v>2023</v>
      </c>
    </row>
    <row r="4146" spans="1:8" x14ac:dyDescent="0.2">
      <c r="A4146">
        <v>241381</v>
      </c>
      <c r="B4146">
        <v>633268.9</v>
      </c>
      <c r="C4146" t="str">
        <f t="shared" si="64"/>
        <v>4. $250K-1M</v>
      </c>
      <c r="D4146" t="s">
        <v>731</v>
      </c>
      <c r="E4146" t="s">
        <v>237</v>
      </c>
      <c r="F4146" t="s">
        <v>670</v>
      </c>
      <c r="G4146" t="s">
        <v>59</v>
      </c>
      <c r="H4146">
        <v>2023</v>
      </c>
    </row>
    <row r="4147" spans="1:8" x14ac:dyDescent="0.2">
      <c r="A4147">
        <v>241382</v>
      </c>
      <c r="B4147">
        <v>187006.5</v>
      </c>
      <c r="C4147" t="str">
        <f t="shared" si="64"/>
        <v>4. $250K-1M</v>
      </c>
      <c r="D4147" t="s">
        <v>784</v>
      </c>
      <c r="E4147" t="s">
        <v>237</v>
      </c>
      <c r="F4147" t="s">
        <v>670</v>
      </c>
      <c r="G4147" t="s">
        <v>59</v>
      </c>
      <c r="H4147">
        <v>2023</v>
      </c>
    </row>
    <row r="4148" spans="1:8" x14ac:dyDescent="0.2">
      <c r="A4148">
        <v>241383</v>
      </c>
      <c r="B4148">
        <v>104666</v>
      </c>
      <c r="C4148" t="str">
        <f t="shared" si="64"/>
        <v>3. $50K-250K</v>
      </c>
      <c r="D4148" t="s">
        <v>764</v>
      </c>
      <c r="E4148" t="s">
        <v>237</v>
      </c>
      <c r="F4148" t="s">
        <v>670</v>
      </c>
      <c r="G4148" t="s">
        <v>59</v>
      </c>
      <c r="H4148">
        <v>2023</v>
      </c>
    </row>
    <row r="4149" spans="1:8" x14ac:dyDescent="0.2">
      <c r="A4149">
        <v>241384</v>
      </c>
      <c r="B4149">
        <v>105716.1</v>
      </c>
      <c r="C4149" t="str">
        <f t="shared" si="64"/>
        <v>3. $50K-250K</v>
      </c>
      <c r="D4149" t="s">
        <v>766</v>
      </c>
      <c r="E4149" t="s">
        <v>237</v>
      </c>
      <c r="F4149" t="s">
        <v>670</v>
      </c>
      <c r="G4149" t="s">
        <v>59</v>
      </c>
      <c r="H4149">
        <v>2023</v>
      </c>
    </row>
    <row r="4150" spans="1:8" x14ac:dyDescent="0.2">
      <c r="A4150">
        <v>241388</v>
      </c>
      <c r="B4150">
        <v>203254.2</v>
      </c>
      <c r="C4150" t="str">
        <f t="shared" si="64"/>
        <v>3. $50K-250K</v>
      </c>
      <c r="D4150" t="s">
        <v>766</v>
      </c>
      <c r="E4150" t="s">
        <v>237</v>
      </c>
      <c r="F4150" t="s">
        <v>670</v>
      </c>
      <c r="G4150" t="s">
        <v>59</v>
      </c>
      <c r="H4150">
        <v>2023</v>
      </c>
    </row>
    <row r="4151" spans="1:8" x14ac:dyDescent="0.2">
      <c r="A4151">
        <v>241389</v>
      </c>
      <c r="B4151">
        <v>54205</v>
      </c>
      <c r="C4151" t="str">
        <f t="shared" si="64"/>
        <v>3. $50K-250K</v>
      </c>
      <c r="D4151" t="s">
        <v>711</v>
      </c>
      <c r="E4151" t="s">
        <v>237</v>
      </c>
      <c r="F4151" t="s">
        <v>670</v>
      </c>
      <c r="G4151" t="s">
        <v>59</v>
      </c>
      <c r="H4151">
        <v>2023</v>
      </c>
    </row>
    <row r="4152" spans="1:8" x14ac:dyDescent="0.2">
      <c r="A4152">
        <v>241390</v>
      </c>
      <c r="B4152">
        <v>139762</v>
      </c>
      <c r="C4152" t="str">
        <f t="shared" si="64"/>
        <v>3. $50K-250K</v>
      </c>
      <c r="D4152" t="s">
        <v>671</v>
      </c>
      <c r="E4152" t="s">
        <v>237</v>
      </c>
      <c r="F4152" t="s">
        <v>670</v>
      </c>
      <c r="G4152" t="s">
        <v>59</v>
      </c>
      <c r="H4152">
        <v>2023</v>
      </c>
    </row>
    <row r="4153" spans="1:8" x14ac:dyDescent="0.2">
      <c r="A4153">
        <v>241391</v>
      </c>
      <c r="B4153">
        <v>29064</v>
      </c>
      <c r="C4153" t="str">
        <f t="shared" si="64"/>
        <v>3. $50K-250K</v>
      </c>
      <c r="D4153" t="s">
        <v>807</v>
      </c>
      <c r="E4153" t="s">
        <v>237</v>
      </c>
      <c r="F4153" t="s">
        <v>670</v>
      </c>
      <c r="G4153" t="s">
        <v>59</v>
      </c>
      <c r="H4153">
        <v>2023</v>
      </c>
    </row>
    <row r="4154" spans="1:8" x14ac:dyDescent="0.2">
      <c r="A4154">
        <v>241392</v>
      </c>
      <c r="B4154">
        <v>156800</v>
      </c>
      <c r="C4154" t="str">
        <f t="shared" si="64"/>
        <v>2. $10K-50K</v>
      </c>
      <c r="D4154" t="s">
        <v>860</v>
      </c>
      <c r="E4154" t="s">
        <v>237</v>
      </c>
      <c r="F4154" t="s">
        <v>670</v>
      </c>
      <c r="G4154" t="s">
        <v>59</v>
      </c>
      <c r="H4154">
        <v>2023</v>
      </c>
    </row>
    <row r="4155" spans="1:8" x14ac:dyDescent="0.2">
      <c r="A4155">
        <v>241393</v>
      </c>
      <c r="B4155">
        <v>38483.300000000003</v>
      </c>
      <c r="C4155" t="str">
        <f t="shared" si="64"/>
        <v>3. $50K-250K</v>
      </c>
      <c r="D4155" t="s">
        <v>711</v>
      </c>
      <c r="E4155" t="s">
        <v>237</v>
      </c>
      <c r="F4155" t="s">
        <v>670</v>
      </c>
      <c r="G4155" t="s">
        <v>59</v>
      </c>
      <c r="H4155">
        <v>2023</v>
      </c>
    </row>
    <row r="4156" spans="1:8" x14ac:dyDescent="0.2">
      <c r="A4156">
        <v>241394</v>
      </c>
      <c r="B4156">
        <v>127731</v>
      </c>
      <c r="C4156" t="str">
        <f t="shared" si="64"/>
        <v>2. $10K-50K</v>
      </c>
      <c r="D4156" t="s">
        <v>877</v>
      </c>
      <c r="E4156" t="s">
        <v>237</v>
      </c>
      <c r="F4156" t="s">
        <v>670</v>
      </c>
      <c r="G4156" t="s">
        <v>59</v>
      </c>
      <c r="H4156">
        <v>2023</v>
      </c>
    </row>
    <row r="4157" spans="1:8" x14ac:dyDescent="0.2">
      <c r="A4157">
        <v>241483</v>
      </c>
      <c r="B4157">
        <v>787166.4</v>
      </c>
      <c r="C4157" t="str">
        <f t="shared" si="64"/>
        <v>3. $50K-250K</v>
      </c>
      <c r="D4157" t="s">
        <v>41</v>
      </c>
      <c r="E4157" t="s">
        <v>237</v>
      </c>
      <c r="F4157" t="s">
        <v>670</v>
      </c>
      <c r="G4157" t="s">
        <v>59</v>
      </c>
      <c r="H4157">
        <v>2023</v>
      </c>
    </row>
    <row r="4158" spans="1:8" x14ac:dyDescent="0.2">
      <c r="A4158">
        <v>241484</v>
      </c>
      <c r="B4158">
        <v>681620.6</v>
      </c>
      <c r="C4158" t="str">
        <f t="shared" si="64"/>
        <v>4. $250K-1M</v>
      </c>
      <c r="D4158" t="s">
        <v>41</v>
      </c>
      <c r="E4158" t="s">
        <v>237</v>
      </c>
      <c r="F4158" t="s">
        <v>670</v>
      </c>
      <c r="G4158" t="s">
        <v>59</v>
      </c>
      <c r="H4158">
        <v>2023</v>
      </c>
    </row>
    <row r="4159" spans="1:8" x14ac:dyDescent="0.2">
      <c r="A4159">
        <v>241485</v>
      </c>
      <c r="B4159">
        <v>149196.79999999999</v>
      </c>
      <c r="C4159" t="str">
        <f t="shared" si="64"/>
        <v>4. $250K-1M</v>
      </c>
      <c r="D4159" t="s">
        <v>703</v>
      </c>
      <c r="E4159" t="s">
        <v>237</v>
      </c>
      <c r="F4159" t="s">
        <v>670</v>
      </c>
      <c r="G4159" t="s">
        <v>59</v>
      </c>
      <c r="H4159">
        <v>2023</v>
      </c>
    </row>
    <row r="4160" spans="1:8" x14ac:dyDescent="0.2">
      <c r="A4160">
        <v>241486</v>
      </c>
      <c r="B4160">
        <v>959703.7</v>
      </c>
      <c r="C4160" t="str">
        <f t="shared" si="64"/>
        <v>3. $50K-250K</v>
      </c>
      <c r="D4160" t="s">
        <v>748</v>
      </c>
      <c r="E4160" t="s">
        <v>237</v>
      </c>
      <c r="F4160" t="s">
        <v>670</v>
      </c>
      <c r="G4160" t="s">
        <v>59</v>
      </c>
      <c r="H4160">
        <v>2023</v>
      </c>
    </row>
    <row r="4161" spans="1:8" x14ac:dyDescent="0.2">
      <c r="A4161">
        <v>241487</v>
      </c>
      <c r="B4161">
        <v>212058</v>
      </c>
      <c r="C4161" t="str">
        <f t="shared" si="64"/>
        <v>4. $250K-1M</v>
      </c>
      <c r="D4161" t="s">
        <v>716</v>
      </c>
      <c r="E4161" t="s">
        <v>237</v>
      </c>
      <c r="F4161" t="s">
        <v>670</v>
      </c>
      <c r="G4161" t="s">
        <v>59</v>
      </c>
      <c r="H4161">
        <v>2023</v>
      </c>
    </row>
    <row r="4162" spans="1:8" x14ac:dyDescent="0.2">
      <c r="A4162">
        <v>241488</v>
      </c>
      <c r="B4162">
        <v>106029</v>
      </c>
      <c r="C4162" t="str">
        <f t="shared" si="64"/>
        <v>3. $50K-250K</v>
      </c>
      <c r="D4162" t="s">
        <v>738</v>
      </c>
      <c r="E4162" t="s">
        <v>237</v>
      </c>
      <c r="F4162" t="s">
        <v>670</v>
      </c>
      <c r="G4162" t="s">
        <v>59</v>
      </c>
      <c r="H4162">
        <v>2023</v>
      </c>
    </row>
    <row r="4163" spans="1:8" x14ac:dyDescent="0.2">
      <c r="A4163">
        <v>241489</v>
      </c>
      <c r="B4163">
        <v>208230.9</v>
      </c>
      <c r="C4163" t="str">
        <f t="shared" ref="C4163:C4226" si="65">IF(B4162&lt;10000,"1. Under $10K",IF(B4162&lt;50000,"2. $10K-50K",IF(B4162&lt;250000,"3. $50K-250K",IF(B4162&lt;1000000,"4. $250K-1M","5. $1M+"))))</f>
        <v>3. $50K-250K</v>
      </c>
      <c r="D4163" t="s">
        <v>761</v>
      </c>
      <c r="E4163" t="s">
        <v>237</v>
      </c>
      <c r="F4163" t="s">
        <v>670</v>
      </c>
      <c r="G4163" t="s">
        <v>59</v>
      </c>
      <c r="H4163">
        <v>2023</v>
      </c>
    </row>
    <row r="4164" spans="1:8" x14ac:dyDescent="0.2">
      <c r="A4164">
        <v>241561</v>
      </c>
      <c r="B4164">
        <v>2147721</v>
      </c>
      <c r="C4164" t="str">
        <f t="shared" si="65"/>
        <v>3. $50K-250K</v>
      </c>
      <c r="D4164" t="s">
        <v>799</v>
      </c>
      <c r="E4164" t="s">
        <v>237</v>
      </c>
      <c r="F4164" t="s">
        <v>670</v>
      </c>
      <c r="G4164" t="s">
        <v>44</v>
      </c>
      <c r="H4164">
        <v>2023</v>
      </c>
    </row>
    <row r="4165" spans="1:8" x14ac:dyDescent="0.2">
      <c r="A4165">
        <v>241562</v>
      </c>
      <c r="B4165">
        <v>2878773</v>
      </c>
      <c r="C4165" t="str">
        <f t="shared" si="65"/>
        <v>5. $1M+</v>
      </c>
      <c r="D4165" t="s">
        <v>917</v>
      </c>
      <c r="E4165" t="s">
        <v>237</v>
      </c>
      <c r="F4165" t="s">
        <v>670</v>
      </c>
      <c r="G4165" t="s">
        <v>44</v>
      </c>
      <c r="H4165">
        <v>2023</v>
      </c>
    </row>
    <row r="4166" spans="1:8" x14ac:dyDescent="0.2">
      <c r="A4166">
        <v>241572</v>
      </c>
      <c r="B4166">
        <v>5791477.2999999998</v>
      </c>
      <c r="C4166" t="str">
        <f t="shared" si="65"/>
        <v>5. $1M+</v>
      </c>
      <c r="D4166" t="s">
        <v>365</v>
      </c>
      <c r="E4166" t="s">
        <v>24</v>
      </c>
      <c r="F4166" t="s">
        <v>22</v>
      </c>
      <c r="G4166" t="s">
        <v>10</v>
      </c>
      <c r="H4166">
        <v>2024</v>
      </c>
    </row>
    <row r="4167" spans="1:8" x14ac:dyDescent="0.2">
      <c r="A4167">
        <v>241580</v>
      </c>
      <c r="B4167">
        <v>1620128</v>
      </c>
      <c r="C4167" t="str">
        <f t="shared" si="65"/>
        <v>5. $1M+</v>
      </c>
      <c r="D4167" t="s">
        <v>763</v>
      </c>
      <c r="E4167" t="s">
        <v>59</v>
      </c>
      <c r="F4167" t="s">
        <v>670</v>
      </c>
      <c r="G4167" t="s">
        <v>101</v>
      </c>
      <c r="H4167">
        <v>2023</v>
      </c>
    </row>
    <row r="4168" spans="1:8" x14ac:dyDescent="0.2">
      <c r="A4168">
        <v>241582</v>
      </c>
      <c r="B4168">
        <v>170124.5</v>
      </c>
      <c r="C4168" t="str">
        <f t="shared" si="65"/>
        <v>5. $1M+</v>
      </c>
      <c r="D4168" t="s">
        <v>895</v>
      </c>
      <c r="E4168" t="s">
        <v>42</v>
      </c>
      <c r="F4168" t="s">
        <v>670</v>
      </c>
      <c r="G4168" t="s">
        <v>59</v>
      </c>
      <c r="H4168">
        <v>2023</v>
      </c>
    </row>
    <row r="4169" spans="1:8" x14ac:dyDescent="0.2">
      <c r="A4169">
        <v>241583</v>
      </c>
      <c r="B4169">
        <v>988228.7</v>
      </c>
      <c r="C4169" t="str">
        <f t="shared" si="65"/>
        <v>3. $50K-250K</v>
      </c>
      <c r="D4169" t="s">
        <v>695</v>
      </c>
      <c r="E4169" t="s">
        <v>237</v>
      </c>
      <c r="F4169" t="s">
        <v>670</v>
      </c>
      <c r="G4169" t="s">
        <v>59</v>
      </c>
      <c r="H4169">
        <v>2023</v>
      </c>
    </row>
    <row r="4170" spans="1:8" x14ac:dyDescent="0.2">
      <c r="A4170">
        <v>241584</v>
      </c>
      <c r="B4170">
        <v>500311.6</v>
      </c>
      <c r="C4170" t="str">
        <f t="shared" si="65"/>
        <v>4. $250K-1M</v>
      </c>
      <c r="D4170" t="s">
        <v>697</v>
      </c>
      <c r="E4170" t="s">
        <v>237</v>
      </c>
      <c r="F4170" t="s">
        <v>670</v>
      </c>
      <c r="G4170" t="s">
        <v>59</v>
      </c>
      <c r="H4170">
        <v>2023</v>
      </c>
    </row>
    <row r="4171" spans="1:8" x14ac:dyDescent="0.2">
      <c r="A4171">
        <v>241585</v>
      </c>
      <c r="B4171">
        <v>112265.7</v>
      </c>
      <c r="C4171" t="str">
        <f t="shared" si="65"/>
        <v>4. $250K-1M</v>
      </c>
      <c r="D4171" t="s">
        <v>733</v>
      </c>
      <c r="E4171" t="s">
        <v>237</v>
      </c>
      <c r="F4171" t="s">
        <v>670</v>
      </c>
      <c r="G4171" t="s">
        <v>59</v>
      </c>
      <c r="H4171">
        <v>2023</v>
      </c>
    </row>
    <row r="4172" spans="1:8" x14ac:dyDescent="0.2">
      <c r="A4172">
        <v>241586</v>
      </c>
      <c r="B4172">
        <v>450525</v>
      </c>
      <c r="C4172" t="str">
        <f t="shared" si="65"/>
        <v>3. $50K-250K</v>
      </c>
      <c r="D4172" t="s">
        <v>693</v>
      </c>
      <c r="E4172" t="s">
        <v>237</v>
      </c>
      <c r="F4172" t="s">
        <v>670</v>
      </c>
      <c r="G4172" t="s">
        <v>59</v>
      </c>
      <c r="H4172">
        <v>2023</v>
      </c>
    </row>
    <row r="4173" spans="1:8" x14ac:dyDescent="0.2">
      <c r="A4173">
        <v>241587</v>
      </c>
      <c r="B4173">
        <v>288963.40000000002</v>
      </c>
      <c r="C4173" t="str">
        <f t="shared" si="65"/>
        <v>4. $250K-1M</v>
      </c>
      <c r="D4173" t="s">
        <v>693</v>
      </c>
      <c r="E4173" t="s">
        <v>237</v>
      </c>
      <c r="F4173" t="s">
        <v>670</v>
      </c>
      <c r="G4173" t="s">
        <v>59</v>
      </c>
      <c r="H4173">
        <v>2023</v>
      </c>
    </row>
    <row r="4174" spans="1:8" x14ac:dyDescent="0.2">
      <c r="A4174">
        <v>241588</v>
      </c>
      <c r="B4174">
        <v>95296.7</v>
      </c>
      <c r="C4174" t="str">
        <f t="shared" si="65"/>
        <v>4. $250K-1M</v>
      </c>
      <c r="D4174" t="s">
        <v>718</v>
      </c>
      <c r="E4174" t="s">
        <v>237</v>
      </c>
      <c r="F4174" t="s">
        <v>670</v>
      </c>
      <c r="G4174" t="s">
        <v>59</v>
      </c>
      <c r="H4174">
        <v>2023</v>
      </c>
    </row>
    <row r="4175" spans="1:8" x14ac:dyDescent="0.2">
      <c r="A4175">
        <v>241589</v>
      </c>
      <c r="B4175">
        <v>553659.1</v>
      </c>
      <c r="C4175" t="str">
        <f t="shared" si="65"/>
        <v>3. $50K-250K</v>
      </c>
      <c r="D4175" t="s">
        <v>734</v>
      </c>
      <c r="E4175" t="s">
        <v>237</v>
      </c>
      <c r="F4175" t="s">
        <v>670</v>
      </c>
      <c r="G4175" t="s">
        <v>59</v>
      </c>
      <c r="H4175">
        <v>2023</v>
      </c>
    </row>
    <row r="4176" spans="1:8" x14ac:dyDescent="0.2">
      <c r="A4176">
        <v>241590</v>
      </c>
      <c r="B4176">
        <v>205735.4</v>
      </c>
      <c r="C4176" t="str">
        <f t="shared" si="65"/>
        <v>4. $250K-1M</v>
      </c>
      <c r="D4176" t="s">
        <v>734</v>
      </c>
      <c r="E4176" t="s">
        <v>237</v>
      </c>
      <c r="F4176" t="s">
        <v>670</v>
      </c>
      <c r="G4176" t="s">
        <v>59</v>
      </c>
      <c r="H4176">
        <v>2023</v>
      </c>
    </row>
    <row r="4177" spans="1:8" x14ac:dyDescent="0.2">
      <c r="A4177">
        <v>241591</v>
      </c>
      <c r="B4177">
        <v>676950.9</v>
      </c>
      <c r="C4177" t="str">
        <f t="shared" si="65"/>
        <v>3. $50K-250K</v>
      </c>
      <c r="D4177" t="s">
        <v>758</v>
      </c>
      <c r="E4177" t="s">
        <v>237</v>
      </c>
      <c r="F4177" t="s">
        <v>670</v>
      </c>
      <c r="G4177" t="s">
        <v>59</v>
      </c>
      <c r="H4177">
        <v>2023</v>
      </c>
    </row>
    <row r="4178" spans="1:8" x14ac:dyDescent="0.2">
      <c r="A4178">
        <v>241646</v>
      </c>
      <c r="B4178">
        <v>2500</v>
      </c>
      <c r="C4178" t="str">
        <f t="shared" si="65"/>
        <v>4. $250K-1M</v>
      </c>
      <c r="D4178" t="s">
        <v>1723</v>
      </c>
      <c r="E4178" t="s">
        <v>112</v>
      </c>
      <c r="F4178" t="s">
        <v>668</v>
      </c>
      <c r="G4178" t="s">
        <v>59</v>
      </c>
      <c r="H4178">
        <v>2023</v>
      </c>
    </row>
    <row r="4179" spans="1:8" x14ac:dyDescent="0.2">
      <c r="A4179">
        <v>241647</v>
      </c>
      <c r="B4179">
        <v>18000</v>
      </c>
      <c r="C4179" t="str">
        <f t="shared" si="65"/>
        <v>1. Under $10K</v>
      </c>
      <c r="D4179" t="s">
        <v>1724</v>
      </c>
      <c r="E4179" t="s">
        <v>112</v>
      </c>
      <c r="F4179" t="s">
        <v>668</v>
      </c>
      <c r="G4179" t="s">
        <v>59</v>
      </c>
      <c r="H4179">
        <v>2023</v>
      </c>
    </row>
    <row r="4180" spans="1:8" x14ac:dyDescent="0.2">
      <c r="A4180">
        <v>241648</v>
      </c>
      <c r="B4180">
        <v>17722.8</v>
      </c>
      <c r="C4180" t="str">
        <f t="shared" si="65"/>
        <v>2. $10K-50K</v>
      </c>
      <c r="D4180" t="s">
        <v>1500</v>
      </c>
      <c r="E4180" t="s">
        <v>28</v>
      </c>
      <c r="F4180" t="s">
        <v>668</v>
      </c>
      <c r="G4180" t="s">
        <v>59</v>
      </c>
      <c r="H4180">
        <v>2023</v>
      </c>
    </row>
    <row r="4181" spans="1:8" x14ac:dyDescent="0.2">
      <c r="A4181">
        <v>241649</v>
      </c>
      <c r="B4181">
        <v>219294</v>
      </c>
      <c r="C4181" t="str">
        <f t="shared" si="65"/>
        <v>2. $10K-50K</v>
      </c>
      <c r="D4181" t="s">
        <v>1500</v>
      </c>
      <c r="E4181" t="s">
        <v>28</v>
      </c>
      <c r="F4181" t="s">
        <v>668</v>
      </c>
      <c r="G4181" t="s">
        <v>59</v>
      </c>
      <c r="H4181">
        <v>2023</v>
      </c>
    </row>
    <row r="4182" spans="1:8" x14ac:dyDescent="0.2">
      <c r="A4182">
        <v>241650</v>
      </c>
      <c r="B4182">
        <v>25642177</v>
      </c>
      <c r="C4182" t="str">
        <f t="shared" si="65"/>
        <v>3. $50K-250K</v>
      </c>
      <c r="D4182" t="s">
        <v>1725</v>
      </c>
      <c r="E4182" t="s">
        <v>28</v>
      </c>
      <c r="F4182" t="s">
        <v>668</v>
      </c>
      <c r="G4182" t="s">
        <v>59</v>
      </c>
      <c r="H4182">
        <v>2023</v>
      </c>
    </row>
    <row r="4183" spans="1:8" x14ac:dyDescent="0.2">
      <c r="A4183">
        <v>241656</v>
      </c>
      <c r="B4183">
        <v>35000</v>
      </c>
      <c r="C4183" t="str">
        <f t="shared" si="65"/>
        <v>5. $1M+</v>
      </c>
      <c r="D4183" t="s">
        <v>1140</v>
      </c>
      <c r="E4183" t="s">
        <v>112</v>
      </c>
      <c r="F4183" t="s">
        <v>668</v>
      </c>
      <c r="G4183" t="s">
        <v>59</v>
      </c>
      <c r="H4183">
        <v>2023</v>
      </c>
    </row>
    <row r="4184" spans="1:8" x14ac:dyDescent="0.2">
      <c r="A4184">
        <v>241657</v>
      </c>
      <c r="B4184">
        <v>16000</v>
      </c>
      <c r="C4184" t="str">
        <f t="shared" si="65"/>
        <v>2. $10K-50K</v>
      </c>
      <c r="D4184" t="s">
        <v>1726</v>
      </c>
      <c r="E4184" t="s">
        <v>112</v>
      </c>
      <c r="F4184" t="s">
        <v>668</v>
      </c>
      <c r="G4184" t="s">
        <v>59</v>
      </c>
      <c r="H4184">
        <v>2023</v>
      </c>
    </row>
    <row r="4185" spans="1:8" x14ac:dyDescent="0.2">
      <c r="A4185">
        <v>241658</v>
      </c>
      <c r="B4185">
        <v>50000</v>
      </c>
      <c r="C4185" t="str">
        <f t="shared" si="65"/>
        <v>2. $10K-50K</v>
      </c>
      <c r="D4185" t="s">
        <v>1727</v>
      </c>
      <c r="E4185" t="s">
        <v>112</v>
      </c>
      <c r="F4185" t="s">
        <v>668</v>
      </c>
      <c r="G4185" t="s">
        <v>59</v>
      </c>
      <c r="H4185">
        <v>2023</v>
      </c>
    </row>
    <row r="4186" spans="1:8" x14ac:dyDescent="0.2">
      <c r="A4186">
        <v>241659</v>
      </c>
      <c r="B4186">
        <v>100000</v>
      </c>
      <c r="C4186" t="str">
        <f t="shared" si="65"/>
        <v>3. $50K-250K</v>
      </c>
      <c r="D4186" t="s">
        <v>1199</v>
      </c>
      <c r="E4186" t="s">
        <v>112</v>
      </c>
      <c r="F4186" t="s">
        <v>668</v>
      </c>
      <c r="G4186" t="s">
        <v>59</v>
      </c>
      <c r="H4186">
        <v>2023</v>
      </c>
    </row>
    <row r="4187" spans="1:8" x14ac:dyDescent="0.2">
      <c r="A4187">
        <v>241662</v>
      </c>
      <c r="B4187">
        <v>60000</v>
      </c>
      <c r="C4187" t="str">
        <f t="shared" si="65"/>
        <v>3. $50K-250K</v>
      </c>
      <c r="D4187" t="s">
        <v>958</v>
      </c>
      <c r="E4187" t="s">
        <v>112</v>
      </c>
      <c r="F4187" t="s">
        <v>668</v>
      </c>
      <c r="G4187" t="s">
        <v>59</v>
      </c>
      <c r="H4187">
        <v>2023</v>
      </c>
    </row>
    <row r="4188" spans="1:8" x14ac:dyDescent="0.2">
      <c r="A4188">
        <v>241663</v>
      </c>
      <c r="B4188">
        <v>2500</v>
      </c>
      <c r="C4188" t="str">
        <f t="shared" si="65"/>
        <v>3. $50K-250K</v>
      </c>
      <c r="D4188" t="s">
        <v>1728</v>
      </c>
      <c r="E4188" t="s">
        <v>112</v>
      </c>
      <c r="F4188" t="s">
        <v>668</v>
      </c>
      <c r="G4188" t="s">
        <v>59</v>
      </c>
      <c r="H4188">
        <v>2023</v>
      </c>
    </row>
    <row r="4189" spans="1:8" x14ac:dyDescent="0.2">
      <c r="A4189">
        <v>241664</v>
      </c>
      <c r="B4189">
        <v>292500</v>
      </c>
      <c r="C4189" t="str">
        <f t="shared" si="65"/>
        <v>1. Under $10K</v>
      </c>
      <c r="D4189" t="s">
        <v>1729</v>
      </c>
      <c r="E4189" t="s">
        <v>112</v>
      </c>
      <c r="F4189" t="s">
        <v>668</v>
      </c>
      <c r="G4189" t="s">
        <v>59</v>
      </c>
      <c r="H4189">
        <v>2023</v>
      </c>
    </row>
    <row r="4190" spans="1:8" x14ac:dyDescent="0.2">
      <c r="A4190">
        <v>241672</v>
      </c>
      <c r="B4190">
        <v>2755920</v>
      </c>
      <c r="C4190" t="str">
        <f t="shared" si="65"/>
        <v>4. $250K-1M</v>
      </c>
      <c r="D4190" t="s">
        <v>366</v>
      </c>
      <c r="E4190" t="s">
        <v>37</v>
      </c>
      <c r="F4190" t="s">
        <v>12</v>
      </c>
      <c r="G4190" t="s">
        <v>10</v>
      </c>
      <c r="H4190">
        <v>2023</v>
      </c>
    </row>
    <row r="4191" spans="1:8" x14ac:dyDescent="0.2">
      <c r="A4191">
        <v>241682</v>
      </c>
      <c r="B4191">
        <v>96000.3</v>
      </c>
      <c r="C4191" t="str">
        <f t="shared" si="65"/>
        <v>5. $1M+</v>
      </c>
      <c r="D4191" t="s">
        <v>1084</v>
      </c>
      <c r="E4191" t="s">
        <v>237</v>
      </c>
      <c r="F4191" t="s">
        <v>670</v>
      </c>
      <c r="G4191" t="s">
        <v>59</v>
      </c>
      <c r="H4191">
        <v>2023</v>
      </c>
    </row>
    <row r="4192" spans="1:8" x14ac:dyDescent="0.2">
      <c r="A4192">
        <v>241683</v>
      </c>
      <c r="B4192">
        <v>95166.399999999994</v>
      </c>
      <c r="C4192" t="str">
        <f t="shared" si="65"/>
        <v>3. $50K-250K</v>
      </c>
      <c r="D4192" t="s">
        <v>977</v>
      </c>
      <c r="E4192" t="s">
        <v>237</v>
      </c>
      <c r="F4192" t="s">
        <v>670</v>
      </c>
      <c r="G4192" t="s">
        <v>59</v>
      </c>
      <c r="H4192">
        <v>2023</v>
      </c>
    </row>
    <row r="4193" spans="1:8" x14ac:dyDescent="0.2">
      <c r="A4193">
        <v>241812</v>
      </c>
      <c r="B4193">
        <v>242332</v>
      </c>
      <c r="C4193" t="str">
        <f t="shared" si="65"/>
        <v>3. $50K-250K</v>
      </c>
      <c r="D4193" t="s">
        <v>688</v>
      </c>
      <c r="E4193" t="s">
        <v>59</v>
      </c>
      <c r="F4193" t="s">
        <v>670</v>
      </c>
      <c r="G4193" t="s">
        <v>101</v>
      </c>
      <c r="H4193">
        <v>2023</v>
      </c>
    </row>
    <row r="4194" spans="1:8" x14ac:dyDescent="0.2">
      <c r="A4194">
        <v>241813</v>
      </c>
      <c r="B4194">
        <v>1436242</v>
      </c>
      <c r="C4194" t="str">
        <f t="shared" si="65"/>
        <v>3. $50K-250K</v>
      </c>
      <c r="D4194" t="s">
        <v>1021</v>
      </c>
      <c r="E4194" t="s">
        <v>59</v>
      </c>
      <c r="F4194" t="s">
        <v>670</v>
      </c>
      <c r="G4194" t="s">
        <v>101</v>
      </c>
      <c r="H4194">
        <v>2023</v>
      </c>
    </row>
    <row r="4195" spans="1:8" x14ac:dyDescent="0.2">
      <c r="A4195">
        <v>241817</v>
      </c>
      <c r="B4195">
        <v>430372</v>
      </c>
      <c r="C4195" t="str">
        <f t="shared" si="65"/>
        <v>5. $1M+</v>
      </c>
      <c r="D4195" t="s">
        <v>684</v>
      </c>
      <c r="E4195" t="s">
        <v>59</v>
      </c>
      <c r="F4195" t="s">
        <v>670</v>
      </c>
      <c r="G4195" t="s">
        <v>101</v>
      </c>
      <c r="H4195">
        <v>2023</v>
      </c>
    </row>
    <row r="4196" spans="1:8" x14ac:dyDescent="0.2">
      <c r="A4196">
        <v>241818</v>
      </c>
      <c r="B4196">
        <v>416628</v>
      </c>
      <c r="C4196" t="str">
        <f t="shared" si="65"/>
        <v>4. $250K-1M</v>
      </c>
      <c r="D4196" t="s">
        <v>1002</v>
      </c>
      <c r="E4196" t="s">
        <v>59</v>
      </c>
      <c r="F4196" t="s">
        <v>670</v>
      </c>
      <c r="G4196" t="s">
        <v>101</v>
      </c>
      <c r="H4196">
        <v>2023</v>
      </c>
    </row>
    <row r="4197" spans="1:8" x14ac:dyDescent="0.2">
      <c r="A4197">
        <v>241819</v>
      </c>
      <c r="B4197">
        <v>984365</v>
      </c>
      <c r="C4197" t="str">
        <f t="shared" si="65"/>
        <v>4. $250K-1M</v>
      </c>
      <c r="D4197" t="s">
        <v>1730</v>
      </c>
      <c r="E4197" t="s">
        <v>59</v>
      </c>
      <c r="F4197" t="s">
        <v>670</v>
      </c>
      <c r="G4197" t="s">
        <v>101</v>
      </c>
      <c r="H4197">
        <v>2023</v>
      </c>
    </row>
    <row r="4198" spans="1:8" x14ac:dyDescent="0.2">
      <c r="A4198">
        <v>241821</v>
      </c>
      <c r="B4198">
        <v>935443</v>
      </c>
      <c r="C4198" t="str">
        <f t="shared" si="65"/>
        <v>4. $250K-1M</v>
      </c>
      <c r="D4198" t="s">
        <v>864</v>
      </c>
      <c r="E4198" t="s">
        <v>59</v>
      </c>
      <c r="F4198" t="s">
        <v>670</v>
      </c>
      <c r="G4198" t="s">
        <v>101</v>
      </c>
      <c r="H4198">
        <v>2023</v>
      </c>
    </row>
    <row r="4199" spans="1:8" x14ac:dyDescent="0.2">
      <c r="A4199">
        <v>241822</v>
      </c>
      <c r="B4199">
        <v>200000</v>
      </c>
      <c r="C4199" t="str">
        <f t="shared" si="65"/>
        <v>4. $250K-1M</v>
      </c>
      <c r="D4199" t="s">
        <v>968</v>
      </c>
      <c r="E4199" t="s">
        <v>59</v>
      </c>
      <c r="F4199" t="s">
        <v>670</v>
      </c>
      <c r="G4199" t="s">
        <v>101</v>
      </c>
      <c r="H4199">
        <v>2023</v>
      </c>
    </row>
    <row r="4200" spans="1:8" x14ac:dyDescent="0.2">
      <c r="A4200">
        <v>241823</v>
      </c>
      <c r="B4200">
        <v>116412</v>
      </c>
      <c r="C4200" t="str">
        <f t="shared" si="65"/>
        <v>3. $50K-250K</v>
      </c>
      <c r="D4200" t="s">
        <v>683</v>
      </c>
      <c r="E4200" t="s">
        <v>59</v>
      </c>
      <c r="F4200" t="s">
        <v>670</v>
      </c>
      <c r="G4200" t="s">
        <v>101</v>
      </c>
      <c r="H4200">
        <v>2023</v>
      </c>
    </row>
    <row r="4201" spans="1:8" x14ac:dyDescent="0.2">
      <c r="A4201">
        <v>241825</v>
      </c>
      <c r="B4201">
        <v>711657</v>
      </c>
      <c r="C4201" t="str">
        <f t="shared" si="65"/>
        <v>3. $50K-250K</v>
      </c>
      <c r="D4201" t="s">
        <v>1090</v>
      </c>
      <c r="E4201" t="s">
        <v>59</v>
      </c>
      <c r="F4201" t="s">
        <v>670</v>
      </c>
      <c r="G4201" t="s">
        <v>101</v>
      </c>
      <c r="H4201">
        <v>2023</v>
      </c>
    </row>
    <row r="4202" spans="1:8" x14ac:dyDescent="0.2">
      <c r="A4202">
        <v>241826</v>
      </c>
      <c r="B4202">
        <v>974643</v>
      </c>
      <c r="C4202" t="str">
        <f t="shared" si="65"/>
        <v>4. $250K-1M</v>
      </c>
      <c r="D4202" t="s">
        <v>1000</v>
      </c>
      <c r="E4202" t="s">
        <v>59</v>
      </c>
      <c r="F4202" t="s">
        <v>670</v>
      </c>
      <c r="G4202" t="s">
        <v>101</v>
      </c>
      <c r="H4202">
        <v>2023</v>
      </c>
    </row>
    <row r="4203" spans="1:8" x14ac:dyDescent="0.2">
      <c r="A4203">
        <v>241827</v>
      </c>
      <c r="B4203">
        <v>354446</v>
      </c>
      <c r="C4203" t="str">
        <f t="shared" si="65"/>
        <v>4. $250K-1M</v>
      </c>
      <c r="D4203" t="s">
        <v>1352</v>
      </c>
      <c r="E4203" t="s">
        <v>59</v>
      </c>
      <c r="F4203" t="s">
        <v>670</v>
      </c>
      <c r="G4203" t="s">
        <v>101</v>
      </c>
      <c r="H4203">
        <v>2023</v>
      </c>
    </row>
    <row r="4204" spans="1:8" x14ac:dyDescent="0.2">
      <c r="A4204">
        <v>241830</v>
      </c>
      <c r="B4204">
        <v>1124749</v>
      </c>
      <c r="C4204" t="str">
        <f t="shared" si="65"/>
        <v>4. $250K-1M</v>
      </c>
      <c r="D4204" t="s">
        <v>682</v>
      </c>
      <c r="E4204" t="s">
        <v>59</v>
      </c>
      <c r="F4204" t="s">
        <v>670</v>
      </c>
      <c r="G4204" t="s">
        <v>101</v>
      </c>
      <c r="H4204">
        <v>2023</v>
      </c>
    </row>
    <row r="4205" spans="1:8" x14ac:dyDescent="0.2">
      <c r="A4205">
        <v>241831</v>
      </c>
      <c r="B4205">
        <v>990550</v>
      </c>
      <c r="C4205" t="str">
        <f t="shared" si="65"/>
        <v>5. $1M+</v>
      </c>
      <c r="D4205" t="s">
        <v>682</v>
      </c>
      <c r="E4205" t="s">
        <v>59</v>
      </c>
      <c r="F4205" t="s">
        <v>670</v>
      </c>
      <c r="G4205" t="s">
        <v>101</v>
      </c>
      <c r="H4205">
        <v>2023</v>
      </c>
    </row>
    <row r="4206" spans="1:8" x14ac:dyDescent="0.2">
      <c r="A4206">
        <v>241833</v>
      </c>
      <c r="B4206">
        <v>964249</v>
      </c>
      <c r="C4206" t="str">
        <f t="shared" si="65"/>
        <v>4. $250K-1M</v>
      </c>
      <c r="D4206" t="s">
        <v>999</v>
      </c>
      <c r="E4206" t="s">
        <v>59</v>
      </c>
      <c r="F4206" t="s">
        <v>670</v>
      </c>
      <c r="G4206" t="s">
        <v>101</v>
      </c>
      <c r="H4206">
        <v>2023</v>
      </c>
    </row>
    <row r="4207" spans="1:8" x14ac:dyDescent="0.2">
      <c r="A4207">
        <v>241834</v>
      </c>
      <c r="B4207">
        <v>1053818</v>
      </c>
      <c r="C4207" t="str">
        <f t="shared" si="65"/>
        <v>4. $250K-1M</v>
      </c>
      <c r="D4207" t="s">
        <v>791</v>
      </c>
      <c r="E4207" t="s">
        <v>59</v>
      </c>
      <c r="F4207" t="s">
        <v>670</v>
      </c>
      <c r="G4207" t="s">
        <v>101</v>
      </c>
      <c r="H4207">
        <v>2023</v>
      </c>
    </row>
    <row r="4208" spans="1:8" x14ac:dyDescent="0.2">
      <c r="A4208">
        <v>241836</v>
      </c>
      <c r="B4208">
        <v>650000</v>
      </c>
      <c r="C4208" t="str">
        <f t="shared" si="65"/>
        <v>5. $1M+</v>
      </c>
      <c r="D4208" t="s">
        <v>1731</v>
      </c>
      <c r="E4208" t="s">
        <v>59</v>
      </c>
      <c r="F4208" t="s">
        <v>670</v>
      </c>
      <c r="G4208" t="s">
        <v>101</v>
      </c>
      <c r="H4208">
        <v>2023</v>
      </c>
    </row>
    <row r="4209" spans="1:8" x14ac:dyDescent="0.2">
      <c r="A4209">
        <v>241838</v>
      </c>
      <c r="B4209">
        <v>397668</v>
      </c>
      <c r="C4209" t="str">
        <f t="shared" si="65"/>
        <v>4. $250K-1M</v>
      </c>
      <c r="D4209" t="s">
        <v>808</v>
      </c>
      <c r="E4209" t="s">
        <v>59</v>
      </c>
      <c r="F4209" t="s">
        <v>670</v>
      </c>
      <c r="G4209" t="s">
        <v>101</v>
      </c>
      <c r="H4209">
        <v>2023</v>
      </c>
    </row>
    <row r="4210" spans="1:8" x14ac:dyDescent="0.2">
      <c r="A4210">
        <v>241839</v>
      </c>
      <c r="B4210">
        <v>246216</v>
      </c>
      <c r="C4210" t="str">
        <f t="shared" si="65"/>
        <v>4. $250K-1M</v>
      </c>
      <c r="D4210" t="s">
        <v>1009</v>
      </c>
      <c r="E4210" t="s">
        <v>59</v>
      </c>
      <c r="F4210" t="s">
        <v>670</v>
      </c>
      <c r="G4210" t="s">
        <v>101</v>
      </c>
      <c r="H4210">
        <v>2023</v>
      </c>
    </row>
    <row r="4211" spans="1:8" x14ac:dyDescent="0.2">
      <c r="A4211">
        <v>241840</v>
      </c>
      <c r="B4211">
        <v>1031538</v>
      </c>
      <c r="C4211" t="str">
        <f t="shared" si="65"/>
        <v>3. $50K-250K</v>
      </c>
      <c r="D4211" t="s">
        <v>792</v>
      </c>
      <c r="E4211" t="s">
        <v>59</v>
      </c>
      <c r="F4211" t="s">
        <v>670</v>
      </c>
      <c r="G4211" t="s">
        <v>101</v>
      </c>
      <c r="H4211">
        <v>2023</v>
      </c>
    </row>
    <row r="4212" spans="1:8" x14ac:dyDescent="0.2">
      <c r="A4212">
        <v>241841</v>
      </c>
      <c r="B4212">
        <v>241473</v>
      </c>
      <c r="C4212" t="str">
        <f t="shared" si="65"/>
        <v>5. $1M+</v>
      </c>
      <c r="D4212" t="s">
        <v>1423</v>
      </c>
      <c r="E4212" t="s">
        <v>59</v>
      </c>
      <c r="F4212" t="s">
        <v>670</v>
      </c>
      <c r="G4212" t="s">
        <v>101</v>
      </c>
      <c r="H4212">
        <v>2023</v>
      </c>
    </row>
    <row r="4213" spans="1:8" x14ac:dyDescent="0.2">
      <c r="A4213">
        <v>241843</v>
      </c>
      <c r="B4213">
        <v>928735</v>
      </c>
      <c r="C4213" t="str">
        <f t="shared" si="65"/>
        <v>3. $50K-250K</v>
      </c>
      <c r="D4213" t="s">
        <v>1026</v>
      </c>
      <c r="E4213" t="s">
        <v>59</v>
      </c>
      <c r="F4213" t="s">
        <v>670</v>
      </c>
      <c r="G4213" t="s">
        <v>101</v>
      </c>
      <c r="H4213">
        <v>2023</v>
      </c>
    </row>
    <row r="4214" spans="1:8" x14ac:dyDescent="0.2">
      <c r="A4214">
        <v>241844</v>
      </c>
      <c r="B4214">
        <v>482035</v>
      </c>
      <c r="C4214" t="str">
        <f t="shared" si="65"/>
        <v>4. $250K-1M</v>
      </c>
      <c r="D4214" t="s">
        <v>1495</v>
      </c>
      <c r="E4214" t="s">
        <v>59</v>
      </c>
      <c r="F4214" t="s">
        <v>670</v>
      </c>
      <c r="G4214" t="s">
        <v>101</v>
      </c>
      <c r="H4214">
        <v>2023</v>
      </c>
    </row>
    <row r="4215" spans="1:8" x14ac:dyDescent="0.2">
      <c r="A4215">
        <v>241845</v>
      </c>
      <c r="B4215">
        <v>137106</v>
      </c>
      <c r="C4215" t="str">
        <f t="shared" si="65"/>
        <v>4. $250K-1M</v>
      </c>
      <c r="D4215" t="s">
        <v>391</v>
      </c>
      <c r="E4215" t="s">
        <v>59</v>
      </c>
      <c r="F4215" t="s">
        <v>670</v>
      </c>
      <c r="G4215" t="s">
        <v>101</v>
      </c>
      <c r="H4215">
        <v>2023</v>
      </c>
    </row>
    <row r="4216" spans="1:8" x14ac:dyDescent="0.2">
      <c r="A4216">
        <v>241846</v>
      </c>
      <c r="B4216">
        <v>1685518</v>
      </c>
      <c r="C4216" t="str">
        <f t="shared" si="65"/>
        <v>3. $50K-250K</v>
      </c>
      <c r="D4216" t="s">
        <v>391</v>
      </c>
      <c r="E4216" t="s">
        <v>59</v>
      </c>
      <c r="F4216" t="s">
        <v>670</v>
      </c>
      <c r="G4216" t="s">
        <v>101</v>
      </c>
      <c r="H4216">
        <v>2023</v>
      </c>
    </row>
    <row r="4217" spans="1:8" x14ac:dyDescent="0.2">
      <c r="A4217">
        <v>241887</v>
      </c>
      <c r="B4217">
        <v>39997.5</v>
      </c>
      <c r="C4217" t="str">
        <f t="shared" si="65"/>
        <v>5. $1M+</v>
      </c>
      <c r="D4217" t="s">
        <v>1732</v>
      </c>
      <c r="E4217" t="s">
        <v>99</v>
      </c>
      <c r="F4217" t="s">
        <v>668</v>
      </c>
      <c r="G4217" t="s">
        <v>59</v>
      </c>
      <c r="H4217">
        <v>2023</v>
      </c>
    </row>
    <row r="4218" spans="1:8" x14ac:dyDescent="0.2">
      <c r="A4218">
        <v>241888</v>
      </c>
      <c r="B4218">
        <v>250000</v>
      </c>
      <c r="C4218" t="str">
        <f t="shared" si="65"/>
        <v>2. $10K-50K</v>
      </c>
      <c r="D4218" t="s">
        <v>1733</v>
      </c>
      <c r="E4218" t="s">
        <v>99</v>
      </c>
      <c r="F4218" t="s">
        <v>668</v>
      </c>
      <c r="G4218" t="s">
        <v>59</v>
      </c>
      <c r="H4218">
        <v>2023</v>
      </c>
    </row>
    <row r="4219" spans="1:8" x14ac:dyDescent="0.2">
      <c r="A4219">
        <v>241892</v>
      </c>
      <c r="B4219">
        <v>78107.100000000006</v>
      </c>
      <c r="C4219" t="str">
        <f t="shared" si="65"/>
        <v>4. $250K-1M</v>
      </c>
      <c r="D4219" t="s">
        <v>896</v>
      </c>
      <c r="E4219" t="s">
        <v>42</v>
      </c>
      <c r="F4219" t="s">
        <v>670</v>
      </c>
      <c r="G4219" t="s">
        <v>59</v>
      </c>
      <c r="H4219">
        <v>2023</v>
      </c>
    </row>
    <row r="4220" spans="1:8" x14ac:dyDescent="0.2">
      <c r="A4220">
        <v>241895</v>
      </c>
      <c r="B4220">
        <v>26740365</v>
      </c>
      <c r="C4220" t="str">
        <f t="shared" si="65"/>
        <v>3. $50K-250K</v>
      </c>
      <c r="D4220" t="s">
        <v>863</v>
      </c>
      <c r="E4220" t="s">
        <v>237</v>
      </c>
      <c r="F4220" t="s">
        <v>670</v>
      </c>
      <c r="G4220" t="s">
        <v>44</v>
      </c>
      <c r="H4220">
        <v>2023</v>
      </c>
    </row>
    <row r="4221" spans="1:8" x14ac:dyDescent="0.2">
      <c r="A4221">
        <v>241896</v>
      </c>
      <c r="B4221">
        <v>29366298.100000001</v>
      </c>
      <c r="C4221" t="str">
        <f t="shared" si="65"/>
        <v>5. $1M+</v>
      </c>
      <c r="D4221" t="s">
        <v>367</v>
      </c>
      <c r="E4221" t="s">
        <v>368</v>
      </c>
      <c r="F4221" t="s">
        <v>43</v>
      </c>
      <c r="G4221" t="s">
        <v>232</v>
      </c>
      <c r="H4221">
        <v>2023</v>
      </c>
    </row>
    <row r="4222" spans="1:8" x14ac:dyDescent="0.2">
      <c r="A4222">
        <v>241905</v>
      </c>
      <c r="B4222">
        <v>121227.9</v>
      </c>
      <c r="C4222" t="str">
        <f t="shared" si="65"/>
        <v>5. $1M+</v>
      </c>
      <c r="D4222" t="s">
        <v>804</v>
      </c>
      <c r="E4222" t="s">
        <v>42</v>
      </c>
      <c r="F4222" t="s">
        <v>670</v>
      </c>
      <c r="G4222" t="s">
        <v>59</v>
      </c>
      <c r="H4222">
        <v>2023</v>
      </c>
    </row>
    <row r="4223" spans="1:8" x14ac:dyDescent="0.2">
      <c r="A4223">
        <v>241906</v>
      </c>
      <c r="B4223">
        <v>120833.1</v>
      </c>
      <c r="C4223" t="str">
        <f t="shared" si="65"/>
        <v>3. $50K-250K</v>
      </c>
      <c r="D4223" t="s">
        <v>804</v>
      </c>
      <c r="E4223" t="s">
        <v>42</v>
      </c>
      <c r="F4223" t="s">
        <v>670</v>
      </c>
      <c r="G4223" t="s">
        <v>59</v>
      </c>
      <c r="H4223">
        <v>2023</v>
      </c>
    </row>
    <row r="4224" spans="1:8" x14ac:dyDescent="0.2">
      <c r="A4224">
        <v>241907</v>
      </c>
      <c r="B4224">
        <v>117637.4</v>
      </c>
      <c r="C4224" t="str">
        <f t="shared" si="65"/>
        <v>3. $50K-250K</v>
      </c>
      <c r="D4224" t="s">
        <v>674</v>
      </c>
      <c r="E4224" t="s">
        <v>42</v>
      </c>
      <c r="F4224" t="s">
        <v>670</v>
      </c>
      <c r="G4224" t="s">
        <v>59</v>
      </c>
      <c r="H4224">
        <v>2023</v>
      </c>
    </row>
    <row r="4225" spans="1:8" x14ac:dyDescent="0.2">
      <c r="A4225">
        <v>241908</v>
      </c>
      <c r="B4225">
        <v>35983.199999999997</v>
      </c>
      <c r="C4225" t="str">
        <f t="shared" si="65"/>
        <v>3. $50K-250K</v>
      </c>
      <c r="D4225" t="s">
        <v>16</v>
      </c>
      <c r="E4225" t="s">
        <v>8</v>
      </c>
      <c r="F4225" t="s">
        <v>14</v>
      </c>
      <c r="G4225" t="s">
        <v>15</v>
      </c>
      <c r="H4225">
        <v>2023</v>
      </c>
    </row>
    <row r="4226" spans="1:8" x14ac:dyDescent="0.2">
      <c r="A4226">
        <v>241983</v>
      </c>
      <c r="B4226">
        <v>4541011</v>
      </c>
      <c r="C4226" t="str">
        <f t="shared" si="65"/>
        <v>2. $10K-50K</v>
      </c>
      <c r="D4226" t="s">
        <v>16</v>
      </c>
      <c r="E4226" t="s">
        <v>24</v>
      </c>
      <c r="F4226" t="s">
        <v>14</v>
      </c>
      <c r="G4226" t="s">
        <v>15</v>
      </c>
      <c r="H4226">
        <v>2023</v>
      </c>
    </row>
    <row r="4227" spans="1:8" x14ac:dyDescent="0.2">
      <c r="A4227">
        <v>241986</v>
      </c>
      <c r="B4227">
        <v>84000</v>
      </c>
      <c r="C4227" t="str">
        <f t="shared" ref="C4227:C4290" si="66">IF(B4226&lt;10000,"1. Under $10K",IF(B4226&lt;50000,"2. $10K-50K",IF(B4226&lt;250000,"3. $50K-250K",IF(B4226&lt;1000000,"4. $250K-1M","5. $1M+"))))</f>
        <v>5. $1M+</v>
      </c>
      <c r="D4227" t="s">
        <v>481</v>
      </c>
      <c r="E4227" t="s">
        <v>480</v>
      </c>
      <c r="F4227" t="s">
        <v>668</v>
      </c>
      <c r="G4227" t="s">
        <v>59</v>
      </c>
      <c r="H4227">
        <v>2023</v>
      </c>
    </row>
    <row r="4228" spans="1:8" x14ac:dyDescent="0.2">
      <c r="A4228">
        <v>241988</v>
      </c>
      <c r="B4228">
        <v>5000000</v>
      </c>
      <c r="C4228" t="str">
        <f t="shared" si="66"/>
        <v>3. $50K-250K</v>
      </c>
      <c r="D4228" t="s">
        <v>16</v>
      </c>
      <c r="E4228" t="s">
        <v>24</v>
      </c>
      <c r="F4228" t="s">
        <v>14</v>
      </c>
      <c r="G4228" t="s">
        <v>61</v>
      </c>
      <c r="H4228">
        <v>2023</v>
      </c>
    </row>
    <row r="4229" spans="1:8" x14ac:dyDescent="0.2">
      <c r="A4229">
        <v>241997</v>
      </c>
      <c r="B4229">
        <v>1329724.3</v>
      </c>
      <c r="C4229" t="str">
        <f t="shared" si="66"/>
        <v>5. $1M+</v>
      </c>
      <c r="D4229" t="s">
        <v>699</v>
      </c>
      <c r="E4229" t="s">
        <v>237</v>
      </c>
      <c r="F4229" t="s">
        <v>670</v>
      </c>
      <c r="G4229" t="s">
        <v>59</v>
      </c>
      <c r="H4229">
        <v>2023</v>
      </c>
    </row>
    <row r="4230" spans="1:8" x14ac:dyDescent="0.2">
      <c r="A4230">
        <v>241998</v>
      </c>
      <c r="B4230">
        <v>33345.699999999997</v>
      </c>
      <c r="C4230" t="str">
        <f t="shared" si="66"/>
        <v>5. $1M+</v>
      </c>
      <c r="D4230" t="s">
        <v>1084</v>
      </c>
      <c r="E4230" t="s">
        <v>237</v>
      </c>
      <c r="F4230" t="s">
        <v>670</v>
      </c>
      <c r="G4230" t="s">
        <v>59</v>
      </c>
      <c r="H4230">
        <v>2023</v>
      </c>
    </row>
    <row r="4231" spans="1:8" x14ac:dyDescent="0.2">
      <c r="A4231">
        <v>241999</v>
      </c>
      <c r="B4231">
        <v>124552.1</v>
      </c>
      <c r="C4231" t="str">
        <f t="shared" si="66"/>
        <v>2. $10K-50K</v>
      </c>
      <c r="D4231" t="s">
        <v>744</v>
      </c>
      <c r="E4231" t="s">
        <v>237</v>
      </c>
      <c r="F4231" t="s">
        <v>670</v>
      </c>
      <c r="G4231" t="s">
        <v>59</v>
      </c>
      <c r="H4231">
        <v>2023</v>
      </c>
    </row>
    <row r="4232" spans="1:8" x14ac:dyDescent="0.2">
      <c r="A4232">
        <v>242016</v>
      </c>
      <c r="B4232">
        <v>16109854</v>
      </c>
      <c r="C4232" t="str">
        <f t="shared" si="66"/>
        <v>3. $50K-250K</v>
      </c>
      <c r="D4232" t="s">
        <v>1734</v>
      </c>
      <c r="E4232" t="s">
        <v>99</v>
      </c>
      <c r="F4232" t="s">
        <v>668</v>
      </c>
      <c r="G4232" t="s">
        <v>59</v>
      </c>
      <c r="H4232">
        <v>2023</v>
      </c>
    </row>
    <row r="4233" spans="1:8" x14ac:dyDescent="0.2">
      <c r="A4233">
        <v>242031</v>
      </c>
      <c r="B4233">
        <v>12000000</v>
      </c>
      <c r="C4233" t="str">
        <f t="shared" si="66"/>
        <v>5. $1M+</v>
      </c>
      <c r="D4233" t="s">
        <v>1735</v>
      </c>
      <c r="E4233" t="s">
        <v>99</v>
      </c>
      <c r="F4233" t="s">
        <v>668</v>
      </c>
      <c r="G4233" t="s">
        <v>59</v>
      </c>
      <c r="H4233">
        <v>2023</v>
      </c>
    </row>
    <row r="4234" spans="1:8" x14ac:dyDescent="0.2">
      <c r="A4234">
        <v>242043</v>
      </c>
      <c r="B4234">
        <v>14486586</v>
      </c>
      <c r="C4234" t="str">
        <f t="shared" si="66"/>
        <v>5. $1M+</v>
      </c>
      <c r="D4234" t="s">
        <v>1736</v>
      </c>
      <c r="E4234" t="s">
        <v>99</v>
      </c>
      <c r="F4234" t="s">
        <v>668</v>
      </c>
      <c r="G4234" t="s">
        <v>59</v>
      </c>
      <c r="H4234">
        <v>2023</v>
      </c>
    </row>
    <row r="4235" spans="1:8" x14ac:dyDescent="0.2">
      <c r="A4235">
        <v>242057</v>
      </c>
      <c r="B4235">
        <v>4898000</v>
      </c>
      <c r="C4235" t="str">
        <f t="shared" si="66"/>
        <v>5. $1M+</v>
      </c>
      <c r="D4235" t="s">
        <v>800</v>
      </c>
      <c r="E4235" t="s">
        <v>237</v>
      </c>
      <c r="F4235" t="s">
        <v>670</v>
      </c>
      <c r="G4235" t="s">
        <v>59</v>
      </c>
      <c r="H4235">
        <v>2023</v>
      </c>
    </row>
    <row r="4236" spans="1:8" x14ac:dyDescent="0.2">
      <c r="A4236">
        <v>242065</v>
      </c>
      <c r="B4236">
        <v>33200000</v>
      </c>
      <c r="C4236" t="str">
        <f t="shared" si="66"/>
        <v>5. $1M+</v>
      </c>
      <c r="D4236" t="s">
        <v>1052</v>
      </c>
      <c r="E4236" t="s">
        <v>237</v>
      </c>
      <c r="F4236" t="s">
        <v>670</v>
      </c>
      <c r="G4236" t="s">
        <v>44</v>
      </c>
      <c r="H4236">
        <v>2023</v>
      </c>
    </row>
    <row r="4237" spans="1:8" x14ac:dyDescent="0.2">
      <c r="A4237">
        <v>242178</v>
      </c>
      <c r="B4237">
        <v>750000</v>
      </c>
      <c r="C4237" t="str">
        <f t="shared" si="66"/>
        <v>5. $1M+</v>
      </c>
      <c r="D4237" t="s">
        <v>1737</v>
      </c>
      <c r="E4237" t="s">
        <v>237</v>
      </c>
      <c r="F4237" t="s">
        <v>670</v>
      </c>
      <c r="G4237" t="s">
        <v>44</v>
      </c>
      <c r="H4237">
        <v>2023</v>
      </c>
    </row>
    <row r="4238" spans="1:8" x14ac:dyDescent="0.2">
      <c r="A4238">
        <v>242188</v>
      </c>
      <c r="B4238">
        <v>1358448</v>
      </c>
      <c r="C4238" t="str">
        <f t="shared" si="66"/>
        <v>4. $250K-1M</v>
      </c>
      <c r="D4238" t="s">
        <v>983</v>
      </c>
      <c r="E4238" t="s">
        <v>237</v>
      </c>
      <c r="F4238" t="s">
        <v>670</v>
      </c>
      <c r="G4238" t="s">
        <v>44</v>
      </c>
      <c r="H4238">
        <v>2023</v>
      </c>
    </row>
    <row r="4239" spans="1:8" x14ac:dyDescent="0.2">
      <c r="A4239">
        <v>242189</v>
      </c>
      <c r="B4239">
        <v>1358448</v>
      </c>
      <c r="C4239" t="str">
        <f t="shared" si="66"/>
        <v>5. $1M+</v>
      </c>
      <c r="D4239" t="s">
        <v>1094</v>
      </c>
      <c r="E4239" t="s">
        <v>237</v>
      </c>
      <c r="F4239" t="s">
        <v>670</v>
      </c>
      <c r="G4239" t="s">
        <v>44</v>
      </c>
      <c r="H4239">
        <v>2023</v>
      </c>
    </row>
    <row r="4240" spans="1:8" x14ac:dyDescent="0.2">
      <c r="A4240">
        <v>242190</v>
      </c>
      <c r="B4240">
        <v>1358448</v>
      </c>
      <c r="C4240" t="str">
        <f t="shared" si="66"/>
        <v>5. $1M+</v>
      </c>
      <c r="D4240" t="s">
        <v>805</v>
      </c>
      <c r="E4240" t="s">
        <v>237</v>
      </c>
      <c r="F4240" t="s">
        <v>670</v>
      </c>
      <c r="G4240" t="s">
        <v>44</v>
      </c>
      <c r="H4240">
        <v>2023</v>
      </c>
    </row>
    <row r="4241" spans="1:8" x14ac:dyDescent="0.2">
      <c r="A4241">
        <v>242191</v>
      </c>
      <c r="B4241">
        <v>2716896</v>
      </c>
      <c r="C4241" t="str">
        <f t="shared" si="66"/>
        <v>5. $1M+</v>
      </c>
      <c r="D4241" t="s">
        <v>799</v>
      </c>
      <c r="E4241" t="s">
        <v>237</v>
      </c>
      <c r="F4241" t="s">
        <v>670</v>
      </c>
      <c r="G4241" t="s">
        <v>44</v>
      </c>
      <c r="H4241">
        <v>2023</v>
      </c>
    </row>
    <row r="4242" spans="1:8" x14ac:dyDescent="0.2">
      <c r="A4242">
        <v>242193</v>
      </c>
      <c r="B4242">
        <v>680134.4</v>
      </c>
      <c r="C4242" t="str">
        <f t="shared" si="66"/>
        <v>5. $1M+</v>
      </c>
      <c r="D4242" t="s">
        <v>724</v>
      </c>
      <c r="E4242" t="s">
        <v>237</v>
      </c>
      <c r="F4242" t="s">
        <v>670</v>
      </c>
      <c r="G4242" t="s">
        <v>59</v>
      </c>
      <c r="H4242">
        <v>2023</v>
      </c>
    </row>
    <row r="4243" spans="1:8" x14ac:dyDescent="0.2">
      <c r="A4243">
        <v>242194</v>
      </c>
      <c r="B4243">
        <v>148067.5</v>
      </c>
      <c r="C4243" t="str">
        <f t="shared" si="66"/>
        <v>4. $250K-1M</v>
      </c>
      <c r="D4243" t="s">
        <v>548</v>
      </c>
      <c r="E4243" t="s">
        <v>237</v>
      </c>
      <c r="F4243" t="s">
        <v>670</v>
      </c>
      <c r="G4243" t="s">
        <v>59</v>
      </c>
      <c r="H4243">
        <v>2023</v>
      </c>
    </row>
    <row r="4244" spans="1:8" x14ac:dyDescent="0.2">
      <c r="A4244">
        <v>242204</v>
      </c>
      <c r="B4244">
        <v>512467.6</v>
      </c>
      <c r="C4244" t="str">
        <f t="shared" si="66"/>
        <v>3. $50K-250K</v>
      </c>
      <c r="D4244" t="s">
        <v>724</v>
      </c>
      <c r="E4244" t="s">
        <v>237</v>
      </c>
      <c r="F4244" t="s">
        <v>670</v>
      </c>
      <c r="G4244" t="s">
        <v>59</v>
      </c>
      <c r="H4244">
        <v>2023</v>
      </c>
    </row>
    <row r="4245" spans="1:8" x14ac:dyDescent="0.2">
      <c r="A4245">
        <v>242276</v>
      </c>
      <c r="B4245">
        <v>5106061.4000000004</v>
      </c>
      <c r="C4245" t="str">
        <f t="shared" si="66"/>
        <v>4. $250K-1M</v>
      </c>
      <c r="D4245" t="s">
        <v>369</v>
      </c>
      <c r="E4245" t="s">
        <v>24</v>
      </c>
      <c r="F4245" t="s">
        <v>22</v>
      </c>
      <c r="G4245" t="s">
        <v>10</v>
      </c>
      <c r="H4245">
        <v>2024</v>
      </c>
    </row>
    <row r="4246" spans="1:8" x14ac:dyDescent="0.2">
      <c r="A4246">
        <v>242328</v>
      </c>
      <c r="B4246">
        <v>290000</v>
      </c>
      <c r="C4246" t="str">
        <f t="shared" si="66"/>
        <v>5. $1M+</v>
      </c>
      <c r="D4246" t="s">
        <v>391</v>
      </c>
      <c r="E4246" t="s">
        <v>99</v>
      </c>
      <c r="F4246" t="s">
        <v>670</v>
      </c>
      <c r="G4246" t="s">
        <v>59</v>
      </c>
      <c r="H4246">
        <v>2023</v>
      </c>
    </row>
    <row r="4247" spans="1:8" x14ac:dyDescent="0.2">
      <c r="A4247">
        <v>242343</v>
      </c>
      <c r="B4247">
        <v>125000</v>
      </c>
      <c r="C4247" t="str">
        <f t="shared" si="66"/>
        <v>4. $250K-1M</v>
      </c>
      <c r="D4247" t="s">
        <v>1437</v>
      </c>
      <c r="E4247" t="s">
        <v>432</v>
      </c>
      <c r="F4247" t="s">
        <v>670</v>
      </c>
      <c r="G4247" t="s">
        <v>59</v>
      </c>
      <c r="H4247">
        <v>2023</v>
      </c>
    </row>
    <row r="4248" spans="1:8" x14ac:dyDescent="0.2">
      <c r="A4248">
        <v>242421</v>
      </c>
      <c r="B4248">
        <v>65000</v>
      </c>
      <c r="C4248" t="str">
        <f t="shared" si="66"/>
        <v>3. $50K-250K</v>
      </c>
      <c r="D4248" t="s">
        <v>1453</v>
      </c>
      <c r="E4248" t="s">
        <v>112</v>
      </c>
      <c r="F4248" t="s">
        <v>668</v>
      </c>
      <c r="G4248" t="s">
        <v>59</v>
      </c>
      <c r="H4248">
        <v>2023</v>
      </c>
    </row>
    <row r="4249" spans="1:8" x14ac:dyDescent="0.2">
      <c r="A4249">
        <v>242422</v>
      </c>
      <c r="B4249">
        <v>12500</v>
      </c>
      <c r="C4249" t="str">
        <f t="shared" si="66"/>
        <v>3. $50K-250K</v>
      </c>
      <c r="D4249" t="s">
        <v>1738</v>
      </c>
      <c r="E4249" t="s">
        <v>112</v>
      </c>
      <c r="F4249" t="s">
        <v>668</v>
      </c>
      <c r="G4249" t="s">
        <v>59</v>
      </c>
      <c r="H4249">
        <v>2023</v>
      </c>
    </row>
    <row r="4250" spans="1:8" x14ac:dyDescent="0.2">
      <c r="A4250">
        <v>242424</v>
      </c>
      <c r="B4250">
        <v>45000</v>
      </c>
      <c r="C4250" t="str">
        <f t="shared" si="66"/>
        <v>2. $10K-50K</v>
      </c>
      <c r="D4250" t="s">
        <v>957</v>
      </c>
      <c r="E4250" t="s">
        <v>112</v>
      </c>
      <c r="F4250" t="s">
        <v>668</v>
      </c>
      <c r="G4250" t="s">
        <v>59</v>
      </c>
      <c r="H4250">
        <v>2023</v>
      </c>
    </row>
    <row r="4251" spans="1:8" x14ac:dyDescent="0.2">
      <c r="A4251">
        <v>242426</v>
      </c>
      <c r="B4251">
        <v>45000</v>
      </c>
      <c r="C4251" t="str">
        <f t="shared" si="66"/>
        <v>2. $10K-50K</v>
      </c>
      <c r="D4251" t="s">
        <v>1193</v>
      </c>
      <c r="E4251" t="s">
        <v>112</v>
      </c>
      <c r="F4251" t="s">
        <v>668</v>
      </c>
      <c r="G4251" t="s">
        <v>59</v>
      </c>
      <c r="H4251">
        <v>2023</v>
      </c>
    </row>
    <row r="4252" spans="1:8" x14ac:dyDescent="0.2">
      <c r="A4252">
        <v>242427</v>
      </c>
      <c r="B4252">
        <v>3201550</v>
      </c>
      <c r="C4252" t="str">
        <f t="shared" si="66"/>
        <v>2. $10K-50K</v>
      </c>
      <c r="D4252" t="s">
        <v>1500</v>
      </c>
      <c r="E4252" t="s">
        <v>28</v>
      </c>
      <c r="F4252" t="s">
        <v>668</v>
      </c>
      <c r="G4252" t="s">
        <v>59</v>
      </c>
      <c r="H4252">
        <v>2023</v>
      </c>
    </row>
    <row r="4253" spans="1:8" x14ac:dyDescent="0.2">
      <c r="A4253">
        <v>242434</v>
      </c>
      <c r="B4253">
        <v>15236</v>
      </c>
      <c r="C4253" t="str">
        <f t="shared" si="66"/>
        <v>5. $1M+</v>
      </c>
      <c r="D4253" t="s">
        <v>1474</v>
      </c>
      <c r="E4253" t="s">
        <v>178</v>
      </c>
      <c r="F4253" t="s">
        <v>668</v>
      </c>
      <c r="G4253" t="s">
        <v>59</v>
      </c>
      <c r="H4253">
        <v>2023</v>
      </c>
    </row>
    <row r="4254" spans="1:8" x14ac:dyDescent="0.2">
      <c r="A4254">
        <v>242435</v>
      </c>
      <c r="B4254">
        <v>2018879</v>
      </c>
      <c r="C4254" t="str">
        <f t="shared" si="66"/>
        <v>2. $10K-50K</v>
      </c>
      <c r="D4254" t="s">
        <v>370</v>
      </c>
      <c r="E4254" t="s">
        <v>24</v>
      </c>
      <c r="F4254" t="s">
        <v>12</v>
      </c>
      <c r="G4254" t="s">
        <v>101</v>
      </c>
      <c r="H4254">
        <v>2024</v>
      </c>
    </row>
    <row r="4255" spans="1:8" x14ac:dyDescent="0.2">
      <c r="A4255">
        <v>242459</v>
      </c>
      <c r="B4255">
        <v>13717</v>
      </c>
      <c r="C4255" t="str">
        <f t="shared" si="66"/>
        <v>5. $1M+</v>
      </c>
      <c r="D4255" t="s">
        <v>1474</v>
      </c>
      <c r="E4255" t="s">
        <v>178</v>
      </c>
      <c r="F4255" t="s">
        <v>668</v>
      </c>
      <c r="G4255" t="s">
        <v>59</v>
      </c>
      <c r="H4255">
        <v>2023</v>
      </c>
    </row>
    <row r="4256" spans="1:8" x14ac:dyDescent="0.2">
      <c r="A4256">
        <v>242474</v>
      </c>
      <c r="B4256">
        <v>16910</v>
      </c>
      <c r="C4256" t="str">
        <f t="shared" si="66"/>
        <v>2. $10K-50K</v>
      </c>
      <c r="D4256" t="s">
        <v>1474</v>
      </c>
      <c r="E4256" t="s">
        <v>178</v>
      </c>
      <c r="F4256" t="s">
        <v>668</v>
      </c>
      <c r="G4256" t="s">
        <v>59</v>
      </c>
      <c r="H4256">
        <v>2023</v>
      </c>
    </row>
    <row r="4257" spans="1:8" x14ac:dyDescent="0.2">
      <c r="A4257">
        <v>242490</v>
      </c>
      <c r="B4257">
        <v>153300</v>
      </c>
      <c r="C4257" t="str">
        <f t="shared" si="66"/>
        <v>2. $10K-50K</v>
      </c>
      <c r="D4257" t="s">
        <v>879</v>
      </c>
      <c r="E4257" t="s">
        <v>237</v>
      </c>
      <c r="F4257" t="s">
        <v>670</v>
      </c>
      <c r="G4257" t="s">
        <v>59</v>
      </c>
      <c r="H4257">
        <v>2023</v>
      </c>
    </row>
    <row r="4258" spans="1:8" x14ac:dyDescent="0.2">
      <c r="A4258">
        <v>242492</v>
      </c>
      <c r="B4258">
        <v>54000</v>
      </c>
      <c r="C4258" t="str">
        <f t="shared" si="66"/>
        <v>3. $50K-250K</v>
      </c>
      <c r="D4258" t="s">
        <v>983</v>
      </c>
      <c r="E4258" t="s">
        <v>237</v>
      </c>
      <c r="F4258" t="s">
        <v>670</v>
      </c>
      <c r="G4258" t="s">
        <v>59</v>
      </c>
      <c r="H4258">
        <v>2023</v>
      </c>
    </row>
    <row r="4259" spans="1:8" x14ac:dyDescent="0.2">
      <c r="A4259">
        <v>242493</v>
      </c>
      <c r="B4259">
        <v>93541.4</v>
      </c>
      <c r="C4259" t="str">
        <f t="shared" si="66"/>
        <v>3. $50K-250K</v>
      </c>
      <c r="D4259" t="s">
        <v>769</v>
      </c>
      <c r="E4259" t="s">
        <v>237</v>
      </c>
      <c r="F4259" t="s">
        <v>670</v>
      </c>
      <c r="G4259" t="s">
        <v>59</v>
      </c>
      <c r="H4259">
        <v>2023</v>
      </c>
    </row>
    <row r="4260" spans="1:8" x14ac:dyDescent="0.2">
      <c r="A4260">
        <v>242494</v>
      </c>
      <c r="B4260">
        <v>711018</v>
      </c>
      <c r="C4260" t="str">
        <f t="shared" si="66"/>
        <v>3. $50K-250K</v>
      </c>
      <c r="D4260" t="s">
        <v>742</v>
      </c>
      <c r="E4260" t="s">
        <v>237</v>
      </c>
      <c r="F4260" t="s">
        <v>670</v>
      </c>
      <c r="G4260" t="s">
        <v>59</v>
      </c>
      <c r="H4260">
        <v>2023</v>
      </c>
    </row>
    <row r="4261" spans="1:8" x14ac:dyDescent="0.2">
      <c r="A4261">
        <v>242495</v>
      </c>
      <c r="B4261">
        <v>264574</v>
      </c>
      <c r="C4261" t="str">
        <f t="shared" si="66"/>
        <v>4. $250K-1M</v>
      </c>
      <c r="D4261" t="s">
        <v>711</v>
      </c>
      <c r="E4261" t="s">
        <v>237</v>
      </c>
      <c r="F4261" t="s">
        <v>670</v>
      </c>
      <c r="G4261" t="s">
        <v>59</v>
      </c>
      <c r="H4261">
        <v>2023</v>
      </c>
    </row>
    <row r="4262" spans="1:8" x14ac:dyDescent="0.2">
      <c r="A4262">
        <v>242496</v>
      </c>
      <c r="B4262">
        <v>96915.8</v>
      </c>
      <c r="C4262" t="str">
        <f t="shared" si="66"/>
        <v>4. $250K-1M</v>
      </c>
      <c r="D4262" t="s">
        <v>723</v>
      </c>
      <c r="E4262" t="s">
        <v>237</v>
      </c>
      <c r="F4262" t="s">
        <v>670</v>
      </c>
      <c r="G4262" t="s">
        <v>59</v>
      </c>
      <c r="H4262">
        <v>2023</v>
      </c>
    </row>
    <row r="4263" spans="1:8" x14ac:dyDescent="0.2">
      <c r="A4263">
        <v>242502</v>
      </c>
      <c r="B4263">
        <v>412760.4</v>
      </c>
      <c r="C4263" t="str">
        <f t="shared" si="66"/>
        <v>3. $50K-250K</v>
      </c>
      <c r="D4263" t="s">
        <v>703</v>
      </c>
      <c r="E4263" t="s">
        <v>237</v>
      </c>
      <c r="F4263" t="s">
        <v>670</v>
      </c>
      <c r="G4263" t="s">
        <v>59</v>
      </c>
      <c r="H4263">
        <v>2023</v>
      </c>
    </row>
    <row r="4264" spans="1:8" x14ac:dyDescent="0.2">
      <c r="A4264">
        <v>242503</v>
      </c>
      <c r="B4264">
        <v>2292218.2999999998</v>
      </c>
      <c r="C4264" t="str">
        <f t="shared" si="66"/>
        <v>4. $250K-1M</v>
      </c>
      <c r="D4264" t="s">
        <v>720</v>
      </c>
      <c r="E4264" t="s">
        <v>237</v>
      </c>
      <c r="F4264" t="s">
        <v>670</v>
      </c>
      <c r="G4264" t="s">
        <v>59</v>
      </c>
      <c r="H4264">
        <v>2023</v>
      </c>
    </row>
    <row r="4265" spans="1:8" x14ac:dyDescent="0.2">
      <c r="A4265">
        <v>242504</v>
      </c>
      <c r="B4265">
        <v>1515588.7</v>
      </c>
      <c r="C4265" t="str">
        <f t="shared" si="66"/>
        <v>5. $1M+</v>
      </c>
      <c r="D4265" t="s">
        <v>696</v>
      </c>
      <c r="E4265" t="s">
        <v>237</v>
      </c>
      <c r="F4265" t="s">
        <v>670</v>
      </c>
      <c r="G4265" t="s">
        <v>59</v>
      </c>
      <c r="H4265">
        <v>2023</v>
      </c>
    </row>
    <row r="4266" spans="1:8" x14ac:dyDescent="0.2">
      <c r="A4266">
        <v>242511</v>
      </c>
      <c r="B4266">
        <v>3861484.3</v>
      </c>
      <c r="C4266" t="str">
        <f t="shared" si="66"/>
        <v>5. $1M+</v>
      </c>
      <c r="D4266" t="s">
        <v>1028</v>
      </c>
      <c r="E4266" t="s">
        <v>42</v>
      </c>
      <c r="F4266" t="s">
        <v>670</v>
      </c>
      <c r="G4266" t="s">
        <v>59</v>
      </c>
      <c r="H4266">
        <v>2023</v>
      </c>
    </row>
    <row r="4267" spans="1:8" x14ac:dyDescent="0.2">
      <c r="A4267">
        <v>242552</v>
      </c>
      <c r="B4267">
        <v>45000</v>
      </c>
      <c r="C4267" t="str">
        <f t="shared" si="66"/>
        <v>5. $1M+</v>
      </c>
      <c r="D4267" t="s">
        <v>1322</v>
      </c>
      <c r="E4267" t="s">
        <v>112</v>
      </c>
      <c r="F4267" t="s">
        <v>668</v>
      </c>
      <c r="G4267" t="s">
        <v>59</v>
      </c>
      <c r="H4267">
        <v>2023</v>
      </c>
    </row>
    <row r="4268" spans="1:8" x14ac:dyDescent="0.2">
      <c r="A4268">
        <v>242555</v>
      </c>
      <c r="B4268">
        <v>100000</v>
      </c>
      <c r="C4268" t="str">
        <f t="shared" si="66"/>
        <v>2. $10K-50K</v>
      </c>
      <c r="D4268" t="s">
        <v>1739</v>
      </c>
      <c r="E4268" t="s">
        <v>112</v>
      </c>
      <c r="F4268" t="s">
        <v>668</v>
      </c>
      <c r="G4268" t="s">
        <v>59</v>
      </c>
      <c r="H4268">
        <v>2023</v>
      </c>
    </row>
    <row r="4269" spans="1:8" x14ac:dyDescent="0.2">
      <c r="A4269">
        <v>242628</v>
      </c>
      <c r="B4269">
        <v>32623</v>
      </c>
      <c r="C4269" t="str">
        <f t="shared" si="66"/>
        <v>3. $50K-250K</v>
      </c>
      <c r="D4269" t="s">
        <v>681</v>
      </c>
      <c r="E4269" t="s">
        <v>42</v>
      </c>
      <c r="F4269" t="s">
        <v>670</v>
      </c>
      <c r="G4269" t="s">
        <v>59</v>
      </c>
      <c r="H4269">
        <v>2023</v>
      </c>
    </row>
    <row r="4270" spans="1:8" x14ac:dyDescent="0.2">
      <c r="A4270">
        <v>242799</v>
      </c>
      <c r="B4270">
        <v>178087.8</v>
      </c>
      <c r="C4270" t="str">
        <f t="shared" si="66"/>
        <v>2. $10K-50K</v>
      </c>
      <c r="D4270" t="s">
        <v>785</v>
      </c>
      <c r="E4270" t="s">
        <v>237</v>
      </c>
      <c r="F4270" t="s">
        <v>670</v>
      </c>
      <c r="G4270" t="s">
        <v>59</v>
      </c>
      <c r="H4270">
        <v>2023</v>
      </c>
    </row>
    <row r="4271" spans="1:8" x14ac:dyDescent="0.2">
      <c r="A4271">
        <v>242800</v>
      </c>
      <c r="B4271">
        <v>942720.4</v>
      </c>
      <c r="C4271" t="str">
        <f t="shared" si="66"/>
        <v>3. $50K-250K</v>
      </c>
      <c r="D4271" t="s">
        <v>723</v>
      </c>
      <c r="E4271" t="s">
        <v>237</v>
      </c>
      <c r="F4271" t="s">
        <v>670</v>
      </c>
      <c r="G4271" t="s">
        <v>59</v>
      </c>
      <c r="H4271">
        <v>2023</v>
      </c>
    </row>
    <row r="4272" spans="1:8" x14ac:dyDescent="0.2">
      <c r="A4272">
        <v>242801</v>
      </c>
      <c r="B4272">
        <v>730088.3</v>
      </c>
      <c r="C4272" t="str">
        <f t="shared" si="66"/>
        <v>4. $250K-1M</v>
      </c>
      <c r="D4272" t="s">
        <v>717</v>
      </c>
      <c r="E4272" t="s">
        <v>237</v>
      </c>
      <c r="F4272" t="s">
        <v>670</v>
      </c>
      <c r="G4272" t="s">
        <v>59</v>
      </c>
      <c r="H4272">
        <v>2023</v>
      </c>
    </row>
    <row r="4273" spans="1:8" x14ac:dyDescent="0.2">
      <c r="A4273">
        <v>242828</v>
      </c>
      <c r="B4273">
        <v>20000</v>
      </c>
      <c r="C4273" t="str">
        <f t="shared" si="66"/>
        <v>4. $250K-1M</v>
      </c>
      <c r="D4273" t="s">
        <v>371</v>
      </c>
      <c r="E4273" t="s">
        <v>207</v>
      </c>
      <c r="F4273" t="s">
        <v>100</v>
      </c>
      <c r="G4273" t="s">
        <v>372</v>
      </c>
      <c r="H4273">
        <v>2023</v>
      </c>
    </row>
    <row r="4274" spans="1:8" x14ac:dyDescent="0.2">
      <c r="A4274">
        <v>242830</v>
      </c>
      <c r="B4274">
        <v>343000</v>
      </c>
      <c r="C4274" t="str">
        <f t="shared" si="66"/>
        <v>2. $10K-50K</v>
      </c>
      <c r="D4274" t="s">
        <v>1740</v>
      </c>
      <c r="E4274" t="s">
        <v>246</v>
      </c>
      <c r="F4274" t="s">
        <v>668</v>
      </c>
      <c r="G4274" t="s">
        <v>59</v>
      </c>
      <c r="H4274">
        <v>2023</v>
      </c>
    </row>
    <row r="4275" spans="1:8" x14ac:dyDescent="0.2">
      <c r="A4275">
        <v>242832</v>
      </c>
      <c r="B4275">
        <v>40000</v>
      </c>
      <c r="C4275" t="str">
        <f t="shared" si="66"/>
        <v>4. $250K-1M</v>
      </c>
      <c r="D4275" t="s">
        <v>1741</v>
      </c>
      <c r="E4275" t="s">
        <v>112</v>
      </c>
      <c r="F4275" t="s">
        <v>668</v>
      </c>
      <c r="G4275" t="s">
        <v>59</v>
      </c>
      <c r="H4275">
        <v>2023</v>
      </c>
    </row>
    <row r="4276" spans="1:8" x14ac:dyDescent="0.2">
      <c r="A4276">
        <v>242847</v>
      </c>
      <c r="B4276">
        <v>150000</v>
      </c>
      <c r="C4276" t="str">
        <f t="shared" si="66"/>
        <v>2. $10K-50K</v>
      </c>
      <c r="D4276" t="s">
        <v>792</v>
      </c>
      <c r="E4276" t="s">
        <v>59</v>
      </c>
      <c r="F4276" t="s">
        <v>670</v>
      </c>
      <c r="G4276" t="s">
        <v>101</v>
      </c>
      <c r="H4276">
        <v>2024</v>
      </c>
    </row>
    <row r="4277" spans="1:8" x14ac:dyDescent="0.2">
      <c r="A4277">
        <v>242850</v>
      </c>
      <c r="B4277">
        <v>150000</v>
      </c>
      <c r="C4277" t="str">
        <f t="shared" si="66"/>
        <v>3. $50K-250K</v>
      </c>
      <c r="D4277" t="s">
        <v>684</v>
      </c>
      <c r="E4277" t="s">
        <v>59</v>
      </c>
      <c r="F4277" t="s">
        <v>670</v>
      </c>
      <c r="G4277" t="s">
        <v>101</v>
      </c>
      <c r="H4277">
        <v>2024</v>
      </c>
    </row>
    <row r="4278" spans="1:8" x14ac:dyDescent="0.2">
      <c r="A4278">
        <v>242859</v>
      </c>
      <c r="B4278">
        <v>25000</v>
      </c>
      <c r="C4278" t="str">
        <f t="shared" si="66"/>
        <v>3. $50K-250K</v>
      </c>
      <c r="D4278" t="s">
        <v>1136</v>
      </c>
      <c r="E4278" t="s">
        <v>112</v>
      </c>
      <c r="F4278" t="s">
        <v>668</v>
      </c>
      <c r="G4278" t="s">
        <v>59</v>
      </c>
      <c r="H4278">
        <v>2023</v>
      </c>
    </row>
    <row r="4279" spans="1:8" x14ac:dyDescent="0.2">
      <c r="A4279">
        <v>242860</v>
      </c>
      <c r="B4279">
        <v>2500</v>
      </c>
      <c r="C4279" t="str">
        <f t="shared" si="66"/>
        <v>2. $10K-50K</v>
      </c>
      <c r="D4279" t="s">
        <v>1742</v>
      </c>
      <c r="E4279" t="s">
        <v>112</v>
      </c>
      <c r="F4279" t="s">
        <v>668</v>
      </c>
      <c r="G4279" t="s">
        <v>59</v>
      </c>
      <c r="H4279">
        <v>2023</v>
      </c>
    </row>
    <row r="4280" spans="1:8" x14ac:dyDescent="0.2">
      <c r="A4280">
        <v>242861</v>
      </c>
      <c r="B4280">
        <v>2664491</v>
      </c>
      <c r="C4280" t="str">
        <f t="shared" si="66"/>
        <v>1. Under $10K</v>
      </c>
      <c r="D4280" t="s">
        <v>373</v>
      </c>
      <c r="E4280" t="s">
        <v>59</v>
      </c>
      <c r="F4280" t="s">
        <v>29</v>
      </c>
      <c r="G4280" t="s">
        <v>101</v>
      </c>
      <c r="H4280">
        <v>2023</v>
      </c>
    </row>
    <row r="4281" spans="1:8" x14ac:dyDescent="0.2">
      <c r="A4281">
        <v>242862</v>
      </c>
      <c r="B4281">
        <v>45000</v>
      </c>
      <c r="C4281" t="str">
        <f t="shared" si="66"/>
        <v>5. $1M+</v>
      </c>
      <c r="D4281" t="s">
        <v>926</v>
      </c>
      <c r="E4281" t="s">
        <v>112</v>
      </c>
      <c r="F4281" t="s">
        <v>668</v>
      </c>
      <c r="G4281" t="s">
        <v>59</v>
      </c>
      <c r="H4281">
        <v>2023</v>
      </c>
    </row>
    <row r="4282" spans="1:8" x14ac:dyDescent="0.2">
      <c r="A4282">
        <v>242863</v>
      </c>
      <c r="B4282">
        <v>600000</v>
      </c>
      <c r="C4282" t="str">
        <f t="shared" si="66"/>
        <v>2. $10K-50K</v>
      </c>
      <c r="D4282" t="s">
        <v>1486</v>
      </c>
      <c r="E4282" t="s">
        <v>99</v>
      </c>
      <c r="F4282" t="s">
        <v>670</v>
      </c>
      <c r="G4282" t="s">
        <v>59</v>
      </c>
      <c r="H4282">
        <v>2023</v>
      </c>
    </row>
    <row r="4283" spans="1:8" x14ac:dyDescent="0.2">
      <c r="A4283">
        <v>242866</v>
      </c>
      <c r="B4283">
        <v>2500</v>
      </c>
      <c r="C4283" t="str">
        <f t="shared" si="66"/>
        <v>4. $250K-1M</v>
      </c>
      <c r="D4283" t="s">
        <v>1743</v>
      </c>
      <c r="E4283" t="s">
        <v>112</v>
      </c>
      <c r="F4283" t="s">
        <v>668</v>
      </c>
      <c r="G4283" t="s">
        <v>59</v>
      </c>
      <c r="H4283">
        <v>2023</v>
      </c>
    </row>
    <row r="4284" spans="1:8" x14ac:dyDescent="0.2">
      <c r="A4284">
        <v>242868</v>
      </c>
      <c r="B4284">
        <v>132463</v>
      </c>
      <c r="C4284" t="str">
        <f t="shared" si="66"/>
        <v>1. Under $10K</v>
      </c>
      <c r="D4284" t="s">
        <v>1744</v>
      </c>
      <c r="E4284" t="s">
        <v>99</v>
      </c>
      <c r="F4284" t="s">
        <v>668</v>
      </c>
      <c r="G4284" t="s">
        <v>59</v>
      </c>
      <c r="H4284">
        <v>2023</v>
      </c>
    </row>
    <row r="4285" spans="1:8" x14ac:dyDescent="0.2">
      <c r="A4285">
        <v>243048</v>
      </c>
      <c r="B4285">
        <v>250000</v>
      </c>
      <c r="C4285" t="str">
        <f t="shared" si="66"/>
        <v>3. $50K-250K</v>
      </c>
      <c r="D4285" t="s">
        <v>1745</v>
      </c>
      <c r="E4285" t="s">
        <v>112</v>
      </c>
      <c r="F4285" t="s">
        <v>668</v>
      </c>
      <c r="G4285" t="s">
        <v>59</v>
      </c>
      <c r="H4285">
        <v>2023</v>
      </c>
    </row>
    <row r="4286" spans="1:8" x14ac:dyDescent="0.2">
      <c r="A4286">
        <v>243049</v>
      </c>
      <c r="B4286">
        <v>45000</v>
      </c>
      <c r="C4286" t="str">
        <f t="shared" si="66"/>
        <v>4. $250K-1M</v>
      </c>
      <c r="D4286" t="s">
        <v>1145</v>
      </c>
      <c r="E4286" t="s">
        <v>112</v>
      </c>
      <c r="F4286" t="s">
        <v>668</v>
      </c>
      <c r="G4286" t="s">
        <v>59</v>
      </c>
      <c r="H4286">
        <v>2023</v>
      </c>
    </row>
    <row r="4287" spans="1:8" x14ac:dyDescent="0.2">
      <c r="A4287">
        <v>243052</v>
      </c>
      <c r="B4287">
        <v>45000</v>
      </c>
      <c r="C4287" t="str">
        <f t="shared" si="66"/>
        <v>2. $10K-50K</v>
      </c>
      <c r="D4287" t="s">
        <v>1361</v>
      </c>
      <c r="E4287" t="s">
        <v>112</v>
      </c>
      <c r="F4287" t="s">
        <v>668</v>
      </c>
      <c r="G4287" t="s">
        <v>59</v>
      </c>
      <c r="H4287">
        <v>2023</v>
      </c>
    </row>
    <row r="4288" spans="1:8" x14ac:dyDescent="0.2">
      <c r="A4288">
        <v>243053</v>
      </c>
      <c r="B4288">
        <v>25000</v>
      </c>
      <c r="C4288" t="str">
        <f t="shared" si="66"/>
        <v>2. $10K-50K</v>
      </c>
      <c r="D4288" t="s">
        <v>1746</v>
      </c>
      <c r="E4288" t="s">
        <v>112</v>
      </c>
      <c r="F4288" t="s">
        <v>668</v>
      </c>
      <c r="G4288" t="s">
        <v>59</v>
      </c>
      <c r="H4288">
        <v>2023</v>
      </c>
    </row>
    <row r="4289" spans="1:8" x14ac:dyDescent="0.2">
      <c r="A4289">
        <v>243064</v>
      </c>
      <c r="B4289">
        <v>6500000</v>
      </c>
      <c r="C4289" t="str">
        <f t="shared" si="66"/>
        <v>2. $10K-50K</v>
      </c>
      <c r="D4289" t="s">
        <v>1747</v>
      </c>
      <c r="E4289" t="s">
        <v>99</v>
      </c>
      <c r="F4289" t="s">
        <v>668</v>
      </c>
      <c r="G4289" t="s">
        <v>59</v>
      </c>
      <c r="H4289">
        <v>2023</v>
      </c>
    </row>
    <row r="4290" spans="1:8" x14ac:dyDescent="0.2">
      <c r="A4290">
        <v>243065</v>
      </c>
      <c r="B4290">
        <v>10000000</v>
      </c>
      <c r="C4290" t="str">
        <f t="shared" si="66"/>
        <v>5. $1M+</v>
      </c>
      <c r="D4290" t="s">
        <v>1748</v>
      </c>
      <c r="E4290" t="s">
        <v>99</v>
      </c>
      <c r="F4290" t="s">
        <v>668</v>
      </c>
      <c r="G4290" t="s">
        <v>59</v>
      </c>
      <c r="H4290">
        <v>2023</v>
      </c>
    </row>
    <row r="4291" spans="1:8" x14ac:dyDescent="0.2">
      <c r="A4291">
        <v>243066</v>
      </c>
      <c r="B4291">
        <v>2999660</v>
      </c>
      <c r="C4291" t="str">
        <f t="shared" ref="C4291:C4354" si="67">IF(B4290&lt;10000,"1. Under $10K",IF(B4290&lt;50000,"2. $10K-50K",IF(B4290&lt;250000,"3. $50K-250K",IF(B4290&lt;1000000,"4. $250K-1M","5. $1M+"))))</f>
        <v>5. $1M+</v>
      </c>
      <c r="D4291" t="s">
        <v>1749</v>
      </c>
      <c r="E4291" t="s">
        <v>99</v>
      </c>
      <c r="F4291" t="s">
        <v>668</v>
      </c>
      <c r="G4291" t="s">
        <v>59</v>
      </c>
      <c r="H4291">
        <v>2023</v>
      </c>
    </row>
    <row r="4292" spans="1:8" x14ac:dyDescent="0.2">
      <c r="A4292">
        <v>243074</v>
      </c>
      <c r="B4292">
        <v>210895.1</v>
      </c>
      <c r="C4292" t="str">
        <f t="shared" si="67"/>
        <v>5. $1M+</v>
      </c>
      <c r="D4292" t="s">
        <v>763</v>
      </c>
      <c r="E4292" t="s">
        <v>42</v>
      </c>
      <c r="F4292" t="s">
        <v>670</v>
      </c>
      <c r="G4292" t="s">
        <v>59</v>
      </c>
      <c r="H4292">
        <v>2023</v>
      </c>
    </row>
    <row r="4293" spans="1:8" x14ac:dyDescent="0.2">
      <c r="A4293">
        <v>243075</v>
      </c>
      <c r="B4293">
        <v>84401.3</v>
      </c>
      <c r="C4293" t="str">
        <f t="shared" si="67"/>
        <v>3. $50K-250K</v>
      </c>
      <c r="D4293" t="s">
        <v>895</v>
      </c>
      <c r="E4293" t="s">
        <v>42</v>
      </c>
      <c r="F4293" t="s">
        <v>670</v>
      </c>
      <c r="G4293" t="s">
        <v>59</v>
      </c>
      <c r="H4293">
        <v>2023</v>
      </c>
    </row>
    <row r="4294" spans="1:8" x14ac:dyDescent="0.2">
      <c r="A4294">
        <v>243076</v>
      </c>
      <c r="B4294">
        <v>118463.8</v>
      </c>
      <c r="C4294" t="str">
        <f t="shared" si="67"/>
        <v>3. $50K-250K</v>
      </c>
      <c r="D4294" t="s">
        <v>674</v>
      </c>
      <c r="E4294" t="s">
        <v>42</v>
      </c>
      <c r="F4294" t="s">
        <v>670</v>
      </c>
      <c r="G4294" t="s">
        <v>59</v>
      </c>
      <c r="H4294">
        <v>2023</v>
      </c>
    </row>
    <row r="4295" spans="1:8" x14ac:dyDescent="0.2">
      <c r="A4295">
        <v>243218</v>
      </c>
      <c r="B4295">
        <v>924000</v>
      </c>
      <c r="C4295" t="str">
        <f t="shared" si="67"/>
        <v>3. $50K-250K</v>
      </c>
      <c r="D4295" t="s">
        <v>1750</v>
      </c>
      <c r="E4295" t="s">
        <v>99</v>
      </c>
      <c r="F4295" t="s">
        <v>668</v>
      </c>
      <c r="G4295" t="s">
        <v>59</v>
      </c>
      <c r="H4295">
        <v>2023</v>
      </c>
    </row>
    <row r="4296" spans="1:8" x14ac:dyDescent="0.2">
      <c r="A4296">
        <v>243219</v>
      </c>
      <c r="B4296">
        <v>2174660</v>
      </c>
      <c r="C4296" t="str">
        <f t="shared" si="67"/>
        <v>4. $250K-1M</v>
      </c>
      <c r="D4296" t="s">
        <v>1751</v>
      </c>
      <c r="E4296" t="s">
        <v>99</v>
      </c>
      <c r="F4296" t="s">
        <v>668</v>
      </c>
      <c r="G4296" t="s">
        <v>59</v>
      </c>
      <c r="H4296">
        <v>2023</v>
      </c>
    </row>
    <row r="4297" spans="1:8" x14ac:dyDescent="0.2">
      <c r="A4297">
        <v>243232</v>
      </c>
      <c r="B4297">
        <v>6500000</v>
      </c>
      <c r="C4297" t="str">
        <f t="shared" si="67"/>
        <v>5. $1M+</v>
      </c>
      <c r="D4297" t="s">
        <v>1748</v>
      </c>
      <c r="E4297" t="s">
        <v>99</v>
      </c>
      <c r="F4297" t="s">
        <v>668</v>
      </c>
      <c r="G4297" t="s">
        <v>59</v>
      </c>
      <c r="H4297">
        <v>2023</v>
      </c>
    </row>
    <row r="4298" spans="1:8" x14ac:dyDescent="0.2">
      <c r="A4298">
        <v>243233</v>
      </c>
      <c r="B4298">
        <v>825000</v>
      </c>
      <c r="C4298" t="str">
        <f t="shared" si="67"/>
        <v>5. $1M+</v>
      </c>
      <c r="D4298" t="s">
        <v>1752</v>
      </c>
      <c r="E4298" t="s">
        <v>99</v>
      </c>
      <c r="F4298" t="s">
        <v>668</v>
      </c>
      <c r="G4298" t="s">
        <v>59</v>
      </c>
      <c r="H4298">
        <v>2023</v>
      </c>
    </row>
    <row r="4299" spans="1:8" x14ac:dyDescent="0.2">
      <c r="A4299">
        <v>243234</v>
      </c>
      <c r="B4299">
        <v>924000</v>
      </c>
      <c r="C4299" t="str">
        <f t="shared" si="67"/>
        <v>4. $250K-1M</v>
      </c>
      <c r="D4299" t="s">
        <v>1753</v>
      </c>
      <c r="E4299" t="s">
        <v>99</v>
      </c>
      <c r="F4299" t="s">
        <v>668</v>
      </c>
      <c r="G4299" t="s">
        <v>59</v>
      </c>
      <c r="H4299">
        <v>2023</v>
      </c>
    </row>
    <row r="4300" spans="1:8" x14ac:dyDescent="0.2">
      <c r="A4300">
        <v>243258</v>
      </c>
      <c r="B4300">
        <v>4920000</v>
      </c>
      <c r="C4300" t="str">
        <f t="shared" si="67"/>
        <v>4. $250K-1M</v>
      </c>
      <c r="D4300" t="s">
        <v>692</v>
      </c>
      <c r="E4300" t="s">
        <v>891</v>
      </c>
      <c r="F4300" t="s">
        <v>670</v>
      </c>
      <c r="G4300" t="s">
        <v>44</v>
      </c>
      <c r="H4300">
        <v>2023</v>
      </c>
    </row>
    <row r="4301" spans="1:8" x14ac:dyDescent="0.2">
      <c r="A4301">
        <v>243392</v>
      </c>
      <c r="B4301">
        <v>454288</v>
      </c>
      <c r="C4301" t="str">
        <f t="shared" si="67"/>
        <v>5. $1M+</v>
      </c>
      <c r="D4301" t="s">
        <v>1754</v>
      </c>
      <c r="E4301" t="s">
        <v>59</v>
      </c>
      <c r="F4301" t="s">
        <v>670</v>
      </c>
      <c r="G4301" t="s">
        <v>101</v>
      </c>
      <c r="H4301">
        <v>2023</v>
      </c>
    </row>
    <row r="4302" spans="1:8" x14ac:dyDescent="0.2">
      <c r="A4302">
        <v>243405</v>
      </c>
      <c r="B4302">
        <v>13000000</v>
      </c>
      <c r="C4302" t="str">
        <f t="shared" si="67"/>
        <v>4. $250K-1M</v>
      </c>
      <c r="D4302" t="s">
        <v>1747</v>
      </c>
      <c r="E4302" t="s">
        <v>99</v>
      </c>
      <c r="F4302" t="s">
        <v>668</v>
      </c>
      <c r="G4302" t="s">
        <v>59</v>
      </c>
      <c r="H4302">
        <v>2023</v>
      </c>
    </row>
    <row r="4303" spans="1:8" x14ac:dyDescent="0.2">
      <c r="A4303">
        <v>243406</v>
      </c>
      <c r="B4303">
        <v>6000</v>
      </c>
      <c r="C4303" t="str">
        <f t="shared" si="67"/>
        <v>5. $1M+</v>
      </c>
      <c r="D4303" t="s">
        <v>1755</v>
      </c>
      <c r="E4303" t="s">
        <v>112</v>
      </c>
      <c r="F4303" t="s">
        <v>668</v>
      </c>
      <c r="G4303" t="s">
        <v>59</v>
      </c>
      <c r="H4303">
        <v>2023</v>
      </c>
    </row>
    <row r="4304" spans="1:8" x14ac:dyDescent="0.2">
      <c r="A4304">
        <v>243444</v>
      </c>
      <c r="B4304">
        <v>10000000</v>
      </c>
      <c r="C4304" t="str">
        <f t="shared" si="67"/>
        <v>1. Under $10K</v>
      </c>
      <c r="D4304" t="s">
        <v>374</v>
      </c>
      <c r="E4304" t="s">
        <v>65</v>
      </c>
      <c r="F4304" t="s">
        <v>43</v>
      </c>
      <c r="G4304" t="s">
        <v>44</v>
      </c>
      <c r="H4304">
        <v>2023</v>
      </c>
    </row>
    <row r="4305" spans="1:8" x14ac:dyDescent="0.2">
      <c r="A4305">
        <v>243458</v>
      </c>
      <c r="B4305">
        <v>609106.19999999995</v>
      </c>
      <c r="C4305" t="str">
        <f t="shared" si="67"/>
        <v>5. $1M+</v>
      </c>
      <c r="D4305" t="s">
        <v>1756</v>
      </c>
      <c r="E4305" t="s">
        <v>59</v>
      </c>
      <c r="F4305" t="s">
        <v>664</v>
      </c>
      <c r="G4305" t="s">
        <v>59</v>
      </c>
      <c r="H4305">
        <v>2023</v>
      </c>
    </row>
    <row r="4306" spans="1:8" x14ac:dyDescent="0.2">
      <c r="A4306">
        <v>243503</v>
      </c>
      <c r="B4306">
        <v>54354.400000000001</v>
      </c>
      <c r="C4306" t="str">
        <f t="shared" si="67"/>
        <v>4. $250K-1M</v>
      </c>
      <c r="D4306" t="s">
        <v>781</v>
      </c>
      <c r="E4306" t="s">
        <v>237</v>
      </c>
      <c r="F4306" t="s">
        <v>670</v>
      </c>
      <c r="G4306" t="s">
        <v>59</v>
      </c>
      <c r="H4306">
        <v>2023</v>
      </c>
    </row>
    <row r="4307" spans="1:8" x14ac:dyDescent="0.2">
      <c r="A4307">
        <v>243518</v>
      </c>
      <c r="B4307">
        <v>300000</v>
      </c>
      <c r="C4307" t="str">
        <f t="shared" si="67"/>
        <v>3. $50K-250K</v>
      </c>
      <c r="D4307" t="s">
        <v>1484</v>
      </c>
      <c r="E4307" t="s">
        <v>99</v>
      </c>
      <c r="F4307" t="s">
        <v>670</v>
      </c>
      <c r="G4307" t="s">
        <v>59</v>
      </c>
      <c r="H4307">
        <v>2023</v>
      </c>
    </row>
    <row r="4308" spans="1:8" x14ac:dyDescent="0.2">
      <c r="A4308">
        <v>243585</v>
      </c>
      <c r="B4308">
        <v>378900</v>
      </c>
      <c r="C4308" t="str">
        <f t="shared" si="67"/>
        <v>4. $250K-1M</v>
      </c>
      <c r="D4308" t="s">
        <v>707</v>
      </c>
      <c r="E4308" t="s">
        <v>237</v>
      </c>
      <c r="F4308" t="s">
        <v>670</v>
      </c>
      <c r="G4308" t="s">
        <v>59</v>
      </c>
      <c r="H4308">
        <v>2023</v>
      </c>
    </row>
    <row r="4309" spans="1:8" x14ac:dyDescent="0.2">
      <c r="A4309">
        <v>243587</v>
      </c>
      <c r="B4309">
        <v>496650</v>
      </c>
      <c r="C4309" t="str">
        <f t="shared" si="67"/>
        <v>4. $250K-1M</v>
      </c>
      <c r="D4309" t="s">
        <v>755</v>
      </c>
      <c r="E4309" t="s">
        <v>237</v>
      </c>
      <c r="F4309" t="s">
        <v>670</v>
      </c>
      <c r="G4309" t="s">
        <v>59</v>
      </c>
      <c r="H4309">
        <v>2023</v>
      </c>
    </row>
    <row r="4310" spans="1:8" x14ac:dyDescent="0.2">
      <c r="A4310">
        <v>243588</v>
      </c>
      <c r="B4310">
        <v>1255365.5</v>
      </c>
      <c r="C4310" t="str">
        <f t="shared" si="67"/>
        <v>4. $250K-1M</v>
      </c>
      <c r="D4310" t="s">
        <v>720</v>
      </c>
      <c r="E4310" t="s">
        <v>237</v>
      </c>
      <c r="F4310" t="s">
        <v>670</v>
      </c>
      <c r="G4310" t="s">
        <v>59</v>
      </c>
      <c r="H4310">
        <v>2023</v>
      </c>
    </row>
    <row r="4311" spans="1:8" x14ac:dyDescent="0.2">
      <c r="A4311">
        <v>243651</v>
      </c>
      <c r="B4311">
        <v>310000</v>
      </c>
      <c r="C4311" t="str">
        <f t="shared" si="67"/>
        <v>5. $1M+</v>
      </c>
      <c r="D4311" t="s">
        <v>925</v>
      </c>
      <c r="E4311" t="s">
        <v>112</v>
      </c>
      <c r="F4311" t="s">
        <v>668</v>
      </c>
      <c r="G4311" t="s">
        <v>59</v>
      </c>
      <c r="H4311">
        <v>2023</v>
      </c>
    </row>
    <row r="4312" spans="1:8" x14ac:dyDescent="0.2">
      <c r="A4312">
        <v>243667</v>
      </c>
      <c r="B4312">
        <v>7660855.5999999996</v>
      </c>
      <c r="C4312" t="str">
        <f t="shared" si="67"/>
        <v>4. $250K-1M</v>
      </c>
      <c r="D4312" t="s">
        <v>213</v>
      </c>
      <c r="E4312" t="s">
        <v>18</v>
      </c>
      <c r="F4312" t="s">
        <v>12</v>
      </c>
      <c r="G4312" t="s">
        <v>10</v>
      </c>
      <c r="H4312">
        <v>2023</v>
      </c>
    </row>
    <row r="4313" spans="1:8" x14ac:dyDescent="0.2">
      <c r="A4313">
        <v>243668</v>
      </c>
      <c r="B4313">
        <v>10000</v>
      </c>
      <c r="C4313" t="str">
        <f t="shared" si="67"/>
        <v>5. $1M+</v>
      </c>
      <c r="D4313" t="s">
        <v>1757</v>
      </c>
      <c r="E4313" t="s">
        <v>112</v>
      </c>
      <c r="F4313" t="s">
        <v>668</v>
      </c>
      <c r="G4313" t="s">
        <v>59</v>
      </c>
      <c r="H4313">
        <v>2023</v>
      </c>
    </row>
    <row r="4314" spans="1:8" x14ac:dyDescent="0.2">
      <c r="A4314">
        <v>243907</v>
      </c>
      <c r="B4314">
        <v>7598134</v>
      </c>
      <c r="C4314" t="str">
        <f t="shared" si="67"/>
        <v>2. $10K-50K</v>
      </c>
      <c r="D4314" t="s">
        <v>375</v>
      </c>
      <c r="E4314" t="s">
        <v>24</v>
      </c>
      <c r="F4314" t="s">
        <v>22</v>
      </c>
      <c r="G4314" t="s">
        <v>10</v>
      </c>
      <c r="H4314">
        <v>2023</v>
      </c>
    </row>
    <row r="4315" spans="1:8" x14ac:dyDescent="0.2">
      <c r="A4315">
        <v>243908</v>
      </c>
      <c r="B4315">
        <v>33507752.800000001</v>
      </c>
      <c r="C4315" t="str">
        <f t="shared" si="67"/>
        <v>5. $1M+</v>
      </c>
      <c r="D4315" t="s">
        <v>365</v>
      </c>
      <c r="E4315" t="s">
        <v>24</v>
      </c>
      <c r="F4315" t="s">
        <v>22</v>
      </c>
      <c r="G4315" t="s">
        <v>10</v>
      </c>
      <c r="H4315">
        <v>2024</v>
      </c>
    </row>
    <row r="4316" spans="1:8" x14ac:dyDescent="0.2">
      <c r="A4316">
        <v>243941</v>
      </c>
      <c r="B4316">
        <v>4298398</v>
      </c>
      <c r="C4316" t="str">
        <f t="shared" si="67"/>
        <v>5. $1M+</v>
      </c>
      <c r="D4316" t="s">
        <v>928</v>
      </c>
      <c r="E4316" t="s">
        <v>237</v>
      </c>
      <c r="F4316" t="s">
        <v>670</v>
      </c>
      <c r="G4316" t="s">
        <v>59</v>
      </c>
      <c r="H4316">
        <v>2023</v>
      </c>
    </row>
    <row r="4317" spans="1:8" x14ac:dyDescent="0.2">
      <c r="A4317">
        <v>243992</v>
      </c>
      <c r="B4317">
        <v>28826998.199999999</v>
      </c>
      <c r="C4317" t="str">
        <f t="shared" si="67"/>
        <v>5. $1M+</v>
      </c>
      <c r="D4317" t="s">
        <v>376</v>
      </c>
      <c r="E4317" t="s">
        <v>24</v>
      </c>
      <c r="F4317" t="s">
        <v>22</v>
      </c>
      <c r="G4317" t="s">
        <v>10</v>
      </c>
      <c r="H4317">
        <v>2023</v>
      </c>
    </row>
    <row r="4318" spans="1:8" x14ac:dyDescent="0.2">
      <c r="A4318">
        <v>244008</v>
      </c>
      <c r="B4318">
        <v>7534080</v>
      </c>
      <c r="C4318" t="str">
        <f t="shared" si="67"/>
        <v>5. $1M+</v>
      </c>
      <c r="D4318" t="s">
        <v>377</v>
      </c>
      <c r="E4318" t="s">
        <v>49</v>
      </c>
      <c r="F4318" t="s">
        <v>12</v>
      </c>
      <c r="G4318" t="s">
        <v>10</v>
      </c>
      <c r="H4318">
        <v>2023</v>
      </c>
    </row>
    <row r="4319" spans="1:8" x14ac:dyDescent="0.2">
      <c r="A4319">
        <v>24406</v>
      </c>
      <c r="B4319">
        <v>187927</v>
      </c>
      <c r="C4319" t="str">
        <f t="shared" si="67"/>
        <v>5. $1M+</v>
      </c>
      <c r="D4319" t="s">
        <v>1758</v>
      </c>
      <c r="E4319" t="s">
        <v>59</v>
      </c>
      <c r="F4319" t="s">
        <v>664</v>
      </c>
      <c r="G4319" t="s">
        <v>59</v>
      </c>
      <c r="H4319">
        <v>2023</v>
      </c>
    </row>
    <row r="4320" spans="1:8" x14ac:dyDescent="0.2">
      <c r="A4320">
        <v>244095</v>
      </c>
      <c r="B4320">
        <v>1934349.5</v>
      </c>
      <c r="C4320" t="str">
        <f t="shared" si="67"/>
        <v>3. $50K-250K</v>
      </c>
      <c r="D4320" t="s">
        <v>695</v>
      </c>
      <c r="E4320" t="s">
        <v>237</v>
      </c>
      <c r="F4320" t="s">
        <v>670</v>
      </c>
      <c r="G4320" t="s">
        <v>59</v>
      </c>
      <c r="H4320">
        <v>2023</v>
      </c>
    </row>
    <row r="4321" spans="1:8" x14ac:dyDescent="0.2">
      <c r="A4321">
        <v>244127</v>
      </c>
      <c r="B4321">
        <v>200000</v>
      </c>
      <c r="C4321" t="str">
        <f t="shared" si="67"/>
        <v>5. $1M+</v>
      </c>
      <c r="D4321" t="s">
        <v>852</v>
      </c>
      <c r="E4321" t="s">
        <v>237</v>
      </c>
      <c r="F4321" t="s">
        <v>670</v>
      </c>
      <c r="G4321" t="s">
        <v>59</v>
      </c>
      <c r="H4321">
        <v>2023</v>
      </c>
    </row>
    <row r="4322" spans="1:8" x14ac:dyDescent="0.2">
      <c r="A4322">
        <v>244238</v>
      </c>
      <c r="B4322">
        <v>3481926.5999999898</v>
      </c>
      <c r="C4322" t="str">
        <f t="shared" si="67"/>
        <v>3. $50K-250K</v>
      </c>
      <c r="D4322" t="s">
        <v>378</v>
      </c>
      <c r="E4322" t="s">
        <v>69</v>
      </c>
      <c r="F4322" t="s">
        <v>12</v>
      </c>
      <c r="G4322" t="s">
        <v>10</v>
      </c>
      <c r="H4322">
        <v>2023</v>
      </c>
    </row>
    <row r="4323" spans="1:8" x14ac:dyDescent="0.2">
      <c r="A4323">
        <v>244365</v>
      </c>
      <c r="B4323">
        <v>10644</v>
      </c>
      <c r="C4323" t="str">
        <f t="shared" si="67"/>
        <v>5. $1M+</v>
      </c>
      <c r="D4323" t="s">
        <v>1474</v>
      </c>
      <c r="E4323" t="s">
        <v>178</v>
      </c>
      <c r="F4323" t="s">
        <v>668</v>
      </c>
      <c r="G4323" t="s">
        <v>59</v>
      </c>
      <c r="H4323">
        <v>2023</v>
      </c>
    </row>
    <row r="4324" spans="1:8" x14ac:dyDescent="0.2">
      <c r="A4324">
        <v>244378</v>
      </c>
      <c r="B4324">
        <v>300000</v>
      </c>
      <c r="C4324" t="str">
        <f t="shared" si="67"/>
        <v>2. $10K-50K</v>
      </c>
      <c r="D4324" t="s">
        <v>1759</v>
      </c>
      <c r="E4324" t="s">
        <v>99</v>
      </c>
      <c r="F4324" t="s">
        <v>670</v>
      </c>
      <c r="G4324" t="s">
        <v>59</v>
      </c>
      <c r="H4324">
        <v>2023</v>
      </c>
    </row>
    <row r="4325" spans="1:8" x14ac:dyDescent="0.2">
      <c r="A4325">
        <v>244380</v>
      </c>
      <c r="B4325">
        <v>950000</v>
      </c>
      <c r="C4325" t="str">
        <f t="shared" si="67"/>
        <v>4. $250K-1M</v>
      </c>
      <c r="D4325" t="s">
        <v>1760</v>
      </c>
      <c r="E4325" t="s">
        <v>99</v>
      </c>
      <c r="F4325" t="s">
        <v>668</v>
      </c>
      <c r="G4325" t="s">
        <v>59</v>
      </c>
      <c r="H4325">
        <v>2023</v>
      </c>
    </row>
    <row r="4326" spans="1:8" x14ac:dyDescent="0.2">
      <c r="A4326">
        <v>244381</v>
      </c>
      <c r="B4326">
        <v>250000</v>
      </c>
      <c r="C4326" t="str">
        <f t="shared" si="67"/>
        <v>4. $250K-1M</v>
      </c>
      <c r="D4326" t="s">
        <v>1761</v>
      </c>
      <c r="E4326" t="s">
        <v>99</v>
      </c>
      <c r="F4326" t="s">
        <v>668</v>
      </c>
      <c r="G4326" t="s">
        <v>59</v>
      </c>
      <c r="H4326">
        <v>2023</v>
      </c>
    </row>
    <row r="4327" spans="1:8" x14ac:dyDescent="0.2">
      <c r="A4327">
        <v>244383</v>
      </c>
      <c r="B4327">
        <v>950000</v>
      </c>
      <c r="C4327" t="str">
        <f t="shared" si="67"/>
        <v>4. $250K-1M</v>
      </c>
      <c r="D4327" t="s">
        <v>1762</v>
      </c>
      <c r="E4327" t="s">
        <v>99</v>
      </c>
      <c r="F4327" t="s">
        <v>668</v>
      </c>
      <c r="G4327" t="s">
        <v>59</v>
      </c>
      <c r="H4327">
        <v>2023</v>
      </c>
    </row>
    <row r="4328" spans="1:8" x14ac:dyDescent="0.2">
      <c r="A4328">
        <v>244386</v>
      </c>
      <c r="B4328">
        <v>15682.4</v>
      </c>
      <c r="C4328" t="str">
        <f t="shared" si="67"/>
        <v>4. $250K-1M</v>
      </c>
      <c r="D4328" t="s">
        <v>1176</v>
      </c>
      <c r="E4328" t="s">
        <v>237</v>
      </c>
      <c r="F4328" t="s">
        <v>670</v>
      </c>
      <c r="G4328" t="s">
        <v>59</v>
      </c>
      <c r="H4328">
        <v>2023</v>
      </c>
    </row>
    <row r="4329" spans="1:8" x14ac:dyDescent="0.2">
      <c r="A4329">
        <v>244499</v>
      </c>
      <c r="B4329">
        <v>1304500</v>
      </c>
      <c r="C4329" t="str">
        <f t="shared" si="67"/>
        <v>2. $10K-50K</v>
      </c>
      <c r="D4329" t="s">
        <v>297</v>
      </c>
      <c r="E4329" t="s">
        <v>8</v>
      </c>
      <c r="F4329" t="s">
        <v>12</v>
      </c>
      <c r="G4329" t="s">
        <v>10</v>
      </c>
      <c r="H4329">
        <v>2023</v>
      </c>
    </row>
    <row r="4330" spans="1:8" x14ac:dyDescent="0.2">
      <c r="A4330">
        <v>244500</v>
      </c>
      <c r="B4330">
        <v>250000</v>
      </c>
      <c r="C4330" t="str">
        <f t="shared" si="67"/>
        <v>5. $1M+</v>
      </c>
      <c r="D4330" t="s">
        <v>1763</v>
      </c>
      <c r="E4330" t="s">
        <v>99</v>
      </c>
      <c r="F4330" t="s">
        <v>668</v>
      </c>
      <c r="G4330" t="s">
        <v>59</v>
      </c>
      <c r="H4330">
        <v>2023</v>
      </c>
    </row>
    <row r="4331" spans="1:8" x14ac:dyDescent="0.2">
      <c r="A4331">
        <v>244501</v>
      </c>
      <c r="B4331">
        <v>2500000</v>
      </c>
      <c r="C4331" t="str">
        <f t="shared" si="67"/>
        <v>4. $250K-1M</v>
      </c>
      <c r="D4331" t="s">
        <v>1285</v>
      </c>
      <c r="E4331" t="s">
        <v>99</v>
      </c>
      <c r="F4331" t="s">
        <v>668</v>
      </c>
      <c r="G4331" t="s">
        <v>59</v>
      </c>
      <c r="H4331">
        <v>2023</v>
      </c>
    </row>
    <row r="4332" spans="1:8" x14ac:dyDescent="0.2">
      <c r="A4332">
        <v>244502</v>
      </c>
      <c r="B4332">
        <v>21560000</v>
      </c>
      <c r="C4332" t="str">
        <f t="shared" si="67"/>
        <v>5. $1M+</v>
      </c>
      <c r="D4332" t="s">
        <v>1764</v>
      </c>
      <c r="E4332" t="s">
        <v>99</v>
      </c>
      <c r="F4332" t="s">
        <v>668</v>
      </c>
      <c r="G4332" t="s">
        <v>59</v>
      </c>
      <c r="H4332">
        <v>2023</v>
      </c>
    </row>
    <row r="4333" spans="1:8" x14ac:dyDescent="0.2">
      <c r="A4333">
        <v>244503</v>
      </c>
      <c r="B4333">
        <v>5670000</v>
      </c>
      <c r="C4333" t="str">
        <f t="shared" si="67"/>
        <v>5. $1M+</v>
      </c>
      <c r="D4333" t="s">
        <v>1764</v>
      </c>
      <c r="E4333" t="s">
        <v>99</v>
      </c>
      <c r="F4333" t="s">
        <v>668</v>
      </c>
      <c r="G4333" t="s">
        <v>59</v>
      </c>
      <c r="H4333">
        <v>2023</v>
      </c>
    </row>
    <row r="4334" spans="1:8" x14ac:dyDescent="0.2">
      <c r="A4334">
        <v>244618</v>
      </c>
      <c r="B4334">
        <v>740791</v>
      </c>
      <c r="C4334" t="str">
        <f t="shared" si="67"/>
        <v>5. $1M+</v>
      </c>
      <c r="D4334" t="s">
        <v>365</v>
      </c>
      <c r="E4334" t="s">
        <v>24</v>
      </c>
      <c r="F4334" t="s">
        <v>22</v>
      </c>
      <c r="G4334" t="s">
        <v>10</v>
      </c>
      <c r="H4334">
        <v>2024</v>
      </c>
    </row>
    <row r="4335" spans="1:8" x14ac:dyDescent="0.2">
      <c r="A4335">
        <v>244632</v>
      </c>
      <c r="B4335">
        <v>23001180.099999901</v>
      </c>
      <c r="C4335" t="str">
        <f t="shared" si="67"/>
        <v>4. $250K-1M</v>
      </c>
      <c r="D4335" t="s">
        <v>7</v>
      </c>
      <c r="E4335" t="s">
        <v>8</v>
      </c>
      <c r="F4335" t="s">
        <v>9</v>
      </c>
      <c r="G4335" t="s">
        <v>10</v>
      </c>
      <c r="H4335">
        <v>2024</v>
      </c>
    </row>
    <row r="4336" spans="1:8" x14ac:dyDescent="0.2">
      <c r="A4336">
        <v>244688</v>
      </c>
      <c r="B4336">
        <v>29913</v>
      </c>
      <c r="C4336" t="str">
        <f t="shared" si="67"/>
        <v>5. $1M+</v>
      </c>
      <c r="D4336" t="s">
        <v>1475</v>
      </c>
      <c r="E4336" t="s">
        <v>207</v>
      </c>
      <c r="F4336" t="s">
        <v>670</v>
      </c>
      <c r="G4336" t="s">
        <v>372</v>
      </c>
      <c r="H4336">
        <v>2024</v>
      </c>
    </row>
    <row r="4337" spans="1:8" x14ac:dyDescent="0.2">
      <c r="A4337">
        <v>244700</v>
      </c>
      <c r="B4337">
        <v>179495.8</v>
      </c>
      <c r="C4337" t="str">
        <f t="shared" si="67"/>
        <v>2. $10K-50K</v>
      </c>
      <c r="D4337" t="s">
        <v>999</v>
      </c>
      <c r="E4337" t="s">
        <v>237</v>
      </c>
      <c r="F4337" t="s">
        <v>670</v>
      </c>
      <c r="G4337" t="s">
        <v>59</v>
      </c>
      <c r="H4337">
        <v>2023</v>
      </c>
    </row>
    <row r="4338" spans="1:8" x14ac:dyDescent="0.2">
      <c r="A4338">
        <v>244701</v>
      </c>
      <c r="B4338">
        <v>6000000</v>
      </c>
      <c r="C4338" t="str">
        <f t="shared" si="67"/>
        <v>3. $50K-250K</v>
      </c>
      <c r="D4338" t="s">
        <v>863</v>
      </c>
      <c r="E4338" t="s">
        <v>237</v>
      </c>
      <c r="F4338" t="s">
        <v>670</v>
      </c>
      <c r="G4338" t="s">
        <v>59</v>
      </c>
      <c r="H4338">
        <v>2023</v>
      </c>
    </row>
    <row r="4339" spans="1:8" x14ac:dyDescent="0.2">
      <c r="A4339">
        <v>244703</v>
      </c>
      <c r="B4339">
        <v>300000</v>
      </c>
      <c r="C4339" t="str">
        <f t="shared" si="67"/>
        <v>5. $1M+</v>
      </c>
      <c r="D4339" t="s">
        <v>1372</v>
      </c>
      <c r="E4339" t="s">
        <v>99</v>
      </c>
      <c r="F4339" t="s">
        <v>670</v>
      </c>
      <c r="G4339" t="s">
        <v>59</v>
      </c>
      <c r="H4339">
        <v>2023</v>
      </c>
    </row>
    <row r="4340" spans="1:8" x14ac:dyDescent="0.2">
      <c r="A4340">
        <v>244719</v>
      </c>
      <c r="B4340">
        <v>300000</v>
      </c>
      <c r="C4340" t="str">
        <f t="shared" si="67"/>
        <v>4. $250K-1M</v>
      </c>
      <c r="D4340" t="s">
        <v>1490</v>
      </c>
      <c r="E4340" t="s">
        <v>99</v>
      </c>
      <c r="F4340" t="s">
        <v>670</v>
      </c>
      <c r="G4340" t="s">
        <v>59</v>
      </c>
      <c r="H4340">
        <v>2023</v>
      </c>
    </row>
    <row r="4341" spans="1:8" x14ac:dyDescent="0.2">
      <c r="A4341">
        <v>244725</v>
      </c>
      <c r="B4341">
        <v>250000</v>
      </c>
      <c r="C4341" t="str">
        <f t="shared" si="67"/>
        <v>4. $250K-1M</v>
      </c>
      <c r="D4341" t="s">
        <v>1765</v>
      </c>
      <c r="E4341" t="s">
        <v>112</v>
      </c>
      <c r="F4341" t="s">
        <v>668</v>
      </c>
      <c r="G4341" t="s">
        <v>59</v>
      </c>
      <c r="H4341">
        <v>2023</v>
      </c>
    </row>
    <row r="4342" spans="1:8" x14ac:dyDescent="0.2">
      <c r="A4342">
        <v>244734</v>
      </c>
      <c r="B4342">
        <v>3000000</v>
      </c>
      <c r="C4342" t="str">
        <f t="shared" si="67"/>
        <v>4. $250K-1M</v>
      </c>
      <c r="D4342" t="s">
        <v>68</v>
      </c>
      <c r="E4342" t="s">
        <v>152</v>
      </c>
      <c r="F4342" t="s">
        <v>14</v>
      </c>
      <c r="G4342" t="s">
        <v>61</v>
      </c>
      <c r="H4342">
        <v>2023</v>
      </c>
    </row>
    <row r="4343" spans="1:8" x14ac:dyDescent="0.2">
      <c r="A4343">
        <v>244750</v>
      </c>
      <c r="B4343">
        <v>100000</v>
      </c>
      <c r="C4343" t="str">
        <f t="shared" si="67"/>
        <v>5. $1M+</v>
      </c>
      <c r="D4343" t="s">
        <v>1766</v>
      </c>
      <c r="E4343" t="s">
        <v>59</v>
      </c>
      <c r="F4343" t="s">
        <v>664</v>
      </c>
      <c r="G4343" t="s">
        <v>59</v>
      </c>
      <c r="H4343">
        <v>2023</v>
      </c>
    </row>
    <row r="4344" spans="1:8" x14ac:dyDescent="0.2">
      <c r="A4344">
        <v>244753</v>
      </c>
      <c r="B4344">
        <v>125000</v>
      </c>
      <c r="C4344" t="str">
        <f t="shared" si="67"/>
        <v>3. $50K-250K</v>
      </c>
      <c r="D4344" t="s">
        <v>1651</v>
      </c>
      <c r="E4344" t="s">
        <v>432</v>
      </c>
      <c r="F4344" t="s">
        <v>670</v>
      </c>
      <c r="G4344" t="s">
        <v>59</v>
      </c>
      <c r="H4344">
        <v>2023</v>
      </c>
    </row>
    <row r="4345" spans="1:8" x14ac:dyDescent="0.2">
      <c r="A4345">
        <v>244791</v>
      </c>
      <c r="B4345">
        <v>313915.59999999998</v>
      </c>
      <c r="C4345" t="str">
        <f t="shared" si="67"/>
        <v>3. $50K-250K</v>
      </c>
      <c r="D4345" t="s">
        <v>706</v>
      </c>
      <c r="E4345" t="s">
        <v>237</v>
      </c>
      <c r="F4345" t="s">
        <v>670</v>
      </c>
      <c r="G4345" t="s">
        <v>59</v>
      </c>
      <c r="H4345">
        <v>2023</v>
      </c>
    </row>
    <row r="4346" spans="1:8" x14ac:dyDescent="0.2">
      <c r="A4346">
        <v>244805</v>
      </c>
      <c r="B4346">
        <v>41458.699999999997</v>
      </c>
      <c r="C4346" t="str">
        <f t="shared" si="67"/>
        <v>4. $250K-1M</v>
      </c>
      <c r="D4346" t="s">
        <v>1046</v>
      </c>
      <c r="E4346" t="s">
        <v>237</v>
      </c>
      <c r="F4346" t="s">
        <v>670</v>
      </c>
      <c r="G4346" t="s">
        <v>59</v>
      </c>
      <c r="H4346">
        <v>2023</v>
      </c>
    </row>
    <row r="4347" spans="1:8" x14ac:dyDescent="0.2">
      <c r="A4347">
        <v>244882</v>
      </c>
      <c r="B4347">
        <v>250000</v>
      </c>
      <c r="C4347" t="str">
        <f t="shared" si="67"/>
        <v>2. $10K-50K</v>
      </c>
      <c r="D4347" t="s">
        <v>1767</v>
      </c>
      <c r="E4347" t="s">
        <v>99</v>
      </c>
      <c r="F4347" t="s">
        <v>668</v>
      </c>
      <c r="G4347" t="s">
        <v>59</v>
      </c>
      <c r="H4347">
        <v>2023</v>
      </c>
    </row>
    <row r="4348" spans="1:8" x14ac:dyDescent="0.2">
      <c r="A4348">
        <v>244884</v>
      </c>
      <c r="B4348">
        <v>250000</v>
      </c>
      <c r="C4348" t="str">
        <f t="shared" si="67"/>
        <v>4. $250K-1M</v>
      </c>
      <c r="D4348" t="s">
        <v>1094</v>
      </c>
      <c r="E4348" t="s">
        <v>99</v>
      </c>
      <c r="F4348" t="s">
        <v>668</v>
      </c>
      <c r="G4348" t="s">
        <v>59</v>
      </c>
      <c r="H4348">
        <v>2023</v>
      </c>
    </row>
    <row r="4349" spans="1:8" x14ac:dyDescent="0.2">
      <c r="A4349">
        <v>244886</v>
      </c>
      <c r="B4349">
        <v>3045000</v>
      </c>
      <c r="C4349" t="str">
        <f t="shared" si="67"/>
        <v>4. $250K-1M</v>
      </c>
      <c r="D4349" t="s">
        <v>1768</v>
      </c>
      <c r="E4349" t="s">
        <v>99</v>
      </c>
      <c r="F4349" t="s">
        <v>668</v>
      </c>
      <c r="G4349" t="s">
        <v>59</v>
      </c>
      <c r="H4349">
        <v>2023</v>
      </c>
    </row>
    <row r="4350" spans="1:8" x14ac:dyDescent="0.2">
      <c r="A4350">
        <v>244892</v>
      </c>
      <c r="B4350">
        <v>500000</v>
      </c>
      <c r="C4350" t="str">
        <f t="shared" si="67"/>
        <v>5. $1M+</v>
      </c>
      <c r="D4350" t="s">
        <v>1332</v>
      </c>
      <c r="E4350" t="s">
        <v>112</v>
      </c>
      <c r="F4350" t="s">
        <v>668</v>
      </c>
      <c r="G4350" t="s">
        <v>59</v>
      </c>
      <c r="H4350">
        <v>2023</v>
      </c>
    </row>
    <row r="4351" spans="1:8" x14ac:dyDescent="0.2">
      <c r="A4351">
        <v>244897</v>
      </c>
      <c r="B4351">
        <v>500000</v>
      </c>
      <c r="C4351" t="str">
        <f t="shared" si="67"/>
        <v>4. $250K-1M</v>
      </c>
      <c r="D4351" t="s">
        <v>1155</v>
      </c>
      <c r="E4351" t="s">
        <v>112</v>
      </c>
      <c r="F4351" t="s">
        <v>668</v>
      </c>
      <c r="G4351" t="s">
        <v>59</v>
      </c>
      <c r="H4351">
        <v>2023</v>
      </c>
    </row>
    <row r="4352" spans="1:8" x14ac:dyDescent="0.2">
      <c r="A4352">
        <v>244906</v>
      </c>
      <c r="B4352">
        <v>2500</v>
      </c>
      <c r="C4352" t="str">
        <f t="shared" si="67"/>
        <v>4. $250K-1M</v>
      </c>
      <c r="D4352" t="s">
        <v>1769</v>
      </c>
      <c r="E4352" t="s">
        <v>112</v>
      </c>
      <c r="F4352" t="s">
        <v>668</v>
      </c>
      <c r="G4352" t="s">
        <v>59</v>
      </c>
      <c r="H4352">
        <v>2023</v>
      </c>
    </row>
    <row r="4353" spans="1:8" x14ac:dyDescent="0.2">
      <c r="A4353">
        <v>244907</v>
      </c>
      <c r="B4353">
        <v>2500</v>
      </c>
      <c r="C4353" t="str">
        <f t="shared" si="67"/>
        <v>1. Under $10K</v>
      </c>
      <c r="D4353" t="s">
        <v>1529</v>
      </c>
      <c r="E4353" t="s">
        <v>112</v>
      </c>
      <c r="F4353" t="s">
        <v>668</v>
      </c>
      <c r="G4353" t="s">
        <v>59</v>
      </c>
      <c r="H4353">
        <v>2023</v>
      </c>
    </row>
    <row r="4354" spans="1:8" x14ac:dyDescent="0.2">
      <c r="A4354">
        <v>244908</v>
      </c>
      <c r="B4354">
        <v>45000</v>
      </c>
      <c r="C4354" t="str">
        <f t="shared" si="67"/>
        <v>1. Under $10K</v>
      </c>
      <c r="D4354" t="s">
        <v>1770</v>
      </c>
      <c r="E4354" t="s">
        <v>112</v>
      </c>
      <c r="F4354" t="s">
        <v>668</v>
      </c>
      <c r="G4354" t="s">
        <v>59</v>
      </c>
      <c r="H4354">
        <v>2023</v>
      </c>
    </row>
    <row r="4355" spans="1:8" x14ac:dyDescent="0.2">
      <c r="A4355">
        <v>244911</v>
      </c>
      <c r="B4355">
        <v>45000</v>
      </c>
      <c r="C4355" t="str">
        <f t="shared" ref="C4355:C4418" si="68">IF(B4354&lt;10000,"1. Under $10K",IF(B4354&lt;50000,"2. $10K-50K",IF(B4354&lt;250000,"3. $50K-250K",IF(B4354&lt;1000000,"4. $250K-1M","5. $1M+"))))</f>
        <v>2. $10K-50K</v>
      </c>
      <c r="D4355" t="s">
        <v>1152</v>
      </c>
      <c r="E4355" t="s">
        <v>112</v>
      </c>
      <c r="F4355" t="s">
        <v>668</v>
      </c>
      <c r="G4355" t="s">
        <v>59</v>
      </c>
      <c r="H4355">
        <v>2023</v>
      </c>
    </row>
    <row r="4356" spans="1:8" x14ac:dyDescent="0.2">
      <c r="A4356">
        <v>244913</v>
      </c>
      <c r="B4356">
        <v>2500</v>
      </c>
      <c r="C4356" t="str">
        <f t="shared" si="68"/>
        <v>2. $10K-50K</v>
      </c>
      <c r="D4356" t="s">
        <v>1771</v>
      </c>
      <c r="E4356" t="s">
        <v>112</v>
      </c>
      <c r="F4356" t="s">
        <v>668</v>
      </c>
      <c r="G4356" t="s">
        <v>59</v>
      </c>
      <c r="H4356">
        <v>2023</v>
      </c>
    </row>
    <row r="4357" spans="1:8" x14ac:dyDescent="0.2">
      <c r="A4357">
        <v>245069</v>
      </c>
      <c r="B4357">
        <v>6000</v>
      </c>
      <c r="C4357" t="str">
        <f t="shared" si="68"/>
        <v>1. Under $10K</v>
      </c>
      <c r="D4357" t="s">
        <v>1772</v>
      </c>
      <c r="E4357" t="s">
        <v>112</v>
      </c>
      <c r="F4357" t="s">
        <v>668</v>
      </c>
      <c r="G4357" t="s">
        <v>59</v>
      </c>
      <c r="H4357">
        <v>2023</v>
      </c>
    </row>
    <row r="4358" spans="1:8" x14ac:dyDescent="0.2">
      <c r="A4358">
        <v>245077</v>
      </c>
      <c r="B4358">
        <v>1602113.1</v>
      </c>
      <c r="C4358" t="str">
        <f t="shared" si="68"/>
        <v>1. Under $10K</v>
      </c>
      <c r="D4358" t="s">
        <v>698</v>
      </c>
      <c r="E4358" t="s">
        <v>237</v>
      </c>
      <c r="F4358" t="s">
        <v>670</v>
      </c>
      <c r="G4358" t="s">
        <v>59</v>
      </c>
      <c r="H4358">
        <v>2023</v>
      </c>
    </row>
    <row r="4359" spans="1:8" x14ac:dyDescent="0.2">
      <c r="A4359">
        <v>245078</v>
      </c>
      <c r="B4359">
        <v>6000</v>
      </c>
      <c r="C4359" t="str">
        <f t="shared" si="68"/>
        <v>5. $1M+</v>
      </c>
      <c r="D4359" t="s">
        <v>1773</v>
      </c>
      <c r="E4359" t="s">
        <v>112</v>
      </c>
      <c r="F4359" t="s">
        <v>668</v>
      </c>
      <c r="G4359" t="s">
        <v>59</v>
      </c>
      <c r="H4359">
        <v>2023</v>
      </c>
    </row>
    <row r="4360" spans="1:8" x14ac:dyDescent="0.2">
      <c r="A4360">
        <v>245084</v>
      </c>
      <c r="B4360">
        <v>6000</v>
      </c>
      <c r="C4360" t="str">
        <f t="shared" si="68"/>
        <v>1. Under $10K</v>
      </c>
      <c r="D4360" t="s">
        <v>1774</v>
      </c>
      <c r="E4360" t="s">
        <v>112</v>
      </c>
      <c r="F4360" t="s">
        <v>668</v>
      </c>
      <c r="G4360" t="s">
        <v>59</v>
      </c>
      <c r="H4360">
        <v>2023</v>
      </c>
    </row>
    <row r="4361" spans="1:8" x14ac:dyDescent="0.2">
      <c r="A4361">
        <v>245091</v>
      </c>
      <c r="B4361">
        <v>2550000</v>
      </c>
      <c r="C4361" t="str">
        <f t="shared" si="68"/>
        <v>1. Under $10K</v>
      </c>
      <c r="D4361" t="s">
        <v>836</v>
      </c>
      <c r="E4361" t="s">
        <v>237</v>
      </c>
      <c r="F4361" t="s">
        <v>670</v>
      </c>
      <c r="G4361" t="s">
        <v>44</v>
      </c>
      <c r="H4361">
        <v>2023</v>
      </c>
    </row>
    <row r="4362" spans="1:8" x14ac:dyDescent="0.2">
      <c r="A4362">
        <v>245112</v>
      </c>
      <c r="B4362">
        <v>752141</v>
      </c>
      <c r="C4362" t="str">
        <f t="shared" si="68"/>
        <v>5. $1M+</v>
      </c>
      <c r="D4362" t="s">
        <v>805</v>
      </c>
      <c r="E4362" t="s">
        <v>237</v>
      </c>
      <c r="F4362" t="s">
        <v>670</v>
      </c>
      <c r="G4362" t="s">
        <v>59</v>
      </c>
      <c r="H4362">
        <v>2023</v>
      </c>
    </row>
    <row r="4363" spans="1:8" x14ac:dyDescent="0.2">
      <c r="A4363">
        <v>245113</v>
      </c>
      <c r="B4363">
        <v>758390.5</v>
      </c>
      <c r="C4363" t="str">
        <f t="shared" si="68"/>
        <v>4. $250K-1M</v>
      </c>
      <c r="D4363" t="s">
        <v>1094</v>
      </c>
      <c r="E4363" t="s">
        <v>237</v>
      </c>
      <c r="F4363" t="s">
        <v>670</v>
      </c>
      <c r="G4363" t="s">
        <v>59</v>
      </c>
      <c r="H4363">
        <v>2023</v>
      </c>
    </row>
    <row r="4364" spans="1:8" x14ac:dyDescent="0.2">
      <c r="A4364">
        <v>245114</v>
      </c>
      <c r="B4364">
        <v>610027.5</v>
      </c>
      <c r="C4364" t="str">
        <f t="shared" si="68"/>
        <v>4. $250K-1M</v>
      </c>
      <c r="D4364" t="s">
        <v>983</v>
      </c>
      <c r="E4364" t="s">
        <v>237</v>
      </c>
      <c r="F4364" t="s">
        <v>670</v>
      </c>
      <c r="G4364" t="s">
        <v>59</v>
      </c>
      <c r="H4364">
        <v>2023</v>
      </c>
    </row>
    <row r="4365" spans="1:8" x14ac:dyDescent="0.2">
      <c r="A4365">
        <v>245115</v>
      </c>
      <c r="B4365">
        <v>887556.5</v>
      </c>
      <c r="C4365" t="str">
        <f t="shared" si="68"/>
        <v>4. $250K-1M</v>
      </c>
      <c r="D4365" t="s">
        <v>799</v>
      </c>
      <c r="E4365" t="s">
        <v>237</v>
      </c>
      <c r="F4365" t="s">
        <v>670</v>
      </c>
      <c r="G4365" t="s">
        <v>59</v>
      </c>
      <c r="H4365">
        <v>2023</v>
      </c>
    </row>
    <row r="4366" spans="1:8" x14ac:dyDescent="0.2">
      <c r="A4366">
        <v>245116</v>
      </c>
      <c r="B4366">
        <v>890842.5</v>
      </c>
      <c r="C4366" t="str">
        <f t="shared" si="68"/>
        <v>4. $250K-1M</v>
      </c>
      <c r="D4366" t="s">
        <v>799</v>
      </c>
      <c r="E4366" t="s">
        <v>237</v>
      </c>
      <c r="F4366" t="s">
        <v>670</v>
      </c>
      <c r="G4366" t="s">
        <v>59</v>
      </c>
      <c r="H4366">
        <v>2023</v>
      </c>
    </row>
    <row r="4367" spans="1:8" x14ac:dyDescent="0.2">
      <c r="A4367">
        <v>24516</v>
      </c>
      <c r="B4367">
        <v>650000</v>
      </c>
      <c r="C4367" t="str">
        <f t="shared" si="68"/>
        <v>4. $250K-1M</v>
      </c>
      <c r="D4367" t="s">
        <v>379</v>
      </c>
      <c r="E4367" t="s">
        <v>18</v>
      </c>
      <c r="F4367" t="s">
        <v>12</v>
      </c>
      <c r="G4367" t="s">
        <v>10</v>
      </c>
      <c r="H4367">
        <v>2024</v>
      </c>
    </row>
    <row r="4368" spans="1:8" x14ac:dyDescent="0.2">
      <c r="A4368">
        <v>24517</v>
      </c>
      <c r="B4368">
        <v>1280000</v>
      </c>
      <c r="C4368" t="str">
        <f t="shared" si="68"/>
        <v>4. $250K-1M</v>
      </c>
      <c r="D4368" t="s">
        <v>380</v>
      </c>
      <c r="E4368" t="s">
        <v>18</v>
      </c>
      <c r="F4368" t="s">
        <v>12</v>
      </c>
      <c r="G4368" t="s">
        <v>10</v>
      </c>
      <c r="H4368">
        <v>2023</v>
      </c>
    </row>
    <row r="4369" spans="1:8" x14ac:dyDescent="0.2">
      <c r="A4369">
        <v>24518</v>
      </c>
      <c r="B4369">
        <v>1500000</v>
      </c>
      <c r="C4369" t="str">
        <f t="shared" si="68"/>
        <v>5. $1M+</v>
      </c>
      <c r="D4369" t="s">
        <v>381</v>
      </c>
      <c r="E4369" t="s">
        <v>18</v>
      </c>
      <c r="F4369" t="s">
        <v>12</v>
      </c>
      <c r="G4369" t="s">
        <v>10</v>
      </c>
      <c r="H4369">
        <v>2024</v>
      </c>
    </row>
    <row r="4370" spans="1:8" x14ac:dyDescent="0.2">
      <c r="A4370">
        <v>245225</v>
      </c>
      <c r="B4370">
        <v>190318</v>
      </c>
      <c r="C4370" t="str">
        <f t="shared" si="68"/>
        <v>5. $1M+</v>
      </c>
      <c r="D4370" t="s">
        <v>721</v>
      </c>
      <c r="E4370" t="s">
        <v>237</v>
      </c>
      <c r="F4370" t="s">
        <v>670</v>
      </c>
      <c r="G4370" t="s">
        <v>59</v>
      </c>
      <c r="H4370">
        <v>2023</v>
      </c>
    </row>
    <row r="4371" spans="1:8" x14ac:dyDescent="0.2">
      <c r="A4371">
        <v>245226</v>
      </c>
      <c r="B4371">
        <v>426225.6</v>
      </c>
      <c r="C4371" t="str">
        <f t="shared" si="68"/>
        <v>3. $50K-250K</v>
      </c>
      <c r="D4371" t="s">
        <v>721</v>
      </c>
      <c r="E4371" t="s">
        <v>237</v>
      </c>
      <c r="F4371" t="s">
        <v>670</v>
      </c>
      <c r="G4371" t="s">
        <v>59</v>
      </c>
      <c r="H4371">
        <v>2023</v>
      </c>
    </row>
    <row r="4372" spans="1:8" x14ac:dyDescent="0.2">
      <c r="A4372">
        <v>245227</v>
      </c>
      <c r="B4372">
        <v>1129453</v>
      </c>
      <c r="C4372" t="str">
        <f t="shared" si="68"/>
        <v>4. $250K-1M</v>
      </c>
      <c r="D4372" t="s">
        <v>708</v>
      </c>
      <c r="E4372" t="s">
        <v>237</v>
      </c>
      <c r="F4372" t="s">
        <v>670</v>
      </c>
      <c r="G4372" t="s">
        <v>59</v>
      </c>
      <c r="H4372">
        <v>2023</v>
      </c>
    </row>
    <row r="4373" spans="1:8" x14ac:dyDescent="0.2">
      <c r="A4373">
        <v>245228</v>
      </c>
      <c r="B4373">
        <v>112266</v>
      </c>
      <c r="C4373" t="str">
        <f t="shared" si="68"/>
        <v>5. $1M+</v>
      </c>
      <c r="D4373" t="s">
        <v>730</v>
      </c>
      <c r="E4373" t="s">
        <v>237</v>
      </c>
      <c r="F4373" t="s">
        <v>670</v>
      </c>
      <c r="G4373" t="s">
        <v>59</v>
      </c>
      <c r="H4373">
        <v>2023</v>
      </c>
    </row>
    <row r="4374" spans="1:8" x14ac:dyDescent="0.2">
      <c r="A4374">
        <v>245229</v>
      </c>
      <c r="B4374">
        <v>164538.79999999999</v>
      </c>
      <c r="C4374" t="str">
        <f t="shared" si="68"/>
        <v>3. $50K-250K</v>
      </c>
      <c r="D4374" t="s">
        <v>732</v>
      </c>
      <c r="E4374" t="s">
        <v>237</v>
      </c>
      <c r="F4374" t="s">
        <v>670</v>
      </c>
      <c r="G4374" t="s">
        <v>59</v>
      </c>
      <c r="H4374">
        <v>2023</v>
      </c>
    </row>
    <row r="4375" spans="1:8" x14ac:dyDescent="0.2">
      <c r="A4375">
        <v>245230</v>
      </c>
      <c r="B4375">
        <v>1736107.7</v>
      </c>
      <c r="C4375" t="str">
        <f t="shared" si="68"/>
        <v>3. $50K-250K</v>
      </c>
      <c r="D4375" t="s">
        <v>713</v>
      </c>
      <c r="E4375" t="s">
        <v>237</v>
      </c>
      <c r="F4375" t="s">
        <v>670</v>
      </c>
      <c r="G4375" t="s">
        <v>59</v>
      </c>
      <c r="H4375">
        <v>2023</v>
      </c>
    </row>
    <row r="4376" spans="1:8" x14ac:dyDescent="0.2">
      <c r="A4376">
        <v>245244</v>
      </c>
      <c r="B4376">
        <v>8300000</v>
      </c>
      <c r="C4376" t="str">
        <f t="shared" si="68"/>
        <v>5. $1M+</v>
      </c>
      <c r="D4376" t="s">
        <v>852</v>
      </c>
      <c r="E4376" t="s">
        <v>237</v>
      </c>
      <c r="F4376" t="s">
        <v>670</v>
      </c>
      <c r="G4376" t="s">
        <v>59</v>
      </c>
      <c r="H4376">
        <v>2023</v>
      </c>
    </row>
    <row r="4377" spans="1:8" x14ac:dyDescent="0.2">
      <c r="A4377">
        <v>245421</v>
      </c>
      <c r="B4377">
        <v>73703.399999999994</v>
      </c>
      <c r="C4377" t="str">
        <f t="shared" si="68"/>
        <v>5. $1M+</v>
      </c>
      <c r="D4377" t="s">
        <v>1473</v>
      </c>
      <c r="E4377" t="s">
        <v>42</v>
      </c>
      <c r="F4377" t="s">
        <v>670</v>
      </c>
      <c r="G4377" t="s">
        <v>59</v>
      </c>
      <c r="H4377">
        <v>2023</v>
      </c>
    </row>
    <row r="4378" spans="1:8" x14ac:dyDescent="0.2">
      <c r="A4378">
        <v>245656</v>
      </c>
      <c r="B4378">
        <v>782100</v>
      </c>
      <c r="C4378" t="str">
        <f t="shared" si="68"/>
        <v>3. $50K-250K</v>
      </c>
      <c r="D4378" t="s">
        <v>382</v>
      </c>
      <c r="E4378" t="s">
        <v>237</v>
      </c>
      <c r="F4378" t="s">
        <v>43</v>
      </c>
      <c r="G4378" t="s">
        <v>101</v>
      </c>
      <c r="H4378">
        <v>2024</v>
      </c>
    </row>
    <row r="4379" spans="1:8" x14ac:dyDescent="0.2">
      <c r="A4379">
        <v>245726</v>
      </c>
      <c r="B4379">
        <v>100881360.5</v>
      </c>
      <c r="C4379" t="str">
        <f t="shared" si="68"/>
        <v>4. $250K-1M</v>
      </c>
      <c r="D4379" t="s">
        <v>365</v>
      </c>
      <c r="E4379" t="s">
        <v>24</v>
      </c>
      <c r="F4379" t="s">
        <v>22</v>
      </c>
      <c r="G4379" t="s">
        <v>10</v>
      </c>
      <c r="H4379">
        <v>2024</v>
      </c>
    </row>
    <row r="4380" spans="1:8" x14ac:dyDescent="0.2">
      <c r="A4380">
        <v>245756</v>
      </c>
      <c r="B4380">
        <v>98983.2</v>
      </c>
      <c r="C4380" t="str">
        <f t="shared" si="68"/>
        <v>5. $1M+</v>
      </c>
      <c r="D4380" t="s">
        <v>732</v>
      </c>
      <c r="E4380" t="s">
        <v>237</v>
      </c>
      <c r="F4380" t="s">
        <v>670</v>
      </c>
      <c r="G4380" t="s">
        <v>59</v>
      </c>
      <c r="H4380">
        <v>2023</v>
      </c>
    </row>
    <row r="4381" spans="1:8" x14ac:dyDescent="0.2">
      <c r="A4381">
        <v>245757</v>
      </c>
      <c r="B4381">
        <v>318087</v>
      </c>
      <c r="C4381" t="str">
        <f t="shared" si="68"/>
        <v>3. $50K-250K</v>
      </c>
      <c r="D4381" t="s">
        <v>711</v>
      </c>
      <c r="E4381" t="s">
        <v>237</v>
      </c>
      <c r="F4381" t="s">
        <v>670</v>
      </c>
      <c r="G4381" t="s">
        <v>59</v>
      </c>
      <c r="H4381">
        <v>2023</v>
      </c>
    </row>
    <row r="4382" spans="1:8" x14ac:dyDescent="0.2">
      <c r="A4382">
        <v>245759</v>
      </c>
      <c r="B4382">
        <v>94364.4</v>
      </c>
      <c r="C4382" t="str">
        <f t="shared" si="68"/>
        <v>4. $250K-1M</v>
      </c>
      <c r="D4382" t="s">
        <v>751</v>
      </c>
      <c r="E4382" t="s">
        <v>237</v>
      </c>
      <c r="F4382" t="s">
        <v>670</v>
      </c>
      <c r="G4382" t="s">
        <v>59</v>
      </c>
      <c r="H4382">
        <v>2023</v>
      </c>
    </row>
    <row r="4383" spans="1:8" x14ac:dyDescent="0.2">
      <c r="A4383">
        <v>245796</v>
      </c>
      <c r="B4383">
        <v>76200</v>
      </c>
      <c r="C4383" t="str">
        <f t="shared" si="68"/>
        <v>3. $50K-250K</v>
      </c>
      <c r="D4383" t="s">
        <v>785</v>
      </c>
      <c r="E4383" t="s">
        <v>237</v>
      </c>
      <c r="F4383" t="s">
        <v>670</v>
      </c>
      <c r="G4383" t="s">
        <v>59</v>
      </c>
      <c r="H4383">
        <v>2023</v>
      </c>
    </row>
    <row r="4384" spans="1:8" x14ac:dyDescent="0.2">
      <c r="A4384">
        <v>245798</v>
      </c>
      <c r="B4384">
        <v>76417</v>
      </c>
      <c r="C4384" t="str">
        <f t="shared" si="68"/>
        <v>3. $50K-250K</v>
      </c>
      <c r="D4384" t="s">
        <v>859</v>
      </c>
      <c r="E4384" t="s">
        <v>237</v>
      </c>
      <c r="F4384" t="s">
        <v>670</v>
      </c>
      <c r="G4384" t="s">
        <v>59</v>
      </c>
      <c r="H4384">
        <v>2023</v>
      </c>
    </row>
    <row r="4385" spans="1:8" x14ac:dyDescent="0.2">
      <c r="A4385">
        <v>245824</v>
      </c>
      <c r="B4385">
        <v>6739273</v>
      </c>
      <c r="C4385" t="str">
        <f t="shared" si="68"/>
        <v>3. $50K-250K</v>
      </c>
      <c r="D4385" t="s">
        <v>1052</v>
      </c>
      <c r="E4385" t="s">
        <v>237</v>
      </c>
      <c r="F4385" t="s">
        <v>670</v>
      </c>
      <c r="G4385" t="s">
        <v>59</v>
      </c>
      <c r="H4385">
        <v>2023</v>
      </c>
    </row>
    <row r="4386" spans="1:8" x14ac:dyDescent="0.2">
      <c r="A4386">
        <v>24608</v>
      </c>
      <c r="B4386">
        <v>57581.599999999999</v>
      </c>
      <c r="C4386" t="str">
        <f t="shared" si="68"/>
        <v>5. $1M+</v>
      </c>
      <c r="D4386" t="s">
        <v>193</v>
      </c>
      <c r="E4386" t="s">
        <v>8</v>
      </c>
      <c r="F4386" t="s">
        <v>14</v>
      </c>
      <c r="G4386" t="s">
        <v>44</v>
      </c>
      <c r="H4386">
        <v>2025</v>
      </c>
    </row>
    <row r="4387" spans="1:8" x14ac:dyDescent="0.2">
      <c r="A4387">
        <v>246116</v>
      </c>
      <c r="B4387">
        <v>5353200</v>
      </c>
      <c r="C4387" t="str">
        <f t="shared" si="68"/>
        <v>3. $50K-250K</v>
      </c>
      <c r="D4387" t="s">
        <v>303</v>
      </c>
      <c r="E4387" t="s">
        <v>24</v>
      </c>
      <c r="F4387" t="s">
        <v>22</v>
      </c>
      <c r="G4387" t="s">
        <v>10</v>
      </c>
      <c r="H4387">
        <v>2024</v>
      </c>
    </row>
    <row r="4388" spans="1:8" x14ac:dyDescent="0.2">
      <c r="A4388">
        <v>246123</v>
      </c>
      <c r="B4388">
        <v>225000</v>
      </c>
      <c r="C4388" t="str">
        <f t="shared" si="68"/>
        <v>5. $1M+</v>
      </c>
      <c r="D4388" t="s">
        <v>230</v>
      </c>
      <c r="E4388" t="s">
        <v>18</v>
      </c>
      <c r="F4388" t="s">
        <v>231</v>
      </c>
      <c r="G4388" t="s">
        <v>232</v>
      </c>
      <c r="H4388">
        <v>2023</v>
      </c>
    </row>
    <row r="4389" spans="1:8" x14ac:dyDescent="0.2">
      <c r="A4389">
        <v>246164</v>
      </c>
      <c r="B4389">
        <v>1235833.3999999999</v>
      </c>
      <c r="C4389" t="str">
        <f t="shared" si="68"/>
        <v>3. $50K-250K</v>
      </c>
      <c r="D4389" t="s">
        <v>695</v>
      </c>
      <c r="E4389" t="s">
        <v>237</v>
      </c>
      <c r="F4389" t="s">
        <v>670</v>
      </c>
      <c r="G4389" t="s">
        <v>59</v>
      </c>
      <c r="H4389">
        <v>2023</v>
      </c>
    </row>
    <row r="4390" spans="1:8" x14ac:dyDescent="0.2">
      <c r="A4390">
        <v>246165</v>
      </c>
      <c r="B4390">
        <v>20120.8</v>
      </c>
      <c r="C4390" t="str">
        <f t="shared" si="68"/>
        <v>5. $1M+</v>
      </c>
      <c r="D4390" t="s">
        <v>696</v>
      </c>
      <c r="E4390" t="s">
        <v>237</v>
      </c>
      <c r="F4390" t="s">
        <v>670</v>
      </c>
      <c r="G4390" t="s">
        <v>59</v>
      </c>
      <c r="H4390">
        <v>2023</v>
      </c>
    </row>
    <row r="4391" spans="1:8" x14ac:dyDescent="0.2">
      <c r="A4391">
        <v>246167</v>
      </c>
      <c r="B4391">
        <v>419970.4</v>
      </c>
      <c r="C4391" t="str">
        <f t="shared" si="68"/>
        <v>2. $10K-50K</v>
      </c>
      <c r="D4391" t="s">
        <v>694</v>
      </c>
      <c r="E4391" t="s">
        <v>237</v>
      </c>
      <c r="F4391" t="s">
        <v>670</v>
      </c>
      <c r="G4391" t="s">
        <v>59</v>
      </c>
      <c r="H4391">
        <v>2023</v>
      </c>
    </row>
    <row r="4392" spans="1:8" x14ac:dyDescent="0.2">
      <c r="A4392">
        <v>246236</v>
      </c>
      <c r="B4392">
        <v>2027629</v>
      </c>
      <c r="C4392" t="str">
        <f t="shared" si="68"/>
        <v>4. $250K-1M</v>
      </c>
      <c r="D4392" t="s">
        <v>713</v>
      </c>
      <c r="E4392" t="s">
        <v>237</v>
      </c>
      <c r="F4392" t="s">
        <v>670</v>
      </c>
      <c r="G4392" t="s">
        <v>59</v>
      </c>
      <c r="H4392">
        <v>2023</v>
      </c>
    </row>
    <row r="4393" spans="1:8" x14ac:dyDescent="0.2">
      <c r="A4393">
        <v>246262</v>
      </c>
      <c r="B4393">
        <v>2500</v>
      </c>
      <c r="C4393" t="str">
        <f t="shared" si="68"/>
        <v>5. $1M+</v>
      </c>
      <c r="D4393" t="s">
        <v>1775</v>
      </c>
      <c r="E4393" t="s">
        <v>112</v>
      </c>
      <c r="F4393" t="s">
        <v>668</v>
      </c>
      <c r="G4393" t="s">
        <v>59</v>
      </c>
      <c r="H4393">
        <v>2023</v>
      </c>
    </row>
    <row r="4394" spans="1:8" x14ac:dyDescent="0.2">
      <c r="A4394">
        <v>246263</v>
      </c>
      <c r="B4394">
        <v>6000</v>
      </c>
      <c r="C4394" t="str">
        <f t="shared" si="68"/>
        <v>1. Under $10K</v>
      </c>
      <c r="D4394" t="s">
        <v>1776</v>
      </c>
      <c r="E4394" t="s">
        <v>112</v>
      </c>
      <c r="F4394" t="s">
        <v>668</v>
      </c>
      <c r="G4394" t="s">
        <v>59</v>
      </c>
      <c r="H4394">
        <v>2023</v>
      </c>
    </row>
    <row r="4395" spans="1:8" x14ac:dyDescent="0.2">
      <c r="A4395">
        <v>246264</v>
      </c>
      <c r="B4395">
        <v>6000</v>
      </c>
      <c r="C4395" t="str">
        <f t="shared" si="68"/>
        <v>1. Under $10K</v>
      </c>
      <c r="D4395" t="s">
        <v>1777</v>
      </c>
      <c r="E4395" t="s">
        <v>112</v>
      </c>
      <c r="F4395" t="s">
        <v>668</v>
      </c>
      <c r="G4395" t="s">
        <v>59</v>
      </c>
      <c r="H4395">
        <v>2023</v>
      </c>
    </row>
    <row r="4396" spans="1:8" x14ac:dyDescent="0.2">
      <c r="A4396">
        <v>246265</v>
      </c>
      <c r="B4396">
        <v>6000</v>
      </c>
      <c r="C4396" t="str">
        <f t="shared" si="68"/>
        <v>1. Under $10K</v>
      </c>
      <c r="D4396" t="s">
        <v>1778</v>
      </c>
      <c r="E4396" t="s">
        <v>112</v>
      </c>
      <c r="F4396" t="s">
        <v>668</v>
      </c>
      <c r="G4396" t="s">
        <v>59</v>
      </c>
      <c r="H4396">
        <v>2023</v>
      </c>
    </row>
    <row r="4397" spans="1:8" x14ac:dyDescent="0.2">
      <c r="A4397">
        <v>246270</v>
      </c>
      <c r="B4397">
        <v>6000</v>
      </c>
      <c r="C4397" t="str">
        <f t="shared" si="68"/>
        <v>1. Under $10K</v>
      </c>
      <c r="D4397" t="s">
        <v>1779</v>
      </c>
      <c r="E4397" t="s">
        <v>112</v>
      </c>
      <c r="F4397" t="s">
        <v>668</v>
      </c>
      <c r="G4397" t="s">
        <v>59</v>
      </c>
      <c r="H4397">
        <v>2023</v>
      </c>
    </row>
    <row r="4398" spans="1:8" x14ac:dyDescent="0.2">
      <c r="A4398">
        <v>246284</v>
      </c>
      <c r="B4398">
        <v>629809.1</v>
      </c>
      <c r="C4398" t="str">
        <f t="shared" si="68"/>
        <v>1. Under $10K</v>
      </c>
      <c r="D4398" t="s">
        <v>763</v>
      </c>
      <c r="E4398" t="s">
        <v>42</v>
      </c>
      <c r="F4398" t="s">
        <v>670</v>
      </c>
      <c r="G4398" t="s">
        <v>59</v>
      </c>
      <c r="H4398">
        <v>2023</v>
      </c>
    </row>
    <row r="4399" spans="1:8" x14ac:dyDescent="0.2">
      <c r="A4399">
        <v>246286</v>
      </c>
      <c r="B4399">
        <v>204949.899999999</v>
      </c>
      <c r="C4399" t="str">
        <f t="shared" si="68"/>
        <v>4. $250K-1M</v>
      </c>
      <c r="D4399" t="s">
        <v>849</v>
      </c>
      <c r="E4399" t="s">
        <v>42</v>
      </c>
      <c r="F4399" t="s">
        <v>670</v>
      </c>
      <c r="G4399" t="s">
        <v>59</v>
      </c>
      <c r="H4399">
        <v>2023</v>
      </c>
    </row>
    <row r="4400" spans="1:8" x14ac:dyDescent="0.2">
      <c r="A4400">
        <v>246287</v>
      </c>
      <c r="B4400">
        <v>227389.3</v>
      </c>
      <c r="C4400" t="str">
        <f t="shared" si="68"/>
        <v>3. $50K-250K</v>
      </c>
      <c r="D4400" t="s">
        <v>1662</v>
      </c>
      <c r="E4400" t="s">
        <v>42</v>
      </c>
      <c r="F4400" t="s">
        <v>670</v>
      </c>
      <c r="G4400" t="s">
        <v>59</v>
      </c>
      <c r="H4400">
        <v>2023</v>
      </c>
    </row>
    <row r="4401" spans="1:8" x14ac:dyDescent="0.2">
      <c r="A4401">
        <v>246288</v>
      </c>
      <c r="B4401">
        <v>73719.3</v>
      </c>
      <c r="C4401" t="str">
        <f t="shared" si="68"/>
        <v>3. $50K-250K</v>
      </c>
      <c r="D4401" t="s">
        <v>1711</v>
      </c>
      <c r="E4401" t="s">
        <v>42</v>
      </c>
      <c r="F4401" t="s">
        <v>670</v>
      </c>
      <c r="G4401" t="s">
        <v>59</v>
      </c>
      <c r="H4401">
        <v>2023</v>
      </c>
    </row>
    <row r="4402" spans="1:8" x14ac:dyDescent="0.2">
      <c r="A4402">
        <v>246289</v>
      </c>
      <c r="B4402">
        <v>360046</v>
      </c>
      <c r="C4402" t="str">
        <f t="shared" si="68"/>
        <v>3. $50K-250K</v>
      </c>
      <c r="D4402" t="s">
        <v>1022</v>
      </c>
      <c r="E4402" t="s">
        <v>42</v>
      </c>
      <c r="F4402" t="s">
        <v>670</v>
      </c>
      <c r="G4402" t="s">
        <v>59</v>
      </c>
      <c r="H4402">
        <v>2023</v>
      </c>
    </row>
    <row r="4403" spans="1:8" x14ac:dyDescent="0.2">
      <c r="A4403">
        <v>246291</v>
      </c>
      <c r="B4403">
        <v>624655</v>
      </c>
      <c r="C4403" t="str">
        <f t="shared" si="68"/>
        <v>4. $250K-1M</v>
      </c>
      <c r="D4403" t="s">
        <v>957</v>
      </c>
      <c r="E4403" t="s">
        <v>42</v>
      </c>
      <c r="F4403" t="s">
        <v>670</v>
      </c>
      <c r="G4403" t="s">
        <v>59</v>
      </c>
      <c r="H4403">
        <v>2023</v>
      </c>
    </row>
    <row r="4404" spans="1:8" x14ac:dyDescent="0.2">
      <c r="A4404">
        <v>246292</v>
      </c>
      <c r="B4404">
        <v>36514.300000000003</v>
      </c>
      <c r="C4404" t="str">
        <f t="shared" si="68"/>
        <v>4. $250K-1M</v>
      </c>
      <c r="D4404" t="s">
        <v>971</v>
      </c>
      <c r="E4404" t="s">
        <v>42</v>
      </c>
      <c r="F4404" t="s">
        <v>670</v>
      </c>
      <c r="G4404" t="s">
        <v>59</v>
      </c>
      <c r="H4404">
        <v>2023</v>
      </c>
    </row>
    <row r="4405" spans="1:8" x14ac:dyDescent="0.2">
      <c r="A4405">
        <v>246293</v>
      </c>
      <c r="B4405">
        <v>533083.9</v>
      </c>
      <c r="C4405" t="str">
        <f t="shared" si="68"/>
        <v>2. $10K-50K</v>
      </c>
      <c r="D4405" t="s">
        <v>763</v>
      </c>
      <c r="E4405" t="s">
        <v>42</v>
      </c>
      <c r="F4405" t="s">
        <v>670</v>
      </c>
      <c r="G4405" t="s">
        <v>59</v>
      </c>
      <c r="H4405">
        <v>2023</v>
      </c>
    </row>
    <row r="4406" spans="1:8" x14ac:dyDescent="0.2">
      <c r="A4406">
        <v>246294</v>
      </c>
      <c r="B4406">
        <v>250000</v>
      </c>
      <c r="C4406" t="str">
        <f t="shared" si="68"/>
        <v>4. $250K-1M</v>
      </c>
      <c r="D4406" t="s">
        <v>1491</v>
      </c>
      <c r="E4406" t="s">
        <v>99</v>
      </c>
      <c r="F4406" t="s">
        <v>670</v>
      </c>
      <c r="G4406" t="s">
        <v>59</v>
      </c>
      <c r="H4406">
        <v>2023</v>
      </c>
    </row>
    <row r="4407" spans="1:8" x14ac:dyDescent="0.2">
      <c r="A4407">
        <v>246295</v>
      </c>
      <c r="B4407">
        <v>300000</v>
      </c>
      <c r="C4407" t="str">
        <f t="shared" si="68"/>
        <v>4. $250K-1M</v>
      </c>
      <c r="D4407" t="s">
        <v>1494</v>
      </c>
      <c r="E4407" t="s">
        <v>99</v>
      </c>
      <c r="F4407" t="s">
        <v>670</v>
      </c>
      <c r="G4407" t="s">
        <v>59</v>
      </c>
      <c r="H4407">
        <v>2023</v>
      </c>
    </row>
    <row r="4408" spans="1:8" x14ac:dyDescent="0.2">
      <c r="A4408">
        <v>246300</v>
      </c>
      <c r="B4408">
        <v>6000</v>
      </c>
      <c r="C4408" t="str">
        <f t="shared" si="68"/>
        <v>4. $250K-1M</v>
      </c>
      <c r="D4408" t="s">
        <v>1780</v>
      </c>
      <c r="E4408" t="s">
        <v>112</v>
      </c>
      <c r="F4408" t="s">
        <v>668</v>
      </c>
      <c r="G4408" t="s">
        <v>59</v>
      </c>
      <c r="H4408">
        <v>2023</v>
      </c>
    </row>
    <row r="4409" spans="1:8" x14ac:dyDescent="0.2">
      <c r="A4409">
        <v>246308</v>
      </c>
      <c r="B4409">
        <v>6000</v>
      </c>
      <c r="C4409" t="str">
        <f t="shared" si="68"/>
        <v>1. Under $10K</v>
      </c>
      <c r="D4409" t="s">
        <v>1781</v>
      </c>
      <c r="E4409" t="s">
        <v>112</v>
      </c>
      <c r="F4409" t="s">
        <v>668</v>
      </c>
      <c r="G4409" t="s">
        <v>59</v>
      </c>
      <c r="H4409">
        <v>2023</v>
      </c>
    </row>
    <row r="4410" spans="1:8" x14ac:dyDescent="0.2">
      <c r="A4410">
        <v>246312</v>
      </c>
      <c r="B4410">
        <v>6000</v>
      </c>
      <c r="C4410" t="str">
        <f t="shared" si="68"/>
        <v>1. Under $10K</v>
      </c>
      <c r="D4410" t="s">
        <v>1782</v>
      </c>
      <c r="E4410" t="s">
        <v>112</v>
      </c>
      <c r="F4410" t="s">
        <v>668</v>
      </c>
      <c r="G4410" t="s">
        <v>59</v>
      </c>
      <c r="H4410">
        <v>2023</v>
      </c>
    </row>
    <row r="4411" spans="1:8" x14ac:dyDescent="0.2">
      <c r="A4411">
        <v>246318</v>
      </c>
      <c r="B4411">
        <v>6000</v>
      </c>
      <c r="C4411" t="str">
        <f t="shared" si="68"/>
        <v>1. Under $10K</v>
      </c>
      <c r="D4411" t="s">
        <v>1783</v>
      </c>
      <c r="E4411" t="s">
        <v>112</v>
      </c>
      <c r="F4411" t="s">
        <v>668</v>
      </c>
      <c r="G4411" t="s">
        <v>59</v>
      </c>
      <c r="H4411">
        <v>2023</v>
      </c>
    </row>
    <row r="4412" spans="1:8" x14ac:dyDescent="0.2">
      <c r="A4412">
        <v>246320</v>
      </c>
      <c r="B4412">
        <v>100000</v>
      </c>
      <c r="C4412" t="str">
        <f t="shared" si="68"/>
        <v>1. Under $10K</v>
      </c>
      <c r="D4412" t="s">
        <v>1116</v>
      </c>
      <c r="E4412" t="s">
        <v>112</v>
      </c>
      <c r="F4412" t="s">
        <v>668</v>
      </c>
      <c r="G4412" t="s">
        <v>59</v>
      </c>
      <c r="H4412">
        <v>2023</v>
      </c>
    </row>
    <row r="4413" spans="1:8" x14ac:dyDescent="0.2">
      <c r="A4413">
        <v>246324</v>
      </c>
      <c r="B4413">
        <v>1000</v>
      </c>
      <c r="C4413" t="str">
        <f t="shared" si="68"/>
        <v>3. $50K-250K</v>
      </c>
      <c r="D4413" t="s">
        <v>1784</v>
      </c>
      <c r="E4413" t="s">
        <v>112</v>
      </c>
      <c r="F4413" t="s">
        <v>668</v>
      </c>
      <c r="G4413" t="s">
        <v>59</v>
      </c>
      <c r="H4413">
        <v>2023</v>
      </c>
    </row>
    <row r="4414" spans="1:8" x14ac:dyDescent="0.2">
      <c r="A4414">
        <v>246374</v>
      </c>
      <c r="B4414">
        <v>3000000</v>
      </c>
      <c r="C4414" t="str">
        <f t="shared" si="68"/>
        <v>1. Under $10K</v>
      </c>
      <c r="D4414" t="s">
        <v>1371</v>
      </c>
      <c r="E4414" t="s">
        <v>8</v>
      </c>
      <c r="F4414" t="s">
        <v>668</v>
      </c>
      <c r="G4414" t="s">
        <v>59</v>
      </c>
      <c r="H4414">
        <v>2023</v>
      </c>
    </row>
    <row r="4415" spans="1:8" x14ac:dyDescent="0.2">
      <c r="A4415">
        <v>246407</v>
      </c>
      <c r="B4415">
        <v>126735</v>
      </c>
      <c r="C4415" t="str">
        <f t="shared" si="68"/>
        <v>5. $1M+</v>
      </c>
      <c r="D4415" t="s">
        <v>1785</v>
      </c>
      <c r="E4415" t="s">
        <v>99</v>
      </c>
      <c r="F4415" t="s">
        <v>668</v>
      </c>
      <c r="G4415" t="s">
        <v>59</v>
      </c>
      <c r="H4415">
        <v>2023</v>
      </c>
    </row>
    <row r="4416" spans="1:8" x14ac:dyDescent="0.2">
      <c r="A4416">
        <v>246423</v>
      </c>
      <c r="B4416">
        <v>679266</v>
      </c>
      <c r="C4416" t="str">
        <f t="shared" si="68"/>
        <v>3. $50K-250K</v>
      </c>
      <c r="D4416" t="s">
        <v>754</v>
      </c>
      <c r="E4416" t="s">
        <v>237</v>
      </c>
      <c r="F4416" t="s">
        <v>670</v>
      </c>
      <c r="G4416" t="s">
        <v>59</v>
      </c>
      <c r="H4416">
        <v>2023</v>
      </c>
    </row>
    <row r="4417" spans="1:8" x14ac:dyDescent="0.2">
      <c r="A4417">
        <v>246424</v>
      </c>
      <c r="B4417">
        <v>48228.1</v>
      </c>
      <c r="C4417" t="str">
        <f t="shared" si="68"/>
        <v>4. $250K-1M</v>
      </c>
      <c r="D4417" t="s">
        <v>740</v>
      </c>
      <c r="E4417" t="s">
        <v>237</v>
      </c>
      <c r="F4417" t="s">
        <v>670</v>
      </c>
      <c r="G4417" t="s">
        <v>59</v>
      </c>
      <c r="H4417">
        <v>2023</v>
      </c>
    </row>
    <row r="4418" spans="1:8" x14ac:dyDescent="0.2">
      <c r="A4418">
        <v>246425</v>
      </c>
      <c r="B4418">
        <v>63196.6</v>
      </c>
      <c r="C4418" t="str">
        <f t="shared" si="68"/>
        <v>2. $10K-50K</v>
      </c>
      <c r="D4418" t="s">
        <v>784</v>
      </c>
      <c r="E4418" t="s">
        <v>237</v>
      </c>
      <c r="F4418" t="s">
        <v>670</v>
      </c>
      <c r="G4418" t="s">
        <v>59</v>
      </c>
      <c r="H4418">
        <v>2023</v>
      </c>
    </row>
    <row r="4419" spans="1:8" x14ac:dyDescent="0.2">
      <c r="A4419">
        <v>246426</v>
      </c>
      <c r="B4419">
        <v>817319.6</v>
      </c>
      <c r="C4419" t="str">
        <f t="shared" ref="C4419:C4482" si="69">IF(B4418&lt;10000,"1. Under $10K",IF(B4418&lt;50000,"2. $10K-50K",IF(B4418&lt;250000,"3. $50K-250K",IF(B4418&lt;1000000,"4. $250K-1M","5. $1M+"))))</f>
        <v>3. $50K-250K</v>
      </c>
      <c r="D4419" t="s">
        <v>712</v>
      </c>
      <c r="E4419" t="s">
        <v>237</v>
      </c>
      <c r="F4419" t="s">
        <v>670</v>
      </c>
      <c r="G4419" t="s">
        <v>59</v>
      </c>
      <c r="H4419">
        <v>2023</v>
      </c>
    </row>
    <row r="4420" spans="1:8" x14ac:dyDescent="0.2">
      <c r="A4420">
        <v>246427</v>
      </c>
      <c r="B4420">
        <v>253973.3</v>
      </c>
      <c r="C4420" t="str">
        <f t="shared" si="69"/>
        <v>4. $250K-1M</v>
      </c>
      <c r="D4420" t="s">
        <v>711</v>
      </c>
      <c r="E4420" t="s">
        <v>237</v>
      </c>
      <c r="F4420" t="s">
        <v>670</v>
      </c>
      <c r="G4420" t="s">
        <v>59</v>
      </c>
      <c r="H4420">
        <v>2023</v>
      </c>
    </row>
    <row r="4421" spans="1:8" x14ac:dyDescent="0.2">
      <c r="A4421">
        <v>246428</v>
      </c>
      <c r="B4421">
        <v>578862</v>
      </c>
      <c r="C4421" t="str">
        <f t="shared" si="69"/>
        <v>4. $250K-1M</v>
      </c>
      <c r="D4421" t="s">
        <v>713</v>
      </c>
      <c r="E4421" t="s">
        <v>237</v>
      </c>
      <c r="F4421" t="s">
        <v>670</v>
      </c>
      <c r="G4421" t="s">
        <v>59</v>
      </c>
      <c r="H4421">
        <v>2023</v>
      </c>
    </row>
    <row r="4422" spans="1:8" x14ac:dyDescent="0.2">
      <c r="A4422">
        <v>246429</v>
      </c>
      <c r="B4422">
        <v>386736</v>
      </c>
      <c r="C4422" t="str">
        <f t="shared" si="69"/>
        <v>4. $250K-1M</v>
      </c>
      <c r="D4422" t="s">
        <v>695</v>
      </c>
      <c r="E4422" t="s">
        <v>237</v>
      </c>
      <c r="F4422" t="s">
        <v>670</v>
      </c>
      <c r="G4422" t="s">
        <v>59</v>
      </c>
      <c r="H4422">
        <v>2023</v>
      </c>
    </row>
    <row r="4423" spans="1:8" x14ac:dyDescent="0.2">
      <c r="A4423">
        <v>246430</v>
      </c>
      <c r="B4423">
        <v>1092015.8</v>
      </c>
      <c r="C4423" t="str">
        <f t="shared" si="69"/>
        <v>4. $250K-1M</v>
      </c>
      <c r="D4423" t="s">
        <v>749</v>
      </c>
      <c r="E4423" t="s">
        <v>237</v>
      </c>
      <c r="F4423" t="s">
        <v>670</v>
      </c>
      <c r="G4423" t="s">
        <v>59</v>
      </c>
      <c r="H4423">
        <v>2023</v>
      </c>
    </row>
    <row r="4424" spans="1:8" x14ac:dyDescent="0.2">
      <c r="A4424">
        <v>246431</v>
      </c>
      <c r="B4424">
        <v>245754.5</v>
      </c>
      <c r="C4424" t="str">
        <f t="shared" si="69"/>
        <v>5. $1M+</v>
      </c>
      <c r="D4424" t="s">
        <v>700</v>
      </c>
      <c r="E4424" t="s">
        <v>237</v>
      </c>
      <c r="F4424" t="s">
        <v>670</v>
      </c>
      <c r="G4424" t="s">
        <v>59</v>
      </c>
      <c r="H4424">
        <v>2023</v>
      </c>
    </row>
    <row r="4425" spans="1:8" x14ac:dyDescent="0.2">
      <c r="A4425">
        <v>246432</v>
      </c>
      <c r="B4425">
        <v>439147.4</v>
      </c>
      <c r="C4425" t="str">
        <f t="shared" si="69"/>
        <v>3. $50K-250K</v>
      </c>
      <c r="D4425" t="s">
        <v>726</v>
      </c>
      <c r="E4425" t="s">
        <v>237</v>
      </c>
      <c r="F4425" t="s">
        <v>670</v>
      </c>
      <c r="G4425" t="s">
        <v>59</v>
      </c>
      <c r="H4425">
        <v>2023</v>
      </c>
    </row>
    <row r="4426" spans="1:8" x14ac:dyDescent="0.2">
      <c r="A4426">
        <v>246433</v>
      </c>
      <c r="B4426">
        <v>749253.5</v>
      </c>
      <c r="C4426" t="str">
        <f t="shared" si="69"/>
        <v>4. $250K-1M</v>
      </c>
      <c r="D4426" t="s">
        <v>1059</v>
      </c>
      <c r="E4426" t="s">
        <v>237</v>
      </c>
      <c r="F4426" t="s">
        <v>670</v>
      </c>
      <c r="G4426" t="s">
        <v>59</v>
      </c>
      <c r="H4426">
        <v>2023</v>
      </c>
    </row>
    <row r="4427" spans="1:8" x14ac:dyDescent="0.2">
      <c r="A4427">
        <v>246436</v>
      </c>
      <c r="B4427">
        <v>100000</v>
      </c>
      <c r="C4427" t="str">
        <f t="shared" si="69"/>
        <v>4. $250K-1M</v>
      </c>
      <c r="D4427" t="s">
        <v>1786</v>
      </c>
      <c r="E4427" t="s">
        <v>112</v>
      </c>
      <c r="F4427" t="s">
        <v>668</v>
      </c>
      <c r="G4427" t="s">
        <v>59</v>
      </c>
      <c r="H4427">
        <v>2023</v>
      </c>
    </row>
    <row r="4428" spans="1:8" x14ac:dyDescent="0.2">
      <c r="A4428">
        <v>246437</v>
      </c>
      <c r="B4428">
        <v>250000</v>
      </c>
      <c r="C4428" t="str">
        <f t="shared" si="69"/>
        <v>3. $50K-250K</v>
      </c>
      <c r="D4428" t="s">
        <v>1287</v>
      </c>
      <c r="E4428" t="s">
        <v>112</v>
      </c>
      <c r="F4428" t="s">
        <v>668</v>
      </c>
      <c r="G4428" t="s">
        <v>59</v>
      </c>
      <c r="H4428">
        <v>2023</v>
      </c>
    </row>
    <row r="4429" spans="1:8" x14ac:dyDescent="0.2">
      <c r="A4429">
        <v>246440</v>
      </c>
      <c r="B4429">
        <v>100000</v>
      </c>
      <c r="C4429" t="str">
        <f t="shared" si="69"/>
        <v>4. $250K-1M</v>
      </c>
      <c r="D4429" t="s">
        <v>1523</v>
      </c>
      <c r="E4429" t="s">
        <v>112</v>
      </c>
      <c r="F4429" t="s">
        <v>668</v>
      </c>
      <c r="G4429" t="s">
        <v>59</v>
      </c>
      <c r="H4429">
        <v>2023</v>
      </c>
    </row>
    <row r="4430" spans="1:8" x14ac:dyDescent="0.2">
      <c r="A4430">
        <v>246444</v>
      </c>
      <c r="B4430">
        <v>17462.8</v>
      </c>
      <c r="C4430" t="str">
        <f t="shared" si="69"/>
        <v>3. $50K-250K</v>
      </c>
      <c r="D4430" t="s">
        <v>1787</v>
      </c>
      <c r="E4430" t="s">
        <v>112</v>
      </c>
      <c r="F4430" t="s">
        <v>668</v>
      </c>
      <c r="G4430" t="s">
        <v>59</v>
      </c>
      <c r="H4430">
        <v>2023</v>
      </c>
    </row>
    <row r="4431" spans="1:8" x14ac:dyDescent="0.2">
      <c r="A4431">
        <v>246446</v>
      </c>
      <c r="B4431">
        <v>482500</v>
      </c>
      <c r="C4431" t="str">
        <f t="shared" si="69"/>
        <v>2. $10K-50K</v>
      </c>
      <c r="D4431" t="s">
        <v>1590</v>
      </c>
      <c r="E4431" t="s">
        <v>112</v>
      </c>
      <c r="F4431" t="s">
        <v>668</v>
      </c>
      <c r="G4431" t="s">
        <v>59</v>
      </c>
      <c r="H4431">
        <v>2023</v>
      </c>
    </row>
    <row r="4432" spans="1:8" x14ac:dyDescent="0.2">
      <c r="A4432">
        <v>246448</v>
      </c>
      <c r="B4432">
        <v>1000</v>
      </c>
      <c r="C4432" t="str">
        <f t="shared" si="69"/>
        <v>4. $250K-1M</v>
      </c>
      <c r="D4432" t="s">
        <v>1529</v>
      </c>
      <c r="E4432" t="s">
        <v>112</v>
      </c>
      <c r="F4432" t="s">
        <v>668</v>
      </c>
      <c r="G4432" t="s">
        <v>59</v>
      </c>
      <c r="H4432">
        <v>2023</v>
      </c>
    </row>
    <row r="4433" spans="1:8" x14ac:dyDescent="0.2">
      <c r="A4433">
        <v>246451</v>
      </c>
      <c r="B4433">
        <v>25000</v>
      </c>
      <c r="C4433" t="str">
        <f t="shared" si="69"/>
        <v>1. Under $10K</v>
      </c>
      <c r="D4433" t="s">
        <v>1703</v>
      </c>
      <c r="E4433" t="s">
        <v>112</v>
      </c>
      <c r="F4433" t="s">
        <v>668</v>
      </c>
      <c r="G4433" t="s">
        <v>59</v>
      </c>
      <c r="H4433">
        <v>2023</v>
      </c>
    </row>
    <row r="4434" spans="1:8" x14ac:dyDescent="0.2">
      <c r="A4434">
        <v>246453</v>
      </c>
      <c r="B4434">
        <v>250000</v>
      </c>
      <c r="C4434" t="str">
        <f t="shared" si="69"/>
        <v>2. $10K-50K</v>
      </c>
      <c r="D4434" t="s">
        <v>999</v>
      </c>
      <c r="E4434" t="s">
        <v>112</v>
      </c>
      <c r="F4434" t="s">
        <v>668</v>
      </c>
      <c r="G4434" t="s">
        <v>59</v>
      </c>
      <c r="H4434">
        <v>2023</v>
      </c>
    </row>
    <row r="4435" spans="1:8" x14ac:dyDescent="0.2">
      <c r="A4435">
        <v>246454</v>
      </c>
      <c r="B4435">
        <v>45000</v>
      </c>
      <c r="C4435" t="str">
        <f t="shared" si="69"/>
        <v>4. $250K-1M</v>
      </c>
      <c r="D4435" t="s">
        <v>1788</v>
      </c>
      <c r="E4435" t="s">
        <v>112</v>
      </c>
      <c r="F4435" t="s">
        <v>668</v>
      </c>
      <c r="G4435" t="s">
        <v>59</v>
      </c>
      <c r="H4435">
        <v>2023</v>
      </c>
    </row>
    <row r="4436" spans="1:8" x14ac:dyDescent="0.2">
      <c r="A4436">
        <v>246456</v>
      </c>
      <c r="B4436">
        <v>45000</v>
      </c>
      <c r="C4436" t="str">
        <f t="shared" si="69"/>
        <v>2. $10K-50K</v>
      </c>
      <c r="D4436" t="s">
        <v>1789</v>
      </c>
      <c r="E4436" t="s">
        <v>112</v>
      </c>
      <c r="F4436" t="s">
        <v>668</v>
      </c>
      <c r="G4436" t="s">
        <v>59</v>
      </c>
      <c r="H4436">
        <v>2023</v>
      </c>
    </row>
    <row r="4437" spans="1:8" x14ac:dyDescent="0.2">
      <c r="A4437">
        <v>246458</v>
      </c>
      <c r="B4437">
        <v>45000</v>
      </c>
      <c r="C4437" t="str">
        <f t="shared" si="69"/>
        <v>2. $10K-50K</v>
      </c>
      <c r="D4437" t="s">
        <v>1790</v>
      </c>
      <c r="E4437" t="s">
        <v>112</v>
      </c>
      <c r="F4437" t="s">
        <v>668</v>
      </c>
      <c r="G4437" t="s">
        <v>59</v>
      </c>
      <c r="H4437">
        <v>2023</v>
      </c>
    </row>
    <row r="4438" spans="1:8" x14ac:dyDescent="0.2">
      <c r="A4438">
        <v>246469</v>
      </c>
      <c r="B4438">
        <v>5000000</v>
      </c>
      <c r="C4438" t="str">
        <f t="shared" si="69"/>
        <v>2. $10K-50K</v>
      </c>
      <c r="D4438" t="s">
        <v>852</v>
      </c>
      <c r="E4438" t="s">
        <v>237</v>
      </c>
      <c r="F4438" t="s">
        <v>670</v>
      </c>
      <c r="G4438" t="s">
        <v>59</v>
      </c>
      <c r="H4438">
        <v>2023</v>
      </c>
    </row>
    <row r="4439" spans="1:8" x14ac:dyDescent="0.2">
      <c r="A4439">
        <v>246542</v>
      </c>
      <c r="B4439">
        <v>80000</v>
      </c>
      <c r="C4439" t="str">
        <f t="shared" si="69"/>
        <v>5. $1M+</v>
      </c>
      <c r="D4439" t="s">
        <v>1118</v>
      </c>
      <c r="E4439" t="s">
        <v>112</v>
      </c>
      <c r="F4439" t="s">
        <v>668</v>
      </c>
      <c r="G4439" t="s">
        <v>59</v>
      </c>
      <c r="H4439">
        <v>2023</v>
      </c>
    </row>
    <row r="4440" spans="1:8" x14ac:dyDescent="0.2">
      <c r="A4440">
        <v>246545</v>
      </c>
      <c r="B4440">
        <v>8460515.5999999996</v>
      </c>
      <c r="C4440" t="str">
        <f t="shared" si="69"/>
        <v>3. $50K-250K</v>
      </c>
      <c r="D4440" t="s">
        <v>383</v>
      </c>
      <c r="E4440" t="s">
        <v>8</v>
      </c>
      <c r="F4440" t="s">
        <v>22</v>
      </c>
      <c r="G4440" t="s">
        <v>10</v>
      </c>
      <c r="H4440">
        <v>2024</v>
      </c>
    </row>
    <row r="4441" spans="1:8" x14ac:dyDescent="0.2">
      <c r="A4441">
        <v>246547</v>
      </c>
      <c r="B4441">
        <v>180000</v>
      </c>
      <c r="C4441" t="str">
        <f t="shared" si="69"/>
        <v>5. $1M+</v>
      </c>
      <c r="D4441" t="s">
        <v>1681</v>
      </c>
      <c r="E4441" t="s">
        <v>112</v>
      </c>
      <c r="F4441" t="s">
        <v>668</v>
      </c>
      <c r="G4441" t="s">
        <v>59</v>
      </c>
      <c r="H4441">
        <v>2023</v>
      </c>
    </row>
    <row r="4442" spans="1:8" x14ac:dyDescent="0.2">
      <c r="A4442">
        <v>246550</v>
      </c>
      <c r="B4442">
        <v>250000</v>
      </c>
      <c r="C4442" t="str">
        <f t="shared" si="69"/>
        <v>3. $50K-250K</v>
      </c>
      <c r="D4442" t="s">
        <v>1249</v>
      </c>
      <c r="E4442" t="s">
        <v>112</v>
      </c>
      <c r="F4442" t="s">
        <v>668</v>
      </c>
      <c r="G4442" t="s">
        <v>59</v>
      </c>
      <c r="H4442">
        <v>2023</v>
      </c>
    </row>
    <row r="4443" spans="1:8" x14ac:dyDescent="0.2">
      <c r="A4443">
        <v>246552</v>
      </c>
      <c r="B4443">
        <v>100000</v>
      </c>
      <c r="C4443" t="str">
        <f t="shared" si="69"/>
        <v>4. $250K-1M</v>
      </c>
      <c r="D4443" t="s">
        <v>1127</v>
      </c>
      <c r="E4443" t="s">
        <v>112</v>
      </c>
      <c r="F4443" t="s">
        <v>668</v>
      </c>
      <c r="G4443" t="s">
        <v>59</v>
      </c>
      <c r="H4443">
        <v>2023</v>
      </c>
    </row>
    <row r="4444" spans="1:8" x14ac:dyDescent="0.2">
      <c r="A4444">
        <v>246554</v>
      </c>
      <c r="B4444">
        <v>25000</v>
      </c>
      <c r="C4444" t="str">
        <f t="shared" si="69"/>
        <v>3. $50K-250K</v>
      </c>
      <c r="D4444" t="s">
        <v>1791</v>
      </c>
      <c r="E4444" t="s">
        <v>112</v>
      </c>
      <c r="F4444" t="s">
        <v>668</v>
      </c>
      <c r="G4444" t="s">
        <v>59</v>
      </c>
      <c r="H4444">
        <v>2023</v>
      </c>
    </row>
    <row r="4445" spans="1:8" x14ac:dyDescent="0.2">
      <c r="A4445">
        <v>246555</v>
      </c>
      <c r="B4445">
        <v>250000</v>
      </c>
      <c r="C4445" t="str">
        <f t="shared" si="69"/>
        <v>2. $10K-50K</v>
      </c>
      <c r="D4445" t="s">
        <v>1792</v>
      </c>
      <c r="E4445" t="s">
        <v>112</v>
      </c>
      <c r="F4445" t="s">
        <v>668</v>
      </c>
      <c r="G4445" t="s">
        <v>59</v>
      </c>
      <c r="H4445">
        <v>2023</v>
      </c>
    </row>
    <row r="4446" spans="1:8" x14ac:dyDescent="0.2">
      <c r="A4446">
        <v>246556</v>
      </c>
      <c r="B4446">
        <v>6000</v>
      </c>
      <c r="C4446" t="str">
        <f t="shared" si="69"/>
        <v>4. $250K-1M</v>
      </c>
      <c r="D4446" t="s">
        <v>1793</v>
      </c>
      <c r="E4446" t="s">
        <v>112</v>
      </c>
      <c r="F4446" t="s">
        <v>668</v>
      </c>
      <c r="G4446" t="s">
        <v>59</v>
      </c>
      <c r="H4446">
        <v>2023</v>
      </c>
    </row>
    <row r="4447" spans="1:8" x14ac:dyDescent="0.2">
      <c r="A4447">
        <v>246557</v>
      </c>
      <c r="B4447">
        <v>45000</v>
      </c>
      <c r="C4447" t="str">
        <f t="shared" si="69"/>
        <v>1. Under $10K</v>
      </c>
      <c r="D4447" t="s">
        <v>1184</v>
      </c>
      <c r="E4447" t="s">
        <v>112</v>
      </c>
      <c r="F4447" t="s">
        <v>668</v>
      </c>
      <c r="G4447" t="s">
        <v>59</v>
      </c>
      <c r="H4447">
        <v>2023</v>
      </c>
    </row>
    <row r="4448" spans="1:8" x14ac:dyDescent="0.2">
      <c r="A4448">
        <v>246599</v>
      </c>
      <c r="B4448">
        <v>6000</v>
      </c>
      <c r="C4448" t="str">
        <f t="shared" si="69"/>
        <v>2. $10K-50K</v>
      </c>
      <c r="D4448" t="s">
        <v>1794</v>
      </c>
      <c r="E4448" t="s">
        <v>112</v>
      </c>
      <c r="F4448" t="s">
        <v>668</v>
      </c>
      <c r="G4448" t="s">
        <v>59</v>
      </c>
      <c r="H4448">
        <v>2023</v>
      </c>
    </row>
    <row r="4449" spans="1:8" x14ac:dyDescent="0.2">
      <c r="A4449">
        <v>246645</v>
      </c>
      <c r="B4449">
        <v>6000</v>
      </c>
      <c r="C4449" t="str">
        <f t="shared" si="69"/>
        <v>1. Under $10K</v>
      </c>
      <c r="D4449" t="s">
        <v>1795</v>
      </c>
      <c r="E4449" t="s">
        <v>112</v>
      </c>
      <c r="F4449" t="s">
        <v>668</v>
      </c>
      <c r="G4449" t="s">
        <v>59</v>
      </c>
      <c r="H4449">
        <v>2023</v>
      </c>
    </row>
    <row r="4450" spans="1:8" x14ac:dyDescent="0.2">
      <c r="A4450">
        <v>246647</v>
      </c>
      <c r="B4450">
        <v>5000</v>
      </c>
      <c r="C4450" t="str">
        <f t="shared" si="69"/>
        <v>1. Under $10K</v>
      </c>
      <c r="D4450" t="s">
        <v>1796</v>
      </c>
      <c r="E4450" t="s">
        <v>112</v>
      </c>
      <c r="F4450" t="s">
        <v>668</v>
      </c>
      <c r="G4450" t="s">
        <v>59</v>
      </c>
      <c r="H4450">
        <v>2023</v>
      </c>
    </row>
    <row r="4451" spans="1:8" x14ac:dyDescent="0.2">
      <c r="A4451">
        <v>246648</v>
      </c>
      <c r="B4451">
        <v>6000</v>
      </c>
      <c r="C4451" t="str">
        <f t="shared" si="69"/>
        <v>1. Under $10K</v>
      </c>
      <c r="D4451" t="s">
        <v>1797</v>
      </c>
      <c r="E4451" t="s">
        <v>112</v>
      </c>
      <c r="F4451" t="s">
        <v>668</v>
      </c>
      <c r="G4451" t="s">
        <v>59</v>
      </c>
      <c r="H4451">
        <v>2023</v>
      </c>
    </row>
    <row r="4452" spans="1:8" x14ac:dyDescent="0.2">
      <c r="A4452">
        <v>246650</v>
      </c>
      <c r="B4452">
        <v>3000</v>
      </c>
      <c r="C4452" t="str">
        <f t="shared" si="69"/>
        <v>1. Under $10K</v>
      </c>
      <c r="D4452" t="s">
        <v>1798</v>
      </c>
      <c r="E4452" t="s">
        <v>112</v>
      </c>
      <c r="F4452" t="s">
        <v>668</v>
      </c>
      <c r="G4452" t="s">
        <v>59</v>
      </c>
      <c r="H4452">
        <v>2023</v>
      </c>
    </row>
    <row r="4453" spans="1:8" x14ac:dyDescent="0.2">
      <c r="A4453">
        <v>246651</v>
      </c>
      <c r="B4453">
        <v>6000</v>
      </c>
      <c r="C4453" t="str">
        <f t="shared" si="69"/>
        <v>1. Under $10K</v>
      </c>
      <c r="D4453" t="s">
        <v>1799</v>
      </c>
      <c r="E4453" t="s">
        <v>112</v>
      </c>
      <c r="F4453" t="s">
        <v>668</v>
      </c>
      <c r="G4453" t="s">
        <v>59</v>
      </c>
      <c r="H4453">
        <v>2023</v>
      </c>
    </row>
    <row r="4454" spans="1:8" x14ac:dyDescent="0.2">
      <c r="A4454">
        <v>246652</v>
      </c>
      <c r="B4454">
        <v>6000</v>
      </c>
      <c r="C4454" t="str">
        <f t="shared" si="69"/>
        <v>1. Under $10K</v>
      </c>
      <c r="D4454" t="s">
        <v>1800</v>
      </c>
      <c r="E4454" t="s">
        <v>112</v>
      </c>
      <c r="F4454" t="s">
        <v>668</v>
      </c>
      <c r="G4454" t="s">
        <v>59</v>
      </c>
      <c r="H4454">
        <v>2023</v>
      </c>
    </row>
    <row r="4455" spans="1:8" x14ac:dyDescent="0.2">
      <c r="A4455">
        <v>246654</v>
      </c>
      <c r="B4455">
        <v>6000</v>
      </c>
      <c r="C4455" t="str">
        <f t="shared" si="69"/>
        <v>1. Under $10K</v>
      </c>
      <c r="D4455" t="s">
        <v>1801</v>
      </c>
      <c r="E4455" t="s">
        <v>112</v>
      </c>
      <c r="F4455" t="s">
        <v>668</v>
      </c>
      <c r="G4455" t="s">
        <v>59</v>
      </c>
      <c r="H4455">
        <v>2023</v>
      </c>
    </row>
    <row r="4456" spans="1:8" x14ac:dyDescent="0.2">
      <c r="A4456">
        <v>246702</v>
      </c>
      <c r="B4456">
        <v>6000</v>
      </c>
      <c r="C4456" t="str">
        <f t="shared" si="69"/>
        <v>1. Under $10K</v>
      </c>
      <c r="D4456" t="s">
        <v>1802</v>
      </c>
      <c r="E4456" t="s">
        <v>112</v>
      </c>
      <c r="F4456" t="s">
        <v>668</v>
      </c>
      <c r="G4456" t="s">
        <v>59</v>
      </c>
      <c r="H4456">
        <v>2023</v>
      </c>
    </row>
    <row r="4457" spans="1:8" x14ac:dyDescent="0.2">
      <c r="A4457">
        <v>246712</v>
      </c>
      <c r="B4457">
        <v>5000</v>
      </c>
      <c r="C4457" t="str">
        <f t="shared" si="69"/>
        <v>1. Under $10K</v>
      </c>
      <c r="D4457" t="s">
        <v>1803</v>
      </c>
      <c r="E4457" t="s">
        <v>112</v>
      </c>
      <c r="F4457" t="s">
        <v>668</v>
      </c>
      <c r="G4457" t="s">
        <v>59</v>
      </c>
      <c r="H4457">
        <v>2023</v>
      </c>
    </row>
    <row r="4458" spans="1:8" x14ac:dyDescent="0.2">
      <c r="A4458">
        <v>246734</v>
      </c>
      <c r="B4458">
        <v>700878.5</v>
      </c>
      <c r="C4458" t="str">
        <f t="shared" si="69"/>
        <v>1. Under $10K</v>
      </c>
      <c r="D4458" t="s">
        <v>801</v>
      </c>
      <c r="E4458" t="s">
        <v>42</v>
      </c>
      <c r="F4458" t="s">
        <v>670</v>
      </c>
      <c r="G4458" t="s">
        <v>59</v>
      </c>
      <c r="H4458">
        <v>2023</v>
      </c>
    </row>
    <row r="4459" spans="1:8" x14ac:dyDescent="0.2">
      <c r="A4459">
        <v>246785</v>
      </c>
      <c r="B4459">
        <v>1380000</v>
      </c>
      <c r="C4459" t="str">
        <f t="shared" si="69"/>
        <v>4. $250K-1M</v>
      </c>
      <c r="D4459" t="s">
        <v>365</v>
      </c>
      <c r="E4459" t="s">
        <v>24</v>
      </c>
      <c r="F4459" t="s">
        <v>22</v>
      </c>
      <c r="G4459" t="s">
        <v>10</v>
      </c>
      <c r="H4459">
        <v>2024</v>
      </c>
    </row>
    <row r="4460" spans="1:8" x14ac:dyDescent="0.2">
      <c r="A4460">
        <v>246822</v>
      </c>
      <c r="B4460">
        <v>1756587.3</v>
      </c>
      <c r="C4460" t="str">
        <f t="shared" si="69"/>
        <v>5. $1M+</v>
      </c>
      <c r="D4460" t="s">
        <v>365</v>
      </c>
      <c r="E4460" t="s">
        <v>24</v>
      </c>
      <c r="F4460" t="s">
        <v>22</v>
      </c>
      <c r="G4460" t="s">
        <v>10</v>
      </c>
      <c r="H4460">
        <v>2024</v>
      </c>
    </row>
    <row r="4461" spans="1:8" x14ac:dyDescent="0.2">
      <c r="A4461">
        <v>246843</v>
      </c>
      <c r="B4461">
        <v>6000</v>
      </c>
      <c r="C4461" t="str">
        <f t="shared" si="69"/>
        <v>5. $1M+</v>
      </c>
      <c r="D4461" t="s">
        <v>1804</v>
      </c>
      <c r="E4461" t="s">
        <v>112</v>
      </c>
      <c r="F4461" t="s">
        <v>668</v>
      </c>
      <c r="G4461" t="s">
        <v>59</v>
      </c>
      <c r="H4461">
        <v>2023</v>
      </c>
    </row>
    <row r="4462" spans="1:8" x14ac:dyDescent="0.2">
      <c r="A4462">
        <v>246848</v>
      </c>
      <c r="B4462">
        <v>6000</v>
      </c>
      <c r="C4462" t="str">
        <f t="shared" si="69"/>
        <v>1. Under $10K</v>
      </c>
      <c r="D4462" t="s">
        <v>1805</v>
      </c>
      <c r="E4462" t="s">
        <v>112</v>
      </c>
      <c r="F4462" t="s">
        <v>668</v>
      </c>
      <c r="G4462" t="s">
        <v>59</v>
      </c>
      <c r="H4462">
        <v>2023</v>
      </c>
    </row>
    <row r="4463" spans="1:8" x14ac:dyDescent="0.2">
      <c r="A4463">
        <v>246849</v>
      </c>
      <c r="B4463">
        <v>6000</v>
      </c>
      <c r="C4463" t="str">
        <f t="shared" si="69"/>
        <v>1. Under $10K</v>
      </c>
      <c r="D4463" t="s">
        <v>1806</v>
      </c>
      <c r="E4463" t="s">
        <v>112</v>
      </c>
      <c r="F4463" t="s">
        <v>668</v>
      </c>
      <c r="G4463" t="s">
        <v>59</v>
      </c>
      <c r="H4463">
        <v>2023</v>
      </c>
    </row>
    <row r="4464" spans="1:8" x14ac:dyDescent="0.2">
      <c r="A4464">
        <v>246851</v>
      </c>
      <c r="B4464">
        <v>861195.3</v>
      </c>
      <c r="C4464" t="str">
        <f t="shared" si="69"/>
        <v>1. Under $10K</v>
      </c>
      <c r="D4464" t="s">
        <v>749</v>
      </c>
      <c r="E4464" t="s">
        <v>237</v>
      </c>
      <c r="F4464" t="s">
        <v>670</v>
      </c>
      <c r="G4464" t="s">
        <v>59</v>
      </c>
      <c r="H4464">
        <v>2023</v>
      </c>
    </row>
    <row r="4465" spans="1:8" x14ac:dyDescent="0.2">
      <c r="A4465">
        <v>246852</v>
      </c>
      <c r="B4465">
        <v>6000</v>
      </c>
      <c r="C4465" t="str">
        <f t="shared" si="69"/>
        <v>4. $250K-1M</v>
      </c>
      <c r="D4465" t="s">
        <v>1807</v>
      </c>
      <c r="E4465" t="s">
        <v>112</v>
      </c>
      <c r="F4465" t="s">
        <v>668</v>
      </c>
      <c r="G4465" t="s">
        <v>59</v>
      </c>
      <c r="H4465">
        <v>2023</v>
      </c>
    </row>
    <row r="4466" spans="1:8" x14ac:dyDescent="0.2">
      <c r="A4466">
        <v>246855</v>
      </c>
      <c r="B4466">
        <v>100000</v>
      </c>
      <c r="C4466" t="str">
        <f t="shared" si="69"/>
        <v>1. Under $10K</v>
      </c>
      <c r="D4466" t="s">
        <v>1207</v>
      </c>
      <c r="E4466" t="s">
        <v>112</v>
      </c>
      <c r="F4466" t="s">
        <v>668</v>
      </c>
      <c r="G4466" t="s">
        <v>59</v>
      </c>
      <c r="H4466">
        <v>2023</v>
      </c>
    </row>
    <row r="4467" spans="1:8" x14ac:dyDescent="0.2">
      <c r="A4467">
        <v>246880</v>
      </c>
      <c r="B4467">
        <v>7000000</v>
      </c>
      <c r="C4467" t="str">
        <f t="shared" si="69"/>
        <v>3. $50K-250K</v>
      </c>
      <c r="D4467" t="s">
        <v>501</v>
      </c>
      <c r="E4467" t="s">
        <v>432</v>
      </c>
      <c r="F4467" t="s">
        <v>670</v>
      </c>
      <c r="G4467" t="s">
        <v>44</v>
      </c>
      <c r="H4467">
        <v>2023</v>
      </c>
    </row>
    <row r="4468" spans="1:8" x14ac:dyDescent="0.2">
      <c r="A4468">
        <v>246886</v>
      </c>
      <c r="B4468">
        <v>215000</v>
      </c>
      <c r="C4468" t="str">
        <f t="shared" si="69"/>
        <v>5. $1M+</v>
      </c>
      <c r="D4468" t="s">
        <v>1220</v>
      </c>
      <c r="E4468" t="s">
        <v>112</v>
      </c>
      <c r="F4468" t="s">
        <v>668</v>
      </c>
      <c r="G4468" t="s">
        <v>59</v>
      </c>
      <c r="H4468">
        <v>2023</v>
      </c>
    </row>
    <row r="4469" spans="1:8" x14ac:dyDescent="0.2">
      <c r="A4469">
        <v>246893</v>
      </c>
      <c r="B4469">
        <v>150000</v>
      </c>
      <c r="C4469" t="str">
        <f t="shared" si="69"/>
        <v>3. $50K-250K</v>
      </c>
      <c r="D4469" t="s">
        <v>1244</v>
      </c>
      <c r="E4469" t="s">
        <v>112</v>
      </c>
      <c r="F4469" t="s">
        <v>668</v>
      </c>
      <c r="G4469" t="s">
        <v>59</v>
      </c>
      <c r="H4469">
        <v>2023</v>
      </c>
    </row>
    <row r="4470" spans="1:8" x14ac:dyDescent="0.2">
      <c r="A4470">
        <v>246895</v>
      </c>
      <c r="B4470">
        <v>140000</v>
      </c>
      <c r="C4470" t="str">
        <f t="shared" si="69"/>
        <v>3. $50K-250K</v>
      </c>
      <c r="D4470" t="s">
        <v>1113</v>
      </c>
      <c r="E4470" t="s">
        <v>112</v>
      </c>
      <c r="F4470" t="s">
        <v>668</v>
      </c>
      <c r="G4470" t="s">
        <v>59</v>
      </c>
      <c r="H4470">
        <v>2023</v>
      </c>
    </row>
    <row r="4471" spans="1:8" x14ac:dyDescent="0.2">
      <c r="A4471">
        <v>246897</v>
      </c>
      <c r="B4471">
        <v>130000</v>
      </c>
      <c r="C4471" t="str">
        <f t="shared" si="69"/>
        <v>3. $50K-250K</v>
      </c>
      <c r="D4471" t="s">
        <v>1706</v>
      </c>
      <c r="E4471" t="s">
        <v>112</v>
      </c>
      <c r="F4471" t="s">
        <v>668</v>
      </c>
      <c r="G4471" t="s">
        <v>59</v>
      </c>
      <c r="H4471">
        <v>2023</v>
      </c>
    </row>
    <row r="4472" spans="1:8" x14ac:dyDescent="0.2">
      <c r="A4472">
        <v>246965</v>
      </c>
      <c r="B4472">
        <v>22868285.300000001</v>
      </c>
      <c r="C4472" t="str">
        <f t="shared" si="69"/>
        <v>3. $50K-250K</v>
      </c>
      <c r="D4472" t="s">
        <v>384</v>
      </c>
      <c r="E4472" t="s">
        <v>141</v>
      </c>
      <c r="F4472" t="s">
        <v>19</v>
      </c>
      <c r="G4472" t="s">
        <v>101</v>
      </c>
      <c r="H4472">
        <v>2024</v>
      </c>
    </row>
    <row r="4473" spans="1:8" x14ac:dyDescent="0.2">
      <c r="A4473">
        <v>247011</v>
      </c>
      <c r="B4473">
        <v>6000</v>
      </c>
      <c r="C4473" t="str">
        <f t="shared" si="69"/>
        <v>5. $1M+</v>
      </c>
      <c r="D4473" t="s">
        <v>1808</v>
      </c>
      <c r="E4473" t="s">
        <v>112</v>
      </c>
      <c r="F4473" t="s">
        <v>668</v>
      </c>
      <c r="G4473" t="s">
        <v>59</v>
      </c>
      <c r="H4473">
        <v>2023</v>
      </c>
    </row>
    <row r="4474" spans="1:8" x14ac:dyDescent="0.2">
      <c r="A4474">
        <v>247012</v>
      </c>
      <c r="B4474">
        <v>6000</v>
      </c>
      <c r="C4474" t="str">
        <f t="shared" si="69"/>
        <v>1. Under $10K</v>
      </c>
      <c r="D4474" t="s">
        <v>1809</v>
      </c>
      <c r="E4474" t="s">
        <v>112</v>
      </c>
      <c r="F4474" t="s">
        <v>668</v>
      </c>
      <c r="G4474" t="s">
        <v>59</v>
      </c>
      <c r="H4474">
        <v>2023</v>
      </c>
    </row>
    <row r="4475" spans="1:8" x14ac:dyDescent="0.2">
      <c r="A4475">
        <v>247013</v>
      </c>
      <c r="B4475">
        <v>5500</v>
      </c>
      <c r="C4475" t="str">
        <f t="shared" si="69"/>
        <v>1. Under $10K</v>
      </c>
      <c r="D4475" t="s">
        <v>1810</v>
      </c>
      <c r="E4475" t="s">
        <v>112</v>
      </c>
      <c r="F4475" t="s">
        <v>668</v>
      </c>
      <c r="G4475" t="s">
        <v>59</v>
      </c>
      <c r="H4475">
        <v>2023</v>
      </c>
    </row>
    <row r="4476" spans="1:8" x14ac:dyDescent="0.2">
      <c r="A4476">
        <v>247014</v>
      </c>
      <c r="B4476">
        <v>6000</v>
      </c>
      <c r="C4476" t="str">
        <f t="shared" si="69"/>
        <v>1. Under $10K</v>
      </c>
      <c r="D4476" t="s">
        <v>1811</v>
      </c>
      <c r="E4476" t="s">
        <v>112</v>
      </c>
      <c r="F4476" t="s">
        <v>668</v>
      </c>
      <c r="G4476" t="s">
        <v>59</v>
      </c>
      <c r="H4476">
        <v>2023</v>
      </c>
    </row>
    <row r="4477" spans="1:8" x14ac:dyDescent="0.2">
      <c r="A4477">
        <v>247051</v>
      </c>
      <c r="B4477">
        <v>4014750</v>
      </c>
      <c r="C4477" t="str">
        <f t="shared" si="69"/>
        <v>1. Under $10K</v>
      </c>
      <c r="D4477" t="s">
        <v>359</v>
      </c>
      <c r="E4477" t="s">
        <v>49</v>
      </c>
      <c r="F4477" t="s">
        <v>12</v>
      </c>
      <c r="G4477" t="s">
        <v>10</v>
      </c>
      <c r="H4477">
        <v>2024</v>
      </c>
    </row>
    <row r="4478" spans="1:8" x14ac:dyDescent="0.2">
      <c r="A4478">
        <v>247052</v>
      </c>
      <c r="B4478">
        <v>6000</v>
      </c>
      <c r="C4478" t="str">
        <f t="shared" si="69"/>
        <v>5. $1M+</v>
      </c>
      <c r="D4478" t="s">
        <v>1812</v>
      </c>
      <c r="E4478" t="s">
        <v>112</v>
      </c>
      <c r="F4478" t="s">
        <v>668</v>
      </c>
      <c r="G4478" t="s">
        <v>59</v>
      </c>
      <c r="H4478">
        <v>2023</v>
      </c>
    </row>
    <row r="4479" spans="1:8" x14ac:dyDescent="0.2">
      <c r="A4479">
        <v>247105</v>
      </c>
      <c r="B4479">
        <v>15000000</v>
      </c>
      <c r="C4479" t="str">
        <f t="shared" si="69"/>
        <v>1. Under $10K</v>
      </c>
      <c r="D4479" t="s">
        <v>385</v>
      </c>
      <c r="E4479" t="s">
        <v>18</v>
      </c>
      <c r="F4479" t="s">
        <v>43</v>
      </c>
      <c r="G4479" t="s">
        <v>44</v>
      </c>
      <c r="H4479">
        <v>2025</v>
      </c>
    </row>
    <row r="4480" spans="1:8" x14ac:dyDescent="0.2">
      <c r="A4480">
        <v>247178</v>
      </c>
      <c r="B4480">
        <v>30000</v>
      </c>
      <c r="C4480" t="str">
        <f t="shared" si="69"/>
        <v>5. $1M+</v>
      </c>
      <c r="D4480" t="s">
        <v>692</v>
      </c>
      <c r="E4480" t="s">
        <v>237</v>
      </c>
      <c r="F4480" t="s">
        <v>670</v>
      </c>
      <c r="G4480" t="s">
        <v>59</v>
      </c>
      <c r="H4480">
        <v>2023</v>
      </c>
    </row>
    <row r="4481" spans="1:8" x14ac:dyDescent="0.2">
      <c r="A4481">
        <v>247179</v>
      </c>
      <c r="B4481">
        <v>120018</v>
      </c>
      <c r="C4481" t="str">
        <f t="shared" si="69"/>
        <v>2. $10K-50K</v>
      </c>
      <c r="D4481" t="s">
        <v>671</v>
      </c>
      <c r="E4481" t="s">
        <v>237</v>
      </c>
      <c r="F4481" t="s">
        <v>670</v>
      </c>
      <c r="G4481" t="s">
        <v>59</v>
      </c>
      <c r="H4481">
        <v>2023</v>
      </c>
    </row>
    <row r="4482" spans="1:8" x14ac:dyDescent="0.2">
      <c r="A4482">
        <v>247181</v>
      </c>
      <c r="B4482">
        <v>95882058.5</v>
      </c>
      <c r="C4482" t="str">
        <f t="shared" si="69"/>
        <v>3. $50K-250K</v>
      </c>
      <c r="D4482" t="s">
        <v>48</v>
      </c>
      <c r="E4482" t="s">
        <v>49</v>
      </c>
      <c r="F4482" t="s">
        <v>12</v>
      </c>
      <c r="G4482" t="s">
        <v>10</v>
      </c>
      <c r="H4482">
        <v>2023</v>
      </c>
    </row>
    <row r="4483" spans="1:8" x14ac:dyDescent="0.2">
      <c r="A4483">
        <v>247183</v>
      </c>
      <c r="B4483">
        <v>5699504.2999999998</v>
      </c>
      <c r="C4483" t="str">
        <f t="shared" ref="C4483:C4546" si="70">IF(B4482&lt;10000,"1. Under $10K",IF(B4482&lt;50000,"2. $10K-50K",IF(B4482&lt;250000,"3. $50K-250K",IF(B4482&lt;1000000,"4. $250K-1M","5. $1M+"))))</f>
        <v>5. $1M+</v>
      </c>
      <c r="D4483" t="s">
        <v>91</v>
      </c>
      <c r="E4483" t="s">
        <v>28</v>
      </c>
      <c r="F4483" t="s">
        <v>29</v>
      </c>
      <c r="G4483" t="s">
        <v>124</v>
      </c>
      <c r="H4483">
        <v>2023</v>
      </c>
    </row>
    <row r="4484" spans="1:8" x14ac:dyDescent="0.2">
      <c r="A4484">
        <v>247286</v>
      </c>
      <c r="B4484">
        <v>1575146</v>
      </c>
      <c r="C4484" t="str">
        <f t="shared" si="70"/>
        <v>5. $1M+</v>
      </c>
      <c r="D4484" t="s">
        <v>1813</v>
      </c>
      <c r="E4484" t="s">
        <v>59</v>
      </c>
      <c r="F4484" t="s">
        <v>670</v>
      </c>
      <c r="G4484" t="s">
        <v>59</v>
      </c>
      <c r="H4484">
        <v>2024</v>
      </c>
    </row>
    <row r="4485" spans="1:8" x14ac:dyDescent="0.2">
      <c r="A4485">
        <v>247297</v>
      </c>
      <c r="B4485">
        <v>69750</v>
      </c>
      <c r="C4485" t="str">
        <f t="shared" si="70"/>
        <v>5. $1M+</v>
      </c>
      <c r="D4485" t="s">
        <v>386</v>
      </c>
      <c r="E4485" t="s">
        <v>141</v>
      </c>
      <c r="F4485" t="s">
        <v>239</v>
      </c>
      <c r="G4485" t="s">
        <v>10</v>
      </c>
      <c r="H4485">
        <v>2023</v>
      </c>
    </row>
    <row r="4486" spans="1:8" x14ac:dyDescent="0.2">
      <c r="A4486">
        <v>247315</v>
      </c>
      <c r="B4486">
        <v>2946611.7</v>
      </c>
      <c r="C4486" t="str">
        <f t="shared" si="70"/>
        <v>3. $50K-250K</v>
      </c>
      <c r="D4486" t="s">
        <v>387</v>
      </c>
      <c r="E4486" t="s">
        <v>24</v>
      </c>
      <c r="F4486" t="s">
        <v>22</v>
      </c>
      <c r="G4486" t="s">
        <v>10</v>
      </c>
      <c r="H4486">
        <v>2024</v>
      </c>
    </row>
    <row r="4487" spans="1:8" x14ac:dyDescent="0.2">
      <c r="A4487">
        <v>247327</v>
      </c>
      <c r="B4487">
        <v>11589680</v>
      </c>
      <c r="C4487" t="str">
        <f t="shared" si="70"/>
        <v>5. $1M+</v>
      </c>
      <c r="D4487" t="s">
        <v>863</v>
      </c>
      <c r="E4487" t="s">
        <v>237</v>
      </c>
      <c r="F4487" t="s">
        <v>670</v>
      </c>
      <c r="G4487" t="s">
        <v>59</v>
      </c>
      <c r="H4487">
        <v>2023</v>
      </c>
    </row>
    <row r="4488" spans="1:8" x14ac:dyDescent="0.2">
      <c r="A4488">
        <v>247328</v>
      </c>
      <c r="B4488">
        <v>433142.2</v>
      </c>
      <c r="C4488" t="str">
        <f t="shared" si="70"/>
        <v>5. $1M+</v>
      </c>
      <c r="D4488" t="s">
        <v>230</v>
      </c>
      <c r="E4488" t="s">
        <v>69</v>
      </c>
      <c r="F4488" t="s">
        <v>231</v>
      </c>
      <c r="G4488" t="s">
        <v>232</v>
      </c>
      <c r="H4488">
        <v>2023</v>
      </c>
    </row>
    <row r="4489" spans="1:8" x14ac:dyDescent="0.2">
      <c r="A4489">
        <v>247335</v>
      </c>
      <c r="B4489">
        <v>4012500</v>
      </c>
      <c r="C4489" t="str">
        <f t="shared" si="70"/>
        <v>4. $250K-1M</v>
      </c>
      <c r="D4489" t="s">
        <v>388</v>
      </c>
      <c r="E4489" t="s">
        <v>49</v>
      </c>
      <c r="F4489" t="s">
        <v>22</v>
      </c>
      <c r="G4489" t="s">
        <v>10</v>
      </c>
      <c r="H4489">
        <v>2024</v>
      </c>
    </row>
    <row r="4490" spans="1:8" x14ac:dyDescent="0.2">
      <c r="A4490">
        <v>247409</v>
      </c>
      <c r="B4490">
        <v>127726.8</v>
      </c>
      <c r="C4490" t="str">
        <f t="shared" si="70"/>
        <v>5. $1M+</v>
      </c>
      <c r="D4490" t="s">
        <v>917</v>
      </c>
      <c r="E4490" t="s">
        <v>237</v>
      </c>
      <c r="F4490" t="s">
        <v>670</v>
      </c>
      <c r="G4490" t="s">
        <v>59</v>
      </c>
      <c r="H4490">
        <v>2023</v>
      </c>
    </row>
    <row r="4491" spans="1:8" x14ac:dyDescent="0.2">
      <c r="A4491">
        <v>247410</v>
      </c>
      <c r="B4491">
        <v>383187</v>
      </c>
      <c r="C4491" t="str">
        <f t="shared" si="70"/>
        <v>3. $50K-250K</v>
      </c>
      <c r="D4491" t="s">
        <v>917</v>
      </c>
      <c r="E4491" t="s">
        <v>237</v>
      </c>
      <c r="F4491" t="s">
        <v>670</v>
      </c>
      <c r="G4491" t="s">
        <v>59</v>
      </c>
      <c r="H4491">
        <v>2023</v>
      </c>
    </row>
    <row r="4492" spans="1:8" x14ac:dyDescent="0.2">
      <c r="A4492">
        <v>247411</v>
      </c>
      <c r="B4492">
        <v>54790.7</v>
      </c>
      <c r="C4492" t="str">
        <f t="shared" si="70"/>
        <v>4. $250K-1M</v>
      </c>
      <c r="D4492" t="s">
        <v>917</v>
      </c>
      <c r="E4492" t="s">
        <v>237</v>
      </c>
      <c r="F4492" t="s">
        <v>670</v>
      </c>
      <c r="G4492" t="s">
        <v>59</v>
      </c>
      <c r="H4492">
        <v>2023</v>
      </c>
    </row>
    <row r="4493" spans="1:8" x14ac:dyDescent="0.2">
      <c r="A4493">
        <v>247412</v>
      </c>
      <c r="B4493">
        <v>164373</v>
      </c>
      <c r="C4493" t="str">
        <f t="shared" si="70"/>
        <v>3. $50K-250K</v>
      </c>
      <c r="D4493" t="s">
        <v>917</v>
      </c>
      <c r="E4493" t="s">
        <v>237</v>
      </c>
      <c r="F4493" t="s">
        <v>670</v>
      </c>
      <c r="G4493" t="s">
        <v>59</v>
      </c>
      <c r="H4493">
        <v>2023</v>
      </c>
    </row>
    <row r="4494" spans="1:8" x14ac:dyDescent="0.2">
      <c r="A4494">
        <v>247413</v>
      </c>
      <c r="B4494">
        <v>177411.7</v>
      </c>
      <c r="C4494" t="str">
        <f t="shared" si="70"/>
        <v>3. $50K-250K</v>
      </c>
      <c r="D4494" t="s">
        <v>799</v>
      </c>
      <c r="E4494" t="s">
        <v>237</v>
      </c>
      <c r="F4494" t="s">
        <v>670</v>
      </c>
      <c r="G4494" t="s">
        <v>59</v>
      </c>
      <c r="H4494">
        <v>2023</v>
      </c>
    </row>
    <row r="4495" spans="1:8" x14ac:dyDescent="0.2">
      <c r="A4495">
        <v>247414</v>
      </c>
      <c r="B4495">
        <v>532253.1</v>
      </c>
      <c r="C4495" t="str">
        <f t="shared" si="70"/>
        <v>3. $50K-250K</v>
      </c>
      <c r="D4495" t="s">
        <v>799</v>
      </c>
      <c r="E4495" t="s">
        <v>237</v>
      </c>
      <c r="F4495" t="s">
        <v>670</v>
      </c>
      <c r="G4495" t="s">
        <v>59</v>
      </c>
      <c r="H4495">
        <v>2023</v>
      </c>
    </row>
    <row r="4496" spans="1:8" x14ac:dyDescent="0.2">
      <c r="A4496">
        <v>247424</v>
      </c>
      <c r="B4496">
        <v>100000</v>
      </c>
      <c r="C4496" t="str">
        <f t="shared" si="70"/>
        <v>4. $250K-1M</v>
      </c>
      <c r="D4496" t="s">
        <v>977</v>
      </c>
      <c r="E4496" t="s">
        <v>42</v>
      </c>
      <c r="F4496" t="s">
        <v>670</v>
      </c>
      <c r="G4496" t="s">
        <v>44</v>
      </c>
      <c r="H4496">
        <v>2024</v>
      </c>
    </row>
    <row r="4497" spans="1:8" x14ac:dyDescent="0.2">
      <c r="A4497">
        <v>247425</v>
      </c>
      <c r="B4497">
        <v>100000</v>
      </c>
      <c r="C4497" t="str">
        <f t="shared" si="70"/>
        <v>3. $50K-250K</v>
      </c>
      <c r="D4497" t="s">
        <v>763</v>
      </c>
      <c r="E4497" t="s">
        <v>42</v>
      </c>
      <c r="F4497" t="s">
        <v>670</v>
      </c>
      <c r="G4497" t="s">
        <v>59</v>
      </c>
      <c r="H4497">
        <v>2024</v>
      </c>
    </row>
    <row r="4498" spans="1:8" x14ac:dyDescent="0.2">
      <c r="A4498">
        <v>247427</v>
      </c>
      <c r="B4498">
        <v>100000</v>
      </c>
      <c r="C4498" t="str">
        <f t="shared" si="70"/>
        <v>3. $50K-250K</v>
      </c>
      <c r="D4498" t="s">
        <v>978</v>
      </c>
      <c r="E4498" t="s">
        <v>42</v>
      </c>
      <c r="F4498" t="s">
        <v>670</v>
      </c>
      <c r="G4498" t="s">
        <v>44</v>
      </c>
      <c r="H4498">
        <v>2024</v>
      </c>
    </row>
    <row r="4499" spans="1:8" x14ac:dyDescent="0.2">
      <c r="A4499">
        <v>247429</v>
      </c>
      <c r="B4499">
        <v>100000</v>
      </c>
      <c r="C4499" t="str">
        <f t="shared" si="70"/>
        <v>3. $50K-250K</v>
      </c>
      <c r="D4499" t="s">
        <v>957</v>
      </c>
      <c r="E4499" t="s">
        <v>42</v>
      </c>
      <c r="F4499" t="s">
        <v>670</v>
      </c>
      <c r="G4499" t="s">
        <v>44</v>
      </c>
      <c r="H4499">
        <v>2024</v>
      </c>
    </row>
    <row r="4500" spans="1:8" x14ac:dyDescent="0.2">
      <c r="A4500">
        <v>247440</v>
      </c>
      <c r="B4500">
        <v>10000000</v>
      </c>
      <c r="C4500" t="str">
        <f t="shared" si="70"/>
        <v>3. $50K-250K</v>
      </c>
      <c r="D4500" t="s">
        <v>196</v>
      </c>
      <c r="E4500" t="s">
        <v>8</v>
      </c>
      <c r="F4500" t="s">
        <v>14</v>
      </c>
      <c r="G4500" t="s">
        <v>15</v>
      </c>
      <c r="H4500">
        <v>2024</v>
      </c>
    </row>
    <row r="4501" spans="1:8" x14ac:dyDescent="0.2">
      <c r="A4501">
        <v>247443</v>
      </c>
      <c r="B4501">
        <v>1520000</v>
      </c>
      <c r="C4501" t="str">
        <f t="shared" si="70"/>
        <v>5. $1M+</v>
      </c>
      <c r="D4501" t="s">
        <v>389</v>
      </c>
      <c r="E4501" t="s">
        <v>59</v>
      </c>
      <c r="F4501" t="s">
        <v>12</v>
      </c>
      <c r="G4501" t="s">
        <v>10</v>
      </c>
      <c r="H4501">
        <v>2024</v>
      </c>
    </row>
    <row r="4502" spans="1:8" x14ac:dyDescent="0.2">
      <c r="A4502">
        <v>247452</v>
      </c>
      <c r="B4502">
        <v>744977.2</v>
      </c>
      <c r="C4502" t="str">
        <f t="shared" si="70"/>
        <v>5. $1M+</v>
      </c>
      <c r="D4502" t="s">
        <v>980</v>
      </c>
      <c r="E4502" t="s">
        <v>237</v>
      </c>
      <c r="F4502" t="s">
        <v>670</v>
      </c>
      <c r="G4502" t="s">
        <v>59</v>
      </c>
      <c r="H4502">
        <v>2023</v>
      </c>
    </row>
    <row r="4503" spans="1:8" x14ac:dyDescent="0.2">
      <c r="A4503">
        <v>247456</v>
      </c>
      <c r="B4503">
        <v>400715</v>
      </c>
      <c r="C4503" t="str">
        <f t="shared" si="70"/>
        <v>4. $250K-1M</v>
      </c>
      <c r="D4503" t="s">
        <v>390</v>
      </c>
      <c r="E4503" t="s">
        <v>8</v>
      </c>
      <c r="F4503" t="s">
        <v>22</v>
      </c>
      <c r="G4503" t="s">
        <v>10</v>
      </c>
      <c r="H4503">
        <v>2024</v>
      </c>
    </row>
    <row r="4504" spans="1:8" x14ac:dyDescent="0.2">
      <c r="A4504">
        <v>247486</v>
      </c>
      <c r="B4504">
        <v>403836.5</v>
      </c>
      <c r="C4504" t="str">
        <f t="shared" si="70"/>
        <v>4. $250K-1M</v>
      </c>
      <c r="D4504" t="s">
        <v>977</v>
      </c>
      <c r="E4504" t="s">
        <v>42</v>
      </c>
      <c r="F4504" t="s">
        <v>670</v>
      </c>
      <c r="G4504" t="s">
        <v>59</v>
      </c>
      <c r="H4504">
        <v>2023</v>
      </c>
    </row>
    <row r="4505" spans="1:8" x14ac:dyDescent="0.2">
      <c r="A4505">
        <v>247487</v>
      </c>
      <c r="B4505">
        <v>159000</v>
      </c>
      <c r="C4505" t="str">
        <f t="shared" si="70"/>
        <v>4. $250K-1M</v>
      </c>
      <c r="D4505" t="s">
        <v>686</v>
      </c>
      <c r="E4505" t="s">
        <v>42</v>
      </c>
      <c r="F4505" t="s">
        <v>670</v>
      </c>
      <c r="G4505" t="s">
        <v>59</v>
      </c>
      <c r="H4505">
        <v>2023</v>
      </c>
    </row>
    <row r="4506" spans="1:8" x14ac:dyDescent="0.2">
      <c r="A4506">
        <v>247488</v>
      </c>
      <c r="B4506">
        <v>33846.9</v>
      </c>
      <c r="C4506" t="str">
        <f t="shared" si="70"/>
        <v>3. $50K-250K</v>
      </c>
      <c r="D4506" t="s">
        <v>957</v>
      </c>
      <c r="E4506" t="s">
        <v>42</v>
      </c>
      <c r="F4506" t="s">
        <v>670</v>
      </c>
      <c r="G4506" t="s">
        <v>59</v>
      </c>
      <c r="H4506">
        <v>2023</v>
      </c>
    </row>
    <row r="4507" spans="1:8" x14ac:dyDescent="0.2">
      <c r="A4507">
        <v>247521</v>
      </c>
      <c r="B4507">
        <v>34083</v>
      </c>
      <c r="C4507" t="str">
        <f t="shared" si="70"/>
        <v>2. $10K-50K</v>
      </c>
      <c r="D4507" t="s">
        <v>801</v>
      </c>
      <c r="E4507" t="s">
        <v>42</v>
      </c>
      <c r="F4507" t="s">
        <v>670</v>
      </c>
      <c r="G4507" t="s">
        <v>59</v>
      </c>
      <c r="H4507">
        <v>2023</v>
      </c>
    </row>
    <row r="4508" spans="1:8" x14ac:dyDescent="0.2">
      <c r="A4508">
        <v>247522</v>
      </c>
      <c r="B4508">
        <v>121936.1</v>
      </c>
      <c r="C4508" t="str">
        <f t="shared" si="70"/>
        <v>2. $10K-50K</v>
      </c>
      <c r="D4508" t="s">
        <v>1663</v>
      </c>
      <c r="E4508" t="s">
        <v>42</v>
      </c>
      <c r="F4508" t="s">
        <v>670</v>
      </c>
      <c r="G4508" t="s">
        <v>59</v>
      </c>
      <c r="H4508">
        <v>2023</v>
      </c>
    </row>
    <row r="4509" spans="1:8" x14ac:dyDescent="0.2">
      <c r="A4509">
        <v>247680</v>
      </c>
      <c r="B4509">
        <v>100000</v>
      </c>
      <c r="C4509" t="str">
        <f t="shared" si="70"/>
        <v>3. $50K-250K</v>
      </c>
      <c r="D4509" t="s">
        <v>391</v>
      </c>
      <c r="E4509" t="s">
        <v>237</v>
      </c>
      <c r="F4509" t="s">
        <v>100</v>
      </c>
      <c r="G4509" t="s">
        <v>44</v>
      </c>
      <c r="H4509">
        <v>2024</v>
      </c>
    </row>
    <row r="4510" spans="1:8" x14ac:dyDescent="0.2">
      <c r="A4510">
        <v>24782</v>
      </c>
      <c r="B4510">
        <v>1167992.6000000001</v>
      </c>
      <c r="C4510" t="str">
        <f t="shared" si="70"/>
        <v>3. $50K-250K</v>
      </c>
      <c r="D4510" t="s">
        <v>392</v>
      </c>
      <c r="E4510" t="s">
        <v>28</v>
      </c>
      <c r="F4510" t="s">
        <v>31</v>
      </c>
      <c r="G4510" t="s">
        <v>10</v>
      </c>
      <c r="H4510">
        <v>2023</v>
      </c>
    </row>
    <row r="4511" spans="1:8" x14ac:dyDescent="0.2">
      <c r="A4511">
        <v>247873</v>
      </c>
      <c r="B4511">
        <v>107825.9</v>
      </c>
      <c r="C4511" t="str">
        <f t="shared" si="70"/>
        <v>5. $1M+</v>
      </c>
      <c r="D4511" t="s">
        <v>830</v>
      </c>
      <c r="E4511" t="s">
        <v>237</v>
      </c>
      <c r="F4511" t="s">
        <v>670</v>
      </c>
      <c r="G4511" t="s">
        <v>59</v>
      </c>
      <c r="H4511">
        <v>2023</v>
      </c>
    </row>
    <row r="4512" spans="1:8" x14ac:dyDescent="0.2">
      <c r="A4512">
        <v>247879</v>
      </c>
      <c r="B4512">
        <v>329688</v>
      </c>
      <c r="C4512" t="str">
        <f t="shared" si="70"/>
        <v>3. $50K-250K</v>
      </c>
      <c r="D4512" t="s">
        <v>862</v>
      </c>
      <c r="E4512" t="s">
        <v>237</v>
      </c>
      <c r="F4512" t="s">
        <v>670</v>
      </c>
      <c r="G4512" t="s">
        <v>59</v>
      </c>
      <c r="H4512">
        <v>2023</v>
      </c>
    </row>
    <row r="4513" spans="1:8" x14ac:dyDescent="0.2">
      <c r="A4513">
        <v>247880</v>
      </c>
      <c r="B4513">
        <v>938350</v>
      </c>
      <c r="C4513" t="str">
        <f t="shared" si="70"/>
        <v>4. $250K-1M</v>
      </c>
      <c r="D4513" t="s">
        <v>601</v>
      </c>
      <c r="E4513" t="s">
        <v>237</v>
      </c>
      <c r="F4513" t="s">
        <v>670</v>
      </c>
      <c r="G4513" t="s">
        <v>59</v>
      </c>
      <c r="H4513">
        <v>2023</v>
      </c>
    </row>
    <row r="4514" spans="1:8" x14ac:dyDescent="0.2">
      <c r="A4514">
        <v>247881</v>
      </c>
      <c r="B4514">
        <v>169891</v>
      </c>
      <c r="C4514" t="str">
        <f t="shared" si="70"/>
        <v>4. $250K-1M</v>
      </c>
      <c r="D4514" t="s">
        <v>878</v>
      </c>
      <c r="E4514" t="s">
        <v>237</v>
      </c>
      <c r="F4514" t="s">
        <v>670</v>
      </c>
      <c r="G4514" t="s">
        <v>59</v>
      </c>
      <c r="H4514">
        <v>2023</v>
      </c>
    </row>
    <row r="4515" spans="1:8" x14ac:dyDescent="0.2">
      <c r="A4515">
        <v>247888</v>
      </c>
      <c r="B4515">
        <v>263750</v>
      </c>
      <c r="C4515" t="str">
        <f t="shared" si="70"/>
        <v>3. $50K-250K</v>
      </c>
      <c r="D4515" t="s">
        <v>865</v>
      </c>
      <c r="E4515" t="s">
        <v>237</v>
      </c>
      <c r="F4515" t="s">
        <v>670</v>
      </c>
      <c r="G4515" t="s">
        <v>59</v>
      </c>
      <c r="H4515">
        <v>2023</v>
      </c>
    </row>
    <row r="4516" spans="1:8" x14ac:dyDescent="0.2">
      <c r="A4516">
        <v>247890</v>
      </c>
      <c r="B4516">
        <v>209000</v>
      </c>
      <c r="C4516" t="str">
        <f t="shared" si="70"/>
        <v>4. $250K-1M</v>
      </c>
      <c r="D4516" t="s">
        <v>869</v>
      </c>
      <c r="E4516" t="s">
        <v>237</v>
      </c>
      <c r="F4516" t="s">
        <v>670</v>
      </c>
      <c r="G4516" t="s">
        <v>59</v>
      </c>
      <c r="H4516">
        <v>2023</v>
      </c>
    </row>
    <row r="4517" spans="1:8" x14ac:dyDescent="0.2">
      <c r="A4517">
        <v>247891</v>
      </c>
      <c r="B4517">
        <v>67258</v>
      </c>
      <c r="C4517" t="str">
        <f t="shared" si="70"/>
        <v>3. $50K-250K</v>
      </c>
      <c r="D4517" t="s">
        <v>854</v>
      </c>
      <c r="E4517" t="s">
        <v>237</v>
      </c>
      <c r="F4517" t="s">
        <v>670</v>
      </c>
      <c r="G4517" t="s">
        <v>59</v>
      </c>
      <c r="H4517">
        <v>2023</v>
      </c>
    </row>
    <row r="4518" spans="1:8" x14ac:dyDescent="0.2">
      <c r="A4518">
        <v>247892</v>
      </c>
      <c r="B4518">
        <v>286015</v>
      </c>
      <c r="C4518" t="str">
        <f t="shared" si="70"/>
        <v>3. $50K-250K</v>
      </c>
      <c r="D4518" t="s">
        <v>870</v>
      </c>
      <c r="E4518" t="s">
        <v>237</v>
      </c>
      <c r="F4518" t="s">
        <v>670</v>
      </c>
      <c r="G4518" t="s">
        <v>59</v>
      </c>
      <c r="H4518">
        <v>2023</v>
      </c>
    </row>
    <row r="4519" spans="1:8" x14ac:dyDescent="0.2">
      <c r="A4519">
        <v>247893</v>
      </c>
      <c r="B4519">
        <v>4403120</v>
      </c>
      <c r="C4519" t="str">
        <f t="shared" si="70"/>
        <v>4. $250K-1M</v>
      </c>
      <c r="D4519" t="s">
        <v>872</v>
      </c>
      <c r="E4519" t="s">
        <v>237</v>
      </c>
      <c r="F4519" t="s">
        <v>670</v>
      </c>
      <c r="G4519" t="s">
        <v>59</v>
      </c>
      <c r="H4519">
        <v>2023</v>
      </c>
    </row>
    <row r="4520" spans="1:8" x14ac:dyDescent="0.2">
      <c r="A4520">
        <v>247894</v>
      </c>
      <c r="B4520">
        <v>179808</v>
      </c>
      <c r="C4520" t="str">
        <f t="shared" si="70"/>
        <v>5. $1M+</v>
      </c>
      <c r="D4520" t="s">
        <v>861</v>
      </c>
      <c r="E4520" t="s">
        <v>237</v>
      </c>
      <c r="F4520" t="s">
        <v>670</v>
      </c>
      <c r="G4520" t="s">
        <v>59</v>
      </c>
      <c r="H4520">
        <v>2023</v>
      </c>
    </row>
    <row r="4521" spans="1:8" x14ac:dyDescent="0.2">
      <c r="A4521">
        <v>247896</v>
      </c>
      <c r="B4521">
        <v>905576</v>
      </c>
      <c r="C4521" t="str">
        <f t="shared" si="70"/>
        <v>3. $50K-250K</v>
      </c>
      <c r="D4521" t="s">
        <v>874</v>
      </c>
      <c r="E4521" t="s">
        <v>237</v>
      </c>
      <c r="F4521" t="s">
        <v>670</v>
      </c>
      <c r="G4521" t="s">
        <v>59</v>
      </c>
      <c r="H4521">
        <v>2023</v>
      </c>
    </row>
    <row r="4522" spans="1:8" x14ac:dyDescent="0.2">
      <c r="A4522">
        <v>247897</v>
      </c>
      <c r="B4522">
        <v>164845</v>
      </c>
      <c r="C4522" t="str">
        <f t="shared" si="70"/>
        <v>4. $250K-1M</v>
      </c>
      <c r="D4522" t="s">
        <v>876</v>
      </c>
      <c r="E4522" t="s">
        <v>237</v>
      </c>
      <c r="F4522" t="s">
        <v>670</v>
      </c>
      <c r="G4522" t="s">
        <v>59</v>
      </c>
      <c r="H4522">
        <v>2023</v>
      </c>
    </row>
    <row r="4523" spans="1:8" x14ac:dyDescent="0.2">
      <c r="A4523">
        <v>247904</v>
      </c>
      <c r="B4523">
        <v>384675</v>
      </c>
      <c r="C4523" t="str">
        <f t="shared" si="70"/>
        <v>3. $50K-250K</v>
      </c>
      <c r="D4523" t="s">
        <v>812</v>
      </c>
      <c r="E4523" t="s">
        <v>237</v>
      </c>
      <c r="F4523" t="s">
        <v>670</v>
      </c>
      <c r="G4523" t="s">
        <v>59</v>
      </c>
      <c r="H4523">
        <v>2023</v>
      </c>
    </row>
    <row r="4524" spans="1:8" x14ac:dyDescent="0.2">
      <c r="A4524">
        <v>247914</v>
      </c>
      <c r="B4524">
        <v>296720</v>
      </c>
      <c r="C4524" t="str">
        <f t="shared" si="70"/>
        <v>4. $250K-1M</v>
      </c>
      <c r="D4524" t="s">
        <v>887</v>
      </c>
      <c r="E4524" t="s">
        <v>237</v>
      </c>
      <c r="F4524" t="s">
        <v>670</v>
      </c>
      <c r="G4524" t="s">
        <v>59</v>
      </c>
      <c r="H4524">
        <v>2023</v>
      </c>
    </row>
    <row r="4525" spans="1:8" x14ac:dyDescent="0.2">
      <c r="A4525">
        <v>247988</v>
      </c>
      <c r="B4525">
        <v>30775</v>
      </c>
      <c r="C4525" t="str">
        <f t="shared" si="70"/>
        <v>4. $250K-1M</v>
      </c>
      <c r="D4525" t="s">
        <v>977</v>
      </c>
      <c r="E4525" t="s">
        <v>42</v>
      </c>
      <c r="F4525" t="s">
        <v>670</v>
      </c>
      <c r="G4525" t="s">
        <v>59</v>
      </c>
      <c r="H4525">
        <v>2023</v>
      </c>
    </row>
    <row r="4526" spans="1:8" x14ac:dyDescent="0.2">
      <c r="A4526">
        <v>247989</v>
      </c>
      <c r="B4526">
        <v>32703.8</v>
      </c>
      <c r="C4526" t="str">
        <f t="shared" si="70"/>
        <v>2. $10K-50K</v>
      </c>
      <c r="D4526" t="s">
        <v>978</v>
      </c>
      <c r="E4526" t="s">
        <v>42</v>
      </c>
      <c r="F4526" t="s">
        <v>670</v>
      </c>
      <c r="G4526" t="s">
        <v>59</v>
      </c>
      <c r="H4526">
        <v>2023</v>
      </c>
    </row>
    <row r="4527" spans="1:8" x14ac:dyDescent="0.2">
      <c r="A4527">
        <v>248018</v>
      </c>
      <c r="B4527">
        <v>116813982.2</v>
      </c>
      <c r="C4527" t="str">
        <f t="shared" si="70"/>
        <v>2. $10K-50K</v>
      </c>
      <c r="D4527" t="s">
        <v>393</v>
      </c>
      <c r="E4527" t="s">
        <v>24</v>
      </c>
      <c r="F4527" t="s">
        <v>12</v>
      </c>
      <c r="G4527" t="s">
        <v>103</v>
      </c>
      <c r="H4527">
        <v>2023</v>
      </c>
    </row>
    <row r="4528" spans="1:8" x14ac:dyDescent="0.2">
      <c r="A4528">
        <v>248044</v>
      </c>
      <c r="B4528">
        <v>6000</v>
      </c>
      <c r="C4528" t="str">
        <f t="shared" si="70"/>
        <v>5. $1M+</v>
      </c>
      <c r="D4528" t="s">
        <v>1814</v>
      </c>
      <c r="E4528" t="s">
        <v>112</v>
      </c>
      <c r="F4528" t="s">
        <v>668</v>
      </c>
      <c r="G4528" t="s">
        <v>59</v>
      </c>
      <c r="H4528">
        <v>2023</v>
      </c>
    </row>
    <row r="4529" spans="1:8" x14ac:dyDescent="0.2">
      <c r="A4529">
        <v>248046</v>
      </c>
      <c r="B4529">
        <v>6000</v>
      </c>
      <c r="C4529" t="str">
        <f t="shared" si="70"/>
        <v>1. Under $10K</v>
      </c>
      <c r="D4529" t="s">
        <v>1815</v>
      </c>
      <c r="E4529" t="s">
        <v>112</v>
      </c>
      <c r="F4529" t="s">
        <v>668</v>
      </c>
      <c r="G4529" t="s">
        <v>59</v>
      </c>
      <c r="H4529">
        <v>2023</v>
      </c>
    </row>
    <row r="4530" spans="1:8" x14ac:dyDescent="0.2">
      <c r="A4530">
        <v>248087</v>
      </c>
      <c r="B4530">
        <v>6000</v>
      </c>
      <c r="C4530" t="str">
        <f t="shared" si="70"/>
        <v>1. Under $10K</v>
      </c>
      <c r="D4530" t="s">
        <v>1816</v>
      </c>
      <c r="E4530" t="s">
        <v>112</v>
      </c>
      <c r="F4530" t="s">
        <v>668</v>
      </c>
      <c r="G4530" t="s">
        <v>59</v>
      </c>
      <c r="H4530">
        <v>2023</v>
      </c>
    </row>
    <row r="4531" spans="1:8" x14ac:dyDescent="0.2">
      <c r="A4531">
        <v>248088</v>
      </c>
      <c r="B4531">
        <v>6000</v>
      </c>
      <c r="C4531" t="str">
        <f t="shared" si="70"/>
        <v>1. Under $10K</v>
      </c>
      <c r="D4531" t="s">
        <v>1817</v>
      </c>
      <c r="E4531" t="s">
        <v>112</v>
      </c>
      <c r="F4531" t="s">
        <v>668</v>
      </c>
      <c r="G4531" t="s">
        <v>59</v>
      </c>
      <c r="H4531">
        <v>2023</v>
      </c>
    </row>
    <row r="4532" spans="1:8" x14ac:dyDescent="0.2">
      <c r="A4532">
        <v>248089</v>
      </c>
      <c r="B4532">
        <v>6000</v>
      </c>
      <c r="C4532" t="str">
        <f t="shared" si="70"/>
        <v>1. Under $10K</v>
      </c>
      <c r="D4532" t="s">
        <v>1818</v>
      </c>
      <c r="E4532" t="s">
        <v>112</v>
      </c>
      <c r="F4532" t="s">
        <v>668</v>
      </c>
      <c r="G4532" t="s">
        <v>59</v>
      </c>
      <c r="H4532">
        <v>2023</v>
      </c>
    </row>
    <row r="4533" spans="1:8" x14ac:dyDescent="0.2">
      <c r="A4533">
        <v>248091</v>
      </c>
      <c r="B4533">
        <v>75000</v>
      </c>
      <c r="C4533" t="str">
        <f t="shared" si="70"/>
        <v>1. Under $10K</v>
      </c>
      <c r="D4533" t="s">
        <v>1138</v>
      </c>
      <c r="E4533" t="s">
        <v>112</v>
      </c>
      <c r="F4533" t="s">
        <v>668</v>
      </c>
      <c r="G4533" t="s">
        <v>59</v>
      </c>
      <c r="H4533">
        <v>2023</v>
      </c>
    </row>
    <row r="4534" spans="1:8" x14ac:dyDescent="0.2">
      <c r="A4534">
        <v>248095</v>
      </c>
      <c r="B4534">
        <v>6000</v>
      </c>
      <c r="C4534" t="str">
        <f t="shared" si="70"/>
        <v>3. $50K-250K</v>
      </c>
      <c r="D4534" t="s">
        <v>1819</v>
      </c>
      <c r="E4534" t="s">
        <v>112</v>
      </c>
      <c r="F4534" t="s">
        <v>668</v>
      </c>
      <c r="G4534" t="s">
        <v>59</v>
      </c>
      <c r="H4534">
        <v>2023</v>
      </c>
    </row>
    <row r="4535" spans="1:8" x14ac:dyDescent="0.2">
      <c r="A4535">
        <v>248096</v>
      </c>
      <c r="B4535">
        <v>5000</v>
      </c>
      <c r="C4535" t="str">
        <f t="shared" si="70"/>
        <v>1. Under $10K</v>
      </c>
      <c r="D4535" t="s">
        <v>1820</v>
      </c>
      <c r="E4535" t="s">
        <v>112</v>
      </c>
      <c r="F4535" t="s">
        <v>668</v>
      </c>
      <c r="G4535" t="s">
        <v>59</v>
      </c>
      <c r="H4535">
        <v>2023</v>
      </c>
    </row>
    <row r="4536" spans="1:8" x14ac:dyDescent="0.2">
      <c r="A4536">
        <v>248098</v>
      </c>
      <c r="B4536">
        <v>50000</v>
      </c>
      <c r="C4536" t="str">
        <f t="shared" si="70"/>
        <v>1. Under $10K</v>
      </c>
      <c r="D4536" t="s">
        <v>1235</v>
      </c>
      <c r="E4536" t="s">
        <v>112</v>
      </c>
      <c r="F4536" t="s">
        <v>668</v>
      </c>
      <c r="G4536" t="s">
        <v>59</v>
      </c>
      <c r="H4536">
        <v>2023</v>
      </c>
    </row>
    <row r="4537" spans="1:8" x14ac:dyDescent="0.2">
      <c r="A4537">
        <v>248099</v>
      </c>
      <c r="B4537">
        <v>6000</v>
      </c>
      <c r="C4537" t="str">
        <f t="shared" si="70"/>
        <v>3. $50K-250K</v>
      </c>
      <c r="D4537" t="s">
        <v>1821</v>
      </c>
      <c r="E4537" t="s">
        <v>112</v>
      </c>
      <c r="F4537" t="s">
        <v>668</v>
      </c>
      <c r="G4537" t="s">
        <v>59</v>
      </c>
      <c r="H4537">
        <v>2023</v>
      </c>
    </row>
    <row r="4538" spans="1:8" x14ac:dyDescent="0.2">
      <c r="A4538">
        <v>248102</v>
      </c>
      <c r="B4538">
        <v>5500</v>
      </c>
      <c r="C4538" t="str">
        <f t="shared" si="70"/>
        <v>1. Under $10K</v>
      </c>
      <c r="D4538" t="s">
        <v>1822</v>
      </c>
      <c r="E4538" t="s">
        <v>112</v>
      </c>
      <c r="F4538" t="s">
        <v>668</v>
      </c>
      <c r="G4538" t="s">
        <v>59</v>
      </c>
      <c r="H4538">
        <v>2023</v>
      </c>
    </row>
    <row r="4539" spans="1:8" x14ac:dyDescent="0.2">
      <c r="A4539">
        <v>248106</v>
      </c>
      <c r="B4539">
        <v>6000</v>
      </c>
      <c r="C4539" t="str">
        <f t="shared" si="70"/>
        <v>1. Under $10K</v>
      </c>
      <c r="D4539" t="s">
        <v>1823</v>
      </c>
      <c r="E4539" t="s">
        <v>112</v>
      </c>
      <c r="F4539" t="s">
        <v>668</v>
      </c>
      <c r="G4539" t="s">
        <v>59</v>
      </c>
      <c r="H4539">
        <v>2023</v>
      </c>
    </row>
    <row r="4540" spans="1:8" x14ac:dyDescent="0.2">
      <c r="A4540">
        <v>248209</v>
      </c>
      <c r="B4540">
        <v>365902</v>
      </c>
      <c r="C4540" t="str">
        <f t="shared" si="70"/>
        <v>1. Under $10K</v>
      </c>
      <c r="D4540" t="s">
        <v>671</v>
      </c>
      <c r="E4540" t="s">
        <v>237</v>
      </c>
      <c r="F4540" t="s">
        <v>670</v>
      </c>
      <c r="G4540" t="s">
        <v>59</v>
      </c>
      <c r="H4540">
        <v>2023</v>
      </c>
    </row>
    <row r="4541" spans="1:8" x14ac:dyDescent="0.2">
      <c r="A4541">
        <v>248214</v>
      </c>
      <c r="B4541">
        <v>944495</v>
      </c>
      <c r="C4541" t="str">
        <f t="shared" si="70"/>
        <v>4. $250K-1M</v>
      </c>
      <c r="D4541" t="s">
        <v>708</v>
      </c>
      <c r="E4541" t="s">
        <v>237</v>
      </c>
      <c r="F4541" t="s">
        <v>670</v>
      </c>
      <c r="G4541" t="s">
        <v>44</v>
      </c>
      <c r="H4541">
        <v>2023</v>
      </c>
    </row>
    <row r="4542" spans="1:8" x14ac:dyDescent="0.2">
      <c r="A4542">
        <v>248222</v>
      </c>
      <c r="B4542">
        <v>100000</v>
      </c>
      <c r="C4542" t="str">
        <f t="shared" si="70"/>
        <v>4. $250K-1M</v>
      </c>
      <c r="D4542" t="s">
        <v>703</v>
      </c>
      <c r="E4542" t="s">
        <v>237</v>
      </c>
      <c r="F4542" t="s">
        <v>670</v>
      </c>
      <c r="G4542" t="s">
        <v>59</v>
      </c>
      <c r="H4542">
        <v>2023</v>
      </c>
    </row>
    <row r="4543" spans="1:8" x14ac:dyDescent="0.2">
      <c r="A4543">
        <v>248223</v>
      </c>
      <c r="B4543">
        <v>25000</v>
      </c>
      <c r="C4543" t="str">
        <f t="shared" si="70"/>
        <v>3. $50K-250K</v>
      </c>
      <c r="D4543" t="s">
        <v>699</v>
      </c>
      <c r="E4543" t="s">
        <v>237</v>
      </c>
      <c r="F4543" t="s">
        <v>670</v>
      </c>
      <c r="G4543" t="s">
        <v>59</v>
      </c>
      <c r="H4543">
        <v>2023</v>
      </c>
    </row>
    <row r="4544" spans="1:8" x14ac:dyDescent="0.2">
      <c r="A4544">
        <v>248224</v>
      </c>
      <c r="B4544">
        <v>350000</v>
      </c>
      <c r="C4544" t="str">
        <f t="shared" si="70"/>
        <v>2. $10K-50K</v>
      </c>
      <c r="D4544" t="s">
        <v>767</v>
      </c>
      <c r="E4544" t="s">
        <v>237</v>
      </c>
      <c r="F4544" t="s">
        <v>670</v>
      </c>
      <c r="G4544" t="s">
        <v>59</v>
      </c>
      <c r="H4544">
        <v>2023</v>
      </c>
    </row>
    <row r="4545" spans="1:8" x14ac:dyDescent="0.2">
      <c r="A4545">
        <v>248302</v>
      </c>
      <c r="B4545">
        <v>414330.2</v>
      </c>
      <c r="C4545" t="str">
        <f t="shared" si="70"/>
        <v>4. $250K-1M</v>
      </c>
      <c r="D4545" t="s">
        <v>791</v>
      </c>
      <c r="E4545" t="s">
        <v>42</v>
      </c>
      <c r="F4545" t="s">
        <v>670</v>
      </c>
      <c r="G4545" t="s">
        <v>59</v>
      </c>
      <c r="H4545">
        <v>2023</v>
      </c>
    </row>
    <row r="4546" spans="1:8" x14ac:dyDescent="0.2">
      <c r="A4546">
        <v>248311</v>
      </c>
      <c r="B4546">
        <v>6000</v>
      </c>
      <c r="C4546" t="str">
        <f t="shared" si="70"/>
        <v>4. $250K-1M</v>
      </c>
      <c r="D4546" t="s">
        <v>1824</v>
      </c>
      <c r="E4546" t="s">
        <v>112</v>
      </c>
      <c r="F4546" t="s">
        <v>668</v>
      </c>
      <c r="G4546" t="s">
        <v>59</v>
      </c>
      <c r="H4546">
        <v>2023</v>
      </c>
    </row>
    <row r="4547" spans="1:8" x14ac:dyDescent="0.2">
      <c r="A4547">
        <v>248312</v>
      </c>
      <c r="B4547">
        <v>5000</v>
      </c>
      <c r="C4547" t="str">
        <f t="shared" ref="C4547:C4610" si="71">IF(B4546&lt;10000,"1. Under $10K",IF(B4546&lt;50000,"2. $10K-50K",IF(B4546&lt;250000,"3. $50K-250K",IF(B4546&lt;1000000,"4. $250K-1M","5. $1M+"))))</f>
        <v>1. Under $10K</v>
      </c>
      <c r="D4547" t="s">
        <v>1803</v>
      </c>
      <c r="E4547" t="s">
        <v>112</v>
      </c>
      <c r="F4547" t="s">
        <v>668</v>
      </c>
      <c r="G4547" t="s">
        <v>59</v>
      </c>
      <c r="H4547">
        <v>2023</v>
      </c>
    </row>
    <row r="4548" spans="1:8" x14ac:dyDescent="0.2">
      <c r="A4548">
        <v>248315</v>
      </c>
      <c r="B4548">
        <v>6000</v>
      </c>
      <c r="C4548" t="str">
        <f t="shared" si="71"/>
        <v>1. Under $10K</v>
      </c>
      <c r="D4548" t="s">
        <v>1825</v>
      </c>
      <c r="E4548" t="s">
        <v>112</v>
      </c>
      <c r="F4548" t="s">
        <v>668</v>
      </c>
      <c r="G4548" t="s">
        <v>59</v>
      </c>
      <c r="H4548">
        <v>2023</v>
      </c>
    </row>
    <row r="4549" spans="1:8" x14ac:dyDescent="0.2">
      <c r="A4549">
        <v>248316</v>
      </c>
      <c r="B4549">
        <v>6000</v>
      </c>
      <c r="C4549" t="str">
        <f t="shared" si="71"/>
        <v>1. Under $10K</v>
      </c>
      <c r="D4549" t="s">
        <v>1826</v>
      </c>
      <c r="E4549" t="s">
        <v>112</v>
      </c>
      <c r="F4549" t="s">
        <v>668</v>
      </c>
      <c r="G4549" t="s">
        <v>59</v>
      </c>
      <c r="H4549">
        <v>2023</v>
      </c>
    </row>
    <row r="4550" spans="1:8" x14ac:dyDescent="0.2">
      <c r="A4550">
        <v>248440</v>
      </c>
      <c r="B4550">
        <v>8479</v>
      </c>
      <c r="C4550" t="str">
        <f t="shared" si="71"/>
        <v>1. Under $10K</v>
      </c>
      <c r="D4550" t="s">
        <v>230</v>
      </c>
      <c r="E4550" t="s">
        <v>18</v>
      </c>
      <c r="F4550" t="s">
        <v>231</v>
      </c>
      <c r="G4550" t="s">
        <v>232</v>
      </c>
      <c r="H4550">
        <v>2023</v>
      </c>
    </row>
    <row r="4551" spans="1:8" x14ac:dyDescent="0.2">
      <c r="A4551">
        <v>248448</v>
      </c>
      <c r="B4551">
        <v>59340</v>
      </c>
      <c r="C4551" t="str">
        <f t="shared" si="71"/>
        <v>1. Under $10K</v>
      </c>
      <c r="D4551" t="s">
        <v>1039</v>
      </c>
      <c r="E4551" t="s">
        <v>237</v>
      </c>
      <c r="F4551" t="s">
        <v>670</v>
      </c>
      <c r="G4551" t="s">
        <v>59</v>
      </c>
      <c r="H4551">
        <v>2023</v>
      </c>
    </row>
    <row r="4552" spans="1:8" x14ac:dyDescent="0.2">
      <c r="A4552">
        <v>248449</v>
      </c>
      <c r="B4552">
        <v>15840</v>
      </c>
      <c r="C4552" t="str">
        <f t="shared" si="71"/>
        <v>3. $50K-250K</v>
      </c>
      <c r="D4552" t="s">
        <v>1041</v>
      </c>
      <c r="E4552" t="s">
        <v>237</v>
      </c>
      <c r="F4552" t="s">
        <v>670</v>
      </c>
      <c r="G4552" t="s">
        <v>59</v>
      </c>
      <c r="H4552">
        <v>2023</v>
      </c>
    </row>
    <row r="4553" spans="1:8" x14ac:dyDescent="0.2">
      <c r="A4553">
        <v>248472</v>
      </c>
      <c r="B4553">
        <v>4080690.3</v>
      </c>
      <c r="C4553" t="str">
        <f t="shared" si="71"/>
        <v>2. $10K-50K</v>
      </c>
      <c r="D4553" t="s">
        <v>863</v>
      </c>
      <c r="E4553" t="s">
        <v>237</v>
      </c>
      <c r="F4553" t="s">
        <v>670</v>
      </c>
      <c r="G4553" t="s">
        <v>59</v>
      </c>
      <c r="H4553">
        <v>2023</v>
      </c>
    </row>
    <row r="4554" spans="1:8" x14ac:dyDescent="0.2">
      <c r="A4554">
        <v>248473</v>
      </c>
      <c r="B4554">
        <v>119955.5</v>
      </c>
      <c r="C4554" t="str">
        <f t="shared" si="71"/>
        <v>5. $1M+</v>
      </c>
      <c r="D4554" t="s">
        <v>1041</v>
      </c>
      <c r="E4554" t="s">
        <v>237</v>
      </c>
      <c r="F4554" t="s">
        <v>670</v>
      </c>
      <c r="G4554" t="s">
        <v>59</v>
      </c>
      <c r="H4554">
        <v>2023</v>
      </c>
    </row>
    <row r="4555" spans="1:8" x14ac:dyDescent="0.2">
      <c r="A4555">
        <v>248474</v>
      </c>
      <c r="B4555">
        <v>1338156.8999999999</v>
      </c>
      <c r="C4555" t="str">
        <f t="shared" si="71"/>
        <v>3. $50K-250K</v>
      </c>
      <c r="D4555" t="s">
        <v>863</v>
      </c>
      <c r="E4555" t="s">
        <v>237</v>
      </c>
      <c r="F4555" t="s">
        <v>670</v>
      </c>
      <c r="G4555" t="s">
        <v>59</v>
      </c>
      <c r="H4555">
        <v>2023</v>
      </c>
    </row>
    <row r="4556" spans="1:8" x14ac:dyDescent="0.2">
      <c r="A4556">
        <v>248475</v>
      </c>
      <c r="B4556">
        <v>379001</v>
      </c>
      <c r="C4556" t="str">
        <f t="shared" si="71"/>
        <v>5. $1M+</v>
      </c>
      <c r="D4556" t="s">
        <v>1039</v>
      </c>
      <c r="E4556" t="s">
        <v>237</v>
      </c>
      <c r="F4556" t="s">
        <v>670</v>
      </c>
      <c r="G4556" t="s">
        <v>59</v>
      </c>
      <c r="H4556">
        <v>2023</v>
      </c>
    </row>
    <row r="4557" spans="1:8" x14ac:dyDescent="0.2">
      <c r="A4557">
        <v>248482</v>
      </c>
      <c r="B4557">
        <v>109835</v>
      </c>
      <c r="C4557" t="str">
        <f t="shared" si="71"/>
        <v>4. $250K-1M</v>
      </c>
      <c r="D4557" t="s">
        <v>807</v>
      </c>
      <c r="E4557" t="s">
        <v>42</v>
      </c>
      <c r="F4557" t="s">
        <v>670</v>
      </c>
      <c r="G4557" t="s">
        <v>59</v>
      </c>
      <c r="H4557">
        <v>2023</v>
      </c>
    </row>
    <row r="4558" spans="1:8" x14ac:dyDescent="0.2">
      <c r="A4558">
        <v>248490</v>
      </c>
      <c r="B4558">
        <v>839795</v>
      </c>
      <c r="C4558" t="str">
        <f t="shared" si="71"/>
        <v>3. $50K-250K</v>
      </c>
      <c r="D4558" t="s">
        <v>873</v>
      </c>
      <c r="E4558" t="s">
        <v>237</v>
      </c>
      <c r="F4558" t="s">
        <v>670</v>
      </c>
      <c r="G4558" t="s">
        <v>59</v>
      </c>
      <c r="H4558">
        <v>2023</v>
      </c>
    </row>
    <row r="4559" spans="1:8" x14ac:dyDescent="0.2">
      <c r="A4559">
        <v>248491</v>
      </c>
      <c r="B4559">
        <v>395652</v>
      </c>
      <c r="C4559" t="str">
        <f t="shared" si="71"/>
        <v>4. $250K-1M</v>
      </c>
      <c r="D4559" t="s">
        <v>871</v>
      </c>
      <c r="E4559" t="s">
        <v>237</v>
      </c>
      <c r="F4559" t="s">
        <v>670</v>
      </c>
      <c r="G4559" t="s">
        <v>59</v>
      </c>
      <c r="H4559">
        <v>2023</v>
      </c>
    </row>
    <row r="4560" spans="1:8" x14ac:dyDescent="0.2">
      <c r="A4560">
        <v>248493</v>
      </c>
      <c r="B4560">
        <v>659375</v>
      </c>
      <c r="C4560" t="str">
        <f t="shared" si="71"/>
        <v>4. $250K-1M</v>
      </c>
      <c r="D4560" t="s">
        <v>875</v>
      </c>
      <c r="E4560" t="s">
        <v>237</v>
      </c>
      <c r="F4560" t="s">
        <v>670</v>
      </c>
      <c r="G4560" t="s">
        <v>59</v>
      </c>
      <c r="H4560">
        <v>2023</v>
      </c>
    </row>
    <row r="4561" spans="1:8" x14ac:dyDescent="0.2">
      <c r="A4561">
        <v>248579</v>
      </c>
      <c r="B4561">
        <v>38660653.600000001</v>
      </c>
      <c r="C4561" t="str">
        <f t="shared" si="71"/>
        <v>4. $250K-1M</v>
      </c>
      <c r="D4561" t="s">
        <v>7</v>
      </c>
      <c r="E4561" t="s">
        <v>8</v>
      </c>
      <c r="F4561" t="s">
        <v>9</v>
      </c>
      <c r="G4561" t="s">
        <v>10</v>
      </c>
      <c r="H4561">
        <v>2024</v>
      </c>
    </row>
    <row r="4562" spans="1:8" x14ac:dyDescent="0.2">
      <c r="A4562">
        <v>248589</v>
      </c>
      <c r="B4562">
        <v>3583757.5</v>
      </c>
      <c r="C4562" t="str">
        <f t="shared" si="71"/>
        <v>5. $1M+</v>
      </c>
      <c r="D4562" t="s">
        <v>394</v>
      </c>
      <c r="E4562" t="s">
        <v>28</v>
      </c>
      <c r="F4562" t="s">
        <v>31</v>
      </c>
      <c r="G4562" t="s">
        <v>10</v>
      </c>
      <c r="H4562">
        <v>2023</v>
      </c>
    </row>
    <row r="4563" spans="1:8" x14ac:dyDescent="0.2">
      <c r="A4563">
        <v>248610</v>
      </c>
      <c r="B4563">
        <v>918747</v>
      </c>
      <c r="C4563" t="str">
        <f t="shared" si="71"/>
        <v>5. $1M+</v>
      </c>
      <c r="D4563" t="s">
        <v>917</v>
      </c>
      <c r="E4563" t="s">
        <v>237</v>
      </c>
      <c r="F4563" t="s">
        <v>670</v>
      </c>
      <c r="G4563" t="s">
        <v>59</v>
      </c>
      <c r="H4563">
        <v>2023</v>
      </c>
    </row>
    <row r="4564" spans="1:8" x14ac:dyDescent="0.2">
      <c r="A4564">
        <v>248613</v>
      </c>
      <c r="B4564">
        <v>240000</v>
      </c>
      <c r="C4564" t="str">
        <f t="shared" si="71"/>
        <v>4. $250K-1M</v>
      </c>
      <c r="D4564" t="s">
        <v>859</v>
      </c>
      <c r="E4564" t="s">
        <v>237</v>
      </c>
      <c r="F4564" t="s">
        <v>670</v>
      </c>
      <c r="G4564" t="s">
        <v>59</v>
      </c>
      <c r="H4564">
        <v>2023</v>
      </c>
    </row>
    <row r="4565" spans="1:8" x14ac:dyDescent="0.2">
      <c r="A4565">
        <v>248614</v>
      </c>
      <c r="B4565">
        <v>99990.9</v>
      </c>
      <c r="C4565" t="str">
        <f t="shared" si="71"/>
        <v>3. $50K-250K</v>
      </c>
      <c r="D4565" t="s">
        <v>837</v>
      </c>
      <c r="E4565" t="s">
        <v>237</v>
      </c>
      <c r="F4565" t="s">
        <v>670</v>
      </c>
      <c r="G4565" t="s">
        <v>59</v>
      </c>
      <c r="H4565">
        <v>2023</v>
      </c>
    </row>
    <row r="4566" spans="1:8" x14ac:dyDescent="0.2">
      <c r="A4566">
        <v>248615</v>
      </c>
      <c r="B4566">
        <v>21770.5</v>
      </c>
      <c r="C4566" t="str">
        <f t="shared" si="71"/>
        <v>3. $50K-250K</v>
      </c>
      <c r="D4566" t="s">
        <v>784</v>
      </c>
      <c r="E4566" t="s">
        <v>237</v>
      </c>
      <c r="F4566" t="s">
        <v>670</v>
      </c>
      <c r="G4566" t="s">
        <v>59</v>
      </c>
      <c r="H4566">
        <v>2023</v>
      </c>
    </row>
    <row r="4567" spans="1:8" x14ac:dyDescent="0.2">
      <c r="A4567">
        <v>248616</v>
      </c>
      <c r="B4567">
        <v>143389.6</v>
      </c>
      <c r="C4567" t="str">
        <f t="shared" si="71"/>
        <v>2. $10K-50K</v>
      </c>
      <c r="D4567" t="s">
        <v>784</v>
      </c>
      <c r="E4567" t="s">
        <v>237</v>
      </c>
      <c r="F4567" t="s">
        <v>670</v>
      </c>
      <c r="G4567" t="s">
        <v>59</v>
      </c>
      <c r="H4567">
        <v>2023</v>
      </c>
    </row>
    <row r="4568" spans="1:8" x14ac:dyDescent="0.2">
      <c r="A4568">
        <v>248617</v>
      </c>
      <c r="B4568">
        <v>10890</v>
      </c>
      <c r="C4568" t="str">
        <f t="shared" si="71"/>
        <v>3. $50K-250K</v>
      </c>
      <c r="D4568" t="s">
        <v>1042</v>
      </c>
      <c r="E4568" t="s">
        <v>237</v>
      </c>
      <c r="F4568" t="s">
        <v>670</v>
      </c>
      <c r="G4568" t="s">
        <v>59</v>
      </c>
      <c r="H4568">
        <v>2023</v>
      </c>
    </row>
    <row r="4569" spans="1:8" x14ac:dyDescent="0.2">
      <c r="A4569">
        <v>248618</v>
      </c>
      <c r="B4569">
        <v>350000</v>
      </c>
      <c r="C4569" t="str">
        <f t="shared" si="71"/>
        <v>2. $10K-50K</v>
      </c>
      <c r="D4569" t="s">
        <v>836</v>
      </c>
      <c r="E4569" t="s">
        <v>237</v>
      </c>
      <c r="F4569" t="s">
        <v>670</v>
      </c>
      <c r="G4569" t="s">
        <v>59</v>
      </c>
      <c r="H4569">
        <v>2023</v>
      </c>
    </row>
    <row r="4570" spans="1:8" x14ac:dyDescent="0.2">
      <c r="A4570">
        <v>248619</v>
      </c>
      <c r="B4570">
        <v>2041852.2</v>
      </c>
      <c r="C4570" t="str">
        <f t="shared" si="71"/>
        <v>4. $250K-1M</v>
      </c>
      <c r="D4570" t="s">
        <v>882</v>
      </c>
      <c r="E4570" t="s">
        <v>825</v>
      </c>
      <c r="F4570" t="s">
        <v>670</v>
      </c>
      <c r="G4570" t="s">
        <v>59</v>
      </c>
      <c r="H4570">
        <v>2023</v>
      </c>
    </row>
    <row r="4571" spans="1:8" x14ac:dyDescent="0.2">
      <c r="A4571">
        <v>248645</v>
      </c>
      <c r="B4571">
        <v>5000</v>
      </c>
      <c r="C4571" t="str">
        <f t="shared" si="71"/>
        <v>5. $1M+</v>
      </c>
      <c r="D4571" t="s">
        <v>1827</v>
      </c>
      <c r="E4571" t="s">
        <v>112</v>
      </c>
      <c r="F4571" t="s">
        <v>668</v>
      </c>
      <c r="G4571" t="s">
        <v>59</v>
      </c>
      <c r="H4571">
        <v>2023</v>
      </c>
    </row>
    <row r="4572" spans="1:8" x14ac:dyDescent="0.2">
      <c r="A4572">
        <v>248647</v>
      </c>
      <c r="B4572">
        <v>31198</v>
      </c>
      <c r="C4572" t="str">
        <f t="shared" si="71"/>
        <v>1. Under $10K</v>
      </c>
      <c r="D4572" t="s">
        <v>321</v>
      </c>
      <c r="E4572" t="s">
        <v>112</v>
      </c>
      <c r="F4572" t="s">
        <v>668</v>
      </c>
      <c r="G4572" t="s">
        <v>59</v>
      </c>
      <c r="H4572">
        <v>2023</v>
      </c>
    </row>
    <row r="4573" spans="1:8" x14ac:dyDescent="0.2">
      <c r="A4573">
        <v>248653</v>
      </c>
      <c r="B4573">
        <v>55000</v>
      </c>
      <c r="C4573" t="str">
        <f t="shared" si="71"/>
        <v>2. $10K-50K</v>
      </c>
      <c r="D4573" t="s">
        <v>1828</v>
      </c>
      <c r="E4573" t="s">
        <v>112</v>
      </c>
      <c r="F4573" t="s">
        <v>668</v>
      </c>
      <c r="G4573" t="s">
        <v>59</v>
      </c>
      <c r="H4573">
        <v>2023</v>
      </c>
    </row>
    <row r="4574" spans="1:8" x14ac:dyDescent="0.2">
      <c r="A4574">
        <v>248659</v>
      </c>
      <c r="B4574">
        <v>75000</v>
      </c>
      <c r="C4574" t="str">
        <f t="shared" si="71"/>
        <v>3. $50K-250K</v>
      </c>
      <c r="D4574" t="s">
        <v>1829</v>
      </c>
      <c r="E4574" t="s">
        <v>112</v>
      </c>
      <c r="F4574" t="s">
        <v>668</v>
      </c>
      <c r="G4574" t="s">
        <v>59</v>
      </c>
      <c r="H4574">
        <v>2023</v>
      </c>
    </row>
    <row r="4575" spans="1:8" x14ac:dyDescent="0.2">
      <c r="A4575">
        <v>248664</v>
      </c>
      <c r="B4575">
        <v>200000</v>
      </c>
      <c r="C4575" t="str">
        <f t="shared" si="71"/>
        <v>3. $50K-250K</v>
      </c>
      <c r="D4575" t="s">
        <v>1349</v>
      </c>
      <c r="E4575" t="s">
        <v>112</v>
      </c>
      <c r="F4575" t="s">
        <v>668</v>
      </c>
      <c r="G4575" t="s">
        <v>59</v>
      </c>
      <c r="H4575">
        <v>2023</v>
      </c>
    </row>
    <row r="4576" spans="1:8" x14ac:dyDescent="0.2">
      <c r="A4576">
        <v>248674</v>
      </c>
      <c r="B4576">
        <v>500036.6</v>
      </c>
      <c r="C4576" t="str">
        <f t="shared" si="71"/>
        <v>3. $50K-250K</v>
      </c>
      <c r="D4576" t="s">
        <v>1830</v>
      </c>
      <c r="E4576" t="s">
        <v>99</v>
      </c>
      <c r="F4576" t="s">
        <v>668</v>
      </c>
      <c r="G4576" t="s">
        <v>59</v>
      </c>
      <c r="H4576">
        <v>2023</v>
      </c>
    </row>
    <row r="4577" spans="1:8" x14ac:dyDescent="0.2">
      <c r="A4577">
        <v>248675</v>
      </c>
      <c r="B4577">
        <v>150000</v>
      </c>
      <c r="C4577" t="str">
        <f t="shared" si="71"/>
        <v>4. $250K-1M</v>
      </c>
      <c r="D4577" t="s">
        <v>1831</v>
      </c>
      <c r="E4577" t="s">
        <v>112</v>
      </c>
      <c r="F4577" t="s">
        <v>668</v>
      </c>
      <c r="G4577" t="s">
        <v>59</v>
      </c>
      <c r="H4577">
        <v>2023</v>
      </c>
    </row>
    <row r="4578" spans="1:8" x14ac:dyDescent="0.2">
      <c r="A4578">
        <v>248676</v>
      </c>
      <c r="B4578">
        <v>150000</v>
      </c>
      <c r="C4578" t="str">
        <f t="shared" si="71"/>
        <v>3. $50K-250K</v>
      </c>
      <c r="D4578" t="s">
        <v>1142</v>
      </c>
      <c r="E4578" t="s">
        <v>112</v>
      </c>
      <c r="F4578" t="s">
        <v>668</v>
      </c>
      <c r="G4578" t="s">
        <v>59</v>
      </c>
      <c r="H4578">
        <v>2023</v>
      </c>
    </row>
    <row r="4579" spans="1:8" x14ac:dyDescent="0.2">
      <c r="A4579">
        <v>248677</v>
      </c>
      <c r="B4579">
        <v>200000</v>
      </c>
      <c r="C4579" t="str">
        <f t="shared" si="71"/>
        <v>3. $50K-250K</v>
      </c>
      <c r="D4579" t="s">
        <v>1708</v>
      </c>
      <c r="E4579" t="s">
        <v>112</v>
      </c>
      <c r="F4579" t="s">
        <v>668</v>
      </c>
      <c r="G4579" t="s">
        <v>59</v>
      </c>
      <c r="H4579">
        <v>2023</v>
      </c>
    </row>
    <row r="4580" spans="1:8" x14ac:dyDescent="0.2">
      <c r="A4580">
        <v>248678</v>
      </c>
      <c r="B4580">
        <v>190000</v>
      </c>
      <c r="C4580" t="str">
        <f t="shared" si="71"/>
        <v>3. $50K-250K</v>
      </c>
      <c r="D4580" t="s">
        <v>1316</v>
      </c>
      <c r="E4580" t="s">
        <v>112</v>
      </c>
      <c r="F4580" t="s">
        <v>668</v>
      </c>
      <c r="G4580" t="s">
        <v>59</v>
      </c>
      <c r="H4580">
        <v>2023</v>
      </c>
    </row>
    <row r="4581" spans="1:8" x14ac:dyDescent="0.2">
      <c r="A4581">
        <v>248679</v>
      </c>
      <c r="B4581">
        <v>165000</v>
      </c>
      <c r="C4581" t="str">
        <f t="shared" si="71"/>
        <v>3. $50K-250K</v>
      </c>
      <c r="D4581" t="s">
        <v>1283</v>
      </c>
      <c r="E4581" t="s">
        <v>112</v>
      </c>
      <c r="F4581" t="s">
        <v>668</v>
      </c>
      <c r="G4581" t="s">
        <v>59</v>
      </c>
      <c r="H4581">
        <v>2023</v>
      </c>
    </row>
    <row r="4582" spans="1:8" x14ac:dyDescent="0.2">
      <c r="A4582">
        <v>248709</v>
      </c>
      <c r="B4582">
        <v>100000</v>
      </c>
      <c r="C4582" t="str">
        <f t="shared" si="71"/>
        <v>3. $50K-250K</v>
      </c>
      <c r="D4582" t="s">
        <v>1329</v>
      </c>
      <c r="E4582" t="s">
        <v>112</v>
      </c>
      <c r="F4582" t="s">
        <v>668</v>
      </c>
      <c r="G4582" t="s">
        <v>59</v>
      </c>
      <c r="H4582">
        <v>2023</v>
      </c>
    </row>
    <row r="4583" spans="1:8" x14ac:dyDescent="0.2">
      <c r="A4583">
        <v>248710</v>
      </c>
      <c r="B4583">
        <v>68000</v>
      </c>
      <c r="C4583" t="str">
        <f t="shared" si="71"/>
        <v>3. $50K-250K</v>
      </c>
      <c r="D4583" t="s">
        <v>1115</v>
      </c>
      <c r="E4583" t="s">
        <v>112</v>
      </c>
      <c r="F4583" t="s">
        <v>668</v>
      </c>
      <c r="G4583" t="s">
        <v>59</v>
      </c>
      <c r="H4583">
        <v>2023</v>
      </c>
    </row>
    <row r="4584" spans="1:8" x14ac:dyDescent="0.2">
      <c r="A4584">
        <v>248711</v>
      </c>
      <c r="B4584">
        <v>55000</v>
      </c>
      <c r="C4584" t="str">
        <f t="shared" si="71"/>
        <v>3. $50K-250K</v>
      </c>
      <c r="D4584" t="s">
        <v>1832</v>
      </c>
      <c r="E4584" t="s">
        <v>112</v>
      </c>
      <c r="F4584" t="s">
        <v>668</v>
      </c>
      <c r="G4584" t="s">
        <v>59</v>
      </c>
      <c r="H4584">
        <v>2023</v>
      </c>
    </row>
    <row r="4585" spans="1:8" x14ac:dyDescent="0.2">
      <c r="A4585">
        <v>248719</v>
      </c>
      <c r="B4585">
        <v>209050.1</v>
      </c>
      <c r="C4585" t="str">
        <f t="shared" si="71"/>
        <v>3. $50K-250K</v>
      </c>
      <c r="D4585" t="s">
        <v>391</v>
      </c>
      <c r="E4585" t="s">
        <v>432</v>
      </c>
      <c r="F4585" t="s">
        <v>670</v>
      </c>
      <c r="G4585" t="s">
        <v>59</v>
      </c>
      <c r="H4585">
        <v>2023</v>
      </c>
    </row>
    <row r="4586" spans="1:8" x14ac:dyDescent="0.2">
      <c r="A4586">
        <v>248763</v>
      </c>
      <c r="B4586">
        <v>5732398</v>
      </c>
      <c r="C4586" t="str">
        <f t="shared" si="71"/>
        <v>3. $50K-250K</v>
      </c>
      <c r="D4586" t="s">
        <v>1833</v>
      </c>
      <c r="E4586" t="s">
        <v>42</v>
      </c>
      <c r="F4586" t="s">
        <v>670</v>
      </c>
      <c r="G4586" t="s">
        <v>44</v>
      </c>
      <c r="H4586">
        <v>2024</v>
      </c>
    </row>
    <row r="4587" spans="1:8" x14ac:dyDescent="0.2">
      <c r="A4587">
        <v>248765</v>
      </c>
      <c r="B4587">
        <v>149711.6</v>
      </c>
      <c r="C4587" t="str">
        <f t="shared" si="71"/>
        <v>5. $1M+</v>
      </c>
      <c r="D4587" t="s">
        <v>749</v>
      </c>
      <c r="E4587" t="s">
        <v>237</v>
      </c>
      <c r="F4587" t="s">
        <v>670</v>
      </c>
      <c r="G4587" t="s">
        <v>59</v>
      </c>
      <c r="H4587">
        <v>2023</v>
      </c>
    </row>
    <row r="4588" spans="1:8" x14ac:dyDescent="0.2">
      <c r="A4588">
        <v>248771</v>
      </c>
      <c r="B4588">
        <v>350000</v>
      </c>
      <c r="C4588" t="str">
        <f t="shared" si="71"/>
        <v>3. $50K-250K</v>
      </c>
      <c r="D4588" t="s">
        <v>718</v>
      </c>
      <c r="E4588" t="s">
        <v>237</v>
      </c>
      <c r="F4588" t="s">
        <v>670</v>
      </c>
      <c r="G4588" t="s">
        <v>59</v>
      </c>
      <c r="H4588">
        <v>2023</v>
      </c>
    </row>
    <row r="4589" spans="1:8" x14ac:dyDescent="0.2">
      <c r="A4589">
        <v>248772</v>
      </c>
      <c r="B4589">
        <v>50000</v>
      </c>
      <c r="C4589" t="str">
        <f t="shared" si="71"/>
        <v>4. $250K-1M</v>
      </c>
      <c r="D4589" t="s">
        <v>731</v>
      </c>
      <c r="E4589" t="s">
        <v>237</v>
      </c>
      <c r="F4589" t="s">
        <v>670</v>
      </c>
      <c r="G4589" t="s">
        <v>59</v>
      </c>
      <c r="H4589">
        <v>2023</v>
      </c>
    </row>
    <row r="4590" spans="1:8" x14ac:dyDescent="0.2">
      <c r="A4590">
        <v>248850</v>
      </c>
      <c r="B4590">
        <v>9323.1999999999898</v>
      </c>
      <c r="C4590" t="str">
        <f t="shared" si="71"/>
        <v>3. $50K-250K</v>
      </c>
      <c r="D4590" t="s">
        <v>708</v>
      </c>
      <c r="E4590" t="s">
        <v>237</v>
      </c>
      <c r="F4590" t="s">
        <v>670</v>
      </c>
      <c r="G4590" t="s">
        <v>59</v>
      </c>
      <c r="H4590">
        <v>2023</v>
      </c>
    </row>
    <row r="4591" spans="1:8" x14ac:dyDescent="0.2">
      <c r="A4591">
        <v>248856</v>
      </c>
      <c r="B4591">
        <v>400000</v>
      </c>
      <c r="C4591" t="str">
        <f t="shared" si="71"/>
        <v>1. Under $10K</v>
      </c>
      <c r="D4591" t="s">
        <v>1834</v>
      </c>
      <c r="E4591" t="s">
        <v>432</v>
      </c>
      <c r="F4591" t="s">
        <v>670</v>
      </c>
      <c r="G4591" t="s">
        <v>44</v>
      </c>
      <c r="H4591">
        <v>2024</v>
      </c>
    </row>
    <row r="4592" spans="1:8" x14ac:dyDescent="0.2">
      <c r="A4592">
        <v>248857</v>
      </c>
      <c r="B4592">
        <v>400000</v>
      </c>
      <c r="C4592" t="str">
        <f t="shared" si="71"/>
        <v>4. $250K-1M</v>
      </c>
      <c r="D4592" t="s">
        <v>1835</v>
      </c>
      <c r="E4592" t="s">
        <v>432</v>
      </c>
      <c r="F4592" t="s">
        <v>670</v>
      </c>
      <c r="G4592" t="s">
        <v>44</v>
      </c>
      <c r="H4592">
        <v>2023</v>
      </c>
    </row>
    <row r="4593" spans="1:8" x14ac:dyDescent="0.2">
      <c r="A4593">
        <v>248858</v>
      </c>
      <c r="B4593">
        <v>350000</v>
      </c>
      <c r="C4593" t="str">
        <f t="shared" si="71"/>
        <v>4. $250K-1M</v>
      </c>
      <c r="D4593" t="s">
        <v>991</v>
      </c>
      <c r="E4593" t="s">
        <v>432</v>
      </c>
      <c r="F4593" t="s">
        <v>670</v>
      </c>
      <c r="G4593" t="s">
        <v>44</v>
      </c>
      <c r="H4593">
        <v>2024</v>
      </c>
    </row>
    <row r="4594" spans="1:8" x14ac:dyDescent="0.2">
      <c r="A4594">
        <v>248859</v>
      </c>
      <c r="B4594">
        <v>400000</v>
      </c>
      <c r="C4594" t="str">
        <f t="shared" si="71"/>
        <v>4. $250K-1M</v>
      </c>
      <c r="D4594" t="s">
        <v>783</v>
      </c>
      <c r="E4594" t="s">
        <v>432</v>
      </c>
      <c r="F4594" t="s">
        <v>670</v>
      </c>
      <c r="G4594" t="s">
        <v>44</v>
      </c>
      <c r="H4594">
        <v>2024</v>
      </c>
    </row>
    <row r="4595" spans="1:8" x14ac:dyDescent="0.2">
      <c r="A4595">
        <v>248860</v>
      </c>
      <c r="B4595">
        <v>293937.3</v>
      </c>
      <c r="C4595" t="str">
        <f t="shared" si="71"/>
        <v>4. $250K-1M</v>
      </c>
      <c r="D4595" t="s">
        <v>1836</v>
      </c>
      <c r="E4595" t="s">
        <v>819</v>
      </c>
      <c r="F4595" t="s">
        <v>670</v>
      </c>
      <c r="G4595" t="s">
        <v>44</v>
      </c>
      <c r="H4595">
        <v>2024</v>
      </c>
    </row>
    <row r="4596" spans="1:8" x14ac:dyDescent="0.2">
      <c r="A4596">
        <v>248861</v>
      </c>
      <c r="B4596">
        <v>350000</v>
      </c>
      <c r="C4596" t="str">
        <f t="shared" si="71"/>
        <v>4. $250K-1M</v>
      </c>
      <c r="D4596" t="s">
        <v>1837</v>
      </c>
      <c r="E4596" t="s">
        <v>432</v>
      </c>
      <c r="F4596" t="s">
        <v>670</v>
      </c>
      <c r="G4596" t="s">
        <v>44</v>
      </c>
      <c r="H4596">
        <v>2024</v>
      </c>
    </row>
    <row r="4597" spans="1:8" x14ac:dyDescent="0.2">
      <c r="A4597">
        <v>248862</v>
      </c>
      <c r="B4597">
        <v>43129.4</v>
      </c>
      <c r="C4597" t="str">
        <f t="shared" si="71"/>
        <v>4. $250K-1M</v>
      </c>
      <c r="D4597" t="s">
        <v>711</v>
      </c>
      <c r="E4597" t="s">
        <v>237</v>
      </c>
      <c r="F4597" t="s">
        <v>670</v>
      </c>
      <c r="G4597" t="s">
        <v>59</v>
      </c>
      <c r="H4597">
        <v>2023</v>
      </c>
    </row>
    <row r="4598" spans="1:8" x14ac:dyDescent="0.2">
      <c r="A4598">
        <v>248942</v>
      </c>
      <c r="B4598">
        <v>831025</v>
      </c>
      <c r="C4598" t="str">
        <f t="shared" si="71"/>
        <v>2. $10K-50K</v>
      </c>
      <c r="D4598" t="s">
        <v>74</v>
      </c>
      <c r="E4598" t="s">
        <v>237</v>
      </c>
      <c r="F4598" t="s">
        <v>43</v>
      </c>
      <c r="G4598" t="s">
        <v>44</v>
      </c>
      <c r="H4598">
        <v>2024</v>
      </c>
    </row>
    <row r="4599" spans="1:8" x14ac:dyDescent="0.2">
      <c r="A4599">
        <v>248944</v>
      </c>
      <c r="B4599">
        <v>1755739</v>
      </c>
      <c r="C4599" t="str">
        <f t="shared" si="71"/>
        <v>4. $250K-1M</v>
      </c>
      <c r="D4599" t="s">
        <v>797</v>
      </c>
      <c r="E4599" t="s">
        <v>99</v>
      </c>
      <c r="F4599" t="s">
        <v>668</v>
      </c>
      <c r="G4599" t="s">
        <v>59</v>
      </c>
      <c r="H4599">
        <v>2023</v>
      </c>
    </row>
    <row r="4600" spans="1:8" x14ac:dyDescent="0.2">
      <c r="A4600">
        <v>248964</v>
      </c>
      <c r="B4600">
        <v>1746.8</v>
      </c>
      <c r="C4600" t="str">
        <f t="shared" si="71"/>
        <v>5. $1M+</v>
      </c>
      <c r="D4600" t="s">
        <v>230</v>
      </c>
      <c r="E4600" t="s">
        <v>18</v>
      </c>
      <c r="F4600" t="s">
        <v>231</v>
      </c>
      <c r="G4600" t="s">
        <v>232</v>
      </c>
      <c r="H4600">
        <v>2023</v>
      </c>
    </row>
    <row r="4601" spans="1:8" x14ac:dyDescent="0.2">
      <c r="A4601">
        <v>248974</v>
      </c>
      <c r="B4601">
        <v>7024986.9000000004</v>
      </c>
      <c r="C4601" t="str">
        <f t="shared" si="71"/>
        <v>1. Under $10K</v>
      </c>
      <c r="D4601" t="s">
        <v>1838</v>
      </c>
      <c r="E4601" t="s">
        <v>42</v>
      </c>
      <c r="F4601" t="s">
        <v>670</v>
      </c>
      <c r="G4601" t="s">
        <v>44</v>
      </c>
      <c r="H4601">
        <v>2024</v>
      </c>
    </row>
    <row r="4602" spans="1:8" x14ac:dyDescent="0.2">
      <c r="A4602">
        <v>248976</v>
      </c>
      <c r="B4602">
        <v>1271000</v>
      </c>
      <c r="C4602" t="str">
        <f t="shared" si="71"/>
        <v>5. $1M+</v>
      </c>
      <c r="D4602" t="s">
        <v>1839</v>
      </c>
      <c r="E4602" t="s">
        <v>99</v>
      </c>
      <c r="F4602" t="s">
        <v>668</v>
      </c>
      <c r="G4602" t="s">
        <v>59</v>
      </c>
      <c r="H4602">
        <v>2023</v>
      </c>
    </row>
    <row r="4603" spans="1:8" x14ac:dyDescent="0.2">
      <c r="A4603">
        <v>249185</v>
      </c>
      <c r="B4603">
        <v>12000000</v>
      </c>
      <c r="C4603" t="str">
        <f t="shared" si="71"/>
        <v>5. $1M+</v>
      </c>
      <c r="D4603" t="s">
        <v>191</v>
      </c>
      <c r="E4603" t="s">
        <v>28</v>
      </c>
      <c r="F4603" t="s">
        <v>29</v>
      </c>
      <c r="G4603" t="s">
        <v>15</v>
      </c>
      <c r="H4603">
        <v>2024</v>
      </c>
    </row>
    <row r="4604" spans="1:8" x14ac:dyDescent="0.2">
      <c r="A4604">
        <v>249462</v>
      </c>
      <c r="B4604">
        <v>180794</v>
      </c>
      <c r="C4604" t="str">
        <f t="shared" si="71"/>
        <v>5. $1M+</v>
      </c>
      <c r="D4604" t="s">
        <v>1730</v>
      </c>
      <c r="E4604" t="s">
        <v>42</v>
      </c>
      <c r="F4604" t="s">
        <v>670</v>
      </c>
      <c r="G4604" t="s">
        <v>59</v>
      </c>
      <c r="H4604">
        <v>2023</v>
      </c>
    </row>
    <row r="4605" spans="1:8" x14ac:dyDescent="0.2">
      <c r="A4605">
        <v>249553</v>
      </c>
      <c r="B4605">
        <v>275310.7</v>
      </c>
      <c r="C4605" t="str">
        <f t="shared" si="71"/>
        <v>3. $50K-250K</v>
      </c>
      <c r="D4605" t="s">
        <v>1840</v>
      </c>
      <c r="E4605" t="s">
        <v>825</v>
      </c>
      <c r="F4605" t="s">
        <v>670</v>
      </c>
      <c r="G4605" t="s">
        <v>59</v>
      </c>
      <c r="H4605">
        <v>2023</v>
      </c>
    </row>
    <row r="4606" spans="1:8" x14ac:dyDescent="0.2">
      <c r="A4606">
        <v>249617</v>
      </c>
      <c r="B4606">
        <v>270156</v>
      </c>
      <c r="C4606" t="str">
        <f t="shared" si="71"/>
        <v>4. $250K-1M</v>
      </c>
      <c r="D4606" t="s">
        <v>711</v>
      </c>
      <c r="E4606" t="s">
        <v>237</v>
      </c>
      <c r="F4606" t="s">
        <v>670</v>
      </c>
      <c r="G4606" t="s">
        <v>59</v>
      </c>
      <c r="H4606">
        <v>2023</v>
      </c>
    </row>
    <row r="4607" spans="1:8" x14ac:dyDescent="0.2">
      <c r="A4607">
        <v>249626</v>
      </c>
      <c r="B4607">
        <v>1189200</v>
      </c>
      <c r="C4607" t="str">
        <f t="shared" si="71"/>
        <v>4. $250K-1M</v>
      </c>
      <c r="D4607" t="s">
        <v>387</v>
      </c>
      <c r="E4607" t="s">
        <v>8</v>
      </c>
      <c r="F4607" t="s">
        <v>22</v>
      </c>
      <c r="G4607" t="s">
        <v>10</v>
      </c>
      <c r="H4607">
        <v>2024</v>
      </c>
    </row>
    <row r="4608" spans="1:8" x14ac:dyDescent="0.2">
      <c r="A4608">
        <v>249628</v>
      </c>
      <c r="B4608">
        <v>180000</v>
      </c>
      <c r="C4608" t="str">
        <f t="shared" si="71"/>
        <v>5. $1M+</v>
      </c>
      <c r="D4608" t="s">
        <v>1301</v>
      </c>
      <c r="E4608" t="s">
        <v>112</v>
      </c>
      <c r="F4608" t="s">
        <v>668</v>
      </c>
      <c r="G4608" t="s">
        <v>59</v>
      </c>
      <c r="H4608">
        <v>2023</v>
      </c>
    </row>
    <row r="4609" spans="1:8" x14ac:dyDescent="0.2">
      <c r="A4609">
        <v>249629</v>
      </c>
      <c r="B4609">
        <v>85000</v>
      </c>
      <c r="C4609" t="str">
        <f t="shared" si="71"/>
        <v>3. $50K-250K</v>
      </c>
      <c r="D4609" t="s">
        <v>1841</v>
      </c>
      <c r="E4609" t="s">
        <v>112</v>
      </c>
      <c r="F4609" t="s">
        <v>668</v>
      </c>
      <c r="G4609" t="s">
        <v>59</v>
      </c>
      <c r="H4609">
        <v>2023</v>
      </c>
    </row>
    <row r="4610" spans="1:8" x14ac:dyDescent="0.2">
      <c r="A4610">
        <v>249636</v>
      </c>
      <c r="B4610">
        <v>215000</v>
      </c>
      <c r="C4610" t="str">
        <f t="shared" si="71"/>
        <v>3. $50K-250K</v>
      </c>
      <c r="D4610" t="s">
        <v>987</v>
      </c>
      <c r="E4610" t="s">
        <v>112</v>
      </c>
      <c r="F4610" t="s">
        <v>668</v>
      </c>
      <c r="G4610" t="s">
        <v>59</v>
      </c>
      <c r="H4610">
        <v>2023</v>
      </c>
    </row>
    <row r="4611" spans="1:8" x14ac:dyDescent="0.2">
      <c r="A4611">
        <v>249638</v>
      </c>
      <c r="B4611">
        <v>200000</v>
      </c>
      <c r="C4611" t="str">
        <f t="shared" ref="C4611:C4674" si="72">IF(B4610&lt;10000,"1. Under $10K",IF(B4610&lt;50000,"2. $10K-50K",IF(B4610&lt;250000,"3. $50K-250K",IF(B4610&lt;1000000,"4. $250K-1M","5. $1M+"))))</f>
        <v>3. $50K-250K</v>
      </c>
      <c r="D4611" t="s">
        <v>1187</v>
      </c>
      <c r="E4611" t="s">
        <v>112</v>
      </c>
      <c r="F4611" t="s">
        <v>668</v>
      </c>
      <c r="G4611" t="s">
        <v>59</v>
      </c>
      <c r="H4611">
        <v>2023</v>
      </c>
    </row>
    <row r="4612" spans="1:8" x14ac:dyDescent="0.2">
      <c r="A4612">
        <v>249640</v>
      </c>
      <c r="B4612">
        <v>78000</v>
      </c>
      <c r="C4612" t="str">
        <f t="shared" si="72"/>
        <v>3. $50K-250K</v>
      </c>
      <c r="D4612" t="s">
        <v>1842</v>
      </c>
      <c r="E4612" t="s">
        <v>112</v>
      </c>
      <c r="F4612" t="s">
        <v>668</v>
      </c>
      <c r="G4612" t="s">
        <v>59</v>
      </c>
      <c r="H4612">
        <v>2023</v>
      </c>
    </row>
    <row r="4613" spans="1:8" x14ac:dyDescent="0.2">
      <c r="A4613">
        <v>249641</v>
      </c>
      <c r="B4613">
        <v>200000</v>
      </c>
      <c r="C4613" t="str">
        <f t="shared" si="72"/>
        <v>3. $50K-250K</v>
      </c>
      <c r="D4613" t="s">
        <v>1652</v>
      </c>
      <c r="E4613" t="s">
        <v>112</v>
      </c>
      <c r="F4613" t="s">
        <v>668</v>
      </c>
      <c r="G4613" t="s">
        <v>59</v>
      </c>
      <c r="H4613">
        <v>2023</v>
      </c>
    </row>
    <row r="4614" spans="1:8" x14ac:dyDescent="0.2">
      <c r="A4614">
        <v>249642</v>
      </c>
      <c r="B4614">
        <v>65000</v>
      </c>
      <c r="C4614" t="str">
        <f t="shared" si="72"/>
        <v>3. $50K-250K</v>
      </c>
      <c r="D4614" t="s">
        <v>1232</v>
      </c>
      <c r="E4614" t="s">
        <v>112</v>
      </c>
      <c r="F4614" t="s">
        <v>668</v>
      </c>
      <c r="G4614" t="s">
        <v>59</v>
      </c>
      <c r="H4614">
        <v>2023</v>
      </c>
    </row>
    <row r="4615" spans="1:8" x14ac:dyDescent="0.2">
      <c r="A4615">
        <v>249644</v>
      </c>
      <c r="B4615">
        <v>50000</v>
      </c>
      <c r="C4615" t="str">
        <f t="shared" si="72"/>
        <v>3. $50K-250K</v>
      </c>
      <c r="D4615" t="s">
        <v>1843</v>
      </c>
      <c r="E4615" t="s">
        <v>112</v>
      </c>
      <c r="F4615" t="s">
        <v>668</v>
      </c>
      <c r="G4615" t="s">
        <v>59</v>
      </c>
      <c r="H4615">
        <v>2023</v>
      </c>
    </row>
    <row r="4616" spans="1:8" x14ac:dyDescent="0.2">
      <c r="A4616">
        <v>249668</v>
      </c>
      <c r="B4616">
        <v>87627.5</v>
      </c>
      <c r="C4616" t="str">
        <f t="shared" si="72"/>
        <v>3. $50K-250K</v>
      </c>
      <c r="D4616" t="s">
        <v>230</v>
      </c>
      <c r="E4616" t="s">
        <v>18</v>
      </c>
      <c r="F4616" t="s">
        <v>231</v>
      </c>
      <c r="G4616" t="s">
        <v>232</v>
      </c>
      <c r="H4616">
        <v>2023</v>
      </c>
    </row>
    <row r="4617" spans="1:8" x14ac:dyDescent="0.2">
      <c r="A4617">
        <v>249671</v>
      </c>
      <c r="B4617">
        <v>6000</v>
      </c>
      <c r="C4617" t="str">
        <f t="shared" si="72"/>
        <v>3. $50K-250K</v>
      </c>
      <c r="D4617" t="s">
        <v>1844</v>
      </c>
      <c r="E4617" t="s">
        <v>112</v>
      </c>
      <c r="F4617" t="s">
        <v>668</v>
      </c>
      <c r="G4617" t="s">
        <v>59</v>
      </c>
      <c r="H4617">
        <v>2023</v>
      </c>
    </row>
    <row r="4618" spans="1:8" x14ac:dyDescent="0.2">
      <c r="A4618">
        <v>249678</v>
      </c>
      <c r="B4618">
        <v>4250</v>
      </c>
      <c r="C4618" t="str">
        <f t="shared" si="72"/>
        <v>1. Under $10K</v>
      </c>
      <c r="D4618" t="s">
        <v>1845</v>
      </c>
      <c r="E4618" t="s">
        <v>112</v>
      </c>
      <c r="F4618" t="s">
        <v>668</v>
      </c>
      <c r="G4618" t="s">
        <v>59</v>
      </c>
      <c r="H4618">
        <v>2023</v>
      </c>
    </row>
    <row r="4619" spans="1:8" x14ac:dyDescent="0.2">
      <c r="A4619">
        <v>249685</v>
      </c>
      <c r="B4619">
        <v>6000</v>
      </c>
      <c r="C4619" t="str">
        <f t="shared" si="72"/>
        <v>1. Under $10K</v>
      </c>
      <c r="D4619" t="s">
        <v>1846</v>
      </c>
      <c r="E4619" t="s">
        <v>112</v>
      </c>
      <c r="F4619" t="s">
        <v>668</v>
      </c>
      <c r="G4619" t="s">
        <v>59</v>
      </c>
      <c r="H4619">
        <v>2023</v>
      </c>
    </row>
    <row r="4620" spans="1:8" x14ac:dyDescent="0.2">
      <c r="A4620">
        <v>249686</v>
      </c>
      <c r="B4620">
        <v>6000</v>
      </c>
      <c r="C4620" t="str">
        <f t="shared" si="72"/>
        <v>1. Under $10K</v>
      </c>
      <c r="D4620" t="s">
        <v>1847</v>
      </c>
      <c r="E4620" t="s">
        <v>112</v>
      </c>
      <c r="F4620" t="s">
        <v>668</v>
      </c>
      <c r="G4620" t="s">
        <v>59</v>
      </c>
      <c r="H4620">
        <v>2023</v>
      </c>
    </row>
    <row r="4621" spans="1:8" x14ac:dyDescent="0.2">
      <c r="A4621">
        <v>249696</v>
      </c>
      <c r="B4621">
        <v>4750</v>
      </c>
      <c r="C4621" t="str">
        <f t="shared" si="72"/>
        <v>1. Under $10K</v>
      </c>
      <c r="D4621" t="s">
        <v>1848</v>
      </c>
      <c r="E4621" t="s">
        <v>112</v>
      </c>
      <c r="F4621" t="s">
        <v>668</v>
      </c>
      <c r="G4621" t="s">
        <v>59</v>
      </c>
      <c r="H4621">
        <v>2023</v>
      </c>
    </row>
    <row r="4622" spans="1:8" x14ac:dyDescent="0.2">
      <c r="A4622">
        <v>249697</v>
      </c>
      <c r="B4622">
        <v>5750</v>
      </c>
      <c r="C4622" t="str">
        <f t="shared" si="72"/>
        <v>1. Under $10K</v>
      </c>
      <c r="D4622" t="s">
        <v>1849</v>
      </c>
      <c r="E4622" t="s">
        <v>112</v>
      </c>
      <c r="F4622" t="s">
        <v>668</v>
      </c>
      <c r="G4622" t="s">
        <v>59</v>
      </c>
      <c r="H4622">
        <v>2023</v>
      </c>
    </row>
    <row r="4623" spans="1:8" x14ac:dyDescent="0.2">
      <c r="A4623">
        <v>249698</v>
      </c>
      <c r="B4623">
        <v>6000</v>
      </c>
      <c r="C4623" t="str">
        <f t="shared" si="72"/>
        <v>1. Under $10K</v>
      </c>
      <c r="D4623" t="s">
        <v>1850</v>
      </c>
      <c r="E4623" t="s">
        <v>112</v>
      </c>
      <c r="F4623" t="s">
        <v>668</v>
      </c>
      <c r="G4623" t="s">
        <v>59</v>
      </c>
      <c r="H4623">
        <v>2023</v>
      </c>
    </row>
    <row r="4624" spans="1:8" x14ac:dyDescent="0.2">
      <c r="A4624">
        <v>249701</v>
      </c>
      <c r="B4624">
        <v>6000</v>
      </c>
      <c r="C4624" t="str">
        <f t="shared" si="72"/>
        <v>1. Under $10K</v>
      </c>
      <c r="D4624" t="s">
        <v>1851</v>
      </c>
      <c r="E4624" t="s">
        <v>112</v>
      </c>
      <c r="F4624" t="s">
        <v>668</v>
      </c>
      <c r="G4624" t="s">
        <v>59</v>
      </c>
      <c r="H4624">
        <v>2023</v>
      </c>
    </row>
    <row r="4625" spans="1:8" x14ac:dyDescent="0.2">
      <c r="A4625">
        <v>249704</v>
      </c>
      <c r="B4625">
        <v>3000</v>
      </c>
      <c r="C4625" t="str">
        <f t="shared" si="72"/>
        <v>1. Under $10K</v>
      </c>
      <c r="D4625" t="s">
        <v>1852</v>
      </c>
      <c r="E4625" t="s">
        <v>112</v>
      </c>
      <c r="F4625" t="s">
        <v>668</v>
      </c>
      <c r="G4625" t="s">
        <v>59</v>
      </c>
      <c r="H4625">
        <v>2023</v>
      </c>
    </row>
    <row r="4626" spans="1:8" x14ac:dyDescent="0.2">
      <c r="A4626">
        <v>249705</v>
      </c>
      <c r="B4626">
        <v>17813</v>
      </c>
      <c r="C4626" t="str">
        <f t="shared" si="72"/>
        <v>1. Under $10K</v>
      </c>
      <c r="D4626" t="s">
        <v>1040</v>
      </c>
      <c r="E4626" t="s">
        <v>237</v>
      </c>
      <c r="F4626" t="s">
        <v>670</v>
      </c>
      <c r="G4626" t="s">
        <v>59</v>
      </c>
      <c r="H4626">
        <v>2023</v>
      </c>
    </row>
    <row r="4627" spans="1:8" x14ac:dyDescent="0.2">
      <c r="A4627">
        <v>249706</v>
      </c>
      <c r="B4627">
        <v>1595269.8</v>
      </c>
      <c r="C4627" t="str">
        <f t="shared" si="72"/>
        <v>2. $10K-50K</v>
      </c>
      <c r="D4627" t="s">
        <v>863</v>
      </c>
      <c r="E4627" t="s">
        <v>237</v>
      </c>
      <c r="F4627" t="s">
        <v>670</v>
      </c>
      <c r="G4627" t="s">
        <v>59</v>
      </c>
      <c r="H4627">
        <v>2023</v>
      </c>
    </row>
    <row r="4628" spans="1:8" x14ac:dyDescent="0.2">
      <c r="A4628">
        <v>249820</v>
      </c>
      <c r="B4628">
        <v>56316</v>
      </c>
      <c r="C4628" t="str">
        <f t="shared" si="72"/>
        <v>5. $1M+</v>
      </c>
      <c r="D4628" t="s">
        <v>230</v>
      </c>
      <c r="E4628" t="s">
        <v>18</v>
      </c>
      <c r="F4628" t="s">
        <v>231</v>
      </c>
      <c r="G4628" t="s">
        <v>232</v>
      </c>
      <c r="H4628">
        <v>2024</v>
      </c>
    </row>
    <row r="4629" spans="1:8" x14ac:dyDescent="0.2">
      <c r="A4629">
        <v>249840</v>
      </c>
      <c r="B4629">
        <v>242264.2</v>
      </c>
      <c r="C4629" t="str">
        <f t="shared" si="72"/>
        <v>3. $50K-250K</v>
      </c>
      <c r="D4629" t="s">
        <v>791</v>
      </c>
      <c r="E4629" t="s">
        <v>42</v>
      </c>
      <c r="F4629" t="s">
        <v>670</v>
      </c>
      <c r="G4629" t="s">
        <v>59</v>
      </c>
      <c r="H4629">
        <v>2023</v>
      </c>
    </row>
    <row r="4630" spans="1:8" x14ac:dyDescent="0.2">
      <c r="A4630">
        <v>249842</v>
      </c>
      <c r="B4630">
        <v>15617387.5</v>
      </c>
      <c r="C4630" t="str">
        <f t="shared" si="72"/>
        <v>3. $50K-250K</v>
      </c>
      <c r="D4630" t="s">
        <v>297</v>
      </c>
      <c r="E4630" t="s">
        <v>8</v>
      </c>
      <c r="F4630" t="s">
        <v>22</v>
      </c>
      <c r="G4630" t="s">
        <v>10</v>
      </c>
      <c r="H4630">
        <v>2024</v>
      </c>
    </row>
    <row r="4631" spans="1:8" x14ac:dyDescent="0.2">
      <c r="A4631">
        <v>249867</v>
      </c>
      <c r="B4631">
        <v>2655237</v>
      </c>
      <c r="C4631" t="str">
        <f t="shared" si="72"/>
        <v>5. $1M+</v>
      </c>
      <c r="D4631" t="s">
        <v>341</v>
      </c>
      <c r="E4631" t="s">
        <v>59</v>
      </c>
      <c r="F4631" t="s">
        <v>22</v>
      </c>
      <c r="G4631" t="s">
        <v>10</v>
      </c>
      <c r="H4631">
        <v>2024</v>
      </c>
    </row>
    <row r="4632" spans="1:8" x14ac:dyDescent="0.2">
      <c r="A4632">
        <v>249879</v>
      </c>
      <c r="B4632">
        <v>635520.80000000005</v>
      </c>
      <c r="C4632" t="str">
        <f t="shared" si="72"/>
        <v>5. $1M+</v>
      </c>
      <c r="D4632" t="s">
        <v>978</v>
      </c>
      <c r="E4632" t="s">
        <v>42</v>
      </c>
      <c r="F4632" t="s">
        <v>670</v>
      </c>
      <c r="G4632" t="s">
        <v>59</v>
      </c>
      <c r="H4632">
        <v>2023</v>
      </c>
    </row>
    <row r="4633" spans="1:8" x14ac:dyDescent="0.2">
      <c r="A4633">
        <v>250027</v>
      </c>
      <c r="B4633">
        <v>12625727</v>
      </c>
      <c r="C4633" t="str">
        <f t="shared" si="72"/>
        <v>4. $250K-1M</v>
      </c>
      <c r="D4633" t="s">
        <v>1052</v>
      </c>
      <c r="E4633" t="s">
        <v>237</v>
      </c>
      <c r="F4633" t="s">
        <v>670</v>
      </c>
      <c r="G4633" t="s">
        <v>44</v>
      </c>
      <c r="H4633">
        <v>2023</v>
      </c>
    </row>
    <row r="4634" spans="1:8" x14ac:dyDescent="0.2">
      <c r="A4634">
        <v>250046</v>
      </c>
      <c r="B4634">
        <v>6521</v>
      </c>
      <c r="C4634" t="str">
        <f t="shared" si="72"/>
        <v>5. $1M+</v>
      </c>
      <c r="D4634" t="s">
        <v>1474</v>
      </c>
      <c r="E4634" t="s">
        <v>178</v>
      </c>
      <c r="F4634" t="s">
        <v>668</v>
      </c>
      <c r="G4634" t="s">
        <v>59</v>
      </c>
      <c r="H4634">
        <v>2023</v>
      </c>
    </row>
    <row r="4635" spans="1:8" x14ac:dyDescent="0.2">
      <c r="A4635">
        <v>250048</v>
      </c>
      <c r="B4635">
        <v>14802</v>
      </c>
      <c r="C4635" t="str">
        <f t="shared" si="72"/>
        <v>1. Under $10K</v>
      </c>
      <c r="D4635" t="s">
        <v>1474</v>
      </c>
      <c r="E4635" t="s">
        <v>178</v>
      </c>
      <c r="F4635" t="s">
        <v>668</v>
      </c>
      <c r="G4635" t="s">
        <v>59</v>
      </c>
      <c r="H4635">
        <v>2023</v>
      </c>
    </row>
    <row r="4636" spans="1:8" x14ac:dyDescent="0.2">
      <c r="A4636">
        <v>250095</v>
      </c>
      <c r="B4636">
        <v>4105233</v>
      </c>
      <c r="C4636" t="str">
        <f t="shared" si="72"/>
        <v>2. $10K-50K</v>
      </c>
      <c r="D4636" t="s">
        <v>83</v>
      </c>
      <c r="E4636" t="s">
        <v>8</v>
      </c>
      <c r="F4636" t="s">
        <v>22</v>
      </c>
      <c r="G4636" t="s">
        <v>10</v>
      </c>
      <c r="H4636">
        <v>2023</v>
      </c>
    </row>
    <row r="4637" spans="1:8" x14ac:dyDescent="0.2">
      <c r="A4637">
        <v>250099</v>
      </c>
      <c r="B4637">
        <v>50000</v>
      </c>
      <c r="C4637" t="str">
        <f t="shared" si="72"/>
        <v>5. $1M+</v>
      </c>
      <c r="D4637" t="s">
        <v>1235</v>
      </c>
      <c r="E4637" t="s">
        <v>112</v>
      </c>
      <c r="F4637" t="s">
        <v>668</v>
      </c>
      <c r="G4637" t="s">
        <v>59</v>
      </c>
      <c r="H4637">
        <v>2023</v>
      </c>
    </row>
    <row r="4638" spans="1:8" x14ac:dyDescent="0.2">
      <c r="A4638">
        <v>250101</v>
      </c>
      <c r="B4638">
        <v>110000</v>
      </c>
      <c r="C4638" t="str">
        <f t="shared" si="72"/>
        <v>3. $50K-250K</v>
      </c>
      <c r="D4638" t="s">
        <v>1853</v>
      </c>
      <c r="E4638" t="s">
        <v>112</v>
      </c>
      <c r="F4638" t="s">
        <v>668</v>
      </c>
      <c r="G4638" t="s">
        <v>59</v>
      </c>
      <c r="H4638">
        <v>2023</v>
      </c>
    </row>
    <row r="4639" spans="1:8" x14ac:dyDescent="0.2">
      <c r="A4639">
        <v>250106</v>
      </c>
      <c r="B4639">
        <v>205000</v>
      </c>
      <c r="C4639" t="str">
        <f t="shared" si="72"/>
        <v>3. $50K-250K</v>
      </c>
      <c r="D4639" t="s">
        <v>1262</v>
      </c>
      <c r="E4639" t="s">
        <v>112</v>
      </c>
      <c r="F4639" t="s">
        <v>668</v>
      </c>
      <c r="G4639" t="s">
        <v>59</v>
      </c>
      <c r="H4639">
        <v>2023</v>
      </c>
    </row>
    <row r="4640" spans="1:8" x14ac:dyDescent="0.2">
      <c r="A4640">
        <v>250107</v>
      </c>
      <c r="B4640">
        <v>75000</v>
      </c>
      <c r="C4640" t="str">
        <f t="shared" si="72"/>
        <v>3. $50K-250K</v>
      </c>
      <c r="D4640" t="s">
        <v>1212</v>
      </c>
      <c r="E4640" t="s">
        <v>112</v>
      </c>
      <c r="F4640" t="s">
        <v>668</v>
      </c>
      <c r="G4640" t="s">
        <v>59</v>
      </c>
      <c r="H4640">
        <v>2023</v>
      </c>
    </row>
    <row r="4641" spans="1:8" x14ac:dyDescent="0.2">
      <c r="A4641">
        <v>250108</v>
      </c>
      <c r="B4641">
        <v>200000</v>
      </c>
      <c r="C4641" t="str">
        <f t="shared" si="72"/>
        <v>3. $50K-250K</v>
      </c>
      <c r="D4641" t="s">
        <v>1156</v>
      </c>
      <c r="E4641" t="s">
        <v>112</v>
      </c>
      <c r="F4641" t="s">
        <v>668</v>
      </c>
      <c r="G4641" t="s">
        <v>59</v>
      </c>
      <c r="H4641">
        <v>2023</v>
      </c>
    </row>
    <row r="4642" spans="1:8" x14ac:dyDescent="0.2">
      <c r="A4642">
        <v>250112</v>
      </c>
      <c r="B4642">
        <v>175000</v>
      </c>
      <c r="C4642" t="str">
        <f t="shared" si="72"/>
        <v>3. $50K-250K</v>
      </c>
      <c r="D4642" t="s">
        <v>1121</v>
      </c>
      <c r="E4642" t="s">
        <v>112</v>
      </c>
      <c r="F4642" t="s">
        <v>668</v>
      </c>
      <c r="G4642" t="s">
        <v>59</v>
      </c>
      <c r="H4642">
        <v>2023</v>
      </c>
    </row>
    <row r="4643" spans="1:8" x14ac:dyDescent="0.2">
      <c r="A4643">
        <v>250115</v>
      </c>
      <c r="B4643">
        <v>75000</v>
      </c>
      <c r="C4643" t="str">
        <f t="shared" si="72"/>
        <v>3. $50K-250K</v>
      </c>
      <c r="D4643" t="s">
        <v>1206</v>
      </c>
      <c r="E4643" t="s">
        <v>112</v>
      </c>
      <c r="F4643" t="s">
        <v>668</v>
      </c>
      <c r="G4643" t="s">
        <v>59</v>
      </c>
      <c r="H4643">
        <v>2023</v>
      </c>
    </row>
    <row r="4644" spans="1:8" x14ac:dyDescent="0.2">
      <c r="A4644">
        <v>250117</v>
      </c>
      <c r="B4644">
        <v>100000</v>
      </c>
      <c r="C4644" t="str">
        <f t="shared" si="72"/>
        <v>3. $50K-250K</v>
      </c>
      <c r="D4644" t="s">
        <v>1277</v>
      </c>
      <c r="E4644" t="s">
        <v>112</v>
      </c>
      <c r="F4644" t="s">
        <v>668</v>
      </c>
      <c r="G4644" t="s">
        <v>59</v>
      </c>
      <c r="H4644">
        <v>2023</v>
      </c>
    </row>
    <row r="4645" spans="1:8" x14ac:dyDescent="0.2">
      <c r="A4645">
        <v>250119</v>
      </c>
      <c r="B4645">
        <v>250000</v>
      </c>
      <c r="C4645" t="str">
        <f t="shared" si="72"/>
        <v>3. $50K-250K</v>
      </c>
      <c r="D4645" t="s">
        <v>1854</v>
      </c>
      <c r="E4645" t="s">
        <v>112</v>
      </c>
      <c r="F4645" t="s">
        <v>668</v>
      </c>
      <c r="G4645" t="s">
        <v>59</v>
      </c>
      <c r="H4645">
        <v>2023</v>
      </c>
    </row>
    <row r="4646" spans="1:8" x14ac:dyDescent="0.2">
      <c r="A4646">
        <v>250120</v>
      </c>
      <c r="B4646">
        <v>76000</v>
      </c>
      <c r="C4646" t="str">
        <f t="shared" si="72"/>
        <v>4. $250K-1M</v>
      </c>
      <c r="D4646" t="s">
        <v>1855</v>
      </c>
      <c r="E4646" t="s">
        <v>112</v>
      </c>
      <c r="F4646" t="s">
        <v>668</v>
      </c>
      <c r="G4646" t="s">
        <v>59</v>
      </c>
      <c r="H4646">
        <v>2023</v>
      </c>
    </row>
    <row r="4647" spans="1:8" x14ac:dyDescent="0.2">
      <c r="A4647">
        <v>250121</v>
      </c>
      <c r="B4647">
        <v>150000</v>
      </c>
      <c r="C4647" t="str">
        <f t="shared" si="72"/>
        <v>3. $50K-250K</v>
      </c>
      <c r="D4647" t="s">
        <v>1183</v>
      </c>
      <c r="E4647" t="s">
        <v>112</v>
      </c>
      <c r="F4647" t="s">
        <v>668</v>
      </c>
      <c r="G4647" t="s">
        <v>59</v>
      </c>
      <c r="H4647">
        <v>2023</v>
      </c>
    </row>
    <row r="4648" spans="1:8" x14ac:dyDescent="0.2">
      <c r="A4648">
        <v>250123</v>
      </c>
      <c r="B4648">
        <v>105000</v>
      </c>
      <c r="C4648" t="str">
        <f t="shared" si="72"/>
        <v>3. $50K-250K</v>
      </c>
      <c r="D4648" t="s">
        <v>1200</v>
      </c>
      <c r="E4648" t="s">
        <v>112</v>
      </c>
      <c r="F4648" t="s">
        <v>668</v>
      </c>
      <c r="G4648" t="s">
        <v>59</v>
      </c>
      <c r="H4648">
        <v>2023</v>
      </c>
    </row>
    <row r="4649" spans="1:8" x14ac:dyDescent="0.2">
      <c r="A4649">
        <v>250125</v>
      </c>
      <c r="B4649">
        <v>125000</v>
      </c>
      <c r="C4649" t="str">
        <f t="shared" si="72"/>
        <v>3. $50K-250K</v>
      </c>
      <c r="D4649" t="s">
        <v>1330</v>
      </c>
      <c r="E4649" t="s">
        <v>112</v>
      </c>
      <c r="F4649" t="s">
        <v>668</v>
      </c>
      <c r="G4649" t="s">
        <v>59</v>
      </c>
      <c r="H4649">
        <v>2023</v>
      </c>
    </row>
    <row r="4650" spans="1:8" x14ac:dyDescent="0.2">
      <c r="A4650">
        <v>250136</v>
      </c>
      <c r="B4650">
        <v>33327405</v>
      </c>
      <c r="C4650" t="str">
        <f t="shared" si="72"/>
        <v>3. $50K-250K</v>
      </c>
      <c r="D4650" t="s">
        <v>130</v>
      </c>
      <c r="E4650" t="s">
        <v>65</v>
      </c>
      <c r="F4650" t="s">
        <v>22</v>
      </c>
      <c r="G4650" t="s">
        <v>10</v>
      </c>
      <c r="H4650">
        <v>2023</v>
      </c>
    </row>
    <row r="4651" spans="1:8" x14ac:dyDescent="0.2">
      <c r="A4651">
        <v>250192</v>
      </c>
      <c r="B4651">
        <v>25000000</v>
      </c>
      <c r="C4651" t="str">
        <f t="shared" si="72"/>
        <v>5. $1M+</v>
      </c>
      <c r="D4651" t="s">
        <v>395</v>
      </c>
      <c r="E4651" t="s">
        <v>8</v>
      </c>
      <c r="F4651" t="s">
        <v>14</v>
      </c>
      <c r="G4651" t="s">
        <v>15</v>
      </c>
      <c r="H4651">
        <v>2023</v>
      </c>
    </row>
    <row r="4652" spans="1:8" x14ac:dyDescent="0.2">
      <c r="A4652">
        <v>250193</v>
      </c>
      <c r="B4652">
        <v>5000000</v>
      </c>
      <c r="C4652" t="str">
        <f t="shared" si="72"/>
        <v>5. $1M+</v>
      </c>
      <c r="D4652" t="s">
        <v>395</v>
      </c>
      <c r="E4652" t="s">
        <v>8</v>
      </c>
      <c r="F4652" t="s">
        <v>14</v>
      </c>
      <c r="G4652" t="s">
        <v>15</v>
      </c>
      <c r="H4652">
        <v>2023</v>
      </c>
    </row>
    <row r="4653" spans="1:8" x14ac:dyDescent="0.2">
      <c r="A4653">
        <v>250194</v>
      </c>
      <c r="B4653">
        <v>6858621.5</v>
      </c>
      <c r="C4653" t="str">
        <f t="shared" si="72"/>
        <v>5. $1M+</v>
      </c>
      <c r="D4653" t="s">
        <v>395</v>
      </c>
      <c r="E4653" t="s">
        <v>8</v>
      </c>
      <c r="F4653" t="s">
        <v>14</v>
      </c>
      <c r="G4653" t="s">
        <v>15</v>
      </c>
      <c r="H4653">
        <v>2023</v>
      </c>
    </row>
    <row r="4654" spans="1:8" x14ac:dyDescent="0.2">
      <c r="A4654">
        <v>250198</v>
      </c>
      <c r="B4654">
        <v>3303636.3</v>
      </c>
      <c r="C4654" t="str">
        <f t="shared" si="72"/>
        <v>5. $1M+</v>
      </c>
      <c r="D4654" t="s">
        <v>395</v>
      </c>
      <c r="E4654" t="s">
        <v>24</v>
      </c>
      <c r="F4654" t="s">
        <v>14</v>
      </c>
      <c r="G4654" t="s">
        <v>15</v>
      </c>
      <c r="H4654">
        <v>2023</v>
      </c>
    </row>
    <row r="4655" spans="1:8" x14ac:dyDescent="0.2">
      <c r="A4655">
        <v>250200</v>
      </c>
      <c r="B4655">
        <v>2500</v>
      </c>
      <c r="C4655" t="str">
        <f t="shared" si="72"/>
        <v>5. $1M+</v>
      </c>
      <c r="D4655" t="s">
        <v>1769</v>
      </c>
      <c r="E4655" t="s">
        <v>112</v>
      </c>
      <c r="F4655" t="s">
        <v>668</v>
      </c>
      <c r="G4655" t="s">
        <v>59</v>
      </c>
      <c r="H4655">
        <v>2023</v>
      </c>
    </row>
    <row r="4656" spans="1:8" x14ac:dyDescent="0.2">
      <c r="A4656">
        <v>250213</v>
      </c>
      <c r="B4656">
        <v>40000</v>
      </c>
      <c r="C4656" t="str">
        <f t="shared" si="72"/>
        <v>1. Under $10K</v>
      </c>
      <c r="D4656" t="s">
        <v>1856</v>
      </c>
      <c r="E4656" t="s">
        <v>112</v>
      </c>
      <c r="F4656" t="s">
        <v>668</v>
      </c>
      <c r="G4656" t="s">
        <v>59</v>
      </c>
      <c r="H4656">
        <v>2023</v>
      </c>
    </row>
    <row r="4657" spans="1:8" x14ac:dyDescent="0.2">
      <c r="A4657">
        <v>250215</v>
      </c>
      <c r="B4657">
        <v>250000</v>
      </c>
      <c r="C4657" t="str">
        <f t="shared" si="72"/>
        <v>2. $10K-50K</v>
      </c>
      <c r="D4657" t="s">
        <v>1857</v>
      </c>
      <c r="E4657" t="s">
        <v>99</v>
      </c>
      <c r="F4657" t="s">
        <v>668</v>
      </c>
      <c r="G4657" t="s">
        <v>59</v>
      </c>
      <c r="H4657">
        <v>2023</v>
      </c>
    </row>
    <row r="4658" spans="1:8" x14ac:dyDescent="0.2">
      <c r="A4658">
        <v>250217</v>
      </c>
      <c r="B4658">
        <v>612622</v>
      </c>
      <c r="C4658" t="str">
        <f t="shared" si="72"/>
        <v>4. $250K-1M</v>
      </c>
      <c r="D4658" t="s">
        <v>678</v>
      </c>
      <c r="E4658" t="s">
        <v>28</v>
      </c>
      <c r="F4658" t="s">
        <v>668</v>
      </c>
      <c r="G4658" t="s">
        <v>59</v>
      </c>
      <c r="H4658">
        <v>2023</v>
      </c>
    </row>
    <row r="4659" spans="1:8" x14ac:dyDescent="0.2">
      <c r="A4659">
        <v>250219</v>
      </c>
      <c r="B4659">
        <v>22174014</v>
      </c>
      <c r="C4659" t="str">
        <f t="shared" si="72"/>
        <v>4. $250K-1M</v>
      </c>
      <c r="D4659" t="s">
        <v>1429</v>
      </c>
      <c r="E4659" t="s">
        <v>28</v>
      </c>
      <c r="F4659" t="s">
        <v>668</v>
      </c>
      <c r="G4659" t="s">
        <v>59</v>
      </c>
      <c r="H4659">
        <v>2023</v>
      </c>
    </row>
    <row r="4660" spans="1:8" x14ac:dyDescent="0.2">
      <c r="A4660">
        <v>250253</v>
      </c>
      <c r="B4660">
        <v>28000</v>
      </c>
      <c r="C4660" t="str">
        <f t="shared" si="72"/>
        <v>5. $1M+</v>
      </c>
      <c r="D4660" t="s">
        <v>1858</v>
      </c>
      <c r="E4660" t="s">
        <v>112</v>
      </c>
      <c r="F4660" t="s">
        <v>668</v>
      </c>
      <c r="G4660" t="s">
        <v>59</v>
      </c>
      <c r="H4660">
        <v>2023</v>
      </c>
    </row>
    <row r="4661" spans="1:8" x14ac:dyDescent="0.2">
      <c r="A4661">
        <v>250254</v>
      </c>
      <c r="B4661">
        <v>6000</v>
      </c>
      <c r="C4661" t="str">
        <f t="shared" si="72"/>
        <v>2. $10K-50K</v>
      </c>
      <c r="D4661" t="s">
        <v>1859</v>
      </c>
      <c r="E4661" t="s">
        <v>112</v>
      </c>
      <c r="F4661" t="s">
        <v>668</v>
      </c>
      <c r="G4661" t="s">
        <v>59</v>
      </c>
      <c r="H4661">
        <v>2023</v>
      </c>
    </row>
    <row r="4662" spans="1:8" x14ac:dyDescent="0.2">
      <c r="A4662">
        <v>250255</v>
      </c>
      <c r="B4662">
        <v>1000</v>
      </c>
      <c r="C4662" t="str">
        <f t="shared" si="72"/>
        <v>1. Under $10K</v>
      </c>
      <c r="D4662" t="s">
        <v>1860</v>
      </c>
      <c r="E4662" t="s">
        <v>112</v>
      </c>
      <c r="F4662" t="s">
        <v>668</v>
      </c>
      <c r="G4662" t="s">
        <v>59</v>
      </c>
      <c r="H4662">
        <v>2023</v>
      </c>
    </row>
    <row r="4663" spans="1:8" x14ac:dyDescent="0.2">
      <c r="A4663">
        <v>250257</v>
      </c>
      <c r="B4663">
        <v>45000</v>
      </c>
      <c r="C4663" t="str">
        <f t="shared" si="72"/>
        <v>1. Under $10K</v>
      </c>
      <c r="D4663" t="s">
        <v>1606</v>
      </c>
      <c r="E4663" t="s">
        <v>112</v>
      </c>
      <c r="F4663" t="s">
        <v>668</v>
      </c>
      <c r="G4663" t="s">
        <v>59</v>
      </c>
      <c r="H4663">
        <v>2023</v>
      </c>
    </row>
    <row r="4664" spans="1:8" x14ac:dyDescent="0.2">
      <c r="A4664">
        <v>250258</v>
      </c>
      <c r="B4664">
        <v>45000</v>
      </c>
      <c r="C4664" t="str">
        <f t="shared" si="72"/>
        <v>2. $10K-50K</v>
      </c>
      <c r="D4664" t="s">
        <v>1307</v>
      </c>
      <c r="E4664" t="s">
        <v>112</v>
      </c>
      <c r="F4664" t="s">
        <v>668</v>
      </c>
      <c r="G4664" t="s">
        <v>59</v>
      </c>
      <c r="H4664">
        <v>2023</v>
      </c>
    </row>
    <row r="4665" spans="1:8" x14ac:dyDescent="0.2">
      <c r="A4665">
        <v>250259</v>
      </c>
      <c r="B4665">
        <v>45000</v>
      </c>
      <c r="C4665" t="str">
        <f t="shared" si="72"/>
        <v>2. $10K-50K</v>
      </c>
      <c r="D4665" t="s">
        <v>1248</v>
      </c>
      <c r="E4665" t="s">
        <v>112</v>
      </c>
      <c r="F4665" t="s">
        <v>668</v>
      </c>
      <c r="G4665" t="s">
        <v>59</v>
      </c>
      <c r="H4665">
        <v>2023</v>
      </c>
    </row>
    <row r="4666" spans="1:8" x14ac:dyDescent="0.2">
      <c r="A4666">
        <v>250280</v>
      </c>
      <c r="B4666">
        <v>100000</v>
      </c>
      <c r="C4666" t="str">
        <f t="shared" si="72"/>
        <v>2. $10K-50K</v>
      </c>
      <c r="D4666" t="s">
        <v>1313</v>
      </c>
      <c r="E4666" t="s">
        <v>112</v>
      </c>
      <c r="F4666" t="s">
        <v>668</v>
      </c>
      <c r="G4666" t="s">
        <v>59</v>
      </c>
      <c r="H4666">
        <v>2023</v>
      </c>
    </row>
    <row r="4667" spans="1:8" x14ac:dyDescent="0.2">
      <c r="A4667">
        <v>250287</v>
      </c>
      <c r="B4667">
        <v>6000</v>
      </c>
      <c r="C4667" t="str">
        <f t="shared" si="72"/>
        <v>3. $50K-250K</v>
      </c>
      <c r="D4667" t="s">
        <v>1861</v>
      </c>
      <c r="E4667" t="s">
        <v>112</v>
      </c>
      <c r="F4667" t="s">
        <v>668</v>
      </c>
      <c r="G4667" t="s">
        <v>59</v>
      </c>
      <c r="H4667">
        <v>2023</v>
      </c>
    </row>
    <row r="4668" spans="1:8" x14ac:dyDescent="0.2">
      <c r="A4668">
        <v>250293</v>
      </c>
      <c r="B4668">
        <v>2500</v>
      </c>
      <c r="C4668" t="str">
        <f t="shared" si="72"/>
        <v>1. Under $10K</v>
      </c>
      <c r="D4668" t="s">
        <v>1862</v>
      </c>
      <c r="E4668" t="s">
        <v>112</v>
      </c>
      <c r="F4668" t="s">
        <v>668</v>
      </c>
      <c r="G4668" t="s">
        <v>59</v>
      </c>
      <c r="H4668">
        <v>2023</v>
      </c>
    </row>
    <row r="4669" spans="1:8" x14ac:dyDescent="0.2">
      <c r="A4669">
        <v>250295</v>
      </c>
      <c r="B4669">
        <v>6000</v>
      </c>
      <c r="C4669" t="str">
        <f t="shared" si="72"/>
        <v>1. Under $10K</v>
      </c>
      <c r="D4669" t="s">
        <v>1863</v>
      </c>
      <c r="E4669" t="s">
        <v>112</v>
      </c>
      <c r="F4669" t="s">
        <v>668</v>
      </c>
      <c r="G4669" t="s">
        <v>59</v>
      </c>
      <c r="H4669">
        <v>2023</v>
      </c>
    </row>
    <row r="4670" spans="1:8" x14ac:dyDescent="0.2">
      <c r="A4670">
        <v>250328</v>
      </c>
      <c r="B4670">
        <v>6820856.0999999996</v>
      </c>
      <c r="C4670" t="str">
        <f t="shared" si="72"/>
        <v>1. Under $10K</v>
      </c>
      <c r="D4670" t="s">
        <v>1864</v>
      </c>
      <c r="E4670" t="s">
        <v>59</v>
      </c>
      <c r="F4670" t="s">
        <v>664</v>
      </c>
      <c r="G4670" t="s">
        <v>59</v>
      </c>
      <c r="H4670">
        <v>2023</v>
      </c>
    </row>
    <row r="4671" spans="1:8" x14ac:dyDescent="0.2">
      <c r="A4671">
        <v>250331</v>
      </c>
      <c r="B4671">
        <v>50000</v>
      </c>
      <c r="C4671" t="str">
        <f t="shared" si="72"/>
        <v>5. $1M+</v>
      </c>
      <c r="D4671" t="s">
        <v>1865</v>
      </c>
      <c r="E4671" t="s">
        <v>112</v>
      </c>
      <c r="F4671" t="s">
        <v>668</v>
      </c>
      <c r="G4671" t="s">
        <v>59</v>
      </c>
      <c r="H4671">
        <v>2023</v>
      </c>
    </row>
    <row r="4672" spans="1:8" x14ac:dyDescent="0.2">
      <c r="A4672">
        <v>250333</v>
      </c>
      <c r="B4672">
        <v>175000</v>
      </c>
      <c r="C4672" t="str">
        <f t="shared" si="72"/>
        <v>3. $50K-250K</v>
      </c>
      <c r="D4672" t="s">
        <v>1866</v>
      </c>
      <c r="E4672" t="s">
        <v>112</v>
      </c>
      <c r="F4672" t="s">
        <v>668</v>
      </c>
      <c r="G4672" t="s">
        <v>59</v>
      </c>
      <c r="H4672">
        <v>2023</v>
      </c>
    </row>
    <row r="4673" spans="1:8" x14ac:dyDescent="0.2">
      <c r="A4673">
        <v>250336</v>
      </c>
      <c r="B4673">
        <v>6000</v>
      </c>
      <c r="C4673" t="str">
        <f t="shared" si="72"/>
        <v>3. $50K-250K</v>
      </c>
      <c r="D4673" t="s">
        <v>1867</v>
      </c>
      <c r="E4673" t="s">
        <v>112</v>
      </c>
      <c r="F4673" t="s">
        <v>668</v>
      </c>
      <c r="G4673" t="s">
        <v>59</v>
      </c>
      <c r="H4673">
        <v>2023</v>
      </c>
    </row>
    <row r="4674" spans="1:8" x14ac:dyDescent="0.2">
      <c r="A4674">
        <v>250340</v>
      </c>
      <c r="B4674">
        <v>200000</v>
      </c>
      <c r="C4674" t="str">
        <f t="shared" si="72"/>
        <v>1. Under $10K</v>
      </c>
      <c r="D4674" t="s">
        <v>1868</v>
      </c>
      <c r="E4674" t="s">
        <v>141</v>
      </c>
      <c r="F4674" t="s">
        <v>668</v>
      </c>
      <c r="G4674" t="s">
        <v>59</v>
      </c>
      <c r="H4674">
        <v>2023</v>
      </c>
    </row>
    <row r="4675" spans="1:8" x14ac:dyDescent="0.2">
      <c r="A4675">
        <v>250344</v>
      </c>
      <c r="B4675">
        <v>675000</v>
      </c>
      <c r="C4675" t="str">
        <f t="shared" ref="C4675:C4738" si="73">IF(B4674&lt;10000,"1. Under $10K",IF(B4674&lt;50000,"2. $10K-50K",IF(B4674&lt;250000,"3. $50K-250K",IF(B4674&lt;1000000,"4. $250K-1M","5. $1M+"))))</f>
        <v>3. $50K-250K</v>
      </c>
      <c r="D4675" t="s">
        <v>1033</v>
      </c>
      <c r="E4675" t="s">
        <v>237</v>
      </c>
      <c r="F4675" t="s">
        <v>670</v>
      </c>
      <c r="G4675" t="s">
        <v>59</v>
      </c>
      <c r="H4675">
        <v>2024</v>
      </c>
    </row>
    <row r="4676" spans="1:8" x14ac:dyDescent="0.2">
      <c r="A4676">
        <v>250406</v>
      </c>
      <c r="B4676">
        <v>6000</v>
      </c>
      <c r="C4676" t="str">
        <f t="shared" si="73"/>
        <v>4. $250K-1M</v>
      </c>
      <c r="D4676" t="s">
        <v>1869</v>
      </c>
      <c r="E4676" t="s">
        <v>112</v>
      </c>
      <c r="F4676" t="s">
        <v>668</v>
      </c>
      <c r="G4676" t="s">
        <v>59</v>
      </c>
      <c r="H4676">
        <v>2023</v>
      </c>
    </row>
    <row r="4677" spans="1:8" x14ac:dyDescent="0.2">
      <c r="A4677">
        <v>250418</v>
      </c>
      <c r="B4677">
        <v>6000</v>
      </c>
      <c r="C4677" t="str">
        <f t="shared" si="73"/>
        <v>1. Under $10K</v>
      </c>
      <c r="D4677" t="s">
        <v>1870</v>
      </c>
      <c r="E4677" t="s">
        <v>112</v>
      </c>
      <c r="F4677" t="s">
        <v>668</v>
      </c>
      <c r="G4677" t="s">
        <v>59</v>
      </c>
      <c r="H4677">
        <v>2023</v>
      </c>
    </row>
    <row r="4678" spans="1:8" x14ac:dyDescent="0.2">
      <c r="A4678">
        <v>250419</v>
      </c>
      <c r="B4678">
        <v>5250</v>
      </c>
      <c r="C4678" t="str">
        <f t="shared" si="73"/>
        <v>1. Under $10K</v>
      </c>
      <c r="D4678" t="s">
        <v>1871</v>
      </c>
      <c r="E4678" t="s">
        <v>112</v>
      </c>
      <c r="F4678" t="s">
        <v>668</v>
      </c>
      <c r="G4678" t="s">
        <v>59</v>
      </c>
      <c r="H4678">
        <v>2023</v>
      </c>
    </row>
    <row r="4679" spans="1:8" x14ac:dyDescent="0.2">
      <c r="A4679">
        <v>250421</v>
      </c>
      <c r="B4679">
        <v>6000</v>
      </c>
      <c r="C4679" t="str">
        <f t="shared" si="73"/>
        <v>1. Under $10K</v>
      </c>
      <c r="D4679" t="s">
        <v>1872</v>
      </c>
      <c r="E4679" t="s">
        <v>112</v>
      </c>
      <c r="F4679" t="s">
        <v>668</v>
      </c>
      <c r="G4679" t="s">
        <v>59</v>
      </c>
      <c r="H4679">
        <v>2023</v>
      </c>
    </row>
    <row r="4680" spans="1:8" x14ac:dyDescent="0.2">
      <c r="A4680">
        <v>250422</v>
      </c>
      <c r="B4680">
        <v>6000</v>
      </c>
      <c r="C4680" t="str">
        <f t="shared" si="73"/>
        <v>1. Under $10K</v>
      </c>
      <c r="D4680" t="s">
        <v>1873</v>
      </c>
      <c r="E4680" t="s">
        <v>112</v>
      </c>
      <c r="F4680" t="s">
        <v>668</v>
      </c>
      <c r="G4680" t="s">
        <v>59</v>
      </c>
      <c r="H4680">
        <v>2023</v>
      </c>
    </row>
    <row r="4681" spans="1:8" x14ac:dyDescent="0.2">
      <c r="A4681">
        <v>250430</v>
      </c>
      <c r="B4681">
        <v>56628.6</v>
      </c>
      <c r="C4681" t="str">
        <f t="shared" si="73"/>
        <v>1. Under $10K</v>
      </c>
      <c r="D4681" t="s">
        <v>1042</v>
      </c>
      <c r="E4681" t="s">
        <v>237</v>
      </c>
      <c r="F4681" t="s">
        <v>670</v>
      </c>
      <c r="G4681" t="s">
        <v>59</v>
      </c>
      <c r="H4681">
        <v>2023</v>
      </c>
    </row>
    <row r="4682" spans="1:8" x14ac:dyDescent="0.2">
      <c r="A4682">
        <v>250432</v>
      </c>
      <c r="B4682">
        <v>103116</v>
      </c>
      <c r="C4682" t="str">
        <f t="shared" si="73"/>
        <v>3. $50K-250K</v>
      </c>
      <c r="D4682" t="s">
        <v>1040</v>
      </c>
      <c r="E4682" t="s">
        <v>237</v>
      </c>
      <c r="F4682" t="s">
        <v>670</v>
      </c>
      <c r="G4682" t="s">
        <v>59</v>
      </c>
      <c r="H4682">
        <v>2023</v>
      </c>
    </row>
    <row r="4683" spans="1:8" x14ac:dyDescent="0.2">
      <c r="A4683">
        <v>250506</v>
      </c>
      <c r="B4683">
        <v>1500</v>
      </c>
      <c r="C4683" t="str">
        <f t="shared" si="73"/>
        <v>3. $50K-250K</v>
      </c>
      <c r="D4683" t="s">
        <v>1874</v>
      </c>
      <c r="E4683" t="s">
        <v>112</v>
      </c>
      <c r="F4683" t="s">
        <v>668</v>
      </c>
      <c r="G4683" t="s">
        <v>59</v>
      </c>
      <c r="H4683">
        <v>2023</v>
      </c>
    </row>
    <row r="4684" spans="1:8" x14ac:dyDescent="0.2">
      <c r="A4684">
        <v>250508</v>
      </c>
      <c r="B4684">
        <v>6000</v>
      </c>
      <c r="C4684" t="str">
        <f t="shared" si="73"/>
        <v>1. Under $10K</v>
      </c>
      <c r="D4684" t="s">
        <v>1875</v>
      </c>
      <c r="E4684" t="s">
        <v>112</v>
      </c>
      <c r="F4684" t="s">
        <v>668</v>
      </c>
      <c r="G4684" t="s">
        <v>59</v>
      </c>
      <c r="H4684">
        <v>2023</v>
      </c>
    </row>
    <row r="4685" spans="1:8" x14ac:dyDescent="0.2">
      <c r="A4685">
        <v>250509</v>
      </c>
      <c r="B4685">
        <v>6000</v>
      </c>
      <c r="C4685" t="str">
        <f t="shared" si="73"/>
        <v>1. Under $10K</v>
      </c>
      <c r="D4685" t="s">
        <v>1876</v>
      </c>
      <c r="E4685" t="s">
        <v>112</v>
      </c>
      <c r="F4685" t="s">
        <v>668</v>
      </c>
      <c r="G4685" t="s">
        <v>59</v>
      </c>
      <c r="H4685">
        <v>2023</v>
      </c>
    </row>
    <row r="4686" spans="1:8" x14ac:dyDescent="0.2">
      <c r="A4686">
        <v>250510</v>
      </c>
      <c r="B4686">
        <v>18000</v>
      </c>
      <c r="C4686" t="str">
        <f t="shared" si="73"/>
        <v>1. Under $10K</v>
      </c>
      <c r="D4686" t="s">
        <v>1606</v>
      </c>
      <c r="E4686" t="s">
        <v>112</v>
      </c>
      <c r="F4686" t="s">
        <v>668</v>
      </c>
      <c r="G4686" t="s">
        <v>59</v>
      </c>
      <c r="H4686">
        <v>2023</v>
      </c>
    </row>
    <row r="4687" spans="1:8" x14ac:dyDescent="0.2">
      <c r="A4687">
        <v>250511</v>
      </c>
      <c r="B4687">
        <v>45000</v>
      </c>
      <c r="C4687" t="str">
        <f t="shared" si="73"/>
        <v>2. $10K-50K</v>
      </c>
      <c r="D4687" t="s">
        <v>1108</v>
      </c>
      <c r="E4687" t="s">
        <v>112</v>
      </c>
      <c r="F4687" t="s">
        <v>668</v>
      </c>
      <c r="G4687" t="s">
        <v>59</v>
      </c>
      <c r="H4687">
        <v>2023</v>
      </c>
    </row>
    <row r="4688" spans="1:8" x14ac:dyDescent="0.2">
      <c r="A4688">
        <v>250512</v>
      </c>
      <c r="B4688">
        <v>500000</v>
      </c>
      <c r="C4688" t="str">
        <f t="shared" si="73"/>
        <v>2. $10K-50K</v>
      </c>
      <c r="D4688" t="s">
        <v>1877</v>
      </c>
      <c r="E4688" t="s">
        <v>112</v>
      </c>
      <c r="F4688" t="s">
        <v>668</v>
      </c>
      <c r="G4688" t="s">
        <v>59</v>
      </c>
      <c r="H4688">
        <v>2023</v>
      </c>
    </row>
    <row r="4689" spans="1:8" x14ac:dyDescent="0.2">
      <c r="A4689">
        <v>250528</v>
      </c>
      <c r="B4689">
        <v>2100000</v>
      </c>
      <c r="C4689" t="str">
        <f t="shared" si="73"/>
        <v>4. $250K-1M</v>
      </c>
      <c r="D4689" t="s">
        <v>957</v>
      </c>
      <c r="E4689" t="s">
        <v>99</v>
      </c>
      <c r="F4689" t="s">
        <v>668</v>
      </c>
      <c r="G4689" t="s">
        <v>59</v>
      </c>
      <c r="H4689">
        <v>2023</v>
      </c>
    </row>
    <row r="4690" spans="1:8" x14ac:dyDescent="0.2">
      <c r="A4690">
        <v>250529</v>
      </c>
      <c r="B4690">
        <v>30000</v>
      </c>
      <c r="C4690" t="str">
        <f t="shared" si="73"/>
        <v>5. $1M+</v>
      </c>
      <c r="D4690" t="s">
        <v>1644</v>
      </c>
      <c r="E4690" t="s">
        <v>112</v>
      </c>
      <c r="F4690" t="s">
        <v>668</v>
      </c>
      <c r="G4690" t="s">
        <v>59</v>
      </c>
      <c r="H4690">
        <v>2023</v>
      </c>
    </row>
    <row r="4691" spans="1:8" x14ac:dyDescent="0.2">
      <c r="A4691">
        <v>250531</v>
      </c>
      <c r="B4691">
        <v>76000</v>
      </c>
      <c r="C4691" t="str">
        <f t="shared" si="73"/>
        <v>2. $10K-50K</v>
      </c>
      <c r="D4691" t="s">
        <v>1878</v>
      </c>
      <c r="E4691" t="s">
        <v>112</v>
      </c>
      <c r="F4691" t="s">
        <v>668</v>
      </c>
      <c r="G4691" t="s">
        <v>59</v>
      </c>
      <c r="H4691">
        <v>2023</v>
      </c>
    </row>
    <row r="4692" spans="1:8" x14ac:dyDescent="0.2">
      <c r="A4692">
        <v>250533</v>
      </c>
      <c r="B4692">
        <v>20000</v>
      </c>
      <c r="C4692" t="str">
        <f t="shared" si="73"/>
        <v>3. $50K-250K</v>
      </c>
      <c r="D4692" t="s">
        <v>1879</v>
      </c>
      <c r="E4692" t="s">
        <v>112</v>
      </c>
      <c r="F4692" t="s">
        <v>668</v>
      </c>
      <c r="G4692" t="s">
        <v>59</v>
      </c>
      <c r="H4692">
        <v>2023</v>
      </c>
    </row>
    <row r="4693" spans="1:8" x14ac:dyDescent="0.2">
      <c r="A4693">
        <v>250534</v>
      </c>
      <c r="B4693">
        <v>20000</v>
      </c>
      <c r="C4693" t="str">
        <f t="shared" si="73"/>
        <v>2. $10K-50K</v>
      </c>
      <c r="D4693" t="s">
        <v>1880</v>
      </c>
      <c r="E4693" t="s">
        <v>112</v>
      </c>
      <c r="F4693" t="s">
        <v>668</v>
      </c>
      <c r="G4693" t="s">
        <v>59</v>
      </c>
      <c r="H4693">
        <v>2023</v>
      </c>
    </row>
    <row r="4694" spans="1:8" x14ac:dyDescent="0.2">
      <c r="A4694">
        <v>250535</v>
      </c>
      <c r="B4694">
        <v>1000000</v>
      </c>
      <c r="C4694" t="str">
        <f t="shared" si="73"/>
        <v>2. $10K-50K</v>
      </c>
      <c r="D4694" t="s">
        <v>774</v>
      </c>
      <c r="E4694" t="s">
        <v>368</v>
      </c>
      <c r="F4694" t="s">
        <v>668</v>
      </c>
      <c r="G4694" t="s">
        <v>59</v>
      </c>
      <c r="H4694">
        <v>2023</v>
      </c>
    </row>
    <row r="4695" spans="1:8" x14ac:dyDescent="0.2">
      <c r="A4695">
        <v>250536</v>
      </c>
      <c r="B4695">
        <v>50000</v>
      </c>
      <c r="C4695" t="str">
        <f t="shared" si="73"/>
        <v>5. $1M+</v>
      </c>
      <c r="D4695" t="s">
        <v>1881</v>
      </c>
      <c r="E4695" t="s">
        <v>112</v>
      </c>
      <c r="F4695" t="s">
        <v>668</v>
      </c>
      <c r="G4695" t="s">
        <v>59</v>
      </c>
      <c r="H4695">
        <v>2023</v>
      </c>
    </row>
    <row r="4696" spans="1:8" x14ac:dyDescent="0.2">
      <c r="A4696">
        <v>250537</v>
      </c>
      <c r="B4696">
        <v>750000</v>
      </c>
      <c r="C4696" t="str">
        <f t="shared" si="73"/>
        <v>3. $50K-250K</v>
      </c>
      <c r="D4696" t="s">
        <v>774</v>
      </c>
      <c r="E4696" t="s">
        <v>368</v>
      </c>
      <c r="F4696" t="s">
        <v>668</v>
      </c>
      <c r="G4696" t="s">
        <v>59</v>
      </c>
      <c r="H4696">
        <v>2023</v>
      </c>
    </row>
    <row r="4697" spans="1:8" x14ac:dyDescent="0.2">
      <c r="A4697">
        <v>250538</v>
      </c>
      <c r="B4697">
        <v>20000</v>
      </c>
      <c r="C4697" t="str">
        <f t="shared" si="73"/>
        <v>4. $250K-1M</v>
      </c>
      <c r="D4697" t="s">
        <v>1882</v>
      </c>
      <c r="E4697" t="s">
        <v>112</v>
      </c>
      <c r="F4697" t="s">
        <v>668</v>
      </c>
      <c r="G4697" t="s">
        <v>59</v>
      </c>
      <c r="H4697">
        <v>2023</v>
      </c>
    </row>
    <row r="4698" spans="1:8" x14ac:dyDescent="0.2">
      <c r="A4698">
        <v>250541</v>
      </c>
      <c r="B4698">
        <v>18000</v>
      </c>
      <c r="C4698" t="str">
        <f t="shared" si="73"/>
        <v>2. $10K-50K</v>
      </c>
      <c r="D4698" t="s">
        <v>1883</v>
      </c>
      <c r="E4698" t="s">
        <v>112</v>
      </c>
      <c r="F4698" t="s">
        <v>668</v>
      </c>
      <c r="G4698" t="s">
        <v>59</v>
      </c>
      <c r="H4698">
        <v>2023</v>
      </c>
    </row>
    <row r="4699" spans="1:8" x14ac:dyDescent="0.2">
      <c r="A4699">
        <v>250543</v>
      </c>
      <c r="B4699">
        <v>20000</v>
      </c>
      <c r="C4699" t="str">
        <f t="shared" si="73"/>
        <v>2. $10K-50K</v>
      </c>
      <c r="D4699" t="s">
        <v>1884</v>
      </c>
      <c r="E4699" t="s">
        <v>112</v>
      </c>
      <c r="F4699" t="s">
        <v>668</v>
      </c>
      <c r="G4699" t="s">
        <v>59</v>
      </c>
      <c r="H4699">
        <v>2023</v>
      </c>
    </row>
    <row r="4700" spans="1:8" x14ac:dyDescent="0.2">
      <c r="A4700">
        <v>250544</v>
      </c>
      <c r="B4700">
        <v>200000</v>
      </c>
      <c r="C4700" t="str">
        <f t="shared" si="73"/>
        <v>2. $10K-50K</v>
      </c>
      <c r="D4700" t="s">
        <v>1885</v>
      </c>
      <c r="E4700" t="s">
        <v>112</v>
      </c>
      <c r="F4700" t="s">
        <v>668</v>
      </c>
      <c r="G4700" t="s">
        <v>59</v>
      </c>
      <c r="H4700">
        <v>2023</v>
      </c>
    </row>
    <row r="4701" spans="1:8" x14ac:dyDescent="0.2">
      <c r="A4701">
        <v>250548</v>
      </c>
      <c r="B4701">
        <v>15000</v>
      </c>
      <c r="C4701" t="str">
        <f t="shared" si="73"/>
        <v>3. $50K-250K</v>
      </c>
      <c r="D4701" t="s">
        <v>1681</v>
      </c>
      <c r="E4701" t="s">
        <v>112</v>
      </c>
      <c r="F4701" t="s">
        <v>668</v>
      </c>
      <c r="G4701" t="s">
        <v>59</v>
      </c>
      <c r="H4701">
        <v>2023</v>
      </c>
    </row>
    <row r="4702" spans="1:8" x14ac:dyDescent="0.2">
      <c r="A4702">
        <v>250551</v>
      </c>
      <c r="B4702">
        <v>9000000</v>
      </c>
      <c r="C4702" t="str">
        <f t="shared" si="73"/>
        <v>2. $10K-50K</v>
      </c>
      <c r="D4702" t="s">
        <v>948</v>
      </c>
      <c r="E4702" t="s">
        <v>99</v>
      </c>
      <c r="F4702" t="s">
        <v>668</v>
      </c>
      <c r="G4702" t="s">
        <v>59</v>
      </c>
      <c r="H4702">
        <v>2023</v>
      </c>
    </row>
    <row r="4703" spans="1:8" x14ac:dyDescent="0.2">
      <c r="A4703">
        <v>250553</v>
      </c>
      <c r="B4703">
        <v>6000</v>
      </c>
      <c r="C4703" t="str">
        <f t="shared" si="73"/>
        <v>5. $1M+</v>
      </c>
      <c r="D4703" t="s">
        <v>1886</v>
      </c>
      <c r="E4703" t="s">
        <v>112</v>
      </c>
      <c r="F4703" t="s">
        <v>668</v>
      </c>
      <c r="G4703" t="s">
        <v>59</v>
      </c>
      <c r="H4703">
        <v>2023</v>
      </c>
    </row>
    <row r="4704" spans="1:8" x14ac:dyDescent="0.2">
      <c r="A4704">
        <v>250554</v>
      </c>
      <c r="B4704">
        <v>40000</v>
      </c>
      <c r="C4704" t="str">
        <f t="shared" si="73"/>
        <v>1. Under $10K</v>
      </c>
      <c r="D4704" t="s">
        <v>1887</v>
      </c>
      <c r="E4704" t="s">
        <v>112</v>
      </c>
      <c r="F4704" t="s">
        <v>668</v>
      </c>
      <c r="G4704" t="s">
        <v>59</v>
      </c>
      <c r="H4704">
        <v>2023</v>
      </c>
    </row>
    <row r="4705" spans="1:8" x14ac:dyDescent="0.2">
      <c r="A4705">
        <v>250556</v>
      </c>
      <c r="B4705">
        <v>100000</v>
      </c>
      <c r="C4705" t="str">
        <f t="shared" si="73"/>
        <v>2. $10K-50K</v>
      </c>
      <c r="D4705" t="s">
        <v>1888</v>
      </c>
      <c r="E4705" t="s">
        <v>112</v>
      </c>
      <c r="F4705" t="s">
        <v>668</v>
      </c>
      <c r="G4705" t="s">
        <v>59</v>
      </c>
      <c r="H4705">
        <v>2023</v>
      </c>
    </row>
    <row r="4706" spans="1:8" x14ac:dyDescent="0.2">
      <c r="A4706">
        <v>250558</v>
      </c>
      <c r="B4706">
        <v>20000</v>
      </c>
      <c r="C4706" t="str">
        <f t="shared" si="73"/>
        <v>3. $50K-250K</v>
      </c>
      <c r="D4706" t="s">
        <v>1792</v>
      </c>
      <c r="E4706" t="s">
        <v>112</v>
      </c>
      <c r="F4706" t="s">
        <v>668</v>
      </c>
      <c r="G4706" t="s">
        <v>59</v>
      </c>
      <c r="H4706">
        <v>2023</v>
      </c>
    </row>
    <row r="4707" spans="1:8" x14ac:dyDescent="0.2">
      <c r="A4707">
        <v>250559</v>
      </c>
      <c r="B4707">
        <v>20000</v>
      </c>
      <c r="C4707" t="str">
        <f t="shared" si="73"/>
        <v>2. $10K-50K</v>
      </c>
      <c r="D4707" t="s">
        <v>1889</v>
      </c>
      <c r="E4707" t="s">
        <v>112</v>
      </c>
      <c r="F4707" t="s">
        <v>668</v>
      </c>
      <c r="G4707" t="s">
        <v>59</v>
      </c>
      <c r="H4707">
        <v>2023</v>
      </c>
    </row>
    <row r="4708" spans="1:8" x14ac:dyDescent="0.2">
      <c r="A4708">
        <v>250562</v>
      </c>
      <c r="B4708">
        <v>250000</v>
      </c>
      <c r="C4708" t="str">
        <f t="shared" si="73"/>
        <v>2. $10K-50K</v>
      </c>
      <c r="D4708" t="s">
        <v>1890</v>
      </c>
      <c r="E4708" t="s">
        <v>99</v>
      </c>
      <c r="F4708" t="s">
        <v>668</v>
      </c>
      <c r="G4708" t="s">
        <v>59</v>
      </c>
      <c r="H4708">
        <v>2023</v>
      </c>
    </row>
    <row r="4709" spans="1:8" x14ac:dyDescent="0.2">
      <c r="A4709">
        <v>250595</v>
      </c>
      <c r="B4709">
        <v>961203</v>
      </c>
      <c r="C4709" t="str">
        <f t="shared" si="73"/>
        <v>4. $250K-1M</v>
      </c>
      <c r="D4709" t="s">
        <v>575</v>
      </c>
      <c r="E4709" t="s">
        <v>237</v>
      </c>
      <c r="F4709" t="s">
        <v>670</v>
      </c>
      <c r="G4709" t="s">
        <v>15</v>
      </c>
      <c r="H4709">
        <v>2023</v>
      </c>
    </row>
    <row r="4710" spans="1:8" x14ac:dyDescent="0.2">
      <c r="A4710">
        <v>250599</v>
      </c>
      <c r="B4710">
        <v>961203</v>
      </c>
      <c r="C4710" t="str">
        <f t="shared" si="73"/>
        <v>4. $250K-1M</v>
      </c>
      <c r="D4710" t="s">
        <v>1891</v>
      </c>
      <c r="E4710" t="s">
        <v>237</v>
      </c>
      <c r="F4710" t="s">
        <v>670</v>
      </c>
      <c r="G4710" t="s">
        <v>15</v>
      </c>
      <c r="H4710">
        <v>2023</v>
      </c>
    </row>
    <row r="4711" spans="1:8" x14ac:dyDescent="0.2">
      <c r="A4711">
        <v>250600</v>
      </c>
      <c r="B4711">
        <v>961203</v>
      </c>
      <c r="C4711" t="str">
        <f t="shared" si="73"/>
        <v>4. $250K-1M</v>
      </c>
      <c r="D4711" t="s">
        <v>783</v>
      </c>
      <c r="E4711" t="s">
        <v>237</v>
      </c>
      <c r="F4711" t="s">
        <v>670</v>
      </c>
      <c r="G4711" t="s">
        <v>15</v>
      </c>
      <c r="H4711">
        <v>2023</v>
      </c>
    </row>
    <row r="4712" spans="1:8" x14ac:dyDescent="0.2">
      <c r="A4712">
        <v>250604</v>
      </c>
      <c r="B4712">
        <v>961203</v>
      </c>
      <c r="C4712" t="str">
        <f t="shared" si="73"/>
        <v>4. $250K-1M</v>
      </c>
      <c r="D4712" t="s">
        <v>801</v>
      </c>
      <c r="E4712" t="s">
        <v>237</v>
      </c>
      <c r="F4712" t="s">
        <v>670</v>
      </c>
      <c r="G4712" t="s">
        <v>15</v>
      </c>
      <c r="H4712">
        <v>2023</v>
      </c>
    </row>
    <row r="4713" spans="1:8" x14ac:dyDescent="0.2">
      <c r="A4713">
        <v>250622</v>
      </c>
      <c r="B4713">
        <v>6000</v>
      </c>
      <c r="C4713" t="str">
        <f t="shared" si="73"/>
        <v>4. $250K-1M</v>
      </c>
      <c r="D4713" t="s">
        <v>1892</v>
      </c>
      <c r="E4713" t="s">
        <v>112</v>
      </c>
      <c r="F4713" t="s">
        <v>668</v>
      </c>
      <c r="G4713" t="s">
        <v>59</v>
      </c>
      <c r="H4713">
        <v>2023</v>
      </c>
    </row>
    <row r="4714" spans="1:8" x14ac:dyDescent="0.2">
      <c r="A4714">
        <v>250624</v>
      </c>
      <c r="B4714">
        <v>6000</v>
      </c>
      <c r="C4714" t="str">
        <f t="shared" si="73"/>
        <v>1. Under $10K</v>
      </c>
      <c r="D4714" t="s">
        <v>1893</v>
      </c>
      <c r="E4714" t="s">
        <v>112</v>
      </c>
      <c r="F4714" t="s">
        <v>668</v>
      </c>
      <c r="G4714" t="s">
        <v>59</v>
      </c>
      <c r="H4714">
        <v>2023</v>
      </c>
    </row>
    <row r="4715" spans="1:8" x14ac:dyDescent="0.2">
      <c r="A4715">
        <v>250625</v>
      </c>
      <c r="B4715">
        <v>4250</v>
      </c>
      <c r="C4715" t="str">
        <f t="shared" si="73"/>
        <v>1. Under $10K</v>
      </c>
      <c r="D4715" t="s">
        <v>1894</v>
      </c>
      <c r="E4715" t="s">
        <v>112</v>
      </c>
      <c r="F4715" t="s">
        <v>668</v>
      </c>
      <c r="G4715" t="s">
        <v>59</v>
      </c>
      <c r="H4715">
        <v>2023</v>
      </c>
    </row>
    <row r="4716" spans="1:8" x14ac:dyDescent="0.2">
      <c r="A4716">
        <v>250626</v>
      </c>
      <c r="B4716">
        <v>3500</v>
      </c>
      <c r="C4716" t="str">
        <f t="shared" si="73"/>
        <v>1. Under $10K</v>
      </c>
      <c r="D4716" t="s">
        <v>1895</v>
      </c>
      <c r="E4716" t="s">
        <v>112</v>
      </c>
      <c r="F4716" t="s">
        <v>668</v>
      </c>
      <c r="G4716" t="s">
        <v>59</v>
      </c>
      <c r="H4716">
        <v>2023</v>
      </c>
    </row>
    <row r="4717" spans="1:8" x14ac:dyDescent="0.2">
      <c r="A4717">
        <v>250629</v>
      </c>
      <c r="B4717">
        <v>6000</v>
      </c>
      <c r="C4717" t="str">
        <f t="shared" si="73"/>
        <v>1. Under $10K</v>
      </c>
      <c r="D4717" t="s">
        <v>1896</v>
      </c>
      <c r="E4717" t="s">
        <v>112</v>
      </c>
      <c r="F4717" t="s">
        <v>668</v>
      </c>
      <c r="G4717" t="s">
        <v>59</v>
      </c>
      <c r="H4717">
        <v>2023</v>
      </c>
    </row>
    <row r="4718" spans="1:8" x14ac:dyDescent="0.2">
      <c r="A4718">
        <v>250631</v>
      </c>
      <c r="B4718">
        <v>6000</v>
      </c>
      <c r="C4718" t="str">
        <f t="shared" si="73"/>
        <v>1. Under $10K</v>
      </c>
      <c r="D4718" t="s">
        <v>1897</v>
      </c>
      <c r="E4718" t="s">
        <v>112</v>
      </c>
      <c r="F4718" t="s">
        <v>668</v>
      </c>
      <c r="G4718" t="s">
        <v>59</v>
      </c>
      <c r="H4718">
        <v>2023</v>
      </c>
    </row>
    <row r="4719" spans="1:8" x14ac:dyDescent="0.2">
      <c r="A4719">
        <v>250636</v>
      </c>
      <c r="B4719">
        <v>6000</v>
      </c>
      <c r="C4719" t="str">
        <f t="shared" si="73"/>
        <v>1. Under $10K</v>
      </c>
      <c r="D4719" t="s">
        <v>1898</v>
      </c>
      <c r="E4719" t="s">
        <v>112</v>
      </c>
      <c r="F4719" t="s">
        <v>668</v>
      </c>
      <c r="G4719" t="s">
        <v>59</v>
      </c>
      <c r="H4719">
        <v>2023</v>
      </c>
    </row>
    <row r="4720" spans="1:8" x14ac:dyDescent="0.2">
      <c r="A4720">
        <v>250644</v>
      </c>
      <c r="B4720">
        <v>6000</v>
      </c>
      <c r="C4720" t="str">
        <f t="shared" si="73"/>
        <v>1. Under $10K</v>
      </c>
      <c r="D4720" t="s">
        <v>1899</v>
      </c>
      <c r="E4720" t="s">
        <v>112</v>
      </c>
      <c r="F4720" t="s">
        <v>668</v>
      </c>
      <c r="G4720" t="s">
        <v>59</v>
      </c>
      <c r="H4720">
        <v>2023</v>
      </c>
    </row>
    <row r="4721" spans="1:8" x14ac:dyDescent="0.2">
      <c r="A4721">
        <v>250655</v>
      </c>
      <c r="B4721">
        <v>6000</v>
      </c>
      <c r="C4721" t="str">
        <f t="shared" si="73"/>
        <v>1. Under $10K</v>
      </c>
      <c r="D4721" t="s">
        <v>1900</v>
      </c>
      <c r="E4721" t="s">
        <v>112</v>
      </c>
      <c r="F4721" t="s">
        <v>668</v>
      </c>
      <c r="G4721" t="s">
        <v>59</v>
      </c>
      <c r="H4721">
        <v>2023</v>
      </c>
    </row>
    <row r="4722" spans="1:8" x14ac:dyDescent="0.2">
      <c r="A4722">
        <v>250660</v>
      </c>
      <c r="B4722">
        <v>6000</v>
      </c>
      <c r="C4722" t="str">
        <f t="shared" si="73"/>
        <v>1. Under $10K</v>
      </c>
      <c r="D4722" t="s">
        <v>1901</v>
      </c>
      <c r="E4722" t="s">
        <v>112</v>
      </c>
      <c r="F4722" t="s">
        <v>668</v>
      </c>
      <c r="G4722" t="s">
        <v>59</v>
      </c>
      <c r="H4722">
        <v>2023</v>
      </c>
    </row>
    <row r="4723" spans="1:8" x14ac:dyDescent="0.2">
      <c r="A4723">
        <v>250673</v>
      </c>
      <c r="B4723">
        <v>1000</v>
      </c>
      <c r="C4723" t="str">
        <f t="shared" si="73"/>
        <v>1. Under $10K</v>
      </c>
      <c r="D4723" t="s">
        <v>1902</v>
      </c>
      <c r="E4723" t="s">
        <v>112</v>
      </c>
      <c r="F4723" t="s">
        <v>668</v>
      </c>
      <c r="G4723" t="s">
        <v>59</v>
      </c>
      <c r="H4723">
        <v>2023</v>
      </c>
    </row>
    <row r="4724" spans="1:8" x14ac:dyDescent="0.2">
      <c r="A4724">
        <v>250674</v>
      </c>
      <c r="B4724">
        <v>6000</v>
      </c>
      <c r="C4724" t="str">
        <f t="shared" si="73"/>
        <v>1. Under $10K</v>
      </c>
      <c r="D4724" t="s">
        <v>1903</v>
      </c>
      <c r="E4724" t="s">
        <v>112</v>
      </c>
      <c r="F4724" t="s">
        <v>668</v>
      </c>
      <c r="G4724" t="s">
        <v>59</v>
      </c>
      <c r="H4724">
        <v>2023</v>
      </c>
    </row>
    <row r="4725" spans="1:8" x14ac:dyDescent="0.2">
      <c r="A4725">
        <v>250677</v>
      </c>
      <c r="B4725">
        <v>6000</v>
      </c>
      <c r="C4725" t="str">
        <f t="shared" si="73"/>
        <v>1. Under $10K</v>
      </c>
      <c r="D4725" t="s">
        <v>1904</v>
      </c>
      <c r="E4725" t="s">
        <v>112</v>
      </c>
      <c r="F4725" t="s">
        <v>668</v>
      </c>
      <c r="G4725" t="s">
        <v>59</v>
      </c>
      <c r="H4725">
        <v>2023</v>
      </c>
    </row>
    <row r="4726" spans="1:8" x14ac:dyDescent="0.2">
      <c r="A4726">
        <v>250681</v>
      </c>
      <c r="B4726">
        <v>6000</v>
      </c>
      <c r="C4726" t="str">
        <f t="shared" si="73"/>
        <v>1. Under $10K</v>
      </c>
      <c r="D4726" t="s">
        <v>1905</v>
      </c>
      <c r="E4726" t="s">
        <v>112</v>
      </c>
      <c r="F4726" t="s">
        <v>668</v>
      </c>
      <c r="G4726" t="s">
        <v>59</v>
      </c>
      <c r="H4726">
        <v>2023</v>
      </c>
    </row>
    <row r="4727" spans="1:8" x14ac:dyDescent="0.2">
      <c r="A4727">
        <v>250682</v>
      </c>
      <c r="B4727">
        <v>6000</v>
      </c>
      <c r="C4727" t="str">
        <f t="shared" si="73"/>
        <v>1. Under $10K</v>
      </c>
      <c r="D4727" t="s">
        <v>1906</v>
      </c>
      <c r="E4727" t="s">
        <v>112</v>
      </c>
      <c r="F4727" t="s">
        <v>668</v>
      </c>
      <c r="G4727" t="s">
        <v>59</v>
      </c>
      <c r="H4727">
        <v>2023</v>
      </c>
    </row>
    <row r="4728" spans="1:8" x14ac:dyDescent="0.2">
      <c r="A4728">
        <v>250725</v>
      </c>
      <c r="B4728">
        <v>6000</v>
      </c>
      <c r="C4728" t="str">
        <f t="shared" si="73"/>
        <v>1. Under $10K</v>
      </c>
      <c r="D4728" t="s">
        <v>1907</v>
      </c>
      <c r="E4728" t="s">
        <v>112</v>
      </c>
      <c r="F4728" t="s">
        <v>668</v>
      </c>
      <c r="G4728" t="s">
        <v>59</v>
      </c>
      <c r="H4728">
        <v>2023</v>
      </c>
    </row>
    <row r="4729" spans="1:8" x14ac:dyDescent="0.2">
      <c r="A4729">
        <v>250727</v>
      </c>
      <c r="B4729">
        <v>6000</v>
      </c>
      <c r="C4729" t="str">
        <f t="shared" si="73"/>
        <v>1. Under $10K</v>
      </c>
      <c r="D4729" t="s">
        <v>1908</v>
      </c>
      <c r="E4729" t="s">
        <v>112</v>
      </c>
      <c r="F4729" t="s">
        <v>668</v>
      </c>
      <c r="G4729" t="s">
        <v>59</v>
      </c>
      <c r="H4729">
        <v>2023</v>
      </c>
    </row>
    <row r="4730" spans="1:8" x14ac:dyDescent="0.2">
      <c r="A4730">
        <v>250728</v>
      </c>
      <c r="B4730">
        <v>6000</v>
      </c>
      <c r="C4730" t="str">
        <f t="shared" si="73"/>
        <v>1. Under $10K</v>
      </c>
      <c r="D4730" t="s">
        <v>1909</v>
      </c>
      <c r="E4730" t="s">
        <v>112</v>
      </c>
      <c r="F4730" t="s">
        <v>668</v>
      </c>
      <c r="G4730" t="s">
        <v>59</v>
      </c>
      <c r="H4730">
        <v>2023</v>
      </c>
    </row>
    <row r="4731" spans="1:8" x14ac:dyDescent="0.2">
      <c r="A4731">
        <v>250729</v>
      </c>
      <c r="B4731">
        <v>6000</v>
      </c>
      <c r="C4731" t="str">
        <f t="shared" si="73"/>
        <v>1. Under $10K</v>
      </c>
      <c r="D4731" t="s">
        <v>1910</v>
      </c>
      <c r="E4731" t="s">
        <v>112</v>
      </c>
      <c r="F4731" t="s">
        <v>668</v>
      </c>
      <c r="G4731" t="s">
        <v>59</v>
      </c>
      <c r="H4731">
        <v>2023</v>
      </c>
    </row>
    <row r="4732" spans="1:8" x14ac:dyDescent="0.2">
      <c r="A4732">
        <v>250732</v>
      </c>
      <c r="B4732">
        <v>6000</v>
      </c>
      <c r="C4732" t="str">
        <f t="shared" si="73"/>
        <v>1. Under $10K</v>
      </c>
      <c r="D4732" t="s">
        <v>1911</v>
      </c>
      <c r="E4732" t="s">
        <v>112</v>
      </c>
      <c r="F4732" t="s">
        <v>668</v>
      </c>
      <c r="G4732" t="s">
        <v>59</v>
      </c>
      <c r="H4732">
        <v>2023</v>
      </c>
    </row>
    <row r="4733" spans="1:8" x14ac:dyDescent="0.2">
      <c r="A4733">
        <v>250733</v>
      </c>
      <c r="B4733">
        <v>50000</v>
      </c>
      <c r="C4733" t="str">
        <f t="shared" si="73"/>
        <v>1. Under $10K</v>
      </c>
      <c r="D4733" t="s">
        <v>1710</v>
      </c>
      <c r="E4733" t="s">
        <v>112</v>
      </c>
      <c r="F4733" t="s">
        <v>668</v>
      </c>
      <c r="G4733" t="s">
        <v>59</v>
      </c>
      <c r="H4733">
        <v>2023</v>
      </c>
    </row>
    <row r="4734" spans="1:8" x14ac:dyDescent="0.2">
      <c r="A4734">
        <v>250734</v>
      </c>
      <c r="B4734">
        <v>1000</v>
      </c>
      <c r="C4734" t="str">
        <f t="shared" si="73"/>
        <v>3. $50K-250K</v>
      </c>
      <c r="D4734" t="s">
        <v>1912</v>
      </c>
      <c r="E4734" t="s">
        <v>112</v>
      </c>
      <c r="F4734" t="s">
        <v>668</v>
      </c>
      <c r="G4734" t="s">
        <v>59</v>
      </c>
      <c r="H4734">
        <v>2023</v>
      </c>
    </row>
    <row r="4735" spans="1:8" x14ac:dyDescent="0.2">
      <c r="A4735">
        <v>250737</v>
      </c>
      <c r="B4735">
        <v>6000</v>
      </c>
      <c r="C4735" t="str">
        <f t="shared" si="73"/>
        <v>1. Under $10K</v>
      </c>
      <c r="D4735" t="s">
        <v>1913</v>
      </c>
      <c r="E4735" t="s">
        <v>112</v>
      </c>
      <c r="F4735" t="s">
        <v>668</v>
      </c>
      <c r="G4735" t="s">
        <v>59</v>
      </c>
      <c r="H4735">
        <v>2023</v>
      </c>
    </row>
    <row r="4736" spans="1:8" x14ac:dyDescent="0.2">
      <c r="A4736">
        <v>250738</v>
      </c>
      <c r="B4736">
        <v>6000</v>
      </c>
      <c r="C4736" t="str">
        <f t="shared" si="73"/>
        <v>1. Under $10K</v>
      </c>
      <c r="D4736" t="s">
        <v>1914</v>
      </c>
      <c r="E4736" t="s">
        <v>112</v>
      </c>
      <c r="F4736" t="s">
        <v>668</v>
      </c>
      <c r="G4736" t="s">
        <v>59</v>
      </c>
      <c r="H4736">
        <v>2023</v>
      </c>
    </row>
    <row r="4737" spans="1:8" x14ac:dyDescent="0.2">
      <c r="A4737">
        <v>250742</v>
      </c>
      <c r="B4737">
        <v>4000</v>
      </c>
      <c r="C4737" t="str">
        <f t="shared" si="73"/>
        <v>1. Under $10K</v>
      </c>
      <c r="D4737" t="s">
        <v>1915</v>
      </c>
      <c r="E4737" t="s">
        <v>112</v>
      </c>
      <c r="F4737" t="s">
        <v>668</v>
      </c>
      <c r="G4737" t="s">
        <v>59</v>
      </c>
      <c r="H4737">
        <v>2023</v>
      </c>
    </row>
    <row r="4738" spans="1:8" x14ac:dyDescent="0.2">
      <c r="A4738">
        <v>250743</v>
      </c>
      <c r="B4738">
        <v>6000</v>
      </c>
      <c r="C4738" t="str">
        <f t="shared" si="73"/>
        <v>1. Under $10K</v>
      </c>
      <c r="D4738" t="s">
        <v>1916</v>
      </c>
      <c r="E4738" t="s">
        <v>112</v>
      </c>
      <c r="F4738" t="s">
        <v>668</v>
      </c>
      <c r="G4738" t="s">
        <v>59</v>
      </c>
      <c r="H4738">
        <v>2023</v>
      </c>
    </row>
    <row r="4739" spans="1:8" x14ac:dyDescent="0.2">
      <c r="A4739">
        <v>250744</v>
      </c>
      <c r="B4739">
        <v>5000</v>
      </c>
      <c r="C4739" t="str">
        <f t="shared" ref="C4739:C4802" si="74">IF(B4738&lt;10000,"1. Under $10K",IF(B4738&lt;50000,"2. $10K-50K",IF(B4738&lt;250000,"3. $50K-250K",IF(B4738&lt;1000000,"4. $250K-1M","5. $1M+"))))</f>
        <v>1. Under $10K</v>
      </c>
      <c r="D4739" t="s">
        <v>1917</v>
      </c>
      <c r="E4739" t="s">
        <v>112</v>
      </c>
      <c r="F4739" t="s">
        <v>668</v>
      </c>
      <c r="G4739" t="s">
        <v>59</v>
      </c>
      <c r="H4739">
        <v>2023</v>
      </c>
    </row>
    <row r="4740" spans="1:8" x14ac:dyDescent="0.2">
      <c r="A4740">
        <v>250745</v>
      </c>
      <c r="B4740">
        <v>3000</v>
      </c>
      <c r="C4740" t="str">
        <f t="shared" si="74"/>
        <v>1. Under $10K</v>
      </c>
      <c r="D4740" t="s">
        <v>1918</v>
      </c>
      <c r="E4740" t="s">
        <v>112</v>
      </c>
      <c r="F4740" t="s">
        <v>668</v>
      </c>
      <c r="G4740" t="s">
        <v>59</v>
      </c>
      <c r="H4740">
        <v>2023</v>
      </c>
    </row>
    <row r="4741" spans="1:8" x14ac:dyDescent="0.2">
      <c r="A4741">
        <v>250746</v>
      </c>
      <c r="B4741">
        <v>6000</v>
      </c>
      <c r="C4741" t="str">
        <f t="shared" si="74"/>
        <v>1. Under $10K</v>
      </c>
      <c r="D4741" t="s">
        <v>1919</v>
      </c>
      <c r="E4741" t="s">
        <v>112</v>
      </c>
      <c r="F4741" t="s">
        <v>668</v>
      </c>
      <c r="G4741" t="s">
        <v>59</v>
      </c>
      <c r="H4741">
        <v>2023</v>
      </c>
    </row>
    <row r="4742" spans="1:8" x14ac:dyDescent="0.2">
      <c r="A4742">
        <v>250832</v>
      </c>
      <c r="B4742">
        <v>6000</v>
      </c>
      <c r="C4742" t="str">
        <f t="shared" si="74"/>
        <v>1. Under $10K</v>
      </c>
      <c r="D4742" t="s">
        <v>1920</v>
      </c>
      <c r="E4742" t="s">
        <v>112</v>
      </c>
      <c r="F4742" t="s">
        <v>668</v>
      </c>
      <c r="G4742" t="s">
        <v>59</v>
      </c>
      <c r="H4742">
        <v>2023</v>
      </c>
    </row>
    <row r="4743" spans="1:8" x14ac:dyDescent="0.2">
      <c r="A4743">
        <v>250833</v>
      </c>
      <c r="B4743">
        <v>7000</v>
      </c>
      <c r="C4743" t="str">
        <f t="shared" si="74"/>
        <v>1. Under $10K</v>
      </c>
      <c r="D4743" t="s">
        <v>41</v>
      </c>
      <c r="E4743" t="s">
        <v>112</v>
      </c>
      <c r="F4743" t="s">
        <v>668</v>
      </c>
      <c r="G4743" t="s">
        <v>59</v>
      </c>
      <c r="H4743">
        <v>2023</v>
      </c>
    </row>
    <row r="4744" spans="1:8" x14ac:dyDescent="0.2">
      <c r="A4744">
        <v>250834</v>
      </c>
      <c r="B4744">
        <v>165000</v>
      </c>
      <c r="C4744" t="str">
        <f t="shared" si="74"/>
        <v>1. Under $10K</v>
      </c>
      <c r="D4744" t="s">
        <v>1274</v>
      </c>
      <c r="E4744" t="s">
        <v>112</v>
      </c>
      <c r="F4744" t="s">
        <v>668</v>
      </c>
      <c r="G4744" t="s">
        <v>59</v>
      </c>
      <c r="H4744">
        <v>2023</v>
      </c>
    </row>
    <row r="4745" spans="1:8" x14ac:dyDescent="0.2">
      <c r="A4745">
        <v>250836</v>
      </c>
      <c r="B4745">
        <v>15000</v>
      </c>
      <c r="C4745" t="str">
        <f t="shared" si="74"/>
        <v>3. $50K-250K</v>
      </c>
      <c r="D4745" t="s">
        <v>1093</v>
      </c>
      <c r="E4745" t="s">
        <v>112</v>
      </c>
      <c r="F4745" t="s">
        <v>668</v>
      </c>
      <c r="G4745" t="s">
        <v>59</v>
      </c>
      <c r="H4745">
        <v>2023</v>
      </c>
    </row>
    <row r="4746" spans="1:8" x14ac:dyDescent="0.2">
      <c r="A4746">
        <v>250837</v>
      </c>
      <c r="B4746">
        <v>103593</v>
      </c>
      <c r="C4746" t="str">
        <f t="shared" si="74"/>
        <v>2. $10K-50K</v>
      </c>
      <c r="D4746" t="s">
        <v>774</v>
      </c>
      <c r="E4746" t="s">
        <v>42</v>
      </c>
      <c r="F4746" t="s">
        <v>668</v>
      </c>
      <c r="G4746" t="s">
        <v>59</v>
      </c>
      <c r="H4746">
        <v>2023</v>
      </c>
    </row>
    <row r="4747" spans="1:8" x14ac:dyDescent="0.2">
      <c r="A4747">
        <v>250838</v>
      </c>
      <c r="B4747">
        <v>5498889</v>
      </c>
      <c r="C4747" t="str">
        <f t="shared" si="74"/>
        <v>3. $50K-250K</v>
      </c>
      <c r="D4747" t="s">
        <v>1027</v>
      </c>
      <c r="E4747" t="s">
        <v>237</v>
      </c>
      <c r="F4747" t="s">
        <v>670</v>
      </c>
      <c r="G4747" t="s">
        <v>44</v>
      </c>
      <c r="H4747">
        <v>2024</v>
      </c>
    </row>
    <row r="4748" spans="1:8" x14ac:dyDescent="0.2">
      <c r="A4748">
        <v>250839</v>
      </c>
      <c r="B4748">
        <v>5000</v>
      </c>
      <c r="C4748" t="str">
        <f t="shared" si="74"/>
        <v>5. $1M+</v>
      </c>
      <c r="D4748" t="s">
        <v>1921</v>
      </c>
      <c r="E4748" t="s">
        <v>112</v>
      </c>
      <c r="F4748" t="s">
        <v>668</v>
      </c>
      <c r="G4748" t="s">
        <v>59</v>
      </c>
      <c r="H4748">
        <v>2023</v>
      </c>
    </row>
    <row r="4749" spans="1:8" x14ac:dyDescent="0.2">
      <c r="A4749">
        <v>250843</v>
      </c>
      <c r="B4749">
        <v>6000</v>
      </c>
      <c r="C4749" t="str">
        <f t="shared" si="74"/>
        <v>1. Under $10K</v>
      </c>
      <c r="D4749" t="s">
        <v>1920</v>
      </c>
      <c r="E4749" t="s">
        <v>112</v>
      </c>
      <c r="F4749" t="s">
        <v>668</v>
      </c>
      <c r="G4749" t="s">
        <v>59</v>
      </c>
      <c r="H4749">
        <v>2023</v>
      </c>
    </row>
    <row r="4750" spans="1:8" x14ac:dyDescent="0.2">
      <c r="A4750">
        <v>250850</v>
      </c>
      <c r="B4750">
        <v>5500</v>
      </c>
      <c r="C4750" t="str">
        <f t="shared" si="74"/>
        <v>1. Under $10K</v>
      </c>
      <c r="D4750" t="s">
        <v>1922</v>
      </c>
      <c r="E4750" t="s">
        <v>112</v>
      </c>
      <c r="F4750" t="s">
        <v>668</v>
      </c>
      <c r="G4750" t="s">
        <v>59</v>
      </c>
      <c r="H4750">
        <v>2023</v>
      </c>
    </row>
    <row r="4751" spans="1:8" x14ac:dyDescent="0.2">
      <c r="A4751">
        <v>250853</v>
      </c>
      <c r="B4751">
        <v>6000</v>
      </c>
      <c r="C4751" t="str">
        <f t="shared" si="74"/>
        <v>1. Under $10K</v>
      </c>
      <c r="D4751" t="s">
        <v>1923</v>
      </c>
      <c r="E4751" t="s">
        <v>112</v>
      </c>
      <c r="F4751" t="s">
        <v>668</v>
      </c>
      <c r="G4751" t="s">
        <v>59</v>
      </c>
      <c r="H4751">
        <v>2023</v>
      </c>
    </row>
    <row r="4752" spans="1:8" x14ac:dyDescent="0.2">
      <c r="A4752">
        <v>250894</v>
      </c>
      <c r="B4752">
        <v>105500</v>
      </c>
      <c r="C4752" t="str">
        <f t="shared" si="74"/>
        <v>1. Under $10K</v>
      </c>
      <c r="D4752" t="s">
        <v>794</v>
      </c>
      <c r="E4752" t="s">
        <v>237</v>
      </c>
      <c r="F4752" t="s">
        <v>670</v>
      </c>
      <c r="G4752" t="s">
        <v>44</v>
      </c>
      <c r="H4752">
        <v>2024</v>
      </c>
    </row>
    <row r="4753" spans="1:8" x14ac:dyDescent="0.2">
      <c r="A4753">
        <v>250900</v>
      </c>
      <c r="B4753">
        <v>116779</v>
      </c>
      <c r="C4753" t="str">
        <f t="shared" si="74"/>
        <v>3. $50K-250K</v>
      </c>
      <c r="D4753" t="s">
        <v>938</v>
      </c>
      <c r="E4753" t="s">
        <v>237</v>
      </c>
      <c r="F4753" t="s">
        <v>670</v>
      </c>
      <c r="G4753" t="s">
        <v>44</v>
      </c>
      <c r="H4753">
        <v>2024</v>
      </c>
    </row>
    <row r="4754" spans="1:8" x14ac:dyDescent="0.2">
      <c r="A4754">
        <v>250901</v>
      </c>
      <c r="B4754">
        <v>217137</v>
      </c>
      <c r="C4754" t="str">
        <f t="shared" si="74"/>
        <v>3. $50K-250K</v>
      </c>
      <c r="D4754" t="s">
        <v>937</v>
      </c>
      <c r="E4754" t="s">
        <v>237</v>
      </c>
      <c r="F4754" t="s">
        <v>670</v>
      </c>
      <c r="G4754" t="s">
        <v>44</v>
      </c>
      <c r="H4754">
        <v>2024</v>
      </c>
    </row>
    <row r="4755" spans="1:8" x14ac:dyDescent="0.2">
      <c r="A4755">
        <v>250905</v>
      </c>
      <c r="B4755">
        <v>135912</v>
      </c>
      <c r="C4755" t="str">
        <f t="shared" si="74"/>
        <v>3. $50K-250K</v>
      </c>
      <c r="D4755" t="s">
        <v>865</v>
      </c>
      <c r="E4755" t="s">
        <v>237</v>
      </c>
      <c r="F4755" t="s">
        <v>670</v>
      </c>
      <c r="G4755" t="s">
        <v>44</v>
      </c>
      <c r="H4755">
        <v>2024</v>
      </c>
    </row>
    <row r="4756" spans="1:8" x14ac:dyDescent="0.2">
      <c r="A4756">
        <v>250908</v>
      </c>
      <c r="B4756">
        <v>220037</v>
      </c>
      <c r="C4756" t="str">
        <f t="shared" si="74"/>
        <v>3. $50K-250K</v>
      </c>
      <c r="D4756" t="s">
        <v>870</v>
      </c>
      <c r="E4756" t="s">
        <v>237</v>
      </c>
      <c r="F4756" t="s">
        <v>670</v>
      </c>
      <c r="G4756" t="s">
        <v>44</v>
      </c>
      <c r="H4756">
        <v>2024</v>
      </c>
    </row>
    <row r="4757" spans="1:8" x14ac:dyDescent="0.2">
      <c r="A4757">
        <v>250933</v>
      </c>
      <c r="B4757">
        <v>198722</v>
      </c>
      <c r="C4757" t="str">
        <f t="shared" si="74"/>
        <v>3. $50K-250K</v>
      </c>
      <c r="D4757" t="s">
        <v>909</v>
      </c>
      <c r="E4757" t="s">
        <v>237</v>
      </c>
      <c r="F4757" t="s">
        <v>670</v>
      </c>
      <c r="G4757" t="s">
        <v>44</v>
      </c>
      <c r="H4757">
        <v>2024</v>
      </c>
    </row>
    <row r="4758" spans="1:8" x14ac:dyDescent="0.2">
      <c r="A4758">
        <v>250935</v>
      </c>
      <c r="B4758">
        <v>742058</v>
      </c>
      <c r="C4758" t="str">
        <f t="shared" si="74"/>
        <v>3. $50K-250K</v>
      </c>
      <c r="D4758" t="s">
        <v>1514</v>
      </c>
      <c r="E4758" t="s">
        <v>237</v>
      </c>
      <c r="F4758" t="s">
        <v>670</v>
      </c>
      <c r="G4758" t="s">
        <v>44</v>
      </c>
      <c r="H4758">
        <v>2024</v>
      </c>
    </row>
    <row r="4759" spans="1:8" x14ac:dyDescent="0.2">
      <c r="A4759">
        <v>250938</v>
      </c>
      <c r="B4759">
        <v>129694</v>
      </c>
      <c r="C4759" t="str">
        <f t="shared" si="74"/>
        <v>4. $250K-1M</v>
      </c>
      <c r="D4759" t="s">
        <v>866</v>
      </c>
      <c r="E4759" t="s">
        <v>237</v>
      </c>
      <c r="F4759" t="s">
        <v>670</v>
      </c>
      <c r="G4759" t="s">
        <v>44</v>
      </c>
      <c r="H4759">
        <v>2024</v>
      </c>
    </row>
    <row r="4760" spans="1:8" x14ac:dyDescent="0.2">
      <c r="A4760">
        <v>250944</v>
      </c>
      <c r="B4760">
        <v>231842.1</v>
      </c>
      <c r="C4760" t="str">
        <f t="shared" si="74"/>
        <v>3. $50K-250K</v>
      </c>
      <c r="D4760" t="s">
        <v>688</v>
      </c>
      <c r="E4760" t="s">
        <v>42</v>
      </c>
      <c r="F4760" t="s">
        <v>670</v>
      </c>
      <c r="G4760" t="s">
        <v>59</v>
      </c>
      <c r="H4760">
        <v>2023</v>
      </c>
    </row>
    <row r="4761" spans="1:8" x14ac:dyDescent="0.2">
      <c r="A4761">
        <v>251011</v>
      </c>
      <c r="B4761">
        <v>90000</v>
      </c>
      <c r="C4761" t="str">
        <f t="shared" si="74"/>
        <v>3. $50K-250K</v>
      </c>
      <c r="D4761" t="s">
        <v>1924</v>
      </c>
      <c r="E4761" t="s">
        <v>112</v>
      </c>
      <c r="F4761" t="s">
        <v>668</v>
      </c>
      <c r="G4761" t="s">
        <v>59</v>
      </c>
      <c r="H4761">
        <v>2023</v>
      </c>
    </row>
    <row r="4762" spans="1:8" x14ac:dyDescent="0.2">
      <c r="A4762">
        <v>251017</v>
      </c>
      <c r="B4762">
        <v>6000</v>
      </c>
      <c r="C4762" t="str">
        <f t="shared" si="74"/>
        <v>3. $50K-250K</v>
      </c>
      <c r="D4762" t="s">
        <v>1925</v>
      </c>
      <c r="E4762" t="s">
        <v>112</v>
      </c>
      <c r="F4762" t="s">
        <v>668</v>
      </c>
      <c r="G4762" t="s">
        <v>59</v>
      </c>
      <c r="H4762">
        <v>2023</v>
      </c>
    </row>
    <row r="4763" spans="1:8" x14ac:dyDescent="0.2">
      <c r="A4763">
        <v>251022</v>
      </c>
      <c r="B4763">
        <v>5000</v>
      </c>
      <c r="C4763" t="str">
        <f t="shared" si="74"/>
        <v>1. Under $10K</v>
      </c>
      <c r="D4763" t="s">
        <v>1926</v>
      </c>
      <c r="E4763" t="s">
        <v>112</v>
      </c>
      <c r="F4763" t="s">
        <v>668</v>
      </c>
      <c r="G4763" t="s">
        <v>59</v>
      </c>
      <c r="H4763">
        <v>2023</v>
      </c>
    </row>
    <row r="4764" spans="1:8" x14ac:dyDescent="0.2">
      <c r="A4764">
        <v>251023</v>
      </c>
      <c r="B4764">
        <v>6000</v>
      </c>
      <c r="C4764" t="str">
        <f t="shared" si="74"/>
        <v>1. Under $10K</v>
      </c>
      <c r="D4764" t="s">
        <v>1892</v>
      </c>
      <c r="E4764" t="s">
        <v>112</v>
      </c>
      <c r="F4764" t="s">
        <v>668</v>
      </c>
      <c r="G4764" t="s">
        <v>59</v>
      </c>
      <c r="H4764">
        <v>2023</v>
      </c>
    </row>
    <row r="4765" spans="1:8" x14ac:dyDescent="0.2">
      <c r="A4765">
        <v>251031</v>
      </c>
      <c r="B4765">
        <v>6000</v>
      </c>
      <c r="C4765" t="str">
        <f t="shared" si="74"/>
        <v>1. Under $10K</v>
      </c>
      <c r="D4765" t="s">
        <v>1927</v>
      </c>
      <c r="E4765" t="s">
        <v>112</v>
      </c>
      <c r="F4765" t="s">
        <v>668</v>
      </c>
      <c r="G4765" t="s">
        <v>59</v>
      </c>
      <c r="H4765">
        <v>2023</v>
      </c>
    </row>
    <row r="4766" spans="1:8" x14ac:dyDescent="0.2">
      <c r="A4766">
        <v>251036</v>
      </c>
      <c r="B4766">
        <v>6000</v>
      </c>
      <c r="C4766" t="str">
        <f t="shared" si="74"/>
        <v>1. Under $10K</v>
      </c>
      <c r="D4766" t="s">
        <v>1928</v>
      </c>
      <c r="E4766" t="s">
        <v>112</v>
      </c>
      <c r="F4766" t="s">
        <v>668</v>
      </c>
      <c r="G4766" t="s">
        <v>59</v>
      </c>
      <c r="H4766">
        <v>2023</v>
      </c>
    </row>
    <row r="4767" spans="1:8" x14ac:dyDescent="0.2">
      <c r="A4767">
        <v>251037</v>
      </c>
      <c r="B4767">
        <v>6000</v>
      </c>
      <c r="C4767" t="str">
        <f t="shared" si="74"/>
        <v>1. Under $10K</v>
      </c>
      <c r="D4767" t="s">
        <v>1755</v>
      </c>
      <c r="E4767" t="s">
        <v>112</v>
      </c>
      <c r="F4767" t="s">
        <v>668</v>
      </c>
      <c r="G4767" t="s">
        <v>59</v>
      </c>
      <c r="H4767">
        <v>2023</v>
      </c>
    </row>
    <row r="4768" spans="1:8" x14ac:dyDescent="0.2">
      <c r="A4768">
        <v>251038</v>
      </c>
      <c r="B4768">
        <v>6000</v>
      </c>
      <c r="C4768" t="str">
        <f t="shared" si="74"/>
        <v>1. Under $10K</v>
      </c>
      <c r="D4768" t="s">
        <v>1929</v>
      </c>
      <c r="E4768" t="s">
        <v>112</v>
      </c>
      <c r="F4768" t="s">
        <v>668</v>
      </c>
      <c r="G4768" t="s">
        <v>59</v>
      </c>
      <c r="H4768">
        <v>2023</v>
      </c>
    </row>
    <row r="4769" spans="1:8" x14ac:dyDescent="0.2">
      <c r="A4769">
        <v>251041</v>
      </c>
      <c r="B4769">
        <v>6000</v>
      </c>
      <c r="C4769" t="str">
        <f t="shared" si="74"/>
        <v>1. Under $10K</v>
      </c>
      <c r="D4769" t="s">
        <v>1930</v>
      </c>
      <c r="E4769" t="s">
        <v>112</v>
      </c>
      <c r="F4769" t="s">
        <v>668</v>
      </c>
      <c r="G4769" t="s">
        <v>59</v>
      </c>
      <c r="H4769">
        <v>2023</v>
      </c>
    </row>
    <row r="4770" spans="1:8" x14ac:dyDescent="0.2">
      <c r="A4770">
        <v>251042</v>
      </c>
      <c r="B4770">
        <v>6000</v>
      </c>
      <c r="C4770" t="str">
        <f t="shared" si="74"/>
        <v>1. Under $10K</v>
      </c>
      <c r="D4770" t="s">
        <v>1931</v>
      </c>
      <c r="E4770" t="s">
        <v>112</v>
      </c>
      <c r="F4770" t="s">
        <v>668</v>
      </c>
      <c r="G4770" t="s">
        <v>59</v>
      </c>
      <c r="H4770">
        <v>2023</v>
      </c>
    </row>
    <row r="4771" spans="1:8" x14ac:dyDescent="0.2">
      <c r="A4771">
        <v>251043</v>
      </c>
      <c r="B4771">
        <v>6000</v>
      </c>
      <c r="C4771" t="str">
        <f t="shared" si="74"/>
        <v>1. Under $10K</v>
      </c>
      <c r="D4771" t="s">
        <v>1932</v>
      </c>
      <c r="E4771" t="s">
        <v>112</v>
      </c>
      <c r="F4771" t="s">
        <v>668</v>
      </c>
      <c r="G4771" t="s">
        <v>59</v>
      </c>
      <c r="H4771">
        <v>2023</v>
      </c>
    </row>
    <row r="4772" spans="1:8" x14ac:dyDescent="0.2">
      <c r="A4772">
        <v>251045</v>
      </c>
      <c r="B4772">
        <v>5750</v>
      </c>
      <c r="C4772" t="str">
        <f t="shared" si="74"/>
        <v>1. Under $10K</v>
      </c>
      <c r="D4772" t="s">
        <v>1933</v>
      </c>
      <c r="E4772" t="s">
        <v>112</v>
      </c>
      <c r="F4772" t="s">
        <v>668</v>
      </c>
      <c r="G4772" t="s">
        <v>59</v>
      </c>
      <c r="H4772">
        <v>2023</v>
      </c>
    </row>
    <row r="4773" spans="1:8" x14ac:dyDescent="0.2">
      <c r="A4773">
        <v>251047</v>
      </c>
      <c r="B4773">
        <v>6000</v>
      </c>
      <c r="C4773" t="str">
        <f t="shared" si="74"/>
        <v>1. Under $10K</v>
      </c>
      <c r="D4773" t="s">
        <v>1934</v>
      </c>
      <c r="E4773" t="s">
        <v>112</v>
      </c>
      <c r="F4773" t="s">
        <v>668</v>
      </c>
      <c r="G4773" t="s">
        <v>59</v>
      </c>
      <c r="H4773">
        <v>2023</v>
      </c>
    </row>
    <row r="4774" spans="1:8" x14ac:dyDescent="0.2">
      <c r="A4774">
        <v>251049</v>
      </c>
      <c r="B4774">
        <v>6000</v>
      </c>
      <c r="C4774" t="str">
        <f t="shared" si="74"/>
        <v>1. Under $10K</v>
      </c>
      <c r="D4774" t="s">
        <v>1935</v>
      </c>
      <c r="E4774" t="s">
        <v>112</v>
      </c>
      <c r="F4774" t="s">
        <v>668</v>
      </c>
      <c r="G4774" t="s">
        <v>59</v>
      </c>
      <c r="H4774">
        <v>2023</v>
      </c>
    </row>
    <row r="4775" spans="1:8" x14ac:dyDescent="0.2">
      <c r="A4775">
        <v>251051</v>
      </c>
      <c r="B4775">
        <v>6000</v>
      </c>
      <c r="C4775" t="str">
        <f t="shared" si="74"/>
        <v>1. Under $10K</v>
      </c>
      <c r="D4775" t="s">
        <v>1936</v>
      </c>
      <c r="E4775" t="s">
        <v>112</v>
      </c>
      <c r="F4775" t="s">
        <v>668</v>
      </c>
      <c r="G4775" t="s">
        <v>59</v>
      </c>
      <c r="H4775">
        <v>2023</v>
      </c>
    </row>
    <row r="4776" spans="1:8" x14ac:dyDescent="0.2">
      <c r="A4776">
        <v>251052</v>
      </c>
      <c r="B4776">
        <v>6000</v>
      </c>
      <c r="C4776" t="str">
        <f t="shared" si="74"/>
        <v>1. Under $10K</v>
      </c>
      <c r="D4776" t="s">
        <v>1937</v>
      </c>
      <c r="E4776" t="s">
        <v>112</v>
      </c>
      <c r="F4776" t="s">
        <v>668</v>
      </c>
      <c r="G4776" t="s">
        <v>59</v>
      </c>
      <c r="H4776">
        <v>2023</v>
      </c>
    </row>
    <row r="4777" spans="1:8" x14ac:dyDescent="0.2">
      <c r="A4777">
        <v>251059</v>
      </c>
      <c r="B4777">
        <v>1000</v>
      </c>
      <c r="C4777" t="str">
        <f t="shared" si="74"/>
        <v>1. Under $10K</v>
      </c>
      <c r="D4777" t="s">
        <v>1938</v>
      </c>
      <c r="E4777" t="s">
        <v>112</v>
      </c>
      <c r="F4777" t="s">
        <v>668</v>
      </c>
      <c r="G4777" t="s">
        <v>59</v>
      </c>
      <c r="H4777">
        <v>2023</v>
      </c>
    </row>
    <row r="4778" spans="1:8" x14ac:dyDescent="0.2">
      <c r="A4778">
        <v>251070</v>
      </c>
      <c r="B4778">
        <v>6000</v>
      </c>
      <c r="C4778" t="str">
        <f t="shared" si="74"/>
        <v>1. Under $10K</v>
      </c>
      <c r="D4778" t="s">
        <v>1878</v>
      </c>
      <c r="E4778" t="s">
        <v>112</v>
      </c>
      <c r="F4778" t="s">
        <v>668</v>
      </c>
      <c r="G4778" t="s">
        <v>59</v>
      </c>
      <c r="H4778">
        <v>2023</v>
      </c>
    </row>
    <row r="4779" spans="1:8" x14ac:dyDescent="0.2">
      <c r="A4779">
        <v>251071</v>
      </c>
      <c r="B4779">
        <v>6000</v>
      </c>
      <c r="C4779" t="str">
        <f t="shared" si="74"/>
        <v>1. Under $10K</v>
      </c>
      <c r="D4779" t="s">
        <v>1939</v>
      </c>
      <c r="E4779" t="s">
        <v>112</v>
      </c>
      <c r="F4779" t="s">
        <v>668</v>
      </c>
      <c r="G4779" t="s">
        <v>59</v>
      </c>
      <c r="H4779">
        <v>2023</v>
      </c>
    </row>
    <row r="4780" spans="1:8" x14ac:dyDescent="0.2">
      <c r="A4780">
        <v>251081</v>
      </c>
      <c r="B4780">
        <v>6000</v>
      </c>
      <c r="C4780" t="str">
        <f t="shared" si="74"/>
        <v>1. Under $10K</v>
      </c>
      <c r="D4780" t="s">
        <v>1940</v>
      </c>
      <c r="E4780" t="s">
        <v>112</v>
      </c>
      <c r="F4780" t="s">
        <v>668</v>
      </c>
      <c r="G4780" t="s">
        <v>59</v>
      </c>
      <c r="H4780">
        <v>2023</v>
      </c>
    </row>
    <row r="4781" spans="1:8" x14ac:dyDescent="0.2">
      <c r="A4781">
        <v>251086</v>
      </c>
      <c r="B4781">
        <v>6000</v>
      </c>
      <c r="C4781" t="str">
        <f t="shared" si="74"/>
        <v>1. Under $10K</v>
      </c>
      <c r="D4781" t="s">
        <v>1941</v>
      </c>
      <c r="E4781" t="s">
        <v>112</v>
      </c>
      <c r="F4781" t="s">
        <v>668</v>
      </c>
      <c r="G4781" t="s">
        <v>59</v>
      </c>
      <c r="H4781">
        <v>2023</v>
      </c>
    </row>
    <row r="4782" spans="1:8" x14ac:dyDescent="0.2">
      <c r="A4782">
        <v>251087</v>
      </c>
      <c r="B4782">
        <v>6000</v>
      </c>
      <c r="C4782" t="str">
        <f t="shared" si="74"/>
        <v>1. Under $10K</v>
      </c>
      <c r="D4782" t="s">
        <v>1942</v>
      </c>
      <c r="E4782" t="s">
        <v>112</v>
      </c>
      <c r="F4782" t="s">
        <v>668</v>
      </c>
      <c r="G4782" t="s">
        <v>59</v>
      </c>
      <c r="H4782">
        <v>2023</v>
      </c>
    </row>
    <row r="4783" spans="1:8" x14ac:dyDescent="0.2">
      <c r="A4783">
        <v>251089</v>
      </c>
      <c r="B4783">
        <v>6000</v>
      </c>
      <c r="C4783" t="str">
        <f t="shared" si="74"/>
        <v>1. Under $10K</v>
      </c>
      <c r="D4783" t="s">
        <v>1943</v>
      </c>
      <c r="E4783" t="s">
        <v>112</v>
      </c>
      <c r="F4783" t="s">
        <v>668</v>
      </c>
      <c r="G4783" t="s">
        <v>59</v>
      </c>
      <c r="H4783">
        <v>2023</v>
      </c>
    </row>
    <row r="4784" spans="1:8" x14ac:dyDescent="0.2">
      <c r="A4784">
        <v>251091</v>
      </c>
      <c r="B4784">
        <v>200835</v>
      </c>
      <c r="C4784" t="str">
        <f t="shared" si="74"/>
        <v>1. Under $10K</v>
      </c>
      <c r="D4784" t="s">
        <v>809</v>
      </c>
      <c r="E4784" t="s">
        <v>237</v>
      </c>
      <c r="F4784" t="s">
        <v>670</v>
      </c>
      <c r="G4784" t="s">
        <v>44</v>
      </c>
      <c r="H4784">
        <v>2024</v>
      </c>
    </row>
    <row r="4785" spans="1:8" x14ac:dyDescent="0.2">
      <c r="A4785">
        <v>251100</v>
      </c>
      <c r="B4785">
        <v>111975</v>
      </c>
      <c r="C4785" t="str">
        <f t="shared" si="74"/>
        <v>3. $50K-250K</v>
      </c>
      <c r="D4785" t="s">
        <v>890</v>
      </c>
      <c r="E4785" t="s">
        <v>237</v>
      </c>
      <c r="F4785" t="s">
        <v>670</v>
      </c>
      <c r="G4785" t="s">
        <v>44</v>
      </c>
      <c r="H4785">
        <v>2024</v>
      </c>
    </row>
    <row r="4786" spans="1:8" x14ac:dyDescent="0.2">
      <c r="A4786">
        <v>251142</v>
      </c>
      <c r="B4786">
        <v>119079</v>
      </c>
      <c r="C4786" t="str">
        <f t="shared" si="74"/>
        <v>3. $50K-250K</v>
      </c>
      <c r="D4786" t="s">
        <v>926</v>
      </c>
      <c r="E4786" t="s">
        <v>237</v>
      </c>
      <c r="F4786" t="s">
        <v>670</v>
      </c>
      <c r="G4786" t="s">
        <v>44</v>
      </c>
      <c r="H4786">
        <v>2024</v>
      </c>
    </row>
    <row r="4787" spans="1:8" x14ac:dyDescent="0.2">
      <c r="A4787">
        <v>251143</v>
      </c>
      <c r="B4787">
        <v>202441</v>
      </c>
      <c r="C4787" t="str">
        <f t="shared" si="74"/>
        <v>3. $50K-250K</v>
      </c>
      <c r="D4787" t="s">
        <v>936</v>
      </c>
      <c r="E4787" t="s">
        <v>237</v>
      </c>
      <c r="F4787" t="s">
        <v>670</v>
      </c>
      <c r="G4787" t="s">
        <v>44</v>
      </c>
      <c r="H4787">
        <v>2024</v>
      </c>
    </row>
    <row r="4788" spans="1:8" x14ac:dyDescent="0.2">
      <c r="A4788">
        <v>251149</v>
      </c>
      <c r="B4788">
        <v>121605</v>
      </c>
      <c r="C4788" t="str">
        <f t="shared" si="74"/>
        <v>3. $50K-250K</v>
      </c>
      <c r="D4788" t="s">
        <v>782</v>
      </c>
      <c r="E4788" t="s">
        <v>237</v>
      </c>
      <c r="F4788" t="s">
        <v>670</v>
      </c>
      <c r="G4788" t="s">
        <v>44</v>
      </c>
      <c r="H4788">
        <v>2024</v>
      </c>
    </row>
    <row r="4789" spans="1:8" x14ac:dyDescent="0.2">
      <c r="A4789">
        <v>251151</v>
      </c>
      <c r="B4789">
        <v>139258</v>
      </c>
      <c r="C4789" t="str">
        <f t="shared" si="74"/>
        <v>3. $50K-250K</v>
      </c>
      <c r="D4789" t="s">
        <v>903</v>
      </c>
      <c r="E4789" t="s">
        <v>237</v>
      </c>
      <c r="F4789" t="s">
        <v>670</v>
      </c>
      <c r="G4789" t="s">
        <v>44</v>
      </c>
      <c r="H4789">
        <v>2024</v>
      </c>
    </row>
    <row r="4790" spans="1:8" x14ac:dyDescent="0.2">
      <c r="A4790">
        <v>251152</v>
      </c>
      <c r="B4790">
        <v>105687</v>
      </c>
      <c r="C4790" t="str">
        <f t="shared" si="74"/>
        <v>3. $50K-250K</v>
      </c>
      <c r="D4790" t="s">
        <v>902</v>
      </c>
      <c r="E4790" t="s">
        <v>237</v>
      </c>
      <c r="F4790" t="s">
        <v>670</v>
      </c>
      <c r="G4790" t="s">
        <v>44</v>
      </c>
      <c r="H4790">
        <v>2024</v>
      </c>
    </row>
    <row r="4791" spans="1:8" x14ac:dyDescent="0.2">
      <c r="A4791">
        <v>251153</v>
      </c>
      <c r="B4791">
        <v>122783</v>
      </c>
      <c r="C4791" t="str">
        <f t="shared" si="74"/>
        <v>3. $50K-250K</v>
      </c>
      <c r="D4791" t="s">
        <v>749</v>
      </c>
      <c r="E4791" t="s">
        <v>237</v>
      </c>
      <c r="F4791" t="s">
        <v>670</v>
      </c>
      <c r="G4791" t="s">
        <v>44</v>
      </c>
      <c r="H4791">
        <v>2024</v>
      </c>
    </row>
    <row r="4792" spans="1:8" x14ac:dyDescent="0.2">
      <c r="A4792">
        <v>251154</v>
      </c>
      <c r="B4792">
        <v>128728</v>
      </c>
      <c r="C4792" t="str">
        <f t="shared" si="74"/>
        <v>3. $50K-250K</v>
      </c>
      <c r="D4792" t="s">
        <v>865</v>
      </c>
      <c r="E4792" t="s">
        <v>237</v>
      </c>
      <c r="F4792" t="s">
        <v>670</v>
      </c>
      <c r="G4792" t="s">
        <v>44</v>
      </c>
      <c r="H4792">
        <v>2024</v>
      </c>
    </row>
    <row r="4793" spans="1:8" x14ac:dyDescent="0.2">
      <c r="A4793">
        <v>251155</v>
      </c>
      <c r="B4793">
        <v>114251</v>
      </c>
      <c r="C4793" t="str">
        <f t="shared" si="74"/>
        <v>3. $50K-250K</v>
      </c>
      <c r="D4793" t="s">
        <v>870</v>
      </c>
      <c r="E4793" t="s">
        <v>237</v>
      </c>
      <c r="F4793" t="s">
        <v>670</v>
      </c>
      <c r="G4793" t="s">
        <v>44</v>
      </c>
      <c r="H4793">
        <v>2024</v>
      </c>
    </row>
    <row r="4794" spans="1:8" x14ac:dyDescent="0.2">
      <c r="A4794">
        <v>251156</v>
      </c>
      <c r="B4794">
        <v>126884</v>
      </c>
      <c r="C4794" t="str">
        <f t="shared" si="74"/>
        <v>3. $50K-250K</v>
      </c>
      <c r="D4794" t="s">
        <v>870</v>
      </c>
      <c r="E4794" t="s">
        <v>237</v>
      </c>
      <c r="F4794" t="s">
        <v>670</v>
      </c>
      <c r="G4794" t="s">
        <v>44</v>
      </c>
      <c r="H4794">
        <v>2024</v>
      </c>
    </row>
    <row r="4795" spans="1:8" x14ac:dyDescent="0.2">
      <c r="A4795">
        <v>251157</v>
      </c>
      <c r="B4795">
        <v>156493</v>
      </c>
      <c r="C4795" t="str">
        <f t="shared" si="74"/>
        <v>3. $50K-250K</v>
      </c>
      <c r="D4795" t="s">
        <v>749</v>
      </c>
      <c r="E4795" t="s">
        <v>237</v>
      </c>
      <c r="F4795" t="s">
        <v>670</v>
      </c>
      <c r="G4795" t="s">
        <v>44</v>
      </c>
      <c r="H4795">
        <v>2024</v>
      </c>
    </row>
    <row r="4796" spans="1:8" x14ac:dyDescent="0.2">
      <c r="A4796">
        <v>251158</v>
      </c>
      <c r="B4796">
        <v>112779</v>
      </c>
      <c r="C4796" t="str">
        <f t="shared" si="74"/>
        <v>3. $50K-250K</v>
      </c>
      <c r="D4796" t="s">
        <v>890</v>
      </c>
      <c r="E4796" t="s">
        <v>237</v>
      </c>
      <c r="F4796" t="s">
        <v>670</v>
      </c>
      <c r="G4796" t="s">
        <v>44</v>
      </c>
      <c r="H4796">
        <v>2024</v>
      </c>
    </row>
    <row r="4797" spans="1:8" x14ac:dyDescent="0.2">
      <c r="A4797">
        <v>251159</v>
      </c>
      <c r="B4797">
        <v>139258</v>
      </c>
      <c r="C4797" t="str">
        <f t="shared" si="74"/>
        <v>3. $50K-250K</v>
      </c>
      <c r="D4797" t="s">
        <v>794</v>
      </c>
      <c r="E4797" t="s">
        <v>237</v>
      </c>
      <c r="F4797" t="s">
        <v>670</v>
      </c>
      <c r="G4797" t="s">
        <v>44</v>
      </c>
      <c r="H4797">
        <v>2024</v>
      </c>
    </row>
    <row r="4798" spans="1:8" x14ac:dyDescent="0.2">
      <c r="A4798">
        <v>251160</v>
      </c>
      <c r="B4798">
        <v>135222</v>
      </c>
      <c r="C4798" t="str">
        <f t="shared" si="74"/>
        <v>3. $50K-250K</v>
      </c>
      <c r="D4798" t="s">
        <v>749</v>
      </c>
      <c r="E4798" t="s">
        <v>237</v>
      </c>
      <c r="F4798" t="s">
        <v>670</v>
      </c>
      <c r="G4798" t="s">
        <v>44</v>
      </c>
      <c r="H4798">
        <v>2024</v>
      </c>
    </row>
    <row r="4799" spans="1:8" x14ac:dyDescent="0.2">
      <c r="A4799">
        <v>251162</v>
      </c>
      <c r="B4799">
        <v>126397</v>
      </c>
      <c r="C4799" t="str">
        <f t="shared" si="74"/>
        <v>3. $50K-250K</v>
      </c>
      <c r="D4799" t="s">
        <v>866</v>
      </c>
      <c r="E4799" t="s">
        <v>237</v>
      </c>
      <c r="F4799" t="s">
        <v>670</v>
      </c>
      <c r="G4799" t="s">
        <v>44</v>
      </c>
      <c r="H4799">
        <v>2024</v>
      </c>
    </row>
    <row r="4800" spans="1:8" x14ac:dyDescent="0.2">
      <c r="A4800">
        <v>251175</v>
      </c>
      <c r="B4800">
        <v>296714.5</v>
      </c>
      <c r="C4800" t="str">
        <f t="shared" si="74"/>
        <v>3. $50K-250K</v>
      </c>
      <c r="D4800" t="s">
        <v>968</v>
      </c>
      <c r="E4800" t="s">
        <v>42</v>
      </c>
      <c r="F4800" t="s">
        <v>670</v>
      </c>
      <c r="G4800" t="s">
        <v>59</v>
      </c>
      <c r="H4800">
        <v>2023</v>
      </c>
    </row>
    <row r="4801" spans="1:8" x14ac:dyDescent="0.2">
      <c r="A4801">
        <v>251176</v>
      </c>
      <c r="B4801">
        <v>105145.60000000001</v>
      </c>
      <c r="C4801" t="str">
        <f t="shared" si="74"/>
        <v>4. $250K-1M</v>
      </c>
      <c r="D4801" t="s">
        <v>1026</v>
      </c>
      <c r="E4801" t="s">
        <v>42</v>
      </c>
      <c r="F4801" t="s">
        <v>670</v>
      </c>
      <c r="G4801" t="s">
        <v>59</v>
      </c>
      <c r="H4801">
        <v>2023</v>
      </c>
    </row>
    <row r="4802" spans="1:8" x14ac:dyDescent="0.2">
      <c r="A4802">
        <v>251177</v>
      </c>
      <c r="B4802">
        <v>418015.8</v>
      </c>
      <c r="C4802" t="str">
        <f t="shared" si="74"/>
        <v>3. $50K-250K</v>
      </c>
      <c r="D4802" t="s">
        <v>1021</v>
      </c>
      <c r="E4802" t="s">
        <v>42</v>
      </c>
      <c r="F4802" t="s">
        <v>670</v>
      </c>
      <c r="G4802" t="s">
        <v>59</v>
      </c>
      <c r="H4802">
        <v>2023</v>
      </c>
    </row>
    <row r="4803" spans="1:8" x14ac:dyDescent="0.2">
      <c r="A4803">
        <v>251178</v>
      </c>
      <c r="B4803">
        <v>90684</v>
      </c>
      <c r="C4803" t="str">
        <f t="shared" ref="C4803:C4866" si="75">IF(B4802&lt;10000,"1. Under $10K",IF(B4802&lt;50000,"2. $10K-50K",IF(B4802&lt;250000,"3. $50K-250K",IF(B4802&lt;1000000,"4. $250K-1M","5. $1M+"))))</f>
        <v>4. $250K-1M</v>
      </c>
      <c r="D4803" t="s">
        <v>687</v>
      </c>
      <c r="E4803" t="s">
        <v>42</v>
      </c>
      <c r="F4803" t="s">
        <v>670</v>
      </c>
      <c r="G4803" t="s">
        <v>59</v>
      </c>
      <c r="H4803">
        <v>2023</v>
      </c>
    </row>
    <row r="4804" spans="1:8" x14ac:dyDescent="0.2">
      <c r="A4804">
        <v>251179</v>
      </c>
      <c r="B4804">
        <v>30976.1</v>
      </c>
      <c r="C4804" t="str">
        <f t="shared" si="75"/>
        <v>3. $50K-250K</v>
      </c>
      <c r="D4804" t="s">
        <v>763</v>
      </c>
      <c r="E4804" t="s">
        <v>42</v>
      </c>
      <c r="F4804" t="s">
        <v>670</v>
      </c>
      <c r="G4804" t="s">
        <v>59</v>
      </c>
      <c r="H4804">
        <v>2023</v>
      </c>
    </row>
    <row r="4805" spans="1:8" x14ac:dyDescent="0.2">
      <c r="A4805">
        <v>251218</v>
      </c>
      <c r="B4805">
        <v>6000</v>
      </c>
      <c r="C4805" t="str">
        <f t="shared" si="75"/>
        <v>2. $10K-50K</v>
      </c>
      <c r="D4805" t="s">
        <v>1944</v>
      </c>
      <c r="E4805" t="s">
        <v>112</v>
      </c>
      <c r="F4805" t="s">
        <v>668</v>
      </c>
      <c r="G4805" t="s">
        <v>59</v>
      </c>
      <c r="H4805">
        <v>2023</v>
      </c>
    </row>
    <row r="4806" spans="1:8" x14ac:dyDescent="0.2">
      <c r="A4806">
        <v>251219</v>
      </c>
      <c r="B4806">
        <v>5500</v>
      </c>
      <c r="C4806" t="str">
        <f t="shared" si="75"/>
        <v>1. Under $10K</v>
      </c>
      <c r="D4806" t="s">
        <v>1945</v>
      </c>
      <c r="E4806" t="s">
        <v>112</v>
      </c>
      <c r="F4806" t="s">
        <v>668</v>
      </c>
      <c r="G4806" t="s">
        <v>59</v>
      </c>
      <c r="H4806">
        <v>2023</v>
      </c>
    </row>
    <row r="4807" spans="1:8" x14ac:dyDescent="0.2">
      <c r="A4807">
        <v>251220</v>
      </c>
      <c r="B4807">
        <v>6000</v>
      </c>
      <c r="C4807" t="str">
        <f t="shared" si="75"/>
        <v>1. Under $10K</v>
      </c>
      <c r="D4807" t="s">
        <v>1946</v>
      </c>
      <c r="E4807" t="s">
        <v>112</v>
      </c>
      <c r="F4807" t="s">
        <v>668</v>
      </c>
      <c r="G4807" t="s">
        <v>59</v>
      </c>
      <c r="H4807">
        <v>2023</v>
      </c>
    </row>
    <row r="4808" spans="1:8" x14ac:dyDescent="0.2">
      <c r="A4808">
        <v>251222</v>
      </c>
      <c r="B4808">
        <v>6000</v>
      </c>
      <c r="C4808" t="str">
        <f t="shared" si="75"/>
        <v>1. Under $10K</v>
      </c>
      <c r="D4808" t="s">
        <v>1947</v>
      </c>
      <c r="E4808" t="s">
        <v>112</v>
      </c>
      <c r="F4808" t="s">
        <v>668</v>
      </c>
      <c r="G4808" t="s">
        <v>59</v>
      </c>
      <c r="H4808">
        <v>2023</v>
      </c>
    </row>
    <row r="4809" spans="1:8" x14ac:dyDescent="0.2">
      <c r="A4809">
        <v>251224</v>
      </c>
      <c r="B4809">
        <v>115025.7</v>
      </c>
      <c r="C4809" t="str">
        <f t="shared" si="75"/>
        <v>1. Under $10K</v>
      </c>
      <c r="D4809" t="s">
        <v>711</v>
      </c>
      <c r="E4809" t="s">
        <v>237</v>
      </c>
      <c r="F4809" t="s">
        <v>670</v>
      </c>
      <c r="G4809" t="s">
        <v>59</v>
      </c>
      <c r="H4809">
        <v>2023</v>
      </c>
    </row>
    <row r="4810" spans="1:8" x14ac:dyDescent="0.2">
      <c r="A4810">
        <v>251225</v>
      </c>
      <c r="B4810">
        <v>5000</v>
      </c>
      <c r="C4810" t="str">
        <f t="shared" si="75"/>
        <v>3. $50K-250K</v>
      </c>
      <c r="D4810" t="s">
        <v>1948</v>
      </c>
      <c r="E4810" t="s">
        <v>112</v>
      </c>
      <c r="F4810" t="s">
        <v>668</v>
      </c>
      <c r="G4810" t="s">
        <v>59</v>
      </c>
      <c r="H4810">
        <v>2023</v>
      </c>
    </row>
    <row r="4811" spans="1:8" x14ac:dyDescent="0.2">
      <c r="A4811">
        <v>251226</v>
      </c>
      <c r="B4811">
        <v>6000</v>
      </c>
      <c r="C4811" t="str">
        <f t="shared" si="75"/>
        <v>1. Under $10K</v>
      </c>
      <c r="D4811" t="s">
        <v>1949</v>
      </c>
      <c r="E4811" t="s">
        <v>112</v>
      </c>
      <c r="F4811" t="s">
        <v>668</v>
      </c>
      <c r="G4811" t="s">
        <v>59</v>
      </c>
      <c r="H4811">
        <v>2023</v>
      </c>
    </row>
    <row r="4812" spans="1:8" x14ac:dyDescent="0.2">
      <c r="A4812">
        <v>251228</v>
      </c>
      <c r="B4812">
        <v>6000</v>
      </c>
      <c r="C4812" t="str">
        <f t="shared" si="75"/>
        <v>1. Under $10K</v>
      </c>
      <c r="D4812" t="s">
        <v>1950</v>
      </c>
      <c r="E4812" t="s">
        <v>112</v>
      </c>
      <c r="F4812" t="s">
        <v>668</v>
      </c>
      <c r="G4812" t="s">
        <v>59</v>
      </c>
      <c r="H4812">
        <v>2023</v>
      </c>
    </row>
    <row r="4813" spans="1:8" x14ac:dyDescent="0.2">
      <c r="A4813">
        <v>251229</v>
      </c>
      <c r="B4813">
        <v>80000</v>
      </c>
      <c r="C4813" t="str">
        <f t="shared" si="75"/>
        <v>1. Under $10K</v>
      </c>
      <c r="D4813" t="s">
        <v>1951</v>
      </c>
      <c r="E4813" t="s">
        <v>112</v>
      </c>
      <c r="F4813" t="s">
        <v>668</v>
      </c>
      <c r="G4813" t="s">
        <v>59</v>
      </c>
      <c r="H4813">
        <v>2023</v>
      </c>
    </row>
    <row r="4814" spans="1:8" x14ac:dyDescent="0.2">
      <c r="A4814">
        <v>251230</v>
      </c>
      <c r="B4814">
        <v>1000</v>
      </c>
      <c r="C4814" t="str">
        <f t="shared" si="75"/>
        <v>3. $50K-250K</v>
      </c>
      <c r="D4814" t="s">
        <v>1952</v>
      </c>
      <c r="E4814" t="s">
        <v>112</v>
      </c>
      <c r="F4814" t="s">
        <v>668</v>
      </c>
      <c r="G4814" t="s">
        <v>59</v>
      </c>
      <c r="H4814">
        <v>2023</v>
      </c>
    </row>
    <row r="4815" spans="1:8" x14ac:dyDescent="0.2">
      <c r="A4815">
        <v>251232</v>
      </c>
      <c r="B4815">
        <v>6000</v>
      </c>
      <c r="C4815" t="str">
        <f t="shared" si="75"/>
        <v>1. Under $10K</v>
      </c>
      <c r="D4815" t="s">
        <v>1953</v>
      </c>
      <c r="E4815" t="s">
        <v>112</v>
      </c>
      <c r="F4815" t="s">
        <v>668</v>
      </c>
      <c r="G4815" t="s">
        <v>59</v>
      </c>
      <c r="H4815">
        <v>2023</v>
      </c>
    </row>
    <row r="4816" spans="1:8" x14ac:dyDescent="0.2">
      <c r="A4816">
        <v>251243</v>
      </c>
      <c r="B4816">
        <v>4750</v>
      </c>
      <c r="C4816" t="str">
        <f t="shared" si="75"/>
        <v>1. Under $10K</v>
      </c>
      <c r="D4816" t="s">
        <v>1954</v>
      </c>
      <c r="E4816" t="s">
        <v>112</v>
      </c>
      <c r="F4816" t="s">
        <v>668</v>
      </c>
      <c r="G4816" t="s">
        <v>59</v>
      </c>
      <c r="H4816">
        <v>2023</v>
      </c>
    </row>
    <row r="4817" spans="1:8" x14ac:dyDescent="0.2">
      <c r="A4817">
        <v>251244</v>
      </c>
      <c r="B4817">
        <v>6000</v>
      </c>
      <c r="C4817" t="str">
        <f t="shared" si="75"/>
        <v>1. Under $10K</v>
      </c>
      <c r="D4817" t="s">
        <v>1955</v>
      </c>
      <c r="E4817" t="s">
        <v>112</v>
      </c>
      <c r="F4817" t="s">
        <v>668</v>
      </c>
      <c r="G4817" t="s">
        <v>59</v>
      </c>
      <c r="H4817">
        <v>2023</v>
      </c>
    </row>
    <row r="4818" spans="1:8" x14ac:dyDescent="0.2">
      <c r="A4818">
        <v>251246</v>
      </c>
      <c r="B4818">
        <v>100000</v>
      </c>
      <c r="C4818" t="str">
        <f t="shared" si="75"/>
        <v>1. Under $10K</v>
      </c>
      <c r="D4818" t="s">
        <v>943</v>
      </c>
      <c r="E4818" t="s">
        <v>432</v>
      </c>
      <c r="F4818" t="s">
        <v>670</v>
      </c>
      <c r="G4818" t="s">
        <v>44</v>
      </c>
      <c r="H4818">
        <v>2024</v>
      </c>
    </row>
    <row r="4819" spans="1:8" x14ac:dyDescent="0.2">
      <c r="A4819">
        <v>251247</v>
      </c>
      <c r="B4819">
        <v>300000</v>
      </c>
      <c r="C4819" t="str">
        <f t="shared" si="75"/>
        <v>3. $50K-250K</v>
      </c>
      <c r="D4819" t="s">
        <v>992</v>
      </c>
      <c r="E4819" t="s">
        <v>432</v>
      </c>
      <c r="F4819" t="s">
        <v>670</v>
      </c>
      <c r="G4819" t="s">
        <v>44</v>
      </c>
      <c r="H4819">
        <v>2024</v>
      </c>
    </row>
    <row r="4820" spans="1:8" x14ac:dyDescent="0.2">
      <c r="A4820">
        <v>251248</v>
      </c>
      <c r="B4820">
        <v>200000</v>
      </c>
      <c r="C4820" t="str">
        <f t="shared" si="75"/>
        <v>4. $250K-1M</v>
      </c>
      <c r="D4820" t="s">
        <v>1549</v>
      </c>
      <c r="E4820" t="s">
        <v>432</v>
      </c>
      <c r="F4820" t="s">
        <v>670</v>
      </c>
      <c r="G4820" t="s">
        <v>44</v>
      </c>
      <c r="H4820">
        <v>2024</v>
      </c>
    </row>
    <row r="4821" spans="1:8" x14ac:dyDescent="0.2">
      <c r="A4821">
        <v>251249</v>
      </c>
      <c r="B4821">
        <v>200000</v>
      </c>
      <c r="C4821" t="str">
        <f t="shared" si="75"/>
        <v>3. $50K-250K</v>
      </c>
      <c r="D4821" t="s">
        <v>804</v>
      </c>
      <c r="E4821" t="s">
        <v>819</v>
      </c>
      <c r="F4821" t="s">
        <v>670</v>
      </c>
      <c r="G4821" t="s">
        <v>44</v>
      </c>
      <c r="H4821">
        <v>2024</v>
      </c>
    </row>
    <row r="4822" spans="1:8" x14ac:dyDescent="0.2">
      <c r="A4822">
        <v>251250</v>
      </c>
      <c r="B4822">
        <v>200000</v>
      </c>
      <c r="C4822" t="str">
        <f t="shared" si="75"/>
        <v>3. $50K-250K</v>
      </c>
      <c r="D4822" t="s">
        <v>1835</v>
      </c>
      <c r="E4822" t="s">
        <v>432</v>
      </c>
      <c r="F4822" t="s">
        <v>670</v>
      </c>
      <c r="G4822" t="s">
        <v>44</v>
      </c>
      <c r="H4822">
        <v>2024</v>
      </c>
    </row>
    <row r="4823" spans="1:8" x14ac:dyDescent="0.2">
      <c r="A4823">
        <v>251252</v>
      </c>
      <c r="B4823">
        <v>140000</v>
      </c>
      <c r="C4823" t="str">
        <f t="shared" si="75"/>
        <v>3. $50K-250K</v>
      </c>
      <c r="D4823" t="s">
        <v>953</v>
      </c>
      <c r="E4823" t="s">
        <v>819</v>
      </c>
      <c r="F4823" t="s">
        <v>670</v>
      </c>
      <c r="G4823" t="s">
        <v>44</v>
      </c>
      <c r="H4823">
        <v>2024</v>
      </c>
    </row>
    <row r="4824" spans="1:8" x14ac:dyDescent="0.2">
      <c r="A4824">
        <v>251253</v>
      </c>
      <c r="B4824">
        <v>200000</v>
      </c>
      <c r="C4824" t="str">
        <f t="shared" si="75"/>
        <v>3. $50K-250K</v>
      </c>
      <c r="D4824" t="s">
        <v>817</v>
      </c>
      <c r="E4824" t="s">
        <v>819</v>
      </c>
      <c r="F4824" t="s">
        <v>670</v>
      </c>
      <c r="G4824" t="s">
        <v>44</v>
      </c>
      <c r="H4824">
        <v>2024</v>
      </c>
    </row>
    <row r="4825" spans="1:8" x14ac:dyDescent="0.2">
      <c r="A4825">
        <v>251254</v>
      </c>
      <c r="B4825">
        <v>200000</v>
      </c>
      <c r="C4825" t="str">
        <f t="shared" si="75"/>
        <v>3. $50K-250K</v>
      </c>
      <c r="D4825" t="s">
        <v>956</v>
      </c>
      <c r="E4825" t="s">
        <v>432</v>
      </c>
      <c r="F4825" t="s">
        <v>670</v>
      </c>
      <c r="G4825" t="s">
        <v>44</v>
      </c>
      <c r="H4825">
        <v>2024</v>
      </c>
    </row>
    <row r="4826" spans="1:8" x14ac:dyDescent="0.2">
      <c r="A4826">
        <v>251255</v>
      </c>
      <c r="B4826">
        <v>200000</v>
      </c>
      <c r="C4826" t="str">
        <f t="shared" si="75"/>
        <v>3. $50K-250K</v>
      </c>
      <c r="D4826" t="s">
        <v>816</v>
      </c>
      <c r="E4826" t="s">
        <v>432</v>
      </c>
      <c r="F4826" t="s">
        <v>670</v>
      </c>
      <c r="G4826" t="s">
        <v>44</v>
      </c>
      <c r="H4826">
        <v>2023</v>
      </c>
    </row>
    <row r="4827" spans="1:8" x14ac:dyDescent="0.2">
      <c r="A4827">
        <v>251256</v>
      </c>
      <c r="B4827">
        <v>53622</v>
      </c>
      <c r="C4827" t="str">
        <f t="shared" si="75"/>
        <v>3. $50K-250K</v>
      </c>
      <c r="D4827" t="s">
        <v>1173</v>
      </c>
      <c r="E4827" t="s">
        <v>432</v>
      </c>
      <c r="F4827" t="s">
        <v>670</v>
      </c>
      <c r="G4827" t="s">
        <v>44</v>
      </c>
      <c r="H4827">
        <v>2024</v>
      </c>
    </row>
    <row r="4828" spans="1:8" x14ac:dyDescent="0.2">
      <c r="A4828">
        <v>251257</v>
      </c>
      <c r="B4828">
        <v>200000</v>
      </c>
      <c r="C4828" t="str">
        <f t="shared" si="75"/>
        <v>3. $50K-250K</v>
      </c>
      <c r="D4828" t="s">
        <v>991</v>
      </c>
      <c r="E4828" t="s">
        <v>432</v>
      </c>
      <c r="F4828" t="s">
        <v>670</v>
      </c>
      <c r="G4828" t="s">
        <v>44</v>
      </c>
      <c r="H4828">
        <v>2024</v>
      </c>
    </row>
    <row r="4829" spans="1:8" x14ac:dyDescent="0.2">
      <c r="A4829">
        <v>251258</v>
      </c>
      <c r="B4829">
        <v>200000</v>
      </c>
      <c r="C4829" t="str">
        <f t="shared" si="75"/>
        <v>3. $50K-250K</v>
      </c>
      <c r="D4829" t="s">
        <v>1956</v>
      </c>
      <c r="E4829" t="s">
        <v>432</v>
      </c>
      <c r="F4829" t="s">
        <v>670</v>
      </c>
      <c r="G4829" t="s">
        <v>44</v>
      </c>
      <c r="H4829">
        <v>2024</v>
      </c>
    </row>
    <row r="4830" spans="1:8" x14ac:dyDescent="0.2">
      <c r="A4830">
        <v>251259</v>
      </c>
      <c r="B4830">
        <v>200000</v>
      </c>
      <c r="C4830" t="str">
        <f t="shared" si="75"/>
        <v>3. $50K-250K</v>
      </c>
      <c r="D4830" t="s">
        <v>1464</v>
      </c>
      <c r="E4830" t="s">
        <v>432</v>
      </c>
      <c r="F4830" t="s">
        <v>670</v>
      </c>
      <c r="G4830" t="s">
        <v>44</v>
      </c>
      <c r="H4830">
        <v>2024</v>
      </c>
    </row>
    <row r="4831" spans="1:8" x14ac:dyDescent="0.2">
      <c r="A4831">
        <v>251265</v>
      </c>
      <c r="B4831">
        <v>375000</v>
      </c>
      <c r="C4831" t="str">
        <f t="shared" si="75"/>
        <v>3. $50K-250K</v>
      </c>
      <c r="D4831" t="s">
        <v>1754</v>
      </c>
      <c r="E4831" t="s">
        <v>59</v>
      </c>
      <c r="F4831" t="s">
        <v>670</v>
      </c>
      <c r="G4831" t="s">
        <v>59</v>
      </c>
      <c r="H4831">
        <v>2023</v>
      </c>
    </row>
    <row r="4832" spans="1:8" x14ac:dyDescent="0.2">
      <c r="A4832">
        <v>251268</v>
      </c>
      <c r="B4832">
        <v>276000</v>
      </c>
      <c r="C4832" t="str">
        <f t="shared" si="75"/>
        <v>4. $250K-1M</v>
      </c>
      <c r="D4832" t="s">
        <v>799</v>
      </c>
      <c r="E4832" t="s">
        <v>237</v>
      </c>
      <c r="F4832" t="s">
        <v>670</v>
      </c>
      <c r="G4832" t="s">
        <v>44</v>
      </c>
      <c r="H4832">
        <v>2024</v>
      </c>
    </row>
    <row r="4833" spans="1:8" x14ac:dyDescent="0.2">
      <c r="A4833">
        <v>251269</v>
      </c>
      <c r="B4833">
        <v>207000</v>
      </c>
      <c r="C4833" t="str">
        <f t="shared" si="75"/>
        <v>4. $250K-1M</v>
      </c>
      <c r="D4833" t="s">
        <v>781</v>
      </c>
      <c r="E4833" t="s">
        <v>237</v>
      </c>
      <c r="F4833" t="s">
        <v>670</v>
      </c>
      <c r="G4833" t="s">
        <v>44</v>
      </c>
      <c r="H4833">
        <v>2024</v>
      </c>
    </row>
    <row r="4834" spans="1:8" x14ac:dyDescent="0.2">
      <c r="A4834">
        <v>251270</v>
      </c>
      <c r="B4834">
        <v>517500</v>
      </c>
      <c r="C4834" t="str">
        <f t="shared" si="75"/>
        <v>3. $50K-250K</v>
      </c>
      <c r="D4834" t="s">
        <v>548</v>
      </c>
      <c r="E4834" t="s">
        <v>237</v>
      </c>
      <c r="F4834" t="s">
        <v>670</v>
      </c>
      <c r="G4834" t="s">
        <v>44</v>
      </c>
      <c r="H4834">
        <v>2024</v>
      </c>
    </row>
    <row r="4835" spans="1:8" x14ac:dyDescent="0.2">
      <c r="A4835">
        <v>251275</v>
      </c>
      <c r="B4835">
        <v>78000</v>
      </c>
      <c r="C4835" t="str">
        <f t="shared" si="75"/>
        <v>4. $250K-1M</v>
      </c>
      <c r="D4835" t="s">
        <v>1146</v>
      </c>
      <c r="E4835" t="s">
        <v>112</v>
      </c>
      <c r="F4835" t="s">
        <v>668</v>
      </c>
      <c r="G4835" t="s">
        <v>59</v>
      </c>
      <c r="H4835">
        <v>2023</v>
      </c>
    </row>
    <row r="4836" spans="1:8" x14ac:dyDescent="0.2">
      <c r="A4836">
        <v>251280</v>
      </c>
      <c r="B4836">
        <v>20000</v>
      </c>
      <c r="C4836" t="str">
        <f t="shared" si="75"/>
        <v>3. $50K-250K</v>
      </c>
      <c r="D4836" t="s">
        <v>1957</v>
      </c>
      <c r="E4836" t="s">
        <v>112</v>
      </c>
      <c r="F4836" t="s">
        <v>668</v>
      </c>
      <c r="G4836" t="s">
        <v>59</v>
      </c>
      <c r="H4836">
        <v>2023</v>
      </c>
    </row>
    <row r="4837" spans="1:8" x14ac:dyDescent="0.2">
      <c r="A4837">
        <v>251282</v>
      </c>
      <c r="B4837">
        <v>25000</v>
      </c>
      <c r="C4837" t="str">
        <f t="shared" si="75"/>
        <v>2. $10K-50K</v>
      </c>
      <c r="D4837" t="s">
        <v>1958</v>
      </c>
      <c r="E4837" t="s">
        <v>112</v>
      </c>
      <c r="F4837" t="s">
        <v>668</v>
      </c>
      <c r="G4837" t="s">
        <v>59</v>
      </c>
      <c r="H4837">
        <v>2023</v>
      </c>
    </row>
    <row r="4838" spans="1:8" x14ac:dyDescent="0.2">
      <c r="A4838">
        <v>251284</v>
      </c>
      <c r="B4838">
        <v>1127266</v>
      </c>
      <c r="C4838" t="str">
        <f t="shared" si="75"/>
        <v>2. $10K-50K</v>
      </c>
      <c r="D4838" t="s">
        <v>396</v>
      </c>
      <c r="E4838" t="s">
        <v>52</v>
      </c>
      <c r="F4838" t="s">
        <v>43</v>
      </c>
      <c r="G4838" t="s">
        <v>44</v>
      </c>
      <c r="H4838">
        <v>2024</v>
      </c>
    </row>
    <row r="4839" spans="1:8" x14ac:dyDescent="0.2">
      <c r="A4839">
        <v>251289</v>
      </c>
      <c r="B4839">
        <v>6000</v>
      </c>
      <c r="C4839" t="str">
        <f t="shared" si="75"/>
        <v>5. $1M+</v>
      </c>
      <c r="D4839" t="s">
        <v>1959</v>
      </c>
      <c r="E4839" t="s">
        <v>112</v>
      </c>
      <c r="F4839" t="s">
        <v>668</v>
      </c>
      <c r="G4839" t="s">
        <v>59</v>
      </c>
      <c r="H4839">
        <v>2023</v>
      </c>
    </row>
    <row r="4840" spans="1:8" x14ac:dyDescent="0.2">
      <c r="A4840">
        <v>251291</v>
      </c>
      <c r="B4840">
        <v>45000</v>
      </c>
      <c r="C4840" t="str">
        <f t="shared" si="75"/>
        <v>1. Under $10K</v>
      </c>
      <c r="D4840" t="s">
        <v>1141</v>
      </c>
      <c r="E4840" t="s">
        <v>112</v>
      </c>
      <c r="F4840" t="s">
        <v>668</v>
      </c>
      <c r="G4840" t="s">
        <v>59</v>
      </c>
      <c r="H4840">
        <v>2023</v>
      </c>
    </row>
    <row r="4841" spans="1:8" x14ac:dyDescent="0.2">
      <c r="A4841">
        <v>251292</v>
      </c>
      <c r="B4841">
        <v>6000</v>
      </c>
      <c r="C4841" t="str">
        <f t="shared" si="75"/>
        <v>2. $10K-50K</v>
      </c>
      <c r="D4841" t="s">
        <v>1960</v>
      </c>
      <c r="E4841" t="s">
        <v>112</v>
      </c>
      <c r="F4841" t="s">
        <v>668</v>
      </c>
      <c r="G4841" t="s">
        <v>59</v>
      </c>
      <c r="H4841">
        <v>2023</v>
      </c>
    </row>
    <row r="4842" spans="1:8" x14ac:dyDescent="0.2">
      <c r="A4842">
        <v>251295</v>
      </c>
      <c r="B4842">
        <v>6000</v>
      </c>
      <c r="C4842" t="str">
        <f t="shared" si="75"/>
        <v>1. Under $10K</v>
      </c>
      <c r="D4842" t="s">
        <v>1961</v>
      </c>
      <c r="E4842" t="s">
        <v>112</v>
      </c>
      <c r="F4842" t="s">
        <v>668</v>
      </c>
      <c r="G4842" t="s">
        <v>59</v>
      </c>
      <c r="H4842">
        <v>2023</v>
      </c>
    </row>
    <row r="4843" spans="1:8" x14ac:dyDescent="0.2">
      <c r="A4843">
        <v>251316</v>
      </c>
      <c r="B4843">
        <v>6000</v>
      </c>
      <c r="C4843" t="str">
        <f t="shared" si="75"/>
        <v>1. Under $10K</v>
      </c>
      <c r="D4843" t="s">
        <v>1962</v>
      </c>
      <c r="E4843" t="s">
        <v>112</v>
      </c>
      <c r="F4843" t="s">
        <v>668</v>
      </c>
      <c r="G4843" t="s">
        <v>59</v>
      </c>
      <c r="H4843">
        <v>2023</v>
      </c>
    </row>
    <row r="4844" spans="1:8" x14ac:dyDescent="0.2">
      <c r="A4844">
        <v>251317</v>
      </c>
      <c r="B4844">
        <v>5000</v>
      </c>
      <c r="C4844" t="str">
        <f t="shared" si="75"/>
        <v>1. Under $10K</v>
      </c>
      <c r="D4844" t="s">
        <v>1963</v>
      </c>
      <c r="E4844" t="s">
        <v>112</v>
      </c>
      <c r="F4844" t="s">
        <v>668</v>
      </c>
      <c r="G4844" t="s">
        <v>59</v>
      </c>
      <c r="H4844">
        <v>2023</v>
      </c>
    </row>
    <row r="4845" spans="1:8" x14ac:dyDescent="0.2">
      <c r="A4845">
        <v>251318</v>
      </c>
      <c r="B4845">
        <v>6000</v>
      </c>
      <c r="C4845" t="str">
        <f t="shared" si="75"/>
        <v>1. Under $10K</v>
      </c>
      <c r="D4845" t="s">
        <v>1964</v>
      </c>
      <c r="E4845" t="s">
        <v>112</v>
      </c>
      <c r="F4845" t="s">
        <v>668</v>
      </c>
      <c r="G4845" t="s">
        <v>59</v>
      </c>
      <c r="H4845">
        <v>2023</v>
      </c>
    </row>
    <row r="4846" spans="1:8" x14ac:dyDescent="0.2">
      <c r="A4846">
        <v>251319</v>
      </c>
      <c r="B4846">
        <v>6000</v>
      </c>
      <c r="C4846" t="str">
        <f t="shared" si="75"/>
        <v>1. Under $10K</v>
      </c>
      <c r="D4846" t="s">
        <v>1965</v>
      </c>
      <c r="E4846" t="s">
        <v>112</v>
      </c>
      <c r="F4846" t="s">
        <v>668</v>
      </c>
      <c r="G4846" t="s">
        <v>59</v>
      </c>
      <c r="H4846">
        <v>2023</v>
      </c>
    </row>
    <row r="4847" spans="1:8" x14ac:dyDescent="0.2">
      <c r="A4847">
        <v>251321</v>
      </c>
      <c r="B4847">
        <v>62000</v>
      </c>
      <c r="C4847" t="str">
        <f t="shared" si="75"/>
        <v>1. Under $10K</v>
      </c>
      <c r="D4847" t="s">
        <v>1291</v>
      </c>
      <c r="E4847" t="s">
        <v>112</v>
      </c>
      <c r="F4847" t="s">
        <v>668</v>
      </c>
      <c r="G4847" t="s">
        <v>59</v>
      </c>
      <c r="H4847">
        <v>2023</v>
      </c>
    </row>
    <row r="4848" spans="1:8" x14ac:dyDescent="0.2">
      <c r="A4848">
        <v>251322</v>
      </c>
      <c r="B4848">
        <v>6000</v>
      </c>
      <c r="C4848" t="str">
        <f t="shared" si="75"/>
        <v>3. $50K-250K</v>
      </c>
      <c r="D4848" t="s">
        <v>1966</v>
      </c>
      <c r="E4848" t="s">
        <v>112</v>
      </c>
      <c r="F4848" t="s">
        <v>668</v>
      </c>
      <c r="G4848" t="s">
        <v>59</v>
      </c>
      <c r="H4848">
        <v>2023</v>
      </c>
    </row>
    <row r="4849" spans="1:8" x14ac:dyDescent="0.2">
      <c r="A4849">
        <v>251324</v>
      </c>
      <c r="B4849">
        <v>6000</v>
      </c>
      <c r="C4849" t="str">
        <f t="shared" si="75"/>
        <v>1. Under $10K</v>
      </c>
      <c r="D4849" t="s">
        <v>1967</v>
      </c>
      <c r="E4849" t="s">
        <v>112</v>
      </c>
      <c r="F4849" t="s">
        <v>668</v>
      </c>
      <c r="G4849" t="s">
        <v>59</v>
      </c>
      <c r="H4849">
        <v>2023</v>
      </c>
    </row>
    <row r="4850" spans="1:8" x14ac:dyDescent="0.2">
      <c r="A4850">
        <v>251325</v>
      </c>
      <c r="B4850">
        <v>2500</v>
      </c>
      <c r="C4850" t="str">
        <f t="shared" si="75"/>
        <v>1. Under $10K</v>
      </c>
      <c r="D4850" t="s">
        <v>1968</v>
      </c>
      <c r="E4850" t="s">
        <v>112</v>
      </c>
      <c r="F4850" t="s">
        <v>668</v>
      </c>
      <c r="G4850" t="s">
        <v>59</v>
      </c>
      <c r="H4850">
        <v>2023</v>
      </c>
    </row>
    <row r="4851" spans="1:8" x14ac:dyDescent="0.2">
      <c r="A4851">
        <v>251333</v>
      </c>
      <c r="B4851">
        <v>3826227.4</v>
      </c>
      <c r="C4851" t="str">
        <f t="shared" si="75"/>
        <v>1. Under $10K</v>
      </c>
      <c r="D4851" t="s">
        <v>397</v>
      </c>
      <c r="E4851" t="s">
        <v>178</v>
      </c>
      <c r="F4851" t="s">
        <v>43</v>
      </c>
      <c r="G4851" t="s">
        <v>124</v>
      </c>
      <c r="H4851">
        <v>2023</v>
      </c>
    </row>
    <row r="4852" spans="1:8" x14ac:dyDescent="0.2">
      <c r="A4852">
        <v>251411</v>
      </c>
      <c r="B4852">
        <v>6000</v>
      </c>
      <c r="C4852" t="str">
        <f t="shared" si="75"/>
        <v>5. $1M+</v>
      </c>
      <c r="D4852" t="s">
        <v>1969</v>
      </c>
      <c r="E4852" t="s">
        <v>112</v>
      </c>
      <c r="F4852" t="s">
        <v>668</v>
      </c>
      <c r="G4852" t="s">
        <v>59</v>
      </c>
      <c r="H4852">
        <v>2023</v>
      </c>
    </row>
    <row r="4853" spans="1:8" x14ac:dyDescent="0.2">
      <c r="A4853">
        <v>251412</v>
      </c>
      <c r="B4853">
        <v>5000</v>
      </c>
      <c r="C4853" t="str">
        <f t="shared" si="75"/>
        <v>1. Under $10K</v>
      </c>
      <c r="D4853" t="s">
        <v>1970</v>
      </c>
      <c r="E4853" t="s">
        <v>112</v>
      </c>
      <c r="F4853" t="s">
        <v>668</v>
      </c>
      <c r="G4853" t="s">
        <v>59</v>
      </c>
      <c r="H4853">
        <v>2023</v>
      </c>
    </row>
    <row r="4854" spans="1:8" x14ac:dyDescent="0.2">
      <c r="A4854">
        <v>251413</v>
      </c>
      <c r="B4854">
        <v>25000</v>
      </c>
      <c r="C4854" t="str">
        <f t="shared" si="75"/>
        <v>1. Under $10K</v>
      </c>
      <c r="D4854" t="s">
        <v>1284</v>
      </c>
      <c r="E4854" t="s">
        <v>112</v>
      </c>
      <c r="F4854" t="s">
        <v>668</v>
      </c>
      <c r="G4854" t="s">
        <v>59</v>
      </c>
      <c r="H4854">
        <v>2023</v>
      </c>
    </row>
    <row r="4855" spans="1:8" x14ac:dyDescent="0.2">
      <c r="A4855">
        <v>251414</v>
      </c>
      <c r="B4855">
        <v>6000</v>
      </c>
      <c r="C4855" t="str">
        <f t="shared" si="75"/>
        <v>2. $10K-50K</v>
      </c>
      <c r="D4855" t="s">
        <v>1971</v>
      </c>
      <c r="E4855" t="s">
        <v>112</v>
      </c>
      <c r="F4855" t="s">
        <v>668</v>
      </c>
      <c r="G4855" t="s">
        <v>59</v>
      </c>
      <c r="H4855">
        <v>2023</v>
      </c>
    </row>
    <row r="4856" spans="1:8" x14ac:dyDescent="0.2">
      <c r="A4856">
        <v>251415</v>
      </c>
      <c r="B4856">
        <v>6000</v>
      </c>
      <c r="C4856" t="str">
        <f t="shared" si="75"/>
        <v>1. Under $10K</v>
      </c>
      <c r="D4856" t="s">
        <v>1972</v>
      </c>
      <c r="E4856" t="s">
        <v>112</v>
      </c>
      <c r="F4856" t="s">
        <v>668</v>
      </c>
      <c r="G4856" t="s">
        <v>59</v>
      </c>
      <c r="H4856">
        <v>2023</v>
      </c>
    </row>
    <row r="4857" spans="1:8" x14ac:dyDescent="0.2">
      <c r="A4857">
        <v>251416</v>
      </c>
      <c r="B4857">
        <v>5250</v>
      </c>
      <c r="C4857" t="str">
        <f t="shared" si="75"/>
        <v>1. Under $10K</v>
      </c>
      <c r="D4857" t="s">
        <v>1973</v>
      </c>
      <c r="E4857" t="s">
        <v>112</v>
      </c>
      <c r="F4857" t="s">
        <v>668</v>
      </c>
      <c r="G4857" t="s">
        <v>59</v>
      </c>
      <c r="H4857">
        <v>2023</v>
      </c>
    </row>
    <row r="4858" spans="1:8" x14ac:dyDescent="0.2">
      <c r="A4858">
        <v>251417</v>
      </c>
      <c r="B4858">
        <v>3500</v>
      </c>
      <c r="C4858" t="str">
        <f t="shared" si="75"/>
        <v>1. Under $10K</v>
      </c>
      <c r="D4858" t="s">
        <v>1974</v>
      </c>
      <c r="E4858" t="s">
        <v>112</v>
      </c>
      <c r="F4858" t="s">
        <v>668</v>
      </c>
      <c r="G4858" t="s">
        <v>59</v>
      </c>
      <c r="H4858">
        <v>2023</v>
      </c>
    </row>
    <row r="4859" spans="1:8" x14ac:dyDescent="0.2">
      <c r="A4859">
        <v>251418</v>
      </c>
      <c r="B4859">
        <v>6000</v>
      </c>
      <c r="C4859" t="str">
        <f t="shared" si="75"/>
        <v>1. Under $10K</v>
      </c>
      <c r="D4859" t="s">
        <v>1975</v>
      </c>
      <c r="E4859" t="s">
        <v>112</v>
      </c>
      <c r="F4859" t="s">
        <v>668</v>
      </c>
      <c r="G4859" t="s">
        <v>59</v>
      </c>
      <c r="H4859">
        <v>2023</v>
      </c>
    </row>
    <row r="4860" spans="1:8" x14ac:dyDescent="0.2">
      <c r="A4860">
        <v>251419</v>
      </c>
      <c r="B4860">
        <v>6000</v>
      </c>
      <c r="C4860" t="str">
        <f t="shared" si="75"/>
        <v>1. Under $10K</v>
      </c>
      <c r="D4860" t="s">
        <v>1976</v>
      </c>
      <c r="E4860" t="s">
        <v>112</v>
      </c>
      <c r="F4860" t="s">
        <v>668</v>
      </c>
      <c r="G4860" t="s">
        <v>59</v>
      </c>
      <c r="H4860">
        <v>2023</v>
      </c>
    </row>
    <row r="4861" spans="1:8" x14ac:dyDescent="0.2">
      <c r="A4861">
        <v>251421</v>
      </c>
      <c r="B4861">
        <v>6000</v>
      </c>
      <c r="C4861" t="str">
        <f t="shared" si="75"/>
        <v>1. Under $10K</v>
      </c>
      <c r="D4861" t="s">
        <v>1977</v>
      </c>
      <c r="E4861" t="s">
        <v>112</v>
      </c>
      <c r="F4861" t="s">
        <v>668</v>
      </c>
      <c r="G4861" t="s">
        <v>59</v>
      </c>
      <c r="H4861">
        <v>2023</v>
      </c>
    </row>
    <row r="4862" spans="1:8" x14ac:dyDescent="0.2">
      <c r="A4862">
        <v>251422</v>
      </c>
      <c r="B4862">
        <v>6000</v>
      </c>
      <c r="C4862" t="str">
        <f t="shared" si="75"/>
        <v>1. Under $10K</v>
      </c>
      <c r="D4862" t="s">
        <v>1978</v>
      </c>
      <c r="E4862" t="s">
        <v>112</v>
      </c>
      <c r="F4862" t="s">
        <v>668</v>
      </c>
      <c r="G4862" t="s">
        <v>59</v>
      </c>
      <c r="H4862">
        <v>2023</v>
      </c>
    </row>
    <row r="4863" spans="1:8" x14ac:dyDescent="0.2">
      <c r="A4863">
        <v>251431</v>
      </c>
      <c r="B4863">
        <v>6000</v>
      </c>
      <c r="C4863" t="str">
        <f t="shared" si="75"/>
        <v>1. Under $10K</v>
      </c>
      <c r="D4863" t="s">
        <v>1979</v>
      </c>
      <c r="E4863" t="s">
        <v>112</v>
      </c>
      <c r="F4863" t="s">
        <v>668</v>
      </c>
      <c r="G4863" t="s">
        <v>59</v>
      </c>
      <c r="H4863">
        <v>2023</v>
      </c>
    </row>
    <row r="4864" spans="1:8" x14ac:dyDescent="0.2">
      <c r="A4864">
        <v>251432</v>
      </c>
      <c r="B4864">
        <v>2000</v>
      </c>
      <c r="C4864" t="str">
        <f t="shared" si="75"/>
        <v>1. Under $10K</v>
      </c>
      <c r="D4864" t="s">
        <v>1980</v>
      </c>
      <c r="E4864" t="s">
        <v>112</v>
      </c>
      <c r="F4864" t="s">
        <v>668</v>
      </c>
      <c r="G4864" t="s">
        <v>59</v>
      </c>
      <c r="H4864">
        <v>2023</v>
      </c>
    </row>
    <row r="4865" spans="1:8" x14ac:dyDescent="0.2">
      <c r="A4865">
        <v>251433</v>
      </c>
      <c r="B4865">
        <v>6000</v>
      </c>
      <c r="C4865" t="str">
        <f t="shared" si="75"/>
        <v>1. Under $10K</v>
      </c>
      <c r="D4865" t="s">
        <v>1981</v>
      </c>
      <c r="E4865" t="s">
        <v>112</v>
      </c>
      <c r="F4865" t="s">
        <v>668</v>
      </c>
      <c r="G4865" t="s">
        <v>59</v>
      </c>
      <c r="H4865">
        <v>2023</v>
      </c>
    </row>
    <row r="4866" spans="1:8" x14ac:dyDescent="0.2">
      <c r="A4866">
        <v>251436</v>
      </c>
      <c r="B4866">
        <v>5000</v>
      </c>
      <c r="C4866" t="str">
        <f t="shared" si="75"/>
        <v>1. Under $10K</v>
      </c>
      <c r="D4866" t="s">
        <v>1982</v>
      </c>
      <c r="E4866" t="s">
        <v>112</v>
      </c>
      <c r="F4866" t="s">
        <v>668</v>
      </c>
      <c r="G4866" t="s">
        <v>59</v>
      </c>
      <c r="H4866">
        <v>2023</v>
      </c>
    </row>
    <row r="4867" spans="1:8" x14ac:dyDescent="0.2">
      <c r="A4867">
        <v>251437</v>
      </c>
      <c r="B4867">
        <v>6000</v>
      </c>
      <c r="C4867" t="str">
        <f t="shared" ref="C4867:C4930" si="76">IF(B4866&lt;10000,"1. Under $10K",IF(B4866&lt;50000,"2. $10K-50K",IF(B4866&lt;250000,"3. $50K-250K",IF(B4866&lt;1000000,"4. $250K-1M","5. $1M+"))))</f>
        <v>1. Under $10K</v>
      </c>
      <c r="D4867" t="s">
        <v>1983</v>
      </c>
      <c r="E4867" t="s">
        <v>112</v>
      </c>
      <c r="F4867" t="s">
        <v>668</v>
      </c>
      <c r="G4867" t="s">
        <v>59</v>
      </c>
      <c r="H4867">
        <v>2023</v>
      </c>
    </row>
    <row r="4868" spans="1:8" x14ac:dyDescent="0.2">
      <c r="A4868">
        <v>251438</v>
      </c>
      <c r="B4868">
        <v>6000</v>
      </c>
      <c r="C4868" t="str">
        <f t="shared" si="76"/>
        <v>1. Under $10K</v>
      </c>
      <c r="D4868" t="s">
        <v>1984</v>
      </c>
      <c r="E4868" t="s">
        <v>112</v>
      </c>
      <c r="F4868" t="s">
        <v>668</v>
      </c>
      <c r="G4868" t="s">
        <v>59</v>
      </c>
      <c r="H4868">
        <v>2023</v>
      </c>
    </row>
    <row r="4869" spans="1:8" x14ac:dyDescent="0.2">
      <c r="A4869">
        <v>251497</v>
      </c>
      <c r="B4869">
        <v>6000</v>
      </c>
      <c r="C4869" t="str">
        <f t="shared" si="76"/>
        <v>1. Under $10K</v>
      </c>
      <c r="D4869" t="s">
        <v>1985</v>
      </c>
      <c r="E4869" t="s">
        <v>112</v>
      </c>
      <c r="F4869" t="s">
        <v>668</v>
      </c>
      <c r="G4869" t="s">
        <v>59</v>
      </c>
      <c r="H4869">
        <v>2023</v>
      </c>
    </row>
    <row r="4870" spans="1:8" x14ac:dyDescent="0.2">
      <c r="A4870">
        <v>251501</v>
      </c>
      <c r="B4870">
        <v>6000</v>
      </c>
      <c r="C4870" t="str">
        <f t="shared" si="76"/>
        <v>1. Under $10K</v>
      </c>
      <c r="D4870" t="s">
        <v>1986</v>
      </c>
      <c r="E4870" t="s">
        <v>112</v>
      </c>
      <c r="F4870" t="s">
        <v>668</v>
      </c>
      <c r="G4870" t="s">
        <v>59</v>
      </c>
      <c r="H4870">
        <v>2023</v>
      </c>
    </row>
    <row r="4871" spans="1:8" x14ac:dyDescent="0.2">
      <c r="A4871">
        <v>251509</v>
      </c>
      <c r="B4871">
        <v>6000</v>
      </c>
      <c r="C4871" t="str">
        <f t="shared" si="76"/>
        <v>1. Under $10K</v>
      </c>
      <c r="D4871" t="s">
        <v>1987</v>
      </c>
      <c r="E4871" t="s">
        <v>112</v>
      </c>
      <c r="F4871" t="s">
        <v>668</v>
      </c>
      <c r="G4871" t="s">
        <v>59</v>
      </c>
      <c r="H4871">
        <v>2023</v>
      </c>
    </row>
    <row r="4872" spans="1:8" x14ac:dyDescent="0.2">
      <c r="A4872">
        <v>251512</v>
      </c>
      <c r="B4872">
        <v>6000</v>
      </c>
      <c r="C4872" t="str">
        <f t="shared" si="76"/>
        <v>1. Under $10K</v>
      </c>
      <c r="D4872" t="s">
        <v>1988</v>
      </c>
      <c r="E4872" t="s">
        <v>112</v>
      </c>
      <c r="F4872" t="s">
        <v>668</v>
      </c>
      <c r="G4872" t="s">
        <v>59</v>
      </c>
      <c r="H4872">
        <v>2023</v>
      </c>
    </row>
    <row r="4873" spans="1:8" x14ac:dyDescent="0.2">
      <c r="A4873">
        <v>251517</v>
      </c>
      <c r="B4873">
        <v>6000</v>
      </c>
      <c r="C4873" t="str">
        <f t="shared" si="76"/>
        <v>1. Under $10K</v>
      </c>
      <c r="D4873" t="s">
        <v>1989</v>
      </c>
      <c r="E4873" t="s">
        <v>112</v>
      </c>
      <c r="F4873" t="s">
        <v>668</v>
      </c>
      <c r="G4873" t="s">
        <v>59</v>
      </c>
      <c r="H4873">
        <v>2023</v>
      </c>
    </row>
    <row r="4874" spans="1:8" x14ac:dyDescent="0.2">
      <c r="A4874">
        <v>251518</v>
      </c>
      <c r="B4874">
        <v>6000</v>
      </c>
      <c r="C4874" t="str">
        <f t="shared" si="76"/>
        <v>1. Under $10K</v>
      </c>
      <c r="D4874" t="s">
        <v>1990</v>
      </c>
      <c r="E4874" t="s">
        <v>112</v>
      </c>
      <c r="F4874" t="s">
        <v>668</v>
      </c>
      <c r="G4874" t="s">
        <v>59</v>
      </c>
      <c r="H4874">
        <v>2023</v>
      </c>
    </row>
    <row r="4875" spans="1:8" x14ac:dyDescent="0.2">
      <c r="A4875">
        <v>251520</v>
      </c>
      <c r="B4875">
        <v>6000</v>
      </c>
      <c r="C4875" t="str">
        <f t="shared" si="76"/>
        <v>1. Under $10K</v>
      </c>
      <c r="D4875" t="s">
        <v>1991</v>
      </c>
      <c r="E4875" t="s">
        <v>112</v>
      </c>
      <c r="F4875" t="s">
        <v>668</v>
      </c>
      <c r="G4875" t="s">
        <v>59</v>
      </c>
      <c r="H4875">
        <v>2023</v>
      </c>
    </row>
    <row r="4876" spans="1:8" x14ac:dyDescent="0.2">
      <c r="A4876">
        <v>251521</v>
      </c>
      <c r="B4876">
        <v>5000</v>
      </c>
      <c r="C4876" t="str">
        <f t="shared" si="76"/>
        <v>1. Under $10K</v>
      </c>
      <c r="D4876" t="s">
        <v>1992</v>
      </c>
      <c r="E4876" t="s">
        <v>112</v>
      </c>
      <c r="F4876" t="s">
        <v>668</v>
      </c>
      <c r="G4876" t="s">
        <v>59</v>
      </c>
      <c r="H4876">
        <v>2023</v>
      </c>
    </row>
    <row r="4877" spans="1:8" x14ac:dyDescent="0.2">
      <c r="A4877">
        <v>251523</v>
      </c>
      <c r="B4877">
        <v>6000</v>
      </c>
      <c r="C4877" t="str">
        <f t="shared" si="76"/>
        <v>1. Under $10K</v>
      </c>
      <c r="D4877" t="s">
        <v>1993</v>
      </c>
      <c r="E4877" t="s">
        <v>112</v>
      </c>
      <c r="F4877" t="s">
        <v>668</v>
      </c>
      <c r="G4877" t="s">
        <v>59</v>
      </c>
      <c r="H4877">
        <v>2023</v>
      </c>
    </row>
    <row r="4878" spans="1:8" x14ac:dyDescent="0.2">
      <c r="A4878">
        <v>251524</v>
      </c>
      <c r="B4878">
        <v>2500</v>
      </c>
      <c r="C4878" t="str">
        <f t="shared" si="76"/>
        <v>1. Under $10K</v>
      </c>
      <c r="D4878" t="s">
        <v>1994</v>
      </c>
      <c r="E4878" t="s">
        <v>112</v>
      </c>
      <c r="F4878" t="s">
        <v>668</v>
      </c>
      <c r="G4878" t="s">
        <v>59</v>
      </c>
      <c r="H4878">
        <v>2023</v>
      </c>
    </row>
    <row r="4879" spans="1:8" x14ac:dyDescent="0.2">
      <c r="A4879">
        <v>251526</v>
      </c>
      <c r="B4879">
        <v>6000</v>
      </c>
      <c r="C4879" t="str">
        <f t="shared" si="76"/>
        <v>1. Under $10K</v>
      </c>
      <c r="D4879" t="s">
        <v>1995</v>
      </c>
      <c r="E4879" t="s">
        <v>112</v>
      </c>
      <c r="F4879" t="s">
        <v>668</v>
      </c>
      <c r="G4879" t="s">
        <v>59</v>
      </c>
      <c r="H4879">
        <v>2023</v>
      </c>
    </row>
    <row r="4880" spans="1:8" x14ac:dyDescent="0.2">
      <c r="A4880">
        <v>251527</v>
      </c>
      <c r="B4880">
        <v>6000</v>
      </c>
      <c r="C4880" t="str">
        <f t="shared" si="76"/>
        <v>1. Under $10K</v>
      </c>
      <c r="D4880" t="s">
        <v>1996</v>
      </c>
      <c r="E4880" t="s">
        <v>112</v>
      </c>
      <c r="F4880" t="s">
        <v>668</v>
      </c>
      <c r="G4880" t="s">
        <v>59</v>
      </c>
      <c r="H4880">
        <v>2023</v>
      </c>
    </row>
    <row r="4881" spans="1:8" x14ac:dyDescent="0.2">
      <c r="A4881">
        <v>251529</v>
      </c>
      <c r="B4881">
        <v>6000</v>
      </c>
      <c r="C4881" t="str">
        <f t="shared" si="76"/>
        <v>1. Under $10K</v>
      </c>
      <c r="D4881" t="s">
        <v>1997</v>
      </c>
      <c r="E4881" t="s">
        <v>112</v>
      </c>
      <c r="F4881" t="s">
        <v>668</v>
      </c>
      <c r="G4881" t="s">
        <v>59</v>
      </c>
      <c r="H4881">
        <v>2023</v>
      </c>
    </row>
    <row r="4882" spans="1:8" x14ac:dyDescent="0.2">
      <c r="A4882">
        <v>251530</v>
      </c>
      <c r="B4882">
        <v>6000</v>
      </c>
      <c r="C4882" t="str">
        <f t="shared" si="76"/>
        <v>1. Under $10K</v>
      </c>
      <c r="D4882" t="s">
        <v>1998</v>
      </c>
      <c r="E4882" t="s">
        <v>112</v>
      </c>
      <c r="F4882" t="s">
        <v>668</v>
      </c>
      <c r="G4882" t="s">
        <v>59</v>
      </c>
      <c r="H4882">
        <v>2023</v>
      </c>
    </row>
    <row r="4883" spans="1:8" x14ac:dyDescent="0.2">
      <c r="A4883">
        <v>251532</v>
      </c>
      <c r="B4883">
        <v>6000</v>
      </c>
      <c r="C4883" t="str">
        <f t="shared" si="76"/>
        <v>1. Under $10K</v>
      </c>
      <c r="D4883" t="s">
        <v>1999</v>
      </c>
      <c r="E4883" t="s">
        <v>112</v>
      </c>
      <c r="F4883" t="s">
        <v>668</v>
      </c>
      <c r="G4883" t="s">
        <v>59</v>
      </c>
      <c r="H4883">
        <v>2023</v>
      </c>
    </row>
    <row r="4884" spans="1:8" x14ac:dyDescent="0.2">
      <c r="A4884">
        <v>251536</v>
      </c>
      <c r="B4884">
        <v>26000</v>
      </c>
      <c r="C4884" t="str">
        <f t="shared" si="76"/>
        <v>1. Under $10K</v>
      </c>
      <c r="D4884" t="s">
        <v>1746</v>
      </c>
      <c r="E4884" t="s">
        <v>112</v>
      </c>
      <c r="F4884" t="s">
        <v>668</v>
      </c>
      <c r="G4884" t="s">
        <v>59</v>
      </c>
      <c r="H4884">
        <v>2023</v>
      </c>
    </row>
    <row r="4885" spans="1:8" x14ac:dyDescent="0.2">
      <c r="A4885">
        <v>251537</v>
      </c>
      <c r="B4885">
        <v>25000</v>
      </c>
      <c r="C4885" t="str">
        <f t="shared" si="76"/>
        <v>2. $10K-50K</v>
      </c>
      <c r="D4885" t="s">
        <v>1304</v>
      </c>
      <c r="E4885" t="s">
        <v>112</v>
      </c>
      <c r="F4885" t="s">
        <v>668</v>
      </c>
      <c r="G4885" t="s">
        <v>59</v>
      </c>
      <c r="H4885">
        <v>2023</v>
      </c>
    </row>
    <row r="4886" spans="1:8" x14ac:dyDescent="0.2">
      <c r="A4886">
        <v>251538</v>
      </c>
      <c r="B4886">
        <v>25000</v>
      </c>
      <c r="C4886" t="str">
        <f t="shared" si="76"/>
        <v>2. $10K-50K</v>
      </c>
      <c r="D4886" t="s">
        <v>2000</v>
      </c>
      <c r="E4886" t="s">
        <v>112</v>
      </c>
      <c r="F4886" t="s">
        <v>668</v>
      </c>
      <c r="G4886" t="s">
        <v>59</v>
      </c>
      <c r="H4886">
        <v>2023</v>
      </c>
    </row>
    <row r="4887" spans="1:8" x14ac:dyDescent="0.2">
      <c r="A4887">
        <v>251541</v>
      </c>
      <c r="B4887">
        <v>6000</v>
      </c>
      <c r="C4887" t="str">
        <f t="shared" si="76"/>
        <v>2. $10K-50K</v>
      </c>
      <c r="D4887" t="s">
        <v>2001</v>
      </c>
      <c r="E4887" t="s">
        <v>112</v>
      </c>
      <c r="F4887" t="s">
        <v>668</v>
      </c>
      <c r="G4887" t="s">
        <v>59</v>
      </c>
      <c r="H4887">
        <v>2023</v>
      </c>
    </row>
    <row r="4888" spans="1:8" x14ac:dyDescent="0.2">
      <c r="A4888">
        <v>251543</v>
      </c>
      <c r="B4888">
        <v>6000</v>
      </c>
      <c r="C4888" t="str">
        <f t="shared" si="76"/>
        <v>1. Under $10K</v>
      </c>
      <c r="D4888" t="s">
        <v>2002</v>
      </c>
      <c r="E4888" t="s">
        <v>112</v>
      </c>
      <c r="F4888" t="s">
        <v>668</v>
      </c>
      <c r="G4888" t="s">
        <v>59</v>
      </c>
      <c r="H4888">
        <v>2023</v>
      </c>
    </row>
    <row r="4889" spans="1:8" x14ac:dyDescent="0.2">
      <c r="A4889">
        <v>251601</v>
      </c>
      <c r="B4889">
        <v>76000</v>
      </c>
      <c r="C4889" t="str">
        <f t="shared" si="76"/>
        <v>1. Under $10K</v>
      </c>
      <c r="D4889" t="s">
        <v>2003</v>
      </c>
      <c r="E4889" t="s">
        <v>112</v>
      </c>
      <c r="F4889" t="s">
        <v>668</v>
      </c>
      <c r="G4889" t="s">
        <v>59</v>
      </c>
      <c r="H4889">
        <v>2023</v>
      </c>
    </row>
    <row r="4890" spans="1:8" x14ac:dyDescent="0.2">
      <c r="A4890">
        <v>251610</v>
      </c>
      <c r="B4890">
        <v>75000</v>
      </c>
      <c r="C4890" t="str">
        <f t="shared" si="76"/>
        <v>3. $50K-250K</v>
      </c>
      <c r="D4890" t="s">
        <v>2004</v>
      </c>
      <c r="E4890" t="s">
        <v>112</v>
      </c>
      <c r="F4890" t="s">
        <v>668</v>
      </c>
      <c r="G4890" t="s">
        <v>59</v>
      </c>
      <c r="H4890">
        <v>2023</v>
      </c>
    </row>
    <row r="4891" spans="1:8" x14ac:dyDescent="0.2">
      <c r="A4891">
        <v>251611</v>
      </c>
      <c r="B4891">
        <v>50000</v>
      </c>
      <c r="C4891" t="str">
        <f t="shared" si="76"/>
        <v>3. $50K-250K</v>
      </c>
      <c r="D4891" t="s">
        <v>1260</v>
      </c>
      <c r="E4891" t="s">
        <v>112</v>
      </c>
      <c r="F4891" t="s">
        <v>668</v>
      </c>
      <c r="G4891" t="s">
        <v>59</v>
      </c>
      <c r="H4891">
        <v>2023</v>
      </c>
    </row>
    <row r="4892" spans="1:8" x14ac:dyDescent="0.2">
      <c r="A4892">
        <v>251615</v>
      </c>
      <c r="B4892">
        <v>175000</v>
      </c>
      <c r="C4892" t="str">
        <f t="shared" si="76"/>
        <v>3. $50K-250K</v>
      </c>
      <c r="D4892" t="s">
        <v>1129</v>
      </c>
      <c r="E4892" t="s">
        <v>112</v>
      </c>
      <c r="F4892" t="s">
        <v>668</v>
      </c>
      <c r="G4892" t="s">
        <v>59</v>
      </c>
      <c r="H4892">
        <v>2023</v>
      </c>
    </row>
    <row r="4893" spans="1:8" x14ac:dyDescent="0.2">
      <c r="A4893">
        <v>251617</v>
      </c>
      <c r="B4893">
        <v>3250</v>
      </c>
      <c r="C4893" t="str">
        <f t="shared" si="76"/>
        <v>3. $50K-250K</v>
      </c>
      <c r="D4893" t="s">
        <v>2005</v>
      </c>
      <c r="E4893" t="s">
        <v>112</v>
      </c>
      <c r="F4893" t="s">
        <v>668</v>
      </c>
      <c r="G4893" t="s">
        <v>59</v>
      </c>
      <c r="H4893">
        <v>2023</v>
      </c>
    </row>
    <row r="4894" spans="1:8" x14ac:dyDescent="0.2">
      <c r="A4894">
        <v>251619</v>
      </c>
      <c r="B4894">
        <v>6000</v>
      </c>
      <c r="C4894" t="str">
        <f t="shared" si="76"/>
        <v>1. Under $10K</v>
      </c>
      <c r="D4894" t="s">
        <v>2006</v>
      </c>
      <c r="E4894" t="s">
        <v>112</v>
      </c>
      <c r="F4894" t="s">
        <v>668</v>
      </c>
      <c r="G4894" t="s">
        <v>59</v>
      </c>
      <c r="H4894">
        <v>2023</v>
      </c>
    </row>
    <row r="4895" spans="1:8" x14ac:dyDescent="0.2">
      <c r="A4895">
        <v>251622</v>
      </c>
      <c r="B4895">
        <v>6000</v>
      </c>
      <c r="C4895" t="str">
        <f t="shared" si="76"/>
        <v>1. Under $10K</v>
      </c>
      <c r="D4895" t="s">
        <v>2007</v>
      </c>
      <c r="E4895" t="s">
        <v>112</v>
      </c>
      <c r="F4895" t="s">
        <v>668</v>
      </c>
      <c r="G4895" t="s">
        <v>59</v>
      </c>
      <c r="H4895">
        <v>2023</v>
      </c>
    </row>
    <row r="4896" spans="1:8" x14ac:dyDescent="0.2">
      <c r="A4896">
        <v>251626</v>
      </c>
      <c r="B4896">
        <v>6000</v>
      </c>
      <c r="C4896" t="str">
        <f t="shared" si="76"/>
        <v>1. Under $10K</v>
      </c>
      <c r="D4896" t="s">
        <v>2008</v>
      </c>
      <c r="E4896" t="s">
        <v>112</v>
      </c>
      <c r="F4896" t="s">
        <v>668</v>
      </c>
      <c r="G4896" t="s">
        <v>59</v>
      </c>
      <c r="H4896">
        <v>2023</v>
      </c>
    </row>
    <row r="4897" spans="1:8" x14ac:dyDescent="0.2">
      <c r="A4897">
        <v>251629</v>
      </c>
      <c r="B4897">
        <v>6000</v>
      </c>
      <c r="C4897" t="str">
        <f t="shared" si="76"/>
        <v>1. Under $10K</v>
      </c>
      <c r="D4897" t="s">
        <v>2009</v>
      </c>
      <c r="E4897" t="s">
        <v>112</v>
      </c>
      <c r="F4897" t="s">
        <v>668</v>
      </c>
      <c r="G4897" t="s">
        <v>59</v>
      </c>
      <c r="H4897">
        <v>2023</v>
      </c>
    </row>
    <row r="4898" spans="1:8" x14ac:dyDescent="0.2">
      <c r="A4898">
        <v>251639</v>
      </c>
      <c r="B4898">
        <v>4500</v>
      </c>
      <c r="C4898" t="str">
        <f t="shared" si="76"/>
        <v>1. Under $10K</v>
      </c>
      <c r="D4898" t="s">
        <v>2010</v>
      </c>
      <c r="E4898" t="s">
        <v>112</v>
      </c>
      <c r="F4898" t="s">
        <v>668</v>
      </c>
      <c r="G4898" t="s">
        <v>59</v>
      </c>
      <c r="H4898">
        <v>2023</v>
      </c>
    </row>
    <row r="4899" spans="1:8" x14ac:dyDescent="0.2">
      <c r="A4899">
        <v>251640</v>
      </c>
      <c r="B4899">
        <v>5250</v>
      </c>
      <c r="C4899" t="str">
        <f t="shared" si="76"/>
        <v>1. Under $10K</v>
      </c>
      <c r="D4899" t="s">
        <v>2011</v>
      </c>
      <c r="E4899" t="s">
        <v>112</v>
      </c>
      <c r="F4899" t="s">
        <v>668</v>
      </c>
      <c r="G4899" t="s">
        <v>59</v>
      </c>
      <c r="H4899">
        <v>2023</v>
      </c>
    </row>
    <row r="4900" spans="1:8" x14ac:dyDescent="0.2">
      <c r="A4900">
        <v>251641</v>
      </c>
      <c r="B4900">
        <v>59855319</v>
      </c>
      <c r="C4900" t="str">
        <f t="shared" si="76"/>
        <v>1. Under $10K</v>
      </c>
      <c r="D4900" t="s">
        <v>147</v>
      </c>
      <c r="E4900" t="s">
        <v>18</v>
      </c>
      <c r="F4900" t="s">
        <v>19</v>
      </c>
      <c r="G4900" t="s">
        <v>10</v>
      </c>
      <c r="H4900">
        <v>2023</v>
      </c>
    </row>
    <row r="4901" spans="1:8" x14ac:dyDescent="0.2">
      <c r="A4901">
        <v>251643</v>
      </c>
      <c r="B4901">
        <v>85000</v>
      </c>
      <c r="C4901" t="str">
        <f t="shared" si="76"/>
        <v>5. $1M+</v>
      </c>
      <c r="D4901" t="s">
        <v>2012</v>
      </c>
      <c r="E4901" t="s">
        <v>112</v>
      </c>
      <c r="F4901" t="s">
        <v>668</v>
      </c>
      <c r="G4901" t="s">
        <v>59</v>
      </c>
      <c r="H4901">
        <v>2023</v>
      </c>
    </row>
    <row r="4902" spans="1:8" x14ac:dyDescent="0.2">
      <c r="A4902">
        <v>251645</v>
      </c>
      <c r="B4902">
        <v>12584773</v>
      </c>
      <c r="C4902" t="str">
        <f t="shared" si="76"/>
        <v>3. $50K-250K</v>
      </c>
      <c r="D4902" t="s">
        <v>1052</v>
      </c>
      <c r="E4902" t="s">
        <v>237</v>
      </c>
      <c r="F4902" t="s">
        <v>670</v>
      </c>
      <c r="G4902" t="s">
        <v>59</v>
      </c>
      <c r="H4902">
        <v>2023</v>
      </c>
    </row>
    <row r="4903" spans="1:8" x14ac:dyDescent="0.2">
      <c r="A4903">
        <v>251649</v>
      </c>
      <c r="B4903">
        <v>250000</v>
      </c>
      <c r="C4903" t="str">
        <f t="shared" si="76"/>
        <v>5. $1M+</v>
      </c>
      <c r="D4903" t="s">
        <v>2013</v>
      </c>
      <c r="E4903" t="s">
        <v>112</v>
      </c>
      <c r="F4903" t="s">
        <v>668</v>
      </c>
      <c r="G4903" t="s">
        <v>59</v>
      </c>
      <c r="H4903">
        <v>2023</v>
      </c>
    </row>
    <row r="4904" spans="1:8" x14ac:dyDescent="0.2">
      <c r="A4904">
        <v>251653</v>
      </c>
      <c r="B4904">
        <v>6000</v>
      </c>
      <c r="C4904" t="str">
        <f t="shared" si="76"/>
        <v>4. $250K-1M</v>
      </c>
      <c r="D4904" t="s">
        <v>2014</v>
      </c>
      <c r="E4904" t="s">
        <v>112</v>
      </c>
      <c r="F4904" t="s">
        <v>668</v>
      </c>
      <c r="G4904" t="s">
        <v>59</v>
      </c>
      <c r="H4904">
        <v>2023</v>
      </c>
    </row>
    <row r="4905" spans="1:8" x14ac:dyDescent="0.2">
      <c r="A4905">
        <v>251656</v>
      </c>
      <c r="B4905">
        <v>6000</v>
      </c>
      <c r="C4905" t="str">
        <f t="shared" si="76"/>
        <v>1. Under $10K</v>
      </c>
      <c r="D4905" t="s">
        <v>2015</v>
      </c>
      <c r="E4905" t="s">
        <v>112</v>
      </c>
      <c r="F4905" t="s">
        <v>668</v>
      </c>
      <c r="G4905" t="s">
        <v>59</v>
      </c>
      <c r="H4905">
        <v>2023</v>
      </c>
    </row>
    <row r="4906" spans="1:8" x14ac:dyDescent="0.2">
      <c r="A4906">
        <v>251663</v>
      </c>
      <c r="B4906">
        <v>50000</v>
      </c>
      <c r="C4906" t="str">
        <f t="shared" si="76"/>
        <v>1. Under $10K</v>
      </c>
      <c r="D4906" t="s">
        <v>2016</v>
      </c>
      <c r="E4906" t="s">
        <v>112</v>
      </c>
      <c r="F4906" t="s">
        <v>668</v>
      </c>
      <c r="G4906" t="s">
        <v>59</v>
      </c>
      <c r="H4906">
        <v>2023</v>
      </c>
    </row>
    <row r="4907" spans="1:8" x14ac:dyDescent="0.2">
      <c r="A4907">
        <v>251667</v>
      </c>
      <c r="B4907">
        <v>85000</v>
      </c>
      <c r="C4907" t="str">
        <f t="shared" si="76"/>
        <v>3. $50K-250K</v>
      </c>
      <c r="D4907" t="s">
        <v>1289</v>
      </c>
      <c r="E4907" t="s">
        <v>112</v>
      </c>
      <c r="F4907" t="s">
        <v>668</v>
      </c>
      <c r="G4907" t="s">
        <v>59</v>
      </c>
      <c r="H4907">
        <v>2023</v>
      </c>
    </row>
    <row r="4908" spans="1:8" x14ac:dyDescent="0.2">
      <c r="A4908">
        <v>251671</v>
      </c>
      <c r="B4908">
        <v>50000</v>
      </c>
      <c r="C4908" t="str">
        <f t="shared" si="76"/>
        <v>3. $50K-250K</v>
      </c>
      <c r="D4908" t="s">
        <v>2017</v>
      </c>
      <c r="E4908" t="s">
        <v>112</v>
      </c>
      <c r="F4908" t="s">
        <v>668</v>
      </c>
      <c r="G4908" t="s">
        <v>59</v>
      </c>
      <c r="H4908">
        <v>2023</v>
      </c>
    </row>
    <row r="4909" spans="1:8" x14ac:dyDescent="0.2">
      <c r="A4909">
        <v>251673</v>
      </c>
      <c r="B4909">
        <v>125000</v>
      </c>
      <c r="C4909" t="str">
        <f t="shared" si="76"/>
        <v>3. $50K-250K</v>
      </c>
      <c r="D4909" t="s">
        <v>1028</v>
      </c>
      <c r="E4909" t="s">
        <v>42</v>
      </c>
      <c r="F4909" t="s">
        <v>670</v>
      </c>
      <c r="G4909" t="s">
        <v>59</v>
      </c>
      <c r="H4909">
        <v>2023</v>
      </c>
    </row>
    <row r="4910" spans="1:8" x14ac:dyDescent="0.2">
      <c r="A4910">
        <v>251676</v>
      </c>
      <c r="B4910">
        <v>85750</v>
      </c>
      <c r="C4910" t="str">
        <f t="shared" si="76"/>
        <v>3. $50K-250K</v>
      </c>
      <c r="D4910" t="s">
        <v>1655</v>
      </c>
      <c r="E4910" t="s">
        <v>112</v>
      </c>
      <c r="F4910" t="s">
        <v>668</v>
      </c>
      <c r="G4910" t="s">
        <v>59</v>
      </c>
      <c r="H4910">
        <v>2023</v>
      </c>
    </row>
    <row r="4911" spans="1:8" x14ac:dyDescent="0.2">
      <c r="A4911">
        <v>251682</v>
      </c>
      <c r="B4911">
        <v>50000</v>
      </c>
      <c r="C4911" t="str">
        <f t="shared" si="76"/>
        <v>3. $50K-250K</v>
      </c>
      <c r="D4911" t="s">
        <v>2018</v>
      </c>
      <c r="E4911" t="s">
        <v>112</v>
      </c>
      <c r="F4911" t="s">
        <v>668</v>
      </c>
      <c r="G4911" t="s">
        <v>59</v>
      </c>
      <c r="H4911">
        <v>2023</v>
      </c>
    </row>
    <row r="4912" spans="1:8" x14ac:dyDescent="0.2">
      <c r="A4912">
        <v>251686</v>
      </c>
      <c r="B4912">
        <v>6000</v>
      </c>
      <c r="C4912" t="str">
        <f t="shared" si="76"/>
        <v>3. $50K-250K</v>
      </c>
      <c r="D4912" t="s">
        <v>2019</v>
      </c>
      <c r="E4912" t="s">
        <v>112</v>
      </c>
      <c r="F4912" t="s">
        <v>668</v>
      </c>
      <c r="G4912" t="s">
        <v>59</v>
      </c>
      <c r="H4912">
        <v>2023</v>
      </c>
    </row>
    <row r="4913" spans="1:8" x14ac:dyDescent="0.2">
      <c r="A4913">
        <v>251697</v>
      </c>
      <c r="B4913">
        <v>100000</v>
      </c>
      <c r="C4913" t="str">
        <f t="shared" si="76"/>
        <v>1. Under $10K</v>
      </c>
      <c r="D4913" t="s">
        <v>1305</v>
      </c>
      <c r="E4913" t="s">
        <v>112</v>
      </c>
      <c r="F4913" t="s">
        <v>668</v>
      </c>
      <c r="G4913" t="s">
        <v>59</v>
      </c>
      <c r="H4913">
        <v>2023</v>
      </c>
    </row>
    <row r="4914" spans="1:8" x14ac:dyDescent="0.2">
      <c r="A4914">
        <v>251701</v>
      </c>
      <c r="B4914">
        <v>6000</v>
      </c>
      <c r="C4914" t="str">
        <f t="shared" si="76"/>
        <v>3. $50K-250K</v>
      </c>
      <c r="D4914" t="s">
        <v>2020</v>
      </c>
      <c r="E4914" t="s">
        <v>112</v>
      </c>
      <c r="F4914" t="s">
        <v>668</v>
      </c>
      <c r="G4914" t="s">
        <v>59</v>
      </c>
      <c r="H4914">
        <v>2023</v>
      </c>
    </row>
    <row r="4915" spans="1:8" x14ac:dyDescent="0.2">
      <c r="A4915">
        <v>251702</v>
      </c>
      <c r="B4915">
        <v>6000</v>
      </c>
      <c r="C4915" t="str">
        <f t="shared" si="76"/>
        <v>1. Under $10K</v>
      </c>
      <c r="D4915" t="s">
        <v>2021</v>
      </c>
      <c r="E4915" t="s">
        <v>112</v>
      </c>
      <c r="F4915" t="s">
        <v>668</v>
      </c>
      <c r="G4915" t="s">
        <v>59</v>
      </c>
      <c r="H4915">
        <v>2023</v>
      </c>
    </row>
    <row r="4916" spans="1:8" x14ac:dyDescent="0.2">
      <c r="A4916">
        <v>251703</v>
      </c>
      <c r="B4916">
        <v>100000</v>
      </c>
      <c r="C4916" t="str">
        <f t="shared" si="76"/>
        <v>1. Under $10K</v>
      </c>
      <c r="D4916" t="s">
        <v>1304</v>
      </c>
      <c r="E4916" t="s">
        <v>112</v>
      </c>
      <c r="F4916" t="s">
        <v>668</v>
      </c>
      <c r="G4916" t="s">
        <v>59</v>
      </c>
      <c r="H4916">
        <v>2023</v>
      </c>
    </row>
    <row r="4917" spans="1:8" x14ac:dyDescent="0.2">
      <c r="A4917">
        <v>251705</v>
      </c>
      <c r="B4917">
        <v>100000</v>
      </c>
      <c r="C4917" t="str">
        <f t="shared" si="76"/>
        <v>3. $50K-250K</v>
      </c>
      <c r="D4917" t="s">
        <v>1162</v>
      </c>
      <c r="E4917" t="s">
        <v>112</v>
      </c>
      <c r="F4917" t="s">
        <v>668</v>
      </c>
      <c r="G4917" t="s">
        <v>59</v>
      </c>
      <c r="H4917">
        <v>2023</v>
      </c>
    </row>
    <row r="4918" spans="1:8" x14ac:dyDescent="0.2">
      <c r="A4918">
        <v>251706</v>
      </c>
      <c r="B4918">
        <v>56000</v>
      </c>
      <c r="C4918" t="str">
        <f t="shared" si="76"/>
        <v>3. $50K-250K</v>
      </c>
      <c r="D4918" t="s">
        <v>1883</v>
      </c>
      <c r="E4918" t="s">
        <v>112</v>
      </c>
      <c r="F4918" t="s">
        <v>668</v>
      </c>
      <c r="G4918" t="s">
        <v>59</v>
      </c>
      <c r="H4918">
        <v>2023</v>
      </c>
    </row>
    <row r="4919" spans="1:8" x14ac:dyDescent="0.2">
      <c r="A4919">
        <v>251707</v>
      </c>
      <c r="B4919">
        <v>6000</v>
      </c>
      <c r="C4919" t="str">
        <f t="shared" si="76"/>
        <v>3. $50K-250K</v>
      </c>
      <c r="D4919" t="s">
        <v>2022</v>
      </c>
      <c r="E4919" t="s">
        <v>112</v>
      </c>
      <c r="F4919" t="s">
        <v>668</v>
      </c>
      <c r="G4919" t="s">
        <v>59</v>
      </c>
      <c r="H4919">
        <v>2023</v>
      </c>
    </row>
    <row r="4920" spans="1:8" x14ac:dyDescent="0.2">
      <c r="A4920">
        <v>251708</v>
      </c>
      <c r="B4920">
        <v>3500</v>
      </c>
      <c r="C4920" t="str">
        <f t="shared" si="76"/>
        <v>1. Under $10K</v>
      </c>
      <c r="D4920" t="s">
        <v>2023</v>
      </c>
      <c r="E4920" t="s">
        <v>112</v>
      </c>
      <c r="F4920" t="s">
        <v>668</v>
      </c>
      <c r="G4920" t="s">
        <v>59</v>
      </c>
      <c r="H4920">
        <v>2023</v>
      </c>
    </row>
    <row r="4921" spans="1:8" x14ac:dyDescent="0.2">
      <c r="A4921">
        <v>251710</v>
      </c>
      <c r="B4921">
        <v>40000</v>
      </c>
      <c r="C4921" t="str">
        <f t="shared" si="76"/>
        <v>1. Under $10K</v>
      </c>
      <c r="D4921" t="s">
        <v>2024</v>
      </c>
      <c r="E4921" t="s">
        <v>112</v>
      </c>
      <c r="F4921" t="s">
        <v>668</v>
      </c>
      <c r="G4921" t="s">
        <v>59</v>
      </c>
      <c r="H4921">
        <v>2023</v>
      </c>
    </row>
    <row r="4922" spans="1:8" x14ac:dyDescent="0.2">
      <c r="A4922">
        <v>251714</v>
      </c>
      <c r="B4922">
        <v>6000</v>
      </c>
      <c r="C4922" t="str">
        <f t="shared" si="76"/>
        <v>2. $10K-50K</v>
      </c>
      <c r="D4922" t="s">
        <v>2025</v>
      </c>
      <c r="E4922" t="s">
        <v>112</v>
      </c>
      <c r="F4922" t="s">
        <v>668</v>
      </c>
      <c r="G4922" t="s">
        <v>59</v>
      </c>
      <c r="H4922">
        <v>2023</v>
      </c>
    </row>
    <row r="4923" spans="1:8" x14ac:dyDescent="0.2">
      <c r="A4923">
        <v>251720</v>
      </c>
      <c r="B4923">
        <v>64000</v>
      </c>
      <c r="C4923" t="str">
        <f t="shared" si="76"/>
        <v>1. Under $10K</v>
      </c>
      <c r="D4923" t="s">
        <v>2026</v>
      </c>
      <c r="E4923" t="s">
        <v>112</v>
      </c>
      <c r="F4923" t="s">
        <v>668</v>
      </c>
      <c r="G4923" t="s">
        <v>59</v>
      </c>
      <c r="H4923">
        <v>2023</v>
      </c>
    </row>
    <row r="4924" spans="1:8" x14ac:dyDescent="0.2">
      <c r="A4924">
        <v>251723</v>
      </c>
      <c r="B4924">
        <v>80000</v>
      </c>
      <c r="C4924" t="str">
        <f t="shared" si="76"/>
        <v>3. $50K-250K</v>
      </c>
      <c r="D4924" t="s">
        <v>2027</v>
      </c>
      <c r="E4924" t="s">
        <v>112</v>
      </c>
      <c r="F4924" t="s">
        <v>668</v>
      </c>
      <c r="G4924" t="s">
        <v>59</v>
      </c>
      <c r="H4924">
        <v>2023</v>
      </c>
    </row>
    <row r="4925" spans="1:8" x14ac:dyDescent="0.2">
      <c r="A4925">
        <v>251729</v>
      </c>
      <c r="B4925">
        <v>62000</v>
      </c>
      <c r="C4925" t="str">
        <f t="shared" si="76"/>
        <v>3. $50K-250K</v>
      </c>
      <c r="D4925" t="s">
        <v>1204</v>
      </c>
      <c r="E4925" t="s">
        <v>112</v>
      </c>
      <c r="F4925" t="s">
        <v>668</v>
      </c>
      <c r="G4925" t="s">
        <v>59</v>
      </c>
      <c r="H4925">
        <v>2023</v>
      </c>
    </row>
    <row r="4926" spans="1:8" x14ac:dyDescent="0.2">
      <c r="A4926">
        <v>251731</v>
      </c>
      <c r="B4926">
        <v>120000</v>
      </c>
      <c r="C4926" t="str">
        <f t="shared" si="76"/>
        <v>3. $50K-250K</v>
      </c>
      <c r="D4926" t="s">
        <v>1150</v>
      </c>
      <c r="E4926" t="s">
        <v>112</v>
      </c>
      <c r="F4926" t="s">
        <v>668</v>
      </c>
      <c r="G4926" t="s">
        <v>59</v>
      </c>
      <c r="H4926">
        <v>2023</v>
      </c>
    </row>
    <row r="4927" spans="1:8" x14ac:dyDescent="0.2">
      <c r="A4927">
        <v>251782</v>
      </c>
      <c r="B4927">
        <v>60000</v>
      </c>
      <c r="C4927" t="str">
        <f t="shared" si="76"/>
        <v>3. $50K-250K</v>
      </c>
      <c r="D4927" t="s">
        <v>1345</v>
      </c>
      <c r="E4927" t="s">
        <v>112</v>
      </c>
      <c r="F4927" t="s">
        <v>668</v>
      </c>
      <c r="G4927" t="s">
        <v>59</v>
      </c>
      <c r="H4927">
        <v>2023</v>
      </c>
    </row>
    <row r="4928" spans="1:8" x14ac:dyDescent="0.2">
      <c r="A4928">
        <v>251786</v>
      </c>
      <c r="B4928">
        <v>45000</v>
      </c>
      <c r="C4928" t="str">
        <f t="shared" si="76"/>
        <v>3. $50K-250K</v>
      </c>
      <c r="D4928" t="s">
        <v>1069</v>
      </c>
      <c r="E4928" t="s">
        <v>112</v>
      </c>
      <c r="F4928" t="s">
        <v>668</v>
      </c>
      <c r="G4928" t="s">
        <v>59</v>
      </c>
      <c r="H4928">
        <v>2023</v>
      </c>
    </row>
    <row r="4929" spans="1:8" x14ac:dyDescent="0.2">
      <c r="A4929">
        <v>251792</v>
      </c>
      <c r="B4929">
        <v>200000</v>
      </c>
      <c r="C4929" t="str">
        <f t="shared" si="76"/>
        <v>2. $10K-50K</v>
      </c>
      <c r="D4929" t="s">
        <v>1318</v>
      </c>
      <c r="E4929" t="s">
        <v>112</v>
      </c>
      <c r="F4929" t="s">
        <v>668</v>
      </c>
      <c r="G4929" t="s">
        <v>59</v>
      </c>
      <c r="H4929">
        <v>2023</v>
      </c>
    </row>
    <row r="4930" spans="1:8" x14ac:dyDescent="0.2">
      <c r="A4930">
        <v>251795</v>
      </c>
      <c r="B4930">
        <v>150000</v>
      </c>
      <c r="C4930" t="str">
        <f t="shared" si="76"/>
        <v>3. $50K-250K</v>
      </c>
      <c r="D4930" t="s">
        <v>2028</v>
      </c>
      <c r="E4930" t="s">
        <v>112</v>
      </c>
      <c r="F4930" t="s">
        <v>668</v>
      </c>
      <c r="G4930" t="s">
        <v>59</v>
      </c>
      <c r="H4930">
        <v>2023</v>
      </c>
    </row>
    <row r="4931" spans="1:8" x14ac:dyDescent="0.2">
      <c r="A4931">
        <v>251804</v>
      </c>
      <c r="B4931">
        <v>235000</v>
      </c>
      <c r="C4931" t="str">
        <f t="shared" ref="C4931:C4994" si="77">IF(B4930&lt;10000,"1. Under $10K",IF(B4930&lt;50000,"2. $10K-50K",IF(B4930&lt;250000,"3. $50K-250K",IF(B4930&lt;1000000,"4. $250K-1M","5. $1M+"))))</f>
        <v>3. $50K-250K</v>
      </c>
      <c r="D4931" t="s">
        <v>1391</v>
      </c>
      <c r="E4931" t="s">
        <v>112</v>
      </c>
      <c r="F4931" t="s">
        <v>668</v>
      </c>
      <c r="G4931" t="s">
        <v>59</v>
      </c>
      <c r="H4931">
        <v>2023</v>
      </c>
    </row>
    <row r="4932" spans="1:8" x14ac:dyDescent="0.2">
      <c r="A4932">
        <v>251806</v>
      </c>
      <c r="B4932">
        <v>100000</v>
      </c>
      <c r="C4932" t="str">
        <f t="shared" si="77"/>
        <v>3. $50K-250K</v>
      </c>
      <c r="D4932" t="s">
        <v>2029</v>
      </c>
      <c r="E4932" t="s">
        <v>112</v>
      </c>
      <c r="F4932" t="s">
        <v>668</v>
      </c>
      <c r="G4932" t="s">
        <v>59</v>
      </c>
      <c r="H4932">
        <v>2023</v>
      </c>
    </row>
    <row r="4933" spans="1:8" x14ac:dyDescent="0.2">
      <c r="A4933">
        <v>251818</v>
      </c>
      <c r="B4933">
        <v>70000</v>
      </c>
      <c r="C4933" t="str">
        <f t="shared" si="77"/>
        <v>3. $50K-250K</v>
      </c>
      <c r="D4933" t="s">
        <v>1147</v>
      </c>
      <c r="E4933" t="s">
        <v>112</v>
      </c>
      <c r="F4933" t="s">
        <v>668</v>
      </c>
      <c r="G4933" t="s">
        <v>59</v>
      </c>
      <c r="H4933">
        <v>2023</v>
      </c>
    </row>
    <row r="4934" spans="1:8" x14ac:dyDescent="0.2">
      <c r="A4934">
        <v>251821</v>
      </c>
      <c r="B4934">
        <v>90000</v>
      </c>
      <c r="C4934" t="str">
        <f t="shared" si="77"/>
        <v>3. $50K-250K</v>
      </c>
      <c r="D4934" t="s">
        <v>926</v>
      </c>
      <c r="E4934" t="s">
        <v>112</v>
      </c>
      <c r="F4934" t="s">
        <v>668</v>
      </c>
      <c r="G4934" t="s">
        <v>59</v>
      </c>
      <c r="H4934">
        <v>2023</v>
      </c>
    </row>
    <row r="4935" spans="1:8" x14ac:dyDescent="0.2">
      <c r="A4935">
        <v>251836</v>
      </c>
      <c r="B4935">
        <v>50000</v>
      </c>
      <c r="C4935" t="str">
        <f t="shared" si="77"/>
        <v>3. $50K-250K</v>
      </c>
      <c r="D4935" t="s">
        <v>2030</v>
      </c>
      <c r="E4935" t="s">
        <v>112</v>
      </c>
      <c r="F4935" t="s">
        <v>668</v>
      </c>
      <c r="G4935" t="s">
        <v>59</v>
      </c>
      <c r="H4935">
        <v>2023</v>
      </c>
    </row>
    <row r="4936" spans="1:8" x14ac:dyDescent="0.2">
      <c r="A4936">
        <v>251841</v>
      </c>
      <c r="B4936">
        <v>20000</v>
      </c>
      <c r="C4936" t="str">
        <f t="shared" si="77"/>
        <v>3. $50K-250K</v>
      </c>
      <c r="D4936" t="s">
        <v>2031</v>
      </c>
      <c r="E4936" t="s">
        <v>112</v>
      </c>
      <c r="F4936" t="s">
        <v>668</v>
      </c>
      <c r="G4936" t="s">
        <v>59</v>
      </c>
      <c r="H4936">
        <v>2023</v>
      </c>
    </row>
    <row r="4937" spans="1:8" x14ac:dyDescent="0.2">
      <c r="A4937">
        <v>251848</v>
      </c>
      <c r="B4937">
        <v>40000</v>
      </c>
      <c r="C4937" t="str">
        <f t="shared" si="77"/>
        <v>2. $10K-50K</v>
      </c>
      <c r="D4937" t="s">
        <v>2032</v>
      </c>
      <c r="E4937" t="s">
        <v>112</v>
      </c>
      <c r="F4937" t="s">
        <v>668</v>
      </c>
      <c r="G4937" t="s">
        <v>59</v>
      </c>
      <c r="H4937">
        <v>2023</v>
      </c>
    </row>
    <row r="4938" spans="1:8" x14ac:dyDescent="0.2">
      <c r="A4938">
        <v>251873</v>
      </c>
      <c r="B4938">
        <v>214328.5</v>
      </c>
      <c r="C4938" t="str">
        <f t="shared" si="77"/>
        <v>2. $10K-50K</v>
      </c>
      <c r="D4938" t="s">
        <v>837</v>
      </c>
      <c r="E4938" t="s">
        <v>237</v>
      </c>
      <c r="F4938" t="s">
        <v>670</v>
      </c>
      <c r="G4938" t="s">
        <v>59</v>
      </c>
      <c r="H4938">
        <v>2023</v>
      </c>
    </row>
    <row r="4939" spans="1:8" x14ac:dyDescent="0.2">
      <c r="A4939">
        <v>251889</v>
      </c>
      <c r="B4939">
        <v>6381.9</v>
      </c>
      <c r="C4939" t="str">
        <f t="shared" si="77"/>
        <v>3. $50K-250K</v>
      </c>
      <c r="D4939" t="s">
        <v>801</v>
      </c>
      <c r="E4939" t="s">
        <v>42</v>
      </c>
      <c r="F4939" t="s">
        <v>670</v>
      </c>
      <c r="G4939" t="s">
        <v>59</v>
      </c>
      <c r="H4939">
        <v>2023</v>
      </c>
    </row>
    <row r="4940" spans="1:8" x14ac:dyDescent="0.2">
      <c r="A4940">
        <v>251918</v>
      </c>
      <c r="B4940">
        <v>6000</v>
      </c>
      <c r="C4940" t="str">
        <f t="shared" si="77"/>
        <v>1. Under $10K</v>
      </c>
      <c r="D4940" t="s">
        <v>2033</v>
      </c>
      <c r="E4940" t="s">
        <v>112</v>
      </c>
      <c r="F4940" t="s">
        <v>668</v>
      </c>
      <c r="G4940" t="s">
        <v>59</v>
      </c>
      <c r="H4940">
        <v>2023</v>
      </c>
    </row>
    <row r="4941" spans="1:8" x14ac:dyDescent="0.2">
      <c r="A4941">
        <v>251922</v>
      </c>
      <c r="B4941">
        <v>22151056</v>
      </c>
      <c r="C4941" t="str">
        <f t="shared" si="77"/>
        <v>1. Under $10K</v>
      </c>
      <c r="D4941" t="s">
        <v>1380</v>
      </c>
      <c r="E4941" t="s">
        <v>28</v>
      </c>
      <c r="F4941" t="s">
        <v>668</v>
      </c>
      <c r="G4941" t="s">
        <v>59</v>
      </c>
      <c r="H4941">
        <v>2023</v>
      </c>
    </row>
    <row r="4942" spans="1:8" x14ac:dyDescent="0.2">
      <c r="A4942">
        <v>251925</v>
      </c>
      <c r="B4942">
        <v>250000</v>
      </c>
      <c r="C4942" t="str">
        <f t="shared" si="77"/>
        <v>5. $1M+</v>
      </c>
      <c r="D4942" t="s">
        <v>2034</v>
      </c>
      <c r="E4942" t="s">
        <v>112</v>
      </c>
      <c r="F4942" t="s">
        <v>668</v>
      </c>
      <c r="G4942" t="s">
        <v>59</v>
      </c>
      <c r="H4942">
        <v>2023</v>
      </c>
    </row>
    <row r="4943" spans="1:8" x14ac:dyDescent="0.2">
      <c r="A4943">
        <v>251930</v>
      </c>
      <c r="B4943">
        <v>100000</v>
      </c>
      <c r="C4943" t="str">
        <f t="shared" si="77"/>
        <v>4. $250K-1M</v>
      </c>
      <c r="D4943" t="s">
        <v>2035</v>
      </c>
      <c r="E4943" t="s">
        <v>112</v>
      </c>
      <c r="F4943" t="s">
        <v>668</v>
      </c>
      <c r="G4943" t="s">
        <v>59</v>
      </c>
      <c r="H4943">
        <v>2023</v>
      </c>
    </row>
    <row r="4944" spans="1:8" x14ac:dyDescent="0.2">
      <c r="A4944">
        <v>251938</v>
      </c>
      <c r="B4944">
        <v>20000</v>
      </c>
      <c r="C4944" t="str">
        <f t="shared" si="77"/>
        <v>3. $50K-250K</v>
      </c>
      <c r="D4944" t="s">
        <v>2036</v>
      </c>
      <c r="E4944" t="s">
        <v>112</v>
      </c>
      <c r="F4944" t="s">
        <v>668</v>
      </c>
      <c r="G4944" t="s">
        <v>59</v>
      </c>
      <c r="H4944">
        <v>2023</v>
      </c>
    </row>
    <row r="4945" spans="1:8" x14ac:dyDescent="0.2">
      <c r="A4945">
        <v>251945</v>
      </c>
      <c r="B4945">
        <v>90000</v>
      </c>
      <c r="C4945" t="str">
        <f t="shared" si="77"/>
        <v>2. $10K-50K</v>
      </c>
      <c r="D4945" t="s">
        <v>2037</v>
      </c>
      <c r="E4945" t="s">
        <v>112</v>
      </c>
      <c r="F4945" t="s">
        <v>668</v>
      </c>
      <c r="G4945" t="s">
        <v>59</v>
      </c>
      <c r="H4945">
        <v>2023</v>
      </c>
    </row>
    <row r="4946" spans="1:8" x14ac:dyDescent="0.2">
      <c r="A4946">
        <v>251950</v>
      </c>
      <c r="B4946">
        <v>20000</v>
      </c>
      <c r="C4946" t="str">
        <f t="shared" si="77"/>
        <v>3. $50K-250K</v>
      </c>
      <c r="D4946" t="s">
        <v>2038</v>
      </c>
      <c r="E4946" t="s">
        <v>112</v>
      </c>
      <c r="F4946" t="s">
        <v>668</v>
      </c>
      <c r="G4946" t="s">
        <v>59</v>
      </c>
      <c r="H4946">
        <v>2023</v>
      </c>
    </row>
    <row r="4947" spans="1:8" x14ac:dyDescent="0.2">
      <c r="A4947">
        <v>251951</v>
      </c>
      <c r="B4947">
        <v>30000</v>
      </c>
      <c r="C4947" t="str">
        <f t="shared" si="77"/>
        <v>2. $10K-50K</v>
      </c>
      <c r="D4947" t="s">
        <v>2039</v>
      </c>
      <c r="E4947" t="s">
        <v>112</v>
      </c>
      <c r="F4947" t="s">
        <v>668</v>
      </c>
      <c r="G4947" t="s">
        <v>59</v>
      </c>
      <c r="H4947">
        <v>2023</v>
      </c>
    </row>
    <row r="4948" spans="1:8" x14ac:dyDescent="0.2">
      <c r="A4948">
        <v>251952</v>
      </c>
      <c r="B4948">
        <v>150000</v>
      </c>
      <c r="C4948" t="str">
        <f t="shared" si="77"/>
        <v>2. $10K-50K</v>
      </c>
      <c r="D4948" t="s">
        <v>1007</v>
      </c>
      <c r="E4948" t="s">
        <v>112</v>
      </c>
      <c r="F4948" t="s">
        <v>668</v>
      </c>
      <c r="G4948" t="s">
        <v>59</v>
      </c>
      <c r="H4948">
        <v>2023</v>
      </c>
    </row>
    <row r="4949" spans="1:8" x14ac:dyDescent="0.2">
      <c r="A4949">
        <v>251953</v>
      </c>
      <c r="B4949">
        <v>20000</v>
      </c>
      <c r="C4949" t="str">
        <f t="shared" si="77"/>
        <v>3. $50K-250K</v>
      </c>
      <c r="D4949" t="s">
        <v>2040</v>
      </c>
      <c r="E4949" t="s">
        <v>112</v>
      </c>
      <c r="F4949" t="s">
        <v>668</v>
      </c>
      <c r="G4949" t="s">
        <v>59</v>
      </c>
      <c r="H4949">
        <v>2023</v>
      </c>
    </row>
    <row r="4950" spans="1:8" x14ac:dyDescent="0.2">
      <c r="A4950">
        <v>251955</v>
      </c>
      <c r="B4950">
        <v>20000</v>
      </c>
      <c r="C4950" t="str">
        <f t="shared" si="77"/>
        <v>2. $10K-50K</v>
      </c>
      <c r="D4950" t="s">
        <v>2041</v>
      </c>
      <c r="E4950" t="s">
        <v>112</v>
      </c>
      <c r="F4950" t="s">
        <v>668</v>
      </c>
      <c r="G4950" t="s">
        <v>59</v>
      </c>
      <c r="H4950">
        <v>2023</v>
      </c>
    </row>
    <row r="4951" spans="1:8" x14ac:dyDescent="0.2">
      <c r="A4951">
        <v>251957</v>
      </c>
      <c r="B4951">
        <v>20000</v>
      </c>
      <c r="C4951" t="str">
        <f t="shared" si="77"/>
        <v>2. $10K-50K</v>
      </c>
      <c r="D4951" t="s">
        <v>2028</v>
      </c>
      <c r="E4951" t="s">
        <v>112</v>
      </c>
      <c r="F4951" t="s">
        <v>668</v>
      </c>
      <c r="G4951" t="s">
        <v>59</v>
      </c>
      <c r="H4951">
        <v>2023</v>
      </c>
    </row>
    <row r="4952" spans="1:8" x14ac:dyDescent="0.2">
      <c r="A4952">
        <v>251959</v>
      </c>
      <c r="B4952">
        <v>50000</v>
      </c>
      <c r="C4952" t="str">
        <f t="shared" si="77"/>
        <v>2. $10K-50K</v>
      </c>
      <c r="D4952" t="s">
        <v>1107</v>
      </c>
      <c r="E4952" t="s">
        <v>112</v>
      </c>
      <c r="F4952" t="s">
        <v>668</v>
      </c>
      <c r="G4952" t="s">
        <v>59</v>
      </c>
      <c r="H4952">
        <v>2023</v>
      </c>
    </row>
    <row r="4953" spans="1:8" x14ac:dyDescent="0.2">
      <c r="A4953">
        <v>251960</v>
      </c>
      <c r="B4953">
        <v>40000</v>
      </c>
      <c r="C4953" t="str">
        <f t="shared" si="77"/>
        <v>3. $50K-250K</v>
      </c>
      <c r="D4953" t="s">
        <v>2042</v>
      </c>
      <c r="E4953" t="s">
        <v>112</v>
      </c>
      <c r="F4953" t="s">
        <v>668</v>
      </c>
      <c r="G4953" t="s">
        <v>59</v>
      </c>
      <c r="H4953">
        <v>2023</v>
      </c>
    </row>
    <row r="4954" spans="1:8" x14ac:dyDescent="0.2">
      <c r="A4954">
        <v>251961</v>
      </c>
      <c r="B4954">
        <v>20000</v>
      </c>
      <c r="C4954" t="str">
        <f t="shared" si="77"/>
        <v>2. $10K-50K</v>
      </c>
      <c r="D4954" t="s">
        <v>2043</v>
      </c>
      <c r="E4954" t="s">
        <v>112</v>
      </c>
      <c r="F4954" t="s">
        <v>668</v>
      </c>
      <c r="G4954" t="s">
        <v>59</v>
      </c>
      <c r="H4954">
        <v>2023</v>
      </c>
    </row>
    <row r="4955" spans="1:8" x14ac:dyDescent="0.2">
      <c r="A4955">
        <v>251965</v>
      </c>
      <c r="B4955">
        <v>20000</v>
      </c>
      <c r="C4955" t="str">
        <f t="shared" si="77"/>
        <v>2. $10K-50K</v>
      </c>
      <c r="D4955" t="s">
        <v>2044</v>
      </c>
      <c r="E4955" t="s">
        <v>112</v>
      </c>
      <c r="F4955" t="s">
        <v>668</v>
      </c>
      <c r="G4955" t="s">
        <v>59</v>
      </c>
      <c r="H4955">
        <v>2023</v>
      </c>
    </row>
    <row r="4956" spans="1:8" x14ac:dyDescent="0.2">
      <c r="A4956">
        <v>251966</v>
      </c>
      <c r="B4956">
        <v>40000</v>
      </c>
      <c r="C4956" t="str">
        <f t="shared" si="77"/>
        <v>2. $10K-50K</v>
      </c>
      <c r="D4956" t="s">
        <v>2045</v>
      </c>
      <c r="E4956" t="s">
        <v>112</v>
      </c>
      <c r="F4956" t="s">
        <v>668</v>
      </c>
      <c r="G4956" t="s">
        <v>59</v>
      </c>
      <c r="H4956">
        <v>2023</v>
      </c>
    </row>
    <row r="4957" spans="1:8" x14ac:dyDescent="0.2">
      <c r="A4957">
        <v>251967</v>
      </c>
      <c r="B4957">
        <v>20000</v>
      </c>
      <c r="C4957" t="str">
        <f t="shared" si="77"/>
        <v>2. $10K-50K</v>
      </c>
      <c r="D4957" t="s">
        <v>2046</v>
      </c>
      <c r="E4957" t="s">
        <v>112</v>
      </c>
      <c r="F4957" t="s">
        <v>668</v>
      </c>
      <c r="G4957" t="s">
        <v>59</v>
      </c>
      <c r="H4957">
        <v>2023</v>
      </c>
    </row>
    <row r="4958" spans="1:8" x14ac:dyDescent="0.2">
      <c r="A4958">
        <v>251970</v>
      </c>
      <c r="B4958">
        <v>20000</v>
      </c>
      <c r="C4958" t="str">
        <f t="shared" si="77"/>
        <v>2. $10K-50K</v>
      </c>
      <c r="D4958" t="s">
        <v>2047</v>
      </c>
      <c r="E4958" t="s">
        <v>112</v>
      </c>
      <c r="F4958" t="s">
        <v>668</v>
      </c>
      <c r="G4958" t="s">
        <v>59</v>
      </c>
      <c r="H4958">
        <v>2023</v>
      </c>
    </row>
    <row r="4959" spans="1:8" x14ac:dyDescent="0.2">
      <c r="A4959">
        <v>251971</v>
      </c>
      <c r="B4959">
        <v>20000</v>
      </c>
      <c r="C4959" t="str">
        <f t="shared" si="77"/>
        <v>2. $10K-50K</v>
      </c>
      <c r="D4959" t="s">
        <v>1718</v>
      </c>
      <c r="E4959" t="s">
        <v>112</v>
      </c>
      <c r="F4959" t="s">
        <v>668</v>
      </c>
      <c r="G4959" t="s">
        <v>59</v>
      </c>
      <c r="H4959">
        <v>2023</v>
      </c>
    </row>
    <row r="4960" spans="1:8" x14ac:dyDescent="0.2">
      <c r="A4960">
        <v>251972</v>
      </c>
      <c r="B4960">
        <v>90000</v>
      </c>
      <c r="C4960" t="str">
        <f t="shared" si="77"/>
        <v>2. $10K-50K</v>
      </c>
      <c r="D4960" t="s">
        <v>1745</v>
      </c>
      <c r="E4960" t="s">
        <v>112</v>
      </c>
      <c r="F4960" t="s">
        <v>668</v>
      </c>
      <c r="G4960" t="s">
        <v>59</v>
      </c>
      <c r="H4960">
        <v>2023</v>
      </c>
    </row>
    <row r="4961" spans="1:8" x14ac:dyDescent="0.2">
      <c r="A4961">
        <v>251974</v>
      </c>
      <c r="B4961">
        <v>18000</v>
      </c>
      <c r="C4961" t="str">
        <f t="shared" si="77"/>
        <v>3. $50K-250K</v>
      </c>
      <c r="D4961" t="s">
        <v>2048</v>
      </c>
      <c r="E4961" t="s">
        <v>112</v>
      </c>
      <c r="F4961" t="s">
        <v>668</v>
      </c>
      <c r="G4961" t="s">
        <v>59</v>
      </c>
      <c r="H4961">
        <v>2023</v>
      </c>
    </row>
    <row r="4962" spans="1:8" x14ac:dyDescent="0.2">
      <c r="A4962">
        <v>251977</v>
      </c>
      <c r="B4962">
        <v>40000</v>
      </c>
      <c r="C4962" t="str">
        <f t="shared" si="77"/>
        <v>2. $10K-50K</v>
      </c>
      <c r="D4962" t="s">
        <v>2049</v>
      </c>
      <c r="E4962" t="s">
        <v>112</v>
      </c>
      <c r="F4962" t="s">
        <v>668</v>
      </c>
      <c r="G4962" t="s">
        <v>59</v>
      </c>
      <c r="H4962">
        <v>2023</v>
      </c>
    </row>
    <row r="4963" spans="1:8" x14ac:dyDescent="0.2">
      <c r="A4963">
        <v>251978</v>
      </c>
      <c r="B4963">
        <v>18000</v>
      </c>
      <c r="C4963" t="str">
        <f t="shared" si="77"/>
        <v>2. $10K-50K</v>
      </c>
      <c r="D4963" t="s">
        <v>2050</v>
      </c>
      <c r="E4963" t="s">
        <v>112</v>
      </c>
      <c r="F4963" t="s">
        <v>668</v>
      </c>
      <c r="G4963" t="s">
        <v>59</v>
      </c>
      <c r="H4963">
        <v>2023</v>
      </c>
    </row>
    <row r="4964" spans="1:8" x14ac:dyDescent="0.2">
      <c r="A4964">
        <v>251979</v>
      </c>
      <c r="B4964">
        <v>30000</v>
      </c>
      <c r="C4964" t="str">
        <f t="shared" si="77"/>
        <v>2. $10K-50K</v>
      </c>
      <c r="D4964" t="s">
        <v>2016</v>
      </c>
      <c r="E4964" t="s">
        <v>112</v>
      </c>
      <c r="F4964" t="s">
        <v>668</v>
      </c>
      <c r="G4964" t="s">
        <v>59</v>
      </c>
      <c r="H4964">
        <v>2023</v>
      </c>
    </row>
    <row r="4965" spans="1:8" x14ac:dyDescent="0.2">
      <c r="A4965">
        <v>252091</v>
      </c>
      <c r="B4965">
        <v>150000</v>
      </c>
      <c r="C4965" t="str">
        <f t="shared" si="77"/>
        <v>2. $10K-50K</v>
      </c>
      <c r="D4965" t="s">
        <v>1270</v>
      </c>
      <c r="E4965" t="s">
        <v>112</v>
      </c>
      <c r="F4965" t="s">
        <v>668</v>
      </c>
      <c r="G4965" t="s">
        <v>59</v>
      </c>
      <c r="H4965">
        <v>2023</v>
      </c>
    </row>
    <row r="4966" spans="1:8" x14ac:dyDescent="0.2">
      <c r="A4966">
        <v>252092</v>
      </c>
      <c r="B4966">
        <v>190000</v>
      </c>
      <c r="C4966" t="str">
        <f t="shared" si="77"/>
        <v>3. $50K-250K</v>
      </c>
      <c r="D4966" t="s">
        <v>1233</v>
      </c>
      <c r="E4966" t="s">
        <v>112</v>
      </c>
      <c r="F4966" t="s">
        <v>668</v>
      </c>
      <c r="G4966" t="s">
        <v>59</v>
      </c>
      <c r="H4966">
        <v>2023</v>
      </c>
    </row>
    <row r="4967" spans="1:8" x14ac:dyDescent="0.2">
      <c r="A4967">
        <v>252093</v>
      </c>
      <c r="B4967">
        <v>20000</v>
      </c>
      <c r="C4967" t="str">
        <f t="shared" si="77"/>
        <v>3. $50K-250K</v>
      </c>
      <c r="D4967" t="s">
        <v>2051</v>
      </c>
      <c r="E4967" t="s">
        <v>112</v>
      </c>
      <c r="F4967" t="s">
        <v>668</v>
      </c>
      <c r="G4967" t="s">
        <v>59</v>
      </c>
      <c r="H4967">
        <v>2023</v>
      </c>
    </row>
    <row r="4968" spans="1:8" x14ac:dyDescent="0.2">
      <c r="A4968">
        <v>252094</v>
      </c>
      <c r="B4968">
        <v>18000</v>
      </c>
      <c r="C4968" t="str">
        <f t="shared" si="77"/>
        <v>2. $10K-50K</v>
      </c>
      <c r="D4968" t="s">
        <v>2000</v>
      </c>
      <c r="E4968" t="s">
        <v>112</v>
      </c>
      <c r="F4968" t="s">
        <v>668</v>
      </c>
      <c r="G4968" t="s">
        <v>59</v>
      </c>
      <c r="H4968">
        <v>2023</v>
      </c>
    </row>
    <row r="4969" spans="1:8" x14ac:dyDescent="0.2">
      <c r="A4969">
        <v>252097</v>
      </c>
      <c r="B4969">
        <v>100000</v>
      </c>
      <c r="C4969" t="str">
        <f t="shared" si="77"/>
        <v>2. $10K-50K</v>
      </c>
      <c r="D4969" t="s">
        <v>2052</v>
      </c>
      <c r="E4969" t="s">
        <v>112</v>
      </c>
      <c r="F4969" t="s">
        <v>668</v>
      </c>
      <c r="G4969" t="s">
        <v>59</v>
      </c>
      <c r="H4969">
        <v>2023</v>
      </c>
    </row>
    <row r="4970" spans="1:8" x14ac:dyDescent="0.2">
      <c r="A4970">
        <v>252099</v>
      </c>
      <c r="B4970">
        <v>100000</v>
      </c>
      <c r="C4970" t="str">
        <f t="shared" si="77"/>
        <v>3. $50K-250K</v>
      </c>
      <c r="D4970" t="s">
        <v>1242</v>
      </c>
      <c r="E4970" t="s">
        <v>112</v>
      </c>
      <c r="F4970" t="s">
        <v>668</v>
      </c>
      <c r="G4970" t="s">
        <v>59</v>
      </c>
      <c r="H4970">
        <v>2023</v>
      </c>
    </row>
    <row r="4971" spans="1:8" x14ac:dyDescent="0.2">
      <c r="A4971">
        <v>252100</v>
      </c>
      <c r="B4971">
        <v>75000</v>
      </c>
      <c r="C4971" t="str">
        <f t="shared" si="77"/>
        <v>3. $50K-250K</v>
      </c>
      <c r="D4971" t="s">
        <v>1186</v>
      </c>
      <c r="E4971" t="s">
        <v>112</v>
      </c>
      <c r="F4971" t="s">
        <v>668</v>
      </c>
      <c r="G4971" t="s">
        <v>59</v>
      </c>
      <c r="H4971">
        <v>2023</v>
      </c>
    </row>
    <row r="4972" spans="1:8" x14ac:dyDescent="0.2">
      <c r="A4972">
        <v>252101</v>
      </c>
      <c r="B4972">
        <v>100000</v>
      </c>
      <c r="C4972" t="str">
        <f t="shared" si="77"/>
        <v>3. $50K-250K</v>
      </c>
      <c r="D4972" t="s">
        <v>1699</v>
      </c>
      <c r="E4972" t="s">
        <v>112</v>
      </c>
      <c r="F4972" t="s">
        <v>668</v>
      </c>
      <c r="G4972" t="s">
        <v>59</v>
      </c>
      <c r="H4972">
        <v>2023</v>
      </c>
    </row>
    <row r="4973" spans="1:8" x14ac:dyDescent="0.2">
      <c r="A4973">
        <v>252102</v>
      </c>
      <c r="B4973">
        <v>76000</v>
      </c>
      <c r="C4973" t="str">
        <f t="shared" si="77"/>
        <v>3. $50K-250K</v>
      </c>
      <c r="D4973" t="s">
        <v>2053</v>
      </c>
      <c r="E4973" t="s">
        <v>112</v>
      </c>
      <c r="F4973" t="s">
        <v>668</v>
      </c>
      <c r="G4973" t="s">
        <v>59</v>
      </c>
      <c r="H4973">
        <v>2023</v>
      </c>
    </row>
    <row r="4974" spans="1:8" x14ac:dyDescent="0.2">
      <c r="A4974">
        <v>252138</v>
      </c>
      <c r="B4974">
        <v>7775</v>
      </c>
      <c r="C4974" t="str">
        <f t="shared" si="77"/>
        <v>3. $50K-250K</v>
      </c>
      <c r="D4974" t="s">
        <v>867</v>
      </c>
      <c r="E4974" t="s">
        <v>237</v>
      </c>
      <c r="F4974" t="s">
        <v>670</v>
      </c>
      <c r="G4974" t="s">
        <v>59</v>
      </c>
      <c r="H4974">
        <v>2023</v>
      </c>
    </row>
    <row r="4975" spans="1:8" x14ac:dyDescent="0.2">
      <c r="A4975">
        <v>252177</v>
      </c>
      <c r="B4975">
        <v>20000</v>
      </c>
      <c r="C4975" t="str">
        <f t="shared" si="77"/>
        <v>1. Under $10K</v>
      </c>
      <c r="D4975" t="s">
        <v>2054</v>
      </c>
      <c r="E4975" t="s">
        <v>112</v>
      </c>
      <c r="F4975" t="s">
        <v>668</v>
      </c>
      <c r="G4975" t="s">
        <v>59</v>
      </c>
      <c r="H4975">
        <v>2023</v>
      </c>
    </row>
    <row r="4976" spans="1:8" x14ac:dyDescent="0.2">
      <c r="A4976">
        <v>252179</v>
      </c>
      <c r="B4976">
        <v>40000</v>
      </c>
      <c r="C4976" t="str">
        <f t="shared" si="77"/>
        <v>2. $10K-50K</v>
      </c>
      <c r="D4976" t="s">
        <v>2055</v>
      </c>
      <c r="E4976" t="s">
        <v>112</v>
      </c>
      <c r="F4976" t="s">
        <v>668</v>
      </c>
      <c r="G4976" t="s">
        <v>59</v>
      </c>
      <c r="H4976">
        <v>2023</v>
      </c>
    </row>
    <row r="4977" spans="1:8" x14ac:dyDescent="0.2">
      <c r="A4977">
        <v>252181</v>
      </c>
      <c r="B4977">
        <v>100000</v>
      </c>
      <c r="C4977" t="str">
        <f t="shared" si="77"/>
        <v>2. $10K-50K</v>
      </c>
      <c r="D4977" t="s">
        <v>2056</v>
      </c>
      <c r="E4977" t="s">
        <v>112</v>
      </c>
      <c r="F4977" t="s">
        <v>668</v>
      </c>
      <c r="G4977" t="s">
        <v>59</v>
      </c>
      <c r="H4977">
        <v>2023</v>
      </c>
    </row>
    <row r="4978" spans="1:8" x14ac:dyDescent="0.2">
      <c r="A4978">
        <v>252187</v>
      </c>
      <c r="B4978">
        <v>20000</v>
      </c>
      <c r="C4978" t="str">
        <f t="shared" si="77"/>
        <v>3. $50K-250K</v>
      </c>
      <c r="D4978" t="s">
        <v>2057</v>
      </c>
      <c r="E4978" t="s">
        <v>112</v>
      </c>
      <c r="F4978" t="s">
        <v>668</v>
      </c>
      <c r="G4978" t="s">
        <v>59</v>
      </c>
      <c r="H4978">
        <v>2023</v>
      </c>
    </row>
    <row r="4979" spans="1:8" x14ac:dyDescent="0.2">
      <c r="A4979">
        <v>252188</v>
      </c>
      <c r="B4979">
        <v>100000</v>
      </c>
      <c r="C4979" t="str">
        <f t="shared" si="77"/>
        <v>2. $10K-50K</v>
      </c>
      <c r="D4979" t="s">
        <v>2058</v>
      </c>
      <c r="E4979" t="s">
        <v>112</v>
      </c>
      <c r="F4979" t="s">
        <v>668</v>
      </c>
      <c r="G4979" t="s">
        <v>59</v>
      </c>
      <c r="H4979">
        <v>2023</v>
      </c>
    </row>
    <row r="4980" spans="1:8" x14ac:dyDescent="0.2">
      <c r="A4980">
        <v>252189</v>
      </c>
      <c r="B4980">
        <v>50000</v>
      </c>
      <c r="C4980" t="str">
        <f t="shared" si="77"/>
        <v>3. $50K-250K</v>
      </c>
      <c r="D4980" t="s">
        <v>1530</v>
      </c>
      <c r="E4980" t="s">
        <v>112</v>
      </c>
      <c r="F4980" t="s">
        <v>668</v>
      </c>
      <c r="G4980" t="s">
        <v>59</v>
      </c>
      <c r="H4980">
        <v>2023</v>
      </c>
    </row>
    <row r="4981" spans="1:8" x14ac:dyDescent="0.2">
      <c r="A4981">
        <v>252191</v>
      </c>
      <c r="B4981">
        <v>40000</v>
      </c>
      <c r="C4981" t="str">
        <f t="shared" si="77"/>
        <v>3. $50K-250K</v>
      </c>
      <c r="D4981" t="s">
        <v>2029</v>
      </c>
      <c r="E4981" t="s">
        <v>112</v>
      </c>
      <c r="F4981" t="s">
        <v>668</v>
      </c>
      <c r="G4981" t="s">
        <v>59</v>
      </c>
      <c r="H4981">
        <v>2023</v>
      </c>
    </row>
    <row r="4982" spans="1:8" x14ac:dyDescent="0.2">
      <c r="A4982">
        <v>252298</v>
      </c>
      <c r="B4982">
        <v>960000</v>
      </c>
      <c r="C4982" t="str">
        <f t="shared" si="77"/>
        <v>2. $10K-50K</v>
      </c>
      <c r="D4982" t="s">
        <v>821</v>
      </c>
      <c r="E4982" t="s">
        <v>42</v>
      </c>
      <c r="F4982" t="s">
        <v>670</v>
      </c>
      <c r="G4982" t="s">
        <v>44</v>
      </c>
      <c r="H4982">
        <v>2024</v>
      </c>
    </row>
    <row r="4983" spans="1:8" x14ac:dyDescent="0.2">
      <c r="A4983">
        <v>252300</v>
      </c>
      <c r="B4983">
        <v>480000</v>
      </c>
      <c r="C4983" t="str">
        <f t="shared" si="77"/>
        <v>4. $250K-1M</v>
      </c>
      <c r="D4983" t="s">
        <v>847</v>
      </c>
      <c r="E4983" t="s">
        <v>42</v>
      </c>
      <c r="F4983" t="s">
        <v>670</v>
      </c>
      <c r="G4983" t="s">
        <v>44</v>
      </c>
      <c r="H4983">
        <v>2024</v>
      </c>
    </row>
    <row r="4984" spans="1:8" x14ac:dyDescent="0.2">
      <c r="A4984">
        <v>252301</v>
      </c>
      <c r="B4984">
        <v>360000</v>
      </c>
      <c r="C4984" t="str">
        <f t="shared" si="77"/>
        <v>4. $250K-1M</v>
      </c>
      <c r="D4984" t="s">
        <v>701</v>
      </c>
      <c r="E4984" t="s">
        <v>42</v>
      </c>
      <c r="F4984" t="s">
        <v>670</v>
      </c>
      <c r="G4984" t="s">
        <v>44</v>
      </c>
      <c r="H4984">
        <v>2024</v>
      </c>
    </row>
    <row r="4985" spans="1:8" x14ac:dyDescent="0.2">
      <c r="A4985">
        <v>252313</v>
      </c>
      <c r="B4985">
        <v>240000</v>
      </c>
      <c r="C4985" t="str">
        <f t="shared" si="77"/>
        <v>4. $250K-1M</v>
      </c>
      <c r="D4985" t="s">
        <v>823</v>
      </c>
      <c r="E4985" t="s">
        <v>42</v>
      </c>
      <c r="F4985" t="s">
        <v>670</v>
      </c>
      <c r="G4985" t="s">
        <v>44</v>
      </c>
      <c r="H4985">
        <v>2024</v>
      </c>
    </row>
    <row r="4986" spans="1:8" x14ac:dyDescent="0.2">
      <c r="A4986">
        <v>252317</v>
      </c>
      <c r="B4986">
        <v>600000</v>
      </c>
      <c r="C4986" t="str">
        <f t="shared" si="77"/>
        <v>3. $50K-250K</v>
      </c>
      <c r="D4986" t="s">
        <v>822</v>
      </c>
      <c r="E4986" t="s">
        <v>42</v>
      </c>
      <c r="F4986" t="s">
        <v>670</v>
      </c>
      <c r="G4986" t="s">
        <v>44</v>
      </c>
      <c r="H4986">
        <v>2024</v>
      </c>
    </row>
    <row r="4987" spans="1:8" x14ac:dyDescent="0.2">
      <c r="A4987">
        <v>252358</v>
      </c>
      <c r="B4987">
        <v>480000</v>
      </c>
      <c r="C4987" t="str">
        <f t="shared" si="77"/>
        <v>4. $250K-1M</v>
      </c>
      <c r="D4987" t="s">
        <v>783</v>
      </c>
      <c r="E4987" t="s">
        <v>42</v>
      </c>
      <c r="F4987" t="s">
        <v>670</v>
      </c>
      <c r="G4987" t="s">
        <v>44</v>
      </c>
      <c r="H4987">
        <v>2024</v>
      </c>
    </row>
    <row r="4988" spans="1:8" x14ac:dyDescent="0.2">
      <c r="A4988">
        <v>252406</v>
      </c>
      <c r="B4988">
        <v>247780</v>
      </c>
      <c r="C4988" t="str">
        <f t="shared" si="77"/>
        <v>4. $250K-1M</v>
      </c>
      <c r="D4988" t="s">
        <v>398</v>
      </c>
      <c r="E4988" t="s">
        <v>99</v>
      </c>
      <c r="F4988" t="s">
        <v>106</v>
      </c>
      <c r="G4988" t="s">
        <v>10</v>
      </c>
      <c r="H4988">
        <v>2024</v>
      </c>
    </row>
    <row r="4989" spans="1:8" x14ac:dyDescent="0.2">
      <c r="A4989">
        <v>252494</v>
      </c>
      <c r="B4989">
        <v>711674</v>
      </c>
      <c r="C4989" t="str">
        <f t="shared" si="77"/>
        <v>3. $50K-250K</v>
      </c>
      <c r="D4989" t="s">
        <v>849</v>
      </c>
      <c r="E4989" t="s">
        <v>42</v>
      </c>
      <c r="F4989" t="s">
        <v>670</v>
      </c>
      <c r="G4989" t="s">
        <v>44</v>
      </c>
      <c r="H4989">
        <v>2024</v>
      </c>
    </row>
    <row r="4990" spans="1:8" x14ac:dyDescent="0.2">
      <c r="A4990">
        <v>252697</v>
      </c>
      <c r="B4990">
        <v>2337435</v>
      </c>
      <c r="C4990" t="str">
        <f t="shared" si="77"/>
        <v>4. $250K-1M</v>
      </c>
      <c r="D4990" t="s">
        <v>771</v>
      </c>
      <c r="E4990" t="s">
        <v>42</v>
      </c>
      <c r="F4990" t="s">
        <v>670</v>
      </c>
      <c r="G4990" t="s">
        <v>59</v>
      </c>
      <c r="H4990">
        <v>2023</v>
      </c>
    </row>
    <row r="4991" spans="1:8" x14ac:dyDescent="0.2">
      <c r="A4991">
        <v>252698</v>
      </c>
      <c r="B4991">
        <v>180264.5</v>
      </c>
      <c r="C4991" t="str">
        <f t="shared" si="77"/>
        <v>5. $1M+</v>
      </c>
      <c r="D4991" t="s">
        <v>801</v>
      </c>
      <c r="E4991" t="s">
        <v>42</v>
      </c>
      <c r="F4991" t="s">
        <v>670</v>
      </c>
      <c r="G4991" t="s">
        <v>59</v>
      </c>
      <c r="H4991">
        <v>2023</v>
      </c>
    </row>
    <row r="4992" spans="1:8" x14ac:dyDescent="0.2">
      <c r="A4992">
        <v>252699</v>
      </c>
      <c r="B4992">
        <v>144867.79999999999</v>
      </c>
      <c r="C4992" t="str">
        <f t="shared" si="77"/>
        <v>3. $50K-250K</v>
      </c>
      <c r="D4992" t="s">
        <v>1000</v>
      </c>
      <c r="E4992" t="s">
        <v>42</v>
      </c>
      <c r="F4992" t="s">
        <v>670</v>
      </c>
      <c r="G4992" t="s">
        <v>59</v>
      </c>
      <c r="H4992">
        <v>2023</v>
      </c>
    </row>
    <row r="4993" spans="1:8" x14ac:dyDescent="0.2">
      <c r="A4993">
        <v>252700</v>
      </c>
      <c r="B4993">
        <v>86000.1</v>
      </c>
      <c r="C4993" t="str">
        <f t="shared" si="77"/>
        <v>3. $50K-250K</v>
      </c>
      <c r="D4993" t="s">
        <v>864</v>
      </c>
      <c r="E4993" t="s">
        <v>42</v>
      </c>
      <c r="F4993" t="s">
        <v>670</v>
      </c>
      <c r="G4993" t="s">
        <v>59</v>
      </c>
      <c r="H4993">
        <v>2023</v>
      </c>
    </row>
    <row r="4994" spans="1:8" x14ac:dyDescent="0.2">
      <c r="A4994">
        <v>252701</v>
      </c>
      <c r="B4994">
        <v>194342.3</v>
      </c>
      <c r="C4994" t="str">
        <f t="shared" si="77"/>
        <v>3. $50K-250K</v>
      </c>
      <c r="D4994" t="s">
        <v>1495</v>
      </c>
      <c r="E4994" t="s">
        <v>42</v>
      </c>
      <c r="F4994" t="s">
        <v>670</v>
      </c>
      <c r="G4994" t="s">
        <v>59</v>
      </c>
      <c r="H4994">
        <v>2023</v>
      </c>
    </row>
    <row r="4995" spans="1:8" x14ac:dyDescent="0.2">
      <c r="A4995">
        <v>252702</v>
      </c>
      <c r="B4995">
        <v>357901</v>
      </c>
      <c r="C4995" t="str">
        <f t="shared" ref="C4995:C5058" si="78">IF(B4994&lt;10000,"1. Under $10K",IF(B4994&lt;50000,"2. $10K-50K",IF(B4994&lt;250000,"3. $50K-250K",IF(B4994&lt;1000000,"4. $250K-1M","5. $1M+"))))</f>
        <v>3. $50K-250K</v>
      </c>
      <c r="D4995" t="s">
        <v>808</v>
      </c>
      <c r="E4995" t="s">
        <v>42</v>
      </c>
      <c r="F4995" t="s">
        <v>670</v>
      </c>
      <c r="G4995" t="s">
        <v>59</v>
      </c>
      <c r="H4995">
        <v>2023</v>
      </c>
    </row>
    <row r="4996" spans="1:8" x14ac:dyDescent="0.2">
      <c r="A4996">
        <v>252703</v>
      </c>
      <c r="B4996">
        <v>119976.9</v>
      </c>
      <c r="C4996" t="str">
        <f t="shared" si="78"/>
        <v>4. $250K-1M</v>
      </c>
      <c r="D4996" t="s">
        <v>391</v>
      </c>
      <c r="E4996" t="s">
        <v>42</v>
      </c>
      <c r="F4996" t="s">
        <v>670</v>
      </c>
      <c r="G4996" t="s">
        <v>59</v>
      </c>
      <c r="H4996">
        <v>2023</v>
      </c>
    </row>
    <row r="4997" spans="1:8" x14ac:dyDescent="0.2">
      <c r="A4997">
        <v>252721</v>
      </c>
      <c r="B4997">
        <v>70000</v>
      </c>
      <c r="C4997" t="str">
        <f t="shared" si="78"/>
        <v>3. $50K-250K</v>
      </c>
      <c r="D4997" t="s">
        <v>2059</v>
      </c>
      <c r="E4997" t="s">
        <v>112</v>
      </c>
      <c r="F4997" t="s">
        <v>668</v>
      </c>
      <c r="G4997" t="s">
        <v>59</v>
      </c>
      <c r="H4997">
        <v>2023</v>
      </c>
    </row>
    <row r="4998" spans="1:8" x14ac:dyDescent="0.2">
      <c r="A4998">
        <v>252722</v>
      </c>
      <c r="B4998">
        <v>45000</v>
      </c>
      <c r="C4998" t="str">
        <f t="shared" si="78"/>
        <v>3. $50K-250K</v>
      </c>
      <c r="D4998" t="s">
        <v>2060</v>
      </c>
      <c r="E4998" t="s">
        <v>112</v>
      </c>
      <c r="F4998" t="s">
        <v>668</v>
      </c>
      <c r="G4998" t="s">
        <v>59</v>
      </c>
      <c r="H4998">
        <v>2023</v>
      </c>
    </row>
    <row r="4999" spans="1:8" x14ac:dyDescent="0.2">
      <c r="A4999">
        <v>252758</v>
      </c>
      <c r="B4999">
        <v>14589.4</v>
      </c>
      <c r="C4999" t="str">
        <f t="shared" si="78"/>
        <v>2. $10K-50K</v>
      </c>
      <c r="D4999" t="s">
        <v>855</v>
      </c>
      <c r="E4999" t="s">
        <v>42</v>
      </c>
      <c r="F4999" t="s">
        <v>670</v>
      </c>
      <c r="G4999" t="s">
        <v>59</v>
      </c>
      <c r="H4999">
        <v>2023</v>
      </c>
    </row>
    <row r="5000" spans="1:8" x14ac:dyDescent="0.2">
      <c r="A5000">
        <v>252759</v>
      </c>
      <c r="B5000">
        <v>46666.7</v>
      </c>
      <c r="C5000" t="str">
        <f t="shared" si="78"/>
        <v>2. $10K-50K</v>
      </c>
      <c r="D5000" t="s">
        <v>878</v>
      </c>
      <c r="E5000" t="s">
        <v>42</v>
      </c>
      <c r="F5000" t="s">
        <v>670</v>
      </c>
      <c r="G5000" t="s">
        <v>59</v>
      </c>
      <c r="H5000">
        <v>2023</v>
      </c>
    </row>
    <row r="5001" spans="1:8" x14ac:dyDescent="0.2">
      <c r="A5001">
        <v>252760</v>
      </c>
      <c r="B5001">
        <v>60000</v>
      </c>
      <c r="C5001" t="str">
        <f t="shared" si="78"/>
        <v>2. $10K-50K</v>
      </c>
      <c r="D5001" t="s">
        <v>671</v>
      </c>
      <c r="E5001" t="s">
        <v>42</v>
      </c>
      <c r="F5001" t="s">
        <v>670</v>
      </c>
      <c r="G5001" t="s">
        <v>59</v>
      </c>
      <c r="H5001">
        <v>2023</v>
      </c>
    </row>
    <row r="5002" spans="1:8" x14ac:dyDescent="0.2">
      <c r="A5002">
        <v>252761</v>
      </c>
      <c r="B5002">
        <v>1300</v>
      </c>
      <c r="C5002" t="str">
        <f t="shared" si="78"/>
        <v>3. $50K-250K</v>
      </c>
      <c r="D5002" t="s">
        <v>864</v>
      </c>
      <c r="E5002" t="s">
        <v>42</v>
      </c>
      <c r="F5002" t="s">
        <v>670</v>
      </c>
      <c r="G5002" t="s">
        <v>59</v>
      </c>
      <c r="H5002">
        <v>2023</v>
      </c>
    </row>
    <row r="5003" spans="1:8" x14ac:dyDescent="0.2">
      <c r="A5003">
        <v>252775</v>
      </c>
      <c r="B5003">
        <v>191442.4</v>
      </c>
      <c r="C5003" t="str">
        <f t="shared" si="78"/>
        <v>1. Under $10K</v>
      </c>
      <c r="D5003" t="s">
        <v>1423</v>
      </c>
      <c r="E5003" t="s">
        <v>42</v>
      </c>
      <c r="F5003" t="s">
        <v>670</v>
      </c>
      <c r="G5003" t="s">
        <v>59</v>
      </c>
      <c r="H5003">
        <v>2023</v>
      </c>
    </row>
    <row r="5004" spans="1:8" x14ac:dyDescent="0.2">
      <c r="A5004">
        <v>252776</v>
      </c>
      <c r="B5004">
        <v>354008.6</v>
      </c>
      <c r="C5004" t="str">
        <f t="shared" si="78"/>
        <v>3. $50K-250K</v>
      </c>
      <c r="D5004" t="s">
        <v>1352</v>
      </c>
      <c r="E5004" t="s">
        <v>42</v>
      </c>
      <c r="F5004" t="s">
        <v>670</v>
      </c>
      <c r="G5004" t="s">
        <v>59</v>
      </c>
      <c r="H5004">
        <v>2023</v>
      </c>
    </row>
    <row r="5005" spans="1:8" x14ac:dyDescent="0.2">
      <c r="A5005">
        <v>252777</v>
      </c>
      <c r="B5005">
        <v>634992.1</v>
      </c>
      <c r="C5005" t="str">
        <f t="shared" si="78"/>
        <v>4. $250K-1M</v>
      </c>
      <c r="D5005" t="s">
        <v>1731</v>
      </c>
      <c r="E5005" t="s">
        <v>42</v>
      </c>
      <c r="F5005" t="s">
        <v>670</v>
      </c>
      <c r="G5005" t="s">
        <v>59</v>
      </c>
      <c r="H5005">
        <v>2023</v>
      </c>
    </row>
    <row r="5006" spans="1:8" x14ac:dyDescent="0.2">
      <c r="A5006">
        <v>252778</v>
      </c>
      <c r="B5006">
        <v>643951.19999999995</v>
      </c>
      <c r="C5006" t="str">
        <f t="shared" si="78"/>
        <v>4. $250K-1M</v>
      </c>
      <c r="D5006" t="s">
        <v>1090</v>
      </c>
      <c r="E5006" t="s">
        <v>42</v>
      </c>
      <c r="F5006" t="s">
        <v>670</v>
      </c>
      <c r="G5006" t="s">
        <v>59</v>
      </c>
      <c r="H5006">
        <v>2023</v>
      </c>
    </row>
    <row r="5007" spans="1:8" x14ac:dyDescent="0.2">
      <c r="A5007">
        <v>252779</v>
      </c>
      <c r="B5007">
        <v>348452</v>
      </c>
      <c r="C5007" t="str">
        <f t="shared" si="78"/>
        <v>4. $250K-1M</v>
      </c>
      <c r="D5007" t="s">
        <v>1472</v>
      </c>
      <c r="E5007" t="s">
        <v>42</v>
      </c>
      <c r="F5007" t="s">
        <v>670</v>
      </c>
      <c r="G5007" t="s">
        <v>59</v>
      </c>
      <c r="H5007">
        <v>2023</v>
      </c>
    </row>
    <row r="5008" spans="1:8" x14ac:dyDescent="0.2">
      <c r="A5008">
        <v>252780</v>
      </c>
      <c r="B5008">
        <v>116412</v>
      </c>
      <c r="C5008" t="str">
        <f t="shared" si="78"/>
        <v>4. $250K-1M</v>
      </c>
      <c r="D5008" t="s">
        <v>683</v>
      </c>
      <c r="E5008" t="s">
        <v>42</v>
      </c>
      <c r="F5008" t="s">
        <v>670</v>
      </c>
      <c r="G5008" t="s">
        <v>59</v>
      </c>
      <c r="H5008">
        <v>2023</v>
      </c>
    </row>
    <row r="5009" spans="1:8" x14ac:dyDescent="0.2">
      <c r="A5009">
        <v>252781</v>
      </c>
      <c r="B5009">
        <v>160586.29999999999</v>
      </c>
      <c r="C5009" t="str">
        <f t="shared" si="78"/>
        <v>3. $50K-250K</v>
      </c>
      <c r="D5009" t="s">
        <v>999</v>
      </c>
      <c r="E5009" t="s">
        <v>42</v>
      </c>
      <c r="F5009" t="s">
        <v>670</v>
      </c>
      <c r="G5009" t="s">
        <v>59</v>
      </c>
      <c r="H5009">
        <v>2023</v>
      </c>
    </row>
    <row r="5010" spans="1:8" x14ac:dyDescent="0.2">
      <c r="A5010">
        <v>252782</v>
      </c>
      <c r="B5010">
        <v>377837.4</v>
      </c>
      <c r="C5010" t="str">
        <f t="shared" si="78"/>
        <v>3. $50K-250K</v>
      </c>
      <c r="D5010" t="s">
        <v>391</v>
      </c>
      <c r="E5010" t="s">
        <v>42</v>
      </c>
      <c r="F5010" t="s">
        <v>670</v>
      </c>
      <c r="G5010" t="s">
        <v>59</v>
      </c>
      <c r="H5010">
        <v>2023</v>
      </c>
    </row>
    <row r="5011" spans="1:8" x14ac:dyDescent="0.2">
      <c r="A5011">
        <v>252786</v>
      </c>
      <c r="B5011">
        <v>6560840</v>
      </c>
      <c r="C5011" t="str">
        <f t="shared" si="78"/>
        <v>4. $250K-1M</v>
      </c>
      <c r="D5011" t="s">
        <v>1052</v>
      </c>
      <c r="E5011" t="s">
        <v>237</v>
      </c>
      <c r="F5011" t="s">
        <v>670</v>
      </c>
      <c r="G5011" t="s">
        <v>44</v>
      </c>
      <c r="H5011">
        <v>2024</v>
      </c>
    </row>
    <row r="5012" spans="1:8" x14ac:dyDescent="0.2">
      <c r="A5012">
        <v>252787</v>
      </c>
      <c r="B5012">
        <v>6560840</v>
      </c>
      <c r="C5012" t="str">
        <f t="shared" si="78"/>
        <v>5. $1M+</v>
      </c>
      <c r="D5012" t="s">
        <v>1052</v>
      </c>
      <c r="E5012" t="s">
        <v>237</v>
      </c>
      <c r="F5012" t="s">
        <v>670</v>
      </c>
      <c r="G5012" t="s">
        <v>44</v>
      </c>
      <c r="H5012">
        <v>2024</v>
      </c>
    </row>
    <row r="5013" spans="1:8" x14ac:dyDescent="0.2">
      <c r="A5013">
        <v>252791</v>
      </c>
      <c r="B5013">
        <v>667000</v>
      </c>
      <c r="C5013" t="str">
        <f t="shared" si="78"/>
        <v>5. $1M+</v>
      </c>
      <c r="D5013" t="s">
        <v>711</v>
      </c>
      <c r="E5013" t="s">
        <v>237</v>
      </c>
      <c r="F5013" t="s">
        <v>670</v>
      </c>
      <c r="G5013" t="s">
        <v>44</v>
      </c>
      <c r="H5013">
        <v>2024</v>
      </c>
    </row>
    <row r="5014" spans="1:8" x14ac:dyDescent="0.2">
      <c r="A5014">
        <v>252798</v>
      </c>
      <c r="B5014">
        <v>913504</v>
      </c>
      <c r="C5014" t="str">
        <f t="shared" si="78"/>
        <v>4. $250K-1M</v>
      </c>
      <c r="D5014" t="s">
        <v>721</v>
      </c>
      <c r="E5014" t="s">
        <v>237</v>
      </c>
      <c r="F5014" t="s">
        <v>670</v>
      </c>
      <c r="G5014" t="s">
        <v>59</v>
      </c>
      <c r="H5014">
        <v>2024</v>
      </c>
    </row>
    <row r="5015" spans="1:8" x14ac:dyDescent="0.2">
      <c r="A5015">
        <v>252800</v>
      </c>
      <c r="B5015">
        <v>1126355</v>
      </c>
      <c r="C5015" t="str">
        <f t="shared" si="78"/>
        <v>4. $250K-1M</v>
      </c>
      <c r="D5015" t="s">
        <v>867</v>
      </c>
      <c r="E5015" t="s">
        <v>237</v>
      </c>
      <c r="F5015" t="s">
        <v>670</v>
      </c>
      <c r="G5015" t="s">
        <v>59</v>
      </c>
      <c r="H5015">
        <v>2024</v>
      </c>
    </row>
    <row r="5016" spans="1:8" x14ac:dyDescent="0.2">
      <c r="A5016">
        <v>252801</v>
      </c>
      <c r="B5016">
        <v>2462302</v>
      </c>
      <c r="C5016" t="str">
        <f t="shared" si="78"/>
        <v>5. $1M+</v>
      </c>
      <c r="D5016" t="s">
        <v>860</v>
      </c>
      <c r="E5016" t="s">
        <v>237</v>
      </c>
      <c r="F5016" t="s">
        <v>670</v>
      </c>
      <c r="G5016" t="s">
        <v>59</v>
      </c>
      <c r="H5016">
        <v>2024</v>
      </c>
    </row>
    <row r="5017" spans="1:8" x14ac:dyDescent="0.2">
      <c r="A5017">
        <v>252802</v>
      </c>
      <c r="B5017">
        <v>9000</v>
      </c>
      <c r="C5017" t="str">
        <f t="shared" si="78"/>
        <v>5. $1M+</v>
      </c>
      <c r="D5017" t="s">
        <v>1524</v>
      </c>
      <c r="E5017" t="s">
        <v>42</v>
      </c>
      <c r="F5017" t="s">
        <v>670</v>
      </c>
      <c r="G5017" t="s">
        <v>59</v>
      </c>
      <c r="H5017">
        <v>2023</v>
      </c>
    </row>
    <row r="5018" spans="1:8" x14ac:dyDescent="0.2">
      <c r="A5018">
        <v>252803</v>
      </c>
      <c r="B5018">
        <v>8000</v>
      </c>
      <c r="C5018" t="str">
        <f t="shared" si="78"/>
        <v>1. Under $10K</v>
      </c>
      <c r="D5018" t="s">
        <v>677</v>
      </c>
      <c r="E5018" t="s">
        <v>42</v>
      </c>
      <c r="F5018" t="s">
        <v>670</v>
      </c>
      <c r="G5018" t="s">
        <v>59</v>
      </c>
      <c r="H5018">
        <v>2023</v>
      </c>
    </row>
    <row r="5019" spans="1:8" x14ac:dyDescent="0.2">
      <c r="A5019">
        <v>252804</v>
      </c>
      <c r="B5019">
        <v>89243.3</v>
      </c>
      <c r="C5019" t="str">
        <f t="shared" si="78"/>
        <v>1. Under $10K</v>
      </c>
      <c r="D5019" t="s">
        <v>687</v>
      </c>
      <c r="E5019" t="s">
        <v>42</v>
      </c>
      <c r="F5019" t="s">
        <v>670</v>
      </c>
      <c r="G5019" t="s">
        <v>59</v>
      </c>
      <c r="H5019">
        <v>2023</v>
      </c>
    </row>
    <row r="5020" spans="1:8" x14ac:dyDescent="0.2">
      <c r="A5020">
        <v>252805</v>
      </c>
      <c r="B5020">
        <v>401500</v>
      </c>
      <c r="C5020" t="str">
        <f t="shared" si="78"/>
        <v>3. $50K-250K</v>
      </c>
      <c r="D5020" t="s">
        <v>807</v>
      </c>
      <c r="E5020" t="s">
        <v>237</v>
      </c>
      <c r="F5020" t="s">
        <v>670</v>
      </c>
      <c r="G5020" t="s">
        <v>59</v>
      </c>
      <c r="H5020">
        <v>2024</v>
      </c>
    </row>
    <row r="5021" spans="1:8" x14ac:dyDescent="0.2">
      <c r="A5021">
        <v>252817</v>
      </c>
      <c r="B5021">
        <v>20000</v>
      </c>
      <c r="C5021" t="str">
        <f t="shared" si="78"/>
        <v>4. $250K-1M</v>
      </c>
      <c r="D5021" t="s">
        <v>2061</v>
      </c>
      <c r="E5021" t="s">
        <v>112</v>
      </c>
      <c r="F5021" t="s">
        <v>668</v>
      </c>
      <c r="G5021" t="s">
        <v>59</v>
      </c>
      <c r="H5021">
        <v>2023</v>
      </c>
    </row>
    <row r="5022" spans="1:8" x14ac:dyDescent="0.2">
      <c r="A5022">
        <v>252818</v>
      </c>
      <c r="B5022">
        <v>250000</v>
      </c>
      <c r="C5022" t="str">
        <f t="shared" si="78"/>
        <v>2. $10K-50K</v>
      </c>
      <c r="D5022" t="s">
        <v>2062</v>
      </c>
      <c r="E5022" t="s">
        <v>99</v>
      </c>
      <c r="F5022" t="s">
        <v>668</v>
      </c>
      <c r="G5022" t="s">
        <v>59</v>
      </c>
      <c r="H5022">
        <v>2023</v>
      </c>
    </row>
    <row r="5023" spans="1:8" x14ac:dyDescent="0.2">
      <c r="A5023">
        <v>252819</v>
      </c>
      <c r="B5023">
        <v>22374</v>
      </c>
      <c r="C5023" t="str">
        <f t="shared" si="78"/>
        <v>4. $250K-1M</v>
      </c>
      <c r="D5023" t="s">
        <v>957</v>
      </c>
      <c r="E5023" t="s">
        <v>99</v>
      </c>
      <c r="F5023" t="s">
        <v>668</v>
      </c>
      <c r="G5023" t="s">
        <v>59</v>
      </c>
      <c r="H5023">
        <v>2023</v>
      </c>
    </row>
    <row r="5024" spans="1:8" x14ac:dyDescent="0.2">
      <c r="A5024">
        <v>252820</v>
      </c>
      <c r="B5024">
        <v>28131</v>
      </c>
      <c r="C5024" t="str">
        <f t="shared" si="78"/>
        <v>2. $10K-50K</v>
      </c>
      <c r="D5024" t="s">
        <v>2063</v>
      </c>
      <c r="E5024" t="s">
        <v>99</v>
      </c>
      <c r="F5024" t="s">
        <v>668</v>
      </c>
      <c r="G5024" t="s">
        <v>59</v>
      </c>
      <c r="H5024">
        <v>2023</v>
      </c>
    </row>
    <row r="5025" spans="1:8" x14ac:dyDescent="0.2">
      <c r="A5025">
        <v>252912</v>
      </c>
      <c r="B5025">
        <v>11345.2</v>
      </c>
      <c r="C5025" t="str">
        <f t="shared" si="78"/>
        <v>2. $10K-50K</v>
      </c>
      <c r="D5025" t="s">
        <v>676</v>
      </c>
      <c r="E5025" t="s">
        <v>42</v>
      </c>
      <c r="F5025" t="s">
        <v>670</v>
      </c>
      <c r="G5025" t="s">
        <v>59</v>
      </c>
      <c r="H5025">
        <v>2023</v>
      </c>
    </row>
    <row r="5026" spans="1:8" x14ac:dyDescent="0.2">
      <c r="A5026">
        <v>253028</v>
      </c>
      <c r="B5026">
        <v>135000</v>
      </c>
      <c r="C5026" t="str">
        <f t="shared" si="78"/>
        <v>2. $10K-50K</v>
      </c>
      <c r="D5026" t="s">
        <v>822</v>
      </c>
      <c r="E5026" t="s">
        <v>825</v>
      </c>
      <c r="F5026" t="s">
        <v>670</v>
      </c>
      <c r="G5026" t="s">
        <v>44</v>
      </c>
      <c r="H5026">
        <v>2024</v>
      </c>
    </row>
    <row r="5027" spans="1:8" x14ac:dyDescent="0.2">
      <c r="A5027">
        <v>253029</v>
      </c>
      <c r="B5027">
        <v>360000</v>
      </c>
      <c r="C5027" t="str">
        <f t="shared" si="78"/>
        <v>3. $50K-250K</v>
      </c>
      <c r="D5027" t="s">
        <v>975</v>
      </c>
      <c r="E5027" t="s">
        <v>825</v>
      </c>
      <c r="F5027" t="s">
        <v>670</v>
      </c>
      <c r="G5027" t="s">
        <v>44</v>
      </c>
      <c r="H5027">
        <v>2024</v>
      </c>
    </row>
    <row r="5028" spans="1:8" x14ac:dyDescent="0.2">
      <c r="A5028">
        <v>253030</v>
      </c>
      <c r="B5028">
        <v>495000</v>
      </c>
      <c r="C5028" t="str">
        <f t="shared" si="78"/>
        <v>4. $250K-1M</v>
      </c>
      <c r="D5028" t="s">
        <v>771</v>
      </c>
      <c r="E5028" t="s">
        <v>825</v>
      </c>
      <c r="F5028" t="s">
        <v>670</v>
      </c>
      <c r="G5028" t="s">
        <v>44</v>
      </c>
      <c r="H5028">
        <v>2024</v>
      </c>
    </row>
    <row r="5029" spans="1:8" x14ac:dyDescent="0.2">
      <c r="A5029">
        <v>253031</v>
      </c>
      <c r="B5029">
        <v>141000</v>
      </c>
      <c r="C5029" t="str">
        <f t="shared" si="78"/>
        <v>4. $250K-1M</v>
      </c>
      <c r="D5029" t="s">
        <v>880</v>
      </c>
      <c r="E5029" t="s">
        <v>825</v>
      </c>
      <c r="F5029" t="s">
        <v>670</v>
      </c>
      <c r="G5029" t="s">
        <v>44</v>
      </c>
      <c r="H5029">
        <v>2024</v>
      </c>
    </row>
    <row r="5030" spans="1:8" x14ac:dyDescent="0.2">
      <c r="A5030">
        <v>253032</v>
      </c>
      <c r="B5030">
        <v>128200</v>
      </c>
      <c r="C5030" t="str">
        <f t="shared" si="78"/>
        <v>3. $50K-250K</v>
      </c>
      <c r="D5030" t="s">
        <v>701</v>
      </c>
      <c r="E5030" t="s">
        <v>825</v>
      </c>
      <c r="F5030" t="s">
        <v>670</v>
      </c>
      <c r="G5030" t="s">
        <v>44</v>
      </c>
      <c r="H5030">
        <v>2024</v>
      </c>
    </row>
    <row r="5031" spans="1:8" x14ac:dyDescent="0.2">
      <c r="A5031">
        <v>253033</v>
      </c>
      <c r="B5031">
        <v>61800</v>
      </c>
      <c r="C5031" t="str">
        <f t="shared" si="78"/>
        <v>3. $50K-250K</v>
      </c>
      <c r="D5031" t="s">
        <v>2064</v>
      </c>
      <c r="E5031" t="s">
        <v>825</v>
      </c>
      <c r="F5031" t="s">
        <v>670</v>
      </c>
      <c r="G5031" t="s">
        <v>44</v>
      </c>
      <c r="H5031">
        <v>2024</v>
      </c>
    </row>
    <row r="5032" spans="1:8" x14ac:dyDescent="0.2">
      <c r="A5032">
        <v>253034</v>
      </c>
      <c r="B5032">
        <v>248000</v>
      </c>
      <c r="C5032" t="str">
        <f t="shared" si="78"/>
        <v>3. $50K-250K</v>
      </c>
      <c r="D5032" t="s">
        <v>956</v>
      </c>
      <c r="E5032" t="s">
        <v>825</v>
      </c>
      <c r="F5032" t="s">
        <v>670</v>
      </c>
      <c r="G5032" t="s">
        <v>44</v>
      </c>
      <c r="H5032">
        <v>2024</v>
      </c>
    </row>
    <row r="5033" spans="1:8" x14ac:dyDescent="0.2">
      <c r="A5033">
        <v>253035</v>
      </c>
      <c r="B5033">
        <v>196540</v>
      </c>
      <c r="C5033" t="str">
        <f t="shared" si="78"/>
        <v>3. $50K-250K</v>
      </c>
      <c r="D5033" t="s">
        <v>726</v>
      </c>
      <c r="E5033" t="s">
        <v>825</v>
      </c>
      <c r="F5033" t="s">
        <v>670</v>
      </c>
      <c r="G5033" t="s">
        <v>44</v>
      </c>
      <c r="H5033">
        <v>2024</v>
      </c>
    </row>
    <row r="5034" spans="1:8" x14ac:dyDescent="0.2">
      <c r="A5034">
        <v>253036</v>
      </c>
      <c r="B5034">
        <v>300880</v>
      </c>
      <c r="C5034" t="str">
        <f t="shared" si="78"/>
        <v>3. $50K-250K</v>
      </c>
      <c r="D5034" t="s">
        <v>936</v>
      </c>
      <c r="E5034" t="s">
        <v>825</v>
      </c>
      <c r="F5034" t="s">
        <v>670</v>
      </c>
      <c r="G5034" t="s">
        <v>44</v>
      </c>
      <c r="H5034">
        <v>2024</v>
      </c>
    </row>
    <row r="5035" spans="1:8" x14ac:dyDescent="0.2">
      <c r="A5035">
        <v>253037</v>
      </c>
      <c r="B5035">
        <v>248000</v>
      </c>
      <c r="C5035" t="str">
        <f t="shared" si="78"/>
        <v>4. $250K-1M</v>
      </c>
      <c r="D5035" t="s">
        <v>1547</v>
      </c>
      <c r="E5035" t="s">
        <v>825</v>
      </c>
      <c r="F5035" t="s">
        <v>670</v>
      </c>
      <c r="G5035" t="s">
        <v>44</v>
      </c>
      <c r="H5035">
        <v>2024</v>
      </c>
    </row>
    <row r="5036" spans="1:8" x14ac:dyDescent="0.2">
      <c r="A5036">
        <v>253038</v>
      </c>
      <c r="B5036">
        <v>128200</v>
      </c>
      <c r="C5036" t="str">
        <f t="shared" si="78"/>
        <v>3. $50K-250K</v>
      </c>
      <c r="D5036" t="s">
        <v>926</v>
      </c>
      <c r="E5036" t="s">
        <v>825</v>
      </c>
      <c r="F5036" t="s">
        <v>670</v>
      </c>
      <c r="G5036" t="s">
        <v>44</v>
      </c>
      <c r="H5036">
        <v>2024</v>
      </c>
    </row>
    <row r="5037" spans="1:8" x14ac:dyDescent="0.2">
      <c r="A5037">
        <v>253039</v>
      </c>
      <c r="B5037">
        <v>190000</v>
      </c>
      <c r="C5037" t="str">
        <f t="shared" si="78"/>
        <v>3. $50K-250K</v>
      </c>
      <c r="D5037" t="s">
        <v>977</v>
      </c>
      <c r="E5037" t="s">
        <v>825</v>
      </c>
      <c r="F5037" t="s">
        <v>670</v>
      </c>
      <c r="G5037" t="s">
        <v>44</v>
      </c>
      <c r="H5037">
        <v>2024</v>
      </c>
    </row>
    <row r="5038" spans="1:8" x14ac:dyDescent="0.2">
      <c r="A5038">
        <v>253040</v>
      </c>
      <c r="B5038">
        <v>197580</v>
      </c>
      <c r="C5038" t="str">
        <f t="shared" si="78"/>
        <v>3. $50K-250K</v>
      </c>
      <c r="D5038" t="s">
        <v>919</v>
      </c>
      <c r="E5038" t="s">
        <v>825</v>
      </c>
      <c r="F5038" t="s">
        <v>670</v>
      </c>
      <c r="G5038" t="s">
        <v>44</v>
      </c>
      <c r="H5038">
        <v>2024</v>
      </c>
    </row>
    <row r="5039" spans="1:8" x14ac:dyDescent="0.2">
      <c r="A5039">
        <v>253059</v>
      </c>
      <c r="B5039">
        <v>259750</v>
      </c>
      <c r="C5039" t="str">
        <f t="shared" si="78"/>
        <v>3. $50K-250K</v>
      </c>
      <c r="D5039" t="s">
        <v>960</v>
      </c>
      <c r="E5039" t="s">
        <v>825</v>
      </c>
      <c r="F5039" t="s">
        <v>670</v>
      </c>
      <c r="G5039" t="s">
        <v>44</v>
      </c>
      <c r="H5039">
        <v>2024</v>
      </c>
    </row>
    <row r="5040" spans="1:8" x14ac:dyDescent="0.2">
      <c r="A5040">
        <v>253060</v>
      </c>
      <c r="B5040">
        <v>259750</v>
      </c>
      <c r="C5040" t="str">
        <f t="shared" si="78"/>
        <v>4. $250K-1M</v>
      </c>
      <c r="D5040" t="s">
        <v>942</v>
      </c>
      <c r="E5040" t="s">
        <v>825</v>
      </c>
      <c r="F5040" t="s">
        <v>670</v>
      </c>
      <c r="G5040" t="s">
        <v>44</v>
      </c>
      <c r="H5040">
        <v>2024</v>
      </c>
    </row>
    <row r="5041" spans="1:8" x14ac:dyDescent="0.2">
      <c r="A5041">
        <v>253062</v>
      </c>
      <c r="B5041">
        <v>237000</v>
      </c>
      <c r="C5041" t="str">
        <f t="shared" si="78"/>
        <v>4. $250K-1M</v>
      </c>
      <c r="D5041" t="s">
        <v>961</v>
      </c>
      <c r="E5041" t="s">
        <v>825</v>
      </c>
      <c r="F5041" t="s">
        <v>670</v>
      </c>
      <c r="G5041" t="s">
        <v>44</v>
      </c>
      <c r="H5041">
        <v>2024</v>
      </c>
    </row>
    <row r="5042" spans="1:8" x14ac:dyDescent="0.2">
      <c r="A5042">
        <v>253064</v>
      </c>
      <c r="B5042">
        <v>237000</v>
      </c>
      <c r="C5042" t="str">
        <f t="shared" si="78"/>
        <v>3. $50K-250K</v>
      </c>
      <c r="D5042" t="s">
        <v>948</v>
      </c>
      <c r="E5042" t="s">
        <v>825</v>
      </c>
      <c r="F5042" t="s">
        <v>670</v>
      </c>
      <c r="G5042" t="s">
        <v>44</v>
      </c>
      <c r="H5042">
        <v>2024</v>
      </c>
    </row>
    <row r="5043" spans="1:8" x14ac:dyDescent="0.2">
      <c r="A5043">
        <v>253065</v>
      </c>
      <c r="B5043">
        <v>259750</v>
      </c>
      <c r="C5043" t="str">
        <f t="shared" si="78"/>
        <v>3. $50K-250K</v>
      </c>
      <c r="D5043" t="s">
        <v>900</v>
      </c>
      <c r="E5043" t="s">
        <v>825</v>
      </c>
      <c r="F5043" t="s">
        <v>670</v>
      </c>
      <c r="G5043" t="s">
        <v>44</v>
      </c>
      <c r="H5043">
        <v>2024</v>
      </c>
    </row>
    <row r="5044" spans="1:8" x14ac:dyDescent="0.2">
      <c r="A5044">
        <v>253066</v>
      </c>
      <c r="B5044">
        <v>237000</v>
      </c>
      <c r="C5044" t="str">
        <f t="shared" si="78"/>
        <v>4. $250K-1M</v>
      </c>
      <c r="D5044" t="s">
        <v>1505</v>
      </c>
      <c r="E5044" t="s">
        <v>825</v>
      </c>
      <c r="F5044" t="s">
        <v>670</v>
      </c>
      <c r="G5044" t="s">
        <v>44</v>
      </c>
      <c r="H5044">
        <v>2024</v>
      </c>
    </row>
    <row r="5045" spans="1:8" x14ac:dyDescent="0.2">
      <c r="A5045">
        <v>253067</v>
      </c>
      <c r="B5045">
        <v>259750</v>
      </c>
      <c r="C5045" t="str">
        <f t="shared" si="78"/>
        <v>3. $50K-250K</v>
      </c>
      <c r="D5045" t="s">
        <v>726</v>
      </c>
      <c r="E5045" t="s">
        <v>825</v>
      </c>
      <c r="F5045" t="s">
        <v>670</v>
      </c>
      <c r="G5045" t="s">
        <v>44</v>
      </c>
      <c r="H5045">
        <v>2024</v>
      </c>
    </row>
    <row r="5046" spans="1:8" x14ac:dyDescent="0.2">
      <c r="A5046">
        <v>253068</v>
      </c>
      <c r="B5046">
        <v>237000</v>
      </c>
      <c r="C5046" t="str">
        <f t="shared" si="78"/>
        <v>4. $250K-1M</v>
      </c>
      <c r="D5046" t="s">
        <v>945</v>
      </c>
      <c r="E5046" t="s">
        <v>825</v>
      </c>
      <c r="F5046" t="s">
        <v>670</v>
      </c>
      <c r="G5046" t="s">
        <v>44</v>
      </c>
      <c r="H5046">
        <v>2024</v>
      </c>
    </row>
    <row r="5047" spans="1:8" x14ac:dyDescent="0.2">
      <c r="A5047">
        <v>253073</v>
      </c>
      <c r="B5047">
        <v>145470</v>
      </c>
      <c r="C5047" t="str">
        <f t="shared" si="78"/>
        <v>3. $50K-250K</v>
      </c>
      <c r="D5047" t="s">
        <v>960</v>
      </c>
      <c r="E5047" t="s">
        <v>825</v>
      </c>
      <c r="F5047" t="s">
        <v>670</v>
      </c>
      <c r="G5047" t="s">
        <v>44</v>
      </c>
      <c r="H5047">
        <v>2024</v>
      </c>
    </row>
    <row r="5048" spans="1:8" x14ac:dyDescent="0.2">
      <c r="A5048">
        <v>253075</v>
      </c>
      <c r="B5048">
        <v>145540</v>
      </c>
      <c r="C5048" t="str">
        <f t="shared" si="78"/>
        <v>3. $50K-250K</v>
      </c>
      <c r="D5048" t="s">
        <v>975</v>
      </c>
      <c r="E5048" t="s">
        <v>825</v>
      </c>
      <c r="F5048" t="s">
        <v>670</v>
      </c>
      <c r="G5048" t="s">
        <v>44</v>
      </c>
      <c r="H5048">
        <v>2024</v>
      </c>
    </row>
    <row r="5049" spans="1:8" x14ac:dyDescent="0.2">
      <c r="A5049">
        <v>253076</v>
      </c>
      <c r="B5049">
        <v>120000</v>
      </c>
      <c r="C5049" t="str">
        <f t="shared" si="78"/>
        <v>3. $50K-250K</v>
      </c>
      <c r="D5049" t="s">
        <v>882</v>
      </c>
      <c r="E5049" t="s">
        <v>825</v>
      </c>
      <c r="F5049" t="s">
        <v>670</v>
      </c>
      <c r="G5049" t="s">
        <v>44</v>
      </c>
      <c r="H5049">
        <v>2024</v>
      </c>
    </row>
    <row r="5050" spans="1:8" x14ac:dyDescent="0.2">
      <c r="A5050">
        <v>253078</v>
      </c>
      <c r="B5050">
        <v>145540</v>
      </c>
      <c r="C5050" t="str">
        <f t="shared" si="78"/>
        <v>3. $50K-250K</v>
      </c>
      <c r="D5050" t="s">
        <v>1027</v>
      </c>
      <c r="E5050" t="s">
        <v>825</v>
      </c>
      <c r="F5050" t="s">
        <v>670</v>
      </c>
      <c r="G5050" t="s">
        <v>44</v>
      </c>
      <c r="H5050">
        <v>2024</v>
      </c>
    </row>
    <row r="5051" spans="1:8" x14ac:dyDescent="0.2">
      <c r="A5051">
        <v>253080</v>
      </c>
      <c r="B5051">
        <v>240000</v>
      </c>
      <c r="C5051" t="str">
        <f t="shared" si="78"/>
        <v>3. $50K-250K</v>
      </c>
      <c r="D5051" t="s">
        <v>2065</v>
      </c>
      <c r="E5051" t="s">
        <v>825</v>
      </c>
      <c r="F5051" t="s">
        <v>670</v>
      </c>
      <c r="G5051" t="s">
        <v>44</v>
      </c>
      <c r="H5051">
        <v>2024</v>
      </c>
    </row>
    <row r="5052" spans="1:8" x14ac:dyDescent="0.2">
      <c r="A5052">
        <v>253081</v>
      </c>
      <c r="B5052">
        <v>145540</v>
      </c>
      <c r="C5052" t="str">
        <f t="shared" si="78"/>
        <v>3. $50K-250K</v>
      </c>
      <c r="D5052" t="s">
        <v>1840</v>
      </c>
      <c r="E5052" t="s">
        <v>825</v>
      </c>
      <c r="F5052" t="s">
        <v>670</v>
      </c>
      <c r="G5052" t="s">
        <v>44</v>
      </c>
      <c r="H5052">
        <v>2024</v>
      </c>
    </row>
    <row r="5053" spans="1:8" x14ac:dyDescent="0.2">
      <c r="A5053">
        <v>253082</v>
      </c>
      <c r="B5053">
        <v>180000</v>
      </c>
      <c r="C5053" t="str">
        <f t="shared" si="78"/>
        <v>3. $50K-250K</v>
      </c>
      <c r="D5053" t="s">
        <v>1534</v>
      </c>
      <c r="E5053" t="s">
        <v>825</v>
      </c>
      <c r="F5053" t="s">
        <v>670</v>
      </c>
      <c r="G5053" t="s">
        <v>44</v>
      </c>
      <c r="H5053">
        <v>2024</v>
      </c>
    </row>
    <row r="5054" spans="1:8" x14ac:dyDescent="0.2">
      <c r="A5054">
        <v>253084</v>
      </c>
      <c r="B5054">
        <v>63230</v>
      </c>
      <c r="C5054" t="str">
        <f t="shared" si="78"/>
        <v>3. $50K-250K</v>
      </c>
      <c r="D5054" t="s">
        <v>850</v>
      </c>
      <c r="E5054" t="s">
        <v>825</v>
      </c>
      <c r="F5054" t="s">
        <v>670</v>
      </c>
      <c r="G5054" t="s">
        <v>44</v>
      </c>
      <c r="H5054">
        <v>2024</v>
      </c>
    </row>
    <row r="5055" spans="1:8" x14ac:dyDescent="0.2">
      <c r="A5055">
        <v>253085</v>
      </c>
      <c r="B5055">
        <v>145540</v>
      </c>
      <c r="C5055" t="str">
        <f t="shared" si="78"/>
        <v>3. $50K-250K</v>
      </c>
      <c r="D5055" t="s">
        <v>1611</v>
      </c>
      <c r="E5055" t="s">
        <v>825</v>
      </c>
      <c r="F5055" t="s">
        <v>670</v>
      </c>
      <c r="G5055" t="s">
        <v>44</v>
      </c>
      <c r="H5055">
        <v>2024</v>
      </c>
    </row>
    <row r="5056" spans="1:8" x14ac:dyDescent="0.2">
      <c r="A5056">
        <v>253087</v>
      </c>
      <c r="B5056">
        <v>240000</v>
      </c>
      <c r="C5056" t="str">
        <f t="shared" si="78"/>
        <v>3. $50K-250K</v>
      </c>
      <c r="D5056" t="s">
        <v>882</v>
      </c>
      <c r="E5056" t="s">
        <v>825</v>
      </c>
      <c r="F5056" t="s">
        <v>670</v>
      </c>
      <c r="G5056" t="s">
        <v>44</v>
      </c>
      <c r="H5056">
        <v>2024</v>
      </c>
    </row>
    <row r="5057" spans="1:8" x14ac:dyDescent="0.2">
      <c r="A5057">
        <v>253088</v>
      </c>
      <c r="B5057">
        <v>190368</v>
      </c>
      <c r="C5057" t="str">
        <f t="shared" si="78"/>
        <v>3. $50K-250K</v>
      </c>
      <c r="D5057" t="s">
        <v>1505</v>
      </c>
      <c r="E5057" t="s">
        <v>825</v>
      </c>
      <c r="F5057" t="s">
        <v>670</v>
      </c>
      <c r="G5057" t="s">
        <v>44</v>
      </c>
      <c r="H5057">
        <v>2024</v>
      </c>
    </row>
    <row r="5058" spans="1:8" x14ac:dyDescent="0.2">
      <c r="A5058">
        <v>253089</v>
      </c>
      <c r="B5058">
        <v>240000</v>
      </c>
      <c r="C5058" t="str">
        <f t="shared" si="78"/>
        <v>3. $50K-250K</v>
      </c>
      <c r="D5058" t="s">
        <v>1516</v>
      </c>
      <c r="E5058" t="s">
        <v>825</v>
      </c>
      <c r="F5058" t="s">
        <v>670</v>
      </c>
      <c r="G5058" t="s">
        <v>44</v>
      </c>
      <c r="H5058">
        <v>2024</v>
      </c>
    </row>
    <row r="5059" spans="1:8" x14ac:dyDescent="0.2">
      <c r="A5059">
        <v>253090</v>
      </c>
      <c r="B5059">
        <v>240000</v>
      </c>
      <c r="C5059" t="str">
        <f t="shared" ref="C5059:C5122" si="79">IF(B5058&lt;10000,"1. Under $10K",IF(B5058&lt;50000,"2. $10K-50K",IF(B5058&lt;250000,"3. $50K-250K",IF(B5058&lt;1000000,"4. $250K-1M","5. $1M+"))))</f>
        <v>3. $50K-250K</v>
      </c>
      <c r="D5059" t="s">
        <v>971</v>
      </c>
      <c r="E5059" t="s">
        <v>825</v>
      </c>
      <c r="F5059" t="s">
        <v>670</v>
      </c>
      <c r="G5059" t="s">
        <v>44</v>
      </c>
      <c r="H5059">
        <v>2024</v>
      </c>
    </row>
    <row r="5060" spans="1:8" x14ac:dyDescent="0.2">
      <c r="A5060">
        <v>253091</v>
      </c>
      <c r="B5060">
        <v>80000</v>
      </c>
      <c r="C5060" t="str">
        <f t="shared" si="79"/>
        <v>3. $50K-250K</v>
      </c>
      <c r="D5060" t="s">
        <v>971</v>
      </c>
      <c r="E5060" t="s">
        <v>825</v>
      </c>
      <c r="F5060" t="s">
        <v>670</v>
      </c>
      <c r="G5060" t="s">
        <v>44</v>
      </c>
      <c r="H5060">
        <v>2024</v>
      </c>
    </row>
    <row r="5061" spans="1:8" x14ac:dyDescent="0.2">
      <c r="A5061">
        <v>253092</v>
      </c>
      <c r="B5061">
        <v>124560</v>
      </c>
      <c r="C5061" t="str">
        <f t="shared" si="79"/>
        <v>3. $50K-250K</v>
      </c>
      <c r="D5061" t="s">
        <v>892</v>
      </c>
      <c r="E5061" t="s">
        <v>825</v>
      </c>
      <c r="F5061" t="s">
        <v>670</v>
      </c>
      <c r="G5061" t="s">
        <v>44</v>
      </c>
      <c r="H5061">
        <v>2024</v>
      </c>
    </row>
    <row r="5062" spans="1:8" x14ac:dyDescent="0.2">
      <c r="A5062">
        <v>253093</v>
      </c>
      <c r="B5062">
        <v>179974</v>
      </c>
      <c r="C5062" t="str">
        <f t="shared" si="79"/>
        <v>3. $50K-250K</v>
      </c>
      <c r="D5062" t="s">
        <v>822</v>
      </c>
      <c r="E5062" t="s">
        <v>825</v>
      </c>
      <c r="F5062" t="s">
        <v>670</v>
      </c>
      <c r="G5062" t="s">
        <v>44</v>
      </c>
      <c r="H5062">
        <v>2024</v>
      </c>
    </row>
    <row r="5063" spans="1:8" x14ac:dyDescent="0.2">
      <c r="A5063">
        <v>253205</v>
      </c>
      <c r="B5063">
        <v>200000</v>
      </c>
      <c r="C5063" t="str">
        <f t="shared" si="79"/>
        <v>3. $50K-250K</v>
      </c>
      <c r="D5063" t="s">
        <v>968</v>
      </c>
      <c r="E5063" t="s">
        <v>42</v>
      </c>
      <c r="F5063" t="s">
        <v>670</v>
      </c>
      <c r="G5063" t="s">
        <v>59</v>
      </c>
      <c r="H5063">
        <v>2023</v>
      </c>
    </row>
    <row r="5064" spans="1:8" x14ac:dyDescent="0.2">
      <c r="A5064">
        <v>253253</v>
      </c>
      <c r="B5064">
        <v>63000</v>
      </c>
      <c r="C5064" t="str">
        <f t="shared" si="79"/>
        <v>3. $50K-250K</v>
      </c>
      <c r="D5064" t="s">
        <v>2066</v>
      </c>
      <c r="E5064" t="s">
        <v>112</v>
      </c>
      <c r="F5064" t="s">
        <v>668</v>
      </c>
      <c r="G5064" t="s">
        <v>59</v>
      </c>
      <c r="H5064">
        <v>2023</v>
      </c>
    </row>
    <row r="5065" spans="1:8" x14ac:dyDescent="0.2">
      <c r="A5065">
        <v>253254</v>
      </c>
      <c r="B5065">
        <v>6000</v>
      </c>
      <c r="C5065" t="str">
        <f t="shared" si="79"/>
        <v>3. $50K-250K</v>
      </c>
      <c r="D5065" t="s">
        <v>1966</v>
      </c>
      <c r="E5065" t="s">
        <v>112</v>
      </c>
      <c r="F5065" t="s">
        <v>668</v>
      </c>
      <c r="G5065" t="s">
        <v>59</v>
      </c>
      <c r="H5065">
        <v>2023</v>
      </c>
    </row>
    <row r="5066" spans="1:8" x14ac:dyDescent="0.2">
      <c r="A5066">
        <v>253256</v>
      </c>
      <c r="B5066">
        <v>6000</v>
      </c>
      <c r="C5066" t="str">
        <f t="shared" si="79"/>
        <v>1. Under $10K</v>
      </c>
      <c r="D5066" t="s">
        <v>2067</v>
      </c>
      <c r="E5066" t="s">
        <v>141</v>
      </c>
      <c r="F5066" t="s">
        <v>668</v>
      </c>
      <c r="G5066" t="s">
        <v>59</v>
      </c>
      <c r="H5066">
        <v>2023</v>
      </c>
    </row>
    <row r="5067" spans="1:8" x14ac:dyDescent="0.2">
      <c r="A5067">
        <v>253274</v>
      </c>
      <c r="B5067">
        <v>6000</v>
      </c>
      <c r="C5067" t="str">
        <f t="shared" si="79"/>
        <v>1. Under $10K</v>
      </c>
      <c r="D5067" t="s">
        <v>2068</v>
      </c>
      <c r="E5067" t="s">
        <v>112</v>
      </c>
      <c r="F5067" t="s">
        <v>668</v>
      </c>
      <c r="G5067" t="s">
        <v>59</v>
      </c>
      <c r="H5067">
        <v>2023</v>
      </c>
    </row>
    <row r="5068" spans="1:8" x14ac:dyDescent="0.2">
      <c r="A5068">
        <v>253292</v>
      </c>
      <c r="B5068">
        <v>4500000</v>
      </c>
      <c r="C5068" t="str">
        <f t="shared" si="79"/>
        <v>1. Under $10K</v>
      </c>
      <c r="D5068" t="s">
        <v>399</v>
      </c>
      <c r="E5068" t="s">
        <v>24</v>
      </c>
      <c r="F5068" t="s">
        <v>14</v>
      </c>
      <c r="G5068" t="s">
        <v>15</v>
      </c>
      <c r="H5068">
        <v>2024</v>
      </c>
    </row>
    <row r="5069" spans="1:8" x14ac:dyDescent="0.2">
      <c r="A5069">
        <v>253293</v>
      </c>
      <c r="B5069">
        <v>4500000</v>
      </c>
      <c r="C5069" t="str">
        <f t="shared" si="79"/>
        <v>5. $1M+</v>
      </c>
      <c r="D5069" t="s">
        <v>400</v>
      </c>
      <c r="E5069" t="s">
        <v>24</v>
      </c>
      <c r="F5069" t="s">
        <v>14</v>
      </c>
      <c r="G5069" t="s">
        <v>15</v>
      </c>
      <c r="H5069">
        <v>2024</v>
      </c>
    </row>
    <row r="5070" spans="1:8" x14ac:dyDescent="0.2">
      <c r="A5070">
        <v>253294</v>
      </c>
      <c r="B5070">
        <v>4500000</v>
      </c>
      <c r="C5070" t="str">
        <f t="shared" si="79"/>
        <v>5. $1M+</v>
      </c>
      <c r="D5070" t="s">
        <v>293</v>
      </c>
      <c r="E5070" t="s">
        <v>24</v>
      </c>
      <c r="F5070" t="s">
        <v>14</v>
      </c>
      <c r="G5070" t="s">
        <v>15</v>
      </c>
      <c r="H5070">
        <v>2024</v>
      </c>
    </row>
    <row r="5071" spans="1:8" x14ac:dyDescent="0.2">
      <c r="A5071">
        <v>253295</v>
      </c>
      <c r="B5071">
        <v>4500000</v>
      </c>
      <c r="C5071" t="str">
        <f t="shared" si="79"/>
        <v>5. $1M+</v>
      </c>
      <c r="D5071" t="s">
        <v>287</v>
      </c>
      <c r="E5071" t="s">
        <v>24</v>
      </c>
      <c r="F5071" t="s">
        <v>14</v>
      </c>
      <c r="G5071" t="s">
        <v>15</v>
      </c>
      <c r="H5071">
        <v>2024</v>
      </c>
    </row>
    <row r="5072" spans="1:8" x14ac:dyDescent="0.2">
      <c r="A5072">
        <v>253296</v>
      </c>
      <c r="B5072">
        <v>4500000</v>
      </c>
      <c r="C5072" t="str">
        <f t="shared" si="79"/>
        <v>5. $1M+</v>
      </c>
      <c r="D5072" t="s">
        <v>401</v>
      </c>
      <c r="E5072" t="s">
        <v>24</v>
      </c>
      <c r="F5072" t="s">
        <v>14</v>
      </c>
      <c r="G5072" t="s">
        <v>15</v>
      </c>
      <c r="H5072">
        <v>2024</v>
      </c>
    </row>
    <row r="5073" spans="1:8" x14ac:dyDescent="0.2">
      <c r="A5073">
        <v>253297</v>
      </c>
      <c r="B5073">
        <v>4500000</v>
      </c>
      <c r="C5073" t="str">
        <f t="shared" si="79"/>
        <v>5. $1M+</v>
      </c>
      <c r="D5073" t="s">
        <v>288</v>
      </c>
      <c r="E5073" t="s">
        <v>24</v>
      </c>
      <c r="F5073" t="s">
        <v>14</v>
      </c>
      <c r="G5073" t="s">
        <v>15</v>
      </c>
      <c r="H5073">
        <v>2024</v>
      </c>
    </row>
    <row r="5074" spans="1:8" x14ac:dyDescent="0.2">
      <c r="A5074">
        <v>253416</v>
      </c>
      <c r="B5074">
        <v>15000</v>
      </c>
      <c r="C5074" t="str">
        <f t="shared" si="79"/>
        <v>5. $1M+</v>
      </c>
      <c r="D5074" t="s">
        <v>1392</v>
      </c>
      <c r="E5074" t="s">
        <v>112</v>
      </c>
      <c r="F5074" t="s">
        <v>668</v>
      </c>
      <c r="G5074" t="s">
        <v>59</v>
      </c>
      <c r="H5074">
        <v>2023</v>
      </c>
    </row>
    <row r="5075" spans="1:8" x14ac:dyDescent="0.2">
      <c r="A5075">
        <v>253417</v>
      </c>
      <c r="B5075">
        <v>38000</v>
      </c>
      <c r="C5075" t="str">
        <f t="shared" si="79"/>
        <v>2. $10K-50K</v>
      </c>
      <c r="D5075" t="s">
        <v>2069</v>
      </c>
      <c r="E5075" t="s">
        <v>112</v>
      </c>
      <c r="F5075" t="s">
        <v>668</v>
      </c>
      <c r="G5075" t="s">
        <v>59</v>
      </c>
      <c r="H5075">
        <v>2023</v>
      </c>
    </row>
    <row r="5076" spans="1:8" x14ac:dyDescent="0.2">
      <c r="A5076">
        <v>253463</v>
      </c>
      <c r="B5076">
        <v>1145000</v>
      </c>
      <c r="C5076" t="str">
        <f t="shared" si="79"/>
        <v>2. $10K-50K</v>
      </c>
      <c r="D5076" t="s">
        <v>774</v>
      </c>
      <c r="E5076" t="s">
        <v>368</v>
      </c>
      <c r="F5076" t="s">
        <v>668</v>
      </c>
      <c r="G5076" t="s">
        <v>59</v>
      </c>
      <c r="H5076">
        <v>2023</v>
      </c>
    </row>
    <row r="5077" spans="1:8" x14ac:dyDescent="0.2">
      <c r="A5077">
        <v>253467</v>
      </c>
      <c r="B5077">
        <v>1000000</v>
      </c>
      <c r="C5077" t="str">
        <f t="shared" si="79"/>
        <v>5. $1M+</v>
      </c>
      <c r="D5077" t="s">
        <v>774</v>
      </c>
      <c r="E5077" t="s">
        <v>368</v>
      </c>
      <c r="F5077" t="s">
        <v>668</v>
      </c>
      <c r="G5077" t="s">
        <v>59</v>
      </c>
      <c r="H5077">
        <v>2023</v>
      </c>
    </row>
    <row r="5078" spans="1:8" x14ac:dyDescent="0.2">
      <c r="A5078">
        <v>253471</v>
      </c>
      <c r="B5078">
        <v>687768</v>
      </c>
      <c r="C5078" t="str">
        <f t="shared" si="79"/>
        <v>5. $1M+</v>
      </c>
      <c r="D5078" t="s">
        <v>774</v>
      </c>
      <c r="E5078" t="s">
        <v>368</v>
      </c>
      <c r="F5078" t="s">
        <v>668</v>
      </c>
      <c r="G5078" t="s">
        <v>59</v>
      </c>
      <c r="H5078">
        <v>2023</v>
      </c>
    </row>
    <row r="5079" spans="1:8" x14ac:dyDescent="0.2">
      <c r="A5079">
        <v>253477</v>
      </c>
      <c r="B5079">
        <v>1000000</v>
      </c>
      <c r="C5079" t="str">
        <f t="shared" si="79"/>
        <v>4. $250K-1M</v>
      </c>
      <c r="D5079" t="s">
        <v>774</v>
      </c>
      <c r="E5079" t="s">
        <v>368</v>
      </c>
      <c r="F5079" t="s">
        <v>668</v>
      </c>
      <c r="G5079" t="s">
        <v>59</v>
      </c>
      <c r="H5079">
        <v>2023</v>
      </c>
    </row>
    <row r="5080" spans="1:8" x14ac:dyDescent="0.2">
      <c r="A5080">
        <v>253487</v>
      </c>
      <c r="B5080">
        <v>1000000</v>
      </c>
      <c r="C5080" t="str">
        <f t="shared" si="79"/>
        <v>5. $1M+</v>
      </c>
      <c r="D5080" t="s">
        <v>774</v>
      </c>
      <c r="E5080" t="s">
        <v>368</v>
      </c>
      <c r="F5080" t="s">
        <v>668</v>
      </c>
      <c r="G5080" t="s">
        <v>59</v>
      </c>
      <c r="H5080">
        <v>2023</v>
      </c>
    </row>
    <row r="5081" spans="1:8" x14ac:dyDescent="0.2">
      <c r="A5081">
        <v>253490</v>
      </c>
      <c r="B5081">
        <v>500000</v>
      </c>
      <c r="C5081" t="str">
        <f t="shared" si="79"/>
        <v>5. $1M+</v>
      </c>
      <c r="D5081" t="s">
        <v>774</v>
      </c>
      <c r="E5081" t="s">
        <v>368</v>
      </c>
      <c r="F5081" t="s">
        <v>668</v>
      </c>
      <c r="G5081" t="s">
        <v>59</v>
      </c>
      <c r="H5081">
        <v>2023</v>
      </c>
    </row>
    <row r="5082" spans="1:8" x14ac:dyDescent="0.2">
      <c r="A5082">
        <v>253508</v>
      </c>
      <c r="B5082">
        <v>63852.2</v>
      </c>
      <c r="C5082" t="str">
        <f t="shared" si="79"/>
        <v>4. $250K-1M</v>
      </c>
      <c r="D5082" t="s">
        <v>674</v>
      </c>
      <c r="E5082" t="s">
        <v>42</v>
      </c>
      <c r="F5082" t="s">
        <v>670</v>
      </c>
      <c r="G5082" t="s">
        <v>59</v>
      </c>
      <c r="H5082">
        <v>2024</v>
      </c>
    </row>
    <row r="5083" spans="1:8" x14ac:dyDescent="0.2">
      <c r="A5083">
        <v>253509</v>
      </c>
      <c r="B5083">
        <v>64000</v>
      </c>
      <c r="C5083" t="str">
        <f t="shared" si="79"/>
        <v>3. $50K-250K</v>
      </c>
      <c r="D5083" t="s">
        <v>804</v>
      </c>
      <c r="E5083" t="s">
        <v>42</v>
      </c>
      <c r="F5083" t="s">
        <v>670</v>
      </c>
      <c r="G5083" t="s">
        <v>59</v>
      </c>
      <c r="H5083">
        <v>2024</v>
      </c>
    </row>
    <row r="5084" spans="1:8" x14ac:dyDescent="0.2">
      <c r="A5084">
        <v>253541</v>
      </c>
      <c r="B5084">
        <v>5317.2999999999902</v>
      </c>
      <c r="C5084" t="str">
        <f t="shared" si="79"/>
        <v>3. $50K-250K</v>
      </c>
      <c r="D5084" t="s">
        <v>708</v>
      </c>
      <c r="E5084" t="s">
        <v>237</v>
      </c>
      <c r="F5084" t="s">
        <v>670</v>
      </c>
      <c r="G5084" t="s">
        <v>59</v>
      </c>
      <c r="H5084">
        <v>2023</v>
      </c>
    </row>
    <row r="5085" spans="1:8" x14ac:dyDescent="0.2">
      <c r="A5085">
        <v>253546</v>
      </c>
      <c r="B5085">
        <v>411628.5</v>
      </c>
      <c r="C5085" t="str">
        <f t="shared" si="79"/>
        <v>1. Under $10K</v>
      </c>
      <c r="D5085" t="s">
        <v>684</v>
      </c>
      <c r="E5085" t="s">
        <v>42</v>
      </c>
      <c r="F5085" t="s">
        <v>670</v>
      </c>
      <c r="G5085" t="s">
        <v>59</v>
      </c>
      <c r="H5085">
        <v>2023</v>
      </c>
    </row>
    <row r="5086" spans="1:8" x14ac:dyDescent="0.2">
      <c r="A5086">
        <v>253547</v>
      </c>
      <c r="B5086">
        <v>416628</v>
      </c>
      <c r="C5086" t="str">
        <f t="shared" si="79"/>
        <v>4. $250K-1M</v>
      </c>
      <c r="D5086" t="s">
        <v>1002</v>
      </c>
      <c r="E5086" t="s">
        <v>42</v>
      </c>
      <c r="F5086" t="s">
        <v>670</v>
      </c>
      <c r="G5086" t="s">
        <v>59</v>
      </c>
      <c r="H5086">
        <v>2023</v>
      </c>
    </row>
    <row r="5087" spans="1:8" x14ac:dyDescent="0.2">
      <c r="A5087">
        <v>253562</v>
      </c>
      <c r="B5087">
        <v>289396.40000000002</v>
      </c>
      <c r="C5087" t="str">
        <f t="shared" si="79"/>
        <v>4. $250K-1M</v>
      </c>
      <c r="D5087" t="s">
        <v>682</v>
      </c>
      <c r="E5087" t="s">
        <v>237</v>
      </c>
      <c r="F5087" t="s">
        <v>670</v>
      </c>
      <c r="G5087" t="s">
        <v>59</v>
      </c>
      <c r="H5087">
        <v>2023</v>
      </c>
    </row>
    <row r="5088" spans="1:8" x14ac:dyDescent="0.2">
      <c r="A5088">
        <v>253572</v>
      </c>
      <c r="B5088">
        <v>113531.9</v>
      </c>
      <c r="C5088" t="str">
        <f t="shared" si="79"/>
        <v>4. $250K-1M</v>
      </c>
      <c r="D5088" t="s">
        <v>391</v>
      </c>
      <c r="E5088" t="s">
        <v>42</v>
      </c>
      <c r="F5088" t="s">
        <v>670</v>
      </c>
      <c r="G5088" t="s">
        <v>59</v>
      </c>
      <c r="H5088">
        <v>2023</v>
      </c>
    </row>
    <row r="5089" spans="1:8" x14ac:dyDescent="0.2">
      <c r="A5089">
        <v>253573</v>
      </c>
      <c r="B5089">
        <v>602382.5</v>
      </c>
      <c r="C5089" t="str">
        <f t="shared" si="79"/>
        <v>3. $50K-250K</v>
      </c>
      <c r="D5089" t="s">
        <v>682</v>
      </c>
      <c r="E5089" t="s">
        <v>42</v>
      </c>
      <c r="F5089" t="s">
        <v>670</v>
      </c>
      <c r="G5089" t="s">
        <v>59</v>
      </c>
      <c r="H5089">
        <v>2023</v>
      </c>
    </row>
    <row r="5090" spans="1:8" x14ac:dyDescent="0.2">
      <c r="A5090">
        <v>253574</v>
      </c>
      <c r="B5090">
        <v>218717.3</v>
      </c>
      <c r="C5090" t="str">
        <f t="shared" si="79"/>
        <v>4. $250K-1M</v>
      </c>
      <c r="D5090" t="s">
        <v>1009</v>
      </c>
      <c r="E5090" t="s">
        <v>42</v>
      </c>
      <c r="F5090" t="s">
        <v>670</v>
      </c>
      <c r="G5090" t="s">
        <v>59</v>
      </c>
      <c r="H5090">
        <v>2023</v>
      </c>
    </row>
    <row r="5091" spans="1:8" x14ac:dyDescent="0.2">
      <c r="A5091">
        <v>253575</v>
      </c>
      <c r="B5091">
        <v>270380.09999999998</v>
      </c>
      <c r="C5091" t="str">
        <f t="shared" si="79"/>
        <v>3. $50K-250K</v>
      </c>
      <c r="D5091" t="s">
        <v>1754</v>
      </c>
      <c r="E5091" t="s">
        <v>42</v>
      </c>
      <c r="F5091" t="s">
        <v>670</v>
      </c>
      <c r="G5091" t="s">
        <v>59</v>
      </c>
      <c r="H5091">
        <v>2023</v>
      </c>
    </row>
    <row r="5092" spans="1:8" x14ac:dyDescent="0.2">
      <c r="A5092">
        <v>253653</v>
      </c>
      <c r="B5092">
        <v>32000</v>
      </c>
      <c r="C5092" t="str">
        <f t="shared" si="79"/>
        <v>4. $250K-1M</v>
      </c>
      <c r="D5092" t="s">
        <v>1110</v>
      </c>
      <c r="E5092" t="s">
        <v>237</v>
      </c>
      <c r="F5092" t="s">
        <v>670</v>
      </c>
      <c r="G5092" t="s">
        <v>59</v>
      </c>
      <c r="H5092">
        <v>2023</v>
      </c>
    </row>
    <row r="5093" spans="1:8" x14ac:dyDescent="0.2">
      <c r="A5093">
        <v>253660</v>
      </c>
      <c r="B5093">
        <v>15125.7</v>
      </c>
      <c r="C5093" t="str">
        <f t="shared" si="79"/>
        <v>2. $10K-50K</v>
      </c>
      <c r="D5093" t="s">
        <v>694</v>
      </c>
      <c r="E5093" t="s">
        <v>237</v>
      </c>
      <c r="F5093" t="s">
        <v>670</v>
      </c>
      <c r="G5093" t="s">
        <v>59</v>
      </c>
      <c r="H5093">
        <v>2023</v>
      </c>
    </row>
    <row r="5094" spans="1:8" x14ac:dyDescent="0.2">
      <c r="A5094">
        <v>253679</v>
      </c>
      <c r="B5094">
        <v>195750</v>
      </c>
      <c r="C5094" t="str">
        <f t="shared" si="79"/>
        <v>2. $10K-50K</v>
      </c>
      <c r="D5094" t="s">
        <v>230</v>
      </c>
      <c r="E5094" t="s">
        <v>18</v>
      </c>
      <c r="F5094" t="s">
        <v>231</v>
      </c>
      <c r="G5094" t="s">
        <v>232</v>
      </c>
      <c r="H5094">
        <v>2024</v>
      </c>
    </row>
    <row r="5095" spans="1:8" x14ac:dyDescent="0.2">
      <c r="A5095">
        <v>253680</v>
      </c>
      <c r="B5095">
        <v>137500</v>
      </c>
      <c r="C5095" t="str">
        <f t="shared" si="79"/>
        <v>3. $50K-250K</v>
      </c>
      <c r="D5095" t="s">
        <v>230</v>
      </c>
      <c r="E5095" t="s">
        <v>18</v>
      </c>
      <c r="F5095" t="s">
        <v>231</v>
      </c>
      <c r="G5095" t="s">
        <v>232</v>
      </c>
      <c r="H5095">
        <v>2024</v>
      </c>
    </row>
    <row r="5096" spans="1:8" x14ac:dyDescent="0.2">
      <c r="A5096">
        <v>253787</v>
      </c>
      <c r="B5096">
        <v>12500</v>
      </c>
      <c r="C5096" t="str">
        <f t="shared" si="79"/>
        <v>3. $50K-250K</v>
      </c>
      <c r="D5096" t="s">
        <v>865</v>
      </c>
      <c r="E5096" t="s">
        <v>54</v>
      </c>
      <c r="F5096" t="s">
        <v>670</v>
      </c>
      <c r="G5096" t="s">
        <v>59</v>
      </c>
      <c r="H5096">
        <v>2023</v>
      </c>
    </row>
    <row r="5097" spans="1:8" x14ac:dyDescent="0.2">
      <c r="A5097">
        <v>253817</v>
      </c>
      <c r="B5097">
        <v>6739273</v>
      </c>
      <c r="C5097" t="str">
        <f t="shared" si="79"/>
        <v>2. $10K-50K</v>
      </c>
      <c r="D5097" t="s">
        <v>863</v>
      </c>
      <c r="E5097" t="s">
        <v>237</v>
      </c>
      <c r="F5097" t="s">
        <v>670</v>
      </c>
      <c r="G5097" t="s">
        <v>59</v>
      </c>
      <c r="H5097">
        <v>2023</v>
      </c>
    </row>
    <row r="5098" spans="1:8" x14ac:dyDescent="0.2">
      <c r="A5098">
        <v>253819</v>
      </c>
      <c r="B5098">
        <v>15000</v>
      </c>
      <c r="C5098" t="str">
        <f t="shared" si="79"/>
        <v>5. $1M+</v>
      </c>
      <c r="D5098" t="s">
        <v>694</v>
      </c>
      <c r="E5098" t="s">
        <v>237</v>
      </c>
      <c r="F5098" t="s">
        <v>670</v>
      </c>
      <c r="G5098" t="s">
        <v>59</v>
      </c>
      <c r="H5098">
        <v>2023</v>
      </c>
    </row>
    <row r="5099" spans="1:8" x14ac:dyDescent="0.2">
      <c r="A5099">
        <v>253821</v>
      </c>
      <c r="B5099">
        <v>205331.20000000001</v>
      </c>
      <c r="C5099" t="str">
        <f t="shared" si="79"/>
        <v>2. $10K-50K</v>
      </c>
      <c r="D5099" t="s">
        <v>863</v>
      </c>
      <c r="E5099" t="s">
        <v>237</v>
      </c>
      <c r="F5099" t="s">
        <v>670</v>
      </c>
      <c r="G5099" t="s">
        <v>59</v>
      </c>
      <c r="H5099">
        <v>2023</v>
      </c>
    </row>
    <row r="5100" spans="1:8" x14ac:dyDescent="0.2">
      <c r="A5100">
        <v>253822</v>
      </c>
      <c r="B5100">
        <v>2220861.5</v>
      </c>
      <c r="C5100" t="str">
        <f t="shared" si="79"/>
        <v>3. $50K-250K</v>
      </c>
      <c r="D5100" t="s">
        <v>863</v>
      </c>
      <c r="E5100" t="s">
        <v>237</v>
      </c>
      <c r="F5100" t="s">
        <v>670</v>
      </c>
      <c r="G5100" t="s">
        <v>59</v>
      </c>
      <c r="H5100">
        <v>2023</v>
      </c>
    </row>
    <row r="5101" spans="1:8" x14ac:dyDescent="0.2">
      <c r="A5101">
        <v>253841</v>
      </c>
      <c r="B5101">
        <v>10665.9</v>
      </c>
      <c r="C5101" t="str">
        <f t="shared" si="79"/>
        <v>5. $1M+</v>
      </c>
      <c r="D5101" t="s">
        <v>711</v>
      </c>
      <c r="E5101" t="s">
        <v>237</v>
      </c>
      <c r="F5101" t="s">
        <v>670</v>
      </c>
      <c r="G5101" t="s">
        <v>59</v>
      </c>
      <c r="H5101">
        <v>2023</v>
      </c>
    </row>
    <row r="5102" spans="1:8" x14ac:dyDescent="0.2">
      <c r="A5102">
        <v>253842</v>
      </c>
      <c r="B5102">
        <v>14400</v>
      </c>
      <c r="C5102" t="str">
        <f t="shared" si="79"/>
        <v>2. $10K-50K</v>
      </c>
      <c r="D5102" t="s">
        <v>871</v>
      </c>
      <c r="E5102" t="s">
        <v>237</v>
      </c>
      <c r="F5102" t="s">
        <v>670</v>
      </c>
      <c r="G5102" t="s">
        <v>59</v>
      </c>
      <c r="H5102">
        <v>2023</v>
      </c>
    </row>
    <row r="5103" spans="1:8" x14ac:dyDescent="0.2">
      <c r="A5103">
        <v>253843</v>
      </c>
      <c r="B5103">
        <v>14400</v>
      </c>
      <c r="C5103" t="str">
        <f t="shared" si="79"/>
        <v>2. $10K-50K</v>
      </c>
      <c r="D5103" t="s">
        <v>719</v>
      </c>
      <c r="E5103" t="s">
        <v>237</v>
      </c>
      <c r="F5103" t="s">
        <v>670</v>
      </c>
      <c r="G5103" t="s">
        <v>59</v>
      </c>
      <c r="H5103">
        <v>2023</v>
      </c>
    </row>
    <row r="5104" spans="1:8" x14ac:dyDescent="0.2">
      <c r="A5104">
        <v>253844</v>
      </c>
      <c r="B5104">
        <v>32000</v>
      </c>
      <c r="C5104" t="str">
        <f t="shared" si="79"/>
        <v>2. $10K-50K</v>
      </c>
      <c r="D5104" t="s">
        <v>1070</v>
      </c>
      <c r="E5104" t="s">
        <v>237</v>
      </c>
      <c r="F5104" t="s">
        <v>670</v>
      </c>
      <c r="G5104" t="s">
        <v>59</v>
      </c>
      <c r="H5104">
        <v>2023</v>
      </c>
    </row>
    <row r="5105" spans="1:8" x14ac:dyDescent="0.2">
      <c r="A5105">
        <v>253845</v>
      </c>
      <c r="B5105">
        <v>32000</v>
      </c>
      <c r="C5105" t="str">
        <f t="shared" si="79"/>
        <v>2. $10K-50K</v>
      </c>
      <c r="D5105" t="s">
        <v>1063</v>
      </c>
      <c r="E5105" t="s">
        <v>237</v>
      </c>
      <c r="F5105" t="s">
        <v>670</v>
      </c>
      <c r="G5105" t="s">
        <v>59</v>
      </c>
      <c r="H5105">
        <v>2023</v>
      </c>
    </row>
    <row r="5106" spans="1:8" x14ac:dyDescent="0.2">
      <c r="A5106">
        <v>253846</v>
      </c>
      <c r="B5106">
        <v>32000</v>
      </c>
      <c r="C5106" t="str">
        <f t="shared" si="79"/>
        <v>2. $10K-50K</v>
      </c>
      <c r="D5106" t="s">
        <v>1094</v>
      </c>
      <c r="E5106" t="s">
        <v>237</v>
      </c>
      <c r="F5106" t="s">
        <v>670</v>
      </c>
      <c r="G5106" t="s">
        <v>59</v>
      </c>
      <c r="H5106">
        <v>2023</v>
      </c>
    </row>
    <row r="5107" spans="1:8" x14ac:dyDescent="0.2">
      <c r="A5107">
        <v>253847</v>
      </c>
      <c r="B5107">
        <v>205510.2</v>
      </c>
      <c r="C5107" t="str">
        <f t="shared" si="79"/>
        <v>2. $10K-50K</v>
      </c>
      <c r="D5107" t="s">
        <v>771</v>
      </c>
      <c r="E5107" t="s">
        <v>42</v>
      </c>
      <c r="F5107" t="s">
        <v>670</v>
      </c>
      <c r="G5107" t="s">
        <v>59</v>
      </c>
      <c r="H5107">
        <v>2023</v>
      </c>
    </row>
    <row r="5108" spans="1:8" x14ac:dyDescent="0.2">
      <c r="A5108">
        <v>253967</v>
      </c>
      <c r="B5108">
        <v>98750</v>
      </c>
      <c r="C5108" t="str">
        <f t="shared" si="79"/>
        <v>3. $50K-250K</v>
      </c>
      <c r="D5108" t="s">
        <v>996</v>
      </c>
      <c r="E5108" t="s">
        <v>237</v>
      </c>
      <c r="F5108" t="s">
        <v>670</v>
      </c>
      <c r="G5108" t="s">
        <v>44</v>
      </c>
      <c r="H5108">
        <v>2024</v>
      </c>
    </row>
    <row r="5109" spans="1:8" x14ac:dyDescent="0.2">
      <c r="A5109">
        <v>254010</v>
      </c>
      <c r="B5109">
        <v>119000</v>
      </c>
      <c r="C5109" t="str">
        <f t="shared" si="79"/>
        <v>3. $50K-250K</v>
      </c>
      <c r="D5109" t="s">
        <v>799</v>
      </c>
      <c r="E5109" t="s">
        <v>237</v>
      </c>
      <c r="F5109" t="s">
        <v>670</v>
      </c>
      <c r="G5109" t="s">
        <v>59</v>
      </c>
      <c r="H5109">
        <v>2024</v>
      </c>
    </row>
    <row r="5110" spans="1:8" x14ac:dyDescent="0.2">
      <c r="A5110">
        <v>254014</v>
      </c>
      <c r="B5110">
        <v>119000</v>
      </c>
      <c r="C5110" t="str">
        <f t="shared" si="79"/>
        <v>3. $50K-250K</v>
      </c>
      <c r="D5110" t="s">
        <v>724</v>
      </c>
      <c r="E5110" t="s">
        <v>237</v>
      </c>
      <c r="F5110" t="s">
        <v>670</v>
      </c>
      <c r="G5110" t="s">
        <v>59</v>
      </c>
      <c r="H5110">
        <v>2024</v>
      </c>
    </row>
    <row r="5111" spans="1:8" x14ac:dyDescent="0.2">
      <c r="A5111">
        <v>254016</v>
      </c>
      <c r="B5111">
        <v>119000</v>
      </c>
      <c r="C5111" t="str">
        <f t="shared" si="79"/>
        <v>3. $50K-250K</v>
      </c>
      <c r="D5111" t="s">
        <v>800</v>
      </c>
      <c r="E5111" t="s">
        <v>237</v>
      </c>
      <c r="F5111" t="s">
        <v>670</v>
      </c>
      <c r="G5111" t="s">
        <v>59</v>
      </c>
      <c r="H5111">
        <v>2024</v>
      </c>
    </row>
    <row r="5112" spans="1:8" x14ac:dyDescent="0.2">
      <c r="A5112">
        <v>254017</v>
      </c>
      <c r="B5112">
        <v>119000</v>
      </c>
      <c r="C5112" t="str">
        <f t="shared" si="79"/>
        <v>3. $50K-250K</v>
      </c>
      <c r="D5112" t="s">
        <v>749</v>
      </c>
      <c r="E5112" t="s">
        <v>237</v>
      </c>
      <c r="F5112" t="s">
        <v>670</v>
      </c>
      <c r="G5112" t="s">
        <v>59</v>
      </c>
      <c r="H5112">
        <v>2024</v>
      </c>
    </row>
    <row r="5113" spans="1:8" x14ac:dyDescent="0.2">
      <c r="A5113">
        <v>254019</v>
      </c>
      <c r="B5113">
        <v>119000</v>
      </c>
      <c r="C5113" t="str">
        <f t="shared" si="79"/>
        <v>3. $50K-250K</v>
      </c>
      <c r="D5113" t="s">
        <v>801</v>
      </c>
      <c r="E5113" t="s">
        <v>237</v>
      </c>
      <c r="F5113" t="s">
        <v>670</v>
      </c>
      <c r="G5113" t="s">
        <v>59</v>
      </c>
      <c r="H5113">
        <v>2024</v>
      </c>
    </row>
    <row r="5114" spans="1:8" x14ac:dyDescent="0.2">
      <c r="A5114">
        <v>254024</v>
      </c>
      <c r="B5114">
        <v>119000</v>
      </c>
      <c r="C5114" t="str">
        <f t="shared" si="79"/>
        <v>3. $50K-250K</v>
      </c>
      <c r="D5114" t="s">
        <v>802</v>
      </c>
      <c r="E5114" t="s">
        <v>237</v>
      </c>
      <c r="F5114" t="s">
        <v>670</v>
      </c>
      <c r="G5114" t="s">
        <v>59</v>
      </c>
      <c r="H5114">
        <v>2024</v>
      </c>
    </row>
    <row r="5115" spans="1:8" x14ac:dyDescent="0.2">
      <c r="A5115">
        <v>254026</v>
      </c>
      <c r="B5115">
        <v>119000</v>
      </c>
      <c r="C5115" t="str">
        <f t="shared" si="79"/>
        <v>3. $50K-250K</v>
      </c>
      <c r="D5115" t="s">
        <v>762</v>
      </c>
      <c r="E5115" t="s">
        <v>237</v>
      </c>
      <c r="F5115" t="s">
        <v>670</v>
      </c>
      <c r="G5115" t="s">
        <v>59</v>
      </c>
      <c r="H5115">
        <v>2024</v>
      </c>
    </row>
    <row r="5116" spans="1:8" x14ac:dyDescent="0.2">
      <c r="A5116">
        <v>254029</v>
      </c>
      <c r="B5116">
        <v>119000</v>
      </c>
      <c r="C5116" t="str">
        <f t="shared" si="79"/>
        <v>3. $50K-250K</v>
      </c>
      <c r="D5116" t="s">
        <v>803</v>
      </c>
      <c r="E5116" t="s">
        <v>237</v>
      </c>
      <c r="F5116" t="s">
        <v>670</v>
      </c>
      <c r="G5116" t="s">
        <v>59</v>
      </c>
      <c r="H5116">
        <v>2024</v>
      </c>
    </row>
    <row r="5117" spans="1:8" x14ac:dyDescent="0.2">
      <c r="A5117">
        <v>254030</v>
      </c>
      <c r="B5117">
        <v>119000</v>
      </c>
      <c r="C5117" t="str">
        <f t="shared" si="79"/>
        <v>3. $50K-250K</v>
      </c>
      <c r="D5117" t="s">
        <v>804</v>
      </c>
      <c r="E5117" t="s">
        <v>237</v>
      </c>
      <c r="F5117" t="s">
        <v>670</v>
      </c>
      <c r="G5117" t="s">
        <v>59</v>
      </c>
      <c r="H5117">
        <v>2024</v>
      </c>
    </row>
    <row r="5118" spans="1:8" x14ac:dyDescent="0.2">
      <c r="A5118">
        <v>254031</v>
      </c>
      <c r="B5118">
        <v>119000</v>
      </c>
      <c r="C5118" t="str">
        <f t="shared" si="79"/>
        <v>3. $50K-250K</v>
      </c>
      <c r="D5118" t="s">
        <v>805</v>
      </c>
      <c r="E5118" t="s">
        <v>237</v>
      </c>
      <c r="F5118" t="s">
        <v>670</v>
      </c>
      <c r="G5118" t="s">
        <v>59</v>
      </c>
      <c r="H5118">
        <v>2024</v>
      </c>
    </row>
    <row r="5119" spans="1:8" x14ac:dyDescent="0.2">
      <c r="A5119">
        <v>254033</v>
      </c>
      <c r="B5119">
        <v>119000</v>
      </c>
      <c r="C5119" t="str">
        <f t="shared" si="79"/>
        <v>3. $50K-250K</v>
      </c>
      <c r="D5119" t="s">
        <v>783</v>
      </c>
      <c r="E5119" t="s">
        <v>237</v>
      </c>
      <c r="F5119" t="s">
        <v>670</v>
      </c>
      <c r="G5119" t="s">
        <v>59</v>
      </c>
      <c r="H5119">
        <v>2024</v>
      </c>
    </row>
    <row r="5120" spans="1:8" x14ac:dyDescent="0.2">
      <c r="A5120">
        <v>254035</v>
      </c>
      <c r="B5120">
        <v>119000</v>
      </c>
      <c r="C5120" t="str">
        <f t="shared" si="79"/>
        <v>3. $50K-250K</v>
      </c>
      <c r="D5120" t="s">
        <v>783</v>
      </c>
      <c r="E5120" t="s">
        <v>237</v>
      </c>
      <c r="F5120" t="s">
        <v>670</v>
      </c>
      <c r="G5120" t="s">
        <v>59</v>
      </c>
      <c r="H5120">
        <v>2024</v>
      </c>
    </row>
    <row r="5121" spans="1:8" x14ac:dyDescent="0.2">
      <c r="A5121">
        <v>254037</v>
      </c>
      <c r="B5121">
        <v>59280</v>
      </c>
      <c r="C5121" t="str">
        <f t="shared" si="79"/>
        <v>3. $50K-250K</v>
      </c>
      <c r="D5121" t="s">
        <v>507</v>
      </c>
      <c r="E5121" t="s">
        <v>237</v>
      </c>
      <c r="F5121" t="s">
        <v>670</v>
      </c>
      <c r="G5121" t="s">
        <v>59</v>
      </c>
      <c r="H5121">
        <v>2024</v>
      </c>
    </row>
    <row r="5122" spans="1:8" x14ac:dyDescent="0.2">
      <c r="A5122">
        <v>254056</v>
      </c>
      <c r="B5122">
        <v>10644442</v>
      </c>
      <c r="C5122" t="str">
        <f t="shared" si="79"/>
        <v>3. $50K-250K</v>
      </c>
      <c r="D5122" t="s">
        <v>852</v>
      </c>
      <c r="E5122" t="s">
        <v>237</v>
      </c>
      <c r="F5122" t="s">
        <v>670</v>
      </c>
      <c r="G5122" t="s">
        <v>59</v>
      </c>
      <c r="H5122">
        <v>2024</v>
      </c>
    </row>
    <row r="5123" spans="1:8" x14ac:dyDescent="0.2">
      <c r="A5123">
        <v>254140</v>
      </c>
      <c r="B5123">
        <v>32000</v>
      </c>
      <c r="C5123" t="str">
        <f t="shared" ref="C5123:C5186" si="80">IF(B5122&lt;10000,"1. Under $10K",IF(B5122&lt;50000,"2. $10K-50K",IF(B5122&lt;250000,"3. $50K-250K",IF(B5122&lt;1000000,"4. $250K-1M","5. $1M+"))))</f>
        <v>5. $1M+</v>
      </c>
      <c r="D5123" t="s">
        <v>1073</v>
      </c>
      <c r="E5123" t="s">
        <v>237</v>
      </c>
      <c r="F5123" t="s">
        <v>670</v>
      </c>
      <c r="G5123" t="s">
        <v>59</v>
      </c>
      <c r="H5123">
        <v>2024</v>
      </c>
    </row>
    <row r="5124" spans="1:8" x14ac:dyDescent="0.2">
      <c r="A5124">
        <v>254233</v>
      </c>
      <c r="B5124">
        <v>28960469</v>
      </c>
      <c r="C5124" t="str">
        <f t="shared" si="80"/>
        <v>2. $10K-50K</v>
      </c>
      <c r="D5124" t="s">
        <v>402</v>
      </c>
      <c r="E5124" t="s">
        <v>24</v>
      </c>
      <c r="F5124" t="s">
        <v>43</v>
      </c>
      <c r="G5124" t="s">
        <v>44</v>
      </c>
      <c r="H5124">
        <v>2025</v>
      </c>
    </row>
    <row r="5125" spans="1:8" x14ac:dyDescent="0.2">
      <c r="A5125">
        <v>254436</v>
      </c>
      <c r="B5125">
        <v>620000</v>
      </c>
      <c r="C5125" t="str">
        <f t="shared" si="80"/>
        <v>5. $1M+</v>
      </c>
      <c r="D5125" t="s">
        <v>936</v>
      </c>
      <c r="E5125" t="s">
        <v>237</v>
      </c>
      <c r="F5125" t="s">
        <v>670</v>
      </c>
      <c r="G5125" t="s">
        <v>59</v>
      </c>
      <c r="H5125">
        <v>2024</v>
      </c>
    </row>
    <row r="5126" spans="1:8" x14ac:dyDescent="0.2">
      <c r="A5126">
        <v>254437</v>
      </c>
      <c r="B5126">
        <v>580000</v>
      </c>
      <c r="C5126" t="str">
        <f t="shared" si="80"/>
        <v>4. $250K-1M</v>
      </c>
      <c r="D5126" t="s">
        <v>936</v>
      </c>
      <c r="E5126" t="s">
        <v>237</v>
      </c>
      <c r="F5126" t="s">
        <v>670</v>
      </c>
      <c r="G5126" t="s">
        <v>59</v>
      </c>
      <c r="H5126">
        <v>2024</v>
      </c>
    </row>
    <row r="5127" spans="1:8" x14ac:dyDescent="0.2">
      <c r="A5127">
        <v>254438</v>
      </c>
      <c r="B5127">
        <v>930000</v>
      </c>
      <c r="C5127" t="str">
        <f t="shared" si="80"/>
        <v>4. $250K-1M</v>
      </c>
      <c r="D5127" t="s">
        <v>924</v>
      </c>
      <c r="E5127" t="s">
        <v>237</v>
      </c>
      <c r="F5127" t="s">
        <v>670</v>
      </c>
      <c r="G5127" t="s">
        <v>59</v>
      </c>
      <c r="H5127">
        <v>2024</v>
      </c>
    </row>
    <row r="5128" spans="1:8" x14ac:dyDescent="0.2">
      <c r="A5128">
        <v>254439</v>
      </c>
      <c r="B5128">
        <v>870000</v>
      </c>
      <c r="C5128" t="str">
        <f t="shared" si="80"/>
        <v>4. $250K-1M</v>
      </c>
      <c r="D5128" t="s">
        <v>924</v>
      </c>
      <c r="E5128" t="s">
        <v>237</v>
      </c>
      <c r="F5128" t="s">
        <v>670</v>
      </c>
      <c r="G5128" t="s">
        <v>59</v>
      </c>
      <c r="H5128">
        <v>2024</v>
      </c>
    </row>
    <row r="5129" spans="1:8" x14ac:dyDescent="0.2">
      <c r="A5129">
        <v>254479</v>
      </c>
      <c r="B5129">
        <v>700000</v>
      </c>
      <c r="C5129" t="str">
        <f t="shared" si="80"/>
        <v>4. $250K-1M</v>
      </c>
      <c r="D5129" t="s">
        <v>848</v>
      </c>
      <c r="E5129" t="s">
        <v>42</v>
      </c>
      <c r="F5129" t="s">
        <v>670</v>
      </c>
      <c r="G5129" t="s">
        <v>59</v>
      </c>
      <c r="H5129">
        <v>2024</v>
      </c>
    </row>
    <row r="5130" spans="1:8" x14ac:dyDescent="0.2">
      <c r="A5130">
        <v>254480</v>
      </c>
      <c r="B5130">
        <v>480000</v>
      </c>
      <c r="C5130" t="str">
        <f t="shared" si="80"/>
        <v>4. $250K-1M</v>
      </c>
      <c r="D5130" t="s">
        <v>1086</v>
      </c>
      <c r="E5130" t="s">
        <v>42</v>
      </c>
      <c r="F5130" t="s">
        <v>670</v>
      </c>
      <c r="G5130" t="s">
        <v>59</v>
      </c>
      <c r="H5130">
        <v>2024</v>
      </c>
    </row>
    <row r="5131" spans="1:8" x14ac:dyDescent="0.2">
      <c r="A5131">
        <v>254484</v>
      </c>
      <c r="B5131">
        <v>57666631</v>
      </c>
      <c r="C5131" t="str">
        <f t="shared" si="80"/>
        <v>4. $250K-1M</v>
      </c>
      <c r="D5131" t="s">
        <v>2070</v>
      </c>
      <c r="E5131" t="s">
        <v>237</v>
      </c>
      <c r="F5131" t="s">
        <v>670</v>
      </c>
      <c r="G5131" t="s">
        <v>44</v>
      </c>
      <c r="H5131">
        <v>2024</v>
      </c>
    </row>
    <row r="5132" spans="1:8" x14ac:dyDescent="0.2">
      <c r="A5132">
        <v>254485</v>
      </c>
      <c r="B5132">
        <v>45635854</v>
      </c>
      <c r="C5132" t="str">
        <f t="shared" si="80"/>
        <v>5. $1M+</v>
      </c>
      <c r="D5132" t="s">
        <v>2071</v>
      </c>
      <c r="E5132" t="s">
        <v>237</v>
      </c>
      <c r="F5132" t="s">
        <v>670</v>
      </c>
      <c r="G5132" t="s">
        <v>44</v>
      </c>
      <c r="H5132">
        <v>2024</v>
      </c>
    </row>
    <row r="5133" spans="1:8" x14ac:dyDescent="0.2">
      <c r="A5133">
        <v>254666</v>
      </c>
      <c r="B5133">
        <v>1200000</v>
      </c>
      <c r="C5133" t="str">
        <f t="shared" si="80"/>
        <v>5. $1M+</v>
      </c>
      <c r="D5133" t="s">
        <v>213</v>
      </c>
      <c r="E5133" t="s">
        <v>49</v>
      </c>
      <c r="F5133" t="s">
        <v>22</v>
      </c>
      <c r="G5133" t="s">
        <v>10</v>
      </c>
      <c r="H5133">
        <v>2024</v>
      </c>
    </row>
    <row r="5134" spans="1:8" x14ac:dyDescent="0.2">
      <c r="A5134">
        <v>254702</v>
      </c>
      <c r="B5134">
        <v>22891315.399999999</v>
      </c>
      <c r="C5134" t="str">
        <f t="shared" si="80"/>
        <v>5. $1M+</v>
      </c>
      <c r="D5134" t="s">
        <v>255</v>
      </c>
      <c r="E5134" t="s">
        <v>67</v>
      </c>
      <c r="F5134" t="s">
        <v>43</v>
      </c>
      <c r="G5134" t="s">
        <v>103</v>
      </c>
      <c r="H5134">
        <v>2024</v>
      </c>
    </row>
    <row r="5135" spans="1:8" x14ac:dyDescent="0.2">
      <c r="A5135">
        <v>254742</v>
      </c>
      <c r="B5135">
        <v>975000</v>
      </c>
      <c r="C5135" t="str">
        <f t="shared" si="80"/>
        <v>5. $1M+</v>
      </c>
      <c r="D5135" t="s">
        <v>792</v>
      </c>
      <c r="E5135" t="s">
        <v>59</v>
      </c>
      <c r="F5135" t="s">
        <v>670</v>
      </c>
      <c r="G5135" t="s">
        <v>59</v>
      </c>
      <c r="H5135">
        <v>2024</v>
      </c>
    </row>
    <row r="5136" spans="1:8" x14ac:dyDescent="0.2">
      <c r="A5136">
        <v>254773</v>
      </c>
      <c r="B5136">
        <v>1147572</v>
      </c>
      <c r="C5136" t="str">
        <f t="shared" si="80"/>
        <v>4. $250K-1M</v>
      </c>
      <c r="D5136" t="s">
        <v>785</v>
      </c>
      <c r="E5136" t="s">
        <v>59</v>
      </c>
      <c r="F5136" t="s">
        <v>670</v>
      </c>
      <c r="G5136" t="s">
        <v>59</v>
      </c>
      <c r="H5136">
        <v>2024</v>
      </c>
    </row>
    <row r="5137" spans="1:8" x14ac:dyDescent="0.2">
      <c r="A5137">
        <v>254852</v>
      </c>
      <c r="B5137">
        <v>1000000</v>
      </c>
      <c r="C5137" t="str">
        <f t="shared" si="80"/>
        <v>5. $1M+</v>
      </c>
      <c r="D5137" t="s">
        <v>792</v>
      </c>
      <c r="E5137" t="s">
        <v>59</v>
      </c>
      <c r="F5137" t="s">
        <v>670</v>
      </c>
      <c r="G5137" t="s">
        <v>59</v>
      </c>
      <c r="H5137">
        <v>2024</v>
      </c>
    </row>
    <row r="5138" spans="1:8" x14ac:dyDescent="0.2">
      <c r="A5138">
        <v>254885</v>
      </c>
      <c r="B5138">
        <v>600000</v>
      </c>
      <c r="C5138" t="str">
        <f t="shared" si="80"/>
        <v>5. $1M+</v>
      </c>
      <c r="D5138" t="s">
        <v>391</v>
      </c>
      <c r="E5138" t="s">
        <v>59</v>
      </c>
      <c r="F5138" t="s">
        <v>670</v>
      </c>
      <c r="G5138" t="s">
        <v>59</v>
      </c>
      <c r="H5138">
        <v>2024</v>
      </c>
    </row>
    <row r="5139" spans="1:8" x14ac:dyDescent="0.2">
      <c r="A5139">
        <v>254889</v>
      </c>
      <c r="B5139">
        <v>240000</v>
      </c>
      <c r="C5139" t="str">
        <f t="shared" si="80"/>
        <v>4. $250K-1M</v>
      </c>
      <c r="D5139" t="s">
        <v>391</v>
      </c>
      <c r="E5139" t="s">
        <v>59</v>
      </c>
      <c r="F5139" t="s">
        <v>670</v>
      </c>
      <c r="G5139" t="s">
        <v>59</v>
      </c>
      <c r="H5139">
        <v>2024</v>
      </c>
    </row>
    <row r="5140" spans="1:8" x14ac:dyDescent="0.2">
      <c r="A5140">
        <v>254895</v>
      </c>
      <c r="B5140">
        <v>1177113</v>
      </c>
      <c r="C5140" t="str">
        <f t="shared" si="80"/>
        <v>3. $50K-250K</v>
      </c>
      <c r="D5140" t="s">
        <v>813</v>
      </c>
      <c r="E5140" t="s">
        <v>237</v>
      </c>
      <c r="F5140" t="s">
        <v>670</v>
      </c>
      <c r="G5140" t="s">
        <v>59</v>
      </c>
      <c r="H5140">
        <v>2024</v>
      </c>
    </row>
    <row r="5141" spans="1:8" x14ac:dyDescent="0.2">
      <c r="A5141">
        <v>254896</v>
      </c>
      <c r="B5141">
        <v>101475</v>
      </c>
      <c r="C5141" t="str">
        <f t="shared" si="80"/>
        <v>5. $1M+</v>
      </c>
      <c r="D5141" t="s">
        <v>813</v>
      </c>
      <c r="E5141" t="s">
        <v>237</v>
      </c>
      <c r="F5141" t="s">
        <v>670</v>
      </c>
      <c r="G5141" t="s">
        <v>59</v>
      </c>
      <c r="H5141">
        <v>2024</v>
      </c>
    </row>
    <row r="5142" spans="1:8" x14ac:dyDescent="0.2">
      <c r="A5142">
        <v>254897</v>
      </c>
      <c r="B5142">
        <v>750918</v>
      </c>
      <c r="C5142" t="str">
        <f t="shared" si="80"/>
        <v>3. $50K-250K</v>
      </c>
      <c r="D5142" t="s">
        <v>813</v>
      </c>
      <c r="E5142" t="s">
        <v>237</v>
      </c>
      <c r="F5142" t="s">
        <v>670</v>
      </c>
      <c r="G5142" t="s">
        <v>59</v>
      </c>
      <c r="H5142">
        <v>2024</v>
      </c>
    </row>
    <row r="5143" spans="1:8" x14ac:dyDescent="0.2">
      <c r="A5143">
        <v>254918</v>
      </c>
      <c r="B5143">
        <v>6000</v>
      </c>
      <c r="C5143" t="str">
        <f t="shared" si="80"/>
        <v>4. $250K-1M</v>
      </c>
      <c r="D5143" t="s">
        <v>2072</v>
      </c>
      <c r="E5143" t="s">
        <v>112</v>
      </c>
      <c r="F5143" t="s">
        <v>668</v>
      </c>
      <c r="G5143" t="s">
        <v>59</v>
      </c>
      <c r="H5143">
        <v>2024</v>
      </c>
    </row>
    <row r="5144" spans="1:8" x14ac:dyDescent="0.2">
      <c r="A5144">
        <v>254919</v>
      </c>
      <c r="B5144">
        <v>6000</v>
      </c>
      <c r="C5144" t="str">
        <f t="shared" si="80"/>
        <v>1. Under $10K</v>
      </c>
      <c r="D5144" t="s">
        <v>2022</v>
      </c>
      <c r="E5144" t="s">
        <v>112</v>
      </c>
      <c r="F5144" t="s">
        <v>668</v>
      </c>
      <c r="G5144" t="s">
        <v>59</v>
      </c>
      <c r="H5144">
        <v>2024</v>
      </c>
    </row>
    <row r="5145" spans="1:8" x14ac:dyDescent="0.2">
      <c r="A5145">
        <v>254920</v>
      </c>
      <c r="B5145">
        <v>37000</v>
      </c>
      <c r="C5145" t="str">
        <f t="shared" si="80"/>
        <v>1. Under $10K</v>
      </c>
      <c r="D5145" t="s">
        <v>2073</v>
      </c>
      <c r="E5145" t="s">
        <v>112</v>
      </c>
      <c r="F5145" t="s">
        <v>668</v>
      </c>
      <c r="G5145" t="s">
        <v>59</v>
      </c>
      <c r="H5145">
        <v>2024</v>
      </c>
    </row>
    <row r="5146" spans="1:8" x14ac:dyDescent="0.2">
      <c r="A5146">
        <v>254921</v>
      </c>
      <c r="B5146">
        <v>128105</v>
      </c>
      <c r="C5146" t="str">
        <f t="shared" si="80"/>
        <v>2. $10K-50K</v>
      </c>
      <c r="D5146" t="s">
        <v>708</v>
      </c>
      <c r="E5146" t="s">
        <v>237</v>
      </c>
      <c r="F5146" t="s">
        <v>670</v>
      </c>
      <c r="G5146" t="s">
        <v>59</v>
      </c>
      <c r="H5146">
        <v>2024</v>
      </c>
    </row>
    <row r="5147" spans="1:8" x14ac:dyDescent="0.2">
      <c r="A5147">
        <v>254922</v>
      </c>
      <c r="B5147">
        <v>406248</v>
      </c>
      <c r="C5147" t="str">
        <f t="shared" si="80"/>
        <v>3. $50K-250K</v>
      </c>
      <c r="D5147" t="s">
        <v>762</v>
      </c>
      <c r="E5147" t="s">
        <v>237</v>
      </c>
      <c r="F5147" t="s">
        <v>670</v>
      </c>
      <c r="G5147" t="s">
        <v>59</v>
      </c>
      <c r="H5147">
        <v>2024</v>
      </c>
    </row>
    <row r="5148" spans="1:8" x14ac:dyDescent="0.2">
      <c r="A5148">
        <v>254923</v>
      </c>
      <c r="B5148">
        <v>669513</v>
      </c>
      <c r="C5148" t="str">
        <f t="shared" si="80"/>
        <v>4. $250K-1M</v>
      </c>
      <c r="D5148" t="s">
        <v>795</v>
      </c>
      <c r="E5148" t="s">
        <v>237</v>
      </c>
      <c r="F5148" t="s">
        <v>670</v>
      </c>
      <c r="G5148" t="s">
        <v>59</v>
      </c>
      <c r="H5148">
        <v>2024</v>
      </c>
    </row>
    <row r="5149" spans="1:8" x14ac:dyDescent="0.2">
      <c r="A5149">
        <v>254924</v>
      </c>
      <c r="B5149">
        <v>22737</v>
      </c>
      <c r="C5149" t="str">
        <f t="shared" si="80"/>
        <v>4. $250K-1M</v>
      </c>
      <c r="D5149" t="s">
        <v>795</v>
      </c>
      <c r="E5149" t="s">
        <v>237</v>
      </c>
      <c r="F5149" t="s">
        <v>670</v>
      </c>
      <c r="G5149" t="s">
        <v>59</v>
      </c>
      <c r="H5149">
        <v>2024</v>
      </c>
    </row>
    <row r="5150" spans="1:8" x14ac:dyDescent="0.2">
      <c r="A5150">
        <v>254925</v>
      </c>
      <c r="B5150">
        <v>35023</v>
      </c>
      <c r="C5150" t="str">
        <f t="shared" si="80"/>
        <v>2. $10K-50K</v>
      </c>
      <c r="D5150" t="s">
        <v>762</v>
      </c>
      <c r="E5150" t="s">
        <v>237</v>
      </c>
      <c r="F5150" t="s">
        <v>670</v>
      </c>
      <c r="G5150" t="s">
        <v>59</v>
      </c>
      <c r="H5150">
        <v>2024</v>
      </c>
    </row>
    <row r="5151" spans="1:8" x14ac:dyDescent="0.2">
      <c r="A5151">
        <v>254932</v>
      </c>
      <c r="B5151">
        <v>200000</v>
      </c>
      <c r="C5151" t="str">
        <f t="shared" si="80"/>
        <v>2. $10K-50K</v>
      </c>
      <c r="D5151" t="s">
        <v>2037</v>
      </c>
      <c r="E5151" t="s">
        <v>112</v>
      </c>
      <c r="F5151" t="s">
        <v>668</v>
      </c>
      <c r="G5151" t="s">
        <v>59</v>
      </c>
      <c r="H5151">
        <v>2024</v>
      </c>
    </row>
    <row r="5152" spans="1:8" x14ac:dyDescent="0.2">
      <c r="A5152">
        <v>254933</v>
      </c>
      <c r="B5152">
        <v>200000</v>
      </c>
      <c r="C5152" t="str">
        <f t="shared" si="80"/>
        <v>3. $50K-250K</v>
      </c>
      <c r="D5152" t="s">
        <v>1210</v>
      </c>
      <c r="E5152" t="s">
        <v>112</v>
      </c>
      <c r="F5152" t="s">
        <v>668</v>
      </c>
      <c r="G5152" t="s">
        <v>59</v>
      </c>
      <c r="H5152">
        <v>2024</v>
      </c>
    </row>
    <row r="5153" spans="1:8" x14ac:dyDescent="0.2">
      <c r="A5153">
        <v>254934</v>
      </c>
      <c r="B5153">
        <v>9537766.6999999993</v>
      </c>
      <c r="C5153" t="str">
        <f t="shared" si="80"/>
        <v>3. $50K-250K</v>
      </c>
      <c r="D5153" t="s">
        <v>1500</v>
      </c>
      <c r="E5153" t="s">
        <v>28</v>
      </c>
      <c r="F5153" t="s">
        <v>668</v>
      </c>
      <c r="G5153" t="s">
        <v>59</v>
      </c>
      <c r="H5153">
        <v>2024</v>
      </c>
    </row>
    <row r="5154" spans="1:8" x14ac:dyDescent="0.2">
      <c r="A5154">
        <v>254945</v>
      </c>
      <c r="B5154">
        <v>50000</v>
      </c>
      <c r="C5154" t="str">
        <f t="shared" si="80"/>
        <v>5. $1M+</v>
      </c>
      <c r="D5154" t="s">
        <v>1746</v>
      </c>
      <c r="E5154" t="s">
        <v>112</v>
      </c>
      <c r="F5154" t="s">
        <v>668</v>
      </c>
      <c r="G5154" t="s">
        <v>59</v>
      </c>
      <c r="H5154">
        <v>2024</v>
      </c>
    </row>
    <row r="5155" spans="1:8" x14ac:dyDescent="0.2">
      <c r="A5155">
        <v>254965</v>
      </c>
      <c r="B5155">
        <v>4825335</v>
      </c>
      <c r="C5155" t="str">
        <f t="shared" si="80"/>
        <v>3. $50K-250K</v>
      </c>
      <c r="D5155" t="s">
        <v>403</v>
      </c>
      <c r="E5155" t="s">
        <v>28</v>
      </c>
      <c r="F5155" t="s">
        <v>85</v>
      </c>
      <c r="G5155" t="s">
        <v>10</v>
      </c>
      <c r="H5155">
        <v>2024</v>
      </c>
    </row>
    <row r="5156" spans="1:8" x14ac:dyDescent="0.2">
      <c r="A5156">
        <v>254991</v>
      </c>
      <c r="B5156">
        <v>284378</v>
      </c>
      <c r="C5156" t="str">
        <f t="shared" si="80"/>
        <v>5. $1M+</v>
      </c>
      <c r="D5156" t="s">
        <v>1585</v>
      </c>
      <c r="E5156" t="s">
        <v>237</v>
      </c>
      <c r="F5156" t="s">
        <v>670</v>
      </c>
      <c r="G5156" t="s">
        <v>59</v>
      </c>
      <c r="H5156">
        <v>2024</v>
      </c>
    </row>
    <row r="5157" spans="1:8" x14ac:dyDescent="0.2">
      <c r="A5157">
        <v>254992</v>
      </c>
      <c r="B5157">
        <v>169435</v>
      </c>
      <c r="C5157" t="str">
        <f t="shared" si="80"/>
        <v>4. $250K-1M</v>
      </c>
      <c r="D5157" t="s">
        <v>1585</v>
      </c>
      <c r="E5157" t="s">
        <v>237</v>
      </c>
      <c r="F5157" t="s">
        <v>670</v>
      </c>
      <c r="G5157" t="s">
        <v>59</v>
      </c>
      <c r="H5157">
        <v>2024</v>
      </c>
    </row>
    <row r="5158" spans="1:8" x14ac:dyDescent="0.2">
      <c r="A5158">
        <v>255010</v>
      </c>
      <c r="B5158">
        <v>1089000</v>
      </c>
      <c r="C5158" t="str">
        <f t="shared" si="80"/>
        <v>3. $50K-250K</v>
      </c>
      <c r="D5158" t="s">
        <v>1011</v>
      </c>
      <c r="E5158" t="s">
        <v>368</v>
      </c>
      <c r="F5158" t="s">
        <v>670</v>
      </c>
      <c r="G5158" t="s">
        <v>59</v>
      </c>
      <c r="H5158">
        <v>2024</v>
      </c>
    </row>
    <row r="5159" spans="1:8" x14ac:dyDescent="0.2">
      <c r="A5159">
        <v>255205</v>
      </c>
      <c r="B5159">
        <v>50000</v>
      </c>
      <c r="C5159" t="str">
        <f t="shared" si="80"/>
        <v>5. $1M+</v>
      </c>
      <c r="D5159" t="s">
        <v>1454</v>
      </c>
      <c r="E5159" t="s">
        <v>112</v>
      </c>
      <c r="F5159" t="s">
        <v>668</v>
      </c>
      <c r="G5159" t="s">
        <v>59</v>
      </c>
      <c r="H5159">
        <v>2024</v>
      </c>
    </row>
    <row r="5160" spans="1:8" x14ac:dyDescent="0.2">
      <c r="A5160">
        <v>255206</v>
      </c>
      <c r="B5160">
        <v>41000</v>
      </c>
      <c r="C5160" t="str">
        <f t="shared" si="80"/>
        <v>3. $50K-250K</v>
      </c>
      <c r="D5160" t="s">
        <v>1702</v>
      </c>
      <c r="E5160" t="s">
        <v>112</v>
      </c>
      <c r="F5160" t="s">
        <v>668</v>
      </c>
      <c r="G5160" t="s">
        <v>59</v>
      </c>
      <c r="H5160">
        <v>2024</v>
      </c>
    </row>
    <row r="5161" spans="1:8" x14ac:dyDescent="0.2">
      <c r="A5161">
        <v>255207</v>
      </c>
      <c r="B5161">
        <v>45000</v>
      </c>
      <c r="C5161" t="str">
        <f t="shared" si="80"/>
        <v>2. $10K-50K</v>
      </c>
      <c r="D5161" t="s">
        <v>991</v>
      </c>
      <c r="E5161" t="s">
        <v>112</v>
      </c>
      <c r="F5161" t="s">
        <v>668</v>
      </c>
      <c r="G5161" t="s">
        <v>59</v>
      </c>
      <c r="H5161">
        <v>2024</v>
      </c>
    </row>
    <row r="5162" spans="1:8" x14ac:dyDescent="0.2">
      <c r="A5162">
        <v>255263</v>
      </c>
      <c r="B5162">
        <v>190000</v>
      </c>
      <c r="C5162" t="str">
        <f t="shared" si="80"/>
        <v>2. $10K-50K</v>
      </c>
      <c r="D5162" t="s">
        <v>1035</v>
      </c>
      <c r="E5162" t="s">
        <v>18</v>
      </c>
      <c r="F5162" t="s">
        <v>668</v>
      </c>
      <c r="G5162" t="s">
        <v>59</v>
      </c>
      <c r="H5162">
        <v>2024</v>
      </c>
    </row>
    <row r="5163" spans="1:8" x14ac:dyDescent="0.2">
      <c r="A5163">
        <v>255488</v>
      </c>
      <c r="B5163">
        <v>130145</v>
      </c>
      <c r="C5163" t="str">
        <f t="shared" si="80"/>
        <v>3. $50K-250K</v>
      </c>
      <c r="D5163" t="s">
        <v>889</v>
      </c>
      <c r="E5163" t="s">
        <v>237</v>
      </c>
      <c r="F5163" t="s">
        <v>670</v>
      </c>
      <c r="G5163" t="s">
        <v>59</v>
      </c>
      <c r="H5163">
        <v>2024</v>
      </c>
    </row>
    <row r="5164" spans="1:8" x14ac:dyDescent="0.2">
      <c r="A5164">
        <v>255490</v>
      </c>
      <c r="B5164">
        <v>186956</v>
      </c>
      <c r="C5164" t="str">
        <f t="shared" si="80"/>
        <v>3. $50K-250K</v>
      </c>
      <c r="D5164" t="s">
        <v>889</v>
      </c>
      <c r="E5164" t="s">
        <v>237</v>
      </c>
      <c r="F5164" t="s">
        <v>670</v>
      </c>
      <c r="G5164" t="s">
        <v>59</v>
      </c>
      <c r="H5164">
        <v>2024</v>
      </c>
    </row>
    <row r="5165" spans="1:8" x14ac:dyDescent="0.2">
      <c r="A5165">
        <v>255493</v>
      </c>
      <c r="B5165">
        <v>172559</v>
      </c>
      <c r="C5165" t="str">
        <f t="shared" si="80"/>
        <v>3. $50K-250K</v>
      </c>
      <c r="D5165" t="s">
        <v>889</v>
      </c>
      <c r="E5165" t="s">
        <v>237</v>
      </c>
      <c r="F5165" t="s">
        <v>670</v>
      </c>
      <c r="G5165" t="s">
        <v>59</v>
      </c>
      <c r="H5165">
        <v>2024</v>
      </c>
    </row>
    <row r="5166" spans="1:8" x14ac:dyDescent="0.2">
      <c r="A5166">
        <v>255527</v>
      </c>
      <c r="B5166">
        <v>18000000</v>
      </c>
      <c r="C5166" t="str">
        <f t="shared" si="80"/>
        <v>3. $50K-250K</v>
      </c>
      <c r="D5166" t="s">
        <v>404</v>
      </c>
      <c r="E5166" t="s">
        <v>24</v>
      </c>
      <c r="F5166" t="s">
        <v>14</v>
      </c>
      <c r="G5166" t="s">
        <v>15</v>
      </c>
      <c r="H5166">
        <v>2025</v>
      </c>
    </row>
    <row r="5167" spans="1:8" x14ac:dyDescent="0.2">
      <c r="A5167">
        <v>255528</v>
      </c>
      <c r="B5167">
        <v>6675450.7000000002</v>
      </c>
      <c r="C5167" t="str">
        <f t="shared" si="80"/>
        <v>5. $1M+</v>
      </c>
      <c r="D5167" t="s">
        <v>501</v>
      </c>
      <c r="E5167" t="s">
        <v>432</v>
      </c>
      <c r="F5167" t="s">
        <v>670</v>
      </c>
      <c r="G5167" t="s">
        <v>59</v>
      </c>
      <c r="H5167">
        <v>2024</v>
      </c>
    </row>
    <row r="5168" spans="1:8" x14ac:dyDescent="0.2">
      <c r="A5168">
        <v>255662</v>
      </c>
      <c r="B5168">
        <v>2865</v>
      </c>
      <c r="C5168" t="str">
        <f t="shared" si="80"/>
        <v>5. $1M+</v>
      </c>
      <c r="D5168" t="s">
        <v>2074</v>
      </c>
      <c r="E5168" t="s">
        <v>112</v>
      </c>
      <c r="F5168" t="s">
        <v>668</v>
      </c>
      <c r="G5168" t="s">
        <v>59</v>
      </c>
      <c r="H5168">
        <v>2024</v>
      </c>
    </row>
    <row r="5169" spans="1:8" x14ac:dyDescent="0.2">
      <c r="A5169">
        <v>255663</v>
      </c>
      <c r="B5169">
        <v>3500</v>
      </c>
      <c r="C5169" t="str">
        <f t="shared" si="80"/>
        <v>1. Under $10K</v>
      </c>
      <c r="D5169" t="s">
        <v>2075</v>
      </c>
      <c r="E5169" t="s">
        <v>112</v>
      </c>
      <c r="F5169" t="s">
        <v>668</v>
      </c>
      <c r="G5169" t="s">
        <v>59</v>
      </c>
      <c r="H5169">
        <v>2024</v>
      </c>
    </row>
    <row r="5170" spans="1:8" x14ac:dyDescent="0.2">
      <c r="A5170">
        <v>255690</v>
      </c>
      <c r="B5170">
        <v>87010</v>
      </c>
      <c r="C5170" t="str">
        <f t="shared" si="80"/>
        <v>1. Under $10K</v>
      </c>
      <c r="D5170" t="s">
        <v>2076</v>
      </c>
      <c r="E5170" t="s">
        <v>8</v>
      </c>
      <c r="F5170" t="s">
        <v>668</v>
      </c>
      <c r="G5170" t="s">
        <v>59</v>
      </c>
      <c r="H5170">
        <v>2024</v>
      </c>
    </row>
    <row r="5171" spans="1:8" x14ac:dyDescent="0.2">
      <c r="A5171">
        <v>255731</v>
      </c>
      <c r="B5171">
        <v>8133172</v>
      </c>
      <c r="C5171" t="str">
        <f t="shared" si="80"/>
        <v>3. $50K-250K</v>
      </c>
      <c r="D5171" t="s">
        <v>1580</v>
      </c>
      <c r="E5171" t="s">
        <v>99</v>
      </c>
      <c r="F5171" t="s">
        <v>668</v>
      </c>
      <c r="G5171" t="s">
        <v>59</v>
      </c>
      <c r="H5171">
        <v>2024</v>
      </c>
    </row>
    <row r="5172" spans="1:8" x14ac:dyDescent="0.2">
      <c r="A5172">
        <v>255734</v>
      </c>
      <c r="B5172">
        <v>29859</v>
      </c>
      <c r="C5172" t="str">
        <f t="shared" si="80"/>
        <v>5. $1M+</v>
      </c>
      <c r="D5172" t="s">
        <v>1435</v>
      </c>
      <c r="E5172" t="s">
        <v>99</v>
      </c>
      <c r="F5172" t="s">
        <v>668</v>
      </c>
      <c r="G5172" t="s">
        <v>59</v>
      </c>
      <c r="H5172">
        <v>2024</v>
      </c>
    </row>
    <row r="5173" spans="1:8" x14ac:dyDescent="0.2">
      <c r="A5173">
        <v>255736</v>
      </c>
      <c r="B5173">
        <v>415000</v>
      </c>
      <c r="C5173" t="str">
        <f t="shared" si="80"/>
        <v>2. $10K-50K</v>
      </c>
      <c r="D5173" t="s">
        <v>2077</v>
      </c>
      <c r="E5173" t="s">
        <v>112</v>
      </c>
      <c r="F5173" t="s">
        <v>668</v>
      </c>
      <c r="G5173" t="s">
        <v>59</v>
      </c>
      <c r="H5173">
        <v>2024</v>
      </c>
    </row>
    <row r="5174" spans="1:8" x14ac:dyDescent="0.2">
      <c r="A5174">
        <v>255743</v>
      </c>
      <c r="B5174">
        <v>67891</v>
      </c>
      <c r="C5174" t="str">
        <f t="shared" si="80"/>
        <v>4. $250K-1M</v>
      </c>
      <c r="D5174" t="s">
        <v>1588</v>
      </c>
      <c r="E5174" t="s">
        <v>99</v>
      </c>
      <c r="F5174" t="s">
        <v>668</v>
      </c>
      <c r="G5174" t="s">
        <v>59</v>
      </c>
      <c r="H5174">
        <v>2024</v>
      </c>
    </row>
    <row r="5175" spans="1:8" x14ac:dyDescent="0.2">
      <c r="A5175">
        <v>255744</v>
      </c>
      <c r="B5175">
        <v>1000000</v>
      </c>
      <c r="C5175" t="str">
        <f t="shared" si="80"/>
        <v>3. $50K-250K</v>
      </c>
      <c r="D5175" t="s">
        <v>1372</v>
      </c>
      <c r="E5175" t="s">
        <v>99</v>
      </c>
      <c r="F5175" t="s">
        <v>668</v>
      </c>
      <c r="G5175" t="s">
        <v>59</v>
      </c>
      <c r="H5175">
        <v>2024</v>
      </c>
    </row>
    <row r="5176" spans="1:8" x14ac:dyDescent="0.2">
      <c r="A5176">
        <v>255861</v>
      </c>
      <c r="B5176">
        <v>574649.69999999995</v>
      </c>
      <c r="C5176" t="str">
        <f t="shared" si="80"/>
        <v>5. $1M+</v>
      </c>
      <c r="D5176" t="s">
        <v>762</v>
      </c>
      <c r="E5176" t="s">
        <v>237</v>
      </c>
      <c r="F5176" t="s">
        <v>670</v>
      </c>
      <c r="G5176" t="s">
        <v>59</v>
      </c>
      <c r="H5176">
        <v>2024</v>
      </c>
    </row>
    <row r="5177" spans="1:8" x14ac:dyDescent="0.2">
      <c r="A5177">
        <v>255862</v>
      </c>
      <c r="B5177">
        <v>563483.4</v>
      </c>
      <c r="C5177" t="str">
        <f t="shared" si="80"/>
        <v>4. $250K-1M</v>
      </c>
      <c r="D5177" t="s">
        <v>708</v>
      </c>
      <c r="E5177" t="s">
        <v>237</v>
      </c>
      <c r="F5177" t="s">
        <v>670</v>
      </c>
      <c r="G5177" t="s">
        <v>59</v>
      </c>
      <c r="H5177">
        <v>2024</v>
      </c>
    </row>
    <row r="5178" spans="1:8" x14ac:dyDescent="0.2">
      <c r="A5178">
        <v>255866</v>
      </c>
      <c r="B5178">
        <v>43302.9</v>
      </c>
      <c r="C5178" t="str">
        <f t="shared" si="80"/>
        <v>4. $250K-1M</v>
      </c>
      <c r="D5178" t="s">
        <v>857</v>
      </c>
      <c r="E5178" t="s">
        <v>237</v>
      </c>
      <c r="F5178" t="s">
        <v>670</v>
      </c>
      <c r="G5178" t="s">
        <v>59</v>
      </c>
      <c r="H5178">
        <v>2024</v>
      </c>
    </row>
    <row r="5179" spans="1:8" x14ac:dyDescent="0.2">
      <c r="A5179">
        <v>255867</v>
      </c>
      <c r="B5179">
        <v>2400</v>
      </c>
      <c r="C5179" t="str">
        <f t="shared" si="80"/>
        <v>2. $10K-50K</v>
      </c>
      <c r="D5179" t="s">
        <v>854</v>
      </c>
      <c r="E5179" t="s">
        <v>237</v>
      </c>
      <c r="F5179" t="s">
        <v>670</v>
      </c>
      <c r="G5179" t="s">
        <v>59</v>
      </c>
      <c r="H5179">
        <v>2024</v>
      </c>
    </row>
    <row r="5180" spans="1:8" x14ac:dyDescent="0.2">
      <c r="A5180">
        <v>255868</v>
      </c>
      <c r="B5180">
        <v>11321</v>
      </c>
      <c r="C5180" t="str">
        <f t="shared" si="80"/>
        <v>1. Under $10K</v>
      </c>
      <c r="D5180" t="s">
        <v>862</v>
      </c>
      <c r="E5180" t="s">
        <v>237</v>
      </c>
      <c r="F5180" t="s">
        <v>670</v>
      </c>
      <c r="G5180" t="s">
        <v>59</v>
      </c>
      <c r="H5180">
        <v>2024</v>
      </c>
    </row>
    <row r="5181" spans="1:8" x14ac:dyDescent="0.2">
      <c r="A5181">
        <v>255869</v>
      </c>
      <c r="B5181">
        <v>9599.7000000000007</v>
      </c>
      <c r="C5181" t="str">
        <f t="shared" si="80"/>
        <v>2. $10K-50K</v>
      </c>
      <c r="D5181" t="s">
        <v>869</v>
      </c>
      <c r="E5181" t="s">
        <v>237</v>
      </c>
      <c r="F5181" t="s">
        <v>670</v>
      </c>
      <c r="G5181" t="s">
        <v>59</v>
      </c>
      <c r="H5181">
        <v>2024</v>
      </c>
    </row>
    <row r="5182" spans="1:8" x14ac:dyDescent="0.2">
      <c r="A5182">
        <v>255873</v>
      </c>
      <c r="B5182">
        <v>600000</v>
      </c>
      <c r="C5182" t="str">
        <f t="shared" si="80"/>
        <v>1. Under $10K</v>
      </c>
      <c r="D5182" t="s">
        <v>2078</v>
      </c>
      <c r="E5182" t="s">
        <v>59</v>
      </c>
      <c r="F5182" t="s">
        <v>670</v>
      </c>
      <c r="G5182" t="s">
        <v>59</v>
      </c>
      <c r="H5182">
        <v>2024</v>
      </c>
    </row>
    <row r="5183" spans="1:8" x14ac:dyDescent="0.2">
      <c r="A5183">
        <v>255935</v>
      </c>
      <c r="B5183">
        <v>500000</v>
      </c>
      <c r="C5183" t="str">
        <f t="shared" si="80"/>
        <v>4. $250K-1M</v>
      </c>
      <c r="D5183" t="s">
        <v>940</v>
      </c>
      <c r="E5183" t="s">
        <v>112</v>
      </c>
      <c r="F5183" t="s">
        <v>668</v>
      </c>
      <c r="G5183" t="s">
        <v>59</v>
      </c>
      <c r="H5183">
        <v>2024</v>
      </c>
    </row>
    <row r="5184" spans="1:8" x14ac:dyDescent="0.2">
      <c r="A5184">
        <v>255938</v>
      </c>
      <c r="B5184">
        <v>550000</v>
      </c>
      <c r="C5184" t="str">
        <f t="shared" si="80"/>
        <v>4. $250K-1M</v>
      </c>
      <c r="D5184" t="s">
        <v>815</v>
      </c>
      <c r="E5184" t="s">
        <v>99</v>
      </c>
      <c r="F5184" t="s">
        <v>668</v>
      </c>
      <c r="G5184" t="s">
        <v>59</v>
      </c>
      <c r="H5184">
        <v>2024</v>
      </c>
    </row>
    <row r="5185" spans="1:8" x14ac:dyDescent="0.2">
      <c r="A5185">
        <v>255939</v>
      </c>
      <c r="B5185">
        <v>550000</v>
      </c>
      <c r="C5185" t="str">
        <f t="shared" si="80"/>
        <v>4. $250K-1M</v>
      </c>
      <c r="D5185" t="s">
        <v>942</v>
      </c>
      <c r="E5185" t="s">
        <v>99</v>
      </c>
      <c r="F5185" t="s">
        <v>668</v>
      </c>
      <c r="G5185" t="s">
        <v>59</v>
      </c>
      <c r="H5185">
        <v>2024</v>
      </c>
    </row>
    <row r="5186" spans="1:8" x14ac:dyDescent="0.2">
      <c r="A5186">
        <v>255961</v>
      </c>
      <c r="B5186">
        <v>533331.4</v>
      </c>
      <c r="C5186" t="str">
        <f t="shared" si="80"/>
        <v>4. $250K-1M</v>
      </c>
      <c r="D5186" t="s">
        <v>942</v>
      </c>
      <c r="E5186" t="s">
        <v>237</v>
      </c>
      <c r="F5186" t="s">
        <v>670</v>
      </c>
      <c r="G5186" t="s">
        <v>59</v>
      </c>
      <c r="H5186">
        <v>2024</v>
      </c>
    </row>
    <row r="5187" spans="1:8" x14ac:dyDescent="0.2">
      <c r="A5187">
        <v>255962</v>
      </c>
      <c r="B5187">
        <v>1107459.8</v>
      </c>
      <c r="C5187" t="str">
        <f t="shared" ref="C5187:C5250" si="81">IF(B5186&lt;10000,"1. Under $10K",IF(B5186&lt;50000,"2. $10K-50K",IF(B5186&lt;250000,"3. $50K-250K",IF(B5186&lt;1000000,"4. $250K-1M","5. $1M+"))))</f>
        <v>4. $250K-1M</v>
      </c>
      <c r="D5187" t="s">
        <v>980</v>
      </c>
      <c r="E5187" t="s">
        <v>237</v>
      </c>
      <c r="F5187" t="s">
        <v>670</v>
      </c>
      <c r="G5187" t="s">
        <v>59</v>
      </c>
      <c r="H5187">
        <v>2024</v>
      </c>
    </row>
    <row r="5188" spans="1:8" x14ac:dyDescent="0.2">
      <c r="A5188">
        <v>255963</v>
      </c>
      <c r="B5188">
        <v>641802</v>
      </c>
      <c r="C5188" t="str">
        <f t="shared" si="81"/>
        <v>5. $1M+</v>
      </c>
      <c r="D5188" t="s">
        <v>801</v>
      </c>
      <c r="E5188" t="s">
        <v>237</v>
      </c>
      <c r="F5188" t="s">
        <v>670</v>
      </c>
      <c r="G5188" t="s">
        <v>59</v>
      </c>
      <c r="H5188">
        <v>2024</v>
      </c>
    </row>
    <row r="5189" spans="1:8" x14ac:dyDescent="0.2">
      <c r="A5189">
        <v>255964</v>
      </c>
      <c r="B5189">
        <v>472431.3</v>
      </c>
      <c r="C5189" t="str">
        <f t="shared" si="81"/>
        <v>4. $250K-1M</v>
      </c>
      <c r="D5189" t="s">
        <v>575</v>
      </c>
      <c r="E5189" t="s">
        <v>237</v>
      </c>
      <c r="F5189" t="s">
        <v>670</v>
      </c>
      <c r="G5189" t="s">
        <v>59</v>
      </c>
      <c r="H5189">
        <v>2024</v>
      </c>
    </row>
    <row r="5190" spans="1:8" x14ac:dyDescent="0.2">
      <c r="A5190">
        <v>255965</v>
      </c>
      <c r="B5190">
        <v>515623.3</v>
      </c>
      <c r="C5190" t="str">
        <f t="shared" si="81"/>
        <v>4. $250K-1M</v>
      </c>
      <c r="D5190" t="s">
        <v>783</v>
      </c>
      <c r="E5190" t="s">
        <v>237</v>
      </c>
      <c r="F5190" t="s">
        <v>670</v>
      </c>
      <c r="G5190" t="s">
        <v>59</v>
      </c>
      <c r="H5190">
        <v>2024</v>
      </c>
    </row>
    <row r="5191" spans="1:8" x14ac:dyDescent="0.2">
      <c r="A5191">
        <v>255966</v>
      </c>
      <c r="B5191">
        <v>622016.69999999995</v>
      </c>
      <c r="C5191" t="str">
        <f t="shared" si="81"/>
        <v>4. $250K-1M</v>
      </c>
      <c r="D5191" t="s">
        <v>1096</v>
      </c>
      <c r="E5191" t="s">
        <v>237</v>
      </c>
      <c r="F5191" t="s">
        <v>670</v>
      </c>
      <c r="G5191" t="s">
        <v>59</v>
      </c>
      <c r="H5191">
        <v>2024</v>
      </c>
    </row>
    <row r="5192" spans="1:8" x14ac:dyDescent="0.2">
      <c r="A5192">
        <v>255967</v>
      </c>
      <c r="B5192">
        <v>1133711.1000000001</v>
      </c>
      <c r="C5192" t="str">
        <f t="shared" si="81"/>
        <v>4. $250K-1M</v>
      </c>
      <c r="D5192" t="s">
        <v>717</v>
      </c>
      <c r="E5192" t="s">
        <v>237</v>
      </c>
      <c r="F5192" t="s">
        <v>670</v>
      </c>
      <c r="G5192" t="s">
        <v>59</v>
      </c>
      <c r="H5192">
        <v>2024</v>
      </c>
    </row>
    <row r="5193" spans="1:8" x14ac:dyDescent="0.2">
      <c r="A5193">
        <v>255968</v>
      </c>
      <c r="B5193">
        <v>632970</v>
      </c>
      <c r="C5193" t="str">
        <f t="shared" si="81"/>
        <v>5. $1M+</v>
      </c>
      <c r="D5193" t="s">
        <v>749</v>
      </c>
      <c r="E5193" t="s">
        <v>237</v>
      </c>
      <c r="F5193" t="s">
        <v>670</v>
      </c>
      <c r="G5193" t="s">
        <v>59</v>
      </c>
      <c r="H5193">
        <v>2024</v>
      </c>
    </row>
    <row r="5194" spans="1:8" x14ac:dyDescent="0.2">
      <c r="A5194">
        <v>255979</v>
      </c>
      <c r="B5194">
        <v>1012766</v>
      </c>
      <c r="C5194" t="str">
        <f t="shared" si="81"/>
        <v>4. $250K-1M</v>
      </c>
      <c r="D5194" t="s">
        <v>391</v>
      </c>
      <c r="E5194" t="s">
        <v>42</v>
      </c>
      <c r="F5194" t="s">
        <v>670</v>
      </c>
      <c r="G5194" t="s">
        <v>44</v>
      </c>
      <c r="H5194">
        <v>2024</v>
      </c>
    </row>
    <row r="5195" spans="1:8" x14ac:dyDescent="0.2">
      <c r="A5195">
        <v>255982</v>
      </c>
      <c r="B5195">
        <v>600000</v>
      </c>
      <c r="C5195" t="str">
        <f t="shared" si="81"/>
        <v>5. $1M+</v>
      </c>
      <c r="D5195" t="s">
        <v>2079</v>
      </c>
      <c r="E5195" t="s">
        <v>59</v>
      </c>
      <c r="F5195" t="s">
        <v>670</v>
      </c>
      <c r="G5195" t="s">
        <v>59</v>
      </c>
      <c r="H5195">
        <v>2024</v>
      </c>
    </row>
    <row r="5196" spans="1:8" x14ac:dyDescent="0.2">
      <c r="A5196">
        <v>256002</v>
      </c>
      <c r="B5196">
        <v>250000</v>
      </c>
      <c r="C5196" t="str">
        <f t="shared" si="81"/>
        <v>4. $250K-1M</v>
      </c>
      <c r="D5196" t="s">
        <v>2080</v>
      </c>
      <c r="E5196" t="s">
        <v>99</v>
      </c>
      <c r="F5196" t="s">
        <v>668</v>
      </c>
      <c r="G5196" t="s">
        <v>59</v>
      </c>
      <c r="H5196">
        <v>2024</v>
      </c>
    </row>
    <row r="5197" spans="1:8" x14ac:dyDescent="0.2">
      <c r="A5197">
        <v>256003</v>
      </c>
      <c r="B5197">
        <v>250000</v>
      </c>
      <c r="C5197" t="str">
        <f t="shared" si="81"/>
        <v>4. $250K-1M</v>
      </c>
      <c r="D5197" t="s">
        <v>2081</v>
      </c>
      <c r="E5197" t="s">
        <v>99</v>
      </c>
      <c r="F5197" t="s">
        <v>668</v>
      </c>
      <c r="G5197" t="s">
        <v>59</v>
      </c>
      <c r="H5197">
        <v>2024</v>
      </c>
    </row>
    <row r="5198" spans="1:8" x14ac:dyDescent="0.2">
      <c r="A5198">
        <v>256005</v>
      </c>
      <c r="B5198">
        <v>250000</v>
      </c>
      <c r="C5198" t="str">
        <f t="shared" si="81"/>
        <v>4. $250K-1M</v>
      </c>
      <c r="D5198" t="s">
        <v>2082</v>
      </c>
      <c r="E5198" t="s">
        <v>99</v>
      </c>
      <c r="F5198" t="s">
        <v>668</v>
      </c>
      <c r="G5198" t="s">
        <v>59</v>
      </c>
      <c r="H5198">
        <v>2024</v>
      </c>
    </row>
    <row r="5199" spans="1:8" x14ac:dyDescent="0.2">
      <c r="A5199">
        <v>256006</v>
      </c>
      <c r="B5199">
        <v>243860.2</v>
      </c>
      <c r="C5199" t="str">
        <f t="shared" si="81"/>
        <v>4. $250K-1M</v>
      </c>
      <c r="D5199" t="s">
        <v>2083</v>
      </c>
      <c r="E5199" t="s">
        <v>99</v>
      </c>
      <c r="F5199" t="s">
        <v>668</v>
      </c>
      <c r="G5199" t="s">
        <v>59</v>
      </c>
      <c r="H5199">
        <v>2024</v>
      </c>
    </row>
    <row r="5200" spans="1:8" x14ac:dyDescent="0.2">
      <c r="A5200">
        <v>256007</v>
      </c>
      <c r="B5200">
        <v>2413155</v>
      </c>
      <c r="C5200" t="str">
        <f t="shared" si="81"/>
        <v>3. $50K-250K</v>
      </c>
      <c r="D5200" t="s">
        <v>2084</v>
      </c>
      <c r="E5200" t="s">
        <v>99</v>
      </c>
      <c r="F5200" t="s">
        <v>668</v>
      </c>
      <c r="G5200" t="s">
        <v>59</v>
      </c>
      <c r="H5200">
        <v>2024</v>
      </c>
    </row>
    <row r="5201" spans="1:8" x14ac:dyDescent="0.2">
      <c r="A5201">
        <v>256018</v>
      </c>
      <c r="B5201">
        <v>250000</v>
      </c>
      <c r="C5201" t="str">
        <f t="shared" si="81"/>
        <v>5. $1M+</v>
      </c>
      <c r="D5201" t="s">
        <v>2085</v>
      </c>
      <c r="E5201" t="s">
        <v>99</v>
      </c>
      <c r="F5201" t="s">
        <v>668</v>
      </c>
      <c r="G5201" t="s">
        <v>59</v>
      </c>
      <c r="H5201">
        <v>2024</v>
      </c>
    </row>
    <row r="5202" spans="1:8" x14ac:dyDescent="0.2">
      <c r="A5202">
        <v>256020</v>
      </c>
      <c r="B5202">
        <v>602243.9</v>
      </c>
      <c r="C5202" t="str">
        <f t="shared" si="81"/>
        <v>4. $250K-1M</v>
      </c>
      <c r="D5202" t="s">
        <v>700</v>
      </c>
      <c r="E5202" t="s">
        <v>237</v>
      </c>
      <c r="F5202" t="s">
        <v>670</v>
      </c>
      <c r="G5202" t="s">
        <v>59</v>
      </c>
      <c r="H5202">
        <v>2024</v>
      </c>
    </row>
    <row r="5203" spans="1:8" x14ac:dyDescent="0.2">
      <c r="A5203">
        <v>256021</v>
      </c>
      <c r="B5203">
        <v>2297142</v>
      </c>
      <c r="C5203" t="str">
        <f t="shared" si="81"/>
        <v>4. $250K-1M</v>
      </c>
      <c r="D5203" t="s">
        <v>705</v>
      </c>
      <c r="E5203" t="s">
        <v>237</v>
      </c>
      <c r="F5203" t="s">
        <v>670</v>
      </c>
      <c r="G5203" t="s">
        <v>59</v>
      </c>
      <c r="H5203">
        <v>2024</v>
      </c>
    </row>
    <row r="5204" spans="1:8" x14ac:dyDescent="0.2">
      <c r="A5204">
        <v>256022</v>
      </c>
      <c r="B5204">
        <v>3341125.4</v>
      </c>
      <c r="C5204" t="str">
        <f t="shared" si="81"/>
        <v>5. $1M+</v>
      </c>
      <c r="D5204" t="s">
        <v>700</v>
      </c>
      <c r="E5204" t="s">
        <v>237</v>
      </c>
      <c r="F5204" t="s">
        <v>670</v>
      </c>
      <c r="G5204" t="s">
        <v>59</v>
      </c>
      <c r="H5204">
        <v>2024</v>
      </c>
    </row>
    <row r="5205" spans="1:8" x14ac:dyDescent="0.2">
      <c r="A5205">
        <v>256024</v>
      </c>
      <c r="B5205">
        <v>4506366.5</v>
      </c>
      <c r="C5205" t="str">
        <f t="shared" si="81"/>
        <v>5. $1M+</v>
      </c>
      <c r="D5205" t="s">
        <v>700</v>
      </c>
      <c r="E5205" t="s">
        <v>237</v>
      </c>
      <c r="F5205" t="s">
        <v>670</v>
      </c>
      <c r="G5205" t="s">
        <v>59</v>
      </c>
      <c r="H5205">
        <v>2024</v>
      </c>
    </row>
    <row r="5206" spans="1:8" x14ac:dyDescent="0.2">
      <c r="A5206">
        <v>256025</v>
      </c>
      <c r="B5206">
        <v>93963.6</v>
      </c>
      <c r="C5206" t="str">
        <f t="shared" si="81"/>
        <v>5. $1M+</v>
      </c>
      <c r="D5206" t="s">
        <v>705</v>
      </c>
      <c r="E5206" t="s">
        <v>237</v>
      </c>
      <c r="F5206" t="s">
        <v>670</v>
      </c>
      <c r="G5206" t="s">
        <v>59</v>
      </c>
      <c r="H5206">
        <v>2024</v>
      </c>
    </row>
    <row r="5207" spans="1:8" x14ac:dyDescent="0.2">
      <c r="A5207">
        <v>256026</v>
      </c>
      <c r="B5207">
        <v>3478708</v>
      </c>
      <c r="C5207" t="str">
        <f t="shared" si="81"/>
        <v>3. $50K-250K</v>
      </c>
      <c r="D5207" t="s">
        <v>705</v>
      </c>
      <c r="E5207" t="s">
        <v>237</v>
      </c>
      <c r="F5207" t="s">
        <v>670</v>
      </c>
      <c r="G5207" t="s">
        <v>59</v>
      </c>
      <c r="H5207">
        <v>2024</v>
      </c>
    </row>
    <row r="5208" spans="1:8" x14ac:dyDescent="0.2">
      <c r="A5208">
        <v>256027</v>
      </c>
      <c r="B5208">
        <v>803845</v>
      </c>
      <c r="C5208" t="str">
        <f t="shared" si="81"/>
        <v>5. $1M+</v>
      </c>
      <c r="D5208" t="s">
        <v>711</v>
      </c>
      <c r="E5208" t="s">
        <v>237</v>
      </c>
      <c r="F5208" t="s">
        <v>670</v>
      </c>
      <c r="G5208" t="s">
        <v>59</v>
      </c>
      <c r="H5208">
        <v>2024</v>
      </c>
    </row>
    <row r="5209" spans="1:8" x14ac:dyDescent="0.2">
      <c r="A5209">
        <v>256028</v>
      </c>
      <c r="B5209">
        <v>553018</v>
      </c>
      <c r="C5209" t="str">
        <f t="shared" si="81"/>
        <v>4. $250K-1M</v>
      </c>
      <c r="D5209" t="s">
        <v>713</v>
      </c>
      <c r="E5209" t="s">
        <v>237</v>
      </c>
      <c r="F5209" t="s">
        <v>670</v>
      </c>
      <c r="G5209" t="s">
        <v>59</v>
      </c>
      <c r="H5209">
        <v>2024</v>
      </c>
    </row>
    <row r="5210" spans="1:8" x14ac:dyDescent="0.2">
      <c r="A5210">
        <v>256029</v>
      </c>
      <c r="B5210">
        <v>1352472.5</v>
      </c>
      <c r="C5210" t="str">
        <f t="shared" si="81"/>
        <v>4. $250K-1M</v>
      </c>
      <c r="D5210" t="s">
        <v>712</v>
      </c>
      <c r="E5210" t="s">
        <v>237</v>
      </c>
      <c r="F5210" t="s">
        <v>670</v>
      </c>
      <c r="G5210" t="s">
        <v>59</v>
      </c>
      <c r="H5210">
        <v>2024</v>
      </c>
    </row>
    <row r="5211" spans="1:8" x14ac:dyDescent="0.2">
      <c r="A5211">
        <v>256030</v>
      </c>
      <c r="B5211">
        <v>930465.2</v>
      </c>
      <c r="C5211" t="str">
        <f t="shared" si="81"/>
        <v>5. $1M+</v>
      </c>
      <c r="D5211" t="s">
        <v>709</v>
      </c>
      <c r="E5211" t="s">
        <v>237</v>
      </c>
      <c r="F5211" t="s">
        <v>670</v>
      </c>
      <c r="G5211" t="s">
        <v>59</v>
      </c>
      <c r="H5211">
        <v>2024</v>
      </c>
    </row>
    <row r="5212" spans="1:8" x14ac:dyDescent="0.2">
      <c r="A5212">
        <v>256031</v>
      </c>
      <c r="B5212">
        <v>1794977.9</v>
      </c>
      <c r="C5212" t="str">
        <f t="shared" si="81"/>
        <v>4. $250K-1M</v>
      </c>
      <c r="D5212" t="s">
        <v>709</v>
      </c>
      <c r="E5212" t="s">
        <v>237</v>
      </c>
      <c r="F5212" t="s">
        <v>670</v>
      </c>
      <c r="G5212" t="s">
        <v>59</v>
      </c>
      <c r="H5212">
        <v>2024</v>
      </c>
    </row>
    <row r="5213" spans="1:8" x14ac:dyDescent="0.2">
      <c r="A5213">
        <v>256032</v>
      </c>
      <c r="B5213">
        <v>704002.9</v>
      </c>
      <c r="C5213" t="str">
        <f t="shared" si="81"/>
        <v>5. $1M+</v>
      </c>
      <c r="D5213" t="s">
        <v>694</v>
      </c>
      <c r="E5213" t="s">
        <v>237</v>
      </c>
      <c r="F5213" t="s">
        <v>670</v>
      </c>
      <c r="G5213" t="s">
        <v>59</v>
      </c>
      <c r="H5213">
        <v>2024</v>
      </c>
    </row>
    <row r="5214" spans="1:8" x14ac:dyDescent="0.2">
      <c r="A5214">
        <v>256033</v>
      </c>
      <c r="B5214">
        <v>746353.3</v>
      </c>
      <c r="C5214" t="str">
        <f t="shared" si="81"/>
        <v>4. $250K-1M</v>
      </c>
      <c r="D5214" t="s">
        <v>693</v>
      </c>
      <c r="E5214" t="s">
        <v>237</v>
      </c>
      <c r="F5214" t="s">
        <v>670</v>
      </c>
      <c r="G5214" t="s">
        <v>59</v>
      </c>
      <c r="H5214">
        <v>2024</v>
      </c>
    </row>
    <row r="5215" spans="1:8" x14ac:dyDescent="0.2">
      <c r="A5215">
        <v>256034</v>
      </c>
      <c r="B5215">
        <v>1038443.4</v>
      </c>
      <c r="C5215" t="str">
        <f t="shared" si="81"/>
        <v>4. $250K-1M</v>
      </c>
      <c r="D5215" t="s">
        <v>710</v>
      </c>
      <c r="E5215" t="s">
        <v>237</v>
      </c>
      <c r="F5215" t="s">
        <v>670</v>
      </c>
      <c r="G5215" t="s">
        <v>59</v>
      </c>
      <c r="H5215">
        <v>2024</v>
      </c>
    </row>
    <row r="5216" spans="1:8" x14ac:dyDescent="0.2">
      <c r="A5216">
        <v>256035</v>
      </c>
      <c r="B5216">
        <v>301862.8</v>
      </c>
      <c r="C5216" t="str">
        <f t="shared" si="81"/>
        <v>5. $1M+</v>
      </c>
      <c r="D5216" t="s">
        <v>694</v>
      </c>
      <c r="E5216" t="s">
        <v>237</v>
      </c>
      <c r="F5216" t="s">
        <v>670</v>
      </c>
      <c r="G5216" t="s">
        <v>59</v>
      </c>
      <c r="H5216">
        <v>2024</v>
      </c>
    </row>
    <row r="5217" spans="1:8" x14ac:dyDescent="0.2">
      <c r="A5217">
        <v>256036</v>
      </c>
      <c r="B5217">
        <v>419274.1</v>
      </c>
      <c r="C5217" t="str">
        <f t="shared" si="81"/>
        <v>4. $250K-1M</v>
      </c>
      <c r="D5217" t="s">
        <v>709</v>
      </c>
      <c r="E5217" t="s">
        <v>237</v>
      </c>
      <c r="F5217" t="s">
        <v>670</v>
      </c>
      <c r="G5217" t="s">
        <v>59</v>
      </c>
      <c r="H5217">
        <v>2024</v>
      </c>
    </row>
    <row r="5218" spans="1:8" x14ac:dyDescent="0.2">
      <c r="A5218">
        <v>256037</v>
      </c>
      <c r="B5218">
        <v>262589.09999999998</v>
      </c>
      <c r="C5218" t="str">
        <f t="shared" si="81"/>
        <v>4. $250K-1M</v>
      </c>
      <c r="D5218" t="s">
        <v>706</v>
      </c>
      <c r="E5218" t="s">
        <v>237</v>
      </c>
      <c r="F5218" t="s">
        <v>670</v>
      </c>
      <c r="G5218" t="s">
        <v>59</v>
      </c>
      <c r="H5218">
        <v>2024</v>
      </c>
    </row>
    <row r="5219" spans="1:8" x14ac:dyDescent="0.2">
      <c r="A5219">
        <v>256038</v>
      </c>
      <c r="B5219">
        <v>992613</v>
      </c>
      <c r="C5219" t="str">
        <f t="shared" si="81"/>
        <v>4. $250K-1M</v>
      </c>
      <c r="D5219" t="s">
        <v>693</v>
      </c>
      <c r="E5219" t="s">
        <v>237</v>
      </c>
      <c r="F5219" t="s">
        <v>670</v>
      </c>
      <c r="G5219" t="s">
        <v>59</v>
      </c>
      <c r="H5219">
        <v>2024</v>
      </c>
    </row>
    <row r="5220" spans="1:8" x14ac:dyDescent="0.2">
      <c r="A5220">
        <v>256039</v>
      </c>
      <c r="B5220">
        <v>1034892.5</v>
      </c>
      <c r="C5220" t="str">
        <f t="shared" si="81"/>
        <v>4. $250K-1M</v>
      </c>
      <c r="D5220" t="s">
        <v>692</v>
      </c>
      <c r="E5220" t="s">
        <v>237</v>
      </c>
      <c r="F5220" t="s">
        <v>670</v>
      </c>
      <c r="G5220" t="s">
        <v>59</v>
      </c>
      <c r="H5220">
        <v>2024</v>
      </c>
    </row>
    <row r="5221" spans="1:8" x14ac:dyDescent="0.2">
      <c r="A5221">
        <v>256040</v>
      </c>
      <c r="B5221">
        <v>4825335</v>
      </c>
      <c r="C5221" t="str">
        <f t="shared" si="81"/>
        <v>5. $1M+</v>
      </c>
      <c r="D5221" t="s">
        <v>403</v>
      </c>
      <c r="E5221" t="s">
        <v>28</v>
      </c>
      <c r="F5221" t="s">
        <v>85</v>
      </c>
      <c r="G5221" t="s">
        <v>10</v>
      </c>
      <c r="H5221">
        <v>2024</v>
      </c>
    </row>
    <row r="5222" spans="1:8" x14ac:dyDescent="0.2">
      <c r="A5222">
        <v>256151</v>
      </c>
      <c r="B5222">
        <v>15000</v>
      </c>
      <c r="C5222" t="str">
        <f t="shared" si="81"/>
        <v>5. $1M+</v>
      </c>
      <c r="D5222" t="s">
        <v>711</v>
      </c>
      <c r="E5222" t="s">
        <v>237</v>
      </c>
      <c r="F5222" t="s">
        <v>670</v>
      </c>
      <c r="G5222" t="s">
        <v>59</v>
      </c>
      <c r="H5222">
        <v>2024</v>
      </c>
    </row>
    <row r="5223" spans="1:8" x14ac:dyDescent="0.2">
      <c r="A5223">
        <v>256152</v>
      </c>
      <c r="B5223">
        <v>83512.800000000003</v>
      </c>
      <c r="C5223" t="str">
        <f t="shared" si="81"/>
        <v>2. $10K-50K</v>
      </c>
      <c r="D5223" t="s">
        <v>711</v>
      </c>
      <c r="E5223" t="s">
        <v>237</v>
      </c>
      <c r="F5223" t="s">
        <v>670</v>
      </c>
      <c r="G5223" t="s">
        <v>59</v>
      </c>
      <c r="H5223">
        <v>2024</v>
      </c>
    </row>
    <row r="5224" spans="1:8" x14ac:dyDescent="0.2">
      <c r="A5224">
        <v>256153</v>
      </c>
      <c r="B5224">
        <v>10800</v>
      </c>
      <c r="C5224" t="str">
        <f t="shared" si="81"/>
        <v>3. $50K-250K</v>
      </c>
      <c r="D5224" t="s">
        <v>792</v>
      </c>
      <c r="E5224" t="s">
        <v>237</v>
      </c>
      <c r="F5224" t="s">
        <v>670</v>
      </c>
      <c r="G5224" t="s">
        <v>59</v>
      </c>
      <c r="H5224">
        <v>2024</v>
      </c>
    </row>
    <row r="5225" spans="1:8" x14ac:dyDescent="0.2">
      <c r="A5225">
        <v>256155</v>
      </c>
      <c r="B5225">
        <v>10000</v>
      </c>
      <c r="C5225" t="str">
        <f t="shared" si="81"/>
        <v>2. $10K-50K</v>
      </c>
      <c r="D5225" t="s">
        <v>711</v>
      </c>
      <c r="E5225" t="s">
        <v>237</v>
      </c>
      <c r="F5225" t="s">
        <v>670</v>
      </c>
      <c r="G5225" t="s">
        <v>59</v>
      </c>
      <c r="H5225">
        <v>2024</v>
      </c>
    </row>
    <row r="5226" spans="1:8" x14ac:dyDescent="0.2">
      <c r="A5226">
        <v>256156</v>
      </c>
      <c r="B5226">
        <v>20000</v>
      </c>
      <c r="C5226" t="str">
        <f t="shared" si="81"/>
        <v>2. $10K-50K</v>
      </c>
      <c r="D5226" t="s">
        <v>711</v>
      </c>
      <c r="E5226" t="s">
        <v>237</v>
      </c>
      <c r="F5226" t="s">
        <v>670</v>
      </c>
      <c r="G5226" t="s">
        <v>59</v>
      </c>
      <c r="H5226">
        <v>2024</v>
      </c>
    </row>
    <row r="5227" spans="1:8" x14ac:dyDescent="0.2">
      <c r="A5227">
        <v>256157</v>
      </c>
      <c r="B5227">
        <v>10530</v>
      </c>
      <c r="C5227" t="str">
        <f t="shared" si="81"/>
        <v>2. $10K-50K</v>
      </c>
      <c r="D5227" t="s">
        <v>792</v>
      </c>
      <c r="E5227" t="s">
        <v>237</v>
      </c>
      <c r="F5227" t="s">
        <v>670</v>
      </c>
      <c r="G5227" t="s">
        <v>59</v>
      </c>
      <c r="H5227">
        <v>2024</v>
      </c>
    </row>
    <row r="5228" spans="1:8" x14ac:dyDescent="0.2">
      <c r="A5228">
        <v>256158</v>
      </c>
      <c r="B5228">
        <v>10842.8</v>
      </c>
      <c r="C5228" t="str">
        <f t="shared" si="81"/>
        <v>2. $10K-50K</v>
      </c>
      <c r="D5228" t="s">
        <v>792</v>
      </c>
      <c r="E5228" t="s">
        <v>237</v>
      </c>
      <c r="F5228" t="s">
        <v>670</v>
      </c>
      <c r="G5228" t="s">
        <v>59</v>
      </c>
      <c r="H5228">
        <v>2024</v>
      </c>
    </row>
    <row r="5229" spans="1:8" x14ac:dyDescent="0.2">
      <c r="A5229">
        <v>256159</v>
      </c>
      <c r="B5229">
        <v>89678.6</v>
      </c>
      <c r="C5229" t="str">
        <f t="shared" si="81"/>
        <v>2. $10K-50K</v>
      </c>
      <c r="D5229" t="s">
        <v>792</v>
      </c>
      <c r="E5229" t="s">
        <v>237</v>
      </c>
      <c r="F5229" t="s">
        <v>670</v>
      </c>
      <c r="G5229" t="s">
        <v>59</v>
      </c>
      <c r="H5229">
        <v>2024</v>
      </c>
    </row>
    <row r="5230" spans="1:8" x14ac:dyDescent="0.2">
      <c r="A5230">
        <v>256160</v>
      </c>
      <c r="B5230">
        <v>20000</v>
      </c>
      <c r="C5230" t="str">
        <f t="shared" si="81"/>
        <v>3. $50K-250K</v>
      </c>
      <c r="D5230" t="s">
        <v>711</v>
      </c>
      <c r="E5230" t="s">
        <v>237</v>
      </c>
      <c r="F5230" t="s">
        <v>670</v>
      </c>
      <c r="G5230" t="s">
        <v>59</v>
      </c>
      <c r="H5230">
        <v>2024</v>
      </c>
    </row>
    <row r="5231" spans="1:8" x14ac:dyDescent="0.2">
      <c r="A5231">
        <v>256161</v>
      </c>
      <c r="B5231">
        <v>37203.1</v>
      </c>
      <c r="C5231" t="str">
        <f t="shared" si="81"/>
        <v>2. $10K-50K</v>
      </c>
      <c r="D5231" t="s">
        <v>711</v>
      </c>
      <c r="E5231" t="s">
        <v>237</v>
      </c>
      <c r="F5231" t="s">
        <v>670</v>
      </c>
      <c r="G5231" t="s">
        <v>59</v>
      </c>
      <c r="H5231">
        <v>2024</v>
      </c>
    </row>
    <row r="5232" spans="1:8" x14ac:dyDescent="0.2">
      <c r="A5232">
        <v>256162</v>
      </c>
      <c r="B5232">
        <v>15000</v>
      </c>
      <c r="C5232" t="str">
        <f t="shared" si="81"/>
        <v>2. $10K-50K</v>
      </c>
      <c r="D5232" t="s">
        <v>711</v>
      </c>
      <c r="E5232" t="s">
        <v>237</v>
      </c>
      <c r="F5232" t="s">
        <v>670</v>
      </c>
      <c r="G5232" t="s">
        <v>59</v>
      </c>
      <c r="H5232">
        <v>2024</v>
      </c>
    </row>
    <row r="5233" spans="1:8" x14ac:dyDescent="0.2">
      <c r="A5233">
        <v>256163</v>
      </c>
      <c r="B5233">
        <v>10000</v>
      </c>
      <c r="C5233" t="str">
        <f t="shared" si="81"/>
        <v>2. $10K-50K</v>
      </c>
      <c r="D5233" t="s">
        <v>711</v>
      </c>
      <c r="E5233" t="s">
        <v>237</v>
      </c>
      <c r="F5233" t="s">
        <v>670</v>
      </c>
      <c r="G5233" t="s">
        <v>59</v>
      </c>
      <c r="H5233">
        <v>2024</v>
      </c>
    </row>
    <row r="5234" spans="1:8" x14ac:dyDescent="0.2">
      <c r="A5234">
        <v>256164</v>
      </c>
      <c r="B5234">
        <v>560208</v>
      </c>
      <c r="C5234" t="str">
        <f t="shared" si="81"/>
        <v>2. $10K-50K</v>
      </c>
      <c r="D5234" t="s">
        <v>1092</v>
      </c>
      <c r="E5234" t="s">
        <v>237</v>
      </c>
      <c r="F5234" t="s">
        <v>670</v>
      </c>
      <c r="G5234" t="s">
        <v>59</v>
      </c>
      <c r="H5234">
        <v>2024</v>
      </c>
    </row>
    <row r="5235" spans="1:8" x14ac:dyDescent="0.2">
      <c r="A5235">
        <v>256165</v>
      </c>
      <c r="B5235">
        <v>37920</v>
      </c>
      <c r="C5235" t="str">
        <f t="shared" si="81"/>
        <v>4. $250K-1M</v>
      </c>
      <c r="D5235" t="s">
        <v>1092</v>
      </c>
      <c r="E5235" t="s">
        <v>237</v>
      </c>
      <c r="F5235" t="s">
        <v>670</v>
      </c>
      <c r="G5235" t="s">
        <v>59</v>
      </c>
      <c r="H5235">
        <v>2024</v>
      </c>
    </row>
    <row r="5236" spans="1:8" x14ac:dyDescent="0.2">
      <c r="A5236">
        <v>256166</v>
      </c>
      <c r="B5236">
        <v>3960</v>
      </c>
      <c r="C5236" t="str">
        <f t="shared" si="81"/>
        <v>2. $10K-50K</v>
      </c>
      <c r="D5236" t="s">
        <v>867</v>
      </c>
      <c r="E5236" t="s">
        <v>237</v>
      </c>
      <c r="F5236" t="s">
        <v>670</v>
      </c>
      <c r="G5236" t="s">
        <v>59</v>
      </c>
      <c r="H5236">
        <v>2024</v>
      </c>
    </row>
    <row r="5237" spans="1:8" x14ac:dyDescent="0.2">
      <c r="A5237">
        <v>256167</v>
      </c>
      <c r="B5237">
        <v>10580</v>
      </c>
      <c r="C5237" t="str">
        <f t="shared" si="81"/>
        <v>1. Under $10K</v>
      </c>
      <c r="D5237" t="s">
        <v>711</v>
      </c>
      <c r="E5237" t="s">
        <v>237</v>
      </c>
      <c r="F5237" t="s">
        <v>670</v>
      </c>
      <c r="G5237" t="s">
        <v>59</v>
      </c>
      <c r="H5237">
        <v>2024</v>
      </c>
    </row>
    <row r="5238" spans="1:8" x14ac:dyDescent="0.2">
      <c r="A5238">
        <v>256170</v>
      </c>
      <c r="B5238">
        <v>2148.8000000000002</v>
      </c>
      <c r="C5238" t="str">
        <f t="shared" si="81"/>
        <v>2. $10K-50K</v>
      </c>
      <c r="D5238" t="s">
        <v>694</v>
      </c>
      <c r="E5238" t="s">
        <v>237</v>
      </c>
      <c r="F5238" t="s">
        <v>670</v>
      </c>
      <c r="G5238" t="s">
        <v>59</v>
      </c>
      <c r="H5238">
        <v>2024</v>
      </c>
    </row>
    <row r="5239" spans="1:8" x14ac:dyDescent="0.2">
      <c r="A5239">
        <v>256246</v>
      </c>
      <c r="B5239">
        <v>199991.1</v>
      </c>
      <c r="C5239" t="str">
        <f t="shared" si="81"/>
        <v>1. Under $10K</v>
      </c>
      <c r="D5239" t="s">
        <v>816</v>
      </c>
      <c r="E5239" t="s">
        <v>432</v>
      </c>
      <c r="F5239" t="s">
        <v>670</v>
      </c>
      <c r="G5239" t="s">
        <v>59</v>
      </c>
      <c r="H5239">
        <v>2024</v>
      </c>
    </row>
    <row r="5240" spans="1:8" x14ac:dyDescent="0.2">
      <c r="A5240">
        <v>256297</v>
      </c>
      <c r="B5240">
        <v>436198</v>
      </c>
      <c r="C5240" t="str">
        <f t="shared" si="81"/>
        <v>3. $50K-250K</v>
      </c>
      <c r="D5240" t="s">
        <v>1737</v>
      </c>
      <c r="E5240" t="s">
        <v>237</v>
      </c>
      <c r="F5240" t="s">
        <v>670</v>
      </c>
      <c r="G5240" t="s">
        <v>59</v>
      </c>
      <c r="H5240">
        <v>2024</v>
      </c>
    </row>
    <row r="5241" spans="1:8" x14ac:dyDescent="0.2">
      <c r="A5241">
        <v>256315</v>
      </c>
      <c r="B5241">
        <v>7885</v>
      </c>
      <c r="C5241" t="str">
        <f t="shared" si="81"/>
        <v>4. $250K-1M</v>
      </c>
      <c r="D5241" t="s">
        <v>1474</v>
      </c>
      <c r="E5241" t="s">
        <v>178</v>
      </c>
      <c r="F5241" t="s">
        <v>668</v>
      </c>
      <c r="G5241" t="s">
        <v>59</v>
      </c>
      <c r="H5241">
        <v>2024</v>
      </c>
    </row>
    <row r="5242" spans="1:8" x14ac:dyDescent="0.2">
      <c r="A5242">
        <v>256316</v>
      </c>
      <c r="B5242">
        <v>8381</v>
      </c>
      <c r="C5242" t="str">
        <f t="shared" si="81"/>
        <v>1. Under $10K</v>
      </c>
      <c r="D5242" t="s">
        <v>1474</v>
      </c>
      <c r="E5242" t="s">
        <v>178</v>
      </c>
      <c r="F5242" t="s">
        <v>668</v>
      </c>
      <c r="G5242" t="s">
        <v>59</v>
      </c>
      <c r="H5242">
        <v>2024</v>
      </c>
    </row>
    <row r="5243" spans="1:8" x14ac:dyDescent="0.2">
      <c r="A5243">
        <v>256317</v>
      </c>
      <c r="B5243">
        <v>11760</v>
      </c>
      <c r="C5243" t="str">
        <f t="shared" si="81"/>
        <v>1. Under $10K</v>
      </c>
      <c r="D5243" t="s">
        <v>1474</v>
      </c>
      <c r="E5243" t="s">
        <v>178</v>
      </c>
      <c r="F5243" t="s">
        <v>668</v>
      </c>
      <c r="G5243" t="s">
        <v>59</v>
      </c>
      <c r="H5243">
        <v>2024</v>
      </c>
    </row>
    <row r="5244" spans="1:8" x14ac:dyDescent="0.2">
      <c r="A5244">
        <v>256319</v>
      </c>
      <c r="B5244">
        <v>30592400</v>
      </c>
      <c r="C5244" t="str">
        <f t="shared" si="81"/>
        <v>2. $10K-50K</v>
      </c>
      <c r="D5244" t="s">
        <v>405</v>
      </c>
      <c r="E5244" t="s">
        <v>18</v>
      </c>
      <c r="F5244" t="s">
        <v>12</v>
      </c>
      <c r="G5244" t="s">
        <v>232</v>
      </c>
      <c r="H5244">
        <v>2024</v>
      </c>
    </row>
    <row r="5245" spans="1:8" x14ac:dyDescent="0.2">
      <c r="A5245">
        <v>256348</v>
      </c>
      <c r="B5245">
        <v>19818887</v>
      </c>
      <c r="C5245" t="str">
        <f t="shared" si="81"/>
        <v>5. $1M+</v>
      </c>
      <c r="D5245" t="s">
        <v>2070</v>
      </c>
      <c r="E5245" t="s">
        <v>237</v>
      </c>
      <c r="F5245" t="s">
        <v>670</v>
      </c>
      <c r="G5245" t="s">
        <v>59</v>
      </c>
      <c r="H5245">
        <v>2024</v>
      </c>
    </row>
    <row r="5246" spans="1:8" x14ac:dyDescent="0.2">
      <c r="A5246">
        <v>256349</v>
      </c>
      <c r="B5246">
        <v>14074264.6</v>
      </c>
      <c r="C5246" t="str">
        <f t="shared" si="81"/>
        <v>5. $1M+</v>
      </c>
      <c r="D5246" t="s">
        <v>2071</v>
      </c>
      <c r="E5246" t="s">
        <v>237</v>
      </c>
      <c r="F5246" t="s">
        <v>670</v>
      </c>
      <c r="G5246" t="s">
        <v>59</v>
      </c>
      <c r="H5246">
        <v>2024</v>
      </c>
    </row>
    <row r="5247" spans="1:8" x14ac:dyDescent="0.2">
      <c r="A5247">
        <v>256355</v>
      </c>
      <c r="B5247">
        <v>480000</v>
      </c>
      <c r="C5247" t="str">
        <f t="shared" si="81"/>
        <v>5. $1M+</v>
      </c>
      <c r="D5247" t="s">
        <v>686</v>
      </c>
      <c r="E5247" t="s">
        <v>42</v>
      </c>
      <c r="F5247" t="s">
        <v>670</v>
      </c>
      <c r="G5247" t="s">
        <v>44</v>
      </c>
      <c r="H5247">
        <v>2024</v>
      </c>
    </row>
    <row r="5248" spans="1:8" x14ac:dyDescent="0.2">
      <c r="A5248">
        <v>256356</v>
      </c>
      <c r="B5248">
        <v>480000</v>
      </c>
      <c r="C5248" t="str">
        <f t="shared" si="81"/>
        <v>4. $250K-1M</v>
      </c>
      <c r="D5248" t="s">
        <v>793</v>
      </c>
      <c r="E5248" t="s">
        <v>42</v>
      </c>
      <c r="F5248" t="s">
        <v>670</v>
      </c>
      <c r="G5248" t="s">
        <v>44</v>
      </c>
      <c r="H5248">
        <v>2024</v>
      </c>
    </row>
    <row r="5249" spans="1:8" x14ac:dyDescent="0.2">
      <c r="A5249">
        <v>256357</v>
      </c>
      <c r="B5249">
        <v>700000</v>
      </c>
      <c r="C5249" t="str">
        <f t="shared" si="81"/>
        <v>4. $250K-1M</v>
      </c>
      <c r="D5249" t="s">
        <v>794</v>
      </c>
      <c r="E5249" t="s">
        <v>42</v>
      </c>
      <c r="F5249" t="s">
        <v>670</v>
      </c>
      <c r="G5249" t="s">
        <v>44</v>
      </c>
      <c r="H5249">
        <v>2024</v>
      </c>
    </row>
    <row r="5250" spans="1:8" x14ac:dyDescent="0.2">
      <c r="A5250">
        <v>256358</v>
      </c>
      <c r="B5250">
        <v>118732</v>
      </c>
      <c r="C5250" t="str">
        <f t="shared" si="81"/>
        <v>4. $250K-1M</v>
      </c>
      <c r="D5250" t="s">
        <v>1835</v>
      </c>
      <c r="E5250" t="s">
        <v>819</v>
      </c>
      <c r="F5250" t="s">
        <v>670</v>
      </c>
      <c r="G5250" t="s">
        <v>59</v>
      </c>
      <c r="H5250">
        <v>2024</v>
      </c>
    </row>
    <row r="5251" spans="1:8" x14ac:dyDescent="0.2">
      <c r="A5251">
        <v>256367</v>
      </c>
      <c r="B5251">
        <v>9367750</v>
      </c>
      <c r="C5251" t="str">
        <f t="shared" ref="C5251:C5314" si="82">IF(B5250&lt;10000,"1. Under $10K",IF(B5250&lt;50000,"2. $10K-50K",IF(B5250&lt;250000,"3. $50K-250K",IF(B5250&lt;1000000,"4. $250K-1M","5. $1M+"))))</f>
        <v>3. $50K-250K</v>
      </c>
      <c r="D5251" t="s">
        <v>711</v>
      </c>
      <c r="E5251" t="s">
        <v>237</v>
      </c>
      <c r="F5251" t="s">
        <v>670</v>
      </c>
      <c r="G5251" t="s">
        <v>59</v>
      </c>
      <c r="H5251">
        <v>2024</v>
      </c>
    </row>
    <row r="5252" spans="1:8" x14ac:dyDescent="0.2">
      <c r="A5252">
        <v>256628</v>
      </c>
      <c r="B5252">
        <v>304252.59999999998</v>
      </c>
      <c r="C5252" t="str">
        <f t="shared" si="82"/>
        <v>5. $1M+</v>
      </c>
      <c r="D5252" t="s">
        <v>672</v>
      </c>
      <c r="E5252" t="s">
        <v>42</v>
      </c>
      <c r="F5252" t="s">
        <v>670</v>
      </c>
      <c r="G5252" t="s">
        <v>59</v>
      </c>
      <c r="H5252">
        <v>2024</v>
      </c>
    </row>
    <row r="5253" spans="1:8" x14ac:dyDescent="0.2">
      <c r="A5253">
        <v>256629</v>
      </c>
      <c r="B5253">
        <v>480000</v>
      </c>
      <c r="C5253" t="str">
        <f t="shared" si="82"/>
        <v>4. $250K-1M</v>
      </c>
      <c r="D5253" t="s">
        <v>929</v>
      </c>
      <c r="E5253" t="s">
        <v>42</v>
      </c>
      <c r="F5253" t="s">
        <v>670</v>
      </c>
      <c r="G5253" t="s">
        <v>59</v>
      </c>
      <c r="H5253">
        <v>2024</v>
      </c>
    </row>
    <row r="5254" spans="1:8" x14ac:dyDescent="0.2">
      <c r="A5254">
        <v>256630</v>
      </c>
      <c r="B5254">
        <v>150000</v>
      </c>
      <c r="C5254" t="str">
        <f t="shared" si="82"/>
        <v>4. $250K-1M</v>
      </c>
      <c r="D5254" t="s">
        <v>783</v>
      </c>
      <c r="E5254" t="s">
        <v>42</v>
      </c>
      <c r="F5254" t="s">
        <v>670</v>
      </c>
      <c r="G5254" t="s">
        <v>59</v>
      </c>
      <c r="H5254">
        <v>2024</v>
      </c>
    </row>
    <row r="5255" spans="1:8" x14ac:dyDescent="0.2">
      <c r="A5255">
        <v>256631</v>
      </c>
      <c r="B5255">
        <v>150000</v>
      </c>
      <c r="C5255" t="str">
        <f t="shared" si="82"/>
        <v>3. $50K-250K</v>
      </c>
      <c r="D5255" t="s">
        <v>801</v>
      </c>
      <c r="E5255" t="s">
        <v>42</v>
      </c>
      <c r="F5255" t="s">
        <v>670</v>
      </c>
      <c r="G5255" t="s">
        <v>59</v>
      </c>
      <c r="H5255">
        <v>2024</v>
      </c>
    </row>
    <row r="5256" spans="1:8" x14ac:dyDescent="0.2">
      <c r="A5256">
        <v>256632</v>
      </c>
      <c r="B5256">
        <v>196591.4</v>
      </c>
      <c r="C5256" t="str">
        <f t="shared" si="82"/>
        <v>3. $50K-250K</v>
      </c>
      <c r="D5256" t="s">
        <v>749</v>
      </c>
      <c r="E5256" t="s">
        <v>42</v>
      </c>
      <c r="F5256" t="s">
        <v>670</v>
      </c>
      <c r="G5256" t="s">
        <v>59</v>
      </c>
      <c r="H5256">
        <v>2024</v>
      </c>
    </row>
    <row r="5257" spans="1:8" x14ac:dyDescent="0.2">
      <c r="A5257">
        <v>256641</v>
      </c>
      <c r="B5257">
        <v>472261.4</v>
      </c>
      <c r="C5257" t="str">
        <f t="shared" si="82"/>
        <v>3. $50K-250K</v>
      </c>
      <c r="D5257" t="s">
        <v>849</v>
      </c>
      <c r="E5257" t="s">
        <v>42</v>
      </c>
      <c r="F5257" t="s">
        <v>670</v>
      </c>
      <c r="G5257" t="s">
        <v>59</v>
      </c>
      <c r="H5257">
        <v>2024</v>
      </c>
    </row>
    <row r="5258" spans="1:8" x14ac:dyDescent="0.2">
      <c r="A5258">
        <v>256642</v>
      </c>
      <c r="B5258">
        <v>339550.1</v>
      </c>
      <c r="C5258" t="str">
        <f t="shared" si="82"/>
        <v>4. $250K-1M</v>
      </c>
      <c r="D5258" t="s">
        <v>849</v>
      </c>
      <c r="E5258" t="s">
        <v>42</v>
      </c>
      <c r="F5258" t="s">
        <v>670</v>
      </c>
      <c r="G5258" t="s">
        <v>59</v>
      </c>
      <c r="H5258">
        <v>2024</v>
      </c>
    </row>
    <row r="5259" spans="1:8" x14ac:dyDescent="0.2">
      <c r="A5259">
        <v>256643</v>
      </c>
      <c r="B5259">
        <v>19549.8</v>
      </c>
      <c r="C5259" t="str">
        <f t="shared" si="82"/>
        <v>4. $250K-1M</v>
      </c>
      <c r="D5259" t="s">
        <v>683</v>
      </c>
      <c r="E5259" t="s">
        <v>42</v>
      </c>
      <c r="F5259" t="s">
        <v>670</v>
      </c>
      <c r="G5259" t="s">
        <v>59</v>
      </c>
      <c r="H5259">
        <v>2024</v>
      </c>
    </row>
    <row r="5260" spans="1:8" x14ac:dyDescent="0.2">
      <c r="A5260">
        <v>256644</v>
      </c>
      <c r="B5260">
        <v>33112.400000000001</v>
      </c>
      <c r="C5260" t="str">
        <f t="shared" si="82"/>
        <v>2. $10K-50K</v>
      </c>
      <c r="D5260" t="s">
        <v>1087</v>
      </c>
      <c r="E5260" t="s">
        <v>42</v>
      </c>
      <c r="F5260" t="s">
        <v>670</v>
      </c>
      <c r="G5260" t="s">
        <v>59</v>
      </c>
      <c r="H5260">
        <v>2024</v>
      </c>
    </row>
    <row r="5261" spans="1:8" x14ac:dyDescent="0.2">
      <c r="A5261">
        <v>256645</v>
      </c>
      <c r="B5261">
        <v>231662.2</v>
      </c>
      <c r="C5261" t="str">
        <f t="shared" si="82"/>
        <v>2. $10K-50K</v>
      </c>
      <c r="D5261" t="s">
        <v>1026</v>
      </c>
      <c r="E5261" t="s">
        <v>42</v>
      </c>
      <c r="F5261" t="s">
        <v>670</v>
      </c>
      <c r="G5261" t="s">
        <v>59</v>
      </c>
      <c r="H5261">
        <v>2024</v>
      </c>
    </row>
    <row r="5262" spans="1:8" x14ac:dyDescent="0.2">
      <c r="A5262">
        <v>256646</v>
      </c>
      <c r="B5262">
        <v>186260.2</v>
      </c>
      <c r="C5262" t="str">
        <f t="shared" si="82"/>
        <v>3. $50K-250K</v>
      </c>
      <c r="D5262" t="s">
        <v>864</v>
      </c>
      <c r="E5262" t="s">
        <v>42</v>
      </c>
      <c r="F5262" t="s">
        <v>670</v>
      </c>
      <c r="G5262" t="s">
        <v>59</v>
      </c>
      <c r="H5262">
        <v>2024</v>
      </c>
    </row>
    <row r="5263" spans="1:8" x14ac:dyDescent="0.2">
      <c r="A5263">
        <v>256647</v>
      </c>
      <c r="B5263">
        <v>238488.8</v>
      </c>
      <c r="C5263" t="str">
        <f t="shared" si="82"/>
        <v>3. $50K-250K</v>
      </c>
      <c r="D5263" t="s">
        <v>1021</v>
      </c>
      <c r="E5263" t="s">
        <v>42</v>
      </c>
      <c r="F5263" t="s">
        <v>670</v>
      </c>
      <c r="G5263" t="s">
        <v>59</v>
      </c>
      <c r="H5263">
        <v>2024</v>
      </c>
    </row>
    <row r="5264" spans="1:8" x14ac:dyDescent="0.2">
      <c r="A5264">
        <v>256650</v>
      </c>
      <c r="B5264">
        <v>350000</v>
      </c>
      <c r="C5264" t="str">
        <f t="shared" si="82"/>
        <v>3. $50K-250K</v>
      </c>
      <c r="D5264" t="s">
        <v>791</v>
      </c>
      <c r="E5264" t="s">
        <v>42</v>
      </c>
      <c r="F5264" t="s">
        <v>670</v>
      </c>
      <c r="G5264" t="s">
        <v>59</v>
      </c>
      <c r="H5264">
        <v>2024</v>
      </c>
    </row>
    <row r="5265" spans="1:8" x14ac:dyDescent="0.2">
      <c r="A5265">
        <v>256651</v>
      </c>
      <c r="B5265">
        <v>480000</v>
      </c>
      <c r="C5265" t="str">
        <f t="shared" si="82"/>
        <v>4. $250K-1M</v>
      </c>
      <c r="D5265" t="s">
        <v>683</v>
      </c>
      <c r="E5265" t="s">
        <v>42</v>
      </c>
      <c r="F5265" t="s">
        <v>670</v>
      </c>
      <c r="G5265" t="s">
        <v>59</v>
      </c>
      <c r="H5265">
        <v>2024</v>
      </c>
    </row>
    <row r="5266" spans="1:8" x14ac:dyDescent="0.2">
      <c r="A5266">
        <v>256652</v>
      </c>
      <c r="B5266">
        <v>700000</v>
      </c>
      <c r="C5266" t="str">
        <f t="shared" si="82"/>
        <v>4. $250K-1M</v>
      </c>
      <c r="D5266" t="s">
        <v>848</v>
      </c>
      <c r="E5266" t="s">
        <v>42</v>
      </c>
      <c r="F5266" t="s">
        <v>670</v>
      </c>
      <c r="G5266" t="s">
        <v>59</v>
      </c>
      <c r="H5266">
        <v>2024</v>
      </c>
    </row>
    <row r="5267" spans="1:8" x14ac:dyDescent="0.2">
      <c r="A5267">
        <v>256653</v>
      </c>
      <c r="B5267">
        <v>240000</v>
      </c>
      <c r="C5267" t="str">
        <f t="shared" si="82"/>
        <v>4. $250K-1M</v>
      </c>
      <c r="D5267" t="s">
        <v>808</v>
      </c>
      <c r="E5267" t="s">
        <v>42</v>
      </c>
      <c r="F5267" t="s">
        <v>670</v>
      </c>
      <c r="G5267" t="s">
        <v>59</v>
      </c>
      <c r="H5267">
        <v>2024</v>
      </c>
    </row>
    <row r="5268" spans="1:8" x14ac:dyDescent="0.2">
      <c r="A5268">
        <v>256709</v>
      </c>
      <c r="B5268">
        <v>25000</v>
      </c>
      <c r="C5268" t="str">
        <f t="shared" si="82"/>
        <v>3. $50K-250K</v>
      </c>
      <c r="D5268" t="s">
        <v>774</v>
      </c>
      <c r="E5268" t="s">
        <v>368</v>
      </c>
      <c r="F5268" t="s">
        <v>668</v>
      </c>
      <c r="G5268" t="s">
        <v>2086</v>
      </c>
      <c r="H5268">
        <v>2024</v>
      </c>
    </row>
    <row r="5269" spans="1:8" x14ac:dyDescent="0.2">
      <c r="A5269">
        <v>256711</v>
      </c>
      <c r="B5269">
        <v>35000</v>
      </c>
      <c r="C5269" t="str">
        <f t="shared" si="82"/>
        <v>2. $10K-50K</v>
      </c>
      <c r="D5269" t="s">
        <v>774</v>
      </c>
      <c r="E5269" t="s">
        <v>368</v>
      </c>
      <c r="F5269" t="s">
        <v>668</v>
      </c>
      <c r="G5269" t="s">
        <v>59</v>
      </c>
      <c r="H5269">
        <v>2024</v>
      </c>
    </row>
    <row r="5270" spans="1:8" x14ac:dyDescent="0.2">
      <c r="A5270">
        <v>256712</v>
      </c>
      <c r="B5270">
        <v>25000</v>
      </c>
      <c r="C5270" t="str">
        <f t="shared" si="82"/>
        <v>2. $10K-50K</v>
      </c>
      <c r="D5270" t="s">
        <v>774</v>
      </c>
      <c r="E5270" t="s">
        <v>368</v>
      </c>
      <c r="F5270" t="s">
        <v>668</v>
      </c>
      <c r="G5270" t="s">
        <v>59</v>
      </c>
      <c r="H5270">
        <v>2024</v>
      </c>
    </row>
    <row r="5271" spans="1:8" x14ac:dyDescent="0.2">
      <c r="A5271">
        <v>256713</v>
      </c>
      <c r="B5271">
        <v>40421</v>
      </c>
      <c r="C5271" t="str">
        <f t="shared" si="82"/>
        <v>2. $10K-50K</v>
      </c>
      <c r="D5271" t="s">
        <v>822</v>
      </c>
      <c r="E5271" t="s">
        <v>237</v>
      </c>
      <c r="F5271" t="s">
        <v>670</v>
      </c>
      <c r="G5271" t="s">
        <v>59</v>
      </c>
      <c r="H5271">
        <v>2024</v>
      </c>
    </row>
    <row r="5272" spans="1:8" x14ac:dyDescent="0.2">
      <c r="A5272">
        <v>256719</v>
      </c>
      <c r="B5272">
        <v>1284300</v>
      </c>
      <c r="C5272" t="str">
        <f t="shared" si="82"/>
        <v>2. $10K-50K</v>
      </c>
      <c r="D5272" t="s">
        <v>2087</v>
      </c>
      <c r="E5272" t="s">
        <v>99</v>
      </c>
      <c r="F5272" t="s">
        <v>668</v>
      </c>
      <c r="G5272" t="s">
        <v>59</v>
      </c>
      <c r="H5272">
        <v>2024</v>
      </c>
    </row>
    <row r="5273" spans="1:8" x14ac:dyDescent="0.2">
      <c r="A5273">
        <v>256747</v>
      </c>
      <c r="B5273">
        <v>1825836</v>
      </c>
      <c r="C5273" t="str">
        <f t="shared" si="82"/>
        <v>5. $1M+</v>
      </c>
      <c r="D5273" t="s">
        <v>798</v>
      </c>
      <c r="E5273" t="s">
        <v>237</v>
      </c>
      <c r="F5273" t="s">
        <v>670</v>
      </c>
      <c r="G5273" t="s">
        <v>59</v>
      </c>
      <c r="H5273">
        <v>2024</v>
      </c>
    </row>
    <row r="5274" spans="1:8" x14ac:dyDescent="0.2">
      <c r="A5274">
        <v>256749</v>
      </c>
      <c r="B5274">
        <v>118710</v>
      </c>
      <c r="C5274" t="str">
        <f t="shared" si="82"/>
        <v>5. $1M+</v>
      </c>
      <c r="D5274" t="s">
        <v>798</v>
      </c>
      <c r="E5274" t="s">
        <v>237</v>
      </c>
      <c r="F5274" t="s">
        <v>670</v>
      </c>
      <c r="G5274" t="s">
        <v>59</v>
      </c>
      <c r="H5274">
        <v>2024</v>
      </c>
    </row>
    <row r="5275" spans="1:8" x14ac:dyDescent="0.2">
      <c r="A5275">
        <v>256751</v>
      </c>
      <c r="B5275">
        <v>665454</v>
      </c>
      <c r="C5275" t="str">
        <f t="shared" si="82"/>
        <v>3. $50K-250K</v>
      </c>
      <c r="D5275" t="s">
        <v>798</v>
      </c>
      <c r="E5275" t="s">
        <v>237</v>
      </c>
      <c r="F5275" t="s">
        <v>670</v>
      </c>
      <c r="G5275" t="s">
        <v>59</v>
      </c>
      <c r="H5275">
        <v>2024</v>
      </c>
    </row>
    <row r="5276" spans="1:8" x14ac:dyDescent="0.2">
      <c r="A5276">
        <v>256754</v>
      </c>
      <c r="B5276">
        <v>272291.59999999998</v>
      </c>
      <c r="C5276" t="str">
        <f t="shared" si="82"/>
        <v>4. $250K-1M</v>
      </c>
      <c r="D5276" t="s">
        <v>772</v>
      </c>
      <c r="E5276" t="s">
        <v>42</v>
      </c>
      <c r="F5276" t="s">
        <v>670</v>
      </c>
      <c r="G5276" t="s">
        <v>59</v>
      </c>
      <c r="H5276">
        <v>2024</v>
      </c>
    </row>
    <row r="5277" spans="1:8" x14ac:dyDescent="0.2">
      <c r="A5277">
        <v>256755</v>
      </c>
      <c r="B5277">
        <v>685440.5</v>
      </c>
      <c r="C5277" t="str">
        <f t="shared" si="82"/>
        <v>4. $250K-1M</v>
      </c>
      <c r="D5277" t="s">
        <v>674</v>
      </c>
      <c r="E5277" t="s">
        <v>42</v>
      </c>
      <c r="F5277" t="s">
        <v>670</v>
      </c>
      <c r="G5277" t="s">
        <v>59</v>
      </c>
      <c r="H5277">
        <v>2024</v>
      </c>
    </row>
    <row r="5278" spans="1:8" x14ac:dyDescent="0.2">
      <c r="A5278">
        <v>256793</v>
      </c>
      <c r="B5278">
        <v>932435</v>
      </c>
      <c r="C5278" t="str">
        <f t="shared" si="82"/>
        <v>4. $250K-1M</v>
      </c>
      <c r="D5278" t="s">
        <v>2088</v>
      </c>
      <c r="E5278" t="s">
        <v>141</v>
      </c>
      <c r="F5278" t="s">
        <v>668</v>
      </c>
      <c r="G5278" t="s">
        <v>59</v>
      </c>
      <c r="H5278">
        <v>2024</v>
      </c>
    </row>
    <row r="5279" spans="1:8" x14ac:dyDescent="0.2">
      <c r="A5279">
        <v>256810</v>
      </c>
      <c r="B5279">
        <v>25000</v>
      </c>
      <c r="C5279" t="str">
        <f t="shared" si="82"/>
        <v>4. $250K-1M</v>
      </c>
      <c r="D5279" t="s">
        <v>774</v>
      </c>
      <c r="E5279" t="s">
        <v>368</v>
      </c>
      <c r="F5279" t="s">
        <v>668</v>
      </c>
      <c r="G5279" t="s">
        <v>59</v>
      </c>
      <c r="H5279">
        <v>2024</v>
      </c>
    </row>
    <row r="5280" spans="1:8" x14ac:dyDescent="0.2">
      <c r="A5280">
        <v>256828</v>
      </c>
      <c r="B5280">
        <v>90000</v>
      </c>
      <c r="C5280" t="str">
        <f t="shared" si="82"/>
        <v>2. $10K-50K</v>
      </c>
      <c r="D5280" t="s">
        <v>1324</v>
      </c>
      <c r="E5280" t="s">
        <v>112</v>
      </c>
      <c r="F5280" t="s">
        <v>668</v>
      </c>
      <c r="G5280" t="s">
        <v>59</v>
      </c>
      <c r="H5280">
        <v>2024</v>
      </c>
    </row>
    <row r="5281" spans="1:8" x14ac:dyDescent="0.2">
      <c r="A5281">
        <v>256839</v>
      </c>
      <c r="B5281">
        <v>3250000</v>
      </c>
      <c r="C5281" t="str">
        <f t="shared" si="82"/>
        <v>3. $50K-250K</v>
      </c>
      <c r="D5281" t="s">
        <v>2089</v>
      </c>
      <c r="E5281" t="s">
        <v>99</v>
      </c>
      <c r="F5281" t="s">
        <v>668</v>
      </c>
      <c r="G5281" t="s">
        <v>59</v>
      </c>
      <c r="H5281">
        <v>2024</v>
      </c>
    </row>
    <row r="5282" spans="1:8" x14ac:dyDescent="0.2">
      <c r="A5282">
        <v>256849</v>
      </c>
      <c r="B5282">
        <v>20000</v>
      </c>
      <c r="C5282" t="str">
        <f t="shared" si="82"/>
        <v>5. $1M+</v>
      </c>
      <c r="D5282" t="s">
        <v>774</v>
      </c>
      <c r="E5282" t="s">
        <v>368</v>
      </c>
      <c r="F5282" t="s">
        <v>668</v>
      </c>
      <c r="G5282" t="s">
        <v>59</v>
      </c>
      <c r="H5282">
        <v>2024</v>
      </c>
    </row>
    <row r="5283" spans="1:8" x14ac:dyDescent="0.2">
      <c r="A5283">
        <v>256896</v>
      </c>
      <c r="B5283">
        <v>902687.8</v>
      </c>
      <c r="C5283" t="str">
        <f t="shared" si="82"/>
        <v>2. $10K-50K</v>
      </c>
      <c r="D5283" t="s">
        <v>792</v>
      </c>
      <c r="E5283" t="s">
        <v>42</v>
      </c>
      <c r="F5283" t="s">
        <v>670</v>
      </c>
      <c r="G5283" t="s">
        <v>59</v>
      </c>
      <c r="H5283">
        <v>2024</v>
      </c>
    </row>
    <row r="5284" spans="1:8" x14ac:dyDescent="0.2">
      <c r="A5284">
        <v>256912</v>
      </c>
      <c r="B5284">
        <v>20401.7</v>
      </c>
      <c r="C5284" t="str">
        <f t="shared" si="82"/>
        <v>4. $250K-1M</v>
      </c>
      <c r="D5284" t="s">
        <v>968</v>
      </c>
      <c r="E5284" t="s">
        <v>42</v>
      </c>
      <c r="F5284" t="s">
        <v>670</v>
      </c>
      <c r="G5284" t="s">
        <v>59</v>
      </c>
      <c r="H5284">
        <v>2024</v>
      </c>
    </row>
    <row r="5285" spans="1:8" x14ac:dyDescent="0.2">
      <c r="A5285">
        <v>256915</v>
      </c>
      <c r="B5285">
        <v>10896441.300000001</v>
      </c>
      <c r="C5285" t="str">
        <f t="shared" si="82"/>
        <v>2. $10K-50K</v>
      </c>
      <c r="D5285" t="s">
        <v>114</v>
      </c>
      <c r="E5285" t="s">
        <v>8</v>
      </c>
      <c r="F5285" t="s">
        <v>9</v>
      </c>
      <c r="G5285" t="s">
        <v>10</v>
      </c>
      <c r="H5285">
        <v>2024</v>
      </c>
    </row>
    <row r="5286" spans="1:8" x14ac:dyDescent="0.2">
      <c r="A5286">
        <v>257140</v>
      </c>
      <c r="B5286">
        <v>92300</v>
      </c>
      <c r="C5286" t="str">
        <f t="shared" si="82"/>
        <v>5. $1M+</v>
      </c>
      <c r="D5286" t="s">
        <v>686</v>
      </c>
      <c r="E5286" t="s">
        <v>42</v>
      </c>
      <c r="F5286" t="s">
        <v>670</v>
      </c>
      <c r="G5286" t="s">
        <v>59</v>
      </c>
      <c r="H5286">
        <v>2024</v>
      </c>
    </row>
    <row r="5287" spans="1:8" x14ac:dyDescent="0.2">
      <c r="A5287">
        <v>257141</v>
      </c>
      <c r="B5287">
        <v>50822</v>
      </c>
      <c r="C5287" t="str">
        <f t="shared" si="82"/>
        <v>3. $50K-250K</v>
      </c>
      <c r="D5287" t="s">
        <v>689</v>
      </c>
      <c r="E5287" t="s">
        <v>42</v>
      </c>
      <c r="F5287" t="s">
        <v>670</v>
      </c>
      <c r="G5287" t="s">
        <v>59</v>
      </c>
      <c r="H5287">
        <v>2024</v>
      </c>
    </row>
    <row r="5288" spans="1:8" x14ac:dyDescent="0.2">
      <c r="A5288">
        <v>257321</v>
      </c>
      <c r="B5288">
        <v>1985495</v>
      </c>
      <c r="C5288" t="str">
        <f t="shared" si="82"/>
        <v>3. $50K-250K</v>
      </c>
      <c r="D5288" t="s">
        <v>1028</v>
      </c>
      <c r="E5288" t="s">
        <v>42</v>
      </c>
      <c r="F5288" t="s">
        <v>670</v>
      </c>
      <c r="G5288" t="s">
        <v>44</v>
      </c>
      <c r="H5288">
        <v>2024</v>
      </c>
    </row>
    <row r="5289" spans="1:8" x14ac:dyDescent="0.2">
      <c r="A5289">
        <v>257346</v>
      </c>
      <c r="B5289">
        <v>42000</v>
      </c>
      <c r="C5289" t="str">
        <f t="shared" si="82"/>
        <v>5. $1M+</v>
      </c>
      <c r="D5289" t="s">
        <v>1295</v>
      </c>
      <c r="E5289" t="s">
        <v>237</v>
      </c>
      <c r="F5289" t="s">
        <v>670</v>
      </c>
      <c r="G5289" t="s">
        <v>59</v>
      </c>
      <c r="H5289">
        <v>2024</v>
      </c>
    </row>
    <row r="5290" spans="1:8" x14ac:dyDescent="0.2">
      <c r="A5290">
        <v>257349</v>
      </c>
      <c r="B5290">
        <v>9175.9</v>
      </c>
      <c r="C5290" t="str">
        <f t="shared" si="82"/>
        <v>2. $10K-50K</v>
      </c>
      <c r="D5290" t="s">
        <v>864</v>
      </c>
      <c r="E5290" t="s">
        <v>237</v>
      </c>
      <c r="F5290" t="s">
        <v>670</v>
      </c>
      <c r="G5290" t="s">
        <v>59</v>
      </c>
      <c r="H5290">
        <v>2024</v>
      </c>
    </row>
    <row r="5291" spans="1:8" x14ac:dyDescent="0.2">
      <c r="A5291">
        <v>257350</v>
      </c>
      <c r="B5291">
        <v>5999.6</v>
      </c>
      <c r="C5291" t="str">
        <f t="shared" si="82"/>
        <v>1. Under $10K</v>
      </c>
      <c r="D5291" t="s">
        <v>876</v>
      </c>
      <c r="E5291" t="s">
        <v>237</v>
      </c>
      <c r="F5291" t="s">
        <v>670</v>
      </c>
      <c r="G5291" t="s">
        <v>59</v>
      </c>
      <c r="H5291">
        <v>2024</v>
      </c>
    </row>
    <row r="5292" spans="1:8" x14ac:dyDescent="0.2">
      <c r="A5292">
        <v>257351</v>
      </c>
      <c r="B5292">
        <v>3000</v>
      </c>
      <c r="C5292" t="str">
        <f t="shared" si="82"/>
        <v>1. Under $10K</v>
      </c>
      <c r="D5292" t="s">
        <v>877</v>
      </c>
      <c r="E5292" t="s">
        <v>237</v>
      </c>
      <c r="F5292" t="s">
        <v>670</v>
      </c>
      <c r="G5292" t="s">
        <v>59</v>
      </c>
      <c r="H5292">
        <v>2024</v>
      </c>
    </row>
    <row r="5293" spans="1:8" x14ac:dyDescent="0.2">
      <c r="A5293">
        <v>257352</v>
      </c>
      <c r="B5293">
        <v>8640</v>
      </c>
      <c r="C5293" t="str">
        <f t="shared" si="82"/>
        <v>1. Under $10K</v>
      </c>
      <c r="D5293" t="s">
        <v>870</v>
      </c>
      <c r="E5293" t="s">
        <v>237</v>
      </c>
      <c r="F5293" t="s">
        <v>670</v>
      </c>
      <c r="G5293" t="s">
        <v>59</v>
      </c>
      <c r="H5293">
        <v>2024</v>
      </c>
    </row>
    <row r="5294" spans="1:8" x14ac:dyDescent="0.2">
      <c r="A5294">
        <v>257353</v>
      </c>
      <c r="B5294">
        <v>3840</v>
      </c>
      <c r="C5294" t="str">
        <f t="shared" si="82"/>
        <v>1. Under $10K</v>
      </c>
      <c r="D5294" t="s">
        <v>807</v>
      </c>
      <c r="E5294" t="s">
        <v>237</v>
      </c>
      <c r="F5294" t="s">
        <v>670</v>
      </c>
      <c r="G5294" t="s">
        <v>59</v>
      </c>
      <c r="H5294">
        <v>2024</v>
      </c>
    </row>
    <row r="5295" spans="1:8" x14ac:dyDescent="0.2">
      <c r="A5295">
        <v>257354</v>
      </c>
      <c r="B5295">
        <v>3780</v>
      </c>
      <c r="C5295" t="str">
        <f t="shared" si="82"/>
        <v>1. Under $10K</v>
      </c>
      <c r="D5295" t="s">
        <v>878</v>
      </c>
      <c r="E5295" t="s">
        <v>237</v>
      </c>
      <c r="F5295" t="s">
        <v>670</v>
      </c>
      <c r="G5295" t="s">
        <v>59</v>
      </c>
      <c r="H5295">
        <v>2024</v>
      </c>
    </row>
    <row r="5296" spans="1:8" x14ac:dyDescent="0.2">
      <c r="A5296">
        <v>257355</v>
      </c>
      <c r="B5296">
        <v>12375</v>
      </c>
      <c r="C5296" t="str">
        <f t="shared" si="82"/>
        <v>1. Under $10K</v>
      </c>
      <c r="D5296" t="s">
        <v>873</v>
      </c>
      <c r="E5296" t="s">
        <v>237</v>
      </c>
      <c r="F5296" t="s">
        <v>670</v>
      </c>
      <c r="G5296" t="s">
        <v>59</v>
      </c>
      <c r="H5296">
        <v>2024</v>
      </c>
    </row>
    <row r="5297" spans="1:8" x14ac:dyDescent="0.2">
      <c r="A5297">
        <v>257400</v>
      </c>
      <c r="B5297">
        <v>502863.6</v>
      </c>
      <c r="C5297" t="str">
        <f t="shared" si="82"/>
        <v>2. $10K-50K</v>
      </c>
      <c r="D5297" t="s">
        <v>694</v>
      </c>
      <c r="E5297" t="s">
        <v>237</v>
      </c>
      <c r="F5297" t="s">
        <v>670</v>
      </c>
      <c r="G5297" t="s">
        <v>59</v>
      </c>
      <c r="H5297">
        <v>2024</v>
      </c>
    </row>
    <row r="5298" spans="1:8" x14ac:dyDescent="0.2">
      <c r="A5298">
        <v>257401</v>
      </c>
      <c r="B5298">
        <v>1124694.7</v>
      </c>
      <c r="C5298" t="str">
        <f t="shared" si="82"/>
        <v>4. $250K-1M</v>
      </c>
      <c r="D5298" t="s">
        <v>692</v>
      </c>
      <c r="E5298" t="s">
        <v>237</v>
      </c>
      <c r="F5298" t="s">
        <v>670</v>
      </c>
      <c r="G5298" t="s">
        <v>59</v>
      </c>
      <c r="H5298">
        <v>2024</v>
      </c>
    </row>
    <row r="5299" spans="1:8" x14ac:dyDescent="0.2">
      <c r="A5299">
        <v>257402</v>
      </c>
      <c r="B5299">
        <v>1724895.8</v>
      </c>
      <c r="C5299" t="str">
        <f t="shared" si="82"/>
        <v>5. $1M+</v>
      </c>
      <c r="D5299" t="s">
        <v>697</v>
      </c>
      <c r="E5299" t="s">
        <v>237</v>
      </c>
      <c r="F5299" t="s">
        <v>670</v>
      </c>
      <c r="G5299" t="s">
        <v>59</v>
      </c>
      <c r="H5299">
        <v>2024</v>
      </c>
    </row>
    <row r="5300" spans="1:8" x14ac:dyDescent="0.2">
      <c r="A5300">
        <v>257403</v>
      </c>
      <c r="B5300">
        <v>271150.90000000002</v>
      </c>
      <c r="C5300" t="str">
        <f t="shared" si="82"/>
        <v>5. $1M+</v>
      </c>
      <c r="D5300" t="s">
        <v>703</v>
      </c>
      <c r="E5300" t="s">
        <v>237</v>
      </c>
      <c r="F5300" t="s">
        <v>670</v>
      </c>
      <c r="G5300" t="s">
        <v>59</v>
      </c>
      <c r="H5300">
        <v>2024</v>
      </c>
    </row>
    <row r="5301" spans="1:8" x14ac:dyDescent="0.2">
      <c r="A5301">
        <v>257404</v>
      </c>
      <c r="B5301">
        <v>119965</v>
      </c>
      <c r="C5301" t="str">
        <f t="shared" si="82"/>
        <v>4. $250K-1M</v>
      </c>
      <c r="D5301" t="s">
        <v>909</v>
      </c>
      <c r="E5301" t="s">
        <v>237</v>
      </c>
      <c r="F5301" t="s">
        <v>670</v>
      </c>
      <c r="G5301" t="s">
        <v>59</v>
      </c>
      <c r="H5301">
        <v>2024</v>
      </c>
    </row>
    <row r="5302" spans="1:8" x14ac:dyDescent="0.2">
      <c r="A5302">
        <v>257405</v>
      </c>
      <c r="B5302">
        <v>52800</v>
      </c>
      <c r="C5302" t="str">
        <f t="shared" si="82"/>
        <v>3. $50K-250K</v>
      </c>
      <c r="D5302" t="s">
        <v>907</v>
      </c>
      <c r="E5302" t="s">
        <v>237</v>
      </c>
      <c r="F5302" t="s">
        <v>670</v>
      </c>
      <c r="G5302" t="s">
        <v>59</v>
      </c>
      <c r="H5302">
        <v>2024</v>
      </c>
    </row>
    <row r="5303" spans="1:8" x14ac:dyDescent="0.2">
      <c r="A5303">
        <v>257406</v>
      </c>
      <c r="B5303">
        <v>52800</v>
      </c>
      <c r="C5303" t="str">
        <f t="shared" si="82"/>
        <v>3. $50K-250K</v>
      </c>
      <c r="D5303" t="s">
        <v>801</v>
      </c>
      <c r="E5303" t="s">
        <v>237</v>
      </c>
      <c r="F5303" t="s">
        <v>670</v>
      </c>
      <c r="G5303" t="s">
        <v>59</v>
      </c>
      <c r="H5303">
        <v>2024</v>
      </c>
    </row>
    <row r="5304" spans="1:8" x14ac:dyDescent="0.2">
      <c r="A5304">
        <v>257407</v>
      </c>
      <c r="B5304">
        <v>52800</v>
      </c>
      <c r="C5304" t="str">
        <f t="shared" si="82"/>
        <v>3. $50K-250K</v>
      </c>
      <c r="D5304" t="s">
        <v>694</v>
      </c>
      <c r="E5304" t="s">
        <v>237</v>
      </c>
      <c r="F5304" t="s">
        <v>670</v>
      </c>
      <c r="G5304" t="s">
        <v>59</v>
      </c>
      <c r="H5304">
        <v>2024</v>
      </c>
    </row>
    <row r="5305" spans="1:8" x14ac:dyDescent="0.2">
      <c r="A5305">
        <v>257410</v>
      </c>
      <c r="B5305">
        <v>118710.2</v>
      </c>
      <c r="C5305" t="str">
        <f t="shared" si="82"/>
        <v>3. $50K-250K</v>
      </c>
      <c r="D5305" t="s">
        <v>872</v>
      </c>
      <c r="E5305" t="s">
        <v>237</v>
      </c>
      <c r="F5305" t="s">
        <v>670</v>
      </c>
      <c r="G5305" t="s">
        <v>59</v>
      </c>
      <c r="H5305">
        <v>2024</v>
      </c>
    </row>
    <row r="5306" spans="1:8" x14ac:dyDescent="0.2">
      <c r="A5306">
        <v>257411</v>
      </c>
      <c r="B5306">
        <v>33840</v>
      </c>
      <c r="C5306" t="str">
        <f t="shared" si="82"/>
        <v>3. $50K-250K</v>
      </c>
      <c r="D5306" t="s">
        <v>721</v>
      </c>
      <c r="E5306" t="s">
        <v>237</v>
      </c>
      <c r="F5306" t="s">
        <v>670</v>
      </c>
      <c r="G5306" t="s">
        <v>59</v>
      </c>
      <c r="H5306">
        <v>2024</v>
      </c>
    </row>
    <row r="5307" spans="1:8" x14ac:dyDescent="0.2">
      <c r="A5307">
        <v>257418</v>
      </c>
      <c r="B5307">
        <v>1000</v>
      </c>
      <c r="C5307" t="str">
        <f t="shared" si="82"/>
        <v>2. $10K-50K</v>
      </c>
      <c r="D5307" t="s">
        <v>2090</v>
      </c>
      <c r="E5307" t="s">
        <v>112</v>
      </c>
      <c r="F5307" t="s">
        <v>668</v>
      </c>
      <c r="G5307" t="s">
        <v>59</v>
      </c>
      <c r="H5307">
        <v>2024</v>
      </c>
    </row>
    <row r="5308" spans="1:8" x14ac:dyDescent="0.2">
      <c r="A5308">
        <v>257429</v>
      </c>
      <c r="B5308">
        <v>1000</v>
      </c>
      <c r="C5308" t="str">
        <f t="shared" si="82"/>
        <v>1. Under $10K</v>
      </c>
      <c r="D5308" t="s">
        <v>2091</v>
      </c>
      <c r="E5308" t="s">
        <v>112</v>
      </c>
      <c r="F5308" t="s">
        <v>668</v>
      </c>
      <c r="G5308" t="s">
        <v>59</v>
      </c>
      <c r="H5308">
        <v>2024</v>
      </c>
    </row>
    <row r="5309" spans="1:8" x14ac:dyDescent="0.2">
      <c r="A5309">
        <v>25743</v>
      </c>
      <c r="B5309">
        <v>227219813.19999999</v>
      </c>
      <c r="C5309" t="str">
        <f t="shared" si="82"/>
        <v>1. Under $10K</v>
      </c>
      <c r="D5309" t="s">
        <v>406</v>
      </c>
      <c r="E5309" t="s">
        <v>28</v>
      </c>
      <c r="F5309" t="s">
        <v>43</v>
      </c>
      <c r="G5309" t="s">
        <v>15</v>
      </c>
      <c r="H5309">
        <v>2023</v>
      </c>
    </row>
    <row r="5310" spans="1:8" x14ac:dyDescent="0.2">
      <c r="A5310">
        <v>257435</v>
      </c>
      <c r="B5310">
        <v>1000</v>
      </c>
      <c r="C5310" t="str">
        <f t="shared" si="82"/>
        <v>5. $1M+</v>
      </c>
      <c r="D5310" t="s">
        <v>2092</v>
      </c>
      <c r="E5310" t="s">
        <v>112</v>
      </c>
      <c r="F5310" t="s">
        <v>668</v>
      </c>
      <c r="G5310" t="s">
        <v>59</v>
      </c>
      <c r="H5310">
        <v>2024</v>
      </c>
    </row>
    <row r="5311" spans="1:8" x14ac:dyDescent="0.2">
      <c r="A5311">
        <v>257440</v>
      </c>
      <c r="B5311">
        <v>1984762</v>
      </c>
      <c r="C5311" t="str">
        <f t="shared" si="82"/>
        <v>1. Under $10K</v>
      </c>
      <c r="D5311" t="s">
        <v>1559</v>
      </c>
      <c r="E5311" t="s">
        <v>237</v>
      </c>
      <c r="F5311" t="s">
        <v>670</v>
      </c>
      <c r="G5311" t="s">
        <v>59</v>
      </c>
      <c r="H5311">
        <v>2024</v>
      </c>
    </row>
    <row r="5312" spans="1:8" x14ac:dyDescent="0.2">
      <c r="A5312">
        <v>257444</v>
      </c>
      <c r="B5312">
        <v>172588</v>
      </c>
      <c r="C5312" t="str">
        <f t="shared" si="82"/>
        <v>5. $1M+</v>
      </c>
      <c r="D5312" t="s">
        <v>1559</v>
      </c>
      <c r="E5312" t="s">
        <v>237</v>
      </c>
      <c r="F5312" t="s">
        <v>670</v>
      </c>
      <c r="G5312" t="s">
        <v>59</v>
      </c>
      <c r="H5312">
        <v>2024</v>
      </c>
    </row>
    <row r="5313" spans="1:8" x14ac:dyDescent="0.2">
      <c r="A5313">
        <v>257550</v>
      </c>
      <c r="B5313">
        <v>1000</v>
      </c>
      <c r="C5313" t="str">
        <f t="shared" si="82"/>
        <v>3. $50K-250K</v>
      </c>
      <c r="D5313" t="s">
        <v>1051</v>
      </c>
      <c r="E5313" t="s">
        <v>112</v>
      </c>
      <c r="F5313" t="s">
        <v>668</v>
      </c>
      <c r="G5313" t="s">
        <v>59</v>
      </c>
      <c r="H5313">
        <v>2024</v>
      </c>
    </row>
    <row r="5314" spans="1:8" x14ac:dyDescent="0.2">
      <c r="A5314">
        <v>257612</v>
      </c>
      <c r="B5314">
        <v>1000</v>
      </c>
      <c r="C5314" t="str">
        <f t="shared" si="82"/>
        <v>1. Under $10K</v>
      </c>
      <c r="D5314" t="s">
        <v>2093</v>
      </c>
      <c r="E5314" t="s">
        <v>112</v>
      </c>
      <c r="F5314" t="s">
        <v>668</v>
      </c>
      <c r="G5314" t="s">
        <v>59</v>
      </c>
      <c r="H5314">
        <v>2024</v>
      </c>
    </row>
    <row r="5315" spans="1:8" x14ac:dyDescent="0.2">
      <c r="A5315">
        <v>257615</v>
      </c>
      <c r="B5315">
        <v>215000</v>
      </c>
      <c r="C5315" t="str">
        <f t="shared" ref="C5315:C5378" si="83">IF(B5314&lt;10000,"1. Under $10K",IF(B5314&lt;50000,"2. $10K-50K",IF(B5314&lt;250000,"3. $50K-250K",IF(B5314&lt;1000000,"4. $250K-1M","5. $1M+"))))</f>
        <v>1. Under $10K</v>
      </c>
      <c r="D5315" t="s">
        <v>1775</v>
      </c>
      <c r="E5315" t="s">
        <v>112</v>
      </c>
      <c r="F5315" t="s">
        <v>668</v>
      </c>
      <c r="G5315" t="s">
        <v>59</v>
      </c>
      <c r="H5315">
        <v>2024</v>
      </c>
    </row>
    <row r="5316" spans="1:8" x14ac:dyDescent="0.2">
      <c r="A5316">
        <v>257672</v>
      </c>
      <c r="B5316">
        <v>162225.70000000001</v>
      </c>
      <c r="C5316" t="str">
        <f t="shared" si="83"/>
        <v>3. $50K-250K</v>
      </c>
      <c r="D5316" t="s">
        <v>847</v>
      </c>
      <c r="E5316" t="s">
        <v>42</v>
      </c>
      <c r="F5316" t="s">
        <v>670</v>
      </c>
      <c r="G5316" t="s">
        <v>59</v>
      </c>
      <c r="H5316">
        <v>2024</v>
      </c>
    </row>
    <row r="5317" spans="1:8" x14ac:dyDescent="0.2">
      <c r="A5317">
        <v>257673</v>
      </c>
      <c r="B5317">
        <v>135957.5</v>
      </c>
      <c r="C5317" t="str">
        <f t="shared" si="83"/>
        <v>3. $50K-250K</v>
      </c>
      <c r="D5317" t="s">
        <v>783</v>
      </c>
      <c r="E5317" t="s">
        <v>42</v>
      </c>
      <c r="F5317" t="s">
        <v>670</v>
      </c>
      <c r="G5317" t="s">
        <v>59</v>
      </c>
      <c r="H5317">
        <v>2024</v>
      </c>
    </row>
    <row r="5318" spans="1:8" x14ac:dyDescent="0.2">
      <c r="A5318">
        <v>257674</v>
      </c>
      <c r="B5318">
        <v>150000</v>
      </c>
      <c r="C5318" t="str">
        <f t="shared" si="83"/>
        <v>3. $50K-250K</v>
      </c>
      <c r="D5318" t="s">
        <v>801</v>
      </c>
      <c r="E5318" t="s">
        <v>42</v>
      </c>
      <c r="F5318" t="s">
        <v>670</v>
      </c>
      <c r="G5318" t="s">
        <v>59</v>
      </c>
      <c r="H5318">
        <v>2024</v>
      </c>
    </row>
    <row r="5319" spans="1:8" x14ac:dyDescent="0.2">
      <c r="A5319">
        <v>257675</v>
      </c>
      <c r="B5319">
        <v>476022</v>
      </c>
      <c r="C5319" t="str">
        <f t="shared" si="83"/>
        <v>3. $50K-250K</v>
      </c>
      <c r="D5319" t="s">
        <v>1009</v>
      </c>
      <c r="E5319" t="s">
        <v>42</v>
      </c>
      <c r="F5319" t="s">
        <v>670</v>
      </c>
      <c r="G5319" t="s">
        <v>59</v>
      </c>
      <c r="H5319">
        <v>2024</v>
      </c>
    </row>
    <row r="5320" spans="1:8" x14ac:dyDescent="0.2">
      <c r="A5320">
        <v>257676</v>
      </c>
      <c r="B5320">
        <v>497724.9</v>
      </c>
      <c r="C5320" t="str">
        <f t="shared" si="83"/>
        <v>4. $250K-1M</v>
      </c>
      <c r="D5320" t="s">
        <v>1813</v>
      </c>
      <c r="E5320" t="s">
        <v>42</v>
      </c>
      <c r="F5320" t="s">
        <v>670</v>
      </c>
      <c r="G5320" t="s">
        <v>59</v>
      </c>
      <c r="H5320">
        <v>2024</v>
      </c>
    </row>
    <row r="5321" spans="1:8" x14ac:dyDescent="0.2">
      <c r="A5321">
        <v>257709</v>
      </c>
      <c r="B5321">
        <v>490720.5</v>
      </c>
      <c r="C5321" t="str">
        <f t="shared" si="83"/>
        <v>4. $250K-1M</v>
      </c>
      <c r="D5321" t="s">
        <v>839</v>
      </c>
      <c r="E5321" t="s">
        <v>42</v>
      </c>
      <c r="F5321" t="s">
        <v>670</v>
      </c>
      <c r="G5321" t="s">
        <v>59</v>
      </c>
      <c r="H5321">
        <v>2024</v>
      </c>
    </row>
    <row r="5322" spans="1:8" x14ac:dyDescent="0.2">
      <c r="A5322">
        <v>257727</v>
      </c>
      <c r="B5322">
        <v>736637.9</v>
      </c>
      <c r="C5322" t="str">
        <f t="shared" si="83"/>
        <v>4. $250K-1M</v>
      </c>
      <c r="D5322" t="s">
        <v>702</v>
      </c>
      <c r="E5322" t="s">
        <v>237</v>
      </c>
      <c r="F5322" t="s">
        <v>670</v>
      </c>
      <c r="G5322" t="s">
        <v>59</v>
      </c>
      <c r="H5322">
        <v>2024</v>
      </c>
    </row>
    <row r="5323" spans="1:8" x14ac:dyDescent="0.2">
      <c r="A5323">
        <v>257728</v>
      </c>
      <c r="B5323">
        <v>522100</v>
      </c>
      <c r="C5323" t="str">
        <f t="shared" si="83"/>
        <v>4. $250K-1M</v>
      </c>
      <c r="D5323" t="s">
        <v>701</v>
      </c>
      <c r="E5323" t="s">
        <v>237</v>
      </c>
      <c r="F5323" t="s">
        <v>670</v>
      </c>
      <c r="G5323" t="s">
        <v>59</v>
      </c>
      <c r="H5323">
        <v>2024</v>
      </c>
    </row>
    <row r="5324" spans="1:8" x14ac:dyDescent="0.2">
      <c r="A5324">
        <v>257729</v>
      </c>
      <c r="B5324">
        <v>137016</v>
      </c>
      <c r="C5324" t="str">
        <f t="shared" si="83"/>
        <v>4. $250K-1M</v>
      </c>
      <c r="D5324" t="s">
        <v>699</v>
      </c>
      <c r="E5324" t="s">
        <v>237</v>
      </c>
      <c r="F5324" t="s">
        <v>670</v>
      </c>
      <c r="G5324" t="s">
        <v>59</v>
      </c>
      <c r="H5324">
        <v>2024</v>
      </c>
    </row>
    <row r="5325" spans="1:8" x14ac:dyDescent="0.2">
      <c r="A5325">
        <v>257730</v>
      </c>
      <c r="B5325">
        <v>497272.4</v>
      </c>
      <c r="C5325" t="str">
        <f t="shared" si="83"/>
        <v>3. $50K-250K</v>
      </c>
      <c r="D5325" t="s">
        <v>712</v>
      </c>
      <c r="E5325" t="s">
        <v>237</v>
      </c>
      <c r="F5325" t="s">
        <v>670</v>
      </c>
      <c r="G5325" t="s">
        <v>59</v>
      </c>
      <c r="H5325">
        <v>2024</v>
      </c>
    </row>
    <row r="5326" spans="1:8" x14ac:dyDescent="0.2">
      <c r="A5326">
        <v>257731</v>
      </c>
      <c r="B5326">
        <v>1524323.4</v>
      </c>
      <c r="C5326" t="str">
        <f t="shared" si="83"/>
        <v>4. $250K-1M</v>
      </c>
      <c r="D5326" t="s">
        <v>698</v>
      </c>
      <c r="E5326" t="s">
        <v>237</v>
      </c>
      <c r="F5326" t="s">
        <v>670</v>
      </c>
      <c r="G5326" t="s">
        <v>59</v>
      </c>
      <c r="H5326">
        <v>2024</v>
      </c>
    </row>
    <row r="5327" spans="1:8" x14ac:dyDescent="0.2">
      <c r="A5327">
        <v>257732</v>
      </c>
      <c r="B5327">
        <v>875991.4</v>
      </c>
      <c r="C5327" t="str">
        <f t="shared" si="83"/>
        <v>5. $1M+</v>
      </c>
      <c r="D5327" t="s">
        <v>698</v>
      </c>
      <c r="E5327" t="s">
        <v>237</v>
      </c>
      <c r="F5327" t="s">
        <v>670</v>
      </c>
      <c r="G5327" t="s">
        <v>59</v>
      </c>
      <c r="H5327">
        <v>2024</v>
      </c>
    </row>
    <row r="5328" spans="1:8" x14ac:dyDescent="0.2">
      <c r="A5328">
        <v>257733</v>
      </c>
      <c r="B5328">
        <v>3103464.9</v>
      </c>
      <c r="C5328" t="str">
        <f t="shared" si="83"/>
        <v>4. $250K-1M</v>
      </c>
      <c r="D5328" t="s">
        <v>697</v>
      </c>
      <c r="E5328" t="s">
        <v>237</v>
      </c>
      <c r="F5328" t="s">
        <v>670</v>
      </c>
      <c r="G5328" t="s">
        <v>59</v>
      </c>
      <c r="H5328">
        <v>2024</v>
      </c>
    </row>
    <row r="5329" spans="1:8" x14ac:dyDescent="0.2">
      <c r="A5329">
        <v>257744</v>
      </c>
      <c r="B5329">
        <v>350490.8</v>
      </c>
      <c r="C5329" t="str">
        <f t="shared" si="83"/>
        <v>5. $1M+</v>
      </c>
      <c r="D5329" t="s">
        <v>985</v>
      </c>
      <c r="E5329" t="s">
        <v>42</v>
      </c>
      <c r="F5329" t="s">
        <v>670</v>
      </c>
      <c r="G5329" t="s">
        <v>59</v>
      </c>
      <c r="H5329">
        <v>2024</v>
      </c>
    </row>
    <row r="5330" spans="1:8" x14ac:dyDescent="0.2">
      <c r="A5330">
        <v>257764</v>
      </c>
      <c r="B5330">
        <v>12405.6</v>
      </c>
      <c r="C5330" t="str">
        <f t="shared" si="83"/>
        <v>4. $250K-1M</v>
      </c>
      <c r="D5330" t="s">
        <v>1838</v>
      </c>
      <c r="E5330" t="s">
        <v>42</v>
      </c>
      <c r="F5330" t="s">
        <v>670</v>
      </c>
      <c r="G5330" t="s">
        <v>59</v>
      </c>
      <c r="H5330">
        <v>2024</v>
      </c>
    </row>
    <row r="5331" spans="1:8" x14ac:dyDescent="0.2">
      <c r="A5331">
        <v>257766</v>
      </c>
      <c r="B5331">
        <v>82263.199999999997</v>
      </c>
      <c r="C5331" t="str">
        <f t="shared" si="83"/>
        <v>2. $10K-50K</v>
      </c>
      <c r="D5331" t="s">
        <v>1613</v>
      </c>
      <c r="E5331" t="s">
        <v>237</v>
      </c>
      <c r="F5331" t="s">
        <v>670</v>
      </c>
      <c r="G5331" t="s">
        <v>59</v>
      </c>
      <c r="H5331">
        <v>2024</v>
      </c>
    </row>
    <row r="5332" spans="1:8" x14ac:dyDescent="0.2">
      <c r="A5332">
        <v>257823</v>
      </c>
      <c r="B5332">
        <v>13688032.5</v>
      </c>
      <c r="C5332" t="str">
        <f t="shared" si="83"/>
        <v>3. $50K-250K</v>
      </c>
      <c r="D5332" t="s">
        <v>1052</v>
      </c>
      <c r="E5332" t="s">
        <v>237</v>
      </c>
      <c r="F5332" t="s">
        <v>670</v>
      </c>
      <c r="G5332" t="s">
        <v>59</v>
      </c>
      <c r="H5332">
        <v>2024</v>
      </c>
    </row>
    <row r="5333" spans="1:8" x14ac:dyDescent="0.2">
      <c r="A5333">
        <v>257824</v>
      </c>
      <c r="B5333">
        <v>1809671.4</v>
      </c>
      <c r="C5333" t="str">
        <f t="shared" si="83"/>
        <v>5. $1M+</v>
      </c>
      <c r="D5333" t="s">
        <v>863</v>
      </c>
      <c r="E5333" t="s">
        <v>237</v>
      </c>
      <c r="F5333" t="s">
        <v>670</v>
      </c>
      <c r="G5333" t="s">
        <v>59</v>
      </c>
      <c r="H5333">
        <v>2024</v>
      </c>
    </row>
    <row r="5334" spans="1:8" x14ac:dyDescent="0.2">
      <c r="A5334">
        <v>257828</v>
      </c>
      <c r="B5334">
        <v>20000</v>
      </c>
      <c r="C5334" t="str">
        <f t="shared" si="83"/>
        <v>5. $1M+</v>
      </c>
      <c r="D5334" t="s">
        <v>2094</v>
      </c>
      <c r="E5334" t="s">
        <v>112</v>
      </c>
      <c r="F5334" t="s">
        <v>668</v>
      </c>
      <c r="G5334" t="s">
        <v>59</v>
      </c>
      <c r="H5334">
        <v>2024</v>
      </c>
    </row>
    <row r="5335" spans="1:8" x14ac:dyDescent="0.2">
      <c r="A5335">
        <v>257829</v>
      </c>
      <c r="B5335">
        <v>20000</v>
      </c>
      <c r="C5335" t="str">
        <f t="shared" si="83"/>
        <v>2. $10K-50K</v>
      </c>
      <c r="D5335" t="s">
        <v>2095</v>
      </c>
      <c r="E5335" t="s">
        <v>112</v>
      </c>
      <c r="F5335" t="s">
        <v>668</v>
      </c>
      <c r="G5335" t="s">
        <v>59</v>
      </c>
      <c r="H5335">
        <v>2024</v>
      </c>
    </row>
    <row r="5336" spans="1:8" x14ac:dyDescent="0.2">
      <c r="A5336">
        <v>257831</v>
      </c>
      <c r="B5336">
        <v>30000</v>
      </c>
      <c r="C5336" t="str">
        <f t="shared" si="83"/>
        <v>2. $10K-50K</v>
      </c>
      <c r="D5336" t="s">
        <v>2096</v>
      </c>
      <c r="E5336" t="s">
        <v>112</v>
      </c>
      <c r="F5336" t="s">
        <v>668</v>
      </c>
      <c r="G5336" t="s">
        <v>59</v>
      </c>
      <c r="H5336">
        <v>2024</v>
      </c>
    </row>
    <row r="5337" spans="1:8" x14ac:dyDescent="0.2">
      <c r="A5337">
        <v>257833</v>
      </c>
      <c r="B5337">
        <v>90000</v>
      </c>
      <c r="C5337" t="str">
        <f t="shared" si="83"/>
        <v>2. $10K-50K</v>
      </c>
      <c r="D5337" t="s">
        <v>1645</v>
      </c>
      <c r="E5337" t="s">
        <v>112</v>
      </c>
      <c r="F5337" t="s">
        <v>668</v>
      </c>
      <c r="G5337" t="s">
        <v>59</v>
      </c>
      <c r="H5337">
        <v>2024</v>
      </c>
    </row>
    <row r="5338" spans="1:8" x14ac:dyDescent="0.2">
      <c r="A5338">
        <v>257843</v>
      </c>
      <c r="B5338">
        <v>30000</v>
      </c>
      <c r="C5338" t="str">
        <f t="shared" si="83"/>
        <v>3. $50K-250K</v>
      </c>
      <c r="D5338" t="s">
        <v>2097</v>
      </c>
      <c r="E5338" t="s">
        <v>112</v>
      </c>
      <c r="F5338" t="s">
        <v>668</v>
      </c>
      <c r="G5338" t="s">
        <v>59</v>
      </c>
      <c r="H5338">
        <v>2024</v>
      </c>
    </row>
    <row r="5339" spans="1:8" x14ac:dyDescent="0.2">
      <c r="A5339">
        <v>257853</v>
      </c>
      <c r="B5339">
        <v>30000</v>
      </c>
      <c r="C5339" t="str">
        <f t="shared" si="83"/>
        <v>2. $10K-50K</v>
      </c>
      <c r="D5339" t="s">
        <v>2098</v>
      </c>
      <c r="E5339" t="s">
        <v>112</v>
      </c>
      <c r="F5339" t="s">
        <v>668</v>
      </c>
      <c r="G5339" t="s">
        <v>59</v>
      </c>
      <c r="H5339">
        <v>2024</v>
      </c>
    </row>
    <row r="5340" spans="1:8" x14ac:dyDescent="0.2">
      <c r="A5340">
        <v>257879</v>
      </c>
      <c r="B5340">
        <v>31960757.800000001</v>
      </c>
      <c r="C5340" t="str">
        <f t="shared" si="83"/>
        <v>2. $10K-50K</v>
      </c>
      <c r="D5340" t="s">
        <v>128</v>
      </c>
      <c r="E5340" t="s">
        <v>8</v>
      </c>
      <c r="F5340" t="s">
        <v>9</v>
      </c>
      <c r="G5340" t="s">
        <v>10</v>
      </c>
      <c r="H5340">
        <v>2024</v>
      </c>
    </row>
    <row r="5341" spans="1:8" x14ac:dyDescent="0.2">
      <c r="A5341">
        <v>258023</v>
      </c>
      <c r="B5341">
        <v>396398.2</v>
      </c>
      <c r="C5341" t="str">
        <f t="shared" si="83"/>
        <v>5. $1M+</v>
      </c>
      <c r="D5341" t="s">
        <v>1835</v>
      </c>
      <c r="E5341" t="s">
        <v>819</v>
      </c>
      <c r="F5341" t="s">
        <v>670</v>
      </c>
      <c r="G5341" t="s">
        <v>59</v>
      </c>
      <c r="H5341">
        <v>2024</v>
      </c>
    </row>
    <row r="5342" spans="1:8" x14ac:dyDescent="0.2">
      <c r="A5342">
        <v>258028</v>
      </c>
      <c r="B5342">
        <v>67094.899999999994</v>
      </c>
      <c r="C5342" t="str">
        <f t="shared" si="83"/>
        <v>4. $250K-1M</v>
      </c>
      <c r="D5342" t="s">
        <v>799</v>
      </c>
      <c r="E5342" t="s">
        <v>237</v>
      </c>
      <c r="F5342" t="s">
        <v>670</v>
      </c>
      <c r="G5342" t="s">
        <v>59</v>
      </c>
      <c r="H5342">
        <v>2024</v>
      </c>
    </row>
    <row r="5343" spans="1:8" x14ac:dyDescent="0.2">
      <c r="A5343">
        <v>258042</v>
      </c>
      <c r="B5343">
        <v>960712.3</v>
      </c>
      <c r="C5343" t="str">
        <f t="shared" si="83"/>
        <v>3. $50K-250K</v>
      </c>
      <c r="D5343" t="s">
        <v>852</v>
      </c>
      <c r="E5343" t="s">
        <v>237</v>
      </c>
      <c r="F5343" t="s">
        <v>670</v>
      </c>
      <c r="G5343" t="s">
        <v>59</v>
      </c>
      <c r="H5343">
        <v>2024</v>
      </c>
    </row>
    <row r="5344" spans="1:8" x14ac:dyDescent="0.2">
      <c r="A5344">
        <v>258047</v>
      </c>
      <c r="B5344">
        <v>537325.6</v>
      </c>
      <c r="C5344" t="str">
        <f t="shared" si="83"/>
        <v>4. $250K-1M</v>
      </c>
      <c r="D5344" t="s">
        <v>799</v>
      </c>
      <c r="E5344" t="s">
        <v>237</v>
      </c>
      <c r="F5344" t="s">
        <v>670</v>
      </c>
      <c r="G5344" t="s">
        <v>59</v>
      </c>
      <c r="H5344">
        <v>2024</v>
      </c>
    </row>
    <row r="5345" spans="1:8" x14ac:dyDescent="0.2">
      <c r="A5345">
        <v>258072</v>
      </c>
      <c r="B5345">
        <v>130809.60000000001</v>
      </c>
      <c r="C5345" t="str">
        <f t="shared" si="83"/>
        <v>4. $250K-1M</v>
      </c>
      <c r="D5345" t="s">
        <v>804</v>
      </c>
      <c r="E5345" t="s">
        <v>42</v>
      </c>
      <c r="F5345" t="s">
        <v>670</v>
      </c>
      <c r="G5345" t="s">
        <v>59</v>
      </c>
      <c r="H5345">
        <v>2024</v>
      </c>
    </row>
    <row r="5346" spans="1:8" x14ac:dyDescent="0.2">
      <c r="A5346">
        <v>258074</v>
      </c>
      <c r="B5346">
        <v>443898.5</v>
      </c>
      <c r="C5346" t="str">
        <f t="shared" si="83"/>
        <v>3. $50K-250K</v>
      </c>
      <c r="D5346" t="s">
        <v>717</v>
      </c>
      <c r="E5346" t="s">
        <v>42</v>
      </c>
      <c r="F5346" t="s">
        <v>670</v>
      </c>
      <c r="G5346" t="s">
        <v>59</v>
      </c>
      <c r="H5346">
        <v>2024</v>
      </c>
    </row>
    <row r="5347" spans="1:8" x14ac:dyDescent="0.2">
      <c r="A5347">
        <v>258075</v>
      </c>
      <c r="B5347">
        <v>237954.1</v>
      </c>
      <c r="C5347" t="str">
        <f t="shared" si="83"/>
        <v>4. $250K-1M</v>
      </c>
      <c r="D5347" t="s">
        <v>2099</v>
      </c>
      <c r="E5347" t="s">
        <v>42</v>
      </c>
      <c r="F5347" t="s">
        <v>670</v>
      </c>
      <c r="G5347" t="s">
        <v>59</v>
      </c>
      <c r="H5347">
        <v>2024</v>
      </c>
    </row>
    <row r="5348" spans="1:8" x14ac:dyDescent="0.2">
      <c r="A5348">
        <v>258076</v>
      </c>
      <c r="B5348">
        <v>355245.8</v>
      </c>
      <c r="C5348" t="str">
        <f t="shared" si="83"/>
        <v>3. $50K-250K</v>
      </c>
      <c r="D5348" t="s">
        <v>1090</v>
      </c>
      <c r="E5348" t="s">
        <v>42</v>
      </c>
      <c r="F5348" t="s">
        <v>670</v>
      </c>
      <c r="G5348" t="s">
        <v>59</v>
      </c>
      <c r="H5348">
        <v>2024</v>
      </c>
    </row>
    <row r="5349" spans="1:8" x14ac:dyDescent="0.2">
      <c r="A5349">
        <v>258077</v>
      </c>
      <c r="B5349">
        <v>412335</v>
      </c>
      <c r="C5349" t="str">
        <f t="shared" si="83"/>
        <v>4. $250K-1M</v>
      </c>
      <c r="D5349" t="s">
        <v>391</v>
      </c>
      <c r="E5349" t="s">
        <v>42</v>
      </c>
      <c r="F5349" t="s">
        <v>670</v>
      </c>
      <c r="G5349" t="s">
        <v>59</v>
      </c>
      <c r="H5349">
        <v>2024</v>
      </c>
    </row>
    <row r="5350" spans="1:8" x14ac:dyDescent="0.2">
      <c r="A5350">
        <v>258078</v>
      </c>
      <c r="B5350">
        <v>184886.9</v>
      </c>
      <c r="C5350" t="str">
        <f t="shared" si="83"/>
        <v>4. $250K-1M</v>
      </c>
      <c r="D5350" t="s">
        <v>702</v>
      </c>
      <c r="E5350" t="s">
        <v>42</v>
      </c>
      <c r="F5350" t="s">
        <v>670</v>
      </c>
      <c r="G5350" t="s">
        <v>59</v>
      </c>
      <c r="H5350">
        <v>2024</v>
      </c>
    </row>
    <row r="5351" spans="1:8" x14ac:dyDescent="0.2">
      <c r="A5351">
        <v>258079</v>
      </c>
      <c r="B5351">
        <v>470226.7</v>
      </c>
      <c r="C5351" t="str">
        <f t="shared" si="83"/>
        <v>3. $50K-250K</v>
      </c>
      <c r="D5351" t="s">
        <v>1091</v>
      </c>
      <c r="E5351" t="s">
        <v>42</v>
      </c>
      <c r="F5351" t="s">
        <v>670</v>
      </c>
      <c r="G5351" t="s">
        <v>59</v>
      </c>
      <c r="H5351">
        <v>2024</v>
      </c>
    </row>
    <row r="5352" spans="1:8" x14ac:dyDescent="0.2">
      <c r="A5352">
        <v>258080</v>
      </c>
      <c r="B5352">
        <v>237585.3</v>
      </c>
      <c r="C5352" t="str">
        <f t="shared" si="83"/>
        <v>4. $250K-1M</v>
      </c>
      <c r="D5352" t="s">
        <v>1001</v>
      </c>
      <c r="E5352" t="s">
        <v>42</v>
      </c>
      <c r="F5352" t="s">
        <v>670</v>
      </c>
      <c r="G5352" t="s">
        <v>59</v>
      </c>
      <c r="H5352">
        <v>2024</v>
      </c>
    </row>
    <row r="5353" spans="1:8" x14ac:dyDescent="0.2">
      <c r="A5353">
        <v>258081</v>
      </c>
      <c r="B5353">
        <v>240000</v>
      </c>
      <c r="C5353" t="str">
        <f t="shared" si="83"/>
        <v>3. $50K-250K</v>
      </c>
      <c r="D5353" t="s">
        <v>999</v>
      </c>
      <c r="E5353" t="s">
        <v>42</v>
      </c>
      <c r="F5353" t="s">
        <v>670</v>
      </c>
      <c r="G5353" t="s">
        <v>59</v>
      </c>
      <c r="H5353">
        <v>2024</v>
      </c>
    </row>
    <row r="5354" spans="1:8" x14ac:dyDescent="0.2">
      <c r="A5354">
        <v>258082</v>
      </c>
      <c r="B5354">
        <v>292871.5</v>
      </c>
      <c r="C5354" t="str">
        <f t="shared" si="83"/>
        <v>3. $50K-250K</v>
      </c>
      <c r="D5354" t="s">
        <v>694</v>
      </c>
      <c r="E5354" t="s">
        <v>42</v>
      </c>
      <c r="F5354" t="s">
        <v>670</v>
      </c>
      <c r="G5354" t="s">
        <v>59</v>
      </c>
      <c r="H5354">
        <v>2024</v>
      </c>
    </row>
    <row r="5355" spans="1:8" x14ac:dyDescent="0.2">
      <c r="A5355">
        <v>258083</v>
      </c>
      <c r="B5355">
        <v>499999.4</v>
      </c>
      <c r="C5355" t="str">
        <f t="shared" si="83"/>
        <v>4. $250K-1M</v>
      </c>
      <c r="D5355" t="s">
        <v>839</v>
      </c>
      <c r="E5355" t="s">
        <v>42</v>
      </c>
      <c r="F5355" t="s">
        <v>670</v>
      </c>
      <c r="G5355" t="s">
        <v>59</v>
      </c>
      <c r="H5355">
        <v>2024</v>
      </c>
    </row>
    <row r="5356" spans="1:8" x14ac:dyDescent="0.2">
      <c r="A5356">
        <v>258084</v>
      </c>
      <c r="B5356">
        <v>429037.6</v>
      </c>
      <c r="C5356" t="str">
        <f t="shared" si="83"/>
        <v>4. $250K-1M</v>
      </c>
      <c r="D5356" t="s">
        <v>838</v>
      </c>
      <c r="E5356" t="s">
        <v>42</v>
      </c>
      <c r="F5356" t="s">
        <v>670</v>
      </c>
      <c r="G5356" t="s">
        <v>59</v>
      </c>
      <c r="H5356">
        <v>2024</v>
      </c>
    </row>
    <row r="5357" spans="1:8" x14ac:dyDescent="0.2">
      <c r="A5357">
        <v>258092</v>
      </c>
      <c r="B5357">
        <v>3249500</v>
      </c>
      <c r="C5357" t="str">
        <f t="shared" si="83"/>
        <v>4. $250K-1M</v>
      </c>
      <c r="D5357" t="s">
        <v>407</v>
      </c>
      <c r="E5357" t="s">
        <v>18</v>
      </c>
      <c r="F5357" t="s">
        <v>19</v>
      </c>
      <c r="G5357" t="s">
        <v>10</v>
      </c>
      <c r="H5357">
        <v>2024</v>
      </c>
    </row>
    <row r="5358" spans="1:8" x14ac:dyDescent="0.2">
      <c r="A5358">
        <v>258120</v>
      </c>
      <c r="B5358">
        <v>104042.3</v>
      </c>
      <c r="C5358" t="str">
        <f t="shared" si="83"/>
        <v>5. $1M+</v>
      </c>
      <c r="D5358" t="s">
        <v>669</v>
      </c>
      <c r="E5358" t="s">
        <v>42</v>
      </c>
      <c r="F5358" t="s">
        <v>670</v>
      </c>
      <c r="G5358" t="s">
        <v>59</v>
      </c>
      <c r="H5358">
        <v>2024</v>
      </c>
    </row>
    <row r="5359" spans="1:8" x14ac:dyDescent="0.2">
      <c r="A5359">
        <v>258121</v>
      </c>
      <c r="B5359">
        <v>41958.5</v>
      </c>
      <c r="C5359" t="str">
        <f t="shared" si="83"/>
        <v>3. $50K-250K</v>
      </c>
      <c r="D5359" t="s">
        <v>685</v>
      </c>
      <c r="E5359" t="s">
        <v>42</v>
      </c>
      <c r="F5359" t="s">
        <v>670</v>
      </c>
      <c r="G5359" t="s">
        <v>59</v>
      </c>
      <c r="H5359">
        <v>2024</v>
      </c>
    </row>
    <row r="5360" spans="1:8" x14ac:dyDescent="0.2">
      <c r="A5360">
        <v>258122</v>
      </c>
      <c r="B5360">
        <v>17500</v>
      </c>
      <c r="C5360" t="str">
        <f t="shared" si="83"/>
        <v>2. $10K-50K</v>
      </c>
      <c r="D5360" t="s">
        <v>681</v>
      </c>
      <c r="E5360" t="s">
        <v>42</v>
      </c>
      <c r="F5360" t="s">
        <v>670</v>
      </c>
      <c r="G5360" t="s">
        <v>59</v>
      </c>
      <c r="H5360">
        <v>2024</v>
      </c>
    </row>
    <row r="5361" spans="1:8" x14ac:dyDescent="0.2">
      <c r="A5361">
        <v>258134</v>
      </c>
      <c r="B5361">
        <v>154511</v>
      </c>
      <c r="C5361" t="str">
        <f t="shared" si="83"/>
        <v>2. $10K-50K</v>
      </c>
      <c r="D5361" t="s">
        <v>669</v>
      </c>
      <c r="E5361" t="s">
        <v>42</v>
      </c>
      <c r="F5361" t="s">
        <v>670</v>
      </c>
      <c r="G5361" t="s">
        <v>59</v>
      </c>
      <c r="H5361">
        <v>2024</v>
      </c>
    </row>
    <row r="5362" spans="1:8" x14ac:dyDescent="0.2">
      <c r="A5362">
        <v>258173</v>
      </c>
      <c r="B5362">
        <v>230743.8</v>
      </c>
      <c r="C5362" t="str">
        <f t="shared" si="83"/>
        <v>3. $50K-250K</v>
      </c>
      <c r="D5362" t="s">
        <v>686</v>
      </c>
      <c r="E5362" t="s">
        <v>42</v>
      </c>
      <c r="F5362" t="s">
        <v>670</v>
      </c>
      <c r="G5362" t="s">
        <v>59</v>
      </c>
      <c r="H5362">
        <v>2024</v>
      </c>
    </row>
    <row r="5363" spans="1:8" x14ac:dyDescent="0.2">
      <c r="A5363">
        <v>258192</v>
      </c>
      <c r="B5363">
        <v>100000</v>
      </c>
      <c r="C5363" t="str">
        <f t="shared" si="83"/>
        <v>3. $50K-250K</v>
      </c>
      <c r="D5363" t="s">
        <v>1347</v>
      </c>
      <c r="E5363" t="s">
        <v>237</v>
      </c>
      <c r="F5363" t="s">
        <v>670</v>
      </c>
      <c r="G5363" t="s">
        <v>59</v>
      </c>
      <c r="H5363">
        <v>2024</v>
      </c>
    </row>
    <row r="5364" spans="1:8" x14ac:dyDescent="0.2">
      <c r="A5364">
        <v>258201</v>
      </c>
      <c r="B5364">
        <v>100000</v>
      </c>
      <c r="C5364" t="str">
        <f t="shared" si="83"/>
        <v>3. $50K-250K</v>
      </c>
      <c r="D5364" t="s">
        <v>919</v>
      </c>
      <c r="E5364" t="s">
        <v>237</v>
      </c>
      <c r="F5364" t="s">
        <v>670</v>
      </c>
      <c r="G5364" t="s">
        <v>59</v>
      </c>
      <c r="H5364">
        <v>2024</v>
      </c>
    </row>
    <row r="5365" spans="1:8" x14ac:dyDescent="0.2">
      <c r="A5365">
        <v>258203</v>
      </c>
      <c r="B5365">
        <v>100000</v>
      </c>
      <c r="C5365" t="str">
        <f t="shared" si="83"/>
        <v>3. $50K-250K</v>
      </c>
      <c r="D5365" t="s">
        <v>925</v>
      </c>
      <c r="E5365" t="s">
        <v>237</v>
      </c>
      <c r="F5365" t="s">
        <v>670</v>
      </c>
      <c r="G5365" t="s">
        <v>59</v>
      </c>
      <c r="H5365">
        <v>2024</v>
      </c>
    </row>
    <row r="5366" spans="1:8" x14ac:dyDescent="0.2">
      <c r="A5366">
        <v>258204</v>
      </c>
      <c r="B5366">
        <v>1785000</v>
      </c>
      <c r="C5366" t="str">
        <f t="shared" si="83"/>
        <v>3. $50K-250K</v>
      </c>
      <c r="D5366" t="s">
        <v>801</v>
      </c>
      <c r="E5366" t="s">
        <v>237</v>
      </c>
      <c r="F5366" t="s">
        <v>670</v>
      </c>
      <c r="G5366" t="s">
        <v>59</v>
      </c>
      <c r="H5366">
        <v>2024</v>
      </c>
    </row>
    <row r="5367" spans="1:8" x14ac:dyDescent="0.2">
      <c r="A5367">
        <v>258206</v>
      </c>
      <c r="B5367">
        <v>53698</v>
      </c>
      <c r="C5367" t="str">
        <f t="shared" si="83"/>
        <v>5. $1M+</v>
      </c>
      <c r="D5367" t="s">
        <v>674</v>
      </c>
      <c r="E5367" t="s">
        <v>42</v>
      </c>
      <c r="F5367" t="s">
        <v>670</v>
      </c>
      <c r="G5367" t="s">
        <v>59</v>
      </c>
      <c r="H5367">
        <v>2024</v>
      </c>
    </row>
    <row r="5368" spans="1:8" x14ac:dyDescent="0.2">
      <c r="A5368">
        <v>258207</v>
      </c>
      <c r="B5368">
        <v>36260</v>
      </c>
      <c r="C5368" t="str">
        <f t="shared" si="83"/>
        <v>3. $50K-250K</v>
      </c>
      <c r="D5368" t="s">
        <v>884</v>
      </c>
      <c r="E5368" t="s">
        <v>42</v>
      </c>
      <c r="F5368" t="s">
        <v>670</v>
      </c>
      <c r="G5368" t="s">
        <v>59</v>
      </c>
      <c r="H5368">
        <v>2024</v>
      </c>
    </row>
    <row r="5369" spans="1:8" x14ac:dyDescent="0.2">
      <c r="A5369">
        <v>258208</v>
      </c>
      <c r="B5369">
        <v>11500</v>
      </c>
      <c r="C5369" t="str">
        <f t="shared" si="83"/>
        <v>2. $10K-50K</v>
      </c>
      <c r="D5369" t="s">
        <v>1581</v>
      </c>
      <c r="E5369" t="s">
        <v>42</v>
      </c>
      <c r="F5369" t="s">
        <v>670</v>
      </c>
      <c r="G5369" t="s">
        <v>59</v>
      </c>
      <c r="H5369">
        <v>2024</v>
      </c>
    </row>
    <row r="5370" spans="1:8" x14ac:dyDescent="0.2">
      <c r="A5370">
        <v>258210</v>
      </c>
      <c r="B5370">
        <v>29404.1</v>
      </c>
      <c r="C5370" t="str">
        <f t="shared" si="83"/>
        <v>2. $10K-50K</v>
      </c>
      <c r="D5370" t="s">
        <v>687</v>
      </c>
      <c r="E5370" t="s">
        <v>42</v>
      </c>
      <c r="F5370" t="s">
        <v>670</v>
      </c>
      <c r="G5370" t="s">
        <v>59</v>
      </c>
      <c r="H5370">
        <v>2024</v>
      </c>
    </row>
    <row r="5371" spans="1:8" x14ac:dyDescent="0.2">
      <c r="A5371">
        <v>258211</v>
      </c>
      <c r="B5371">
        <v>84942.2</v>
      </c>
      <c r="C5371" t="str">
        <f t="shared" si="83"/>
        <v>2. $10K-50K</v>
      </c>
      <c r="D5371" t="s">
        <v>391</v>
      </c>
      <c r="E5371" t="s">
        <v>42</v>
      </c>
      <c r="F5371" t="s">
        <v>670</v>
      </c>
      <c r="G5371" t="s">
        <v>59</v>
      </c>
      <c r="H5371">
        <v>2024</v>
      </c>
    </row>
    <row r="5372" spans="1:8" x14ac:dyDescent="0.2">
      <c r="A5372">
        <v>258238</v>
      </c>
      <c r="B5372">
        <v>558552.1</v>
      </c>
      <c r="C5372" t="str">
        <f t="shared" si="83"/>
        <v>3. $50K-250K</v>
      </c>
      <c r="D5372" t="s">
        <v>697</v>
      </c>
      <c r="E5372" t="s">
        <v>237</v>
      </c>
      <c r="F5372" t="s">
        <v>670</v>
      </c>
      <c r="G5372" t="s">
        <v>59</v>
      </c>
      <c r="H5372">
        <v>2024</v>
      </c>
    </row>
    <row r="5373" spans="1:8" x14ac:dyDescent="0.2">
      <c r="A5373">
        <v>258243</v>
      </c>
      <c r="B5373">
        <v>696939.7</v>
      </c>
      <c r="C5373" t="str">
        <f t="shared" si="83"/>
        <v>4. $250K-1M</v>
      </c>
      <c r="D5373" t="s">
        <v>707</v>
      </c>
      <c r="E5373" t="s">
        <v>237</v>
      </c>
      <c r="F5373" t="s">
        <v>670</v>
      </c>
      <c r="G5373" t="s">
        <v>59</v>
      </c>
      <c r="H5373">
        <v>2024</v>
      </c>
    </row>
    <row r="5374" spans="1:8" x14ac:dyDescent="0.2">
      <c r="A5374">
        <v>258244</v>
      </c>
      <c r="B5374">
        <v>513245.5</v>
      </c>
      <c r="C5374" t="str">
        <f t="shared" si="83"/>
        <v>4. $250K-1M</v>
      </c>
      <c r="D5374" t="s">
        <v>707</v>
      </c>
      <c r="E5374" t="s">
        <v>237</v>
      </c>
      <c r="F5374" t="s">
        <v>670</v>
      </c>
      <c r="G5374" t="s">
        <v>59</v>
      </c>
      <c r="H5374">
        <v>2024</v>
      </c>
    </row>
    <row r="5375" spans="1:8" x14ac:dyDescent="0.2">
      <c r="A5375">
        <v>258245</v>
      </c>
      <c r="B5375">
        <v>695221</v>
      </c>
      <c r="C5375" t="str">
        <f t="shared" si="83"/>
        <v>4. $250K-1M</v>
      </c>
      <c r="D5375" t="s">
        <v>762</v>
      </c>
      <c r="E5375" t="s">
        <v>237</v>
      </c>
      <c r="F5375" t="s">
        <v>670</v>
      </c>
      <c r="G5375" t="s">
        <v>59</v>
      </c>
      <c r="H5375">
        <v>2024</v>
      </c>
    </row>
    <row r="5376" spans="1:8" x14ac:dyDescent="0.2">
      <c r="A5376">
        <v>258246</v>
      </c>
      <c r="B5376">
        <v>286265.3</v>
      </c>
      <c r="C5376" t="str">
        <f t="shared" si="83"/>
        <v>4. $250K-1M</v>
      </c>
      <c r="D5376" t="s">
        <v>907</v>
      </c>
      <c r="E5376" t="s">
        <v>237</v>
      </c>
      <c r="F5376" t="s">
        <v>670</v>
      </c>
      <c r="G5376" t="s">
        <v>59</v>
      </c>
      <c r="H5376">
        <v>2024</v>
      </c>
    </row>
    <row r="5377" spans="1:8" x14ac:dyDescent="0.2">
      <c r="A5377">
        <v>258269</v>
      </c>
      <c r="B5377">
        <v>213613.3</v>
      </c>
      <c r="C5377" t="str">
        <f t="shared" si="83"/>
        <v>4. $250K-1M</v>
      </c>
      <c r="D5377" t="s">
        <v>707</v>
      </c>
      <c r="E5377" t="s">
        <v>237</v>
      </c>
      <c r="F5377" t="s">
        <v>670</v>
      </c>
      <c r="G5377" t="s">
        <v>59</v>
      </c>
      <c r="H5377">
        <v>2024</v>
      </c>
    </row>
    <row r="5378" spans="1:8" x14ac:dyDescent="0.2">
      <c r="A5378">
        <v>258565</v>
      </c>
      <c r="B5378">
        <v>1964928</v>
      </c>
      <c r="C5378" t="str">
        <f t="shared" si="83"/>
        <v>3. $50K-250K</v>
      </c>
      <c r="D5378" t="s">
        <v>917</v>
      </c>
      <c r="E5378" t="s">
        <v>237</v>
      </c>
      <c r="F5378" t="s">
        <v>670</v>
      </c>
      <c r="G5378" t="s">
        <v>59</v>
      </c>
      <c r="H5378">
        <v>2024</v>
      </c>
    </row>
    <row r="5379" spans="1:8" x14ac:dyDescent="0.2">
      <c r="A5379">
        <v>258567</v>
      </c>
      <c r="B5379">
        <v>465000</v>
      </c>
      <c r="C5379" t="str">
        <f t="shared" ref="C5379:C5442" si="84">IF(B5378&lt;10000,"1. Under $10K",IF(B5378&lt;50000,"2. $10K-50K",IF(B5378&lt;250000,"3. $50K-250K",IF(B5378&lt;1000000,"4. $250K-1M","5. $1M+"))))</f>
        <v>5. $1M+</v>
      </c>
      <c r="D5379" t="s">
        <v>925</v>
      </c>
      <c r="E5379" t="s">
        <v>237</v>
      </c>
      <c r="F5379" t="s">
        <v>670</v>
      </c>
      <c r="G5379" t="s">
        <v>59</v>
      </c>
      <c r="H5379">
        <v>2024</v>
      </c>
    </row>
    <row r="5380" spans="1:8" x14ac:dyDescent="0.2">
      <c r="A5380">
        <v>258569</v>
      </c>
      <c r="B5380">
        <v>69000</v>
      </c>
      <c r="C5380" t="str">
        <f t="shared" si="84"/>
        <v>4. $250K-1M</v>
      </c>
      <c r="D5380" t="s">
        <v>1175</v>
      </c>
      <c r="E5380" t="s">
        <v>237</v>
      </c>
      <c r="F5380" t="s">
        <v>670</v>
      </c>
      <c r="G5380" t="s">
        <v>59</v>
      </c>
      <c r="H5380">
        <v>2024</v>
      </c>
    </row>
    <row r="5381" spans="1:8" x14ac:dyDescent="0.2">
      <c r="A5381">
        <v>258570</v>
      </c>
      <c r="B5381">
        <v>207000</v>
      </c>
      <c r="C5381" t="str">
        <f t="shared" si="84"/>
        <v>3. $50K-250K</v>
      </c>
      <c r="D5381" t="s">
        <v>783</v>
      </c>
      <c r="E5381" t="s">
        <v>237</v>
      </c>
      <c r="F5381" t="s">
        <v>670</v>
      </c>
      <c r="G5381" t="s">
        <v>59</v>
      </c>
      <c r="H5381">
        <v>2024</v>
      </c>
    </row>
    <row r="5382" spans="1:8" x14ac:dyDescent="0.2">
      <c r="A5382">
        <v>258571</v>
      </c>
      <c r="B5382">
        <v>207000</v>
      </c>
      <c r="C5382" t="str">
        <f t="shared" si="84"/>
        <v>3. $50K-250K</v>
      </c>
      <c r="D5382" t="s">
        <v>1073</v>
      </c>
      <c r="E5382" t="s">
        <v>237</v>
      </c>
      <c r="F5382" t="s">
        <v>670</v>
      </c>
      <c r="G5382" t="s">
        <v>59</v>
      </c>
      <c r="H5382">
        <v>2024</v>
      </c>
    </row>
    <row r="5383" spans="1:8" x14ac:dyDescent="0.2">
      <c r="A5383">
        <v>258573</v>
      </c>
      <c r="B5383">
        <v>450000</v>
      </c>
      <c r="C5383" t="str">
        <f t="shared" si="84"/>
        <v>3. $50K-250K</v>
      </c>
      <c r="D5383" t="s">
        <v>924</v>
      </c>
      <c r="E5383" t="s">
        <v>237</v>
      </c>
      <c r="F5383" t="s">
        <v>670</v>
      </c>
      <c r="G5383" t="s">
        <v>59</v>
      </c>
      <c r="H5383">
        <v>2024</v>
      </c>
    </row>
    <row r="5384" spans="1:8" x14ac:dyDescent="0.2">
      <c r="A5384">
        <v>258578</v>
      </c>
      <c r="B5384">
        <v>480000</v>
      </c>
      <c r="C5384" t="str">
        <f t="shared" si="84"/>
        <v>4. $250K-1M</v>
      </c>
      <c r="D5384" t="s">
        <v>1086</v>
      </c>
      <c r="E5384" t="s">
        <v>42</v>
      </c>
      <c r="F5384" t="s">
        <v>670</v>
      </c>
      <c r="G5384" t="s">
        <v>59</v>
      </c>
      <c r="H5384">
        <v>2024</v>
      </c>
    </row>
    <row r="5385" spans="1:8" x14ac:dyDescent="0.2">
      <c r="A5385">
        <v>258582</v>
      </c>
      <c r="B5385">
        <v>240000</v>
      </c>
      <c r="C5385" t="str">
        <f t="shared" si="84"/>
        <v>4. $250K-1M</v>
      </c>
      <c r="D5385" t="s">
        <v>1002</v>
      </c>
      <c r="E5385" t="s">
        <v>42</v>
      </c>
      <c r="F5385" t="s">
        <v>670</v>
      </c>
      <c r="G5385" t="s">
        <v>59</v>
      </c>
      <c r="H5385">
        <v>2024</v>
      </c>
    </row>
    <row r="5386" spans="1:8" x14ac:dyDescent="0.2">
      <c r="A5386">
        <v>258584</v>
      </c>
      <c r="B5386">
        <v>217636.4</v>
      </c>
      <c r="C5386" t="str">
        <f t="shared" si="84"/>
        <v>3. $50K-250K</v>
      </c>
      <c r="D5386" t="s">
        <v>1000</v>
      </c>
      <c r="E5386" t="s">
        <v>42</v>
      </c>
      <c r="F5386" t="s">
        <v>670</v>
      </c>
      <c r="G5386" t="s">
        <v>59</v>
      </c>
      <c r="H5386">
        <v>2024</v>
      </c>
    </row>
    <row r="5387" spans="1:8" x14ac:dyDescent="0.2">
      <c r="A5387">
        <v>258585</v>
      </c>
      <c r="B5387">
        <v>360000</v>
      </c>
      <c r="C5387" t="str">
        <f t="shared" si="84"/>
        <v>3. $50K-250K</v>
      </c>
      <c r="D5387" t="s">
        <v>822</v>
      </c>
      <c r="E5387" t="s">
        <v>42</v>
      </c>
      <c r="F5387" t="s">
        <v>670</v>
      </c>
      <c r="G5387" t="s">
        <v>59</v>
      </c>
      <c r="H5387">
        <v>2024</v>
      </c>
    </row>
    <row r="5388" spans="1:8" x14ac:dyDescent="0.2">
      <c r="A5388">
        <v>258586</v>
      </c>
      <c r="B5388">
        <v>422051.5</v>
      </c>
      <c r="C5388" t="str">
        <f t="shared" si="84"/>
        <v>4. $250K-1M</v>
      </c>
      <c r="D5388" t="s">
        <v>821</v>
      </c>
      <c r="E5388" t="s">
        <v>42</v>
      </c>
      <c r="F5388" t="s">
        <v>670</v>
      </c>
      <c r="G5388" t="s">
        <v>59</v>
      </c>
      <c r="H5388">
        <v>2024</v>
      </c>
    </row>
    <row r="5389" spans="1:8" x14ac:dyDescent="0.2">
      <c r="A5389">
        <v>258587</v>
      </c>
      <c r="B5389">
        <v>229165.7</v>
      </c>
      <c r="C5389" t="str">
        <f t="shared" si="84"/>
        <v>4. $250K-1M</v>
      </c>
      <c r="D5389" t="s">
        <v>1004</v>
      </c>
      <c r="E5389" t="s">
        <v>42</v>
      </c>
      <c r="F5389" t="s">
        <v>670</v>
      </c>
      <c r="G5389" t="s">
        <v>59</v>
      </c>
      <c r="H5389">
        <v>2024</v>
      </c>
    </row>
    <row r="5390" spans="1:8" x14ac:dyDescent="0.2">
      <c r="A5390">
        <v>258590</v>
      </c>
      <c r="B5390">
        <v>353619.9</v>
      </c>
      <c r="C5390" t="str">
        <f t="shared" si="84"/>
        <v>3. $50K-250K</v>
      </c>
      <c r="D5390" t="s">
        <v>1022</v>
      </c>
      <c r="E5390" t="s">
        <v>42</v>
      </c>
      <c r="F5390" t="s">
        <v>670</v>
      </c>
      <c r="G5390" t="s">
        <v>59</v>
      </c>
      <c r="H5390">
        <v>2024</v>
      </c>
    </row>
    <row r="5391" spans="1:8" x14ac:dyDescent="0.2">
      <c r="A5391">
        <v>258594</v>
      </c>
      <c r="B5391">
        <v>345466.1</v>
      </c>
      <c r="C5391" t="str">
        <f t="shared" si="84"/>
        <v>4. $250K-1M</v>
      </c>
      <c r="D5391" t="s">
        <v>794</v>
      </c>
      <c r="E5391" t="s">
        <v>42</v>
      </c>
      <c r="F5391" t="s">
        <v>670</v>
      </c>
      <c r="G5391" t="s">
        <v>59</v>
      </c>
      <c r="H5391">
        <v>2024</v>
      </c>
    </row>
    <row r="5392" spans="1:8" x14ac:dyDescent="0.2">
      <c r="A5392">
        <v>258595</v>
      </c>
      <c r="B5392">
        <v>233785.1</v>
      </c>
      <c r="C5392" t="str">
        <f t="shared" si="84"/>
        <v>4. $250K-1M</v>
      </c>
      <c r="D5392" t="s">
        <v>793</v>
      </c>
      <c r="E5392" t="s">
        <v>42</v>
      </c>
      <c r="F5392" t="s">
        <v>670</v>
      </c>
      <c r="G5392" t="s">
        <v>59</v>
      </c>
      <c r="H5392">
        <v>2024</v>
      </c>
    </row>
    <row r="5393" spans="1:8" x14ac:dyDescent="0.2">
      <c r="A5393">
        <v>258596</v>
      </c>
      <c r="B5393">
        <v>69000</v>
      </c>
      <c r="C5393" t="str">
        <f t="shared" si="84"/>
        <v>3. $50K-250K</v>
      </c>
      <c r="D5393" t="s">
        <v>1069</v>
      </c>
      <c r="E5393" t="s">
        <v>237</v>
      </c>
      <c r="F5393" t="s">
        <v>670</v>
      </c>
      <c r="G5393" t="s">
        <v>59</v>
      </c>
      <c r="H5393">
        <v>2024</v>
      </c>
    </row>
    <row r="5394" spans="1:8" x14ac:dyDescent="0.2">
      <c r="A5394">
        <v>258597</v>
      </c>
      <c r="B5394">
        <v>103500</v>
      </c>
      <c r="C5394" t="str">
        <f t="shared" si="84"/>
        <v>3. $50K-250K</v>
      </c>
      <c r="D5394" t="s">
        <v>1069</v>
      </c>
      <c r="E5394" t="s">
        <v>237</v>
      </c>
      <c r="F5394" t="s">
        <v>670</v>
      </c>
      <c r="G5394" t="s">
        <v>59</v>
      </c>
      <c r="H5394">
        <v>2024</v>
      </c>
    </row>
    <row r="5395" spans="1:8" x14ac:dyDescent="0.2">
      <c r="A5395">
        <v>258598</v>
      </c>
      <c r="B5395">
        <v>1538784</v>
      </c>
      <c r="C5395" t="str">
        <f t="shared" si="84"/>
        <v>3. $50K-250K</v>
      </c>
      <c r="D5395" t="s">
        <v>1032</v>
      </c>
      <c r="E5395" t="s">
        <v>237</v>
      </c>
      <c r="F5395" t="s">
        <v>670</v>
      </c>
      <c r="G5395" t="s">
        <v>59</v>
      </c>
      <c r="H5395">
        <v>2024</v>
      </c>
    </row>
    <row r="5396" spans="1:8" x14ac:dyDescent="0.2">
      <c r="A5396">
        <v>258599</v>
      </c>
      <c r="B5396">
        <v>371437.1</v>
      </c>
      <c r="C5396" t="str">
        <f t="shared" si="84"/>
        <v>5. $1M+</v>
      </c>
      <c r="D5396" t="s">
        <v>697</v>
      </c>
      <c r="E5396" t="s">
        <v>237</v>
      </c>
      <c r="F5396" t="s">
        <v>670</v>
      </c>
      <c r="G5396" t="s">
        <v>59</v>
      </c>
      <c r="H5396">
        <v>2024</v>
      </c>
    </row>
    <row r="5397" spans="1:8" x14ac:dyDescent="0.2">
      <c r="A5397">
        <v>258600</v>
      </c>
      <c r="B5397">
        <v>2024454.3</v>
      </c>
      <c r="C5397" t="str">
        <f t="shared" si="84"/>
        <v>4. $250K-1M</v>
      </c>
      <c r="D5397" t="s">
        <v>692</v>
      </c>
      <c r="E5397" t="s">
        <v>237</v>
      </c>
      <c r="F5397" t="s">
        <v>670</v>
      </c>
      <c r="G5397" t="s">
        <v>59</v>
      </c>
      <c r="H5397">
        <v>2024</v>
      </c>
    </row>
    <row r="5398" spans="1:8" x14ac:dyDescent="0.2">
      <c r="A5398">
        <v>258601</v>
      </c>
      <c r="B5398">
        <v>3288849.9</v>
      </c>
      <c r="C5398" t="str">
        <f t="shared" si="84"/>
        <v>5. $1M+</v>
      </c>
      <c r="D5398" t="s">
        <v>692</v>
      </c>
      <c r="E5398" t="s">
        <v>237</v>
      </c>
      <c r="F5398" t="s">
        <v>670</v>
      </c>
      <c r="G5398" t="s">
        <v>59</v>
      </c>
      <c r="H5398">
        <v>2024</v>
      </c>
    </row>
    <row r="5399" spans="1:8" x14ac:dyDescent="0.2">
      <c r="A5399">
        <v>258602</v>
      </c>
      <c r="B5399">
        <v>496499.7</v>
      </c>
      <c r="C5399" t="str">
        <f t="shared" si="84"/>
        <v>5. $1M+</v>
      </c>
      <c r="D5399" t="s">
        <v>700</v>
      </c>
      <c r="E5399" t="s">
        <v>237</v>
      </c>
      <c r="F5399" t="s">
        <v>670</v>
      </c>
      <c r="G5399" t="s">
        <v>59</v>
      </c>
      <c r="H5399">
        <v>2024</v>
      </c>
    </row>
    <row r="5400" spans="1:8" x14ac:dyDescent="0.2">
      <c r="A5400">
        <v>258603</v>
      </c>
      <c r="B5400">
        <v>69000</v>
      </c>
      <c r="C5400" t="str">
        <f t="shared" si="84"/>
        <v>4. $250K-1M</v>
      </c>
      <c r="D5400" t="s">
        <v>1046</v>
      </c>
      <c r="E5400" t="s">
        <v>237</v>
      </c>
      <c r="F5400" t="s">
        <v>670</v>
      </c>
      <c r="G5400" t="s">
        <v>59</v>
      </c>
      <c r="H5400">
        <v>2024</v>
      </c>
    </row>
    <row r="5401" spans="1:8" x14ac:dyDescent="0.2">
      <c r="A5401">
        <v>258604</v>
      </c>
      <c r="B5401">
        <v>69000</v>
      </c>
      <c r="C5401" t="str">
        <f t="shared" si="84"/>
        <v>3. $50K-250K</v>
      </c>
      <c r="D5401" t="s">
        <v>892</v>
      </c>
      <c r="E5401" t="s">
        <v>237</v>
      </c>
      <c r="F5401" t="s">
        <v>670</v>
      </c>
      <c r="G5401" t="s">
        <v>59</v>
      </c>
      <c r="H5401">
        <v>2024</v>
      </c>
    </row>
    <row r="5402" spans="1:8" x14ac:dyDescent="0.2">
      <c r="A5402">
        <v>258605</v>
      </c>
      <c r="B5402">
        <v>483000</v>
      </c>
      <c r="C5402" t="str">
        <f t="shared" si="84"/>
        <v>3. $50K-250K</v>
      </c>
      <c r="D5402" t="s">
        <v>799</v>
      </c>
      <c r="E5402" t="s">
        <v>237</v>
      </c>
      <c r="F5402" t="s">
        <v>670</v>
      </c>
      <c r="G5402" t="s">
        <v>59</v>
      </c>
      <c r="H5402">
        <v>2024</v>
      </c>
    </row>
    <row r="5403" spans="1:8" x14ac:dyDescent="0.2">
      <c r="A5403">
        <v>258606</v>
      </c>
      <c r="B5403">
        <v>420864</v>
      </c>
      <c r="C5403" t="str">
        <f t="shared" si="84"/>
        <v>4. $250K-1M</v>
      </c>
      <c r="D5403" t="s">
        <v>712</v>
      </c>
      <c r="E5403" t="s">
        <v>237</v>
      </c>
      <c r="F5403" t="s">
        <v>670</v>
      </c>
      <c r="G5403" t="s">
        <v>59</v>
      </c>
      <c r="H5403">
        <v>2024</v>
      </c>
    </row>
    <row r="5404" spans="1:8" x14ac:dyDescent="0.2">
      <c r="A5404">
        <v>258608</v>
      </c>
      <c r="B5404">
        <v>14400</v>
      </c>
      <c r="C5404" t="str">
        <f t="shared" si="84"/>
        <v>4. $250K-1M</v>
      </c>
      <c r="D5404" t="s">
        <v>812</v>
      </c>
      <c r="E5404" t="s">
        <v>237</v>
      </c>
      <c r="F5404" t="s">
        <v>670</v>
      </c>
      <c r="G5404" t="s">
        <v>59</v>
      </c>
      <c r="H5404">
        <v>2024</v>
      </c>
    </row>
    <row r="5405" spans="1:8" x14ac:dyDescent="0.2">
      <c r="A5405">
        <v>258609</v>
      </c>
      <c r="B5405">
        <v>10288.700000000001</v>
      </c>
      <c r="C5405" t="str">
        <f t="shared" si="84"/>
        <v>2. $10K-50K</v>
      </c>
      <c r="D5405" t="s">
        <v>875</v>
      </c>
      <c r="E5405" t="s">
        <v>237</v>
      </c>
      <c r="F5405" t="s">
        <v>670</v>
      </c>
      <c r="G5405" t="s">
        <v>59</v>
      </c>
      <c r="H5405">
        <v>2024</v>
      </c>
    </row>
    <row r="5406" spans="1:8" x14ac:dyDescent="0.2">
      <c r="A5406">
        <v>258611</v>
      </c>
      <c r="B5406">
        <v>240000</v>
      </c>
      <c r="C5406" t="str">
        <f t="shared" si="84"/>
        <v>2. $10K-50K</v>
      </c>
      <c r="D5406" t="s">
        <v>783</v>
      </c>
      <c r="E5406" t="s">
        <v>42</v>
      </c>
      <c r="F5406" t="s">
        <v>670</v>
      </c>
      <c r="G5406" t="s">
        <v>59</v>
      </c>
      <c r="H5406">
        <v>2024</v>
      </c>
    </row>
    <row r="5407" spans="1:8" x14ac:dyDescent="0.2">
      <c r="A5407">
        <v>258659</v>
      </c>
      <c r="B5407">
        <v>24965</v>
      </c>
      <c r="C5407" t="str">
        <f t="shared" si="84"/>
        <v>3. $50K-250K</v>
      </c>
      <c r="D5407" t="s">
        <v>810</v>
      </c>
      <c r="E5407" t="s">
        <v>42</v>
      </c>
      <c r="F5407" t="s">
        <v>670</v>
      </c>
      <c r="G5407" t="s">
        <v>59</v>
      </c>
      <c r="H5407">
        <v>2024</v>
      </c>
    </row>
    <row r="5408" spans="1:8" x14ac:dyDescent="0.2">
      <c r="A5408">
        <v>258709</v>
      </c>
      <c r="B5408">
        <v>422946.3</v>
      </c>
      <c r="C5408" t="str">
        <f t="shared" si="84"/>
        <v>2. $10K-50K</v>
      </c>
      <c r="D5408" t="s">
        <v>983</v>
      </c>
      <c r="E5408" t="s">
        <v>237</v>
      </c>
      <c r="F5408" t="s">
        <v>670</v>
      </c>
      <c r="G5408" t="s">
        <v>59</v>
      </c>
      <c r="H5408">
        <v>2024</v>
      </c>
    </row>
    <row r="5409" spans="1:8" x14ac:dyDescent="0.2">
      <c r="A5409">
        <v>258710</v>
      </c>
      <c r="B5409">
        <v>467665</v>
      </c>
      <c r="C5409" t="str">
        <f t="shared" si="84"/>
        <v>4. $250K-1M</v>
      </c>
      <c r="D5409" t="s">
        <v>575</v>
      </c>
      <c r="E5409" t="s">
        <v>237</v>
      </c>
      <c r="F5409" t="s">
        <v>670</v>
      </c>
      <c r="G5409" t="s">
        <v>59</v>
      </c>
      <c r="H5409">
        <v>2024</v>
      </c>
    </row>
    <row r="5410" spans="1:8" x14ac:dyDescent="0.2">
      <c r="A5410">
        <v>258711</v>
      </c>
      <c r="B5410">
        <v>338777.2</v>
      </c>
      <c r="C5410" t="str">
        <f t="shared" si="84"/>
        <v>4. $250K-1M</v>
      </c>
      <c r="D5410" t="s">
        <v>925</v>
      </c>
      <c r="E5410" t="s">
        <v>237</v>
      </c>
      <c r="F5410" t="s">
        <v>670</v>
      </c>
      <c r="G5410" t="s">
        <v>59</v>
      </c>
      <c r="H5410">
        <v>2024</v>
      </c>
    </row>
    <row r="5411" spans="1:8" x14ac:dyDescent="0.2">
      <c r="A5411">
        <v>258712</v>
      </c>
      <c r="B5411">
        <v>459920.3</v>
      </c>
      <c r="C5411" t="str">
        <f t="shared" si="84"/>
        <v>4. $250K-1M</v>
      </c>
      <c r="D5411" t="s">
        <v>783</v>
      </c>
      <c r="E5411" t="s">
        <v>237</v>
      </c>
      <c r="F5411" t="s">
        <v>670</v>
      </c>
      <c r="G5411" t="s">
        <v>59</v>
      </c>
      <c r="H5411">
        <v>2024</v>
      </c>
    </row>
    <row r="5412" spans="1:8" x14ac:dyDescent="0.2">
      <c r="A5412">
        <v>258713</v>
      </c>
      <c r="B5412">
        <v>499930.5</v>
      </c>
      <c r="C5412" t="str">
        <f t="shared" si="84"/>
        <v>4. $250K-1M</v>
      </c>
      <c r="D5412" t="s">
        <v>717</v>
      </c>
      <c r="E5412" t="s">
        <v>237</v>
      </c>
      <c r="F5412" t="s">
        <v>670</v>
      </c>
      <c r="G5412" t="s">
        <v>59</v>
      </c>
      <c r="H5412">
        <v>2024</v>
      </c>
    </row>
    <row r="5413" spans="1:8" x14ac:dyDescent="0.2">
      <c r="A5413">
        <v>258714</v>
      </c>
      <c r="B5413">
        <v>491690.2</v>
      </c>
      <c r="C5413" t="str">
        <f t="shared" si="84"/>
        <v>4. $250K-1M</v>
      </c>
      <c r="D5413" t="s">
        <v>984</v>
      </c>
      <c r="E5413" t="s">
        <v>237</v>
      </c>
      <c r="F5413" t="s">
        <v>670</v>
      </c>
      <c r="G5413" t="s">
        <v>59</v>
      </c>
      <c r="H5413">
        <v>2024</v>
      </c>
    </row>
    <row r="5414" spans="1:8" x14ac:dyDescent="0.2">
      <c r="A5414">
        <v>258715</v>
      </c>
      <c r="B5414">
        <v>407424</v>
      </c>
      <c r="C5414" t="str">
        <f t="shared" si="84"/>
        <v>4. $250K-1M</v>
      </c>
      <c r="D5414" t="s">
        <v>989</v>
      </c>
      <c r="E5414" t="s">
        <v>237</v>
      </c>
      <c r="F5414" t="s">
        <v>670</v>
      </c>
      <c r="G5414" t="s">
        <v>59</v>
      </c>
      <c r="H5414">
        <v>2024</v>
      </c>
    </row>
    <row r="5415" spans="1:8" x14ac:dyDescent="0.2">
      <c r="A5415">
        <v>258716</v>
      </c>
      <c r="B5415">
        <v>806311.8</v>
      </c>
      <c r="C5415" t="str">
        <f t="shared" si="84"/>
        <v>4. $250K-1M</v>
      </c>
      <c r="D5415" t="s">
        <v>801</v>
      </c>
      <c r="E5415" t="s">
        <v>237</v>
      </c>
      <c r="F5415" t="s">
        <v>670</v>
      </c>
      <c r="G5415" t="s">
        <v>59</v>
      </c>
      <c r="H5415">
        <v>2024</v>
      </c>
    </row>
    <row r="5416" spans="1:8" x14ac:dyDescent="0.2">
      <c r="A5416">
        <v>258717</v>
      </c>
      <c r="B5416">
        <v>469454</v>
      </c>
      <c r="C5416" t="str">
        <f t="shared" si="84"/>
        <v>4. $250K-1M</v>
      </c>
      <c r="D5416" t="s">
        <v>781</v>
      </c>
      <c r="E5416" t="s">
        <v>237</v>
      </c>
      <c r="F5416" t="s">
        <v>670</v>
      </c>
      <c r="G5416" t="s">
        <v>59</v>
      </c>
      <c r="H5416">
        <v>2024</v>
      </c>
    </row>
    <row r="5417" spans="1:8" x14ac:dyDescent="0.2">
      <c r="A5417">
        <v>258718</v>
      </c>
      <c r="B5417">
        <v>473891.1</v>
      </c>
      <c r="C5417" t="str">
        <f t="shared" si="84"/>
        <v>4. $250K-1M</v>
      </c>
      <c r="D5417" t="s">
        <v>985</v>
      </c>
      <c r="E5417" t="s">
        <v>237</v>
      </c>
      <c r="F5417" t="s">
        <v>670</v>
      </c>
      <c r="G5417" t="s">
        <v>59</v>
      </c>
      <c r="H5417">
        <v>2024</v>
      </c>
    </row>
    <row r="5418" spans="1:8" x14ac:dyDescent="0.2">
      <c r="A5418">
        <v>258719</v>
      </c>
      <c r="B5418">
        <v>755989.3</v>
      </c>
      <c r="C5418" t="str">
        <f t="shared" si="84"/>
        <v>4. $250K-1M</v>
      </c>
      <c r="D5418" t="s">
        <v>708</v>
      </c>
      <c r="E5418" t="s">
        <v>237</v>
      </c>
      <c r="F5418" t="s">
        <v>670</v>
      </c>
      <c r="G5418" t="s">
        <v>59</v>
      </c>
      <c r="H5418">
        <v>2024</v>
      </c>
    </row>
    <row r="5419" spans="1:8" x14ac:dyDescent="0.2">
      <c r="A5419">
        <v>258720</v>
      </c>
      <c r="B5419">
        <v>490383.6</v>
      </c>
      <c r="C5419" t="str">
        <f t="shared" si="84"/>
        <v>4. $250K-1M</v>
      </c>
      <c r="D5419" t="s">
        <v>980</v>
      </c>
      <c r="E5419" t="s">
        <v>237</v>
      </c>
      <c r="F5419" t="s">
        <v>670</v>
      </c>
      <c r="G5419" t="s">
        <v>59</v>
      </c>
      <c r="H5419">
        <v>2024</v>
      </c>
    </row>
    <row r="5420" spans="1:8" x14ac:dyDescent="0.2">
      <c r="A5420">
        <v>258893</v>
      </c>
      <c r="B5420">
        <v>142000</v>
      </c>
      <c r="C5420" t="str">
        <f t="shared" si="84"/>
        <v>4. $250K-1M</v>
      </c>
      <c r="D5420" t="s">
        <v>801</v>
      </c>
      <c r="E5420" t="s">
        <v>237</v>
      </c>
      <c r="F5420" t="s">
        <v>670</v>
      </c>
      <c r="G5420" t="s">
        <v>59</v>
      </c>
      <c r="H5420">
        <v>2024</v>
      </c>
    </row>
    <row r="5421" spans="1:8" x14ac:dyDescent="0.2">
      <c r="A5421">
        <v>258894</v>
      </c>
      <c r="B5421">
        <v>69000</v>
      </c>
      <c r="C5421" t="str">
        <f t="shared" si="84"/>
        <v>3. $50K-250K</v>
      </c>
      <c r="D5421" t="s">
        <v>708</v>
      </c>
      <c r="E5421" t="s">
        <v>237</v>
      </c>
      <c r="F5421" t="s">
        <v>670</v>
      </c>
      <c r="G5421" t="s">
        <v>59</v>
      </c>
      <c r="H5421">
        <v>2024</v>
      </c>
    </row>
    <row r="5422" spans="1:8" x14ac:dyDescent="0.2">
      <c r="A5422">
        <v>258895</v>
      </c>
      <c r="B5422">
        <v>70000</v>
      </c>
      <c r="C5422" t="str">
        <f t="shared" si="84"/>
        <v>3. $50K-250K</v>
      </c>
      <c r="D5422" t="s">
        <v>748</v>
      </c>
      <c r="E5422" t="s">
        <v>237</v>
      </c>
      <c r="F5422" t="s">
        <v>670</v>
      </c>
      <c r="G5422" t="s">
        <v>59</v>
      </c>
      <c r="H5422">
        <v>2024</v>
      </c>
    </row>
    <row r="5423" spans="1:8" x14ac:dyDescent="0.2">
      <c r="A5423">
        <v>258896</v>
      </c>
      <c r="B5423">
        <v>24700</v>
      </c>
      <c r="C5423" t="str">
        <f t="shared" si="84"/>
        <v>3. $50K-250K</v>
      </c>
      <c r="D5423" t="s">
        <v>925</v>
      </c>
      <c r="E5423" t="s">
        <v>237</v>
      </c>
      <c r="F5423" t="s">
        <v>670</v>
      </c>
      <c r="G5423" t="s">
        <v>59</v>
      </c>
      <c r="H5423">
        <v>2024</v>
      </c>
    </row>
    <row r="5424" spans="1:8" x14ac:dyDescent="0.2">
      <c r="A5424">
        <v>258897</v>
      </c>
      <c r="B5424">
        <v>71927</v>
      </c>
      <c r="C5424" t="str">
        <f t="shared" si="84"/>
        <v>2. $10K-50K</v>
      </c>
      <c r="D5424" t="s">
        <v>720</v>
      </c>
      <c r="E5424" t="s">
        <v>237</v>
      </c>
      <c r="F5424" t="s">
        <v>670</v>
      </c>
      <c r="G5424" t="s">
        <v>59</v>
      </c>
      <c r="H5424">
        <v>2024</v>
      </c>
    </row>
    <row r="5425" spans="1:8" x14ac:dyDescent="0.2">
      <c r="A5425">
        <v>258929</v>
      </c>
      <c r="B5425">
        <v>3960</v>
      </c>
      <c r="C5425" t="str">
        <f t="shared" si="84"/>
        <v>3. $50K-250K</v>
      </c>
      <c r="D5425" t="s">
        <v>867</v>
      </c>
      <c r="E5425" t="s">
        <v>237</v>
      </c>
      <c r="F5425" t="s">
        <v>670</v>
      </c>
      <c r="G5425" t="s">
        <v>59</v>
      </c>
      <c r="H5425">
        <v>2024</v>
      </c>
    </row>
    <row r="5426" spans="1:8" x14ac:dyDescent="0.2">
      <c r="A5426">
        <v>258930</v>
      </c>
      <c r="B5426">
        <v>36262.6</v>
      </c>
      <c r="C5426" t="str">
        <f t="shared" si="84"/>
        <v>1. Under $10K</v>
      </c>
      <c r="D5426" t="s">
        <v>867</v>
      </c>
      <c r="E5426" t="s">
        <v>237</v>
      </c>
      <c r="F5426" t="s">
        <v>670</v>
      </c>
      <c r="G5426" t="s">
        <v>59</v>
      </c>
      <c r="H5426">
        <v>2024</v>
      </c>
    </row>
    <row r="5427" spans="1:8" x14ac:dyDescent="0.2">
      <c r="A5427">
        <v>258940</v>
      </c>
      <c r="B5427">
        <v>490097.1</v>
      </c>
      <c r="C5427" t="str">
        <f t="shared" si="84"/>
        <v>2. $10K-50K</v>
      </c>
      <c r="D5427" t="s">
        <v>761</v>
      </c>
      <c r="E5427" t="s">
        <v>237</v>
      </c>
      <c r="F5427" t="s">
        <v>670</v>
      </c>
      <c r="G5427" t="s">
        <v>59</v>
      </c>
      <c r="H5427">
        <v>2024</v>
      </c>
    </row>
    <row r="5428" spans="1:8" x14ac:dyDescent="0.2">
      <c r="A5428">
        <v>258942</v>
      </c>
      <c r="B5428">
        <v>1423643.7</v>
      </c>
      <c r="C5428" t="str">
        <f t="shared" si="84"/>
        <v>4. $250K-1M</v>
      </c>
      <c r="D5428" t="s">
        <v>713</v>
      </c>
      <c r="E5428" t="s">
        <v>237</v>
      </c>
      <c r="F5428" t="s">
        <v>670</v>
      </c>
      <c r="G5428" t="s">
        <v>59</v>
      </c>
      <c r="H5428">
        <v>2024</v>
      </c>
    </row>
    <row r="5429" spans="1:8" x14ac:dyDescent="0.2">
      <c r="A5429">
        <v>258944</v>
      </c>
      <c r="B5429">
        <v>20800</v>
      </c>
      <c r="C5429" t="str">
        <f t="shared" si="84"/>
        <v>5. $1M+</v>
      </c>
      <c r="D5429" t="s">
        <v>832</v>
      </c>
      <c r="E5429" t="s">
        <v>237</v>
      </c>
      <c r="F5429" t="s">
        <v>670</v>
      </c>
      <c r="G5429" t="s">
        <v>59</v>
      </c>
      <c r="H5429">
        <v>2024</v>
      </c>
    </row>
    <row r="5430" spans="1:8" x14ac:dyDescent="0.2">
      <c r="A5430">
        <v>258945</v>
      </c>
      <c r="B5430">
        <v>59150</v>
      </c>
      <c r="C5430" t="str">
        <f t="shared" si="84"/>
        <v>2. $10K-50K</v>
      </c>
      <c r="D5430" t="s">
        <v>832</v>
      </c>
      <c r="E5430" t="s">
        <v>237</v>
      </c>
      <c r="F5430" t="s">
        <v>670</v>
      </c>
      <c r="G5430" t="s">
        <v>59</v>
      </c>
      <c r="H5430">
        <v>2024</v>
      </c>
    </row>
    <row r="5431" spans="1:8" x14ac:dyDescent="0.2">
      <c r="A5431">
        <v>258946</v>
      </c>
      <c r="B5431">
        <v>437504</v>
      </c>
      <c r="C5431" t="str">
        <f t="shared" si="84"/>
        <v>3. $50K-250K</v>
      </c>
      <c r="D5431" t="s">
        <v>832</v>
      </c>
      <c r="E5431" t="s">
        <v>237</v>
      </c>
      <c r="F5431" t="s">
        <v>670</v>
      </c>
      <c r="G5431" t="s">
        <v>59</v>
      </c>
      <c r="H5431">
        <v>2024</v>
      </c>
    </row>
    <row r="5432" spans="1:8" x14ac:dyDescent="0.2">
      <c r="A5432">
        <v>258947</v>
      </c>
      <c r="B5432">
        <v>1020952</v>
      </c>
      <c r="C5432" t="str">
        <f t="shared" si="84"/>
        <v>4. $250K-1M</v>
      </c>
      <c r="D5432" t="s">
        <v>711</v>
      </c>
      <c r="E5432" t="s">
        <v>237</v>
      </c>
      <c r="F5432" t="s">
        <v>670</v>
      </c>
      <c r="G5432" t="s">
        <v>59</v>
      </c>
      <c r="H5432">
        <v>2024</v>
      </c>
    </row>
    <row r="5433" spans="1:8" x14ac:dyDescent="0.2">
      <c r="A5433">
        <v>258948</v>
      </c>
      <c r="B5433">
        <v>1203414.3</v>
      </c>
      <c r="C5433" t="str">
        <f t="shared" si="84"/>
        <v>5. $1M+</v>
      </c>
      <c r="D5433" t="s">
        <v>41</v>
      </c>
      <c r="E5433" t="s">
        <v>237</v>
      </c>
      <c r="F5433" t="s">
        <v>670</v>
      </c>
      <c r="G5433" t="s">
        <v>59</v>
      </c>
      <c r="H5433">
        <v>2024</v>
      </c>
    </row>
    <row r="5434" spans="1:8" x14ac:dyDescent="0.2">
      <c r="A5434">
        <v>258949</v>
      </c>
      <c r="B5434">
        <v>664564.69999999995</v>
      </c>
      <c r="C5434" t="str">
        <f t="shared" si="84"/>
        <v>5. $1M+</v>
      </c>
      <c r="D5434" t="s">
        <v>41</v>
      </c>
      <c r="E5434" t="s">
        <v>237</v>
      </c>
      <c r="F5434" t="s">
        <v>670</v>
      </c>
      <c r="G5434" t="s">
        <v>59</v>
      </c>
      <c r="H5434">
        <v>2024</v>
      </c>
    </row>
    <row r="5435" spans="1:8" x14ac:dyDescent="0.2">
      <c r="A5435">
        <v>258953</v>
      </c>
      <c r="B5435">
        <v>6674744</v>
      </c>
      <c r="C5435" t="str">
        <f t="shared" si="84"/>
        <v>4. $250K-1M</v>
      </c>
      <c r="D5435" t="s">
        <v>859</v>
      </c>
      <c r="E5435" t="s">
        <v>99</v>
      </c>
      <c r="F5435" t="s">
        <v>668</v>
      </c>
      <c r="G5435" t="s">
        <v>59</v>
      </c>
      <c r="H5435">
        <v>2024</v>
      </c>
    </row>
    <row r="5436" spans="1:8" x14ac:dyDescent="0.2">
      <c r="A5436">
        <v>258954</v>
      </c>
      <c r="B5436">
        <v>1206070.8</v>
      </c>
      <c r="C5436" t="str">
        <f t="shared" si="84"/>
        <v>5. $1M+</v>
      </c>
      <c r="D5436" t="s">
        <v>696</v>
      </c>
      <c r="E5436" t="s">
        <v>237</v>
      </c>
      <c r="F5436" t="s">
        <v>670</v>
      </c>
      <c r="G5436" t="s">
        <v>59</v>
      </c>
      <c r="H5436">
        <v>2024</v>
      </c>
    </row>
    <row r="5437" spans="1:8" x14ac:dyDescent="0.2">
      <c r="A5437">
        <v>258955</v>
      </c>
      <c r="B5437">
        <v>3339456.2</v>
      </c>
      <c r="C5437" t="str">
        <f t="shared" si="84"/>
        <v>5. $1M+</v>
      </c>
      <c r="D5437" t="s">
        <v>704</v>
      </c>
      <c r="E5437" t="s">
        <v>237</v>
      </c>
      <c r="F5437" t="s">
        <v>670</v>
      </c>
      <c r="G5437" t="s">
        <v>59</v>
      </c>
      <c r="H5437">
        <v>2024</v>
      </c>
    </row>
    <row r="5438" spans="1:8" x14ac:dyDescent="0.2">
      <c r="A5438">
        <v>258959</v>
      </c>
      <c r="B5438">
        <v>8163.2</v>
      </c>
      <c r="C5438" t="str">
        <f t="shared" si="84"/>
        <v>5. $1M+</v>
      </c>
      <c r="D5438" t="s">
        <v>691</v>
      </c>
      <c r="E5438" t="s">
        <v>42</v>
      </c>
      <c r="F5438" t="s">
        <v>670</v>
      </c>
      <c r="G5438" t="s">
        <v>59</v>
      </c>
      <c r="H5438">
        <v>2024</v>
      </c>
    </row>
    <row r="5439" spans="1:8" x14ac:dyDescent="0.2">
      <c r="A5439">
        <v>259077</v>
      </c>
      <c r="B5439">
        <v>298134.3</v>
      </c>
      <c r="C5439" t="str">
        <f t="shared" si="84"/>
        <v>1. Under $10K</v>
      </c>
      <c r="D5439" t="s">
        <v>671</v>
      </c>
      <c r="E5439" t="s">
        <v>42</v>
      </c>
      <c r="F5439" t="s">
        <v>670</v>
      </c>
      <c r="G5439" t="s">
        <v>59</v>
      </c>
      <c r="H5439">
        <v>2024</v>
      </c>
    </row>
    <row r="5440" spans="1:8" x14ac:dyDescent="0.2">
      <c r="A5440">
        <v>259115</v>
      </c>
      <c r="B5440">
        <v>1082000</v>
      </c>
      <c r="C5440" t="str">
        <f t="shared" si="84"/>
        <v>4. $250K-1M</v>
      </c>
      <c r="D5440" t="s">
        <v>230</v>
      </c>
      <c r="E5440" t="s">
        <v>67</v>
      </c>
      <c r="F5440" t="s">
        <v>231</v>
      </c>
      <c r="G5440" t="s">
        <v>232</v>
      </c>
      <c r="H5440">
        <v>2024</v>
      </c>
    </row>
    <row r="5441" spans="1:8" x14ac:dyDescent="0.2">
      <c r="A5441">
        <v>259137</v>
      </c>
      <c r="B5441">
        <v>741511.8</v>
      </c>
      <c r="C5441" t="str">
        <f t="shared" si="84"/>
        <v>5. $1M+</v>
      </c>
      <c r="D5441" t="s">
        <v>910</v>
      </c>
      <c r="E5441" t="s">
        <v>237</v>
      </c>
      <c r="F5441" t="s">
        <v>670</v>
      </c>
      <c r="G5441" t="s">
        <v>59</v>
      </c>
      <c r="H5441">
        <v>2024</v>
      </c>
    </row>
    <row r="5442" spans="1:8" x14ac:dyDescent="0.2">
      <c r="A5442">
        <v>259140</v>
      </c>
      <c r="B5442">
        <v>343040.6</v>
      </c>
      <c r="C5442" t="str">
        <f t="shared" si="84"/>
        <v>4. $250K-1M</v>
      </c>
      <c r="D5442" t="s">
        <v>701</v>
      </c>
      <c r="E5442" t="s">
        <v>42</v>
      </c>
      <c r="F5442" t="s">
        <v>670</v>
      </c>
      <c r="G5442" t="s">
        <v>59</v>
      </c>
      <c r="H5442">
        <v>2024</v>
      </c>
    </row>
    <row r="5443" spans="1:8" x14ac:dyDescent="0.2">
      <c r="A5443">
        <v>259142</v>
      </c>
      <c r="B5443">
        <v>294901.5</v>
      </c>
      <c r="C5443" t="str">
        <f t="shared" ref="C5443:C5506" si="85">IF(B5442&lt;10000,"1. Under $10K",IF(B5442&lt;50000,"2. $10K-50K",IF(B5442&lt;250000,"3. $50K-250K",IF(B5442&lt;1000000,"4. $250K-1M","5. $1M+"))))</f>
        <v>4. $250K-1M</v>
      </c>
      <c r="D5443" t="s">
        <v>694</v>
      </c>
      <c r="E5443" t="s">
        <v>42</v>
      </c>
      <c r="F5443" t="s">
        <v>670</v>
      </c>
      <c r="G5443" t="s">
        <v>59</v>
      </c>
      <c r="H5443">
        <v>2024</v>
      </c>
    </row>
    <row r="5444" spans="1:8" x14ac:dyDescent="0.2">
      <c r="A5444">
        <v>259143</v>
      </c>
      <c r="B5444">
        <v>222288.4</v>
      </c>
      <c r="C5444" t="str">
        <f t="shared" si="85"/>
        <v>4. $250K-1M</v>
      </c>
      <c r="D5444" t="s">
        <v>800</v>
      </c>
      <c r="E5444" t="s">
        <v>237</v>
      </c>
      <c r="F5444" t="s">
        <v>670</v>
      </c>
      <c r="G5444" t="s">
        <v>59</v>
      </c>
      <c r="H5444">
        <v>2024</v>
      </c>
    </row>
    <row r="5445" spans="1:8" x14ac:dyDescent="0.2">
      <c r="A5445">
        <v>259144</v>
      </c>
      <c r="B5445">
        <v>204789.7</v>
      </c>
      <c r="C5445" t="str">
        <f t="shared" si="85"/>
        <v>3. $50K-250K</v>
      </c>
      <c r="D5445" t="s">
        <v>908</v>
      </c>
      <c r="E5445" t="s">
        <v>237</v>
      </c>
      <c r="F5445" t="s">
        <v>670</v>
      </c>
      <c r="G5445" t="s">
        <v>59</v>
      </c>
      <c r="H5445">
        <v>2024</v>
      </c>
    </row>
    <row r="5446" spans="1:8" x14ac:dyDescent="0.2">
      <c r="A5446">
        <v>259145</v>
      </c>
      <c r="B5446">
        <v>217405.2</v>
      </c>
      <c r="C5446" t="str">
        <f t="shared" si="85"/>
        <v>3. $50K-250K</v>
      </c>
      <c r="D5446" t="s">
        <v>883</v>
      </c>
      <c r="E5446" t="s">
        <v>237</v>
      </c>
      <c r="F5446" t="s">
        <v>670</v>
      </c>
      <c r="G5446" t="s">
        <v>59</v>
      </c>
      <c r="H5446">
        <v>2024</v>
      </c>
    </row>
    <row r="5447" spans="1:8" x14ac:dyDescent="0.2">
      <c r="A5447">
        <v>259287</v>
      </c>
      <c r="B5447">
        <v>80000</v>
      </c>
      <c r="C5447" t="str">
        <f t="shared" si="85"/>
        <v>3. $50K-250K</v>
      </c>
      <c r="D5447" t="s">
        <v>2100</v>
      </c>
      <c r="E5447" t="s">
        <v>112</v>
      </c>
      <c r="F5447" t="s">
        <v>668</v>
      </c>
      <c r="G5447" t="s">
        <v>59</v>
      </c>
      <c r="H5447">
        <v>2024</v>
      </c>
    </row>
    <row r="5448" spans="1:8" x14ac:dyDescent="0.2">
      <c r="A5448">
        <v>259296</v>
      </c>
      <c r="B5448">
        <v>18000</v>
      </c>
      <c r="C5448" t="str">
        <f t="shared" si="85"/>
        <v>3. $50K-250K</v>
      </c>
      <c r="D5448" t="s">
        <v>2026</v>
      </c>
      <c r="E5448" t="s">
        <v>112</v>
      </c>
      <c r="F5448" t="s">
        <v>668</v>
      </c>
      <c r="G5448" t="s">
        <v>59</v>
      </c>
      <c r="H5448">
        <v>2024</v>
      </c>
    </row>
    <row r="5449" spans="1:8" x14ac:dyDescent="0.2">
      <c r="A5449">
        <v>259298</v>
      </c>
      <c r="B5449">
        <v>20000</v>
      </c>
      <c r="C5449" t="str">
        <f t="shared" si="85"/>
        <v>2. $10K-50K</v>
      </c>
      <c r="D5449" t="s">
        <v>2101</v>
      </c>
      <c r="E5449" t="s">
        <v>112</v>
      </c>
      <c r="F5449" t="s">
        <v>668</v>
      </c>
      <c r="G5449" t="s">
        <v>59</v>
      </c>
      <c r="H5449">
        <v>2024</v>
      </c>
    </row>
    <row r="5450" spans="1:8" x14ac:dyDescent="0.2">
      <c r="A5450">
        <v>259302</v>
      </c>
      <c r="B5450">
        <v>20000</v>
      </c>
      <c r="C5450" t="str">
        <f t="shared" si="85"/>
        <v>2. $10K-50K</v>
      </c>
      <c r="D5450" t="s">
        <v>2102</v>
      </c>
      <c r="E5450" t="s">
        <v>112</v>
      </c>
      <c r="F5450" t="s">
        <v>668</v>
      </c>
      <c r="G5450" t="s">
        <v>59</v>
      </c>
      <c r="H5450">
        <v>2024</v>
      </c>
    </row>
    <row r="5451" spans="1:8" x14ac:dyDescent="0.2">
      <c r="A5451">
        <v>259305</v>
      </c>
      <c r="B5451">
        <v>18000</v>
      </c>
      <c r="C5451" t="str">
        <f t="shared" si="85"/>
        <v>2. $10K-50K</v>
      </c>
      <c r="D5451" t="s">
        <v>2012</v>
      </c>
      <c r="E5451" t="s">
        <v>112</v>
      </c>
      <c r="F5451" t="s">
        <v>668</v>
      </c>
      <c r="G5451" t="s">
        <v>59</v>
      </c>
      <c r="H5451">
        <v>2024</v>
      </c>
    </row>
    <row r="5452" spans="1:8" x14ac:dyDescent="0.2">
      <c r="A5452">
        <v>259307</v>
      </c>
      <c r="B5452">
        <v>69000</v>
      </c>
      <c r="C5452" t="str">
        <f t="shared" si="85"/>
        <v>2. $10K-50K</v>
      </c>
      <c r="D5452" t="s">
        <v>881</v>
      </c>
      <c r="E5452" t="s">
        <v>237</v>
      </c>
      <c r="F5452" t="s">
        <v>670</v>
      </c>
      <c r="G5452" t="s">
        <v>59</v>
      </c>
      <c r="H5452">
        <v>2024</v>
      </c>
    </row>
    <row r="5453" spans="1:8" x14ac:dyDescent="0.2">
      <c r="A5453">
        <v>259308</v>
      </c>
      <c r="B5453">
        <v>69000</v>
      </c>
      <c r="C5453" t="str">
        <f t="shared" si="85"/>
        <v>3. $50K-250K</v>
      </c>
      <c r="D5453" t="s">
        <v>920</v>
      </c>
      <c r="E5453" t="s">
        <v>237</v>
      </c>
      <c r="F5453" t="s">
        <v>670</v>
      </c>
      <c r="G5453" t="s">
        <v>59</v>
      </c>
      <c r="H5453">
        <v>2024</v>
      </c>
    </row>
    <row r="5454" spans="1:8" x14ac:dyDescent="0.2">
      <c r="A5454">
        <v>259309</v>
      </c>
      <c r="B5454">
        <v>897000</v>
      </c>
      <c r="C5454" t="str">
        <f t="shared" si="85"/>
        <v>3. $50K-250K</v>
      </c>
      <c r="D5454" t="s">
        <v>1084</v>
      </c>
      <c r="E5454" t="s">
        <v>237</v>
      </c>
      <c r="F5454" t="s">
        <v>670</v>
      </c>
      <c r="G5454" t="s">
        <v>59</v>
      </c>
      <c r="H5454">
        <v>2024</v>
      </c>
    </row>
    <row r="5455" spans="1:8" x14ac:dyDescent="0.2">
      <c r="A5455">
        <v>259310</v>
      </c>
      <c r="B5455">
        <v>1035000</v>
      </c>
      <c r="C5455" t="str">
        <f t="shared" si="85"/>
        <v>4. $250K-1M</v>
      </c>
      <c r="D5455" t="s">
        <v>1084</v>
      </c>
      <c r="E5455" t="s">
        <v>237</v>
      </c>
      <c r="F5455" t="s">
        <v>670</v>
      </c>
      <c r="G5455" t="s">
        <v>59</v>
      </c>
      <c r="H5455">
        <v>2024</v>
      </c>
    </row>
    <row r="5456" spans="1:8" x14ac:dyDescent="0.2">
      <c r="A5456">
        <v>259312</v>
      </c>
      <c r="B5456">
        <v>103500</v>
      </c>
      <c r="C5456" t="str">
        <f t="shared" si="85"/>
        <v>5. $1M+</v>
      </c>
      <c r="D5456" t="s">
        <v>1084</v>
      </c>
      <c r="E5456" t="s">
        <v>237</v>
      </c>
      <c r="F5456" t="s">
        <v>670</v>
      </c>
      <c r="G5456" t="s">
        <v>59</v>
      </c>
      <c r="H5456">
        <v>2024</v>
      </c>
    </row>
    <row r="5457" spans="1:8" x14ac:dyDescent="0.2">
      <c r="A5457">
        <v>259313</v>
      </c>
      <c r="B5457">
        <v>414000</v>
      </c>
      <c r="C5457" t="str">
        <f t="shared" si="85"/>
        <v>3. $50K-250K</v>
      </c>
      <c r="D5457" t="s">
        <v>1084</v>
      </c>
      <c r="E5457" t="s">
        <v>237</v>
      </c>
      <c r="F5457" t="s">
        <v>670</v>
      </c>
      <c r="G5457" t="s">
        <v>59</v>
      </c>
      <c r="H5457">
        <v>2024</v>
      </c>
    </row>
    <row r="5458" spans="1:8" x14ac:dyDescent="0.2">
      <c r="A5458">
        <v>259314</v>
      </c>
      <c r="B5458">
        <v>897000</v>
      </c>
      <c r="C5458" t="str">
        <f t="shared" si="85"/>
        <v>4. $250K-1M</v>
      </c>
      <c r="D5458" t="s">
        <v>1084</v>
      </c>
      <c r="E5458" t="s">
        <v>237</v>
      </c>
      <c r="F5458" t="s">
        <v>670</v>
      </c>
      <c r="G5458" t="s">
        <v>59</v>
      </c>
      <c r="H5458">
        <v>2024</v>
      </c>
    </row>
    <row r="5459" spans="1:8" x14ac:dyDescent="0.2">
      <c r="A5459">
        <v>259315</v>
      </c>
      <c r="B5459">
        <v>207000</v>
      </c>
      <c r="C5459" t="str">
        <f t="shared" si="85"/>
        <v>4. $250K-1M</v>
      </c>
      <c r="D5459" t="s">
        <v>1084</v>
      </c>
      <c r="E5459" t="s">
        <v>237</v>
      </c>
      <c r="F5459" t="s">
        <v>670</v>
      </c>
      <c r="G5459" t="s">
        <v>59</v>
      </c>
      <c r="H5459">
        <v>2024</v>
      </c>
    </row>
    <row r="5460" spans="1:8" x14ac:dyDescent="0.2">
      <c r="A5460">
        <v>259316</v>
      </c>
      <c r="B5460">
        <v>69000</v>
      </c>
      <c r="C5460" t="str">
        <f t="shared" si="85"/>
        <v>3. $50K-250K</v>
      </c>
      <c r="D5460" t="s">
        <v>713</v>
      </c>
      <c r="E5460" t="s">
        <v>237</v>
      </c>
      <c r="F5460" t="s">
        <v>670</v>
      </c>
      <c r="G5460" t="s">
        <v>59</v>
      </c>
      <c r="H5460">
        <v>2024</v>
      </c>
    </row>
    <row r="5461" spans="1:8" x14ac:dyDescent="0.2">
      <c r="A5461">
        <v>259317</v>
      </c>
      <c r="B5461">
        <v>69000</v>
      </c>
      <c r="C5461" t="str">
        <f t="shared" si="85"/>
        <v>3. $50K-250K</v>
      </c>
      <c r="D5461" t="s">
        <v>1180</v>
      </c>
      <c r="E5461" t="s">
        <v>237</v>
      </c>
      <c r="F5461" t="s">
        <v>670</v>
      </c>
      <c r="G5461" t="s">
        <v>59</v>
      </c>
      <c r="H5461">
        <v>2024</v>
      </c>
    </row>
    <row r="5462" spans="1:8" x14ac:dyDescent="0.2">
      <c r="A5462">
        <v>259319</v>
      </c>
      <c r="B5462">
        <v>100000</v>
      </c>
      <c r="C5462" t="str">
        <f t="shared" si="85"/>
        <v>3. $50K-250K</v>
      </c>
      <c r="D5462" t="s">
        <v>2103</v>
      </c>
      <c r="E5462" t="s">
        <v>112</v>
      </c>
      <c r="F5462" t="s">
        <v>668</v>
      </c>
      <c r="G5462" t="s">
        <v>59</v>
      </c>
      <c r="H5462">
        <v>2024</v>
      </c>
    </row>
    <row r="5463" spans="1:8" x14ac:dyDescent="0.2">
      <c r="A5463">
        <v>259322</v>
      </c>
      <c r="B5463">
        <v>6000</v>
      </c>
      <c r="C5463" t="str">
        <f t="shared" si="85"/>
        <v>3. $50K-250K</v>
      </c>
      <c r="D5463" t="s">
        <v>2104</v>
      </c>
      <c r="E5463" t="s">
        <v>112</v>
      </c>
      <c r="F5463" t="s">
        <v>668</v>
      </c>
      <c r="G5463" t="s">
        <v>59</v>
      </c>
      <c r="H5463">
        <v>2024</v>
      </c>
    </row>
    <row r="5464" spans="1:8" x14ac:dyDescent="0.2">
      <c r="A5464">
        <v>259325</v>
      </c>
      <c r="B5464">
        <v>18000</v>
      </c>
      <c r="C5464" t="str">
        <f t="shared" si="85"/>
        <v>1. Under $10K</v>
      </c>
      <c r="D5464" t="s">
        <v>1865</v>
      </c>
      <c r="E5464" t="s">
        <v>112</v>
      </c>
      <c r="F5464" t="s">
        <v>668</v>
      </c>
      <c r="G5464" t="s">
        <v>59</v>
      </c>
      <c r="H5464">
        <v>2024</v>
      </c>
    </row>
    <row r="5465" spans="1:8" x14ac:dyDescent="0.2">
      <c r="A5465">
        <v>259330</v>
      </c>
      <c r="B5465">
        <v>6000</v>
      </c>
      <c r="C5465" t="str">
        <f t="shared" si="85"/>
        <v>2. $10K-50K</v>
      </c>
      <c r="D5465" t="s">
        <v>2105</v>
      </c>
      <c r="E5465" t="s">
        <v>112</v>
      </c>
      <c r="F5465" t="s">
        <v>668</v>
      </c>
      <c r="G5465" t="s">
        <v>59</v>
      </c>
      <c r="H5465">
        <v>2024</v>
      </c>
    </row>
    <row r="5466" spans="1:8" x14ac:dyDescent="0.2">
      <c r="A5466">
        <v>259331</v>
      </c>
      <c r="B5466">
        <v>20000</v>
      </c>
      <c r="C5466" t="str">
        <f t="shared" si="85"/>
        <v>1. Under $10K</v>
      </c>
      <c r="D5466" t="s">
        <v>2106</v>
      </c>
      <c r="E5466" t="s">
        <v>112</v>
      </c>
      <c r="F5466" t="s">
        <v>668</v>
      </c>
      <c r="G5466" t="s">
        <v>59</v>
      </c>
      <c r="H5466">
        <v>2024</v>
      </c>
    </row>
    <row r="5467" spans="1:8" x14ac:dyDescent="0.2">
      <c r="A5467">
        <v>259333</v>
      </c>
      <c r="B5467">
        <v>25000</v>
      </c>
      <c r="C5467" t="str">
        <f t="shared" si="85"/>
        <v>2. $10K-50K</v>
      </c>
      <c r="D5467" t="s">
        <v>1629</v>
      </c>
      <c r="E5467" t="s">
        <v>112</v>
      </c>
      <c r="F5467" t="s">
        <v>668</v>
      </c>
      <c r="G5467" t="s">
        <v>59</v>
      </c>
      <c r="H5467">
        <v>2024</v>
      </c>
    </row>
    <row r="5468" spans="1:8" x14ac:dyDescent="0.2">
      <c r="A5468">
        <v>259334</v>
      </c>
      <c r="B5468">
        <v>20000</v>
      </c>
      <c r="C5468" t="str">
        <f t="shared" si="85"/>
        <v>2. $10K-50K</v>
      </c>
      <c r="D5468" t="s">
        <v>1714</v>
      </c>
      <c r="E5468" t="s">
        <v>112</v>
      </c>
      <c r="F5468" t="s">
        <v>668</v>
      </c>
      <c r="G5468" t="s">
        <v>59</v>
      </c>
      <c r="H5468">
        <v>2024</v>
      </c>
    </row>
    <row r="5469" spans="1:8" x14ac:dyDescent="0.2">
      <c r="A5469">
        <v>259346</v>
      </c>
      <c r="B5469">
        <v>20000</v>
      </c>
      <c r="C5469" t="str">
        <f t="shared" si="85"/>
        <v>2. $10K-50K</v>
      </c>
      <c r="D5469" t="s">
        <v>2107</v>
      </c>
      <c r="E5469" t="s">
        <v>112</v>
      </c>
      <c r="F5469" t="s">
        <v>668</v>
      </c>
      <c r="G5469" t="s">
        <v>59</v>
      </c>
      <c r="H5469">
        <v>2024</v>
      </c>
    </row>
    <row r="5470" spans="1:8" x14ac:dyDescent="0.2">
      <c r="A5470">
        <v>259347</v>
      </c>
      <c r="B5470">
        <v>319000</v>
      </c>
      <c r="C5470" t="str">
        <f t="shared" si="85"/>
        <v>2. $10K-50K</v>
      </c>
      <c r="D5470" t="s">
        <v>1209</v>
      </c>
      <c r="E5470" t="s">
        <v>112</v>
      </c>
      <c r="F5470" t="s">
        <v>668</v>
      </c>
      <c r="G5470" t="s">
        <v>59</v>
      </c>
      <c r="H5470">
        <v>2024</v>
      </c>
    </row>
    <row r="5471" spans="1:8" x14ac:dyDescent="0.2">
      <c r="A5471">
        <v>259368</v>
      </c>
      <c r="B5471">
        <v>20000</v>
      </c>
      <c r="C5471" t="str">
        <f t="shared" si="85"/>
        <v>4. $250K-1M</v>
      </c>
      <c r="D5471" t="s">
        <v>2108</v>
      </c>
      <c r="E5471" t="s">
        <v>112</v>
      </c>
      <c r="F5471" t="s">
        <v>668</v>
      </c>
      <c r="G5471" t="s">
        <v>59</v>
      </c>
      <c r="H5471">
        <v>2024</v>
      </c>
    </row>
    <row r="5472" spans="1:8" x14ac:dyDescent="0.2">
      <c r="A5472">
        <v>259370</v>
      </c>
      <c r="B5472">
        <v>20000</v>
      </c>
      <c r="C5472" t="str">
        <f t="shared" si="85"/>
        <v>2. $10K-50K</v>
      </c>
      <c r="D5472" t="s">
        <v>2109</v>
      </c>
      <c r="E5472" t="s">
        <v>112</v>
      </c>
      <c r="F5472" t="s">
        <v>668</v>
      </c>
      <c r="G5472" t="s">
        <v>59</v>
      </c>
      <c r="H5472">
        <v>2024</v>
      </c>
    </row>
    <row r="5473" spans="1:8" x14ac:dyDescent="0.2">
      <c r="A5473">
        <v>259372</v>
      </c>
      <c r="B5473">
        <v>5000</v>
      </c>
      <c r="C5473" t="str">
        <f t="shared" si="85"/>
        <v>2. $10K-50K</v>
      </c>
      <c r="D5473" t="s">
        <v>2110</v>
      </c>
      <c r="E5473" t="s">
        <v>112</v>
      </c>
      <c r="F5473" t="s">
        <v>668</v>
      </c>
      <c r="G5473" t="s">
        <v>59</v>
      </c>
      <c r="H5473">
        <v>2024</v>
      </c>
    </row>
    <row r="5474" spans="1:8" x14ac:dyDescent="0.2">
      <c r="A5474">
        <v>259373</v>
      </c>
      <c r="B5474">
        <v>20000</v>
      </c>
      <c r="C5474" t="str">
        <f t="shared" si="85"/>
        <v>1. Under $10K</v>
      </c>
      <c r="D5474" t="s">
        <v>2111</v>
      </c>
      <c r="E5474" t="s">
        <v>112</v>
      </c>
      <c r="F5474" t="s">
        <v>668</v>
      </c>
      <c r="G5474" t="s">
        <v>59</v>
      </c>
      <c r="H5474">
        <v>2024</v>
      </c>
    </row>
    <row r="5475" spans="1:8" x14ac:dyDescent="0.2">
      <c r="A5475">
        <v>259374</v>
      </c>
      <c r="B5475">
        <v>10303</v>
      </c>
      <c r="C5475" t="str">
        <f t="shared" si="85"/>
        <v>2. $10K-50K</v>
      </c>
      <c r="D5475" t="s">
        <v>1474</v>
      </c>
      <c r="E5475" t="s">
        <v>178</v>
      </c>
      <c r="F5475" t="s">
        <v>668</v>
      </c>
      <c r="G5475" t="s">
        <v>59</v>
      </c>
      <c r="H5475">
        <v>2024</v>
      </c>
    </row>
    <row r="5476" spans="1:8" x14ac:dyDescent="0.2">
      <c r="A5476">
        <v>259375</v>
      </c>
      <c r="B5476">
        <v>524278</v>
      </c>
      <c r="C5476" t="str">
        <f t="shared" si="85"/>
        <v>2. $10K-50K</v>
      </c>
      <c r="D5476" t="s">
        <v>838</v>
      </c>
      <c r="E5476" t="s">
        <v>237</v>
      </c>
      <c r="F5476" t="s">
        <v>670</v>
      </c>
      <c r="G5476" t="s">
        <v>59</v>
      </c>
      <c r="H5476">
        <v>2024</v>
      </c>
    </row>
    <row r="5477" spans="1:8" x14ac:dyDescent="0.2">
      <c r="A5477">
        <v>259430</v>
      </c>
      <c r="B5477">
        <v>275016</v>
      </c>
      <c r="C5477" t="str">
        <f t="shared" si="85"/>
        <v>4. $250K-1M</v>
      </c>
      <c r="D5477" t="s">
        <v>942</v>
      </c>
      <c r="E5477" t="s">
        <v>99</v>
      </c>
      <c r="F5477" t="s">
        <v>668</v>
      </c>
      <c r="G5477" t="s">
        <v>59</v>
      </c>
      <c r="H5477">
        <v>2024</v>
      </c>
    </row>
    <row r="5478" spans="1:8" x14ac:dyDescent="0.2">
      <c r="A5478">
        <v>259431</v>
      </c>
      <c r="B5478">
        <v>99656.2</v>
      </c>
      <c r="C5478" t="str">
        <f t="shared" si="85"/>
        <v>4. $250K-1M</v>
      </c>
      <c r="D5478" t="s">
        <v>2112</v>
      </c>
      <c r="E5478" t="s">
        <v>99</v>
      </c>
      <c r="F5478" t="s">
        <v>668</v>
      </c>
      <c r="G5478" t="s">
        <v>59</v>
      </c>
      <c r="H5478">
        <v>2024</v>
      </c>
    </row>
    <row r="5479" spans="1:8" x14ac:dyDescent="0.2">
      <c r="A5479">
        <v>259432</v>
      </c>
      <c r="B5479">
        <v>250000</v>
      </c>
      <c r="C5479" t="str">
        <f t="shared" si="85"/>
        <v>3. $50K-250K</v>
      </c>
      <c r="D5479" t="s">
        <v>2113</v>
      </c>
      <c r="E5479" t="s">
        <v>99</v>
      </c>
      <c r="F5479" t="s">
        <v>668</v>
      </c>
      <c r="G5479" t="s">
        <v>59</v>
      </c>
      <c r="H5479">
        <v>2024</v>
      </c>
    </row>
    <row r="5480" spans="1:8" x14ac:dyDescent="0.2">
      <c r="A5480">
        <v>259433</v>
      </c>
      <c r="B5480">
        <v>211512.1</v>
      </c>
      <c r="C5480" t="str">
        <f t="shared" si="85"/>
        <v>4. $250K-1M</v>
      </c>
      <c r="D5480" t="s">
        <v>2114</v>
      </c>
      <c r="E5480" t="s">
        <v>99</v>
      </c>
      <c r="F5480" t="s">
        <v>668</v>
      </c>
      <c r="G5480" t="s">
        <v>59</v>
      </c>
      <c r="H5480">
        <v>2024</v>
      </c>
    </row>
    <row r="5481" spans="1:8" x14ac:dyDescent="0.2">
      <c r="A5481">
        <v>259435</v>
      </c>
      <c r="B5481">
        <v>28933</v>
      </c>
      <c r="C5481" t="str">
        <f t="shared" si="85"/>
        <v>3. $50K-250K</v>
      </c>
      <c r="D5481" t="s">
        <v>817</v>
      </c>
      <c r="E5481" t="s">
        <v>99</v>
      </c>
      <c r="F5481" t="s">
        <v>668</v>
      </c>
      <c r="G5481" t="s">
        <v>59</v>
      </c>
      <c r="H5481">
        <v>2024</v>
      </c>
    </row>
    <row r="5482" spans="1:8" x14ac:dyDescent="0.2">
      <c r="A5482">
        <v>259439</v>
      </c>
      <c r="B5482">
        <v>600000</v>
      </c>
      <c r="C5482" t="str">
        <f t="shared" si="85"/>
        <v>2. $10K-50K</v>
      </c>
      <c r="D5482" t="s">
        <v>921</v>
      </c>
      <c r="E5482" t="s">
        <v>237</v>
      </c>
      <c r="F5482" t="s">
        <v>670</v>
      </c>
      <c r="G5482" t="s">
        <v>59</v>
      </c>
      <c r="H5482">
        <v>2024</v>
      </c>
    </row>
    <row r="5483" spans="1:8" x14ac:dyDescent="0.2">
      <c r="A5483">
        <v>259440</v>
      </c>
      <c r="B5483">
        <v>69000</v>
      </c>
      <c r="C5483" t="str">
        <f t="shared" si="85"/>
        <v>4. $250K-1M</v>
      </c>
      <c r="D5483" t="s">
        <v>1105</v>
      </c>
      <c r="E5483" t="s">
        <v>237</v>
      </c>
      <c r="F5483" t="s">
        <v>670</v>
      </c>
      <c r="G5483" t="s">
        <v>59</v>
      </c>
      <c r="H5483">
        <v>2024</v>
      </c>
    </row>
    <row r="5484" spans="1:8" x14ac:dyDescent="0.2">
      <c r="A5484">
        <v>259441</v>
      </c>
      <c r="B5484">
        <v>138290</v>
      </c>
      <c r="C5484" t="str">
        <f t="shared" si="85"/>
        <v>3. $50K-250K</v>
      </c>
      <c r="D5484" t="s">
        <v>781</v>
      </c>
      <c r="E5484" t="s">
        <v>237</v>
      </c>
      <c r="F5484" t="s">
        <v>670</v>
      </c>
      <c r="G5484" t="s">
        <v>59</v>
      </c>
      <c r="H5484">
        <v>2024</v>
      </c>
    </row>
    <row r="5485" spans="1:8" x14ac:dyDescent="0.2">
      <c r="A5485">
        <v>259442</v>
      </c>
      <c r="B5485">
        <v>69290</v>
      </c>
      <c r="C5485" t="str">
        <f t="shared" si="85"/>
        <v>3. $50K-250K</v>
      </c>
      <c r="D5485" t="s">
        <v>781</v>
      </c>
      <c r="E5485" t="s">
        <v>237</v>
      </c>
      <c r="F5485" t="s">
        <v>670</v>
      </c>
      <c r="G5485" t="s">
        <v>59</v>
      </c>
      <c r="H5485">
        <v>2024</v>
      </c>
    </row>
    <row r="5486" spans="1:8" x14ac:dyDescent="0.2">
      <c r="A5486">
        <v>259443</v>
      </c>
      <c r="B5486">
        <v>69000</v>
      </c>
      <c r="C5486" t="str">
        <f t="shared" si="85"/>
        <v>3. $50K-250K</v>
      </c>
      <c r="D5486" t="s">
        <v>782</v>
      </c>
      <c r="E5486" t="s">
        <v>237</v>
      </c>
      <c r="F5486" t="s">
        <v>670</v>
      </c>
      <c r="G5486" t="s">
        <v>59</v>
      </c>
      <c r="H5486">
        <v>2024</v>
      </c>
    </row>
    <row r="5487" spans="1:8" x14ac:dyDescent="0.2">
      <c r="A5487">
        <v>259444</v>
      </c>
      <c r="B5487">
        <v>69413</v>
      </c>
      <c r="C5487" t="str">
        <f t="shared" si="85"/>
        <v>3. $50K-250K</v>
      </c>
      <c r="D5487" t="s">
        <v>1178</v>
      </c>
      <c r="E5487" t="s">
        <v>237</v>
      </c>
      <c r="F5487" t="s">
        <v>670</v>
      </c>
      <c r="G5487" t="s">
        <v>59</v>
      </c>
      <c r="H5487">
        <v>2024</v>
      </c>
    </row>
    <row r="5488" spans="1:8" x14ac:dyDescent="0.2">
      <c r="A5488">
        <v>259445</v>
      </c>
      <c r="B5488">
        <v>103500</v>
      </c>
      <c r="C5488" t="str">
        <f t="shared" si="85"/>
        <v>3. $50K-250K</v>
      </c>
      <c r="D5488" t="s">
        <v>1177</v>
      </c>
      <c r="E5488" t="s">
        <v>237</v>
      </c>
      <c r="F5488" t="s">
        <v>670</v>
      </c>
      <c r="G5488" t="s">
        <v>59</v>
      </c>
      <c r="H5488">
        <v>2024</v>
      </c>
    </row>
    <row r="5489" spans="1:8" x14ac:dyDescent="0.2">
      <c r="A5489">
        <v>259446</v>
      </c>
      <c r="B5489">
        <v>69000</v>
      </c>
      <c r="C5489" t="str">
        <f t="shared" si="85"/>
        <v>3. $50K-250K</v>
      </c>
      <c r="D5489" t="s">
        <v>1079</v>
      </c>
      <c r="E5489" t="s">
        <v>237</v>
      </c>
      <c r="F5489" t="s">
        <v>670</v>
      </c>
      <c r="G5489" t="s">
        <v>59</v>
      </c>
      <c r="H5489">
        <v>2024</v>
      </c>
    </row>
    <row r="5490" spans="1:8" x14ac:dyDescent="0.2">
      <c r="A5490">
        <v>259447</v>
      </c>
      <c r="B5490">
        <v>138000</v>
      </c>
      <c r="C5490" t="str">
        <f t="shared" si="85"/>
        <v>3. $50K-250K</v>
      </c>
      <c r="D5490" t="s">
        <v>1079</v>
      </c>
      <c r="E5490" t="s">
        <v>237</v>
      </c>
      <c r="F5490" t="s">
        <v>670</v>
      </c>
      <c r="G5490" t="s">
        <v>59</v>
      </c>
      <c r="H5490">
        <v>2024</v>
      </c>
    </row>
    <row r="5491" spans="1:8" x14ac:dyDescent="0.2">
      <c r="A5491">
        <v>259448</v>
      </c>
      <c r="B5491">
        <v>69000</v>
      </c>
      <c r="C5491" t="str">
        <f t="shared" si="85"/>
        <v>3. $50K-250K</v>
      </c>
      <c r="D5491" t="s">
        <v>1079</v>
      </c>
      <c r="E5491" t="s">
        <v>237</v>
      </c>
      <c r="F5491" t="s">
        <v>670</v>
      </c>
      <c r="G5491" t="s">
        <v>59</v>
      </c>
      <c r="H5491">
        <v>2024</v>
      </c>
    </row>
    <row r="5492" spans="1:8" x14ac:dyDescent="0.2">
      <c r="A5492">
        <v>259450</v>
      </c>
      <c r="B5492">
        <v>69000</v>
      </c>
      <c r="C5492" t="str">
        <f t="shared" si="85"/>
        <v>3. $50K-250K</v>
      </c>
      <c r="D5492" t="s">
        <v>1176</v>
      </c>
      <c r="E5492" t="s">
        <v>237</v>
      </c>
      <c r="F5492" t="s">
        <v>670</v>
      </c>
      <c r="G5492" t="s">
        <v>59</v>
      </c>
      <c r="H5492">
        <v>2024</v>
      </c>
    </row>
    <row r="5493" spans="1:8" x14ac:dyDescent="0.2">
      <c r="A5493">
        <v>259451</v>
      </c>
      <c r="B5493">
        <v>69000</v>
      </c>
      <c r="C5493" t="str">
        <f t="shared" si="85"/>
        <v>3. $50K-250K</v>
      </c>
      <c r="D5493" t="s">
        <v>749</v>
      </c>
      <c r="E5493" t="s">
        <v>237</v>
      </c>
      <c r="F5493" t="s">
        <v>670</v>
      </c>
      <c r="G5493" t="s">
        <v>59</v>
      </c>
      <c r="H5493">
        <v>2024</v>
      </c>
    </row>
    <row r="5494" spans="1:8" x14ac:dyDescent="0.2">
      <c r="A5494">
        <v>259452</v>
      </c>
      <c r="B5494">
        <v>69000</v>
      </c>
      <c r="C5494" t="str">
        <f t="shared" si="85"/>
        <v>3. $50K-250K</v>
      </c>
      <c r="D5494" t="s">
        <v>988</v>
      </c>
      <c r="E5494" t="s">
        <v>237</v>
      </c>
      <c r="F5494" t="s">
        <v>670</v>
      </c>
      <c r="G5494" t="s">
        <v>59</v>
      </c>
      <c r="H5494">
        <v>2024</v>
      </c>
    </row>
    <row r="5495" spans="1:8" x14ac:dyDescent="0.2">
      <c r="A5495">
        <v>259453</v>
      </c>
      <c r="B5495">
        <v>69000</v>
      </c>
      <c r="C5495" t="str">
        <f t="shared" si="85"/>
        <v>3. $50K-250K</v>
      </c>
      <c r="D5495" t="s">
        <v>713</v>
      </c>
      <c r="E5495" t="s">
        <v>237</v>
      </c>
      <c r="F5495" t="s">
        <v>670</v>
      </c>
      <c r="G5495" t="s">
        <v>59</v>
      </c>
      <c r="H5495">
        <v>2024</v>
      </c>
    </row>
    <row r="5496" spans="1:8" x14ac:dyDescent="0.2">
      <c r="A5496">
        <v>259454</v>
      </c>
      <c r="B5496">
        <v>69000</v>
      </c>
      <c r="C5496" t="str">
        <f t="shared" si="85"/>
        <v>3. $50K-250K</v>
      </c>
      <c r="D5496" t="s">
        <v>713</v>
      </c>
      <c r="E5496" t="s">
        <v>237</v>
      </c>
      <c r="F5496" t="s">
        <v>670</v>
      </c>
      <c r="G5496" t="s">
        <v>59</v>
      </c>
      <c r="H5496">
        <v>2024</v>
      </c>
    </row>
    <row r="5497" spans="1:8" x14ac:dyDescent="0.2">
      <c r="A5497">
        <v>259455</v>
      </c>
      <c r="B5497">
        <v>69000</v>
      </c>
      <c r="C5497" t="str">
        <f t="shared" si="85"/>
        <v>3. $50K-250K</v>
      </c>
      <c r="D5497" t="s">
        <v>802</v>
      </c>
      <c r="E5497" t="s">
        <v>237</v>
      </c>
      <c r="F5497" t="s">
        <v>670</v>
      </c>
      <c r="G5497" t="s">
        <v>59</v>
      </c>
      <c r="H5497">
        <v>2024</v>
      </c>
    </row>
    <row r="5498" spans="1:8" x14ac:dyDescent="0.2">
      <c r="A5498">
        <v>259456</v>
      </c>
      <c r="B5498">
        <v>69000</v>
      </c>
      <c r="C5498" t="str">
        <f t="shared" si="85"/>
        <v>3. $50K-250K</v>
      </c>
      <c r="D5498" t="s">
        <v>1176</v>
      </c>
      <c r="E5498" t="s">
        <v>237</v>
      </c>
      <c r="F5498" t="s">
        <v>670</v>
      </c>
      <c r="G5498" t="s">
        <v>59</v>
      </c>
      <c r="H5498">
        <v>2024</v>
      </c>
    </row>
    <row r="5499" spans="1:8" x14ac:dyDescent="0.2">
      <c r="A5499">
        <v>259457</v>
      </c>
      <c r="B5499">
        <v>138000</v>
      </c>
      <c r="C5499" t="str">
        <f t="shared" si="85"/>
        <v>3. $50K-250K</v>
      </c>
      <c r="D5499" t="s">
        <v>985</v>
      </c>
      <c r="E5499" t="s">
        <v>237</v>
      </c>
      <c r="F5499" t="s">
        <v>670</v>
      </c>
      <c r="G5499" t="s">
        <v>59</v>
      </c>
      <c r="H5499">
        <v>2024</v>
      </c>
    </row>
    <row r="5500" spans="1:8" x14ac:dyDescent="0.2">
      <c r="A5500">
        <v>259461</v>
      </c>
      <c r="B5500">
        <v>1110000</v>
      </c>
      <c r="C5500" t="str">
        <f t="shared" si="85"/>
        <v>3. $50K-250K</v>
      </c>
      <c r="D5500" t="s">
        <v>821</v>
      </c>
      <c r="E5500" t="s">
        <v>237</v>
      </c>
      <c r="F5500" t="s">
        <v>670</v>
      </c>
      <c r="G5500" t="s">
        <v>59</v>
      </c>
      <c r="H5500">
        <v>2024</v>
      </c>
    </row>
    <row r="5501" spans="1:8" x14ac:dyDescent="0.2">
      <c r="A5501">
        <v>259463</v>
      </c>
      <c r="B5501">
        <v>444000</v>
      </c>
      <c r="C5501" t="str">
        <f t="shared" si="85"/>
        <v>5. $1M+</v>
      </c>
      <c r="D5501" t="s">
        <v>2115</v>
      </c>
      <c r="E5501" t="s">
        <v>237</v>
      </c>
      <c r="F5501" t="s">
        <v>670</v>
      </c>
      <c r="G5501" t="s">
        <v>59</v>
      </c>
      <c r="H5501">
        <v>2024</v>
      </c>
    </row>
    <row r="5502" spans="1:8" x14ac:dyDescent="0.2">
      <c r="A5502">
        <v>259464</v>
      </c>
      <c r="B5502">
        <v>444000</v>
      </c>
      <c r="C5502" t="str">
        <f t="shared" si="85"/>
        <v>4. $250K-1M</v>
      </c>
      <c r="D5502" t="s">
        <v>2116</v>
      </c>
      <c r="E5502" t="s">
        <v>237</v>
      </c>
      <c r="F5502" t="s">
        <v>670</v>
      </c>
      <c r="G5502" t="s">
        <v>59</v>
      </c>
      <c r="H5502">
        <v>2024</v>
      </c>
    </row>
    <row r="5503" spans="1:8" x14ac:dyDescent="0.2">
      <c r="A5503">
        <v>259474</v>
      </c>
      <c r="B5503">
        <v>7000000</v>
      </c>
      <c r="C5503" t="str">
        <f t="shared" si="85"/>
        <v>4. $250K-1M</v>
      </c>
      <c r="D5503" t="s">
        <v>2117</v>
      </c>
      <c r="E5503" t="s">
        <v>99</v>
      </c>
      <c r="F5503" t="s">
        <v>668</v>
      </c>
      <c r="G5503" t="s">
        <v>59</v>
      </c>
      <c r="H5503">
        <v>2024</v>
      </c>
    </row>
    <row r="5504" spans="1:8" x14ac:dyDescent="0.2">
      <c r="A5504">
        <v>259477</v>
      </c>
      <c r="B5504">
        <v>204223.9</v>
      </c>
      <c r="C5504" t="str">
        <f t="shared" si="85"/>
        <v>5. $1M+</v>
      </c>
      <c r="D5504" t="s">
        <v>909</v>
      </c>
      <c r="E5504" t="s">
        <v>237</v>
      </c>
      <c r="F5504" t="s">
        <v>670</v>
      </c>
      <c r="G5504" t="s">
        <v>59</v>
      </c>
      <c r="H5504">
        <v>2024</v>
      </c>
    </row>
    <row r="5505" spans="1:8" x14ac:dyDescent="0.2">
      <c r="A5505">
        <v>259483</v>
      </c>
      <c r="B5505">
        <v>1000000</v>
      </c>
      <c r="C5505" t="str">
        <f t="shared" si="85"/>
        <v>3. $50K-250K</v>
      </c>
      <c r="D5505" t="s">
        <v>2118</v>
      </c>
      <c r="E5505" t="s">
        <v>99</v>
      </c>
      <c r="F5505" t="s">
        <v>668</v>
      </c>
      <c r="G5505" t="s">
        <v>59</v>
      </c>
      <c r="H5505">
        <v>2024</v>
      </c>
    </row>
    <row r="5506" spans="1:8" x14ac:dyDescent="0.2">
      <c r="A5506">
        <v>259488</v>
      </c>
      <c r="B5506">
        <v>1600000</v>
      </c>
      <c r="C5506" t="str">
        <f t="shared" si="85"/>
        <v>5. $1M+</v>
      </c>
      <c r="D5506" t="s">
        <v>1571</v>
      </c>
      <c r="E5506" t="s">
        <v>28</v>
      </c>
      <c r="F5506" t="s">
        <v>668</v>
      </c>
      <c r="G5506" t="s">
        <v>59</v>
      </c>
      <c r="H5506">
        <v>2024</v>
      </c>
    </row>
    <row r="5507" spans="1:8" x14ac:dyDescent="0.2">
      <c r="A5507">
        <v>259491</v>
      </c>
      <c r="B5507">
        <v>1800000</v>
      </c>
      <c r="C5507" t="str">
        <f t="shared" ref="C5507:C5570" si="86">IF(B5506&lt;10000,"1. Under $10K",IF(B5506&lt;50000,"2. $10K-50K",IF(B5506&lt;250000,"3. $50K-250K",IF(B5506&lt;1000000,"4. $250K-1M","5. $1M+"))))</f>
        <v>5. $1M+</v>
      </c>
      <c r="D5507" t="s">
        <v>1571</v>
      </c>
      <c r="E5507" t="s">
        <v>28</v>
      </c>
      <c r="F5507" t="s">
        <v>668</v>
      </c>
      <c r="G5507" t="s">
        <v>59</v>
      </c>
      <c r="H5507">
        <v>2024</v>
      </c>
    </row>
    <row r="5508" spans="1:8" x14ac:dyDescent="0.2">
      <c r="A5508">
        <v>259495</v>
      </c>
      <c r="B5508">
        <v>500000</v>
      </c>
      <c r="C5508" t="str">
        <f t="shared" si="86"/>
        <v>5. $1M+</v>
      </c>
      <c r="D5508" t="s">
        <v>999</v>
      </c>
      <c r="E5508" t="s">
        <v>42</v>
      </c>
      <c r="F5508" t="s">
        <v>670</v>
      </c>
      <c r="G5508" t="s">
        <v>44</v>
      </c>
      <c r="H5508">
        <v>2024</v>
      </c>
    </row>
    <row r="5509" spans="1:8" x14ac:dyDescent="0.2">
      <c r="A5509">
        <v>259496</v>
      </c>
      <c r="B5509">
        <v>225000</v>
      </c>
      <c r="C5509" t="str">
        <f t="shared" si="86"/>
        <v>4. $250K-1M</v>
      </c>
      <c r="D5509" t="s">
        <v>2119</v>
      </c>
      <c r="E5509" t="s">
        <v>42</v>
      </c>
      <c r="F5509" t="s">
        <v>670</v>
      </c>
      <c r="G5509" t="s">
        <v>44</v>
      </c>
      <c r="H5509">
        <v>2024</v>
      </c>
    </row>
    <row r="5510" spans="1:8" x14ac:dyDescent="0.2">
      <c r="A5510">
        <v>259497</v>
      </c>
      <c r="B5510">
        <v>350000</v>
      </c>
      <c r="C5510" t="str">
        <f t="shared" si="86"/>
        <v>3. $50K-250K</v>
      </c>
      <c r="D5510" t="s">
        <v>2119</v>
      </c>
      <c r="E5510" t="s">
        <v>42</v>
      </c>
      <c r="F5510" t="s">
        <v>670</v>
      </c>
      <c r="G5510" t="s">
        <v>44</v>
      </c>
      <c r="H5510">
        <v>2024</v>
      </c>
    </row>
    <row r="5511" spans="1:8" x14ac:dyDescent="0.2">
      <c r="A5511">
        <v>259499</v>
      </c>
      <c r="B5511">
        <v>225000</v>
      </c>
      <c r="C5511" t="str">
        <f t="shared" si="86"/>
        <v>4. $250K-1M</v>
      </c>
      <c r="D5511" t="s">
        <v>391</v>
      </c>
      <c r="E5511" t="s">
        <v>42</v>
      </c>
      <c r="F5511" t="s">
        <v>670</v>
      </c>
      <c r="G5511" t="s">
        <v>44</v>
      </c>
      <c r="H5511">
        <v>2024</v>
      </c>
    </row>
    <row r="5512" spans="1:8" x14ac:dyDescent="0.2">
      <c r="A5512">
        <v>259500</v>
      </c>
      <c r="B5512">
        <v>350000</v>
      </c>
      <c r="C5512" t="str">
        <f t="shared" si="86"/>
        <v>3. $50K-250K</v>
      </c>
      <c r="D5512" t="s">
        <v>391</v>
      </c>
      <c r="E5512" t="s">
        <v>42</v>
      </c>
      <c r="F5512" t="s">
        <v>670</v>
      </c>
      <c r="G5512" t="s">
        <v>44</v>
      </c>
      <c r="H5512">
        <v>2024</v>
      </c>
    </row>
    <row r="5513" spans="1:8" x14ac:dyDescent="0.2">
      <c r="A5513">
        <v>259501</v>
      </c>
      <c r="B5513">
        <v>225000</v>
      </c>
      <c r="C5513" t="str">
        <f t="shared" si="86"/>
        <v>4. $250K-1M</v>
      </c>
      <c r="D5513" t="s">
        <v>672</v>
      </c>
      <c r="E5513" t="s">
        <v>42</v>
      </c>
      <c r="F5513" t="s">
        <v>670</v>
      </c>
      <c r="G5513" t="s">
        <v>44</v>
      </c>
      <c r="H5513">
        <v>2024</v>
      </c>
    </row>
    <row r="5514" spans="1:8" x14ac:dyDescent="0.2">
      <c r="A5514">
        <v>259502</v>
      </c>
      <c r="B5514">
        <v>682500</v>
      </c>
      <c r="C5514" t="str">
        <f t="shared" si="86"/>
        <v>3. $50K-250K</v>
      </c>
      <c r="D5514" t="s">
        <v>672</v>
      </c>
      <c r="E5514" t="s">
        <v>42</v>
      </c>
      <c r="F5514" t="s">
        <v>670</v>
      </c>
      <c r="G5514" t="s">
        <v>44</v>
      </c>
      <c r="H5514">
        <v>2024</v>
      </c>
    </row>
    <row r="5515" spans="1:8" x14ac:dyDescent="0.2">
      <c r="A5515">
        <v>259510</v>
      </c>
      <c r="B5515">
        <v>888000</v>
      </c>
      <c r="C5515" t="str">
        <f t="shared" si="86"/>
        <v>4. $250K-1M</v>
      </c>
      <c r="D5515" t="s">
        <v>749</v>
      </c>
      <c r="E5515" t="s">
        <v>237</v>
      </c>
      <c r="F5515" t="s">
        <v>670</v>
      </c>
      <c r="G5515" t="s">
        <v>59</v>
      </c>
      <c r="H5515">
        <v>2024</v>
      </c>
    </row>
    <row r="5516" spans="1:8" x14ac:dyDescent="0.2">
      <c r="A5516">
        <v>259511</v>
      </c>
      <c r="B5516">
        <v>444000</v>
      </c>
      <c r="C5516" t="str">
        <f t="shared" si="86"/>
        <v>4. $250K-1M</v>
      </c>
      <c r="D5516" t="s">
        <v>802</v>
      </c>
      <c r="E5516" t="s">
        <v>237</v>
      </c>
      <c r="F5516" t="s">
        <v>670</v>
      </c>
      <c r="G5516" t="s">
        <v>59</v>
      </c>
      <c r="H5516">
        <v>2024</v>
      </c>
    </row>
    <row r="5517" spans="1:8" x14ac:dyDescent="0.2">
      <c r="A5517">
        <v>259512</v>
      </c>
      <c r="B5517">
        <v>444000</v>
      </c>
      <c r="C5517" t="str">
        <f t="shared" si="86"/>
        <v>4. $250K-1M</v>
      </c>
      <c r="D5517" t="s">
        <v>711</v>
      </c>
      <c r="E5517" t="s">
        <v>237</v>
      </c>
      <c r="F5517" t="s">
        <v>670</v>
      </c>
      <c r="G5517" t="s">
        <v>59</v>
      </c>
      <c r="H5517">
        <v>2024</v>
      </c>
    </row>
    <row r="5518" spans="1:8" x14ac:dyDescent="0.2">
      <c r="A5518">
        <v>259513</v>
      </c>
      <c r="B5518">
        <v>444000</v>
      </c>
      <c r="C5518" t="str">
        <f t="shared" si="86"/>
        <v>4. $250K-1M</v>
      </c>
      <c r="D5518" t="s">
        <v>1093</v>
      </c>
      <c r="E5518" t="s">
        <v>237</v>
      </c>
      <c r="F5518" t="s">
        <v>670</v>
      </c>
      <c r="G5518" t="s">
        <v>59</v>
      </c>
      <c r="H5518">
        <v>2024</v>
      </c>
    </row>
    <row r="5519" spans="1:8" x14ac:dyDescent="0.2">
      <c r="A5519">
        <v>259514</v>
      </c>
      <c r="B5519">
        <v>888000</v>
      </c>
      <c r="C5519" t="str">
        <f t="shared" si="86"/>
        <v>4. $250K-1M</v>
      </c>
      <c r="D5519" t="s">
        <v>799</v>
      </c>
      <c r="E5519" t="s">
        <v>237</v>
      </c>
      <c r="F5519" t="s">
        <v>670</v>
      </c>
      <c r="G5519" t="s">
        <v>59</v>
      </c>
      <c r="H5519">
        <v>2024</v>
      </c>
    </row>
    <row r="5520" spans="1:8" x14ac:dyDescent="0.2">
      <c r="A5520">
        <v>259515</v>
      </c>
      <c r="B5520">
        <v>444000</v>
      </c>
      <c r="C5520" t="str">
        <f t="shared" si="86"/>
        <v>4. $250K-1M</v>
      </c>
      <c r="D5520" t="s">
        <v>1073</v>
      </c>
      <c r="E5520" t="s">
        <v>237</v>
      </c>
      <c r="F5520" t="s">
        <v>670</v>
      </c>
      <c r="G5520" t="s">
        <v>59</v>
      </c>
      <c r="H5520">
        <v>2024</v>
      </c>
    </row>
    <row r="5521" spans="1:8" x14ac:dyDescent="0.2">
      <c r="A5521">
        <v>259516</v>
      </c>
      <c r="B5521">
        <v>888000</v>
      </c>
      <c r="C5521" t="str">
        <f t="shared" si="86"/>
        <v>4. $250K-1M</v>
      </c>
      <c r="D5521" t="s">
        <v>708</v>
      </c>
      <c r="E5521" t="s">
        <v>237</v>
      </c>
      <c r="F5521" t="s">
        <v>670</v>
      </c>
      <c r="G5521" t="s">
        <v>59</v>
      </c>
      <c r="H5521">
        <v>2024</v>
      </c>
    </row>
    <row r="5522" spans="1:8" x14ac:dyDescent="0.2">
      <c r="A5522">
        <v>259517</v>
      </c>
      <c r="B5522">
        <v>444000</v>
      </c>
      <c r="C5522" t="str">
        <f t="shared" si="86"/>
        <v>4. $250K-1M</v>
      </c>
      <c r="D5522" t="s">
        <v>781</v>
      </c>
      <c r="E5522" t="s">
        <v>237</v>
      </c>
      <c r="F5522" t="s">
        <v>670</v>
      </c>
      <c r="G5522" t="s">
        <v>59</v>
      </c>
      <c r="H5522">
        <v>2024</v>
      </c>
    </row>
    <row r="5523" spans="1:8" x14ac:dyDescent="0.2">
      <c r="A5523">
        <v>259518</v>
      </c>
      <c r="B5523">
        <v>444000</v>
      </c>
      <c r="C5523" t="str">
        <f t="shared" si="86"/>
        <v>4. $250K-1M</v>
      </c>
      <c r="D5523" t="s">
        <v>988</v>
      </c>
      <c r="E5523" t="s">
        <v>237</v>
      </c>
      <c r="F5523" t="s">
        <v>670</v>
      </c>
      <c r="G5523" t="s">
        <v>59</v>
      </c>
      <c r="H5523">
        <v>2024</v>
      </c>
    </row>
    <row r="5524" spans="1:8" x14ac:dyDescent="0.2">
      <c r="A5524">
        <v>259519</v>
      </c>
      <c r="B5524">
        <v>444000</v>
      </c>
      <c r="C5524" t="str">
        <f t="shared" si="86"/>
        <v>4. $250K-1M</v>
      </c>
      <c r="D5524" t="s">
        <v>883</v>
      </c>
      <c r="E5524" t="s">
        <v>237</v>
      </c>
      <c r="F5524" t="s">
        <v>670</v>
      </c>
      <c r="G5524" t="s">
        <v>59</v>
      </c>
      <c r="H5524">
        <v>2024</v>
      </c>
    </row>
    <row r="5525" spans="1:8" x14ac:dyDescent="0.2">
      <c r="A5525">
        <v>259520</v>
      </c>
      <c r="B5525">
        <v>1066000</v>
      </c>
      <c r="C5525" t="str">
        <f t="shared" si="86"/>
        <v>4. $250K-1M</v>
      </c>
      <c r="D5525" t="s">
        <v>803</v>
      </c>
      <c r="E5525" t="s">
        <v>237</v>
      </c>
      <c r="F5525" t="s">
        <v>670</v>
      </c>
      <c r="G5525" t="s">
        <v>59</v>
      </c>
      <c r="H5525">
        <v>2024</v>
      </c>
    </row>
    <row r="5526" spans="1:8" x14ac:dyDescent="0.2">
      <c r="A5526">
        <v>259521</v>
      </c>
      <c r="B5526">
        <v>1066000</v>
      </c>
      <c r="C5526" t="str">
        <f t="shared" si="86"/>
        <v>5. $1M+</v>
      </c>
      <c r="D5526" t="s">
        <v>805</v>
      </c>
      <c r="E5526" t="s">
        <v>237</v>
      </c>
      <c r="F5526" t="s">
        <v>670</v>
      </c>
      <c r="G5526" t="s">
        <v>59</v>
      </c>
      <c r="H5526">
        <v>2024</v>
      </c>
    </row>
    <row r="5527" spans="1:8" x14ac:dyDescent="0.2">
      <c r="A5527">
        <v>259522</v>
      </c>
      <c r="B5527">
        <v>2454000</v>
      </c>
      <c r="C5527" t="str">
        <f t="shared" si="86"/>
        <v>5. $1M+</v>
      </c>
      <c r="D5527" t="s">
        <v>783</v>
      </c>
      <c r="E5527" t="s">
        <v>237</v>
      </c>
      <c r="F5527" t="s">
        <v>670</v>
      </c>
      <c r="G5527" t="s">
        <v>59</v>
      </c>
      <c r="H5527">
        <v>2024</v>
      </c>
    </row>
    <row r="5528" spans="1:8" x14ac:dyDescent="0.2">
      <c r="A5528">
        <v>259523</v>
      </c>
      <c r="B5528">
        <v>1066000</v>
      </c>
      <c r="C5528" t="str">
        <f t="shared" si="86"/>
        <v>5. $1M+</v>
      </c>
      <c r="D5528" t="s">
        <v>800</v>
      </c>
      <c r="E5528" t="s">
        <v>237</v>
      </c>
      <c r="F5528" t="s">
        <v>670</v>
      </c>
      <c r="G5528" t="s">
        <v>59</v>
      </c>
      <c r="H5528">
        <v>2024</v>
      </c>
    </row>
    <row r="5529" spans="1:8" x14ac:dyDescent="0.2">
      <c r="A5529">
        <v>259621</v>
      </c>
      <c r="B5529">
        <v>12724625</v>
      </c>
      <c r="C5529" t="str">
        <f t="shared" si="86"/>
        <v>5. $1M+</v>
      </c>
      <c r="D5529" t="s">
        <v>2120</v>
      </c>
      <c r="E5529" t="s">
        <v>99</v>
      </c>
      <c r="F5529" t="s">
        <v>668</v>
      </c>
      <c r="G5529" t="s">
        <v>59</v>
      </c>
      <c r="H5529">
        <v>2024</v>
      </c>
    </row>
    <row r="5530" spans="1:8" x14ac:dyDescent="0.2">
      <c r="A5530">
        <v>259623</v>
      </c>
      <c r="B5530">
        <v>106260</v>
      </c>
      <c r="C5530" t="str">
        <f t="shared" si="86"/>
        <v>5. $1M+</v>
      </c>
      <c r="D5530" t="s">
        <v>1424</v>
      </c>
      <c r="E5530" t="s">
        <v>99</v>
      </c>
      <c r="F5530" t="s">
        <v>668</v>
      </c>
      <c r="G5530" t="s">
        <v>59</v>
      </c>
      <c r="H5530">
        <v>2024</v>
      </c>
    </row>
    <row r="5531" spans="1:8" x14ac:dyDescent="0.2">
      <c r="A5531">
        <v>259633</v>
      </c>
      <c r="B5531">
        <v>500000</v>
      </c>
      <c r="C5531" t="str">
        <f t="shared" si="86"/>
        <v>3. $50K-250K</v>
      </c>
      <c r="D5531" t="s">
        <v>941</v>
      </c>
      <c r="E5531" t="s">
        <v>99</v>
      </c>
      <c r="F5531" t="s">
        <v>668</v>
      </c>
      <c r="G5531" t="s">
        <v>59</v>
      </c>
      <c r="H5531">
        <v>2024</v>
      </c>
    </row>
    <row r="5532" spans="1:8" x14ac:dyDescent="0.2">
      <c r="A5532">
        <v>259634</v>
      </c>
      <c r="B5532">
        <v>13000</v>
      </c>
      <c r="C5532" t="str">
        <f t="shared" si="86"/>
        <v>4. $250K-1M</v>
      </c>
      <c r="D5532" t="s">
        <v>2121</v>
      </c>
      <c r="E5532" t="s">
        <v>99</v>
      </c>
      <c r="F5532" t="s">
        <v>668</v>
      </c>
      <c r="G5532" t="s">
        <v>59</v>
      </c>
      <c r="H5532">
        <v>2024</v>
      </c>
    </row>
    <row r="5533" spans="1:8" x14ac:dyDescent="0.2">
      <c r="A5533">
        <v>259664</v>
      </c>
      <c r="B5533">
        <v>12569068</v>
      </c>
      <c r="C5533" t="str">
        <f t="shared" si="86"/>
        <v>2. $10K-50K</v>
      </c>
      <c r="D5533" t="s">
        <v>2122</v>
      </c>
      <c r="E5533" t="s">
        <v>99</v>
      </c>
      <c r="F5533" t="s">
        <v>668</v>
      </c>
      <c r="G5533" t="s">
        <v>59</v>
      </c>
      <c r="H5533">
        <v>2024</v>
      </c>
    </row>
    <row r="5534" spans="1:8" x14ac:dyDescent="0.2">
      <c r="A5534">
        <v>259670</v>
      </c>
      <c r="B5534">
        <v>9500</v>
      </c>
      <c r="C5534" t="str">
        <f t="shared" si="86"/>
        <v>5. $1M+</v>
      </c>
      <c r="D5534" t="s">
        <v>2123</v>
      </c>
      <c r="E5534" t="s">
        <v>99</v>
      </c>
      <c r="F5534" t="s">
        <v>668</v>
      </c>
      <c r="G5534" t="s">
        <v>59</v>
      </c>
      <c r="H5534">
        <v>2024</v>
      </c>
    </row>
    <row r="5535" spans="1:8" x14ac:dyDescent="0.2">
      <c r="A5535">
        <v>259674</v>
      </c>
      <c r="B5535">
        <v>53819</v>
      </c>
      <c r="C5535" t="str">
        <f t="shared" si="86"/>
        <v>1. Under $10K</v>
      </c>
      <c r="D5535" t="s">
        <v>1443</v>
      </c>
      <c r="E5535" t="s">
        <v>99</v>
      </c>
      <c r="F5535" t="s">
        <v>668</v>
      </c>
      <c r="G5535" t="s">
        <v>59</v>
      </c>
      <c r="H5535">
        <v>2024</v>
      </c>
    </row>
    <row r="5536" spans="1:8" x14ac:dyDescent="0.2">
      <c r="A5536">
        <v>259676</v>
      </c>
      <c r="B5536">
        <v>1500000</v>
      </c>
      <c r="C5536" t="str">
        <f t="shared" si="86"/>
        <v>3. $50K-250K</v>
      </c>
      <c r="D5536" t="s">
        <v>947</v>
      </c>
      <c r="E5536" t="s">
        <v>99</v>
      </c>
      <c r="F5536" t="s">
        <v>668</v>
      </c>
      <c r="G5536" t="s">
        <v>59</v>
      </c>
      <c r="H5536">
        <v>2024</v>
      </c>
    </row>
    <row r="5537" spans="1:8" x14ac:dyDescent="0.2">
      <c r="A5537">
        <v>259680</v>
      </c>
      <c r="B5537">
        <v>160485</v>
      </c>
      <c r="C5537" t="str">
        <f t="shared" si="86"/>
        <v>5. $1M+</v>
      </c>
      <c r="D5537" t="s">
        <v>2124</v>
      </c>
      <c r="E5537" t="s">
        <v>99</v>
      </c>
      <c r="F5537" t="s">
        <v>668</v>
      </c>
      <c r="G5537" t="s">
        <v>59</v>
      </c>
      <c r="H5537">
        <v>2024</v>
      </c>
    </row>
    <row r="5538" spans="1:8" x14ac:dyDescent="0.2">
      <c r="A5538">
        <v>259681</v>
      </c>
      <c r="B5538">
        <v>114971</v>
      </c>
      <c r="C5538" t="str">
        <f t="shared" si="86"/>
        <v>3. $50K-250K</v>
      </c>
      <c r="D5538" t="s">
        <v>856</v>
      </c>
      <c r="E5538" t="s">
        <v>99</v>
      </c>
      <c r="F5538" t="s">
        <v>668</v>
      </c>
      <c r="G5538" t="s">
        <v>59</v>
      </c>
      <c r="H5538">
        <v>2024</v>
      </c>
    </row>
    <row r="5539" spans="1:8" x14ac:dyDescent="0.2">
      <c r="A5539">
        <v>259682</v>
      </c>
      <c r="B5539">
        <v>74778</v>
      </c>
      <c r="C5539" t="str">
        <f t="shared" si="86"/>
        <v>3. $50K-250K</v>
      </c>
      <c r="D5539" t="s">
        <v>2125</v>
      </c>
      <c r="E5539" t="s">
        <v>99</v>
      </c>
      <c r="F5539" t="s">
        <v>668</v>
      </c>
      <c r="G5539" t="s">
        <v>59</v>
      </c>
      <c r="H5539">
        <v>2024</v>
      </c>
    </row>
    <row r="5540" spans="1:8" x14ac:dyDescent="0.2">
      <c r="A5540">
        <v>259683</v>
      </c>
      <c r="B5540">
        <v>5000</v>
      </c>
      <c r="C5540" t="str">
        <f t="shared" si="86"/>
        <v>3. $50K-250K</v>
      </c>
      <c r="D5540" t="s">
        <v>797</v>
      </c>
      <c r="E5540" t="s">
        <v>99</v>
      </c>
      <c r="F5540" t="s">
        <v>668</v>
      </c>
      <c r="G5540" t="s">
        <v>59</v>
      </c>
      <c r="H5540">
        <v>2024</v>
      </c>
    </row>
    <row r="5541" spans="1:8" x14ac:dyDescent="0.2">
      <c r="A5541">
        <v>259686</v>
      </c>
      <c r="B5541">
        <v>200000</v>
      </c>
      <c r="C5541" t="str">
        <f t="shared" si="86"/>
        <v>1. Under $10K</v>
      </c>
      <c r="D5541" t="s">
        <v>774</v>
      </c>
      <c r="E5541" t="s">
        <v>99</v>
      </c>
      <c r="F5541" t="s">
        <v>668</v>
      </c>
      <c r="G5541" t="s">
        <v>59</v>
      </c>
      <c r="H5541">
        <v>2024</v>
      </c>
    </row>
    <row r="5542" spans="1:8" x14ac:dyDescent="0.2">
      <c r="A5542">
        <v>259733</v>
      </c>
      <c r="B5542">
        <v>5500000</v>
      </c>
      <c r="C5542" t="str">
        <f t="shared" si="86"/>
        <v>3. $50K-250K</v>
      </c>
      <c r="D5542" t="s">
        <v>2126</v>
      </c>
      <c r="E5542" t="s">
        <v>99</v>
      </c>
      <c r="F5542" t="s">
        <v>668</v>
      </c>
      <c r="G5542" t="s">
        <v>59</v>
      </c>
      <c r="H5542">
        <v>2024</v>
      </c>
    </row>
    <row r="5543" spans="1:8" x14ac:dyDescent="0.2">
      <c r="A5543">
        <v>259757</v>
      </c>
      <c r="B5543">
        <v>58810.7</v>
      </c>
      <c r="C5543" t="str">
        <f t="shared" si="86"/>
        <v>5. $1M+</v>
      </c>
      <c r="D5543" t="s">
        <v>880</v>
      </c>
      <c r="E5543" t="s">
        <v>237</v>
      </c>
      <c r="F5543" t="s">
        <v>670</v>
      </c>
      <c r="G5543" t="s">
        <v>59</v>
      </c>
      <c r="H5543">
        <v>2024</v>
      </c>
    </row>
    <row r="5544" spans="1:8" x14ac:dyDescent="0.2">
      <c r="A5544">
        <v>259831</v>
      </c>
      <c r="B5544">
        <v>41800</v>
      </c>
      <c r="C5544" t="str">
        <f t="shared" si="86"/>
        <v>3. $50K-250K</v>
      </c>
      <c r="D5544" t="s">
        <v>901</v>
      </c>
      <c r="E5544" t="s">
        <v>237</v>
      </c>
      <c r="F5544" t="s">
        <v>670</v>
      </c>
      <c r="G5544" t="s">
        <v>59</v>
      </c>
      <c r="H5544">
        <v>2024</v>
      </c>
    </row>
    <row r="5545" spans="1:8" x14ac:dyDescent="0.2">
      <c r="A5545">
        <v>259836</v>
      </c>
      <c r="B5545">
        <v>504868.6</v>
      </c>
      <c r="C5545" t="str">
        <f t="shared" si="86"/>
        <v>2. $10K-50K</v>
      </c>
      <c r="D5545" t="s">
        <v>986</v>
      </c>
      <c r="E5545" t="s">
        <v>237</v>
      </c>
      <c r="F5545" t="s">
        <v>670</v>
      </c>
      <c r="G5545" t="s">
        <v>59</v>
      </c>
      <c r="H5545">
        <v>2024</v>
      </c>
    </row>
    <row r="5546" spans="1:8" x14ac:dyDescent="0.2">
      <c r="A5546">
        <v>259848</v>
      </c>
      <c r="B5546">
        <v>1000000</v>
      </c>
      <c r="C5546" t="str">
        <f t="shared" si="86"/>
        <v>4. $250K-1M</v>
      </c>
      <c r="D5546" t="s">
        <v>391</v>
      </c>
      <c r="E5546" t="s">
        <v>237</v>
      </c>
      <c r="F5546" t="s">
        <v>670</v>
      </c>
      <c r="G5546" t="s">
        <v>59</v>
      </c>
      <c r="H5546">
        <v>2024</v>
      </c>
    </row>
    <row r="5547" spans="1:8" x14ac:dyDescent="0.2">
      <c r="A5547">
        <v>259849</v>
      </c>
      <c r="B5547">
        <v>69995.8</v>
      </c>
      <c r="C5547" t="str">
        <f t="shared" si="86"/>
        <v>5. $1M+</v>
      </c>
      <c r="D5547" t="s">
        <v>726</v>
      </c>
      <c r="E5547" t="s">
        <v>237</v>
      </c>
      <c r="F5547" t="s">
        <v>670</v>
      </c>
      <c r="G5547" t="s">
        <v>59</v>
      </c>
      <c r="H5547">
        <v>2024</v>
      </c>
    </row>
    <row r="5548" spans="1:8" x14ac:dyDescent="0.2">
      <c r="A5548">
        <v>259887</v>
      </c>
      <c r="B5548">
        <v>41632</v>
      </c>
      <c r="C5548" t="str">
        <f t="shared" si="86"/>
        <v>3. $50K-250K</v>
      </c>
      <c r="D5548" t="s">
        <v>901</v>
      </c>
      <c r="E5548" t="s">
        <v>237</v>
      </c>
      <c r="F5548" t="s">
        <v>670</v>
      </c>
      <c r="G5548" t="s">
        <v>59</v>
      </c>
      <c r="H5548">
        <v>2024</v>
      </c>
    </row>
    <row r="5549" spans="1:8" x14ac:dyDescent="0.2">
      <c r="A5549">
        <v>259898</v>
      </c>
      <c r="B5549">
        <v>89954.2</v>
      </c>
      <c r="C5549" t="str">
        <f t="shared" si="86"/>
        <v>2. $10K-50K</v>
      </c>
      <c r="D5549" t="s">
        <v>726</v>
      </c>
      <c r="E5549" t="s">
        <v>237</v>
      </c>
      <c r="F5549" t="s">
        <v>670</v>
      </c>
      <c r="G5549" t="s">
        <v>59</v>
      </c>
      <c r="H5549">
        <v>2024</v>
      </c>
    </row>
    <row r="5550" spans="1:8" x14ac:dyDescent="0.2">
      <c r="A5550">
        <v>259899</v>
      </c>
      <c r="B5550">
        <v>87000</v>
      </c>
      <c r="C5550" t="str">
        <f t="shared" si="86"/>
        <v>3. $50K-250K</v>
      </c>
      <c r="D5550" t="s">
        <v>912</v>
      </c>
      <c r="E5550" t="s">
        <v>237</v>
      </c>
      <c r="F5550" t="s">
        <v>670</v>
      </c>
      <c r="G5550" t="s">
        <v>59</v>
      </c>
      <c r="H5550">
        <v>2024</v>
      </c>
    </row>
    <row r="5551" spans="1:8" x14ac:dyDescent="0.2">
      <c r="A5551">
        <v>259900</v>
      </c>
      <c r="B5551">
        <v>41800</v>
      </c>
      <c r="C5551" t="str">
        <f t="shared" si="86"/>
        <v>3. $50K-250K</v>
      </c>
      <c r="D5551" t="s">
        <v>901</v>
      </c>
      <c r="E5551" t="s">
        <v>237</v>
      </c>
      <c r="F5551" t="s">
        <v>670</v>
      </c>
      <c r="G5551" t="s">
        <v>59</v>
      </c>
      <c r="H5551">
        <v>2024</v>
      </c>
    </row>
    <row r="5552" spans="1:8" x14ac:dyDescent="0.2">
      <c r="A5552">
        <v>259902</v>
      </c>
      <c r="B5552">
        <v>85779.9</v>
      </c>
      <c r="C5552" t="str">
        <f t="shared" si="86"/>
        <v>2. $10K-50K</v>
      </c>
      <c r="D5552" t="s">
        <v>922</v>
      </c>
      <c r="E5552" t="s">
        <v>237</v>
      </c>
      <c r="F5552" t="s">
        <v>670</v>
      </c>
      <c r="G5552" t="s">
        <v>59</v>
      </c>
      <c r="H5552">
        <v>2024</v>
      </c>
    </row>
    <row r="5553" spans="1:8" x14ac:dyDescent="0.2">
      <c r="A5553">
        <v>259905</v>
      </c>
      <c r="B5553">
        <v>41800</v>
      </c>
      <c r="C5553" t="str">
        <f t="shared" si="86"/>
        <v>3. $50K-250K</v>
      </c>
      <c r="D5553" t="s">
        <v>901</v>
      </c>
      <c r="E5553" t="s">
        <v>237</v>
      </c>
      <c r="F5553" t="s">
        <v>670</v>
      </c>
      <c r="G5553" t="s">
        <v>59</v>
      </c>
      <c r="H5553">
        <v>2024</v>
      </c>
    </row>
    <row r="5554" spans="1:8" x14ac:dyDescent="0.2">
      <c r="A5554">
        <v>259906</v>
      </c>
      <c r="B5554">
        <v>41800</v>
      </c>
      <c r="C5554" t="str">
        <f t="shared" si="86"/>
        <v>2. $10K-50K</v>
      </c>
      <c r="D5554" t="s">
        <v>901</v>
      </c>
      <c r="E5554" t="s">
        <v>237</v>
      </c>
      <c r="F5554" t="s">
        <v>670</v>
      </c>
      <c r="G5554" t="s">
        <v>59</v>
      </c>
      <c r="H5554">
        <v>2024</v>
      </c>
    </row>
    <row r="5555" spans="1:8" x14ac:dyDescent="0.2">
      <c r="A5555">
        <v>259910</v>
      </c>
      <c r="B5555">
        <v>41875</v>
      </c>
      <c r="C5555" t="str">
        <f t="shared" si="86"/>
        <v>2. $10K-50K</v>
      </c>
      <c r="D5555" t="s">
        <v>748</v>
      </c>
      <c r="E5555" t="s">
        <v>237</v>
      </c>
      <c r="F5555" t="s">
        <v>670</v>
      </c>
      <c r="G5555" t="s">
        <v>59</v>
      </c>
      <c r="H5555">
        <v>2024</v>
      </c>
    </row>
    <row r="5556" spans="1:8" x14ac:dyDescent="0.2">
      <c r="A5556">
        <v>259911</v>
      </c>
      <c r="B5556">
        <v>41874.9</v>
      </c>
      <c r="C5556" t="str">
        <f t="shared" si="86"/>
        <v>2. $10K-50K</v>
      </c>
      <c r="D5556" t="s">
        <v>899</v>
      </c>
      <c r="E5556" t="s">
        <v>237</v>
      </c>
      <c r="F5556" t="s">
        <v>670</v>
      </c>
      <c r="G5556" t="s">
        <v>59</v>
      </c>
      <c r="H5556">
        <v>2024</v>
      </c>
    </row>
    <row r="5557" spans="1:8" x14ac:dyDescent="0.2">
      <c r="A5557">
        <v>259913</v>
      </c>
      <c r="B5557">
        <v>1799823.7</v>
      </c>
      <c r="C5557" t="str">
        <f t="shared" si="86"/>
        <v>2. $10K-50K</v>
      </c>
      <c r="D5557" t="s">
        <v>863</v>
      </c>
      <c r="E5557" t="s">
        <v>237</v>
      </c>
      <c r="F5557" t="s">
        <v>670</v>
      </c>
      <c r="G5557" t="s">
        <v>59</v>
      </c>
      <c r="H5557">
        <v>2024</v>
      </c>
    </row>
    <row r="5558" spans="1:8" x14ac:dyDescent="0.2">
      <c r="A5558">
        <v>259926</v>
      </c>
      <c r="B5558">
        <v>32140</v>
      </c>
      <c r="C5558" t="str">
        <f t="shared" si="86"/>
        <v>5. $1M+</v>
      </c>
      <c r="D5558" t="s">
        <v>792</v>
      </c>
      <c r="E5558" t="s">
        <v>237</v>
      </c>
      <c r="F5558" t="s">
        <v>670</v>
      </c>
      <c r="G5558" t="s">
        <v>59</v>
      </c>
      <c r="H5558">
        <v>2024</v>
      </c>
    </row>
    <row r="5559" spans="1:8" x14ac:dyDescent="0.2">
      <c r="A5559">
        <v>260100</v>
      </c>
      <c r="B5559">
        <v>51779.199999999997</v>
      </c>
      <c r="C5559" t="str">
        <f t="shared" si="86"/>
        <v>2. $10K-50K</v>
      </c>
      <c r="D5559" t="s">
        <v>801</v>
      </c>
      <c r="E5559" t="s">
        <v>237</v>
      </c>
      <c r="F5559" t="s">
        <v>670</v>
      </c>
      <c r="G5559" t="s">
        <v>59</v>
      </c>
      <c r="H5559">
        <v>2024</v>
      </c>
    </row>
    <row r="5560" spans="1:8" x14ac:dyDescent="0.2">
      <c r="A5560">
        <v>260103</v>
      </c>
      <c r="B5560">
        <v>180000</v>
      </c>
      <c r="C5560" t="str">
        <f t="shared" si="86"/>
        <v>3. $50K-250K</v>
      </c>
      <c r="D5560" t="s">
        <v>912</v>
      </c>
      <c r="E5560" t="s">
        <v>237</v>
      </c>
      <c r="F5560" t="s">
        <v>670</v>
      </c>
      <c r="G5560" t="s">
        <v>59</v>
      </c>
      <c r="H5560">
        <v>2024</v>
      </c>
    </row>
    <row r="5561" spans="1:8" x14ac:dyDescent="0.2">
      <c r="A5561">
        <v>260104</v>
      </c>
      <c r="B5561">
        <v>73117.5</v>
      </c>
      <c r="C5561" t="str">
        <f t="shared" si="86"/>
        <v>3. $50K-250K</v>
      </c>
      <c r="D5561" t="s">
        <v>915</v>
      </c>
      <c r="E5561" t="s">
        <v>237</v>
      </c>
      <c r="F5561" t="s">
        <v>670</v>
      </c>
      <c r="G5561" t="s">
        <v>59</v>
      </c>
      <c r="H5561">
        <v>2024</v>
      </c>
    </row>
    <row r="5562" spans="1:8" x14ac:dyDescent="0.2">
      <c r="A5562">
        <v>260110</v>
      </c>
      <c r="B5562">
        <v>138000</v>
      </c>
      <c r="C5562" t="str">
        <f t="shared" si="86"/>
        <v>3. $50K-250K</v>
      </c>
      <c r="D5562" t="s">
        <v>989</v>
      </c>
      <c r="E5562" t="s">
        <v>237</v>
      </c>
      <c r="F5562" t="s">
        <v>670</v>
      </c>
      <c r="G5562" t="s">
        <v>59</v>
      </c>
      <c r="H5562">
        <v>2024</v>
      </c>
    </row>
    <row r="5563" spans="1:8" x14ac:dyDescent="0.2">
      <c r="A5563">
        <v>260111</v>
      </c>
      <c r="B5563">
        <v>69000</v>
      </c>
      <c r="C5563" t="str">
        <f t="shared" si="86"/>
        <v>3. $50K-250K</v>
      </c>
      <c r="D5563" t="s">
        <v>719</v>
      </c>
      <c r="E5563" t="s">
        <v>237</v>
      </c>
      <c r="F5563" t="s">
        <v>670</v>
      </c>
      <c r="G5563" t="s">
        <v>59</v>
      </c>
      <c r="H5563">
        <v>2024</v>
      </c>
    </row>
    <row r="5564" spans="1:8" x14ac:dyDescent="0.2">
      <c r="A5564">
        <v>260112</v>
      </c>
      <c r="B5564">
        <v>103500</v>
      </c>
      <c r="C5564" t="str">
        <f t="shared" si="86"/>
        <v>3. $50K-250K</v>
      </c>
      <c r="D5564" t="s">
        <v>1168</v>
      </c>
      <c r="E5564" t="s">
        <v>237</v>
      </c>
      <c r="F5564" t="s">
        <v>670</v>
      </c>
      <c r="G5564" t="s">
        <v>59</v>
      </c>
      <c r="H5564">
        <v>2024</v>
      </c>
    </row>
    <row r="5565" spans="1:8" x14ac:dyDescent="0.2">
      <c r="A5565">
        <v>260113</v>
      </c>
      <c r="B5565">
        <v>69000</v>
      </c>
      <c r="C5565" t="str">
        <f t="shared" si="86"/>
        <v>3. $50K-250K</v>
      </c>
      <c r="D5565" t="s">
        <v>677</v>
      </c>
      <c r="E5565" t="s">
        <v>237</v>
      </c>
      <c r="F5565" t="s">
        <v>670</v>
      </c>
      <c r="G5565" t="s">
        <v>59</v>
      </c>
      <c r="H5565">
        <v>2024</v>
      </c>
    </row>
    <row r="5566" spans="1:8" x14ac:dyDescent="0.2">
      <c r="A5566">
        <v>260127</v>
      </c>
      <c r="B5566">
        <v>129676.7</v>
      </c>
      <c r="C5566" t="str">
        <f t="shared" si="86"/>
        <v>3. $50K-250K</v>
      </c>
      <c r="D5566" t="s">
        <v>801</v>
      </c>
      <c r="E5566" t="s">
        <v>237</v>
      </c>
      <c r="F5566" t="s">
        <v>670</v>
      </c>
      <c r="G5566" t="s">
        <v>59</v>
      </c>
      <c r="H5566">
        <v>2024</v>
      </c>
    </row>
    <row r="5567" spans="1:8" x14ac:dyDescent="0.2">
      <c r="A5567">
        <v>260129</v>
      </c>
      <c r="B5567">
        <v>150000</v>
      </c>
      <c r="C5567" t="str">
        <f t="shared" si="86"/>
        <v>3. $50K-250K</v>
      </c>
      <c r="D5567" t="s">
        <v>921</v>
      </c>
      <c r="E5567" t="s">
        <v>237</v>
      </c>
      <c r="F5567" t="s">
        <v>670</v>
      </c>
      <c r="G5567" t="s">
        <v>59</v>
      </c>
      <c r="H5567">
        <v>2024</v>
      </c>
    </row>
    <row r="5568" spans="1:8" x14ac:dyDescent="0.2">
      <c r="A5568">
        <v>260132</v>
      </c>
      <c r="B5568">
        <v>73438.600000000006</v>
      </c>
      <c r="C5568" t="str">
        <f t="shared" si="86"/>
        <v>3. $50K-250K</v>
      </c>
      <c r="D5568" t="s">
        <v>914</v>
      </c>
      <c r="E5568" t="s">
        <v>237</v>
      </c>
      <c r="F5568" t="s">
        <v>670</v>
      </c>
      <c r="G5568" t="s">
        <v>59</v>
      </c>
      <c r="H5568">
        <v>2024</v>
      </c>
    </row>
    <row r="5569" spans="1:8" x14ac:dyDescent="0.2">
      <c r="A5569">
        <v>260133</v>
      </c>
      <c r="B5569">
        <v>50862.1</v>
      </c>
      <c r="C5569" t="str">
        <f t="shared" si="86"/>
        <v>3. $50K-250K</v>
      </c>
      <c r="D5569" t="s">
        <v>1173</v>
      </c>
      <c r="E5569" t="s">
        <v>432</v>
      </c>
      <c r="F5569" t="s">
        <v>670</v>
      </c>
      <c r="G5569" t="s">
        <v>59</v>
      </c>
      <c r="H5569">
        <v>2024</v>
      </c>
    </row>
    <row r="5570" spans="1:8" x14ac:dyDescent="0.2">
      <c r="A5570">
        <v>260139</v>
      </c>
      <c r="B5570">
        <v>58868.1</v>
      </c>
      <c r="C5570" t="str">
        <f t="shared" si="86"/>
        <v>3. $50K-250K</v>
      </c>
      <c r="D5570" t="s">
        <v>915</v>
      </c>
      <c r="E5570" t="s">
        <v>237</v>
      </c>
      <c r="F5570" t="s">
        <v>670</v>
      </c>
      <c r="G5570" t="s">
        <v>59</v>
      </c>
      <c r="H5570">
        <v>2024</v>
      </c>
    </row>
    <row r="5571" spans="1:8" x14ac:dyDescent="0.2">
      <c r="A5571">
        <v>260376</v>
      </c>
      <c r="B5571">
        <v>604345.9</v>
      </c>
      <c r="C5571" t="str">
        <f t="shared" ref="C5571:C5634" si="87">IF(B5570&lt;10000,"1. Under $10K",IF(B5570&lt;50000,"2. $10K-50K",IF(B5570&lt;250000,"3. $50K-250K",IF(B5570&lt;1000000,"4. $250K-1M","5. $1M+"))))</f>
        <v>3. $50K-250K</v>
      </c>
      <c r="D5571" t="s">
        <v>1531</v>
      </c>
      <c r="E5571" t="s">
        <v>368</v>
      </c>
      <c r="F5571" t="s">
        <v>668</v>
      </c>
      <c r="G5571" t="s">
        <v>59</v>
      </c>
      <c r="H5571">
        <v>2024</v>
      </c>
    </row>
    <row r="5572" spans="1:8" x14ac:dyDescent="0.2">
      <c r="A5572">
        <v>260435</v>
      </c>
      <c r="B5572">
        <v>505000</v>
      </c>
      <c r="C5572" t="str">
        <f t="shared" si="87"/>
        <v>4. $250K-1M</v>
      </c>
      <c r="D5572" t="s">
        <v>1057</v>
      </c>
      <c r="E5572" t="s">
        <v>42</v>
      </c>
      <c r="F5572" t="s">
        <v>670</v>
      </c>
      <c r="G5572" t="s">
        <v>59</v>
      </c>
      <c r="H5572">
        <v>2024</v>
      </c>
    </row>
    <row r="5573" spans="1:8" x14ac:dyDescent="0.2">
      <c r="A5573">
        <v>260436</v>
      </c>
      <c r="B5573">
        <v>53219.6</v>
      </c>
      <c r="C5573" t="str">
        <f t="shared" si="87"/>
        <v>4. $250K-1M</v>
      </c>
      <c r="D5573" t="s">
        <v>690</v>
      </c>
      <c r="E5573" t="s">
        <v>42</v>
      </c>
      <c r="F5573" t="s">
        <v>670</v>
      </c>
      <c r="G5573" t="s">
        <v>59</v>
      </c>
      <c r="H5573">
        <v>2024</v>
      </c>
    </row>
    <row r="5574" spans="1:8" x14ac:dyDescent="0.2">
      <c r="A5574">
        <v>260437</v>
      </c>
      <c r="B5574">
        <v>27024.5</v>
      </c>
      <c r="C5574" t="str">
        <f t="shared" si="87"/>
        <v>3. $50K-250K</v>
      </c>
      <c r="D5574" t="s">
        <v>688</v>
      </c>
      <c r="E5574" t="s">
        <v>42</v>
      </c>
      <c r="F5574" t="s">
        <v>670</v>
      </c>
      <c r="G5574" t="s">
        <v>59</v>
      </c>
      <c r="H5574">
        <v>2024</v>
      </c>
    </row>
    <row r="5575" spans="1:8" x14ac:dyDescent="0.2">
      <c r="A5575">
        <v>260453</v>
      </c>
      <c r="B5575">
        <v>141600</v>
      </c>
      <c r="C5575" t="str">
        <f t="shared" si="87"/>
        <v>2. $10K-50K</v>
      </c>
      <c r="D5575" t="s">
        <v>934</v>
      </c>
      <c r="E5575" t="s">
        <v>237</v>
      </c>
      <c r="F5575" t="s">
        <v>670</v>
      </c>
      <c r="G5575" t="s">
        <v>59</v>
      </c>
      <c r="H5575">
        <v>2024</v>
      </c>
    </row>
    <row r="5576" spans="1:8" x14ac:dyDescent="0.2">
      <c r="A5576">
        <v>260460</v>
      </c>
      <c r="B5576">
        <v>220000</v>
      </c>
      <c r="C5576" t="str">
        <f t="shared" si="87"/>
        <v>3. $50K-250K</v>
      </c>
      <c r="D5576" t="s">
        <v>2127</v>
      </c>
      <c r="E5576" t="s">
        <v>112</v>
      </c>
      <c r="F5576" t="s">
        <v>668</v>
      </c>
      <c r="G5576" t="s">
        <v>59</v>
      </c>
      <c r="H5576">
        <v>2024</v>
      </c>
    </row>
    <row r="5577" spans="1:8" x14ac:dyDescent="0.2">
      <c r="A5577">
        <v>260462</v>
      </c>
      <c r="B5577">
        <v>2300000</v>
      </c>
      <c r="C5577" t="str">
        <f t="shared" si="87"/>
        <v>3. $50K-250K</v>
      </c>
      <c r="D5577" t="s">
        <v>300</v>
      </c>
      <c r="E5577" t="s">
        <v>99</v>
      </c>
      <c r="F5577" t="s">
        <v>43</v>
      </c>
      <c r="G5577" t="s">
        <v>61</v>
      </c>
      <c r="H5577">
        <v>2024</v>
      </c>
    </row>
    <row r="5578" spans="1:8" x14ac:dyDescent="0.2">
      <c r="A5578">
        <v>260465</v>
      </c>
      <c r="B5578">
        <v>138000</v>
      </c>
      <c r="C5578" t="str">
        <f t="shared" si="87"/>
        <v>5. $1M+</v>
      </c>
      <c r="D5578" t="s">
        <v>799</v>
      </c>
      <c r="E5578" t="s">
        <v>237</v>
      </c>
      <c r="F5578" t="s">
        <v>670</v>
      </c>
      <c r="G5578" t="s">
        <v>59</v>
      </c>
      <c r="H5578">
        <v>2024</v>
      </c>
    </row>
    <row r="5579" spans="1:8" x14ac:dyDescent="0.2">
      <c r="A5579">
        <v>260466</v>
      </c>
      <c r="B5579">
        <v>69000</v>
      </c>
      <c r="C5579" t="str">
        <f t="shared" si="87"/>
        <v>3. $50K-250K</v>
      </c>
      <c r="D5579" t="s">
        <v>919</v>
      </c>
      <c r="E5579" t="s">
        <v>237</v>
      </c>
      <c r="F5579" t="s">
        <v>670</v>
      </c>
      <c r="G5579" t="s">
        <v>59</v>
      </c>
      <c r="H5579">
        <v>2024</v>
      </c>
    </row>
    <row r="5580" spans="1:8" x14ac:dyDescent="0.2">
      <c r="A5580">
        <v>260467</v>
      </c>
      <c r="B5580">
        <v>138000</v>
      </c>
      <c r="C5580" t="str">
        <f t="shared" si="87"/>
        <v>3. $50K-250K</v>
      </c>
      <c r="D5580" t="s">
        <v>694</v>
      </c>
      <c r="E5580" t="s">
        <v>237</v>
      </c>
      <c r="F5580" t="s">
        <v>670</v>
      </c>
      <c r="G5580" t="s">
        <v>59</v>
      </c>
      <c r="H5580">
        <v>2024</v>
      </c>
    </row>
    <row r="5581" spans="1:8" x14ac:dyDescent="0.2">
      <c r="A5581">
        <v>260468</v>
      </c>
      <c r="B5581">
        <v>69000</v>
      </c>
      <c r="C5581" t="str">
        <f t="shared" si="87"/>
        <v>3. $50K-250K</v>
      </c>
      <c r="D5581" t="s">
        <v>1068</v>
      </c>
      <c r="E5581" t="s">
        <v>237</v>
      </c>
      <c r="F5581" t="s">
        <v>670</v>
      </c>
      <c r="G5581" t="s">
        <v>59</v>
      </c>
      <c r="H5581">
        <v>2024</v>
      </c>
    </row>
    <row r="5582" spans="1:8" x14ac:dyDescent="0.2">
      <c r="A5582">
        <v>260469</v>
      </c>
      <c r="B5582">
        <v>125000</v>
      </c>
      <c r="C5582" t="str">
        <f t="shared" si="87"/>
        <v>3. $50K-250K</v>
      </c>
      <c r="D5582" t="s">
        <v>908</v>
      </c>
      <c r="E5582" t="s">
        <v>237</v>
      </c>
      <c r="F5582" t="s">
        <v>670</v>
      </c>
      <c r="G5582" t="s">
        <v>59</v>
      </c>
      <c r="H5582">
        <v>2024</v>
      </c>
    </row>
    <row r="5583" spans="1:8" x14ac:dyDescent="0.2">
      <c r="A5583">
        <v>260470</v>
      </c>
      <c r="B5583">
        <v>52800</v>
      </c>
      <c r="C5583" t="str">
        <f t="shared" si="87"/>
        <v>3. $50K-250K</v>
      </c>
      <c r="D5583" t="s">
        <v>869</v>
      </c>
      <c r="E5583" t="s">
        <v>237</v>
      </c>
      <c r="F5583" t="s">
        <v>670</v>
      </c>
      <c r="G5583" t="s">
        <v>59</v>
      </c>
      <c r="H5583">
        <v>2024</v>
      </c>
    </row>
    <row r="5584" spans="1:8" x14ac:dyDescent="0.2">
      <c r="A5584">
        <v>260471</v>
      </c>
      <c r="B5584">
        <v>69000</v>
      </c>
      <c r="C5584" t="str">
        <f t="shared" si="87"/>
        <v>3. $50K-250K</v>
      </c>
      <c r="D5584" t="s">
        <v>1076</v>
      </c>
      <c r="E5584" t="s">
        <v>237</v>
      </c>
      <c r="F5584" t="s">
        <v>670</v>
      </c>
      <c r="G5584" t="s">
        <v>59</v>
      </c>
      <c r="H5584">
        <v>2024</v>
      </c>
    </row>
    <row r="5585" spans="1:8" x14ac:dyDescent="0.2">
      <c r="A5585">
        <v>260472</v>
      </c>
      <c r="B5585">
        <v>120000</v>
      </c>
      <c r="C5585" t="str">
        <f t="shared" si="87"/>
        <v>3. $50K-250K</v>
      </c>
      <c r="D5585" t="s">
        <v>694</v>
      </c>
      <c r="E5585" t="s">
        <v>237</v>
      </c>
      <c r="F5585" t="s">
        <v>670</v>
      </c>
      <c r="G5585" t="s">
        <v>59</v>
      </c>
      <c r="H5585">
        <v>2024</v>
      </c>
    </row>
    <row r="5586" spans="1:8" x14ac:dyDescent="0.2">
      <c r="A5586">
        <v>260473</v>
      </c>
      <c r="B5586">
        <v>103500</v>
      </c>
      <c r="C5586" t="str">
        <f t="shared" si="87"/>
        <v>3. $50K-250K</v>
      </c>
      <c r="D5586" t="s">
        <v>724</v>
      </c>
      <c r="E5586" t="s">
        <v>237</v>
      </c>
      <c r="F5586" t="s">
        <v>670</v>
      </c>
      <c r="G5586" t="s">
        <v>59</v>
      </c>
      <c r="H5586">
        <v>2024</v>
      </c>
    </row>
    <row r="5587" spans="1:8" x14ac:dyDescent="0.2">
      <c r="A5587">
        <v>260474</v>
      </c>
      <c r="B5587">
        <v>138000</v>
      </c>
      <c r="C5587" t="str">
        <f t="shared" si="87"/>
        <v>3. $50K-250K</v>
      </c>
      <c r="D5587" t="s">
        <v>1067</v>
      </c>
      <c r="E5587" t="s">
        <v>237</v>
      </c>
      <c r="F5587" t="s">
        <v>670</v>
      </c>
      <c r="G5587" t="s">
        <v>59</v>
      </c>
      <c r="H5587">
        <v>2024</v>
      </c>
    </row>
    <row r="5588" spans="1:8" x14ac:dyDescent="0.2">
      <c r="A5588">
        <v>260475</v>
      </c>
      <c r="B5588">
        <v>69000</v>
      </c>
      <c r="C5588" t="str">
        <f t="shared" si="87"/>
        <v>3. $50K-250K</v>
      </c>
      <c r="D5588" t="s">
        <v>1167</v>
      </c>
      <c r="E5588" t="s">
        <v>237</v>
      </c>
      <c r="F5588" t="s">
        <v>670</v>
      </c>
      <c r="G5588" t="s">
        <v>59</v>
      </c>
      <c r="H5588">
        <v>2024</v>
      </c>
    </row>
    <row r="5589" spans="1:8" x14ac:dyDescent="0.2">
      <c r="A5589">
        <v>260476</v>
      </c>
      <c r="B5589">
        <v>54000</v>
      </c>
      <c r="C5589" t="str">
        <f t="shared" si="87"/>
        <v>3. $50K-250K</v>
      </c>
      <c r="D5589" t="s">
        <v>1064</v>
      </c>
      <c r="E5589" t="s">
        <v>237</v>
      </c>
      <c r="F5589" t="s">
        <v>670</v>
      </c>
      <c r="G5589" t="s">
        <v>59</v>
      </c>
      <c r="H5589">
        <v>2024</v>
      </c>
    </row>
    <row r="5590" spans="1:8" x14ac:dyDescent="0.2">
      <c r="A5590">
        <v>260477</v>
      </c>
      <c r="B5590">
        <v>177787</v>
      </c>
      <c r="C5590" t="str">
        <f t="shared" si="87"/>
        <v>3. $50K-250K</v>
      </c>
      <c r="D5590" t="s">
        <v>856</v>
      </c>
      <c r="E5590" t="s">
        <v>237</v>
      </c>
      <c r="F5590" t="s">
        <v>670</v>
      </c>
      <c r="G5590" t="s">
        <v>59</v>
      </c>
      <c r="H5590">
        <v>2024</v>
      </c>
    </row>
    <row r="5591" spans="1:8" x14ac:dyDescent="0.2">
      <c r="A5591">
        <v>260478</v>
      </c>
      <c r="B5591">
        <v>155055</v>
      </c>
      <c r="C5591" t="str">
        <f t="shared" si="87"/>
        <v>3. $50K-250K</v>
      </c>
      <c r="D5591" t="s">
        <v>928</v>
      </c>
      <c r="E5591" t="s">
        <v>237</v>
      </c>
      <c r="F5591" t="s">
        <v>670</v>
      </c>
      <c r="G5591" t="s">
        <v>59</v>
      </c>
      <c r="H5591">
        <v>2024</v>
      </c>
    </row>
    <row r="5592" spans="1:8" x14ac:dyDescent="0.2">
      <c r="A5592">
        <v>260479</v>
      </c>
      <c r="B5592">
        <v>1531007.8</v>
      </c>
      <c r="C5592" t="str">
        <f t="shared" si="87"/>
        <v>3. $50K-250K</v>
      </c>
      <c r="D5592" t="s">
        <v>704</v>
      </c>
      <c r="E5592" t="s">
        <v>237</v>
      </c>
      <c r="F5592" t="s">
        <v>670</v>
      </c>
      <c r="G5592" t="s">
        <v>59</v>
      </c>
      <c r="H5592">
        <v>2024</v>
      </c>
    </row>
    <row r="5593" spans="1:8" x14ac:dyDescent="0.2">
      <c r="A5593">
        <v>260480</v>
      </c>
      <c r="B5593">
        <v>526080</v>
      </c>
      <c r="C5593" t="str">
        <f t="shared" si="87"/>
        <v>5. $1M+</v>
      </c>
      <c r="D5593" t="s">
        <v>695</v>
      </c>
      <c r="E5593" t="s">
        <v>237</v>
      </c>
      <c r="F5593" t="s">
        <v>670</v>
      </c>
      <c r="G5593" t="s">
        <v>59</v>
      </c>
      <c r="H5593">
        <v>2024</v>
      </c>
    </row>
    <row r="5594" spans="1:8" x14ac:dyDescent="0.2">
      <c r="A5594">
        <v>260484</v>
      </c>
      <c r="B5594">
        <v>385283</v>
      </c>
      <c r="C5594" t="str">
        <f t="shared" si="87"/>
        <v>4. $250K-1M</v>
      </c>
      <c r="D5594" t="s">
        <v>391</v>
      </c>
      <c r="E5594" t="s">
        <v>42</v>
      </c>
      <c r="F5594" t="s">
        <v>670</v>
      </c>
      <c r="G5594" t="s">
        <v>59</v>
      </c>
      <c r="H5594">
        <v>2024</v>
      </c>
    </row>
    <row r="5595" spans="1:8" x14ac:dyDescent="0.2">
      <c r="A5595">
        <v>260485</v>
      </c>
      <c r="B5595">
        <v>129000</v>
      </c>
      <c r="C5595" t="str">
        <f t="shared" si="87"/>
        <v>4. $250K-1M</v>
      </c>
      <c r="D5595" t="s">
        <v>1663</v>
      </c>
      <c r="E5595" t="s">
        <v>42</v>
      </c>
      <c r="F5595" t="s">
        <v>670</v>
      </c>
      <c r="G5595" t="s">
        <v>59</v>
      </c>
      <c r="H5595">
        <v>2024</v>
      </c>
    </row>
    <row r="5596" spans="1:8" x14ac:dyDescent="0.2">
      <c r="A5596">
        <v>260486</v>
      </c>
      <c r="B5596">
        <v>75000</v>
      </c>
      <c r="C5596" t="str">
        <f t="shared" si="87"/>
        <v>3. $50K-250K</v>
      </c>
      <c r="D5596" t="s">
        <v>1711</v>
      </c>
      <c r="E5596" t="s">
        <v>42</v>
      </c>
      <c r="F5596" t="s">
        <v>670</v>
      </c>
      <c r="G5596" t="s">
        <v>59</v>
      </c>
      <c r="H5596">
        <v>2024</v>
      </c>
    </row>
    <row r="5597" spans="1:8" x14ac:dyDescent="0.2">
      <c r="A5597">
        <v>260487</v>
      </c>
      <c r="B5597">
        <v>25222</v>
      </c>
      <c r="C5597" t="str">
        <f t="shared" si="87"/>
        <v>3. $50K-250K</v>
      </c>
      <c r="D5597" t="s">
        <v>686</v>
      </c>
      <c r="E5597" t="s">
        <v>42</v>
      </c>
      <c r="F5597" t="s">
        <v>670</v>
      </c>
      <c r="G5597" t="s">
        <v>59</v>
      </c>
      <c r="H5597">
        <v>2024</v>
      </c>
    </row>
    <row r="5598" spans="1:8" x14ac:dyDescent="0.2">
      <c r="A5598">
        <v>260488</v>
      </c>
      <c r="B5598">
        <v>39232</v>
      </c>
      <c r="C5598" t="str">
        <f t="shared" si="87"/>
        <v>2. $10K-50K</v>
      </c>
      <c r="D5598" t="s">
        <v>685</v>
      </c>
      <c r="E5598" t="s">
        <v>42</v>
      </c>
      <c r="F5598" t="s">
        <v>670</v>
      </c>
      <c r="G5598" t="s">
        <v>59</v>
      </c>
      <c r="H5598">
        <v>2024</v>
      </c>
    </row>
    <row r="5599" spans="1:8" x14ac:dyDescent="0.2">
      <c r="A5599">
        <v>260489</v>
      </c>
      <c r="B5599">
        <v>76137.600000000006</v>
      </c>
      <c r="C5599" t="str">
        <f t="shared" si="87"/>
        <v>2. $10K-50K</v>
      </c>
      <c r="D5599" t="s">
        <v>915</v>
      </c>
      <c r="E5599" t="s">
        <v>237</v>
      </c>
      <c r="F5599" t="s">
        <v>670</v>
      </c>
      <c r="G5599" t="s">
        <v>59</v>
      </c>
      <c r="H5599">
        <v>2024</v>
      </c>
    </row>
    <row r="5600" spans="1:8" x14ac:dyDescent="0.2">
      <c r="A5600">
        <v>260490</v>
      </c>
      <c r="B5600">
        <v>35500</v>
      </c>
      <c r="C5600" t="str">
        <f t="shared" si="87"/>
        <v>3. $50K-250K</v>
      </c>
      <c r="D5600" t="s">
        <v>909</v>
      </c>
      <c r="E5600" t="s">
        <v>237</v>
      </c>
      <c r="F5600" t="s">
        <v>670</v>
      </c>
      <c r="G5600" t="s">
        <v>59</v>
      </c>
      <c r="H5600">
        <v>2024</v>
      </c>
    </row>
    <row r="5601" spans="1:8" x14ac:dyDescent="0.2">
      <c r="A5601">
        <v>260494</v>
      </c>
      <c r="B5601">
        <v>77301.100000000006</v>
      </c>
      <c r="C5601" t="str">
        <f t="shared" si="87"/>
        <v>2. $10K-50K</v>
      </c>
      <c r="D5601" t="s">
        <v>851</v>
      </c>
      <c r="E5601" t="s">
        <v>237</v>
      </c>
      <c r="F5601" t="s">
        <v>670</v>
      </c>
      <c r="G5601" t="s">
        <v>59</v>
      </c>
      <c r="H5601">
        <v>2024</v>
      </c>
    </row>
    <row r="5602" spans="1:8" x14ac:dyDescent="0.2">
      <c r="A5602">
        <v>260495</v>
      </c>
      <c r="B5602">
        <v>94421.1</v>
      </c>
      <c r="C5602" t="str">
        <f t="shared" si="87"/>
        <v>3. $50K-250K</v>
      </c>
      <c r="D5602" t="s">
        <v>694</v>
      </c>
      <c r="E5602" t="s">
        <v>237</v>
      </c>
      <c r="F5602" t="s">
        <v>670</v>
      </c>
      <c r="G5602" t="s">
        <v>59</v>
      </c>
      <c r="H5602">
        <v>2024</v>
      </c>
    </row>
    <row r="5603" spans="1:8" x14ac:dyDescent="0.2">
      <c r="A5603">
        <v>260497</v>
      </c>
      <c r="B5603">
        <v>10075.9</v>
      </c>
      <c r="C5603" t="str">
        <f t="shared" si="87"/>
        <v>3. $50K-250K</v>
      </c>
      <c r="D5603" t="s">
        <v>887</v>
      </c>
      <c r="E5603" t="s">
        <v>237</v>
      </c>
      <c r="F5603" t="s">
        <v>670</v>
      </c>
      <c r="G5603" t="s">
        <v>59</v>
      </c>
      <c r="H5603">
        <v>2024</v>
      </c>
    </row>
    <row r="5604" spans="1:8" x14ac:dyDescent="0.2">
      <c r="A5604">
        <v>260498</v>
      </c>
      <c r="B5604">
        <v>50988.4</v>
      </c>
      <c r="C5604" t="str">
        <f t="shared" si="87"/>
        <v>2. $10K-50K</v>
      </c>
      <c r="D5604" t="s">
        <v>861</v>
      </c>
      <c r="E5604" t="s">
        <v>237</v>
      </c>
      <c r="F5604" t="s">
        <v>670</v>
      </c>
      <c r="G5604" t="s">
        <v>59</v>
      </c>
      <c r="H5604">
        <v>2024</v>
      </c>
    </row>
    <row r="5605" spans="1:8" x14ac:dyDescent="0.2">
      <c r="A5605">
        <v>260499</v>
      </c>
      <c r="B5605">
        <v>3120</v>
      </c>
      <c r="C5605" t="str">
        <f t="shared" si="87"/>
        <v>3. $50K-250K</v>
      </c>
      <c r="D5605" t="s">
        <v>861</v>
      </c>
      <c r="E5605" t="s">
        <v>237</v>
      </c>
      <c r="F5605" t="s">
        <v>670</v>
      </c>
      <c r="G5605" t="s">
        <v>59</v>
      </c>
      <c r="H5605">
        <v>2024</v>
      </c>
    </row>
    <row r="5606" spans="1:8" x14ac:dyDescent="0.2">
      <c r="A5606">
        <v>260500</v>
      </c>
      <c r="B5606">
        <v>57204.7</v>
      </c>
      <c r="C5606" t="str">
        <f t="shared" si="87"/>
        <v>1. Under $10K</v>
      </c>
      <c r="D5606" t="s">
        <v>859</v>
      </c>
      <c r="E5606" t="s">
        <v>237</v>
      </c>
      <c r="F5606" t="s">
        <v>670</v>
      </c>
      <c r="G5606" t="s">
        <v>59</v>
      </c>
      <c r="H5606">
        <v>2024</v>
      </c>
    </row>
    <row r="5607" spans="1:8" x14ac:dyDescent="0.2">
      <c r="A5607">
        <v>260501</v>
      </c>
      <c r="B5607">
        <v>78720</v>
      </c>
      <c r="C5607" t="str">
        <f t="shared" si="87"/>
        <v>3. $50K-250K</v>
      </c>
      <c r="D5607" t="s">
        <v>860</v>
      </c>
      <c r="E5607" t="s">
        <v>237</v>
      </c>
      <c r="F5607" t="s">
        <v>670</v>
      </c>
      <c r="G5607" t="s">
        <v>59</v>
      </c>
      <c r="H5607">
        <v>2024</v>
      </c>
    </row>
    <row r="5608" spans="1:8" x14ac:dyDescent="0.2">
      <c r="A5608">
        <v>260502</v>
      </c>
      <c r="B5608">
        <v>64192.2</v>
      </c>
      <c r="C5608" t="str">
        <f t="shared" si="87"/>
        <v>3. $50K-250K</v>
      </c>
      <c r="D5608" t="s">
        <v>918</v>
      </c>
      <c r="E5608" t="s">
        <v>237</v>
      </c>
      <c r="F5608" t="s">
        <v>670</v>
      </c>
      <c r="G5608" t="s">
        <v>59</v>
      </c>
      <c r="H5608">
        <v>2024</v>
      </c>
    </row>
    <row r="5609" spans="1:8" x14ac:dyDescent="0.2">
      <c r="A5609">
        <v>260503</v>
      </c>
      <c r="B5609">
        <v>30000</v>
      </c>
      <c r="C5609" t="str">
        <f t="shared" si="87"/>
        <v>3. $50K-250K</v>
      </c>
      <c r="D5609" t="s">
        <v>860</v>
      </c>
      <c r="E5609" t="s">
        <v>237</v>
      </c>
      <c r="F5609" t="s">
        <v>670</v>
      </c>
      <c r="G5609" t="s">
        <v>59</v>
      </c>
      <c r="H5609">
        <v>2024</v>
      </c>
    </row>
    <row r="5610" spans="1:8" x14ac:dyDescent="0.2">
      <c r="A5610">
        <v>260504</v>
      </c>
      <c r="B5610">
        <v>89000</v>
      </c>
      <c r="C5610" t="str">
        <f t="shared" si="87"/>
        <v>2. $10K-50K</v>
      </c>
      <c r="D5610" t="s">
        <v>917</v>
      </c>
      <c r="E5610" t="s">
        <v>237</v>
      </c>
      <c r="F5610" t="s">
        <v>670</v>
      </c>
      <c r="G5610" t="s">
        <v>59</v>
      </c>
      <c r="H5610">
        <v>2024</v>
      </c>
    </row>
    <row r="5611" spans="1:8" x14ac:dyDescent="0.2">
      <c r="A5611">
        <v>260521</v>
      </c>
      <c r="B5611">
        <v>94162.7</v>
      </c>
      <c r="C5611" t="str">
        <f t="shared" si="87"/>
        <v>3. $50K-250K</v>
      </c>
      <c r="D5611" t="s">
        <v>917</v>
      </c>
      <c r="E5611" t="s">
        <v>237</v>
      </c>
      <c r="F5611" t="s">
        <v>670</v>
      </c>
      <c r="G5611" t="s">
        <v>59</v>
      </c>
      <c r="H5611">
        <v>2024</v>
      </c>
    </row>
    <row r="5612" spans="1:8" x14ac:dyDescent="0.2">
      <c r="A5612">
        <v>260522</v>
      </c>
      <c r="B5612">
        <v>115835.7</v>
      </c>
      <c r="C5612" t="str">
        <f t="shared" si="87"/>
        <v>3. $50K-250K</v>
      </c>
      <c r="D5612" t="s">
        <v>881</v>
      </c>
      <c r="E5612" t="s">
        <v>237</v>
      </c>
      <c r="F5612" t="s">
        <v>670</v>
      </c>
      <c r="G5612" t="s">
        <v>59</v>
      </c>
      <c r="H5612">
        <v>2024</v>
      </c>
    </row>
    <row r="5613" spans="1:8" x14ac:dyDescent="0.2">
      <c r="A5613">
        <v>260524</v>
      </c>
      <c r="B5613">
        <v>35857</v>
      </c>
      <c r="C5613" t="str">
        <f t="shared" si="87"/>
        <v>3. $50K-250K</v>
      </c>
      <c r="D5613" t="s">
        <v>507</v>
      </c>
      <c r="E5613" t="s">
        <v>237</v>
      </c>
      <c r="F5613" t="s">
        <v>670</v>
      </c>
      <c r="G5613" t="s">
        <v>59</v>
      </c>
      <c r="H5613">
        <v>2024</v>
      </c>
    </row>
    <row r="5614" spans="1:8" x14ac:dyDescent="0.2">
      <c r="A5614">
        <v>260529</v>
      </c>
      <c r="B5614">
        <v>174588.3</v>
      </c>
      <c r="C5614" t="str">
        <f t="shared" si="87"/>
        <v>2. $10K-50K</v>
      </c>
      <c r="D5614" t="s">
        <v>680</v>
      </c>
      <c r="E5614" t="s">
        <v>42</v>
      </c>
      <c r="F5614" t="s">
        <v>670</v>
      </c>
      <c r="G5614" t="s">
        <v>59</v>
      </c>
      <c r="H5614">
        <v>2024</v>
      </c>
    </row>
    <row r="5615" spans="1:8" x14ac:dyDescent="0.2">
      <c r="A5615">
        <v>260530</v>
      </c>
      <c r="B5615">
        <v>400832</v>
      </c>
      <c r="C5615" t="str">
        <f t="shared" si="87"/>
        <v>3. $50K-250K</v>
      </c>
      <c r="D5615" t="s">
        <v>917</v>
      </c>
      <c r="E5615" t="s">
        <v>237</v>
      </c>
      <c r="F5615" t="s">
        <v>670</v>
      </c>
      <c r="G5615" t="s">
        <v>59</v>
      </c>
      <c r="H5615">
        <v>2024</v>
      </c>
    </row>
    <row r="5616" spans="1:8" x14ac:dyDescent="0.2">
      <c r="A5616">
        <v>260531</v>
      </c>
      <c r="B5616">
        <v>524278</v>
      </c>
      <c r="C5616" t="str">
        <f t="shared" si="87"/>
        <v>4. $250K-1M</v>
      </c>
      <c r="D5616" t="s">
        <v>990</v>
      </c>
      <c r="E5616" t="s">
        <v>237</v>
      </c>
      <c r="F5616" t="s">
        <v>670</v>
      </c>
      <c r="G5616" t="s">
        <v>59</v>
      </c>
      <c r="H5616">
        <v>2024</v>
      </c>
    </row>
    <row r="5617" spans="1:8" x14ac:dyDescent="0.2">
      <c r="A5617">
        <v>260532</v>
      </c>
      <c r="B5617">
        <v>69000</v>
      </c>
      <c r="C5617" t="str">
        <f t="shared" si="87"/>
        <v>4. $250K-1M</v>
      </c>
      <c r="D5617" t="s">
        <v>701</v>
      </c>
      <c r="E5617" t="s">
        <v>237</v>
      </c>
      <c r="F5617" t="s">
        <v>670</v>
      </c>
      <c r="G5617" t="s">
        <v>59</v>
      </c>
      <c r="H5617">
        <v>2024</v>
      </c>
    </row>
    <row r="5618" spans="1:8" x14ac:dyDescent="0.2">
      <c r="A5618">
        <v>260533</v>
      </c>
      <c r="B5618">
        <v>52800</v>
      </c>
      <c r="C5618" t="str">
        <f t="shared" si="87"/>
        <v>3. $50K-250K</v>
      </c>
      <c r="D5618" t="s">
        <v>871</v>
      </c>
      <c r="E5618" t="s">
        <v>237</v>
      </c>
      <c r="F5618" t="s">
        <v>670</v>
      </c>
      <c r="G5618" t="s">
        <v>59</v>
      </c>
      <c r="H5618">
        <v>2024</v>
      </c>
    </row>
    <row r="5619" spans="1:8" x14ac:dyDescent="0.2">
      <c r="A5619">
        <v>260534</v>
      </c>
      <c r="B5619">
        <v>175220</v>
      </c>
      <c r="C5619" t="str">
        <f t="shared" si="87"/>
        <v>3. $50K-250K</v>
      </c>
      <c r="D5619" t="s">
        <v>922</v>
      </c>
      <c r="E5619" t="s">
        <v>237</v>
      </c>
      <c r="F5619" t="s">
        <v>670</v>
      </c>
      <c r="G5619" t="s">
        <v>59</v>
      </c>
      <c r="H5619">
        <v>2024</v>
      </c>
    </row>
    <row r="5620" spans="1:8" x14ac:dyDescent="0.2">
      <c r="A5620">
        <v>260535</v>
      </c>
      <c r="B5620">
        <v>48000</v>
      </c>
      <c r="C5620" t="str">
        <f t="shared" si="87"/>
        <v>3. $50K-250K</v>
      </c>
      <c r="D5620" t="s">
        <v>847</v>
      </c>
      <c r="E5620" t="s">
        <v>237</v>
      </c>
      <c r="F5620" t="s">
        <v>670</v>
      </c>
      <c r="G5620" t="s">
        <v>59</v>
      </c>
      <c r="H5620">
        <v>2024</v>
      </c>
    </row>
    <row r="5621" spans="1:8" x14ac:dyDescent="0.2">
      <c r="A5621">
        <v>260536</v>
      </c>
      <c r="B5621">
        <v>240000</v>
      </c>
      <c r="C5621" t="str">
        <f t="shared" si="87"/>
        <v>2. $10K-50K</v>
      </c>
      <c r="D5621" t="s">
        <v>1110</v>
      </c>
      <c r="E5621" t="s">
        <v>237</v>
      </c>
      <c r="F5621" t="s">
        <v>670</v>
      </c>
      <c r="G5621" t="s">
        <v>59</v>
      </c>
      <c r="H5621">
        <v>2024</v>
      </c>
    </row>
    <row r="5622" spans="1:8" x14ac:dyDescent="0.2">
      <c r="A5622">
        <v>260537</v>
      </c>
      <c r="B5622">
        <v>48000</v>
      </c>
      <c r="C5622" t="str">
        <f t="shared" si="87"/>
        <v>3. $50K-250K</v>
      </c>
      <c r="D5622" t="s">
        <v>1104</v>
      </c>
      <c r="E5622" t="s">
        <v>237</v>
      </c>
      <c r="F5622" t="s">
        <v>670</v>
      </c>
      <c r="G5622" t="s">
        <v>59</v>
      </c>
      <c r="H5622">
        <v>2024</v>
      </c>
    </row>
    <row r="5623" spans="1:8" x14ac:dyDescent="0.2">
      <c r="A5623">
        <v>260538</v>
      </c>
      <c r="B5623">
        <v>264000</v>
      </c>
      <c r="C5623" t="str">
        <f t="shared" si="87"/>
        <v>2. $10K-50K</v>
      </c>
      <c r="D5623" t="s">
        <v>1110</v>
      </c>
      <c r="E5623" t="s">
        <v>237</v>
      </c>
      <c r="F5623" t="s">
        <v>670</v>
      </c>
      <c r="G5623" t="s">
        <v>59</v>
      </c>
      <c r="H5623">
        <v>2024</v>
      </c>
    </row>
    <row r="5624" spans="1:8" x14ac:dyDescent="0.2">
      <c r="A5624">
        <v>260539</v>
      </c>
      <c r="B5624">
        <v>69000</v>
      </c>
      <c r="C5624" t="str">
        <f t="shared" si="87"/>
        <v>4. $250K-1M</v>
      </c>
      <c r="D5624" t="s">
        <v>1093</v>
      </c>
      <c r="E5624" t="s">
        <v>237</v>
      </c>
      <c r="F5624" t="s">
        <v>670</v>
      </c>
      <c r="G5624" t="s">
        <v>59</v>
      </c>
      <c r="H5624">
        <v>2024</v>
      </c>
    </row>
    <row r="5625" spans="1:8" x14ac:dyDescent="0.2">
      <c r="A5625">
        <v>260643</v>
      </c>
      <c r="B5625">
        <v>125580.9</v>
      </c>
      <c r="C5625" t="str">
        <f t="shared" si="87"/>
        <v>3. $50K-250K</v>
      </c>
      <c r="D5625" t="s">
        <v>2079</v>
      </c>
      <c r="E5625" t="s">
        <v>42</v>
      </c>
      <c r="F5625" t="s">
        <v>670</v>
      </c>
      <c r="G5625" t="s">
        <v>59</v>
      </c>
      <c r="H5625">
        <v>2024</v>
      </c>
    </row>
    <row r="5626" spans="1:8" x14ac:dyDescent="0.2">
      <c r="A5626">
        <v>260649</v>
      </c>
      <c r="B5626">
        <v>200000</v>
      </c>
      <c r="C5626" t="str">
        <f t="shared" si="87"/>
        <v>3. $50K-250K</v>
      </c>
      <c r="D5626" t="s">
        <v>391</v>
      </c>
      <c r="E5626" t="s">
        <v>42</v>
      </c>
      <c r="F5626" t="s">
        <v>670</v>
      </c>
      <c r="G5626" t="s">
        <v>59</v>
      </c>
      <c r="H5626">
        <v>2024</v>
      </c>
    </row>
    <row r="5627" spans="1:8" x14ac:dyDescent="0.2">
      <c r="A5627">
        <v>260709</v>
      </c>
      <c r="B5627">
        <v>70000</v>
      </c>
      <c r="C5627" t="str">
        <f t="shared" si="87"/>
        <v>3. $50K-250K</v>
      </c>
      <c r="D5627" t="s">
        <v>880</v>
      </c>
      <c r="E5627" t="s">
        <v>237</v>
      </c>
      <c r="F5627" t="s">
        <v>670</v>
      </c>
      <c r="G5627" t="s">
        <v>59</v>
      </c>
      <c r="H5627">
        <v>2024</v>
      </c>
    </row>
    <row r="5628" spans="1:8" x14ac:dyDescent="0.2">
      <c r="A5628">
        <v>260712</v>
      </c>
      <c r="B5628">
        <v>85000000</v>
      </c>
      <c r="C5628" t="str">
        <f t="shared" si="87"/>
        <v>3. $50K-250K</v>
      </c>
      <c r="D5628" t="s">
        <v>1052</v>
      </c>
      <c r="E5628" t="s">
        <v>237</v>
      </c>
      <c r="F5628" t="s">
        <v>670</v>
      </c>
      <c r="G5628" t="s">
        <v>44</v>
      </c>
      <c r="H5628">
        <v>2024</v>
      </c>
    </row>
    <row r="5629" spans="1:8" x14ac:dyDescent="0.2">
      <c r="A5629">
        <v>260718</v>
      </c>
      <c r="B5629">
        <v>10666634.5</v>
      </c>
      <c r="C5629" t="str">
        <f t="shared" si="87"/>
        <v>5. $1M+</v>
      </c>
      <c r="D5629" t="s">
        <v>39</v>
      </c>
      <c r="E5629" t="s">
        <v>8</v>
      </c>
      <c r="F5629" t="s">
        <v>9</v>
      </c>
      <c r="G5629" t="s">
        <v>10</v>
      </c>
      <c r="H5629">
        <v>2024</v>
      </c>
    </row>
    <row r="5630" spans="1:8" x14ac:dyDescent="0.2">
      <c r="A5630">
        <v>260729</v>
      </c>
      <c r="B5630">
        <v>40076.1</v>
      </c>
      <c r="C5630" t="str">
        <f t="shared" si="87"/>
        <v>5. $1M+</v>
      </c>
      <c r="D5630" t="s">
        <v>880</v>
      </c>
      <c r="E5630" t="s">
        <v>237</v>
      </c>
      <c r="F5630" t="s">
        <v>670</v>
      </c>
      <c r="G5630" t="s">
        <v>59</v>
      </c>
      <c r="H5630">
        <v>2024</v>
      </c>
    </row>
    <row r="5631" spans="1:8" x14ac:dyDescent="0.2">
      <c r="A5631">
        <v>260736</v>
      </c>
      <c r="B5631">
        <v>74059.899999999994</v>
      </c>
      <c r="C5631" t="str">
        <f t="shared" si="87"/>
        <v>2. $10K-50K</v>
      </c>
      <c r="D5631" t="s">
        <v>1473</v>
      </c>
      <c r="E5631" t="s">
        <v>42</v>
      </c>
      <c r="F5631" t="s">
        <v>670</v>
      </c>
      <c r="G5631" t="s">
        <v>59</v>
      </c>
      <c r="H5631">
        <v>2024</v>
      </c>
    </row>
    <row r="5632" spans="1:8" x14ac:dyDescent="0.2">
      <c r="A5632">
        <v>260737</v>
      </c>
      <c r="B5632">
        <v>5732398</v>
      </c>
      <c r="C5632" t="str">
        <f t="shared" si="87"/>
        <v>3. $50K-250K</v>
      </c>
      <c r="D5632" t="s">
        <v>1833</v>
      </c>
      <c r="E5632" t="s">
        <v>42</v>
      </c>
      <c r="F5632" t="s">
        <v>670</v>
      </c>
      <c r="G5632" t="s">
        <v>59</v>
      </c>
      <c r="H5632">
        <v>2024</v>
      </c>
    </row>
    <row r="5633" spans="1:8" x14ac:dyDescent="0.2">
      <c r="A5633">
        <v>260739</v>
      </c>
      <c r="B5633">
        <v>650000</v>
      </c>
      <c r="C5633" t="str">
        <f t="shared" si="87"/>
        <v>5. $1M+</v>
      </c>
      <c r="D5633" t="s">
        <v>849</v>
      </c>
      <c r="E5633" t="s">
        <v>42</v>
      </c>
      <c r="F5633" t="s">
        <v>670</v>
      </c>
      <c r="G5633" t="s">
        <v>59</v>
      </c>
      <c r="H5633">
        <v>2024</v>
      </c>
    </row>
    <row r="5634" spans="1:8" x14ac:dyDescent="0.2">
      <c r="A5634">
        <v>260740</v>
      </c>
      <c r="B5634">
        <v>100000</v>
      </c>
      <c r="C5634" t="str">
        <f t="shared" si="87"/>
        <v>4. $250K-1M</v>
      </c>
      <c r="D5634" t="s">
        <v>1056</v>
      </c>
      <c r="E5634" t="s">
        <v>42</v>
      </c>
      <c r="F5634" t="s">
        <v>670</v>
      </c>
      <c r="G5634" t="s">
        <v>59</v>
      </c>
      <c r="H5634">
        <v>2024</v>
      </c>
    </row>
    <row r="5635" spans="1:8" x14ac:dyDescent="0.2">
      <c r="A5635">
        <v>260741</v>
      </c>
      <c r="B5635">
        <v>159000</v>
      </c>
      <c r="C5635" t="str">
        <f t="shared" ref="C5635:C5698" si="88">IF(B5634&lt;10000,"1. Under $10K",IF(B5634&lt;50000,"2. $10K-50K",IF(B5634&lt;250000,"3. $50K-250K",IF(B5634&lt;1000000,"4. $250K-1M","5. $1M+"))))</f>
        <v>3. $50K-250K</v>
      </c>
      <c r="D5635" t="s">
        <v>686</v>
      </c>
      <c r="E5635" t="s">
        <v>42</v>
      </c>
      <c r="F5635" t="s">
        <v>670</v>
      </c>
      <c r="G5635" t="s">
        <v>59</v>
      </c>
      <c r="H5635">
        <v>2024</v>
      </c>
    </row>
    <row r="5636" spans="1:8" x14ac:dyDescent="0.2">
      <c r="A5636">
        <v>260742</v>
      </c>
      <c r="B5636">
        <v>278000</v>
      </c>
      <c r="C5636" t="str">
        <f t="shared" si="88"/>
        <v>3. $50K-250K</v>
      </c>
      <c r="D5636" t="s">
        <v>1662</v>
      </c>
      <c r="E5636" t="s">
        <v>42</v>
      </c>
      <c r="F5636" t="s">
        <v>670</v>
      </c>
      <c r="G5636" t="s">
        <v>59</v>
      </c>
      <c r="H5636">
        <v>2024</v>
      </c>
    </row>
    <row r="5637" spans="1:8" x14ac:dyDescent="0.2">
      <c r="A5637">
        <v>260758</v>
      </c>
      <c r="B5637">
        <v>347235</v>
      </c>
      <c r="C5637" t="str">
        <f t="shared" si="88"/>
        <v>4. $250K-1M</v>
      </c>
      <c r="D5637" t="s">
        <v>1837</v>
      </c>
      <c r="E5637" t="s">
        <v>432</v>
      </c>
      <c r="F5637" t="s">
        <v>670</v>
      </c>
      <c r="G5637" t="s">
        <v>59</v>
      </c>
      <c r="H5637">
        <v>2024</v>
      </c>
    </row>
    <row r="5638" spans="1:8" x14ac:dyDescent="0.2">
      <c r="A5638">
        <v>260760</v>
      </c>
      <c r="B5638">
        <v>20000</v>
      </c>
      <c r="C5638" t="str">
        <f t="shared" si="88"/>
        <v>4. $250K-1M</v>
      </c>
      <c r="D5638" t="s">
        <v>2128</v>
      </c>
      <c r="E5638" t="s">
        <v>112</v>
      </c>
      <c r="F5638" t="s">
        <v>668</v>
      </c>
      <c r="G5638" t="s">
        <v>59</v>
      </c>
      <c r="H5638">
        <v>2024</v>
      </c>
    </row>
    <row r="5639" spans="1:8" x14ac:dyDescent="0.2">
      <c r="A5639">
        <v>260764</v>
      </c>
      <c r="B5639">
        <v>485520</v>
      </c>
      <c r="C5639" t="str">
        <f t="shared" si="88"/>
        <v>2. $10K-50K</v>
      </c>
      <c r="D5639" t="s">
        <v>230</v>
      </c>
      <c r="E5639" t="s">
        <v>67</v>
      </c>
      <c r="F5639" t="s">
        <v>231</v>
      </c>
      <c r="G5639" t="s">
        <v>232</v>
      </c>
      <c r="H5639">
        <v>2024</v>
      </c>
    </row>
    <row r="5640" spans="1:8" x14ac:dyDescent="0.2">
      <c r="A5640">
        <v>260778</v>
      </c>
      <c r="B5640">
        <v>38399.800000000003</v>
      </c>
      <c r="C5640" t="str">
        <f t="shared" si="88"/>
        <v>4. $250K-1M</v>
      </c>
      <c r="D5640" t="s">
        <v>900</v>
      </c>
      <c r="E5640" t="s">
        <v>237</v>
      </c>
      <c r="F5640" t="s">
        <v>670</v>
      </c>
      <c r="G5640" t="s">
        <v>59</v>
      </c>
      <c r="H5640">
        <v>2024</v>
      </c>
    </row>
    <row r="5641" spans="1:8" x14ac:dyDescent="0.2">
      <c r="A5641">
        <v>260890</v>
      </c>
      <c r="B5641">
        <v>199884.6</v>
      </c>
      <c r="C5641" t="str">
        <f t="shared" si="88"/>
        <v>2. $10K-50K</v>
      </c>
      <c r="D5641" t="s">
        <v>897</v>
      </c>
      <c r="E5641" t="s">
        <v>42</v>
      </c>
      <c r="F5641" t="s">
        <v>670</v>
      </c>
      <c r="G5641" t="s">
        <v>59</v>
      </c>
      <c r="H5641">
        <v>2024</v>
      </c>
    </row>
    <row r="5642" spans="1:8" x14ac:dyDescent="0.2">
      <c r="A5642">
        <v>260891</v>
      </c>
      <c r="B5642">
        <v>242883.4</v>
      </c>
      <c r="C5642" t="str">
        <f t="shared" si="88"/>
        <v>3. $50K-250K</v>
      </c>
      <c r="D5642" t="s">
        <v>868</v>
      </c>
      <c r="E5642" t="s">
        <v>42</v>
      </c>
      <c r="F5642" t="s">
        <v>670</v>
      </c>
      <c r="G5642" t="s">
        <v>59</v>
      </c>
      <c r="H5642">
        <v>2024</v>
      </c>
    </row>
    <row r="5643" spans="1:8" x14ac:dyDescent="0.2">
      <c r="A5643">
        <v>260892</v>
      </c>
      <c r="B5643">
        <v>172278.8</v>
      </c>
      <c r="C5643" t="str">
        <f t="shared" si="88"/>
        <v>3. $50K-250K</v>
      </c>
      <c r="D5643" t="s">
        <v>1028</v>
      </c>
      <c r="E5643" t="s">
        <v>42</v>
      </c>
      <c r="F5643" t="s">
        <v>670</v>
      </c>
      <c r="G5643" t="s">
        <v>59</v>
      </c>
      <c r="H5643">
        <v>2024</v>
      </c>
    </row>
    <row r="5644" spans="1:8" x14ac:dyDescent="0.2">
      <c r="A5644">
        <v>260894</v>
      </c>
      <c r="B5644">
        <v>563292.19999999995</v>
      </c>
      <c r="C5644" t="str">
        <f t="shared" si="88"/>
        <v>3. $50K-250K</v>
      </c>
      <c r="D5644" t="s">
        <v>792</v>
      </c>
      <c r="E5644" t="s">
        <v>42</v>
      </c>
      <c r="F5644" t="s">
        <v>670</v>
      </c>
      <c r="G5644" t="s">
        <v>59</v>
      </c>
      <c r="H5644">
        <v>2024</v>
      </c>
    </row>
    <row r="5645" spans="1:8" x14ac:dyDescent="0.2">
      <c r="A5645">
        <v>260900</v>
      </c>
      <c r="B5645">
        <v>48700</v>
      </c>
      <c r="C5645" t="str">
        <f t="shared" si="88"/>
        <v>4. $250K-1M</v>
      </c>
      <c r="D5645" t="s">
        <v>822</v>
      </c>
      <c r="E5645" t="s">
        <v>237</v>
      </c>
      <c r="F5645" t="s">
        <v>670</v>
      </c>
      <c r="G5645" t="s">
        <v>59</v>
      </c>
      <c r="H5645">
        <v>2024</v>
      </c>
    </row>
    <row r="5646" spans="1:8" x14ac:dyDescent="0.2">
      <c r="A5646">
        <v>260901</v>
      </c>
      <c r="B5646">
        <v>96000</v>
      </c>
      <c r="C5646" t="str">
        <f t="shared" si="88"/>
        <v>2. $10K-50K</v>
      </c>
      <c r="D5646" t="s">
        <v>1102</v>
      </c>
      <c r="E5646" t="s">
        <v>237</v>
      </c>
      <c r="F5646" t="s">
        <v>670</v>
      </c>
      <c r="G5646" t="s">
        <v>59</v>
      </c>
      <c r="H5646">
        <v>2024</v>
      </c>
    </row>
    <row r="5647" spans="1:8" x14ac:dyDescent="0.2">
      <c r="A5647">
        <v>260902</v>
      </c>
      <c r="B5647">
        <v>48000</v>
      </c>
      <c r="C5647" t="str">
        <f t="shared" si="88"/>
        <v>3. $50K-250K</v>
      </c>
      <c r="D5647" t="s">
        <v>1109</v>
      </c>
      <c r="E5647" t="s">
        <v>237</v>
      </c>
      <c r="F5647" t="s">
        <v>670</v>
      </c>
      <c r="G5647" t="s">
        <v>59</v>
      </c>
      <c r="H5647">
        <v>2024</v>
      </c>
    </row>
    <row r="5648" spans="1:8" x14ac:dyDescent="0.2">
      <c r="A5648">
        <v>260903</v>
      </c>
      <c r="B5648">
        <v>48000</v>
      </c>
      <c r="C5648" t="str">
        <f t="shared" si="88"/>
        <v>2. $10K-50K</v>
      </c>
      <c r="D5648" t="s">
        <v>822</v>
      </c>
      <c r="E5648" t="s">
        <v>237</v>
      </c>
      <c r="F5648" t="s">
        <v>670</v>
      </c>
      <c r="G5648" t="s">
        <v>59</v>
      </c>
      <c r="H5648">
        <v>2024</v>
      </c>
    </row>
    <row r="5649" spans="1:8" x14ac:dyDescent="0.2">
      <c r="A5649">
        <v>260904</v>
      </c>
      <c r="B5649">
        <v>72000</v>
      </c>
      <c r="C5649" t="str">
        <f t="shared" si="88"/>
        <v>2. $10K-50K</v>
      </c>
      <c r="D5649" t="s">
        <v>1093</v>
      </c>
      <c r="E5649" t="s">
        <v>237</v>
      </c>
      <c r="F5649" t="s">
        <v>670</v>
      </c>
      <c r="G5649" t="s">
        <v>59</v>
      </c>
      <c r="H5649">
        <v>2024</v>
      </c>
    </row>
    <row r="5650" spans="1:8" x14ac:dyDescent="0.2">
      <c r="A5650">
        <v>260905</v>
      </c>
      <c r="B5650">
        <v>96000</v>
      </c>
      <c r="C5650" t="str">
        <f t="shared" si="88"/>
        <v>3. $50K-250K</v>
      </c>
      <c r="D5650" t="s">
        <v>749</v>
      </c>
      <c r="E5650" t="s">
        <v>237</v>
      </c>
      <c r="F5650" t="s">
        <v>670</v>
      </c>
      <c r="G5650" t="s">
        <v>59</v>
      </c>
      <c r="H5650">
        <v>2024</v>
      </c>
    </row>
    <row r="5651" spans="1:8" x14ac:dyDescent="0.2">
      <c r="A5651">
        <v>260906</v>
      </c>
      <c r="B5651">
        <v>48200</v>
      </c>
      <c r="C5651" t="str">
        <f t="shared" si="88"/>
        <v>3. $50K-250K</v>
      </c>
      <c r="D5651" t="s">
        <v>822</v>
      </c>
      <c r="E5651" t="s">
        <v>237</v>
      </c>
      <c r="F5651" t="s">
        <v>670</v>
      </c>
      <c r="G5651" t="s">
        <v>59</v>
      </c>
      <c r="H5651">
        <v>2024</v>
      </c>
    </row>
    <row r="5652" spans="1:8" x14ac:dyDescent="0.2">
      <c r="A5652">
        <v>260907</v>
      </c>
      <c r="B5652">
        <v>54445</v>
      </c>
      <c r="C5652" t="str">
        <f t="shared" si="88"/>
        <v>2. $10K-50K</v>
      </c>
      <c r="D5652" t="s">
        <v>929</v>
      </c>
      <c r="E5652" t="s">
        <v>237</v>
      </c>
      <c r="F5652" t="s">
        <v>670</v>
      </c>
      <c r="G5652" t="s">
        <v>59</v>
      </c>
      <c r="H5652">
        <v>2024</v>
      </c>
    </row>
    <row r="5653" spans="1:8" x14ac:dyDescent="0.2">
      <c r="A5653">
        <v>260908</v>
      </c>
      <c r="B5653">
        <v>52800</v>
      </c>
      <c r="C5653" t="str">
        <f t="shared" si="88"/>
        <v>3. $50K-250K</v>
      </c>
      <c r="D5653" t="s">
        <v>930</v>
      </c>
      <c r="E5653" t="s">
        <v>237</v>
      </c>
      <c r="F5653" t="s">
        <v>670</v>
      </c>
      <c r="G5653" t="s">
        <v>59</v>
      </c>
      <c r="H5653">
        <v>2024</v>
      </c>
    </row>
    <row r="5654" spans="1:8" x14ac:dyDescent="0.2">
      <c r="A5654">
        <v>260909</v>
      </c>
      <c r="B5654">
        <v>72000</v>
      </c>
      <c r="C5654" t="str">
        <f t="shared" si="88"/>
        <v>3. $50K-250K</v>
      </c>
      <c r="D5654" t="s">
        <v>972</v>
      </c>
      <c r="E5654" t="s">
        <v>237</v>
      </c>
      <c r="F5654" t="s">
        <v>670</v>
      </c>
      <c r="G5654" t="s">
        <v>59</v>
      </c>
      <c r="H5654">
        <v>2024</v>
      </c>
    </row>
    <row r="5655" spans="1:8" x14ac:dyDescent="0.2">
      <c r="A5655">
        <v>260910</v>
      </c>
      <c r="B5655">
        <v>48000</v>
      </c>
      <c r="C5655" t="str">
        <f t="shared" si="88"/>
        <v>3. $50K-250K</v>
      </c>
      <c r="D5655" t="s">
        <v>1100</v>
      </c>
      <c r="E5655" t="s">
        <v>237</v>
      </c>
      <c r="F5655" t="s">
        <v>670</v>
      </c>
      <c r="G5655" t="s">
        <v>59</v>
      </c>
      <c r="H5655">
        <v>2024</v>
      </c>
    </row>
    <row r="5656" spans="1:8" x14ac:dyDescent="0.2">
      <c r="A5656">
        <v>260917</v>
      </c>
      <c r="B5656">
        <v>2843</v>
      </c>
      <c r="C5656" t="str">
        <f t="shared" si="88"/>
        <v>2. $10K-50K</v>
      </c>
      <c r="D5656" t="s">
        <v>902</v>
      </c>
      <c r="E5656" t="s">
        <v>237</v>
      </c>
      <c r="F5656" t="s">
        <v>670</v>
      </c>
      <c r="G5656" t="s">
        <v>59</v>
      </c>
      <c r="H5656">
        <v>2024</v>
      </c>
    </row>
    <row r="5657" spans="1:8" x14ac:dyDescent="0.2">
      <c r="A5657">
        <v>261002</v>
      </c>
      <c r="B5657">
        <v>50000</v>
      </c>
      <c r="C5657" t="str">
        <f t="shared" si="88"/>
        <v>1. Under $10K</v>
      </c>
      <c r="D5657" t="s">
        <v>2129</v>
      </c>
      <c r="E5657" t="s">
        <v>112</v>
      </c>
      <c r="F5657" t="s">
        <v>668</v>
      </c>
      <c r="G5657" t="s">
        <v>59</v>
      </c>
      <c r="H5657">
        <v>2024</v>
      </c>
    </row>
    <row r="5658" spans="1:8" x14ac:dyDescent="0.2">
      <c r="A5658">
        <v>261007</v>
      </c>
      <c r="B5658">
        <v>10000</v>
      </c>
      <c r="C5658" t="str">
        <f t="shared" si="88"/>
        <v>3. $50K-250K</v>
      </c>
      <c r="D5658" t="s">
        <v>2130</v>
      </c>
      <c r="E5658" t="s">
        <v>112</v>
      </c>
      <c r="F5658" t="s">
        <v>668</v>
      </c>
      <c r="G5658" t="s">
        <v>59</v>
      </c>
      <c r="H5658">
        <v>2024</v>
      </c>
    </row>
    <row r="5659" spans="1:8" x14ac:dyDescent="0.2">
      <c r="A5659">
        <v>261022</v>
      </c>
      <c r="B5659">
        <v>25000</v>
      </c>
      <c r="C5659" t="str">
        <f t="shared" si="88"/>
        <v>2. $10K-50K</v>
      </c>
      <c r="D5659" t="s">
        <v>2050</v>
      </c>
      <c r="E5659" t="s">
        <v>112</v>
      </c>
      <c r="F5659" t="s">
        <v>668</v>
      </c>
      <c r="G5659" t="s">
        <v>59</v>
      </c>
      <c r="H5659">
        <v>2024</v>
      </c>
    </row>
    <row r="5660" spans="1:8" x14ac:dyDescent="0.2">
      <c r="A5660">
        <v>261027</v>
      </c>
      <c r="B5660">
        <v>692657.1</v>
      </c>
      <c r="C5660" t="str">
        <f t="shared" si="88"/>
        <v>2. $10K-50K</v>
      </c>
      <c r="D5660" t="s">
        <v>682</v>
      </c>
      <c r="E5660" t="s">
        <v>42</v>
      </c>
      <c r="F5660" t="s">
        <v>670</v>
      </c>
      <c r="G5660" t="s">
        <v>59</v>
      </c>
      <c r="H5660">
        <v>2024</v>
      </c>
    </row>
    <row r="5661" spans="1:8" x14ac:dyDescent="0.2">
      <c r="A5661">
        <v>261037</v>
      </c>
      <c r="B5661">
        <v>108000</v>
      </c>
      <c r="C5661" t="str">
        <f t="shared" si="88"/>
        <v>4. $250K-1M</v>
      </c>
      <c r="D5661" t="s">
        <v>719</v>
      </c>
      <c r="E5661" t="s">
        <v>237</v>
      </c>
      <c r="F5661" t="s">
        <v>670</v>
      </c>
      <c r="G5661" t="s">
        <v>59</v>
      </c>
      <c r="H5661">
        <v>2024</v>
      </c>
    </row>
    <row r="5662" spans="1:8" x14ac:dyDescent="0.2">
      <c r="A5662">
        <v>261039</v>
      </c>
      <c r="B5662">
        <v>48789</v>
      </c>
      <c r="C5662" t="str">
        <f t="shared" si="88"/>
        <v>3. $50K-250K</v>
      </c>
      <c r="D5662" t="s">
        <v>903</v>
      </c>
      <c r="E5662" t="s">
        <v>237</v>
      </c>
      <c r="F5662" t="s">
        <v>670</v>
      </c>
      <c r="G5662" t="s">
        <v>59</v>
      </c>
      <c r="H5662">
        <v>2024</v>
      </c>
    </row>
    <row r="5663" spans="1:8" x14ac:dyDescent="0.2">
      <c r="A5663">
        <v>261049</v>
      </c>
      <c r="B5663">
        <v>324896</v>
      </c>
      <c r="C5663" t="str">
        <f t="shared" si="88"/>
        <v>2. $10K-50K</v>
      </c>
      <c r="D5663" t="s">
        <v>801</v>
      </c>
      <c r="E5663" t="s">
        <v>237</v>
      </c>
      <c r="F5663" t="s">
        <v>670</v>
      </c>
      <c r="G5663" t="s">
        <v>59</v>
      </c>
      <c r="H5663">
        <v>2024</v>
      </c>
    </row>
    <row r="5664" spans="1:8" x14ac:dyDescent="0.2">
      <c r="A5664">
        <v>261055</v>
      </c>
      <c r="B5664">
        <v>412891.8</v>
      </c>
      <c r="C5664" t="str">
        <f t="shared" si="88"/>
        <v>4. $250K-1M</v>
      </c>
      <c r="D5664" t="s">
        <v>805</v>
      </c>
      <c r="E5664" t="s">
        <v>42</v>
      </c>
      <c r="F5664" t="s">
        <v>670</v>
      </c>
      <c r="G5664" t="s">
        <v>59</v>
      </c>
      <c r="H5664">
        <v>2024</v>
      </c>
    </row>
    <row r="5665" spans="1:8" x14ac:dyDescent="0.2">
      <c r="A5665">
        <v>261056</v>
      </c>
      <c r="B5665">
        <v>30000</v>
      </c>
      <c r="C5665" t="str">
        <f t="shared" si="88"/>
        <v>4. $250K-1M</v>
      </c>
      <c r="D5665" t="s">
        <v>1432</v>
      </c>
      <c r="E5665" t="s">
        <v>432</v>
      </c>
      <c r="F5665" t="s">
        <v>670</v>
      </c>
      <c r="G5665" t="s">
        <v>59</v>
      </c>
      <c r="H5665">
        <v>2024</v>
      </c>
    </row>
    <row r="5666" spans="1:8" x14ac:dyDescent="0.2">
      <c r="A5666">
        <v>261057</v>
      </c>
      <c r="B5666">
        <v>55000</v>
      </c>
      <c r="C5666" t="str">
        <f t="shared" si="88"/>
        <v>2. $10K-50K</v>
      </c>
      <c r="D5666" t="s">
        <v>1432</v>
      </c>
      <c r="E5666" t="s">
        <v>432</v>
      </c>
      <c r="F5666" t="s">
        <v>670</v>
      </c>
      <c r="G5666" t="s">
        <v>59</v>
      </c>
      <c r="H5666">
        <v>2024</v>
      </c>
    </row>
    <row r="5667" spans="1:8" x14ac:dyDescent="0.2">
      <c r="A5667">
        <v>261058</v>
      </c>
      <c r="B5667">
        <v>30000</v>
      </c>
      <c r="C5667" t="str">
        <f t="shared" si="88"/>
        <v>3. $50K-250K</v>
      </c>
      <c r="D5667" t="s">
        <v>1457</v>
      </c>
      <c r="E5667" t="s">
        <v>432</v>
      </c>
      <c r="F5667" t="s">
        <v>670</v>
      </c>
      <c r="G5667" t="s">
        <v>59</v>
      </c>
      <c r="H5667">
        <v>2024</v>
      </c>
    </row>
    <row r="5668" spans="1:8" x14ac:dyDescent="0.2">
      <c r="A5668">
        <v>261059</v>
      </c>
      <c r="B5668">
        <v>40000</v>
      </c>
      <c r="C5668" t="str">
        <f t="shared" si="88"/>
        <v>2. $10K-50K</v>
      </c>
      <c r="D5668" t="s">
        <v>1433</v>
      </c>
      <c r="E5668" t="s">
        <v>432</v>
      </c>
      <c r="F5668" t="s">
        <v>670</v>
      </c>
      <c r="G5668" t="s">
        <v>59</v>
      </c>
      <c r="H5668">
        <v>2024</v>
      </c>
    </row>
    <row r="5669" spans="1:8" x14ac:dyDescent="0.2">
      <c r="A5669">
        <v>261085</v>
      </c>
      <c r="B5669">
        <v>452894.4</v>
      </c>
      <c r="C5669" t="str">
        <f t="shared" si="88"/>
        <v>2. $10K-50K</v>
      </c>
      <c r="D5669" t="s">
        <v>1084</v>
      </c>
      <c r="E5669" t="s">
        <v>42</v>
      </c>
      <c r="F5669" t="s">
        <v>670</v>
      </c>
      <c r="G5669" t="s">
        <v>59</v>
      </c>
      <c r="H5669">
        <v>2024</v>
      </c>
    </row>
    <row r="5670" spans="1:8" x14ac:dyDescent="0.2">
      <c r="A5670">
        <v>261098</v>
      </c>
      <c r="B5670">
        <v>935000</v>
      </c>
      <c r="C5670" t="str">
        <f t="shared" si="88"/>
        <v>4. $250K-1M</v>
      </c>
      <c r="D5670" t="s">
        <v>1058</v>
      </c>
      <c r="E5670" t="s">
        <v>42</v>
      </c>
      <c r="F5670" t="s">
        <v>670</v>
      </c>
      <c r="G5670" t="s">
        <v>59</v>
      </c>
      <c r="H5670">
        <v>2024</v>
      </c>
    </row>
    <row r="5671" spans="1:8" x14ac:dyDescent="0.2">
      <c r="A5671">
        <v>261105</v>
      </c>
      <c r="B5671">
        <v>1014117</v>
      </c>
      <c r="C5671" t="str">
        <f t="shared" si="88"/>
        <v>4. $250K-1M</v>
      </c>
      <c r="D5671" t="s">
        <v>863</v>
      </c>
      <c r="E5671" t="s">
        <v>237</v>
      </c>
      <c r="F5671" t="s">
        <v>670</v>
      </c>
      <c r="G5671" t="s">
        <v>44</v>
      </c>
      <c r="H5671">
        <v>2024</v>
      </c>
    </row>
    <row r="5672" spans="1:8" x14ac:dyDescent="0.2">
      <c r="A5672">
        <v>261106</v>
      </c>
      <c r="B5672">
        <v>170996.9</v>
      </c>
      <c r="C5672" t="str">
        <f t="shared" si="88"/>
        <v>5. $1M+</v>
      </c>
      <c r="D5672" t="s">
        <v>782</v>
      </c>
      <c r="E5672" t="s">
        <v>237</v>
      </c>
      <c r="F5672" t="s">
        <v>670</v>
      </c>
      <c r="G5672" t="s">
        <v>59</v>
      </c>
      <c r="H5672">
        <v>2024</v>
      </c>
    </row>
    <row r="5673" spans="1:8" x14ac:dyDescent="0.2">
      <c r="A5673">
        <v>261107</v>
      </c>
      <c r="B5673">
        <v>121000</v>
      </c>
      <c r="C5673" t="str">
        <f t="shared" si="88"/>
        <v>3. $50K-250K</v>
      </c>
      <c r="D5673" t="s">
        <v>889</v>
      </c>
      <c r="E5673" t="s">
        <v>237</v>
      </c>
      <c r="F5673" t="s">
        <v>670</v>
      </c>
      <c r="G5673" t="s">
        <v>59</v>
      </c>
      <c r="H5673">
        <v>2024</v>
      </c>
    </row>
    <row r="5674" spans="1:8" x14ac:dyDescent="0.2">
      <c r="A5674">
        <v>261109</v>
      </c>
      <c r="B5674">
        <v>62349.8</v>
      </c>
      <c r="C5674" t="str">
        <f t="shared" si="88"/>
        <v>3. $50K-250K</v>
      </c>
      <c r="D5674" t="s">
        <v>749</v>
      </c>
      <c r="E5674" t="s">
        <v>237</v>
      </c>
      <c r="F5674" t="s">
        <v>670</v>
      </c>
      <c r="G5674" t="s">
        <v>59</v>
      </c>
      <c r="H5674">
        <v>2024</v>
      </c>
    </row>
    <row r="5675" spans="1:8" x14ac:dyDescent="0.2">
      <c r="A5675">
        <v>261111</v>
      </c>
      <c r="B5675">
        <v>52799.6</v>
      </c>
      <c r="C5675" t="str">
        <f t="shared" si="88"/>
        <v>3. $50K-250K</v>
      </c>
      <c r="D5675" t="s">
        <v>749</v>
      </c>
      <c r="E5675" t="s">
        <v>237</v>
      </c>
      <c r="F5675" t="s">
        <v>670</v>
      </c>
      <c r="G5675" t="s">
        <v>59</v>
      </c>
      <c r="H5675">
        <v>2024</v>
      </c>
    </row>
    <row r="5676" spans="1:8" x14ac:dyDescent="0.2">
      <c r="A5676">
        <v>261113</v>
      </c>
      <c r="B5676">
        <v>52799.6</v>
      </c>
      <c r="C5676" t="str">
        <f t="shared" si="88"/>
        <v>3. $50K-250K</v>
      </c>
      <c r="D5676" t="s">
        <v>749</v>
      </c>
      <c r="E5676" t="s">
        <v>237</v>
      </c>
      <c r="F5676" t="s">
        <v>670</v>
      </c>
      <c r="G5676" t="s">
        <v>59</v>
      </c>
      <c r="H5676">
        <v>2024</v>
      </c>
    </row>
    <row r="5677" spans="1:8" x14ac:dyDescent="0.2">
      <c r="A5677">
        <v>261114</v>
      </c>
      <c r="B5677">
        <v>114500</v>
      </c>
      <c r="C5677" t="str">
        <f t="shared" si="88"/>
        <v>3. $50K-250K</v>
      </c>
      <c r="D5677" t="s">
        <v>928</v>
      </c>
      <c r="E5677" t="s">
        <v>237</v>
      </c>
      <c r="F5677" t="s">
        <v>670</v>
      </c>
      <c r="G5677" t="s">
        <v>59</v>
      </c>
      <c r="H5677">
        <v>2024</v>
      </c>
    </row>
    <row r="5678" spans="1:8" x14ac:dyDescent="0.2">
      <c r="A5678">
        <v>261115</v>
      </c>
      <c r="B5678">
        <v>16077.3999999999</v>
      </c>
      <c r="C5678" t="str">
        <f t="shared" si="88"/>
        <v>3. $50K-250K</v>
      </c>
      <c r="D5678" t="s">
        <v>927</v>
      </c>
      <c r="E5678" t="s">
        <v>237</v>
      </c>
      <c r="F5678" t="s">
        <v>670</v>
      </c>
      <c r="G5678" t="s">
        <v>59</v>
      </c>
      <c r="H5678">
        <v>2024</v>
      </c>
    </row>
    <row r="5679" spans="1:8" x14ac:dyDescent="0.2">
      <c r="A5679">
        <v>261119</v>
      </c>
      <c r="B5679">
        <v>107984.7</v>
      </c>
      <c r="C5679" t="str">
        <f t="shared" si="88"/>
        <v>2. $10K-50K</v>
      </c>
      <c r="D5679" t="s">
        <v>882</v>
      </c>
      <c r="E5679" t="s">
        <v>237</v>
      </c>
      <c r="F5679" t="s">
        <v>670</v>
      </c>
      <c r="G5679" t="s">
        <v>59</v>
      </c>
      <c r="H5679">
        <v>2024</v>
      </c>
    </row>
    <row r="5680" spans="1:8" x14ac:dyDescent="0.2">
      <c r="A5680">
        <v>261121</v>
      </c>
      <c r="B5680">
        <v>65616.7</v>
      </c>
      <c r="C5680" t="str">
        <f t="shared" si="88"/>
        <v>3. $50K-250K</v>
      </c>
      <c r="D5680" t="s">
        <v>902</v>
      </c>
      <c r="E5680" t="s">
        <v>237</v>
      </c>
      <c r="F5680" t="s">
        <v>670</v>
      </c>
      <c r="G5680" t="s">
        <v>59</v>
      </c>
      <c r="H5680">
        <v>2024</v>
      </c>
    </row>
    <row r="5681" spans="1:8" x14ac:dyDescent="0.2">
      <c r="A5681">
        <v>261131</v>
      </c>
      <c r="B5681">
        <v>100000</v>
      </c>
      <c r="C5681" t="str">
        <f t="shared" si="88"/>
        <v>3. $50K-250K</v>
      </c>
      <c r="D5681" t="s">
        <v>2131</v>
      </c>
      <c r="E5681" t="s">
        <v>112</v>
      </c>
      <c r="F5681" t="s">
        <v>668</v>
      </c>
      <c r="G5681" t="s">
        <v>59</v>
      </c>
      <c r="H5681">
        <v>2024</v>
      </c>
    </row>
    <row r="5682" spans="1:8" x14ac:dyDescent="0.2">
      <c r="A5682">
        <v>261132</v>
      </c>
      <c r="B5682">
        <v>45000</v>
      </c>
      <c r="C5682" t="str">
        <f t="shared" si="88"/>
        <v>3. $50K-250K</v>
      </c>
      <c r="D5682" t="s">
        <v>2061</v>
      </c>
      <c r="E5682" t="s">
        <v>112</v>
      </c>
      <c r="F5682" t="s">
        <v>668</v>
      </c>
      <c r="G5682" t="s">
        <v>59</v>
      </c>
      <c r="H5682">
        <v>2024</v>
      </c>
    </row>
    <row r="5683" spans="1:8" x14ac:dyDescent="0.2">
      <c r="A5683">
        <v>261133</v>
      </c>
      <c r="B5683">
        <v>100000</v>
      </c>
      <c r="C5683" t="str">
        <f t="shared" si="88"/>
        <v>2. $10K-50K</v>
      </c>
      <c r="D5683" t="s">
        <v>2132</v>
      </c>
      <c r="E5683" t="s">
        <v>112</v>
      </c>
      <c r="F5683" t="s">
        <v>668</v>
      </c>
      <c r="G5683" t="s">
        <v>59</v>
      </c>
      <c r="H5683">
        <v>2024</v>
      </c>
    </row>
    <row r="5684" spans="1:8" x14ac:dyDescent="0.2">
      <c r="A5684">
        <v>261134</v>
      </c>
      <c r="B5684">
        <v>75000</v>
      </c>
      <c r="C5684" t="str">
        <f t="shared" si="88"/>
        <v>3. $50K-250K</v>
      </c>
      <c r="D5684" t="s">
        <v>2133</v>
      </c>
      <c r="E5684" t="s">
        <v>112</v>
      </c>
      <c r="F5684" t="s">
        <v>668</v>
      </c>
      <c r="G5684" t="s">
        <v>59</v>
      </c>
      <c r="H5684">
        <v>2024</v>
      </c>
    </row>
    <row r="5685" spans="1:8" x14ac:dyDescent="0.2">
      <c r="A5685">
        <v>261135</v>
      </c>
      <c r="B5685">
        <v>100000</v>
      </c>
      <c r="C5685" t="str">
        <f t="shared" si="88"/>
        <v>3. $50K-250K</v>
      </c>
      <c r="D5685" t="s">
        <v>2134</v>
      </c>
      <c r="E5685" t="s">
        <v>112</v>
      </c>
      <c r="F5685" t="s">
        <v>668</v>
      </c>
      <c r="G5685" t="s">
        <v>59</v>
      </c>
      <c r="H5685">
        <v>2024</v>
      </c>
    </row>
    <row r="5686" spans="1:8" x14ac:dyDescent="0.2">
      <c r="A5686">
        <v>261137</v>
      </c>
      <c r="B5686">
        <v>250000</v>
      </c>
      <c r="C5686" t="str">
        <f t="shared" si="88"/>
        <v>3. $50K-250K</v>
      </c>
      <c r="D5686" t="s">
        <v>2135</v>
      </c>
      <c r="E5686" t="s">
        <v>99</v>
      </c>
      <c r="F5686" t="s">
        <v>668</v>
      </c>
      <c r="G5686" t="s">
        <v>59</v>
      </c>
      <c r="H5686">
        <v>2024</v>
      </c>
    </row>
    <row r="5687" spans="1:8" x14ac:dyDescent="0.2">
      <c r="A5687">
        <v>261143</v>
      </c>
      <c r="B5687">
        <v>982970.9</v>
      </c>
      <c r="C5687" t="str">
        <f t="shared" si="88"/>
        <v>4. $250K-1M</v>
      </c>
      <c r="D5687" t="s">
        <v>230</v>
      </c>
      <c r="E5687" t="s">
        <v>18</v>
      </c>
      <c r="F5687" t="s">
        <v>231</v>
      </c>
      <c r="G5687" t="s">
        <v>232</v>
      </c>
      <c r="H5687">
        <v>2024</v>
      </c>
    </row>
    <row r="5688" spans="1:8" x14ac:dyDescent="0.2">
      <c r="A5688">
        <v>261219</v>
      </c>
      <c r="B5688">
        <v>250000</v>
      </c>
      <c r="C5688" t="str">
        <f t="shared" si="88"/>
        <v>4. $250K-1M</v>
      </c>
      <c r="D5688" t="s">
        <v>2136</v>
      </c>
      <c r="E5688" t="s">
        <v>99</v>
      </c>
      <c r="F5688" t="s">
        <v>668</v>
      </c>
      <c r="G5688" t="s">
        <v>59</v>
      </c>
      <c r="H5688">
        <v>2024</v>
      </c>
    </row>
    <row r="5689" spans="1:8" x14ac:dyDescent="0.2">
      <c r="A5689">
        <v>261222</v>
      </c>
      <c r="B5689">
        <v>50000</v>
      </c>
      <c r="C5689" t="str">
        <f t="shared" si="88"/>
        <v>4. $250K-1M</v>
      </c>
      <c r="D5689" t="s">
        <v>2137</v>
      </c>
      <c r="E5689" t="s">
        <v>112</v>
      </c>
      <c r="F5689" t="s">
        <v>668</v>
      </c>
      <c r="G5689" t="s">
        <v>59</v>
      </c>
      <c r="H5689">
        <v>2024</v>
      </c>
    </row>
    <row r="5690" spans="1:8" x14ac:dyDescent="0.2">
      <c r="A5690">
        <v>261227</v>
      </c>
      <c r="B5690">
        <v>20000</v>
      </c>
      <c r="C5690" t="str">
        <f t="shared" si="88"/>
        <v>3. $50K-250K</v>
      </c>
      <c r="D5690" t="s">
        <v>2138</v>
      </c>
      <c r="E5690" t="s">
        <v>112</v>
      </c>
      <c r="F5690" t="s">
        <v>668</v>
      </c>
      <c r="G5690" t="s">
        <v>59</v>
      </c>
      <c r="H5690">
        <v>2024</v>
      </c>
    </row>
    <row r="5691" spans="1:8" x14ac:dyDescent="0.2">
      <c r="A5691">
        <v>261232</v>
      </c>
      <c r="B5691">
        <v>20000</v>
      </c>
      <c r="C5691" t="str">
        <f t="shared" si="88"/>
        <v>2. $10K-50K</v>
      </c>
      <c r="D5691" t="s">
        <v>2139</v>
      </c>
      <c r="E5691" t="s">
        <v>112</v>
      </c>
      <c r="F5691" t="s">
        <v>668</v>
      </c>
      <c r="G5691" t="s">
        <v>59</v>
      </c>
      <c r="H5691">
        <v>2024</v>
      </c>
    </row>
    <row r="5692" spans="1:8" x14ac:dyDescent="0.2">
      <c r="A5692">
        <v>261258</v>
      </c>
      <c r="B5692">
        <v>8079003.2999999998</v>
      </c>
      <c r="C5692" t="str">
        <f t="shared" si="88"/>
        <v>2. $10K-50K</v>
      </c>
      <c r="D5692" t="s">
        <v>114</v>
      </c>
      <c r="E5692" t="s">
        <v>8</v>
      </c>
      <c r="F5692" t="s">
        <v>9</v>
      </c>
      <c r="G5692" t="s">
        <v>10</v>
      </c>
      <c r="H5692">
        <v>2024</v>
      </c>
    </row>
    <row r="5693" spans="1:8" x14ac:dyDescent="0.2">
      <c r="A5693">
        <v>261306</v>
      </c>
      <c r="B5693">
        <v>60000</v>
      </c>
      <c r="C5693" t="str">
        <f t="shared" si="88"/>
        <v>5. $1M+</v>
      </c>
      <c r="D5693" t="s">
        <v>2140</v>
      </c>
      <c r="E5693" t="s">
        <v>112</v>
      </c>
      <c r="F5693" t="s">
        <v>668</v>
      </c>
      <c r="G5693" t="s">
        <v>59</v>
      </c>
      <c r="H5693">
        <v>2024</v>
      </c>
    </row>
    <row r="5694" spans="1:8" x14ac:dyDescent="0.2">
      <c r="A5694">
        <v>261308</v>
      </c>
      <c r="B5694">
        <v>90000</v>
      </c>
      <c r="C5694" t="str">
        <f t="shared" si="88"/>
        <v>3. $50K-250K</v>
      </c>
      <c r="D5694" t="s">
        <v>1577</v>
      </c>
      <c r="E5694" t="s">
        <v>112</v>
      </c>
      <c r="F5694" t="s">
        <v>668</v>
      </c>
      <c r="G5694" t="s">
        <v>59</v>
      </c>
      <c r="H5694">
        <v>2024</v>
      </c>
    </row>
    <row r="5695" spans="1:8" x14ac:dyDescent="0.2">
      <c r="A5695">
        <v>261311</v>
      </c>
      <c r="B5695">
        <v>100000</v>
      </c>
      <c r="C5695" t="str">
        <f t="shared" si="88"/>
        <v>3. $50K-250K</v>
      </c>
      <c r="D5695" t="s">
        <v>1064</v>
      </c>
      <c r="E5695" t="s">
        <v>112</v>
      </c>
      <c r="F5695" t="s">
        <v>668</v>
      </c>
      <c r="G5695" t="s">
        <v>59</v>
      </c>
      <c r="H5695">
        <v>2024</v>
      </c>
    </row>
    <row r="5696" spans="1:8" x14ac:dyDescent="0.2">
      <c r="A5696">
        <v>261326</v>
      </c>
      <c r="B5696">
        <v>278659.20000000001</v>
      </c>
      <c r="C5696" t="str">
        <f t="shared" si="88"/>
        <v>3. $50K-250K</v>
      </c>
      <c r="D5696" t="s">
        <v>860</v>
      </c>
      <c r="E5696" t="s">
        <v>237</v>
      </c>
      <c r="F5696" t="s">
        <v>670</v>
      </c>
      <c r="G5696" t="s">
        <v>59</v>
      </c>
      <c r="H5696">
        <v>2024</v>
      </c>
    </row>
    <row r="5697" spans="1:8" x14ac:dyDescent="0.2">
      <c r="A5697">
        <v>261327</v>
      </c>
      <c r="B5697">
        <v>1671877</v>
      </c>
      <c r="C5697" t="str">
        <f t="shared" si="88"/>
        <v>4. $250K-1M</v>
      </c>
      <c r="D5697" t="s">
        <v>2141</v>
      </c>
      <c r="E5697" t="s">
        <v>99</v>
      </c>
      <c r="F5697" t="s">
        <v>668</v>
      </c>
      <c r="G5697" t="s">
        <v>59</v>
      </c>
      <c r="H5697">
        <v>2024</v>
      </c>
    </row>
    <row r="5698" spans="1:8" x14ac:dyDescent="0.2">
      <c r="A5698">
        <v>261328</v>
      </c>
      <c r="B5698">
        <v>14450000</v>
      </c>
      <c r="C5698" t="str">
        <f t="shared" si="88"/>
        <v>5. $1M+</v>
      </c>
      <c r="D5698" t="s">
        <v>2142</v>
      </c>
      <c r="E5698" t="s">
        <v>99</v>
      </c>
      <c r="F5698" t="s">
        <v>668</v>
      </c>
      <c r="G5698" t="s">
        <v>59</v>
      </c>
      <c r="H5698">
        <v>2024</v>
      </c>
    </row>
    <row r="5699" spans="1:8" x14ac:dyDescent="0.2">
      <c r="A5699">
        <v>261329</v>
      </c>
      <c r="B5699">
        <v>12900000</v>
      </c>
      <c r="C5699" t="str">
        <f t="shared" ref="C5699:C5762" si="89">IF(B5698&lt;10000,"1. Under $10K",IF(B5698&lt;50000,"2. $10K-50K",IF(B5698&lt;250000,"3. $50K-250K",IF(B5698&lt;1000000,"4. $250K-1M","5. $1M+"))))</f>
        <v>5. $1M+</v>
      </c>
      <c r="D5699" t="s">
        <v>2142</v>
      </c>
      <c r="E5699" t="s">
        <v>99</v>
      </c>
      <c r="F5699" t="s">
        <v>668</v>
      </c>
      <c r="G5699" t="s">
        <v>59</v>
      </c>
      <c r="H5699">
        <v>2024</v>
      </c>
    </row>
    <row r="5700" spans="1:8" x14ac:dyDescent="0.2">
      <c r="A5700">
        <v>261335</v>
      </c>
      <c r="B5700">
        <v>144000</v>
      </c>
      <c r="C5700" t="str">
        <f t="shared" si="89"/>
        <v>5. $1M+</v>
      </c>
      <c r="D5700" t="s">
        <v>711</v>
      </c>
      <c r="E5700" t="s">
        <v>237</v>
      </c>
      <c r="F5700" t="s">
        <v>670</v>
      </c>
      <c r="G5700" t="s">
        <v>59</v>
      </c>
      <c r="H5700">
        <v>2024</v>
      </c>
    </row>
    <row r="5701" spans="1:8" x14ac:dyDescent="0.2">
      <c r="A5701">
        <v>261342</v>
      </c>
      <c r="B5701">
        <v>475327</v>
      </c>
      <c r="C5701" t="str">
        <f t="shared" si="89"/>
        <v>3. $50K-250K</v>
      </c>
      <c r="D5701" t="s">
        <v>962</v>
      </c>
      <c r="E5701" t="s">
        <v>42</v>
      </c>
      <c r="F5701" t="s">
        <v>670</v>
      </c>
      <c r="G5701" t="s">
        <v>59</v>
      </c>
      <c r="H5701">
        <v>2024</v>
      </c>
    </row>
    <row r="5702" spans="1:8" x14ac:dyDescent="0.2">
      <c r="A5702">
        <v>261343</v>
      </c>
      <c r="B5702">
        <v>445993.9</v>
      </c>
      <c r="C5702" t="str">
        <f t="shared" si="89"/>
        <v>4. $250K-1M</v>
      </c>
      <c r="D5702" t="s">
        <v>1086</v>
      </c>
      <c r="E5702" t="s">
        <v>42</v>
      </c>
      <c r="F5702" t="s">
        <v>670</v>
      </c>
      <c r="G5702" t="s">
        <v>59</v>
      </c>
      <c r="H5702">
        <v>2024</v>
      </c>
    </row>
    <row r="5703" spans="1:8" x14ac:dyDescent="0.2">
      <c r="A5703">
        <v>261344</v>
      </c>
      <c r="B5703">
        <v>241676.5</v>
      </c>
      <c r="C5703" t="str">
        <f t="shared" si="89"/>
        <v>4. $250K-1M</v>
      </c>
      <c r="D5703" t="s">
        <v>726</v>
      </c>
      <c r="E5703" t="s">
        <v>42</v>
      </c>
      <c r="F5703" t="s">
        <v>670</v>
      </c>
      <c r="G5703" t="s">
        <v>59</v>
      </c>
      <c r="H5703">
        <v>2024</v>
      </c>
    </row>
    <row r="5704" spans="1:8" x14ac:dyDescent="0.2">
      <c r="A5704">
        <v>261346</v>
      </c>
      <c r="B5704">
        <v>1000000</v>
      </c>
      <c r="C5704" t="str">
        <f t="shared" si="89"/>
        <v>3. $50K-250K</v>
      </c>
      <c r="D5704" t="s">
        <v>726</v>
      </c>
      <c r="E5704" t="s">
        <v>237</v>
      </c>
      <c r="F5704" t="s">
        <v>670</v>
      </c>
      <c r="G5704" t="s">
        <v>44</v>
      </c>
      <c r="H5704">
        <v>2024</v>
      </c>
    </row>
    <row r="5705" spans="1:8" x14ac:dyDescent="0.2">
      <c r="A5705">
        <v>261348</v>
      </c>
      <c r="B5705">
        <v>1000000</v>
      </c>
      <c r="C5705" t="str">
        <f t="shared" si="89"/>
        <v>5. $1M+</v>
      </c>
      <c r="D5705" t="s">
        <v>696</v>
      </c>
      <c r="E5705" t="s">
        <v>237</v>
      </c>
      <c r="F5705" t="s">
        <v>670</v>
      </c>
      <c r="G5705" t="s">
        <v>44</v>
      </c>
      <c r="H5705">
        <v>2024</v>
      </c>
    </row>
    <row r="5706" spans="1:8" x14ac:dyDescent="0.2">
      <c r="A5706">
        <v>261351</v>
      </c>
      <c r="B5706">
        <v>670378</v>
      </c>
      <c r="C5706" t="str">
        <f t="shared" si="89"/>
        <v>5. $1M+</v>
      </c>
      <c r="D5706" t="s">
        <v>798</v>
      </c>
      <c r="E5706" t="s">
        <v>237</v>
      </c>
      <c r="F5706" t="s">
        <v>670</v>
      </c>
      <c r="G5706" t="s">
        <v>44</v>
      </c>
      <c r="H5706">
        <v>2024</v>
      </c>
    </row>
    <row r="5707" spans="1:8" x14ac:dyDescent="0.2">
      <c r="A5707">
        <v>261352</v>
      </c>
      <c r="B5707">
        <v>5000</v>
      </c>
      <c r="C5707" t="str">
        <f t="shared" si="89"/>
        <v>4. $250K-1M</v>
      </c>
      <c r="D5707" t="s">
        <v>696</v>
      </c>
      <c r="E5707" t="s">
        <v>237</v>
      </c>
      <c r="F5707" t="s">
        <v>670</v>
      </c>
      <c r="G5707" t="s">
        <v>44</v>
      </c>
      <c r="H5707">
        <v>2024</v>
      </c>
    </row>
    <row r="5708" spans="1:8" x14ac:dyDescent="0.2">
      <c r="A5708">
        <v>261404</v>
      </c>
      <c r="B5708">
        <v>107689</v>
      </c>
      <c r="C5708" t="str">
        <f t="shared" si="89"/>
        <v>1. Under $10K</v>
      </c>
      <c r="D5708" t="s">
        <v>749</v>
      </c>
      <c r="E5708" t="s">
        <v>237</v>
      </c>
      <c r="F5708" t="s">
        <v>670</v>
      </c>
      <c r="G5708" t="s">
        <v>59</v>
      </c>
      <c r="H5708">
        <v>2024</v>
      </c>
    </row>
    <row r="5709" spans="1:8" x14ac:dyDescent="0.2">
      <c r="A5709">
        <v>261405</v>
      </c>
      <c r="B5709">
        <v>48000</v>
      </c>
      <c r="C5709" t="str">
        <f t="shared" si="89"/>
        <v>3. $50K-250K</v>
      </c>
      <c r="D5709" t="s">
        <v>749</v>
      </c>
      <c r="E5709" t="s">
        <v>237</v>
      </c>
      <c r="F5709" t="s">
        <v>670</v>
      </c>
      <c r="G5709" t="s">
        <v>59</v>
      </c>
      <c r="H5709">
        <v>2024</v>
      </c>
    </row>
    <row r="5710" spans="1:8" x14ac:dyDescent="0.2">
      <c r="A5710">
        <v>261432</v>
      </c>
      <c r="B5710">
        <v>119541.6</v>
      </c>
      <c r="C5710" t="str">
        <f t="shared" si="89"/>
        <v>2. $10K-50K</v>
      </c>
      <c r="D5710" t="s">
        <v>711</v>
      </c>
      <c r="E5710" t="s">
        <v>237</v>
      </c>
      <c r="F5710" t="s">
        <v>670</v>
      </c>
      <c r="G5710" t="s">
        <v>59</v>
      </c>
      <c r="H5710">
        <v>2024</v>
      </c>
    </row>
    <row r="5711" spans="1:8" x14ac:dyDescent="0.2">
      <c r="A5711">
        <v>261435</v>
      </c>
      <c r="B5711">
        <v>89847</v>
      </c>
      <c r="C5711" t="str">
        <f t="shared" si="89"/>
        <v>3. $50K-250K</v>
      </c>
      <c r="D5711" t="s">
        <v>916</v>
      </c>
      <c r="E5711" t="s">
        <v>237</v>
      </c>
      <c r="F5711" t="s">
        <v>670</v>
      </c>
      <c r="G5711" t="s">
        <v>59</v>
      </c>
      <c r="H5711">
        <v>2024</v>
      </c>
    </row>
    <row r="5712" spans="1:8" x14ac:dyDescent="0.2">
      <c r="A5712">
        <v>261436</v>
      </c>
      <c r="B5712">
        <v>167660</v>
      </c>
      <c r="C5712" t="str">
        <f t="shared" si="89"/>
        <v>3. $50K-250K</v>
      </c>
      <c r="D5712" t="s">
        <v>829</v>
      </c>
      <c r="E5712" t="s">
        <v>237</v>
      </c>
      <c r="F5712" t="s">
        <v>670</v>
      </c>
      <c r="G5712" t="s">
        <v>59</v>
      </c>
      <c r="H5712">
        <v>2024</v>
      </c>
    </row>
    <row r="5713" spans="1:8" x14ac:dyDescent="0.2">
      <c r="A5713">
        <v>261451</v>
      </c>
      <c r="B5713">
        <v>55518.8</v>
      </c>
      <c r="C5713" t="str">
        <f t="shared" si="89"/>
        <v>3. $50K-250K</v>
      </c>
      <c r="D5713" t="s">
        <v>809</v>
      </c>
      <c r="E5713" t="s">
        <v>237</v>
      </c>
      <c r="F5713" t="s">
        <v>670</v>
      </c>
      <c r="G5713" t="s">
        <v>59</v>
      </c>
      <c r="H5713">
        <v>2024</v>
      </c>
    </row>
    <row r="5714" spans="1:8" x14ac:dyDescent="0.2">
      <c r="A5714">
        <v>261456</v>
      </c>
      <c r="B5714">
        <v>64999.9</v>
      </c>
      <c r="C5714" t="str">
        <f t="shared" si="89"/>
        <v>3. $50K-250K</v>
      </c>
      <c r="D5714" t="s">
        <v>812</v>
      </c>
      <c r="E5714" t="s">
        <v>237</v>
      </c>
      <c r="F5714" t="s">
        <v>670</v>
      </c>
      <c r="G5714" t="s">
        <v>59</v>
      </c>
      <c r="H5714">
        <v>2024</v>
      </c>
    </row>
    <row r="5715" spans="1:8" x14ac:dyDescent="0.2">
      <c r="A5715">
        <v>261462</v>
      </c>
      <c r="B5715">
        <v>65947.399999999994</v>
      </c>
      <c r="C5715" t="str">
        <f t="shared" si="89"/>
        <v>3. $50K-250K</v>
      </c>
      <c r="D5715" t="s">
        <v>919</v>
      </c>
      <c r="E5715" t="s">
        <v>237</v>
      </c>
      <c r="F5715" t="s">
        <v>670</v>
      </c>
      <c r="G5715" t="s">
        <v>59</v>
      </c>
      <c r="H5715">
        <v>2024</v>
      </c>
    </row>
    <row r="5716" spans="1:8" x14ac:dyDescent="0.2">
      <c r="A5716">
        <v>261463</v>
      </c>
      <c r="B5716">
        <v>86400</v>
      </c>
      <c r="C5716" t="str">
        <f t="shared" si="89"/>
        <v>3. $50K-250K</v>
      </c>
      <c r="D5716" t="s">
        <v>809</v>
      </c>
      <c r="E5716" t="s">
        <v>237</v>
      </c>
      <c r="F5716" t="s">
        <v>670</v>
      </c>
      <c r="G5716" t="s">
        <v>59</v>
      </c>
      <c r="H5716">
        <v>2024</v>
      </c>
    </row>
    <row r="5717" spans="1:8" x14ac:dyDescent="0.2">
      <c r="A5717">
        <v>261465</v>
      </c>
      <c r="B5717">
        <v>64620</v>
      </c>
      <c r="C5717" t="str">
        <f t="shared" si="89"/>
        <v>3. $50K-250K</v>
      </c>
      <c r="D5717" t="s">
        <v>908</v>
      </c>
      <c r="E5717" t="s">
        <v>237</v>
      </c>
      <c r="F5717" t="s">
        <v>670</v>
      </c>
      <c r="G5717" t="s">
        <v>59</v>
      </c>
      <c r="H5717">
        <v>2024</v>
      </c>
    </row>
    <row r="5718" spans="1:8" x14ac:dyDescent="0.2">
      <c r="A5718">
        <v>261467</v>
      </c>
      <c r="B5718">
        <v>72451</v>
      </c>
      <c r="C5718" t="str">
        <f t="shared" si="89"/>
        <v>3. $50K-250K</v>
      </c>
      <c r="D5718" t="s">
        <v>925</v>
      </c>
      <c r="E5718" t="s">
        <v>237</v>
      </c>
      <c r="F5718" t="s">
        <v>670</v>
      </c>
      <c r="G5718" t="s">
        <v>59</v>
      </c>
      <c r="H5718">
        <v>2024</v>
      </c>
    </row>
    <row r="5719" spans="1:8" x14ac:dyDescent="0.2">
      <c r="A5719">
        <v>261468</v>
      </c>
      <c r="B5719">
        <v>40029</v>
      </c>
      <c r="C5719" t="str">
        <f t="shared" si="89"/>
        <v>3. $50K-250K</v>
      </c>
      <c r="D5719" t="s">
        <v>749</v>
      </c>
      <c r="E5719" t="s">
        <v>237</v>
      </c>
      <c r="F5719" t="s">
        <v>670</v>
      </c>
      <c r="G5719" t="s">
        <v>59</v>
      </c>
      <c r="H5719">
        <v>2024</v>
      </c>
    </row>
    <row r="5720" spans="1:8" x14ac:dyDescent="0.2">
      <c r="A5720">
        <v>261469</v>
      </c>
      <c r="B5720">
        <v>67315</v>
      </c>
      <c r="C5720" t="str">
        <f t="shared" si="89"/>
        <v>2. $10K-50K</v>
      </c>
      <c r="D5720" t="s">
        <v>930</v>
      </c>
      <c r="E5720" t="s">
        <v>237</v>
      </c>
      <c r="F5720" t="s">
        <v>670</v>
      </c>
      <c r="G5720" t="s">
        <v>59</v>
      </c>
      <c r="H5720">
        <v>2024</v>
      </c>
    </row>
    <row r="5721" spans="1:8" x14ac:dyDescent="0.2">
      <c r="A5721">
        <v>261473</v>
      </c>
      <c r="B5721">
        <v>64741.1</v>
      </c>
      <c r="C5721" t="str">
        <f t="shared" si="89"/>
        <v>3. $50K-250K</v>
      </c>
      <c r="D5721" t="s">
        <v>908</v>
      </c>
      <c r="E5721" t="s">
        <v>237</v>
      </c>
      <c r="F5721" t="s">
        <v>670</v>
      </c>
      <c r="G5721" t="s">
        <v>59</v>
      </c>
      <c r="H5721">
        <v>2024</v>
      </c>
    </row>
    <row r="5722" spans="1:8" x14ac:dyDescent="0.2">
      <c r="A5722">
        <v>261474</v>
      </c>
      <c r="B5722">
        <v>64937.2</v>
      </c>
      <c r="C5722" t="str">
        <f t="shared" si="89"/>
        <v>3. $50K-250K</v>
      </c>
      <c r="D5722" t="s">
        <v>749</v>
      </c>
      <c r="E5722" t="s">
        <v>237</v>
      </c>
      <c r="F5722" t="s">
        <v>670</v>
      </c>
      <c r="G5722" t="s">
        <v>59</v>
      </c>
      <c r="H5722">
        <v>2024</v>
      </c>
    </row>
    <row r="5723" spans="1:8" x14ac:dyDescent="0.2">
      <c r="A5723">
        <v>261476</v>
      </c>
      <c r="B5723">
        <v>136468</v>
      </c>
      <c r="C5723" t="str">
        <f t="shared" si="89"/>
        <v>3. $50K-250K</v>
      </c>
      <c r="D5723" t="s">
        <v>932</v>
      </c>
      <c r="E5723" t="s">
        <v>237</v>
      </c>
      <c r="F5723" t="s">
        <v>670</v>
      </c>
      <c r="G5723" t="s">
        <v>59</v>
      </c>
      <c r="H5723">
        <v>2024</v>
      </c>
    </row>
    <row r="5724" spans="1:8" x14ac:dyDescent="0.2">
      <c r="A5724">
        <v>261478</v>
      </c>
      <c r="B5724">
        <v>86400</v>
      </c>
      <c r="C5724" t="str">
        <f t="shared" si="89"/>
        <v>3. $50K-250K</v>
      </c>
      <c r="D5724" t="s">
        <v>726</v>
      </c>
      <c r="E5724" t="s">
        <v>237</v>
      </c>
      <c r="F5724" t="s">
        <v>670</v>
      </c>
      <c r="G5724" t="s">
        <v>59</v>
      </c>
      <c r="H5724">
        <v>2024</v>
      </c>
    </row>
    <row r="5725" spans="1:8" x14ac:dyDescent="0.2">
      <c r="A5725">
        <v>261479</v>
      </c>
      <c r="B5725">
        <v>41196.699999999997</v>
      </c>
      <c r="C5725" t="str">
        <f t="shared" si="89"/>
        <v>3. $50K-250K</v>
      </c>
      <c r="D5725" t="s">
        <v>926</v>
      </c>
      <c r="E5725" t="s">
        <v>237</v>
      </c>
      <c r="F5725" t="s">
        <v>670</v>
      </c>
      <c r="G5725" t="s">
        <v>59</v>
      </c>
      <c r="H5725">
        <v>2024</v>
      </c>
    </row>
    <row r="5726" spans="1:8" x14ac:dyDescent="0.2">
      <c r="A5726">
        <v>261481</v>
      </c>
      <c r="B5726">
        <v>71085</v>
      </c>
      <c r="C5726" t="str">
        <f t="shared" si="89"/>
        <v>2. $10K-50K</v>
      </c>
      <c r="D5726" t="s">
        <v>749</v>
      </c>
      <c r="E5726" t="s">
        <v>237</v>
      </c>
      <c r="F5726" t="s">
        <v>670</v>
      </c>
      <c r="G5726" t="s">
        <v>59</v>
      </c>
      <c r="H5726">
        <v>2024</v>
      </c>
    </row>
    <row r="5727" spans="1:8" x14ac:dyDescent="0.2">
      <c r="A5727">
        <v>261483</v>
      </c>
      <c r="B5727">
        <v>50000</v>
      </c>
      <c r="C5727" t="str">
        <f t="shared" si="89"/>
        <v>3. $50K-250K</v>
      </c>
      <c r="D5727" t="s">
        <v>1449</v>
      </c>
      <c r="E5727" t="s">
        <v>432</v>
      </c>
      <c r="F5727" t="s">
        <v>670</v>
      </c>
      <c r="G5727" t="s">
        <v>59</v>
      </c>
      <c r="H5727">
        <v>2024</v>
      </c>
    </row>
    <row r="5728" spans="1:8" x14ac:dyDescent="0.2">
      <c r="A5728">
        <v>261485</v>
      </c>
      <c r="B5728">
        <v>25000</v>
      </c>
      <c r="C5728" t="str">
        <f t="shared" si="89"/>
        <v>3. $50K-250K</v>
      </c>
      <c r="D5728" t="s">
        <v>1449</v>
      </c>
      <c r="E5728" t="s">
        <v>432</v>
      </c>
      <c r="F5728" t="s">
        <v>670</v>
      </c>
      <c r="G5728" t="s">
        <v>59</v>
      </c>
      <c r="H5728">
        <v>2024</v>
      </c>
    </row>
    <row r="5729" spans="1:8" x14ac:dyDescent="0.2">
      <c r="A5729">
        <v>261488</v>
      </c>
      <c r="B5729">
        <v>44716.5</v>
      </c>
      <c r="C5729" t="str">
        <f t="shared" si="89"/>
        <v>2. $10K-50K</v>
      </c>
      <c r="D5729" t="s">
        <v>749</v>
      </c>
      <c r="E5729" t="s">
        <v>237</v>
      </c>
      <c r="F5729" t="s">
        <v>670</v>
      </c>
      <c r="G5729" t="s">
        <v>59</v>
      </c>
      <c r="H5729">
        <v>2024</v>
      </c>
    </row>
    <row r="5730" spans="1:8" x14ac:dyDescent="0.2">
      <c r="A5730">
        <v>261489</v>
      </c>
      <c r="B5730">
        <v>59665.599999999999</v>
      </c>
      <c r="C5730" t="str">
        <f t="shared" si="89"/>
        <v>2. $10K-50K</v>
      </c>
      <c r="D5730" t="s">
        <v>890</v>
      </c>
      <c r="E5730" t="s">
        <v>237</v>
      </c>
      <c r="F5730" t="s">
        <v>670</v>
      </c>
      <c r="G5730" t="s">
        <v>59</v>
      </c>
      <c r="H5730">
        <v>2024</v>
      </c>
    </row>
    <row r="5731" spans="1:8" x14ac:dyDescent="0.2">
      <c r="A5731">
        <v>261490</v>
      </c>
      <c r="B5731">
        <v>41340</v>
      </c>
      <c r="C5731" t="str">
        <f t="shared" si="89"/>
        <v>3. $50K-250K</v>
      </c>
      <c r="D5731" t="s">
        <v>749</v>
      </c>
      <c r="E5731" t="s">
        <v>237</v>
      </c>
      <c r="F5731" t="s">
        <v>670</v>
      </c>
      <c r="G5731" t="s">
        <v>59</v>
      </c>
      <c r="H5731">
        <v>2024</v>
      </c>
    </row>
    <row r="5732" spans="1:8" x14ac:dyDescent="0.2">
      <c r="A5732">
        <v>261491</v>
      </c>
      <c r="B5732">
        <v>13000</v>
      </c>
      <c r="C5732" t="str">
        <f t="shared" si="89"/>
        <v>2. $10K-50K</v>
      </c>
      <c r="D5732" t="s">
        <v>856</v>
      </c>
      <c r="E5732" t="s">
        <v>237</v>
      </c>
      <c r="F5732" t="s">
        <v>670</v>
      </c>
      <c r="G5732" t="s">
        <v>59</v>
      </c>
      <c r="H5732">
        <v>2024</v>
      </c>
    </row>
    <row r="5733" spans="1:8" x14ac:dyDescent="0.2">
      <c r="A5733">
        <v>261492</v>
      </c>
      <c r="B5733">
        <v>64315.199999999997</v>
      </c>
      <c r="C5733" t="str">
        <f t="shared" si="89"/>
        <v>2. $10K-50K</v>
      </c>
      <c r="D5733" t="s">
        <v>749</v>
      </c>
      <c r="E5733" t="s">
        <v>237</v>
      </c>
      <c r="F5733" t="s">
        <v>670</v>
      </c>
      <c r="G5733" t="s">
        <v>59</v>
      </c>
      <c r="H5733">
        <v>2024</v>
      </c>
    </row>
    <row r="5734" spans="1:8" x14ac:dyDescent="0.2">
      <c r="A5734">
        <v>261494</v>
      </c>
      <c r="B5734">
        <v>61901</v>
      </c>
      <c r="C5734" t="str">
        <f t="shared" si="89"/>
        <v>3. $50K-250K</v>
      </c>
      <c r="D5734" t="s">
        <v>749</v>
      </c>
      <c r="E5734" t="s">
        <v>237</v>
      </c>
      <c r="F5734" t="s">
        <v>670</v>
      </c>
      <c r="G5734" t="s">
        <v>59</v>
      </c>
      <c r="H5734">
        <v>2024</v>
      </c>
    </row>
    <row r="5735" spans="1:8" x14ac:dyDescent="0.2">
      <c r="A5735">
        <v>261497</v>
      </c>
      <c r="B5735">
        <v>82629.399999999994</v>
      </c>
      <c r="C5735" t="str">
        <f t="shared" si="89"/>
        <v>3. $50K-250K</v>
      </c>
      <c r="D5735" t="s">
        <v>890</v>
      </c>
      <c r="E5735" t="s">
        <v>237</v>
      </c>
      <c r="F5735" t="s">
        <v>670</v>
      </c>
      <c r="G5735" t="s">
        <v>59</v>
      </c>
      <c r="H5735">
        <v>2024</v>
      </c>
    </row>
    <row r="5736" spans="1:8" x14ac:dyDescent="0.2">
      <c r="A5736">
        <v>261584</v>
      </c>
      <c r="B5736">
        <v>7423000</v>
      </c>
      <c r="C5736" t="str">
        <f t="shared" si="89"/>
        <v>3. $50K-250K</v>
      </c>
      <c r="D5736" t="s">
        <v>408</v>
      </c>
      <c r="E5736" t="s">
        <v>52</v>
      </c>
      <c r="F5736" t="s">
        <v>22</v>
      </c>
      <c r="G5736" t="s">
        <v>44</v>
      </c>
      <c r="H5736">
        <v>2024</v>
      </c>
    </row>
    <row r="5737" spans="1:8" x14ac:dyDescent="0.2">
      <c r="A5737">
        <v>261594</v>
      </c>
      <c r="B5737">
        <v>200000</v>
      </c>
      <c r="C5737" t="str">
        <f t="shared" si="89"/>
        <v>5. $1M+</v>
      </c>
      <c r="D5737" t="s">
        <v>1062</v>
      </c>
      <c r="E5737" t="s">
        <v>42</v>
      </c>
      <c r="F5737" t="s">
        <v>670</v>
      </c>
      <c r="G5737" t="s">
        <v>59</v>
      </c>
      <c r="H5737">
        <v>2024</v>
      </c>
    </row>
    <row r="5738" spans="1:8" x14ac:dyDescent="0.2">
      <c r="A5738">
        <v>261595</v>
      </c>
      <c r="B5738">
        <v>200000</v>
      </c>
      <c r="C5738" t="str">
        <f t="shared" si="89"/>
        <v>3. $50K-250K</v>
      </c>
      <c r="D5738" t="s">
        <v>821</v>
      </c>
      <c r="E5738" t="s">
        <v>42</v>
      </c>
      <c r="F5738" t="s">
        <v>670</v>
      </c>
      <c r="G5738" t="s">
        <v>59</v>
      </c>
      <c r="H5738">
        <v>2024</v>
      </c>
    </row>
    <row r="5739" spans="1:8" x14ac:dyDescent="0.2">
      <c r="A5739">
        <v>261596</v>
      </c>
      <c r="B5739">
        <v>23363.9</v>
      </c>
      <c r="C5739" t="str">
        <f t="shared" si="89"/>
        <v>3. $50K-250K</v>
      </c>
      <c r="D5739" t="s">
        <v>255</v>
      </c>
      <c r="E5739" t="s">
        <v>141</v>
      </c>
      <c r="F5739" t="s">
        <v>43</v>
      </c>
      <c r="G5739" t="s">
        <v>59</v>
      </c>
      <c r="H5739">
        <v>2024</v>
      </c>
    </row>
    <row r="5740" spans="1:8" x14ac:dyDescent="0.2">
      <c r="A5740">
        <v>261597</v>
      </c>
      <c r="B5740">
        <v>300000</v>
      </c>
      <c r="C5740" t="str">
        <f t="shared" si="89"/>
        <v>2. $10K-50K</v>
      </c>
      <c r="D5740" t="s">
        <v>771</v>
      </c>
      <c r="E5740" t="s">
        <v>42</v>
      </c>
      <c r="F5740" t="s">
        <v>670</v>
      </c>
      <c r="G5740" t="s">
        <v>59</v>
      </c>
      <c r="H5740">
        <v>2024</v>
      </c>
    </row>
    <row r="5741" spans="1:8" x14ac:dyDescent="0.2">
      <c r="A5741">
        <v>261598</v>
      </c>
      <c r="B5741">
        <v>119275.1</v>
      </c>
      <c r="C5741" t="str">
        <f t="shared" si="89"/>
        <v>4. $250K-1M</v>
      </c>
      <c r="D5741" t="s">
        <v>391</v>
      </c>
      <c r="E5741" t="s">
        <v>42</v>
      </c>
      <c r="F5741" t="s">
        <v>670</v>
      </c>
      <c r="G5741" t="s">
        <v>59</v>
      </c>
      <c r="H5741">
        <v>2024</v>
      </c>
    </row>
    <row r="5742" spans="1:8" x14ac:dyDescent="0.2">
      <c r="A5742">
        <v>261599</v>
      </c>
      <c r="B5742">
        <v>517636.5</v>
      </c>
      <c r="C5742" t="str">
        <f t="shared" si="89"/>
        <v>3. $50K-250K</v>
      </c>
      <c r="D5742" t="s">
        <v>785</v>
      </c>
      <c r="E5742" t="s">
        <v>42</v>
      </c>
      <c r="F5742" t="s">
        <v>670</v>
      </c>
      <c r="G5742" t="s">
        <v>59</v>
      </c>
      <c r="H5742">
        <v>2024</v>
      </c>
    </row>
    <row r="5743" spans="1:8" x14ac:dyDescent="0.2">
      <c r="A5743">
        <v>261600</v>
      </c>
      <c r="B5743">
        <v>190690.8</v>
      </c>
      <c r="C5743" t="str">
        <f t="shared" si="89"/>
        <v>4. $250K-1M</v>
      </c>
      <c r="D5743" t="s">
        <v>391</v>
      </c>
      <c r="E5743" t="s">
        <v>42</v>
      </c>
      <c r="F5743" t="s">
        <v>670</v>
      </c>
      <c r="G5743" t="s">
        <v>59</v>
      </c>
      <c r="H5743">
        <v>2024</v>
      </c>
    </row>
    <row r="5744" spans="1:8" x14ac:dyDescent="0.2">
      <c r="A5744">
        <v>261605</v>
      </c>
      <c r="B5744">
        <v>211541</v>
      </c>
      <c r="C5744" t="str">
        <f t="shared" si="89"/>
        <v>3. $50K-250K</v>
      </c>
      <c r="D5744" t="s">
        <v>935</v>
      </c>
      <c r="E5744" t="s">
        <v>237</v>
      </c>
      <c r="F5744" t="s">
        <v>670</v>
      </c>
      <c r="G5744" t="s">
        <v>59</v>
      </c>
      <c r="H5744">
        <v>2024</v>
      </c>
    </row>
    <row r="5745" spans="1:8" x14ac:dyDescent="0.2">
      <c r="A5745">
        <v>261608</v>
      </c>
      <c r="B5745">
        <v>744165.2</v>
      </c>
      <c r="C5745" t="str">
        <f t="shared" si="89"/>
        <v>3. $50K-250K</v>
      </c>
      <c r="D5745" t="s">
        <v>1531</v>
      </c>
      <c r="E5745" t="s">
        <v>368</v>
      </c>
      <c r="F5745" t="s">
        <v>668</v>
      </c>
      <c r="G5745" t="s">
        <v>59</v>
      </c>
      <c r="H5745">
        <v>2024</v>
      </c>
    </row>
    <row r="5746" spans="1:8" x14ac:dyDescent="0.2">
      <c r="A5746">
        <v>261615</v>
      </c>
      <c r="B5746">
        <v>237610</v>
      </c>
      <c r="C5746" t="str">
        <f t="shared" si="89"/>
        <v>4. $250K-1M</v>
      </c>
      <c r="D5746" t="s">
        <v>749</v>
      </c>
      <c r="E5746" t="s">
        <v>42</v>
      </c>
      <c r="F5746" t="s">
        <v>670</v>
      </c>
      <c r="G5746" t="s">
        <v>59</v>
      </c>
      <c r="H5746">
        <v>2024</v>
      </c>
    </row>
    <row r="5747" spans="1:8" x14ac:dyDescent="0.2">
      <c r="A5747">
        <v>261644</v>
      </c>
      <c r="B5747">
        <v>8368129.0999999996</v>
      </c>
      <c r="C5747" t="str">
        <f t="shared" si="89"/>
        <v>3. $50K-250K</v>
      </c>
      <c r="D5747" t="s">
        <v>23</v>
      </c>
      <c r="E5747" t="s">
        <v>8</v>
      </c>
      <c r="F5747" t="s">
        <v>9</v>
      </c>
      <c r="G5747" t="s">
        <v>10</v>
      </c>
      <c r="H5747">
        <v>2024</v>
      </c>
    </row>
    <row r="5748" spans="1:8" x14ac:dyDescent="0.2">
      <c r="A5748">
        <v>261758</v>
      </c>
      <c r="B5748">
        <v>517585</v>
      </c>
      <c r="C5748" t="str">
        <f t="shared" si="89"/>
        <v>5. $1M+</v>
      </c>
      <c r="D5748" t="s">
        <v>409</v>
      </c>
      <c r="E5748" t="s">
        <v>112</v>
      </c>
      <c r="F5748" t="s">
        <v>12</v>
      </c>
      <c r="G5748" t="s">
        <v>10</v>
      </c>
      <c r="H5748">
        <v>2024</v>
      </c>
    </row>
    <row r="5749" spans="1:8" x14ac:dyDescent="0.2">
      <c r="A5749">
        <v>261800</v>
      </c>
      <c r="B5749">
        <v>463685.8</v>
      </c>
      <c r="C5749" t="str">
        <f t="shared" si="89"/>
        <v>4. $250K-1M</v>
      </c>
      <c r="D5749" t="s">
        <v>688</v>
      </c>
      <c r="E5749" t="s">
        <v>42</v>
      </c>
      <c r="F5749" t="s">
        <v>670</v>
      </c>
      <c r="G5749" t="s">
        <v>59</v>
      </c>
      <c r="H5749">
        <v>2024</v>
      </c>
    </row>
    <row r="5750" spans="1:8" x14ac:dyDescent="0.2">
      <c r="A5750">
        <v>261806</v>
      </c>
      <c r="B5750">
        <v>98830</v>
      </c>
      <c r="C5750" t="str">
        <f t="shared" si="89"/>
        <v>4. $250K-1M</v>
      </c>
      <c r="D5750" t="s">
        <v>908</v>
      </c>
      <c r="E5750" t="s">
        <v>237</v>
      </c>
      <c r="F5750" t="s">
        <v>670</v>
      </c>
      <c r="G5750" t="s">
        <v>59</v>
      </c>
      <c r="H5750">
        <v>2024</v>
      </c>
    </row>
    <row r="5751" spans="1:8" x14ac:dyDescent="0.2">
      <c r="A5751">
        <v>261807</v>
      </c>
      <c r="B5751">
        <v>340320</v>
      </c>
      <c r="C5751" t="str">
        <f t="shared" si="89"/>
        <v>3. $50K-250K</v>
      </c>
      <c r="D5751" t="s">
        <v>867</v>
      </c>
      <c r="E5751" t="s">
        <v>237</v>
      </c>
      <c r="F5751" t="s">
        <v>670</v>
      </c>
      <c r="G5751" t="s">
        <v>59</v>
      </c>
      <c r="H5751">
        <v>2024</v>
      </c>
    </row>
    <row r="5752" spans="1:8" x14ac:dyDescent="0.2">
      <c r="A5752">
        <v>261808</v>
      </c>
      <c r="B5752">
        <v>80000</v>
      </c>
      <c r="C5752" t="str">
        <f t="shared" si="89"/>
        <v>4. $250K-1M</v>
      </c>
      <c r="D5752" t="s">
        <v>1217</v>
      </c>
      <c r="E5752" t="s">
        <v>237</v>
      </c>
      <c r="F5752" t="s">
        <v>670</v>
      </c>
      <c r="G5752" t="s">
        <v>59</v>
      </c>
      <c r="H5752">
        <v>2024</v>
      </c>
    </row>
    <row r="5753" spans="1:8" x14ac:dyDescent="0.2">
      <c r="A5753">
        <v>261809</v>
      </c>
      <c r="B5753">
        <v>80000</v>
      </c>
      <c r="C5753" t="str">
        <f t="shared" si="89"/>
        <v>3. $50K-250K</v>
      </c>
      <c r="D5753" t="s">
        <v>694</v>
      </c>
      <c r="E5753" t="s">
        <v>237</v>
      </c>
      <c r="F5753" t="s">
        <v>670</v>
      </c>
      <c r="G5753" t="s">
        <v>59</v>
      </c>
      <c r="H5753">
        <v>2024</v>
      </c>
    </row>
    <row r="5754" spans="1:8" x14ac:dyDescent="0.2">
      <c r="A5754">
        <v>261810</v>
      </c>
      <c r="B5754">
        <v>160000</v>
      </c>
      <c r="C5754" t="str">
        <f t="shared" si="89"/>
        <v>3. $50K-250K</v>
      </c>
      <c r="D5754" t="s">
        <v>763</v>
      </c>
      <c r="E5754" t="s">
        <v>237</v>
      </c>
      <c r="F5754" t="s">
        <v>670</v>
      </c>
      <c r="G5754" t="s">
        <v>59</v>
      </c>
      <c r="H5754">
        <v>2024</v>
      </c>
    </row>
    <row r="5755" spans="1:8" x14ac:dyDescent="0.2">
      <c r="A5755">
        <v>261811</v>
      </c>
      <c r="B5755">
        <v>80000</v>
      </c>
      <c r="C5755" t="str">
        <f t="shared" si="89"/>
        <v>3. $50K-250K</v>
      </c>
      <c r="D5755" t="s">
        <v>977</v>
      </c>
      <c r="E5755" t="s">
        <v>237</v>
      </c>
      <c r="F5755" t="s">
        <v>670</v>
      </c>
      <c r="G5755" t="s">
        <v>59</v>
      </c>
      <c r="H5755">
        <v>2024</v>
      </c>
    </row>
    <row r="5756" spans="1:8" x14ac:dyDescent="0.2">
      <c r="A5756">
        <v>261813</v>
      </c>
      <c r="B5756">
        <v>122400</v>
      </c>
      <c r="C5756" t="str">
        <f t="shared" si="89"/>
        <v>3. $50K-250K</v>
      </c>
      <c r="D5756" t="s">
        <v>1103</v>
      </c>
      <c r="E5756" t="s">
        <v>237</v>
      </c>
      <c r="F5756" t="s">
        <v>670</v>
      </c>
      <c r="G5756" t="s">
        <v>59</v>
      </c>
      <c r="H5756">
        <v>2024</v>
      </c>
    </row>
    <row r="5757" spans="1:8" x14ac:dyDescent="0.2">
      <c r="A5757">
        <v>261814</v>
      </c>
      <c r="B5757">
        <v>48000</v>
      </c>
      <c r="C5757" t="str">
        <f t="shared" si="89"/>
        <v>3. $50K-250K</v>
      </c>
      <c r="D5757" t="s">
        <v>1096</v>
      </c>
      <c r="E5757" t="s">
        <v>237</v>
      </c>
      <c r="F5757" t="s">
        <v>670</v>
      </c>
      <c r="G5757" t="s">
        <v>59</v>
      </c>
      <c r="H5757">
        <v>2024</v>
      </c>
    </row>
    <row r="5758" spans="1:8" x14ac:dyDescent="0.2">
      <c r="A5758">
        <v>261849</v>
      </c>
      <c r="B5758">
        <v>62868.800000000003</v>
      </c>
      <c r="C5758" t="str">
        <f t="shared" si="89"/>
        <v>2. $10K-50K</v>
      </c>
      <c r="D5758" t="s">
        <v>691</v>
      </c>
      <c r="E5758" t="s">
        <v>42</v>
      </c>
      <c r="F5758" t="s">
        <v>670</v>
      </c>
      <c r="G5758" t="s">
        <v>59</v>
      </c>
      <c r="H5758">
        <v>2024</v>
      </c>
    </row>
    <row r="5759" spans="1:8" x14ac:dyDescent="0.2">
      <c r="A5759">
        <v>261899</v>
      </c>
      <c r="B5759">
        <v>703324</v>
      </c>
      <c r="C5759" t="str">
        <f t="shared" si="89"/>
        <v>3. $50K-250K</v>
      </c>
      <c r="D5759" t="s">
        <v>832</v>
      </c>
      <c r="E5759" t="s">
        <v>237</v>
      </c>
      <c r="F5759" t="s">
        <v>670</v>
      </c>
      <c r="G5759" t="s">
        <v>59</v>
      </c>
      <c r="H5759">
        <v>2024</v>
      </c>
    </row>
    <row r="5760" spans="1:8" x14ac:dyDescent="0.2">
      <c r="A5760">
        <v>261906</v>
      </c>
      <c r="B5760">
        <v>899998.3</v>
      </c>
      <c r="C5760" t="str">
        <f t="shared" si="89"/>
        <v>4. $250K-1M</v>
      </c>
      <c r="D5760" t="s">
        <v>1035</v>
      </c>
      <c r="E5760" t="s">
        <v>825</v>
      </c>
      <c r="F5760" t="s">
        <v>670</v>
      </c>
      <c r="G5760" t="s">
        <v>59</v>
      </c>
      <c r="H5760">
        <v>2024</v>
      </c>
    </row>
    <row r="5761" spans="1:8" x14ac:dyDescent="0.2">
      <c r="A5761">
        <v>261915</v>
      </c>
      <c r="B5761">
        <v>207000</v>
      </c>
      <c r="C5761" t="str">
        <f t="shared" si="89"/>
        <v>4. $250K-1M</v>
      </c>
      <c r="D5761" t="s">
        <v>984</v>
      </c>
      <c r="E5761" t="s">
        <v>237</v>
      </c>
      <c r="F5761" t="s">
        <v>670</v>
      </c>
      <c r="G5761" t="s">
        <v>59</v>
      </c>
      <c r="H5761">
        <v>2024</v>
      </c>
    </row>
    <row r="5762" spans="1:8" x14ac:dyDescent="0.2">
      <c r="A5762">
        <v>261916</v>
      </c>
      <c r="B5762">
        <v>207000</v>
      </c>
      <c r="C5762" t="str">
        <f t="shared" si="89"/>
        <v>3. $50K-250K</v>
      </c>
      <c r="D5762" t="s">
        <v>1099</v>
      </c>
      <c r="E5762" t="s">
        <v>237</v>
      </c>
      <c r="F5762" t="s">
        <v>670</v>
      </c>
      <c r="G5762" t="s">
        <v>59</v>
      </c>
      <c r="H5762">
        <v>2024</v>
      </c>
    </row>
    <row r="5763" spans="1:8" x14ac:dyDescent="0.2">
      <c r="A5763">
        <v>261918</v>
      </c>
      <c r="B5763">
        <v>103500</v>
      </c>
      <c r="C5763" t="str">
        <f t="shared" ref="C5763:C5826" si="90">IF(B5762&lt;10000,"1. Under $10K",IF(B5762&lt;50000,"2. $10K-50K",IF(B5762&lt;250000,"3. $50K-250K",IF(B5762&lt;1000000,"4. $250K-1M","5. $1M+"))))</f>
        <v>3. $50K-250K</v>
      </c>
      <c r="D5763" t="s">
        <v>1179</v>
      </c>
      <c r="E5763" t="s">
        <v>237</v>
      </c>
      <c r="F5763" t="s">
        <v>670</v>
      </c>
      <c r="G5763" t="s">
        <v>59</v>
      </c>
      <c r="H5763">
        <v>2024</v>
      </c>
    </row>
    <row r="5764" spans="1:8" x14ac:dyDescent="0.2">
      <c r="A5764">
        <v>261966</v>
      </c>
      <c r="B5764">
        <v>100000</v>
      </c>
      <c r="C5764" t="str">
        <f t="shared" si="90"/>
        <v>3. $50K-250K</v>
      </c>
      <c r="D5764" t="s">
        <v>859</v>
      </c>
      <c r="E5764" t="s">
        <v>237</v>
      </c>
      <c r="F5764" t="s">
        <v>670</v>
      </c>
      <c r="G5764" t="s">
        <v>59</v>
      </c>
      <c r="H5764">
        <v>2024</v>
      </c>
    </row>
    <row r="5765" spans="1:8" x14ac:dyDescent="0.2">
      <c r="A5765">
        <v>261967</v>
      </c>
      <c r="B5765">
        <v>149999.79999999999</v>
      </c>
      <c r="C5765" t="str">
        <f t="shared" si="90"/>
        <v>3. $50K-250K</v>
      </c>
      <c r="D5765" t="s">
        <v>921</v>
      </c>
      <c r="E5765" t="s">
        <v>237</v>
      </c>
      <c r="F5765" t="s">
        <v>670</v>
      </c>
      <c r="G5765" t="s">
        <v>59</v>
      </c>
      <c r="H5765">
        <v>2024</v>
      </c>
    </row>
    <row r="5766" spans="1:8" x14ac:dyDescent="0.2">
      <c r="A5766">
        <v>261972</v>
      </c>
      <c r="B5766">
        <v>108452.5</v>
      </c>
      <c r="C5766" t="str">
        <f t="shared" si="90"/>
        <v>3. $50K-250K</v>
      </c>
      <c r="D5766" t="s">
        <v>859</v>
      </c>
      <c r="E5766" t="s">
        <v>237</v>
      </c>
      <c r="F5766" t="s">
        <v>670</v>
      </c>
      <c r="G5766" t="s">
        <v>59</v>
      </c>
      <c r="H5766">
        <v>2024</v>
      </c>
    </row>
    <row r="5767" spans="1:8" x14ac:dyDescent="0.2">
      <c r="A5767">
        <v>261977</v>
      </c>
      <c r="B5767">
        <v>150455.1</v>
      </c>
      <c r="C5767" t="str">
        <f t="shared" si="90"/>
        <v>3. $50K-250K</v>
      </c>
      <c r="D5767" t="s">
        <v>694</v>
      </c>
      <c r="E5767" t="s">
        <v>237</v>
      </c>
      <c r="F5767" t="s">
        <v>670</v>
      </c>
      <c r="G5767" t="s">
        <v>59</v>
      </c>
      <c r="H5767">
        <v>2024</v>
      </c>
    </row>
    <row r="5768" spans="1:8" x14ac:dyDescent="0.2">
      <c r="A5768">
        <v>261982</v>
      </c>
      <c r="B5768">
        <v>43695.1</v>
      </c>
      <c r="C5768" t="str">
        <f t="shared" si="90"/>
        <v>3. $50K-250K</v>
      </c>
      <c r="D5768" t="s">
        <v>671</v>
      </c>
      <c r="E5768" t="s">
        <v>237</v>
      </c>
      <c r="F5768" t="s">
        <v>670</v>
      </c>
      <c r="G5768" t="s">
        <v>59</v>
      </c>
      <c r="H5768">
        <v>2024</v>
      </c>
    </row>
    <row r="5769" spans="1:8" x14ac:dyDescent="0.2">
      <c r="A5769">
        <v>261984</v>
      </c>
      <c r="B5769">
        <v>46464</v>
      </c>
      <c r="C5769" t="str">
        <f t="shared" si="90"/>
        <v>2. $10K-50K</v>
      </c>
      <c r="D5769" t="s">
        <v>671</v>
      </c>
      <c r="E5769" t="s">
        <v>237</v>
      </c>
      <c r="F5769" t="s">
        <v>670</v>
      </c>
      <c r="G5769" t="s">
        <v>59</v>
      </c>
      <c r="H5769">
        <v>2024</v>
      </c>
    </row>
    <row r="5770" spans="1:8" x14ac:dyDescent="0.2">
      <c r="A5770">
        <v>261987</v>
      </c>
      <c r="B5770">
        <v>49440</v>
      </c>
      <c r="C5770" t="str">
        <f t="shared" si="90"/>
        <v>2. $10K-50K</v>
      </c>
      <c r="D5770" t="s">
        <v>701</v>
      </c>
      <c r="E5770" t="s">
        <v>237</v>
      </c>
      <c r="F5770" t="s">
        <v>670</v>
      </c>
      <c r="G5770" t="s">
        <v>59</v>
      </c>
      <c r="H5770">
        <v>2024</v>
      </c>
    </row>
    <row r="5771" spans="1:8" x14ac:dyDescent="0.2">
      <c r="A5771">
        <v>261988</v>
      </c>
      <c r="B5771">
        <v>45935</v>
      </c>
      <c r="C5771" t="str">
        <f t="shared" si="90"/>
        <v>2. $10K-50K</v>
      </c>
      <c r="D5771" t="s">
        <v>926</v>
      </c>
      <c r="E5771" t="s">
        <v>237</v>
      </c>
      <c r="F5771" t="s">
        <v>670</v>
      </c>
      <c r="G5771" t="s">
        <v>59</v>
      </c>
      <c r="H5771">
        <v>2024</v>
      </c>
    </row>
    <row r="5772" spans="1:8" x14ac:dyDescent="0.2">
      <c r="A5772">
        <v>261992</v>
      </c>
      <c r="B5772">
        <v>142987.6</v>
      </c>
      <c r="C5772" t="str">
        <f t="shared" si="90"/>
        <v>2. $10K-50K</v>
      </c>
      <c r="D5772" t="s">
        <v>749</v>
      </c>
      <c r="E5772" t="s">
        <v>237</v>
      </c>
      <c r="F5772" t="s">
        <v>670</v>
      </c>
      <c r="G5772" t="s">
        <v>59</v>
      </c>
      <c r="H5772">
        <v>2024</v>
      </c>
    </row>
    <row r="5773" spans="1:8" x14ac:dyDescent="0.2">
      <c r="A5773">
        <v>261997</v>
      </c>
      <c r="B5773">
        <v>493010.3</v>
      </c>
      <c r="C5773" t="str">
        <f t="shared" si="90"/>
        <v>3. $50K-250K</v>
      </c>
      <c r="D5773" t="s">
        <v>365</v>
      </c>
      <c r="E5773" t="s">
        <v>24</v>
      </c>
      <c r="F5773" t="s">
        <v>22</v>
      </c>
      <c r="G5773" t="s">
        <v>10</v>
      </c>
      <c r="H5773">
        <v>2024</v>
      </c>
    </row>
    <row r="5774" spans="1:8" x14ac:dyDescent="0.2">
      <c r="A5774">
        <v>262060</v>
      </c>
      <c r="B5774">
        <v>7573.9</v>
      </c>
      <c r="C5774" t="str">
        <f t="shared" si="90"/>
        <v>4. $250K-1M</v>
      </c>
      <c r="D5774" t="s">
        <v>255</v>
      </c>
      <c r="E5774" t="s">
        <v>141</v>
      </c>
      <c r="F5774" t="s">
        <v>43</v>
      </c>
      <c r="G5774" t="s">
        <v>59</v>
      </c>
      <c r="H5774">
        <v>2024</v>
      </c>
    </row>
    <row r="5775" spans="1:8" x14ac:dyDescent="0.2">
      <c r="A5775">
        <v>262082</v>
      </c>
      <c r="B5775">
        <v>157111.70000000001</v>
      </c>
      <c r="C5775" t="str">
        <f t="shared" si="90"/>
        <v>1. Under $10K</v>
      </c>
      <c r="D5775" t="s">
        <v>903</v>
      </c>
      <c r="E5775" t="s">
        <v>237</v>
      </c>
      <c r="F5775" t="s">
        <v>670</v>
      </c>
      <c r="G5775" t="s">
        <v>59</v>
      </c>
      <c r="H5775">
        <v>2024</v>
      </c>
    </row>
    <row r="5776" spans="1:8" x14ac:dyDescent="0.2">
      <c r="A5776">
        <v>262084</v>
      </c>
      <c r="B5776">
        <v>108164.1</v>
      </c>
      <c r="C5776" t="str">
        <f t="shared" si="90"/>
        <v>3. $50K-250K</v>
      </c>
      <c r="D5776" t="s">
        <v>671</v>
      </c>
      <c r="E5776" t="s">
        <v>237</v>
      </c>
      <c r="F5776" t="s">
        <v>670</v>
      </c>
      <c r="G5776" t="s">
        <v>59</v>
      </c>
      <c r="H5776">
        <v>2024</v>
      </c>
    </row>
    <row r="5777" spans="1:8" x14ac:dyDescent="0.2">
      <c r="A5777">
        <v>262108</v>
      </c>
      <c r="B5777">
        <v>350000</v>
      </c>
      <c r="C5777" t="str">
        <f t="shared" si="90"/>
        <v>3. $50K-250K</v>
      </c>
      <c r="D5777" t="s">
        <v>673</v>
      </c>
      <c r="E5777" t="s">
        <v>42</v>
      </c>
      <c r="F5777" t="s">
        <v>670</v>
      </c>
      <c r="G5777" t="s">
        <v>59</v>
      </c>
      <c r="H5777">
        <v>2024</v>
      </c>
    </row>
    <row r="5778" spans="1:8" x14ac:dyDescent="0.2">
      <c r="A5778">
        <v>262109</v>
      </c>
      <c r="B5778">
        <v>70120.2</v>
      </c>
      <c r="C5778" t="str">
        <f t="shared" si="90"/>
        <v>4. $250K-1M</v>
      </c>
      <c r="D5778" t="s">
        <v>673</v>
      </c>
      <c r="E5778" t="s">
        <v>42</v>
      </c>
      <c r="F5778" t="s">
        <v>670</v>
      </c>
      <c r="G5778" t="s">
        <v>59</v>
      </c>
      <c r="H5778">
        <v>2024</v>
      </c>
    </row>
    <row r="5779" spans="1:8" x14ac:dyDescent="0.2">
      <c r="A5779">
        <v>262140</v>
      </c>
      <c r="B5779">
        <v>3595959.6</v>
      </c>
      <c r="C5779" t="str">
        <f t="shared" si="90"/>
        <v>3. $50K-250K</v>
      </c>
      <c r="D5779" t="s">
        <v>365</v>
      </c>
      <c r="E5779" t="s">
        <v>24</v>
      </c>
      <c r="F5779" t="s">
        <v>22</v>
      </c>
      <c r="G5779" t="s">
        <v>10</v>
      </c>
      <c r="H5779">
        <v>2024</v>
      </c>
    </row>
    <row r="5780" spans="1:8" x14ac:dyDescent="0.2">
      <c r="A5780">
        <v>262148</v>
      </c>
      <c r="B5780">
        <v>5884.5</v>
      </c>
      <c r="C5780" t="str">
        <f t="shared" si="90"/>
        <v>5. $1M+</v>
      </c>
      <c r="D5780" t="s">
        <v>255</v>
      </c>
      <c r="E5780" t="s">
        <v>141</v>
      </c>
      <c r="F5780" t="s">
        <v>43</v>
      </c>
      <c r="G5780" t="s">
        <v>59</v>
      </c>
      <c r="H5780">
        <v>2024</v>
      </c>
    </row>
    <row r="5781" spans="1:8" x14ac:dyDescent="0.2">
      <c r="A5781">
        <v>262161</v>
      </c>
      <c r="B5781">
        <v>173000</v>
      </c>
      <c r="C5781" t="str">
        <f t="shared" si="90"/>
        <v>1. Under $10K</v>
      </c>
      <c r="D5781" t="s">
        <v>961</v>
      </c>
      <c r="E5781" t="s">
        <v>825</v>
      </c>
      <c r="F5781" t="s">
        <v>670</v>
      </c>
      <c r="G5781" t="s">
        <v>59</v>
      </c>
      <c r="H5781">
        <v>2024</v>
      </c>
    </row>
    <row r="5782" spans="1:8" x14ac:dyDescent="0.2">
      <c r="A5782">
        <v>262166</v>
      </c>
      <c r="B5782">
        <v>31478</v>
      </c>
      <c r="C5782" t="str">
        <f t="shared" si="90"/>
        <v>3. $50K-250K</v>
      </c>
      <c r="D5782" t="s">
        <v>852</v>
      </c>
      <c r="E5782" t="s">
        <v>237</v>
      </c>
      <c r="F5782" t="s">
        <v>670</v>
      </c>
      <c r="G5782" t="s">
        <v>59</v>
      </c>
      <c r="H5782">
        <v>2024</v>
      </c>
    </row>
    <row r="5783" spans="1:8" x14ac:dyDescent="0.2">
      <c r="A5783">
        <v>262230</v>
      </c>
      <c r="B5783">
        <v>11993890.699999999</v>
      </c>
      <c r="C5783" t="str">
        <f t="shared" si="90"/>
        <v>2. $10K-50K</v>
      </c>
      <c r="D5783" t="s">
        <v>39</v>
      </c>
      <c r="E5783" t="s">
        <v>8</v>
      </c>
      <c r="F5783" t="s">
        <v>9</v>
      </c>
      <c r="G5783" t="s">
        <v>10</v>
      </c>
      <c r="H5783">
        <v>2024</v>
      </c>
    </row>
    <row r="5784" spans="1:8" x14ac:dyDescent="0.2">
      <c r="A5784">
        <v>262250</v>
      </c>
      <c r="B5784">
        <v>8634366</v>
      </c>
      <c r="C5784" t="str">
        <f t="shared" si="90"/>
        <v>5. $1M+</v>
      </c>
      <c r="D5784" t="s">
        <v>852</v>
      </c>
      <c r="E5784" t="s">
        <v>237</v>
      </c>
      <c r="F5784" t="s">
        <v>670</v>
      </c>
      <c r="G5784" t="s">
        <v>59</v>
      </c>
      <c r="H5784">
        <v>2024</v>
      </c>
    </row>
    <row r="5785" spans="1:8" x14ac:dyDescent="0.2">
      <c r="A5785">
        <v>262251</v>
      </c>
      <c r="B5785">
        <v>300000</v>
      </c>
      <c r="C5785" t="str">
        <f t="shared" si="90"/>
        <v>5. $1M+</v>
      </c>
      <c r="D5785" t="s">
        <v>852</v>
      </c>
      <c r="E5785" t="s">
        <v>237</v>
      </c>
      <c r="F5785" t="s">
        <v>670</v>
      </c>
      <c r="G5785" t="s">
        <v>59</v>
      </c>
      <c r="H5785">
        <v>2024</v>
      </c>
    </row>
    <row r="5786" spans="1:8" x14ac:dyDescent="0.2">
      <c r="A5786">
        <v>262270</v>
      </c>
      <c r="B5786">
        <v>105000</v>
      </c>
      <c r="C5786" t="str">
        <f t="shared" si="90"/>
        <v>4. $250K-1M</v>
      </c>
      <c r="D5786" t="s">
        <v>1056</v>
      </c>
      <c r="E5786" t="s">
        <v>42</v>
      </c>
      <c r="F5786" t="s">
        <v>670</v>
      </c>
      <c r="G5786" t="s">
        <v>59</v>
      </c>
      <c r="H5786">
        <v>2024</v>
      </c>
    </row>
    <row r="5787" spans="1:8" x14ac:dyDescent="0.2">
      <c r="A5787">
        <v>262272</v>
      </c>
      <c r="B5787">
        <v>54000</v>
      </c>
      <c r="C5787" t="str">
        <f t="shared" si="90"/>
        <v>3. $50K-250K</v>
      </c>
      <c r="D5787" t="s">
        <v>909</v>
      </c>
      <c r="E5787" t="s">
        <v>237</v>
      </c>
      <c r="F5787" t="s">
        <v>670</v>
      </c>
      <c r="G5787" t="s">
        <v>59</v>
      </c>
      <c r="H5787">
        <v>2024</v>
      </c>
    </row>
    <row r="5788" spans="1:8" x14ac:dyDescent="0.2">
      <c r="A5788">
        <v>262273</v>
      </c>
      <c r="B5788">
        <v>405000</v>
      </c>
      <c r="C5788" t="str">
        <f t="shared" si="90"/>
        <v>3. $50K-250K</v>
      </c>
      <c r="D5788" t="s">
        <v>713</v>
      </c>
      <c r="E5788" t="s">
        <v>237</v>
      </c>
      <c r="F5788" t="s">
        <v>670</v>
      </c>
      <c r="G5788" t="s">
        <v>59</v>
      </c>
      <c r="H5788">
        <v>2024</v>
      </c>
    </row>
    <row r="5789" spans="1:8" x14ac:dyDescent="0.2">
      <c r="A5789">
        <v>262274</v>
      </c>
      <c r="B5789">
        <v>54000</v>
      </c>
      <c r="C5789" t="str">
        <f t="shared" si="90"/>
        <v>4. $250K-1M</v>
      </c>
      <c r="D5789" t="s">
        <v>1076</v>
      </c>
      <c r="E5789" t="s">
        <v>237</v>
      </c>
      <c r="F5789" t="s">
        <v>670</v>
      </c>
      <c r="G5789" t="s">
        <v>59</v>
      </c>
      <c r="H5789">
        <v>2024</v>
      </c>
    </row>
    <row r="5790" spans="1:8" x14ac:dyDescent="0.2">
      <c r="A5790">
        <v>262275</v>
      </c>
      <c r="B5790">
        <v>81000</v>
      </c>
      <c r="C5790" t="str">
        <f t="shared" si="90"/>
        <v>3. $50K-250K</v>
      </c>
      <c r="D5790" t="s">
        <v>783</v>
      </c>
      <c r="E5790" t="s">
        <v>237</v>
      </c>
      <c r="F5790" t="s">
        <v>670</v>
      </c>
      <c r="G5790" t="s">
        <v>59</v>
      </c>
      <c r="H5790">
        <v>2024</v>
      </c>
    </row>
    <row r="5791" spans="1:8" x14ac:dyDescent="0.2">
      <c r="A5791">
        <v>262276</v>
      </c>
      <c r="B5791">
        <v>270000</v>
      </c>
      <c r="C5791" t="str">
        <f t="shared" si="90"/>
        <v>3. $50K-250K</v>
      </c>
      <c r="D5791" t="s">
        <v>985</v>
      </c>
      <c r="E5791" t="s">
        <v>237</v>
      </c>
      <c r="F5791" t="s">
        <v>670</v>
      </c>
      <c r="G5791" t="s">
        <v>59</v>
      </c>
      <c r="H5791">
        <v>2024</v>
      </c>
    </row>
    <row r="5792" spans="1:8" x14ac:dyDescent="0.2">
      <c r="A5792">
        <v>262277</v>
      </c>
      <c r="B5792">
        <v>54000</v>
      </c>
      <c r="C5792" t="str">
        <f t="shared" si="90"/>
        <v>4. $250K-1M</v>
      </c>
      <c r="D5792" t="s">
        <v>919</v>
      </c>
      <c r="E5792" t="s">
        <v>237</v>
      </c>
      <c r="F5792" t="s">
        <v>670</v>
      </c>
      <c r="G5792" t="s">
        <v>59</v>
      </c>
      <c r="H5792">
        <v>2024</v>
      </c>
    </row>
    <row r="5793" spans="1:8" x14ac:dyDescent="0.2">
      <c r="A5793">
        <v>262278</v>
      </c>
      <c r="B5793">
        <v>54000</v>
      </c>
      <c r="C5793" t="str">
        <f t="shared" si="90"/>
        <v>3. $50K-250K</v>
      </c>
      <c r="D5793" t="s">
        <v>920</v>
      </c>
      <c r="E5793" t="s">
        <v>237</v>
      </c>
      <c r="F5793" t="s">
        <v>670</v>
      </c>
      <c r="G5793" t="s">
        <v>59</v>
      </c>
      <c r="H5793">
        <v>2024</v>
      </c>
    </row>
    <row r="5794" spans="1:8" x14ac:dyDescent="0.2">
      <c r="A5794">
        <v>26231</v>
      </c>
      <c r="B5794">
        <v>1764383</v>
      </c>
      <c r="C5794" t="str">
        <f t="shared" si="90"/>
        <v>3. $50K-250K</v>
      </c>
      <c r="D5794" t="s">
        <v>259</v>
      </c>
      <c r="E5794" t="s">
        <v>28</v>
      </c>
      <c r="F5794" t="s">
        <v>29</v>
      </c>
      <c r="G5794" t="s">
        <v>44</v>
      </c>
      <c r="H5794">
        <v>2023</v>
      </c>
    </row>
    <row r="5795" spans="1:8" x14ac:dyDescent="0.2">
      <c r="A5795">
        <v>262320</v>
      </c>
      <c r="B5795">
        <v>146356.70000000001</v>
      </c>
      <c r="C5795" t="str">
        <f t="shared" si="90"/>
        <v>5. $1M+</v>
      </c>
      <c r="D5795" t="s">
        <v>821</v>
      </c>
      <c r="E5795" t="s">
        <v>42</v>
      </c>
      <c r="F5795" t="s">
        <v>670</v>
      </c>
      <c r="G5795" t="s">
        <v>59</v>
      </c>
      <c r="H5795">
        <v>2024</v>
      </c>
    </row>
    <row r="5796" spans="1:8" x14ac:dyDescent="0.2">
      <c r="A5796">
        <v>262321</v>
      </c>
      <c r="B5796">
        <v>40000</v>
      </c>
      <c r="C5796" t="str">
        <f t="shared" si="90"/>
        <v>3. $50K-250K</v>
      </c>
      <c r="D5796" t="s">
        <v>1445</v>
      </c>
      <c r="E5796" t="s">
        <v>432</v>
      </c>
      <c r="F5796" t="s">
        <v>670</v>
      </c>
      <c r="G5796" t="s">
        <v>59</v>
      </c>
      <c r="H5796">
        <v>2024</v>
      </c>
    </row>
    <row r="5797" spans="1:8" x14ac:dyDescent="0.2">
      <c r="A5797">
        <v>262322</v>
      </c>
      <c r="B5797">
        <v>40000</v>
      </c>
      <c r="C5797" t="str">
        <f t="shared" si="90"/>
        <v>2. $10K-50K</v>
      </c>
      <c r="D5797" t="s">
        <v>945</v>
      </c>
      <c r="E5797" t="s">
        <v>432</v>
      </c>
      <c r="F5797" t="s">
        <v>670</v>
      </c>
      <c r="G5797" t="s">
        <v>59</v>
      </c>
      <c r="H5797">
        <v>2024</v>
      </c>
    </row>
    <row r="5798" spans="1:8" x14ac:dyDescent="0.2">
      <c r="A5798">
        <v>262323</v>
      </c>
      <c r="B5798">
        <v>20000</v>
      </c>
      <c r="C5798" t="str">
        <f t="shared" si="90"/>
        <v>2. $10K-50K</v>
      </c>
      <c r="D5798" t="s">
        <v>1460</v>
      </c>
      <c r="E5798" t="s">
        <v>432</v>
      </c>
      <c r="F5798" t="s">
        <v>670</v>
      </c>
      <c r="G5798" t="s">
        <v>59</v>
      </c>
      <c r="H5798">
        <v>2024</v>
      </c>
    </row>
    <row r="5799" spans="1:8" x14ac:dyDescent="0.2">
      <c r="A5799">
        <v>262398</v>
      </c>
      <c r="B5799">
        <v>695550</v>
      </c>
      <c r="C5799" t="str">
        <f t="shared" si="90"/>
        <v>2. $10K-50K</v>
      </c>
      <c r="D5799" t="s">
        <v>813</v>
      </c>
      <c r="E5799" t="s">
        <v>237</v>
      </c>
      <c r="F5799" t="s">
        <v>670</v>
      </c>
      <c r="G5799" t="s">
        <v>59</v>
      </c>
      <c r="H5799">
        <v>2024</v>
      </c>
    </row>
    <row r="5800" spans="1:8" x14ac:dyDescent="0.2">
      <c r="A5800">
        <v>262399</v>
      </c>
      <c r="B5800">
        <v>2372225</v>
      </c>
      <c r="C5800" t="str">
        <f t="shared" si="90"/>
        <v>4. $250K-1M</v>
      </c>
      <c r="D5800" t="s">
        <v>813</v>
      </c>
      <c r="E5800" t="s">
        <v>237</v>
      </c>
      <c r="F5800" t="s">
        <v>670</v>
      </c>
      <c r="G5800" t="s">
        <v>59</v>
      </c>
      <c r="H5800">
        <v>2024</v>
      </c>
    </row>
    <row r="5801" spans="1:8" x14ac:dyDescent="0.2">
      <c r="A5801">
        <v>262403</v>
      </c>
      <c r="B5801">
        <v>5000</v>
      </c>
      <c r="C5801" t="str">
        <f t="shared" si="90"/>
        <v>5. $1M+</v>
      </c>
      <c r="D5801" t="s">
        <v>726</v>
      </c>
      <c r="E5801" t="s">
        <v>237</v>
      </c>
      <c r="F5801" t="s">
        <v>670</v>
      </c>
      <c r="G5801" t="s">
        <v>44</v>
      </c>
      <c r="H5801">
        <v>2024</v>
      </c>
    </row>
    <row r="5802" spans="1:8" x14ac:dyDescent="0.2">
      <c r="A5802">
        <v>262411</v>
      </c>
      <c r="B5802">
        <v>80000</v>
      </c>
      <c r="C5802" t="str">
        <f t="shared" si="90"/>
        <v>1. Under $10K</v>
      </c>
      <c r="D5802" t="s">
        <v>1215</v>
      </c>
      <c r="E5802" t="s">
        <v>237</v>
      </c>
      <c r="F5802" t="s">
        <v>670</v>
      </c>
      <c r="G5802" t="s">
        <v>59</v>
      </c>
      <c r="H5802">
        <v>2024</v>
      </c>
    </row>
    <row r="5803" spans="1:8" x14ac:dyDescent="0.2">
      <c r="A5803">
        <v>262412</v>
      </c>
      <c r="B5803">
        <v>640000</v>
      </c>
      <c r="C5803" t="str">
        <f t="shared" si="90"/>
        <v>3. $50K-250K</v>
      </c>
      <c r="D5803" t="s">
        <v>548</v>
      </c>
      <c r="E5803" t="s">
        <v>237</v>
      </c>
      <c r="F5803" t="s">
        <v>670</v>
      </c>
      <c r="G5803" t="s">
        <v>59</v>
      </c>
      <c r="H5803">
        <v>2024</v>
      </c>
    </row>
    <row r="5804" spans="1:8" x14ac:dyDescent="0.2">
      <c r="A5804">
        <v>262491</v>
      </c>
      <c r="B5804">
        <v>3875000</v>
      </c>
      <c r="C5804" t="str">
        <f t="shared" si="90"/>
        <v>4. $250K-1M</v>
      </c>
      <c r="D5804" t="s">
        <v>791</v>
      </c>
      <c r="E5804" t="s">
        <v>42</v>
      </c>
      <c r="F5804" t="s">
        <v>670</v>
      </c>
      <c r="G5804" t="s">
        <v>44</v>
      </c>
      <c r="H5804">
        <v>2024</v>
      </c>
    </row>
    <row r="5805" spans="1:8" x14ac:dyDescent="0.2">
      <c r="A5805">
        <v>262494</v>
      </c>
      <c r="B5805">
        <v>800000</v>
      </c>
      <c r="C5805" t="str">
        <f t="shared" si="90"/>
        <v>5. $1M+</v>
      </c>
      <c r="D5805" t="s">
        <v>2143</v>
      </c>
      <c r="E5805" t="s">
        <v>42</v>
      </c>
      <c r="F5805" t="s">
        <v>670</v>
      </c>
      <c r="G5805" t="s">
        <v>44</v>
      </c>
      <c r="H5805">
        <v>2024</v>
      </c>
    </row>
    <row r="5806" spans="1:8" x14ac:dyDescent="0.2">
      <c r="A5806">
        <v>262496</v>
      </c>
      <c r="B5806">
        <v>370000</v>
      </c>
      <c r="C5806" t="str">
        <f t="shared" si="90"/>
        <v>4. $250K-1M</v>
      </c>
      <c r="D5806" t="s">
        <v>1090</v>
      </c>
      <c r="E5806" t="s">
        <v>42</v>
      </c>
      <c r="F5806" t="s">
        <v>670</v>
      </c>
      <c r="G5806" t="s">
        <v>101</v>
      </c>
      <c r="H5806">
        <v>2024</v>
      </c>
    </row>
    <row r="5807" spans="1:8" x14ac:dyDescent="0.2">
      <c r="A5807">
        <v>262497</v>
      </c>
      <c r="B5807">
        <v>250000</v>
      </c>
      <c r="C5807" t="str">
        <f t="shared" si="90"/>
        <v>4. $250K-1M</v>
      </c>
      <c r="D5807" t="s">
        <v>1009</v>
      </c>
      <c r="E5807" t="s">
        <v>42</v>
      </c>
      <c r="F5807" t="s">
        <v>670</v>
      </c>
      <c r="G5807" t="s">
        <v>101</v>
      </c>
      <c r="H5807">
        <v>2024</v>
      </c>
    </row>
    <row r="5808" spans="1:8" x14ac:dyDescent="0.2">
      <c r="A5808">
        <v>262498</v>
      </c>
      <c r="B5808">
        <v>250000</v>
      </c>
      <c r="C5808" t="str">
        <f t="shared" si="90"/>
        <v>4. $250K-1M</v>
      </c>
      <c r="D5808" t="s">
        <v>1352</v>
      </c>
      <c r="E5808" t="s">
        <v>42</v>
      </c>
      <c r="F5808" t="s">
        <v>670</v>
      </c>
      <c r="G5808" t="s">
        <v>101</v>
      </c>
      <c r="H5808">
        <v>2024</v>
      </c>
    </row>
    <row r="5809" spans="1:8" x14ac:dyDescent="0.2">
      <c r="A5809">
        <v>262499</v>
      </c>
      <c r="B5809">
        <v>199599</v>
      </c>
      <c r="C5809" t="str">
        <f t="shared" si="90"/>
        <v>4. $250K-1M</v>
      </c>
      <c r="D5809" t="s">
        <v>1062</v>
      </c>
      <c r="E5809" t="s">
        <v>42</v>
      </c>
      <c r="F5809" t="s">
        <v>670</v>
      </c>
      <c r="G5809" t="s">
        <v>59</v>
      </c>
      <c r="H5809">
        <v>2024</v>
      </c>
    </row>
    <row r="5810" spans="1:8" x14ac:dyDescent="0.2">
      <c r="A5810">
        <v>262500</v>
      </c>
      <c r="B5810">
        <v>134599.70000000001</v>
      </c>
      <c r="C5810" t="str">
        <f t="shared" si="90"/>
        <v>3. $50K-250K</v>
      </c>
      <c r="D5810" t="s">
        <v>821</v>
      </c>
      <c r="E5810" t="s">
        <v>42</v>
      </c>
      <c r="F5810" t="s">
        <v>670</v>
      </c>
      <c r="G5810" t="s">
        <v>59</v>
      </c>
      <c r="H5810">
        <v>2024</v>
      </c>
    </row>
    <row r="5811" spans="1:8" x14ac:dyDescent="0.2">
      <c r="A5811">
        <v>262678</v>
      </c>
      <c r="B5811">
        <v>850000</v>
      </c>
      <c r="C5811" t="str">
        <f t="shared" si="90"/>
        <v>3. $50K-250K</v>
      </c>
      <c r="D5811" t="s">
        <v>836</v>
      </c>
      <c r="E5811" t="s">
        <v>237</v>
      </c>
      <c r="F5811" t="s">
        <v>670</v>
      </c>
      <c r="G5811" t="s">
        <v>59</v>
      </c>
      <c r="H5811">
        <v>2024</v>
      </c>
    </row>
    <row r="5812" spans="1:8" x14ac:dyDescent="0.2">
      <c r="A5812">
        <v>262679</v>
      </c>
      <c r="B5812">
        <v>19016.7</v>
      </c>
      <c r="C5812" t="str">
        <f t="shared" si="90"/>
        <v>4. $250K-1M</v>
      </c>
      <c r="D5812" t="s">
        <v>391</v>
      </c>
      <c r="E5812" t="s">
        <v>237</v>
      </c>
      <c r="F5812" t="s">
        <v>670</v>
      </c>
      <c r="G5812" t="s">
        <v>59</v>
      </c>
      <c r="H5812">
        <v>2024</v>
      </c>
    </row>
    <row r="5813" spans="1:8" x14ac:dyDescent="0.2">
      <c r="A5813">
        <v>262693</v>
      </c>
      <c r="B5813">
        <v>40000</v>
      </c>
      <c r="C5813" t="str">
        <f t="shared" si="90"/>
        <v>2. $10K-50K</v>
      </c>
      <c r="D5813" t="s">
        <v>1461</v>
      </c>
      <c r="E5813" t="s">
        <v>432</v>
      </c>
      <c r="F5813" t="s">
        <v>670</v>
      </c>
      <c r="G5813" t="s">
        <v>59</v>
      </c>
      <c r="H5813">
        <v>2024</v>
      </c>
    </row>
    <row r="5814" spans="1:8" x14ac:dyDescent="0.2">
      <c r="A5814">
        <v>262694</v>
      </c>
      <c r="B5814">
        <v>20000</v>
      </c>
      <c r="C5814" t="str">
        <f t="shared" si="90"/>
        <v>2. $10K-50K</v>
      </c>
      <c r="D5814" t="s">
        <v>956</v>
      </c>
      <c r="E5814" t="s">
        <v>432</v>
      </c>
      <c r="F5814" t="s">
        <v>670</v>
      </c>
      <c r="G5814" t="s">
        <v>59</v>
      </c>
      <c r="H5814">
        <v>2024</v>
      </c>
    </row>
    <row r="5815" spans="1:8" x14ac:dyDescent="0.2">
      <c r="A5815">
        <v>262695</v>
      </c>
      <c r="B5815">
        <v>50000</v>
      </c>
      <c r="C5815" t="str">
        <f t="shared" si="90"/>
        <v>2. $10K-50K</v>
      </c>
      <c r="D5815" t="s">
        <v>956</v>
      </c>
      <c r="E5815" t="s">
        <v>432</v>
      </c>
      <c r="F5815" t="s">
        <v>670</v>
      </c>
      <c r="G5815" t="s">
        <v>59</v>
      </c>
      <c r="H5815">
        <v>2024</v>
      </c>
    </row>
    <row r="5816" spans="1:8" x14ac:dyDescent="0.2">
      <c r="A5816">
        <v>262696</v>
      </c>
      <c r="B5816">
        <v>30000</v>
      </c>
      <c r="C5816" t="str">
        <f t="shared" si="90"/>
        <v>3. $50K-250K</v>
      </c>
      <c r="D5816" t="s">
        <v>944</v>
      </c>
      <c r="E5816" t="s">
        <v>432</v>
      </c>
      <c r="F5816" t="s">
        <v>670</v>
      </c>
      <c r="G5816" t="s">
        <v>59</v>
      </c>
      <c r="H5816">
        <v>2024</v>
      </c>
    </row>
    <row r="5817" spans="1:8" x14ac:dyDescent="0.2">
      <c r="A5817">
        <v>262697</v>
      </c>
      <c r="B5817">
        <v>26788</v>
      </c>
      <c r="C5817" t="str">
        <f t="shared" si="90"/>
        <v>2. $10K-50K</v>
      </c>
      <c r="D5817" t="s">
        <v>1444</v>
      </c>
      <c r="E5817" t="s">
        <v>432</v>
      </c>
      <c r="F5817" t="s">
        <v>670</v>
      </c>
      <c r="G5817" t="s">
        <v>59</v>
      </c>
      <c r="H5817">
        <v>2024</v>
      </c>
    </row>
    <row r="5818" spans="1:8" x14ac:dyDescent="0.2">
      <c r="A5818">
        <v>262699</v>
      </c>
      <c r="B5818">
        <v>50000</v>
      </c>
      <c r="C5818" t="str">
        <f t="shared" si="90"/>
        <v>2. $10K-50K</v>
      </c>
      <c r="D5818" t="s">
        <v>1437</v>
      </c>
      <c r="E5818" t="s">
        <v>432</v>
      </c>
      <c r="F5818" t="s">
        <v>670</v>
      </c>
      <c r="G5818" t="s">
        <v>59</v>
      </c>
      <c r="H5818">
        <v>2024</v>
      </c>
    </row>
    <row r="5819" spans="1:8" x14ac:dyDescent="0.2">
      <c r="A5819">
        <v>262727</v>
      </c>
      <c r="B5819">
        <v>156400</v>
      </c>
      <c r="C5819" t="str">
        <f t="shared" si="90"/>
        <v>3. $50K-250K</v>
      </c>
      <c r="D5819" t="s">
        <v>912</v>
      </c>
      <c r="E5819" t="s">
        <v>237</v>
      </c>
      <c r="F5819" t="s">
        <v>670</v>
      </c>
      <c r="G5819" t="s">
        <v>59</v>
      </c>
      <c r="H5819">
        <v>2024</v>
      </c>
    </row>
    <row r="5820" spans="1:8" x14ac:dyDescent="0.2">
      <c r="A5820">
        <v>262873</v>
      </c>
      <c r="B5820">
        <v>327993.7</v>
      </c>
      <c r="C5820" t="str">
        <f t="shared" si="90"/>
        <v>3. $50K-250K</v>
      </c>
      <c r="D5820" t="s">
        <v>749</v>
      </c>
      <c r="E5820" t="s">
        <v>42</v>
      </c>
      <c r="F5820" t="s">
        <v>670</v>
      </c>
      <c r="G5820" t="s">
        <v>59</v>
      </c>
      <c r="H5820">
        <v>2024</v>
      </c>
    </row>
    <row r="5821" spans="1:8" x14ac:dyDescent="0.2">
      <c r="A5821">
        <v>262878</v>
      </c>
      <c r="B5821">
        <v>54000</v>
      </c>
      <c r="C5821" t="str">
        <f t="shared" si="90"/>
        <v>4. $250K-1M</v>
      </c>
      <c r="D5821" t="s">
        <v>1069</v>
      </c>
      <c r="E5821" t="s">
        <v>237</v>
      </c>
      <c r="F5821" t="s">
        <v>670</v>
      </c>
      <c r="G5821" t="s">
        <v>59</v>
      </c>
      <c r="H5821">
        <v>2024</v>
      </c>
    </row>
    <row r="5822" spans="1:8" x14ac:dyDescent="0.2">
      <c r="A5822">
        <v>262879</v>
      </c>
      <c r="B5822">
        <v>54000</v>
      </c>
      <c r="C5822" t="str">
        <f t="shared" si="90"/>
        <v>3. $50K-250K</v>
      </c>
      <c r="D5822" t="s">
        <v>1070</v>
      </c>
      <c r="E5822" t="s">
        <v>237</v>
      </c>
      <c r="F5822" t="s">
        <v>670</v>
      </c>
      <c r="G5822" t="s">
        <v>59</v>
      </c>
      <c r="H5822">
        <v>2024</v>
      </c>
    </row>
    <row r="5823" spans="1:8" x14ac:dyDescent="0.2">
      <c r="A5823">
        <v>262880</v>
      </c>
      <c r="B5823">
        <v>54000</v>
      </c>
      <c r="C5823" t="str">
        <f t="shared" si="90"/>
        <v>3. $50K-250K</v>
      </c>
      <c r="D5823" t="s">
        <v>926</v>
      </c>
      <c r="E5823" t="s">
        <v>237</v>
      </c>
      <c r="F5823" t="s">
        <v>670</v>
      </c>
      <c r="G5823" t="s">
        <v>59</v>
      </c>
      <c r="H5823">
        <v>2024</v>
      </c>
    </row>
    <row r="5824" spans="1:8" x14ac:dyDescent="0.2">
      <c r="A5824">
        <v>262881</v>
      </c>
      <c r="B5824">
        <v>54000</v>
      </c>
      <c r="C5824" t="str">
        <f t="shared" si="90"/>
        <v>3. $50K-250K</v>
      </c>
      <c r="D5824" t="s">
        <v>1081</v>
      </c>
      <c r="E5824" t="s">
        <v>237</v>
      </c>
      <c r="F5824" t="s">
        <v>670</v>
      </c>
      <c r="G5824" t="s">
        <v>59</v>
      </c>
      <c r="H5824">
        <v>2024</v>
      </c>
    </row>
    <row r="5825" spans="1:8" x14ac:dyDescent="0.2">
      <c r="A5825">
        <v>262882</v>
      </c>
      <c r="B5825">
        <v>1279342</v>
      </c>
      <c r="C5825" t="str">
        <f t="shared" si="90"/>
        <v>3. $50K-250K</v>
      </c>
      <c r="D5825" t="s">
        <v>851</v>
      </c>
      <c r="E5825" t="s">
        <v>237</v>
      </c>
      <c r="F5825" t="s">
        <v>670</v>
      </c>
      <c r="G5825" t="s">
        <v>59</v>
      </c>
      <c r="H5825">
        <v>2024</v>
      </c>
    </row>
    <row r="5826" spans="1:8" x14ac:dyDescent="0.2">
      <c r="A5826">
        <v>262883</v>
      </c>
      <c r="B5826">
        <v>138000</v>
      </c>
      <c r="C5826" t="str">
        <f t="shared" si="90"/>
        <v>5. $1M+</v>
      </c>
      <c r="D5826" t="s">
        <v>912</v>
      </c>
      <c r="E5826" t="s">
        <v>237</v>
      </c>
      <c r="F5826" t="s">
        <v>670</v>
      </c>
      <c r="G5826" t="s">
        <v>59</v>
      </c>
      <c r="H5826">
        <v>2024</v>
      </c>
    </row>
    <row r="5827" spans="1:8" x14ac:dyDescent="0.2">
      <c r="A5827">
        <v>262884</v>
      </c>
      <c r="B5827">
        <v>125000</v>
      </c>
      <c r="C5827" t="str">
        <f t="shared" ref="C5827:C5890" si="91">IF(B5826&lt;10000,"1. Under $10K",IF(B5826&lt;50000,"2. $10K-50K",IF(B5826&lt;250000,"3. $50K-250K",IF(B5826&lt;1000000,"4. $250K-1M","5. $1M+"))))</f>
        <v>3. $50K-250K</v>
      </c>
      <c r="D5827" t="s">
        <v>907</v>
      </c>
      <c r="E5827" t="s">
        <v>237</v>
      </c>
      <c r="F5827" t="s">
        <v>670</v>
      </c>
      <c r="G5827" t="s">
        <v>59</v>
      </c>
      <c r="H5827">
        <v>2024</v>
      </c>
    </row>
    <row r="5828" spans="1:8" x14ac:dyDescent="0.2">
      <c r="A5828">
        <v>262885</v>
      </c>
      <c r="B5828">
        <v>54000</v>
      </c>
      <c r="C5828" t="str">
        <f t="shared" si="91"/>
        <v>3. $50K-250K</v>
      </c>
      <c r="D5828" t="s">
        <v>987</v>
      </c>
      <c r="E5828" t="s">
        <v>237</v>
      </c>
      <c r="F5828" t="s">
        <v>670</v>
      </c>
      <c r="G5828" t="s">
        <v>59</v>
      </c>
      <c r="H5828">
        <v>2024</v>
      </c>
    </row>
    <row r="5829" spans="1:8" x14ac:dyDescent="0.2">
      <c r="A5829">
        <v>262886</v>
      </c>
      <c r="B5829">
        <v>237500</v>
      </c>
      <c r="C5829" t="str">
        <f t="shared" si="91"/>
        <v>3. $50K-250K</v>
      </c>
      <c r="D5829" t="s">
        <v>857</v>
      </c>
      <c r="E5829" t="s">
        <v>237</v>
      </c>
      <c r="F5829" t="s">
        <v>670</v>
      </c>
      <c r="G5829" t="s">
        <v>59</v>
      </c>
      <c r="H5829">
        <v>2024</v>
      </c>
    </row>
    <row r="5830" spans="1:8" x14ac:dyDescent="0.2">
      <c r="A5830">
        <v>262887</v>
      </c>
      <c r="B5830">
        <v>69000</v>
      </c>
      <c r="C5830" t="str">
        <f t="shared" si="91"/>
        <v>3. $50K-250K</v>
      </c>
      <c r="D5830" t="s">
        <v>1179</v>
      </c>
      <c r="E5830" t="s">
        <v>237</v>
      </c>
      <c r="F5830" t="s">
        <v>670</v>
      </c>
      <c r="G5830" t="s">
        <v>59</v>
      </c>
      <c r="H5830">
        <v>2024</v>
      </c>
    </row>
    <row r="5831" spans="1:8" x14ac:dyDescent="0.2">
      <c r="A5831">
        <v>262888</v>
      </c>
      <c r="B5831">
        <v>52800</v>
      </c>
      <c r="C5831" t="str">
        <f t="shared" si="91"/>
        <v>3. $50K-250K</v>
      </c>
      <c r="D5831" t="s">
        <v>803</v>
      </c>
      <c r="E5831" t="s">
        <v>237</v>
      </c>
      <c r="F5831" t="s">
        <v>670</v>
      </c>
      <c r="G5831" t="s">
        <v>59</v>
      </c>
      <c r="H5831">
        <v>2024</v>
      </c>
    </row>
    <row r="5832" spans="1:8" x14ac:dyDescent="0.2">
      <c r="A5832">
        <v>262889</v>
      </c>
      <c r="B5832">
        <v>546639</v>
      </c>
      <c r="C5832" t="str">
        <f t="shared" si="91"/>
        <v>3. $50K-250K</v>
      </c>
      <c r="D5832" t="s">
        <v>860</v>
      </c>
      <c r="E5832" t="s">
        <v>237</v>
      </c>
      <c r="F5832" t="s">
        <v>670</v>
      </c>
      <c r="G5832" t="s">
        <v>59</v>
      </c>
      <c r="H5832">
        <v>2024</v>
      </c>
    </row>
    <row r="5833" spans="1:8" x14ac:dyDescent="0.2">
      <c r="A5833">
        <v>262890</v>
      </c>
      <c r="B5833">
        <v>103600</v>
      </c>
      <c r="C5833" t="str">
        <f t="shared" si="91"/>
        <v>4. $250K-1M</v>
      </c>
      <c r="D5833" t="s">
        <v>860</v>
      </c>
      <c r="E5833" t="s">
        <v>237</v>
      </c>
      <c r="F5833" t="s">
        <v>670</v>
      </c>
      <c r="G5833" t="s">
        <v>59</v>
      </c>
      <c r="H5833">
        <v>2024</v>
      </c>
    </row>
    <row r="5834" spans="1:8" x14ac:dyDescent="0.2">
      <c r="A5834">
        <v>262891</v>
      </c>
      <c r="B5834">
        <v>176188</v>
      </c>
      <c r="C5834" t="str">
        <f t="shared" si="91"/>
        <v>3. $50K-250K</v>
      </c>
      <c r="D5834" t="s">
        <v>867</v>
      </c>
      <c r="E5834" t="s">
        <v>237</v>
      </c>
      <c r="F5834" t="s">
        <v>670</v>
      </c>
      <c r="G5834" t="s">
        <v>59</v>
      </c>
      <c r="H5834">
        <v>2024</v>
      </c>
    </row>
    <row r="5835" spans="1:8" x14ac:dyDescent="0.2">
      <c r="A5835">
        <v>262892</v>
      </c>
      <c r="B5835">
        <v>112500</v>
      </c>
      <c r="C5835" t="str">
        <f t="shared" si="91"/>
        <v>3. $50K-250K</v>
      </c>
      <c r="D5835" t="s">
        <v>856</v>
      </c>
      <c r="E5835" t="s">
        <v>237</v>
      </c>
      <c r="F5835" t="s">
        <v>670</v>
      </c>
      <c r="G5835" t="s">
        <v>59</v>
      </c>
      <c r="H5835">
        <v>2024</v>
      </c>
    </row>
    <row r="5836" spans="1:8" x14ac:dyDescent="0.2">
      <c r="A5836">
        <v>262893</v>
      </c>
      <c r="B5836">
        <v>54000</v>
      </c>
      <c r="C5836" t="str">
        <f t="shared" si="91"/>
        <v>3. $50K-250K</v>
      </c>
      <c r="D5836" t="s">
        <v>1080</v>
      </c>
      <c r="E5836" t="s">
        <v>237</v>
      </c>
      <c r="F5836" t="s">
        <v>670</v>
      </c>
      <c r="G5836" t="s">
        <v>59</v>
      </c>
      <c r="H5836">
        <v>2024</v>
      </c>
    </row>
    <row r="5837" spans="1:8" x14ac:dyDescent="0.2">
      <c r="A5837">
        <v>262894</v>
      </c>
      <c r="B5837">
        <v>54000</v>
      </c>
      <c r="C5837" t="str">
        <f t="shared" si="91"/>
        <v>3. $50K-250K</v>
      </c>
      <c r="D5837" t="s">
        <v>715</v>
      </c>
      <c r="E5837" t="s">
        <v>237</v>
      </c>
      <c r="F5837" t="s">
        <v>670</v>
      </c>
      <c r="G5837" t="s">
        <v>59</v>
      </c>
      <c r="H5837">
        <v>2024</v>
      </c>
    </row>
    <row r="5838" spans="1:8" x14ac:dyDescent="0.2">
      <c r="A5838">
        <v>262895</v>
      </c>
      <c r="B5838">
        <v>54000</v>
      </c>
      <c r="C5838" t="str">
        <f t="shared" si="91"/>
        <v>3. $50K-250K</v>
      </c>
      <c r="D5838" t="s">
        <v>1046</v>
      </c>
      <c r="E5838" t="s">
        <v>237</v>
      </c>
      <c r="F5838" t="s">
        <v>670</v>
      </c>
      <c r="G5838" t="s">
        <v>59</v>
      </c>
      <c r="H5838">
        <v>2024</v>
      </c>
    </row>
    <row r="5839" spans="1:8" x14ac:dyDescent="0.2">
      <c r="A5839">
        <v>262896</v>
      </c>
      <c r="B5839">
        <v>81000</v>
      </c>
      <c r="C5839" t="str">
        <f t="shared" si="91"/>
        <v>3. $50K-250K</v>
      </c>
      <c r="D5839" t="s">
        <v>1065</v>
      </c>
      <c r="E5839" t="s">
        <v>237</v>
      </c>
      <c r="F5839" t="s">
        <v>670</v>
      </c>
      <c r="G5839" t="s">
        <v>59</v>
      </c>
      <c r="H5839">
        <v>2024</v>
      </c>
    </row>
    <row r="5840" spans="1:8" x14ac:dyDescent="0.2">
      <c r="A5840">
        <v>262897</v>
      </c>
      <c r="B5840">
        <v>54000</v>
      </c>
      <c r="C5840" t="str">
        <f t="shared" si="91"/>
        <v>3. $50K-250K</v>
      </c>
      <c r="D5840" t="s">
        <v>702</v>
      </c>
      <c r="E5840" t="s">
        <v>237</v>
      </c>
      <c r="F5840" t="s">
        <v>670</v>
      </c>
      <c r="G5840" t="s">
        <v>59</v>
      </c>
      <c r="H5840">
        <v>2024</v>
      </c>
    </row>
    <row r="5841" spans="1:8" x14ac:dyDescent="0.2">
      <c r="A5841">
        <v>262898</v>
      </c>
      <c r="B5841">
        <v>54000</v>
      </c>
      <c r="C5841" t="str">
        <f t="shared" si="91"/>
        <v>3. $50K-250K</v>
      </c>
      <c r="D5841" t="s">
        <v>937</v>
      </c>
      <c r="E5841" t="s">
        <v>237</v>
      </c>
      <c r="F5841" t="s">
        <v>670</v>
      </c>
      <c r="G5841" t="s">
        <v>59</v>
      </c>
      <c r="H5841">
        <v>2024</v>
      </c>
    </row>
    <row r="5842" spans="1:8" x14ac:dyDescent="0.2">
      <c r="A5842">
        <v>262899</v>
      </c>
      <c r="B5842">
        <v>54000</v>
      </c>
      <c r="C5842" t="str">
        <f t="shared" si="91"/>
        <v>3. $50K-250K</v>
      </c>
      <c r="D5842" t="s">
        <v>779</v>
      </c>
      <c r="E5842" t="s">
        <v>237</v>
      </c>
      <c r="F5842" t="s">
        <v>670</v>
      </c>
      <c r="G5842" t="s">
        <v>59</v>
      </c>
      <c r="H5842">
        <v>2024</v>
      </c>
    </row>
    <row r="5843" spans="1:8" x14ac:dyDescent="0.2">
      <c r="A5843">
        <v>262900</v>
      </c>
      <c r="B5843">
        <v>81000</v>
      </c>
      <c r="C5843" t="str">
        <f t="shared" si="91"/>
        <v>3. $50K-250K</v>
      </c>
      <c r="D5843" t="s">
        <v>799</v>
      </c>
      <c r="E5843" t="s">
        <v>237</v>
      </c>
      <c r="F5843" t="s">
        <v>670</v>
      </c>
      <c r="G5843" t="s">
        <v>59</v>
      </c>
      <c r="H5843">
        <v>2024</v>
      </c>
    </row>
    <row r="5844" spans="1:8" x14ac:dyDescent="0.2">
      <c r="A5844">
        <v>262901</v>
      </c>
      <c r="B5844">
        <v>295837</v>
      </c>
      <c r="C5844" t="str">
        <f t="shared" si="91"/>
        <v>3. $50K-250K</v>
      </c>
      <c r="D5844" t="s">
        <v>875</v>
      </c>
      <c r="E5844" t="s">
        <v>237</v>
      </c>
      <c r="F5844" t="s">
        <v>670</v>
      </c>
      <c r="G5844" t="s">
        <v>59</v>
      </c>
      <c r="H5844">
        <v>2024</v>
      </c>
    </row>
    <row r="5845" spans="1:8" x14ac:dyDescent="0.2">
      <c r="A5845">
        <v>262902</v>
      </c>
      <c r="B5845">
        <v>54000</v>
      </c>
      <c r="C5845" t="str">
        <f t="shared" si="91"/>
        <v>4. $250K-1M</v>
      </c>
      <c r="D5845" t="s">
        <v>1063</v>
      </c>
      <c r="E5845" t="s">
        <v>237</v>
      </c>
      <c r="F5845" t="s">
        <v>670</v>
      </c>
      <c r="G5845" t="s">
        <v>59</v>
      </c>
      <c r="H5845">
        <v>2024</v>
      </c>
    </row>
    <row r="5846" spans="1:8" x14ac:dyDescent="0.2">
      <c r="A5846">
        <v>262903</v>
      </c>
      <c r="B5846">
        <v>54000</v>
      </c>
      <c r="C5846" t="str">
        <f t="shared" si="91"/>
        <v>3. $50K-250K</v>
      </c>
      <c r="D5846" t="s">
        <v>721</v>
      </c>
      <c r="E5846" t="s">
        <v>237</v>
      </c>
      <c r="F5846" t="s">
        <v>670</v>
      </c>
      <c r="G5846" t="s">
        <v>59</v>
      </c>
      <c r="H5846">
        <v>2024</v>
      </c>
    </row>
    <row r="5847" spans="1:8" x14ac:dyDescent="0.2">
      <c r="A5847">
        <v>262904</v>
      </c>
      <c r="B5847">
        <v>81000</v>
      </c>
      <c r="C5847" t="str">
        <f t="shared" si="91"/>
        <v>3. $50K-250K</v>
      </c>
      <c r="D5847" t="s">
        <v>720</v>
      </c>
      <c r="E5847" t="s">
        <v>237</v>
      </c>
      <c r="F5847" t="s">
        <v>670</v>
      </c>
      <c r="G5847" t="s">
        <v>59</v>
      </c>
      <c r="H5847">
        <v>2024</v>
      </c>
    </row>
    <row r="5848" spans="1:8" x14ac:dyDescent="0.2">
      <c r="A5848">
        <v>262905</v>
      </c>
      <c r="B5848">
        <v>216000</v>
      </c>
      <c r="C5848" t="str">
        <f t="shared" si="91"/>
        <v>3. $50K-250K</v>
      </c>
      <c r="D5848" t="s">
        <v>726</v>
      </c>
      <c r="E5848" t="s">
        <v>237</v>
      </c>
      <c r="F5848" t="s">
        <v>670</v>
      </c>
      <c r="G5848" t="s">
        <v>59</v>
      </c>
      <c r="H5848">
        <v>2024</v>
      </c>
    </row>
    <row r="5849" spans="1:8" x14ac:dyDescent="0.2">
      <c r="A5849">
        <v>262907</v>
      </c>
      <c r="B5849">
        <v>299230.2</v>
      </c>
      <c r="C5849" t="str">
        <f t="shared" si="91"/>
        <v>3. $50K-250K</v>
      </c>
      <c r="D5849" t="s">
        <v>851</v>
      </c>
      <c r="E5849" t="s">
        <v>237</v>
      </c>
      <c r="F5849" t="s">
        <v>670</v>
      </c>
      <c r="G5849" t="s">
        <v>59</v>
      </c>
      <c r="H5849">
        <v>2024</v>
      </c>
    </row>
    <row r="5850" spans="1:8" x14ac:dyDescent="0.2">
      <c r="A5850">
        <v>262908</v>
      </c>
      <c r="B5850">
        <v>65961</v>
      </c>
      <c r="C5850" t="str">
        <f t="shared" si="91"/>
        <v>4. $250K-1M</v>
      </c>
      <c r="D5850" t="s">
        <v>851</v>
      </c>
      <c r="E5850" t="s">
        <v>237</v>
      </c>
      <c r="F5850" t="s">
        <v>670</v>
      </c>
      <c r="G5850" t="s">
        <v>59</v>
      </c>
      <c r="H5850">
        <v>2024</v>
      </c>
    </row>
    <row r="5851" spans="1:8" x14ac:dyDescent="0.2">
      <c r="A5851">
        <v>262909</v>
      </c>
      <c r="B5851">
        <v>48000</v>
      </c>
      <c r="C5851" t="str">
        <f t="shared" si="91"/>
        <v>3. $50K-250K</v>
      </c>
      <c r="D5851" t="s">
        <v>713</v>
      </c>
      <c r="E5851" t="s">
        <v>237</v>
      </c>
      <c r="F5851" t="s">
        <v>670</v>
      </c>
      <c r="G5851" t="s">
        <v>59</v>
      </c>
      <c r="H5851">
        <v>2024</v>
      </c>
    </row>
    <row r="5852" spans="1:8" x14ac:dyDescent="0.2">
      <c r="A5852">
        <v>262910</v>
      </c>
      <c r="B5852">
        <v>54000</v>
      </c>
      <c r="C5852" t="str">
        <f t="shared" si="91"/>
        <v>2. $10K-50K</v>
      </c>
      <c r="D5852" t="s">
        <v>799</v>
      </c>
      <c r="E5852" t="s">
        <v>237</v>
      </c>
      <c r="F5852" t="s">
        <v>670</v>
      </c>
      <c r="G5852" t="s">
        <v>59</v>
      </c>
      <c r="H5852">
        <v>2024</v>
      </c>
    </row>
    <row r="5853" spans="1:8" x14ac:dyDescent="0.2">
      <c r="A5853">
        <v>262911</v>
      </c>
      <c r="B5853">
        <v>96000</v>
      </c>
      <c r="C5853" t="str">
        <f t="shared" si="91"/>
        <v>3. $50K-250K</v>
      </c>
      <c r="D5853" t="s">
        <v>1046</v>
      </c>
      <c r="E5853" t="s">
        <v>237</v>
      </c>
      <c r="F5853" t="s">
        <v>670</v>
      </c>
      <c r="G5853" t="s">
        <v>59</v>
      </c>
      <c r="H5853">
        <v>2024</v>
      </c>
    </row>
    <row r="5854" spans="1:8" x14ac:dyDescent="0.2">
      <c r="A5854">
        <v>262912</v>
      </c>
      <c r="B5854">
        <v>54000</v>
      </c>
      <c r="C5854" t="str">
        <f t="shared" si="91"/>
        <v>3. $50K-250K</v>
      </c>
      <c r="D5854" t="s">
        <v>1079</v>
      </c>
      <c r="E5854" t="s">
        <v>237</v>
      </c>
      <c r="F5854" t="s">
        <v>670</v>
      </c>
      <c r="G5854" t="s">
        <v>59</v>
      </c>
      <c r="H5854">
        <v>2024</v>
      </c>
    </row>
    <row r="5855" spans="1:8" x14ac:dyDescent="0.2">
      <c r="A5855">
        <v>262913</v>
      </c>
      <c r="B5855">
        <v>647653.19999999995</v>
      </c>
      <c r="C5855" t="str">
        <f t="shared" si="91"/>
        <v>3. $50K-250K</v>
      </c>
      <c r="D5855" t="s">
        <v>391</v>
      </c>
      <c r="E5855" t="s">
        <v>237</v>
      </c>
      <c r="F5855" t="s">
        <v>670</v>
      </c>
      <c r="G5855" t="s">
        <v>59</v>
      </c>
      <c r="H5855">
        <v>2024</v>
      </c>
    </row>
    <row r="5856" spans="1:8" x14ac:dyDescent="0.2">
      <c r="A5856">
        <v>262914</v>
      </c>
      <c r="B5856">
        <v>548981</v>
      </c>
      <c r="C5856" t="str">
        <f t="shared" si="91"/>
        <v>4. $250K-1M</v>
      </c>
      <c r="D5856" t="s">
        <v>721</v>
      </c>
      <c r="E5856" t="s">
        <v>237</v>
      </c>
      <c r="F5856" t="s">
        <v>670</v>
      </c>
      <c r="G5856" t="s">
        <v>59</v>
      </c>
      <c r="H5856">
        <v>2024</v>
      </c>
    </row>
    <row r="5857" spans="1:8" x14ac:dyDescent="0.2">
      <c r="A5857">
        <v>262915</v>
      </c>
      <c r="B5857">
        <v>107285.1</v>
      </c>
      <c r="C5857" t="str">
        <f t="shared" si="91"/>
        <v>4. $250K-1M</v>
      </c>
      <c r="D5857" t="s">
        <v>857</v>
      </c>
      <c r="E5857" t="s">
        <v>237</v>
      </c>
      <c r="F5857" t="s">
        <v>670</v>
      </c>
      <c r="G5857" t="s">
        <v>59</v>
      </c>
      <c r="H5857">
        <v>2024</v>
      </c>
    </row>
    <row r="5858" spans="1:8" x14ac:dyDescent="0.2">
      <c r="A5858">
        <v>262916</v>
      </c>
      <c r="B5858">
        <v>14819.5</v>
      </c>
      <c r="C5858" t="str">
        <f t="shared" si="91"/>
        <v>3. $50K-250K</v>
      </c>
      <c r="D5858" t="s">
        <v>851</v>
      </c>
      <c r="E5858" t="s">
        <v>237</v>
      </c>
      <c r="F5858" t="s">
        <v>670</v>
      </c>
      <c r="G5858" t="s">
        <v>59</v>
      </c>
      <c r="H5858">
        <v>2024</v>
      </c>
    </row>
    <row r="5859" spans="1:8" x14ac:dyDescent="0.2">
      <c r="A5859">
        <v>262917</v>
      </c>
      <c r="B5859">
        <v>36000</v>
      </c>
      <c r="C5859" t="str">
        <f t="shared" si="91"/>
        <v>2. $10K-50K</v>
      </c>
      <c r="D5859" t="s">
        <v>1071</v>
      </c>
      <c r="E5859" t="s">
        <v>237</v>
      </c>
      <c r="F5859" t="s">
        <v>670</v>
      </c>
      <c r="G5859" t="s">
        <v>59</v>
      </c>
      <c r="H5859">
        <v>2024</v>
      </c>
    </row>
    <row r="5860" spans="1:8" x14ac:dyDescent="0.2">
      <c r="A5860">
        <v>262918</v>
      </c>
      <c r="B5860">
        <v>36668</v>
      </c>
      <c r="C5860" t="str">
        <f t="shared" si="91"/>
        <v>2. $10K-50K</v>
      </c>
      <c r="D5860" t="s">
        <v>719</v>
      </c>
      <c r="E5860" t="s">
        <v>237</v>
      </c>
      <c r="F5860" t="s">
        <v>670</v>
      </c>
      <c r="G5860" t="s">
        <v>59</v>
      </c>
      <c r="H5860">
        <v>2024</v>
      </c>
    </row>
    <row r="5861" spans="1:8" x14ac:dyDescent="0.2">
      <c r="A5861">
        <v>262919</v>
      </c>
      <c r="B5861">
        <v>89870.1</v>
      </c>
      <c r="C5861" t="str">
        <f t="shared" si="91"/>
        <v>2. $10K-50K</v>
      </c>
      <c r="D5861" t="s">
        <v>983</v>
      </c>
      <c r="E5861" t="s">
        <v>237</v>
      </c>
      <c r="F5861" t="s">
        <v>670</v>
      </c>
      <c r="G5861" t="s">
        <v>59</v>
      </c>
      <c r="H5861">
        <v>2024</v>
      </c>
    </row>
    <row r="5862" spans="1:8" x14ac:dyDescent="0.2">
      <c r="A5862">
        <v>262920</v>
      </c>
      <c r="B5862">
        <v>100741.9</v>
      </c>
      <c r="C5862" t="str">
        <f t="shared" si="91"/>
        <v>3. $50K-250K</v>
      </c>
      <c r="D5862" t="s">
        <v>697</v>
      </c>
      <c r="E5862" t="s">
        <v>237</v>
      </c>
      <c r="F5862" t="s">
        <v>670</v>
      </c>
      <c r="G5862" t="s">
        <v>59</v>
      </c>
      <c r="H5862">
        <v>2024</v>
      </c>
    </row>
    <row r="5863" spans="1:8" x14ac:dyDescent="0.2">
      <c r="A5863">
        <v>262921</v>
      </c>
      <c r="B5863">
        <v>70545.7</v>
      </c>
      <c r="C5863" t="str">
        <f t="shared" si="91"/>
        <v>3. $50K-250K</v>
      </c>
      <c r="D5863" t="s">
        <v>1084</v>
      </c>
      <c r="E5863" t="s">
        <v>237</v>
      </c>
      <c r="F5863" t="s">
        <v>670</v>
      </c>
      <c r="G5863" t="s">
        <v>59</v>
      </c>
      <c r="H5863">
        <v>2024</v>
      </c>
    </row>
    <row r="5864" spans="1:8" x14ac:dyDescent="0.2">
      <c r="A5864">
        <v>262922</v>
      </c>
      <c r="B5864">
        <v>250000</v>
      </c>
      <c r="C5864" t="str">
        <f t="shared" si="91"/>
        <v>3. $50K-250K</v>
      </c>
      <c r="D5864" t="s">
        <v>778</v>
      </c>
      <c r="E5864" t="s">
        <v>99</v>
      </c>
      <c r="F5864" t="s">
        <v>668</v>
      </c>
      <c r="G5864" t="s">
        <v>59</v>
      </c>
      <c r="H5864">
        <v>2024</v>
      </c>
    </row>
    <row r="5865" spans="1:8" x14ac:dyDescent="0.2">
      <c r="A5865">
        <v>262923</v>
      </c>
      <c r="B5865">
        <v>36000</v>
      </c>
      <c r="C5865" t="str">
        <f t="shared" si="91"/>
        <v>4. $250K-1M</v>
      </c>
      <c r="D5865" t="s">
        <v>879</v>
      </c>
      <c r="E5865" t="s">
        <v>237</v>
      </c>
      <c r="F5865" t="s">
        <v>670</v>
      </c>
      <c r="G5865" t="s">
        <v>59</v>
      </c>
      <c r="H5865">
        <v>2024</v>
      </c>
    </row>
    <row r="5866" spans="1:8" x14ac:dyDescent="0.2">
      <c r="A5866">
        <v>262925</v>
      </c>
      <c r="B5866">
        <v>250000</v>
      </c>
      <c r="C5866" t="str">
        <f t="shared" si="91"/>
        <v>2. $10K-50K</v>
      </c>
      <c r="D5866" t="s">
        <v>2132</v>
      </c>
      <c r="E5866" t="s">
        <v>99</v>
      </c>
      <c r="F5866" t="s">
        <v>668</v>
      </c>
      <c r="G5866" t="s">
        <v>59</v>
      </c>
      <c r="H5866">
        <v>2024</v>
      </c>
    </row>
    <row r="5867" spans="1:8" x14ac:dyDescent="0.2">
      <c r="A5867">
        <v>262926</v>
      </c>
      <c r="B5867">
        <v>6000</v>
      </c>
      <c r="C5867" t="str">
        <f t="shared" si="91"/>
        <v>4. $250K-1M</v>
      </c>
      <c r="D5867" t="s">
        <v>1851</v>
      </c>
      <c r="E5867" t="s">
        <v>112</v>
      </c>
      <c r="F5867" t="s">
        <v>668</v>
      </c>
      <c r="G5867" t="s">
        <v>59</v>
      </c>
      <c r="H5867">
        <v>2024</v>
      </c>
    </row>
    <row r="5868" spans="1:8" x14ac:dyDescent="0.2">
      <c r="A5868">
        <v>262928</v>
      </c>
      <c r="B5868">
        <v>250000</v>
      </c>
      <c r="C5868" t="str">
        <f t="shared" si="91"/>
        <v>1. Under $10K</v>
      </c>
      <c r="D5868" t="s">
        <v>2144</v>
      </c>
      <c r="E5868" t="s">
        <v>112</v>
      </c>
      <c r="F5868" t="s">
        <v>668</v>
      </c>
      <c r="G5868" t="s">
        <v>59</v>
      </c>
      <c r="H5868">
        <v>2024</v>
      </c>
    </row>
    <row r="5869" spans="1:8" x14ac:dyDescent="0.2">
      <c r="A5869">
        <v>262929</v>
      </c>
      <c r="B5869">
        <v>141355.1</v>
      </c>
      <c r="C5869" t="str">
        <f t="shared" si="91"/>
        <v>4. $250K-1M</v>
      </c>
      <c r="D5869" t="s">
        <v>1152</v>
      </c>
      <c r="E5869" t="s">
        <v>99</v>
      </c>
      <c r="F5869" t="s">
        <v>668</v>
      </c>
      <c r="G5869" t="s">
        <v>59</v>
      </c>
      <c r="H5869">
        <v>2024</v>
      </c>
    </row>
    <row r="5870" spans="1:8" x14ac:dyDescent="0.2">
      <c r="A5870">
        <v>262931</v>
      </c>
      <c r="B5870">
        <v>262419.59999999998</v>
      </c>
      <c r="C5870" t="str">
        <f t="shared" si="91"/>
        <v>3. $50K-250K</v>
      </c>
      <c r="D5870" t="s">
        <v>1586</v>
      </c>
      <c r="E5870" t="s">
        <v>42</v>
      </c>
      <c r="F5870" t="s">
        <v>670</v>
      </c>
      <c r="G5870" t="s">
        <v>59</v>
      </c>
      <c r="H5870">
        <v>2024</v>
      </c>
    </row>
    <row r="5871" spans="1:8" x14ac:dyDescent="0.2">
      <c r="A5871">
        <v>262932</v>
      </c>
      <c r="B5871">
        <v>40000</v>
      </c>
      <c r="C5871" t="str">
        <f t="shared" si="91"/>
        <v>4. $250K-1M</v>
      </c>
      <c r="D5871" t="s">
        <v>1443</v>
      </c>
      <c r="E5871" t="s">
        <v>432</v>
      </c>
      <c r="F5871" t="s">
        <v>670</v>
      </c>
      <c r="G5871" t="s">
        <v>59</v>
      </c>
      <c r="H5871">
        <v>2024</v>
      </c>
    </row>
    <row r="5872" spans="1:8" x14ac:dyDescent="0.2">
      <c r="A5872">
        <v>262933</v>
      </c>
      <c r="B5872">
        <v>220807.3</v>
      </c>
      <c r="C5872" t="str">
        <f t="shared" si="91"/>
        <v>2. $10K-50K</v>
      </c>
      <c r="D5872" t="s">
        <v>823</v>
      </c>
      <c r="E5872" t="s">
        <v>42</v>
      </c>
      <c r="F5872" t="s">
        <v>670</v>
      </c>
      <c r="G5872" t="s">
        <v>59</v>
      </c>
      <c r="H5872">
        <v>2024</v>
      </c>
    </row>
    <row r="5873" spans="1:8" x14ac:dyDescent="0.2">
      <c r="A5873">
        <v>262934</v>
      </c>
      <c r="B5873">
        <v>169387.8</v>
      </c>
      <c r="C5873" t="str">
        <f t="shared" si="91"/>
        <v>3. $50K-250K</v>
      </c>
      <c r="D5873" t="s">
        <v>1003</v>
      </c>
      <c r="E5873" t="s">
        <v>42</v>
      </c>
      <c r="F5873" t="s">
        <v>670</v>
      </c>
      <c r="G5873" t="s">
        <v>59</v>
      </c>
      <c r="H5873">
        <v>2024</v>
      </c>
    </row>
    <row r="5874" spans="1:8" x14ac:dyDescent="0.2">
      <c r="A5874">
        <v>262935</v>
      </c>
      <c r="B5874">
        <v>40000</v>
      </c>
      <c r="C5874" t="str">
        <f t="shared" si="91"/>
        <v>3. $50K-250K</v>
      </c>
      <c r="D5874" t="s">
        <v>1450</v>
      </c>
      <c r="E5874" t="s">
        <v>432</v>
      </c>
      <c r="F5874" t="s">
        <v>670</v>
      </c>
      <c r="G5874" t="s">
        <v>59</v>
      </c>
      <c r="H5874">
        <v>2024</v>
      </c>
    </row>
    <row r="5875" spans="1:8" x14ac:dyDescent="0.2">
      <c r="A5875">
        <v>262936</v>
      </c>
      <c r="B5875">
        <v>30000</v>
      </c>
      <c r="C5875" t="str">
        <f t="shared" si="91"/>
        <v>2. $10K-50K</v>
      </c>
      <c r="D5875" t="s">
        <v>920</v>
      </c>
      <c r="E5875" t="s">
        <v>432</v>
      </c>
      <c r="F5875" t="s">
        <v>670</v>
      </c>
      <c r="G5875" t="s">
        <v>59</v>
      </c>
      <c r="H5875">
        <v>2024</v>
      </c>
    </row>
    <row r="5876" spans="1:8" x14ac:dyDescent="0.2">
      <c r="A5876">
        <v>262946</v>
      </c>
      <c r="B5876">
        <v>100000</v>
      </c>
      <c r="C5876" t="str">
        <f t="shared" si="91"/>
        <v>2. $10K-50K</v>
      </c>
      <c r="D5876" t="s">
        <v>2145</v>
      </c>
      <c r="E5876" t="s">
        <v>112</v>
      </c>
      <c r="F5876" t="s">
        <v>668</v>
      </c>
      <c r="G5876" t="s">
        <v>59</v>
      </c>
      <c r="H5876">
        <v>2024</v>
      </c>
    </row>
    <row r="5877" spans="1:8" x14ac:dyDescent="0.2">
      <c r="A5877">
        <v>262948</v>
      </c>
      <c r="B5877">
        <v>50000</v>
      </c>
      <c r="C5877" t="str">
        <f t="shared" si="91"/>
        <v>3. $50K-250K</v>
      </c>
      <c r="D5877" t="s">
        <v>1435</v>
      </c>
      <c r="E5877" t="s">
        <v>112</v>
      </c>
      <c r="F5877" t="s">
        <v>668</v>
      </c>
      <c r="G5877" t="s">
        <v>59</v>
      </c>
      <c r="H5877">
        <v>2024</v>
      </c>
    </row>
    <row r="5878" spans="1:8" x14ac:dyDescent="0.2">
      <c r="A5878">
        <v>262958</v>
      </c>
      <c r="B5878">
        <v>100000</v>
      </c>
      <c r="C5878" t="str">
        <f t="shared" si="91"/>
        <v>3. $50K-250K</v>
      </c>
      <c r="D5878" t="s">
        <v>328</v>
      </c>
      <c r="E5878" t="s">
        <v>112</v>
      </c>
      <c r="F5878" t="s">
        <v>668</v>
      </c>
      <c r="G5878" t="s">
        <v>59</v>
      </c>
      <c r="H5878">
        <v>2024</v>
      </c>
    </row>
    <row r="5879" spans="1:8" x14ac:dyDescent="0.2">
      <c r="A5879">
        <v>262974</v>
      </c>
      <c r="B5879">
        <v>50000</v>
      </c>
      <c r="C5879" t="str">
        <f t="shared" si="91"/>
        <v>3. $50K-250K</v>
      </c>
      <c r="D5879" t="s">
        <v>1435</v>
      </c>
      <c r="E5879" t="s">
        <v>112</v>
      </c>
      <c r="F5879" t="s">
        <v>668</v>
      </c>
      <c r="G5879" t="s">
        <v>59</v>
      </c>
      <c r="H5879">
        <v>2024</v>
      </c>
    </row>
    <row r="5880" spans="1:8" x14ac:dyDescent="0.2">
      <c r="A5880">
        <v>262982</v>
      </c>
      <c r="B5880">
        <v>125000</v>
      </c>
      <c r="C5880" t="str">
        <f t="shared" si="91"/>
        <v>3. $50K-250K</v>
      </c>
      <c r="D5880" t="s">
        <v>2146</v>
      </c>
      <c r="E5880" t="s">
        <v>112</v>
      </c>
      <c r="F5880" t="s">
        <v>668</v>
      </c>
      <c r="G5880" t="s">
        <v>59</v>
      </c>
      <c r="H5880">
        <v>2024</v>
      </c>
    </row>
    <row r="5881" spans="1:8" x14ac:dyDescent="0.2">
      <c r="A5881">
        <v>262999</v>
      </c>
      <c r="B5881">
        <v>2750000</v>
      </c>
      <c r="C5881" t="str">
        <f t="shared" si="91"/>
        <v>3. $50K-250K</v>
      </c>
      <c r="D5881" t="s">
        <v>918</v>
      </c>
      <c r="E5881" t="s">
        <v>99</v>
      </c>
      <c r="F5881" t="s">
        <v>668</v>
      </c>
      <c r="G5881" t="s">
        <v>59</v>
      </c>
      <c r="H5881">
        <v>2024</v>
      </c>
    </row>
    <row r="5882" spans="1:8" x14ac:dyDescent="0.2">
      <c r="A5882">
        <v>263033</v>
      </c>
      <c r="B5882">
        <v>250179.4</v>
      </c>
      <c r="C5882" t="str">
        <f t="shared" si="91"/>
        <v>5. $1M+</v>
      </c>
      <c r="D5882" t="s">
        <v>801</v>
      </c>
      <c r="E5882" t="s">
        <v>237</v>
      </c>
      <c r="F5882" t="s">
        <v>670</v>
      </c>
      <c r="G5882" t="s">
        <v>59</v>
      </c>
      <c r="H5882">
        <v>2024</v>
      </c>
    </row>
    <row r="5883" spans="1:8" x14ac:dyDescent="0.2">
      <c r="A5883">
        <v>263034</v>
      </c>
      <c r="B5883">
        <v>229440.1</v>
      </c>
      <c r="C5883" t="str">
        <f t="shared" si="91"/>
        <v>4. $250K-1M</v>
      </c>
      <c r="D5883" t="s">
        <v>985</v>
      </c>
      <c r="E5883" t="s">
        <v>237</v>
      </c>
      <c r="F5883" t="s">
        <v>670</v>
      </c>
      <c r="G5883" t="s">
        <v>59</v>
      </c>
      <c r="H5883">
        <v>2024</v>
      </c>
    </row>
    <row r="5884" spans="1:8" x14ac:dyDescent="0.2">
      <c r="A5884">
        <v>263035</v>
      </c>
      <c r="B5884">
        <v>250285.1</v>
      </c>
      <c r="C5884" t="str">
        <f t="shared" si="91"/>
        <v>3. $50K-250K</v>
      </c>
      <c r="D5884" t="s">
        <v>1063</v>
      </c>
      <c r="E5884" t="s">
        <v>237</v>
      </c>
      <c r="F5884" t="s">
        <v>670</v>
      </c>
      <c r="G5884" t="s">
        <v>59</v>
      </c>
      <c r="H5884">
        <v>2024</v>
      </c>
    </row>
    <row r="5885" spans="1:8" x14ac:dyDescent="0.2">
      <c r="A5885">
        <v>263036</v>
      </c>
      <c r="B5885">
        <v>249024.8</v>
      </c>
      <c r="C5885" t="str">
        <f t="shared" si="91"/>
        <v>4. $250K-1M</v>
      </c>
      <c r="D5885" t="s">
        <v>804</v>
      </c>
      <c r="E5885" t="s">
        <v>237</v>
      </c>
      <c r="F5885" t="s">
        <v>670</v>
      </c>
      <c r="G5885" t="s">
        <v>59</v>
      </c>
      <c r="H5885">
        <v>2024</v>
      </c>
    </row>
    <row r="5886" spans="1:8" x14ac:dyDescent="0.2">
      <c r="A5886">
        <v>263053</v>
      </c>
      <c r="B5886">
        <v>250000</v>
      </c>
      <c r="C5886" t="str">
        <f t="shared" si="91"/>
        <v>3. $50K-250K</v>
      </c>
      <c r="D5886" t="s">
        <v>2147</v>
      </c>
      <c r="E5886" t="s">
        <v>99</v>
      </c>
      <c r="F5886" t="s">
        <v>668</v>
      </c>
      <c r="G5886" t="s">
        <v>59</v>
      </c>
      <c r="H5886">
        <v>2024</v>
      </c>
    </row>
    <row r="5887" spans="1:8" x14ac:dyDescent="0.2">
      <c r="A5887">
        <v>263055</v>
      </c>
      <c r="B5887">
        <v>54594</v>
      </c>
      <c r="C5887" t="str">
        <f t="shared" si="91"/>
        <v>4. $250K-1M</v>
      </c>
      <c r="D5887" t="s">
        <v>1500</v>
      </c>
      <c r="E5887" t="s">
        <v>28</v>
      </c>
      <c r="F5887" t="s">
        <v>668</v>
      </c>
      <c r="G5887" t="s">
        <v>59</v>
      </c>
      <c r="H5887">
        <v>2024</v>
      </c>
    </row>
    <row r="5888" spans="1:8" x14ac:dyDescent="0.2">
      <c r="A5888">
        <v>263059</v>
      </c>
      <c r="B5888">
        <v>30000</v>
      </c>
      <c r="C5888" t="str">
        <f t="shared" si="91"/>
        <v>3. $50K-250K</v>
      </c>
      <c r="D5888" t="s">
        <v>481</v>
      </c>
      <c r="E5888" t="s">
        <v>480</v>
      </c>
      <c r="F5888" t="s">
        <v>668</v>
      </c>
      <c r="G5888" t="s">
        <v>59</v>
      </c>
      <c r="H5888">
        <v>2024</v>
      </c>
    </row>
    <row r="5889" spans="1:8" x14ac:dyDescent="0.2">
      <c r="A5889">
        <v>263061</v>
      </c>
      <c r="B5889">
        <v>72600</v>
      </c>
      <c r="C5889" t="str">
        <f t="shared" si="91"/>
        <v>2. $10K-50K</v>
      </c>
      <c r="D5889" t="s">
        <v>479</v>
      </c>
      <c r="E5889" t="s">
        <v>480</v>
      </c>
      <c r="F5889" t="s">
        <v>668</v>
      </c>
      <c r="G5889" t="s">
        <v>59</v>
      </c>
      <c r="H5889">
        <v>2024</v>
      </c>
    </row>
    <row r="5890" spans="1:8" x14ac:dyDescent="0.2">
      <c r="A5890">
        <v>263089</v>
      </c>
      <c r="B5890">
        <v>182883.3</v>
      </c>
      <c r="C5890" t="str">
        <f t="shared" si="91"/>
        <v>3. $50K-250K</v>
      </c>
      <c r="D5890" t="s">
        <v>391</v>
      </c>
      <c r="E5890" t="s">
        <v>237</v>
      </c>
      <c r="F5890" t="s">
        <v>670</v>
      </c>
      <c r="G5890" t="s">
        <v>59</v>
      </c>
      <c r="H5890">
        <v>2024</v>
      </c>
    </row>
    <row r="5891" spans="1:8" x14ac:dyDescent="0.2">
      <c r="A5891">
        <v>263090</v>
      </c>
      <c r="B5891">
        <v>210673.1</v>
      </c>
      <c r="C5891" t="str">
        <f t="shared" ref="C5891:C5954" si="92">IF(B5890&lt;10000,"1. Under $10K",IF(B5890&lt;50000,"2. $10K-50K",IF(B5890&lt;250000,"3. $50K-250K",IF(B5890&lt;1000000,"4. $250K-1M","5. $1M+"))))</f>
        <v>3. $50K-250K</v>
      </c>
      <c r="D5891" t="s">
        <v>391</v>
      </c>
      <c r="E5891" t="s">
        <v>237</v>
      </c>
      <c r="F5891" t="s">
        <v>670</v>
      </c>
      <c r="G5891" t="s">
        <v>59</v>
      </c>
      <c r="H5891">
        <v>2024</v>
      </c>
    </row>
    <row r="5892" spans="1:8" x14ac:dyDescent="0.2">
      <c r="A5892">
        <v>263109</v>
      </c>
      <c r="B5892">
        <v>225000000</v>
      </c>
      <c r="C5892" t="str">
        <f t="shared" si="92"/>
        <v>3. $50K-250K</v>
      </c>
      <c r="D5892" t="s">
        <v>122</v>
      </c>
      <c r="E5892" t="s">
        <v>18</v>
      </c>
      <c r="F5892" t="s">
        <v>120</v>
      </c>
      <c r="G5892" t="s">
        <v>10</v>
      </c>
      <c r="H5892">
        <v>2024</v>
      </c>
    </row>
    <row r="5893" spans="1:8" x14ac:dyDescent="0.2">
      <c r="A5893">
        <v>263110</v>
      </c>
      <c r="B5893">
        <v>225000000</v>
      </c>
      <c r="C5893" t="str">
        <f t="shared" si="92"/>
        <v>5. $1M+</v>
      </c>
      <c r="D5893" t="s">
        <v>7</v>
      </c>
      <c r="E5893" t="s">
        <v>18</v>
      </c>
      <c r="F5893" t="s">
        <v>120</v>
      </c>
      <c r="G5893" t="s">
        <v>10</v>
      </c>
      <c r="H5893">
        <v>2024</v>
      </c>
    </row>
    <row r="5894" spans="1:8" x14ac:dyDescent="0.2">
      <c r="A5894">
        <v>263111</v>
      </c>
      <c r="B5894">
        <v>225000000</v>
      </c>
      <c r="C5894" t="str">
        <f t="shared" si="92"/>
        <v>5. $1M+</v>
      </c>
      <c r="D5894" t="s">
        <v>119</v>
      </c>
      <c r="E5894" t="s">
        <v>18</v>
      </c>
      <c r="F5894" t="s">
        <v>120</v>
      </c>
      <c r="G5894" t="s">
        <v>10</v>
      </c>
      <c r="H5894">
        <v>2024</v>
      </c>
    </row>
    <row r="5895" spans="1:8" x14ac:dyDescent="0.2">
      <c r="A5895">
        <v>263112</v>
      </c>
      <c r="B5895">
        <v>225000000</v>
      </c>
      <c r="C5895" t="str">
        <f t="shared" si="92"/>
        <v>5. $1M+</v>
      </c>
      <c r="D5895" t="s">
        <v>123</v>
      </c>
      <c r="E5895" t="s">
        <v>18</v>
      </c>
      <c r="F5895" t="s">
        <v>120</v>
      </c>
      <c r="G5895" t="s">
        <v>10</v>
      </c>
      <c r="H5895">
        <v>2024</v>
      </c>
    </row>
    <row r="5896" spans="1:8" x14ac:dyDescent="0.2">
      <c r="A5896">
        <v>263113</v>
      </c>
      <c r="B5896">
        <v>300000000</v>
      </c>
      <c r="C5896" t="str">
        <f t="shared" si="92"/>
        <v>5. $1M+</v>
      </c>
      <c r="D5896" t="s">
        <v>121</v>
      </c>
      <c r="E5896" t="s">
        <v>18</v>
      </c>
      <c r="F5896" t="s">
        <v>120</v>
      </c>
      <c r="G5896" t="s">
        <v>10</v>
      </c>
      <c r="H5896">
        <v>2024</v>
      </c>
    </row>
    <row r="5897" spans="1:8" x14ac:dyDescent="0.2">
      <c r="A5897">
        <v>263114</v>
      </c>
      <c r="B5897">
        <v>45702.8</v>
      </c>
      <c r="C5897" t="str">
        <f t="shared" si="92"/>
        <v>5. $1M+</v>
      </c>
      <c r="D5897" t="s">
        <v>255</v>
      </c>
      <c r="E5897" t="s">
        <v>141</v>
      </c>
      <c r="F5897" t="s">
        <v>43</v>
      </c>
      <c r="G5897" t="s">
        <v>59</v>
      </c>
      <c r="H5897">
        <v>2024</v>
      </c>
    </row>
    <row r="5898" spans="1:8" x14ac:dyDescent="0.2">
      <c r="A5898">
        <v>263249</v>
      </c>
      <c r="B5898">
        <v>93764</v>
      </c>
      <c r="C5898" t="str">
        <f t="shared" si="92"/>
        <v>2. $10K-50K</v>
      </c>
      <c r="D5898" t="s">
        <v>945</v>
      </c>
      <c r="E5898" t="s">
        <v>99</v>
      </c>
      <c r="F5898" t="s">
        <v>670</v>
      </c>
      <c r="G5898" t="s">
        <v>59</v>
      </c>
      <c r="H5898">
        <v>2024</v>
      </c>
    </row>
    <row r="5899" spans="1:8" x14ac:dyDescent="0.2">
      <c r="A5899">
        <v>263250</v>
      </c>
      <c r="B5899">
        <v>72770</v>
      </c>
      <c r="C5899" t="str">
        <f t="shared" si="92"/>
        <v>3. $50K-250K</v>
      </c>
      <c r="D5899" t="s">
        <v>1027</v>
      </c>
      <c r="E5899" t="s">
        <v>825</v>
      </c>
      <c r="F5899" t="s">
        <v>670</v>
      </c>
      <c r="G5899" t="s">
        <v>59</v>
      </c>
      <c r="H5899">
        <v>2024</v>
      </c>
    </row>
    <row r="5900" spans="1:8" x14ac:dyDescent="0.2">
      <c r="A5900">
        <v>263251</v>
      </c>
      <c r="B5900">
        <v>80000</v>
      </c>
      <c r="C5900" t="str">
        <f t="shared" si="92"/>
        <v>3. $50K-250K</v>
      </c>
      <c r="D5900" t="s">
        <v>1021</v>
      </c>
      <c r="E5900" t="s">
        <v>237</v>
      </c>
      <c r="F5900" t="s">
        <v>670</v>
      </c>
      <c r="G5900" t="s">
        <v>59</v>
      </c>
      <c r="H5900">
        <v>2024</v>
      </c>
    </row>
    <row r="5901" spans="1:8" x14ac:dyDescent="0.2">
      <c r="A5901">
        <v>263252</v>
      </c>
      <c r="B5901">
        <v>81000</v>
      </c>
      <c r="C5901" t="str">
        <f t="shared" si="92"/>
        <v>3. $50K-250K</v>
      </c>
      <c r="D5901" t="s">
        <v>801</v>
      </c>
      <c r="E5901" t="s">
        <v>237</v>
      </c>
      <c r="F5901" t="s">
        <v>670</v>
      </c>
      <c r="G5901" t="s">
        <v>59</v>
      </c>
      <c r="H5901">
        <v>2024</v>
      </c>
    </row>
    <row r="5902" spans="1:8" x14ac:dyDescent="0.2">
      <c r="A5902">
        <v>263253</v>
      </c>
      <c r="B5902">
        <v>13586</v>
      </c>
      <c r="C5902" t="str">
        <f t="shared" si="92"/>
        <v>3. $50K-250K</v>
      </c>
      <c r="D5902" t="s">
        <v>708</v>
      </c>
      <c r="E5902" t="s">
        <v>237</v>
      </c>
      <c r="F5902" t="s">
        <v>670</v>
      </c>
      <c r="G5902" t="s">
        <v>59</v>
      </c>
      <c r="H5902">
        <v>2024</v>
      </c>
    </row>
    <row r="5903" spans="1:8" x14ac:dyDescent="0.2">
      <c r="A5903">
        <v>263254</v>
      </c>
      <c r="B5903">
        <v>15810.6</v>
      </c>
      <c r="C5903" t="str">
        <f t="shared" si="92"/>
        <v>2. $10K-50K</v>
      </c>
      <c r="D5903" t="s">
        <v>762</v>
      </c>
      <c r="E5903" t="s">
        <v>237</v>
      </c>
      <c r="F5903" t="s">
        <v>670</v>
      </c>
      <c r="G5903" t="s">
        <v>59</v>
      </c>
      <c r="H5903">
        <v>2024</v>
      </c>
    </row>
    <row r="5904" spans="1:8" x14ac:dyDescent="0.2">
      <c r="A5904">
        <v>263291</v>
      </c>
      <c r="B5904">
        <v>1558.8</v>
      </c>
      <c r="C5904" t="str">
        <f t="shared" si="92"/>
        <v>2. $10K-50K</v>
      </c>
      <c r="D5904" t="s">
        <v>255</v>
      </c>
      <c r="E5904" t="s">
        <v>141</v>
      </c>
      <c r="F5904" t="s">
        <v>43</v>
      </c>
      <c r="G5904" t="s">
        <v>59</v>
      </c>
      <c r="H5904">
        <v>2024</v>
      </c>
    </row>
    <row r="5905" spans="1:8" x14ac:dyDescent="0.2">
      <c r="A5905">
        <v>263296</v>
      </c>
      <c r="B5905">
        <v>150000</v>
      </c>
      <c r="C5905" t="str">
        <f t="shared" si="92"/>
        <v>1. Under $10K</v>
      </c>
      <c r="D5905" t="s">
        <v>950</v>
      </c>
      <c r="E5905" t="s">
        <v>99</v>
      </c>
      <c r="F5905" t="s">
        <v>668</v>
      </c>
      <c r="G5905" t="s">
        <v>59</v>
      </c>
      <c r="H5905">
        <v>2024</v>
      </c>
    </row>
    <row r="5906" spans="1:8" x14ac:dyDescent="0.2">
      <c r="A5906">
        <v>263298</v>
      </c>
      <c r="B5906">
        <v>250000</v>
      </c>
      <c r="C5906" t="str">
        <f t="shared" si="92"/>
        <v>3. $50K-250K</v>
      </c>
      <c r="D5906" t="s">
        <v>2148</v>
      </c>
      <c r="E5906" t="s">
        <v>99</v>
      </c>
      <c r="F5906" t="s">
        <v>668</v>
      </c>
      <c r="G5906" t="s">
        <v>59</v>
      </c>
      <c r="H5906">
        <v>2024</v>
      </c>
    </row>
    <row r="5907" spans="1:8" x14ac:dyDescent="0.2">
      <c r="A5907">
        <v>263299</v>
      </c>
      <c r="B5907">
        <v>150000</v>
      </c>
      <c r="C5907" t="str">
        <f t="shared" si="92"/>
        <v>4. $250K-1M</v>
      </c>
      <c r="D5907" t="s">
        <v>2149</v>
      </c>
      <c r="E5907" t="s">
        <v>99</v>
      </c>
      <c r="F5907" t="s">
        <v>668</v>
      </c>
      <c r="G5907" t="s">
        <v>59</v>
      </c>
      <c r="H5907">
        <v>2024</v>
      </c>
    </row>
    <row r="5908" spans="1:8" x14ac:dyDescent="0.2">
      <c r="A5908">
        <v>263304</v>
      </c>
      <c r="B5908">
        <v>250000</v>
      </c>
      <c r="C5908" t="str">
        <f t="shared" si="92"/>
        <v>3. $50K-250K</v>
      </c>
      <c r="D5908" t="s">
        <v>2150</v>
      </c>
      <c r="E5908" t="s">
        <v>99</v>
      </c>
      <c r="F5908" t="s">
        <v>668</v>
      </c>
      <c r="G5908" t="s">
        <v>59</v>
      </c>
      <c r="H5908">
        <v>2024</v>
      </c>
    </row>
    <row r="5909" spans="1:8" x14ac:dyDescent="0.2">
      <c r="A5909">
        <v>263305</v>
      </c>
      <c r="B5909">
        <v>14293</v>
      </c>
      <c r="C5909" t="str">
        <f t="shared" si="92"/>
        <v>4. $250K-1M</v>
      </c>
      <c r="D5909" t="s">
        <v>1464</v>
      </c>
      <c r="E5909" t="s">
        <v>99</v>
      </c>
      <c r="F5909" t="s">
        <v>668</v>
      </c>
      <c r="G5909" t="s">
        <v>59</v>
      </c>
      <c r="H5909">
        <v>2024</v>
      </c>
    </row>
    <row r="5910" spans="1:8" x14ac:dyDescent="0.2">
      <c r="A5910">
        <v>263308</v>
      </c>
      <c r="B5910">
        <v>85681</v>
      </c>
      <c r="C5910" t="str">
        <f t="shared" si="92"/>
        <v>2. $10K-50K</v>
      </c>
      <c r="D5910" t="s">
        <v>1438</v>
      </c>
      <c r="E5910" t="s">
        <v>99</v>
      </c>
      <c r="F5910" t="s">
        <v>668</v>
      </c>
      <c r="G5910" t="s">
        <v>59</v>
      </c>
      <c r="H5910">
        <v>2024</v>
      </c>
    </row>
    <row r="5911" spans="1:8" x14ac:dyDescent="0.2">
      <c r="A5911">
        <v>263309</v>
      </c>
      <c r="B5911">
        <v>150000</v>
      </c>
      <c r="C5911" t="str">
        <f t="shared" si="92"/>
        <v>3. $50K-250K</v>
      </c>
      <c r="D5911" t="s">
        <v>2151</v>
      </c>
      <c r="E5911" t="s">
        <v>99</v>
      </c>
      <c r="F5911" t="s">
        <v>668</v>
      </c>
      <c r="G5911" t="s">
        <v>59</v>
      </c>
      <c r="H5911">
        <v>2024</v>
      </c>
    </row>
    <row r="5912" spans="1:8" x14ac:dyDescent="0.2">
      <c r="A5912">
        <v>263312</v>
      </c>
      <c r="B5912">
        <v>250000</v>
      </c>
      <c r="C5912" t="str">
        <f t="shared" si="92"/>
        <v>3. $50K-250K</v>
      </c>
      <c r="D5912" t="s">
        <v>2152</v>
      </c>
      <c r="E5912" t="s">
        <v>99</v>
      </c>
      <c r="F5912" t="s">
        <v>668</v>
      </c>
      <c r="G5912" t="s">
        <v>59</v>
      </c>
      <c r="H5912">
        <v>2024</v>
      </c>
    </row>
    <row r="5913" spans="1:8" x14ac:dyDescent="0.2">
      <c r="A5913">
        <v>26333</v>
      </c>
      <c r="B5913">
        <v>611548</v>
      </c>
      <c r="C5913" t="str">
        <f t="shared" si="92"/>
        <v>4. $250K-1M</v>
      </c>
      <c r="D5913" t="s">
        <v>2153</v>
      </c>
      <c r="E5913" t="s">
        <v>59</v>
      </c>
      <c r="F5913" t="s">
        <v>664</v>
      </c>
      <c r="G5913" t="s">
        <v>59</v>
      </c>
      <c r="H5913">
        <v>2023</v>
      </c>
    </row>
    <row r="5914" spans="1:8" x14ac:dyDescent="0.2">
      <c r="A5914">
        <v>263404</v>
      </c>
      <c r="B5914">
        <v>79502.2</v>
      </c>
      <c r="C5914" t="str">
        <f t="shared" si="92"/>
        <v>4. $250K-1M</v>
      </c>
      <c r="D5914" t="s">
        <v>2099</v>
      </c>
      <c r="E5914" t="s">
        <v>42</v>
      </c>
      <c r="F5914" t="s">
        <v>670</v>
      </c>
      <c r="G5914" t="s">
        <v>59</v>
      </c>
      <c r="H5914">
        <v>2024</v>
      </c>
    </row>
    <row r="5915" spans="1:8" x14ac:dyDescent="0.2">
      <c r="A5915">
        <v>263405</v>
      </c>
      <c r="B5915">
        <v>151777.20000000001</v>
      </c>
      <c r="C5915" t="str">
        <f t="shared" si="92"/>
        <v>3. $50K-250K</v>
      </c>
      <c r="D5915" t="s">
        <v>682</v>
      </c>
      <c r="E5915" t="s">
        <v>42</v>
      </c>
      <c r="F5915" t="s">
        <v>670</v>
      </c>
      <c r="G5915" t="s">
        <v>59</v>
      </c>
      <c r="H5915">
        <v>2024</v>
      </c>
    </row>
    <row r="5916" spans="1:8" x14ac:dyDescent="0.2">
      <c r="A5916">
        <v>263407</v>
      </c>
      <c r="B5916">
        <v>15733.2</v>
      </c>
      <c r="C5916" t="str">
        <f t="shared" si="92"/>
        <v>3. $50K-250K</v>
      </c>
      <c r="D5916" t="s">
        <v>684</v>
      </c>
      <c r="E5916" t="s">
        <v>42</v>
      </c>
      <c r="F5916" t="s">
        <v>670</v>
      </c>
      <c r="G5916" t="s">
        <v>59</v>
      </c>
      <c r="H5916">
        <v>2024</v>
      </c>
    </row>
    <row r="5917" spans="1:8" x14ac:dyDescent="0.2">
      <c r="A5917">
        <v>263408</v>
      </c>
      <c r="B5917">
        <v>3693646.2</v>
      </c>
      <c r="C5917" t="str">
        <f t="shared" si="92"/>
        <v>2. $10K-50K</v>
      </c>
      <c r="D5917" t="s">
        <v>669</v>
      </c>
      <c r="E5917" t="s">
        <v>42</v>
      </c>
      <c r="F5917" t="s">
        <v>670</v>
      </c>
      <c r="G5917" t="s">
        <v>59</v>
      </c>
      <c r="H5917">
        <v>2024</v>
      </c>
    </row>
    <row r="5918" spans="1:8" x14ac:dyDescent="0.2">
      <c r="A5918">
        <v>263409</v>
      </c>
      <c r="B5918">
        <v>150012</v>
      </c>
      <c r="C5918" t="str">
        <f t="shared" si="92"/>
        <v>5. $1M+</v>
      </c>
      <c r="D5918" t="s">
        <v>997</v>
      </c>
      <c r="E5918" t="s">
        <v>42</v>
      </c>
      <c r="F5918" t="s">
        <v>670</v>
      </c>
      <c r="G5918" t="s">
        <v>59</v>
      </c>
      <c r="H5918">
        <v>2024</v>
      </c>
    </row>
    <row r="5919" spans="1:8" x14ac:dyDescent="0.2">
      <c r="A5919">
        <v>263412</v>
      </c>
      <c r="B5919">
        <v>7647888.5999999996</v>
      </c>
      <c r="C5919" t="str">
        <f t="shared" si="92"/>
        <v>3. $50K-250K</v>
      </c>
      <c r="D5919" t="s">
        <v>130</v>
      </c>
      <c r="E5919" t="s">
        <v>141</v>
      </c>
      <c r="F5919" t="s">
        <v>22</v>
      </c>
      <c r="G5919" t="s">
        <v>10</v>
      </c>
      <c r="H5919">
        <v>2024</v>
      </c>
    </row>
    <row r="5920" spans="1:8" x14ac:dyDescent="0.2">
      <c r="A5920">
        <v>263422</v>
      </c>
      <c r="B5920">
        <v>85000</v>
      </c>
      <c r="C5920" t="str">
        <f t="shared" si="92"/>
        <v>5. $1M+</v>
      </c>
      <c r="D5920" t="s">
        <v>501</v>
      </c>
      <c r="E5920" t="s">
        <v>432</v>
      </c>
      <c r="F5920" t="s">
        <v>670</v>
      </c>
      <c r="G5920" t="s">
        <v>59</v>
      </c>
      <c r="H5920">
        <v>2024</v>
      </c>
    </row>
    <row r="5921" spans="1:8" x14ac:dyDescent="0.2">
      <c r="A5921">
        <v>263426</v>
      </c>
      <c r="B5921">
        <v>30000</v>
      </c>
      <c r="C5921" t="str">
        <f t="shared" si="92"/>
        <v>3. $50K-250K</v>
      </c>
      <c r="D5921" t="s">
        <v>1443</v>
      </c>
      <c r="E5921" t="s">
        <v>432</v>
      </c>
      <c r="F5921" t="s">
        <v>670</v>
      </c>
      <c r="G5921" t="s">
        <v>59</v>
      </c>
      <c r="H5921">
        <v>2024</v>
      </c>
    </row>
    <row r="5922" spans="1:8" x14ac:dyDescent="0.2">
      <c r="A5922">
        <v>263427</v>
      </c>
      <c r="B5922">
        <v>40000</v>
      </c>
      <c r="C5922" t="str">
        <f t="shared" si="92"/>
        <v>2. $10K-50K</v>
      </c>
      <c r="D5922" t="s">
        <v>1438</v>
      </c>
      <c r="E5922" t="s">
        <v>432</v>
      </c>
      <c r="F5922" t="s">
        <v>670</v>
      </c>
      <c r="G5922" t="s">
        <v>59</v>
      </c>
      <c r="H5922">
        <v>2024</v>
      </c>
    </row>
    <row r="5923" spans="1:8" x14ac:dyDescent="0.2">
      <c r="A5923">
        <v>263431</v>
      </c>
      <c r="B5923">
        <v>64227</v>
      </c>
      <c r="C5923" t="str">
        <f t="shared" si="92"/>
        <v>2. $10K-50K</v>
      </c>
      <c r="D5923" t="s">
        <v>1436</v>
      </c>
      <c r="E5923" t="s">
        <v>432</v>
      </c>
      <c r="F5923" t="s">
        <v>670</v>
      </c>
      <c r="G5923" t="s">
        <v>59</v>
      </c>
      <c r="H5923">
        <v>2024</v>
      </c>
    </row>
    <row r="5924" spans="1:8" x14ac:dyDescent="0.2">
      <c r="A5924">
        <v>263432</v>
      </c>
      <c r="B5924">
        <v>30000</v>
      </c>
      <c r="C5924" t="str">
        <f t="shared" si="92"/>
        <v>3. $50K-250K</v>
      </c>
      <c r="D5924" t="s">
        <v>1358</v>
      </c>
      <c r="E5924" t="s">
        <v>432</v>
      </c>
      <c r="F5924" t="s">
        <v>670</v>
      </c>
      <c r="G5924" t="s">
        <v>59</v>
      </c>
      <c r="H5924">
        <v>2024</v>
      </c>
    </row>
    <row r="5925" spans="1:8" x14ac:dyDescent="0.2">
      <c r="A5925">
        <v>263433</v>
      </c>
      <c r="B5925">
        <v>40000</v>
      </c>
      <c r="C5925" t="str">
        <f t="shared" si="92"/>
        <v>2. $10K-50K</v>
      </c>
      <c r="D5925" t="s">
        <v>1458</v>
      </c>
      <c r="E5925" t="s">
        <v>432</v>
      </c>
      <c r="F5925" t="s">
        <v>670</v>
      </c>
      <c r="G5925" t="s">
        <v>59</v>
      </c>
      <c r="H5925">
        <v>2024</v>
      </c>
    </row>
    <row r="5926" spans="1:8" x14ac:dyDescent="0.2">
      <c r="A5926">
        <v>263434</v>
      </c>
      <c r="B5926">
        <v>40000</v>
      </c>
      <c r="C5926" t="str">
        <f t="shared" si="92"/>
        <v>2. $10K-50K</v>
      </c>
      <c r="D5926" t="s">
        <v>1447</v>
      </c>
      <c r="E5926" t="s">
        <v>432</v>
      </c>
      <c r="F5926" t="s">
        <v>670</v>
      </c>
      <c r="G5926" t="s">
        <v>59</v>
      </c>
      <c r="H5926">
        <v>2024</v>
      </c>
    </row>
    <row r="5927" spans="1:8" x14ac:dyDescent="0.2">
      <c r="A5927">
        <v>263435</v>
      </c>
      <c r="B5927">
        <v>20000</v>
      </c>
      <c r="C5927" t="str">
        <f t="shared" si="92"/>
        <v>2. $10K-50K</v>
      </c>
      <c r="D5927" t="s">
        <v>942</v>
      </c>
      <c r="E5927" t="s">
        <v>432</v>
      </c>
      <c r="F5927" t="s">
        <v>670</v>
      </c>
      <c r="G5927" t="s">
        <v>59</v>
      </c>
      <c r="H5927">
        <v>2024</v>
      </c>
    </row>
    <row r="5928" spans="1:8" x14ac:dyDescent="0.2">
      <c r="A5928">
        <v>263437</v>
      </c>
      <c r="B5928">
        <v>55000</v>
      </c>
      <c r="C5928" t="str">
        <f t="shared" si="92"/>
        <v>2. $10K-50K</v>
      </c>
      <c r="D5928" t="s">
        <v>957</v>
      </c>
      <c r="E5928" t="s">
        <v>432</v>
      </c>
      <c r="F5928" t="s">
        <v>670</v>
      </c>
      <c r="G5928" t="s">
        <v>59</v>
      </c>
      <c r="H5928">
        <v>2024</v>
      </c>
    </row>
    <row r="5929" spans="1:8" x14ac:dyDescent="0.2">
      <c r="A5929">
        <v>263438</v>
      </c>
      <c r="B5929">
        <v>20000</v>
      </c>
      <c r="C5929" t="str">
        <f t="shared" si="92"/>
        <v>3. $50K-250K</v>
      </c>
      <c r="D5929" t="s">
        <v>501</v>
      </c>
      <c r="E5929" t="s">
        <v>432</v>
      </c>
      <c r="F5929" t="s">
        <v>670</v>
      </c>
      <c r="G5929" t="s">
        <v>59</v>
      </c>
      <c r="H5929">
        <v>2024</v>
      </c>
    </row>
    <row r="5930" spans="1:8" x14ac:dyDescent="0.2">
      <c r="A5930">
        <v>263439</v>
      </c>
      <c r="B5930">
        <v>20000</v>
      </c>
      <c r="C5930" t="str">
        <f t="shared" si="92"/>
        <v>2. $10K-50K</v>
      </c>
      <c r="D5930" t="s">
        <v>991</v>
      </c>
      <c r="E5930" t="s">
        <v>432</v>
      </c>
      <c r="F5930" t="s">
        <v>670</v>
      </c>
      <c r="G5930" t="s">
        <v>59</v>
      </c>
      <c r="H5930">
        <v>2024</v>
      </c>
    </row>
    <row r="5931" spans="1:8" x14ac:dyDescent="0.2">
      <c r="A5931">
        <v>263440</v>
      </c>
      <c r="B5931">
        <v>20000</v>
      </c>
      <c r="C5931" t="str">
        <f t="shared" si="92"/>
        <v>2. $10K-50K</v>
      </c>
      <c r="D5931" t="s">
        <v>1445</v>
      </c>
      <c r="E5931" t="s">
        <v>432</v>
      </c>
      <c r="F5931" t="s">
        <v>670</v>
      </c>
      <c r="G5931" t="s">
        <v>59</v>
      </c>
      <c r="H5931">
        <v>2024</v>
      </c>
    </row>
    <row r="5932" spans="1:8" x14ac:dyDescent="0.2">
      <c r="A5932">
        <v>263463</v>
      </c>
      <c r="B5932">
        <v>132027.4</v>
      </c>
      <c r="C5932" t="str">
        <f t="shared" si="92"/>
        <v>2. $10K-50K</v>
      </c>
      <c r="D5932" t="s">
        <v>859</v>
      </c>
      <c r="E5932" t="s">
        <v>237</v>
      </c>
      <c r="F5932" t="s">
        <v>670</v>
      </c>
      <c r="G5932" t="s">
        <v>59</v>
      </c>
      <c r="H5932">
        <v>2024</v>
      </c>
    </row>
    <row r="5933" spans="1:8" x14ac:dyDescent="0.2">
      <c r="A5933">
        <v>263464</v>
      </c>
      <c r="B5933">
        <v>136856</v>
      </c>
      <c r="C5933" t="str">
        <f t="shared" si="92"/>
        <v>3. $50K-250K</v>
      </c>
      <c r="D5933" t="s">
        <v>877</v>
      </c>
      <c r="E5933" t="s">
        <v>237</v>
      </c>
      <c r="F5933" t="s">
        <v>670</v>
      </c>
      <c r="G5933" t="s">
        <v>59</v>
      </c>
      <c r="H5933">
        <v>2024</v>
      </c>
    </row>
    <row r="5934" spans="1:8" x14ac:dyDescent="0.2">
      <c r="A5934">
        <v>263466</v>
      </c>
      <c r="B5934">
        <v>206231</v>
      </c>
      <c r="C5934" t="str">
        <f t="shared" si="92"/>
        <v>3. $50K-250K</v>
      </c>
      <c r="D5934" t="s">
        <v>859</v>
      </c>
      <c r="E5934" t="s">
        <v>237</v>
      </c>
      <c r="F5934" t="s">
        <v>670</v>
      </c>
      <c r="G5934" t="s">
        <v>59</v>
      </c>
      <c r="H5934">
        <v>2024</v>
      </c>
    </row>
    <row r="5935" spans="1:8" x14ac:dyDescent="0.2">
      <c r="A5935">
        <v>263471</v>
      </c>
      <c r="B5935">
        <v>262500</v>
      </c>
      <c r="C5935" t="str">
        <f t="shared" si="92"/>
        <v>3. $50K-250K</v>
      </c>
      <c r="D5935" t="s">
        <v>859</v>
      </c>
      <c r="E5935" t="s">
        <v>237</v>
      </c>
      <c r="F5935" t="s">
        <v>670</v>
      </c>
      <c r="G5935" t="s">
        <v>59</v>
      </c>
      <c r="H5935">
        <v>2024</v>
      </c>
    </row>
    <row r="5936" spans="1:8" x14ac:dyDescent="0.2">
      <c r="A5936">
        <v>263497</v>
      </c>
      <c r="B5936">
        <v>1885241.5999999901</v>
      </c>
      <c r="C5936" t="str">
        <f t="shared" si="92"/>
        <v>4. $250K-1M</v>
      </c>
      <c r="D5936" t="s">
        <v>2154</v>
      </c>
      <c r="E5936" t="s">
        <v>59</v>
      </c>
      <c r="F5936" t="s">
        <v>664</v>
      </c>
      <c r="G5936" t="s">
        <v>59</v>
      </c>
      <c r="H5936">
        <v>2024</v>
      </c>
    </row>
    <row r="5937" spans="1:8" x14ac:dyDescent="0.2">
      <c r="A5937">
        <v>263498</v>
      </c>
      <c r="B5937">
        <v>4953333.3</v>
      </c>
      <c r="C5937" t="str">
        <f t="shared" si="92"/>
        <v>5. $1M+</v>
      </c>
      <c r="D5937" t="s">
        <v>104</v>
      </c>
      <c r="E5937" t="s">
        <v>8</v>
      </c>
      <c r="F5937" t="s">
        <v>9</v>
      </c>
      <c r="G5937" t="s">
        <v>10</v>
      </c>
      <c r="H5937">
        <v>2024</v>
      </c>
    </row>
    <row r="5938" spans="1:8" x14ac:dyDescent="0.2">
      <c r="A5938">
        <v>263523</v>
      </c>
      <c r="B5938">
        <v>2700250</v>
      </c>
      <c r="C5938" t="str">
        <f t="shared" si="92"/>
        <v>5. $1M+</v>
      </c>
      <c r="D5938" t="s">
        <v>711</v>
      </c>
      <c r="E5938" t="s">
        <v>237</v>
      </c>
      <c r="F5938" t="s">
        <v>670</v>
      </c>
      <c r="G5938" t="s">
        <v>59</v>
      </c>
      <c r="H5938">
        <v>2024</v>
      </c>
    </row>
    <row r="5939" spans="1:8" x14ac:dyDescent="0.2">
      <c r="A5939">
        <v>263640</v>
      </c>
      <c r="B5939">
        <v>12467000</v>
      </c>
      <c r="C5939" t="str">
        <f t="shared" si="92"/>
        <v>5. $1M+</v>
      </c>
      <c r="D5939" t="s">
        <v>2155</v>
      </c>
      <c r="E5939" t="s">
        <v>237</v>
      </c>
      <c r="F5939" t="s">
        <v>670</v>
      </c>
      <c r="G5939" t="s">
        <v>59</v>
      </c>
      <c r="H5939">
        <v>2024</v>
      </c>
    </row>
    <row r="5940" spans="1:8" x14ac:dyDescent="0.2">
      <c r="A5940">
        <v>263641</v>
      </c>
      <c r="B5940">
        <v>62335000</v>
      </c>
      <c r="C5940" t="str">
        <f t="shared" si="92"/>
        <v>5. $1M+</v>
      </c>
      <c r="D5940" t="s">
        <v>1601</v>
      </c>
      <c r="E5940" t="s">
        <v>237</v>
      </c>
      <c r="F5940" t="s">
        <v>670</v>
      </c>
      <c r="G5940" t="s">
        <v>59</v>
      </c>
      <c r="H5940">
        <v>2024</v>
      </c>
    </row>
    <row r="5941" spans="1:8" x14ac:dyDescent="0.2">
      <c r="A5941">
        <v>26376</v>
      </c>
      <c r="B5941">
        <v>9834892</v>
      </c>
      <c r="C5941" t="str">
        <f t="shared" si="92"/>
        <v>5. $1M+</v>
      </c>
      <c r="D5941" t="s">
        <v>202</v>
      </c>
      <c r="E5941" t="s">
        <v>8</v>
      </c>
      <c r="F5941" t="s">
        <v>14</v>
      </c>
      <c r="G5941" t="s">
        <v>61</v>
      </c>
      <c r="H5941">
        <v>2025</v>
      </c>
    </row>
    <row r="5942" spans="1:8" x14ac:dyDescent="0.2">
      <c r="A5942">
        <v>263824</v>
      </c>
      <c r="B5942">
        <v>80060565</v>
      </c>
      <c r="C5942" t="str">
        <f t="shared" si="92"/>
        <v>5. $1M+</v>
      </c>
      <c r="D5942" t="s">
        <v>7</v>
      </c>
      <c r="E5942" t="s">
        <v>28</v>
      </c>
      <c r="F5942" t="s">
        <v>85</v>
      </c>
      <c r="G5942" t="s">
        <v>10</v>
      </c>
      <c r="H5942">
        <v>2024</v>
      </c>
    </row>
    <row r="5943" spans="1:8" x14ac:dyDescent="0.2">
      <c r="A5943">
        <v>263836</v>
      </c>
      <c r="B5943">
        <v>167708</v>
      </c>
      <c r="C5943" t="str">
        <f t="shared" si="92"/>
        <v>5. $1M+</v>
      </c>
      <c r="D5943" t="s">
        <v>1449</v>
      </c>
      <c r="E5943" t="s">
        <v>99</v>
      </c>
      <c r="F5943" t="s">
        <v>668</v>
      </c>
      <c r="G5943" t="s">
        <v>59</v>
      </c>
      <c r="H5943">
        <v>2024</v>
      </c>
    </row>
    <row r="5944" spans="1:8" x14ac:dyDescent="0.2">
      <c r="A5944">
        <v>263926</v>
      </c>
      <c r="B5944">
        <v>72770</v>
      </c>
      <c r="C5944" t="str">
        <f t="shared" si="92"/>
        <v>3. $50K-250K</v>
      </c>
      <c r="D5944" t="s">
        <v>1611</v>
      </c>
      <c r="E5944" t="s">
        <v>825</v>
      </c>
      <c r="F5944" t="s">
        <v>670</v>
      </c>
      <c r="G5944" t="s">
        <v>59</v>
      </c>
      <c r="H5944">
        <v>2024</v>
      </c>
    </row>
    <row r="5945" spans="1:8" x14ac:dyDescent="0.2">
      <c r="A5945">
        <v>263939</v>
      </c>
      <c r="B5945">
        <v>300000</v>
      </c>
      <c r="C5945" t="str">
        <f t="shared" si="92"/>
        <v>3. $50K-250K</v>
      </c>
      <c r="D5945" t="s">
        <v>855</v>
      </c>
      <c r="E5945" t="s">
        <v>237</v>
      </c>
      <c r="F5945" t="s">
        <v>670</v>
      </c>
      <c r="G5945" t="s">
        <v>59</v>
      </c>
      <c r="H5945">
        <v>2024</v>
      </c>
    </row>
    <row r="5946" spans="1:8" x14ac:dyDescent="0.2">
      <c r="A5946">
        <v>263940</v>
      </c>
      <c r="B5946">
        <v>352500</v>
      </c>
      <c r="C5946" t="str">
        <f t="shared" si="92"/>
        <v>4. $250K-1M</v>
      </c>
      <c r="D5946" t="s">
        <v>851</v>
      </c>
      <c r="E5946" t="s">
        <v>237</v>
      </c>
      <c r="F5946" t="s">
        <v>670</v>
      </c>
      <c r="G5946" t="s">
        <v>59</v>
      </c>
      <c r="H5946">
        <v>2024</v>
      </c>
    </row>
    <row r="5947" spans="1:8" x14ac:dyDescent="0.2">
      <c r="A5947">
        <v>263945</v>
      </c>
      <c r="B5947">
        <v>129911</v>
      </c>
      <c r="C5947" t="str">
        <f t="shared" si="92"/>
        <v>4. $250K-1M</v>
      </c>
      <c r="D5947" t="s">
        <v>944</v>
      </c>
      <c r="E5947" t="s">
        <v>99</v>
      </c>
      <c r="F5947" t="s">
        <v>670</v>
      </c>
      <c r="G5947" t="s">
        <v>59</v>
      </c>
      <c r="H5947">
        <v>2024</v>
      </c>
    </row>
    <row r="5948" spans="1:8" x14ac:dyDescent="0.2">
      <c r="A5948">
        <v>264010</v>
      </c>
      <c r="B5948">
        <v>1856016.7</v>
      </c>
      <c r="C5948" t="str">
        <f t="shared" si="92"/>
        <v>3. $50K-250K</v>
      </c>
      <c r="D5948" t="s">
        <v>410</v>
      </c>
      <c r="E5948" t="s">
        <v>411</v>
      </c>
      <c r="F5948" t="s">
        <v>43</v>
      </c>
      <c r="G5948" t="s">
        <v>15</v>
      </c>
      <c r="H5948">
        <v>2024</v>
      </c>
    </row>
    <row r="5949" spans="1:8" x14ac:dyDescent="0.2">
      <c r="A5949">
        <v>264052</v>
      </c>
      <c r="B5949">
        <v>190530.9</v>
      </c>
      <c r="C5949" t="str">
        <f t="shared" si="92"/>
        <v>5. $1M+</v>
      </c>
      <c r="D5949" t="s">
        <v>711</v>
      </c>
      <c r="E5949" t="s">
        <v>237</v>
      </c>
      <c r="F5949" t="s">
        <v>670</v>
      </c>
      <c r="G5949" t="s">
        <v>59</v>
      </c>
      <c r="H5949">
        <v>2024</v>
      </c>
    </row>
    <row r="5950" spans="1:8" x14ac:dyDescent="0.2">
      <c r="A5950">
        <v>264066</v>
      </c>
      <c r="B5950">
        <v>61824</v>
      </c>
      <c r="C5950" t="str">
        <f t="shared" si="92"/>
        <v>3. $50K-250K</v>
      </c>
      <c r="D5950" t="s">
        <v>694</v>
      </c>
      <c r="E5950" t="s">
        <v>237</v>
      </c>
      <c r="F5950" t="s">
        <v>670</v>
      </c>
      <c r="G5950" t="s">
        <v>59</v>
      </c>
      <c r="H5950">
        <v>2024</v>
      </c>
    </row>
    <row r="5951" spans="1:8" x14ac:dyDescent="0.2">
      <c r="A5951">
        <v>264067</v>
      </c>
      <c r="B5951">
        <v>61824</v>
      </c>
      <c r="C5951" t="str">
        <f t="shared" si="92"/>
        <v>3. $50K-250K</v>
      </c>
      <c r="D5951" t="s">
        <v>985</v>
      </c>
      <c r="E5951" t="s">
        <v>237</v>
      </c>
      <c r="F5951" t="s">
        <v>670</v>
      </c>
      <c r="G5951" t="s">
        <v>59</v>
      </c>
      <c r="H5951">
        <v>2024</v>
      </c>
    </row>
    <row r="5952" spans="1:8" x14ac:dyDescent="0.2">
      <c r="A5952">
        <v>264068</v>
      </c>
      <c r="B5952">
        <v>30912</v>
      </c>
      <c r="C5952" t="str">
        <f t="shared" si="92"/>
        <v>3. $50K-250K</v>
      </c>
      <c r="D5952" t="s">
        <v>1176</v>
      </c>
      <c r="E5952" t="s">
        <v>237</v>
      </c>
      <c r="F5952" t="s">
        <v>670</v>
      </c>
      <c r="G5952" t="s">
        <v>59</v>
      </c>
      <c r="H5952">
        <v>2024</v>
      </c>
    </row>
    <row r="5953" spans="1:8" x14ac:dyDescent="0.2">
      <c r="A5953">
        <v>264069</v>
      </c>
      <c r="B5953">
        <v>3276672</v>
      </c>
      <c r="C5953" t="str">
        <f t="shared" si="92"/>
        <v>2. $10K-50K</v>
      </c>
      <c r="D5953" t="s">
        <v>1094</v>
      </c>
      <c r="E5953" t="s">
        <v>237</v>
      </c>
      <c r="F5953" t="s">
        <v>670</v>
      </c>
      <c r="G5953" t="s">
        <v>59</v>
      </c>
      <c r="H5953">
        <v>2024</v>
      </c>
    </row>
    <row r="5954" spans="1:8" x14ac:dyDescent="0.2">
      <c r="A5954">
        <v>264070</v>
      </c>
      <c r="B5954">
        <v>30912</v>
      </c>
      <c r="C5954" t="str">
        <f t="shared" si="92"/>
        <v>5. $1M+</v>
      </c>
      <c r="D5954" t="s">
        <v>942</v>
      </c>
      <c r="E5954" t="s">
        <v>237</v>
      </c>
      <c r="F5954" t="s">
        <v>670</v>
      </c>
      <c r="G5954" t="s">
        <v>59</v>
      </c>
      <c r="H5954">
        <v>2024</v>
      </c>
    </row>
    <row r="5955" spans="1:8" x14ac:dyDescent="0.2">
      <c r="A5955">
        <v>264072</v>
      </c>
      <c r="B5955">
        <v>30912</v>
      </c>
      <c r="C5955" t="str">
        <f t="shared" ref="C5955:C6018" si="93">IF(B5954&lt;10000,"1. Under $10K",IF(B5954&lt;50000,"2. $10K-50K",IF(B5954&lt;250000,"3. $50K-250K",IF(B5954&lt;1000000,"4. $250K-1M","5. $1M+"))))</f>
        <v>2. $10K-50K</v>
      </c>
      <c r="D5955" t="s">
        <v>954</v>
      </c>
      <c r="E5955" t="s">
        <v>237</v>
      </c>
      <c r="F5955" t="s">
        <v>670</v>
      </c>
      <c r="G5955" t="s">
        <v>59</v>
      </c>
      <c r="H5955">
        <v>2024</v>
      </c>
    </row>
    <row r="5956" spans="1:8" x14ac:dyDescent="0.2">
      <c r="A5956">
        <v>264074</v>
      </c>
      <c r="B5956">
        <v>30912</v>
      </c>
      <c r="C5956" t="str">
        <f t="shared" si="93"/>
        <v>2. $10K-50K</v>
      </c>
      <c r="D5956" t="s">
        <v>1099</v>
      </c>
      <c r="E5956" t="s">
        <v>237</v>
      </c>
      <c r="F5956" t="s">
        <v>670</v>
      </c>
      <c r="G5956" t="s">
        <v>59</v>
      </c>
      <c r="H5956">
        <v>2024</v>
      </c>
    </row>
    <row r="5957" spans="1:8" x14ac:dyDescent="0.2">
      <c r="A5957">
        <v>264075</v>
      </c>
      <c r="B5957">
        <v>30912</v>
      </c>
      <c r="C5957" t="str">
        <f t="shared" si="93"/>
        <v>2. $10K-50K</v>
      </c>
      <c r="D5957" t="s">
        <v>1535</v>
      </c>
      <c r="E5957" t="s">
        <v>237</v>
      </c>
      <c r="F5957" t="s">
        <v>670</v>
      </c>
      <c r="G5957" t="s">
        <v>59</v>
      </c>
      <c r="H5957">
        <v>2024</v>
      </c>
    </row>
    <row r="5958" spans="1:8" x14ac:dyDescent="0.2">
      <c r="A5958">
        <v>264077</v>
      </c>
      <c r="B5958">
        <v>30912</v>
      </c>
      <c r="C5958" t="str">
        <f t="shared" si="93"/>
        <v>2. $10K-50K</v>
      </c>
      <c r="D5958" t="s">
        <v>1032</v>
      </c>
      <c r="E5958" t="s">
        <v>237</v>
      </c>
      <c r="F5958" t="s">
        <v>670</v>
      </c>
      <c r="G5958" t="s">
        <v>59</v>
      </c>
      <c r="H5958">
        <v>2024</v>
      </c>
    </row>
    <row r="5959" spans="1:8" x14ac:dyDescent="0.2">
      <c r="A5959">
        <v>264078</v>
      </c>
      <c r="B5959">
        <v>123648</v>
      </c>
      <c r="C5959" t="str">
        <f t="shared" si="93"/>
        <v>2. $10K-50K</v>
      </c>
      <c r="D5959" t="s">
        <v>713</v>
      </c>
      <c r="E5959" t="s">
        <v>237</v>
      </c>
      <c r="F5959" t="s">
        <v>670</v>
      </c>
      <c r="G5959" t="s">
        <v>59</v>
      </c>
      <c r="H5959">
        <v>2024</v>
      </c>
    </row>
    <row r="5960" spans="1:8" x14ac:dyDescent="0.2">
      <c r="A5960">
        <v>264104</v>
      </c>
      <c r="B5960">
        <v>1089000</v>
      </c>
      <c r="C5960" t="str">
        <f t="shared" si="93"/>
        <v>3. $50K-250K</v>
      </c>
      <c r="D5960" t="s">
        <v>1011</v>
      </c>
      <c r="E5960" t="s">
        <v>52</v>
      </c>
      <c r="F5960" t="s">
        <v>670</v>
      </c>
      <c r="G5960" t="s">
        <v>59</v>
      </c>
      <c r="H5960">
        <v>2024</v>
      </c>
    </row>
    <row r="5961" spans="1:8" x14ac:dyDescent="0.2">
      <c r="A5961">
        <v>264113</v>
      </c>
      <c r="B5961">
        <v>10332630</v>
      </c>
      <c r="C5961" t="str">
        <f t="shared" si="93"/>
        <v>5. $1M+</v>
      </c>
      <c r="D5961" t="s">
        <v>412</v>
      </c>
      <c r="E5961" t="s">
        <v>28</v>
      </c>
      <c r="F5961" t="s">
        <v>31</v>
      </c>
      <c r="G5961" t="s">
        <v>10</v>
      </c>
      <c r="H5961">
        <v>2024</v>
      </c>
    </row>
    <row r="5962" spans="1:8" x14ac:dyDescent="0.2">
      <c r="A5962">
        <v>264129</v>
      </c>
      <c r="B5962">
        <v>12565098.8999999</v>
      </c>
      <c r="C5962" t="str">
        <f t="shared" si="93"/>
        <v>5. $1M+</v>
      </c>
      <c r="D5962" t="s">
        <v>255</v>
      </c>
      <c r="E5962" t="s">
        <v>67</v>
      </c>
      <c r="F5962" t="s">
        <v>43</v>
      </c>
      <c r="G5962" t="s">
        <v>59</v>
      </c>
      <c r="H5962">
        <v>2024</v>
      </c>
    </row>
    <row r="5963" spans="1:8" x14ac:dyDescent="0.2">
      <c r="A5963">
        <v>264289</v>
      </c>
      <c r="B5963">
        <v>84965</v>
      </c>
      <c r="C5963" t="str">
        <f t="shared" si="93"/>
        <v>5. $1M+</v>
      </c>
      <c r="D5963" t="s">
        <v>940</v>
      </c>
      <c r="E5963" t="s">
        <v>99</v>
      </c>
      <c r="F5963" t="s">
        <v>670</v>
      </c>
      <c r="G5963" t="s">
        <v>59</v>
      </c>
      <c r="H5963">
        <v>2024</v>
      </c>
    </row>
    <row r="5964" spans="1:8" x14ac:dyDescent="0.2">
      <c r="A5964">
        <v>264291</v>
      </c>
      <c r="B5964">
        <v>72770</v>
      </c>
      <c r="C5964" t="str">
        <f t="shared" si="93"/>
        <v>3. $50K-250K</v>
      </c>
      <c r="D5964" t="s">
        <v>1840</v>
      </c>
      <c r="E5964" t="s">
        <v>825</v>
      </c>
      <c r="F5964" t="s">
        <v>670</v>
      </c>
      <c r="G5964" t="s">
        <v>59</v>
      </c>
      <c r="H5964">
        <v>2024</v>
      </c>
    </row>
    <row r="5965" spans="1:8" x14ac:dyDescent="0.2">
      <c r="A5965">
        <v>264292</v>
      </c>
      <c r="B5965">
        <v>121880</v>
      </c>
      <c r="C5965" t="str">
        <f t="shared" si="93"/>
        <v>3. $50K-250K</v>
      </c>
      <c r="D5965" t="s">
        <v>817</v>
      </c>
      <c r="E5965" t="s">
        <v>99</v>
      </c>
      <c r="F5965" t="s">
        <v>670</v>
      </c>
      <c r="G5965" t="s">
        <v>59</v>
      </c>
      <c r="H5965">
        <v>2024</v>
      </c>
    </row>
    <row r="5966" spans="1:8" x14ac:dyDescent="0.2">
      <c r="A5966">
        <v>264294</v>
      </c>
      <c r="B5966">
        <v>213210</v>
      </c>
      <c r="C5966" t="str">
        <f t="shared" si="93"/>
        <v>3. $50K-250K</v>
      </c>
      <c r="D5966" t="s">
        <v>821</v>
      </c>
      <c r="E5966" t="s">
        <v>237</v>
      </c>
      <c r="F5966" t="s">
        <v>670</v>
      </c>
      <c r="G5966" t="s">
        <v>59</v>
      </c>
      <c r="H5966">
        <v>2024</v>
      </c>
    </row>
    <row r="5967" spans="1:8" x14ac:dyDescent="0.2">
      <c r="A5967">
        <v>264295</v>
      </c>
      <c r="B5967">
        <v>319815</v>
      </c>
      <c r="C5967" t="str">
        <f t="shared" si="93"/>
        <v>3. $50K-250K</v>
      </c>
      <c r="D5967" t="s">
        <v>717</v>
      </c>
      <c r="E5967" t="s">
        <v>237</v>
      </c>
      <c r="F5967" t="s">
        <v>670</v>
      </c>
      <c r="G5967" t="s">
        <v>59</v>
      </c>
      <c r="H5967">
        <v>2024</v>
      </c>
    </row>
    <row r="5968" spans="1:8" x14ac:dyDescent="0.2">
      <c r="A5968">
        <v>264296</v>
      </c>
      <c r="B5968">
        <v>213210</v>
      </c>
      <c r="C5968" t="str">
        <f t="shared" si="93"/>
        <v>4. $250K-1M</v>
      </c>
      <c r="D5968" t="s">
        <v>1068</v>
      </c>
      <c r="E5968" t="s">
        <v>237</v>
      </c>
      <c r="F5968" t="s">
        <v>670</v>
      </c>
      <c r="G5968" t="s">
        <v>59</v>
      </c>
      <c r="H5968">
        <v>2024</v>
      </c>
    </row>
    <row r="5969" spans="1:8" x14ac:dyDescent="0.2">
      <c r="A5969">
        <v>264297</v>
      </c>
      <c r="B5969">
        <v>426410</v>
      </c>
      <c r="C5969" t="str">
        <f t="shared" si="93"/>
        <v>3. $50K-250K</v>
      </c>
      <c r="D5969" t="s">
        <v>1335</v>
      </c>
      <c r="E5969" t="s">
        <v>237</v>
      </c>
      <c r="F5969" t="s">
        <v>670</v>
      </c>
      <c r="G5969" t="s">
        <v>59</v>
      </c>
      <c r="H5969">
        <v>2024</v>
      </c>
    </row>
    <row r="5970" spans="1:8" x14ac:dyDescent="0.2">
      <c r="A5970">
        <v>264298</v>
      </c>
      <c r="B5970">
        <v>213210</v>
      </c>
      <c r="C5970" t="str">
        <f t="shared" si="93"/>
        <v>4. $250K-1M</v>
      </c>
      <c r="D5970" t="s">
        <v>1032</v>
      </c>
      <c r="E5970" t="s">
        <v>237</v>
      </c>
      <c r="F5970" t="s">
        <v>670</v>
      </c>
      <c r="G5970" t="s">
        <v>59</v>
      </c>
      <c r="H5970">
        <v>2024</v>
      </c>
    </row>
    <row r="5971" spans="1:8" x14ac:dyDescent="0.2">
      <c r="A5971">
        <v>264299</v>
      </c>
      <c r="B5971">
        <v>213210</v>
      </c>
      <c r="C5971" t="str">
        <f t="shared" si="93"/>
        <v>3. $50K-250K</v>
      </c>
      <c r="D5971" t="s">
        <v>1076</v>
      </c>
      <c r="E5971" t="s">
        <v>237</v>
      </c>
      <c r="F5971" t="s">
        <v>670</v>
      </c>
      <c r="G5971" t="s">
        <v>59</v>
      </c>
      <c r="H5971">
        <v>2024</v>
      </c>
    </row>
    <row r="5972" spans="1:8" x14ac:dyDescent="0.2">
      <c r="A5972">
        <v>264300</v>
      </c>
      <c r="B5972">
        <v>852840</v>
      </c>
      <c r="C5972" t="str">
        <f t="shared" si="93"/>
        <v>3. $50K-250K</v>
      </c>
      <c r="D5972" t="s">
        <v>803</v>
      </c>
      <c r="E5972" t="s">
        <v>237</v>
      </c>
      <c r="F5972" t="s">
        <v>670</v>
      </c>
      <c r="G5972" t="s">
        <v>59</v>
      </c>
      <c r="H5972">
        <v>2024</v>
      </c>
    </row>
    <row r="5973" spans="1:8" x14ac:dyDescent="0.2">
      <c r="A5973">
        <v>264301</v>
      </c>
      <c r="B5973">
        <v>213210</v>
      </c>
      <c r="C5973" t="str">
        <f t="shared" si="93"/>
        <v>4. $250K-1M</v>
      </c>
      <c r="D5973" t="s">
        <v>1605</v>
      </c>
      <c r="E5973" t="s">
        <v>237</v>
      </c>
      <c r="F5973" t="s">
        <v>670</v>
      </c>
      <c r="G5973" t="s">
        <v>59</v>
      </c>
      <c r="H5973">
        <v>2024</v>
      </c>
    </row>
    <row r="5974" spans="1:8" x14ac:dyDescent="0.2">
      <c r="A5974">
        <v>264302</v>
      </c>
      <c r="B5974">
        <v>1066050</v>
      </c>
      <c r="C5974" t="str">
        <f t="shared" si="93"/>
        <v>3. $50K-250K</v>
      </c>
      <c r="D5974" t="s">
        <v>781</v>
      </c>
      <c r="E5974" t="s">
        <v>237</v>
      </c>
      <c r="F5974" t="s">
        <v>670</v>
      </c>
      <c r="G5974" t="s">
        <v>59</v>
      </c>
      <c r="H5974">
        <v>2024</v>
      </c>
    </row>
    <row r="5975" spans="1:8" x14ac:dyDescent="0.2">
      <c r="A5975">
        <v>264304</v>
      </c>
      <c r="B5975">
        <v>852840</v>
      </c>
      <c r="C5975" t="str">
        <f t="shared" si="93"/>
        <v>5. $1M+</v>
      </c>
      <c r="D5975" t="s">
        <v>1478</v>
      </c>
      <c r="E5975" t="s">
        <v>237</v>
      </c>
      <c r="F5975" t="s">
        <v>670</v>
      </c>
      <c r="G5975" t="s">
        <v>59</v>
      </c>
      <c r="H5975">
        <v>2024</v>
      </c>
    </row>
    <row r="5976" spans="1:8" x14ac:dyDescent="0.2">
      <c r="A5976">
        <v>264305</v>
      </c>
      <c r="B5976">
        <v>15564330</v>
      </c>
      <c r="C5976" t="str">
        <f t="shared" si="93"/>
        <v>4. $250K-1M</v>
      </c>
      <c r="D5976" t="s">
        <v>1094</v>
      </c>
      <c r="E5976" t="s">
        <v>237</v>
      </c>
      <c r="F5976" t="s">
        <v>670</v>
      </c>
      <c r="G5976" t="s">
        <v>59</v>
      </c>
      <c r="H5976">
        <v>2024</v>
      </c>
    </row>
    <row r="5977" spans="1:8" x14ac:dyDescent="0.2">
      <c r="A5977">
        <v>264306</v>
      </c>
      <c r="B5977">
        <v>695118</v>
      </c>
      <c r="C5977" t="str">
        <f t="shared" si="93"/>
        <v>5. $1M+</v>
      </c>
      <c r="D5977" t="s">
        <v>933</v>
      </c>
      <c r="E5977" t="s">
        <v>237</v>
      </c>
      <c r="F5977" t="s">
        <v>670</v>
      </c>
      <c r="G5977" t="s">
        <v>59</v>
      </c>
      <c r="H5977">
        <v>2024</v>
      </c>
    </row>
    <row r="5978" spans="1:8" x14ac:dyDescent="0.2">
      <c r="A5978">
        <v>264307</v>
      </c>
      <c r="B5978">
        <v>852840</v>
      </c>
      <c r="C5978" t="str">
        <f t="shared" si="93"/>
        <v>4. $250K-1M</v>
      </c>
      <c r="D5978" t="s">
        <v>925</v>
      </c>
      <c r="E5978" t="s">
        <v>237</v>
      </c>
      <c r="F5978" t="s">
        <v>670</v>
      </c>
      <c r="G5978" t="s">
        <v>59</v>
      </c>
      <c r="H5978">
        <v>2024</v>
      </c>
    </row>
    <row r="5979" spans="1:8" x14ac:dyDescent="0.2">
      <c r="A5979">
        <v>264310</v>
      </c>
      <c r="B5979">
        <v>1066050</v>
      </c>
      <c r="C5979" t="str">
        <f t="shared" si="93"/>
        <v>4. $250K-1M</v>
      </c>
      <c r="D5979" t="s">
        <v>980</v>
      </c>
      <c r="E5979" t="s">
        <v>237</v>
      </c>
      <c r="F5979" t="s">
        <v>670</v>
      </c>
      <c r="G5979" t="s">
        <v>59</v>
      </c>
      <c r="H5979">
        <v>2024</v>
      </c>
    </row>
    <row r="5980" spans="1:8" x14ac:dyDescent="0.2">
      <c r="A5980">
        <v>264311</v>
      </c>
      <c r="B5980">
        <v>852840</v>
      </c>
      <c r="C5980" t="str">
        <f t="shared" si="93"/>
        <v>5. $1M+</v>
      </c>
      <c r="D5980" t="s">
        <v>984</v>
      </c>
      <c r="E5980" t="s">
        <v>237</v>
      </c>
      <c r="F5980" t="s">
        <v>670</v>
      </c>
      <c r="G5980" t="s">
        <v>59</v>
      </c>
      <c r="H5980">
        <v>2024</v>
      </c>
    </row>
    <row r="5981" spans="1:8" x14ac:dyDescent="0.2">
      <c r="A5981">
        <v>264312</v>
      </c>
      <c r="B5981">
        <v>213210</v>
      </c>
      <c r="C5981" t="str">
        <f t="shared" si="93"/>
        <v>4. $250K-1M</v>
      </c>
      <c r="D5981" t="s">
        <v>724</v>
      </c>
      <c r="E5981" t="s">
        <v>237</v>
      </c>
      <c r="F5981" t="s">
        <v>670</v>
      </c>
      <c r="G5981" t="s">
        <v>59</v>
      </c>
      <c r="H5981">
        <v>2024</v>
      </c>
    </row>
    <row r="5982" spans="1:8" x14ac:dyDescent="0.2">
      <c r="A5982">
        <v>264313</v>
      </c>
      <c r="B5982">
        <v>213210</v>
      </c>
      <c r="C5982" t="str">
        <f t="shared" si="93"/>
        <v>3. $50K-250K</v>
      </c>
      <c r="D5982" t="s">
        <v>951</v>
      </c>
      <c r="E5982" t="s">
        <v>237</v>
      </c>
      <c r="F5982" t="s">
        <v>670</v>
      </c>
      <c r="G5982" t="s">
        <v>59</v>
      </c>
      <c r="H5982">
        <v>2024</v>
      </c>
    </row>
    <row r="5983" spans="1:8" x14ac:dyDescent="0.2">
      <c r="A5983">
        <v>264315</v>
      </c>
      <c r="B5983">
        <v>426420</v>
      </c>
      <c r="C5983" t="str">
        <f t="shared" si="93"/>
        <v>3. $50K-250K</v>
      </c>
      <c r="D5983" t="s">
        <v>985</v>
      </c>
      <c r="E5983" t="s">
        <v>237</v>
      </c>
      <c r="F5983" t="s">
        <v>670</v>
      </c>
      <c r="G5983" t="s">
        <v>59</v>
      </c>
      <c r="H5983">
        <v>2024</v>
      </c>
    </row>
    <row r="5984" spans="1:8" x14ac:dyDescent="0.2">
      <c r="A5984">
        <v>264316</v>
      </c>
      <c r="B5984">
        <v>150000</v>
      </c>
      <c r="C5984" t="str">
        <f t="shared" si="93"/>
        <v>4. $250K-1M</v>
      </c>
      <c r="D5984" t="s">
        <v>413</v>
      </c>
      <c r="E5984" t="s">
        <v>28</v>
      </c>
      <c r="F5984" t="s">
        <v>31</v>
      </c>
      <c r="G5984" t="s">
        <v>101</v>
      </c>
      <c r="H5984">
        <v>2024</v>
      </c>
    </row>
    <row r="5985" spans="1:8" x14ac:dyDescent="0.2">
      <c r="A5985">
        <v>264317</v>
      </c>
      <c r="B5985">
        <v>852840</v>
      </c>
      <c r="C5985" t="str">
        <f t="shared" si="93"/>
        <v>3. $50K-250K</v>
      </c>
      <c r="D5985" t="s">
        <v>1601</v>
      </c>
      <c r="E5985" t="s">
        <v>237</v>
      </c>
      <c r="F5985" t="s">
        <v>670</v>
      </c>
      <c r="G5985" t="s">
        <v>59</v>
      </c>
      <c r="H5985">
        <v>2024</v>
      </c>
    </row>
    <row r="5986" spans="1:8" x14ac:dyDescent="0.2">
      <c r="A5986">
        <v>264318</v>
      </c>
      <c r="B5986">
        <v>426420</v>
      </c>
      <c r="C5986" t="str">
        <f t="shared" si="93"/>
        <v>4. $250K-1M</v>
      </c>
      <c r="D5986" t="s">
        <v>988</v>
      </c>
      <c r="E5986" t="s">
        <v>237</v>
      </c>
      <c r="F5986" t="s">
        <v>670</v>
      </c>
      <c r="G5986" t="s">
        <v>59</v>
      </c>
      <c r="H5986">
        <v>2024</v>
      </c>
    </row>
    <row r="5987" spans="1:8" x14ac:dyDescent="0.2">
      <c r="A5987">
        <v>264319</v>
      </c>
      <c r="B5987">
        <v>319815</v>
      </c>
      <c r="C5987" t="str">
        <f t="shared" si="93"/>
        <v>4. $250K-1M</v>
      </c>
      <c r="D5987" t="s">
        <v>1103</v>
      </c>
      <c r="E5987" t="s">
        <v>237</v>
      </c>
      <c r="F5987" t="s">
        <v>670</v>
      </c>
      <c r="G5987" t="s">
        <v>59</v>
      </c>
      <c r="H5987">
        <v>2024</v>
      </c>
    </row>
    <row r="5988" spans="1:8" x14ac:dyDescent="0.2">
      <c r="A5988">
        <v>264321</v>
      </c>
      <c r="B5988">
        <v>319815</v>
      </c>
      <c r="C5988" t="str">
        <f t="shared" si="93"/>
        <v>4. $250K-1M</v>
      </c>
      <c r="D5988" t="s">
        <v>755</v>
      </c>
      <c r="E5988" t="s">
        <v>237</v>
      </c>
      <c r="F5988" t="s">
        <v>670</v>
      </c>
      <c r="G5988" t="s">
        <v>59</v>
      </c>
      <c r="H5988">
        <v>2024</v>
      </c>
    </row>
    <row r="5989" spans="1:8" x14ac:dyDescent="0.2">
      <c r="A5989">
        <v>264325</v>
      </c>
      <c r="B5989">
        <v>426420</v>
      </c>
      <c r="C5989" t="str">
        <f t="shared" si="93"/>
        <v>4. $250K-1M</v>
      </c>
      <c r="D5989" t="s">
        <v>1110</v>
      </c>
      <c r="E5989" t="s">
        <v>237</v>
      </c>
      <c r="F5989" t="s">
        <v>670</v>
      </c>
      <c r="G5989" t="s">
        <v>59</v>
      </c>
      <c r="H5989">
        <v>2024</v>
      </c>
    </row>
    <row r="5990" spans="1:8" x14ac:dyDescent="0.2">
      <c r="A5990">
        <v>264326</v>
      </c>
      <c r="B5990">
        <v>1812285</v>
      </c>
      <c r="C5990" t="str">
        <f t="shared" si="93"/>
        <v>4. $250K-1M</v>
      </c>
      <c r="D5990" t="s">
        <v>805</v>
      </c>
      <c r="E5990" t="s">
        <v>237</v>
      </c>
      <c r="F5990" t="s">
        <v>670</v>
      </c>
      <c r="G5990" t="s">
        <v>59</v>
      </c>
      <c r="H5990">
        <v>2024</v>
      </c>
    </row>
    <row r="5991" spans="1:8" x14ac:dyDescent="0.2">
      <c r="A5991">
        <v>264327</v>
      </c>
      <c r="B5991">
        <v>1599075</v>
      </c>
      <c r="C5991" t="str">
        <f t="shared" si="93"/>
        <v>5. $1M+</v>
      </c>
      <c r="D5991" t="s">
        <v>942</v>
      </c>
      <c r="E5991" t="s">
        <v>237</v>
      </c>
      <c r="F5991" t="s">
        <v>670</v>
      </c>
      <c r="G5991" t="s">
        <v>59</v>
      </c>
      <c r="H5991">
        <v>2024</v>
      </c>
    </row>
    <row r="5992" spans="1:8" x14ac:dyDescent="0.2">
      <c r="A5992">
        <v>264328</v>
      </c>
      <c r="B5992">
        <v>533025</v>
      </c>
      <c r="C5992" t="str">
        <f t="shared" si="93"/>
        <v>5. $1M+</v>
      </c>
      <c r="D5992" t="s">
        <v>1891</v>
      </c>
      <c r="E5992" t="s">
        <v>237</v>
      </c>
      <c r="F5992" t="s">
        <v>670</v>
      </c>
      <c r="G5992" t="s">
        <v>59</v>
      </c>
      <c r="H5992">
        <v>2024</v>
      </c>
    </row>
    <row r="5993" spans="1:8" x14ac:dyDescent="0.2">
      <c r="A5993">
        <v>264329</v>
      </c>
      <c r="B5993">
        <v>319815</v>
      </c>
      <c r="C5993" t="str">
        <f t="shared" si="93"/>
        <v>4. $250K-1M</v>
      </c>
      <c r="D5993" t="s">
        <v>673</v>
      </c>
      <c r="E5993" t="s">
        <v>237</v>
      </c>
      <c r="F5993" t="s">
        <v>670</v>
      </c>
      <c r="G5993" t="s">
        <v>59</v>
      </c>
      <c r="H5993">
        <v>2024</v>
      </c>
    </row>
    <row r="5994" spans="1:8" x14ac:dyDescent="0.2">
      <c r="A5994">
        <v>264330</v>
      </c>
      <c r="B5994">
        <v>30000</v>
      </c>
      <c r="C5994" t="str">
        <f t="shared" si="93"/>
        <v>4. $250K-1M</v>
      </c>
      <c r="D5994" t="s">
        <v>1462</v>
      </c>
      <c r="E5994" t="s">
        <v>432</v>
      </c>
      <c r="F5994" t="s">
        <v>670</v>
      </c>
      <c r="G5994" t="s">
        <v>59</v>
      </c>
      <c r="H5994">
        <v>2024</v>
      </c>
    </row>
    <row r="5995" spans="1:8" x14ac:dyDescent="0.2">
      <c r="A5995">
        <v>264331</v>
      </c>
      <c r="B5995">
        <v>30000</v>
      </c>
      <c r="C5995" t="str">
        <f t="shared" si="93"/>
        <v>2. $10K-50K</v>
      </c>
      <c r="D5995" t="s">
        <v>880</v>
      </c>
      <c r="E5995" t="s">
        <v>432</v>
      </c>
      <c r="F5995" t="s">
        <v>670</v>
      </c>
      <c r="G5995" t="s">
        <v>59</v>
      </c>
      <c r="H5995">
        <v>2024</v>
      </c>
    </row>
    <row r="5996" spans="1:8" x14ac:dyDescent="0.2">
      <c r="A5996">
        <v>264332</v>
      </c>
      <c r="B5996">
        <v>50000</v>
      </c>
      <c r="C5996" t="str">
        <f t="shared" si="93"/>
        <v>2. $10K-50K</v>
      </c>
      <c r="D5996" t="s">
        <v>1466</v>
      </c>
      <c r="E5996" t="s">
        <v>432</v>
      </c>
      <c r="F5996" t="s">
        <v>670</v>
      </c>
      <c r="G5996" t="s">
        <v>59</v>
      </c>
      <c r="H5996">
        <v>2024</v>
      </c>
    </row>
    <row r="5997" spans="1:8" x14ac:dyDescent="0.2">
      <c r="A5997">
        <v>264333</v>
      </c>
      <c r="B5997">
        <v>20000</v>
      </c>
      <c r="C5997" t="str">
        <f t="shared" si="93"/>
        <v>3. $50K-250K</v>
      </c>
      <c r="D5997" t="s">
        <v>1446</v>
      </c>
      <c r="E5997" t="s">
        <v>432</v>
      </c>
      <c r="F5997" t="s">
        <v>670</v>
      </c>
      <c r="G5997" t="s">
        <v>59</v>
      </c>
      <c r="H5997">
        <v>2024</v>
      </c>
    </row>
    <row r="5998" spans="1:8" x14ac:dyDescent="0.2">
      <c r="A5998">
        <v>264334</v>
      </c>
      <c r="B5998">
        <v>185019.2</v>
      </c>
      <c r="C5998" t="str">
        <f t="shared" si="93"/>
        <v>2. $10K-50K</v>
      </c>
      <c r="D5998" t="s">
        <v>1549</v>
      </c>
      <c r="E5998" t="s">
        <v>432</v>
      </c>
      <c r="F5998" t="s">
        <v>670</v>
      </c>
      <c r="G5998" t="s">
        <v>59</v>
      </c>
      <c r="H5998">
        <v>2024</v>
      </c>
    </row>
    <row r="5999" spans="1:8" x14ac:dyDescent="0.2">
      <c r="A5999">
        <v>264335</v>
      </c>
      <c r="B5999">
        <v>504593.5</v>
      </c>
      <c r="C5999" t="str">
        <f t="shared" si="93"/>
        <v>3. $50K-250K</v>
      </c>
      <c r="D5999" t="s">
        <v>799</v>
      </c>
      <c r="E5999" t="s">
        <v>237</v>
      </c>
      <c r="F5999" t="s">
        <v>670</v>
      </c>
      <c r="G5999" t="s">
        <v>59</v>
      </c>
      <c r="H5999">
        <v>2024</v>
      </c>
    </row>
    <row r="6000" spans="1:8" x14ac:dyDescent="0.2">
      <c r="A6000">
        <v>264336</v>
      </c>
      <c r="B6000">
        <v>480058.3</v>
      </c>
      <c r="C6000" t="str">
        <f t="shared" si="93"/>
        <v>4. $250K-1M</v>
      </c>
      <c r="D6000" t="s">
        <v>988</v>
      </c>
      <c r="E6000" t="s">
        <v>237</v>
      </c>
      <c r="F6000" t="s">
        <v>670</v>
      </c>
      <c r="G6000" t="s">
        <v>59</v>
      </c>
      <c r="H6000">
        <v>2024</v>
      </c>
    </row>
    <row r="6001" spans="1:8" x14ac:dyDescent="0.2">
      <c r="A6001">
        <v>264337</v>
      </c>
      <c r="B6001">
        <v>524065.4</v>
      </c>
      <c r="C6001" t="str">
        <f t="shared" si="93"/>
        <v>4. $250K-1M</v>
      </c>
      <c r="D6001" t="s">
        <v>987</v>
      </c>
      <c r="E6001" t="s">
        <v>237</v>
      </c>
      <c r="F6001" t="s">
        <v>670</v>
      </c>
      <c r="G6001" t="s">
        <v>59</v>
      </c>
      <c r="H6001">
        <v>2024</v>
      </c>
    </row>
    <row r="6002" spans="1:8" x14ac:dyDescent="0.2">
      <c r="A6002">
        <v>264338</v>
      </c>
      <c r="B6002">
        <v>123648</v>
      </c>
      <c r="C6002" t="str">
        <f t="shared" si="93"/>
        <v>4. $250K-1M</v>
      </c>
      <c r="D6002" t="s">
        <v>783</v>
      </c>
      <c r="E6002" t="s">
        <v>237</v>
      </c>
      <c r="F6002" t="s">
        <v>670</v>
      </c>
      <c r="G6002" t="s">
        <v>59</v>
      </c>
      <c r="H6002">
        <v>2024</v>
      </c>
    </row>
    <row r="6003" spans="1:8" x14ac:dyDescent="0.2">
      <c r="A6003">
        <v>264339</v>
      </c>
      <c r="B6003">
        <v>92736</v>
      </c>
      <c r="C6003" t="str">
        <f t="shared" si="93"/>
        <v>3. $50K-250K</v>
      </c>
      <c r="D6003" t="s">
        <v>983</v>
      </c>
      <c r="E6003" t="s">
        <v>237</v>
      </c>
      <c r="F6003" t="s">
        <v>670</v>
      </c>
      <c r="G6003" t="s">
        <v>59</v>
      </c>
      <c r="H6003">
        <v>2024</v>
      </c>
    </row>
    <row r="6004" spans="1:8" x14ac:dyDescent="0.2">
      <c r="A6004">
        <v>264340</v>
      </c>
      <c r="B6004">
        <v>92736</v>
      </c>
      <c r="C6004" t="str">
        <f t="shared" si="93"/>
        <v>3. $50K-250K</v>
      </c>
      <c r="D6004" t="s">
        <v>988</v>
      </c>
      <c r="E6004" t="s">
        <v>237</v>
      </c>
      <c r="F6004" t="s">
        <v>670</v>
      </c>
      <c r="G6004" t="s">
        <v>59</v>
      </c>
      <c r="H6004">
        <v>2024</v>
      </c>
    </row>
    <row r="6005" spans="1:8" x14ac:dyDescent="0.2">
      <c r="A6005">
        <v>264341</v>
      </c>
      <c r="B6005">
        <v>123648</v>
      </c>
      <c r="C6005" t="str">
        <f t="shared" si="93"/>
        <v>3. $50K-250K</v>
      </c>
      <c r="D6005" t="s">
        <v>801</v>
      </c>
      <c r="E6005" t="s">
        <v>237</v>
      </c>
      <c r="F6005" t="s">
        <v>670</v>
      </c>
      <c r="G6005" t="s">
        <v>59</v>
      </c>
      <c r="H6005">
        <v>2024</v>
      </c>
    </row>
    <row r="6006" spans="1:8" x14ac:dyDescent="0.2">
      <c r="A6006">
        <v>264342</v>
      </c>
      <c r="B6006">
        <v>92736</v>
      </c>
      <c r="C6006" t="str">
        <f t="shared" si="93"/>
        <v>3. $50K-250K</v>
      </c>
      <c r="D6006" t="s">
        <v>990</v>
      </c>
      <c r="E6006" t="s">
        <v>237</v>
      </c>
      <c r="F6006" t="s">
        <v>670</v>
      </c>
      <c r="G6006" t="s">
        <v>59</v>
      </c>
      <c r="H6006">
        <v>2024</v>
      </c>
    </row>
    <row r="6007" spans="1:8" x14ac:dyDescent="0.2">
      <c r="A6007">
        <v>264343</v>
      </c>
      <c r="B6007">
        <v>154560</v>
      </c>
      <c r="C6007" t="str">
        <f t="shared" si="93"/>
        <v>3. $50K-250K</v>
      </c>
      <c r="D6007" t="s">
        <v>805</v>
      </c>
      <c r="E6007" t="s">
        <v>237</v>
      </c>
      <c r="F6007" t="s">
        <v>670</v>
      </c>
      <c r="G6007" t="s">
        <v>59</v>
      </c>
      <c r="H6007">
        <v>2024</v>
      </c>
    </row>
    <row r="6008" spans="1:8" x14ac:dyDescent="0.2">
      <c r="A6008">
        <v>264346</v>
      </c>
      <c r="B6008">
        <v>533025</v>
      </c>
      <c r="C6008" t="str">
        <f t="shared" si="93"/>
        <v>3. $50K-250K</v>
      </c>
      <c r="D6008" t="s">
        <v>1093</v>
      </c>
      <c r="E6008" t="s">
        <v>237</v>
      </c>
      <c r="F6008" t="s">
        <v>670</v>
      </c>
      <c r="G6008" t="s">
        <v>59</v>
      </c>
      <c r="H6008">
        <v>2024</v>
      </c>
    </row>
    <row r="6009" spans="1:8" x14ac:dyDescent="0.2">
      <c r="A6009">
        <v>264347</v>
      </c>
      <c r="B6009">
        <v>2984940</v>
      </c>
      <c r="C6009" t="str">
        <f t="shared" si="93"/>
        <v>4. $250K-1M</v>
      </c>
      <c r="D6009" t="s">
        <v>799</v>
      </c>
      <c r="E6009" t="s">
        <v>237</v>
      </c>
      <c r="F6009" t="s">
        <v>670</v>
      </c>
      <c r="G6009" t="s">
        <v>59</v>
      </c>
      <c r="H6009">
        <v>2024</v>
      </c>
    </row>
    <row r="6010" spans="1:8" x14ac:dyDescent="0.2">
      <c r="A6010">
        <v>264348</v>
      </c>
      <c r="B6010">
        <v>852840</v>
      </c>
      <c r="C6010" t="str">
        <f t="shared" si="93"/>
        <v>5. $1M+</v>
      </c>
      <c r="D6010" t="s">
        <v>983</v>
      </c>
      <c r="E6010" t="s">
        <v>237</v>
      </c>
      <c r="F6010" t="s">
        <v>670</v>
      </c>
      <c r="G6010" t="s">
        <v>59</v>
      </c>
      <c r="H6010">
        <v>2024</v>
      </c>
    </row>
    <row r="6011" spans="1:8" x14ac:dyDescent="0.2">
      <c r="A6011">
        <v>264349</v>
      </c>
      <c r="B6011">
        <v>852840</v>
      </c>
      <c r="C6011" t="str">
        <f t="shared" si="93"/>
        <v>4. $250K-1M</v>
      </c>
      <c r="D6011" t="s">
        <v>908</v>
      </c>
      <c r="E6011" t="s">
        <v>237</v>
      </c>
      <c r="F6011" t="s">
        <v>670</v>
      </c>
      <c r="G6011" t="s">
        <v>59</v>
      </c>
      <c r="H6011">
        <v>2024</v>
      </c>
    </row>
    <row r="6012" spans="1:8" x14ac:dyDescent="0.2">
      <c r="A6012">
        <v>264350</v>
      </c>
      <c r="B6012">
        <v>213210</v>
      </c>
      <c r="C6012" t="str">
        <f t="shared" si="93"/>
        <v>4. $250K-1M</v>
      </c>
      <c r="D6012" t="s">
        <v>1145</v>
      </c>
      <c r="E6012" t="s">
        <v>237</v>
      </c>
      <c r="F6012" t="s">
        <v>670</v>
      </c>
      <c r="G6012" t="s">
        <v>59</v>
      </c>
      <c r="H6012">
        <v>2024</v>
      </c>
    </row>
    <row r="6013" spans="1:8" x14ac:dyDescent="0.2">
      <c r="A6013">
        <v>264351</v>
      </c>
      <c r="B6013">
        <v>852840</v>
      </c>
      <c r="C6013" t="str">
        <f t="shared" si="93"/>
        <v>3. $50K-250K</v>
      </c>
      <c r="D6013" t="s">
        <v>783</v>
      </c>
      <c r="E6013" t="s">
        <v>237</v>
      </c>
      <c r="F6013" t="s">
        <v>670</v>
      </c>
      <c r="G6013" t="s">
        <v>59</v>
      </c>
      <c r="H6013">
        <v>2024</v>
      </c>
    </row>
    <row r="6014" spans="1:8" x14ac:dyDescent="0.2">
      <c r="A6014">
        <v>264352</v>
      </c>
      <c r="B6014">
        <v>319815</v>
      </c>
      <c r="C6014" t="str">
        <f t="shared" si="93"/>
        <v>4. $250K-1M</v>
      </c>
      <c r="D6014" t="s">
        <v>763</v>
      </c>
      <c r="E6014" t="s">
        <v>237</v>
      </c>
      <c r="F6014" t="s">
        <v>670</v>
      </c>
      <c r="G6014" t="s">
        <v>59</v>
      </c>
      <c r="H6014">
        <v>2024</v>
      </c>
    </row>
    <row r="6015" spans="1:8" x14ac:dyDescent="0.2">
      <c r="A6015">
        <v>264353</v>
      </c>
      <c r="B6015">
        <v>426420</v>
      </c>
      <c r="C6015" t="str">
        <f t="shared" si="93"/>
        <v>4. $250K-1M</v>
      </c>
      <c r="D6015" t="s">
        <v>804</v>
      </c>
      <c r="E6015" t="s">
        <v>237</v>
      </c>
      <c r="F6015" t="s">
        <v>670</v>
      </c>
      <c r="G6015" t="s">
        <v>59</v>
      </c>
      <c r="H6015">
        <v>2024</v>
      </c>
    </row>
    <row r="6016" spans="1:8" x14ac:dyDescent="0.2">
      <c r="A6016">
        <v>264354</v>
      </c>
      <c r="B6016">
        <v>218327.1</v>
      </c>
      <c r="C6016" t="str">
        <f t="shared" si="93"/>
        <v>4. $250K-1M</v>
      </c>
      <c r="D6016" t="s">
        <v>1360</v>
      </c>
      <c r="E6016" t="s">
        <v>237</v>
      </c>
      <c r="F6016" t="s">
        <v>670</v>
      </c>
      <c r="G6016" t="s">
        <v>59</v>
      </c>
      <c r="H6016">
        <v>2024</v>
      </c>
    </row>
    <row r="6017" spans="1:8" x14ac:dyDescent="0.2">
      <c r="A6017">
        <v>264355</v>
      </c>
      <c r="B6017">
        <v>1066050</v>
      </c>
      <c r="C6017" t="str">
        <f t="shared" si="93"/>
        <v>3. $50K-250K</v>
      </c>
      <c r="D6017" t="s">
        <v>575</v>
      </c>
      <c r="E6017" t="s">
        <v>237</v>
      </c>
      <c r="F6017" t="s">
        <v>670</v>
      </c>
      <c r="G6017" t="s">
        <v>59</v>
      </c>
      <c r="H6017">
        <v>2024</v>
      </c>
    </row>
    <row r="6018" spans="1:8" x14ac:dyDescent="0.2">
      <c r="A6018">
        <v>264357</v>
      </c>
      <c r="B6018">
        <v>25000</v>
      </c>
      <c r="C6018" t="str">
        <f t="shared" si="93"/>
        <v>5. $1M+</v>
      </c>
      <c r="D6018" t="s">
        <v>956</v>
      </c>
      <c r="E6018" t="s">
        <v>432</v>
      </c>
      <c r="F6018" t="s">
        <v>670</v>
      </c>
      <c r="G6018" t="s">
        <v>59</v>
      </c>
      <c r="H6018">
        <v>2024</v>
      </c>
    </row>
    <row r="6019" spans="1:8" x14ac:dyDescent="0.2">
      <c r="A6019">
        <v>264358</v>
      </c>
      <c r="B6019">
        <v>30912</v>
      </c>
      <c r="C6019" t="str">
        <f t="shared" ref="C6019:C6082" si="94">IF(B6018&lt;10000,"1. Under $10K",IF(B6018&lt;50000,"2. $10K-50K",IF(B6018&lt;250000,"3. $50K-250K",IF(B6018&lt;1000000,"4. $250K-1M","5. $1M+"))))</f>
        <v>2. $10K-50K</v>
      </c>
      <c r="D6019" t="s">
        <v>719</v>
      </c>
      <c r="E6019" t="s">
        <v>237</v>
      </c>
      <c r="F6019" t="s">
        <v>670</v>
      </c>
      <c r="G6019" t="s">
        <v>59</v>
      </c>
      <c r="H6019">
        <v>2024</v>
      </c>
    </row>
    <row r="6020" spans="1:8" x14ac:dyDescent="0.2">
      <c r="A6020">
        <v>264359</v>
      </c>
      <c r="B6020">
        <v>185470</v>
      </c>
      <c r="C6020" t="str">
        <f t="shared" si="94"/>
        <v>2. $10K-50K</v>
      </c>
      <c r="D6020" t="s">
        <v>708</v>
      </c>
      <c r="E6020" t="s">
        <v>237</v>
      </c>
      <c r="F6020" t="s">
        <v>670</v>
      </c>
      <c r="G6020" t="s">
        <v>59</v>
      </c>
      <c r="H6020">
        <v>2024</v>
      </c>
    </row>
    <row r="6021" spans="1:8" x14ac:dyDescent="0.2">
      <c r="A6021">
        <v>264360</v>
      </c>
      <c r="B6021">
        <v>92735</v>
      </c>
      <c r="C6021" t="str">
        <f t="shared" si="94"/>
        <v>3. $50K-250K</v>
      </c>
      <c r="D6021" t="s">
        <v>821</v>
      </c>
      <c r="E6021" t="s">
        <v>237</v>
      </c>
      <c r="F6021" t="s">
        <v>670</v>
      </c>
      <c r="G6021" t="s">
        <v>59</v>
      </c>
      <c r="H6021">
        <v>2024</v>
      </c>
    </row>
    <row r="6022" spans="1:8" x14ac:dyDescent="0.2">
      <c r="A6022">
        <v>264361</v>
      </c>
      <c r="B6022">
        <v>92735</v>
      </c>
      <c r="C6022" t="str">
        <f t="shared" si="94"/>
        <v>3. $50K-250K</v>
      </c>
      <c r="D6022" t="s">
        <v>724</v>
      </c>
      <c r="E6022" t="s">
        <v>237</v>
      </c>
      <c r="F6022" t="s">
        <v>670</v>
      </c>
      <c r="G6022" t="s">
        <v>59</v>
      </c>
      <c r="H6022">
        <v>2024</v>
      </c>
    </row>
    <row r="6023" spans="1:8" x14ac:dyDescent="0.2">
      <c r="A6023">
        <v>264362</v>
      </c>
      <c r="B6023">
        <v>370944</v>
      </c>
      <c r="C6023" t="str">
        <f t="shared" si="94"/>
        <v>3. $50K-250K</v>
      </c>
      <c r="D6023" t="s">
        <v>1079</v>
      </c>
      <c r="E6023" t="s">
        <v>237</v>
      </c>
      <c r="F6023" t="s">
        <v>670</v>
      </c>
      <c r="G6023" t="s">
        <v>59</v>
      </c>
      <c r="H6023">
        <v>2024</v>
      </c>
    </row>
    <row r="6024" spans="1:8" x14ac:dyDescent="0.2">
      <c r="A6024">
        <v>26443</v>
      </c>
      <c r="B6024">
        <v>10189000</v>
      </c>
      <c r="C6024" t="str">
        <f t="shared" si="94"/>
        <v>4. $250K-1M</v>
      </c>
      <c r="D6024" t="s">
        <v>414</v>
      </c>
      <c r="E6024" t="s">
        <v>28</v>
      </c>
      <c r="F6024" t="s">
        <v>29</v>
      </c>
      <c r="G6024" t="s">
        <v>44</v>
      </c>
      <c r="H6024">
        <v>2023</v>
      </c>
    </row>
    <row r="6025" spans="1:8" x14ac:dyDescent="0.2">
      <c r="A6025">
        <v>264458</v>
      </c>
      <c r="B6025">
        <v>145932.9</v>
      </c>
      <c r="C6025" t="str">
        <f t="shared" si="94"/>
        <v>5. $1M+</v>
      </c>
      <c r="D6025" t="s">
        <v>255</v>
      </c>
      <c r="E6025" t="s">
        <v>67</v>
      </c>
      <c r="F6025" t="s">
        <v>43</v>
      </c>
      <c r="G6025" t="s">
        <v>59</v>
      </c>
      <c r="H6025">
        <v>2024</v>
      </c>
    </row>
    <row r="6026" spans="1:8" x14ac:dyDescent="0.2">
      <c r="A6026">
        <v>264466</v>
      </c>
      <c r="B6026">
        <v>1013117</v>
      </c>
      <c r="C6026" t="str">
        <f t="shared" si="94"/>
        <v>3. $50K-250K</v>
      </c>
      <c r="D6026" t="s">
        <v>863</v>
      </c>
      <c r="E6026" t="s">
        <v>237</v>
      </c>
      <c r="F6026" t="s">
        <v>670</v>
      </c>
      <c r="G6026" t="s">
        <v>59</v>
      </c>
      <c r="H6026">
        <v>2024</v>
      </c>
    </row>
    <row r="6027" spans="1:8" x14ac:dyDescent="0.2">
      <c r="A6027">
        <v>264525</v>
      </c>
      <c r="B6027">
        <v>56430.9</v>
      </c>
      <c r="C6027" t="str">
        <f t="shared" si="94"/>
        <v>5. $1M+</v>
      </c>
      <c r="D6027" t="s">
        <v>749</v>
      </c>
      <c r="E6027" t="s">
        <v>237</v>
      </c>
      <c r="F6027" t="s">
        <v>670</v>
      </c>
      <c r="G6027" t="s">
        <v>59</v>
      </c>
      <c r="H6027">
        <v>2024</v>
      </c>
    </row>
    <row r="6028" spans="1:8" x14ac:dyDescent="0.2">
      <c r="A6028">
        <v>264526</v>
      </c>
      <c r="B6028">
        <v>49737.7</v>
      </c>
      <c r="C6028" t="str">
        <f t="shared" si="94"/>
        <v>3. $50K-250K</v>
      </c>
      <c r="D6028" t="s">
        <v>801</v>
      </c>
      <c r="E6028" t="s">
        <v>237</v>
      </c>
      <c r="F6028" t="s">
        <v>670</v>
      </c>
      <c r="G6028" t="s">
        <v>59</v>
      </c>
      <c r="H6028">
        <v>2024</v>
      </c>
    </row>
    <row r="6029" spans="1:8" x14ac:dyDescent="0.2">
      <c r="A6029">
        <v>264527</v>
      </c>
      <c r="B6029">
        <v>57598.1</v>
      </c>
      <c r="C6029" t="str">
        <f t="shared" si="94"/>
        <v>2. $10K-50K</v>
      </c>
      <c r="D6029" t="s">
        <v>800</v>
      </c>
      <c r="E6029" t="s">
        <v>237</v>
      </c>
      <c r="F6029" t="s">
        <v>670</v>
      </c>
      <c r="G6029" t="s">
        <v>59</v>
      </c>
      <c r="H6029">
        <v>2024</v>
      </c>
    </row>
    <row r="6030" spans="1:8" x14ac:dyDescent="0.2">
      <c r="A6030">
        <v>264528</v>
      </c>
      <c r="B6030">
        <v>46423.4</v>
      </c>
      <c r="C6030" t="str">
        <f t="shared" si="94"/>
        <v>3. $50K-250K</v>
      </c>
      <c r="D6030" t="s">
        <v>724</v>
      </c>
      <c r="E6030" t="s">
        <v>237</v>
      </c>
      <c r="F6030" t="s">
        <v>670</v>
      </c>
      <c r="G6030" t="s">
        <v>59</v>
      </c>
      <c r="H6030">
        <v>2024</v>
      </c>
    </row>
    <row r="6031" spans="1:8" x14ac:dyDescent="0.2">
      <c r="A6031">
        <v>264529</v>
      </c>
      <c r="B6031">
        <v>58519.199999999997</v>
      </c>
      <c r="C6031" t="str">
        <f t="shared" si="94"/>
        <v>2. $10K-50K</v>
      </c>
      <c r="D6031" t="s">
        <v>799</v>
      </c>
      <c r="E6031" t="s">
        <v>237</v>
      </c>
      <c r="F6031" t="s">
        <v>670</v>
      </c>
      <c r="G6031" t="s">
        <v>59</v>
      </c>
      <c r="H6031">
        <v>2024</v>
      </c>
    </row>
    <row r="6032" spans="1:8" x14ac:dyDescent="0.2">
      <c r="A6032">
        <v>264530</v>
      </c>
      <c r="B6032">
        <v>51897.599999999999</v>
      </c>
      <c r="C6032" t="str">
        <f t="shared" si="94"/>
        <v>3. $50K-250K</v>
      </c>
      <c r="D6032" t="s">
        <v>762</v>
      </c>
      <c r="E6032" t="s">
        <v>237</v>
      </c>
      <c r="F6032" t="s">
        <v>670</v>
      </c>
      <c r="G6032" t="s">
        <v>59</v>
      </c>
      <c r="H6032">
        <v>2024</v>
      </c>
    </row>
    <row r="6033" spans="1:8" x14ac:dyDescent="0.2">
      <c r="A6033">
        <v>264531</v>
      </c>
      <c r="B6033">
        <v>30545.3</v>
      </c>
      <c r="C6033" t="str">
        <f t="shared" si="94"/>
        <v>3. $50K-250K</v>
      </c>
      <c r="D6033" t="s">
        <v>805</v>
      </c>
      <c r="E6033" t="s">
        <v>237</v>
      </c>
      <c r="F6033" t="s">
        <v>670</v>
      </c>
      <c r="G6033" t="s">
        <v>59</v>
      </c>
      <c r="H6033">
        <v>2024</v>
      </c>
    </row>
    <row r="6034" spans="1:8" x14ac:dyDescent="0.2">
      <c r="A6034">
        <v>264532</v>
      </c>
      <c r="B6034">
        <v>50572.2</v>
      </c>
      <c r="C6034" t="str">
        <f t="shared" si="94"/>
        <v>2. $10K-50K</v>
      </c>
      <c r="D6034" t="s">
        <v>803</v>
      </c>
      <c r="E6034" t="s">
        <v>237</v>
      </c>
      <c r="F6034" t="s">
        <v>670</v>
      </c>
      <c r="G6034" t="s">
        <v>59</v>
      </c>
      <c r="H6034">
        <v>2024</v>
      </c>
    </row>
    <row r="6035" spans="1:8" x14ac:dyDescent="0.2">
      <c r="A6035">
        <v>264533</v>
      </c>
      <c r="B6035">
        <v>57820.800000000003</v>
      </c>
      <c r="C6035" t="str">
        <f t="shared" si="94"/>
        <v>3. $50K-250K</v>
      </c>
      <c r="D6035" t="s">
        <v>783</v>
      </c>
      <c r="E6035" t="s">
        <v>237</v>
      </c>
      <c r="F6035" t="s">
        <v>670</v>
      </c>
      <c r="G6035" t="s">
        <v>59</v>
      </c>
      <c r="H6035">
        <v>2024</v>
      </c>
    </row>
    <row r="6036" spans="1:8" x14ac:dyDescent="0.2">
      <c r="A6036">
        <v>264534</v>
      </c>
      <c r="B6036">
        <v>36620.300000000003</v>
      </c>
      <c r="C6036" t="str">
        <f t="shared" si="94"/>
        <v>3. $50K-250K</v>
      </c>
      <c r="D6036" t="s">
        <v>783</v>
      </c>
      <c r="E6036" t="s">
        <v>237</v>
      </c>
      <c r="F6036" t="s">
        <v>670</v>
      </c>
      <c r="G6036" t="s">
        <v>59</v>
      </c>
      <c r="H6036">
        <v>2024</v>
      </c>
    </row>
    <row r="6037" spans="1:8" x14ac:dyDescent="0.2">
      <c r="A6037">
        <v>264535</v>
      </c>
      <c r="B6037">
        <v>49259.4</v>
      </c>
      <c r="C6037" t="str">
        <f t="shared" si="94"/>
        <v>2. $10K-50K</v>
      </c>
      <c r="D6037" t="s">
        <v>802</v>
      </c>
      <c r="E6037" t="s">
        <v>237</v>
      </c>
      <c r="F6037" t="s">
        <v>670</v>
      </c>
      <c r="G6037" t="s">
        <v>59</v>
      </c>
      <c r="H6037">
        <v>2024</v>
      </c>
    </row>
    <row r="6038" spans="1:8" x14ac:dyDescent="0.2">
      <c r="A6038">
        <v>264536</v>
      </c>
      <c r="B6038">
        <v>52800</v>
      </c>
      <c r="C6038" t="str">
        <f t="shared" si="94"/>
        <v>2. $10K-50K</v>
      </c>
      <c r="D6038" t="s">
        <v>822</v>
      </c>
      <c r="E6038" t="s">
        <v>237</v>
      </c>
      <c r="F6038" t="s">
        <v>670</v>
      </c>
      <c r="G6038" t="s">
        <v>59</v>
      </c>
      <c r="H6038">
        <v>2024</v>
      </c>
    </row>
    <row r="6039" spans="1:8" x14ac:dyDescent="0.2">
      <c r="A6039">
        <v>264537</v>
      </c>
      <c r="B6039">
        <v>69000</v>
      </c>
      <c r="C6039" t="str">
        <f t="shared" si="94"/>
        <v>3. $50K-250K</v>
      </c>
      <c r="D6039" t="s">
        <v>1077</v>
      </c>
      <c r="E6039" t="s">
        <v>237</v>
      </c>
      <c r="F6039" t="s">
        <v>670</v>
      </c>
      <c r="G6039" t="s">
        <v>59</v>
      </c>
      <c r="H6039">
        <v>2024</v>
      </c>
    </row>
    <row r="6040" spans="1:8" x14ac:dyDescent="0.2">
      <c r="A6040">
        <v>264538</v>
      </c>
      <c r="B6040">
        <v>69000</v>
      </c>
      <c r="C6040" t="str">
        <f t="shared" si="94"/>
        <v>3. $50K-250K</v>
      </c>
      <c r="D6040" t="s">
        <v>711</v>
      </c>
      <c r="E6040" t="s">
        <v>237</v>
      </c>
      <c r="F6040" t="s">
        <v>670</v>
      </c>
      <c r="G6040" t="s">
        <v>59</v>
      </c>
      <c r="H6040">
        <v>2024</v>
      </c>
    </row>
    <row r="6041" spans="1:8" x14ac:dyDescent="0.2">
      <c r="A6041">
        <v>264539</v>
      </c>
      <c r="B6041">
        <v>69000</v>
      </c>
      <c r="C6041" t="str">
        <f t="shared" si="94"/>
        <v>3. $50K-250K</v>
      </c>
      <c r="D6041" t="s">
        <v>1083</v>
      </c>
      <c r="E6041" t="s">
        <v>237</v>
      </c>
      <c r="F6041" t="s">
        <v>670</v>
      </c>
      <c r="G6041" t="s">
        <v>59</v>
      </c>
      <c r="H6041">
        <v>2024</v>
      </c>
    </row>
    <row r="6042" spans="1:8" x14ac:dyDescent="0.2">
      <c r="A6042">
        <v>264540</v>
      </c>
      <c r="B6042">
        <v>49723.8</v>
      </c>
      <c r="C6042" t="str">
        <f t="shared" si="94"/>
        <v>3. $50K-250K</v>
      </c>
      <c r="D6042" t="s">
        <v>804</v>
      </c>
      <c r="E6042" t="s">
        <v>237</v>
      </c>
      <c r="F6042" t="s">
        <v>670</v>
      </c>
      <c r="G6042" t="s">
        <v>59</v>
      </c>
      <c r="H6042">
        <v>2024</v>
      </c>
    </row>
    <row r="6043" spans="1:8" x14ac:dyDescent="0.2">
      <c r="A6043">
        <v>264541</v>
      </c>
      <c r="B6043">
        <v>103500</v>
      </c>
      <c r="C6043" t="str">
        <f t="shared" si="94"/>
        <v>2. $10K-50K</v>
      </c>
      <c r="D6043" t="s">
        <v>1208</v>
      </c>
      <c r="E6043" t="s">
        <v>237</v>
      </c>
      <c r="F6043" t="s">
        <v>670</v>
      </c>
      <c r="G6043" t="s">
        <v>59</v>
      </c>
      <c r="H6043">
        <v>2024</v>
      </c>
    </row>
    <row r="6044" spans="1:8" x14ac:dyDescent="0.2">
      <c r="A6044">
        <v>264626</v>
      </c>
      <c r="B6044">
        <v>250297</v>
      </c>
      <c r="C6044" t="str">
        <f t="shared" si="94"/>
        <v>3. $50K-250K</v>
      </c>
      <c r="D6044" t="s">
        <v>1069</v>
      </c>
      <c r="E6044" t="s">
        <v>237</v>
      </c>
      <c r="F6044" t="s">
        <v>670</v>
      </c>
      <c r="G6044" t="s">
        <v>59</v>
      </c>
      <c r="H6044">
        <v>2024</v>
      </c>
    </row>
    <row r="6045" spans="1:8" x14ac:dyDescent="0.2">
      <c r="A6045">
        <v>264627</v>
      </c>
      <c r="B6045">
        <v>245709.8</v>
      </c>
      <c r="C6045" t="str">
        <f t="shared" si="94"/>
        <v>4. $250K-1M</v>
      </c>
      <c r="D6045" t="s">
        <v>1891</v>
      </c>
      <c r="E6045" t="s">
        <v>237</v>
      </c>
      <c r="F6045" t="s">
        <v>670</v>
      </c>
      <c r="G6045" t="s">
        <v>59</v>
      </c>
      <c r="H6045">
        <v>2024</v>
      </c>
    </row>
    <row r="6046" spans="1:8" x14ac:dyDescent="0.2">
      <c r="A6046">
        <v>264628</v>
      </c>
      <c r="B6046">
        <v>247014.3</v>
      </c>
      <c r="C6046" t="str">
        <f t="shared" si="94"/>
        <v>3. $50K-250K</v>
      </c>
      <c r="D6046" t="s">
        <v>957</v>
      </c>
      <c r="E6046" t="s">
        <v>237</v>
      </c>
      <c r="F6046" t="s">
        <v>670</v>
      </c>
      <c r="G6046" t="s">
        <v>59</v>
      </c>
      <c r="H6046">
        <v>2024</v>
      </c>
    </row>
    <row r="6047" spans="1:8" x14ac:dyDescent="0.2">
      <c r="A6047">
        <v>264629</v>
      </c>
      <c r="B6047">
        <v>220406.2</v>
      </c>
      <c r="C6047" t="str">
        <f t="shared" si="94"/>
        <v>3. $50K-250K</v>
      </c>
      <c r="D6047" t="s">
        <v>1360</v>
      </c>
      <c r="E6047" t="s">
        <v>237</v>
      </c>
      <c r="F6047" t="s">
        <v>670</v>
      </c>
      <c r="G6047" t="s">
        <v>59</v>
      </c>
      <c r="H6047">
        <v>2024</v>
      </c>
    </row>
    <row r="6048" spans="1:8" x14ac:dyDescent="0.2">
      <c r="A6048">
        <v>264630</v>
      </c>
      <c r="B6048">
        <v>244694.8</v>
      </c>
      <c r="C6048" t="str">
        <f t="shared" si="94"/>
        <v>3. $50K-250K</v>
      </c>
      <c r="D6048" t="s">
        <v>1084</v>
      </c>
      <c r="E6048" t="s">
        <v>237</v>
      </c>
      <c r="F6048" t="s">
        <v>670</v>
      </c>
      <c r="G6048" t="s">
        <v>59</v>
      </c>
      <c r="H6048">
        <v>2024</v>
      </c>
    </row>
    <row r="6049" spans="1:8" x14ac:dyDescent="0.2">
      <c r="A6049">
        <v>264631</v>
      </c>
      <c r="B6049">
        <v>504634.7</v>
      </c>
      <c r="C6049" t="str">
        <f t="shared" si="94"/>
        <v>3. $50K-250K</v>
      </c>
      <c r="D6049" t="s">
        <v>799</v>
      </c>
      <c r="E6049" t="s">
        <v>237</v>
      </c>
      <c r="F6049" t="s">
        <v>670</v>
      </c>
      <c r="G6049" t="s">
        <v>59</v>
      </c>
      <c r="H6049">
        <v>2024</v>
      </c>
    </row>
    <row r="6050" spans="1:8" x14ac:dyDescent="0.2">
      <c r="A6050">
        <v>264632</v>
      </c>
      <c r="B6050">
        <v>221520.8</v>
      </c>
      <c r="C6050" t="str">
        <f t="shared" si="94"/>
        <v>4. $250K-1M</v>
      </c>
      <c r="D6050" t="s">
        <v>999</v>
      </c>
      <c r="E6050" t="s">
        <v>237</v>
      </c>
      <c r="F6050" t="s">
        <v>670</v>
      </c>
      <c r="G6050" t="s">
        <v>59</v>
      </c>
      <c r="H6050">
        <v>2024</v>
      </c>
    </row>
    <row r="6051" spans="1:8" x14ac:dyDescent="0.2">
      <c r="A6051">
        <v>264633</v>
      </c>
      <c r="B6051">
        <v>199826.6</v>
      </c>
      <c r="C6051" t="str">
        <f t="shared" si="94"/>
        <v>3. $50K-250K</v>
      </c>
      <c r="D6051" t="s">
        <v>781</v>
      </c>
      <c r="E6051" t="s">
        <v>237</v>
      </c>
      <c r="F6051" t="s">
        <v>670</v>
      </c>
      <c r="G6051" t="s">
        <v>59</v>
      </c>
      <c r="H6051">
        <v>2024</v>
      </c>
    </row>
    <row r="6052" spans="1:8" x14ac:dyDescent="0.2">
      <c r="A6052">
        <v>264635</v>
      </c>
      <c r="B6052">
        <v>36000</v>
      </c>
      <c r="C6052" t="str">
        <f t="shared" si="94"/>
        <v>3. $50K-250K</v>
      </c>
      <c r="D6052" t="s">
        <v>1067</v>
      </c>
      <c r="E6052" t="s">
        <v>237</v>
      </c>
      <c r="F6052" t="s">
        <v>670</v>
      </c>
      <c r="G6052" t="s">
        <v>59</v>
      </c>
      <c r="H6052">
        <v>2024</v>
      </c>
    </row>
    <row r="6053" spans="1:8" x14ac:dyDescent="0.2">
      <c r="A6053">
        <v>264636</v>
      </c>
      <c r="B6053">
        <v>8398.7999999999993</v>
      </c>
      <c r="C6053" t="str">
        <f t="shared" si="94"/>
        <v>2. $10K-50K</v>
      </c>
      <c r="D6053" t="s">
        <v>699</v>
      </c>
      <c r="E6053" t="s">
        <v>237</v>
      </c>
      <c r="F6053" t="s">
        <v>670</v>
      </c>
      <c r="G6053" t="s">
        <v>59</v>
      </c>
      <c r="H6053">
        <v>2024</v>
      </c>
    </row>
    <row r="6054" spans="1:8" x14ac:dyDescent="0.2">
      <c r="A6054">
        <v>264637</v>
      </c>
      <c r="B6054">
        <v>53070</v>
      </c>
      <c r="C6054" t="str">
        <f t="shared" si="94"/>
        <v>1. Under $10K</v>
      </c>
      <c r="D6054" t="s">
        <v>912</v>
      </c>
      <c r="E6054" t="s">
        <v>237</v>
      </c>
      <c r="F6054" t="s">
        <v>670</v>
      </c>
      <c r="G6054" t="s">
        <v>59</v>
      </c>
      <c r="H6054">
        <v>2024</v>
      </c>
    </row>
    <row r="6055" spans="1:8" x14ac:dyDescent="0.2">
      <c r="A6055">
        <v>264640</v>
      </c>
      <c r="B6055">
        <v>87563.1</v>
      </c>
      <c r="C6055" t="str">
        <f t="shared" si="94"/>
        <v>3. $50K-250K</v>
      </c>
      <c r="D6055" t="s">
        <v>917</v>
      </c>
      <c r="E6055" t="s">
        <v>237</v>
      </c>
      <c r="F6055" t="s">
        <v>670</v>
      </c>
      <c r="G6055" t="s">
        <v>59</v>
      </c>
      <c r="H6055">
        <v>2024</v>
      </c>
    </row>
    <row r="6056" spans="1:8" x14ac:dyDescent="0.2">
      <c r="A6056">
        <v>264642</v>
      </c>
      <c r="B6056">
        <v>29280</v>
      </c>
      <c r="C6056" t="str">
        <f t="shared" si="94"/>
        <v>3. $50K-250K</v>
      </c>
      <c r="D6056" t="s">
        <v>696</v>
      </c>
      <c r="E6056" t="s">
        <v>237</v>
      </c>
      <c r="F6056" t="s">
        <v>670</v>
      </c>
      <c r="G6056" t="s">
        <v>59</v>
      </c>
      <c r="H6056">
        <v>2024</v>
      </c>
    </row>
    <row r="6057" spans="1:8" x14ac:dyDescent="0.2">
      <c r="A6057">
        <v>264643</v>
      </c>
      <c r="B6057">
        <v>17710</v>
      </c>
      <c r="C6057" t="str">
        <f t="shared" si="94"/>
        <v>2. $10K-50K</v>
      </c>
      <c r="D6057" t="s">
        <v>920</v>
      </c>
      <c r="E6057" t="s">
        <v>237</v>
      </c>
      <c r="F6057" t="s">
        <v>670</v>
      </c>
      <c r="G6057" t="s">
        <v>59</v>
      </c>
      <c r="H6057">
        <v>2024</v>
      </c>
    </row>
    <row r="6058" spans="1:8" x14ac:dyDescent="0.2">
      <c r="A6058">
        <v>264644</v>
      </c>
      <c r="B6058">
        <v>70000</v>
      </c>
      <c r="C6058" t="str">
        <f t="shared" si="94"/>
        <v>2. $10K-50K</v>
      </c>
      <c r="D6058" t="s">
        <v>911</v>
      </c>
      <c r="E6058" t="s">
        <v>237</v>
      </c>
      <c r="F6058" t="s">
        <v>670</v>
      </c>
      <c r="G6058" t="s">
        <v>59</v>
      </c>
      <c r="H6058">
        <v>2024</v>
      </c>
    </row>
    <row r="6059" spans="1:8" x14ac:dyDescent="0.2">
      <c r="A6059">
        <v>264645</v>
      </c>
      <c r="B6059">
        <v>52800</v>
      </c>
      <c r="C6059" t="str">
        <f t="shared" si="94"/>
        <v>3. $50K-250K</v>
      </c>
      <c r="D6059" t="s">
        <v>861</v>
      </c>
      <c r="E6059" t="s">
        <v>237</v>
      </c>
      <c r="F6059" t="s">
        <v>670</v>
      </c>
      <c r="G6059" t="s">
        <v>59</v>
      </c>
      <c r="H6059">
        <v>2024</v>
      </c>
    </row>
    <row r="6060" spans="1:8" x14ac:dyDescent="0.2">
      <c r="A6060">
        <v>264648</v>
      </c>
      <c r="B6060">
        <v>68256.5</v>
      </c>
      <c r="C6060" t="str">
        <f t="shared" si="94"/>
        <v>3. $50K-250K</v>
      </c>
      <c r="D6060" t="s">
        <v>916</v>
      </c>
      <c r="E6060" t="s">
        <v>237</v>
      </c>
      <c r="F6060" t="s">
        <v>670</v>
      </c>
      <c r="G6060" t="s">
        <v>59</v>
      </c>
      <c r="H6060">
        <v>2024</v>
      </c>
    </row>
    <row r="6061" spans="1:8" x14ac:dyDescent="0.2">
      <c r="A6061">
        <v>264650</v>
      </c>
      <c r="B6061">
        <v>116176.6</v>
      </c>
      <c r="C6061" t="str">
        <f t="shared" si="94"/>
        <v>3. $50K-250K</v>
      </c>
      <c r="D6061" t="s">
        <v>925</v>
      </c>
      <c r="E6061" t="s">
        <v>237</v>
      </c>
      <c r="F6061" t="s">
        <v>670</v>
      </c>
      <c r="G6061" t="s">
        <v>59</v>
      </c>
      <c r="H6061">
        <v>2024</v>
      </c>
    </row>
    <row r="6062" spans="1:8" x14ac:dyDescent="0.2">
      <c r="A6062">
        <v>264693</v>
      </c>
      <c r="B6062">
        <v>199829</v>
      </c>
      <c r="C6062" t="str">
        <f t="shared" si="94"/>
        <v>3. $50K-250K</v>
      </c>
      <c r="D6062" t="s">
        <v>893</v>
      </c>
      <c r="E6062" t="s">
        <v>891</v>
      </c>
      <c r="F6062" t="s">
        <v>670</v>
      </c>
      <c r="G6062" t="s">
        <v>59</v>
      </c>
      <c r="H6062">
        <v>2024</v>
      </c>
    </row>
    <row r="6063" spans="1:8" x14ac:dyDescent="0.2">
      <c r="A6063">
        <v>264794</v>
      </c>
      <c r="B6063">
        <v>8622.7999999999993</v>
      </c>
      <c r="C6063" t="str">
        <f t="shared" si="94"/>
        <v>3. $50K-250K</v>
      </c>
      <c r="D6063" t="s">
        <v>878</v>
      </c>
      <c r="E6063" t="s">
        <v>237</v>
      </c>
      <c r="F6063" t="s">
        <v>670</v>
      </c>
      <c r="G6063" t="s">
        <v>59</v>
      </c>
      <c r="H6063">
        <v>2024</v>
      </c>
    </row>
    <row r="6064" spans="1:8" x14ac:dyDescent="0.2">
      <c r="A6064">
        <v>264795</v>
      </c>
      <c r="B6064">
        <v>88320</v>
      </c>
      <c r="C6064" t="str">
        <f t="shared" si="94"/>
        <v>1. Under $10K</v>
      </c>
      <c r="D6064" t="s">
        <v>878</v>
      </c>
      <c r="E6064" t="s">
        <v>237</v>
      </c>
      <c r="F6064" t="s">
        <v>670</v>
      </c>
      <c r="G6064" t="s">
        <v>59</v>
      </c>
      <c r="H6064">
        <v>2024</v>
      </c>
    </row>
    <row r="6065" spans="1:8" x14ac:dyDescent="0.2">
      <c r="A6065">
        <v>264796</v>
      </c>
      <c r="B6065">
        <v>25900</v>
      </c>
      <c r="C6065" t="str">
        <f t="shared" si="94"/>
        <v>3. $50K-250K</v>
      </c>
      <c r="D6065" t="s">
        <v>855</v>
      </c>
      <c r="E6065" t="s">
        <v>237</v>
      </c>
      <c r="F6065" t="s">
        <v>670</v>
      </c>
      <c r="G6065" t="s">
        <v>59</v>
      </c>
      <c r="H6065">
        <v>2024</v>
      </c>
    </row>
    <row r="6066" spans="1:8" x14ac:dyDescent="0.2">
      <c r="A6066">
        <v>264797</v>
      </c>
      <c r="B6066">
        <v>30560</v>
      </c>
      <c r="C6066" t="str">
        <f t="shared" si="94"/>
        <v>2. $10K-50K</v>
      </c>
      <c r="D6066" t="s">
        <v>854</v>
      </c>
      <c r="E6066" t="s">
        <v>237</v>
      </c>
      <c r="F6066" t="s">
        <v>670</v>
      </c>
      <c r="G6066" t="s">
        <v>59</v>
      </c>
      <c r="H6066">
        <v>2024</v>
      </c>
    </row>
    <row r="6067" spans="1:8" x14ac:dyDescent="0.2">
      <c r="A6067">
        <v>264802</v>
      </c>
      <c r="B6067">
        <v>1200000</v>
      </c>
      <c r="C6067" t="str">
        <f t="shared" si="94"/>
        <v>2. $10K-50K</v>
      </c>
      <c r="D6067" t="s">
        <v>1027</v>
      </c>
      <c r="E6067" t="s">
        <v>237</v>
      </c>
      <c r="F6067" t="s">
        <v>670</v>
      </c>
      <c r="G6067" t="s">
        <v>59</v>
      </c>
      <c r="H6067">
        <v>2024</v>
      </c>
    </row>
    <row r="6068" spans="1:8" x14ac:dyDescent="0.2">
      <c r="A6068">
        <v>264803</v>
      </c>
      <c r="B6068">
        <v>1000000</v>
      </c>
      <c r="C6068" t="str">
        <f t="shared" si="94"/>
        <v>5. $1M+</v>
      </c>
      <c r="D6068" t="s">
        <v>1027</v>
      </c>
      <c r="E6068" t="s">
        <v>237</v>
      </c>
      <c r="F6068" t="s">
        <v>670</v>
      </c>
      <c r="G6068" t="s">
        <v>59</v>
      </c>
      <c r="H6068">
        <v>2024</v>
      </c>
    </row>
    <row r="6069" spans="1:8" x14ac:dyDescent="0.2">
      <c r="A6069">
        <v>264812</v>
      </c>
      <c r="B6069">
        <v>348534.6</v>
      </c>
      <c r="C6069" t="str">
        <f t="shared" si="94"/>
        <v>5. $1M+</v>
      </c>
      <c r="D6069" t="s">
        <v>1838</v>
      </c>
      <c r="E6069" t="s">
        <v>42</v>
      </c>
      <c r="F6069" t="s">
        <v>670</v>
      </c>
      <c r="G6069" t="s">
        <v>59</v>
      </c>
      <c r="H6069">
        <v>2024</v>
      </c>
    </row>
    <row r="6070" spans="1:8" x14ac:dyDescent="0.2">
      <c r="A6070">
        <v>264842</v>
      </c>
      <c r="B6070">
        <v>52800</v>
      </c>
      <c r="C6070" t="str">
        <f t="shared" si="94"/>
        <v>4. $250K-1M</v>
      </c>
      <c r="D6070" t="s">
        <v>931</v>
      </c>
      <c r="E6070" t="s">
        <v>237</v>
      </c>
      <c r="F6070" t="s">
        <v>670</v>
      </c>
      <c r="G6070" t="s">
        <v>59</v>
      </c>
      <c r="H6070">
        <v>2024</v>
      </c>
    </row>
    <row r="6071" spans="1:8" x14ac:dyDescent="0.2">
      <c r="A6071">
        <v>264846</v>
      </c>
      <c r="B6071">
        <v>52800</v>
      </c>
      <c r="C6071" t="str">
        <f t="shared" si="94"/>
        <v>3. $50K-250K</v>
      </c>
      <c r="D6071" t="s">
        <v>916</v>
      </c>
      <c r="E6071" t="s">
        <v>237</v>
      </c>
      <c r="F6071" t="s">
        <v>670</v>
      </c>
      <c r="G6071" t="s">
        <v>59</v>
      </c>
      <c r="H6071">
        <v>2024</v>
      </c>
    </row>
    <row r="6072" spans="1:8" x14ac:dyDescent="0.2">
      <c r="A6072">
        <v>264876</v>
      </c>
      <c r="B6072">
        <v>572047.69999999995</v>
      </c>
      <c r="C6072" t="str">
        <f t="shared" si="94"/>
        <v>3. $50K-250K</v>
      </c>
      <c r="D6072" t="s">
        <v>1019</v>
      </c>
      <c r="E6072" t="s">
        <v>237</v>
      </c>
      <c r="F6072" t="s">
        <v>670</v>
      </c>
      <c r="G6072" t="s">
        <v>59</v>
      </c>
      <c r="H6072">
        <v>2024</v>
      </c>
    </row>
    <row r="6073" spans="1:8" x14ac:dyDescent="0.2">
      <c r="A6073">
        <v>264888</v>
      </c>
      <c r="B6073">
        <v>399998.3</v>
      </c>
      <c r="C6073" t="str">
        <f t="shared" si="94"/>
        <v>4. $250K-1M</v>
      </c>
      <c r="D6073" t="s">
        <v>783</v>
      </c>
      <c r="E6073" t="s">
        <v>432</v>
      </c>
      <c r="F6073" t="s">
        <v>670</v>
      </c>
      <c r="G6073" t="s">
        <v>59</v>
      </c>
      <c r="H6073">
        <v>2024</v>
      </c>
    </row>
    <row r="6074" spans="1:8" x14ac:dyDescent="0.2">
      <c r="A6074">
        <v>264890</v>
      </c>
      <c r="B6074">
        <v>322296.3</v>
      </c>
      <c r="C6074" t="str">
        <f t="shared" si="94"/>
        <v>4. $250K-1M</v>
      </c>
      <c r="D6074" t="s">
        <v>1836</v>
      </c>
      <c r="E6074" t="s">
        <v>432</v>
      </c>
      <c r="F6074" t="s">
        <v>670</v>
      </c>
      <c r="G6074" t="s">
        <v>59</v>
      </c>
      <c r="H6074">
        <v>2024</v>
      </c>
    </row>
    <row r="6075" spans="1:8" x14ac:dyDescent="0.2">
      <c r="A6075">
        <v>264895</v>
      </c>
      <c r="B6075">
        <v>197710.5</v>
      </c>
      <c r="C6075" t="str">
        <f t="shared" si="94"/>
        <v>4. $250K-1M</v>
      </c>
      <c r="D6075" t="s">
        <v>1464</v>
      </c>
      <c r="E6075" t="s">
        <v>432</v>
      </c>
      <c r="F6075" t="s">
        <v>670</v>
      </c>
      <c r="G6075" t="s">
        <v>59</v>
      </c>
      <c r="H6075">
        <v>2024</v>
      </c>
    </row>
    <row r="6076" spans="1:8" x14ac:dyDescent="0.2">
      <c r="A6076">
        <v>264908</v>
      </c>
      <c r="B6076">
        <v>119113.1</v>
      </c>
      <c r="C6076" t="str">
        <f t="shared" si="94"/>
        <v>3. $50K-250K</v>
      </c>
      <c r="D6076" t="s">
        <v>883</v>
      </c>
      <c r="E6076" t="s">
        <v>237</v>
      </c>
      <c r="F6076" t="s">
        <v>670</v>
      </c>
      <c r="G6076" t="s">
        <v>59</v>
      </c>
      <c r="H6076">
        <v>2024</v>
      </c>
    </row>
    <row r="6077" spans="1:8" x14ac:dyDescent="0.2">
      <c r="A6077">
        <v>264910</v>
      </c>
      <c r="B6077">
        <v>71286</v>
      </c>
      <c r="C6077" t="str">
        <f t="shared" si="94"/>
        <v>3. $50K-250K</v>
      </c>
      <c r="D6077" t="s">
        <v>721</v>
      </c>
      <c r="E6077" t="s">
        <v>237</v>
      </c>
      <c r="F6077" t="s">
        <v>670</v>
      </c>
      <c r="G6077" t="s">
        <v>59</v>
      </c>
      <c r="H6077">
        <v>2024</v>
      </c>
    </row>
    <row r="6078" spans="1:8" x14ac:dyDescent="0.2">
      <c r="A6078">
        <v>264912</v>
      </c>
      <c r="B6078">
        <v>1050000</v>
      </c>
      <c r="C6078" t="str">
        <f t="shared" si="94"/>
        <v>3. $50K-250K</v>
      </c>
      <c r="D6078" t="s">
        <v>868</v>
      </c>
      <c r="E6078" t="s">
        <v>237</v>
      </c>
      <c r="F6078" t="s">
        <v>670</v>
      </c>
      <c r="G6078" t="s">
        <v>59</v>
      </c>
      <c r="H6078">
        <v>2024</v>
      </c>
    </row>
    <row r="6079" spans="1:8" x14ac:dyDescent="0.2">
      <c r="A6079">
        <v>264925</v>
      </c>
      <c r="B6079">
        <v>748887.3</v>
      </c>
      <c r="C6079" t="str">
        <f t="shared" si="94"/>
        <v>5. $1M+</v>
      </c>
      <c r="D6079" t="s">
        <v>893</v>
      </c>
      <c r="E6079" t="s">
        <v>891</v>
      </c>
      <c r="F6079" t="s">
        <v>670</v>
      </c>
      <c r="G6079" t="s">
        <v>59</v>
      </c>
      <c r="H6079">
        <v>2024</v>
      </c>
    </row>
    <row r="6080" spans="1:8" x14ac:dyDescent="0.2">
      <c r="A6080">
        <v>264926</v>
      </c>
      <c r="B6080">
        <v>198152.5</v>
      </c>
      <c r="C6080" t="str">
        <f t="shared" si="94"/>
        <v>4. $250K-1M</v>
      </c>
      <c r="D6080" t="s">
        <v>905</v>
      </c>
      <c r="E6080" t="s">
        <v>891</v>
      </c>
      <c r="F6080" t="s">
        <v>670</v>
      </c>
      <c r="G6080" t="s">
        <v>59</v>
      </c>
      <c r="H6080">
        <v>2024</v>
      </c>
    </row>
    <row r="6081" spans="1:8" x14ac:dyDescent="0.2">
      <c r="A6081">
        <v>264935</v>
      </c>
      <c r="B6081">
        <v>587480.4</v>
      </c>
      <c r="C6081" t="str">
        <f t="shared" si="94"/>
        <v>3. $50K-250K</v>
      </c>
      <c r="D6081" t="s">
        <v>860</v>
      </c>
      <c r="E6081" t="s">
        <v>237</v>
      </c>
      <c r="F6081" t="s">
        <v>670</v>
      </c>
      <c r="G6081" t="s">
        <v>59</v>
      </c>
      <c r="H6081">
        <v>2024</v>
      </c>
    </row>
    <row r="6082" spans="1:8" x14ac:dyDescent="0.2">
      <c r="A6082">
        <v>264936</v>
      </c>
      <c r="B6082">
        <v>4110.5</v>
      </c>
      <c r="C6082" t="str">
        <f t="shared" si="94"/>
        <v>4. $250K-1M</v>
      </c>
      <c r="D6082" t="s">
        <v>708</v>
      </c>
      <c r="E6082" t="s">
        <v>237</v>
      </c>
      <c r="F6082" t="s">
        <v>670</v>
      </c>
      <c r="G6082" t="s">
        <v>59</v>
      </c>
      <c r="H6082">
        <v>2024</v>
      </c>
    </row>
    <row r="6083" spans="1:8" x14ac:dyDescent="0.2">
      <c r="A6083">
        <v>264937</v>
      </c>
      <c r="B6083">
        <v>54000</v>
      </c>
      <c r="C6083" t="str">
        <f t="shared" ref="C6083:C6146" si="95">IF(B6082&lt;10000,"1. Under $10K",IF(B6082&lt;50000,"2. $10K-50K",IF(B6082&lt;250000,"3. $50K-250K",IF(B6082&lt;1000000,"4. $250K-1M","5. $1M+"))))</f>
        <v>1. Under $10K</v>
      </c>
      <c r="D6083" t="s">
        <v>983</v>
      </c>
      <c r="E6083" t="s">
        <v>237</v>
      </c>
      <c r="F6083" t="s">
        <v>670</v>
      </c>
      <c r="G6083" t="s">
        <v>59</v>
      </c>
      <c r="H6083">
        <v>2024</v>
      </c>
    </row>
    <row r="6084" spans="1:8" x14ac:dyDescent="0.2">
      <c r="A6084">
        <v>264939</v>
      </c>
      <c r="B6084">
        <v>108000</v>
      </c>
      <c r="C6084" t="str">
        <f t="shared" si="95"/>
        <v>3. $50K-250K</v>
      </c>
      <c r="D6084" t="s">
        <v>1077</v>
      </c>
      <c r="E6084" t="s">
        <v>237</v>
      </c>
      <c r="F6084" t="s">
        <v>670</v>
      </c>
      <c r="G6084" t="s">
        <v>59</v>
      </c>
      <c r="H6084">
        <v>2024</v>
      </c>
    </row>
    <row r="6085" spans="1:8" x14ac:dyDescent="0.2">
      <c r="A6085">
        <v>264941</v>
      </c>
      <c r="B6085">
        <v>67000</v>
      </c>
      <c r="C6085" t="str">
        <f t="shared" si="95"/>
        <v>3. $50K-250K</v>
      </c>
      <c r="D6085" t="s">
        <v>854</v>
      </c>
      <c r="E6085" t="s">
        <v>237</v>
      </c>
      <c r="F6085" t="s">
        <v>670</v>
      </c>
      <c r="G6085" t="s">
        <v>59</v>
      </c>
      <c r="H6085">
        <v>2024</v>
      </c>
    </row>
    <row r="6086" spans="1:8" x14ac:dyDescent="0.2">
      <c r="A6086">
        <v>264943</v>
      </c>
      <c r="B6086">
        <v>108900</v>
      </c>
      <c r="C6086" t="str">
        <f t="shared" si="95"/>
        <v>3. $50K-250K</v>
      </c>
      <c r="D6086" t="s">
        <v>872</v>
      </c>
      <c r="E6086" t="s">
        <v>237</v>
      </c>
      <c r="F6086" t="s">
        <v>670</v>
      </c>
      <c r="G6086" t="s">
        <v>59</v>
      </c>
      <c r="H6086">
        <v>2024</v>
      </c>
    </row>
    <row r="6087" spans="1:8" x14ac:dyDescent="0.2">
      <c r="A6087">
        <v>264944</v>
      </c>
      <c r="B6087">
        <v>108000</v>
      </c>
      <c r="C6087" t="str">
        <f t="shared" si="95"/>
        <v>3. $50K-250K</v>
      </c>
      <c r="D6087" t="s">
        <v>983</v>
      </c>
      <c r="E6087" t="s">
        <v>237</v>
      </c>
      <c r="F6087" t="s">
        <v>670</v>
      </c>
      <c r="G6087" t="s">
        <v>59</v>
      </c>
      <c r="H6087">
        <v>2024</v>
      </c>
    </row>
    <row r="6088" spans="1:8" x14ac:dyDescent="0.2">
      <c r="A6088">
        <v>264945</v>
      </c>
      <c r="B6088">
        <v>81000</v>
      </c>
      <c r="C6088" t="str">
        <f t="shared" si="95"/>
        <v>3. $50K-250K</v>
      </c>
      <c r="D6088" t="s">
        <v>983</v>
      </c>
      <c r="E6088" t="s">
        <v>237</v>
      </c>
      <c r="F6088" t="s">
        <v>670</v>
      </c>
      <c r="G6088" t="s">
        <v>59</v>
      </c>
      <c r="H6088">
        <v>2024</v>
      </c>
    </row>
    <row r="6089" spans="1:8" x14ac:dyDescent="0.2">
      <c r="A6089">
        <v>264946</v>
      </c>
      <c r="B6089">
        <v>54000</v>
      </c>
      <c r="C6089" t="str">
        <f t="shared" si="95"/>
        <v>3. $50K-250K</v>
      </c>
      <c r="D6089" t="s">
        <v>983</v>
      </c>
      <c r="E6089" t="s">
        <v>237</v>
      </c>
      <c r="F6089" t="s">
        <v>670</v>
      </c>
      <c r="G6089" t="s">
        <v>59</v>
      </c>
      <c r="H6089">
        <v>2024</v>
      </c>
    </row>
    <row r="6090" spans="1:8" x14ac:dyDescent="0.2">
      <c r="A6090">
        <v>264947</v>
      </c>
      <c r="B6090">
        <v>54000</v>
      </c>
      <c r="C6090" t="str">
        <f t="shared" si="95"/>
        <v>3. $50K-250K</v>
      </c>
      <c r="D6090" t="s">
        <v>697</v>
      </c>
      <c r="E6090" t="s">
        <v>237</v>
      </c>
      <c r="F6090" t="s">
        <v>670</v>
      </c>
      <c r="G6090" t="s">
        <v>59</v>
      </c>
      <c r="H6090">
        <v>2024</v>
      </c>
    </row>
    <row r="6091" spans="1:8" x14ac:dyDescent="0.2">
      <c r="A6091">
        <v>264948</v>
      </c>
      <c r="B6091">
        <v>162000</v>
      </c>
      <c r="C6091" t="str">
        <f t="shared" si="95"/>
        <v>3. $50K-250K</v>
      </c>
      <c r="D6091" t="s">
        <v>697</v>
      </c>
      <c r="E6091" t="s">
        <v>237</v>
      </c>
      <c r="F6091" t="s">
        <v>670</v>
      </c>
      <c r="G6091" t="s">
        <v>59</v>
      </c>
      <c r="H6091">
        <v>2024</v>
      </c>
    </row>
    <row r="6092" spans="1:8" x14ac:dyDescent="0.2">
      <c r="A6092">
        <v>264949</v>
      </c>
      <c r="B6092">
        <v>297000</v>
      </c>
      <c r="C6092" t="str">
        <f t="shared" si="95"/>
        <v>3. $50K-250K</v>
      </c>
      <c r="D6092" t="s">
        <v>697</v>
      </c>
      <c r="E6092" t="s">
        <v>237</v>
      </c>
      <c r="F6092" t="s">
        <v>670</v>
      </c>
      <c r="G6092" t="s">
        <v>59</v>
      </c>
      <c r="H6092">
        <v>2024</v>
      </c>
    </row>
    <row r="6093" spans="1:8" x14ac:dyDescent="0.2">
      <c r="A6093">
        <v>264950</v>
      </c>
      <c r="B6093">
        <v>7063.1</v>
      </c>
      <c r="C6093" t="str">
        <f t="shared" si="95"/>
        <v>4. $250K-1M</v>
      </c>
      <c r="D6093" t="s">
        <v>854</v>
      </c>
      <c r="E6093" t="s">
        <v>237</v>
      </c>
      <c r="F6093" t="s">
        <v>670</v>
      </c>
      <c r="G6093" t="s">
        <v>59</v>
      </c>
      <c r="H6093">
        <v>2024</v>
      </c>
    </row>
    <row r="6094" spans="1:8" x14ac:dyDescent="0.2">
      <c r="A6094">
        <v>264951</v>
      </c>
      <c r="B6094">
        <v>54000</v>
      </c>
      <c r="C6094" t="str">
        <f t="shared" si="95"/>
        <v>1. Under $10K</v>
      </c>
      <c r="D6094" t="s">
        <v>697</v>
      </c>
      <c r="E6094" t="s">
        <v>237</v>
      </c>
      <c r="F6094" t="s">
        <v>670</v>
      </c>
      <c r="G6094" t="s">
        <v>59</v>
      </c>
      <c r="H6094">
        <v>2024</v>
      </c>
    </row>
    <row r="6095" spans="1:8" x14ac:dyDescent="0.2">
      <c r="A6095">
        <v>264952</v>
      </c>
      <c r="B6095">
        <v>54000</v>
      </c>
      <c r="C6095" t="str">
        <f t="shared" si="95"/>
        <v>3. $50K-250K</v>
      </c>
      <c r="D6095" t="s">
        <v>712</v>
      </c>
      <c r="E6095" t="s">
        <v>237</v>
      </c>
      <c r="F6095" t="s">
        <v>670</v>
      </c>
      <c r="G6095" t="s">
        <v>59</v>
      </c>
      <c r="H6095">
        <v>2024</v>
      </c>
    </row>
    <row r="6096" spans="1:8" x14ac:dyDescent="0.2">
      <c r="A6096">
        <v>264954</v>
      </c>
      <c r="B6096">
        <v>54000</v>
      </c>
      <c r="C6096" t="str">
        <f t="shared" si="95"/>
        <v>3. $50K-250K</v>
      </c>
      <c r="D6096" t="s">
        <v>1071</v>
      </c>
      <c r="E6096" t="s">
        <v>237</v>
      </c>
      <c r="F6096" t="s">
        <v>670</v>
      </c>
      <c r="G6096" t="s">
        <v>59</v>
      </c>
      <c r="H6096">
        <v>2024</v>
      </c>
    </row>
    <row r="6097" spans="1:8" x14ac:dyDescent="0.2">
      <c r="A6097">
        <v>264955</v>
      </c>
      <c r="B6097">
        <v>56673</v>
      </c>
      <c r="C6097" t="str">
        <f t="shared" si="95"/>
        <v>3. $50K-250K</v>
      </c>
      <c r="D6097" t="s">
        <v>1084</v>
      </c>
      <c r="E6097" t="s">
        <v>237</v>
      </c>
      <c r="F6097" t="s">
        <v>670</v>
      </c>
      <c r="G6097" t="s">
        <v>59</v>
      </c>
      <c r="H6097">
        <v>2024</v>
      </c>
    </row>
    <row r="6098" spans="1:8" x14ac:dyDescent="0.2">
      <c r="A6098">
        <v>264956</v>
      </c>
      <c r="B6098">
        <v>116737.3</v>
      </c>
      <c r="C6098" t="str">
        <f t="shared" si="95"/>
        <v>3. $50K-250K</v>
      </c>
      <c r="D6098" t="s">
        <v>860</v>
      </c>
      <c r="E6098" t="s">
        <v>237</v>
      </c>
      <c r="F6098" t="s">
        <v>670</v>
      </c>
      <c r="G6098" t="s">
        <v>59</v>
      </c>
      <c r="H6098">
        <v>2024</v>
      </c>
    </row>
    <row r="6099" spans="1:8" x14ac:dyDescent="0.2">
      <c r="A6099">
        <v>264957</v>
      </c>
      <c r="B6099">
        <v>324688</v>
      </c>
      <c r="C6099" t="str">
        <f t="shared" si="95"/>
        <v>3. $50K-250K</v>
      </c>
      <c r="D6099" t="s">
        <v>874</v>
      </c>
      <c r="E6099" t="s">
        <v>237</v>
      </c>
      <c r="F6099" t="s">
        <v>670</v>
      </c>
      <c r="G6099" t="s">
        <v>59</v>
      </c>
      <c r="H6099">
        <v>2024</v>
      </c>
    </row>
    <row r="6100" spans="1:8" x14ac:dyDescent="0.2">
      <c r="A6100">
        <v>264959</v>
      </c>
      <c r="B6100">
        <v>54000</v>
      </c>
      <c r="C6100" t="str">
        <f t="shared" si="95"/>
        <v>4. $250K-1M</v>
      </c>
      <c r="D6100" t="s">
        <v>1068</v>
      </c>
      <c r="E6100" t="s">
        <v>237</v>
      </c>
      <c r="F6100" t="s">
        <v>670</v>
      </c>
      <c r="G6100" t="s">
        <v>59</v>
      </c>
      <c r="H6100">
        <v>2024</v>
      </c>
    </row>
    <row r="6101" spans="1:8" x14ac:dyDescent="0.2">
      <c r="A6101">
        <v>264960</v>
      </c>
      <c r="B6101">
        <v>135000</v>
      </c>
      <c r="C6101" t="str">
        <f t="shared" si="95"/>
        <v>3. $50K-250K</v>
      </c>
      <c r="D6101" t="s">
        <v>990</v>
      </c>
      <c r="E6101" t="s">
        <v>237</v>
      </c>
      <c r="F6101" t="s">
        <v>670</v>
      </c>
      <c r="G6101" t="s">
        <v>59</v>
      </c>
      <c r="H6101">
        <v>2024</v>
      </c>
    </row>
    <row r="6102" spans="1:8" x14ac:dyDescent="0.2">
      <c r="A6102">
        <v>264961</v>
      </c>
      <c r="B6102">
        <v>108000</v>
      </c>
      <c r="C6102" t="str">
        <f t="shared" si="95"/>
        <v>3. $50K-250K</v>
      </c>
      <c r="D6102" t="s">
        <v>713</v>
      </c>
      <c r="E6102" t="s">
        <v>237</v>
      </c>
      <c r="F6102" t="s">
        <v>670</v>
      </c>
      <c r="G6102" t="s">
        <v>59</v>
      </c>
      <c r="H6102">
        <v>2024</v>
      </c>
    </row>
    <row r="6103" spans="1:8" x14ac:dyDescent="0.2">
      <c r="A6103">
        <v>264962</v>
      </c>
      <c r="B6103">
        <v>81000</v>
      </c>
      <c r="C6103" t="str">
        <f t="shared" si="95"/>
        <v>3. $50K-250K</v>
      </c>
      <c r="D6103" t="s">
        <v>679</v>
      </c>
      <c r="E6103" t="s">
        <v>237</v>
      </c>
      <c r="F6103" t="s">
        <v>670</v>
      </c>
      <c r="G6103" t="s">
        <v>59</v>
      </c>
      <c r="H6103">
        <v>2024</v>
      </c>
    </row>
    <row r="6104" spans="1:8" x14ac:dyDescent="0.2">
      <c r="A6104">
        <v>264963</v>
      </c>
      <c r="B6104">
        <v>48000</v>
      </c>
      <c r="C6104" t="str">
        <f t="shared" si="95"/>
        <v>3. $50K-250K</v>
      </c>
      <c r="D6104" t="s">
        <v>1107</v>
      </c>
      <c r="E6104" t="s">
        <v>237</v>
      </c>
      <c r="F6104" t="s">
        <v>670</v>
      </c>
      <c r="G6104" t="s">
        <v>59</v>
      </c>
      <c r="H6104">
        <v>2024</v>
      </c>
    </row>
    <row r="6105" spans="1:8" x14ac:dyDescent="0.2">
      <c r="A6105">
        <v>264964</v>
      </c>
      <c r="B6105">
        <v>312000</v>
      </c>
      <c r="C6105" t="str">
        <f t="shared" si="95"/>
        <v>2. $10K-50K</v>
      </c>
      <c r="D6105" t="s">
        <v>1110</v>
      </c>
      <c r="E6105" t="s">
        <v>237</v>
      </c>
      <c r="F6105" t="s">
        <v>670</v>
      </c>
      <c r="G6105" t="s">
        <v>59</v>
      </c>
      <c r="H6105">
        <v>2024</v>
      </c>
    </row>
    <row r="6106" spans="1:8" x14ac:dyDescent="0.2">
      <c r="A6106">
        <v>264965</v>
      </c>
      <c r="B6106">
        <v>72000</v>
      </c>
      <c r="C6106" t="str">
        <f t="shared" si="95"/>
        <v>4. $250K-1M</v>
      </c>
      <c r="D6106" t="s">
        <v>1105</v>
      </c>
      <c r="E6106" t="s">
        <v>237</v>
      </c>
      <c r="F6106" t="s">
        <v>670</v>
      </c>
      <c r="G6106" t="s">
        <v>59</v>
      </c>
      <c r="H6106">
        <v>2024</v>
      </c>
    </row>
    <row r="6107" spans="1:8" x14ac:dyDescent="0.2">
      <c r="A6107">
        <v>264966</v>
      </c>
      <c r="B6107">
        <v>168000</v>
      </c>
      <c r="C6107" t="str">
        <f t="shared" si="95"/>
        <v>3. $50K-250K</v>
      </c>
      <c r="D6107" t="s">
        <v>1105</v>
      </c>
      <c r="E6107" t="s">
        <v>237</v>
      </c>
      <c r="F6107" t="s">
        <v>670</v>
      </c>
      <c r="G6107" t="s">
        <v>59</v>
      </c>
      <c r="H6107">
        <v>2024</v>
      </c>
    </row>
    <row r="6108" spans="1:8" x14ac:dyDescent="0.2">
      <c r="A6108">
        <v>264967</v>
      </c>
      <c r="B6108">
        <v>696000</v>
      </c>
      <c r="C6108" t="str">
        <f t="shared" si="95"/>
        <v>3. $50K-250K</v>
      </c>
      <c r="D6108" t="s">
        <v>1094</v>
      </c>
      <c r="E6108" t="s">
        <v>237</v>
      </c>
      <c r="F6108" t="s">
        <v>670</v>
      </c>
      <c r="G6108" t="s">
        <v>59</v>
      </c>
      <c r="H6108">
        <v>2024</v>
      </c>
    </row>
    <row r="6109" spans="1:8" x14ac:dyDescent="0.2">
      <c r="A6109">
        <v>264968</v>
      </c>
      <c r="B6109">
        <v>1128000</v>
      </c>
      <c r="C6109" t="str">
        <f t="shared" si="95"/>
        <v>4. $250K-1M</v>
      </c>
      <c r="D6109" t="s">
        <v>1094</v>
      </c>
      <c r="E6109" t="s">
        <v>237</v>
      </c>
      <c r="F6109" t="s">
        <v>670</v>
      </c>
      <c r="G6109" t="s">
        <v>59</v>
      </c>
      <c r="H6109">
        <v>2024</v>
      </c>
    </row>
    <row r="6110" spans="1:8" x14ac:dyDescent="0.2">
      <c r="A6110">
        <v>264969</v>
      </c>
      <c r="B6110">
        <v>72000</v>
      </c>
      <c r="C6110" t="str">
        <f t="shared" si="95"/>
        <v>5. $1M+</v>
      </c>
      <c r="D6110" t="s">
        <v>781</v>
      </c>
      <c r="E6110" t="s">
        <v>237</v>
      </c>
      <c r="F6110" t="s">
        <v>670</v>
      </c>
      <c r="G6110" t="s">
        <v>59</v>
      </c>
      <c r="H6110">
        <v>2024</v>
      </c>
    </row>
    <row r="6111" spans="1:8" x14ac:dyDescent="0.2">
      <c r="A6111">
        <v>264970</v>
      </c>
      <c r="B6111">
        <v>72000</v>
      </c>
      <c r="C6111" t="str">
        <f t="shared" si="95"/>
        <v>3. $50K-250K</v>
      </c>
      <c r="D6111" t="s">
        <v>1108</v>
      </c>
      <c r="E6111" t="s">
        <v>237</v>
      </c>
      <c r="F6111" t="s">
        <v>670</v>
      </c>
      <c r="G6111" t="s">
        <v>59</v>
      </c>
      <c r="H6111">
        <v>2024</v>
      </c>
    </row>
    <row r="6112" spans="1:8" x14ac:dyDescent="0.2">
      <c r="A6112">
        <v>264971</v>
      </c>
      <c r="B6112">
        <v>144000</v>
      </c>
      <c r="C6112" t="str">
        <f t="shared" si="95"/>
        <v>3. $50K-250K</v>
      </c>
      <c r="D6112" t="s">
        <v>713</v>
      </c>
      <c r="E6112" t="s">
        <v>237</v>
      </c>
      <c r="F6112" t="s">
        <v>670</v>
      </c>
      <c r="G6112" t="s">
        <v>59</v>
      </c>
      <c r="H6112">
        <v>2024</v>
      </c>
    </row>
    <row r="6113" spans="1:8" x14ac:dyDescent="0.2">
      <c r="A6113">
        <v>264972</v>
      </c>
      <c r="B6113">
        <v>54000</v>
      </c>
      <c r="C6113" t="str">
        <f t="shared" si="95"/>
        <v>3. $50K-250K</v>
      </c>
      <c r="D6113" t="s">
        <v>698</v>
      </c>
      <c r="E6113" t="s">
        <v>237</v>
      </c>
      <c r="F6113" t="s">
        <v>670</v>
      </c>
      <c r="G6113" t="s">
        <v>59</v>
      </c>
      <c r="H6113">
        <v>2024</v>
      </c>
    </row>
    <row r="6114" spans="1:8" x14ac:dyDescent="0.2">
      <c r="A6114">
        <v>264975</v>
      </c>
      <c r="B6114">
        <v>114872</v>
      </c>
      <c r="C6114" t="str">
        <f t="shared" si="95"/>
        <v>3. $50K-250K</v>
      </c>
      <c r="D6114" t="s">
        <v>864</v>
      </c>
      <c r="E6114" t="s">
        <v>237</v>
      </c>
      <c r="F6114" t="s">
        <v>670</v>
      </c>
      <c r="G6114" t="s">
        <v>59</v>
      </c>
      <c r="H6114">
        <v>2024</v>
      </c>
    </row>
    <row r="6115" spans="1:8" x14ac:dyDescent="0.2">
      <c r="A6115">
        <v>265023</v>
      </c>
      <c r="B6115">
        <v>16260000</v>
      </c>
      <c r="C6115" t="str">
        <f t="shared" si="95"/>
        <v>3. $50K-250K</v>
      </c>
      <c r="D6115" t="s">
        <v>415</v>
      </c>
      <c r="E6115" t="s">
        <v>24</v>
      </c>
      <c r="F6115" t="s">
        <v>22</v>
      </c>
      <c r="G6115" t="s">
        <v>10</v>
      </c>
      <c r="H6115">
        <v>2024</v>
      </c>
    </row>
    <row r="6116" spans="1:8" x14ac:dyDescent="0.2">
      <c r="A6116">
        <v>265039</v>
      </c>
      <c r="B6116">
        <v>235623.2</v>
      </c>
      <c r="C6116" t="str">
        <f t="shared" si="95"/>
        <v>5. $1M+</v>
      </c>
      <c r="D6116" t="s">
        <v>852</v>
      </c>
      <c r="E6116" t="s">
        <v>237</v>
      </c>
      <c r="F6116" t="s">
        <v>670</v>
      </c>
      <c r="G6116" t="s">
        <v>59</v>
      </c>
      <c r="H6116">
        <v>2024</v>
      </c>
    </row>
    <row r="6117" spans="1:8" x14ac:dyDescent="0.2">
      <c r="A6117">
        <v>265055</v>
      </c>
      <c r="B6117">
        <v>248940.5</v>
      </c>
      <c r="C6117" t="str">
        <f t="shared" si="95"/>
        <v>3. $50K-250K</v>
      </c>
      <c r="D6117" t="s">
        <v>924</v>
      </c>
      <c r="E6117" t="s">
        <v>237</v>
      </c>
      <c r="F6117" t="s">
        <v>670</v>
      </c>
      <c r="G6117" t="s">
        <v>59</v>
      </c>
      <c r="H6117">
        <v>2024</v>
      </c>
    </row>
    <row r="6118" spans="1:8" x14ac:dyDescent="0.2">
      <c r="A6118">
        <v>265059</v>
      </c>
      <c r="B6118">
        <v>1656766.9</v>
      </c>
      <c r="C6118" t="str">
        <f t="shared" si="95"/>
        <v>3. $50K-250K</v>
      </c>
      <c r="D6118" t="s">
        <v>852</v>
      </c>
      <c r="E6118" t="s">
        <v>237</v>
      </c>
      <c r="F6118" t="s">
        <v>670</v>
      </c>
      <c r="G6118" t="s">
        <v>59</v>
      </c>
      <c r="H6118">
        <v>2024</v>
      </c>
    </row>
    <row r="6119" spans="1:8" x14ac:dyDescent="0.2">
      <c r="A6119">
        <v>265064</v>
      </c>
      <c r="B6119">
        <v>479414.4</v>
      </c>
      <c r="C6119" t="str">
        <f t="shared" si="95"/>
        <v>5. $1M+</v>
      </c>
      <c r="D6119" t="s">
        <v>857</v>
      </c>
      <c r="E6119" t="s">
        <v>237</v>
      </c>
      <c r="F6119" t="s">
        <v>670</v>
      </c>
      <c r="G6119" t="s">
        <v>59</v>
      </c>
      <c r="H6119">
        <v>2024</v>
      </c>
    </row>
    <row r="6120" spans="1:8" x14ac:dyDescent="0.2">
      <c r="A6120">
        <v>265065</v>
      </c>
      <c r="B6120">
        <v>137833.60000000001</v>
      </c>
      <c r="C6120" t="str">
        <f t="shared" si="95"/>
        <v>4. $250K-1M</v>
      </c>
      <c r="D6120" t="s">
        <v>857</v>
      </c>
      <c r="E6120" t="s">
        <v>237</v>
      </c>
      <c r="F6120" t="s">
        <v>670</v>
      </c>
      <c r="G6120" t="s">
        <v>59</v>
      </c>
      <c r="H6120">
        <v>2024</v>
      </c>
    </row>
    <row r="6121" spans="1:8" x14ac:dyDescent="0.2">
      <c r="A6121">
        <v>265066</v>
      </c>
      <c r="B6121">
        <v>20222</v>
      </c>
      <c r="C6121" t="str">
        <f t="shared" si="95"/>
        <v>3. $50K-250K</v>
      </c>
      <c r="D6121" t="s">
        <v>857</v>
      </c>
      <c r="E6121" t="s">
        <v>237</v>
      </c>
      <c r="F6121" t="s">
        <v>670</v>
      </c>
      <c r="G6121" t="s">
        <v>59</v>
      </c>
      <c r="H6121">
        <v>2024</v>
      </c>
    </row>
    <row r="6122" spans="1:8" x14ac:dyDescent="0.2">
      <c r="A6122">
        <v>265067</v>
      </c>
      <c r="B6122">
        <v>150000</v>
      </c>
      <c r="C6122" t="str">
        <f t="shared" si="95"/>
        <v>2. $10K-50K</v>
      </c>
      <c r="D6122" t="s">
        <v>857</v>
      </c>
      <c r="E6122" t="s">
        <v>237</v>
      </c>
      <c r="F6122" t="s">
        <v>670</v>
      </c>
      <c r="G6122" t="s">
        <v>59</v>
      </c>
      <c r="H6122">
        <v>2024</v>
      </c>
    </row>
    <row r="6123" spans="1:8" x14ac:dyDescent="0.2">
      <c r="A6123">
        <v>265069</v>
      </c>
      <c r="B6123">
        <v>2050000</v>
      </c>
      <c r="C6123" t="str">
        <f t="shared" si="95"/>
        <v>3. $50K-250K</v>
      </c>
      <c r="D6123" t="s">
        <v>852</v>
      </c>
      <c r="E6123" t="s">
        <v>237</v>
      </c>
      <c r="F6123" t="s">
        <v>670</v>
      </c>
      <c r="G6123" t="s">
        <v>59</v>
      </c>
      <c r="H6123">
        <v>2024</v>
      </c>
    </row>
    <row r="6124" spans="1:8" x14ac:dyDescent="0.2">
      <c r="A6124">
        <v>265073</v>
      </c>
      <c r="B6124">
        <v>6687</v>
      </c>
      <c r="C6124" t="str">
        <f t="shared" si="95"/>
        <v>5. $1M+</v>
      </c>
      <c r="D6124" t="s">
        <v>874</v>
      </c>
      <c r="E6124" t="s">
        <v>237</v>
      </c>
      <c r="F6124" t="s">
        <v>670</v>
      </c>
      <c r="G6124" t="s">
        <v>59</v>
      </c>
      <c r="H6124">
        <v>2024</v>
      </c>
    </row>
    <row r="6125" spans="1:8" x14ac:dyDescent="0.2">
      <c r="A6125">
        <v>265076</v>
      </c>
      <c r="B6125">
        <v>181915.7</v>
      </c>
      <c r="C6125" t="str">
        <f t="shared" si="95"/>
        <v>1. Under $10K</v>
      </c>
      <c r="D6125" t="s">
        <v>867</v>
      </c>
      <c r="E6125" t="s">
        <v>237</v>
      </c>
      <c r="F6125" t="s">
        <v>670</v>
      </c>
      <c r="G6125" t="s">
        <v>59</v>
      </c>
      <c r="H6125">
        <v>2024</v>
      </c>
    </row>
    <row r="6126" spans="1:8" x14ac:dyDescent="0.2">
      <c r="A6126">
        <v>265084</v>
      </c>
      <c r="B6126">
        <v>34749</v>
      </c>
      <c r="C6126" t="str">
        <f t="shared" si="95"/>
        <v>3. $50K-250K</v>
      </c>
      <c r="D6126" t="s">
        <v>874</v>
      </c>
      <c r="E6126" t="s">
        <v>237</v>
      </c>
      <c r="F6126" t="s">
        <v>670</v>
      </c>
      <c r="G6126" t="s">
        <v>59</v>
      </c>
      <c r="H6126">
        <v>2024</v>
      </c>
    </row>
    <row r="6127" spans="1:8" x14ac:dyDescent="0.2">
      <c r="A6127">
        <v>265209</v>
      </c>
      <c r="B6127">
        <v>666490</v>
      </c>
      <c r="C6127" t="str">
        <f t="shared" si="95"/>
        <v>2. $10K-50K</v>
      </c>
      <c r="D6127" t="s">
        <v>874</v>
      </c>
      <c r="E6127" t="s">
        <v>237</v>
      </c>
      <c r="F6127" t="s">
        <v>670</v>
      </c>
      <c r="G6127" t="s">
        <v>59</v>
      </c>
      <c r="H6127">
        <v>2024</v>
      </c>
    </row>
    <row r="6128" spans="1:8" x14ac:dyDescent="0.2">
      <c r="A6128">
        <v>265291</v>
      </c>
      <c r="B6128">
        <v>500000</v>
      </c>
      <c r="C6128" t="str">
        <f t="shared" si="95"/>
        <v>4. $250K-1M</v>
      </c>
      <c r="D6128" t="s">
        <v>807</v>
      </c>
      <c r="E6128" t="s">
        <v>59</v>
      </c>
      <c r="F6128" t="s">
        <v>670</v>
      </c>
      <c r="G6128" t="s">
        <v>59</v>
      </c>
      <c r="H6128">
        <v>2024</v>
      </c>
    </row>
    <row r="6129" spans="1:8" x14ac:dyDescent="0.2">
      <c r="A6129">
        <v>265292</v>
      </c>
      <c r="B6129">
        <v>71697878.200000003</v>
      </c>
      <c r="C6129" t="str">
        <f t="shared" si="95"/>
        <v>4. $250K-1M</v>
      </c>
      <c r="D6129" t="s">
        <v>39</v>
      </c>
      <c r="E6129" t="s">
        <v>8</v>
      </c>
      <c r="F6129" t="s">
        <v>9</v>
      </c>
      <c r="G6129" t="s">
        <v>10</v>
      </c>
      <c r="H6129">
        <v>2024</v>
      </c>
    </row>
    <row r="6130" spans="1:8" x14ac:dyDescent="0.2">
      <c r="A6130">
        <v>265293</v>
      </c>
      <c r="B6130">
        <v>71271996.900000006</v>
      </c>
      <c r="C6130" t="str">
        <f t="shared" si="95"/>
        <v>5. $1M+</v>
      </c>
      <c r="D6130" t="s">
        <v>39</v>
      </c>
      <c r="E6130" t="s">
        <v>8</v>
      </c>
      <c r="F6130" t="s">
        <v>9</v>
      </c>
      <c r="G6130" t="s">
        <v>10</v>
      </c>
      <c r="H6130">
        <v>2024</v>
      </c>
    </row>
    <row r="6131" spans="1:8" x14ac:dyDescent="0.2">
      <c r="A6131">
        <v>265294</v>
      </c>
      <c r="B6131">
        <v>63054001.399999999</v>
      </c>
      <c r="C6131" t="str">
        <f t="shared" si="95"/>
        <v>5. $1M+</v>
      </c>
      <c r="D6131" t="s">
        <v>114</v>
      </c>
      <c r="E6131" t="s">
        <v>8</v>
      </c>
      <c r="F6131" t="s">
        <v>9</v>
      </c>
      <c r="G6131" t="s">
        <v>10</v>
      </c>
      <c r="H6131">
        <v>2024</v>
      </c>
    </row>
    <row r="6132" spans="1:8" x14ac:dyDescent="0.2">
      <c r="A6132">
        <v>265295</v>
      </c>
      <c r="B6132">
        <v>63009076.799999997</v>
      </c>
      <c r="C6132" t="str">
        <f t="shared" si="95"/>
        <v>5. $1M+</v>
      </c>
      <c r="D6132" t="s">
        <v>114</v>
      </c>
      <c r="E6132" t="s">
        <v>8</v>
      </c>
      <c r="F6132" t="s">
        <v>9</v>
      </c>
      <c r="G6132" t="s">
        <v>10</v>
      </c>
      <c r="H6132">
        <v>2024</v>
      </c>
    </row>
    <row r="6133" spans="1:8" x14ac:dyDescent="0.2">
      <c r="A6133">
        <v>265349</v>
      </c>
      <c r="B6133">
        <v>201091.20000000001</v>
      </c>
      <c r="C6133" t="str">
        <f t="shared" si="95"/>
        <v>5. $1M+</v>
      </c>
      <c r="D6133" t="s">
        <v>863</v>
      </c>
      <c r="E6133" t="s">
        <v>237</v>
      </c>
      <c r="F6133" t="s">
        <v>670</v>
      </c>
      <c r="G6133" t="s">
        <v>59</v>
      </c>
      <c r="H6133">
        <v>2024</v>
      </c>
    </row>
    <row r="6134" spans="1:8" x14ac:dyDescent="0.2">
      <c r="A6134">
        <v>265401</v>
      </c>
      <c r="B6134">
        <v>54000</v>
      </c>
      <c r="C6134" t="str">
        <f t="shared" si="95"/>
        <v>3. $50K-250K</v>
      </c>
      <c r="D6134" t="s">
        <v>1075</v>
      </c>
      <c r="E6134" t="s">
        <v>237</v>
      </c>
      <c r="F6134" t="s">
        <v>670</v>
      </c>
      <c r="G6134" t="s">
        <v>59</v>
      </c>
      <c r="H6134">
        <v>2024</v>
      </c>
    </row>
    <row r="6135" spans="1:8" x14ac:dyDescent="0.2">
      <c r="A6135">
        <v>265413</v>
      </c>
      <c r="B6135">
        <v>51000</v>
      </c>
      <c r="C6135" t="str">
        <f t="shared" si="95"/>
        <v>3. $50K-250K</v>
      </c>
      <c r="D6135" t="s">
        <v>694</v>
      </c>
      <c r="E6135" t="s">
        <v>237</v>
      </c>
      <c r="F6135" t="s">
        <v>670</v>
      </c>
      <c r="G6135" t="s">
        <v>59</v>
      </c>
      <c r="H6135">
        <v>2024</v>
      </c>
    </row>
    <row r="6136" spans="1:8" x14ac:dyDescent="0.2">
      <c r="A6136">
        <v>265414</v>
      </c>
      <c r="B6136">
        <v>72000</v>
      </c>
      <c r="C6136" t="str">
        <f t="shared" si="95"/>
        <v>3. $50K-250K</v>
      </c>
      <c r="D6136" t="s">
        <v>760</v>
      </c>
      <c r="E6136" t="s">
        <v>237</v>
      </c>
      <c r="F6136" t="s">
        <v>670</v>
      </c>
      <c r="G6136" t="s">
        <v>59</v>
      </c>
      <c r="H6136">
        <v>2024</v>
      </c>
    </row>
    <row r="6137" spans="1:8" x14ac:dyDescent="0.2">
      <c r="A6137">
        <v>265415</v>
      </c>
      <c r="B6137">
        <v>96000</v>
      </c>
      <c r="C6137" t="str">
        <f t="shared" si="95"/>
        <v>3. $50K-250K</v>
      </c>
      <c r="D6137" t="s">
        <v>1032</v>
      </c>
      <c r="E6137" t="s">
        <v>237</v>
      </c>
      <c r="F6137" t="s">
        <v>670</v>
      </c>
      <c r="G6137" t="s">
        <v>59</v>
      </c>
      <c r="H6137">
        <v>2024</v>
      </c>
    </row>
    <row r="6138" spans="1:8" x14ac:dyDescent="0.2">
      <c r="A6138">
        <v>265416</v>
      </c>
      <c r="B6138">
        <v>72000</v>
      </c>
      <c r="C6138" t="str">
        <f t="shared" si="95"/>
        <v>3. $50K-250K</v>
      </c>
      <c r="D6138" t="s">
        <v>762</v>
      </c>
      <c r="E6138" t="s">
        <v>237</v>
      </c>
      <c r="F6138" t="s">
        <v>670</v>
      </c>
      <c r="G6138" t="s">
        <v>59</v>
      </c>
      <c r="H6138">
        <v>2024</v>
      </c>
    </row>
    <row r="6139" spans="1:8" x14ac:dyDescent="0.2">
      <c r="A6139">
        <v>265418</v>
      </c>
      <c r="B6139">
        <v>54000</v>
      </c>
      <c r="C6139" t="str">
        <f t="shared" si="95"/>
        <v>3. $50K-250K</v>
      </c>
      <c r="D6139" t="s">
        <v>713</v>
      </c>
      <c r="E6139" t="s">
        <v>237</v>
      </c>
      <c r="F6139" t="s">
        <v>670</v>
      </c>
      <c r="G6139" t="s">
        <v>59</v>
      </c>
      <c r="H6139">
        <v>2024</v>
      </c>
    </row>
    <row r="6140" spans="1:8" x14ac:dyDescent="0.2">
      <c r="A6140">
        <v>265419</v>
      </c>
      <c r="B6140">
        <v>54000</v>
      </c>
      <c r="C6140" t="str">
        <f t="shared" si="95"/>
        <v>3. $50K-250K</v>
      </c>
      <c r="D6140" t="s">
        <v>708</v>
      </c>
      <c r="E6140" t="s">
        <v>237</v>
      </c>
      <c r="F6140" t="s">
        <v>670</v>
      </c>
      <c r="G6140" t="s">
        <v>59</v>
      </c>
      <c r="H6140">
        <v>2024</v>
      </c>
    </row>
    <row r="6141" spans="1:8" x14ac:dyDescent="0.2">
      <c r="A6141">
        <v>265420</v>
      </c>
      <c r="B6141">
        <v>54000</v>
      </c>
      <c r="C6141" t="str">
        <f t="shared" si="95"/>
        <v>3. $50K-250K</v>
      </c>
      <c r="D6141" t="s">
        <v>908</v>
      </c>
      <c r="E6141" t="s">
        <v>237</v>
      </c>
      <c r="F6141" t="s">
        <v>670</v>
      </c>
      <c r="G6141" t="s">
        <v>59</v>
      </c>
      <c r="H6141">
        <v>2024</v>
      </c>
    </row>
    <row r="6142" spans="1:8" x14ac:dyDescent="0.2">
      <c r="A6142">
        <v>265421</v>
      </c>
      <c r="B6142">
        <v>54000</v>
      </c>
      <c r="C6142" t="str">
        <f t="shared" si="95"/>
        <v>3. $50K-250K</v>
      </c>
      <c r="D6142" t="s">
        <v>701</v>
      </c>
      <c r="E6142" t="s">
        <v>237</v>
      </c>
      <c r="F6142" t="s">
        <v>670</v>
      </c>
      <c r="G6142" t="s">
        <v>59</v>
      </c>
      <c r="H6142">
        <v>2024</v>
      </c>
    </row>
    <row r="6143" spans="1:8" x14ac:dyDescent="0.2">
      <c r="A6143">
        <v>265422</v>
      </c>
      <c r="B6143">
        <v>135000</v>
      </c>
      <c r="C6143" t="str">
        <f t="shared" si="95"/>
        <v>3. $50K-250K</v>
      </c>
      <c r="D6143" t="s">
        <v>713</v>
      </c>
      <c r="E6143" t="s">
        <v>237</v>
      </c>
      <c r="F6143" t="s">
        <v>670</v>
      </c>
      <c r="G6143" t="s">
        <v>59</v>
      </c>
      <c r="H6143">
        <v>2024</v>
      </c>
    </row>
    <row r="6144" spans="1:8" x14ac:dyDescent="0.2">
      <c r="A6144">
        <v>265423</v>
      </c>
      <c r="B6144">
        <v>57000</v>
      </c>
      <c r="C6144" t="str">
        <f t="shared" si="95"/>
        <v>3. $50K-250K</v>
      </c>
      <c r="D6144" t="s">
        <v>694</v>
      </c>
      <c r="E6144" t="s">
        <v>237</v>
      </c>
      <c r="F6144" t="s">
        <v>670</v>
      </c>
      <c r="G6144" t="s">
        <v>59</v>
      </c>
      <c r="H6144">
        <v>2024</v>
      </c>
    </row>
    <row r="6145" spans="1:8" x14ac:dyDescent="0.2">
      <c r="A6145">
        <v>265424</v>
      </c>
      <c r="B6145">
        <v>162000</v>
      </c>
      <c r="C6145" t="str">
        <f t="shared" si="95"/>
        <v>3. $50K-250K</v>
      </c>
      <c r="D6145" t="s">
        <v>713</v>
      </c>
      <c r="E6145" t="s">
        <v>237</v>
      </c>
      <c r="F6145" t="s">
        <v>670</v>
      </c>
      <c r="G6145" t="s">
        <v>59</v>
      </c>
      <c r="H6145">
        <v>2024</v>
      </c>
    </row>
    <row r="6146" spans="1:8" x14ac:dyDescent="0.2">
      <c r="A6146">
        <v>265425</v>
      </c>
      <c r="B6146">
        <v>135000</v>
      </c>
      <c r="C6146" t="str">
        <f t="shared" si="95"/>
        <v>3. $50K-250K</v>
      </c>
      <c r="D6146" t="s">
        <v>713</v>
      </c>
      <c r="E6146" t="s">
        <v>237</v>
      </c>
      <c r="F6146" t="s">
        <v>670</v>
      </c>
      <c r="G6146" t="s">
        <v>59</v>
      </c>
      <c r="H6146">
        <v>2024</v>
      </c>
    </row>
    <row r="6147" spans="1:8" x14ac:dyDescent="0.2">
      <c r="A6147">
        <v>265426</v>
      </c>
      <c r="B6147">
        <v>54000</v>
      </c>
      <c r="C6147" t="str">
        <f t="shared" ref="C6147:C6210" si="96">IF(B6146&lt;10000,"1. Under $10K",IF(B6146&lt;50000,"2. $10K-50K",IF(B6146&lt;250000,"3. $50K-250K",IF(B6146&lt;1000000,"4. $250K-1M","5. $1M+"))))</f>
        <v>3. $50K-250K</v>
      </c>
      <c r="D6147" t="s">
        <v>762</v>
      </c>
      <c r="E6147" t="s">
        <v>237</v>
      </c>
      <c r="F6147" t="s">
        <v>670</v>
      </c>
      <c r="G6147" t="s">
        <v>59</v>
      </c>
      <c r="H6147">
        <v>2024</v>
      </c>
    </row>
    <row r="6148" spans="1:8" x14ac:dyDescent="0.2">
      <c r="A6148">
        <v>265427</v>
      </c>
      <c r="B6148">
        <v>696000</v>
      </c>
      <c r="C6148" t="str">
        <f t="shared" si="96"/>
        <v>3. $50K-250K</v>
      </c>
      <c r="D6148" t="s">
        <v>1094</v>
      </c>
      <c r="E6148" t="s">
        <v>237</v>
      </c>
      <c r="F6148" t="s">
        <v>670</v>
      </c>
      <c r="G6148" t="s">
        <v>59</v>
      </c>
      <c r="H6148">
        <v>2024</v>
      </c>
    </row>
    <row r="6149" spans="1:8" x14ac:dyDescent="0.2">
      <c r="A6149">
        <v>265428</v>
      </c>
      <c r="B6149">
        <v>620000</v>
      </c>
      <c r="C6149" t="str">
        <f t="shared" si="96"/>
        <v>4. $250K-1M</v>
      </c>
      <c r="D6149" t="s">
        <v>853</v>
      </c>
      <c r="E6149" t="s">
        <v>237</v>
      </c>
      <c r="F6149" t="s">
        <v>670</v>
      </c>
      <c r="G6149" t="s">
        <v>59</v>
      </c>
      <c r="H6149">
        <v>2024</v>
      </c>
    </row>
    <row r="6150" spans="1:8" x14ac:dyDescent="0.2">
      <c r="A6150">
        <v>265429</v>
      </c>
      <c r="B6150">
        <v>984000</v>
      </c>
      <c r="C6150" t="str">
        <f t="shared" si="96"/>
        <v>4. $250K-1M</v>
      </c>
      <c r="D6150" t="s">
        <v>1094</v>
      </c>
      <c r="E6150" t="s">
        <v>237</v>
      </c>
      <c r="F6150" t="s">
        <v>670</v>
      </c>
      <c r="G6150" t="s">
        <v>59</v>
      </c>
      <c r="H6150">
        <v>2024</v>
      </c>
    </row>
    <row r="6151" spans="1:8" x14ac:dyDescent="0.2">
      <c r="A6151">
        <v>265430</v>
      </c>
      <c r="B6151">
        <v>1440000</v>
      </c>
      <c r="C6151" t="str">
        <f t="shared" si="96"/>
        <v>4. $250K-1M</v>
      </c>
      <c r="D6151" t="s">
        <v>1094</v>
      </c>
      <c r="E6151" t="s">
        <v>237</v>
      </c>
      <c r="F6151" t="s">
        <v>670</v>
      </c>
      <c r="G6151" t="s">
        <v>59</v>
      </c>
      <c r="H6151">
        <v>2024</v>
      </c>
    </row>
    <row r="6152" spans="1:8" x14ac:dyDescent="0.2">
      <c r="A6152">
        <v>265431</v>
      </c>
      <c r="B6152">
        <v>48000</v>
      </c>
      <c r="C6152" t="str">
        <f t="shared" si="96"/>
        <v>5. $1M+</v>
      </c>
      <c r="D6152" t="s">
        <v>713</v>
      </c>
      <c r="E6152" t="s">
        <v>237</v>
      </c>
      <c r="F6152" t="s">
        <v>670</v>
      </c>
      <c r="G6152" t="s">
        <v>59</v>
      </c>
      <c r="H6152">
        <v>2024</v>
      </c>
    </row>
    <row r="6153" spans="1:8" x14ac:dyDescent="0.2">
      <c r="A6153">
        <v>265432</v>
      </c>
      <c r="B6153">
        <v>15263</v>
      </c>
      <c r="C6153" t="str">
        <f t="shared" si="96"/>
        <v>2. $10K-50K</v>
      </c>
      <c r="D6153" t="s">
        <v>1033</v>
      </c>
      <c r="E6153" t="s">
        <v>237</v>
      </c>
      <c r="F6153" t="s">
        <v>670</v>
      </c>
      <c r="G6153" t="s">
        <v>59</v>
      </c>
      <c r="H6153">
        <v>2024</v>
      </c>
    </row>
    <row r="6154" spans="1:8" x14ac:dyDescent="0.2">
      <c r="A6154">
        <v>265437</v>
      </c>
      <c r="B6154">
        <v>945024</v>
      </c>
      <c r="C6154" t="str">
        <f t="shared" si="96"/>
        <v>2. $10K-50K</v>
      </c>
      <c r="D6154" t="s">
        <v>230</v>
      </c>
      <c r="E6154" t="s">
        <v>67</v>
      </c>
      <c r="F6154" t="s">
        <v>231</v>
      </c>
      <c r="G6154" t="s">
        <v>232</v>
      </c>
      <c r="H6154">
        <v>2024</v>
      </c>
    </row>
    <row r="6155" spans="1:8" x14ac:dyDescent="0.2">
      <c r="A6155">
        <v>265439</v>
      </c>
      <c r="B6155">
        <v>1060911.3999999999</v>
      </c>
      <c r="C6155" t="str">
        <f t="shared" si="96"/>
        <v>4. $250K-1M</v>
      </c>
      <c r="D6155" t="s">
        <v>828</v>
      </c>
      <c r="E6155" t="s">
        <v>237</v>
      </c>
      <c r="F6155" t="s">
        <v>670</v>
      </c>
      <c r="G6155" t="s">
        <v>59</v>
      </c>
      <c r="H6155">
        <v>2024</v>
      </c>
    </row>
    <row r="6156" spans="1:8" x14ac:dyDescent="0.2">
      <c r="A6156">
        <v>265493</v>
      </c>
      <c r="B6156">
        <v>5348150</v>
      </c>
      <c r="C6156" t="str">
        <f t="shared" si="96"/>
        <v>5. $1M+</v>
      </c>
      <c r="D6156" t="s">
        <v>416</v>
      </c>
      <c r="E6156" t="s">
        <v>8</v>
      </c>
      <c r="F6156" t="s">
        <v>22</v>
      </c>
      <c r="G6156" t="s">
        <v>10</v>
      </c>
      <c r="H6156">
        <v>2024</v>
      </c>
    </row>
    <row r="6157" spans="1:8" x14ac:dyDescent="0.2">
      <c r="A6157">
        <v>265494</v>
      </c>
      <c r="B6157">
        <v>7000092</v>
      </c>
      <c r="C6157" t="str">
        <f t="shared" si="96"/>
        <v>5. $1M+</v>
      </c>
      <c r="D6157" t="s">
        <v>852</v>
      </c>
      <c r="E6157" t="s">
        <v>237</v>
      </c>
      <c r="F6157" t="s">
        <v>670</v>
      </c>
      <c r="G6157" t="s">
        <v>59</v>
      </c>
      <c r="H6157">
        <v>2024</v>
      </c>
    </row>
    <row r="6158" spans="1:8" x14ac:dyDescent="0.2">
      <c r="A6158">
        <v>265498</v>
      </c>
      <c r="B6158">
        <v>310000</v>
      </c>
      <c r="C6158" t="str">
        <f t="shared" si="96"/>
        <v>5. $1M+</v>
      </c>
      <c r="D6158" t="s">
        <v>936</v>
      </c>
      <c r="E6158" t="s">
        <v>237</v>
      </c>
      <c r="F6158" t="s">
        <v>670</v>
      </c>
      <c r="G6158" t="s">
        <v>59</v>
      </c>
      <c r="H6158">
        <v>2024</v>
      </c>
    </row>
    <row r="6159" spans="1:8" x14ac:dyDescent="0.2">
      <c r="A6159">
        <v>265508</v>
      </c>
      <c r="B6159">
        <v>189385</v>
      </c>
      <c r="C6159" t="str">
        <f t="shared" si="96"/>
        <v>4. $250K-1M</v>
      </c>
      <c r="D6159" t="s">
        <v>230</v>
      </c>
      <c r="E6159" t="s">
        <v>28</v>
      </c>
      <c r="F6159" t="s">
        <v>231</v>
      </c>
      <c r="G6159" t="s">
        <v>232</v>
      </c>
      <c r="H6159">
        <v>2025</v>
      </c>
    </row>
    <row r="6160" spans="1:8" x14ac:dyDescent="0.2">
      <c r="A6160">
        <v>265512</v>
      </c>
      <c r="B6160">
        <v>208961.1</v>
      </c>
      <c r="C6160" t="str">
        <f t="shared" si="96"/>
        <v>3. $50K-250K</v>
      </c>
      <c r="D6160" t="s">
        <v>1033</v>
      </c>
      <c r="E6160" t="s">
        <v>237</v>
      </c>
      <c r="F6160" t="s">
        <v>670</v>
      </c>
      <c r="G6160" t="s">
        <v>59</v>
      </c>
      <c r="H6160">
        <v>2024</v>
      </c>
    </row>
    <row r="6161" spans="1:8" x14ac:dyDescent="0.2">
      <c r="A6161">
        <v>265513</v>
      </c>
      <c r="B6161">
        <v>250098</v>
      </c>
      <c r="C6161" t="str">
        <f t="shared" si="96"/>
        <v>3. $50K-250K</v>
      </c>
      <c r="D6161" t="s">
        <v>875</v>
      </c>
      <c r="E6161" t="s">
        <v>237</v>
      </c>
      <c r="F6161" t="s">
        <v>670</v>
      </c>
      <c r="G6161" t="s">
        <v>59</v>
      </c>
      <c r="H6161">
        <v>2024</v>
      </c>
    </row>
    <row r="6162" spans="1:8" x14ac:dyDescent="0.2">
      <c r="A6162">
        <v>265515</v>
      </c>
      <c r="B6162">
        <v>720000</v>
      </c>
      <c r="C6162" t="str">
        <f t="shared" si="96"/>
        <v>4. $250K-1M</v>
      </c>
      <c r="D6162" t="s">
        <v>1094</v>
      </c>
      <c r="E6162" t="s">
        <v>237</v>
      </c>
      <c r="F6162" t="s">
        <v>670</v>
      </c>
      <c r="G6162" t="s">
        <v>59</v>
      </c>
      <c r="H6162">
        <v>2024</v>
      </c>
    </row>
    <row r="6163" spans="1:8" x14ac:dyDescent="0.2">
      <c r="A6163">
        <v>265517</v>
      </c>
      <c r="B6163">
        <v>486474.6</v>
      </c>
      <c r="C6163" t="str">
        <f t="shared" si="96"/>
        <v>4. $250K-1M</v>
      </c>
      <c r="D6163" t="s">
        <v>860</v>
      </c>
      <c r="E6163" t="s">
        <v>237</v>
      </c>
      <c r="F6163" t="s">
        <v>670</v>
      </c>
      <c r="G6163" t="s">
        <v>59</v>
      </c>
      <c r="H6163">
        <v>2024</v>
      </c>
    </row>
    <row r="6164" spans="1:8" x14ac:dyDescent="0.2">
      <c r="A6164">
        <v>265518</v>
      </c>
      <c r="B6164">
        <v>447551</v>
      </c>
      <c r="C6164" t="str">
        <f t="shared" si="96"/>
        <v>4. $250K-1M</v>
      </c>
      <c r="D6164" t="s">
        <v>860</v>
      </c>
      <c r="E6164" t="s">
        <v>237</v>
      </c>
      <c r="F6164" t="s">
        <v>670</v>
      </c>
      <c r="G6164" t="s">
        <v>59</v>
      </c>
      <c r="H6164">
        <v>2024</v>
      </c>
    </row>
    <row r="6165" spans="1:8" x14ac:dyDescent="0.2">
      <c r="A6165">
        <v>265523</v>
      </c>
      <c r="B6165">
        <v>60000</v>
      </c>
      <c r="C6165" t="str">
        <f t="shared" si="96"/>
        <v>4. $250K-1M</v>
      </c>
      <c r="D6165" t="s">
        <v>860</v>
      </c>
      <c r="E6165" t="s">
        <v>237</v>
      </c>
      <c r="F6165" t="s">
        <v>670</v>
      </c>
      <c r="G6165" t="s">
        <v>59</v>
      </c>
      <c r="H6165">
        <v>2024</v>
      </c>
    </row>
    <row r="6166" spans="1:8" x14ac:dyDescent="0.2">
      <c r="A6166">
        <v>265524</v>
      </c>
      <c r="B6166">
        <v>60590</v>
      </c>
      <c r="C6166" t="str">
        <f t="shared" si="96"/>
        <v>3. $50K-250K</v>
      </c>
      <c r="D6166" t="s">
        <v>874</v>
      </c>
      <c r="E6166" t="s">
        <v>237</v>
      </c>
      <c r="F6166" t="s">
        <v>670</v>
      </c>
      <c r="G6166" t="s">
        <v>59</v>
      </c>
      <c r="H6166">
        <v>2024</v>
      </c>
    </row>
    <row r="6167" spans="1:8" x14ac:dyDescent="0.2">
      <c r="A6167">
        <v>265525</v>
      </c>
      <c r="B6167">
        <v>109709</v>
      </c>
      <c r="C6167" t="str">
        <f t="shared" si="96"/>
        <v>3. $50K-250K</v>
      </c>
      <c r="D6167" t="s">
        <v>854</v>
      </c>
      <c r="E6167" t="s">
        <v>237</v>
      </c>
      <c r="F6167" t="s">
        <v>670</v>
      </c>
      <c r="G6167" t="s">
        <v>59</v>
      </c>
      <c r="H6167">
        <v>2024</v>
      </c>
    </row>
    <row r="6168" spans="1:8" x14ac:dyDescent="0.2">
      <c r="A6168">
        <v>265526</v>
      </c>
      <c r="B6168">
        <v>7527</v>
      </c>
      <c r="C6168" t="str">
        <f t="shared" si="96"/>
        <v>3. $50K-250K</v>
      </c>
      <c r="D6168" t="s">
        <v>869</v>
      </c>
      <c r="E6168" t="s">
        <v>237</v>
      </c>
      <c r="F6168" t="s">
        <v>670</v>
      </c>
      <c r="G6168" t="s">
        <v>59</v>
      </c>
      <c r="H6168">
        <v>2024</v>
      </c>
    </row>
    <row r="6169" spans="1:8" x14ac:dyDescent="0.2">
      <c r="A6169">
        <v>265527</v>
      </c>
      <c r="B6169">
        <v>50000</v>
      </c>
      <c r="C6169" t="str">
        <f t="shared" si="96"/>
        <v>1. Under $10K</v>
      </c>
      <c r="D6169" t="s">
        <v>869</v>
      </c>
      <c r="E6169" t="s">
        <v>237</v>
      </c>
      <c r="F6169" t="s">
        <v>670</v>
      </c>
      <c r="G6169" t="s">
        <v>59</v>
      </c>
      <c r="H6169">
        <v>2024</v>
      </c>
    </row>
    <row r="6170" spans="1:8" x14ac:dyDescent="0.2">
      <c r="A6170">
        <v>265528</v>
      </c>
      <c r="B6170">
        <v>29200</v>
      </c>
      <c r="C6170" t="str">
        <f t="shared" si="96"/>
        <v>3. $50K-250K</v>
      </c>
      <c r="D6170" t="s">
        <v>869</v>
      </c>
      <c r="E6170" t="s">
        <v>237</v>
      </c>
      <c r="F6170" t="s">
        <v>670</v>
      </c>
      <c r="G6170" t="s">
        <v>59</v>
      </c>
      <c r="H6170">
        <v>2024</v>
      </c>
    </row>
    <row r="6171" spans="1:8" x14ac:dyDescent="0.2">
      <c r="A6171">
        <v>265529</v>
      </c>
      <c r="B6171">
        <v>241172</v>
      </c>
      <c r="C6171" t="str">
        <f t="shared" si="96"/>
        <v>2. $10K-50K</v>
      </c>
      <c r="D6171" t="s">
        <v>807</v>
      </c>
      <c r="E6171" t="s">
        <v>237</v>
      </c>
      <c r="F6171" t="s">
        <v>670</v>
      </c>
      <c r="G6171" t="s">
        <v>59</v>
      </c>
      <c r="H6171">
        <v>2024</v>
      </c>
    </row>
    <row r="6172" spans="1:8" x14ac:dyDescent="0.2">
      <c r="A6172">
        <v>265530</v>
      </c>
      <c r="B6172">
        <v>24725</v>
      </c>
      <c r="C6172" t="str">
        <f t="shared" si="96"/>
        <v>3. $50K-250K</v>
      </c>
      <c r="D6172" t="s">
        <v>807</v>
      </c>
      <c r="E6172" t="s">
        <v>237</v>
      </c>
      <c r="F6172" t="s">
        <v>670</v>
      </c>
      <c r="G6172" t="s">
        <v>59</v>
      </c>
      <c r="H6172">
        <v>2024</v>
      </c>
    </row>
    <row r="6173" spans="1:8" x14ac:dyDescent="0.2">
      <c r="A6173">
        <v>265531</v>
      </c>
      <c r="B6173">
        <v>40928</v>
      </c>
      <c r="C6173" t="str">
        <f t="shared" si="96"/>
        <v>2. $10K-50K</v>
      </c>
      <c r="D6173" t="s">
        <v>795</v>
      </c>
      <c r="E6173" t="s">
        <v>237</v>
      </c>
      <c r="F6173" t="s">
        <v>670</v>
      </c>
      <c r="G6173" t="s">
        <v>59</v>
      </c>
      <c r="H6173">
        <v>2024</v>
      </c>
    </row>
    <row r="6174" spans="1:8" x14ac:dyDescent="0.2">
      <c r="A6174">
        <v>265532</v>
      </c>
      <c r="B6174">
        <v>251658</v>
      </c>
      <c r="C6174" t="str">
        <f t="shared" si="96"/>
        <v>2. $10K-50K</v>
      </c>
      <c r="D6174" t="s">
        <v>813</v>
      </c>
      <c r="E6174" t="s">
        <v>237</v>
      </c>
      <c r="F6174" t="s">
        <v>670</v>
      </c>
      <c r="G6174" t="s">
        <v>59</v>
      </c>
      <c r="H6174">
        <v>2024</v>
      </c>
    </row>
    <row r="6175" spans="1:8" x14ac:dyDescent="0.2">
      <c r="A6175">
        <v>265540</v>
      </c>
      <c r="B6175">
        <v>219187</v>
      </c>
      <c r="C6175" t="str">
        <f t="shared" si="96"/>
        <v>4. $250K-1M</v>
      </c>
      <c r="D6175" t="s">
        <v>813</v>
      </c>
      <c r="E6175" t="s">
        <v>237</v>
      </c>
      <c r="F6175" t="s">
        <v>670</v>
      </c>
      <c r="G6175" t="s">
        <v>59</v>
      </c>
      <c r="H6175">
        <v>2024</v>
      </c>
    </row>
    <row r="6176" spans="1:8" x14ac:dyDescent="0.2">
      <c r="A6176">
        <v>265560</v>
      </c>
      <c r="B6176">
        <v>57520</v>
      </c>
      <c r="C6176" t="str">
        <f t="shared" si="96"/>
        <v>3. $50K-250K</v>
      </c>
      <c r="D6176" t="s">
        <v>1559</v>
      </c>
      <c r="E6176" t="s">
        <v>237</v>
      </c>
      <c r="F6176" t="s">
        <v>670</v>
      </c>
      <c r="G6176" t="s">
        <v>59</v>
      </c>
      <c r="H6176">
        <v>2024</v>
      </c>
    </row>
    <row r="6177" spans="1:8" x14ac:dyDescent="0.2">
      <c r="A6177">
        <v>265590</v>
      </c>
      <c r="B6177">
        <v>203418.8</v>
      </c>
      <c r="C6177" t="str">
        <f t="shared" si="96"/>
        <v>3. $50K-250K</v>
      </c>
      <c r="D6177" t="s">
        <v>230</v>
      </c>
      <c r="E6177" t="s">
        <v>67</v>
      </c>
      <c r="F6177" t="s">
        <v>231</v>
      </c>
      <c r="G6177" t="s">
        <v>232</v>
      </c>
      <c r="H6177">
        <v>2024</v>
      </c>
    </row>
    <row r="6178" spans="1:8" x14ac:dyDescent="0.2">
      <c r="A6178">
        <v>265596</v>
      </c>
      <c r="B6178">
        <v>9360589</v>
      </c>
      <c r="C6178" t="str">
        <f t="shared" si="96"/>
        <v>3. $50K-250K</v>
      </c>
      <c r="D6178" t="s">
        <v>1052</v>
      </c>
      <c r="E6178" t="s">
        <v>237</v>
      </c>
      <c r="F6178" t="s">
        <v>670</v>
      </c>
      <c r="G6178" t="s">
        <v>59</v>
      </c>
      <c r="H6178">
        <v>2024</v>
      </c>
    </row>
    <row r="6179" spans="1:8" x14ac:dyDescent="0.2">
      <c r="A6179">
        <v>265606</v>
      </c>
      <c r="B6179">
        <v>31962208.800000001</v>
      </c>
      <c r="C6179" t="str">
        <f t="shared" si="96"/>
        <v>5. $1M+</v>
      </c>
      <c r="D6179" t="s">
        <v>1052</v>
      </c>
      <c r="E6179" t="s">
        <v>237</v>
      </c>
      <c r="F6179" t="s">
        <v>670</v>
      </c>
      <c r="G6179" t="s">
        <v>59</v>
      </c>
      <c r="H6179">
        <v>2024</v>
      </c>
    </row>
    <row r="6180" spans="1:8" x14ac:dyDescent="0.2">
      <c r="A6180">
        <v>265624</v>
      </c>
      <c r="B6180">
        <v>48671.7</v>
      </c>
      <c r="C6180" t="str">
        <f t="shared" si="96"/>
        <v>5. $1M+</v>
      </c>
      <c r="D6180" t="s">
        <v>230</v>
      </c>
      <c r="E6180" t="s">
        <v>67</v>
      </c>
      <c r="F6180" t="s">
        <v>231</v>
      </c>
      <c r="G6180" t="s">
        <v>232</v>
      </c>
      <c r="H6180">
        <v>2024</v>
      </c>
    </row>
    <row r="6181" spans="1:8" x14ac:dyDescent="0.2">
      <c r="A6181">
        <v>265673</v>
      </c>
      <c r="B6181">
        <v>230787</v>
      </c>
      <c r="C6181" t="str">
        <f t="shared" si="96"/>
        <v>2. $10K-50K</v>
      </c>
      <c r="D6181" t="s">
        <v>2156</v>
      </c>
      <c r="E6181" t="s">
        <v>59</v>
      </c>
      <c r="F6181" t="s">
        <v>670</v>
      </c>
      <c r="G6181" t="s">
        <v>59</v>
      </c>
      <c r="H6181">
        <v>2024</v>
      </c>
    </row>
    <row r="6182" spans="1:8" x14ac:dyDescent="0.2">
      <c r="A6182">
        <v>265678</v>
      </c>
      <c r="B6182">
        <v>1939176.8</v>
      </c>
      <c r="C6182" t="str">
        <f t="shared" si="96"/>
        <v>3. $50K-250K</v>
      </c>
      <c r="D6182" t="s">
        <v>904</v>
      </c>
      <c r="E6182" t="s">
        <v>891</v>
      </c>
      <c r="F6182" t="s">
        <v>670</v>
      </c>
      <c r="G6182" t="s">
        <v>59</v>
      </c>
      <c r="H6182">
        <v>2024</v>
      </c>
    </row>
    <row r="6183" spans="1:8" x14ac:dyDescent="0.2">
      <c r="A6183">
        <v>265679</v>
      </c>
      <c r="B6183">
        <v>40000</v>
      </c>
      <c r="C6183" t="str">
        <f t="shared" si="96"/>
        <v>5. $1M+</v>
      </c>
      <c r="D6183" t="s">
        <v>783</v>
      </c>
      <c r="E6183" t="s">
        <v>42</v>
      </c>
      <c r="F6183" t="s">
        <v>670</v>
      </c>
      <c r="G6183" t="s">
        <v>44</v>
      </c>
      <c r="H6183">
        <v>2024</v>
      </c>
    </row>
    <row r="6184" spans="1:8" x14ac:dyDescent="0.2">
      <c r="A6184">
        <v>265681</v>
      </c>
      <c r="B6184">
        <v>40000</v>
      </c>
      <c r="C6184" t="str">
        <f t="shared" si="96"/>
        <v>2. $10K-50K</v>
      </c>
      <c r="D6184" t="s">
        <v>801</v>
      </c>
      <c r="E6184" t="s">
        <v>42</v>
      </c>
      <c r="F6184" t="s">
        <v>670</v>
      </c>
      <c r="G6184" t="s">
        <v>44</v>
      </c>
      <c r="H6184">
        <v>2024</v>
      </c>
    </row>
    <row r="6185" spans="1:8" x14ac:dyDescent="0.2">
      <c r="A6185">
        <v>265795</v>
      </c>
      <c r="B6185">
        <v>240856.1</v>
      </c>
      <c r="C6185" t="str">
        <f t="shared" si="96"/>
        <v>2. $10K-50K</v>
      </c>
      <c r="D6185" t="s">
        <v>936</v>
      </c>
      <c r="E6185" t="s">
        <v>237</v>
      </c>
      <c r="F6185" t="s">
        <v>670</v>
      </c>
      <c r="G6185" t="s">
        <v>59</v>
      </c>
      <c r="H6185">
        <v>2024</v>
      </c>
    </row>
    <row r="6186" spans="1:8" x14ac:dyDescent="0.2">
      <c r="A6186">
        <v>265796</v>
      </c>
      <c r="B6186">
        <v>55300</v>
      </c>
      <c r="C6186" t="str">
        <f t="shared" si="96"/>
        <v>3. $50K-250K</v>
      </c>
      <c r="D6186" t="s">
        <v>967</v>
      </c>
      <c r="E6186" t="s">
        <v>432</v>
      </c>
      <c r="F6186" t="s">
        <v>670</v>
      </c>
      <c r="G6186" t="s">
        <v>59</v>
      </c>
      <c r="H6186">
        <v>2024</v>
      </c>
    </row>
    <row r="6187" spans="1:8" x14ac:dyDescent="0.2">
      <c r="A6187">
        <v>265816</v>
      </c>
      <c r="B6187">
        <v>1105855.6000000001</v>
      </c>
      <c r="C6187" t="str">
        <f t="shared" si="96"/>
        <v>3. $50K-250K</v>
      </c>
      <c r="D6187" t="s">
        <v>230</v>
      </c>
      <c r="E6187" t="s">
        <v>67</v>
      </c>
      <c r="F6187" t="s">
        <v>231</v>
      </c>
      <c r="G6187" t="s">
        <v>232</v>
      </c>
      <c r="H6187">
        <v>2024</v>
      </c>
    </row>
    <row r="6188" spans="1:8" x14ac:dyDescent="0.2">
      <c r="A6188">
        <v>265818</v>
      </c>
      <c r="B6188">
        <v>78455.600000000006</v>
      </c>
      <c r="C6188" t="str">
        <f t="shared" si="96"/>
        <v>5. $1M+</v>
      </c>
      <c r="D6188" t="s">
        <v>925</v>
      </c>
      <c r="E6188" t="s">
        <v>237</v>
      </c>
      <c r="F6188" t="s">
        <v>670</v>
      </c>
      <c r="G6188" t="s">
        <v>59</v>
      </c>
      <c r="H6188">
        <v>2024</v>
      </c>
    </row>
    <row r="6189" spans="1:8" x14ac:dyDescent="0.2">
      <c r="A6189">
        <v>265820</v>
      </c>
      <c r="B6189">
        <v>206355.6</v>
      </c>
      <c r="C6189" t="str">
        <f t="shared" si="96"/>
        <v>3. $50K-250K</v>
      </c>
      <c r="D6189" t="s">
        <v>708</v>
      </c>
      <c r="E6189" t="s">
        <v>237</v>
      </c>
      <c r="F6189" t="s">
        <v>670</v>
      </c>
      <c r="G6189" t="s">
        <v>59</v>
      </c>
      <c r="H6189">
        <v>2024</v>
      </c>
    </row>
    <row r="6190" spans="1:8" x14ac:dyDescent="0.2">
      <c r="A6190">
        <v>265822</v>
      </c>
      <c r="B6190">
        <v>146847.20000000001</v>
      </c>
      <c r="C6190" t="str">
        <f t="shared" si="96"/>
        <v>3. $50K-250K</v>
      </c>
      <c r="D6190" t="s">
        <v>1478</v>
      </c>
      <c r="E6190" t="s">
        <v>237</v>
      </c>
      <c r="F6190" t="s">
        <v>670</v>
      </c>
      <c r="G6190" t="s">
        <v>59</v>
      </c>
      <c r="H6190">
        <v>2024</v>
      </c>
    </row>
    <row r="6191" spans="1:8" x14ac:dyDescent="0.2">
      <c r="A6191">
        <v>265823</v>
      </c>
      <c r="B6191">
        <v>100070.299999999</v>
      </c>
      <c r="C6191" t="str">
        <f t="shared" si="96"/>
        <v>3. $50K-250K</v>
      </c>
      <c r="D6191" t="s">
        <v>1478</v>
      </c>
      <c r="E6191" t="s">
        <v>237</v>
      </c>
      <c r="F6191" t="s">
        <v>670</v>
      </c>
      <c r="G6191" t="s">
        <v>59</v>
      </c>
      <c r="H6191">
        <v>2024</v>
      </c>
    </row>
    <row r="6192" spans="1:8" x14ac:dyDescent="0.2">
      <c r="A6192">
        <v>265824</v>
      </c>
      <c r="B6192">
        <v>79193.2</v>
      </c>
      <c r="C6192" t="str">
        <f t="shared" si="96"/>
        <v>3. $50K-250K</v>
      </c>
      <c r="D6192" t="s">
        <v>1347</v>
      </c>
      <c r="E6192" t="s">
        <v>237</v>
      </c>
      <c r="F6192" t="s">
        <v>670</v>
      </c>
      <c r="G6192" t="s">
        <v>59</v>
      </c>
      <c r="H6192">
        <v>2024</v>
      </c>
    </row>
    <row r="6193" spans="1:8" x14ac:dyDescent="0.2">
      <c r="A6193">
        <v>265825</v>
      </c>
      <c r="B6193">
        <v>79999.7</v>
      </c>
      <c r="C6193" t="str">
        <f t="shared" si="96"/>
        <v>3. $50K-250K</v>
      </c>
      <c r="D6193" t="s">
        <v>919</v>
      </c>
      <c r="E6193" t="s">
        <v>237</v>
      </c>
      <c r="F6193" t="s">
        <v>670</v>
      </c>
      <c r="G6193" t="s">
        <v>59</v>
      </c>
      <c r="H6193">
        <v>2024</v>
      </c>
    </row>
    <row r="6194" spans="1:8" x14ac:dyDescent="0.2">
      <c r="A6194">
        <v>265835</v>
      </c>
      <c r="B6194">
        <v>462904.9</v>
      </c>
      <c r="C6194" t="str">
        <f t="shared" si="96"/>
        <v>3. $50K-250K</v>
      </c>
      <c r="D6194" t="s">
        <v>801</v>
      </c>
      <c r="E6194" t="s">
        <v>237</v>
      </c>
      <c r="F6194" t="s">
        <v>670</v>
      </c>
      <c r="G6194" t="s">
        <v>59</v>
      </c>
      <c r="H6194">
        <v>2024</v>
      </c>
    </row>
    <row r="6195" spans="1:8" x14ac:dyDescent="0.2">
      <c r="A6195">
        <v>265836</v>
      </c>
      <c r="B6195">
        <v>68827.7</v>
      </c>
      <c r="C6195" t="str">
        <f t="shared" si="96"/>
        <v>4. $250K-1M</v>
      </c>
      <c r="D6195" t="s">
        <v>911</v>
      </c>
      <c r="E6195" t="s">
        <v>237</v>
      </c>
      <c r="F6195" t="s">
        <v>670</v>
      </c>
      <c r="G6195" t="s">
        <v>59</v>
      </c>
      <c r="H6195">
        <v>2024</v>
      </c>
    </row>
    <row r="6196" spans="1:8" x14ac:dyDescent="0.2">
      <c r="A6196">
        <v>265838</v>
      </c>
      <c r="B6196">
        <v>68996.2</v>
      </c>
      <c r="C6196" t="str">
        <f t="shared" si="96"/>
        <v>3. $50K-250K</v>
      </c>
      <c r="D6196" t="s">
        <v>933</v>
      </c>
      <c r="E6196" t="s">
        <v>237</v>
      </c>
      <c r="F6196" t="s">
        <v>670</v>
      </c>
      <c r="G6196" t="s">
        <v>59</v>
      </c>
      <c r="H6196">
        <v>2024</v>
      </c>
    </row>
    <row r="6197" spans="1:8" x14ac:dyDescent="0.2">
      <c r="A6197">
        <v>265840</v>
      </c>
      <c r="B6197">
        <v>64753.3</v>
      </c>
      <c r="C6197" t="str">
        <f t="shared" si="96"/>
        <v>3. $50K-250K</v>
      </c>
      <c r="D6197" t="s">
        <v>822</v>
      </c>
      <c r="E6197" t="s">
        <v>237</v>
      </c>
      <c r="F6197" t="s">
        <v>670</v>
      </c>
      <c r="G6197" t="s">
        <v>59</v>
      </c>
      <c r="H6197">
        <v>2024</v>
      </c>
    </row>
    <row r="6198" spans="1:8" x14ac:dyDescent="0.2">
      <c r="A6198">
        <v>265841</v>
      </c>
      <c r="B6198">
        <v>284184.5</v>
      </c>
      <c r="C6198" t="str">
        <f t="shared" si="96"/>
        <v>3. $50K-250K</v>
      </c>
      <c r="D6198" t="s">
        <v>803</v>
      </c>
      <c r="E6198" t="s">
        <v>237</v>
      </c>
      <c r="F6198" t="s">
        <v>670</v>
      </c>
      <c r="G6198" t="s">
        <v>59</v>
      </c>
      <c r="H6198">
        <v>2024</v>
      </c>
    </row>
    <row r="6199" spans="1:8" x14ac:dyDescent="0.2">
      <c r="A6199">
        <v>265860</v>
      </c>
      <c r="B6199">
        <v>262025.3</v>
      </c>
      <c r="C6199" t="str">
        <f t="shared" si="96"/>
        <v>4. $250K-1M</v>
      </c>
      <c r="D6199" t="s">
        <v>1559</v>
      </c>
      <c r="E6199" t="s">
        <v>237</v>
      </c>
      <c r="F6199" t="s">
        <v>670</v>
      </c>
      <c r="G6199" t="s">
        <v>59</v>
      </c>
      <c r="H6199">
        <v>2024</v>
      </c>
    </row>
    <row r="6200" spans="1:8" x14ac:dyDescent="0.2">
      <c r="A6200">
        <v>265861</v>
      </c>
      <c r="B6200">
        <v>37330.199999999997</v>
      </c>
      <c r="C6200" t="str">
        <f t="shared" si="96"/>
        <v>4. $250K-1M</v>
      </c>
      <c r="D6200" t="s">
        <v>798</v>
      </c>
      <c r="E6200" t="s">
        <v>237</v>
      </c>
      <c r="F6200" t="s">
        <v>670</v>
      </c>
      <c r="G6200" t="s">
        <v>59</v>
      </c>
      <c r="H6200">
        <v>2024</v>
      </c>
    </row>
    <row r="6201" spans="1:8" x14ac:dyDescent="0.2">
      <c r="A6201">
        <v>265862</v>
      </c>
      <c r="B6201">
        <v>361665.6</v>
      </c>
      <c r="C6201" t="str">
        <f t="shared" si="96"/>
        <v>2. $10K-50K</v>
      </c>
      <c r="D6201" t="s">
        <v>798</v>
      </c>
      <c r="E6201" t="s">
        <v>237</v>
      </c>
      <c r="F6201" t="s">
        <v>670</v>
      </c>
      <c r="G6201" t="s">
        <v>59</v>
      </c>
      <c r="H6201">
        <v>2024</v>
      </c>
    </row>
    <row r="6202" spans="1:8" x14ac:dyDescent="0.2">
      <c r="A6202">
        <v>265863</v>
      </c>
      <c r="B6202">
        <v>242192.8</v>
      </c>
      <c r="C6202" t="str">
        <f t="shared" si="96"/>
        <v>4. $250K-1M</v>
      </c>
      <c r="D6202" t="s">
        <v>798</v>
      </c>
      <c r="E6202" t="s">
        <v>237</v>
      </c>
      <c r="F6202" t="s">
        <v>670</v>
      </c>
      <c r="G6202" t="s">
        <v>59</v>
      </c>
      <c r="H6202">
        <v>2024</v>
      </c>
    </row>
    <row r="6203" spans="1:8" x14ac:dyDescent="0.2">
      <c r="A6203">
        <v>265864</v>
      </c>
      <c r="B6203">
        <v>40590</v>
      </c>
      <c r="C6203" t="str">
        <f t="shared" si="96"/>
        <v>3. $50K-250K</v>
      </c>
      <c r="D6203" t="s">
        <v>813</v>
      </c>
      <c r="E6203" t="s">
        <v>237</v>
      </c>
      <c r="F6203" t="s">
        <v>670</v>
      </c>
      <c r="G6203" t="s">
        <v>59</v>
      </c>
      <c r="H6203">
        <v>2024</v>
      </c>
    </row>
    <row r="6204" spans="1:8" x14ac:dyDescent="0.2">
      <c r="A6204">
        <v>265865</v>
      </c>
      <c r="B6204">
        <v>232589.3</v>
      </c>
      <c r="C6204" t="str">
        <f t="shared" si="96"/>
        <v>2. $10K-50K</v>
      </c>
      <c r="D6204" t="s">
        <v>1559</v>
      </c>
      <c r="E6204" t="s">
        <v>237</v>
      </c>
      <c r="F6204" t="s">
        <v>670</v>
      </c>
      <c r="G6204" t="s">
        <v>59</v>
      </c>
      <c r="H6204">
        <v>2024</v>
      </c>
    </row>
    <row r="6205" spans="1:8" x14ac:dyDescent="0.2">
      <c r="A6205">
        <v>265866</v>
      </c>
      <c r="B6205">
        <v>112500</v>
      </c>
      <c r="C6205" t="str">
        <f t="shared" si="96"/>
        <v>3. $50K-250K</v>
      </c>
      <c r="D6205" t="s">
        <v>548</v>
      </c>
      <c r="E6205" t="s">
        <v>237</v>
      </c>
      <c r="F6205" t="s">
        <v>670</v>
      </c>
      <c r="G6205" t="s">
        <v>59</v>
      </c>
      <c r="H6205">
        <v>2024</v>
      </c>
    </row>
    <row r="6206" spans="1:8" x14ac:dyDescent="0.2">
      <c r="A6206">
        <v>265867</v>
      </c>
      <c r="B6206">
        <v>18332</v>
      </c>
      <c r="C6206" t="str">
        <f t="shared" si="96"/>
        <v>3. $50K-250K</v>
      </c>
      <c r="D6206" t="s">
        <v>719</v>
      </c>
      <c r="E6206" t="s">
        <v>237</v>
      </c>
      <c r="F6206" t="s">
        <v>670</v>
      </c>
      <c r="G6206" t="s">
        <v>59</v>
      </c>
      <c r="H6206">
        <v>2024</v>
      </c>
    </row>
    <row r="6207" spans="1:8" x14ac:dyDescent="0.2">
      <c r="A6207">
        <v>265868</v>
      </c>
      <c r="B6207">
        <v>257066</v>
      </c>
      <c r="C6207" t="str">
        <f t="shared" si="96"/>
        <v>2. $10K-50K</v>
      </c>
      <c r="D6207" t="s">
        <v>875</v>
      </c>
      <c r="E6207" t="s">
        <v>237</v>
      </c>
      <c r="F6207" t="s">
        <v>670</v>
      </c>
      <c r="G6207" t="s">
        <v>59</v>
      </c>
      <c r="H6207">
        <v>2024</v>
      </c>
    </row>
    <row r="6208" spans="1:8" x14ac:dyDescent="0.2">
      <c r="A6208">
        <v>265869</v>
      </c>
      <c r="B6208">
        <v>73000</v>
      </c>
      <c r="C6208" t="str">
        <f t="shared" si="96"/>
        <v>4. $250K-1M</v>
      </c>
      <c r="D6208" t="s">
        <v>875</v>
      </c>
      <c r="E6208" t="s">
        <v>237</v>
      </c>
      <c r="F6208" t="s">
        <v>670</v>
      </c>
      <c r="G6208" t="s">
        <v>59</v>
      </c>
      <c r="H6208">
        <v>2024</v>
      </c>
    </row>
    <row r="6209" spans="1:8" x14ac:dyDescent="0.2">
      <c r="A6209">
        <v>265870</v>
      </c>
      <c r="B6209">
        <v>3361361.4</v>
      </c>
      <c r="C6209" t="str">
        <f t="shared" si="96"/>
        <v>3. $50K-250K</v>
      </c>
      <c r="D6209" t="s">
        <v>1052</v>
      </c>
      <c r="E6209" t="s">
        <v>237</v>
      </c>
      <c r="F6209" t="s">
        <v>670</v>
      </c>
      <c r="G6209" t="s">
        <v>59</v>
      </c>
      <c r="H6209">
        <v>2024</v>
      </c>
    </row>
    <row r="6210" spans="1:8" x14ac:dyDescent="0.2">
      <c r="A6210">
        <v>265871</v>
      </c>
      <c r="B6210">
        <v>155000</v>
      </c>
      <c r="C6210" t="str">
        <f t="shared" si="96"/>
        <v>5. $1M+</v>
      </c>
      <c r="D6210" t="s">
        <v>870</v>
      </c>
      <c r="E6210" t="s">
        <v>237</v>
      </c>
      <c r="F6210" t="s">
        <v>670</v>
      </c>
      <c r="G6210" t="s">
        <v>59</v>
      </c>
      <c r="H6210">
        <v>2024</v>
      </c>
    </row>
    <row r="6211" spans="1:8" x14ac:dyDescent="0.2">
      <c r="A6211">
        <v>265872</v>
      </c>
      <c r="B6211">
        <v>109645</v>
      </c>
      <c r="C6211" t="str">
        <f t="shared" ref="C6211:C6274" si="97">IF(B6210&lt;10000,"1. Under $10K",IF(B6210&lt;50000,"2. $10K-50K",IF(B6210&lt;250000,"3. $50K-250K",IF(B6210&lt;1000000,"4. $250K-1M","5. $1M+"))))</f>
        <v>3. $50K-250K</v>
      </c>
      <c r="D6211" t="s">
        <v>869</v>
      </c>
      <c r="E6211" t="s">
        <v>237</v>
      </c>
      <c r="F6211" t="s">
        <v>670</v>
      </c>
      <c r="G6211" t="s">
        <v>59</v>
      </c>
      <c r="H6211">
        <v>2024</v>
      </c>
    </row>
    <row r="6212" spans="1:8" x14ac:dyDescent="0.2">
      <c r="A6212">
        <v>265873</v>
      </c>
      <c r="B6212">
        <v>76666</v>
      </c>
      <c r="C6212" t="str">
        <f t="shared" si="97"/>
        <v>3. $50K-250K</v>
      </c>
      <c r="D6212" t="s">
        <v>883</v>
      </c>
      <c r="E6212" t="s">
        <v>237</v>
      </c>
      <c r="F6212" t="s">
        <v>670</v>
      </c>
      <c r="G6212" t="s">
        <v>59</v>
      </c>
      <c r="H6212">
        <v>2024</v>
      </c>
    </row>
    <row r="6213" spans="1:8" x14ac:dyDescent="0.2">
      <c r="A6213">
        <v>265874</v>
      </c>
      <c r="B6213">
        <v>26280</v>
      </c>
      <c r="C6213" t="str">
        <f t="shared" si="97"/>
        <v>3. $50K-250K</v>
      </c>
      <c r="D6213" t="s">
        <v>870</v>
      </c>
      <c r="E6213" t="s">
        <v>237</v>
      </c>
      <c r="F6213" t="s">
        <v>670</v>
      </c>
      <c r="G6213" t="s">
        <v>59</v>
      </c>
      <c r="H6213">
        <v>2024</v>
      </c>
    </row>
    <row r="6214" spans="1:8" x14ac:dyDescent="0.2">
      <c r="A6214">
        <v>265875</v>
      </c>
      <c r="B6214">
        <v>115730</v>
      </c>
      <c r="C6214" t="str">
        <f t="shared" si="97"/>
        <v>2. $10K-50K</v>
      </c>
      <c r="D6214" t="s">
        <v>883</v>
      </c>
      <c r="E6214" t="s">
        <v>237</v>
      </c>
      <c r="F6214" t="s">
        <v>670</v>
      </c>
      <c r="G6214" t="s">
        <v>59</v>
      </c>
      <c r="H6214">
        <v>2024</v>
      </c>
    </row>
    <row r="6215" spans="1:8" x14ac:dyDescent="0.2">
      <c r="A6215">
        <v>265876</v>
      </c>
      <c r="B6215">
        <v>40270</v>
      </c>
      <c r="C6215" t="str">
        <f t="shared" si="97"/>
        <v>3. $50K-250K</v>
      </c>
      <c r="D6215" t="s">
        <v>883</v>
      </c>
      <c r="E6215" t="s">
        <v>237</v>
      </c>
      <c r="F6215" t="s">
        <v>670</v>
      </c>
      <c r="G6215" t="s">
        <v>59</v>
      </c>
      <c r="H6215">
        <v>2024</v>
      </c>
    </row>
    <row r="6216" spans="1:8" x14ac:dyDescent="0.2">
      <c r="A6216">
        <v>265877</v>
      </c>
      <c r="B6216">
        <v>100000</v>
      </c>
      <c r="C6216" t="str">
        <f t="shared" si="97"/>
        <v>2. $10K-50K</v>
      </c>
      <c r="D6216" t="s">
        <v>869</v>
      </c>
      <c r="E6216" t="s">
        <v>237</v>
      </c>
      <c r="F6216" t="s">
        <v>670</v>
      </c>
      <c r="G6216" t="s">
        <v>59</v>
      </c>
      <c r="H6216">
        <v>2024</v>
      </c>
    </row>
    <row r="6217" spans="1:8" x14ac:dyDescent="0.2">
      <c r="A6217">
        <v>265878</v>
      </c>
      <c r="B6217">
        <v>29199.5</v>
      </c>
      <c r="C6217" t="str">
        <f t="shared" si="97"/>
        <v>3. $50K-250K</v>
      </c>
      <c r="D6217" t="s">
        <v>869</v>
      </c>
      <c r="E6217" t="s">
        <v>237</v>
      </c>
      <c r="F6217" t="s">
        <v>670</v>
      </c>
      <c r="G6217" t="s">
        <v>59</v>
      </c>
      <c r="H6217">
        <v>2024</v>
      </c>
    </row>
    <row r="6218" spans="1:8" x14ac:dyDescent="0.2">
      <c r="A6218">
        <v>265912</v>
      </c>
      <c r="B6218">
        <v>83666.7</v>
      </c>
      <c r="C6218" t="str">
        <f t="shared" si="97"/>
        <v>2. $10K-50K</v>
      </c>
      <c r="D6218" t="s">
        <v>676</v>
      </c>
      <c r="E6218" t="s">
        <v>42</v>
      </c>
      <c r="F6218" t="s">
        <v>670</v>
      </c>
      <c r="G6218" t="s">
        <v>59</v>
      </c>
      <c r="H6218">
        <v>2024</v>
      </c>
    </row>
    <row r="6219" spans="1:8" x14ac:dyDescent="0.2">
      <c r="A6219">
        <v>265913</v>
      </c>
      <c r="B6219">
        <v>119391.3</v>
      </c>
      <c r="C6219" t="str">
        <f t="shared" si="97"/>
        <v>3. $50K-250K</v>
      </c>
      <c r="D6219" t="s">
        <v>391</v>
      </c>
      <c r="E6219" t="s">
        <v>42</v>
      </c>
      <c r="F6219" t="s">
        <v>670</v>
      </c>
      <c r="G6219" t="s">
        <v>59</v>
      </c>
      <c r="H6219">
        <v>2024</v>
      </c>
    </row>
    <row r="6220" spans="1:8" x14ac:dyDescent="0.2">
      <c r="A6220">
        <v>265933</v>
      </c>
      <c r="B6220">
        <v>5000000</v>
      </c>
      <c r="C6220" t="str">
        <f t="shared" si="97"/>
        <v>3. $50K-250K</v>
      </c>
      <c r="D6220" t="s">
        <v>417</v>
      </c>
      <c r="E6220" t="s">
        <v>132</v>
      </c>
      <c r="F6220" t="s">
        <v>43</v>
      </c>
      <c r="G6220" t="s">
        <v>44</v>
      </c>
      <c r="H6220">
        <v>2024</v>
      </c>
    </row>
    <row r="6221" spans="1:8" x14ac:dyDescent="0.2">
      <c r="A6221">
        <v>26600</v>
      </c>
      <c r="B6221">
        <v>41562253</v>
      </c>
      <c r="C6221" t="str">
        <f t="shared" si="97"/>
        <v>5. $1M+</v>
      </c>
      <c r="D6221" t="s">
        <v>418</v>
      </c>
      <c r="E6221" t="s">
        <v>28</v>
      </c>
      <c r="F6221" t="s">
        <v>29</v>
      </c>
      <c r="G6221" t="s">
        <v>44</v>
      </c>
      <c r="H6221">
        <v>2023</v>
      </c>
    </row>
    <row r="6222" spans="1:8" x14ac:dyDescent="0.2">
      <c r="A6222">
        <v>26603</v>
      </c>
      <c r="B6222">
        <v>6360719.9000000004</v>
      </c>
      <c r="C6222" t="str">
        <f t="shared" si="97"/>
        <v>5. $1M+</v>
      </c>
      <c r="D6222" t="s">
        <v>419</v>
      </c>
      <c r="E6222" t="s">
        <v>18</v>
      </c>
      <c r="F6222" t="s">
        <v>12</v>
      </c>
      <c r="G6222" t="s">
        <v>10</v>
      </c>
      <c r="H6222">
        <v>2023</v>
      </c>
    </row>
    <row r="6223" spans="1:8" x14ac:dyDescent="0.2">
      <c r="A6223">
        <v>266033</v>
      </c>
      <c r="B6223">
        <v>384098.9</v>
      </c>
      <c r="C6223" t="str">
        <f t="shared" si="97"/>
        <v>5. $1M+</v>
      </c>
      <c r="D6223" t="s">
        <v>884</v>
      </c>
      <c r="E6223" t="s">
        <v>42</v>
      </c>
      <c r="F6223" t="s">
        <v>670</v>
      </c>
      <c r="G6223" t="s">
        <v>59</v>
      </c>
      <c r="H6223">
        <v>2024</v>
      </c>
    </row>
    <row r="6224" spans="1:8" x14ac:dyDescent="0.2">
      <c r="A6224">
        <v>266034</v>
      </c>
      <c r="B6224">
        <v>3869273.7</v>
      </c>
      <c r="C6224" t="str">
        <f t="shared" si="97"/>
        <v>4. $250K-1M</v>
      </c>
      <c r="D6224" t="s">
        <v>772</v>
      </c>
      <c r="E6224" t="s">
        <v>42</v>
      </c>
      <c r="F6224" t="s">
        <v>670</v>
      </c>
      <c r="G6224" t="s">
        <v>59</v>
      </c>
      <c r="H6224">
        <v>2024</v>
      </c>
    </row>
    <row r="6225" spans="1:8" x14ac:dyDescent="0.2">
      <c r="A6225">
        <v>266035</v>
      </c>
      <c r="B6225">
        <v>165000.79999999999</v>
      </c>
      <c r="C6225" t="str">
        <f t="shared" si="97"/>
        <v>5. $1M+</v>
      </c>
      <c r="D6225" t="s">
        <v>691</v>
      </c>
      <c r="E6225" t="s">
        <v>42</v>
      </c>
      <c r="F6225" t="s">
        <v>670</v>
      </c>
      <c r="G6225" t="s">
        <v>59</v>
      </c>
      <c r="H6225">
        <v>2024</v>
      </c>
    </row>
    <row r="6226" spans="1:8" x14ac:dyDescent="0.2">
      <c r="A6226">
        <v>266036</v>
      </c>
      <c r="B6226">
        <v>133436.70000000001</v>
      </c>
      <c r="C6226" t="str">
        <f t="shared" si="97"/>
        <v>3. $50K-250K</v>
      </c>
      <c r="D6226" t="s">
        <v>680</v>
      </c>
      <c r="E6226" t="s">
        <v>42</v>
      </c>
      <c r="F6226" t="s">
        <v>670</v>
      </c>
      <c r="G6226" t="s">
        <v>59</v>
      </c>
      <c r="H6226">
        <v>2024</v>
      </c>
    </row>
    <row r="6227" spans="1:8" x14ac:dyDescent="0.2">
      <c r="A6227">
        <v>266037</v>
      </c>
      <c r="B6227">
        <v>4515715.8</v>
      </c>
      <c r="C6227" t="str">
        <f t="shared" si="97"/>
        <v>3. $50K-250K</v>
      </c>
      <c r="D6227" t="s">
        <v>669</v>
      </c>
      <c r="E6227" t="s">
        <v>42</v>
      </c>
      <c r="F6227" t="s">
        <v>670</v>
      </c>
      <c r="G6227" t="s">
        <v>59</v>
      </c>
      <c r="H6227">
        <v>2024</v>
      </c>
    </row>
    <row r="6228" spans="1:8" x14ac:dyDescent="0.2">
      <c r="A6228">
        <v>266038</v>
      </c>
      <c r="B6228">
        <v>766910.7</v>
      </c>
      <c r="C6228" t="str">
        <f t="shared" si="97"/>
        <v>5. $1M+</v>
      </c>
      <c r="D6228" t="s">
        <v>669</v>
      </c>
      <c r="E6228" t="s">
        <v>42</v>
      </c>
      <c r="F6228" t="s">
        <v>670</v>
      </c>
      <c r="G6228" t="s">
        <v>59</v>
      </c>
      <c r="H6228">
        <v>2024</v>
      </c>
    </row>
    <row r="6229" spans="1:8" x14ac:dyDescent="0.2">
      <c r="A6229">
        <v>266039</v>
      </c>
      <c r="B6229">
        <v>146792</v>
      </c>
      <c r="C6229" t="str">
        <f t="shared" si="97"/>
        <v>4. $250K-1M</v>
      </c>
      <c r="D6229" t="s">
        <v>690</v>
      </c>
      <c r="E6229" t="s">
        <v>42</v>
      </c>
      <c r="F6229" t="s">
        <v>670</v>
      </c>
      <c r="G6229" t="s">
        <v>59</v>
      </c>
      <c r="H6229">
        <v>2024</v>
      </c>
    </row>
    <row r="6230" spans="1:8" x14ac:dyDescent="0.2">
      <c r="A6230">
        <v>266040</v>
      </c>
      <c r="B6230">
        <v>114753.1</v>
      </c>
      <c r="C6230" t="str">
        <f t="shared" si="97"/>
        <v>3. $50K-250K</v>
      </c>
      <c r="D6230" t="s">
        <v>804</v>
      </c>
      <c r="E6230" t="s">
        <v>42</v>
      </c>
      <c r="F6230" t="s">
        <v>670</v>
      </c>
      <c r="G6230" t="s">
        <v>59</v>
      </c>
      <c r="H6230">
        <v>2024</v>
      </c>
    </row>
    <row r="6231" spans="1:8" x14ac:dyDescent="0.2">
      <c r="A6231">
        <v>266041</v>
      </c>
      <c r="B6231">
        <v>478784.9</v>
      </c>
      <c r="C6231" t="str">
        <f t="shared" si="97"/>
        <v>3. $50K-250K</v>
      </c>
      <c r="D6231" t="s">
        <v>669</v>
      </c>
      <c r="E6231" t="s">
        <v>42</v>
      </c>
      <c r="F6231" t="s">
        <v>670</v>
      </c>
      <c r="G6231" t="s">
        <v>59</v>
      </c>
      <c r="H6231">
        <v>2024</v>
      </c>
    </row>
    <row r="6232" spans="1:8" x14ac:dyDescent="0.2">
      <c r="A6232">
        <v>266042</v>
      </c>
      <c r="B6232">
        <v>166569.60000000001</v>
      </c>
      <c r="C6232" t="str">
        <f t="shared" si="97"/>
        <v>4. $250K-1M</v>
      </c>
      <c r="D6232" t="s">
        <v>1581</v>
      </c>
      <c r="E6232" t="s">
        <v>42</v>
      </c>
      <c r="F6232" t="s">
        <v>670</v>
      </c>
      <c r="G6232" t="s">
        <v>59</v>
      </c>
      <c r="H6232">
        <v>2024</v>
      </c>
    </row>
    <row r="6233" spans="1:8" x14ac:dyDescent="0.2">
      <c r="A6233">
        <v>266043</v>
      </c>
      <c r="B6233">
        <v>125195.4</v>
      </c>
      <c r="C6233" t="str">
        <f t="shared" si="97"/>
        <v>3. $50K-250K</v>
      </c>
      <c r="D6233" t="s">
        <v>689</v>
      </c>
      <c r="E6233" t="s">
        <v>42</v>
      </c>
      <c r="F6233" t="s">
        <v>670</v>
      </c>
      <c r="G6233" t="s">
        <v>59</v>
      </c>
      <c r="H6233">
        <v>2024</v>
      </c>
    </row>
    <row r="6234" spans="1:8" x14ac:dyDescent="0.2">
      <c r="A6234">
        <v>266044</v>
      </c>
      <c r="B6234">
        <v>436417</v>
      </c>
      <c r="C6234" t="str">
        <f t="shared" si="97"/>
        <v>3. $50K-250K</v>
      </c>
      <c r="D6234" t="s">
        <v>688</v>
      </c>
      <c r="E6234" t="s">
        <v>42</v>
      </c>
      <c r="F6234" t="s">
        <v>670</v>
      </c>
      <c r="G6234" t="s">
        <v>59</v>
      </c>
      <c r="H6234">
        <v>2024</v>
      </c>
    </row>
    <row r="6235" spans="1:8" x14ac:dyDescent="0.2">
      <c r="A6235">
        <v>266045</v>
      </c>
      <c r="B6235">
        <v>211258</v>
      </c>
      <c r="C6235" t="str">
        <f t="shared" si="97"/>
        <v>4. $250K-1M</v>
      </c>
      <c r="D6235" t="s">
        <v>681</v>
      </c>
      <c r="E6235" t="s">
        <v>42</v>
      </c>
      <c r="F6235" t="s">
        <v>670</v>
      </c>
      <c r="G6235" t="s">
        <v>59</v>
      </c>
      <c r="H6235">
        <v>2024</v>
      </c>
    </row>
    <row r="6236" spans="1:8" x14ac:dyDescent="0.2">
      <c r="A6236">
        <v>266046</v>
      </c>
      <c r="B6236">
        <v>932030.7</v>
      </c>
      <c r="C6236" t="str">
        <f t="shared" si="97"/>
        <v>3. $50K-250K</v>
      </c>
      <c r="D6236" t="s">
        <v>669</v>
      </c>
      <c r="E6236" t="s">
        <v>42</v>
      </c>
      <c r="F6236" t="s">
        <v>670</v>
      </c>
      <c r="G6236" t="s">
        <v>59</v>
      </c>
      <c r="H6236">
        <v>2024</v>
      </c>
    </row>
    <row r="6237" spans="1:8" x14ac:dyDescent="0.2">
      <c r="A6237">
        <v>266047</v>
      </c>
      <c r="B6237">
        <v>622507</v>
      </c>
      <c r="C6237" t="str">
        <f t="shared" si="97"/>
        <v>4. $250K-1M</v>
      </c>
      <c r="D6237" t="s">
        <v>685</v>
      </c>
      <c r="E6237" t="s">
        <v>42</v>
      </c>
      <c r="F6237" t="s">
        <v>670</v>
      </c>
      <c r="G6237" t="s">
        <v>59</v>
      </c>
      <c r="H6237">
        <v>2024</v>
      </c>
    </row>
    <row r="6238" spans="1:8" x14ac:dyDescent="0.2">
      <c r="A6238">
        <v>266048</v>
      </c>
      <c r="B6238">
        <v>291844.2</v>
      </c>
      <c r="C6238" t="str">
        <f t="shared" si="97"/>
        <v>4. $250K-1M</v>
      </c>
      <c r="D6238" t="s">
        <v>683</v>
      </c>
      <c r="E6238" t="s">
        <v>42</v>
      </c>
      <c r="F6238" t="s">
        <v>670</v>
      </c>
      <c r="G6238" t="s">
        <v>59</v>
      </c>
      <c r="H6238">
        <v>2024</v>
      </c>
    </row>
    <row r="6239" spans="1:8" x14ac:dyDescent="0.2">
      <c r="A6239">
        <v>266049</v>
      </c>
      <c r="B6239">
        <v>561469.6</v>
      </c>
      <c r="C6239" t="str">
        <f t="shared" si="97"/>
        <v>4. $250K-1M</v>
      </c>
      <c r="D6239" t="s">
        <v>391</v>
      </c>
      <c r="E6239" t="s">
        <v>42</v>
      </c>
      <c r="F6239" t="s">
        <v>670</v>
      </c>
      <c r="G6239" t="s">
        <v>59</v>
      </c>
      <c r="H6239">
        <v>2024</v>
      </c>
    </row>
    <row r="6240" spans="1:8" x14ac:dyDescent="0.2">
      <c r="A6240">
        <v>266050</v>
      </c>
      <c r="B6240">
        <v>312937.3</v>
      </c>
      <c r="C6240" t="str">
        <f t="shared" si="97"/>
        <v>4. $250K-1M</v>
      </c>
      <c r="D6240" t="s">
        <v>391</v>
      </c>
      <c r="E6240" t="s">
        <v>42</v>
      </c>
      <c r="F6240" t="s">
        <v>670</v>
      </c>
      <c r="G6240" t="s">
        <v>59</v>
      </c>
      <c r="H6240">
        <v>2024</v>
      </c>
    </row>
    <row r="6241" spans="1:8" x14ac:dyDescent="0.2">
      <c r="A6241">
        <v>266051</v>
      </c>
      <c r="B6241">
        <v>149747.4</v>
      </c>
      <c r="C6241" t="str">
        <f t="shared" si="97"/>
        <v>4. $250K-1M</v>
      </c>
      <c r="D6241" t="s">
        <v>1419</v>
      </c>
      <c r="E6241" t="s">
        <v>42</v>
      </c>
      <c r="F6241" t="s">
        <v>670</v>
      </c>
      <c r="G6241" t="s">
        <v>59</v>
      </c>
      <c r="H6241">
        <v>2024</v>
      </c>
    </row>
    <row r="6242" spans="1:8" x14ac:dyDescent="0.2">
      <c r="A6242">
        <v>266052</v>
      </c>
      <c r="B6242">
        <v>87603.3</v>
      </c>
      <c r="C6242" t="str">
        <f t="shared" si="97"/>
        <v>3. $50K-250K</v>
      </c>
      <c r="D6242" t="s">
        <v>691</v>
      </c>
      <c r="E6242" t="s">
        <v>42</v>
      </c>
      <c r="F6242" t="s">
        <v>670</v>
      </c>
      <c r="G6242" t="s">
        <v>59</v>
      </c>
      <c r="H6242">
        <v>2024</v>
      </c>
    </row>
    <row r="6243" spans="1:8" x14ac:dyDescent="0.2">
      <c r="A6243">
        <v>266053</v>
      </c>
      <c r="B6243">
        <v>447164.9</v>
      </c>
      <c r="C6243" t="str">
        <f t="shared" si="97"/>
        <v>3. $50K-250K</v>
      </c>
      <c r="D6243" t="s">
        <v>671</v>
      </c>
      <c r="E6243" t="s">
        <v>42</v>
      </c>
      <c r="F6243" t="s">
        <v>670</v>
      </c>
      <c r="G6243" t="s">
        <v>59</v>
      </c>
      <c r="H6243">
        <v>2024</v>
      </c>
    </row>
    <row r="6244" spans="1:8" x14ac:dyDescent="0.2">
      <c r="A6244">
        <v>266054</v>
      </c>
      <c r="B6244">
        <v>232667.5</v>
      </c>
      <c r="C6244" t="str">
        <f t="shared" si="97"/>
        <v>4. $250K-1M</v>
      </c>
      <c r="D6244" t="s">
        <v>669</v>
      </c>
      <c r="E6244" t="s">
        <v>42</v>
      </c>
      <c r="F6244" t="s">
        <v>670</v>
      </c>
      <c r="G6244" t="s">
        <v>59</v>
      </c>
      <c r="H6244">
        <v>2024</v>
      </c>
    </row>
    <row r="6245" spans="1:8" x14ac:dyDescent="0.2">
      <c r="A6245">
        <v>266055</v>
      </c>
      <c r="B6245">
        <v>150000</v>
      </c>
      <c r="C6245" t="str">
        <f t="shared" si="97"/>
        <v>3. $50K-250K</v>
      </c>
      <c r="D6245" t="s">
        <v>1044</v>
      </c>
      <c r="E6245" t="s">
        <v>42</v>
      </c>
      <c r="F6245" t="s">
        <v>670</v>
      </c>
      <c r="G6245" t="s">
        <v>59</v>
      </c>
      <c r="H6245">
        <v>2024</v>
      </c>
    </row>
    <row r="6246" spans="1:8" x14ac:dyDescent="0.2">
      <c r="A6246">
        <v>266061</v>
      </c>
      <c r="B6246">
        <v>212053.8</v>
      </c>
      <c r="C6246" t="str">
        <f t="shared" si="97"/>
        <v>3. $50K-250K</v>
      </c>
      <c r="D6246" t="s">
        <v>924</v>
      </c>
      <c r="E6246" t="s">
        <v>237</v>
      </c>
      <c r="F6246" t="s">
        <v>670</v>
      </c>
      <c r="G6246" t="s">
        <v>59</v>
      </c>
      <c r="H6246">
        <v>2024</v>
      </c>
    </row>
    <row r="6247" spans="1:8" x14ac:dyDescent="0.2">
      <c r="A6247">
        <v>266184</v>
      </c>
      <c r="B6247">
        <v>70937</v>
      </c>
      <c r="C6247" t="str">
        <f t="shared" si="97"/>
        <v>3. $50K-250K</v>
      </c>
      <c r="D6247" t="s">
        <v>942</v>
      </c>
      <c r="E6247" t="s">
        <v>99</v>
      </c>
      <c r="F6247" t="s">
        <v>670</v>
      </c>
      <c r="G6247" t="s">
        <v>59</v>
      </c>
      <c r="H6247">
        <v>2024</v>
      </c>
    </row>
    <row r="6248" spans="1:8" x14ac:dyDescent="0.2">
      <c r="A6248">
        <v>266197</v>
      </c>
      <c r="B6248">
        <v>250000</v>
      </c>
      <c r="C6248" t="str">
        <f t="shared" si="97"/>
        <v>3. $50K-250K</v>
      </c>
      <c r="D6248" t="s">
        <v>1352</v>
      </c>
      <c r="E6248" t="s">
        <v>42</v>
      </c>
      <c r="F6248" t="s">
        <v>670</v>
      </c>
      <c r="G6248" t="s">
        <v>59</v>
      </c>
      <c r="H6248">
        <v>2024</v>
      </c>
    </row>
    <row r="6249" spans="1:8" x14ac:dyDescent="0.2">
      <c r="A6249">
        <v>266199</v>
      </c>
      <c r="B6249">
        <v>370000</v>
      </c>
      <c r="C6249" t="str">
        <f t="shared" si="97"/>
        <v>4. $250K-1M</v>
      </c>
      <c r="D6249" t="s">
        <v>1090</v>
      </c>
      <c r="E6249" t="s">
        <v>42</v>
      </c>
      <c r="F6249" t="s">
        <v>670</v>
      </c>
      <c r="G6249" t="s">
        <v>59</v>
      </c>
      <c r="H6249">
        <v>2024</v>
      </c>
    </row>
    <row r="6250" spans="1:8" x14ac:dyDescent="0.2">
      <c r="A6250">
        <v>266200</v>
      </c>
      <c r="B6250">
        <v>375000</v>
      </c>
      <c r="C6250" t="str">
        <f t="shared" si="97"/>
        <v>4. $250K-1M</v>
      </c>
      <c r="D6250" t="s">
        <v>824</v>
      </c>
      <c r="E6250" t="s">
        <v>42</v>
      </c>
      <c r="F6250" t="s">
        <v>670</v>
      </c>
      <c r="G6250" t="s">
        <v>59</v>
      </c>
      <c r="H6250">
        <v>2024</v>
      </c>
    </row>
    <row r="6251" spans="1:8" x14ac:dyDescent="0.2">
      <c r="A6251">
        <v>266202</v>
      </c>
      <c r="B6251">
        <v>200000</v>
      </c>
      <c r="C6251" t="str">
        <f t="shared" si="97"/>
        <v>4. $250K-1M</v>
      </c>
      <c r="D6251" t="s">
        <v>929</v>
      </c>
      <c r="E6251" t="s">
        <v>42</v>
      </c>
      <c r="F6251" t="s">
        <v>670</v>
      </c>
      <c r="G6251" t="s">
        <v>59</v>
      </c>
      <c r="H6251">
        <v>2024</v>
      </c>
    </row>
    <row r="6252" spans="1:8" x14ac:dyDescent="0.2">
      <c r="A6252">
        <v>266203</v>
      </c>
      <c r="B6252">
        <v>20000</v>
      </c>
      <c r="C6252" t="str">
        <f t="shared" si="97"/>
        <v>3. $50K-250K</v>
      </c>
      <c r="D6252" t="s">
        <v>1463</v>
      </c>
      <c r="E6252" t="s">
        <v>432</v>
      </c>
      <c r="F6252" t="s">
        <v>670</v>
      </c>
      <c r="G6252" t="s">
        <v>59</v>
      </c>
      <c r="H6252">
        <v>2024</v>
      </c>
    </row>
    <row r="6253" spans="1:8" x14ac:dyDescent="0.2">
      <c r="A6253">
        <v>266204</v>
      </c>
      <c r="B6253">
        <v>55000</v>
      </c>
      <c r="C6253" t="str">
        <f t="shared" si="97"/>
        <v>2. $10K-50K</v>
      </c>
      <c r="D6253" t="s">
        <v>1367</v>
      </c>
      <c r="E6253" t="s">
        <v>432</v>
      </c>
      <c r="F6253" t="s">
        <v>670</v>
      </c>
      <c r="G6253" t="s">
        <v>59</v>
      </c>
      <c r="H6253">
        <v>2024</v>
      </c>
    </row>
    <row r="6254" spans="1:8" x14ac:dyDescent="0.2">
      <c r="A6254">
        <v>266205</v>
      </c>
      <c r="B6254">
        <v>40000</v>
      </c>
      <c r="C6254" t="str">
        <f t="shared" si="97"/>
        <v>3. $50K-250K</v>
      </c>
      <c r="D6254" t="s">
        <v>1358</v>
      </c>
      <c r="E6254" t="s">
        <v>432</v>
      </c>
      <c r="F6254" t="s">
        <v>670</v>
      </c>
      <c r="G6254" t="s">
        <v>59</v>
      </c>
      <c r="H6254">
        <v>2024</v>
      </c>
    </row>
    <row r="6255" spans="1:8" x14ac:dyDescent="0.2">
      <c r="A6255">
        <v>266206</v>
      </c>
      <c r="B6255">
        <v>25000</v>
      </c>
      <c r="C6255" t="str">
        <f t="shared" si="97"/>
        <v>2. $10K-50K</v>
      </c>
      <c r="D6255" t="s">
        <v>1437</v>
      </c>
      <c r="E6255" t="s">
        <v>432</v>
      </c>
      <c r="F6255" t="s">
        <v>670</v>
      </c>
      <c r="G6255" t="s">
        <v>59</v>
      </c>
      <c r="H6255">
        <v>2024</v>
      </c>
    </row>
    <row r="6256" spans="1:8" x14ac:dyDescent="0.2">
      <c r="A6256">
        <v>266213</v>
      </c>
      <c r="B6256">
        <v>174389</v>
      </c>
      <c r="C6256" t="str">
        <f t="shared" si="97"/>
        <v>2. $10K-50K</v>
      </c>
      <c r="D6256" t="s">
        <v>230</v>
      </c>
      <c r="E6256" t="s">
        <v>67</v>
      </c>
      <c r="F6256" t="s">
        <v>231</v>
      </c>
      <c r="G6256" t="s">
        <v>232</v>
      </c>
      <c r="H6256">
        <v>2024</v>
      </c>
    </row>
    <row r="6257" spans="1:8" x14ac:dyDescent="0.2">
      <c r="A6257">
        <v>26625</v>
      </c>
      <c r="B6257">
        <v>48196132.299999997</v>
      </c>
      <c r="C6257" t="str">
        <f t="shared" si="97"/>
        <v>3. $50K-250K</v>
      </c>
      <c r="D6257" t="s">
        <v>420</v>
      </c>
      <c r="E6257" t="s">
        <v>127</v>
      </c>
      <c r="F6257" t="s">
        <v>43</v>
      </c>
      <c r="G6257" t="s">
        <v>44</v>
      </c>
      <c r="H6257">
        <v>2023</v>
      </c>
    </row>
    <row r="6258" spans="1:8" x14ac:dyDescent="0.2">
      <c r="A6258">
        <v>266279</v>
      </c>
      <c r="B6258">
        <v>2033496</v>
      </c>
      <c r="C6258" t="str">
        <f t="shared" si="97"/>
        <v>5. $1M+</v>
      </c>
      <c r="D6258" t="s">
        <v>601</v>
      </c>
      <c r="E6258" t="s">
        <v>237</v>
      </c>
      <c r="F6258" t="s">
        <v>670</v>
      </c>
      <c r="G6258" t="s">
        <v>59</v>
      </c>
      <c r="H6258">
        <v>2024</v>
      </c>
    </row>
    <row r="6259" spans="1:8" x14ac:dyDescent="0.2">
      <c r="A6259">
        <v>266280</v>
      </c>
      <c r="B6259">
        <v>1809910</v>
      </c>
      <c r="C6259" t="str">
        <f t="shared" si="97"/>
        <v>5. $1M+</v>
      </c>
      <c r="D6259" t="s">
        <v>601</v>
      </c>
      <c r="E6259" t="s">
        <v>237</v>
      </c>
      <c r="F6259" t="s">
        <v>670</v>
      </c>
      <c r="G6259" t="s">
        <v>59</v>
      </c>
      <c r="H6259">
        <v>2024</v>
      </c>
    </row>
    <row r="6260" spans="1:8" x14ac:dyDescent="0.2">
      <c r="A6260">
        <v>266281</v>
      </c>
      <c r="B6260">
        <v>287086.40000000002</v>
      </c>
      <c r="C6260" t="str">
        <f t="shared" si="97"/>
        <v>5. $1M+</v>
      </c>
      <c r="D6260" t="s">
        <v>892</v>
      </c>
      <c r="E6260" t="s">
        <v>891</v>
      </c>
      <c r="F6260" t="s">
        <v>670</v>
      </c>
      <c r="G6260" t="s">
        <v>59</v>
      </c>
      <c r="H6260">
        <v>2024</v>
      </c>
    </row>
    <row r="6261" spans="1:8" x14ac:dyDescent="0.2">
      <c r="A6261">
        <v>266282</v>
      </c>
      <c r="B6261">
        <v>289650</v>
      </c>
      <c r="C6261" t="str">
        <f t="shared" si="97"/>
        <v>4. $250K-1M</v>
      </c>
      <c r="D6261" t="s">
        <v>837</v>
      </c>
      <c r="E6261" t="s">
        <v>891</v>
      </c>
      <c r="F6261" t="s">
        <v>670</v>
      </c>
      <c r="G6261" t="s">
        <v>59</v>
      </c>
      <c r="H6261">
        <v>2024</v>
      </c>
    </row>
    <row r="6262" spans="1:8" x14ac:dyDescent="0.2">
      <c r="A6262">
        <v>26632</v>
      </c>
      <c r="B6262">
        <v>16715149.6</v>
      </c>
      <c r="C6262" t="str">
        <f t="shared" si="97"/>
        <v>4. $250K-1M</v>
      </c>
      <c r="D6262" t="s">
        <v>421</v>
      </c>
      <c r="E6262" t="s">
        <v>52</v>
      </c>
      <c r="F6262" t="s">
        <v>43</v>
      </c>
      <c r="G6262" t="s">
        <v>44</v>
      </c>
      <c r="H6262">
        <v>2024</v>
      </c>
    </row>
    <row r="6263" spans="1:8" x14ac:dyDescent="0.2">
      <c r="A6263">
        <v>266321</v>
      </c>
      <c r="B6263">
        <v>174035.4</v>
      </c>
      <c r="C6263" t="str">
        <f t="shared" si="97"/>
        <v>5. $1M+</v>
      </c>
      <c r="D6263" t="s">
        <v>948</v>
      </c>
      <c r="E6263" t="s">
        <v>825</v>
      </c>
      <c r="F6263" t="s">
        <v>670</v>
      </c>
      <c r="G6263" t="s">
        <v>59</v>
      </c>
      <c r="H6263">
        <v>2024</v>
      </c>
    </row>
    <row r="6264" spans="1:8" x14ac:dyDescent="0.2">
      <c r="A6264">
        <v>266322</v>
      </c>
      <c r="B6264">
        <v>233752</v>
      </c>
      <c r="C6264" t="str">
        <f t="shared" si="97"/>
        <v>3. $50K-250K</v>
      </c>
      <c r="D6264" t="s">
        <v>945</v>
      </c>
      <c r="E6264" t="s">
        <v>825</v>
      </c>
      <c r="F6264" t="s">
        <v>670</v>
      </c>
      <c r="G6264" t="s">
        <v>59</v>
      </c>
      <c r="H6264">
        <v>2024</v>
      </c>
    </row>
    <row r="6265" spans="1:8" x14ac:dyDescent="0.2">
      <c r="A6265">
        <v>266346</v>
      </c>
      <c r="B6265">
        <v>335834.8</v>
      </c>
      <c r="C6265" t="str">
        <f t="shared" si="97"/>
        <v>3. $50K-250K</v>
      </c>
      <c r="D6265" t="s">
        <v>721</v>
      </c>
      <c r="E6265" t="s">
        <v>237</v>
      </c>
      <c r="F6265" t="s">
        <v>670</v>
      </c>
      <c r="G6265" t="s">
        <v>59</v>
      </c>
      <c r="H6265">
        <v>2024</v>
      </c>
    </row>
    <row r="6266" spans="1:8" x14ac:dyDescent="0.2">
      <c r="A6266">
        <v>266348</v>
      </c>
      <c r="B6266">
        <v>689939.3</v>
      </c>
      <c r="C6266" t="str">
        <f t="shared" si="97"/>
        <v>4. $250K-1M</v>
      </c>
      <c r="D6266" t="s">
        <v>867</v>
      </c>
      <c r="E6266" t="s">
        <v>237</v>
      </c>
      <c r="F6266" t="s">
        <v>670</v>
      </c>
      <c r="G6266" t="s">
        <v>59</v>
      </c>
      <c r="H6266">
        <v>2024</v>
      </c>
    </row>
    <row r="6267" spans="1:8" x14ac:dyDescent="0.2">
      <c r="A6267">
        <v>266356</v>
      </c>
      <c r="B6267">
        <v>54000</v>
      </c>
      <c r="C6267" t="str">
        <f t="shared" si="97"/>
        <v>4. $250K-1M</v>
      </c>
      <c r="D6267" t="s">
        <v>839</v>
      </c>
      <c r="E6267" t="s">
        <v>237</v>
      </c>
      <c r="F6267" t="s">
        <v>670</v>
      </c>
      <c r="G6267" t="s">
        <v>59</v>
      </c>
      <c r="H6267">
        <v>2024</v>
      </c>
    </row>
    <row r="6268" spans="1:8" x14ac:dyDescent="0.2">
      <c r="A6268">
        <v>266358</v>
      </c>
      <c r="B6268">
        <v>54000</v>
      </c>
      <c r="C6268" t="str">
        <f t="shared" si="97"/>
        <v>3. $50K-250K</v>
      </c>
      <c r="D6268" t="s">
        <v>1067</v>
      </c>
      <c r="E6268" t="s">
        <v>237</v>
      </c>
      <c r="F6268" t="s">
        <v>670</v>
      </c>
      <c r="G6268" t="s">
        <v>59</v>
      </c>
      <c r="H6268">
        <v>2024</v>
      </c>
    </row>
    <row r="6269" spans="1:8" x14ac:dyDescent="0.2">
      <c r="A6269">
        <v>266359</v>
      </c>
      <c r="B6269">
        <v>189000</v>
      </c>
      <c r="C6269" t="str">
        <f t="shared" si="97"/>
        <v>3. $50K-250K</v>
      </c>
      <c r="D6269" t="s">
        <v>1074</v>
      </c>
      <c r="E6269" t="s">
        <v>237</v>
      </c>
      <c r="F6269" t="s">
        <v>670</v>
      </c>
      <c r="G6269" t="s">
        <v>59</v>
      </c>
      <c r="H6269">
        <v>2024</v>
      </c>
    </row>
    <row r="6270" spans="1:8" x14ac:dyDescent="0.2">
      <c r="A6270">
        <v>266360</v>
      </c>
      <c r="B6270">
        <v>54000</v>
      </c>
      <c r="C6270" t="str">
        <f t="shared" si="97"/>
        <v>3. $50K-250K</v>
      </c>
      <c r="D6270" t="s">
        <v>1066</v>
      </c>
      <c r="E6270" t="s">
        <v>237</v>
      </c>
      <c r="F6270" t="s">
        <v>670</v>
      </c>
      <c r="G6270" t="s">
        <v>59</v>
      </c>
      <c r="H6270">
        <v>2024</v>
      </c>
    </row>
    <row r="6271" spans="1:8" x14ac:dyDescent="0.2">
      <c r="A6271">
        <v>266361</v>
      </c>
      <c r="B6271">
        <v>54000</v>
      </c>
      <c r="C6271" t="str">
        <f t="shared" si="97"/>
        <v>3. $50K-250K</v>
      </c>
      <c r="D6271" t="s">
        <v>737</v>
      </c>
      <c r="E6271" t="s">
        <v>237</v>
      </c>
      <c r="F6271" t="s">
        <v>670</v>
      </c>
      <c r="G6271" t="s">
        <v>59</v>
      </c>
      <c r="H6271">
        <v>2024</v>
      </c>
    </row>
    <row r="6272" spans="1:8" x14ac:dyDescent="0.2">
      <c r="A6272">
        <v>266362</v>
      </c>
      <c r="B6272">
        <v>72000</v>
      </c>
      <c r="C6272" t="str">
        <f t="shared" si="97"/>
        <v>3. $50K-250K</v>
      </c>
      <c r="D6272" t="s">
        <v>839</v>
      </c>
      <c r="E6272" t="s">
        <v>237</v>
      </c>
      <c r="F6272" t="s">
        <v>670</v>
      </c>
      <c r="G6272" t="s">
        <v>59</v>
      </c>
      <c r="H6272">
        <v>2024</v>
      </c>
    </row>
    <row r="6273" spans="1:8" x14ac:dyDescent="0.2">
      <c r="A6273">
        <v>266363</v>
      </c>
      <c r="B6273">
        <v>96424</v>
      </c>
      <c r="C6273" t="str">
        <f t="shared" si="97"/>
        <v>3. $50K-250K</v>
      </c>
      <c r="D6273" t="s">
        <v>707</v>
      </c>
      <c r="E6273" t="s">
        <v>237</v>
      </c>
      <c r="F6273" t="s">
        <v>670</v>
      </c>
      <c r="G6273" t="s">
        <v>59</v>
      </c>
      <c r="H6273">
        <v>2024</v>
      </c>
    </row>
    <row r="6274" spans="1:8" x14ac:dyDescent="0.2">
      <c r="A6274">
        <v>266364</v>
      </c>
      <c r="B6274">
        <v>108000</v>
      </c>
      <c r="C6274" t="str">
        <f t="shared" si="97"/>
        <v>3. $50K-250K</v>
      </c>
      <c r="D6274" t="s">
        <v>575</v>
      </c>
      <c r="E6274" t="s">
        <v>237</v>
      </c>
      <c r="F6274" t="s">
        <v>670</v>
      </c>
      <c r="G6274" t="s">
        <v>59</v>
      </c>
      <c r="H6274">
        <v>2024</v>
      </c>
    </row>
    <row r="6275" spans="1:8" x14ac:dyDescent="0.2">
      <c r="A6275">
        <v>266365</v>
      </c>
      <c r="B6275">
        <v>54000</v>
      </c>
      <c r="C6275" t="str">
        <f t="shared" ref="C6275:C6338" si="98">IF(B6274&lt;10000,"1. Under $10K",IF(B6274&lt;50000,"2. $10K-50K",IF(B6274&lt;250000,"3. $50K-250K",IF(B6274&lt;1000000,"4. $250K-1M","5. $1M+"))))</f>
        <v>3. $50K-250K</v>
      </c>
      <c r="D6275" t="s">
        <v>674</v>
      </c>
      <c r="E6275" t="s">
        <v>237</v>
      </c>
      <c r="F6275" t="s">
        <v>670</v>
      </c>
      <c r="G6275" t="s">
        <v>59</v>
      </c>
      <c r="H6275">
        <v>2024</v>
      </c>
    </row>
    <row r="6276" spans="1:8" x14ac:dyDescent="0.2">
      <c r="A6276">
        <v>266381</v>
      </c>
      <c r="B6276">
        <v>54000</v>
      </c>
      <c r="C6276" t="str">
        <f t="shared" si="98"/>
        <v>3. $50K-250K</v>
      </c>
      <c r="D6276" t="s">
        <v>911</v>
      </c>
      <c r="E6276" t="s">
        <v>237</v>
      </c>
      <c r="F6276" t="s">
        <v>670</v>
      </c>
      <c r="G6276" t="s">
        <v>59</v>
      </c>
      <c r="H6276">
        <v>2024</v>
      </c>
    </row>
    <row r="6277" spans="1:8" x14ac:dyDescent="0.2">
      <c r="A6277">
        <v>266398</v>
      </c>
      <c r="B6277">
        <v>219306.5</v>
      </c>
      <c r="C6277" t="str">
        <f t="shared" si="98"/>
        <v>3. $50K-250K</v>
      </c>
      <c r="D6277" t="s">
        <v>726</v>
      </c>
      <c r="E6277" t="s">
        <v>825</v>
      </c>
      <c r="F6277" t="s">
        <v>670</v>
      </c>
      <c r="G6277" t="s">
        <v>59</v>
      </c>
      <c r="H6277">
        <v>2024</v>
      </c>
    </row>
    <row r="6278" spans="1:8" x14ac:dyDescent="0.2">
      <c r="A6278">
        <v>266404</v>
      </c>
      <c r="B6278">
        <v>258976.8</v>
      </c>
      <c r="C6278" t="str">
        <f t="shared" si="98"/>
        <v>3. $50K-250K</v>
      </c>
      <c r="D6278" t="s">
        <v>900</v>
      </c>
      <c r="E6278" t="s">
        <v>825</v>
      </c>
      <c r="F6278" t="s">
        <v>670</v>
      </c>
      <c r="G6278" t="s">
        <v>59</v>
      </c>
      <c r="H6278">
        <v>2024</v>
      </c>
    </row>
    <row r="6279" spans="1:8" x14ac:dyDescent="0.2">
      <c r="A6279">
        <v>266405</v>
      </c>
      <c r="B6279">
        <v>42821.2</v>
      </c>
      <c r="C6279" t="str">
        <f t="shared" si="98"/>
        <v>4. $250K-1M</v>
      </c>
      <c r="D6279" t="s">
        <v>881</v>
      </c>
      <c r="E6279" t="s">
        <v>237</v>
      </c>
      <c r="F6279" t="s">
        <v>670</v>
      </c>
      <c r="G6279" t="s">
        <v>59</v>
      </c>
      <c r="H6279">
        <v>2024</v>
      </c>
    </row>
    <row r="6280" spans="1:8" x14ac:dyDescent="0.2">
      <c r="A6280">
        <v>266409</v>
      </c>
      <c r="B6280">
        <v>80482</v>
      </c>
      <c r="C6280" t="str">
        <f t="shared" si="98"/>
        <v>2. $10K-50K</v>
      </c>
      <c r="D6280" t="s">
        <v>854</v>
      </c>
      <c r="E6280" t="s">
        <v>237</v>
      </c>
      <c r="F6280" t="s">
        <v>670</v>
      </c>
      <c r="G6280" t="s">
        <v>59</v>
      </c>
      <c r="H6280">
        <v>2024</v>
      </c>
    </row>
    <row r="6281" spans="1:8" x14ac:dyDescent="0.2">
      <c r="A6281">
        <v>266414</v>
      </c>
      <c r="B6281">
        <v>97792.8</v>
      </c>
      <c r="C6281" t="str">
        <f t="shared" si="98"/>
        <v>3. $50K-250K</v>
      </c>
      <c r="D6281" t="s">
        <v>726</v>
      </c>
      <c r="E6281" t="s">
        <v>825</v>
      </c>
      <c r="F6281" t="s">
        <v>670</v>
      </c>
      <c r="G6281" t="s">
        <v>59</v>
      </c>
      <c r="H6281">
        <v>2024</v>
      </c>
    </row>
    <row r="6282" spans="1:8" x14ac:dyDescent="0.2">
      <c r="A6282">
        <v>266424</v>
      </c>
      <c r="B6282">
        <v>639335.80000000005</v>
      </c>
      <c r="C6282" t="str">
        <f t="shared" si="98"/>
        <v>3. $50K-250K</v>
      </c>
      <c r="D6282" t="s">
        <v>867</v>
      </c>
      <c r="E6282" t="s">
        <v>237</v>
      </c>
      <c r="F6282" t="s">
        <v>670</v>
      </c>
      <c r="G6282" t="s">
        <v>59</v>
      </c>
      <c r="H6282">
        <v>2024</v>
      </c>
    </row>
    <row r="6283" spans="1:8" x14ac:dyDescent="0.2">
      <c r="A6283">
        <v>266425</v>
      </c>
      <c r="B6283">
        <v>39181.699999999997</v>
      </c>
      <c r="C6283" t="str">
        <f t="shared" si="98"/>
        <v>4. $250K-1M</v>
      </c>
      <c r="D6283" t="s">
        <v>924</v>
      </c>
      <c r="E6283" t="s">
        <v>237</v>
      </c>
      <c r="F6283" t="s">
        <v>670</v>
      </c>
      <c r="G6283" t="s">
        <v>59</v>
      </c>
      <c r="H6283">
        <v>2024</v>
      </c>
    </row>
    <row r="6284" spans="1:8" x14ac:dyDescent="0.2">
      <c r="A6284">
        <v>266426</v>
      </c>
      <c r="B6284">
        <v>157575</v>
      </c>
      <c r="C6284" t="str">
        <f t="shared" si="98"/>
        <v>2. $10K-50K</v>
      </c>
      <c r="D6284" t="s">
        <v>867</v>
      </c>
      <c r="E6284" t="s">
        <v>237</v>
      </c>
      <c r="F6284" t="s">
        <v>670</v>
      </c>
      <c r="G6284" t="s">
        <v>59</v>
      </c>
      <c r="H6284">
        <v>2024</v>
      </c>
    </row>
    <row r="6285" spans="1:8" x14ac:dyDescent="0.2">
      <c r="A6285">
        <v>266428</v>
      </c>
      <c r="B6285">
        <v>190614.3</v>
      </c>
      <c r="C6285" t="str">
        <f t="shared" si="98"/>
        <v>3. $50K-250K</v>
      </c>
      <c r="D6285" t="s">
        <v>867</v>
      </c>
      <c r="E6285" t="s">
        <v>237</v>
      </c>
      <c r="F6285" t="s">
        <v>670</v>
      </c>
      <c r="G6285" t="s">
        <v>59</v>
      </c>
      <c r="H6285">
        <v>2024</v>
      </c>
    </row>
    <row r="6286" spans="1:8" x14ac:dyDescent="0.2">
      <c r="A6286">
        <v>266429</v>
      </c>
      <c r="B6286">
        <v>12045</v>
      </c>
      <c r="C6286" t="str">
        <f t="shared" si="98"/>
        <v>3. $50K-250K</v>
      </c>
      <c r="D6286" t="s">
        <v>867</v>
      </c>
      <c r="E6286" t="s">
        <v>237</v>
      </c>
      <c r="F6286" t="s">
        <v>670</v>
      </c>
      <c r="G6286" t="s">
        <v>59</v>
      </c>
      <c r="H6286">
        <v>2024</v>
      </c>
    </row>
    <row r="6287" spans="1:8" x14ac:dyDescent="0.2">
      <c r="A6287">
        <v>266431</v>
      </c>
      <c r="B6287">
        <v>989506.4</v>
      </c>
      <c r="C6287" t="str">
        <f t="shared" si="98"/>
        <v>2. $10K-50K</v>
      </c>
      <c r="D6287" t="s">
        <v>673</v>
      </c>
      <c r="E6287" t="s">
        <v>42</v>
      </c>
      <c r="F6287" t="s">
        <v>670</v>
      </c>
      <c r="G6287" t="s">
        <v>59</v>
      </c>
      <c r="H6287">
        <v>2024</v>
      </c>
    </row>
    <row r="6288" spans="1:8" x14ac:dyDescent="0.2">
      <c r="A6288">
        <v>266432</v>
      </c>
      <c r="B6288">
        <v>280453.09999999998</v>
      </c>
      <c r="C6288" t="str">
        <f t="shared" si="98"/>
        <v>4. $250K-1M</v>
      </c>
      <c r="D6288" t="s">
        <v>674</v>
      </c>
      <c r="E6288" t="s">
        <v>42</v>
      </c>
      <c r="F6288" t="s">
        <v>670</v>
      </c>
      <c r="G6288" t="s">
        <v>59</v>
      </c>
      <c r="H6288">
        <v>2024</v>
      </c>
    </row>
    <row r="6289" spans="1:8" x14ac:dyDescent="0.2">
      <c r="A6289">
        <v>266434</v>
      </c>
      <c r="B6289">
        <v>293390</v>
      </c>
      <c r="C6289" t="str">
        <f t="shared" si="98"/>
        <v>4. $250K-1M</v>
      </c>
      <c r="D6289" t="s">
        <v>679</v>
      </c>
      <c r="E6289" t="s">
        <v>42</v>
      </c>
      <c r="F6289" t="s">
        <v>670</v>
      </c>
      <c r="G6289" t="s">
        <v>59</v>
      </c>
      <c r="H6289">
        <v>2024</v>
      </c>
    </row>
    <row r="6290" spans="1:8" x14ac:dyDescent="0.2">
      <c r="A6290">
        <v>266435</v>
      </c>
      <c r="B6290">
        <v>241004.3</v>
      </c>
      <c r="C6290" t="str">
        <f t="shared" si="98"/>
        <v>4. $250K-1M</v>
      </c>
      <c r="D6290" t="s">
        <v>684</v>
      </c>
      <c r="E6290" t="s">
        <v>42</v>
      </c>
      <c r="F6290" t="s">
        <v>670</v>
      </c>
      <c r="G6290" t="s">
        <v>59</v>
      </c>
      <c r="H6290">
        <v>2024</v>
      </c>
    </row>
    <row r="6291" spans="1:8" x14ac:dyDescent="0.2">
      <c r="A6291">
        <v>266437</v>
      </c>
      <c r="B6291">
        <v>1287450</v>
      </c>
      <c r="C6291" t="str">
        <f t="shared" si="98"/>
        <v>3. $50K-250K</v>
      </c>
      <c r="D6291" t="s">
        <v>673</v>
      </c>
      <c r="E6291" t="s">
        <v>42</v>
      </c>
      <c r="F6291" t="s">
        <v>670</v>
      </c>
      <c r="G6291" t="s">
        <v>59</v>
      </c>
      <c r="H6291">
        <v>2024</v>
      </c>
    </row>
    <row r="6292" spans="1:8" x14ac:dyDescent="0.2">
      <c r="A6292">
        <v>266438</v>
      </c>
      <c r="B6292">
        <v>638349.4</v>
      </c>
      <c r="C6292" t="str">
        <f t="shared" si="98"/>
        <v>5. $1M+</v>
      </c>
      <c r="D6292" t="s">
        <v>686</v>
      </c>
      <c r="E6292" t="s">
        <v>42</v>
      </c>
      <c r="F6292" t="s">
        <v>670</v>
      </c>
      <c r="G6292" t="s">
        <v>59</v>
      </c>
      <c r="H6292">
        <v>2024</v>
      </c>
    </row>
    <row r="6293" spans="1:8" x14ac:dyDescent="0.2">
      <c r="A6293">
        <v>266439</v>
      </c>
      <c r="B6293">
        <v>279569.2</v>
      </c>
      <c r="C6293" t="str">
        <f t="shared" si="98"/>
        <v>4. $250K-1M</v>
      </c>
      <c r="D6293" t="s">
        <v>671</v>
      </c>
      <c r="E6293" t="s">
        <v>42</v>
      </c>
      <c r="F6293" t="s">
        <v>670</v>
      </c>
      <c r="G6293" t="s">
        <v>59</v>
      </c>
      <c r="H6293">
        <v>2024</v>
      </c>
    </row>
    <row r="6294" spans="1:8" x14ac:dyDescent="0.2">
      <c r="A6294">
        <v>266443</v>
      </c>
      <c r="B6294">
        <v>25410</v>
      </c>
      <c r="C6294" t="str">
        <f t="shared" si="98"/>
        <v>4. $250K-1M</v>
      </c>
      <c r="D6294" t="s">
        <v>996</v>
      </c>
      <c r="E6294" t="s">
        <v>237</v>
      </c>
      <c r="F6294" t="s">
        <v>670</v>
      </c>
      <c r="G6294" t="s">
        <v>59</v>
      </c>
      <c r="H6294">
        <v>2024</v>
      </c>
    </row>
    <row r="6295" spans="1:8" x14ac:dyDescent="0.2">
      <c r="A6295">
        <v>266444</v>
      </c>
      <c r="B6295">
        <v>94625</v>
      </c>
      <c r="C6295" t="str">
        <f t="shared" si="98"/>
        <v>2. $10K-50K</v>
      </c>
      <c r="D6295" t="s">
        <v>795</v>
      </c>
      <c r="E6295" t="s">
        <v>2157</v>
      </c>
      <c r="F6295" t="s">
        <v>670</v>
      </c>
      <c r="G6295" t="s">
        <v>59</v>
      </c>
      <c r="H6295">
        <v>2024</v>
      </c>
    </row>
    <row r="6296" spans="1:8" x14ac:dyDescent="0.2">
      <c r="A6296">
        <v>266445</v>
      </c>
      <c r="B6296">
        <v>87618</v>
      </c>
      <c r="C6296" t="str">
        <f t="shared" si="98"/>
        <v>3. $50K-250K</v>
      </c>
      <c r="D6296" t="s">
        <v>795</v>
      </c>
      <c r="E6296" t="s">
        <v>237</v>
      </c>
      <c r="F6296" t="s">
        <v>670</v>
      </c>
      <c r="G6296" t="s">
        <v>59</v>
      </c>
      <c r="H6296">
        <v>2024</v>
      </c>
    </row>
    <row r="6297" spans="1:8" x14ac:dyDescent="0.2">
      <c r="A6297">
        <v>26646</v>
      </c>
      <c r="B6297">
        <v>3120000</v>
      </c>
      <c r="C6297" t="str">
        <f t="shared" si="98"/>
        <v>3. $50K-250K</v>
      </c>
      <c r="D6297" t="s">
        <v>185</v>
      </c>
      <c r="E6297" t="s">
        <v>28</v>
      </c>
      <c r="F6297" t="s">
        <v>29</v>
      </c>
      <c r="G6297" t="s">
        <v>15</v>
      </c>
      <c r="H6297">
        <v>2023</v>
      </c>
    </row>
    <row r="6298" spans="1:8" x14ac:dyDescent="0.2">
      <c r="A6298">
        <v>266476</v>
      </c>
      <c r="B6298">
        <v>426.8</v>
      </c>
      <c r="C6298" t="str">
        <f t="shared" si="98"/>
        <v>5. $1M+</v>
      </c>
      <c r="D6298" t="s">
        <v>422</v>
      </c>
      <c r="E6298" t="s">
        <v>82</v>
      </c>
      <c r="F6298" t="s">
        <v>423</v>
      </c>
      <c r="G6298" t="s">
        <v>59</v>
      </c>
      <c r="H6298">
        <v>2024</v>
      </c>
    </row>
    <row r="6299" spans="1:8" x14ac:dyDescent="0.2">
      <c r="A6299">
        <v>266480</v>
      </c>
      <c r="B6299">
        <v>123597.5</v>
      </c>
      <c r="C6299" t="str">
        <f t="shared" si="98"/>
        <v>1. Under $10K</v>
      </c>
      <c r="D6299" t="s">
        <v>956</v>
      </c>
      <c r="E6299" t="s">
        <v>825</v>
      </c>
      <c r="F6299" t="s">
        <v>670</v>
      </c>
      <c r="G6299" t="s">
        <v>59</v>
      </c>
      <c r="H6299">
        <v>2024</v>
      </c>
    </row>
    <row r="6300" spans="1:8" x14ac:dyDescent="0.2">
      <c r="A6300">
        <v>26651</v>
      </c>
      <c r="B6300">
        <v>847794</v>
      </c>
      <c r="C6300" t="str">
        <f t="shared" si="98"/>
        <v>3. $50K-250K</v>
      </c>
      <c r="D6300" t="s">
        <v>424</v>
      </c>
      <c r="E6300" t="s">
        <v>28</v>
      </c>
      <c r="F6300" t="s">
        <v>29</v>
      </c>
      <c r="G6300" t="s">
        <v>15</v>
      </c>
      <c r="H6300">
        <v>2023</v>
      </c>
    </row>
    <row r="6301" spans="1:8" x14ac:dyDescent="0.2">
      <c r="A6301">
        <v>266606</v>
      </c>
      <c r="B6301">
        <v>260000</v>
      </c>
      <c r="C6301" t="str">
        <f t="shared" si="98"/>
        <v>4. $250K-1M</v>
      </c>
      <c r="D6301" t="s">
        <v>807</v>
      </c>
      <c r="E6301" t="s">
        <v>42</v>
      </c>
      <c r="F6301" t="s">
        <v>670</v>
      </c>
      <c r="G6301" t="s">
        <v>59</v>
      </c>
      <c r="H6301">
        <v>2024</v>
      </c>
    </row>
    <row r="6302" spans="1:8" x14ac:dyDescent="0.2">
      <c r="A6302">
        <v>266607</v>
      </c>
      <c r="B6302">
        <v>1400000</v>
      </c>
      <c r="C6302" t="str">
        <f t="shared" si="98"/>
        <v>4. $250K-1M</v>
      </c>
      <c r="D6302" t="s">
        <v>1034</v>
      </c>
      <c r="E6302" t="s">
        <v>42</v>
      </c>
      <c r="F6302" t="s">
        <v>670</v>
      </c>
      <c r="G6302" t="s">
        <v>59</v>
      </c>
      <c r="H6302">
        <v>2024</v>
      </c>
    </row>
    <row r="6303" spans="1:8" x14ac:dyDescent="0.2">
      <c r="A6303">
        <v>266610</v>
      </c>
      <c r="B6303">
        <v>400000</v>
      </c>
      <c r="C6303" t="str">
        <f t="shared" si="98"/>
        <v>5. $1M+</v>
      </c>
      <c r="D6303" t="s">
        <v>791</v>
      </c>
      <c r="E6303" t="s">
        <v>42</v>
      </c>
      <c r="F6303" t="s">
        <v>670</v>
      </c>
      <c r="G6303" t="s">
        <v>59</v>
      </c>
      <c r="H6303">
        <v>2024</v>
      </c>
    </row>
    <row r="6304" spans="1:8" x14ac:dyDescent="0.2">
      <c r="A6304">
        <v>266668</v>
      </c>
      <c r="B6304">
        <v>971226</v>
      </c>
      <c r="C6304" t="str">
        <f t="shared" si="98"/>
        <v>4. $250K-1M</v>
      </c>
      <c r="D6304" t="s">
        <v>230</v>
      </c>
      <c r="E6304" t="s">
        <v>67</v>
      </c>
      <c r="F6304" t="s">
        <v>231</v>
      </c>
      <c r="G6304" t="s">
        <v>232</v>
      </c>
      <c r="H6304">
        <v>2024</v>
      </c>
    </row>
    <row r="6305" spans="1:8" x14ac:dyDescent="0.2">
      <c r="A6305">
        <v>266669</v>
      </c>
      <c r="B6305">
        <v>5247838.8</v>
      </c>
      <c r="C6305" t="str">
        <f t="shared" si="98"/>
        <v>4. $250K-1M</v>
      </c>
      <c r="D6305" t="s">
        <v>230</v>
      </c>
      <c r="E6305" t="s">
        <v>67</v>
      </c>
      <c r="F6305" t="s">
        <v>231</v>
      </c>
      <c r="G6305" t="s">
        <v>232</v>
      </c>
      <c r="H6305">
        <v>2024</v>
      </c>
    </row>
    <row r="6306" spans="1:8" x14ac:dyDescent="0.2">
      <c r="A6306">
        <v>266688</v>
      </c>
      <c r="B6306">
        <v>245500</v>
      </c>
      <c r="C6306" t="str">
        <f t="shared" si="98"/>
        <v>5. $1M+</v>
      </c>
      <c r="D6306" t="s">
        <v>425</v>
      </c>
      <c r="E6306" t="s">
        <v>21</v>
      </c>
      <c r="F6306" t="s">
        <v>100</v>
      </c>
      <c r="G6306" t="s">
        <v>79</v>
      </c>
      <c r="H6306">
        <v>2024</v>
      </c>
    </row>
    <row r="6307" spans="1:8" x14ac:dyDescent="0.2">
      <c r="A6307">
        <v>266704</v>
      </c>
      <c r="B6307">
        <v>70499.5</v>
      </c>
      <c r="C6307" t="str">
        <f t="shared" si="98"/>
        <v>3. $50K-250K</v>
      </c>
      <c r="D6307" t="s">
        <v>880</v>
      </c>
      <c r="E6307" t="s">
        <v>825</v>
      </c>
      <c r="F6307" t="s">
        <v>670</v>
      </c>
      <c r="G6307" t="s">
        <v>59</v>
      </c>
      <c r="H6307">
        <v>2024</v>
      </c>
    </row>
    <row r="6308" spans="1:8" x14ac:dyDescent="0.2">
      <c r="A6308">
        <v>266706</v>
      </c>
      <c r="B6308">
        <v>59385</v>
      </c>
      <c r="C6308" t="str">
        <f t="shared" si="98"/>
        <v>3. $50K-250K</v>
      </c>
      <c r="D6308" t="s">
        <v>936</v>
      </c>
      <c r="E6308" t="s">
        <v>237</v>
      </c>
      <c r="F6308" t="s">
        <v>670</v>
      </c>
      <c r="G6308" t="s">
        <v>59</v>
      </c>
      <c r="H6308">
        <v>2024</v>
      </c>
    </row>
    <row r="6309" spans="1:8" x14ac:dyDescent="0.2">
      <c r="A6309">
        <v>266708</v>
      </c>
      <c r="B6309">
        <v>325467.09999999998</v>
      </c>
      <c r="C6309" t="str">
        <f t="shared" si="98"/>
        <v>3. $50K-250K</v>
      </c>
      <c r="D6309" t="s">
        <v>868</v>
      </c>
      <c r="E6309" t="s">
        <v>237</v>
      </c>
      <c r="F6309" t="s">
        <v>670</v>
      </c>
      <c r="G6309" t="s">
        <v>59</v>
      </c>
      <c r="H6309">
        <v>2024</v>
      </c>
    </row>
    <row r="6310" spans="1:8" x14ac:dyDescent="0.2">
      <c r="A6310">
        <v>266709</v>
      </c>
      <c r="B6310">
        <v>517908</v>
      </c>
      <c r="C6310" t="str">
        <f t="shared" si="98"/>
        <v>4. $250K-1M</v>
      </c>
      <c r="D6310" t="s">
        <v>1754</v>
      </c>
      <c r="E6310" t="s">
        <v>59</v>
      </c>
      <c r="F6310" t="s">
        <v>670</v>
      </c>
      <c r="G6310" t="s">
        <v>101</v>
      </c>
      <c r="H6310">
        <v>2024</v>
      </c>
    </row>
    <row r="6311" spans="1:8" x14ac:dyDescent="0.2">
      <c r="A6311">
        <v>266710</v>
      </c>
      <c r="B6311">
        <v>65147</v>
      </c>
      <c r="C6311" t="str">
        <f t="shared" si="98"/>
        <v>4. $250K-1M</v>
      </c>
      <c r="D6311" t="s">
        <v>926</v>
      </c>
      <c r="E6311" t="s">
        <v>825</v>
      </c>
      <c r="F6311" t="s">
        <v>670</v>
      </c>
      <c r="G6311" t="s">
        <v>59</v>
      </c>
      <c r="H6311">
        <v>2024</v>
      </c>
    </row>
    <row r="6312" spans="1:8" x14ac:dyDescent="0.2">
      <c r="A6312">
        <v>266711</v>
      </c>
      <c r="B6312">
        <v>117039.2</v>
      </c>
      <c r="C6312" t="str">
        <f t="shared" si="98"/>
        <v>3. $50K-250K</v>
      </c>
      <c r="D6312" t="s">
        <v>866</v>
      </c>
      <c r="E6312" t="s">
        <v>237</v>
      </c>
      <c r="F6312" t="s">
        <v>670</v>
      </c>
      <c r="G6312" t="s">
        <v>59</v>
      </c>
      <c r="H6312">
        <v>2024</v>
      </c>
    </row>
    <row r="6313" spans="1:8" x14ac:dyDescent="0.2">
      <c r="A6313">
        <v>266713</v>
      </c>
      <c r="B6313">
        <v>146004.4</v>
      </c>
      <c r="C6313" t="str">
        <f t="shared" si="98"/>
        <v>3. $50K-250K</v>
      </c>
      <c r="D6313" t="s">
        <v>749</v>
      </c>
      <c r="E6313" t="s">
        <v>237</v>
      </c>
      <c r="F6313" t="s">
        <v>670</v>
      </c>
      <c r="G6313" t="s">
        <v>59</v>
      </c>
      <c r="H6313">
        <v>2024</v>
      </c>
    </row>
    <row r="6314" spans="1:8" x14ac:dyDescent="0.2">
      <c r="A6314">
        <v>266716</v>
      </c>
      <c r="B6314">
        <v>87298.8</v>
      </c>
      <c r="C6314" t="str">
        <f t="shared" si="98"/>
        <v>3. $50K-250K</v>
      </c>
      <c r="D6314" t="s">
        <v>874</v>
      </c>
      <c r="E6314" t="s">
        <v>237</v>
      </c>
      <c r="F6314" t="s">
        <v>670</v>
      </c>
      <c r="G6314" t="s">
        <v>59</v>
      </c>
      <c r="H6314">
        <v>2024</v>
      </c>
    </row>
    <row r="6315" spans="1:8" x14ac:dyDescent="0.2">
      <c r="A6315">
        <v>266717</v>
      </c>
      <c r="B6315">
        <v>79276.600000000006</v>
      </c>
      <c r="C6315" t="str">
        <f t="shared" si="98"/>
        <v>3. $50K-250K</v>
      </c>
      <c r="D6315" t="s">
        <v>938</v>
      </c>
      <c r="E6315" t="s">
        <v>237</v>
      </c>
      <c r="F6315" t="s">
        <v>670</v>
      </c>
      <c r="G6315" t="s">
        <v>59</v>
      </c>
      <c r="H6315">
        <v>2024</v>
      </c>
    </row>
    <row r="6316" spans="1:8" x14ac:dyDescent="0.2">
      <c r="A6316">
        <v>266721</v>
      </c>
      <c r="B6316">
        <v>44665</v>
      </c>
      <c r="C6316" t="str">
        <f t="shared" si="98"/>
        <v>3. $50K-250K</v>
      </c>
      <c r="D6316" t="s">
        <v>909</v>
      </c>
      <c r="E6316" t="s">
        <v>237</v>
      </c>
      <c r="F6316" t="s">
        <v>670</v>
      </c>
      <c r="G6316" t="s">
        <v>59</v>
      </c>
      <c r="H6316">
        <v>2024</v>
      </c>
    </row>
    <row r="6317" spans="1:8" x14ac:dyDescent="0.2">
      <c r="A6317">
        <v>266722</v>
      </c>
      <c r="B6317">
        <v>115430.3</v>
      </c>
      <c r="C6317" t="str">
        <f t="shared" si="98"/>
        <v>2. $10K-50K</v>
      </c>
      <c r="D6317" t="s">
        <v>870</v>
      </c>
      <c r="E6317" t="s">
        <v>237</v>
      </c>
      <c r="F6317" t="s">
        <v>670</v>
      </c>
      <c r="G6317" t="s">
        <v>59</v>
      </c>
      <c r="H6317">
        <v>2024</v>
      </c>
    </row>
    <row r="6318" spans="1:8" x14ac:dyDescent="0.2">
      <c r="A6318">
        <v>266724</v>
      </c>
      <c r="B6318">
        <v>47993.3</v>
      </c>
      <c r="C6318" t="str">
        <f t="shared" si="98"/>
        <v>3. $50K-250K</v>
      </c>
      <c r="D6318" t="s">
        <v>870</v>
      </c>
      <c r="E6318" t="s">
        <v>237</v>
      </c>
      <c r="F6318" t="s">
        <v>670</v>
      </c>
      <c r="G6318" t="s">
        <v>59</v>
      </c>
      <c r="H6318">
        <v>2024</v>
      </c>
    </row>
    <row r="6319" spans="1:8" x14ac:dyDescent="0.2">
      <c r="A6319">
        <v>266725</v>
      </c>
      <c r="B6319">
        <v>57017.599999999999</v>
      </c>
      <c r="C6319" t="str">
        <f t="shared" si="98"/>
        <v>2. $10K-50K</v>
      </c>
      <c r="D6319" t="s">
        <v>870</v>
      </c>
      <c r="E6319" t="s">
        <v>237</v>
      </c>
      <c r="F6319" t="s">
        <v>670</v>
      </c>
      <c r="G6319" t="s">
        <v>59</v>
      </c>
      <c r="H6319">
        <v>2024</v>
      </c>
    </row>
    <row r="6320" spans="1:8" x14ac:dyDescent="0.2">
      <c r="A6320">
        <v>266727</v>
      </c>
      <c r="B6320">
        <v>178237.5</v>
      </c>
      <c r="C6320" t="str">
        <f t="shared" si="98"/>
        <v>3. $50K-250K</v>
      </c>
      <c r="D6320" t="s">
        <v>975</v>
      </c>
      <c r="E6320" t="s">
        <v>825</v>
      </c>
      <c r="F6320" t="s">
        <v>670</v>
      </c>
      <c r="G6320" t="s">
        <v>59</v>
      </c>
      <c r="H6320">
        <v>2024</v>
      </c>
    </row>
    <row r="6321" spans="1:8" x14ac:dyDescent="0.2">
      <c r="A6321">
        <v>266728</v>
      </c>
      <c r="B6321">
        <v>10425000</v>
      </c>
      <c r="C6321" t="str">
        <f t="shared" si="98"/>
        <v>3. $50K-250K</v>
      </c>
      <c r="D6321" t="s">
        <v>1520</v>
      </c>
      <c r="E6321" t="s">
        <v>112</v>
      </c>
      <c r="F6321" t="s">
        <v>668</v>
      </c>
      <c r="G6321" t="s">
        <v>59</v>
      </c>
      <c r="H6321">
        <v>2024</v>
      </c>
    </row>
    <row r="6322" spans="1:8" x14ac:dyDescent="0.2">
      <c r="A6322">
        <v>266734</v>
      </c>
      <c r="B6322">
        <v>56980.5</v>
      </c>
      <c r="C6322" t="str">
        <f t="shared" si="98"/>
        <v>5. $1M+</v>
      </c>
      <c r="D6322" t="s">
        <v>2064</v>
      </c>
      <c r="E6322" t="s">
        <v>825</v>
      </c>
      <c r="F6322" t="s">
        <v>670</v>
      </c>
      <c r="G6322" t="s">
        <v>59</v>
      </c>
      <c r="H6322">
        <v>2024</v>
      </c>
    </row>
    <row r="6323" spans="1:8" x14ac:dyDescent="0.2">
      <c r="A6323">
        <v>266737</v>
      </c>
      <c r="B6323">
        <v>132477</v>
      </c>
      <c r="C6323" t="str">
        <f t="shared" si="98"/>
        <v>3. $50K-250K</v>
      </c>
      <c r="D6323" t="s">
        <v>794</v>
      </c>
      <c r="E6323" t="s">
        <v>237</v>
      </c>
      <c r="F6323" t="s">
        <v>670</v>
      </c>
      <c r="G6323" t="s">
        <v>59</v>
      </c>
      <c r="H6323">
        <v>2024</v>
      </c>
    </row>
    <row r="6324" spans="1:8" x14ac:dyDescent="0.2">
      <c r="A6324">
        <v>266740</v>
      </c>
      <c r="B6324">
        <v>634028.4</v>
      </c>
      <c r="C6324" t="str">
        <f t="shared" si="98"/>
        <v>3. $50K-250K</v>
      </c>
      <c r="D6324" t="s">
        <v>701</v>
      </c>
      <c r="E6324" t="s">
        <v>237</v>
      </c>
      <c r="F6324" t="s">
        <v>670</v>
      </c>
      <c r="G6324" t="s">
        <v>59</v>
      </c>
      <c r="H6324">
        <v>2024</v>
      </c>
    </row>
    <row r="6325" spans="1:8" x14ac:dyDescent="0.2">
      <c r="A6325">
        <v>266741</v>
      </c>
      <c r="B6325">
        <v>71016.5</v>
      </c>
      <c r="C6325" t="str">
        <f t="shared" si="98"/>
        <v>4. $250K-1M</v>
      </c>
      <c r="D6325" t="s">
        <v>864</v>
      </c>
      <c r="E6325" t="s">
        <v>237</v>
      </c>
      <c r="F6325" t="s">
        <v>670</v>
      </c>
      <c r="G6325" t="s">
        <v>59</v>
      </c>
      <c r="H6325">
        <v>2024</v>
      </c>
    </row>
    <row r="6326" spans="1:8" x14ac:dyDescent="0.2">
      <c r="A6326">
        <v>266744</v>
      </c>
      <c r="B6326">
        <v>107714.5</v>
      </c>
      <c r="C6326" t="str">
        <f t="shared" si="98"/>
        <v>3. $50K-250K</v>
      </c>
      <c r="D6326" t="s">
        <v>870</v>
      </c>
      <c r="E6326" t="s">
        <v>237</v>
      </c>
      <c r="F6326" t="s">
        <v>670</v>
      </c>
      <c r="G6326" t="s">
        <v>59</v>
      </c>
      <c r="H6326">
        <v>2024</v>
      </c>
    </row>
    <row r="6327" spans="1:8" x14ac:dyDescent="0.2">
      <c r="A6327">
        <v>266745</v>
      </c>
      <c r="B6327">
        <v>299131.40000000002</v>
      </c>
      <c r="C6327" t="str">
        <f t="shared" si="98"/>
        <v>3. $50K-250K</v>
      </c>
      <c r="D6327" t="s">
        <v>902</v>
      </c>
      <c r="E6327" t="s">
        <v>237</v>
      </c>
      <c r="F6327" t="s">
        <v>670</v>
      </c>
      <c r="G6327" t="s">
        <v>59</v>
      </c>
      <c r="H6327">
        <v>2024</v>
      </c>
    </row>
    <row r="6328" spans="1:8" x14ac:dyDescent="0.2">
      <c r="A6328">
        <v>266746</v>
      </c>
      <c r="B6328">
        <v>182355</v>
      </c>
      <c r="C6328" t="str">
        <f t="shared" si="98"/>
        <v>4. $250K-1M</v>
      </c>
      <c r="D6328" t="s">
        <v>869</v>
      </c>
      <c r="E6328" t="s">
        <v>237</v>
      </c>
      <c r="F6328" t="s">
        <v>670</v>
      </c>
      <c r="G6328" t="s">
        <v>59</v>
      </c>
      <c r="H6328">
        <v>2024</v>
      </c>
    </row>
    <row r="6329" spans="1:8" x14ac:dyDescent="0.2">
      <c r="A6329">
        <v>266747</v>
      </c>
      <c r="B6329">
        <v>397475.1</v>
      </c>
      <c r="C6329" t="str">
        <f t="shared" si="98"/>
        <v>3. $50K-250K</v>
      </c>
      <c r="D6329" t="s">
        <v>871</v>
      </c>
      <c r="E6329" t="s">
        <v>237</v>
      </c>
      <c r="F6329" t="s">
        <v>670</v>
      </c>
      <c r="G6329" t="s">
        <v>59</v>
      </c>
      <c r="H6329">
        <v>2024</v>
      </c>
    </row>
    <row r="6330" spans="1:8" x14ac:dyDescent="0.2">
      <c r="A6330">
        <v>266750</v>
      </c>
      <c r="B6330">
        <v>109134.3</v>
      </c>
      <c r="C6330" t="str">
        <f t="shared" si="98"/>
        <v>4. $250K-1M</v>
      </c>
      <c r="D6330" t="s">
        <v>711</v>
      </c>
      <c r="E6330" t="s">
        <v>237</v>
      </c>
      <c r="F6330" t="s">
        <v>670</v>
      </c>
      <c r="G6330" t="s">
        <v>59</v>
      </c>
      <c r="H6330">
        <v>2024</v>
      </c>
    </row>
    <row r="6331" spans="1:8" x14ac:dyDescent="0.2">
      <c r="A6331">
        <v>266752</v>
      </c>
      <c r="B6331">
        <v>62403.4</v>
      </c>
      <c r="C6331" t="str">
        <f t="shared" si="98"/>
        <v>3. $50K-250K</v>
      </c>
      <c r="D6331" t="s">
        <v>701</v>
      </c>
      <c r="E6331" t="s">
        <v>825</v>
      </c>
      <c r="F6331" t="s">
        <v>670</v>
      </c>
      <c r="G6331" t="s">
        <v>59</v>
      </c>
      <c r="H6331">
        <v>2024</v>
      </c>
    </row>
    <row r="6332" spans="1:8" x14ac:dyDescent="0.2">
      <c r="A6332">
        <v>266754</v>
      </c>
      <c r="B6332">
        <v>52500</v>
      </c>
      <c r="C6332" t="str">
        <f t="shared" si="98"/>
        <v>3. $50K-250K</v>
      </c>
      <c r="D6332" t="s">
        <v>880</v>
      </c>
      <c r="E6332" t="s">
        <v>825</v>
      </c>
      <c r="F6332" t="s">
        <v>670</v>
      </c>
      <c r="G6332" t="s">
        <v>59</v>
      </c>
      <c r="H6332">
        <v>2024</v>
      </c>
    </row>
    <row r="6333" spans="1:8" x14ac:dyDescent="0.2">
      <c r="A6333">
        <v>266755</v>
      </c>
      <c r="B6333">
        <v>138210.6</v>
      </c>
      <c r="C6333" t="str">
        <f t="shared" si="98"/>
        <v>3. $50K-250K</v>
      </c>
      <c r="D6333" t="s">
        <v>936</v>
      </c>
      <c r="E6333" t="s">
        <v>825</v>
      </c>
      <c r="F6333" t="s">
        <v>670</v>
      </c>
      <c r="G6333" t="s">
        <v>59</v>
      </c>
      <c r="H6333">
        <v>2024</v>
      </c>
    </row>
    <row r="6334" spans="1:8" x14ac:dyDescent="0.2">
      <c r="A6334">
        <v>266756</v>
      </c>
      <c r="B6334">
        <v>97441.600000000006</v>
      </c>
      <c r="C6334" t="str">
        <f t="shared" si="98"/>
        <v>3. $50K-250K</v>
      </c>
      <c r="D6334" t="s">
        <v>919</v>
      </c>
      <c r="E6334" t="s">
        <v>825</v>
      </c>
      <c r="F6334" t="s">
        <v>670</v>
      </c>
      <c r="G6334" t="s">
        <v>59</v>
      </c>
      <c r="H6334">
        <v>2024</v>
      </c>
    </row>
    <row r="6335" spans="1:8" x14ac:dyDescent="0.2">
      <c r="A6335">
        <v>266757</v>
      </c>
      <c r="B6335">
        <v>123754.1</v>
      </c>
      <c r="C6335" t="str">
        <f t="shared" si="98"/>
        <v>3. $50K-250K</v>
      </c>
      <c r="D6335" t="s">
        <v>1547</v>
      </c>
      <c r="E6335" t="s">
        <v>825</v>
      </c>
      <c r="F6335" t="s">
        <v>670</v>
      </c>
      <c r="G6335" t="s">
        <v>59</v>
      </c>
      <c r="H6335">
        <v>2024</v>
      </c>
    </row>
    <row r="6336" spans="1:8" x14ac:dyDescent="0.2">
      <c r="A6336">
        <v>266764</v>
      </c>
      <c r="B6336">
        <v>79777</v>
      </c>
      <c r="C6336" t="str">
        <f t="shared" si="98"/>
        <v>3. $50K-250K</v>
      </c>
      <c r="D6336" t="s">
        <v>1440</v>
      </c>
      <c r="E6336" t="s">
        <v>432</v>
      </c>
      <c r="F6336" t="s">
        <v>670</v>
      </c>
      <c r="G6336" t="s">
        <v>59</v>
      </c>
      <c r="H6336">
        <v>2024</v>
      </c>
    </row>
    <row r="6337" spans="1:8" x14ac:dyDescent="0.2">
      <c r="A6337">
        <v>266765</v>
      </c>
      <c r="B6337">
        <v>30000</v>
      </c>
      <c r="C6337" t="str">
        <f t="shared" si="98"/>
        <v>3. $50K-250K</v>
      </c>
      <c r="D6337" t="s">
        <v>816</v>
      </c>
      <c r="E6337" t="s">
        <v>432</v>
      </c>
      <c r="F6337" t="s">
        <v>670</v>
      </c>
      <c r="G6337" t="s">
        <v>59</v>
      </c>
      <c r="H6337">
        <v>2024</v>
      </c>
    </row>
    <row r="6338" spans="1:8" x14ac:dyDescent="0.2">
      <c r="A6338">
        <v>266768</v>
      </c>
      <c r="B6338">
        <v>55000</v>
      </c>
      <c r="C6338" t="str">
        <f t="shared" si="98"/>
        <v>2. $10K-50K</v>
      </c>
      <c r="D6338" t="s">
        <v>815</v>
      </c>
      <c r="E6338" t="s">
        <v>432</v>
      </c>
      <c r="F6338" t="s">
        <v>670</v>
      </c>
      <c r="G6338" t="s">
        <v>59</v>
      </c>
      <c r="H6338">
        <v>2024</v>
      </c>
    </row>
    <row r="6339" spans="1:8" x14ac:dyDescent="0.2">
      <c r="A6339">
        <v>266769</v>
      </c>
      <c r="B6339">
        <v>40000</v>
      </c>
      <c r="C6339" t="str">
        <f t="shared" ref="C6339:C6402" si="99">IF(B6338&lt;10000,"1. Under $10K",IF(B6338&lt;50000,"2. $10K-50K",IF(B6338&lt;250000,"3. $50K-250K",IF(B6338&lt;1000000,"4. $250K-1M","5. $1M+"))))</f>
        <v>3. $50K-250K</v>
      </c>
      <c r="D6339" t="s">
        <v>1431</v>
      </c>
      <c r="E6339" t="s">
        <v>432</v>
      </c>
      <c r="F6339" t="s">
        <v>670</v>
      </c>
      <c r="G6339" t="s">
        <v>59</v>
      </c>
      <c r="H6339">
        <v>2024</v>
      </c>
    </row>
    <row r="6340" spans="1:8" x14ac:dyDescent="0.2">
      <c r="A6340">
        <v>266771</v>
      </c>
      <c r="B6340">
        <v>37500</v>
      </c>
      <c r="C6340" t="str">
        <f t="shared" si="99"/>
        <v>2. $10K-50K</v>
      </c>
      <c r="D6340" t="s">
        <v>1456</v>
      </c>
      <c r="E6340" t="s">
        <v>432</v>
      </c>
      <c r="F6340" t="s">
        <v>670</v>
      </c>
      <c r="G6340" t="s">
        <v>59</v>
      </c>
      <c r="H6340">
        <v>2024</v>
      </c>
    </row>
    <row r="6341" spans="1:8" x14ac:dyDescent="0.2">
      <c r="A6341">
        <v>266774</v>
      </c>
      <c r="B6341">
        <v>30000</v>
      </c>
      <c r="C6341" t="str">
        <f t="shared" si="99"/>
        <v>2. $10K-50K</v>
      </c>
      <c r="D6341" t="s">
        <v>1448</v>
      </c>
      <c r="E6341" t="s">
        <v>432</v>
      </c>
      <c r="F6341" t="s">
        <v>670</v>
      </c>
      <c r="G6341" t="s">
        <v>59</v>
      </c>
      <c r="H6341">
        <v>2024</v>
      </c>
    </row>
    <row r="6342" spans="1:8" x14ac:dyDescent="0.2">
      <c r="A6342">
        <v>266775</v>
      </c>
      <c r="B6342">
        <v>20000</v>
      </c>
      <c r="C6342" t="str">
        <f t="shared" si="99"/>
        <v>2. $10K-50K</v>
      </c>
      <c r="D6342" t="s">
        <v>943</v>
      </c>
      <c r="E6342" t="s">
        <v>432</v>
      </c>
      <c r="F6342" t="s">
        <v>670</v>
      </c>
      <c r="G6342" t="s">
        <v>59</v>
      </c>
      <c r="H6342">
        <v>2024</v>
      </c>
    </row>
    <row r="6343" spans="1:8" x14ac:dyDescent="0.2">
      <c r="A6343">
        <v>266776</v>
      </c>
      <c r="B6343">
        <v>85000</v>
      </c>
      <c r="C6343" t="str">
        <f t="shared" si="99"/>
        <v>2. $10K-50K</v>
      </c>
      <c r="D6343" t="s">
        <v>943</v>
      </c>
      <c r="E6343" t="s">
        <v>432</v>
      </c>
      <c r="F6343" t="s">
        <v>670</v>
      </c>
      <c r="G6343" t="s">
        <v>59</v>
      </c>
      <c r="H6343">
        <v>2024</v>
      </c>
    </row>
    <row r="6344" spans="1:8" x14ac:dyDescent="0.2">
      <c r="A6344">
        <v>266778</v>
      </c>
      <c r="B6344">
        <v>50000</v>
      </c>
      <c r="C6344" t="str">
        <f t="shared" si="99"/>
        <v>3. $50K-250K</v>
      </c>
      <c r="D6344" t="s">
        <v>1454</v>
      </c>
      <c r="E6344" t="s">
        <v>432</v>
      </c>
      <c r="F6344" t="s">
        <v>670</v>
      </c>
      <c r="G6344" t="s">
        <v>59</v>
      </c>
      <c r="H6344">
        <v>2024</v>
      </c>
    </row>
    <row r="6345" spans="1:8" x14ac:dyDescent="0.2">
      <c r="A6345">
        <v>266779</v>
      </c>
      <c r="B6345">
        <v>25000</v>
      </c>
      <c r="C6345" t="str">
        <f t="shared" si="99"/>
        <v>3. $50K-250K</v>
      </c>
      <c r="D6345" t="s">
        <v>943</v>
      </c>
      <c r="E6345" t="s">
        <v>432</v>
      </c>
      <c r="F6345" t="s">
        <v>670</v>
      </c>
      <c r="G6345" t="s">
        <v>59</v>
      </c>
      <c r="H6345">
        <v>2024</v>
      </c>
    </row>
    <row r="6346" spans="1:8" x14ac:dyDescent="0.2">
      <c r="A6346">
        <v>266780</v>
      </c>
      <c r="B6346">
        <v>20000</v>
      </c>
      <c r="C6346" t="str">
        <f t="shared" si="99"/>
        <v>2. $10K-50K</v>
      </c>
      <c r="D6346" t="s">
        <v>1609</v>
      </c>
      <c r="E6346" t="s">
        <v>432</v>
      </c>
      <c r="F6346" t="s">
        <v>670</v>
      </c>
      <c r="G6346" t="s">
        <v>59</v>
      </c>
      <c r="H6346">
        <v>2024</v>
      </c>
    </row>
    <row r="6347" spans="1:8" x14ac:dyDescent="0.2">
      <c r="A6347">
        <v>266781</v>
      </c>
      <c r="B6347">
        <v>25000</v>
      </c>
      <c r="C6347" t="str">
        <f t="shared" si="99"/>
        <v>2. $10K-50K</v>
      </c>
      <c r="D6347" t="s">
        <v>1435</v>
      </c>
      <c r="E6347" t="s">
        <v>432</v>
      </c>
      <c r="F6347" t="s">
        <v>670</v>
      </c>
      <c r="G6347" t="s">
        <v>59</v>
      </c>
      <c r="H6347">
        <v>2024</v>
      </c>
    </row>
    <row r="6348" spans="1:8" x14ac:dyDescent="0.2">
      <c r="A6348">
        <v>26684</v>
      </c>
      <c r="B6348">
        <v>60740000</v>
      </c>
      <c r="C6348" t="str">
        <f t="shared" si="99"/>
        <v>2. $10K-50K</v>
      </c>
      <c r="D6348" t="s">
        <v>2158</v>
      </c>
      <c r="E6348" t="s">
        <v>8</v>
      </c>
      <c r="F6348" t="s">
        <v>668</v>
      </c>
      <c r="G6348" t="s">
        <v>59</v>
      </c>
      <c r="H6348">
        <v>2023</v>
      </c>
    </row>
    <row r="6349" spans="1:8" x14ac:dyDescent="0.2">
      <c r="A6349">
        <v>266850</v>
      </c>
      <c r="B6349">
        <v>230000</v>
      </c>
      <c r="C6349" t="str">
        <f t="shared" si="99"/>
        <v>5. $1M+</v>
      </c>
      <c r="D6349" t="s">
        <v>837</v>
      </c>
      <c r="E6349" t="s">
        <v>237</v>
      </c>
      <c r="F6349" t="s">
        <v>670</v>
      </c>
      <c r="G6349" t="s">
        <v>59</v>
      </c>
      <c r="H6349">
        <v>2024</v>
      </c>
    </row>
    <row r="6350" spans="1:8" x14ac:dyDescent="0.2">
      <c r="A6350">
        <v>266851</v>
      </c>
      <c r="B6350">
        <v>209000</v>
      </c>
      <c r="C6350" t="str">
        <f t="shared" si="99"/>
        <v>3. $50K-250K</v>
      </c>
      <c r="D6350" t="s">
        <v>957</v>
      </c>
      <c r="E6350" t="s">
        <v>237</v>
      </c>
      <c r="F6350" t="s">
        <v>670</v>
      </c>
      <c r="G6350" t="s">
        <v>59</v>
      </c>
      <c r="H6350">
        <v>2024</v>
      </c>
    </row>
    <row r="6351" spans="1:8" x14ac:dyDescent="0.2">
      <c r="A6351">
        <v>266865</v>
      </c>
      <c r="B6351">
        <v>374641.8</v>
      </c>
      <c r="C6351" t="str">
        <f t="shared" si="99"/>
        <v>3. $50K-250K</v>
      </c>
      <c r="D6351" t="s">
        <v>2078</v>
      </c>
      <c r="E6351" t="s">
        <v>42</v>
      </c>
      <c r="F6351" t="s">
        <v>670</v>
      </c>
      <c r="G6351" t="s">
        <v>59</v>
      </c>
      <c r="H6351">
        <v>2024</v>
      </c>
    </row>
    <row r="6352" spans="1:8" x14ac:dyDescent="0.2">
      <c r="A6352">
        <v>266877</v>
      </c>
      <c r="B6352">
        <v>194260.8</v>
      </c>
      <c r="C6352" t="str">
        <f t="shared" si="99"/>
        <v>4. $250K-1M</v>
      </c>
      <c r="D6352" t="s">
        <v>977</v>
      </c>
      <c r="E6352" t="s">
        <v>237</v>
      </c>
      <c r="F6352" t="s">
        <v>670</v>
      </c>
      <c r="G6352" t="s">
        <v>59</v>
      </c>
      <c r="H6352">
        <v>2024</v>
      </c>
    </row>
    <row r="6353" spans="1:8" x14ac:dyDescent="0.2">
      <c r="A6353">
        <v>266878</v>
      </c>
      <c r="B6353">
        <v>206527.1</v>
      </c>
      <c r="C6353" t="str">
        <f t="shared" si="99"/>
        <v>3. $50K-250K</v>
      </c>
      <c r="D6353" t="s">
        <v>1545</v>
      </c>
      <c r="E6353" t="s">
        <v>237</v>
      </c>
      <c r="F6353" t="s">
        <v>670</v>
      </c>
      <c r="G6353" t="s">
        <v>59</v>
      </c>
      <c r="H6353">
        <v>2024</v>
      </c>
    </row>
    <row r="6354" spans="1:8" x14ac:dyDescent="0.2">
      <c r="A6354">
        <v>266882</v>
      </c>
      <c r="B6354">
        <v>50000</v>
      </c>
      <c r="C6354" t="str">
        <f t="shared" si="99"/>
        <v>3. $50K-250K</v>
      </c>
      <c r="D6354" t="s">
        <v>985</v>
      </c>
      <c r="E6354" t="s">
        <v>112</v>
      </c>
      <c r="F6354" t="s">
        <v>668</v>
      </c>
      <c r="G6354" t="s">
        <v>59</v>
      </c>
      <c r="H6354">
        <v>2024</v>
      </c>
    </row>
    <row r="6355" spans="1:8" x14ac:dyDescent="0.2">
      <c r="A6355">
        <v>266883</v>
      </c>
      <c r="B6355">
        <v>48000</v>
      </c>
      <c r="C6355" t="str">
        <f t="shared" si="99"/>
        <v>3. $50K-250K</v>
      </c>
      <c r="D6355" t="s">
        <v>1099</v>
      </c>
      <c r="E6355" t="s">
        <v>237</v>
      </c>
      <c r="F6355" t="s">
        <v>670</v>
      </c>
      <c r="G6355" t="s">
        <v>59</v>
      </c>
      <c r="H6355">
        <v>2024</v>
      </c>
    </row>
    <row r="6356" spans="1:8" x14ac:dyDescent="0.2">
      <c r="A6356">
        <v>266885</v>
      </c>
      <c r="B6356">
        <v>48000</v>
      </c>
      <c r="C6356" t="str">
        <f t="shared" si="99"/>
        <v>2. $10K-50K</v>
      </c>
      <c r="D6356" t="s">
        <v>507</v>
      </c>
      <c r="E6356" t="s">
        <v>237</v>
      </c>
      <c r="F6356" t="s">
        <v>670</v>
      </c>
      <c r="G6356" t="s">
        <v>59</v>
      </c>
      <c r="H6356">
        <v>2024</v>
      </c>
    </row>
    <row r="6357" spans="1:8" x14ac:dyDescent="0.2">
      <c r="A6357">
        <v>266886</v>
      </c>
      <c r="B6357">
        <v>96000</v>
      </c>
      <c r="C6357" t="str">
        <f t="shared" si="99"/>
        <v>2. $10K-50K</v>
      </c>
      <c r="D6357" t="s">
        <v>1074</v>
      </c>
      <c r="E6357" t="s">
        <v>237</v>
      </c>
      <c r="F6357" t="s">
        <v>670</v>
      </c>
      <c r="G6357" t="s">
        <v>59</v>
      </c>
      <c r="H6357">
        <v>2024</v>
      </c>
    </row>
    <row r="6358" spans="1:8" x14ac:dyDescent="0.2">
      <c r="A6358">
        <v>266887</v>
      </c>
      <c r="B6358">
        <v>72000</v>
      </c>
      <c r="C6358" t="str">
        <f t="shared" si="99"/>
        <v>3. $50K-250K</v>
      </c>
      <c r="D6358" t="s">
        <v>1101</v>
      </c>
      <c r="E6358" t="s">
        <v>237</v>
      </c>
      <c r="F6358" t="s">
        <v>670</v>
      </c>
      <c r="G6358" t="s">
        <v>59</v>
      </c>
      <c r="H6358">
        <v>2024</v>
      </c>
    </row>
    <row r="6359" spans="1:8" x14ac:dyDescent="0.2">
      <c r="A6359">
        <v>266892</v>
      </c>
      <c r="B6359">
        <v>50000</v>
      </c>
      <c r="C6359" t="str">
        <f t="shared" si="99"/>
        <v>3. $50K-250K</v>
      </c>
      <c r="D6359" t="s">
        <v>914</v>
      </c>
      <c r="E6359" t="s">
        <v>112</v>
      </c>
      <c r="F6359" t="s">
        <v>668</v>
      </c>
      <c r="G6359" t="s">
        <v>59</v>
      </c>
      <c r="H6359">
        <v>2024</v>
      </c>
    </row>
    <row r="6360" spans="1:8" x14ac:dyDescent="0.2">
      <c r="A6360">
        <v>266893</v>
      </c>
      <c r="B6360">
        <v>50000</v>
      </c>
      <c r="C6360" t="str">
        <f t="shared" si="99"/>
        <v>3. $50K-250K</v>
      </c>
      <c r="D6360" t="s">
        <v>2159</v>
      </c>
      <c r="E6360" t="s">
        <v>112</v>
      </c>
      <c r="F6360" t="s">
        <v>668</v>
      </c>
      <c r="G6360" t="s">
        <v>59</v>
      </c>
      <c r="H6360">
        <v>2024</v>
      </c>
    </row>
    <row r="6361" spans="1:8" x14ac:dyDescent="0.2">
      <c r="A6361">
        <v>266899</v>
      </c>
      <c r="B6361">
        <v>54000</v>
      </c>
      <c r="C6361" t="str">
        <f t="shared" si="99"/>
        <v>3. $50K-250K</v>
      </c>
      <c r="D6361" t="s">
        <v>839</v>
      </c>
      <c r="E6361" t="s">
        <v>237</v>
      </c>
      <c r="F6361" t="s">
        <v>670</v>
      </c>
      <c r="G6361" t="s">
        <v>59</v>
      </c>
      <c r="H6361">
        <v>2024</v>
      </c>
    </row>
    <row r="6362" spans="1:8" x14ac:dyDescent="0.2">
      <c r="A6362">
        <v>266915</v>
      </c>
      <c r="B6362">
        <v>1900000</v>
      </c>
      <c r="C6362" t="str">
        <f t="shared" si="99"/>
        <v>3. $50K-250K</v>
      </c>
      <c r="D6362" t="s">
        <v>889</v>
      </c>
      <c r="E6362" t="s">
        <v>237</v>
      </c>
      <c r="F6362" t="s">
        <v>670</v>
      </c>
      <c r="G6362" t="s">
        <v>59</v>
      </c>
      <c r="H6362">
        <v>2024</v>
      </c>
    </row>
    <row r="6363" spans="1:8" x14ac:dyDescent="0.2">
      <c r="A6363">
        <v>2670</v>
      </c>
      <c r="B6363">
        <v>2400184</v>
      </c>
      <c r="C6363" t="str">
        <f t="shared" si="99"/>
        <v>5. $1M+</v>
      </c>
      <c r="D6363" t="s">
        <v>2160</v>
      </c>
      <c r="E6363" t="s">
        <v>28</v>
      </c>
      <c r="F6363" t="s">
        <v>668</v>
      </c>
      <c r="G6363" t="s">
        <v>59</v>
      </c>
      <c r="H6363">
        <v>2023</v>
      </c>
    </row>
    <row r="6364" spans="1:8" x14ac:dyDescent="0.2">
      <c r="A6364">
        <v>267060</v>
      </c>
      <c r="B6364">
        <v>800000</v>
      </c>
      <c r="C6364" t="str">
        <f t="shared" si="99"/>
        <v>5. $1M+</v>
      </c>
      <c r="D6364" t="s">
        <v>791</v>
      </c>
      <c r="E6364" t="s">
        <v>42</v>
      </c>
      <c r="F6364" t="s">
        <v>670</v>
      </c>
      <c r="G6364" t="s">
        <v>59</v>
      </c>
      <c r="H6364">
        <v>2024</v>
      </c>
    </row>
    <row r="6365" spans="1:8" x14ac:dyDescent="0.2">
      <c r="A6365">
        <v>267061</v>
      </c>
      <c r="B6365">
        <v>255143.2</v>
      </c>
      <c r="C6365" t="str">
        <f t="shared" si="99"/>
        <v>4. $250K-1M</v>
      </c>
      <c r="D6365" t="s">
        <v>780</v>
      </c>
      <c r="E6365" t="s">
        <v>42</v>
      </c>
      <c r="F6365" t="s">
        <v>670</v>
      </c>
      <c r="G6365" t="s">
        <v>59</v>
      </c>
      <c r="H6365">
        <v>2024</v>
      </c>
    </row>
    <row r="6366" spans="1:8" x14ac:dyDescent="0.2">
      <c r="A6366">
        <v>267062</v>
      </c>
      <c r="B6366">
        <v>62530.6</v>
      </c>
      <c r="C6366" t="str">
        <f t="shared" si="99"/>
        <v>4. $250K-1M</v>
      </c>
      <c r="D6366" t="s">
        <v>895</v>
      </c>
      <c r="E6366" t="s">
        <v>42</v>
      </c>
      <c r="F6366" t="s">
        <v>670</v>
      </c>
      <c r="G6366" t="s">
        <v>59</v>
      </c>
      <c r="H6366">
        <v>2024</v>
      </c>
    </row>
    <row r="6367" spans="1:8" x14ac:dyDescent="0.2">
      <c r="A6367">
        <v>267063</v>
      </c>
      <c r="B6367">
        <v>1063836.3999999999</v>
      </c>
      <c r="C6367" t="str">
        <f t="shared" si="99"/>
        <v>3. $50K-250K</v>
      </c>
      <c r="D6367" t="s">
        <v>674</v>
      </c>
      <c r="E6367" t="s">
        <v>42</v>
      </c>
      <c r="F6367" t="s">
        <v>670</v>
      </c>
      <c r="G6367" t="s">
        <v>59</v>
      </c>
      <c r="H6367">
        <v>2024</v>
      </c>
    </row>
    <row r="6368" spans="1:8" x14ac:dyDescent="0.2">
      <c r="A6368">
        <v>267064</v>
      </c>
      <c r="B6368">
        <v>298383.59999999998</v>
      </c>
      <c r="C6368" t="str">
        <f t="shared" si="99"/>
        <v>5. $1M+</v>
      </c>
      <c r="D6368" t="s">
        <v>780</v>
      </c>
      <c r="E6368" t="s">
        <v>42</v>
      </c>
      <c r="F6368" t="s">
        <v>670</v>
      </c>
      <c r="G6368" t="s">
        <v>59</v>
      </c>
      <c r="H6368">
        <v>2024</v>
      </c>
    </row>
    <row r="6369" spans="1:8" x14ac:dyDescent="0.2">
      <c r="A6369">
        <v>267164</v>
      </c>
      <c r="B6369">
        <v>45047.3</v>
      </c>
      <c r="C6369" t="str">
        <f t="shared" si="99"/>
        <v>4. $250K-1M</v>
      </c>
      <c r="D6369" t="s">
        <v>857</v>
      </c>
      <c r="E6369" t="s">
        <v>825</v>
      </c>
      <c r="F6369" t="s">
        <v>670</v>
      </c>
      <c r="G6369" t="s">
        <v>59</v>
      </c>
      <c r="H6369">
        <v>2024</v>
      </c>
    </row>
    <row r="6370" spans="1:8" x14ac:dyDescent="0.2">
      <c r="A6370">
        <v>267165</v>
      </c>
      <c r="B6370">
        <v>52380.800000000003</v>
      </c>
      <c r="C6370" t="str">
        <f t="shared" si="99"/>
        <v>2. $10K-50K</v>
      </c>
      <c r="D6370" t="s">
        <v>956</v>
      </c>
      <c r="E6370" t="s">
        <v>825</v>
      </c>
      <c r="F6370" t="s">
        <v>670</v>
      </c>
      <c r="G6370" t="s">
        <v>59</v>
      </c>
      <c r="H6370">
        <v>2024</v>
      </c>
    </row>
    <row r="6371" spans="1:8" x14ac:dyDescent="0.2">
      <c r="A6371">
        <v>267169</v>
      </c>
      <c r="B6371">
        <v>362254.8</v>
      </c>
      <c r="C6371" t="str">
        <f t="shared" si="99"/>
        <v>3. $50K-250K</v>
      </c>
      <c r="D6371" t="s">
        <v>1834</v>
      </c>
      <c r="E6371" t="s">
        <v>819</v>
      </c>
      <c r="F6371" t="s">
        <v>670</v>
      </c>
      <c r="G6371" t="s">
        <v>59</v>
      </c>
      <c r="H6371">
        <v>2024</v>
      </c>
    </row>
    <row r="6372" spans="1:8" x14ac:dyDescent="0.2">
      <c r="A6372">
        <v>267233</v>
      </c>
      <c r="B6372">
        <v>214877</v>
      </c>
      <c r="C6372" t="str">
        <f t="shared" si="99"/>
        <v>4. $250K-1M</v>
      </c>
      <c r="D6372" t="s">
        <v>871</v>
      </c>
      <c r="E6372" t="s">
        <v>237</v>
      </c>
      <c r="F6372" t="s">
        <v>670</v>
      </c>
      <c r="G6372" t="s">
        <v>59</v>
      </c>
      <c r="H6372">
        <v>2024</v>
      </c>
    </row>
    <row r="6373" spans="1:8" x14ac:dyDescent="0.2">
      <c r="A6373">
        <v>267235</v>
      </c>
      <c r="B6373">
        <v>200000</v>
      </c>
      <c r="C6373" t="str">
        <f t="shared" si="99"/>
        <v>3. $50K-250K</v>
      </c>
      <c r="D6373" t="s">
        <v>719</v>
      </c>
      <c r="E6373" t="s">
        <v>237</v>
      </c>
      <c r="F6373" t="s">
        <v>670</v>
      </c>
      <c r="G6373" t="s">
        <v>59</v>
      </c>
      <c r="H6373">
        <v>2024</v>
      </c>
    </row>
    <row r="6374" spans="1:8" x14ac:dyDescent="0.2">
      <c r="A6374">
        <v>267236</v>
      </c>
      <c r="B6374">
        <v>51676.2</v>
      </c>
      <c r="C6374" t="str">
        <f t="shared" si="99"/>
        <v>3. $50K-250K</v>
      </c>
      <c r="D6374" t="s">
        <v>919</v>
      </c>
      <c r="E6374" t="s">
        <v>825</v>
      </c>
      <c r="F6374" t="s">
        <v>670</v>
      </c>
      <c r="G6374" t="s">
        <v>59</v>
      </c>
      <c r="H6374">
        <v>2024</v>
      </c>
    </row>
    <row r="6375" spans="1:8" x14ac:dyDescent="0.2">
      <c r="A6375">
        <v>267241</v>
      </c>
      <c r="B6375">
        <v>197495.2</v>
      </c>
      <c r="C6375" t="str">
        <f t="shared" si="99"/>
        <v>3. $50K-250K</v>
      </c>
      <c r="D6375" t="s">
        <v>2161</v>
      </c>
      <c r="E6375" t="s">
        <v>99</v>
      </c>
      <c r="F6375" t="s">
        <v>668</v>
      </c>
      <c r="G6375" t="s">
        <v>59</v>
      </c>
      <c r="H6375">
        <v>2024</v>
      </c>
    </row>
    <row r="6376" spans="1:8" x14ac:dyDescent="0.2">
      <c r="A6376">
        <v>267244</v>
      </c>
      <c r="B6376">
        <v>5000000</v>
      </c>
      <c r="C6376" t="str">
        <f t="shared" si="99"/>
        <v>3. $50K-250K</v>
      </c>
      <c r="D6376" t="s">
        <v>1069</v>
      </c>
      <c r="E6376" t="s">
        <v>112</v>
      </c>
      <c r="F6376" t="s">
        <v>668</v>
      </c>
      <c r="G6376" t="s">
        <v>59</v>
      </c>
      <c r="H6376">
        <v>2024</v>
      </c>
    </row>
    <row r="6377" spans="1:8" x14ac:dyDescent="0.2">
      <c r="A6377">
        <v>267245</v>
      </c>
      <c r="B6377">
        <v>150000</v>
      </c>
      <c r="C6377" t="str">
        <f t="shared" si="99"/>
        <v>5. $1M+</v>
      </c>
      <c r="D6377" t="s">
        <v>1958</v>
      </c>
      <c r="E6377" t="s">
        <v>99</v>
      </c>
      <c r="F6377" t="s">
        <v>668</v>
      </c>
      <c r="G6377" t="s">
        <v>59</v>
      </c>
      <c r="H6377">
        <v>2024</v>
      </c>
    </row>
    <row r="6378" spans="1:8" x14ac:dyDescent="0.2">
      <c r="A6378">
        <v>267267</v>
      </c>
      <c r="B6378">
        <v>88913.1</v>
      </c>
      <c r="C6378" t="str">
        <f t="shared" si="99"/>
        <v>3. $50K-250K</v>
      </c>
      <c r="D6378" t="s">
        <v>2162</v>
      </c>
      <c r="E6378" t="s">
        <v>99</v>
      </c>
      <c r="F6378" t="s">
        <v>668</v>
      </c>
      <c r="G6378" t="s">
        <v>59</v>
      </c>
      <c r="H6378">
        <v>2024</v>
      </c>
    </row>
    <row r="6379" spans="1:8" x14ac:dyDescent="0.2">
      <c r="A6379">
        <v>267269</v>
      </c>
      <c r="B6379">
        <v>94483.199999999997</v>
      </c>
      <c r="C6379" t="str">
        <f t="shared" si="99"/>
        <v>3. $50K-250K</v>
      </c>
      <c r="D6379" t="s">
        <v>977</v>
      </c>
      <c r="E6379" t="s">
        <v>825</v>
      </c>
      <c r="F6379" t="s">
        <v>670</v>
      </c>
      <c r="G6379" t="s">
        <v>59</v>
      </c>
      <c r="H6379">
        <v>2024</v>
      </c>
    </row>
    <row r="6380" spans="1:8" x14ac:dyDescent="0.2">
      <c r="A6380">
        <v>267300</v>
      </c>
      <c r="B6380">
        <v>150000</v>
      </c>
      <c r="C6380" t="str">
        <f t="shared" si="99"/>
        <v>3. $50K-250K</v>
      </c>
      <c r="D6380" t="s">
        <v>2163</v>
      </c>
      <c r="E6380" t="s">
        <v>99</v>
      </c>
      <c r="F6380" t="s">
        <v>668</v>
      </c>
      <c r="G6380" t="s">
        <v>59</v>
      </c>
      <c r="H6380">
        <v>2024</v>
      </c>
    </row>
    <row r="6381" spans="1:8" x14ac:dyDescent="0.2">
      <c r="A6381">
        <v>267304</v>
      </c>
      <c r="B6381">
        <v>150000</v>
      </c>
      <c r="C6381" t="str">
        <f t="shared" si="99"/>
        <v>3. $50K-250K</v>
      </c>
      <c r="D6381" t="s">
        <v>2164</v>
      </c>
      <c r="E6381" t="s">
        <v>99</v>
      </c>
      <c r="F6381" t="s">
        <v>668</v>
      </c>
      <c r="G6381" t="s">
        <v>59</v>
      </c>
      <c r="H6381">
        <v>2024</v>
      </c>
    </row>
    <row r="6382" spans="1:8" x14ac:dyDescent="0.2">
      <c r="A6382">
        <v>267305</v>
      </c>
      <c r="B6382">
        <v>197521.5</v>
      </c>
      <c r="C6382" t="str">
        <f t="shared" si="99"/>
        <v>3. $50K-250K</v>
      </c>
      <c r="D6382" t="s">
        <v>1523</v>
      </c>
      <c r="E6382" t="s">
        <v>99</v>
      </c>
      <c r="F6382" t="s">
        <v>668</v>
      </c>
      <c r="G6382" t="s">
        <v>59</v>
      </c>
      <c r="H6382">
        <v>2024</v>
      </c>
    </row>
    <row r="6383" spans="1:8" x14ac:dyDescent="0.2">
      <c r="A6383">
        <v>267306</v>
      </c>
      <c r="B6383">
        <v>650000</v>
      </c>
      <c r="C6383" t="str">
        <f t="shared" si="99"/>
        <v>3. $50K-250K</v>
      </c>
      <c r="D6383" t="s">
        <v>774</v>
      </c>
      <c r="E6383" t="s">
        <v>99</v>
      </c>
      <c r="F6383" t="s">
        <v>668</v>
      </c>
      <c r="G6383" t="s">
        <v>59</v>
      </c>
      <c r="H6383">
        <v>2024</v>
      </c>
    </row>
    <row r="6384" spans="1:8" x14ac:dyDescent="0.2">
      <c r="A6384">
        <v>267307</v>
      </c>
      <c r="B6384">
        <v>250000</v>
      </c>
      <c r="C6384" t="str">
        <f t="shared" si="99"/>
        <v>4. $250K-1M</v>
      </c>
      <c r="D6384" t="s">
        <v>2165</v>
      </c>
      <c r="E6384" t="s">
        <v>99</v>
      </c>
      <c r="F6384" t="s">
        <v>668</v>
      </c>
      <c r="G6384" t="s">
        <v>59</v>
      </c>
      <c r="H6384">
        <v>2024</v>
      </c>
    </row>
    <row r="6385" spans="1:8" x14ac:dyDescent="0.2">
      <c r="A6385">
        <v>267308</v>
      </c>
      <c r="B6385">
        <v>52217159.5</v>
      </c>
      <c r="C6385" t="str">
        <f t="shared" si="99"/>
        <v>4. $250K-1M</v>
      </c>
      <c r="D6385" t="s">
        <v>426</v>
      </c>
      <c r="E6385" t="s">
        <v>8</v>
      </c>
      <c r="F6385" t="s">
        <v>22</v>
      </c>
      <c r="G6385" t="s">
        <v>10</v>
      </c>
      <c r="H6385">
        <v>2024</v>
      </c>
    </row>
    <row r="6386" spans="1:8" x14ac:dyDescent="0.2">
      <c r="A6386">
        <v>267309</v>
      </c>
      <c r="B6386">
        <v>250000</v>
      </c>
      <c r="C6386" t="str">
        <f t="shared" si="99"/>
        <v>5. $1M+</v>
      </c>
      <c r="D6386" t="s">
        <v>2166</v>
      </c>
      <c r="E6386" t="s">
        <v>99</v>
      </c>
      <c r="F6386" t="s">
        <v>668</v>
      </c>
      <c r="G6386" t="s">
        <v>59</v>
      </c>
      <c r="H6386">
        <v>2024</v>
      </c>
    </row>
    <row r="6387" spans="1:8" x14ac:dyDescent="0.2">
      <c r="A6387">
        <v>267311</v>
      </c>
      <c r="B6387">
        <v>250000</v>
      </c>
      <c r="C6387" t="str">
        <f t="shared" si="99"/>
        <v>4. $250K-1M</v>
      </c>
      <c r="D6387" t="s">
        <v>2167</v>
      </c>
      <c r="E6387" t="s">
        <v>99</v>
      </c>
      <c r="F6387" t="s">
        <v>668</v>
      </c>
      <c r="G6387" t="s">
        <v>59</v>
      </c>
      <c r="H6387">
        <v>2024</v>
      </c>
    </row>
    <row r="6388" spans="1:8" x14ac:dyDescent="0.2">
      <c r="A6388">
        <v>267312</v>
      </c>
      <c r="B6388">
        <v>4606280.5999999996</v>
      </c>
      <c r="C6388" t="str">
        <f t="shared" si="99"/>
        <v>4. $250K-1M</v>
      </c>
      <c r="D6388" t="s">
        <v>427</v>
      </c>
      <c r="E6388" t="s">
        <v>411</v>
      </c>
      <c r="F6388" t="s">
        <v>43</v>
      </c>
      <c r="G6388" t="s">
        <v>44</v>
      </c>
      <c r="H6388">
        <v>2024</v>
      </c>
    </row>
    <row r="6389" spans="1:8" x14ac:dyDescent="0.2">
      <c r="A6389">
        <v>267313</v>
      </c>
      <c r="B6389">
        <v>18071736.600000001</v>
      </c>
      <c r="C6389" t="str">
        <f t="shared" si="99"/>
        <v>5. $1M+</v>
      </c>
      <c r="D6389" t="s">
        <v>428</v>
      </c>
      <c r="E6389" t="s">
        <v>37</v>
      </c>
      <c r="F6389" t="s">
        <v>12</v>
      </c>
      <c r="G6389" t="s">
        <v>10</v>
      </c>
      <c r="H6389">
        <v>2024</v>
      </c>
    </row>
    <row r="6390" spans="1:8" x14ac:dyDescent="0.2">
      <c r="A6390">
        <v>267315</v>
      </c>
      <c r="B6390">
        <v>150000</v>
      </c>
      <c r="C6390" t="str">
        <f t="shared" si="99"/>
        <v>5. $1M+</v>
      </c>
      <c r="D6390" t="s">
        <v>2168</v>
      </c>
      <c r="E6390" t="s">
        <v>99</v>
      </c>
      <c r="F6390" t="s">
        <v>668</v>
      </c>
      <c r="G6390" t="s">
        <v>59</v>
      </c>
      <c r="H6390">
        <v>2024</v>
      </c>
    </row>
    <row r="6391" spans="1:8" x14ac:dyDescent="0.2">
      <c r="A6391">
        <v>267316</v>
      </c>
      <c r="B6391">
        <v>250000</v>
      </c>
      <c r="C6391" t="str">
        <f t="shared" si="99"/>
        <v>3. $50K-250K</v>
      </c>
      <c r="D6391" t="s">
        <v>2169</v>
      </c>
      <c r="E6391" t="s">
        <v>99</v>
      </c>
      <c r="F6391" t="s">
        <v>668</v>
      </c>
      <c r="G6391" t="s">
        <v>59</v>
      </c>
      <c r="H6391">
        <v>2024</v>
      </c>
    </row>
    <row r="6392" spans="1:8" x14ac:dyDescent="0.2">
      <c r="A6392">
        <v>267317</v>
      </c>
      <c r="B6392">
        <v>17550000</v>
      </c>
      <c r="C6392" t="str">
        <f t="shared" si="99"/>
        <v>4. $250K-1M</v>
      </c>
      <c r="D6392" t="s">
        <v>2170</v>
      </c>
      <c r="E6392" t="s">
        <v>99</v>
      </c>
      <c r="F6392" t="s">
        <v>668</v>
      </c>
      <c r="G6392" t="s">
        <v>59</v>
      </c>
      <c r="H6392">
        <v>2024</v>
      </c>
    </row>
    <row r="6393" spans="1:8" x14ac:dyDescent="0.2">
      <c r="A6393">
        <v>267318</v>
      </c>
      <c r="B6393">
        <v>270881</v>
      </c>
      <c r="C6393" t="str">
        <f t="shared" si="99"/>
        <v>5. $1M+</v>
      </c>
      <c r="D6393" t="s">
        <v>1027</v>
      </c>
      <c r="E6393" t="s">
        <v>237</v>
      </c>
      <c r="F6393" t="s">
        <v>670</v>
      </c>
      <c r="G6393" t="s">
        <v>59</v>
      </c>
      <c r="H6393">
        <v>2024</v>
      </c>
    </row>
    <row r="6394" spans="1:8" x14ac:dyDescent="0.2">
      <c r="A6394">
        <v>267319</v>
      </c>
      <c r="B6394">
        <v>1200000</v>
      </c>
      <c r="C6394" t="str">
        <f t="shared" si="99"/>
        <v>4. $250K-1M</v>
      </c>
      <c r="D6394" t="s">
        <v>1027</v>
      </c>
      <c r="E6394" t="s">
        <v>237</v>
      </c>
      <c r="F6394" t="s">
        <v>670</v>
      </c>
      <c r="G6394" t="s">
        <v>59</v>
      </c>
      <c r="H6394">
        <v>2024</v>
      </c>
    </row>
    <row r="6395" spans="1:8" x14ac:dyDescent="0.2">
      <c r="A6395">
        <v>267321</v>
      </c>
      <c r="B6395">
        <v>100000</v>
      </c>
      <c r="C6395" t="str">
        <f t="shared" si="99"/>
        <v>5. $1M+</v>
      </c>
      <c r="D6395" t="s">
        <v>1027</v>
      </c>
      <c r="E6395" t="s">
        <v>237</v>
      </c>
      <c r="F6395" t="s">
        <v>670</v>
      </c>
      <c r="G6395" t="s">
        <v>59</v>
      </c>
      <c r="H6395">
        <v>2024</v>
      </c>
    </row>
    <row r="6396" spans="1:8" x14ac:dyDescent="0.2">
      <c r="A6396">
        <v>267323</v>
      </c>
      <c r="B6396">
        <v>134000</v>
      </c>
      <c r="C6396" t="str">
        <f t="shared" si="99"/>
        <v>3. $50K-250K</v>
      </c>
      <c r="D6396" t="s">
        <v>2171</v>
      </c>
      <c r="E6396" t="s">
        <v>112</v>
      </c>
      <c r="F6396" t="s">
        <v>668</v>
      </c>
      <c r="G6396" t="s">
        <v>59</v>
      </c>
      <c r="H6396">
        <v>2024</v>
      </c>
    </row>
    <row r="6397" spans="1:8" x14ac:dyDescent="0.2">
      <c r="A6397">
        <v>267327</v>
      </c>
      <c r="B6397">
        <v>54000</v>
      </c>
      <c r="C6397" t="str">
        <f t="shared" si="99"/>
        <v>3. $50K-250K</v>
      </c>
      <c r="D6397" t="s">
        <v>1083</v>
      </c>
      <c r="E6397" t="s">
        <v>237</v>
      </c>
      <c r="F6397" t="s">
        <v>670</v>
      </c>
      <c r="G6397" t="s">
        <v>59</v>
      </c>
      <c r="H6397">
        <v>2024</v>
      </c>
    </row>
    <row r="6398" spans="1:8" x14ac:dyDescent="0.2">
      <c r="A6398">
        <v>267328</v>
      </c>
      <c r="B6398">
        <v>72000</v>
      </c>
      <c r="C6398" t="str">
        <f t="shared" si="99"/>
        <v>3. $50K-250K</v>
      </c>
      <c r="D6398" t="s">
        <v>803</v>
      </c>
      <c r="E6398" t="s">
        <v>237</v>
      </c>
      <c r="F6398" t="s">
        <v>670</v>
      </c>
      <c r="G6398" t="s">
        <v>59</v>
      </c>
      <c r="H6398">
        <v>2024</v>
      </c>
    </row>
    <row r="6399" spans="1:8" x14ac:dyDescent="0.2">
      <c r="A6399">
        <v>267331</v>
      </c>
      <c r="B6399">
        <v>72000</v>
      </c>
      <c r="C6399" t="str">
        <f t="shared" si="99"/>
        <v>3. $50K-250K</v>
      </c>
      <c r="D6399" t="s">
        <v>1101</v>
      </c>
      <c r="E6399" t="s">
        <v>237</v>
      </c>
      <c r="F6399" t="s">
        <v>670</v>
      </c>
      <c r="G6399" t="s">
        <v>59</v>
      </c>
      <c r="H6399">
        <v>2024</v>
      </c>
    </row>
    <row r="6400" spans="1:8" x14ac:dyDescent="0.2">
      <c r="A6400">
        <v>267332</v>
      </c>
      <c r="B6400">
        <v>72000</v>
      </c>
      <c r="C6400" t="str">
        <f t="shared" si="99"/>
        <v>3. $50K-250K</v>
      </c>
      <c r="D6400" t="s">
        <v>1095</v>
      </c>
      <c r="E6400" t="s">
        <v>237</v>
      </c>
      <c r="F6400" t="s">
        <v>670</v>
      </c>
      <c r="G6400" t="s">
        <v>59</v>
      </c>
      <c r="H6400">
        <v>2024</v>
      </c>
    </row>
    <row r="6401" spans="1:8" x14ac:dyDescent="0.2">
      <c r="A6401">
        <v>267339</v>
      </c>
      <c r="B6401">
        <v>250297</v>
      </c>
      <c r="C6401" t="str">
        <f t="shared" si="99"/>
        <v>3. $50K-250K</v>
      </c>
      <c r="D6401" t="s">
        <v>1074</v>
      </c>
      <c r="E6401" t="s">
        <v>237</v>
      </c>
      <c r="F6401" t="s">
        <v>670</v>
      </c>
      <c r="G6401" t="s">
        <v>59</v>
      </c>
      <c r="H6401">
        <v>2024</v>
      </c>
    </row>
    <row r="6402" spans="1:8" x14ac:dyDescent="0.2">
      <c r="A6402">
        <v>267341</v>
      </c>
      <c r="B6402">
        <v>162133</v>
      </c>
      <c r="C6402" t="str">
        <f t="shared" si="99"/>
        <v>4. $250K-1M</v>
      </c>
      <c r="D6402" t="s">
        <v>762</v>
      </c>
      <c r="E6402" t="s">
        <v>237</v>
      </c>
      <c r="F6402" t="s">
        <v>670</v>
      </c>
      <c r="G6402" t="s">
        <v>59</v>
      </c>
      <c r="H6402">
        <v>2024</v>
      </c>
    </row>
    <row r="6403" spans="1:8" x14ac:dyDescent="0.2">
      <c r="A6403">
        <v>267392</v>
      </c>
      <c r="B6403">
        <v>55000</v>
      </c>
      <c r="C6403" t="str">
        <f t="shared" ref="C6403:C6466" si="100">IF(B6402&lt;10000,"1. Under $10K",IF(B6402&lt;50000,"2. $10K-50K",IF(B6402&lt;250000,"3. $50K-250K",IF(B6402&lt;1000000,"4. $250K-1M","5. $1M+"))))</f>
        <v>3. $50K-250K</v>
      </c>
      <c r="D6403" t="s">
        <v>1424</v>
      </c>
      <c r="E6403" t="s">
        <v>432</v>
      </c>
      <c r="F6403" t="s">
        <v>670</v>
      </c>
      <c r="G6403" t="s">
        <v>59</v>
      </c>
      <c r="H6403">
        <v>2024</v>
      </c>
    </row>
    <row r="6404" spans="1:8" x14ac:dyDescent="0.2">
      <c r="A6404">
        <v>267393</v>
      </c>
      <c r="B6404">
        <v>40000</v>
      </c>
      <c r="C6404" t="str">
        <f t="shared" si="100"/>
        <v>3. $50K-250K</v>
      </c>
      <c r="D6404" t="s">
        <v>816</v>
      </c>
      <c r="E6404" t="s">
        <v>432</v>
      </c>
      <c r="F6404" t="s">
        <v>670</v>
      </c>
      <c r="G6404" t="s">
        <v>59</v>
      </c>
      <c r="H6404">
        <v>2024</v>
      </c>
    </row>
    <row r="6405" spans="1:8" x14ac:dyDescent="0.2">
      <c r="A6405">
        <v>267394</v>
      </c>
      <c r="B6405">
        <v>25000</v>
      </c>
      <c r="C6405" t="str">
        <f t="shared" si="100"/>
        <v>2. $10K-50K</v>
      </c>
      <c r="D6405" t="s">
        <v>943</v>
      </c>
      <c r="E6405" t="s">
        <v>432</v>
      </c>
      <c r="F6405" t="s">
        <v>670</v>
      </c>
      <c r="G6405" t="s">
        <v>59</v>
      </c>
      <c r="H6405">
        <v>2024</v>
      </c>
    </row>
    <row r="6406" spans="1:8" x14ac:dyDescent="0.2">
      <c r="A6406">
        <v>267395</v>
      </c>
      <c r="B6406">
        <v>40000</v>
      </c>
      <c r="C6406" t="str">
        <f t="shared" si="100"/>
        <v>2. $10K-50K</v>
      </c>
      <c r="D6406" t="s">
        <v>1435</v>
      </c>
      <c r="E6406" t="s">
        <v>432</v>
      </c>
      <c r="F6406" t="s">
        <v>670</v>
      </c>
      <c r="G6406" t="s">
        <v>59</v>
      </c>
      <c r="H6406">
        <v>2024</v>
      </c>
    </row>
    <row r="6407" spans="1:8" x14ac:dyDescent="0.2">
      <c r="A6407">
        <v>267396</v>
      </c>
      <c r="B6407">
        <v>85000</v>
      </c>
      <c r="C6407" t="str">
        <f t="shared" si="100"/>
        <v>2. $10K-50K</v>
      </c>
      <c r="D6407" t="s">
        <v>817</v>
      </c>
      <c r="E6407" t="s">
        <v>432</v>
      </c>
      <c r="F6407" t="s">
        <v>670</v>
      </c>
      <c r="G6407" t="s">
        <v>59</v>
      </c>
      <c r="H6407">
        <v>2024</v>
      </c>
    </row>
    <row r="6408" spans="1:8" x14ac:dyDescent="0.2">
      <c r="A6408">
        <v>267397</v>
      </c>
      <c r="B6408">
        <v>40000</v>
      </c>
      <c r="C6408" t="str">
        <f t="shared" si="100"/>
        <v>3. $50K-250K</v>
      </c>
      <c r="D6408" t="s">
        <v>2172</v>
      </c>
      <c r="E6408" t="s">
        <v>432</v>
      </c>
      <c r="F6408" t="s">
        <v>670</v>
      </c>
      <c r="G6408" t="s">
        <v>59</v>
      </c>
      <c r="H6408">
        <v>2024</v>
      </c>
    </row>
    <row r="6409" spans="1:8" x14ac:dyDescent="0.2">
      <c r="A6409">
        <v>267398</v>
      </c>
      <c r="B6409">
        <v>40000</v>
      </c>
      <c r="C6409" t="str">
        <f t="shared" si="100"/>
        <v>2. $10K-50K</v>
      </c>
      <c r="D6409" t="s">
        <v>1442</v>
      </c>
      <c r="E6409" t="s">
        <v>432</v>
      </c>
      <c r="F6409" t="s">
        <v>670</v>
      </c>
      <c r="G6409" t="s">
        <v>59</v>
      </c>
      <c r="H6409">
        <v>2024</v>
      </c>
    </row>
    <row r="6410" spans="1:8" x14ac:dyDescent="0.2">
      <c r="A6410">
        <v>267399</v>
      </c>
      <c r="B6410">
        <v>85000</v>
      </c>
      <c r="C6410" t="str">
        <f t="shared" si="100"/>
        <v>2. $10K-50K</v>
      </c>
      <c r="D6410" t="s">
        <v>816</v>
      </c>
      <c r="E6410" t="s">
        <v>432</v>
      </c>
      <c r="F6410" t="s">
        <v>670</v>
      </c>
      <c r="G6410" t="s">
        <v>59</v>
      </c>
      <c r="H6410">
        <v>2024</v>
      </c>
    </row>
    <row r="6411" spans="1:8" x14ac:dyDescent="0.2">
      <c r="A6411">
        <v>267428</v>
      </c>
      <c r="B6411">
        <v>997970.1</v>
      </c>
      <c r="C6411" t="str">
        <f t="shared" si="100"/>
        <v>3. $50K-250K</v>
      </c>
      <c r="D6411" t="s">
        <v>711</v>
      </c>
      <c r="E6411" t="s">
        <v>237</v>
      </c>
      <c r="F6411" t="s">
        <v>670</v>
      </c>
      <c r="G6411" t="s">
        <v>59</v>
      </c>
      <c r="H6411">
        <v>2024</v>
      </c>
    </row>
    <row r="6412" spans="1:8" x14ac:dyDescent="0.2">
      <c r="A6412">
        <v>267429</v>
      </c>
      <c r="B6412">
        <v>372608.1</v>
      </c>
      <c r="C6412" t="str">
        <f t="shared" si="100"/>
        <v>4. $250K-1M</v>
      </c>
      <c r="D6412" t="s">
        <v>711</v>
      </c>
      <c r="E6412" t="s">
        <v>237</v>
      </c>
      <c r="F6412" t="s">
        <v>670</v>
      </c>
      <c r="G6412" t="s">
        <v>59</v>
      </c>
      <c r="H6412">
        <v>2024</v>
      </c>
    </row>
    <row r="6413" spans="1:8" x14ac:dyDescent="0.2">
      <c r="A6413">
        <v>267432</v>
      </c>
      <c r="B6413">
        <v>150000</v>
      </c>
      <c r="C6413" t="str">
        <f t="shared" si="100"/>
        <v>4. $250K-1M</v>
      </c>
      <c r="D6413" t="s">
        <v>1262</v>
      </c>
      <c r="E6413" t="s">
        <v>112</v>
      </c>
      <c r="F6413" t="s">
        <v>668</v>
      </c>
      <c r="G6413" t="s">
        <v>59</v>
      </c>
      <c r="H6413">
        <v>2024</v>
      </c>
    </row>
    <row r="6414" spans="1:8" x14ac:dyDescent="0.2">
      <c r="A6414">
        <v>267433</v>
      </c>
      <c r="B6414">
        <v>401500</v>
      </c>
      <c r="C6414" t="str">
        <f t="shared" si="100"/>
        <v>3. $50K-250K</v>
      </c>
      <c r="D6414" t="s">
        <v>862</v>
      </c>
      <c r="E6414" t="s">
        <v>237</v>
      </c>
      <c r="F6414" t="s">
        <v>670</v>
      </c>
      <c r="G6414" t="s">
        <v>59</v>
      </c>
      <c r="H6414">
        <v>2024</v>
      </c>
    </row>
    <row r="6415" spans="1:8" x14ac:dyDescent="0.2">
      <c r="A6415">
        <v>267434</v>
      </c>
      <c r="B6415">
        <v>81619</v>
      </c>
      <c r="C6415" t="str">
        <f t="shared" si="100"/>
        <v>4. $250K-1M</v>
      </c>
      <c r="D6415" t="s">
        <v>785</v>
      </c>
      <c r="E6415" t="s">
        <v>237</v>
      </c>
      <c r="F6415" t="s">
        <v>670</v>
      </c>
      <c r="G6415" t="s">
        <v>59</v>
      </c>
      <c r="H6415">
        <v>2024</v>
      </c>
    </row>
    <row r="6416" spans="1:8" x14ac:dyDescent="0.2">
      <c r="A6416">
        <v>267435</v>
      </c>
      <c r="B6416">
        <v>249999</v>
      </c>
      <c r="C6416" t="str">
        <f t="shared" si="100"/>
        <v>3. $50K-250K</v>
      </c>
      <c r="D6416" t="s">
        <v>507</v>
      </c>
      <c r="E6416" t="s">
        <v>237</v>
      </c>
      <c r="F6416" t="s">
        <v>670</v>
      </c>
      <c r="G6416" t="s">
        <v>59</v>
      </c>
      <c r="H6416">
        <v>2024</v>
      </c>
    </row>
    <row r="6417" spans="1:8" x14ac:dyDescent="0.2">
      <c r="A6417">
        <v>267436</v>
      </c>
      <c r="B6417">
        <v>249032</v>
      </c>
      <c r="C6417" t="str">
        <f t="shared" si="100"/>
        <v>3. $50K-250K</v>
      </c>
      <c r="D6417" t="s">
        <v>852</v>
      </c>
      <c r="E6417" t="s">
        <v>237</v>
      </c>
      <c r="F6417" t="s">
        <v>670</v>
      </c>
      <c r="G6417" t="s">
        <v>59</v>
      </c>
      <c r="H6417">
        <v>2024</v>
      </c>
    </row>
    <row r="6418" spans="1:8" x14ac:dyDescent="0.2">
      <c r="A6418">
        <v>267437</v>
      </c>
      <c r="B6418">
        <v>31946</v>
      </c>
      <c r="C6418" t="str">
        <f t="shared" si="100"/>
        <v>3. $50K-250K</v>
      </c>
      <c r="D6418" t="s">
        <v>507</v>
      </c>
      <c r="E6418" t="s">
        <v>237</v>
      </c>
      <c r="F6418" t="s">
        <v>670</v>
      </c>
      <c r="G6418" t="s">
        <v>59</v>
      </c>
      <c r="H6418">
        <v>2024</v>
      </c>
    </row>
    <row r="6419" spans="1:8" x14ac:dyDescent="0.2">
      <c r="A6419">
        <v>267438</v>
      </c>
      <c r="B6419">
        <v>143800</v>
      </c>
      <c r="C6419" t="str">
        <f t="shared" si="100"/>
        <v>2. $10K-50K</v>
      </c>
      <c r="D6419" t="s">
        <v>719</v>
      </c>
      <c r="E6419" t="s">
        <v>237</v>
      </c>
      <c r="F6419" t="s">
        <v>670</v>
      </c>
      <c r="G6419" t="s">
        <v>59</v>
      </c>
      <c r="H6419">
        <v>2024</v>
      </c>
    </row>
    <row r="6420" spans="1:8" x14ac:dyDescent="0.2">
      <c r="A6420">
        <v>267439</v>
      </c>
      <c r="B6420">
        <v>600000</v>
      </c>
      <c r="C6420" t="str">
        <f t="shared" si="100"/>
        <v>3. $50K-250K</v>
      </c>
      <c r="D6420" t="s">
        <v>865</v>
      </c>
      <c r="E6420" t="s">
        <v>237</v>
      </c>
      <c r="F6420" t="s">
        <v>670</v>
      </c>
      <c r="G6420" t="s">
        <v>59</v>
      </c>
      <c r="H6420">
        <v>2024</v>
      </c>
    </row>
    <row r="6421" spans="1:8" x14ac:dyDescent="0.2">
      <c r="A6421">
        <v>267440</v>
      </c>
      <c r="B6421">
        <v>63931</v>
      </c>
      <c r="C6421" t="str">
        <f t="shared" si="100"/>
        <v>4. $250K-1M</v>
      </c>
      <c r="D6421" t="s">
        <v>864</v>
      </c>
      <c r="E6421" t="s">
        <v>237</v>
      </c>
      <c r="F6421" t="s">
        <v>670</v>
      </c>
      <c r="G6421" t="s">
        <v>59</v>
      </c>
      <c r="H6421">
        <v>2024</v>
      </c>
    </row>
    <row r="6422" spans="1:8" x14ac:dyDescent="0.2">
      <c r="A6422">
        <v>267441</v>
      </c>
      <c r="B6422">
        <v>130000</v>
      </c>
      <c r="C6422" t="str">
        <f t="shared" si="100"/>
        <v>3. $50K-250K</v>
      </c>
      <c r="D6422" t="s">
        <v>852</v>
      </c>
      <c r="E6422" t="s">
        <v>237</v>
      </c>
      <c r="F6422" t="s">
        <v>670</v>
      </c>
      <c r="G6422" t="s">
        <v>59</v>
      </c>
      <c r="H6422">
        <v>2024</v>
      </c>
    </row>
    <row r="6423" spans="1:8" x14ac:dyDescent="0.2">
      <c r="A6423">
        <v>267442</v>
      </c>
      <c r="B6423">
        <v>26280</v>
      </c>
      <c r="C6423" t="str">
        <f t="shared" si="100"/>
        <v>3. $50K-250K</v>
      </c>
      <c r="D6423" t="s">
        <v>870</v>
      </c>
      <c r="E6423" t="s">
        <v>237</v>
      </c>
      <c r="F6423" t="s">
        <v>670</v>
      </c>
      <c r="G6423" t="s">
        <v>59</v>
      </c>
      <c r="H6423">
        <v>2024</v>
      </c>
    </row>
    <row r="6424" spans="1:8" x14ac:dyDescent="0.2">
      <c r="A6424">
        <v>267443</v>
      </c>
      <c r="B6424">
        <v>174402</v>
      </c>
      <c r="C6424" t="str">
        <f t="shared" si="100"/>
        <v>2. $10K-50K</v>
      </c>
      <c r="D6424" t="s">
        <v>852</v>
      </c>
      <c r="E6424" t="s">
        <v>237</v>
      </c>
      <c r="F6424" t="s">
        <v>670</v>
      </c>
      <c r="G6424" t="s">
        <v>59</v>
      </c>
      <c r="H6424">
        <v>2024</v>
      </c>
    </row>
    <row r="6425" spans="1:8" x14ac:dyDescent="0.2">
      <c r="A6425">
        <v>267444</v>
      </c>
      <c r="B6425">
        <v>172677.9</v>
      </c>
      <c r="C6425" t="str">
        <f t="shared" si="100"/>
        <v>3. $50K-250K</v>
      </c>
      <c r="D6425" t="s">
        <v>864</v>
      </c>
      <c r="E6425" t="s">
        <v>237</v>
      </c>
      <c r="F6425" t="s">
        <v>670</v>
      </c>
      <c r="G6425" t="s">
        <v>59</v>
      </c>
      <c r="H6425">
        <v>2024</v>
      </c>
    </row>
    <row r="6426" spans="1:8" x14ac:dyDescent="0.2">
      <c r="A6426">
        <v>267445</v>
      </c>
      <c r="B6426">
        <v>177796.9</v>
      </c>
      <c r="C6426" t="str">
        <f t="shared" si="100"/>
        <v>3. $50K-250K</v>
      </c>
      <c r="D6426" t="s">
        <v>873</v>
      </c>
      <c r="E6426" t="s">
        <v>237</v>
      </c>
      <c r="F6426" t="s">
        <v>670</v>
      </c>
      <c r="G6426" t="s">
        <v>59</v>
      </c>
      <c r="H6426">
        <v>2024</v>
      </c>
    </row>
    <row r="6427" spans="1:8" x14ac:dyDescent="0.2">
      <c r="A6427">
        <v>267446</v>
      </c>
      <c r="B6427">
        <v>55000</v>
      </c>
      <c r="C6427" t="str">
        <f t="shared" si="100"/>
        <v>3. $50K-250K</v>
      </c>
      <c r="D6427" t="s">
        <v>883</v>
      </c>
      <c r="E6427" t="s">
        <v>237</v>
      </c>
      <c r="F6427" t="s">
        <v>670</v>
      </c>
      <c r="G6427" t="s">
        <v>59</v>
      </c>
      <c r="H6427">
        <v>2024</v>
      </c>
    </row>
    <row r="6428" spans="1:8" x14ac:dyDescent="0.2">
      <c r="A6428">
        <v>267447</v>
      </c>
      <c r="B6428">
        <v>90800</v>
      </c>
      <c r="C6428" t="str">
        <f t="shared" si="100"/>
        <v>3. $50K-250K</v>
      </c>
      <c r="D6428" t="s">
        <v>873</v>
      </c>
      <c r="E6428" t="s">
        <v>237</v>
      </c>
      <c r="F6428" t="s">
        <v>670</v>
      </c>
      <c r="G6428" t="s">
        <v>59</v>
      </c>
      <c r="H6428">
        <v>2024</v>
      </c>
    </row>
    <row r="6429" spans="1:8" x14ac:dyDescent="0.2">
      <c r="A6429">
        <v>267448</v>
      </c>
      <c r="B6429">
        <v>75000</v>
      </c>
      <c r="C6429" t="str">
        <f t="shared" si="100"/>
        <v>3. $50K-250K</v>
      </c>
      <c r="D6429" t="s">
        <v>822</v>
      </c>
      <c r="E6429" t="s">
        <v>237</v>
      </c>
      <c r="F6429" t="s">
        <v>670</v>
      </c>
      <c r="G6429" t="s">
        <v>59</v>
      </c>
      <c r="H6429">
        <v>2024</v>
      </c>
    </row>
    <row r="6430" spans="1:8" x14ac:dyDescent="0.2">
      <c r="A6430">
        <v>267449</v>
      </c>
      <c r="B6430">
        <v>66150</v>
      </c>
      <c r="C6430" t="str">
        <f t="shared" si="100"/>
        <v>3. $50K-250K</v>
      </c>
      <c r="D6430" t="s">
        <v>856</v>
      </c>
      <c r="E6430" t="s">
        <v>237</v>
      </c>
      <c r="F6430" t="s">
        <v>670</v>
      </c>
      <c r="G6430" t="s">
        <v>59</v>
      </c>
      <c r="H6430">
        <v>2024</v>
      </c>
    </row>
    <row r="6431" spans="1:8" x14ac:dyDescent="0.2">
      <c r="A6431">
        <v>267451</v>
      </c>
      <c r="B6431">
        <v>20000</v>
      </c>
      <c r="C6431" t="str">
        <f t="shared" si="100"/>
        <v>3. $50K-250K</v>
      </c>
      <c r="D6431" t="s">
        <v>1322</v>
      </c>
      <c r="E6431" t="s">
        <v>112</v>
      </c>
      <c r="F6431" t="s">
        <v>668</v>
      </c>
      <c r="G6431" t="s">
        <v>59</v>
      </c>
      <c r="H6431">
        <v>2024</v>
      </c>
    </row>
    <row r="6432" spans="1:8" x14ac:dyDescent="0.2">
      <c r="A6432">
        <v>267452</v>
      </c>
      <c r="B6432">
        <v>126275</v>
      </c>
      <c r="C6432" t="str">
        <f t="shared" si="100"/>
        <v>2. $10K-50K</v>
      </c>
      <c r="D6432" t="s">
        <v>884</v>
      </c>
      <c r="E6432" t="s">
        <v>237</v>
      </c>
      <c r="F6432" t="s">
        <v>670</v>
      </c>
      <c r="G6432" t="s">
        <v>59</v>
      </c>
      <c r="H6432">
        <v>2024</v>
      </c>
    </row>
    <row r="6433" spans="1:8" x14ac:dyDescent="0.2">
      <c r="A6433">
        <v>267453</v>
      </c>
      <c r="B6433">
        <v>7579</v>
      </c>
      <c r="C6433" t="str">
        <f t="shared" si="100"/>
        <v>3. $50K-250K</v>
      </c>
      <c r="D6433" t="s">
        <v>795</v>
      </c>
      <c r="E6433" t="s">
        <v>237</v>
      </c>
      <c r="F6433" t="s">
        <v>670</v>
      </c>
      <c r="G6433" t="s">
        <v>59</v>
      </c>
      <c r="H6433">
        <v>2024</v>
      </c>
    </row>
    <row r="6434" spans="1:8" x14ac:dyDescent="0.2">
      <c r="A6434">
        <v>267456</v>
      </c>
      <c r="B6434">
        <v>50000</v>
      </c>
      <c r="C6434" t="str">
        <f t="shared" si="100"/>
        <v>1. Under $10K</v>
      </c>
      <c r="D6434" t="s">
        <v>2173</v>
      </c>
      <c r="E6434" t="s">
        <v>112</v>
      </c>
      <c r="F6434" t="s">
        <v>668</v>
      </c>
      <c r="G6434" t="s">
        <v>59</v>
      </c>
      <c r="H6434">
        <v>2024</v>
      </c>
    </row>
    <row r="6435" spans="1:8" x14ac:dyDescent="0.2">
      <c r="A6435">
        <v>267459</v>
      </c>
      <c r="B6435">
        <v>50000</v>
      </c>
      <c r="C6435" t="str">
        <f t="shared" si="100"/>
        <v>3. $50K-250K</v>
      </c>
      <c r="D6435" t="s">
        <v>2029</v>
      </c>
      <c r="E6435" t="s">
        <v>112</v>
      </c>
      <c r="F6435" t="s">
        <v>668</v>
      </c>
      <c r="G6435" t="s">
        <v>59</v>
      </c>
      <c r="H6435">
        <v>2024</v>
      </c>
    </row>
    <row r="6436" spans="1:8" x14ac:dyDescent="0.2">
      <c r="A6436">
        <v>267460</v>
      </c>
      <c r="B6436">
        <v>150000</v>
      </c>
      <c r="C6436" t="str">
        <f t="shared" si="100"/>
        <v>3. $50K-250K</v>
      </c>
      <c r="D6436" t="s">
        <v>1318</v>
      </c>
      <c r="E6436" t="s">
        <v>112</v>
      </c>
      <c r="F6436" t="s">
        <v>668</v>
      </c>
      <c r="G6436" t="s">
        <v>59</v>
      </c>
      <c r="H6436">
        <v>2024</v>
      </c>
    </row>
    <row r="6437" spans="1:8" x14ac:dyDescent="0.2">
      <c r="A6437">
        <v>267461</v>
      </c>
      <c r="B6437">
        <v>1400000</v>
      </c>
      <c r="C6437" t="str">
        <f t="shared" si="100"/>
        <v>3. $50K-250K</v>
      </c>
      <c r="D6437" t="s">
        <v>774</v>
      </c>
      <c r="E6437" t="s">
        <v>99</v>
      </c>
      <c r="F6437" t="s">
        <v>668</v>
      </c>
      <c r="G6437" t="s">
        <v>59</v>
      </c>
      <c r="H6437">
        <v>2024</v>
      </c>
    </row>
    <row r="6438" spans="1:8" x14ac:dyDescent="0.2">
      <c r="A6438">
        <v>267559</v>
      </c>
      <c r="B6438">
        <v>667000</v>
      </c>
      <c r="C6438" t="str">
        <f t="shared" si="100"/>
        <v>5. $1M+</v>
      </c>
      <c r="D6438" t="s">
        <v>711</v>
      </c>
      <c r="E6438" t="s">
        <v>237</v>
      </c>
      <c r="F6438" t="s">
        <v>670</v>
      </c>
      <c r="G6438" t="s">
        <v>44</v>
      </c>
      <c r="H6438">
        <v>2024</v>
      </c>
    </row>
    <row r="6439" spans="1:8" x14ac:dyDescent="0.2">
      <c r="A6439">
        <v>26757</v>
      </c>
      <c r="B6439">
        <v>2600000</v>
      </c>
      <c r="C6439" t="str">
        <f t="shared" si="100"/>
        <v>4. $250K-1M</v>
      </c>
      <c r="D6439" t="s">
        <v>1548</v>
      </c>
      <c r="E6439" t="s">
        <v>99</v>
      </c>
      <c r="F6439" t="s">
        <v>668</v>
      </c>
      <c r="G6439" t="s">
        <v>59</v>
      </c>
      <c r="H6439">
        <v>2023</v>
      </c>
    </row>
    <row r="6440" spans="1:8" x14ac:dyDescent="0.2">
      <c r="A6440">
        <v>267617</v>
      </c>
      <c r="B6440">
        <v>876698</v>
      </c>
      <c r="C6440" t="str">
        <f t="shared" si="100"/>
        <v>5. $1M+</v>
      </c>
      <c r="D6440" t="s">
        <v>391</v>
      </c>
      <c r="E6440" t="s">
        <v>42</v>
      </c>
      <c r="F6440" t="s">
        <v>670</v>
      </c>
      <c r="G6440" t="s">
        <v>59</v>
      </c>
      <c r="H6440">
        <v>2024</v>
      </c>
    </row>
    <row r="6441" spans="1:8" x14ac:dyDescent="0.2">
      <c r="A6441">
        <v>267618</v>
      </c>
      <c r="B6441">
        <v>206271</v>
      </c>
      <c r="C6441" t="str">
        <f t="shared" si="100"/>
        <v>4. $250K-1M</v>
      </c>
      <c r="D6441" t="s">
        <v>686</v>
      </c>
      <c r="E6441" t="s">
        <v>42</v>
      </c>
      <c r="F6441" t="s">
        <v>670</v>
      </c>
      <c r="G6441" t="s">
        <v>59</v>
      </c>
      <c r="H6441">
        <v>2024</v>
      </c>
    </row>
    <row r="6442" spans="1:8" x14ac:dyDescent="0.2">
      <c r="A6442">
        <v>267620</v>
      </c>
      <c r="B6442">
        <v>2974347.8</v>
      </c>
      <c r="C6442" t="str">
        <f t="shared" si="100"/>
        <v>3. $50K-250K</v>
      </c>
      <c r="D6442" t="s">
        <v>682</v>
      </c>
      <c r="E6442" t="s">
        <v>42</v>
      </c>
      <c r="F6442" t="s">
        <v>670</v>
      </c>
      <c r="G6442" t="s">
        <v>59</v>
      </c>
      <c r="H6442">
        <v>2024</v>
      </c>
    </row>
    <row r="6443" spans="1:8" x14ac:dyDescent="0.2">
      <c r="A6443">
        <v>267621</v>
      </c>
      <c r="B6443">
        <v>235921.7</v>
      </c>
      <c r="C6443" t="str">
        <f t="shared" si="100"/>
        <v>5. $1M+</v>
      </c>
      <c r="D6443" t="s">
        <v>687</v>
      </c>
      <c r="E6443" t="s">
        <v>42</v>
      </c>
      <c r="F6443" t="s">
        <v>670</v>
      </c>
      <c r="G6443" t="s">
        <v>59</v>
      </c>
      <c r="H6443">
        <v>2024</v>
      </c>
    </row>
    <row r="6444" spans="1:8" x14ac:dyDescent="0.2">
      <c r="A6444">
        <v>267631</v>
      </c>
      <c r="B6444">
        <v>650000</v>
      </c>
      <c r="C6444" t="str">
        <f t="shared" si="100"/>
        <v>3. $50K-250K</v>
      </c>
      <c r="D6444" t="s">
        <v>778</v>
      </c>
      <c r="E6444" t="s">
        <v>99</v>
      </c>
      <c r="F6444" t="s">
        <v>668</v>
      </c>
      <c r="G6444" t="s">
        <v>59</v>
      </c>
      <c r="H6444">
        <v>2024</v>
      </c>
    </row>
    <row r="6445" spans="1:8" x14ac:dyDescent="0.2">
      <c r="A6445">
        <v>267632</v>
      </c>
      <c r="B6445">
        <v>1842000</v>
      </c>
      <c r="C6445" t="str">
        <f t="shared" si="100"/>
        <v>4. $250K-1M</v>
      </c>
      <c r="D6445" t="s">
        <v>774</v>
      </c>
      <c r="E6445" t="s">
        <v>99</v>
      </c>
      <c r="F6445" t="s">
        <v>668</v>
      </c>
      <c r="G6445" t="s">
        <v>59</v>
      </c>
      <c r="H6445">
        <v>2024</v>
      </c>
    </row>
    <row r="6446" spans="1:8" x14ac:dyDescent="0.2">
      <c r="A6446">
        <v>267635</v>
      </c>
      <c r="B6446">
        <v>3500000</v>
      </c>
      <c r="C6446" t="str">
        <f t="shared" si="100"/>
        <v>5. $1M+</v>
      </c>
      <c r="D6446" t="s">
        <v>774</v>
      </c>
      <c r="E6446" t="s">
        <v>99</v>
      </c>
      <c r="F6446" t="s">
        <v>668</v>
      </c>
      <c r="G6446" t="s">
        <v>59</v>
      </c>
      <c r="H6446">
        <v>2024</v>
      </c>
    </row>
    <row r="6447" spans="1:8" x14ac:dyDescent="0.2">
      <c r="A6447">
        <v>267661</v>
      </c>
      <c r="B6447">
        <v>35000</v>
      </c>
      <c r="C6447" t="str">
        <f t="shared" si="100"/>
        <v>5. $1M+</v>
      </c>
      <c r="D6447" t="s">
        <v>2174</v>
      </c>
      <c r="E6447" t="s">
        <v>112</v>
      </c>
      <c r="F6447" t="s">
        <v>668</v>
      </c>
      <c r="G6447" t="s">
        <v>59</v>
      </c>
      <c r="H6447">
        <v>2024</v>
      </c>
    </row>
    <row r="6448" spans="1:8" x14ac:dyDescent="0.2">
      <c r="A6448">
        <v>267670</v>
      </c>
      <c r="B6448">
        <v>1000000</v>
      </c>
      <c r="C6448" t="str">
        <f t="shared" si="100"/>
        <v>2. $10K-50K</v>
      </c>
      <c r="D6448" t="s">
        <v>774</v>
      </c>
      <c r="E6448" t="s">
        <v>99</v>
      </c>
      <c r="F6448" t="s">
        <v>668</v>
      </c>
      <c r="G6448" t="s">
        <v>59</v>
      </c>
      <c r="H6448">
        <v>2024</v>
      </c>
    </row>
    <row r="6449" spans="1:8" x14ac:dyDescent="0.2">
      <c r="A6449">
        <v>267676</v>
      </c>
      <c r="B6449">
        <v>222034.4</v>
      </c>
      <c r="C6449" t="str">
        <f t="shared" si="100"/>
        <v>5. $1M+</v>
      </c>
      <c r="D6449" t="s">
        <v>783</v>
      </c>
      <c r="E6449" t="s">
        <v>42</v>
      </c>
      <c r="F6449" t="s">
        <v>670</v>
      </c>
      <c r="G6449" t="s">
        <v>59</v>
      </c>
      <c r="H6449">
        <v>2024</v>
      </c>
    </row>
    <row r="6450" spans="1:8" x14ac:dyDescent="0.2">
      <c r="A6450">
        <v>267678</v>
      </c>
      <c r="B6450">
        <v>38897</v>
      </c>
      <c r="C6450" t="str">
        <f t="shared" si="100"/>
        <v>3. $50K-250K</v>
      </c>
      <c r="D6450" t="s">
        <v>674</v>
      </c>
      <c r="E6450" t="s">
        <v>42</v>
      </c>
      <c r="F6450" t="s">
        <v>670</v>
      </c>
      <c r="G6450" t="s">
        <v>59</v>
      </c>
      <c r="H6450">
        <v>2024</v>
      </c>
    </row>
    <row r="6451" spans="1:8" x14ac:dyDescent="0.2">
      <c r="A6451">
        <v>267695</v>
      </c>
      <c r="B6451">
        <v>150000</v>
      </c>
      <c r="C6451" t="str">
        <f t="shared" si="100"/>
        <v>2. $10K-50K</v>
      </c>
      <c r="D6451" t="s">
        <v>2175</v>
      </c>
      <c r="E6451" t="s">
        <v>99</v>
      </c>
      <c r="F6451" t="s">
        <v>668</v>
      </c>
      <c r="G6451" t="s">
        <v>59</v>
      </c>
      <c r="H6451">
        <v>2024</v>
      </c>
    </row>
    <row r="6452" spans="1:8" x14ac:dyDescent="0.2">
      <c r="A6452">
        <v>267697</v>
      </c>
      <c r="B6452">
        <v>150000</v>
      </c>
      <c r="C6452" t="str">
        <f t="shared" si="100"/>
        <v>3. $50K-250K</v>
      </c>
      <c r="D6452" t="s">
        <v>907</v>
      </c>
      <c r="E6452" t="s">
        <v>99</v>
      </c>
      <c r="F6452" t="s">
        <v>668</v>
      </c>
      <c r="G6452" t="s">
        <v>59</v>
      </c>
      <c r="H6452">
        <v>2024</v>
      </c>
    </row>
    <row r="6453" spans="1:8" x14ac:dyDescent="0.2">
      <c r="A6453">
        <v>267699</v>
      </c>
      <c r="B6453">
        <v>350000</v>
      </c>
      <c r="C6453" t="str">
        <f t="shared" si="100"/>
        <v>3. $50K-250K</v>
      </c>
      <c r="D6453" t="s">
        <v>778</v>
      </c>
      <c r="E6453" t="s">
        <v>99</v>
      </c>
      <c r="F6453" t="s">
        <v>668</v>
      </c>
      <c r="G6453" t="s">
        <v>59</v>
      </c>
      <c r="H6453">
        <v>2024</v>
      </c>
    </row>
    <row r="6454" spans="1:8" x14ac:dyDescent="0.2">
      <c r="A6454">
        <v>267718</v>
      </c>
      <c r="B6454">
        <v>3500000</v>
      </c>
      <c r="C6454" t="str">
        <f t="shared" si="100"/>
        <v>4. $250K-1M</v>
      </c>
      <c r="D6454" t="s">
        <v>778</v>
      </c>
      <c r="E6454" t="s">
        <v>99</v>
      </c>
      <c r="F6454" t="s">
        <v>668</v>
      </c>
      <c r="G6454" t="s">
        <v>59</v>
      </c>
      <c r="H6454">
        <v>2024</v>
      </c>
    </row>
    <row r="6455" spans="1:8" x14ac:dyDescent="0.2">
      <c r="A6455">
        <v>267719</v>
      </c>
      <c r="B6455">
        <v>1250000</v>
      </c>
      <c r="C6455" t="str">
        <f t="shared" si="100"/>
        <v>5. $1M+</v>
      </c>
      <c r="D6455" t="s">
        <v>778</v>
      </c>
      <c r="E6455" t="s">
        <v>99</v>
      </c>
      <c r="F6455" t="s">
        <v>668</v>
      </c>
      <c r="G6455" t="s">
        <v>59</v>
      </c>
      <c r="H6455">
        <v>2024</v>
      </c>
    </row>
    <row r="6456" spans="1:8" x14ac:dyDescent="0.2">
      <c r="A6456">
        <v>267720</v>
      </c>
      <c r="B6456">
        <v>800000</v>
      </c>
      <c r="C6456" t="str">
        <f t="shared" si="100"/>
        <v>5. $1M+</v>
      </c>
      <c r="D6456" t="s">
        <v>778</v>
      </c>
      <c r="E6456" t="s">
        <v>99</v>
      </c>
      <c r="F6456" t="s">
        <v>668</v>
      </c>
      <c r="G6456" t="s">
        <v>59</v>
      </c>
      <c r="H6456">
        <v>2024</v>
      </c>
    </row>
    <row r="6457" spans="1:8" x14ac:dyDescent="0.2">
      <c r="A6457">
        <v>267730</v>
      </c>
      <c r="B6457">
        <v>43799.6</v>
      </c>
      <c r="C6457" t="str">
        <f t="shared" si="100"/>
        <v>4. $250K-1M</v>
      </c>
      <c r="D6457" t="s">
        <v>812</v>
      </c>
      <c r="E6457" t="s">
        <v>237</v>
      </c>
      <c r="F6457" t="s">
        <v>670</v>
      </c>
      <c r="G6457" t="s">
        <v>59</v>
      </c>
      <c r="H6457">
        <v>2024</v>
      </c>
    </row>
    <row r="6458" spans="1:8" x14ac:dyDescent="0.2">
      <c r="A6458">
        <v>267731</v>
      </c>
      <c r="B6458">
        <v>55107</v>
      </c>
      <c r="C6458" t="str">
        <f t="shared" si="100"/>
        <v>2. $10K-50K</v>
      </c>
      <c r="D6458" t="s">
        <v>883</v>
      </c>
      <c r="E6458" t="s">
        <v>237</v>
      </c>
      <c r="F6458" t="s">
        <v>670</v>
      </c>
      <c r="G6458" t="s">
        <v>59</v>
      </c>
      <c r="H6458">
        <v>2024</v>
      </c>
    </row>
    <row r="6459" spans="1:8" x14ac:dyDescent="0.2">
      <c r="A6459">
        <v>267732</v>
      </c>
      <c r="B6459">
        <v>60059</v>
      </c>
      <c r="C6459" t="str">
        <f t="shared" si="100"/>
        <v>3. $50K-250K</v>
      </c>
      <c r="D6459" t="s">
        <v>871</v>
      </c>
      <c r="E6459" t="s">
        <v>237</v>
      </c>
      <c r="F6459" t="s">
        <v>670</v>
      </c>
      <c r="G6459" t="s">
        <v>59</v>
      </c>
      <c r="H6459">
        <v>2024</v>
      </c>
    </row>
    <row r="6460" spans="1:8" x14ac:dyDescent="0.2">
      <c r="A6460">
        <v>267733</v>
      </c>
      <c r="B6460">
        <v>127281.2</v>
      </c>
      <c r="C6460" t="str">
        <f t="shared" si="100"/>
        <v>3. $50K-250K</v>
      </c>
      <c r="D6460" t="s">
        <v>844</v>
      </c>
      <c r="E6460" t="s">
        <v>237</v>
      </c>
      <c r="F6460" t="s">
        <v>670</v>
      </c>
      <c r="G6460" t="s">
        <v>59</v>
      </c>
      <c r="H6460">
        <v>2024</v>
      </c>
    </row>
    <row r="6461" spans="1:8" x14ac:dyDescent="0.2">
      <c r="A6461">
        <v>267734</v>
      </c>
      <c r="B6461">
        <v>60000</v>
      </c>
      <c r="C6461" t="str">
        <f t="shared" si="100"/>
        <v>3. $50K-250K</v>
      </c>
      <c r="D6461" t="s">
        <v>872</v>
      </c>
      <c r="E6461" t="s">
        <v>237</v>
      </c>
      <c r="F6461" t="s">
        <v>670</v>
      </c>
      <c r="G6461" t="s">
        <v>59</v>
      </c>
      <c r="H6461">
        <v>2024</v>
      </c>
    </row>
    <row r="6462" spans="1:8" x14ac:dyDescent="0.2">
      <c r="A6462">
        <v>267735</v>
      </c>
      <c r="B6462">
        <v>1713548</v>
      </c>
      <c r="C6462" t="str">
        <f t="shared" si="100"/>
        <v>3. $50K-250K</v>
      </c>
      <c r="D6462" t="s">
        <v>872</v>
      </c>
      <c r="E6462" t="s">
        <v>237</v>
      </c>
      <c r="F6462" t="s">
        <v>670</v>
      </c>
      <c r="G6462" t="s">
        <v>59</v>
      </c>
      <c r="H6462">
        <v>2024</v>
      </c>
    </row>
    <row r="6463" spans="1:8" x14ac:dyDescent="0.2">
      <c r="A6463">
        <v>267736</v>
      </c>
      <c r="B6463">
        <v>379202.7</v>
      </c>
      <c r="C6463" t="str">
        <f t="shared" si="100"/>
        <v>5. $1M+</v>
      </c>
      <c r="D6463" t="s">
        <v>872</v>
      </c>
      <c r="E6463" t="s">
        <v>237</v>
      </c>
      <c r="F6463" t="s">
        <v>670</v>
      </c>
      <c r="G6463" t="s">
        <v>59</v>
      </c>
      <c r="H6463">
        <v>2024</v>
      </c>
    </row>
    <row r="6464" spans="1:8" x14ac:dyDescent="0.2">
      <c r="A6464">
        <v>267800</v>
      </c>
      <c r="B6464">
        <v>250000</v>
      </c>
      <c r="C6464" t="str">
        <f t="shared" si="100"/>
        <v>4. $250K-1M</v>
      </c>
      <c r="D6464" t="s">
        <v>1009</v>
      </c>
      <c r="E6464" t="s">
        <v>42</v>
      </c>
      <c r="F6464" t="s">
        <v>670</v>
      </c>
      <c r="G6464" t="s">
        <v>59</v>
      </c>
      <c r="H6464">
        <v>2024</v>
      </c>
    </row>
    <row r="6465" spans="1:8" x14ac:dyDescent="0.2">
      <c r="A6465">
        <v>267817</v>
      </c>
      <c r="B6465">
        <v>430829.3</v>
      </c>
      <c r="C6465" t="str">
        <f t="shared" si="100"/>
        <v>4. $250K-1M</v>
      </c>
      <c r="D6465" t="s">
        <v>855</v>
      </c>
      <c r="E6465" t="s">
        <v>42</v>
      </c>
      <c r="F6465" t="s">
        <v>670</v>
      </c>
      <c r="G6465" t="s">
        <v>59</v>
      </c>
      <c r="H6465">
        <v>2024</v>
      </c>
    </row>
    <row r="6466" spans="1:8" x14ac:dyDescent="0.2">
      <c r="A6466">
        <v>267862</v>
      </c>
      <c r="B6466">
        <v>740584.1</v>
      </c>
      <c r="C6466" t="str">
        <f t="shared" si="100"/>
        <v>4. $250K-1M</v>
      </c>
      <c r="D6466" t="s">
        <v>881</v>
      </c>
      <c r="E6466" t="s">
        <v>42</v>
      </c>
      <c r="F6466" t="s">
        <v>670</v>
      </c>
      <c r="G6466" t="s">
        <v>59</v>
      </c>
      <c r="H6466">
        <v>2024</v>
      </c>
    </row>
    <row r="6467" spans="1:8" x14ac:dyDescent="0.2">
      <c r="A6467">
        <v>267866</v>
      </c>
      <c r="B6467">
        <v>4863960.0999999996</v>
      </c>
      <c r="C6467" t="str">
        <f t="shared" ref="C6467:C6530" si="101">IF(B6466&lt;10000,"1. Under $10K",IF(B6466&lt;50000,"2. $10K-50K",IF(B6466&lt;250000,"3. $50K-250K",IF(B6466&lt;1000000,"4. $250K-1M","5. $1M+"))))</f>
        <v>4. $250K-1M</v>
      </c>
      <c r="D6467" t="s">
        <v>692</v>
      </c>
      <c r="E6467" t="s">
        <v>891</v>
      </c>
      <c r="F6467" t="s">
        <v>670</v>
      </c>
      <c r="G6467" t="s">
        <v>59</v>
      </c>
      <c r="H6467">
        <v>2024</v>
      </c>
    </row>
    <row r="6468" spans="1:8" x14ac:dyDescent="0.2">
      <c r="A6468">
        <v>267871</v>
      </c>
      <c r="B6468">
        <v>30000</v>
      </c>
      <c r="C6468" t="str">
        <f t="shared" si="101"/>
        <v>5. $1M+</v>
      </c>
      <c r="D6468" t="s">
        <v>371</v>
      </c>
      <c r="E6468" t="s">
        <v>207</v>
      </c>
      <c r="F6468" t="s">
        <v>1476</v>
      </c>
      <c r="G6468" t="s">
        <v>61</v>
      </c>
      <c r="H6468">
        <v>2024</v>
      </c>
    </row>
    <row r="6469" spans="1:8" x14ac:dyDescent="0.2">
      <c r="A6469">
        <v>267948</v>
      </c>
      <c r="B6469">
        <v>1014150.8</v>
      </c>
      <c r="C6469" t="str">
        <f t="shared" si="101"/>
        <v>2. $10K-50K</v>
      </c>
      <c r="D6469" t="s">
        <v>852</v>
      </c>
      <c r="E6469" t="s">
        <v>237</v>
      </c>
      <c r="F6469" t="s">
        <v>670</v>
      </c>
      <c r="G6469" t="s">
        <v>59</v>
      </c>
      <c r="H6469">
        <v>2024</v>
      </c>
    </row>
    <row r="6470" spans="1:8" x14ac:dyDescent="0.2">
      <c r="A6470">
        <v>267960</v>
      </c>
      <c r="B6470">
        <v>441615.4</v>
      </c>
      <c r="C6470" t="str">
        <f t="shared" si="101"/>
        <v>5. $1M+</v>
      </c>
      <c r="D6470" t="s">
        <v>749</v>
      </c>
      <c r="E6470" t="s">
        <v>237</v>
      </c>
      <c r="F6470" t="s">
        <v>670</v>
      </c>
      <c r="G6470" t="s">
        <v>59</v>
      </c>
      <c r="H6470">
        <v>2024</v>
      </c>
    </row>
    <row r="6471" spans="1:8" x14ac:dyDescent="0.2">
      <c r="A6471">
        <v>268013</v>
      </c>
      <c r="B6471">
        <v>37500</v>
      </c>
      <c r="C6471" t="str">
        <f t="shared" si="101"/>
        <v>4. $250K-1M</v>
      </c>
      <c r="D6471" t="s">
        <v>1387</v>
      </c>
      <c r="E6471" t="s">
        <v>432</v>
      </c>
      <c r="F6471" t="s">
        <v>670</v>
      </c>
      <c r="G6471" t="s">
        <v>59</v>
      </c>
      <c r="H6471">
        <v>2024</v>
      </c>
    </row>
    <row r="6472" spans="1:8" x14ac:dyDescent="0.2">
      <c r="A6472">
        <v>268014</v>
      </c>
      <c r="B6472">
        <v>40000</v>
      </c>
      <c r="C6472" t="str">
        <f t="shared" si="101"/>
        <v>2. $10K-50K</v>
      </c>
      <c r="D6472" t="s">
        <v>958</v>
      </c>
      <c r="E6472" t="s">
        <v>432</v>
      </c>
      <c r="F6472" t="s">
        <v>670</v>
      </c>
      <c r="G6472" t="s">
        <v>59</v>
      </c>
      <c r="H6472">
        <v>2024</v>
      </c>
    </row>
    <row r="6473" spans="1:8" x14ac:dyDescent="0.2">
      <c r="A6473">
        <v>268015</v>
      </c>
      <c r="B6473">
        <v>40000</v>
      </c>
      <c r="C6473" t="str">
        <f t="shared" si="101"/>
        <v>2. $10K-50K</v>
      </c>
      <c r="D6473" t="s">
        <v>946</v>
      </c>
      <c r="E6473" t="s">
        <v>432</v>
      </c>
      <c r="F6473" t="s">
        <v>670</v>
      </c>
      <c r="G6473" t="s">
        <v>59</v>
      </c>
      <c r="H6473">
        <v>2024</v>
      </c>
    </row>
    <row r="6474" spans="1:8" x14ac:dyDescent="0.2">
      <c r="A6474">
        <v>268024</v>
      </c>
      <c r="B6474">
        <v>892039.2</v>
      </c>
      <c r="C6474" t="str">
        <f t="shared" si="101"/>
        <v>2. $10K-50K</v>
      </c>
      <c r="D6474" t="s">
        <v>872</v>
      </c>
      <c r="E6474" t="s">
        <v>237</v>
      </c>
      <c r="F6474" t="s">
        <v>670</v>
      </c>
      <c r="G6474" t="s">
        <v>59</v>
      </c>
      <c r="H6474">
        <v>2024</v>
      </c>
    </row>
    <row r="6475" spans="1:8" x14ac:dyDescent="0.2">
      <c r="A6475">
        <v>268026</v>
      </c>
      <c r="B6475">
        <v>1638336</v>
      </c>
      <c r="C6475" t="str">
        <f t="shared" si="101"/>
        <v>4. $250K-1M</v>
      </c>
      <c r="D6475" t="s">
        <v>1094</v>
      </c>
      <c r="E6475" t="s">
        <v>237</v>
      </c>
      <c r="F6475" t="s">
        <v>670</v>
      </c>
      <c r="G6475" t="s">
        <v>59</v>
      </c>
      <c r="H6475">
        <v>2024</v>
      </c>
    </row>
    <row r="6476" spans="1:8" x14ac:dyDescent="0.2">
      <c r="A6476">
        <v>268106</v>
      </c>
      <c r="B6476">
        <v>148465.1</v>
      </c>
      <c r="C6476" t="str">
        <f t="shared" si="101"/>
        <v>5. $1M+</v>
      </c>
      <c r="D6476" t="s">
        <v>682</v>
      </c>
      <c r="E6476" t="s">
        <v>42</v>
      </c>
      <c r="F6476" t="s">
        <v>670</v>
      </c>
      <c r="G6476" t="s">
        <v>59</v>
      </c>
      <c r="H6476">
        <v>2024</v>
      </c>
    </row>
    <row r="6477" spans="1:8" x14ac:dyDescent="0.2">
      <c r="A6477">
        <v>268107</v>
      </c>
      <c r="B6477">
        <v>12633.8</v>
      </c>
      <c r="C6477" t="str">
        <f t="shared" si="101"/>
        <v>3. $50K-250K</v>
      </c>
      <c r="D6477" t="s">
        <v>391</v>
      </c>
      <c r="E6477" t="s">
        <v>42</v>
      </c>
      <c r="F6477" t="s">
        <v>670</v>
      </c>
      <c r="G6477" t="s">
        <v>59</v>
      </c>
      <c r="H6477">
        <v>2024</v>
      </c>
    </row>
    <row r="6478" spans="1:8" x14ac:dyDescent="0.2">
      <c r="A6478">
        <v>268108</v>
      </c>
      <c r="B6478">
        <v>176555</v>
      </c>
      <c r="C6478" t="str">
        <f t="shared" si="101"/>
        <v>2. $10K-50K</v>
      </c>
      <c r="D6478" t="s">
        <v>772</v>
      </c>
      <c r="E6478" t="s">
        <v>42</v>
      </c>
      <c r="F6478" t="s">
        <v>670</v>
      </c>
      <c r="G6478" t="s">
        <v>59</v>
      </c>
      <c r="H6478">
        <v>2024</v>
      </c>
    </row>
    <row r="6479" spans="1:8" x14ac:dyDescent="0.2">
      <c r="A6479">
        <v>268109</v>
      </c>
      <c r="B6479">
        <v>16302.6</v>
      </c>
      <c r="C6479" t="str">
        <f t="shared" si="101"/>
        <v>3. $50K-250K</v>
      </c>
      <c r="D6479" t="s">
        <v>688</v>
      </c>
      <c r="E6479" t="s">
        <v>42</v>
      </c>
      <c r="F6479" t="s">
        <v>670</v>
      </c>
      <c r="G6479" t="s">
        <v>59</v>
      </c>
      <c r="H6479">
        <v>2024</v>
      </c>
    </row>
    <row r="6480" spans="1:8" x14ac:dyDescent="0.2">
      <c r="A6480">
        <v>268111</v>
      </c>
      <c r="B6480">
        <v>14713</v>
      </c>
      <c r="C6480" t="str">
        <f t="shared" si="101"/>
        <v>2. $10K-50K</v>
      </c>
      <c r="D6480" t="s">
        <v>686</v>
      </c>
      <c r="E6480" t="s">
        <v>42</v>
      </c>
      <c r="F6480" t="s">
        <v>670</v>
      </c>
      <c r="G6480" t="s">
        <v>59</v>
      </c>
      <c r="H6480">
        <v>2024</v>
      </c>
    </row>
    <row r="6481" spans="1:8" x14ac:dyDescent="0.2">
      <c r="A6481">
        <v>268112</v>
      </c>
      <c r="B6481">
        <v>22887</v>
      </c>
      <c r="C6481" t="str">
        <f t="shared" si="101"/>
        <v>2. $10K-50K</v>
      </c>
      <c r="D6481" t="s">
        <v>685</v>
      </c>
      <c r="E6481" t="s">
        <v>42</v>
      </c>
      <c r="F6481" t="s">
        <v>670</v>
      </c>
      <c r="G6481" t="s">
        <v>59</v>
      </c>
      <c r="H6481">
        <v>2024</v>
      </c>
    </row>
    <row r="6482" spans="1:8" x14ac:dyDescent="0.2">
      <c r="A6482">
        <v>268113</v>
      </c>
      <c r="B6482">
        <v>11445</v>
      </c>
      <c r="C6482" t="str">
        <f t="shared" si="101"/>
        <v>2. $10K-50K</v>
      </c>
      <c r="D6482" t="s">
        <v>683</v>
      </c>
      <c r="E6482" t="s">
        <v>42</v>
      </c>
      <c r="F6482" t="s">
        <v>670</v>
      </c>
      <c r="G6482" t="s">
        <v>59</v>
      </c>
      <c r="H6482">
        <v>2024</v>
      </c>
    </row>
    <row r="6483" spans="1:8" x14ac:dyDescent="0.2">
      <c r="A6483">
        <v>268115</v>
      </c>
      <c r="B6483">
        <v>28660.799999999999</v>
      </c>
      <c r="C6483" t="str">
        <f t="shared" si="101"/>
        <v>2. $10K-50K</v>
      </c>
      <c r="D6483" t="s">
        <v>680</v>
      </c>
      <c r="E6483" t="s">
        <v>42</v>
      </c>
      <c r="F6483" t="s">
        <v>670</v>
      </c>
      <c r="G6483" t="s">
        <v>59</v>
      </c>
      <c r="H6483">
        <v>2024</v>
      </c>
    </row>
    <row r="6484" spans="1:8" x14ac:dyDescent="0.2">
      <c r="A6484">
        <v>268116</v>
      </c>
      <c r="B6484">
        <v>35085.4</v>
      </c>
      <c r="C6484" t="str">
        <f t="shared" si="101"/>
        <v>2. $10K-50K</v>
      </c>
      <c r="D6484" t="s">
        <v>671</v>
      </c>
      <c r="E6484" t="s">
        <v>42</v>
      </c>
      <c r="F6484" t="s">
        <v>670</v>
      </c>
      <c r="G6484" t="s">
        <v>59</v>
      </c>
      <c r="H6484">
        <v>2024</v>
      </c>
    </row>
    <row r="6485" spans="1:8" x14ac:dyDescent="0.2">
      <c r="A6485">
        <v>268117</v>
      </c>
      <c r="B6485">
        <v>167708</v>
      </c>
      <c r="C6485" t="str">
        <f t="shared" si="101"/>
        <v>2. $10K-50K</v>
      </c>
      <c r="D6485" t="s">
        <v>782</v>
      </c>
      <c r="E6485" t="s">
        <v>42</v>
      </c>
      <c r="F6485" t="s">
        <v>670</v>
      </c>
      <c r="G6485" t="s">
        <v>59</v>
      </c>
      <c r="H6485">
        <v>2024</v>
      </c>
    </row>
    <row r="6486" spans="1:8" x14ac:dyDescent="0.2">
      <c r="A6486">
        <v>268118</v>
      </c>
      <c r="B6486">
        <v>47408</v>
      </c>
      <c r="C6486" t="str">
        <f t="shared" si="101"/>
        <v>3. $50K-250K</v>
      </c>
      <c r="D6486" t="s">
        <v>673</v>
      </c>
      <c r="E6486" t="s">
        <v>42</v>
      </c>
      <c r="F6486" t="s">
        <v>670</v>
      </c>
      <c r="G6486" t="s">
        <v>59</v>
      </c>
      <c r="H6486">
        <v>2024</v>
      </c>
    </row>
    <row r="6487" spans="1:8" x14ac:dyDescent="0.2">
      <c r="A6487">
        <v>268195</v>
      </c>
      <c r="B6487">
        <v>195365</v>
      </c>
      <c r="C6487" t="str">
        <f t="shared" si="101"/>
        <v>2. $10K-50K</v>
      </c>
      <c r="D6487" t="s">
        <v>852</v>
      </c>
      <c r="E6487" t="s">
        <v>237</v>
      </c>
      <c r="F6487" t="s">
        <v>670</v>
      </c>
      <c r="G6487" t="s">
        <v>44</v>
      </c>
      <c r="H6487">
        <v>2024</v>
      </c>
    </row>
    <row r="6488" spans="1:8" x14ac:dyDescent="0.2">
      <c r="A6488">
        <v>268199</v>
      </c>
      <c r="B6488">
        <v>123172</v>
      </c>
      <c r="C6488" t="str">
        <f t="shared" si="101"/>
        <v>3. $50K-250K</v>
      </c>
      <c r="D6488" t="s">
        <v>1613</v>
      </c>
      <c r="E6488" t="s">
        <v>237</v>
      </c>
      <c r="F6488" t="s">
        <v>670</v>
      </c>
      <c r="G6488" t="s">
        <v>59</v>
      </c>
      <c r="H6488">
        <v>2024</v>
      </c>
    </row>
    <row r="6489" spans="1:8" x14ac:dyDescent="0.2">
      <c r="A6489">
        <v>268212</v>
      </c>
      <c r="B6489">
        <v>39857.5</v>
      </c>
      <c r="C6489" t="str">
        <f t="shared" si="101"/>
        <v>3. $50K-250K</v>
      </c>
      <c r="D6489" t="s">
        <v>923</v>
      </c>
      <c r="E6489" t="s">
        <v>237</v>
      </c>
      <c r="F6489" t="s">
        <v>670</v>
      </c>
      <c r="G6489" t="s">
        <v>59</v>
      </c>
      <c r="H6489">
        <v>2024</v>
      </c>
    </row>
    <row r="6490" spans="1:8" x14ac:dyDescent="0.2">
      <c r="A6490">
        <v>268220</v>
      </c>
      <c r="B6490">
        <v>60206.400000000001</v>
      </c>
      <c r="C6490" t="str">
        <f t="shared" si="101"/>
        <v>2. $10K-50K</v>
      </c>
      <c r="D6490" t="s">
        <v>913</v>
      </c>
      <c r="E6490" t="s">
        <v>237</v>
      </c>
      <c r="F6490" t="s">
        <v>670</v>
      </c>
      <c r="G6490" t="s">
        <v>59</v>
      </c>
      <c r="H6490">
        <v>2024</v>
      </c>
    </row>
    <row r="6491" spans="1:8" x14ac:dyDescent="0.2">
      <c r="A6491">
        <v>268222</v>
      </c>
      <c r="B6491">
        <v>37102.5</v>
      </c>
      <c r="C6491" t="str">
        <f t="shared" si="101"/>
        <v>3. $50K-250K</v>
      </c>
      <c r="D6491" t="s">
        <v>822</v>
      </c>
      <c r="E6491" t="s">
        <v>237</v>
      </c>
      <c r="F6491" t="s">
        <v>670</v>
      </c>
      <c r="G6491" t="s">
        <v>59</v>
      </c>
      <c r="H6491">
        <v>2024</v>
      </c>
    </row>
    <row r="6492" spans="1:8" x14ac:dyDescent="0.2">
      <c r="A6492">
        <v>268226</v>
      </c>
      <c r="B6492">
        <v>111935.799999999</v>
      </c>
      <c r="C6492" t="str">
        <f t="shared" si="101"/>
        <v>2. $10K-50K</v>
      </c>
      <c r="D6492" t="s">
        <v>960</v>
      </c>
      <c r="E6492" t="s">
        <v>825</v>
      </c>
      <c r="F6492" t="s">
        <v>670</v>
      </c>
      <c r="G6492" t="s">
        <v>59</v>
      </c>
      <c r="H6492">
        <v>2024</v>
      </c>
    </row>
    <row r="6493" spans="1:8" x14ac:dyDescent="0.2">
      <c r="A6493">
        <v>268227</v>
      </c>
      <c r="B6493">
        <v>204004.9</v>
      </c>
      <c r="C6493" t="str">
        <f t="shared" si="101"/>
        <v>3. $50K-250K</v>
      </c>
      <c r="D6493" t="s">
        <v>942</v>
      </c>
      <c r="E6493" t="s">
        <v>825</v>
      </c>
      <c r="F6493" t="s">
        <v>670</v>
      </c>
      <c r="G6493" t="s">
        <v>59</v>
      </c>
      <c r="H6493">
        <v>2024</v>
      </c>
    </row>
    <row r="6494" spans="1:8" x14ac:dyDescent="0.2">
      <c r="A6494">
        <v>268242</v>
      </c>
      <c r="B6494">
        <v>85000</v>
      </c>
      <c r="C6494" t="str">
        <f t="shared" si="101"/>
        <v>3. $50K-250K</v>
      </c>
      <c r="D6494" t="s">
        <v>804</v>
      </c>
      <c r="E6494" t="s">
        <v>432</v>
      </c>
      <c r="F6494" t="s">
        <v>670</v>
      </c>
      <c r="G6494" t="s">
        <v>59</v>
      </c>
      <c r="H6494">
        <v>2024</v>
      </c>
    </row>
    <row r="6495" spans="1:8" x14ac:dyDescent="0.2">
      <c r="A6495">
        <v>268243</v>
      </c>
      <c r="B6495">
        <v>25000</v>
      </c>
      <c r="C6495" t="str">
        <f t="shared" si="101"/>
        <v>3. $50K-250K</v>
      </c>
      <c r="D6495" t="s">
        <v>804</v>
      </c>
      <c r="E6495" t="s">
        <v>432</v>
      </c>
      <c r="F6495" t="s">
        <v>670</v>
      </c>
      <c r="G6495" t="s">
        <v>59</v>
      </c>
      <c r="H6495">
        <v>2024</v>
      </c>
    </row>
    <row r="6496" spans="1:8" x14ac:dyDescent="0.2">
      <c r="A6496">
        <v>268244</v>
      </c>
      <c r="B6496">
        <v>30000</v>
      </c>
      <c r="C6496" t="str">
        <f t="shared" si="101"/>
        <v>2. $10K-50K</v>
      </c>
      <c r="D6496" t="s">
        <v>1008</v>
      </c>
      <c r="E6496" t="s">
        <v>432</v>
      </c>
      <c r="F6496" t="s">
        <v>670</v>
      </c>
      <c r="G6496" t="s">
        <v>59</v>
      </c>
      <c r="H6496">
        <v>2024</v>
      </c>
    </row>
    <row r="6497" spans="1:8" x14ac:dyDescent="0.2">
      <c r="A6497">
        <v>268245</v>
      </c>
      <c r="B6497">
        <v>85000</v>
      </c>
      <c r="C6497" t="str">
        <f t="shared" si="101"/>
        <v>2. $10K-50K</v>
      </c>
      <c r="D6497" t="s">
        <v>818</v>
      </c>
      <c r="E6497" t="s">
        <v>432</v>
      </c>
      <c r="F6497" t="s">
        <v>670</v>
      </c>
      <c r="G6497" t="s">
        <v>59</v>
      </c>
      <c r="H6497">
        <v>2024</v>
      </c>
    </row>
    <row r="6498" spans="1:8" x14ac:dyDescent="0.2">
      <c r="A6498">
        <v>268246</v>
      </c>
      <c r="B6498">
        <v>40000</v>
      </c>
      <c r="C6498" t="str">
        <f t="shared" si="101"/>
        <v>3. $50K-250K</v>
      </c>
      <c r="D6498" t="s">
        <v>818</v>
      </c>
      <c r="E6498" t="s">
        <v>432</v>
      </c>
      <c r="F6498" t="s">
        <v>670</v>
      </c>
      <c r="G6498" t="s">
        <v>59</v>
      </c>
      <c r="H6498">
        <v>2024</v>
      </c>
    </row>
    <row r="6499" spans="1:8" x14ac:dyDescent="0.2">
      <c r="A6499">
        <v>268247</v>
      </c>
      <c r="B6499">
        <v>25000</v>
      </c>
      <c r="C6499" t="str">
        <f t="shared" si="101"/>
        <v>2. $10K-50K</v>
      </c>
      <c r="D6499" t="s">
        <v>818</v>
      </c>
      <c r="E6499" t="s">
        <v>432</v>
      </c>
      <c r="F6499" t="s">
        <v>670</v>
      </c>
      <c r="G6499" t="s">
        <v>59</v>
      </c>
      <c r="H6499">
        <v>2024</v>
      </c>
    </row>
    <row r="6500" spans="1:8" x14ac:dyDescent="0.2">
      <c r="A6500">
        <v>268248</v>
      </c>
      <c r="B6500">
        <v>25000</v>
      </c>
      <c r="C6500" t="str">
        <f t="shared" si="101"/>
        <v>2. $10K-50K</v>
      </c>
      <c r="D6500" t="s">
        <v>804</v>
      </c>
      <c r="E6500" t="s">
        <v>432</v>
      </c>
      <c r="F6500" t="s">
        <v>670</v>
      </c>
      <c r="G6500" t="s">
        <v>59</v>
      </c>
      <c r="H6500">
        <v>2024</v>
      </c>
    </row>
    <row r="6501" spans="1:8" x14ac:dyDescent="0.2">
      <c r="A6501">
        <v>268249</v>
      </c>
      <c r="B6501">
        <v>20000</v>
      </c>
      <c r="C6501" t="str">
        <f t="shared" si="101"/>
        <v>2. $10K-50K</v>
      </c>
      <c r="D6501" t="s">
        <v>1434</v>
      </c>
      <c r="E6501" t="s">
        <v>432</v>
      </c>
      <c r="F6501" t="s">
        <v>670</v>
      </c>
      <c r="G6501" t="s">
        <v>59</v>
      </c>
      <c r="H6501">
        <v>2024</v>
      </c>
    </row>
    <row r="6502" spans="1:8" x14ac:dyDescent="0.2">
      <c r="A6502">
        <v>268250</v>
      </c>
      <c r="B6502">
        <v>25000</v>
      </c>
      <c r="C6502" t="str">
        <f t="shared" si="101"/>
        <v>2. $10K-50K</v>
      </c>
      <c r="D6502" t="s">
        <v>1459</v>
      </c>
      <c r="E6502" t="s">
        <v>432</v>
      </c>
      <c r="F6502" t="s">
        <v>670</v>
      </c>
      <c r="G6502" t="s">
        <v>59</v>
      </c>
      <c r="H6502">
        <v>2024</v>
      </c>
    </row>
    <row r="6503" spans="1:8" x14ac:dyDescent="0.2">
      <c r="A6503">
        <v>268251</v>
      </c>
      <c r="B6503">
        <v>48402</v>
      </c>
      <c r="C6503" t="str">
        <f t="shared" si="101"/>
        <v>2. $10K-50K</v>
      </c>
      <c r="D6503" t="s">
        <v>1609</v>
      </c>
      <c r="E6503" t="s">
        <v>432</v>
      </c>
      <c r="F6503" t="s">
        <v>670</v>
      </c>
      <c r="G6503" t="s">
        <v>59</v>
      </c>
      <c r="H6503">
        <v>2024</v>
      </c>
    </row>
    <row r="6504" spans="1:8" x14ac:dyDescent="0.2">
      <c r="A6504">
        <v>268252</v>
      </c>
      <c r="B6504">
        <v>25000</v>
      </c>
      <c r="C6504" t="str">
        <f t="shared" si="101"/>
        <v>2. $10K-50K</v>
      </c>
      <c r="D6504" t="s">
        <v>894</v>
      </c>
      <c r="E6504" t="s">
        <v>432</v>
      </c>
      <c r="F6504" t="s">
        <v>670</v>
      </c>
      <c r="G6504" t="s">
        <v>59</v>
      </c>
      <c r="H6504">
        <v>2024</v>
      </c>
    </row>
    <row r="6505" spans="1:8" x14ac:dyDescent="0.2">
      <c r="A6505">
        <v>268253</v>
      </c>
      <c r="B6505">
        <v>50000</v>
      </c>
      <c r="C6505" t="str">
        <f t="shared" si="101"/>
        <v>2. $10K-50K</v>
      </c>
      <c r="D6505" t="s">
        <v>1464</v>
      </c>
      <c r="E6505" t="s">
        <v>432</v>
      </c>
      <c r="F6505" t="s">
        <v>670</v>
      </c>
      <c r="G6505" t="s">
        <v>59</v>
      </c>
      <c r="H6505">
        <v>2024</v>
      </c>
    </row>
    <row r="6506" spans="1:8" x14ac:dyDescent="0.2">
      <c r="A6506">
        <v>268254</v>
      </c>
      <c r="B6506">
        <v>40000</v>
      </c>
      <c r="C6506" t="str">
        <f t="shared" si="101"/>
        <v>3. $50K-250K</v>
      </c>
      <c r="D6506" t="s">
        <v>1441</v>
      </c>
      <c r="E6506" t="s">
        <v>432</v>
      </c>
      <c r="F6506" t="s">
        <v>670</v>
      </c>
      <c r="G6506" t="s">
        <v>59</v>
      </c>
      <c r="H6506">
        <v>2024</v>
      </c>
    </row>
    <row r="6507" spans="1:8" x14ac:dyDescent="0.2">
      <c r="A6507">
        <v>268256</v>
      </c>
      <c r="B6507">
        <v>40000</v>
      </c>
      <c r="C6507" t="str">
        <f t="shared" si="101"/>
        <v>2. $10K-50K</v>
      </c>
      <c r="D6507" t="s">
        <v>1434</v>
      </c>
      <c r="E6507" t="s">
        <v>432</v>
      </c>
      <c r="F6507" t="s">
        <v>670</v>
      </c>
      <c r="G6507" t="s">
        <v>59</v>
      </c>
      <c r="H6507">
        <v>2024</v>
      </c>
    </row>
    <row r="6508" spans="1:8" x14ac:dyDescent="0.2">
      <c r="A6508">
        <v>268257</v>
      </c>
      <c r="B6508">
        <v>20000</v>
      </c>
      <c r="C6508" t="str">
        <f t="shared" si="101"/>
        <v>2. $10K-50K</v>
      </c>
      <c r="D6508" t="s">
        <v>822</v>
      </c>
      <c r="E6508" t="s">
        <v>432</v>
      </c>
      <c r="F6508" t="s">
        <v>670</v>
      </c>
      <c r="G6508" t="s">
        <v>59</v>
      </c>
      <c r="H6508">
        <v>2024</v>
      </c>
    </row>
    <row r="6509" spans="1:8" x14ac:dyDescent="0.2">
      <c r="A6509">
        <v>268261</v>
      </c>
      <c r="B6509">
        <v>36500</v>
      </c>
      <c r="C6509" t="str">
        <f t="shared" si="101"/>
        <v>2. $10K-50K</v>
      </c>
      <c r="D6509" t="s">
        <v>862</v>
      </c>
      <c r="E6509" t="s">
        <v>237</v>
      </c>
      <c r="F6509" t="s">
        <v>670</v>
      </c>
      <c r="G6509" t="s">
        <v>59</v>
      </c>
      <c r="H6509">
        <v>2024</v>
      </c>
    </row>
    <row r="6510" spans="1:8" x14ac:dyDescent="0.2">
      <c r="A6510">
        <v>268262</v>
      </c>
      <c r="B6510">
        <v>108202.5</v>
      </c>
      <c r="C6510" t="str">
        <f t="shared" si="101"/>
        <v>2. $10K-50K</v>
      </c>
      <c r="D6510" t="s">
        <v>682</v>
      </c>
      <c r="E6510" t="s">
        <v>237</v>
      </c>
      <c r="F6510" t="s">
        <v>670</v>
      </c>
      <c r="G6510" t="s">
        <v>59</v>
      </c>
      <c r="H6510">
        <v>2024</v>
      </c>
    </row>
    <row r="6511" spans="1:8" x14ac:dyDescent="0.2">
      <c r="A6511">
        <v>268271</v>
      </c>
      <c r="B6511">
        <v>50000</v>
      </c>
      <c r="C6511" t="str">
        <f t="shared" si="101"/>
        <v>3. $50K-250K</v>
      </c>
      <c r="D6511" t="s">
        <v>951</v>
      </c>
      <c r="E6511" t="s">
        <v>825</v>
      </c>
      <c r="F6511" t="s">
        <v>670</v>
      </c>
      <c r="G6511" t="s">
        <v>59</v>
      </c>
      <c r="H6511">
        <v>2024</v>
      </c>
    </row>
    <row r="6512" spans="1:8" x14ac:dyDescent="0.2">
      <c r="A6512">
        <v>268272</v>
      </c>
      <c r="B6512">
        <v>9889983.1999999993</v>
      </c>
      <c r="C6512" t="str">
        <f t="shared" si="101"/>
        <v>3. $50K-250K</v>
      </c>
      <c r="D6512" t="s">
        <v>137</v>
      </c>
      <c r="E6512" t="s">
        <v>8</v>
      </c>
      <c r="F6512" t="s">
        <v>9</v>
      </c>
      <c r="G6512" t="s">
        <v>10</v>
      </c>
      <c r="H6512">
        <v>2024</v>
      </c>
    </row>
    <row r="6513" spans="1:8" x14ac:dyDescent="0.2">
      <c r="A6513">
        <v>26835</v>
      </c>
      <c r="B6513">
        <v>26110307.5</v>
      </c>
      <c r="C6513" t="str">
        <f t="shared" si="101"/>
        <v>5. $1M+</v>
      </c>
      <c r="D6513" t="s">
        <v>309</v>
      </c>
      <c r="E6513" t="s">
        <v>67</v>
      </c>
      <c r="F6513" t="s">
        <v>43</v>
      </c>
      <c r="G6513" t="s">
        <v>44</v>
      </c>
      <c r="H6513">
        <v>2023</v>
      </c>
    </row>
    <row r="6514" spans="1:8" x14ac:dyDescent="0.2">
      <c r="A6514">
        <v>268426</v>
      </c>
      <c r="B6514">
        <v>521682.7</v>
      </c>
      <c r="C6514" t="str">
        <f t="shared" si="101"/>
        <v>5. $1M+</v>
      </c>
      <c r="D6514" t="s">
        <v>1038</v>
      </c>
      <c r="E6514" t="s">
        <v>42</v>
      </c>
      <c r="F6514" t="s">
        <v>670</v>
      </c>
      <c r="G6514" t="s">
        <v>59</v>
      </c>
      <c r="H6514">
        <v>2024</v>
      </c>
    </row>
    <row r="6515" spans="1:8" x14ac:dyDescent="0.2">
      <c r="A6515">
        <v>268427</v>
      </c>
      <c r="B6515">
        <v>412001.2</v>
      </c>
      <c r="C6515" t="str">
        <f t="shared" si="101"/>
        <v>4. $250K-1M</v>
      </c>
      <c r="D6515" t="s">
        <v>1036</v>
      </c>
      <c r="E6515" t="s">
        <v>42</v>
      </c>
      <c r="F6515" t="s">
        <v>670</v>
      </c>
      <c r="G6515" t="s">
        <v>59</v>
      </c>
      <c r="H6515">
        <v>2024</v>
      </c>
    </row>
    <row r="6516" spans="1:8" x14ac:dyDescent="0.2">
      <c r="A6516">
        <v>268428</v>
      </c>
      <c r="B6516">
        <v>183721.4</v>
      </c>
      <c r="C6516" t="str">
        <f t="shared" si="101"/>
        <v>4. $250K-1M</v>
      </c>
      <c r="D6516" t="s">
        <v>692</v>
      </c>
      <c r="E6516" t="s">
        <v>42</v>
      </c>
      <c r="F6516" t="s">
        <v>670</v>
      </c>
      <c r="G6516" t="s">
        <v>59</v>
      </c>
      <c r="H6516">
        <v>2024</v>
      </c>
    </row>
    <row r="6517" spans="1:8" x14ac:dyDescent="0.2">
      <c r="A6517">
        <v>268437</v>
      </c>
      <c r="B6517">
        <v>9490</v>
      </c>
      <c r="C6517" t="str">
        <f t="shared" si="101"/>
        <v>3. $50K-250K</v>
      </c>
      <c r="D6517" t="s">
        <v>861</v>
      </c>
      <c r="E6517" t="s">
        <v>237</v>
      </c>
      <c r="F6517" t="s">
        <v>670</v>
      </c>
      <c r="G6517" t="s">
        <v>59</v>
      </c>
      <c r="H6517">
        <v>2024</v>
      </c>
    </row>
    <row r="6518" spans="1:8" x14ac:dyDescent="0.2">
      <c r="A6518">
        <v>268438</v>
      </c>
      <c r="B6518">
        <v>262800</v>
      </c>
      <c r="C6518" t="str">
        <f t="shared" si="101"/>
        <v>1. Under $10K</v>
      </c>
      <c r="D6518" t="s">
        <v>876</v>
      </c>
      <c r="E6518" t="s">
        <v>237</v>
      </c>
      <c r="F6518" t="s">
        <v>670</v>
      </c>
      <c r="G6518" t="s">
        <v>59</v>
      </c>
      <c r="H6518">
        <v>2024</v>
      </c>
    </row>
    <row r="6519" spans="1:8" x14ac:dyDescent="0.2">
      <c r="A6519">
        <v>268440</v>
      </c>
      <c r="B6519">
        <v>175000</v>
      </c>
      <c r="C6519" t="str">
        <f t="shared" si="101"/>
        <v>4. $250K-1M</v>
      </c>
      <c r="D6519" t="s">
        <v>964</v>
      </c>
      <c r="E6519" t="s">
        <v>825</v>
      </c>
      <c r="F6519" t="s">
        <v>670</v>
      </c>
      <c r="G6519" t="s">
        <v>59</v>
      </c>
      <c r="H6519">
        <v>2024</v>
      </c>
    </row>
    <row r="6520" spans="1:8" x14ac:dyDescent="0.2">
      <c r="A6520">
        <v>268447</v>
      </c>
      <c r="B6520">
        <v>50000</v>
      </c>
      <c r="C6520" t="str">
        <f t="shared" si="101"/>
        <v>3. $50K-250K</v>
      </c>
      <c r="D6520" t="s">
        <v>948</v>
      </c>
      <c r="E6520" t="s">
        <v>825</v>
      </c>
      <c r="F6520" t="s">
        <v>670</v>
      </c>
      <c r="G6520" t="s">
        <v>59</v>
      </c>
      <c r="H6520">
        <v>2024</v>
      </c>
    </row>
    <row r="6521" spans="1:8" x14ac:dyDescent="0.2">
      <c r="A6521">
        <v>268448</v>
      </c>
      <c r="B6521">
        <v>49999.9</v>
      </c>
      <c r="C6521" t="str">
        <f t="shared" si="101"/>
        <v>3. $50K-250K</v>
      </c>
      <c r="D6521" t="s">
        <v>949</v>
      </c>
      <c r="E6521" t="s">
        <v>825</v>
      </c>
      <c r="F6521" t="s">
        <v>670</v>
      </c>
      <c r="G6521" t="s">
        <v>59</v>
      </c>
      <c r="H6521">
        <v>2024</v>
      </c>
    </row>
    <row r="6522" spans="1:8" x14ac:dyDescent="0.2">
      <c r="A6522">
        <v>268449</v>
      </c>
      <c r="B6522">
        <v>120000</v>
      </c>
      <c r="C6522" t="str">
        <f t="shared" si="101"/>
        <v>2. $10K-50K</v>
      </c>
      <c r="D6522" t="s">
        <v>882</v>
      </c>
      <c r="E6522" t="s">
        <v>825</v>
      </c>
      <c r="F6522" t="s">
        <v>670</v>
      </c>
      <c r="G6522" t="s">
        <v>59</v>
      </c>
      <c r="H6522">
        <v>2024</v>
      </c>
    </row>
    <row r="6523" spans="1:8" x14ac:dyDescent="0.2">
      <c r="A6523">
        <v>268450</v>
      </c>
      <c r="B6523">
        <v>50000</v>
      </c>
      <c r="C6523" t="str">
        <f t="shared" si="101"/>
        <v>3. $50K-250K</v>
      </c>
      <c r="D6523" t="s">
        <v>936</v>
      </c>
      <c r="E6523" t="s">
        <v>825</v>
      </c>
      <c r="F6523" t="s">
        <v>670</v>
      </c>
      <c r="G6523" t="s">
        <v>59</v>
      </c>
      <c r="H6523">
        <v>2024</v>
      </c>
    </row>
    <row r="6524" spans="1:8" x14ac:dyDescent="0.2">
      <c r="A6524">
        <v>268451</v>
      </c>
      <c r="B6524">
        <v>50000</v>
      </c>
      <c r="C6524" t="str">
        <f t="shared" si="101"/>
        <v>3. $50K-250K</v>
      </c>
      <c r="D6524" t="s">
        <v>966</v>
      </c>
      <c r="E6524" t="s">
        <v>825</v>
      </c>
      <c r="F6524" t="s">
        <v>670</v>
      </c>
      <c r="G6524" t="s">
        <v>59</v>
      </c>
      <c r="H6524">
        <v>2024</v>
      </c>
    </row>
    <row r="6525" spans="1:8" x14ac:dyDescent="0.2">
      <c r="A6525">
        <v>268452</v>
      </c>
      <c r="B6525">
        <v>190000</v>
      </c>
      <c r="C6525" t="str">
        <f t="shared" si="101"/>
        <v>3. $50K-250K</v>
      </c>
      <c r="D6525" t="s">
        <v>966</v>
      </c>
      <c r="E6525" t="s">
        <v>825</v>
      </c>
      <c r="F6525" t="s">
        <v>670</v>
      </c>
      <c r="G6525" t="s">
        <v>59</v>
      </c>
      <c r="H6525">
        <v>2024</v>
      </c>
    </row>
    <row r="6526" spans="1:8" x14ac:dyDescent="0.2">
      <c r="A6526">
        <v>268453</v>
      </c>
      <c r="B6526">
        <v>40000</v>
      </c>
      <c r="C6526" t="str">
        <f t="shared" si="101"/>
        <v>3. $50K-250K</v>
      </c>
      <c r="D6526" t="s">
        <v>971</v>
      </c>
      <c r="E6526" t="s">
        <v>825</v>
      </c>
      <c r="F6526" t="s">
        <v>670</v>
      </c>
      <c r="G6526" t="s">
        <v>59</v>
      </c>
      <c r="H6526">
        <v>2024</v>
      </c>
    </row>
    <row r="6527" spans="1:8" x14ac:dyDescent="0.2">
      <c r="A6527">
        <v>268454</v>
      </c>
      <c r="B6527">
        <v>120000</v>
      </c>
      <c r="C6527" t="str">
        <f t="shared" si="101"/>
        <v>2. $10K-50K</v>
      </c>
      <c r="D6527" t="s">
        <v>971</v>
      </c>
      <c r="E6527" t="s">
        <v>825</v>
      </c>
      <c r="F6527" t="s">
        <v>670</v>
      </c>
      <c r="G6527" t="s">
        <v>59</v>
      </c>
      <c r="H6527">
        <v>2024</v>
      </c>
    </row>
    <row r="6528" spans="1:8" x14ac:dyDescent="0.2">
      <c r="A6528">
        <v>268460</v>
      </c>
      <c r="B6528">
        <v>32850</v>
      </c>
      <c r="C6528" t="str">
        <f t="shared" si="101"/>
        <v>3. $50K-250K</v>
      </c>
      <c r="D6528" t="s">
        <v>887</v>
      </c>
      <c r="E6528" t="s">
        <v>237</v>
      </c>
      <c r="F6528" t="s">
        <v>670</v>
      </c>
      <c r="G6528" t="s">
        <v>59</v>
      </c>
      <c r="H6528">
        <v>2024</v>
      </c>
    </row>
    <row r="6529" spans="1:8" x14ac:dyDescent="0.2">
      <c r="A6529">
        <v>268467</v>
      </c>
      <c r="B6529">
        <v>61232.5</v>
      </c>
      <c r="C6529" t="str">
        <f t="shared" si="101"/>
        <v>2. $10K-50K</v>
      </c>
      <c r="D6529" t="s">
        <v>749</v>
      </c>
      <c r="E6529" t="s">
        <v>237</v>
      </c>
      <c r="F6529" t="s">
        <v>670</v>
      </c>
      <c r="G6529" t="s">
        <v>59</v>
      </c>
      <c r="H6529">
        <v>2024</v>
      </c>
    </row>
    <row r="6530" spans="1:8" x14ac:dyDescent="0.2">
      <c r="A6530">
        <v>268500</v>
      </c>
      <c r="B6530">
        <v>237500</v>
      </c>
      <c r="C6530" t="str">
        <f t="shared" si="101"/>
        <v>3. $50K-250K</v>
      </c>
      <c r="D6530" t="s">
        <v>95</v>
      </c>
      <c r="E6530" t="s">
        <v>65</v>
      </c>
      <c r="F6530" t="s">
        <v>239</v>
      </c>
      <c r="G6530" t="s">
        <v>10</v>
      </c>
      <c r="H6530">
        <v>2024</v>
      </c>
    </row>
    <row r="6531" spans="1:8" x14ac:dyDescent="0.2">
      <c r="A6531">
        <v>268532</v>
      </c>
      <c r="B6531">
        <v>45290.7</v>
      </c>
      <c r="C6531" t="str">
        <f t="shared" ref="C6531:C6594" si="102">IF(B6530&lt;10000,"1. Under $10K",IF(B6530&lt;50000,"2. $10K-50K",IF(B6530&lt;250000,"3. $50K-250K",IF(B6530&lt;1000000,"4. $250K-1M","5. $1M+"))))</f>
        <v>3. $50K-250K</v>
      </c>
      <c r="D6531" t="s">
        <v>866</v>
      </c>
      <c r="E6531" t="s">
        <v>237</v>
      </c>
      <c r="F6531" t="s">
        <v>670</v>
      </c>
      <c r="G6531" t="s">
        <v>59</v>
      </c>
      <c r="H6531">
        <v>2024</v>
      </c>
    </row>
    <row r="6532" spans="1:8" x14ac:dyDescent="0.2">
      <c r="A6532">
        <v>268546</v>
      </c>
      <c r="B6532">
        <v>396988.3</v>
      </c>
      <c r="C6532" t="str">
        <f t="shared" si="102"/>
        <v>2. $10K-50K</v>
      </c>
      <c r="D6532" t="s">
        <v>783</v>
      </c>
      <c r="E6532" t="s">
        <v>237</v>
      </c>
      <c r="F6532" t="s">
        <v>670</v>
      </c>
      <c r="G6532" t="s">
        <v>59</v>
      </c>
      <c r="H6532">
        <v>2024</v>
      </c>
    </row>
    <row r="6533" spans="1:8" x14ac:dyDescent="0.2">
      <c r="A6533">
        <v>268550</v>
      </c>
      <c r="B6533">
        <v>362926.1</v>
      </c>
      <c r="C6533" t="str">
        <f t="shared" si="102"/>
        <v>4. $250K-1M</v>
      </c>
      <c r="D6533" t="s">
        <v>881</v>
      </c>
      <c r="E6533" t="s">
        <v>237</v>
      </c>
      <c r="F6533" t="s">
        <v>670</v>
      </c>
      <c r="G6533" t="s">
        <v>59</v>
      </c>
      <c r="H6533">
        <v>2024</v>
      </c>
    </row>
    <row r="6534" spans="1:8" x14ac:dyDescent="0.2">
      <c r="A6534">
        <v>268551</v>
      </c>
      <c r="B6534">
        <v>56703.4</v>
      </c>
      <c r="C6534" t="str">
        <f t="shared" si="102"/>
        <v>4. $250K-1M</v>
      </c>
      <c r="D6534" t="s">
        <v>672</v>
      </c>
      <c r="E6534" t="s">
        <v>42</v>
      </c>
      <c r="F6534" t="s">
        <v>670</v>
      </c>
      <c r="G6534" t="s">
        <v>59</v>
      </c>
      <c r="H6534">
        <v>2024</v>
      </c>
    </row>
    <row r="6535" spans="1:8" x14ac:dyDescent="0.2">
      <c r="A6535">
        <v>268553</v>
      </c>
      <c r="B6535">
        <v>99038.8</v>
      </c>
      <c r="C6535" t="str">
        <f t="shared" si="102"/>
        <v>3. $50K-250K</v>
      </c>
      <c r="D6535" t="s">
        <v>801</v>
      </c>
      <c r="E6535" t="s">
        <v>42</v>
      </c>
      <c r="F6535" t="s">
        <v>670</v>
      </c>
      <c r="G6535" t="s">
        <v>59</v>
      </c>
      <c r="H6535">
        <v>2024</v>
      </c>
    </row>
    <row r="6536" spans="1:8" x14ac:dyDescent="0.2">
      <c r="A6536">
        <v>268632</v>
      </c>
      <c r="B6536">
        <v>20000</v>
      </c>
      <c r="C6536" t="str">
        <f t="shared" si="102"/>
        <v>3. $50K-250K</v>
      </c>
      <c r="D6536" t="s">
        <v>958</v>
      </c>
      <c r="E6536" t="s">
        <v>432</v>
      </c>
      <c r="F6536" t="s">
        <v>670</v>
      </c>
      <c r="G6536" t="s">
        <v>59</v>
      </c>
      <c r="H6536">
        <v>2024</v>
      </c>
    </row>
    <row r="6537" spans="1:8" x14ac:dyDescent="0.2">
      <c r="A6537">
        <v>268635</v>
      </c>
      <c r="B6537">
        <v>30000</v>
      </c>
      <c r="C6537" t="str">
        <f t="shared" si="102"/>
        <v>2. $10K-50K</v>
      </c>
      <c r="D6537" t="s">
        <v>1387</v>
      </c>
      <c r="E6537" t="s">
        <v>432</v>
      </c>
      <c r="F6537" t="s">
        <v>670</v>
      </c>
      <c r="G6537" t="s">
        <v>59</v>
      </c>
      <c r="H6537">
        <v>2024</v>
      </c>
    </row>
    <row r="6538" spans="1:8" x14ac:dyDescent="0.2">
      <c r="A6538">
        <v>268636</v>
      </c>
      <c r="B6538">
        <v>81800</v>
      </c>
      <c r="C6538" t="str">
        <f t="shared" si="102"/>
        <v>2. $10K-50K</v>
      </c>
      <c r="D6538" t="s">
        <v>871</v>
      </c>
      <c r="E6538" t="s">
        <v>237</v>
      </c>
      <c r="F6538" t="s">
        <v>670</v>
      </c>
      <c r="G6538" t="s">
        <v>59</v>
      </c>
      <c r="H6538">
        <v>2024</v>
      </c>
    </row>
    <row r="6539" spans="1:8" x14ac:dyDescent="0.2">
      <c r="A6539">
        <v>268637</v>
      </c>
      <c r="B6539">
        <v>549338</v>
      </c>
      <c r="C6539" t="str">
        <f t="shared" si="102"/>
        <v>3. $50K-250K</v>
      </c>
      <c r="D6539" t="s">
        <v>871</v>
      </c>
      <c r="E6539" t="s">
        <v>237</v>
      </c>
      <c r="F6539" t="s">
        <v>670</v>
      </c>
      <c r="G6539" t="s">
        <v>59</v>
      </c>
      <c r="H6539">
        <v>2024</v>
      </c>
    </row>
    <row r="6540" spans="1:8" x14ac:dyDescent="0.2">
      <c r="A6540">
        <v>268638</v>
      </c>
      <c r="B6540">
        <v>108900</v>
      </c>
      <c r="C6540" t="str">
        <f t="shared" si="102"/>
        <v>4. $250K-1M</v>
      </c>
      <c r="D6540" t="s">
        <v>829</v>
      </c>
      <c r="E6540" t="s">
        <v>237</v>
      </c>
      <c r="F6540" t="s">
        <v>670</v>
      </c>
      <c r="G6540" t="s">
        <v>59</v>
      </c>
      <c r="H6540">
        <v>2024</v>
      </c>
    </row>
    <row r="6541" spans="1:8" x14ac:dyDescent="0.2">
      <c r="A6541">
        <v>268639</v>
      </c>
      <c r="B6541">
        <v>7494.0999999999904</v>
      </c>
      <c r="C6541" t="str">
        <f t="shared" si="102"/>
        <v>3. $50K-250K</v>
      </c>
      <c r="D6541" t="s">
        <v>832</v>
      </c>
      <c r="E6541" t="s">
        <v>237</v>
      </c>
      <c r="F6541" t="s">
        <v>670</v>
      </c>
      <c r="G6541" t="s">
        <v>59</v>
      </c>
      <c r="H6541">
        <v>2024</v>
      </c>
    </row>
    <row r="6542" spans="1:8" x14ac:dyDescent="0.2">
      <c r="A6542">
        <v>268640</v>
      </c>
      <c r="B6542">
        <v>398008</v>
      </c>
      <c r="C6542" t="str">
        <f t="shared" si="102"/>
        <v>1. Under $10K</v>
      </c>
      <c r="D6542" t="s">
        <v>851</v>
      </c>
      <c r="E6542" t="s">
        <v>237</v>
      </c>
      <c r="F6542" t="s">
        <v>670</v>
      </c>
      <c r="G6542" t="s">
        <v>59</v>
      </c>
      <c r="H6542">
        <v>2024</v>
      </c>
    </row>
    <row r="6543" spans="1:8" x14ac:dyDescent="0.2">
      <c r="A6543">
        <v>268641</v>
      </c>
      <c r="B6543">
        <v>513258</v>
      </c>
      <c r="C6543" t="str">
        <f t="shared" si="102"/>
        <v>4. $250K-1M</v>
      </c>
      <c r="D6543" t="s">
        <v>671</v>
      </c>
      <c r="E6543" t="s">
        <v>237</v>
      </c>
      <c r="F6543" t="s">
        <v>670</v>
      </c>
      <c r="G6543" t="s">
        <v>59</v>
      </c>
      <c r="H6543">
        <v>2024</v>
      </c>
    </row>
    <row r="6544" spans="1:8" x14ac:dyDescent="0.2">
      <c r="A6544">
        <v>268642</v>
      </c>
      <c r="B6544">
        <v>846002</v>
      </c>
      <c r="C6544" t="str">
        <f t="shared" si="102"/>
        <v>4. $250K-1M</v>
      </c>
      <c r="D6544" t="s">
        <v>851</v>
      </c>
      <c r="E6544" t="s">
        <v>237</v>
      </c>
      <c r="F6544" t="s">
        <v>670</v>
      </c>
      <c r="G6544" t="s">
        <v>59</v>
      </c>
      <c r="H6544">
        <v>2024</v>
      </c>
    </row>
    <row r="6545" spans="1:8" x14ac:dyDescent="0.2">
      <c r="A6545">
        <v>268643</v>
      </c>
      <c r="B6545">
        <v>231592</v>
      </c>
      <c r="C6545" t="str">
        <f t="shared" si="102"/>
        <v>4. $250K-1M</v>
      </c>
      <c r="D6545" t="s">
        <v>721</v>
      </c>
      <c r="E6545" t="s">
        <v>237</v>
      </c>
      <c r="F6545" t="s">
        <v>670</v>
      </c>
      <c r="G6545" t="s">
        <v>59</v>
      </c>
      <c r="H6545">
        <v>2024</v>
      </c>
    </row>
    <row r="6546" spans="1:8" x14ac:dyDescent="0.2">
      <c r="A6546">
        <v>268644</v>
      </c>
      <c r="B6546">
        <v>374721.6</v>
      </c>
      <c r="C6546" t="str">
        <f t="shared" si="102"/>
        <v>3. $50K-250K</v>
      </c>
      <c r="D6546" t="s">
        <v>391</v>
      </c>
      <c r="E6546" t="s">
        <v>237</v>
      </c>
      <c r="F6546" t="s">
        <v>670</v>
      </c>
      <c r="G6546" t="s">
        <v>59</v>
      </c>
      <c r="H6546">
        <v>2024</v>
      </c>
    </row>
    <row r="6547" spans="1:8" x14ac:dyDescent="0.2">
      <c r="A6547">
        <v>268645</v>
      </c>
      <c r="B6547">
        <v>30000</v>
      </c>
      <c r="C6547" t="str">
        <f t="shared" si="102"/>
        <v>4. $250K-1M</v>
      </c>
      <c r="D6547" t="s">
        <v>1387</v>
      </c>
      <c r="E6547" t="s">
        <v>432</v>
      </c>
      <c r="F6547" t="s">
        <v>670</v>
      </c>
      <c r="G6547" t="s">
        <v>59</v>
      </c>
      <c r="H6547">
        <v>2024</v>
      </c>
    </row>
    <row r="6548" spans="1:8" x14ac:dyDescent="0.2">
      <c r="A6548">
        <v>268646</v>
      </c>
      <c r="B6548">
        <v>55000</v>
      </c>
      <c r="C6548" t="str">
        <f t="shared" si="102"/>
        <v>2. $10K-50K</v>
      </c>
      <c r="D6548" t="s">
        <v>1173</v>
      </c>
      <c r="E6548" t="s">
        <v>432</v>
      </c>
      <c r="F6548" t="s">
        <v>670</v>
      </c>
      <c r="G6548" t="s">
        <v>59</v>
      </c>
      <c r="H6548">
        <v>2024</v>
      </c>
    </row>
    <row r="6549" spans="1:8" x14ac:dyDescent="0.2">
      <c r="A6549">
        <v>268648</v>
      </c>
      <c r="B6549">
        <v>20000</v>
      </c>
      <c r="C6549" t="str">
        <f t="shared" si="102"/>
        <v>3. $50K-250K</v>
      </c>
      <c r="D6549" t="s">
        <v>1439</v>
      </c>
      <c r="E6549" t="s">
        <v>432</v>
      </c>
      <c r="F6549" t="s">
        <v>670</v>
      </c>
      <c r="G6549" t="s">
        <v>59</v>
      </c>
      <c r="H6549">
        <v>2024</v>
      </c>
    </row>
    <row r="6550" spans="1:8" x14ac:dyDescent="0.2">
      <c r="A6550">
        <v>268663</v>
      </c>
      <c r="B6550">
        <v>49765.5</v>
      </c>
      <c r="C6550" t="str">
        <f t="shared" si="102"/>
        <v>2. $10K-50K</v>
      </c>
      <c r="D6550" t="s">
        <v>809</v>
      </c>
      <c r="E6550" t="s">
        <v>237</v>
      </c>
      <c r="F6550" t="s">
        <v>670</v>
      </c>
      <c r="G6550" t="s">
        <v>59</v>
      </c>
      <c r="H6550">
        <v>2024</v>
      </c>
    </row>
    <row r="6551" spans="1:8" x14ac:dyDescent="0.2">
      <c r="A6551">
        <v>268664</v>
      </c>
      <c r="B6551">
        <v>12512500</v>
      </c>
      <c r="C6551" t="str">
        <f t="shared" si="102"/>
        <v>2. $10K-50K</v>
      </c>
      <c r="D6551" t="s">
        <v>986</v>
      </c>
      <c r="E6551" t="s">
        <v>237</v>
      </c>
      <c r="F6551" t="s">
        <v>670</v>
      </c>
      <c r="G6551" t="s">
        <v>59</v>
      </c>
      <c r="H6551">
        <v>2024</v>
      </c>
    </row>
    <row r="6552" spans="1:8" x14ac:dyDescent="0.2">
      <c r="A6552">
        <v>268665</v>
      </c>
      <c r="B6552">
        <v>261253.2</v>
      </c>
      <c r="C6552" t="str">
        <f t="shared" si="102"/>
        <v>5. $1M+</v>
      </c>
      <c r="D6552" t="s">
        <v>783</v>
      </c>
      <c r="E6552" t="s">
        <v>237</v>
      </c>
      <c r="F6552" t="s">
        <v>670</v>
      </c>
      <c r="G6552" t="s">
        <v>59</v>
      </c>
      <c r="H6552">
        <v>2024</v>
      </c>
    </row>
    <row r="6553" spans="1:8" x14ac:dyDescent="0.2">
      <c r="A6553">
        <v>268707</v>
      </c>
      <c r="B6553">
        <v>575000</v>
      </c>
      <c r="C6553" t="str">
        <f t="shared" si="102"/>
        <v>4. $250K-1M</v>
      </c>
      <c r="D6553" t="s">
        <v>391</v>
      </c>
      <c r="E6553" t="s">
        <v>42</v>
      </c>
      <c r="F6553" t="s">
        <v>670</v>
      </c>
      <c r="G6553" t="s">
        <v>44</v>
      </c>
      <c r="H6553">
        <v>2024</v>
      </c>
    </row>
    <row r="6554" spans="1:8" x14ac:dyDescent="0.2">
      <c r="A6554">
        <v>268708</v>
      </c>
      <c r="B6554">
        <v>575000</v>
      </c>
      <c r="C6554" t="str">
        <f t="shared" si="102"/>
        <v>4. $250K-1M</v>
      </c>
      <c r="D6554" t="s">
        <v>688</v>
      </c>
      <c r="E6554" t="s">
        <v>42</v>
      </c>
      <c r="F6554" t="s">
        <v>670</v>
      </c>
      <c r="G6554" t="s">
        <v>44</v>
      </c>
      <c r="H6554">
        <v>2024</v>
      </c>
    </row>
    <row r="6555" spans="1:8" x14ac:dyDescent="0.2">
      <c r="A6555">
        <v>268709</v>
      </c>
      <c r="B6555">
        <v>499000</v>
      </c>
      <c r="C6555" t="str">
        <f t="shared" si="102"/>
        <v>4. $250K-1M</v>
      </c>
      <c r="D6555" t="s">
        <v>2176</v>
      </c>
      <c r="E6555" t="s">
        <v>42</v>
      </c>
      <c r="F6555" t="s">
        <v>670</v>
      </c>
      <c r="G6555" t="s">
        <v>44</v>
      </c>
      <c r="H6555">
        <v>2024</v>
      </c>
    </row>
    <row r="6556" spans="1:8" x14ac:dyDescent="0.2">
      <c r="A6556">
        <v>268710</v>
      </c>
      <c r="B6556">
        <v>575000</v>
      </c>
      <c r="C6556" t="str">
        <f t="shared" si="102"/>
        <v>4. $250K-1M</v>
      </c>
      <c r="D6556" t="s">
        <v>2119</v>
      </c>
      <c r="E6556" t="s">
        <v>42</v>
      </c>
      <c r="F6556" t="s">
        <v>670</v>
      </c>
      <c r="G6556" t="s">
        <v>44</v>
      </c>
      <c r="H6556">
        <v>2024</v>
      </c>
    </row>
    <row r="6557" spans="1:8" x14ac:dyDescent="0.2">
      <c r="A6557">
        <v>268711</v>
      </c>
      <c r="B6557">
        <v>650000</v>
      </c>
      <c r="C6557" t="str">
        <f t="shared" si="102"/>
        <v>4. $250K-1M</v>
      </c>
      <c r="D6557" t="s">
        <v>808</v>
      </c>
      <c r="E6557" t="s">
        <v>42</v>
      </c>
      <c r="F6557" t="s">
        <v>670</v>
      </c>
      <c r="G6557" t="s">
        <v>44</v>
      </c>
      <c r="H6557">
        <v>2024</v>
      </c>
    </row>
    <row r="6558" spans="1:8" x14ac:dyDescent="0.2">
      <c r="A6558">
        <v>268712</v>
      </c>
      <c r="B6558">
        <v>475000</v>
      </c>
      <c r="C6558" t="str">
        <f t="shared" si="102"/>
        <v>4. $250K-1M</v>
      </c>
      <c r="D6558" t="s">
        <v>791</v>
      </c>
      <c r="E6558" t="s">
        <v>42</v>
      </c>
      <c r="F6558" t="s">
        <v>670</v>
      </c>
      <c r="G6558" t="s">
        <v>44</v>
      </c>
      <c r="H6558">
        <v>2024</v>
      </c>
    </row>
    <row r="6559" spans="1:8" x14ac:dyDescent="0.2">
      <c r="A6559">
        <v>268713</v>
      </c>
      <c r="B6559">
        <v>500000</v>
      </c>
      <c r="C6559" t="str">
        <f t="shared" si="102"/>
        <v>4. $250K-1M</v>
      </c>
      <c r="D6559" t="s">
        <v>671</v>
      </c>
      <c r="E6559" t="s">
        <v>42</v>
      </c>
      <c r="F6559" t="s">
        <v>670</v>
      </c>
      <c r="G6559" t="s">
        <v>44</v>
      </c>
      <c r="H6559">
        <v>2024</v>
      </c>
    </row>
    <row r="6560" spans="1:8" x14ac:dyDescent="0.2">
      <c r="A6560">
        <v>268717</v>
      </c>
      <c r="B6560">
        <v>1731079</v>
      </c>
      <c r="C6560" t="str">
        <f t="shared" si="102"/>
        <v>4. $250K-1M</v>
      </c>
      <c r="D6560" t="s">
        <v>720</v>
      </c>
      <c r="E6560" t="s">
        <v>237</v>
      </c>
      <c r="F6560" t="s">
        <v>670</v>
      </c>
      <c r="G6560" t="s">
        <v>59</v>
      </c>
      <c r="H6560">
        <v>2024</v>
      </c>
    </row>
    <row r="6561" spans="1:8" x14ac:dyDescent="0.2">
      <c r="A6561">
        <v>268835</v>
      </c>
      <c r="B6561">
        <v>1599148.4</v>
      </c>
      <c r="C6561" t="str">
        <f t="shared" si="102"/>
        <v>5. $1M+</v>
      </c>
      <c r="D6561" t="s">
        <v>2177</v>
      </c>
      <c r="E6561" t="s">
        <v>59</v>
      </c>
      <c r="F6561" t="s">
        <v>664</v>
      </c>
      <c r="G6561" t="s">
        <v>59</v>
      </c>
      <c r="H6561">
        <v>2024</v>
      </c>
    </row>
    <row r="6562" spans="1:8" x14ac:dyDescent="0.2">
      <c r="A6562">
        <v>268863</v>
      </c>
      <c r="B6562">
        <v>33980</v>
      </c>
      <c r="C6562" t="str">
        <f t="shared" si="102"/>
        <v>5. $1M+</v>
      </c>
      <c r="D6562" t="s">
        <v>861</v>
      </c>
      <c r="E6562" t="s">
        <v>237</v>
      </c>
      <c r="F6562" t="s">
        <v>670</v>
      </c>
      <c r="G6562" t="s">
        <v>59</v>
      </c>
      <c r="H6562">
        <v>2024</v>
      </c>
    </row>
    <row r="6563" spans="1:8" x14ac:dyDescent="0.2">
      <c r="A6563">
        <v>268864</v>
      </c>
      <c r="B6563">
        <v>112500</v>
      </c>
      <c r="C6563" t="str">
        <f t="shared" si="102"/>
        <v>2. $10K-50K</v>
      </c>
      <c r="D6563" t="s">
        <v>861</v>
      </c>
      <c r="E6563" t="s">
        <v>237</v>
      </c>
      <c r="F6563" t="s">
        <v>670</v>
      </c>
      <c r="G6563" t="s">
        <v>59</v>
      </c>
      <c r="H6563">
        <v>2024</v>
      </c>
    </row>
    <row r="6564" spans="1:8" x14ac:dyDescent="0.2">
      <c r="A6564">
        <v>268865</v>
      </c>
      <c r="B6564">
        <v>257600</v>
      </c>
      <c r="C6564" t="str">
        <f t="shared" si="102"/>
        <v>3. $50K-250K</v>
      </c>
      <c r="D6564" t="s">
        <v>1027</v>
      </c>
      <c r="E6564" t="s">
        <v>237</v>
      </c>
      <c r="F6564" t="s">
        <v>670</v>
      </c>
      <c r="G6564" t="s">
        <v>59</v>
      </c>
      <c r="H6564">
        <v>2024</v>
      </c>
    </row>
    <row r="6565" spans="1:8" x14ac:dyDescent="0.2">
      <c r="A6565">
        <v>268929</v>
      </c>
      <c r="B6565">
        <v>8943.5</v>
      </c>
      <c r="C6565" t="str">
        <f t="shared" si="102"/>
        <v>4. $250K-1M</v>
      </c>
      <c r="D6565" t="s">
        <v>708</v>
      </c>
      <c r="E6565" t="s">
        <v>237</v>
      </c>
      <c r="F6565" t="s">
        <v>670</v>
      </c>
      <c r="G6565" t="s">
        <v>59</v>
      </c>
      <c r="H6565">
        <v>2024</v>
      </c>
    </row>
    <row r="6566" spans="1:8" x14ac:dyDescent="0.2">
      <c r="A6566">
        <v>268930</v>
      </c>
      <c r="B6566">
        <v>300367</v>
      </c>
      <c r="C6566" t="str">
        <f t="shared" si="102"/>
        <v>1. Under $10K</v>
      </c>
      <c r="D6566" t="s">
        <v>813</v>
      </c>
      <c r="E6566" t="s">
        <v>237</v>
      </c>
      <c r="F6566" t="s">
        <v>670</v>
      </c>
      <c r="G6566" t="s">
        <v>59</v>
      </c>
      <c r="H6566">
        <v>2024</v>
      </c>
    </row>
    <row r="6567" spans="1:8" x14ac:dyDescent="0.2">
      <c r="A6567">
        <v>268931</v>
      </c>
      <c r="B6567">
        <v>948890</v>
      </c>
      <c r="C6567" t="str">
        <f t="shared" si="102"/>
        <v>4. $250K-1M</v>
      </c>
      <c r="D6567" t="s">
        <v>813</v>
      </c>
      <c r="E6567" t="s">
        <v>237</v>
      </c>
      <c r="F6567" t="s">
        <v>670</v>
      </c>
      <c r="G6567" t="s">
        <v>59</v>
      </c>
      <c r="H6567">
        <v>2024</v>
      </c>
    </row>
    <row r="6568" spans="1:8" x14ac:dyDescent="0.2">
      <c r="A6568">
        <v>268932</v>
      </c>
      <c r="B6568">
        <v>100000</v>
      </c>
      <c r="C6568" t="str">
        <f t="shared" si="102"/>
        <v>4. $250K-1M</v>
      </c>
      <c r="D6568" t="s">
        <v>725</v>
      </c>
      <c r="E6568" t="s">
        <v>237</v>
      </c>
      <c r="F6568" t="s">
        <v>670</v>
      </c>
      <c r="G6568" t="s">
        <v>59</v>
      </c>
      <c r="H6568">
        <v>2024</v>
      </c>
    </row>
    <row r="6569" spans="1:8" x14ac:dyDescent="0.2">
      <c r="A6569">
        <v>268933</v>
      </c>
      <c r="B6569">
        <v>216352.6</v>
      </c>
      <c r="C6569" t="str">
        <f t="shared" si="102"/>
        <v>3. $50K-250K</v>
      </c>
      <c r="D6569" t="s">
        <v>798</v>
      </c>
      <c r="E6569" t="s">
        <v>237</v>
      </c>
      <c r="F6569" t="s">
        <v>670</v>
      </c>
      <c r="G6569" t="s">
        <v>59</v>
      </c>
      <c r="H6569">
        <v>2024</v>
      </c>
    </row>
    <row r="6570" spans="1:8" x14ac:dyDescent="0.2">
      <c r="A6570">
        <v>268934</v>
      </c>
      <c r="B6570">
        <v>80750</v>
      </c>
      <c r="C6570" t="str">
        <f t="shared" si="102"/>
        <v>3. $50K-250K</v>
      </c>
      <c r="D6570" t="s">
        <v>876</v>
      </c>
      <c r="E6570" t="s">
        <v>237</v>
      </c>
      <c r="F6570" t="s">
        <v>670</v>
      </c>
      <c r="G6570" t="s">
        <v>59</v>
      </c>
      <c r="H6570">
        <v>2024</v>
      </c>
    </row>
    <row r="6571" spans="1:8" x14ac:dyDescent="0.2">
      <c r="A6571">
        <v>268935</v>
      </c>
      <c r="B6571">
        <v>34500</v>
      </c>
      <c r="C6571" t="str">
        <f t="shared" si="102"/>
        <v>3. $50K-250K</v>
      </c>
      <c r="D6571" t="s">
        <v>1093</v>
      </c>
      <c r="E6571" t="s">
        <v>237</v>
      </c>
      <c r="F6571" t="s">
        <v>670</v>
      </c>
      <c r="G6571" t="s">
        <v>59</v>
      </c>
      <c r="H6571">
        <v>2024</v>
      </c>
    </row>
    <row r="6572" spans="1:8" x14ac:dyDescent="0.2">
      <c r="A6572">
        <v>268936</v>
      </c>
      <c r="B6572">
        <v>34500</v>
      </c>
      <c r="C6572" t="str">
        <f t="shared" si="102"/>
        <v>2. $10K-50K</v>
      </c>
      <c r="D6572" t="s">
        <v>1168</v>
      </c>
      <c r="E6572" t="s">
        <v>237</v>
      </c>
      <c r="F6572" t="s">
        <v>670</v>
      </c>
      <c r="G6572" t="s">
        <v>59</v>
      </c>
      <c r="H6572">
        <v>2024</v>
      </c>
    </row>
    <row r="6573" spans="1:8" x14ac:dyDescent="0.2">
      <c r="A6573">
        <v>268939</v>
      </c>
      <c r="B6573">
        <v>46370</v>
      </c>
      <c r="C6573" t="str">
        <f t="shared" si="102"/>
        <v>2. $10K-50K</v>
      </c>
      <c r="D6573" t="s">
        <v>813</v>
      </c>
      <c r="E6573" t="s">
        <v>237</v>
      </c>
      <c r="F6573" t="s">
        <v>670</v>
      </c>
      <c r="G6573" t="s">
        <v>59</v>
      </c>
      <c r="H6573">
        <v>2024</v>
      </c>
    </row>
    <row r="6574" spans="1:8" x14ac:dyDescent="0.2">
      <c r="A6574">
        <v>268940</v>
      </c>
      <c r="B6574">
        <v>33723.599999999999</v>
      </c>
      <c r="C6574" t="str">
        <f t="shared" si="102"/>
        <v>2. $10K-50K</v>
      </c>
      <c r="D6574" t="s">
        <v>832</v>
      </c>
      <c r="E6574" t="s">
        <v>237</v>
      </c>
      <c r="F6574" t="s">
        <v>670</v>
      </c>
      <c r="G6574" t="s">
        <v>59</v>
      </c>
      <c r="H6574">
        <v>2024</v>
      </c>
    </row>
    <row r="6575" spans="1:8" x14ac:dyDescent="0.2">
      <c r="A6575">
        <v>268941</v>
      </c>
      <c r="B6575">
        <v>185480</v>
      </c>
      <c r="C6575" t="str">
        <f t="shared" si="102"/>
        <v>2. $10K-50K</v>
      </c>
      <c r="D6575" t="s">
        <v>813</v>
      </c>
      <c r="E6575" t="s">
        <v>237</v>
      </c>
      <c r="F6575" t="s">
        <v>670</v>
      </c>
      <c r="G6575" t="s">
        <v>59</v>
      </c>
      <c r="H6575">
        <v>2024</v>
      </c>
    </row>
    <row r="6576" spans="1:8" x14ac:dyDescent="0.2">
      <c r="A6576">
        <v>268942</v>
      </c>
      <c r="B6576">
        <v>108000</v>
      </c>
      <c r="C6576" t="str">
        <f t="shared" si="102"/>
        <v>3. $50K-250K</v>
      </c>
      <c r="D6576" t="s">
        <v>832</v>
      </c>
      <c r="E6576" t="s">
        <v>237</v>
      </c>
      <c r="F6576" t="s">
        <v>670</v>
      </c>
      <c r="G6576" t="s">
        <v>59</v>
      </c>
      <c r="H6576">
        <v>2024</v>
      </c>
    </row>
    <row r="6577" spans="1:8" x14ac:dyDescent="0.2">
      <c r="A6577">
        <v>268943</v>
      </c>
      <c r="B6577">
        <v>77376</v>
      </c>
      <c r="C6577" t="str">
        <f t="shared" si="102"/>
        <v>3. $50K-250K</v>
      </c>
      <c r="D6577" t="s">
        <v>798</v>
      </c>
      <c r="E6577" t="s">
        <v>237</v>
      </c>
      <c r="F6577" t="s">
        <v>670</v>
      </c>
      <c r="G6577" t="s">
        <v>59</v>
      </c>
      <c r="H6577">
        <v>2024</v>
      </c>
    </row>
    <row r="6578" spans="1:8" x14ac:dyDescent="0.2">
      <c r="A6578">
        <v>268944</v>
      </c>
      <c r="B6578">
        <v>111101.1</v>
      </c>
      <c r="C6578" t="str">
        <f t="shared" si="102"/>
        <v>3. $50K-250K</v>
      </c>
      <c r="D6578" t="s">
        <v>798</v>
      </c>
      <c r="E6578" t="s">
        <v>237</v>
      </c>
      <c r="F6578" t="s">
        <v>670</v>
      </c>
      <c r="G6578" t="s">
        <v>59</v>
      </c>
      <c r="H6578">
        <v>2024</v>
      </c>
    </row>
    <row r="6579" spans="1:8" x14ac:dyDescent="0.2">
      <c r="A6579">
        <v>268946</v>
      </c>
      <c r="B6579">
        <v>83637</v>
      </c>
      <c r="C6579" t="str">
        <f t="shared" si="102"/>
        <v>3. $50K-250K</v>
      </c>
      <c r="D6579" t="s">
        <v>815</v>
      </c>
      <c r="E6579" t="s">
        <v>99</v>
      </c>
      <c r="F6579" t="s">
        <v>670</v>
      </c>
      <c r="G6579" t="s">
        <v>59</v>
      </c>
      <c r="H6579">
        <v>2024</v>
      </c>
    </row>
    <row r="6580" spans="1:8" x14ac:dyDescent="0.2">
      <c r="A6580">
        <v>268947</v>
      </c>
      <c r="B6580">
        <v>108210</v>
      </c>
      <c r="C6580" t="str">
        <f t="shared" si="102"/>
        <v>3. $50K-250K</v>
      </c>
      <c r="D6580" t="s">
        <v>947</v>
      </c>
      <c r="E6580" t="s">
        <v>99</v>
      </c>
      <c r="F6580" t="s">
        <v>670</v>
      </c>
      <c r="G6580" t="s">
        <v>59</v>
      </c>
      <c r="H6580">
        <v>2024</v>
      </c>
    </row>
    <row r="6581" spans="1:8" x14ac:dyDescent="0.2">
      <c r="A6581">
        <v>268950</v>
      </c>
      <c r="B6581">
        <v>122520</v>
      </c>
      <c r="C6581" t="str">
        <f t="shared" si="102"/>
        <v>3. $50K-250K</v>
      </c>
      <c r="D6581" t="s">
        <v>876</v>
      </c>
      <c r="E6581" t="s">
        <v>237</v>
      </c>
      <c r="F6581" t="s">
        <v>670</v>
      </c>
      <c r="G6581" t="s">
        <v>59</v>
      </c>
      <c r="H6581">
        <v>2024</v>
      </c>
    </row>
    <row r="6582" spans="1:8" x14ac:dyDescent="0.2">
      <c r="A6582">
        <v>268951</v>
      </c>
      <c r="B6582">
        <v>271585.90000000002</v>
      </c>
      <c r="C6582" t="str">
        <f t="shared" si="102"/>
        <v>3. $50K-250K</v>
      </c>
      <c r="D6582" t="s">
        <v>878</v>
      </c>
      <c r="E6582" t="s">
        <v>237</v>
      </c>
      <c r="F6582" t="s">
        <v>670</v>
      </c>
      <c r="G6582" t="s">
        <v>59</v>
      </c>
      <c r="H6582">
        <v>2024</v>
      </c>
    </row>
    <row r="6583" spans="1:8" x14ac:dyDescent="0.2">
      <c r="A6583">
        <v>268952</v>
      </c>
      <c r="B6583">
        <v>69000</v>
      </c>
      <c r="C6583" t="str">
        <f t="shared" si="102"/>
        <v>4. $250K-1M</v>
      </c>
      <c r="D6583" t="s">
        <v>1099</v>
      </c>
      <c r="E6583" t="s">
        <v>237</v>
      </c>
      <c r="F6583" t="s">
        <v>670</v>
      </c>
      <c r="G6583" t="s">
        <v>59</v>
      </c>
      <c r="H6583">
        <v>2024</v>
      </c>
    </row>
    <row r="6584" spans="1:8" x14ac:dyDescent="0.2">
      <c r="A6584">
        <v>268953</v>
      </c>
      <c r="B6584">
        <v>69000</v>
      </c>
      <c r="C6584" t="str">
        <f t="shared" si="102"/>
        <v>3. $50K-250K</v>
      </c>
      <c r="D6584" t="s">
        <v>984</v>
      </c>
      <c r="E6584" t="s">
        <v>237</v>
      </c>
      <c r="F6584" t="s">
        <v>670</v>
      </c>
      <c r="G6584" t="s">
        <v>59</v>
      </c>
      <c r="H6584">
        <v>2024</v>
      </c>
    </row>
    <row r="6585" spans="1:8" x14ac:dyDescent="0.2">
      <c r="A6585">
        <v>268954</v>
      </c>
      <c r="B6585">
        <v>100000</v>
      </c>
      <c r="C6585" t="str">
        <f t="shared" si="102"/>
        <v>3. $50K-250K</v>
      </c>
      <c r="D6585" t="s">
        <v>785</v>
      </c>
      <c r="E6585" t="s">
        <v>237</v>
      </c>
      <c r="F6585" t="s">
        <v>670</v>
      </c>
      <c r="G6585" t="s">
        <v>59</v>
      </c>
      <c r="H6585">
        <v>2024</v>
      </c>
    </row>
    <row r="6586" spans="1:8" x14ac:dyDescent="0.2">
      <c r="A6586">
        <v>268955</v>
      </c>
      <c r="B6586">
        <v>34500</v>
      </c>
      <c r="C6586" t="str">
        <f t="shared" si="102"/>
        <v>3. $50K-250K</v>
      </c>
      <c r="D6586" t="s">
        <v>1179</v>
      </c>
      <c r="E6586" t="s">
        <v>237</v>
      </c>
      <c r="F6586" t="s">
        <v>670</v>
      </c>
      <c r="G6586" t="s">
        <v>59</v>
      </c>
      <c r="H6586">
        <v>2024</v>
      </c>
    </row>
    <row r="6587" spans="1:8" x14ac:dyDescent="0.2">
      <c r="A6587">
        <v>268992</v>
      </c>
      <c r="B6587">
        <v>426420</v>
      </c>
      <c r="C6587" t="str">
        <f t="shared" si="102"/>
        <v>2. $10K-50K</v>
      </c>
      <c r="D6587" t="s">
        <v>1094</v>
      </c>
      <c r="E6587" t="s">
        <v>237</v>
      </c>
      <c r="F6587" t="s">
        <v>670</v>
      </c>
      <c r="G6587" t="s">
        <v>59</v>
      </c>
      <c r="H6587">
        <v>2024</v>
      </c>
    </row>
    <row r="6588" spans="1:8" x14ac:dyDescent="0.2">
      <c r="A6588">
        <v>269002</v>
      </c>
      <c r="B6588">
        <v>357000</v>
      </c>
      <c r="C6588" t="str">
        <f t="shared" si="102"/>
        <v>4. $250K-1M</v>
      </c>
      <c r="D6588" t="s">
        <v>1027</v>
      </c>
      <c r="E6588" t="s">
        <v>237</v>
      </c>
      <c r="F6588" t="s">
        <v>670</v>
      </c>
      <c r="G6588" t="s">
        <v>59</v>
      </c>
      <c r="H6588">
        <v>2024</v>
      </c>
    </row>
    <row r="6589" spans="1:8" x14ac:dyDescent="0.2">
      <c r="A6589">
        <v>269052</v>
      </c>
      <c r="B6589">
        <v>55000</v>
      </c>
      <c r="C6589" t="str">
        <f t="shared" si="102"/>
        <v>4. $250K-1M</v>
      </c>
      <c r="D6589" t="s">
        <v>1387</v>
      </c>
      <c r="E6589" t="s">
        <v>432</v>
      </c>
      <c r="F6589" t="s">
        <v>670</v>
      </c>
      <c r="G6589" t="s">
        <v>59</v>
      </c>
      <c r="H6589">
        <v>2024</v>
      </c>
    </row>
    <row r="6590" spans="1:8" x14ac:dyDescent="0.2">
      <c r="A6590">
        <v>269055</v>
      </c>
      <c r="B6590">
        <v>25000</v>
      </c>
      <c r="C6590" t="str">
        <f t="shared" si="102"/>
        <v>3. $50K-250K</v>
      </c>
      <c r="D6590" t="s">
        <v>804</v>
      </c>
      <c r="E6590" t="s">
        <v>432</v>
      </c>
      <c r="F6590" t="s">
        <v>670</v>
      </c>
      <c r="G6590" t="s">
        <v>59</v>
      </c>
      <c r="H6590">
        <v>2024</v>
      </c>
    </row>
    <row r="6591" spans="1:8" x14ac:dyDescent="0.2">
      <c r="A6591">
        <v>269057</v>
      </c>
      <c r="B6591">
        <v>20000</v>
      </c>
      <c r="C6591" t="str">
        <f t="shared" si="102"/>
        <v>2. $10K-50K</v>
      </c>
      <c r="D6591" t="s">
        <v>817</v>
      </c>
      <c r="E6591" t="s">
        <v>432</v>
      </c>
      <c r="F6591" t="s">
        <v>670</v>
      </c>
      <c r="G6591" t="s">
        <v>59</v>
      </c>
      <c r="H6591">
        <v>2024</v>
      </c>
    </row>
    <row r="6592" spans="1:8" x14ac:dyDescent="0.2">
      <c r="A6592">
        <v>269058</v>
      </c>
      <c r="B6592">
        <v>85000</v>
      </c>
      <c r="C6592" t="str">
        <f t="shared" si="102"/>
        <v>2. $10K-50K</v>
      </c>
      <c r="D6592" t="s">
        <v>820</v>
      </c>
      <c r="E6592" t="s">
        <v>432</v>
      </c>
      <c r="F6592" t="s">
        <v>670</v>
      </c>
      <c r="G6592" t="s">
        <v>59</v>
      </c>
      <c r="H6592">
        <v>2024</v>
      </c>
    </row>
    <row r="6593" spans="1:8" x14ac:dyDescent="0.2">
      <c r="A6593">
        <v>26910</v>
      </c>
      <c r="B6593">
        <v>7273460.5</v>
      </c>
      <c r="C6593" t="str">
        <f t="shared" si="102"/>
        <v>3. $50K-250K</v>
      </c>
      <c r="D6593" t="s">
        <v>429</v>
      </c>
      <c r="E6593" t="s">
        <v>65</v>
      </c>
      <c r="F6593" t="s">
        <v>12</v>
      </c>
      <c r="G6593" t="s">
        <v>79</v>
      </c>
      <c r="H6593">
        <v>2023</v>
      </c>
    </row>
    <row r="6594" spans="1:8" x14ac:dyDescent="0.2">
      <c r="A6594">
        <v>269138</v>
      </c>
      <c r="B6594">
        <v>785000</v>
      </c>
      <c r="C6594" t="str">
        <f t="shared" si="102"/>
        <v>5. $1M+</v>
      </c>
      <c r="D6594" t="s">
        <v>778</v>
      </c>
      <c r="E6594" t="s">
        <v>112</v>
      </c>
      <c r="F6594" t="s">
        <v>668</v>
      </c>
      <c r="G6594" t="s">
        <v>59</v>
      </c>
      <c r="H6594">
        <v>2024</v>
      </c>
    </row>
    <row r="6595" spans="1:8" x14ac:dyDescent="0.2">
      <c r="A6595">
        <v>269144</v>
      </c>
      <c r="B6595">
        <v>100000</v>
      </c>
      <c r="C6595" t="str">
        <f t="shared" ref="C6595:C6658" si="103">IF(B6594&lt;10000,"1. Under $10K",IF(B6594&lt;50000,"2. $10K-50K",IF(B6594&lt;250000,"3. $50K-250K",IF(B6594&lt;1000000,"4. $250K-1M","5. $1M+"))))</f>
        <v>4. $250K-1M</v>
      </c>
      <c r="D6595" t="s">
        <v>1237</v>
      </c>
      <c r="E6595" t="s">
        <v>112</v>
      </c>
      <c r="F6595" t="s">
        <v>668</v>
      </c>
      <c r="G6595" t="s">
        <v>59</v>
      </c>
      <c r="H6595">
        <v>2024</v>
      </c>
    </row>
    <row r="6596" spans="1:8" x14ac:dyDescent="0.2">
      <c r="A6596">
        <v>269153</v>
      </c>
      <c r="B6596">
        <v>165674.29999999999</v>
      </c>
      <c r="C6596" t="str">
        <f t="shared" si="103"/>
        <v>3. $50K-250K</v>
      </c>
      <c r="D6596" t="s">
        <v>804</v>
      </c>
      <c r="E6596" t="s">
        <v>42</v>
      </c>
      <c r="F6596" t="s">
        <v>670</v>
      </c>
      <c r="G6596" t="s">
        <v>59</v>
      </c>
      <c r="H6596">
        <v>2024</v>
      </c>
    </row>
    <row r="6597" spans="1:8" x14ac:dyDescent="0.2">
      <c r="A6597">
        <v>269154</v>
      </c>
      <c r="B6597">
        <v>38897</v>
      </c>
      <c r="C6597" t="str">
        <f t="shared" si="103"/>
        <v>3. $50K-250K</v>
      </c>
      <c r="D6597" t="s">
        <v>679</v>
      </c>
      <c r="E6597" t="s">
        <v>42</v>
      </c>
      <c r="F6597" t="s">
        <v>670</v>
      </c>
      <c r="G6597" t="s">
        <v>59</v>
      </c>
      <c r="H6597">
        <v>2024</v>
      </c>
    </row>
    <row r="6598" spans="1:8" x14ac:dyDescent="0.2">
      <c r="A6598">
        <v>269155</v>
      </c>
      <c r="B6598">
        <v>86043.7</v>
      </c>
      <c r="C6598" t="str">
        <f t="shared" si="103"/>
        <v>2. $10K-50K</v>
      </c>
      <c r="D6598" t="s">
        <v>682</v>
      </c>
      <c r="E6598" t="s">
        <v>42</v>
      </c>
      <c r="F6598" t="s">
        <v>670</v>
      </c>
      <c r="G6598" t="s">
        <v>59</v>
      </c>
      <c r="H6598">
        <v>2024</v>
      </c>
    </row>
    <row r="6599" spans="1:8" x14ac:dyDescent="0.2">
      <c r="A6599">
        <v>269167</v>
      </c>
      <c r="B6599">
        <v>62280</v>
      </c>
      <c r="C6599" t="str">
        <f t="shared" si="103"/>
        <v>3. $50K-250K</v>
      </c>
      <c r="D6599" t="s">
        <v>892</v>
      </c>
      <c r="E6599" t="s">
        <v>825</v>
      </c>
      <c r="F6599" t="s">
        <v>670</v>
      </c>
      <c r="G6599" t="s">
        <v>59</v>
      </c>
      <c r="H6599">
        <v>2024</v>
      </c>
    </row>
    <row r="6600" spans="1:8" x14ac:dyDescent="0.2">
      <c r="A6600">
        <v>269168</v>
      </c>
      <c r="B6600">
        <v>40302</v>
      </c>
      <c r="C6600" t="str">
        <f t="shared" si="103"/>
        <v>3. $50K-250K</v>
      </c>
      <c r="D6600" t="s">
        <v>946</v>
      </c>
      <c r="E6600" t="s">
        <v>99</v>
      </c>
      <c r="F6600" t="s">
        <v>670</v>
      </c>
      <c r="G6600" t="s">
        <v>59</v>
      </c>
      <c r="H6600">
        <v>2024</v>
      </c>
    </row>
    <row r="6601" spans="1:8" x14ac:dyDescent="0.2">
      <c r="A6601">
        <v>269169</v>
      </c>
      <c r="B6601">
        <v>50000</v>
      </c>
      <c r="C6601" t="str">
        <f t="shared" si="103"/>
        <v>2. $10K-50K</v>
      </c>
      <c r="D6601" t="s">
        <v>877</v>
      </c>
      <c r="E6601" t="s">
        <v>825</v>
      </c>
      <c r="F6601" t="s">
        <v>670</v>
      </c>
      <c r="G6601" t="s">
        <v>59</v>
      </c>
      <c r="H6601">
        <v>2024</v>
      </c>
    </row>
    <row r="6602" spans="1:8" x14ac:dyDescent="0.2">
      <c r="A6602">
        <v>269170</v>
      </c>
      <c r="B6602">
        <v>90000</v>
      </c>
      <c r="C6602" t="str">
        <f t="shared" si="103"/>
        <v>3. $50K-250K</v>
      </c>
      <c r="D6602" t="s">
        <v>1534</v>
      </c>
      <c r="E6602" t="s">
        <v>825</v>
      </c>
      <c r="F6602" t="s">
        <v>670</v>
      </c>
      <c r="G6602" t="s">
        <v>59</v>
      </c>
      <c r="H6602">
        <v>2024</v>
      </c>
    </row>
    <row r="6603" spans="1:8" x14ac:dyDescent="0.2">
      <c r="A6603">
        <v>269171</v>
      </c>
      <c r="B6603">
        <v>48133.2</v>
      </c>
      <c r="C6603" t="str">
        <f t="shared" si="103"/>
        <v>3. $50K-250K</v>
      </c>
      <c r="D6603" t="s">
        <v>950</v>
      </c>
      <c r="E6603" t="s">
        <v>825</v>
      </c>
      <c r="F6603" t="s">
        <v>670</v>
      </c>
      <c r="G6603" t="s">
        <v>59</v>
      </c>
      <c r="H6603">
        <v>2024</v>
      </c>
    </row>
    <row r="6604" spans="1:8" x14ac:dyDescent="0.2">
      <c r="A6604">
        <v>269251</v>
      </c>
      <c r="B6604">
        <v>9321311.9000000004</v>
      </c>
      <c r="C6604" t="str">
        <f t="shared" si="103"/>
        <v>2. $10K-50K</v>
      </c>
      <c r="D6604" t="s">
        <v>1052</v>
      </c>
      <c r="E6604" t="s">
        <v>237</v>
      </c>
      <c r="F6604" t="s">
        <v>670</v>
      </c>
      <c r="G6604" t="s">
        <v>59</v>
      </c>
      <c r="H6604">
        <v>2024</v>
      </c>
    </row>
    <row r="6605" spans="1:8" x14ac:dyDescent="0.2">
      <c r="A6605">
        <v>269361</v>
      </c>
      <c r="B6605">
        <v>195000</v>
      </c>
      <c r="C6605" t="str">
        <f t="shared" si="103"/>
        <v>5. $1M+</v>
      </c>
      <c r="D6605" t="s">
        <v>966</v>
      </c>
      <c r="E6605" t="s">
        <v>825</v>
      </c>
      <c r="F6605" t="s">
        <v>670</v>
      </c>
      <c r="G6605" t="s">
        <v>59</v>
      </c>
      <c r="H6605">
        <v>2024</v>
      </c>
    </row>
    <row r="6606" spans="1:8" x14ac:dyDescent="0.2">
      <c r="A6606">
        <v>269362</v>
      </c>
      <c r="B6606">
        <v>95184</v>
      </c>
      <c r="C6606" t="str">
        <f t="shared" si="103"/>
        <v>3. $50K-250K</v>
      </c>
      <c r="D6606" t="s">
        <v>1505</v>
      </c>
      <c r="E6606" t="s">
        <v>825</v>
      </c>
      <c r="F6606" t="s">
        <v>670</v>
      </c>
      <c r="G6606" t="s">
        <v>59</v>
      </c>
      <c r="H6606">
        <v>2024</v>
      </c>
    </row>
    <row r="6607" spans="1:8" x14ac:dyDescent="0.2">
      <c r="A6607">
        <v>26939</v>
      </c>
      <c r="B6607">
        <v>1880000</v>
      </c>
      <c r="C6607" t="str">
        <f t="shared" si="103"/>
        <v>3. $50K-250K</v>
      </c>
      <c r="D6607" t="s">
        <v>2178</v>
      </c>
      <c r="E6607" t="s">
        <v>52</v>
      </c>
      <c r="F6607" t="s">
        <v>668</v>
      </c>
      <c r="G6607" t="s">
        <v>59</v>
      </c>
      <c r="H6607">
        <v>2023</v>
      </c>
    </row>
    <row r="6608" spans="1:8" x14ac:dyDescent="0.2">
      <c r="A6608">
        <v>269399</v>
      </c>
      <c r="B6608">
        <v>1915845</v>
      </c>
      <c r="C6608" t="str">
        <f t="shared" si="103"/>
        <v>5. $1M+</v>
      </c>
      <c r="D6608" t="s">
        <v>992</v>
      </c>
      <c r="E6608" t="s">
        <v>99</v>
      </c>
      <c r="F6608" t="s">
        <v>670</v>
      </c>
      <c r="G6608" t="s">
        <v>44</v>
      </c>
      <c r="H6608">
        <v>2024</v>
      </c>
    </row>
    <row r="6609" spans="1:8" x14ac:dyDescent="0.2">
      <c r="A6609">
        <v>269480</v>
      </c>
      <c r="B6609">
        <v>195020.4</v>
      </c>
      <c r="C6609" t="str">
        <f t="shared" si="103"/>
        <v>5. $1M+</v>
      </c>
      <c r="D6609" t="s">
        <v>694</v>
      </c>
      <c r="E6609" t="s">
        <v>42</v>
      </c>
      <c r="F6609" t="s">
        <v>670</v>
      </c>
      <c r="G6609" t="s">
        <v>59</v>
      </c>
      <c r="H6609">
        <v>2024</v>
      </c>
    </row>
    <row r="6610" spans="1:8" x14ac:dyDescent="0.2">
      <c r="A6610">
        <v>269481</v>
      </c>
      <c r="B6610">
        <v>230375.5</v>
      </c>
      <c r="C6610" t="str">
        <f t="shared" si="103"/>
        <v>3. $50K-250K</v>
      </c>
      <c r="D6610" t="s">
        <v>782</v>
      </c>
      <c r="E6610" t="s">
        <v>42</v>
      </c>
      <c r="F6610" t="s">
        <v>670</v>
      </c>
      <c r="G6610" t="s">
        <v>59</v>
      </c>
      <c r="H6610">
        <v>2024</v>
      </c>
    </row>
    <row r="6611" spans="1:8" x14ac:dyDescent="0.2">
      <c r="A6611">
        <v>269482</v>
      </c>
      <c r="B6611">
        <v>226162.7</v>
      </c>
      <c r="C6611" t="str">
        <f t="shared" si="103"/>
        <v>3. $50K-250K</v>
      </c>
      <c r="D6611" t="s">
        <v>782</v>
      </c>
      <c r="E6611" t="s">
        <v>42</v>
      </c>
      <c r="F6611" t="s">
        <v>670</v>
      </c>
      <c r="G6611" t="s">
        <v>59</v>
      </c>
      <c r="H6611">
        <v>2024</v>
      </c>
    </row>
    <row r="6612" spans="1:8" x14ac:dyDescent="0.2">
      <c r="A6612">
        <v>269483</v>
      </c>
      <c r="B6612">
        <v>179882.4</v>
      </c>
      <c r="C6612" t="str">
        <f t="shared" si="103"/>
        <v>3. $50K-250K</v>
      </c>
      <c r="D6612" t="s">
        <v>781</v>
      </c>
      <c r="E6612" t="s">
        <v>42</v>
      </c>
      <c r="F6612" t="s">
        <v>670</v>
      </c>
      <c r="G6612" t="s">
        <v>59</v>
      </c>
      <c r="H6612">
        <v>2024</v>
      </c>
    </row>
    <row r="6613" spans="1:8" x14ac:dyDescent="0.2">
      <c r="A6613">
        <v>269484</v>
      </c>
      <c r="B6613">
        <v>144392.79999999999</v>
      </c>
      <c r="C6613" t="str">
        <f t="shared" si="103"/>
        <v>3. $50K-250K</v>
      </c>
      <c r="D6613" t="s">
        <v>781</v>
      </c>
      <c r="E6613" t="s">
        <v>42</v>
      </c>
      <c r="F6613" t="s">
        <v>670</v>
      </c>
      <c r="G6613" t="s">
        <v>59</v>
      </c>
      <c r="H6613">
        <v>2024</v>
      </c>
    </row>
    <row r="6614" spans="1:8" x14ac:dyDescent="0.2">
      <c r="A6614">
        <v>269485</v>
      </c>
      <c r="B6614">
        <v>8331401.2999999998</v>
      </c>
      <c r="C6614" t="str">
        <f t="shared" si="103"/>
        <v>3. $50K-250K</v>
      </c>
      <c r="D6614" t="s">
        <v>749</v>
      </c>
      <c r="E6614" t="s">
        <v>42</v>
      </c>
      <c r="F6614" t="s">
        <v>670</v>
      </c>
      <c r="G6614" t="s">
        <v>59</v>
      </c>
      <c r="H6614">
        <v>2024</v>
      </c>
    </row>
    <row r="6615" spans="1:8" x14ac:dyDescent="0.2">
      <c r="A6615">
        <v>269486</v>
      </c>
      <c r="B6615">
        <v>134166.20000000001</v>
      </c>
      <c r="C6615" t="str">
        <f t="shared" si="103"/>
        <v>5. $1M+</v>
      </c>
      <c r="D6615" t="s">
        <v>669</v>
      </c>
      <c r="E6615" t="s">
        <v>42</v>
      </c>
      <c r="F6615" t="s">
        <v>670</v>
      </c>
      <c r="G6615" t="s">
        <v>59</v>
      </c>
      <c r="H6615">
        <v>2024</v>
      </c>
    </row>
    <row r="6616" spans="1:8" x14ac:dyDescent="0.2">
      <c r="A6616">
        <v>269504</v>
      </c>
      <c r="B6616">
        <v>187913.8</v>
      </c>
      <c r="C6616" t="str">
        <f t="shared" si="103"/>
        <v>3. $50K-250K</v>
      </c>
      <c r="D6616" t="s">
        <v>999</v>
      </c>
      <c r="E6616" t="s">
        <v>42</v>
      </c>
      <c r="F6616" t="s">
        <v>670</v>
      </c>
      <c r="G6616" t="s">
        <v>59</v>
      </c>
      <c r="H6616">
        <v>2024</v>
      </c>
    </row>
    <row r="6617" spans="1:8" x14ac:dyDescent="0.2">
      <c r="A6617">
        <v>269505</v>
      </c>
      <c r="B6617">
        <v>169691</v>
      </c>
      <c r="C6617" t="str">
        <f t="shared" si="103"/>
        <v>3. $50K-250K</v>
      </c>
      <c r="D6617" t="s">
        <v>672</v>
      </c>
      <c r="E6617" t="s">
        <v>42</v>
      </c>
      <c r="F6617" t="s">
        <v>670</v>
      </c>
      <c r="G6617" t="s">
        <v>59</v>
      </c>
      <c r="H6617">
        <v>2024</v>
      </c>
    </row>
    <row r="6618" spans="1:8" x14ac:dyDescent="0.2">
      <c r="A6618">
        <v>26951</v>
      </c>
      <c r="B6618">
        <v>97507</v>
      </c>
      <c r="C6618" t="str">
        <f t="shared" si="103"/>
        <v>3. $50K-250K</v>
      </c>
      <c r="D6618" t="s">
        <v>193</v>
      </c>
      <c r="E6618" t="s">
        <v>8</v>
      </c>
      <c r="F6618" t="s">
        <v>14</v>
      </c>
      <c r="G6618" t="s">
        <v>44</v>
      </c>
      <c r="H6618">
        <v>2023</v>
      </c>
    </row>
    <row r="6619" spans="1:8" x14ac:dyDescent="0.2">
      <c r="A6619">
        <v>269568</v>
      </c>
      <c r="B6619">
        <v>1740000</v>
      </c>
      <c r="C6619" t="str">
        <f t="shared" si="103"/>
        <v>3. $50K-250K</v>
      </c>
      <c r="D6619" t="s">
        <v>2179</v>
      </c>
      <c r="E6619" t="s">
        <v>237</v>
      </c>
      <c r="F6619" t="s">
        <v>670</v>
      </c>
      <c r="G6619" t="s">
        <v>59</v>
      </c>
      <c r="H6619">
        <v>2024</v>
      </c>
    </row>
    <row r="6620" spans="1:8" x14ac:dyDescent="0.2">
      <c r="A6620">
        <v>269569</v>
      </c>
      <c r="B6620">
        <v>1860000</v>
      </c>
      <c r="C6620" t="str">
        <f t="shared" si="103"/>
        <v>5. $1M+</v>
      </c>
      <c r="D6620" t="s">
        <v>2179</v>
      </c>
      <c r="E6620" t="s">
        <v>237</v>
      </c>
      <c r="F6620" t="s">
        <v>670</v>
      </c>
      <c r="G6620" t="s">
        <v>59</v>
      </c>
      <c r="H6620">
        <v>2024</v>
      </c>
    </row>
    <row r="6621" spans="1:8" x14ac:dyDescent="0.2">
      <c r="A6621">
        <v>269570</v>
      </c>
      <c r="B6621">
        <v>450000</v>
      </c>
      <c r="C6621" t="str">
        <f t="shared" si="103"/>
        <v>5. $1M+</v>
      </c>
      <c r="D6621" t="s">
        <v>2179</v>
      </c>
      <c r="E6621" t="s">
        <v>237</v>
      </c>
      <c r="F6621" t="s">
        <v>670</v>
      </c>
      <c r="G6621" t="s">
        <v>59</v>
      </c>
      <c r="H6621">
        <v>2024</v>
      </c>
    </row>
    <row r="6622" spans="1:8" x14ac:dyDescent="0.2">
      <c r="A6622">
        <v>269573</v>
      </c>
      <c r="B6622">
        <v>17860</v>
      </c>
      <c r="C6622" t="str">
        <f t="shared" si="103"/>
        <v>4. $250K-1M</v>
      </c>
      <c r="D6622" t="s">
        <v>2180</v>
      </c>
      <c r="E6622" t="s">
        <v>112</v>
      </c>
      <c r="F6622" t="s">
        <v>668</v>
      </c>
      <c r="G6622" t="s">
        <v>59</v>
      </c>
      <c r="H6622">
        <v>2024</v>
      </c>
    </row>
    <row r="6623" spans="1:8" x14ac:dyDescent="0.2">
      <c r="A6623">
        <v>269574</v>
      </c>
      <c r="B6623">
        <v>20000</v>
      </c>
      <c r="C6623" t="str">
        <f t="shared" si="103"/>
        <v>2. $10K-50K</v>
      </c>
      <c r="D6623" t="s">
        <v>328</v>
      </c>
      <c r="E6623" t="s">
        <v>112</v>
      </c>
      <c r="F6623" t="s">
        <v>668</v>
      </c>
      <c r="G6623" t="s">
        <v>59</v>
      </c>
      <c r="H6623">
        <v>2024</v>
      </c>
    </row>
    <row r="6624" spans="1:8" x14ac:dyDescent="0.2">
      <c r="A6624">
        <v>269725</v>
      </c>
      <c r="B6624">
        <v>222000</v>
      </c>
      <c r="C6624" t="str">
        <f t="shared" si="103"/>
        <v>2. $10K-50K</v>
      </c>
      <c r="D6624" t="s">
        <v>1093</v>
      </c>
      <c r="E6624" t="s">
        <v>237</v>
      </c>
      <c r="F6624" t="s">
        <v>670</v>
      </c>
      <c r="G6624" t="s">
        <v>59</v>
      </c>
      <c r="H6624">
        <v>2024</v>
      </c>
    </row>
    <row r="6625" spans="1:8" x14ac:dyDescent="0.2">
      <c r="A6625">
        <v>269726</v>
      </c>
      <c r="B6625">
        <v>222000</v>
      </c>
      <c r="C6625" t="str">
        <f t="shared" si="103"/>
        <v>3. $50K-250K</v>
      </c>
      <c r="D6625" t="s">
        <v>802</v>
      </c>
      <c r="E6625" t="s">
        <v>237</v>
      </c>
      <c r="F6625" t="s">
        <v>670</v>
      </c>
      <c r="G6625" t="s">
        <v>59</v>
      </c>
      <c r="H6625">
        <v>2024</v>
      </c>
    </row>
    <row r="6626" spans="1:8" x14ac:dyDescent="0.2">
      <c r="A6626">
        <v>269727</v>
      </c>
      <c r="B6626">
        <v>222000</v>
      </c>
      <c r="C6626" t="str">
        <f t="shared" si="103"/>
        <v>3. $50K-250K</v>
      </c>
      <c r="D6626" t="s">
        <v>2116</v>
      </c>
      <c r="E6626" t="s">
        <v>237</v>
      </c>
      <c r="F6626" t="s">
        <v>670</v>
      </c>
      <c r="G6626" t="s">
        <v>59</v>
      </c>
      <c r="H6626">
        <v>2024</v>
      </c>
    </row>
    <row r="6627" spans="1:8" x14ac:dyDescent="0.2">
      <c r="A6627">
        <v>269728</v>
      </c>
      <c r="B6627">
        <v>222000</v>
      </c>
      <c r="C6627" t="str">
        <f t="shared" si="103"/>
        <v>3. $50K-250K</v>
      </c>
      <c r="D6627" t="s">
        <v>883</v>
      </c>
      <c r="E6627" t="s">
        <v>237</v>
      </c>
      <c r="F6627" t="s">
        <v>670</v>
      </c>
      <c r="G6627" t="s">
        <v>59</v>
      </c>
      <c r="H6627">
        <v>2024</v>
      </c>
    </row>
    <row r="6628" spans="1:8" x14ac:dyDescent="0.2">
      <c r="A6628">
        <v>269729</v>
      </c>
      <c r="B6628">
        <v>81800</v>
      </c>
      <c r="C6628" t="str">
        <f t="shared" si="103"/>
        <v>3. $50K-250K</v>
      </c>
      <c r="D6628" t="s">
        <v>719</v>
      </c>
      <c r="E6628" t="s">
        <v>237</v>
      </c>
      <c r="F6628" t="s">
        <v>670</v>
      </c>
      <c r="G6628" t="s">
        <v>59</v>
      </c>
      <c r="H6628">
        <v>2024</v>
      </c>
    </row>
    <row r="6629" spans="1:8" x14ac:dyDescent="0.2">
      <c r="A6629">
        <v>269730</v>
      </c>
      <c r="B6629">
        <v>361350</v>
      </c>
      <c r="C6629" t="str">
        <f t="shared" si="103"/>
        <v>3. $50K-250K</v>
      </c>
      <c r="D6629" t="s">
        <v>887</v>
      </c>
      <c r="E6629" t="s">
        <v>237</v>
      </c>
      <c r="F6629" t="s">
        <v>670</v>
      </c>
      <c r="G6629" t="s">
        <v>59</v>
      </c>
      <c r="H6629">
        <v>2024</v>
      </c>
    </row>
    <row r="6630" spans="1:8" x14ac:dyDescent="0.2">
      <c r="A6630">
        <v>269731</v>
      </c>
      <c r="B6630">
        <v>104882.8</v>
      </c>
      <c r="C6630" t="str">
        <f t="shared" si="103"/>
        <v>4. $250K-1M</v>
      </c>
      <c r="D6630" t="s">
        <v>711</v>
      </c>
      <c r="E6630" t="s">
        <v>237</v>
      </c>
      <c r="F6630" t="s">
        <v>670</v>
      </c>
      <c r="G6630" t="s">
        <v>59</v>
      </c>
      <c r="H6630">
        <v>2024</v>
      </c>
    </row>
    <row r="6631" spans="1:8" x14ac:dyDescent="0.2">
      <c r="A6631">
        <v>269732</v>
      </c>
      <c r="B6631">
        <v>349781</v>
      </c>
      <c r="C6631" t="str">
        <f t="shared" si="103"/>
        <v>3. $50K-250K</v>
      </c>
      <c r="D6631" t="s">
        <v>711</v>
      </c>
      <c r="E6631" t="s">
        <v>237</v>
      </c>
      <c r="F6631" t="s">
        <v>670</v>
      </c>
      <c r="G6631" t="s">
        <v>59</v>
      </c>
      <c r="H6631">
        <v>2024</v>
      </c>
    </row>
    <row r="6632" spans="1:8" x14ac:dyDescent="0.2">
      <c r="A6632">
        <v>269733</v>
      </c>
      <c r="B6632">
        <v>122241</v>
      </c>
      <c r="C6632" t="str">
        <f t="shared" si="103"/>
        <v>4. $250K-1M</v>
      </c>
      <c r="D6632" t="s">
        <v>785</v>
      </c>
      <c r="E6632" t="s">
        <v>237</v>
      </c>
      <c r="F6632" t="s">
        <v>670</v>
      </c>
      <c r="G6632" t="s">
        <v>59</v>
      </c>
      <c r="H6632">
        <v>2024</v>
      </c>
    </row>
    <row r="6633" spans="1:8" x14ac:dyDescent="0.2">
      <c r="A6633">
        <v>269762</v>
      </c>
      <c r="B6633">
        <v>283232.2</v>
      </c>
      <c r="C6633" t="str">
        <f t="shared" si="103"/>
        <v>3. $50K-250K</v>
      </c>
      <c r="D6633" t="s">
        <v>669</v>
      </c>
      <c r="E6633" t="s">
        <v>42</v>
      </c>
      <c r="F6633" t="s">
        <v>670</v>
      </c>
      <c r="G6633" t="s">
        <v>59</v>
      </c>
      <c r="H6633">
        <v>2024</v>
      </c>
    </row>
    <row r="6634" spans="1:8" x14ac:dyDescent="0.2">
      <c r="A6634">
        <v>269763</v>
      </c>
      <c r="B6634">
        <v>9134450</v>
      </c>
      <c r="C6634" t="str">
        <f t="shared" si="103"/>
        <v>4. $250K-1M</v>
      </c>
      <c r="D6634" t="s">
        <v>17</v>
      </c>
      <c r="E6634" t="s">
        <v>18</v>
      </c>
      <c r="F6634" t="s">
        <v>19</v>
      </c>
      <c r="G6634" t="s">
        <v>10</v>
      </c>
      <c r="H6634">
        <v>2024</v>
      </c>
    </row>
    <row r="6635" spans="1:8" x14ac:dyDescent="0.2">
      <c r="A6635">
        <v>269764</v>
      </c>
      <c r="B6635">
        <v>247070</v>
      </c>
      <c r="C6635" t="str">
        <f t="shared" si="103"/>
        <v>5. $1M+</v>
      </c>
      <c r="D6635" t="s">
        <v>779</v>
      </c>
      <c r="E6635" t="s">
        <v>42</v>
      </c>
      <c r="F6635" t="s">
        <v>670</v>
      </c>
      <c r="G6635" t="s">
        <v>59</v>
      </c>
      <c r="H6635">
        <v>2024</v>
      </c>
    </row>
    <row r="6636" spans="1:8" x14ac:dyDescent="0.2">
      <c r="A6636">
        <v>269766</v>
      </c>
      <c r="B6636">
        <v>147674.5</v>
      </c>
      <c r="C6636" t="str">
        <f t="shared" si="103"/>
        <v>3. $50K-250K</v>
      </c>
      <c r="D6636" t="s">
        <v>391</v>
      </c>
      <c r="E6636" t="s">
        <v>42</v>
      </c>
      <c r="F6636" t="s">
        <v>670</v>
      </c>
      <c r="G6636" t="s">
        <v>59</v>
      </c>
      <c r="H6636">
        <v>2024</v>
      </c>
    </row>
    <row r="6637" spans="1:8" x14ac:dyDescent="0.2">
      <c r="A6637">
        <v>269767</v>
      </c>
      <c r="B6637">
        <v>227763</v>
      </c>
      <c r="C6637" t="str">
        <f t="shared" si="103"/>
        <v>3. $50K-250K</v>
      </c>
      <c r="D6637" t="s">
        <v>864</v>
      </c>
      <c r="E6637" t="s">
        <v>42</v>
      </c>
      <c r="F6637" t="s">
        <v>670</v>
      </c>
      <c r="G6637" t="s">
        <v>59</v>
      </c>
      <c r="H6637">
        <v>2024</v>
      </c>
    </row>
    <row r="6638" spans="1:8" x14ac:dyDescent="0.2">
      <c r="A6638">
        <v>269768</v>
      </c>
      <c r="B6638">
        <v>168659</v>
      </c>
      <c r="C6638" t="str">
        <f t="shared" si="103"/>
        <v>3. $50K-250K</v>
      </c>
      <c r="D6638" t="s">
        <v>804</v>
      </c>
      <c r="E6638" t="s">
        <v>42</v>
      </c>
      <c r="F6638" t="s">
        <v>670</v>
      </c>
      <c r="G6638" t="s">
        <v>59</v>
      </c>
      <c r="H6638">
        <v>2024</v>
      </c>
    </row>
    <row r="6639" spans="1:8" x14ac:dyDescent="0.2">
      <c r="A6639">
        <v>269769</v>
      </c>
      <c r="B6639">
        <v>131682</v>
      </c>
      <c r="C6639" t="str">
        <f t="shared" si="103"/>
        <v>3. $50K-250K</v>
      </c>
      <c r="D6639" t="s">
        <v>879</v>
      </c>
      <c r="E6639" t="s">
        <v>42</v>
      </c>
      <c r="F6639" t="s">
        <v>670</v>
      </c>
      <c r="G6639" t="s">
        <v>59</v>
      </c>
      <c r="H6639">
        <v>2024</v>
      </c>
    </row>
    <row r="6640" spans="1:8" x14ac:dyDescent="0.2">
      <c r="A6640">
        <v>269770</v>
      </c>
      <c r="B6640">
        <v>250242.7</v>
      </c>
      <c r="C6640" t="str">
        <f t="shared" si="103"/>
        <v>3. $50K-250K</v>
      </c>
      <c r="D6640" t="s">
        <v>810</v>
      </c>
      <c r="E6640" t="s">
        <v>42</v>
      </c>
      <c r="F6640" t="s">
        <v>670</v>
      </c>
      <c r="G6640" t="s">
        <v>59</v>
      </c>
      <c r="H6640">
        <v>2024</v>
      </c>
    </row>
    <row r="6641" spans="1:8" x14ac:dyDescent="0.2">
      <c r="A6641">
        <v>269852</v>
      </c>
      <c r="B6641">
        <v>35700.400000000001</v>
      </c>
      <c r="C6641" t="str">
        <f t="shared" si="103"/>
        <v>4. $250K-1M</v>
      </c>
      <c r="D6641" t="s">
        <v>873</v>
      </c>
      <c r="E6641" t="s">
        <v>237</v>
      </c>
      <c r="F6641" t="s">
        <v>670</v>
      </c>
      <c r="G6641" t="s">
        <v>59</v>
      </c>
      <c r="H6641">
        <v>2024</v>
      </c>
    </row>
    <row r="6642" spans="1:8" x14ac:dyDescent="0.2">
      <c r="A6642">
        <v>269853</v>
      </c>
      <c r="B6642">
        <v>46666</v>
      </c>
      <c r="C6642" t="str">
        <f t="shared" si="103"/>
        <v>2. $10K-50K</v>
      </c>
      <c r="D6642" t="s">
        <v>682</v>
      </c>
      <c r="E6642" t="s">
        <v>237</v>
      </c>
      <c r="F6642" t="s">
        <v>670</v>
      </c>
      <c r="G6642" t="s">
        <v>59</v>
      </c>
      <c r="H6642">
        <v>2024</v>
      </c>
    </row>
    <row r="6643" spans="1:8" x14ac:dyDescent="0.2">
      <c r="A6643">
        <v>269854</v>
      </c>
      <c r="B6643">
        <v>36359.300000000003</v>
      </c>
      <c r="C6643" t="str">
        <f t="shared" si="103"/>
        <v>2. $10K-50K</v>
      </c>
      <c r="D6643" t="s">
        <v>871</v>
      </c>
      <c r="E6643" t="s">
        <v>237</v>
      </c>
      <c r="F6643" t="s">
        <v>670</v>
      </c>
      <c r="G6643" t="s">
        <v>59</v>
      </c>
      <c r="H6643">
        <v>2024</v>
      </c>
    </row>
    <row r="6644" spans="1:8" x14ac:dyDescent="0.2">
      <c r="A6644">
        <v>269855</v>
      </c>
      <c r="B6644">
        <v>116374.6</v>
      </c>
      <c r="C6644" t="str">
        <f t="shared" si="103"/>
        <v>2. $10K-50K</v>
      </c>
      <c r="D6644" t="s">
        <v>860</v>
      </c>
      <c r="E6644" t="s">
        <v>237</v>
      </c>
      <c r="F6644" t="s">
        <v>670</v>
      </c>
      <c r="G6644" t="s">
        <v>59</v>
      </c>
      <c r="H6644">
        <v>2024</v>
      </c>
    </row>
    <row r="6645" spans="1:8" x14ac:dyDescent="0.2">
      <c r="A6645">
        <v>269856</v>
      </c>
      <c r="B6645">
        <v>170454.7</v>
      </c>
      <c r="C6645" t="str">
        <f t="shared" si="103"/>
        <v>3. $50K-250K</v>
      </c>
      <c r="D6645" t="s">
        <v>711</v>
      </c>
      <c r="E6645" t="s">
        <v>237</v>
      </c>
      <c r="F6645" t="s">
        <v>670</v>
      </c>
      <c r="G6645" t="s">
        <v>59</v>
      </c>
      <c r="H6645">
        <v>2024</v>
      </c>
    </row>
    <row r="6646" spans="1:8" x14ac:dyDescent="0.2">
      <c r="A6646">
        <v>269857</v>
      </c>
      <c r="B6646">
        <v>121000</v>
      </c>
      <c r="C6646" t="str">
        <f t="shared" si="103"/>
        <v>3. $50K-250K</v>
      </c>
      <c r="D6646" t="s">
        <v>885</v>
      </c>
      <c r="E6646" t="s">
        <v>237</v>
      </c>
      <c r="F6646" t="s">
        <v>670</v>
      </c>
      <c r="G6646" t="s">
        <v>59</v>
      </c>
      <c r="H6646">
        <v>2024</v>
      </c>
    </row>
    <row r="6647" spans="1:8" x14ac:dyDescent="0.2">
      <c r="A6647">
        <v>269858</v>
      </c>
      <c r="B6647">
        <v>11680</v>
      </c>
      <c r="C6647" t="str">
        <f t="shared" si="103"/>
        <v>3. $50K-250K</v>
      </c>
      <c r="D6647" t="s">
        <v>807</v>
      </c>
      <c r="E6647" t="s">
        <v>237</v>
      </c>
      <c r="F6647" t="s">
        <v>670</v>
      </c>
      <c r="G6647" t="s">
        <v>59</v>
      </c>
      <c r="H6647">
        <v>2024</v>
      </c>
    </row>
    <row r="6648" spans="1:8" x14ac:dyDescent="0.2">
      <c r="A6648">
        <v>269859</v>
      </c>
      <c r="B6648">
        <v>15442.1</v>
      </c>
      <c r="C6648" t="str">
        <f t="shared" si="103"/>
        <v>2. $10K-50K</v>
      </c>
      <c r="D6648" t="s">
        <v>876</v>
      </c>
      <c r="E6648" t="s">
        <v>237</v>
      </c>
      <c r="F6648" t="s">
        <v>670</v>
      </c>
      <c r="G6648" t="s">
        <v>59</v>
      </c>
      <c r="H6648">
        <v>2024</v>
      </c>
    </row>
    <row r="6649" spans="1:8" x14ac:dyDescent="0.2">
      <c r="A6649">
        <v>269860</v>
      </c>
      <c r="B6649">
        <v>112500</v>
      </c>
      <c r="C6649" t="str">
        <f t="shared" si="103"/>
        <v>2. $10K-50K</v>
      </c>
      <c r="D6649" t="s">
        <v>749</v>
      </c>
      <c r="E6649" t="s">
        <v>237</v>
      </c>
      <c r="F6649" t="s">
        <v>670</v>
      </c>
      <c r="G6649" t="s">
        <v>59</v>
      </c>
      <c r="H6649">
        <v>2024</v>
      </c>
    </row>
    <row r="6650" spans="1:8" x14ac:dyDescent="0.2">
      <c r="A6650">
        <v>269861</v>
      </c>
      <c r="B6650">
        <v>222000</v>
      </c>
      <c r="C6650" t="str">
        <f t="shared" si="103"/>
        <v>3. $50K-250K</v>
      </c>
      <c r="D6650" t="s">
        <v>2115</v>
      </c>
      <c r="E6650" t="s">
        <v>237</v>
      </c>
      <c r="F6650" t="s">
        <v>670</v>
      </c>
      <c r="G6650" t="s">
        <v>59</v>
      </c>
      <c r="H6650">
        <v>2024</v>
      </c>
    </row>
    <row r="6651" spans="1:8" x14ac:dyDescent="0.2">
      <c r="A6651">
        <v>269862</v>
      </c>
      <c r="B6651">
        <v>222000</v>
      </c>
      <c r="C6651" t="str">
        <f t="shared" si="103"/>
        <v>3. $50K-250K</v>
      </c>
      <c r="D6651" t="s">
        <v>708</v>
      </c>
      <c r="E6651" t="s">
        <v>237</v>
      </c>
      <c r="F6651" t="s">
        <v>670</v>
      </c>
      <c r="G6651" t="s">
        <v>59</v>
      </c>
      <c r="H6651">
        <v>2024</v>
      </c>
    </row>
    <row r="6652" spans="1:8" x14ac:dyDescent="0.2">
      <c r="A6652">
        <v>269863</v>
      </c>
      <c r="B6652">
        <v>31404</v>
      </c>
      <c r="C6652" t="str">
        <f t="shared" si="103"/>
        <v>3. $50K-250K</v>
      </c>
      <c r="D6652" t="s">
        <v>903</v>
      </c>
      <c r="E6652" t="s">
        <v>237</v>
      </c>
      <c r="F6652" t="s">
        <v>670</v>
      </c>
      <c r="G6652" t="s">
        <v>59</v>
      </c>
      <c r="H6652">
        <v>2024</v>
      </c>
    </row>
    <row r="6653" spans="1:8" x14ac:dyDescent="0.2">
      <c r="A6653">
        <v>269864</v>
      </c>
      <c r="B6653">
        <v>222000</v>
      </c>
      <c r="C6653" t="str">
        <f t="shared" si="103"/>
        <v>2. $10K-50K</v>
      </c>
      <c r="D6653" t="s">
        <v>708</v>
      </c>
      <c r="E6653" t="s">
        <v>237</v>
      </c>
      <c r="F6653" t="s">
        <v>670</v>
      </c>
      <c r="G6653" t="s">
        <v>59</v>
      </c>
      <c r="H6653">
        <v>2024</v>
      </c>
    </row>
    <row r="6654" spans="1:8" x14ac:dyDescent="0.2">
      <c r="A6654">
        <v>269865</v>
      </c>
      <c r="B6654">
        <v>127118.9</v>
      </c>
      <c r="C6654" t="str">
        <f t="shared" si="103"/>
        <v>3. $50K-250K</v>
      </c>
      <c r="D6654" t="s">
        <v>879</v>
      </c>
      <c r="E6654" t="s">
        <v>237</v>
      </c>
      <c r="F6654" t="s">
        <v>670</v>
      </c>
      <c r="G6654" t="s">
        <v>59</v>
      </c>
      <c r="H6654">
        <v>2024</v>
      </c>
    </row>
    <row r="6655" spans="1:8" x14ac:dyDescent="0.2">
      <c r="A6655">
        <v>269916</v>
      </c>
      <c r="B6655">
        <v>2241940</v>
      </c>
      <c r="C6655" t="str">
        <f t="shared" si="103"/>
        <v>3. $50K-250K</v>
      </c>
      <c r="D6655" t="s">
        <v>87</v>
      </c>
      <c r="E6655" t="s">
        <v>8</v>
      </c>
      <c r="F6655" t="s">
        <v>12</v>
      </c>
      <c r="G6655" t="s">
        <v>10</v>
      </c>
      <c r="H6655">
        <v>2024</v>
      </c>
    </row>
    <row r="6656" spans="1:8" x14ac:dyDescent="0.2">
      <c r="A6656">
        <v>269948</v>
      </c>
      <c r="B6656">
        <v>30483.4</v>
      </c>
      <c r="C6656" t="str">
        <f t="shared" si="103"/>
        <v>5. $1M+</v>
      </c>
      <c r="D6656" t="s">
        <v>783</v>
      </c>
      <c r="E6656" t="s">
        <v>42</v>
      </c>
      <c r="F6656" t="s">
        <v>670</v>
      </c>
      <c r="G6656" t="s">
        <v>59</v>
      </c>
      <c r="H6656">
        <v>2024</v>
      </c>
    </row>
    <row r="6657" spans="1:8" x14ac:dyDescent="0.2">
      <c r="A6657">
        <v>270020</v>
      </c>
      <c r="B6657">
        <v>9183</v>
      </c>
      <c r="C6657" t="str">
        <f t="shared" si="103"/>
        <v>2. $10K-50K</v>
      </c>
      <c r="D6657" t="s">
        <v>684</v>
      </c>
      <c r="E6657" t="s">
        <v>42</v>
      </c>
      <c r="F6657" t="s">
        <v>670</v>
      </c>
      <c r="G6657" t="s">
        <v>59</v>
      </c>
      <c r="H6657">
        <v>2024</v>
      </c>
    </row>
    <row r="6658" spans="1:8" x14ac:dyDescent="0.2">
      <c r="A6658">
        <v>270021</v>
      </c>
      <c r="B6658">
        <v>60000</v>
      </c>
      <c r="C6658" t="str">
        <f t="shared" si="103"/>
        <v>1. Under $10K</v>
      </c>
      <c r="D6658" t="s">
        <v>682</v>
      </c>
      <c r="E6658" t="s">
        <v>42</v>
      </c>
      <c r="F6658" t="s">
        <v>670</v>
      </c>
      <c r="G6658" t="s">
        <v>59</v>
      </c>
      <c r="H6658">
        <v>2024</v>
      </c>
    </row>
    <row r="6659" spans="1:8" x14ac:dyDescent="0.2">
      <c r="A6659">
        <v>270022</v>
      </c>
      <c r="B6659">
        <v>87631.8</v>
      </c>
      <c r="C6659" t="str">
        <f t="shared" ref="C6659:C6722" si="104">IF(B6658&lt;10000,"1. Under $10K",IF(B6658&lt;50000,"2. $10K-50K",IF(B6658&lt;250000,"3. $50K-250K",IF(B6658&lt;1000000,"4. $250K-1M","5. $1M+"))))</f>
        <v>3. $50K-250K</v>
      </c>
      <c r="D6659" t="s">
        <v>391</v>
      </c>
      <c r="E6659" t="s">
        <v>42</v>
      </c>
      <c r="F6659" t="s">
        <v>670</v>
      </c>
      <c r="G6659" t="s">
        <v>59</v>
      </c>
      <c r="H6659">
        <v>2024</v>
      </c>
    </row>
    <row r="6660" spans="1:8" x14ac:dyDescent="0.2">
      <c r="A6660">
        <v>270125</v>
      </c>
      <c r="B6660">
        <v>1000000</v>
      </c>
      <c r="C6660" t="str">
        <f t="shared" si="104"/>
        <v>3. $50K-250K</v>
      </c>
      <c r="D6660" t="s">
        <v>430</v>
      </c>
      <c r="E6660" t="s">
        <v>8</v>
      </c>
      <c r="F6660" t="s">
        <v>31</v>
      </c>
      <c r="G6660" t="s">
        <v>59</v>
      </c>
      <c r="H6660">
        <v>2024</v>
      </c>
    </row>
    <row r="6661" spans="1:8" x14ac:dyDescent="0.2">
      <c r="A6661">
        <v>270136</v>
      </c>
      <c r="B6661">
        <v>9408000</v>
      </c>
      <c r="C6661" t="str">
        <f t="shared" si="104"/>
        <v>5. $1M+</v>
      </c>
      <c r="D6661" t="s">
        <v>431</v>
      </c>
      <c r="E6661" t="s">
        <v>24</v>
      </c>
      <c r="F6661" t="s">
        <v>12</v>
      </c>
      <c r="G6661" t="s">
        <v>101</v>
      </c>
      <c r="H6661">
        <v>2024</v>
      </c>
    </row>
    <row r="6662" spans="1:8" x14ac:dyDescent="0.2">
      <c r="A6662">
        <v>270150</v>
      </c>
      <c r="B6662">
        <v>120000</v>
      </c>
      <c r="C6662" t="str">
        <f t="shared" si="104"/>
        <v>5. $1M+</v>
      </c>
      <c r="D6662" t="s">
        <v>1516</v>
      </c>
      <c r="E6662" t="s">
        <v>825</v>
      </c>
      <c r="F6662" t="s">
        <v>670</v>
      </c>
      <c r="G6662" t="s">
        <v>59</v>
      </c>
      <c r="H6662">
        <v>2024</v>
      </c>
    </row>
    <row r="6663" spans="1:8" x14ac:dyDescent="0.2">
      <c r="A6663">
        <v>270155</v>
      </c>
      <c r="B6663">
        <v>7078687.5</v>
      </c>
      <c r="C6663" t="str">
        <f t="shared" si="104"/>
        <v>3. $50K-250K</v>
      </c>
      <c r="D6663" t="s">
        <v>144</v>
      </c>
      <c r="E6663" t="s">
        <v>24</v>
      </c>
      <c r="F6663" t="s">
        <v>9</v>
      </c>
      <c r="G6663" t="s">
        <v>10</v>
      </c>
      <c r="H6663">
        <v>2024</v>
      </c>
    </row>
    <row r="6664" spans="1:8" x14ac:dyDescent="0.2">
      <c r="A6664">
        <v>270166</v>
      </c>
      <c r="B6664">
        <v>1479.8</v>
      </c>
      <c r="C6664" t="str">
        <f t="shared" si="104"/>
        <v>5. $1M+</v>
      </c>
      <c r="D6664" t="s">
        <v>255</v>
      </c>
      <c r="E6664" t="s">
        <v>432</v>
      </c>
      <c r="F6664" t="s">
        <v>43</v>
      </c>
      <c r="G6664" t="s">
        <v>59</v>
      </c>
      <c r="H6664">
        <v>2024</v>
      </c>
    </row>
    <row r="6665" spans="1:8" x14ac:dyDescent="0.2">
      <c r="A6665">
        <v>270187</v>
      </c>
      <c r="B6665">
        <v>229484</v>
      </c>
      <c r="C6665" t="str">
        <f t="shared" si="104"/>
        <v>1. Under $10K</v>
      </c>
      <c r="D6665" t="s">
        <v>801</v>
      </c>
      <c r="E6665" t="s">
        <v>82</v>
      </c>
      <c r="F6665" t="s">
        <v>670</v>
      </c>
      <c r="G6665" t="s">
        <v>59</v>
      </c>
      <c r="H6665">
        <v>2024</v>
      </c>
    </row>
    <row r="6666" spans="1:8" x14ac:dyDescent="0.2">
      <c r="A6666">
        <v>270229</v>
      </c>
      <c r="B6666">
        <v>17000000</v>
      </c>
      <c r="C6666" t="str">
        <f t="shared" si="104"/>
        <v>3. $50K-250K</v>
      </c>
      <c r="D6666" t="s">
        <v>2181</v>
      </c>
      <c r="E6666" t="s">
        <v>99</v>
      </c>
      <c r="F6666" t="s">
        <v>668</v>
      </c>
      <c r="G6666" t="s">
        <v>59</v>
      </c>
      <c r="H6666">
        <v>2024</v>
      </c>
    </row>
    <row r="6667" spans="1:8" x14ac:dyDescent="0.2">
      <c r="A6667">
        <v>270291</v>
      </c>
      <c r="B6667">
        <v>498000</v>
      </c>
      <c r="C6667" t="str">
        <f t="shared" si="104"/>
        <v>5. $1M+</v>
      </c>
      <c r="D6667" t="s">
        <v>433</v>
      </c>
      <c r="E6667" t="s">
        <v>54</v>
      </c>
      <c r="F6667" t="s">
        <v>12</v>
      </c>
      <c r="G6667" t="s">
        <v>10</v>
      </c>
      <c r="H6667">
        <v>2024</v>
      </c>
    </row>
    <row r="6668" spans="1:8" x14ac:dyDescent="0.2">
      <c r="A6668">
        <v>270292</v>
      </c>
      <c r="B6668">
        <v>1177500</v>
      </c>
      <c r="C6668" t="str">
        <f t="shared" si="104"/>
        <v>4. $250K-1M</v>
      </c>
      <c r="D6668" t="s">
        <v>33</v>
      </c>
      <c r="E6668" t="s">
        <v>65</v>
      </c>
      <c r="F6668" t="s">
        <v>22</v>
      </c>
      <c r="G6668" t="s">
        <v>10</v>
      </c>
      <c r="H6668">
        <v>2024</v>
      </c>
    </row>
    <row r="6669" spans="1:8" x14ac:dyDescent="0.2">
      <c r="A6669">
        <v>270331</v>
      </c>
      <c r="B6669">
        <v>333000</v>
      </c>
      <c r="C6669" t="str">
        <f t="shared" si="104"/>
        <v>5. $1M+</v>
      </c>
      <c r="D6669" t="s">
        <v>821</v>
      </c>
      <c r="E6669" t="s">
        <v>237</v>
      </c>
      <c r="F6669" t="s">
        <v>670</v>
      </c>
      <c r="G6669" t="s">
        <v>59</v>
      </c>
      <c r="H6669">
        <v>2024</v>
      </c>
    </row>
    <row r="6670" spans="1:8" x14ac:dyDescent="0.2">
      <c r="A6670">
        <v>270332</v>
      </c>
      <c r="B6670">
        <v>222000</v>
      </c>
      <c r="C6670" t="str">
        <f t="shared" si="104"/>
        <v>4. $250K-1M</v>
      </c>
      <c r="D6670" t="s">
        <v>821</v>
      </c>
      <c r="E6670" t="s">
        <v>237</v>
      </c>
      <c r="F6670" t="s">
        <v>670</v>
      </c>
      <c r="G6670" t="s">
        <v>59</v>
      </c>
      <c r="H6670">
        <v>2024</v>
      </c>
    </row>
    <row r="6671" spans="1:8" x14ac:dyDescent="0.2">
      <c r="A6671">
        <v>270333</v>
      </c>
      <c r="B6671">
        <v>222000</v>
      </c>
      <c r="C6671" t="str">
        <f t="shared" si="104"/>
        <v>3. $50K-250K</v>
      </c>
      <c r="D6671" t="s">
        <v>779</v>
      </c>
      <c r="E6671" t="s">
        <v>237</v>
      </c>
      <c r="F6671" t="s">
        <v>670</v>
      </c>
      <c r="G6671" t="s">
        <v>59</v>
      </c>
      <c r="H6671">
        <v>2024</v>
      </c>
    </row>
    <row r="6672" spans="1:8" x14ac:dyDescent="0.2">
      <c r="A6672">
        <v>270334</v>
      </c>
      <c r="B6672">
        <v>222000</v>
      </c>
      <c r="C6672" t="str">
        <f t="shared" si="104"/>
        <v>3. $50K-250K</v>
      </c>
      <c r="D6672" t="s">
        <v>711</v>
      </c>
      <c r="E6672" t="s">
        <v>237</v>
      </c>
      <c r="F6672" t="s">
        <v>670</v>
      </c>
      <c r="G6672" t="s">
        <v>59</v>
      </c>
      <c r="H6672">
        <v>2024</v>
      </c>
    </row>
    <row r="6673" spans="1:8" x14ac:dyDescent="0.2">
      <c r="A6673">
        <v>270335</v>
      </c>
      <c r="B6673">
        <v>19169</v>
      </c>
      <c r="C6673" t="str">
        <f t="shared" si="104"/>
        <v>3. $50K-250K</v>
      </c>
      <c r="D6673" t="s">
        <v>890</v>
      </c>
      <c r="E6673" t="s">
        <v>237</v>
      </c>
      <c r="F6673" t="s">
        <v>670</v>
      </c>
      <c r="G6673" t="s">
        <v>59</v>
      </c>
      <c r="H6673">
        <v>2024</v>
      </c>
    </row>
    <row r="6674" spans="1:8" x14ac:dyDescent="0.2">
      <c r="A6674">
        <v>270336</v>
      </c>
      <c r="B6674">
        <v>250800</v>
      </c>
      <c r="C6674" t="str">
        <f t="shared" si="104"/>
        <v>2. $10K-50K</v>
      </c>
      <c r="D6674" t="s">
        <v>749</v>
      </c>
      <c r="E6674" t="s">
        <v>237</v>
      </c>
      <c r="F6674" t="s">
        <v>670</v>
      </c>
      <c r="G6674" t="s">
        <v>59</v>
      </c>
      <c r="H6674">
        <v>2024</v>
      </c>
    </row>
    <row r="6675" spans="1:8" x14ac:dyDescent="0.2">
      <c r="A6675">
        <v>270337</v>
      </c>
      <c r="B6675">
        <v>222200</v>
      </c>
      <c r="C6675" t="str">
        <f t="shared" si="104"/>
        <v>4. $250K-1M</v>
      </c>
      <c r="D6675" t="s">
        <v>749</v>
      </c>
      <c r="E6675" t="s">
        <v>237</v>
      </c>
      <c r="F6675" t="s">
        <v>670</v>
      </c>
      <c r="G6675" t="s">
        <v>59</v>
      </c>
      <c r="H6675">
        <v>2024</v>
      </c>
    </row>
    <row r="6676" spans="1:8" x14ac:dyDescent="0.2">
      <c r="A6676">
        <v>270338</v>
      </c>
      <c r="B6676">
        <v>222000</v>
      </c>
      <c r="C6676" t="str">
        <f t="shared" si="104"/>
        <v>3. $50K-250K</v>
      </c>
      <c r="D6676" t="s">
        <v>781</v>
      </c>
      <c r="E6676" t="s">
        <v>237</v>
      </c>
      <c r="F6676" t="s">
        <v>670</v>
      </c>
      <c r="G6676" t="s">
        <v>59</v>
      </c>
      <c r="H6676">
        <v>2024</v>
      </c>
    </row>
    <row r="6677" spans="1:8" x14ac:dyDescent="0.2">
      <c r="A6677">
        <v>270339</v>
      </c>
      <c r="B6677">
        <v>283804.59999999998</v>
      </c>
      <c r="C6677" t="str">
        <f t="shared" si="104"/>
        <v>3. $50K-250K</v>
      </c>
      <c r="D6677" t="s">
        <v>933</v>
      </c>
      <c r="E6677" t="s">
        <v>237</v>
      </c>
      <c r="F6677" t="s">
        <v>670</v>
      </c>
      <c r="G6677" t="s">
        <v>59</v>
      </c>
      <c r="H6677">
        <v>2024</v>
      </c>
    </row>
    <row r="6678" spans="1:8" x14ac:dyDescent="0.2">
      <c r="A6678">
        <v>270340</v>
      </c>
      <c r="B6678">
        <v>238992</v>
      </c>
      <c r="C6678" t="str">
        <f t="shared" si="104"/>
        <v>4. $250K-1M</v>
      </c>
      <c r="D6678" t="s">
        <v>985</v>
      </c>
      <c r="E6678" t="s">
        <v>237</v>
      </c>
      <c r="F6678" t="s">
        <v>670</v>
      </c>
      <c r="G6678" t="s">
        <v>59</v>
      </c>
      <c r="H6678">
        <v>2024</v>
      </c>
    </row>
    <row r="6679" spans="1:8" x14ac:dyDescent="0.2">
      <c r="A6679">
        <v>270341</v>
      </c>
      <c r="B6679">
        <v>1038664.3</v>
      </c>
      <c r="C6679" t="str">
        <f t="shared" si="104"/>
        <v>3. $50K-250K</v>
      </c>
      <c r="D6679" t="s">
        <v>805</v>
      </c>
      <c r="E6679" t="s">
        <v>237</v>
      </c>
      <c r="F6679" t="s">
        <v>670</v>
      </c>
      <c r="G6679" t="s">
        <v>59</v>
      </c>
      <c r="H6679">
        <v>2024</v>
      </c>
    </row>
    <row r="6680" spans="1:8" x14ac:dyDescent="0.2">
      <c r="A6680">
        <v>270342</v>
      </c>
      <c r="B6680">
        <v>142140</v>
      </c>
      <c r="C6680" t="str">
        <f t="shared" si="104"/>
        <v>5. $1M+</v>
      </c>
      <c r="D6680" t="s">
        <v>1478</v>
      </c>
      <c r="E6680" t="s">
        <v>237</v>
      </c>
      <c r="F6680" t="s">
        <v>670</v>
      </c>
      <c r="G6680" t="s">
        <v>59</v>
      </c>
      <c r="H6680">
        <v>2024</v>
      </c>
    </row>
    <row r="6681" spans="1:8" x14ac:dyDescent="0.2">
      <c r="A6681">
        <v>270343</v>
      </c>
      <c r="B6681">
        <v>117949.7</v>
      </c>
      <c r="C6681" t="str">
        <f t="shared" si="104"/>
        <v>3. $50K-250K</v>
      </c>
      <c r="D6681" t="s">
        <v>1478</v>
      </c>
      <c r="E6681" t="s">
        <v>237</v>
      </c>
      <c r="F6681" t="s">
        <v>670</v>
      </c>
      <c r="G6681" t="s">
        <v>59</v>
      </c>
      <c r="H6681">
        <v>2024</v>
      </c>
    </row>
    <row r="6682" spans="1:8" x14ac:dyDescent="0.2">
      <c r="A6682">
        <v>270344</v>
      </c>
      <c r="B6682">
        <v>227026.4</v>
      </c>
      <c r="C6682" t="str">
        <f t="shared" si="104"/>
        <v>3. $50K-250K</v>
      </c>
      <c r="D6682" t="s">
        <v>988</v>
      </c>
      <c r="E6682" t="s">
        <v>237</v>
      </c>
      <c r="F6682" t="s">
        <v>670</v>
      </c>
      <c r="G6682" t="s">
        <v>59</v>
      </c>
      <c r="H6682">
        <v>2024</v>
      </c>
    </row>
    <row r="6683" spans="1:8" x14ac:dyDescent="0.2">
      <c r="A6683">
        <v>270345</v>
      </c>
      <c r="B6683">
        <v>103593.1</v>
      </c>
      <c r="C6683" t="str">
        <f t="shared" si="104"/>
        <v>3. $50K-250K</v>
      </c>
      <c r="D6683" t="s">
        <v>1068</v>
      </c>
      <c r="E6683" t="s">
        <v>237</v>
      </c>
      <c r="F6683" t="s">
        <v>670</v>
      </c>
      <c r="G6683" t="s">
        <v>59</v>
      </c>
      <c r="H6683">
        <v>2024</v>
      </c>
    </row>
    <row r="6684" spans="1:8" x14ac:dyDescent="0.2">
      <c r="A6684">
        <v>270346</v>
      </c>
      <c r="B6684">
        <v>206136.19999999899</v>
      </c>
      <c r="C6684" t="str">
        <f t="shared" si="104"/>
        <v>3. $50K-250K</v>
      </c>
      <c r="D6684" t="s">
        <v>755</v>
      </c>
      <c r="E6684" t="s">
        <v>237</v>
      </c>
      <c r="F6684" t="s">
        <v>670</v>
      </c>
      <c r="G6684" t="s">
        <v>59</v>
      </c>
      <c r="H6684">
        <v>2024</v>
      </c>
    </row>
    <row r="6685" spans="1:8" x14ac:dyDescent="0.2">
      <c r="A6685">
        <v>270392</v>
      </c>
      <c r="B6685">
        <v>282891.5</v>
      </c>
      <c r="C6685" t="str">
        <f t="shared" si="104"/>
        <v>3. $50K-250K</v>
      </c>
      <c r="D6685" t="s">
        <v>1583</v>
      </c>
      <c r="E6685" t="s">
        <v>237</v>
      </c>
      <c r="F6685" t="s">
        <v>670</v>
      </c>
      <c r="G6685" t="s">
        <v>59</v>
      </c>
      <c r="H6685">
        <v>2024</v>
      </c>
    </row>
    <row r="6686" spans="1:8" x14ac:dyDescent="0.2">
      <c r="A6686">
        <v>270566</v>
      </c>
      <c r="B6686">
        <v>5810000</v>
      </c>
      <c r="C6686" t="str">
        <f t="shared" si="104"/>
        <v>4. $250K-1M</v>
      </c>
      <c r="D6686" t="s">
        <v>2182</v>
      </c>
      <c r="E6686" t="s">
        <v>99</v>
      </c>
      <c r="F6686" t="s">
        <v>668</v>
      </c>
      <c r="G6686" t="s">
        <v>59</v>
      </c>
      <c r="H6686">
        <v>2024</v>
      </c>
    </row>
    <row r="6687" spans="1:8" x14ac:dyDescent="0.2">
      <c r="A6687">
        <v>270569</v>
      </c>
      <c r="B6687">
        <v>250000</v>
      </c>
      <c r="C6687" t="str">
        <f t="shared" si="104"/>
        <v>5. $1M+</v>
      </c>
      <c r="D6687" t="s">
        <v>925</v>
      </c>
      <c r="E6687" t="s">
        <v>99</v>
      </c>
      <c r="F6687" t="s">
        <v>668</v>
      </c>
      <c r="G6687" t="s">
        <v>59</v>
      </c>
      <c r="H6687">
        <v>2024</v>
      </c>
    </row>
    <row r="6688" spans="1:8" x14ac:dyDescent="0.2">
      <c r="A6688">
        <v>270571</v>
      </c>
      <c r="B6688">
        <v>10000000</v>
      </c>
      <c r="C6688" t="str">
        <f t="shared" si="104"/>
        <v>4. $250K-1M</v>
      </c>
      <c r="D6688" t="s">
        <v>778</v>
      </c>
      <c r="E6688" t="s">
        <v>99</v>
      </c>
      <c r="F6688" t="s">
        <v>668</v>
      </c>
      <c r="G6688" t="s">
        <v>59</v>
      </c>
      <c r="H6688">
        <v>2024</v>
      </c>
    </row>
    <row r="6689" spans="1:8" x14ac:dyDescent="0.2">
      <c r="A6689">
        <v>270574</v>
      </c>
      <c r="B6689">
        <v>150000</v>
      </c>
      <c r="C6689" t="str">
        <f t="shared" si="104"/>
        <v>5. $1M+</v>
      </c>
      <c r="D6689" t="s">
        <v>2183</v>
      </c>
      <c r="E6689" t="s">
        <v>99</v>
      </c>
      <c r="F6689" t="s">
        <v>668</v>
      </c>
      <c r="G6689" t="s">
        <v>59</v>
      </c>
      <c r="H6689">
        <v>2024</v>
      </c>
    </row>
    <row r="6690" spans="1:8" x14ac:dyDescent="0.2">
      <c r="A6690">
        <v>270578</v>
      </c>
      <c r="B6690">
        <v>250000</v>
      </c>
      <c r="C6690" t="str">
        <f t="shared" si="104"/>
        <v>3. $50K-250K</v>
      </c>
      <c r="D6690" t="s">
        <v>2184</v>
      </c>
      <c r="E6690" t="s">
        <v>99</v>
      </c>
      <c r="F6690" t="s">
        <v>668</v>
      </c>
      <c r="G6690" t="s">
        <v>59</v>
      </c>
      <c r="H6690">
        <v>2024</v>
      </c>
    </row>
    <row r="6691" spans="1:8" x14ac:dyDescent="0.2">
      <c r="A6691">
        <v>270581</v>
      </c>
      <c r="B6691">
        <v>39500</v>
      </c>
      <c r="C6691" t="str">
        <f t="shared" si="104"/>
        <v>4. $250K-1M</v>
      </c>
      <c r="D6691" t="s">
        <v>797</v>
      </c>
      <c r="E6691" t="s">
        <v>99</v>
      </c>
      <c r="F6691" t="s">
        <v>668</v>
      </c>
      <c r="G6691" t="s">
        <v>59</v>
      </c>
      <c r="H6691">
        <v>2024</v>
      </c>
    </row>
    <row r="6692" spans="1:8" x14ac:dyDescent="0.2">
      <c r="A6692">
        <v>270583</v>
      </c>
      <c r="B6692">
        <v>212721</v>
      </c>
      <c r="C6692" t="str">
        <f t="shared" si="104"/>
        <v>2. $10K-50K</v>
      </c>
      <c r="D6692" t="s">
        <v>2185</v>
      </c>
      <c r="E6692" t="s">
        <v>99</v>
      </c>
      <c r="F6692" t="s">
        <v>668</v>
      </c>
      <c r="G6692" t="s">
        <v>59</v>
      </c>
      <c r="H6692">
        <v>2024</v>
      </c>
    </row>
    <row r="6693" spans="1:8" x14ac:dyDescent="0.2">
      <c r="A6693">
        <v>270585</v>
      </c>
      <c r="B6693">
        <v>13492500</v>
      </c>
      <c r="C6693" t="str">
        <f t="shared" si="104"/>
        <v>3. $50K-250K</v>
      </c>
      <c r="D6693" t="s">
        <v>2186</v>
      </c>
      <c r="E6693" t="s">
        <v>99</v>
      </c>
      <c r="F6693" t="s">
        <v>668</v>
      </c>
      <c r="G6693" t="s">
        <v>59</v>
      </c>
      <c r="H6693">
        <v>2024</v>
      </c>
    </row>
    <row r="6694" spans="1:8" x14ac:dyDescent="0.2">
      <c r="A6694">
        <v>270586</v>
      </c>
      <c r="B6694">
        <v>2700000</v>
      </c>
      <c r="C6694" t="str">
        <f t="shared" si="104"/>
        <v>5. $1M+</v>
      </c>
      <c r="D6694" t="s">
        <v>869</v>
      </c>
      <c r="E6694" t="s">
        <v>99</v>
      </c>
      <c r="F6694" t="s">
        <v>668</v>
      </c>
      <c r="G6694" t="s">
        <v>59</v>
      </c>
      <c r="H6694">
        <v>2024</v>
      </c>
    </row>
    <row r="6695" spans="1:8" x14ac:dyDescent="0.2">
      <c r="A6695">
        <v>270587</v>
      </c>
      <c r="B6695">
        <v>1599075</v>
      </c>
      <c r="C6695" t="str">
        <f t="shared" si="104"/>
        <v>5. $1M+</v>
      </c>
      <c r="D6695" t="s">
        <v>1094</v>
      </c>
      <c r="E6695" t="s">
        <v>237</v>
      </c>
      <c r="F6695" t="s">
        <v>670</v>
      </c>
      <c r="G6695" t="s">
        <v>59</v>
      </c>
      <c r="H6695">
        <v>2024</v>
      </c>
    </row>
    <row r="6696" spans="1:8" x14ac:dyDescent="0.2">
      <c r="A6696">
        <v>270591</v>
      </c>
      <c r="B6696">
        <v>50000</v>
      </c>
      <c r="C6696" t="str">
        <f t="shared" si="104"/>
        <v>5. $1M+</v>
      </c>
      <c r="D6696" t="s">
        <v>797</v>
      </c>
      <c r="E6696" t="s">
        <v>99</v>
      </c>
      <c r="F6696" t="s">
        <v>668</v>
      </c>
      <c r="G6696" t="s">
        <v>59</v>
      </c>
      <c r="H6696">
        <v>2024</v>
      </c>
    </row>
    <row r="6697" spans="1:8" x14ac:dyDescent="0.2">
      <c r="A6697">
        <v>270592</v>
      </c>
      <c r="B6697">
        <v>600000</v>
      </c>
      <c r="C6697" t="str">
        <f t="shared" si="104"/>
        <v>3. $50K-250K</v>
      </c>
      <c r="D6697" t="s">
        <v>2187</v>
      </c>
      <c r="E6697" t="s">
        <v>99</v>
      </c>
      <c r="F6697" t="s">
        <v>668</v>
      </c>
      <c r="G6697" t="s">
        <v>59</v>
      </c>
      <c r="H6697">
        <v>2024</v>
      </c>
    </row>
    <row r="6698" spans="1:8" x14ac:dyDescent="0.2">
      <c r="A6698">
        <v>270595</v>
      </c>
      <c r="B6698">
        <v>5313737</v>
      </c>
      <c r="C6698" t="str">
        <f t="shared" si="104"/>
        <v>4. $250K-1M</v>
      </c>
      <c r="D6698" t="s">
        <v>2187</v>
      </c>
      <c r="E6698" t="s">
        <v>99</v>
      </c>
      <c r="F6698" t="s">
        <v>668</v>
      </c>
      <c r="G6698" t="s">
        <v>59</v>
      </c>
      <c r="H6698">
        <v>2024</v>
      </c>
    </row>
    <row r="6699" spans="1:8" x14ac:dyDescent="0.2">
      <c r="A6699">
        <v>270596</v>
      </c>
      <c r="B6699">
        <v>196229.2</v>
      </c>
      <c r="C6699" t="str">
        <f t="shared" si="104"/>
        <v>5. $1M+</v>
      </c>
      <c r="D6699" t="s">
        <v>763</v>
      </c>
      <c r="E6699" t="s">
        <v>237</v>
      </c>
      <c r="F6699" t="s">
        <v>670</v>
      </c>
      <c r="G6699" t="s">
        <v>59</v>
      </c>
      <c r="H6699">
        <v>2024</v>
      </c>
    </row>
    <row r="6700" spans="1:8" x14ac:dyDescent="0.2">
      <c r="A6700">
        <v>270602</v>
      </c>
      <c r="B6700">
        <v>396883</v>
      </c>
      <c r="C6700" t="str">
        <f t="shared" si="104"/>
        <v>3. $50K-250K</v>
      </c>
      <c r="D6700" t="s">
        <v>908</v>
      </c>
      <c r="E6700" t="s">
        <v>237</v>
      </c>
      <c r="F6700" t="s">
        <v>670</v>
      </c>
      <c r="G6700" t="s">
        <v>59</v>
      </c>
      <c r="H6700">
        <v>2024</v>
      </c>
    </row>
    <row r="6701" spans="1:8" x14ac:dyDescent="0.2">
      <c r="A6701">
        <v>270604</v>
      </c>
      <c r="B6701">
        <v>510425.59999999998</v>
      </c>
      <c r="C6701" t="str">
        <f t="shared" si="104"/>
        <v>4. $250K-1M</v>
      </c>
      <c r="D6701" t="s">
        <v>783</v>
      </c>
      <c r="E6701" t="s">
        <v>237</v>
      </c>
      <c r="F6701" t="s">
        <v>670</v>
      </c>
      <c r="G6701" t="s">
        <v>59</v>
      </c>
      <c r="H6701">
        <v>2024</v>
      </c>
    </row>
    <row r="6702" spans="1:8" x14ac:dyDescent="0.2">
      <c r="A6702">
        <v>270606</v>
      </c>
      <c r="B6702">
        <v>1857504.4</v>
      </c>
      <c r="C6702" t="str">
        <f t="shared" si="104"/>
        <v>4. $250K-1M</v>
      </c>
      <c r="D6702" t="s">
        <v>799</v>
      </c>
      <c r="E6702" t="s">
        <v>237</v>
      </c>
      <c r="F6702" t="s">
        <v>670</v>
      </c>
      <c r="G6702" t="s">
        <v>59</v>
      </c>
      <c r="H6702">
        <v>2024</v>
      </c>
    </row>
    <row r="6703" spans="1:8" x14ac:dyDescent="0.2">
      <c r="A6703">
        <v>270608</v>
      </c>
      <c r="B6703">
        <v>387305.5</v>
      </c>
      <c r="C6703" t="str">
        <f t="shared" si="104"/>
        <v>5. $1M+</v>
      </c>
      <c r="D6703" t="s">
        <v>708</v>
      </c>
      <c r="E6703" t="s">
        <v>237</v>
      </c>
      <c r="F6703" t="s">
        <v>670</v>
      </c>
      <c r="G6703" t="s">
        <v>59</v>
      </c>
      <c r="H6703">
        <v>2024</v>
      </c>
    </row>
    <row r="6704" spans="1:8" x14ac:dyDescent="0.2">
      <c r="A6704">
        <v>270614</v>
      </c>
      <c r="B6704">
        <v>2160026.6</v>
      </c>
      <c r="C6704" t="str">
        <f t="shared" si="104"/>
        <v>4. $250K-1M</v>
      </c>
      <c r="D6704" t="s">
        <v>1378</v>
      </c>
      <c r="E6704" t="s">
        <v>42</v>
      </c>
      <c r="F6704" t="s">
        <v>670</v>
      </c>
      <c r="G6704" t="s">
        <v>59</v>
      </c>
      <c r="H6704">
        <v>2024</v>
      </c>
    </row>
    <row r="6705" spans="1:8" x14ac:dyDescent="0.2">
      <c r="A6705">
        <v>270617</v>
      </c>
      <c r="B6705">
        <v>45239</v>
      </c>
      <c r="C6705" t="str">
        <f t="shared" si="104"/>
        <v>5. $1M+</v>
      </c>
      <c r="D6705" t="s">
        <v>953</v>
      </c>
      <c r="E6705" t="s">
        <v>825</v>
      </c>
      <c r="F6705" t="s">
        <v>670</v>
      </c>
      <c r="G6705" t="s">
        <v>59</v>
      </c>
      <c r="H6705">
        <v>2024</v>
      </c>
    </row>
    <row r="6706" spans="1:8" x14ac:dyDescent="0.2">
      <c r="A6706">
        <v>270619</v>
      </c>
      <c r="B6706">
        <v>66186</v>
      </c>
      <c r="C6706" t="str">
        <f t="shared" si="104"/>
        <v>2. $10K-50K</v>
      </c>
      <c r="D6706" t="s">
        <v>955</v>
      </c>
      <c r="E6706" t="s">
        <v>825</v>
      </c>
      <c r="F6706" t="s">
        <v>670</v>
      </c>
      <c r="G6706" t="s">
        <v>59</v>
      </c>
      <c r="H6706">
        <v>2024</v>
      </c>
    </row>
    <row r="6707" spans="1:8" x14ac:dyDescent="0.2">
      <c r="A6707">
        <v>270621</v>
      </c>
      <c r="B6707">
        <v>54124.7</v>
      </c>
      <c r="C6707" t="str">
        <f t="shared" si="104"/>
        <v>3. $50K-250K</v>
      </c>
      <c r="D6707" t="s">
        <v>926</v>
      </c>
      <c r="E6707" t="s">
        <v>825</v>
      </c>
      <c r="F6707" t="s">
        <v>670</v>
      </c>
      <c r="G6707" t="s">
        <v>59</v>
      </c>
      <c r="H6707">
        <v>2024</v>
      </c>
    </row>
    <row r="6708" spans="1:8" x14ac:dyDescent="0.2">
      <c r="A6708">
        <v>270622</v>
      </c>
      <c r="B6708">
        <v>258264.6</v>
      </c>
      <c r="C6708" t="str">
        <f t="shared" si="104"/>
        <v>3. $50K-250K</v>
      </c>
      <c r="D6708" t="s">
        <v>780</v>
      </c>
      <c r="E6708" t="s">
        <v>42</v>
      </c>
      <c r="F6708" t="s">
        <v>670</v>
      </c>
      <c r="G6708" t="s">
        <v>59</v>
      </c>
      <c r="H6708">
        <v>2024</v>
      </c>
    </row>
    <row r="6709" spans="1:8" x14ac:dyDescent="0.2">
      <c r="A6709">
        <v>270624</v>
      </c>
      <c r="B6709">
        <v>52499.199999999997</v>
      </c>
      <c r="C6709" t="str">
        <f t="shared" si="104"/>
        <v>4. $250K-1M</v>
      </c>
      <c r="D6709" t="s">
        <v>812</v>
      </c>
      <c r="E6709" t="s">
        <v>825</v>
      </c>
      <c r="F6709" t="s">
        <v>670</v>
      </c>
      <c r="G6709" t="s">
        <v>59</v>
      </c>
      <c r="H6709">
        <v>2024</v>
      </c>
    </row>
    <row r="6710" spans="1:8" x14ac:dyDescent="0.2">
      <c r="A6710">
        <v>270634</v>
      </c>
      <c r="B6710">
        <v>937140</v>
      </c>
      <c r="C6710" t="str">
        <f t="shared" si="104"/>
        <v>3. $50K-250K</v>
      </c>
      <c r="D6710" t="s">
        <v>434</v>
      </c>
      <c r="E6710" t="s">
        <v>112</v>
      </c>
      <c r="F6710" t="s">
        <v>12</v>
      </c>
      <c r="G6710" t="s">
        <v>10</v>
      </c>
      <c r="H6710">
        <v>2025</v>
      </c>
    </row>
    <row r="6711" spans="1:8" x14ac:dyDescent="0.2">
      <c r="A6711">
        <v>270657</v>
      </c>
      <c r="B6711">
        <v>52955.9</v>
      </c>
      <c r="C6711" t="str">
        <f t="shared" si="104"/>
        <v>4. $250K-1M</v>
      </c>
      <c r="D6711" t="s">
        <v>822</v>
      </c>
      <c r="E6711" t="s">
        <v>825</v>
      </c>
      <c r="F6711" t="s">
        <v>670</v>
      </c>
      <c r="G6711" t="s">
        <v>59</v>
      </c>
      <c r="H6711">
        <v>2024</v>
      </c>
    </row>
    <row r="6712" spans="1:8" x14ac:dyDescent="0.2">
      <c r="A6712">
        <v>270659</v>
      </c>
      <c r="B6712">
        <v>51277.2</v>
      </c>
      <c r="C6712" t="str">
        <f t="shared" si="104"/>
        <v>3. $50K-250K</v>
      </c>
      <c r="D6712" t="s">
        <v>809</v>
      </c>
      <c r="E6712" t="s">
        <v>825</v>
      </c>
      <c r="F6712" t="s">
        <v>670</v>
      </c>
      <c r="G6712" t="s">
        <v>59</v>
      </c>
      <c r="H6712">
        <v>2024</v>
      </c>
    </row>
    <row r="6713" spans="1:8" x14ac:dyDescent="0.2">
      <c r="A6713">
        <v>270661</v>
      </c>
      <c r="B6713">
        <v>52500</v>
      </c>
      <c r="C6713" t="str">
        <f t="shared" si="104"/>
        <v>3. $50K-250K</v>
      </c>
      <c r="D6713" t="s">
        <v>949</v>
      </c>
      <c r="E6713" t="s">
        <v>825</v>
      </c>
      <c r="F6713" t="s">
        <v>670</v>
      </c>
      <c r="G6713" t="s">
        <v>59</v>
      </c>
      <c r="H6713">
        <v>2024</v>
      </c>
    </row>
    <row r="6714" spans="1:8" x14ac:dyDescent="0.2">
      <c r="A6714">
        <v>270662</v>
      </c>
      <c r="B6714">
        <v>52341.4</v>
      </c>
      <c r="C6714" t="str">
        <f t="shared" si="104"/>
        <v>3. $50K-250K</v>
      </c>
      <c r="D6714" t="s">
        <v>948</v>
      </c>
      <c r="E6714" t="s">
        <v>825</v>
      </c>
      <c r="F6714" t="s">
        <v>670</v>
      </c>
      <c r="G6714" t="s">
        <v>59</v>
      </c>
      <c r="H6714">
        <v>2024</v>
      </c>
    </row>
    <row r="6715" spans="1:8" x14ac:dyDescent="0.2">
      <c r="A6715">
        <v>270663</v>
      </c>
      <c r="B6715">
        <v>22168.2</v>
      </c>
      <c r="C6715" t="str">
        <f t="shared" si="104"/>
        <v>3. $50K-250K</v>
      </c>
      <c r="D6715" t="s">
        <v>749</v>
      </c>
      <c r="E6715" t="s">
        <v>825</v>
      </c>
      <c r="F6715" t="s">
        <v>670</v>
      </c>
      <c r="G6715" t="s">
        <v>59</v>
      </c>
      <c r="H6715">
        <v>2024</v>
      </c>
    </row>
    <row r="6716" spans="1:8" x14ac:dyDescent="0.2">
      <c r="A6716">
        <v>270721</v>
      </c>
      <c r="B6716">
        <v>381559.5</v>
      </c>
      <c r="C6716" t="str">
        <f t="shared" si="104"/>
        <v>2. $10K-50K</v>
      </c>
      <c r="D6716" t="s">
        <v>687</v>
      </c>
      <c r="E6716" t="s">
        <v>42</v>
      </c>
      <c r="F6716" t="s">
        <v>670</v>
      </c>
      <c r="G6716" t="s">
        <v>59</v>
      </c>
      <c r="H6716">
        <v>2024</v>
      </c>
    </row>
    <row r="6717" spans="1:8" x14ac:dyDescent="0.2">
      <c r="A6717">
        <v>270722</v>
      </c>
      <c r="B6717">
        <v>130515.6</v>
      </c>
      <c r="C6717" t="str">
        <f t="shared" si="104"/>
        <v>4. $250K-1M</v>
      </c>
      <c r="D6717" t="s">
        <v>895</v>
      </c>
      <c r="E6717" t="s">
        <v>42</v>
      </c>
      <c r="F6717" t="s">
        <v>670</v>
      </c>
      <c r="G6717" t="s">
        <v>59</v>
      </c>
      <c r="H6717">
        <v>2024</v>
      </c>
    </row>
    <row r="6718" spans="1:8" x14ac:dyDescent="0.2">
      <c r="A6718">
        <v>270749</v>
      </c>
      <c r="B6718">
        <v>278325.59999999998</v>
      </c>
      <c r="C6718" t="str">
        <f t="shared" si="104"/>
        <v>3. $50K-250K</v>
      </c>
      <c r="D6718" t="s">
        <v>804</v>
      </c>
      <c r="E6718" t="s">
        <v>237</v>
      </c>
      <c r="F6718" t="s">
        <v>670</v>
      </c>
      <c r="G6718" t="s">
        <v>59</v>
      </c>
      <c r="H6718">
        <v>2024</v>
      </c>
    </row>
    <row r="6719" spans="1:8" x14ac:dyDescent="0.2">
      <c r="A6719">
        <v>27075</v>
      </c>
      <c r="B6719">
        <v>65811988</v>
      </c>
      <c r="C6719" t="str">
        <f t="shared" si="104"/>
        <v>4. $250K-1M</v>
      </c>
      <c r="D6719" t="s">
        <v>414</v>
      </c>
      <c r="E6719" t="s">
        <v>28</v>
      </c>
      <c r="F6719" t="s">
        <v>29</v>
      </c>
      <c r="G6719" t="s">
        <v>44</v>
      </c>
      <c r="H6719">
        <v>2023</v>
      </c>
    </row>
    <row r="6720" spans="1:8" x14ac:dyDescent="0.2">
      <c r="A6720">
        <v>270752</v>
      </c>
      <c r="B6720">
        <v>52500</v>
      </c>
      <c r="C6720" t="str">
        <f t="shared" si="104"/>
        <v>5. $1M+</v>
      </c>
      <c r="D6720" t="s">
        <v>951</v>
      </c>
      <c r="E6720" t="s">
        <v>825</v>
      </c>
      <c r="F6720" t="s">
        <v>670</v>
      </c>
      <c r="G6720" t="s">
        <v>59</v>
      </c>
      <c r="H6720">
        <v>2024</v>
      </c>
    </row>
    <row r="6721" spans="1:8" x14ac:dyDescent="0.2">
      <c r="A6721">
        <v>270753</v>
      </c>
      <c r="B6721">
        <v>796007.6</v>
      </c>
      <c r="C6721" t="str">
        <f t="shared" si="104"/>
        <v>3. $50K-250K</v>
      </c>
      <c r="D6721" t="s">
        <v>965</v>
      </c>
      <c r="E6721" t="s">
        <v>825</v>
      </c>
      <c r="F6721" t="s">
        <v>670</v>
      </c>
      <c r="G6721" t="s">
        <v>59</v>
      </c>
      <c r="H6721">
        <v>2024</v>
      </c>
    </row>
    <row r="6722" spans="1:8" x14ac:dyDescent="0.2">
      <c r="A6722">
        <v>270755</v>
      </c>
      <c r="B6722">
        <v>36024.800000000003</v>
      </c>
      <c r="C6722" t="str">
        <f t="shared" si="104"/>
        <v>4. $250K-1M</v>
      </c>
      <c r="D6722" t="s">
        <v>749</v>
      </c>
      <c r="E6722" t="s">
        <v>825</v>
      </c>
      <c r="F6722" t="s">
        <v>670</v>
      </c>
      <c r="G6722" t="s">
        <v>59</v>
      </c>
      <c r="H6722">
        <v>2024</v>
      </c>
    </row>
    <row r="6723" spans="1:8" x14ac:dyDescent="0.2">
      <c r="A6723">
        <v>270756</v>
      </c>
      <c r="B6723">
        <v>52499.8</v>
      </c>
      <c r="C6723" t="str">
        <f t="shared" ref="C6723:C6786" si="105">IF(B6722&lt;10000,"1. Under $10K",IF(B6722&lt;50000,"2. $10K-50K",IF(B6722&lt;250000,"3. $50K-250K",IF(B6722&lt;1000000,"4. $250K-1M","5. $1M+"))))</f>
        <v>2. $10K-50K</v>
      </c>
      <c r="D6723" t="s">
        <v>950</v>
      </c>
      <c r="E6723" t="s">
        <v>825</v>
      </c>
      <c r="F6723" t="s">
        <v>670</v>
      </c>
      <c r="G6723" t="s">
        <v>59</v>
      </c>
      <c r="H6723">
        <v>2024</v>
      </c>
    </row>
    <row r="6724" spans="1:8" x14ac:dyDescent="0.2">
      <c r="A6724">
        <v>270757</v>
      </c>
      <c r="B6724">
        <v>487881</v>
      </c>
      <c r="C6724" t="str">
        <f t="shared" si="105"/>
        <v>3. $50K-250K</v>
      </c>
      <c r="D6724" t="s">
        <v>803</v>
      </c>
      <c r="E6724" t="s">
        <v>99</v>
      </c>
      <c r="F6724" t="s">
        <v>670</v>
      </c>
      <c r="G6724" t="s">
        <v>59</v>
      </c>
      <c r="H6724">
        <v>2024</v>
      </c>
    </row>
    <row r="6725" spans="1:8" x14ac:dyDescent="0.2">
      <c r="A6725">
        <v>270759</v>
      </c>
      <c r="B6725">
        <v>49193.7</v>
      </c>
      <c r="C6725" t="str">
        <f t="shared" si="105"/>
        <v>4. $250K-1M</v>
      </c>
      <c r="D6725" t="s">
        <v>958</v>
      </c>
      <c r="E6725" t="s">
        <v>825</v>
      </c>
      <c r="F6725" t="s">
        <v>670</v>
      </c>
      <c r="G6725" t="s">
        <v>59</v>
      </c>
      <c r="H6725">
        <v>2024</v>
      </c>
    </row>
    <row r="6726" spans="1:8" x14ac:dyDescent="0.2">
      <c r="A6726">
        <v>270761</v>
      </c>
      <c r="B6726">
        <v>52092.800000000003</v>
      </c>
      <c r="C6726" t="str">
        <f t="shared" si="105"/>
        <v>2. $10K-50K</v>
      </c>
      <c r="D6726" t="s">
        <v>952</v>
      </c>
      <c r="E6726" t="s">
        <v>825</v>
      </c>
      <c r="F6726" t="s">
        <v>670</v>
      </c>
      <c r="G6726" t="s">
        <v>59</v>
      </c>
      <c r="H6726">
        <v>2024</v>
      </c>
    </row>
    <row r="6727" spans="1:8" x14ac:dyDescent="0.2">
      <c r="A6727">
        <v>270762</v>
      </c>
      <c r="B6727">
        <v>52494.6</v>
      </c>
      <c r="C6727" t="str">
        <f t="shared" si="105"/>
        <v>3. $50K-250K</v>
      </c>
      <c r="D6727" t="s">
        <v>900</v>
      </c>
      <c r="E6727" t="s">
        <v>825</v>
      </c>
      <c r="F6727" t="s">
        <v>670</v>
      </c>
      <c r="G6727" t="s">
        <v>59</v>
      </c>
      <c r="H6727">
        <v>2024</v>
      </c>
    </row>
    <row r="6728" spans="1:8" x14ac:dyDescent="0.2">
      <c r="A6728">
        <v>270772</v>
      </c>
      <c r="B6728">
        <v>712339.4</v>
      </c>
      <c r="C6728" t="str">
        <f t="shared" si="105"/>
        <v>3. $50K-250K</v>
      </c>
      <c r="D6728" t="s">
        <v>964</v>
      </c>
      <c r="E6728" t="s">
        <v>825</v>
      </c>
      <c r="F6728" t="s">
        <v>670</v>
      </c>
      <c r="G6728" t="s">
        <v>59</v>
      </c>
      <c r="H6728">
        <v>2024</v>
      </c>
    </row>
    <row r="6729" spans="1:8" x14ac:dyDescent="0.2">
      <c r="A6729">
        <v>270774</v>
      </c>
      <c r="B6729">
        <v>37260.5</v>
      </c>
      <c r="C6729" t="str">
        <f t="shared" si="105"/>
        <v>4. $250K-1M</v>
      </c>
      <c r="D6729" t="s">
        <v>937</v>
      </c>
      <c r="E6729" t="s">
        <v>237</v>
      </c>
      <c r="F6729" t="s">
        <v>670</v>
      </c>
      <c r="G6729" t="s">
        <v>59</v>
      </c>
      <c r="H6729">
        <v>2024</v>
      </c>
    </row>
    <row r="6730" spans="1:8" x14ac:dyDescent="0.2">
      <c r="A6730">
        <v>270778</v>
      </c>
      <c r="B6730">
        <v>518719.5</v>
      </c>
      <c r="C6730" t="str">
        <f t="shared" si="105"/>
        <v>2. $10K-50K</v>
      </c>
      <c r="D6730" t="s">
        <v>984</v>
      </c>
      <c r="E6730" t="s">
        <v>237</v>
      </c>
      <c r="F6730" t="s">
        <v>670</v>
      </c>
      <c r="G6730" t="s">
        <v>59</v>
      </c>
      <c r="H6730">
        <v>2024</v>
      </c>
    </row>
    <row r="6731" spans="1:8" x14ac:dyDescent="0.2">
      <c r="A6731">
        <v>270779</v>
      </c>
      <c r="B6731">
        <v>557037.1</v>
      </c>
      <c r="C6731" t="str">
        <f t="shared" si="105"/>
        <v>4. $250K-1M</v>
      </c>
      <c r="D6731" t="s">
        <v>986</v>
      </c>
      <c r="E6731" t="s">
        <v>237</v>
      </c>
      <c r="F6731" t="s">
        <v>670</v>
      </c>
      <c r="G6731" t="s">
        <v>59</v>
      </c>
      <c r="H6731">
        <v>2024</v>
      </c>
    </row>
    <row r="6732" spans="1:8" x14ac:dyDescent="0.2">
      <c r="A6732">
        <v>270780</v>
      </c>
      <c r="B6732">
        <v>561921.5</v>
      </c>
      <c r="C6732" t="str">
        <f t="shared" si="105"/>
        <v>4. $250K-1M</v>
      </c>
      <c r="D6732" t="s">
        <v>925</v>
      </c>
      <c r="E6732" t="s">
        <v>237</v>
      </c>
      <c r="F6732" t="s">
        <v>670</v>
      </c>
      <c r="G6732" t="s">
        <v>59</v>
      </c>
      <c r="H6732">
        <v>2024</v>
      </c>
    </row>
    <row r="6733" spans="1:8" x14ac:dyDescent="0.2">
      <c r="A6733">
        <v>270781</v>
      </c>
      <c r="B6733">
        <v>1847820</v>
      </c>
      <c r="C6733" t="str">
        <f t="shared" si="105"/>
        <v>4. $250K-1M</v>
      </c>
      <c r="D6733" t="s">
        <v>1094</v>
      </c>
      <c r="E6733" t="s">
        <v>237</v>
      </c>
      <c r="F6733" t="s">
        <v>670</v>
      </c>
      <c r="G6733" t="s">
        <v>59</v>
      </c>
      <c r="H6733">
        <v>2024</v>
      </c>
    </row>
    <row r="6734" spans="1:8" x14ac:dyDescent="0.2">
      <c r="A6734">
        <v>270782</v>
      </c>
      <c r="B6734">
        <v>1421400</v>
      </c>
      <c r="C6734" t="str">
        <f t="shared" si="105"/>
        <v>5. $1M+</v>
      </c>
      <c r="D6734" t="s">
        <v>1094</v>
      </c>
      <c r="E6734" t="s">
        <v>237</v>
      </c>
      <c r="F6734" t="s">
        <v>670</v>
      </c>
      <c r="G6734" t="s">
        <v>59</v>
      </c>
      <c r="H6734">
        <v>2024</v>
      </c>
    </row>
    <row r="6735" spans="1:8" x14ac:dyDescent="0.2">
      <c r="A6735">
        <v>270783</v>
      </c>
      <c r="B6735">
        <v>2842800</v>
      </c>
      <c r="C6735" t="str">
        <f t="shared" si="105"/>
        <v>5. $1M+</v>
      </c>
      <c r="D6735" t="s">
        <v>1094</v>
      </c>
      <c r="E6735" t="s">
        <v>237</v>
      </c>
      <c r="F6735" t="s">
        <v>670</v>
      </c>
      <c r="G6735" t="s">
        <v>59</v>
      </c>
      <c r="H6735">
        <v>2024</v>
      </c>
    </row>
    <row r="6736" spans="1:8" x14ac:dyDescent="0.2">
      <c r="A6736">
        <v>270784</v>
      </c>
      <c r="B6736">
        <v>1279260</v>
      </c>
      <c r="C6736" t="str">
        <f t="shared" si="105"/>
        <v>5. $1M+</v>
      </c>
      <c r="D6736" t="s">
        <v>1094</v>
      </c>
      <c r="E6736" t="s">
        <v>237</v>
      </c>
      <c r="F6736" t="s">
        <v>670</v>
      </c>
      <c r="G6736" t="s">
        <v>59</v>
      </c>
      <c r="H6736">
        <v>2024</v>
      </c>
    </row>
    <row r="6737" spans="1:8" x14ac:dyDescent="0.2">
      <c r="A6737">
        <v>270785</v>
      </c>
      <c r="B6737">
        <v>1918890</v>
      </c>
      <c r="C6737" t="str">
        <f t="shared" si="105"/>
        <v>5. $1M+</v>
      </c>
      <c r="D6737" t="s">
        <v>1094</v>
      </c>
      <c r="E6737" t="s">
        <v>237</v>
      </c>
      <c r="F6737" t="s">
        <v>670</v>
      </c>
      <c r="G6737" t="s">
        <v>59</v>
      </c>
      <c r="H6737">
        <v>2024</v>
      </c>
    </row>
    <row r="6738" spans="1:8" x14ac:dyDescent="0.2">
      <c r="A6738">
        <v>270786</v>
      </c>
      <c r="B6738">
        <v>127742.7</v>
      </c>
      <c r="C6738" t="str">
        <f t="shared" si="105"/>
        <v>5. $1M+</v>
      </c>
      <c r="D6738" t="s">
        <v>724</v>
      </c>
      <c r="E6738" t="s">
        <v>237</v>
      </c>
      <c r="F6738" t="s">
        <v>670</v>
      </c>
      <c r="G6738" t="s">
        <v>59</v>
      </c>
      <c r="H6738">
        <v>2024</v>
      </c>
    </row>
    <row r="6739" spans="1:8" x14ac:dyDescent="0.2">
      <c r="A6739">
        <v>270788</v>
      </c>
      <c r="B6739">
        <v>180574.5</v>
      </c>
      <c r="C6739" t="str">
        <f t="shared" si="105"/>
        <v>3. $50K-250K</v>
      </c>
      <c r="D6739" t="s">
        <v>1103</v>
      </c>
      <c r="E6739" t="s">
        <v>237</v>
      </c>
      <c r="F6739" t="s">
        <v>670</v>
      </c>
      <c r="G6739" t="s">
        <v>59</v>
      </c>
      <c r="H6739">
        <v>2024</v>
      </c>
    </row>
    <row r="6740" spans="1:8" x14ac:dyDescent="0.2">
      <c r="A6740">
        <v>270809</v>
      </c>
      <c r="B6740">
        <v>250000</v>
      </c>
      <c r="C6740" t="str">
        <f t="shared" si="105"/>
        <v>3. $50K-250K</v>
      </c>
      <c r="D6740" t="s">
        <v>2188</v>
      </c>
      <c r="E6740" t="s">
        <v>99</v>
      </c>
      <c r="F6740" t="s">
        <v>668</v>
      </c>
      <c r="G6740" t="s">
        <v>59</v>
      </c>
      <c r="H6740">
        <v>2024</v>
      </c>
    </row>
    <row r="6741" spans="1:8" x14ac:dyDescent="0.2">
      <c r="A6741">
        <v>270810</v>
      </c>
      <c r="B6741">
        <v>1983938</v>
      </c>
      <c r="C6741" t="str">
        <f t="shared" si="105"/>
        <v>4. $250K-1M</v>
      </c>
      <c r="D6741" t="s">
        <v>1764</v>
      </c>
      <c r="E6741" t="s">
        <v>99</v>
      </c>
      <c r="F6741" t="s">
        <v>668</v>
      </c>
      <c r="G6741" t="s">
        <v>59</v>
      </c>
      <c r="H6741">
        <v>2024</v>
      </c>
    </row>
    <row r="6742" spans="1:8" x14ac:dyDescent="0.2">
      <c r="A6742">
        <v>270812</v>
      </c>
      <c r="B6742">
        <v>850000</v>
      </c>
      <c r="C6742" t="str">
        <f t="shared" si="105"/>
        <v>5. $1M+</v>
      </c>
      <c r="D6742" t="s">
        <v>778</v>
      </c>
      <c r="E6742" t="s">
        <v>99</v>
      </c>
      <c r="F6742" t="s">
        <v>668</v>
      </c>
      <c r="G6742" t="s">
        <v>59</v>
      </c>
      <c r="H6742">
        <v>2024</v>
      </c>
    </row>
    <row r="6743" spans="1:8" x14ac:dyDescent="0.2">
      <c r="A6743">
        <v>270814</v>
      </c>
      <c r="B6743">
        <v>40000</v>
      </c>
      <c r="C6743" t="str">
        <f t="shared" si="105"/>
        <v>4. $250K-1M</v>
      </c>
      <c r="D6743" t="s">
        <v>778</v>
      </c>
      <c r="E6743" t="s">
        <v>99</v>
      </c>
      <c r="F6743" t="s">
        <v>668</v>
      </c>
      <c r="G6743" t="s">
        <v>59</v>
      </c>
      <c r="H6743">
        <v>2024</v>
      </c>
    </row>
    <row r="6744" spans="1:8" x14ac:dyDescent="0.2">
      <c r="A6744">
        <v>270821</v>
      </c>
      <c r="B6744">
        <v>150000</v>
      </c>
      <c r="C6744" t="str">
        <f t="shared" si="105"/>
        <v>2. $10K-50K</v>
      </c>
      <c r="D6744" t="s">
        <v>2189</v>
      </c>
      <c r="E6744" t="s">
        <v>99</v>
      </c>
      <c r="F6744" t="s">
        <v>668</v>
      </c>
      <c r="G6744" t="s">
        <v>59</v>
      </c>
      <c r="H6744">
        <v>2024</v>
      </c>
    </row>
    <row r="6745" spans="1:8" x14ac:dyDescent="0.2">
      <c r="A6745">
        <v>270830</v>
      </c>
      <c r="B6745">
        <v>1400000</v>
      </c>
      <c r="C6745" t="str">
        <f t="shared" si="105"/>
        <v>3. $50K-250K</v>
      </c>
      <c r="D6745" t="s">
        <v>778</v>
      </c>
      <c r="E6745" t="s">
        <v>99</v>
      </c>
      <c r="F6745" t="s">
        <v>668</v>
      </c>
      <c r="G6745" t="s">
        <v>59</v>
      </c>
      <c r="H6745">
        <v>2024</v>
      </c>
    </row>
    <row r="6746" spans="1:8" x14ac:dyDescent="0.2">
      <c r="A6746">
        <v>270851</v>
      </c>
      <c r="B6746">
        <v>250000</v>
      </c>
      <c r="C6746" t="str">
        <f t="shared" si="105"/>
        <v>5. $1M+</v>
      </c>
      <c r="D6746" t="s">
        <v>2190</v>
      </c>
      <c r="E6746" t="s">
        <v>99</v>
      </c>
      <c r="F6746" t="s">
        <v>668</v>
      </c>
      <c r="G6746" t="s">
        <v>59</v>
      </c>
      <c r="H6746">
        <v>2024</v>
      </c>
    </row>
    <row r="6747" spans="1:8" x14ac:dyDescent="0.2">
      <c r="A6747">
        <v>270855</v>
      </c>
      <c r="B6747">
        <v>560000</v>
      </c>
      <c r="C6747" t="str">
        <f t="shared" si="105"/>
        <v>4. $250K-1M</v>
      </c>
      <c r="D6747" t="s">
        <v>774</v>
      </c>
      <c r="E6747" t="s">
        <v>99</v>
      </c>
      <c r="F6747" t="s">
        <v>668</v>
      </c>
      <c r="G6747" t="s">
        <v>59</v>
      </c>
      <c r="H6747">
        <v>2024</v>
      </c>
    </row>
    <row r="6748" spans="1:8" x14ac:dyDescent="0.2">
      <c r="A6748">
        <v>270859</v>
      </c>
      <c r="B6748">
        <v>150000</v>
      </c>
      <c r="C6748" t="str">
        <f t="shared" si="105"/>
        <v>4. $250K-1M</v>
      </c>
      <c r="D6748" t="s">
        <v>2191</v>
      </c>
      <c r="E6748" t="s">
        <v>99</v>
      </c>
      <c r="F6748" t="s">
        <v>668</v>
      </c>
      <c r="G6748" t="s">
        <v>59</v>
      </c>
      <c r="H6748">
        <v>2024</v>
      </c>
    </row>
    <row r="6749" spans="1:8" x14ac:dyDescent="0.2">
      <c r="A6749">
        <v>270866</v>
      </c>
      <c r="B6749">
        <v>150000</v>
      </c>
      <c r="C6749" t="str">
        <f t="shared" si="105"/>
        <v>3. $50K-250K</v>
      </c>
      <c r="D6749" t="s">
        <v>1299</v>
      </c>
      <c r="E6749" t="s">
        <v>99</v>
      </c>
      <c r="F6749" t="s">
        <v>668</v>
      </c>
      <c r="G6749" t="s">
        <v>59</v>
      </c>
      <c r="H6749">
        <v>2024</v>
      </c>
    </row>
    <row r="6750" spans="1:8" x14ac:dyDescent="0.2">
      <c r="A6750">
        <v>270908</v>
      </c>
      <c r="B6750">
        <v>306382.2</v>
      </c>
      <c r="C6750" t="str">
        <f t="shared" si="105"/>
        <v>3. $50K-250K</v>
      </c>
      <c r="D6750" t="s">
        <v>878</v>
      </c>
      <c r="E6750" t="s">
        <v>42</v>
      </c>
      <c r="F6750" t="s">
        <v>670</v>
      </c>
      <c r="G6750" t="s">
        <v>59</v>
      </c>
      <c r="H6750">
        <v>2024</v>
      </c>
    </row>
    <row r="6751" spans="1:8" x14ac:dyDescent="0.2">
      <c r="A6751">
        <v>270909</v>
      </c>
      <c r="B6751">
        <v>333332.8</v>
      </c>
      <c r="C6751" t="str">
        <f t="shared" si="105"/>
        <v>4. $250K-1M</v>
      </c>
      <c r="D6751" t="s">
        <v>804</v>
      </c>
      <c r="E6751" t="s">
        <v>42</v>
      </c>
      <c r="F6751" t="s">
        <v>670</v>
      </c>
      <c r="G6751" t="s">
        <v>59</v>
      </c>
      <c r="H6751">
        <v>2024</v>
      </c>
    </row>
    <row r="6752" spans="1:8" x14ac:dyDescent="0.2">
      <c r="A6752">
        <v>270916</v>
      </c>
      <c r="B6752">
        <v>41095</v>
      </c>
      <c r="C6752" t="str">
        <f t="shared" si="105"/>
        <v>4. $250K-1M</v>
      </c>
      <c r="D6752" t="s">
        <v>794</v>
      </c>
      <c r="E6752" t="s">
        <v>237</v>
      </c>
      <c r="F6752" t="s">
        <v>670</v>
      </c>
      <c r="G6752" t="s">
        <v>59</v>
      </c>
      <c r="H6752">
        <v>2024</v>
      </c>
    </row>
    <row r="6753" spans="1:8" x14ac:dyDescent="0.2">
      <c r="A6753">
        <v>270926</v>
      </c>
      <c r="B6753">
        <v>2502500</v>
      </c>
      <c r="C6753" t="str">
        <f t="shared" si="105"/>
        <v>2. $10K-50K</v>
      </c>
      <c r="D6753" t="s">
        <v>2155</v>
      </c>
      <c r="E6753" t="s">
        <v>237</v>
      </c>
      <c r="F6753" t="s">
        <v>670</v>
      </c>
      <c r="G6753" t="s">
        <v>59</v>
      </c>
      <c r="H6753">
        <v>2024</v>
      </c>
    </row>
    <row r="6754" spans="1:8" x14ac:dyDescent="0.2">
      <c r="A6754">
        <v>270935</v>
      </c>
      <c r="B6754">
        <v>75000</v>
      </c>
      <c r="C6754" t="str">
        <f t="shared" si="105"/>
        <v>5. $1M+</v>
      </c>
      <c r="D6754" t="s">
        <v>964</v>
      </c>
      <c r="E6754" t="s">
        <v>825</v>
      </c>
      <c r="F6754" t="s">
        <v>670</v>
      </c>
      <c r="G6754" t="s">
        <v>59</v>
      </c>
      <c r="H6754">
        <v>2024</v>
      </c>
    </row>
    <row r="6755" spans="1:8" x14ac:dyDescent="0.2">
      <c r="A6755">
        <v>270937</v>
      </c>
      <c r="B6755">
        <v>204538</v>
      </c>
      <c r="C6755" t="str">
        <f t="shared" si="105"/>
        <v>3. $50K-250K</v>
      </c>
      <c r="D6755" t="s">
        <v>877</v>
      </c>
      <c r="E6755" t="s">
        <v>237</v>
      </c>
      <c r="F6755" t="s">
        <v>670</v>
      </c>
      <c r="G6755" t="s">
        <v>59</v>
      </c>
      <c r="H6755">
        <v>2024</v>
      </c>
    </row>
    <row r="6756" spans="1:8" x14ac:dyDescent="0.2">
      <c r="A6756">
        <v>270940</v>
      </c>
      <c r="B6756">
        <v>129250</v>
      </c>
      <c r="C6756" t="str">
        <f t="shared" si="105"/>
        <v>3. $50K-250K</v>
      </c>
      <c r="D6756" t="s">
        <v>877</v>
      </c>
      <c r="E6756" t="s">
        <v>237</v>
      </c>
      <c r="F6756" t="s">
        <v>670</v>
      </c>
      <c r="G6756" t="s">
        <v>59</v>
      </c>
      <c r="H6756">
        <v>2024</v>
      </c>
    </row>
    <row r="6757" spans="1:8" x14ac:dyDescent="0.2">
      <c r="A6757">
        <v>270942</v>
      </c>
      <c r="B6757">
        <v>50000</v>
      </c>
      <c r="C6757" t="str">
        <f t="shared" si="105"/>
        <v>3. $50K-250K</v>
      </c>
      <c r="D6757" t="s">
        <v>2192</v>
      </c>
      <c r="E6757" t="s">
        <v>112</v>
      </c>
      <c r="F6757" t="s">
        <v>668</v>
      </c>
      <c r="G6757" t="s">
        <v>59</v>
      </c>
      <c r="H6757">
        <v>2024</v>
      </c>
    </row>
    <row r="6758" spans="1:8" x14ac:dyDescent="0.2">
      <c r="A6758">
        <v>270944</v>
      </c>
      <c r="B6758">
        <v>43734.400000000001</v>
      </c>
      <c r="C6758" t="str">
        <f t="shared" si="105"/>
        <v>3. $50K-250K</v>
      </c>
      <c r="D6758" t="s">
        <v>865</v>
      </c>
      <c r="E6758" t="s">
        <v>237</v>
      </c>
      <c r="F6758" t="s">
        <v>670</v>
      </c>
      <c r="G6758" t="s">
        <v>59</v>
      </c>
      <c r="H6758">
        <v>2024</v>
      </c>
    </row>
    <row r="6759" spans="1:8" x14ac:dyDescent="0.2">
      <c r="A6759">
        <v>270946</v>
      </c>
      <c r="B6759">
        <v>44000</v>
      </c>
      <c r="C6759" t="str">
        <f t="shared" si="105"/>
        <v>2. $10K-50K</v>
      </c>
      <c r="D6759" t="s">
        <v>1460</v>
      </c>
      <c r="E6759" t="s">
        <v>112</v>
      </c>
      <c r="F6759" t="s">
        <v>668</v>
      </c>
      <c r="G6759" t="s">
        <v>59</v>
      </c>
      <c r="H6759">
        <v>2024</v>
      </c>
    </row>
    <row r="6760" spans="1:8" x14ac:dyDescent="0.2">
      <c r="A6760">
        <v>270950</v>
      </c>
      <c r="B6760">
        <v>45099.6</v>
      </c>
      <c r="C6760" t="str">
        <f t="shared" si="105"/>
        <v>2. $10K-50K</v>
      </c>
      <c r="D6760" t="s">
        <v>865</v>
      </c>
      <c r="E6760" t="s">
        <v>237</v>
      </c>
      <c r="F6760" t="s">
        <v>670</v>
      </c>
      <c r="G6760" t="s">
        <v>59</v>
      </c>
      <c r="H6760">
        <v>2024</v>
      </c>
    </row>
    <row r="6761" spans="1:8" x14ac:dyDescent="0.2">
      <c r="A6761">
        <v>270959</v>
      </c>
      <c r="B6761">
        <v>2515000</v>
      </c>
      <c r="C6761" t="str">
        <f t="shared" si="105"/>
        <v>2. $10K-50K</v>
      </c>
      <c r="D6761" t="s">
        <v>964</v>
      </c>
      <c r="E6761" t="s">
        <v>825</v>
      </c>
      <c r="F6761" t="s">
        <v>670</v>
      </c>
      <c r="G6761" t="s">
        <v>59</v>
      </c>
      <c r="H6761">
        <v>2024</v>
      </c>
    </row>
    <row r="6762" spans="1:8" x14ac:dyDescent="0.2">
      <c r="A6762">
        <v>270962</v>
      </c>
      <c r="B6762">
        <v>50417.599999999999</v>
      </c>
      <c r="C6762" t="str">
        <f t="shared" si="105"/>
        <v>5. $1M+</v>
      </c>
      <c r="D6762" t="s">
        <v>701</v>
      </c>
      <c r="E6762" t="s">
        <v>825</v>
      </c>
      <c r="F6762" t="s">
        <v>670</v>
      </c>
      <c r="G6762" t="s">
        <v>59</v>
      </c>
      <c r="H6762">
        <v>2024</v>
      </c>
    </row>
    <row r="6763" spans="1:8" x14ac:dyDescent="0.2">
      <c r="A6763">
        <v>270967</v>
      </c>
      <c r="B6763">
        <v>75000</v>
      </c>
      <c r="C6763" t="str">
        <f t="shared" si="105"/>
        <v>3. $50K-250K</v>
      </c>
      <c r="D6763" t="s">
        <v>965</v>
      </c>
      <c r="E6763" t="s">
        <v>825</v>
      </c>
      <c r="F6763" t="s">
        <v>670</v>
      </c>
      <c r="G6763" t="s">
        <v>59</v>
      </c>
      <c r="H6763">
        <v>2024</v>
      </c>
    </row>
    <row r="6764" spans="1:8" x14ac:dyDescent="0.2">
      <c r="A6764">
        <v>270968</v>
      </c>
      <c r="B6764">
        <v>275000</v>
      </c>
      <c r="C6764" t="str">
        <f t="shared" si="105"/>
        <v>3. $50K-250K</v>
      </c>
      <c r="D6764" t="s">
        <v>1515</v>
      </c>
      <c r="E6764" t="s">
        <v>82</v>
      </c>
      <c r="F6764" t="s">
        <v>670</v>
      </c>
      <c r="G6764" t="s">
        <v>59</v>
      </c>
      <c r="H6764">
        <v>2024</v>
      </c>
    </row>
    <row r="6765" spans="1:8" x14ac:dyDescent="0.2">
      <c r="A6765">
        <v>271156</v>
      </c>
      <c r="B6765">
        <v>136980.4</v>
      </c>
      <c r="C6765" t="str">
        <f t="shared" si="105"/>
        <v>4. $250K-1M</v>
      </c>
      <c r="D6765" t="s">
        <v>1335</v>
      </c>
      <c r="E6765" t="s">
        <v>237</v>
      </c>
      <c r="F6765" t="s">
        <v>670</v>
      </c>
      <c r="G6765" t="s">
        <v>59</v>
      </c>
      <c r="H6765">
        <v>2024</v>
      </c>
    </row>
    <row r="6766" spans="1:8" x14ac:dyDescent="0.2">
      <c r="A6766">
        <v>271157</v>
      </c>
      <c r="B6766">
        <v>116843.2</v>
      </c>
      <c r="C6766" t="str">
        <f t="shared" si="105"/>
        <v>3. $50K-250K</v>
      </c>
      <c r="D6766" t="s">
        <v>1335</v>
      </c>
      <c r="E6766" t="s">
        <v>237</v>
      </c>
      <c r="F6766" t="s">
        <v>670</v>
      </c>
      <c r="G6766" t="s">
        <v>59</v>
      </c>
      <c r="H6766">
        <v>2024</v>
      </c>
    </row>
    <row r="6767" spans="1:8" x14ac:dyDescent="0.2">
      <c r="A6767">
        <v>271158</v>
      </c>
      <c r="B6767">
        <v>132989.29999999999</v>
      </c>
      <c r="C6767" t="str">
        <f t="shared" si="105"/>
        <v>3. $50K-250K</v>
      </c>
      <c r="D6767" t="s">
        <v>1076</v>
      </c>
      <c r="E6767" t="s">
        <v>237</v>
      </c>
      <c r="F6767" t="s">
        <v>670</v>
      </c>
      <c r="G6767" t="s">
        <v>59</v>
      </c>
      <c r="H6767">
        <v>2024</v>
      </c>
    </row>
    <row r="6768" spans="1:8" x14ac:dyDescent="0.2">
      <c r="A6768">
        <v>271159</v>
      </c>
      <c r="B6768">
        <v>353233</v>
      </c>
      <c r="C6768" t="str">
        <f t="shared" si="105"/>
        <v>3. $50K-250K</v>
      </c>
      <c r="D6768" t="s">
        <v>1093</v>
      </c>
      <c r="E6768" t="s">
        <v>237</v>
      </c>
      <c r="F6768" t="s">
        <v>670</v>
      </c>
      <c r="G6768" t="s">
        <v>59</v>
      </c>
      <c r="H6768">
        <v>2024</v>
      </c>
    </row>
    <row r="6769" spans="1:8" x14ac:dyDescent="0.2">
      <c r="A6769">
        <v>271160</v>
      </c>
      <c r="B6769">
        <v>115020.1</v>
      </c>
      <c r="C6769" t="str">
        <f t="shared" si="105"/>
        <v>4. $250K-1M</v>
      </c>
      <c r="D6769" t="s">
        <v>1032</v>
      </c>
      <c r="E6769" t="s">
        <v>237</v>
      </c>
      <c r="F6769" t="s">
        <v>670</v>
      </c>
      <c r="G6769" t="s">
        <v>59</v>
      </c>
      <c r="H6769">
        <v>2024</v>
      </c>
    </row>
    <row r="6770" spans="1:8" x14ac:dyDescent="0.2">
      <c r="A6770">
        <v>271161</v>
      </c>
      <c r="B6770">
        <v>316391.5</v>
      </c>
      <c r="C6770" t="str">
        <f t="shared" si="105"/>
        <v>3. $50K-250K</v>
      </c>
      <c r="D6770" t="s">
        <v>1891</v>
      </c>
      <c r="E6770" t="s">
        <v>237</v>
      </c>
      <c r="F6770" t="s">
        <v>670</v>
      </c>
      <c r="G6770" t="s">
        <v>59</v>
      </c>
      <c r="H6770">
        <v>2024</v>
      </c>
    </row>
    <row r="6771" spans="1:8" x14ac:dyDescent="0.2">
      <c r="A6771">
        <v>271174</v>
      </c>
      <c r="B6771">
        <v>1135902</v>
      </c>
      <c r="C6771" t="str">
        <f t="shared" si="105"/>
        <v>4. $250K-1M</v>
      </c>
      <c r="D6771" t="s">
        <v>671</v>
      </c>
      <c r="E6771" t="s">
        <v>237</v>
      </c>
      <c r="F6771" t="s">
        <v>670</v>
      </c>
      <c r="G6771" t="s">
        <v>59</v>
      </c>
      <c r="H6771">
        <v>2024</v>
      </c>
    </row>
    <row r="6772" spans="1:8" x14ac:dyDescent="0.2">
      <c r="A6772">
        <v>271199</v>
      </c>
      <c r="B6772">
        <v>938213.5</v>
      </c>
      <c r="C6772" t="str">
        <f t="shared" si="105"/>
        <v>5. $1M+</v>
      </c>
      <c r="D6772" t="s">
        <v>942</v>
      </c>
      <c r="E6772" t="s">
        <v>237</v>
      </c>
      <c r="F6772" t="s">
        <v>670</v>
      </c>
      <c r="G6772" t="s">
        <v>59</v>
      </c>
      <c r="H6772">
        <v>2024</v>
      </c>
    </row>
    <row r="6773" spans="1:8" x14ac:dyDescent="0.2">
      <c r="A6773">
        <v>271200</v>
      </c>
      <c r="B6773">
        <v>568560</v>
      </c>
      <c r="C6773" t="str">
        <f t="shared" si="105"/>
        <v>4. $250K-1M</v>
      </c>
      <c r="D6773" t="s">
        <v>803</v>
      </c>
      <c r="E6773" t="s">
        <v>237</v>
      </c>
      <c r="F6773" t="s">
        <v>670</v>
      </c>
      <c r="G6773" t="s">
        <v>59</v>
      </c>
      <c r="H6773">
        <v>2024</v>
      </c>
    </row>
    <row r="6774" spans="1:8" x14ac:dyDescent="0.2">
      <c r="A6774">
        <v>271217</v>
      </c>
      <c r="B6774">
        <v>472589.3</v>
      </c>
      <c r="C6774" t="str">
        <f t="shared" si="105"/>
        <v>4. $250K-1M</v>
      </c>
      <c r="D6774" t="s">
        <v>507</v>
      </c>
      <c r="E6774" t="s">
        <v>237</v>
      </c>
      <c r="F6774" t="s">
        <v>670</v>
      </c>
      <c r="G6774" t="s">
        <v>59</v>
      </c>
      <c r="H6774">
        <v>2024</v>
      </c>
    </row>
    <row r="6775" spans="1:8" x14ac:dyDescent="0.2">
      <c r="A6775">
        <v>271251</v>
      </c>
      <c r="B6775">
        <v>142140</v>
      </c>
      <c r="C6775" t="str">
        <f t="shared" si="105"/>
        <v>4. $250K-1M</v>
      </c>
      <c r="D6775" t="s">
        <v>821</v>
      </c>
      <c r="E6775" t="s">
        <v>237</v>
      </c>
      <c r="F6775" t="s">
        <v>670</v>
      </c>
      <c r="G6775" t="s">
        <v>59</v>
      </c>
      <c r="H6775">
        <v>2024</v>
      </c>
    </row>
    <row r="6776" spans="1:8" x14ac:dyDescent="0.2">
      <c r="A6776">
        <v>271252</v>
      </c>
      <c r="B6776">
        <v>105407.3</v>
      </c>
      <c r="C6776" t="str">
        <f t="shared" si="105"/>
        <v>3. $50K-250K</v>
      </c>
      <c r="D6776" t="s">
        <v>951</v>
      </c>
      <c r="E6776" t="s">
        <v>237</v>
      </c>
      <c r="F6776" t="s">
        <v>670</v>
      </c>
      <c r="G6776" t="s">
        <v>59</v>
      </c>
      <c r="H6776">
        <v>2024</v>
      </c>
    </row>
    <row r="6777" spans="1:8" x14ac:dyDescent="0.2">
      <c r="A6777">
        <v>271254</v>
      </c>
      <c r="B6777">
        <v>244065.4</v>
      </c>
      <c r="C6777" t="str">
        <f t="shared" si="105"/>
        <v>3. $50K-250K</v>
      </c>
      <c r="D6777" t="s">
        <v>1546</v>
      </c>
      <c r="E6777" t="s">
        <v>237</v>
      </c>
      <c r="F6777" t="s">
        <v>670</v>
      </c>
      <c r="G6777" t="s">
        <v>59</v>
      </c>
      <c r="H6777">
        <v>2024</v>
      </c>
    </row>
    <row r="6778" spans="1:8" x14ac:dyDescent="0.2">
      <c r="A6778">
        <v>271260</v>
      </c>
      <c r="B6778">
        <v>141081</v>
      </c>
      <c r="C6778" t="str">
        <f t="shared" si="105"/>
        <v>3. $50K-250K</v>
      </c>
      <c r="D6778" t="s">
        <v>807</v>
      </c>
      <c r="E6778" t="s">
        <v>237</v>
      </c>
      <c r="F6778" t="s">
        <v>670</v>
      </c>
      <c r="G6778" t="s">
        <v>59</v>
      </c>
      <c r="H6778">
        <v>2024</v>
      </c>
    </row>
    <row r="6779" spans="1:8" x14ac:dyDescent="0.2">
      <c r="A6779">
        <v>271283</v>
      </c>
      <c r="B6779">
        <v>225000000</v>
      </c>
      <c r="C6779" t="str">
        <f t="shared" si="105"/>
        <v>3. $50K-250K</v>
      </c>
      <c r="D6779" t="s">
        <v>435</v>
      </c>
      <c r="E6779" t="s">
        <v>18</v>
      </c>
      <c r="F6779" t="s">
        <v>120</v>
      </c>
      <c r="G6779" t="s">
        <v>10</v>
      </c>
      <c r="H6779">
        <v>2024</v>
      </c>
    </row>
    <row r="6780" spans="1:8" x14ac:dyDescent="0.2">
      <c r="A6780">
        <v>271297</v>
      </c>
      <c r="B6780">
        <v>225000000</v>
      </c>
      <c r="C6780" t="str">
        <f t="shared" si="105"/>
        <v>5. $1M+</v>
      </c>
      <c r="D6780" t="s">
        <v>436</v>
      </c>
      <c r="E6780" t="s">
        <v>18</v>
      </c>
      <c r="F6780" t="s">
        <v>120</v>
      </c>
      <c r="G6780" t="s">
        <v>10</v>
      </c>
      <c r="H6780">
        <v>2024</v>
      </c>
    </row>
    <row r="6781" spans="1:8" x14ac:dyDescent="0.2">
      <c r="A6781">
        <v>271298</v>
      </c>
      <c r="B6781">
        <v>87427</v>
      </c>
      <c r="C6781" t="str">
        <f t="shared" si="105"/>
        <v>5. $1M+</v>
      </c>
      <c r="D6781" t="s">
        <v>941</v>
      </c>
      <c r="E6781" t="s">
        <v>99</v>
      </c>
      <c r="F6781" t="s">
        <v>670</v>
      </c>
      <c r="G6781" t="s">
        <v>59</v>
      </c>
      <c r="H6781">
        <v>2024</v>
      </c>
    </row>
    <row r="6782" spans="1:8" x14ac:dyDescent="0.2">
      <c r="A6782">
        <v>271305</v>
      </c>
      <c r="B6782">
        <v>60000</v>
      </c>
      <c r="C6782" t="str">
        <f t="shared" si="105"/>
        <v>3. $50K-250K</v>
      </c>
      <c r="D6782" t="s">
        <v>882</v>
      </c>
      <c r="E6782" t="s">
        <v>825</v>
      </c>
      <c r="F6782" t="s">
        <v>670</v>
      </c>
      <c r="G6782" t="s">
        <v>59</v>
      </c>
      <c r="H6782">
        <v>2024</v>
      </c>
    </row>
    <row r="6783" spans="1:8" x14ac:dyDescent="0.2">
      <c r="A6783">
        <v>271359</v>
      </c>
      <c r="B6783">
        <v>72770</v>
      </c>
      <c r="C6783" t="str">
        <f t="shared" si="105"/>
        <v>3. $50K-250K</v>
      </c>
      <c r="D6783" t="s">
        <v>960</v>
      </c>
      <c r="E6783" t="s">
        <v>825</v>
      </c>
      <c r="F6783" t="s">
        <v>670</v>
      </c>
      <c r="G6783" t="s">
        <v>59</v>
      </c>
      <c r="H6783">
        <v>2024</v>
      </c>
    </row>
    <row r="6784" spans="1:8" x14ac:dyDescent="0.2">
      <c r="A6784">
        <v>271367</v>
      </c>
      <c r="B6784">
        <v>50000</v>
      </c>
      <c r="C6784" t="str">
        <f t="shared" si="105"/>
        <v>3. $50K-250K</v>
      </c>
      <c r="D6784" t="s">
        <v>2193</v>
      </c>
      <c r="E6784" t="s">
        <v>112</v>
      </c>
      <c r="F6784" t="s">
        <v>668</v>
      </c>
      <c r="G6784" t="s">
        <v>59</v>
      </c>
      <c r="H6784">
        <v>2024</v>
      </c>
    </row>
    <row r="6785" spans="1:8" x14ac:dyDescent="0.2">
      <c r="A6785">
        <v>271393</v>
      </c>
      <c r="B6785">
        <v>21000</v>
      </c>
      <c r="C6785" t="str">
        <f t="shared" si="105"/>
        <v>3. $50K-250K</v>
      </c>
      <c r="D6785" t="s">
        <v>2194</v>
      </c>
      <c r="E6785" t="s">
        <v>112</v>
      </c>
      <c r="F6785" t="s">
        <v>668</v>
      </c>
      <c r="G6785" t="s">
        <v>59</v>
      </c>
      <c r="H6785">
        <v>2024</v>
      </c>
    </row>
    <row r="6786" spans="1:8" x14ac:dyDescent="0.2">
      <c r="A6786">
        <v>271456</v>
      </c>
      <c r="B6786">
        <v>203853.1</v>
      </c>
      <c r="C6786" t="str">
        <f t="shared" si="105"/>
        <v>2. $10K-50K</v>
      </c>
      <c r="D6786" t="s">
        <v>437</v>
      </c>
      <c r="E6786" t="s">
        <v>18</v>
      </c>
      <c r="F6786" t="s">
        <v>106</v>
      </c>
      <c r="G6786" t="s">
        <v>10</v>
      </c>
      <c r="H6786">
        <v>2024</v>
      </c>
    </row>
    <row r="6787" spans="1:8" x14ac:dyDescent="0.2">
      <c r="A6787">
        <v>271528</v>
      </c>
      <c r="B6787">
        <v>55000</v>
      </c>
      <c r="C6787" t="str">
        <f t="shared" ref="C6787:C6850" si="106">IF(B6786&lt;10000,"1. Under $10K",IF(B6786&lt;50000,"2. $10K-50K",IF(B6786&lt;250000,"3. $50K-250K",IF(B6786&lt;1000000,"4. $250K-1M","5. $1M+"))))</f>
        <v>3. $50K-250K</v>
      </c>
      <c r="D6787" t="s">
        <v>820</v>
      </c>
      <c r="E6787" t="s">
        <v>432</v>
      </c>
      <c r="F6787" t="s">
        <v>670</v>
      </c>
      <c r="G6787" t="s">
        <v>59</v>
      </c>
      <c r="H6787">
        <v>2024</v>
      </c>
    </row>
    <row r="6788" spans="1:8" x14ac:dyDescent="0.2">
      <c r="A6788">
        <v>271529</v>
      </c>
      <c r="B6788">
        <v>100000</v>
      </c>
      <c r="C6788" t="str">
        <f t="shared" si="106"/>
        <v>3. $50K-250K</v>
      </c>
      <c r="D6788" t="s">
        <v>1610</v>
      </c>
      <c r="E6788" t="s">
        <v>432</v>
      </c>
      <c r="F6788" t="s">
        <v>670</v>
      </c>
      <c r="G6788" t="s">
        <v>59</v>
      </c>
      <c r="H6788">
        <v>2024</v>
      </c>
    </row>
    <row r="6789" spans="1:8" x14ac:dyDescent="0.2">
      <c r="A6789">
        <v>271530</v>
      </c>
      <c r="B6789">
        <v>539090.80000000005</v>
      </c>
      <c r="C6789" t="str">
        <f t="shared" si="106"/>
        <v>3. $50K-250K</v>
      </c>
      <c r="D6789" t="s">
        <v>983</v>
      </c>
      <c r="E6789" t="s">
        <v>237</v>
      </c>
      <c r="F6789" t="s">
        <v>670</v>
      </c>
      <c r="G6789" t="s">
        <v>59</v>
      </c>
      <c r="H6789">
        <v>2024</v>
      </c>
    </row>
    <row r="6790" spans="1:8" x14ac:dyDescent="0.2">
      <c r="A6790">
        <v>271531</v>
      </c>
      <c r="B6790">
        <v>555111.19999999995</v>
      </c>
      <c r="C6790" t="str">
        <f t="shared" si="106"/>
        <v>4. $250K-1M</v>
      </c>
      <c r="D6790" t="s">
        <v>749</v>
      </c>
      <c r="E6790" t="s">
        <v>237</v>
      </c>
      <c r="F6790" t="s">
        <v>670</v>
      </c>
      <c r="G6790" t="s">
        <v>59</v>
      </c>
      <c r="H6790">
        <v>2024</v>
      </c>
    </row>
    <row r="6791" spans="1:8" x14ac:dyDescent="0.2">
      <c r="A6791">
        <v>271532</v>
      </c>
      <c r="B6791">
        <v>1129773.1000000001</v>
      </c>
      <c r="C6791" t="str">
        <f t="shared" si="106"/>
        <v>4. $250K-1M</v>
      </c>
      <c r="D6791" t="s">
        <v>801</v>
      </c>
      <c r="E6791" t="s">
        <v>237</v>
      </c>
      <c r="F6791" t="s">
        <v>670</v>
      </c>
      <c r="G6791" t="s">
        <v>59</v>
      </c>
      <c r="H6791">
        <v>2024</v>
      </c>
    </row>
    <row r="6792" spans="1:8" x14ac:dyDescent="0.2">
      <c r="A6792">
        <v>271533</v>
      </c>
      <c r="B6792">
        <v>393644.7</v>
      </c>
      <c r="C6792" t="str">
        <f t="shared" si="106"/>
        <v>5. $1M+</v>
      </c>
      <c r="D6792" t="s">
        <v>762</v>
      </c>
      <c r="E6792" t="s">
        <v>237</v>
      </c>
      <c r="F6792" t="s">
        <v>670</v>
      </c>
      <c r="G6792" t="s">
        <v>59</v>
      </c>
      <c r="H6792">
        <v>2024</v>
      </c>
    </row>
    <row r="6793" spans="1:8" x14ac:dyDescent="0.2">
      <c r="A6793">
        <v>271534</v>
      </c>
      <c r="B6793">
        <v>212545.2</v>
      </c>
      <c r="C6793" t="str">
        <f t="shared" si="106"/>
        <v>4. $250K-1M</v>
      </c>
      <c r="D6793" t="s">
        <v>805</v>
      </c>
      <c r="E6793" t="s">
        <v>237</v>
      </c>
      <c r="F6793" t="s">
        <v>670</v>
      </c>
      <c r="G6793" t="s">
        <v>59</v>
      </c>
      <c r="H6793">
        <v>2024</v>
      </c>
    </row>
    <row r="6794" spans="1:8" x14ac:dyDescent="0.2">
      <c r="A6794">
        <v>271541</v>
      </c>
      <c r="B6794">
        <v>10676.9</v>
      </c>
      <c r="C6794" t="str">
        <f t="shared" si="106"/>
        <v>3. $50K-250K</v>
      </c>
      <c r="D6794" t="s">
        <v>230</v>
      </c>
      <c r="E6794" t="s">
        <v>67</v>
      </c>
      <c r="F6794" t="s">
        <v>231</v>
      </c>
      <c r="G6794" t="s">
        <v>232</v>
      </c>
      <c r="H6794">
        <v>2024</v>
      </c>
    </row>
    <row r="6795" spans="1:8" x14ac:dyDescent="0.2">
      <c r="A6795">
        <v>271547</v>
      </c>
      <c r="B6795">
        <v>105055</v>
      </c>
      <c r="C6795" t="str">
        <f t="shared" si="106"/>
        <v>2. $10K-50K</v>
      </c>
      <c r="D6795" t="s">
        <v>870</v>
      </c>
      <c r="E6795" t="s">
        <v>237</v>
      </c>
      <c r="F6795" t="s">
        <v>670</v>
      </c>
      <c r="G6795" t="s">
        <v>59</v>
      </c>
      <c r="H6795">
        <v>2024</v>
      </c>
    </row>
    <row r="6796" spans="1:8" x14ac:dyDescent="0.2">
      <c r="A6796">
        <v>271548</v>
      </c>
      <c r="B6796">
        <v>25169</v>
      </c>
      <c r="C6796" t="str">
        <f t="shared" si="106"/>
        <v>3. $50K-250K</v>
      </c>
      <c r="D6796" t="s">
        <v>938</v>
      </c>
      <c r="E6796" t="s">
        <v>237</v>
      </c>
      <c r="F6796" t="s">
        <v>670</v>
      </c>
      <c r="G6796" t="s">
        <v>59</v>
      </c>
      <c r="H6796">
        <v>2024</v>
      </c>
    </row>
    <row r="6797" spans="1:8" x14ac:dyDescent="0.2">
      <c r="A6797">
        <v>271549</v>
      </c>
      <c r="B6797">
        <v>272001.5</v>
      </c>
      <c r="C6797" t="str">
        <f t="shared" si="106"/>
        <v>2. $10K-50K</v>
      </c>
      <c r="D6797" t="s">
        <v>1110</v>
      </c>
      <c r="E6797" t="s">
        <v>237</v>
      </c>
      <c r="F6797" t="s">
        <v>670</v>
      </c>
      <c r="G6797" t="s">
        <v>59</v>
      </c>
      <c r="H6797">
        <v>2024</v>
      </c>
    </row>
    <row r="6798" spans="1:8" x14ac:dyDescent="0.2">
      <c r="A6798">
        <v>271551</v>
      </c>
      <c r="B6798">
        <v>222000</v>
      </c>
      <c r="C6798" t="str">
        <f t="shared" si="106"/>
        <v>4. $250K-1M</v>
      </c>
      <c r="D6798" t="s">
        <v>988</v>
      </c>
      <c r="E6798" t="s">
        <v>237</v>
      </c>
      <c r="F6798" t="s">
        <v>670</v>
      </c>
      <c r="G6798" t="s">
        <v>59</v>
      </c>
      <c r="H6798">
        <v>2024</v>
      </c>
    </row>
    <row r="6799" spans="1:8" x14ac:dyDescent="0.2">
      <c r="A6799">
        <v>271552</v>
      </c>
      <c r="B6799">
        <v>444000</v>
      </c>
      <c r="C6799" t="str">
        <f t="shared" si="106"/>
        <v>3. $50K-250K</v>
      </c>
      <c r="D6799" t="s">
        <v>799</v>
      </c>
      <c r="E6799" t="s">
        <v>237</v>
      </c>
      <c r="F6799" t="s">
        <v>670</v>
      </c>
      <c r="G6799" t="s">
        <v>59</v>
      </c>
      <c r="H6799">
        <v>2024</v>
      </c>
    </row>
    <row r="6800" spans="1:8" x14ac:dyDescent="0.2">
      <c r="A6800">
        <v>271554</v>
      </c>
      <c r="B6800">
        <v>109001</v>
      </c>
      <c r="C6800" t="str">
        <f t="shared" si="106"/>
        <v>4. $250K-1M</v>
      </c>
      <c r="D6800" t="s">
        <v>937</v>
      </c>
      <c r="E6800" t="s">
        <v>237</v>
      </c>
      <c r="F6800" t="s">
        <v>670</v>
      </c>
      <c r="G6800" t="s">
        <v>59</v>
      </c>
      <c r="H6800">
        <v>2024</v>
      </c>
    </row>
    <row r="6801" spans="1:8" x14ac:dyDescent="0.2">
      <c r="A6801">
        <v>271555</v>
      </c>
      <c r="B6801">
        <v>5687</v>
      </c>
      <c r="C6801" t="str">
        <f t="shared" si="106"/>
        <v>3. $50K-250K</v>
      </c>
      <c r="D6801" t="s">
        <v>902</v>
      </c>
      <c r="E6801" t="s">
        <v>237</v>
      </c>
      <c r="F6801" t="s">
        <v>670</v>
      </c>
      <c r="G6801" t="s">
        <v>59</v>
      </c>
      <c r="H6801">
        <v>2024</v>
      </c>
    </row>
    <row r="6802" spans="1:8" x14ac:dyDescent="0.2">
      <c r="A6802">
        <v>271559</v>
      </c>
      <c r="B6802">
        <v>69059.199999999997</v>
      </c>
      <c r="C6802" t="str">
        <f t="shared" si="106"/>
        <v>1. Under $10K</v>
      </c>
      <c r="D6802" t="s">
        <v>861</v>
      </c>
      <c r="E6802" t="s">
        <v>237</v>
      </c>
      <c r="F6802" t="s">
        <v>670</v>
      </c>
      <c r="G6802" t="s">
        <v>59</v>
      </c>
      <c r="H6802">
        <v>2024</v>
      </c>
    </row>
    <row r="6803" spans="1:8" x14ac:dyDescent="0.2">
      <c r="A6803">
        <v>271560</v>
      </c>
      <c r="B6803">
        <v>1666600</v>
      </c>
      <c r="C6803" t="str">
        <f t="shared" si="106"/>
        <v>3. $50K-250K</v>
      </c>
      <c r="D6803" t="s">
        <v>711</v>
      </c>
      <c r="E6803" t="s">
        <v>237</v>
      </c>
      <c r="F6803" t="s">
        <v>670</v>
      </c>
      <c r="G6803" t="s">
        <v>59</v>
      </c>
      <c r="H6803">
        <v>2024</v>
      </c>
    </row>
    <row r="6804" spans="1:8" x14ac:dyDescent="0.2">
      <c r="A6804">
        <v>271561</v>
      </c>
      <c r="B6804">
        <v>21377</v>
      </c>
      <c r="C6804" t="str">
        <f t="shared" si="106"/>
        <v>5. $1M+</v>
      </c>
      <c r="D6804" t="s">
        <v>870</v>
      </c>
      <c r="E6804" t="s">
        <v>237</v>
      </c>
      <c r="F6804" t="s">
        <v>670</v>
      </c>
      <c r="G6804" t="s">
        <v>59</v>
      </c>
      <c r="H6804">
        <v>2024</v>
      </c>
    </row>
    <row r="6805" spans="1:8" x14ac:dyDescent="0.2">
      <c r="A6805">
        <v>271562</v>
      </c>
      <c r="B6805">
        <v>40326</v>
      </c>
      <c r="C6805" t="str">
        <f t="shared" si="106"/>
        <v>2. $10K-50K</v>
      </c>
      <c r="D6805" t="s">
        <v>870</v>
      </c>
      <c r="E6805" t="s">
        <v>237</v>
      </c>
      <c r="F6805" t="s">
        <v>670</v>
      </c>
      <c r="G6805" t="s">
        <v>59</v>
      </c>
      <c r="H6805">
        <v>2024</v>
      </c>
    </row>
    <row r="6806" spans="1:8" x14ac:dyDescent="0.2">
      <c r="A6806">
        <v>271563</v>
      </c>
      <c r="B6806">
        <v>116800</v>
      </c>
      <c r="C6806" t="str">
        <f t="shared" si="106"/>
        <v>2. $10K-50K</v>
      </c>
      <c r="D6806" t="s">
        <v>807</v>
      </c>
      <c r="E6806" t="s">
        <v>237</v>
      </c>
      <c r="F6806" t="s">
        <v>670</v>
      </c>
      <c r="G6806" t="s">
        <v>59</v>
      </c>
      <c r="H6806">
        <v>2024</v>
      </c>
    </row>
    <row r="6807" spans="1:8" x14ac:dyDescent="0.2">
      <c r="A6807">
        <v>271564</v>
      </c>
      <c r="B6807">
        <v>715712</v>
      </c>
      <c r="C6807" t="str">
        <f t="shared" si="106"/>
        <v>3. $50K-250K</v>
      </c>
      <c r="D6807" t="s">
        <v>507</v>
      </c>
      <c r="E6807" t="s">
        <v>237</v>
      </c>
      <c r="F6807" t="s">
        <v>670</v>
      </c>
      <c r="G6807" t="s">
        <v>59</v>
      </c>
      <c r="H6807">
        <v>2024</v>
      </c>
    </row>
    <row r="6808" spans="1:8" x14ac:dyDescent="0.2">
      <c r="A6808">
        <v>271565</v>
      </c>
      <c r="B6808">
        <v>52833</v>
      </c>
      <c r="C6808" t="str">
        <f t="shared" si="106"/>
        <v>4. $250K-1M</v>
      </c>
      <c r="D6808" t="s">
        <v>749</v>
      </c>
      <c r="E6808" t="s">
        <v>237</v>
      </c>
      <c r="F6808" t="s">
        <v>670</v>
      </c>
      <c r="G6808" t="s">
        <v>59</v>
      </c>
      <c r="H6808">
        <v>2024</v>
      </c>
    </row>
    <row r="6809" spans="1:8" x14ac:dyDescent="0.2">
      <c r="A6809">
        <v>271635</v>
      </c>
      <c r="B6809">
        <v>100000</v>
      </c>
      <c r="C6809" t="str">
        <f t="shared" si="106"/>
        <v>3. $50K-250K</v>
      </c>
      <c r="D6809" t="s">
        <v>763</v>
      </c>
      <c r="E6809" t="s">
        <v>42</v>
      </c>
      <c r="F6809" t="s">
        <v>670</v>
      </c>
      <c r="G6809" t="s">
        <v>59</v>
      </c>
      <c r="H6809">
        <v>2024</v>
      </c>
    </row>
    <row r="6810" spans="1:8" x14ac:dyDescent="0.2">
      <c r="A6810">
        <v>271670</v>
      </c>
      <c r="B6810">
        <v>7906800</v>
      </c>
      <c r="C6810" t="str">
        <f t="shared" si="106"/>
        <v>3. $50K-250K</v>
      </c>
      <c r="D6810" t="s">
        <v>438</v>
      </c>
      <c r="E6810" t="s">
        <v>24</v>
      </c>
      <c r="F6810" t="s">
        <v>12</v>
      </c>
      <c r="G6810" t="s">
        <v>10</v>
      </c>
      <c r="H6810">
        <v>2024</v>
      </c>
    </row>
    <row r="6811" spans="1:8" x14ac:dyDescent="0.2">
      <c r="A6811">
        <v>271682</v>
      </c>
      <c r="B6811">
        <v>225000000</v>
      </c>
      <c r="C6811" t="str">
        <f t="shared" si="106"/>
        <v>5. $1M+</v>
      </c>
      <c r="D6811" t="s">
        <v>439</v>
      </c>
      <c r="E6811" t="s">
        <v>18</v>
      </c>
      <c r="F6811" t="s">
        <v>120</v>
      </c>
      <c r="G6811" t="s">
        <v>10</v>
      </c>
      <c r="H6811">
        <v>2024</v>
      </c>
    </row>
    <row r="6812" spans="1:8" x14ac:dyDescent="0.2">
      <c r="A6812">
        <v>271814</v>
      </c>
      <c r="B6812">
        <v>3050000</v>
      </c>
      <c r="C6812" t="str">
        <f t="shared" si="106"/>
        <v>5. $1M+</v>
      </c>
      <c r="D6812" t="s">
        <v>575</v>
      </c>
      <c r="E6812" t="s">
        <v>42</v>
      </c>
      <c r="F6812" t="s">
        <v>668</v>
      </c>
      <c r="G6812" t="s">
        <v>59</v>
      </c>
      <c r="H6812">
        <v>2024</v>
      </c>
    </row>
    <row r="6813" spans="1:8" x14ac:dyDescent="0.2">
      <c r="A6813">
        <v>271907</v>
      </c>
      <c r="B6813">
        <v>691126.8</v>
      </c>
      <c r="C6813" t="str">
        <f t="shared" si="106"/>
        <v>5. $1M+</v>
      </c>
      <c r="D6813" t="s">
        <v>804</v>
      </c>
      <c r="E6813" t="s">
        <v>42</v>
      </c>
      <c r="F6813" t="s">
        <v>670</v>
      </c>
      <c r="G6813" t="s">
        <v>59</v>
      </c>
      <c r="H6813">
        <v>2024</v>
      </c>
    </row>
    <row r="6814" spans="1:8" x14ac:dyDescent="0.2">
      <c r="A6814">
        <v>271912</v>
      </c>
      <c r="B6814">
        <v>3295925.8</v>
      </c>
      <c r="C6814" t="str">
        <f t="shared" si="106"/>
        <v>4. $250K-1M</v>
      </c>
      <c r="D6814" t="s">
        <v>23</v>
      </c>
      <c r="E6814" t="s">
        <v>8</v>
      </c>
      <c r="F6814" t="s">
        <v>9</v>
      </c>
      <c r="G6814" t="s">
        <v>10</v>
      </c>
      <c r="H6814">
        <v>2024</v>
      </c>
    </row>
    <row r="6815" spans="1:8" x14ac:dyDescent="0.2">
      <c r="A6815">
        <v>271913</v>
      </c>
      <c r="B6815">
        <v>195365</v>
      </c>
      <c r="C6815" t="str">
        <f t="shared" si="106"/>
        <v>5. $1M+</v>
      </c>
      <c r="D6815" t="s">
        <v>852</v>
      </c>
      <c r="E6815" t="s">
        <v>237</v>
      </c>
      <c r="F6815" t="s">
        <v>670</v>
      </c>
      <c r="G6815" t="s">
        <v>59</v>
      </c>
      <c r="H6815">
        <v>2024</v>
      </c>
    </row>
    <row r="6816" spans="1:8" x14ac:dyDescent="0.2">
      <c r="A6816">
        <v>271965</v>
      </c>
      <c r="B6816">
        <v>200000</v>
      </c>
      <c r="C6816" t="str">
        <f t="shared" si="106"/>
        <v>3. $50K-250K</v>
      </c>
      <c r="D6816" t="s">
        <v>1121</v>
      </c>
      <c r="E6816" t="s">
        <v>112</v>
      </c>
      <c r="F6816" t="s">
        <v>668</v>
      </c>
      <c r="G6816" t="s">
        <v>59</v>
      </c>
      <c r="H6816">
        <v>2024</v>
      </c>
    </row>
    <row r="6817" spans="1:8" x14ac:dyDescent="0.2">
      <c r="A6817">
        <v>271974</v>
      </c>
      <c r="B6817">
        <v>1400</v>
      </c>
      <c r="C6817" t="str">
        <f t="shared" si="106"/>
        <v>3. $50K-250K</v>
      </c>
      <c r="D6817" t="s">
        <v>2195</v>
      </c>
      <c r="E6817" t="s">
        <v>112</v>
      </c>
      <c r="F6817" t="s">
        <v>668</v>
      </c>
      <c r="G6817" t="s">
        <v>59</v>
      </c>
      <c r="H6817">
        <v>2024</v>
      </c>
    </row>
    <row r="6818" spans="1:8" x14ac:dyDescent="0.2">
      <c r="A6818">
        <v>271978</v>
      </c>
      <c r="B6818">
        <v>1000</v>
      </c>
      <c r="C6818" t="str">
        <f t="shared" si="106"/>
        <v>1. Under $10K</v>
      </c>
      <c r="D6818" t="s">
        <v>2196</v>
      </c>
      <c r="E6818" t="s">
        <v>112</v>
      </c>
      <c r="F6818" t="s">
        <v>668</v>
      </c>
      <c r="G6818" t="s">
        <v>59</v>
      </c>
      <c r="H6818">
        <v>2024</v>
      </c>
    </row>
    <row r="6819" spans="1:8" x14ac:dyDescent="0.2">
      <c r="A6819">
        <v>271987</v>
      </c>
      <c r="B6819">
        <v>600000</v>
      </c>
      <c r="C6819" t="str">
        <f t="shared" si="106"/>
        <v>1. Under $10K</v>
      </c>
      <c r="D6819" t="s">
        <v>791</v>
      </c>
      <c r="E6819" t="s">
        <v>42</v>
      </c>
      <c r="F6819" t="s">
        <v>670</v>
      </c>
      <c r="G6819" t="s">
        <v>44</v>
      </c>
      <c r="H6819">
        <v>2024</v>
      </c>
    </row>
    <row r="6820" spans="1:8" x14ac:dyDescent="0.2">
      <c r="A6820">
        <v>271992</v>
      </c>
      <c r="B6820">
        <v>20000</v>
      </c>
      <c r="C6820" t="str">
        <f t="shared" si="106"/>
        <v>4. $250K-1M</v>
      </c>
      <c r="D6820" t="s">
        <v>2197</v>
      </c>
      <c r="E6820" t="s">
        <v>112</v>
      </c>
      <c r="F6820" t="s">
        <v>668</v>
      </c>
      <c r="G6820" t="s">
        <v>59</v>
      </c>
      <c r="H6820">
        <v>2024</v>
      </c>
    </row>
    <row r="6821" spans="1:8" x14ac:dyDescent="0.2">
      <c r="A6821">
        <v>271993</v>
      </c>
      <c r="B6821">
        <v>1000</v>
      </c>
      <c r="C6821" t="str">
        <f t="shared" si="106"/>
        <v>2. $10K-50K</v>
      </c>
      <c r="D6821" t="s">
        <v>2198</v>
      </c>
      <c r="E6821" t="s">
        <v>112</v>
      </c>
      <c r="F6821" t="s">
        <v>668</v>
      </c>
      <c r="G6821" t="s">
        <v>59</v>
      </c>
      <c r="H6821">
        <v>2024</v>
      </c>
    </row>
    <row r="6822" spans="1:8" x14ac:dyDescent="0.2">
      <c r="A6822">
        <v>271995</v>
      </c>
      <c r="B6822">
        <v>2882365.8</v>
      </c>
      <c r="C6822" t="str">
        <f t="shared" si="106"/>
        <v>1. Under $10K</v>
      </c>
      <c r="D6822" t="s">
        <v>771</v>
      </c>
      <c r="E6822" t="s">
        <v>825</v>
      </c>
      <c r="F6822" t="s">
        <v>670</v>
      </c>
      <c r="G6822" t="s">
        <v>59</v>
      </c>
      <c r="H6822">
        <v>2024</v>
      </c>
    </row>
    <row r="6823" spans="1:8" x14ac:dyDescent="0.2">
      <c r="A6823">
        <v>272003</v>
      </c>
      <c r="B6823">
        <v>200000</v>
      </c>
      <c r="C6823" t="str">
        <f t="shared" si="106"/>
        <v>5. $1M+</v>
      </c>
      <c r="D6823" t="s">
        <v>1573</v>
      </c>
      <c r="E6823" t="s">
        <v>480</v>
      </c>
      <c r="F6823" t="s">
        <v>668</v>
      </c>
      <c r="G6823" t="s">
        <v>59</v>
      </c>
      <c r="H6823">
        <v>2024</v>
      </c>
    </row>
    <row r="6824" spans="1:8" x14ac:dyDescent="0.2">
      <c r="A6824">
        <v>272012</v>
      </c>
      <c r="B6824">
        <v>220289.6</v>
      </c>
      <c r="C6824" t="str">
        <f t="shared" si="106"/>
        <v>3. $50K-250K</v>
      </c>
      <c r="D6824" t="s">
        <v>1505</v>
      </c>
      <c r="E6824" t="s">
        <v>825</v>
      </c>
      <c r="F6824" t="s">
        <v>670</v>
      </c>
      <c r="G6824" t="s">
        <v>59</v>
      </c>
      <c r="H6824">
        <v>2024</v>
      </c>
    </row>
    <row r="6825" spans="1:8" x14ac:dyDescent="0.2">
      <c r="A6825">
        <v>272013</v>
      </c>
      <c r="B6825">
        <v>5045924</v>
      </c>
      <c r="C6825" t="str">
        <f t="shared" si="106"/>
        <v>3. $50K-250K</v>
      </c>
      <c r="D6825" t="s">
        <v>1429</v>
      </c>
      <c r="E6825" t="s">
        <v>28</v>
      </c>
      <c r="F6825" t="s">
        <v>668</v>
      </c>
      <c r="G6825" t="s">
        <v>59</v>
      </c>
      <c r="H6825">
        <v>2024</v>
      </c>
    </row>
    <row r="6826" spans="1:8" x14ac:dyDescent="0.2">
      <c r="A6826">
        <v>272014</v>
      </c>
      <c r="B6826">
        <v>262401.90000000002</v>
      </c>
      <c r="C6826" t="str">
        <f t="shared" si="106"/>
        <v>5. $1M+</v>
      </c>
      <c r="D6826" t="s">
        <v>943</v>
      </c>
      <c r="E6826" t="s">
        <v>99</v>
      </c>
      <c r="F6826" t="s">
        <v>670</v>
      </c>
      <c r="G6826" t="s">
        <v>59</v>
      </c>
      <c r="H6826">
        <v>2024</v>
      </c>
    </row>
    <row r="6827" spans="1:8" x14ac:dyDescent="0.2">
      <c r="A6827">
        <v>272022</v>
      </c>
      <c r="B6827">
        <v>513738.1</v>
      </c>
      <c r="C6827" t="str">
        <f t="shared" si="106"/>
        <v>4. $250K-1M</v>
      </c>
      <c r="D6827" t="s">
        <v>1084</v>
      </c>
      <c r="E6827" t="s">
        <v>237</v>
      </c>
      <c r="F6827" t="s">
        <v>670</v>
      </c>
      <c r="G6827" t="s">
        <v>59</v>
      </c>
      <c r="H6827">
        <v>2024</v>
      </c>
    </row>
    <row r="6828" spans="1:8" x14ac:dyDescent="0.2">
      <c r="A6828">
        <v>272023</v>
      </c>
      <c r="B6828">
        <v>80306.3</v>
      </c>
      <c r="C6828" t="str">
        <f t="shared" si="106"/>
        <v>4. $250K-1M</v>
      </c>
      <c r="D6828" t="s">
        <v>815</v>
      </c>
      <c r="E6828" t="s">
        <v>432</v>
      </c>
      <c r="F6828" t="s">
        <v>670</v>
      </c>
      <c r="G6828" t="s">
        <v>59</v>
      </c>
      <c r="H6828">
        <v>2024</v>
      </c>
    </row>
    <row r="6829" spans="1:8" x14ac:dyDescent="0.2">
      <c r="A6829">
        <v>272024</v>
      </c>
      <c r="B6829">
        <v>90856.9</v>
      </c>
      <c r="C6829" t="str">
        <f t="shared" si="106"/>
        <v>3. $50K-250K</v>
      </c>
      <c r="D6829" t="s">
        <v>953</v>
      </c>
      <c r="E6829" t="s">
        <v>432</v>
      </c>
      <c r="F6829" t="s">
        <v>670</v>
      </c>
      <c r="G6829" t="s">
        <v>59</v>
      </c>
      <c r="H6829">
        <v>2024</v>
      </c>
    </row>
    <row r="6830" spans="1:8" x14ac:dyDescent="0.2">
      <c r="A6830">
        <v>272025</v>
      </c>
      <c r="B6830">
        <v>300000</v>
      </c>
      <c r="C6830" t="str">
        <f t="shared" si="106"/>
        <v>3. $50K-250K</v>
      </c>
      <c r="D6830" t="s">
        <v>992</v>
      </c>
      <c r="E6830" t="s">
        <v>432</v>
      </c>
      <c r="F6830" t="s">
        <v>670</v>
      </c>
      <c r="G6830" t="s">
        <v>59</v>
      </c>
      <c r="H6830">
        <v>2024</v>
      </c>
    </row>
    <row r="6831" spans="1:8" x14ac:dyDescent="0.2">
      <c r="A6831">
        <v>272029</v>
      </c>
      <c r="B6831">
        <v>6516595</v>
      </c>
      <c r="C6831" t="str">
        <f t="shared" si="106"/>
        <v>4. $250K-1M</v>
      </c>
      <c r="D6831" t="s">
        <v>1024</v>
      </c>
      <c r="E6831" t="s">
        <v>42</v>
      </c>
      <c r="F6831" t="s">
        <v>670</v>
      </c>
      <c r="G6831" t="s">
        <v>44</v>
      </c>
      <c r="H6831">
        <v>2024</v>
      </c>
    </row>
    <row r="6832" spans="1:8" x14ac:dyDescent="0.2">
      <c r="A6832">
        <v>272059</v>
      </c>
      <c r="B6832">
        <v>139400</v>
      </c>
      <c r="C6832" t="str">
        <f t="shared" si="106"/>
        <v>5. $1M+</v>
      </c>
      <c r="D6832" t="s">
        <v>440</v>
      </c>
      <c r="E6832" t="s">
        <v>18</v>
      </c>
      <c r="F6832" t="s">
        <v>239</v>
      </c>
      <c r="G6832" t="s">
        <v>10</v>
      </c>
      <c r="H6832">
        <v>2024</v>
      </c>
    </row>
    <row r="6833" spans="1:8" x14ac:dyDescent="0.2">
      <c r="A6833">
        <v>272101</v>
      </c>
      <c r="B6833">
        <v>247801</v>
      </c>
      <c r="C6833" t="str">
        <f t="shared" si="106"/>
        <v>3. $50K-250K</v>
      </c>
      <c r="D6833" t="s">
        <v>991</v>
      </c>
      <c r="E6833" t="s">
        <v>99</v>
      </c>
      <c r="F6833" t="s">
        <v>670</v>
      </c>
      <c r="G6833" t="s">
        <v>59</v>
      </c>
      <c r="H6833">
        <v>2024</v>
      </c>
    </row>
    <row r="6834" spans="1:8" x14ac:dyDescent="0.2">
      <c r="A6834">
        <v>272105</v>
      </c>
      <c r="B6834">
        <v>244998.9</v>
      </c>
      <c r="C6834" t="str">
        <f t="shared" si="106"/>
        <v>3. $50K-250K</v>
      </c>
      <c r="D6834" t="s">
        <v>816</v>
      </c>
      <c r="E6834" t="s">
        <v>99</v>
      </c>
      <c r="F6834" t="s">
        <v>670</v>
      </c>
      <c r="G6834" t="s">
        <v>59</v>
      </c>
      <c r="H6834">
        <v>2024</v>
      </c>
    </row>
    <row r="6835" spans="1:8" x14ac:dyDescent="0.2">
      <c r="A6835">
        <v>272106</v>
      </c>
      <c r="B6835">
        <v>369158.2</v>
      </c>
      <c r="C6835" t="str">
        <f t="shared" si="106"/>
        <v>3. $50K-250K</v>
      </c>
      <c r="D6835" t="s">
        <v>1003</v>
      </c>
      <c r="E6835" t="s">
        <v>42</v>
      </c>
      <c r="F6835" t="s">
        <v>670</v>
      </c>
      <c r="G6835" t="s">
        <v>59</v>
      </c>
      <c r="H6835">
        <v>2024</v>
      </c>
    </row>
    <row r="6836" spans="1:8" x14ac:dyDescent="0.2">
      <c r="A6836">
        <v>272163</v>
      </c>
      <c r="B6836">
        <v>61491.199999999997</v>
      </c>
      <c r="C6836" t="str">
        <f t="shared" si="106"/>
        <v>4. $250K-1M</v>
      </c>
      <c r="D6836" t="s">
        <v>1079</v>
      </c>
      <c r="E6836" t="s">
        <v>237</v>
      </c>
      <c r="F6836" t="s">
        <v>670</v>
      </c>
      <c r="G6836" t="s">
        <v>59</v>
      </c>
      <c r="H6836">
        <v>2024</v>
      </c>
    </row>
    <row r="6837" spans="1:8" x14ac:dyDescent="0.2">
      <c r="A6837">
        <v>272165</v>
      </c>
      <c r="B6837">
        <v>37130.699999999997</v>
      </c>
      <c r="C6837" t="str">
        <f t="shared" si="106"/>
        <v>3. $50K-250K</v>
      </c>
      <c r="D6837" t="s">
        <v>1079</v>
      </c>
      <c r="E6837" t="s">
        <v>237</v>
      </c>
      <c r="F6837" t="s">
        <v>670</v>
      </c>
      <c r="G6837" t="s">
        <v>59</v>
      </c>
      <c r="H6837">
        <v>2024</v>
      </c>
    </row>
    <row r="6838" spans="1:8" x14ac:dyDescent="0.2">
      <c r="A6838">
        <v>272168</v>
      </c>
      <c r="B6838">
        <v>1044678.2</v>
      </c>
      <c r="C6838" t="str">
        <f t="shared" si="106"/>
        <v>2. $10K-50K</v>
      </c>
      <c r="D6838" t="s">
        <v>987</v>
      </c>
      <c r="E6838" t="s">
        <v>237</v>
      </c>
      <c r="F6838" t="s">
        <v>670</v>
      </c>
      <c r="G6838" t="s">
        <v>59</v>
      </c>
      <c r="H6838">
        <v>2024</v>
      </c>
    </row>
    <row r="6839" spans="1:8" x14ac:dyDescent="0.2">
      <c r="A6839">
        <v>272169</v>
      </c>
      <c r="B6839">
        <v>143099.4</v>
      </c>
      <c r="C6839" t="str">
        <f t="shared" si="106"/>
        <v>5. $1M+</v>
      </c>
      <c r="D6839" t="s">
        <v>684</v>
      </c>
      <c r="E6839" t="s">
        <v>42</v>
      </c>
      <c r="F6839" t="s">
        <v>670</v>
      </c>
      <c r="G6839" t="s">
        <v>59</v>
      </c>
      <c r="H6839">
        <v>2024</v>
      </c>
    </row>
    <row r="6840" spans="1:8" x14ac:dyDescent="0.2">
      <c r="A6840">
        <v>272171</v>
      </c>
      <c r="B6840">
        <v>331418.5</v>
      </c>
      <c r="C6840" t="str">
        <f t="shared" si="106"/>
        <v>3. $50K-250K</v>
      </c>
      <c r="D6840" t="s">
        <v>674</v>
      </c>
      <c r="E6840" t="s">
        <v>42</v>
      </c>
      <c r="F6840" t="s">
        <v>670</v>
      </c>
      <c r="G6840" t="s">
        <v>59</v>
      </c>
      <c r="H6840">
        <v>2024</v>
      </c>
    </row>
    <row r="6841" spans="1:8" x14ac:dyDescent="0.2">
      <c r="A6841">
        <v>272172</v>
      </c>
      <c r="B6841">
        <v>198270.8</v>
      </c>
      <c r="C6841" t="str">
        <f t="shared" si="106"/>
        <v>4. $250K-1M</v>
      </c>
      <c r="D6841" t="s">
        <v>1524</v>
      </c>
      <c r="E6841" t="s">
        <v>42</v>
      </c>
      <c r="F6841" t="s">
        <v>670</v>
      </c>
      <c r="G6841" t="s">
        <v>59</v>
      </c>
      <c r="H6841">
        <v>2024</v>
      </c>
    </row>
    <row r="6842" spans="1:8" x14ac:dyDescent="0.2">
      <c r="A6842">
        <v>272173</v>
      </c>
      <c r="B6842">
        <v>199910</v>
      </c>
      <c r="C6842" t="str">
        <f t="shared" si="106"/>
        <v>3. $50K-250K</v>
      </c>
      <c r="D6842" t="s">
        <v>978</v>
      </c>
      <c r="E6842" t="s">
        <v>42</v>
      </c>
      <c r="F6842" t="s">
        <v>670</v>
      </c>
      <c r="G6842" t="s">
        <v>59</v>
      </c>
      <c r="H6842">
        <v>2024</v>
      </c>
    </row>
    <row r="6843" spans="1:8" x14ac:dyDescent="0.2">
      <c r="A6843">
        <v>272185</v>
      </c>
      <c r="B6843">
        <v>170628.6</v>
      </c>
      <c r="C6843" t="str">
        <f t="shared" si="106"/>
        <v>3. $50K-250K</v>
      </c>
      <c r="D6843" t="s">
        <v>1094</v>
      </c>
      <c r="E6843" t="s">
        <v>237</v>
      </c>
      <c r="F6843" t="s">
        <v>670</v>
      </c>
      <c r="G6843" t="s">
        <v>59</v>
      </c>
      <c r="H6843">
        <v>2024</v>
      </c>
    </row>
    <row r="6844" spans="1:8" x14ac:dyDescent="0.2">
      <c r="A6844">
        <v>272186</v>
      </c>
      <c r="B6844">
        <v>43681.2</v>
      </c>
      <c r="C6844" t="str">
        <f t="shared" si="106"/>
        <v>3. $50K-250K</v>
      </c>
      <c r="D6844" t="s">
        <v>724</v>
      </c>
      <c r="E6844" t="s">
        <v>237</v>
      </c>
      <c r="F6844" t="s">
        <v>670</v>
      </c>
      <c r="G6844" t="s">
        <v>59</v>
      </c>
      <c r="H6844">
        <v>2024</v>
      </c>
    </row>
    <row r="6845" spans="1:8" x14ac:dyDescent="0.2">
      <c r="A6845">
        <v>272187</v>
      </c>
      <c r="B6845">
        <v>199999.7</v>
      </c>
      <c r="C6845" t="str">
        <f t="shared" si="106"/>
        <v>2. $10K-50K</v>
      </c>
      <c r="D6845" t="s">
        <v>956</v>
      </c>
      <c r="E6845" t="s">
        <v>819</v>
      </c>
      <c r="F6845" t="s">
        <v>670</v>
      </c>
      <c r="G6845" t="s">
        <v>59</v>
      </c>
      <c r="H6845">
        <v>2024</v>
      </c>
    </row>
    <row r="6846" spans="1:8" x14ac:dyDescent="0.2">
      <c r="A6846">
        <v>272189</v>
      </c>
      <c r="B6846">
        <v>20000</v>
      </c>
      <c r="C6846" t="str">
        <f t="shared" si="106"/>
        <v>3. $50K-250K</v>
      </c>
      <c r="D6846" t="s">
        <v>1455</v>
      </c>
      <c r="E6846" t="s">
        <v>432</v>
      </c>
      <c r="F6846" t="s">
        <v>670</v>
      </c>
      <c r="G6846" t="s">
        <v>59</v>
      </c>
      <c r="H6846">
        <v>2024</v>
      </c>
    </row>
    <row r="6847" spans="1:8" x14ac:dyDescent="0.2">
      <c r="A6847">
        <v>272190</v>
      </c>
      <c r="B6847">
        <v>281534</v>
      </c>
      <c r="C6847" t="str">
        <f t="shared" si="106"/>
        <v>2. $10K-50K</v>
      </c>
      <c r="D6847" t="s">
        <v>812</v>
      </c>
      <c r="E6847" t="s">
        <v>237</v>
      </c>
      <c r="F6847" t="s">
        <v>670</v>
      </c>
      <c r="G6847" t="s">
        <v>59</v>
      </c>
      <c r="H6847">
        <v>2024</v>
      </c>
    </row>
    <row r="6848" spans="1:8" x14ac:dyDescent="0.2">
      <c r="A6848">
        <v>272191</v>
      </c>
      <c r="B6848">
        <v>20000</v>
      </c>
      <c r="C6848" t="str">
        <f t="shared" si="106"/>
        <v>4. $250K-1M</v>
      </c>
      <c r="D6848" t="s">
        <v>1170</v>
      </c>
      <c r="E6848" t="s">
        <v>432</v>
      </c>
      <c r="F6848" t="s">
        <v>670</v>
      </c>
      <c r="G6848" t="s">
        <v>59</v>
      </c>
      <c r="H6848">
        <v>2024</v>
      </c>
    </row>
    <row r="6849" spans="1:8" x14ac:dyDescent="0.2">
      <c r="A6849">
        <v>272192</v>
      </c>
      <c r="B6849">
        <v>29424.6</v>
      </c>
      <c r="C6849" t="str">
        <f t="shared" si="106"/>
        <v>2. $10K-50K</v>
      </c>
      <c r="D6849" t="s">
        <v>821</v>
      </c>
      <c r="E6849" t="s">
        <v>237</v>
      </c>
      <c r="F6849" t="s">
        <v>670</v>
      </c>
      <c r="G6849" t="s">
        <v>59</v>
      </c>
      <c r="H6849">
        <v>2024</v>
      </c>
    </row>
    <row r="6850" spans="1:8" x14ac:dyDescent="0.2">
      <c r="A6850">
        <v>272208</v>
      </c>
      <c r="B6850">
        <v>182277</v>
      </c>
      <c r="C6850" t="str">
        <f t="shared" si="106"/>
        <v>2. $10K-50K</v>
      </c>
      <c r="D6850" t="s">
        <v>852</v>
      </c>
      <c r="E6850" t="s">
        <v>237</v>
      </c>
      <c r="F6850" t="s">
        <v>670</v>
      </c>
      <c r="G6850" t="s">
        <v>59</v>
      </c>
      <c r="H6850">
        <v>2024</v>
      </c>
    </row>
    <row r="6851" spans="1:8" x14ac:dyDescent="0.2">
      <c r="A6851">
        <v>272210</v>
      </c>
      <c r="B6851">
        <v>14691.9</v>
      </c>
      <c r="C6851" t="str">
        <f t="shared" ref="C6851:C6914" si="107">IF(B6850&lt;10000,"1. Under $10K",IF(B6850&lt;50000,"2. $10K-50K",IF(B6850&lt;250000,"3. $50K-250K",IF(B6850&lt;1000000,"4. $250K-1M","5. $1M+"))))</f>
        <v>3. $50K-250K</v>
      </c>
      <c r="D6851" t="s">
        <v>821</v>
      </c>
      <c r="E6851" t="s">
        <v>237</v>
      </c>
      <c r="F6851" t="s">
        <v>670</v>
      </c>
      <c r="G6851" t="s">
        <v>59</v>
      </c>
      <c r="H6851">
        <v>2024</v>
      </c>
    </row>
    <row r="6852" spans="1:8" x14ac:dyDescent="0.2">
      <c r="A6852">
        <v>272220</v>
      </c>
      <c r="B6852">
        <v>303956.5</v>
      </c>
      <c r="C6852" t="str">
        <f t="shared" si="107"/>
        <v>2. $10K-50K</v>
      </c>
      <c r="D6852" t="s">
        <v>719</v>
      </c>
      <c r="E6852" t="s">
        <v>42</v>
      </c>
      <c r="F6852" t="s">
        <v>670</v>
      </c>
      <c r="G6852" t="s">
        <v>59</v>
      </c>
      <c r="H6852">
        <v>2024</v>
      </c>
    </row>
    <row r="6853" spans="1:8" x14ac:dyDescent="0.2">
      <c r="A6853">
        <v>272227</v>
      </c>
      <c r="B6853">
        <v>240000</v>
      </c>
      <c r="C6853" t="str">
        <f t="shared" si="107"/>
        <v>4. $250K-1M</v>
      </c>
      <c r="D6853" t="s">
        <v>998</v>
      </c>
      <c r="E6853" t="s">
        <v>42</v>
      </c>
      <c r="F6853" t="s">
        <v>670</v>
      </c>
      <c r="G6853" t="s">
        <v>59</v>
      </c>
      <c r="H6853">
        <v>2024</v>
      </c>
    </row>
    <row r="6854" spans="1:8" x14ac:dyDescent="0.2">
      <c r="A6854">
        <v>272228</v>
      </c>
      <c r="B6854">
        <v>199892.9</v>
      </c>
      <c r="C6854" t="str">
        <f t="shared" si="107"/>
        <v>3. $50K-250K</v>
      </c>
      <c r="D6854" t="s">
        <v>991</v>
      </c>
      <c r="E6854" t="s">
        <v>432</v>
      </c>
      <c r="F6854" t="s">
        <v>670</v>
      </c>
      <c r="G6854" t="s">
        <v>59</v>
      </c>
      <c r="H6854">
        <v>2024</v>
      </c>
    </row>
    <row r="6855" spans="1:8" x14ac:dyDescent="0.2">
      <c r="A6855">
        <v>272232</v>
      </c>
      <c r="B6855">
        <v>54913.1</v>
      </c>
      <c r="C6855" t="str">
        <f t="shared" si="107"/>
        <v>3. $50K-250K</v>
      </c>
      <c r="D6855" t="s">
        <v>762</v>
      </c>
      <c r="E6855" t="s">
        <v>237</v>
      </c>
      <c r="F6855" t="s">
        <v>670</v>
      </c>
      <c r="G6855" t="s">
        <v>59</v>
      </c>
      <c r="H6855">
        <v>2024</v>
      </c>
    </row>
    <row r="6856" spans="1:8" x14ac:dyDescent="0.2">
      <c r="A6856">
        <v>272234</v>
      </c>
      <c r="B6856">
        <v>338055.2</v>
      </c>
      <c r="C6856" t="str">
        <f t="shared" si="107"/>
        <v>3. $50K-250K</v>
      </c>
      <c r="D6856" t="s">
        <v>991</v>
      </c>
      <c r="E6856" t="s">
        <v>432</v>
      </c>
      <c r="F6856" t="s">
        <v>670</v>
      </c>
      <c r="G6856" t="s">
        <v>59</v>
      </c>
      <c r="H6856">
        <v>2024</v>
      </c>
    </row>
    <row r="6857" spans="1:8" x14ac:dyDescent="0.2">
      <c r="A6857">
        <v>272238</v>
      </c>
      <c r="B6857">
        <v>54320.3</v>
      </c>
      <c r="C6857" t="str">
        <f t="shared" si="107"/>
        <v>4. $250K-1M</v>
      </c>
      <c r="D6857" t="s">
        <v>762</v>
      </c>
      <c r="E6857" t="s">
        <v>237</v>
      </c>
      <c r="F6857" t="s">
        <v>670</v>
      </c>
      <c r="G6857" t="s">
        <v>59</v>
      </c>
      <c r="H6857">
        <v>2024</v>
      </c>
    </row>
    <row r="6858" spans="1:8" x14ac:dyDescent="0.2">
      <c r="A6858">
        <v>272252</v>
      </c>
      <c r="B6858">
        <v>462008</v>
      </c>
      <c r="C6858" t="str">
        <f t="shared" si="107"/>
        <v>3. $50K-250K</v>
      </c>
      <c r="D6858" t="s">
        <v>507</v>
      </c>
      <c r="E6858" t="s">
        <v>237</v>
      </c>
      <c r="F6858" t="s">
        <v>670</v>
      </c>
      <c r="G6858" t="s">
        <v>59</v>
      </c>
      <c r="H6858">
        <v>2024</v>
      </c>
    </row>
    <row r="6859" spans="1:8" x14ac:dyDescent="0.2">
      <c r="A6859">
        <v>272253</v>
      </c>
      <c r="B6859">
        <v>45597</v>
      </c>
      <c r="C6859" t="str">
        <f t="shared" si="107"/>
        <v>4. $250K-1M</v>
      </c>
      <c r="D6859" t="s">
        <v>807</v>
      </c>
      <c r="E6859" t="s">
        <v>237</v>
      </c>
      <c r="F6859" t="s">
        <v>670</v>
      </c>
      <c r="G6859" t="s">
        <v>59</v>
      </c>
      <c r="H6859">
        <v>2024</v>
      </c>
    </row>
    <row r="6860" spans="1:8" x14ac:dyDescent="0.2">
      <c r="A6860">
        <v>272254</v>
      </c>
      <c r="B6860">
        <v>66040</v>
      </c>
      <c r="C6860" t="str">
        <f t="shared" si="107"/>
        <v>2. $10K-50K</v>
      </c>
      <c r="D6860" t="s">
        <v>711</v>
      </c>
      <c r="E6860" t="s">
        <v>237</v>
      </c>
      <c r="F6860" t="s">
        <v>670</v>
      </c>
      <c r="G6860" t="s">
        <v>59</v>
      </c>
      <c r="H6860">
        <v>2024</v>
      </c>
    </row>
    <row r="6861" spans="1:8" x14ac:dyDescent="0.2">
      <c r="A6861">
        <v>272255</v>
      </c>
      <c r="B6861">
        <v>36097.5</v>
      </c>
      <c r="C6861" t="str">
        <f t="shared" si="107"/>
        <v>3. $50K-250K</v>
      </c>
      <c r="D6861" t="s">
        <v>507</v>
      </c>
      <c r="E6861" t="s">
        <v>237</v>
      </c>
      <c r="F6861" t="s">
        <v>670</v>
      </c>
      <c r="G6861" t="s">
        <v>59</v>
      </c>
      <c r="H6861">
        <v>2024</v>
      </c>
    </row>
    <row r="6862" spans="1:8" x14ac:dyDescent="0.2">
      <c r="A6862">
        <v>272256</v>
      </c>
      <c r="B6862">
        <v>202419</v>
      </c>
      <c r="C6862" t="str">
        <f t="shared" si="107"/>
        <v>2. $10K-50K</v>
      </c>
      <c r="D6862" t="s">
        <v>507</v>
      </c>
      <c r="E6862" t="s">
        <v>237</v>
      </c>
      <c r="F6862" t="s">
        <v>670</v>
      </c>
      <c r="G6862" t="s">
        <v>59</v>
      </c>
      <c r="H6862">
        <v>2024</v>
      </c>
    </row>
    <row r="6863" spans="1:8" x14ac:dyDescent="0.2">
      <c r="A6863">
        <v>272257</v>
      </c>
      <c r="B6863">
        <v>183280</v>
      </c>
      <c r="C6863" t="str">
        <f t="shared" si="107"/>
        <v>3. $50K-250K</v>
      </c>
      <c r="D6863" t="s">
        <v>507</v>
      </c>
      <c r="E6863" t="s">
        <v>237</v>
      </c>
      <c r="F6863" t="s">
        <v>670</v>
      </c>
      <c r="G6863" t="s">
        <v>59</v>
      </c>
      <c r="H6863">
        <v>2024</v>
      </c>
    </row>
    <row r="6864" spans="1:8" x14ac:dyDescent="0.2">
      <c r="A6864">
        <v>272258</v>
      </c>
      <c r="B6864">
        <v>213210</v>
      </c>
      <c r="C6864" t="str">
        <f t="shared" si="107"/>
        <v>3. $50K-250K</v>
      </c>
      <c r="D6864" t="s">
        <v>673</v>
      </c>
      <c r="E6864" t="s">
        <v>237</v>
      </c>
      <c r="F6864" t="s">
        <v>670</v>
      </c>
      <c r="G6864" t="s">
        <v>59</v>
      </c>
      <c r="H6864">
        <v>2024</v>
      </c>
    </row>
    <row r="6865" spans="1:8" x14ac:dyDescent="0.2">
      <c r="A6865">
        <v>272259</v>
      </c>
      <c r="B6865">
        <v>614739</v>
      </c>
      <c r="C6865" t="str">
        <f t="shared" si="107"/>
        <v>3. $50K-250K</v>
      </c>
      <c r="D6865" t="s">
        <v>980</v>
      </c>
      <c r="E6865" t="s">
        <v>237</v>
      </c>
      <c r="F6865" t="s">
        <v>670</v>
      </c>
      <c r="G6865" t="s">
        <v>59</v>
      </c>
      <c r="H6865">
        <v>2024</v>
      </c>
    </row>
    <row r="6866" spans="1:8" x14ac:dyDescent="0.2">
      <c r="A6866">
        <v>272260</v>
      </c>
      <c r="B6866">
        <v>17962</v>
      </c>
      <c r="C6866" t="str">
        <f t="shared" si="107"/>
        <v>4. $250K-1M</v>
      </c>
      <c r="D6866" t="s">
        <v>890</v>
      </c>
      <c r="E6866" t="s">
        <v>237</v>
      </c>
      <c r="F6866" t="s">
        <v>670</v>
      </c>
      <c r="G6866" t="s">
        <v>59</v>
      </c>
      <c r="H6866">
        <v>2024</v>
      </c>
    </row>
    <row r="6867" spans="1:8" x14ac:dyDescent="0.2">
      <c r="A6867">
        <v>272261</v>
      </c>
      <c r="B6867">
        <v>61824</v>
      </c>
      <c r="C6867" t="str">
        <f t="shared" si="107"/>
        <v>2. $10K-50K</v>
      </c>
      <c r="D6867" t="s">
        <v>990</v>
      </c>
      <c r="E6867" t="s">
        <v>237</v>
      </c>
      <c r="F6867" t="s">
        <v>670</v>
      </c>
      <c r="G6867" t="s">
        <v>59</v>
      </c>
      <c r="H6867">
        <v>2024</v>
      </c>
    </row>
    <row r="6868" spans="1:8" x14ac:dyDescent="0.2">
      <c r="A6868">
        <v>272262</v>
      </c>
      <c r="B6868">
        <v>61824</v>
      </c>
      <c r="C6868" t="str">
        <f t="shared" si="107"/>
        <v>3. $50K-250K</v>
      </c>
      <c r="D6868" t="s">
        <v>988</v>
      </c>
      <c r="E6868" t="s">
        <v>237</v>
      </c>
      <c r="F6868" t="s">
        <v>670</v>
      </c>
      <c r="G6868" t="s">
        <v>59</v>
      </c>
      <c r="H6868">
        <v>2024</v>
      </c>
    </row>
    <row r="6869" spans="1:8" x14ac:dyDescent="0.2">
      <c r="A6869">
        <v>272263</v>
      </c>
      <c r="B6869">
        <v>20608</v>
      </c>
      <c r="C6869" t="str">
        <f t="shared" si="107"/>
        <v>3. $50K-250K</v>
      </c>
      <c r="D6869" t="s">
        <v>942</v>
      </c>
      <c r="E6869" t="s">
        <v>237</v>
      </c>
      <c r="F6869" t="s">
        <v>670</v>
      </c>
      <c r="G6869" t="s">
        <v>59</v>
      </c>
      <c r="H6869">
        <v>2024</v>
      </c>
    </row>
    <row r="6870" spans="1:8" x14ac:dyDescent="0.2">
      <c r="A6870">
        <v>272264</v>
      </c>
      <c r="B6870">
        <v>60000</v>
      </c>
      <c r="C6870" t="str">
        <f t="shared" si="107"/>
        <v>2. $10K-50K</v>
      </c>
      <c r="D6870" t="s">
        <v>879</v>
      </c>
      <c r="E6870" t="s">
        <v>237</v>
      </c>
      <c r="F6870" t="s">
        <v>670</v>
      </c>
      <c r="G6870" t="s">
        <v>59</v>
      </c>
      <c r="H6870">
        <v>2024</v>
      </c>
    </row>
    <row r="6871" spans="1:8" x14ac:dyDescent="0.2">
      <c r="A6871">
        <v>272265</v>
      </c>
      <c r="B6871">
        <v>27503.8</v>
      </c>
      <c r="C6871" t="str">
        <f t="shared" si="107"/>
        <v>3. $50K-250K</v>
      </c>
      <c r="D6871" t="s">
        <v>925</v>
      </c>
      <c r="E6871" t="s">
        <v>237</v>
      </c>
      <c r="F6871" t="s">
        <v>670</v>
      </c>
      <c r="G6871" t="s">
        <v>59</v>
      </c>
      <c r="H6871">
        <v>2024</v>
      </c>
    </row>
    <row r="6872" spans="1:8" x14ac:dyDescent="0.2">
      <c r="A6872">
        <v>272266</v>
      </c>
      <c r="B6872">
        <v>20608</v>
      </c>
      <c r="C6872" t="str">
        <f t="shared" si="107"/>
        <v>2. $10K-50K</v>
      </c>
      <c r="D6872" t="s">
        <v>1535</v>
      </c>
      <c r="E6872" t="s">
        <v>237</v>
      </c>
      <c r="F6872" t="s">
        <v>670</v>
      </c>
      <c r="G6872" t="s">
        <v>59</v>
      </c>
      <c r="H6872">
        <v>2024</v>
      </c>
    </row>
    <row r="6873" spans="1:8" x14ac:dyDescent="0.2">
      <c r="A6873">
        <v>272267</v>
      </c>
      <c r="B6873">
        <v>24159</v>
      </c>
      <c r="C6873" t="str">
        <f t="shared" si="107"/>
        <v>2. $10K-50K</v>
      </c>
      <c r="D6873" t="s">
        <v>749</v>
      </c>
      <c r="E6873" t="s">
        <v>237</v>
      </c>
      <c r="F6873" t="s">
        <v>670</v>
      </c>
      <c r="G6873" t="s">
        <v>59</v>
      </c>
      <c r="H6873">
        <v>2024</v>
      </c>
    </row>
    <row r="6874" spans="1:8" x14ac:dyDescent="0.2">
      <c r="A6874">
        <v>272268</v>
      </c>
      <c r="B6874">
        <v>41216</v>
      </c>
      <c r="C6874" t="str">
        <f t="shared" si="107"/>
        <v>2. $10K-50K</v>
      </c>
      <c r="D6874" t="s">
        <v>713</v>
      </c>
      <c r="E6874" t="s">
        <v>237</v>
      </c>
      <c r="F6874" t="s">
        <v>670</v>
      </c>
      <c r="G6874" t="s">
        <v>59</v>
      </c>
      <c r="H6874">
        <v>2024</v>
      </c>
    </row>
    <row r="6875" spans="1:8" x14ac:dyDescent="0.2">
      <c r="A6875">
        <v>272270</v>
      </c>
      <c r="B6875">
        <v>18962.599999999999</v>
      </c>
      <c r="C6875" t="str">
        <f t="shared" si="107"/>
        <v>2. $10K-50K</v>
      </c>
      <c r="D6875" t="s">
        <v>719</v>
      </c>
      <c r="E6875" t="s">
        <v>237</v>
      </c>
      <c r="F6875" t="s">
        <v>670</v>
      </c>
      <c r="G6875" t="s">
        <v>59</v>
      </c>
      <c r="H6875">
        <v>2024</v>
      </c>
    </row>
    <row r="6876" spans="1:8" x14ac:dyDescent="0.2">
      <c r="A6876">
        <v>272273</v>
      </c>
      <c r="B6876">
        <v>88807.3</v>
      </c>
      <c r="C6876" t="str">
        <f t="shared" si="107"/>
        <v>2. $10K-50K</v>
      </c>
      <c r="D6876" t="s">
        <v>1079</v>
      </c>
      <c r="E6876" t="s">
        <v>237</v>
      </c>
      <c r="F6876" t="s">
        <v>670</v>
      </c>
      <c r="G6876" t="s">
        <v>59</v>
      </c>
      <c r="H6876">
        <v>2024</v>
      </c>
    </row>
    <row r="6877" spans="1:8" x14ac:dyDescent="0.2">
      <c r="A6877">
        <v>272278</v>
      </c>
      <c r="B6877">
        <v>95759</v>
      </c>
      <c r="C6877" t="str">
        <f t="shared" si="107"/>
        <v>3. $50K-250K</v>
      </c>
      <c r="D6877" t="s">
        <v>749</v>
      </c>
      <c r="E6877" t="s">
        <v>237</v>
      </c>
      <c r="F6877" t="s">
        <v>670</v>
      </c>
      <c r="G6877" t="s">
        <v>59</v>
      </c>
      <c r="H6877">
        <v>2024</v>
      </c>
    </row>
    <row r="6878" spans="1:8" x14ac:dyDescent="0.2">
      <c r="A6878">
        <v>272288</v>
      </c>
      <c r="B6878">
        <v>40000</v>
      </c>
      <c r="C6878" t="str">
        <f t="shared" si="107"/>
        <v>3. $50K-250K</v>
      </c>
      <c r="D6878" t="s">
        <v>1741</v>
      </c>
      <c r="E6878" t="s">
        <v>112</v>
      </c>
      <c r="F6878" t="s">
        <v>668</v>
      </c>
      <c r="G6878" t="s">
        <v>59</v>
      </c>
      <c r="H6878">
        <v>2024</v>
      </c>
    </row>
    <row r="6879" spans="1:8" x14ac:dyDescent="0.2">
      <c r="A6879">
        <v>272289</v>
      </c>
      <c r="B6879">
        <v>372719</v>
      </c>
      <c r="C6879" t="str">
        <f t="shared" si="107"/>
        <v>2. $10K-50K</v>
      </c>
      <c r="D6879" t="s">
        <v>749</v>
      </c>
      <c r="E6879" t="s">
        <v>42</v>
      </c>
      <c r="F6879" t="s">
        <v>670</v>
      </c>
      <c r="G6879" t="s">
        <v>59</v>
      </c>
      <c r="H6879">
        <v>2024</v>
      </c>
    </row>
    <row r="6880" spans="1:8" x14ac:dyDescent="0.2">
      <c r="A6880">
        <v>272291</v>
      </c>
      <c r="B6880">
        <v>20608</v>
      </c>
      <c r="C6880" t="str">
        <f t="shared" si="107"/>
        <v>4. $250K-1M</v>
      </c>
      <c r="D6880" t="s">
        <v>713</v>
      </c>
      <c r="E6880" t="s">
        <v>237</v>
      </c>
      <c r="F6880" t="s">
        <v>670</v>
      </c>
      <c r="G6880" t="s">
        <v>59</v>
      </c>
      <c r="H6880">
        <v>2024</v>
      </c>
    </row>
    <row r="6881" spans="1:8" x14ac:dyDescent="0.2">
      <c r="A6881">
        <v>272292</v>
      </c>
      <c r="B6881">
        <v>20608</v>
      </c>
      <c r="C6881" t="str">
        <f t="shared" si="107"/>
        <v>2. $10K-50K</v>
      </c>
      <c r="D6881" t="s">
        <v>713</v>
      </c>
      <c r="E6881" t="s">
        <v>237</v>
      </c>
      <c r="F6881" t="s">
        <v>670</v>
      </c>
      <c r="G6881" t="s">
        <v>59</v>
      </c>
      <c r="H6881">
        <v>2024</v>
      </c>
    </row>
    <row r="6882" spans="1:8" x14ac:dyDescent="0.2">
      <c r="A6882">
        <v>272293</v>
      </c>
      <c r="B6882">
        <v>20608</v>
      </c>
      <c r="C6882" t="str">
        <f t="shared" si="107"/>
        <v>2. $10K-50K</v>
      </c>
      <c r="D6882" t="s">
        <v>951</v>
      </c>
      <c r="E6882" t="s">
        <v>237</v>
      </c>
      <c r="F6882" t="s">
        <v>670</v>
      </c>
      <c r="G6882" t="s">
        <v>59</v>
      </c>
      <c r="H6882">
        <v>2024</v>
      </c>
    </row>
    <row r="6883" spans="1:8" x14ac:dyDescent="0.2">
      <c r="A6883">
        <v>272294</v>
      </c>
      <c r="B6883">
        <v>82432</v>
      </c>
      <c r="C6883" t="str">
        <f t="shared" si="107"/>
        <v>2. $10K-50K</v>
      </c>
      <c r="D6883" t="s">
        <v>783</v>
      </c>
      <c r="E6883" t="s">
        <v>237</v>
      </c>
      <c r="F6883" t="s">
        <v>670</v>
      </c>
      <c r="G6883" t="s">
        <v>59</v>
      </c>
      <c r="H6883">
        <v>2024</v>
      </c>
    </row>
    <row r="6884" spans="1:8" x14ac:dyDescent="0.2">
      <c r="A6884">
        <v>272295</v>
      </c>
      <c r="B6884">
        <v>82432</v>
      </c>
      <c r="C6884" t="str">
        <f t="shared" si="107"/>
        <v>3. $50K-250K</v>
      </c>
      <c r="D6884" t="s">
        <v>801</v>
      </c>
      <c r="E6884" t="s">
        <v>237</v>
      </c>
      <c r="F6884" t="s">
        <v>670</v>
      </c>
      <c r="G6884" t="s">
        <v>59</v>
      </c>
      <c r="H6884">
        <v>2024</v>
      </c>
    </row>
    <row r="6885" spans="1:8" x14ac:dyDescent="0.2">
      <c r="A6885">
        <v>272296</v>
      </c>
      <c r="B6885">
        <v>61824</v>
      </c>
      <c r="C6885" t="str">
        <f t="shared" si="107"/>
        <v>3. $50K-250K</v>
      </c>
      <c r="D6885" t="s">
        <v>983</v>
      </c>
      <c r="E6885" t="s">
        <v>237</v>
      </c>
      <c r="F6885" t="s">
        <v>670</v>
      </c>
      <c r="G6885" t="s">
        <v>59</v>
      </c>
      <c r="H6885">
        <v>2024</v>
      </c>
    </row>
    <row r="6886" spans="1:8" x14ac:dyDescent="0.2">
      <c r="A6886">
        <v>272297</v>
      </c>
      <c r="B6886">
        <v>8250</v>
      </c>
      <c r="C6886" t="str">
        <f t="shared" si="107"/>
        <v>3. $50K-250K</v>
      </c>
      <c r="D6886" t="s">
        <v>794</v>
      </c>
      <c r="E6886" t="s">
        <v>237</v>
      </c>
      <c r="F6886" t="s">
        <v>670</v>
      </c>
      <c r="G6886" t="s">
        <v>59</v>
      </c>
      <c r="H6886">
        <v>2024</v>
      </c>
    </row>
    <row r="6887" spans="1:8" x14ac:dyDescent="0.2">
      <c r="A6887">
        <v>272298</v>
      </c>
      <c r="B6887">
        <v>58887</v>
      </c>
      <c r="C6887" t="str">
        <f t="shared" si="107"/>
        <v>1. Under $10K</v>
      </c>
      <c r="D6887" t="s">
        <v>794</v>
      </c>
      <c r="E6887" t="s">
        <v>237</v>
      </c>
      <c r="F6887" t="s">
        <v>670</v>
      </c>
      <c r="G6887" t="s">
        <v>59</v>
      </c>
      <c r="H6887">
        <v>2024</v>
      </c>
    </row>
    <row r="6888" spans="1:8" x14ac:dyDescent="0.2">
      <c r="A6888">
        <v>272299</v>
      </c>
      <c r="B6888">
        <v>124346</v>
      </c>
      <c r="C6888" t="str">
        <f t="shared" si="107"/>
        <v>3. $50K-250K</v>
      </c>
      <c r="D6888" t="s">
        <v>812</v>
      </c>
      <c r="E6888" t="s">
        <v>237</v>
      </c>
      <c r="F6888" t="s">
        <v>670</v>
      </c>
      <c r="G6888" t="s">
        <v>59</v>
      </c>
      <c r="H6888">
        <v>2024</v>
      </c>
    </row>
    <row r="6889" spans="1:8" x14ac:dyDescent="0.2">
      <c r="A6889">
        <v>272300</v>
      </c>
      <c r="B6889">
        <v>1277460.6000000001</v>
      </c>
      <c r="C6889" t="str">
        <f t="shared" si="107"/>
        <v>3. $50K-250K</v>
      </c>
      <c r="D6889" t="s">
        <v>749</v>
      </c>
      <c r="E6889" t="s">
        <v>42</v>
      </c>
      <c r="F6889" t="s">
        <v>670</v>
      </c>
      <c r="G6889" t="s">
        <v>59</v>
      </c>
      <c r="H6889">
        <v>2024</v>
      </c>
    </row>
    <row r="6890" spans="1:8" x14ac:dyDescent="0.2">
      <c r="A6890">
        <v>272303</v>
      </c>
      <c r="B6890">
        <v>1428166</v>
      </c>
      <c r="C6890" t="str">
        <f t="shared" si="107"/>
        <v>5. $1M+</v>
      </c>
      <c r="D6890" t="s">
        <v>957</v>
      </c>
      <c r="E6890" t="s">
        <v>42</v>
      </c>
      <c r="F6890" t="s">
        <v>670</v>
      </c>
      <c r="G6890" t="s">
        <v>44</v>
      </c>
      <c r="H6890">
        <v>2024</v>
      </c>
    </row>
    <row r="6891" spans="1:8" x14ac:dyDescent="0.2">
      <c r="A6891">
        <v>272305</v>
      </c>
      <c r="B6891">
        <v>1008166</v>
      </c>
      <c r="C6891" t="str">
        <f t="shared" si="107"/>
        <v>5. $1M+</v>
      </c>
      <c r="D6891" t="s">
        <v>977</v>
      </c>
      <c r="E6891" t="s">
        <v>42</v>
      </c>
      <c r="F6891" t="s">
        <v>670</v>
      </c>
      <c r="G6891" t="s">
        <v>44</v>
      </c>
      <c r="H6891">
        <v>2024</v>
      </c>
    </row>
    <row r="6892" spans="1:8" x14ac:dyDescent="0.2">
      <c r="A6892">
        <v>272306</v>
      </c>
      <c r="B6892">
        <v>250000</v>
      </c>
      <c r="C6892" t="str">
        <f t="shared" si="107"/>
        <v>5. $1M+</v>
      </c>
      <c r="D6892" t="s">
        <v>978</v>
      </c>
      <c r="E6892" t="s">
        <v>42</v>
      </c>
      <c r="F6892" t="s">
        <v>670</v>
      </c>
      <c r="G6892" t="s">
        <v>44</v>
      </c>
      <c r="H6892">
        <v>2024</v>
      </c>
    </row>
    <row r="6893" spans="1:8" x14ac:dyDescent="0.2">
      <c r="A6893">
        <v>272307</v>
      </c>
      <c r="B6893">
        <v>197679</v>
      </c>
      <c r="C6893" t="str">
        <f t="shared" si="107"/>
        <v>4. $250K-1M</v>
      </c>
      <c r="D6893" t="s">
        <v>801</v>
      </c>
      <c r="E6893" t="s">
        <v>42</v>
      </c>
      <c r="F6893" t="s">
        <v>670</v>
      </c>
      <c r="G6893" t="s">
        <v>44</v>
      </c>
      <c r="H6893">
        <v>2024</v>
      </c>
    </row>
    <row r="6894" spans="1:8" x14ac:dyDescent="0.2">
      <c r="A6894">
        <v>272308</v>
      </c>
      <c r="B6894">
        <v>197680</v>
      </c>
      <c r="C6894" t="str">
        <f t="shared" si="107"/>
        <v>3. $50K-250K</v>
      </c>
      <c r="D6894" t="s">
        <v>763</v>
      </c>
      <c r="E6894" t="s">
        <v>59</v>
      </c>
      <c r="F6894" t="s">
        <v>670</v>
      </c>
      <c r="G6894" t="s">
        <v>101</v>
      </c>
      <c r="H6894">
        <v>2024</v>
      </c>
    </row>
    <row r="6895" spans="1:8" x14ac:dyDescent="0.2">
      <c r="A6895">
        <v>272341</v>
      </c>
      <c r="B6895">
        <v>1135649</v>
      </c>
      <c r="C6895" t="str">
        <f t="shared" si="107"/>
        <v>3. $50K-250K</v>
      </c>
      <c r="D6895" t="s">
        <v>441</v>
      </c>
      <c r="E6895" t="s">
        <v>141</v>
      </c>
      <c r="F6895" t="s">
        <v>19</v>
      </c>
      <c r="G6895" t="s">
        <v>101</v>
      </c>
      <c r="H6895">
        <v>2024</v>
      </c>
    </row>
    <row r="6896" spans="1:8" x14ac:dyDescent="0.2">
      <c r="A6896">
        <v>272381</v>
      </c>
      <c r="B6896">
        <v>304666.09999999998</v>
      </c>
      <c r="C6896" t="str">
        <f t="shared" si="107"/>
        <v>5. $1M+</v>
      </c>
      <c r="D6896" t="s">
        <v>800</v>
      </c>
      <c r="E6896" t="s">
        <v>237</v>
      </c>
      <c r="F6896" t="s">
        <v>670</v>
      </c>
      <c r="G6896" t="s">
        <v>59</v>
      </c>
      <c r="H6896">
        <v>2024</v>
      </c>
    </row>
    <row r="6897" spans="1:8" x14ac:dyDescent="0.2">
      <c r="A6897">
        <v>272389</v>
      </c>
      <c r="B6897">
        <v>136998</v>
      </c>
      <c r="C6897" t="str">
        <f t="shared" si="107"/>
        <v>4. $250K-1M</v>
      </c>
      <c r="D6897" t="s">
        <v>771</v>
      </c>
      <c r="E6897" t="s">
        <v>42</v>
      </c>
      <c r="F6897" t="s">
        <v>670</v>
      </c>
      <c r="G6897" t="s">
        <v>59</v>
      </c>
      <c r="H6897">
        <v>2024</v>
      </c>
    </row>
    <row r="6898" spans="1:8" x14ac:dyDescent="0.2">
      <c r="A6898">
        <v>272482</v>
      </c>
      <c r="B6898">
        <v>117525</v>
      </c>
      <c r="C6898" t="str">
        <f t="shared" si="107"/>
        <v>3. $50K-250K</v>
      </c>
      <c r="D6898" t="s">
        <v>839</v>
      </c>
      <c r="E6898" t="s">
        <v>42</v>
      </c>
      <c r="F6898" t="s">
        <v>670</v>
      </c>
      <c r="G6898" t="s">
        <v>59</v>
      </c>
      <c r="H6898">
        <v>2024</v>
      </c>
    </row>
    <row r="6899" spans="1:8" x14ac:dyDescent="0.2">
      <c r="A6899">
        <v>272586</v>
      </c>
      <c r="B6899">
        <v>12500</v>
      </c>
      <c r="C6899" t="str">
        <f t="shared" si="107"/>
        <v>3. $50K-250K</v>
      </c>
      <c r="D6899" t="s">
        <v>1587</v>
      </c>
      <c r="E6899" t="s">
        <v>112</v>
      </c>
      <c r="F6899" t="s">
        <v>668</v>
      </c>
      <c r="G6899" t="s">
        <v>59</v>
      </c>
      <c r="H6899">
        <v>2024</v>
      </c>
    </row>
    <row r="6900" spans="1:8" x14ac:dyDescent="0.2">
      <c r="A6900">
        <v>272587</v>
      </c>
      <c r="B6900">
        <v>20000</v>
      </c>
      <c r="C6900" t="str">
        <f t="shared" si="107"/>
        <v>2. $10K-50K</v>
      </c>
      <c r="D6900" t="s">
        <v>2031</v>
      </c>
      <c r="E6900" t="s">
        <v>112</v>
      </c>
      <c r="F6900" t="s">
        <v>668</v>
      </c>
      <c r="G6900" t="s">
        <v>59</v>
      </c>
      <c r="H6900">
        <v>2024</v>
      </c>
    </row>
    <row r="6901" spans="1:8" x14ac:dyDescent="0.2">
      <c r="A6901">
        <v>272589</v>
      </c>
      <c r="B6901">
        <v>90000</v>
      </c>
      <c r="C6901" t="str">
        <f t="shared" si="107"/>
        <v>2. $10K-50K</v>
      </c>
      <c r="D6901" t="s">
        <v>926</v>
      </c>
      <c r="E6901" t="s">
        <v>112</v>
      </c>
      <c r="F6901" t="s">
        <v>668</v>
      </c>
      <c r="G6901" t="s">
        <v>59</v>
      </c>
      <c r="H6901">
        <v>2024</v>
      </c>
    </row>
    <row r="6902" spans="1:8" x14ac:dyDescent="0.2">
      <c r="A6902">
        <v>272615</v>
      </c>
      <c r="B6902">
        <v>319815</v>
      </c>
      <c r="C6902" t="str">
        <f t="shared" si="107"/>
        <v>3. $50K-250K</v>
      </c>
      <c r="D6902" t="s">
        <v>783</v>
      </c>
      <c r="E6902" t="s">
        <v>237</v>
      </c>
      <c r="F6902" t="s">
        <v>670</v>
      </c>
      <c r="G6902" t="s">
        <v>59</v>
      </c>
      <c r="H6902">
        <v>2024</v>
      </c>
    </row>
    <row r="6903" spans="1:8" x14ac:dyDescent="0.2">
      <c r="A6903">
        <v>272617</v>
      </c>
      <c r="B6903">
        <v>175076</v>
      </c>
      <c r="C6903" t="str">
        <f t="shared" si="107"/>
        <v>4. $250K-1M</v>
      </c>
      <c r="D6903" t="s">
        <v>671</v>
      </c>
      <c r="E6903" t="s">
        <v>237</v>
      </c>
      <c r="F6903" t="s">
        <v>670</v>
      </c>
      <c r="G6903" t="s">
        <v>59</v>
      </c>
      <c r="H6903">
        <v>2024</v>
      </c>
    </row>
    <row r="6904" spans="1:8" x14ac:dyDescent="0.2">
      <c r="A6904">
        <v>272618</v>
      </c>
      <c r="B6904">
        <v>20448</v>
      </c>
      <c r="C6904" t="str">
        <f t="shared" si="107"/>
        <v>3. $50K-250K</v>
      </c>
      <c r="D6904" t="s">
        <v>749</v>
      </c>
      <c r="E6904" t="s">
        <v>237</v>
      </c>
      <c r="F6904" t="s">
        <v>670</v>
      </c>
      <c r="G6904" t="s">
        <v>59</v>
      </c>
      <c r="H6904">
        <v>2024</v>
      </c>
    </row>
    <row r="6905" spans="1:8" x14ac:dyDescent="0.2">
      <c r="A6905">
        <v>272619</v>
      </c>
      <c r="B6905">
        <v>18432</v>
      </c>
      <c r="C6905" t="str">
        <f t="shared" si="107"/>
        <v>2. $10K-50K</v>
      </c>
      <c r="D6905" t="s">
        <v>749</v>
      </c>
      <c r="E6905" t="s">
        <v>237</v>
      </c>
      <c r="F6905" t="s">
        <v>670</v>
      </c>
      <c r="G6905" t="s">
        <v>59</v>
      </c>
      <c r="H6905">
        <v>2024</v>
      </c>
    </row>
    <row r="6906" spans="1:8" x14ac:dyDescent="0.2">
      <c r="A6906">
        <v>272628</v>
      </c>
      <c r="B6906">
        <v>165681</v>
      </c>
      <c r="C6906" t="str">
        <f t="shared" si="107"/>
        <v>2. $10K-50K</v>
      </c>
      <c r="D6906" t="s">
        <v>785</v>
      </c>
      <c r="E6906" t="s">
        <v>237</v>
      </c>
      <c r="F6906" t="s">
        <v>670</v>
      </c>
      <c r="G6906" t="s">
        <v>59</v>
      </c>
      <c r="H6906">
        <v>2024</v>
      </c>
    </row>
    <row r="6907" spans="1:8" x14ac:dyDescent="0.2">
      <c r="A6907">
        <v>272806</v>
      </c>
      <c r="B6907">
        <v>588956</v>
      </c>
      <c r="C6907" t="str">
        <f t="shared" si="107"/>
        <v>3. $50K-250K</v>
      </c>
      <c r="D6907" t="s">
        <v>255</v>
      </c>
      <c r="E6907" t="s">
        <v>67</v>
      </c>
      <c r="F6907" t="s">
        <v>43</v>
      </c>
      <c r="G6907" t="s">
        <v>59</v>
      </c>
      <c r="H6907">
        <v>2024</v>
      </c>
    </row>
    <row r="6908" spans="1:8" x14ac:dyDescent="0.2">
      <c r="A6908">
        <v>272824</v>
      </c>
      <c r="B6908">
        <v>52499.9</v>
      </c>
      <c r="C6908" t="str">
        <f t="shared" si="107"/>
        <v>4. $250K-1M</v>
      </c>
      <c r="D6908" t="s">
        <v>957</v>
      </c>
      <c r="E6908" t="s">
        <v>825</v>
      </c>
      <c r="F6908" t="s">
        <v>670</v>
      </c>
      <c r="G6908" t="s">
        <v>59</v>
      </c>
      <c r="H6908">
        <v>2024</v>
      </c>
    </row>
    <row r="6909" spans="1:8" x14ac:dyDescent="0.2">
      <c r="A6909">
        <v>272830</v>
      </c>
      <c r="B6909">
        <v>39374.800000000003</v>
      </c>
      <c r="C6909" t="str">
        <f t="shared" si="107"/>
        <v>3. $50K-250K</v>
      </c>
      <c r="D6909" t="s">
        <v>818</v>
      </c>
      <c r="E6909" t="s">
        <v>825</v>
      </c>
      <c r="F6909" t="s">
        <v>670</v>
      </c>
      <c r="G6909" t="s">
        <v>59</v>
      </c>
      <c r="H6909">
        <v>2024</v>
      </c>
    </row>
    <row r="6910" spans="1:8" x14ac:dyDescent="0.2">
      <c r="A6910">
        <v>272857</v>
      </c>
      <c r="B6910">
        <v>381254</v>
      </c>
      <c r="C6910" t="str">
        <f t="shared" si="107"/>
        <v>2. $10K-50K</v>
      </c>
      <c r="D6910" t="s">
        <v>391</v>
      </c>
      <c r="E6910" t="s">
        <v>42</v>
      </c>
      <c r="F6910" t="s">
        <v>670</v>
      </c>
      <c r="G6910" t="s">
        <v>59</v>
      </c>
      <c r="H6910">
        <v>2024</v>
      </c>
    </row>
    <row r="6911" spans="1:8" x14ac:dyDescent="0.2">
      <c r="A6911">
        <v>272860</v>
      </c>
      <c r="B6911">
        <v>14501525</v>
      </c>
      <c r="C6911" t="str">
        <f t="shared" si="107"/>
        <v>4. $250K-1M</v>
      </c>
      <c r="D6911" t="s">
        <v>137</v>
      </c>
      <c r="E6911" t="s">
        <v>24</v>
      </c>
      <c r="F6911" t="s">
        <v>9</v>
      </c>
      <c r="G6911" t="s">
        <v>10</v>
      </c>
      <c r="H6911">
        <v>2024</v>
      </c>
    </row>
    <row r="6912" spans="1:8" x14ac:dyDescent="0.2">
      <c r="A6912">
        <v>272862</v>
      </c>
      <c r="B6912">
        <v>13089025</v>
      </c>
      <c r="C6912" t="str">
        <f t="shared" si="107"/>
        <v>5. $1M+</v>
      </c>
      <c r="D6912" t="s">
        <v>137</v>
      </c>
      <c r="E6912" t="s">
        <v>24</v>
      </c>
      <c r="F6912" t="s">
        <v>9</v>
      </c>
      <c r="G6912" t="s">
        <v>10</v>
      </c>
      <c r="H6912">
        <v>2024</v>
      </c>
    </row>
    <row r="6913" spans="1:8" x14ac:dyDescent="0.2">
      <c r="A6913">
        <v>272863</v>
      </c>
      <c r="B6913">
        <v>179426.5</v>
      </c>
      <c r="C6913" t="str">
        <f t="shared" si="107"/>
        <v>5. $1M+</v>
      </c>
      <c r="D6913" t="s">
        <v>749</v>
      </c>
      <c r="E6913" t="s">
        <v>42</v>
      </c>
      <c r="F6913" t="s">
        <v>670</v>
      </c>
      <c r="G6913" t="s">
        <v>59</v>
      </c>
      <c r="H6913">
        <v>2024</v>
      </c>
    </row>
    <row r="6914" spans="1:8" x14ac:dyDescent="0.2">
      <c r="A6914">
        <v>272864</v>
      </c>
      <c r="B6914">
        <v>40000</v>
      </c>
      <c r="C6914" t="str">
        <f t="shared" si="107"/>
        <v>3. $50K-250K</v>
      </c>
      <c r="D6914" t="s">
        <v>801</v>
      </c>
      <c r="E6914" t="s">
        <v>42</v>
      </c>
      <c r="F6914" t="s">
        <v>670</v>
      </c>
      <c r="G6914" t="s">
        <v>59</v>
      </c>
      <c r="H6914">
        <v>2024</v>
      </c>
    </row>
    <row r="6915" spans="1:8" x14ac:dyDescent="0.2">
      <c r="A6915">
        <v>272870</v>
      </c>
      <c r="B6915">
        <v>89987</v>
      </c>
      <c r="C6915" t="str">
        <f t="shared" ref="C6915:C6978" si="108">IF(B6914&lt;10000,"1. Under $10K",IF(B6914&lt;50000,"2. $10K-50K",IF(B6914&lt;250000,"3. $50K-250K",IF(B6914&lt;1000000,"4. $250K-1M","5. $1M+"))))</f>
        <v>2. $10K-50K</v>
      </c>
      <c r="D6915" t="s">
        <v>822</v>
      </c>
      <c r="E6915" t="s">
        <v>825</v>
      </c>
      <c r="F6915" t="s">
        <v>670</v>
      </c>
      <c r="G6915" t="s">
        <v>59</v>
      </c>
      <c r="H6915">
        <v>2024</v>
      </c>
    </row>
    <row r="6916" spans="1:8" x14ac:dyDescent="0.2">
      <c r="A6916">
        <v>272874</v>
      </c>
      <c r="B6916">
        <v>157053.79999999999</v>
      </c>
      <c r="C6916" t="str">
        <f t="shared" si="108"/>
        <v>3. $50K-250K</v>
      </c>
      <c r="D6916" t="s">
        <v>2199</v>
      </c>
      <c r="E6916" t="s">
        <v>99</v>
      </c>
      <c r="F6916" t="s">
        <v>668</v>
      </c>
      <c r="G6916" t="s">
        <v>59</v>
      </c>
      <c r="H6916">
        <v>2024</v>
      </c>
    </row>
    <row r="6917" spans="1:8" x14ac:dyDescent="0.2">
      <c r="A6917">
        <v>272876</v>
      </c>
      <c r="B6917">
        <v>150000</v>
      </c>
      <c r="C6917" t="str">
        <f t="shared" si="108"/>
        <v>3. $50K-250K</v>
      </c>
      <c r="D6917" t="s">
        <v>2200</v>
      </c>
      <c r="E6917" t="s">
        <v>99</v>
      </c>
      <c r="F6917" t="s">
        <v>668</v>
      </c>
      <c r="G6917" t="s">
        <v>59</v>
      </c>
      <c r="H6917">
        <v>2024</v>
      </c>
    </row>
    <row r="6918" spans="1:8" x14ac:dyDescent="0.2">
      <c r="A6918">
        <v>272877</v>
      </c>
      <c r="B6918">
        <v>150000</v>
      </c>
      <c r="C6918" t="str">
        <f t="shared" si="108"/>
        <v>3. $50K-250K</v>
      </c>
      <c r="D6918" t="s">
        <v>1624</v>
      </c>
      <c r="E6918" t="s">
        <v>99</v>
      </c>
      <c r="F6918" t="s">
        <v>668</v>
      </c>
      <c r="G6918" t="s">
        <v>59</v>
      </c>
      <c r="H6918">
        <v>2024</v>
      </c>
    </row>
    <row r="6919" spans="1:8" x14ac:dyDescent="0.2">
      <c r="A6919">
        <v>272881</v>
      </c>
      <c r="B6919">
        <v>250000</v>
      </c>
      <c r="C6919" t="str">
        <f t="shared" si="108"/>
        <v>3. $50K-250K</v>
      </c>
      <c r="D6919" t="s">
        <v>2201</v>
      </c>
      <c r="E6919" t="s">
        <v>99</v>
      </c>
      <c r="F6919" t="s">
        <v>668</v>
      </c>
      <c r="G6919" t="s">
        <v>59</v>
      </c>
      <c r="H6919">
        <v>2024</v>
      </c>
    </row>
    <row r="6920" spans="1:8" x14ac:dyDescent="0.2">
      <c r="A6920">
        <v>272886</v>
      </c>
      <c r="B6920">
        <v>150000</v>
      </c>
      <c r="C6920" t="str">
        <f t="shared" si="108"/>
        <v>4. $250K-1M</v>
      </c>
      <c r="D6920" t="s">
        <v>1274</v>
      </c>
      <c r="E6920" t="s">
        <v>99</v>
      </c>
      <c r="F6920" t="s">
        <v>668</v>
      </c>
      <c r="G6920" t="s">
        <v>59</v>
      </c>
      <c r="H6920">
        <v>2024</v>
      </c>
    </row>
    <row r="6921" spans="1:8" x14ac:dyDescent="0.2">
      <c r="A6921">
        <v>272887</v>
      </c>
      <c r="B6921">
        <v>150000</v>
      </c>
      <c r="C6921" t="str">
        <f t="shared" si="108"/>
        <v>3. $50K-250K</v>
      </c>
      <c r="D6921" t="s">
        <v>949</v>
      </c>
      <c r="E6921" t="s">
        <v>99</v>
      </c>
      <c r="F6921" t="s">
        <v>668</v>
      </c>
      <c r="G6921" t="s">
        <v>59</v>
      </c>
      <c r="H6921">
        <v>2024</v>
      </c>
    </row>
    <row r="6922" spans="1:8" x14ac:dyDescent="0.2">
      <c r="A6922">
        <v>272890</v>
      </c>
      <c r="B6922">
        <v>222301.4</v>
      </c>
      <c r="C6922" t="str">
        <f t="shared" si="108"/>
        <v>3. $50K-250K</v>
      </c>
      <c r="D6922" t="s">
        <v>671</v>
      </c>
      <c r="E6922" t="s">
        <v>42</v>
      </c>
      <c r="F6922" t="s">
        <v>670</v>
      </c>
      <c r="G6922" t="s">
        <v>59</v>
      </c>
      <c r="H6922">
        <v>2024</v>
      </c>
    </row>
    <row r="6923" spans="1:8" x14ac:dyDescent="0.2">
      <c r="A6923">
        <v>272891</v>
      </c>
      <c r="B6923">
        <v>201839.8</v>
      </c>
      <c r="C6923" t="str">
        <f t="shared" si="108"/>
        <v>3. $50K-250K</v>
      </c>
      <c r="D6923" t="s">
        <v>791</v>
      </c>
      <c r="E6923" t="s">
        <v>42</v>
      </c>
      <c r="F6923" t="s">
        <v>670</v>
      </c>
      <c r="G6923" t="s">
        <v>59</v>
      </c>
      <c r="H6923">
        <v>2024</v>
      </c>
    </row>
    <row r="6924" spans="1:8" x14ac:dyDescent="0.2">
      <c r="A6924">
        <v>272892</v>
      </c>
      <c r="B6924">
        <v>250000</v>
      </c>
      <c r="C6924" t="str">
        <f t="shared" si="108"/>
        <v>3. $50K-250K</v>
      </c>
      <c r="D6924" t="s">
        <v>808</v>
      </c>
      <c r="E6924" t="s">
        <v>42</v>
      </c>
      <c r="F6924" t="s">
        <v>670</v>
      </c>
      <c r="G6924" t="s">
        <v>59</v>
      </c>
      <c r="H6924">
        <v>2024</v>
      </c>
    </row>
    <row r="6925" spans="1:8" x14ac:dyDescent="0.2">
      <c r="A6925">
        <v>272894</v>
      </c>
      <c r="B6925">
        <v>120257.4</v>
      </c>
      <c r="C6925" t="str">
        <f t="shared" si="108"/>
        <v>4. $250K-1M</v>
      </c>
      <c r="D6925" t="s">
        <v>977</v>
      </c>
      <c r="E6925" t="s">
        <v>42</v>
      </c>
      <c r="F6925" t="s">
        <v>670</v>
      </c>
      <c r="G6925" t="s">
        <v>59</v>
      </c>
      <c r="H6925">
        <v>2024</v>
      </c>
    </row>
    <row r="6926" spans="1:8" x14ac:dyDescent="0.2">
      <c r="A6926">
        <v>273004</v>
      </c>
      <c r="B6926">
        <v>39701</v>
      </c>
      <c r="C6926" t="str">
        <f t="shared" si="108"/>
        <v>3. $50K-250K</v>
      </c>
      <c r="D6926" t="s">
        <v>688</v>
      </c>
      <c r="E6926" t="s">
        <v>42</v>
      </c>
      <c r="F6926" t="s">
        <v>670</v>
      </c>
      <c r="G6926" t="s">
        <v>44</v>
      </c>
      <c r="H6926">
        <v>2024</v>
      </c>
    </row>
    <row r="6927" spans="1:8" x14ac:dyDescent="0.2">
      <c r="A6927">
        <v>273006</v>
      </c>
      <c r="B6927">
        <v>22301</v>
      </c>
      <c r="C6927" t="str">
        <f t="shared" si="108"/>
        <v>2. $10K-50K</v>
      </c>
      <c r="D6927" t="s">
        <v>684</v>
      </c>
      <c r="E6927" t="s">
        <v>42</v>
      </c>
      <c r="F6927" t="s">
        <v>670</v>
      </c>
      <c r="G6927" t="s">
        <v>44</v>
      </c>
      <c r="H6927">
        <v>2024</v>
      </c>
    </row>
    <row r="6928" spans="1:8" x14ac:dyDescent="0.2">
      <c r="A6928">
        <v>273007</v>
      </c>
      <c r="B6928">
        <v>126111</v>
      </c>
      <c r="C6928" t="str">
        <f t="shared" si="108"/>
        <v>2. $10K-50K</v>
      </c>
      <c r="D6928" t="s">
        <v>684</v>
      </c>
      <c r="E6928" t="s">
        <v>42</v>
      </c>
      <c r="F6928" t="s">
        <v>670</v>
      </c>
      <c r="G6928" t="s">
        <v>44</v>
      </c>
      <c r="H6928">
        <v>2024</v>
      </c>
    </row>
    <row r="6929" spans="1:8" x14ac:dyDescent="0.2">
      <c r="A6929">
        <v>273009</v>
      </c>
      <c r="B6929">
        <v>27795</v>
      </c>
      <c r="C6929" t="str">
        <f t="shared" si="108"/>
        <v>3. $50K-250K</v>
      </c>
      <c r="D6929" t="s">
        <v>683</v>
      </c>
      <c r="E6929" t="s">
        <v>42</v>
      </c>
      <c r="F6929" t="s">
        <v>670</v>
      </c>
      <c r="G6929" t="s">
        <v>44</v>
      </c>
      <c r="H6929">
        <v>2024</v>
      </c>
    </row>
    <row r="6930" spans="1:8" x14ac:dyDescent="0.2">
      <c r="A6930">
        <v>273011</v>
      </c>
      <c r="B6930">
        <v>306121.5</v>
      </c>
      <c r="C6930" t="str">
        <f t="shared" si="108"/>
        <v>2. $10K-50K</v>
      </c>
      <c r="D6930" t="s">
        <v>682</v>
      </c>
      <c r="E6930" t="s">
        <v>42</v>
      </c>
      <c r="F6930" t="s">
        <v>670</v>
      </c>
      <c r="G6930" t="s">
        <v>44</v>
      </c>
      <c r="H6930">
        <v>2024</v>
      </c>
    </row>
    <row r="6931" spans="1:8" x14ac:dyDescent="0.2">
      <c r="A6931">
        <v>273012</v>
      </c>
      <c r="B6931">
        <v>55583</v>
      </c>
      <c r="C6931" t="str">
        <f t="shared" si="108"/>
        <v>4. $250K-1M</v>
      </c>
      <c r="D6931" t="s">
        <v>685</v>
      </c>
      <c r="E6931" t="s">
        <v>42</v>
      </c>
      <c r="F6931" t="s">
        <v>670</v>
      </c>
      <c r="G6931" t="s">
        <v>44</v>
      </c>
      <c r="H6931">
        <v>2024</v>
      </c>
    </row>
    <row r="6932" spans="1:8" x14ac:dyDescent="0.2">
      <c r="A6932">
        <v>273014</v>
      </c>
      <c r="B6932">
        <v>35731</v>
      </c>
      <c r="C6932" t="str">
        <f t="shared" si="108"/>
        <v>3. $50K-250K</v>
      </c>
      <c r="D6932" t="s">
        <v>686</v>
      </c>
      <c r="E6932" t="s">
        <v>42</v>
      </c>
      <c r="F6932" t="s">
        <v>670</v>
      </c>
      <c r="G6932" t="s">
        <v>44</v>
      </c>
      <c r="H6932">
        <v>2024</v>
      </c>
    </row>
    <row r="6933" spans="1:8" x14ac:dyDescent="0.2">
      <c r="A6933">
        <v>273015</v>
      </c>
      <c r="B6933">
        <v>115134</v>
      </c>
      <c r="C6933" t="str">
        <f t="shared" si="108"/>
        <v>2. $10K-50K</v>
      </c>
      <c r="D6933" t="s">
        <v>673</v>
      </c>
      <c r="E6933" t="s">
        <v>42</v>
      </c>
      <c r="F6933" t="s">
        <v>670</v>
      </c>
      <c r="G6933" t="s">
        <v>44</v>
      </c>
      <c r="H6933">
        <v>2024</v>
      </c>
    </row>
    <row r="6934" spans="1:8" x14ac:dyDescent="0.2">
      <c r="A6934">
        <v>273016</v>
      </c>
      <c r="B6934">
        <v>119102</v>
      </c>
      <c r="C6934" t="str">
        <f t="shared" si="108"/>
        <v>3. $50K-250K</v>
      </c>
      <c r="D6934" t="s">
        <v>1473</v>
      </c>
      <c r="E6934" t="s">
        <v>42</v>
      </c>
      <c r="F6934" t="s">
        <v>670</v>
      </c>
      <c r="G6934" t="s">
        <v>44</v>
      </c>
      <c r="H6934">
        <v>2024</v>
      </c>
    </row>
    <row r="6935" spans="1:8" x14ac:dyDescent="0.2">
      <c r="A6935">
        <v>273017</v>
      </c>
      <c r="B6935">
        <v>416667</v>
      </c>
      <c r="C6935" t="str">
        <f t="shared" si="108"/>
        <v>3. $50K-250K</v>
      </c>
      <c r="D6935" t="s">
        <v>669</v>
      </c>
      <c r="E6935" t="s">
        <v>59</v>
      </c>
      <c r="F6935" t="s">
        <v>670</v>
      </c>
      <c r="G6935" t="s">
        <v>59</v>
      </c>
      <c r="H6935">
        <v>2024</v>
      </c>
    </row>
    <row r="6936" spans="1:8" x14ac:dyDescent="0.2">
      <c r="A6936">
        <v>273020</v>
      </c>
      <c r="B6936">
        <v>1677083</v>
      </c>
      <c r="C6936" t="str">
        <f t="shared" si="108"/>
        <v>4. $250K-1M</v>
      </c>
      <c r="D6936" t="s">
        <v>682</v>
      </c>
      <c r="E6936" t="s">
        <v>42</v>
      </c>
      <c r="F6936" t="s">
        <v>670</v>
      </c>
      <c r="G6936" t="s">
        <v>44</v>
      </c>
      <c r="H6936">
        <v>2024</v>
      </c>
    </row>
    <row r="6937" spans="1:8" x14ac:dyDescent="0.2">
      <c r="A6937">
        <v>273021</v>
      </c>
      <c r="B6937">
        <v>119792</v>
      </c>
      <c r="C6937" t="str">
        <f t="shared" si="108"/>
        <v>5. $1M+</v>
      </c>
      <c r="D6937" t="s">
        <v>804</v>
      </c>
      <c r="E6937" t="s">
        <v>42</v>
      </c>
      <c r="F6937" t="s">
        <v>670</v>
      </c>
      <c r="G6937" t="s">
        <v>44</v>
      </c>
      <c r="H6937">
        <v>2024</v>
      </c>
    </row>
    <row r="6938" spans="1:8" x14ac:dyDescent="0.2">
      <c r="A6938">
        <v>273022</v>
      </c>
      <c r="B6938">
        <v>119792</v>
      </c>
      <c r="C6938" t="str">
        <f t="shared" si="108"/>
        <v>3. $50K-250K</v>
      </c>
      <c r="D6938" t="s">
        <v>782</v>
      </c>
      <c r="E6938" t="s">
        <v>42</v>
      </c>
      <c r="F6938" t="s">
        <v>670</v>
      </c>
      <c r="G6938" t="s">
        <v>44</v>
      </c>
      <c r="H6938">
        <v>2024</v>
      </c>
    </row>
    <row r="6939" spans="1:8" x14ac:dyDescent="0.2">
      <c r="A6939">
        <v>273023</v>
      </c>
      <c r="B6939">
        <v>20817</v>
      </c>
      <c r="C6939" t="str">
        <f t="shared" si="108"/>
        <v>3. $50K-250K</v>
      </c>
      <c r="D6939" t="s">
        <v>680</v>
      </c>
      <c r="E6939" t="s">
        <v>42</v>
      </c>
      <c r="F6939" t="s">
        <v>670</v>
      </c>
      <c r="G6939" t="s">
        <v>44</v>
      </c>
      <c r="H6939">
        <v>2024</v>
      </c>
    </row>
    <row r="6940" spans="1:8" x14ac:dyDescent="0.2">
      <c r="A6940">
        <v>273024</v>
      </c>
      <c r="B6940">
        <v>27783</v>
      </c>
      <c r="C6940" t="str">
        <f t="shared" si="108"/>
        <v>2. $10K-50K</v>
      </c>
      <c r="D6940" t="s">
        <v>680</v>
      </c>
      <c r="E6940" t="s">
        <v>42</v>
      </c>
      <c r="F6940" t="s">
        <v>670</v>
      </c>
      <c r="G6940" t="s">
        <v>44</v>
      </c>
      <c r="H6940">
        <v>2024</v>
      </c>
    </row>
    <row r="6941" spans="1:8" x14ac:dyDescent="0.2">
      <c r="A6941">
        <v>273025</v>
      </c>
      <c r="B6941">
        <v>27783</v>
      </c>
      <c r="C6941" t="str">
        <f t="shared" si="108"/>
        <v>2. $10K-50K</v>
      </c>
      <c r="D6941" t="s">
        <v>671</v>
      </c>
      <c r="E6941" t="s">
        <v>42</v>
      </c>
      <c r="F6941" t="s">
        <v>670</v>
      </c>
      <c r="G6941" t="s">
        <v>44</v>
      </c>
      <c r="H6941">
        <v>2024</v>
      </c>
    </row>
    <row r="6942" spans="1:8" x14ac:dyDescent="0.2">
      <c r="A6942">
        <v>273026</v>
      </c>
      <c r="B6942">
        <v>27783</v>
      </c>
      <c r="C6942" t="str">
        <f t="shared" si="108"/>
        <v>2. $10K-50K</v>
      </c>
      <c r="D6942" t="s">
        <v>679</v>
      </c>
      <c r="E6942" t="s">
        <v>42</v>
      </c>
      <c r="F6942" t="s">
        <v>670</v>
      </c>
      <c r="G6942" t="s">
        <v>44</v>
      </c>
      <c r="H6942">
        <v>2024</v>
      </c>
    </row>
    <row r="6943" spans="1:8" x14ac:dyDescent="0.2">
      <c r="A6943">
        <v>273273</v>
      </c>
      <c r="B6943">
        <v>163688.29999999999</v>
      </c>
      <c r="C6943" t="str">
        <f t="shared" si="108"/>
        <v>2. $10K-50K</v>
      </c>
      <c r="D6943" t="s">
        <v>1094</v>
      </c>
      <c r="E6943" t="s">
        <v>237</v>
      </c>
      <c r="F6943" t="s">
        <v>670</v>
      </c>
      <c r="G6943" t="s">
        <v>59</v>
      </c>
      <c r="H6943">
        <v>2024</v>
      </c>
    </row>
    <row r="6944" spans="1:8" x14ac:dyDescent="0.2">
      <c r="A6944">
        <v>273280</v>
      </c>
      <c r="B6944">
        <v>125000</v>
      </c>
      <c r="C6944" t="str">
        <f t="shared" si="108"/>
        <v>3. $50K-250K</v>
      </c>
      <c r="D6944" t="s">
        <v>895</v>
      </c>
      <c r="E6944" t="s">
        <v>42</v>
      </c>
      <c r="F6944" t="s">
        <v>670</v>
      </c>
      <c r="G6944" t="s">
        <v>44</v>
      </c>
      <c r="H6944">
        <v>2024</v>
      </c>
    </row>
    <row r="6945" spans="1:8" x14ac:dyDescent="0.2">
      <c r="A6945">
        <v>273283</v>
      </c>
      <c r="B6945">
        <v>125000</v>
      </c>
      <c r="C6945" t="str">
        <f t="shared" si="108"/>
        <v>3. $50K-250K</v>
      </c>
      <c r="D6945" t="s">
        <v>674</v>
      </c>
      <c r="E6945" t="s">
        <v>42</v>
      </c>
      <c r="F6945" t="s">
        <v>670</v>
      </c>
      <c r="G6945" t="s">
        <v>44</v>
      </c>
      <c r="H6945">
        <v>2024</v>
      </c>
    </row>
    <row r="6946" spans="1:8" x14ac:dyDescent="0.2">
      <c r="A6946">
        <v>273286</v>
      </c>
      <c r="B6946">
        <v>125000</v>
      </c>
      <c r="C6946" t="str">
        <f t="shared" si="108"/>
        <v>3. $50K-250K</v>
      </c>
      <c r="D6946" t="s">
        <v>896</v>
      </c>
      <c r="E6946" t="s">
        <v>42</v>
      </c>
      <c r="F6946" t="s">
        <v>670</v>
      </c>
      <c r="G6946" t="s">
        <v>44</v>
      </c>
      <c r="H6946">
        <v>2024</v>
      </c>
    </row>
    <row r="6947" spans="1:8" x14ac:dyDescent="0.2">
      <c r="A6947">
        <v>273288</v>
      </c>
      <c r="B6947">
        <v>125000</v>
      </c>
      <c r="C6947" t="str">
        <f t="shared" si="108"/>
        <v>3. $50K-250K</v>
      </c>
      <c r="D6947" t="s">
        <v>674</v>
      </c>
      <c r="E6947" t="s">
        <v>42</v>
      </c>
      <c r="F6947" t="s">
        <v>670</v>
      </c>
      <c r="G6947" t="s">
        <v>44</v>
      </c>
      <c r="H6947">
        <v>2024</v>
      </c>
    </row>
    <row r="6948" spans="1:8" x14ac:dyDescent="0.2">
      <c r="A6948">
        <v>273289</v>
      </c>
      <c r="B6948">
        <v>125000</v>
      </c>
      <c r="C6948" t="str">
        <f t="shared" si="108"/>
        <v>3. $50K-250K</v>
      </c>
      <c r="D6948" t="s">
        <v>804</v>
      </c>
      <c r="E6948" t="s">
        <v>42</v>
      </c>
      <c r="F6948" t="s">
        <v>670</v>
      </c>
      <c r="G6948" t="s">
        <v>44</v>
      </c>
      <c r="H6948">
        <v>2024</v>
      </c>
    </row>
    <row r="6949" spans="1:8" x14ac:dyDescent="0.2">
      <c r="A6949">
        <v>273290</v>
      </c>
      <c r="B6949">
        <v>125000</v>
      </c>
      <c r="C6949" t="str">
        <f t="shared" si="108"/>
        <v>3. $50K-250K</v>
      </c>
      <c r="D6949" t="s">
        <v>804</v>
      </c>
      <c r="E6949" t="s">
        <v>42</v>
      </c>
      <c r="F6949" t="s">
        <v>670</v>
      </c>
      <c r="G6949" t="s">
        <v>44</v>
      </c>
      <c r="H6949">
        <v>2024</v>
      </c>
    </row>
    <row r="6950" spans="1:8" x14ac:dyDescent="0.2">
      <c r="A6950">
        <v>273305</v>
      </c>
      <c r="B6950">
        <v>43092</v>
      </c>
      <c r="C6950" t="str">
        <f t="shared" si="108"/>
        <v>3. $50K-250K</v>
      </c>
      <c r="D6950" t="s">
        <v>865</v>
      </c>
      <c r="E6950" t="s">
        <v>237</v>
      </c>
      <c r="F6950" t="s">
        <v>670</v>
      </c>
      <c r="G6950" t="s">
        <v>59</v>
      </c>
      <c r="H6950">
        <v>2024</v>
      </c>
    </row>
    <row r="6951" spans="1:8" x14ac:dyDescent="0.2">
      <c r="A6951">
        <v>273306</v>
      </c>
      <c r="B6951">
        <v>53868</v>
      </c>
      <c r="C6951" t="str">
        <f t="shared" si="108"/>
        <v>2. $10K-50K</v>
      </c>
      <c r="D6951" t="s">
        <v>865</v>
      </c>
      <c r="E6951" t="s">
        <v>237</v>
      </c>
      <c r="F6951" t="s">
        <v>670</v>
      </c>
      <c r="G6951" t="s">
        <v>59</v>
      </c>
      <c r="H6951">
        <v>2024</v>
      </c>
    </row>
    <row r="6952" spans="1:8" x14ac:dyDescent="0.2">
      <c r="A6952">
        <v>273449</v>
      </c>
      <c r="B6952">
        <v>176148</v>
      </c>
      <c r="C6952" t="str">
        <f t="shared" si="108"/>
        <v>3. $50K-250K</v>
      </c>
      <c r="D6952" t="s">
        <v>1178</v>
      </c>
      <c r="E6952" t="s">
        <v>237</v>
      </c>
      <c r="F6952" t="s">
        <v>670</v>
      </c>
      <c r="G6952" t="s">
        <v>59</v>
      </c>
      <c r="H6952">
        <v>2024</v>
      </c>
    </row>
    <row r="6953" spans="1:8" x14ac:dyDescent="0.2">
      <c r="A6953">
        <v>273450</v>
      </c>
      <c r="B6953">
        <v>147699.20000000001</v>
      </c>
      <c r="C6953" t="str">
        <f t="shared" si="108"/>
        <v>3. $50K-250K</v>
      </c>
      <c r="D6953" t="s">
        <v>749</v>
      </c>
      <c r="E6953" t="s">
        <v>237</v>
      </c>
      <c r="F6953" t="s">
        <v>670</v>
      </c>
      <c r="G6953" t="s">
        <v>59</v>
      </c>
      <c r="H6953">
        <v>2024</v>
      </c>
    </row>
    <row r="6954" spans="1:8" x14ac:dyDescent="0.2">
      <c r="A6954">
        <v>273456</v>
      </c>
      <c r="B6954">
        <v>172203.7</v>
      </c>
      <c r="C6954" t="str">
        <f t="shared" si="108"/>
        <v>3. $50K-250K</v>
      </c>
      <c r="D6954" t="s">
        <v>1074</v>
      </c>
      <c r="E6954" t="s">
        <v>237</v>
      </c>
      <c r="F6954" t="s">
        <v>670</v>
      </c>
      <c r="G6954" t="s">
        <v>59</v>
      </c>
      <c r="H6954">
        <v>2024</v>
      </c>
    </row>
    <row r="6955" spans="1:8" x14ac:dyDescent="0.2">
      <c r="A6955">
        <v>273457</v>
      </c>
      <c r="B6955">
        <v>135776.20000000001</v>
      </c>
      <c r="C6955" t="str">
        <f t="shared" si="108"/>
        <v>3. $50K-250K</v>
      </c>
      <c r="D6955" t="s">
        <v>708</v>
      </c>
      <c r="E6955" t="s">
        <v>237</v>
      </c>
      <c r="F6955" t="s">
        <v>670</v>
      </c>
      <c r="G6955" t="s">
        <v>59</v>
      </c>
      <c r="H6955">
        <v>2024</v>
      </c>
    </row>
    <row r="6956" spans="1:8" x14ac:dyDescent="0.2">
      <c r="A6956">
        <v>273458</v>
      </c>
      <c r="B6956">
        <v>274537.40000000002</v>
      </c>
      <c r="C6956" t="str">
        <f t="shared" si="108"/>
        <v>3. $50K-250K</v>
      </c>
      <c r="D6956" t="s">
        <v>2176</v>
      </c>
      <c r="E6956" t="s">
        <v>42</v>
      </c>
      <c r="F6956" t="s">
        <v>670</v>
      </c>
      <c r="G6956" t="s">
        <v>59</v>
      </c>
      <c r="H6956">
        <v>2024</v>
      </c>
    </row>
    <row r="6957" spans="1:8" x14ac:dyDescent="0.2">
      <c r="A6957">
        <v>273459</v>
      </c>
      <c r="B6957">
        <v>325000</v>
      </c>
      <c r="C6957" t="str">
        <f t="shared" si="108"/>
        <v>4. $250K-1M</v>
      </c>
      <c r="D6957" t="s">
        <v>792</v>
      </c>
      <c r="E6957" t="s">
        <v>42</v>
      </c>
      <c r="F6957" t="s">
        <v>670</v>
      </c>
      <c r="G6957" t="s">
        <v>59</v>
      </c>
      <c r="H6957">
        <v>2024</v>
      </c>
    </row>
    <row r="6958" spans="1:8" x14ac:dyDescent="0.2">
      <c r="A6958">
        <v>273460</v>
      </c>
      <c r="B6958">
        <v>40000</v>
      </c>
      <c r="C6958" t="str">
        <f t="shared" si="108"/>
        <v>4. $250K-1M</v>
      </c>
      <c r="D6958" t="s">
        <v>1452</v>
      </c>
      <c r="E6958" t="s">
        <v>432</v>
      </c>
      <c r="F6958" t="s">
        <v>670</v>
      </c>
      <c r="G6958" t="s">
        <v>59</v>
      </c>
      <c r="H6958">
        <v>2024</v>
      </c>
    </row>
    <row r="6959" spans="1:8" x14ac:dyDescent="0.2">
      <c r="A6959">
        <v>273461</v>
      </c>
      <c r="B6959">
        <v>133596.1</v>
      </c>
      <c r="C6959" t="str">
        <f t="shared" si="108"/>
        <v>2. $10K-50K</v>
      </c>
      <c r="D6959" t="s">
        <v>708</v>
      </c>
      <c r="E6959" t="s">
        <v>237</v>
      </c>
      <c r="F6959" t="s">
        <v>670</v>
      </c>
      <c r="G6959" t="s">
        <v>59</v>
      </c>
      <c r="H6959">
        <v>2024</v>
      </c>
    </row>
    <row r="6960" spans="1:8" x14ac:dyDescent="0.2">
      <c r="A6960">
        <v>273462</v>
      </c>
      <c r="B6960">
        <v>145622.70000000001</v>
      </c>
      <c r="C6960" t="str">
        <f t="shared" si="108"/>
        <v>3. $50K-250K</v>
      </c>
      <c r="D6960" t="s">
        <v>1360</v>
      </c>
      <c r="E6960" t="s">
        <v>237</v>
      </c>
      <c r="F6960" t="s">
        <v>670</v>
      </c>
      <c r="G6960" t="s">
        <v>59</v>
      </c>
      <c r="H6960">
        <v>2024</v>
      </c>
    </row>
    <row r="6961" spans="1:8" x14ac:dyDescent="0.2">
      <c r="A6961">
        <v>273539</v>
      </c>
      <c r="B6961">
        <v>540000</v>
      </c>
      <c r="C6961" t="str">
        <f t="shared" si="108"/>
        <v>3. $50K-250K</v>
      </c>
      <c r="D6961" t="s">
        <v>2202</v>
      </c>
      <c r="E6961" t="s">
        <v>99</v>
      </c>
      <c r="F6961" t="s">
        <v>668</v>
      </c>
      <c r="G6961" t="s">
        <v>59</v>
      </c>
      <c r="H6961">
        <v>2024</v>
      </c>
    </row>
    <row r="6962" spans="1:8" x14ac:dyDescent="0.2">
      <c r="A6962">
        <v>273541</v>
      </c>
      <c r="B6962">
        <v>150000</v>
      </c>
      <c r="C6962" t="str">
        <f t="shared" si="108"/>
        <v>4. $250K-1M</v>
      </c>
      <c r="D6962" t="s">
        <v>2203</v>
      </c>
      <c r="E6962" t="s">
        <v>99</v>
      </c>
      <c r="F6962" t="s">
        <v>668</v>
      </c>
      <c r="G6962" t="s">
        <v>59</v>
      </c>
      <c r="H6962">
        <v>2024</v>
      </c>
    </row>
    <row r="6963" spans="1:8" x14ac:dyDescent="0.2">
      <c r="A6963">
        <v>273542</v>
      </c>
      <c r="B6963">
        <v>3000000</v>
      </c>
      <c r="C6963" t="str">
        <f t="shared" si="108"/>
        <v>3. $50K-250K</v>
      </c>
      <c r="D6963" t="s">
        <v>925</v>
      </c>
      <c r="E6963" t="s">
        <v>99</v>
      </c>
      <c r="F6963" t="s">
        <v>668</v>
      </c>
      <c r="G6963" t="s">
        <v>59</v>
      </c>
      <c r="H6963">
        <v>2024</v>
      </c>
    </row>
    <row r="6964" spans="1:8" x14ac:dyDescent="0.2">
      <c r="A6964">
        <v>273543</v>
      </c>
      <c r="B6964">
        <v>150000</v>
      </c>
      <c r="C6964" t="str">
        <f t="shared" si="108"/>
        <v>5. $1M+</v>
      </c>
      <c r="D6964" t="s">
        <v>2204</v>
      </c>
      <c r="E6964" t="s">
        <v>99</v>
      </c>
      <c r="F6964" t="s">
        <v>668</v>
      </c>
      <c r="G6964" t="s">
        <v>59</v>
      </c>
      <c r="H6964">
        <v>2024</v>
      </c>
    </row>
    <row r="6965" spans="1:8" x14ac:dyDescent="0.2">
      <c r="A6965">
        <v>273546</v>
      </c>
      <c r="B6965">
        <v>400000</v>
      </c>
      <c r="C6965" t="str">
        <f t="shared" si="108"/>
        <v>3. $50K-250K</v>
      </c>
      <c r="D6965" t="s">
        <v>1602</v>
      </c>
      <c r="E6965" t="s">
        <v>99</v>
      </c>
      <c r="F6965" t="s">
        <v>668</v>
      </c>
      <c r="G6965" t="s">
        <v>59</v>
      </c>
      <c r="H6965">
        <v>2024</v>
      </c>
    </row>
    <row r="6966" spans="1:8" x14ac:dyDescent="0.2">
      <c r="A6966">
        <v>273548</v>
      </c>
      <c r="B6966">
        <v>320700</v>
      </c>
      <c r="C6966" t="str">
        <f t="shared" si="108"/>
        <v>4. $250K-1M</v>
      </c>
      <c r="D6966" t="s">
        <v>999</v>
      </c>
      <c r="E6966" t="s">
        <v>99</v>
      </c>
      <c r="F6966" t="s">
        <v>668</v>
      </c>
      <c r="G6966" t="s">
        <v>59</v>
      </c>
      <c r="H6966">
        <v>2024</v>
      </c>
    </row>
    <row r="6967" spans="1:8" x14ac:dyDescent="0.2">
      <c r="A6967">
        <v>273556</v>
      </c>
      <c r="B6967">
        <v>45000</v>
      </c>
      <c r="C6967" t="str">
        <f t="shared" si="108"/>
        <v>4. $250K-1M</v>
      </c>
      <c r="D6967" t="s">
        <v>1640</v>
      </c>
      <c r="E6967" t="s">
        <v>112</v>
      </c>
      <c r="F6967" t="s">
        <v>668</v>
      </c>
      <c r="G6967" t="s">
        <v>59</v>
      </c>
      <c r="H6967">
        <v>2024</v>
      </c>
    </row>
    <row r="6968" spans="1:8" x14ac:dyDescent="0.2">
      <c r="A6968">
        <v>273557</v>
      </c>
      <c r="B6968">
        <v>75000</v>
      </c>
      <c r="C6968" t="str">
        <f t="shared" si="108"/>
        <v>2. $10K-50K</v>
      </c>
      <c r="D6968" t="s">
        <v>1718</v>
      </c>
      <c r="E6968" t="s">
        <v>112</v>
      </c>
      <c r="F6968" t="s">
        <v>668</v>
      </c>
      <c r="G6968" t="s">
        <v>59</v>
      </c>
      <c r="H6968">
        <v>2024</v>
      </c>
    </row>
    <row r="6969" spans="1:8" x14ac:dyDescent="0.2">
      <c r="A6969">
        <v>273559</v>
      </c>
      <c r="B6969">
        <v>250000</v>
      </c>
      <c r="C6969" t="str">
        <f t="shared" si="108"/>
        <v>3. $50K-250K</v>
      </c>
      <c r="D6969" t="s">
        <v>1858</v>
      </c>
      <c r="E6969" t="s">
        <v>112</v>
      </c>
      <c r="F6969" t="s">
        <v>668</v>
      </c>
      <c r="G6969" t="s">
        <v>59</v>
      </c>
      <c r="H6969">
        <v>2024</v>
      </c>
    </row>
    <row r="6970" spans="1:8" x14ac:dyDescent="0.2">
      <c r="A6970">
        <v>273560</v>
      </c>
      <c r="B6970">
        <v>250000</v>
      </c>
      <c r="C6970" t="str">
        <f t="shared" si="108"/>
        <v>4. $250K-1M</v>
      </c>
      <c r="D6970" t="s">
        <v>1555</v>
      </c>
      <c r="E6970" t="s">
        <v>112</v>
      </c>
      <c r="F6970" t="s">
        <v>668</v>
      </c>
      <c r="G6970" t="s">
        <v>59</v>
      </c>
      <c r="H6970">
        <v>2024</v>
      </c>
    </row>
    <row r="6971" spans="1:8" x14ac:dyDescent="0.2">
      <c r="A6971">
        <v>273562</v>
      </c>
      <c r="B6971">
        <v>250000</v>
      </c>
      <c r="C6971" t="str">
        <f t="shared" si="108"/>
        <v>4. $250K-1M</v>
      </c>
      <c r="D6971" t="s">
        <v>1304</v>
      </c>
      <c r="E6971" t="s">
        <v>112</v>
      </c>
      <c r="F6971" t="s">
        <v>668</v>
      </c>
      <c r="G6971" t="s">
        <v>59</v>
      </c>
      <c r="H6971">
        <v>2024</v>
      </c>
    </row>
    <row r="6972" spans="1:8" x14ac:dyDescent="0.2">
      <c r="A6972">
        <v>273563</v>
      </c>
      <c r="B6972">
        <v>4500</v>
      </c>
      <c r="C6972" t="str">
        <f t="shared" si="108"/>
        <v>4. $250K-1M</v>
      </c>
      <c r="D6972" t="s">
        <v>1528</v>
      </c>
      <c r="E6972" t="s">
        <v>112</v>
      </c>
      <c r="F6972" t="s">
        <v>668</v>
      </c>
      <c r="G6972" t="s">
        <v>59</v>
      </c>
      <c r="H6972">
        <v>2024</v>
      </c>
    </row>
    <row r="6973" spans="1:8" x14ac:dyDescent="0.2">
      <c r="A6973">
        <v>273624</v>
      </c>
      <c r="B6973">
        <v>4500000</v>
      </c>
      <c r="C6973" t="str">
        <f t="shared" si="108"/>
        <v>1. Under $10K</v>
      </c>
      <c r="D6973" t="s">
        <v>1274</v>
      </c>
      <c r="E6973" t="s">
        <v>99</v>
      </c>
      <c r="F6973" t="s">
        <v>668</v>
      </c>
      <c r="G6973" t="s">
        <v>59</v>
      </c>
      <c r="H6973">
        <v>2024</v>
      </c>
    </row>
    <row r="6974" spans="1:8" x14ac:dyDescent="0.2">
      <c r="A6974">
        <v>273626</v>
      </c>
      <c r="B6974">
        <v>2500000</v>
      </c>
      <c r="C6974" t="str">
        <f t="shared" si="108"/>
        <v>5. $1M+</v>
      </c>
      <c r="D6974" t="s">
        <v>783</v>
      </c>
      <c r="E6974" t="s">
        <v>99</v>
      </c>
      <c r="F6974" t="s">
        <v>668</v>
      </c>
      <c r="G6974" t="s">
        <v>59</v>
      </c>
      <c r="H6974">
        <v>2024</v>
      </c>
    </row>
    <row r="6975" spans="1:8" x14ac:dyDescent="0.2">
      <c r="A6975">
        <v>273704</v>
      </c>
      <c r="B6975">
        <v>147315.29999999999</v>
      </c>
      <c r="C6975" t="str">
        <f t="shared" si="108"/>
        <v>5. $1M+</v>
      </c>
      <c r="D6975" t="s">
        <v>1360</v>
      </c>
      <c r="E6975" t="s">
        <v>237</v>
      </c>
      <c r="F6975" t="s">
        <v>670</v>
      </c>
      <c r="G6975" t="s">
        <v>59</v>
      </c>
      <c r="H6975">
        <v>2024</v>
      </c>
    </row>
    <row r="6976" spans="1:8" x14ac:dyDescent="0.2">
      <c r="A6976">
        <v>273705</v>
      </c>
      <c r="B6976">
        <v>110933.4</v>
      </c>
      <c r="C6976" t="str">
        <f t="shared" si="108"/>
        <v>3. $50K-250K</v>
      </c>
      <c r="D6976" t="s">
        <v>713</v>
      </c>
      <c r="E6976" t="s">
        <v>237</v>
      </c>
      <c r="F6976" t="s">
        <v>670</v>
      </c>
      <c r="G6976" t="s">
        <v>59</v>
      </c>
      <c r="H6976">
        <v>2024</v>
      </c>
    </row>
    <row r="6977" spans="1:8" x14ac:dyDescent="0.2">
      <c r="A6977">
        <v>273706</v>
      </c>
      <c r="B6977">
        <v>174030.5</v>
      </c>
      <c r="C6977" t="str">
        <f t="shared" si="108"/>
        <v>3. $50K-250K</v>
      </c>
      <c r="D6977" t="s">
        <v>1361</v>
      </c>
      <c r="E6977" t="s">
        <v>237</v>
      </c>
      <c r="F6977" t="s">
        <v>670</v>
      </c>
      <c r="G6977" t="s">
        <v>59</v>
      </c>
      <c r="H6977">
        <v>2024</v>
      </c>
    </row>
    <row r="6978" spans="1:8" x14ac:dyDescent="0.2">
      <c r="A6978">
        <v>273707</v>
      </c>
      <c r="B6978">
        <v>176042</v>
      </c>
      <c r="C6978" t="str">
        <f t="shared" si="108"/>
        <v>3. $50K-250K</v>
      </c>
      <c r="D6978" t="s">
        <v>1361</v>
      </c>
      <c r="E6978" t="s">
        <v>237</v>
      </c>
      <c r="F6978" t="s">
        <v>670</v>
      </c>
      <c r="G6978" t="s">
        <v>59</v>
      </c>
      <c r="H6978">
        <v>2024</v>
      </c>
    </row>
    <row r="6979" spans="1:8" x14ac:dyDescent="0.2">
      <c r="A6979">
        <v>273708</v>
      </c>
      <c r="B6979">
        <v>149010.5</v>
      </c>
      <c r="C6979" t="str">
        <f t="shared" ref="C6979:C7042" si="109">IF(B6978&lt;10000,"1. Under $10K",IF(B6978&lt;50000,"2. $10K-50K",IF(B6978&lt;250000,"3. $50K-250K",IF(B6978&lt;1000000,"4. $250K-1M","5. $1M+"))))</f>
        <v>3. $50K-250K</v>
      </c>
      <c r="D6979" t="s">
        <v>781</v>
      </c>
      <c r="E6979" t="s">
        <v>237</v>
      </c>
      <c r="F6979" t="s">
        <v>670</v>
      </c>
      <c r="G6979" t="s">
        <v>59</v>
      </c>
      <c r="H6979">
        <v>2024</v>
      </c>
    </row>
    <row r="6980" spans="1:8" x14ac:dyDescent="0.2">
      <c r="A6980">
        <v>273709</v>
      </c>
      <c r="B6980">
        <v>221314.8</v>
      </c>
      <c r="C6980" t="str">
        <f t="shared" si="109"/>
        <v>3. $50K-250K</v>
      </c>
      <c r="D6980" t="s">
        <v>988</v>
      </c>
      <c r="E6980" t="s">
        <v>237</v>
      </c>
      <c r="F6980" t="s">
        <v>670</v>
      </c>
      <c r="G6980" t="s">
        <v>59</v>
      </c>
      <c r="H6980">
        <v>2024</v>
      </c>
    </row>
    <row r="6981" spans="1:8" x14ac:dyDescent="0.2">
      <c r="A6981">
        <v>273736</v>
      </c>
      <c r="B6981">
        <v>250000</v>
      </c>
      <c r="C6981" t="str">
        <f t="shared" si="109"/>
        <v>3. $50K-250K</v>
      </c>
      <c r="D6981" t="s">
        <v>2205</v>
      </c>
      <c r="E6981" t="s">
        <v>99</v>
      </c>
      <c r="F6981" t="s">
        <v>668</v>
      </c>
      <c r="G6981" t="s">
        <v>59</v>
      </c>
      <c r="H6981">
        <v>2024</v>
      </c>
    </row>
    <row r="6982" spans="1:8" x14ac:dyDescent="0.2">
      <c r="A6982">
        <v>273740</v>
      </c>
      <c r="B6982">
        <v>329800</v>
      </c>
      <c r="C6982" t="str">
        <f t="shared" si="109"/>
        <v>4. $250K-1M</v>
      </c>
      <c r="D6982" t="s">
        <v>774</v>
      </c>
      <c r="E6982" t="s">
        <v>99</v>
      </c>
      <c r="F6982" t="s">
        <v>668</v>
      </c>
      <c r="G6982" t="s">
        <v>59</v>
      </c>
      <c r="H6982">
        <v>2024</v>
      </c>
    </row>
    <row r="6983" spans="1:8" x14ac:dyDescent="0.2">
      <c r="A6983">
        <v>273749</v>
      </c>
      <c r="B6983">
        <v>2500000</v>
      </c>
      <c r="C6983" t="str">
        <f t="shared" si="109"/>
        <v>4. $250K-1M</v>
      </c>
      <c r="D6983" t="s">
        <v>774</v>
      </c>
      <c r="E6983" t="s">
        <v>99</v>
      </c>
      <c r="F6983" t="s">
        <v>668</v>
      </c>
      <c r="G6983" t="s">
        <v>59</v>
      </c>
      <c r="H6983">
        <v>2024</v>
      </c>
    </row>
    <row r="6984" spans="1:8" x14ac:dyDescent="0.2">
      <c r="A6984">
        <v>273754</v>
      </c>
      <c r="B6984">
        <v>5750000</v>
      </c>
      <c r="C6984" t="str">
        <f t="shared" si="109"/>
        <v>5. $1M+</v>
      </c>
      <c r="D6984" t="s">
        <v>774</v>
      </c>
      <c r="E6984" t="s">
        <v>99</v>
      </c>
      <c r="F6984" t="s">
        <v>668</v>
      </c>
      <c r="G6984" t="s">
        <v>59</v>
      </c>
      <c r="H6984">
        <v>2024</v>
      </c>
    </row>
    <row r="6985" spans="1:8" x14ac:dyDescent="0.2">
      <c r="A6985">
        <v>273756</v>
      </c>
      <c r="B6985">
        <v>3500000</v>
      </c>
      <c r="C6985" t="str">
        <f t="shared" si="109"/>
        <v>5. $1M+</v>
      </c>
      <c r="D6985" t="s">
        <v>774</v>
      </c>
      <c r="E6985" t="s">
        <v>99</v>
      </c>
      <c r="F6985" t="s">
        <v>668</v>
      </c>
      <c r="G6985" t="s">
        <v>59</v>
      </c>
      <c r="H6985">
        <v>2024</v>
      </c>
    </row>
    <row r="6986" spans="1:8" x14ac:dyDescent="0.2">
      <c r="A6986">
        <v>273757</v>
      </c>
      <c r="B6986">
        <v>10130000</v>
      </c>
      <c r="C6986" t="str">
        <f t="shared" si="109"/>
        <v>5. $1M+</v>
      </c>
      <c r="D6986" t="s">
        <v>774</v>
      </c>
      <c r="E6986" t="s">
        <v>99</v>
      </c>
      <c r="F6986" t="s">
        <v>668</v>
      </c>
      <c r="G6986" t="s">
        <v>59</v>
      </c>
      <c r="H6986">
        <v>2024</v>
      </c>
    </row>
    <row r="6987" spans="1:8" x14ac:dyDescent="0.2">
      <c r="A6987">
        <v>273763</v>
      </c>
      <c r="B6987">
        <v>104391.2</v>
      </c>
      <c r="C6987" t="str">
        <f t="shared" si="109"/>
        <v>5. $1M+</v>
      </c>
      <c r="D6987" t="s">
        <v>2179</v>
      </c>
      <c r="E6987" t="s">
        <v>237</v>
      </c>
      <c r="F6987" t="s">
        <v>670</v>
      </c>
      <c r="G6987" t="s">
        <v>59</v>
      </c>
      <c r="H6987">
        <v>2024</v>
      </c>
    </row>
    <row r="6988" spans="1:8" x14ac:dyDescent="0.2">
      <c r="A6988">
        <v>273766</v>
      </c>
      <c r="B6988">
        <v>131859.29999999999</v>
      </c>
      <c r="C6988" t="str">
        <f t="shared" si="109"/>
        <v>3. $50K-250K</v>
      </c>
      <c r="D6988" t="s">
        <v>711</v>
      </c>
      <c r="E6988" t="s">
        <v>237</v>
      </c>
      <c r="F6988" t="s">
        <v>670</v>
      </c>
      <c r="G6988" t="s">
        <v>59</v>
      </c>
      <c r="H6988">
        <v>2024</v>
      </c>
    </row>
    <row r="6989" spans="1:8" x14ac:dyDescent="0.2">
      <c r="A6989">
        <v>273789</v>
      </c>
      <c r="B6989">
        <v>1990384.5</v>
      </c>
      <c r="C6989" t="str">
        <f t="shared" si="109"/>
        <v>3. $50K-250K</v>
      </c>
      <c r="D6989" t="s">
        <v>711</v>
      </c>
      <c r="E6989" t="s">
        <v>237</v>
      </c>
      <c r="F6989" t="s">
        <v>670</v>
      </c>
      <c r="G6989" t="s">
        <v>59</v>
      </c>
      <c r="H6989">
        <v>2024</v>
      </c>
    </row>
    <row r="6990" spans="1:8" x14ac:dyDescent="0.2">
      <c r="A6990">
        <v>273824</v>
      </c>
      <c r="B6990">
        <v>91350.6</v>
      </c>
      <c r="C6990" t="str">
        <f t="shared" si="109"/>
        <v>5. $1M+</v>
      </c>
      <c r="D6990" t="s">
        <v>711</v>
      </c>
      <c r="E6990" t="s">
        <v>237</v>
      </c>
      <c r="F6990" t="s">
        <v>670</v>
      </c>
      <c r="G6990" t="s">
        <v>59</v>
      </c>
      <c r="H6990">
        <v>2024</v>
      </c>
    </row>
    <row r="6991" spans="1:8" x14ac:dyDescent="0.2">
      <c r="A6991">
        <v>273825</v>
      </c>
      <c r="B6991">
        <v>278597</v>
      </c>
      <c r="C6991" t="str">
        <f t="shared" si="109"/>
        <v>3. $50K-250K</v>
      </c>
      <c r="D6991" t="s">
        <v>720</v>
      </c>
      <c r="E6991" t="s">
        <v>237</v>
      </c>
      <c r="F6991" t="s">
        <v>670</v>
      </c>
      <c r="G6991" t="s">
        <v>59</v>
      </c>
      <c r="H6991">
        <v>2024</v>
      </c>
    </row>
    <row r="6992" spans="1:8" x14ac:dyDescent="0.2">
      <c r="A6992">
        <v>273860</v>
      </c>
      <c r="B6992">
        <v>221434.7</v>
      </c>
      <c r="C6992" t="str">
        <f t="shared" si="109"/>
        <v>4. $250K-1M</v>
      </c>
      <c r="D6992" t="s">
        <v>942</v>
      </c>
      <c r="E6992" t="s">
        <v>99</v>
      </c>
      <c r="F6992" t="s">
        <v>670</v>
      </c>
      <c r="G6992" t="s">
        <v>59</v>
      </c>
      <c r="H6992">
        <v>2024</v>
      </c>
    </row>
    <row r="6993" spans="1:8" x14ac:dyDescent="0.2">
      <c r="A6993">
        <v>273966</v>
      </c>
      <c r="B6993">
        <v>192738</v>
      </c>
      <c r="C6993" t="str">
        <f t="shared" si="109"/>
        <v>3. $50K-250K</v>
      </c>
      <c r="D6993" t="s">
        <v>925</v>
      </c>
      <c r="E6993" t="s">
        <v>99</v>
      </c>
      <c r="F6993" t="s">
        <v>670</v>
      </c>
      <c r="G6993" t="s">
        <v>59</v>
      </c>
      <c r="H6993">
        <v>2024</v>
      </c>
    </row>
    <row r="6994" spans="1:8" x14ac:dyDescent="0.2">
      <c r="A6994">
        <v>273971</v>
      </c>
      <c r="B6994">
        <v>325966.3</v>
      </c>
      <c r="C6994" t="str">
        <f t="shared" si="109"/>
        <v>3. $50K-250K</v>
      </c>
      <c r="D6994" t="s">
        <v>993</v>
      </c>
      <c r="E6994" t="s">
        <v>99</v>
      </c>
      <c r="F6994" t="s">
        <v>670</v>
      </c>
      <c r="G6994" t="s">
        <v>59</v>
      </c>
      <c r="H6994">
        <v>2024</v>
      </c>
    </row>
    <row r="6995" spans="1:8" x14ac:dyDescent="0.2">
      <c r="A6995">
        <v>273973</v>
      </c>
      <c r="B6995">
        <v>275270</v>
      </c>
      <c r="C6995" t="str">
        <f t="shared" si="109"/>
        <v>4. $250K-1M</v>
      </c>
      <c r="D6995" t="s">
        <v>1549</v>
      </c>
      <c r="E6995" t="s">
        <v>99</v>
      </c>
      <c r="F6995" t="s">
        <v>670</v>
      </c>
      <c r="G6995" t="s">
        <v>59</v>
      </c>
      <c r="H6995">
        <v>2024</v>
      </c>
    </row>
    <row r="6996" spans="1:8" x14ac:dyDescent="0.2">
      <c r="A6996">
        <v>273976</v>
      </c>
      <c r="B6996">
        <v>55000</v>
      </c>
      <c r="C6996" t="str">
        <f t="shared" si="109"/>
        <v>4. $250K-1M</v>
      </c>
      <c r="D6996" t="s">
        <v>1453</v>
      </c>
      <c r="E6996" t="s">
        <v>432</v>
      </c>
      <c r="F6996" t="s">
        <v>670</v>
      </c>
      <c r="G6996" t="s">
        <v>59</v>
      </c>
      <c r="H6996">
        <v>2024</v>
      </c>
    </row>
    <row r="6997" spans="1:8" x14ac:dyDescent="0.2">
      <c r="A6997">
        <v>273991</v>
      </c>
      <c r="B6997">
        <v>388013360</v>
      </c>
      <c r="C6997" t="str">
        <f t="shared" si="109"/>
        <v>3. $50K-250K</v>
      </c>
      <c r="D6997" t="s">
        <v>442</v>
      </c>
      <c r="E6997" t="s">
        <v>24</v>
      </c>
      <c r="F6997" t="s">
        <v>22</v>
      </c>
      <c r="G6997" t="s">
        <v>10</v>
      </c>
      <c r="H6997">
        <v>2024</v>
      </c>
    </row>
    <row r="6998" spans="1:8" x14ac:dyDescent="0.2">
      <c r="A6998">
        <v>274000</v>
      </c>
      <c r="B6998">
        <v>22758600</v>
      </c>
      <c r="C6998" t="str">
        <f t="shared" si="109"/>
        <v>5. $1M+</v>
      </c>
      <c r="D6998" t="s">
        <v>443</v>
      </c>
      <c r="E6998" t="s">
        <v>24</v>
      </c>
      <c r="F6998" t="s">
        <v>22</v>
      </c>
      <c r="G6998" t="s">
        <v>10</v>
      </c>
      <c r="H6998">
        <v>2025</v>
      </c>
    </row>
    <row r="6999" spans="1:8" x14ac:dyDescent="0.2">
      <c r="A6999">
        <v>274025</v>
      </c>
      <c r="B6999">
        <v>1066050</v>
      </c>
      <c r="C6999" t="str">
        <f t="shared" si="109"/>
        <v>5. $1M+</v>
      </c>
      <c r="D6999" t="s">
        <v>1094</v>
      </c>
      <c r="E6999" t="s">
        <v>237</v>
      </c>
      <c r="F6999" t="s">
        <v>670</v>
      </c>
      <c r="G6999" t="s">
        <v>59</v>
      </c>
      <c r="H6999">
        <v>2024</v>
      </c>
    </row>
    <row r="7000" spans="1:8" x14ac:dyDescent="0.2">
      <c r="A7000">
        <v>274026</v>
      </c>
      <c r="B7000">
        <v>558977</v>
      </c>
      <c r="C7000" t="str">
        <f t="shared" si="109"/>
        <v>5. $1M+</v>
      </c>
      <c r="D7000" t="s">
        <v>575</v>
      </c>
      <c r="E7000" t="s">
        <v>237</v>
      </c>
      <c r="F7000" t="s">
        <v>670</v>
      </c>
      <c r="G7000" t="s">
        <v>59</v>
      </c>
      <c r="H7000">
        <v>2024</v>
      </c>
    </row>
    <row r="7001" spans="1:8" x14ac:dyDescent="0.2">
      <c r="A7001">
        <v>274033</v>
      </c>
      <c r="B7001">
        <v>71070</v>
      </c>
      <c r="C7001" t="str">
        <f t="shared" si="109"/>
        <v>4. $250K-1M</v>
      </c>
      <c r="D7001" t="s">
        <v>1094</v>
      </c>
      <c r="E7001" t="s">
        <v>237</v>
      </c>
      <c r="F7001" t="s">
        <v>670</v>
      </c>
      <c r="G7001" t="s">
        <v>59</v>
      </c>
      <c r="H7001">
        <v>2024</v>
      </c>
    </row>
    <row r="7002" spans="1:8" x14ac:dyDescent="0.2">
      <c r="A7002">
        <v>274034</v>
      </c>
      <c r="B7002">
        <v>71037.600000000006</v>
      </c>
      <c r="C7002" t="str">
        <f t="shared" si="109"/>
        <v>3. $50K-250K</v>
      </c>
      <c r="D7002" t="s">
        <v>1094</v>
      </c>
      <c r="E7002" t="s">
        <v>237</v>
      </c>
      <c r="F7002" t="s">
        <v>670</v>
      </c>
      <c r="G7002" t="s">
        <v>59</v>
      </c>
      <c r="H7002">
        <v>2024</v>
      </c>
    </row>
    <row r="7003" spans="1:8" x14ac:dyDescent="0.2">
      <c r="A7003">
        <v>274035</v>
      </c>
      <c r="B7003">
        <v>71070</v>
      </c>
      <c r="C7003" t="str">
        <f t="shared" si="109"/>
        <v>3. $50K-250K</v>
      </c>
      <c r="D7003" t="s">
        <v>1094</v>
      </c>
      <c r="E7003" t="s">
        <v>237</v>
      </c>
      <c r="F7003" t="s">
        <v>670</v>
      </c>
      <c r="G7003" t="s">
        <v>59</v>
      </c>
      <c r="H7003">
        <v>2024</v>
      </c>
    </row>
    <row r="7004" spans="1:8" x14ac:dyDescent="0.2">
      <c r="A7004">
        <v>274037</v>
      </c>
      <c r="B7004">
        <v>71070</v>
      </c>
      <c r="C7004" t="str">
        <f t="shared" si="109"/>
        <v>3. $50K-250K</v>
      </c>
      <c r="D7004" t="s">
        <v>1094</v>
      </c>
      <c r="E7004" t="s">
        <v>237</v>
      </c>
      <c r="F7004" t="s">
        <v>670</v>
      </c>
      <c r="G7004" t="s">
        <v>59</v>
      </c>
      <c r="H7004">
        <v>2024</v>
      </c>
    </row>
    <row r="7005" spans="1:8" x14ac:dyDescent="0.2">
      <c r="A7005">
        <v>274039</v>
      </c>
      <c r="B7005">
        <v>317007.59999999998</v>
      </c>
      <c r="C7005" t="str">
        <f t="shared" si="109"/>
        <v>3. $50K-250K</v>
      </c>
      <c r="D7005" t="s">
        <v>804</v>
      </c>
      <c r="E7005" t="s">
        <v>99</v>
      </c>
      <c r="F7005" t="s">
        <v>670</v>
      </c>
      <c r="G7005" t="s">
        <v>59</v>
      </c>
      <c r="H7005">
        <v>2024</v>
      </c>
    </row>
    <row r="7006" spans="1:8" x14ac:dyDescent="0.2">
      <c r="A7006">
        <v>274112</v>
      </c>
      <c r="B7006">
        <v>50000</v>
      </c>
      <c r="C7006" t="str">
        <f t="shared" si="109"/>
        <v>4. $250K-1M</v>
      </c>
      <c r="D7006" t="s">
        <v>1765</v>
      </c>
      <c r="E7006" t="s">
        <v>112</v>
      </c>
      <c r="F7006" t="s">
        <v>668</v>
      </c>
      <c r="G7006" t="s">
        <v>59</v>
      </c>
      <c r="H7006">
        <v>2024</v>
      </c>
    </row>
    <row r="7007" spans="1:8" x14ac:dyDescent="0.2">
      <c r="A7007">
        <v>274126</v>
      </c>
      <c r="B7007">
        <v>312744</v>
      </c>
      <c r="C7007" t="str">
        <f t="shared" si="109"/>
        <v>3. $50K-250K</v>
      </c>
      <c r="D7007" t="s">
        <v>958</v>
      </c>
      <c r="E7007" t="s">
        <v>99</v>
      </c>
      <c r="F7007" t="s">
        <v>670</v>
      </c>
      <c r="G7007" t="s">
        <v>59</v>
      </c>
      <c r="H7007">
        <v>2024</v>
      </c>
    </row>
    <row r="7008" spans="1:8" x14ac:dyDescent="0.2">
      <c r="A7008">
        <v>274127</v>
      </c>
      <c r="B7008">
        <v>31313.9</v>
      </c>
      <c r="C7008" t="str">
        <f t="shared" si="109"/>
        <v>4. $250K-1M</v>
      </c>
      <c r="D7008" t="s">
        <v>887</v>
      </c>
      <c r="E7008" t="s">
        <v>237</v>
      </c>
      <c r="F7008" t="s">
        <v>670</v>
      </c>
      <c r="G7008" t="s">
        <v>59</v>
      </c>
      <c r="H7008">
        <v>2024</v>
      </c>
    </row>
    <row r="7009" spans="1:8" x14ac:dyDescent="0.2">
      <c r="A7009">
        <v>274128</v>
      </c>
      <c r="B7009">
        <v>103040</v>
      </c>
      <c r="C7009" t="str">
        <f t="shared" si="109"/>
        <v>2. $10K-50K</v>
      </c>
      <c r="D7009" t="s">
        <v>805</v>
      </c>
      <c r="E7009" t="s">
        <v>237</v>
      </c>
      <c r="F7009" t="s">
        <v>670</v>
      </c>
      <c r="G7009" t="s">
        <v>59</v>
      </c>
      <c r="H7009">
        <v>2024</v>
      </c>
    </row>
    <row r="7010" spans="1:8" x14ac:dyDescent="0.2">
      <c r="A7010">
        <v>274129</v>
      </c>
      <c r="B7010">
        <v>54588</v>
      </c>
      <c r="C7010" t="str">
        <f t="shared" si="109"/>
        <v>3. $50K-250K</v>
      </c>
      <c r="D7010" t="s">
        <v>749</v>
      </c>
      <c r="E7010" t="s">
        <v>237</v>
      </c>
      <c r="F7010" t="s">
        <v>670</v>
      </c>
      <c r="G7010" t="s">
        <v>59</v>
      </c>
      <c r="H7010">
        <v>2024</v>
      </c>
    </row>
    <row r="7011" spans="1:8" x14ac:dyDescent="0.2">
      <c r="A7011">
        <v>274181</v>
      </c>
      <c r="B7011">
        <v>887895</v>
      </c>
      <c r="C7011" t="str">
        <f t="shared" si="109"/>
        <v>3. $50K-250K</v>
      </c>
      <c r="D7011" t="s">
        <v>78</v>
      </c>
      <c r="E7011" t="s">
        <v>141</v>
      </c>
      <c r="F7011" t="s">
        <v>43</v>
      </c>
      <c r="G7011" t="s">
        <v>101</v>
      </c>
      <c r="H7011">
        <v>2025</v>
      </c>
    </row>
    <row r="7012" spans="1:8" x14ac:dyDescent="0.2">
      <c r="A7012">
        <v>274219</v>
      </c>
      <c r="B7012">
        <v>55000</v>
      </c>
      <c r="C7012" t="str">
        <f t="shared" si="109"/>
        <v>4. $250K-1M</v>
      </c>
      <c r="D7012" t="s">
        <v>888</v>
      </c>
      <c r="E7012" t="s">
        <v>432</v>
      </c>
      <c r="F7012" t="s">
        <v>670</v>
      </c>
      <c r="G7012" t="s">
        <v>59</v>
      </c>
      <c r="H7012">
        <v>2024</v>
      </c>
    </row>
    <row r="7013" spans="1:8" x14ac:dyDescent="0.2">
      <c r="A7013">
        <v>274272</v>
      </c>
      <c r="B7013">
        <v>84739</v>
      </c>
      <c r="C7013" t="str">
        <f t="shared" si="109"/>
        <v>3. $50K-250K</v>
      </c>
      <c r="D7013" t="s">
        <v>749</v>
      </c>
      <c r="E7013" t="s">
        <v>237</v>
      </c>
      <c r="F7013" t="s">
        <v>670</v>
      </c>
      <c r="G7013" t="s">
        <v>59</v>
      </c>
      <c r="H7013">
        <v>2024</v>
      </c>
    </row>
    <row r="7014" spans="1:8" x14ac:dyDescent="0.2">
      <c r="A7014">
        <v>274273</v>
      </c>
      <c r="B7014">
        <v>130540</v>
      </c>
      <c r="C7014" t="str">
        <f t="shared" si="109"/>
        <v>3. $50K-250K</v>
      </c>
      <c r="D7014" t="s">
        <v>785</v>
      </c>
      <c r="E7014" t="s">
        <v>237</v>
      </c>
      <c r="F7014" t="s">
        <v>670</v>
      </c>
      <c r="G7014" t="s">
        <v>59</v>
      </c>
      <c r="H7014">
        <v>2024</v>
      </c>
    </row>
    <row r="7015" spans="1:8" x14ac:dyDescent="0.2">
      <c r="A7015">
        <v>274274</v>
      </c>
      <c r="B7015">
        <v>28619</v>
      </c>
      <c r="C7015" t="str">
        <f t="shared" si="109"/>
        <v>3. $50K-250K</v>
      </c>
      <c r="D7015" t="s">
        <v>926</v>
      </c>
      <c r="E7015" t="s">
        <v>237</v>
      </c>
      <c r="F7015" t="s">
        <v>670</v>
      </c>
      <c r="G7015" t="s">
        <v>59</v>
      </c>
      <c r="H7015">
        <v>2024</v>
      </c>
    </row>
    <row r="7016" spans="1:8" x14ac:dyDescent="0.2">
      <c r="A7016">
        <v>274275</v>
      </c>
      <c r="B7016">
        <v>146944.29999999999</v>
      </c>
      <c r="C7016" t="str">
        <f t="shared" si="109"/>
        <v>2. $10K-50K</v>
      </c>
      <c r="D7016" t="s">
        <v>717</v>
      </c>
      <c r="E7016" t="s">
        <v>237</v>
      </c>
      <c r="F7016" t="s">
        <v>670</v>
      </c>
      <c r="G7016" t="s">
        <v>59</v>
      </c>
      <c r="H7016">
        <v>2024</v>
      </c>
    </row>
    <row r="7017" spans="1:8" x14ac:dyDescent="0.2">
      <c r="A7017">
        <v>274276</v>
      </c>
      <c r="B7017">
        <v>41216</v>
      </c>
      <c r="C7017" t="str">
        <f t="shared" si="109"/>
        <v>3. $50K-250K</v>
      </c>
      <c r="D7017" t="s">
        <v>985</v>
      </c>
      <c r="E7017" t="s">
        <v>237</v>
      </c>
      <c r="F7017" t="s">
        <v>670</v>
      </c>
      <c r="G7017" t="s">
        <v>59</v>
      </c>
      <c r="H7017">
        <v>2024</v>
      </c>
    </row>
    <row r="7018" spans="1:8" x14ac:dyDescent="0.2">
      <c r="A7018">
        <v>274277</v>
      </c>
      <c r="B7018">
        <v>11680</v>
      </c>
      <c r="C7018" t="str">
        <f t="shared" si="109"/>
        <v>2. $10K-50K</v>
      </c>
      <c r="D7018" t="s">
        <v>807</v>
      </c>
      <c r="E7018" t="s">
        <v>237</v>
      </c>
      <c r="F7018" t="s">
        <v>670</v>
      </c>
      <c r="G7018" t="s">
        <v>59</v>
      </c>
      <c r="H7018">
        <v>2024</v>
      </c>
    </row>
    <row r="7019" spans="1:8" x14ac:dyDescent="0.2">
      <c r="A7019">
        <v>274278</v>
      </c>
      <c r="B7019">
        <v>19173</v>
      </c>
      <c r="C7019" t="str">
        <f t="shared" si="109"/>
        <v>2. $10K-50K</v>
      </c>
      <c r="D7019" t="s">
        <v>749</v>
      </c>
      <c r="E7019" t="s">
        <v>237</v>
      </c>
      <c r="F7019" t="s">
        <v>670</v>
      </c>
      <c r="G7019" t="s">
        <v>59</v>
      </c>
      <c r="H7019">
        <v>2024</v>
      </c>
    </row>
    <row r="7020" spans="1:8" x14ac:dyDescent="0.2">
      <c r="A7020">
        <v>274279</v>
      </c>
      <c r="B7020">
        <v>142140</v>
      </c>
      <c r="C7020" t="str">
        <f t="shared" si="109"/>
        <v>2. $10K-50K</v>
      </c>
      <c r="D7020" t="s">
        <v>1605</v>
      </c>
      <c r="E7020" t="s">
        <v>237</v>
      </c>
      <c r="F7020" t="s">
        <v>670</v>
      </c>
      <c r="G7020" t="s">
        <v>59</v>
      </c>
      <c r="H7020">
        <v>2024</v>
      </c>
    </row>
    <row r="7021" spans="1:8" x14ac:dyDescent="0.2">
      <c r="A7021">
        <v>274285</v>
      </c>
      <c r="B7021">
        <v>325000</v>
      </c>
      <c r="C7021" t="str">
        <f t="shared" si="109"/>
        <v>3. $50K-250K</v>
      </c>
      <c r="D7021" t="s">
        <v>904</v>
      </c>
      <c r="E7021" t="s">
        <v>891</v>
      </c>
      <c r="F7021" t="s">
        <v>670</v>
      </c>
      <c r="G7021" t="s">
        <v>59</v>
      </c>
      <c r="H7021">
        <v>2024</v>
      </c>
    </row>
    <row r="7022" spans="1:8" x14ac:dyDescent="0.2">
      <c r="A7022">
        <v>274294</v>
      </c>
      <c r="B7022">
        <v>269.89999999999998</v>
      </c>
      <c r="C7022" t="str">
        <f t="shared" si="109"/>
        <v>4. $250K-1M</v>
      </c>
      <c r="D7022" t="s">
        <v>255</v>
      </c>
      <c r="E7022" t="s">
        <v>99</v>
      </c>
      <c r="F7022" t="s">
        <v>43</v>
      </c>
      <c r="G7022" t="s">
        <v>59</v>
      </c>
      <c r="H7022">
        <v>2024</v>
      </c>
    </row>
    <row r="7023" spans="1:8" x14ac:dyDescent="0.2">
      <c r="A7023">
        <v>27434</v>
      </c>
      <c r="B7023">
        <v>1064736.8</v>
      </c>
      <c r="C7023" t="str">
        <f t="shared" si="109"/>
        <v>1. Under $10K</v>
      </c>
      <c r="D7023" t="s">
        <v>444</v>
      </c>
      <c r="E7023" t="s">
        <v>18</v>
      </c>
      <c r="F7023" t="s">
        <v>43</v>
      </c>
      <c r="G7023" t="s">
        <v>44</v>
      </c>
      <c r="H7023">
        <v>2024</v>
      </c>
    </row>
    <row r="7024" spans="1:8" x14ac:dyDescent="0.2">
      <c r="A7024">
        <v>274456</v>
      </c>
      <c r="B7024">
        <v>34175</v>
      </c>
      <c r="C7024" t="str">
        <f t="shared" si="109"/>
        <v>5. $1M+</v>
      </c>
      <c r="D7024" t="s">
        <v>749</v>
      </c>
      <c r="E7024" t="s">
        <v>237</v>
      </c>
      <c r="F7024" t="s">
        <v>670</v>
      </c>
      <c r="G7024" t="s">
        <v>59</v>
      </c>
      <c r="H7024">
        <v>2024</v>
      </c>
    </row>
    <row r="7025" spans="1:8" x14ac:dyDescent="0.2">
      <c r="A7025">
        <v>274457</v>
      </c>
      <c r="B7025">
        <v>101200</v>
      </c>
      <c r="C7025" t="str">
        <f t="shared" si="109"/>
        <v>2. $10K-50K</v>
      </c>
      <c r="D7025" t="s">
        <v>865</v>
      </c>
      <c r="E7025" t="s">
        <v>237</v>
      </c>
      <c r="F7025" t="s">
        <v>670</v>
      </c>
      <c r="G7025" t="s">
        <v>59</v>
      </c>
      <c r="H7025">
        <v>2024</v>
      </c>
    </row>
    <row r="7026" spans="1:8" x14ac:dyDescent="0.2">
      <c r="A7026">
        <v>274458</v>
      </c>
      <c r="B7026">
        <v>29188.3</v>
      </c>
      <c r="C7026" t="str">
        <f t="shared" si="109"/>
        <v>3. $50K-250K</v>
      </c>
      <c r="D7026" t="s">
        <v>865</v>
      </c>
      <c r="E7026" t="s">
        <v>237</v>
      </c>
      <c r="F7026" t="s">
        <v>670</v>
      </c>
      <c r="G7026" t="s">
        <v>59</v>
      </c>
      <c r="H7026">
        <v>2024</v>
      </c>
    </row>
    <row r="7027" spans="1:8" x14ac:dyDescent="0.2">
      <c r="A7027">
        <v>274470</v>
      </c>
      <c r="B7027">
        <v>748037.1</v>
      </c>
      <c r="C7027" t="str">
        <f t="shared" si="109"/>
        <v>2. $10K-50K</v>
      </c>
      <c r="D7027" t="s">
        <v>749</v>
      </c>
      <c r="E7027" t="s">
        <v>42</v>
      </c>
      <c r="F7027" t="s">
        <v>670</v>
      </c>
      <c r="G7027" t="s">
        <v>59</v>
      </c>
      <c r="H7027">
        <v>2024</v>
      </c>
    </row>
    <row r="7028" spans="1:8" x14ac:dyDescent="0.2">
      <c r="A7028">
        <v>274482</v>
      </c>
      <c r="B7028">
        <v>24208.6</v>
      </c>
      <c r="C7028" t="str">
        <f t="shared" si="109"/>
        <v>4. $250K-1M</v>
      </c>
      <c r="D7028" t="s">
        <v>121</v>
      </c>
      <c r="E7028" t="s">
        <v>18</v>
      </c>
      <c r="F7028" t="s">
        <v>120</v>
      </c>
      <c r="G7028" t="s">
        <v>59</v>
      </c>
      <c r="H7028">
        <v>2024</v>
      </c>
    </row>
    <row r="7029" spans="1:8" x14ac:dyDescent="0.2">
      <c r="A7029">
        <v>274583</v>
      </c>
      <c r="B7029">
        <v>21497540.399999999</v>
      </c>
      <c r="C7029" t="str">
        <f t="shared" si="109"/>
        <v>2. $10K-50K</v>
      </c>
      <c r="D7029" t="s">
        <v>146</v>
      </c>
      <c r="E7029" t="s">
        <v>8</v>
      </c>
      <c r="F7029" t="s">
        <v>9</v>
      </c>
      <c r="G7029" t="s">
        <v>10</v>
      </c>
      <c r="H7029">
        <v>2024</v>
      </c>
    </row>
    <row r="7030" spans="1:8" x14ac:dyDescent="0.2">
      <c r="A7030">
        <v>274604</v>
      </c>
      <c r="B7030">
        <v>208073</v>
      </c>
      <c r="C7030" t="str">
        <f t="shared" si="109"/>
        <v>5. $1M+</v>
      </c>
      <c r="D7030" t="s">
        <v>445</v>
      </c>
      <c r="E7030" t="s">
        <v>49</v>
      </c>
      <c r="F7030" t="s">
        <v>239</v>
      </c>
      <c r="G7030" t="s">
        <v>10</v>
      </c>
      <c r="H7030">
        <v>2024</v>
      </c>
    </row>
    <row r="7031" spans="1:8" x14ac:dyDescent="0.2">
      <c r="A7031">
        <v>274630</v>
      </c>
      <c r="B7031">
        <v>2120941</v>
      </c>
      <c r="C7031" t="str">
        <f t="shared" si="109"/>
        <v>3. $50K-250K</v>
      </c>
      <c r="D7031" t="s">
        <v>788</v>
      </c>
      <c r="E7031" t="s">
        <v>42</v>
      </c>
      <c r="F7031" t="s">
        <v>668</v>
      </c>
      <c r="G7031" t="s">
        <v>59</v>
      </c>
      <c r="H7031">
        <v>2024</v>
      </c>
    </row>
    <row r="7032" spans="1:8" x14ac:dyDescent="0.2">
      <c r="A7032">
        <v>274695</v>
      </c>
      <c r="B7032">
        <v>38729</v>
      </c>
      <c r="C7032" t="str">
        <f t="shared" si="109"/>
        <v>5. $1M+</v>
      </c>
      <c r="D7032" t="s">
        <v>873</v>
      </c>
      <c r="E7032" t="s">
        <v>237</v>
      </c>
      <c r="F7032" t="s">
        <v>670</v>
      </c>
      <c r="G7032" t="s">
        <v>59</v>
      </c>
      <c r="H7032">
        <v>2024</v>
      </c>
    </row>
    <row r="7033" spans="1:8" x14ac:dyDescent="0.2">
      <c r="A7033">
        <v>274701</v>
      </c>
      <c r="B7033">
        <v>197780.7</v>
      </c>
      <c r="C7033" t="str">
        <f t="shared" si="109"/>
        <v>2. $10K-50K</v>
      </c>
      <c r="D7033" t="s">
        <v>925</v>
      </c>
      <c r="E7033" t="s">
        <v>99</v>
      </c>
      <c r="F7033" t="s">
        <v>670</v>
      </c>
      <c r="G7033" t="s">
        <v>59</v>
      </c>
      <c r="H7033">
        <v>2024</v>
      </c>
    </row>
    <row r="7034" spans="1:8" x14ac:dyDescent="0.2">
      <c r="A7034">
        <v>274703</v>
      </c>
      <c r="B7034">
        <v>98168.5</v>
      </c>
      <c r="C7034" t="str">
        <f t="shared" si="109"/>
        <v>3. $50K-250K</v>
      </c>
      <c r="D7034" t="s">
        <v>1473</v>
      </c>
      <c r="E7034" t="s">
        <v>42</v>
      </c>
      <c r="F7034" t="s">
        <v>670</v>
      </c>
      <c r="G7034" t="s">
        <v>59</v>
      </c>
      <c r="H7034">
        <v>2024</v>
      </c>
    </row>
    <row r="7035" spans="1:8" x14ac:dyDescent="0.2">
      <c r="A7035">
        <v>274707</v>
      </c>
      <c r="B7035">
        <v>91998.6</v>
      </c>
      <c r="C7035" t="str">
        <f t="shared" si="109"/>
        <v>3. $50K-250K</v>
      </c>
      <c r="D7035" t="s">
        <v>2179</v>
      </c>
      <c r="E7035" t="s">
        <v>237</v>
      </c>
      <c r="F7035" t="s">
        <v>670</v>
      </c>
      <c r="G7035" t="s">
        <v>59</v>
      </c>
      <c r="H7035">
        <v>2024</v>
      </c>
    </row>
    <row r="7036" spans="1:8" x14ac:dyDescent="0.2">
      <c r="A7036">
        <v>274708</v>
      </c>
      <c r="B7036">
        <v>132294.79999999999</v>
      </c>
      <c r="C7036" t="str">
        <f t="shared" si="109"/>
        <v>3. $50K-250K</v>
      </c>
      <c r="D7036" t="s">
        <v>1145</v>
      </c>
      <c r="E7036" t="s">
        <v>237</v>
      </c>
      <c r="F7036" t="s">
        <v>670</v>
      </c>
      <c r="G7036" t="s">
        <v>59</v>
      </c>
      <c r="H7036">
        <v>2024</v>
      </c>
    </row>
    <row r="7037" spans="1:8" x14ac:dyDescent="0.2">
      <c r="A7037">
        <v>274709</v>
      </c>
      <c r="B7037">
        <v>40010</v>
      </c>
      <c r="C7037" t="str">
        <f t="shared" si="109"/>
        <v>3. $50K-250K</v>
      </c>
      <c r="D7037" t="s">
        <v>2206</v>
      </c>
      <c r="E7037" t="s">
        <v>112</v>
      </c>
      <c r="F7037" t="s">
        <v>668</v>
      </c>
      <c r="G7037" t="s">
        <v>59</v>
      </c>
      <c r="H7037">
        <v>2024</v>
      </c>
    </row>
    <row r="7038" spans="1:8" x14ac:dyDescent="0.2">
      <c r="A7038">
        <v>274724</v>
      </c>
      <c r="B7038">
        <v>572510.4</v>
      </c>
      <c r="C7038" t="str">
        <f t="shared" si="109"/>
        <v>2. $10K-50K</v>
      </c>
      <c r="D7038" t="s">
        <v>791</v>
      </c>
      <c r="E7038" t="s">
        <v>42</v>
      </c>
      <c r="F7038" t="s">
        <v>670</v>
      </c>
      <c r="G7038" t="s">
        <v>59</v>
      </c>
      <c r="H7038">
        <v>2024</v>
      </c>
    </row>
    <row r="7039" spans="1:8" x14ac:dyDescent="0.2">
      <c r="A7039">
        <v>274729</v>
      </c>
      <c r="B7039">
        <v>377190</v>
      </c>
      <c r="C7039" t="str">
        <f t="shared" si="109"/>
        <v>4. $250K-1M</v>
      </c>
      <c r="D7039" t="s">
        <v>682</v>
      </c>
      <c r="E7039" t="s">
        <v>237</v>
      </c>
      <c r="F7039" t="s">
        <v>670</v>
      </c>
      <c r="G7039" t="s">
        <v>59</v>
      </c>
      <c r="H7039">
        <v>2024</v>
      </c>
    </row>
    <row r="7040" spans="1:8" x14ac:dyDescent="0.2">
      <c r="A7040">
        <v>274731</v>
      </c>
      <c r="B7040">
        <v>600000</v>
      </c>
      <c r="C7040" t="str">
        <f t="shared" si="109"/>
        <v>4. $250K-1M</v>
      </c>
      <c r="D7040" t="s">
        <v>1174</v>
      </c>
      <c r="E7040" t="s">
        <v>59</v>
      </c>
      <c r="F7040" t="s">
        <v>670</v>
      </c>
      <c r="G7040" t="s">
        <v>59</v>
      </c>
      <c r="H7040">
        <v>2024</v>
      </c>
    </row>
    <row r="7041" spans="1:8" x14ac:dyDescent="0.2">
      <c r="A7041">
        <v>274736</v>
      </c>
      <c r="B7041">
        <v>40000</v>
      </c>
      <c r="C7041" t="str">
        <f t="shared" si="109"/>
        <v>4. $250K-1M</v>
      </c>
      <c r="D7041" t="s">
        <v>816</v>
      </c>
      <c r="E7041" t="s">
        <v>112</v>
      </c>
      <c r="F7041" t="s">
        <v>668</v>
      </c>
      <c r="G7041" t="s">
        <v>59</v>
      </c>
      <c r="H7041">
        <v>2024</v>
      </c>
    </row>
    <row r="7042" spans="1:8" x14ac:dyDescent="0.2">
      <c r="A7042">
        <v>274738</v>
      </c>
      <c r="B7042">
        <v>235246.5</v>
      </c>
      <c r="C7042" t="str">
        <f t="shared" si="109"/>
        <v>2. $10K-50K</v>
      </c>
      <c r="D7042" t="s">
        <v>2207</v>
      </c>
      <c r="E7042" t="s">
        <v>99</v>
      </c>
      <c r="F7042" t="s">
        <v>668</v>
      </c>
      <c r="G7042" t="s">
        <v>59</v>
      </c>
      <c r="H7042">
        <v>2024</v>
      </c>
    </row>
    <row r="7043" spans="1:8" x14ac:dyDescent="0.2">
      <c r="A7043">
        <v>274739</v>
      </c>
      <c r="B7043">
        <v>1600000</v>
      </c>
      <c r="C7043" t="str">
        <f t="shared" ref="C7043:C7106" si="110">IF(B7042&lt;10000,"1. Under $10K",IF(B7042&lt;50000,"2. $10K-50K",IF(B7042&lt;250000,"3. $50K-250K",IF(B7042&lt;1000000,"4. $250K-1M","5. $1M+"))))</f>
        <v>3. $50K-250K</v>
      </c>
      <c r="D7043" t="s">
        <v>1372</v>
      </c>
      <c r="E7043" t="s">
        <v>99</v>
      </c>
      <c r="F7043" t="s">
        <v>668</v>
      </c>
      <c r="G7043" t="s">
        <v>59</v>
      </c>
      <c r="H7043">
        <v>2024</v>
      </c>
    </row>
    <row r="7044" spans="1:8" x14ac:dyDescent="0.2">
      <c r="A7044">
        <v>274740</v>
      </c>
      <c r="B7044">
        <v>100000</v>
      </c>
      <c r="C7044" t="str">
        <f t="shared" si="110"/>
        <v>5. $1M+</v>
      </c>
      <c r="D7044" t="s">
        <v>2208</v>
      </c>
      <c r="E7044" t="s">
        <v>99</v>
      </c>
      <c r="F7044" t="s">
        <v>668</v>
      </c>
      <c r="G7044" t="s">
        <v>59</v>
      </c>
      <c r="H7044">
        <v>2024</v>
      </c>
    </row>
    <row r="7045" spans="1:8" x14ac:dyDescent="0.2">
      <c r="A7045">
        <v>274741</v>
      </c>
      <c r="B7045">
        <v>10000</v>
      </c>
      <c r="C7045" t="str">
        <f t="shared" si="110"/>
        <v>3. $50K-250K</v>
      </c>
      <c r="D7045" t="s">
        <v>1127</v>
      </c>
      <c r="E7045" t="s">
        <v>112</v>
      </c>
      <c r="F7045" t="s">
        <v>668</v>
      </c>
      <c r="G7045" t="s">
        <v>59</v>
      </c>
      <c r="H7045">
        <v>2024</v>
      </c>
    </row>
    <row r="7046" spans="1:8" x14ac:dyDescent="0.2">
      <c r="A7046">
        <v>274744</v>
      </c>
      <c r="B7046">
        <v>50000</v>
      </c>
      <c r="C7046" t="str">
        <f t="shared" si="110"/>
        <v>2. $10K-50K</v>
      </c>
      <c r="D7046" t="s">
        <v>942</v>
      </c>
      <c r="E7046" t="s">
        <v>112</v>
      </c>
      <c r="F7046" t="s">
        <v>668</v>
      </c>
      <c r="G7046" t="s">
        <v>59</v>
      </c>
      <c r="H7046">
        <v>2024</v>
      </c>
    </row>
    <row r="7047" spans="1:8" x14ac:dyDescent="0.2">
      <c r="A7047">
        <v>274745</v>
      </c>
      <c r="B7047">
        <v>25000</v>
      </c>
      <c r="C7047" t="str">
        <f t="shared" si="110"/>
        <v>3. $50K-250K</v>
      </c>
      <c r="D7047" t="s">
        <v>2209</v>
      </c>
      <c r="E7047" t="s">
        <v>112</v>
      </c>
      <c r="F7047" t="s">
        <v>668</v>
      </c>
      <c r="G7047" t="s">
        <v>59</v>
      </c>
      <c r="H7047">
        <v>2024</v>
      </c>
    </row>
    <row r="7048" spans="1:8" x14ac:dyDescent="0.2">
      <c r="A7048">
        <v>274837</v>
      </c>
      <c r="B7048">
        <v>7749</v>
      </c>
      <c r="C7048" t="str">
        <f t="shared" si="110"/>
        <v>2. $10K-50K</v>
      </c>
      <c r="D7048" t="s">
        <v>749</v>
      </c>
      <c r="E7048" t="s">
        <v>237</v>
      </c>
      <c r="F7048" t="s">
        <v>670</v>
      </c>
      <c r="G7048" t="s">
        <v>59</v>
      </c>
      <c r="H7048">
        <v>2024</v>
      </c>
    </row>
    <row r="7049" spans="1:8" x14ac:dyDescent="0.2">
      <c r="A7049">
        <v>274838</v>
      </c>
      <c r="B7049">
        <v>41216</v>
      </c>
      <c r="C7049" t="str">
        <f t="shared" si="110"/>
        <v>1. Under $10K</v>
      </c>
      <c r="D7049" t="s">
        <v>694</v>
      </c>
      <c r="E7049" t="s">
        <v>237</v>
      </c>
      <c r="F7049" t="s">
        <v>670</v>
      </c>
      <c r="G7049" t="s">
        <v>59</v>
      </c>
      <c r="H7049">
        <v>2024</v>
      </c>
    </row>
    <row r="7050" spans="1:8" x14ac:dyDescent="0.2">
      <c r="A7050">
        <v>274839</v>
      </c>
      <c r="B7050">
        <v>412160</v>
      </c>
      <c r="C7050" t="str">
        <f t="shared" si="110"/>
        <v>2. $10K-50K</v>
      </c>
      <c r="D7050" t="s">
        <v>1094</v>
      </c>
      <c r="E7050" t="s">
        <v>237</v>
      </c>
      <c r="F7050" t="s">
        <v>670</v>
      </c>
      <c r="G7050" t="s">
        <v>59</v>
      </c>
      <c r="H7050">
        <v>2024</v>
      </c>
    </row>
    <row r="7051" spans="1:8" x14ac:dyDescent="0.2">
      <c r="A7051">
        <v>274840</v>
      </c>
      <c r="B7051">
        <v>515200</v>
      </c>
      <c r="C7051" t="str">
        <f t="shared" si="110"/>
        <v>4. $250K-1M</v>
      </c>
      <c r="D7051" t="s">
        <v>1094</v>
      </c>
      <c r="E7051" t="s">
        <v>237</v>
      </c>
      <c r="F7051" t="s">
        <v>670</v>
      </c>
      <c r="G7051" t="s">
        <v>59</v>
      </c>
      <c r="H7051">
        <v>2024</v>
      </c>
    </row>
    <row r="7052" spans="1:8" x14ac:dyDescent="0.2">
      <c r="A7052">
        <v>274841</v>
      </c>
      <c r="B7052">
        <v>288512</v>
      </c>
      <c r="C7052" t="str">
        <f t="shared" si="110"/>
        <v>4. $250K-1M</v>
      </c>
      <c r="D7052" t="s">
        <v>1094</v>
      </c>
      <c r="E7052" t="s">
        <v>237</v>
      </c>
      <c r="F7052" t="s">
        <v>670</v>
      </c>
      <c r="G7052" t="s">
        <v>59</v>
      </c>
      <c r="H7052">
        <v>2024</v>
      </c>
    </row>
    <row r="7053" spans="1:8" x14ac:dyDescent="0.2">
      <c r="A7053">
        <v>274842</v>
      </c>
      <c r="B7053">
        <v>309120</v>
      </c>
      <c r="C7053" t="str">
        <f t="shared" si="110"/>
        <v>4. $250K-1M</v>
      </c>
      <c r="D7053" t="s">
        <v>1094</v>
      </c>
      <c r="E7053" t="s">
        <v>237</v>
      </c>
      <c r="F7053" t="s">
        <v>670</v>
      </c>
      <c r="G7053" t="s">
        <v>59</v>
      </c>
      <c r="H7053">
        <v>2024</v>
      </c>
    </row>
    <row r="7054" spans="1:8" x14ac:dyDescent="0.2">
      <c r="A7054">
        <v>274843</v>
      </c>
      <c r="B7054">
        <v>267904</v>
      </c>
      <c r="C7054" t="str">
        <f t="shared" si="110"/>
        <v>4. $250K-1M</v>
      </c>
      <c r="D7054" t="s">
        <v>1094</v>
      </c>
      <c r="E7054" t="s">
        <v>237</v>
      </c>
      <c r="F7054" t="s">
        <v>670</v>
      </c>
      <c r="G7054" t="s">
        <v>59</v>
      </c>
      <c r="H7054">
        <v>2024</v>
      </c>
    </row>
    <row r="7055" spans="1:8" x14ac:dyDescent="0.2">
      <c r="A7055">
        <v>274844</v>
      </c>
      <c r="B7055">
        <v>771500</v>
      </c>
      <c r="C7055" t="str">
        <f t="shared" si="110"/>
        <v>4. $250K-1M</v>
      </c>
      <c r="D7055" t="s">
        <v>711</v>
      </c>
      <c r="E7055" t="s">
        <v>237</v>
      </c>
      <c r="F7055" t="s">
        <v>670</v>
      </c>
      <c r="G7055" t="s">
        <v>59</v>
      </c>
      <c r="H7055">
        <v>2024</v>
      </c>
    </row>
    <row r="7056" spans="1:8" x14ac:dyDescent="0.2">
      <c r="A7056">
        <v>274845</v>
      </c>
      <c r="B7056">
        <v>20608</v>
      </c>
      <c r="C7056" t="str">
        <f t="shared" si="110"/>
        <v>4. $250K-1M</v>
      </c>
      <c r="D7056" t="s">
        <v>1176</v>
      </c>
      <c r="E7056" t="s">
        <v>237</v>
      </c>
      <c r="F7056" t="s">
        <v>670</v>
      </c>
      <c r="G7056" t="s">
        <v>59</v>
      </c>
      <c r="H7056">
        <v>2024</v>
      </c>
    </row>
    <row r="7057" spans="1:8" x14ac:dyDescent="0.2">
      <c r="A7057">
        <v>274846</v>
      </c>
      <c r="B7057">
        <v>618240</v>
      </c>
      <c r="C7057" t="str">
        <f t="shared" si="110"/>
        <v>2. $10K-50K</v>
      </c>
      <c r="D7057" t="s">
        <v>1094</v>
      </c>
      <c r="E7057" t="s">
        <v>237</v>
      </c>
      <c r="F7057" t="s">
        <v>670</v>
      </c>
      <c r="G7057" t="s">
        <v>59</v>
      </c>
      <c r="H7057">
        <v>2024</v>
      </c>
    </row>
    <row r="7058" spans="1:8" x14ac:dyDescent="0.2">
      <c r="A7058">
        <v>274847</v>
      </c>
      <c r="B7058">
        <v>20608</v>
      </c>
      <c r="C7058" t="str">
        <f t="shared" si="110"/>
        <v>4. $250K-1M</v>
      </c>
      <c r="D7058" t="s">
        <v>1099</v>
      </c>
      <c r="E7058" t="s">
        <v>237</v>
      </c>
      <c r="F7058" t="s">
        <v>670</v>
      </c>
      <c r="G7058" t="s">
        <v>59</v>
      </c>
      <c r="H7058">
        <v>2024</v>
      </c>
    </row>
    <row r="7059" spans="1:8" x14ac:dyDescent="0.2">
      <c r="A7059">
        <v>274848</v>
      </c>
      <c r="B7059">
        <v>220000</v>
      </c>
      <c r="C7059" t="str">
        <f t="shared" si="110"/>
        <v>2. $10K-50K</v>
      </c>
      <c r="D7059" t="s">
        <v>865</v>
      </c>
      <c r="E7059" t="s">
        <v>237</v>
      </c>
      <c r="F7059" t="s">
        <v>670</v>
      </c>
      <c r="G7059" t="s">
        <v>59</v>
      </c>
      <c r="H7059">
        <v>2024</v>
      </c>
    </row>
    <row r="7060" spans="1:8" x14ac:dyDescent="0.2">
      <c r="A7060">
        <v>274849</v>
      </c>
      <c r="B7060">
        <v>44541</v>
      </c>
      <c r="C7060" t="str">
        <f t="shared" si="110"/>
        <v>3. $50K-250K</v>
      </c>
      <c r="D7060" t="s">
        <v>866</v>
      </c>
      <c r="E7060" t="s">
        <v>237</v>
      </c>
      <c r="F7060" t="s">
        <v>670</v>
      </c>
      <c r="G7060" t="s">
        <v>59</v>
      </c>
      <c r="H7060">
        <v>2024</v>
      </c>
    </row>
    <row r="7061" spans="1:8" x14ac:dyDescent="0.2">
      <c r="A7061">
        <v>274851</v>
      </c>
      <c r="B7061">
        <v>99361</v>
      </c>
      <c r="C7061" t="str">
        <f t="shared" si="110"/>
        <v>2. $10K-50K</v>
      </c>
      <c r="D7061" t="s">
        <v>909</v>
      </c>
      <c r="E7061" t="s">
        <v>237</v>
      </c>
      <c r="F7061" t="s">
        <v>670</v>
      </c>
      <c r="G7061" t="s">
        <v>59</v>
      </c>
      <c r="H7061">
        <v>2024</v>
      </c>
    </row>
    <row r="7062" spans="1:8" x14ac:dyDescent="0.2">
      <c r="A7062">
        <v>274852</v>
      </c>
      <c r="B7062">
        <v>175566</v>
      </c>
      <c r="C7062" t="str">
        <f t="shared" si="110"/>
        <v>3. $50K-250K</v>
      </c>
      <c r="D7062" t="s">
        <v>878</v>
      </c>
      <c r="E7062" t="s">
        <v>237</v>
      </c>
      <c r="F7062" t="s">
        <v>670</v>
      </c>
      <c r="G7062" t="s">
        <v>59</v>
      </c>
      <c r="H7062">
        <v>2024</v>
      </c>
    </row>
    <row r="7063" spans="1:8" x14ac:dyDescent="0.2">
      <c r="A7063">
        <v>274853</v>
      </c>
      <c r="B7063">
        <v>78662</v>
      </c>
      <c r="C7063" t="str">
        <f t="shared" si="110"/>
        <v>3. $50K-250K</v>
      </c>
      <c r="D7063" t="s">
        <v>936</v>
      </c>
      <c r="E7063" t="s">
        <v>237</v>
      </c>
      <c r="F7063" t="s">
        <v>670</v>
      </c>
      <c r="G7063" t="s">
        <v>59</v>
      </c>
      <c r="H7063">
        <v>2024</v>
      </c>
    </row>
    <row r="7064" spans="1:8" x14ac:dyDescent="0.2">
      <c r="A7064">
        <v>274854</v>
      </c>
      <c r="B7064">
        <v>76253</v>
      </c>
      <c r="C7064" t="str">
        <f t="shared" si="110"/>
        <v>3. $50K-250K</v>
      </c>
      <c r="D7064" t="s">
        <v>809</v>
      </c>
      <c r="E7064" t="s">
        <v>237</v>
      </c>
      <c r="F7064" t="s">
        <v>670</v>
      </c>
      <c r="G7064" t="s">
        <v>59</v>
      </c>
      <c r="H7064">
        <v>2024</v>
      </c>
    </row>
    <row r="7065" spans="1:8" x14ac:dyDescent="0.2">
      <c r="A7065">
        <v>274855</v>
      </c>
      <c r="B7065">
        <v>376000</v>
      </c>
      <c r="C7065" t="str">
        <f t="shared" si="110"/>
        <v>3. $50K-250K</v>
      </c>
      <c r="D7065" t="s">
        <v>1019</v>
      </c>
      <c r="E7065" t="s">
        <v>237</v>
      </c>
      <c r="F7065" t="s">
        <v>670</v>
      </c>
      <c r="G7065" t="s">
        <v>59</v>
      </c>
      <c r="H7065">
        <v>2024</v>
      </c>
    </row>
    <row r="7066" spans="1:8" x14ac:dyDescent="0.2">
      <c r="A7066">
        <v>274856</v>
      </c>
      <c r="B7066">
        <v>638853.1</v>
      </c>
      <c r="C7066" t="str">
        <f t="shared" si="110"/>
        <v>4. $250K-1M</v>
      </c>
      <c r="D7066" t="s">
        <v>781</v>
      </c>
      <c r="E7066" t="s">
        <v>237</v>
      </c>
      <c r="F7066" t="s">
        <v>670</v>
      </c>
      <c r="G7066" t="s">
        <v>59</v>
      </c>
      <c r="H7066">
        <v>2024</v>
      </c>
    </row>
    <row r="7067" spans="1:8" x14ac:dyDescent="0.2">
      <c r="A7067">
        <v>274857</v>
      </c>
      <c r="B7067">
        <v>378000</v>
      </c>
      <c r="C7067" t="str">
        <f t="shared" si="110"/>
        <v>4. $250K-1M</v>
      </c>
      <c r="D7067" t="s">
        <v>749</v>
      </c>
      <c r="E7067" t="s">
        <v>237</v>
      </c>
      <c r="F7067" t="s">
        <v>670</v>
      </c>
      <c r="G7067" t="s">
        <v>59</v>
      </c>
      <c r="H7067">
        <v>2024</v>
      </c>
    </row>
    <row r="7068" spans="1:8" x14ac:dyDescent="0.2">
      <c r="A7068">
        <v>274858</v>
      </c>
      <c r="B7068">
        <v>106269</v>
      </c>
      <c r="C7068" t="str">
        <f t="shared" si="110"/>
        <v>4. $250K-1M</v>
      </c>
      <c r="D7068" t="s">
        <v>860</v>
      </c>
      <c r="E7068" t="s">
        <v>237</v>
      </c>
      <c r="F7068" t="s">
        <v>670</v>
      </c>
      <c r="G7068" t="s">
        <v>59</v>
      </c>
      <c r="H7068">
        <v>2024</v>
      </c>
    </row>
    <row r="7069" spans="1:8" x14ac:dyDescent="0.2">
      <c r="A7069">
        <v>274986</v>
      </c>
      <c r="B7069">
        <v>288512</v>
      </c>
      <c r="C7069" t="str">
        <f t="shared" si="110"/>
        <v>3. $50K-250K</v>
      </c>
      <c r="D7069" t="s">
        <v>1094</v>
      </c>
      <c r="E7069" t="s">
        <v>237</v>
      </c>
      <c r="F7069" t="s">
        <v>670</v>
      </c>
      <c r="G7069" t="s">
        <v>59</v>
      </c>
      <c r="H7069">
        <v>2024</v>
      </c>
    </row>
    <row r="7070" spans="1:8" x14ac:dyDescent="0.2">
      <c r="A7070">
        <v>274987</v>
      </c>
      <c r="B7070">
        <v>185472</v>
      </c>
      <c r="C7070" t="str">
        <f t="shared" si="110"/>
        <v>4. $250K-1M</v>
      </c>
      <c r="D7070" t="s">
        <v>1094</v>
      </c>
      <c r="E7070" t="s">
        <v>237</v>
      </c>
      <c r="F7070" t="s">
        <v>670</v>
      </c>
      <c r="G7070" t="s">
        <v>59</v>
      </c>
      <c r="H7070">
        <v>2024</v>
      </c>
    </row>
    <row r="7071" spans="1:8" x14ac:dyDescent="0.2">
      <c r="A7071">
        <v>275000</v>
      </c>
      <c r="B7071">
        <v>123648</v>
      </c>
      <c r="C7071" t="str">
        <f t="shared" si="110"/>
        <v>3. $50K-250K</v>
      </c>
      <c r="D7071" t="s">
        <v>1094</v>
      </c>
      <c r="E7071" t="s">
        <v>237</v>
      </c>
      <c r="F7071" t="s">
        <v>670</v>
      </c>
      <c r="G7071" t="s">
        <v>59</v>
      </c>
      <c r="H7071">
        <v>2024</v>
      </c>
    </row>
    <row r="7072" spans="1:8" x14ac:dyDescent="0.2">
      <c r="A7072">
        <v>275001</v>
      </c>
      <c r="B7072">
        <v>226688</v>
      </c>
      <c r="C7072" t="str">
        <f t="shared" si="110"/>
        <v>3. $50K-250K</v>
      </c>
      <c r="D7072" t="s">
        <v>1094</v>
      </c>
      <c r="E7072" t="s">
        <v>237</v>
      </c>
      <c r="F7072" t="s">
        <v>670</v>
      </c>
      <c r="G7072" t="s">
        <v>59</v>
      </c>
      <c r="H7072">
        <v>2024</v>
      </c>
    </row>
    <row r="7073" spans="1:8" x14ac:dyDescent="0.2">
      <c r="A7073">
        <v>275002</v>
      </c>
      <c r="B7073">
        <v>41216</v>
      </c>
      <c r="C7073" t="str">
        <f t="shared" si="110"/>
        <v>3. $50K-250K</v>
      </c>
      <c r="D7073" t="s">
        <v>1094</v>
      </c>
      <c r="E7073" t="s">
        <v>237</v>
      </c>
      <c r="F7073" t="s">
        <v>670</v>
      </c>
      <c r="G7073" t="s">
        <v>59</v>
      </c>
      <c r="H7073">
        <v>2024</v>
      </c>
    </row>
    <row r="7074" spans="1:8" x14ac:dyDescent="0.2">
      <c r="A7074">
        <v>275004</v>
      </c>
      <c r="B7074">
        <v>1653444</v>
      </c>
      <c r="C7074" t="str">
        <f t="shared" si="110"/>
        <v>2. $10K-50K</v>
      </c>
      <c r="D7074" t="s">
        <v>799</v>
      </c>
      <c r="E7074" t="s">
        <v>237</v>
      </c>
      <c r="F7074" t="s">
        <v>670</v>
      </c>
      <c r="G7074" t="s">
        <v>59</v>
      </c>
      <c r="H7074">
        <v>2024</v>
      </c>
    </row>
    <row r="7075" spans="1:8" x14ac:dyDescent="0.2">
      <c r="A7075">
        <v>275033</v>
      </c>
      <c r="B7075">
        <v>226688</v>
      </c>
      <c r="C7075" t="str">
        <f t="shared" si="110"/>
        <v>5. $1M+</v>
      </c>
      <c r="D7075" t="s">
        <v>1094</v>
      </c>
      <c r="E7075" t="s">
        <v>237</v>
      </c>
      <c r="F7075" t="s">
        <v>670</v>
      </c>
      <c r="G7075" t="s">
        <v>59</v>
      </c>
      <c r="H7075">
        <v>2024</v>
      </c>
    </row>
    <row r="7076" spans="1:8" x14ac:dyDescent="0.2">
      <c r="A7076">
        <v>275034</v>
      </c>
      <c r="B7076">
        <v>99351.8</v>
      </c>
      <c r="C7076" t="str">
        <f t="shared" si="110"/>
        <v>3. $50K-250K</v>
      </c>
      <c r="D7076" t="s">
        <v>980</v>
      </c>
      <c r="E7076" t="s">
        <v>237</v>
      </c>
      <c r="F7076" t="s">
        <v>670</v>
      </c>
      <c r="G7076" t="s">
        <v>59</v>
      </c>
      <c r="H7076">
        <v>2024</v>
      </c>
    </row>
    <row r="7077" spans="1:8" x14ac:dyDescent="0.2">
      <c r="A7077">
        <v>275087</v>
      </c>
      <c r="B7077">
        <v>1000000</v>
      </c>
      <c r="C7077" t="str">
        <f t="shared" si="110"/>
        <v>3. $50K-250K</v>
      </c>
      <c r="D7077" t="s">
        <v>837</v>
      </c>
      <c r="E7077" t="s">
        <v>237</v>
      </c>
      <c r="F7077" t="s">
        <v>670</v>
      </c>
      <c r="G7077" t="s">
        <v>44</v>
      </c>
      <c r="H7077">
        <v>2024</v>
      </c>
    </row>
    <row r="7078" spans="1:8" x14ac:dyDescent="0.2">
      <c r="A7078">
        <v>275088</v>
      </c>
      <c r="B7078">
        <v>8014</v>
      </c>
      <c r="C7078" t="str">
        <f t="shared" si="110"/>
        <v>5. $1M+</v>
      </c>
      <c r="D7078" t="s">
        <v>696</v>
      </c>
      <c r="E7078" t="s">
        <v>237</v>
      </c>
      <c r="F7078" t="s">
        <v>670</v>
      </c>
      <c r="G7078" t="s">
        <v>59</v>
      </c>
      <c r="H7078">
        <v>2024</v>
      </c>
    </row>
    <row r="7079" spans="1:8" x14ac:dyDescent="0.2">
      <c r="A7079">
        <v>275091</v>
      </c>
      <c r="B7079">
        <v>23769</v>
      </c>
      <c r="C7079" t="str">
        <f t="shared" si="110"/>
        <v>1. Under $10K</v>
      </c>
      <c r="D7079" t="s">
        <v>696</v>
      </c>
      <c r="E7079" t="s">
        <v>237</v>
      </c>
      <c r="F7079" t="s">
        <v>670</v>
      </c>
      <c r="G7079" t="s">
        <v>59</v>
      </c>
      <c r="H7079">
        <v>2024</v>
      </c>
    </row>
    <row r="7080" spans="1:8" x14ac:dyDescent="0.2">
      <c r="A7080">
        <v>275093</v>
      </c>
      <c r="B7080">
        <v>73829</v>
      </c>
      <c r="C7080" t="str">
        <f t="shared" si="110"/>
        <v>2. $10K-50K</v>
      </c>
      <c r="D7080" t="s">
        <v>726</v>
      </c>
      <c r="E7080" t="s">
        <v>237</v>
      </c>
      <c r="F7080" t="s">
        <v>670</v>
      </c>
      <c r="G7080" t="s">
        <v>59</v>
      </c>
      <c r="H7080">
        <v>2024</v>
      </c>
    </row>
    <row r="7081" spans="1:8" x14ac:dyDescent="0.2">
      <c r="A7081">
        <v>275094</v>
      </c>
      <c r="B7081">
        <v>6484</v>
      </c>
      <c r="C7081" t="str">
        <f t="shared" si="110"/>
        <v>3. $50K-250K</v>
      </c>
      <c r="D7081" t="s">
        <v>726</v>
      </c>
      <c r="E7081" t="s">
        <v>237</v>
      </c>
      <c r="F7081" t="s">
        <v>670</v>
      </c>
      <c r="G7081" t="s">
        <v>59</v>
      </c>
      <c r="H7081">
        <v>2024</v>
      </c>
    </row>
    <row r="7082" spans="1:8" x14ac:dyDescent="0.2">
      <c r="A7082">
        <v>275100</v>
      </c>
      <c r="B7082">
        <v>184055.6</v>
      </c>
      <c r="C7082" t="str">
        <f t="shared" si="110"/>
        <v>1. Under $10K</v>
      </c>
      <c r="D7082" t="s">
        <v>783</v>
      </c>
      <c r="E7082" t="s">
        <v>237</v>
      </c>
      <c r="F7082" t="s">
        <v>670</v>
      </c>
      <c r="G7082" t="s">
        <v>59</v>
      </c>
      <c r="H7082">
        <v>2024</v>
      </c>
    </row>
    <row r="7083" spans="1:8" x14ac:dyDescent="0.2">
      <c r="A7083">
        <v>275107</v>
      </c>
      <c r="B7083">
        <v>40000</v>
      </c>
      <c r="C7083" t="str">
        <f t="shared" si="110"/>
        <v>3. $50K-250K</v>
      </c>
      <c r="D7083" t="s">
        <v>919</v>
      </c>
      <c r="E7083" t="s">
        <v>237</v>
      </c>
      <c r="F7083" t="s">
        <v>670</v>
      </c>
      <c r="G7083" t="s">
        <v>59</v>
      </c>
      <c r="H7083">
        <v>2024</v>
      </c>
    </row>
    <row r="7084" spans="1:8" x14ac:dyDescent="0.2">
      <c r="A7084">
        <v>275109</v>
      </c>
      <c r="B7084">
        <v>40000</v>
      </c>
      <c r="C7084" t="str">
        <f t="shared" si="110"/>
        <v>2. $10K-50K</v>
      </c>
      <c r="D7084" t="s">
        <v>1347</v>
      </c>
      <c r="E7084" t="s">
        <v>237</v>
      </c>
      <c r="F7084" t="s">
        <v>670</v>
      </c>
      <c r="G7084" t="s">
        <v>59</v>
      </c>
      <c r="H7084">
        <v>2024</v>
      </c>
    </row>
    <row r="7085" spans="1:8" x14ac:dyDescent="0.2">
      <c r="A7085">
        <v>275112</v>
      </c>
      <c r="B7085">
        <v>250000</v>
      </c>
      <c r="C7085" t="str">
        <f t="shared" si="110"/>
        <v>2. $10K-50K</v>
      </c>
      <c r="D7085" t="s">
        <v>801</v>
      </c>
      <c r="E7085" t="s">
        <v>237</v>
      </c>
      <c r="F7085" t="s">
        <v>670</v>
      </c>
      <c r="G7085" t="s">
        <v>59</v>
      </c>
      <c r="H7085">
        <v>2024</v>
      </c>
    </row>
    <row r="7086" spans="1:8" x14ac:dyDescent="0.2">
      <c r="A7086">
        <v>275113</v>
      </c>
      <c r="B7086">
        <v>40000</v>
      </c>
      <c r="C7086" t="str">
        <f t="shared" si="110"/>
        <v>4. $250K-1M</v>
      </c>
      <c r="D7086" t="s">
        <v>925</v>
      </c>
      <c r="E7086" t="s">
        <v>237</v>
      </c>
      <c r="F7086" t="s">
        <v>670</v>
      </c>
      <c r="G7086" t="s">
        <v>59</v>
      </c>
      <c r="H7086">
        <v>2024</v>
      </c>
    </row>
    <row r="7087" spans="1:8" x14ac:dyDescent="0.2">
      <c r="A7087">
        <v>275132</v>
      </c>
      <c r="B7087">
        <v>15500.3</v>
      </c>
      <c r="C7087" t="str">
        <f t="shared" si="110"/>
        <v>2. $10K-50K</v>
      </c>
      <c r="D7087" t="s">
        <v>255</v>
      </c>
      <c r="E7087" t="s">
        <v>8</v>
      </c>
      <c r="F7087" t="s">
        <v>43</v>
      </c>
      <c r="G7087" t="s">
        <v>59</v>
      </c>
      <c r="H7087">
        <v>2024</v>
      </c>
    </row>
    <row r="7088" spans="1:8" x14ac:dyDescent="0.2">
      <c r="A7088">
        <v>275142</v>
      </c>
      <c r="B7088">
        <v>10000</v>
      </c>
      <c r="C7088" t="str">
        <f t="shared" si="110"/>
        <v>2. $10K-50K</v>
      </c>
      <c r="D7088" t="s">
        <v>2210</v>
      </c>
      <c r="E7088" t="s">
        <v>112</v>
      </c>
      <c r="F7088" t="s">
        <v>668</v>
      </c>
      <c r="G7088" t="s">
        <v>59</v>
      </c>
      <c r="H7088">
        <v>2024</v>
      </c>
    </row>
    <row r="7089" spans="1:8" x14ac:dyDescent="0.2">
      <c r="A7089">
        <v>275143</v>
      </c>
      <c r="B7089">
        <v>1000</v>
      </c>
      <c r="C7089" t="str">
        <f t="shared" si="110"/>
        <v>2. $10K-50K</v>
      </c>
      <c r="D7089" t="s">
        <v>2211</v>
      </c>
      <c r="E7089" t="s">
        <v>112</v>
      </c>
      <c r="F7089" t="s">
        <v>668</v>
      </c>
      <c r="G7089" t="s">
        <v>59</v>
      </c>
      <c r="H7089">
        <v>2024</v>
      </c>
    </row>
    <row r="7090" spans="1:8" x14ac:dyDescent="0.2">
      <c r="A7090">
        <v>275174</v>
      </c>
      <c r="B7090">
        <v>934715.8</v>
      </c>
      <c r="C7090" t="str">
        <f t="shared" si="110"/>
        <v>1. Under $10K</v>
      </c>
      <c r="D7090" t="s">
        <v>446</v>
      </c>
      <c r="E7090" t="s">
        <v>65</v>
      </c>
      <c r="F7090" t="s">
        <v>22</v>
      </c>
      <c r="G7090" t="s">
        <v>10</v>
      </c>
      <c r="H7090">
        <v>2024</v>
      </c>
    </row>
    <row r="7091" spans="1:8" x14ac:dyDescent="0.2">
      <c r="A7091">
        <v>275179</v>
      </c>
      <c r="B7091">
        <v>150000</v>
      </c>
      <c r="C7091" t="str">
        <f t="shared" si="110"/>
        <v>4. $250K-1M</v>
      </c>
      <c r="D7091" t="s">
        <v>2212</v>
      </c>
      <c r="E7091" t="s">
        <v>99</v>
      </c>
      <c r="F7091" t="s">
        <v>668</v>
      </c>
      <c r="G7091" t="s">
        <v>59</v>
      </c>
      <c r="H7091">
        <v>2024</v>
      </c>
    </row>
    <row r="7092" spans="1:8" x14ac:dyDescent="0.2">
      <c r="A7092">
        <v>275180</v>
      </c>
      <c r="B7092">
        <v>250000</v>
      </c>
      <c r="C7092" t="str">
        <f t="shared" si="110"/>
        <v>3. $50K-250K</v>
      </c>
      <c r="D7092" t="s">
        <v>2213</v>
      </c>
      <c r="E7092" t="s">
        <v>99</v>
      </c>
      <c r="F7092" t="s">
        <v>668</v>
      </c>
      <c r="G7092" t="s">
        <v>59</v>
      </c>
      <c r="H7092">
        <v>2024</v>
      </c>
    </row>
    <row r="7093" spans="1:8" x14ac:dyDescent="0.2">
      <c r="A7093">
        <v>275206</v>
      </c>
      <c r="B7093">
        <v>61851</v>
      </c>
      <c r="C7093" t="str">
        <f t="shared" si="110"/>
        <v>4. $250K-1M</v>
      </c>
      <c r="D7093" t="s">
        <v>2156</v>
      </c>
      <c r="E7093" t="s">
        <v>42</v>
      </c>
      <c r="F7093" t="s">
        <v>670</v>
      </c>
      <c r="G7093" t="s">
        <v>59</v>
      </c>
      <c r="H7093">
        <v>2024</v>
      </c>
    </row>
    <row r="7094" spans="1:8" x14ac:dyDescent="0.2">
      <c r="A7094">
        <v>275237</v>
      </c>
      <c r="B7094">
        <v>276000</v>
      </c>
      <c r="C7094" t="str">
        <f t="shared" si="110"/>
        <v>3. $50K-250K</v>
      </c>
      <c r="D7094" t="s">
        <v>684</v>
      </c>
      <c r="E7094" t="s">
        <v>59</v>
      </c>
      <c r="F7094" t="s">
        <v>670</v>
      </c>
      <c r="G7094" t="s">
        <v>59</v>
      </c>
      <c r="H7094">
        <v>2024</v>
      </c>
    </row>
    <row r="7095" spans="1:8" x14ac:dyDescent="0.2">
      <c r="A7095">
        <v>275447</v>
      </c>
      <c r="B7095">
        <v>200233.8</v>
      </c>
      <c r="C7095" t="str">
        <f t="shared" si="110"/>
        <v>4. $250K-1M</v>
      </c>
      <c r="D7095" t="s">
        <v>771</v>
      </c>
      <c r="E7095" t="s">
        <v>825</v>
      </c>
      <c r="F7095" t="s">
        <v>670</v>
      </c>
      <c r="G7095" t="s">
        <v>59</v>
      </c>
      <c r="H7095">
        <v>2024</v>
      </c>
    </row>
    <row r="7096" spans="1:8" x14ac:dyDescent="0.2">
      <c r="A7096">
        <v>275448</v>
      </c>
      <c r="B7096">
        <v>131599.20000000001</v>
      </c>
      <c r="C7096" t="str">
        <f t="shared" si="110"/>
        <v>3. $50K-250K</v>
      </c>
      <c r="D7096" t="s">
        <v>822</v>
      </c>
      <c r="E7096" t="s">
        <v>237</v>
      </c>
      <c r="F7096" t="s">
        <v>670</v>
      </c>
      <c r="G7096" t="s">
        <v>59</v>
      </c>
      <c r="H7096">
        <v>2024</v>
      </c>
    </row>
    <row r="7097" spans="1:8" x14ac:dyDescent="0.2">
      <c r="A7097">
        <v>275451</v>
      </c>
      <c r="B7097">
        <v>20608</v>
      </c>
      <c r="C7097" t="str">
        <f t="shared" si="110"/>
        <v>3. $50K-250K</v>
      </c>
      <c r="D7097" t="s">
        <v>1032</v>
      </c>
      <c r="E7097" t="s">
        <v>237</v>
      </c>
      <c r="F7097" t="s">
        <v>670</v>
      </c>
      <c r="G7097" t="s">
        <v>59</v>
      </c>
      <c r="H7097">
        <v>2024</v>
      </c>
    </row>
    <row r="7098" spans="1:8" x14ac:dyDescent="0.2">
      <c r="A7098">
        <v>275463</v>
      </c>
      <c r="B7098">
        <v>36000</v>
      </c>
      <c r="C7098" t="str">
        <f t="shared" si="110"/>
        <v>2. $10K-50K</v>
      </c>
      <c r="D7098" t="s">
        <v>1100</v>
      </c>
      <c r="E7098" t="s">
        <v>237</v>
      </c>
      <c r="F7098" t="s">
        <v>670</v>
      </c>
      <c r="G7098" t="s">
        <v>59</v>
      </c>
      <c r="H7098">
        <v>2024</v>
      </c>
    </row>
    <row r="7099" spans="1:8" x14ac:dyDescent="0.2">
      <c r="A7099">
        <v>275464</v>
      </c>
      <c r="B7099">
        <v>17322.400000000001</v>
      </c>
      <c r="C7099" t="str">
        <f t="shared" si="110"/>
        <v>2. $10K-50K</v>
      </c>
      <c r="D7099" t="s">
        <v>697</v>
      </c>
      <c r="E7099" t="s">
        <v>237</v>
      </c>
      <c r="F7099" t="s">
        <v>670</v>
      </c>
      <c r="G7099" t="s">
        <v>59</v>
      </c>
      <c r="H7099">
        <v>2024</v>
      </c>
    </row>
    <row r="7100" spans="1:8" x14ac:dyDescent="0.2">
      <c r="A7100">
        <v>275465</v>
      </c>
      <c r="B7100">
        <v>36000</v>
      </c>
      <c r="C7100" t="str">
        <f t="shared" si="110"/>
        <v>2. $10K-50K</v>
      </c>
      <c r="D7100" t="s">
        <v>983</v>
      </c>
      <c r="E7100" t="s">
        <v>237</v>
      </c>
      <c r="F7100" t="s">
        <v>670</v>
      </c>
      <c r="G7100" t="s">
        <v>59</v>
      </c>
      <c r="H7100">
        <v>2024</v>
      </c>
    </row>
    <row r="7101" spans="1:8" x14ac:dyDescent="0.2">
      <c r="A7101">
        <v>275466</v>
      </c>
      <c r="B7101">
        <v>36000</v>
      </c>
      <c r="C7101" t="str">
        <f t="shared" si="110"/>
        <v>2. $10K-50K</v>
      </c>
      <c r="D7101" t="s">
        <v>957</v>
      </c>
      <c r="E7101" t="s">
        <v>237</v>
      </c>
      <c r="F7101" t="s">
        <v>670</v>
      </c>
      <c r="G7101" t="s">
        <v>59</v>
      </c>
      <c r="H7101">
        <v>2024</v>
      </c>
    </row>
    <row r="7102" spans="1:8" x14ac:dyDescent="0.2">
      <c r="A7102">
        <v>275467</v>
      </c>
      <c r="B7102">
        <v>36000</v>
      </c>
      <c r="C7102" t="str">
        <f t="shared" si="110"/>
        <v>2. $10K-50K</v>
      </c>
      <c r="D7102" t="s">
        <v>1168</v>
      </c>
      <c r="E7102" t="s">
        <v>237</v>
      </c>
      <c r="F7102" t="s">
        <v>670</v>
      </c>
      <c r="G7102" t="s">
        <v>59</v>
      </c>
      <c r="H7102">
        <v>2024</v>
      </c>
    </row>
    <row r="7103" spans="1:8" x14ac:dyDescent="0.2">
      <c r="A7103">
        <v>275468</v>
      </c>
      <c r="B7103">
        <v>36000</v>
      </c>
      <c r="C7103" t="str">
        <f t="shared" si="110"/>
        <v>2. $10K-50K</v>
      </c>
      <c r="D7103" t="s">
        <v>929</v>
      </c>
      <c r="E7103" t="s">
        <v>237</v>
      </c>
      <c r="F7103" t="s">
        <v>670</v>
      </c>
      <c r="G7103" t="s">
        <v>59</v>
      </c>
      <c r="H7103">
        <v>2024</v>
      </c>
    </row>
    <row r="7104" spans="1:8" x14ac:dyDescent="0.2">
      <c r="A7104">
        <v>275469</v>
      </c>
      <c r="B7104">
        <v>35301.300000000003</v>
      </c>
      <c r="C7104" t="str">
        <f t="shared" si="110"/>
        <v>2. $10K-50K</v>
      </c>
      <c r="D7104" t="s">
        <v>972</v>
      </c>
      <c r="E7104" t="s">
        <v>237</v>
      </c>
      <c r="F7104" t="s">
        <v>670</v>
      </c>
      <c r="G7104" t="s">
        <v>59</v>
      </c>
      <c r="H7104">
        <v>2024</v>
      </c>
    </row>
    <row r="7105" spans="1:8" x14ac:dyDescent="0.2">
      <c r="A7105">
        <v>275470</v>
      </c>
      <c r="B7105">
        <v>40000</v>
      </c>
      <c r="C7105" t="str">
        <f t="shared" si="110"/>
        <v>2. $10K-50K</v>
      </c>
      <c r="D7105" t="s">
        <v>711</v>
      </c>
      <c r="E7105" t="s">
        <v>237</v>
      </c>
      <c r="F7105" t="s">
        <v>670</v>
      </c>
      <c r="G7105" t="s">
        <v>59</v>
      </c>
      <c r="H7105">
        <v>2024</v>
      </c>
    </row>
    <row r="7106" spans="1:8" x14ac:dyDescent="0.2">
      <c r="A7106">
        <v>275471</v>
      </c>
      <c r="B7106">
        <v>100913.1</v>
      </c>
      <c r="C7106" t="str">
        <f t="shared" si="110"/>
        <v>2. $10K-50K</v>
      </c>
      <c r="D7106" t="s">
        <v>1468</v>
      </c>
      <c r="E7106" t="s">
        <v>237</v>
      </c>
      <c r="F7106" t="s">
        <v>670</v>
      </c>
      <c r="G7106" t="s">
        <v>59</v>
      </c>
      <c r="H7106">
        <v>2024</v>
      </c>
    </row>
    <row r="7107" spans="1:8" x14ac:dyDescent="0.2">
      <c r="A7107">
        <v>275472</v>
      </c>
      <c r="B7107">
        <v>54000</v>
      </c>
      <c r="C7107" t="str">
        <f t="shared" ref="C7107:C7170" si="111">IF(B7106&lt;10000,"1. Under $10K",IF(B7106&lt;50000,"2. $10K-50K",IF(B7106&lt;250000,"3. $50K-250K",IF(B7106&lt;1000000,"4. $250K-1M","5. $1M+"))))</f>
        <v>3. $50K-250K</v>
      </c>
      <c r="D7107" t="s">
        <v>1555</v>
      </c>
      <c r="E7107" t="s">
        <v>237</v>
      </c>
      <c r="F7107" t="s">
        <v>670</v>
      </c>
      <c r="G7107" t="s">
        <v>59</v>
      </c>
      <c r="H7107">
        <v>2024</v>
      </c>
    </row>
    <row r="7108" spans="1:8" x14ac:dyDescent="0.2">
      <c r="A7108">
        <v>275473</v>
      </c>
      <c r="B7108">
        <v>31839.200000000001</v>
      </c>
      <c r="C7108" t="str">
        <f t="shared" si="111"/>
        <v>3. $50K-250K</v>
      </c>
      <c r="D7108" t="s">
        <v>726</v>
      </c>
      <c r="E7108" t="s">
        <v>237</v>
      </c>
      <c r="F7108" t="s">
        <v>670</v>
      </c>
      <c r="G7108" t="s">
        <v>59</v>
      </c>
      <c r="H7108">
        <v>2024</v>
      </c>
    </row>
    <row r="7109" spans="1:8" x14ac:dyDescent="0.2">
      <c r="A7109">
        <v>275475</v>
      </c>
      <c r="B7109">
        <v>23541.5</v>
      </c>
      <c r="C7109" t="str">
        <f t="shared" si="111"/>
        <v>2. $10K-50K</v>
      </c>
      <c r="D7109" t="s">
        <v>713</v>
      </c>
      <c r="E7109" t="s">
        <v>237</v>
      </c>
      <c r="F7109" t="s">
        <v>670</v>
      </c>
      <c r="G7109" t="s">
        <v>59</v>
      </c>
      <c r="H7109">
        <v>2024</v>
      </c>
    </row>
    <row r="7110" spans="1:8" x14ac:dyDescent="0.2">
      <c r="A7110">
        <v>275476</v>
      </c>
      <c r="B7110">
        <v>27054.7</v>
      </c>
      <c r="C7110" t="str">
        <f t="shared" si="111"/>
        <v>2. $10K-50K</v>
      </c>
      <c r="D7110" t="s">
        <v>713</v>
      </c>
      <c r="E7110" t="s">
        <v>237</v>
      </c>
      <c r="F7110" t="s">
        <v>670</v>
      </c>
      <c r="G7110" t="s">
        <v>59</v>
      </c>
      <c r="H7110">
        <v>2024</v>
      </c>
    </row>
    <row r="7111" spans="1:8" x14ac:dyDescent="0.2">
      <c r="A7111">
        <v>275477</v>
      </c>
      <c r="B7111">
        <v>54000</v>
      </c>
      <c r="C7111" t="str">
        <f t="shared" si="111"/>
        <v>2. $10K-50K</v>
      </c>
      <c r="D7111" t="s">
        <v>1556</v>
      </c>
      <c r="E7111" t="s">
        <v>237</v>
      </c>
      <c r="F7111" t="s">
        <v>670</v>
      </c>
      <c r="G7111" t="s">
        <v>59</v>
      </c>
      <c r="H7111">
        <v>2024</v>
      </c>
    </row>
    <row r="7112" spans="1:8" x14ac:dyDescent="0.2">
      <c r="A7112">
        <v>275478</v>
      </c>
      <c r="B7112">
        <v>35832.6</v>
      </c>
      <c r="C7112" t="str">
        <f t="shared" si="111"/>
        <v>3. $50K-250K</v>
      </c>
      <c r="D7112" t="s">
        <v>727</v>
      </c>
      <c r="E7112" t="s">
        <v>237</v>
      </c>
      <c r="F7112" t="s">
        <v>670</v>
      </c>
      <c r="G7112" t="s">
        <v>59</v>
      </c>
      <c r="H7112">
        <v>2024</v>
      </c>
    </row>
    <row r="7113" spans="1:8" x14ac:dyDescent="0.2">
      <c r="A7113">
        <v>275479</v>
      </c>
      <c r="B7113">
        <v>36000</v>
      </c>
      <c r="C7113" t="str">
        <f t="shared" si="111"/>
        <v>2. $10K-50K</v>
      </c>
      <c r="D7113" t="s">
        <v>920</v>
      </c>
      <c r="E7113" t="s">
        <v>237</v>
      </c>
      <c r="F7113" t="s">
        <v>670</v>
      </c>
      <c r="G7113" t="s">
        <v>59</v>
      </c>
      <c r="H7113">
        <v>2024</v>
      </c>
    </row>
    <row r="7114" spans="1:8" x14ac:dyDescent="0.2">
      <c r="A7114">
        <v>275480</v>
      </c>
      <c r="B7114">
        <v>36000</v>
      </c>
      <c r="C7114" t="str">
        <f t="shared" si="111"/>
        <v>2. $10K-50K</v>
      </c>
      <c r="D7114" t="s">
        <v>1179</v>
      </c>
      <c r="E7114" t="s">
        <v>237</v>
      </c>
      <c r="F7114" t="s">
        <v>670</v>
      </c>
      <c r="G7114" t="s">
        <v>59</v>
      </c>
      <c r="H7114">
        <v>2024</v>
      </c>
    </row>
    <row r="7115" spans="1:8" x14ac:dyDescent="0.2">
      <c r="A7115">
        <v>275481</v>
      </c>
      <c r="B7115">
        <v>53562.5</v>
      </c>
      <c r="C7115" t="str">
        <f t="shared" si="111"/>
        <v>2. $10K-50K</v>
      </c>
      <c r="D7115" t="s">
        <v>1074</v>
      </c>
      <c r="E7115" t="s">
        <v>237</v>
      </c>
      <c r="F7115" t="s">
        <v>670</v>
      </c>
      <c r="G7115" t="s">
        <v>59</v>
      </c>
      <c r="H7115">
        <v>2024</v>
      </c>
    </row>
    <row r="7116" spans="1:8" x14ac:dyDescent="0.2">
      <c r="A7116">
        <v>275482</v>
      </c>
      <c r="B7116">
        <v>83761</v>
      </c>
      <c r="C7116" t="str">
        <f t="shared" si="111"/>
        <v>3. $50K-250K</v>
      </c>
      <c r="D7116" t="s">
        <v>1553</v>
      </c>
      <c r="E7116" t="s">
        <v>237</v>
      </c>
      <c r="F7116" t="s">
        <v>670</v>
      </c>
      <c r="G7116" t="s">
        <v>59</v>
      </c>
      <c r="H7116">
        <v>2024</v>
      </c>
    </row>
    <row r="7117" spans="1:8" x14ac:dyDescent="0.2">
      <c r="A7117">
        <v>275483</v>
      </c>
      <c r="B7117">
        <v>36000</v>
      </c>
      <c r="C7117" t="str">
        <f t="shared" si="111"/>
        <v>3. $50K-250K</v>
      </c>
      <c r="D7117" t="s">
        <v>1491</v>
      </c>
      <c r="E7117" t="s">
        <v>237</v>
      </c>
      <c r="F7117" t="s">
        <v>670</v>
      </c>
      <c r="G7117" t="s">
        <v>59</v>
      </c>
      <c r="H7117">
        <v>2024</v>
      </c>
    </row>
    <row r="7118" spans="1:8" x14ac:dyDescent="0.2">
      <c r="A7118">
        <v>275499</v>
      </c>
      <c r="B7118">
        <v>112461</v>
      </c>
      <c r="C7118" t="str">
        <f t="shared" si="111"/>
        <v>2. $10K-50K</v>
      </c>
      <c r="D7118" t="s">
        <v>711</v>
      </c>
      <c r="E7118" t="s">
        <v>237</v>
      </c>
      <c r="F7118" t="s">
        <v>670</v>
      </c>
      <c r="G7118" t="s">
        <v>59</v>
      </c>
      <c r="H7118">
        <v>2024</v>
      </c>
    </row>
    <row r="7119" spans="1:8" x14ac:dyDescent="0.2">
      <c r="A7119">
        <v>275500</v>
      </c>
      <c r="B7119">
        <v>39595</v>
      </c>
      <c r="C7119" t="str">
        <f t="shared" si="111"/>
        <v>3. $50K-250K</v>
      </c>
      <c r="D7119" t="s">
        <v>866</v>
      </c>
      <c r="E7119" t="s">
        <v>237</v>
      </c>
      <c r="F7119" t="s">
        <v>670</v>
      </c>
      <c r="G7119" t="s">
        <v>59</v>
      </c>
      <c r="H7119">
        <v>2024</v>
      </c>
    </row>
    <row r="7120" spans="1:8" x14ac:dyDescent="0.2">
      <c r="A7120">
        <v>275512</v>
      </c>
      <c r="B7120">
        <v>375000</v>
      </c>
      <c r="C7120" t="str">
        <f t="shared" si="111"/>
        <v>2. $10K-50K</v>
      </c>
      <c r="D7120" t="s">
        <v>902</v>
      </c>
      <c r="E7120" t="s">
        <v>237</v>
      </c>
      <c r="F7120" t="s">
        <v>670</v>
      </c>
      <c r="G7120" t="s">
        <v>59</v>
      </c>
      <c r="H7120">
        <v>2024</v>
      </c>
    </row>
    <row r="7121" spans="1:8" x14ac:dyDescent="0.2">
      <c r="A7121">
        <v>275513</v>
      </c>
      <c r="B7121">
        <v>300000</v>
      </c>
      <c r="C7121" t="str">
        <f t="shared" si="111"/>
        <v>4. $250K-1M</v>
      </c>
      <c r="D7121" t="s">
        <v>903</v>
      </c>
      <c r="E7121" t="s">
        <v>237</v>
      </c>
      <c r="F7121" t="s">
        <v>670</v>
      </c>
      <c r="G7121" t="s">
        <v>59</v>
      </c>
      <c r="H7121">
        <v>2024</v>
      </c>
    </row>
    <row r="7122" spans="1:8" x14ac:dyDescent="0.2">
      <c r="A7122">
        <v>275514</v>
      </c>
      <c r="B7122">
        <v>32015.599999999999</v>
      </c>
      <c r="C7122" t="str">
        <f t="shared" si="111"/>
        <v>4. $250K-1M</v>
      </c>
      <c r="D7122" t="s">
        <v>781</v>
      </c>
      <c r="E7122" t="s">
        <v>237</v>
      </c>
      <c r="F7122" t="s">
        <v>670</v>
      </c>
      <c r="G7122" t="s">
        <v>59</v>
      </c>
      <c r="H7122">
        <v>2024</v>
      </c>
    </row>
    <row r="7123" spans="1:8" x14ac:dyDescent="0.2">
      <c r="A7123">
        <v>275602</v>
      </c>
      <c r="B7123">
        <v>299978</v>
      </c>
      <c r="C7123" t="str">
        <f t="shared" si="111"/>
        <v>2. $10K-50K</v>
      </c>
      <c r="D7123" t="s">
        <v>893</v>
      </c>
      <c r="E7123" t="s">
        <v>891</v>
      </c>
      <c r="F7123" t="s">
        <v>670</v>
      </c>
      <c r="G7123" t="s">
        <v>59</v>
      </c>
      <c r="H7123">
        <v>2024</v>
      </c>
    </row>
    <row r="7124" spans="1:8" x14ac:dyDescent="0.2">
      <c r="A7124">
        <v>275685</v>
      </c>
      <c r="B7124">
        <v>5498889</v>
      </c>
      <c r="C7124" t="str">
        <f t="shared" si="111"/>
        <v>4. $250K-1M</v>
      </c>
      <c r="D7124" t="s">
        <v>1027</v>
      </c>
      <c r="E7124" t="s">
        <v>237</v>
      </c>
      <c r="F7124" t="s">
        <v>670</v>
      </c>
      <c r="G7124" t="s">
        <v>59</v>
      </c>
      <c r="H7124">
        <v>2024</v>
      </c>
    </row>
    <row r="7125" spans="1:8" x14ac:dyDescent="0.2">
      <c r="A7125">
        <v>275701</v>
      </c>
      <c r="B7125">
        <v>6575</v>
      </c>
      <c r="C7125" t="str">
        <f t="shared" si="111"/>
        <v>5. $1M+</v>
      </c>
      <c r="D7125" t="s">
        <v>321</v>
      </c>
      <c r="E7125" t="s">
        <v>112</v>
      </c>
      <c r="F7125" t="s">
        <v>668</v>
      </c>
      <c r="G7125" t="s">
        <v>59</v>
      </c>
      <c r="H7125">
        <v>2024</v>
      </c>
    </row>
    <row r="7126" spans="1:8" x14ac:dyDescent="0.2">
      <c r="A7126">
        <v>275702</v>
      </c>
      <c r="B7126">
        <v>20000</v>
      </c>
      <c r="C7126" t="str">
        <f t="shared" si="111"/>
        <v>1. Under $10K</v>
      </c>
      <c r="D7126" t="s">
        <v>1198</v>
      </c>
      <c r="E7126" t="s">
        <v>112</v>
      </c>
      <c r="F7126" t="s">
        <v>668</v>
      </c>
      <c r="G7126" t="s">
        <v>59</v>
      </c>
      <c r="H7126">
        <v>2024</v>
      </c>
    </row>
    <row r="7127" spans="1:8" x14ac:dyDescent="0.2">
      <c r="A7127">
        <v>275714</v>
      </c>
      <c r="B7127">
        <v>10000</v>
      </c>
      <c r="C7127" t="str">
        <f t="shared" si="111"/>
        <v>2. $10K-50K</v>
      </c>
      <c r="D7127" t="s">
        <v>2214</v>
      </c>
      <c r="E7127" t="s">
        <v>112</v>
      </c>
      <c r="F7127" t="s">
        <v>668</v>
      </c>
      <c r="G7127" t="s">
        <v>59</v>
      </c>
      <c r="H7127">
        <v>2024</v>
      </c>
    </row>
    <row r="7128" spans="1:8" x14ac:dyDescent="0.2">
      <c r="A7128">
        <v>275715</v>
      </c>
      <c r="B7128">
        <v>150000</v>
      </c>
      <c r="C7128" t="str">
        <f t="shared" si="111"/>
        <v>2. $10K-50K</v>
      </c>
      <c r="D7128" t="s">
        <v>1388</v>
      </c>
      <c r="E7128" t="s">
        <v>112</v>
      </c>
      <c r="F7128" t="s">
        <v>668</v>
      </c>
      <c r="G7128" t="s">
        <v>59</v>
      </c>
      <c r="H7128">
        <v>2024</v>
      </c>
    </row>
    <row r="7129" spans="1:8" x14ac:dyDescent="0.2">
      <c r="A7129">
        <v>275740</v>
      </c>
      <c r="B7129">
        <v>6000</v>
      </c>
      <c r="C7129" t="str">
        <f t="shared" si="111"/>
        <v>3. $50K-250K</v>
      </c>
      <c r="D7129" t="s">
        <v>2215</v>
      </c>
      <c r="E7129" t="s">
        <v>112</v>
      </c>
      <c r="F7129" t="s">
        <v>668</v>
      </c>
      <c r="G7129" t="s">
        <v>59</v>
      </c>
      <c r="H7129">
        <v>2024</v>
      </c>
    </row>
    <row r="7130" spans="1:8" x14ac:dyDescent="0.2">
      <c r="A7130">
        <v>275749</v>
      </c>
      <c r="B7130">
        <v>191697.3</v>
      </c>
      <c r="C7130" t="str">
        <f t="shared" si="111"/>
        <v>1. Under $10K</v>
      </c>
      <c r="D7130" t="s">
        <v>688</v>
      </c>
      <c r="E7130" t="s">
        <v>42</v>
      </c>
      <c r="F7130" t="s">
        <v>670</v>
      </c>
      <c r="G7130" t="s">
        <v>59</v>
      </c>
      <c r="H7130">
        <v>2024</v>
      </c>
    </row>
    <row r="7131" spans="1:8" x14ac:dyDescent="0.2">
      <c r="A7131">
        <v>275878</v>
      </c>
      <c r="B7131">
        <v>350000</v>
      </c>
      <c r="C7131" t="str">
        <f t="shared" si="111"/>
        <v>3. $50K-250K</v>
      </c>
      <c r="D7131" t="s">
        <v>992</v>
      </c>
      <c r="E7131" t="s">
        <v>99</v>
      </c>
      <c r="F7131" t="s">
        <v>670</v>
      </c>
      <c r="G7131" t="s">
        <v>59</v>
      </c>
      <c r="H7131">
        <v>2024</v>
      </c>
    </row>
    <row r="7132" spans="1:8" x14ac:dyDescent="0.2">
      <c r="A7132">
        <v>275985</v>
      </c>
      <c r="B7132">
        <v>150000</v>
      </c>
      <c r="C7132" t="str">
        <f t="shared" si="111"/>
        <v>4. $250K-1M</v>
      </c>
      <c r="D7132" t="s">
        <v>2216</v>
      </c>
      <c r="E7132" t="s">
        <v>99</v>
      </c>
      <c r="F7132" t="s">
        <v>668</v>
      </c>
      <c r="G7132" t="s">
        <v>59</v>
      </c>
      <c r="H7132">
        <v>2024</v>
      </c>
    </row>
    <row r="7133" spans="1:8" x14ac:dyDescent="0.2">
      <c r="A7133">
        <v>275988</v>
      </c>
      <c r="B7133">
        <v>247629.8</v>
      </c>
      <c r="C7133" t="str">
        <f t="shared" si="111"/>
        <v>3. $50K-250K</v>
      </c>
      <c r="D7133" t="s">
        <v>2217</v>
      </c>
      <c r="E7133" t="s">
        <v>99</v>
      </c>
      <c r="F7133" t="s">
        <v>668</v>
      </c>
      <c r="G7133" t="s">
        <v>59</v>
      </c>
      <c r="H7133">
        <v>2024</v>
      </c>
    </row>
    <row r="7134" spans="1:8" x14ac:dyDescent="0.2">
      <c r="A7134">
        <v>275989</v>
      </c>
      <c r="B7134">
        <v>189585</v>
      </c>
      <c r="C7134" t="str">
        <f t="shared" si="111"/>
        <v>3. $50K-250K</v>
      </c>
      <c r="D7134" t="s">
        <v>2218</v>
      </c>
      <c r="E7134" t="s">
        <v>99</v>
      </c>
      <c r="F7134" t="s">
        <v>668</v>
      </c>
      <c r="G7134" t="s">
        <v>59</v>
      </c>
      <c r="H7134">
        <v>2024</v>
      </c>
    </row>
    <row r="7135" spans="1:8" x14ac:dyDescent="0.2">
      <c r="A7135">
        <v>276027</v>
      </c>
      <c r="B7135">
        <v>2394999.7000000002</v>
      </c>
      <c r="C7135" t="str">
        <f t="shared" si="111"/>
        <v>3. $50K-250K</v>
      </c>
      <c r="D7135" t="s">
        <v>1027</v>
      </c>
      <c r="E7135" t="s">
        <v>237</v>
      </c>
      <c r="F7135" t="s">
        <v>670</v>
      </c>
      <c r="G7135" t="s">
        <v>59</v>
      </c>
      <c r="H7135">
        <v>2024</v>
      </c>
    </row>
    <row r="7136" spans="1:8" x14ac:dyDescent="0.2">
      <c r="A7136">
        <v>276185</v>
      </c>
      <c r="B7136">
        <v>17901269</v>
      </c>
      <c r="C7136" t="str">
        <f t="shared" si="111"/>
        <v>5. $1M+</v>
      </c>
      <c r="D7136" t="s">
        <v>2071</v>
      </c>
      <c r="E7136" t="s">
        <v>237</v>
      </c>
      <c r="F7136" t="s">
        <v>670</v>
      </c>
      <c r="G7136" t="s">
        <v>59</v>
      </c>
      <c r="H7136">
        <v>2024</v>
      </c>
    </row>
    <row r="7137" spans="1:8" x14ac:dyDescent="0.2">
      <c r="A7137">
        <v>276186</v>
      </c>
      <c r="B7137">
        <v>9284888</v>
      </c>
      <c r="C7137" t="str">
        <f t="shared" si="111"/>
        <v>5. $1M+</v>
      </c>
      <c r="D7137" t="s">
        <v>2070</v>
      </c>
      <c r="E7137" t="s">
        <v>237</v>
      </c>
      <c r="F7137" t="s">
        <v>670</v>
      </c>
      <c r="G7137" t="s">
        <v>59</v>
      </c>
      <c r="H7137">
        <v>2024</v>
      </c>
    </row>
    <row r="7138" spans="1:8" x14ac:dyDescent="0.2">
      <c r="A7138">
        <v>276295</v>
      </c>
      <c r="B7138">
        <v>250000</v>
      </c>
      <c r="C7138" t="str">
        <f t="shared" si="111"/>
        <v>5. $1M+</v>
      </c>
      <c r="D7138" t="s">
        <v>1437</v>
      </c>
      <c r="E7138" t="s">
        <v>432</v>
      </c>
      <c r="F7138" t="s">
        <v>670</v>
      </c>
      <c r="G7138" t="s">
        <v>44</v>
      </c>
      <c r="H7138">
        <v>2024</v>
      </c>
    </row>
    <row r="7139" spans="1:8" x14ac:dyDescent="0.2">
      <c r="A7139">
        <v>276509</v>
      </c>
      <c r="B7139">
        <v>3072320</v>
      </c>
      <c r="C7139" t="str">
        <f t="shared" si="111"/>
        <v>4. $250K-1M</v>
      </c>
      <c r="D7139" t="s">
        <v>1052</v>
      </c>
      <c r="E7139" t="s">
        <v>237</v>
      </c>
      <c r="F7139" t="s">
        <v>670</v>
      </c>
      <c r="G7139" t="s">
        <v>59</v>
      </c>
      <c r="H7139">
        <v>2024</v>
      </c>
    </row>
    <row r="7140" spans="1:8" x14ac:dyDescent="0.2">
      <c r="A7140">
        <v>276512</v>
      </c>
      <c r="B7140">
        <v>199408.2</v>
      </c>
      <c r="C7140" t="str">
        <f t="shared" si="111"/>
        <v>5. $1M+</v>
      </c>
      <c r="D7140" t="s">
        <v>804</v>
      </c>
      <c r="E7140" t="s">
        <v>819</v>
      </c>
      <c r="F7140" t="s">
        <v>670</v>
      </c>
      <c r="G7140" t="s">
        <v>59</v>
      </c>
      <c r="H7140">
        <v>2024</v>
      </c>
    </row>
    <row r="7141" spans="1:8" x14ac:dyDescent="0.2">
      <c r="A7141">
        <v>276519</v>
      </c>
      <c r="B7141">
        <v>30000</v>
      </c>
      <c r="C7141" t="str">
        <f t="shared" si="111"/>
        <v>3. $50K-250K</v>
      </c>
      <c r="D7141" t="s">
        <v>2219</v>
      </c>
      <c r="E7141" t="s">
        <v>207</v>
      </c>
      <c r="F7141" t="s">
        <v>1476</v>
      </c>
      <c r="G7141" t="s">
        <v>59</v>
      </c>
      <c r="H7141">
        <v>2024</v>
      </c>
    </row>
    <row r="7142" spans="1:8" x14ac:dyDescent="0.2">
      <c r="A7142">
        <v>276569</v>
      </c>
      <c r="B7142">
        <v>1000000</v>
      </c>
      <c r="C7142" t="str">
        <f t="shared" si="111"/>
        <v>2. $10K-50K</v>
      </c>
      <c r="D7142" t="s">
        <v>1028</v>
      </c>
      <c r="E7142" t="s">
        <v>42</v>
      </c>
      <c r="F7142" t="s">
        <v>670</v>
      </c>
      <c r="G7142" t="s">
        <v>44</v>
      </c>
      <c r="H7142">
        <v>2024</v>
      </c>
    </row>
    <row r="7143" spans="1:8" x14ac:dyDescent="0.2">
      <c r="A7143">
        <v>276784</v>
      </c>
      <c r="B7143">
        <v>245000</v>
      </c>
      <c r="C7143" t="str">
        <f t="shared" si="111"/>
        <v>5. $1M+</v>
      </c>
      <c r="D7143" t="s">
        <v>391</v>
      </c>
      <c r="E7143" t="s">
        <v>42</v>
      </c>
      <c r="F7143" t="s">
        <v>670</v>
      </c>
      <c r="G7143" t="s">
        <v>44</v>
      </c>
      <c r="H7143">
        <v>2024</v>
      </c>
    </row>
    <row r="7144" spans="1:8" x14ac:dyDescent="0.2">
      <c r="A7144">
        <v>276787</v>
      </c>
      <c r="B7144">
        <v>34083</v>
      </c>
      <c r="C7144" t="str">
        <f t="shared" si="111"/>
        <v>3. $50K-250K</v>
      </c>
      <c r="D7144" t="s">
        <v>957</v>
      </c>
      <c r="E7144" t="s">
        <v>42</v>
      </c>
      <c r="F7144" t="s">
        <v>670</v>
      </c>
      <c r="G7144" t="s">
        <v>59</v>
      </c>
      <c r="H7144">
        <v>2024</v>
      </c>
    </row>
    <row r="7145" spans="1:8" x14ac:dyDescent="0.2">
      <c r="A7145">
        <v>276789</v>
      </c>
      <c r="B7145">
        <v>34083</v>
      </c>
      <c r="C7145" t="str">
        <f t="shared" si="111"/>
        <v>2. $10K-50K</v>
      </c>
      <c r="D7145" t="s">
        <v>801</v>
      </c>
      <c r="E7145" t="s">
        <v>42</v>
      </c>
      <c r="F7145" t="s">
        <v>670</v>
      </c>
      <c r="G7145" t="s">
        <v>59</v>
      </c>
      <c r="H7145">
        <v>2024</v>
      </c>
    </row>
    <row r="7146" spans="1:8" x14ac:dyDescent="0.2">
      <c r="A7146">
        <v>276792</v>
      </c>
      <c r="B7146">
        <v>33298.400000000001</v>
      </c>
      <c r="C7146" t="str">
        <f t="shared" si="111"/>
        <v>2. $10K-50K</v>
      </c>
      <c r="D7146" t="s">
        <v>763</v>
      </c>
      <c r="E7146" t="s">
        <v>42</v>
      </c>
      <c r="F7146" t="s">
        <v>670</v>
      </c>
      <c r="G7146" t="s">
        <v>59</v>
      </c>
      <c r="H7146">
        <v>2024</v>
      </c>
    </row>
    <row r="7147" spans="1:8" x14ac:dyDescent="0.2">
      <c r="A7147">
        <v>276829</v>
      </c>
      <c r="B7147">
        <v>43083.199999999997</v>
      </c>
      <c r="C7147" t="str">
        <f t="shared" si="111"/>
        <v>2. $10K-50K</v>
      </c>
      <c r="D7147" t="s">
        <v>782</v>
      </c>
      <c r="E7147" t="s">
        <v>237</v>
      </c>
      <c r="F7147" t="s">
        <v>670</v>
      </c>
      <c r="G7147" t="s">
        <v>59</v>
      </c>
      <c r="H7147">
        <v>2024</v>
      </c>
    </row>
    <row r="7148" spans="1:8" x14ac:dyDescent="0.2">
      <c r="A7148">
        <v>276830</v>
      </c>
      <c r="B7148">
        <v>151233.70000000001</v>
      </c>
      <c r="C7148" t="str">
        <f t="shared" si="111"/>
        <v>2. $10K-50K</v>
      </c>
      <c r="D7148" t="s">
        <v>1673</v>
      </c>
      <c r="E7148" t="s">
        <v>368</v>
      </c>
      <c r="F7148" t="s">
        <v>668</v>
      </c>
      <c r="G7148" t="s">
        <v>59</v>
      </c>
      <c r="H7148">
        <v>2024</v>
      </c>
    </row>
    <row r="7149" spans="1:8" x14ac:dyDescent="0.2">
      <c r="A7149">
        <v>276831</v>
      </c>
      <c r="B7149">
        <v>1000</v>
      </c>
      <c r="C7149" t="str">
        <f t="shared" si="111"/>
        <v>3. $50K-250K</v>
      </c>
      <c r="D7149" t="s">
        <v>2220</v>
      </c>
      <c r="E7149" t="s">
        <v>112</v>
      </c>
      <c r="F7149" t="s">
        <v>668</v>
      </c>
      <c r="G7149" t="s">
        <v>59</v>
      </c>
      <c r="H7149">
        <v>2024</v>
      </c>
    </row>
    <row r="7150" spans="1:8" x14ac:dyDescent="0.2">
      <c r="A7150">
        <v>276851</v>
      </c>
      <c r="B7150">
        <v>15575</v>
      </c>
      <c r="C7150" t="str">
        <f t="shared" si="111"/>
        <v>1. Under $10K</v>
      </c>
      <c r="D7150" t="s">
        <v>1746</v>
      </c>
      <c r="E7150" t="s">
        <v>112</v>
      </c>
      <c r="F7150" t="s">
        <v>668</v>
      </c>
      <c r="G7150" t="s">
        <v>59</v>
      </c>
      <c r="H7150">
        <v>2024</v>
      </c>
    </row>
    <row r="7151" spans="1:8" x14ac:dyDescent="0.2">
      <c r="A7151">
        <v>276854</v>
      </c>
      <c r="B7151">
        <v>207106.8</v>
      </c>
      <c r="C7151" t="str">
        <f t="shared" si="111"/>
        <v>2. $10K-50K</v>
      </c>
      <c r="D7151" t="s">
        <v>785</v>
      </c>
      <c r="E7151" t="s">
        <v>237</v>
      </c>
      <c r="F7151" t="s">
        <v>670</v>
      </c>
      <c r="G7151" t="s">
        <v>59</v>
      </c>
      <c r="H7151">
        <v>2024</v>
      </c>
    </row>
    <row r="7152" spans="1:8" x14ac:dyDescent="0.2">
      <c r="A7152">
        <v>276855</v>
      </c>
      <c r="B7152">
        <v>1665813.7</v>
      </c>
      <c r="C7152" t="str">
        <f t="shared" si="111"/>
        <v>3. $50K-250K</v>
      </c>
      <c r="D7152" t="s">
        <v>1035</v>
      </c>
      <c r="E7152" t="s">
        <v>825</v>
      </c>
      <c r="F7152" t="s">
        <v>670</v>
      </c>
      <c r="G7152" t="s">
        <v>59</v>
      </c>
      <c r="H7152">
        <v>2024</v>
      </c>
    </row>
    <row r="7153" spans="1:8" x14ac:dyDescent="0.2">
      <c r="A7153">
        <v>276857</v>
      </c>
      <c r="B7153">
        <v>13000</v>
      </c>
      <c r="C7153" t="str">
        <f t="shared" si="111"/>
        <v>5. $1M+</v>
      </c>
      <c r="D7153" t="s">
        <v>1128</v>
      </c>
      <c r="E7153" t="s">
        <v>112</v>
      </c>
      <c r="F7153" t="s">
        <v>668</v>
      </c>
      <c r="G7153" t="s">
        <v>59</v>
      </c>
      <c r="H7153">
        <v>2024</v>
      </c>
    </row>
    <row r="7154" spans="1:8" x14ac:dyDescent="0.2">
      <c r="A7154">
        <v>276870</v>
      </c>
      <c r="B7154">
        <v>25000</v>
      </c>
      <c r="C7154" t="str">
        <f t="shared" si="111"/>
        <v>2. $10K-50K</v>
      </c>
      <c r="D7154" t="s">
        <v>1671</v>
      </c>
      <c r="E7154" t="s">
        <v>112</v>
      </c>
      <c r="F7154" t="s">
        <v>668</v>
      </c>
      <c r="G7154" t="s">
        <v>59</v>
      </c>
      <c r="H7154">
        <v>2024</v>
      </c>
    </row>
    <row r="7155" spans="1:8" x14ac:dyDescent="0.2">
      <c r="A7155">
        <v>276871</v>
      </c>
      <c r="B7155">
        <v>48000</v>
      </c>
      <c r="C7155" t="str">
        <f t="shared" si="111"/>
        <v>2. $10K-50K</v>
      </c>
      <c r="D7155" t="s">
        <v>1599</v>
      </c>
      <c r="E7155" t="s">
        <v>112</v>
      </c>
      <c r="F7155" t="s">
        <v>668</v>
      </c>
      <c r="G7155" t="s">
        <v>59</v>
      </c>
      <c r="H7155">
        <v>2024</v>
      </c>
    </row>
    <row r="7156" spans="1:8" x14ac:dyDescent="0.2">
      <c r="A7156">
        <v>276873</v>
      </c>
      <c r="B7156">
        <v>15575</v>
      </c>
      <c r="C7156" t="str">
        <f t="shared" si="111"/>
        <v>2. $10K-50K</v>
      </c>
      <c r="D7156" t="s">
        <v>1075</v>
      </c>
      <c r="E7156" t="s">
        <v>112</v>
      </c>
      <c r="F7156" t="s">
        <v>668</v>
      </c>
      <c r="G7156" t="s">
        <v>59</v>
      </c>
      <c r="H7156">
        <v>2024</v>
      </c>
    </row>
    <row r="7157" spans="1:8" x14ac:dyDescent="0.2">
      <c r="A7157">
        <v>276874</v>
      </c>
      <c r="B7157">
        <v>15000</v>
      </c>
      <c r="C7157" t="str">
        <f t="shared" si="111"/>
        <v>2. $10K-50K</v>
      </c>
      <c r="D7157" t="s">
        <v>1314</v>
      </c>
      <c r="E7157" t="s">
        <v>112</v>
      </c>
      <c r="F7157" t="s">
        <v>668</v>
      </c>
      <c r="G7157" t="s">
        <v>59</v>
      </c>
      <c r="H7157">
        <v>2024</v>
      </c>
    </row>
    <row r="7158" spans="1:8" x14ac:dyDescent="0.2">
      <c r="A7158">
        <v>276876</v>
      </c>
      <c r="B7158">
        <v>15575</v>
      </c>
      <c r="C7158" t="str">
        <f t="shared" si="111"/>
        <v>2. $10K-50K</v>
      </c>
      <c r="D7158" t="s">
        <v>1069</v>
      </c>
      <c r="E7158" t="s">
        <v>112</v>
      </c>
      <c r="F7158" t="s">
        <v>668</v>
      </c>
      <c r="G7158" t="s">
        <v>59</v>
      </c>
      <c r="H7158">
        <v>2024</v>
      </c>
    </row>
    <row r="7159" spans="1:8" x14ac:dyDescent="0.2">
      <c r="A7159">
        <v>276925</v>
      </c>
      <c r="B7159">
        <v>1040000</v>
      </c>
      <c r="C7159" t="str">
        <f t="shared" si="111"/>
        <v>2. $10K-50K</v>
      </c>
      <c r="D7159" t="s">
        <v>2221</v>
      </c>
      <c r="E7159" t="s">
        <v>141</v>
      </c>
      <c r="F7159" t="s">
        <v>668</v>
      </c>
      <c r="G7159" t="s">
        <v>59</v>
      </c>
      <c r="H7159">
        <v>2024</v>
      </c>
    </row>
    <row r="7160" spans="1:8" x14ac:dyDescent="0.2">
      <c r="A7160">
        <v>276934</v>
      </c>
      <c r="B7160">
        <v>30356.7</v>
      </c>
      <c r="C7160" t="str">
        <f t="shared" si="111"/>
        <v>5. $1M+</v>
      </c>
      <c r="D7160" t="s">
        <v>937</v>
      </c>
      <c r="E7160" t="s">
        <v>237</v>
      </c>
      <c r="F7160" t="s">
        <v>670</v>
      </c>
      <c r="G7160" t="s">
        <v>59</v>
      </c>
      <c r="H7160">
        <v>2024</v>
      </c>
    </row>
    <row r="7161" spans="1:8" x14ac:dyDescent="0.2">
      <c r="A7161">
        <v>276941</v>
      </c>
      <c r="B7161">
        <v>17234.400000000001</v>
      </c>
      <c r="C7161" t="str">
        <f t="shared" si="111"/>
        <v>2. $10K-50K</v>
      </c>
      <c r="D7161" t="s">
        <v>977</v>
      </c>
      <c r="E7161" t="s">
        <v>42</v>
      </c>
      <c r="F7161" t="s">
        <v>670</v>
      </c>
      <c r="G7161" t="s">
        <v>59</v>
      </c>
      <c r="H7161">
        <v>2024</v>
      </c>
    </row>
    <row r="7162" spans="1:8" x14ac:dyDescent="0.2">
      <c r="A7162">
        <v>277076</v>
      </c>
      <c r="B7162">
        <v>124560</v>
      </c>
      <c r="C7162" t="str">
        <f t="shared" si="111"/>
        <v>2. $10K-50K</v>
      </c>
      <c r="D7162" t="s">
        <v>447</v>
      </c>
      <c r="E7162" t="s">
        <v>42</v>
      </c>
      <c r="F7162" t="s">
        <v>333</v>
      </c>
      <c r="G7162" t="s">
        <v>10</v>
      </c>
      <c r="H7162">
        <v>2024</v>
      </c>
    </row>
    <row r="7163" spans="1:8" x14ac:dyDescent="0.2">
      <c r="A7163">
        <v>277148</v>
      </c>
      <c r="B7163">
        <v>112618</v>
      </c>
      <c r="C7163" t="str">
        <f t="shared" si="111"/>
        <v>3. $50K-250K</v>
      </c>
      <c r="D7163" t="s">
        <v>2179</v>
      </c>
      <c r="E7163" t="s">
        <v>237</v>
      </c>
      <c r="F7163" t="s">
        <v>670</v>
      </c>
      <c r="G7163" t="s">
        <v>59</v>
      </c>
      <c r="H7163">
        <v>2024</v>
      </c>
    </row>
    <row r="7164" spans="1:8" x14ac:dyDescent="0.2">
      <c r="A7164">
        <v>277149</v>
      </c>
      <c r="B7164">
        <v>32407</v>
      </c>
      <c r="C7164" t="str">
        <f t="shared" si="111"/>
        <v>3. $50K-250K</v>
      </c>
      <c r="D7164" t="s">
        <v>782</v>
      </c>
      <c r="E7164" t="s">
        <v>237</v>
      </c>
      <c r="F7164" t="s">
        <v>670</v>
      </c>
      <c r="G7164" t="s">
        <v>59</v>
      </c>
      <c r="H7164">
        <v>2024</v>
      </c>
    </row>
    <row r="7165" spans="1:8" x14ac:dyDescent="0.2">
      <c r="A7165">
        <v>277180</v>
      </c>
      <c r="B7165">
        <v>10414010</v>
      </c>
      <c r="C7165" t="str">
        <f t="shared" si="111"/>
        <v>2. $10K-50K</v>
      </c>
      <c r="D7165" t="s">
        <v>130</v>
      </c>
      <c r="E7165" t="s">
        <v>54</v>
      </c>
      <c r="F7165" t="s">
        <v>22</v>
      </c>
      <c r="G7165" t="s">
        <v>10</v>
      </c>
      <c r="H7165">
        <v>2024</v>
      </c>
    </row>
    <row r="7166" spans="1:8" x14ac:dyDescent="0.2">
      <c r="A7166">
        <v>277195</v>
      </c>
      <c r="B7166">
        <v>32049.3</v>
      </c>
      <c r="C7166" t="str">
        <f t="shared" si="111"/>
        <v>5. $1M+</v>
      </c>
      <c r="D7166" t="s">
        <v>978</v>
      </c>
      <c r="E7166" t="s">
        <v>42</v>
      </c>
      <c r="F7166" t="s">
        <v>670</v>
      </c>
      <c r="G7166" t="s">
        <v>59</v>
      </c>
      <c r="H7166">
        <v>2024</v>
      </c>
    </row>
    <row r="7167" spans="1:8" x14ac:dyDescent="0.2">
      <c r="A7167">
        <v>277369</v>
      </c>
      <c r="B7167">
        <v>1000000</v>
      </c>
      <c r="C7167" t="str">
        <f t="shared" si="111"/>
        <v>2. $10K-50K</v>
      </c>
      <c r="D7167" t="s">
        <v>2222</v>
      </c>
      <c r="E7167" t="s">
        <v>99</v>
      </c>
      <c r="F7167" t="s">
        <v>668</v>
      </c>
      <c r="G7167" t="s">
        <v>59</v>
      </c>
      <c r="H7167">
        <v>2024</v>
      </c>
    </row>
    <row r="7168" spans="1:8" x14ac:dyDescent="0.2">
      <c r="A7168">
        <v>277442</v>
      </c>
      <c r="B7168">
        <v>3000000</v>
      </c>
      <c r="C7168" t="str">
        <f t="shared" si="111"/>
        <v>5. $1M+</v>
      </c>
      <c r="D7168" t="s">
        <v>1052</v>
      </c>
      <c r="E7168" t="s">
        <v>237</v>
      </c>
      <c r="F7168" t="s">
        <v>670</v>
      </c>
      <c r="G7168" t="s">
        <v>44</v>
      </c>
      <c r="H7168">
        <v>2024</v>
      </c>
    </row>
    <row r="7169" spans="1:8" x14ac:dyDescent="0.2">
      <c r="A7169">
        <v>27750</v>
      </c>
      <c r="B7169">
        <v>266705</v>
      </c>
      <c r="C7169" t="str">
        <f t="shared" si="111"/>
        <v>5. $1M+</v>
      </c>
      <c r="D7169" t="s">
        <v>197</v>
      </c>
      <c r="E7169" t="s">
        <v>8</v>
      </c>
      <c r="F7169" t="s">
        <v>14</v>
      </c>
      <c r="G7169" t="s">
        <v>44</v>
      </c>
      <c r="H7169">
        <v>2023</v>
      </c>
    </row>
    <row r="7170" spans="1:8" x14ac:dyDescent="0.2">
      <c r="A7170">
        <v>277500</v>
      </c>
      <c r="B7170">
        <v>124746.5</v>
      </c>
      <c r="C7170" t="str">
        <f t="shared" si="111"/>
        <v>4. $250K-1M</v>
      </c>
      <c r="D7170" t="s">
        <v>801</v>
      </c>
      <c r="E7170" t="s">
        <v>237</v>
      </c>
      <c r="F7170" t="s">
        <v>670</v>
      </c>
      <c r="G7170" t="s">
        <v>59</v>
      </c>
      <c r="H7170">
        <v>2024</v>
      </c>
    </row>
    <row r="7171" spans="1:8" x14ac:dyDescent="0.2">
      <c r="A7171">
        <v>277501</v>
      </c>
      <c r="B7171">
        <v>19120.599999999999</v>
      </c>
      <c r="C7171" t="str">
        <f t="shared" ref="C7171:C7234" si="112">IF(B7170&lt;10000,"1. Under $10K",IF(B7170&lt;50000,"2. $10K-50K",IF(B7170&lt;250000,"3. $50K-250K",IF(B7170&lt;1000000,"4. $250K-1M","5. $1M+"))))</f>
        <v>3. $50K-250K</v>
      </c>
      <c r="D7171" t="s">
        <v>925</v>
      </c>
      <c r="E7171" t="s">
        <v>237</v>
      </c>
      <c r="F7171" t="s">
        <v>670</v>
      </c>
      <c r="G7171" t="s">
        <v>59</v>
      </c>
      <c r="H7171">
        <v>2024</v>
      </c>
    </row>
    <row r="7172" spans="1:8" x14ac:dyDescent="0.2">
      <c r="A7172">
        <v>277518</v>
      </c>
      <c r="B7172">
        <v>275000</v>
      </c>
      <c r="C7172" t="str">
        <f t="shared" si="112"/>
        <v>2. $10K-50K</v>
      </c>
      <c r="D7172" t="s">
        <v>2223</v>
      </c>
      <c r="E7172" t="s">
        <v>237</v>
      </c>
      <c r="F7172" t="s">
        <v>670</v>
      </c>
      <c r="G7172" t="s">
        <v>59</v>
      </c>
      <c r="H7172">
        <v>2024</v>
      </c>
    </row>
    <row r="7173" spans="1:8" x14ac:dyDescent="0.2">
      <c r="A7173">
        <v>277633</v>
      </c>
      <c r="B7173">
        <v>200000</v>
      </c>
      <c r="C7173" t="str">
        <f t="shared" si="112"/>
        <v>4. $250K-1M</v>
      </c>
      <c r="D7173" t="s">
        <v>1174</v>
      </c>
      <c r="E7173" t="s">
        <v>42</v>
      </c>
      <c r="F7173" t="s">
        <v>670</v>
      </c>
      <c r="G7173" t="s">
        <v>59</v>
      </c>
      <c r="H7173">
        <v>2024</v>
      </c>
    </row>
    <row r="7174" spans="1:8" x14ac:dyDescent="0.2">
      <c r="A7174">
        <v>277737</v>
      </c>
      <c r="B7174">
        <v>6000</v>
      </c>
      <c r="C7174" t="str">
        <f t="shared" si="112"/>
        <v>3. $50K-250K</v>
      </c>
      <c r="D7174" t="s">
        <v>2224</v>
      </c>
      <c r="E7174" t="s">
        <v>112</v>
      </c>
      <c r="F7174" t="s">
        <v>668</v>
      </c>
      <c r="G7174" t="s">
        <v>59</v>
      </c>
      <c r="H7174">
        <v>2024</v>
      </c>
    </row>
    <row r="7175" spans="1:8" x14ac:dyDescent="0.2">
      <c r="A7175">
        <v>277738</v>
      </c>
      <c r="B7175">
        <v>2150</v>
      </c>
      <c r="C7175" t="str">
        <f t="shared" si="112"/>
        <v>1. Under $10K</v>
      </c>
      <c r="D7175" t="s">
        <v>2225</v>
      </c>
      <c r="E7175" t="s">
        <v>112</v>
      </c>
      <c r="F7175" t="s">
        <v>668</v>
      </c>
      <c r="G7175" t="s">
        <v>59</v>
      </c>
      <c r="H7175">
        <v>2024</v>
      </c>
    </row>
    <row r="7176" spans="1:8" x14ac:dyDescent="0.2">
      <c r="A7176">
        <v>277744</v>
      </c>
      <c r="B7176">
        <v>280000</v>
      </c>
      <c r="C7176" t="str">
        <f t="shared" si="112"/>
        <v>1. Under $10K</v>
      </c>
      <c r="D7176" t="s">
        <v>774</v>
      </c>
      <c r="E7176" t="s">
        <v>99</v>
      </c>
      <c r="F7176" t="s">
        <v>668</v>
      </c>
      <c r="G7176" t="s">
        <v>59</v>
      </c>
      <c r="H7176">
        <v>2024</v>
      </c>
    </row>
    <row r="7177" spans="1:8" x14ac:dyDescent="0.2">
      <c r="A7177">
        <v>277746</v>
      </c>
      <c r="B7177">
        <v>1400</v>
      </c>
      <c r="C7177" t="str">
        <f t="shared" si="112"/>
        <v>4. $250K-1M</v>
      </c>
      <c r="D7177" t="s">
        <v>2226</v>
      </c>
      <c r="E7177" t="s">
        <v>112</v>
      </c>
      <c r="F7177" t="s">
        <v>668</v>
      </c>
      <c r="G7177" t="s">
        <v>59</v>
      </c>
      <c r="H7177">
        <v>2024</v>
      </c>
    </row>
    <row r="7178" spans="1:8" x14ac:dyDescent="0.2">
      <c r="A7178">
        <v>277749</v>
      </c>
      <c r="B7178">
        <v>150000</v>
      </c>
      <c r="C7178" t="str">
        <f t="shared" si="112"/>
        <v>1. Under $10K</v>
      </c>
      <c r="D7178" t="s">
        <v>2189</v>
      </c>
      <c r="E7178" t="s">
        <v>99</v>
      </c>
      <c r="F7178" t="s">
        <v>668</v>
      </c>
      <c r="G7178" t="s">
        <v>59</v>
      </c>
      <c r="H7178">
        <v>2024</v>
      </c>
    </row>
    <row r="7179" spans="1:8" x14ac:dyDescent="0.2">
      <c r="A7179">
        <v>277754</v>
      </c>
      <c r="B7179">
        <v>250000</v>
      </c>
      <c r="C7179" t="str">
        <f t="shared" si="112"/>
        <v>3. $50K-250K</v>
      </c>
      <c r="D7179" t="s">
        <v>2227</v>
      </c>
      <c r="E7179" t="s">
        <v>99</v>
      </c>
      <c r="F7179" t="s">
        <v>668</v>
      </c>
      <c r="G7179" t="s">
        <v>59</v>
      </c>
      <c r="H7179">
        <v>2024</v>
      </c>
    </row>
    <row r="7180" spans="1:8" x14ac:dyDescent="0.2">
      <c r="A7180">
        <v>277769</v>
      </c>
      <c r="B7180">
        <v>6000</v>
      </c>
      <c r="C7180" t="str">
        <f t="shared" si="112"/>
        <v>4. $250K-1M</v>
      </c>
      <c r="D7180" t="s">
        <v>2228</v>
      </c>
      <c r="E7180" t="s">
        <v>112</v>
      </c>
      <c r="F7180" t="s">
        <v>668</v>
      </c>
      <c r="G7180" t="s">
        <v>59</v>
      </c>
      <c r="H7180">
        <v>2024</v>
      </c>
    </row>
    <row r="7181" spans="1:8" x14ac:dyDescent="0.2">
      <c r="A7181">
        <v>277770</v>
      </c>
      <c r="B7181">
        <v>209700</v>
      </c>
      <c r="C7181" t="str">
        <f t="shared" si="112"/>
        <v>1. Under $10K</v>
      </c>
      <c r="D7181" t="s">
        <v>2229</v>
      </c>
      <c r="E7181" t="s">
        <v>99</v>
      </c>
      <c r="F7181" t="s">
        <v>668</v>
      </c>
      <c r="G7181" t="s">
        <v>59</v>
      </c>
      <c r="H7181">
        <v>2024</v>
      </c>
    </row>
    <row r="7182" spans="1:8" x14ac:dyDescent="0.2">
      <c r="A7182">
        <v>277775</v>
      </c>
      <c r="B7182">
        <v>550000</v>
      </c>
      <c r="C7182" t="str">
        <f t="shared" si="112"/>
        <v>3. $50K-250K</v>
      </c>
      <c r="D7182" t="s">
        <v>774</v>
      </c>
      <c r="E7182" t="s">
        <v>99</v>
      </c>
      <c r="F7182" t="s">
        <v>668</v>
      </c>
      <c r="G7182" t="s">
        <v>59</v>
      </c>
      <c r="H7182">
        <v>2024</v>
      </c>
    </row>
    <row r="7183" spans="1:8" x14ac:dyDescent="0.2">
      <c r="A7183">
        <v>277788</v>
      </c>
      <c r="B7183">
        <v>300000</v>
      </c>
      <c r="C7183" t="str">
        <f t="shared" si="112"/>
        <v>4. $250K-1M</v>
      </c>
      <c r="D7183" t="s">
        <v>774</v>
      </c>
      <c r="E7183" t="s">
        <v>99</v>
      </c>
      <c r="F7183" t="s">
        <v>668</v>
      </c>
      <c r="G7183" t="s">
        <v>59</v>
      </c>
      <c r="H7183">
        <v>2024</v>
      </c>
    </row>
    <row r="7184" spans="1:8" x14ac:dyDescent="0.2">
      <c r="A7184">
        <v>277792</v>
      </c>
      <c r="B7184">
        <v>180000</v>
      </c>
      <c r="C7184" t="str">
        <f t="shared" si="112"/>
        <v>4. $250K-1M</v>
      </c>
      <c r="D7184" t="s">
        <v>774</v>
      </c>
      <c r="E7184" t="s">
        <v>99</v>
      </c>
      <c r="F7184" t="s">
        <v>668</v>
      </c>
      <c r="G7184" t="s">
        <v>59</v>
      </c>
      <c r="H7184">
        <v>2024</v>
      </c>
    </row>
    <row r="7185" spans="1:8" x14ac:dyDescent="0.2">
      <c r="A7185">
        <v>277798</v>
      </c>
      <c r="B7185">
        <v>783663</v>
      </c>
      <c r="C7185" t="str">
        <f t="shared" si="112"/>
        <v>3. $50K-250K</v>
      </c>
      <c r="D7185" t="s">
        <v>774</v>
      </c>
      <c r="E7185" t="s">
        <v>99</v>
      </c>
      <c r="F7185" t="s">
        <v>668</v>
      </c>
      <c r="G7185" t="s">
        <v>59</v>
      </c>
      <c r="H7185">
        <v>2024</v>
      </c>
    </row>
    <row r="7186" spans="1:8" x14ac:dyDescent="0.2">
      <c r="A7186">
        <v>277808</v>
      </c>
      <c r="B7186">
        <v>6000</v>
      </c>
      <c r="C7186" t="str">
        <f t="shared" si="112"/>
        <v>4. $250K-1M</v>
      </c>
      <c r="D7186" t="s">
        <v>2230</v>
      </c>
      <c r="E7186" t="s">
        <v>112</v>
      </c>
      <c r="F7186" t="s">
        <v>668</v>
      </c>
      <c r="G7186" t="s">
        <v>59</v>
      </c>
      <c r="H7186">
        <v>2024</v>
      </c>
    </row>
    <row r="7187" spans="1:8" x14ac:dyDescent="0.2">
      <c r="A7187">
        <v>277815</v>
      </c>
      <c r="B7187">
        <v>6000</v>
      </c>
      <c r="C7187" t="str">
        <f t="shared" si="112"/>
        <v>1. Under $10K</v>
      </c>
      <c r="D7187" t="s">
        <v>2231</v>
      </c>
      <c r="E7187" t="s">
        <v>112</v>
      </c>
      <c r="F7187" t="s">
        <v>668</v>
      </c>
      <c r="G7187" t="s">
        <v>59</v>
      </c>
      <c r="H7187">
        <v>2024</v>
      </c>
    </row>
    <row r="7188" spans="1:8" x14ac:dyDescent="0.2">
      <c r="A7188">
        <v>277860</v>
      </c>
      <c r="B7188">
        <v>670377</v>
      </c>
      <c r="C7188" t="str">
        <f t="shared" si="112"/>
        <v>1. Under $10K</v>
      </c>
      <c r="D7188" t="s">
        <v>798</v>
      </c>
      <c r="E7188" t="s">
        <v>237</v>
      </c>
      <c r="F7188" t="s">
        <v>670</v>
      </c>
      <c r="G7188" t="s">
        <v>59</v>
      </c>
      <c r="H7188">
        <v>2024</v>
      </c>
    </row>
    <row r="7189" spans="1:8" x14ac:dyDescent="0.2">
      <c r="A7189">
        <v>277905</v>
      </c>
      <c r="B7189">
        <v>26666.2</v>
      </c>
      <c r="C7189" t="str">
        <f t="shared" si="112"/>
        <v>4. $250K-1M</v>
      </c>
      <c r="D7189" t="s">
        <v>1347</v>
      </c>
      <c r="E7189" t="s">
        <v>237</v>
      </c>
      <c r="F7189" t="s">
        <v>670</v>
      </c>
      <c r="G7189" t="s">
        <v>59</v>
      </c>
      <c r="H7189">
        <v>2024</v>
      </c>
    </row>
    <row r="7190" spans="1:8" x14ac:dyDescent="0.2">
      <c r="A7190">
        <v>277945</v>
      </c>
      <c r="B7190">
        <v>469369</v>
      </c>
      <c r="C7190" t="str">
        <f t="shared" si="112"/>
        <v>2. $10K-50K</v>
      </c>
      <c r="D7190" t="s">
        <v>905</v>
      </c>
      <c r="E7190" t="s">
        <v>59</v>
      </c>
      <c r="F7190" t="s">
        <v>670</v>
      </c>
      <c r="G7190" t="s">
        <v>59</v>
      </c>
      <c r="H7190">
        <v>2024</v>
      </c>
    </row>
    <row r="7191" spans="1:8" x14ac:dyDescent="0.2">
      <c r="A7191">
        <v>277957</v>
      </c>
      <c r="B7191">
        <v>300000</v>
      </c>
      <c r="C7191" t="str">
        <f t="shared" si="112"/>
        <v>4. $250K-1M</v>
      </c>
      <c r="D7191" t="s">
        <v>1840</v>
      </c>
      <c r="E7191" t="s">
        <v>825</v>
      </c>
      <c r="F7191" t="s">
        <v>670</v>
      </c>
      <c r="G7191" t="s">
        <v>59</v>
      </c>
      <c r="H7191">
        <v>2024</v>
      </c>
    </row>
    <row r="7192" spans="1:8" x14ac:dyDescent="0.2">
      <c r="A7192">
        <v>278052</v>
      </c>
      <c r="B7192">
        <v>4000000</v>
      </c>
      <c r="C7192" t="str">
        <f t="shared" si="112"/>
        <v>4. $250K-1M</v>
      </c>
      <c r="D7192" t="s">
        <v>774</v>
      </c>
      <c r="E7192" t="s">
        <v>368</v>
      </c>
      <c r="F7192" t="s">
        <v>668</v>
      </c>
      <c r="G7192" t="s">
        <v>59</v>
      </c>
      <c r="H7192">
        <v>2024</v>
      </c>
    </row>
    <row r="7193" spans="1:8" x14ac:dyDescent="0.2">
      <c r="A7193">
        <v>278060</v>
      </c>
      <c r="B7193">
        <v>241634</v>
      </c>
      <c r="C7193" t="str">
        <f t="shared" si="112"/>
        <v>5. $1M+</v>
      </c>
      <c r="D7193" t="s">
        <v>886</v>
      </c>
      <c r="E7193" t="s">
        <v>237</v>
      </c>
      <c r="F7193" t="s">
        <v>670</v>
      </c>
      <c r="G7193" t="s">
        <v>59</v>
      </c>
      <c r="H7193">
        <v>2024</v>
      </c>
    </row>
    <row r="7194" spans="1:8" x14ac:dyDescent="0.2">
      <c r="A7194">
        <v>278061</v>
      </c>
      <c r="B7194">
        <v>310000</v>
      </c>
      <c r="C7194" t="str">
        <f t="shared" si="112"/>
        <v>3. $50K-250K</v>
      </c>
      <c r="D7194" t="s">
        <v>936</v>
      </c>
      <c r="E7194" t="s">
        <v>237</v>
      </c>
      <c r="F7194" t="s">
        <v>670</v>
      </c>
      <c r="G7194" t="s">
        <v>59</v>
      </c>
      <c r="H7194">
        <v>2024</v>
      </c>
    </row>
    <row r="7195" spans="1:8" x14ac:dyDescent="0.2">
      <c r="A7195">
        <v>278178</v>
      </c>
      <c r="B7195">
        <v>3750</v>
      </c>
      <c r="C7195" t="str">
        <f t="shared" si="112"/>
        <v>4. $250K-1M</v>
      </c>
      <c r="D7195" t="s">
        <v>2232</v>
      </c>
      <c r="E7195" t="s">
        <v>112</v>
      </c>
      <c r="F7195" t="s">
        <v>668</v>
      </c>
      <c r="G7195" t="s">
        <v>59</v>
      </c>
      <c r="H7195">
        <v>2024</v>
      </c>
    </row>
    <row r="7196" spans="1:8" x14ac:dyDescent="0.2">
      <c r="A7196">
        <v>278180</v>
      </c>
      <c r="B7196">
        <v>6000</v>
      </c>
      <c r="C7196" t="str">
        <f t="shared" si="112"/>
        <v>1. Under $10K</v>
      </c>
      <c r="D7196" t="s">
        <v>2233</v>
      </c>
      <c r="E7196" t="s">
        <v>112</v>
      </c>
      <c r="F7196" t="s">
        <v>668</v>
      </c>
      <c r="G7196" t="s">
        <v>59</v>
      </c>
      <c r="H7196">
        <v>2024</v>
      </c>
    </row>
    <row r="7197" spans="1:8" x14ac:dyDescent="0.2">
      <c r="A7197">
        <v>278181</v>
      </c>
      <c r="B7197">
        <v>6000</v>
      </c>
      <c r="C7197" t="str">
        <f t="shared" si="112"/>
        <v>1. Under $10K</v>
      </c>
      <c r="D7197" t="s">
        <v>2234</v>
      </c>
      <c r="E7197" t="s">
        <v>112</v>
      </c>
      <c r="F7197" t="s">
        <v>668</v>
      </c>
      <c r="G7197" t="s">
        <v>59</v>
      </c>
      <c r="H7197">
        <v>2024</v>
      </c>
    </row>
    <row r="7198" spans="1:8" x14ac:dyDescent="0.2">
      <c r="A7198">
        <v>278182</v>
      </c>
      <c r="B7198">
        <v>250000</v>
      </c>
      <c r="C7198" t="str">
        <f t="shared" si="112"/>
        <v>1. Under $10K</v>
      </c>
      <c r="D7198" t="s">
        <v>2050</v>
      </c>
      <c r="E7198" t="s">
        <v>112</v>
      </c>
      <c r="F7198" t="s">
        <v>668</v>
      </c>
      <c r="G7198" t="s">
        <v>59</v>
      </c>
      <c r="H7198">
        <v>2024</v>
      </c>
    </row>
    <row r="7199" spans="1:8" x14ac:dyDescent="0.2">
      <c r="A7199">
        <v>278184</v>
      </c>
      <c r="B7199">
        <v>4750</v>
      </c>
      <c r="C7199" t="str">
        <f t="shared" si="112"/>
        <v>4. $250K-1M</v>
      </c>
      <c r="D7199" t="s">
        <v>2235</v>
      </c>
      <c r="E7199" t="s">
        <v>112</v>
      </c>
      <c r="F7199" t="s">
        <v>668</v>
      </c>
      <c r="G7199" t="s">
        <v>59</v>
      </c>
      <c r="H7199">
        <v>2024</v>
      </c>
    </row>
    <row r="7200" spans="1:8" x14ac:dyDescent="0.2">
      <c r="A7200">
        <v>278185</v>
      </c>
      <c r="B7200">
        <v>6000</v>
      </c>
      <c r="C7200" t="str">
        <f t="shared" si="112"/>
        <v>1. Under $10K</v>
      </c>
      <c r="D7200" t="s">
        <v>2236</v>
      </c>
      <c r="E7200" t="s">
        <v>112</v>
      </c>
      <c r="F7200" t="s">
        <v>668</v>
      </c>
      <c r="G7200" t="s">
        <v>59</v>
      </c>
      <c r="H7200">
        <v>2024</v>
      </c>
    </row>
    <row r="7201" spans="1:8" x14ac:dyDescent="0.2">
      <c r="A7201">
        <v>278189</v>
      </c>
      <c r="B7201">
        <v>30523101.899999999</v>
      </c>
      <c r="C7201" t="str">
        <f t="shared" si="112"/>
        <v>1. Under $10K</v>
      </c>
      <c r="D7201" t="s">
        <v>976</v>
      </c>
      <c r="E7201" t="s">
        <v>237</v>
      </c>
      <c r="F7201" t="s">
        <v>670</v>
      </c>
      <c r="G7201" t="s">
        <v>59</v>
      </c>
      <c r="H7201">
        <v>2024</v>
      </c>
    </row>
    <row r="7202" spans="1:8" x14ac:dyDescent="0.2">
      <c r="A7202">
        <v>278190</v>
      </c>
      <c r="B7202">
        <v>10000</v>
      </c>
      <c r="C7202" t="str">
        <f t="shared" si="112"/>
        <v>5. $1M+</v>
      </c>
      <c r="D7202" t="s">
        <v>972</v>
      </c>
      <c r="E7202" t="s">
        <v>237</v>
      </c>
      <c r="F7202" t="s">
        <v>670</v>
      </c>
      <c r="G7202" t="s">
        <v>59</v>
      </c>
      <c r="H7202">
        <v>2024</v>
      </c>
    </row>
    <row r="7203" spans="1:8" x14ac:dyDescent="0.2">
      <c r="A7203">
        <v>278194</v>
      </c>
      <c r="B7203">
        <v>10000000</v>
      </c>
      <c r="C7203" t="str">
        <f t="shared" si="112"/>
        <v>2. $10K-50K</v>
      </c>
      <c r="D7203" t="s">
        <v>284</v>
      </c>
      <c r="E7203" t="s">
        <v>24</v>
      </c>
      <c r="F7203" t="s">
        <v>14</v>
      </c>
      <c r="G7203" t="s">
        <v>15</v>
      </c>
      <c r="H7203">
        <v>2024</v>
      </c>
    </row>
    <row r="7204" spans="1:8" x14ac:dyDescent="0.2">
      <c r="A7204">
        <v>278254</v>
      </c>
      <c r="B7204">
        <v>80000</v>
      </c>
      <c r="C7204" t="str">
        <f t="shared" si="112"/>
        <v>5. $1M+</v>
      </c>
      <c r="D7204" t="s">
        <v>2196</v>
      </c>
      <c r="E7204" t="s">
        <v>112</v>
      </c>
      <c r="F7204" t="s">
        <v>668</v>
      </c>
      <c r="G7204" t="s">
        <v>59</v>
      </c>
      <c r="H7204">
        <v>2024</v>
      </c>
    </row>
    <row r="7205" spans="1:8" x14ac:dyDescent="0.2">
      <c r="A7205">
        <v>278264</v>
      </c>
      <c r="B7205">
        <v>150000</v>
      </c>
      <c r="C7205" t="str">
        <f t="shared" si="112"/>
        <v>3. $50K-250K</v>
      </c>
      <c r="D7205" t="s">
        <v>2237</v>
      </c>
      <c r="E7205" t="s">
        <v>112</v>
      </c>
      <c r="F7205" t="s">
        <v>668</v>
      </c>
      <c r="G7205" t="s">
        <v>59</v>
      </c>
      <c r="H7205">
        <v>2024</v>
      </c>
    </row>
    <row r="7206" spans="1:8" x14ac:dyDescent="0.2">
      <c r="A7206">
        <v>278285</v>
      </c>
      <c r="B7206">
        <v>35000</v>
      </c>
      <c r="C7206" t="str">
        <f t="shared" si="112"/>
        <v>3. $50K-250K</v>
      </c>
      <c r="D7206" t="s">
        <v>2238</v>
      </c>
      <c r="E7206" t="s">
        <v>112</v>
      </c>
      <c r="F7206" t="s">
        <v>668</v>
      </c>
      <c r="G7206" t="s">
        <v>59</v>
      </c>
      <c r="H7206">
        <v>2024</v>
      </c>
    </row>
    <row r="7207" spans="1:8" x14ac:dyDescent="0.2">
      <c r="A7207">
        <v>278290</v>
      </c>
      <c r="B7207">
        <v>28000</v>
      </c>
      <c r="C7207" t="str">
        <f t="shared" si="112"/>
        <v>2. $10K-50K</v>
      </c>
      <c r="D7207" t="s">
        <v>2239</v>
      </c>
      <c r="E7207" t="s">
        <v>112</v>
      </c>
      <c r="F7207" t="s">
        <v>668</v>
      </c>
      <c r="G7207" t="s">
        <v>59</v>
      </c>
      <c r="H7207">
        <v>2024</v>
      </c>
    </row>
    <row r="7208" spans="1:8" x14ac:dyDescent="0.2">
      <c r="A7208">
        <v>278336</v>
      </c>
      <c r="B7208">
        <v>48237166.600000001</v>
      </c>
      <c r="C7208" t="str">
        <f t="shared" si="112"/>
        <v>2. $10K-50K</v>
      </c>
      <c r="D7208" t="s">
        <v>23</v>
      </c>
      <c r="E7208" t="s">
        <v>24</v>
      </c>
      <c r="F7208" t="s">
        <v>9</v>
      </c>
      <c r="G7208" t="s">
        <v>10</v>
      </c>
      <c r="H7208">
        <v>2024</v>
      </c>
    </row>
    <row r="7209" spans="1:8" x14ac:dyDescent="0.2">
      <c r="A7209">
        <v>278338</v>
      </c>
      <c r="B7209">
        <v>48056347.600000001</v>
      </c>
      <c r="C7209" t="str">
        <f t="shared" si="112"/>
        <v>5. $1M+</v>
      </c>
      <c r="D7209" t="s">
        <v>23</v>
      </c>
      <c r="E7209" t="s">
        <v>24</v>
      </c>
      <c r="F7209" t="s">
        <v>9</v>
      </c>
      <c r="G7209" t="s">
        <v>10</v>
      </c>
      <c r="H7209">
        <v>2024</v>
      </c>
    </row>
    <row r="7210" spans="1:8" x14ac:dyDescent="0.2">
      <c r="A7210">
        <v>278339</v>
      </c>
      <c r="B7210">
        <v>47169242.600000001</v>
      </c>
      <c r="C7210" t="str">
        <f t="shared" si="112"/>
        <v>5. $1M+</v>
      </c>
      <c r="D7210" t="s">
        <v>23</v>
      </c>
      <c r="E7210" t="s">
        <v>24</v>
      </c>
      <c r="F7210" t="s">
        <v>9</v>
      </c>
      <c r="G7210" t="s">
        <v>10</v>
      </c>
      <c r="H7210">
        <v>2024</v>
      </c>
    </row>
    <row r="7211" spans="1:8" x14ac:dyDescent="0.2">
      <c r="A7211">
        <v>278438</v>
      </c>
      <c r="B7211">
        <v>6000</v>
      </c>
      <c r="C7211" t="str">
        <f t="shared" si="112"/>
        <v>5. $1M+</v>
      </c>
      <c r="D7211" t="s">
        <v>801</v>
      </c>
      <c r="E7211" t="s">
        <v>237</v>
      </c>
      <c r="F7211" t="s">
        <v>670</v>
      </c>
      <c r="G7211" t="s">
        <v>59</v>
      </c>
      <c r="H7211">
        <v>2024</v>
      </c>
    </row>
    <row r="7212" spans="1:8" x14ac:dyDescent="0.2">
      <c r="A7212">
        <v>278479</v>
      </c>
      <c r="B7212">
        <v>1000</v>
      </c>
      <c r="C7212" t="str">
        <f t="shared" si="112"/>
        <v>1. Under $10K</v>
      </c>
      <c r="D7212" t="s">
        <v>2240</v>
      </c>
      <c r="E7212" t="s">
        <v>112</v>
      </c>
      <c r="F7212" t="s">
        <v>668</v>
      </c>
      <c r="G7212" t="s">
        <v>59</v>
      </c>
      <c r="H7212">
        <v>2024</v>
      </c>
    </row>
    <row r="7213" spans="1:8" x14ac:dyDescent="0.2">
      <c r="A7213">
        <v>278587</v>
      </c>
      <c r="B7213">
        <v>2766351.3</v>
      </c>
      <c r="C7213" t="str">
        <f t="shared" si="112"/>
        <v>1. Under $10K</v>
      </c>
      <c r="D7213" t="s">
        <v>448</v>
      </c>
      <c r="E7213" t="s">
        <v>52</v>
      </c>
      <c r="F7213" t="s">
        <v>43</v>
      </c>
      <c r="G7213" t="s">
        <v>124</v>
      </c>
      <c r="H7213">
        <v>2024</v>
      </c>
    </row>
    <row r="7214" spans="1:8" x14ac:dyDescent="0.2">
      <c r="A7214">
        <v>278599</v>
      </c>
      <c r="B7214">
        <v>408515.5</v>
      </c>
      <c r="C7214" t="str">
        <f t="shared" si="112"/>
        <v>5. $1M+</v>
      </c>
      <c r="D7214" t="s">
        <v>1028</v>
      </c>
      <c r="E7214" t="s">
        <v>42</v>
      </c>
      <c r="F7214" t="s">
        <v>670</v>
      </c>
      <c r="G7214" t="s">
        <v>59</v>
      </c>
      <c r="H7214">
        <v>2024</v>
      </c>
    </row>
    <row r="7215" spans="1:8" x14ac:dyDescent="0.2">
      <c r="A7215">
        <v>278607</v>
      </c>
      <c r="B7215">
        <v>20000</v>
      </c>
      <c r="C7215" t="str">
        <f t="shared" si="112"/>
        <v>4. $250K-1M</v>
      </c>
      <c r="D7215" t="s">
        <v>919</v>
      </c>
      <c r="E7215" t="s">
        <v>237</v>
      </c>
      <c r="F7215" t="s">
        <v>670</v>
      </c>
      <c r="G7215" t="s">
        <v>59</v>
      </c>
      <c r="H7215">
        <v>2024</v>
      </c>
    </row>
    <row r="7216" spans="1:8" x14ac:dyDescent="0.2">
      <c r="A7216">
        <v>278682</v>
      </c>
      <c r="B7216">
        <v>9121.4</v>
      </c>
      <c r="C7216" t="str">
        <f t="shared" si="112"/>
        <v>2. $10K-50K</v>
      </c>
      <c r="D7216" t="s">
        <v>880</v>
      </c>
      <c r="E7216" t="s">
        <v>237</v>
      </c>
      <c r="F7216" t="s">
        <v>670</v>
      </c>
      <c r="G7216" t="s">
        <v>59</v>
      </c>
      <c r="H7216">
        <v>2024</v>
      </c>
    </row>
    <row r="7217" spans="1:8" x14ac:dyDescent="0.2">
      <c r="A7217">
        <v>278847</v>
      </c>
      <c r="B7217">
        <v>12556839.3999999</v>
      </c>
      <c r="C7217" t="str">
        <f t="shared" si="112"/>
        <v>1. Under $10K</v>
      </c>
      <c r="D7217" t="s">
        <v>448</v>
      </c>
      <c r="E7217" t="s">
        <v>8</v>
      </c>
      <c r="F7217" t="s">
        <v>43</v>
      </c>
      <c r="G7217" t="s">
        <v>44</v>
      </c>
      <c r="H7217">
        <v>2024</v>
      </c>
    </row>
    <row r="7218" spans="1:8" x14ac:dyDescent="0.2">
      <c r="A7218">
        <v>278918</v>
      </c>
      <c r="B7218">
        <v>255815.1</v>
      </c>
      <c r="C7218" t="str">
        <f t="shared" si="112"/>
        <v>5. $1M+</v>
      </c>
      <c r="D7218" t="s">
        <v>936</v>
      </c>
      <c r="E7218" t="s">
        <v>237</v>
      </c>
      <c r="F7218" t="s">
        <v>670</v>
      </c>
      <c r="G7218" t="s">
        <v>59</v>
      </c>
      <c r="H7218">
        <v>2024</v>
      </c>
    </row>
    <row r="7219" spans="1:8" x14ac:dyDescent="0.2">
      <c r="A7219">
        <v>279010</v>
      </c>
      <c r="B7219">
        <v>10000</v>
      </c>
      <c r="C7219" t="str">
        <f t="shared" si="112"/>
        <v>4. $250K-1M</v>
      </c>
      <c r="D7219" t="s">
        <v>2241</v>
      </c>
      <c r="E7219" t="s">
        <v>112</v>
      </c>
      <c r="F7219" t="s">
        <v>668</v>
      </c>
      <c r="G7219" t="s">
        <v>59</v>
      </c>
      <c r="H7219">
        <v>2024</v>
      </c>
    </row>
    <row r="7220" spans="1:8" x14ac:dyDescent="0.2">
      <c r="A7220">
        <v>279011</v>
      </c>
      <c r="B7220">
        <v>1000</v>
      </c>
      <c r="C7220" t="str">
        <f t="shared" si="112"/>
        <v>2. $10K-50K</v>
      </c>
      <c r="D7220" t="s">
        <v>2077</v>
      </c>
      <c r="E7220" t="s">
        <v>112</v>
      </c>
      <c r="F7220" t="s">
        <v>668</v>
      </c>
      <c r="G7220" t="s">
        <v>59</v>
      </c>
      <c r="H7220">
        <v>2024</v>
      </c>
    </row>
    <row r="7221" spans="1:8" x14ac:dyDescent="0.2">
      <c r="A7221">
        <v>27905</v>
      </c>
      <c r="B7221">
        <v>74655127</v>
      </c>
      <c r="C7221" t="str">
        <f t="shared" si="112"/>
        <v>1. Under $10K</v>
      </c>
      <c r="D7221" t="s">
        <v>1571</v>
      </c>
      <c r="E7221" t="s">
        <v>28</v>
      </c>
      <c r="F7221" t="s">
        <v>668</v>
      </c>
      <c r="G7221" t="s">
        <v>59</v>
      </c>
      <c r="H7221">
        <v>2025</v>
      </c>
    </row>
    <row r="7222" spans="1:8" x14ac:dyDescent="0.2">
      <c r="A7222">
        <v>279108</v>
      </c>
      <c r="B7222">
        <v>915629.2</v>
      </c>
      <c r="C7222" t="str">
        <f t="shared" si="112"/>
        <v>5. $1M+</v>
      </c>
      <c r="D7222" t="s">
        <v>671</v>
      </c>
      <c r="E7222" t="s">
        <v>237</v>
      </c>
      <c r="F7222" t="s">
        <v>670</v>
      </c>
      <c r="G7222" t="s">
        <v>59</v>
      </c>
      <c r="H7222">
        <v>2024</v>
      </c>
    </row>
    <row r="7223" spans="1:8" x14ac:dyDescent="0.2">
      <c r="A7223">
        <v>279109</v>
      </c>
      <c r="B7223">
        <v>114383.5</v>
      </c>
      <c r="C7223" t="str">
        <f t="shared" si="112"/>
        <v>4. $250K-1M</v>
      </c>
      <c r="D7223" t="s">
        <v>889</v>
      </c>
      <c r="E7223" t="s">
        <v>237</v>
      </c>
      <c r="F7223" t="s">
        <v>670</v>
      </c>
      <c r="G7223" t="s">
        <v>59</v>
      </c>
      <c r="H7223">
        <v>2024</v>
      </c>
    </row>
    <row r="7224" spans="1:8" x14ac:dyDescent="0.2">
      <c r="A7224">
        <v>279110</v>
      </c>
      <c r="B7224">
        <v>138296</v>
      </c>
      <c r="C7224" t="str">
        <f t="shared" si="112"/>
        <v>3. $50K-250K</v>
      </c>
      <c r="D7224" t="s">
        <v>852</v>
      </c>
      <c r="E7224" t="s">
        <v>237</v>
      </c>
      <c r="F7224" t="s">
        <v>670</v>
      </c>
      <c r="G7224" t="s">
        <v>59</v>
      </c>
      <c r="H7224">
        <v>2024</v>
      </c>
    </row>
    <row r="7225" spans="1:8" x14ac:dyDescent="0.2">
      <c r="A7225">
        <v>279129</v>
      </c>
      <c r="B7225">
        <v>135000</v>
      </c>
      <c r="C7225" t="str">
        <f t="shared" si="112"/>
        <v>3. $50K-250K</v>
      </c>
      <c r="D7225" t="s">
        <v>778</v>
      </c>
      <c r="E7225" t="s">
        <v>99</v>
      </c>
      <c r="F7225" t="s">
        <v>668</v>
      </c>
      <c r="G7225" t="s">
        <v>59</v>
      </c>
      <c r="H7225">
        <v>2024</v>
      </c>
    </row>
    <row r="7226" spans="1:8" x14ac:dyDescent="0.2">
      <c r="A7226">
        <v>279130</v>
      </c>
      <c r="B7226">
        <v>8000000</v>
      </c>
      <c r="C7226" t="str">
        <f t="shared" si="112"/>
        <v>3. $50K-250K</v>
      </c>
      <c r="D7226" t="s">
        <v>1764</v>
      </c>
      <c r="E7226" t="s">
        <v>99</v>
      </c>
      <c r="F7226" t="s">
        <v>668</v>
      </c>
      <c r="G7226" t="s">
        <v>59</v>
      </c>
      <c r="H7226">
        <v>2024</v>
      </c>
    </row>
    <row r="7227" spans="1:8" x14ac:dyDescent="0.2">
      <c r="A7227">
        <v>279140</v>
      </c>
      <c r="B7227">
        <v>74674</v>
      </c>
      <c r="C7227" t="str">
        <f t="shared" si="112"/>
        <v>5. $1M+</v>
      </c>
      <c r="D7227" t="s">
        <v>1443</v>
      </c>
      <c r="E7227" t="s">
        <v>99</v>
      </c>
      <c r="F7227" t="s">
        <v>668</v>
      </c>
      <c r="G7227" t="s">
        <v>59</v>
      </c>
      <c r="H7227">
        <v>2024</v>
      </c>
    </row>
    <row r="7228" spans="1:8" x14ac:dyDescent="0.2">
      <c r="A7228">
        <v>279148</v>
      </c>
      <c r="B7228">
        <v>130332</v>
      </c>
      <c r="C7228" t="str">
        <f t="shared" si="112"/>
        <v>3. $50K-250K</v>
      </c>
      <c r="D7228" t="s">
        <v>1424</v>
      </c>
      <c r="E7228" t="s">
        <v>99</v>
      </c>
      <c r="F7228" t="s">
        <v>668</v>
      </c>
      <c r="G7228" t="s">
        <v>59</v>
      </c>
      <c r="H7228">
        <v>2024</v>
      </c>
    </row>
    <row r="7229" spans="1:8" x14ac:dyDescent="0.2">
      <c r="A7229">
        <v>279151</v>
      </c>
      <c r="B7229">
        <v>342810</v>
      </c>
      <c r="C7229" t="str">
        <f t="shared" si="112"/>
        <v>3. $50K-250K</v>
      </c>
      <c r="D7229" t="s">
        <v>942</v>
      </c>
      <c r="E7229" t="s">
        <v>99</v>
      </c>
      <c r="F7229" t="s">
        <v>668</v>
      </c>
      <c r="G7229" t="s">
        <v>59</v>
      </c>
      <c r="H7229">
        <v>2024</v>
      </c>
    </row>
    <row r="7230" spans="1:8" x14ac:dyDescent="0.2">
      <c r="A7230">
        <v>279152</v>
      </c>
      <c r="B7230">
        <v>30000</v>
      </c>
      <c r="C7230" t="str">
        <f t="shared" si="112"/>
        <v>4. $250K-1M</v>
      </c>
      <c r="D7230" t="s">
        <v>1435</v>
      </c>
      <c r="E7230" t="s">
        <v>99</v>
      </c>
      <c r="F7230" t="s">
        <v>668</v>
      </c>
      <c r="G7230" t="s">
        <v>59</v>
      </c>
      <c r="H7230">
        <v>2024</v>
      </c>
    </row>
    <row r="7231" spans="1:8" x14ac:dyDescent="0.2">
      <c r="A7231">
        <v>279224</v>
      </c>
      <c r="B7231">
        <v>178977</v>
      </c>
      <c r="C7231" t="str">
        <f t="shared" si="112"/>
        <v>2. $10K-50K</v>
      </c>
      <c r="D7231" t="s">
        <v>799</v>
      </c>
      <c r="E7231" t="s">
        <v>237</v>
      </c>
      <c r="F7231" t="s">
        <v>670</v>
      </c>
      <c r="G7231" t="s">
        <v>59</v>
      </c>
      <c r="H7231">
        <v>2024</v>
      </c>
    </row>
    <row r="7232" spans="1:8" x14ac:dyDescent="0.2">
      <c r="A7232">
        <v>279225</v>
      </c>
      <c r="B7232">
        <v>508739</v>
      </c>
      <c r="C7232" t="str">
        <f t="shared" si="112"/>
        <v>3. $50K-250K</v>
      </c>
      <c r="D7232" t="s">
        <v>917</v>
      </c>
      <c r="E7232" t="s">
        <v>237</v>
      </c>
      <c r="F7232" t="s">
        <v>670</v>
      </c>
      <c r="G7232" t="s">
        <v>59</v>
      </c>
      <c r="H7232">
        <v>2024</v>
      </c>
    </row>
    <row r="7233" spans="1:8" x14ac:dyDescent="0.2">
      <c r="A7233">
        <v>279226</v>
      </c>
      <c r="B7233">
        <v>536930</v>
      </c>
      <c r="C7233" t="str">
        <f t="shared" si="112"/>
        <v>4. $250K-1M</v>
      </c>
      <c r="D7233" t="s">
        <v>799</v>
      </c>
      <c r="E7233" t="s">
        <v>237</v>
      </c>
      <c r="F7233" t="s">
        <v>670</v>
      </c>
      <c r="G7233" t="s">
        <v>59</v>
      </c>
      <c r="H7233">
        <v>2024</v>
      </c>
    </row>
    <row r="7234" spans="1:8" x14ac:dyDescent="0.2">
      <c r="A7234">
        <v>279227</v>
      </c>
      <c r="B7234">
        <v>210954</v>
      </c>
      <c r="C7234" t="str">
        <f t="shared" si="112"/>
        <v>4. $250K-1M</v>
      </c>
      <c r="D7234" t="s">
        <v>917</v>
      </c>
      <c r="E7234" t="s">
        <v>237</v>
      </c>
      <c r="F7234" t="s">
        <v>670</v>
      </c>
      <c r="G7234" t="s">
        <v>59</v>
      </c>
      <c r="H7234">
        <v>2024</v>
      </c>
    </row>
    <row r="7235" spans="1:8" x14ac:dyDescent="0.2">
      <c r="A7235">
        <v>279228</v>
      </c>
      <c r="B7235">
        <v>70318</v>
      </c>
      <c r="C7235" t="str">
        <f t="shared" ref="C7235:C7298" si="113">IF(B7234&lt;10000,"1. Under $10K",IF(B7234&lt;50000,"2. $10K-50K",IF(B7234&lt;250000,"3. $50K-250K",IF(B7234&lt;1000000,"4. $250K-1M","5. $1M+"))))</f>
        <v>3. $50K-250K</v>
      </c>
      <c r="D7235" t="s">
        <v>917</v>
      </c>
      <c r="E7235" t="s">
        <v>237</v>
      </c>
      <c r="F7235" t="s">
        <v>670</v>
      </c>
      <c r="G7235" t="s">
        <v>59</v>
      </c>
      <c r="H7235">
        <v>2024</v>
      </c>
    </row>
    <row r="7236" spans="1:8" x14ac:dyDescent="0.2">
      <c r="A7236">
        <v>279229</v>
      </c>
      <c r="B7236">
        <v>169580</v>
      </c>
      <c r="C7236" t="str">
        <f t="shared" si="113"/>
        <v>3. $50K-250K</v>
      </c>
      <c r="D7236" t="s">
        <v>917</v>
      </c>
      <c r="E7236" t="s">
        <v>237</v>
      </c>
      <c r="F7236" t="s">
        <v>670</v>
      </c>
      <c r="G7236" t="s">
        <v>59</v>
      </c>
      <c r="H7236">
        <v>2024</v>
      </c>
    </row>
    <row r="7237" spans="1:8" x14ac:dyDescent="0.2">
      <c r="A7237">
        <v>279261</v>
      </c>
      <c r="B7237">
        <v>6000</v>
      </c>
      <c r="C7237" t="str">
        <f t="shared" si="113"/>
        <v>3. $50K-250K</v>
      </c>
      <c r="D7237" t="s">
        <v>2242</v>
      </c>
      <c r="E7237" t="s">
        <v>112</v>
      </c>
      <c r="F7237" t="s">
        <v>668</v>
      </c>
      <c r="G7237" t="s">
        <v>59</v>
      </c>
      <c r="H7237">
        <v>2024</v>
      </c>
    </row>
    <row r="7238" spans="1:8" x14ac:dyDescent="0.2">
      <c r="A7238">
        <v>279262</v>
      </c>
      <c r="B7238">
        <v>6000</v>
      </c>
      <c r="C7238" t="str">
        <f t="shared" si="113"/>
        <v>1. Under $10K</v>
      </c>
      <c r="D7238" t="s">
        <v>2243</v>
      </c>
      <c r="E7238" t="s">
        <v>112</v>
      </c>
      <c r="F7238" t="s">
        <v>668</v>
      </c>
      <c r="G7238" t="s">
        <v>59</v>
      </c>
      <c r="H7238">
        <v>2024</v>
      </c>
    </row>
    <row r="7239" spans="1:8" x14ac:dyDescent="0.2">
      <c r="A7239">
        <v>279263</v>
      </c>
      <c r="B7239">
        <v>6000</v>
      </c>
      <c r="C7239" t="str">
        <f t="shared" si="113"/>
        <v>1. Under $10K</v>
      </c>
      <c r="D7239" t="s">
        <v>2244</v>
      </c>
      <c r="E7239" t="s">
        <v>112</v>
      </c>
      <c r="F7239" t="s">
        <v>668</v>
      </c>
      <c r="G7239" t="s">
        <v>59</v>
      </c>
      <c r="H7239">
        <v>2024</v>
      </c>
    </row>
    <row r="7240" spans="1:8" x14ac:dyDescent="0.2">
      <c r="A7240">
        <v>279265</v>
      </c>
      <c r="B7240">
        <v>1450</v>
      </c>
      <c r="C7240" t="str">
        <f t="shared" si="113"/>
        <v>1. Under $10K</v>
      </c>
      <c r="D7240" t="s">
        <v>2245</v>
      </c>
      <c r="E7240" t="s">
        <v>112</v>
      </c>
      <c r="F7240" t="s">
        <v>668</v>
      </c>
      <c r="G7240" t="s">
        <v>59</v>
      </c>
      <c r="H7240">
        <v>2024</v>
      </c>
    </row>
    <row r="7241" spans="1:8" x14ac:dyDescent="0.2">
      <c r="A7241">
        <v>279268</v>
      </c>
      <c r="B7241">
        <v>5000</v>
      </c>
      <c r="C7241" t="str">
        <f t="shared" si="113"/>
        <v>1. Under $10K</v>
      </c>
      <c r="D7241" t="s">
        <v>2246</v>
      </c>
      <c r="E7241" t="s">
        <v>112</v>
      </c>
      <c r="F7241" t="s">
        <v>668</v>
      </c>
      <c r="G7241" t="s">
        <v>59</v>
      </c>
      <c r="H7241">
        <v>2024</v>
      </c>
    </row>
    <row r="7242" spans="1:8" x14ac:dyDescent="0.2">
      <c r="A7242">
        <v>279269</v>
      </c>
      <c r="B7242">
        <v>6000</v>
      </c>
      <c r="C7242" t="str">
        <f t="shared" si="113"/>
        <v>1. Under $10K</v>
      </c>
      <c r="D7242" t="s">
        <v>2247</v>
      </c>
      <c r="E7242" t="s">
        <v>112</v>
      </c>
      <c r="F7242" t="s">
        <v>668</v>
      </c>
      <c r="G7242" t="s">
        <v>59</v>
      </c>
      <c r="H7242">
        <v>2024</v>
      </c>
    </row>
    <row r="7243" spans="1:8" x14ac:dyDescent="0.2">
      <c r="A7243">
        <v>279306</v>
      </c>
      <c r="B7243">
        <v>5000</v>
      </c>
      <c r="C7243" t="str">
        <f t="shared" si="113"/>
        <v>1. Under $10K</v>
      </c>
      <c r="D7243" t="s">
        <v>2248</v>
      </c>
      <c r="E7243" t="s">
        <v>112</v>
      </c>
      <c r="F7243" t="s">
        <v>668</v>
      </c>
      <c r="G7243" t="s">
        <v>59</v>
      </c>
      <c r="H7243">
        <v>2024</v>
      </c>
    </row>
    <row r="7244" spans="1:8" x14ac:dyDescent="0.2">
      <c r="A7244">
        <v>279308</v>
      </c>
      <c r="B7244">
        <v>6000</v>
      </c>
      <c r="C7244" t="str">
        <f t="shared" si="113"/>
        <v>1. Under $10K</v>
      </c>
      <c r="D7244" t="s">
        <v>2249</v>
      </c>
      <c r="E7244" t="s">
        <v>112</v>
      </c>
      <c r="F7244" t="s">
        <v>668</v>
      </c>
      <c r="G7244" t="s">
        <v>59</v>
      </c>
      <c r="H7244">
        <v>2024</v>
      </c>
    </row>
    <row r="7245" spans="1:8" x14ac:dyDescent="0.2">
      <c r="A7245">
        <v>279320</v>
      </c>
      <c r="B7245">
        <v>6000</v>
      </c>
      <c r="C7245" t="str">
        <f t="shared" si="113"/>
        <v>1. Under $10K</v>
      </c>
      <c r="D7245" t="s">
        <v>2250</v>
      </c>
      <c r="E7245" t="s">
        <v>112</v>
      </c>
      <c r="F7245" t="s">
        <v>668</v>
      </c>
      <c r="G7245" t="s">
        <v>59</v>
      </c>
      <c r="H7245">
        <v>2024</v>
      </c>
    </row>
    <row r="7246" spans="1:8" x14ac:dyDescent="0.2">
      <c r="A7246">
        <v>279325</v>
      </c>
      <c r="B7246">
        <v>6000</v>
      </c>
      <c r="C7246" t="str">
        <f t="shared" si="113"/>
        <v>1. Under $10K</v>
      </c>
      <c r="D7246" t="s">
        <v>2251</v>
      </c>
      <c r="E7246" t="s">
        <v>112</v>
      </c>
      <c r="F7246" t="s">
        <v>668</v>
      </c>
      <c r="G7246" t="s">
        <v>59</v>
      </c>
      <c r="H7246">
        <v>2024</v>
      </c>
    </row>
    <row r="7247" spans="1:8" x14ac:dyDescent="0.2">
      <c r="A7247">
        <v>279332</v>
      </c>
      <c r="B7247">
        <v>4750</v>
      </c>
      <c r="C7247" t="str">
        <f t="shared" si="113"/>
        <v>1. Under $10K</v>
      </c>
      <c r="D7247" t="s">
        <v>2252</v>
      </c>
      <c r="E7247" t="s">
        <v>112</v>
      </c>
      <c r="F7247" t="s">
        <v>668</v>
      </c>
      <c r="G7247" t="s">
        <v>59</v>
      </c>
      <c r="H7247">
        <v>2024</v>
      </c>
    </row>
    <row r="7248" spans="1:8" x14ac:dyDescent="0.2">
      <c r="A7248">
        <v>279333</v>
      </c>
      <c r="B7248">
        <v>6000</v>
      </c>
      <c r="C7248" t="str">
        <f t="shared" si="113"/>
        <v>1. Under $10K</v>
      </c>
      <c r="D7248" t="s">
        <v>2253</v>
      </c>
      <c r="E7248" t="s">
        <v>112</v>
      </c>
      <c r="F7248" t="s">
        <v>668</v>
      </c>
      <c r="G7248" t="s">
        <v>59</v>
      </c>
      <c r="H7248">
        <v>2024</v>
      </c>
    </row>
    <row r="7249" spans="1:8" x14ac:dyDescent="0.2">
      <c r="A7249">
        <v>279335</v>
      </c>
      <c r="B7249">
        <v>6000</v>
      </c>
      <c r="C7249" t="str">
        <f t="shared" si="113"/>
        <v>1. Under $10K</v>
      </c>
      <c r="D7249" t="s">
        <v>2254</v>
      </c>
      <c r="E7249" t="s">
        <v>112</v>
      </c>
      <c r="F7249" t="s">
        <v>668</v>
      </c>
      <c r="G7249" t="s">
        <v>59</v>
      </c>
      <c r="H7249">
        <v>2024</v>
      </c>
    </row>
    <row r="7250" spans="1:8" x14ac:dyDescent="0.2">
      <c r="A7250">
        <v>279340</v>
      </c>
      <c r="B7250">
        <v>6000</v>
      </c>
      <c r="C7250" t="str">
        <f t="shared" si="113"/>
        <v>1. Under $10K</v>
      </c>
      <c r="D7250" t="s">
        <v>2255</v>
      </c>
      <c r="E7250" t="s">
        <v>112</v>
      </c>
      <c r="F7250" t="s">
        <v>668</v>
      </c>
      <c r="G7250" t="s">
        <v>59</v>
      </c>
      <c r="H7250">
        <v>2024</v>
      </c>
    </row>
    <row r="7251" spans="1:8" x14ac:dyDescent="0.2">
      <c r="A7251">
        <v>279344</v>
      </c>
      <c r="B7251">
        <v>6000</v>
      </c>
      <c r="C7251" t="str">
        <f t="shared" si="113"/>
        <v>1. Under $10K</v>
      </c>
      <c r="D7251" t="s">
        <v>2256</v>
      </c>
      <c r="E7251" t="s">
        <v>112</v>
      </c>
      <c r="F7251" t="s">
        <v>668</v>
      </c>
      <c r="G7251" t="s">
        <v>59</v>
      </c>
      <c r="H7251">
        <v>2024</v>
      </c>
    </row>
    <row r="7252" spans="1:8" x14ac:dyDescent="0.2">
      <c r="A7252">
        <v>279395</v>
      </c>
      <c r="B7252">
        <v>5000</v>
      </c>
      <c r="C7252" t="str">
        <f t="shared" si="113"/>
        <v>1. Under $10K</v>
      </c>
      <c r="D7252" t="s">
        <v>837</v>
      </c>
      <c r="E7252" t="s">
        <v>237</v>
      </c>
      <c r="F7252" t="s">
        <v>670</v>
      </c>
      <c r="G7252" t="s">
        <v>44</v>
      </c>
      <c r="H7252">
        <v>2024</v>
      </c>
    </row>
    <row r="7253" spans="1:8" x14ac:dyDescent="0.2">
      <c r="A7253">
        <v>279535</v>
      </c>
      <c r="B7253">
        <v>6000</v>
      </c>
      <c r="C7253" t="str">
        <f t="shared" si="113"/>
        <v>1. Under $10K</v>
      </c>
      <c r="D7253" t="s">
        <v>2257</v>
      </c>
      <c r="E7253" t="s">
        <v>112</v>
      </c>
      <c r="F7253" t="s">
        <v>668</v>
      </c>
      <c r="G7253" t="s">
        <v>59</v>
      </c>
      <c r="H7253">
        <v>2024</v>
      </c>
    </row>
    <row r="7254" spans="1:8" x14ac:dyDescent="0.2">
      <c r="A7254">
        <v>279538</v>
      </c>
      <c r="B7254">
        <v>6000</v>
      </c>
      <c r="C7254" t="str">
        <f t="shared" si="113"/>
        <v>1. Under $10K</v>
      </c>
      <c r="D7254" t="s">
        <v>2258</v>
      </c>
      <c r="E7254" t="s">
        <v>112</v>
      </c>
      <c r="F7254" t="s">
        <v>668</v>
      </c>
      <c r="G7254" t="s">
        <v>59</v>
      </c>
      <c r="H7254">
        <v>2024</v>
      </c>
    </row>
    <row r="7255" spans="1:8" x14ac:dyDescent="0.2">
      <c r="A7255">
        <v>279539</v>
      </c>
      <c r="B7255">
        <v>6000</v>
      </c>
      <c r="C7255" t="str">
        <f t="shared" si="113"/>
        <v>1. Under $10K</v>
      </c>
      <c r="D7255" t="s">
        <v>2259</v>
      </c>
      <c r="E7255" t="s">
        <v>112</v>
      </c>
      <c r="F7255" t="s">
        <v>668</v>
      </c>
      <c r="G7255" t="s">
        <v>59</v>
      </c>
      <c r="H7255">
        <v>2024</v>
      </c>
    </row>
    <row r="7256" spans="1:8" x14ac:dyDescent="0.2">
      <c r="A7256">
        <v>279540</v>
      </c>
      <c r="B7256">
        <v>589543</v>
      </c>
      <c r="C7256" t="str">
        <f t="shared" si="113"/>
        <v>1. Under $10K</v>
      </c>
      <c r="D7256" t="s">
        <v>2179</v>
      </c>
      <c r="E7256" t="s">
        <v>237</v>
      </c>
      <c r="F7256" t="s">
        <v>670</v>
      </c>
      <c r="G7256" t="s">
        <v>59</v>
      </c>
      <c r="H7256">
        <v>2024</v>
      </c>
    </row>
    <row r="7257" spans="1:8" x14ac:dyDescent="0.2">
      <c r="A7257">
        <v>279541</v>
      </c>
      <c r="B7257">
        <v>1484894</v>
      </c>
      <c r="C7257" t="str">
        <f t="shared" si="113"/>
        <v>4. $250K-1M</v>
      </c>
      <c r="D7257" t="s">
        <v>785</v>
      </c>
      <c r="E7257" t="s">
        <v>237</v>
      </c>
      <c r="F7257" t="s">
        <v>670</v>
      </c>
      <c r="G7257" t="s">
        <v>59</v>
      </c>
      <c r="H7257">
        <v>2024</v>
      </c>
    </row>
    <row r="7258" spans="1:8" x14ac:dyDescent="0.2">
      <c r="A7258">
        <v>279542</v>
      </c>
      <c r="B7258">
        <v>3000</v>
      </c>
      <c r="C7258" t="str">
        <f t="shared" si="113"/>
        <v>5. $1M+</v>
      </c>
      <c r="D7258" t="s">
        <v>2260</v>
      </c>
      <c r="E7258" t="s">
        <v>112</v>
      </c>
      <c r="F7258" t="s">
        <v>668</v>
      </c>
      <c r="G7258" t="s">
        <v>59</v>
      </c>
      <c r="H7258">
        <v>2024</v>
      </c>
    </row>
    <row r="7259" spans="1:8" x14ac:dyDescent="0.2">
      <c r="A7259">
        <v>279548</v>
      </c>
      <c r="B7259">
        <v>65750</v>
      </c>
      <c r="C7259" t="str">
        <f t="shared" si="113"/>
        <v>1. Under $10K</v>
      </c>
      <c r="D7259" t="s">
        <v>449</v>
      </c>
      <c r="E7259" t="s">
        <v>59</v>
      </c>
      <c r="F7259" t="s">
        <v>14</v>
      </c>
      <c r="G7259" t="s">
        <v>15</v>
      </c>
      <c r="H7259">
        <v>2024</v>
      </c>
    </row>
    <row r="7260" spans="1:8" x14ac:dyDescent="0.2">
      <c r="A7260">
        <v>279661</v>
      </c>
      <c r="B7260">
        <v>1255.29999999999</v>
      </c>
      <c r="C7260" t="str">
        <f t="shared" si="113"/>
        <v>3. $50K-250K</v>
      </c>
      <c r="D7260" t="s">
        <v>975</v>
      </c>
      <c r="E7260" t="s">
        <v>237</v>
      </c>
      <c r="F7260" t="s">
        <v>670</v>
      </c>
      <c r="G7260" t="s">
        <v>59</v>
      </c>
      <c r="H7260">
        <v>2024</v>
      </c>
    </row>
    <row r="7261" spans="1:8" x14ac:dyDescent="0.2">
      <c r="A7261">
        <v>279772</v>
      </c>
      <c r="B7261">
        <v>36000</v>
      </c>
      <c r="C7261" t="str">
        <f t="shared" si="113"/>
        <v>1. Under $10K</v>
      </c>
      <c r="D7261" t="s">
        <v>983</v>
      </c>
      <c r="E7261" t="s">
        <v>237</v>
      </c>
      <c r="F7261" t="s">
        <v>670</v>
      </c>
      <c r="G7261" t="s">
        <v>59</v>
      </c>
      <c r="H7261">
        <v>2024</v>
      </c>
    </row>
    <row r="7262" spans="1:8" x14ac:dyDescent="0.2">
      <c r="A7262">
        <v>279856</v>
      </c>
      <c r="B7262">
        <v>99183.2</v>
      </c>
      <c r="C7262" t="str">
        <f t="shared" si="113"/>
        <v>2. $10K-50K</v>
      </c>
      <c r="D7262" t="s">
        <v>957</v>
      </c>
      <c r="E7262" t="s">
        <v>42</v>
      </c>
      <c r="F7262" t="s">
        <v>670</v>
      </c>
      <c r="G7262" t="s">
        <v>59</v>
      </c>
      <c r="H7262">
        <v>2024</v>
      </c>
    </row>
    <row r="7263" spans="1:8" x14ac:dyDescent="0.2">
      <c r="A7263">
        <v>279932</v>
      </c>
      <c r="B7263">
        <v>333000</v>
      </c>
      <c r="C7263" t="str">
        <f t="shared" si="113"/>
        <v>3. $50K-250K</v>
      </c>
      <c r="D7263" t="s">
        <v>838</v>
      </c>
      <c r="E7263" t="s">
        <v>237</v>
      </c>
      <c r="F7263" t="s">
        <v>670</v>
      </c>
      <c r="G7263" t="s">
        <v>44</v>
      </c>
      <c r="H7263">
        <v>2024</v>
      </c>
    </row>
    <row r="7264" spans="1:8" x14ac:dyDescent="0.2">
      <c r="A7264">
        <v>279953</v>
      </c>
      <c r="B7264">
        <v>524224.9</v>
      </c>
      <c r="C7264" t="str">
        <f t="shared" si="113"/>
        <v>4. $250K-1M</v>
      </c>
      <c r="D7264" t="s">
        <v>2179</v>
      </c>
      <c r="E7264" t="s">
        <v>237</v>
      </c>
      <c r="F7264" t="s">
        <v>670</v>
      </c>
      <c r="G7264" t="s">
        <v>59</v>
      </c>
      <c r="H7264">
        <v>2024</v>
      </c>
    </row>
    <row r="7265" spans="1:8" x14ac:dyDescent="0.2">
      <c r="A7265">
        <v>279960</v>
      </c>
      <c r="B7265">
        <v>4370</v>
      </c>
      <c r="C7265" t="str">
        <f t="shared" si="113"/>
        <v>4. $250K-1M</v>
      </c>
      <c r="D7265" t="s">
        <v>2123</v>
      </c>
      <c r="E7265" t="s">
        <v>99</v>
      </c>
      <c r="F7265" t="s">
        <v>668</v>
      </c>
      <c r="G7265" t="s">
        <v>59</v>
      </c>
      <c r="H7265">
        <v>2024</v>
      </c>
    </row>
    <row r="7266" spans="1:8" x14ac:dyDescent="0.2">
      <c r="A7266">
        <v>279963</v>
      </c>
      <c r="B7266">
        <v>37500000</v>
      </c>
      <c r="C7266" t="str">
        <f t="shared" si="113"/>
        <v>1. Under $10K</v>
      </c>
      <c r="D7266" t="s">
        <v>774</v>
      </c>
      <c r="E7266" t="s">
        <v>99</v>
      </c>
      <c r="F7266" t="s">
        <v>668</v>
      </c>
      <c r="G7266" t="s">
        <v>59</v>
      </c>
      <c r="H7266">
        <v>2024</v>
      </c>
    </row>
    <row r="7267" spans="1:8" x14ac:dyDescent="0.2">
      <c r="A7267">
        <v>279967</v>
      </c>
      <c r="B7267">
        <v>82544</v>
      </c>
      <c r="C7267" t="str">
        <f t="shared" si="113"/>
        <v>5. $1M+</v>
      </c>
      <c r="D7267" t="s">
        <v>2261</v>
      </c>
      <c r="E7267" t="s">
        <v>99</v>
      </c>
      <c r="F7267" t="s">
        <v>668</v>
      </c>
      <c r="G7267" t="s">
        <v>59</v>
      </c>
      <c r="H7267">
        <v>2024</v>
      </c>
    </row>
    <row r="7268" spans="1:8" x14ac:dyDescent="0.2">
      <c r="A7268">
        <v>279968</v>
      </c>
      <c r="B7268">
        <v>150000</v>
      </c>
      <c r="C7268" t="str">
        <f t="shared" si="113"/>
        <v>3. $50K-250K</v>
      </c>
      <c r="D7268" t="s">
        <v>2262</v>
      </c>
      <c r="E7268" t="s">
        <v>99</v>
      </c>
      <c r="F7268" t="s">
        <v>668</v>
      </c>
      <c r="G7268" t="s">
        <v>59</v>
      </c>
      <c r="H7268">
        <v>2024</v>
      </c>
    </row>
    <row r="7269" spans="1:8" x14ac:dyDescent="0.2">
      <c r="A7269">
        <v>279969</v>
      </c>
      <c r="B7269">
        <v>30343</v>
      </c>
      <c r="C7269" t="str">
        <f t="shared" si="113"/>
        <v>3. $50K-250K</v>
      </c>
      <c r="D7269" t="s">
        <v>2063</v>
      </c>
      <c r="E7269" t="s">
        <v>99</v>
      </c>
      <c r="F7269" t="s">
        <v>668</v>
      </c>
      <c r="G7269" t="s">
        <v>59</v>
      </c>
      <c r="H7269">
        <v>2024</v>
      </c>
    </row>
    <row r="7270" spans="1:8" x14ac:dyDescent="0.2">
      <c r="A7270">
        <v>28009</v>
      </c>
      <c r="B7270">
        <v>75466360</v>
      </c>
      <c r="C7270" t="str">
        <f t="shared" si="113"/>
        <v>2. $10K-50K</v>
      </c>
      <c r="D7270" t="s">
        <v>450</v>
      </c>
      <c r="E7270" t="s">
        <v>8</v>
      </c>
      <c r="F7270" t="s">
        <v>43</v>
      </c>
      <c r="G7270" t="s">
        <v>44</v>
      </c>
      <c r="H7270">
        <v>2024</v>
      </c>
    </row>
    <row r="7271" spans="1:8" x14ac:dyDescent="0.2">
      <c r="A7271">
        <v>280165</v>
      </c>
      <c r="B7271">
        <v>125000</v>
      </c>
      <c r="C7271" t="str">
        <f t="shared" si="113"/>
        <v>5. $1M+</v>
      </c>
      <c r="D7271" t="s">
        <v>1552</v>
      </c>
      <c r="E7271" t="s">
        <v>112</v>
      </c>
      <c r="F7271" t="s">
        <v>668</v>
      </c>
      <c r="G7271" t="s">
        <v>59</v>
      </c>
      <c r="H7271">
        <v>2024</v>
      </c>
    </row>
    <row r="7272" spans="1:8" x14ac:dyDescent="0.2">
      <c r="A7272">
        <v>280172</v>
      </c>
      <c r="B7272">
        <v>199610.2</v>
      </c>
      <c r="C7272" t="str">
        <f t="shared" si="113"/>
        <v>3. $50K-250K</v>
      </c>
      <c r="D7272" t="s">
        <v>1956</v>
      </c>
      <c r="E7272" t="s">
        <v>819</v>
      </c>
      <c r="F7272" t="s">
        <v>670</v>
      </c>
      <c r="G7272" t="s">
        <v>59</v>
      </c>
      <c r="H7272">
        <v>2024</v>
      </c>
    </row>
    <row r="7273" spans="1:8" x14ac:dyDescent="0.2">
      <c r="A7273">
        <v>280174</v>
      </c>
      <c r="B7273">
        <v>64495</v>
      </c>
      <c r="C7273" t="str">
        <f t="shared" si="113"/>
        <v>3. $50K-250K</v>
      </c>
      <c r="D7273" t="s">
        <v>2263</v>
      </c>
      <c r="E7273" t="s">
        <v>112</v>
      </c>
      <c r="F7273" t="s">
        <v>668</v>
      </c>
      <c r="G7273" t="s">
        <v>59</v>
      </c>
      <c r="H7273">
        <v>2024</v>
      </c>
    </row>
    <row r="7274" spans="1:8" x14ac:dyDescent="0.2">
      <c r="A7274">
        <v>280175</v>
      </c>
      <c r="B7274">
        <v>5000000</v>
      </c>
      <c r="C7274" t="str">
        <f t="shared" si="113"/>
        <v>3. $50K-250K</v>
      </c>
      <c r="D7274" t="s">
        <v>2264</v>
      </c>
      <c r="E7274" t="s">
        <v>99</v>
      </c>
      <c r="F7274" t="s">
        <v>668</v>
      </c>
      <c r="G7274" t="s">
        <v>59</v>
      </c>
      <c r="H7274">
        <v>2024</v>
      </c>
    </row>
    <row r="7275" spans="1:8" x14ac:dyDescent="0.2">
      <c r="A7275">
        <v>280176</v>
      </c>
      <c r="B7275">
        <v>247008.8</v>
      </c>
      <c r="C7275" t="str">
        <f t="shared" si="113"/>
        <v>5. $1M+</v>
      </c>
      <c r="D7275" t="s">
        <v>2265</v>
      </c>
      <c r="E7275" t="s">
        <v>99</v>
      </c>
      <c r="F7275" t="s">
        <v>668</v>
      </c>
      <c r="G7275" t="s">
        <v>59</v>
      </c>
      <c r="H7275">
        <v>2024</v>
      </c>
    </row>
    <row r="7276" spans="1:8" x14ac:dyDescent="0.2">
      <c r="A7276">
        <v>280178</v>
      </c>
      <c r="B7276">
        <v>1293000</v>
      </c>
      <c r="C7276" t="str">
        <f t="shared" si="113"/>
        <v>3. $50K-250K</v>
      </c>
      <c r="D7276" t="s">
        <v>977</v>
      </c>
      <c r="E7276" t="s">
        <v>99</v>
      </c>
      <c r="F7276" t="s">
        <v>668</v>
      </c>
      <c r="G7276" t="s">
        <v>59</v>
      </c>
      <c r="H7276">
        <v>2024</v>
      </c>
    </row>
    <row r="7277" spans="1:8" x14ac:dyDescent="0.2">
      <c r="A7277">
        <v>280180</v>
      </c>
      <c r="B7277">
        <v>405611.6</v>
      </c>
      <c r="C7277" t="str">
        <f t="shared" si="113"/>
        <v>5. $1M+</v>
      </c>
      <c r="D7277" t="s">
        <v>992</v>
      </c>
      <c r="E7277" t="s">
        <v>99</v>
      </c>
      <c r="F7277" t="s">
        <v>670</v>
      </c>
      <c r="G7277" t="s">
        <v>59</v>
      </c>
      <c r="H7277">
        <v>2024</v>
      </c>
    </row>
    <row r="7278" spans="1:8" x14ac:dyDescent="0.2">
      <c r="A7278">
        <v>280182</v>
      </c>
      <c r="B7278">
        <v>4347000</v>
      </c>
      <c r="C7278" t="str">
        <f t="shared" si="113"/>
        <v>4. $250K-1M</v>
      </c>
      <c r="D7278" t="s">
        <v>451</v>
      </c>
      <c r="E7278" t="s">
        <v>28</v>
      </c>
      <c r="F7278" t="s">
        <v>31</v>
      </c>
      <c r="G7278" t="s">
        <v>10</v>
      </c>
      <c r="H7278">
        <v>2024</v>
      </c>
    </row>
    <row r="7279" spans="1:8" x14ac:dyDescent="0.2">
      <c r="A7279">
        <v>280208</v>
      </c>
      <c r="B7279">
        <v>102818</v>
      </c>
      <c r="C7279" t="str">
        <f t="shared" si="113"/>
        <v>5. $1M+</v>
      </c>
      <c r="D7279" t="s">
        <v>1438</v>
      </c>
      <c r="E7279" t="s">
        <v>99</v>
      </c>
      <c r="F7279" t="s">
        <v>668</v>
      </c>
      <c r="G7279" t="s">
        <v>59</v>
      </c>
      <c r="H7279">
        <v>2024</v>
      </c>
    </row>
    <row r="7280" spans="1:8" x14ac:dyDescent="0.2">
      <c r="A7280">
        <v>280209</v>
      </c>
      <c r="B7280">
        <v>150000</v>
      </c>
      <c r="C7280" t="str">
        <f t="shared" si="113"/>
        <v>3. $50K-250K</v>
      </c>
      <c r="D7280" t="s">
        <v>2266</v>
      </c>
      <c r="E7280" t="s">
        <v>99</v>
      </c>
      <c r="F7280" t="s">
        <v>668</v>
      </c>
      <c r="G7280" t="s">
        <v>59</v>
      </c>
      <c r="H7280">
        <v>2024</v>
      </c>
    </row>
    <row r="7281" spans="1:8" x14ac:dyDescent="0.2">
      <c r="A7281">
        <v>280273</v>
      </c>
      <c r="B7281">
        <v>1000</v>
      </c>
      <c r="C7281" t="str">
        <f t="shared" si="113"/>
        <v>3. $50K-250K</v>
      </c>
      <c r="D7281" t="s">
        <v>2267</v>
      </c>
      <c r="E7281" t="s">
        <v>112</v>
      </c>
      <c r="F7281" t="s">
        <v>668</v>
      </c>
      <c r="G7281" t="s">
        <v>59</v>
      </c>
      <c r="H7281">
        <v>2024</v>
      </c>
    </row>
    <row r="7282" spans="1:8" x14ac:dyDescent="0.2">
      <c r="A7282">
        <v>280277</v>
      </c>
      <c r="B7282">
        <v>1000</v>
      </c>
      <c r="C7282" t="str">
        <f t="shared" si="113"/>
        <v>1. Under $10K</v>
      </c>
      <c r="D7282" t="s">
        <v>2268</v>
      </c>
      <c r="E7282" t="s">
        <v>112</v>
      </c>
      <c r="F7282" t="s">
        <v>668</v>
      </c>
      <c r="G7282" t="s">
        <v>59</v>
      </c>
      <c r="H7282">
        <v>2024</v>
      </c>
    </row>
    <row r="7283" spans="1:8" x14ac:dyDescent="0.2">
      <c r="A7283">
        <v>280281</v>
      </c>
      <c r="B7283">
        <v>30400</v>
      </c>
      <c r="C7283" t="str">
        <f t="shared" si="113"/>
        <v>1. Under $10K</v>
      </c>
      <c r="D7283" t="s">
        <v>1746</v>
      </c>
      <c r="E7283" t="s">
        <v>112</v>
      </c>
      <c r="F7283" t="s">
        <v>668</v>
      </c>
      <c r="G7283" t="s">
        <v>59</v>
      </c>
      <c r="H7283">
        <v>2024</v>
      </c>
    </row>
    <row r="7284" spans="1:8" x14ac:dyDescent="0.2">
      <c r="A7284">
        <v>280283</v>
      </c>
      <c r="B7284">
        <v>74500</v>
      </c>
      <c r="C7284" t="str">
        <f t="shared" si="113"/>
        <v>2. $10K-50K</v>
      </c>
      <c r="D7284" t="s">
        <v>1712</v>
      </c>
      <c r="E7284" t="s">
        <v>112</v>
      </c>
      <c r="F7284" t="s">
        <v>668</v>
      </c>
      <c r="G7284" t="s">
        <v>59</v>
      </c>
      <c r="H7284">
        <v>2024</v>
      </c>
    </row>
    <row r="7285" spans="1:8" x14ac:dyDescent="0.2">
      <c r="A7285">
        <v>280286</v>
      </c>
      <c r="B7285">
        <v>13500</v>
      </c>
      <c r="C7285" t="str">
        <f t="shared" si="113"/>
        <v>3. $50K-250K</v>
      </c>
      <c r="D7285" t="s">
        <v>1161</v>
      </c>
      <c r="E7285" t="s">
        <v>112</v>
      </c>
      <c r="F7285" t="s">
        <v>668</v>
      </c>
      <c r="G7285" t="s">
        <v>59</v>
      </c>
      <c r="H7285">
        <v>2024</v>
      </c>
    </row>
    <row r="7286" spans="1:8" x14ac:dyDescent="0.2">
      <c r="A7286">
        <v>280352</v>
      </c>
      <c r="B7286">
        <v>12420000</v>
      </c>
      <c r="C7286" t="str">
        <f t="shared" si="113"/>
        <v>2. $10K-50K</v>
      </c>
      <c r="D7286" t="s">
        <v>774</v>
      </c>
      <c r="E7286" t="s">
        <v>99</v>
      </c>
      <c r="F7286" t="s">
        <v>668</v>
      </c>
      <c r="G7286" t="s">
        <v>59</v>
      </c>
      <c r="H7286">
        <v>2024</v>
      </c>
    </row>
    <row r="7287" spans="1:8" x14ac:dyDescent="0.2">
      <c r="A7287">
        <v>280353</v>
      </c>
      <c r="B7287">
        <v>6000000</v>
      </c>
      <c r="C7287" t="str">
        <f t="shared" si="113"/>
        <v>5. $1M+</v>
      </c>
      <c r="D7287" t="s">
        <v>1372</v>
      </c>
      <c r="E7287" t="s">
        <v>99</v>
      </c>
      <c r="F7287" t="s">
        <v>668</v>
      </c>
      <c r="G7287" t="s">
        <v>59</v>
      </c>
      <c r="H7287">
        <v>2024</v>
      </c>
    </row>
    <row r="7288" spans="1:8" x14ac:dyDescent="0.2">
      <c r="A7288">
        <v>280387</v>
      </c>
      <c r="B7288">
        <v>1450000</v>
      </c>
      <c r="C7288" t="str">
        <f t="shared" si="113"/>
        <v>5. $1M+</v>
      </c>
      <c r="D7288" t="s">
        <v>2269</v>
      </c>
      <c r="E7288" t="s">
        <v>99</v>
      </c>
      <c r="F7288" t="s">
        <v>668</v>
      </c>
      <c r="G7288" t="s">
        <v>59</v>
      </c>
      <c r="H7288">
        <v>2024</v>
      </c>
    </row>
    <row r="7289" spans="1:8" x14ac:dyDescent="0.2">
      <c r="A7289">
        <v>280395</v>
      </c>
      <c r="B7289">
        <v>430000</v>
      </c>
      <c r="C7289" t="str">
        <f t="shared" si="113"/>
        <v>5. $1M+</v>
      </c>
      <c r="D7289" t="s">
        <v>678</v>
      </c>
      <c r="E7289" t="s">
        <v>28</v>
      </c>
      <c r="F7289" t="s">
        <v>668</v>
      </c>
      <c r="G7289" t="s">
        <v>59</v>
      </c>
      <c r="H7289">
        <v>2024</v>
      </c>
    </row>
    <row r="7290" spans="1:8" x14ac:dyDescent="0.2">
      <c r="A7290">
        <v>280401</v>
      </c>
      <c r="B7290">
        <v>5002000</v>
      </c>
      <c r="C7290" t="str">
        <f t="shared" si="113"/>
        <v>4. $250K-1M</v>
      </c>
      <c r="D7290" t="s">
        <v>317</v>
      </c>
      <c r="E7290" t="s">
        <v>141</v>
      </c>
      <c r="F7290" t="s">
        <v>22</v>
      </c>
      <c r="G7290" t="s">
        <v>10</v>
      </c>
      <c r="H7290">
        <v>2025</v>
      </c>
    </row>
    <row r="7291" spans="1:8" x14ac:dyDescent="0.2">
      <c r="A7291">
        <v>280402</v>
      </c>
      <c r="B7291">
        <v>10000</v>
      </c>
      <c r="C7291" t="str">
        <f t="shared" si="113"/>
        <v>5. $1M+</v>
      </c>
      <c r="D7291" t="s">
        <v>1214</v>
      </c>
      <c r="E7291" t="s">
        <v>112</v>
      </c>
      <c r="F7291" t="s">
        <v>668</v>
      </c>
      <c r="G7291" t="s">
        <v>59</v>
      </c>
      <c r="H7291">
        <v>2024</v>
      </c>
    </row>
    <row r="7292" spans="1:8" x14ac:dyDescent="0.2">
      <c r="A7292">
        <v>280405</v>
      </c>
      <c r="B7292">
        <v>30000000</v>
      </c>
      <c r="C7292" t="str">
        <f t="shared" si="113"/>
        <v>2. $10K-50K</v>
      </c>
      <c r="D7292" t="s">
        <v>452</v>
      </c>
      <c r="E7292" t="s">
        <v>28</v>
      </c>
      <c r="F7292" t="s">
        <v>29</v>
      </c>
      <c r="G7292" t="s">
        <v>15</v>
      </c>
      <c r="H7292">
        <v>2025</v>
      </c>
    </row>
    <row r="7293" spans="1:8" x14ac:dyDescent="0.2">
      <c r="A7293">
        <v>280416</v>
      </c>
      <c r="B7293">
        <v>1820563.1</v>
      </c>
      <c r="C7293" t="str">
        <f t="shared" si="113"/>
        <v>5. $1M+</v>
      </c>
      <c r="D7293" t="s">
        <v>973</v>
      </c>
      <c r="E7293" t="s">
        <v>8</v>
      </c>
      <c r="F7293" t="s">
        <v>668</v>
      </c>
      <c r="G7293" t="s">
        <v>59</v>
      </c>
      <c r="H7293">
        <v>2024</v>
      </c>
    </row>
    <row r="7294" spans="1:8" x14ac:dyDescent="0.2">
      <c r="A7294">
        <v>280423</v>
      </c>
      <c r="B7294">
        <v>13775000</v>
      </c>
      <c r="C7294" t="str">
        <f t="shared" si="113"/>
        <v>5. $1M+</v>
      </c>
      <c r="D7294" t="s">
        <v>2270</v>
      </c>
      <c r="E7294" t="s">
        <v>99</v>
      </c>
      <c r="F7294" t="s">
        <v>668</v>
      </c>
      <c r="G7294" t="s">
        <v>59</v>
      </c>
      <c r="H7294">
        <v>2024</v>
      </c>
    </row>
    <row r="7295" spans="1:8" x14ac:dyDescent="0.2">
      <c r="A7295">
        <v>280424</v>
      </c>
      <c r="B7295">
        <v>42257</v>
      </c>
      <c r="C7295" t="str">
        <f t="shared" si="113"/>
        <v>5. $1M+</v>
      </c>
      <c r="D7295" t="s">
        <v>1843</v>
      </c>
      <c r="E7295" t="s">
        <v>8</v>
      </c>
      <c r="F7295" t="s">
        <v>668</v>
      </c>
      <c r="G7295" t="s">
        <v>59</v>
      </c>
      <c r="H7295">
        <v>2024</v>
      </c>
    </row>
    <row r="7296" spans="1:8" x14ac:dyDescent="0.2">
      <c r="A7296">
        <v>280432</v>
      </c>
      <c r="B7296">
        <v>3000000</v>
      </c>
      <c r="C7296" t="str">
        <f t="shared" si="113"/>
        <v>2. $10K-50K</v>
      </c>
      <c r="D7296" t="s">
        <v>2271</v>
      </c>
      <c r="E7296" t="s">
        <v>99</v>
      </c>
      <c r="F7296" t="s">
        <v>668</v>
      </c>
      <c r="G7296" t="s">
        <v>59</v>
      </c>
      <c r="H7296">
        <v>2024</v>
      </c>
    </row>
    <row r="7297" spans="1:8" x14ac:dyDescent="0.2">
      <c r="A7297">
        <v>280439</v>
      </c>
      <c r="B7297">
        <v>3000000</v>
      </c>
      <c r="C7297" t="str">
        <f t="shared" si="113"/>
        <v>5. $1M+</v>
      </c>
      <c r="D7297" t="s">
        <v>2272</v>
      </c>
      <c r="E7297" t="s">
        <v>99</v>
      </c>
      <c r="F7297" t="s">
        <v>668</v>
      </c>
      <c r="G7297" t="s">
        <v>59</v>
      </c>
      <c r="H7297">
        <v>2024</v>
      </c>
    </row>
    <row r="7298" spans="1:8" x14ac:dyDescent="0.2">
      <c r="A7298">
        <v>280440</v>
      </c>
      <c r="B7298">
        <v>3000000</v>
      </c>
      <c r="C7298" t="str">
        <f t="shared" si="113"/>
        <v>5. $1M+</v>
      </c>
      <c r="D7298" t="s">
        <v>1749</v>
      </c>
      <c r="E7298" t="s">
        <v>99</v>
      </c>
      <c r="F7298" t="s">
        <v>668</v>
      </c>
      <c r="G7298" t="s">
        <v>59</v>
      </c>
      <c r="H7298">
        <v>2024</v>
      </c>
    </row>
    <row r="7299" spans="1:8" x14ac:dyDescent="0.2">
      <c r="A7299">
        <v>280441</v>
      </c>
      <c r="B7299">
        <v>1450000</v>
      </c>
      <c r="C7299" t="str">
        <f t="shared" ref="C7299:C7362" si="114">IF(B7298&lt;10000,"1. Under $10K",IF(B7298&lt;50000,"2. $10K-50K",IF(B7298&lt;250000,"3. $50K-250K",IF(B7298&lt;1000000,"4. $250K-1M","5. $1M+"))))</f>
        <v>5. $1M+</v>
      </c>
      <c r="D7299" t="s">
        <v>1751</v>
      </c>
      <c r="E7299" t="s">
        <v>99</v>
      </c>
      <c r="F7299" t="s">
        <v>668</v>
      </c>
      <c r="G7299" t="s">
        <v>59</v>
      </c>
      <c r="H7299">
        <v>2024</v>
      </c>
    </row>
    <row r="7300" spans="1:8" x14ac:dyDescent="0.2">
      <c r="A7300">
        <v>280448</v>
      </c>
      <c r="B7300">
        <v>150485.5</v>
      </c>
      <c r="C7300" t="str">
        <f t="shared" si="114"/>
        <v>5. $1M+</v>
      </c>
      <c r="D7300" t="s">
        <v>817</v>
      </c>
      <c r="E7300" t="s">
        <v>819</v>
      </c>
      <c r="F7300" t="s">
        <v>670</v>
      </c>
      <c r="G7300" t="s">
        <v>59</v>
      </c>
      <c r="H7300">
        <v>2024</v>
      </c>
    </row>
    <row r="7301" spans="1:8" x14ac:dyDescent="0.2">
      <c r="A7301">
        <v>280450</v>
      </c>
      <c r="B7301">
        <v>412823.7</v>
      </c>
      <c r="C7301" t="str">
        <f t="shared" si="114"/>
        <v>3. $50K-250K</v>
      </c>
      <c r="D7301" t="s">
        <v>792</v>
      </c>
      <c r="E7301" t="s">
        <v>42</v>
      </c>
      <c r="F7301" t="s">
        <v>670</v>
      </c>
      <c r="G7301" t="s">
        <v>59</v>
      </c>
      <c r="H7301">
        <v>2024</v>
      </c>
    </row>
    <row r="7302" spans="1:8" x14ac:dyDescent="0.2">
      <c r="A7302">
        <v>280461</v>
      </c>
      <c r="B7302">
        <v>66378.399999999994</v>
      </c>
      <c r="C7302" t="str">
        <f t="shared" si="114"/>
        <v>4. $250K-1M</v>
      </c>
      <c r="D7302" t="s">
        <v>822</v>
      </c>
      <c r="E7302" t="s">
        <v>237</v>
      </c>
      <c r="F7302" t="s">
        <v>670</v>
      </c>
      <c r="G7302" t="s">
        <v>59</v>
      </c>
      <c r="H7302">
        <v>2024</v>
      </c>
    </row>
    <row r="7303" spans="1:8" x14ac:dyDescent="0.2">
      <c r="A7303">
        <v>280523</v>
      </c>
      <c r="B7303">
        <v>106508.4</v>
      </c>
      <c r="C7303" t="str">
        <f t="shared" si="114"/>
        <v>3. $50K-250K</v>
      </c>
      <c r="D7303" t="s">
        <v>601</v>
      </c>
      <c r="E7303" t="s">
        <v>237</v>
      </c>
      <c r="F7303" t="s">
        <v>670</v>
      </c>
      <c r="G7303" t="s">
        <v>59</v>
      </c>
      <c r="H7303">
        <v>2024</v>
      </c>
    </row>
    <row r="7304" spans="1:8" x14ac:dyDescent="0.2">
      <c r="A7304">
        <v>280524</v>
      </c>
      <c r="B7304">
        <v>36500</v>
      </c>
      <c r="C7304" t="str">
        <f t="shared" si="114"/>
        <v>3. $50K-250K</v>
      </c>
      <c r="D7304" t="s">
        <v>862</v>
      </c>
      <c r="E7304" t="s">
        <v>237</v>
      </c>
      <c r="F7304" t="s">
        <v>670</v>
      </c>
      <c r="G7304" t="s">
        <v>59</v>
      </c>
      <c r="H7304">
        <v>2024</v>
      </c>
    </row>
    <row r="7305" spans="1:8" x14ac:dyDescent="0.2">
      <c r="A7305">
        <v>280526</v>
      </c>
      <c r="B7305">
        <v>143800</v>
      </c>
      <c r="C7305" t="str">
        <f t="shared" si="114"/>
        <v>2. $10K-50K</v>
      </c>
      <c r="D7305" t="s">
        <v>719</v>
      </c>
      <c r="E7305" t="s">
        <v>237</v>
      </c>
      <c r="F7305" t="s">
        <v>670</v>
      </c>
      <c r="G7305" t="s">
        <v>59</v>
      </c>
      <c r="H7305">
        <v>2024</v>
      </c>
    </row>
    <row r="7306" spans="1:8" x14ac:dyDescent="0.2">
      <c r="A7306">
        <v>280527</v>
      </c>
      <c r="B7306">
        <v>76216.5</v>
      </c>
      <c r="C7306" t="str">
        <f t="shared" si="114"/>
        <v>3. $50K-250K</v>
      </c>
      <c r="D7306" t="s">
        <v>721</v>
      </c>
      <c r="E7306" t="s">
        <v>237</v>
      </c>
      <c r="F7306" t="s">
        <v>670</v>
      </c>
      <c r="G7306" t="s">
        <v>59</v>
      </c>
      <c r="H7306">
        <v>2024</v>
      </c>
    </row>
    <row r="7307" spans="1:8" x14ac:dyDescent="0.2">
      <c r="A7307">
        <v>280528</v>
      </c>
      <c r="B7307">
        <v>198483.1</v>
      </c>
      <c r="C7307" t="str">
        <f t="shared" si="114"/>
        <v>3. $50K-250K</v>
      </c>
      <c r="D7307" t="s">
        <v>864</v>
      </c>
      <c r="E7307" t="s">
        <v>237</v>
      </c>
      <c r="F7307" t="s">
        <v>670</v>
      </c>
      <c r="G7307" t="s">
        <v>59</v>
      </c>
      <c r="H7307">
        <v>2024</v>
      </c>
    </row>
    <row r="7308" spans="1:8" x14ac:dyDescent="0.2">
      <c r="A7308">
        <v>280578</v>
      </c>
      <c r="B7308">
        <v>196920</v>
      </c>
      <c r="C7308" t="str">
        <f t="shared" si="114"/>
        <v>3. $50K-250K</v>
      </c>
      <c r="D7308" t="s">
        <v>1092</v>
      </c>
      <c r="E7308" t="s">
        <v>237</v>
      </c>
      <c r="F7308" t="s">
        <v>670</v>
      </c>
      <c r="G7308" t="s">
        <v>59</v>
      </c>
      <c r="H7308">
        <v>2024</v>
      </c>
    </row>
    <row r="7309" spans="1:8" x14ac:dyDescent="0.2">
      <c r="A7309">
        <v>280581</v>
      </c>
      <c r="B7309">
        <v>12045</v>
      </c>
      <c r="C7309" t="str">
        <f t="shared" si="114"/>
        <v>3. $50K-250K</v>
      </c>
      <c r="D7309" t="s">
        <v>867</v>
      </c>
      <c r="E7309" t="s">
        <v>237</v>
      </c>
      <c r="F7309" t="s">
        <v>670</v>
      </c>
      <c r="G7309" t="s">
        <v>59</v>
      </c>
      <c r="H7309">
        <v>2024</v>
      </c>
    </row>
    <row r="7310" spans="1:8" x14ac:dyDescent="0.2">
      <c r="A7310">
        <v>280633</v>
      </c>
      <c r="B7310">
        <v>664135.4</v>
      </c>
      <c r="C7310" t="str">
        <f t="shared" si="114"/>
        <v>2. $10K-50K</v>
      </c>
      <c r="D7310" t="s">
        <v>785</v>
      </c>
      <c r="E7310" t="s">
        <v>237</v>
      </c>
      <c r="F7310" t="s">
        <v>670</v>
      </c>
      <c r="G7310" t="s">
        <v>59</v>
      </c>
      <c r="H7310">
        <v>2024</v>
      </c>
    </row>
    <row r="7311" spans="1:8" x14ac:dyDescent="0.2">
      <c r="A7311">
        <v>280680</v>
      </c>
      <c r="B7311">
        <v>10000</v>
      </c>
      <c r="C7311" t="str">
        <f t="shared" si="114"/>
        <v>4. $250K-1M</v>
      </c>
      <c r="D7311" t="s">
        <v>974</v>
      </c>
      <c r="E7311" t="s">
        <v>237</v>
      </c>
      <c r="F7311" t="s">
        <v>670</v>
      </c>
      <c r="G7311" t="s">
        <v>59</v>
      </c>
      <c r="H7311">
        <v>2024</v>
      </c>
    </row>
    <row r="7312" spans="1:8" x14ac:dyDescent="0.2">
      <c r="A7312">
        <v>28075</v>
      </c>
      <c r="B7312">
        <v>150000</v>
      </c>
      <c r="C7312" t="str">
        <f t="shared" si="114"/>
        <v>2. $10K-50K</v>
      </c>
      <c r="D7312" t="s">
        <v>362</v>
      </c>
      <c r="E7312" t="s">
        <v>28</v>
      </c>
      <c r="F7312" t="s">
        <v>29</v>
      </c>
      <c r="G7312" t="s">
        <v>44</v>
      </c>
      <c r="H7312">
        <v>2024</v>
      </c>
    </row>
    <row r="7313" spans="1:8" x14ac:dyDescent="0.2">
      <c r="A7313">
        <v>28080</v>
      </c>
      <c r="B7313">
        <v>150000</v>
      </c>
      <c r="C7313" t="str">
        <f t="shared" si="114"/>
        <v>3. $50K-250K</v>
      </c>
      <c r="D7313" t="s">
        <v>453</v>
      </c>
      <c r="E7313" t="s">
        <v>178</v>
      </c>
      <c r="F7313" t="s">
        <v>43</v>
      </c>
      <c r="G7313" t="s">
        <v>103</v>
      </c>
      <c r="H7313">
        <v>2024</v>
      </c>
    </row>
    <row r="7314" spans="1:8" x14ac:dyDescent="0.2">
      <c r="A7314">
        <v>280830</v>
      </c>
      <c r="B7314">
        <v>44610.3</v>
      </c>
      <c r="C7314" t="str">
        <f t="shared" si="114"/>
        <v>3. $50K-250K</v>
      </c>
      <c r="D7314" t="s">
        <v>230</v>
      </c>
      <c r="E7314" t="s">
        <v>67</v>
      </c>
      <c r="F7314" t="s">
        <v>231</v>
      </c>
      <c r="G7314" t="s">
        <v>232</v>
      </c>
      <c r="H7314">
        <v>2024</v>
      </c>
    </row>
    <row r="7315" spans="1:8" x14ac:dyDescent="0.2">
      <c r="A7315">
        <v>280877</v>
      </c>
      <c r="B7315">
        <v>72770</v>
      </c>
      <c r="C7315" t="str">
        <f t="shared" si="114"/>
        <v>2. $10K-50K</v>
      </c>
      <c r="D7315" t="s">
        <v>975</v>
      </c>
      <c r="E7315" t="s">
        <v>825</v>
      </c>
      <c r="F7315" t="s">
        <v>670</v>
      </c>
      <c r="G7315" t="s">
        <v>59</v>
      </c>
      <c r="H7315">
        <v>2024</v>
      </c>
    </row>
    <row r="7316" spans="1:8" x14ac:dyDescent="0.2">
      <c r="A7316">
        <v>281166</v>
      </c>
      <c r="B7316">
        <v>182947.9</v>
      </c>
      <c r="C7316" t="str">
        <f t="shared" si="114"/>
        <v>3. $50K-250K</v>
      </c>
      <c r="D7316" t="s">
        <v>867</v>
      </c>
      <c r="E7316" t="s">
        <v>237</v>
      </c>
      <c r="F7316" t="s">
        <v>670</v>
      </c>
      <c r="G7316" t="s">
        <v>59</v>
      </c>
      <c r="H7316">
        <v>2024</v>
      </c>
    </row>
    <row r="7317" spans="1:8" x14ac:dyDescent="0.2">
      <c r="A7317">
        <v>281167</v>
      </c>
      <c r="B7317">
        <v>182477.7</v>
      </c>
      <c r="C7317" t="str">
        <f t="shared" si="114"/>
        <v>3. $50K-250K</v>
      </c>
      <c r="D7317" t="s">
        <v>867</v>
      </c>
      <c r="E7317" t="s">
        <v>237</v>
      </c>
      <c r="F7317" t="s">
        <v>670</v>
      </c>
      <c r="G7317" t="s">
        <v>59</v>
      </c>
      <c r="H7317">
        <v>2024</v>
      </c>
    </row>
    <row r="7318" spans="1:8" x14ac:dyDescent="0.2">
      <c r="A7318">
        <v>281168</v>
      </c>
      <c r="B7318">
        <v>29200</v>
      </c>
      <c r="C7318" t="str">
        <f t="shared" si="114"/>
        <v>3. $50K-250K</v>
      </c>
      <c r="D7318" t="s">
        <v>869</v>
      </c>
      <c r="E7318" t="s">
        <v>237</v>
      </c>
      <c r="F7318" t="s">
        <v>670</v>
      </c>
      <c r="G7318" t="s">
        <v>59</v>
      </c>
      <c r="H7318">
        <v>2024</v>
      </c>
    </row>
    <row r="7319" spans="1:8" x14ac:dyDescent="0.2">
      <c r="A7319">
        <v>281169</v>
      </c>
      <c r="B7319">
        <v>7284.6</v>
      </c>
      <c r="C7319" t="str">
        <f t="shared" si="114"/>
        <v>2. $10K-50K</v>
      </c>
      <c r="D7319" t="s">
        <v>854</v>
      </c>
      <c r="E7319" t="s">
        <v>237</v>
      </c>
      <c r="F7319" t="s">
        <v>670</v>
      </c>
      <c r="G7319" t="s">
        <v>59</v>
      </c>
      <c r="H7319">
        <v>2024</v>
      </c>
    </row>
    <row r="7320" spans="1:8" x14ac:dyDescent="0.2">
      <c r="A7320">
        <v>281170</v>
      </c>
      <c r="B7320">
        <v>60590</v>
      </c>
      <c r="C7320" t="str">
        <f t="shared" si="114"/>
        <v>1. Under $10K</v>
      </c>
      <c r="D7320" t="s">
        <v>874</v>
      </c>
      <c r="E7320" t="s">
        <v>237</v>
      </c>
      <c r="F7320" t="s">
        <v>670</v>
      </c>
      <c r="G7320" t="s">
        <v>59</v>
      </c>
      <c r="H7320">
        <v>2024</v>
      </c>
    </row>
    <row r="7321" spans="1:8" x14ac:dyDescent="0.2">
      <c r="A7321">
        <v>281171</v>
      </c>
      <c r="B7321">
        <v>200183</v>
      </c>
      <c r="C7321" t="str">
        <f t="shared" si="114"/>
        <v>3. $50K-250K</v>
      </c>
      <c r="D7321" t="s">
        <v>863</v>
      </c>
      <c r="E7321" t="s">
        <v>237</v>
      </c>
      <c r="F7321" t="s">
        <v>670</v>
      </c>
      <c r="G7321" t="s">
        <v>59</v>
      </c>
      <c r="H7321">
        <v>2024</v>
      </c>
    </row>
    <row r="7322" spans="1:8" x14ac:dyDescent="0.2">
      <c r="A7322">
        <v>281172</v>
      </c>
      <c r="B7322">
        <v>554831.69999999995</v>
      </c>
      <c r="C7322" t="str">
        <f t="shared" si="114"/>
        <v>3. $50K-250K</v>
      </c>
      <c r="D7322" t="s">
        <v>863</v>
      </c>
      <c r="E7322" t="s">
        <v>237</v>
      </c>
      <c r="F7322" t="s">
        <v>670</v>
      </c>
      <c r="G7322" t="s">
        <v>59</v>
      </c>
      <c r="H7322">
        <v>2024</v>
      </c>
    </row>
    <row r="7323" spans="1:8" x14ac:dyDescent="0.2">
      <c r="A7323">
        <v>281173</v>
      </c>
      <c r="B7323">
        <v>142668.29999999999</v>
      </c>
      <c r="C7323" t="str">
        <f t="shared" si="114"/>
        <v>4. $250K-1M</v>
      </c>
      <c r="D7323" t="s">
        <v>711</v>
      </c>
      <c r="E7323" t="s">
        <v>237</v>
      </c>
      <c r="F7323" t="s">
        <v>670</v>
      </c>
      <c r="G7323" t="s">
        <v>59</v>
      </c>
      <c r="H7323">
        <v>2024</v>
      </c>
    </row>
    <row r="7324" spans="1:8" x14ac:dyDescent="0.2">
      <c r="A7324">
        <v>281174</v>
      </c>
      <c r="B7324">
        <v>43799.6</v>
      </c>
      <c r="C7324" t="str">
        <f t="shared" si="114"/>
        <v>3. $50K-250K</v>
      </c>
      <c r="D7324" t="s">
        <v>812</v>
      </c>
      <c r="E7324" t="s">
        <v>237</v>
      </c>
      <c r="F7324" t="s">
        <v>670</v>
      </c>
      <c r="G7324" t="s">
        <v>59</v>
      </c>
      <c r="H7324">
        <v>2024</v>
      </c>
    </row>
    <row r="7325" spans="1:8" x14ac:dyDescent="0.2">
      <c r="A7325">
        <v>281176</v>
      </c>
      <c r="B7325">
        <v>278152.8</v>
      </c>
      <c r="C7325" t="str">
        <f t="shared" si="114"/>
        <v>2. $10K-50K</v>
      </c>
      <c r="D7325" t="s">
        <v>860</v>
      </c>
      <c r="E7325" t="s">
        <v>237</v>
      </c>
      <c r="F7325" t="s">
        <v>670</v>
      </c>
      <c r="G7325" t="s">
        <v>59</v>
      </c>
      <c r="H7325">
        <v>2024</v>
      </c>
    </row>
    <row r="7326" spans="1:8" x14ac:dyDescent="0.2">
      <c r="A7326">
        <v>281177</v>
      </c>
      <c r="B7326">
        <v>136856</v>
      </c>
      <c r="C7326" t="str">
        <f t="shared" si="114"/>
        <v>4. $250K-1M</v>
      </c>
      <c r="D7326" t="s">
        <v>877</v>
      </c>
      <c r="E7326" t="s">
        <v>237</v>
      </c>
      <c r="F7326" t="s">
        <v>670</v>
      </c>
      <c r="G7326" t="s">
        <v>59</v>
      </c>
      <c r="H7326">
        <v>2024</v>
      </c>
    </row>
    <row r="7327" spans="1:8" x14ac:dyDescent="0.2">
      <c r="A7327">
        <v>281178</v>
      </c>
      <c r="B7327">
        <v>117801.3</v>
      </c>
      <c r="C7327" t="str">
        <f t="shared" si="114"/>
        <v>3. $50K-250K</v>
      </c>
      <c r="D7327" t="s">
        <v>883</v>
      </c>
      <c r="E7327" t="s">
        <v>237</v>
      </c>
      <c r="F7327" t="s">
        <v>670</v>
      </c>
      <c r="G7327" t="s">
        <v>59</v>
      </c>
      <c r="H7327">
        <v>2024</v>
      </c>
    </row>
    <row r="7328" spans="1:8" x14ac:dyDescent="0.2">
      <c r="A7328">
        <v>281179</v>
      </c>
      <c r="B7328">
        <v>492523</v>
      </c>
      <c r="C7328" t="str">
        <f t="shared" si="114"/>
        <v>3. $50K-250K</v>
      </c>
      <c r="D7328" t="s">
        <v>857</v>
      </c>
      <c r="E7328" t="s">
        <v>237</v>
      </c>
      <c r="F7328" t="s">
        <v>670</v>
      </c>
      <c r="G7328" t="s">
        <v>59</v>
      </c>
      <c r="H7328">
        <v>2024</v>
      </c>
    </row>
    <row r="7329" spans="1:8" x14ac:dyDescent="0.2">
      <c r="A7329">
        <v>281181</v>
      </c>
      <c r="B7329">
        <v>139497.60000000001</v>
      </c>
      <c r="C7329" t="str">
        <f t="shared" si="114"/>
        <v>4. $250K-1M</v>
      </c>
      <c r="D7329" t="s">
        <v>857</v>
      </c>
      <c r="E7329" t="s">
        <v>237</v>
      </c>
      <c r="F7329" t="s">
        <v>670</v>
      </c>
      <c r="G7329" t="s">
        <v>59</v>
      </c>
      <c r="H7329">
        <v>2024</v>
      </c>
    </row>
    <row r="7330" spans="1:8" x14ac:dyDescent="0.2">
      <c r="A7330">
        <v>281182</v>
      </c>
      <c r="B7330">
        <v>33212.9</v>
      </c>
      <c r="C7330" t="str">
        <f t="shared" si="114"/>
        <v>3. $50K-250K</v>
      </c>
      <c r="D7330" t="s">
        <v>601</v>
      </c>
      <c r="E7330" t="s">
        <v>237</v>
      </c>
      <c r="F7330" t="s">
        <v>670</v>
      </c>
      <c r="G7330" t="s">
        <v>59</v>
      </c>
      <c r="H7330">
        <v>2024</v>
      </c>
    </row>
    <row r="7331" spans="1:8" x14ac:dyDescent="0.2">
      <c r="A7331">
        <v>281184</v>
      </c>
      <c r="B7331">
        <v>441208.1</v>
      </c>
      <c r="C7331" t="str">
        <f t="shared" si="114"/>
        <v>2. $10K-50K</v>
      </c>
      <c r="D7331" t="s">
        <v>872</v>
      </c>
      <c r="E7331" t="s">
        <v>237</v>
      </c>
      <c r="F7331" t="s">
        <v>670</v>
      </c>
      <c r="G7331" t="s">
        <v>59</v>
      </c>
      <c r="H7331">
        <v>2024</v>
      </c>
    </row>
    <row r="7332" spans="1:8" x14ac:dyDescent="0.2">
      <c r="A7332">
        <v>281185</v>
      </c>
      <c r="B7332">
        <v>105842.5</v>
      </c>
      <c r="C7332" t="str">
        <f t="shared" si="114"/>
        <v>4. $250K-1M</v>
      </c>
      <c r="D7332" t="s">
        <v>860</v>
      </c>
      <c r="E7332" t="s">
        <v>237</v>
      </c>
      <c r="F7332" t="s">
        <v>670</v>
      </c>
      <c r="G7332" t="s">
        <v>59</v>
      </c>
      <c r="H7332">
        <v>2024</v>
      </c>
    </row>
    <row r="7333" spans="1:8" x14ac:dyDescent="0.2">
      <c r="A7333">
        <v>281187</v>
      </c>
      <c r="B7333">
        <v>11496.5</v>
      </c>
      <c r="C7333" t="str">
        <f t="shared" si="114"/>
        <v>3. $50K-250K</v>
      </c>
      <c r="D7333" t="s">
        <v>878</v>
      </c>
      <c r="E7333" t="s">
        <v>237</v>
      </c>
      <c r="F7333" t="s">
        <v>670</v>
      </c>
      <c r="G7333" t="s">
        <v>59</v>
      </c>
      <c r="H7333">
        <v>2024</v>
      </c>
    </row>
    <row r="7334" spans="1:8" x14ac:dyDescent="0.2">
      <c r="A7334">
        <v>281188</v>
      </c>
      <c r="B7334">
        <v>29064</v>
      </c>
      <c r="C7334" t="str">
        <f t="shared" si="114"/>
        <v>2. $10K-50K</v>
      </c>
      <c r="D7334" t="s">
        <v>807</v>
      </c>
      <c r="E7334" t="s">
        <v>237</v>
      </c>
      <c r="F7334" t="s">
        <v>670</v>
      </c>
      <c r="G7334" t="s">
        <v>59</v>
      </c>
      <c r="H7334">
        <v>2024</v>
      </c>
    </row>
    <row r="7335" spans="1:8" x14ac:dyDescent="0.2">
      <c r="A7335">
        <v>281189</v>
      </c>
      <c r="B7335">
        <v>9490</v>
      </c>
      <c r="C7335" t="str">
        <f t="shared" si="114"/>
        <v>2. $10K-50K</v>
      </c>
      <c r="D7335" t="s">
        <v>861</v>
      </c>
      <c r="E7335" t="s">
        <v>237</v>
      </c>
      <c r="F7335" t="s">
        <v>670</v>
      </c>
      <c r="G7335" t="s">
        <v>59</v>
      </c>
      <c r="H7335">
        <v>2024</v>
      </c>
    </row>
    <row r="7336" spans="1:8" x14ac:dyDescent="0.2">
      <c r="A7336">
        <v>281190</v>
      </c>
      <c r="B7336">
        <v>236988</v>
      </c>
      <c r="C7336" t="str">
        <f t="shared" si="114"/>
        <v>1. Under $10K</v>
      </c>
      <c r="D7336" t="s">
        <v>1532</v>
      </c>
      <c r="E7336" t="s">
        <v>237</v>
      </c>
      <c r="F7336" t="s">
        <v>670</v>
      </c>
      <c r="G7336" t="s">
        <v>59</v>
      </c>
      <c r="H7336">
        <v>2024</v>
      </c>
    </row>
    <row r="7337" spans="1:8" x14ac:dyDescent="0.2">
      <c r="A7337">
        <v>281192</v>
      </c>
      <c r="B7337">
        <v>409590</v>
      </c>
      <c r="C7337" t="str">
        <f t="shared" si="114"/>
        <v>3. $50K-250K</v>
      </c>
      <c r="D7337" t="s">
        <v>1532</v>
      </c>
      <c r="E7337" t="s">
        <v>237</v>
      </c>
      <c r="F7337" t="s">
        <v>670</v>
      </c>
      <c r="G7337" t="s">
        <v>59</v>
      </c>
      <c r="H7337">
        <v>2024</v>
      </c>
    </row>
    <row r="7338" spans="1:8" x14ac:dyDescent="0.2">
      <c r="A7338">
        <v>281193</v>
      </c>
      <c r="B7338">
        <v>236988</v>
      </c>
      <c r="C7338" t="str">
        <f t="shared" si="114"/>
        <v>4. $250K-1M</v>
      </c>
      <c r="D7338" t="s">
        <v>719</v>
      </c>
      <c r="E7338" t="s">
        <v>237</v>
      </c>
      <c r="F7338" t="s">
        <v>670</v>
      </c>
      <c r="G7338" t="s">
        <v>59</v>
      </c>
      <c r="H7338">
        <v>2024</v>
      </c>
    </row>
    <row r="7339" spans="1:8" x14ac:dyDescent="0.2">
      <c r="A7339">
        <v>281195</v>
      </c>
      <c r="B7339">
        <v>1020365</v>
      </c>
      <c r="C7339" t="str">
        <f t="shared" si="114"/>
        <v>3. $50K-250K</v>
      </c>
      <c r="D7339" t="s">
        <v>702</v>
      </c>
      <c r="E7339" t="s">
        <v>237</v>
      </c>
      <c r="F7339" t="s">
        <v>670</v>
      </c>
      <c r="G7339" t="s">
        <v>59</v>
      </c>
      <c r="H7339">
        <v>2024</v>
      </c>
    </row>
    <row r="7340" spans="1:8" x14ac:dyDescent="0.2">
      <c r="A7340">
        <v>281196</v>
      </c>
      <c r="B7340">
        <v>118494</v>
      </c>
      <c r="C7340" t="str">
        <f t="shared" si="114"/>
        <v>5. $1M+</v>
      </c>
      <c r="D7340" t="s">
        <v>735</v>
      </c>
      <c r="E7340" t="s">
        <v>237</v>
      </c>
      <c r="F7340" t="s">
        <v>670</v>
      </c>
      <c r="G7340" t="s">
        <v>59</v>
      </c>
      <c r="H7340">
        <v>2024</v>
      </c>
    </row>
    <row r="7341" spans="1:8" x14ac:dyDescent="0.2">
      <c r="A7341">
        <v>281197</v>
      </c>
      <c r="B7341">
        <v>436896</v>
      </c>
      <c r="C7341" t="str">
        <f t="shared" si="114"/>
        <v>3. $50K-250K</v>
      </c>
      <c r="D7341" t="s">
        <v>735</v>
      </c>
      <c r="E7341" t="s">
        <v>237</v>
      </c>
      <c r="F7341" t="s">
        <v>670</v>
      </c>
      <c r="G7341" t="s">
        <v>59</v>
      </c>
      <c r="H7341">
        <v>2024</v>
      </c>
    </row>
    <row r="7342" spans="1:8" x14ac:dyDescent="0.2">
      <c r="A7342">
        <v>281198</v>
      </c>
      <c r="B7342">
        <v>131660</v>
      </c>
      <c r="C7342" t="str">
        <f t="shared" si="114"/>
        <v>4. $250K-1M</v>
      </c>
      <c r="D7342" t="s">
        <v>776</v>
      </c>
      <c r="E7342" t="s">
        <v>237</v>
      </c>
      <c r="F7342" t="s">
        <v>670</v>
      </c>
      <c r="G7342" t="s">
        <v>59</v>
      </c>
      <c r="H7342">
        <v>2024</v>
      </c>
    </row>
    <row r="7343" spans="1:8" x14ac:dyDescent="0.2">
      <c r="A7343">
        <v>281199</v>
      </c>
      <c r="B7343">
        <v>73000</v>
      </c>
      <c r="C7343" t="str">
        <f t="shared" si="114"/>
        <v>3. $50K-250K</v>
      </c>
      <c r="D7343" t="s">
        <v>875</v>
      </c>
      <c r="E7343" t="s">
        <v>237</v>
      </c>
      <c r="F7343" t="s">
        <v>670</v>
      </c>
      <c r="G7343" t="s">
        <v>59</v>
      </c>
      <c r="H7343">
        <v>2024</v>
      </c>
    </row>
    <row r="7344" spans="1:8" x14ac:dyDescent="0.2">
      <c r="A7344">
        <v>281201</v>
      </c>
      <c r="B7344">
        <v>1978488</v>
      </c>
      <c r="C7344" t="str">
        <f t="shared" si="114"/>
        <v>3. $50K-250K</v>
      </c>
      <c r="D7344" t="s">
        <v>702</v>
      </c>
      <c r="E7344" t="s">
        <v>237</v>
      </c>
      <c r="F7344" t="s">
        <v>670</v>
      </c>
      <c r="G7344" t="s">
        <v>59</v>
      </c>
      <c r="H7344">
        <v>2024</v>
      </c>
    </row>
    <row r="7345" spans="1:8" x14ac:dyDescent="0.2">
      <c r="A7345">
        <v>281203</v>
      </c>
      <c r="B7345">
        <v>289458.8</v>
      </c>
      <c r="C7345" t="str">
        <f t="shared" si="114"/>
        <v>5. $1M+</v>
      </c>
      <c r="D7345" t="s">
        <v>851</v>
      </c>
      <c r="E7345" t="s">
        <v>237</v>
      </c>
      <c r="F7345" t="s">
        <v>670</v>
      </c>
      <c r="G7345" t="s">
        <v>59</v>
      </c>
      <c r="H7345">
        <v>2024</v>
      </c>
    </row>
    <row r="7346" spans="1:8" x14ac:dyDescent="0.2">
      <c r="A7346">
        <v>281204</v>
      </c>
      <c r="B7346">
        <v>164561.1</v>
      </c>
      <c r="C7346" t="str">
        <f t="shared" si="114"/>
        <v>4. $250K-1M</v>
      </c>
      <c r="D7346" t="s">
        <v>785</v>
      </c>
      <c r="E7346" t="s">
        <v>237</v>
      </c>
      <c r="F7346" t="s">
        <v>670</v>
      </c>
      <c r="G7346" t="s">
        <v>59</v>
      </c>
      <c r="H7346">
        <v>2024</v>
      </c>
    </row>
    <row r="7347" spans="1:8" x14ac:dyDescent="0.2">
      <c r="A7347">
        <v>281319</v>
      </c>
      <c r="B7347">
        <v>8028000</v>
      </c>
      <c r="C7347" t="str">
        <f t="shared" si="114"/>
        <v>3. $50K-250K</v>
      </c>
      <c r="D7347" t="s">
        <v>454</v>
      </c>
      <c r="E7347" t="s">
        <v>37</v>
      </c>
      <c r="F7347" t="s">
        <v>12</v>
      </c>
      <c r="G7347" t="s">
        <v>10</v>
      </c>
      <c r="H7347">
        <v>2024</v>
      </c>
    </row>
    <row r="7348" spans="1:8" x14ac:dyDescent="0.2">
      <c r="A7348">
        <v>281621</v>
      </c>
      <c r="B7348">
        <v>263320</v>
      </c>
      <c r="C7348" t="str">
        <f t="shared" si="114"/>
        <v>5. $1M+</v>
      </c>
      <c r="D7348" t="s">
        <v>714</v>
      </c>
      <c r="E7348" t="s">
        <v>237</v>
      </c>
      <c r="F7348" t="s">
        <v>670</v>
      </c>
      <c r="G7348" t="s">
        <v>59</v>
      </c>
      <c r="H7348">
        <v>2024</v>
      </c>
    </row>
    <row r="7349" spans="1:8" x14ac:dyDescent="0.2">
      <c r="A7349">
        <v>281624</v>
      </c>
      <c r="B7349">
        <v>11680</v>
      </c>
      <c r="C7349" t="str">
        <f t="shared" si="114"/>
        <v>4. $250K-1M</v>
      </c>
      <c r="D7349" t="s">
        <v>807</v>
      </c>
      <c r="E7349" t="s">
        <v>237</v>
      </c>
      <c r="F7349" t="s">
        <v>670</v>
      </c>
      <c r="G7349" t="s">
        <v>59</v>
      </c>
      <c r="H7349">
        <v>2024</v>
      </c>
    </row>
    <row r="7350" spans="1:8" x14ac:dyDescent="0.2">
      <c r="A7350">
        <v>281711</v>
      </c>
      <c r="B7350">
        <v>4900000</v>
      </c>
      <c r="C7350" t="str">
        <f t="shared" si="114"/>
        <v>2. $10K-50K</v>
      </c>
      <c r="D7350" t="s">
        <v>83</v>
      </c>
      <c r="E7350" t="s">
        <v>24</v>
      </c>
      <c r="F7350" t="s">
        <v>22</v>
      </c>
      <c r="G7350" t="s">
        <v>10</v>
      </c>
      <c r="H7350">
        <v>2025</v>
      </c>
    </row>
    <row r="7351" spans="1:8" x14ac:dyDescent="0.2">
      <c r="A7351">
        <v>281800</v>
      </c>
      <c r="B7351">
        <v>250000</v>
      </c>
      <c r="C7351" t="str">
        <f t="shared" si="114"/>
        <v>5. $1M+</v>
      </c>
      <c r="D7351" t="s">
        <v>2273</v>
      </c>
      <c r="E7351" t="s">
        <v>112</v>
      </c>
      <c r="F7351" t="s">
        <v>668</v>
      </c>
      <c r="G7351" t="s">
        <v>59</v>
      </c>
      <c r="H7351">
        <v>2024</v>
      </c>
    </row>
    <row r="7352" spans="1:8" x14ac:dyDescent="0.2">
      <c r="A7352">
        <v>281802</v>
      </c>
      <c r="B7352">
        <v>2000</v>
      </c>
      <c r="C7352" t="str">
        <f t="shared" si="114"/>
        <v>4. $250K-1M</v>
      </c>
      <c r="D7352" t="s">
        <v>2274</v>
      </c>
      <c r="E7352" t="s">
        <v>112</v>
      </c>
      <c r="F7352" t="s">
        <v>668</v>
      </c>
      <c r="G7352" t="s">
        <v>59</v>
      </c>
      <c r="H7352">
        <v>2024</v>
      </c>
    </row>
    <row r="7353" spans="1:8" x14ac:dyDescent="0.2">
      <c r="A7353">
        <v>281806</v>
      </c>
      <c r="B7353">
        <v>15000</v>
      </c>
      <c r="C7353" t="str">
        <f t="shared" si="114"/>
        <v>1. Under $10K</v>
      </c>
      <c r="D7353" t="s">
        <v>1307</v>
      </c>
      <c r="E7353" t="s">
        <v>112</v>
      </c>
      <c r="F7353" t="s">
        <v>668</v>
      </c>
      <c r="G7353" t="s">
        <v>59</v>
      </c>
      <c r="H7353">
        <v>2024</v>
      </c>
    </row>
    <row r="7354" spans="1:8" x14ac:dyDescent="0.2">
      <c r="A7354">
        <v>281817</v>
      </c>
      <c r="B7354">
        <v>9979190</v>
      </c>
      <c r="C7354" t="str">
        <f t="shared" si="114"/>
        <v>2. $10K-50K</v>
      </c>
      <c r="D7354" t="s">
        <v>2275</v>
      </c>
      <c r="E7354" t="s">
        <v>8</v>
      </c>
      <c r="F7354" t="s">
        <v>668</v>
      </c>
      <c r="G7354" t="s">
        <v>59</v>
      </c>
      <c r="H7354">
        <v>2024</v>
      </c>
    </row>
    <row r="7355" spans="1:8" x14ac:dyDescent="0.2">
      <c r="A7355">
        <v>281839</v>
      </c>
      <c r="B7355">
        <v>145000</v>
      </c>
      <c r="C7355" t="str">
        <f t="shared" si="114"/>
        <v>5. $1M+</v>
      </c>
      <c r="D7355" t="s">
        <v>2276</v>
      </c>
      <c r="E7355" t="s">
        <v>18</v>
      </c>
      <c r="F7355" t="s">
        <v>668</v>
      </c>
      <c r="G7355" t="s">
        <v>59</v>
      </c>
      <c r="H7355">
        <v>2024</v>
      </c>
    </row>
    <row r="7356" spans="1:8" x14ac:dyDescent="0.2">
      <c r="A7356">
        <v>281864</v>
      </c>
      <c r="B7356">
        <v>23230</v>
      </c>
      <c r="C7356" t="str">
        <f t="shared" si="114"/>
        <v>3. $50K-250K</v>
      </c>
      <c r="D7356" t="s">
        <v>850</v>
      </c>
      <c r="E7356" t="s">
        <v>825</v>
      </c>
      <c r="F7356" t="s">
        <v>670</v>
      </c>
      <c r="G7356" t="s">
        <v>59</v>
      </c>
      <c r="H7356">
        <v>2024</v>
      </c>
    </row>
    <row r="7357" spans="1:8" x14ac:dyDescent="0.2">
      <c r="A7357">
        <v>281882</v>
      </c>
      <c r="B7357">
        <v>43800</v>
      </c>
      <c r="C7357" t="str">
        <f t="shared" si="114"/>
        <v>2. $10K-50K</v>
      </c>
      <c r="D7357" t="s">
        <v>871</v>
      </c>
      <c r="E7357" t="s">
        <v>237</v>
      </c>
      <c r="F7357" t="s">
        <v>670</v>
      </c>
      <c r="G7357" t="s">
        <v>59</v>
      </c>
      <c r="H7357">
        <v>2024</v>
      </c>
    </row>
    <row r="7358" spans="1:8" x14ac:dyDescent="0.2">
      <c r="A7358">
        <v>281917</v>
      </c>
      <c r="B7358">
        <v>764568</v>
      </c>
      <c r="C7358" t="str">
        <f t="shared" si="114"/>
        <v>2. $10K-50K</v>
      </c>
      <c r="D7358" t="s">
        <v>728</v>
      </c>
      <c r="E7358" t="s">
        <v>237</v>
      </c>
      <c r="F7358" t="s">
        <v>670</v>
      </c>
      <c r="G7358" t="s">
        <v>59</v>
      </c>
      <c r="H7358">
        <v>2024</v>
      </c>
    </row>
    <row r="7359" spans="1:8" x14ac:dyDescent="0.2">
      <c r="A7359">
        <v>281919</v>
      </c>
      <c r="B7359">
        <v>559555</v>
      </c>
      <c r="C7359" t="str">
        <f t="shared" si="114"/>
        <v>4. $250K-1M</v>
      </c>
      <c r="D7359" t="s">
        <v>701</v>
      </c>
      <c r="E7359" t="s">
        <v>237</v>
      </c>
      <c r="F7359" t="s">
        <v>670</v>
      </c>
      <c r="G7359" t="s">
        <v>59</v>
      </c>
      <c r="H7359">
        <v>2024</v>
      </c>
    </row>
    <row r="7360" spans="1:8" x14ac:dyDescent="0.2">
      <c r="A7360">
        <v>281920</v>
      </c>
      <c r="B7360">
        <v>546120</v>
      </c>
      <c r="C7360" t="str">
        <f t="shared" si="114"/>
        <v>4. $250K-1M</v>
      </c>
      <c r="D7360" t="s">
        <v>701</v>
      </c>
      <c r="E7360" t="s">
        <v>237</v>
      </c>
      <c r="F7360" t="s">
        <v>670</v>
      </c>
      <c r="G7360" t="s">
        <v>59</v>
      </c>
      <c r="H7360">
        <v>2024</v>
      </c>
    </row>
    <row r="7361" spans="1:8" x14ac:dyDescent="0.2">
      <c r="A7361">
        <v>281921</v>
      </c>
      <c r="B7361">
        <v>460810</v>
      </c>
      <c r="C7361" t="str">
        <f t="shared" si="114"/>
        <v>4. $250K-1M</v>
      </c>
      <c r="D7361" t="s">
        <v>727</v>
      </c>
      <c r="E7361" t="s">
        <v>237</v>
      </c>
      <c r="F7361" t="s">
        <v>670</v>
      </c>
      <c r="G7361" t="s">
        <v>59</v>
      </c>
      <c r="H7361">
        <v>2024</v>
      </c>
    </row>
    <row r="7362" spans="1:8" x14ac:dyDescent="0.2">
      <c r="A7362">
        <v>282009</v>
      </c>
      <c r="B7362">
        <v>22255000</v>
      </c>
      <c r="C7362" t="str">
        <f t="shared" si="114"/>
        <v>4. $250K-1M</v>
      </c>
      <c r="D7362" t="s">
        <v>2277</v>
      </c>
      <c r="E7362" t="s">
        <v>99</v>
      </c>
      <c r="F7362" t="s">
        <v>668</v>
      </c>
      <c r="G7362" t="s">
        <v>59</v>
      </c>
      <c r="H7362">
        <v>2024</v>
      </c>
    </row>
    <row r="7363" spans="1:8" x14ac:dyDescent="0.2">
      <c r="A7363">
        <v>282015</v>
      </c>
      <c r="B7363">
        <v>250000</v>
      </c>
      <c r="C7363" t="str">
        <f t="shared" ref="C7363:C7426" si="115">IF(B7362&lt;10000,"1. Under $10K",IF(B7362&lt;50000,"2. $10K-50K",IF(B7362&lt;250000,"3. $50K-250K",IF(B7362&lt;1000000,"4. $250K-1M","5. $1M+"))))</f>
        <v>5. $1M+</v>
      </c>
      <c r="D7363" t="s">
        <v>2278</v>
      </c>
      <c r="E7363" t="s">
        <v>99</v>
      </c>
      <c r="F7363" t="s">
        <v>668</v>
      </c>
      <c r="G7363" t="s">
        <v>59</v>
      </c>
      <c r="H7363">
        <v>2024</v>
      </c>
    </row>
    <row r="7364" spans="1:8" x14ac:dyDescent="0.2">
      <c r="A7364">
        <v>282032</v>
      </c>
      <c r="B7364">
        <v>24000</v>
      </c>
      <c r="C7364" t="str">
        <f t="shared" si="115"/>
        <v>4. $250K-1M</v>
      </c>
      <c r="D7364" t="s">
        <v>692</v>
      </c>
      <c r="E7364" t="s">
        <v>237</v>
      </c>
      <c r="F7364" t="s">
        <v>670</v>
      </c>
      <c r="G7364" t="s">
        <v>44</v>
      </c>
      <c r="H7364">
        <v>2024</v>
      </c>
    </row>
    <row r="7365" spans="1:8" x14ac:dyDescent="0.2">
      <c r="A7365">
        <v>282033</v>
      </c>
      <c r="B7365">
        <v>90000</v>
      </c>
      <c r="C7365" t="str">
        <f t="shared" si="115"/>
        <v>2. $10K-50K</v>
      </c>
      <c r="D7365" t="s">
        <v>1046</v>
      </c>
      <c r="E7365" t="s">
        <v>237</v>
      </c>
      <c r="F7365" t="s">
        <v>670</v>
      </c>
      <c r="G7365" t="s">
        <v>44</v>
      </c>
      <c r="H7365">
        <v>2024</v>
      </c>
    </row>
    <row r="7366" spans="1:8" x14ac:dyDescent="0.2">
      <c r="A7366">
        <v>282034</v>
      </c>
      <c r="B7366">
        <v>300000</v>
      </c>
      <c r="C7366" t="str">
        <f t="shared" si="115"/>
        <v>3. $50K-250K</v>
      </c>
      <c r="D7366" t="s">
        <v>718</v>
      </c>
      <c r="E7366" t="s">
        <v>237</v>
      </c>
      <c r="F7366" t="s">
        <v>670</v>
      </c>
      <c r="G7366" t="s">
        <v>44</v>
      </c>
      <c r="H7366">
        <v>2024</v>
      </c>
    </row>
    <row r="7367" spans="1:8" x14ac:dyDescent="0.2">
      <c r="A7367">
        <v>282035</v>
      </c>
      <c r="B7367">
        <v>800000</v>
      </c>
      <c r="C7367" t="str">
        <f t="shared" si="115"/>
        <v>4. $250K-1M</v>
      </c>
      <c r="D7367" t="s">
        <v>694</v>
      </c>
      <c r="E7367" t="s">
        <v>237</v>
      </c>
      <c r="F7367" t="s">
        <v>670</v>
      </c>
      <c r="G7367" t="s">
        <v>44</v>
      </c>
      <c r="H7367">
        <v>2024</v>
      </c>
    </row>
    <row r="7368" spans="1:8" x14ac:dyDescent="0.2">
      <c r="A7368">
        <v>282043</v>
      </c>
      <c r="B7368">
        <v>300000</v>
      </c>
      <c r="C7368" t="str">
        <f t="shared" si="115"/>
        <v>4. $250K-1M</v>
      </c>
      <c r="D7368" t="s">
        <v>801</v>
      </c>
      <c r="E7368" t="s">
        <v>59</v>
      </c>
      <c r="F7368" t="s">
        <v>670</v>
      </c>
      <c r="G7368" t="s">
        <v>59</v>
      </c>
      <c r="H7368">
        <v>2024</v>
      </c>
    </row>
    <row r="7369" spans="1:8" x14ac:dyDescent="0.2">
      <c r="A7369">
        <v>282094</v>
      </c>
      <c r="B7369">
        <v>1065000</v>
      </c>
      <c r="C7369" t="str">
        <f t="shared" si="115"/>
        <v>4. $250K-1M</v>
      </c>
      <c r="D7369" t="s">
        <v>726</v>
      </c>
      <c r="E7369" t="s">
        <v>237</v>
      </c>
      <c r="F7369" t="s">
        <v>670</v>
      </c>
      <c r="G7369" t="s">
        <v>44</v>
      </c>
      <c r="H7369">
        <v>2024</v>
      </c>
    </row>
    <row r="7370" spans="1:8" x14ac:dyDescent="0.2">
      <c r="A7370">
        <v>282096</v>
      </c>
      <c r="B7370">
        <v>3200000</v>
      </c>
      <c r="C7370" t="str">
        <f t="shared" si="115"/>
        <v>5. $1M+</v>
      </c>
      <c r="D7370" t="s">
        <v>698</v>
      </c>
      <c r="E7370" t="s">
        <v>237</v>
      </c>
      <c r="F7370" t="s">
        <v>670</v>
      </c>
      <c r="G7370" t="s">
        <v>44</v>
      </c>
      <c r="H7370">
        <v>2024</v>
      </c>
    </row>
    <row r="7371" spans="1:8" x14ac:dyDescent="0.2">
      <c r="A7371">
        <v>282100</v>
      </c>
      <c r="B7371">
        <v>1513800</v>
      </c>
      <c r="C7371" t="str">
        <f t="shared" si="115"/>
        <v>5. $1M+</v>
      </c>
      <c r="D7371" t="s">
        <v>1059</v>
      </c>
      <c r="E7371" t="s">
        <v>237</v>
      </c>
      <c r="F7371" t="s">
        <v>670</v>
      </c>
      <c r="G7371" t="s">
        <v>44</v>
      </c>
      <c r="H7371">
        <v>2024</v>
      </c>
    </row>
    <row r="7372" spans="1:8" x14ac:dyDescent="0.2">
      <c r="A7372">
        <v>282105</v>
      </c>
      <c r="B7372">
        <v>50000</v>
      </c>
      <c r="C7372" t="str">
        <f t="shared" si="115"/>
        <v>5. $1M+</v>
      </c>
      <c r="D7372" t="s">
        <v>699</v>
      </c>
      <c r="E7372" t="s">
        <v>237</v>
      </c>
      <c r="F7372" t="s">
        <v>670</v>
      </c>
      <c r="G7372" t="s">
        <v>44</v>
      </c>
      <c r="H7372">
        <v>2024</v>
      </c>
    </row>
    <row r="7373" spans="1:8" x14ac:dyDescent="0.2">
      <c r="A7373">
        <v>282107</v>
      </c>
      <c r="B7373">
        <v>540000</v>
      </c>
      <c r="C7373" t="str">
        <f t="shared" si="115"/>
        <v>3. $50K-250K</v>
      </c>
      <c r="D7373" t="s">
        <v>700</v>
      </c>
      <c r="E7373" t="s">
        <v>237</v>
      </c>
      <c r="F7373" t="s">
        <v>670</v>
      </c>
      <c r="G7373" t="s">
        <v>44</v>
      </c>
      <c r="H7373">
        <v>2025</v>
      </c>
    </row>
    <row r="7374" spans="1:8" x14ac:dyDescent="0.2">
      <c r="A7374">
        <v>282114</v>
      </c>
      <c r="B7374">
        <v>24000</v>
      </c>
      <c r="C7374" t="str">
        <f t="shared" si="115"/>
        <v>4. $250K-1M</v>
      </c>
      <c r="D7374" t="s">
        <v>703</v>
      </c>
      <c r="E7374" t="s">
        <v>237</v>
      </c>
      <c r="F7374" t="s">
        <v>670</v>
      </c>
      <c r="G7374" t="s">
        <v>44</v>
      </c>
      <c r="H7374">
        <v>2024</v>
      </c>
    </row>
    <row r="7375" spans="1:8" x14ac:dyDescent="0.2">
      <c r="A7375">
        <v>282118</v>
      </c>
      <c r="B7375">
        <v>119000</v>
      </c>
      <c r="C7375" t="str">
        <f t="shared" si="115"/>
        <v>2. $10K-50K</v>
      </c>
      <c r="D7375" t="s">
        <v>740</v>
      </c>
      <c r="E7375" t="s">
        <v>237</v>
      </c>
      <c r="F7375" t="s">
        <v>670</v>
      </c>
      <c r="G7375" t="s">
        <v>44</v>
      </c>
      <c r="H7375">
        <v>2024</v>
      </c>
    </row>
    <row r="7376" spans="1:8" x14ac:dyDescent="0.2">
      <c r="A7376">
        <v>282127</v>
      </c>
      <c r="B7376">
        <v>2400000</v>
      </c>
      <c r="C7376" t="str">
        <f t="shared" si="115"/>
        <v>3. $50K-250K</v>
      </c>
      <c r="D7376" t="s">
        <v>749</v>
      </c>
      <c r="E7376" t="s">
        <v>237</v>
      </c>
      <c r="F7376" t="s">
        <v>670</v>
      </c>
      <c r="G7376" t="s">
        <v>44</v>
      </c>
      <c r="H7376">
        <v>2024</v>
      </c>
    </row>
    <row r="7377" spans="1:8" x14ac:dyDescent="0.2">
      <c r="A7377">
        <v>282130</v>
      </c>
      <c r="B7377">
        <v>640000</v>
      </c>
      <c r="C7377" t="str">
        <f t="shared" si="115"/>
        <v>5. $1M+</v>
      </c>
      <c r="D7377" t="s">
        <v>706</v>
      </c>
      <c r="E7377" t="s">
        <v>237</v>
      </c>
      <c r="F7377" t="s">
        <v>670</v>
      </c>
      <c r="G7377" t="s">
        <v>44</v>
      </c>
      <c r="H7377">
        <v>2024</v>
      </c>
    </row>
    <row r="7378" spans="1:8" x14ac:dyDescent="0.2">
      <c r="A7378">
        <v>282141</v>
      </c>
      <c r="B7378">
        <v>170000</v>
      </c>
      <c r="C7378" t="str">
        <f t="shared" si="115"/>
        <v>4. $250K-1M</v>
      </c>
      <c r="D7378" t="s">
        <v>751</v>
      </c>
      <c r="E7378" t="s">
        <v>237</v>
      </c>
      <c r="F7378" t="s">
        <v>670</v>
      </c>
      <c r="G7378" t="s">
        <v>44</v>
      </c>
      <c r="H7378">
        <v>2024</v>
      </c>
    </row>
    <row r="7379" spans="1:8" x14ac:dyDescent="0.2">
      <c r="A7379">
        <v>282142</v>
      </c>
      <c r="B7379">
        <v>1306700</v>
      </c>
      <c r="C7379" t="str">
        <f t="shared" si="115"/>
        <v>3. $50K-250K</v>
      </c>
      <c r="D7379" t="s">
        <v>754</v>
      </c>
      <c r="E7379" t="s">
        <v>237</v>
      </c>
      <c r="F7379" t="s">
        <v>670</v>
      </c>
      <c r="G7379" t="s">
        <v>44</v>
      </c>
      <c r="H7379">
        <v>2024</v>
      </c>
    </row>
    <row r="7380" spans="1:8" x14ac:dyDescent="0.2">
      <c r="A7380">
        <v>282143</v>
      </c>
      <c r="B7380">
        <v>155500</v>
      </c>
      <c r="C7380" t="str">
        <f t="shared" si="115"/>
        <v>5. $1M+</v>
      </c>
      <c r="D7380" t="s">
        <v>784</v>
      </c>
      <c r="E7380" t="s">
        <v>237</v>
      </c>
      <c r="F7380" t="s">
        <v>670</v>
      </c>
      <c r="G7380" t="s">
        <v>44</v>
      </c>
      <c r="H7380">
        <v>2024</v>
      </c>
    </row>
    <row r="7381" spans="1:8" x14ac:dyDescent="0.2">
      <c r="A7381">
        <v>282144</v>
      </c>
      <c r="B7381">
        <v>24000</v>
      </c>
      <c r="C7381" t="str">
        <f t="shared" si="115"/>
        <v>3. $50K-250K</v>
      </c>
      <c r="D7381" t="s">
        <v>767</v>
      </c>
      <c r="E7381" t="s">
        <v>237</v>
      </c>
      <c r="F7381" t="s">
        <v>670</v>
      </c>
      <c r="G7381" t="s">
        <v>44</v>
      </c>
      <c r="H7381">
        <v>2024</v>
      </c>
    </row>
    <row r="7382" spans="1:8" x14ac:dyDescent="0.2">
      <c r="A7382">
        <v>282145</v>
      </c>
      <c r="B7382">
        <v>521800</v>
      </c>
      <c r="C7382" t="str">
        <f t="shared" si="115"/>
        <v>2. $10K-50K</v>
      </c>
      <c r="D7382" t="s">
        <v>711</v>
      </c>
      <c r="E7382" t="s">
        <v>237</v>
      </c>
      <c r="F7382" t="s">
        <v>670</v>
      </c>
      <c r="G7382" t="s">
        <v>44</v>
      </c>
      <c r="H7382">
        <v>2024</v>
      </c>
    </row>
    <row r="7383" spans="1:8" x14ac:dyDescent="0.2">
      <c r="A7383">
        <v>282150</v>
      </c>
      <c r="B7383">
        <v>1959000</v>
      </c>
      <c r="C7383" t="str">
        <f t="shared" si="115"/>
        <v>4. $250K-1M</v>
      </c>
      <c r="D7383" t="s">
        <v>712</v>
      </c>
      <c r="E7383" t="s">
        <v>237</v>
      </c>
      <c r="F7383" t="s">
        <v>670</v>
      </c>
      <c r="G7383" t="s">
        <v>44</v>
      </c>
      <c r="H7383">
        <v>2024</v>
      </c>
    </row>
    <row r="7384" spans="1:8" x14ac:dyDescent="0.2">
      <c r="A7384">
        <v>282152</v>
      </c>
      <c r="B7384">
        <v>1300000</v>
      </c>
      <c r="C7384" t="str">
        <f t="shared" si="115"/>
        <v>5. $1M+</v>
      </c>
      <c r="D7384" t="s">
        <v>713</v>
      </c>
      <c r="E7384" t="s">
        <v>237</v>
      </c>
      <c r="F7384" t="s">
        <v>670</v>
      </c>
      <c r="G7384" t="s">
        <v>44</v>
      </c>
      <c r="H7384">
        <v>2024</v>
      </c>
    </row>
    <row r="7385" spans="1:8" x14ac:dyDescent="0.2">
      <c r="A7385">
        <v>282195</v>
      </c>
      <c r="B7385">
        <v>1295838</v>
      </c>
      <c r="C7385" t="str">
        <f t="shared" si="115"/>
        <v>5. $1M+</v>
      </c>
      <c r="D7385" t="s">
        <v>727</v>
      </c>
      <c r="E7385" t="s">
        <v>237</v>
      </c>
      <c r="F7385" t="s">
        <v>670</v>
      </c>
      <c r="G7385" t="s">
        <v>59</v>
      </c>
      <c r="H7385">
        <v>2024</v>
      </c>
    </row>
    <row r="7386" spans="1:8" x14ac:dyDescent="0.2">
      <c r="A7386">
        <v>282249</v>
      </c>
      <c r="B7386">
        <v>111911</v>
      </c>
      <c r="C7386" t="str">
        <f t="shared" si="115"/>
        <v>5. $1M+</v>
      </c>
      <c r="D7386" t="s">
        <v>750</v>
      </c>
      <c r="E7386" t="s">
        <v>237</v>
      </c>
      <c r="F7386" t="s">
        <v>670</v>
      </c>
      <c r="G7386" t="s">
        <v>59</v>
      </c>
      <c r="H7386">
        <v>2024</v>
      </c>
    </row>
    <row r="7387" spans="1:8" x14ac:dyDescent="0.2">
      <c r="A7387">
        <v>282250</v>
      </c>
      <c r="B7387">
        <v>1201464</v>
      </c>
      <c r="C7387" t="str">
        <f t="shared" si="115"/>
        <v>3. $50K-250K</v>
      </c>
      <c r="D7387" t="s">
        <v>709</v>
      </c>
      <c r="E7387" t="s">
        <v>237</v>
      </c>
      <c r="F7387" t="s">
        <v>670</v>
      </c>
      <c r="G7387" t="s">
        <v>59</v>
      </c>
      <c r="H7387">
        <v>2024</v>
      </c>
    </row>
    <row r="7388" spans="1:8" x14ac:dyDescent="0.2">
      <c r="A7388">
        <v>282273</v>
      </c>
      <c r="B7388">
        <v>1116225</v>
      </c>
      <c r="C7388" t="str">
        <f t="shared" si="115"/>
        <v>5. $1M+</v>
      </c>
      <c r="D7388" t="s">
        <v>695</v>
      </c>
      <c r="E7388" t="s">
        <v>237</v>
      </c>
      <c r="F7388" t="s">
        <v>670</v>
      </c>
      <c r="G7388" t="s">
        <v>44</v>
      </c>
      <c r="H7388">
        <v>2024</v>
      </c>
    </row>
    <row r="7389" spans="1:8" x14ac:dyDescent="0.2">
      <c r="A7389">
        <v>282275</v>
      </c>
      <c r="B7389">
        <v>285257</v>
      </c>
      <c r="C7389" t="str">
        <f t="shared" si="115"/>
        <v>5. $1M+</v>
      </c>
      <c r="D7389" t="s">
        <v>702</v>
      </c>
      <c r="E7389" t="s">
        <v>237</v>
      </c>
      <c r="F7389" t="s">
        <v>670</v>
      </c>
      <c r="G7389" t="s">
        <v>59</v>
      </c>
      <c r="H7389">
        <v>2024</v>
      </c>
    </row>
    <row r="7390" spans="1:8" x14ac:dyDescent="0.2">
      <c r="A7390">
        <v>282276</v>
      </c>
      <c r="B7390">
        <v>570515</v>
      </c>
      <c r="C7390" t="str">
        <f t="shared" si="115"/>
        <v>4. $250K-1M</v>
      </c>
      <c r="D7390" t="s">
        <v>703</v>
      </c>
      <c r="E7390" t="s">
        <v>237</v>
      </c>
      <c r="F7390" t="s">
        <v>670</v>
      </c>
      <c r="G7390" t="s">
        <v>59</v>
      </c>
      <c r="H7390">
        <v>2024</v>
      </c>
    </row>
    <row r="7391" spans="1:8" x14ac:dyDescent="0.2">
      <c r="A7391">
        <v>282278</v>
      </c>
      <c r="B7391">
        <v>260453</v>
      </c>
      <c r="C7391" t="str">
        <f t="shared" si="115"/>
        <v>4. $250K-1M</v>
      </c>
      <c r="D7391" t="s">
        <v>725</v>
      </c>
      <c r="E7391" t="s">
        <v>237</v>
      </c>
      <c r="F7391" t="s">
        <v>670</v>
      </c>
      <c r="G7391" t="s">
        <v>59</v>
      </c>
      <c r="H7391">
        <v>2024</v>
      </c>
    </row>
    <row r="7392" spans="1:8" x14ac:dyDescent="0.2">
      <c r="A7392">
        <v>282279</v>
      </c>
      <c r="B7392">
        <v>558113</v>
      </c>
      <c r="C7392" t="str">
        <f t="shared" si="115"/>
        <v>4. $250K-1M</v>
      </c>
      <c r="D7392" t="s">
        <v>829</v>
      </c>
      <c r="E7392" t="s">
        <v>237</v>
      </c>
      <c r="F7392" t="s">
        <v>670</v>
      </c>
      <c r="G7392" t="s">
        <v>59</v>
      </c>
      <c r="H7392">
        <v>2024</v>
      </c>
    </row>
    <row r="7393" spans="1:8" x14ac:dyDescent="0.2">
      <c r="A7393">
        <v>282280</v>
      </c>
      <c r="B7393">
        <v>148830</v>
      </c>
      <c r="C7393" t="str">
        <f t="shared" si="115"/>
        <v>4. $250K-1M</v>
      </c>
      <c r="D7393" t="s">
        <v>762</v>
      </c>
      <c r="E7393" t="s">
        <v>237</v>
      </c>
      <c r="F7393" t="s">
        <v>670</v>
      </c>
      <c r="G7393" t="s">
        <v>59</v>
      </c>
      <c r="H7393">
        <v>2024</v>
      </c>
    </row>
    <row r="7394" spans="1:8" x14ac:dyDescent="0.2">
      <c r="A7394">
        <v>282330</v>
      </c>
      <c r="B7394">
        <v>2452.6</v>
      </c>
      <c r="C7394" t="str">
        <f t="shared" si="115"/>
        <v>3. $50K-250K</v>
      </c>
      <c r="D7394" t="s">
        <v>2279</v>
      </c>
      <c r="E7394" t="s">
        <v>112</v>
      </c>
      <c r="F7394" t="s">
        <v>668</v>
      </c>
      <c r="G7394" t="s">
        <v>59</v>
      </c>
      <c r="H7394">
        <v>2024</v>
      </c>
    </row>
    <row r="7395" spans="1:8" x14ac:dyDescent="0.2">
      <c r="A7395">
        <v>282350</v>
      </c>
      <c r="B7395">
        <v>764568</v>
      </c>
      <c r="C7395" t="str">
        <f t="shared" si="115"/>
        <v>1. Under $10K</v>
      </c>
      <c r="D7395" t="s">
        <v>749</v>
      </c>
      <c r="E7395" t="s">
        <v>237</v>
      </c>
      <c r="F7395" t="s">
        <v>670</v>
      </c>
      <c r="G7395" t="s">
        <v>59</v>
      </c>
      <c r="H7395">
        <v>2024</v>
      </c>
    </row>
    <row r="7396" spans="1:8" x14ac:dyDescent="0.2">
      <c r="A7396">
        <v>282372</v>
      </c>
      <c r="B7396">
        <v>655344</v>
      </c>
      <c r="C7396" t="str">
        <f t="shared" si="115"/>
        <v>4. $250K-1M</v>
      </c>
      <c r="D7396" t="s">
        <v>697</v>
      </c>
      <c r="E7396" t="s">
        <v>237</v>
      </c>
      <c r="F7396" t="s">
        <v>670</v>
      </c>
      <c r="G7396" t="s">
        <v>59</v>
      </c>
      <c r="H7396">
        <v>2024</v>
      </c>
    </row>
    <row r="7397" spans="1:8" x14ac:dyDescent="0.2">
      <c r="A7397">
        <v>282380</v>
      </c>
      <c r="B7397">
        <v>974284</v>
      </c>
      <c r="C7397" t="str">
        <f t="shared" si="115"/>
        <v>4. $250K-1M</v>
      </c>
      <c r="D7397" t="s">
        <v>697</v>
      </c>
      <c r="E7397" t="s">
        <v>237</v>
      </c>
      <c r="F7397" t="s">
        <v>670</v>
      </c>
      <c r="G7397" t="s">
        <v>59</v>
      </c>
      <c r="H7397">
        <v>2024</v>
      </c>
    </row>
    <row r="7398" spans="1:8" x14ac:dyDescent="0.2">
      <c r="A7398">
        <v>282382</v>
      </c>
      <c r="B7398">
        <v>1119310</v>
      </c>
      <c r="C7398" t="str">
        <f t="shared" si="115"/>
        <v>4. $250K-1M</v>
      </c>
      <c r="D7398" t="s">
        <v>749</v>
      </c>
      <c r="E7398" t="s">
        <v>237</v>
      </c>
      <c r="F7398" t="s">
        <v>670</v>
      </c>
      <c r="G7398" t="s">
        <v>59</v>
      </c>
      <c r="H7398">
        <v>2024</v>
      </c>
    </row>
    <row r="7399" spans="1:8" x14ac:dyDescent="0.2">
      <c r="A7399">
        <v>282417</v>
      </c>
      <c r="B7399">
        <v>116101</v>
      </c>
      <c r="C7399" t="str">
        <f t="shared" si="115"/>
        <v>5. $1M+</v>
      </c>
      <c r="D7399" t="s">
        <v>860</v>
      </c>
      <c r="E7399" t="s">
        <v>237</v>
      </c>
      <c r="F7399" t="s">
        <v>670</v>
      </c>
      <c r="G7399" t="s">
        <v>59</v>
      </c>
      <c r="H7399">
        <v>2024</v>
      </c>
    </row>
    <row r="7400" spans="1:8" x14ac:dyDescent="0.2">
      <c r="A7400">
        <v>282418</v>
      </c>
      <c r="B7400">
        <v>227420</v>
      </c>
      <c r="C7400" t="str">
        <f t="shared" si="115"/>
        <v>3. $50K-250K</v>
      </c>
      <c r="D7400" t="s">
        <v>879</v>
      </c>
      <c r="E7400" t="s">
        <v>237</v>
      </c>
      <c r="F7400" t="s">
        <v>670</v>
      </c>
      <c r="G7400" t="s">
        <v>59</v>
      </c>
      <c r="H7400">
        <v>2024</v>
      </c>
    </row>
    <row r="7401" spans="1:8" x14ac:dyDescent="0.2">
      <c r="A7401">
        <v>282440</v>
      </c>
      <c r="B7401">
        <v>967500</v>
      </c>
      <c r="C7401" t="str">
        <f t="shared" si="115"/>
        <v>3. $50K-250K</v>
      </c>
      <c r="D7401" t="s">
        <v>749</v>
      </c>
      <c r="E7401" t="s">
        <v>237</v>
      </c>
      <c r="F7401" t="s">
        <v>670</v>
      </c>
      <c r="G7401" t="s">
        <v>59</v>
      </c>
      <c r="H7401">
        <v>2024</v>
      </c>
    </row>
    <row r="7402" spans="1:8" x14ac:dyDescent="0.2">
      <c r="A7402">
        <v>282448</v>
      </c>
      <c r="B7402">
        <v>1273164</v>
      </c>
      <c r="C7402" t="str">
        <f t="shared" si="115"/>
        <v>4. $250K-1M</v>
      </c>
      <c r="D7402" t="s">
        <v>768</v>
      </c>
      <c r="E7402" t="s">
        <v>237</v>
      </c>
      <c r="F7402" t="s">
        <v>670</v>
      </c>
      <c r="G7402" t="s">
        <v>59</v>
      </c>
      <c r="H7402">
        <v>2024</v>
      </c>
    </row>
    <row r="7403" spans="1:8" x14ac:dyDescent="0.2">
      <c r="A7403">
        <v>282449</v>
      </c>
      <c r="B7403">
        <v>898704</v>
      </c>
      <c r="C7403" t="str">
        <f t="shared" si="115"/>
        <v>5. $1M+</v>
      </c>
      <c r="D7403" t="s">
        <v>763</v>
      </c>
      <c r="E7403" t="s">
        <v>237</v>
      </c>
      <c r="F7403" t="s">
        <v>670</v>
      </c>
      <c r="G7403" t="s">
        <v>59</v>
      </c>
      <c r="H7403">
        <v>2024</v>
      </c>
    </row>
    <row r="7404" spans="1:8" x14ac:dyDescent="0.2">
      <c r="A7404">
        <v>282451</v>
      </c>
      <c r="B7404">
        <v>227148</v>
      </c>
      <c r="C7404" t="str">
        <f t="shared" si="115"/>
        <v>4. $250K-1M</v>
      </c>
      <c r="D7404" t="s">
        <v>721</v>
      </c>
      <c r="E7404" t="s">
        <v>237</v>
      </c>
      <c r="F7404" t="s">
        <v>670</v>
      </c>
      <c r="G7404" t="s">
        <v>59</v>
      </c>
      <c r="H7404">
        <v>2024</v>
      </c>
    </row>
    <row r="7405" spans="1:8" x14ac:dyDescent="0.2">
      <c r="A7405">
        <v>282542</v>
      </c>
      <c r="B7405">
        <v>13698107</v>
      </c>
      <c r="C7405" t="str">
        <f t="shared" si="115"/>
        <v>3. $50K-250K</v>
      </c>
      <c r="D7405" t="s">
        <v>16</v>
      </c>
      <c r="E7405" t="s">
        <v>8</v>
      </c>
      <c r="F7405" t="s">
        <v>14</v>
      </c>
      <c r="G7405" t="s">
        <v>61</v>
      </c>
      <c r="H7405">
        <v>2025</v>
      </c>
    </row>
    <row r="7406" spans="1:8" x14ac:dyDescent="0.2">
      <c r="A7406">
        <v>282563</v>
      </c>
      <c r="B7406">
        <v>2350131</v>
      </c>
      <c r="C7406" t="str">
        <f t="shared" si="115"/>
        <v>5. $1M+</v>
      </c>
      <c r="D7406" t="s">
        <v>700</v>
      </c>
      <c r="E7406" t="s">
        <v>237</v>
      </c>
      <c r="F7406" t="s">
        <v>670</v>
      </c>
      <c r="G7406" t="s">
        <v>59</v>
      </c>
      <c r="H7406">
        <v>2024</v>
      </c>
    </row>
    <row r="7407" spans="1:8" x14ac:dyDescent="0.2">
      <c r="A7407">
        <v>282566</v>
      </c>
      <c r="B7407">
        <v>368648</v>
      </c>
      <c r="C7407" t="str">
        <f t="shared" si="115"/>
        <v>5. $1M+</v>
      </c>
      <c r="D7407" t="s">
        <v>703</v>
      </c>
      <c r="E7407" t="s">
        <v>237</v>
      </c>
      <c r="F7407" t="s">
        <v>670</v>
      </c>
      <c r="G7407" t="s">
        <v>59</v>
      </c>
      <c r="H7407">
        <v>2024</v>
      </c>
    </row>
    <row r="7408" spans="1:8" x14ac:dyDescent="0.2">
      <c r="A7408">
        <v>282568</v>
      </c>
      <c r="B7408">
        <v>434478</v>
      </c>
      <c r="C7408" t="str">
        <f t="shared" si="115"/>
        <v>4. $250K-1M</v>
      </c>
      <c r="D7408" t="s">
        <v>1513</v>
      </c>
      <c r="E7408" t="s">
        <v>237</v>
      </c>
      <c r="F7408" t="s">
        <v>670</v>
      </c>
      <c r="G7408" t="s">
        <v>59</v>
      </c>
      <c r="H7408">
        <v>2024</v>
      </c>
    </row>
    <row r="7409" spans="1:8" x14ac:dyDescent="0.2">
      <c r="A7409">
        <v>282573</v>
      </c>
      <c r="B7409">
        <v>1045000</v>
      </c>
      <c r="C7409" t="str">
        <f t="shared" si="115"/>
        <v>4. $250K-1M</v>
      </c>
      <c r="D7409" t="s">
        <v>1611</v>
      </c>
      <c r="E7409" t="s">
        <v>237</v>
      </c>
      <c r="F7409" t="s">
        <v>670</v>
      </c>
      <c r="G7409" t="s">
        <v>59</v>
      </c>
      <c r="H7409">
        <v>2024</v>
      </c>
    </row>
    <row r="7410" spans="1:8" x14ac:dyDescent="0.2">
      <c r="A7410">
        <v>282575</v>
      </c>
      <c r="B7410">
        <v>1243168</v>
      </c>
      <c r="C7410" t="str">
        <f t="shared" si="115"/>
        <v>5. $1M+</v>
      </c>
      <c r="D7410" t="s">
        <v>1611</v>
      </c>
      <c r="E7410" t="s">
        <v>237</v>
      </c>
      <c r="F7410" t="s">
        <v>670</v>
      </c>
      <c r="G7410" t="s">
        <v>59</v>
      </c>
      <c r="H7410">
        <v>2024</v>
      </c>
    </row>
    <row r="7411" spans="1:8" x14ac:dyDescent="0.2">
      <c r="A7411">
        <v>282576</v>
      </c>
      <c r="B7411">
        <v>789.3</v>
      </c>
      <c r="C7411" t="str">
        <f t="shared" si="115"/>
        <v>5. $1M+</v>
      </c>
      <c r="D7411" t="s">
        <v>455</v>
      </c>
      <c r="E7411" t="s">
        <v>24</v>
      </c>
      <c r="F7411" t="s">
        <v>423</v>
      </c>
      <c r="G7411" t="s">
        <v>59</v>
      </c>
      <c r="H7411">
        <v>2024</v>
      </c>
    </row>
    <row r="7412" spans="1:8" x14ac:dyDescent="0.2">
      <c r="A7412">
        <v>282577</v>
      </c>
      <c r="B7412">
        <v>967500</v>
      </c>
      <c r="C7412" t="str">
        <f t="shared" si="115"/>
        <v>1. Under $10K</v>
      </c>
      <c r="D7412" t="s">
        <v>749</v>
      </c>
      <c r="E7412" t="s">
        <v>237</v>
      </c>
      <c r="F7412" t="s">
        <v>670</v>
      </c>
      <c r="G7412" t="s">
        <v>59</v>
      </c>
      <c r="H7412">
        <v>2024</v>
      </c>
    </row>
    <row r="7413" spans="1:8" x14ac:dyDescent="0.2">
      <c r="A7413">
        <v>282621</v>
      </c>
      <c r="B7413">
        <v>2600</v>
      </c>
      <c r="C7413" t="str">
        <f t="shared" si="115"/>
        <v>4. $250K-1M</v>
      </c>
      <c r="D7413" t="s">
        <v>456</v>
      </c>
      <c r="E7413" t="s">
        <v>65</v>
      </c>
      <c r="F7413" t="s">
        <v>457</v>
      </c>
      <c r="G7413" t="s">
        <v>59</v>
      </c>
      <c r="H7413">
        <v>2024</v>
      </c>
    </row>
    <row r="7414" spans="1:8" x14ac:dyDescent="0.2">
      <c r="A7414">
        <v>282626</v>
      </c>
      <c r="B7414">
        <v>11061.6</v>
      </c>
      <c r="C7414" t="str">
        <f t="shared" si="115"/>
        <v>1. Under $10K</v>
      </c>
      <c r="D7414" t="s">
        <v>458</v>
      </c>
      <c r="E7414" t="s">
        <v>65</v>
      </c>
      <c r="F7414" t="s">
        <v>459</v>
      </c>
      <c r="G7414" t="s">
        <v>59</v>
      </c>
      <c r="H7414">
        <v>2024</v>
      </c>
    </row>
    <row r="7415" spans="1:8" x14ac:dyDescent="0.2">
      <c r="A7415">
        <v>282674</v>
      </c>
      <c r="B7415">
        <v>6000</v>
      </c>
      <c r="C7415" t="str">
        <f t="shared" si="115"/>
        <v>2. $10K-50K</v>
      </c>
      <c r="D7415" t="s">
        <v>2280</v>
      </c>
      <c r="E7415" t="s">
        <v>112</v>
      </c>
      <c r="F7415" t="s">
        <v>668</v>
      </c>
      <c r="G7415" t="s">
        <v>59</v>
      </c>
      <c r="H7415">
        <v>2024</v>
      </c>
    </row>
    <row r="7416" spans="1:8" x14ac:dyDescent="0.2">
      <c r="A7416">
        <v>282680</v>
      </c>
      <c r="B7416">
        <v>135000</v>
      </c>
      <c r="C7416" t="str">
        <f t="shared" si="115"/>
        <v>1. Under $10K</v>
      </c>
      <c r="D7416" t="s">
        <v>481</v>
      </c>
      <c r="E7416" t="s">
        <v>480</v>
      </c>
      <c r="F7416" t="s">
        <v>668</v>
      </c>
      <c r="G7416" t="s">
        <v>59</v>
      </c>
      <c r="H7416">
        <v>2024</v>
      </c>
    </row>
    <row r="7417" spans="1:8" x14ac:dyDescent="0.2">
      <c r="A7417">
        <v>282734</v>
      </c>
      <c r="B7417">
        <v>1050</v>
      </c>
      <c r="C7417" t="str">
        <f t="shared" si="115"/>
        <v>3. $50K-250K</v>
      </c>
      <c r="D7417" t="s">
        <v>460</v>
      </c>
      <c r="E7417" t="s">
        <v>28</v>
      </c>
      <c r="F7417" t="s">
        <v>457</v>
      </c>
      <c r="G7417" t="s">
        <v>59</v>
      </c>
      <c r="H7417">
        <v>2024</v>
      </c>
    </row>
    <row r="7418" spans="1:8" x14ac:dyDescent="0.2">
      <c r="A7418">
        <v>282744</v>
      </c>
      <c r="B7418">
        <v>50677</v>
      </c>
      <c r="C7418" t="str">
        <f t="shared" si="115"/>
        <v>1. Under $10K</v>
      </c>
      <c r="D7418" t="s">
        <v>959</v>
      </c>
      <c r="E7418" t="s">
        <v>825</v>
      </c>
      <c r="F7418" t="s">
        <v>670</v>
      </c>
      <c r="G7418" t="s">
        <v>59</v>
      </c>
      <c r="H7418">
        <v>2024</v>
      </c>
    </row>
    <row r="7419" spans="1:8" x14ac:dyDescent="0.2">
      <c r="A7419">
        <v>282791</v>
      </c>
      <c r="B7419">
        <v>13861.8</v>
      </c>
      <c r="C7419" t="str">
        <f t="shared" si="115"/>
        <v>3. $50K-250K</v>
      </c>
      <c r="D7419" t="s">
        <v>461</v>
      </c>
      <c r="E7419" t="s">
        <v>18</v>
      </c>
      <c r="F7419" t="s">
        <v>459</v>
      </c>
      <c r="G7419" t="s">
        <v>59</v>
      </c>
      <c r="H7419">
        <v>2024</v>
      </c>
    </row>
    <row r="7420" spans="1:8" x14ac:dyDescent="0.2">
      <c r="A7420">
        <v>282803</v>
      </c>
      <c r="B7420">
        <v>9324655.6999999993</v>
      </c>
      <c r="C7420" t="str">
        <f t="shared" si="115"/>
        <v>2. $10K-50K</v>
      </c>
      <c r="D7420" t="s">
        <v>137</v>
      </c>
      <c r="E7420" t="s">
        <v>8</v>
      </c>
      <c r="F7420" t="s">
        <v>9</v>
      </c>
      <c r="G7420" t="s">
        <v>59</v>
      </c>
      <c r="H7420">
        <v>2025</v>
      </c>
    </row>
    <row r="7421" spans="1:8" x14ac:dyDescent="0.2">
      <c r="A7421">
        <v>282861</v>
      </c>
      <c r="B7421">
        <v>1687245.2</v>
      </c>
      <c r="C7421" t="str">
        <f t="shared" si="115"/>
        <v>5. $1M+</v>
      </c>
      <c r="D7421" t="s">
        <v>462</v>
      </c>
      <c r="E7421" t="s">
        <v>52</v>
      </c>
      <c r="F7421" t="s">
        <v>457</v>
      </c>
      <c r="G7421" t="s">
        <v>59</v>
      </c>
      <c r="H7421">
        <v>2024</v>
      </c>
    </row>
    <row r="7422" spans="1:8" x14ac:dyDescent="0.2">
      <c r="A7422">
        <v>28297</v>
      </c>
      <c r="B7422">
        <v>2014124.7</v>
      </c>
      <c r="C7422" t="str">
        <f t="shared" si="115"/>
        <v>5. $1M+</v>
      </c>
      <c r="D7422" t="s">
        <v>463</v>
      </c>
      <c r="E7422" t="s">
        <v>28</v>
      </c>
      <c r="F7422" t="s">
        <v>29</v>
      </c>
      <c r="G7422" t="s">
        <v>44</v>
      </c>
      <c r="H7422">
        <v>2025</v>
      </c>
    </row>
    <row r="7423" spans="1:8" x14ac:dyDescent="0.2">
      <c r="A7423">
        <v>28300</v>
      </c>
      <c r="B7423">
        <v>1072805.2</v>
      </c>
      <c r="C7423" t="str">
        <f t="shared" si="115"/>
        <v>5. $1M+</v>
      </c>
      <c r="D7423" t="s">
        <v>464</v>
      </c>
      <c r="E7423" t="s">
        <v>69</v>
      </c>
      <c r="F7423" t="s">
        <v>22</v>
      </c>
      <c r="G7423" t="s">
        <v>10</v>
      </c>
      <c r="H7423">
        <v>2023</v>
      </c>
    </row>
    <row r="7424" spans="1:8" x14ac:dyDescent="0.2">
      <c r="A7424">
        <v>283026</v>
      </c>
      <c r="B7424">
        <v>45023192.299999997</v>
      </c>
      <c r="C7424" t="str">
        <f t="shared" si="115"/>
        <v>5. $1M+</v>
      </c>
      <c r="D7424" t="s">
        <v>429</v>
      </c>
      <c r="E7424" t="s">
        <v>65</v>
      </c>
      <c r="F7424" t="s">
        <v>12</v>
      </c>
      <c r="G7424" t="s">
        <v>101</v>
      </c>
      <c r="H7424">
        <v>2025</v>
      </c>
    </row>
    <row r="7425" spans="1:8" x14ac:dyDescent="0.2">
      <c r="A7425">
        <v>283158</v>
      </c>
      <c r="B7425">
        <v>543911.69999999995</v>
      </c>
      <c r="C7425" t="str">
        <f t="shared" si="115"/>
        <v>5. $1M+</v>
      </c>
      <c r="D7425" t="s">
        <v>957</v>
      </c>
      <c r="E7425" t="s">
        <v>42</v>
      </c>
      <c r="F7425" t="s">
        <v>670</v>
      </c>
      <c r="G7425" t="s">
        <v>59</v>
      </c>
      <c r="H7425">
        <v>2024</v>
      </c>
    </row>
    <row r="7426" spans="1:8" x14ac:dyDescent="0.2">
      <c r="A7426">
        <v>283159</v>
      </c>
      <c r="B7426">
        <v>329439.40000000002</v>
      </c>
      <c r="C7426" t="str">
        <f t="shared" si="115"/>
        <v>4. $250K-1M</v>
      </c>
      <c r="D7426" t="s">
        <v>977</v>
      </c>
      <c r="E7426" t="s">
        <v>42</v>
      </c>
      <c r="F7426" t="s">
        <v>670</v>
      </c>
      <c r="G7426" t="s">
        <v>59</v>
      </c>
      <c r="H7426">
        <v>2024</v>
      </c>
    </row>
    <row r="7427" spans="1:8" x14ac:dyDescent="0.2">
      <c r="A7427">
        <v>283160</v>
      </c>
      <c r="B7427">
        <v>488183.6</v>
      </c>
      <c r="C7427" t="str">
        <f t="shared" ref="C7427:C7490" si="116">IF(B7426&lt;10000,"1. Under $10K",IF(B7426&lt;50000,"2. $10K-50K",IF(B7426&lt;250000,"3. $50K-250K",IF(B7426&lt;1000000,"4. $250K-1M","5. $1M+"))))</f>
        <v>4. $250K-1M</v>
      </c>
      <c r="D7427" t="s">
        <v>801</v>
      </c>
      <c r="E7427" t="s">
        <v>42</v>
      </c>
      <c r="F7427" t="s">
        <v>670</v>
      </c>
      <c r="G7427" t="s">
        <v>59</v>
      </c>
      <c r="H7427">
        <v>2024</v>
      </c>
    </row>
    <row r="7428" spans="1:8" x14ac:dyDescent="0.2">
      <c r="A7428">
        <v>283161</v>
      </c>
      <c r="B7428">
        <v>537122</v>
      </c>
      <c r="C7428" t="str">
        <f t="shared" si="116"/>
        <v>4. $250K-1M</v>
      </c>
      <c r="D7428" t="s">
        <v>763</v>
      </c>
      <c r="E7428" t="s">
        <v>42</v>
      </c>
      <c r="F7428" t="s">
        <v>670</v>
      </c>
      <c r="G7428" t="s">
        <v>59</v>
      </c>
      <c r="H7428">
        <v>2024</v>
      </c>
    </row>
    <row r="7429" spans="1:8" x14ac:dyDescent="0.2">
      <c r="A7429">
        <v>283162</v>
      </c>
      <c r="B7429">
        <v>524356.6</v>
      </c>
      <c r="C7429" t="str">
        <f t="shared" si="116"/>
        <v>4. $250K-1M</v>
      </c>
      <c r="D7429" t="s">
        <v>978</v>
      </c>
      <c r="E7429" t="s">
        <v>42</v>
      </c>
      <c r="F7429" t="s">
        <v>670</v>
      </c>
      <c r="G7429" t="s">
        <v>59</v>
      </c>
      <c r="H7429">
        <v>2024</v>
      </c>
    </row>
    <row r="7430" spans="1:8" x14ac:dyDescent="0.2">
      <c r="A7430">
        <v>283207</v>
      </c>
      <c r="B7430">
        <v>8096.2</v>
      </c>
      <c r="C7430" t="str">
        <f t="shared" si="116"/>
        <v>4. $250K-1M</v>
      </c>
      <c r="D7430" t="s">
        <v>465</v>
      </c>
      <c r="E7430" t="s">
        <v>54</v>
      </c>
      <c r="F7430" t="s">
        <v>423</v>
      </c>
      <c r="G7430" t="s">
        <v>59</v>
      </c>
      <c r="H7430">
        <v>2024</v>
      </c>
    </row>
    <row r="7431" spans="1:8" x14ac:dyDescent="0.2">
      <c r="A7431">
        <v>283238</v>
      </c>
      <c r="B7431">
        <v>204073</v>
      </c>
      <c r="C7431" t="str">
        <f t="shared" si="116"/>
        <v>1. Under $10K</v>
      </c>
      <c r="D7431" t="s">
        <v>692</v>
      </c>
      <c r="E7431" t="s">
        <v>237</v>
      </c>
      <c r="F7431" t="s">
        <v>670</v>
      </c>
      <c r="G7431" t="s">
        <v>59</v>
      </c>
      <c r="H7431">
        <v>2024</v>
      </c>
    </row>
    <row r="7432" spans="1:8" x14ac:dyDescent="0.2">
      <c r="A7432">
        <v>283376</v>
      </c>
      <c r="B7432">
        <v>37933.599999999999</v>
      </c>
      <c r="C7432" t="str">
        <f t="shared" si="116"/>
        <v>3. $50K-250K</v>
      </c>
      <c r="D7432" t="s">
        <v>873</v>
      </c>
      <c r="E7432" t="s">
        <v>237</v>
      </c>
      <c r="F7432" t="s">
        <v>670</v>
      </c>
      <c r="G7432" t="s">
        <v>59</v>
      </c>
      <c r="H7432">
        <v>2024</v>
      </c>
    </row>
    <row r="7433" spans="1:8" x14ac:dyDescent="0.2">
      <c r="A7433">
        <v>283380</v>
      </c>
      <c r="B7433">
        <v>72387000</v>
      </c>
      <c r="C7433" t="str">
        <f t="shared" si="116"/>
        <v>2. $10K-50K</v>
      </c>
      <c r="D7433" t="s">
        <v>466</v>
      </c>
      <c r="E7433" t="s">
        <v>8</v>
      </c>
      <c r="F7433" t="s">
        <v>9</v>
      </c>
      <c r="G7433" t="s">
        <v>10</v>
      </c>
      <c r="H7433">
        <v>2025</v>
      </c>
    </row>
    <row r="7434" spans="1:8" x14ac:dyDescent="0.2">
      <c r="A7434">
        <v>283388</v>
      </c>
      <c r="B7434">
        <v>192606</v>
      </c>
      <c r="C7434" t="str">
        <f t="shared" si="116"/>
        <v>5. $1M+</v>
      </c>
      <c r="D7434" t="s">
        <v>2281</v>
      </c>
      <c r="E7434" t="s">
        <v>59</v>
      </c>
      <c r="F7434" t="s">
        <v>670</v>
      </c>
      <c r="G7434" t="s">
        <v>59</v>
      </c>
      <c r="H7434">
        <v>2024</v>
      </c>
    </row>
    <row r="7435" spans="1:8" x14ac:dyDescent="0.2">
      <c r="A7435">
        <v>283394</v>
      </c>
      <c r="B7435">
        <v>33962.5</v>
      </c>
      <c r="C7435" t="str">
        <f t="shared" si="116"/>
        <v>3. $50K-250K</v>
      </c>
      <c r="D7435" t="s">
        <v>113</v>
      </c>
      <c r="E7435" t="s">
        <v>18</v>
      </c>
      <c r="F7435" t="s">
        <v>459</v>
      </c>
      <c r="G7435" t="s">
        <v>59</v>
      </c>
      <c r="H7435">
        <v>2024</v>
      </c>
    </row>
    <row r="7436" spans="1:8" x14ac:dyDescent="0.2">
      <c r="A7436">
        <v>283396</v>
      </c>
      <c r="B7436">
        <v>235855</v>
      </c>
      <c r="C7436" t="str">
        <f t="shared" si="116"/>
        <v>2. $10K-50K</v>
      </c>
      <c r="D7436" t="s">
        <v>1002</v>
      </c>
      <c r="E7436" t="s">
        <v>42</v>
      </c>
      <c r="F7436" t="s">
        <v>670</v>
      </c>
      <c r="G7436" t="s">
        <v>59</v>
      </c>
      <c r="H7436">
        <v>2024</v>
      </c>
    </row>
    <row r="7437" spans="1:8" x14ac:dyDescent="0.2">
      <c r="A7437">
        <v>283397</v>
      </c>
      <c r="B7437">
        <v>265338</v>
      </c>
      <c r="C7437" t="str">
        <f t="shared" si="116"/>
        <v>3. $50K-250K</v>
      </c>
      <c r="D7437" t="s">
        <v>1021</v>
      </c>
      <c r="E7437" t="s">
        <v>42</v>
      </c>
      <c r="F7437" t="s">
        <v>670</v>
      </c>
      <c r="G7437" t="s">
        <v>59</v>
      </c>
      <c r="H7437">
        <v>2024</v>
      </c>
    </row>
    <row r="7438" spans="1:8" x14ac:dyDescent="0.2">
      <c r="A7438">
        <v>283400</v>
      </c>
      <c r="B7438">
        <v>391791.3</v>
      </c>
      <c r="C7438" t="str">
        <f t="shared" si="116"/>
        <v>4. $250K-1M</v>
      </c>
      <c r="D7438" t="s">
        <v>172</v>
      </c>
      <c r="E7438" t="s">
        <v>18</v>
      </c>
      <c r="F7438" t="s">
        <v>423</v>
      </c>
      <c r="G7438" t="s">
        <v>59</v>
      </c>
      <c r="H7438">
        <v>2024</v>
      </c>
    </row>
    <row r="7439" spans="1:8" x14ac:dyDescent="0.2">
      <c r="A7439">
        <v>283401</v>
      </c>
      <c r="B7439">
        <v>750462</v>
      </c>
      <c r="C7439" t="str">
        <f t="shared" si="116"/>
        <v>4. $250K-1M</v>
      </c>
      <c r="D7439" t="s">
        <v>736</v>
      </c>
      <c r="E7439" t="s">
        <v>237</v>
      </c>
      <c r="F7439" t="s">
        <v>670</v>
      </c>
      <c r="G7439" t="s">
        <v>59</v>
      </c>
      <c r="H7439">
        <v>2024</v>
      </c>
    </row>
    <row r="7440" spans="1:8" x14ac:dyDescent="0.2">
      <c r="A7440">
        <v>283405</v>
      </c>
      <c r="B7440">
        <v>223822</v>
      </c>
      <c r="C7440" t="str">
        <f t="shared" si="116"/>
        <v>4. $250K-1M</v>
      </c>
      <c r="D7440" t="s">
        <v>726</v>
      </c>
      <c r="E7440" t="s">
        <v>237</v>
      </c>
      <c r="F7440" t="s">
        <v>670</v>
      </c>
      <c r="G7440" t="s">
        <v>59</v>
      </c>
      <c r="H7440">
        <v>2024</v>
      </c>
    </row>
    <row r="7441" spans="1:8" x14ac:dyDescent="0.2">
      <c r="A7441">
        <v>283406</v>
      </c>
      <c r="B7441">
        <v>1092240</v>
      </c>
      <c r="C7441" t="str">
        <f t="shared" si="116"/>
        <v>3. $50K-250K</v>
      </c>
      <c r="D7441" t="s">
        <v>736</v>
      </c>
      <c r="E7441" t="s">
        <v>237</v>
      </c>
      <c r="F7441" t="s">
        <v>670</v>
      </c>
      <c r="G7441" t="s">
        <v>59</v>
      </c>
      <c r="H7441">
        <v>2024</v>
      </c>
    </row>
    <row r="7442" spans="1:8" x14ac:dyDescent="0.2">
      <c r="A7442">
        <v>283561</v>
      </c>
      <c r="B7442">
        <v>1092240</v>
      </c>
      <c r="C7442" t="str">
        <f t="shared" si="116"/>
        <v>5. $1M+</v>
      </c>
      <c r="D7442" t="s">
        <v>723</v>
      </c>
      <c r="E7442" t="s">
        <v>237</v>
      </c>
      <c r="F7442" t="s">
        <v>670</v>
      </c>
      <c r="G7442" t="s">
        <v>59</v>
      </c>
      <c r="H7442">
        <v>2024</v>
      </c>
    </row>
    <row r="7443" spans="1:8" x14ac:dyDescent="0.2">
      <c r="A7443">
        <v>283564</v>
      </c>
      <c r="B7443">
        <v>125077</v>
      </c>
      <c r="C7443" t="str">
        <f t="shared" si="116"/>
        <v>5. $1M+</v>
      </c>
      <c r="D7443" t="s">
        <v>723</v>
      </c>
      <c r="E7443" t="s">
        <v>237</v>
      </c>
      <c r="F7443" t="s">
        <v>670</v>
      </c>
      <c r="G7443" t="s">
        <v>59</v>
      </c>
      <c r="H7443">
        <v>2024</v>
      </c>
    </row>
    <row r="7444" spans="1:8" x14ac:dyDescent="0.2">
      <c r="A7444">
        <v>283567</v>
      </c>
      <c r="B7444">
        <v>118742</v>
      </c>
      <c r="C7444" t="str">
        <f t="shared" si="116"/>
        <v>3. $50K-250K</v>
      </c>
      <c r="D7444" t="s">
        <v>718</v>
      </c>
      <c r="E7444" t="s">
        <v>237</v>
      </c>
      <c r="F7444" t="s">
        <v>670</v>
      </c>
      <c r="G7444" t="s">
        <v>59</v>
      </c>
      <c r="H7444">
        <v>2024</v>
      </c>
    </row>
    <row r="7445" spans="1:8" x14ac:dyDescent="0.2">
      <c r="A7445">
        <v>283595</v>
      </c>
      <c r="B7445">
        <v>250000</v>
      </c>
      <c r="C7445" t="str">
        <f t="shared" si="116"/>
        <v>3. $50K-250K</v>
      </c>
      <c r="D7445" t="s">
        <v>1437</v>
      </c>
      <c r="E7445" t="s">
        <v>432</v>
      </c>
      <c r="F7445" t="s">
        <v>670</v>
      </c>
      <c r="G7445" t="s">
        <v>59</v>
      </c>
      <c r="H7445">
        <v>2024</v>
      </c>
    </row>
    <row r="7446" spans="1:8" x14ac:dyDescent="0.2">
      <c r="A7446">
        <v>283596</v>
      </c>
      <c r="B7446">
        <v>444347400</v>
      </c>
      <c r="C7446" t="str">
        <f t="shared" si="116"/>
        <v>4. $250K-1M</v>
      </c>
      <c r="D7446" t="s">
        <v>7</v>
      </c>
      <c r="E7446" t="s">
        <v>8</v>
      </c>
      <c r="F7446" t="s">
        <v>9</v>
      </c>
      <c r="G7446" t="s">
        <v>10</v>
      </c>
      <c r="H7446">
        <v>2025</v>
      </c>
    </row>
    <row r="7447" spans="1:8" x14ac:dyDescent="0.2">
      <c r="A7447">
        <v>283621</v>
      </c>
      <c r="B7447">
        <v>223822</v>
      </c>
      <c r="C7447" t="str">
        <f t="shared" si="116"/>
        <v>5. $1M+</v>
      </c>
      <c r="D7447" t="s">
        <v>751</v>
      </c>
      <c r="E7447" t="s">
        <v>237</v>
      </c>
      <c r="F7447" t="s">
        <v>670</v>
      </c>
      <c r="G7447" t="s">
        <v>59</v>
      </c>
      <c r="H7447">
        <v>2024</v>
      </c>
    </row>
    <row r="7448" spans="1:8" x14ac:dyDescent="0.2">
      <c r="A7448">
        <v>283622</v>
      </c>
      <c r="B7448">
        <v>18249</v>
      </c>
      <c r="C7448" t="str">
        <f t="shared" si="116"/>
        <v>3. $50K-250K</v>
      </c>
      <c r="D7448" t="s">
        <v>876</v>
      </c>
      <c r="E7448" t="s">
        <v>237</v>
      </c>
      <c r="F7448" t="s">
        <v>670</v>
      </c>
      <c r="G7448" t="s">
        <v>59</v>
      </c>
      <c r="H7448">
        <v>2024</v>
      </c>
    </row>
    <row r="7449" spans="1:8" x14ac:dyDescent="0.2">
      <c r="A7449">
        <v>283625</v>
      </c>
      <c r="B7449">
        <v>460109</v>
      </c>
      <c r="C7449" t="str">
        <f t="shared" si="116"/>
        <v>2. $10K-50K</v>
      </c>
      <c r="D7449" t="s">
        <v>721</v>
      </c>
      <c r="E7449" t="s">
        <v>237</v>
      </c>
      <c r="F7449" t="s">
        <v>670</v>
      </c>
      <c r="G7449" t="s">
        <v>59</v>
      </c>
      <c r="H7449">
        <v>2024</v>
      </c>
    </row>
    <row r="7450" spans="1:8" x14ac:dyDescent="0.2">
      <c r="A7450">
        <v>283626</v>
      </c>
      <c r="B7450">
        <v>335733</v>
      </c>
      <c r="C7450" t="str">
        <f t="shared" si="116"/>
        <v>4. $250K-1M</v>
      </c>
      <c r="D7450" t="s">
        <v>752</v>
      </c>
      <c r="E7450" t="s">
        <v>237</v>
      </c>
      <c r="F7450" t="s">
        <v>670</v>
      </c>
      <c r="G7450" t="s">
        <v>59</v>
      </c>
      <c r="H7450">
        <v>2024</v>
      </c>
    </row>
    <row r="7451" spans="1:8" x14ac:dyDescent="0.2">
      <c r="A7451">
        <v>283627</v>
      </c>
      <c r="B7451">
        <v>778221</v>
      </c>
      <c r="C7451" t="str">
        <f t="shared" si="116"/>
        <v>4. $250K-1M</v>
      </c>
      <c r="D7451" t="s">
        <v>712</v>
      </c>
      <c r="E7451" t="s">
        <v>237</v>
      </c>
      <c r="F7451" t="s">
        <v>670</v>
      </c>
      <c r="G7451" t="s">
        <v>59</v>
      </c>
      <c r="H7451">
        <v>2024</v>
      </c>
    </row>
    <row r="7452" spans="1:8" x14ac:dyDescent="0.2">
      <c r="A7452">
        <v>283633</v>
      </c>
      <c r="B7452">
        <v>327672</v>
      </c>
      <c r="C7452" t="str">
        <f t="shared" si="116"/>
        <v>4. $250K-1M</v>
      </c>
      <c r="D7452" t="s">
        <v>740</v>
      </c>
      <c r="E7452" t="s">
        <v>237</v>
      </c>
      <c r="F7452" t="s">
        <v>670</v>
      </c>
      <c r="G7452" t="s">
        <v>59</v>
      </c>
      <c r="H7452">
        <v>2024</v>
      </c>
    </row>
    <row r="7453" spans="1:8" x14ac:dyDescent="0.2">
      <c r="A7453">
        <v>283653</v>
      </c>
      <c r="B7453">
        <v>35000000</v>
      </c>
      <c r="C7453" t="str">
        <f t="shared" si="116"/>
        <v>4. $250K-1M</v>
      </c>
      <c r="D7453" t="s">
        <v>1052</v>
      </c>
      <c r="E7453" t="s">
        <v>237</v>
      </c>
      <c r="F7453" t="s">
        <v>670</v>
      </c>
      <c r="G7453" t="s">
        <v>59</v>
      </c>
      <c r="H7453">
        <v>2024</v>
      </c>
    </row>
    <row r="7454" spans="1:8" x14ac:dyDescent="0.2">
      <c r="A7454">
        <v>283669</v>
      </c>
      <c r="B7454">
        <v>131660</v>
      </c>
      <c r="C7454" t="str">
        <f t="shared" si="116"/>
        <v>5. $1M+</v>
      </c>
      <c r="D7454" t="s">
        <v>740</v>
      </c>
      <c r="E7454" t="s">
        <v>237</v>
      </c>
      <c r="F7454" t="s">
        <v>670</v>
      </c>
      <c r="G7454" t="s">
        <v>59</v>
      </c>
      <c r="H7454">
        <v>2024</v>
      </c>
    </row>
    <row r="7455" spans="1:8" x14ac:dyDescent="0.2">
      <c r="A7455">
        <v>283673</v>
      </c>
      <c r="B7455">
        <v>493725</v>
      </c>
      <c r="C7455" t="str">
        <f t="shared" si="116"/>
        <v>3. $50K-250K</v>
      </c>
      <c r="D7455" t="s">
        <v>737</v>
      </c>
      <c r="E7455" t="s">
        <v>237</v>
      </c>
      <c r="F7455" t="s">
        <v>670</v>
      </c>
      <c r="G7455" t="s">
        <v>59</v>
      </c>
      <c r="H7455">
        <v>2024</v>
      </c>
    </row>
    <row r="7456" spans="1:8" x14ac:dyDescent="0.2">
      <c r="A7456">
        <v>283862</v>
      </c>
      <c r="B7456">
        <v>5000000</v>
      </c>
      <c r="C7456" t="str">
        <f t="shared" si="116"/>
        <v>4. $250K-1M</v>
      </c>
      <c r="D7456" t="s">
        <v>2282</v>
      </c>
      <c r="E7456" t="s">
        <v>99</v>
      </c>
      <c r="F7456" t="s">
        <v>668</v>
      </c>
      <c r="G7456" t="s">
        <v>59</v>
      </c>
      <c r="H7456">
        <v>2024</v>
      </c>
    </row>
    <row r="7457" spans="1:8" x14ac:dyDescent="0.2">
      <c r="A7457">
        <v>283863</v>
      </c>
      <c r="B7457">
        <v>13549</v>
      </c>
      <c r="C7457" t="str">
        <f t="shared" si="116"/>
        <v>5. $1M+</v>
      </c>
      <c r="D7457" t="s">
        <v>2283</v>
      </c>
      <c r="E7457" t="s">
        <v>112</v>
      </c>
      <c r="F7457" t="s">
        <v>668</v>
      </c>
      <c r="G7457" t="s">
        <v>59</v>
      </c>
      <c r="H7457">
        <v>2024</v>
      </c>
    </row>
    <row r="7458" spans="1:8" x14ac:dyDescent="0.2">
      <c r="A7458">
        <v>283882</v>
      </c>
      <c r="B7458">
        <v>1600000</v>
      </c>
      <c r="C7458" t="str">
        <f t="shared" si="116"/>
        <v>2. $10K-50K</v>
      </c>
      <c r="D7458" t="s">
        <v>1558</v>
      </c>
      <c r="E7458" t="s">
        <v>368</v>
      </c>
      <c r="F7458" t="s">
        <v>668</v>
      </c>
      <c r="G7458" t="s">
        <v>59</v>
      </c>
      <c r="H7458">
        <v>2024</v>
      </c>
    </row>
    <row r="7459" spans="1:8" x14ac:dyDescent="0.2">
      <c r="A7459">
        <v>283888</v>
      </c>
      <c r="B7459">
        <v>500000</v>
      </c>
      <c r="C7459" t="str">
        <f t="shared" si="116"/>
        <v>5. $1M+</v>
      </c>
      <c r="D7459" t="s">
        <v>1558</v>
      </c>
      <c r="E7459" t="s">
        <v>368</v>
      </c>
      <c r="F7459" t="s">
        <v>668</v>
      </c>
      <c r="G7459" t="s">
        <v>59</v>
      </c>
      <c r="H7459">
        <v>2024</v>
      </c>
    </row>
    <row r="7460" spans="1:8" x14ac:dyDescent="0.2">
      <c r="A7460">
        <v>283900</v>
      </c>
      <c r="B7460">
        <v>500000</v>
      </c>
      <c r="C7460" t="str">
        <f t="shared" si="116"/>
        <v>4. $250K-1M</v>
      </c>
      <c r="D7460" t="s">
        <v>1558</v>
      </c>
      <c r="E7460" t="s">
        <v>368</v>
      </c>
      <c r="F7460" t="s">
        <v>668</v>
      </c>
      <c r="G7460" t="s">
        <v>59</v>
      </c>
      <c r="H7460">
        <v>2024</v>
      </c>
    </row>
    <row r="7461" spans="1:8" x14ac:dyDescent="0.2">
      <c r="A7461">
        <v>283901</v>
      </c>
      <c r="B7461">
        <v>5162233</v>
      </c>
      <c r="C7461" t="str">
        <f t="shared" si="116"/>
        <v>4. $250K-1M</v>
      </c>
      <c r="D7461" t="s">
        <v>115</v>
      </c>
      <c r="E7461" t="s">
        <v>24</v>
      </c>
      <c r="F7461" t="s">
        <v>9</v>
      </c>
      <c r="G7461" t="s">
        <v>10</v>
      </c>
      <c r="H7461">
        <v>2025</v>
      </c>
    </row>
    <row r="7462" spans="1:8" x14ac:dyDescent="0.2">
      <c r="A7462">
        <v>283902</v>
      </c>
      <c r="B7462">
        <v>14800</v>
      </c>
      <c r="C7462" t="str">
        <f t="shared" si="116"/>
        <v>5. $1M+</v>
      </c>
      <c r="D7462" t="s">
        <v>2284</v>
      </c>
      <c r="E7462" t="s">
        <v>112</v>
      </c>
      <c r="F7462" t="s">
        <v>668</v>
      </c>
      <c r="G7462" t="s">
        <v>59</v>
      </c>
      <c r="H7462">
        <v>2024</v>
      </c>
    </row>
    <row r="7463" spans="1:8" x14ac:dyDescent="0.2">
      <c r="A7463">
        <v>283903</v>
      </c>
      <c r="B7463">
        <v>21635</v>
      </c>
      <c r="C7463" t="str">
        <f t="shared" si="116"/>
        <v>2. $10K-50K</v>
      </c>
      <c r="D7463" t="s">
        <v>2285</v>
      </c>
      <c r="E7463" t="s">
        <v>112</v>
      </c>
      <c r="F7463" t="s">
        <v>668</v>
      </c>
      <c r="G7463" t="s">
        <v>59</v>
      </c>
      <c r="H7463">
        <v>2024</v>
      </c>
    </row>
    <row r="7464" spans="1:8" x14ac:dyDescent="0.2">
      <c r="A7464">
        <v>283904</v>
      </c>
      <c r="B7464">
        <v>8542737.5</v>
      </c>
      <c r="C7464" t="str">
        <f t="shared" si="116"/>
        <v>2. $10K-50K</v>
      </c>
      <c r="D7464" t="s">
        <v>115</v>
      </c>
      <c r="E7464" t="s">
        <v>24</v>
      </c>
      <c r="F7464" t="s">
        <v>9</v>
      </c>
      <c r="G7464" t="s">
        <v>10</v>
      </c>
      <c r="H7464">
        <v>2025</v>
      </c>
    </row>
    <row r="7465" spans="1:8" x14ac:dyDescent="0.2">
      <c r="A7465">
        <v>283906</v>
      </c>
      <c r="B7465">
        <v>7658612</v>
      </c>
      <c r="C7465" t="str">
        <f t="shared" si="116"/>
        <v>5. $1M+</v>
      </c>
      <c r="D7465" t="s">
        <v>115</v>
      </c>
      <c r="E7465" t="s">
        <v>24</v>
      </c>
      <c r="F7465" t="s">
        <v>9</v>
      </c>
      <c r="G7465" t="s">
        <v>10</v>
      </c>
      <c r="H7465">
        <v>2025</v>
      </c>
    </row>
    <row r="7466" spans="1:8" x14ac:dyDescent="0.2">
      <c r="A7466">
        <v>283907</v>
      </c>
      <c r="B7466">
        <v>250000</v>
      </c>
      <c r="C7466" t="str">
        <f t="shared" si="116"/>
        <v>5. $1M+</v>
      </c>
      <c r="D7466" t="s">
        <v>2286</v>
      </c>
      <c r="E7466" t="s">
        <v>99</v>
      </c>
      <c r="F7466" t="s">
        <v>668</v>
      </c>
      <c r="G7466" t="s">
        <v>59</v>
      </c>
      <c r="H7466">
        <v>2024</v>
      </c>
    </row>
    <row r="7467" spans="1:8" x14ac:dyDescent="0.2">
      <c r="A7467">
        <v>283910</v>
      </c>
      <c r="B7467">
        <v>9200000</v>
      </c>
      <c r="C7467" t="str">
        <f t="shared" si="116"/>
        <v>4. $250K-1M</v>
      </c>
      <c r="D7467" t="s">
        <v>2287</v>
      </c>
      <c r="E7467" t="s">
        <v>99</v>
      </c>
      <c r="F7467" t="s">
        <v>668</v>
      </c>
      <c r="G7467" t="s">
        <v>59</v>
      </c>
      <c r="H7467">
        <v>2024</v>
      </c>
    </row>
    <row r="7468" spans="1:8" x14ac:dyDescent="0.2">
      <c r="A7468">
        <v>283911</v>
      </c>
      <c r="B7468">
        <v>6906600</v>
      </c>
      <c r="C7468" t="str">
        <f t="shared" si="116"/>
        <v>5. $1M+</v>
      </c>
      <c r="D7468" t="s">
        <v>340</v>
      </c>
      <c r="E7468" t="s">
        <v>24</v>
      </c>
      <c r="F7468" t="s">
        <v>9</v>
      </c>
      <c r="G7468" t="s">
        <v>10</v>
      </c>
      <c r="H7468">
        <v>2025</v>
      </c>
    </row>
    <row r="7469" spans="1:8" x14ac:dyDescent="0.2">
      <c r="A7469">
        <v>283914</v>
      </c>
      <c r="B7469">
        <v>150000</v>
      </c>
      <c r="C7469" t="str">
        <f t="shared" si="116"/>
        <v>5. $1M+</v>
      </c>
      <c r="D7469" t="s">
        <v>812</v>
      </c>
      <c r="E7469" t="s">
        <v>99</v>
      </c>
      <c r="F7469" t="s">
        <v>668</v>
      </c>
      <c r="G7469" t="s">
        <v>59</v>
      </c>
      <c r="H7469">
        <v>2024</v>
      </c>
    </row>
    <row r="7470" spans="1:8" x14ac:dyDescent="0.2">
      <c r="A7470">
        <v>283942</v>
      </c>
      <c r="B7470">
        <v>29199.599999999999</v>
      </c>
      <c r="C7470" t="str">
        <f t="shared" si="116"/>
        <v>3. $50K-250K</v>
      </c>
      <c r="D7470" t="s">
        <v>865</v>
      </c>
      <c r="E7470" t="s">
        <v>237</v>
      </c>
      <c r="F7470" t="s">
        <v>670</v>
      </c>
      <c r="G7470" t="s">
        <v>59</v>
      </c>
      <c r="H7470">
        <v>2024</v>
      </c>
    </row>
    <row r="7471" spans="1:8" x14ac:dyDescent="0.2">
      <c r="A7471">
        <v>283954</v>
      </c>
      <c r="B7471">
        <v>96663.9</v>
      </c>
      <c r="C7471" t="str">
        <f t="shared" si="116"/>
        <v>2. $10K-50K</v>
      </c>
      <c r="D7471" t="s">
        <v>837</v>
      </c>
      <c r="E7471" t="s">
        <v>237</v>
      </c>
      <c r="F7471" t="s">
        <v>670</v>
      </c>
      <c r="G7471" t="s">
        <v>59</v>
      </c>
      <c r="H7471">
        <v>2024</v>
      </c>
    </row>
    <row r="7472" spans="1:8" x14ac:dyDescent="0.2">
      <c r="A7472">
        <v>283959</v>
      </c>
      <c r="B7472">
        <v>30685.9</v>
      </c>
      <c r="C7472" t="str">
        <f t="shared" si="116"/>
        <v>3. $50K-250K</v>
      </c>
      <c r="D7472" t="s">
        <v>887</v>
      </c>
      <c r="E7472" t="s">
        <v>237</v>
      </c>
      <c r="F7472" t="s">
        <v>670</v>
      </c>
      <c r="G7472" t="s">
        <v>59</v>
      </c>
      <c r="H7472">
        <v>2024</v>
      </c>
    </row>
    <row r="7473" spans="1:8" x14ac:dyDescent="0.2">
      <c r="A7473">
        <v>283977</v>
      </c>
      <c r="B7473">
        <v>447644</v>
      </c>
      <c r="C7473" t="str">
        <f t="shared" si="116"/>
        <v>2. $10K-50K</v>
      </c>
      <c r="D7473" t="s">
        <v>753</v>
      </c>
      <c r="E7473" t="s">
        <v>237</v>
      </c>
      <c r="F7473" t="s">
        <v>670</v>
      </c>
      <c r="G7473" t="s">
        <v>59</v>
      </c>
      <c r="H7473">
        <v>2024</v>
      </c>
    </row>
    <row r="7474" spans="1:8" x14ac:dyDescent="0.2">
      <c r="A7474">
        <v>284015</v>
      </c>
      <c r="B7474">
        <v>49756.7</v>
      </c>
      <c r="C7474" t="str">
        <f t="shared" si="116"/>
        <v>4. $250K-1M</v>
      </c>
      <c r="D7474" t="s">
        <v>873</v>
      </c>
      <c r="E7474" t="s">
        <v>237</v>
      </c>
      <c r="F7474" t="s">
        <v>670</v>
      </c>
      <c r="G7474" t="s">
        <v>59</v>
      </c>
      <c r="H7474">
        <v>2024</v>
      </c>
    </row>
    <row r="7475" spans="1:8" x14ac:dyDescent="0.2">
      <c r="A7475">
        <v>284018</v>
      </c>
      <c r="B7475">
        <v>260000</v>
      </c>
      <c r="C7475" t="str">
        <f t="shared" si="116"/>
        <v>2. $10K-50K</v>
      </c>
      <c r="D7475" t="s">
        <v>1765</v>
      </c>
      <c r="E7475" t="s">
        <v>112</v>
      </c>
      <c r="F7475" t="s">
        <v>668</v>
      </c>
      <c r="G7475" t="s">
        <v>59</v>
      </c>
      <c r="H7475">
        <v>2024</v>
      </c>
    </row>
    <row r="7476" spans="1:8" x14ac:dyDescent="0.2">
      <c r="A7476">
        <v>284023</v>
      </c>
      <c r="B7476">
        <v>436896</v>
      </c>
      <c r="C7476" t="str">
        <f t="shared" si="116"/>
        <v>4. $250K-1M</v>
      </c>
      <c r="D7476" t="s">
        <v>722</v>
      </c>
      <c r="E7476" t="s">
        <v>237</v>
      </c>
      <c r="F7476" t="s">
        <v>670</v>
      </c>
      <c r="G7476" t="s">
        <v>59</v>
      </c>
      <c r="H7476">
        <v>2024</v>
      </c>
    </row>
    <row r="7477" spans="1:8" x14ac:dyDescent="0.2">
      <c r="A7477">
        <v>284027</v>
      </c>
      <c r="B7477">
        <v>20000</v>
      </c>
      <c r="C7477" t="str">
        <f t="shared" si="116"/>
        <v>4. $250K-1M</v>
      </c>
      <c r="D7477" t="s">
        <v>2288</v>
      </c>
      <c r="E7477" t="s">
        <v>112</v>
      </c>
      <c r="F7477" t="s">
        <v>668</v>
      </c>
      <c r="G7477" t="s">
        <v>59</v>
      </c>
      <c r="H7477">
        <v>2024</v>
      </c>
    </row>
    <row r="7478" spans="1:8" x14ac:dyDescent="0.2">
      <c r="A7478">
        <v>284037</v>
      </c>
      <c r="B7478">
        <v>6000</v>
      </c>
      <c r="C7478" t="str">
        <f t="shared" si="116"/>
        <v>2. $10K-50K</v>
      </c>
      <c r="D7478" t="s">
        <v>2289</v>
      </c>
      <c r="E7478" t="s">
        <v>112</v>
      </c>
      <c r="F7478" t="s">
        <v>668</v>
      </c>
      <c r="G7478" t="s">
        <v>59</v>
      </c>
      <c r="H7478">
        <v>2024</v>
      </c>
    </row>
    <row r="7479" spans="1:8" x14ac:dyDescent="0.2">
      <c r="A7479">
        <v>284079</v>
      </c>
      <c r="B7479">
        <v>988427</v>
      </c>
      <c r="C7479" t="str">
        <f t="shared" si="116"/>
        <v>1. Under $10K</v>
      </c>
      <c r="D7479" t="s">
        <v>2290</v>
      </c>
      <c r="E7479" t="s">
        <v>141</v>
      </c>
      <c r="F7479" t="s">
        <v>668</v>
      </c>
      <c r="G7479" t="s">
        <v>59</v>
      </c>
      <c r="H7479">
        <v>2024</v>
      </c>
    </row>
    <row r="7480" spans="1:8" x14ac:dyDescent="0.2">
      <c r="A7480">
        <v>284087</v>
      </c>
      <c r="B7480">
        <v>84864</v>
      </c>
      <c r="C7480" t="str">
        <f t="shared" si="116"/>
        <v>4. $250K-1M</v>
      </c>
      <c r="D7480" t="s">
        <v>817</v>
      </c>
      <c r="E7480" t="s">
        <v>99</v>
      </c>
      <c r="F7480" t="s">
        <v>668</v>
      </c>
      <c r="G7480" t="s">
        <v>59</v>
      </c>
      <c r="H7480">
        <v>2024</v>
      </c>
    </row>
    <row r="7481" spans="1:8" x14ac:dyDescent="0.2">
      <c r="A7481">
        <v>284090</v>
      </c>
      <c r="B7481">
        <v>16387</v>
      </c>
      <c r="C7481" t="str">
        <f t="shared" si="116"/>
        <v>3. $50K-250K</v>
      </c>
      <c r="D7481" t="s">
        <v>1464</v>
      </c>
      <c r="E7481" t="s">
        <v>99</v>
      </c>
      <c r="F7481" t="s">
        <v>668</v>
      </c>
      <c r="G7481" t="s">
        <v>59</v>
      </c>
      <c r="H7481">
        <v>2024</v>
      </c>
    </row>
    <row r="7482" spans="1:8" x14ac:dyDescent="0.2">
      <c r="A7482">
        <v>284106</v>
      </c>
      <c r="B7482">
        <v>218448</v>
      </c>
      <c r="C7482" t="str">
        <f t="shared" si="116"/>
        <v>2. $10K-50K</v>
      </c>
      <c r="D7482" t="s">
        <v>743</v>
      </c>
      <c r="E7482" t="s">
        <v>237</v>
      </c>
      <c r="F7482" t="s">
        <v>670</v>
      </c>
      <c r="G7482" t="s">
        <v>59</v>
      </c>
      <c r="H7482">
        <v>2024</v>
      </c>
    </row>
    <row r="7483" spans="1:8" x14ac:dyDescent="0.2">
      <c r="A7483">
        <v>284113</v>
      </c>
      <c r="B7483">
        <v>398580</v>
      </c>
      <c r="C7483" t="str">
        <f t="shared" si="116"/>
        <v>3. $50K-250K</v>
      </c>
      <c r="D7483" t="s">
        <v>707</v>
      </c>
      <c r="E7483" t="s">
        <v>237</v>
      </c>
      <c r="F7483" t="s">
        <v>670</v>
      </c>
      <c r="G7483" t="s">
        <v>59</v>
      </c>
      <c r="H7483">
        <v>2024</v>
      </c>
    </row>
    <row r="7484" spans="1:8" x14ac:dyDescent="0.2">
      <c r="A7484">
        <v>284115</v>
      </c>
      <c r="B7484">
        <v>118494</v>
      </c>
      <c r="C7484" t="str">
        <f t="shared" si="116"/>
        <v>4. $250K-1M</v>
      </c>
      <c r="D7484" t="s">
        <v>743</v>
      </c>
      <c r="E7484" t="s">
        <v>237</v>
      </c>
      <c r="F7484" t="s">
        <v>670</v>
      </c>
      <c r="G7484" t="s">
        <v>59</v>
      </c>
      <c r="H7484">
        <v>2024</v>
      </c>
    </row>
    <row r="7485" spans="1:8" x14ac:dyDescent="0.2">
      <c r="A7485">
        <v>284124</v>
      </c>
      <c r="B7485">
        <v>1579920</v>
      </c>
      <c r="C7485" t="str">
        <f t="shared" si="116"/>
        <v>3. $50K-250K</v>
      </c>
      <c r="D7485" t="s">
        <v>698</v>
      </c>
      <c r="E7485" t="s">
        <v>237</v>
      </c>
      <c r="F7485" t="s">
        <v>670</v>
      </c>
      <c r="G7485" t="s">
        <v>59</v>
      </c>
      <c r="H7485">
        <v>2024</v>
      </c>
    </row>
    <row r="7486" spans="1:8" x14ac:dyDescent="0.2">
      <c r="A7486">
        <v>284125</v>
      </c>
      <c r="B7486">
        <v>118494</v>
      </c>
      <c r="C7486" t="str">
        <f t="shared" si="116"/>
        <v>5. $1M+</v>
      </c>
      <c r="D7486" t="s">
        <v>722</v>
      </c>
      <c r="E7486" t="s">
        <v>237</v>
      </c>
      <c r="F7486" t="s">
        <v>670</v>
      </c>
      <c r="G7486" t="s">
        <v>59</v>
      </c>
      <c r="H7486">
        <v>2024</v>
      </c>
    </row>
    <row r="7487" spans="1:8" x14ac:dyDescent="0.2">
      <c r="A7487">
        <v>284135</v>
      </c>
      <c r="B7487">
        <v>1747584</v>
      </c>
      <c r="C7487" t="str">
        <f t="shared" si="116"/>
        <v>3. $50K-250K</v>
      </c>
      <c r="D7487" t="s">
        <v>698</v>
      </c>
      <c r="E7487" t="s">
        <v>237</v>
      </c>
      <c r="F7487" t="s">
        <v>670</v>
      </c>
      <c r="G7487" t="s">
        <v>59</v>
      </c>
      <c r="H7487">
        <v>2024</v>
      </c>
    </row>
    <row r="7488" spans="1:8" x14ac:dyDescent="0.2">
      <c r="A7488">
        <v>284329</v>
      </c>
      <c r="B7488">
        <v>2402928</v>
      </c>
      <c r="C7488" t="str">
        <f t="shared" si="116"/>
        <v>5. $1M+</v>
      </c>
      <c r="D7488" t="s">
        <v>696</v>
      </c>
      <c r="E7488" t="s">
        <v>237</v>
      </c>
      <c r="F7488" t="s">
        <v>670</v>
      </c>
      <c r="G7488" t="s">
        <v>59</v>
      </c>
      <c r="H7488">
        <v>2024</v>
      </c>
    </row>
    <row r="7489" spans="1:8" x14ac:dyDescent="0.2">
      <c r="A7489">
        <v>284330</v>
      </c>
      <c r="B7489">
        <v>1092240</v>
      </c>
      <c r="C7489" t="str">
        <f t="shared" si="116"/>
        <v>5. $1M+</v>
      </c>
      <c r="D7489" t="s">
        <v>700</v>
      </c>
      <c r="E7489" t="s">
        <v>237</v>
      </c>
      <c r="F7489" t="s">
        <v>670</v>
      </c>
      <c r="G7489" t="s">
        <v>59</v>
      </c>
      <c r="H7489">
        <v>2024</v>
      </c>
    </row>
    <row r="7490" spans="1:8" x14ac:dyDescent="0.2">
      <c r="A7490">
        <v>284331</v>
      </c>
      <c r="B7490">
        <v>168216</v>
      </c>
      <c r="C7490" t="str">
        <f t="shared" si="116"/>
        <v>5. $1M+</v>
      </c>
      <c r="D7490" t="s">
        <v>770</v>
      </c>
      <c r="E7490" t="s">
        <v>237</v>
      </c>
      <c r="F7490" t="s">
        <v>670</v>
      </c>
      <c r="G7490" t="s">
        <v>59</v>
      </c>
      <c r="H7490">
        <v>2024</v>
      </c>
    </row>
    <row r="7491" spans="1:8" x14ac:dyDescent="0.2">
      <c r="A7491">
        <v>284332</v>
      </c>
      <c r="B7491">
        <v>111911</v>
      </c>
      <c r="C7491" t="str">
        <f t="shared" ref="C7491:C7554" si="117">IF(B7490&lt;10000,"1. Under $10K",IF(B7490&lt;50000,"2. $10K-50K",IF(B7490&lt;250000,"3. $50K-250K",IF(B7490&lt;1000000,"4. $250K-1M","5. $1M+"))))</f>
        <v>3. $50K-250K</v>
      </c>
      <c r="D7491" t="s">
        <v>767</v>
      </c>
      <c r="E7491" t="s">
        <v>237</v>
      </c>
      <c r="F7491" t="s">
        <v>670</v>
      </c>
      <c r="G7491" t="s">
        <v>59</v>
      </c>
      <c r="H7491">
        <v>2024</v>
      </c>
    </row>
    <row r="7492" spans="1:8" x14ac:dyDescent="0.2">
      <c r="A7492">
        <v>284333</v>
      </c>
      <c r="B7492">
        <v>436896</v>
      </c>
      <c r="C7492" t="str">
        <f t="shared" si="117"/>
        <v>3. $50K-250K</v>
      </c>
      <c r="D7492" t="s">
        <v>767</v>
      </c>
      <c r="E7492" t="s">
        <v>237</v>
      </c>
      <c r="F7492" t="s">
        <v>670</v>
      </c>
      <c r="G7492" t="s">
        <v>59</v>
      </c>
      <c r="H7492">
        <v>2024</v>
      </c>
    </row>
    <row r="7493" spans="1:8" x14ac:dyDescent="0.2">
      <c r="A7493">
        <v>284334</v>
      </c>
      <c r="B7493">
        <v>873792</v>
      </c>
      <c r="C7493" t="str">
        <f t="shared" si="117"/>
        <v>4. $250K-1M</v>
      </c>
      <c r="D7493" t="s">
        <v>756</v>
      </c>
      <c r="E7493" t="s">
        <v>237</v>
      </c>
      <c r="F7493" t="s">
        <v>670</v>
      </c>
      <c r="G7493" t="s">
        <v>59</v>
      </c>
      <c r="H7493">
        <v>2024</v>
      </c>
    </row>
    <row r="7494" spans="1:8" x14ac:dyDescent="0.2">
      <c r="A7494">
        <v>284336</v>
      </c>
      <c r="B7494">
        <v>533223</v>
      </c>
      <c r="C7494" t="str">
        <f t="shared" si="117"/>
        <v>4. $250K-1M</v>
      </c>
      <c r="D7494" t="s">
        <v>756</v>
      </c>
      <c r="E7494" t="s">
        <v>237</v>
      </c>
      <c r="F7494" t="s">
        <v>670</v>
      </c>
      <c r="G7494" t="s">
        <v>59</v>
      </c>
      <c r="H7494">
        <v>2024</v>
      </c>
    </row>
    <row r="7495" spans="1:8" x14ac:dyDescent="0.2">
      <c r="A7495">
        <v>284337</v>
      </c>
      <c r="B7495">
        <v>197490</v>
      </c>
      <c r="C7495" t="str">
        <f t="shared" si="117"/>
        <v>4. $250K-1M</v>
      </c>
      <c r="D7495" t="s">
        <v>784</v>
      </c>
      <c r="E7495" t="s">
        <v>237</v>
      </c>
      <c r="F7495" t="s">
        <v>670</v>
      </c>
      <c r="G7495" t="s">
        <v>59</v>
      </c>
      <c r="H7495">
        <v>2024</v>
      </c>
    </row>
    <row r="7496" spans="1:8" x14ac:dyDescent="0.2">
      <c r="A7496">
        <v>284340</v>
      </c>
      <c r="B7496">
        <v>111911</v>
      </c>
      <c r="C7496" t="str">
        <f t="shared" si="117"/>
        <v>3. $50K-250K</v>
      </c>
      <c r="D7496" t="s">
        <v>764</v>
      </c>
      <c r="E7496" t="s">
        <v>237</v>
      </c>
      <c r="F7496" t="s">
        <v>670</v>
      </c>
      <c r="G7496" t="s">
        <v>59</v>
      </c>
      <c r="H7496">
        <v>2024</v>
      </c>
    </row>
    <row r="7497" spans="1:8" x14ac:dyDescent="0.2">
      <c r="A7497">
        <v>284341</v>
      </c>
      <c r="B7497">
        <v>327672</v>
      </c>
      <c r="C7497" t="str">
        <f t="shared" si="117"/>
        <v>3. $50K-250K</v>
      </c>
      <c r="D7497" t="s">
        <v>754</v>
      </c>
      <c r="E7497" t="s">
        <v>237</v>
      </c>
      <c r="F7497" t="s">
        <v>670</v>
      </c>
      <c r="G7497" t="s">
        <v>59</v>
      </c>
      <c r="H7497">
        <v>2024</v>
      </c>
    </row>
    <row r="7498" spans="1:8" x14ac:dyDescent="0.2">
      <c r="A7498">
        <v>284376</v>
      </c>
      <c r="B7498">
        <v>133960</v>
      </c>
      <c r="C7498" t="str">
        <f t="shared" si="117"/>
        <v>4. $250K-1M</v>
      </c>
      <c r="D7498" t="s">
        <v>770</v>
      </c>
      <c r="E7498" t="s">
        <v>237</v>
      </c>
      <c r="F7498" t="s">
        <v>670</v>
      </c>
      <c r="G7498" t="s">
        <v>59</v>
      </c>
      <c r="H7498">
        <v>2024</v>
      </c>
    </row>
    <row r="7499" spans="1:8" x14ac:dyDescent="0.2">
      <c r="A7499">
        <v>284378</v>
      </c>
      <c r="B7499">
        <v>493725</v>
      </c>
      <c r="C7499" t="str">
        <f t="shared" si="117"/>
        <v>3. $50K-250K</v>
      </c>
      <c r="D7499" t="s">
        <v>712</v>
      </c>
      <c r="E7499" t="s">
        <v>237</v>
      </c>
      <c r="F7499" t="s">
        <v>670</v>
      </c>
      <c r="G7499" t="s">
        <v>59</v>
      </c>
      <c r="H7499">
        <v>2024</v>
      </c>
    </row>
    <row r="7500" spans="1:8" x14ac:dyDescent="0.2">
      <c r="A7500">
        <v>284384</v>
      </c>
      <c r="B7500">
        <v>1419912</v>
      </c>
      <c r="C7500" t="str">
        <f t="shared" si="117"/>
        <v>4. $250K-1M</v>
      </c>
      <c r="D7500" t="s">
        <v>1088</v>
      </c>
      <c r="E7500" t="s">
        <v>237</v>
      </c>
      <c r="F7500" t="s">
        <v>670</v>
      </c>
      <c r="G7500" t="s">
        <v>59</v>
      </c>
      <c r="H7500">
        <v>2024</v>
      </c>
    </row>
    <row r="7501" spans="1:8" x14ac:dyDescent="0.2">
      <c r="A7501">
        <v>284385</v>
      </c>
      <c r="B7501">
        <v>362065</v>
      </c>
      <c r="C7501" t="str">
        <f t="shared" si="117"/>
        <v>5. $1M+</v>
      </c>
      <c r="D7501" t="s">
        <v>754</v>
      </c>
      <c r="E7501" t="s">
        <v>237</v>
      </c>
      <c r="F7501" t="s">
        <v>670</v>
      </c>
      <c r="G7501" t="s">
        <v>59</v>
      </c>
      <c r="H7501">
        <v>2024</v>
      </c>
    </row>
    <row r="7502" spans="1:8" x14ac:dyDescent="0.2">
      <c r="A7502">
        <v>284387</v>
      </c>
      <c r="B7502">
        <v>796543</v>
      </c>
      <c r="C7502" t="str">
        <f t="shared" si="117"/>
        <v>4. $250K-1M</v>
      </c>
      <c r="D7502" t="s">
        <v>1088</v>
      </c>
      <c r="E7502" t="s">
        <v>237</v>
      </c>
      <c r="F7502" t="s">
        <v>670</v>
      </c>
      <c r="G7502" t="s">
        <v>59</v>
      </c>
      <c r="H7502">
        <v>2024</v>
      </c>
    </row>
    <row r="7503" spans="1:8" x14ac:dyDescent="0.2">
      <c r="A7503">
        <v>284429</v>
      </c>
      <c r="B7503">
        <v>5500</v>
      </c>
      <c r="C7503" t="str">
        <f t="shared" si="117"/>
        <v>4. $250K-1M</v>
      </c>
      <c r="D7503" t="s">
        <v>2291</v>
      </c>
      <c r="E7503" t="s">
        <v>112</v>
      </c>
      <c r="F7503" t="s">
        <v>668</v>
      </c>
      <c r="G7503" t="s">
        <v>59</v>
      </c>
      <c r="H7503">
        <v>2024</v>
      </c>
    </row>
    <row r="7504" spans="1:8" x14ac:dyDescent="0.2">
      <c r="A7504">
        <v>284448</v>
      </c>
      <c r="B7504">
        <v>4750</v>
      </c>
      <c r="C7504" t="str">
        <f t="shared" si="117"/>
        <v>1. Under $10K</v>
      </c>
      <c r="D7504" t="s">
        <v>2292</v>
      </c>
      <c r="E7504" t="s">
        <v>112</v>
      </c>
      <c r="F7504" t="s">
        <v>668</v>
      </c>
      <c r="G7504" t="s">
        <v>59</v>
      </c>
      <c r="H7504">
        <v>2024</v>
      </c>
    </row>
    <row r="7505" spans="1:8" x14ac:dyDescent="0.2">
      <c r="A7505">
        <v>284461</v>
      </c>
      <c r="B7505">
        <v>16963</v>
      </c>
      <c r="C7505" t="str">
        <f t="shared" si="117"/>
        <v>1. Under $10K</v>
      </c>
      <c r="D7505" t="s">
        <v>837</v>
      </c>
      <c r="E7505" t="s">
        <v>237</v>
      </c>
      <c r="F7505" t="s">
        <v>670</v>
      </c>
      <c r="G7505" t="s">
        <v>59</v>
      </c>
      <c r="H7505">
        <v>2024</v>
      </c>
    </row>
    <row r="7506" spans="1:8" x14ac:dyDescent="0.2">
      <c r="A7506">
        <v>284468</v>
      </c>
      <c r="B7506">
        <v>293000</v>
      </c>
      <c r="C7506" t="str">
        <f t="shared" si="117"/>
        <v>2. $10K-50K</v>
      </c>
      <c r="D7506" t="s">
        <v>2223</v>
      </c>
      <c r="E7506" t="s">
        <v>237</v>
      </c>
      <c r="F7506" t="s">
        <v>670</v>
      </c>
      <c r="G7506" t="s">
        <v>59</v>
      </c>
      <c r="H7506">
        <v>2024</v>
      </c>
    </row>
    <row r="7507" spans="1:8" x14ac:dyDescent="0.2">
      <c r="A7507">
        <v>284469</v>
      </c>
      <c r="B7507">
        <v>204869.8</v>
      </c>
      <c r="C7507" t="str">
        <f t="shared" si="117"/>
        <v>4. $250K-1M</v>
      </c>
      <c r="D7507" t="s">
        <v>1027</v>
      </c>
      <c r="E7507" t="s">
        <v>237</v>
      </c>
      <c r="F7507" t="s">
        <v>670</v>
      </c>
      <c r="G7507" t="s">
        <v>59</v>
      </c>
      <c r="H7507">
        <v>2024</v>
      </c>
    </row>
    <row r="7508" spans="1:8" x14ac:dyDescent="0.2">
      <c r="A7508">
        <v>284522</v>
      </c>
      <c r="B7508">
        <v>536726</v>
      </c>
      <c r="C7508" t="str">
        <f t="shared" si="117"/>
        <v>3. $50K-250K</v>
      </c>
      <c r="D7508" t="s">
        <v>725</v>
      </c>
      <c r="E7508" t="s">
        <v>237</v>
      </c>
      <c r="F7508" t="s">
        <v>670</v>
      </c>
      <c r="G7508" t="s">
        <v>59</v>
      </c>
      <c r="H7508">
        <v>2024</v>
      </c>
    </row>
    <row r="7509" spans="1:8" x14ac:dyDescent="0.2">
      <c r="A7509">
        <v>284524</v>
      </c>
      <c r="B7509">
        <v>263320</v>
      </c>
      <c r="C7509" t="str">
        <f t="shared" si="117"/>
        <v>4. $250K-1M</v>
      </c>
      <c r="D7509" t="s">
        <v>759</v>
      </c>
      <c r="E7509" t="s">
        <v>237</v>
      </c>
      <c r="F7509" t="s">
        <v>670</v>
      </c>
      <c r="G7509" t="s">
        <v>59</v>
      </c>
      <c r="H7509">
        <v>2024</v>
      </c>
    </row>
    <row r="7510" spans="1:8" x14ac:dyDescent="0.2">
      <c r="A7510">
        <v>284532</v>
      </c>
      <c r="B7510">
        <v>671466</v>
      </c>
      <c r="C7510" t="str">
        <f t="shared" si="117"/>
        <v>4. $250K-1M</v>
      </c>
      <c r="D7510" t="s">
        <v>699</v>
      </c>
      <c r="E7510" t="s">
        <v>237</v>
      </c>
      <c r="F7510" t="s">
        <v>670</v>
      </c>
      <c r="G7510" t="s">
        <v>59</v>
      </c>
      <c r="H7510">
        <v>2024</v>
      </c>
    </row>
    <row r="7511" spans="1:8" x14ac:dyDescent="0.2">
      <c r="A7511">
        <v>284537</v>
      </c>
      <c r="B7511">
        <v>983016</v>
      </c>
      <c r="C7511" t="str">
        <f t="shared" si="117"/>
        <v>4. $250K-1M</v>
      </c>
      <c r="D7511" t="s">
        <v>724</v>
      </c>
      <c r="E7511" t="s">
        <v>237</v>
      </c>
      <c r="F7511" t="s">
        <v>670</v>
      </c>
      <c r="G7511" t="s">
        <v>59</v>
      </c>
      <c r="H7511">
        <v>2024</v>
      </c>
    </row>
    <row r="7512" spans="1:8" x14ac:dyDescent="0.2">
      <c r="A7512">
        <v>284641</v>
      </c>
      <c r="B7512">
        <v>83565.2</v>
      </c>
      <c r="C7512" t="str">
        <f t="shared" si="117"/>
        <v>4. $250K-1M</v>
      </c>
      <c r="D7512" t="s">
        <v>467</v>
      </c>
      <c r="E7512" t="s">
        <v>54</v>
      </c>
      <c r="F7512" t="s">
        <v>239</v>
      </c>
      <c r="G7512" t="s">
        <v>10</v>
      </c>
      <c r="H7512">
        <v>2025</v>
      </c>
    </row>
    <row r="7513" spans="1:8" x14ac:dyDescent="0.2">
      <c r="A7513">
        <v>284656</v>
      </c>
      <c r="B7513">
        <v>3321921</v>
      </c>
      <c r="C7513" t="str">
        <f t="shared" si="117"/>
        <v>3. $50K-250K</v>
      </c>
      <c r="D7513" t="s">
        <v>882</v>
      </c>
      <c r="E7513" t="s">
        <v>825</v>
      </c>
      <c r="F7513" t="s">
        <v>670</v>
      </c>
      <c r="G7513" t="s">
        <v>59</v>
      </c>
      <c r="H7513">
        <v>2024</v>
      </c>
    </row>
    <row r="7514" spans="1:8" x14ac:dyDescent="0.2">
      <c r="A7514">
        <v>28466</v>
      </c>
      <c r="B7514">
        <v>7761889.0999999996</v>
      </c>
      <c r="C7514" t="str">
        <f t="shared" si="117"/>
        <v>5. $1M+</v>
      </c>
      <c r="D7514" t="s">
        <v>468</v>
      </c>
      <c r="E7514" t="s">
        <v>52</v>
      </c>
      <c r="F7514" t="s">
        <v>43</v>
      </c>
      <c r="G7514" t="s">
        <v>44</v>
      </c>
      <c r="H7514">
        <v>2023</v>
      </c>
    </row>
    <row r="7515" spans="1:8" x14ac:dyDescent="0.2">
      <c r="A7515">
        <v>284673</v>
      </c>
      <c r="B7515">
        <v>1064934</v>
      </c>
      <c r="C7515" t="str">
        <f t="shared" si="117"/>
        <v>5. $1M+</v>
      </c>
      <c r="D7515" t="s">
        <v>747</v>
      </c>
      <c r="E7515" t="s">
        <v>237</v>
      </c>
      <c r="F7515" t="s">
        <v>670</v>
      </c>
      <c r="G7515" t="s">
        <v>59</v>
      </c>
      <c r="H7515">
        <v>2024</v>
      </c>
    </row>
    <row r="7516" spans="1:8" x14ac:dyDescent="0.2">
      <c r="A7516">
        <v>284676</v>
      </c>
      <c r="B7516">
        <v>671466</v>
      </c>
      <c r="C7516" t="str">
        <f t="shared" si="117"/>
        <v>5. $1M+</v>
      </c>
      <c r="D7516" t="s">
        <v>724</v>
      </c>
      <c r="E7516" t="s">
        <v>237</v>
      </c>
      <c r="F7516" t="s">
        <v>670</v>
      </c>
      <c r="G7516" t="s">
        <v>59</v>
      </c>
      <c r="H7516">
        <v>2024</v>
      </c>
    </row>
    <row r="7517" spans="1:8" x14ac:dyDescent="0.2">
      <c r="A7517">
        <v>284708</v>
      </c>
      <c r="B7517">
        <v>5000</v>
      </c>
      <c r="C7517" t="str">
        <f t="shared" si="117"/>
        <v>4. $250K-1M</v>
      </c>
      <c r="D7517" t="s">
        <v>2293</v>
      </c>
      <c r="E7517" t="s">
        <v>112</v>
      </c>
      <c r="F7517" t="s">
        <v>668</v>
      </c>
      <c r="G7517" t="s">
        <v>59</v>
      </c>
      <c r="H7517">
        <v>2024</v>
      </c>
    </row>
    <row r="7518" spans="1:8" x14ac:dyDescent="0.2">
      <c r="A7518">
        <v>284717</v>
      </c>
      <c r="B7518">
        <v>6000</v>
      </c>
      <c r="C7518" t="str">
        <f t="shared" si="117"/>
        <v>1. Under $10K</v>
      </c>
      <c r="D7518" t="s">
        <v>2294</v>
      </c>
      <c r="E7518" t="s">
        <v>112</v>
      </c>
      <c r="F7518" t="s">
        <v>668</v>
      </c>
      <c r="G7518" t="s">
        <v>59</v>
      </c>
      <c r="H7518">
        <v>2024</v>
      </c>
    </row>
    <row r="7519" spans="1:8" x14ac:dyDescent="0.2">
      <c r="A7519">
        <v>284729</v>
      </c>
      <c r="B7519">
        <v>6000</v>
      </c>
      <c r="C7519" t="str">
        <f t="shared" si="117"/>
        <v>1. Under $10K</v>
      </c>
      <c r="D7519" t="s">
        <v>2295</v>
      </c>
      <c r="E7519" t="s">
        <v>112</v>
      </c>
      <c r="F7519" t="s">
        <v>668</v>
      </c>
      <c r="G7519" t="s">
        <v>59</v>
      </c>
      <c r="H7519">
        <v>2024</v>
      </c>
    </row>
    <row r="7520" spans="1:8" x14ac:dyDescent="0.2">
      <c r="A7520">
        <v>284733</v>
      </c>
      <c r="B7520">
        <v>5000</v>
      </c>
      <c r="C7520" t="str">
        <f t="shared" si="117"/>
        <v>1. Under $10K</v>
      </c>
      <c r="D7520" t="s">
        <v>2296</v>
      </c>
      <c r="E7520" t="s">
        <v>112</v>
      </c>
      <c r="F7520" t="s">
        <v>668</v>
      </c>
      <c r="G7520" t="s">
        <v>59</v>
      </c>
      <c r="H7520">
        <v>2024</v>
      </c>
    </row>
    <row r="7521" spans="1:8" x14ac:dyDescent="0.2">
      <c r="A7521">
        <v>284737</v>
      </c>
      <c r="B7521">
        <v>6000</v>
      </c>
      <c r="C7521" t="str">
        <f t="shared" si="117"/>
        <v>1. Under $10K</v>
      </c>
      <c r="D7521" t="s">
        <v>2297</v>
      </c>
      <c r="E7521" t="s">
        <v>112</v>
      </c>
      <c r="F7521" t="s">
        <v>668</v>
      </c>
      <c r="G7521" t="s">
        <v>59</v>
      </c>
      <c r="H7521">
        <v>2024</v>
      </c>
    </row>
    <row r="7522" spans="1:8" x14ac:dyDescent="0.2">
      <c r="A7522">
        <v>284771</v>
      </c>
      <c r="B7522">
        <v>6000</v>
      </c>
      <c r="C7522" t="str">
        <f t="shared" si="117"/>
        <v>1. Under $10K</v>
      </c>
      <c r="D7522" t="s">
        <v>2298</v>
      </c>
      <c r="E7522" t="s">
        <v>112</v>
      </c>
      <c r="F7522" t="s">
        <v>668</v>
      </c>
      <c r="G7522" t="s">
        <v>59</v>
      </c>
      <c r="H7522">
        <v>2024</v>
      </c>
    </row>
    <row r="7523" spans="1:8" x14ac:dyDescent="0.2">
      <c r="A7523">
        <v>284787</v>
      </c>
      <c r="B7523">
        <v>6000</v>
      </c>
      <c r="C7523" t="str">
        <f t="shared" si="117"/>
        <v>1. Under $10K</v>
      </c>
      <c r="D7523" t="s">
        <v>2299</v>
      </c>
      <c r="E7523" t="s">
        <v>112</v>
      </c>
      <c r="F7523" t="s">
        <v>668</v>
      </c>
      <c r="G7523" t="s">
        <v>59</v>
      </c>
      <c r="H7523">
        <v>2024</v>
      </c>
    </row>
    <row r="7524" spans="1:8" x14ac:dyDescent="0.2">
      <c r="A7524">
        <v>284856</v>
      </c>
      <c r="B7524">
        <v>111911</v>
      </c>
      <c r="C7524" t="str">
        <f t="shared" si="117"/>
        <v>1. Under $10K</v>
      </c>
      <c r="D7524" t="s">
        <v>766</v>
      </c>
      <c r="E7524" t="s">
        <v>237</v>
      </c>
      <c r="F7524" t="s">
        <v>670</v>
      </c>
      <c r="G7524" t="s">
        <v>59</v>
      </c>
      <c r="H7524">
        <v>2024</v>
      </c>
    </row>
    <row r="7525" spans="1:8" x14ac:dyDescent="0.2">
      <c r="A7525">
        <v>284859</v>
      </c>
      <c r="B7525">
        <v>2293704</v>
      </c>
      <c r="C7525" t="str">
        <f t="shared" si="117"/>
        <v>3. $50K-250K</v>
      </c>
      <c r="D7525" t="s">
        <v>704</v>
      </c>
      <c r="E7525" t="s">
        <v>237</v>
      </c>
      <c r="F7525" t="s">
        <v>670</v>
      </c>
      <c r="G7525" t="s">
        <v>59</v>
      </c>
      <c r="H7525">
        <v>2024</v>
      </c>
    </row>
    <row r="7526" spans="1:8" x14ac:dyDescent="0.2">
      <c r="A7526">
        <v>284860</v>
      </c>
      <c r="B7526">
        <v>327672</v>
      </c>
      <c r="C7526" t="str">
        <f t="shared" si="117"/>
        <v>5. $1M+</v>
      </c>
      <c r="D7526" t="s">
        <v>765</v>
      </c>
      <c r="E7526" t="s">
        <v>237</v>
      </c>
      <c r="F7526" t="s">
        <v>670</v>
      </c>
      <c r="G7526" t="s">
        <v>59</v>
      </c>
      <c r="H7526">
        <v>2024</v>
      </c>
    </row>
    <row r="7527" spans="1:8" x14ac:dyDescent="0.2">
      <c r="A7527">
        <v>284861</v>
      </c>
      <c r="B7527">
        <v>196142</v>
      </c>
      <c r="C7527" t="str">
        <f t="shared" si="117"/>
        <v>4. $250K-1M</v>
      </c>
      <c r="D7527" t="s">
        <v>732</v>
      </c>
      <c r="E7527" t="s">
        <v>237</v>
      </c>
      <c r="F7527" t="s">
        <v>670</v>
      </c>
      <c r="G7527" t="s">
        <v>59</v>
      </c>
      <c r="H7527">
        <v>2024</v>
      </c>
    </row>
    <row r="7528" spans="1:8" x14ac:dyDescent="0.2">
      <c r="A7528">
        <v>284862</v>
      </c>
      <c r="B7528">
        <v>559555</v>
      </c>
      <c r="C7528" t="str">
        <f t="shared" si="117"/>
        <v>3. $50K-250K</v>
      </c>
      <c r="D7528" t="s">
        <v>694</v>
      </c>
      <c r="E7528" t="s">
        <v>237</v>
      </c>
      <c r="F7528" t="s">
        <v>670</v>
      </c>
      <c r="G7528" t="s">
        <v>59</v>
      </c>
      <c r="H7528">
        <v>2024</v>
      </c>
    </row>
    <row r="7529" spans="1:8" x14ac:dyDescent="0.2">
      <c r="A7529">
        <v>284863</v>
      </c>
      <c r="B7529">
        <v>901871</v>
      </c>
      <c r="C7529" t="str">
        <f t="shared" si="117"/>
        <v>4. $250K-1M</v>
      </c>
      <c r="D7529" t="s">
        <v>704</v>
      </c>
      <c r="E7529" t="s">
        <v>237</v>
      </c>
      <c r="F7529" t="s">
        <v>670</v>
      </c>
      <c r="G7529" t="s">
        <v>59</v>
      </c>
      <c r="H7529">
        <v>2024</v>
      </c>
    </row>
    <row r="7530" spans="1:8" x14ac:dyDescent="0.2">
      <c r="A7530">
        <v>284864</v>
      </c>
      <c r="B7530">
        <v>873792</v>
      </c>
      <c r="C7530" t="str">
        <f t="shared" si="117"/>
        <v>4. $250K-1M</v>
      </c>
      <c r="D7530" t="s">
        <v>694</v>
      </c>
      <c r="E7530" t="s">
        <v>237</v>
      </c>
      <c r="F7530" t="s">
        <v>670</v>
      </c>
      <c r="G7530" t="s">
        <v>59</v>
      </c>
      <c r="H7530">
        <v>2024</v>
      </c>
    </row>
    <row r="7531" spans="1:8" x14ac:dyDescent="0.2">
      <c r="A7531">
        <v>284869</v>
      </c>
      <c r="B7531">
        <v>223822</v>
      </c>
      <c r="C7531" t="str">
        <f t="shared" si="117"/>
        <v>4. $250K-1M</v>
      </c>
      <c r="D7531" t="s">
        <v>761</v>
      </c>
      <c r="E7531" t="s">
        <v>237</v>
      </c>
      <c r="F7531" t="s">
        <v>670</v>
      </c>
      <c r="G7531" t="s">
        <v>59</v>
      </c>
      <c r="H7531">
        <v>2024</v>
      </c>
    </row>
    <row r="7532" spans="1:8" x14ac:dyDescent="0.2">
      <c r="A7532">
        <v>284871</v>
      </c>
      <c r="B7532">
        <v>2714.8</v>
      </c>
      <c r="C7532" t="str">
        <f t="shared" si="117"/>
        <v>3. $50K-250K</v>
      </c>
      <c r="D7532" t="s">
        <v>696</v>
      </c>
      <c r="E7532" t="s">
        <v>237</v>
      </c>
      <c r="F7532" t="s">
        <v>670</v>
      </c>
      <c r="G7532" t="s">
        <v>59</v>
      </c>
      <c r="H7532">
        <v>2024</v>
      </c>
    </row>
    <row r="7533" spans="1:8" x14ac:dyDescent="0.2">
      <c r="A7533">
        <v>284874</v>
      </c>
      <c r="B7533">
        <v>2249952</v>
      </c>
      <c r="C7533" t="str">
        <f t="shared" si="117"/>
        <v>1. Under $10K</v>
      </c>
      <c r="D7533" t="s">
        <v>695</v>
      </c>
      <c r="E7533" t="s">
        <v>237</v>
      </c>
      <c r="F7533" t="s">
        <v>670</v>
      </c>
      <c r="G7533" t="s">
        <v>59</v>
      </c>
      <c r="H7533">
        <v>2024</v>
      </c>
    </row>
    <row r="7534" spans="1:8" x14ac:dyDescent="0.2">
      <c r="A7534">
        <v>284879</v>
      </c>
      <c r="B7534">
        <v>3258.9</v>
      </c>
      <c r="C7534" t="str">
        <f t="shared" si="117"/>
        <v>5. $1M+</v>
      </c>
      <c r="D7534" t="s">
        <v>726</v>
      </c>
      <c r="E7534" t="s">
        <v>237</v>
      </c>
      <c r="F7534" t="s">
        <v>670</v>
      </c>
      <c r="G7534" t="s">
        <v>59</v>
      </c>
      <c r="H7534">
        <v>2024</v>
      </c>
    </row>
    <row r="7535" spans="1:8" x14ac:dyDescent="0.2">
      <c r="A7535">
        <v>284881</v>
      </c>
      <c r="B7535">
        <v>197490</v>
      </c>
      <c r="C7535" t="str">
        <f t="shared" si="117"/>
        <v>1. Under $10K</v>
      </c>
      <c r="D7535" t="s">
        <v>706</v>
      </c>
      <c r="E7535" t="s">
        <v>237</v>
      </c>
      <c r="F7535" t="s">
        <v>670</v>
      </c>
      <c r="G7535" t="s">
        <v>59</v>
      </c>
      <c r="H7535">
        <v>2024</v>
      </c>
    </row>
    <row r="7536" spans="1:8" x14ac:dyDescent="0.2">
      <c r="A7536">
        <v>284883</v>
      </c>
      <c r="B7536">
        <v>218448</v>
      </c>
      <c r="C7536" t="str">
        <f t="shared" si="117"/>
        <v>3. $50K-250K</v>
      </c>
      <c r="D7536" t="s">
        <v>766</v>
      </c>
      <c r="E7536" t="s">
        <v>237</v>
      </c>
      <c r="F7536" t="s">
        <v>670</v>
      </c>
      <c r="G7536" t="s">
        <v>59</v>
      </c>
      <c r="H7536">
        <v>2024</v>
      </c>
    </row>
    <row r="7537" spans="1:8" x14ac:dyDescent="0.2">
      <c r="A7537">
        <v>284885</v>
      </c>
      <c r="B7537">
        <v>65830</v>
      </c>
      <c r="C7537" t="str">
        <f t="shared" si="117"/>
        <v>3. $50K-250K</v>
      </c>
      <c r="D7537" t="s">
        <v>765</v>
      </c>
      <c r="E7537" t="s">
        <v>237</v>
      </c>
      <c r="F7537" t="s">
        <v>670</v>
      </c>
      <c r="G7537" t="s">
        <v>59</v>
      </c>
      <c r="H7537">
        <v>2024</v>
      </c>
    </row>
    <row r="7538" spans="1:8" x14ac:dyDescent="0.2">
      <c r="A7538">
        <v>284886</v>
      </c>
      <c r="B7538">
        <v>1905987</v>
      </c>
      <c r="C7538" t="str">
        <f t="shared" si="117"/>
        <v>3. $50K-250K</v>
      </c>
      <c r="D7538" t="s">
        <v>713</v>
      </c>
      <c r="E7538" t="s">
        <v>237</v>
      </c>
      <c r="F7538" t="s">
        <v>670</v>
      </c>
      <c r="G7538" t="s">
        <v>59</v>
      </c>
      <c r="H7538">
        <v>2024</v>
      </c>
    </row>
    <row r="7539" spans="1:8" x14ac:dyDescent="0.2">
      <c r="A7539">
        <v>284889</v>
      </c>
      <c r="B7539">
        <v>2239092</v>
      </c>
      <c r="C7539" t="str">
        <f t="shared" si="117"/>
        <v>5. $1M+</v>
      </c>
      <c r="D7539" t="s">
        <v>713</v>
      </c>
      <c r="E7539" t="s">
        <v>237</v>
      </c>
      <c r="F7539" t="s">
        <v>670</v>
      </c>
      <c r="G7539" t="s">
        <v>59</v>
      </c>
      <c r="H7539">
        <v>2024</v>
      </c>
    </row>
    <row r="7540" spans="1:8" x14ac:dyDescent="0.2">
      <c r="A7540">
        <v>284891</v>
      </c>
      <c r="B7540">
        <v>1774491</v>
      </c>
      <c r="C7540" t="str">
        <f t="shared" si="117"/>
        <v>5. $1M+</v>
      </c>
      <c r="D7540" t="s">
        <v>699</v>
      </c>
      <c r="E7540" t="s">
        <v>237</v>
      </c>
      <c r="F7540" t="s">
        <v>670</v>
      </c>
      <c r="G7540" t="s">
        <v>59</v>
      </c>
      <c r="H7540">
        <v>2024</v>
      </c>
    </row>
    <row r="7541" spans="1:8" x14ac:dyDescent="0.2">
      <c r="A7541">
        <v>284892</v>
      </c>
      <c r="B7541">
        <v>1053280</v>
      </c>
      <c r="C7541" t="str">
        <f t="shared" si="117"/>
        <v>5. $1M+</v>
      </c>
      <c r="D7541" t="s">
        <v>695</v>
      </c>
      <c r="E7541" t="s">
        <v>237</v>
      </c>
      <c r="F7541" t="s">
        <v>670</v>
      </c>
      <c r="G7541" t="s">
        <v>59</v>
      </c>
      <c r="H7541">
        <v>2024</v>
      </c>
    </row>
    <row r="7542" spans="1:8" x14ac:dyDescent="0.2">
      <c r="A7542">
        <v>284893</v>
      </c>
      <c r="B7542">
        <v>107628</v>
      </c>
      <c r="C7542" t="str">
        <f t="shared" si="117"/>
        <v>5. $1M+</v>
      </c>
      <c r="D7542" t="s">
        <v>732</v>
      </c>
      <c r="E7542" t="s">
        <v>237</v>
      </c>
      <c r="F7542" t="s">
        <v>670</v>
      </c>
      <c r="G7542" t="s">
        <v>59</v>
      </c>
      <c r="H7542">
        <v>2024</v>
      </c>
    </row>
    <row r="7543" spans="1:8" x14ac:dyDescent="0.2">
      <c r="A7543">
        <v>284896</v>
      </c>
      <c r="B7543">
        <v>1599669</v>
      </c>
      <c r="C7543" t="str">
        <f t="shared" si="117"/>
        <v>3. $50K-250K</v>
      </c>
      <c r="D7543" t="s">
        <v>696</v>
      </c>
      <c r="E7543" t="s">
        <v>237</v>
      </c>
      <c r="F7543" t="s">
        <v>670</v>
      </c>
      <c r="G7543" t="s">
        <v>59</v>
      </c>
      <c r="H7543">
        <v>2024</v>
      </c>
    </row>
    <row r="7544" spans="1:8" x14ac:dyDescent="0.2">
      <c r="A7544">
        <v>284931</v>
      </c>
      <c r="B7544">
        <v>26132.799999999999</v>
      </c>
      <c r="C7544" t="str">
        <f t="shared" si="117"/>
        <v>5. $1M+</v>
      </c>
      <c r="D7544" t="s">
        <v>870</v>
      </c>
      <c r="E7544" t="s">
        <v>237</v>
      </c>
      <c r="F7544" t="s">
        <v>670</v>
      </c>
      <c r="G7544" t="s">
        <v>59</v>
      </c>
      <c r="H7544">
        <v>2024</v>
      </c>
    </row>
    <row r="7545" spans="1:8" x14ac:dyDescent="0.2">
      <c r="A7545">
        <v>284993</v>
      </c>
      <c r="B7545">
        <v>27783</v>
      </c>
      <c r="C7545" t="str">
        <f t="shared" si="117"/>
        <v>2. $10K-50K</v>
      </c>
      <c r="D7545" t="s">
        <v>674</v>
      </c>
      <c r="E7545" t="s">
        <v>42</v>
      </c>
      <c r="F7545" t="s">
        <v>670</v>
      </c>
      <c r="G7545" t="s">
        <v>44</v>
      </c>
      <c r="H7545">
        <v>2024</v>
      </c>
    </row>
    <row r="7546" spans="1:8" x14ac:dyDescent="0.2">
      <c r="A7546">
        <v>285030</v>
      </c>
      <c r="B7546">
        <v>6000</v>
      </c>
      <c r="C7546" t="str">
        <f t="shared" si="117"/>
        <v>2. $10K-50K</v>
      </c>
      <c r="D7546" t="s">
        <v>2300</v>
      </c>
      <c r="E7546" t="s">
        <v>112</v>
      </c>
      <c r="F7546" t="s">
        <v>668</v>
      </c>
      <c r="G7546" t="s">
        <v>59</v>
      </c>
      <c r="H7546">
        <v>2024</v>
      </c>
    </row>
    <row r="7547" spans="1:8" x14ac:dyDescent="0.2">
      <c r="A7547">
        <v>285033</v>
      </c>
      <c r="B7547">
        <v>6000</v>
      </c>
      <c r="C7547" t="str">
        <f t="shared" si="117"/>
        <v>1. Under $10K</v>
      </c>
      <c r="D7547" t="s">
        <v>2301</v>
      </c>
      <c r="E7547" t="s">
        <v>112</v>
      </c>
      <c r="F7547" t="s">
        <v>668</v>
      </c>
      <c r="G7547" t="s">
        <v>59</v>
      </c>
      <c r="H7547">
        <v>2024</v>
      </c>
    </row>
    <row r="7548" spans="1:8" x14ac:dyDescent="0.2">
      <c r="A7548">
        <v>285034</v>
      </c>
      <c r="B7548">
        <v>6000</v>
      </c>
      <c r="C7548" t="str">
        <f t="shared" si="117"/>
        <v>1. Under $10K</v>
      </c>
      <c r="D7548" t="s">
        <v>2302</v>
      </c>
      <c r="E7548" t="s">
        <v>112</v>
      </c>
      <c r="F7548" t="s">
        <v>668</v>
      </c>
      <c r="G7548" t="s">
        <v>59</v>
      </c>
      <c r="H7548">
        <v>2024</v>
      </c>
    </row>
    <row r="7549" spans="1:8" x14ac:dyDescent="0.2">
      <c r="A7549">
        <v>285035</v>
      </c>
      <c r="B7549">
        <v>5750</v>
      </c>
      <c r="C7549" t="str">
        <f t="shared" si="117"/>
        <v>1. Under $10K</v>
      </c>
      <c r="D7549" t="s">
        <v>2303</v>
      </c>
      <c r="E7549" t="s">
        <v>112</v>
      </c>
      <c r="F7549" t="s">
        <v>668</v>
      </c>
      <c r="G7549" t="s">
        <v>59</v>
      </c>
      <c r="H7549">
        <v>2024</v>
      </c>
    </row>
    <row r="7550" spans="1:8" x14ac:dyDescent="0.2">
      <c r="A7550">
        <v>285036</v>
      </c>
      <c r="B7550">
        <v>6000</v>
      </c>
      <c r="C7550" t="str">
        <f t="shared" si="117"/>
        <v>1. Under $10K</v>
      </c>
      <c r="D7550" t="s">
        <v>2304</v>
      </c>
      <c r="E7550" t="s">
        <v>112</v>
      </c>
      <c r="F7550" t="s">
        <v>668</v>
      </c>
      <c r="G7550" t="s">
        <v>59</v>
      </c>
      <c r="H7550">
        <v>2024</v>
      </c>
    </row>
    <row r="7551" spans="1:8" x14ac:dyDescent="0.2">
      <c r="A7551">
        <v>285045</v>
      </c>
      <c r="B7551">
        <v>4000</v>
      </c>
      <c r="C7551" t="str">
        <f t="shared" si="117"/>
        <v>1. Under $10K</v>
      </c>
      <c r="D7551" t="s">
        <v>2305</v>
      </c>
      <c r="E7551" t="s">
        <v>112</v>
      </c>
      <c r="F7551" t="s">
        <v>668</v>
      </c>
      <c r="G7551" t="s">
        <v>59</v>
      </c>
      <c r="H7551">
        <v>2024</v>
      </c>
    </row>
    <row r="7552" spans="1:8" x14ac:dyDescent="0.2">
      <c r="A7552">
        <v>285049</v>
      </c>
      <c r="B7552">
        <v>6000</v>
      </c>
      <c r="C7552" t="str">
        <f t="shared" si="117"/>
        <v>1. Under $10K</v>
      </c>
      <c r="D7552" t="s">
        <v>2306</v>
      </c>
      <c r="E7552" t="s">
        <v>112</v>
      </c>
      <c r="F7552" t="s">
        <v>668</v>
      </c>
      <c r="G7552" t="s">
        <v>59</v>
      </c>
      <c r="H7552">
        <v>2024</v>
      </c>
    </row>
    <row r="7553" spans="1:8" x14ac:dyDescent="0.2">
      <c r="A7553">
        <v>285050</v>
      </c>
      <c r="B7553">
        <v>1300</v>
      </c>
      <c r="C7553" t="str">
        <f t="shared" si="117"/>
        <v>1. Under $10K</v>
      </c>
      <c r="D7553" t="s">
        <v>2307</v>
      </c>
      <c r="E7553" t="s">
        <v>112</v>
      </c>
      <c r="F7553" t="s">
        <v>668</v>
      </c>
      <c r="G7553" t="s">
        <v>59</v>
      </c>
      <c r="H7553">
        <v>2024</v>
      </c>
    </row>
    <row r="7554" spans="1:8" x14ac:dyDescent="0.2">
      <c r="A7554">
        <v>285054</v>
      </c>
      <c r="B7554">
        <v>6000</v>
      </c>
      <c r="C7554" t="str">
        <f t="shared" si="117"/>
        <v>1. Under $10K</v>
      </c>
      <c r="D7554" t="s">
        <v>2308</v>
      </c>
      <c r="E7554" t="s">
        <v>112</v>
      </c>
      <c r="F7554" t="s">
        <v>668</v>
      </c>
      <c r="G7554" t="s">
        <v>59</v>
      </c>
      <c r="H7554">
        <v>2024</v>
      </c>
    </row>
    <row r="7555" spans="1:8" x14ac:dyDescent="0.2">
      <c r="A7555">
        <v>285066</v>
      </c>
      <c r="B7555">
        <v>6000</v>
      </c>
      <c r="C7555" t="str">
        <f t="shared" ref="C7555:C7618" si="118">IF(B7554&lt;10000,"1. Under $10K",IF(B7554&lt;50000,"2. $10K-50K",IF(B7554&lt;250000,"3. $50K-250K",IF(B7554&lt;1000000,"4. $250K-1M","5. $1M+"))))</f>
        <v>1. Under $10K</v>
      </c>
      <c r="D7555" t="s">
        <v>2309</v>
      </c>
      <c r="E7555" t="s">
        <v>112</v>
      </c>
      <c r="F7555" t="s">
        <v>668</v>
      </c>
      <c r="G7555" t="s">
        <v>59</v>
      </c>
      <c r="H7555">
        <v>2024</v>
      </c>
    </row>
    <row r="7556" spans="1:8" x14ac:dyDescent="0.2">
      <c r="A7556">
        <v>285082</v>
      </c>
      <c r="B7556">
        <v>6000</v>
      </c>
      <c r="C7556" t="str">
        <f t="shared" si="118"/>
        <v>1. Under $10K</v>
      </c>
      <c r="D7556" t="s">
        <v>2310</v>
      </c>
      <c r="E7556" t="s">
        <v>112</v>
      </c>
      <c r="F7556" t="s">
        <v>668</v>
      </c>
      <c r="G7556" t="s">
        <v>59</v>
      </c>
      <c r="H7556">
        <v>2024</v>
      </c>
    </row>
    <row r="7557" spans="1:8" x14ac:dyDescent="0.2">
      <c r="A7557">
        <v>285094</v>
      </c>
      <c r="B7557">
        <v>6000</v>
      </c>
      <c r="C7557" t="str">
        <f t="shared" si="118"/>
        <v>1. Under $10K</v>
      </c>
      <c r="D7557" t="s">
        <v>2311</v>
      </c>
      <c r="E7557" t="s">
        <v>112</v>
      </c>
      <c r="F7557" t="s">
        <v>668</v>
      </c>
      <c r="G7557" t="s">
        <v>59</v>
      </c>
      <c r="H7557">
        <v>2024</v>
      </c>
    </row>
    <row r="7558" spans="1:8" x14ac:dyDescent="0.2">
      <c r="A7558">
        <v>285105</v>
      </c>
      <c r="B7558">
        <v>831346</v>
      </c>
      <c r="C7558" t="str">
        <f t="shared" si="118"/>
        <v>1. Under $10K</v>
      </c>
      <c r="D7558" t="s">
        <v>1032</v>
      </c>
      <c r="E7558" t="s">
        <v>237</v>
      </c>
      <c r="F7558" t="s">
        <v>670</v>
      </c>
      <c r="G7558" t="s">
        <v>59</v>
      </c>
      <c r="H7558">
        <v>2024</v>
      </c>
    </row>
    <row r="7559" spans="1:8" x14ac:dyDescent="0.2">
      <c r="A7559">
        <v>285106</v>
      </c>
      <c r="B7559">
        <v>452394</v>
      </c>
      <c r="C7559" t="str">
        <f t="shared" si="118"/>
        <v>4. $250K-1M</v>
      </c>
      <c r="D7559" t="s">
        <v>693</v>
      </c>
      <c r="E7559" t="s">
        <v>237</v>
      </c>
      <c r="F7559" t="s">
        <v>670</v>
      </c>
      <c r="G7559" t="s">
        <v>59</v>
      </c>
      <c r="H7559">
        <v>2024</v>
      </c>
    </row>
    <row r="7560" spans="1:8" x14ac:dyDescent="0.2">
      <c r="A7560">
        <v>285155</v>
      </c>
      <c r="B7560">
        <v>764568</v>
      </c>
      <c r="C7560" t="str">
        <f t="shared" si="118"/>
        <v>4. $250K-1M</v>
      </c>
      <c r="D7560" t="s">
        <v>731</v>
      </c>
      <c r="E7560" t="s">
        <v>237</v>
      </c>
      <c r="F7560" t="s">
        <v>670</v>
      </c>
      <c r="G7560" t="s">
        <v>59</v>
      </c>
      <c r="H7560">
        <v>2024</v>
      </c>
    </row>
    <row r="7561" spans="1:8" x14ac:dyDescent="0.2">
      <c r="A7561">
        <v>285186</v>
      </c>
      <c r="B7561">
        <v>1000000</v>
      </c>
      <c r="C7561" t="str">
        <f t="shared" si="118"/>
        <v>4. $250K-1M</v>
      </c>
      <c r="D7561" t="s">
        <v>837</v>
      </c>
      <c r="E7561" t="s">
        <v>237</v>
      </c>
      <c r="F7561" t="s">
        <v>670</v>
      </c>
      <c r="G7561" t="s">
        <v>44</v>
      </c>
      <c r="H7561">
        <v>2025</v>
      </c>
    </row>
    <row r="7562" spans="1:8" x14ac:dyDescent="0.2">
      <c r="A7562">
        <v>285195</v>
      </c>
      <c r="B7562">
        <v>250000</v>
      </c>
      <c r="C7562" t="str">
        <f t="shared" si="118"/>
        <v>5. $1M+</v>
      </c>
      <c r="D7562" t="s">
        <v>469</v>
      </c>
      <c r="E7562" t="s">
        <v>54</v>
      </c>
      <c r="F7562" t="s">
        <v>239</v>
      </c>
      <c r="G7562" t="s">
        <v>10</v>
      </c>
      <c r="H7562">
        <v>2025</v>
      </c>
    </row>
    <row r="7563" spans="1:8" x14ac:dyDescent="0.2">
      <c r="A7563">
        <v>285253</v>
      </c>
      <c r="B7563">
        <v>671466</v>
      </c>
      <c r="C7563" t="str">
        <f t="shared" si="118"/>
        <v>4. $250K-1M</v>
      </c>
      <c r="D7563" t="s">
        <v>724</v>
      </c>
      <c r="E7563" t="s">
        <v>237</v>
      </c>
      <c r="F7563" t="s">
        <v>670</v>
      </c>
      <c r="G7563" t="s">
        <v>59</v>
      </c>
      <c r="H7563">
        <v>2024</v>
      </c>
    </row>
    <row r="7564" spans="1:8" x14ac:dyDescent="0.2">
      <c r="A7564">
        <v>285256</v>
      </c>
      <c r="B7564">
        <v>259008</v>
      </c>
      <c r="C7564" t="str">
        <f t="shared" si="118"/>
        <v>4. $250K-1M</v>
      </c>
      <c r="D7564" t="s">
        <v>726</v>
      </c>
      <c r="E7564" t="s">
        <v>237</v>
      </c>
      <c r="F7564" t="s">
        <v>670</v>
      </c>
      <c r="G7564" t="s">
        <v>59</v>
      </c>
      <c r="H7564">
        <v>2024</v>
      </c>
    </row>
    <row r="7565" spans="1:8" x14ac:dyDescent="0.2">
      <c r="A7565">
        <v>285258</v>
      </c>
      <c r="B7565">
        <v>691200</v>
      </c>
      <c r="C7565" t="str">
        <f t="shared" si="118"/>
        <v>4. $250K-1M</v>
      </c>
      <c r="D7565" t="s">
        <v>693</v>
      </c>
      <c r="E7565" t="s">
        <v>237</v>
      </c>
      <c r="F7565" t="s">
        <v>670</v>
      </c>
      <c r="G7565" t="s">
        <v>59</v>
      </c>
      <c r="H7565">
        <v>2024</v>
      </c>
    </row>
    <row r="7566" spans="1:8" x14ac:dyDescent="0.2">
      <c r="A7566">
        <v>285259</v>
      </c>
      <c r="B7566">
        <v>641691</v>
      </c>
      <c r="C7566" t="str">
        <f t="shared" si="118"/>
        <v>4. $250K-1M</v>
      </c>
      <c r="D7566" t="s">
        <v>734</v>
      </c>
      <c r="E7566" t="s">
        <v>237</v>
      </c>
      <c r="F7566" t="s">
        <v>670</v>
      </c>
      <c r="G7566" t="s">
        <v>59</v>
      </c>
      <c r="H7566">
        <v>2024</v>
      </c>
    </row>
    <row r="7567" spans="1:8" x14ac:dyDescent="0.2">
      <c r="A7567">
        <v>285260</v>
      </c>
      <c r="B7567">
        <v>239333</v>
      </c>
      <c r="C7567" t="str">
        <f t="shared" si="118"/>
        <v>4. $250K-1M</v>
      </c>
      <c r="D7567" t="s">
        <v>734</v>
      </c>
      <c r="E7567" t="s">
        <v>237</v>
      </c>
      <c r="F7567" t="s">
        <v>670</v>
      </c>
      <c r="G7567" t="s">
        <v>59</v>
      </c>
      <c r="H7567">
        <v>2024</v>
      </c>
    </row>
    <row r="7568" spans="1:8" x14ac:dyDescent="0.2">
      <c r="A7568">
        <v>285262</v>
      </c>
      <c r="B7568">
        <v>151473</v>
      </c>
      <c r="C7568" t="str">
        <f t="shared" si="118"/>
        <v>3. $50K-250K</v>
      </c>
      <c r="D7568" t="s">
        <v>717</v>
      </c>
      <c r="E7568" t="s">
        <v>237</v>
      </c>
      <c r="F7568" t="s">
        <v>670</v>
      </c>
      <c r="G7568" t="s">
        <v>59</v>
      </c>
      <c r="H7568">
        <v>2024</v>
      </c>
    </row>
    <row r="7569" spans="1:8" x14ac:dyDescent="0.2">
      <c r="A7569">
        <v>285267</v>
      </c>
      <c r="B7569">
        <v>335733</v>
      </c>
      <c r="C7569" t="str">
        <f t="shared" si="118"/>
        <v>3. $50K-250K</v>
      </c>
      <c r="D7569" t="s">
        <v>747</v>
      </c>
      <c r="E7569" t="s">
        <v>237</v>
      </c>
      <c r="F7569" t="s">
        <v>670</v>
      </c>
      <c r="G7569" t="s">
        <v>59</v>
      </c>
      <c r="H7569">
        <v>2024</v>
      </c>
    </row>
    <row r="7570" spans="1:8" x14ac:dyDescent="0.2">
      <c r="A7570">
        <v>285268</v>
      </c>
      <c r="B7570">
        <v>223822</v>
      </c>
      <c r="C7570" t="str">
        <f t="shared" si="118"/>
        <v>4. $250K-1M</v>
      </c>
      <c r="D7570" t="s">
        <v>731</v>
      </c>
      <c r="E7570" t="s">
        <v>237</v>
      </c>
      <c r="F7570" t="s">
        <v>670</v>
      </c>
      <c r="G7570" t="s">
        <v>59</v>
      </c>
      <c r="H7570">
        <v>2024</v>
      </c>
    </row>
    <row r="7571" spans="1:8" x14ac:dyDescent="0.2">
      <c r="A7571">
        <v>285269</v>
      </c>
      <c r="B7571">
        <v>98745</v>
      </c>
      <c r="C7571" t="str">
        <f t="shared" si="118"/>
        <v>3. $50K-250K</v>
      </c>
      <c r="D7571" t="s">
        <v>729</v>
      </c>
      <c r="E7571" t="s">
        <v>237</v>
      </c>
      <c r="F7571" t="s">
        <v>670</v>
      </c>
      <c r="G7571" t="s">
        <v>59</v>
      </c>
      <c r="H7571">
        <v>2024</v>
      </c>
    </row>
    <row r="7572" spans="1:8" x14ac:dyDescent="0.2">
      <c r="A7572">
        <v>285271</v>
      </c>
      <c r="B7572">
        <v>659140</v>
      </c>
      <c r="C7572" t="str">
        <f t="shared" si="118"/>
        <v>3. $50K-250K</v>
      </c>
      <c r="D7572" t="s">
        <v>717</v>
      </c>
      <c r="E7572" t="s">
        <v>237</v>
      </c>
      <c r="F7572" t="s">
        <v>670</v>
      </c>
      <c r="G7572" t="s">
        <v>59</v>
      </c>
      <c r="H7572">
        <v>2024</v>
      </c>
    </row>
    <row r="7573" spans="1:8" x14ac:dyDescent="0.2">
      <c r="A7573">
        <v>285272</v>
      </c>
      <c r="B7573">
        <v>1624707</v>
      </c>
      <c r="C7573" t="str">
        <f t="shared" si="118"/>
        <v>4. $250K-1M</v>
      </c>
      <c r="D7573" t="s">
        <v>1032</v>
      </c>
      <c r="E7573" t="s">
        <v>237</v>
      </c>
      <c r="F7573" t="s">
        <v>670</v>
      </c>
      <c r="G7573" t="s">
        <v>59</v>
      </c>
      <c r="H7573">
        <v>2024</v>
      </c>
    </row>
    <row r="7574" spans="1:8" x14ac:dyDescent="0.2">
      <c r="A7574">
        <v>285380</v>
      </c>
      <c r="B7574">
        <v>98745</v>
      </c>
      <c r="C7574" t="str">
        <f t="shared" si="118"/>
        <v>5. $1M+</v>
      </c>
      <c r="D7574" t="s">
        <v>769</v>
      </c>
      <c r="E7574" t="s">
        <v>237</v>
      </c>
      <c r="F7574" t="s">
        <v>670</v>
      </c>
      <c r="G7574" t="s">
        <v>59</v>
      </c>
      <c r="H7574">
        <v>2024</v>
      </c>
    </row>
    <row r="7575" spans="1:8" x14ac:dyDescent="0.2">
      <c r="A7575">
        <v>285381</v>
      </c>
      <c r="B7575">
        <v>447644</v>
      </c>
      <c r="C7575" t="str">
        <f t="shared" si="118"/>
        <v>3. $50K-250K</v>
      </c>
      <c r="D7575" t="s">
        <v>757</v>
      </c>
      <c r="E7575" t="s">
        <v>237</v>
      </c>
      <c r="F7575" t="s">
        <v>670</v>
      </c>
      <c r="G7575" t="s">
        <v>59</v>
      </c>
      <c r="H7575">
        <v>2024</v>
      </c>
    </row>
    <row r="7576" spans="1:8" x14ac:dyDescent="0.2">
      <c r="A7576">
        <v>285467</v>
      </c>
      <c r="B7576">
        <v>42420000</v>
      </c>
      <c r="C7576" t="str">
        <f t="shared" si="118"/>
        <v>4. $250K-1M</v>
      </c>
      <c r="D7576" t="s">
        <v>1571</v>
      </c>
      <c r="E7576" t="s">
        <v>28</v>
      </c>
      <c r="F7576" t="s">
        <v>668</v>
      </c>
      <c r="G7576" t="s">
        <v>59</v>
      </c>
      <c r="H7576">
        <v>2024</v>
      </c>
    </row>
    <row r="7577" spans="1:8" x14ac:dyDescent="0.2">
      <c r="A7577">
        <v>285470</v>
      </c>
      <c r="B7577">
        <v>40000</v>
      </c>
      <c r="C7577" t="str">
        <f t="shared" si="118"/>
        <v>5. $1M+</v>
      </c>
      <c r="D7577" t="s">
        <v>2267</v>
      </c>
      <c r="E7577" t="s">
        <v>112</v>
      </c>
      <c r="F7577" t="s">
        <v>668</v>
      </c>
      <c r="G7577" t="s">
        <v>59</v>
      </c>
      <c r="H7577">
        <v>2024</v>
      </c>
    </row>
    <row r="7578" spans="1:8" x14ac:dyDescent="0.2">
      <c r="A7578">
        <v>285602</v>
      </c>
      <c r="B7578">
        <v>5000000</v>
      </c>
      <c r="C7578" t="str">
        <f t="shared" si="118"/>
        <v>2. $10K-50K</v>
      </c>
      <c r="D7578" t="s">
        <v>282</v>
      </c>
      <c r="E7578" t="s">
        <v>8</v>
      </c>
      <c r="F7578" t="s">
        <v>43</v>
      </c>
      <c r="G7578" t="s">
        <v>101</v>
      </c>
      <c r="H7578">
        <v>2024</v>
      </c>
    </row>
    <row r="7579" spans="1:8" x14ac:dyDescent="0.2">
      <c r="A7579">
        <v>285936</v>
      </c>
      <c r="B7579">
        <v>116025</v>
      </c>
      <c r="C7579" t="str">
        <f t="shared" si="118"/>
        <v>5. $1M+</v>
      </c>
      <c r="D7579" t="s">
        <v>682</v>
      </c>
      <c r="E7579" t="s">
        <v>42</v>
      </c>
      <c r="F7579" t="s">
        <v>670</v>
      </c>
      <c r="G7579" t="s">
        <v>59</v>
      </c>
      <c r="H7579">
        <v>2024</v>
      </c>
    </row>
    <row r="7580" spans="1:8" x14ac:dyDescent="0.2">
      <c r="A7580">
        <v>285937</v>
      </c>
      <c r="B7580">
        <v>20817</v>
      </c>
      <c r="C7580" t="str">
        <f t="shared" si="118"/>
        <v>3. $50K-250K</v>
      </c>
      <c r="D7580" t="s">
        <v>680</v>
      </c>
      <c r="E7580" t="s">
        <v>42</v>
      </c>
      <c r="F7580" t="s">
        <v>670</v>
      </c>
      <c r="G7580" t="s">
        <v>59</v>
      </c>
      <c r="H7580">
        <v>2024</v>
      </c>
    </row>
    <row r="7581" spans="1:8" x14ac:dyDescent="0.2">
      <c r="A7581">
        <v>285938</v>
      </c>
      <c r="B7581">
        <v>119792</v>
      </c>
      <c r="C7581" t="str">
        <f t="shared" si="118"/>
        <v>2. $10K-50K</v>
      </c>
      <c r="D7581" t="s">
        <v>804</v>
      </c>
      <c r="E7581" t="s">
        <v>42</v>
      </c>
      <c r="F7581" t="s">
        <v>670</v>
      </c>
      <c r="G7581" t="s">
        <v>59</v>
      </c>
      <c r="H7581">
        <v>2024</v>
      </c>
    </row>
    <row r="7582" spans="1:8" x14ac:dyDescent="0.2">
      <c r="A7582">
        <v>286078</v>
      </c>
      <c r="B7582">
        <v>241805.5</v>
      </c>
      <c r="C7582" t="str">
        <f t="shared" si="118"/>
        <v>3. $50K-250K</v>
      </c>
      <c r="D7582" t="s">
        <v>470</v>
      </c>
      <c r="E7582" t="s">
        <v>54</v>
      </c>
      <c r="F7582" t="s">
        <v>239</v>
      </c>
      <c r="G7582" t="s">
        <v>10</v>
      </c>
      <c r="H7582">
        <v>2025</v>
      </c>
    </row>
    <row r="7583" spans="1:8" x14ac:dyDescent="0.2">
      <c r="A7583">
        <v>286102</v>
      </c>
      <c r="B7583">
        <v>6500000</v>
      </c>
      <c r="C7583" t="str">
        <f t="shared" si="118"/>
        <v>3. $50K-250K</v>
      </c>
      <c r="D7583" t="s">
        <v>1371</v>
      </c>
      <c r="E7583" t="s">
        <v>8</v>
      </c>
      <c r="F7583" t="s">
        <v>668</v>
      </c>
      <c r="G7583" t="s">
        <v>59</v>
      </c>
      <c r="H7583">
        <v>2024</v>
      </c>
    </row>
    <row r="7584" spans="1:8" x14ac:dyDescent="0.2">
      <c r="A7584">
        <v>286126</v>
      </c>
      <c r="B7584">
        <v>12254441.6</v>
      </c>
      <c r="C7584" t="str">
        <f t="shared" si="118"/>
        <v>5. $1M+</v>
      </c>
      <c r="D7584" t="s">
        <v>863</v>
      </c>
      <c r="E7584" t="s">
        <v>237</v>
      </c>
      <c r="F7584" t="s">
        <v>670</v>
      </c>
      <c r="G7584" t="s">
        <v>59</v>
      </c>
      <c r="H7584">
        <v>2024</v>
      </c>
    </row>
    <row r="7585" spans="1:8" x14ac:dyDescent="0.2">
      <c r="A7585">
        <v>286131</v>
      </c>
      <c r="B7585">
        <v>400000</v>
      </c>
      <c r="C7585" t="str">
        <f t="shared" si="118"/>
        <v>5. $1M+</v>
      </c>
      <c r="D7585" t="s">
        <v>694</v>
      </c>
      <c r="E7585" t="s">
        <v>237</v>
      </c>
      <c r="F7585" t="s">
        <v>670</v>
      </c>
      <c r="G7585" t="s">
        <v>59</v>
      </c>
      <c r="H7585">
        <v>2024</v>
      </c>
    </row>
    <row r="7586" spans="1:8" x14ac:dyDescent="0.2">
      <c r="A7586">
        <v>286273</v>
      </c>
      <c r="B7586">
        <v>510000</v>
      </c>
      <c r="C7586" t="str">
        <f t="shared" si="118"/>
        <v>4. $250K-1M</v>
      </c>
      <c r="D7586" t="s">
        <v>2312</v>
      </c>
      <c r="E7586" t="s">
        <v>52</v>
      </c>
      <c r="F7586" t="s">
        <v>668</v>
      </c>
      <c r="G7586" t="s">
        <v>59</v>
      </c>
      <c r="H7586">
        <v>2024</v>
      </c>
    </row>
    <row r="7587" spans="1:8" x14ac:dyDescent="0.2">
      <c r="A7587">
        <v>286284</v>
      </c>
      <c r="B7587">
        <v>160000</v>
      </c>
      <c r="C7587" t="str">
        <f t="shared" si="118"/>
        <v>4. $250K-1M</v>
      </c>
      <c r="D7587" t="s">
        <v>1721</v>
      </c>
      <c r="E7587" t="s">
        <v>52</v>
      </c>
      <c r="F7587" t="s">
        <v>668</v>
      </c>
      <c r="G7587" t="s">
        <v>59</v>
      </c>
      <c r="H7587">
        <v>2024</v>
      </c>
    </row>
    <row r="7588" spans="1:8" x14ac:dyDescent="0.2">
      <c r="A7588">
        <v>286287</v>
      </c>
      <c r="B7588">
        <v>180000</v>
      </c>
      <c r="C7588" t="str">
        <f t="shared" si="118"/>
        <v>3. $50K-250K</v>
      </c>
      <c r="D7588" t="s">
        <v>2312</v>
      </c>
      <c r="E7588" t="s">
        <v>52</v>
      </c>
      <c r="F7588" t="s">
        <v>668</v>
      </c>
      <c r="G7588" t="s">
        <v>59</v>
      </c>
      <c r="H7588">
        <v>2024</v>
      </c>
    </row>
    <row r="7589" spans="1:8" x14ac:dyDescent="0.2">
      <c r="A7589">
        <v>286290</v>
      </c>
      <c r="B7589">
        <v>110000</v>
      </c>
      <c r="C7589" t="str">
        <f t="shared" si="118"/>
        <v>3. $50K-250K</v>
      </c>
      <c r="D7589" t="s">
        <v>2313</v>
      </c>
      <c r="E7589" t="s">
        <v>52</v>
      </c>
      <c r="F7589" t="s">
        <v>668</v>
      </c>
      <c r="G7589" t="s">
        <v>59</v>
      </c>
      <c r="H7589">
        <v>2024</v>
      </c>
    </row>
    <row r="7590" spans="1:8" x14ac:dyDescent="0.2">
      <c r="A7590">
        <v>28635</v>
      </c>
      <c r="B7590">
        <v>16000000</v>
      </c>
      <c r="C7590" t="str">
        <f t="shared" si="118"/>
        <v>3. $50K-250K</v>
      </c>
      <c r="D7590" t="s">
        <v>471</v>
      </c>
      <c r="E7590" t="s">
        <v>8</v>
      </c>
      <c r="F7590" t="s">
        <v>43</v>
      </c>
      <c r="G7590" t="s">
        <v>44</v>
      </c>
      <c r="H7590">
        <v>2024</v>
      </c>
    </row>
    <row r="7591" spans="1:8" x14ac:dyDescent="0.2">
      <c r="A7591">
        <v>286388</v>
      </c>
      <c r="B7591">
        <v>3576288</v>
      </c>
      <c r="C7591" t="str">
        <f t="shared" si="118"/>
        <v>5. $1M+</v>
      </c>
      <c r="D7591" t="s">
        <v>720</v>
      </c>
      <c r="E7591" t="s">
        <v>237</v>
      </c>
      <c r="F7591" t="s">
        <v>670</v>
      </c>
      <c r="G7591" t="s">
        <v>59</v>
      </c>
      <c r="H7591">
        <v>2024</v>
      </c>
    </row>
    <row r="7592" spans="1:8" x14ac:dyDescent="0.2">
      <c r="A7592">
        <v>286551</v>
      </c>
      <c r="B7592">
        <v>1731329</v>
      </c>
      <c r="C7592" t="str">
        <f t="shared" si="118"/>
        <v>5. $1M+</v>
      </c>
      <c r="D7592" t="s">
        <v>720</v>
      </c>
      <c r="E7592" t="s">
        <v>237</v>
      </c>
      <c r="F7592" t="s">
        <v>670</v>
      </c>
      <c r="G7592" t="s">
        <v>59</v>
      </c>
      <c r="H7592">
        <v>2024</v>
      </c>
    </row>
    <row r="7593" spans="1:8" x14ac:dyDescent="0.2">
      <c r="A7593">
        <v>286555</v>
      </c>
      <c r="B7593">
        <v>236988</v>
      </c>
      <c r="C7593" t="str">
        <f t="shared" si="118"/>
        <v>5. $1M+</v>
      </c>
      <c r="D7593" t="s">
        <v>739</v>
      </c>
      <c r="E7593" t="s">
        <v>237</v>
      </c>
      <c r="F7593" t="s">
        <v>670</v>
      </c>
      <c r="G7593" t="s">
        <v>59</v>
      </c>
      <c r="H7593">
        <v>2024</v>
      </c>
    </row>
    <row r="7594" spans="1:8" x14ac:dyDescent="0.2">
      <c r="A7594">
        <v>286568</v>
      </c>
      <c r="B7594">
        <v>223822</v>
      </c>
      <c r="C7594" t="str">
        <f t="shared" si="118"/>
        <v>3. $50K-250K</v>
      </c>
      <c r="D7594" t="s">
        <v>716</v>
      </c>
      <c r="E7594" t="s">
        <v>237</v>
      </c>
      <c r="F7594" t="s">
        <v>670</v>
      </c>
      <c r="G7594" t="s">
        <v>59</v>
      </c>
      <c r="H7594">
        <v>2024</v>
      </c>
    </row>
    <row r="7595" spans="1:8" x14ac:dyDescent="0.2">
      <c r="A7595">
        <v>286598</v>
      </c>
      <c r="B7595">
        <v>899958</v>
      </c>
      <c r="C7595" t="str">
        <f t="shared" si="118"/>
        <v>3. $50K-250K</v>
      </c>
      <c r="D7595" t="s">
        <v>41</v>
      </c>
      <c r="E7595" t="s">
        <v>237</v>
      </c>
      <c r="F7595" t="s">
        <v>670</v>
      </c>
      <c r="G7595" t="s">
        <v>59</v>
      </c>
      <c r="H7595">
        <v>2024</v>
      </c>
    </row>
    <row r="7596" spans="1:8" x14ac:dyDescent="0.2">
      <c r="A7596">
        <v>286600</v>
      </c>
      <c r="B7596">
        <v>79295.599999999904</v>
      </c>
      <c r="C7596" t="str">
        <f t="shared" si="118"/>
        <v>4. $250K-1M</v>
      </c>
      <c r="D7596" t="s">
        <v>694</v>
      </c>
      <c r="E7596" t="s">
        <v>237</v>
      </c>
      <c r="F7596" t="s">
        <v>670</v>
      </c>
      <c r="G7596" t="s">
        <v>59</v>
      </c>
      <c r="H7596">
        <v>2024</v>
      </c>
    </row>
    <row r="7597" spans="1:8" x14ac:dyDescent="0.2">
      <c r="A7597">
        <v>286601</v>
      </c>
      <c r="B7597">
        <v>6049.8</v>
      </c>
      <c r="C7597" t="str">
        <f t="shared" si="118"/>
        <v>3. $50K-250K</v>
      </c>
      <c r="D7597" t="s">
        <v>1046</v>
      </c>
      <c r="E7597" t="s">
        <v>237</v>
      </c>
      <c r="F7597" t="s">
        <v>670</v>
      </c>
      <c r="G7597" t="s">
        <v>59</v>
      </c>
      <c r="H7597">
        <v>2024</v>
      </c>
    </row>
    <row r="7598" spans="1:8" x14ac:dyDescent="0.2">
      <c r="A7598">
        <v>286602</v>
      </c>
      <c r="B7598">
        <v>1535286</v>
      </c>
      <c r="C7598" t="str">
        <f t="shared" si="118"/>
        <v>1. Under $10K</v>
      </c>
      <c r="D7598" t="s">
        <v>695</v>
      </c>
      <c r="E7598" t="s">
        <v>237</v>
      </c>
      <c r="F7598" t="s">
        <v>670</v>
      </c>
      <c r="G7598" t="s">
        <v>59</v>
      </c>
      <c r="H7598">
        <v>2024</v>
      </c>
    </row>
    <row r="7599" spans="1:8" x14ac:dyDescent="0.2">
      <c r="A7599">
        <v>286603</v>
      </c>
      <c r="B7599">
        <v>111000</v>
      </c>
      <c r="C7599" t="str">
        <f t="shared" si="118"/>
        <v>5. $1M+</v>
      </c>
      <c r="D7599" t="s">
        <v>838</v>
      </c>
      <c r="E7599" t="s">
        <v>237</v>
      </c>
      <c r="F7599" t="s">
        <v>670</v>
      </c>
      <c r="G7599" t="s">
        <v>59</v>
      </c>
      <c r="H7599">
        <v>2024</v>
      </c>
    </row>
    <row r="7600" spans="1:8" x14ac:dyDescent="0.2">
      <c r="A7600">
        <v>286604</v>
      </c>
      <c r="B7600">
        <v>112811</v>
      </c>
      <c r="C7600" t="str">
        <f t="shared" si="118"/>
        <v>3. $50K-250K</v>
      </c>
      <c r="D7600" t="s">
        <v>741</v>
      </c>
      <c r="E7600" t="s">
        <v>237</v>
      </c>
      <c r="F7600" t="s">
        <v>670</v>
      </c>
      <c r="G7600" t="s">
        <v>59</v>
      </c>
      <c r="H7600">
        <v>2024</v>
      </c>
    </row>
    <row r="7601" spans="1:8" x14ac:dyDescent="0.2">
      <c r="A7601">
        <v>286605</v>
      </c>
      <c r="B7601">
        <v>118494</v>
      </c>
      <c r="C7601" t="str">
        <f t="shared" si="118"/>
        <v>3. $50K-250K</v>
      </c>
      <c r="D7601" t="s">
        <v>733</v>
      </c>
      <c r="E7601" t="s">
        <v>237</v>
      </c>
      <c r="F7601" t="s">
        <v>670</v>
      </c>
      <c r="G7601" t="s">
        <v>59</v>
      </c>
      <c r="H7601">
        <v>2024</v>
      </c>
    </row>
    <row r="7602" spans="1:8" x14ac:dyDescent="0.2">
      <c r="A7602">
        <v>286606</v>
      </c>
      <c r="B7602">
        <v>873792</v>
      </c>
      <c r="C7602" t="str">
        <f t="shared" si="118"/>
        <v>3. $50K-250K</v>
      </c>
      <c r="D7602" t="s">
        <v>758</v>
      </c>
      <c r="E7602" t="s">
        <v>237</v>
      </c>
      <c r="F7602" t="s">
        <v>670</v>
      </c>
      <c r="G7602" t="s">
        <v>59</v>
      </c>
      <c r="H7602">
        <v>2024</v>
      </c>
    </row>
    <row r="7603" spans="1:8" x14ac:dyDescent="0.2">
      <c r="A7603">
        <v>286607</v>
      </c>
      <c r="B7603">
        <v>1058816.3999999999</v>
      </c>
      <c r="C7603" t="str">
        <f t="shared" si="118"/>
        <v>4. $250K-1M</v>
      </c>
      <c r="D7603" t="s">
        <v>698</v>
      </c>
      <c r="E7603" t="s">
        <v>237</v>
      </c>
      <c r="F7603" t="s">
        <v>670</v>
      </c>
      <c r="G7603" t="s">
        <v>59</v>
      </c>
      <c r="H7603">
        <v>2024</v>
      </c>
    </row>
    <row r="7604" spans="1:8" x14ac:dyDescent="0.2">
      <c r="A7604">
        <v>286608</v>
      </c>
      <c r="B7604">
        <v>874292</v>
      </c>
      <c r="C7604" t="str">
        <f t="shared" si="118"/>
        <v>5. $1M+</v>
      </c>
      <c r="D7604" t="s">
        <v>41</v>
      </c>
      <c r="E7604" t="s">
        <v>237</v>
      </c>
      <c r="F7604" t="s">
        <v>670</v>
      </c>
      <c r="G7604" t="s">
        <v>59</v>
      </c>
      <c r="H7604">
        <v>2024</v>
      </c>
    </row>
    <row r="7605" spans="1:8" x14ac:dyDescent="0.2">
      <c r="A7605">
        <v>286609</v>
      </c>
      <c r="B7605">
        <v>600732</v>
      </c>
      <c r="C7605" t="str">
        <f t="shared" si="118"/>
        <v>4. $250K-1M</v>
      </c>
      <c r="D7605" t="s">
        <v>748</v>
      </c>
      <c r="E7605" t="s">
        <v>237</v>
      </c>
      <c r="F7605" t="s">
        <v>670</v>
      </c>
      <c r="G7605" t="s">
        <v>59</v>
      </c>
      <c r="H7605">
        <v>2024</v>
      </c>
    </row>
    <row r="7606" spans="1:8" x14ac:dyDescent="0.2">
      <c r="A7606">
        <v>286610</v>
      </c>
      <c r="B7606">
        <v>811352.3</v>
      </c>
      <c r="C7606" t="str">
        <f t="shared" si="118"/>
        <v>4. $250K-1M</v>
      </c>
      <c r="D7606" t="s">
        <v>1059</v>
      </c>
      <c r="E7606" t="s">
        <v>237</v>
      </c>
      <c r="F7606" t="s">
        <v>670</v>
      </c>
      <c r="G7606" t="s">
        <v>59</v>
      </c>
      <c r="H7606">
        <v>2024</v>
      </c>
    </row>
    <row r="7607" spans="1:8" x14ac:dyDescent="0.2">
      <c r="A7607">
        <v>286611</v>
      </c>
      <c r="B7607">
        <v>60492.3</v>
      </c>
      <c r="C7607" t="str">
        <f t="shared" si="118"/>
        <v>4. $250K-1M</v>
      </c>
      <c r="D7607" t="s">
        <v>751</v>
      </c>
      <c r="E7607" t="s">
        <v>237</v>
      </c>
      <c r="F7607" t="s">
        <v>670</v>
      </c>
      <c r="G7607" t="s">
        <v>59</v>
      </c>
      <c r="H7607">
        <v>2024</v>
      </c>
    </row>
    <row r="7608" spans="1:8" x14ac:dyDescent="0.2">
      <c r="A7608">
        <v>286630</v>
      </c>
      <c r="B7608">
        <v>1770</v>
      </c>
      <c r="C7608" t="str">
        <f t="shared" si="118"/>
        <v>3. $50K-250K</v>
      </c>
      <c r="D7608" t="s">
        <v>472</v>
      </c>
      <c r="E7608" t="s">
        <v>54</v>
      </c>
      <c r="F7608" t="s">
        <v>457</v>
      </c>
      <c r="G7608" t="s">
        <v>59</v>
      </c>
      <c r="H7608">
        <v>2024</v>
      </c>
    </row>
    <row r="7609" spans="1:8" x14ac:dyDescent="0.2">
      <c r="A7609">
        <v>286679</v>
      </c>
      <c r="B7609">
        <v>99723.8</v>
      </c>
      <c r="C7609" t="str">
        <f t="shared" si="118"/>
        <v>1. Under $10K</v>
      </c>
      <c r="D7609" t="s">
        <v>473</v>
      </c>
      <c r="E7609" t="s">
        <v>474</v>
      </c>
      <c r="F7609" t="s">
        <v>100</v>
      </c>
      <c r="G7609" t="s">
        <v>79</v>
      </c>
      <c r="H7609">
        <v>2025</v>
      </c>
    </row>
    <row r="7610" spans="1:8" x14ac:dyDescent="0.2">
      <c r="A7610">
        <v>286684</v>
      </c>
      <c r="B7610">
        <v>4921.8999999999996</v>
      </c>
      <c r="C7610" t="str">
        <f t="shared" si="118"/>
        <v>3. $50K-250K</v>
      </c>
      <c r="D7610" t="s">
        <v>465</v>
      </c>
      <c r="E7610" t="s">
        <v>54</v>
      </c>
      <c r="F7610" t="s">
        <v>423</v>
      </c>
      <c r="G7610" t="s">
        <v>59</v>
      </c>
      <c r="H7610">
        <v>2024</v>
      </c>
    </row>
    <row r="7611" spans="1:8" x14ac:dyDescent="0.2">
      <c r="A7611">
        <v>286718</v>
      </c>
      <c r="B7611">
        <v>2000000</v>
      </c>
      <c r="C7611" t="str">
        <f t="shared" si="118"/>
        <v>1. Under $10K</v>
      </c>
      <c r="D7611" t="s">
        <v>2314</v>
      </c>
      <c r="E7611" t="s">
        <v>237</v>
      </c>
      <c r="F7611" t="s">
        <v>670</v>
      </c>
      <c r="G7611" t="s">
        <v>44</v>
      </c>
      <c r="H7611">
        <v>2025</v>
      </c>
    </row>
    <row r="7612" spans="1:8" x14ac:dyDescent="0.2">
      <c r="A7612">
        <v>286775</v>
      </c>
      <c r="B7612">
        <v>574674</v>
      </c>
      <c r="C7612" t="str">
        <f t="shared" si="118"/>
        <v>5. $1M+</v>
      </c>
      <c r="D7612" t="s">
        <v>713</v>
      </c>
      <c r="E7612" t="s">
        <v>237</v>
      </c>
      <c r="F7612" t="s">
        <v>670</v>
      </c>
      <c r="G7612" t="s">
        <v>59</v>
      </c>
      <c r="H7612">
        <v>2024</v>
      </c>
    </row>
    <row r="7613" spans="1:8" x14ac:dyDescent="0.2">
      <c r="A7613">
        <v>286776</v>
      </c>
      <c r="B7613">
        <v>62679.8</v>
      </c>
      <c r="C7613" t="str">
        <f t="shared" si="118"/>
        <v>4. $250K-1M</v>
      </c>
      <c r="D7613" t="s">
        <v>740</v>
      </c>
      <c r="E7613" t="s">
        <v>237</v>
      </c>
      <c r="F7613" t="s">
        <v>670</v>
      </c>
      <c r="G7613" t="s">
        <v>59</v>
      </c>
      <c r="H7613">
        <v>2024</v>
      </c>
    </row>
    <row r="7614" spans="1:8" x14ac:dyDescent="0.2">
      <c r="A7614">
        <v>286778</v>
      </c>
      <c r="B7614">
        <v>12000</v>
      </c>
      <c r="C7614" t="str">
        <f t="shared" si="118"/>
        <v>3. $50K-250K</v>
      </c>
      <c r="D7614" t="s">
        <v>703</v>
      </c>
      <c r="E7614" t="s">
        <v>237</v>
      </c>
      <c r="F7614" t="s">
        <v>670</v>
      </c>
      <c r="G7614" t="s">
        <v>59</v>
      </c>
      <c r="H7614">
        <v>2024</v>
      </c>
    </row>
    <row r="7615" spans="1:8" x14ac:dyDescent="0.2">
      <c r="A7615">
        <v>286780</v>
      </c>
      <c r="B7615">
        <v>159722.20000000001</v>
      </c>
      <c r="C7615" t="str">
        <f t="shared" si="118"/>
        <v>2. $10K-50K</v>
      </c>
      <c r="D7615" t="s">
        <v>706</v>
      </c>
      <c r="E7615" t="s">
        <v>237</v>
      </c>
      <c r="F7615" t="s">
        <v>670</v>
      </c>
      <c r="G7615" t="s">
        <v>59</v>
      </c>
      <c r="H7615">
        <v>2024</v>
      </c>
    </row>
    <row r="7616" spans="1:8" x14ac:dyDescent="0.2">
      <c r="A7616">
        <v>286782</v>
      </c>
      <c r="B7616">
        <v>1204689</v>
      </c>
      <c r="C7616" t="str">
        <f t="shared" si="118"/>
        <v>3. $50K-250K</v>
      </c>
      <c r="D7616" t="s">
        <v>705</v>
      </c>
      <c r="E7616" t="s">
        <v>237</v>
      </c>
      <c r="F7616" t="s">
        <v>670</v>
      </c>
      <c r="G7616" t="s">
        <v>59</v>
      </c>
      <c r="H7616">
        <v>2024</v>
      </c>
    </row>
    <row r="7617" spans="1:8" x14ac:dyDescent="0.2">
      <c r="A7617">
        <v>286783</v>
      </c>
      <c r="B7617">
        <v>223822</v>
      </c>
      <c r="C7617" t="str">
        <f t="shared" si="118"/>
        <v>5. $1M+</v>
      </c>
      <c r="D7617" t="s">
        <v>746</v>
      </c>
      <c r="E7617" t="s">
        <v>237</v>
      </c>
      <c r="F7617" t="s">
        <v>670</v>
      </c>
      <c r="G7617" t="s">
        <v>59</v>
      </c>
      <c r="H7617">
        <v>2024</v>
      </c>
    </row>
    <row r="7618" spans="1:8" x14ac:dyDescent="0.2">
      <c r="A7618">
        <v>286784</v>
      </c>
      <c r="B7618">
        <v>1026948</v>
      </c>
      <c r="C7618" t="str">
        <f t="shared" si="118"/>
        <v>3. $50K-250K</v>
      </c>
      <c r="D7618" t="s">
        <v>748</v>
      </c>
      <c r="E7618" t="s">
        <v>237</v>
      </c>
      <c r="F7618" t="s">
        <v>670</v>
      </c>
      <c r="G7618" t="s">
        <v>59</v>
      </c>
      <c r="H7618">
        <v>2024</v>
      </c>
    </row>
    <row r="7619" spans="1:8" x14ac:dyDescent="0.2">
      <c r="A7619">
        <v>286785</v>
      </c>
      <c r="B7619">
        <v>620605.80000000005</v>
      </c>
      <c r="C7619" t="str">
        <f t="shared" ref="C7619:C7682" si="119">IF(B7618&lt;10000,"1. Under $10K",IF(B7618&lt;50000,"2. $10K-50K",IF(B7618&lt;250000,"3. $50K-250K",IF(B7618&lt;1000000,"4. $250K-1M","5. $1M+"))))</f>
        <v>5. $1M+</v>
      </c>
      <c r="D7619" t="s">
        <v>754</v>
      </c>
      <c r="E7619" t="s">
        <v>237</v>
      </c>
      <c r="F7619" t="s">
        <v>670</v>
      </c>
      <c r="G7619" t="s">
        <v>59</v>
      </c>
      <c r="H7619">
        <v>2024</v>
      </c>
    </row>
    <row r="7620" spans="1:8" x14ac:dyDescent="0.2">
      <c r="A7620">
        <v>286786</v>
      </c>
      <c r="B7620">
        <v>5000</v>
      </c>
      <c r="C7620" t="str">
        <f t="shared" si="119"/>
        <v>4. $250K-1M</v>
      </c>
      <c r="D7620" t="s">
        <v>711</v>
      </c>
      <c r="E7620" t="s">
        <v>237</v>
      </c>
      <c r="F7620" t="s">
        <v>670</v>
      </c>
      <c r="G7620" t="s">
        <v>59</v>
      </c>
      <c r="H7620">
        <v>2024</v>
      </c>
    </row>
    <row r="7621" spans="1:8" x14ac:dyDescent="0.2">
      <c r="A7621">
        <v>28698</v>
      </c>
      <c r="B7621">
        <v>44885</v>
      </c>
      <c r="C7621" t="str">
        <f t="shared" si="119"/>
        <v>1. Under $10K</v>
      </c>
      <c r="D7621" t="s">
        <v>143</v>
      </c>
      <c r="E7621" t="s">
        <v>8</v>
      </c>
      <c r="F7621" t="s">
        <v>14</v>
      </c>
      <c r="G7621" t="s">
        <v>61</v>
      </c>
      <c r="H7621">
        <v>2025</v>
      </c>
    </row>
    <row r="7622" spans="1:8" x14ac:dyDescent="0.2">
      <c r="A7622">
        <v>286996</v>
      </c>
      <c r="B7622">
        <v>6158832</v>
      </c>
      <c r="C7622" t="str">
        <f t="shared" si="119"/>
        <v>2. $10K-50K</v>
      </c>
      <c r="D7622" t="s">
        <v>340</v>
      </c>
      <c r="E7622" t="s">
        <v>24</v>
      </c>
      <c r="F7622" t="s">
        <v>9</v>
      </c>
      <c r="G7622" t="s">
        <v>10</v>
      </c>
      <c r="H7622">
        <v>2025</v>
      </c>
    </row>
    <row r="7623" spans="1:8" x14ac:dyDescent="0.2">
      <c r="A7623">
        <v>287120</v>
      </c>
      <c r="B7623">
        <v>89370.5</v>
      </c>
      <c r="C7623" t="str">
        <f t="shared" si="119"/>
        <v>5. $1M+</v>
      </c>
      <c r="D7623" t="s">
        <v>687</v>
      </c>
      <c r="E7623" t="s">
        <v>42</v>
      </c>
      <c r="F7623" t="s">
        <v>670</v>
      </c>
      <c r="G7623" t="s">
        <v>59</v>
      </c>
      <c r="H7623">
        <v>2024</v>
      </c>
    </row>
    <row r="7624" spans="1:8" x14ac:dyDescent="0.2">
      <c r="A7624">
        <v>287123</v>
      </c>
      <c r="B7624">
        <v>4090000</v>
      </c>
      <c r="C7624" t="str">
        <f t="shared" si="119"/>
        <v>3. $50K-250K</v>
      </c>
      <c r="D7624" t="s">
        <v>857</v>
      </c>
      <c r="E7624" t="s">
        <v>99</v>
      </c>
      <c r="F7624" t="s">
        <v>668</v>
      </c>
      <c r="G7624" t="s">
        <v>59</v>
      </c>
      <c r="H7624">
        <v>2024</v>
      </c>
    </row>
    <row r="7625" spans="1:8" x14ac:dyDescent="0.2">
      <c r="A7625">
        <v>287156</v>
      </c>
      <c r="B7625">
        <v>6000</v>
      </c>
      <c r="C7625" t="str">
        <f t="shared" si="119"/>
        <v>5. $1M+</v>
      </c>
      <c r="D7625" t="s">
        <v>2315</v>
      </c>
      <c r="E7625" t="s">
        <v>112</v>
      </c>
      <c r="F7625" t="s">
        <v>668</v>
      </c>
      <c r="G7625" t="s">
        <v>59</v>
      </c>
      <c r="H7625">
        <v>2024</v>
      </c>
    </row>
    <row r="7626" spans="1:8" x14ac:dyDescent="0.2">
      <c r="A7626">
        <v>287189</v>
      </c>
      <c r="B7626">
        <v>175000</v>
      </c>
      <c r="C7626" t="str">
        <f t="shared" si="119"/>
        <v>1. Under $10K</v>
      </c>
      <c r="D7626" t="s">
        <v>2316</v>
      </c>
      <c r="E7626" t="s">
        <v>112</v>
      </c>
      <c r="F7626" t="s">
        <v>668</v>
      </c>
      <c r="G7626" t="s">
        <v>59</v>
      </c>
      <c r="H7626">
        <v>2024</v>
      </c>
    </row>
    <row r="7627" spans="1:8" x14ac:dyDescent="0.2">
      <c r="A7627">
        <v>287190</v>
      </c>
      <c r="B7627">
        <v>6000</v>
      </c>
      <c r="C7627" t="str">
        <f t="shared" si="119"/>
        <v>3. $50K-250K</v>
      </c>
      <c r="D7627" t="s">
        <v>2317</v>
      </c>
      <c r="E7627" t="s">
        <v>112</v>
      </c>
      <c r="F7627" t="s">
        <v>668</v>
      </c>
      <c r="G7627" t="s">
        <v>59</v>
      </c>
      <c r="H7627">
        <v>2024</v>
      </c>
    </row>
    <row r="7628" spans="1:8" x14ac:dyDescent="0.2">
      <c r="A7628">
        <v>287191</v>
      </c>
      <c r="B7628">
        <v>6000</v>
      </c>
      <c r="C7628" t="str">
        <f t="shared" si="119"/>
        <v>1. Under $10K</v>
      </c>
      <c r="D7628" t="s">
        <v>2318</v>
      </c>
      <c r="E7628" t="s">
        <v>112</v>
      </c>
      <c r="F7628" t="s">
        <v>668</v>
      </c>
      <c r="G7628" t="s">
        <v>59</v>
      </c>
      <c r="H7628">
        <v>2024</v>
      </c>
    </row>
    <row r="7629" spans="1:8" x14ac:dyDescent="0.2">
      <c r="A7629">
        <v>287193</v>
      </c>
      <c r="B7629">
        <v>6000</v>
      </c>
      <c r="C7629" t="str">
        <f t="shared" si="119"/>
        <v>1. Under $10K</v>
      </c>
      <c r="D7629" t="s">
        <v>2319</v>
      </c>
      <c r="E7629" t="s">
        <v>112</v>
      </c>
      <c r="F7629" t="s">
        <v>668</v>
      </c>
      <c r="G7629" t="s">
        <v>59</v>
      </c>
      <c r="H7629">
        <v>2024</v>
      </c>
    </row>
    <row r="7630" spans="1:8" x14ac:dyDescent="0.2">
      <c r="A7630">
        <v>287195</v>
      </c>
      <c r="B7630">
        <v>5000</v>
      </c>
      <c r="C7630" t="str">
        <f t="shared" si="119"/>
        <v>1. Under $10K</v>
      </c>
      <c r="D7630" t="s">
        <v>2320</v>
      </c>
      <c r="E7630" t="s">
        <v>112</v>
      </c>
      <c r="F7630" t="s">
        <v>668</v>
      </c>
      <c r="G7630" t="s">
        <v>59</v>
      </c>
      <c r="H7630">
        <v>2024</v>
      </c>
    </row>
    <row r="7631" spans="1:8" x14ac:dyDescent="0.2">
      <c r="A7631">
        <v>287196</v>
      </c>
      <c r="B7631">
        <v>6000</v>
      </c>
      <c r="C7631" t="str">
        <f t="shared" si="119"/>
        <v>1. Under $10K</v>
      </c>
      <c r="D7631" t="s">
        <v>2321</v>
      </c>
      <c r="E7631" t="s">
        <v>112</v>
      </c>
      <c r="F7631" t="s">
        <v>668</v>
      </c>
      <c r="G7631" t="s">
        <v>59</v>
      </c>
      <c r="H7631">
        <v>2024</v>
      </c>
    </row>
    <row r="7632" spans="1:8" x14ac:dyDescent="0.2">
      <c r="A7632">
        <v>287199</v>
      </c>
      <c r="B7632">
        <v>4000</v>
      </c>
      <c r="C7632" t="str">
        <f t="shared" si="119"/>
        <v>1. Under $10K</v>
      </c>
      <c r="D7632" t="s">
        <v>2322</v>
      </c>
      <c r="E7632" t="s">
        <v>112</v>
      </c>
      <c r="F7632" t="s">
        <v>668</v>
      </c>
      <c r="G7632" t="s">
        <v>59</v>
      </c>
      <c r="H7632">
        <v>2024</v>
      </c>
    </row>
    <row r="7633" spans="1:8" x14ac:dyDescent="0.2">
      <c r="A7633">
        <v>287208</v>
      </c>
      <c r="B7633">
        <v>6000</v>
      </c>
      <c r="C7633" t="str">
        <f t="shared" si="119"/>
        <v>1. Under $10K</v>
      </c>
      <c r="D7633" t="s">
        <v>2323</v>
      </c>
      <c r="E7633" t="s">
        <v>112</v>
      </c>
      <c r="F7633" t="s">
        <v>668</v>
      </c>
      <c r="G7633" t="s">
        <v>59</v>
      </c>
      <c r="H7633">
        <v>2024</v>
      </c>
    </row>
    <row r="7634" spans="1:8" x14ac:dyDescent="0.2">
      <c r="A7634">
        <v>287251</v>
      </c>
      <c r="B7634">
        <v>106714.1</v>
      </c>
      <c r="C7634" t="str">
        <f t="shared" si="119"/>
        <v>1. Under $10K</v>
      </c>
      <c r="D7634" t="s">
        <v>674</v>
      </c>
      <c r="E7634" t="s">
        <v>42</v>
      </c>
      <c r="F7634" t="s">
        <v>670</v>
      </c>
      <c r="G7634" t="s">
        <v>59</v>
      </c>
      <c r="H7634">
        <v>2024</v>
      </c>
    </row>
    <row r="7635" spans="1:8" x14ac:dyDescent="0.2">
      <c r="A7635">
        <v>287337</v>
      </c>
      <c r="B7635">
        <v>200000</v>
      </c>
      <c r="C7635" t="str">
        <f t="shared" si="119"/>
        <v>3. $50K-250K</v>
      </c>
      <c r="D7635" t="s">
        <v>791</v>
      </c>
      <c r="E7635" t="s">
        <v>42</v>
      </c>
      <c r="F7635" t="s">
        <v>670</v>
      </c>
      <c r="G7635" t="s">
        <v>44</v>
      </c>
      <c r="H7635">
        <v>2025</v>
      </c>
    </row>
    <row r="7636" spans="1:8" x14ac:dyDescent="0.2">
      <c r="A7636">
        <v>287338</v>
      </c>
      <c r="B7636">
        <v>200000</v>
      </c>
      <c r="C7636" t="str">
        <f t="shared" si="119"/>
        <v>3. $50K-250K</v>
      </c>
      <c r="D7636" t="s">
        <v>671</v>
      </c>
      <c r="E7636" t="s">
        <v>42</v>
      </c>
      <c r="F7636" t="s">
        <v>670</v>
      </c>
      <c r="G7636" t="s">
        <v>44</v>
      </c>
      <c r="H7636">
        <v>2025</v>
      </c>
    </row>
    <row r="7637" spans="1:8" x14ac:dyDescent="0.2">
      <c r="A7637">
        <v>287339</v>
      </c>
      <c r="B7637">
        <v>200000</v>
      </c>
      <c r="C7637" t="str">
        <f t="shared" si="119"/>
        <v>3. $50K-250K</v>
      </c>
      <c r="D7637" t="s">
        <v>507</v>
      </c>
      <c r="E7637" t="s">
        <v>42</v>
      </c>
      <c r="F7637" t="s">
        <v>670</v>
      </c>
      <c r="G7637" t="s">
        <v>44</v>
      </c>
      <c r="H7637">
        <v>2025</v>
      </c>
    </row>
    <row r="7638" spans="1:8" x14ac:dyDescent="0.2">
      <c r="A7638">
        <v>28734</v>
      </c>
      <c r="B7638">
        <v>4150000</v>
      </c>
      <c r="C7638" t="str">
        <f t="shared" si="119"/>
        <v>3. $50K-250K</v>
      </c>
      <c r="D7638" t="s">
        <v>306</v>
      </c>
      <c r="E7638" t="s">
        <v>8</v>
      </c>
      <c r="F7638" t="s">
        <v>14</v>
      </c>
      <c r="G7638" t="s">
        <v>15</v>
      </c>
      <c r="H7638">
        <v>2023</v>
      </c>
    </row>
    <row r="7639" spans="1:8" x14ac:dyDescent="0.2">
      <c r="A7639">
        <v>287340</v>
      </c>
      <c r="B7639">
        <v>200000</v>
      </c>
      <c r="C7639" t="str">
        <f t="shared" si="119"/>
        <v>5. $1M+</v>
      </c>
      <c r="D7639" t="s">
        <v>2176</v>
      </c>
      <c r="E7639" t="s">
        <v>42</v>
      </c>
      <c r="F7639" t="s">
        <v>670</v>
      </c>
      <c r="G7639" t="s">
        <v>44</v>
      </c>
      <c r="H7639">
        <v>2025</v>
      </c>
    </row>
    <row r="7640" spans="1:8" x14ac:dyDescent="0.2">
      <c r="A7640">
        <v>287342</v>
      </c>
      <c r="B7640">
        <v>200000</v>
      </c>
      <c r="C7640" t="str">
        <f t="shared" si="119"/>
        <v>3. $50K-250K</v>
      </c>
      <c r="D7640" t="s">
        <v>2119</v>
      </c>
      <c r="E7640" t="s">
        <v>42</v>
      </c>
      <c r="F7640" t="s">
        <v>670</v>
      </c>
      <c r="G7640" t="s">
        <v>44</v>
      </c>
      <c r="H7640">
        <v>2025</v>
      </c>
    </row>
    <row r="7641" spans="1:8" x14ac:dyDescent="0.2">
      <c r="A7641">
        <v>287524</v>
      </c>
      <c r="B7641">
        <v>5000</v>
      </c>
      <c r="C7641" t="str">
        <f t="shared" si="119"/>
        <v>3. $50K-250K</v>
      </c>
      <c r="D7641" t="s">
        <v>2324</v>
      </c>
      <c r="E7641" t="s">
        <v>112</v>
      </c>
      <c r="F7641" t="s">
        <v>668</v>
      </c>
      <c r="G7641" t="s">
        <v>59</v>
      </c>
      <c r="H7641">
        <v>2024</v>
      </c>
    </row>
    <row r="7642" spans="1:8" x14ac:dyDescent="0.2">
      <c r="A7642">
        <v>287525</v>
      </c>
      <c r="B7642">
        <v>6000</v>
      </c>
      <c r="C7642" t="str">
        <f t="shared" si="119"/>
        <v>1. Under $10K</v>
      </c>
      <c r="D7642" t="s">
        <v>2325</v>
      </c>
      <c r="E7642" t="s">
        <v>112</v>
      </c>
      <c r="F7642" t="s">
        <v>668</v>
      </c>
      <c r="G7642" t="s">
        <v>59</v>
      </c>
      <c r="H7642">
        <v>2024</v>
      </c>
    </row>
    <row r="7643" spans="1:8" x14ac:dyDescent="0.2">
      <c r="A7643">
        <v>287527</v>
      </c>
      <c r="B7643">
        <v>19625</v>
      </c>
      <c r="C7643" t="str">
        <f t="shared" si="119"/>
        <v>1. Under $10K</v>
      </c>
      <c r="D7643" t="s">
        <v>2326</v>
      </c>
      <c r="E7643" t="s">
        <v>112</v>
      </c>
      <c r="F7643" t="s">
        <v>668</v>
      </c>
      <c r="G7643" t="s">
        <v>59</v>
      </c>
      <c r="H7643">
        <v>2024</v>
      </c>
    </row>
    <row r="7644" spans="1:8" x14ac:dyDescent="0.2">
      <c r="A7644">
        <v>287529</v>
      </c>
      <c r="B7644">
        <v>6000</v>
      </c>
      <c r="C7644" t="str">
        <f t="shared" si="119"/>
        <v>2. $10K-50K</v>
      </c>
      <c r="D7644" t="s">
        <v>2327</v>
      </c>
      <c r="E7644" t="s">
        <v>112</v>
      </c>
      <c r="F7644" t="s">
        <v>668</v>
      </c>
      <c r="G7644" t="s">
        <v>59</v>
      </c>
      <c r="H7644">
        <v>2024</v>
      </c>
    </row>
    <row r="7645" spans="1:8" x14ac:dyDescent="0.2">
      <c r="A7645">
        <v>287532</v>
      </c>
      <c r="B7645">
        <v>6000</v>
      </c>
      <c r="C7645" t="str">
        <f t="shared" si="119"/>
        <v>1. Under $10K</v>
      </c>
      <c r="D7645" t="s">
        <v>2328</v>
      </c>
      <c r="E7645" t="s">
        <v>112</v>
      </c>
      <c r="F7645" t="s">
        <v>668</v>
      </c>
      <c r="G7645" t="s">
        <v>59</v>
      </c>
      <c r="H7645">
        <v>2024</v>
      </c>
    </row>
    <row r="7646" spans="1:8" x14ac:dyDescent="0.2">
      <c r="A7646">
        <v>287542</v>
      </c>
      <c r="B7646">
        <v>6000</v>
      </c>
      <c r="C7646" t="str">
        <f t="shared" si="119"/>
        <v>1. Under $10K</v>
      </c>
      <c r="D7646" t="s">
        <v>2329</v>
      </c>
      <c r="E7646" t="s">
        <v>112</v>
      </c>
      <c r="F7646" t="s">
        <v>668</v>
      </c>
      <c r="G7646" t="s">
        <v>59</v>
      </c>
      <c r="H7646">
        <v>2024</v>
      </c>
    </row>
    <row r="7647" spans="1:8" x14ac:dyDescent="0.2">
      <c r="A7647">
        <v>287545</v>
      </c>
      <c r="B7647">
        <v>6000</v>
      </c>
      <c r="C7647" t="str">
        <f t="shared" si="119"/>
        <v>1. Under $10K</v>
      </c>
      <c r="D7647" t="s">
        <v>2330</v>
      </c>
      <c r="E7647" t="s">
        <v>112</v>
      </c>
      <c r="F7647" t="s">
        <v>668</v>
      </c>
      <c r="G7647" t="s">
        <v>59</v>
      </c>
      <c r="H7647">
        <v>2024</v>
      </c>
    </row>
    <row r="7648" spans="1:8" x14ac:dyDescent="0.2">
      <c r="A7648">
        <v>287547</v>
      </c>
      <c r="B7648">
        <v>6000</v>
      </c>
      <c r="C7648" t="str">
        <f t="shared" si="119"/>
        <v>1. Under $10K</v>
      </c>
      <c r="D7648" t="s">
        <v>2331</v>
      </c>
      <c r="E7648" t="s">
        <v>112</v>
      </c>
      <c r="F7648" t="s">
        <v>668</v>
      </c>
      <c r="G7648" t="s">
        <v>59</v>
      </c>
      <c r="H7648">
        <v>2024</v>
      </c>
    </row>
    <row r="7649" spans="1:8" x14ac:dyDescent="0.2">
      <c r="A7649">
        <v>287549</v>
      </c>
      <c r="B7649">
        <v>6000</v>
      </c>
      <c r="C7649" t="str">
        <f t="shared" si="119"/>
        <v>1. Under $10K</v>
      </c>
      <c r="D7649" t="s">
        <v>2332</v>
      </c>
      <c r="E7649" t="s">
        <v>112</v>
      </c>
      <c r="F7649" t="s">
        <v>668</v>
      </c>
      <c r="G7649" t="s">
        <v>59</v>
      </c>
      <c r="H7649">
        <v>2024</v>
      </c>
    </row>
    <row r="7650" spans="1:8" x14ac:dyDescent="0.2">
      <c r="A7650">
        <v>287552</v>
      </c>
      <c r="B7650">
        <v>6000</v>
      </c>
      <c r="C7650" t="str">
        <f t="shared" si="119"/>
        <v>1. Under $10K</v>
      </c>
      <c r="D7650" t="s">
        <v>2333</v>
      </c>
      <c r="E7650" t="s">
        <v>112</v>
      </c>
      <c r="F7650" t="s">
        <v>668</v>
      </c>
      <c r="G7650" t="s">
        <v>59</v>
      </c>
      <c r="H7650">
        <v>2024</v>
      </c>
    </row>
    <row r="7651" spans="1:8" x14ac:dyDescent="0.2">
      <c r="A7651">
        <v>287554</v>
      </c>
      <c r="B7651">
        <v>6000</v>
      </c>
      <c r="C7651" t="str">
        <f t="shared" si="119"/>
        <v>1. Under $10K</v>
      </c>
      <c r="D7651" t="s">
        <v>2334</v>
      </c>
      <c r="E7651" t="s">
        <v>112</v>
      </c>
      <c r="F7651" t="s">
        <v>668</v>
      </c>
      <c r="G7651" t="s">
        <v>59</v>
      </c>
      <c r="H7651">
        <v>2024</v>
      </c>
    </row>
    <row r="7652" spans="1:8" x14ac:dyDescent="0.2">
      <c r="A7652">
        <v>287558</v>
      </c>
      <c r="B7652">
        <v>6000</v>
      </c>
      <c r="C7652" t="str">
        <f t="shared" si="119"/>
        <v>1. Under $10K</v>
      </c>
      <c r="D7652" t="s">
        <v>2335</v>
      </c>
      <c r="E7652" t="s">
        <v>112</v>
      </c>
      <c r="F7652" t="s">
        <v>668</v>
      </c>
      <c r="G7652" t="s">
        <v>59</v>
      </c>
      <c r="H7652">
        <v>2024</v>
      </c>
    </row>
    <row r="7653" spans="1:8" x14ac:dyDescent="0.2">
      <c r="A7653">
        <v>287559</v>
      </c>
      <c r="B7653">
        <v>6000</v>
      </c>
      <c r="C7653" t="str">
        <f t="shared" si="119"/>
        <v>1. Under $10K</v>
      </c>
      <c r="D7653" t="s">
        <v>2336</v>
      </c>
      <c r="E7653" t="s">
        <v>112</v>
      </c>
      <c r="F7653" t="s">
        <v>668</v>
      </c>
      <c r="G7653" t="s">
        <v>59</v>
      </c>
      <c r="H7653">
        <v>2024</v>
      </c>
    </row>
    <row r="7654" spans="1:8" x14ac:dyDescent="0.2">
      <c r="A7654">
        <v>287569</v>
      </c>
      <c r="B7654">
        <v>6000</v>
      </c>
      <c r="C7654" t="str">
        <f t="shared" si="119"/>
        <v>1. Under $10K</v>
      </c>
      <c r="D7654" t="s">
        <v>2337</v>
      </c>
      <c r="E7654" t="s">
        <v>112</v>
      </c>
      <c r="F7654" t="s">
        <v>668</v>
      </c>
      <c r="G7654" t="s">
        <v>59</v>
      </c>
      <c r="H7654">
        <v>2024</v>
      </c>
    </row>
    <row r="7655" spans="1:8" x14ac:dyDescent="0.2">
      <c r="A7655">
        <v>287574</v>
      </c>
      <c r="B7655">
        <v>6000</v>
      </c>
      <c r="C7655" t="str">
        <f t="shared" si="119"/>
        <v>1. Under $10K</v>
      </c>
      <c r="D7655" t="s">
        <v>2338</v>
      </c>
      <c r="E7655" t="s">
        <v>112</v>
      </c>
      <c r="F7655" t="s">
        <v>668</v>
      </c>
      <c r="G7655" t="s">
        <v>59</v>
      </c>
      <c r="H7655">
        <v>2024</v>
      </c>
    </row>
    <row r="7656" spans="1:8" x14ac:dyDescent="0.2">
      <c r="A7656">
        <v>287576</v>
      </c>
      <c r="B7656">
        <v>6000</v>
      </c>
      <c r="C7656" t="str">
        <f t="shared" si="119"/>
        <v>1. Under $10K</v>
      </c>
      <c r="D7656" t="s">
        <v>2339</v>
      </c>
      <c r="E7656" t="s">
        <v>112</v>
      </c>
      <c r="F7656" t="s">
        <v>668</v>
      </c>
      <c r="G7656" t="s">
        <v>59</v>
      </c>
      <c r="H7656">
        <v>2024</v>
      </c>
    </row>
    <row r="7657" spans="1:8" x14ac:dyDescent="0.2">
      <c r="A7657">
        <v>287578</v>
      </c>
      <c r="B7657">
        <v>5000</v>
      </c>
      <c r="C7657" t="str">
        <f t="shared" si="119"/>
        <v>1. Under $10K</v>
      </c>
      <c r="D7657" t="s">
        <v>2340</v>
      </c>
      <c r="E7657" t="s">
        <v>112</v>
      </c>
      <c r="F7657" t="s">
        <v>668</v>
      </c>
      <c r="G7657" t="s">
        <v>59</v>
      </c>
      <c r="H7657">
        <v>2024</v>
      </c>
    </row>
    <row r="7658" spans="1:8" x14ac:dyDescent="0.2">
      <c r="A7658">
        <v>28758</v>
      </c>
      <c r="B7658">
        <v>439367</v>
      </c>
      <c r="C7658" t="str">
        <f t="shared" si="119"/>
        <v>1. Under $10K</v>
      </c>
      <c r="D7658" t="s">
        <v>2341</v>
      </c>
      <c r="E7658" t="s">
        <v>52</v>
      </c>
      <c r="F7658" t="s">
        <v>668</v>
      </c>
      <c r="G7658" t="s">
        <v>59</v>
      </c>
      <c r="H7658">
        <v>2023</v>
      </c>
    </row>
    <row r="7659" spans="1:8" x14ac:dyDescent="0.2">
      <c r="A7659">
        <v>287580</v>
      </c>
      <c r="B7659">
        <v>6000</v>
      </c>
      <c r="C7659" t="str">
        <f t="shared" si="119"/>
        <v>4. $250K-1M</v>
      </c>
      <c r="D7659" t="s">
        <v>2342</v>
      </c>
      <c r="E7659" t="s">
        <v>112</v>
      </c>
      <c r="F7659" t="s">
        <v>668</v>
      </c>
      <c r="G7659" t="s">
        <v>59</v>
      </c>
      <c r="H7659">
        <v>2024</v>
      </c>
    </row>
    <row r="7660" spans="1:8" x14ac:dyDescent="0.2">
      <c r="A7660">
        <v>287589</v>
      </c>
      <c r="B7660">
        <v>101024.3</v>
      </c>
      <c r="C7660" t="str">
        <f t="shared" si="119"/>
        <v>1. Under $10K</v>
      </c>
      <c r="D7660" t="s">
        <v>804</v>
      </c>
      <c r="E7660" t="s">
        <v>42</v>
      </c>
      <c r="F7660" t="s">
        <v>670</v>
      </c>
      <c r="G7660" t="s">
        <v>59</v>
      </c>
      <c r="H7660">
        <v>2024</v>
      </c>
    </row>
    <row r="7661" spans="1:8" x14ac:dyDescent="0.2">
      <c r="A7661">
        <v>287590</v>
      </c>
      <c r="B7661">
        <v>119821.1</v>
      </c>
      <c r="C7661" t="str">
        <f t="shared" si="119"/>
        <v>3. $50K-250K</v>
      </c>
      <c r="D7661" t="s">
        <v>674</v>
      </c>
      <c r="E7661" t="s">
        <v>42</v>
      </c>
      <c r="F7661" t="s">
        <v>670</v>
      </c>
      <c r="G7661" t="s">
        <v>59</v>
      </c>
      <c r="H7661">
        <v>2024</v>
      </c>
    </row>
    <row r="7662" spans="1:8" x14ac:dyDescent="0.2">
      <c r="A7662">
        <v>287756</v>
      </c>
      <c r="B7662">
        <v>16557263</v>
      </c>
      <c r="C7662" t="str">
        <f t="shared" si="119"/>
        <v>3. $50K-250K</v>
      </c>
      <c r="D7662" t="s">
        <v>568</v>
      </c>
      <c r="E7662" t="s">
        <v>8</v>
      </c>
      <c r="F7662" t="s">
        <v>668</v>
      </c>
      <c r="G7662" t="s">
        <v>59</v>
      </c>
      <c r="H7662">
        <v>2024</v>
      </c>
    </row>
    <row r="7663" spans="1:8" x14ac:dyDescent="0.2">
      <c r="A7663">
        <v>287757</v>
      </c>
      <c r="B7663">
        <v>6000</v>
      </c>
      <c r="C7663" t="str">
        <f t="shared" si="119"/>
        <v>5. $1M+</v>
      </c>
      <c r="D7663" t="s">
        <v>2343</v>
      </c>
      <c r="E7663" t="s">
        <v>112</v>
      </c>
      <c r="F7663" t="s">
        <v>668</v>
      </c>
      <c r="G7663" t="s">
        <v>59</v>
      </c>
      <c r="H7663">
        <v>2024</v>
      </c>
    </row>
    <row r="7664" spans="1:8" x14ac:dyDescent="0.2">
      <c r="A7664">
        <v>287758</v>
      </c>
      <c r="B7664">
        <v>1250</v>
      </c>
      <c r="C7664" t="str">
        <f t="shared" si="119"/>
        <v>1. Under $10K</v>
      </c>
      <c r="D7664" t="s">
        <v>2344</v>
      </c>
      <c r="E7664" t="s">
        <v>112</v>
      </c>
      <c r="F7664" t="s">
        <v>668</v>
      </c>
      <c r="G7664" t="s">
        <v>59</v>
      </c>
      <c r="H7664">
        <v>2024</v>
      </c>
    </row>
    <row r="7665" spans="1:8" x14ac:dyDescent="0.2">
      <c r="A7665">
        <v>287760</v>
      </c>
      <c r="B7665">
        <v>6000</v>
      </c>
      <c r="C7665" t="str">
        <f t="shared" si="119"/>
        <v>1. Under $10K</v>
      </c>
      <c r="D7665" t="s">
        <v>2345</v>
      </c>
      <c r="E7665" t="s">
        <v>112</v>
      </c>
      <c r="F7665" t="s">
        <v>668</v>
      </c>
      <c r="G7665" t="s">
        <v>59</v>
      </c>
      <c r="H7665">
        <v>2024</v>
      </c>
    </row>
    <row r="7666" spans="1:8" x14ac:dyDescent="0.2">
      <c r="A7666">
        <v>287761</v>
      </c>
      <c r="B7666">
        <v>1000</v>
      </c>
      <c r="C7666" t="str">
        <f t="shared" si="119"/>
        <v>1. Under $10K</v>
      </c>
      <c r="D7666" t="s">
        <v>2346</v>
      </c>
      <c r="E7666" t="s">
        <v>112</v>
      </c>
      <c r="F7666" t="s">
        <v>668</v>
      </c>
      <c r="G7666" t="s">
        <v>59</v>
      </c>
      <c r="H7666">
        <v>2024</v>
      </c>
    </row>
    <row r="7667" spans="1:8" x14ac:dyDescent="0.2">
      <c r="A7667">
        <v>287921</v>
      </c>
      <c r="B7667">
        <v>6000</v>
      </c>
      <c r="C7667" t="str">
        <f t="shared" si="119"/>
        <v>1. Under $10K</v>
      </c>
      <c r="D7667" t="s">
        <v>2347</v>
      </c>
      <c r="E7667" t="s">
        <v>112</v>
      </c>
      <c r="F7667" t="s">
        <v>668</v>
      </c>
      <c r="G7667" t="s">
        <v>59</v>
      </c>
      <c r="H7667">
        <v>2024</v>
      </c>
    </row>
    <row r="7668" spans="1:8" x14ac:dyDescent="0.2">
      <c r="A7668">
        <v>287923</v>
      </c>
      <c r="B7668">
        <v>2750</v>
      </c>
      <c r="C7668" t="str">
        <f t="shared" si="119"/>
        <v>1. Under $10K</v>
      </c>
      <c r="D7668" t="s">
        <v>2348</v>
      </c>
      <c r="E7668" t="s">
        <v>112</v>
      </c>
      <c r="F7668" t="s">
        <v>668</v>
      </c>
      <c r="G7668" t="s">
        <v>59</v>
      </c>
      <c r="H7668">
        <v>2024</v>
      </c>
    </row>
    <row r="7669" spans="1:8" x14ac:dyDescent="0.2">
      <c r="A7669">
        <v>287930</v>
      </c>
      <c r="B7669">
        <v>6000</v>
      </c>
      <c r="C7669" t="str">
        <f t="shared" si="119"/>
        <v>1. Under $10K</v>
      </c>
      <c r="D7669" t="s">
        <v>2349</v>
      </c>
      <c r="E7669" t="s">
        <v>112</v>
      </c>
      <c r="F7669" t="s">
        <v>668</v>
      </c>
      <c r="G7669" t="s">
        <v>59</v>
      </c>
      <c r="H7669">
        <v>2024</v>
      </c>
    </row>
    <row r="7670" spans="1:8" x14ac:dyDescent="0.2">
      <c r="A7670">
        <v>287931</v>
      </c>
      <c r="B7670">
        <v>5250</v>
      </c>
      <c r="C7670" t="str">
        <f t="shared" si="119"/>
        <v>1. Under $10K</v>
      </c>
      <c r="D7670" t="s">
        <v>2350</v>
      </c>
      <c r="E7670" t="s">
        <v>112</v>
      </c>
      <c r="F7670" t="s">
        <v>668</v>
      </c>
      <c r="G7670" t="s">
        <v>59</v>
      </c>
      <c r="H7670">
        <v>2024</v>
      </c>
    </row>
    <row r="7671" spans="1:8" x14ac:dyDescent="0.2">
      <c r="A7671">
        <v>287934</v>
      </c>
      <c r="B7671">
        <v>1000</v>
      </c>
      <c r="C7671" t="str">
        <f t="shared" si="119"/>
        <v>1. Under $10K</v>
      </c>
      <c r="D7671" t="s">
        <v>2351</v>
      </c>
      <c r="E7671" t="s">
        <v>112</v>
      </c>
      <c r="F7671" t="s">
        <v>668</v>
      </c>
      <c r="G7671" t="s">
        <v>59</v>
      </c>
      <c r="H7671">
        <v>2024</v>
      </c>
    </row>
    <row r="7672" spans="1:8" x14ac:dyDescent="0.2">
      <c r="A7672">
        <v>287936</v>
      </c>
      <c r="B7672">
        <v>6000</v>
      </c>
      <c r="C7672" t="str">
        <f t="shared" si="119"/>
        <v>1. Under $10K</v>
      </c>
      <c r="D7672" t="s">
        <v>2352</v>
      </c>
      <c r="E7672" t="s">
        <v>112</v>
      </c>
      <c r="F7672" t="s">
        <v>668</v>
      </c>
      <c r="G7672" t="s">
        <v>59</v>
      </c>
      <c r="H7672">
        <v>2024</v>
      </c>
    </row>
    <row r="7673" spans="1:8" x14ac:dyDescent="0.2">
      <c r="A7673">
        <v>287939</v>
      </c>
      <c r="B7673">
        <v>6000</v>
      </c>
      <c r="C7673" t="str">
        <f t="shared" si="119"/>
        <v>1. Under $10K</v>
      </c>
      <c r="D7673" t="s">
        <v>2353</v>
      </c>
      <c r="E7673" t="s">
        <v>112</v>
      </c>
      <c r="F7673" t="s">
        <v>668</v>
      </c>
      <c r="G7673" t="s">
        <v>59</v>
      </c>
      <c r="H7673">
        <v>2024</v>
      </c>
    </row>
    <row r="7674" spans="1:8" x14ac:dyDescent="0.2">
      <c r="A7674">
        <v>287945</v>
      </c>
      <c r="B7674">
        <v>6000</v>
      </c>
      <c r="C7674" t="str">
        <f t="shared" si="119"/>
        <v>1. Under $10K</v>
      </c>
      <c r="D7674" t="s">
        <v>2354</v>
      </c>
      <c r="E7674" t="s">
        <v>112</v>
      </c>
      <c r="F7674" t="s">
        <v>668</v>
      </c>
      <c r="G7674" t="s">
        <v>59</v>
      </c>
      <c r="H7674">
        <v>2024</v>
      </c>
    </row>
    <row r="7675" spans="1:8" x14ac:dyDescent="0.2">
      <c r="A7675">
        <v>287948</v>
      </c>
      <c r="B7675">
        <v>6000</v>
      </c>
      <c r="C7675" t="str">
        <f t="shared" si="119"/>
        <v>1. Under $10K</v>
      </c>
      <c r="D7675" t="s">
        <v>2355</v>
      </c>
      <c r="E7675" t="s">
        <v>112</v>
      </c>
      <c r="F7675" t="s">
        <v>668</v>
      </c>
      <c r="G7675" t="s">
        <v>59</v>
      </c>
      <c r="H7675">
        <v>2024</v>
      </c>
    </row>
    <row r="7676" spans="1:8" x14ac:dyDescent="0.2">
      <c r="A7676">
        <v>287958</v>
      </c>
      <c r="B7676">
        <v>6000</v>
      </c>
      <c r="C7676" t="str">
        <f t="shared" si="119"/>
        <v>1. Under $10K</v>
      </c>
      <c r="D7676" t="s">
        <v>2356</v>
      </c>
      <c r="E7676" t="s">
        <v>112</v>
      </c>
      <c r="F7676" t="s">
        <v>668</v>
      </c>
      <c r="G7676" t="s">
        <v>59</v>
      </c>
      <c r="H7676">
        <v>2024</v>
      </c>
    </row>
    <row r="7677" spans="1:8" x14ac:dyDescent="0.2">
      <c r="A7677">
        <v>287962</v>
      </c>
      <c r="B7677">
        <v>6000</v>
      </c>
      <c r="C7677" t="str">
        <f t="shared" si="119"/>
        <v>1. Under $10K</v>
      </c>
      <c r="D7677" t="s">
        <v>2357</v>
      </c>
      <c r="E7677" t="s">
        <v>112</v>
      </c>
      <c r="F7677" t="s">
        <v>668</v>
      </c>
      <c r="G7677" t="s">
        <v>59</v>
      </c>
      <c r="H7677">
        <v>2024</v>
      </c>
    </row>
    <row r="7678" spans="1:8" x14ac:dyDescent="0.2">
      <c r="A7678">
        <v>287963</v>
      </c>
      <c r="B7678">
        <v>91530.6</v>
      </c>
      <c r="C7678" t="str">
        <f t="shared" si="119"/>
        <v>1. Under $10K</v>
      </c>
      <c r="D7678" t="s">
        <v>684</v>
      </c>
      <c r="E7678" t="s">
        <v>42</v>
      </c>
      <c r="F7678" t="s">
        <v>670</v>
      </c>
      <c r="G7678" t="s">
        <v>59</v>
      </c>
      <c r="H7678">
        <v>2024</v>
      </c>
    </row>
    <row r="7679" spans="1:8" x14ac:dyDescent="0.2">
      <c r="A7679">
        <v>287968</v>
      </c>
      <c r="B7679">
        <v>5000</v>
      </c>
      <c r="C7679" t="str">
        <f t="shared" si="119"/>
        <v>3. $50K-250K</v>
      </c>
      <c r="D7679" t="s">
        <v>2358</v>
      </c>
      <c r="E7679" t="s">
        <v>112</v>
      </c>
      <c r="F7679" t="s">
        <v>668</v>
      </c>
      <c r="G7679" t="s">
        <v>59</v>
      </c>
      <c r="H7679">
        <v>2024</v>
      </c>
    </row>
    <row r="7680" spans="1:8" x14ac:dyDescent="0.2">
      <c r="A7680">
        <v>288030</v>
      </c>
      <c r="B7680">
        <v>7619.5</v>
      </c>
      <c r="C7680" t="str">
        <f t="shared" si="119"/>
        <v>1. Under $10K</v>
      </c>
      <c r="D7680" t="s">
        <v>2359</v>
      </c>
      <c r="E7680" t="s">
        <v>112</v>
      </c>
      <c r="F7680" t="s">
        <v>668</v>
      </c>
      <c r="G7680" t="s">
        <v>59</v>
      </c>
      <c r="H7680">
        <v>2024</v>
      </c>
    </row>
    <row r="7681" spans="1:8" x14ac:dyDescent="0.2">
      <c r="A7681">
        <v>288031</v>
      </c>
      <c r="B7681">
        <v>7536</v>
      </c>
      <c r="C7681" t="str">
        <f t="shared" si="119"/>
        <v>1. Under $10K</v>
      </c>
      <c r="D7681" t="s">
        <v>1388</v>
      </c>
      <c r="E7681" t="s">
        <v>112</v>
      </c>
      <c r="F7681" t="s">
        <v>668</v>
      </c>
      <c r="G7681" t="s">
        <v>59</v>
      </c>
      <c r="H7681">
        <v>2024</v>
      </c>
    </row>
    <row r="7682" spans="1:8" x14ac:dyDescent="0.2">
      <c r="A7682">
        <v>288032</v>
      </c>
      <c r="B7682">
        <v>15596000</v>
      </c>
      <c r="C7682" t="str">
        <f t="shared" si="119"/>
        <v>1. Under $10K</v>
      </c>
      <c r="D7682" t="s">
        <v>1050</v>
      </c>
      <c r="E7682" t="s">
        <v>99</v>
      </c>
      <c r="F7682" t="s">
        <v>668</v>
      </c>
      <c r="G7682" t="s">
        <v>59</v>
      </c>
      <c r="H7682">
        <v>2024</v>
      </c>
    </row>
    <row r="7683" spans="1:8" x14ac:dyDescent="0.2">
      <c r="A7683">
        <v>288036</v>
      </c>
      <c r="B7683">
        <v>1500000</v>
      </c>
      <c r="C7683" t="str">
        <f t="shared" ref="C7683:C7746" si="120">IF(B7682&lt;10000,"1. Under $10K",IF(B7682&lt;50000,"2. $10K-50K",IF(B7682&lt;250000,"3. $50K-250K",IF(B7682&lt;1000000,"4. $250K-1M","5. $1M+"))))</f>
        <v>5. $1M+</v>
      </c>
      <c r="D7683" t="s">
        <v>936</v>
      </c>
      <c r="E7683" t="s">
        <v>99</v>
      </c>
      <c r="F7683" t="s">
        <v>668</v>
      </c>
      <c r="G7683" t="s">
        <v>59</v>
      </c>
      <c r="H7683">
        <v>2024</v>
      </c>
    </row>
    <row r="7684" spans="1:8" x14ac:dyDescent="0.2">
      <c r="A7684">
        <v>288038</v>
      </c>
      <c r="B7684">
        <v>524651.69999999995</v>
      </c>
      <c r="C7684" t="str">
        <f t="shared" si="120"/>
        <v>5. $1M+</v>
      </c>
      <c r="D7684" t="s">
        <v>1531</v>
      </c>
      <c r="E7684" t="s">
        <v>368</v>
      </c>
      <c r="F7684" t="s">
        <v>668</v>
      </c>
      <c r="G7684" t="s">
        <v>59</v>
      </c>
      <c r="H7684">
        <v>2024</v>
      </c>
    </row>
    <row r="7685" spans="1:8" x14ac:dyDescent="0.2">
      <c r="A7685">
        <v>288065</v>
      </c>
      <c r="B7685">
        <v>1200000</v>
      </c>
      <c r="C7685" t="str">
        <f t="shared" si="120"/>
        <v>4. $250K-1M</v>
      </c>
      <c r="D7685" t="s">
        <v>887</v>
      </c>
      <c r="E7685" t="s">
        <v>237</v>
      </c>
      <c r="F7685" t="s">
        <v>670</v>
      </c>
      <c r="G7685" t="s">
        <v>44</v>
      </c>
      <c r="H7685">
        <v>2024</v>
      </c>
    </row>
    <row r="7686" spans="1:8" x14ac:dyDescent="0.2">
      <c r="A7686">
        <v>288094</v>
      </c>
      <c r="B7686">
        <v>6850625</v>
      </c>
      <c r="C7686" t="str">
        <f t="shared" si="120"/>
        <v>5. $1M+</v>
      </c>
      <c r="D7686" t="s">
        <v>160</v>
      </c>
      <c r="E7686" t="s">
        <v>132</v>
      </c>
      <c r="F7686" t="s">
        <v>14</v>
      </c>
      <c r="G7686" t="s">
        <v>61</v>
      </c>
      <c r="H7686">
        <v>2025</v>
      </c>
    </row>
    <row r="7687" spans="1:8" x14ac:dyDescent="0.2">
      <c r="A7687">
        <v>288095</v>
      </c>
      <c r="B7687">
        <v>6850625</v>
      </c>
      <c r="C7687" t="str">
        <f t="shared" si="120"/>
        <v>5. $1M+</v>
      </c>
      <c r="D7687" t="s">
        <v>74</v>
      </c>
      <c r="E7687" t="s">
        <v>132</v>
      </c>
      <c r="F7687" t="s">
        <v>14</v>
      </c>
      <c r="G7687" t="s">
        <v>61</v>
      </c>
      <c r="H7687">
        <v>2025</v>
      </c>
    </row>
    <row r="7688" spans="1:8" x14ac:dyDescent="0.2">
      <c r="A7688">
        <v>288096</v>
      </c>
      <c r="B7688">
        <v>6850625</v>
      </c>
      <c r="C7688" t="str">
        <f t="shared" si="120"/>
        <v>5. $1M+</v>
      </c>
      <c r="D7688" t="s">
        <v>475</v>
      </c>
      <c r="E7688" t="s">
        <v>132</v>
      </c>
      <c r="F7688" t="s">
        <v>14</v>
      </c>
      <c r="G7688" t="s">
        <v>61</v>
      </c>
      <c r="H7688">
        <v>2025</v>
      </c>
    </row>
    <row r="7689" spans="1:8" x14ac:dyDescent="0.2">
      <c r="A7689">
        <v>288097</v>
      </c>
      <c r="B7689">
        <v>6850625</v>
      </c>
      <c r="C7689" t="str">
        <f t="shared" si="120"/>
        <v>5. $1M+</v>
      </c>
      <c r="D7689" t="s">
        <v>205</v>
      </c>
      <c r="E7689" t="s">
        <v>132</v>
      </c>
      <c r="F7689" t="s">
        <v>14</v>
      </c>
      <c r="G7689" t="s">
        <v>61</v>
      </c>
      <c r="H7689">
        <v>2025</v>
      </c>
    </row>
    <row r="7690" spans="1:8" x14ac:dyDescent="0.2">
      <c r="A7690">
        <v>288098</v>
      </c>
      <c r="B7690">
        <v>6850625</v>
      </c>
      <c r="C7690" t="str">
        <f t="shared" si="120"/>
        <v>5. $1M+</v>
      </c>
      <c r="D7690" t="s">
        <v>476</v>
      </c>
      <c r="E7690" t="s">
        <v>132</v>
      </c>
      <c r="F7690" t="s">
        <v>14</v>
      </c>
      <c r="G7690" t="s">
        <v>61</v>
      </c>
      <c r="H7690">
        <v>2025</v>
      </c>
    </row>
    <row r="7691" spans="1:8" x14ac:dyDescent="0.2">
      <c r="A7691">
        <v>288099</v>
      </c>
      <c r="B7691">
        <v>6850625</v>
      </c>
      <c r="C7691" t="str">
        <f t="shared" si="120"/>
        <v>5. $1M+</v>
      </c>
      <c r="D7691" t="s">
        <v>477</v>
      </c>
      <c r="E7691" t="s">
        <v>132</v>
      </c>
      <c r="F7691" t="s">
        <v>14</v>
      </c>
      <c r="G7691" t="s">
        <v>61</v>
      </c>
      <c r="H7691">
        <v>2025</v>
      </c>
    </row>
    <row r="7692" spans="1:8" x14ac:dyDescent="0.2">
      <c r="A7692">
        <v>288100</v>
      </c>
      <c r="B7692">
        <v>6850625</v>
      </c>
      <c r="C7692" t="str">
        <f t="shared" si="120"/>
        <v>5. $1M+</v>
      </c>
      <c r="D7692" t="s">
        <v>285</v>
      </c>
      <c r="E7692" t="s">
        <v>132</v>
      </c>
      <c r="F7692" t="s">
        <v>14</v>
      </c>
      <c r="G7692" t="s">
        <v>61</v>
      </c>
      <c r="H7692">
        <v>2025</v>
      </c>
    </row>
    <row r="7693" spans="1:8" x14ac:dyDescent="0.2">
      <c r="A7693">
        <v>288101</v>
      </c>
      <c r="B7693">
        <v>6850625</v>
      </c>
      <c r="C7693" t="str">
        <f t="shared" si="120"/>
        <v>5. $1M+</v>
      </c>
      <c r="D7693" t="s">
        <v>478</v>
      </c>
      <c r="E7693" t="s">
        <v>132</v>
      </c>
      <c r="F7693" t="s">
        <v>14</v>
      </c>
      <c r="G7693" t="s">
        <v>61</v>
      </c>
      <c r="H7693">
        <v>2025</v>
      </c>
    </row>
    <row r="7694" spans="1:8" x14ac:dyDescent="0.2">
      <c r="A7694">
        <v>288106</v>
      </c>
      <c r="B7694">
        <v>4043965</v>
      </c>
      <c r="C7694" t="str">
        <f t="shared" si="120"/>
        <v>5. $1M+</v>
      </c>
      <c r="D7694" t="s">
        <v>35</v>
      </c>
      <c r="E7694" t="s">
        <v>28</v>
      </c>
      <c r="F7694" t="s">
        <v>31</v>
      </c>
      <c r="G7694" t="s">
        <v>10</v>
      </c>
      <c r="H7694">
        <v>2025</v>
      </c>
    </row>
    <row r="7695" spans="1:8" x14ac:dyDescent="0.2">
      <c r="A7695">
        <v>288161</v>
      </c>
      <c r="B7695">
        <v>121604</v>
      </c>
      <c r="C7695" t="str">
        <f t="shared" si="120"/>
        <v>5. $1M+</v>
      </c>
      <c r="D7695" t="s">
        <v>702</v>
      </c>
      <c r="E7695" t="s">
        <v>237</v>
      </c>
      <c r="F7695" t="s">
        <v>670</v>
      </c>
      <c r="G7695" t="s">
        <v>59</v>
      </c>
      <c r="H7695">
        <v>2024</v>
      </c>
    </row>
    <row r="7696" spans="1:8" x14ac:dyDescent="0.2">
      <c r="A7696">
        <v>288166</v>
      </c>
      <c r="B7696">
        <v>446490</v>
      </c>
      <c r="C7696" t="str">
        <f t="shared" si="120"/>
        <v>3. $50K-250K</v>
      </c>
      <c r="D7696" t="s">
        <v>695</v>
      </c>
      <c r="E7696" t="s">
        <v>237</v>
      </c>
      <c r="F7696" t="s">
        <v>670</v>
      </c>
      <c r="G7696" t="s">
        <v>59</v>
      </c>
      <c r="H7696">
        <v>2024</v>
      </c>
    </row>
    <row r="7697" spans="1:8" x14ac:dyDescent="0.2">
      <c r="A7697">
        <v>28817</v>
      </c>
      <c r="B7697">
        <v>1300000</v>
      </c>
      <c r="C7697" t="str">
        <f t="shared" si="120"/>
        <v>4. $250K-1M</v>
      </c>
      <c r="D7697" t="s">
        <v>404</v>
      </c>
      <c r="E7697" t="s">
        <v>24</v>
      </c>
      <c r="F7697" t="s">
        <v>14</v>
      </c>
      <c r="G7697" t="s">
        <v>61</v>
      </c>
      <c r="H7697">
        <v>2023</v>
      </c>
    </row>
    <row r="7698" spans="1:8" x14ac:dyDescent="0.2">
      <c r="A7698">
        <v>288173</v>
      </c>
      <c r="B7698">
        <v>190907</v>
      </c>
      <c r="C7698" t="str">
        <f t="shared" si="120"/>
        <v>5. $1M+</v>
      </c>
      <c r="D7698" t="s">
        <v>745</v>
      </c>
      <c r="E7698" t="s">
        <v>237</v>
      </c>
      <c r="F7698" t="s">
        <v>670</v>
      </c>
      <c r="G7698" t="s">
        <v>59</v>
      </c>
      <c r="H7698">
        <v>2024</v>
      </c>
    </row>
    <row r="7699" spans="1:8" x14ac:dyDescent="0.2">
      <c r="A7699">
        <v>288196</v>
      </c>
      <c r="B7699">
        <v>171365.6</v>
      </c>
      <c r="C7699" t="str">
        <f t="shared" si="120"/>
        <v>3. $50K-250K</v>
      </c>
      <c r="D7699" t="s">
        <v>391</v>
      </c>
      <c r="E7699" t="s">
        <v>42</v>
      </c>
      <c r="F7699" t="s">
        <v>670</v>
      </c>
      <c r="G7699" t="s">
        <v>59</v>
      </c>
      <c r="H7699">
        <v>2024</v>
      </c>
    </row>
    <row r="7700" spans="1:8" x14ac:dyDescent="0.2">
      <c r="A7700">
        <v>288197</v>
      </c>
      <c r="B7700">
        <v>105073</v>
      </c>
      <c r="C7700" t="str">
        <f t="shared" si="120"/>
        <v>3. $50K-250K</v>
      </c>
      <c r="D7700" t="s">
        <v>804</v>
      </c>
      <c r="E7700" t="s">
        <v>42</v>
      </c>
      <c r="F7700" t="s">
        <v>670</v>
      </c>
      <c r="G7700" t="s">
        <v>59</v>
      </c>
      <c r="H7700">
        <v>2024</v>
      </c>
    </row>
    <row r="7701" spans="1:8" x14ac:dyDescent="0.2">
      <c r="A7701">
        <v>288280</v>
      </c>
      <c r="B7701">
        <v>22885</v>
      </c>
      <c r="C7701" t="str">
        <f t="shared" si="120"/>
        <v>3. $50K-250K</v>
      </c>
      <c r="D7701" t="s">
        <v>1474</v>
      </c>
      <c r="E7701" t="s">
        <v>178</v>
      </c>
      <c r="F7701" t="s">
        <v>668</v>
      </c>
      <c r="G7701" t="s">
        <v>59</v>
      </c>
      <c r="H7701">
        <v>2024</v>
      </c>
    </row>
    <row r="7702" spans="1:8" x14ac:dyDescent="0.2">
      <c r="A7702">
        <v>288301</v>
      </c>
      <c r="B7702">
        <v>6000</v>
      </c>
      <c r="C7702" t="str">
        <f t="shared" si="120"/>
        <v>2. $10K-50K</v>
      </c>
      <c r="D7702" t="s">
        <v>2360</v>
      </c>
      <c r="E7702" t="s">
        <v>112</v>
      </c>
      <c r="F7702" t="s">
        <v>668</v>
      </c>
      <c r="G7702" t="s">
        <v>59</v>
      </c>
      <c r="H7702">
        <v>2024</v>
      </c>
    </row>
    <row r="7703" spans="1:8" x14ac:dyDescent="0.2">
      <c r="A7703">
        <v>288302</v>
      </c>
      <c r="B7703">
        <v>6000</v>
      </c>
      <c r="C7703" t="str">
        <f t="shared" si="120"/>
        <v>1. Under $10K</v>
      </c>
      <c r="D7703" t="s">
        <v>2361</v>
      </c>
      <c r="E7703" t="s">
        <v>112</v>
      </c>
      <c r="F7703" t="s">
        <v>668</v>
      </c>
      <c r="G7703" t="s">
        <v>59</v>
      </c>
      <c r="H7703">
        <v>2024</v>
      </c>
    </row>
    <row r="7704" spans="1:8" x14ac:dyDescent="0.2">
      <c r="A7704">
        <v>288303</v>
      </c>
      <c r="B7704">
        <v>5000</v>
      </c>
      <c r="C7704" t="str">
        <f t="shared" si="120"/>
        <v>1. Under $10K</v>
      </c>
      <c r="D7704" t="s">
        <v>2362</v>
      </c>
      <c r="E7704" t="s">
        <v>112</v>
      </c>
      <c r="F7704" t="s">
        <v>668</v>
      </c>
      <c r="G7704" t="s">
        <v>59</v>
      </c>
      <c r="H7704">
        <v>2024</v>
      </c>
    </row>
    <row r="7705" spans="1:8" x14ac:dyDescent="0.2">
      <c r="A7705">
        <v>288305</v>
      </c>
      <c r="B7705">
        <v>6000</v>
      </c>
      <c r="C7705" t="str">
        <f t="shared" si="120"/>
        <v>1. Under $10K</v>
      </c>
      <c r="D7705" t="s">
        <v>2363</v>
      </c>
      <c r="E7705" t="s">
        <v>112</v>
      </c>
      <c r="F7705" t="s">
        <v>668</v>
      </c>
      <c r="G7705" t="s">
        <v>59</v>
      </c>
      <c r="H7705">
        <v>2024</v>
      </c>
    </row>
    <row r="7706" spans="1:8" x14ac:dyDescent="0.2">
      <c r="A7706">
        <v>288308</v>
      </c>
      <c r="B7706">
        <v>6000</v>
      </c>
      <c r="C7706" t="str">
        <f t="shared" si="120"/>
        <v>1. Under $10K</v>
      </c>
      <c r="D7706" t="s">
        <v>2364</v>
      </c>
      <c r="E7706" t="s">
        <v>112</v>
      </c>
      <c r="F7706" t="s">
        <v>668</v>
      </c>
      <c r="G7706" t="s">
        <v>59</v>
      </c>
      <c r="H7706">
        <v>2024</v>
      </c>
    </row>
    <row r="7707" spans="1:8" x14ac:dyDescent="0.2">
      <c r="A7707">
        <v>288310</v>
      </c>
      <c r="B7707">
        <v>6000</v>
      </c>
      <c r="C7707" t="str">
        <f t="shared" si="120"/>
        <v>1. Under $10K</v>
      </c>
      <c r="D7707" t="s">
        <v>2365</v>
      </c>
      <c r="E7707" t="s">
        <v>112</v>
      </c>
      <c r="F7707" t="s">
        <v>668</v>
      </c>
      <c r="G7707" t="s">
        <v>59</v>
      </c>
      <c r="H7707">
        <v>2024</v>
      </c>
    </row>
    <row r="7708" spans="1:8" x14ac:dyDescent="0.2">
      <c r="A7708">
        <v>288312</v>
      </c>
      <c r="B7708">
        <v>6000</v>
      </c>
      <c r="C7708" t="str">
        <f t="shared" si="120"/>
        <v>1. Under $10K</v>
      </c>
      <c r="D7708" t="s">
        <v>2366</v>
      </c>
      <c r="E7708" t="s">
        <v>112</v>
      </c>
      <c r="F7708" t="s">
        <v>668</v>
      </c>
      <c r="G7708" t="s">
        <v>59</v>
      </c>
      <c r="H7708">
        <v>2024</v>
      </c>
    </row>
    <row r="7709" spans="1:8" x14ac:dyDescent="0.2">
      <c r="A7709">
        <v>288404</v>
      </c>
      <c r="B7709">
        <v>6000</v>
      </c>
      <c r="C7709" t="str">
        <f t="shared" si="120"/>
        <v>1. Under $10K</v>
      </c>
      <c r="D7709" t="s">
        <v>2367</v>
      </c>
      <c r="E7709" t="s">
        <v>112</v>
      </c>
      <c r="F7709" t="s">
        <v>668</v>
      </c>
      <c r="G7709" t="s">
        <v>59</v>
      </c>
      <c r="H7709">
        <v>2024</v>
      </c>
    </row>
    <row r="7710" spans="1:8" x14ac:dyDescent="0.2">
      <c r="A7710">
        <v>288419</v>
      </c>
      <c r="B7710">
        <v>4000</v>
      </c>
      <c r="C7710" t="str">
        <f t="shared" si="120"/>
        <v>1. Under $10K</v>
      </c>
      <c r="D7710" t="s">
        <v>2368</v>
      </c>
      <c r="E7710" t="s">
        <v>112</v>
      </c>
      <c r="F7710" t="s">
        <v>668</v>
      </c>
      <c r="G7710" t="s">
        <v>59</v>
      </c>
      <c r="H7710">
        <v>2024</v>
      </c>
    </row>
    <row r="7711" spans="1:8" x14ac:dyDescent="0.2">
      <c r="A7711">
        <v>288438</v>
      </c>
      <c r="B7711">
        <v>5000</v>
      </c>
      <c r="C7711" t="str">
        <f t="shared" si="120"/>
        <v>1. Under $10K</v>
      </c>
      <c r="D7711" t="s">
        <v>2369</v>
      </c>
      <c r="E7711" t="s">
        <v>112</v>
      </c>
      <c r="F7711" t="s">
        <v>668</v>
      </c>
      <c r="G7711" t="s">
        <v>59</v>
      </c>
      <c r="H7711">
        <v>2024</v>
      </c>
    </row>
    <row r="7712" spans="1:8" x14ac:dyDescent="0.2">
      <c r="A7712">
        <v>288466</v>
      </c>
      <c r="B7712">
        <v>6000</v>
      </c>
      <c r="C7712" t="str">
        <f t="shared" si="120"/>
        <v>1. Under $10K</v>
      </c>
      <c r="D7712" t="s">
        <v>2370</v>
      </c>
      <c r="E7712" t="s">
        <v>112</v>
      </c>
      <c r="F7712" t="s">
        <v>668</v>
      </c>
      <c r="G7712" t="s">
        <v>59</v>
      </c>
      <c r="H7712">
        <v>2024</v>
      </c>
    </row>
    <row r="7713" spans="1:8" x14ac:dyDescent="0.2">
      <c r="A7713">
        <v>288485</v>
      </c>
      <c r="B7713">
        <v>5000</v>
      </c>
      <c r="C7713" t="str">
        <f t="shared" si="120"/>
        <v>1. Under $10K</v>
      </c>
      <c r="D7713" t="s">
        <v>2371</v>
      </c>
      <c r="E7713" t="s">
        <v>112</v>
      </c>
      <c r="F7713" t="s">
        <v>668</v>
      </c>
      <c r="G7713" t="s">
        <v>59</v>
      </c>
      <c r="H7713">
        <v>2024</v>
      </c>
    </row>
    <row r="7714" spans="1:8" x14ac:dyDescent="0.2">
      <c r="A7714">
        <v>288489</v>
      </c>
      <c r="B7714">
        <v>5000</v>
      </c>
      <c r="C7714" t="str">
        <f t="shared" si="120"/>
        <v>1. Under $10K</v>
      </c>
      <c r="D7714" t="s">
        <v>2372</v>
      </c>
      <c r="E7714" t="s">
        <v>112</v>
      </c>
      <c r="F7714" t="s">
        <v>668</v>
      </c>
      <c r="G7714" t="s">
        <v>59</v>
      </c>
      <c r="H7714">
        <v>2024</v>
      </c>
    </row>
    <row r="7715" spans="1:8" x14ac:dyDescent="0.2">
      <c r="A7715">
        <v>288490</v>
      </c>
      <c r="B7715">
        <v>5000</v>
      </c>
      <c r="C7715" t="str">
        <f t="shared" si="120"/>
        <v>1. Under $10K</v>
      </c>
      <c r="D7715" t="s">
        <v>2372</v>
      </c>
      <c r="E7715" t="s">
        <v>112</v>
      </c>
      <c r="F7715" t="s">
        <v>668</v>
      </c>
      <c r="G7715" t="s">
        <v>59</v>
      </c>
      <c r="H7715">
        <v>2024</v>
      </c>
    </row>
    <row r="7716" spans="1:8" x14ac:dyDescent="0.2">
      <c r="A7716">
        <v>288491</v>
      </c>
      <c r="B7716">
        <v>6000</v>
      </c>
      <c r="C7716" t="str">
        <f t="shared" si="120"/>
        <v>1. Under $10K</v>
      </c>
      <c r="D7716" t="s">
        <v>2373</v>
      </c>
      <c r="E7716" t="s">
        <v>112</v>
      </c>
      <c r="F7716" t="s">
        <v>668</v>
      </c>
      <c r="G7716" t="s">
        <v>59</v>
      </c>
      <c r="H7716">
        <v>2024</v>
      </c>
    </row>
    <row r="7717" spans="1:8" x14ac:dyDescent="0.2">
      <c r="A7717">
        <v>288493</v>
      </c>
      <c r="B7717">
        <v>6000</v>
      </c>
      <c r="C7717" t="str">
        <f t="shared" si="120"/>
        <v>1. Under $10K</v>
      </c>
      <c r="D7717" t="s">
        <v>2374</v>
      </c>
      <c r="E7717" t="s">
        <v>112</v>
      </c>
      <c r="F7717" t="s">
        <v>668</v>
      </c>
      <c r="G7717" t="s">
        <v>59</v>
      </c>
      <c r="H7717">
        <v>2024</v>
      </c>
    </row>
    <row r="7718" spans="1:8" x14ac:dyDescent="0.2">
      <c r="A7718">
        <v>288549</v>
      </c>
      <c r="B7718">
        <v>228206</v>
      </c>
      <c r="C7718" t="str">
        <f t="shared" si="120"/>
        <v>1. Under $10K</v>
      </c>
      <c r="D7718" t="s">
        <v>703</v>
      </c>
      <c r="E7718" t="s">
        <v>237</v>
      </c>
      <c r="F7718" t="s">
        <v>670</v>
      </c>
      <c r="G7718" t="s">
        <v>59</v>
      </c>
      <c r="H7718">
        <v>2024</v>
      </c>
    </row>
    <row r="7719" spans="1:8" x14ac:dyDescent="0.2">
      <c r="A7719">
        <v>288550</v>
      </c>
      <c r="B7719">
        <v>3555</v>
      </c>
      <c r="C7719" t="str">
        <f t="shared" si="120"/>
        <v>3. $50K-250K</v>
      </c>
      <c r="D7719" t="s">
        <v>837</v>
      </c>
      <c r="E7719" t="s">
        <v>237</v>
      </c>
      <c r="F7719" t="s">
        <v>670</v>
      </c>
      <c r="G7719" t="s">
        <v>59</v>
      </c>
      <c r="H7719">
        <v>2024</v>
      </c>
    </row>
    <row r="7720" spans="1:8" x14ac:dyDescent="0.2">
      <c r="A7720">
        <v>288551</v>
      </c>
      <c r="B7720">
        <v>327672</v>
      </c>
      <c r="C7720" t="str">
        <f t="shared" si="120"/>
        <v>1. Under $10K</v>
      </c>
      <c r="D7720" t="s">
        <v>711</v>
      </c>
      <c r="E7720" t="s">
        <v>237</v>
      </c>
      <c r="F7720" t="s">
        <v>670</v>
      </c>
      <c r="G7720" t="s">
        <v>59</v>
      </c>
      <c r="H7720">
        <v>2024</v>
      </c>
    </row>
    <row r="7721" spans="1:8" x14ac:dyDescent="0.2">
      <c r="A7721">
        <v>288552</v>
      </c>
      <c r="B7721">
        <v>335733</v>
      </c>
      <c r="C7721" t="str">
        <f t="shared" si="120"/>
        <v>4. $250K-1M</v>
      </c>
      <c r="D7721" t="s">
        <v>711</v>
      </c>
      <c r="E7721" t="s">
        <v>237</v>
      </c>
      <c r="F7721" t="s">
        <v>670</v>
      </c>
      <c r="G7721" t="s">
        <v>59</v>
      </c>
      <c r="H7721">
        <v>2024</v>
      </c>
    </row>
    <row r="7722" spans="1:8" x14ac:dyDescent="0.2">
      <c r="A7722">
        <v>288559</v>
      </c>
      <c r="B7722">
        <v>6000</v>
      </c>
      <c r="C7722" t="str">
        <f t="shared" si="120"/>
        <v>4. $250K-1M</v>
      </c>
      <c r="D7722" t="s">
        <v>2375</v>
      </c>
      <c r="E7722" t="s">
        <v>112</v>
      </c>
      <c r="F7722" t="s">
        <v>668</v>
      </c>
      <c r="G7722" t="s">
        <v>59</v>
      </c>
      <c r="H7722">
        <v>2024</v>
      </c>
    </row>
    <row r="7723" spans="1:8" x14ac:dyDescent="0.2">
      <c r="A7723">
        <v>288560</v>
      </c>
      <c r="B7723">
        <v>6000</v>
      </c>
      <c r="C7723" t="str">
        <f t="shared" si="120"/>
        <v>1. Under $10K</v>
      </c>
      <c r="D7723" t="s">
        <v>2376</v>
      </c>
      <c r="E7723" t="s">
        <v>112</v>
      </c>
      <c r="F7723" t="s">
        <v>668</v>
      </c>
      <c r="G7723" t="s">
        <v>59</v>
      </c>
      <c r="H7723">
        <v>2024</v>
      </c>
    </row>
    <row r="7724" spans="1:8" x14ac:dyDescent="0.2">
      <c r="A7724">
        <v>288561</v>
      </c>
      <c r="B7724">
        <v>6000</v>
      </c>
      <c r="C7724" t="str">
        <f t="shared" si="120"/>
        <v>1. Under $10K</v>
      </c>
      <c r="D7724" t="s">
        <v>2377</v>
      </c>
      <c r="E7724" t="s">
        <v>112</v>
      </c>
      <c r="F7724" t="s">
        <v>668</v>
      </c>
      <c r="G7724" t="s">
        <v>59</v>
      </c>
      <c r="H7724">
        <v>2024</v>
      </c>
    </row>
    <row r="7725" spans="1:8" x14ac:dyDescent="0.2">
      <c r="A7725">
        <v>288562</v>
      </c>
      <c r="B7725">
        <v>6000</v>
      </c>
      <c r="C7725" t="str">
        <f t="shared" si="120"/>
        <v>1. Under $10K</v>
      </c>
      <c r="D7725" t="s">
        <v>2378</v>
      </c>
      <c r="E7725" t="s">
        <v>112</v>
      </c>
      <c r="F7725" t="s">
        <v>668</v>
      </c>
      <c r="G7725" t="s">
        <v>59</v>
      </c>
      <c r="H7725">
        <v>2024</v>
      </c>
    </row>
    <row r="7726" spans="1:8" x14ac:dyDescent="0.2">
      <c r="A7726">
        <v>288563</v>
      </c>
      <c r="B7726">
        <v>3000</v>
      </c>
      <c r="C7726" t="str">
        <f t="shared" si="120"/>
        <v>1. Under $10K</v>
      </c>
      <c r="D7726" t="s">
        <v>2379</v>
      </c>
      <c r="E7726" t="s">
        <v>112</v>
      </c>
      <c r="F7726" t="s">
        <v>668</v>
      </c>
      <c r="G7726" t="s">
        <v>59</v>
      </c>
      <c r="H7726">
        <v>2024</v>
      </c>
    </row>
    <row r="7727" spans="1:8" x14ac:dyDescent="0.2">
      <c r="A7727">
        <v>288564</v>
      </c>
      <c r="B7727">
        <v>5000</v>
      </c>
      <c r="C7727" t="str">
        <f t="shared" si="120"/>
        <v>1. Under $10K</v>
      </c>
      <c r="D7727" t="s">
        <v>2380</v>
      </c>
      <c r="E7727" t="s">
        <v>112</v>
      </c>
      <c r="F7727" t="s">
        <v>668</v>
      </c>
      <c r="G7727" t="s">
        <v>59</v>
      </c>
      <c r="H7727">
        <v>2024</v>
      </c>
    </row>
    <row r="7728" spans="1:8" x14ac:dyDescent="0.2">
      <c r="A7728">
        <v>288565</v>
      </c>
      <c r="B7728">
        <v>6000</v>
      </c>
      <c r="C7728" t="str">
        <f t="shared" si="120"/>
        <v>1. Under $10K</v>
      </c>
      <c r="D7728" t="s">
        <v>2381</v>
      </c>
      <c r="E7728" t="s">
        <v>112</v>
      </c>
      <c r="F7728" t="s">
        <v>668</v>
      </c>
      <c r="G7728" t="s">
        <v>59</v>
      </c>
      <c r="H7728">
        <v>2024</v>
      </c>
    </row>
    <row r="7729" spans="1:8" x14ac:dyDescent="0.2">
      <c r="A7729">
        <v>288566</v>
      </c>
      <c r="B7729">
        <v>6000</v>
      </c>
      <c r="C7729" t="str">
        <f t="shared" si="120"/>
        <v>1. Under $10K</v>
      </c>
      <c r="D7729" t="s">
        <v>2382</v>
      </c>
      <c r="E7729" t="s">
        <v>112</v>
      </c>
      <c r="F7729" t="s">
        <v>668</v>
      </c>
      <c r="G7729" t="s">
        <v>59</v>
      </c>
      <c r="H7729">
        <v>2024</v>
      </c>
    </row>
    <row r="7730" spans="1:8" x14ac:dyDescent="0.2">
      <c r="A7730">
        <v>288568</v>
      </c>
      <c r="B7730">
        <v>6000</v>
      </c>
      <c r="C7730" t="str">
        <f t="shared" si="120"/>
        <v>1. Under $10K</v>
      </c>
      <c r="D7730" t="s">
        <v>2383</v>
      </c>
      <c r="E7730" t="s">
        <v>112</v>
      </c>
      <c r="F7730" t="s">
        <v>668</v>
      </c>
      <c r="G7730" t="s">
        <v>59</v>
      </c>
      <c r="H7730">
        <v>2024</v>
      </c>
    </row>
    <row r="7731" spans="1:8" x14ac:dyDescent="0.2">
      <c r="A7731">
        <v>288569</v>
      </c>
      <c r="B7731">
        <v>6000</v>
      </c>
      <c r="C7731" t="str">
        <f t="shared" si="120"/>
        <v>1. Under $10K</v>
      </c>
      <c r="D7731" t="s">
        <v>2384</v>
      </c>
      <c r="E7731" t="s">
        <v>112</v>
      </c>
      <c r="F7731" t="s">
        <v>668</v>
      </c>
      <c r="G7731" t="s">
        <v>59</v>
      </c>
      <c r="H7731">
        <v>2024</v>
      </c>
    </row>
    <row r="7732" spans="1:8" x14ac:dyDescent="0.2">
      <c r="A7732">
        <v>288570</v>
      </c>
      <c r="B7732">
        <v>1000</v>
      </c>
      <c r="C7732" t="str">
        <f t="shared" si="120"/>
        <v>1. Under $10K</v>
      </c>
      <c r="D7732" t="s">
        <v>2385</v>
      </c>
      <c r="E7732" t="s">
        <v>112</v>
      </c>
      <c r="F7732" t="s">
        <v>668</v>
      </c>
      <c r="G7732" t="s">
        <v>59</v>
      </c>
      <c r="H7732">
        <v>2024</v>
      </c>
    </row>
    <row r="7733" spans="1:8" x14ac:dyDescent="0.2">
      <c r="A7733">
        <v>288660</v>
      </c>
      <c r="B7733">
        <v>5000</v>
      </c>
      <c r="C7733" t="str">
        <f t="shared" si="120"/>
        <v>1. Under $10K</v>
      </c>
      <c r="D7733" t="s">
        <v>2371</v>
      </c>
      <c r="E7733" t="s">
        <v>112</v>
      </c>
      <c r="F7733" t="s">
        <v>668</v>
      </c>
      <c r="G7733" t="s">
        <v>59</v>
      </c>
      <c r="H7733">
        <v>2024</v>
      </c>
    </row>
    <row r="7734" spans="1:8" x14ac:dyDescent="0.2">
      <c r="A7734">
        <v>288661</v>
      </c>
      <c r="B7734">
        <v>5000</v>
      </c>
      <c r="C7734" t="str">
        <f t="shared" si="120"/>
        <v>1. Under $10K</v>
      </c>
      <c r="D7734" t="s">
        <v>2369</v>
      </c>
      <c r="E7734" t="s">
        <v>112</v>
      </c>
      <c r="F7734" t="s">
        <v>668</v>
      </c>
      <c r="G7734" t="s">
        <v>59</v>
      </c>
      <c r="H7734">
        <v>2024</v>
      </c>
    </row>
    <row r="7735" spans="1:8" x14ac:dyDescent="0.2">
      <c r="A7735">
        <v>288662</v>
      </c>
      <c r="B7735">
        <v>5000</v>
      </c>
      <c r="C7735" t="str">
        <f t="shared" si="120"/>
        <v>1. Under $10K</v>
      </c>
      <c r="D7735" t="s">
        <v>2372</v>
      </c>
      <c r="E7735" t="s">
        <v>112</v>
      </c>
      <c r="F7735" t="s">
        <v>668</v>
      </c>
      <c r="G7735" t="s">
        <v>59</v>
      </c>
      <c r="H7735">
        <v>2024</v>
      </c>
    </row>
    <row r="7736" spans="1:8" x14ac:dyDescent="0.2">
      <c r="A7736">
        <v>288663</v>
      </c>
      <c r="B7736">
        <v>5500</v>
      </c>
      <c r="C7736" t="str">
        <f t="shared" si="120"/>
        <v>1. Under $10K</v>
      </c>
      <c r="D7736" t="s">
        <v>2386</v>
      </c>
      <c r="E7736" t="s">
        <v>112</v>
      </c>
      <c r="F7736" t="s">
        <v>668</v>
      </c>
      <c r="G7736" t="s">
        <v>59</v>
      </c>
      <c r="H7736">
        <v>2024</v>
      </c>
    </row>
    <row r="7737" spans="1:8" x14ac:dyDescent="0.2">
      <c r="A7737">
        <v>288664</v>
      </c>
      <c r="B7737">
        <v>520512.1</v>
      </c>
      <c r="C7737" t="str">
        <f t="shared" si="120"/>
        <v>1. Under $10K</v>
      </c>
      <c r="D7737" t="s">
        <v>1531</v>
      </c>
      <c r="E7737" t="s">
        <v>368</v>
      </c>
      <c r="F7737" t="s">
        <v>668</v>
      </c>
      <c r="G7737" t="s">
        <v>59</v>
      </c>
      <c r="H7737">
        <v>2024</v>
      </c>
    </row>
    <row r="7738" spans="1:8" x14ac:dyDescent="0.2">
      <c r="A7738">
        <v>288666</v>
      </c>
      <c r="B7738">
        <v>6000</v>
      </c>
      <c r="C7738" t="str">
        <f t="shared" si="120"/>
        <v>4. $250K-1M</v>
      </c>
      <c r="D7738" t="s">
        <v>2387</v>
      </c>
      <c r="E7738" t="s">
        <v>112</v>
      </c>
      <c r="F7738" t="s">
        <v>668</v>
      </c>
      <c r="G7738" t="s">
        <v>59</v>
      </c>
      <c r="H7738">
        <v>2024</v>
      </c>
    </row>
    <row r="7739" spans="1:8" x14ac:dyDescent="0.2">
      <c r="A7739">
        <v>288668</v>
      </c>
      <c r="B7739">
        <v>6000</v>
      </c>
      <c r="C7739" t="str">
        <f t="shared" si="120"/>
        <v>1. Under $10K</v>
      </c>
      <c r="D7739" t="s">
        <v>2388</v>
      </c>
      <c r="E7739" t="s">
        <v>112</v>
      </c>
      <c r="F7739" t="s">
        <v>668</v>
      </c>
      <c r="G7739" t="s">
        <v>59</v>
      </c>
      <c r="H7739">
        <v>2024</v>
      </c>
    </row>
    <row r="7740" spans="1:8" x14ac:dyDescent="0.2">
      <c r="A7740">
        <v>288669</v>
      </c>
      <c r="B7740">
        <v>6000</v>
      </c>
      <c r="C7740" t="str">
        <f t="shared" si="120"/>
        <v>1. Under $10K</v>
      </c>
      <c r="D7740" t="s">
        <v>2389</v>
      </c>
      <c r="E7740" t="s">
        <v>112</v>
      </c>
      <c r="F7740" t="s">
        <v>668</v>
      </c>
      <c r="G7740" t="s">
        <v>59</v>
      </c>
      <c r="H7740">
        <v>2024</v>
      </c>
    </row>
    <row r="7741" spans="1:8" x14ac:dyDescent="0.2">
      <c r="A7741">
        <v>288680</v>
      </c>
      <c r="B7741">
        <v>112411</v>
      </c>
      <c r="C7741" t="str">
        <f t="shared" si="120"/>
        <v>1. Under $10K</v>
      </c>
      <c r="D7741" t="s">
        <v>738</v>
      </c>
      <c r="E7741" t="s">
        <v>237</v>
      </c>
      <c r="F7741" t="s">
        <v>670</v>
      </c>
      <c r="G7741" t="s">
        <v>59</v>
      </c>
      <c r="H7741">
        <v>2024</v>
      </c>
    </row>
    <row r="7742" spans="1:8" x14ac:dyDescent="0.2">
      <c r="A7742">
        <v>288681</v>
      </c>
      <c r="B7742">
        <v>983016</v>
      </c>
      <c r="C7742" t="str">
        <f t="shared" si="120"/>
        <v>3. $50K-250K</v>
      </c>
      <c r="D7742" t="s">
        <v>705</v>
      </c>
      <c r="E7742" t="s">
        <v>237</v>
      </c>
      <c r="F7742" t="s">
        <v>670</v>
      </c>
      <c r="G7742" t="s">
        <v>59</v>
      </c>
      <c r="H7742">
        <v>2024</v>
      </c>
    </row>
    <row r="7743" spans="1:8" x14ac:dyDescent="0.2">
      <c r="A7743">
        <v>288682</v>
      </c>
      <c r="B7743">
        <v>736438</v>
      </c>
      <c r="C7743" t="str">
        <f t="shared" si="120"/>
        <v>4. $250K-1M</v>
      </c>
      <c r="D7743" t="s">
        <v>760</v>
      </c>
      <c r="E7743" t="s">
        <v>237</v>
      </c>
      <c r="F7743" t="s">
        <v>670</v>
      </c>
      <c r="G7743" t="s">
        <v>59</v>
      </c>
      <c r="H7743">
        <v>2024</v>
      </c>
    </row>
    <row r="7744" spans="1:8" x14ac:dyDescent="0.2">
      <c r="A7744">
        <v>288683</v>
      </c>
      <c r="B7744">
        <v>750462</v>
      </c>
      <c r="C7744" t="str">
        <f t="shared" si="120"/>
        <v>4. $250K-1M</v>
      </c>
      <c r="D7744" t="s">
        <v>742</v>
      </c>
      <c r="E7744" t="s">
        <v>237</v>
      </c>
      <c r="F7744" t="s">
        <v>670</v>
      </c>
      <c r="G7744" t="s">
        <v>59</v>
      </c>
      <c r="H7744">
        <v>2024</v>
      </c>
    </row>
    <row r="7745" spans="1:8" x14ac:dyDescent="0.2">
      <c r="A7745">
        <v>288684</v>
      </c>
      <c r="B7745">
        <v>876880</v>
      </c>
      <c r="C7745" t="str">
        <f t="shared" si="120"/>
        <v>4. $250K-1M</v>
      </c>
      <c r="D7745" t="s">
        <v>703</v>
      </c>
      <c r="E7745" t="s">
        <v>237</v>
      </c>
      <c r="F7745" t="s">
        <v>670</v>
      </c>
      <c r="G7745" t="s">
        <v>59</v>
      </c>
      <c r="H7745">
        <v>2024</v>
      </c>
    </row>
    <row r="7746" spans="1:8" x14ac:dyDescent="0.2">
      <c r="A7746">
        <v>288685</v>
      </c>
      <c r="B7746">
        <v>1254010.8</v>
      </c>
      <c r="C7746" t="str">
        <f t="shared" si="120"/>
        <v>4. $250K-1M</v>
      </c>
      <c r="D7746" t="s">
        <v>712</v>
      </c>
      <c r="E7746" t="s">
        <v>237</v>
      </c>
      <c r="F7746" t="s">
        <v>670</v>
      </c>
      <c r="G7746" t="s">
        <v>59</v>
      </c>
      <c r="H7746">
        <v>2024</v>
      </c>
    </row>
    <row r="7747" spans="1:8" x14ac:dyDescent="0.2">
      <c r="A7747">
        <v>288686</v>
      </c>
      <c r="B7747">
        <v>1666347</v>
      </c>
      <c r="C7747" t="str">
        <f t="shared" ref="C7747:C7810" si="121">IF(B7746&lt;10000,"1. Under $10K",IF(B7746&lt;50000,"2. $10K-50K",IF(B7746&lt;250000,"3. $50K-250K",IF(B7746&lt;1000000,"4. $250K-1M","5. $1M+"))))</f>
        <v>5. $1M+</v>
      </c>
      <c r="D7747" t="s">
        <v>708</v>
      </c>
      <c r="E7747" t="s">
        <v>237</v>
      </c>
      <c r="F7747" t="s">
        <v>670</v>
      </c>
      <c r="G7747" t="s">
        <v>59</v>
      </c>
      <c r="H7747">
        <v>2024</v>
      </c>
    </row>
    <row r="7748" spans="1:8" x14ac:dyDescent="0.2">
      <c r="A7748">
        <v>288687</v>
      </c>
      <c r="B7748">
        <v>489364.6</v>
      </c>
      <c r="C7748" t="str">
        <f t="shared" si="121"/>
        <v>5. $1M+</v>
      </c>
      <c r="D7748" t="s">
        <v>726</v>
      </c>
      <c r="E7748" t="s">
        <v>237</v>
      </c>
      <c r="F7748" t="s">
        <v>670</v>
      </c>
      <c r="G7748" t="s">
        <v>59</v>
      </c>
      <c r="H7748">
        <v>2024</v>
      </c>
    </row>
    <row r="7749" spans="1:8" x14ac:dyDescent="0.2">
      <c r="A7749">
        <v>288688</v>
      </c>
      <c r="B7749">
        <v>121494</v>
      </c>
      <c r="C7749" t="str">
        <f t="shared" si="121"/>
        <v>4. $250K-1M</v>
      </c>
      <c r="D7749" t="s">
        <v>730</v>
      </c>
      <c r="E7749" t="s">
        <v>237</v>
      </c>
      <c r="F7749" t="s">
        <v>670</v>
      </c>
      <c r="G7749" t="s">
        <v>59</v>
      </c>
      <c r="H7749">
        <v>2024</v>
      </c>
    </row>
    <row r="7750" spans="1:8" x14ac:dyDescent="0.2">
      <c r="A7750">
        <v>288698</v>
      </c>
      <c r="B7750">
        <v>3000</v>
      </c>
      <c r="C7750" t="str">
        <f t="shared" si="121"/>
        <v>3. $50K-250K</v>
      </c>
      <c r="D7750" t="s">
        <v>479</v>
      </c>
      <c r="E7750" t="s">
        <v>480</v>
      </c>
      <c r="F7750" t="s">
        <v>423</v>
      </c>
      <c r="G7750" t="s">
        <v>59</v>
      </c>
      <c r="H7750">
        <v>2024</v>
      </c>
    </row>
    <row r="7751" spans="1:8" x14ac:dyDescent="0.2">
      <c r="A7751">
        <v>288715</v>
      </c>
      <c r="B7751">
        <v>7500</v>
      </c>
      <c r="C7751" t="str">
        <f t="shared" si="121"/>
        <v>1. Under $10K</v>
      </c>
      <c r="D7751" t="s">
        <v>481</v>
      </c>
      <c r="E7751" t="s">
        <v>480</v>
      </c>
      <c r="F7751" t="s">
        <v>423</v>
      </c>
      <c r="G7751" t="s">
        <v>59</v>
      </c>
      <c r="H7751">
        <v>2024</v>
      </c>
    </row>
    <row r="7752" spans="1:8" x14ac:dyDescent="0.2">
      <c r="A7752">
        <v>288723</v>
      </c>
      <c r="B7752">
        <v>69792.7</v>
      </c>
      <c r="C7752" t="str">
        <f t="shared" si="121"/>
        <v>1. Under $10K</v>
      </c>
      <c r="D7752" t="s">
        <v>784</v>
      </c>
      <c r="E7752" t="s">
        <v>237</v>
      </c>
      <c r="F7752" t="s">
        <v>670</v>
      </c>
      <c r="G7752" t="s">
        <v>59</v>
      </c>
      <c r="H7752">
        <v>2024</v>
      </c>
    </row>
    <row r="7753" spans="1:8" x14ac:dyDescent="0.2">
      <c r="A7753">
        <v>288724</v>
      </c>
      <c r="B7753">
        <v>6001.9</v>
      </c>
      <c r="C7753" t="str">
        <f t="shared" si="121"/>
        <v>3. $50K-250K</v>
      </c>
      <c r="D7753" t="s">
        <v>699</v>
      </c>
      <c r="E7753" t="s">
        <v>237</v>
      </c>
      <c r="F7753" t="s">
        <v>670</v>
      </c>
      <c r="G7753" t="s">
        <v>59</v>
      </c>
      <c r="H7753">
        <v>2024</v>
      </c>
    </row>
    <row r="7754" spans="1:8" x14ac:dyDescent="0.2">
      <c r="A7754">
        <v>288725</v>
      </c>
      <c r="B7754">
        <v>150000</v>
      </c>
      <c r="C7754" t="str">
        <f t="shared" si="121"/>
        <v>1. Under $10K</v>
      </c>
      <c r="D7754" t="s">
        <v>718</v>
      </c>
      <c r="E7754" t="s">
        <v>237</v>
      </c>
      <c r="F7754" t="s">
        <v>670</v>
      </c>
      <c r="G7754" t="s">
        <v>59</v>
      </c>
      <c r="H7754">
        <v>2024</v>
      </c>
    </row>
    <row r="7755" spans="1:8" x14ac:dyDescent="0.2">
      <c r="A7755">
        <v>288730</v>
      </c>
      <c r="B7755">
        <v>6000</v>
      </c>
      <c r="C7755" t="str">
        <f t="shared" si="121"/>
        <v>3. $50K-250K</v>
      </c>
      <c r="D7755" t="s">
        <v>2390</v>
      </c>
      <c r="E7755" t="s">
        <v>112</v>
      </c>
      <c r="F7755" t="s">
        <v>668</v>
      </c>
      <c r="G7755" t="s">
        <v>59</v>
      </c>
      <c r="H7755">
        <v>2024</v>
      </c>
    </row>
    <row r="7756" spans="1:8" x14ac:dyDescent="0.2">
      <c r="A7756">
        <v>288731</v>
      </c>
      <c r="B7756">
        <v>6000</v>
      </c>
      <c r="C7756" t="str">
        <f t="shared" si="121"/>
        <v>1. Under $10K</v>
      </c>
      <c r="D7756" t="s">
        <v>2391</v>
      </c>
      <c r="E7756" t="s">
        <v>112</v>
      </c>
      <c r="F7756" t="s">
        <v>668</v>
      </c>
      <c r="G7756" t="s">
        <v>59</v>
      </c>
      <c r="H7756">
        <v>2024</v>
      </c>
    </row>
    <row r="7757" spans="1:8" x14ac:dyDescent="0.2">
      <c r="A7757">
        <v>288732</v>
      </c>
      <c r="B7757">
        <v>6000</v>
      </c>
      <c r="C7757" t="str">
        <f t="shared" si="121"/>
        <v>1. Under $10K</v>
      </c>
      <c r="D7757" t="s">
        <v>2392</v>
      </c>
      <c r="E7757" t="s">
        <v>112</v>
      </c>
      <c r="F7757" t="s">
        <v>668</v>
      </c>
      <c r="G7757" t="s">
        <v>59</v>
      </c>
      <c r="H7757">
        <v>2024</v>
      </c>
    </row>
    <row r="7758" spans="1:8" x14ac:dyDescent="0.2">
      <c r="A7758">
        <v>288735</v>
      </c>
      <c r="B7758">
        <v>5500</v>
      </c>
      <c r="C7758" t="str">
        <f t="shared" si="121"/>
        <v>1. Under $10K</v>
      </c>
      <c r="D7758" t="s">
        <v>2393</v>
      </c>
      <c r="E7758" t="s">
        <v>112</v>
      </c>
      <c r="F7758" t="s">
        <v>668</v>
      </c>
      <c r="G7758" t="s">
        <v>59</v>
      </c>
      <c r="H7758">
        <v>2024</v>
      </c>
    </row>
    <row r="7759" spans="1:8" x14ac:dyDescent="0.2">
      <c r="A7759">
        <v>288736</v>
      </c>
      <c r="B7759">
        <v>2250</v>
      </c>
      <c r="C7759" t="str">
        <f t="shared" si="121"/>
        <v>1. Under $10K</v>
      </c>
      <c r="D7759" t="s">
        <v>2394</v>
      </c>
      <c r="E7759" t="s">
        <v>112</v>
      </c>
      <c r="F7759" t="s">
        <v>668</v>
      </c>
      <c r="G7759" t="s">
        <v>59</v>
      </c>
      <c r="H7759">
        <v>2024</v>
      </c>
    </row>
    <row r="7760" spans="1:8" x14ac:dyDescent="0.2">
      <c r="A7760">
        <v>288737</v>
      </c>
      <c r="B7760">
        <v>5750</v>
      </c>
      <c r="C7760" t="str">
        <f t="shared" si="121"/>
        <v>1. Under $10K</v>
      </c>
      <c r="D7760" t="s">
        <v>2395</v>
      </c>
      <c r="E7760" t="s">
        <v>112</v>
      </c>
      <c r="F7760" t="s">
        <v>668</v>
      </c>
      <c r="G7760" t="s">
        <v>59</v>
      </c>
      <c r="H7760">
        <v>2024</v>
      </c>
    </row>
    <row r="7761" spans="1:8" x14ac:dyDescent="0.2">
      <c r="A7761">
        <v>288738</v>
      </c>
      <c r="B7761">
        <v>5500</v>
      </c>
      <c r="C7761" t="str">
        <f t="shared" si="121"/>
        <v>1. Under $10K</v>
      </c>
      <c r="D7761" t="s">
        <v>2396</v>
      </c>
      <c r="E7761" t="s">
        <v>112</v>
      </c>
      <c r="F7761" t="s">
        <v>668</v>
      </c>
      <c r="G7761" t="s">
        <v>59</v>
      </c>
      <c r="H7761">
        <v>2024</v>
      </c>
    </row>
    <row r="7762" spans="1:8" x14ac:dyDescent="0.2">
      <c r="A7762">
        <v>288740</v>
      </c>
      <c r="B7762">
        <v>6000</v>
      </c>
      <c r="C7762" t="str">
        <f t="shared" si="121"/>
        <v>1. Under $10K</v>
      </c>
      <c r="D7762" t="s">
        <v>2397</v>
      </c>
      <c r="E7762" t="s">
        <v>112</v>
      </c>
      <c r="F7762" t="s">
        <v>668</v>
      </c>
      <c r="G7762" t="s">
        <v>59</v>
      </c>
      <c r="H7762">
        <v>2024</v>
      </c>
    </row>
    <row r="7763" spans="1:8" x14ac:dyDescent="0.2">
      <c r="A7763">
        <v>288741</v>
      </c>
      <c r="B7763">
        <v>93543.6</v>
      </c>
      <c r="C7763" t="str">
        <f t="shared" si="121"/>
        <v>1. Under $10K</v>
      </c>
      <c r="D7763" t="s">
        <v>669</v>
      </c>
      <c r="E7763" t="s">
        <v>42</v>
      </c>
      <c r="F7763" t="s">
        <v>670</v>
      </c>
      <c r="G7763" t="s">
        <v>59</v>
      </c>
      <c r="H7763">
        <v>2024</v>
      </c>
    </row>
    <row r="7764" spans="1:8" x14ac:dyDescent="0.2">
      <c r="A7764">
        <v>288742</v>
      </c>
      <c r="B7764">
        <v>99204.2</v>
      </c>
      <c r="C7764" t="str">
        <f t="shared" si="121"/>
        <v>3. $50K-250K</v>
      </c>
      <c r="D7764" t="s">
        <v>896</v>
      </c>
      <c r="E7764" t="s">
        <v>42</v>
      </c>
      <c r="F7764" t="s">
        <v>670</v>
      </c>
      <c r="G7764" t="s">
        <v>59</v>
      </c>
      <c r="H7764">
        <v>2024</v>
      </c>
    </row>
    <row r="7765" spans="1:8" x14ac:dyDescent="0.2">
      <c r="A7765">
        <v>288743</v>
      </c>
      <c r="B7765">
        <v>88956.4</v>
      </c>
      <c r="C7765" t="str">
        <f t="shared" si="121"/>
        <v>3. $50K-250K</v>
      </c>
      <c r="D7765" t="s">
        <v>895</v>
      </c>
      <c r="E7765" t="s">
        <v>42</v>
      </c>
      <c r="F7765" t="s">
        <v>670</v>
      </c>
      <c r="G7765" t="s">
        <v>59</v>
      </c>
      <c r="H7765">
        <v>2024</v>
      </c>
    </row>
    <row r="7766" spans="1:8" x14ac:dyDescent="0.2">
      <c r="A7766">
        <v>288744</v>
      </c>
      <c r="B7766">
        <v>97127.2</v>
      </c>
      <c r="C7766" t="str">
        <f t="shared" si="121"/>
        <v>3. $50K-250K</v>
      </c>
      <c r="D7766" t="s">
        <v>782</v>
      </c>
      <c r="E7766" t="s">
        <v>42</v>
      </c>
      <c r="F7766" t="s">
        <v>670</v>
      </c>
      <c r="G7766" t="s">
        <v>59</v>
      </c>
      <c r="H7766">
        <v>2024</v>
      </c>
    </row>
    <row r="7767" spans="1:8" x14ac:dyDescent="0.2">
      <c r="A7767">
        <v>288745</v>
      </c>
      <c r="B7767">
        <v>32044.7</v>
      </c>
      <c r="C7767" t="str">
        <f t="shared" si="121"/>
        <v>3. $50K-250K</v>
      </c>
      <c r="D7767" t="s">
        <v>681</v>
      </c>
      <c r="E7767" t="s">
        <v>42</v>
      </c>
      <c r="F7767" t="s">
        <v>670</v>
      </c>
      <c r="G7767" t="s">
        <v>59</v>
      </c>
      <c r="H7767">
        <v>2024</v>
      </c>
    </row>
    <row r="7768" spans="1:8" x14ac:dyDescent="0.2">
      <c r="A7768">
        <v>288746</v>
      </c>
      <c r="B7768">
        <v>6000</v>
      </c>
      <c r="C7768" t="str">
        <f t="shared" si="121"/>
        <v>2. $10K-50K</v>
      </c>
      <c r="D7768" t="s">
        <v>2398</v>
      </c>
      <c r="E7768" t="s">
        <v>112</v>
      </c>
      <c r="F7768" t="s">
        <v>668</v>
      </c>
      <c r="G7768" t="s">
        <v>59</v>
      </c>
      <c r="H7768">
        <v>2024</v>
      </c>
    </row>
    <row r="7769" spans="1:8" x14ac:dyDescent="0.2">
      <c r="A7769">
        <v>288753</v>
      </c>
      <c r="B7769">
        <v>22253000</v>
      </c>
      <c r="C7769" t="str">
        <f t="shared" si="121"/>
        <v>1. Under $10K</v>
      </c>
      <c r="D7769" t="s">
        <v>1601</v>
      </c>
      <c r="E7769" t="s">
        <v>237</v>
      </c>
      <c r="F7769" t="s">
        <v>670</v>
      </c>
      <c r="G7769" t="s">
        <v>59</v>
      </c>
      <c r="H7769">
        <v>2024</v>
      </c>
    </row>
    <row r="7770" spans="1:8" x14ac:dyDescent="0.2">
      <c r="A7770">
        <v>288923</v>
      </c>
      <c r="B7770">
        <v>223245</v>
      </c>
      <c r="C7770" t="str">
        <f t="shared" si="121"/>
        <v>5. $1M+</v>
      </c>
      <c r="D7770" t="s">
        <v>829</v>
      </c>
      <c r="E7770" t="s">
        <v>237</v>
      </c>
      <c r="F7770" t="s">
        <v>670</v>
      </c>
      <c r="G7770" t="s">
        <v>59</v>
      </c>
      <c r="H7770">
        <v>2024</v>
      </c>
    </row>
    <row r="7771" spans="1:8" x14ac:dyDescent="0.2">
      <c r="A7771">
        <v>288924</v>
      </c>
      <c r="B7771">
        <v>190387</v>
      </c>
      <c r="C7771" t="str">
        <f t="shared" si="121"/>
        <v>3. $50K-250K</v>
      </c>
      <c r="D7771" t="s">
        <v>798</v>
      </c>
      <c r="E7771" t="s">
        <v>237</v>
      </c>
      <c r="F7771" t="s">
        <v>670</v>
      </c>
      <c r="G7771" t="s">
        <v>59</v>
      </c>
      <c r="H7771">
        <v>2024</v>
      </c>
    </row>
    <row r="7772" spans="1:8" x14ac:dyDescent="0.2">
      <c r="A7772">
        <v>288925</v>
      </c>
      <c r="B7772">
        <v>77764</v>
      </c>
      <c r="C7772" t="str">
        <f t="shared" si="121"/>
        <v>3. $50K-250K</v>
      </c>
      <c r="D7772" t="s">
        <v>798</v>
      </c>
      <c r="E7772" t="s">
        <v>237</v>
      </c>
      <c r="F7772" t="s">
        <v>670</v>
      </c>
      <c r="G7772" t="s">
        <v>59</v>
      </c>
      <c r="H7772">
        <v>2024</v>
      </c>
    </row>
    <row r="7773" spans="1:8" x14ac:dyDescent="0.2">
      <c r="A7773">
        <v>288957</v>
      </c>
      <c r="B7773">
        <v>6000</v>
      </c>
      <c r="C7773" t="str">
        <f t="shared" si="121"/>
        <v>3. $50K-250K</v>
      </c>
      <c r="D7773" t="s">
        <v>2399</v>
      </c>
      <c r="E7773" t="s">
        <v>112</v>
      </c>
      <c r="F7773" t="s">
        <v>668</v>
      </c>
      <c r="G7773" t="s">
        <v>59</v>
      </c>
      <c r="H7773">
        <v>2024</v>
      </c>
    </row>
    <row r="7774" spans="1:8" x14ac:dyDescent="0.2">
      <c r="A7774">
        <v>288960</v>
      </c>
      <c r="B7774">
        <v>5000000</v>
      </c>
      <c r="C7774" t="str">
        <f t="shared" si="121"/>
        <v>1. Under $10K</v>
      </c>
      <c r="D7774" t="s">
        <v>2400</v>
      </c>
      <c r="E7774" t="s">
        <v>99</v>
      </c>
      <c r="F7774" t="s">
        <v>668</v>
      </c>
      <c r="G7774" t="s">
        <v>59</v>
      </c>
      <c r="H7774">
        <v>2024</v>
      </c>
    </row>
    <row r="7775" spans="1:8" x14ac:dyDescent="0.2">
      <c r="A7775">
        <v>289006</v>
      </c>
      <c r="B7775">
        <v>6000</v>
      </c>
      <c r="C7775" t="str">
        <f t="shared" si="121"/>
        <v>5. $1M+</v>
      </c>
      <c r="D7775" t="s">
        <v>2401</v>
      </c>
      <c r="E7775" t="s">
        <v>112</v>
      </c>
      <c r="F7775" t="s">
        <v>668</v>
      </c>
      <c r="G7775" t="s">
        <v>59</v>
      </c>
      <c r="H7775">
        <v>2024</v>
      </c>
    </row>
    <row r="7776" spans="1:8" x14ac:dyDescent="0.2">
      <c r="A7776">
        <v>289009</v>
      </c>
      <c r="B7776">
        <v>6000</v>
      </c>
      <c r="C7776" t="str">
        <f t="shared" si="121"/>
        <v>1. Under $10K</v>
      </c>
      <c r="D7776" t="s">
        <v>2402</v>
      </c>
      <c r="E7776" t="s">
        <v>112</v>
      </c>
      <c r="F7776" t="s">
        <v>668</v>
      </c>
      <c r="G7776" t="s">
        <v>59</v>
      </c>
      <c r="H7776">
        <v>2024</v>
      </c>
    </row>
    <row r="7777" spans="1:8" x14ac:dyDescent="0.2">
      <c r="A7777">
        <v>289011</v>
      </c>
      <c r="B7777">
        <v>6000</v>
      </c>
      <c r="C7777" t="str">
        <f t="shared" si="121"/>
        <v>1. Under $10K</v>
      </c>
      <c r="D7777" t="s">
        <v>2403</v>
      </c>
      <c r="E7777" t="s">
        <v>112</v>
      </c>
      <c r="F7777" t="s">
        <v>668</v>
      </c>
      <c r="G7777" t="s">
        <v>59</v>
      </c>
      <c r="H7777">
        <v>2024</v>
      </c>
    </row>
    <row r="7778" spans="1:8" x14ac:dyDescent="0.2">
      <c r="A7778">
        <v>289012</v>
      </c>
      <c r="B7778">
        <v>6000</v>
      </c>
      <c r="C7778" t="str">
        <f t="shared" si="121"/>
        <v>1. Under $10K</v>
      </c>
      <c r="D7778" t="s">
        <v>2404</v>
      </c>
      <c r="E7778" t="s">
        <v>112</v>
      </c>
      <c r="F7778" t="s">
        <v>668</v>
      </c>
      <c r="G7778" t="s">
        <v>59</v>
      </c>
      <c r="H7778">
        <v>2024</v>
      </c>
    </row>
    <row r="7779" spans="1:8" x14ac:dyDescent="0.2">
      <c r="A7779">
        <v>289013</v>
      </c>
      <c r="B7779">
        <v>6000</v>
      </c>
      <c r="C7779" t="str">
        <f t="shared" si="121"/>
        <v>1. Under $10K</v>
      </c>
      <c r="D7779" t="s">
        <v>1587</v>
      </c>
      <c r="E7779" t="s">
        <v>112</v>
      </c>
      <c r="F7779" t="s">
        <v>668</v>
      </c>
      <c r="G7779" t="s">
        <v>59</v>
      </c>
      <c r="H7779">
        <v>2024</v>
      </c>
    </row>
    <row r="7780" spans="1:8" x14ac:dyDescent="0.2">
      <c r="A7780">
        <v>289015</v>
      </c>
      <c r="B7780">
        <v>6000</v>
      </c>
      <c r="C7780" t="str">
        <f t="shared" si="121"/>
        <v>1. Under $10K</v>
      </c>
      <c r="D7780" t="s">
        <v>2405</v>
      </c>
      <c r="E7780" t="s">
        <v>112</v>
      </c>
      <c r="F7780" t="s">
        <v>668</v>
      </c>
      <c r="G7780" t="s">
        <v>59</v>
      </c>
      <c r="H7780">
        <v>2024</v>
      </c>
    </row>
    <row r="7781" spans="1:8" x14ac:dyDescent="0.2">
      <c r="A7781">
        <v>289020</v>
      </c>
      <c r="B7781">
        <v>6000</v>
      </c>
      <c r="C7781" t="str">
        <f t="shared" si="121"/>
        <v>1. Under $10K</v>
      </c>
      <c r="D7781" t="s">
        <v>2406</v>
      </c>
      <c r="E7781" t="s">
        <v>112</v>
      </c>
      <c r="F7781" t="s">
        <v>668</v>
      </c>
      <c r="G7781" t="s">
        <v>59</v>
      </c>
      <c r="H7781">
        <v>2024</v>
      </c>
    </row>
    <row r="7782" spans="1:8" x14ac:dyDescent="0.2">
      <c r="A7782">
        <v>289028</v>
      </c>
      <c r="B7782">
        <v>4750</v>
      </c>
      <c r="C7782" t="str">
        <f t="shared" si="121"/>
        <v>1. Under $10K</v>
      </c>
      <c r="D7782" t="s">
        <v>2407</v>
      </c>
      <c r="E7782" t="s">
        <v>112</v>
      </c>
      <c r="F7782" t="s">
        <v>668</v>
      </c>
      <c r="G7782" t="s">
        <v>59</v>
      </c>
      <c r="H7782">
        <v>2024</v>
      </c>
    </row>
    <row r="7783" spans="1:8" x14ac:dyDescent="0.2">
      <c r="A7783">
        <v>289031</v>
      </c>
      <c r="B7783">
        <v>3000</v>
      </c>
      <c r="C7783" t="str">
        <f t="shared" si="121"/>
        <v>1. Under $10K</v>
      </c>
      <c r="D7783" t="s">
        <v>2408</v>
      </c>
      <c r="E7783" t="s">
        <v>112</v>
      </c>
      <c r="F7783" t="s">
        <v>668</v>
      </c>
      <c r="G7783" t="s">
        <v>59</v>
      </c>
      <c r="H7783">
        <v>2024</v>
      </c>
    </row>
    <row r="7784" spans="1:8" x14ac:dyDescent="0.2">
      <c r="A7784">
        <v>289034</v>
      </c>
      <c r="B7784">
        <v>6000</v>
      </c>
      <c r="C7784" t="str">
        <f t="shared" si="121"/>
        <v>1. Under $10K</v>
      </c>
      <c r="D7784" t="s">
        <v>2409</v>
      </c>
      <c r="E7784" t="s">
        <v>112</v>
      </c>
      <c r="F7784" t="s">
        <v>668</v>
      </c>
      <c r="G7784" t="s">
        <v>59</v>
      </c>
      <c r="H7784">
        <v>2024</v>
      </c>
    </row>
    <row r="7785" spans="1:8" x14ac:dyDescent="0.2">
      <c r="A7785">
        <v>289036</v>
      </c>
      <c r="B7785">
        <v>150150</v>
      </c>
      <c r="C7785" t="str">
        <f t="shared" si="121"/>
        <v>1. Under $10K</v>
      </c>
      <c r="D7785" t="s">
        <v>2410</v>
      </c>
      <c r="E7785" t="s">
        <v>99</v>
      </c>
      <c r="F7785" t="s">
        <v>668</v>
      </c>
      <c r="G7785" t="s">
        <v>59</v>
      </c>
      <c r="H7785">
        <v>2024</v>
      </c>
    </row>
    <row r="7786" spans="1:8" x14ac:dyDescent="0.2">
      <c r="A7786">
        <v>289040</v>
      </c>
      <c r="B7786">
        <v>1600000</v>
      </c>
      <c r="C7786" t="str">
        <f t="shared" si="121"/>
        <v>3. $50K-250K</v>
      </c>
      <c r="D7786" t="s">
        <v>1033</v>
      </c>
      <c r="E7786" t="s">
        <v>42</v>
      </c>
      <c r="F7786" t="s">
        <v>668</v>
      </c>
      <c r="G7786" t="s">
        <v>59</v>
      </c>
      <c r="H7786">
        <v>2024</v>
      </c>
    </row>
    <row r="7787" spans="1:8" x14ac:dyDescent="0.2">
      <c r="A7787">
        <v>289054</v>
      </c>
      <c r="B7787">
        <v>3500</v>
      </c>
      <c r="C7787" t="str">
        <f t="shared" si="121"/>
        <v>5. $1M+</v>
      </c>
      <c r="D7787" t="s">
        <v>2411</v>
      </c>
      <c r="E7787" t="s">
        <v>112</v>
      </c>
      <c r="F7787" t="s">
        <v>668</v>
      </c>
      <c r="G7787" t="s">
        <v>59</v>
      </c>
      <c r="H7787">
        <v>2024</v>
      </c>
    </row>
    <row r="7788" spans="1:8" x14ac:dyDescent="0.2">
      <c r="A7788">
        <v>289057</v>
      </c>
      <c r="B7788">
        <v>5000</v>
      </c>
      <c r="C7788" t="str">
        <f t="shared" si="121"/>
        <v>1. Under $10K</v>
      </c>
      <c r="D7788" t="s">
        <v>2412</v>
      </c>
      <c r="E7788" t="s">
        <v>112</v>
      </c>
      <c r="F7788" t="s">
        <v>668</v>
      </c>
      <c r="G7788" t="s">
        <v>59</v>
      </c>
      <c r="H7788">
        <v>2024</v>
      </c>
    </row>
    <row r="7789" spans="1:8" x14ac:dyDescent="0.2">
      <c r="A7789">
        <v>289064</v>
      </c>
      <c r="B7789">
        <v>5000</v>
      </c>
      <c r="C7789" t="str">
        <f t="shared" si="121"/>
        <v>1. Under $10K</v>
      </c>
      <c r="D7789" t="s">
        <v>2413</v>
      </c>
      <c r="E7789" t="s">
        <v>112</v>
      </c>
      <c r="F7789" t="s">
        <v>668</v>
      </c>
      <c r="G7789" t="s">
        <v>59</v>
      </c>
      <c r="H7789">
        <v>2024</v>
      </c>
    </row>
    <row r="7790" spans="1:8" x14ac:dyDescent="0.2">
      <c r="A7790">
        <v>28908</v>
      </c>
      <c r="B7790">
        <v>52698.5</v>
      </c>
      <c r="C7790" t="str">
        <f t="shared" si="121"/>
        <v>1. Under $10K</v>
      </c>
      <c r="D7790" t="s">
        <v>461</v>
      </c>
      <c r="E7790" t="s">
        <v>69</v>
      </c>
      <c r="F7790" t="s">
        <v>12</v>
      </c>
      <c r="G7790" t="s">
        <v>79</v>
      </c>
      <c r="H7790">
        <v>2023</v>
      </c>
    </row>
    <row r="7791" spans="1:8" x14ac:dyDescent="0.2">
      <c r="A7791">
        <v>289091</v>
      </c>
      <c r="B7791">
        <v>15923.8</v>
      </c>
      <c r="C7791" t="str">
        <f t="shared" si="121"/>
        <v>3. $50K-250K</v>
      </c>
      <c r="D7791" t="s">
        <v>187</v>
      </c>
      <c r="E7791" t="s">
        <v>18</v>
      </c>
      <c r="F7791" t="s">
        <v>459</v>
      </c>
      <c r="G7791" t="s">
        <v>59</v>
      </c>
      <c r="H7791">
        <v>2024</v>
      </c>
    </row>
    <row r="7792" spans="1:8" x14ac:dyDescent="0.2">
      <c r="A7792">
        <v>289136</v>
      </c>
      <c r="B7792">
        <v>2750</v>
      </c>
      <c r="C7792" t="str">
        <f t="shared" si="121"/>
        <v>2. $10K-50K</v>
      </c>
      <c r="D7792" t="s">
        <v>2414</v>
      </c>
      <c r="E7792" t="s">
        <v>112</v>
      </c>
      <c r="F7792" t="s">
        <v>668</v>
      </c>
      <c r="G7792" t="s">
        <v>59</v>
      </c>
      <c r="H7792">
        <v>2024</v>
      </c>
    </row>
    <row r="7793" spans="1:8" x14ac:dyDescent="0.2">
      <c r="A7793">
        <v>289141</v>
      </c>
      <c r="B7793">
        <v>6000</v>
      </c>
      <c r="C7793" t="str">
        <f t="shared" si="121"/>
        <v>1. Under $10K</v>
      </c>
      <c r="D7793" t="s">
        <v>2415</v>
      </c>
      <c r="E7793" t="s">
        <v>112</v>
      </c>
      <c r="F7793" t="s">
        <v>668</v>
      </c>
      <c r="G7793" t="s">
        <v>59</v>
      </c>
      <c r="H7793">
        <v>2024</v>
      </c>
    </row>
    <row r="7794" spans="1:8" x14ac:dyDescent="0.2">
      <c r="A7794">
        <v>289145</v>
      </c>
      <c r="B7794">
        <v>5750</v>
      </c>
      <c r="C7794" t="str">
        <f t="shared" si="121"/>
        <v>1. Under $10K</v>
      </c>
      <c r="D7794" t="s">
        <v>2395</v>
      </c>
      <c r="E7794" t="s">
        <v>112</v>
      </c>
      <c r="F7794" t="s">
        <v>668</v>
      </c>
      <c r="G7794" t="s">
        <v>59</v>
      </c>
      <c r="H7794">
        <v>2024</v>
      </c>
    </row>
    <row r="7795" spans="1:8" x14ac:dyDescent="0.2">
      <c r="A7795">
        <v>289162</v>
      </c>
      <c r="B7795">
        <v>4750</v>
      </c>
      <c r="C7795" t="str">
        <f t="shared" si="121"/>
        <v>1. Under $10K</v>
      </c>
      <c r="D7795" t="s">
        <v>2416</v>
      </c>
      <c r="E7795" t="s">
        <v>112</v>
      </c>
      <c r="F7795" t="s">
        <v>668</v>
      </c>
      <c r="G7795" t="s">
        <v>59</v>
      </c>
      <c r="H7795">
        <v>2024</v>
      </c>
    </row>
    <row r="7796" spans="1:8" x14ac:dyDescent="0.2">
      <c r="A7796">
        <v>289163</v>
      </c>
      <c r="B7796">
        <v>6000</v>
      </c>
      <c r="C7796" t="str">
        <f t="shared" si="121"/>
        <v>1. Under $10K</v>
      </c>
      <c r="D7796" t="s">
        <v>2417</v>
      </c>
      <c r="E7796" t="s">
        <v>112</v>
      </c>
      <c r="F7796" t="s">
        <v>668</v>
      </c>
      <c r="G7796" t="s">
        <v>59</v>
      </c>
      <c r="H7796">
        <v>2024</v>
      </c>
    </row>
    <row r="7797" spans="1:8" x14ac:dyDescent="0.2">
      <c r="A7797">
        <v>289166</v>
      </c>
      <c r="B7797">
        <v>6000</v>
      </c>
      <c r="C7797" t="str">
        <f t="shared" si="121"/>
        <v>1. Under $10K</v>
      </c>
      <c r="D7797" t="s">
        <v>2418</v>
      </c>
      <c r="E7797" t="s">
        <v>112</v>
      </c>
      <c r="F7797" t="s">
        <v>668</v>
      </c>
      <c r="G7797" t="s">
        <v>59</v>
      </c>
      <c r="H7797">
        <v>2024</v>
      </c>
    </row>
    <row r="7798" spans="1:8" x14ac:dyDescent="0.2">
      <c r="A7798">
        <v>289171</v>
      </c>
      <c r="B7798">
        <v>6000</v>
      </c>
      <c r="C7798" t="str">
        <f t="shared" si="121"/>
        <v>1. Under $10K</v>
      </c>
      <c r="D7798" t="s">
        <v>2419</v>
      </c>
      <c r="E7798" t="s">
        <v>112</v>
      </c>
      <c r="F7798" t="s">
        <v>668</v>
      </c>
      <c r="G7798" t="s">
        <v>59</v>
      </c>
      <c r="H7798">
        <v>2024</v>
      </c>
    </row>
    <row r="7799" spans="1:8" x14ac:dyDescent="0.2">
      <c r="A7799">
        <v>289177</v>
      </c>
      <c r="B7799">
        <v>6000</v>
      </c>
      <c r="C7799" t="str">
        <f t="shared" si="121"/>
        <v>1. Under $10K</v>
      </c>
      <c r="D7799" t="s">
        <v>2420</v>
      </c>
      <c r="E7799" t="s">
        <v>112</v>
      </c>
      <c r="F7799" t="s">
        <v>668</v>
      </c>
      <c r="G7799" t="s">
        <v>59</v>
      </c>
      <c r="H7799">
        <v>2024</v>
      </c>
    </row>
    <row r="7800" spans="1:8" x14ac:dyDescent="0.2">
      <c r="A7800">
        <v>289228</v>
      </c>
      <c r="B7800">
        <v>5000</v>
      </c>
      <c r="C7800" t="str">
        <f t="shared" si="121"/>
        <v>1. Under $10K</v>
      </c>
      <c r="D7800" t="s">
        <v>2421</v>
      </c>
      <c r="E7800" t="s">
        <v>112</v>
      </c>
      <c r="F7800" t="s">
        <v>668</v>
      </c>
      <c r="G7800" t="s">
        <v>59</v>
      </c>
      <c r="H7800">
        <v>2024</v>
      </c>
    </row>
    <row r="7801" spans="1:8" x14ac:dyDescent="0.2">
      <c r="A7801">
        <v>289229</v>
      </c>
      <c r="B7801">
        <v>3250</v>
      </c>
      <c r="C7801" t="str">
        <f t="shared" si="121"/>
        <v>1. Under $10K</v>
      </c>
      <c r="D7801" t="s">
        <v>2422</v>
      </c>
      <c r="E7801" t="s">
        <v>112</v>
      </c>
      <c r="F7801" t="s">
        <v>668</v>
      </c>
      <c r="G7801" t="s">
        <v>59</v>
      </c>
      <c r="H7801">
        <v>2024</v>
      </c>
    </row>
    <row r="7802" spans="1:8" x14ac:dyDescent="0.2">
      <c r="A7802">
        <v>289230</v>
      </c>
      <c r="B7802">
        <v>1750</v>
      </c>
      <c r="C7802" t="str">
        <f t="shared" si="121"/>
        <v>1. Under $10K</v>
      </c>
      <c r="D7802" t="s">
        <v>2423</v>
      </c>
      <c r="E7802" t="s">
        <v>112</v>
      </c>
      <c r="F7802" t="s">
        <v>668</v>
      </c>
      <c r="G7802" t="s">
        <v>59</v>
      </c>
      <c r="H7802">
        <v>2024</v>
      </c>
    </row>
    <row r="7803" spans="1:8" x14ac:dyDescent="0.2">
      <c r="A7803">
        <v>289231</v>
      </c>
      <c r="B7803">
        <v>6000</v>
      </c>
      <c r="C7803" t="str">
        <f t="shared" si="121"/>
        <v>1. Under $10K</v>
      </c>
      <c r="D7803" t="s">
        <v>2424</v>
      </c>
      <c r="E7803" t="s">
        <v>112</v>
      </c>
      <c r="F7803" t="s">
        <v>668</v>
      </c>
      <c r="G7803" t="s">
        <v>59</v>
      </c>
      <c r="H7803">
        <v>2024</v>
      </c>
    </row>
    <row r="7804" spans="1:8" x14ac:dyDescent="0.2">
      <c r="A7804">
        <v>289232</v>
      </c>
      <c r="B7804">
        <v>6000</v>
      </c>
      <c r="C7804" t="str">
        <f t="shared" si="121"/>
        <v>1. Under $10K</v>
      </c>
      <c r="D7804" t="s">
        <v>2425</v>
      </c>
      <c r="E7804" t="s">
        <v>112</v>
      </c>
      <c r="F7804" t="s">
        <v>668</v>
      </c>
      <c r="G7804" t="s">
        <v>59</v>
      </c>
      <c r="H7804">
        <v>2024</v>
      </c>
    </row>
    <row r="7805" spans="1:8" x14ac:dyDescent="0.2">
      <c r="A7805">
        <v>289233</v>
      </c>
      <c r="B7805">
        <v>5750</v>
      </c>
      <c r="C7805" t="str">
        <f t="shared" si="121"/>
        <v>1. Under $10K</v>
      </c>
      <c r="D7805" t="s">
        <v>2426</v>
      </c>
      <c r="E7805" t="s">
        <v>112</v>
      </c>
      <c r="F7805" t="s">
        <v>668</v>
      </c>
      <c r="G7805" t="s">
        <v>59</v>
      </c>
      <c r="H7805">
        <v>2024</v>
      </c>
    </row>
    <row r="7806" spans="1:8" x14ac:dyDescent="0.2">
      <c r="A7806">
        <v>289234</v>
      </c>
      <c r="B7806">
        <v>10000</v>
      </c>
      <c r="C7806" t="str">
        <f t="shared" si="121"/>
        <v>1. Under $10K</v>
      </c>
      <c r="D7806" t="s">
        <v>865</v>
      </c>
      <c r="E7806" t="s">
        <v>112</v>
      </c>
      <c r="F7806" t="s">
        <v>668</v>
      </c>
      <c r="G7806" t="s">
        <v>59</v>
      </c>
      <c r="H7806">
        <v>2024</v>
      </c>
    </row>
    <row r="7807" spans="1:8" x14ac:dyDescent="0.2">
      <c r="A7807">
        <v>289235</v>
      </c>
      <c r="B7807">
        <v>6000</v>
      </c>
      <c r="C7807" t="str">
        <f t="shared" si="121"/>
        <v>2. $10K-50K</v>
      </c>
      <c r="D7807" t="s">
        <v>2427</v>
      </c>
      <c r="E7807" t="s">
        <v>112</v>
      </c>
      <c r="F7807" t="s">
        <v>668</v>
      </c>
      <c r="G7807" t="s">
        <v>59</v>
      </c>
      <c r="H7807">
        <v>2024</v>
      </c>
    </row>
    <row r="7808" spans="1:8" x14ac:dyDescent="0.2">
      <c r="A7808">
        <v>289236</v>
      </c>
      <c r="B7808">
        <v>6000</v>
      </c>
      <c r="C7808" t="str">
        <f t="shared" si="121"/>
        <v>1. Under $10K</v>
      </c>
      <c r="D7808" t="s">
        <v>2428</v>
      </c>
      <c r="E7808" t="s">
        <v>112</v>
      </c>
      <c r="F7808" t="s">
        <v>668</v>
      </c>
      <c r="G7808" t="s">
        <v>59</v>
      </c>
      <c r="H7808">
        <v>2024</v>
      </c>
    </row>
    <row r="7809" spans="1:8" x14ac:dyDescent="0.2">
      <c r="A7809">
        <v>289237</v>
      </c>
      <c r="B7809">
        <v>6000</v>
      </c>
      <c r="C7809" t="str">
        <f t="shared" si="121"/>
        <v>1. Under $10K</v>
      </c>
      <c r="D7809" t="s">
        <v>2429</v>
      </c>
      <c r="E7809" t="s">
        <v>112</v>
      </c>
      <c r="F7809" t="s">
        <v>668</v>
      </c>
      <c r="G7809" t="s">
        <v>59</v>
      </c>
      <c r="H7809">
        <v>2024</v>
      </c>
    </row>
    <row r="7810" spans="1:8" x14ac:dyDescent="0.2">
      <c r="A7810">
        <v>289240</v>
      </c>
      <c r="B7810">
        <v>6000</v>
      </c>
      <c r="C7810" t="str">
        <f t="shared" si="121"/>
        <v>1. Under $10K</v>
      </c>
      <c r="D7810" t="s">
        <v>2430</v>
      </c>
      <c r="E7810" t="s">
        <v>112</v>
      </c>
      <c r="F7810" t="s">
        <v>668</v>
      </c>
      <c r="G7810" t="s">
        <v>59</v>
      </c>
      <c r="H7810">
        <v>2024</v>
      </c>
    </row>
    <row r="7811" spans="1:8" x14ac:dyDescent="0.2">
      <c r="A7811">
        <v>289268</v>
      </c>
      <c r="B7811">
        <v>27783</v>
      </c>
      <c r="C7811" t="str">
        <f t="shared" ref="C7811:C7874" si="122">IF(B7810&lt;10000,"1. Under $10K",IF(B7810&lt;50000,"2. $10K-50K",IF(B7810&lt;250000,"3. $50K-250K",IF(B7810&lt;1000000,"4. $250K-1M","5. $1M+"))))</f>
        <v>1. Under $10K</v>
      </c>
      <c r="D7811" t="s">
        <v>674</v>
      </c>
      <c r="E7811" t="s">
        <v>42</v>
      </c>
      <c r="F7811" t="s">
        <v>670</v>
      </c>
      <c r="G7811" t="s">
        <v>59</v>
      </c>
      <c r="H7811">
        <v>2024</v>
      </c>
    </row>
    <row r="7812" spans="1:8" x14ac:dyDescent="0.2">
      <c r="A7812">
        <v>289272</v>
      </c>
      <c r="B7812">
        <v>27783</v>
      </c>
      <c r="C7812" t="str">
        <f t="shared" si="122"/>
        <v>2. $10K-50K</v>
      </c>
      <c r="D7812" t="s">
        <v>671</v>
      </c>
      <c r="E7812" t="s">
        <v>42</v>
      </c>
      <c r="F7812" t="s">
        <v>670</v>
      </c>
      <c r="G7812" t="s">
        <v>59</v>
      </c>
      <c r="H7812">
        <v>2024</v>
      </c>
    </row>
    <row r="7813" spans="1:8" x14ac:dyDescent="0.2">
      <c r="A7813">
        <v>289313</v>
      </c>
      <c r="B7813">
        <v>5000</v>
      </c>
      <c r="C7813" t="str">
        <f t="shared" si="122"/>
        <v>2. $10K-50K</v>
      </c>
      <c r="D7813" t="s">
        <v>2431</v>
      </c>
      <c r="E7813" t="s">
        <v>112</v>
      </c>
      <c r="F7813" t="s">
        <v>668</v>
      </c>
      <c r="G7813" t="s">
        <v>59</v>
      </c>
      <c r="H7813">
        <v>2024</v>
      </c>
    </row>
    <row r="7814" spans="1:8" x14ac:dyDescent="0.2">
      <c r="A7814">
        <v>289318</v>
      </c>
      <c r="B7814">
        <v>6000</v>
      </c>
      <c r="C7814" t="str">
        <f t="shared" si="122"/>
        <v>1. Under $10K</v>
      </c>
      <c r="D7814" t="s">
        <v>2432</v>
      </c>
      <c r="E7814" t="s">
        <v>112</v>
      </c>
      <c r="F7814" t="s">
        <v>668</v>
      </c>
      <c r="G7814" t="s">
        <v>59</v>
      </c>
      <c r="H7814">
        <v>2024</v>
      </c>
    </row>
    <row r="7815" spans="1:8" x14ac:dyDescent="0.2">
      <c r="A7815">
        <v>289328</v>
      </c>
      <c r="B7815">
        <v>4250</v>
      </c>
      <c r="C7815" t="str">
        <f t="shared" si="122"/>
        <v>1. Under $10K</v>
      </c>
      <c r="D7815" t="s">
        <v>2433</v>
      </c>
      <c r="E7815" t="s">
        <v>112</v>
      </c>
      <c r="F7815" t="s">
        <v>668</v>
      </c>
      <c r="G7815" t="s">
        <v>59</v>
      </c>
      <c r="H7815">
        <v>2024</v>
      </c>
    </row>
    <row r="7816" spans="1:8" x14ac:dyDescent="0.2">
      <c r="A7816">
        <v>289330</v>
      </c>
      <c r="B7816">
        <v>6000</v>
      </c>
      <c r="C7816" t="str">
        <f t="shared" si="122"/>
        <v>1. Under $10K</v>
      </c>
      <c r="D7816" t="s">
        <v>2434</v>
      </c>
      <c r="E7816" t="s">
        <v>112</v>
      </c>
      <c r="F7816" t="s">
        <v>668</v>
      </c>
      <c r="G7816" t="s">
        <v>59</v>
      </c>
      <c r="H7816">
        <v>2024</v>
      </c>
    </row>
    <row r="7817" spans="1:8" x14ac:dyDescent="0.2">
      <c r="A7817">
        <v>289334</v>
      </c>
      <c r="B7817">
        <v>6000</v>
      </c>
      <c r="C7817" t="str">
        <f t="shared" si="122"/>
        <v>1. Under $10K</v>
      </c>
      <c r="D7817" t="s">
        <v>2435</v>
      </c>
      <c r="E7817" t="s">
        <v>112</v>
      </c>
      <c r="F7817" t="s">
        <v>668</v>
      </c>
      <c r="G7817" t="s">
        <v>59</v>
      </c>
      <c r="H7817">
        <v>2024</v>
      </c>
    </row>
    <row r="7818" spans="1:8" x14ac:dyDescent="0.2">
      <c r="A7818">
        <v>289342</v>
      </c>
      <c r="B7818">
        <v>6000</v>
      </c>
      <c r="C7818" t="str">
        <f t="shared" si="122"/>
        <v>1. Under $10K</v>
      </c>
      <c r="D7818" t="s">
        <v>2436</v>
      </c>
      <c r="E7818" t="s">
        <v>112</v>
      </c>
      <c r="F7818" t="s">
        <v>668</v>
      </c>
      <c r="G7818" t="s">
        <v>59</v>
      </c>
      <c r="H7818">
        <v>2024</v>
      </c>
    </row>
    <row r="7819" spans="1:8" x14ac:dyDescent="0.2">
      <c r="A7819">
        <v>289344</v>
      </c>
      <c r="B7819">
        <v>6000</v>
      </c>
      <c r="C7819" t="str">
        <f t="shared" si="122"/>
        <v>1. Under $10K</v>
      </c>
      <c r="D7819" t="s">
        <v>2437</v>
      </c>
      <c r="E7819" t="s">
        <v>112</v>
      </c>
      <c r="F7819" t="s">
        <v>668</v>
      </c>
      <c r="G7819" t="s">
        <v>59</v>
      </c>
      <c r="H7819">
        <v>2024</v>
      </c>
    </row>
    <row r="7820" spans="1:8" x14ac:dyDescent="0.2">
      <c r="A7820">
        <v>289348</v>
      </c>
      <c r="B7820">
        <v>6000</v>
      </c>
      <c r="C7820" t="str">
        <f t="shared" si="122"/>
        <v>1. Under $10K</v>
      </c>
      <c r="D7820" t="s">
        <v>2438</v>
      </c>
      <c r="E7820" t="s">
        <v>112</v>
      </c>
      <c r="F7820" t="s">
        <v>668</v>
      </c>
      <c r="G7820" t="s">
        <v>59</v>
      </c>
      <c r="H7820">
        <v>2024</v>
      </c>
    </row>
    <row r="7821" spans="1:8" x14ac:dyDescent="0.2">
      <c r="A7821">
        <v>289349</v>
      </c>
      <c r="B7821">
        <v>6000</v>
      </c>
      <c r="C7821" t="str">
        <f t="shared" si="122"/>
        <v>1. Under $10K</v>
      </c>
      <c r="D7821" t="s">
        <v>2439</v>
      </c>
      <c r="E7821" t="s">
        <v>112</v>
      </c>
      <c r="F7821" t="s">
        <v>668</v>
      </c>
      <c r="G7821" t="s">
        <v>59</v>
      </c>
      <c r="H7821">
        <v>2024</v>
      </c>
    </row>
    <row r="7822" spans="1:8" x14ac:dyDescent="0.2">
      <c r="A7822">
        <v>289409</v>
      </c>
      <c r="B7822">
        <v>4750</v>
      </c>
      <c r="C7822" t="str">
        <f t="shared" si="122"/>
        <v>1. Under $10K</v>
      </c>
      <c r="D7822" t="s">
        <v>2440</v>
      </c>
      <c r="E7822" t="s">
        <v>112</v>
      </c>
      <c r="F7822" t="s">
        <v>668</v>
      </c>
      <c r="G7822" t="s">
        <v>59</v>
      </c>
      <c r="H7822">
        <v>2024</v>
      </c>
    </row>
    <row r="7823" spans="1:8" x14ac:dyDescent="0.2">
      <c r="A7823">
        <v>289410</v>
      </c>
      <c r="B7823">
        <v>6000</v>
      </c>
      <c r="C7823" t="str">
        <f t="shared" si="122"/>
        <v>1. Under $10K</v>
      </c>
      <c r="D7823" t="s">
        <v>2441</v>
      </c>
      <c r="E7823" t="s">
        <v>112</v>
      </c>
      <c r="F7823" t="s">
        <v>668</v>
      </c>
      <c r="G7823" t="s">
        <v>59</v>
      </c>
      <c r="H7823">
        <v>2024</v>
      </c>
    </row>
    <row r="7824" spans="1:8" x14ac:dyDescent="0.2">
      <c r="A7824">
        <v>289415</v>
      </c>
      <c r="B7824">
        <v>216571.1</v>
      </c>
      <c r="C7824" t="str">
        <f t="shared" si="122"/>
        <v>1. Under $10K</v>
      </c>
      <c r="D7824" t="s">
        <v>230</v>
      </c>
      <c r="E7824" t="s">
        <v>67</v>
      </c>
      <c r="F7824" t="s">
        <v>231</v>
      </c>
      <c r="G7824" t="s">
        <v>232</v>
      </c>
      <c r="H7824">
        <v>2024</v>
      </c>
    </row>
    <row r="7825" spans="1:8" x14ac:dyDescent="0.2">
      <c r="A7825">
        <v>289416</v>
      </c>
      <c r="B7825">
        <v>207075</v>
      </c>
      <c r="C7825" t="str">
        <f t="shared" si="122"/>
        <v>3. $50K-250K</v>
      </c>
      <c r="D7825" t="s">
        <v>2442</v>
      </c>
      <c r="E7825" t="s">
        <v>99</v>
      </c>
      <c r="F7825" t="s">
        <v>668</v>
      </c>
      <c r="G7825" t="s">
        <v>59</v>
      </c>
      <c r="H7825">
        <v>2024</v>
      </c>
    </row>
    <row r="7826" spans="1:8" x14ac:dyDescent="0.2">
      <c r="A7826">
        <v>289417</v>
      </c>
      <c r="B7826">
        <v>2600000</v>
      </c>
      <c r="C7826" t="str">
        <f t="shared" si="122"/>
        <v>3. $50K-250K</v>
      </c>
      <c r="D7826" t="s">
        <v>1372</v>
      </c>
      <c r="E7826" t="s">
        <v>99</v>
      </c>
      <c r="F7826" t="s">
        <v>668</v>
      </c>
      <c r="G7826" t="s">
        <v>59</v>
      </c>
      <c r="H7826">
        <v>2024</v>
      </c>
    </row>
    <row r="7827" spans="1:8" x14ac:dyDescent="0.2">
      <c r="A7827">
        <v>289423</v>
      </c>
      <c r="B7827">
        <v>730000</v>
      </c>
      <c r="C7827" t="str">
        <f t="shared" si="122"/>
        <v>5. $1M+</v>
      </c>
      <c r="D7827" t="s">
        <v>230</v>
      </c>
      <c r="E7827" t="s">
        <v>67</v>
      </c>
      <c r="F7827" t="s">
        <v>231</v>
      </c>
      <c r="G7827" t="s">
        <v>232</v>
      </c>
      <c r="H7827">
        <v>2024</v>
      </c>
    </row>
    <row r="7828" spans="1:8" x14ac:dyDescent="0.2">
      <c r="A7828">
        <v>289425</v>
      </c>
      <c r="B7828">
        <v>540000</v>
      </c>
      <c r="C7828" t="str">
        <f t="shared" si="122"/>
        <v>4. $250K-1M</v>
      </c>
      <c r="D7828" t="s">
        <v>2443</v>
      </c>
      <c r="E7828" t="s">
        <v>99</v>
      </c>
      <c r="F7828" t="s">
        <v>668</v>
      </c>
      <c r="G7828" t="s">
        <v>59</v>
      </c>
      <c r="H7828">
        <v>2024</v>
      </c>
    </row>
    <row r="7829" spans="1:8" x14ac:dyDescent="0.2">
      <c r="A7829">
        <v>28953</v>
      </c>
      <c r="B7829">
        <v>1200000</v>
      </c>
      <c r="C7829" t="str">
        <f t="shared" si="122"/>
        <v>4. $250K-1M</v>
      </c>
      <c r="D7829" t="s">
        <v>16</v>
      </c>
      <c r="E7829" t="s">
        <v>8</v>
      </c>
      <c r="F7829" t="s">
        <v>14</v>
      </c>
      <c r="G7829" t="s">
        <v>44</v>
      </c>
      <c r="H7829">
        <v>2023</v>
      </c>
    </row>
    <row r="7830" spans="1:8" x14ac:dyDescent="0.2">
      <c r="A7830">
        <v>289537</v>
      </c>
      <c r="B7830">
        <v>3000000</v>
      </c>
      <c r="C7830" t="str">
        <f t="shared" si="122"/>
        <v>5. $1M+</v>
      </c>
      <c r="D7830" t="s">
        <v>2444</v>
      </c>
      <c r="E7830" t="s">
        <v>99</v>
      </c>
      <c r="F7830" t="s">
        <v>668</v>
      </c>
      <c r="G7830" t="s">
        <v>59</v>
      </c>
      <c r="H7830">
        <v>2024</v>
      </c>
    </row>
    <row r="7831" spans="1:8" x14ac:dyDescent="0.2">
      <c r="A7831">
        <v>289586</v>
      </c>
      <c r="B7831">
        <v>27783</v>
      </c>
      <c r="C7831" t="str">
        <f t="shared" si="122"/>
        <v>5. $1M+</v>
      </c>
      <c r="D7831" t="s">
        <v>679</v>
      </c>
      <c r="E7831" t="s">
        <v>42</v>
      </c>
      <c r="F7831" t="s">
        <v>670</v>
      </c>
      <c r="G7831" t="s">
        <v>59</v>
      </c>
      <c r="H7831">
        <v>2024</v>
      </c>
    </row>
    <row r="7832" spans="1:8" x14ac:dyDescent="0.2">
      <c r="A7832">
        <v>289652</v>
      </c>
      <c r="B7832">
        <v>1053000</v>
      </c>
      <c r="C7832" t="str">
        <f t="shared" si="122"/>
        <v>2. $10K-50K</v>
      </c>
      <c r="D7832" t="s">
        <v>297</v>
      </c>
      <c r="E7832" t="s">
        <v>141</v>
      </c>
      <c r="F7832" t="s">
        <v>12</v>
      </c>
      <c r="G7832" t="s">
        <v>10</v>
      </c>
      <c r="H7832">
        <v>2025</v>
      </c>
    </row>
    <row r="7833" spans="1:8" x14ac:dyDescent="0.2">
      <c r="A7833">
        <v>289701</v>
      </c>
      <c r="B7833">
        <v>4200000</v>
      </c>
      <c r="C7833" t="str">
        <f t="shared" si="122"/>
        <v>5. $1M+</v>
      </c>
      <c r="D7833" t="s">
        <v>2445</v>
      </c>
      <c r="E7833" t="s">
        <v>99</v>
      </c>
      <c r="F7833" t="s">
        <v>668</v>
      </c>
      <c r="G7833" t="s">
        <v>59</v>
      </c>
      <c r="H7833">
        <v>2024</v>
      </c>
    </row>
    <row r="7834" spans="1:8" x14ac:dyDescent="0.2">
      <c r="A7834">
        <v>289702</v>
      </c>
      <c r="B7834">
        <v>152589.70000000001</v>
      </c>
      <c r="C7834" t="str">
        <f t="shared" si="122"/>
        <v>5. $1M+</v>
      </c>
      <c r="D7834" t="s">
        <v>2446</v>
      </c>
      <c r="E7834" t="s">
        <v>99</v>
      </c>
      <c r="F7834" t="s">
        <v>668</v>
      </c>
      <c r="G7834" t="s">
        <v>59</v>
      </c>
      <c r="H7834">
        <v>2024</v>
      </c>
    </row>
    <row r="7835" spans="1:8" x14ac:dyDescent="0.2">
      <c r="A7835">
        <v>289703</v>
      </c>
      <c r="B7835">
        <v>176550</v>
      </c>
      <c r="C7835" t="str">
        <f t="shared" si="122"/>
        <v>3. $50K-250K</v>
      </c>
      <c r="D7835" t="s">
        <v>2447</v>
      </c>
      <c r="E7835" t="s">
        <v>99</v>
      </c>
      <c r="F7835" t="s">
        <v>668</v>
      </c>
      <c r="G7835" t="s">
        <v>59</v>
      </c>
      <c r="H7835">
        <v>2024</v>
      </c>
    </row>
    <row r="7836" spans="1:8" x14ac:dyDescent="0.2">
      <c r="A7836">
        <v>289704</v>
      </c>
      <c r="B7836">
        <v>131660</v>
      </c>
      <c r="C7836" t="str">
        <f t="shared" si="122"/>
        <v>3. $50K-250K</v>
      </c>
      <c r="D7836" t="s">
        <v>744</v>
      </c>
      <c r="E7836" t="s">
        <v>237</v>
      </c>
      <c r="F7836" t="s">
        <v>670</v>
      </c>
      <c r="G7836" t="s">
        <v>59</v>
      </c>
      <c r="H7836">
        <v>2024</v>
      </c>
    </row>
    <row r="7837" spans="1:8" x14ac:dyDescent="0.2">
      <c r="A7837">
        <v>289705</v>
      </c>
      <c r="B7837">
        <v>21699.3</v>
      </c>
      <c r="C7837" t="str">
        <f t="shared" si="122"/>
        <v>3. $50K-250K</v>
      </c>
      <c r="D7837" t="s">
        <v>696</v>
      </c>
      <c r="E7837" t="s">
        <v>237</v>
      </c>
      <c r="F7837" t="s">
        <v>670</v>
      </c>
      <c r="G7837" t="s">
        <v>59</v>
      </c>
      <c r="H7837">
        <v>2024</v>
      </c>
    </row>
    <row r="7838" spans="1:8" x14ac:dyDescent="0.2">
      <c r="A7838">
        <v>289706</v>
      </c>
      <c r="B7838">
        <v>5000000</v>
      </c>
      <c r="C7838" t="str">
        <f t="shared" si="122"/>
        <v>2. $10K-50K</v>
      </c>
      <c r="D7838" t="s">
        <v>1035</v>
      </c>
      <c r="E7838" t="s">
        <v>99</v>
      </c>
      <c r="F7838" t="s">
        <v>668</v>
      </c>
      <c r="G7838" t="s">
        <v>59</v>
      </c>
      <c r="H7838">
        <v>2024</v>
      </c>
    </row>
    <row r="7839" spans="1:8" x14ac:dyDescent="0.2">
      <c r="A7839">
        <v>289707</v>
      </c>
      <c r="B7839">
        <v>2980209</v>
      </c>
      <c r="C7839" t="str">
        <f t="shared" si="122"/>
        <v>5. $1M+</v>
      </c>
      <c r="D7839" t="s">
        <v>863</v>
      </c>
      <c r="E7839" t="s">
        <v>237</v>
      </c>
      <c r="F7839" t="s">
        <v>670</v>
      </c>
      <c r="G7839" t="s">
        <v>59</v>
      </c>
      <c r="H7839">
        <v>2024</v>
      </c>
    </row>
    <row r="7840" spans="1:8" x14ac:dyDescent="0.2">
      <c r="A7840">
        <v>289710</v>
      </c>
      <c r="B7840">
        <v>24180.6</v>
      </c>
      <c r="C7840" t="str">
        <f t="shared" si="122"/>
        <v>5. $1M+</v>
      </c>
      <c r="D7840" t="s">
        <v>726</v>
      </c>
      <c r="E7840" t="s">
        <v>237</v>
      </c>
      <c r="F7840" t="s">
        <v>670</v>
      </c>
      <c r="G7840" t="s">
        <v>59</v>
      </c>
      <c r="H7840">
        <v>2024</v>
      </c>
    </row>
    <row r="7841" spans="1:8" x14ac:dyDescent="0.2">
      <c r="A7841">
        <v>289783</v>
      </c>
      <c r="B7841">
        <v>9017825.0999999996</v>
      </c>
      <c r="C7841" t="str">
        <f t="shared" si="122"/>
        <v>2. $10K-50K</v>
      </c>
      <c r="D7841" t="s">
        <v>482</v>
      </c>
      <c r="E7841" t="s">
        <v>141</v>
      </c>
      <c r="F7841" t="s">
        <v>43</v>
      </c>
      <c r="G7841" t="s">
        <v>124</v>
      </c>
      <c r="H7841">
        <v>2024</v>
      </c>
    </row>
    <row r="7842" spans="1:8" x14ac:dyDescent="0.2">
      <c r="A7842">
        <v>289787</v>
      </c>
      <c r="B7842">
        <v>126111</v>
      </c>
      <c r="C7842" t="str">
        <f t="shared" si="122"/>
        <v>5. $1M+</v>
      </c>
      <c r="D7842" t="s">
        <v>772</v>
      </c>
      <c r="E7842" t="s">
        <v>42</v>
      </c>
      <c r="F7842" t="s">
        <v>670</v>
      </c>
      <c r="G7842" t="s">
        <v>44</v>
      </c>
      <c r="H7842">
        <v>2024</v>
      </c>
    </row>
    <row r="7843" spans="1:8" x14ac:dyDescent="0.2">
      <c r="A7843">
        <v>289791</v>
      </c>
      <c r="B7843">
        <v>9321680</v>
      </c>
      <c r="C7843" t="str">
        <f t="shared" si="122"/>
        <v>3. $50K-250K</v>
      </c>
      <c r="D7843" t="s">
        <v>297</v>
      </c>
      <c r="E7843" t="s">
        <v>8</v>
      </c>
      <c r="F7843" t="s">
        <v>22</v>
      </c>
      <c r="G7843" t="s">
        <v>10</v>
      </c>
      <c r="H7843">
        <v>2025</v>
      </c>
    </row>
    <row r="7844" spans="1:8" x14ac:dyDescent="0.2">
      <c r="A7844">
        <v>289831</v>
      </c>
      <c r="B7844">
        <v>8422306</v>
      </c>
      <c r="C7844" t="str">
        <f t="shared" si="122"/>
        <v>5. $1M+</v>
      </c>
      <c r="D7844" t="s">
        <v>279</v>
      </c>
      <c r="E7844" t="s">
        <v>8</v>
      </c>
      <c r="F7844" t="s">
        <v>22</v>
      </c>
      <c r="G7844" t="s">
        <v>10</v>
      </c>
      <c r="H7844">
        <v>2025</v>
      </c>
    </row>
    <row r="7845" spans="1:8" x14ac:dyDescent="0.2">
      <c r="A7845">
        <v>290038</v>
      </c>
      <c r="B7845">
        <v>455.6</v>
      </c>
      <c r="C7845" t="str">
        <f t="shared" si="122"/>
        <v>5. $1M+</v>
      </c>
      <c r="D7845" t="s">
        <v>483</v>
      </c>
      <c r="E7845" t="s">
        <v>141</v>
      </c>
      <c r="F7845" t="s">
        <v>457</v>
      </c>
      <c r="G7845" t="s">
        <v>59</v>
      </c>
      <c r="H7845">
        <v>2024</v>
      </c>
    </row>
    <row r="7846" spans="1:8" x14ac:dyDescent="0.2">
      <c r="A7846">
        <v>290045</v>
      </c>
      <c r="B7846">
        <v>351</v>
      </c>
      <c r="C7846" t="str">
        <f t="shared" si="122"/>
        <v>1. Under $10K</v>
      </c>
      <c r="D7846" t="s">
        <v>95</v>
      </c>
      <c r="E7846" t="s">
        <v>54</v>
      </c>
      <c r="F7846" t="s">
        <v>423</v>
      </c>
      <c r="G7846" t="s">
        <v>59</v>
      </c>
      <c r="H7846">
        <v>2024</v>
      </c>
    </row>
    <row r="7847" spans="1:8" x14ac:dyDescent="0.2">
      <c r="A7847">
        <v>290054</v>
      </c>
      <c r="B7847">
        <v>49820</v>
      </c>
      <c r="C7847" t="str">
        <f t="shared" si="122"/>
        <v>1. Under $10K</v>
      </c>
      <c r="D7847" t="s">
        <v>310</v>
      </c>
      <c r="E7847" t="s">
        <v>54</v>
      </c>
      <c r="F7847" t="s">
        <v>457</v>
      </c>
      <c r="G7847" t="s">
        <v>59</v>
      </c>
      <c r="H7847">
        <v>2024</v>
      </c>
    </row>
    <row r="7848" spans="1:8" x14ac:dyDescent="0.2">
      <c r="A7848">
        <v>290181</v>
      </c>
      <c r="B7848">
        <v>1822365.4</v>
      </c>
      <c r="C7848" t="str">
        <f t="shared" si="122"/>
        <v>2. $10K-50K</v>
      </c>
      <c r="D7848" t="s">
        <v>1052</v>
      </c>
      <c r="E7848" t="s">
        <v>237</v>
      </c>
      <c r="F7848" t="s">
        <v>670</v>
      </c>
      <c r="G7848" t="s">
        <v>59</v>
      </c>
      <c r="H7848">
        <v>2024</v>
      </c>
    </row>
    <row r="7849" spans="1:8" x14ac:dyDescent="0.2">
      <c r="A7849">
        <v>290260</v>
      </c>
      <c r="B7849">
        <v>1045646.9</v>
      </c>
      <c r="C7849" t="str">
        <f t="shared" si="122"/>
        <v>5. $1M+</v>
      </c>
      <c r="D7849" t="s">
        <v>863</v>
      </c>
      <c r="E7849" t="s">
        <v>237</v>
      </c>
      <c r="F7849" t="s">
        <v>670</v>
      </c>
      <c r="G7849" t="s">
        <v>59</v>
      </c>
      <c r="H7849">
        <v>2024</v>
      </c>
    </row>
    <row r="7850" spans="1:8" x14ac:dyDescent="0.2">
      <c r="A7850">
        <v>290263</v>
      </c>
      <c r="B7850">
        <v>150271</v>
      </c>
      <c r="C7850" t="str">
        <f t="shared" si="122"/>
        <v>5. $1M+</v>
      </c>
      <c r="D7850" t="s">
        <v>1041</v>
      </c>
      <c r="E7850" t="s">
        <v>237</v>
      </c>
      <c r="F7850" t="s">
        <v>670</v>
      </c>
      <c r="G7850" t="s">
        <v>59</v>
      </c>
      <c r="H7850">
        <v>2024</v>
      </c>
    </row>
    <row r="7851" spans="1:8" x14ac:dyDescent="0.2">
      <c r="A7851">
        <v>290264</v>
      </c>
      <c r="B7851">
        <v>132675</v>
      </c>
      <c r="C7851" t="str">
        <f t="shared" si="122"/>
        <v>3. $50K-250K</v>
      </c>
      <c r="D7851" t="s">
        <v>1040</v>
      </c>
      <c r="E7851" t="s">
        <v>237</v>
      </c>
      <c r="F7851" t="s">
        <v>670</v>
      </c>
      <c r="G7851" t="s">
        <v>59</v>
      </c>
      <c r="H7851">
        <v>2024</v>
      </c>
    </row>
    <row r="7852" spans="1:8" x14ac:dyDescent="0.2">
      <c r="A7852">
        <v>290265</v>
      </c>
      <c r="B7852">
        <v>1160310</v>
      </c>
      <c r="C7852" t="str">
        <f t="shared" si="122"/>
        <v>3. $50K-250K</v>
      </c>
      <c r="D7852" t="s">
        <v>863</v>
      </c>
      <c r="E7852" t="s">
        <v>237</v>
      </c>
      <c r="F7852" t="s">
        <v>670</v>
      </c>
      <c r="G7852" t="s">
        <v>59</v>
      </c>
      <c r="H7852">
        <v>2024</v>
      </c>
    </row>
    <row r="7853" spans="1:8" x14ac:dyDescent="0.2">
      <c r="A7853">
        <v>290266</v>
      </c>
      <c r="B7853">
        <v>121765.2</v>
      </c>
      <c r="C7853" t="str">
        <f t="shared" si="122"/>
        <v>5. $1M+</v>
      </c>
      <c r="D7853" t="s">
        <v>682</v>
      </c>
      <c r="E7853" t="s">
        <v>237</v>
      </c>
      <c r="F7853" t="s">
        <v>670</v>
      </c>
      <c r="G7853" t="s">
        <v>59</v>
      </c>
      <c r="H7853">
        <v>2024</v>
      </c>
    </row>
    <row r="7854" spans="1:8" x14ac:dyDescent="0.2">
      <c r="A7854">
        <v>290267</v>
      </c>
      <c r="B7854">
        <v>950995.4</v>
      </c>
      <c r="C7854" t="str">
        <f t="shared" si="122"/>
        <v>3. $50K-250K</v>
      </c>
      <c r="D7854" t="s">
        <v>863</v>
      </c>
      <c r="E7854" t="s">
        <v>237</v>
      </c>
      <c r="F7854" t="s">
        <v>670</v>
      </c>
      <c r="G7854" t="s">
        <v>59</v>
      </c>
      <c r="H7854">
        <v>2024</v>
      </c>
    </row>
    <row r="7855" spans="1:8" x14ac:dyDescent="0.2">
      <c r="A7855">
        <v>290348</v>
      </c>
      <c r="B7855">
        <v>250000</v>
      </c>
      <c r="C7855" t="str">
        <f t="shared" si="122"/>
        <v>4. $250K-1M</v>
      </c>
      <c r="D7855" t="s">
        <v>2448</v>
      </c>
      <c r="E7855" t="s">
        <v>42</v>
      </c>
      <c r="F7855" t="s">
        <v>670</v>
      </c>
      <c r="G7855" t="s">
        <v>44</v>
      </c>
      <c r="H7855">
        <v>2025</v>
      </c>
    </row>
    <row r="7856" spans="1:8" x14ac:dyDescent="0.2">
      <c r="A7856">
        <v>290349</v>
      </c>
      <c r="B7856">
        <v>250000</v>
      </c>
      <c r="C7856" t="str">
        <f t="shared" si="122"/>
        <v>4. $250K-1M</v>
      </c>
      <c r="D7856" t="s">
        <v>1063</v>
      </c>
      <c r="E7856" t="s">
        <v>42</v>
      </c>
      <c r="F7856" t="s">
        <v>670</v>
      </c>
      <c r="G7856" t="s">
        <v>44</v>
      </c>
      <c r="H7856">
        <v>2025</v>
      </c>
    </row>
    <row r="7857" spans="1:8" x14ac:dyDescent="0.2">
      <c r="A7857">
        <v>290350</v>
      </c>
      <c r="B7857">
        <v>250000</v>
      </c>
      <c r="C7857" t="str">
        <f t="shared" si="122"/>
        <v>4. $250K-1M</v>
      </c>
      <c r="D7857" t="s">
        <v>1084</v>
      </c>
      <c r="E7857" t="s">
        <v>42</v>
      </c>
      <c r="F7857" t="s">
        <v>670</v>
      </c>
      <c r="G7857" t="s">
        <v>44</v>
      </c>
      <c r="H7857">
        <v>2025</v>
      </c>
    </row>
    <row r="7858" spans="1:8" x14ac:dyDescent="0.2">
      <c r="A7858">
        <v>290351</v>
      </c>
      <c r="B7858">
        <v>250000</v>
      </c>
      <c r="C7858" t="str">
        <f t="shared" si="122"/>
        <v>4. $250K-1M</v>
      </c>
      <c r="D7858" t="s">
        <v>907</v>
      </c>
      <c r="E7858" t="s">
        <v>42</v>
      </c>
      <c r="F7858" t="s">
        <v>670</v>
      </c>
      <c r="G7858" t="s">
        <v>44</v>
      </c>
      <c r="H7858">
        <v>2025</v>
      </c>
    </row>
    <row r="7859" spans="1:8" x14ac:dyDescent="0.2">
      <c r="A7859">
        <v>290528</v>
      </c>
      <c r="B7859">
        <v>5081093</v>
      </c>
      <c r="C7859" t="str">
        <f t="shared" si="122"/>
        <v>4. $250K-1M</v>
      </c>
      <c r="D7859" t="s">
        <v>852</v>
      </c>
      <c r="E7859" t="s">
        <v>237</v>
      </c>
      <c r="F7859" t="s">
        <v>670</v>
      </c>
      <c r="G7859" t="s">
        <v>59</v>
      </c>
      <c r="H7859">
        <v>2024</v>
      </c>
    </row>
    <row r="7860" spans="1:8" x14ac:dyDescent="0.2">
      <c r="A7860">
        <v>290719</v>
      </c>
      <c r="B7860">
        <v>120209</v>
      </c>
      <c r="C7860" t="str">
        <f t="shared" si="122"/>
        <v>5. $1M+</v>
      </c>
      <c r="D7860" t="s">
        <v>864</v>
      </c>
      <c r="E7860" t="s">
        <v>42</v>
      </c>
      <c r="F7860" t="s">
        <v>670</v>
      </c>
      <c r="G7860" t="s">
        <v>59</v>
      </c>
      <c r="H7860">
        <v>2024</v>
      </c>
    </row>
    <row r="7861" spans="1:8" x14ac:dyDescent="0.2">
      <c r="A7861">
        <v>290720</v>
      </c>
      <c r="B7861">
        <v>150000</v>
      </c>
      <c r="C7861" t="str">
        <f t="shared" si="122"/>
        <v>3. $50K-250K</v>
      </c>
      <c r="D7861" t="s">
        <v>792</v>
      </c>
      <c r="E7861" t="s">
        <v>42</v>
      </c>
      <c r="F7861" t="s">
        <v>670</v>
      </c>
      <c r="G7861" t="s">
        <v>59</v>
      </c>
      <c r="H7861">
        <v>2024</v>
      </c>
    </row>
    <row r="7862" spans="1:8" x14ac:dyDescent="0.2">
      <c r="A7862">
        <v>290821</v>
      </c>
      <c r="B7862">
        <v>250000</v>
      </c>
      <c r="C7862" t="str">
        <f t="shared" si="122"/>
        <v>3. $50K-250K</v>
      </c>
      <c r="D7862" t="s">
        <v>484</v>
      </c>
      <c r="E7862" t="s">
        <v>8</v>
      </c>
      <c r="F7862" t="s">
        <v>457</v>
      </c>
      <c r="G7862" t="s">
        <v>59</v>
      </c>
      <c r="H7862">
        <v>2024</v>
      </c>
    </row>
    <row r="7863" spans="1:8" x14ac:dyDescent="0.2">
      <c r="A7863">
        <v>290853</v>
      </c>
      <c r="B7863">
        <v>95353.2</v>
      </c>
      <c r="C7863" t="str">
        <f t="shared" si="122"/>
        <v>4. $250K-1M</v>
      </c>
      <c r="D7863" t="s">
        <v>977</v>
      </c>
      <c r="E7863" t="s">
        <v>42</v>
      </c>
      <c r="F7863" t="s">
        <v>670</v>
      </c>
      <c r="G7863" t="s">
        <v>59</v>
      </c>
      <c r="H7863">
        <v>2024</v>
      </c>
    </row>
    <row r="7864" spans="1:8" x14ac:dyDescent="0.2">
      <c r="A7864">
        <v>290858</v>
      </c>
      <c r="B7864">
        <v>294820</v>
      </c>
      <c r="C7864" t="str">
        <f t="shared" si="122"/>
        <v>3. $50K-250K</v>
      </c>
      <c r="D7864" t="s">
        <v>703</v>
      </c>
      <c r="E7864" t="s">
        <v>42</v>
      </c>
      <c r="F7864" t="s">
        <v>670</v>
      </c>
      <c r="G7864" t="s">
        <v>59</v>
      </c>
      <c r="H7864">
        <v>2024</v>
      </c>
    </row>
    <row r="7865" spans="1:8" x14ac:dyDescent="0.2">
      <c r="A7865">
        <v>290919</v>
      </c>
      <c r="B7865">
        <v>432296.8</v>
      </c>
      <c r="C7865" t="str">
        <f t="shared" si="122"/>
        <v>4. $250K-1M</v>
      </c>
      <c r="D7865" t="s">
        <v>1039</v>
      </c>
      <c r="E7865" t="s">
        <v>237</v>
      </c>
      <c r="F7865" t="s">
        <v>670</v>
      </c>
      <c r="G7865" t="s">
        <v>59</v>
      </c>
      <c r="H7865">
        <v>2024</v>
      </c>
    </row>
    <row r="7866" spans="1:8" x14ac:dyDescent="0.2">
      <c r="A7866">
        <v>290920</v>
      </c>
      <c r="B7866">
        <v>146072.1</v>
      </c>
      <c r="C7866" t="str">
        <f t="shared" si="122"/>
        <v>4. $250K-1M</v>
      </c>
      <c r="D7866" t="s">
        <v>784</v>
      </c>
      <c r="E7866" t="s">
        <v>237</v>
      </c>
      <c r="F7866" t="s">
        <v>670</v>
      </c>
      <c r="G7866" t="s">
        <v>59</v>
      </c>
      <c r="H7866">
        <v>2024</v>
      </c>
    </row>
    <row r="7867" spans="1:8" x14ac:dyDescent="0.2">
      <c r="A7867">
        <v>290942</v>
      </c>
      <c r="B7867">
        <v>2000000</v>
      </c>
      <c r="C7867" t="str">
        <f t="shared" si="122"/>
        <v>3. $50K-250K</v>
      </c>
      <c r="D7867" t="s">
        <v>1028</v>
      </c>
      <c r="E7867" t="s">
        <v>42</v>
      </c>
      <c r="F7867" t="s">
        <v>670</v>
      </c>
      <c r="G7867" t="s">
        <v>59</v>
      </c>
      <c r="H7867">
        <v>2024</v>
      </c>
    </row>
    <row r="7868" spans="1:8" x14ac:dyDescent="0.2">
      <c r="A7868">
        <v>290977</v>
      </c>
      <c r="B7868">
        <v>6372.1</v>
      </c>
      <c r="C7868" t="str">
        <f t="shared" si="122"/>
        <v>5. $1M+</v>
      </c>
      <c r="D7868" t="s">
        <v>684</v>
      </c>
      <c r="E7868" t="s">
        <v>42</v>
      </c>
      <c r="F7868" t="s">
        <v>670</v>
      </c>
      <c r="G7868" t="s">
        <v>59</v>
      </c>
      <c r="H7868">
        <v>2024</v>
      </c>
    </row>
    <row r="7869" spans="1:8" x14ac:dyDescent="0.2">
      <c r="A7869">
        <v>290978</v>
      </c>
      <c r="B7869">
        <v>64212</v>
      </c>
      <c r="C7869" t="str">
        <f t="shared" si="122"/>
        <v>1. Under $10K</v>
      </c>
      <c r="D7869" t="s">
        <v>682</v>
      </c>
      <c r="E7869" t="s">
        <v>42</v>
      </c>
      <c r="F7869" t="s">
        <v>670</v>
      </c>
      <c r="G7869" t="s">
        <v>59</v>
      </c>
      <c r="H7869">
        <v>2024</v>
      </c>
    </row>
    <row r="7870" spans="1:8" x14ac:dyDescent="0.2">
      <c r="A7870">
        <v>290979</v>
      </c>
      <c r="B7870">
        <v>30598.400000000001</v>
      </c>
      <c r="C7870" t="str">
        <f t="shared" si="122"/>
        <v>3. $50K-250K</v>
      </c>
      <c r="D7870" t="s">
        <v>673</v>
      </c>
      <c r="E7870" t="s">
        <v>42</v>
      </c>
      <c r="F7870" t="s">
        <v>670</v>
      </c>
      <c r="G7870" t="s">
        <v>59</v>
      </c>
      <c r="H7870">
        <v>2024</v>
      </c>
    </row>
    <row r="7871" spans="1:8" x14ac:dyDescent="0.2">
      <c r="A7871">
        <v>290980</v>
      </c>
      <c r="B7871">
        <v>90805.8</v>
      </c>
      <c r="C7871" t="str">
        <f t="shared" si="122"/>
        <v>2. $10K-50K</v>
      </c>
      <c r="D7871" t="s">
        <v>772</v>
      </c>
      <c r="E7871" t="s">
        <v>42</v>
      </c>
      <c r="F7871" t="s">
        <v>670</v>
      </c>
      <c r="G7871" t="s">
        <v>59</v>
      </c>
      <c r="H7871">
        <v>2024</v>
      </c>
    </row>
    <row r="7872" spans="1:8" x14ac:dyDescent="0.2">
      <c r="A7872">
        <v>290981</v>
      </c>
      <c r="B7872">
        <v>10495.8</v>
      </c>
      <c r="C7872" t="str">
        <f t="shared" si="122"/>
        <v>3. $50K-250K</v>
      </c>
      <c r="D7872" t="s">
        <v>686</v>
      </c>
      <c r="E7872" t="s">
        <v>42</v>
      </c>
      <c r="F7872" t="s">
        <v>670</v>
      </c>
      <c r="G7872" t="s">
        <v>59</v>
      </c>
      <c r="H7872">
        <v>2024</v>
      </c>
    </row>
    <row r="7873" spans="1:8" x14ac:dyDescent="0.2">
      <c r="A7873">
        <v>290982</v>
      </c>
      <c r="B7873">
        <v>34126.1</v>
      </c>
      <c r="C7873" t="str">
        <f t="shared" si="122"/>
        <v>2. $10K-50K</v>
      </c>
      <c r="D7873" t="s">
        <v>391</v>
      </c>
      <c r="E7873" t="s">
        <v>42</v>
      </c>
      <c r="F7873" t="s">
        <v>670</v>
      </c>
      <c r="G7873" t="s">
        <v>59</v>
      </c>
      <c r="H7873">
        <v>2024</v>
      </c>
    </row>
    <row r="7874" spans="1:8" x14ac:dyDescent="0.2">
      <c r="A7874">
        <v>290983</v>
      </c>
      <c r="B7874">
        <v>11677</v>
      </c>
      <c r="C7874" t="str">
        <f t="shared" si="122"/>
        <v>2. $10K-50K</v>
      </c>
      <c r="D7874" t="s">
        <v>688</v>
      </c>
      <c r="E7874" t="s">
        <v>42</v>
      </c>
      <c r="F7874" t="s">
        <v>670</v>
      </c>
      <c r="G7874" t="s">
        <v>59</v>
      </c>
      <c r="H7874">
        <v>2024</v>
      </c>
    </row>
    <row r="7875" spans="1:8" x14ac:dyDescent="0.2">
      <c r="A7875">
        <v>290984</v>
      </c>
      <c r="B7875">
        <v>8126.5</v>
      </c>
      <c r="C7875" t="str">
        <f t="shared" ref="C7875:C7938" si="123">IF(B7874&lt;10000,"1. Under $10K",IF(B7874&lt;50000,"2. $10K-50K",IF(B7874&lt;250000,"3. $50K-250K",IF(B7874&lt;1000000,"4. $250K-1M","5. $1M+"))))</f>
        <v>2. $10K-50K</v>
      </c>
      <c r="D7875" t="s">
        <v>683</v>
      </c>
      <c r="E7875" t="s">
        <v>42</v>
      </c>
      <c r="F7875" t="s">
        <v>670</v>
      </c>
      <c r="G7875" t="s">
        <v>59</v>
      </c>
      <c r="H7875">
        <v>2024</v>
      </c>
    </row>
    <row r="7876" spans="1:8" x14ac:dyDescent="0.2">
      <c r="A7876">
        <v>290985</v>
      </c>
      <c r="B7876">
        <v>16348</v>
      </c>
      <c r="C7876" t="str">
        <f t="shared" si="123"/>
        <v>1. Under $10K</v>
      </c>
      <c r="D7876" t="s">
        <v>685</v>
      </c>
      <c r="E7876" t="s">
        <v>42</v>
      </c>
      <c r="F7876" t="s">
        <v>670</v>
      </c>
      <c r="G7876" t="s">
        <v>59</v>
      </c>
      <c r="H7876">
        <v>2024</v>
      </c>
    </row>
    <row r="7877" spans="1:8" x14ac:dyDescent="0.2">
      <c r="A7877">
        <v>290986</v>
      </c>
      <c r="B7877">
        <v>137510.29999999999</v>
      </c>
      <c r="C7877" t="str">
        <f t="shared" si="123"/>
        <v>2. $10K-50K</v>
      </c>
      <c r="D7877" t="s">
        <v>391</v>
      </c>
      <c r="E7877" t="s">
        <v>42</v>
      </c>
      <c r="F7877" t="s">
        <v>670</v>
      </c>
      <c r="G7877" t="s">
        <v>59</v>
      </c>
      <c r="H7877">
        <v>2024</v>
      </c>
    </row>
    <row r="7878" spans="1:8" x14ac:dyDescent="0.2">
      <c r="A7878">
        <v>29111</v>
      </c>
      <c r="B7878">
        <v>7436.1</v>
      </c>
      <c r="C7878" t="str">
        <f t="shared" si="123"/>
        <v>3. $50K-250K</v>
      </c>
      <c r="D7878" t="s">
        <v>7</v>
      </c>
      <c r="E7878" t="s">
        <v>8</v>
      </c>
      <c r="F7878" t="s">
        <v>9</v>
      </c>
      <c r="G7878" t="s">
        <v>10</v>
      </c>
      <c r="H7878">
        <v>2024</v>
      </c>
    </row>
    <row r="7879" spans="1:8" x14ac:dyDescent="0.2">
      <c r="A7879">
        <v>29118</v>
      </c>
      <c r="B7879">
        <v>1109824.6000000001</v>
      </c>
      <c r="C7879" t="str">
        <f t="shared" si="123"/>
        <v>1. Under $10K</v>
      </c>
      <c r="D7879" t="s">
        <v>197</v>
      </c>
      <c r="E7879" t="s">
        <v>8</v>
      </c>
      <c r="F7879" t="s">
        <v>14</v>
      </c>
      <c r="G7879" t="s">
        <v>44</v>
      </c>
      <c r="H7879">
        <v>2023</v>
      </c>
    </row>
    <row r="7880" spans="1:8" x14ac:dyDescent="0.2">
      <c r="A7880">
        <v>291196</v>
      </c>
      <c r="B7880">
        <v>5000</v>
      </c>
      <c r="C7880" t="str">
        <f t="shared" si="123"/>
        <v>5. $1M+</v>
      </c>
      <c r="D7880" t="s">
        <v>2449</v>
      </c>
      <c r="E7880" t="s">
        <v>112</v>
      </c>
      <c r="F7880" t="s">
        <v>668</v>
      </c>
      <c r="G7880" t="s">
        <v>59</v>
      </c>
      <c r="H7880">
        <v>2024</v>
      </c>
    </row>
    <row r="7881" spans="1:8" x14ac:dyDescent="0.2">
      <c r="A7881">
        <v>291205</v>
      </c>
      <c r="B7881">
        <v>8050757</v>
      </c>
      <c r="C7881" t="str">
        <f t="shared" si="123"/>
        <v>1. Under $10K</v>
      </c>
      <c r="D7881" t="s">
        <v>2089</v>
      </c>
      <c r="E7881" t="s">
        <v>99</v>
      </c>
      <c r="F7881" t="s">
        <v>668</v>
      </c>
      <c r="G7881" t="s">
        <v>59</v>
      </c>
      <c r="H7881">
        <v>2024</v>
      </c>
    </row>
    <row r="7882" spans="1:8" x14ac:dyDescent="0.2">
      <c r="A7882">
        <v>291208</v>
      </c>
      <c r="B7882">
        <v>5000</v>
      </c>
      <c r="C7882" t="str">
        <f t="shared" si="123"/>
        <v>5. $1M+</v>
      </c>
      <c r="D7882" t="s">
        <v>866</v>
      </c>
      <c r="E7882" t="s">
        <v>112</v>
      </c>
      <c r="F7882" t="s">
        <v>668</v>
      </c>
      <c r="G7882" t="s">
        <v>59</v>
      </c>
      <c r="H7882">
        <v>2024</v>
      </c>
    </row>
    <row r="7883" spans="1:8" x14ac:dyDescent="0.2">
      <c r="A7883">
        <v>291232</v>
      </c>
      <c r="B7883">
        <v>117757.5</v>
      </c>
      <c r="C7883" t="str">
        <f t="shared" si="123"/>
        <v>1. Under $10K</v>
      </c>
      <c r="D7883" t="s">
        <v>2450</v>
      </c>
      <c r="E7883" t="s">
        <v>99</v>
      </c>
      <c r="F7883" t="s">
        <v>668</v>
      </c>
      <c r="G7883" t="s">
        <v>59</v>
      </c>
      <c r="H7883">
        <v>2024</v>
      </c>
    </row>
    <row r="7884" spans="1:8" x14ac:dyDescent="0.2">
      <c r="A7884">
        <v>291337</v>
      </c>
      <c r="B7884">
        <v>5000000</v>
      </c>
      <c r="C7884" t="str">
        <f t="shared" si="123"/>
        <v>3. $50K-250K</v>
      </c>
      <c r="D7884" t="s">
        <v>1327</v>
      </c>
      <c r="E7884" t="s">
        <v>99</v>
      </c>
      <c r="F7884" t="s">
        <v>668</v>
      </c>
      <c r="G7884" t="s">
        <v>59</v>
      </c>
      <c r="H7884">
        <v>2024</v>
      </c>
    </row>
    <row r="7885" spans="1:8" x14ac:dyDescent="0.2">
      <c r="A7885">
        <v>291363</v>
      </c>
      <c r="B7885">
        <v>7990000</v>
      </c>
      <c r="C7885" t="str">
        <f t="shared" si="123"/>
        <v>5. $1M+</v>
      </c>
      <c r="D7885" t="s">
        <v>365</v>
      </c>
      <c r="E7885" t="s">
        <v>65</v>
      </c>
      <c r="F7885" t="s">
        <v>12</v>
      </c>
      <c r="G7885" t="s">
        <v>10</v>
      </c>
      <c r="H7885">
        <v>2025</v>
      </c>
    </row>
    <row r="7886" spans="1:8" x14ac:dyDescent="0.2">
      <c r="A7886">
        <v>291430</v>
      </c>
      <c r="B7886">
        <v>572721</v>
      </c>
      <c r="C7886" t="str">
        <f t="shared" si="123"/>
        <v>5. $1M+</v>
      </c>
      <c r="D7886" t="s">
        <v>720</v>
      </c>
      <c r="E7886" t="s">
        <v>237</v>
      </c>
      <c r="F7886" t="s">
        <v>670</v>
      </c>
      <c r="G7886" t="s">
        <v>59</v>
      </c>
      <c r="H7886">
        <v>2024</v>
      </c>
    </row>
    <row r="7887" spans="1:8" x14ac:dyDescent="0.2">
      <c r="A7887">
        <v>291490</v>
      </c>
      <c r="B7887">
        <v>150000</v>
      </c>
      <c r="C7887" t="str">
        <f t="shared" si="123"/>
        <v>4. $250K-1M</v>
      </c>
      <c r="D7887" t="s">
        <v>2208</v>
      </c>
      <c r="E7887" t="s">
        <v>99</v>
      </c>
      <c r="F7887" t="s">
        <v>668</v>
      </c>
      <c r="G7887" t="s">
        <v>59</v>
      </c>
      <c r="H7887">
        <v>2024</v>
      </c>
    </row>
    <row r="7888" spans="1:8" x14ac:dyDescent="0.2">
      <c r="A7888">
        <v>291491</v>
      </c>
      <c r="B7888">
        <v>4000000</v>
      </c>
      <c r="C7888" t="str">
        <f t="shared" si="123"/>
        <v>3. $50K-250K</v>
      </c>
      <c r="D7888" t="s">
        <v>1371</v>
      </c>
      <c r="E7888" t="s">
        <v>8</v>
      </c>
      <c r="F7888" t="s">
        <v>668</v>
      </c>
      <c r="G7888" t="s">
        <v>59</v>
      </c>
      <c r="H7888">
        <v>2024</v>
      </c>
    </row>
    <row r="7889" spans="1:8" x14ac:dyDescent="0.2">
      <c r="A7889">
        <v>291493</v>
      </c>
      <c r="B7889">
        <v>31746</v>
      </c>
      <c r="C7889" t="str">
        <f t="shared" si="123"/>
        <v>5. $1M+</v>
      </c>
      <c r="D7889" t="s">
        <v>2451</v>
      </c>
      <c r="E7889" t="s">
        <v>141</v>
      </c>
      <c r="F7889" t="s">
        <v>668</v>
      </c>
      <c r="G7889" t="s">
        <v>59</v>
      </c>
      <c r="H7889">
        <v>2024</v>
      </c>
    </row>
    <row r="7890" spans="1:8" x14ac:dyDescent="0.2">
      <c r="A7890">
        <v>291596</v>
      </c>
      <c r="B7890">
        <v>18921.900000000001</v>
      </c>
      <c r="C7890" t="str">
        <f t="shared" si="123"/>
        <v>2. $10K-50K</v>
      </c>
      <c r="D7890" t="s">
        <v>763</v>
      </c>
      <c r="E7890" t="s">
        <v>42</v>
      </c>
      <c r="F7890" t="s">
        <v>670</v>
      </c>
      <c r="G7890" t="s">
        <v>59</v>
      </c>
      <c r="H7890">
        <v>2024</v>
      </c>
    </row>
    <row r="7891" spans="1:8" x14ac:dyDescent="0.2">
      <c r="A7891">
        <v>291597</v>
      </c>
      <c r="B7891">
        <v>17394.2</v>
      </c>
      <c r="C7891" t="str">
        <f t="shared" si="123"/>
        <v>2. $10K-50K</v>
      </c>
      <c r="D7891" t="s">
        <v>2281</v>
      </c>
      <c r="E7891" t="s">
        <v>42</v>
      </c>
      <c r="F7891" t="s">
        <v>670</v>
      </c>
      <c r="G7891" t="s">
        <v>59</v>
      </c>
      <c r="H7891">
        <v>2024</v>
      </c>
    </row>
    <row r="7892" spans="1:8" x14ac:dyDescent="0.2">
      <c r="A7892">
        <v>291604</v>
      </c>
      <c r="B7892">
        <v>18922.599999999999</v>
      </c>
      <c r="C7892" t="str">
        <f t="shared" si="123"/>
        <v>2. $10K-50K</v>
      </c>
      <c r="D7892" t="s">
        <v>801</v>
      </c>
      <c r="E7892" t="s">
        <v>42</v>
      </c>
      <c r="F7892" t="s">
        <v>670</v>
      </c>
      <c r="G7892" t="s">
        <v>59</v>
      </c>
      <c r="H7892">
        <v>2025</v>
      </c>
    </row>
    <row r="7893" spans="1:8" x14ac:dyDescent="0.2">
      <c r="A7893">
        <v>291680</v>
      </c>
      <c r="B7893">
        <v>8000</v>
      </c>
      <c r="C7893" t="str">
        <f t="shared" si="123"/>
        <v>2. $10K-50K</v>
      </c>
      <c r="D7893" t="s">
        <v>2452</v>
      </c>
      <c r="E7893" t="s">
        <v>112</v>
      </c>
      <c r="F7893" t="s">
        <v>668</v>
      </c>
      <c r="G7893" t="s">
        <v>59</v>
      </c>
      <c r="H7893">
        <v>2024</v>
      </c>
    </row>
    <row r="7894" spans="1:8" x14ac:dyDescent="0.2">
      <c r="A7894">
        <v>291681</v>
      </c>
      <c r="B7894">
        <v>2000</v>
      </c>
      <c r="C7894" t="str">
        <f t="shared" si="123"/>
        <v>1. Under $10K</v>
      </c>
      <c r="D7894" t="s">
        <v>2453</v>
      </c>
      <c r="E7894" t="s">
        <v>112</v>
      </c>
      <c r="F7894" t="s">
        <v>668</v>
      </c>
      <c r="G7894" t="s">
        <v>59</v>
      </c>
      <c r="H7894">
        <v>2024</v>
      </c>
    </row>
    <row r="7895" spans="1:8" x14ac:dyDescent="0.2">
      <c r="A7895">
        <v>291682</v>
      </c>
      <c r="B7895">
        <v>10000</v>
      </c>
      <c r="C7895" t="str">
        <f t="shared" si="123"/>
        <v>1. Under $10K</v>
      </c>
      <c r="D7895" t="s">
        <v>1231</v>
      </c>
      <c r="E7895" t="s">
        <v>112</v>
      </c>
      <c r="F7895" t="s">
        <v>668</v>
      </c>
      <c r="G7895" t="s">
        <v>59</v>
      </c>
      <c r="H7895">
        <v>2024</v>
      </c>
    </row>
    <row r="7896" spans="1:8" x14ac:dyDescent="0.2">
      <c r="A7896">
        <v>291683</v>
      </c>
      <c r="B7896">
        <v>36000</v>
      </c>
      <c r="C7896" t="str">
        <f t="shared" si="123"/>
        <v>2. $10K-50K</v>
      </c>
      <c r="D7896" t="s">
        <v>2284</v>
      </c>
      <c r="E7896" t="s">
        <v>112</v>
      </c>
      <c r="F7896" t="s">
        <v>668</v>
      </c>
      <c r="G7896" t="s">
        <v>59</v>
      </c>
      <c r="H7896">
        <v>2024</v>
      </c>
    </row>
    <row r="7897" spans="1:8" x14ac:dyDescent="0.2">
      <c r="A7897">
        <v>291684</v>
      </c>
      <c r="B7897">
        <v>52240</v>
      </c>
      <c r="C7897" t="str">
        <f t="shared" si="123"/>
        <v>2. $10K-50K</v>
      </c>
      <c r="D7897" t="s">
        <v>2454</v>
      </c>
      <c r="E7897" t="s">
        <v>112</v>
      </c>
      <c r="F7897" t="s">
        <v>668</v>
      </c>
      <c r="G7897" t="s">
        <v>59</v>
      </c>
      <c r="H7897">
        <v>2024</v>
      </c>
    </row>
    <row r="7898" spans="1:8" x14ac:dyDescent="0.2">
      <c r="A7898">
        <v>291685</v>
      </c>
      <c r="B7898">
        <v>5000</v>
      </c>
      <c r="C7898" t="str">
        <f t="shared" si="123"/>
        <v>3. $50K-250K</v>
      </c>
      <c r="D7898" t="s">
        <v>1746</v>
      </c>
      <c r="E7898" t="s">
        <v>112</v>
      </c>
      <c r="F7898" t="s">
        <v>668</v>
      </c>
      <c r="G7898" t="s">
        <v>59</v>
      </c>
      <c r="H7898">
        <v>2024</v>
      </c>
    </row>
    <row r="7899" spans="1:8" x14ac:dyDescent="0.2">
      <c r="A7899">
        <v>29173</v>
      </c>
      <c r="B7899">
        <v>1236808.3</v>
      </c>
      <c r="C7899" t="str">
        <f t="shared" si="123"/>
        <v>1. Under $10K</v>
      </c>
      <c r="D7899" t="s">
        <v>2455</v>
      </c>
      <c r="E7899" t="s">
        <v>28</v>
      </c>
      <c r="F7899" t="s">
        <v>668</v>
      </c>
      <c r="G7899" t="s">
        <v>59</v>
      </c>
      <c r="H7899">
        <v>2023</v>
      </c>
    </row>
    <row r="7900" spans="1:8" x14ac:dyDescent="0.2">
      <c r="A7900">
        <v>291771</v>
      </c>
      <c r="B7900">
        <v>150000</v>
      </c>
      <c r="C7900" t="str">
        <f t="shared" si="123"/>
        <v>5. $1M+</v>
      </c>
      <c r="D7900" t="s">
        <v>2456</v>
      </c>
      <c r="E7900" t="s">
        <v>42</v>
      </c>
      <c r="F7900" t="s">
        <v>670</v>
      </c>
      <c r="G7900" t="s">
        <v>44</v>
      </c>
      <c r="H7900">
        <v>2025</v>
      </c>
    </row>
    <row r="7901" spans="1:8" x14ac:dyDescent="0.2">
      <c r="A7901">
        <v>291772</v>
      </c>
      <c r="B7901">
        <v>375000</v>
      </c>
      <c r="C7901" t="str">
        <f t="shared" si="123"/>
        <v>3. $50K-250K</v>
      </c>
      <c r="D7901" t="s">
        <v>970</v>
      </c>
      <c r="E7901" t="s">
        <v>42</v>
      </c>
      <c r="F7901" t="s">
        <v>670</v>
      </c>
      <c r="G7901" t="s">
        <v>44</v>
      </c>
      <c r="H7901">
        <v>2025</v>
      </c>
    </row>
    <row r="7902" spans="1:8" x14ac:dyDescent="0.2">
      <c r="A7902">
        <v>291817</v>
      </c>
      <c r="B7902">
        <v>374998.6</v>
      </c>
      <c r="C7902" t="str">
        <f t="shared" si="123"/>
        <v>4. $250K-1M</v>
      </c>
      <c r="D7902" t="s">
        <v>791</v>
      </c>
      <c r="E7902" t="s">
        <v>42</v>
      </c>
      <c r="F7902" t="s">
        <v>670</v>
      </c>
      <c r="G7902" t="s">
        <v>59</v>
      </c>
      <c r="H7902">
        <v>2024</v>
      </c>
    </row>
    <row r="7903" spans="1:8" x14ac:dyDescent="0.2">
      <c r="A7903">
        <v>291955</v>
      </c>
      <c r="B7903">
        <v>479566</v>
      </c>
      <c r="C7903" t="str">
        <f t="shared" si="123"/>
        <v>4. $250K-1M</v>
      </c>
      <c r="D7903" t="s">
        <v>683</v>
      </c>
      <c r="E7903" t="s">
        <v>42</v>
      </c>
      <c r="F7903" t="s">
        <v>670</v>
      </c>
      <c r="G7903" t="s">
        <v>59</v>
      </c>
      <c r="H7903">
        <v>2024</v>
      </c>
    </row>
    <row r="7904" spans="1:8" x14ac:dyDescent="0.2">
      <c r="A7904">
        <v>291980</v>
      </c>
      <c r="B7904">
        <v>191797</v>
      </c>
      <c r="C7904" t="str">
        <f t="shared" si="123"/>
        <v>4. $250K-1M</v>
      </c>
      <c r="D7904" t="s">
        <v>999</v>
      </c>
      <c r="E7904" t="s">
        <v>42</v>
      </c>
      <c r="F7904" t="s">
        <v>670</v>
      </c>
      <c r="G7904" t="s">
        <v>59</v>
      </c>
      <c r="H7904">
        <v>2024</v>
      </c>
    </row>
    <row r="7905" spans="1:8" x14ac:dyDescent="0.2">
      <c r="A7905">
        <v>292135</v>
      </c>
      <c r="B7905">
        <v>240000</v>
      </c>
      <c r="C7905" t="str">
        <f t="shared" si="123"/>
        <v>3. $50K-250K</v>
      </c>
      <c r="D7905" t="s">
        <v>692</v>
      </c>
      <c r="E7905" t="s">
        <v>59</v>
      </c>
      <c r="F7905" t="s">
        <v>670</v>
      </c>
      <c r="G7905" t="s">
        <v>59</v>
      </c>
      <c r="H7905">
        <v>2025</v>
      </c>
    </row>
    <row r="7906" spans="1:8" x14ac:dyDescent="0.2">
      <c r="A7906">
        <v>292138</v>
      </c>
      <c r="B7906">
        <v>480000</v>
      </c>
      <c r="C7906" t="str">
        <f t="shared" si="123"/>
        <v>3. $50K-250K</v>
      </c>
      <c r="D7906" t="s">
        <v>717</v>
      </c>
      <c r="E7906" t="s">
        <v>59</v>
      </c>
      <c r="F7906" t="s">
        <v>670</v>
      </c>
      <c r="G7906" t="s">
        <v>59</v>
      </c>
      <c r="H7906">
        <v>2025</v>
      </c>
    </row>
    <row r="7907" spans="1:8" x14ac:dyDescent="0.2">
      <c r="A7907">
        <v>292141</v>
      </c>
      <c r="B7907">
        <v>440000</v>
      </c>
      <c r="C7907" t="str">
        <f t="shared" si="123"/>
        <v>4. $250K-1M</v>
      </c>
      <c r="D7907" t="s">
        <v>391</v>
      </c>
      <c r="E7907" t="s">
        <v>59</v>
      </c>
      <c r="F7907" t="s">
        <v>670</v>
      </c>
      <c r="G7907" t="s">
        <v>59</v>
      </c>
      <c r="H7907">
        <v>2025</v>
      </c>
    </row>
    <row r="7908" spans="1:8" x14ac:dyDescent="0.2">
      <c r="A7908">
        <v>292144</v>
      </c>
      <c r="B7908">
        <v>240000</v>
      </c>
      <c r="C7908" t="str">
        <f t="shared" si="123"/>
        <v>4. $250K-1M</v>
      </c>
      <c r="D7908" t="s">
        <v>1004</v>
      </c>
      <c r="E7908" t="s">
        <v>59</v>
      </c>
      <c r="F7908" t="s">
        <v>670</v>
      </c>
      <c r="G7908" t="s">
        <v>59</v>
      </c>
      <c r="H7908">
        <v>2025</v>
      </c>
    </row>
    <row r="7909" spans="1:8" x14ac:dyDescent="0.2">
      <c r="A7909">
        <v>292145</v>
      </c>
      <c r="B7909">
        <v>360000</v>
      </c>
      <c r="C7909" t="str">
        <f t="shared" si="123"/>
        <v>3. $50K-250K</v>
      </c>
      <c r="D7909" t="s">
        <v>701</v>
      </c>
      <c r="E7909" t="s">
        <v>59</v>
      </c>
      <c r="F7909" t="s">
        <v>670</v>
      </c>
      <c r="G7909" t="s">
        <v>59</v>
      </c>
      <c r="H7909">
        <v>2025</v>
      </c>
    </row>
    <row r="7910" spans="1:8" x14ac:dyDescent="0.2">
      <c r="A7910">
        <v>292149</v>
      </c>
      <c r="B7910">
        <v>480000</v>
      </c>
      <c r="C7910" t="str">
        <f t="shared" si="123"/>
        <v>4. $250K-1M</v>
      </c>
      <c r="D7910" t="s">
        <v>683</v>
      </c>
      <c r="E7910" t="s">
        <v>59</v>
      </c>
      <c r="F7910" t="s">
        <v>670</v>
      </c>
      <c r="G7910" t="s">
        <v>59</v>
      </c>
      <c r="H7910">
        <v>2025</v>
      </c>
    </row>
    <row r="7911" spans="1:8" x14ac:dyDescent="0.2">
      <c r="A7911">
        <v>292151</v>
      </c>
      <c r="B7911">
        <v>240000</v>
      </c>
      <c r="C7911" t="str">
        <f t="shared" si="123"/>
        <v>4. $250K-1M</v>
      </c>
      <c r="D7911" t="s">
        <v>1000</v>
      </c>
      <c r="E7911" t="s">
        <v>59</v>
      </c>
      <c r="F7911" t="s">
        <v>670</v>
      </c>
      <c r="G7911" t="s">
        <v>59</v>
      </c>
      <c r="H7911">
        <v>2025</v>
      </c>
    </row>
    <row r="7912" spans="1:8" x14ac:dyDescent="0.2">
      <c r="A7912">
        <v>292152</v>
      </c>
      <c r="B7912">
        <v>240000</v>
      </c>
      <c r="C7912" t="str">
        <f t="shared" si="123"/>
        <v>3. $50K-250K</v>
      </c>
      <c r="D7912" t="s">
        <v>702</v>
      </c>
      <c r="E7912" t="s">
        <v>59</v>
      </c>
      <c r="F7912" t="s">
        <v>670</v>
      </c>
      <c r="G7912" t="s">
        <v>59</v>
      </c>
      <c r="H7912">
        <v>2025</v>
      </c>
    </row>
    <row r="7913" spans="1:8" x14ac:dyDescent="0.2">
      <c r="A7913">
        <v>292153</v>
      </c>
      <c r="B7913">
        <v>240000</v>
      </c>
      <c r="C7913" t="str">
        <f t="shared" si="123"/>
        <v>3. $50K-250K</v>
      </c>
      <c r="D7913" t="s">
        <v>823</v>
      </c>
      <c r="E7913" t="s">
        <v>59</v>
      </c>
      <c r="F7913" t="s">
        <v>670</v>
      </c>
      <c r="G7913" t="s">
        <v>59</v>
      </c>
      <c r="H7913">
        <v>2025</v>
      </c>
    </row>
    <row r="7914" spans="1:8" x14ac:dyDescent="0.2">
      <c r="A7914">
        <v>292154</v>
      </c>
      <c r="B7914">
        <v>240000</v>
      </c>
      <c r="C7914" t="str">
        <f t="shared" si="123"/>
        <v>3. $50K-250K</v>
      </c>
      <c r="D7914" t="s">
        <v>1001</v>
      </c>
      <c r="E7914" t="s">
        <v>59</v>
      </c>
      <c r="F7914" t="s">
        <v>670</v>
      </c>
      <c r="G7914" t="s">
        <v>59</v>
      </c>
      <c r="H7914">
        <v>2025</v>
      </c>
    </row>
    <row r="7915" spans="1:8" x14ac:dyDescent="0.2">
      <c r="A7915">
        <v>292156</v>
      </c>
      <c r="B7915">
        <v>240000</v>
      </c>
      <c r="C7915" t="str">
        <f t="shared" si="123"/>
        <v>3. $50K-250K</v>
      </c>
      <c r="D7915" t="s">
        <v>749</v>
      </c>
      <c r="E7915" t="s">
        <v>59</v>
      </c>
      <c r="F7915" t="s">
        <v>670</v>
      </c>
      <c r="G7915" t="s">
        <v>59</v>
      </c>
      <c r="H7915">
        <v>2025</v>
      </c>
    </row>
    <row r="7916" spans="1:8" x14ac:dyDescent="0.2">
      <c r="A7916">
        <v>292159</v>
      </c>
      <c r="B7916">
        <v>480000</v>
      </c>
      <c r="C7916" t="str">
        <f t="shared" si="123"/>
        <v>3. $50K-250K</v>
      </c>
      <c r="D7916" t="s">
        <v>929</v>
      </c>
      <c r="E7916" t="s">
        <v>59</v>
      </c>
      <c r="F7916" t="s">
        <v>670</v>
      </c>
      <c r="G7916" t="s">
        <v>59</v>
      </c>
      <c r="H7916">
        <v>2025</v>
      </c>
    </row>
    <row r="7917" spans="1:8" x14ac:dyDescent="0.2">
      <c r="A7917">
        <v>292160</v>
      </c>
      <c r="B7917">
        <v>240000</v>
      </c>
      <c r="C7917" t="str">
        <f t="shared" si="123"/>
        <v>4. $250K-1M</v>
      </c>
      <c r="D7917" t="s">
        <v>2099</v>
      </c>
      <c r="E7917" t="s">
        <v>59</v>
      </c>
      <c r="F7917" t="s">
        <v>670</v>
      </c>
      <c r="G7917" t="s">
        <v>59</v>
      </c>
      <c r="H7917">
        <v>2025</v>
      </c>
    </row>
    <row r="7918" spans="1:8" x14ac:dyDescent="0.2">
      <c r="A7918">
        <v>292173</v>
      </c>
      <c r="B7918">
        <v>240000</v>
      </c>
      <c r="C7918" t="str">
        <f t="shared" si="123"/>
        <v>3. $50K-250K</v>
      </c>
      <c r="D7918" t="s">
        <v>1003</v>
      </c>
      <c r="E7918" t="s">
        <v>59</v>
      </c>
      <c r="F7918" t="s">
        <v>670</v>
      </c>
      <c r="G7918" t="s">
        <v>59</v>
      </c>
      <c r="H7918">
        <v>2025</v>
      </c>
    </row>
    <row r="7919" spans="1:8" x14ac:dyDescent="0.2">
      <c r="A7919">
        <v>292198</v>
      </c>
      <c r="B7919">
        <v>12361.8</v>
      </c>
      <c r="C7919" t="str">
        <f t="shared" si="123"/>
        <v>3. $50K-250K</v>
      </c>
      <c r="D7919" t="s">
        <v>978</v>
      </c>
      <c r="E7919" t="s">
        <v>42</v>
      </c>
      <c r="F7919" t="s">
        <v>670</v>
      </c>
      <c r="G7919" t="s">
        <v>59</v>
      </c>
      <c r="H7919">
        <v>2024</v>
      </c>
    </row>
    <row r="7920" spans="1:8" x14ac:dyDescent="0.2">
      <c r="A7920">
        <v>292382</v>
      </c>
      <c r="B7920">
        <v>6000</v>
      </c>
      <c r="C7920" t="str">
        <f t="shared" si="123"/>
        <v>2. $10K-50K</v>
      </c>
      <c r="D7920" t="s">
        <v>2457</v>
      </c>
      <c r="E7920" t="s">
        <v>112</v>
      </c>
      <c r="F7920" t="s">
        <v>668</v>
      </c>
      <c r="G7920" t="s">
        <v>59</v>
      </c>
      <c r="H7920">
        <v>2024</v>
      </c>
    </row>
    <row r="7921" spans="1:8" x14ac:dyDescent="0.2">
      <c r="A7921">
        <v>292799</v>
      </c>
      <c r="B7921">
        <v>667500</v>
      </c>
      <c r="C7921" t="str">
        <f t="shared" si="123"/>
        <v>1. Under $10K</v>
      </c>
      <c r="D7921" t="s">
        <v>1038</v>
      </c>
      <c r="E7921" t="s">
        <v>42</v>
      </c>
      <c r="F7921" t="s">
        <v>670</v>
      </c>
      <c r="G7921" t="s">
        <v>44</v>
      </c>
      <c r="H7921">
        <v>2025</v>
      </c>
    </row>
    <row r="7922" spans="1:8" x14ac:dyDescent="0.2">
      <c r="A7922">
        <v>292800</v>
      </c>
      <c r="B7922">
        <v>500000</v>
      </c>
      <c r="C7922" t="str">
        <f t="shared" si="123"/>
        <v>4. $250K-1M</v>
      </c>
      <c r="D7922" t="s">
        <v>1047</v>
      </c>
      <c r="E7922" t="s">
        <v>42</v>
      </c>
      <c r="F7922" t="s">
        <v>670</v>
      </c>
      <c r="G7922" t="s">
        <v>44</v>
      </c>
      <c r="H7922">
        <v>2025</v>
      </c>
    </row>
    <row r="7923" spans="1:8" x14ac:dyDescent="0.2">
      <c r="A7923">
        <v>292801</v>
      </c>
      <c r="B7923">
        <v>500000</v>
      </c>
      <c r="C7923" t="str">
        <f t="shared" si="123"/>
        <v>4. $250K-1M</v>
      </c>
      <c r="D7923" t="s">
        <v>801</v>
      </c>
      <c r="E7923" t="s">
        <v>42</v>
      </c>
      <c r="F7923" t="s">
        <v>670</v>
      </c>
      <c r="G7923" t="s">
        <v>44</v>
      </c>
      <c r="H7923">
        <v>2025</v>
      </c>
    </row>
    <row r="7924" spans="1:8" x14ac:dyDescent="0.2">
      <c r="A7924">
        <v>292974</v>
      </c>
      <c r="B7924">
        <v>72083</v>
      </c>
      <c r="C7924" t="str">
        <f t="shared" si="123"/>
        <v>4. $250K-1M</v>
      </c>
      <c r="D7924" t="s">
        <v>1042</v>
      </c>
      <c r="E7924" t="s">
        <v>237</v>
      </c>
      <c r="F7924" t="s">
        <v>670</v>
      </c>
      <c r="G7924" t="s">
        <v>59</v>
      </c>
      <c r="H7924">
        <v>2024</v>
      </c>
    </row>
    <row r="7925" spans="1:8" x14ac:dyDescent="0.2">
      <c r="A7925">
        <v>292979</v>
      </c>
      <c r="B7925">
        <v>73274.399999999994</v>
      </c>
      <c r="C7925" t="str">
        <f t="shared" si="123"/>
        <v>3. $50K-250K</v>
      </c>
      <c r="D7925" t="s">
        <v>859</v>
      </c>
      <c r="E7925" t="s">
        <v>237</v>
      </c>
      <c r="F7925" t="s">
        <v>670</v>
      </c>
      <c r="G7925" t="s">
        <v>59</v>
      </c>
      <c r="H7925">
        <v>2024</v>
      </c>
    </row>
    <row r="7926" spans="1:8" x14ac:dyDescent="0.2">
      <c r="A7926">
        <v>292981</v>
      </c>
      <c r="B7926">
        <v>12000</v>
      </c>
      <c r="C7926" t="str">
        <f t="shared" si="123"/>
        <v>3. $50K-250K</v>
      </c>
      <c r="D7926" t="s">
        <v>767</v>
      </c>
      <c r="E7926" t="s">
        <v>237</v>
      </c>
      <c r="F7926" t="s">
        <v>670</v>
      </c>
      <c r="G7926" t="s">
        <v>59</v>
      </c>
      <c r="H7926">
        <v>2024</v>
      </c>
    </row>
    <row r="7927" spans="1:8" x14ac:dyDescent="0.2">
      <c r="A7927">
        <v>292996</v>
      </c>
      <c r="B7927">
        <v>37912.9</v>
      </c>
      <c r="C7927" t="str">
        <f t="shared" si="123"/>
        <v>2. $10K-50K</v>
      </c>
      <c r="D7927" t="s">
        <v>2029</v>
      </c>
      <c r="E7927" t="s">
        <v>99</v>
      </c>
      <c r="F7927" t="s">
        <v>668</v>
      </c>
      <c r="G7927" t="s">
        <v>59</v>
      </c>
      <c r="H7927">
        <v>2024</v>
      </c>
    </row>
    <row r="7928" spans="1:8" x14ac:dyDescent="0.2">
      <c r="A7928">
        <v>292997</v>
      </c>
      <c r="B7928">
        <v>3200000</v>
      </c>
      <c r="C7928" t="str">
        <f t="shared" si="123"/>
        <v>2. $10K-50K</v>
      </c>
      <c r="D7928" t="s">
        <v>2444</v>
      </c>
      <c r="E7928" t="s">
        <v>99</v>
      </c>
      <c r="F7928" t="s">
        <v>668</v>
      </c>
      <c r="G7928" t="s">
        <v>59</v>
      </c>
      <c r="H7928">
        <v>2024</v>
      </c>
    </row>
    <row r="7929" spans="1:8" x14ac:dyDescent="0.2">
      <c r="A7929">
        <v>292999</v>
      </c>
      <c r="B7929">
        <v>989780</v>
      </c>
      <c r="C7929" t="str">
        <f t="shared" si="123"/>
        <v>5. $1M+</v>
      </c>
      <c r="D7929" t="s">
        <v>2458</v>
      </c>
      <c r="E7929" t="s">
        <v>42</v>
      </c>
      <c r="F7929" t="s">
        <v>668</v>
      </c>
      <c r="G7929" t="s">
        <v>59</v>
      </c>
      <c r="H7929">
        <v>2024</v>
      </c>
    </row>
    <row r="7930" spans="1:8" x14ac:dyDescent="0.2">
      <c r="A7930">
        <v>293017</v>
      </c>
      <c r="B7930">
        <v>1000000</v>
      </c>
      <c r="C7930" t="str">
        <f t="shared" si="123"/>
        <v>4. $250K-1M</v>
      </c>
      <c r="D7930" t="s">
        <v>711</v>
      </c>
      <c r="E7930" t="s">
        <v>237</v>
      </c>
      <c r="F7930" t="s">
        <v>670</v>
      </c>
      <c r="G7930" t="s">
        <v>44</v>
      </c>
      <c r="H7930">
        <v>2024</v>
      </c>
    </row>
    <row r="7931" spans="1:8" x14ac:dyDescent="0.2">
      <c r="A7931">
        <v>293116</v>
      </c>
      <c r="B7931">
        <v>175000</v>
      </c>
      <c r="C7931" t="str">
        <f t="shared" si="123"/>
        <v>5. $1M+</v>
      </c>
      <c r="D7931" t="s">
        <v>2459</v>
      </c>
      <c r="E7931" t="s">
        <v>52</v>
      </c>
      <c r="F7931" t="s">
        <v>668</v>
      </c>
      <c r="G7931" t="s">
        <v>59</v>
      </c>
      <c r="H7931">
        <v>2024</v>
      </c>
    </row>
    <row r="7932" spans="1:8" x14ac:dyDescent="0.2">
      <c r="A7932">
        <v>293144</v>
      </c>
      <c r="B7932">
        <v>843000</v>
      </c>
      <c r="C7932" t="str">
        <f t="shared" si="123"/>
        <v>3. $50K-250K</v>
      </c>
      <c r="D7932" t="s">
        <v>2065</v>
      </c>
      <c r="E7932" t="s">
        <v>237</v>
      </c>
      <c r="F7932" t="s">
        <v>670</v>
      </c>
      <c r="G7932" t="s">
        <v>59</v>
      </c>
      <c r="H7932">
        <v>2025</v>
      </c>
    </row>
    <row r="7933" spans="1:8" x14ac:dyDescent="0.2">
      <c r="A7933">
        <v>293242</v>
      </c>
      <c r="B7933">
        <v>20000</v>
      </c>
      <c r="C7933" t="str">
        <f t="shared" si="123"/>
        <v>4. $250K-1M</v>
      </c>
      <c r="D7933" t="s">
        <v>2460</v>
      </c>
      <c r="E7933" t="s">
        <v>112</v>
      </c>
      <c r="F7933" t="s">
        <v>668</v>
      </c>
      <c r="G7933" t="s">
        <v>59</v>
      </c>
      <c r="H7933">
        <v>2024</v>
      </c>
    </row>
    <row r="7934" spans="1:8" x14ac:dyDescent="0.2">
      <c r="A7934">
        <v>293245</v>
      </c>
      <c r="B7934">
        <v>30000</v>
      </c>
      <c r="C7934" t="str">
        <f t="shared" si="123"/>
        <v>2. $10K-50K</v>
      </c>
      <c r="D7934" t="s">
        <v>1304</v>
      </c>
      <c r="E7934" t="s">
        <v>112</v>
      </c>
      <c r="F7934" t="s">
        <v>668</v>
      </c>
      <c r="G7934" t="s">
        <v>59</v>
      </c>
      <c r="H7934">
        <v>2024</v>
      </c>
    </row>
    <row r="7935" spans="1:8" x14ac:dyDescent="0.2">
      <c r="A7935">
        <v>293246</v>
      </c>
      <c r="B7935">
        <v>20000</v>
      </c>
      <c r="C7935" t="str">
        <f t="shared" si="123"/>
        <v>2. $10K-50K</v>
      </c>
      <c r="D7935" t="s">
        <v>1296</v>
      </c>
      <c r="E7935" t="s">
        <v>112</v>
      </c>
      <c r="F7935" t="s">
        <v>668</v>
      </c>
      <c r="G7935" t="s">
        <v>59</v>
      </c>
      <c r="H7935">
        <v>2024</v>
      </c>
    </row>
    <row r="7936" spans="1:8" x14ac:dyDescent="0.2">
      <c r="A7936">
        <v>293247</v>
      </c>
      <c r="B7936">
        <v>40000</v>
      </c>
      <c r="C7936" t="str">
        <f t="shared" si="123"/>
        <v>2. $10K-50K</v>
      </c>
      <c r="D7936" t="s">
        <v>1144</v>
      </c>
      <c r="E7936" t="s">
        <v>112</v>
      </c>
      <c r="F7936" t="s">
        <v>668</v>
      </c>
      <c r="G7936" t="s">
        <v>59</v>
      </c>
      <c r="H7936">
        <v>2024</v>
      </c>
    </row>
    <row r="7937" spans="1:8" x14ac:dyDescent="0.2">
      <c r="A7937">
        <v>293248</v>
      </c>
      <c r="B7937">
        <v>20000</v>
      </c>
      <c r="C7937" t="str">
        <f t="shared" si="123"/>
        <v>2. $10K-50K</v>
      </c>
      <c r="D7937" t="s">
        <v>1164</v>
      </c>
      <c r="E7937" t="s">
        <v>112</v>
      </c>
      <c r="F7937" t="s">
        <v>668</v>
      </c>
      <c r="G7937" t="s">
        <v>59</v>
      </c>
      <c r="H7937">
        <v>2024</v>
      </c>
    </row>
    <row r="7938" spans="1:8" x14ac:dyDescent="0.2">
      <c r="A7938">
        <v>293250</v>
      </c>
      <c r="B7938">
        <v>60000</v>
      </c>
      <c r="C7938" t="str">
        <f t="shared" si="123"/>
        <v>2. $10K-50K</v>
      </c>
      <c r="D7938" t="s">
        <v>1305</v>
      </c>
      <c r="E7938" t="s">
        <v>112</v>
      </c>
      <c r="F7938" t="s">
        <v>668</v>
      </c>
      <c r="G7938" t="s">
        <v>59</v>
      </c>
      <c r="H7938">
        <v>2024</v>
      </c>
    </row>
    <row r="7939" spans="1:8" x14ac:dyDescent="0.2">
      <c r="A7939">
        <v>293252</v>
      </c>
      <c r="B7939">
        <v>40000</v>
      </c>
      <c r="C7939" t="str">
        <f t="shared" ref="C7939:C8002" si="124">IF(B7938&lt;10000,"1. Under $10K",IF(B7938&lt;50000,"2. $10K-50K",IF(B7938&lt;250000,"3. $50K-250K",IF(B7938&lt;1000000,"4. $250K-1M","5. $1M+"))))</f>
        <v>3. $50K-250K</v>
      </c>
      <c r="D7939" t="s">
        <v>1250</v>
      </c>
      <c r="E7939" t="s">
        <v>112</v>
      </c>
      <c r="F7939" t="s">
        <v>668</v>
      </c>
      <c r="G7939" t="s">
        <v>59</v>
      </c>
      <c r="H7939">
        <v>2024</v>
      </c>
    </row>
    <row r="7940" spans="1:8" x14ac:dyDescent="0.2">
      <c r="A7940">
        <v>293256</v>
      </c>
      <c r="B7940">
        <v>90000</v>
      </c>
      <c r="C7940" t="str">
        <f t="shared" si="124"/>
        <v>2. $10K-50K</v>
      </c>
      <c r="D7940" t="s">
        <v>1273</v>
      </c>
      <c r="E7940" t="s">
        <v>112</v>
      </c>
      <c r="F7940" t="s">
        <v>668</v>
      </c>
      <c r="G7940" t="s">
        <v>59</v>
      </c>
      <c r="H7940">
        <v>2024</v>
      </c>
    </row>
    <row r="7941" spans="1:8" x14ac:dyDescent="0.2">
      <c r="A7941">
        <v>293258</v>
      </c>
      <c r="B7941">
        <v>40000</v>
      </c>
      <c r="C7941" t="str">
        <f t="shared" si="124"/>
        <v>3. $50K-250K</v>
      </c>
      <c r="D7941" t="s">
        <v>1159</v>
      </c>
      <c r="E7941" t="s">
        <v>112</v>
      </c>
      <c r="F7941" t="s">
        <v>668</v>
      </c>
      <c r="G7941" t="s">
        <v>59</v>
      </c>
      <c r="H7941">
        <v>2024</v>
      </c>
    </row>
    <row r="7942" spans="1:8" x14ac:dyDescent="0.2">
      <c r="A7942">
        <v>293259</v>
      </c>
      <c r="B7942">
        <v>80000</v>
      </c>
      <c r="C7942" t="str">
        <f t="shared" si="124"/>
        <v>2. $10K-50K</v>
      </c>
      <c r="D7942" t="s">
        <v>1116</v>
      </c>
      <c r="E7942" t="s">
        <v>112</v>
      </c>
      <c r="F7942" t="s">
        <v>668</v>
      </c>
      <c r="G7942" t="s">
        <v>59</v>
      </c>
      <c r="H7942">
        <v>2024</v>
      </c>
    </row>
    <row r="7943" spans="1:8" x14ac:dyDescent="0.2">
      <c r="A7943">
        <v>293272</v>
      </c>
      <c r="B7943">
        <v>270061.7</v>
      </c>
      <c r="C7943" t="str">
        <f t="shared" si="124"/>
        <v>3. $50K-250K</v>
      </c>
      <c r="D7943" t="s">
        <v>763</v>
      </c>
      <c r="E7943" t="s">
        <v>42</v>
      </c>
      <c r="F7943" t="s">
        <v>670</v>
      </c>
      <c r="G7943" t="s">
        <v>59</v>
      </c>
      <c r="H7943">
        <v>2024</v>
      </c>
    </row>
    <row r="7944" spans="1:8" x14ac:dyDescent="0.2">
      <c r="A7944">
        <v>293274</v>
      </c>
      <c r="B7944">
        <v>280096.7</v>
      </c>
      <c r="C7944" t="str">
        <f t="shared" si="124"/>
        <v>4. $250K-1M</v>
      </c>
      <c r="D7944" t="s">
        <v>686</v>
      </c>
      <c r="E7944" t="s">
        <v>42</v>
      </c>
      <c r="F7944" t="s">
        <v>670</v>
      </c>
      <c r="G7944" t="s">
        <v>59</v>
      </c>
      <c r="H7944">
        <v>2024</v>
      </c>
    </row>
    <row r="7945" spans="1:8" x14ac:dyDescent="0.2">
      <c r="A7945">
        <v>293281</v>
      </c>
      <c r="B7945">
        <v>50000</v>
      </c>
      <c r="C7945" t="str">
        <f t="shared" si="124"/>
        <v>4. $250K-1M</v>
      </c>
      <c r="D7945" t="s">
        <v>1301</v>
      </c>
      <c r="E7945" t="s">
        <v>112</v>
      </c>
      <c r="F7945" t="s">
        <v>668</v>
      </c>
      <c r="G7945" t="s">
        <v>59</v>
      </c>
      <c r="H7945">
        <v>2024</v>
      </c>
    </row>
    <row r="7946" spans="1:8" x14ac:dyDescent="0.2">
      <c r="A7946">
        <v>293282</v>
      </c>
      <c r="B7946">
        <v>40000</v>
      </c>
      <c r="C7946" t="str">
        <f t="shared" si="124"/>
        <v>3. $50K-250K</v>
      </c>
      <c r="D7946" t="s">
        <v>1313</v>
      </c>
      <c r="E7946" t="s">
        <v>112</v>
      </c>
      <c r="F7946" t="s">
        <v>668</v>
      </c>
      <c r="G7946" t="s">
        <v>59</v>
      </c>
      <c r="H7946">
        <v>2024</v>
      </c>
    </row>
    <row r="7947" spans="1:8" x14ac:dyDescent="0.2">
      <c r="A7947">
        <v>293283</v>
      </c>
      <c r="B7947">
        <v>50000</v>
      </c>
      <c r="C7947" t="str">
        <f t="shared" si="124"/>
        <v>2. $10K-50K</v>
      </c>
      <c r="D7947" t="s">
        <v>1299</v>
      </c>
      <c r="E7947" t="s">
        <v>112</v>
      </c>
      <c r="F7947" t="s">
        <v>668</v>
      </c>
      <c r="G7947" t="s">
        <v>59</v>
      </c>
      <c r="H7947">
        <v>2024</v>
      </c>
    </row>
    <row r="7948" spans="1:8" x14ac:dyDescent="0.2">
      <c r="A7948">
        <v>293284</v>
      </c>
      <c r="B7948">
        <v>50000</v>
      </c>
      <c r="C7948" t="str">
        <f t="shared" si="124"/>
        <v>3. $50K-250K</v>
      </c>
      <c r="D7948" t="s">
        <v>1323</v>
      </c>
      <c r="E7948" t="s">
        <v>112</v>
      </c>
      <c r="F7948" t="s">
        <v>668</v>
      </c>
      <c r="G7948" t="s">
        <v>59</v>
      </c>
      <c r="H7948">
        <v>2024</v>
      </c>
    </row>
    <row r="7949" spans="1:8" x14ac:dyDescent="0.2">
      <c r="A7949">
        <v>293287</v>
      </c>
      <c r="B7949">
        <v>20000</v>
      </c>
      <c r="C7949" t="str">
        <f t="shared" si="124"/>
        <v>3. $50K-250K</v>
      </c>
      <c r="D7949" t="s">
        <v>2461</v>
      </c>
      <c r="E7949" t="s">
        <v>112</v>
      </c>
      <c r="F7949" t="s">
        <v>668</v>
      </c>
      <c r="G7949" t="s">
        <v>59</v>
      </c>
      <c r="H7949">
        <v>2024</v>
      </c>
    </row>
    <row r="7950" spans="1:8" x14ac:dyDescent="0.2">
      <c r="A7950">
        <v>293288</v>
      </c>
      <c r="B7950">
        <v>250000</v>
      </c>
      <c r="C7950" t="str">
        <f t="shared" si="124"/>
        <v>2. $10K-50K</v>
      </c>
      <c r="D7950" t="s">
        <v>1246</v>
      </c>
      <c r="E7950" t="s">
        <v>99</v>
      </c>
      <c r="F7950" t="s">
        <v>668</v>
      </c>
      <c r="G7950" t="s">
        <v>59</v>
      </c>
      <c r="H7950">
        <v>2024</v>
      </c>
    </row>
    <row r="7951" spans="1:8" x14ac:dyDescent="0.2">
      <c r="A7951">
        <v>293289</v>
      </c>
      <c r="B7951">
        <v>90000</v>
      </c>
      <c r="C7951" t="str">
        <f t="shared" si="124"/>
        <v>4. $250K-1M</v>
      </c>
      <c r="D7951" t="s">
        <v>1391</v>
      </c>
      <c r="E7951" t="s">
        <v>112</v>
      </c>
      <c r="F7951" t="s">
        <v>668</v>
      </c>
      <c r="G7951" t="s">
        <v>59</v>
      </c>
      <c r="H7951">
        <v>2024</v>
      </c>
    </row>
    <row r="7952" spans="1:8" x14ac:dyDescent="0.2">
      <c r="A7952">
        <v>293291</v>
      </c>
      <c r="B7952">
        <v>90000</v>
      </c>
      <c r="C7952" t="str">
        <f t="shared" si="124"/>
        <v>3. $50K-250K</v>
      </c>
      <c r="D7952" t="s">
        <v>1111</v>
      </c>
      <c r="E7952" t="s">
        <v>112</v>
      </c>
      <c r="F7952" t="s">
        <v>668</v>
      </c>
      <c r="G7952" t="s">
        <v>59</v>
      </c>
      <c r="H7952">
        <v>2024</v>
      </c>
    </row>
    <row r="7953" spans="1:8" x14ac:dyDescent="0.2">
      <c r="A7953">
        <v>293326</v>
      </c>
      <c r="B7953">
        <v>200000</v>
      </c>
      <c r="C7953" t="str">
        <f t="shared" si="124"/>
        <v>3. $50K-250K</v>
      </c>
      <c r="D7953" t="s">
        <v>1611</v>
      </c>
      <c r="E7953" t="s">
        <v>237</v>
      </c>
      <c r="F7953" t="s">
        <v>670</v>
      </c>
      <c r="G7953" t="s">
        <v>59</v>
      </c>
      <c r="H7953">
        <v>2024</v>
      </c>
    </row>
    <row r="7954" spans="1:8" x14ac:dyDescent="0.2">
      <c r="A7954">
        <v>293337</v>
      </c>
      <c r="B7954">
        <v>280935.59999999998</v>
      </c>
      <c r="C7954" t="str">
        <f t="shared" si="124"/>
        <v>3. $50K-250K</v>
      </c>
      <c r="D7954" t="s">
        <v>874</v>
      </c>
      <c r="E7954" t="s">
        <v>237</v>
      </c>
      <c r="F7954" t="s">
        <v>670</v>
      </c>
      <c r="G7954" t="s">
        <v>59</v>
      </c>
      <c r="H7954">
        <v>2024</v>
      </c>
    </row>
    <row r="7955" spans="1:8" x14ac:dyDescent="0.2">
      <c r="A7955">
        <v>293360</v>
      </c>
      <c r="B7955">
        <v>35690</v>
      </c>
      <c r="C7955" t="str">
        <f t="shared" si="124"/>
        <v>4. $250K-1M</v>
      </c>
      <c r="D7955" t="s">
        <v>977</v>
      </c>
      <c r="E7955" t="s">
        <v>42</v>
      </c>
      <c r="F7955" t="s">
        <v>670</v>
      </c>
      <c r="G7955" t="s">
        <v>59</v>
      </c>
      <c r="H7955">
        <v>2024</v>
      </c>
    </row>
    <row r="7956" spans="1:8" x14ac:dyDescent="0.2">
      <c r="A7956">
        <v>293382</v>
      </c>
      <c r="B7956">
        <v>15000</v>
      </c>
      <c r="C7956" t="str">
        <f t="shared" si="124"/>
        <v>2. $10K-50K</v>
      </c>
      <c r="D7956" t="s">
        <v>1611</v>
      </c>
      <c r="E7956" t="s">
        <v>237</v>
      </c>
      <c r="F7956" t="s">
        <v>670</v>
      </c>
      <c r="G7956" t="s">
        <v>59</v>
      </c>
      <c r="H7956">
        <v>2024</v>
      </c>
    </row>
    <row r="7957" spans="1:8" x14ac:dyDescent="0.2">
      <c r="A7957">
        <v>293383</v>
      </c>
      <c r="B7957">
        <v>750</v>
      </c>
      <c r="C7957" t="str">
        <f t="shared" si="124"/>
        <v>2. $10K-50K</v>
      </c>
      <c r="D7957" t="s">
        <v>1611</v>
      </c>
      <c r="E7957" t="s">
        <v>237</v>
      </c>
      <c r="F7957" t="s">
        <v>670</v>
      </c>
      <c r="G7957" t="s">
        <v>59</v>
      </c>
      <c r="H7957">
        <v>2024</v>
      </c>
    </row>
    <row r="7958" spans="1:8" x14ac:dyDescent="0.2">
      <c r="A7958">
        <v>293384</v>
      </c>
      <c r="B7958">
        <v>22112.6</v>
      </c>
      <c r="C7958" t="str">
        <f t="shared" si="124"/>
        <v>1. Under $10K</v>
      </c>
      <c r="D7958" t="s">
        <v>977</v>
      </c>
      <c r="E7958" t="s">
        <v>42</v>
      </c>
      <c r="F7958" t="s">
        <v>670</v>
      </c>
      <c r="G7958" t="s">
        <v>59</v>
      </c>
      <c r="H7958">
        <v>2024</v>
      </c>
    </row>
    <row r="7959" spans="1:8" x14ac:dyDescent="0.2">
      <c r="A7959">
        <v>293506</v>
      </c>
      <c r="B7959">
        <v>319295.3</v>
      </c>
      <c r="C7959" t="str">
        <f t="shared" si="124"/>
        <v>2. $10K-50K</v>
      </c>
      <c r="D7959" t="s">
        <v>1021</v>
      </c>
      <c r="E7959" t="s">
        <v>42</v>
      </c>
      <c r="F7959" t="s">
        <v>670</v>
      </c>
      <c r="G7959" t="s">
        <v>59</v>
      </c>
      <c r="H7959">
        <v>2024</v>
      </c>
    </row>
    <row r="7960" spans="1:8" x14ac:dyDescent="0.2">
      <c r="A7960">
        <v>293548</v>
      </c>
      <c r="B7960">
        <v>200000</v>
      </c>
      <c r="C7960" t="str">
        <f t="shared" si="124"/>
        <v>4. $250K-1M</v>
      </c>
      <c r="D7960" t="s">
        <v>1611</v>
      </c>
      <c r="E7960" t="s">
        <v>237</v>
      </c>
      <c r="F7960" t="s">
        <v>670</v>
      </c>
      <c r="G7960" t="s">
        <v>59</v>
      </c>
      <c r="H7960">
        <v>2024</v>
      </c>
    </row>
    <row r="7961" spans="1:8" x14ac:dyDescent="0.2">
      <c r="A7961">
        <v>293585</v>
      </c>
      <c r="B7961">
        <v>29422.400000000001</v>
      </c>
      <c r="C7961" t="str">
        <f t="shared" si="124"/>
        <v>3. $50K-250K</v>
      </c>
      <c r="D7961" t="s">
        <v>978</v>
      </c>
      <c r="E7961" t="s">
        <v>42</v>
      </c>
      <c r="F7961" t="s">
        <v>670</v>
      </c>
      <c r="G7961" t="s">
        <v>59</v>
      </c>
      <c r="H7961">
        <v>2024</v>
      </c>
    </row>
    <row r="7962" spans="1:8" x14ac:dyDescent="0.2">
      <c r="A7962">
        <v>293589</v>
      </c>
      <c r="B7962">
        <v>1232183.6000000001</v>
      </c>
      <c r="C7962" t="str">
        <f t="shared" si="124"/>
        <v>2. $10K-50K</v>
      </c>
      <c r="D7962" t="s">
        <v>1024</v>
      </c>
      <c r="E7962" t="s">
        <v>42</v>
      </c>
      <c r="F7962" t="s">
        <v>670</v>
      </c>
      <c r="G7962" t="s">
        <v>59</v>
      </c>
      <c r="H7962">
        <v>2025</v>
      </c>
    </row>
    <row r="7963" spans="1:8" x14ac:dyDescent="0.2">
      <c r="A7963">
        <v>293597</v>
      </c>
      <c r="B7963">
        <v>375000</v>
      </c>
      <c r="C7963" t="str">
        <f t="shared" si="124"/>
        <v>5. $1M+</v>
      </c>
      <c r="D7963" t="s">
        <v>1000</v>
      </c>
      <c r="E7963" t="s">
        <v>42</v>
      </c>
      <c r="F7963" t="s">
        <v>670</v>
      </c>
      <c r="G7963" t="s">
        <v>59</v>
      </c>
      <c r="H7963">
        <v>2024</v>
      </c>
    </row>
    <row r="7964" spans="1:8" x14ac:dyDescent="0.2">
      <c r="A7964">
        <v>293601</v>
      </c>
      <c r="B7964">
        <v>373729</v>
      </c>
      <c r="C7964" t="str">
        <f t="shared" si="124"/>
        <v>4. $250K-1M</v>
      </c>
      <c r="D7964" t="s">
        <v>1730</v>
      </c>
      <c r="E7964" t="s">
        <v>42</v>
      </c>
      <c r="F7964" t="s">
        <v>670</v>
      </c>
      <c r="G7964" t="s">
        <v>59</v>
      </c>
      <c r="H7964">
        <v>2024</v>
      </c>
    </row>
    <row r="7965" spans="1:8" x14ac:dyDescent="0.2">
      <c r="A7965">
        <v>293606</v>
      </c>
      <c r="B7965">
        <v>20000</v>
      </c>
      <c r="C7965" t="str">
        <f t="shared" si="124"/>
        <v>4. $250K-1M</v>
      </c>
      <c r="D7965" t="s">
        <v>1124</v>
      </c>
      <c r="E7965" t="s">
        <v>112</v>
      </c>
      <c r="F7965" t="s">
        <v>668</v>
      </c>
      <c r="G7965" t="s">
        <v>59</v>
      </c>
      <c r="H7965">
        <v>2024</v>
      </c>
    </row>
    <row r="7966" spans="1:8" x14ac:dyDescent="0.2">
      <c r="A7966">
        <v>293614</v>
      </c>
      <c r="B7966">
        <v>50000</v>
      </c>
      <c r="C7966" t="str">
        <f t="shared" si="124"/>
        <v>2. $10K-50K</v>
      </c>
      <c r="D7966" t="s">
        <v>2462</v>
      </c>
      <c r="E7966" t="s">
        <v>112</v>
      </c>
      <c r="F7966" t="s">
        <v>668</v>
      </c>
      <c r="G7966" t="s">
        <v>59</v>
      </c>
      <c r="H7966">
        <v>2024</v>
      </c>
    </row>
    <row r="7967" spans="1:8" x14ac:dyDescent="0.2">
      <c r="A7967">
        <v>293616</v>
      </c>
      <c r="B7967">
        <v>20000</v>
      </c>
      <c r="C7967" t="str">
        <f t="shared" si="124"/>
        <v>3. $50K-250K</v>
      </c>
      <c r="D7967" t="s">
        <v>1284</v>
      </c>
      <c r="E7967" t="s">
        <v>112</v>
      </c>
      <c r="F7967" t="s">
        <v>668</v>
      </c>
      <c r="G7967" t="s">
        <v>59</v>
      </c>
      <c r="H7967">
        <v>2024</v>
      </c>
    </row>
    <row r="7968" spans="1:8" x14ac:dyDescent="0.2">
      <c r="A7968">
        <v>293617</v>
      </c>
      <c r="B7968">
        <v>556499</v>
      </c>
      <c r="C7968" t="str">
        <f t="shared" si="124"/>
        <v>2. $10K-50K</v>
      </c>
      <c r="D7968" t="s">
        <v>2463</v>
      </c>
      <c r="E7968" t="s">
        <v>237</v>
      </c>
      <c r="F7968" t="s">
        <v>670</v>
      </c>
      <c r="G7968" t="s">
        <v>44</v>
      </c>
      <c r="H7968">
        <v>2025</v>
      </c>
    </row>
    <row r="7969" spans="1:8" x14ac:dyDescent="0.2">
      <c r="A7969">
        <v>293620</v>
      </c>
      <c r="B7969">
        <v>90000</v>
      </c>
      <c r="C7969" t="str">
        <f t="shared" si="124"/>
        <v>4. $250K-1M</v>
      </c>
      <c r="D7969" t="s">
        <v>1237</v>
      </c>
      <c r="E7969" t="s">
        <v>112</v>
      </c>
      <c r="F7969" t="s">
        <v>668</v>
      </c>
      <c r="G7969" t="s">
        <v>59</v>
      </c>
      <c r="H7969">
        <v>2024</v>
      </c>
    </row>
    <row r="7970" spans="1:8" x14ac:dyDescent="0.2">
      <c r="A7970">
        <v>293623</v>
      </c>
      <c r="B7970">
        <v>60000</v>
      </c>
      <c r="C7970" t="str">
        <f t="shared" si="124"/>
        <v>3. $50K-250K</v>
      </c>
      <c r="D7970" t="s">
        <v>1300</v>
      </c>
      <c r="E7970" t="s">
        <v>112</v>
      </c>
      <c r="F7970" t="s">
        <v>668</v>
      </c>
      <c r="G7970" t="s">
        <v>59</v>
      </c>
      <c r="H7970">
        <v>2024</v>
      </c>
    </row>
    <row r="7971" spans="1:8" x14ac:dyDescent="0.2">
      <c r="A7971">
        <v>293625</v>
      </c>
      <c r="B7971">
        <v>70000</v>
      </c>
      <c r="C7971" t="str">
        <f t="shared" si="124"/>
        <v>3. $50K-250K</v>
      </c>
      <c r="D7971" t="s">
        <v>1332</v>
      </c>
      <c r="E7971" t="s">
        <v>112</v>
      </c>
      <c r="F7971" t="s">
        <v>668</v>
      </c>
      <c r="G7971" t="s">
        <v>59</v>
      </c>
      <c r="H7971">
        <v>2024</v>
      </c>
    </row>
    <row r="7972" spans="1:8" x14ac:dyDescent="0.2">
      <c r="A7972">
        <v>293634</v>
      </c>
      <c r="B7972">
        <v>70000</v>
      </c>
      <c r="C7972" t="str">
        <f t="shared" si="124"/>
        <v>3. $50K-250K</v>
      </c>
      <c r="D7972" t="s">
        <v>1076</v>
      </c>
      <c r="E7972" t="s">
        <v>112</v>
      </c>
      <c r="F7972" t="s">
        <v>668</v>
      </c>
      <c r="G7972" t="s">
        <v>59</v>
      </c>
      <c r="H7972">
        <v>2024</v>
      </c>
    </row>
    <row r="7973" spans="1:8" x14ac:dyDescent="0.2">
      <c r="A7973">
        <v>293639</v>
      </c>
      <c r="B7973">
        <v>90000</v>
      </c>
      <c r="C7973" t="str">
        <f t="shared" si="124"/>
        <v>3. $50K-250K</v>
      </c>
      <c r="D7973" t="s">
        <v>1142</v>
      </c>
      <c r="E7973" t="s">
        <v>112</v>
      </c>
      <c r="F7973" t="s">
        <v>668</v>
      </c>
      <c r="G7973" t="s">
        <v>59</v>
      </c>
      <c r="H7973">
        <v>2024</v>
      </c>
    </row>
    <row r="7974" spans="1:8" x14ac:dyDescent="0.2">
      <c r="A7974">
        <v>293642</v>
      </c>
      <c r="B7974">
        <v>20000</v>
      </c>
      <c r="C7974" t="str">
        <f t="shared" si="124"/>
        <v>3. $50K-250K</v>
      </c>
      <c r="D7974" t="s">
        <v>1263</v>
      </c>
      <c r="E7974" t="s">
        <v>112</v>
      </c>
      <c r="F7974" t="s">
        <v>668</v>
      </c>
      <c r="G7974" t="s">
        <v>59</v>
      </c>
      <c r="H7974">
        <v>2024</v>
      </c>
    </row>
    <row r="7975" spans="1:8" x14ac:dyDescent="0.2">
      <c r="A7975">
        <v>293644</v>
      </c>
      <c r="B7975">
        <v>30000</v>
      </c>
      <c r="C7975" t="str">
        <f t="shared" si="124"/>
        <v>2. $10K-50K</v>
      </c>
      <c r="D7975" t="s">
        <v>1268</v>
      </c>
      <c r="E7975" t="s">
        <v>112</v>
      </c>
      <c r="F7975" t="s">
        <v>668</v>
      </c>
      <c r="G7975" t="s">
        <v>59</v>
      </c>
      <c r="H7975">
        <v>2024</v>
      </c>
    </row>
    <row r="7976" spans="1:8" x14ac:dyDescent="0.2">
      <c r="A7976">
        <v>293657</v>
      </c>
      <c r="B7976">
        <v>40000</v>
      </c>
      <c r="C7976" t="str">
        <f t="shared" si="124"/>
        <v>2. $10K-50K</v>
      </c>
      <c r="D7976" t="s">
        <v>1316</v>
      </c>
      <c r="E7976" t="s">
        <v>112</v>
      </c>
      <c r="F7976" t="s">
        <v>668</v>
      </c>
      <c r="G7976" t="s">
        <v>59</v>
      </c>
      <c r="H7976">
        <v>2024</v>
      </c>
    </row>
    <row r="7977" spans="1:8" x14ac:dyDescent="0.2">
      <c r="A7977">
        <v>293673</v>
      </c>
      <c r="B7977">
        <v>150000</v>
      </c>
      <c r="C7977" t="str">
        <f t="shared" si="124"/>
        <v>2. $10K-50K</v>
      </c>
      <c r="D7977" t="s">
        <v>1453</v>
      </c>
      <c r="E7977" t="s">
        <v>99</v>
      </c>
      <c r="F7977" t="s">
        <v>668</v>
      </c>
      <c r="G7977" t="s">
        <v>59</v>
      </c>
      <c r="H7977">
        <v>2024</v>
      </c>
    </row>
    <row r="7978" spans="1:8" x14ac:dyDescent="0.2">
      <c r="A7978">
        <v>293682</v>
      </c>
      <c r="B7978">
        <v>30000</v>
      </c>
      <c r="C7978" t="str">
        <f t="shared" si="124"/>
        <v>3. $50K-250K</v>
      </c>
      <c r="D7978" t="s">
        <v>2464</v>
      </c>
      <c r="E7978" t="s">
        <v>112</v>
      </c>
      <c r="F7978" t="s">
        <v>668</v>
      </c>
      <c r="G7978" t="s">
        <v>59</v>
      </c>
      <c r="H7978">
        <v>2024</v>
      </c>
    </row>
    <row r="7979" spans="1:8" x14ac:dyDescent="0.2">
      <c r="A7979">
        <v>293683</v>
      </c>
      <c r="B7979">
        <v>5000</v>
      </c>
      <c r="C7979" t="str">
        <f t="shared" si="124"/>
        <v>2. $10K-50K</v>
      </c>
      <c r="D7979" t="s">
        <v>2372</v>
      </c>
      <c r="E7979" t="s">
        <v>112</v>
      </c>
      <c r="F7979" t="s">
        <v>668</v>
      </c>
      <c r="G7979" t="s">
        <v>59</v>
      </c>
      <c r="H7979">
        <v>2024</v>
      </c>
    </row>
    <row r="7980" spans="1:8" x14ac:dyDescent="0.2">
      <c r="A7980">
        <v>293685</v>
      </c>
      <c r="B7980">
        <v>5000</v>
      </c>
      <c r="C7980" t="str">
        <f t="shared" si="124"/>
        <v>1. Under $10K</v>
      </c>
      <c r="D7980" t="s">
        <v>2369</v>
      </c>
      <c r="E7980" t="s">
        <v>112</v>
      </c>
      <c r="F7980" t="s">
        <v>668</v>
      </c>
      <c r="G7980" t="s">
        <v>59</v>
      </c>
      <c r="H7980">
        <v>2024</v>
      </c>
    </row>
    <row r="7981" spans="1:8" x14ac:dyDescent="0.2">
      <c r="A7981">
        <v>293686</v>
      </c>
      <c r="B7981">
        <v>5000</v>
      </c>
      <c r="C7981" t="str">
        <f t="shared" si="124"/>
        <v>1. Under $10K</v>
      </c>
      <c r="D7981" t="s">
        <v>2371</v>
      </c>
      <c r="E7981" t="s">
        <v>112</v>
      </c>
      <c r="F7981" t="s">
        <v>668</v>
      </c>
      <c r="G7981" t="s">
        <v>59</v>
      </c>
      <c r="H7981">
        <v>2024</v>
      </c>
    </row>
    <row r="7982" spans="1:8" x14ac:dyDescent="0.2">
      <c r="A7982">
        <v>293690</v>
      </c>
      <c r="B7982">
        <v>60000</v>
      </c>
      <c r="C7982" t="str">
        <f t="shared" si="124"/>
        <v>1. Under $10K</v>
      </c>
      <c r="D7982" t="s">
        <v>1345</v>
      </c>
      <c r="E7982" t="s">
        <v>112</v>
      </c>
      <c r="F7982" t="s">
        <v>668</v>
      </c>
      <c r="G7982" t="s">
        <v>59</v>
      </c>
      <c r="H7982">
        <v>2024</v>
      </c>
    </row>
    <row r="7983" spans="1:8" x14ac:dyDescent="0.2">
      <c r="A7983">
        <v>293691</v>
      </c>
      <c r="B7983">
        <v>80000</v>
      </c>
      <c r="C7983" t="str">
        <f t="shared" si="124"/>
        <v>3. $50K-250K</v>
      </c>
      <c r="D7983" t="s">
        <v>1160</v>
      </c>
      <c r="E7983" t="s">
        <v>112</v>
      </c>
      <c r="F7983" t="s">
        <v>668</v>
      </c>
      <c r="G7983" t="s">
        <v>59</v>
      </c>
      <c r="H7983">
        <v>2024</v>
      </c>
    </row>
    <row r="7984" spans="1:8" x14ac:dyDescent="0.2">
      <c r="A7984">
        <v>293692</v>
      </c>
      <c r="B7984">
        <v>20000</v>
      </c>
      <c r="C7984" t="str">
        <f t="shared" si="124"/>
        <v>3. $50K-250K</v>
      </c>
      <c r="D7984" t="s">
        <v>1119</v>
      </c>
      <c r="E7984" t="s">
        <v>112</v>
      </c>
      <c r="F7984" t="s">
        <v>668</v>
      </c>
      <c r="G7984" t="s">
        <v>59</v>
      </c>
      <c r="H7984">
        <v>2024</v>
      </c>
    </row>
    <row r="7985" spans="1:8" x14ac:dyDescent="0.2">
      <c r="A7985">
        <v>293710</v>
      </c>
      <c r="B7985">
        <v>20000</v>
      </c>
      <c r="C7985" t="str">
        <f t="shared" si="124"/>
        <v>2. $10K-50K</v>
      </c>
      <c r="D7985" t="s">
        <v>1165</v>
      </c>
      <c r="E7985" t="s">
        <v>112</v>
      </c>
      <c r="F7985" t="s">
        <v>668</v>
      </c>
      <c r="G7985" t="s">
        <v>59</v>
      </c>
      <c r="H7985">
        <v>2024</v>
      </c>
    </row>
    <row r="7986" spans="1:8" x14ac:dyDescent="0.2">
      <c r="A7986">
        <v>293714</v>
      </c>
      <c r="B7986">
        <v>30000</v>
      </c>
      <c r="C7986" t="str">
        <f t="shared" si="124"/>
        <v>2. $10K-50K</v>
      </c>
      <c r="D7986" t="s">
        <v>2465</v>
      </c>
      <c r="E7986" t="s">
        <v>112</v>
      </c>
      <c r="F7986" t="s">
        <v>668</v>
      </c>
      <c r="G7986" t="s">
        <v>59</v>
      </c>
      <c r="H7986">
        <v>2024</v>
      </c>
    </row>
    <row r="7987" spans="1:8" x14ac:dyDescent="0.2">
      <c r="A7987">
        <v>293717</v>
      </c>
      <c r="B7987">
        <v>60000</v>
      </c>
      <c r="C7987" t="str">
        <f t="shared" si="124"/>
        <v>2. $10K-50K</v>
      </c>
      <c r="D7987" t="s">
        <v>1155</v>
      </c>
      <c r="E7987" t="s">
        <v>112</v>
      </c>
      <c r="F7987" t="s">
        <v>668</v>
      </c>
      <c r="G7987" t="s">
        <v>59</v>
      </c>
      <c r="H7987">
        <v>2024</v>
      </c>
    </row>
    <row r="7988" spans="1:8" x14ac:dyDescent="0.2">
      <c r="A7988">
        <v>293718</v>
      </c>
      <c r="B7988">
        <v>90000</v>
      </c>
      <c r="C7988" t="str">
        <f t="shared" si="124"/>
        <v>3. $50K-250K</v>
      </c>
      <c r="D7988" t="s">
        <v>1166</v>
      </c>
      <c r="E7988" t="s">
        <v>112</v>
      </c>
      <c r="F7988" t="s">
        <v>668</v>
      </c>
      <c r="G7988" t="s">
        <v>59</v>
      </c>
      <c r="H7988">
        <v>2024</v>
      </c>
    </row>
    <row r="7989" spans="1:8" x14ac:dyDescent="0.2">
      <c r="A7989">
        <v>293720</v>
      </c>
      <c r="B7989">
        <v>20000</v>
      </c>
      <c r="C7989" t="str">
        <f t="shared" si="124"/>
        <v>3. $50K-250K</v>
      </c>
      <c r="D7989" t="s">
        <v>1239</v>
      </c>
      <c r="E7989" t="s">
        <v>112</v>
      </c>
      <c r="F7989" t="s">
        <v>668</v>
      </c>
      <c r="G7989" t="s">
        <v>59</v>
      </c>
      <c r="H7989">
        <v>2024</v>
      </c>
    </row>
    <row r="7990" spans="1:8" x14ac:dyDescent="0.2">
      <c r="A7990">
        <v>293723</v>
      </c>
      <c r="B7990">
        <v>30000</v>
      </c>
      <c r="C7990" t="str">
        <f t="shared" si="124"/>
        <v>2. $10K-50K</v>
      </c>
      <c r="D7990" t="s">
        <v>1148</v>
      </c>
      <c r="E7990" t="s">
        <v>112</v>
      </c>
      <c r="F7990" t="s">
        <v>668</v>
      </c>
      <c r="G7990" t="s">
        <v>59</v>
      </c>
      <c r="H7990">
        <v>2024</v>
      </c>
    </row>
    <row r="7991" spans="1:8" x14ac:dyDescent="0.2">
      <c r="A7991">
        <v>293725</v>
      </c>
      <c r="B7991">
        <v>16000</v>
      </c>
      <c r="C7991" t="str">
        <f t="shared" si="124"/>
        <v>2. $10K-50K</v>
      </c>
      <c r="D7991" t="s">
        <v>1221</v>
      </c>
      <c r="E7991" t="s">
        <v>112</v>
      </c>
      <c r="F7991" t="s">
        <v>668</v>
      </c>
      <c r="G7991" t="s">
        <v>59</v>
      </c>
      <c r="H7991">
        <v>2024</v>
      </c>
    </row>
    <row r="7992" spans="1:8" x14ac:dyDescent="0.2">
      <c r="A7992">
        <v>293728</v>
      </c>
      <c r="B7992">
        <v>8000</v>
      </c>
      <c r="C7992" t="str">
        <f t="shared" si="124"/>
        <v>2. $10K-50K</v>
      </c>
      <c r="D7992" t="s">
        <v>2466</v>
      </c>
      <c r="E7992" t="s">
        <v>112</v>
      </c>
      <c r="F7992" t="s">
        <v>668</v>
      </c>
      <c r="G7992" t="s">
        <v>59</v>
      </c>
      <c r="H7992">
        <v>2024</v>
      </c>
    </row>
    <row r="7993" spans="1:8" x14ac:dyDescent="0.2">
      <c r="A7993">
        <v>293730</v>
      </c>
      <c r="B7993">
        <v>20000</v>
      </c>
      <c r="C7993" t="str">
        <f t="shared" si="124"/>
        <v>1. Under $10K</v>
      </c>
      <c r="D7993" t="s">
        <v>1271</v>
      </c>
      <c r="E7993" t="s">
        <v>112</v>
      </c>
      <c r="F7993" t="s">
        <v>668</v>
      </c>
      <c r="G7993" t="s">
        <v>59</v>
      </c>
      <c r="H7993">
        <v>2024</v>
      </c>
    </row>
    <row r="7994" spans="1:8" x14ac:dyDescent="0.2">
      <c r="A7994">
        <v>293732</v>
      </c>
      <c r="B7994">
        <v>30000</v>
      </c>
      <c r="C7994" t="str">
        <f t="shared" si="124"/>
        <v>2. $10K-50K</v>
      </c>
      <c r="D7994" t="s">
        <v>2467</v>
      </c>
      <c r="E7994" t="s">
        <v>112</v>
      </c>
      <c r="F7994" t="s">
        <v>668</v>
      </c>
      <c r="G7994" t="s">
        <v>59</v>
      </c>
      <c r="H7994">
        <v>2024</v>
      </c>
    </row>
    <row r="7995" spans="1:8" x14ac:dyDescent="0.2">
      <c r="A7995">
        <v>293834</v>
      </c>
      <c r="B7995">
        <v>70000</v>
      </c>
      <c r="C7995" t="str">
        <f t="shared" si="124"/>
        <v>2. $10K-50K</v>
      </c>
      <c r="D7995" t="s">
        <v>1336</v>
      </c>
      <c r="E7995" t="s">
        <v>112</v>
      </c>
      <c r="F7995" t="s">
        <v>668</v>
      </c>
      <c r="G7995" t="s">
        <v>59</v>
      </c>
      <c r="H7995">
        <v>2024</v>
      </c>
    </row>
    <row r="7996" spans="1:8" x14ac:dyDescent="0.2">
      <c r="A7996">
        <v>293841</v>
      </c>
      <c r="B7996">
        <v>40000</v>
      </c>
      <c r="C7996" t="str">
        <f t="shared" si="124"/>
        <v>3. $50K-250K</v>
      </c>
      <c r="D7996" t="s">
        <v>1114</v>
      </c>
      <c r="E7996" t="s">
        <v>112</v>
      </c>
      <c r="F7996" t="s">
        <v>668</v>
      </c>
      <c r="G7996" t="s">
        <v>59</v>
      </c>
      <c r="H7996">
        <v>2024</v>
      </c>
    </row>
    <row r="7997" spans="1:8" x14ac:dyDescent="0.2">
      <c r="A7997">
        <v>293846</v>
      </c>
      <c r="B7997">
        <v>20000</v>
      </c>
      <c r="C7997" t="str">
        <f t="shared" si="124"/>
        <v>2. $10K-50K</v>
      </c>
      <c r="D7997" t="s">
        <v>1321</v>
      </c>
      <c r="E7997" t="s">
        <v>112</v>
      </c>
      <c r="F7997" t="s">
        <v>668</v>
      </c>
      <c r="G7997" t="s">
        <v>59</v>
      </c>
      <c r="H7997">
        <v>2024</v>
      </c>
    </row>
    <row r="7998" spans="1:8" x14ac:dyDescent="0.2">
      <c r="A7998">
        <v>293888</v>
      </c>
      <c r="B7998">
        <v>211200</v>
      </c>
      <c r="C7998" t="str">
        <f t="shared" si="124"/>
        <v>2. $10K-50K</v>
      </c>
      <c r="D7998" t="s">
        <v>869</v>
      </c>
      <c r="E7998" t="s">
        <v>237</v>
      </c>
      <c r="F7998" t="s">
        <v>670</v>
      </c>
      <c r="G7998" t="s">
        <v>59</v>
      </c>
      <c r="H7998">
        <v>2025</v>
      </c>
    </row>
    <row r="7999" spans="1:8" x14ac:dyDescent="0.2">
      <c r="A7999">
        <v>293889</v>
      </c>
      <c r="B7999">
        <v>211200</v>
      </c>
      <c r="C7999" t="str">
        <f t="shared" si="124"/>
        <v>3. $50K-250K</v>
      </c>
      <c r="D7999" t="s">
        <v>694</v>
      </c>
      <c r="E7999" t="s">
        <v>237</v>
      </c>
      <c r="F7999" t="s">
        <v>670</v>
      </c>
      <c r="G7999" t="s">
        <v>59</v>
      </c>
      <c r="H7999">
        <v>2025</v>
      </c>
    </row>
    <row r="8000" spans="1:8" x14ac:dyDescent="0.2">
      <c r="A8000">
        <v>293890</v>
      </c>
      <c r="B8000">
        <v>211200</v>
      </c>
      <c r="C8000" t="str">
        <f t="shared" si="124"/>
        <v>3. $50K-250K</v>
      </c>
      <c r="D8000" t="s">
        <v>907</v>
      </c>
      <c r="E8000" t="s">
        <v>237</v>
      </c>
      <c r="F8000" t="s">
        <v>670</v>
      </c>
      <c r="G8000" t="s">
        <v>59</v>
      </c>
      <c r="H8000">
        <v>2025</v>
      </c>
    </row>
    <row r="8001" spans="1:8" x14ac:dyDescent="0.2">
      <c r="A8001">
        <v>293896</v>
      </c>
      <c r="B8001">
        <v>100000</v>
      </c>
      <c r="C8001" t="str">
        <f t="shared" si="124"/>
        <v>3. $50K-250K</v>
      </c>
      <c r="D8001" t="s">
        <v>1270</v>
      </c>
      <c r="E8001" t="s">
        <v>112</v>
      </c>
      <c r="F8001" t="s">
        <v>668</v>
      </c>
      <c r="G8001" t="s">
        <v>59</v>
      </c>
      <c r="H8001">
        <v>2024</v>
      </c>
    </row>
    <row r="8002" spans="1:8" x14ac:dyDescent="0.2">
      <c r="A8002">
        <v>293900</v>
      </c>
      <c r="B8002">
        <v>40000</v>
      </c>
      <c r="C8002" t="str">
        <f t="shared" si="124"/>
        <v>3. $50K-250K</v>
      </c>
      <c r="D8002" t="s">
        <v>1135</v>
      </c>
      <c r="E8002" t="s">
        <v>112</v>
      </c>
      <c r="F8002" t="s">
        <v>668</v>
      </c>
      <c r="G8002" t="s">
        <v>59</v>
      </c>
      <c r="H8002">
        <v>2024</v>
      </c>
    </row>
    <row r="8003" spans="1:8" x14ac:dyDescent="0.2">
      <c r="A8003">
        <v>293906</v>
      </c>
      <c r="B8003">
        <v>40000</v>
      </c>
      <c r="C8003" t="str">
        <f t="shared" ref="C8003:C8066" si="125">IF(B8002&lt;10000,"1. Under $10K",IF(B8002&lt;50000,"2. $10K-50K",IF(B8002&lt;250000,"3. $50K-250K",IF(B8002&lt;1000000,"4. $250K-1M","5. $1M+"))))</f>
        <v>2. $10K-50K</v>
      </c>
      <c r="D8003" t="s">
        <v>1242</v>
      </c>
      <c r="E8003" t="s">
        <v>112</v>
      </c>
      <c r="F8003" t="s">
        <v>668</v>
      </c>
      <c r="G8003" t="s">
        <v>59</v>
      </c>
      <c r="H8003">
        <v>2024</v>
      </c>
    </row>
    <row r="8004" spans="1:8" x14ac:dyDescent="0.2">
      <c r="A8004">
        <v>293907</v>
      </c>
      <c r="B8004">
        <v>360000</v>
      </c>
      <c r="C8004" t="str">
        <f t="shared" si="125"/>
        <v>2. $10K-50K</v>
      </c>
      <c r="D8004" t="s">
        <v>1022</v>
      </c>
      <c r="E8004" t="s">
        <v>59</v>
      </c>
      <c r="F8004" t="s">
        <v>670</v>
      </c>
      <c r="G8004" t="s">
        <v>59</v>
      </c>
      <c r="H8004">
        <v>2025</v>
      </c>
    </row>
    <row r="8005" spans="1:8" x14ac:dyDescent="0.2">
      <c r="A8005">
        <v>293911</v>
      </c>
      <c r="B8005">
        <v>40000</v>
      </c>
      <c r="C8005" t="str">
        <f t="shared" si="125"/>
        <v>4. $250K-1M</v>
      </c>
      <c r="D8005" t="s">
        <v>1314</v>
      </c>
      <c r="E8005" t="s">
        <v>112</v>
      </c>
      <c r="F8005" t="s">
        <v>668</v>
      </c>
      <c r="G8005" t="s">
        <v>59</v>
      </c>
      <c r="H8005">
        <v>2024</v>
      </c>
    </row>
    <row r="8006" spans="1:8" x14ac:dyDescent="0.2">
      <c r="A8006">
        <v>293915</v>
      </c>
      <c r="B8006">
        <v>211200</v>
      </c>
      <c r="C8006" t="str">
        <f t="shared" si="125"/>
        <v>2. $10K-50K</v>
      </c>
      <c r="D8006" t="s">
        <v>803</v>
      </c>
      <c r="E8006" t="s">
        <v>237</v>
      </c>
      <c r="F8006" t="s">
        <v>670</v>
      </c>
      <c r="G8006" t="s">
        <v>59</v>
      </c>
      <c r="H8006">
        <v>2025</v>
      </c>
    </row>
    <row r="8007" spans="1:8" x14ac:dyDescent="0.2">
      <c r="A8007">
        <v>293928</v>
      </c>
      <c r="B8007">
        <v>50000</v>
      </c>
      <c r="C8007" t="str">
        <f t="shared" si="125"/>
        <v>3. $50K-250K</v>
      </c>
      <c r="D8007" t="s">
        <v>1331</v>
      </c>
      <c r="E8007" t="s">
        <v>112</v>
      </c>
      <c r="F8007" t="s">
        <v>668</v>
      </c>
      <c r="G8007" t="s">
        <v>59</v>
      </c>
      <c r="H8007">
        <v>2024</v>
      </c>
    </row>
    <row r="8008" spans="1:8" x14ac:dyDescent="0.2">
      <c r="A8008">
        <v>293955</v>
      </c>
      <c r="B8008">
        <v>50000</v>
      </c>
      <c r="C8008" t="str">
        <f t="shared" si="125"/>
        <v>3. $50K-250K</v>
      </c>
      <c r="D8008" t="s">
        <v>1231</v>
      </c>
      <c r="E8008" t="s">
        <v>112</v>
      </c>
      <c r="F8008" t="s">
        <v>668</v>
      </c>
      <c r="G8008" t="s">
        <v>59</v>
      </c>
      <c r="H8008">
        <v>2024</v>
      </c>
    </row>
    <row r="8009" spans="1:8" x14ac:dyDescent="0.2">
      <c r="A8009">
        <v>293966</v>
      </c>
      <c r="B8009">
        <v>50000</v>
      </c>
      <c r="C8009" t="str">
        <f t="shared" si="125"/>
        <v>3. $50K-250K</v>
      </c>
      <c r="D8009" t="s">
        <v>1194</v>
      </c>
      <c r="E8009" t="s">
        <v>112</v>
      </c>
      <c r="F8009" t="s">
        <v>668</v>
      </c>
      <c r="G8009" t="s">
        <v>59</v>
      </c>
      <c r="H8009">
        <v>2024</v>
      </c>
    </row>
    <row r="8010" spans="1:8" x14ac:dyDescent="0.2">
      <c r="A8010">
        <v>293969</v>
      </c>
      <c r="B8010">
        <v>150000</v>
      </c>
      <c r="C8010" t="str">
        <f t="shared" si="125"/>
        <v>3. $50K-250K</v>
      </c>
      <c r="D8010" t="s">
        <v>801</v>
      </c>
      <c r="E8010" t="s">
        <v>42</v>
      </c>
      <c r="F8010" t="s">
        <v>670</v>
      </c>
      <c r="G8010" t="s">
        <v>59</v>
      </c>
      <c r="H8010">
        <v>2024</v>
      </c>
    </row>
    <row r="8011" spans="1:8" x14ac:dyDescent="0.2">
      <c r="A8011">
        <v>293970</v>
      </c>
      <c r="B8011">
        <v>40000</v>
      </c>
      <c r="C8011" t="str">
        <f t="shared" si="125"/>
        <v>3. $50K-250K</v>
      </c>
      <c r="D8011" t="s">
        <v>1335</v>
      </c>
      <c r="E8011" t="s">
        <v>112</v>
      </c>
      <c r="F8011" t="s">
        <v>668</v>
      </c>
      <c r="G8011" t="s">
        <v>59</v>
      </c>
      <c r="H8011">
        <v>2024</v>
      </c>
    </row>
    <row r="8012" spans="1:8" x14ac:dyDescent="0.2">
      <c r="A8012">
        <v>293974</v>
      </c>
      <c r="B8012">
        <v>90000</v>
      </c>
      <c r="C8012" t="str">
        <f t="shared" si="125"/>
        <v>2. $10K-50K</v>
      </c>
      <c r="D8012" t="s">
        <v>1236</v>
      </c>
      <c r="E8012" t="s">
        <v>112</v>
      </c>
      <c r="F8012" t="s">
        <v>668</v>
      </c>
      <c r="G8012" t="s">
        <v>59</v>
      </c>
      <c r="H8012">
        <v>2024</v>
      </c>
    </row>
    <row r="8013" spans="1:8" x14ac:dyDescent="0.2">
      <c r="A8013">
        <v>293977</v>
      </c>
      <c r="B8013">
        <v>90000</v>
      </c>
      <c r="C8013" t="str">
        <f t="shared" si="125"/>
        <v>3. $50K-250K</v>
      </c>
      <c r="D8013" t="s">
        <v>1302</v>
      </c>
      <c r="E8013" t="s">
        <v>112</v>
      </c>
      <c r="F8013" t="s">
        <v>668</v>
      </c>
      <c r="G8013" t="s">
        <v>59</v>
      </c>
      <c r="H8013">
        <v>2024</v>
      </c>
    </row>
    <row r="8014" spans="1:8" x14ac:dyDescent="0.2">
      <c r="A8014">
        <v>293981</v>
      </c>
      <c r="B8014">
        <v>20000</v>
      </c>
      <c r="C8014" t="str">
        <f t="shared" si="125"/>
        <v>3. $50K-250K</v>
      </c>
      <c r="D8014" t="s">
        <v>1260</v>
      </c>
      <c r="E8014" t="s">
        <v>112</v>
      </c>
      <c r="F8014" t="s">
        <v>668</v>
      </c>
      <c r="G8014" t="s">
        <v>59</v>
      </c>
      <c r="H8014">
        <v>2024</v>
      </c>
    </row>
    <row r="8015" spans="1:8" x14ac:dyDescent="0.2">
      <c r="A8015">
        <v>293986</v>
      </c>
      <c r="B8015">
        <v>20000</v>
      </c>
      <c r="C8015" t="str">
        <f t="shared" si="125"/>
        <v>2. $10K-50K</v>
      </c>
      <c r="D8015" t="s">
        <v>1247</v>
      </c>
      <c r="E8015" t="s">
        <v>112</v>
      </c>
      <c r="F8015" t="s">
        <v>668</v>
      </c>
      <c r="G8015" t="s">
        <v>59</v>
      </c>
      <c r="H8015">
        <v>2024</v>
      </c>
    </row>
    <row r="8016" spans="1:8" x14ac:dyDescent="0.2">
      <c r="A8016">
        <v>293988</v>
      </c>
      <c r="B8016">
        <v>30000</v>
      </c>
      <c r="C8016" t="str">
        <f t="shared" si="125"/>
        <v>2. $10K-50K</v>
      </c>
      <c r="D8016" t="s">
        <v>1139</v>
      </c>
      <c r="E8016" t="s">
        <v>112</v>
      </c>
      <c r="F8016" t="s">
        <v>668</v>
      </c>
      <c r="G8016" t="s">
        <v>59</v>
      </c>
      <c r="H8016">
        <v>2024</v>
      </c>
    </row>
    <row r="8017" spans="1:8" x14ac:dyDescent="0.2">
      <c r="A8017">
        <v>293992</v>
      </c>
      <c r="B8017">
        <v>30000</v>
      </c>
      <c r="C8017" t="str">
        <f t="shared" si="125"/>
        <v>2. $10K-50K</v>
      </c>
      <c r="D8017" t="s">
        <v>1113</v>
      </c>
      <c r="E8017" t="s">
        <v>112</v>
      </c>
      <c r="F8017" t="s">
        <v>668</v>
      </c>
      <c r="G8017" t="s">
        <v>59</v>
      </c>
      <c r="H8017">
        <v>2024</v>
      </c>
    </row>
    <row r="8018" spans="1:8" x14ac:dyDescent="0.2">
      <c r="A8018">
        <v>293994</v>
      </c>
      <c r="B8018">
        <v>90000</v>
      </c>
      <c r="C8018" t="str">
        <f t="shared" si="125"/>
        <v>2. $10K-50K</v>
      </c>
      <c r="D8018" t="s">
        <v>1275</v>
      </c>
      <c r="E8018" t="s">
        <v>112</v>
      </c>
      <c r="F8018" t="s">
        <v>668</v>
      </c>
      <c r="G8018" t="s">
        <v>59</v>
      </c>
      <c r="H8018">
        <v>2024</v>
      </c>
    </row>
    <row r="8019" spans="1:8" x14ac:dyDescent="0.2">
      <c r="A8019">
        <v>294048</v>
      </c>
      <c r="B8019">
        <v>12000</v>
      </c>
      <c r="C8019" t="str">
        <f t="shared" si="125"/>
        <v>3. $50K-250K</v>
      </c>
      <c r="D8019" t="s">
        <v>692</v>
      </c>
      <c r="E8019" t="s">
        <v>237</v>
      </c>
      <c r="F8019" t="s">
        <v>670</v>
      </c>
      <c r="G8019" t="s">
        <v>59</v>
      </c>
      <c r="H8019">
        <v>2024</v>
      </c>
    </row>
    <row r="8020" spans="1:8" x14ac:dyDescent="0.2">
      <c r="A8020">
        <v>294049</v>
      </c>
      <c r="B8020">
        <v>1174250</v>
      </c>
      <c r="C8020" t="str">
        <f t="shared" si="125"/>
        <v>2. $10K-50K</v>
      </c>
      <c r="D8020" t="s">
        <v>986</v>
      </c>
      <c r="E8020" t="s">
        <v>237</v>
      </c>
      <c r="F8020" t="s">
        <v>670</v>
      </c>
      <c r="G8020" t="s">
        <v>59</v>
      </c>
      <c r="H8020">
        <v>2024</v>
      </c>
    </row>
    <row r="8021" spans="1:8" x14ac:dyDescent="0.2">
      <c r="A8021">
        <v>294050</v>
      </c>
      <c r="B8021">
        <v>136162.70000000001</v>
      </c>
      <c r="C8021" t="str">
        <f t="shared" si="125"/>
        <v>5. $1M+</v>
      </c>
      <c r="D8021" t="s">
        <v>1026</v>
      </c>
      <c r="E8021" t="s">
        <v>42</v>
      </c>
      <c r="F8021" t="s">
        <v>670</v>
      </c>
      <c r="G8021" t="s">
        <v>59</v>
      </c>
      <c r="H8021">
        <v>2024</v>
      </c>
    </row>
    <row r="8022" spans="1:8" x14ac:dyDescent="0.2">
      <c r="A8022">
        <v>294051</v>
      </c>
      <c r="B8022">
        <v>416695</v>
      </c>
      <c r="C8022" t="str">
        <f t="shared" si="125"/>
        <v>3. $50K-250K</v>
      </c>
      <c r="D8022" t="s">
        <v>1052</v>
      </c>
      <c r="E8022" t="s">
        <v>237</v>
      </c>
      <c r="F8022" t="s">
        <v>670</v>
      </c>
      <c r="G8022" t="s">
        <v>59</v>
      </c>
      <c r="H8022">
        <v>2024</v>
      </c>
    </row>
    <row r="8023" spans="1:8" x14ac:dyDescent="0.2">
      <c r="A8023">
        <v>294098</v>
      </c>
      <c r="B8023">
        <v>20000</v>
      </c>
      <c r="C8023" t="str">
        <f t="shared" si="125"/>
        <v>4. $250K-1M</v>
      </c>
      <c r="D8023" t="s">
        <v>1321</v>
      </c>
      <c r="E8023" t="s">
        <v>112</v>
      </c>
      <c r="F8023" t="s">
        <v>668</v>
      </c>
      <c r="G8023" t="s">
        <v>59</v>
      </c>
      <c r="H8023">
        <v>2024</v>
      </c>
    </row>
    <row r="8024" spans="1:8" x14ac:dyDescent="0.2">
      <c r="A8024">
        <v>294104</v>
      </c>
      <c r="B8024">
        <v>40000</v>
      </c>
      <c r="C8024" t="str">
        <f t="shared" si="125"/>
        <v>2. $10K-50K</v>
      </c>
      <c r="D8024" t="s">
        <v>1140</v>
      </c>
      <c r="E8024" t="s">
        <v>112</v>
      </c>
      <c r="F8024" t="s">
        <v>668</v>
      </c>
      <c r="G8024" t="s">
        <v>59</v>
      </c>
      <c r="H8024">
        <v>2024</v>
      </c>
    </row>
    <row r="8025" spans="1:8" x14ac:dyDescent="0.2">
      <c r="A8025">
        <v>294112</v>
      </c>
      <c r="B8025">
        <v>30000</v>
      </c>
      <c r="C8025" t="str">
        <f t="shared" si="125"/>
        <v>2. $10K-50K</v>
      </c>
      <c r="D8025" t="s">
        <v>1151</v>
      </c>
      <c r="E8025" t="s">
        <v>112</v>
      </c>
      <c r="F8025" t="s">
        <v>668</v>
      </c>
      <c r="G8025" t="s">
        <v>59</v>
      </c>
      <c r="H8025">
        <v>2024</v>
      </c>
    </row>
    <row r="8026" spans="1:8" x14ac:dyDescent="0.2">
      <c r="A8026">
        <v>294113</v>
      </c>
      <c r="B8026">
        <v>20000</v>
      </c>
      <c r="C8026" t="str">
        <f t="shared" si="125"/>
        <v>2. $10K-50K</v>
      </c>
      <c r="D8026" t="s">
        <v>2468</v>
      </c>
      <c r="E8026" t="s">
        <v>112</v>
      </c>
      <c r="F8026" t="s">
        <v>668</v>
      </c>
      <c r="G8026" t="s">
        <v>59</v>
      </c>
      <c r="H8026">
        <v>2024</v>
      </c>
    </row>
    <row r="8027" spans="1:8" x14ac:dyDescent="0.2">
      <c r="A8027">
        <v>294114</v>
      </c>
      <c r="B8027">
        <v>80000</v>
      </c>
      <c r="C8027" t="str">
        <f t="shared" si="125"/>
        <v>2. $10K-50K</v>
      </c>
      <c r="D8027" t="s">
        <v>1334</v>
      </c>
      <c r="E8027" t="s">
        <v>112</v>
      </c>
      <c r="F8027" t="s">
        <v>668</v>
      </c>
      <c r="G8027" t="s">
        <v>59</v>
      </c>
      <c r="H8027">
        <v>2024</v>
      </c>
    </row>
    <row r="8028" spans="1:8" x14ac:dyDescent="0.2">
      <c r="A8028">
        <v>294115</v>
      </c>
      <c r="B8028">
        <v>105600</v>
      </c>
      <c r="C8028" t="str">
        <f t="shared" si="125"/>
        <v>3. $50K-250K</v>
      </c>
      <c r="D8028" t="s">
        <v>801</v>
      </c>
      <c r="E8028" t="s">
        <v>237</v>
      </c>
      <c r="F8028" t="s">
        <v>670</v>
      </c>
      <c r="G8028" t="s">
        <v>59</v>
      </c>
      <c r="H8028">
        <v>2025</v>
      </c>
    </row>
    <row r="8029" spans="1:8" x14ac:dyDescent="0.2">
      <c r="A8029">
        <v>294117</v>
      </c>
      <c r="B8029">
        <v>70000</v>
      </c>
      <c r="C8029" t="str">
        <f t="shared" si="125"/>
        <v>3. $50K-250K</v>
      </c>
      <c r="D8029" t="s">
        <v>1344</v>
      </c>
      <c r="E8029" t="s">
        <v>112</v>
      </c>
      <c r="F8029" t="s">
        <v>668</v>
      </c>
      <c r="G8029" t="s">
        <v>59</v>
      </c>
      <c r="H8029">
        <v>2024</v>
      </c>
    </row>
    <row r="8030" spans="1:8" x14ac:dyDescent="0.2">
      <c r="A8030">
        <v>294118</v>
      </c>
      <c r="B8030">
        <v>16000</v>
      </c>
      <c r="C8030" t="str">
        <f t="shared" si="125"/>
        <v>3. $50K-250K</v>
      </c>
      <c r="D8030" t="s">
        <v>1829</v>
      </c>
      <c r="E8030" t="s">
        <v>112</v>
      </c>
      <c r="F8030" t="s">
        <v>668</v>
      </c>
      <c r="G8030" t="s">
        <v>59</v>
      </c>
      <c r="H8030">
        <v>2024</v>
      </c>
    </row>
    <row r="8031" spans="1:8" x14ac:dyDescent="0.2">
      <c r="A8031">
        <v>294119</v>
      </c>
      <c r="B8031">
        <v>20000</v>
      </c>
      <c r="C8031" t="str">
        <f t="shared" si="125"/>
        <v>2. $10K-50K</v>
      </c>
      <c r="D8031" t="s">
        <v>2469</v>
      </c>
      <c r="E8031" t="s">
        <v>112</v>
      </c>
      <c r="F8031" t="s">
        <v>668</v>
      </c>
      <c r="G8031" t="s">
        <v>59</v>
      </c>
      <c r="H8031">
        <v>2024</v>
      </c>
    </row>
    <row r="8032" spans="1:8" x14ac:dyDescent="0.2">
      <c r="A8032">
        <v>294120</v>
      </c>
      <c r="B8032">
        <v>40000</v>
      </c>
      <c r="C8032" t="str">
        <f t="shared" si="125"/>
        <v>2. $10K-50K</v>
      </c>
      <c r="D8032" t="s">
        <v>1349</v>
      </c>
      <c r="E8032" t="s">
        <v>112</v>
      </c>
      <c r="F8032" t="s">
        <v>668</v>
      </c>
      <c r="G8032" t="s">
        <v>59</v>
      </c>
      <c r="H8032">
        <v>2024</v>
      </c>
    </row>
    <row r="8033" spans="1:8" x14ac:dyDescent="0.2">
      <c r="A8033">
        <v>294121</v>
      </c>
      <c r="B8033">
        <v>20000</v>
      </c>
      <c r="C8033" t="str">
        <f t="shared" si="125"/>
        <v>2. $10K-50K</v>
      </c>
      <c r="D8033" t="s">
        <v>1284</v>
      </c>
      <c r="E8033" t="s">
        <v>112</v>
      </c>
      <c r="F8033" t="s">
        <v>668</v>
      </c>
      <c r="G8033" t="s">
        <v>59</v>
      </c>
      <c r="H8033">
        <v>2024</v>
      </c>
    </row>
    <row r="8034" spans="1:8" x14ac:dyDescent="0.2">
      <c r="A8034">
        <v>294123</v>
      </c>
      <c r="B8034">
        <v>40000</v>
      </c>
      <c r="C8034" t="str">
        <f t="shared" si="125"/>
        <v>2. $10K-50K</v>
      </c>
      <c r="D8034" t="s">
        <v>1134</v>
      </c>
      <c r="E8034" t="s">
        <v>112</v>
      </c>
      <c r="F8034" t="s">
        <v>668</v>
      </c>
      <c r="G8034" t="s">
        <v>59</v>
      </c>
      <c r="H8034">
        <v>2024</v>
      </c>
    </row>
    <row r="8035" spans="1:8" x14ac:dyDescent="0.2">
      <c r="A8035">
        <v>294124</v>
      </c>
      <c r="B8035">
        <v>20000</v>
      </c>
      <c r="C8035" t="str">
        <f t="shared" si="125"/>
        <v>2. $10K-50K</v>
      </c>
      <c r="D8035" t="s">
        <v>1703</v>
      </c>
      <c r="E8035" t="s">
        <v>112</v>
      </c>
      <c r="F8035" t="s">
        <v>668</v>
      </c>
      <c r="G8035" t="s">
        <v>59</v>
      </c>
      <c r="H8035">
        <v>2024</v>
      </c>
    </row>
    <row r="8036" spans="1:8" x14ac:dyDescent="0.2">
      <c r="A8036">
        <v>294126</v>
      </c>
      <c r="B8036">
        <v>20000</v>
      </c>
      <c r="C8036" t="str">
        <f t="shared" si="125"/>
        <v>2. $10K-50K</v>
      </c>
      <c r="D8036" t="s">
        <v>2470</v>
      </c>
      <c r="E8036" t="s">
        <v>112</v>
      </c>
      <c r="F8036" t="s">
        <v>668</v>
      </c>
      <c r="G8036" t="s">
        <v>59</v>
      </c>
      <c r="H8036">
        <v>2024</v>
      </c>
    </row>
    <row r="8037" spans="1:8" x14ac:dyDescent="0.2">
      <c r="A8037">
        <v>294127</v>
      </c>
      <c r="B8037">
        <v>16000</v>
      </c>
      <c r="C8037" t="str">
        <f t="shared" si="125"/>
        <v>2. $10K-50K</v>
      </c>
      <c r="D8037" t="s">
        <v>1523</v>
      </c>
      <c r="E8037" t="s">
        <v>112</v>
      </c>
      <c r="F8037" t="s">
        <v>668</v>
      </c>
      <c r="G8037" t="s">
        <v>59</v>
      </c>
      <c r="H8037">
        <v>2024</v>
      </c>
    </row>
    <row r="8038" spans="1:8" x14ac:dyDescent="0.2">
      <c r="A8038">
        <v>294133</v>
      </c>
      <c r="B8038">
        <v>20000</v>
      </c>
      <c r="C8038" t="str">
        <f t="shared" si="125"/>
        <v>2. $10K-50K</v>
      </c>
      <c r="D8038" t="s">
        <v>1153</v>
      </c>
      <c r="E8038" t="s">
        <v>112</v>
      </c>
      <c r="F8038" t="s">
        <v>668</v>
      </c>
      <c r="G8038" t="s">
        <v>59</v>
      </c>
      <c r="H8038">
        <v>2024</v>
      </c>
    </row>
    <row r="8039" spans="1:8" x14ac:dyDescent="0.2">
      <c r="A8039">
        <v>294134</v>
      </c>
      <c r="B8039">
        <v>30000</v>
      </c>
      <c r="C8039" t="str">
        <f t="shared" si="125"/>
        <v>2. $10K-50K</v>
      </c>
      <c r="D8039" t="s">
        <v>1118</v>
      </c>
      <c r="E8039" t="s">
        <v>112</v>
      </c>
      <c r="F8039" t="s">
        <v>668</v>
      </c>
      <c r="G8039" t="s">
        <v>59</v>
      </c>
      <c r="H8039">
        <v>2024</v>
      </c>
    </row>
    <row r="8040" spans="1:8" x14ac:dyDescent="0.2">
      <c r="A8040">
        <v>294135</v>
      </c>
      <c r="B8040">
        <v>40000</v>
      </c>
      <c r="C8040" t="str">
        <f t="shared" si="125"/>
        <v>2. $10K-50K</v>
      </c>
      <c r="D8040" t="s">
        <v>1259</v>
      </c>
      <c r="E8040" t="s">
        <v>112</v>
      </c>
      <c r="F8040" t="s">
        <v>668</v>
      </c>
      <c r="G8040" t="s">
        <v>59</v>
      </c>
      <c r="H8040">
        <v>2024</v>
      </c>
    </row>
    <row r="8041" spans="1:8" x14ac:dyDescent="0.2">
      <c r="A8041">
        <v>294137</v>
      </c>
      <c r="B8041">
        <v>40000</v>
      </c>
      <c r="C8041" t="str">
        <f t="shared" si="125"/>
        <v>2. $10K-50K</v>
      </c>
      <c r="D8041" t="s">
        <v>1242</v>
      </c>
      <c r="E8041" t="s">
        <v>112</v>
      </c>
      <c r="F8041" t="s">
        <v>668</v>
      </c>
      <c r="G8041" t="s">
        <v>59</v>
      </c>
      <c r="H8041">
        <v>2024</v>
      </c>
    </row>
    <row r="8042" spans="1:8" x14ac:dyDescent="0.2">
      <c r="A8042">
        <v>294140</v>
      </c>
      <c r="B8042">
        <v>30000</v>
      </c>
      <c r="C8042" t="str">
        <f t="shared" si="125"/>
        <v>2. $10K-50K</v>
      </c>
      <c r="D8042" t="s">
        <v>1254</v>
      </c>
      <c r="E8042" t="s">
        <v>112</v>
      </c>
      <c r="F8042" t="s">
        <v>668</v>
      </c>
      <c r="G8042" t="s">
        <v>59</v>
      </c>
      <c r="H8042">
        <v>2024</v>
      </c>
    </row>
    <row r="8043" spans="1:8" x14ac:dyDescent="0.2">
      <c r="A8043">
        <v>294141</v>
      </c>
      <c r="B8043">
        <v>12000</v>
      </c>
      <c r="C8043" t="str">
        <f t="shared" si="125"/>
        <v>2. $10K-50K</v>
      </c>
      <c r="D8043" t="s">
        <v>2471</v>
      </c>
      <c r="E8043" t="s">
        <v>112</v>
      </c>
      <c r="F8043" t="s">
        <v>668</v>
      </c>
      <c r="G8043" t="s">
        <v>59</v>
      </c>
      <c r="H8043">
        <v>2024</v>
      </c>
    </row>
    <row r="8044" spans="1:8" x14ac:dyDescent="0.2">
      <c r="A8044">
        <v>294142</v>
      </c>
      <c r="B8044">
        <v>30000</v>
      </c>
      <c r="C8044" t="str">
        <f t="shared" si="125"/>
        <v>2. $10K-50K</v>
      </c>
      <c r="D8044" t="s">
        <v>1279</v>
      </c>
      <c r="E8044" t="s">
        <v>112</v>
      </c>
      <c r="F8044" t="s">
        <v>668</v>
      </c>
      <c r="G8044" t="s">
        <v>59</v>
      </c>
      <c r="H8044">
        <v>2024</v>
      </c>
    </row>
    <row r="8045" spans="1:8" x14ac:dyDescent="0.2">
      <c r="A8045">
        <v>294144</v>
      </c>
      <c r="B8045">
        <v>50000</v>
      </c>
      <c r="C8045" t="str">
        <f t="shared" si="125"/>
        <v>2. $10K-50K</v>
      </c>
      <c r="D8045" t="s">
        <v>1200</v>
      </c>
      <c r="E8045" t="s">
        <v>112</v>
      </c>
      <c r="F8045" t="s">
        <v>668</v>
      </c>
      <c r="G8045" t="s">
        <v>59</v>
      </c>
      <c r="H8045">
        <v>2024</v>
      </c>
    </row>
    <row r="8046" spans="1:8" x14ac:dyDescent="0.2">
      <c r="A8046">
        <v>294145</v>
      </c>
      <c r="B8046">
        <v>20000</v>
      </c>
      <c r="C8046" t="str">
        <f t="shared" si="125"/>
        <v>3. $50K-250K</v>
      </c>
      <c r="D8046" t="s">
        <v>1258</v>
      </c>
      <c r="E8046" t="s">
        <v>112</v>
      </c>
      <c r="F8046" t="s">
        <v>668</v>
      </c>
      <c r="G8046" t="s">
        <v>59</v>
      </c>
      <c r="H8046">
        <v>2024</v>
      </c>
    </row>
    <row r="8047" spans="1:8" x14ac:dyDescent="0.2">
      <c r="A8047">
        <v>294146</v>
      </c>
      <c r="B8047">
        <v>60000</v>
      </c>
      <c r="C8047" t="str">
        <f t="shared" si="125"/>
        <v>2. $10K-50K</v>
      </c>
      <c r="D8047" t="s">
        <v>1277</v>
      </c>
      <c r="E8047" t="s">
        <v>112</v>
      </c>
      <c r="F8047" t="s">
        <v>668</v>
      </c>
      <c r="G8047" t="s">
        <v>59</v>
      </c>
      <c r="H8047">
        <v>2024</v>
      </c>
    </row>
    <row r="8048" spans="1:8" x14ac:dyDescent="0.2">
      <c r="A8048">
        <v>294152</v>
      </c>
      <c r="B8048">
        <v>12000</v>
      </c>
      <c r="C8048" t="str">
        <f t="shared" si="125"/>
        <v>3. $50K-250K</v>
      </c>
      <c r="D8048" t="s">
        <v>2472</v>
      </c>
      <c r="E8048" t="s">
        <v>112</v>
      </c>
      <c r="F8048" t="s">
        <v>668</v>
      </c>
      <c r="G8048" t="s">
        <v>59</v>
      </c>
      <c r="H8048">
        <v>2024</v>
      </c>
    </row>
    <row r="8049" spans="1:8" x14ac:dyDescent="0.2">
      <c r="A8049">
        <v>294153</v>
      </c>
      <c r="B8049">
        <v>80000</v>
      </c>
      <c r="C8049" t="str">
        <f t="shared" si="125"/>
        <v>2. $10K-50K</v>
      </c>
      <c r="D8049" t="s">
        <v>1220</v>
      </c>
      <c r="E8049" t="s">
        <v>112</v>
      </c>
      <c r="F8049" t="s">
        <v>668</v>
      </c>
      <c r="G8049" t="s">
        <v>59</v>
      </c>
      <c r="H8049">
        <v>2024</v>
      </c>
    </row>
    <row r="8050" spans="1:8" x14ac:dyDescent="0.2">
      <c r="A8050">
        <v>294154</v>
      </c>
      <c r="B8050">
        <v>80000</v>
      </c>
      <c r="C8050" t="str">
        <f t="shared" si="125"/>
        <v>3. $50K-250K</v>
      </c>
      <c r="D8050" t="s">
        <v>1069</v>
      </c>
      <c r="E8050" t="s">
        <v>112</v>
      </c>
      <c r="F8050" t="s">
        <v>668</v>
      </c>
      <c r="G8050" t="s">
        <v>59</v>
      </c>
      <c r="H8050">
        <v>2024</v>
      </c>
    </row>
    <row r="8051" spans="1:8" x14ac:dyDescent="0.2">
      <c r="A8051">
        <v>294155</v>
      </c>
      <c r="B8051">
        <v>20000</v>
      </c>
      <c r="C8051" t="str">
        <f t="shared" si="125"/>
        <v>3. $50K-250K</v>
      </c>
      <c r="D8051" t="s">
        <v>1229</v>
      </c>
      <c r="E8051" t="s">
        <v>112</v>
      </c>
      <c r="F8051" t="s">
        <v>668</v>
      </c>
      <c r="G8051" t="s">
        <v>59</v>
      </c>
      <c r="H8051">
        <v>2024</v>
      </c>
    </row>
    <row r="8052" spans="1:8" x14ac:dyDescent="0.2">
      <c r="A8052">
        <v>294157</v>
      </c>
      <c r="B8052">
        <v>302666</v>
      </c>
      <c r="C8052" t="str">
        <f t="shared" si="125"/>
        <v>2. $10K-50K</v>
      </c>
      <c r="D8052" t="s">
        <v>968</v>
      </c>
      <c r="E8052" t="s">
        <v>42</v>
      </c>
      <c r="F8052" t="s">
        <v>670</v>
      </c>
      <c r="G8052" t="s">
        <v>59</v>
      </c>
      <c r="H8052">
        <v>2025</v>
      </c>
    </row>
    <row r="8053" spans="1:8" x14ac:dyDescent="0.2">
      <c r="A8053">
        <v>294178</v>
      </c>
      <c r="B8053">
        <v>60000</v>
      </c>
      <c r="C8053" t="str">
        <f t="shared" si="125"/>
        <v>4. $250K-1M</v>
      </c>
      <c r="D8053" t="s">
        <v>1283</v>
      </c>
      <c r="E8053" t="s">
        <v>112</v>
      </c>
      <c r="F8053" t="s">
        <v>668</v>
      </c>
      <c r="G8053" t="s">
        <v>59</v>
      </c>
      <c r="H8053">
        <v>2024</v>
      </c>
    </row>
    <row r="8054" spans="1:8" x14ac:dyDescent="0.2">
      <c r="A8054">
        <v>294181</v>
      </c>
      <c r="B8054">
        <v>40000</v>
      </c>
      <c r="C8054" t="str">
        <f t="shared" si="125"/>
        <v>3. $50K-250K</v>
      </c>
      <c r="D8054" t="s">
        <v>2473</v>
      </c>
      <c r="E8054" t="s">
        <v>112</v>
      </c>
      <c r="F8054" t="s">
        <v>668</v>
      </c>
      <c r="G8054" t="s">
        <v>59</v>
      </c>
      <c r="H8054">
        <v>2024</v>
      </c>
    </row>
    <row r="8055" spans="1:8" x14ac:dyDescent="0.2">
      <c r="A8055">
        <v>294182</v>
      </c>
      <c r="B8055">
        <v>20000</v>
      </c>
      <c r="C8055" t="str">
        <f t="shared" si="125"/>
        <v>2. $10K-50K</v>
      </c>
      <c r="D8055" t="s">
        <v>1707</v>
      </c>
      <c r="E8055" t="s">
        <v>112</v>
      </c>
      <c r="F8055" t="s">
        <v>668</v>
      </c>
      <c r="G8055" t="s">
        <v>59</v>
      </c>
      <c r="H8055">
        <v>2024</v>
      </c>
    </row>
    <row r="8056" spans="1:8" x14ac:dyDescent="0.2">
      <c r="A8056">
        <v>294186</v>
      </c>
      <c r="B8056">
        <v>20000</v>
      </c>
      <c r="C8056" t="str">
        <f t="shared" si="125"/>
        <v>2. $10K-50K</v>
      </c>
      <c r="D8056" t="s">
        <v>1480</v>
      </c>
      <c r="E8056" t="s">
        <v>112</v>
      </c>
      <c r="F8056" t="s">
        <v>668</v>
      </c>
      <c r="G8056" t="s">
        <v>59</v>
      </c>
      <c r="H8056">
        <v>2024</v>
      </c>
    </row>
    <row r="8057" spans="1:8" x14ac:dyDescent="0.2">
      <c r="A8057">
        <v>294190</v>
      </c>
      <c r="B8057">
        <v>40000</v>
      </c>
      <c r="C8057" t="str">
        <f t="shared" si="125"/>
        <v>2. $10K-50K</v>
      </c>
      <c r="D8057" t="s">
        <v>1318</v>
      </c>
      <c r="E8057" t="s">
        <v>112</v>
      </c>
      <c r="F8057" t="s">
        <v>668</v>
      </c>
      <c r="G8057" t="s">
        <v>59</v>
      </c>
      <c r="H8057">
        <v>2024</v>
      </c>
    </row>
    <row r="8058" spans="1:8" x14ac:dyDescent="0.2">
      <c r="A8058">
        <v>294199</v>
      </c>
      <c r="B8058">
        <v>30000</v>
      </c>
      <c r="C8058" t="str">
        <f t="shared" si="125"/>
        <v>2. $10K-50K</v>
      </c>
      <c r="D8058" t="s">
        <v>1831</v>
      </c>
      <c r="E8058" t="s">
        <v>112</v>
      </c>
      <c r="F8058" t="s">
        <v>668</v>
      </c>
      <c r="G8058" t="s">
        <v>59</v>
      </c>
      <c r="H8058">
        <v>2024</v>
      </c>
    </row>
    <row r="8059" spans="1:8" x14ac:dyDescent="0.2">
      <c r="A8059">
        <v>294212</v>
      </c>
      <c r="B8059">
        <v>50000</v>
      </c>
      <c r="C8059" t="str">
        <f t="shared" si="125"/>
        <v>2. $10K-50K</v>
      </c>
      <c r="D8059" t="s">
        <v>1137</v>
      </c>
      <c r="E8059" t="s">
        <v>112</v>
      </c>
      <c r="F8059" t="s">
        <v>668</v>
      </c>
      <c r="G8059" t="s">
        <v>59</v>
      </c>
      <c r="H8059">
        <v>2024</v>
      </c>
    </row>
    <row r="8060" spans="1:8" x14ac:dyDescent="0.2">
      <c r="A8060">
        <v>294223</v>
      </c>
      <c r="B8060">
        <v>30000</v>
      </c>
      <c r="C8060" t="str">
        <f t="shared" si="125"/>
        <v>3. $50K-250K</v>
      </c>
      <c r="D8060" t="s">
        <v>1708</v>
      </c>
      <c r="E8060" t="s">
        <v>112</v>
      </c>
      <c r="F8060" t="s">
        <v>668</v>
      </c>
      <c r="G8060" t="s">
        <v>59</v>
      </c>
      <c r="H8060">
        <v>2024</v>
      </c>
    </row>
    <row r="8061" spans="1:8" x14ac:dyDescent="0.2">
      <c r="A8061">
        <v>294225</v>
      </c>
      <c r="B8061">
        <v>24000</v>
      </c>
      <c r="C8061" t="str">
        <f t="shared" si="125"/>
        <v>2. $10K-50K</v>
      </c>
      <c r="D8061" t="s">
        <v>1842</v>
      </c>
      <c r="E8061" t="s">
        <v>112</v>
      </c>
      <c r="F8061" t="s">
        <v>668</v>
      </c>
      <c r="G8061" t="s">
        <v>59</v>
      </c>
      <c r="H8061">
        <v>2024</v>
      </c>
    </row>
    <row r="8062" spans="1:8" x14ac:dyDescent="0.2">
      <c r="A8062">
        <v>294226</v>
      </c>
      <c r="B8062">
        <v>20000</v>
      </c>
      <c r="C8062" t="str">
        <f t="shared" si="125"/>
        <v>2. $10K-50K</v>
      </c>
      <c r="D8062" t="s">
        <v>2474</v>
      </c>
      <c r="E8062" t="s">
        <v>112</v>
      </c>
      <c r="F8062" t="s">
        <v>668</v>
      </c>
      <c r="G8062" t="s">
        <v>59</v>
      </c>
      <c r="H8062">
        <v>2024</v>
      </c>
    </row>
    <row r="8063" spans="1:8" x14ac:dyDescent="0.2">
      <c r="A8063">
        <v>294229</v>
      </c>
      <c r="B8063">
        <v>20000</v>
      </c>
      <c r="C8063" t="str">
        <f t="shared" si="125"/>
        <v>2. $10K-50K</v>
      </c>
      <c r="D8063" t="s">
        <v>1276</v>
      </c>
      <c r="E8063" t="s">
        <v>112</v>
      </c>
      <c r="F8063" t="s">
        <v>668</v>
      </c>
      <c r="G8063" t="s">
        <v>59</v>
      </c>
      <c r="H8063">
        <v>2024</v>
      </c>
    </row>
    <row r="8064" spans="1:8" x14ac:dyDescent="0.2">
      <c r="A8064">
        <v>294230</v>
      </c>
      <c r="B8064">
        <v>40000</v>
      </c>
      <c r="C8064" t="str">
        <f t="shared" si="125"/>
        <v>2. $10K-50K</v>
      </c>
      <c r="D8064" t="s">
        <v>1135</v>
      </c>
      <c r="E8064" t="s">
        <v>112</v>
      </c>
      <c r="F8064" t="s">
        <v>668</v>
      </c>
      <c r="G8064" t="s">
        <v>59</v>
      </c>
      <c r="H8064">
        <v>2024</v>
      </c>
    </row>
    <row r="8065" spans="1:8" x14ac:dyDescent="0.2">
      <c r="A8065">
        <v>294232</v>
      </c>
      <c r="B8065">
        <v>20000</v>
      </c>
      <c r="C8065" t="str">
        <f t="shared" si="125"/>
        <v>2. $10K-50K</v>
      </c>
      <c r="D8065" t="s">
        <v>1185</v>
      </c>
      <c r="E8065" t="s">
        <v>112</v>
      </c>
      <c r="F8065" t="s">
        <v>668</v>
      </c>
      <c r="G8065" t="s">
        <v>59</v>
      </c>
      <c r="H8065">
        <v>2024</v>
      </c>
    </row>
    <row r="8066" spans="1:8" x14ac:dyDescent="0.2">
      <c r="A8066">
        <v>294233</v>
      </c>
      <c r="B8066">
        <v>20000</v>
      </c>
      <c r="C8066" t="str">
        <f t="shared" si="125"/>
        <v>2. $10K-50K</v>
      </c>
      <c r="D8066" t="s">
        <v>2475</v>
      </c>
      <c r="E8066" t="s">
        <v>112</v>
      </c>
      <c r="F8066" t="s">
        <v>668</v>
      </c>
      <c r="G8066" t="s">
        <v>59</v>
      </c>
      <c r="H8066">
        <v>2024</v>
      </c>
    </row>
    <row r="8067" spans="1:8" x14ac:dyDescent="0.2">
      <c r="A8067">
        <v>294234</v>
      </c>
      <c r="B8067">
        <v>90000</v>
      </c>
      <c r="C8067" t="str">
        <f t="shared" ref="C8067:C8130" si="126">IF(B8066&lt;10000,"1. Under $10K",IF(B8066&lt;50000,"2. $10K-50K",IF(B8066&lt;250000,"3. $50K-250K",IF(B8066&lt;1000000,"4. $250K-1M","5. $1M+"))))</f>
        <v>2. $10K-50K</v>
      </c>
      <c r="D8067" t="s">
        <v>1294</v>
      </c>
      <c r="E8067" t="s">
        <v>112</v>
      </c>
      <c r="F8067" t="s">
        <v>668</v>
      </c>
      <c r="G8067" t="s">
        <v>59</v>
      </c>
      <c r="H8067">
        <v>2024</v>
      </c>
    </row>
    <row r="8068" spans="1:8" x14ac:dyDescent="0.2">
      <c r="A8068">
        <v>294235</v>
      </c>
      <c r="B8068">
        <v>1115500</v>
      </c>
      <c r="C8068" t="str">
        <f t="shared" si="126"/>
        <v>3. $50K-250K</v>
      </c>
      <c r="D8068" t="s">
        <v>365</v>
      </c>
      <c r="E8068" t="s">
        <v>24</v>
      </c>
      <c r="F8068" t="s">
        <v>22</v>
      </c>
      <c r="G8068" t="s">
        <v>10</v>
      </c>
      <c r="H8068">
        <v>2025</v>
      </c>
    </row>
    <row r="8069" spans="1:8" x14ac:dyDescent="0.2">
      <c r="A8069">
        <v>294236</v>
      </c>
      <c r="B8069">
        <v>20000</v>
      </c>
      <c r="C8069" t="str">
        <f t="shared" si="126"/>
        <v>5. $1M+</v>
      </c>
      <c r="D8069" t="s">
        <v>1315</v>
      </c>
      <c r="E8069" t="s">
        <v>112</v>
      </c>
      <c r="F8069" t="s">
        <v>668</v>
      </c>
      <c r="G8069" t="s">
        <v>59</v>
      </c>
      <c r="H8069">
        <v>2024</v>
      </c>
    </row>
    <row r="8070" spans="1:8" x14ac:dyDescent="0.2">
      <c r="A8070">
        <v>294241</v>
      </c>
      <c r="B8070">
        <v>1267663.5</v>
      </c>
      <c r="C8070" t="str">
        <f t="shared" si="126"/>
        <v>2. $10K-50K</v>
      </c>
      <c r="D8070" t="s">
        <v>2476</v>
      </c>
      <c r="E8070" t="s">
        <v>59</v>
      </c>
      <c r="F8070" t="s">
        <v>664</v>
      </c>
      <c r="G8070" t="s">
        <v>59</v>
      </c>
      <c r="H8070">
        <v>2024</v>
      </c>
    </row>
    <row r="8071" spans="1:8" x14ac:dyDescent="0.2">
      <c r="A8071">
        <v>294242</v>
      </c>
      <c r="B8071">
        <v>19036215.300000001</v>
      </c>
      <c r="C8071" t="str">
        <f t="shared" si="126"/>
        <v>5. $1M+</v>
      </c>
      <c r="D8071" t="s">
        <v>2477</v>
      </c>
      <c r="E8071" t="s">
        <v>59</v>
      </c>
      <c r="F8071" t="s">
        <v>664</v>
      </c>
      <c r="G8071" t="s">
        <v>59</v>
      </c>
      <c r="H8071">
        <v>2024</v>
      </c>
    </row>
    <row r="8072" spans="1:8" x14ac:dyDescent="0.2">
      <c r="A8072">
        <v>294277</v>
      </c>
      <c r="B8072">
        <v>75000</v>
      </c>
      <c r="C8072" t="str">
        <f t="shared" si="126"/>
        <v>5. $1M+</v>
      </c>
      <c r="D8072" t="s">
        <v>1408</v>
      </c>
      <c r="E8072" t="s">
        <v>8</v>
      </c>
      <c r="F8072" t="s">
        <v>668</v>
      </c>
      <c r="G8072" t="s">
        <v>59</v>
      </c>
      <c r="H8072">
        <v>2024</v>
      </c>
    </row>
    <row r="8073" spans="1:8" x14ac:dyDescent="0.2">
      <c r="A8073">
        <v>294287</v>
      </c>
      <c r="B8073">
        <v>7157360</v>
      </c>
      <c r="C8073" t="str">
        <f t="shared" si="126"/>
        <v>3. $50K-250K</v>
      </c>
      <c r="D8073" t="s">
        <v>1052</v>
      </c>
      <c r="E8073" t="s">
        <v>237</v>
      </c>
      <c r="F8073" t="s">
        <v>670</v>
      </c>
      <c r="G8073" t="s">
        <v>59</v>
      </c>
      <c r="H8073">
        <v>2024</v>
      </c>
    </row>
    <row r="8074" spans="1:8" x14ac:dyDescent="0.2">
      <c r="A8074">
        <v>294294</v>
      </c>
      <c r="B8074">
        <v>917960</v>
      </c>
      <c r="C8074" t="str">
        <f t="shared" si="126"/>
        <v>5. $1M+</v>
      </c>
      <c r="D8074" t="s">
        <v>698</v>
      </c>
      <c r="E8074" t="s">
        <v>237</v>
      </c>
      <c r="F8074" t="s">
        <v>670</v>
      </c>
      <c r="G8074" t="s">
        <v>59</v>
      </c>
      <c r="H8074">
        <v>2024</v>
      </c>
    </row>
    <row r="8075" spans="1:8" x14ac:dyDescent="0.2">
      <c r="A8075">
        <v>294295</v>
      </c>
      <c r="B8075">
        <v>420864</v>
      </c>
      <c r="C8075" t="str">
        <f t="shared" si="126"/>
        <v>4. $250K-1M</v>
      </c>
      <c r="D8075" t="s">
        <v>712</v>
      </c>
      <c r="E8075" t="s">
        <v>237</v>
      </c>
      <c r="F8075" t="s">
        <v>670</v>
      </c>
      <c r="G8075" t="s">
        <v>59</v>
      </c>
      <c r="H8075">
        <v>2024</v>
      </c>
    </row>
    <row r="8076" spans="1:8" x14ac:dyDescent="0.2">
      <c r="A8076">
        <v>294297</v>
      </c>
      <c r="B8076">
        <v>1490043</v>
      </c>
      <c r="C8076" t="str">
        <f t="shared" si="126"/>
        <v>4. $250K-1M</v>
      </c>
      <c r="D8076" t="s">
        <v>712</v>
      </c>
      <c r="E8076" t="s">
        <v>237</v>
      </c>
      <c r="F8076" t="s">
        <v>670</v>
      </c>
      <c r="G8076" t="s">
        <v>59</v>
      </c>
      <c r="H8076">
        <v>2024</v>
      </c>
    </row>
    <row r="8077" spans="1:8" x14ac:dyDescent="0.2">
      <c r="A8077">
        <v>294298</v>
      </c>
      <c r="B8077">
        <v>545422</v>
      </c>
      <c r="C8077" t="str">
        <f t="shared" si="126"/>
        <v>5. $1M+</v>
      </c>
      <c r="D8077" t="s">
        <v>712</v>
      </c>
      <c r="E8077" t="s">
        <v>237</v>
      </c>
      <c r="F8077" t="s">
        <v>670</v>
      </c>
      <c r="G8077" t="s">
        <v>59</v>
      </c>
      <c r="H8077">
        <v>2024</v>
      </c>
    </row>
    <row r="8078" spans="1:8" x14ac:dyDescent="0.2">
      <c r="A8078">
        <v>294299</v>
      </c>
      <c r="B8078">
        <v>1538784</v>
      </c>
      <c r="C8078" t="str">
        <f t="shared" si="126"/>
        <v>4. $250K-1M</v>
      </c>
      <c r="D8078" t="s">
        <v>1032</v>
      </c>
      <c r="E8078" t="s">
        <v>237</v>
      </c>
      <c r="F8078" t="s">
        <v>670</v>
      </c>
      <c r="G8078" t="s">
        <v>59</v>
      </c>
      <c r="H8078">
        <v>2024</v>
      </c>
    </row>
    <row r="8079" spans="1:8" x14ac:dyDescent="0.2">
      <c r="A8079">
        <v>294300</v>
      </c>
      <c r="B8079">
        <v>423864</v>
      </c>
      <c r="C8079" t="str">
        <f t="shared" si="126"/>
        <v>5. $1M+</v>
      </c>
      <c r="D8079" t="s">
        <v>709</v>
      </c>
      <c r="E8079" t="s">
        <v>237</v>
      </c>
      <c r="F8079" t="s">
        <v>670</v>
      </c>
      <c r="G8079" t="s">
        <v>59</v>
      </c>
      <c r="H8079">
        <v>2024</v>
      </c>
    </row>
    <row r="8080" spans="1:8" x14ac:dyDescent="0.2">
      <c r="A8080">
        <v>294301</v>
      </c>
      <c r="B8080">
        <v>1531428</v>
      </c>
      <c r="C8080" t="str">
        <f t="shared" si="126"/>
        <v>4. $250K-1M</v>
      </c>
      <c r="D8080" t="s">
        <v>698</v>
      </c>
      <c r="E8080" t="s">
        <v>237</v>
      </c>
      <c r="F8080" t="s">
        <v>670</v>
      </c>
      <c r="G8080" t="s">
        <v>59</v>
      </c>
      <c r="H8080">
        <v>2024</v>
      </c>
    </row>
    <row r="8081" spans="1:8" x14ac:dyDescent="0.2">
      <c r="A8081">
        <v>294305</v>
      </c>
      <c r="B8081">
        <v>300000</v>
      </c>
      <c r="C8081" t="str">
        <f t="shared" si="126"/>
        <v>5. $1M+</v>
      </c>
      <c r="D8081" t="s">
        <v>785</v>
      </c>
      <c r="E8081" t="s">
        <v>42</v>
      </c>
      <c r="F8081" t="s">
        <v>670</v>
      </c>
      <c r="G8081" t="s">
        <v>59</v>
      </c>
      <c r="H8081">
        <v>2024</v>
      </c>
    </row>
    <row r="8082" spans="1:8" x14ac:dyDescent="0.2">
      <c r="A8082">
        <v>294324</v>
      </c>
      <c r="B8082">
        <v>470436</v>
      </c>
      <c r="C8082" t="str">
        <f t="shared" si="126"/>
        <v>4. $250K-1M</v>
      </c>
      <c r="D8082" t="s">
        <v>2478</v>
      </c>
      <c r="E8082" t="s">
        <v>28</v>
      </c>
      <c r="F8082" t="s">
        <v>668</v>
      </c>
      <c r="G8082" t="s">
        <v>59</v>
      </c>
      <c r="H8082">
        <v>2024</v>
      </c>
    </row>
    <row r="8083" spans="1:8" x14ac:dyDescent="0.2">
      <c r="A8083">
        <v>294325</v>
      </c>
      <c r="B8083">
        <v>17398675</v>
      </c>
      <c r="C8083" t="str">
        <f t="shared" si="126"/>
        <v>4. $250K-1M</v>
      </c>
      <c r="D8083" t="s">
        <v>2479</v>
      </c>
      <c r="E8083" t="s">
        <v>28</v>
      </c>
      <c r="F8083" t="s">
        <v>668</v>
      </c>
      <c r="G8083" t="s">
        <v>59</v>
      </c>
      <c r="H8083">
        <v>2024</v>
      </c>
    </row>
    <row r="8084" spans="1:8" x14ac:dyDescent="0.2">
      <c r="A8084">
        <v>294326</v>
      </c>
      <c r="B8084">
        <v>5627688</v>
      </c>
      <c r="C8084" t="str">
        <f t="shared" si="126"/>
        <v>5. $1M+</v>
      </c>
      <c r="D8084" t="s">
        <v>968</v>
      </c>
      <c r="E8084" t="s">
        <v>59</v>
      </c>
      <c r="F8084" t="s">
        <v>670</v>
      </c>
      <c r="G8084" t="s">
        <v>59</v>
      </c>
      <c r="H8084">
        <v>2025</v>
      </c>
    </row>
    <row r="8085" spans="1:8" x14ac:dyDescent="0.2">
      <c r="A8085">
        <v>294328</v>
      </c>
      <c r="B8085">
        <v>302666</v>
      </c>
      <c r="C8085" t="str">
        <f t="shared" si="126"/>
        <v>5. $1M+</v>
      </c>
      <c r="D8085" t="s">
        <v>968</v>
      </c>
      <c r="E8085" t="s">
        <v>59</v>
      </c>
      <c r="F8085" t="s">
        <v>670</v>
      </c>
      <c r="G8085" t="s">
        <v>59</v>
      </c>
      <c r="H8085">
        <v>2025</v>
      </c>
    </row>
    <row r="8086" spans="1:8" x14ac:dyDescent="0.2">
      <c r="A8086">
        <v>294329</v>
      </c>
      <c r="B8086">
        <v>145000</v>
      </c>
      <c r="C8086" t="str">
        <f t="shared" si="126"/>
        <v>4. $250K-1M</v>
      </c>
      <c r="D8086" t="s">
        <v>792</v>
      </c>
      <c r="E8086" t="s">
        <v>59</v>
      </c>
      <c r="F8086" t="s">
        <v>670</v>
      </c>
      <c r="G8086" t="s">
        <v>59</v>
      </c>
      <c r="H8086">
        <v>2025</v>
      </c>
    </row>
    <row r="8087" spans="1:8" x14ac:dyDescent="0.2">
      <c r="A8087">
        <v>294330</v>
      </c>
      <c r="B8087">
        <v>400000</v>
      </c>
      <c r="C8087" t="str">
        <f t="shared" si="126"/>
        <v>3. $50K-250K</v>
      </c>
      <c r="D8087" t="s">
        <v>774</v>
      </c>
      <c r="E8087" t="s">
        <v>99</v>
      </c>
      <c r="F8087" t="s">
        <v>668</v>
      </c>
      <c r="G8087" t="s">
        <v>59</v>
      </c>
      <c r="H8087">
        <v>2024</v>
      </c>
    </row>
    <row r="8088" spans="1:8" x14ac:dyDescent="0.2">
      <c r="A8088">
        <v>294332</v>
      </c>
      <c r="B8088">
        <v>1500000</v>
      </c>
      <c r="C8088" t="str">
        <f t="shared" si="126"/>
        <v>4. $250K-1M</v>
      </c>
      <c r="D8088" t="s">
        <v>778</v>
      </c>
      <c r="E8088" t="s">
        <v>99</v>
      </c>
      <c r="F8088" t="s">
        <v>668</v>
      </c>
      <c r="G8088" t="s">
        <v>59</v>
      </c>
      <c r="H8088">
        <v>2024</v>
      </c>
    </row>
    <row r="8089" spans="1:8" x14ac:dyDescent="0.2">
      <c r="A8089">
        <v>294355</v>
      </c>
      <c r="B8089">
        <v>329800</v>
      </c>
      <c r="C8089" t="str">
        <f t="shared" si="126"/>
        <v>5. $1M+</v>
      </c>
      <c r="D8089" t="s">
        <v>774</v>
      </c>
      <c r="E8089" t="s">
        <v>99</v>
      </c>
      <c r="F8089" t="s">
        <v>668</v>
      </c>
      <c r="G8089" t="s">
        <v>59</v>
      </c>
      <c r="H8089">
        <v>2024</v>
      </c>
    </row>
    <row r="8090" spans="1:8" x14ac:dyDescent="0.2">
      <c r="A8090">
        <v>294362</v>
      </c>
      <c r="B8090">
        <v>137032.5</v>
      </c>
      <c r="C8090" t="str">
        <f t="shared" si="126"/>
        <v>4. $250K-1M</v>
      </c>
      <c r="D8090" t="s">
        <v>2480</v>
      </c>
      <c r="E8090" t="s">
        <v>99</v>
      </c>
      <c r="F8090" t="s">
        <v>668</v>
      </c>
      <c r="G8090" t="s">
        <v>59</v>
      </c>
      <c r="H8090">
        <v>2024</v>
      </c>
    </row>
    <row r="8091" spans="1:8" x14ac:dyDescent="0.2">
      <c r="A8091">
        <v>294366</v>
      </c>
      <c r="B8091">
        <v>166927.5</v>
      </c>
      <c r="C8091" t="str">
        <f t="shared" si="126"/>
        <v>3. $50K-250K</v>
      </c>
      <c r="D8091" t="s">
        <v>2481</v>
      </c>
      <c r="E8091" t="s">
        <v>99</v>
      </c>
      <c r="F8091" t="s">
        <v>668</v>
      </c>
      <c r="G8091" t="s">
        <v>59</v>
      </c>
      <c r="H8091">
        <v>2024</v>
      </c>
    </row>
    <row r="8092" spans="1:8" x14ac:dyDescent="0.2">
      <c r="A8092">
        <v>294367</v>
      </c>
      <c r="B8092">
        <v>783663</v>
      </c>
      <c r="C8092" t="str">
        <f t="shared" si="126"/>
        <v>3. $50K-250K</v>
      </c>
      <c r="D8092" t="s">
        <v>774</v>
      </c>
      <c r="E8092" t="s">
        <v>99</v>
      </c>
      <c r="F8092" t="s">
        <v>668</v>
      </c>
      <c r="G8092" t="s">
        <v>59</v>
      </c>
      <c r="H8092">
        <v>2024</v>
      </c>
    </row>
    <row r="8093" spans="1:8" x14ac:dyDescent="0.2">
      <c r="A8093">
        <v>294375</v>
      </c>
      <c r="B8093">
        <v>1562786</v>
      </c>
      <c r="C8093" t="str">
        <f t="shared" si="126"/>
        <v>4. $250K-1M</v>
      </c>
      <c r="D8093" t="s">
        <v>2482</v>
      </c>
      <c r="E8093" t="s">
        <v>99</v>
      </c>
      <c r="F8093" t="s">
        <v>668</v>
      </c>
      <c r="G8093" t="s">
        <v>59</v>
      </c>
      <c r="H8093">
        <v>2024</v>
      </c>
    </row>
    <row r="8094" spans="1:8" x14ac:dyDescent="0.2">
      <c r="A8094">
        <v>294376</v>
      </c>
      <c r="B8094">
        <v>400000</v>
      </c>
      <c r="C8094" t="str">
        <f t="shared" si="126"/>
        <v>5. $1M+</v>
      </c>
      <c r="D8094" t="s">
        <v>774</v>
      </c>
      <c r="E8094" t="s">
        <v>99</v>
      </c>
      <c r="F8094" t="s">
        <v>668</v>
      </c>
      <c r="G8094" t="s">
        <v>59</v>
      </c>
      <c r="H8094">
        <v>2024</v>
      </c>
    </row>
    <row r="8095" spans="1:8" x14ac:dyDescent="0.2">
      <c r="A8095">
        <v>294377</v>
      </c>
      <c r="B8095">
        <v>82121.2</v>
      </c>
      <c r="C8095" t="str">
        <f t="shared" si="126"/>
        <v>4. $250K-1M</v>
      </c>
      <c r="D8095" t="s">
        <v>2483</v>
      </c>
      <c r="E8095" t="s">
        <v>99</v>
      </c>
      <c r="F8095" t="s">
        <v>668</v>
      </c>
      <c r="G8095" t="s">
        <v>59</v>
      </c>
      <c r="H8095">
        <v>2024</v>
      </c>
    </row>
    <row r="8096" spans="1:8" x14ac:dyDescent="0.2">
      <c r="A8096">
        <v>294388</v>
      </c>
      <c r="B8096">
        <v>6000000</v>
      </c>
      <c r="C8096" t="str">
        <f t="shared" si="126"/>
        <v>3. $50K-250K</v>
      </c>
      <c r="D8096" t="s">
        <v>774</v>
      </c>
      <c r="E8096" t="s">
        <v>99</v>
      </c>
      <c r="F8096" t="s">
        <v>668</v>
      </c>
      <c r="G8096" t="s">
        <v>59</v>
      </c>
      <c r="H8096">
        <v>2024</v>
      </c>
    </row>
    <row r="8097" spans="1:8" x14ac:dyDescent="0.2">
      <c r="A8097">
        <v>294389</v>
      </c>
      <c r="B8097">
        <v>220000</v>
      </c>
      <c r="C8097" t="str">
        <f t="shared" si="126"/>
        <v>5. $1M+</v>
      </c>
      <c r="D8097" t="s">
        <v>774</v>
      </c>
      <c r="E8097" t="s">
        <v>99</v>
      </c>
      <c r="F8097" t="s">
        <v>668</v>
      </c>
      <c r="G8097" t="s">
        <v>59</v>
      </c>
      <c r="H8097">
        <v>2024</v>
      </c>
    </row>
    <row r="8098" spans="1:8" x14ac:dyDescent="0.2">
      <c r="A8098">
        <v>294390</v>
      </c>
      <c r="B8098">
        <v>180000</v>
      </c>
      <c r="C8098" t="str">
        <f t="shared" si="126"/>
        <v>3. $50K-250K</v>
      </c>
      <c r="D8098" t="s">
        <v>774</v>
      </c>
      <c r="E8098" t="s">
        <v>99</v>
      </c>
      <c r="F8098" t="s">
        <v>668</v>
      </c>
      <c r="G8098" t="s">
        <v>59</v>
      </c>
      <c r="H8098">
        <v>2024</v>
      </c>
    </row>
    <row r="8099" spans="1:8" x14ac:dyDescent="0.2">
      <c r="A8099">
        <v>294391</v>
      </c>
      <c r="B8099">
        <v>4541000</v>
      </c>
      <c r="C8099" t="str">
        <f t="shared" si="126"/>
        <v>3. $50K-250K</v>
      </c>
      <c r="D8099" t="s">
        <v>774</v>
      </c>
      <c r="E8099" t="s">
        <v>99</v>
      </c>
      <c r="F8099" t="s">
        <v>668</v>
      </c>
      <c r="G8099" t="s">
        <v>59</v>
      </c>
      <c r="H8099">
        <v>2024</v>
      </c>
    </row>
    <row r="8100" spans="1:8" x14ac:dyDescent="0.2">
      <c r="A8100">
        <v>294392</v>
      </c>
      <c r="B8100">
        <v>60830</v>
      </c>
      <c r="C8100" t="str">
        <f t="shared" si="126"/>
        <v>5. $1M+</v>
      </c>
      <c r="D8100" t="s">
        <v>774</v>
      </c>
      <c r="E8100" t="s">
        <v>99</v>
      </c>
      <c r="F8100" t="s">
        <v>668</v>
      </c>
      <c r="G8100" t="s">
        <v>59</v>
      </c>
      <c r="H8100">
        <v>2024</v>
      </c>
    </row>
    <row r="8101" spans="1:8" x14ac:dyDescent="0.2">
      <c r="A8101">
        <v>294393</v>
      </c>
      <c r="B8101">
        <v>53000</v>
      </c>
      <c r="C8101" t="str">
        <f t="shared" si="126"/>
        <v>3. $50K-250K</v>
      </c>
      <c r="D8101" t="s">
        <v>774</v>
      </c>
      <c r="E8101" t="s">
        <v>99</v>
      </c>
      <c r="F8101" t="s">
        <v>668</v>
      </c>
      <c r="G8101" t="s">
        <v>59</v>
      </c>
      <c r="H8101">
        <v>2024</v>
      </c>
    </row>
    <row r="8102" spans="1:8" x14ac:dyDescent="0.2">
      <c r="A8102">
        <v>294406</v>
      </c>
      <c r="B8102">
        <v>216980.9</v>
      </c>
      <c r="C8102" t="str">
        <f t="shared" si="126"/>
        <v>3. $50K-250K</v>
      </c>
      <c r="D8102" t="s">
        <v>1022</v>
      </c>
      <c r="E8102" t="s">
        <v>42</v>
      </c>
      <c r="F8102" t="s">
        <v>670</v>
      </c>
      <c r="G8102" t="s">
        <v>59</v>
      </c>
      <c r="H8102">
        <v>2024</v>
      </c>
    </row>
    <row r="8103" spans="1:8" x14ac:dyDescent="0.2">
      <c r="A8103">
        <v>294407</v>
      </c>
      <c r="B8103">
        <v>930000</v>
      </c>
      <c r="C8103" t="str">
        <f t="shared" si="126"/>
        <v>3. $50K-250K</v>
      </c>
      <c r="D8103" t="s">
        <v>678</v>
      </c>
      <c r="E8103" t="s">
        <v>28</v>
      </c>
      <c r="F8103" t="s">
        <v>668</v>
      </c>
      <c r="G8103" t="s">
        <v>59</v>
      </c>
      <c r="H8103">
        <v>2024</v>
      </c>
    </row>
    <row r="8104" spans="1:8" x14ac:dyDescent="0.2">
      <c r="A8104">
        <v>294410</v>
      </c>
      <c r="B8104">
        <v>589780</v>
      </c>
      <c r="C8104" t="str">
        <f t="shared" si="126"/>
        <v>4. $250K-1M</v>
      </c>
      <c r="D8104" t="s">
        <v>678</v>
      </c>
      <c r="E8104" t="s">
        <v>28</v>
      </c>
      <c r="F8104" t="s">
        <v>668</v>
      </c>
      <c r="G8104" t="s">
        <v>59</v>
      </c>
      <c r="H8104">
        <v>2024</v>
      </c>
    </row>
    <row r="8105" spans="1:8" x14ac:dyDescent="0.2">
      <c r="A8105">
        <v>294411</v>
      </c>
      <c r="B8105">
        <v>5800000</v>
      </c>
      <c r="C8105" t="str">
        <f t="shared" si="126"/>
        <v>4. $250K-1M</v>
      </c>
      <c r="D8105" t="s">
        <v>774</v>
      </c>
      <c r="E8105" t="s">
        <v>99</v>
      </c>
      <c r="F8105" t="s">
        <v>668</v>
      </c>
      <c r="G8105" t="s">
        <v>59</v>
      </c>
      <c r="H8105">
        <v>2024</v>
      </c>
    </row>
    <row r="8106" spans="1:8" x14ac:dyDescent="0.2">
      <c r="A8106">
        <v>294420</v>
      </c>
      <c r="B8106">
        <v>139212</v>
      </c>
      <c r="C8106" t="str">
        <f t="shared" si="126"/>
        <v>5. $1M+</v>
      </c>
      <c r="D8106" t="s">
        <v>774</v>
      </c>
      <c r="E8106" t="s">
        <v>99</v>
      </c>
      <c r="F8106" t="s">
        <v>668</v>
      </c>
      <c r="G8106" t="s">
        <v>59</v>
      </c>
      <c r="H8106">
        <v>2024</v>
      </c>
    </row>
    <row r="8107" spans="1:8" x14ac:dyDescent="0.2">
      <c r="A8107">
        <v>294423</v>
      </c>
      <c r="B8107">
        <v>550000</v>
      </c>
      <c r="C8107" t="str">
        <f t="shared" si="126"/>
        <v>3. $50K-250K</v>
      </c>
      <c r="D8107" t="s">
        <v>774</v>
      </c>
      <c r="E8107" t="s">
        <v>99</v>
      </c>
      <c r="F8107" t="s">
        <v>668</v>
      </c>
      <c r="G8107" t="s">
        <v>59</v>
      </c>
      <c r="H8107">
        <v>2024</v>
      </c>
    </row>
    <row r="8108" spans="1:8" x14ac:dyDescent="0.2">
      <c r="A8108">
        <v>294424</v>
      </c>
      <c r="B8108">
        <v>500000</v>
      </c>
      <c r="C8108" t="str">
        <f t="shared" si="126"/>
        <v>4. $250K-1M</v>
      </c>
      <c r="D8108" t="s">
        <v>774</v>
      </c>
      <c r="E8108" t="s">
        <v>99</v>
      </c>
      <c r="F8108" t="s">
        <v>668</v>
      </c>
      <c r="G8108" t="s">
        <v>59</v>
      </c>
      <c r="H8108">
        <v>2024</v>
      </c>
    </row>
    <row r="8109" spans="1:8" x14ac:dyDescent="0.2">
      <c r="A8109">
        <v>294425</v>
      </c>
      <c r="B8109">
        <v>4950000</v>
      </c>
      <c r="C8109" t="str">
        <f t="shared" si="126"/>
        <v>4. $250K-1M</v>
      </c>
      <c r="D8109" t="s">
        <v>774</v>
      </c>
      <c r="E8109" t="s">
        <v>99</v>
      </c>
      <c r="F8109" t="s">
        <v>668</v>
      </c>
      <c r="G8109" t="s">
        <v>59</v>
      </c>
      <c r="H8109">
        <v>2024</v>
      </c>
    </row>
    <row r="8110" spans="1:8" x14ac:dyDescent="0.2">
      <c r="A8110">
        <v>294442</v>
      </c>
      <c r="B8110">
        <v>1045000</v>
      </c>
      <c r="C8110" t="str">
        <f t="shared" si="126"/>
        <v>5. $1M+</v>
      </c>
      <c r="D8110" t="s">
        <v>2179</v>
      </c>
      <c r="E8110" t="s">
        <v>237</v>
      </c>
      <c r="F8110" t="s">
        <v>670</v>
      </c>
      <c r="G8110" t="s">
        <v>59</v>
      </c>
      <c r="H8110">
        <v>2025</v>
      </c>
    </row>
    <row r="8111" spans="1:8" x14ac:dyDescent="0.2">
      <c r="A8111">
        <v>294443</v>
      </c>
      <c r="B8111">
        <v>1800000</v>
      </c>
      <c r="C8111" t="str">
        <f t="shared" si="126"/>
        <v>5. $1M+</v>
      </c>
      <c r="D8111" t="s">
        <v>2179</v>
      </c>
      <c r="E8111" t="s">
        <v>237</v>
      </c>
      <c r="F8111" t="s">
        <v>670</v>
      </c>
      <c r="G8111" t="s">
        <v>59</v>
      </c>
      <c r="H8111">
        <v>2025</v>
      </c>
    </row>
    <row r="8112" spans="1:8" x14ac:dyDescent="0.2">
      <c r="A8112">
        <v>294452</v>
      </c>
      <c r="B8112">
        <v>344049</v>
      </c>
      <c r="C8112" t="str">
        <f t="shared" si="126"/>
        <v>5. $1M+</v>
      </c>
      <c r="D8112" t="s">
        <v>2484</v>
      </c>
      <c r="E8112" t="s">
        <v>99</v>
      </c>
      <c r="F8112" t="s">
        <v>668</v>
      </c>
      <c r="G8112" t="s">
        <v>59</v>
      </c>
      <c r="H8112">
        <v>2024</v>
      </c>
    </row>
    <row r="8113" spans="1:8" x14ac:dyDescent="0.2">
      <c r="A8113">
        <v>294458</v>
      </c>
      <c r="B8113">
        <v>580000</v>
      </c>
      <c r="C8113" t="str">
        <f t="shared" si="126"/>
        <v>4. $250K-1M</v>
      </c>
      <c r="D8113" t="s">
        <v>936</v>
      </c>
      <c r="E8113" t="s">
        <v>237</v>
      </c>
      <c r="F8113" t="s">
        <v>670</v>
      </c>
      <c r="G8113" t="s">
        <v>59</v>
      </c>
      <c r="H8113">
        <v>2025</v>
      </c>
    </row>
    <row r="8114" spans="1:8" x14ac:dyDescent="0.2">
      <c r="A8114">
        <v>294462</v>
      </c>
      <c r="B8114">
        <v>1200000</v>
      </c>
      <c r="C8114" t="str">
        <f t="shared" si="126"/>
        <v>4. $250K-1M</v>
      </c>
      <c r="D8114" t="s">
        <v>936</v>
      </c>
      <c r="E8114" t="s">
        <v>237</v>
      </c>
      <c r="F8114" t="s">
        <v>670</v>
      </c>
      <c r="G8114" t="s">
        <v>59</v>
      </c>
      <c r="H8114">
        <v>2025</v>
      </c>
    </row>
    <row r="8115" spans="1:8" x14ac:dyDescent="0.2">
      <c r="A8115">
        <v>294481</v>
      </c>
      <c r="B8115">
        <v>25222.5</v>
      </c>
      <c r="C8115" t="str">
        <f t="shared" si="126"/>
        <v>5. $1M+</v>
      </c>
      <c r="D8115" t="s">
        <v>957</v>
      </c>
      <c r="E8115" t="s">
        <v>42</v>
      </c>
      <c r="F8115" t="s">
        <v>670</v>
      </c>
      <c r="G8115" t="s">
        <v>59</v>
      </c>
      <c r="H8115">
        <v>2024</v>
      </c>
    </row>
    <row r="8116" spans="1:8" x14ac:dyDescent="0.2">
      <c r="A8116">
        <v>294603</v>
      </c>
      <c r="B8116">
        <v>1958166</v>
      </c>
      <c r="C8116" t="str">
        <f t="shared" si="126"/>
        <v>2. $10K-50K</v>
      </c>
      <c r="D8116" t="s">
        <v>682</v>
      </c>
      <c r="E8116" t="s">
        <v>42</v>
      </c>
      <c r="F8116" t="s">
        <v>670</v>
      </c>
      <c r="G8116" t="s">
        <v>44</v>
      </c>
      <c r="H8116">
        <v>2025</v>
      </c>
    </row>
    <row r="8117" spans="1:8" x14ac:dyDescent="0.2">
      <c r="A8117">
        <v>294606</v>
      </c>
      <c r="B8117">
        <v>275000</v>
      </c>
      <c r="C8117" t="str">
        <f t="shared" si="126"/>
        <v>5. $1M+</v>
      </c>
      <c r="D8117" t="s">
        <v>804</v>
      </c>
      <c r="E8117" t="s">
        <v>42</v>
      </c>
      <c r="F8117" t="s">
        <v>670</v>
      </c>
      <c r="G8117" t="s">
        <v>44</v>
      </c>
      <c r="H8117">
        <v>2025</v>
      </c>
    </row>
    <row r="8118" spans="1:8" x14ac:dyDescent="0.2">
      <c r="A8118">
        <v>294620</v>
      </c>
      <c r="B8118">
        <v>1058351</v>
      </c>
      <c r="C8118" t="str">
        <f t="shared" si="126"/>
        <v>4. $250K-1M</v>
      </c>
      <c r="D8118" t="s">
        <v>774</v>
      </c>
      <c r="E8118" t="s">
        <v>42</v>
      </c>
      <c r="F8118" t="s">
        <v>668</v>
      </c>
      <c r="G8118" t="s">
        <v>59</v>
      </c>
      <c r="H8118">
        <v>2024</v>
      </c>
    </row>
    <row r="8119" spans="1:8" x14ac:dyDescent="0.2">
      <c r="A8119">
        <v>294625</v>
      </c>
      <c r="B8119">
        <v>4850000</v>
      </c>
      <c r="C8119" t="str">
        <f t="shared" si="126"/>
        <v>5. $1M+</v>
      </c>
      <c r="D8119" t="s">
        <v>801</v>
      </c>
      <c r="E8119" t="s">
        <v>42</v>
      </c>
      <c r="F8119" t="s">
        <v>670</v>
      </c>
      <c r="G8119" t="s">
        <v>44</v>
      </c>
      <c r="H8119">
        <v>2025</v>
      </c>
    </row>
    <row r="8120" spans="1:8" x14ac:dyDescent="0.2">
      <c r="A8120">
        <v>294626</v>
      </c>
      <c r="B8120">
        <v>150000</v>
      </c>
      <c r="C8120" t="str">
        <f t="shared" si="126"/>
        <v>5. $1M+</v>
      </c>
      <c r="D8120" t="s">
        <v>978</v>
      </c>
      <c r="E8120" t="s">
        <v>42</v>
      </c>
      <c r="F8120" t="s">
        <v>670</v>
      </c>
      <c r="G8120" t="s">
        <v>44</v>
      </c>
      <c r="H8120">
        <v>2025</v>
      </c>
    </row>
    <row r="8121" spans="1:8" x14ac:dyDescent="0.2">
      <c r="A8121">
        <v>294627</v>
      </c>
      <c r="B8121">
        <v>150000</v>
      </c>
      <c r="C8121" t="str">
        <f t="shared" si="126"/>
        <v>3. $50K-250K</v>
      </c>
      <c r="D8121" t="s">
        <v>957</v>
      </c>
      <c r="E8121" t="s">
        <v>42</v>
      </c>
      <c r="F8121" t="s">
        <v>670</v>
      </c>
      <c r="G8121" t="s">
        <v>44</v>
      </c>
      <c r="H8121">
        <v>2025</v>
      </c>
    </row>
    <row r="8122" spans="1:8" x14ac:dyDescent="0.2">
      <c r="A8122">
        <v>294628</v>
      </c>
      <c r="B8122">
        <v>150000</v>
      </c>
      <c r="C8122" t="str">
        <f t="shared" si="126"/>
        <v>3. $50K-250K</v>
      </c>
      <c r="D8122" t="s">
        <v>763</v>
      </c>
      <c r="E8122" t="s">
        <v>42</v>
      </c>
      <c r="F8122" t="s">
        <v>670</v>
      </c>
      <c r="G8122" t="s">
        <v>59</v>
      </c>
      <c r="H8122">
        <v>2025</v>
      </c>
    </row>
    <row r="8123" spans="1:8" x14ac:dyDescent="0.2">
      <c r="A8123">
        <v>294629</v>
      </c>
      <c r="B8123">
        <v>150000</v>
      </c>
      <c r="C8123" t="str">
        <f t="shared" si="126"/>
        <v>3. $50K-250K</v>
      </c>
      <c r="D8123" t="s">
        <v>977</v>
      </c>
      <c r="E8123" t="s">
        <v>42</v>
      </c>
      <c r="F8123" t="s">
        <v>670</v>
      </c>
      <c r="G8123" t="s">
        <v>44</v>
      </c>
      <c r="H8123">
        <v>2025</v>
      </c>
    </row>
    <row r="8124" spans="1:8" x14ac:dyDescent="0.2">
      <c r="A8124">
        <v>294672</v>
      </c>
      <c r="B8124">
        <v>1124501</v>
      </c>
      <c r="C8124" t="str">
        <f t="shared" si="126"/>
        <v>3. $50K-250K</v>
      </c>
      <c r="D8124" t="s">
        <v>693</v>
      </c>
      <c r="E8124" t="s">
        <v>237</v>
      </c>
      <c r="F8124" t="s">
        <v>670</v>
      </c>
      <c r="G8124" t="s">
        <v>59</v>
      </c>
      <c r="H8124">
        <v>2024</v>
      </c>
    </row>
    <row r="8125" spans="1:8" x14ac:dyDescent="0.2">
      <c r="A8125">
        <v>294673</v>
      </c>
      <c r="B8125">
        <v>499776</v>
      </c>
      <c r="C8125" t="str">
        <f t="shared" si="126"/>
        <v>5. $1M+</v>
      </c>
      <c r="D8125" t="s">
        <v>761</v>
      </c>
      <c r="E8125" t="s">
        <v>237</v>
      </c>
      <c r="F8125" t="s">
        <v>670</v>
      </c>
      <c r="G8125" t="s">
        <v>59</v>
      </c>
      <c r="H8125">
        <v>2024</v>
      </c>
    </row>
    <row r="8126" spans="1:8" x14ac:dyDescent="0.2">
      <c r="A8126">
        <v>294674</v>
      </c>
      <c r="B8126">
        <v>1027952</v>
      </c>
      <c r="C8126" t="str">
        <f t="shared" si="126"/>
        <v>4. $250K-1M</v>
      </c>
      <c r="D8126" t="s">
        <v>709</v>
      </c>
      <c r="E8126" t="s">
        <v>237</v>
      </c>
      <c r="F8126" t="s">
        <v>670</v>
      </c>
      <c r="G8126" t="s">
        <v>59</v>
      </c>
      <c r="H8126">
        <v>2024</v>
      </c>
    </row>
    <row r="8127" spans="1:8" x14ac:dyDescent="0.2">
      <c r="A8127">
        <v>294675</v>
      </c>
      <c r="B8127">
        <v>631296</v>
      </c>
      <c r="C8127" t="str">
        <f t="shared" si="126"/>
        <v>5. $1M+</v>
      </c>
      <c r="D8127" t="s">
        <v>702</v>
      </c>
      <c r="E8127" t="s">
        <v>237</v>
      </c>
      <c r="F8127" t="s">
        <v>670</v>
      </c>
      <c r="G8127" t="s">
        <v>59</v>
      </c>
      <c r="H8127">
        <v>2024</v>
      </c>
    </row>
    <row r="8128" spans="1:8" x14ac:dyDescent="0.2">
      <c r="A8128">
        <v>294676</v>
      </c>
      <c r="B8128">
        <v>1050980</v>
      </c>
      <c r="C8128" t="str">
        <f t="shared" si="126"/>
        <v>4. $250K-1M</v>
      </c>
      <c r="D8128" t="s">
        <v>710</v>
      </c>
      <c r="E8128" t="s">
        <v>237</v>
      </c>
      <c r="F8128" t="s">
        <v>670</v>
      </c>
      <c r="G8128" t="s">
        <v>59</v>
      </c>
      <c r="H8128">
        <v>2024</v>
      </c>
    </row>
    <row r="8129" spans="1:8" x14ac:dyDescent="0.2">
      <c r="A8129">
        <v>294677</v>
      </c>
      <c r="B8129">
        <v>1786666</v>
      </c>
      <c r="C8129" t="str">
        <f t="shared" si="126"/>
        <v>5. $1M+</v>
      </c>
      <c r="D8129" t="s">
        <v>704</v>
      </c>
      <c r="E8129" t="s">
        <v>237</v>
      </c>
      <c r="F8129" t="s">
        <v>670</v>
      </c>
      <c r="G8129" t="s">
        <v>59</v>
      </c>
      <c r="H8129">
        <v>2024</v>
      </c>
    </row>
    <row r="8130" spans="1:8" x14ac:dyDescent="0.2">
      <c r="A8130">
        <v>294678</v>
      </c>
      <c r="B8130">
        <v>765714</v>
      </c>
      <c r="C8130" t="str">
        <f t="shared" si="126"/>
        <v>5. $1M+</v>
      </c>
      <c r="D8130" t="s">
        <v>693</v>
      </c>
      <c r="E8130" t="s">
        <v>237</v>
      </c>
      <c r="F8130" t="s">
        <v>670</v>
      </c>
      <c r="G8130" t="s">
        <v>59</v>
      </c>
      <c r="H8130">
        <v>2024</v>
      </c>
    </row>
    <row r="8131" spans="1:8" x14ac:dyDescent="0.2">
      <c r="A8131">
        <v>294679</v>
      </c>
      <c r="B8131">
        <v>2032012</v>
      </c>
      <c r="C8131" t="str">
        <f t="shared" ref="C8131:C8194" si="127">IF(B8130&lt;10000,"1. Under $10K",IF(B8130&lt;50000,"2. $10K-50K",IF(B8130&lt;250000,"3. $50K-250K",IF(B8130&lt;1000000,"4. $250K-1M","5. $1M+"))))</f>
        <v>4. $250K-1M</v>
      </c>
      <c r="D8131" t="s">
        <v>709</v>
      </c>
      <c r="E8131" t="s">
        <v>237</v>
      </c>
      <c r="F8131" t="s">
        <v>670</v>
      </c>
      <c r="G8131" t="s">
        <v>59</v>
      </c>
      <c r="H8131">
        <v>2024</v>
      </c>
    </row>
    <row r="8132" spans="1:8" x14ac:dyDescent="0.2">
      <c r="A8132">
        <v>294720</v>
      </c>
      <c r="B8132">
        <v>155274.5</v>
      </c>
      <c r="C8132" t="str">
        <f t="shared" si="127"/>
        <v>5. $1M+</v>
      </c>
      <c r="D8132" t="s">
        <v>391</v>
      </c>
      <c r="E8132" t="s">
        <v>42</v>
      </c>
      <c r="F8132" t="s">
        <v>670</v>
      </c>
      <c r="G8132" t="s">
        <v>59</v>
      </c>
      <c r="H8132">
        <v>2024</v>
      </c>
    </row>
    <row r="8133" spans="1:8" x14ac:dyDescent="0.2">
      <c r="A8133">
        <v>294742</v>
      </c>
      <c r="B8133">
        <v>10000000</v>
      </c>
      <c r="C8133" t="str">
        <f t="shared" si="127"/>
        <v>3. $50K-250K</v>
      </c>
      <c r="D8133" t="s">
        <v>774</v>
      </c>
      <c r="E8133" t="s">
        <v>99</v>
      </c>
      <c r="F8133" t="s">
        <v>668</v>
      </c>
      <c r="G8133" t="s">
        <v>59</v>
      </c>
      <c r="H8133">
        <v>2024</v>
      </c>
    </row>
    <row r="8134" spans="1:8" x14ac:dyDescent="0.2">
      <c r="A8134">
        <v>294743</v>
      </c>
      <c r="B8134">
        <v>1060000</v>
      </c>
      <c r="C8134" t="str">
        <f t="shared" si="127"/>
        <v>5. $1M+</v>
      </c>
      <c r="D8134" t="s">
        <v>774</v>
      </c>
      <c r="E8134" t="s">
        <v>99</v>
      </c>
      <c r="F8134" t="s">
        <v>668</v>
      </c>
      <c r="G8134" t="s">
        <v>59</v>
      </c>
      <c r="H8134">
        <v>2024</v>
      </c>
    </row>
    <row r="8135" spans="1:8" x14ac:dyDescent="0.2">
      <c r="A8135">
        <v>294933</v>
      </c>
      <c r="B8135">
        <v>124209</v>
      </c>
      <c r="C8135" t="str">
        <f t="shared" si="127"/>
        <v>5. $1M+</v>
      </c>
      <c r="D8135" t="s">
        <v>749</v>
      </c>
      <c r="E8135" t="s">
        <v>59</v>
      </c>
      <c r="F8135" t="s">
        <v>670</v>
      </c>
      <c r="G8135" t="s">
        <v>59</v>
      </c>
      <c r="H8135">
        <v>2025</v>
      </c>
    </row>
    <row r="8136" spans="1:8" x14ac:dyDescent="0.2">
      <c r="A8136">
        <v>294934</v>
      </c>
      <c r="B8136">
        <v>51351.4</v>
      </c>
      <c r="C8136" t="str">
        <f t="shared" si="127"/>
        <v>3. $50K-250K</v>
      </c>
      <c r="D8136" t="s">
        <v>230</v>
      </c>
      <c r="E8136" t="s">
        <v>67</v>
      </c>
      <c r="F8136" t="s">
        <v>231</v>
      </c>
      <c r="G8136" t="s">
        <v>232</v>
      </c>
      <c r="H8136">
        <v>2025</v>
      </c>
    </row>
    <row r="8137" spans="1:8" x14ac:dyDescent="0.2">
      <c r="A8137">
        <v>294935</v>
      </c>
      <c r="B8137">
        <v>117853</v>
      </c>
      <c r="C8137" t="str">
        <f t="shared" si="127"/>
        <v>3. $50K-250K</v>
      </c>
      <c r="D8137" t="s">
        <v>719</v>
      </c>
      <c r="E8137" t="s">
        <v>59</v>
      </c>
      <c r="F8137" t="s">
        <v>670</v>
      </c>
      <c r="G8137" t="s">
        <v>59</v>
      </c>
      <c r="H8137">
        <v>2025</v>
      </c>
    </row>
    <row r="8138" spans="1:8" x14ac:dyDescent="0.2">
      <c r="A8138">
        <v>294936</v>
      </c>
      <c r="B8138">
        <v>106156</v>
      </c>
      <c r="C8138" t="str">
        <f t="shared" si="127"/>
        <v>3. $50K-250K</v>
      </c>
      <c r="D8138" t="s">
        <v>780</v>
      </c>
      <c r="E8138" t="s">
        <v>59</v>
      </c>
      <c r="F8138" t="s">
        <v>670</v>
      </c>
      <c r="G8138" t="s">
        <v>59</v>
      </c>
      <c r="H8138">
        <v>2025</v>
      </c>
    </row>
    <row r="8139" spans="1:8" x14ac:dyDescent="0.2">
      <c r="A8139">
        <v>294937</v>
      </c>
      <c r="B8139">
        <v>70012</v>
      </c>
      <c r="C8139" t="str">
        <f t="shared" si="127"/>
        <v>3. $50K-250K</v>
      </c>
      <c r="D8139" t="s">
        <v>230</v>
      </c>
      <c r="E8139" t="s">
        <v>67</v>
      </c>
      <c r="F8139" t="s">
        <v>231</v>
      </c>
      <c r="G8139" t="s">
        <v>232</v>
      </c>
      <c r="H8139">
        <v>2025</v>
      </c>
    </row>
    <row r="8140" spans="1:8" x14ac:dyDescent="0.2">
      <c r="A8140">
        <v>294938</v>
      </c>
      <c r="B8140">
        <v>375001</v>
      </c>
      <c r="C8140" t="str">
        <f t="shared" si="127"/>
        <v>3. $50K-250K</v>
      </c>
      <c r="D8140" t="s">
        <v>694</v>
      </c>
      <c r="E8140" t="s">
        <v>59</v>
      </c>
      <c r="F8140" t="s">
        <v>670</v>
      </c>
      <c r="G8140" t="s">
        <v>59</v>
      </c>
      <c r="H8140">
        <v>2025</v>
      </c>
    </row>
    <row r="8141" spans="1:8" x14ac:dyDescent="0.2">
      <c r="A8141">
        <v>294940</v>
      </c>
      <c r="B8141">
        <v>375001</v>
      </c>
      <c r="C8141" t="str">
        <f t="shared" si="127"/>
        <v>4. $250K-1M</v>
      </c>
      <c r="D8141" t="s">
        <v>839</v>
      </c>
      <c r="E8141" t="s">
        <v>59</v>
      </c>
      <c r="F8141" t="s">
        <v>670</v>
      </c>
      <c r="G8141" t="s">
        <v>59</v>
      </c>
      <c r="H8141">
        <v>2025</v>
      </c>
    </row>
    <row r="8142" spans="1:8" x14ac:dyDescent="0.2">
      <c r="A8142">
        <v>294941</v>
      </c>
      <c r="B8142">
        <v>375001</v>
      </c>
      <c r="C8142" t="str">
        <f t="shared" si="127"/>
        <v>4. $250K-1M</v>
      </c>
      <c r="D8142" t="s">
        <v>985</v>
      </c>
      <c r="E8142" t="s">
        <v>59</v>
      </c>
      <c r="F8142" t="s">
        <v>670</v>
      </c>
      <c r="G8142" t="s">
        <v>59</v>
      </c>
      <c r="H8142">
        <v>2025</v>
      </c>
    </row>
    <row r="8143" spans="1:8" x14ac:dyDescent="0.2">
      <c r="A8143">
        <v>294942</v>
      </c>
      <c r="B8143">
        <v>375001</v>
      </c>
      <c r="C8143" t="str">
        <f t="shared" si="127"/>
        <v>4. $250K-1M</v>
      </c>
      <c r="D8143" t="s">
        <v>962</v>
      </c>
      <c r="E8143" t="s">
        <v>59</v>
      </c>
      <c r="F8143" t="s">
        <v>670</v>
      </c>
      <c r="G8143" t="s">
        <v>59</v>
      </c>
      <c r="H8143">
        <v>2025</v>
      </c>
    </row>
    <row r="8144" spans="1:8" x14ac:dyDescent="0.2">
      <c r="A8144">
        <v>294943</v>
      </c>
      <c r="B8144">
        <v>375001</v>
      </c>
      <c r="C8144" t="str">
        <f t="shared" si="127"/>
        <v>4. $250K-1M</v>
      </c>
      <c r="D8144" t="s">
        <v>694</v>
      </c>
      <c r="E8144" t="s">
        <v>59</v>
      </c>
      <c r="F8144" t="s">
        <v>670</v>
      </c>
      <c r="G8144" t="s">
        <v>59</v>
      </c>
      <c r="H8144">
        <v>2025</v>
      </c>
    </row>
    <row r="8145" spans="1:8" x14ac:dyDescent="0.2">
      <c r="A8145">
        <v>294944</v>
      </c>
      <c r="B8145">
        <v>375001</v>
      </c>
      <c r="C8145" t="str">
        <f t="shared" si="127"/>
        <v>4. $250K-1M</v>
      </c>
      <c r="D8145" t="s">
        <v>805</v>
      </c>
      <c r="E8145" t="s">
        <v>59</v>
      </c>
      <c r="F8145" t="s">
        <v>670</v>
      </c>
      <c r="G8145" t="s">
        <v>59</v>
      </c>
      <c r="H8145">
        <v>2025</v>
      </c>
    </row>
    <row r="8146" spans="1:8" x14ac:dyDescent="0.2">
      <c r="A8146">
        <v>294945</v>
      </c>
      <c r="B8146">
        <v>375001</v>
      </c>
      <c r="C8146" t="str">
        <f t="shared" si="127"/>
        <v>4. $250K-1M</v>
      </c>
      <c r="D8146" t="s">
        <v>1084</v>
      </c>
      <c r="E8146" t="s">
        <v>59</v>
      </c>
      <c r="F8146" t="s">
        <v>670</v>
      </c>
      <c r="G8146" t="s">
        <v>59</v>
      </c>
      <c r="H8146">
        <v>2025</v>
      </c>
    </row>
    <row r="8147" spans="1:8" x14ac:dyDescent="0.2">
      <c r="A8147">
        <v>294947</v>
      </c>
      <c r="B8147">
        <v>375001</v>
      </c>
      <c r="C8147" t="str">
        <f t="shared" si="127"/>
        <v>4. $250K-1M</v>
      </c>
      <c r="D8147" t="s">
        <v>838</v>
      </c>
      <c r="E8147" t="s">
        <v>59</v>
      </c>
      <c r="F8147" t="s">
        <v>670</v>
      </c>
      <c r="G8147" t="s">
        <v>59</v>
      </c>
      <c r="H8147">
        <v>2025</v>
      </c>
    </row>
    <row r="8148" spans="1:8" x14ac:dyDescent="0.2">
      <c r="A8148">
        <v>294948</v>
      </c>
      <c r="B8148">
        <v>422976</v>
      </c>
      <c r="C8148" t="str">
        <f t="shared" si="127"/>
        <v>4. $250K-1M</v>
      </c>
      <c r="D8148" t="s">
        <v>839</v>
      </c>
      <c r="E8148" t="s">
        <v>59</v>
      </c>
      <c r="F8148" t="s">
        <v>670</v>
      </c>
      <c r="G8148" t="s">
        <v>59</v>
      </c>
      <c r="H8148">
        <v>2025</v>
      </c>
    </row>
    <row r="8149" spans="1:8" x14ac:dyDescent="0.2">
      <c r="A8149">
        <v>294949</v>
      </c>
      <c r="B8149">
        <v>500000</v>
      </c>
      <c r="C8149" t="str">
        <f t="shared" si="127"/>
        <v>4. $250K-1M</v>
      </c>
      <c r="D8149" t="s">
        <v>749</v>
      </c>
      <c r="E8149" t="s">
        <v>59</v>
      </c>
      <c r="F8149" t="s">
        <v>670</v>
      </c>
      <c r="G8149" t="s">
        <v>59</v>
      </c>
      <c r="H8149">
        <v>2025</v>
      </c>
    </row>
    <row r="8150" spans="1:8" x14ac:dyDescent="0.2">
      <c r="A8150">
        <v>294956</v>
      </c>
      <c r="B8150">
        <v>2526300</v>
      </c>
      <c r="C8150" t="str">
        <f t="shared" si="127"/>
        <v>4. $250K-1M</v>
      </c>
      <c r="D8150" t="s">
        <v>1024</v>
      </c>
      <c r="E8150" t="s">
        <v>59</v>
      </c>
      <c r="F8150" t="s">
        <v>670</v>
      </c>
      <c r="G8150" t="s">
        <v>59</v>
      </c>
      <c r="H8150">
        <v>2025</v>
      </c>
    </row>
    <row r="8151" spans="1:8" x14ac:dyDescent="0.2">
      <c r="A8151">
        <v>294957</v>
      </c>
      <c r="B8151">
        <v>108938.5</v>
      </c>
      <c r="C8151" t="str">
        <f t="shared" si="127"/>
        <v>5. $1M+</v>
      </c>
      <c r="D8151" t="s">
        <v>230</v>
      </c>
      <c r="E8151" t="s">
        <v>67</v>
      </c>
      <c r="F8151" t="s">
        <v>231</v>
      </c>
      <c r="G8151" t="s">
        <v>232</v>
      </c>
      <c r="H8151">
        <v>2025</v>
      </c>
    </row>
    <row r="8152" spans="1:8" x14ac:dyDescent="0.2">
      <c r="A8152">
        <v>294986</v>
      </c>
      <c r="B8152">
        <v>1284084</v>
      </c>
      <c r="C8152" t="str">
        <f t="shared" si="127"/>
        <v>3. $50K-250K</v>
      </c>
      <c r="D8152" t="s">
        <v>694</v>
      </c>
      <c r="E8152" t="s">
        <v>237</v>
      </c>
      <c r="F8152" t="s">
        <v>670</v>
      </c>
      <c r="G8152" t="s">
        <v>59</v>
      </c>
      <c r="H8152">
        <v>2024</v>
      </c>
    </row>
    <row r="8153" spans="1:8" x14ac:dyDescent="0.2">
      <c r="A8153">
        <v>295100</v>
      </c>
      <c r="B8153">
        <v>3977228</v>
      </c>
      <c r="C8153" t="str">
        <f t="shared" si="127"/>
        <v>5. $1M+</v>
      </c>
      <c r="D8153" t="s">
        <v>704</v>
      </c>
      <c r="E8153" t="s">
        <v>237</v>
      </c>
      <c r="F8153" t="s">
        <v>670</v>
      </c>
      <c r="G8153" t="s">
        <v>59</v>
      </c>
      <c r="H8153">
        <v>2024</v>
      </c>
    </row>
    <row r="8154" spans="1:8" x14ac:dyDescent="0.2">
      <c r="A8154">
        <v>295101</v>
      </c>
      <c r="B8154">
        <v>765714</v>
      </c>
      <c r="C8154" t="str">
        <f t="shared" si="127"/>
        <v>5. $1M+</v>
      </c>
      <c r="D8154" t="s">
        <v>694</v>
      </c>
      <c r="E8154" t="s">
        <v>237</v>
      </c>
      <c r="F8154" t="s">
        <v>670</v>
      </c>
      <c r="G8154" t="s">
        <v>59</v>
      </c>
      <c r="H8154">
        <v>2024</v>
      </c>
    </row>
    <row r="8155" spans="1:8" x14ac:dyDescent="0.2">
      <c r="A8155">
        <v>295220</v>
      </c>
      <c r="B8155">
        <v>30592400</v>
      </c>
      <c r="C8155" t="str">
        <f t="shared" si="127"/>
        <v>4. $250K-1M</v>
      </c>
      <c r="D8155" t="s">
        <v>405</v>
      </c>
      <c r="E8155" t="s">
        <v>18</v>
      </c>
      <c r="F8155" t="s">
        <v>12</v>
      </c>
      <c r="G8155" t="s">
        <v>101</v>
      </c>
      <c r="H8155">
        <v>2025</v>
      </c>
    </row>
    <row r="8156" spans="1:8" x14ac:dyDescent="0.2">
      <c r="A8156">
        <v>295249</v>
      </c>
      <c r="B8156">
        <v>11441.6</v>
      </c>
      <c r="C8156" t="str">
        <f t="shared" si="127"/>
        <v>5. $1M+</v>
      </c>
      <c r="D8156" t="s">
        <v>230</v>
      </c>
      <c r="E8156" t="s">
        <v>67</v>
      </c>
      <c r="F8156" t="s">
        <v>231</v>
      </c>
      <c r="G8156" t="s">
        <v>232</v>
      </c>
      <c r="H8156">
        <v>2025</v>
      </c>
    </row>
    <row r="8157" spans="1:8" x14ac:dyDescent="0.2">
      <c r="A8157">
        <v>295253</v>
      </c>
      <c r="B8157">
        <v>3075.6</v>
      </c>
      <c r="C8157" t="str">
        <f t="shared" si="127"/>
        <v>2. $10K-50K</v>
      </c>
      <c r="D8157" t="s">
        <v>230</v>
      </c>
      <c r="E8157" t="s">
        <v>67</v>
      </c>
      <c r="F8157" t="s">
        <v>231</v>
      </c>
      <c r="G8157" t="s">
        <v>232</v>
      </c>
      <c r="H8157">
        <v>2025</v>
      </c>
    </row>
    <row r="8158" spans="1:8" x14ac:dyDescent="0.2">
      <c r="A8158">
        <v>295256</v>
      </c>
      <c r="B8158">
        <v>200000</v>
      </c>
      <c r="C8158" t="str">
        <f t="shared" si="127"/>
        <v>1. Under $10K</v>
      </c>
      <c r="D8158" t="s">
        <v>887</v>
      </c>
      <c r="E8158" t="s">
        <v>237</v>
      </c>
      <c r="F8158" t="s">
        <v>670</v>
      </c>
      <c r="G8158" t="s">
        <v>59</v>
      </c>
      <c r="H8158">
        <v>2025</v>
      </c>
    </row>
    <row r="8159" spans="1:8" x14ac:dyDescent="0.2">
      <c r="A8159">
        <v>295257</v>
      </c>
      <c r="B8159">
        <v>60838.9</v>
      </c>
      <c r="C8159" t="str">
        <f t="shared" si="127"/>
        <v>3. $50K-250K</v>
      </c>
      <c r="D8159" t="s">
        <v>977</v>
      </c>
      <c r="E8159" t="s">
        <v>42</v>
      </c>
      <c r="F8159" t="s">
        <v>670</v>
      </c>
      <c r="G8159" t="s">
        <v>59</v>
      </c>
      <c r="H8159">
        <v>2025</v>
      </c>
    </row>
    <row r="8160" spans="1:8" x14ac:dyDescent="0.2">
      <c r="A8160">
        <v>295258</v>
      </c>
      <c r="B8160">
        <v>63859.4</v>
      </c>
      <c r="C8160" t="str">
        <f t="shared" si="127"/>
        <v>3. $50K-250K</v>
      </c>
      <c r="D8160" t="s">
        <v>801</v>
      </c>
      <c r="E8160" t="s">
        <v>42</v>
      </c>
      <c r="F8160" t="s">
        <v>670</v>
      </c>
      <c r="G8160" t="s">
        <v>59</v>
      </c>
      <c r="H8160">
        <v>2025</v>
      </c>
    </row>
    <row r="8161" spans="1:8" x14ac:dyDescent="0.2">
      <c r="A8161">
        <v>295259</v>
      </c>
      <c r="B8161">
        <v>55345</v>
      </c>
      <c r="C8161" t="str">
        <f t="shared" si="127"/>
        <v>3. $50K-250K</v>
      </c>
      <c r="D8161" t="s">
        <v>957</v>
      </c>
      <c r="E8161" t="s">
        <v>42</v>
      </c>
      <c r="F8161" t="s">
        <v>670</v>
      </c>
      <c r="G8161" t="s">
        <v>59</v>
      </c>
      <c r="H8161">
        <v>2025</v>
      </c>
    </row>
    <row r="8162" spans="1:8" x14ac:dyDescent="0.2">
      <c r="A8162">
        <v>295261</v>
      </c>
      <c r="B8162">
        <v>200000</v>
      </c>
      <c r="C8162" t="str">
        <f t="shared" si="127"/>
        <v>3. $50K-250K</v>
      </c>
      <c r="D8162" t="s">
        <v>391</v>
      </c>
      <c r="E8162" t="s">
        <v>42</v>
      </c>
      <c r="F8162" t="s">
        <v>670</v>
      </c>
      <c r="G8162" t="s">
        <v>59</v>
      </c>
      <c r="H8162">
        <v>2025</v>
      </c>
    </row>
    <row r="8163" spans="1:8" x14ac:dyDescent="0.2">
      <c r="A8163">
        <v>295263</v>
      </c>
      <c r="B8163">
        <v>161267</v>
      </c>
      <c r="C8163" t="str">
        <f t="shared" si="127"/>
        <v>3. $50K-250K</v>
      </c>
      <c r="D8163" t="s">
        <v>763</v>
      </c>
      <c r="E8163" t="s">
        <v>42</v>
      </c>
      <c r="F8163" t="s">
        <v>670</v>
      </c>
      <c r="G8163" t="s">
        <v>59</v>
      </c>
      <c r="H8163">
        <v>2025</v>
      </c>
    </row>
    <row r="8164" spans="1:8" x14ac:dyDescent="0.2">
      <c r="A8164">
        <v>295264</v>
      </c>
      <c r="B8164">
        <v>75000</v>
      </c>
      <c r="C8164" t="str">
        <f t="shared" si="127"/>
        <v>3. $50K-250K</v>
      </c>
      <c r="D8164" t="s">
        <v>672</v>
      </c>
      <c r="E8164" t="s">
        <v>42</v>
      </c>
      <c r="F8164" t="s">
        <v>670</v>
      </c>
      <c r="G8164" t="s">
        <v>59</v>
      </c>
      <c r="H8164">
        <v>2025</v>
      </c>
    </row>
    <row r="8165" spans="1:8" x14ac:dyDescent="0.2">
      <c r="A8165">
        <v>295265</v>
      </c>
      <c r="B8165">
        <v>533382</v>
      </c>
      <c r="C8165" t="str">
        <f t="shared" si="127"/>
        <v>3. $50K-250K</v>
      </c>
      <c r="D8165" t="s">
        <v>1813</v>
      </c>
      <c r="E8165" t="s">
        <v>42</v>
      </c>
      <c r="F8165" t="s">
        <v>670</v>
      </c>
      <c r="G8165" t="s">
        <v>59</v>
      </c>
      <c r="H8165">
        <v>2025</v>
      </c>
    </row>
    <row r="8166" spans="1:8" x14ac:dyDescent="0.2">
      <c r="A8166">
        <v>295266</v>
      </c>
      <c r="B8166">
        <v>200000</v>
      </c>
      <c r="C8166" t="str">
        <f t="shared" si="127"/>
        <v>4. $250K-1M</v>
      </c>
      <c r="D8166" t="s">
        <v>2079</v>
      </c>
      <c r="E8166" t="s">
        <v>42</v>
      </c>
      <c r="F8166" t="s">
        <v>670</v>
      </c>
      <c r="G8166" t="s">
        <v>59</v>
      </c>
      <c r="H8166">
        <v>2025</v>
      </c>
    </row>
    <row r="8167" spans="1:8" x14ac:dyDescent="0.2">
      <c r="A8167">
        <v>295267</v>
      </c>
      <c r="B8167">
        <v>200000</v>
      </c>
      <c r="C8167" t="str">
        <f t="shared" si="127"/>
        <v>3. $50K-250K</v>
      </c>
      <c r="D8167" t="s">
        <v>2078</v>
      </c>
      <c r="E8167" t="s">
        <v>42</v>
      </c>
      <c r="F8167" t="s">
        <v>670</v>
      </c>
      <c r="G8167" t="s">
        <v>59</v>
      </c>
      <c r="H8167">
        <v>2025</v>
      </c>
    </row>
    <row r="8168" spans="1:8" x14ac:dyDescent="0.2">
      <c r="A8168">
        <v>295270</v>
      </c>
      <c r="B8168">
        <v>325000</v>
      </c>
      <c r="C8168" t="str">
        <f t="shared" si="127"/>
        <v>3. $50K-250K</v>
      </c>
      <c r="D8168" t="s">
        <v>792</v>
      </c>
      <c r="E8168" t="s">
        <v>42</v>
      </c>
      <c r="F8168" t="s">
        <v>670</v>
      </c>
      <c r="G8168" t="s">
        <v>59</v>
      </c>
      <c r="H8168">
        <v>2025</v>
      </c>
    </row>
    <row r="8169" spans="1:8" x14ac:dyDescent="0.2">
      <c r="A8169">
        <v>295272</v>
      </c>
      <c r="B8169">
        <v>21200</v>
      </c>
      <c r="C8169" t="str">
        <f t="shared" si="127"/>
        <v>4. $250K-1M</v>
      </c>
      <c r="D8169" t="s">
        <v>685</v>
      </c>
      <c r="E8169" t="s">
        <v>42</v>
      </c>
      <c r="F8169" t="s">
        <v>670</v>
      </c>
      <c r="G8169" t="s">
        <v>59</v>
      </c>
      <c r="H8169">
        <v>2025</v>
      </c>
    </row>
    <row r="8170" spans="1:8" x14ac:dyDescent="0.2">
      <c r="A8170">
        <v>295273</v>
      </c>
      <c r="B8170">
        <v>9375</v>
      </c>
      <c r="C8170" t="str">
        <f t="shared" si="127"/>
        <v>2. $10K-50K</v>
      </c>
      <c r="D8170" t="s">
        <v>971</v>
      </c>
      <c r="E8170" t="s">
        <v>42</v>
      </c>
      <c r="F8170" t="s">
        <v>670</v>
      </c>
      <c r="G8170" t="s">
        <v>59</v>
      </c>
      <c r="H8170">
        <v>2025</v>
      </c>
    </row>
    <row r="8171" spans="1:8" x14ac:dyDescent="0.2">
      <c r="A8171">
        <v>295274</v>
      </c>
      <c r="B8171">
        <v>39898.5</v>
      </c>
      <c r="C8171" t="str">
        <f t="shared" si="127"/>
        <v>1. Under $10K</v>
      </c>
      <c r="D8171" t="s">
        <v>230</v>
      </c>
      <c r="E8171" t="s">
        <v>67</v>
      </c>
      <c r="F8171" t="s">
        <v>231</v>
      </c>
      <c r="G8171" t="s">
        <v>232</v>
      </c>
      <c r="H8171">
        <v>2025</v>
      </c>
    </row>
    <row r="8172" spans="1:8" x14ac:dyDescent="0.2">
      <c r="A8172">
        <v>295276</v>
      </c>
      <c r="B8172">
        <v>922.6</v>
      </c>
      <c r="C8172" t="str">
        <f t="shared" si="127"/>
        <v>2. $10K-50K</v>
      </c>
      <c r="D8172" t="s">
        <v>230</v>
      </c>
      <c r="E8172" t="s">
        <v>67</v>
      </c>
      <c r="F8172" t="s">
        <v>231</v>
      </c>
      <c r="G8172" t="s">
        <v>232</v>
      </c>
      <c r="H8172">
        <v>2025</v>
      </c>
    </row>
    <row r="8173" spans="1:8" x14ac:dyDescent="0.2">
      <c r="A8173">
        <v>295279</v>
      </c>
      <c r="B8173">
        <v>22253000</v>
      </c>
      <c r="C8173" t="str">
        <f t="shared" si="127"/>
        <v>1. Under $10K</v>
      </c>
      <c r="D8173" t="s">
        <v>986</v>
      </c>
      <c r="E8173" t="s">
        <v>237</v>
      </c>
      <c r="F8173" t="s">
        <v>670</v>
      </c>
      <c r="G8173" t="s">
        <v>59</v>
      </c>
      <c r="H8173">
        <v>2025</v>
      </c>
    </row>
    <row r="8174" spans="1:8" x14ac:dyDescent="0.2">
      <c r="A8174">
        <v>29536</v>
      </c>
      <c r="B8174">
        <v>1400000</v>
      </c>
      <c r="C8174" t="str">
        <f t="shared" si="127"/>
        <v>5. $1M+</v>
      </c>
      <c r="D8174" t="s">
        <v>153</v>
      </c>
      <c r="E8174" t="s">
        <v>69</v>
      </c>
      <c r="F8174" t="s">
        <v>14</v>
      </c>
      <c r="G8174" t="s">
        <v>61</v>
      </c>
      <c r="H8174">
        <v>2023</v>
      </c>
    </row>
    <row r="8175" spans="1:8" x14ac:dyDescent="0.2">
      <c r="A8175">
        <v>295428</v>
      </c>
      <c r="B8175">
        <v>462774.5</v>
      </c>
      <c r="C8175" t="str">
        <f t="shared" si="127"/>
        <v>5. $1M+</v>
      </c>
      <c r="D8175" t="s">
        <v>485</v>
      </c>
      <c r="E8175" t="s">
        <v>65</v>
      </c>
      <c r="F8175" t="s">
        <v>43</v>
      </c>
      <c r="G8175" t="s">
        <v>124</v>
      </c>
      <c r="H8175">
        <v>2025</v>
      </c>
    </row>
    <row r="8176" spans="1:8" x14ac:dyDescent="0.2">
      <c r="A8176">
        <v>295437</v>
      </c>
      <c r="B8176">
        <v>4372.6000000000004</v>
      </c>
      <c r="C8176" t="str">
        <f t="shared" si="127"/>
        <v>4. $250K-1M</v>
      </c>
      <c r="D8176" t="s">
        <v>230</v>
      </c>
      <c r="E8176" t="s">
        <v>67</v>
      </c>
      <c r="F8176" t="s">
        <v>231</v>
      </c>
      <c r="G8176" t="s">
        <v>232</v>
      </c>
      <c r="H8176">
        <v>2025</v>
      </c>
    </row>
    <row r="8177" spans="1:8" x14ac:dyDescent="0.2">
      <c r="A8177">
        <v>295439</v>
      </c>
      <c r="B8177">
        <v>17848030</v>
      </c>
      <c r="C8177" t="str">
        <f t="shared" si="127"/>
        <v>1. Under $10K</v>
      </c>
      <c r="D8177" t="s">
        <v>486</v>
      </c>
      <c r="E8177" t="s">
        <v>24</v>
      </c>
      <c r="F8177" t="s">
        <v>9</v>
      </c>
      <c r="G8177" t="s">
        <v>10</v>
      </c>
      <c r="H8177">
        <v>2025</v>
      </c>
    </row>
    <row r="8178" spans="1:8" x14ac:dyDescent="0.2">
      <c r="A8178">
        <v>295440</v>
      </c>
      <c r="B8178">
        <v>19198880</v>
      </c>
      <c r="C8178" t="str">
        <f t="shared" si="127"/>
        <v>5. $1M+</v>
      </c>
      <c r="D8178" t="s">
        <v>486</v>
      </c>
      <c r="E8178" t="s">
        <v>24</v>
      </c>
      <c r="F8178" t="s">
        <v>9</v>
      </c>
      <c r="G8178" t="s">
        <v>10</v>
      </c>
      <c r="H8178">
        <v>2025</v>
      </c>
    </row>
    <row r="8179" spans="1:8" x14ac:dyDescent="0.2">
      <c r="A8179">
        <v>295441</v>
      </c>
      <c r="B8179">
        <v>18858030</v>
      </c>
      <c r="C8179" t="str">
        <f t="shared" si="127"/>
        <v>5. $1M+</v>
      </c>
      <c r="D8179" t="s">
        <v>486</v>
      </c>
      <c r="E8179" t="s">
        <v>24</v>
      </c>
      <c r="F8179" t="s">
        <v>9</v>
      </c>
      <c r="G8179" t="s">
        <v>10</v>
      </c>
      <c r="H8179">
        <v>2025</v>
      </c>
    </row>
    <row r="8180" spans="1:8" x14ac:dyDescent="0.2">
      <c r="A8180">
        <v>295443</v>
      </c>
      <c r="B8180">
        <v>100000</v>
      </c>
      <c r="C8180" t="str">
        <f t="shared" si="127"/>
        <v>5. $1M+</v>
      </c>
      <c r="D8180" t="s">
        <v>929</v>
      </c>
      <c r="E8180" t="s">
        <v>59</v>
      </c>
      <c r="F8180" t="s">
        <v>670</v>
      </c>
      <c r="G8180" t="s">
        <v>59</v>
      </c>
      <c r="H8180">
        <v>2025</v>
      </c>
    </row>
    <row r="8181" spans="1:8" x14ac:dyDescent="0.2">
      <c r="A8181">
        <v>295473</v>
      </c>
      <c r="B8181">
        <v>200000</v>
      </c>
      <c r="C8181" t="str">
        <f t="shared" si="127"/>
        <v>3. $50K-250K</v>
      </c>
      <c r="D8181" t="s">
        <v>837</v>
      </c>
      <c r="E8181" t="s">
        <v>237</v>
      </c>
      <c r="F8181" t="s">
        <v>670</v>
      </c>
      <c r="G8181" t="s">
        <v>59</v>
      </c>
      <c r="H8181">
        <v>2025</v>
      </c>
    </row>
    <row r="8182" spans="1:8" x14ac:dyDescent="0.2">
      <c r="A8182">
        <v>29554</v>
      </c>
      <c r="B8182">
        <v>655000</v>
      </c>
      <c r="C8182" t="str">
        <f t="shared" si="127"/>
        <v>3. $50K-250K</v>
      </c>
      <c r="D8182" t="s">
        <v>161</v>
      </c>
      <c r="E8182" t="s">
        <v>69</v>
      </c>
      <c r="F8182" t="s">
        <v>14</v>
      </c>
      <c r="G8182" t="s">
        <v>61</v>
      </c>
      <c r="H8182">
        <v>2023</v>
      </c>
    </row>
    <row r="8183" spans="1:8" x14ac:dyDescent="0.2">
      <c r="A8183">
        <v>295553</v>
      </c>
      <c r="B8183">
        <v>514000</v>
      </c>
      <c r="C8183" t="str">
        <f t="shared" si="127"/>
        <v>4. $250K-1M</v>
      </c>
      <c r="D8183" t="s">
        <v>2485</v>
      </c>
      <c r="E8183" t="s">
        <v>141</v>
      </c>
      <c r="F8183" t="s">
        <v>668</v>
      </c>
      <c r="G8183" t="s">
        <v>59</v>
      </c>
      <c r="H8183">
        <v>2025</v>
      </c>
    </row>
    <row r="8184" spans="1:8" x14ac:dyDescent="0.2">
      <c r="A8184">
        <v>295554</v>
      </c>
      <c r="B8184">
        <v>349802</v>
      </c>
      <c r="C8184" t="str">
        <f t="shared" si="127"/>
        <v>4. $250K-1M</v>
      </c>
      <c r="D8184" t="s">
        <v>493</v>
      </c>
      <c r="E8184" t="s">
        <v>152</v>
      </c>
      <c r="F8184" t="s">
        <v>668</v>
      </c>
      <c r="G8184" t="s">
        <v>59</v>
      </c>
      <c r="H8184">
        <v>2025</v>
      </c>
    </row>
    <row r="8185" spans="1:8" x14ac:dyDescent="0.2">
      <c r="A8185">
        <v>295562</v>
      </c>
      <c r="B8185">
        <v>288000</v>
      </c>
      <c r="C8185" t="str">
        <f t="shared" si="127"/>
        <v>4. $250K-1M</v>
      </c>
      <c r="D8185" t="s">
        <v>1376</v>
      </c>
      <c r="E8185" t="s">
        <v>112</v>
      </c>
      <c r="F8185" t="s">
        <v>668</v>
      </c>
      <c r="G8185" t="s">
        <v>59</v>
      </c>
      <c r="H8185">
        <v>2025</v>
      </c>
    </row>
    <row r="8186" spans="1:8" x14ac:dyDescent="0.2">
      <c r="A8186">
        <v>295575</v>
      </c>
      <c r="B8186">
        <v>45635854</v>
      </c>
      <c r="C8186" t="str">
        <f t="shared" si="127"/>
        <v>4. $250K-1M</v>
      </c>
      <c r="D8186" t="s">
        <v>2071</v>
      </c>
      <c r="E8186" t="s">
        <v>237</v>
      </c>
      <c r="F8186" t="s">
        <v>670</v>
      </c>
      <c r="G8186" t="s">
        <v>44</v>
      </c>
      <c r="H8186">
        <v>2025</v>
      </c>
    </row>
    <row r="8187" spans="1:8" x14ac:dyDescent="0.2">
      <c r="A8187">
        <v>295656</v>
      </c>
      <c r="B8187">
        <v>946944</v>
      </c>
      <c r="C8187" t="str">
        <f t="shared" si="127"/>
        <v>5. $1M+</v>
      </c>
      <c r="D8187" t="s">
        <v>762</v>
      </c>
      <c r="E8187" t="s">
        <v>237</v>
      </c>
      <c r="F8187" t="s">
        <v>670</v>
      </c>
      <c r="G8187" t="s">
        <v>59</v>
      </c>
      <c r="H8187">
        <v>2025</v>
      </c>
    </row>
    <row r="8188" spans="1:8" x14ac:dyDescent="0.2">
      <c r="A8188">
        <v>295678</v>
      </c>
      <c r="B8188">
        <v>381408</v>
      </c>
      <c r="C8188" t="str">
        <f t="shared" si="127"/>
        <v>4. $250K-1M</v>
      </c>
      <c r="D8188" t="s">
        <v>706</v>
      </c>
      <c r="E8188" t="s">
        <v>237</v>
      </c>
      <c r="F8188" t="s">
        <v>670</v>
      </c>
      <c r="G8188" t="s">
        <v>59</v>
      </c>
      <c r="H8188">
        <v>2025</v>
      </c>
    </row>
    <row r="8189" spans="1:8" x14ac:dyDescent="0.2">
      <c r="A8189">
        <v>295680</v>
      </c>
      <c r="B8189">
        <v>683904</v>
      </c>
      <c r="C8189" t="str">
        <f t="shared" si="127"/>
        <v>4. $250K-1M</v>
      </c>
      <c r="D8189" t="s">
        <v>697</v>
      </c>
      <c r="E8189" t="s">
        <v>237</v>
      </c>
      <c r="F8189" t="s">
        <v>670</v>
      </c>
      <c r="G8189" t="s">
        <v>59</v>
      </c>
      <c r="H8189">
        <v>2025</v>
      </c>
    </row>
    <row r="8190" spans="1:8" x14ac:dyDescent="0.2">
      <c r="A8190">
        <v>295702</v>
      </c>
      <c r="B8190">
        <v>2297142</v>
      </c>
      <c r="C8190" t="str">
        <f t="shared" si="127"/>
        <v>4. $250K-1M</v>
      </c>
      <c r="D8190" t="s">
        <v>705</v>
      </c>
      <c r="E8190" t="s">
        <v>237</v>
      </c>
      <c r="F8190" t="s">
        <v>670</v>
      </c>
      <c r="G8190" t="s">
        <v>59</v>
      </c>
      <c r="H8190">
        <v>2025</v>
      </c>
    </row>
    <row r="8191" spans="1:8" x14ac:dyDescent="0.2">
      <c r="A8191">
        <v>295707</v>
      </c>
      <c r="B8191">
        <v>3478708</v>
      </c>
      <c r="C8191" t="str">
        <f t="shared" si="127"/>
        <v>5. $1M+</v>
      </c>
      <c r="D8191" t="s">
        <v>705</v>
      </c>
      <c r="E8191" t="s">
        <v>237</v>
      </c>
      <c r="F8191" t="s">
        <v>670</v>
      </c>
      <c r="G8191" t="s">
        <v>59</v>
      </c>
      <c r="H8191">
        <v>2025</v>
      </c>
    </row>
    <row r="8192" spans="1:8" x14ac:dyDescent="0.2">
      <c r="A8192">
        <v>295708</v>
      </c>
      <c r="B8192">
        <v>1066229</v>
      </c>
      <c r="C8192" t="str">
        <f t="shared" si="127"/>
        <v>5. $1M+</v>
      </c>
      <c r="D8192" t="s">
        <v>692</v>
      </c>
      <c r="E8192" t="s">
        <v>237</v>
      </c>
      <c r="F8192" t="s">
        <v>670</v>
      </c>
      <c r="G8192" t="s">
        <v>59</v>
      </c>
      <c r="H8192">
        <v>2025</v>
      </c>
    </row>
    <row r="8193" spans="1:8" x14ac:dyDescent="0.2">
      <c r="A8193">
        <v>295709</v>
      </c>
      <c r="B8193">
        <v>841728</v>
      </c>
      <c r="C8193" t="str">
        <f t="shared" si="127"/>
        <v>5. $1M+</v>
      </c>
      <c r="D8193" t="s">
        <v>696</v>
      </c>
      <c r="E8193" t="s">
        <v>237</v>
      </c>
      <c r="F8193" t="s">
        <v>670</v>
      </c>
      <c r="G8193" t="s">
        <v>59</v>
      </c>
      <c r="H8193">
        <v>2025</v>
      </c>
    </row>
    <row r="8194" spans="1:8" x14ac:dyDescent="0.2">
      <c r="A8194">
        <v>295710</v>
      </c>
      <c r="B8194">
        <v>527136</v>
      </c>
      <c r="C8194" t="str">
        <f t="shared" si="127"/>
        <v>4. $250K-1M</v>
      </c>
      <c r="D8194" t="s">
        <v>701</v>
      </c>
      <c r="E8194" t="s">
        <v>237</v>
      </c>
      <c r="F8194" t="s">
        <v>670</v>
      </c>
      <c r="G8194" t="s">
        <v>59</v>
      </c>
      <c r="H8194">
        <v>2025</v>
      </c>
    </row>
    <row r="8195" spans="1:8" x14ac:dyDescent="0.2">
      <c r="A8195">
        <v>295711</v>
      </c>
      <c r="B8195">
        <v>1146635</v>
      </c>
      <c r="C8195" t="str">
        <f t="shared" ref="C8195:C8258" si="128">IF(B8194&lt;10000,"1. Under $10K",IF(B8194&lt;50000,"2. $10K-50K",IF(B8194&lt;250000,"3. $50K-250K",IF(B8194&lt;1000000,"4. $250K-1M","5. $1M+"))))</f>
        <v>4. $250K-1M</v>
      </c>
      <c r="D8195" t="s">
        <v>692</v>
      </c>
      <c r="E8195" t="s">
        <v>237</v>
      </c>
      <c r="F8195" t="s">
        <v>670</v>
      </c>
      <c r="G8195" t="s">
        <v>59</v>
      </c>
      <c r="H8195">
        <v>2025</v>
      </c>
    </row>
    <row r="8196" spans="1:8" x14ac:dyDescent="0.2">
      <c r="A8196">
        <v>295712</v>
      </c>
      <c r="B8196">
        <v>554873</v>
      </c>
      <c r="C8196" t="str">
        <f t="shared" si="128"/>
        <v>5. $1M+</v>
      </c>
      <c r="D8196" t="s">
        <v>697</v>
      </c>
      <c r="E8196" t="s">
        <v>237</v>
      </c>
      <c r="F8196" t="s">
        <v>670</v>
      </c>
      <c r="G8196" t="s">
        <v>59</v>
      </c>
      <c r="H8196">
        <v>2025</v>
      </c>
    </row>
    <row r="8197" spans="1:8" x14ac:dyDescent="0.2">
      <c r="A8197">
        <v>295713</v>
      </c>
      <c r="B8197">
        <v>3501320</v>
      </c>
      <c r="C8197" t="str">
        <f t="shared" si="128"/>
        <v>4. $250K-1M</v>
      </c>
      <c r="D8197" t="s">
        <v>692</v>
      </c>
      <c r="E8197" t="s">
        <v>237</v>
      </c>
      <c r="F8197" t="s">
        <v>670</v>
      </c>
      <c r="G8197" t="s">
        <v>59</v>
      </c>
      <c r="H8197">
        <v>2025</v>
      </c>
    </row>
    <row r="8198" spans="1:8" x14ac:dyDescent="0.2">
      <c r="A8198">
        <v>295714</v>
      </c>
      <c r="B8198">
        <v>651277</v>
      </c>
      <c r="C8198" t="str">
        <f t="shared" si="128"/>
        <v>5. $1M+</v>
      </c>
      <c r="D8198" t="s">
        <v>695</v>
      </c>
      <c r="E8198" t="s">
        <v>237</v>
      </c>
      <c r="F8198" t="s">
        <v>670</v>
      </c>
      <c r="G8198" t="s">
        <v>59</v>
      </c>
      <c r="H8198">
        <v>2025</v>
      </c>
    </row>
    <row r="8199" spans="1:8" x14ac:dyDescent="0.2">
      <c r="A8199">
        <v>295715</v>
      </c>
      <c r="B8199">
        <v>2019512</v>
      </c>
      <c r="C8199" t="str">
        <f t="shared" si="128"/>
        <v>4. $250K-1M</v>
      </c>
      <c r="D8199" t="s">
        <v>697</v>
      </c>
      <c r="E8199" t="s">
        <v>237</v>
      </c>
      <c r="F8199" t="s">
        <v>670</v>
      </c>
      <c r="G8199" t="s">
        <v>59</v>
      </c>
      <c r="H8199">
        <v>2025</v>
      </c>
    </row>
    <row r="8200" spans="1:8" x14ac:dyDescent="0.2">
      <c r="A8200">
        <v>295716</v>
      </c>
      <c r="B8200">
        <v>3423192</v>
      </c>
      <c r="C8200" t="str">
        <f t="shared" si="128"/>
        <v>5. $1M+</v>
      </c>
      <c r="D8200" t="s">
        <v>697</v>
      </c>
      <c r="E8200" t="s">
        <v>237</v>
      </c>
      <c r="F8200" t="s">
        <v>670</v>
      </c>
      <c r="G8200" t="s">
        <v>59</v>
      </c>
      <c r="H8200">
        <v>2025</v>
      </c>
    </row>
    <row r="8201" spans="1:8" x14ac:dyDescent="0.2">
      <c r="A8201">
        <v>295717</v>
      </c>
      <c r="B8201">
        <v>781773.1</v>
      </c>
      <c r="C8201" t="str">
        <f t="shared" si="128"/>
        <v>5. $1M+</v>
      </c>
      <c r="D8201" t="s">
        <v>713</v>
      </c>
      <c r="E8201" t="s">
        <v>237</v>
      </c>
      <c r="F8201" t="s">
        <v>670</v>
      </c>
      <c r="G8201" t="s">
        <v>59</v>
      </c>
      <c r="H8201">
        <v>2025</v>
      </c>
    </row>
    <row r="8202" spans="1:8" x14ac:dyDescent="0.2">
      <c r="A8202">
        <v>295722</v>
      </c>
      <c r="B8202">
        <v>2053821</v>
      </c>
      <c r="C8202" t="str">
        <f t="shared" si="128"/>
        <v>4. $250K-1M</v>
      </c>
      <c r="D8202" t="s">
        <v>692</v>
      </c>
      <c r="E8202" t="s">
        <v>237</v>
      </c>
      <c r="F8202" t="s">
        <v>670</v>
      </c>
      <c r="G8202" t="s">
        <v>59</v>
      </c>
      <c r="H8202">
        <v>2025</v>
      </c>
    </row>
    <row r="8203" spans="1:8" x14ac:dyDescent="0.2">
      <c r="A8203">
        <v>295741</v>
      </c>
      <c r="B8203">
        <v>75000</v>
      </c>
      <c r="C8203" t="str">
        <f t="shared" si="128"/>
        <v>5. $1M+</v>
      </c>
      <c r="D8203" t="s">
        <v>391</v>
      </c>
      <c r="E8203" t="s">
        <v>42</v>
      </c>
      <c r="F8203" t="s">
        <v>670</v>
      </c>
      <c r="G8203" t="s">
        <v>59</v>
      </c>
      <c r="H8203">
        <v>2025</v>
      </c>
    </row>
    <row r="8204" spans="1:8" x14ac:dyDescent="0.2">
      <c r="A8204">
        <v>295742</v>
      </c>
      <c r="B8204">
        <v>573786</v>
      </c>
      <c r="C8204" t="str">
        <f t="shared" si="128"/>
        <v>3. $50K-250K</v>
      </c>
      <c r="D8204" t="s">
        <v>785</v>
      </c>
      <c r="E8204" t="s">
        <v>42</v>
      </c>
      <c r="F8204" t="s">
        <v>670</v>
      </c>
      <c r="G8204" t="s">
        <v>59</v>
      </c>
      <c r="H8204">
        <v>2025</v>
      </c>
    </row>
    <row r="8205" spans="1:8" x14ac:dyDescent="0.2">
      <c r="A8205">
        <v>295845</v>
      </c>
      <c r="B8205">
        <v>91000</v>
      </c>
      <c r="C8205" t="str">
        <f t="shared" si="128"/>
        <v>4. $250K-1M</v>
      </c>
      <c r="D8205" t="s">
        <v>2486</v>
      </c>
      <c r="E8205" t="s">
        <v>52</v>
      </c>
      <c r="F8205" t="s">
        <v>668</v>
      </c>
      <c r="G8205" t="s">
        <v>59</v>
      </c>
      <c r="H8205">
        <v>2025</v>
      </c>
    </row>
    <row r="8206" spans="1:8" x14ac:dyDescent="0.2">
      <c r="A8206">
        <v>295850</v>
      </c>
      <c r="B8206">
        <v>1088560</v>
      </c>
      <c r="C8206" t="str">
        <f t="shared" si="128"/>
        <v>3. $50K-250K</v>
      </c>
      <c r="D8206" t="s">
        <v>689</v>
      </c>
      <c r="E8206" t="s">
        <v>42</v>
      </c>
      <c r="F8206" t="s">
        <v>670</v>
      </c>
      <c r="G8206" t="s">
        <v>44</v>
      </c>
      <c r="H8206">
        <v>2025</v>
      </c>
    </row>
    <row r="8207" spans="1:8" x14ac:dyDescent="0.2">
      <c r="A8207">
        <v>295856</v>
      </c>
      <c r="B8207">
        <v>7355330</v>
      </c>
      <c r="C8207" t="str">
        <f t="shared" si="128"/>
        <v>5. $1M+</v>
      </c>
      <c r="D8207" t="s">
        <v>673</v>
      </c>
      <c r="E8207" t="s">
        <v>42</v>
      </c>
      <c r="F8207" t="s">
        <v>670</v>
      </c>
      <c r="G8207" t="s">
        <v>44</v>
      </c>
      <c r="H8207">
        <v>2025</v>
      </c>
    </row>
    <row r="8208" spans="1:8" x14ac:dyDescent="0.2">
      <c r="A8208">
        <v>295859</v>
      </c>
      <c r="B8208">
        <v>3729035</v>
      </c>
      <c r="C8208" t="str">
        <f t="shared" si="128"/>
        <v>5. $1M+</v>
      </c>
      <c r="D8208" t="s">
        <v>685</v>
      </c>
      <c r="E8208" t="s">
        <v>42</v>
      </c>
      <c r="F8208" t="s">
        <v>670</v>
      </c>
      <c r="G8208" t="s">
        <v>44</v>
      </c>
      <c r="H8208">
        <v>2025</v>
      </c>
    </row>
    <row r="8209" spans="1:8" x14ac:dyDescent="0.2">
      <c r="A8209">
        <v>295860</v>
      </c>
      <c r="B8209">
        <v>26444691</v>
      </c>
      <c r="C8209" t="str">
        <f t="shared" si="128"/>
        <v>5. $1M+</v>
      </c>
      <c r="D8209" t="s">
        <v>772</v>
      </c>
      <c r="E8209" t="s">
        <v>42</v>
      </c>
      <c r="F8209" t="s">
        <v>670</v>
      </c>
      <c r="G8209" t="s">
        <v>44</v>
      </c>
      <c r="H8209">
        <v>2025</v>
      </c>
    </row>
    <row r="8210" spans="1:8" x14ac:dyDescent="0.2">
      <c r="A8210">
        <v>295861</v>
      </c>
      <c r="B8210">
        <v>1837189</v>
      </c>
      <c r="C8210" t="str">
        <f t="shared" si="128"/>
        <v>5. $1M+</v>
      </c>
      <c r="D8210" t="s">
        <v>683</v>
      </c>
      <c r="E8210" t="s">
        <v>42</v>
      </c>
      <c r="F8210" t="s">
        <v>670</v>
      </c>
      <c r="G8210" t="s">
        <v>44</v>
      </c>
      <c r="H8210">
        <v>2025</v>
      </c>
    </row>
    <row r="8211" spans="1:8" x14ac:dyDescent="0.2">
      <c r="A8211">
        <v>295862</v>
      </c>
      <c r="B8211">
        <v>2571736</v>
      </c>
      <c r="C8211" t="str">
        <f t="shared" si="128"/>
        <v>5. $1M+</v>
      </c>
      <c r="D8211" t="s">
        <v>688</v>
      </c>
      <c r="E8211" t="s">
        <v>42</v>
      </c>
      <c r="F8211" t="s">
        <v>670</v>
      </c>
      <c r="G8211" t="s">
        <v>44</v>
      </c>
      <c r="H8211">
        <v>2025</v>
      </c>
    </row>
    <row r="8212" spans="1:8" x14ac:dyDescent="0.2">
      <c r="A8212">
        <v>295866</v>
      </c>
      <c r="B8212">
        <v>1468518</v>
      </c>
      <c r="C8212" t="str">
        <f t="shared" si="128"/>
        <v>5. $1M+</v>
      </c>
      <c r="D8212" t="s">
        <v>684</v>
      </c>
      <c r="E8212" t="s">
        <v>42</v>
      </c>
      <c r="F8212" t="s">
        <v>670</v>
      </c>
      <c r="G8212" t="s">
        <v>44</v>
      </c>
      <c r="H8212">
        <v>2025</v>
      </c>
    </row>
    <row r="8213" spans="1:8" x14ac:dyDescent="0.2">
      <c r="A8213">
        <v>295867</v>
      </c>
      <c r="B8213">
        <v>1586918</v>
      </c>
      <c r="C8213" t="str">
        <f t="shared" si="128"/>
        <v>5. $1M+</v>
      </c>
      <c r="D8213" t="s">
        <v>691</v>
      </c>
      <c r="E8213" t="s">
        <v>42</v>
      </c>
      <c r="F8213" t="s">
        <v>670</v>
      </c>
      <c r="G8213" t="s">
        <v>44</v>
      </c>
      <c r="H8213">
        <v>2025</v>
      </c>
    </row>
    <row r="8214" spans="1:8" x14ac:dyDescent="0.2">
      <c r="A8214">
        <v>295874</v>
      </c>
      <c r="B8214">
        <v>1068455</v>
      </c>
      <c r="C8214" t="str">
        <f t="shared" si="128"/>
        <v>5. $1M+</v>
      </c>
      <c r="D8214" t="s">
        <v>686</v>
      </c>
      <c r="E8214" t="s">
        <v>59</v>
      </c>
      <c r="F8214" t="s">
        <v>670</v>
      </c>
      <c r="G8214" t="s">
        <v>59</v>
      </c>
      <c r="H8214">
        <v>2025</v>
      </c>
    </row>
    <row r="8215" spans="1:8" x14ac:dyDescent="0.2">
      <c r="A8215">
        <v>295878</v>
      </c>
      <c r="B8215">
        <v>1723000</v>
      </c>
      <c r="C8215" t="str">
        <f t="shared" si="128"/>
        <v>5. $1M+</v>
      </c>
      <c r="D8215" t="s">
        <v>687</v>
      </c>
      <c r="E8215" t="s">
        <v>42</v>
      </c>
      <c r="F8215" t="s">
        <v>670</v>
      </c>
      <c r="G8215" t="s">
        <v>44</v>
      </c>
      <c r="H8215">
        <v>2025</v>
      </c>
    </row>
    <row r="8216" spans="1:8" x14ac:dyDescent="0.2">
      <c r="A8216">
        <v>296205</v>
      </c>
      <c r="B8216">
        <v>50000000</v>
      </c>
      <c r="C8216" t="str">
        <f t="shared" si="128"/>
        <v>5. $1M+</v>
      </c>
      <c r="D8216" t="s">
        <v>487</v>
      </c>
      <c r="E8216" t="s">
        <v>28</v>
      </c>
      <c r="F8216" t="s">
        <v>29</v>
      </c>
      <c r="G8216" t="s">
        <v>44</v>
      </c>
      <c r="H8216">
        <v>2025</v>
      </c>
    </row>
    <row r="8217" spans="1:8" x14ac:dyDescent="0.2">
      <c r="A8217">
        <v>296335</v>
      </c>
      <c r="B8217">
        <v>2500000</v>
      </c>
      <c r="C8217" t="str">
        <f t="shared" si="128"/>
        <v>5. $1M+</v>
      </c>
      <c r="D8217" t="s">
        <v>889</v>
      </c>
      <c r="E8217" t="s">
        <v>237</v>
      </c>
      <c r="F8217" t="s">
        <v>670</v>
      </c>
      <c r="G8217" t="s">
        <v>59</v>
      </c>
      <c r="H8217">
        <v>2025</v>
      </c>
    </row>
    <row r="8218" spans="1:8" x14ac:dyDescent="0.2">
      <c r="A8218">
        <v>296336</v>
      </c>
      <c r="B8218">
        <v>2500000</v>
      </c>
      <c r="C8218" t="str">
        <f t="shared" si="128"/>
        <v>5. $1M+</v>
      </c>
      <c r="D8218" t="s">
        <v>889</v>
      </c>
      <c r="E8218" t="s">
        <v>237</v>
      </c>
      <c r="F8218" t="s">
        <v>670</v>
      </c>
      <c r="G8218" t="s">
        <v>59</v>
      </c>
      <c r="H8218">
        <v>2025</v>
      </c>
    </row>
    <row r="8219" spans="1:8" x14ac:dyDescent="0.2">
      <c r="A8219">
        <v>296394</v>
      </c>
      <c r="B8219">
        <v>12558660</v>
      </c>
      <c r="C8219" t="str">
        <f t="shared" si="128"/>
        <v>5. $1M+</v>
      </c>
      <c r="D8219" t="s">
        <v>1052</v>
      </c>
      <c r="E8219" t="s">
        <v>237</v>
      </c>
      <c r="F8219" t="s">
        <v>670</v>
      </c>
      <c r="G8219" t="s">
        <v>44</v>
      </c>
      <c r="H8219">
        <v>2025</v>
      </c>
    </row>
    <row r="8220" spans="1:8" x14ac:dyDescent="0.2">
      <c r="A8220">
        <v>296396</v>
      </c>
      <c r="B8220">
        <v>62335000</v>
      </c>
      <c r="C8220" t="str">
        <f t="shared" si="128"/>
        <v>5. $1M+</v>
      </c>
      <c r="D8220" t="s">
        <v>986</v>
      </c>
      <c r="E8220" t="s">
        <v>237</v>
      </c>
      <c r="F8220" t="s">
        <v>670</v>
      </c>
      <c r="G8220" t="s">
        <v>59</v>
      </c>
      <c r="H8220">
        <v>2025</v>
      </c>
    </row>
    <row r="8221" spans="1:8" x14ac:dyDescent="0.2">
      <c r="A8221">
        <v>296397</v>
      </c>
      <c r="B8221">
        <v>12467000</v>
      </c>
      <c r="C8221" t="str">
        <f t="shared" si="128"/>
        <v>5. $1M+</v>
      </c>
      <c r="D8221" t="s">
        <v>2155</v>
      </c>
      <c r="E8221" t="s">
        <v>237</v>
      </c>
      <c r="F8221" t="s">
        <v>670</v>
      </c>
      <c r="G8221" t="s">
        <v>59</v>
      </c>
      <c r="H8221">
        <v>2025</v>
      </c>
    </row>
    <row r="8222" spans="1:8" x14ac:dyDescent="0.2">
      <c r="A8222">
        <v>296398</v>
      </c>
      <c r="B8222">
        <v>250000</v>
      </c>
      <c r="C8222" t="str">
        <f t="shared" si="128"/>
        <v>5. $1M+</v>
      </c>
      <c r="D8222" t="s">
        <v>2487</v>
      </c>
      <c r="E8222" t="s">
        <v>99</v>
      </c>
      <c r="F8222" t="s">
        <v>668</v>
      </c>
      <c r="G8222" t="s">
        <v>59</v>
      </c>
      <c r="H8222">
        <v>2025</v>
      </c>
    </row>
    <row r="8223" spans="1:8" x14ac:dyDescent="0.2">
      <c r="A8223">
        <v>296399</v>
      </c>
      <c r="B8223">
        <v>15904892.300000001</v>
      </c>
      <c r="C8223" t="str">
        <f t="shared" si="128"/>
        <v>4. $250K-1M</v>
      </c>
      <c r="D8223" t="s">
        <v>23</v>
      </c>
      <c r="E8223" t="s">
        <v>8</v>
      </c>
      <c r="F8223" t="s">
        <v>9</v>
      </c>
      <c r="G8223" t="s">
        <v>10</v>
      </c>
      <c r="H8223">
        <v>2025</v>
      </c>
    </row>
    <row r="8224" spans="1:8" x14ac:dyDescent="0.2">
      <c r="A8224">
        <v>296400</v>
      </c>
      <c r="B8224">
        <v>3300000</v>
      </c>
      <c r="C8224" t="str">
        <f t="shared" si="128"/>
        <v>5. $1M+</v>
      </c>
      <c r="D8224" t="s">
        <v>2488</v>
      </c>
      <c r="E8224" t="s">
        <v>99</v>
      </c>
      <c r="F8224" t="s">
        <v>668</v>
      </c>
      <c r="G8224" t="s">
        <v>59</v>
      </c>
      <c r="H8224">
        <v>2025</v>
      </c>
    </row>
    <row r="8225" spans="1:8" x14ac:dyDescent="0.2">
      <c r="A8225">
        <v>296401</v>
      </c>
      <c r="B8225">
        <v>80000</v>
      </c>
      <c r="C8225" t="str">
        <f t="shared" si="128"/>
        <v>5. $1M+</v>
      </c>
      <c r="D8225" t="s">
        <v>1280</v>
      </c>
      <c r="E8225" t="s">
        <v>112</v>
      </c>
      <c r="F8225" t="s">
        <v>668</v>
      </c>
      <c r="G8225" t="s">
        <v>59</v>
      </c>
      <c r="H8225">
        <v>2025</v>
      </c>
    </row>
    <row r="8226" spans="1:8" x14ac:dyDescent="0.2">
      <c r="A8226">
        <v>296446</v>
      </c>
      <c r="B8226">
        <v>16000</v>
      </c>
      <c r="C8226" t="str">
        <f t="shared" si="128"/>
        <v>3. $50K-250K</v>
      </c>
      <c r="D8226" t="s">
        <v>1186</v>
      </c>
      <c r="E8226" t="s">
        <v>112</v>
      </c>
      <c r="F8226" t="s">
        <v>668</v>
      </c>
      <c r="G8226" t="s">
        <v>59</v>
      </c>
      <c r="H8226">
        <v>2025</v>
      </c>
    </row>
    <row r="8227" spans="1:8" x14ac:dyDescent="0.2">
      <c r="A8227">
        <v>296448</v>
      </c>
      <c r="B8227">
        <v>80000</v>
      </c>
      <c r="C8227" t="str">
        <f t="shared" si="128"/>
        <v>2. $10K-50K</v>
      </c>
      <c r="D8227" t="s">
        <v>1121</v>
      </c>
      <c r="E8227" t="s">
        <v>112</v>
      </c>
      <c r="F8227" t="s">
        <v>668</v>
      </c>
      <c r="G8227" t="s">
        <v>59</v>
      </c>
      <c r="H8227">
        <v>2025</v>
      </c>
    </row>
    <row r="8228" spans="1:8" x14ac:dyDescent="0.2">
      <c r="A8228">
        <v>296456</v>
      </c>
      <c r="B8228">
        <v>70000</v>
      </c>
      <c r="C8228" t="str">
        <f t="shared" si="128"/>
        <v>3. $50K-250K</v>
      </c>
      <c r="D8228" t="s">
        <v>1649</v>
      </c>
      <c r="E8228" t="s">
        <v>112</v>
      </c>
      <c r="F8228" t="s">
        <v>668</v>
      </c>
      <c r="G8228" t="s">
        <v>59</v>
      </c>
      <c r="H8228">
        <v>2025</v>
      </c>
    </row>
    <row r="8229" spans="1:8" x14ac:dyDescent="0.2">
      <c r="A8229">
        <v>296471</v>
      </c>
      <c r="B8229">
        <v>20000</v>
      </c>
      <c r="C8229" t="str">
        <f t="shared" si="128"/>
        <v>3. $50K-250K</v>
      </c>
      <c r="D8229" t="s">
        <v>1198</v>
      </c>
      <c r="E8229" t="s">
        <v>112</v>
      </c>
      <c r="F8229" t="s">
        <v>668</v>
      </c>
      <c r="G8229" t="s">
        <v>59</v>
      </c>
      <c r="H8229">
        <v>2025</v>
      </c>
    </row>
    <row r="8230" spans="1:8" x14ac:dyDescent="0.2">
      <c r="A8230">
        <v>296472</v>
      </c>
      <c r="B8230">
        <v>40000</v>
      </c>
      <c r="C8230" t="str">
        <f t="shared" si="128"/>
        <v>2. $10K-50K</v>
      </c>
      <c r="D8230" t="s">
        <v>1288</v>
      </c>
      <c r="E8230" t="s">
        <v>112</v>
      </c>
      <c r="F8230" t="s">
        <v>668</v>
      </c>
      <c r="G8230" t="s">
        <v>59</v>
      </c>
      <c r="H8230">
        <v>2025</v>
      </c>
    </row>
    <row r="8231" spans="1:8" x14ac:dyDescent="0.2">
      <c r="A8231">
        <v>296606</v>
      </c>
      <c r="B8231">
        <v>45000</v>
      </c>
      <c r="C8231" t="str">
        <f t="shared" si="128"/>
        <v>2. $10K-50K</v>
      </c>
      <c r="D8231" t="s">
        <v>2489</v>
      </c>
      <c r="E8231" t="s">
        <v>112</v>
      </c>
      <c r="F8231" t="s">
        <v>668</v>
      </c>
      <c r="G8231" t="s">
        <v>59</v>
      </c>
      <c r="H8231">
        <v>2025</v>
      </c>
    </row>
    <row r="8232" spans="1:8" x14ac:dyDescent="0.2">
      <c r="A8232">
        <v>296611</v>
      </c>
      <c r="B8232">
        <v>38000</v>
      </c>
      <c r="C8232" t="str">
        <f t="shared" si="128"/>
        <v>2. $10K-50K</v>
      </c>
      <c r="D8232" t="s">
        <v>1300</v>
      </c>
      <c r="E8232" t="s">
        <v>112</v>
      </c>
      <c r="F8232" t="s">
        <v>668</v>
      </c>
      <c r="G8232" t="s">
        <v>59</v>
      </c>
      <c r="H8232">
        <v>2025</v>
      </c>
    </row>
    <row r="8233" spans="1:8" x14ac:dyDescent="0.2">
      <c r="A8233">
        <v>296612</v>
      </c>
      <c r="B8233">
        <v>5000</v>
      </c>
      <c r="C8233" t="str">
        <f t="shared" si="128"/>
        <v>2. $10K-50K</v>
      </c>
      <c r="D8233" t="s">
        <v>1260</v>
      </c>
      <c r="E8233" t="s">
        <v>112</v>
      </c>
      <c r="F8233" t="s">
        <v>668</v>
      </c>
      <c r="G8233" t="s">
        <v>59</v>
      </c>
      <c r="H8233">
        <v>2025</v>
      </c>
    </row>
    <row r="8234" spans="1:8" x14ac:dyDescent="0.2">
      <c r="A8234">
        <v>296613</v>
      </c>
      <c r="B8234">
        <v>462.6</v>
      </c>
      <c r="C8234" t="str">
        <f t="shared" si="128"/>
        <v>1. Under $10K</v>
      </c>
      <c r="D8234" t="s">
        <v>488</v>
      </c>
      <c r="E8234" t="s">
        <v>411</v>
      </c>
      <c r="F8234" t="s">
        <v>423</v>
      </c>
      <c r="G8234" t="s">
        <v>59</v>
      </c>
      <c r="H8234">
        <v>2025</v>
      </c>
    </row>
    <row r="8235" spans="1:8" x14ac:dyDescent="0.2">
      <c r="A8235">
        <v>296615</v>
      </c>
      <c r="B8235">
        <v>48000</v>
      </c>
      <c r="C8235" t="str">
        <f t="shared" si="128"/>
        <v>1. Under $10K</v>
      </c>
      <c r="D8235" t="s">
        <v>1256</v>
      </c>
      <c r="E8235" t="s">
        <v>112</v>
      </c>
      <c r="F8235" t="s">
        <v>668</v>
      </c>
      <c r="G8235" t="s">
        <v>59</v>
      </c>
      <c r="H8235">
        <v>2025</v>
      </c>
    </row>
    <row r="8236" spans="1:8" x14ac:dyDescent="0.2">
      <c r="A8236">
        <v>296616</v>
      </c>
      <c r="B8236">
        <v>2441372</v>
      </c>
      <c r="C8236" t="str">
        <f t="shared" si="128"/>
        <v>2. $10K-50K</v>
      </c>
      <c r="D8236" t="s">
        <v>2490</v>
      </c>
      <c r="E8236" t="s">
        <v>99</v>
      </c>
      <c r="F8236" t="s">
        <v>668</v>
      </c>
      <c r="G8236" t="s">
        <v>59</v>
      </c>
      <c r="H8236">
        <v>2025</v>
      </c>
    </row>
    <row r="8237" spans="1:8" x14ac:dyDescent="0.2">
      <c r="A8237">
        <v>296617</v>
      </c>
      <c r="B8237">
        <v>35000</v>
      </c>
      <c r="C8237" t="str">
        <f t="shared" si="128"/>
        <v>5. $1M+</v>
      </c>
      <c r="D8237" t="s">
        <v>686</v>
      </c>
      <c r="E8237" t="s">
        <v>42</v>
      </c>
      <c r="F8237" t="s">
        <v>670</v>
      </c>
      <c r="G8237" t="s">
        <v>59</v>
      </c>
      <c r="H8237">
        <v>2025</v>
      </c>
    </row>
    <row r="8238" spans="1:8" x14ac:dyDescent="0.2">
      <c r="A8238">
        <v>296618</v>
      </c>
      <c r="B8238">
        <v>2100</v>
      </c>
      <c r="C8238" t="str">
        <f t="shared" si="128"/>
        <v>2. $10K-50K</v>
      </c>
      <c r="D8238" t="s">
        <v>686</v>
      </c>
      <c r="E8238" t="s">
        <v>42</v>
      </c>
      <c r="F8238" t="s">
        <v>670</v>
      </c>
      <c r="G8238" t="s">
        <v>59</v>
      </c>
      <c r="H8238">
        <v>2025</v>
      </c>
    </row>
    <row r="8239" spans="1:8" x14ac:dyDescent="0.2">
      <c r="A8239">
        <v>296619</v>
      </c>
      <c r="B8239">
        <v>30002</v>
      </c>
      <c r="C8239" t="str">
        <f t="shared" si="128"/>
        <v>1. Under $10K</v>
      </c>
      <c r="D8239" t="s">
        <v>683</v>
      </c>
      <c r="E8239" t="s">
        <v>42</v>
      </c>
      <c r="F8239" t="s">
        <v>670</v>
      </c>
      <c r="G8239" t="s">
        <v>59</v>
      </c>
      <c r="H8239">
        <v>2025</v>
      </c>
    </row>
    <row r="8240" spans="1:8" x14ac:dyDescent="0.2">
      <c r="A8240">
        <v>296620</v>
      </c>
      <c r="B8240">
        <v>35873</v>
      </c>
      <c r="C8240" t="str">
        <f t="shared" si="128"/>
        <v>2. $10K-50K</v>
      </c>
      <c r="D8240" t="s">
        <v>685</v>
      </c>
      <c r="E8240" t="s">
        <v>42</v>
      </c>
      <c r="F8240" t="s">
        <v>670</v>
      </c>
      <c r="G8240" t="s">
        <v>59</v>
      </c>
      <c r="H8240">
        <v>2025</v>
      </c>
    </row>
    <row r="8241" spans="1:8" x14ac:dyDescent="0.2">
      <c r="A8241">
        <v>296621</v>
      </c>
      <c r="B8241">
        <v>264189</v>
      </c>
      <c r="C8241" t="str">
        <f t="shared" si="128"/>
        <v>2. $10K-50K</v>
      </c>
      <c r="D8241" t="s">
        <v>772</v>
      </c>
      <c r="E8241" t="s">
        <v>42</v>
      </c>
      <c r="F8241" t="s">
        <v>670</v>
      </c>
      <c r="G8241" t="s">
        <v>59</v>
      </c>
      <c r="H8241">
        <v>2025</v>
      </c>
    </row>
    <row r="8242" spans="1:8" x14ac:dyDescent="0.2">
      <c r="A8242">
        <v>296623</v>
      </c>
      <c r="B8242">
        <v>37653</v>
      </c>
      <c r="C8242" t="str">
        <f t="shared" si="128"/>
        <v>4. $250K-1M</v>
      </c>
      <c r="D8242" t="s">
        <v>691</v>
      </c>
      <c r="E8242" t="s">
        <v>42</v>
      </c>
      <c r="F8242" t="s">
        <v>670</v>
      </c>
      <c r="G8242" t="s">
        <v>59</v>
      </c>
      <c r="H8242">
        <v>2025</v>
      </c>
    </row>
    <row r="8243" spans="1:8" x14ac:dyDescent="0.2">
      <c r="A8243">
        <v>296624</v>
      </c>
      <c r="B8243">
        <v>25213.7</v>
      </c>
      <c r="C8243" t="str">
        <f t="shared" si="128"/>
        <v>2. $10K-50K</v>
      </c>
      <c r="D8243" t="s">
        <v>684</v>
      </c>
      <c r="E8243" t="s">
        <v>42</v>
      </c>
      <c r="F8243" t="s">
        <v>670</v>
      </c>
      <c r="G8243" t="s">
        <v>59</v>
      </c>
      <c r="H8243">
        <v>2025</v>
      </c>
    </row>
    <row r="8244" spans="1:8" x14ac:dyDescent="0.2">
      <c r="A8244">
        <v>29663</v>
      </c>
      <c r="B8244">
        <v>3430000</v>
      </c>
      <c r="C8244" t="str">
        <f t="shared" si="128"/>
        <v>2. $10K-50K</v>
      </c>
      <c r="D8244" t="s">
        <v>169</v>
      </c>
      <c r="E8244" t="s">
        <v>28</v>
      </c>
      <c r="F8244" t="s">
        <v>29</v>
      </c>
      <c r="G8244" t="s">
        <v>44</v>
      </c>
      <c r="H8244">
        <v>2023</v>
      </c>
    </row>
    <row r="8245" spans="1:8" x14ac:dyDescent="0.2">
      <c r="A8245">
        <v>296722</v>
      </c>
      <c r="B8245">
        <v>81000</v>
      </c>
      <c r="C8245" t="str">
        <f t="shared" si="128"/>
        <v>5. $1M+</v>
      </c>
      <c r="D8245" t="s">
        <v>2491</v>
      </c>
      <c r="E8245" t="s">
        <v>112</v>
      </c>
      <c r="F8245" t="s">
        <v>668</v>
      </c>
      <c r="G8245" t="s">
        <v>59</v>
      </c>
      <c r="H8245">
        <v>2025</v>
      </c>
    </row>
    <row r="8246" spans="1:8" x14ac:dyDescent="0.2">
      <c r="A8246">
        <v>296724</v>
      </c>
      <c r="B8246">
        <v>809250</v>
      </c>
      <c r="C8246" t="str">
        <f t="shared" si="128"/>
        <v>3. $50K-250K</v>
      </c>
      <c r="D8246" t="s">
        <v>11</v>
      </c>
      <c r="E8246" t="s">
        <v>8</v>
      </c>
      <c r="F8246" t="s">
        <v>12</v>
      </c>
      <c r="G8246" t="s">
        <v>10</v>
      </c>
      <c r="H8246">
        <v>2025</v>
      </c>
    </row>
    <row r="8247" spans="1:8" x14ac:dyDescent="0.2">
      <c r="A8247">
        <v>296743</v>
      </c>
      <c r="B8247">
        <v>123000</v>
      </c>
      <c r="C8247" t="str">
        <f t="shared" si="128"/>
        <v>4. $250K-1M</v>
      </c>
      <c r="D8247" t="s">
        <v>2492</v>
      </c>
      <c r="E8247" t="s">
        <v>99</v>
      </c>
      <c r="F8247" t="s">
        <v>668</v>
      </c>
      <c r="G8247" t="s">
        <v>59</v>
      </c>
      <c r="H8247">
        <v>2025</v>
      </c>
    </row>
    <row r="8248" spans="1:8" x14ac:dyDescent="0.2">
      <c r="A8248">
        <v>296773</v>
      </c>
      <c r="B8248">
        <v>1700000</v>
      </c>
      <c r="C8248" t="str">
        <f t="shared" si="128"/>
        <v>3. $50K-250K</v>
      </c>
      <c r="D8248" t="s">
        <v>2493</v>
      </c>
      <c r="E8248" t="s">
        <v>99</v>
      </c>
      <c r="F8248" t="s">
        <v>668</v>
      </c>
      <c r="G8248" t="s">
        <v>59</v>
      </c>
      <c r="H8248">
        <v>2025</v>
      </c>
    </row>
    <row r="8249" spans="1:8" x14ac:dyDescent="0.2">
      <c r="A8249">
        <v>296778</v>
      </c>
      <c r="B8249">
        <v>23138501</v>
      </c>
      <c r="C8249" t="str">
        <f t="shared" si="128"/>
        <v>5. $1M+</v>
      </c>
      <c r="D8249" t="s">
        <v>489</v>
      </c>
      <c r="E8249" t="s">
        <v>141</v>
      </c>
      <c r="F8249" t="s">
        <v>12</v>
      </c>
      <c r="G8249" t="s">
        <v>10</v>
      </c>
      <c r="H8249">
        <v>2025</v>
      </c>
    </row>
    <row r="8250" spans="1:8" x14ac:dyDescent="0.2">
      <c r="A8250">
        <v>296842</v>
      </c>
      <c r="B8250">
        <v>4999662</v>
      </c>
      <c r="C8250" t="str">
        <f t="shared" si="128"/>
        <v>5. $1M+</v>
      </c>
      <c r="D8250" t="s">
        <v>700</v>
      </c>
      <c r="E8250" t="s">
        <v>237</v>
      </c>
      <c r="F8250" t="s">
        <v>670</v>
      </c>
      <c r="G8250" t="s">
        <v>59</v>
      </c>
      <c r="H8250">
        <v>2025</v>
      </c>
    </row>
    <row r="8251" spans="1:8" x14ac:dyDescent="0.2">
      <c r="A8251">
        <v>296846</v>
      </c>
      <c r="B8251">
        <v>631296</v>
      </c>
      <c r="C8251" t="str">
        <f t="shared" si="128"/>
        <v>5. $1M+</v>
      </c>
      <c r="D8251" t="s">
        <v>700</v>
      </c>
      <c r="E8251" t="s">
        <v>237</v>
      </c>
      <c r="F8251" t="s">
        <v>670</v>
      </c>
      <c r="G8251" t="s">
        <v>59</v>
      </c>
      <c r="H8251">
        <v>2025</v>
      </c>
    </row>
    <row r="8252" spans="1:8" x14ac:dyDescent="0.2">
      <c r="A8252">
        <v>296847</v>
      </c>
      <c r="B8252">
        <v>4034784</v>
      </c>
      <c r="C8252" t="str">
        <f t="shared" si="128"/>
        <v>4. $250K-1M</v>
      </c>
      <c r="D8252" t="s">
        <v>700</v>
      </c>
      <c r="E8252" t="s">
        <v>237</v>
      </c>
      <c r="F8252" t="s">
        <v>670</v>
      </c>
      <c r="G8252" t="s">
        <v>59</v>
      </c>
      <c r="H8252">
        <v>2025</v>
      </c>
    </row>
    <row r="8253" spans="1:8" x14ac:dyDescent="0.2">
      <c r="A8253">
        <v>296859</v>
      </c>
      <c r="B8253">
        <v>30000</v>
      </c>
      <c r="C8253" t="str">
        <f t="shared" si="128"/>
        <v>5. $1M+</v>
      </c>
      <c r="D8253" t="s">
        <v>860</v>
      </c>
      <c r="E8253" t="s">
        <v>237</v>
      </c>
      <c r="F8253" t="s">
        <v>670</v>
      </c>
      <c r="G8253" t="s">
        <v>59</v>
      </c>
      <c r="H8253">
        <v>2025</v>
      </c>
    </row>
    <row r="8254" spans="1:8" x14ac:dyDescent="0.2">
      <c r="A8254">
        <v>296876</v>
      </c>
      <c r="B8254">
        <v>120000</v>
      </c>
      <c r="C8254" t="str">
        <f t="shared" si="128"/>
        <v>2. $10K-50K</v>
      </c>
      <c r="D8254" t="s">
        <v>837</v>
      </c>
      <c r="E8254" t="s">
        <v>237</v>
      </c>
      <c r="F8254" t="s">
        <v>670</v>
      </c>
      <c r="G8254" t="s">
        <v>59</v>
      </c>
      <c r="H8254">
        <v>2025</v>
      </c>
    </row>
    <row r="8255" spans="1:8" x14ac:dyDescent="0.2">
      <c r="A8255">
        <v>296916</v>
      </c>
      <c r="B8255">
        <v>549716</v>
      </c>
      <c r="C8255" t="str">
        <f t="shared" si="128"/>
        <v>3. $50K-250K</v>
      </c>
      <c r="D8255" t="s">
        <v>707</v>
      </c>
      <c r="E8255" t="s">
        <v>237</v>
      </c>
      <c r="F8255" t="s">
        <v>670</v>
      </c>
      <c r="G8255" t="s">
        <v>59</v>
      </c>
      <c r="H8255">
        <v>2025</v>
      </c>
    </row>
    <row r="8256" spans="1:8" x14ac:dyDescent="0.2">
      <c r="A8256">
        <v>296917</v>
      </c>
      <c r="B8256">
        <v>741193</v>
      </c>
      <c r="C8256" t="str">
        <f t="shared" si="128"/>
        <v>4. $250K-1M</v>
      </c>
      <c r="D8256" t="s">
        <v>700</v>
      </c>
      <c r="E8256" t="s">
        <v>237</v>
      </c>
      <c r="F8256" t="s">
        <v>670</v>
      </c>
      <c r="G8256" t="s">
        <v>59</v>
      </c>
      <c r="H8256">
        <v>2025</v>
      </c>
    </row>
    <row r="8257" spans="1:8" x14ac:dyDescent="0.2">
      <c r="A8257">
        <v>296918</v>
      </c>
      <c r="B8257">
        <v>634588</v>
      </c>
      <c r="C8257" t="str">
        <f t="shared" si="128"/>
        <v>4. $250K-1M</v>
      </c>
      <c r="D8257" t="s">
        <v>707</v>
      </c>
      <c r="E8257" t="s">
        <v>237</v>
      </c>
      <c r="F8257" t="s">
        <v>670</v>
      </c>
      <c r="G8257" t="s">
        <v>59</v>
      </c>
      <c r="H8257">
        <v>2025</v>
      </c>
    </row>
    <row r="8258" spans="1:8" x14ac:dyDescent="0.2">
      <c r="A8258">
        <v>296933</v>
      </c>
      <c r="B8258">
        <v>29465.8</v>
      </c>
      <c r="C8258" t="str">
        <f t="shared" si="128"/>
        <v>4. $250K-1M</v>
      </c>
      <c r="D8258" t="s">
        <v>726</v>
      </c>
      <c r="E8258" t="s">
        <v>237</v>
      </c>
      <c r="F8258" t="s">
        <v>670</v>
      </c>
      <c r="G8258" t="s">
        <v>59</v>
      </c>
      <c r="H8258">
        <v>2025</v>
      </c>
    </row>
    <row r="8259" spans="1:8" x14ac:dyDescent="0.2">
      <c r="A8259">
        <v>297031</v>
      </c>
      <c r="B8259">
        <v>80000</v>
      </c>
      <c r="C8259" t="str">
        <f t="shared" ref="C8259:C8322" si="129">IF(B8258&lt;10000,"1. Under $10K",IF(B8258&lt;50000,"2. $10K-50K",IF(B8258&lt;250000,"3. $50K-250K",IF(B8258&lt;1000000,"4. $250K-1M","5. $1M+"))))</f>
        <v>2. $10K-50K</v>
      </c>
      <c r="D8259" t="s">
        <v>2494</v>
      </c>
      <c r="E8259" t="s">
        <v>112</v>
      </c>
      <c r="F8259" t="s">
        <v>668</v>
      </c>
      <c r="G8259" t="s">
        <v>59</v>
      </c>
      <c r="H8259">
        <v>2025</v>
      </c>
    </row>
    <row r="8260" spans="1:8" x14ac:dyDescent="0.2">
      <c r="A8260">
        <v>297032</v>
      </c>
      <c r="B8260">
        <v>50000</v>
      </c>
      <c r="C8260" t="str">
        <f t="shared" si="129"/>
        <v>3. $50K-250K</v>
      </c>
      <c r="D8260" t="s">
        <v>1187</v>
      </c>
      <c r="E8260" t="s">
        <v>112</v>
      </c>
      <c r="F8260" t="s">
        <v>668</v>
      </c>
      <c r="G8260" t="s">
        <v>59</v>
      </c>
      <c r="H8260">
        <v>2025</v>
      </c>
    </row>
    <row r="8261" spans="1:8" x14ac:dyDescent="0.2">
      <c r="A8261">
        <v>297035</v>
      </c>
      <c r="B8261">
        <v>10000</v>
      </c>
      <c r="C8261" t="str">
        <f t="shared" si="129"/>
        <v>3. $50K-250K</v>
      </c>
      <c r="D8261" t="s">
        <v>2495</v>
      </c>
      <c r="E8261" t="s">
        <v>112</v>
      </c>
      <c r="F8261" t="s">
        <v>668</v>
      </c>
      <c r="G8261" t="s">
        <v>59</v>
      </c>
      <c r="H8261">
        <v>2025</v>
      </c>
    </row>
    <row r="8262" spans="1:8" x14ac:dyDescent="0.2">
      <c r="A8262">
        <v>297036</v>
      </c>
      <c r="B8262">
        <v>40000</v>
      </c>
      <c r="C8262" t="str">
        <f t="shared" si="129"/>
        <v>2. $10K-50K</v>
      </c>
      <c r="D8262" t="s">
        <v>2496</v>
      </c>
      <c r="E8262" t="s">
        <v>112</v>
      </c>
      <c r="F8262" t="s">
        <v>668</v>
      </c>
      <c r="G8262" t="s">
        <v>59</v>
      </c>
      <c r="H8262">
        <v>2025</v>
      </c>
    </row>
    <row r="8263" spans="1:8" x14ac:dyDescent="0.2">
      <c r="A8263">
        <v>297037</v>
      </c>
      <c r="B8263">
        <v>20000</v>
      </c>
      <c r="C8263" t="str">
        <f t="shared" si="129"/>
        <v>2. $10K-50K</v>
      </c>
      <c r="D8263" t="s">
        <v>1222</v>
      </c>
      <c r="E8263" t="s">
        <v>112</v>
      </c>
      <c r="F8263" t="s">
        <v>668</v>
      </c>
      <c r="G8263" t="s">
        <v>59</v>
      </c>
      <c r="H8263">
        <v>2025</v>
      </c>
    </row>
    <row r="8264" spans="1:8" x14ac:dyDescent="0.2">
      <c r="A8264">
        <v>297039</v>
      </c>
      <c r="B8264">
        <v>20000</v>
      </c>
      <c r="C8264" t="str">
        <f t="shared" si="129"/>
        <v>2. $10K-50K</v>
      </c>
      <c r="D8264" t="s">
        <v>1256</v>
      </c>
      <c r="E8264" t="s">
        <v>112</v>
      </c>
      <c r="F8264" t="s">
        <v>668</v>
      </c>
      <c r="G8264" t="s">
        <v>59</v>
      </c>
      <c r="H8264">
        <v>2025</v>
      </c>
    </row>
    <row r="8265" spans="1:8" x14ac:dyDescent="0.2">
      <c r="A8265">
        <v>297057</v>
      </c>
      <c r="B8265">
        <v>20000</v>
      </c>
      <c r="C8265" t="str">
        <f t="shared" si="129"/>
        <v>2. $10K-50K</v>
      </c>
      <c r="D8265" t="s">
        <v>2497</v>
      </c>
      <c r="E8265" t="s">
        <v>112</v>
      </c>
      <c r="F8265" t="s">
        <v>668</v>
      </c>
      <c r="G8265" t="s">
        <v>59</v>
      </c>
      <c r="H8265">
        <v>2025</v>
      </c>
    </row>
    <row r="8266" spans="1:8" x14ac:dyDescent="0.2">
      <c r="A8266">
        <v>297059</v>
      </c>
      <c r="B8266">
        <v>24000</v>
      </c>
      <c r="C8266" t="str">
        <f t="shared" si="129"/>
        <v>2. $10K-50K</v>
      </c>
      <c r="D8266" t="s">
        <v>1206</v>
      </c>
      <c r="E8266" t="s">
        <v>112</v>
      </c>
      <c r="F8266" t="s">
        <v>668</v>
      </c>
      <c r="G8266" t="s">
        <v>59</v>
      </c>
      <c r="H8266">
        <v>2025</v>
      </c>
    </row>
    <row r="8267" spans="1:8" x14ac:dyDescent="0.2">
      <c r="A8267">
        <v>297060</v>
      </c>
      <c r="B8267">
        <v>20000</v>
      </c>
      <c r="C8267" t="str">
        <f t="shared" si="129"/>
        <v>2. $10K-50K</v>
      </c>
      <c r="D8267" t="s">
        <v>2004</v>
      </c>
      <c r="E8267" t="s">
        <v>112</v>
      </c>
      <c r="F8267" t="s">
        <v>668</v>
      </c>
      <c r="G8267" t="s">
        <v>59</v>
      </c>
      <c r="H8267">
        <v>2025</v>
      </c>
    </row>
    <row r="8268" spans="1:8" x14ac:dyDescent="0.2">
      <c r="A8268">
        <v>297062</v>
      </c>
      <c r="B8268">
        <v>70000</v>
      </c>
      <c r="C8268" t="str">
        <f t="shared" si="129"/>
        <v>2. $10K-50K</v>
      </c>
      <c r="D8268" t="s">
        <v>1246</v>
      </c>
      <c r="E8268" t="s">
        <v>112</v>
      </c>
      <c r="F8268" t="s">
        <v>668</v>
      </c>
      <c r="G8268" t="s">
        <v>59</v>
      </c>
      <c r="H8268">
        <v>2025</v>
      </c>
    </row>
    <row r="8269" spans="1:8" x14ac:dyDescent="0.2">
      <c r="A8269">
        <v>297064</v>
      </c>
      <c r="B8269">
        <v>70000</v>
      </c>
      <c r="C8269" t="str">
        <f t="shared" si="129"/>
        <v>3. $50K-250K</v>
      </c>
      <c r="D8269" t="s">
        <v>1161</v>
      </c>
      <c r="E8269" t="s">
        <v>112</v>
      </c>
      <c r="F8269" t="s">
        <v>668</v>
      </c>
      <c r="G8269" t="s">
        <v>59</v>
      </c>
      <c r="H8269">
        <v>2025</v>
      </c>
    </row>
    <row r="8270" spans="1:8" x14ac:dyDescent="0.2">
      <c r="A8270">
        <v>297066</v>
      </c>
      <c r="B8270">
        <v>20000</v>
      </c>
      <c r="C8270" t="str">
        <f t="shared" si="129"/>
        <v>3. $50K-250K</v>
      </c>
      <c r="D8270" t="s">
        <v>1132</v>
      </c>
      <c r="E8270" t="s">
        <v>112</v>
      </c>
      <c r="F8270" t="s">
        <v>668</v>
      </c>
      <c r="G8270" t="s">
        <v>59</v>
      </c>
      <c r="H8270">
        <v>2025</v>
      </c>
    </row>
    <row r="8271" spans="1:8" x14ac:dyDescent="0.2">
      <c r="A8271">
        <v>297069</v>
      </c>
      <c r="B8271">
        <v>40000</v>
      </c>
      <c r="C8271" t="str">
        <f t="shared" si="129"/>
        <v>2. $10K-50K</v>
      </c>
      <c r="D8271" t="s">
        <v>2498</v>
      </c>
      <c r="E8271" t="s">
        <v>112</v>
      </c>
      <c r="F8271" t="s">
        <v>668</v>
      </c>
      <c r="G8271" t="s">
        <v>59</v>
      </c>
      <c r="H8271">
        <v>2025</v>
      </c>
    </row>
    <row r="8272" spans="1:8" x14ac:dyDescent="0.2">
      <c r="A8272">
        <v>297073</v>
      </c>
      <c r="B8272">
        <v>30000</v>
      </c>
      <c r="C8272" t="str">
        <f t="shared" si="129"/>
        <v>2. $10K-50K</v>
      </c>
      <c r="D8272" t="s">
        <v>1289</v>
      </c>
      <c r="E8272" t="s">
        <v>112</v>
      </c>
      <c r="F8272" t="s">
        <v>668</v>
      </c>
      <c r="G8272" t="s">
        <v>59</v>
      </c>
      <c r="H8272">
        <v>2025</v>
      </c>
    </row>
    <row r="8273" spans="1:8" x14ac:dyDescent="0.2">
      <c r="A8273">
        <v>297075</v>
      </c>
      <c r="B8273">
        <v>40000</v>
      </c>
      <c r="C8273" t="str">
        <f t="shared" si="129"/>
        <v>2. $10K-50K</v>
      </c>
      <c r="D8273" t="s">
        <v>1704</v>
      </c>
      <c r="E8273" t="s">
        <v>112</v>
      </c>
      <c r="F8273" t="s">
        <v>668</v>
      </c>
      <c r="G8273" t="s">
        <v>59</v>
      </c>
      <c r="H8273">
        <v>2025</v>
      </c>
    </row>
    <row r="8274" spans="1:8" x14ac:dyDescent="0.2">
      <c r="A8274">
        <v>297079</v>
      </c>
      <c r="B8274">
        <v>30000</v>
      </c>
      <c r="C8274" t="str">
        <f t="shared" si="129"/>
        <v>2. $10K-50K</v>
      </c>
      <c r="D8274" t="s">
        <v>1243</v>
      </c>
      <c r="E8274" t="s">
        <v>112</v>
      </c>
      <c r="F8274" t="s">
        <v>668</v>
      </c>
      <c r="G8274" t="s">
        <v>59</v>
      </c>
      <c r="H8274">
        <v>2025</v>
      </c>
    </row>
    <row r="8275" spans="1:8" x14ac:dyDescent="0.2">
      <c r="A8275">
        <v>297080</v>
      </c>
      <c r="B8275">
        <v>60000</v>
      </c>
      <c r="C8275" t="str">
        <f t="shared" si="129"/>
        <v>2. $10K-50K</v>
      </c>
      <c r="D8275" t="s">
        <v>1211</v>
      </c>
      <c r="E8275" t="s">
        <v>112</v>
      </c>
      <c r="F8275" t="s">
        <v>668</v>
      </c>
      <c r="G8275" t="s">
        <v>59</v>
      </c>
      <c r="H8275">
        <v>2025</v>
      </c>
    </row>
    <row r="8276" spans="1:8" x14ac:dyDescent="0.2">
      <c r="A8276">
        <v>297081</v>
      </c>
      <c r="B8276">
        <v>20000</v>
      </c>
      <c r="C8276" t="str">
        <f t="shared" si="129"/>
        <v>3. $50K-250K</v>
      </c>
      <c r="D8276" t="s">
        <v>1306</v>
      </c>
      <c r="E8276" t="s">
        <v>112</v>
      </c>
      <c r="F8276" t="s">
        <v>668</v>
      </c>
      <c r="G8276" t="s">
        <v>59</v>
      </c>
      <c r="H8276">
        <v>2025</v>
      </c>
    </row>
    <row r="8277" spans="1:8" x14ac:dyDescent="0.2">
      <c r="A8277">
        <v>297083</v>
      </c>
      <c r="B8277">
        <v>20000</v>
      </c>
      <c r="C8277" t="str">
        <f t="shared" si="129"/>
        <v>2. $10K-50K</v>
      </c>
      <c r="D8277" t="s">
        <v>1317</v>
      </c>
      <c r="E8277" t="s">
        <v>112</v>
      </c>
      <c r="F8277" t="s">
        <v>668</v>
      </c>
      <c r="G8277" t="s">
        <v>59</v>
      </c>
      <c r="H8277">
        <v>2025</v>
      </c>
    </row>
    <row r="8278" spans="1:8" x14ac:dyDescent="0.2">
      <c r="A8278">
        <v>297084</v>
      </c>
      <c r="B8278">
        <v>70000</v>
      </c>
      <c r="C8278" t="str">
        <f t="shared" si="129"/>
        <v>2. $10K-50K</v>
      </c>
      <c r="D8278" t="s">
        <v>1350</v>
      </c>
      <c r="E8278" t="s">
        <v>112</v>
      </c>
      <c r="F8278" t="s">
        <v>668</v>
      </c>
      <c r="G8278" t="s">
        <v>59</v>
      </c>
      <c r="H8278">
        <v>2025</v>
      </c>
    </row>
    <row r="8279" spans="1:8" x14ac:dyDescent="0.2">
      <c r="A8279">
        <v>297087</v>
      </c>
      <c r="B8279">
        <v>30000</v>
      </c>
      <c r="C8279" t="str">
        <f t="shared" si="129"/>
        <v>3. $50K-250K</v>
      </c>
      <c r="D8279" t="s">
        <v>1120</v>
      </c>
      <c r="E8279" t="s">
        <v>112</v>
      </c>
      <c r="F8279" t="s">
        <v>668</v>
      </c>
      <c r="G8279" t="s">
        <v>59</v>
      </c>
      <c r="H8279">
        <v>2025</v>
      </c>
    </row>
    <row r="8280" spans="1:8" x14ac:dyDescent="0.2">
      <c r="A8280">
        <v>29709</v>
      </c>
      <c r="B8280">
        <v>5959695</v>
      </c>
      <c r="C8280" t="str">
        <f t="shared" si="129"/>
        <v>2. $10K-50K</v>
      </c>
      <c r="D8280" t="s">
        <v>35</v>
      </c>
      <c r="E8280" t="s">
        <v>69</v>
      </c>
      <c r="F8280" t="s">
        <v>12</v>
      </c>
      <c r="G8280" t="s">
        <v>10</v>
      </c>
      <c r="H8280">
        <v>2023</v>
      </c>
    </row>
    <row r="8281" spans="1:8" x14ac:dyDescent="0.2">
      <c r="A8281">
        <v>297171</v>
      </c>
      <c r="B8281">
        <v>1058385.6000000001</v>
      </c>
      <c r="C8281" t="str">
        <f t="shared" si="129"/>
        <v>5. $1M+</v>
      </c>
      <c r="D8281" t="s">
        <v>230</v>
      </c>
      <c r="E8281" t="s">
        <v>67</v>
      </c>
      <c r="F8281" t="s">
        <v>231</v>
      </c>
      <c r="G8281" t="s">
        <v>232</v>
      </c>
      <c r="H8281">
        <v>2025</v>
      </c>
    </row>
    <row r="8282" spans="1:8" x14ac:dyDescent="0.2">
      <c r="A8282">
        <v>297188</v>
      </c>
      <c r="B8282">
        <v>100000</v>
      </c>
      <c r="C8282" t="str">
        <f t="shared" si="129"/>
        <v>5. $1M+</v>
      </c>
      <c r="D8282" t="s">
        <v>1136</v>
      </c>
      <c r="E8282" t="s">
        <v>112</v>
      </c>
      <c r="F8282" t="s">
        <v>668</v>
      </c>
      <c r="G8282" t="s">
        <v>59</v>
      </c>
      <c r="H8282">
        <v>2025</v>
      </c>
    </row>
    <row r="8283" spans="1:8" x14ac:dyDescent="0.2">
      <c r="A8283">
        <v>297189</v>
      </c>
      <c r="B8283">
        <v>30000</v>
      </c>
      <c r="C8283" t="str">
        <f t="shared" si="129"/>
        <v>3. $50K-250K</v>
      </c>
      <c r="D8283" t="s">
        <v>1203</v>
      </c>
      <c r="E8283" t="s">
        <v>112</v>
      </c>
      <c r="F8283" t="s">
        <v>668</v>
      </c>
      <c r="G8283" t="s">
        <v>59</v>
      </c>
      <c r="H8283">
        <v>2025</v>
      </c>
    </row>
    <row r="8284" spans="1:8" x14ac:dyDescent="0.2">
      <c r="A8284">
        <v>297192</v>
      </c>
      <c r="B8284">
        <v>80000</v>
      </c>
      <c r="C8284" t="str">
        <f t="shared" si="129"/>
        <v>2. $10K-50K</v>
      </c>
      <c r="D8284" t="s">
        <v>673</v>
      </c>
      <c r="E8284" t="s">
        <v>112</v>
      </c>
      <c r="F8284" t="s">
        <v>668</v>
      </c>
      <c r="G8284" t="s">
        <v>59</v>
      </c>
      <c r="H8284">
        <v>2025</v>
      </c>
    </row>
    <row r="8285" spans="1:8" x14ac:dyDescent="0.2">
      <c r="A8285">
        <v>297195</v>
      </c>
      <c r="B8285">
        <v>20000</v>
      </c>
      <c r="C8285" t="str">
        <f t="shared" si="129"/>
        <v>3. $50K-250K</v>
      </c>
      <c r="D8285" t="s">
        <v>2499</v>
      </c>
      <c r="E8285" t="s">
        <v>112</v>
      </c>
      <c r="F8285" t="s">
        <v>668</v>
      </c>
      <c r="G8285" t="s">
        <v>59</v>
      </c>
      <c r="H8285">
        <v>2025</v>
      </c>
    </row>
    <row r="8286" spans="1:8" x14ac:dyDescent="0.2">
      <c r="A8286">
        <v>297197</v>
      </c>
      <c r="B8286">
        <v>20000</v>
      </c>
      <c r="C8286" t="str">
        <f t="shared" si="129"/>
        <v>2. $10K-50K</v>
      </c>
      <c r="D8286" t="s">
        <v>1339</v>
      </c>
      <c r="E8286" t="s">
        <v>112</v>
      </c>
      <c r="F8286" t="s">
        <v>668</v>
      </c>
      <c r="G8286" t="s">
        <v>59</v>
      </c>
      <c r="H8286">
        <v>2025</v>
      </c>
    </row>
    <row r="8287" spans="1:8" x14ac:dyDescent="0.2">
      <c r="A8287">
        <v>297198</v>
      </c>
      <c r="B8287">
        <v>20000</v>
      </c>
      <c r="C8287" t="str">
        <f t="shared" si="129"/>
        <v>2. $10K-50K</v>
      </c>
      <c r="D8287" t="s">
        <v>1233</v>
      </c>
      <c r="E8287" t="s">
        <v>112</v>
      </c>
      <c r="F8287" t="s">
        <v>668</v>
      </c>
      <c r="G8287" t="s">
        <v>59</v>
      </c>
      <c r="H8287">
        <v>2025</v>
      </c>
    </row>
    <row r="8288" spans="1:8" x14ac:dyDescent="0.2">
      <c r="A8288">
        <v>297200</v>
      </c>
      <c r="B8288">
        <v>20000</v>
      </c>
      <c r="C8288" t="str">
        <f t="shared" si="129"/>
        <v>2. $10K-50K</v>
      </c>
      <c r="D8288" t="s">
        <v>1146</v>
      </c>
      <c r="E8288" t="s">
        <v>112</v>
      </c>
      <c r="F8288" t="s">
        <v>668</v>
      </c>
      <c r="G8288" t="s">
        <v>59</v>
      </c>
      <c r="H8288">
        <v>2025</v>
      </c>
    </row>
    <row r="8289" spans="1:8" x14ac:dyDescent="0.2">
      <c r="A8289">
        <v>297201</v>
      </c>
      <c r="B8289">
        <v>20000</v>
      </c>
      <c r="C8289" t="str">
        <f t="shared" si="129"/>
        <v>2. $10K-50K</v>
      </c>
      <c r="D8289" t="s">
        <v>2500</v>
      </c>
      <c r="E8289" t="s">
        <v>112</v>
      </c>
      <c r="F8289" t="s">
        <v>668</v>
      </c>
      <c r="G8289" t="s">
        <v>59</v>
      </c>
      <c r="H8289">
        <v>2025</v>
      </c>
    </row>
    <row r="8290" spans="1:8" x14ac:dyDescent="0.2">
      <c r="A8290">
        <v>297204</v>
      </c>
      <c r="B8290">
        <v>50000</v>
      </c>
      <c r="C8290" t="str">
        <f t="shared" si="129"/>
        <v>2. $10K-50K</v>
      </c>
      <c r="D8290" t="s">
        <v>2501</v>
      </c>
      <c r="E8290" t="s">
        <v>112</v>
      </c>
      <c r="F8290" t="s">
        <v>668</v>
      </c>
      <c r="G8290" t="s">
        <v>59</v>
      </c>
      <c r="H8290">
        <v>2025</v>
      </c>
    </row>
    <row r="8291" spans="1:8" x14ac:dyDescent="0.2">
      <c r="A8291">
        <v>297210</v>
      </c>
      <c r="B8291">
        <v>22778661</v>
      </c>
      <c r="C8291" t="str">
        <f t="shared" si="129"/>
        <v>3. $50K-250K</v>
      </c>
      <c r="D8291" t="s">
        <v>23</v>
      </c>
      <c r="E8291" t="s">
        <v>24</v>
      </c>
      <c r="F8291" t="s">
        <v>9</v>
      </c>
      <c r="G8291" t="s">
        <v>10</v>
      </c>
      <c r="H8291">
        <v>2025</v>
      </c>
    </row>
    <row r="8292" spans="1:8" x14ac:dyDescent="0.2">
      <c r="A8292">
        <v>297235</v>
      </c>
      <c r="B8292">
        <v>30000</v>
      </c>
      <c r="C8292" t="str">
        <f t="shared" si="129"/>
        <v>5. $1M+</v>
      </c>
      <c r="D8292" t="s">
        <v>1183</v>
      </c>
      <c r="E8292" t="s">
        <v>112</v>
      </c>
      <c r="F8292" t="s">
        <v>668</v>
      </c>
      <c r="G8292" t="s">
        <v>59</v>
      </c>
      <c r="H8292">
        <v>2025</v>
      </c>
    </row>
    <row r="8293" spans="1:8" x14ac:dyDescent="0.2">
      <c r="A8293">
        <v>297236</v>
      </c>
      <c r="B8293">
        <v>90000</v>
      </c>
      <c r="C8293" t="str">
        <f t="shared" si="129"/>
        <v>2. $10K-50K</v>
      </c>
      <c r="D8293" t="s">
        <v>1290</v>
      </c>
      <c r="E8293" t="s">
        <v>112</v>
      </c>
      <c r="F8293" t="s">
        <v>668</v>
      </c>
      <c r="G8293" t="s">
        <v>59</v>
      </c>
      <c r="H8293">
        <v>2025</v>
      </c>
    </row>
    <row r="8294" spans="1:8" x14ac:dyDescent="0.2">
      <c r="A8294">
        <v>297238</v>
      </c>
      <c r="B8294">
        <v>70000</v>
      </c>
      <c r="C8294" t="str">
        <f t="shared" si="129"/>
        <v>3. $50K-250K</v>
      </c>
      <c r="D8294" t="s">
        <v>1195</v>
      </c>
      <c r="E8294" t="s">
        <v>112</v>
      </c>
      <c r="F8294" t="s">
        <v>668</v>
      </c>
      <c r="G8294" t="s">
        <v>59</v>
      </c>
      <c r="H8294">
        <v>2025</v>
      </c>
    </row>
    <row r="8295" spans="1:8" x14ac:dyDescent="0.2">
      <c r="A8295">
        <v>297239</v>
      </c>
      <c r="B8295">
        <v>24000</v>
      </c>
      <c r="C8295" t="str">
        <f t="shared" si="129"/>
        <v>3. $50K-250K</v>
      </c>
      <c r="D8295" t="s">
        <v>1141</v>
      </c>
      <c r="E8295" t="s">
        <v>112</v>
      </c>
      <c r="F8295" t="s">
        <v>668</v>
      </c>
      <c r="G8295" t="s">
        <v>59</v>
      </c>
      <c r="H8295">
        <v>2025</v>
      </c>
    </row>
    <row r="8296" spans="1:8" x14ac:dyDescent="0.2">
      <c r="A8296">
        <v>297240</v>
      </c>
      <c r="B8296">
        <v>20000</v>
      </c>
      <c r="C8296" t="str">
        <f t="shared" si="129"/>
        <v>2. $10K-50K</v>
      </c>
      <c r="D8296" t="s">
        <v>1189</v>
      </c>
      <c r="E8296" t="s">
        <v>112</v>
      </c>
      <c r="F8296" t="s">
        <v>668</v>
      </c>
      <c r="G8296" t="s">
        <v>59</v>
      </c>
      <c r="H8296">
        <v>2025</v>
      </c>
    </row>
    <row r="8297" spans="1:8" x14ac:dyDescent="0.2">
      <c r="A8297">
        <v>297241</v>
      </c>
      <c r="B8297">
        <v>20000</v>
      </c>
      <c r="C8297" t="str">
        <f t="shared" si="129"/>
        <v>2. $10K-50K</v>
      </c>
      <c r="D8297" t="s">
        <v>1188</v>
      </c>
      <c r="E8297" t="s">
        <v>112</v>
      </c>
      <c r="F8297" t="s">
        <v>668</v>
      </c>
      <c r="G8297" t="s">
        <v>59</v>
      </c>
      <c r="H8297">
        <v>2025</v>
      </c>
    </row>
    <row r="8298" spans="1:8" x14ac:dyDescent="0.2">
      <c r="A8298">
        <v>297242</v>
      </c>
      <c r="B8298">
        <v>30000</v>
      </c>
      <c r="C8298" t="str">
        <f t="shared" si="129"/>
        <v>2. $10K-50K</v>
      </c>
      <c r="D8298" t="s">
        <v>1190</v>
      </c>
      <c r="E8298" t="s">
        <v>112</v>
      </c>
      <c r="F8298" t="s">
        <v>668</v>
      </c>
      <c r="G8298" t="s">
        <v>59</v>
      </c>
      <c r="H8298">
        <v>2025</v>
      </c>
    </row>
    <row r="8299" spans="1:8" x14ac:dyDescent="0.2">
      <c r="A8299">
        <v>297243</v>
      </c>
      <c r="B8299">
        <v>24000</v>
      </c>
      <c r="C8299" t="str">
        <f t="shared" si="129"/>
        <v>2. $10K-50K</v>
      </c>
      <c r="D8299" t="s">
        <v>1326</v>
      </c>
      <c r="E8299" t="s">
        <v>112</v>
      </c>
      <c r="F8299" t="s">
        <v>668</v>
      </c>
      <c r="G8299" t="s">
        <v>59</v>
      </c>
      <c r="H8299">
        <v>2025</v>
      </c>
    </row>
    <row r="8300" spans="1:8" x14ac:dyDescent="0.2">
      <c r="A8300">
        <v>297283</v>
      </c>
      <c r="B8300">
        <v>25000</v>
      </c>
      <c r="C8300" t="str">
        <f t="shared" si="129"/>
        <v>2. $10K-50K</v>
      </c>
      <c r="D8300" t="s">
        <v>689</v>
      </c>
      <c r="E8300" t="s">
        <v>42</v>
      </c>
      <c r="F8300" t="s">
        <v>670</v>
      </c>
      <c r="G8300" t="s">
        <v>59</v>
      </c>
      <c r="H8300">
        <v>2025</v>
      </c>
    </row>
    <row r="8301" spans="1:8" x14ac:dyDescent="0.2">
      <c r="A8301">
        <v>297413</v>
      </c>
      <c r="B8301">
        <v>21778661</v>
      </c>
      <c r="C8301" t="str">
        <f t="shared" si="129"/>
        <v>2. $10K-50K</v>
      </c>
      <c r="D8301" t="s">
        <v>23</v>
      </c>
      <c r="E8301" t="s">
        <v>24</v>
      </c>
      <c r="F8301" t="s">
        <v>9</v>
      </c>
      <c r="G8301" t="s">
        <v>10</v>
      </c>
      <c r="H8301">
        <v>2025</v>
      </c>
    </row>
    <row r="8302" spans="1:8" x14ac:dyDescent="0.2">
      <c r="A8302">
        <v>297431</v>
      </c>
      <c r="B8302">
        <v>19853661</v>
      </c>
      <c r="C8302" t="str">
        <f t="shared" si="129"/>
        <v>5. $1M+</v>
      </c>
      <c r="D8302" t="s">
        <v>23</v>
      </c>
      <c r="E8302" t="s">
        <v>24</v>
      </c>
      <c r="F8302" t="s">
        <v>9</v>
      </c>
      <c r="G8302" t="s">
        <v>10</v>
      </c>
      <c r="H8302">
        <v>2025</v>
      </c>
    </row>
    <row r="8303" spans="1:8" x14ac:dyDescent="0.2">
      <c r="A8303">
        <v>297453</v>
      </c>
      <c r="B8303">
        <v>20000</v>
      </c>
      <c r="C8303" t="str">
        <f t="shared" si="129"/>
        <v>5. $1M+</v>
      </c>
      <c r="D8303" t="s">
        <v>1232</v>
      </c>
      <c r="E8303" t="s">
        <v>112</v>
      </c>
      <c r="F8303" t="s">
        <v>668</v>
      </c>
      <c r="G8303" t="s">
        <v>59</v>
      </c>
      <c r="H8303">
        <v>2025</v>
      </c>
    </row>
    <row r="8304" spans="1:8" x14ac:dyDescent="0.2">
      <c r="A8304">
        <v>297584</v>
      </c>
      <c r="B8304">
        <v>51242</v>
      </c>
      <c r="C8304" t="str">
        <f t="shared" si="129"/>
        <v>2. $10K-50K</v>
      </c>
      <c r="D8304" t="s">
        <v>708</v>
      </c>
      <c r="E8304" t="s">
        <v>237</v>
      </c>
      <c r="F8304" t="s">
        <v>670</v>
      </c>
      <c r="G8304" t="s">
        <v>59</v>
      </c>
      <c r="H8304">
        <v>2025</v>
      </c>
    </row>
    <row r="8305" spans="1:8" x14ac:dyDescent="0.2">
      <c r="A8305">
        <v>297604</v>
      </c>
      <c r="B8305">
        <v>146030</v>
      </c>
      <c r="C8305" t="str">
        <f t="shared" si="129"/>
        <v>3. $50K-250K</v>
      </c>
      <c r="D8305" t="s">
        <v>726</v>
      </c>
      <c r="E8305" t="s">
        <v>237</v>
      </c>
      <c r="F8305" t="s">
        <v>670</v>
      </c>
      <c r="G8305" t="s">
        <v>59</v>
      </c>
      <c r="H8305">
        <v>2025</v>
      </c>
    </row>
    <row r="8306" spans="1:8" x14ac:dyDescent="0.2">
      <c r="A8306">
        <v>297607</v>
      </c>
      <c r="B8306">
        <v>20533</v>
      </c>
      <c r="C8306" t="str">
        <f t="shared" si="129"/>
        <v>3. $50K-250K</v>
      </c>
      <c r="D8306" t="s">
        <v>726</v>
      </c>
      <c r="E8306" t="s">
        <v>237</v>
      </c>
      <c r="F8306" t="s">
        <v>670</v>
      </c>
      <c r="G8306" t="s">
        <v>59</v>
      </c>
      <c r="H8306">
        <v>2025</v>
      </c>
    </row>
    <row r="8307" spans="1:8" x14ac:dyDescent="0.2">
      <c r="A8307">
        <v>297608</v>
      </c>
      <c r="B8307">
        <v>104181</v>
      </c>
      <c r="C8307" t="str">
        <f t="shared" si="129"/>
        <v>2. $10K-50K</v>
      </c>
      <c r="D8307" t="s">
        <v>725</v>
      </c>
      <c r="E8307" t="s">
        <v>237</v>
      </c>
      <c r="F8307" t="s">
        <v>670</v>
      </c>
      <c r="G8307" t="s">
        <v>59</v>
      </c>
      <c r="H8307">
        <v>2025</v>
      </c>
    </row>
    <row r="8308" spans="1:8" x14ac:dyDescent="0.2">
      <c r="A8308">
        <v>297609</v>
      </c>
      <c r="B8308">
        <v>16753.299999999901</v>
      </c>
      <c r="C8308" t="str">
        <f t="shared" si="129"/>
        <v>3. $50K-250K</v>
      </c>
      <c r="D8308" t="s">
        <v>837</v>
      </c>
      <c r="E8308" t="s">
        <v>237</v>
      </c>
      <c r="F8308" t="s">
        <v>670</v>
      </c>
      <c r="G8308" t="s">
        <v>59</v>
      </c>
      <c r="H8308">
        <v>2025</v>
      </c>
    </row>
    <row r="8309" spans="1:8" x14ac:dyDescent="0.2">
      <c r="A8309">
        <v>297610</v>
      </c>
      <c r="B8309">
        <v>144954.5</v>
      </c>
      <c r="C8309" t="str">
        <f t="shared" si="129"/>
        <v>2. $10K-50K</v>
      </c>
      <c r="D8309" t="s">
        <v>700</v>
      </c>
      <c r="E8309" t="s">
        <v>237</v>
      </c>
      <c r="F8309" t="s">
        <v>670</v>
      </c>
      <c r="G8309" t="s">
        <v>59</v>
      </c>
      <c r="H8309">
        <v>2025</v>
      </c>
    </row>
    <row r="8310" spans="1:8" x14ac:dyDescent="0.2">
      <c r="A8310">
        <v>297633</v>
      </c>
      <c r="B8310">
        <v>1209279</v>
      </c>
      <c r="C8310" t="str">
        <f t="shared" si="129"/>
        <v>3. $50K-250K</v>
      </c>
      <c r="D8310" t="s">
        <v>711</v>
      </c>
      <c r="E8310" t="s">
        <v>237</v>
      </c>
      <c r="F8310" t="s">
        <v>670</v>
      </c>
      <c r="G8310" t="s">
        <v>59</v>
      </c>
      <c r="H8310">
        <v>2025</v>
      </c>
    </row>
    <row r="8311" spans="1:8" x14ac:dyDescent="0.2">
      <c r="A8311">
        <v>29768</v>
      </c>
      <c r="B8311">
        <v>2791861.6</v>
      </c>
      <c r="C8311" t="str">
        <f t="shared" si="129"/>
        <v>5. $1M+</v>
      </c>
      <c r="D8311" t="s">
        <v>490</v>
      </c>
      <c r="E8311" t="s">
        <v>54</v>
      </c>
      <c r="F8311" t="s">
        <v>43</v>
      </c>
      <c r="G8311" t="s">
        <v>79</v>
      </c>
      <c r="H8311">
        <v>2023</v>
      </c>
    </row>
    <row r="8312" spans="1:8" x14ac:dyDescent="0.2">
      <c r="A8312">
        <v>297799</v>
      </c>
      <c r="B8312">
        <v>16000</v>
      </c>
      <c r="C8312" t="str">
        <f t="shared" si="129"/>
        <v>5. $1M+</v>
      </c>
      <c r="D8312" t="s">
        <v>1746</v>
      </c>
      <c r="E8312" t="s">
        <v>112</v>
      </c>
      <c r="F8312" t="s">
        <v>668</v>
      </c>
      <c r="G8312" t="s">
        <v>59</v>
      </c>
      <c r="H8312">
        <v>2025</v>
      </c>
    </row>
    <row r="8313" spans="1:8" x14ac:dyDescent="0.2">
      <c r="A8313">
        <v>297800</v>
      </c>
      <c r="B8313">
        <v>90000</v>
      </c>
      <c r="C8313" t="str">
        <f t="shared" si="129"/>
        <v>2. $10K-50K</v>
      </c>
      <c r="D8313" t="s">
        <v>1240</v>
      </c>
      <c r="E8313" t="s">
        <v>112</v>
      </c>
      <c r="F8313" t="s">
        <v>668</v>
      </c>
      <c r="G8313" t="s">
        <v>59</v>
      </c>
      <c r="H8313">
        <v>2025</v>
      </c>
    </row>
    <row r="8314" spans="1:8" x14ac:dyDescent="0.2">
      <c r="A8314">
        <v>297801</v>
      </c>
      <c r="B8314">
        <v>40000</v>
      </c>
      <c r="C8314" t="str">
        <f t="shared" si="129"/>
        <v>3. $50K-250K</v>
      </c>
      <c r="D8314" t="s">
        <v>1234</v>
      </c>
      <c r="E8314" t="s">
        <v>112</v>
      </c>
      <c r="F8314" t="s">
        <v>668</v>
      </c>
      <c r="G8314" t="s">
        <v>59</v>
      </c>
      <c r="H8314">
        <v>2025</v>
      </c>
    </row>
    <row r="8315" spans="1:8" x14ac:dyDescent="0.2">
      <c r="A8315">
        <v>297802</v>
      </c>
      <c r="B8315">
        <v>50000</v>
      </c>
      <c r="C8315" t="str">
        <f t="shared" si="129"/>
        <v>2. $10K-50K</v>
      </c>
      <c r="D8315" t="s">
        <v>1249</v>
      </c>
      <c r="E8315" t="s">
        <v>112</v>
      </c>
      <c r="F8315" t="s">
        <v>668</v>
      </c>
      <c r="G8315" t="s">
        <v>59</v>
      </c>
      <c r="H8315">
        <v>2025</v>
      </c>
    </row>
    <row r="8316" spans="1:8" x14ac:dyDescent="0.2">
      <c r="A8316">
        <v>297803</v>
      </c>
      <c r="B8316">
        <v>40000</v>
      </c>
      <c r="C8316" t="str">
        <f t="shared" si="129"/>
        <v>3. $50K-250K</v>
      </c>
      <c r="D8316" t="s">
        <v>1207</v>
      </c>
      <c r="E8316" t="s">
        <v>112</v>
      </c>
      <c r="F8316" t="s">
        <v>668</v>
      </c>
      <c r="G8316" t="s">
        <v>59</v>
      </c>
      <c r="H8316">
        <v>2025</v>
      </c>
    </row>
    <row r="8317" spans="1:8" x14ac:dyDescent="0.2">
      <c r="A8317">
        <v>297804</v>
      </c>
      <c r="B8317">
        <v>80000</v>
      </c>
      <c r="C8317" t="str">
        <f t="shared" si="129"/>
        <v>2. $10K-50K</v>
      </c>
      <c r="D8317" t="s">
        <v>1322</v>
      </c>
      <c r="E8317" t="s">
        <v>112</v>
      </c>
      <c r="F8317" t="s">
        <v>668</v>
      </c>
      <c r="G8317" t="s">
        <v>59</v>
      </c>
      <c r="H8317">
        <v>2025</v>
      </c>
    </row>
    <row r="8318" spans="1:8" x14ac:dyDescent="0.2">
      <c r="A8318">
        <v>297806</v>
      </c>
      <c r="B8318">
        <v>20000</v>
      </c>
      <c r="C8318" t="str">
        <f t="shared" si="129"/>
        <v>3. $50K-250K</v>
      </c>
      <c r="D8318" t="s">
        <v>1700</v>
      </c>
      <c r="E8318" t="s">
        <v>112</v>
      </c>
      <c r="F8318" t="s">
        <v>668</v>
      </c>
      <c r="G8318" t="s">
        <v>59</v>
      </c>
      <c r="H8318">
        <v>2025</v>
      </c>
    </row>
    <row r="8319" spans="1:8" x14ac:dyDescent="0.2">
      <c r="A8319">
        <v>297809</v>
      </c>
      <c r="B8319">
        <v>90000</v>
      </c>
      <c r="C8319" t="str">
        <f t="shared" si="129"/>
        <v>2. $10K-50K</v>
      </c>
      <c r="D8319" t="s">
        <v>1293</v>
      </c>
      <c r="E8319" t="s">
        <v>112</v>
      </c>
      <c r="F8319" t="s">
        <v>668</v>
      </c>
      <c r="G8319" t="s">
        <v>59</v>
      </c>
      <c r="H8319">
        <v>2025</v>
      </c>
    </row>
    <row r="8320" spans="1:8" x14ac:dyDescent="0.2">
      <c r="A8320">
        <v>297812</v>
      </c>
      <c r="B8320">
        <v>20000</v>
      </c>
      <c r="C8320" t="str">
        <f t="shared" si="129"/>
        <v>3. $50K-250K</v>
      </c>
      <c r="D8320" t="s">
        <v>1255</v>
      </c>
      <c r="E8320" t="s">
        <v>112</v>
      </c>
      <c r="F8320" t="s">
        <v>668</v>
      </c>
      <c r="G8320" t="s">
        <v>59</v>
      </c>
      <c r="H8320">
        <v>2025</v>
      </c>
    </row>
    <row r="8321" spans="1:8" x14ac:dyDescent="0.2">
      <c r="A8321">
        <v>297819</v>
      </c>
      <c r="B8321">
        <v>20000</v>
      </c>
      <c r="C8321" t="str">
        <f t="shared" si="129"/>
        <v>2. $10K-50K</v>
      </c>
      <c r="D8321" t="s">
        <v>1307</v>
      </c>
      <c r="E8321" t="s">
        <v>112</v>
      </c>
      <c r="F8321" t="s">
        <v>668</v>
      </c>
      <c r="G8321" t="s">
        <v>59</v>
      </c>
      <c r="H8321">
        <v>2025</v>
      </c>
    </row>
    <row r="8322" spans="1:8" x14ac:dyDescent="0.2">
      <c r="A8322">
        <v>297820</v>
      </c>
      <c r="B8322">
        <v>24000</v>
      </c>
      <c r="C8322" t="str">
        <f t="shared" si="129"/>
        <v>2. $10K-50K</v>
      </c>
      <c r="D8322" t="s">
        <v>1199</v>
      </c>
      <c r="E8322" t="s">
        <v>112</v>
      </c>
      <c r="F8322" t="s">
        <v>668</v>
      </c>
      <c r="G8322" t="s">
        <v>59</v>
      </c>
      <c r="H8322">
        <v>2025</v>
      </c>
    </row>
    <row r="8323" spans="1:8" x14ac:dyDescent="0.2">
      <c r="A8323">
        <v>297821</v>
      </c>
      <c r="B8323">
        <v>20000</v>
      </c>
      <c r="C8323" t="str">
        <f t="shared" ref="C8323:C8386" si="130">IF(B8322&lt;10000,"1. Under $10K",IF(B8322&lt;50000,"2. $10K-50K",IF(B8322&lt;250000,"3. $50K-250K",IF(B8322&lt;1000000,"4. $250K-1M","5. $1M+"))))</f>
        <v>2. $10K-50K</v>
      </c>
      <c r="D8323" t="s">
        <v>1205</v>
      </c>
      <c r="E8323" t="s">
        <v>112</v>
      </c>
      <c r="F8323" t="s">
        <v>668</v>
      </c>
      <c r="G8323" t="s">
        <v>59</v>
      </c>
      <c r="H8323">
        <v>2025</v>
      </c>
    </row>
    <row r="8324" spans="1:8" x14ac:dyDescent="0.2">
      <c r="A8324">
        <v>297822</v>
      </c>
      <c r="B8324">
        <v>20000</v>
      </c>
      <c r="C8324" t="str">
        <f t="shared" si="130"/>
        <v>2. $10K-50K</v>
      </c>
      <c r="D8324" t="s">
        <v>1128</v>
      </c>
      <c r="E8324" t="s">
        <v>112</v>
      </c>
      <c r="F8324" t="s">
        <v>668</v>
      </c>
      <c r="G8324" t="s">
        <v>59</v>
      </c>
      <c r="H8324">
        <v>2025</v>
      </c>
    </row>
    <row r="8325" spans="1:8" x14ac:dyDescent="0.2">
      <c r="A8325">
        <v>297857</v>
      </c>
      <c r="B8325">
        <v>37100</v>
      </c>
      <c r="C8325" t="str">
        <f t="shared" si="130"/>
        <v>2. $10K-50K</v>
      </c>
      <c r="D8325" t="s">
        <v>686</v>
      </c>
      <c r="E8325" t="s">
        <v>42</v>
      </c>
      <c r="F8325" t="s">
        <v>670</v>
      </c>
      <c r="G8325" t="s">
        <v>59</v>
      </c>
      <c r="H8325">
        <v>2025</v>
      </c>
    </row>
    <row r="8326" spans="1:8" x14ac:dyDescent="0.2">
      <c r="A8326">
        <v>297900</v>
      </c>
      <c r="B8326">
        <v>80000</v>
      </c>
      <c r="C8326" t="str">
        <f t="shared" si="130"/>
        <v>2. $10K-50K</v>
      </c>
      <c r="D8326" t="s">
        <v>1269</v>
      </c>
      <c r="E8326" t="s">
        <v>112</v>
      </c>
      <c r="F8326" t="s">
        <v>668</v>
      </c>
      <c r="G8326" t="s">
        <v>59</v>
      </c>
      <c r="H8326">
        <v>2025</v>
      </c>
    </row>
    <row r="8327" spans="1:8" x14ac:dyDescent="0.2">
      <c r="A8327">
        <v>297901</v>
      </c>
      <c r="B8327">
        <v>399830.8</v>
      </c>
      <c r="C8327" t="str">
        <f t="shared" si="130"/>
        <v>3. $50K-250K</v>
      </c>
      <c r="D8327" t="s">
        <v>230</v>
      </c>
      <c r="E8327" t="s">
        <v>28</v>
      </c>
      <c r="F8327" t="s">
        <v>231</v>
      </c>
      <c r="G8327" t="s">
        <v>232</v>
      </c>
      <c r="H8327">
        <v>2025</v>
      </c>
    </row>
    <row r="8328" spans="1:8" x14ac:dyDescent="0.2">
      <c r="A8328">
        <v>297902</v>
      </c>
      <c r="B8328">
        <v>30000</v>
      </c>
      <c r="C8328" t="str">
        <f t="shared" si="130"/>
        <v>4. $250K-1M</v>
      </c>
      <c r="D8328" t="s">
        <v>1117</v>
      </c>
      <c r="E8328" t="s">
        <v>112</v>
      </c>
      <c r="F8328" t="s">
        <v>668</v>
      </c>
      <c r="G8328" t="s">
        <v>59</v>
      </c>
      <c r="H8328">
        <v>2025</v>
      </c>
    </row>
    <row r="8329" spans="1:8" x14ac:dyDescent="0.2">
      <c r="A8329">
        <v>297905</v>
      </c>
      <c r="B8329">
        <v>40000</v>
      </c>
      <c r="C8329" t="str">
        <f t="shared" si="130"/>
        <v>2. $10K-50K</v>
      </c>
      <c r="D8329" t="s">
        <v>1216</v>
      </c>
      <c r="E8329" t="s">
        <v>112</v>
      </c>
      <c r="F8329" t="s">
        <v>668</v>
      </c>
      <c r="G8329" t="s">
        <v>59</v>
      </c>
      <c r="H8329">
        <v>2025</v>
      </c>
    </row>
    <row r="8330" spans="1:8" x14ac:dyDescent="0.2">
      <c r="A8330">
        <v>297906</v>
      </c>
      <c r="B8330">
        <v>186928</v>
      </c>
      <c r="C8330" t="str">
        <f t="shared" si="130"/>
        <v>2. $10K-50K</v>
      </c>
      <c r="D8330" t="s">
        <v>1501</v>
      </c>
      <c r="E8330" t="s">
        <v>112</v>
      </c>
      <c r="F8330" t="s">
        <v>668</v>
      </c>
      <c r="G8330" t="s">
        <v>59</v>
      </c>
      <c r="H8330">
        <v>2025</v>
      </c>
    </row>
    <row r="8331" spans="1:8" x14ac:dyDescent="0.2">
      <c r="A8331">
        <v>297907</v>
      </c>
      <c r="B8331">
        <v>50000</v>
      </c>
      <c r="C8331" t="str">
        <f t="shared" si="130"/>
        <v>3. $50K-250K</v>
      </c>
      <c r="D8331" t="s">
        <v>1157</v>
      </c>
      <c r="E8331" t="s">
        <v>112</v>
      </c>
      <c r="F8331" t="s">
        <v>668</v>
      </c>
      <c r="G8331" t="s">
        <v>59</v>
      </c>
      <c r="H8331">
        <v>2025</v>
      </c>
    </row>
    <row r="8332" spans="1:8" x14ac:dyDescent="0.2">
      <c r="A8332">
        <v>297908</v>
      </c>
      <c r="B8332">
        <v>40000</v>
      </c>
      <c r="C8332" t="str">
        <f t="shared" si="130"/>
        <v>3. $50K-250K</v>
      </c>
      <c r="D8332" t="s">
        <v>1702</v>
      </c>
      <c r="E8332" t="s">
        <v>112</v>
      </c>
      <c r="F8332" t="s">
        <v>668</v>
      </c>
      <c r="G8332" t="s">
        <v>59</v>
      </c>
      <c r="H8332">
        <v>2025</v>
      </c>
    </row>
    <row r="8333" spans="1:8" x14ac:dyDescent="0.2">
      <c r="A8333">
        <v>297912</v>
      </c>
      <c r="B8333">
        <v>70000</v>
      </c>
      <c r="C8333" t="str">
        <f t="shared" si="130"/>
        <v>2. $10K-50K</v>
      </c>
      <c r="D8333" t="s">
        <v>1248</v>
      </c>
      <c r="E8333" t="s">
        <v>112</v>
      </c>
      <c r="F8333" t="s">
        <v>668</v>
      </c>
      <c r="G8333" t="s">
        <v>59</v>
      </c>
      <c r="H8333">
        <v>2025</v>
      </c>
    </row>
    <row r="8334" spans="1:8" x14ac:dyDescent="0.2">
      <c r="A8334">
        <v>297913</v>
      </c>
      <c r="B8334">
        <v>30000</v>
      </c>
      <c r="C8334" t="str">
        <f t="shared" si="130"/>
        <v>3. $50K-250K</v>
      </c>
      <c r="D8334" t="s">
        <v>1245</v>
      </c>
      <c r="E8334" t="s">
        <v>112</v>
      </c>
      <c r="F8334" t="s">
        <v>668</v>
      </c>
      <c r="G8334" t="s">
        <v>59</v>
      </c>
      <c r="H8334">
        <v>2025</v>
      </c>
    </row>
    <row r="8335" spans="1:8" x14ac:dyDescent="0.2">
      <c r="A8335">
        <v>297915</v>
      </c>
      <c r="B8335">
        <v>40000</v>
      </c>
      <c r="C8335" t="str">
        <f t="shared" si="130"/>
        <v>2. $10K-50K</v>
      </c>
      <c r="D8335" t="s">
        <v>1219</v>
      </c>
      <c r="E8335" t="s">
        <v>112</v>
      </c>
      <c r="F8335" t="s">
        <v>668</v>
      </c>
      <c r="G8335" t="s">
        <v>59</v>
      </c>
      <c r="H8335">
        <v>2025</v>
      </c>
    </row>
    <row r="8336" spans="1:8" x14ac:dyDescent="0.2">
      <c r="A8336">
        <v>297917</v>
      </c>
      <c r="B8336">
        <v>413354</v>
      </c>
      <c r="C8336" t="str">
        <f t="shared" si="130"/>
        <v>2. $10K-50K</v>
      </c>
      <c r="D8336" t="s">
        <v>763</v>
      </c>
      <c r="E8336" t="s">
        <v>42</v>
      </c>
      <c r="F8336" t="s">
        <v>670</v>
      </c>
      <c r="G8336" t="s">
        <v>44</v>
      </c>
      <c r="H8336">
        <v>2025</v>
      </c>
    </row>
    <row r="8337" spans="1:8" x14ac:dyDescent="0.2">
      <c r="A8337">
        <v>297918</v>
      </c>
      <c r="B8337">
        <v>413355</v>
      </c>
      <c r="C8337" t="str">
        <f t="shared" si="130"/>
        <v>4. $250K-1M</v>
      </c>
      <c r="D8337" t="s">
        <v>984</v>
      </c>
      <c r="E8337" t="s">
        <v>42</v>
      </c>
      <c r="F8337" t="s">
        <v>670</v>
      </c>
      <c r="G8337" t="s">
        <v>44</v>
      </c>
      <c r="H8337">
        <v>2025</v>
      </c>
    </row>
    <row r="8338" spans="1:8" x14ac:dyDescent="0.2">
      <c r="A8338">
        <v>297919</v>
      </c>
      <c r="B8338">
        <v>413355</v>
      </c>
      <c r="C8338" t="str">
        <f t="shared" si="130"/>
        <v>4. $250K-1M</v>
      </c>
      <c r="D8338" t="s">
        <v>957</v>
      </c>
      <c r="E8338" t="s">
        <v>42</v>
      </c>
      <c r="F8338" t="s">
        <v>670</v>
      </c>
      <c r="G8338" t="s">
        <v>44</v>
      </c>
      <c r="H8338">
        <v>2025</v>
      </c>
    </row>
    <row r="8339" spans="1:8" x14ac:dyDescent="0.2">
      <c r="A8339">
        <v>297920</v>
      </c>
      <c r="B8339">
        <v>288148</v>
      </c>
      <c r="C8339" t="str">
        <f t="shared" si="130"/>
        <v>4. $250K-1M</v>
      </c>
      <c r="D8339" t="s">
        <v>823</v>
      </c>
      <c r="E8339" t="s">
        <v>42</v>
      </c>
      <c r="F8339" t="s">
        <v>670</v>
      </c>
      <c r="G8339" t="s">
        <v>44</v>
      </c>
      <c r="H8339">
        <v>2025</v>
      </c>
    </row>
    <row r="8340" spans="1:8" x14ac:dyDescent="0.2">
      <c r="A8340">
        <v>297921</v>
      </c>
      <c r="B8340">
        <v>413355</v>
      </c>
      <c r="C8340" t="str">
        <f t="shared" si="130"/>
        <v>4. $250K-1M</v>
      </c>
      <c r="D8340" t="s">
        <v>801</v>
      </c>
      <c r="E8340" t="s">
        <v>42</v>
      </c>
      <c r="F8340" t="s">
        <v>670</v>
      </c>
      <c r="G8340" t="s">
        <v>44</v>
      </c>
      <c r="H8340">
        <v>2025</v>
      </c>
    </row>
    <row r="8341" spans="1:8" x14ac:dyDescent="0.2">
      <c r="A8341">
        <v>297922</v>
      </c>
      <c r="B8341">
        <v>413354</v>
      </c>
      <c r="C8341" t="str">
        <f t="shared" si="130"/>
        <v>4. $250K-1M</v>
      </c>
      <c r="D8341" t="s">
        <v>999</v>
      </c>
      <c r="E8341" t="s">
        <v>42</v>
      </c>
      <c r="F8341" t="s">
        <v>670</v>
      </c>
      <c r="G8341" t="s">
        <v>44</v>
      </c>
      <c r="H8341">
        <v>2025</v>
      </c>
    </row>
    <row r="8342" spans="1:8" x14ac:dyDescent="0.2">
      <c r="A8342">
        <v>297923</v>
      </c>
      <c r="B8342">
        <v>125206.8</v>
      </c>
      <c r="C8342" t="str">
        <f t="shared" si="130"/>
        <v>4. $250K-1M</v>
      </c>
      <c r="D8342" t="s">
        <v>823</v>
      </c>
      <c r="E8342" t="s">
        <v>59</v>
      </c>
      <c r="F8342" t="s">
        <v>670</v>
      </c>
      <c r="G8342" t="s">
        <v>59</v>
      </c>
      <c r="H8342">
        <v>2025</v>
      </c>
    </row>
    <row r="8343" spans="1:8" x14ac:dyDescent="0.2">
      <c r="A8343">
        <v>297924</v>
      </c>
      <c r="B8343">
        <v>50000</v>
      </c>
      <c r="C8343" t="str">
        <f t="shared" si="130"/>
        <v>3. $50K-250K</v>
      </c>
      <c r="D8343" t="s">
        <v>2502</v>
      </c>
      <c r="E8343" t="s">
        <v>112</v>
      </c>
      <c r="F8343" t="s">
        <v>668</v>
      </c>
      <c r="G8343" t="s">
        <v>59</v>
      </c>
      <c r="H8343">
        <v>2025</v>
      </c>
    </row>
    <row r="8344" spans="1:8" x14ac:dyDescent="0.2">
      <c r="A8344">
        <v>297925</v>
      </c>
      <c r="B8344">
        <v>14000</v>
      </c>
      <c r="C8344" t="str">
        <f t="shared" si="130"/>
        <v>3. $50K-250K</v>
      </c>
      <c r="D8344" t="s">
        <v>2503</v>
      </c>
      <c r="E8344" t="s">
        <v>112</v>
      </c>
      <c r="F8344" t="s">
        <v>668</v>
      </c>
      <c r="G8344" t="s">
        <v>59</v>
      </c>
      <c r="H8344">
        <v>2025</v>
      </c>
    </row>
    <row r="8345" spans="1:8" x14ac:dyDescent="0.2">
      <c r="A8345">
        <v>297930</v>
      </c>
      <c r="B8345">
        <v>22000</v>
      </c>
      <c r="C8345" t="str">
        <f t="shared" si="130"/>
        <v>2. $10K-50K</v>
      </c>
      <c r="D8345" t="s">
        <v>2504</v>
      </c>
      <c r="E8345" t="s">
        <v>112</v>
      </c>
      <c r="F8345" t="s">
        <v>668</v>
      </c>
      <c r="G8345" t="s">
        <v>59</v>
      </c>
      <c r="H8345">
        <v>2025</v>
      </c>
    </row>
    <row r="8346" spans="1:8" x14ac:dyDescent="0.2">
      <c r="A8346">
        <v>297979</v>
      </c>
      <c r="B8346">
        <v>150000</v>
      </c>
      <c r="C8346" t="str">
        <f t="shared" si="130"/>
        <v>2. $10K-50K</v>
      </c>
      <c r="D8346" t="s">
        <v>1044</v>
      </c>
      <c r="E8346" t="s">
        <v>42</v>
      </c>
      <c r="F8346" t="s">
        <v>670</v>
      </c>
      <c r="G8346" t="s">
        <v>59</v>
      </c>
      <c r="H8346">
        <v>2025</v>
      </c>
    </row>
    <row r="8347" spans="1:8" x14ac:dyDescent="0.2">
      <c r="A8347">
        <v>297981</v>
      </c>
      <c r="B8347">
        <v>19620</v>
      </c>
      <c r="C8347" t="str">
        <f t="shared" si="130"/>
        <v>3. $50K-250K</v>
      </c>
      <c r="D8347" t="s">
        <v>683</v>
      </c>
      <c r="E8347" t="s">
        <v>42</v>
      </c>
      <c r="F8347" t="s">
        <v>670</v>
      </c>
      <c r="G8347" t="s">
        <v>59</v>
      </c>
      <c r="H8347">
        <v>2025</v>
      </c>
    </row>
    <row r="8348" spans="1:8" x14ac:dyDescent="0.2">
      <c r="A8348">
        <v>297982</v>
      </c>
      <c r="B8348">
        <v>250000</v>
      </c>
      <c r="C8348" t="str">
        <f t="shared" si="130"/>
        <v>2. $10K-50K</v>
      </c>
      <c r="D8348" t="s">
        <v>669</v>
      </c>
      <c r="E8348" t="s">
        <v>42</v>
      </c>
      <c r="F8348" t="s">
        <v>670</v>
      </c>
      <c r="G8348" t="s">
        <v>59</v>
      </c>
      <c r="H8348">
        <v>2025</v>
      </c>
    </row>
    <row r="8349" spans="1:8" x14ac:dyDescent="0.2">
      <c r="A8349">
        <v>297983</v>
      </c>
      <c r="B8349">
        <v>221770.7</v>
      </c>
      <c r="C8349" t="str">
        <f t="shared" si="130"/>
        <v>4. $250K-1M</v>
      </c>
      <c r="D8349" t="s">
        <v>682</v>
      </c>
      <c r="E8349" t="s">
        <v>42</v>
      </c>
      <c r="F8349" t="s">
        <v>670</v>
      </c>
      <c r="G8349" t="s">
        <v>59</v>
      </c>
      <c r="H8349">
        <v>2025</v>
      </c>
    </row>
    <row r="8350" spans="1:8" x14ac:dyDescent="0.2">
      <c r="A8350">
        <v>297984</v>
      </c>
      <c r="B8350">
        <v>270000</v>
      </c>
      <c r="C8350" t="str">
        <f t="shared" si="130"/>
        <v>3. $50K-250K</v>
      </c>
      <c r="D8350" t="s">
        <v>673</v>
      </c>
      <c r="E8350" t="s">
        <v>42</v>
      </c>
      <c r="F8350" t="s">
        <v>670</v>
      </c>
      <c r="G8350" t="s">
        <v>59</v>
      </c>
      <c r="H8350">
        <v>2025</v>
      </c>
    </row>
    <row r="8351" spans="1:8" x14ac:dyDescent="0.2">
      <c r="A8351">
        <v>297985</v>
      </c>
      <c r="B8351">
        <v>84072</v>
      </c>
      <c r="C8351" t="str">
        <f t="shared" si="130"/>
        <v>4. $250K-1M</v>
      </c>
      <c r="D8351" t="s">
        <v>391</v>
      </c>
      <c r="E8351" t="s">
        <v>42</v>
      </c>
      <c r="F8351" t="s">
        <v>670</v>
      </c>
      <c r="G8351" t="s">
        <v>59</v>
      </c>
      <c r="H8351">
        <v>2025</v>
      </c>
    </row>
    <row r="8352" spans="1:8" x14ac:dyDescent="0.2">
      <c r="A8352">
        <v>297986</v>
      </c>
      <c r="B8352">
        <v>39234</v>
      </c>
      <c r="C8352" t="str">
        <f t="shared" si="130"/>
        <v>3. $50K-250K</v>
      </c>
      <c r="D8352" t="s">
        <v>685</v>
      </c>
      <c r="E8352" t="s">
        <v>42</v>
      </c>
      <c r="F8352" t="s">
        <v>670</v>
      </c>
      <c r="G8352" t="s">
        <v>59</v>
      </c>
      <c r="H8352">
        <v>2025</v>
      </c>
    </row>
    <row r="8353" spans="1:8" x14ac:dyDescent="0.2">
      <c r="A8353">
        <v>297987</v>
      </c>
      <c r="B8353">
        <v>28024</v>
      </c>
      <c r="C8353" t="str">
        <f t="shared" si="130"/>
        <v>2. $10K-50K</v>
      </c>
      <c r="D8353" t="s">
        <v>688</v>
      </c>
      <c r="E8353" t="s">
        <v>42</v>
      </c>
      <c r="F8353" t="s">
        <v>670</v>
      </c>
      <c r="G8353" t="s">
        <v>59</v>
      </c>
      <c r="H8353">
        <v>2025</v>
      </c>
    </row>
    <row r="8354" spans="1:8" x14ac:dyDescent="0.2">
      <c r="A8354">
        <v>298000</v>
      </c>
      <c r="B8354">
        <v>101644</v>
      </c>
      <c r="C8354" t="str">
        <f t="shared" si="130"/>
        <v>2. $10K-50K</v>
      </c>
      <c r="D8354" t="s">
        <v>689</v>
      </c>
      <c r="E8354" t="s">
        <v>42</v>
      </c>
      <c r="F8354" t="s">
        <v>670</v>
      </c>
      <c r="G8354" t="s">
        <v>59</v>
      </c>
      <c r="H8354">
        <v>2025</v>
      </c>
    </row>
    <row r="8355" spans="1:8" x14ac:dyDescent="0.2">
      <c r="A8355">
        <v>298001</v>
      </c>
      <c r="B8355">
        <v>93803.8</v>
      </c>
      <c r="C8355" t="str">
        <f t="shared" si="130"/>
        <v>3. $50K-250K</v>
      </c>
      <c r="D8355" t="s">
        <v>957</v>
      </c>
      <c r="E8355" t="s">
        <v>237</v>
      </c>
      <c r="F8355" t="s">
        <v>670</v>
      </c>
      <c r="G8355" t="s">
        <v>59</v>
      </c>
      <c r="H8355">
        <v>2025</v>
      </c>
    </row>
    <row r="8356" spans="1:8" x14ac:dyDescent="0.2">
      <c r="A8356">
        <v>298234</v>
      </c>
      <c r="B8356">
        <v>373518</v>
      </c>
      <c r="C8356" t="str">
        <f t="shared" si="130"/>
        <v>3. $50K-250K</v>
      </c>
      <c r="D8356" t="s">
        <v>701</v>
      </c>
      <c r="E8356" t="s">
        <v>237</v>
      </c>
      <c r="F8356" t="s">
        <v>670</v>
      </c>
      <c r="G8356" t="s">
        <v>59</v>
      </c>
      <c r="H8356">
        <v>2025</v>
      </c>
    </row>
    <row r="8357" spans="1:8" x14ac:dyDescent="0.2">
      <c r="A8357">
        <v>298236</v>
      </c>
      <c r="B8357">
        <v>226482</v>
      </c>
      <c r="C8357" t="str">
        <f t="shared" si="130"/>
        <v>4. $250K-1M</v>
      </c>
      <c r="D8357" t="s">
        <v>1084</v>
      </c>
      <c r="E8357" t="s">
        <v>237</v>
      </c>
      <c r="F8357" t="s">
        <v>670</v>
      </c>
      <c r="G8357" t="s">
        <v>59</v>
      </c>
      <c r="H8357">
        <v>2025</v>
      </c>
    </row>
    <row r="8358" spans="1:8" x14ac:dyDescent="0.2">
      <c r="A8358">
        <v>298588</v>
      </c>
      <c r="B8358">
        <v>24635524.399999999</v>
      </c>
      <c r="C8358" t="str">
        <f t="shared" si="130"/>
        <v>3. $50K-250K</v>
      </c>
      <c r="D8358" t="s">
        <v>491</v>
      </c>
      <c r="E8358" t="s">
        <v>18</v>
      </c>
      <c r="F8358" t="s">
        <v>12</v>
      </c>
      <c r="G8358" t="s">
        <v>124</v>
      </c>
      <c r="H8358">
        <v>2025</v>
      </c>
    </row>
    <row r="8359" spans="1:8" x14ac:dyDescent="0.2">
      <c r="A8359">
        <v>29859</v>
      </c>
      <c r="B8359">
        <v>11898733.4</v>
      </c>
      <c r="C8359" t="str">
        <f t="shared" si="130"/>
        <v>5. $1M+</v>
      </c>
      <c r="D8359" t="s">
        <v>33</v>
      </c>
      <c r="E8359" t="s">
        <v>8</v>
      </c>
      <c r="F8359" t="s">
        <v>22</v>
      </c>
      <c r="G8359" t="s">
        <v>10</v>
      </c>
      <c r="H8359">
        <v>2024</v>
      </c>
    </row>
    <row r="8360" spans="1:8" x14ac:dyDescent="0.2">
      <c r="A8360">
        <v>298590</v>
      </c>
      <c r="B8360">
        <v>506999</v>
      </c>
      <c r="C8360" t="str">
        <f t="shared" si="130"/>
        <v>5. $1M+</v>
      </c>
      <c r="D8360" t="s">
        <v>669</v>
      </c>
      <c r="E8360" t="s">
        <v>59</v>
      </c>
      <c r="F8360" t="s">
        <v>670</v>
      </c>
      <c r="G8360" t="s">
        <v>59</v>
      </c>
      <c r="H8360">
        <v>2025</v>
      </c>
    </row>
    <row r="8361" spans="1:8" x14ac:dyDescent="0.2">
      <c r="A8361">
        <v>29860</v>
      </c>
      <c r="B8361">
        <v>184444.7</v>
      </c>
      <c r="C8361" t="str">
        <f t="shared" si="130"/>
        <v>4. $250K-1M</v>
      </c>
      <c r="D8361" t="s">
        <v>492</v>
      </c>
      <c r="E8361" t="s">
        <v>8</v>
      </c>
      <c r="F8361" t="s">
        <v>22</v>
      </c>
      <c r="G8361" t="s">
        <v>10</v>
      </c>
      <c r="H8361">
        <v>2023</v>
      </c>
    </row>
    <row r="8362" spans="1:8" x14ac:dyDescent="0.2">
      <c r="A8362">
        <v>298651</v>
      </c>
      <c r="B8362">
        <v>11799377.6</v>
      </c>
      <c r="C8362" t="str">
        <f t="shared" si="130"/>
        <v>3. $50K-250K</v>
      </c>
      <c r="D8362" t="s">
        <v>491</v>
      </c>
      <c r="E8362" t="s">
        <v>18</v>
      </c>
      <c r="F8362" t="s">
        <v>12</v>
      </c>
      <c r="G8362" t="s">
        <v>124</v>
      </c>
      <c r="H8362">
        <v>2025</v>
      </c>
    </row>
    <row r="8363" spans="1:8" x14ac:dyDescent="0.2">
      <c r="A8363">
        <v>298655</v>
      </c>
      <c r="B8363">
        <v>1115400</v>
      </c>
      <c r="C8363" t="str">
        <f t="shared" si="130"/>
        <v>5. $1M+</v>
      </c>
      <c r="D8363" t="s">
        <v>491</v>
      </c>
      <c r="E8363" t="s">
        <v>49</v>
      </c>
      <c r="F8363" t="s">
        <v>22</v>
      </c>
      <c r="G8363" t="s">
        <v>124</v>
      </c>
      <c r="H8363">
        <v>2025</v>
      </c>
    </row>
    <row r="8364" spans="1:8" x14ac:dyDescent="0.2">
      <c r="A8364">
        <v>298668</v>
      </c>
      <c r="B8364">
        <v>250000</v>
      </c>
      <c r="C8364" t="str">
        <f t="shared" si="130"/>
        <v>5. $1M+</v>
      </c>
      <c r="D8364" t="s">
        <v>807</v>
      </c>
      <c r="E8364" t="s">
        <v>59</v>
      </c>
      <c r="F8364" t="s">
        <v>670</v>
      </c>
      <c r="G8364" t="s">
        <v>59</v>
      </c>
      <c r="H8364">
        <v>2025</v>
      </c>
    </row>
    <row r="8365" spans="1:8" x14ac:dyDescent="0.2">
      <c r="A8365">
        <v>298673</v>
      </c>
      <c r="B8365">
        <v>1004556</v>
      </c>
      <c r="C8365" t="str">
        <f t="shared" si="130"/>
        <v>4. $250K-1M</v>
      </c>
      <c r="D8365" t="s">
        <v>493</v>
      </c>
      <c r="E8365" t="s">
        <v>59</v>
      </c>
      <c r="F8365" t="s">
        <v>14</v>
      </c>
      <c r="G8365" t="s">
        <v>15</v>
      </c>
      <c r="H8365">
        <v>2025</v>
      </c>
    </row>
    <row r="8366" spans="1:8" x14ac:dyDescent="0.2">
      <c r="A8366">
        <v>298690</v>
      </c>
      <c r="B8366">
        <v>200000</v>
      </c>
      <c r="C8366" t="str">
        <f t="shared" si="130"/>
        <v>5. $1M+</v>
      </c>
      <c r="D8366" t="s">
        <v>821</v>
      </c>
      <c r="E8366" t="s">
        <v>42</v>
      </c>
      <c r="F8366" t="s">
        <v>670</v>
      </c>
      <c r="G8366" t="s">
        <v>59</v>
      </c>
      <c r="H8366">
        <v>2025</v>
      </c>
    </row>
    <row r="8367" spans="1:8" x14ac:dyDescent="0.2">
      <c r="A8367">
        <v>298691</v>
      </c>
      <c r="B8367">
        <v>200000</v>
      </c>
      <c r="C8367" t="str">
        <f t="shared" si="130"/>
        <v>3. $50K-250K</v>
      </c>
      <c r="D8367" t="s">
        <v>897</v>
      </c>
      <c r="E8367" t="s">
        <v>42</v>
      </c>
      <c r="F8367" t="s">
        <v>670</v>
      </c>
      <c r="G8367" t="s">
        <v>59</v>
      </c>
      <c r="H8367">
        <v>2025</v>
      </c>
    </row>
    <row r="8368" spans="1:8" x14ac:dyDescent="0.2">
      <c r="A8368">
        <v>298700</v>
      </c>
      <c r="B8368">
        <v>150000</v>
      </c>
      <c r="C8368" t="str">
        <f t="shared" si="130"/>
        <v>3. $50K-250K</v>
      </c>
      <c r="D8368" t="s">
        <v>783</v>
      </c>
      <c r="E8368" t="s">
        <v>42</v>
      </c>
      <c r="F8368" t="s">
        <v>670</v>
      </c>
      <c r="G8368" t="s">
        <v>59</v>
      </c>
      <c r="H8368">
        <v>2025</v>
      </c>
    </row>
    <row r="8369" spans="1:8" x14ac:dyDescent="0.2">
      <c r="A8369">
        <v>298708</v>
      </c>
      <c r="B8369">
        <v>370940</v>
      </c>
      <c r="C8369" t="str">
        <f t="shared" si="130"/>
        <v>3. $50K-250K</v>
      </c>
      <c r="D8369" t="s">
        <v>878</v>
      </c>
      <c r="E8369" t="s">
        <v>42</v>
      </c>
      <c r="F8369" t="s">
        <v>670</v>
      </c>
      <c r="G8369" t="s">
        <v>59</v>
      </c>
      <c r="H8369">
        <v>2025</v>
      </c>
    </row>
    <row r="8370" spans="1:8" x14ac:dyDescent="0.2">
      <c r="A8370">
        <v>298709</v>
      </c>
      <c r="B8370">
        <v>161811</v>
      </c>
      <c r="C8370" t="str">
        <f t="shared" si="130"/>
        <v>4. $250K-1M</v>
      </c>
      <c r="D8370" t="s">
        <v>864</v>
      </c>
      <c r="E8370" t="s">
        <v>42</v>
      </c>
      <c r="F8370" t="s">
        <v>670</v>
      </c>
      <c r="G8370" t="s">
        <v>59</v>
      </c>
      <c r="H8370">
        <v>2025</v>
      </c>
    </row>
    <row r="8371" spans="1:8" x14ac:dyDescent="0.2">
      <c r="A8371">
        <v>298710</v>
      </c>
      <c r="B8371">
        <v>92950</v>
      </c>
      <c r="C8371" t="str">
        <f t="shared" si="130"/>
        <v>3. $50K-250K</v>
      </c>
      <c r="D8371" t="s">
        <v>673</v>
      </c>
      <c r="E8371" t="s">
        <v>42</v>
      </c>
      <c r="F8371" t="s">
        <v>670</v>
      </c>
      <c r="G8371" t="s">
        <v>59</v>
      </c>
      <c r="H8371">
        <v>2025</v>
      </c>
    </row>
    <row r="8372" spans="1:8" x14ac:dyDescent="0.2">
      <c r="A8372">
        <v>298711</v>
      </c>
      <c r="B8372">
        <v>111007.4</v>
      </c>
      <c r="C8372" t="str">
        <f t="shared" si="130"/>
        <v>3. $50K-250K</v>
      </c>
      <c r="D8372" t="s">
        <v>688</v>
      </c>
      <c r="E8372" t="s">
        <v>42</v>
      </c>
      <c r="F8372" t="s">
        <v>670</v>
      </c>
      <c r="G8372" t="s">
        <v>59</v>
      </c>
      <c r="H8372">
        <v>2025</v>
      </c>
    </row>
    <row r="8373" spans="1:8" x14ac:dyDescent="0.2">
      <c r="A8373">
        <v>298712</v>
      </c>
      <c r="B8373">
        <v>44950.400000000001</v>
      </c>
      <c r="C8373" t="str">
        <f t="shared" si="130"/>
        <v>3. $50K-250K</v>
      </c>
      <c r="D8373" t="s">
        <v>687</v>
      </c>
      <c r="E8373" t="s">
        <v>42</v>
      </c>
      <c r="F8373" t="s">
        <v>670</v>
      </c>
      <c r="G8373" t="s">
        <v>59</v>
      </c>
      <c r="H8373">
        <v>2025</v>
      </c>
    </row>
    <row r="8374" spans="1:8" x14ac:dyDescent="0.2">
      <c r="A8374">
        <v>298714</v>
      </c>
      <c r="B8374">
        <v>1597505</v>
      </c>
      <c r="C8374" t="str">
        <f t="shared" si="130"/>
        <v>2. $10K-50K</v>
      </c>
      <c r="D8374" t="s">
        <v>33</v>
      </c>
      <c r="E8374" t="s">
        <v>24</v>
      </c>
      <c r="F8374" t="s">
        <v>12</v>
      </c>
      <c r="G8374" t="s">
        <v>10</v>
      </c>
      <c r="H8374">
        <v>2025</v>
      </c>
    </row>
    <row r="8375" spans="1:8" x14ac:dyDescent="0.2">
      <c r="A8375">
        <v>298749</v>
      </c>
      <c r="B8375">
        <v>53340</v>
      </c>
      <c r="C8375" t="str">
        <f t="shared" si="130"/>
        <v>5. $1M+</v>
      </c>
      <c r="D8375" t="s">
        <v>494</v>
      </c>
      <c r="E8375" t="s">
        <v>82</v>
      </c>
      <c r="F8375" t="s">
        <v>239</v>
      </c>
      <c r="G8375" t="s">
        <v>10</v>
      </c>
      <c r="H8375">
        <v>2025</v>
      </c>
    </row>
    <row r="8376" spans="1:8" x14ac:dyDescent="0.2">
      <c r="A8376">
        <v>298826</v>
      </c>
      <c r="B8376">
        <v>178188</v>
      </c>
      <c r="C8376" t="str">
        <f t="shared" si="130"/>
        <v>3. $50K-250K</v>
      </c>
      <c r="D8376" t="s">
        <v>804</v>
      </c>
      <c r="E8376" t="s">
        <v>42</v>
      </c>
      <c r="F8376" t="s">
        <v>670</v>
      </c>
      <c r="G8376" t="s">
        <v>59</v>
      </c>
      <c r="H8376">
        <v>2025</v>
      </c>
    </row>
    <row r="8377" spans="1:8" x14ac:dyDescent="0.2">
      <c r="A8377">
        <v>298844</v>
      </c>
      <c r="B8377">
        <v>1088890</v>
      </c>
      <c r="C8377" t="str">
        <f t="shared" si="130"/>
        <v>3. $50K-250K</v>
      </c>
      <c r="D8377" t="s">
        <v>813</v>
      </c>
      <c r="E8377" t="s">
        <v>237</v>
      </c>
      <c r="F8377" t="s">
        <v>670</v>
      </c>
      <c r="G8377" t="s">
        <v>59</v>
      </c>
      <c r="H8377">
        <v>2025</v>
      </c>
    </row>
    <row r="8378" spans="1:8" x14ac:dyDescent="0.2">
      <c r="A8378">
        <v>298845</v>
      </c>
      <c r="B8378">
        <v>300367</v>
      </c>
      <c r="C8378" t="str">
        <f t="shared" si="130"/>
        <v>5. $1M+</v>
      </c>
      <c r="D8378" t="s">
        <v>813</v>
      </c>
      <c r="E8378" t="s">
        <v>237</v>
      </c>
      <c r="F8378" t="s">
        <v>670</v>
      </c>
      <c r="G8378" t="s">
        <v>59</v>
      </c>
      <c r="H8378">
        <v>2025</v>
      </c>
    </row>
    <row r="8379" spans="1:8" x14ac:dyDescent="0.2">
      <c r="A8379">
        <v>298846</v>
      </c>
      <c r="B8379">
        <v>86853</v>
      </c>
      <c r="C8379" t="str">
        <f t="shared" si="130"/>
        <v>4. $250K-1M</v>
      </c>
      <c r="D8379" t="s">
        <v>708</v>
      </c>
      <c r="E8379" t="s">
        <v>237</v>
      </c>
      <c r="F8379" t="s">
        <v>670</v>
      </c>
      <c r="G8379" t="s">
        <v>59</v>
      </c>
      <c r="H8379">
        <v>2025</v>
      </c>
    </row>
    <row r="8380" spans="1:8" x14ac:dyDescent="0.2">
      <c r="A8380">
        <v>29885</v>
      </c>
      <c r="B8380">
        <v>59131385.799999997</v>
      </c>
      <c r="C8380" t="str">
        <f t="shared" si="130"/>
        <v>3. $50K-250K</v>
      </c>
      <c r="D8380" t="s">
        <v>495</v>
      </c>
      <c r="E8380" t="s">
        <v>52</v>
      </c>
      <c r="F8380" t="s">
        <v>43</v>
      </c>
      <c r="G8380" t="s">
        <v>44</v>
      </c>
      <c r="H8380">
        <v>2023</v>
      </c>
    </row>
    <row r="8381" spans="1:8" x14ac:dyDescent="0.2">
      <c r="A8381">
        <v>298859</v>
      </c>
      <c r="B8381">
        <v>668000</v>
      </c>
      <c r="C8381" t="str">
        <f t="shared" si="130"/>
        <v>5. $1M+</v>
      </c>
      <c r="D8381" t="s">
        <v>391</v>
      </c>
      <c r="E8381" t="s">
        <v>237</v>
      </c>
      <c r="F8381" t="s">
        <v>670</v>
      </c>
      <c r="G8381" t="s">
        <v>59</v>
      </c>
      <c r="H8381">
        <v>2025</v>
      </c>
    </row>
    <row r="8382" spans="1:8" x14ac:dyDescent="0.2">
      <c r="A8382">
        <v>298910</v>
      </c>
      <c r="B8382">
        <v>1800000</v>
      </c>
      <c r="C8382" t="str">
        <f t="shared" si="130"/>
        <v>4. $250K-1M</v>
      </c>
      <c r="D8382" t="s">
        <v>865</v>
      </c>
      <c r="E8382" t="s">
        <v>237</v>
      </c>
      <c r="F8382" t="s">
        <v>670</v>
      </c>
      <c r="G8382" t="s">
        <v>44</v>
      </c>
      <c r="H8382">
        <v>2025</v>
      </c>
    </row>
    <row r="8383" spans="1:8" x14ac:dyDescent="0.2">
      <c r="A8383">
        <v>298911</v>
      </c>
      <c r="B8383">
        <v>2006220</v>
      </c>
      <c r="C8383" t="str">
        <f t="shared" si="130"/>
        <v>5. $1M+</v>
      </c>
      <c r="D8383" t="s">
        <v>708</v>
      </c>
      <c r="E8383" t="s">
        <v>237</v>
      </c>
      <c r="F8383" t="s">
        <v>670</v>
      </c>
      <c r="G8383" t="s">
        <v>59</v>
      </c>
      <c r="H8383">
        <v>2025</v>
      </c>
    </row>
    <row r="8384" spans="1:8" x14ac:dyDescent="0.2">
      <c r="A8384">
        <v>298914</v>
      </c>
      <c r="B8384">
        <v>335720.4</v>
      </c>
      <c r="C8384" t="str">
        <f t="shared" si="130"/>
        <v>5. $1M+</v>
      </c>
      <c r="D8384" t="s">
        <v>839</v>
      </c>
      <c r="E8384" t="s">
        <v>42</v>
      </c>
      <c r="F8384" t="s">
        <v>670</v>
      </c>
      <c r="G8384" t="s">
        <v>59</v>
      </c>
      <c r="H8384">
        <v>2025</v>
      </c>
    </row>
    <row r="8385" spans="1:8" x14ac:dyDescent="0.2">
      <c r="A8385">
        <v>298988</v>
      </c>
      <c r="B8385">
        <v>125800</v>
      </c>
      <c r="C8385" t="str">
        <f t="shared" si="130"/>
        <v>4. $250K-1M</v>
      </c>
      <c r="D8385" t="s">
        <v>810</v>
      </c>
      <c r="E8385" t="s">
        <v>42</v>
      </c>
      <c r="F8385" t="s">
        <v>670</v>
      </c>
      <c r="G8385" t="s">
        <v>59</v>
      </c>
      <c r="H8385">
        <v>2025</v>
      </c>
    </row>
    <row r="8386" spans="1:8" x14ac:dyDescent="0.2">
      <c r="A8386">
        <v>298996</v>
      </c>
      <c r="B8386">
        <v>300000</v>
      </c>
      <c r="C8386" t="str">
        <f t="shared" si="130"/>
        <v>3. $50K-250K</v>
      </c>
      <c r="D8386" t="s">
        <v>868</v>
      </c>
      <c r="E8386" t="s">
        <v>42</v>
      </c>
      <c r="F8386" t="s">
        <v>670</v>
      </c>
      <c r="G8386" t="s">
        <v>59</v>
      </c>
      <c r="H8386">
        <v>2025</v>
      </c>
    </row>
    <row r="8387" spans="1:8" x14ac:dyDescent="0.2">
      <c r="A8387">
        <v>299029</v>
      </c>
      <c r="B8387">
        <v>14009</v>
      </c>
      <c r="C8387" t="str">
        <f t="shared" ref="C8387:C8450" si="131">IF(B8386&lt;10000,"1. Under $10K",IF(B8386&lt;50000,"2. $10K-50K",IF(B8386&lt;250000,"3. $50K-250K",IF(B8386&lt;1000000,"4. $250K-1M","5. $1M+"))))</f>
        <v>4. $250K-1M</v>
      </c>
      <c r="D8387" t="s">
        <v>708</v>
      </c>
      <c r="E8387" t="s">
        <v>237</v>
      </c>
      <c r="F8387" t="s">
        <v>670</v>
      </c>
      <c r="G8387" t="s">
        <v>59</v>
      </c>
      <c r="H8387">
        <v>2025</v>
      </c>
    </row>
    <row r="8388" spans="1:8" x14ac:dyDescent="0.2">
      <c r="A8388">
        <v>299046</v>
      </c>
      <c r="B8388">
        <v>39500</v>
      </c>
      <c r="C8388" t="str">
        <f t="shared" si="131"/>
        <v>2. $10K-50K</v>
      </c>
      <c r="D8388" t="s">
        <v>996</v>
      </c>
      <c r="E8388" t="s">
        <v>237</v>
      </c>
      <c r="F8388" t="s">
        <v>670</v>
      </c>
      <c r="G8388" t="s">
        <v>59</v>
      </c>
      <c r="H8388">
        <v>2025</v>
      </c>
    </row>
    <row r="8389" spans="1:8" x14ac:dyDescent="0.2">
      <c r="A8389">
        <v>299047</v>
      </c>
      <c r="B8389">
        <v>75646</v>
      </c>
      <c r="C8389" t="str">
        <f t="shared" si="131"/>
        <v>2. $10K-50K</v>
      </c>
      <c r="D8389" t="s">
        <v>708</v>
      </c>
      <c r="E8389" t="s">
        <v>237</v>
      </c>
      <c r="F8389" t="s">
        <v>670</v>
      </c>
      <c r="G8389" t="s">
        <v>59</v>
      </c>
      <c r="H8389">
        <v>2025</v>
      </c>
    </row>
    <row r="8390" spans="1:8" x14ac:dyDescent="0.2">
      <c r="A8390">
        <v>299048</v>
      </c>
      <c r="B8390">
        <v>57548</v>
      </c>
      <c r="C8390" t="str">
        <f t="shared" si="131"/>
        <v>3. $50K-250K</v>
      </c>
      <c r="D8390" t="s">
        <v>1559</v>
      </c>
      <c r="E8390" t="s">
        <v>237</v>
      </c>
      <c r="F8390" t="s">
        <v>670</v>
      </c>
      <c r="G8390" t="s">
        <v>59</v>
      </c>
      <c r="H8390">
        <v>2025</v>
      </c>
    </row>
    <row r="8391" spans="1:8" x14ac:dyDescent="0.2">
      <c r="A8391">
        <v>299049</v>
      </c>
      <c r="B8391">
        <v>1497980</v>
      </c>
      <c r="C8391" t="str">
        <f t="shared" si="131"/>
        <v>3. $50K-250K</v>
      </c>
      <c r="D8391" t="s">
        <v>41</v>
      </c>
      <c r="E8391" t="s">
        <v>237</v>
      </c>
      <c r="F8391" t="s">
        <v>670</v>
      </c>
      <c r="G8391" t="s">
        <v>59</v>
      </c>
      <c r="H8391">
        <v>2025</v>
      </c>
    </row>
    <row r="8392" spans="1:8" x14ac:dyDescent="0.2">
      <c r="A8392">
        <v>299052</v>
      </c>
      <c r="B8392">
        <v>40590</v>
      </c>
      <c r="C8392" t="str">
        <f t="shared" si="131"/>
        <v>5. $1M+</v>
      </c>
      <c r="D8392" t="s">
        <v>813</v>
      </c>
      <c r="E8392" t="s">
        <v>237</v>
      </c>
      <c r="F8392" t="s">
        <v>670</v>
      </c>
      <c r="G8392" t="s">
        <v>59</v>
      </c>
      <c r="H8392">
        <v>2025</v>
      </c>
    </row>
    <row r="8393" spans="1:8" x14ac:dyDescent="0.2">
      <c r="A8393">
        <v>299054</v>
      </c>
      <c r="B8393">
        <v>251658</v>
      </c>
      <c r="C8393" t="str">
        <f t="shared" si="131"/>
        <v>2. $10K-50K</v>
      </c>
      <c r="D8393" t="s">
        <v>813</v>
      </c>
      <c r="E8393" t="s">
        <v>237</v>
      </c>
      <c r="F8393" t="s">
        <v>670</v>
      </c>
      <c r="G8393" t="s">
        <v>59</v>
      </c>
      <c r="H8393">
        <v>2025</v>
      </c>
    </row>
    <row r="8394" spans="1:8" x14ac:dyDescent="0.2">
      <c r="A8394">
        <v>299057</v>
      </c>
      <c r="B8394">
        <v>87618</v>
      </c>
      <c r="C8394" t="str">
        <f t="shared" si="131"/>
        <v>4. $250K-1M</v>
      </c>
      <c r="D8394" t="s">
        <v>795</v>
      </c>
      <c r="E8394" t="s">
        <v>237</v>
      </c>
      <c r="F8394" t="s">
        <v>670</v>
      </c>
      <c r="G8394" t="s">
        <v>59</v>
      </c>
      <c r="H8394">
        <v>2025</v>
      </c>
    </row>
    <row r="8395" spans="1:8" x14ac:dyDescent="0.2">
      <c r="A8395">
        <v>29910</v>
      </c>
      <c r="B8395">
        <v>1500000</v>
      </c>
      <c r="C8395" t="str">
        <f t="shared" si="131"/>
        <v>3. $50K-250K</v>
      </c>
      <c r="D8395" t="s">
        <v>496</v>
      </c>
      <c r="E8395" t="s">
        <v>18</v>
      </c>
      <c r="F8395" t="s">
        <v>19</v>
      </c>
      <c r="G8395" t="s">
        <v>10</v>
      </c>
      <c r="H8395">
        <v>2024</v>
      </c>
    </row>
    <row r="8396" spans="1:8" x14ac:dyDescent="0.2">
      <c r="A8396">
        <v>299111</v>
      </c>
      <c r="B8396">
        <v>69000</v>
      </c>
      <c r="C8396" t="str">
        <f t="shared" si="131"/>
        <v>5. $1M+</v>
      </c>
      <c r="D8396" t="s">
        <v>799</v>
      </c>
      <c r="E8396" t="s">
        <v>237</v>
      </c>
      <c r="F8396" t="s">
        <v>670</v>
      </c>
      <c r="G8396" t="s">
        <v>59</v>
      </c>
      <c r="H8396">
        <v>2025</v>
      </c>
    </row>
    <row r="8397" spans="1:8" x14ac:dyDescent="0.2">
      <c r="A8397">
        <v>299112</v>
      </c>
      <c r="B8397">
        <v>483000</v>
      </c>
      <c r="C8397" t="str">
        <f t="shared" si="131"/>
        <v>3. $50K-250K</v>
      </c>
      <c r="D8397" t="s">
        <v>799</v>
      </c>
      <c r="E8397" t="s">
        <v>237</v>
      </c>
      <c r="F8397" t="s">
        <v>670</v>
      </c>
      <c r="G8397" t="s">
        <v>59</v>
      </c>
      <c r="H8397">
        <v>2025</v>
      </c>
    </row>
    <row r="8398" spans="1:8" x14ac:dyDescent="0.2">
      <c r="A8398">
        <v>299114</v>
      </c>
      <c r="B8398">
        <v>90000</v>
      </c>
      <c r="C8398" t="str">
        <f t="shared" si="131"/>
        <v>4. $250K-1M</v>
      </c>
      <c r="D8398" t="s">
        <v>908</v>
      </c>
      <c r="E8398" t="s">
        <v>237</v>
      </c>
      <c r="F8398" t="s">
        <v>670</v>
      </c>
      <c r="G8398" t="s">
        <v>59</v>
      </c>
      <c r="H8398">
        <v>2025</v>
      </c>
    </row>
    <row r="8399" spans="1:8" x14ac:dyDescent="0.2">
      <c r="A8399">
        <v>299117</v>
      </c>
      <c r="B8399">
        <v>87000</v>
      </c>
      <c r="C8399" t="str">
        <f t="shared" si="131"/>
        <v>3. $50K-250K</v>
      </c>
      <c r="D8399" t="s">
        <v>912</v>
      </c>
      <c r="E8399" t="s">
        <v>237</v>
      </c>
      <c r="F8399" t="s">
        <v>670</v>
      </c>
      <c r="G8399" t="s">
        <v>59</v>
      </c>
      <c r="H8399">
        <v>2025</v>
      </c>
    </row>
    <row r="8400" spans="1:8" x14ac:dyDescent="0.2">
      <c r="A8400">
        <v>299118</v>
      </c>
      <c r="B8400">
        <v>52800</v>
      </c>
      <c r="C8400" t="str">
        <f t="shared" si="131"/>
        <v>3. $50K-250K</v>
      </c>
      <c r="D8400" t="s">
        <v>861</v>
      </c>
      <c r="E8400" t="s">
        <v>237</v>
      </c>
      <c r="F8400" t="s">
        <v>670</v>
      </c>
      <c r="G8400" t="s">
        <v>59</v>
      </c>
      <c r="H8400">
        <v>2025</v>
      </c>
    </row>
    <row r="8401" spans="1:8" x14ac:dyDescent="0.2">
      <c r="A8401">
        <v>299119</v>
      </c>
      <c r="B8401">
        <v>86400</v>
      </c>
      <c r="C8401" t="str">
        <f t="shared" si="131"/>
        <v>3. $50K-250K</v>
      </c>
      <c r="D8401" t="s">
        <v>809</v>
      </c>
      <c r="E8401" t="s">
        <v>237</v>
      </c>
      <c r="F8401" t="s">
        <v>670</v>
      </c>
      <c r="G8401" t="s">
        <v>59</v>
      </c>
      <c r="H8401">
        <v>2025</v>
      </c>
    </row>
    <row r="8402" spans="1:8" x14ac:dyDescent="0.2">
      <c r="A8402">
        <v>299140</v>
      </c>
      <c r="B8402">
        <v>223760</v>
      </c>
      <c r="C8402" t="str">
        <f t="shared" si="131"/>
        <v>3. $50K-250K</v>
      </c>
      <c r="D8402" t="s">
        <v>817</v>
      </c>
      <c r="E8402" t="s">
        <v>99</v>
      </c>
      <c r="F8402" t="s">
        <v>670</v>
      </c>
      <c r="G8402" t="s">
        <v>44</v>
      </c>
      <c r="H8402">
        <v>2025</v>
      </c>
    </row>
    <row r="8403" spans="1:8" x14ac:dyDescent="0.2">
      <c r="A8403">
        <v>299141</v>
      </c>
      <c r="B8403">
        <v>128000</v>
      </c>
      <c r="C8403" t="str">
        <f t="shared" si="131"/>
        <v>3. $50K-250K</v>
      </c>
      <c r="D8403" t="s">
        <v>2505</v>
      </c>
      <c r="E8403" t="s">
        <v>99</v>
      </c>
      <c r="F8403" t="s">
        <v>670</v>
      </c>
      <c r="G8403" t="s">
        <v>44</v>
      </c>
      <c r="H8403">
        <v>2025</v>
      </c>
    </row>
    <row r="8404" spans="1:8" x14ac:dyDescent="0.2">
      <c r="A8404">
        <v>299142</v>
      </c>
      <c r="B8404">
        <v>202240</v>
      </c>
      <c r="C8404" t="str">
        <f t="shared" si="131"/>
        <v>3. $50K-250K</v>
      </c>
      <c r="D8404" t="s">
        <v>815</v>
      </c>
      <c r="E8404" t="s">
        <v>99</v>
      </c>
      <c r="F8404" t="s">
        <v>670</v>
      </c>
      <c r="G8404" t="s">
        <v>44</v>
      </c>
      <c r="H8404">
        <v>2025</v>
      </c>
    </row>
    <row r="8405" spans="1:8" x14ac:dyDescent="0.2">
      <c r="A8405">
        <v>299143</v>
      </c>
      <c r="B8405">
        <v>259822</v>
      </c>
      <c r="C8405" t="str">
        <f t="shared" si="131"/>
        <v>3. $50K-250K</v>
      </c>
      <c r="D8405" t="s">
        <v>944</v>
      </c>
      <c r="E8405" t="s">
        <v>99</v>
      </c>
      <c r="F8405" t="s">
        <v>670</v>
      </c>
      <c r="G8405" t="s">
        <v>44</v>
      </c>
      <c r="H8405">
        <v>2025</v>
      </c>
    </row>
    <row r="8406" spans="1:8" x14ac:dyDescent="0.2">
      <c r="A8406">
        <v>299144</v>
      </c>
      <c r="B8406">
        <v>196420</v>
      </c>
      <c r="C8406" t="str">
        <f t="shared" si="131"/>
        <v>4. $250K-1M</v>
      </c>
      <c r="D8406" t="s">
        <v>947</v>
      </c>
      <c r="E8406" t="s">
        <v>99</v>
      </c>
      <c r="F8406" t="s">
        <v>670</v>
      </c>
      <c r="G8406" t="s">
        <v>44</v>
      </c>
      <c r="H8406">
        <v>2025</v>
      </c>
    </row>
    <row r="8407" spans="1:8" x14ac:dyDescent="0.2">
      <c r="A8407">
        <v>299145</v>
      </c>
      <c r="B8407">
        <v>141874</v>
      </c>
      <c r="C8407" t="str">
        <f t="shared" si="131"/>
        <v>3. $50K-250K</v>
      </c>
      <c r="D8407" t="s">
        <v>942</v>
      </c>
      <c r="E8407" t="s">
        <v>99</v>
      </c>
      <c r="F8407" t="s">
        <v>670</v>
      </c>
      <c r="G8407" t="s">
        <v>44</v>
      </c>
      <c r="H8407">
        <v>2025</v>
      </c>
    </row>
    <row r="8408" spans="1:8" x14ac:dyDescent="0.2">
      <c r="A8408">
        <v>299146</v>
      </c>
      <c r="B8408">
        <v>174854</v>
      </c>
      <c r="C8408" t="str">
        <f t="shared" si="131"/>
        <v>3. $50K-250K</v>
      </c>
      <c r="D8408" t="s">
        <v>1467</v>
      </c>
      <c r="E8408" t="s">
        <v>99</v>
      </c>
      <c r="F8408" t="s">
        <v>670</v>
      </c>
      <c r="G8408" t="s">
        <v>44</v>
      </c>
      <c r="H8408">
        <v>2025</v>
      </c>
    </row>
    <row r="8409" spans="1:8" x14ac:dyDescent="0.2">
      <c r="A8409">
        <v>299147</v>
      </c>
      <c r="B8409">
        <v>80604</v>
      </c>
      <c r="C8409" t="str">
        <f t="shared" si="131"/>
        <v>3. $50K-250K</v>
      </c>
      <c r="D8409" t="s">
        <v>946</v>
      </c>
      <c r="E8409" t="s">
        <v>99</v>
      </c>
      <c r="F8409" t="s">
        <v>670</v>
      </c>
      <c r="G8409" t="s">
        <v>44</v>
      </c>
      <c r="H8409">
        <v>2025</v>
      </c>
    </row>
    <row r="8410" spans="1:8" x14ac:dyDescent="0.2">
      <c r="A8410">
        <v>299148</v>
      </c>
      <c r="B8410">
        <v>169930</v>
      </c>
      <c r="C8410" t="str">
        <f t="shared" si="131"/>
        <v>3. $50K-250K</v>
      </c>
      <c r="D8410" t="s">
        <v>940</v>
      </c>
      <c r="E8410" t="s">
        <v>99</v>
      </c>
      <c r="F8410" t="s">
        <v>670</v>
      </c>
      <c r="G8410" t="s">
        <v>44</v>
      </c>
      <c r="H8410">
        <v>2025</v>
      </c>
    </row>
    <row r="8411" spans="1:8" x14ac:dyDescent="0.2">
      <c r="A8411">
        <v>299149</v>
      </c>
      <c r="B8411">
        <v>222494</v>
      </c>
      <c r="C8411" t="str">
        <f t="shared" si="131"/>
        <v>3. $50K-250K</v>
      </c>
      <c r="D8411" t="s">
        <v>945</v>
      </c>
      <c r="E8411" t="s">
        <v>99</v>
      </c>
      <c r="F8411" t="s">
        <v>670</v>
      </c>
      <c r="G8411" t="s">
        <v>44</v>
      </c>
      <c r="H8411">
        <v>2025</v>
      </c>
    </row>
    <row r="8412" spans="1:8" x14ac:dyDescent="0.2">
      <c r="A8412">
        <v>299157</v>
      </c>
      <c r="B8412">
        <v>4110000</v>
      </c>
      <c r="C8412" t="str">
        <f t="shared" si="131"/>
        <v>3. $50K-250K</v>
      </c>
      <c r="D8412" t="s">
        <v>2506</v>
      </c>
      <c r="E8412" t="s">
        <v>99</v>
      </c>
      <c r="F8412" t="s">
        <v>670</v>
      </c>
      <c r="G8412" t="s">
        <v>44</v>
      </c>
      <c r="H8412">
        <v>2025</v>
      </c>
    </row>
    <row r="8413" spans="1:8" x14ac:dyDescent="0.2">
      <c r="A8413">
        <v>299159</v>
      </c>
      <c r="B8413">
        <v>137618565.30000001</v>
      </c>
      <c r="C8413" t="str">
        <f t="shared" si="131"/>
        <v>5. $1M+</v>
      </c>
      <c r="D8413" t="s">
        <v>172</v>
      </c>
      <c r="E8413" t="s">
        <v>8</v>
      </c>
      <c r="F8413" t="s">
        <v>9</v>
      </c>
      <c r="G8413" t="s">
        <v>10</v>
      </c>
      <c r="H8413">
        <v>2025</v>
      </c>
    </row>
    <row r="8414" spans="1:8" x14ac:dyDescent="0.2">
      <c r="A8414">
        <v>299194</v>
      </c>
      <c r="B8414">
        <v>5000000</v>
      </c>
      <c r="C8414" t="str">
        <f t="shared" si="131"/>
        <v>5. $1M+</v>
      </c>
      <c r="D8414" t="s">
        <v>852</v>
      </c>
      <c r="E8414" t="s">
        <v>237</v>
      </c>
      <c r="F8414" t="s">
        <v>670</v>
      </c>
      <c r="G8414" t="s">
        <v>59</v>
      </c>
      <c r="H8414">
        <v>2025</v>
      </c>
    </row>
    <row r="8415" spans="1:8" x14ac:dyDescent="0.2">
      <c r="A8415">
        <v>299228</v>
      </c>
      <c r="B8415">
        <v>200000</v>
      </c>
      <c r="C8415" t="str">
        <f t="shared" si="131"/>
        <v>5. $1M+</v>
      </c>
      <c r="D8415" t="s">
        <v>897</v>
      </c>
      <c r="E8415" t="s">
        <v>59</v>
      </c>
      <c r="F8415" t="s">
        <v>670</v>
      </c>
      <c r="G8415" t="s">
        <v>59</v>
      </c>
      <c r="H8415">
        <v>2025</v>
      </c>
    </row>
    <row r="8416" spans="1:8" x14ac:dyDescent="0.2">
      <c r="A8416">
        <v>299231</v>
      </c>
      <c r="B8416">
        <v>200000</v>
      </c>
      <c r="C8416" t="str">
        <f t="shared" si="131"/>
        <v>3. $50K-250K</v>
      </c>
      <c r="D8416" t="s">
        <v>821</v>
      </c>
      <c r="E8416" t="s">
        <v>59</v>
      </c>
      <c r="F8416" t="s">
        <v>670</v>
      </c>
      <c r="G8416" t="s">
        <v>59</v>
      </c>
      <c r="H8416">
        <v>2025</v>
      </c>
    </row>
    <row r="8417" spans="1:8" x14ac:dyDescent="0.2">
      <c r="A8417">
        <v>299234</v>
      </c>
      <c r="B8417">
        <v>300000</v>
      </c>
      <c r="C8417" t="str">
        <f t="shared" si="131"/>
        <v>3. $50K-250K</v>
      </c>
      <c r="D8417" t="s">
        <v>868</v>
      </c>
      <c r="E8417" t="s">
        <v>59</v>
      </c>
      <c r="F8417" t="s">
        <v>670</v>
      </c>
      <c r="G8417" t="s">
        <v>59</v>
      </c>
      <c r="H8417">
        <v>2025</v>
      </c>
    </row>
    <row r="8418" spans="1:8" x14ac:dyDescent="0.2">
      <c r="A8418">
        <v>299236</v>
      </c>
      <c r="B8418">
        <v>55000</v>
      </c>
      <c r="C8418" t="str">
        <f t="shared" si="131"/>
        <v>4. $250K-1M</v>
      </c>
      <c r="D8418" t="s">
        <v>1453</v>
      </c>
      <c r="E8418" t="s">
        <v>819</v>
      </c>
      <c r="F8418" t="s">
        <v>670</v>
      </c>
      <c r="G8418" t="s">
        <v>44</v>
      </c>
      <c r="H8418">
        <v>2025</v>
      </c>
    </row>
    <row r="8419" spans="1:8" x14ac:dyDescent="0.2">
      <c r="A8419">
        <v>299237</v>
      </c>
      <c r="B8419">
        <v>25000</v>
      </c>
      <c r="C8419" t="str">
        <f t="shared" si="131"/>
        <v>3. $50K-250K</v>
      </c>
      <c r="D8419" t="s">
        <v>1459</v>
      </c>
      <c r="E8419" t="s">
        <v>819</v>
      </c>
      <c r="F8419" t="s">
        <v>670</v>
      </c>
      <c r="G8419" t="s">
        <v>44</v>
      </c>
      <c r="H8419">
        <v>2025</v>
      </c>
    </row>
    <row r="8420" spans="1:8" x14ac:dyDescent="0.2">
      <c r="A8420">
        <v>299238</v>
      </c>
      <c r="B8420">
        <v>45000</v>
      </c>
      <c r="C8420" t="str">
        <f t="shared" si="131"/>
        <v>2. $10K-50K</v>
      </c>
      <c r="D8420" t="s">
        <v>1461</v>
      </c>
      <c r="E8420" t="s">
        <v>819</v>
      </c>
      <c r="F8420" t="s">
        <v>670</v>
      </c>
      <c r="G8420" t="s">
        <v>44</v>
      </c>
      <c r="H8420">
        <v>2025</v>
      </c>
    </row>
    <row r="8421" spans="1:8" x14ac:dyDescent="0.2">
      <c r="A8421">
        <v>299239</v>
      </c>
      <c r="B8421">
        <v>25000</v>
      </c>
      <c r="C8421" t="str">
        <f t="shared" si="131"/>
        <v>2. $10K-50K</v>
      </c>
      <c r="D8421" t="s">
        <v>2505</v>
      </c>
      <c r="E8421" t="s">
        <v>819</v>
      </c>
      <c r="F8421" t="s">
        <v>670</v>
      </c>
      <c r="G8421" t="s">
        <v>44</v>
      </c>
      <c r="H8421">
        <v>2025</v>
      </c>
    </row>
    <row r="8422" spans="1:8" x14ac:dyDescent="0.2">
      <c r="A8422">
        <v>299240</v>
      </c>
      <c r="B8422">
        <v>50000</v>
      </c>
      <c r="C8422" t="str">
        <f t="shared" si="131"/>
        <v>2. $10K-50K</v>
      </c>
      <c r="D8422" t="s">
        <v>1434</v>
      </c>
      <c r="E8422" t="s">
        <v>819</v>
      </c>
      <c r="F8422" t="s">
        <v>670</v>
      </c>
      <c r="G8422" t="s">
        <v>44</v>
      </c>
      <c r="H8422">
        <v>2025</v>
      </c>
    </row>
    <row r="8423" spans="1:8" x14ac:dyDescent="0.2">
      <c r="A8423">
        <v>299241</v>
      </c>
      <c r="B8423">
        <v>25000</v>
      </c>
      <c r="C8423" t="str">
        <f t="shared" si="131"/>
        <v>3. $50K-250K</v>
      </c>
      <c r="D8423" t="s">
        <v>1455</v>
      </c>
      <c r="E8423" t="s">
        <v>819</v>
      </c>
      <c r="F8423" t="s">
        <v>670</v>
      </c>
      <c r="G8423" t="s">
        <v>44</v>
      </c>
      <c r="H8423">
        <v>2025</v>
      </c>
    </row>
    <row r="8424" spans="1:8" x14ac:dyDescent="0.2">
      <c r="A8424">
        <v>299242</v>
      </c>
      <c r="B8424">
        <v>70000</v>
      </c>
      <c r="C8424" t="str">
        <f t="shared" si="131"/>
        <v>2. $10K-50K</v>
      </c>
      <c r="D8424" t="s">
        <v>1358</v>
      </c>
      <c r="E8424" t="s">
        <v>819</v>
      </c>
      <c r="F8424" t="s">
        <v>670</v>
      </c>
      <c r="G8424" t="s">
        <v>44</v>
      </c>
      <c r="H8424">
        <v>2025</v>
      </c>
    </row>
    <row r="8425" spans="1:8" x14ac:dyDescent="0.2">
      <c r="A8425">
        <v>299243</v>
      </c>
      <c r="B8425">
        <v>125000</v>
      </c>
      <c r="C8425" t="str">
        <f t="shared" si="131"/>
        <v>3. $50K-250K</v>
      </c>
      <c r="D8425" t="s">
        <v>943</v>
      </c>
      <c r="E8425" t="s">
        <v>819</v>
      </c>
      <c r="F8425" t="s">
        <v>670</v>
      </c>
      <c r="G8425" t="s">
        <v>44</v>
      </c>
      <c r="H8425">
        <v>2025</v>
      </c>
    </row>
    <row r="8426" spans="1:8" x14ac:dyDescent="0.2">
      <c r="A8426">
        <v>299244</v>
      </c>
      <c r="B8426">
        <v>25000</v>
      </c>
      <c r="C8426" t="str">
        <f t="shared" si="131"/>
        <v>3. $50K-250K</v>
      </c>
      <c r="D8426" t="s">
        <v>2507</v>
      </c>
      <c r="E8426" t="s">
        <v>819</v>
      </c>
      <c r="F8426" t="s">
        <v>670</v>
      </c>
      <c r="G8426" t="s">
        <v>44</v>
      </c>
      <c r="H8426">
        <v>2025</v>
      </c>
    </row>
    <row r="8427" spans="1:8" x14ac:dyDescent="0.2">
      <c r="A8427">
        <v>299245</v>
      </c>
      <c r="B8427">
        <v>35000</v>
      </c>
      <c r="C8427" t="str">
        <f t="shared" si="131"/>
        <v>2. $10K-50K</v>
      </c>
      <c r="D8427" t="s">
        <v>1431</v>
      </c>
      <c r="E8427" t="s">
        <v>819</v>
      </c>
      <c r="F8427" t="s">
        <v>670</v>
      </c>
      <c r="G8427" t="s">
        <v>44</v>
      </c>
      <c r="H8427">
        <v>2025</v>
      </c>
    </row>
    <row r="8428" spans="1:8" x14ac:dyDescent="0.2">
      <c r="A8428">
        <v>299246</v>
      </c>
      <c r="B8428">
        <v>40000</v>
      </c>
      <c r="C8428" t="str">
        <f t="shared" si="131"/>
        <v>2. $10K-50K</v>
      </c>
      <c r="D8428" t="s">
        <v>920</v>
      </c>
      <c r="E8428" t="s">
        <v>819</v>
      </c>
      <c r="F8428" t="s">
        <v>670</v>
      </c>
      <c r="G8428" t="s">
        <v>44</v>
      </c>
      <c r="H8428">
        <v>2025</v>
      </c>
    </row>
    <row r="8429" spans="1:8" x14ac:dyDescent="0.2">
      <c r="A8429">
        <v>299248</v>
      </c>
      <c r="B8429">
        <v>65000</v>
      </c>
      <c r="C8429" t="str">
        <f t="shared" si="131"/>
        <v>2. $10K-50K</v>
      </c>
      <c r="D8429" t="s">
        <v>817</v>
      </c>
      <c r="E8429" t="s">
        <v>819</v>
      </c>
      <c r="F8429" t="s">
        <v>670</v>
      </c>
      <c r="G8429" t="s">
        <v>44</v>
      </c>
      <c r="H8429">
        <v>2025</v>
      </c>
    </row>
    <row r="8430" spans="1:8" x14ac:dyDescent="0.2">
      <c r="A8430">
        <v>299249</v>
      </c>
      <c r="B8430">
        <v>55000</v>
      </c>
      <c r="C8430" t="str">
        <f t="shared" si="131"/>
        <v>3. $50K-250K</v>
      </c>
      <c r="D8430" t="s">
        <v>1173</v>
      </c>
      <c r="E8430" t="s">
        <v>819</v>
      </c>
      <c r="F8430" t="s">
        <v>670</v>
      </c>
      <c r="G8430" t="s">
        <v>44</v>
      </c>
      <c r="H8430">
        <v>2025</v>
      </c>
    </row>
    <row r="8431" spans="1:8" x14ac:dyDescent="0.2">
      <c r="A8431">
        <v>299250</v>
      </c>
      <c r="B8431">
        <v>70000</v>
      </c>
      <c r="C8431" t="str">
        <f t="shared" si="131"/>
        <v>3. $50K-250K</v>
      </c>
      <c r="D8431" t="s">
        <v>1456</v>
      </c>
      <c r="E8431" t="s">
        <v>819</v>
      </c>
      <c r="F8431" t="s">
        <v>670</v>
      </c>
      <c r="G8431" t="s">
        <v>44</v>
      </c>
      <c r="H8431">
        <v>2025</v>
      </c>
    </row>
    <row r="8432" spans="1:8" x14ac:dyDescent="0.2">
      <c r="A8432">
        <v>299251</v>
      </c>
      <c r="B8432">
        <v>40000</v>
      </c>
      <c r="C8432" t="str">
        <f t="shared" si="131"/>
        <v>3. $50K-250K</v>
      </c>
      <c r="D8432" t="s">
        <v>1450</v>
      </c>
      <c r="E8432" t="s">
        <v>819</v>
      </c>
      <c r="F8432" t="s">
        <v>670</v>
      </c>
      <c r="G8432" t="s">
        <v>44</v>
      </c>
      <c r="H8432">
        <v>2025</v>
      </c>
    </row>
    <row r="8433" spans="1:8" x14ac:dyDescent="0.2">
      <c r="A8433">
        <v>299252</v>
      </c>
      <c r="B8433">
        <v>45000</v>
      </c>
      <c r="C8433" t="str">
        <f t="shared" si="131"/>
        <v>2. $10K-50K</v>
      </c>
      <c r="D8433" t="s">
        <v>946</v>
      </c>
      <c r="E8433" t="s">
        <v>819</v>
      </c>
      <c r="F8433" t="s">
        <v>670</v>
      </c>
      <c r="G8433" t="s">
        <v>44</v>
      </c>
      <c r="H8433">
        <v>2025</v>
      </c>
    </row>
    <row r="8434" spans="1:8" x14ac:dyDescent="0.2">
      <c r="A8434">
        <v>299253</v>
      </c>
      <c r="B8434">
        <v>65000</v>
      </c>
      <c r="C8434" t="str">
        <f t="shared" si="131"/>
        <v>2. $10K-50K</v>
      </c>
      <c r="D8434" t="s">
        <v>967</v>
      </c>
      <c r="E8434" t="s">
        <v>819</v>
      </c>
      <c r="F8434" t="s">
        <v>670</v>
      </c>
      <c r="G8434" t="s">
        <v>44</v>
      </c>
      <c r="H8434">
        <v>2025</v>
      </c>
    </row>
    <row r="8435" spans="1:8" x14ac:dyDescent="0.2">
      <c r="A8435">
        <v>299254</v>
      </c>
      <c r="B8435">
        <v>100000</v>
      </c>
      <c r="C8435" t="str">
        <f t="shared" si="131"/>
        <v>3. $50K-250K</v>
      </c>
      <c r="D8435" t="s">
        <v>957</v>
      </c>
      <c r="E8435" t="s">
        <v>819</v>
      </c>
      <c r="F8435" t="s">
        <v>670</v>
      </c>
      <c r="G8435" t="s">
        <v>44</v>
      </c>
      <c r="H8435">
        <v>2025</v>
      </c>
    </row>
    <row r="8436" spans="1:8" x14ac:dyDescent="0.2">
      <c r="A8436">
        <v>299255</v>
      </c>
      <c r="B8436">
        <v>40000</v>
      </c>
      <c r="C8436" t="str">
        <f t="shared" si="131"/>
        <v>3. $50K-250K</v>
      </c>
      <c r="D8436" t="s">
        <v>1441</v>
      </c>
      <c r="E8436" t="s">
        <v>819</v>
      </c>
      <c r="F8436" t="s">
        <v>670</v>
      </c>
      <c r="G8436" t="s">
        <v>44</v>
      </c>
      <c r="H8436">
        <v>2025</v>
      </c>
    </row>
    <row r="8437" spans="1:8" x14ac:dyDescent="0.2">
      <c r="A8437">
        <v>299256</v>
      </c>
      <c r="B8437">
        <v>60000</v>
      </c>
      <c r="C8437" t="str">
        <f t="shared" si="131"/>
        <v>2. $10K-50K</v>
      </c>
      <c r="D8437" t="s">
        <v>958</v>
      </c>
      <c r="E8437" t="s">
        <v>819</v>
      </c>
      <c r="F8437" t="s">
        <v>670</v>
      </c>
      <c r="G8437" t="s">
        <v>44</v>
      </c>
      <c r="H8437">
        <v>2025</v>
      </c>
    </row>
    <row r="8438" spans="1:8" x14ac:dyDescent="0.2">
      <c r="A8438">
        <v>299257</v>
      </c>
      <c r="B8438">
        <v>20000</v>
      </c>
      <c r="C8438" t="str">
        <f t="shared" si="131"/>
        <v>3. $50K-250K</v>
      </c>
      <c r="D8438" t="s">
        <v>1439</v>
      </c>
      <c r="E8438" t="s">
        <v>819</v>
      </c>
      <c r="F8438" t="s">
        <v>670</v>
      </c>
      <c r="G8438" t="s">
        <v>44</v>
      </c>
      <c r="H8438">
        <v>2025</v>
      </c>
    </row>
    <row r="8439" spans="1:8" x14ac:dyDescent="0.2">
      <c r="A8439">
        <v>299258</v>
      </c>
      <c r="B8439">
        <v>67000</v>
      </c>
      <c r="C8439" t="str">
        <f t="shared" si="131"/>
        <v>2. $10K-50K</v>
      </c>
      <c r="D8439" t="s">
        <v>804</v>
      </c>
      <c r="E8439" t="s">
        <v>819</v>
      </c>
      <c r="F8439" t="s">
        <v>670</v>
      </c>
      <c r="G8439" t="s">
        <v>44</v>
      </c>
      <c r="H8439">
        <v>2025</v>
      </c>
    </row>
    <row r="8440" spans="1:8" x14ac:dyDescent="0.2">
      <c r="A8440">
        <v>299259</v>
      </c>
      <c r="B8440">
        <v>50000</v>
      </c>
      <c r="C8440" t="str">
        <f t="shared" si="131"/>
        <v>3. $50K-250K</v>
      </c>
      <c r="D8440" t="s">
        <v>1437</v>
      </c>
      <c r="E8440" t="s">
        <v>819</v>
      </c>
      <c r="F8440" t="s">
        <v>670</v>
      </c>
      <c r="G8440" t="s">
        <v>44</v>
      </c>
      <c r="H8440">
        <v>2025</v>
      </c>
    </row>
    <row r="8441" spans="1:8" x14ac:dyDescent="0.2">
      <c r="A8441">
        <v>299260</v>
      </c>
      <c r="B8441">
        <v>25000</v>
      </c>
      <c r="C8441" t="str">
        <f t="shared" si="131"/>
        <v>3. $50K-250K</v>
      </c>
      <c r="D8441" t="s">
        <v>992</v>
      </c>
      <c r="E8441" t="s">
        <v>819</v>
      </c>
      <c r="F8441" t="s">
        <v>670</v>
      </c>
      <c r="G8441" t="s">
        <v>44</v>
      </c>
      <c r="H8441">
        <v>2025</v>
      </c>
    </row>
    <row r="8442" spans="1:8" x14ac:dyDescent="0.2">
      <c r="A8442">
        <v>299261</v>
      </c>
      <c r="B8442">
        <v>40000</v>
      </c>
      <c r="C8442" t="str">
        <f t="shared" si="131"/>
        <v>2. $10K-50K</v>
      </c>
      <c r="D8442" t="s">
        <v>1447</v>
      </c>
      <c r="E8442" t="s">
        <v>819</v>
      </c>
      <c r="F8442" t="s">
        <v>670</v>
      </c>
      <c r="G8442" t="s">
        <v>44</v>
      </c>
      <c r="H8442">
        <v>2025</v>
      </c>
    </row>
    <row r="8443" spans="1:8" x14ac:dyDescent="0.2">
      <c r="A8443">
        <v>299262</v>
      </c>
      <c r="B8443">
        <v>40000</v>
      </c>
      <c r="C8443" t="str">
        <f t="shared" si="131"/>
        <v>2. $10K-50K</v>
      </c>
      <c r="D8443" t="s">
        <v>1443</v>
      </c>
      <c r="E8443" t="s">
        <v>819</v>
      </c>
      <c r="F8443" t="s">
        <v>670</v>
      </c>
      <c r="G8443" t="s">
        <v>44</v>
      </c>
      <c r="H8443">
        <v>2025</v>
      </c>
    </row>
    <row r="8444" spans="1:8" x14ac:dyDescent="0.2">
      <c r="A8444">
        <v>299263</v>
      </c>
      <c r="B8444">
        <v>40000</v>
      </c>
      <c r="C8444" t="str">
        <f t="shared" si="131"/>
        <v>2. $10K-50K</v>
      </c>
      <c r="D8444" t="s">
        <v>818</v>
      </c>
      <c r="E8444" t="s">
        <v>819</v>
      </c>
      <c r="F8444" t="s">
        <v>670</v>
      </c>
      <c r="G8444" t="s">
        <v>44</v>
      </c>
      <c r="H8444">
        <v>2025</v>
      </c>
    </row>
    <row r="8445" spans="1:8" x14ac:dyDescent="0.2">
      <c r="A8445">
        <v>299264</v>
      </c>
      <c r="B8445">
        <v>25000</v>
      </c>
      <c r="C8445" t="str">
        <f t="shared" si="131"/>
        <v>2. $10K-50K</v>
      </c>
      <c r="D8445" t="s">
        <v>1005</v>
      </c>
      <c r="E8445" t="s">
        <v>819</v>
      </c>
      <c r="F8445" t="s">
        <v>670</v>
      </c>
      <c r="G8445" t="s">
        <v>44</v>
      </c>
      <c r="H8445">
        <v>2025</v>
      </c>
    </row>
    <row r="8446" spans="1:8" x14ac:dyDescent="0.2">
      <c r="A8446">
        <v>299265</v>
      </c>
      <c r="B8446">
        <v>75000</v>
      </c>
      <c r="C8446" t="str">
        <f t="shared" si="131"/>
        <v>2. $10K-50K</v>
      </c>
      <c r="D8446" t="s">
        <v>1387</v>
      </c>
      <c r="E8446" t="s">
        <v>819</v>
      </c>
      <c r="F8446" t="s">
        <v>670</v>
      </c>
      <c r="G8446" t="s">
        <v>44</v>
      </c>
      <c r="H8446">
        <v>2025</v>
      </c>
    </row>
    <row r="8447" spans="1:8" x14ac:dyDescent="0.2">
      <c r="A8447">
        <v>299266</v>
      </c>
      <c r="B8447">
        <v>45000</v>
      </c>
      <c r="C8447" t="str">
        <f t="shared" si="131"/>
        <v>3. $50K-250K</v>
      </c>
      <c r="D8447" t="s">
        <v>1438</v>
      </c>
      <c r="E8447" t="s">
        <v>819</v>
      </c>
      <c r="F8447" t="s">
        <v>670</v>
      </c>
      <c r="G8447" t="s">
        <v>44</v>
      </c>
      <c r="H8447">
        <v>2025</v>
      </c>
    </row>
    <row r="8448" spans="1:8" x14ac:dyDescent="0.2">
      <c r="A8448">
        <v>299267</v>
      </c>
      <c r="B8448">
        <v>50000</v>
      </c>
      <c r="C8448" t="str">
        <f t="shared" si="131"/>
        <v>2. $10K-50K</v>
      </c>
      <c r="D8448" t="s">
        <v>1466</v>
      </c>
      <c r="E8448" t="s">
        <v>819</v>
      </c>
      <c r="F8448" t="s">
        <v>670</v>
      </c>
      <c r="G8448" t="s">
        <v>44</v>
      </c>
      <c r="H8448">
        <v>2025</v>
      </c>
    </row>
    <row r="8449" spans="1:8" x14ac:dyDescent="0.2">
      <c r="A8449">
        <v>299268</v>
      </c>
      <c r="B8449">
        <v>25000</v>
      </c>
      <c r="C8449" t="str">
        <f t="shared" si="131"/>
        <v>3. $50K-250K</v>
      </c>
      <c r="D8449" t="s">
        <v>1444</v>
      </c>
      <c r="E8449" t="s">
        <v>819</v>
      </c>
      <c r="F8449" t="s">
        <v>670</v>
      </c>
      <c r="G8449" t="s">
        <v>44</v>
      </c>
      <c r="H8449">
        <v>2025</v>
      </c>
    </row>
    <row r="8450" spans="1:8" x14ac:dyDescent="0.2">
      <c r="A8450">
        <v>299269</v>
      </c>
      <c r="B8450">
        <v>40000</v>
      </c>
      <c r="C8450" t="str">
        <f t="shared" si="131"/>
        <v>2. $10K-50K</v>
      </c>
      <c r="D8450" t="s">
        <v>1435</v>
      </c>
      <c r="E8450" t="s">
        <v>819</v>
      </c>
      <c r="F8450" t="s">
        <v>670</v>
      </c>
      <c r="G8450" t="s">
        <v>44</v>
      </c>
      <c r="H8450">
        <v>2025</v>
      </c>
    </row>
    <row r="8451" spans="1:8" x14ac:dyDescent="0.2">
      <c r="A8451">
        <v>299270</v>
      </c>
      <c r="B8451">
        <v>55000</v>
      </c>
      <c r="C8451" t="str">
        <f t="shared" ref="C8451:C8514" si="132">IF(B8450&lt;10000,"1. Under $10K",IF(B8450&lt;50000,"2. $10K-50K",IF(B8450&lt;250000,"3. $50K-250K",IF(B8450&lt;1000000,"4. $250K-1M","5. $1M+"))))</f>
        <v>2. $10K-50K</v>
      </c>
      <c r="D8451" t="s">
        <v>1424</v>
      </c>
      <c r="E8451" t="s">
        <v>819</v>
      </c>
      <c r="F8451" t="s">
        <v>670</v>
      </c>
      <c r="G8451" t="s">
        <v>44</v>
      </c>
      <c r="H8451">
        <v>2025</v>
      </c>
    </row>
    <row r="8452" spans="1:8" x14ac:dyDescent="0.2">
      <c r="A8452">
        <v>299271</v>
      </c>
      <c r="B8452">
        <v>75000</v>
      </c>
      <c r="C8452" t="str">
        <f t="shared" si="132"/>
        <v>3. $50K-250K</v>
      </c>
      <c r="D8452" t="s">
        <v>1449</v>
      </c>
      <c r="E8452" t="s">
        <v>819</v>
      </c>
      <c r="F8452" t="s">
        <v>670</v>
      </c>
      <c r="G8452" t="s">
        <v>44</v>
      </c>
      <c r="H8452">
        <v>2025</v>
      </c>
    </row>
    <row r="8453" spans="1:8" x14ac:dyDescent="0.2">
      <c r="A8453">
        <v>299272</v>
      </c>
      <c r="B8453">
        <v>40000</v>
      </c>
      <c r="C8453" t="str">
        <f t="shared" si="132"/>
        <v>3. $50K-250K</v>
      </c>
      <c r="D8453" t="s">
        <v>1609</v>
      </c>
      <c r="E8453" t="s">
        <v>819</v>
      </c>
      <c r="F8453" t="s">
        <v>670</v>
      </c>
      <c r="G8453" t="s">
        <v>44</v>
      </c>
      <c r="H8453">
        <v>2025</v>
      </c>
    </row>
    <row r="8454" spans="1:8" x14ac:dyDescent="0.2">
      <c r="A8454">
        <v>299273</v>
      </c>
      <c r="B8454">
        <v>100000</v>
      </c>
      <c r="C8454" t="str">
        <f t="shared" si="132"/>
        <v>2. $10K-50K</v>
      </c>
      <c r="D8454" t="s">
        <v>501</v>
      </c>
      <c r="E8454" t="s">
        <v>819</v>
      </c>
      <c r="F8454" t="s">
        <v>670</v>
      </c>
      <c r="G8454" t="s">
        <v>44</v>
      </c>
      <c r="H8454">
        <v>2025</v>
      </c>
    </row>
    <row r="8455" spans="1:8" x14ac:dyDescent="0.2">
      <c r="A8455">
        <v>299274</v>
      </c>
      <c r="B8455">
        <v>40000</v>
      </c>
      <c r="C8455" t="str">
        <f t="shared" si="132"/>
        <v>3. $50K-250K</v>
      </c>
      <c r="D8455" t="s">
        <v>2172</v>
      </c>
      <c r="E8455" t="s">
        <v>819</v>
      </c>
      <c r="F8455" t="s">
        <v>670</v>
      </c>
      <c r="G8455" t="s">
        <v>44</v>
      </c>
      <c r="H8455">
        <v>2025</v>
      </c>
    </row>
    <row r="8456" spans="1:8" x14ac:dyDescent="0.2">
      <c r="A8456">
        <v>299275</v>
      </c>
      <c r="B8456">
        <v>30000</v>
      </c>
      <c r="C8456" t="str">
        <f t="shared" si="132"/>
        <v>2. $10K-50K</v>
      </c>
      <c r="D8456" t="s">
        <v>1457</v>
      </c>
      <c r="E8456" t="s">
        <v>819</v>
      </c>
      <c r="F8456" t="s">
        <v>670</v>
      </c>
      <c r="G8456" t="s">
        <v>44</v>
      </c>
      <c r="H8456">
        <v>2025</v>
      </c>
    </row>
    <row r="8457" spans="1:8" x14ac:dyDescent="0.2">
      <c r="A8457">
        <v>299276</v>
      </c>
      <c r="B8457">
        <v>50000</v>
      </c>
      <c r="C8457" t="str">
        <f t="shared" si="132"/>
        <v>2. $10K-50K</v>
      </c>
      <c r="D8457" t="s">
        <v>942</v>
      </c>
      <c r="E8457" t="s">
        <v>819</v>
      </c>
      <c r="F8457" t="s">
        <v>670</v>
      </c>
      <c r="G8457" t="s">
        <v>44</v>
      </c>
      <c r="H8457">
        <v>2025</v>
      </c>
    </row>
    <row r="8458" spans="1:8" x14ac:dyDescent="0.2">
      <c r="A8458">
        <v>299277</v>
      </c>
      <c r="B8458">
        <v>60000</v>
      </c>
      <c r="C8458" t="str">
        <f t="shared" si="132"/>
        <v>3. $50K-250K</v>
      </c>
      <c r="D8458" t="s">
        <v>880</v>
      </c>
      <c r="E8458" t="s">
        <v>819</v>
      </c>
      <c r="F8458" t="s">
        <v>670</v>
      </c>
      <c r="G8458" t="s">
        <v>44</v>
      </c>
      <c r="H8458">
        <v>2025</v>
      </c>
    </row>
    <row r="8459" spans="1:8" x14ac:dyDescent="0.2">
      <c r="A8459">
        <v>299278</v>
      </c>
      <c r="B8459">
        <v>50000</v>
      </c>
      <c r="C8459" t="str">
        <f t="shared" si="132"/>
        <v>3. $50K-250K</v>
      </c>
      <c r="D8459" t="s">
        <v>919</v>
      </c>
      <c r="E8459" t="s">
        <v>819</v>
      </c>
      <c r="F8459" t="s">
        <v>670</v>
      </c>
      <c r="G8459" t="s">
        <v>44</v>
      </c>
      <c r="H8459">
        <v>2025</v>
      </c>
    </row>
    <row r="8460" spans="1:8" x14ac:dyDescent="0.2">
      <c r="A8460">
        <v>299279</v>
      </c>
      <c r="B8460">
        <v>110000</v>
      </c>
      <c r="C8460" t="str">
        <f t="shared" si="132"/>
        <v>3. $50K-250K</v>
      </c>
      <c r="D8460" t="s">
        <v>956</v>
      </c>
      <c r="E8460" t="s">
        <v>819</v>
      </c>
      <c r="F8460" t="s">
        <v>670</v>
      </c>
      <c r="G8460" t="s">
        <v>44</v>
      </c>
      <c r="H8460">
        <v>2025</v>
      </c>
    </row>
    <row r="8461" spans="1:8" x14ac:dyDescent="0.2">
      <c r="A8461">
        <v>299280</v>
      </c>
      <c r="B8461">
        <v>40000</v>
      </c>
      <c r="C8461" t="str">
        <f t="shared" si="132"/>
        <v>3. $50K-250K</v>
      </c>
      <c r="D8461" t="s">
        <v>1458</v>
      </c>
      <c r="E8461" t="s">
        <v>819</v>
      </c>
      <c r="F8461" t="s">
        <v>670</v>
      </c>
      <c r="G8461" t="s">
        <v>44</v>
      </c>
      <c r="H8461">
        <v>2025</v>
      </c>
    </row>
    <row r="8462" spans="1:8" x14ac:dyDescent="0.2">
      <c r="A8462">
        <v>299281</v>
      </c>
      <c r="B8462">
        <v>30000</v>
      </c>
      <c r="C8462" t="str">
        <f t="shared" si="132"/>
        <v>2. $10K-50K</v>
      </c>
      <c r="D8462" t="s">
        <v>1008</v>
      </c>
      <c r="E8462" t="s">
        <v>819</v>
      </c>
      <c r="F8462" t="s">
        <v>670</v>
      </c>
      <c r="G8462" t="s">
        <v>44</v>
      </c>
      <c r="H8462">
        <v>2025</v>
      </c>
    </row>
    <row r="8463" spans="1:8" x14ac:dyDescent="0.2">
      <c r="A8463">
        <v>299282</v>
      </c>
      <c r="B8463">
        <v>130000</v>
      </c>
      <c r="C8463" t="str">
        <f t="shared" si="132"/>
        <v>2. $10K-50K</v>
      </c>
      <c r="D8463" t="s">
        <v>1443</v>
      </c>
      <c r="E8463" t="s">
        <v>819</v>
      </c>
      <c r="F8463" t="s">
        <v>670</v>
      </c>
      <c r="G8463" t="s">
        <v>44</v>
      </c>
      <c r="H8463">
        <v>2025</v>
      </c>
    </row>
    <row r="8464" spans="1:8" x14ac:dyDescent="0.2">
      <c r="A8464">
        <v>299283</v>
      </c>
      <c r="B8464">
        <v>50000</v>
      </c>
      <c r="C8464" t="str">
        <f t="shared" si="132"/>
        <v>3. $50K-250K</v>
      </c>
      <c r="D8464" t="s">
        <v>1464</v>
      </c>
      <c r="E8464" t="s">
        <v>819</v>
      </c>
      <c r="F8464" t="s">
        <v>670</v>
      </c>
      <c r="G8464" t="s">
        <v>44</v>
      </c>
      <c r="H8464">
        <v>2025</v>
      </c>
    </row>
    <row r="8465" spans="1:8" x14ac:dyDescent="0.2">
      <c r="A8465">
        <v>299284</v>
      </c>
      <c r="B8465">
        <v>50000</v>
      </c>
      <c r="C8465" t="str">
        <f t="shared" si="132"/>
        <v>3. $50K-250K</v>
      </c>
      <c r="D8465" t="s">
        <v>1454</v>
      </c>
      <c r="E8465" t="s">
        <v>819</v>
      </c>
      <c r="F8465" t="s">
        <v>670</v>
      </c>
      <c r="G8465" t="s">
        <v>44</v>
      </c>
      <c r="H8465">
        <v>2025</v>
      </c>
    </row>
    <row r="8466" spans="1:8" x14ac:dyDescent="0.2">
      <c r="A8466">
        <v>299285</v>
      </c>
      <c r="B8466">
        <v>40000</v>
      </c>
      <c r="C8466" t="str">
        <f t="shared" si="132"/>
        <v>3. $50K-250K</v>
      </c>
      <c r="D8466" t="s">
        <v>1433</v>
      </c>
      <c r="E8466" t="s">
        <v>819</v>
      </c>
      <c r="F8466" t="s">
        <v>670</v>
      </c>
      <c r="G8466" t="s">
        <v>44</v>
      </c>
      <c r="H8466">
        <v>2025</v>
      </c>
    </row>
    <row r="8467" spans="1:8" x14ac:dyDescent="0.2">
      <c r="A8467">
        <v>299286</v>
      </c>
      <c r="B8467">
        <v>45000</v>
      </c>
      <c r="C8467" t="str">
        <f t="shared" si="132"/>
        <v>2. $10K-50K</v>
      </c>
      <c r="D8467" t="s">
        <v>2123</v>
      </c>
      <c r="E8467" t="s">
        <v>819</v>
      </c>
      <c r="F8467" t="s">
        <v>670</v>
      </c>
      <c r="G8467" t="s">
        <v>44</v>
      </c>
      <c r="H8467">
        <v>2025</v>
      </c>
    </row>
    <row r="8468" spans="1:8" x14ac:dyDescent="0.2">
      <c r="A8468">
        <v>299287</v>
      </c>
      <c r="B8468">
        <v>25000</v>
      </c>
      <c r="C8468" t="str">
        <f t="shared" si="132"/>
        <v>2. $10K-50K</v>
      </c>
      <c r="D8468" t="s">
        <v>1445</v>
      </c>
      <c r="E8468" t="s">
        <v>819</v>
      </c>
      <c r="F8468" t="s">
        <v>670</v>
      </c>
      <c r="G8468" t="s">
        <v>44</v>
      </c>
      <c r="H8468">
        <v>2025</v>
      </c>
    </row>
    <row r="8469" spans="1:8" x14ac:dyDescent="0.2">
      <c r="A8469">
        <v>299288</v>
      </c>
      <c r="B8469">
        <v>40000</v>
      </c>
      <c r="C8469" t="str">
        <f t="shared" si="132"/>
        <v>2. $10K-50K</v>
      </c>
      <c r="D8469" t="s">
        <v>1448</v>
      </c>
      <c r="E8469" t="s">
        <v>819</v>
      </c>
      <c r="F8469" t="s">
        <v>670</v>
      </c>
      <c r="G8469" t="s">
        <v>44</v>
      </c>
      <c r="H8469">
        <v>2025</v>
      </c>
    </row>
    <row r="8470" spans="1:8" x14ac:dyDescent="0.2">
      <c r="A8470">
        <v>299291</v>
      </c>
      <c r="B8470">
        <v>70000</v>
      </c>
      <c r="C8470" t="str">
        <f t="shared" si="132"/>
        <v>2. $10K-50K</v>
      </c>
      <c r="D8470" t="s">
        <v>1367</v>
      </c>
      <c r="E8470" t="s">
        <v>819</v>
      </c>
      <c r="F8470" t="s">
        <v>670</v>
      </c>
      <c r="G8470" t="s">
        <v>44</v>
      </c>
      <c r="H8470">
        <v>2025</v>
      </c>
    </row>
    <row r="8471" spans="1:8" x14ac:dyDescent="0.2">
      <c r="A8471">
        <v>299292</v>
      </c>
      <c r="B8471">
        <v>40000</v>
      </c>
      <c r="C8471" t="str">
        <f t="shared" si="132"/>
        <v>3. $50K-250K</v>
      </c>
      <c r="D8471" t="s">
        <v>1436</v>
      </c>
      <c r="E8471" t="s">
        <v>819</v>
      </c>
      <c r="F8471" t="s">
        <v>670</v>
      </c>
      <c r="G8471" t="s">
        <v>44</v>
      </c>
      <c r="H8471">
        <v>2025</v>
      </c>
    </row>
    <row r="8472" spans="1:8" x14ac:dyDescent="0.2">
      <c r="A8472">
        <v>299293</v>
      </c>
      <c r="B8472">
        <v>95000</v>
      </c>
      <c r="C8472" t="str">
        <f t="shared" si="132"/>
        <v>2. $10K-50K</v>
      </c>
      <c r="D8472" t="s">
        <v>820</v>
      </c>
      <c r="E8472" t="s">
        <v>819</v>
      </c>
      <c r="F8472" t="s">
        <v>670</v>
      </c>
      <c r="G8472" t="s">
        <v>44</v>
      </c>
      <c r="H8472">
        <v>2025</v>
      </c>
    </row>
    <row r="8473" spans="1:8" x14ac:dyDescent="0.2">
      <c r="A8473">
        <v>299294</v>
      </c>
      <c r="B8473">
        <v>50000</v>
      </c>
      <c r="C8473" t="str">
        <f t="shared" si="132"/>
        <v>3. $50K-250K</v>
      </c>
      <c r="D8473" t="s">
        <v>945</v>
      </c>
      <c r="E8473" t="s">
        <v>819</v>
      </c>
      <c r="F8473" t="s">
        <v>670</v>
      </c>
      <c r="G8473" t="s">
        <v>44</v>
      </c>
      <c r="H8473">
        <v>2025</v>
      </c>
    </row>
    <row r="8474" spans="1:8" x14ac:dyDescent="0.2">
      <c r="A8474">
        <v>299295</v>
      </c>
      <c r="B8474">
        <v>55000</v>
      </c>
      <c r="C8474" t="str">
        <f t="shared" si="132"/>
        <v>3. $50K-250K</v>
      </c>
      <c r="D8474" t="s">
        <v>2508</v>
      </c>
      <c r="E8474" t="s">
        <v>819</v>
      </c>
      <c r="F8474" t="s">
        <v>670</v>
      </c>
      <c r="G8474" t="s">
        <v>44</v>
      </c>
      <c r="H8474">
        <v>2025</v>
      </c>
    </row>
    <row r="8475" spans="1:8" x14ac:dyDescent="0.2">
      <c r="A8475">
        <v>299296</v>
      </c>
      <c r="B8475">
        <v>40000</v>
      </c>
      <c r="C8475" t="str">
        <f t="shared" si="132"/>
        <v>3. $50K-250K</v>
      </c>
      <c r="D8475" t="s">
        <v>944</v>
      </c>
      <c r="E8475" t="s">
        <v>819</v>
      </c>
      <c r="F8475" t="s">
        <v>670</v>
      </c>
      <c r="G8475" t="s">
        <v>44</v>
      </c>
      <c r="H8475">
        <v>2025</v>
      </c>
    </row>
    <row r="8476" spans="1:8" x14ac:dyDescent="0.2">
      <c r="A8476">
        <v>299297</v>
      </c>
      <c r="B8476">
        <v>50000</v>
      </c>
      <c r="C8476" t="str">
        <f t="shared" si="132"/>
        <v>2. $10K-50K</v>
      </c>
      <c r="D8476" t="s">
        <v>1789</v>
      </c>
      <c r="E8476" t="s">
        <v>819</v>
      </c>
      <c r="F8476" t="s">
        <v>670</v>
      </c>
      <c r="G8476" t="s">
        <v>44</v>
      </c>
      <c r="H8476">
        <v>2025</v>
      </c>
    </row>
    <row r="8477" spans="1:8" x14ac:dyDescent="0.2">
      <c r="A8477">
        <v>299298</v>
      </c>
      <c r="B8477">
        <v>50000</v>
      </c>
      <c r="C8477" t="str">
        <f t="shared" si="132"/>
        <v>3. $50K-250K</v>
      </c>
      <c r="D8477" t="s">
        <v>1442</v>
      </c>
      <c r="E8477" t="s">
        <v>819</v>
      </c>
      <c r="F8477" t="s">
        <v>670</v>
      </c>
      <c r="G8477" t="s">
        <v>44</v>
      </c>
      <c r="H8477">
        <v>2025</v>
      </c>
    </row>
    <row r="8478" spans="1:8" x14ac:dyDescent="0.2">
      <c r="A8478">
        <v>299299</v>
      </c>
      <c r="B8478">
        <v>85000</v>
      </c>
      <c r="C8478" t="str">
        <f t="shared" si="132"/>
        <v>3. $50K-250K</v>
      </c>
      <c r="D8478" t="s">
        <v>1432</v>
      </c>
      <c r="E8478" t="s">
        <v>819</v>
      </c>
      <c r="F8478" t="s">
        <v>670</v>
      </c>
      <c r="G8478" t="s">
        <v>44</v>
      </c>
      <c r="H8478">
        <v>2025</v>
      </c>
    </row>
    <row r="8479" spans="1:8" x14ac:dyDescent="0.2">
      <c r="A8479">
        <v>299301</v>
      </c>
      <c r="B8479">
        <v>25000</v>
      </c>
      <c r="C8479" t="str">
        <f t="shared" si="132"/>
        <v>3. $50K-250K</v>
      </c>
      <c r="D8479" t="s">
        <v>2509</v>
      </c>
      <c r="E8479" t="s">
        <v>819</v>
      </c>
      <c r="F8479" t="s">
        <v>670</v>
      </c>
      <c r="G8479" t="s">
        <v>44</v>
      </c>
      <c r="H8479">
        <v>2025</v>
      </c>
    </row>
    <row r="8480" spans="1:8" x14ac:dyDescent="0.2">
      <c r="A8480">
        <v>299365</v>
      </c>
      <c r="B8480">
        <v>2257503</v>
      </c>
      <c r="C8480" t="str">
        <f t="shared" si="132"/>
        <v>2. $10K-50K</v>
      </c>
      <c r="D8480" t="s">
        <v>711</v>
      </c>
      <c r="E8480" t="s">
        <v>237</v>
      </c>
      <c r="F8480" t="s">
        <v>670</v>
      </c>
      <c r="G8480" t="s">
        <v>59</v>
      </c>
      <c r="H8480">
        <v>2025</v>
      </c>
    </row>
    <row r="8481" spans="1:8" x14ac:dyDescent="0.2">
      <c r="A8481">
        <v>299380</v>
      </c>
      <c r="B8481">
        <v>139182</v>
      </c>
      <c r="C8481" t="str">
        <f t="shared" si="132"/>
        <v>5. $1M+</v>
      </c>
      <c r="D8481" t="s">
        <v>879</v>
      </c>
      <c r="E8481" t="s">
        <v>42</v>
      </c>
      <c r="F8481" t="s">
        <v>670</v>
      </c>
      <c r="G8481" t="s">
        <v>59</v>
      </c>
      <c r="H8481">
        <v>2025</v>
      </c>
    </row>
    <row r="8482" spans="1:8" x14ac:dyDescent="0.2">
      <c r="A8482">
        <v>299381</v>
      </c>
      <c r="B8482">
        <v>210040</v>
      </c>
      <c r="C8482" t="str">
        <f t="shared" si="132"/>
        <v>3. $50K-250K</v>
      </c>
      <c r="D8482" t="s">
        <v>1524</v>
      </c>
      <c r="E8482" t="s">
        <v>42</v>
      </c>
      <c r="F8482" t="s">
        <v>670</v>
      </c>
      <c r="G8482" t="s">
        <v>59</v>
      </c>
      <c r="H8482">
        <v>2025</v>
      </c>
    </row>
    <row r="8483" spans="1:8" x14ac:dyDescent="0.2">
      <c r="A8483">
        <v>299389</v>
      </c>
      <c r="B8483">
        <v>2500000</v>
      </c>
      <c r="C8483" t="str">
        <f t="shared" si="132"/>
        <v>3. $50K-250K</v>
      </c>
      <c r="D8483" t="s">
        <v>1027</v>
      </c>
      <c r="E8483" t="s">
        <v>237</v>
      </c>
      <c r="F8483" t="s">
        <v>670</v>
      </c>
      <c r="G8483" t="s">
        <v>59</v>
      </c>
      <c r="H8483">
        <v>2025</v>
      </c>
    </row>
    <row r="8484" spans="1:8" x14ac:dyDescent="0.2">
      <c r="A8484">
        <v>299394</v>
      </c>
      <c r="B8484">
        <v>35000</v>
      </c>
      <c r="C8484" t="str">
        <f t="shared" si="132"/>
        <v>5. $1M+</v>
      </c>
      <c r="D8484" t="s">
        <v>1192</v>
      </c>
      <c r="E8484" t="s">
        <v>112</v>
      </c>
      <c r="F8484" t="s">
        <v>668</v>
      </c>
      <c r="G8484" t="s">
        <v>59</v>
      </c>
      <c r="H8484">
        <v>2025</v>
      </c>
    </row>
    <row r="8485" spans="1:8" x14ac:dyDescent="0.2">
      <c r="A8485">
        <v>299399</v>
      </c>
      <c r="B8485">
        <v>40000</v>
      </c>
      <c r="C8485" t="str">
        <f t="shared" si="132"/>
        <v>2. $10K-50K</v>
      </c>
      <c r="D8485" t="s">
        <v>1093</v>
      </c>
      <c r="E8485" t="s">
        <v>112</v>
      </c>
      <c r="F8485" t="s">
        <v>668</v>
      </c>
      <c r="G8485" t="s">
        <v>59</v>
      </c>
      <c r="H8485">
        <v>2025</v>
      </c>
    </row>
    <row r="8486" spans="1:8" x14ac:dyDescent="0.2">
      <c r="A8486">
        <v>299400</v>
      </c>
      <c r="B8486">
        <v>45000</v>
      </c>
      <c r="C8486" t="str">
        <f t="shared" si="132"/>
        <v>2. $10K-50K</v>
      </c>
      <c r="D8486" t="s">
        <v>2510</v>
      </c>
      <c r="E8486" t="s">
        <v>112</v>
      </c>
      <c r="F8486" t="s">
        <v>668</v>
      </c>
      <c r="G8486" t="s">
        <v>59</v>
      </c>
      <c r="H8486">
        <v>2025</v>
      </c>
    </row>
    <row r="8487" spans="1:8" x14ac:dyDescent="0.2">
      <c r="A8487">
        <v>299402</v>
      </c>
      <c r="B8487">
        <v>15000</v>
      </c>
      <c r="C8487" t="str">
        <f t="shared" si="132"/>
        <v>2. $10K-50K</v>
      </c>
      <c r="D8487" t="s">
        <v>2511</v>
      </c>
      <c r="E8487" t="s">
        <v>112</v>
      </c>
      <c r="F8487" t="s">
        <v>668</v>
      </c>
      <c r="G8487" t="s">
        <v>59</v>
      </c>
      <c r="H8487">
        <v>2025</v>
      </c>
    </row>
    <row r="8488" spans="1:8" x14ac:dyDescent="0.2">
      <c r="A8488">
        <v>299404</v>
      </c>
      <c r="B8488">
        <v>50000</v>
      </c>
      <c r="C8488" t="str">
        <f t="shared" si="132"/>
        <v>2. $10K-50K</v>
      </c>
      <c r="D8488" t="s">
        <v>2512</v>
      </c>
      <c r="E8488" t="s">
        <v>112</v>
      </c>
      <c r="F8488" t="s">
        <v>668</v>
      </c>
      <c r="G8488" t="s">
        <v>59</v>
      </c>
      <c r="H8488">
        <v>2025</v>
      </c>
    </row>
    <row r="8489" spans="1:8" x14ac:dyDescent="0.2">
      <c r="A8489">
        <v>299406</v>
      </c>
      <c r="B8489">
        <v>50000</v>
      </c>
      <c r="C8489" t="str">
        <f t="shared" si="132"/>
        <v>3. $50K-250K</v>
      </c>
      <c r="D8489" t="s">
        <v>2513</v>
      </c>
      <c r="E8489" t="s">
        <v>112</v>
      </c>
      <c r="F8489" t="s">
        <v>668</v>
      </c>
      <c r="G8489" t="s">
        <v>59</v>
      </c>
      <c r="H8489">
        <v>2025</v>
      </c>
    </row>
    <row r="8490" spans="1:8" x14ac:dyDescent="0.2">
      <c r="A8490">
        <v>299408</v>
      </c>
      <c r="B8490">
        <v>12000</v>
      </c>
      <c r="C8490" t="str">
        <f t="shared" si="132"/>
        <v>3. $50K-250K</v>
      </c>
      <c r="D8490" t="s">
        <v>2514</v>
      </c>
      <c r="E8490" t="s">
        <v>112</v>
      </c>
      <c r="F8490" t="s">
        <v>668</v>
      </c>
      <c r="G8490" t="s">
        <v>59</v>
      </c>
      <c r="H8490">
        <v>2025</v>
      </c>
    </row>
    <row r="8491" spans="1:8" x14ac:dyDescent="0.2">
      <c r="A8491">
        <v>299409</v>
      </c>
      <c r="B8491">
        <v>40000</v>
      </c>
      <c r="C8491" t="str">
        <f t="shared" si="132"/>
        <v>2. $10K-50K</v>
      </c>
      <c r="D8491" t="s">
        <v>1288</v>
      </c>
      <c r="E8491" t="s">
        <v>112</v>
      </c>
      <c r="F8491" t="s">
        <v>668</v>
      </c>
      <c r="G8491" t="s">
        <v>59</v>
      </c>
      <c r="H8491">
        <v>2025</v>
      </c>
    </row>
    <row r="8492" spans="1:8" x14ac:dyDescent="0.2">
      <c r="A8492">
        <v>299411</v>
      </c>
      <c r="B8492">
        <v>30000</v>
      </c>
      <c r="C8492" t="str">
        <f t="shared" si="132"/>
        <v>2. $10K-50K</v>
      </c>
      <c r="D8492" t="s">
        <v>2515</v>
      </c>
      <c r="E8492" t="s">
        <v>112</v>
      </c>
      <c r="F8492" t="s">
        <v>668</v>
      </c>
      <c r="G8492" t="s">
        <v>59</v>
      </c>
      <c r="H8492">
        <v>2025</v>
      </c>
    </row>
    <row r="8493" spans="1:8" x14ac:dyDescent="0.2">
      <c r="A8493">
        <v>299598</v>
      </c>
      <c r="B8493">
        <v>8235500</v>
      </c>
      <c r="C8493" t="str">
        <f t="shared" si="132"/>
        <v>2. $10K-50K</v>
      </c>
      <c r="D8493" t="s">
        <v>986</v>
      </c>
      <c r="E8493" t="s">
        <v>237</v>
      </c>
      <c r="F8493" t="s">
        <v>670</v>
      </c>
      <c r="G8493" t="s">
        <v>59</v>
      </c>
      <c r="H8493">
        <v>2025</v>
      </c>
    </row>
    <row r="8494" spans="1:8" x14ac:dyDescent="0.2">
      <c r="A8494">
        <v>299601</v>
      </c>
      <c r="B8494">
        <v>8706353</v>
      </c>
      <c r="C8494" t="str">
        <f t="shared" si="132"/>
        <v>5. $1M+</v>
      </c>
      <c r="D8494" t="s">
        <v>2516</v>
      </c>
      <c r="E8494" t="s">
        <v>99</v>
      </c>
      <c r="F8494" t="s">
        <v>668</v>
      </c>
      <c r="G8494" t="s">
        <v>59</v>
      </c>
      <c r="H8494">
        <v>2025</v>
      </c>
    </row>
    <row r="8495" spans="1:8" x14ac:dyDescent="0.2">
      <c r="A8495">
        <v>299615</v>
      </c>
      <c r="B8495">
        <v>125000</v>
      </c>
      <c r="C8495" t="str">
        <f t="shared" si="132"/>
        <v>5. $1M+</v>
      </c>
      <c r="D8495" t="s">
        <v>908</v>
      </c>
      <c r="E8495" t="s">
        <v>237</v>
      </c>
      <c r="F8495" t="s">
        <v>670</v>
      </c>
      <c r="G8495" t="s">
        <v>59</v>
      </c>
      <c r="H8495">
        <v>2025</v>
      </c>
    </row>
    <row r="8496" spans="1:8" x14ac:dyDescent="0.2">
      <c r="A8496">
        <v>299616</v>
      </c>
      <c r="B8496">
        <v>119965</v>
      </c>
      <c r="C8496" t="str">
        <f t="shared" si="132"/>
        <v>3. $50K-250K</v>
      </c>
      <c r="D8496" t="s">
        <v>909</v>
      </c>
      <c r="E8496" t="s">
        <v>237</v>
      </c>
      <c r="F8496" t="s">
        <v>670</v>
      </c>
      <c r="G8496" t="s">
        <v>59</v>
      </c>
      <c r="H8496">
        <v>2025</v>
      </c>
    </row>
    <row r="8497" spans="1:8" x14ac:dyDescent="0.2">
      <c r="A8497">
        <v>299617</v>
      </c>
      <c r="B8497">
        <v>150000</v>
      </c>
      <c r="C8497" t="str">
        <f t="shared" si="132"/>
        <v>3. $50K-250K</v>
      </c>
      <c r="D8497" t="s">
        <v>2077</v>
      </c>
      <c r="E8497" t="s">
        <v>112</v>
      </c>
      <c r="F8497" t="s">
        <v>668</v>
      </c>
      <c r="G8497" t="s">
        <v>59</v>
      </c>
      <c r="H8497">
        <v>2025</v>
      </c>
    </row>
    <row r="8498" spans="1:8" x14ac:dyDescent="0.2">
      <c r="A8498">
        <v>299618</v>
      </c>
      <c r="B8498">
        <v>69000</v>
      </c>
      <c r="C8498" t="str">
        <f t="shared" si="132"/>
        <v>3. $50K-250K</v>
      </c>
      <c r="D8498" t="s">
        <v>701</v>
      </c>
      <c r="E8498" t="s">
        <v>237</v>
      </c>
      <c r="F8498" t="s">
        <v>670</v>
      </c>
      <c r="G8498" t="s">
        <v>59</v>
      </c>
      <c r="H8498">
        <v>2025</v>
      </c>
    </row>
    <row r="8499" spans="1:8" x14ac:dyDescent="0.2">
      <c r="A8499">
        <v>299620</v>
      </c>
      <c r="B8499">
        <v>135000</v>
      </c>
      <c r="C8499" t="str">
        <f t="shared" si="132"/>
        <v>3. $50K-250K</v>
      </c>
      <c r="D8499" t="s">
        <v>719</v>
      </c>
      <c r="E8499" t="s">
        <v>237</v>
      </c>
      <c r="F8499" t="s">
        <v>670</v>
      </c>
      <c r="G8499" t="s">
        <v>59</v>
      </c>
      <c r="H8499">
        <v>2025</v>
      </c>
    </row>
    <row r="8500" spans="1:8" x14ac:dyDescent="0.2">
      <c r="A8500">
        <v>299622</v>
      </c>
      <c r="B8500">
        <v>54000</v>
      </c>
      <c r="C8500" t="str">
        <f t="shared" si="132"/>
        <v>3. $50K-250K</v>
      </c>
      <c r="D8500" t="s">
        <v>919</v>
      </c>
      <c r="E8500" t="s">
        <v>237</v>
      </c>
      <c r="F8500" t="s">
        <v>670</v>
      </c>
      <c r="G8500" t="s">
        <v>59</v>
      </c>
      <c r="H8500">
        <v>2025</v>
      </c>
    </row>
    <row r="8501" spans="1:8" x14ac:dyDescent="0.2">
      <c r="A8501">
        <v>299623</v>
      </c>
      <c r="B8501">
        <v>54000</v>
      </c>
      <c r="C8501" t="str">
        <f t="shared" si="132"/>
        <v>3. $50K-250K</v>
      </c>
      <c r="D8501" t="s">
        <v>1081</v>
      </c>
      <c r="E8501" t="s">
        <v>237</v>
      </c>
      <c r="F8501" t="s">
        <v>670</v>
      </c>
      <c r="G8501" t="s">
        <v>59</v>
      </c>
      <c r="H8501">
        <v>2025</v>
      </c>
    </row>
    <row r="8502" spans="1:8" x14ac:dyDescent="0.2">
      <c r="A8502">
        <v>299624</v>
      </c>
      <c r="B8502">
        <v>54000</v>
      </c>
      <c r="C8502" t="str">
        <f t="shared" si="132"/>
        <v>3. $50K-250K</v>
      </c>
      <c r="D8502" t="s">
        <v>1070</v>
      </c>
      <c r="E8502" t="s">
        <v>237</v>
      </c>
      <c r="F8502" t="s">
        <v>670</v>
      </c>
      <c r="G8502" t="s">
        <v>59</v>
      </c>
      <c r="H8502">
        <v>2025</v>
      </c>
    </row>
    <row r="8503" spans="1:8" x14ac:dyDescent="0.2">
      <c r="A8503">
        <v>299625</v>
      </c>
      <c r="B8503">
        <v>54000</v>
      </c>
      <c r="C8503" t="str">
        <f t="shared" si="132"/>
        <v>3. $50K-250K</v>
      </c>
      <c r="D8503" t="s">
        <v>702</v>
      </c>
      <c r="E8503" t="s">
        <v>237</v>
      </c>
      <c r="F8503" t="s">
        <v>670</v>
      </c>
      <c r="G8503" t="s">
        <v>59</v>
      </c>
      <c r="H8503">
        <v>2025</v>
      </c>
    </row>
    <row r="8504" spans="1:8" x14ac:dyDescent="0.2">
      <c r="A8504">
        <v>299626</v>
      </c>
      <c r="B8504">
        <v>54000</v>
      </c>
      <c r="C8504" t="str">
        <f t="shared" si="132"/>
        <v>3. $50K-250K</v>
      </c>
      <c r="D8504" t="s">
        <v>1069</v>
      </c>
      <c r="E8504" t="s">
        <v>237</v>
      </c>
      <c r="F8504" t="s">
        <v>670</v>
      </c>
      <c r="G8504" t="s">
        <v>59</v>
      </c>
      <c r="H8504">
        <v>2025</v>
      </c>
    </row>
    <row r="8505" spans="1:8" x14ac:dyDescent="0.2">
      <c r="A8505">
        <v>299627</v>
      </c>
      <c r="B8505">
        <v>54000</v>
      </c>
      <c r="C8505" t="str">
        <f t="shared" si="132"/>
        <v>3. $50K-250K</v>
      </c>
      <c r="D8505" t="s">
        <v>698</v>
      </c>
      <c r="E8505" t="s">
        <v>237</v>
      </c>
      <c r="F8505" t="s">
        <v>670</v>
      </c>
      <c r="G8505" t="s">
        <v>59</v>
      </c>
      <c r="H8505">
        <v>2025</v>
      </c>
    </row>
    <row r="8506" spans="1:8" x14ac:dyDescent="0.2">
      <c r="A8506">
        <v>299630</v>
      </c>
      <c r="B8506">
        <v>54000</v>
      </c>
      <c r="C8506" t="str">
        <f t="shared" si="132"/>
        <v>3. $50K-250K</v>
      </c>
      <c r="D8506" t="s">
        <v>779</v>
      </c>
      <c r="E8506" t="s">
        <v>237</v>
      </c>
      <c r="F8506" t="s">
        <v>670</v>
      </c>
      <c r="G8506" t="s">
        <v>59</v>
      </c>
      <c r="H8506">
        <v>2025</v>
      </c>
    </row>
    <row r="8507" spans="1:8" x14ac:dyDescent="0.2">
      <c r="A8507">
        <v>299632</v>
      </c>
      <c r="B8507">
        <v>54000</v>
      </c>
      <c r="C8507" t="str">
        <f t="shared" si="132"/>
        <v>3. $50K-250K</v>
      </c>
      <c r="D8507" t="s">
        <v>715</v>
      </c>
      <c r="E8507" t="s">
        <v>237</v>
      </c>
      <c r="F8507" t="s">
        <v>670</v>
      </c>
      <c r="G8507" t="s">
        <v>59</v>
      </c>
      <c r="H8507">
        <v>2025</v>
      </c>
    </row>
    <row r="8508" spans="1:8" x14ac:dyDescent="0.2">
      <c r="A8508">
        <v>299656</v>
      </c>
      <c r="B8508">
        <v>3484250</v>
      </c>
      <c r="C8508" t="str">
        <f t="shared" si="132"/>
        <v>3. $50K-250K</v>
      </c>
      <c r="D8508" t="s">
        <v>1601</v>
      </c>
      <c r="E8508" t="s">
        <v>237</v>
      </c>
      <c r="F8508" t="s">
        <v>670</v>
      </c>
      <c r="G8508" t="s">
        <v>59</v>
      </c>
      <c r="H8508">
        <v>2025</v>
      </c>
    </row>
    <row r="8509" spans="1:8" x14ac:dyDescent="0.2">
      <c r="A8509">
        <v>299718</v>
      </c>
      <c r="B8509">
        <v>1590602</v>
      </c>
      <c r="C8509" t="str">
        <f t="shared" si="132"/>
        <v>5. $1M+</v>
      </c>
      <c r="D8509" t="s">
        <v>2517</v>
      </c>
      <c r="E8509" t="s">
        <v>99</v>
      </c>
      <c r="F8509" t="s">
        <v>668</v>
      </c>
      <c r="G8509" t="s">
        <v>59</v>
      </c>
      <c r="H8509">
        <v>2025</v>
      </c>
    </row>
    <row r="8510" spans="1:8" x14ac:dyDescent="0.2">
      <c r="A8510">
        <v>299725</v>
      </c>
      <c r="B8510">
        <v>245034</v>
      </c>
      <c r="C8510" t="str">
        <f t="shared" si="132"/>
        <v>5. $1M+</v>
      </c>
      <c r="D8510" t="s">
        <v>798</v>
      </c>
      <c r="E8510" t="s">
        <v>237</v>
      </c>
      <c r="F8510" t="s">
        <v>670</v>
      </c>
      <c r="G8510" t="s">
        <v>59</v>
      </c>
      <c r="H8510">
        <v>2025</v>
      </c>
    </row>
    <row r="8511" spans="1:8" x14ac:dyDescent="0.2">
      <c r="A8511">
        <v>299727</v>
      </c>
      <c r="B8511">
        <v>103500</v>
      </c>
      <c r="C8511" t="str">
        <f t="shared" si="132"/>
        <v>3. $50K-250K</v>
      </c>
      <c r="D8511" t="s">
        <v>1069</v>
      </c>
      <c r="E8511" t="s">
        <v>237</v>
      </c>
      <c r="F8511" t="s">
        <v>670</v>
      </c>
      <c r="G8511" t="s">
        <v>59</v>
      </c>
      <c r="H8511">
        <v>2025</v>
      </c>
    </row>
    <row r="8512" spans="1:8" x14ac:dyDescent="0.2">
      <c r="A8512">
        <v>299730</v>
      </c>
      <c r="B8512">
        <v>219187</v>
      </c>
      <c r="C8512" t="str">
        <f t="shared" si="132"/>
        <v>3. $50K-250K</v>
      </c>
      <c r="D8512" t="s">
        <v>813</v>
      </c>
      <c r="E8512" t="s">
        <v>237</v>
      </c>
      <c r="F8512" t="s">
        <v>670</v>
      </c>
      <c r="G8512" t="s">
        <v>59</v>
      </c>
      <c r="H8512">
        <v>2025</v>
      </c>
    </row>
    <row r="8513" spans="1:8" x14ac:dyDescent="0.2">
      <c r="A8513">
        <v>299731</v>
      </c>
      <c r="B8513">
        <v>363578</v>
      </c>
      <c r="C8513" t="str">
        <f t="shared" si="132"/>
        <v>3. $50K-250K</v>
      </c>
      <c r="D8513" t="s">
        <v>798</v>
      </c>
      <c r="E8513" t="s">
        <v>237</v>
      </c>
      <c r="F8513" t="s">
        <v>670</v>
      </c>
      <c r="G8513" t="s">
        <v>59</v>
      </c>
      <c r="H8513">
        <v>2025</v>
      </c>
    </row>
    <row r="8514" spans="1:8" x14ac:dyDescent="0.2">
      <c r="A8514">
        <v>299732</v>
      </c>
      <c r="B8514">
        <v>221818</v>
      </c>
      <c r="C8514" t="str">
        <f t="shared" si="132"/>
        <v>4. $250K-1M</v>
      </c>
      <c r="D8514" t="s">
        <v>798</v>
      </c>
      <c r="E8514" t="s">
        <v>237</v>
      </c>
      <c r="F8514" t="s">
        <v>670</v>
      </c>
      <c r="G8514" t="s">
        <v>59</v>
      </c>
      <c r="H8514">
        <v>2025</v>
      </c>
    </row>
    <row r="8515" spans="1:8" x14ac:dyDescent="0.2">
      <c r="A8515">
        <v>299737</v>
      </c>
      <c r="B8515">
        <v>765714</v>
      </c>
      <c r="C8515" t="str">
        <f t="shared" ref="C8515:C8578" si="133">IF(B8514&lt;10000,"1. Under $10K",IF(B8514&lt;50000,"2. $10K-50K",IF(B8514&lt;250000,"3. $50K-250K",IF(B8514&lt;1000000,"4. $250K-1M","5. $1M+"))))</f>
        <v>3. $50K-250K</v>
      </c>
      <c r="D8515" t="s">
        <v>711</v>
      </c>
      <c r="E8515" t="s">
        <v>237</v>
      </c>
      <c r="F8515" t="s">
        <v>670</v>
      </c>
      <c r="G8515" t="s">
        <v>59</v>
      </c>
      <c r="H8515">
        <v>2025</v>
      </c>
    </row>
    <row r="8516" spans="1:8" x14ac:dyDescent="0.2">
      <c r="A8516">
        <v>299782</v>
      </c>
      <c r="B8516">
        <v>765978</v>
      </c>
      <c r="C8516" t="str">
        <f t="shared" si="133"/>
        <v>4. $250K-1M</v>
      </c>
      <c r="D8516" t="s">
        <v>41</v>
      </c>
      <c r="E8516" t="s">
        <v>237</v>
      </c>
      <c r="F8516" t="s">
        <v>670</v>
      </c>
      <c r="G8516" t="s">
        <v>59</v>
      </c>
      <c r="H8516">
        <v>2025</v>
      </c>
    </row>
    <row r="8517" spans="1:8" x14ac:dyDescent="0.2">
      <c r="A8517">
        <v>299798</v>
      </c>
      <c r="B8517">
        <v>8706353</v>
      </c>
      <c r="C8517" t="str">
        <f t="shared" si="133"/>
        <v>4. $250K-1M</v>
      </c>
      <c r="D8517" t="s">
        <v>2518</v>
      </c>
      <c r="E8517" t="s">
        <v>99</v>
      </c>
      <c r="F8517" t="s">
        <v>668</v>
      </c>
      <c r="G8517" t="s">
        <v>59</v>
      </c>
      <c r="H8517">
        <v>2025</v>
      </c>
    </row>
    <row r="8518" spans="1:8" x14ac:dyDescent="0.2">
      <c r="A8518">
        <v>299800</v>
      </c>
      <c r="B8518">
        <v>2000000</v>
      </c>
      <c r="C8518" t="str">
        <f t="shared" si="133"/>
        <v>5. $1M+</v>
      </c>
      <c r="D8518" t="s">
        <v>778</v>
      </c>
      <c r="E8518" t="s">
        <v>99</v>
      </c>
      <c r="F8518" t="s">
        <v>668</v>
      </c>
      <c r="G8518" t="s">
        <v>59</v>
      </c>
      <c r="H8518">
        <v>2025</v>
      </c>
    </row>
    <row r="8519" spans="1:8" x14ac:dyDescent="0.2">
      <c r="A8519">
        <v>299828</v>
      </c>
      <c r="B8519">
        <v>917960</v>
      </c>
      <c r="C8519" t="str">
        <f t="shared" si="133"/>
        <v>5. $1M+</v>
      </c>
      <c r="D8519" t="s">
        <v>711</v>
      </c>
      <c r="E8519" t="s">
        <v>237</v>
      </c>
      <c r="F8519" t="s">
        <v>670</v>
      </c>
      <c r="G8519" t="s">
        <v>59</v>
      </c>
      <c r="H8519">
        <v>2025</v>
      </c>
    </row>
    <row r="8520" spans="1:8" x14ac:dyDescent="0.2">
      <c r="A8520">
        <v>299829</v>
      </c>
      <c r="B8520">
        <v>7579</v>
      </c>
      <c r="C8520" t="str">
        <f t="shared" si="133"/>
        <v>4. $250K-1M</v>
      </c>
      <c r="D8520" t="s">
        <v>795</v>
      </c>
      <c r="E8520" t="s">
        <v>237</v>
      </c>
      <c r="F8520" t="s">
        <v>670</v>
      </c>
      <c r="G8520" t="s">
        <v>59</v>
      </c>
      <c r="H8520">
        <v>2025</v>
      </c>
    </row>
    <row r="8521" spans="1:8" x14ac:dyDescent="0.2">
      <c r="A8521">
        <v>299830</v>
      </c>
      <c r="B8521">
        <v>352482</v>
      </c>
      <c r="C8521" t="str">
        <f t="shared" si="133"/>
        <v>1. Under $10K</v>
      </c>
      <c r="D8521" t="s">
        <v>1559</v>
      </c>
      <c r="E8521" t="s">
        <v>237</v>
      </c>
      <c r="F8521" t="s">
        <v>670</v>
      </c>
      <c r="G8521" t="s">
        <v>59</v>
      </c>
      <c r="H8521">
        <v>2025</v>
      </c>
    </row>
    <row r="8522" spans="1:8" x14ac:dyDescent="0.2">
      <c r="A8522">
        <v>299831</v>
      </c>
      <c r="B8522">
        <v>309320</v>
      </c>
      <c r="C8522" t="str">
        <f t="shared" si="133"/>
        <v>4. $250K-1M</v>
      </c>
      <c r="D8522" t="s">
        <v>1559</v>
      </c>
      <c r="E8522" t="s">
        <v>237</v>
      </c>
      <c r="F8522" t="s">
        <v>670</v>
      </c>
      <c r="G8522" t="s">
        <v>59</v>
      </c>
      <c r="H8522">
        <v>2025</v>
      </c>
    </row>
    <row r="8523" spans="1:8" x14ac:dyDescent="0.2">
      <c r="A8523">
        <v>299832</v>
      </c>
      <c r="B8523">
        <v>40928</v>
      </c>
      <c r="C8523" t="str">
        <f t="shared" si="133"/>
        <v>4. $250K-1M</v>
      </c>
      <c r="D8523" t="s">
        <v>795</v>
      </c>
      <c r="E8523" t="s">
        <v>237</v>
      </c>
      <c r="F8523" t="s">
        <v>670</v>
      </c>
      <c r="G8523" t="s">
        <v>59</v>
      </c>
      <c r="H8523">
        <v>2025</v>
      </c>
    </row>
    <row r="8524" spans="1:8" x14ac:dyDescent="0.2">
      <c r="A8524">
        <v>299833</v>
      </c>
      <c r="B8524">
        <v>94625</v>
      </c>
      <c r="C8524" t="str">
        <f t="shared" si="133"/>
        <v>2. $10K-50K</v>
      </c>
      <c r="D8524" t="s">
        <v>795</v>
      </c>
      <c r="E8524" t="s">
        <v>237</v>
      </c>
      <c r="F8524" t="s">
        <v>670</v>
      </c>
      <c r="G8524" t="s">
        <v>59</v>
      </c>
      <c r="H8524">
        <v>2025</v>
      </c>
    </row>
    <row r="8525" spans="1:8" x14ac:dyDescent="0.2">
      <c r="A8525">
        <v>299834</v>
      </c>
      <c r="B8525">
        <v>69000</v>
      </c>
      <c r="C8525" t="str">
        <f t="shared" si="133"/>
        <v>3. $50K-250K</v>
      </c>
      <c r="D8525" t="s">
        <v>920</v>
      </c>
      <c r="E8525" t="s">
        <v>237</v>
      </c>
      <c r="F8525" t="s">
        <v>670</v>
      </c>
      <c r="G8525" t="s">
        <v>59</v>
      </c>
      <c r="H8525">
        <v>2025</v>
      </c>
    </row>
    <row r="8526" spans="1:8" x14ac:dyDescent="0.2">
      <c r="A8526">
        <v>299835</v>
      </c>
      <c r="B8526">
        <v>69000</v>
      </c>
      <c r="C8526" t="str">
        <f t="shared" si="133"/>
        <v>3. $50K-250K</v>
      </c>
      <c r="D8526" t="s">
        <v>984</v>
      </c>
      <c r="E8526" t="s">
        <v>237</v>
      </c>
      <c r="F8526" t="s">
        <v>670</v>
      </c>
      <c r="G8526" t="s">
        <v>59</v>
      </c>
      <c r="H8526">
        <v>2025</v>
      </c>
    </row>
    <row r="8527" spans="1:8" x14ac:dyDescent="0.2">
      <c r="A8527">
        <v>299836</v>
      </c>
      <c r="B8527">
        <v>207000</v>
      </c>
      <c r="C8527" t="str">
        <f t="shared" si="133"/>
        <v>3. $50K-250K</v>
      </c>
      <c r="D8527" t="s">
        <v>1073</v>
      </c>
      <c r="E8527" t="s">
        <v>237</v>
      </c>
      <c r="F8527" t="s">
        <v>670</v>
      </c>
      <c r="G8527" t="s">
        <v>59</v>
      </c>
      <c r="H8527">
        <v>2025</v>
      </c>
    </row>
    <row r="8528" spans="1:8" x14ac:dyDescent="0.2">
      <c r="A8528">
        <v>299837</v>
      </c>
      <c r="B8528">
        <v>69000</v>
      </c>
      <c r="C8528" t="str">
        <f t="shared" si="133"/>
        <v>3. $50K-250K</v>
      </c>
      <c r="D8528" t="s">
        <v>748</v>
      </c>
      <c r="E8528" t="s">
        <v>237</v>
      </c>
      <c r="F8528" t="s">
        <v>670</v>
      </c>
      <c r="G8528" t="s">
        <v>59</v>
      </c>
      <c r="H8528">
        <v>2025</v>
      </c>
    </row>
    <row r="8529" spans="1:8" x14ac:dyDescent="0.2">
      <c r="A8529">
        <v>299838</v>
      </c>
      <c r="B8529">
        <v>862500</v>
      </c>
      <c r="C8529" t="str">
        <f t="shared" si="133"/>
        <v>3. $50K-250K</v>
      </c>
      <c r="D8529" t="s">
        <v>1084</v>
      </c>
      <c r="E8529" t="s">
        <v>237</v>
      </c>
      <c r="F8529" t="s">
        <v>670</v>
      </c>
      <c r="G8529" t="s">
        <v>59</v>
      </c>
      <c r="H8529">
        <v>2025</v>
      </c>
    </row>
    <row r="8530" spans="1:8" x14ac:dyDescent="0.2">
      <c r="A8530">
        <v>299839</v>
      </c>
      <c r="B8530">
        <v>69000</v>
      </c>
      <c r="C8530" t="str">
        <f t="shared" si="133"/>
        <v>4. $250K-1M</v>
      </c>
      <c r="D8530" t="s">
        <v>1068</v>
      </c>
      <c r="E8530" t="s">
        <v>237</v>
      </c>
      <c r="F8530" t="s">
        <v>670</v>
      </c>
      <c r="G8530" t="s">
        <v>59</v>
      </c>
      <c r="H8530">
        <v>2025</v>
      </c>
    </row>
    <row r="8531" spans="1:8" x14ac:dyDescent="0.2">
      <c r="A8531">
        <v>299840</v>
      </c>
      <c r="B8531">
        <v>69000</v>
      </c>
      <c r="C8531" t="str">
        <f t="shared" si="133"/>
        <v>3. $50K-250K</v>
      </c>
      <c r="D8531" t="s">
        <v>708</v>
      </c>
      <c r="E8531" t="s">
        <v>237</v>
      </c>
      <c r="F8531" t="s">
        <v>670</v>
      </c>
      <c r="G8531" t="s">
        <v>59</v>
      </c>
      <c r="H8531">
        <v>2025</v>
      </c>
    </row>
    <row r="8532" spans="1:8" x14ac:dyDescent="0.2">
      <c r="A8532">
        <v>299841</v>
      </c>
      <c r="B8532">
        <v>69000</v>
      </c>
      <c r="C8532" t="str">
        <f t="shared" si="133"/>
        <v>3. $50K-250K</v>
      </c>
      <c r="D8532" t="s">
        <v>1069</v>
      </c>
      <c r="E8532" t="s">
        <v>237</v>
      </c>
      <c r="F8532" t="s">
        <v>670</v>
      </c>
      <c r="G8532" t="s">
        <v>59</v>
      </c>
      <c r="H8532">
        <v>2025</v>
      </c>
    </row>
    <row r="8533" spans="1:8" x14ac:dyDescent="0.2">
      <c r="A8533">
        <v>299842</v>
      </c>
      <c r="B8533">
        <v>103500</v>
      </c>
      <c r="C8533" t="str">
        <f t="shared" si="133"/>
        <v>3. $50K-250K</v>
      </c>
      <c r="D8533" t="s">
        <v>1099</v>
      </c>
      <c r="E8533" t="s">
        <v>237</v>
      </c>
      <c r="F8533" t="s">
        <v>670</v>
      </c>
      <c r="G8533" t="s">
        <v>59</v>
      </c>
      <c r="H8533">
        <v>2025</v>
      </c>
    </row>
    <row r="8534" spans="1:8" x14ac:dyDescent="0.2">
      <c r="A8534">
        <v>299843</v>
      </c>
      <c r="B8534">
        <v>69000</v>
      </c>
      <c r="C8534" t="str">
        <f t="shared" si="133"/>
        <v>3. $50K-250K</v>
      </c>
      <c r="D8534" t="s">
        <v>881</v>
      </c>
      <c r="E8534" t="s">
        <v>237</v>
      </c>
      <c r="F8534" t="s">
        <v>670</v>
      </c>
      <c r="G8534" t="s">
        <v>59</v>
      </c>
      <c r="H8534">
        <v>2025</v>
      </c>
    </row>
    <row r="8535" spans="1:8" x14ac:dyDescent="0.2">
      <c r="A8535">
        <v>299844</v>
      </c>
      <c r="B8535">
        <v>11975</v>
      </c>
      <c r="C8535" t="str">
        <f t="shared" si="133"/>
        <v>3. $50K-250K</v>
      </c>
      <c r="D8535" t="s">
        <v>890</v>
      </c>
      <c r="E8535" t="s">
        <v>237</v>
      </c>
      <c r="F8535" t="s">
        <v>670</v>
      </c>
      <c r="G8535" t="s">
        <v>59</v>
      </c>
      <c r="H8535">
        <v>2025</v>
      </c>
    </row>
    <row r="8536" spans="1:8" x14ac:dyDescent="0.2">
      <c r="A8536">
        <v>299845</v>
      </c>
      <c r="B8536">
        <v>125000</v>
      </c>
      <c r="C8536" t="str">
        <f t="shared" si="133"/>
        <v>2. $10K-50K</v>
      </c>
      <c r="D8536" t="s">
        <v>907</v>
      </c>
      <c r="E8536" t="s">
        <v>237</v>
      </c>
      <c r="F8536" t="s">
        <v>670</v>
      </c>
      <c r="G8536" t="s">
        <v>59</v>
      </c>
      <c r="H8536">
        <v>2025</v>
      </c>
    </row>
    <row r="8537" spans="1:8" x14ac:dyDescent="0.2">
      <c r="A8537">
        <v>299846</v>
      </c>
      <c r="B8537">
        <v>52800</v>
      </c>
      <c r="C8537" t="str">
        <f t="shared" si="133"/>
        <v>3. $50K-250K</v>
      </c>
      <c r="D8537" t="s">
        <v>871</v>
      </c>
      <c r="E8537" t="s">
        <v>237</v>
      </c>
      <c r="F8537" t="s">
        <v>670</v>
      </c>
      <c r="G8537" t="s">
        <v>59</v>
      </c>
      <c r="H8537">
        <v>2025</v>
      </c>
    </row>
    <row r="8538" spans="1:8" x14ac:dyDescent="0.2">
      <c r="A8538">
        <v>299847</v>
      </c>
      <c r="B8538">
        <v>52800</v>
      </c>
      <c r="C8538" t="str">
        <f t="shared" si="133"/>
        <v>3. $50K-250K</v>
      </c>
      <c r="D8538" t="s">
        <v>822</v>
      </c>
      <c r="E8538" t="s">
        <v>237</v>
      </c>
      <c r="F8538" t="s">
        <v>670</v>
      </c>
      <c r="G8538" t="s">
        <v>59</v>
      </c>
      <c r="H8538">
        <v>2025</v>
      </c>
    </row>
    <row r="8539" spans="1:8" x14ac:dyDescent="0.2">
      <c r="A8539">
        <v>299848</v>
      </c>
      <c r="B8539">
        <v>600000</v>
      </c>
      <c r="C8539" t="str">
        <f t="shared" si="133"/>
        <v>3. $50K-250K</v>
      </c>
      <c r="D8539" t="s">
        <v>921</v>
      </c>
      <c r="E8539" t="s">
        <v>237</v>
      </c>
      <c r="F8539" t="s">
        <v>670</v>
      </c>
      <c r="G8539" t="s">
        <v>59</v>
      </c>
      <c r="H8539">
        <v>2025</v>
      </c>
    </row>
    <row r="8540" spans="1:8" x14ac:dyDescent="0.2">
      <c r="A8540">
        <v>299849</v>
      </c>
      <c r="B8540">
        <v>39570</v>
      </c>
      <c r="C8540" t="str">
        <f t="shared" si="133"/>
        <v>4. $250K-1M</v>
      </c>
      <c r="D8540" t="s">
        <v>798</v>
      </c>
      <c r="E8540" t="s">
        <v>237</v>
      </c>
      <c r="F8540" t="s">
        <v>670</v>
      </c>
      <c r="G8540" t="s">
        <v>59</v>
      </c>
      <c r="H8540">
        <v>2025</v>
      </c>
    </row>
    <row r="8541" spans="1:8" x14ac:dyDescent="0.2">
      <c r="A8541">
        <v>300020</v>
      </c>
      <c r="B8541">
        <v>4466871.3</v>
      </c>
      <c r="C8541" t="str">
        <f t="shared" si="133"/>
        <v>2. $10K-50K</v>
      </c>
      <c r="D8541" t="s">
        <v>497</v>
      </c>
      <c r="E8541" t="s">
        <v>141</v>
      </c>
      <c r="F8541" t="s">
        <v>43</v>
      </c>
      <c r="G8541" t="s">
        <v>101</v>
      </c>
      <c r="H8541">
        <v>2025</v>
      </c>
    </row>
    <row r="8542" spans="1:8" x14ac:dyDescent="0.2">
      <c r="A8542">
        <v>300023</v>
      </c>
      <c r="B8542">
        <v>320000</v>
      </c>
      <c r="C8542" t="str">
        <f t="shared" si="133"/>
        <v>5. $1M+</v>
      </c>
      <c r="D8542" t="s">
        <v>801</v>
      </c>
      <c r="E8542" t="s">
        <v>59</v>
      </c>
      <c r="F8542" t="s">
        <v>670</v>
      </c>
      <c r="G8542" t="s">
        <v>59</v>
      </c>
      <c r="H8542">
        <v>2025</v>
      </c>
    </row>
    <row r="8543" spans="1:8" x14ac:dyDescent="0.2">
      <c r="A8543">
        <v>300025</v>
      </c>
      <c r="B8543">
        <v>715126</v>
      </c>
      <c r="C8543" t="str">
        <f t="shared" si="133"/>
        <v>4. $250K-1M</v>
      </c>
      <c r="D8543" t="s">
        <v>867</v>
      </c>
      <c r="E8543" t="s">
        <v>237</v>
      </c>
      <c r="F8543" t="s">
        <v>670</v>
      </c>
      <c r="G8543" t="s">
        <v>59</v>
      </c>
      <c r="H8543">
        <v>2025</v>
      </c>
    </row>
    <row r="8544" spans="1:8" x14ac:dyDescent="0.2">
      <c r="A8544">
        <v>300026</v>
      </c>
      <c r="B8544">
        <v>167660</v>
      </c>
      <c r="C8544" t="str">
        <f t="shared" si="133"/>
        <v>4. $250K-1M</v>
      </c>
      <c r="D8544" t="s">
        <v>829</v>
      </c>
      <c r="E8544" t="s">
        <v>237</v>
      </c>
      <c r="F8544" t="s">
        <v>670</v>
      </c>
      <c r="G8544" t="s">
        <v>59</v>
      </c>
      <c r="H8544">
        <v>2025</v>
      </c>
    </row>
    <row r="8545" spans="1:8" x14ac:dyDescent="0.2">
      <c r="A8545">
        <v>300027</v>
      </c>
      <c r="B8545">
        <v>71976</v>
      </c>
      <c r="C8545" t="str">
        <f t="shared" si="133"/>
        <v>3. $50K-250K</v>
      </c>
      <c r="D8545" t="s">
        <v>908</v>
      </c>
      <c r="E8545" t="s">
        <v>237</v>
      </c>
      <c r="F8545" t="s">
        <v>670</v>
      </c>
      <c r="G8545" t="s">
        <v>59</v>
      </c>
      <c r="H8545">
        <v>2025</v>
      </c>
    </row>
    <row r="8546" spans="1:8" x14ac:dyDescent="0.2">
      <c r="A8546">
        <v>300028</v>
      </c>
      <c r="B8546">
        <v>154600</v>
      </c>
      <c r="C8546" t="str">
        <f t="shared" si="133"/>
        <v>3. $50K-250K</v>
      </c>
      <c r="D8546" t="s">
        <v>801</v>
      </c>
      <c r="E8546" t="s">
        <v>237</v>
      </c>
      <c r="F8546" t="s">
        <v>670</v>
      </c>
      <c r="G8546" t="s">
        <v>59</v>
      </c>
      <c r="H8546">
        <v>2025</v>
      </c>
    </row>
    <row r="8547" spans="1:8" x14ac:dyDescent="0.2">
      <c r="A8547">
        <v>300030</v>
      </c>
      <c r="B8547">
        <v>90000</v>
      </c>
      <c r="C8547" t="str">
        <f t="shared" si="133"/>
        <v>3. $50K-250K</v>
      </c>
      <c r="D8547" t="s">
        <v>801</v>
      </c>
      <c r="E8547" t="s">
        <v>237</v>
      </c>
      <c r="F8547" t="s">
        <v>670</v>
      </c>
      <c r="G8547" t="s">
        <v>59</v>
      </c>
      <c r="H8547">
        <v>2025</v>
      </c>
    </row>
    <row r="8548" spans="1:8" x14ac:dyDescent="0.2">
      <c r="A8548">
        <v>300031</v>
      </c>
      <c r="B8548">
        <v>55000</v>
      </c>
      <c r="C8548" t="str">
        <f t="shared" si="133"/>
        <v>3. $50K-250K</v>
      </c>
      <c r="D8548" t="s">
        <v>909</v>
      </c>
      <c r="E8548" t="s">
        <v>237</v>
      </c>
      <c r="F8548" t="s">
        <v>670</v>
      </c>
      <c r="G8548" t="s">
        <v>59</v>
      </c>
      <c r="H8548">
        <v>2025</v>
      </c>
    </row>
    <row r="8549" spans="1:8" x14ac:dyDescent="0.2">
      <c r="A8549">
        <v>300035</v>
      </c>
      <c r="B8549">
        <v>100000</v>
      </c>
      <c r="C8549" t="str">
        <f t="shared" si="133"/>
        <v>3. $50K-250K</v>
      </c>
      <c r="D8549" t="s">
        <v>925</v>
      </c>
      <c r="E8549" t="s">
        <v>237</v>
      </c>
      <c r="F8549" t="s">
        <v>670</v>
      </c>
      <c r="G8549" t="s">
        <v>59</v>
      </c>
      <c r="H8549">
        <v>2025</v>
      </c>
    </row>
    <row r="8550" spans="1:8" x14ac:dyDescent="0.2">
      <c r="A8550">
        <v>300037</v>
      </c>
      <c r="B8550">
        <v>75000</v>
      </c>
      <c r="C8550" t="str">
        <f t="shared" si="133"/>
        <v>3. $50K-250K</v>
      </c>
      <c r="D8550" t="s">
        <v>809</v>
      </c>
      <c r="E8550" t="s">
        <v>237</v>
      </c>
      <c r="F8550" t="s">
        <v>670</v>
      </c>
      <c r="G8550" t="s">
        <v>59</v>
      </c>
      <c r="H8550">
        <v>2025</v>
      </c>
    </row>
    <row r="8551" spans="1:8" x14ac:dyDescent="0.2">
      <c r="A8551">
        <v>300038</v>
      </c>
      <c r="B8551">
        <v>175272</v>
      </c>
      <c r="C8551" t="str">
        <f t="shared" si="133"/>
        <v>3. $50K-250K</v>
      </c>
      <c r="D8551" t="s">
        <v>925</v>
      </c>
      <c r="E8551" t="s">
        <v>237</v>
      </c>
      <c r="F8551" t="s">
        <v>670</v>
      </c>
      <c r="G8551" t="s">
        <v>59</v>
      </c>
      <c r="H8551">
        <v>2025</v>
      </c>
    </row>
    <row r="8552" spans="1:8" x14ac:dyDescent="0.2">
      <c r="A8552">
        <v>300039</v>
      </c>
      <c r="B8552">
        <v>90000</v>
      </c>
      <c r="C8552" t="str">
        <f t="shared" si="133"/>
        <v>3. $50K-250K</v>
      </c>
      <c r="D8552" t="s">
        <v>917</v>
      </c>
      <c r="E8552" t="s">
        <v>237</v>
      </c>
      <c r="F8552" t="s">
        <v>670</v>
      </c>
      <c r="G8552" t="s">
        <v>59</v>
      </c>
      <c r="H8552">
        <v>2025</v>
      </c>
    </row>
    <row r="8553" spans="1:8" x14ac:dyDescent="0.2">
      <c r="A8553">
        <v>300040</v>
      </c>
      <c r="B8553">
        <v>180000</v>
      </c>
      <c r="C8553" t="str">
        <f t="shared" si="133"/>
        <v>3. $50K-250K</v>
      </c>
      <c r="D8553" t="s">
        <v>912</v>
      </c>
      <c r="E8553" t="s">
        <v>237</v>
      </c>
      <c r="F8553" t="s">
        <v>670</v>
      </c>
      <c r="G8553" t="s">
        <v>59</v>
      </c>
      <c r="H8553">
        <v>2025</v>
      </c>
    </row>
    <row r="8554" spans="1:8" x14ac:dyDescent="0.2">
      <c r="A8554">
        <v>300041</v>
      </c>
      <c r="B8554">
        <v>65000</v>
      </c>
      <c r="C8554" t="str">
        <f t="shared" si="133"/>
        <v>3. $50K-250K</v>
      </c>
      <c r="D8554" t="s">
        <v>812</v>
      </c>
      <c r="E8554" t="s">
        <v>237</v>
      </c>
      <c r="F8554" t="s">
        <v>670</v>
      </c>
      <c r="G8554" t="s">
        <v>59</v>
      </c>
      <c r="H8554">
        <v>2025</v>
      </c>
    </row>
    <row r="8555" spans="1:8" x14ac:dyDescent="0.2">
      <c r="A8555">
        <v>300042</v>
      </c>
      <c r="B8555">
        <v>125000</v>
      </c>
      <c r="C8555" t="str">
        <f t="shared" si="133"/>
        <v>3. $50K-250K</v>
      </c>
      <c r="D8555" t="s">
        <v>928</v>
      </c>
      <c r="E8555" t="s">
        <v>237</v>
      </c>
      <c r="F8555" t="s">
        <v>670</v>
      </c>
      <c r="G8555" t="s">
        <v>59</v>
      </c>
      <c r="H8555">
        <v>2025</v>
      </c>
    </row>
    <row r="8556" spans="1:8" x14ac:dyDescent="0.2">
      <c r="A8556">
        <v>300043</v>
      </c>
      <c r="B8556">
        <v>52800</v>
      </c>
      <c r="C8556" t="str">
        <f t="shared" si="133"/>
        <v>3. $50K-250K</v>
      </c>
      <c r="D8556" t="s">
        <v>923</v>
      </c>
      <c r="E8556" t="s">
        <v>237</v>
      </c>
      <c r="F8556" t="s">
        <v>670</v>
      </c>
      <c r="G8556" t="s">
        <v>59</v>
      </c>
      <c r="H8556">
        <v>2025</v>
      </c>
    </row>
    <row r="8557" spans="1:8" x14ac:dyDescent="0.2">
      <c r="A8557">
        <v>300044</v>
      </c>
      <c r="B8557">
        <v>90000</v>
      </c>
      <c r="C8557" t="str">
        <f t="shared" si="133"/>
        <v>3. $50K-250K</v>
      </c>
      <c r="D8557" t="s">
        <v>933</v>
      </c>
      <c r="E8557" t="s">
        <v>237</v>
      </c>
      <c r="F8557" t="s">
        <v>670</v>
      </c>
      <c r="G8557" t="s">
        <v>59</v>
      </c>
      <c r="H8557">
        <v>2025</v>
      </c>
    </row>
    <row r="8558" spans="1:8" x14ac:dyDescent="0.2">
      <c r="A8558">
        <v>300045</v>
      </c>
      <c r="B8558">
        <v>70000</v>
      </c>
      <c r="C8558" t="str">
        <f t="shared" si="133"/>
        <v>3. $50K-250K</v>
      </c>
      <c r="D8558" t="s">
        <v>918</v>
      </c>
      <c r="E8558" t="s">
        <v>237</v>
      </c>
      <c r="F8558" t="s">
        <v>670</v>
      </c>
      <c r="G8558" t="s">
        <v>59</v>
      </c>
      <c r="H8558">
        <v>2025</v>
      </c>
    </row>
    <row r="8559" spans="1:8" x14ac:dyDescent="0.2">
      <c r="A8559">
        <v>300046</v>
      </c>
      <c r="B8559">
        <v>97875</v>
      </c>
      <c r="C8559" t="str">
        <f t="shared" si="133"/>
        <v>3. $50K-250K</v>
      </c>
      <c r="D8559" t="s">
        <v>917</v>
      </c>
      <c r="E8559" t="s">
        <v>237</v>
      </c>
      <c r="F8559" t="s">
        <v>670</v>
      </c>
      <c r="G8559" t="s">
        <v>59</v>
      </c>
      <c r="H8559">
        <v>2025</v>
      </c>
    </row>
    <row r="8560" spans="1:8" x14ac:dyDescent="0.2">
      <c r="A8560">
        <v>300047</v>
      </c>
      <c r="B8560">
        <v>89000</v>
      </c>
      <c r="C8560" t="str">
        <f t="shared" si="133"/>
        <v>3. $50K-250K</v>
      </c>
      <c r="D8560" t="s">
        <v>917</v>
      </c>
      <c r="E8560" t="s">
        <v>237</v>
      </c>
      <c r="F8560" t="s">
        <v>670</v>
      </c>
      <c r="G8560" t="s">
        <v>59</v>
      </c>
      <c r="H8560">
        <v>2025</v>
      </c>
    </row>
    <row r="8561" spans="1:8" x14ac:dyDescent="0.2">
      <c r="A8561">
        <v>300048</v>
      </c>
      <c r="B8561">
        <v>50468</v>
      </c>
      <c r="C8561" t="str">
        <f t="shared" si="133"/>
        <v>3. $50K-250K</v>
      </c>
      <c r="D8561" t="s">
        <v>822</v>
      </c>
      <c r="E8561" t="s">
        <v>237</v>
      </c>
      <c r="F8561" t="s">
        <v>670</v>
      </c>
      <c r="G8561" t="s">
        <v>59</v>
      </c>
      <c r="H8561">
        <v>2025</v>
      </c>
    </row>
    <row r="8562" spans="1:8" x14ac:dyDescent="0.2">
      <c r="A8562">
        <v>300049</v>
      </c>
      <c r="B8562">
        <v>150000</v>
      </c>
      <c r="C8562" t="str">
        <f t="shared" si="133"/>
        <v>3. $50K-250K</v>
      </c>
      <c r="D8562" t="s">
        <v>921</v>
      </c>
      <c r="E8562" t="s">
        <v>237</v>
      </c>
      <c r="F8562" t="s">
        <v>670</v>
      </c>
      <c r="G8562" t="s">
        <v>59</v>
      </c>
      <c r="H8562">
        <v>2025</v>
      </c>
    </row>
    <row r="8563" spans="1:8" x14ac:dyDescent="0.2">
      <c r="A8563">
        <v>300050</v>
      </c>
      <c r="B8563">
        <v>90000</v>
      </c>
      <c r="C8563" t="str">
        <f t="shared" si="133"/>
        <v>3. $50K-250K</v>
      </c>
      <c r="D8563" t="s">
        <v>507</v>
      </c>
      <c r="E8563" t="s">
        <v>237</v>
      </c>
      <c r="F8563" t="s">
        <v>670</v>
      </c>
      <c r="G8563" t="s">
        <v>59</v>
      </c>
      <c r="H8563">
        <v>2025</v>
      </c>
    </row>
    <row r="8564" spans="1:8" x14ac:dyDescent="0.2">
      <c r="A8564">
        <v>300051</v>
      </c>
      <c r="B8564">
        <v>126355</v>
      </c>
      <c r="C8564" t="str">
        <f t="shared" si="133"/>
        <v>3. $50K-250K</v>
      </c>
      <c r="D8564" t="s">
        <v>711</v>
      </c>
      <c r="E8564" t="s">
        <v>237</v>
      </c>
      <c r="F8564" t="s">
        <v>670</v>
      </c>
      <c r="G8564" t="s">
        <v>59</v>
      </c>
      <c r="H8564">
        <v>2025</v>
      </c>
    </row>
    <row r="8565" spans="1:8" x14ac:dyDescent="0.2">
      <c r="A8565">
        <v>300052</v>
      </c>
      <c r="B8565">
        <v>52800</v>
      </c>
      <c r="C8565" t="str">
        <f t="shared" si="133"/>
        <v>3. $50K-250K</v>
      </c>
      <c r="D8565" t="s">
        <v>701</v>
      </c>
      <c r="E8565" t="s">
        <v>237</v>
      </c>
      <c r="F8565" t="s">
        <v>670</v>
      </c>
      <c r="G8565" t="s">
        <v>59</v>
      </c>
      <c r="H8565">
        <v>2025</v>
      </c>
    </row>
    <row r="8566" spans="1:8" x14ac:dyDescent="0.2">
      <c r="A8566">
        <v>300053</v>
      </c>
      <c r="B8566">
        <v>85780</v>
      </c>
      <c r="C8566" t="str">
        <f t="shared" si="133"/>
        <v>3. $50K-250K</v>
      </c>
      <c r="D8566" t="s">
        <v>922</v>
      </c>
      <c r="E8566" t="s">
        <v>237</v>
      </c>
      <c r="F8566" t="s">
        <v>670</v>
      </c>
      <c r="G8566" t="s">
        <v>59</v>
      </c>
      <c r="H8566">
        <v>2025</v>
      </c>
    </row>
    <row r="8567" spans="1:8" x14ac:dyDescent="0.2">
      <c r="A8567">
        <v>300054</v>
      </c>
      <c r="B8567">
        <v>72245</v>
      </c>
      <c r="C8567" t="str">
        <f t="shared" si="133"/>
        <v>3. $50K-250K</v>
      </c>
      <c r="D8567" t="s">
        <v>822</v>
      </c>
      <c r="E8567" t="s">
        <v>237</v>
      </c>
      <c r="F8567" t="s">
        <v>670</v>
      </c>
      <c r="G8567" t="s">
        <v>59</v>
      </c>
      <c r="H8567">
        <v>2025</v>
      </c>
    </row>
    <row r="8568" spans="1:8" x14ac:dyDescent="0.2">
      <c r="A8568">
        <v>300055</v>
      </c>
      <c r="B8568">
        <v>665566</v>
      </c>
      <c r="C8568" t="str">
        <f t="shared" si="133"/>
        <v>3. $50K-250K</v>
      </c>
      <c r="D8568" t="s">
        <v>867</v>
      </c>
      <c r="E8568" t="s">
        <v>237</v>
      </c>
      <c r="F8568" t="s">
        <v>670</v>
      </c>
      <c r="G8568" t="s">
        <v>59</v>
      </c>
      <c r="H8568">
        <v>2025</v>
      </c>
    </row>
    <row r="8569" spans="1:8" x14ac:dyDescent="0.2">
      <c r="A8569">
        <v>300056</v>
      </c>
      <c r="B8569">
        <v>133640</v>
      </c>
      <c r="C8569" t="str">
        <f t="shared" si="133"/>
        <v>4. $250K-1M</v>
      </c>
      <c r="D8569" t="s">
        <v>794</v>
      </c>
      <c r="E8569" t="s">
        <v>237</v>
      </c>
      <c r="F8569" t="s">
        <v>670</v>
      </c>
      <c r="G8569" t="s">
        <v>59</v>
      </c>
      <c r="H8569">
        <v>2025</v>
      </c>
    </row>
    <row r="8570" spans="1:8" x14ac:dyDescent="0.2">
      <c r="A8570">
        <v>300070</v>
      </c>
      <c r="B8570">
        <v>59236</v>
      </c>
      <c r="C8570" t="str">
        <f t="shared" si="133"/>
        <v>3. $50K-250K</v>
      </c>
      <c r="D8570" t="s">
        <v>880</v>
      </c>
      <c r="E8570" t="s">
        <v>237</v>
      </c>
      <c r="F8570" t="s">
        <v>670</v>
      </c>
      <c r="G8570" t="s">
        <v>59</v>
      </c>
      <c r="H8570">
        <v>2025</v>
      </c>
    </row>
    <row r="8571" spans="1:8" x14ac:dyDescent="0.2">
      <c r="A8571">
        <v>300149</v>
      </c>
      <c r="B8571">
        <v>226112.6</v>
      </c>
      <c r="C8571" t="str">
        <f t="shared" si="133"/>
        <v>3. $50K-250K</v>
      </c>
      <c r="D8571" t="s">
        <v>867</v>
      </c>
      <c r="E8571" t="s">
        <v>237</v>
      </c>
      <c r="F8571" t="s">
        <v>670</v>
      </c>
      <c r="G8571" t="s">
        <v>59</v>
      </c>
      <c r="H8571">
        <v>2025</v>
      </c>
    </row>
    <row r="8572" spans="1:8" x14ac:dyDescent="0.2">
      <c r="A8572">
        <v>300162</v>
      </c>
      <c r="B8572">
        <v>400000</v>
      </c>
      <c r="C8572" t="str">
        <f t="shared" si="133"/>
        <v>3. $50K-250K</v>
      </c>
      <c r="D8572" t="s">
        <v>778</v>
      </c>
      <c r="E8572" t="s">
        <v>99</v>
      </c>
      <c r="F8572" t="s">
        <v>668</v>
      </c>
      <c r="G8572" t="s">
        <v>59</v>
      </c>
      <c r="H8572">
        <v>2025</v>
      </c>
    </row>
    <row r="8573" spans="1:8" x14ac:dyDescent="0.2">
      <c r="A8573">
        <v>300165</v>
      </c>
      <c r="B8573">
        <v>150000</v>
      </c>
      <c r="C8573" t="str">
        <f t="shared" si="133"/>
        <v>4. $250K-1M</v>
      </c>
      <c r="D8573" t="s">
        <v>1379</v>
      </c>
      <c r="E8573" t="s">
        <v>99</v>
      </c>
      <c r="F8573" t="s">
        <v>668</v>
      </c>
      <c r="G8573" t="s">
        <v>59</v>
      </c>
      <c r="H8573">
        <v>2025</v>
      </c>
    </row>
    <row r="8574" spans="1:8" x14ac:dyDescent="0.2">
      <c r="A8574">
        <v>300167</v>
      </c>
      <c r="B8574">
        <v>118109.5</v>
      </c>
      <c r="C8574" t="str">
        <f t="shared" si="133"/>
        <v>3. $50K-250K</v>
      </c>
      <c r="D8574" t="s">
        <v>2519</v>
      </c>
      <c r="E8574" t="s">
        <v>99</v>
      </c>
      <c r="F8574" t="s">
        <v>668</v>
      </c>
      <c r="G8574" t="s">
        <v>59</v>
      </c>
      <c r="H8574">
        <v>2025</v>
      </c>
    </row>
    <row r="8575" spans="1:8" x14ac:dyDescent="0.2">
      <c r="A8575">
        <v>300170</v>
      </c>
      <c r="B8575">
        <v>174898</v>
      </c>
      <c r="C8575" t="str">
        <f t="shared" si="133"/>
        <v>3. $50K-250K</v>
      </c>
      <c r="D8575" t="s">
        <v>2520</v>
      </c>
      <c r="E8575" t="s">
        <v>99</v>
      </c>
      <c r="F8575" t="s">
        <v>668</v>
      </c>
      <c r="G8575" t="s">
        <v>59</v>
      </c>
      <c r="H8575">
        <v>2025</v>
      </c>
    </row>
    <row r="8576" spans="1:8" x14ac:dyDescent="0.2">
      <c r="A8576">
        <v>300189</v>
      </c>
      <c r="B8576">
        <v>1000000</v>
      </c>
      <c r="C8576" t="str">
        <f t="shared" si="133"/>
        <v>3. $50K-250K</v>
      </c>
      <c r="D8576" t="s">
        <v>669</v>
      </c>
      <c r="E8576" t="s">
        <v>42</v>
      </c>
      <c r="F8576" t="s">
        <v>670</v>
      </c>
      <c r="G8576" t="s">
        <v>59</v>
      </c>
      <c r="H8576">
        <v>2025</v>
      </c>
    </row>
    <row r="8577" spans="1:8" x14ac:dyDescent="0.2">
      <c r="A8577">
        <v>300193</v>
      </c>
      <c r="B8577">
        <v>200000</v>
      </c>
      <c r="C8577" t="str">
        <f t="shared" si="133"/>
        <v>5. $1M+</v>
      </c>
      <c r="D8577" t="s">
        <v>671</v>
      </c>
      <c r="E8577" t="s">
        <v>42</v>
      </c>
      <c r="F8577" t="s">
        <v>670</v>
      </c>
      <c r="G8577" t="s">
        <v>59</v>
      </c>
      <c r="H8577">
        <v>2025</v>
      </c>
    </row>
    <row r="8578" spans="1:8" x14ac:dyDescent="0.2">
      <c r="A8578">
        <v>300194</v>
      </c>
      <c r="B8578">
        <v>375001</v>
      </c>
      <c r="C8578" t="str">
        <f t="shared" si="133"/>
        <v>3. $50K-250K</v>
      </c>
      <c r="D8578" t="s">
        <v>962</v>
      </c>
      <c r="E8578" t="s">
        <v>42</v>
      </c>
      <c r="F8578" t="s">
        <v>670</v>
      </c>
      <c r="G8578" t="s">
        <v>59</v>
      </c>
      <c r="H8578">
        <v>2025</v>
      </c>
    </row>
    <row r="8579" spans="1:8" x14ac:dyDescent="0.2">
      <c r="A8579">
        <v>300195</v>
      </c>
      <c r="B8579">
        <v>375001</v>
      </c>
      <c r="C8579" t="str">
        <f t="shared" ref="C8579:C8642" si="134">IF(B8578&lt;10000,"1. Under $10K",IF(B8578&lt;50000,"2. $10K-50K",IF(B8578&lt;250000,"3. $50K-250K",IF(B8578&lt;1000000,"4. $250K-1M","5. $1M+"))))</f>
        <v>4. $250K-1M</v>
      </c>
      <c r="D8579" t="s">
        <v>694</v>
      </c>
      <c r="E8579" t="s">
        <v>42</v>
      </c>
      <c r="F8579" t="s">
        <v>670</v>
      </c>
      <c r="G8579" t="s">
        <v>59</v>
      </c>
      <c r="H8579">
        <v>2025</v>
      </c>
    </row>
    <row r="8580" spans="1:8" x14ac:dyDescent="0.2">
      <c r="A8580">
        <v>300196</v>
      </c>
      <c r="B8580">
        <v>294896.40000000002</v>
      </c>
      <c r="C8580" t="str">
        <f t="shared" si="134"/>
        <v>4. $250K-1M</v>
      </c>
      <c r="D8580" t="s">
        <v>805</v>
      </c>
      <c r="E8580" t="s">
        <v>42</v>
      </c>
      <c r="F8580" t="s">
        <v>670</v>
      </c>
      <c r="G8580" t="s">
        <v>59</v>
      </c>
      <c r="H8580">
        <v>2025</v>
      </c>
    </row>
    <row r="8581" spans="1:8" x14ac:dyDescent="0.2">
      <c r="A8581">
        <v>300197</v>
      </c>
      <c r="B8581">
        <v>200000</v>
      </c>
      <c r="C8581" t="str">
        <f t="shared" si="134"/>
        <v>4. $250K-1M</v>
      </c>
      <c r="D8581" t="s">
        <v>507</v>
      </c>
      <c r="E8581" t="s">
        <v>42</v>
      </c>
      <c r="F8581" t="s">
        <v>670</v>
      </c>
      <c r="G8581" t="s">
        <v>59</v>
      </c>
      <c r="H8581">
        <v>2025</v>
      </c>
    </row>
    <row r="8582" spans="1:8" x14ac:dyDescent="0.2">
      <c r="A8582">
        <v>300198</v>
      </c>
      <c r="B8582">
        <v>91256</v>
      </c>
      <c r="C8582" t="str">
        <f t="shared" si="134"/>
        <v>3. $50K-250K</v>
      </c>
      <c r="D8582" t="s">
        <v>691</v>
      </c>
      <c r="E8582" t="s">
        <v>42</v>
      </c>
      <c r="F8582" t="s">
        <v>670</v>
      </c>
      <c r="G8582" t="s">
        <v>59</v>
      </c>
      <c r="H8582">
        <v>2025</v>
      </c>
    </row>
    <row r="8583" spans="1:8" x14ac:dyDescent="0.2">
      <c r="A8583">
        <v>300199</v>
      </c>
      <c r="B8583">
        <v>200000</v>
      </c>
      <c r="C8583" t="str">
        <f t="shared" si="134"/>
        <v>3. $50K-250K</v>
      </c>
      <c r="D8583" t="s">
        <v>2176</v>
      </c>
      <c r="E8583" t="s">
        <v>42</v>
      </c>
      <c r="F8583" t="s">
        <v>670</v>
      </c>
      <c r="G8583" t="s">
        <v>59</v>
      </c>
      <c r="H8583">
        <v>2025</v>
      </c>
    </row>
    <row r="8584" spans="1:8" x14ac:dyDescent="0.2">
      <c r="A8584">
        <v>300200</v>
      </c>
      <c r="B8584">
        <v>93062</v>
      </c>
      <c r="C8584" t="str">
        <f t="shared" si="134"/>
        <v>3. $50K-250K</v>
      </c>
      <c r="D8584" t="s">
        <v>676</v>
      </c>
      <c r="E8584" t="s">
        <v>42</v>
      </c>
      <c r="F8584" t="s">
        <v>670</v>
      </c>
      <c r="G8584" t="s">
        <v>59</v>
      </c>
      <c r="H8584">
        <v>2025</v>
      </c>
    </row>
    <row r="8585" spans="1:8" x14ac:dyDescent="0.2">
      <c r="A8585">
        <v>300201</v>
      </c>
      <c r="B8585">
        <v>57479</v>
      </c>
      <c r="C8585" t="str">
        <f t="shared" si="134"/>
        <v>3. $50K-250K</v>
      </c>
      <c r="D8585" t="s">
        <v>1087</v>
      </c>
      <c r="E8585" t="s">
        <v>42</v>
      </c>
      <c r="F8585" t="s">
        <v>670</v>
      </c>
      <c r="G8585" t="s">
        <v>59</v>
      </c>
      <c r="H8585">
        <v>2025</v>
      </c>
    </row>
    <row r="8586" spans="1:8" x14ac:dyDescent="0.2">
      <c r="A8586">
        <v>300202</v>
      </c>
      <c r="B8586">
        <v>375001</v>
      </c>
      <c r="C8586" t="str">
        <f t="shared" si="134"/>
        <v>3. $50K-250K</v>
      </c>
      <c r="D8586" t="s">
        <v>694</v>
      </c>
      <c r="E8586" t="s">
        <v>42</v>
      </c>
      <c r="F8586" t="s">
        <v>670</v>
      </c>
      <c r="G8586" t="s">
        <v>59</v>
      </c>
      <c r="H8586">
        <v>2025</v>
      </c>
    </row>
    <row r="8587" spans="1:8" x14ac:dyDescent="0.2">
      <c r="A8587">
        <v>300203</v>
      </c>
      <c r="B8587">
        <v>3832500</v>
      </c>
      <c r="C8587" t="str">
        <f t="shared" si="134"/>
        <v>4. $250K-1M</v>
      </c>
      <c r="D8587" t="s">
        <v>669</v>
      </c>
      <c r="E8587" t="s">
        <v>42</v>
      </c>
      <c r="F8587" t="s">
        <v>670</v>
      </c>
      <c r="G8587" t="s">
        <v>59</v>
      </c>
      <c r="H8587">
        <v>2025</v>
      </c>
    </row>
    <row r="8588" spans="1:8" x14ac:dyDescent="0.2">
      <c r="A8588">
        <v>300204</v>
      </c>
      <c r="B8588">
        <v>48170.2</v>
      </c>
      <c r="C8588" t="str">
        <f t="shared" si="134"/>
        <v>5. $1M+</v>
      </c>
      <c r="D8588" t="s">
        <v>694</v>
      </c>
      <c r="E8588" t="s">
        <v>42</v>
      </c>
      <c r="F8588" t="s">
        <v>670</v>
      </c>
      <c r="G8588" t="s">
        <v>59</v>
      </c>
      <c r="H8588">
        <v>2025</v>
      </c>
    </row>
    <row r="8589" spans="1:8" x14ac:dyDescent="0.2">
      <c r="A8589">
        <v>300205</v>
      </c>
      <c r="B8589">
        <v>268798.59999999998</v>
      </c>
      <c r="C8589" t="str">
        <f t="shared" si="134"/>
        <v>2. $10K-50K</v>
      </c>
      <c r="D8589" t="s">
        <v>839</v>
      </c>
      <c r="E8589" t="s">
        <v>42</v>
      </c>
      <c r="F8589" t="s">
        <v>670</v>
      </c>
      <c r="G8589" t="s">
        <v>59</v>
      </c>
      <c r="H8589">
        <v>2025</v>
      </c>
    </row>
    <row r="8590" spans="1:8" x14ac:dyDescent="0.2">
      <c r="A8590">
        <v>300207</v>
      </c>
      <c r="B8590">
        <v>84145.8</v>
      </c>
      <c r="C8590" t="str">
        <f t="shared" si="134"/>
        <v>4. $250K-1M</v>
      </c>
      <c r="D8590" t="s">
        <v>782</v>
      </c>
      <c r="E8590" t="s">
        <v>42</v>
      </c>
      <c r="F8590" t="s">
        <v>670</v>
      </c>
      <c r="G8590" t="s">
        <v>59</v>
      </c>
      <c r="H8590">
        <v>2025</v>
      </c>
    </row>
    <row r="8591" spans="1:8" x14ac:dyDescent="0.2">
      <c r="A8591">
        <v>300208</v>
      </c>
      <c r="B8591">
        <v>83112.100000000006</v>
      </c>
      <c r="C8591" t="str">
        <f t="shared" si="134"/>
        <v>3. $50K-250K</v>
      </c>
      <c r="D8591" t="s">
        <v>780</v>
      </c>
      <c r="E8591" t="s">
        <v>42</v>
      </c>
      <c r="F8591" t="s">
        <v>670</v>
      </c>
      <c r="G8591" t="s">
        <v>59</v>
      </c>
      <c r="H8591">
        <v>2025</v>
      </c>
    </row>
    <row r="8592" spans="1:8" x14ac:dyDescent="0.2">
      <c r="A8592">
        <v>300209</v>
      </c>
      <c r="B8592">
        <v>79128.7</v>
      </c>
      <c r="C8592" t="str">
        <f t="shared" si="134"/>
        <v>3. $50K-250K</v>
      </c>
      <c r="D8592" t="s">
        <v>780</v>
      </c>
      <c r="E8592" t="s">
        <v>42</v>
      </c>
      <c r="F8592" t="s">
        <v>670</v>
      </c>
      <c r="G8592" t="s">
        <v>59</v>
      </c>
      <c r="H8592">
        <v>2025</v>
      </c>
    </row>
    <row r="8593" spans="1:8" x14ac:dyDescent="0.2">
      <c r="A8593">
        <v>300210</v>
      </c>
      <c r="B8593">
        <v>89542</v>
      </c>
      <c r="C8593" t="str">
        <f t="shared" si="134"/>
        <v>3. $50K-250K</v>
      </c>
      <c r="D8593" t="s">
        <v>780</v>
      </c>
      <c r="E8593" t="s">
        <v>42</v>
      </c>
      <c r="F8593" t="s">
        <v>670</v>
      </c>
      <c r="G8593" t="s">
        <v>59</v>
      </c>
      <c r="H8593">
        <v>2025</v>
      </c>
    </row>
    <row r="8594" spans="1:8" x14ac:dyDescent="0.2">
      <c r="A8594">
        <v>300211</v>
      </c>
      <c r="B8594">
        <v>71428</v>
      </c>
      <c r="C8594" t="str">
        <f t="shared" si="134"/>
        <v>3. $50K-250K</v>
      </c>
      <c r="D8594" t="s">
        <v>691</v>
      </c>
      <c r="E8594" t="s">
        <v>42</v>
      </c>
      <c r="F8594" t="s">
        <v>670</v>
      </c>
      <c r="G8594" t="s">
        <v>59</v>
      </c>
      <c r="H8594">
        <v>2025</v>
      </c>
    </row>
    <row r="8595" spans="1:8" x14ac:dyDescent="0.2">
      <c r="A8595">
        <v>300212</v>
      </c>
      <c r="B8595">
        <v>80500</v>
      </c>
      <c r="C8595" t="str">
        <f t="shared" si="134"/>
        <v>3. $50K-250K</v>
      </c>
      <c r="D8595" t="s">
        <v>782</v>
      </c>
      <c r="E8595" t="s">
        <v>42</v>
      </c>
      <c r="F8595" t="s">
        <v>670</v>
      </c>
      <c r="G8595" t="s">
        <v>59</v>
      </c>
      <c r="H8595">
        <v>2025</v>
      </c>
    </row>
    <row r="8596" spans="1:8" x14ac:dyDescent="0.2">
      <c r="A8596">
        <v>300262</v>
      </c>
      <c r="B8596">
        <v>14472.7</v>
      </c>
      <c r="C8596" t="str">
        <f t="shared" si="134"/>
        <v>3. $50K-250K</v>
      </c>
      <c r="D8596" t="s">
        <v>2521</v>
      </c>
      <c r="E8596" t="s">
        <v>112</v>
      </c>
      <c r="F8596" t="s">
        <v>668</v>
      </c>
      <c r="G8596" t="s">
        <v>59</v>
      </c>
      <c r="H8596">
        <v>2025</v>
      </c>
    </row>
    <row r="8597" spans="1:8" x14ac:dyDescent="0.2">
      <c r="A8597">
        <v>300271</v>
      </c>
      <c r="B8597">
        <v>58160</v>
      </c>
      <c r="C8597" t="str">
        <f t="shared" si="134"/>
        <v>2. $10K-50K</v>
      </c>
      <c r="D8597" t="s">
        <v>926</v>
      </c>
      <c r="E8597" t="s">
        <v>237</v>
      </c>
      <c r="F8597" t="s">
        <v>670</v>
      </c>
      <c r="G8597" t="s">
        <v>59</v>
      </c>
      <c r="H8597">
        <v>2025</v>
      </c>
    </row>
    <row r="8598" spans="1:8" x14ac:dyDescent="0.2">
      <c r="A8598">
        <v>300273</v>
      </c>
      <c r="B8598">
        <v>70000</v>
      </c>
      <c r="C8598" t="str">
        <f t="shared" si="134"/>
        <v>3. $50K-250K</v>
      </c>
      <c r="D8598" t="s">
        <v>880</v>
      </c>
      <c r="E8598" t="s">
        <v>237</v>
      </c>
      <c r="F8598" t="s">
        <v>670</v>
      </c>
      <c r="G8598" t="s">
        <v>59</v>
      </c>
      <c r="H8598">
        <v>2025</v>
      </c>
    </row>
    <row r="8599" spans="1:8" x14ac:dyDescent="0.2">
      <c r="A8599">
        <v>300289</v>
      </c>
      <c r="B8599">
        <v>332586.7</v>
      </c>
      <c r="C8599" t="str">
        <f t="shared" si="134"/>
        <v>3. $50K-250K</v>
      </c>
      <c r="D8599" t="s">
        <v>985</v>
      </c>
      <c r="E8599" t="s">
        <v>42</v>
      </c>
      <c r="F8599" t="s">
        <v>670</v>
      </c>
      <c r="G8599" t="s">
        <v>59</v>
      </c>
      <c r="H8599">
        <v>2025</v>
      </c>
    </row>
    <row r="8600" spans="1:8" x14ac:dyDescent="0.2">
      <c r="A8600">
        <v>300290</v>
      </c>
      <c r="B8600">
        <v>225000</v>
      </c>
      <c r="C8600" t="str">
        <f t="shared" si="134"/>
        <v>4. $250K-1M</v>
      </c>
      <c r="D8600" t="s">
        <v>749</v>
      </c>
      <c r="E8600" t="s">
        <v>42</v>
      </c>
      <c r="F8600" t="s">
        <v>670</v>
      </c>
      <c r="G8600" t="s">
        <v>59</v>
      </c>
      <c r="H8600">
        <v>2025</v>
      </c>
    </row>
    <row r="8601" spans="1:8" x14ac:dyDescent="0.2">
      <c r="A8601">
        <v>300302</v>
      </c>
      <c r="B8601">
        <v>70000</v>
      </c>
      <c r="C8601" t="str">
        <f t="shared" si="134"/>
        <v>3. $50K-250K</v>
      </c>
      <c r="D8601" t="s">
        <v>919</v>
      </c>
      <c r="E8601" t="s">
        <v>237</v>
      </c>
      <c r="F8601" t="s">
        <v>670</v>
      </c>
      <c r="G8601" t="s">
        <v>59</v>
      </c>
      <c r="H8601">
        <v>2025</v>
      </c>
    </row>
    <row r="8602" spans="1:8" x14ac:dyDescent="0.2">
      <c r="A8602">
        <v>300308</v>
      </c>
      <c r="B8602">
        <v>70000</v>
      </c>
      <c r="C8602" t="str">
        <f t="shared" si="134"/>
        <v>3. $50K-250K</v>
      </c>
      <c r="D8602" t="s">
        <v>913</v>
      </c>
      <c r="E8602" t="s">
        <v>237</v>
      </c>
      <c r="F8602" t="s">
        <v>670</v>
      </c>
      <c r="G8602" t="s">
        <v>59</v>
      </c>
      <c r="H8602">
        <v>2025</v>
      </c>
    </row>
    <row r="8603" spans="1:8" x14ac:dyDescent="0.2">
      <c r="A8603">
        <v>300312</v>
      </c>
      <c r="B8603">
        <v>136468</v>
      </c>
      <c r="C8603" t="str">
        <f t="shared" si="134"/>
        <v>3. $50K-250K</v>
      </c>
      <c r="D8603" t="s">
        <v>932</v>
      </c>
      <c r="E8603" t="s">
        <v>237</v>
      </c>
      <c r="F8603" t="s">
        <v>670</v>
      </c>
      <c r="G8603" t="s">
        <v>59</v>
      </c>
      <c r="H8603">
        <v>2025</v>
      </c>
    </row>
    <row r="8604" spans="1:8" x14ac:dyDescent="0.2">
      <c r="A8604">
        <v>300314</v>
      </c>
      <c r="B8604">
        <v>281534</v>
      </c>
      <c r="C8604" t="str">
        <f t="shared" si="134"/>
        <v>3. $50K-250K</v>
      </c>
      <c r="D8604" t="s">
        <v>812</v>
      </c>
      <c r="E8604" t="s">
        <v>237</v>
      </c>
      <c r="F8604" t="s">
        <v>670</v>
      </c>
      <c r="G8604" t="s">
        <v>59</v>
      </c>
      <c r="H8604">
        <v>2025</v>
      </c>
    </row>
    <row r="8605" spans="1:8" x14ac:dyDescent="0.2">
      <c r="A8605">
        <v>300315</v>
      </c>
      <c r="B8605">
        <v>75000</v>
      </c>
      <c r="C8605" t="str">
        <f t="shared" si="134"/>
        <v>4. $250K-1M</v>
      </c>
      <c r="D8605" t="s">
        <v>880</v>
      </c>
      <c r="E8605" t="s">
        <v>237</v>
      </c>
      <c r="F8605" t="s">
        <v>670</v>
      </c>
      <c r="G8605" t="s">
        <v>59</v>
      </c>
      <c r="H8605">
        <v>2025</v>
      </c>
    </row>
    <row r="8606" spans="1:8" x14ac:dyDescent="0.2">
      <c r="A8606">
        <v>300317</v>
      </c>
      <c r="B8606">
        <v>139167</v>
      </c>
      <c r="C8606" t="str">
        <f t="shared" si="134"/>
        <v>3. $50K-250K</v>
      </c>
      <c r="D8606" t="s">
        <v>881</v>
      </c>
      <c r="E8606" t="s">
        <v>237</v>
      </c>
      <c r="F8606" t="s">
        <v>670</v>
      </c>
      <c r="G8606" t="s">
        <v>59</v>
      </c>
      <c r="H8606">
        <v>2025</v>
      </c>
    </row>
    <row r="8607" spans="1:8" x14ac:dyDescent="0.2">
      <c r="A8607">
        <v>300319</v>
      </c>
      <c r="B8607">
        <v>300000</v>
      </c>
      <c r="C8607" t="str">
        <f t="shared" si="134"/>
        <v>3. $50K-250K</v>
      </c>
      <c r="D8607" t="s">
        <v>868</v>
      </c>
      <c r="E8607" t="s">
        <v>42</v>
      </c>
      <c r="F8607" t="s">
        <v>670</v>
      </c>
      <c r="G8607" t="s">
        <v>59</v>
      </c>
      <c r="H8607">
        <v>2025</v>
      </c>
    </row>
    <row r="8608" spans="1:8" x14ac:dyDescent="0.2">
      <c r="A8608">
        <v>300324</v>
      </c>
      <c r="B8608">
        <v>200000</v>
      </c>
      <c r="C8608" t="str">
        <f t="shared" si="134"/>
        <v>4. $250K-1M</v>
      </c>
      <c r="D8608" t="s">
        <v>897</v>
      </c>
      <c r="E8608" t="s">
        <v>42</v>
      </c>
      <c r="F8608" t="s">
        <v>670</v>
      </c>
      <c r="G8608" t="s">
        <v>59</v>
      </c>
      <c r="H8608">
        <v>2025</v>
      </c>
    </row>
    <row r="8609" spans="1:8" x14ac:dyDescent="0.2">
      <c r="A8609">
        <v>300333</v>
      </c>
      <c r="B8609">
        <v>200000</v>
      </c>
      <c r="C8609" t="str">
        <f t="shared" si="134"/>
        <v>3. $50K-250K</v>
      </c>
      <c r="D8609" t="s">
        <v>821</v>
      </c>
      <c r="E8609" t="s">
        <v>42</v>
      </c>
      <c r="F8609" t="s">
        <v>670</v>
      </c>
      <c r="G8609" t="s">
        <v>59</v>
      </c>
      <c r="H8609">
        <v>2025</v>
      </c>
    </row>
    <row r="8610" spans="1:8" x14ac:dyDescent="0.2">
      <c r="A8610">
        <v>300334</v>
      </c>
      <c r="B8610">
        <v>61901</v>
      </c>
      <c r="C8610" t="str">
        <f t="shared" si="134"/>
        <v>3. $50K-250K</v>
      </c>
      <c r="D8610" t="s">
        <v>749</v>
      </c>
      <c r="E8610" t="s">
        <v>237</v>
      </c>
      <c r="F8610" t="s">
        <v>670</v>
      </c>
      <c r="G8610" t="s">
        <v>59</v>
      </c>
      <c r="H8610">
        <v>2025</v>
      </c>
    </row>
    <row r="8611" spans="1:8" x14ac:dyDescent="0.2">
      <c r="A8611">
        <v>300374</v>
      </c>
      <c r="B8611">
        <v>41394.400000000001</v>
      </c>
      <c r="C8611" t="str">
        <f t="shared" si="134"/>
        <v>3. $50K-250K</v>
      </c>
      <c r="D8611" t="s">
        <v>867</v>
      </c>
      <c r="E8611" t="s">
        <v>237</v>
      </c>
      <c r="F8611" t="s">
        <v>670</v>
      </c>
      <c r="G8611" t="s">
        <v>59</v>
      </c>
      <c r="H8611">
        <v>2025</v>
      </c>
    </row>
    <row r="8612" spans="1:8" x14ac:dyDescent="0.2">
      <c r="A8612">
        <v>300375</v>
      </c>
      <c r="B8612">
        <v>151468.9</v>
      </c>
      <c r="C8612" t="str">
        <f t="shared" si="134"/>
        <v>2. $10K-50K</v>
      </c>
      <c r="D8612" t="s">
        <v>867</v>
      </c>
      <c r="E8612" t="s">
        <v>237</v>
      </c>
      <c r="F8612" t="s">
        <v>670</v>
      </c>
      <c r="G8612" t="s">
        <v>59</v>
      </c>
      <c r="H8612">
        <v>2025</v>
      </c>
    </row>
    <row r="8613" spans="1:8" x14ac:dyDescent="0.2">
      <c r="A8613">
        <v>300376</v>
      </c>
      <c r="B8613">
        <v>33980</v>
      </c>
      <c r="C8613" t="str">
        <f t="shared" si="134"/>
        <v>3. $50K-250K</v>
      </c>
      <c r="D8613" t="s">
        <v>861</v>
      </c>
      <c r="E8613" t="s">
        <v>237</v>
      </c>
      <c r="F8613" t="s">
        <v>670</v>
      </c>
      <c r="G8613" t="s">
        <v>59</v>
      </c>
      <c r="H8613">
        <v>2025</v>
      </c>
    </row>
    <row r="8614" spans="1:8" x14ac:dyDescent="0.2">
      <c r="A8614">
        <v>300419</v>
      </c>
      <c r="B8614">
        <v>13984</v>
      </c>
      <c r="C8614" t="str">
        <f t="shared" si="134"/>
        <v>2. $10K-50K</v>
      </c>
      <c r="D8614" t="s">
        <v>902</v>
      </c>
      <c r="E8614" t="s">
        <v>237</v>
      </c>
      <c r="F8614" t="s">
        <v>670</v>
      </c>
      <c r="G8614" t="s">
        <v>59</v>
      </c>
      <c r="H8614">
        <v>2025</v>
      </c>
    </row>
    <row r="8615" spans="1:8" x14ac:dyDescent="0.2">
      <c r="A8615">
        <v>30042</v>
      </c>
      <c r="B8615">
        <v>3669779.8</v>
      </c>
      <c r="C8615" t="str">
        <f t="shared" si="134"/>
        <v>2. $10K-50K</v>
      </c>
      <c r="D8615" t="s">
        <v>130</v>
      </c>
      <c r="E8615" t="s">
        <v>65</v>
      </c>
      <c r="F8615" t="s">
        <v>22</v>
      </c>
      <c r="G8615" t="s">
        <v>10</v>
      </c>
      <c r="H8615">
        <v>2023</v>
      </c>
    </row>
    <row r="8616" spans="1:8" x14ac:dyDescent="0.2">
      <c r="A8616">
        <v>300436</v>
      </c>
      <c r="B8616">
        <v>125000</v>
      </c>
      <c r="C8616" t="str">
        <f t="shared" si="134"/>
        <v>5. $1M+</v>
      </c>
      <c r="D8616" t="s">
        <v>1663</v>
      </c>
      <c r="E8616" t="s">
        <v>42</v>
      </c>
      <c r="F8616" t="s">
        <v>670</v>
      </c>
      <c r="G8616" t="s">
        <v>59</v>
      </c>
      <c r="H8616">
        <v>2025</v>
      </c>
    </row>
    <row r="8617" spans="1:8" x14ac:dyDescent="0.2">
      <c r="A8617">
        <v>300455</v>
      </c>
      <c r="B8617">
        <v>240483</v>
      </c>
      <c r="C8617" t="str">
        <f t="shared" si="134"/>
        <v>3. $50K-250K</v>
      </c>
      <c r="D8617" t="s">
        <v>669</v>
      </c>
      <c r="E8617" t="s">
        <v>42</v>
      </c>
      <c r="F8617" t="s">
        <v>670</v>
      </c>
      <c r="G8617" t="s">
        <v>59</v>
      </c>
      <c r="H8617">
        <v>2025</v>
      </c>
    </row>
    <row r="8618" spans="1:8" x14ac:dyDescent="0.2">
      <c r="A8618">
        <v>300541</v>
      </c>
      <c r="B8618">
        <v>151470</v>
      </c>
      <c r="C8618" t="str">
        <f t="shared" si="134"/>
        <v>3. $50K-250K</v>
      </c>
      <c r="D8618" t="s">
        <v>749</v>
      </c>
      <c r="E8618" t="s">
        <v>237</v>
      </c>
      <c r="F8618" t="s">
        <v>670</v>
      </c>
      <c r="G8618" t="s">
        <v>59</v>
      </c>
      <c r="H8618">
        <v>2025</v>
      </c>
    </row>
    <row r="8619" spans="1:8" x14ac:dyDescent="0.2">
      <c r="A8619">
        <v>300542</v>
      </c>
      <c r="B8619">
        <v>1006000</v>
      </c>
      <c r="C8619" t="str">
        <f t="shared" si="134"/>
        <v>3. $50K-250K</v>
      </c>
      <c r="D8619" t="s">
        <v>910</v>
      </c>
      <c r="E8619" t="s">
        <v>237</v>
      </c>
      <c r="F8619" t="s">
        <v>670</v>
      </c>
      <c r="G8619" t="s">
        <v>59</v>
      </c>
      <c r="H8619">
        <v>2025</v>
      </c>
    </row>
    <row r="8620" spans="1:8" x14ac:dyDescent="0.2">
      <c r="A8620">
        <v>300543</v>
      </c>
      <c r="B8620">
        <v>40029</v>
      </c>
      <c r="C8620" t="str">
        <f t="shared" si="134"/>
        <v>5. $1M+</v>
      </c>
      <c r="D8620" t="s">
        <v>749</v>
      </c>
      <c r="E8620" t="s">
        <v>237</v>
      </c>
      <c r="F8620" t="s">
        <v>670</v>
      </c>
      <c r="G8620" t="s">
        <v>59</v>
      </c>
      <c r="H8620">
        <v>2025</v>
      </c>
    </row>
    <row r="8621" spans="1:8" x14ac:dyDescent="0.2">
      <c r="A8621">
        <v>300546</v>
      </c>
      <c r="B8621">
        <v>71085</v>
      </c>
      <c r="C8621" t="str">
        <f t="shared" si="134"/>
        <v>2. $10K-50K</v>
      </c>
      <c r="D8621" t="s">
        <v>749</v>
      </c>
      <c r="E8621" t="s">
        <v>237</v>
      </c>
      <c r="F8621" t="s">
        <v>670</v>
      </c>
      <c r="G8621" t="s">
        <v>59</v>
      </c>
      <c r="H8621">
        <v>2025</v>
      </c>
    </row>
    <row r="8622" spans="1:8" x14ac:dyDescent="0.2">
      <c r="A8622">
        <v>300555</v>
      </c>
      <c r="B8622">
        <v>916502</v>
      </c>
      <c r="C8622" t="str">
        <f t="shared" si="134"/>
        <v>3. $50K-250K</v>
      </c>
      <c r="D8622" t="s">
        <v>872</v>
      </c>
      <c r="E8622" t="s">
        <v>237</v>
      </c>
      <c r="F8622" t="s">
        <v>670</v>
      </c>
      <c r="G8622" t="s">
        <v>59</v>
      </c>
      <c r="H8622">
        <v>2025</v>
      </c>
    </row>
    <row r="8623" spans="1:8" x14ac:dyDescent="0.2">
      <c r="A8623">
        <v>300563</v>
      </c>
      <c r="B8623">
        <v>70000</v>
      </c>
      <c r="C8623" t="str">
        <f t="shared" si="134"/>
        <v>4. $250K-1M</v>
      </c>
      <c r="D8623" t="s">
        <v>911</v>
      </c>
      <c r="E8623" t="s">
        <v>237</v>
      </c>
      <c r="F8623" t="s">
        <v>670</v>
      </c>
      <c r="G8623" t="s">
        <v>59</v>
      </c>
      <c r="H8623">
        <v>2025</v>
      </c>
    </row>
    <row r="8624" spans="1:8" x14ac:dyDescent="0.2">
      <c r="A8624">
        <v>300569</v>
      </c>
      <c r="B8624">
        <v>45000</v>
      </c>
      <c r="C8624" t="str">
        <f t="shared" si="134"/>
        <v>3. $50K-250K</v>
      </c>
      <c r="D8624" t="s">
        <v>749</v>
      </c>
      <c r="E8624" t="s">
        <v>237</v>
      </c>
      <c r="F8624" t="s">
        <v>670</v>
      </c>
      <c r="G8624" t="s">
        <v>59</v>
      </c>
      <c r="H8624">
        <v>2025</v>
      </c>
    </row>
    <row r="8625" spans="1:8" x14ac:dyDescent="0.2">
      <c r="A8625">
        <v>300570</v>
      </c>
      <c r="B8625">
        <v>82630</v>
      </c>
      <c r="C8625" t="str">
        <f t="shared" si="134"/>
        <v>2. $10K-50K</v>
      </c>
      <c r="D8625" t="s">
        <v>890</v>
      </c>
      <c r="E8625" t="s">
        <v>237</v>
      </c>
      <c r="F8625" t="s">
        <v>670</v>
      </c>
      <c r="G8625" t="s">
        <v>59</v>
      </c>
      <c r="H8625">
        <v>2025</v>
      </c>
    </row>
    <row r="8626" spans="1:8" x14ac:dyDescent="0.2">
      <c r="A8626">
        <v>300571</v>
      </c>
      <c r="B8626">
        <v>41340</v>
      </c>
      <c r="C8626" t="str">
        <f t="shared" si="134"/>
        <v>3. $50K-250K</v>
      </c>
      <c r="D8626" t="s">
        <v>749</v>
      </c>
      <c r="E8626" t="s">
        <v>237</v>
      </c>
      <c r="F8626" t="s">
        <v>670</v>
      </c>
      <c r="G8626" t="s">
        <v>59</v>
      </c>
      <c r="H8626">
        <v>2025</v>
      </c>
    </row>
    <row r="8627" spans="1:8" x14ac:dyDescent="0.2">
      <c r="A8627">
        <v>300713</v>
      </c>
      <c r="B8627">
        <v>900000</v>
      </c>
      <c r="C8627" t="str">
        <f t="shared" si="134"/>
        <v>2. $10K-50K</v>
      </c>
      <c r="D8627" t="s">
        <v>792</v>
      </c>
      <c r="E8627" t="s">
        <v>237</v>
      </c>
      <c r="F8627" t="s">
        <v>670</v>
      </c>
      <c r="G8627" t="s">
        <v>59</v>
      </c>
      <c r="H8627">
        <v>2025</v>
      </c>
    </row>
    <row r="8628" spans="1:8" x14ac:dyDescent="0.2">
      <c r="A8628">
        <v>300727</v>
      </c>
      <c r="B8628">
        <v>525000</v>
      </c>
      <c r="C8628" t="str">
        <f t="shared" si="134"/>
        <v>4. $250K-1M</v>
      </c>
      <c r="D8628" t="s">
        <v>849</v>
      </c>
      <c r="E8628" t="s">
        <v>42</v>
      </c>
      <c r="F8628" t="s">
        <v>670</v>
      </c>
      <c r="G8628" t="s">
        <v>59</v>
      </c>
      <c r="H8628">
        <v>2025</v>
      </c>
    </row>
    <row r="8629" spans="1:8" x14ac:dyDescent="0.2">
      <c r="A8629">
        <v>300824</v>
      </c>
      <c r="B8629">
        <v>126111</v>
      </c>
      <c r="C8629" t="str">
        <f t="shared" si="134"/>
        <v>4. $250K-1M</v>
      </c>
      <c r="D8629" t="s">
        <v>772</v>
      </c>
      <c r="E8629" t="s">
        <v>42</v>
      </c>
      <c r="F8629" t="s">
        <v>670</v>
      </c>
      <c r="G8629" t="s">
        <v>44</v>
      </c>
      <c r="H8629">
        <v>2025</v>
      </c>
    </row>
    <row r="8630" spans="1:8" x14ac:dyDescent="0.2">
      <c r="A8630">
        <v>300842</v>
      </c>
      <c r="B8630">
        <v>518052</v>
      </c>
      <c r="C8630" t="str">
        <f t="shared" si="134"/>
        <v>3. $50K-250K</v>
      </c>
      <c r="D8630" t="s">
        <v>855</v>
      </c>
      <c r="E8630" t="s">
        <v>42</v>
      </c>
      <c r="F8630" t="s">
        <v>670</v>
      </c>
      <c r="G8630" t="s">
        <v>59</v>
      </c>
      <c r="H8630">
        <v>2025</v>
      </c>
    </row>
    <row r="8631" spans="1:8" x14ac:dyDescent="0.2">
      <c r="A8631">
        <v>30085</v>
      </c>
      <c r="B8631">
        <v>40000</v>
      </c>
      <c r="C8631" t="str">
        <f t="shared" si="134"/>
        <v>4. $250K-1M</v>
      </c>
      <c r="D8631" t="s">
        <v>83</v>
      </c>
      <c r="E8631" t="s">
        <v>24</v>
      </c>
      <c r="F8631" t="s">
        <v>22</v>
      </c>
      <c r="G8631" t="s">
        <v>10</v>
      </c>
      <c r="H8631">
        <v>2024</v>
      </c>
    </row>
    <row r="8632" spans="1:8" x14ac:dyDescent="0.2">
      <c r="A8632">
        <v>300882</v>
      </c>
      <c r="B8632">
        <v>1719211.3</v>
      </c>
      <c r="C8632" t="str">
        <f t="shared" si="134"/>
        <v>2. $10K-50K</v>
      </c>
      <c r="D8632" t="s">
        <v>230</v>
      </c>
      <c r="E8632" t="s">
        <v>67</v>
      </c>
      <c r="F8632" t="s">
        <v>231</v>
      </c>
      <c r="G8632" t="s">
        <v>232</v>
      </c>
      <c r="H8632">
        <v>2025</v>
      </c>
    </row>
    <row r="8633" spans="1:8" x14ac:dyDescent="0.2">
      <c r="A8633">
        <v>300892</v>
      </c>
      <c r="B8633">
        <v>221085.3</v>
      </c>
      <c r="C8633" t="str">
        <f t="shared" si="134"/>
        <v>5. $1M+</v>
      </c>
      <c r="D8633" t="s">
        <v>230</v>
      </c>
      <c r="E8633" t="s">
        <v>67</v>
      </c>
      <c r="F8633" t="s">
        <v>231</v>
      </c>
      <c r="G8633" t="s">
        <v>232</v>
      </c>
      <c r="H8633">
        <v>2025</v>
      </c>
    </row>
    <row r="8634" spans="1:8" x14ac:dyDescent="0.2">
      <c r="A8634">
        <v>300900</v>
      </c>
      <c r="B8634">
        <v>73864.800000000003</v>
      </c>
      <c r="C8634" t="str">
        <f t="shared" si="134"/>
        <v>3. $50K-250K</v>
      </c>
      <c r="D8634" t="s">
        <v>230</v>
      </c>
      <c r="E8634" t="s">
        <v>67</v>
      </c>
      <c r="F8634" t="s">
        <v>231</v>
      </c>
      <c r="G8634" t="s">
        <v>232</v>
      </c>
      <c r="H8634">
        <v>2025</v>
      </c>
    </row>
    <row r="8635" spans="1:8" x14ac:dyDescent="0.2">
      <c r="A8635">
        <v>300950</v>
      </c>
      <c r="B8635">
        <v>54000</v>
      </c>
      <c r="C8635" t="str">
        <f t="shared" si="134"/>
        <v>3. $50K-250K</v>
      </c>
      <c r="D8635" t="s">
        <v>697</v>
      </c>
      <c r="E8635" t="s">
        <v>237</v>
      </c>
      <c r="F8635" t="s">
        <v>670</v>
      </c>
      <c r="G8635" t="s">
        <v>59</v>
      </c>
      <c r="H8635">
        <v>2025</v>
      </c>
    </row>
    <row r="8636" spans="1:8" x14ac:dyDescent="0.2">
      <c r="A8636">
        <v>300951</v>
      </c>
      <c r="B8636">
        <v>297000</v>
      </c>
      <c r="C8636" t="str">
        <f t="shared" si="134"/>
        <v>3. $50K-250K</v>
      </c>
      <c r="D8636" t="s">
        <v>697</v>
      </c>
      <c r="E8636" t="s">
        <v>237</v>
      </c>
      <c r="F8636" t="s">
        <v>670</v>
      </c>
      <c r="G8636" t="s">
        <v>59</v>
      </c>
      <c r="H8636">
        <v>2025</v>
      </c>
    </row>
    <row r="8637" spans="1:8" x14ac:dyDescent="0.2">
      <c r="A8637">
        <v>300952</v>
      </c>
      <c r="B8637">
        <v>897000</v>
      </c>
      <c r="C8637" t="str">
        <f t="shared" si="134"/>
        <v>4. $250K-1M</v>
      </c>
      <c r="D8637" t="s">
        <v>1084</v>
      </c>
      <c r="E8637" t="s">
        <v>237</v>
      </c>
      <c r="F8637" t="s">
        <v>670</v>
      </c>
      <c r="G8637" t="s">
        <v>59</v>
      </c>
      <c r="H8637">
        <v>2025</v>
      </c>
    </row>
    <row r="8638" spans="1:8" x14ac:dyDescent="0.2">
      <c r="A8638">
        <v>300953</v>
      </c>
      <c r="B8638">
        <v>207000</v>
      </c>
      <c r="C8638" t="str">
        <f t="shared" si="134"/>
        <v>4. $250K-1M</v>
      </c>
      <c r="D8638" t="s">
        <v>1084</v>
      </c>
      <c r="E8638" t="s">
        <v>237</v>
      </c>
      <c r="F8638" t="s">
        <v>670</v>
      </c>
      <c r="G8638" t="s">
        <v>59</v>
      </c>
      <c r="H8638">
        <v>2025</v>
      </c>
    </row>
    <row r="8639" spans="1:8" x14ac:dyDescent="0.2">
      <c r="A8639">
        <v>300954</v>
      </c>
      <c r="B8639">
        <v>185760</v>
      </c>
      <c r="C8639" t="str">
        <f t="shared" si="134"/>
        <v>3. $50K-250K</v>
      </c>
      <c r="D8639" t="s">
        <v>391</v>
      </c>
      <c r="E8639" t="s">
        <v>237</v>
      </c>
      <c r="F8639" t="s">
        <v>670</v>
      </c>
      <c r="G8639" t="s">
        <v>59</v>
      </c>
      <c r="H8639">
        <v>2025</v>
      </c>
    </row>
    <row r="8640" spans="1:8" x14ac:dyDescent="0.2">
      <c r="A8640">
        <v>300955</v>
      </c>
      <c r="B8640">
        <v>897000</v>
      </c>
      <c r="C8640" t="str">
        <f t="shared" si="134"/>
        <v>3. $50K-250K</v>
      </c>
      <c r="D8640" t="s">
        <v>1084</v>
      </c>
      <c r="E8640" t="s">
        <v>237</v>
      </c>
      <c r="F8640" t="s">
        <v>670</v>
      </c>
      <c r="G8640" t="s">
        <v>59</v>
      </c>
      <c r="H8640">
        <v>2025</v>
      </c>
    </row>
    <row r="8641" spans="1:8" x14ac:dyDescent="0.2">
      <c r="A8641">
        <v>300956</v>
      </c>
      <c r="B8641">
        <v>103500</v>
      </c>
      <c r="C8641" t="str">
        <f t="shared" si="134"/>
        <v>4. $250K-1M</v>
      </c>
      <c r="D8641" t="s">
        <v>1084</v>
      </c>
      <c r="E8641" t="s">
        <v>237</v>
      </c>
      <c r="F8641" t="s">
        <v>670</v>
      </c>
      <c r="G8641" t="s">
        <v>59</v>
      </c>
      <c r="H8641">
        <v>2025</v>
      </c>
    </row>
    <row r="8642" spans="1:8" x14ac:dyDescent="0.2">
      <c r="A8642">
        <v>300959</v>
      </c>
      <c r="B8642">
        <v>10509</v>
      </c>
      <c r="C8642" t="str">
        <f t="shared" si="134"/>
        <v>3. $50K-250K</v>
      </c>
      <c r="D8642" t="s">
        <v>686</v>
      </c>
      <c r="E8642" t="s">
        <v>42</v>
      </c>
      <c r="F8642" t="s">
        <v>670</v>
      </c>
      <c r="G8642" t="s">
        <v>59</v>
      </c>
      <c r="H8642">
        <v>2025</v>
      </c>
    </row>
    <row r="8643" spans="1:8" x14ac:dyDescent="0.2">
      <c r="A8643">
        <v>300960</v>
      </c>
      <c r="B8643">
        <v>33379.4</v>
      </c>
      <c r="C8643" t="str">
        <f t="shared" ref="C8643:C8706" si="135">IF(B8642&lt;10000,"1. Under $10K",IF(B8642&lt;50000,"2. $10K-50K",IF(B8642&lt;250000,"3. $50K-250K",IF(B8642&lt;1000000,"4. $250K-1M","5. $1M+"))))</f>
        <v>2. $10K-50K</v>
      </c>
      <c r="D8643" t="s">
        <v>391</v>
      </c>
      <c r="E8643" t="s">
        <v>42</v>
      </c>
      <c r="F8643" t="s">
        <v>670</v>
      </c>
      <c r="G8643" t="s">
        <v>59</v>
      </c>
      <c r="H8643">
        <v>2025</v>
      </c>
    </row>
    <row r="8644" spans="1:8" x14ac:dyDescent="0.2">
      <c r="A8644">
        <v>300961</v>
      </c>
      <c r="B8644">
        <v>134957.5</v>
      </c>
      <c r="C8644" t="str">
        <f t="shared" si="135"/>
        <v>2. $10K-50K</v>
      </c>
      <c r="D8644" t="s">
        <v>781</v>
      </c>
      <c r="E8644" t="s">
        <v>42</v>
      </c>
      <c r="F8644" t="s">
        <v>670</v>
      </c>
      <c r="G8644" t="s">
        <v>59</v>
      </c>
      <c r="H8644">
        <v>2025</v>
      </c>
    </row>
    <row r="8645" spans="1:8" x14ac:dyDescent="0.2">
      <c r="A8645">
        <v>300962</v>
      </c>
      <c r="B8645">
        <v>355837</v>
      </c>
      <c r="C8645" t="str">
        <f t="shared" si="135"/>
        <v>3. $50K-250K</v>
      </c>
      <c r="D8645" t="s">
        <v>849</v>
      </c>
      <c r="E8645" t="s">
        <v>42</v>
      </c>
      <c r="F8645" t="s">
        <v>670</v>
      </c>
      <c r="G8645" t="s">
        <v>59</v>
      </c>
      <c r="H8645">
        <v>2025</v>
      </c>
    </row>
    <row r="8646" spans="1:8" x14ac:dyDescent="0.2">
      <c r="A8646">
        <v>300963</v>
      </c>
      <c r="B8646">
        <v>70147.3</v>
      </c>
      <c r="C8646" t="str">
        <f t="shared" si="135"/>
        <v>4. $250K-1M</v>
      </c>
      <c r="D8646" t="s">
        <v>781</v>
      </c>
      <c r="E8646" t="s">
        <v>42</v>
      </c>
      <c r="F8646" t="s">
        <v>670</v>
      </c>
      <c r="G8646" t="s">
        <v>59</v>
      </c>
      <c r="H8646">
        <v>2025</v>
      </c>
    </row>
    <row r="8647" spans="1:8" x14ac:dyDescent="0.2">
      <c r="A8647">
        <v>300964</v>
      </c>
      <c r="B8647">
        <v>15742</v>
      </c>
      <c r="C8647" t="str">
        <f t="shared" si="135"/>
        <v>3. $50K-250K</v>
      </c>
      <c r="D8647" t="s">
        <v>684</v>
      </c>
      <c r="E8647" t="s">
        <v>42</v>
      </c>
      <c r="F8647" t="s">
        <v>670</v>
      </c>
      <c r="G8647" t="s">
        <v>59</v>
      </c>
      <c r="H8647">
        <v>2025</v>
      </c>
    </row>
    <row r="8648" spans="1:8" x14ac:dyDescent="0.2">
      <c r="A8648">
        <v>300965</v>
      </c>
      <c r="B8648">
        <v>60955.5</v>
      </c>
      <c r="C8648" t="str">
        <f t="shared" si="135"/>
        <v>2. $10K-50K</v>
      </c>
      <c r="D8648" t="s">
        <v>682</v>
      </c>
      <c r="E8648" t="s">
        <v>42</v>
      </c>
      <c r="F8648" t="s">
        <v>670</v>
      </c>
      <c r="G8648" t="s">
        <v>59</v>
      </c>
      <c r="H8648">
        <v>2025</v>
      </c>
    </row>
    <row r="8649" spans="1:8" x14ac:dyDescent="0.2">
      <c r="A8649">
        <v>300966</v>
      </c>
      <c r="B8649">
        <v>33863</v>
      </c>
      <c r="C8649" t="str">
        <f t="shared" si="135"/>
        <v>3. $50K-250K</v>
      </c>
      <c r="D8649" t="s">
        <v>673</v>
      </c>
      <c r="E8649" t="s">
        <v>42</v>
      </c>
      <c r="F8649" t="s">
        <v>670</v>
      </c>
      <c r="G8649" t="s">
        <v>59</v>
      </c>
      <c r="H8649">
        <v>2025</v>
      </c>
    </row>
    <row r="8650" spans="1:8" x14ac:dyDescent="0.2">
      <c r="A8650">
        <v>300967</v>
      </c>
      <c r="B8650">
        <v>157500</v>
      </c>
      <c r="C8650" t="str">
        <f t="shared" si="135"/>
        <v>2. $10K-50K</v>
      </c>
      <c r="D8650" t="s">
        <v>672</v>
      </c>
      <c r="E8650" t="s">
        <v>42</v>
      </c>
      <c r="F8650" t="s">
        <v>670</v>
      </c>
      <c r="G8650" t="s">
        <v>59</v>
      </c>
      <c r="H8650">
        <v>2025</v>
      </c>
    </row>
    <row r="8651" spans="1:8" x14ac:dyDescent="0.2">
      <c r="A8651">
        <v>300968</v>
      </c>
      <c r="B8651">
        <v>11117.8</v>
      </c>
      <c r="C8651" t="str">
        <f t="shared" si="135"/>
        <v>3. $50K-250K</v>
      </c>
      <c r="D8651" t="s">
        <v>688</v>
      </c>
      <c r="E8651" t="s">
        <v>42</v>
      </c>
      <c r="F8651" t="s">
        <v>670</v>
      </c>
      <c r="G8651" t="s">
        <v>59</v>
      </c>
      <c r="H8651">
        <v>2025</v>
      </c>
    </row>
    <row r="8652" spans="1:8" x14ac:dyDescent="0.2">
      <c r="A8652">
        <v>300973</v>
      </c>
      <c r="B8652">
        <v>8019555</v>
      </c>
      <c r="C8652" t="str">
        <f t="shared" si="135"/>
        <v>2. $10K-50K</v>
      </c>
      <c r="D8652" t="s">
        <v>749</v>
      </c>
      <c r="E8652" t="s">
        <v>42</v>
      </c>
      <c r="F8652" t="s">
        <v>670</v>
      </c>
      <c r="G8652" t="s">
        <v>44</v>
      </c>
      <c r="H8652">
        <v>2025</v>
      </c>
    </row>
    <row r="8653" spans="1:8" x14ac:dyDescent="0.2">
      <c r="A8653">
        <v>300974</v>
      </c>
      <c r="B8653">
        <v>6419555</v>
      </c>
      <c r="C8653" t="str">
        <f t="shared" si="135"/>
        <v>5. $1M+</v>
      </c>
      <c r="D8653" t="s">
        <v>1047</v>
      </c>
      <c r="E8653" t="s">
        <v>42</v>
      </c>
      <c r="F8653" t="s">
        <v>670</v>
      </c>
      <c r="G8653" t="s">
        <v>44</v>
      </c>
      <c r="H8653">
        <v>2025</v>
      </c>
    </row>
    <row r="8654" spans="1:8" x14ac:dyDescent="0.2">
      <c r="A8654">
        <v>300976</v>
      </c>
      <c r="B8654">
        <v>1376968.2</v>
      </c>
      <c r="C8654" t="str">
        <f t="shared" si="135"/>
        <v>5. $1M+</v>
      </c>
      <c r="D8654" t="s">
        <v>2070</v>
      </c>
      <c r="E8654" t="s">
        <v>237</v>
      </c>
      <c r="F8654" t="s">
        <v>670</v>
      </c>
      <c r="G8654" t="s">
        <v>59</v>
      </c>
      <c r="H8654">
        <v>2025</v>
      </c>
    </row>
    <row r="8655" spans="1:8" x14ac:dyDescent="0.2">
      <c r="A8655">
        <v>300977</v>
      </c>
      <c r="B8655">
        <v>145573</v>
      </c>
      <c r="C8655" t="str">
        <f t="shared" si="135"/>
        <v>5. $1M+</v>
      </c>
      <c r="D8655" t="s">
        <v>701</v>
      </c>
      <c r="E8655" t="s">
        <v>237</v>
      </c>
      <c r="F8655" t="s">
        <v>670</v>
      </c>
      <c r="G8655" t="s">
        <v>59</v>
      </c>
      <c r="H8655">
        <v>2025</v>
      </c>
    </row>
    <row r="8656" spans="1:8" x14ac:dyDescent="0.2">
      <c r="A8656">
        <v>300982</v>
      </c>
      <c r="B8656">
        <v>50000</v>
      </c>
      <c r="C8656" t="str">
        <f t="shared" si="135"/>
        <v>3. $50K-250K</v>
      </c>
      <c r="D8656" t="s">
        <v>763</v>
      </c>
      <c r="E8656" t="s">
        <v>42</v>
      </c>
      <c r="F8656" t="s">
        <v>670</v>
      </c>
      <c r="G8656" t="s">
        <v>59</v>
      </c>
      <c r="H8656">
        <v>2025</v>
      </c>
    </row>
    <row r="8657" spans="1:8" x14ac:dyDescent="0.2">
      <c r="A8657">
        <v>301010</v>
      </c>
      <c r="B8657">
        <v>20533</v>
      </c>
      <c r="C8657" t="str">
        <f t="shared" si="135"/>
        <v>3. $50K-250K</v>
      </c>
      <c r="D8657" t="s">
        <v>696</v>
      </c>
      <c r="E8657" t="s">
        <v>237</v>
      </c>
      <c r="F8657" t="s">
        <v>670</v>
      </c>
      <c r="G8657" t="s">
        <v>59</v>
      </c>
      <c r="H8657">
        <v>2025</v>
      </c>
    </row>
    <row r="8658" spans="1:8" x14ac:dyDescent="0.2">
      <c r="A8658">
        <v>301011</v>
      </c>
      <c r="B8658">
        <v>29466</v>
      </c>
      <c r="C8658" t="str">
        <f t="shared" si="135"/>
        <v>2. $10K-50K</v>
      </c>
      <c r="D8658" t="s">
        <v>696</v>
      </c>
      <c r="E8658" t="s">
        <v>237</v>
      </c>
      <c r="F8658" t="s">
        <v>670</v>
      </c>
      <c r="G8658" t="s">
        <v>59</v>
      </c>
      <c r="H8658">
        <v>2025</v>
      </c>
    </row>
    <row r="8659" spans="1:8" x14ac:dyDescent="0.2">
      <c r="A8659">
        <v>301012</v>
      </c>
      <c r="B8659">
        <v>84161</v>
      </c>
      <c r="C8659" t="str">
        <f t="shared" si="135"/>
        <v>2. $10K-50K</v>
      </c>
      <c r="D8659" t="s">
        <v>903</v>
      </c>
      <c r="E8659" t="s">
        <v>237</v>
      </c>
      <c r="F8659" t="s">
        <v>670</v>
      </c>
      <c r="G8659" t="s">
        <v>59</v>
      </c>
      <c r="H8659">
        <v>2025</v>
      </c>
    </row>
    <row r="8660" spans="1:8" x14ac:dyDescent="0.2">
      <c r="A8660">
        <v>301075</v>
      </c>
      <c r="B8660">
        <v>1414875</v>
      </c>
      <c r="C8660" t="str">
        <f t="shared" si="135"/>
        <v>3. $50K-250K</v>
      </c>
      <c r="D8660" t="s">
        <v>498</v>
      </c>
      <c r="E8660" t="s">
        <v>411</v>
      </c>
      <c r="F8660" t="s">
        <v>43</v>
      </c>
      <c r="G8660" t="s">
        <v>61</v>
      </c>
      <c r="H8660">
        <v>2025</v>
      </c>
    </row>
    <row r="8661" spans="1:8" x14ac:dyDescent="0.2">
      <c r="A8661">
        <v>301077</v>
      </c>
      <c r="B8661">
        <v>1968750</v>
      </c>
      <c r="C8661" t="str">
        <f t="shared" si="135"/>
        <v>5. $1M+</v>
      </c>
      <c r="D8661" t="s">
        <v>499</v>
      </c>
      <c r="E8661" t="s">
        <v>411</v>
      </c>
      <c r="F8661" t="s">
        <v>43</v>
      </c>
      <c r="G8661" t="s">
        <v>61</v>
      </c>
      <c r="H8661">
        <v>2025</v>
      </c>
    </row>
    <row r="8662" spans="1:8" x14ac:dyDescent="0.2">
      <c r="A8662">
        <v>301078</v>
      </c>
      <c r="B8662">
        <v>90000</v>
      </c>
      <c r="C8662" t="str">
        <f t="shared" si="135"/>
        <v>5. $1M+</v>
      </c>
      <c r="D8662" t="s">
        <v>1274</v>
      </c>
      <c r="E8662" t="s">
        <v>112</v>
      </c>
      <c r="F8662" t="s">
        <v>668</v>
      </c>
      <c r="G8662" t="s">
        <v>59</v>
      </c>
      <c r="H8662">
        <v>2025</v>
      </c>
    </row>
    <row r="8663" spans="1:8" x14ac:dyDescent="0.2">
      <c r="A8663">
        <v>301079</v>
      </c>
      <c r="B8663">
        <v>3219688</v>
      </c>
      <c r="C8663" t="str">
        <f t="shared" si="135"/>
        <v>3. $50K-250K</v>
      </c>
      <c r="D8663" t="s">
        <v>500</v>
      </c>
      <c r="E8663" t="s">
        <v>411</v>
      </c>
      <c r="F8663" t="s">
        <v>43</v>
      </c>
      <c r="G8663" t="s">
        <v>61</v>
      </c>
      <c r="H8663">
        <v>2025</v>
      </c>
    </row>
    <row r="8664" spans="1:8" x14ac:dyDescent="0.2">
      <c r="A8664">
        <v>301082</v>
      </c>
      <c r="B8664">
        <v>90000</v>
      </c>
      <c r="C8664" t="str">
        <f t="shared" si="135"/>
        <v>5. $1M+</v>
      </c>
      <c r="D8664" t="s">
        <v>1202</v>
      </c>
      <c r="E8664" t="s">
        <v>112</v>
      </c>
      <c r="F8664" t="s">
        <v>668</v>
      </c>
      <c r="G8664" t="s">
        <v>59</v>
      </c>
      <c r="H8664">
        <v>2025</v>
      </c>
    </row>
    <row r="8665" spans="1:8" x14ac:dyDescent="0.2">
      <c r="A8665">
        <v>301083</v>
      </c>
      <c r="B8665">
        <v>80000</v>
      </c>
      <c r="C8665" t="str">
        <f t="shared" si="135"/>
        <v>3. $50K-250K</v>
      </c>
      <c r="D8665" t="s">
        <v>1291</v>
      </c>
      <c r="E8665" t="s">
        <v>112</v>
      </c>
      <c r="F8665" t="s">
        <v>668</v>
      </c>
      <c r="G8665" t="s">
        <v>59</v>
      </c>
      <c r="H8665">
        <v>2025</v>
      </c>
    </row>
    <row r="8666" spans="1:8" x14ac:dyDescent="0.2">
      <c r="A8666">
        <v>301084</v>
      </c>
      <c r="B8666">
        <v>60000</v>
      </c>
      <c r="C8666" t="str">
        <f t="shared" si="135"/>
        <v>3. $50K-250K</v>
      </c>
      <c r="D8666" t="s">
        <v>1218</v>
      </c>
      <c r="E8666" t="s">
        <v>112</v>
      </c>
      <c r="F8666" t="s">
        <v>668</v>
      </c>
      <c r="G8666" t="s">
        <v>59</v>
      </c>
      <c r="H8666">
        <v>2025</v>
      </c>
    </row>
    <row r="8667" spans="1:8" x14ac:dyDescent="0.2">
      <c r="A8667">
        <v>301085</v>
      </c>
      <c r="B8667">
        <v>80000</v>
      </c>
      <c r="C8667" t="str">
        <f t="shared" si="135"/>
        <v>3. $50K-250K</v>
      </c>
      <c r="D8667" t="s">
        <v>1129</v>
      </c>
      <c r="E8667" t="s">
        <v>112</v>
      </c>
      <c r="F8667" t="s">
        <v>668</v>
      </c>
      <c r="G8667" t="s">
        <v>59</v>
      </c>
      <c r="H8667">
        <v>2025</v>
      </c>
    </row>
    <row r="8668" spans="1:8" x14ac:dyDescent="0.2">
      <c r="A8668">
        <v>301088</v>
      </c>
      <c r="B8668">
        <v>80000</v>
      </c>
      <c r="C8668" t="str">
        <f t="shared" si="135"/>
        <v>3. $50K-250K</v>
      </c>
      <c r="D8668" t="s">
        <v>1338</v>
      </c>
      <c r="E8668" t="s">
        <v>112</v>
      </c>
      <c r="F8668" t="s">
        <v>668</v>
      </c>
      <c r="G8668" t="s">
        <v>59</v>
      </c>
      <c r="H8668">
        <v>2025</v>
      </c>
    </row>
    <row r="8669" spans="1:8" x14ac:dyDescent="0.2">
      <c r="A8669">
        <v>301101</v>
      </c>
      <c r="B8669">
        <v>70000</v>
      </c>
      <c r="C8669" t="str">
        <f t="shared" si="135"/>
        <v>3. $50K-250K</v>
      </c>
      <c r="D8669" t="s">
        <v>2522</v>
      </c>
      <c r="E8669" t="s">
        <v>112</v>
      </c>
      <c r="F8669" t="s">
        <v>668</v>
      </c>
      <c r="G8669" t="s">
        <v>59</v>
      </c>
      <c r="H8669">
        <v>2025</v>
      </c>
    </row>
    <row r="8670" spans="1:8" x14ac:dyDescent="0.2">
      <c r="A8670">
        <v>301105</v>
      </c>
      <c r="B8670">
        <v>60000</v>
      </c>
      <c r="C8670" t="str">
        <f t="shared" si="135"/>
        <v>3. $50K-250K</v>
      </c>
      <c r="D8670" t="s">
        <v>1287</v>
      </c>
      <c r="E8670" t="s">
        <v>112</v>
      </c>
      <c r="F8670" t="s">
        <v>668</v>
      </c>
      <c r="G8670" t="s">
        <v>59</v>
      </c>
      <c r="H8670">
        <v>2025</v>
      </c>
    </row>
    <row r="8671" spans="1:8" x14ac:dyDescent="0.2">
      <c r="A8671">
        <v>301106</v>
      </c>
      <c r="B8671">
        <v>90000</v>
      </c>
      <c r="C8671" t="str">
        <f t="shared" si="135"/>
        <v>3. $50K-250K</v>
      </c>
      <c r="D8671" t="s">
        <v>1210</v>
      </c>
      <c r="E8671" t="s">
        <v>112</v>
      </c>
      <c r="F8671" t="s">
        <v>668</v>
      </c>
      <c r="G8671" t="s">
        <v>59</v>
      </c>
      <c r="H8671">
        <v>2025</v>
      </c>
    </row>
    <row r="8672" spans="1:8" x14ac:dyDescent="0.2">
      <c r="A8672">
        <v>301111</v>
      </c>
      <c r="B8672">
        <v>80000</v>
      </c>
      <c r="C8672" t="str">
        <f t="shared" si="135"/>
        <v>3. $50K-250K</v>
      </c>
      <c r="D8672" t="s">
        <v>1238</v>
      </c>
      <c r="E8672" t="s">
        <v>112</v>
      </c>
      <c r="F8672" t="s">
        <v>668</v>
      </c>
      <c r="G8672" t="s">
        <v>59</v>
      </c>
      <c r="H8672">
        <v>2025</v>
      </c>
    </row>
    <row r="8673" spans="1:8" x14ac:dyDescent="0.2">
      <c r="A8673">
        <v>301114</v>
      </c>
      <c r="B8673">
        <v>90000</v>
      </c>
      <c r="C8673" t="str">
        <f t="shared" si="135"/>
        <v>3. $50K-250K</v>
      </c>
      <c r="D8673" t="s">
        <v>1719</v>
      </c>
      <c r="E8673" t="s">
        <v>112</v>
      </c>
      <c r="F8673" t="s">
        <v>668</v>
      </c>
      <c r="G8673" t="s">
        <v>59</v>
      </c>
      <c r="H8673">
        <v>2025</v>
      </c>
    </row>
    <row r="8674" spans="1:8" x14ac:dyDescent="0.2">
      <c r="A8674">
        <v>301130</v>
      </c>
      <c r="B8674">
        <v>480000</v>
      </c>
      <c r="C8674" t="str">
        <f t="shared" si="135"/>
        <v>3. $50K-250K</v>
      </c>
      <c r="D8674" t="s">
        <v>2523</v>
      </c>
      <c r="E8674" t="s">
        <v>112</v>
      </c>
      <c r="F8674" t="s">
        <v>668</v>
      </c>
      <c r="G8674" t="s">
        <v>59</v>
      </c>
      <c r="H8674">
        <v>2025</v>
      </c>
    </row>
    <row r="8675" spans="1:8" x14ac:dyDescent="0.2">
      <c r="A8675">
        <v>301131</v>
      </c>
      <c r="B8675">
        <v>1919400</v>
      </c>
      <c r="C8675" t="str">
        <f t="shared" si="135"/>
        <v>4. $250K-1M</v>
      </c>
      <c r="D8675" t="s">
        <v>778</v>
      </c>
      <c r="E8675" t="s">
        <v>99</v>
      </c>
      <c r="F8675" t="s">
        <v>668</v>
      </c>
      <c r="G8675" t="s">
        <v>59</v>
      </c>
      <c r="H8675">
        <v>2025</v>
      </c>
    </row>
    <row r="8676" spans="1:8" x14ac:dyDescent="0.2">
      <c r="A8676">
        <v>301133</v>
      </c>
      <c r="B8676">
        <v>71000</v>
      </c>
      <c r="C8676" t="str">
        <f t="shared" si="135"/>
        <v>5. $1M+</v>
      </c>
      <c r="D8676" t="s">
        <v>1878</v>
      </c>
      <c r="E8676" t="s">
        <v>112</v>
      </c>
      <c r="F8676" t="s">
        <v>668</v>
      </c>
      <c r="G8676" t="s">
        <v>59</v>
      </c>
      <c r="H8676">
        <v>2025</v>
      </c>
    </row>
    <row r="8677" spans="1:8" x14ac:dyDescent="0.2">
      <c r="A8677">
        <v>301138</v>
      </c>
      <c r="B8677">
        <v>100000</v>
      </c>
      <c r="C8677" t="str">
        <f t="shared" si="135"/>
        <v>3. $50K-250K</v>
      </c>
      <c r="D8677" t="s">
        <v>953</v>
      </c>
      <c r="E8677" t="s">
        <v>99</v>
      </c>
      <c r="F8677" t="s">
        <v>668</v>
      </c>
      <c r="G8677" t="s">
        <v>59</v>
      </c>
      <c r="H8677">
        <v>2025</v>
      </c>
    </row>
    <row r="8678" spans="1:8" x14ac:dyDescent="0.2">
      <c r="A8678">
        <v>301144</v>
      </c>
      <c r="B8678">
        <v>100000</v>
      </c>
      <c r="C8678" t="str">
        <f t="shared" si="135"/>
        <v>3. $50K-250K</v>
      </c>
      <c r="D8678" t="s">
        <v>1612</v>
      </c>
      <c r="E8678" t="s">
        <v>99</v>
      </c>
      <c r="F8678" t="s">
        <v>668</v>
      </c>
      <c r="G8678" t="s">
        <v>59</v>
      </c>
      <c r="H8678">
        <v>2025</v>
      </c>
    </row>
    <row r="8679" spans="1:8" x14ac:dyDescent="0.2">
      <c r="A8679">
        <v>301147</v>
      </c>
      <c r="B8679">
        <v>250000</v>
      </c>
      <c r="C8679" t="str">
        <f t="shared" si="135"/>
        <v>3. $50K-250K</v>
      </c>
      <c r="D8679" t="s">
        <v>2524</v>
      </c>
      <c r="E8679" t="s">
        <v>99</v>
      </c>
      <c r="F8679" t="s">
        <v>668</v>
      </c>
      <c r="G8679" t="s">
        <v>59</v>
      </c>
      <c r="H8679">
        <v>2025</v>
      </c>
    </row>
    <row r="8680" spans="1:8" x14ac:dyDescent="0.2">
      <c r="A8680">
        <v>301150</v>
      </c>
      <c r="B8680">
        <v>134080</v>
      </c>
      <c r="C8680" t="str">
        <f t="shared" si="135"/>
        <v>4. $250K-1M</v>
      </c>
      <c r="D8680" t="s">
        <v>870</v>
      </c>
      <c r="E8680" t="s">
        <v>237</v>
      </c>
      <c r="F8680" t="s">
        <v>670</v>
      </c>
      <c r="G8680" t="s">
        <v>59</v>
      </c>
      <c r="H8680">
        <v>2025</v>
      </c>
    </row>
    <row r="8681" spans="1:8" x14ac:dyDescent="0.2">
      <c r="A8681">
        <v>301151</v>
      </c>
      <c r="B8681">
        <v>70000</v>
      </c>
      <c r="C8681" t="str">
        <f t="shared" si="135"/>
        <v>3. $50K-250K</v>
      </c>
      <c r="D8681" t="s">
        <v>911</v>
      </c>
      <c r="E8681" t="s">
        <v>237</v>
      </c>
      <c r="F8681" t="s">
        <v>670</v>
      </c>
      <c r="G8681" t="s">
        <v>59</v>
      </c>
      <c r="H8681">
        <v>2025</v>
      </c>
    </row>
    <row r="8682" spans="1:8" x14ac:dyDescent="0.2">
      <c r="A8682">
        <v>301153</v>
      </c>
      <c r="B8682">
        <v>481800</v>
      </c>
      <c r="C8682" t="str">
        <f t="shared" si="135"/>
        <v>3. $50K-250K</v>
      </c>
      <c r="D8682" t="s">
        <v>871</v>
      </c>
      <c r="E8682" t="s">
        <v>237</v>
      </c>
      <c r="F8682" t="s">
        <v>670</v>
      </c>
      <c r="G8682" t="s">
        <v>59</v>
      </c>
      <c r="H8682">
        <v>2025</v>
      </c>
    </row>
    <row r="8683" spans="1:8" x14ac:dyDescent="0.2">
      <c r="A8683">
        <v>301154</v>
      </c>
      <c r="B8683">
        <v>90000</v>
      </c>
      <c r="C8683" t="str">
        <f t="shared" si="135"/>
        <v>4. $250K-1M</v>
      </c>
      <c r="D8683" t="s">
        <v>930</v>
      </c>
      <c r="E8683" t="s">
        <v>237</v>
      </c>
      <c r="F8683" t="s">
        <v>670</v>
      </c>
      <c r="G8683" t="s">
        <v>59</v>
      </c>
      <c r="H8683">
        <v>2025</v>
      </c>
    </row>
    <row r="8684" spans="1:8" x14ac:dyDescent="0.2">
      <c r="A8684">
        <v>301158</v>
      </c>
      <c r="B8684">
        <v>60000</v>
      </c>
      <c r="C8684" t="str">
        <f t="shared" si="135"/>
        <v>3. $50K-250K</v>
      </c>
      <c r="D8684" t="s">
        <v>890</v>
      </c>
      <c r="E8684" t="s">
        <v>237</v>
      </c>
      <c r="F8684" t="s">
        <v>670</v>
      </c>
      <c r="G8684" t="s">
        <v>59</v>
      </c>
      <c r="H8684">
        <v>2025</v>
      </c>
    </row>
    <row r="8685" spans="1:8" x14ac:dyDescent="0.2">
      <c r="A8685">
        <v>301161</v>
      </c>
      <c r="B8685">
        <v>112745</v>
      </c>
      <c r="C8685" t="str">
        <f t="shared" si="135"/>
        <v>3. $50K-250K</v>
      </c>
      <c r="D8685" t="s">
        <v>694</v>
      </c>
      <c r="E8685" t="s">
        <v>237</v>
      </c>
      <c r="F8685" t="s">
        <v>670</v>
      </c>
      <c r="G8685" t="s">
        <v>59</v>
      </c>
      <c r="H8685">
        <v>2025</v>
      </c>
    </row>
    <row r="8686" spans="1:8" x14ac:dyDescent="0.2">
      <c r="A8686">
        <v>301163</v>
      </c>
      <c r="B8686">
        <v>204438</v>
      </c>
      <c r="C8686" t="str">
        <f t="shared" si="135"/>
        <v>3. $50K-250K</v>
      </c>
      <c r="D8686" t="s">
        <v>859</v>
      </c>
      <c r="E8686" t="s">
        <v>237</v>
      </c>
      <c r="F8686" t="s">
        <v>670</v>
      </c>
      <c r="G8686" t="s">
        <v>59</v>
      </c>
      <c r="H8686">
        <v>2025</v>
      </c>
    </row>
    <row r="8687" spans="1:8" x14ac:dyDescent="0.2">
      <c r="A8687">
        <v>301165</v>
      </c>
      <c r="B8687">
        <v>86400</v>
      </c>
      <c r="C8687" t="str">
        <f t="shared" si="135"/>
        <v>3. $50K-250K</v>
      </c>
      <c r="D8687" t="s">
        <v>914</v>
      </c>
      <c r="E8687" t="s">
        <v>237</v>
      </c>
      <c r="F8687" t="s">
        <v>670</v>
      </c>
      <c r="G8687" t="s">
        <v>59</v>
      </c>
      <c r="H8687">
        <v>2025</v>
      </c>
    </row>
    <row r="8688" spans="1:8" x14ac:dyDescent="0.2">
      <c r="A8688">
        <v>301169</v>
      </c>
      <c r="B8688">
        <v>160000</v>
      </c>
      <c r="C8688" t="str">
        <f t="shared" si="135"/>
        <v>3. $50K-250K</v>
      </c>
      <c r="D8688" t="s">
        <v>797</v>
      </c>
      <c r="E8688" t="s">
        <v>99</v>
      </c>
      <c r="F8688" t="s">
        <v>668</v>
      </c>
      <c r="G8688" t="s">
        <v>59</v>
      </c>
      <c r="H8688">
        <v>2025</v>
      </c>
    </row>
    <row r="8689" spans="1:8" x14ac:dyDescent="0.2">
      <c r="A8689">
        <v>301184</v>
      </c>
      <c r="B8689">
        <v>500000</v>
      </c>
      <c r="C8689" t="str">
        <f t="shared" si="135"/>
        <v>3. $50K-250K</v>
      </c>
      <c r="D8689" t="s">
        <v>1034</v>
      </c>
      <c r="E8689" t="s">
        <v>42</v>
      </c>
      <c r="F8689" t="s">
        <v>670</v>
      </c>
      <c r="G8689" t="s">
        <v>59</v>
      </c>
      <c r="H8689">
        <v>2025</v>
      </c>
    </row>
    <row r="8690" spans="1:8" x14ac:dyDescent="0.2">
      <c r="A8690">
        <v>301185</v>
      </c>
      <c r="B8690">
        <v>325000</v>
      </c>
      <c r="C8690" t="str">
        <f t="shared" si="135"/>
        <v>4. $250K-1M</v>
      </c>
      <c r="D8690" t="s">
        <v>849</v>
      </c>
      <c r="E8690" t="s">
        <v>42</v>
      </c>
      <c r="F8690" t="s">
        <v>670</v>
      </c>
      <c r="G8690" t="s">
        <v>59</v>
      </c>
      <c r="H8690">
        <v>2025</v>
      </c>
    </row>
    <row r="8691" spans="1:8" x14ac:dyDescent="0.2">
      <c r="A8691">
        <v>301186</v>
      </c>
      <c r="B8691">
        <v>153000</v>
      </c>
      <c r="C8691" t="str">
        <f t="shared" si="135"/>
        <v>4. $250K-1M</v>
      </c>
      <c r="D8691" t="s">
        <v>801</v>
      </c>
      <c r="E8691" t="s">
        <v>42</v>
      </c>
      <c r="F8691" t="s">
        <v>670</v>
      </c>
      <c r="G8691" t="s">
        <v>59</v>
      </c>
      <c r="H8691">
        <v>2025</v>
      </c>
    </row>
    <row r="8692" spans="1:8" x14ac:dyDescent="0.2">
      <c r="A8692">
        <v>301187</v>
      </c>
      <c r="B8692">
        <v>50000</v>
      </c>
      <c r="C8692" t="str">
        <f t="shared" si="135"/>
        <v>3. $50K-250K</v>
      </c>
      <c r="D8692" t="s">
        <v>801</v>
      </c>
      <c r="E8692" t="s">
        <v>42</v>
      </c>
      <c r="F8692" t="s">
        <v>670</v>
      </c>
      <c r="G8692" t="s">
        <v>59</v>
      </c>
      <c r="H8692">
        <v>2025</v>
      </c>
    </row>
    <row r="8693" spans="1:8" x14ac:dyDescent="0.2">
      <c r="A8693">
        <v>301189</v>
      </c>
      <c r="B8693">
        <v>19765.599999999999</v>
      </c>
      <c r="C8693" t="str">
        <f t="shared" si="135"/>
        <v>3. $50K-250K</v>
      </c>
      <c r="D8693" t="s">
        <v>749</v>
      </c>
      <c r="E8693" t="s">
        <v>42</v>
      </c>
      <c r="F8693" t="s">
        <v>670</v>
      </c>
      <c r="G8693" t="s">
        <v>59</v>
      </c>
      <c r="H8693">
        <v>2025</v>
      </c>
    </row>
    <row r="8694" spans="1:8" x14ac:dyDescent="0.2">
      <c r="A8694">
        <v>301190</v>
      </c>
      <c r="B8694">
        <v>200000</v>
      </c>
      <c r="C8694" t="str">
        <f t="shared" si="135"/>
        <v>2. $10K-50K</v>
      </c>
      <c r="D8694" t="s">
        <v>791</v>
      </c>
      <c r="E8694" t="s">
        <v>42</v>
      </c>
      <c r="F8694" t="s">
        <v>670</v>
      </c>
      <c r="G8694" t="s">
        <v>59</v>
      </c>
      <c r="H8694">
        <v>2025</v>
      </c>
    </row>
    <row r="8695" spans="1:8" x14ac:dyDescent="0.2">
      <c r="A8695">
        <v>301191</v>
      </c>
      <c r="B8695">
        <v>8175</v>
      </c>
      <c r="C8695" t="str">
        <f t="shared" si="135"/>
        <v>3. $50K-250K</v>
      </c>
      <c r="D8695" t="s">
        <v>683</v>
      </c>
      <c r="E8695" t="s">
        <v>42</v>
      </c>
      <c r="F8695" t="s">
        <v>670</v>
      </c>
      <c r="G8695" t="s">
        <v>59</v>
      </c>
      <c r="H8695">
        <v>2025</v>
      </c>
    </row>
    <row r="8696" spans="1:8" x14ac:dyDescent="0.2">
      <c r="A8696">
        <v>301192</v>
      </c>
      <c r="B8696">
        <v>110516.6</v>
      </c>
      <c r="C8696" t="str">
        <f t="shared" si="135"/>
        <v>1. Under $10K</v>
      </c>
      <c r="D8696" t="s">
        <v>783</v>
      </c>
      <c r="E8696" t="s">
        <v>42</v>
      </c>
      <c r="F8696" t="s">
        <v>670</v>
      </c>
      <c r="G8696" t="s">
        <v>59</v>
      </c>
      <c r="H8696">
        <v>2025</v>
      </c>
    </row>
    <row r="8697" spans="1:8" x14ac:dyDescent="0.2">
      <c r="A8697">
        <v>301193</v>
      </c>
      <c r="B8697">
        <v>81270</v>
      </c>
      <c r="C8697" t="str">
        <f t="shared" si="135"/>
        <v>3. $50K-250K</v>
      </c>
      <c r="D8697" t="s">
        <v>673</v>
      </c>
      <c r="E8697" t="s">
        <v>42</v>
      </c>
      <c r="F8697" t="s">
        <v>670</v>
      </c>
      <c r="G8697" t="s">
        <v>59</v>
      </c>
      <c r="H8697">
        <v>2025</v>
      </c>
    </row>
    <row r="8698" spans="1:8" x14ac:dyDescent="0.2">
      <c r="A8698">
        <v>301195</v>
      </c>
      <c r="B8698">
        <v>49050.5</v>
      </c>
      <c r="C8698" t="str">
        <f t="shared" si="135"/>
        <v>3. $50K-250K</v>
      </c>
      <c r="D8698" t="s">
        <v>978</v>
      </c>
      <c r="E8698" t="s">
        <v>42</v>
      </c>
      <c r="F8698" t="s">
        <v>670</v>
      </c>
      <c r="G8698" t="s">
        <v>59</v>
      </c>
      <c r="H8698">
        <v>2025</v>
      </c>
    </row>
    <row r="8699" spans="1:8" x14ac:dyDescent="0.2">
      <c r="A8699">
        <v>301197</v>
      </c>
      <c r="B8699">
        <v>250000</v>
      </c>
      <c r="C8699" t="str">
        <f t="shared" si="135"/>
        <v>2. $10K-50K</v>
      </c>
      <c r="D8699" t="s">
        <v>1300</v>
      </c>
      <c r="E8699" t="s">
        <v>99</v>
      </c>
      <c r="F8699" t="s">
        <v>668</v>
      </c>
      <c r="G8699" t="s">
        <v>59</v>
      </c>
      <c r="H8699">
        <v>2025</v>
      </c>
    </row>
    <row r="8700" spans="1:8" x14ac:dyDescent="0.2">
      <c r="A8700">
        <v>301198</v>
      </c>
      <c r="B8700">
        <v>200392.5</v>
      </c>
      <c r="C8700" t="str">
        <f t="shared" si="135"/>
        <v>4. $250K-1M</v>
      </c>
      <c r="D8700" t="s">
        <v>2525</v>
      </c>
      <c r="E8700" t="s">
        <v>99</v>
      </c>
      <c r="F8700" t="s">
        <v>668</v>
      </c>
      <c r="G8700" t="s">
        <v>59</v>
      </c>
      <c r="H8700">
        <v>2025</v>
      </c>
    </row>
    <row r="8701" spans="1:8" x14ac:dyDescent="0.2">
      <c r="A8701">
        <v>301200</v>
      </c>
      <c r="B8701">
        <v>215000</v>
      </c>
      <c r="C8701" t="str">
        <f t="shared" si="135"/>
        <v>3. $50K-250K</v>
      </c>
      <c r="D8701" t="s">
        <v>1573</v>
      </c>
      <c r="E8701" t="s">
        <v>82</v>
      </c>
      <c r="F8701" t="s">
        <v>668</v>
      </c>
      <c r="G8701" t="s">
        <v>59</v>
      </c>
      <c r="H8701">
        <v>2025</v>
      </c>
    </row>
    <row r="8702" spans="1:8" x14ac:dyDescent="0.2">
      <c r="A8702">
        <v>301201</v>
      </c>
      <c r="B8702">
        <v>71000</v>
      </c>
      <c r="C8702" t="str">
        <f t="shared" si="135"/>
        <v>3. $50K-250K</v>
      </c>
      <c r="D8702" t="s">
        <v>2003</v>
      </c>
      <c r="E8702" t="s">
        <v>112</v>
      </c>
      <c r="F8702" t="s">
        <v>668</v>
      </c>
      <c r="G8702" t="s">
        <v>59</v>
      </c>
      <c r="H8702">
        <v>2025</v>
      </c>
    </row>
    <row r="8703" spans="1:8" x14ac:dyDescent="0.2">
      <c r="A8703">
        <v>301204</v>
      </c>
      <c r="B8703">
        <v>71000</v>
      </c>
      <c r="C8703" t="str">
        <f t="shared" si="135"/>
        <v>3. $50K-250K</v>
      </c>
      <c r="D8703" t="s">
        <v>2053</v>
      </c>
      <c r="E8703" t="s">
        <v>112</v>
      </c>
      <c r="F8703" t="s">
        <v>668</v>
      </c>
      <c r="G8703" t="s">
        <v>59</v>
      </c>
      <c r="H8703">
        <v>2025</v>
      </c>
    </row>
    <row r="8704" spans="1:8" x14ac:dyDescent="0.2">
      <c r="A8704">
        <v>301205</v>
      </c>
      <c r="B8704">
        <v>71000</v>
      </c>
      <c r="C8704" t="str">
        <f t="shared" si="135"/>
        <v>3. $50K-250K</v>
      </c>
      <c r="D8704" t="s">
        <v>2526</v>
      </c>
      <c r="E8704" t="s">
        <v>112</v>
      </c>
      <c r="F8704" t="s">
        <v>668</v>
      </c>
      <c r="G8704" t="s">
        <v>59</v>
      </c>
      <c r="H8704">
        <v>2025</v>
      </c>
    </row>
    <row r="8705" spans="1:8" x14ac:dyDescent="0.2">
      <c r="A8705">
        <v>301207</v>
      </c>
      <c r="B8705">
        <v>162783</v>
      </c>
      <c r="C8705" t="str">
        <f t="shared" si="135"/>
        <v>3. $50K-250K</v>
      </c>
      <c r="D8705" t="s">
        <v>1500</v>
      </c>
      <c r="E8705" t="s">
        <v>28</v>
      </c>
      <c r="F8705" t="s">
        <v>668</v>
      </c>
      <c r="G8705" t="s">
        <v>59</v>
      </c>
      <c r="H8705">
        <v>2025</v>
      </c>
    </row>
    <row r="8706" spans="1:8" x14ac:dyDescent="0.2">
      <c r="A8706">
        <v>301213</v>
      </c>
      <c r="B8706">
        <v>350000</v>
      </c>
      <c r="C8706" t="str">
        <f t="shared" si="135"/>
        <v>3. $50K-250K</v>
      </c>
      <c r="D8706" t="s">
        <v>2527</v>
      </c>
      <c r="E8706" t="s">
        <v>112</v>
      </c>
      <c r="F8706" t="s">
        <v>668</v>
      </c>
      <c r="G8706" t="s">
        <v>59</v>
      </c>
      <c r="H8706">
        <v>2025</v>
      </c>
    </row>
    <row r="8707" spans="1:8" x14ac:dyDescent="0.2">
      <c r="A8707">
        <v>301225</v>
      </c>
      <c r="B8707">
        <v>3000</v>
      </c>
      <c r="C8707" t="str">
        <f t="shared" ref="C8707:C8770" si="136">IF(B8706&lt;10000,"1. Under $10K",IF(B8706&lt;50000,"2. $10K-50K",IF(B8706&lt;250000,"3. $50K-250K",IF(B8706&lt;1000000,"4. $250K-1M","5. $1M+"))))</f>
        <v>4. $250K-1M</v>
      </c>
      <c r="D8707" t="s">
        <v>2274</v>
      </c>
      <c r="E8707" t="s">
        <v>112</v>
      </c>
      <c r="F8707" t="s">
        <v>668</v>
      </c>
      <c r="G8707" t="s">
        <v>59</v>
      </c>
      <c r="H8707">
        <v>2025</v>
      </c>
    </row>
    <row r="8708" spans="1:8" x14ac:dyDescent="0.2">
      <c r="A8708">
        <v>301252</v>
      </c>
      <c r="B8708">
        <v>176702.7</v>
      </c>
      <c r="C8708" t="str">
        <f t="shared" si="136"/>
        <v>1. Under $10K</v>
      </c>
      <c r="D8708" t="s">
        <v>230</v>
      </c>
      <c r="E8708" t="s">
        <v>67</v>
      </c>
      <c r="F8708" t="s">
        <v>231</v>
      </c>
      <c r="G8708" t="s">
        <v>232</v>
      </c>
      <c r="H8708">
        <v>2025</v>
      </c>
    </row>
    <row r="8709" spans="1:8" x14ac:dyDescent="0.2">
      <c r="A8709">
        <v>301278</v>
      </c>
      <c r="B8709">
        <v>50000</v>
      </c>
      <c r="C8709" t="str">
        <f t="shared" si="136"/>
        <v>3. $50K-250K</v>
      </c>
      <c r="D8709" t="s">
        <v>1162</v>
      </c>
      <c r="E8709" t="s">
        <v>112</v>
      </c>
      <c r="F8709" t="s">
        <v>668</v>
      </c>
      <c r="G8709" t="s">
        <v>59</v>
      </c>
      <c r="H8709">
        <v>2025</v>
      </c>
    </row>
    <row r="8710" spans="1:8" x14ac:dyDescent="0.2">
      <c r="A8710">
        <v>301313</v>
      </c>
      <c r="B8710">
        <v>414000</v>
      </c>
      <c r="C8710" t="str">
        <f t="shared" si="136"/>
        <v>3. $50K-250K</v>
      </c>
      <c r="D8710" t="s">
        <v>1084</v>
      </c>
      <c r="E8710" t="s">
        <v>237</v>
      </c>
      <c r="F8710" t="s">
        <v>670</v>
      </c>
      <c r="G8710" t="s">
        <v>59</v>
      </c>
      <c r="H8710">
        <v>2025</v>
      </c>
    </row>
    <row r="8711" spans="1:8" x14ac:dyDescent="0.2">
      <c r="A8711">
        <v>301394</v>
      </c>
      <c r="B8711">
        <v>58717</v>
      </c>
      <c r="C8711" t="str">
        <f t="shared" si="136"/>
        <v>4. $250K-1M</v>
      </c>
      <c r="D8711" t="s">
        <v>690</v>
      </c>
      <c r="E8711" t="s">
        <v>42</v>
      </c>
      <c r="F8711" t="s">
        <v>670</v>
      </c>
      <c r="G8711" t="s">
        <v>59</v>
      </c>
      <c r="H8711">
        <v>2025</v>
      </c>
    </row>
    <row r="8712" spans="1:8" x14ac:dyDescent="0.2">
      <c r="A8712">
        <v>301466</v>
      </c>
      <c r="B8712">
        <v>13000</v>
      </c>
      <c r="C8712" t="str">
        <f t="shared" si="136"/>
        <v>3. $50K-250K</v>
      </c>
      <c r="D8712" t="s">
        <v>856</v>
      </c>
      <c r="E8712" t="s">
        <v>237</v>
      </c>
      <c r="F8712" t="s">
        <v>670</v>
      </c>
      <c r="G8712" t="s">
        <v>59</v>
      </c>
      <c r="H8712">
        <v>2025</v>
      </c>
    </row>
    <row r="8713" spans="1:8" x14ac:dyDescent="0.2">
      <c r="A8713">
        <v>301467</v>
      </c>
      <c r="B8713">
        <v>86400</v>
      </c>
      <c r="C8713" t="str">
        <f t="shared" si="136"/>
        <v>2. $10K-50K</v>
      </c>
      <c r="D8713" t="s">
        <v>726</v>
      </c>
      <c r="E8713" t="s">
        <v>237</v>
      </c>
      <c r="F8713" t="s">
        <v>670</v>
      </c>
      <c r="G8713" t="s">
        <v>59</v>
      </c>
      <c r="H8713">
        <v>2025</v>
      </c>
    </row>
    <row r="8714" spans="1:8" x14ac:dyDescent="0.2">
      <c r="A8714">
        <v>301484</v>
      </c>
      <c r="B8714">
        <v>66662</v>
      </c>
      <c r="C8714" t="str">
        <f t="shared" si="136"/>
        <v>3. $50K-250K</v>
      </c>
      <c r="D8714" t="s">
        <v>694</v>
      </c>
      <c r="E8714" t="s">
        <v>42</v>
      </c>
      <c r="F8714" t="s">
        <v>670</v>
      </c>
      <c r="G8714" t="s">
        <v>44</v>
      </c>
      <c r="H8714">
        <v>2025</v>
      </c>
    </row>
    <row r="8715" spans="1:8" x14ac:dyDescent="0.2">
      <c r="A8715">
        <v>301536</v>
      </c>
      <c r="B8715">
        <v>6488000</v>
      </c>
      <c r="C8715" t="str">
        <f t="shared" si="136"/>
        <v>3. $50K-250K</v>
      </c>
      <c r="D8715" t="s">
        <v>26</v>
      </c>
      <c r="E8715" t="s">
        <v>24</v>
      </c>
      <c r="F8715" t="s">
        <v>9</v>
      </c>
      <c r="G8715" t="s">
        <v>10</v>
      </c>
      <c r="H8715">
        <v>2025</v>
      </c>
    </row>
    <row r="8716" spans="1:8" x14ac:dyDescent="0.2">
      <c r="A8716">
        <v>301539</v>
      </c>
      <c r="B8716">
        <v>36364</v>
      </c>
      <c r="C8716" t="str">
        <f t="shared" si="136"/>
        <v>5. $1M+</v>
      </c>
      <c r="D8716" t="s">
        <v>958</v>
      </c>
      <c r="E8716" t="s">
        <v>819</v>
      </c>
      <c r="F8716" t="s">
        <v>670</v>
      </c>
      <c r="G8716" t="s">
        <v>59</v>
      </c>
      <c r="H8716">
        <v>2025</v>
      </c>
    </row>
    <row r="8717" spans="1:8" x14ac:dyDescent="0.2">
      <c r="A8717">
        <v>301540</v>
      </c>
      <c r="B8717">
        <v>40000</v>
      </c>
      <c r="C8717" t="str">
        <f t="shared" si="136"/>
        <v>2. $10K-50K</v>
      </c>
      <c r="D8717" t="s">
        <v>818</v>
      </c>
      <c r="E8717" t="s">
        <v>819</v>
      </c>
      <c r="F8717" t="s">
        <v>670</v>
      </c>
      <c r="G8717" t="s">
        <v>59</v>
      </c>
      <c r="H8717">
        <v>2025</v>
      </c>
    </row>
    <row r="8718" spans="1:8" x14ac:dyDescent="0.2">
      <c r="A8718">
        <v>301544</v>
      </c>
      <c r="B8718">
        <v>61000</v>
      </c>
      <c r="C8718" t="str">
        <f t="shared" si="136"/>
        <v>2. $10K-50K</v>
      </c>
      <c r="D8718" t="s">
        <v>909</v>
      </c>
      <c r="E8718" t="s">
        <v>237</v>
      </c>
      <c r="F8718" t="s">
        <v>670</v>
      </c>
      <c r="G8718" t="s">
        <v>59</v>
      </c>
      <c r="H8718">
        <v>2025</v>
      </c>
    </row>
    <row r="8719" spans="1:8" x14ac:dyDescent="0.2">
      <c r="A8719">
        <v>301545</v>
      </c>
      <c r="B8719">
        <v>16106</v>
      </c>
      <c r="C8719" t="str">
        <f t="shared" si="136"/>
        <v>3. $50K-250K</v>
      </c>
      <c r="D8719" t="s">
        <v>749</v>
      </c>
      <c r="E8719" t="s">
        <v>237</v>
      </c>
      <c r="F8719" t="s">
        <v>670</v>
      </c>
      <c r="G8719" t="s">
        <v>59</v>
      </c>
      <c r="H8719">
        <v>2025</v>
      </c>
    </row>
    <row r="8720" spans="1:8" x14ac:dyDescent="0.2">
      <c r="A8720">
        <v>301546</v>
      </c>
      <c r="B8720">
        <v>13632</v>
      </c>
      <c r="C8720" t="str">
        <f t="shared" si="136"/>
        <v>2. $10K-50K</v>
      </c>
      <c r="D8720" t="s">
        <v>749</v>
      </c>
      <c r="E8720" t="s">
        <v>237</v>
      </c>
      <c r="F8720" t="s">
        <v>670</v>
      </c>
      <c r="G8720" t="s">
        <v>59</v>
      </c>
      <c r="H8720">
        <v>2025</v>
      </c>
    </row>
    <row r="8721" spans="1:8" x14ac:dyDescent="0.2">
      <c r="A8721">
        <v>301547</v>
      </c>
      <c r="B8721">
        <v>32084</v>
      </c>
      <c r="C8721" t="str">
        <f t="shared" si="136"/>
        <v>2. $10K-50K</v>
      </c>
      <c r="D8721" t="s">
        <v>749</v>
      </c>
      <c r="E8721" t="s">
        <v>237</v>
      </c>
      <c r="F8721" t="s">
        <v>670</v>
      </c>
      <c r="G8721" t="s">
        <v>59</v>
      </c>
      <c r="H8721">
        <v>2025</v>
      </c>
    </row>
    <row r="8722" spans="1:8" x14ac:dyDescent="0.2">
      <c r="A8722">
        <v>301548</v>
      </c>
      <c r="B8722">
        <v>54000</v>
      </c>
      <c r="C8722" t="str">
        <f t="shared" si="136"/>
        <v>2. $10K-50K</v>
      </c>
      <c r="D8722" t="s">
        <v>1063</v>
      </c>
      <c r="E8722" t="s">
        <v>237</v>
      </c>
      <c r="F8722" t="s">
        <v>670</v>
      </c>
      <c r="G8722" t="s">
        <v>59</v>
      </c>
      <c r="H8722">
        <v>2025</v>
      </c>
    </row>
    <row r="8723" spans="1:8" x14ac:dyDescent="0.2">
      <c r="A8723">
        <v>301549</v>
      </c>
      <c r="B8723">
        <v>162000</v>
      </c>
      <c r="C8723" t="str">
        <f t="shared" si="136"/>
        <v>3. $50K-250K</v>
      </c>
      <c r="D8723" t="s">
        <v>697</v>
      </c>
      <c r="E8723" t="s">
        <v>237</v>
      </c>
      <c r="F8723" t="s">
        <v>670</v>
      </c>
      <c r="G8723" t="s">
        <v>59</v>
      </c>
      <c r="H8723">
        <v>2025</v>
      </c>
    </row>
    <row r="8724" spans="1:8" x14ac:dyDescent="0.2">
      <c r="A8724">
        <v>301551</v>
      </c>
      <c r="B8724">
        <v>81000</v>
      </c>
      <c r="C8724" t="str">
        <f t="shared" si="136"/>
        <v>3. $50K-250K</v>
      </c>
      <c r="D8724" t="s">
        <v>783</v>
      </c>
      <c r="E8724" t="s">
        <v>237</v>
      </c>
      <c r="F8724" t="s">
        <v>670</v>
      </c>
      <c r="G8724" t="s">
        <v>59</v>
      </c>
      <c r="H8724">
        <v>2025</v>
      </c>
    </row>
    <row r="8725" spans="1:8" x14ac:dyDescent="0.2">
      <c r="A8725">
        <v>301552</v>
      </c>
      <c r="B8725">
        <v>54000</v>
      </c>
      <c r="C8725" t="str">
        <f t="shared" si="136"/>
        <v>3. $50K-250K</v>
      </c>
      <c r="D8725" t="s">
        <v>987</v>
      </c>
      <c r="E8725" t="s">
        <v>237</v>
      </c>
      <c r="F8725" t="s">
        <v>670</v>
      </c>
      <c r="G8725" t="s">
        <v>59</v>
      </c>
      <c r="H8725">
        <v>2025</v>
      </c>
    </row>
    <row r="8726" spans="1:8" x14ac:dyDescent="0.2">
      <c r="A8726">
        <v>301553</v>
      </c>
      <c r="B8726">
        <v>81000</v>
      </c>
      <c r="C8726" t="str">
        <f t="shared" si="136"/>
        <v>3. $50K-250K</v>
      </c>
      <c r="D8726" t="s">
        <v>1083</v>
      </c>
      <c r="E8726" t="s">
        <v>237</v>
      </c>
      <c r="F8726" t="s">
        <v>670</v>
      </c>
      <c r="G8726" t="s">
        <v>59</v>
      </c>
      <c r="H8726">
        <v>2025</v>
      </c>
    </row>
    <row r="8727" spans="1:8" x14ac:dyDescent="0.2">
      <c r="A8727">
        <v>301554</v>
      </c>
      <c r="B8727">
        <v>900000</v>
      </c>
      <c r="C8727" t="str">
        <f t="shared" si="136"/>
        <v>3. $50K-250K</v>
      </c>
      <c r="D8727" t="s">
        <v>868</v>
      </c>
      <c r="E8727" t="s">
        <v>237</v>
      </c>
      <c r="F8727" t="s">
        <v>670</v>
      </c>
      <c r="G8727" t="s">
        <v>59</v>
      </c>
      <c r="H8727">
        <v>2025</v>
      </c>
    </row>
    <row r="8728" spans="1:8" x14ac:dyDescent="0.2">
      <c r="A8728">
        <v>301555</v>
      </c>
      <c r="B8728">
        <v>54000</v>
      </c>
      <c r="C8728" t="str">
        <f t="shared" si="136"/>
        <v>4. $250K-1M</v>
      </c>
      <c r="D8728" t="s">
        <v>1084</v>
      </c>
      <c r="E8728" t="s">
        <v>237</v>
      </c>
      <c r="F8728" t="s">
        <v>670</v>
      </c>
      <c r="G8728" t="s">
        <v>59</v>
      </c>
      <c r="H8728">
        <v>2025</v>
      </c>
    </row>
    <row r="8729" spans="1:8" x14ac:dyDescent="0.2">
      <c r="A8729">
        <v>301556</v>
      </c>
      <c r="B8729">
        <v>54000</v>
      </c>
      <c r="C8729" t="str">
        <f t="shared" si="136"/>
        <v>3. $50K-250K</v>
      </c>
      <c r="D8729" t="s">
        <v>697</v>
      </c>
      <c r="E8729" t="s">
        <v>237</v>
      </c>
      <c r="F8729" t="s">
        <v>670</v>
      </c>
      <c r="G8729" t="s">
        <v>59</v>
      </c>
      <c r="H8729">
        <v>2025</v>
      </c>
    </row>
    <row r="8730" spans="1:8" x14ac:dyDescent="0.2">
      <c r="A8730">
        <v>301557</v>
      </c>
      <c r="B8730">
        <v>900000</v>
      </c>
      <c r="C8730" t="str">
        <f t="shared" si="136"/>
        <v>3. $50K-250K</v>
      </c>
      <c r="D8730" t="s">
        <v>1084</v>
      </c>
      <c r="E8730" t="s">
        <v>237</v>
      </c>
      <c r="F8730" t="s">
        <v>670</v>
      </c>
      <c r="G8730" t="s">
        <v>59</v>
      </c>
      <c r="H8730">
        <v>2025</v>
      </c>
    </row>
    <row r="8731" spans="1:8" x14ac:dyDescent="0.2">
      <c r="A8731">
        <v>301558</v>
      </c>
      <c r="B8731">
        <v>270000</v>
      </c>
      <c r="C8731" t="str">
        <f t="shared" si="136"/>
        <v>4. $250K-1M</v>
      </c>
      <c r="D8731" t="s">
        <v>985</v>
      </c>
      <c r="E8731" t="s">
        <v>237</v>
      </c>
      <c r="F8731" t="s">
        <v>670</v>
      </c>
      <c r="G8731" t="s">
        <v>59</v>
      </c>
      <c r="H8731">
        <v>2025</v>
      </c>
    </row>
    <row r="8732" spans="1:8" x14ac:dyDescent="0.2">
      <c r="A8732">
        <v>301559</v>
      </c>
      <c r="B8732">
        <v>900000</v>
      </c>
      <c r="C8732" t="str">
        <f t="shared" si="136"/>
        <v>4. $250K-1M</v>
      </c>
      <c r="D8732" t="s">
        <v>1027</v>
      </c>
      <c r="E8732" t="s">
        <v>237</v>
      </c>
      <c r="F8732" t="s">
        <v>670</v>
      </c>
      <c r="G8732" t="s">
        <v>44</v>
      </c>
      <c r="H8732">
        <v>2025</v>
      </c>
    </row>
    <row r="8733" spans="1:8" x14ac:dyDescent="0.2">
      <c r="A8733">
        <v>301560</v>
      </c>
      <c r="B8733">
        <v>12782</v>
      </c>
      <c r="C8733" t="str">
        <f t="shared" si="136"/>
        <v>4. $250K-1M</v>
      </c>
      <c r="D8733" t="s">
        <v>749</v>
      </c>
      <c r="E8733" t="s">
        <v>237</v>
      </c>
      <c r="F8733" t="s">
        <v>670</v>
      </c>
      <c r="G8733" t="s">
        <v>59</v>
      </c>
      <c r="H8733">
        <v>2025</v>
      </c>
    </row>
    <row r="8734" spans="1:8" x14ac:dyDescent="0.2">
      <c r="A8734">
        <v>301562</v>
      </c>
      <c r="B8734">
        <v>5166</v>
      </c>
      <c r="C8734" t="str">
        <f t="shared" si="136"/>
        <v>2. $10K-50K</v>
      </c>
      <c r="D8734" t="s">
        <v>749</v>
      </c>
      <c r="E8734" t="s">
        <v>237</v>
      </c>
      <c r="F8734" t="s">
        <v>670</v>
      </c>
      <c r="G8734" t="s">
        <v>59</v>
      </c>
      <c r="H8734">
        <v>2025</v>
      </c>
    </row>
    <row r="8735" spans="1:8" x14ac:dyDescent="0.2">
      <c r="A8735">
        <v>301563</v>
      </c>
      <c r="B8735">
        <v>69000</v>
      </c>
      <c r="C8735" t="str">
        <f t="shared" si="136"/>
        <v>1. Under $10K</v>
      </c>
      <c r="D8735" t="s">
        <v>1208</v>
      </c>
      <c r="E8735" t="s">
        <v>237</v>
      </c>
      <c r="F8735" t="s">
        <v>670</v>
      </c>
      <c r="G8735" t="s">
        <v>59</v>
      </c>
      <c r="H8735">
        <v>2025</v>
      </c>
    </row>
    <row r="8736" spans="1:8" x14ac:dyDescent="0.2">
      <c r="A8736">
        <v>301564</v>
      </c>
      <c r="B8736">
        <v>138000</v>
      </c>
      <c r="C8736" t="str">
        <f t="shared" si="136"/>
        <v>3. $50K-250K</v>
      </c>
      <c r="D8736" t="s">
        <v>912</v>
      </c>
      <c r="E8736" t="s">
        <v>237</v>
      </c>
      <c r="F8736" t="s">
        <v>670</v>
      </c>
      <c r="G8736" t="s">
        <v>59</v>
      </c>
      <c r="H8736">
        <v>2025</v>
      </c>
    </row>
    <row r="8737" spans="1:8" x14ac:dyDescent="0.2">
      <c r="A8737">
        <v>301565</v>
      </c>
      <c r="B8737">
        <v>138000</v>
      </c>
      <c r="C8737" t="str">
        <f t="shared" si="136"/>
        <v>3. $50K-250K</v>
      </c>
      <c r="D8737" t="s">
        <v>801</v>
      </c>
      <c r="E8737" t="s">
        <v>237</v>
      </c>
      <c r="F8737" t="s">
        <v>670</v>
      </c>
      <c r="G8737" t="s">
        <v>59</v>
      </c>
      <c r="H8737">
        <v>2025</v>
      </c>
    </row>
    <row r="8738" spans="1:8" x14ac:dyDescent="0.2">
      <c r="A8738">
        <v>301570</v>
      </c>
      <c r="B8738">
        <v>25000</v>
      </c>
      <c r="C8738" t="str">
        <f t="shared" si="136"/>
        <v>3. $50K-250K</v>
      </c>
      <c r="D8738" t="s">
        <v>1444</v>
      </c>
      <c r="E8738" t="s">
        <v>819</v>
      </c>
      <c r="F8738" t="s">
        <v>670</v>
      </c>
      <c r="G8738" t="s">
        <v>59</v>
      </c>
      <c r="H8738">
        <v>2025</v>
      </c>
    </row>
    <row r="8739" spans="1:8" x14ac:dyDescent="0.2">
      <c r="A8739">
        <v>301571</v>
      </c>
      <c r="B8739">
        <v>60000</v>
      </c>
      <c r="C8739" t="str">
        <f t="shared" si="136"/>
        <v>2. $10K-50K</v>
      </c>
      <c r="D8739" t="s">
        <v>958</v>
      </c>
      <c r="E8739" t="s">
        <v>819</v>
      </c>
      <c r="F8739" t="s">
        <v>670</v>
      </c>
      <c r="G8739" t="s">
        <v>59</v>
      </c>
      <c r="H8739">
        <v>2025</v>
      </c>
    </row>
    <row r="8740" spans="1:8" x14ac:dyDescent="0.2">
      <c r="A8740">
        <v>301576</v>
      </c>
      <c r="B8740">
        <v>74957.600000000006</v>
      </c>
      <c r="C8740" t="str">
        <f t="shared" si="136"/>
        <v>3. $50K-250K</v>
      </c>
      <c r="D8740" t="s">
        <v>696</v>
      </c>
      <c r="E8740" t="s">
        <v>237</v>
      </c>
      <c r="F8740" t="s">
        <v>670</v>
      </c>
      <c r="G8740" t="s">
        <v>59</v>
      </c>
      <c r="H8740">
        <v>2025</v>
      </c>
    </row>
    <row r="8741" spans="1:8" x14ac:dyDescent="0.2">
      <c r="A8741">
        <v>301598</v>
      </c>
      <c r="B8741">
        <v>138000</v>
      </c>
      <c r="C8741" t="str">
        <f t="shared" si="136"/>
        <v>3. $50K-250K</v>
      </c>
      <c r="D8741" t="s">
        <v>985</v>
      </c>
      <c r="E8741" t="s">
        <v>237</v>
      </c>
      <c r="F8741" t="s">
        <v>670</v>
      </c>
      <c r="G8741" t="s">
        <v>59</v>
      </c>
      <c r="H8741">
        <v>2025</v>
      </c>
    </row>
    <row r="8742" spans="1:8" x14ac:dyDescent="0.2">
      <c r="A8742">
        <v>301600</v>
      </c>
      <c r="B8742">
        <v>69000</v>
      </c>
      <c r="C8742" t="str">
        <f t="shared" si="136"/>
        <v>3. $50K-250K</v>
      </c>
      <c r="D8742" t="s">
        <v>1076</v>
      </c>
      <c r="E8742" t="s">
        <v>237</v>
      </c>
      <c r="F8742" t="s">
        <v>670</v>
      </c>
      <c r="G8742" t="s">
        <v>59</v>
      </c>
      <c r="H8742">
        <v>2025</v>
      </c>
    </row>
    <row r="8743" spans="1:8" x14ac:dyDescent="0.2">
      <c r="A8743">
        <v>301601</v>
      </c>
      <c r="B8743">
        <v>27587.599999999999</v>
      </c>
      <c r="C8743" t="str">
        <f t="shared" si="136"/>
        <v>3. $50K-250K</v>
      </c>
      <c r="D8743" t="s">
        <v>1105</v>
      </c>
      <c r="E8743" t="s">
        <v>237</v>
      </c>
      <c r="F8743" t="s">
        <v>670</v>
      </c>
      <c r="G8743" t="s">
        <v>59</v>
      </c>
      <c r="H8743">
        <v>2025</v>
      </c>
    </row>
    <row r="8744" spans="1:8" x14ac:dyDescent="0.2">
      <c r="A8744">
        <v>301602</v>
      </c>
      <c r="B8744">
        <v>69000</v>
      </c>
      <c r="C8744" t="str">
        <f t="shared" si="136"/>
        <v>2. $10K-50K</v>
      </c>
      <c r="D8744" t="s">
        <v>719</v>
      </c>
      <c r="E8744" t="s">
        <v>237</v>
      </c>
      <c r="F8744" t="s">
        <v>670</v>
      </c>
      <c r="G8744" t="s">
        <v>59</v>
      </c>
      <c r="H8744">
        <v>2025</v>
      </c>
    </row>
    <row r="8745" spans="1:8" x14ac:dyDescent="0.2">
      <c r="A8745">
        <v>301604</v>
      </c>
      <c r="B8745">
        <v>69000</v>
      </c>
      <c r="C8745" t="str">
        <f t="shared" si="136"/>
        <v>3. $50K-250K</v>
      </c>
      <c r="D8745" t="s">
        <v>2099</v>
      </c>
      <c r="E8745" t="s">
        <v>237</v>
      </c>
      <c r="F8745" t="s">
        <v>670</v>
      </c>
      <c r="G8745" t="s">
        <v>59</v>
      </c>
      <c r="H8745">
        <v>2025</v>
      </c>
    </row>
    <row r="8746" spans="1:8" x14ac:dyDescent="0.2">
      <c r="A8746">
        <v>301645</v>
      </c>
      <c r="B8746">
        <v>240000</v>
      </c>
      <c r="C8746" t="str">
        <f t="shared" si="136"/>
        <v>3. $50K-250K</v>
      </c>
      <c r="D8746" t="s">
        <v>686</v>
      </c>
      <c r="E8746" t="s">
        <v>42</v>
      </c>
      <c r="F8746" t="s">
        <v>670</v>
      </c>
      <c r="G8746" t="s">
        <v>59</v>
      </c>
      <c r="H8746">
        <v>2025</v>
      </c>
    </row>
    <row r="8747" spans="1:8" x14ac:dyDescent="0.2">
      <c r="A8747">
        <v>301646</v>
      </c>
      <c r="B8747">
        <v>240000</v>
      </c>
      <c r="C8747" t="str">
        <f t="shared" si="136"/>
        <v>3. $50K-250K</v>
      </c>
      <c r="D8747" t="s">
        <v>783</v>
      </c>
      <c r="E8747" t="s">
        <v>42</v>
      </c>
      <c r="F8747" t="s">
        <v>670</v>
      </c>
      <c r="G8747" t="s">
        <v>59</v>
      </c>
      <c r="H8747">
        <v>2025</v>
      </c>
    </row>
    <row r="8748" spans="1:8" x14ac:dyDescent="0.2">
      <c r="A8748">
        <v>301650</v>
      </c>
      <c r="B8748">
        <v>40000</v>
      </c>
      <c r="C8748" t="str">
        <f t="shared" si="136"/>
        <v>3. $50K-250K</v>
      </c>
      <c r="D8748" t="s">
        <v>1447</v>
      </c>
      <c r="E8748" t="s">
        <v>819</v>
      </c>
      <c r="F8748" t="s">
        <v>670</v>
      </c>
      <c r="G8748" t="s">
        <v>59</v>
      </c>
      <c r="H8748">
        <v>2025</v>
      </c>
    </row>
    <row r="8749" spans="1:8" x14ac:dyDescent="0.2">
      <c r="A8749">
        <v>301651</v>
      </c>
      <c r="B8749">
        <v>40000</v>
      </c>
      <c r="C8749" t="str">
        <f t="shared" si="136"/>
        <v>2. $10K-50K</v>
      </c>
      <c r="D8749" t="s">
        <v>1433</v>
      </c>
      <c r="E8749" t="s">
        <v>819</v>
      </c>
      <c r="F8749" t="s">
        <v>670</v>
      </c>
      <c r="G8749" t="s">
        <v>59</v>
      </c>
      <c r="H8749">
        <v>2025</v>
      </c>
    </row>
    <row r="8750" spans="1:8" x14ac:dyDescent="0.2">
      <c r="A8750">
        <v>301653</v>
      </c>
      <c r="B8750">
        <v>30000</v>
      </c>
      <c r="C8750" t="str">
        <f t="shared" si="136"/>
        <v>2. $10K-50K</v>
      </c>
      <c r="D8750" t="s">
        <v>1457</v>
      </c>
      <c r="E8750" t="s">
        <v>819</v>
      </c>
      <c r="F8750" t="s">
        <v>670</v>
      </c>
      <c r="G8750" t="s">
        <v>59</v>
      </c>
      <c r="H8750">
        <v>2025</v>
      </c>
    </row>
    <row r="8751" spans="1:8" x14ac:dyDescent="0.2">
      <c r="A8751">
        <v>301654</v>
      </c>
      <c r="B8751">
        <v>43636</v>
      </c>
      <c r="C8751" t="str">
        <f t="shared" si="136"/>
        <v>2. $10K-50K</v>
      </c>
      <c r="D8751" t="s">
        <v>1436</v>
      </c>
      <c r="E8751" t="s">
        <v>819</v>
      </c>
      <c r="F8751" t="s">
        <v>670</v>
      </c>
      <c r="G8751" t="s">
        <v>59</v>
      </c>
      <c r="H8751">
        <v>2025</v>
      </c>
    </row>
    <row r="8752" spans="1:8" x14ac:dyDescent="0.2">
      <c r="A8752">
        <v>301657</v>
      </c>
      <c r="B8752">
        <v>87500</v>
      </c>
      <c r="C8752" t="str">
        <f t="shared" si="136"/>
        <v>2. $10K-50K</v>
      </c>
      <c r="D8752" t="s">
        <v>677</v>
      </c>
      <c r="E8752" t="s">
        <v>42</v>
      </c>
      <c r="F8752" t="s">
        <v>670</v>
      </c>
      <c r="G8752" t="s">
        <v>59</v>
      </c>
      <c r="H8752">
        <v>2025</v>
      </c>
    </row>
    <row r="8753" spans="1:8" x14ac:dyDescent="0.2">
      <c r="A8753">
        <v>301663</v>
      </c>
      <c r="B8753">
        <v>25000</v>
      </c>
      <c r="C8753" t="str">
        <f t="shared" si="136"/>
        <v>3. $50K-250K</v>
      </c>
      <c r="D8753" t="s">
        <v>1005</v>
      </c>
      <c r="E8753" t="s">
        <v>819</v>
      </c>
      <c r="F8753" t="s">
        <v>670</v>
      </c>
      <c r="G8753" t="s">
        <v>59</v>
      </c>
      <c r="H8753">
        <v>2025</v>
      </c>
    </row>
    <row r="8754" spans="1:8" x14ac:dyDescent="0.2">
      <c r="A8754">
        <v>301677</v>
      </c>
      <c r="B8754">
        <v>45000</v>
      </c>
      <c r="C8754" t="str">
        <f t="shared" si="136"/>
        <v>2. $10K-50K</v>
      </c>
      <c r="D8754" t="s">
        <v>1438</v>
      </c>
      <c r="E8754" t="s">
        <v>819</v>
      </c>
      <c r="F8754" t="s">
        <v>670</v>
      </c>
      <c r="G8754" t="s">
        <v>59</v>
      </c>
      <c r="H8754">
        <v>2025</v>
      </c>
    </row>
    <row r="8755" spans="1:8" x14ac:dyDescent="0.2">
      <c r="A8755">
        <v>301716</v>
      </c>
      <c r="B8755">
        <v>15335</v>
      </c>
      <c r="C8755" t="str">
        <f t="shared" si="136"/>
        <v>2. $10K-50K</v>
      </c>
      <c r="D8755" t="s">
        <v>837</v>
      </c>
      <c r="E8755" t="s">
        <v>237</v>
      </c>
      <c r="F8755" t="s">
        <v>670</v>
      </c>
      <c r="G8755" t="s">
        <v>59</v>
      </c>
      <c r="H8755">
        <v>2025</v>
      </c>
    </row>
    <row r="8756" spans="1:8" x14ac:dyDescent="0.2">
      <c r="A8756">
        <v>301727</v>
      </c>
      <c r="B8756">
        <v>373808.6</v>
      </c>
      <c r="C8756" t="str">
        <f t="shared" si="136"/>
        <v>2. $10K-50K</v>
      </c>
      <c r="D8756" t="s">
        <v>1084</v>
      </c>
      <c r="E8756" t="s">
        <v>42</v>
      </c>
      <c r="F8756" t="s">
        <v>670</v>
      </c>
      <c r="G8756" t="s">
        <v>59</v>
      </c>
      <c r="H8756">
        <v>2025</v>
      </c>
    </row>
    <row r="8757" spans="1:8" x14ac:dyDescent="0.2">
      <c r="A8757">
        <v>301778</v>
      </c>
      <c r="B8757">
        <v>70000</v>
      </c>
      <c r="C8757" t="str">
        <f t="shared" si="136"/>
        <v>4. $250K-1M</v>
      </c>
      <c r="D8757" t="s">
        <v>916</v>
      </c>
      <c r="E8757" t="s">
        <v>237</v>
      </c>
      <c r="F8757" t="s">
        <v>670</v>
      </c>
      <c r="G8757" t="s">
        <v>59</v>
      </c>
      <c r="H8757">
        <v>2025</v>
      </c>
    </row>
    <row r="8758" spans="1:8" x14ac:dyDescent="0.2">
      <c r="A8758">
        <v>301780</v>
      </c>
      <c r="B8758">
        <v>90000</v>
      </c>
      <c r="C8758" t="str">
        <f t="shared" si="136"/>
        <v>3. $50K-250K</v>
      </c>
      <c r="D8758" t="s">
        <v>916</v>
      </c>
      <c r="E8758" t="s">
        <v>237</v>
      </c>
      <c r="F8758" t="s">
        <v>670</v>
      </c>
      <c r="G8758" t="s">
        <v>59</v>
      </c>
      <c r="H8758">
        <v>2025</v>
      </c>
    </row>
    <row r="8759" spans="1:8" x14ac:dyDescent="0.2">
      <c r="A8759">
        <v>301781</v>
      </c>
      <c r="B8759">
        <v>70000</v>
      </c>
      <c r="C8759" t="str">
        <f t="shared" si="136"/>
        <v>3. $50K-250K</v>
      </c>
      <c r="D8759" t="s">
        <v>726</v>
      </c>
      <c r="E8759" t="s">
        <v>237</v>
      </c>
      <c r="F8759" t="s">
        <v>670</v>
      </c>
      <c r="G8759" t="s">
        <v>59</v>
      </c>
      <c r="H8759">
        <v>2025</v>
      </c>
    </row>
    <row r="8760" spans="1:8" x14ac:dyDescent="0.2">
      <c r="A8760">
        <v>301782</v>
      </c>
      <c r="B8760">
        <v>90000</v>
      </c>
      <c r="C8760" t="str">
        <f t="shared" si="136"/>
        <v>3. $50K-250K</v>
      </c>
      <c r="D8760" t="s">
        <v>726</v>
      </c>
      <c r="E8760" t="s">
        <v>237</v>
      </c>
      <c r="F8760" t="s">
        <v>670</v>
      </c>
      <c r="G8760" t="s">
        <v>59</v>
      </c>
      <c r="H8760">
        <v>2025</v>
      </c>
    </row>
    <row r="8761" spans="1:8" x14ac:dyDescent="0.2">
      <c r="A8761">
        <v>301797</v>
      </c>
      <c r="B8761">
        <v>157512</v>
      </c>
      <c r="C8761" t="str">
        <f t="shared" si="136"/>
        <v>3. $50K-250K</v>
      </c>
      <c r="D8761" t="s">
        <v>997</v>
      </c>
      <c r="E8761" t="s">
        <v>42</v>
      </c>
      <c r="F8761" t="s">
        <v>670</v>
      </c>
      <c r="G8761" t="s">
        <v>59</v>
      </c>
      <c r="H8761">
        <v>2025</v>
      </c>
    </row>
    <row r="8762" spans="1:8" x14ac:dyDescent="0.2">
      <c r="A8762">
        <v>301800</v>
      </c>
      <c r="B8762">
        <v>75000</v>
      </c>
      <c r="C8762" t="str">
        <f t="shared" si="136"/>
        <v>3. $50K-250K</v>
      </c>
      <c r="D8762" t="s">
        <v>1387</v>
      </c>
      <c r="E8762" t="s">
        <v>819</v>
      </c>
      <c r="F8762" t="s">
        <v>670</v>
      </c>
      <c r="G8762" t="s">
        <v>59</v>
      </c>
      <c r="H8762">
        <v>2025</v>
      </c>
    </row>
    <row r="8763" spans="1:8" x14ac:dyDescent="0.2">
      <c r="A8763">
        <v>301833</v>
      </c>
      <c r="B8763">
        <v>69000</v>
      </c>
      <c r="C8763" t="str">
        <f t="shared" si="136"/>
        <v>3. $50K-250K</v>
      </c>
      <c r="D8763" t="s">
        <v>1167</v>
      </c>
      <c r="E8763" t="s">
        <v>237</v>
      </c>
      <c r="F8763" t="s">
        <v>670</v>
      </c>
      <c r="G8763" t="s">
        <v>59</v>
      </c>
      <c r="H8763">
        <v>2025</v>
      </c>
    </row>
    <row r="8764" spans="1:8" x14ac:dyDescent="0.2">
      <c r="A8764">
        <v>301915</v>
      </c>
      <c r="B8764">
        <v>77652404.900000006</v>
      </c>
      <c r="C8764" t="str">
        <f t="shared" si="136"/>
        <v>3. $50K-250K</v>
      </c>
      <c r="D8764" t="s">
        <v>104</v>
      </c>
      <c r="E8764" t="s">
        <v>8</v>
      </c>
      <c r="F8764" t="s">
        <v>25</v>
      </c>
      <c r="G8764" t="s">
        <v>10</v>
      </c>
      <c r="H8764">
        <v>2025</v>
      </c>
    </row>
    <row r="8765" spans="1:8" x14ac:dyDescent="0.2">
      <c r="A8765">
        <v>30193</v>
      </c>
      <c r="B8765">
        <v>650000</v>
      </c>
      <c r="C8765" t="str">
        <f t="shared" si="136"/>
        <v>5. $1M+</v>
      </c>
      <c r="D8765" t="s">
        <v>199</v>
      </c>
      <c r="E8765" t="s">
        <v>8</v>
      </c>
      <c r="F8765" t="s">
        <v>14</v>
      </c>
      <c r="G8765" t="s">
        <v>61</v>
      </c>
      <c r="H8765">
        <v>2023</v>
      </c>
    </row>
    <row r="8766" spans="1:8" x14ac:dyDescent="0.2">
      <c r="A8766">
        <v>302001</v>
      </c>
      <c r="B8766">
        <v>1097540</v>
      </c>
      <c r="C8766" t="str">
        <f t="shared" si="136"/>
        <v>4. $250K-1M</v>
      </c>
      <c r="D8766" t="s">
        <v>501</v>
      </c>
      <c r="E8766" t="s">
        <v>99</v>
      </c>
      <c r="F8766" t="s">
        <v>43</v>
      </c>
      <c r="G8766" t="s">
        <v>44</v>
      </c>
      <c r="H8766">
        <v>2025</v>
      </c>
    </row>
    <row r="8767" spans="1:8" x14ac:dyDescent="0.2">
      <c r="A8767">
        <v>302008</v>
      </c>
      <c r="B8767">
        <v>59737</v>
      </c>
      <c r="C8767" t="str">
        <f t="shared" si="136"/>
        <v>5. $1M+</v>
      </c>
      <c r="D8767" t="s">
        <v>749</v>
      </c>
      <c r="E8767" t="s">
        <v>237</v>
      </c>
      <c r="F8767" t="s">
        <v>670</v>
      </c>
      <c r="G8767" t="s">
        <v>59</v>
      </c>
      <c r="H8767">
        <v>2025</v>
      </c>
    </row>
    <row r="8768" spans="1:8" x14ac:dyDescent="0.2">
      <c r="A8768">
        <v>302009</v>
      </c>
      <c r="B8768">
        <v>156015</v>
      </c>
      <c r="C8768" t="str">
        <f t="shared" si="136"/>
        <v>3. $50K-250K</v>
      </c>
      <c r="D8768" t="s">
        <v>749</v>
      </c>
      <c r="E8768" t="s">
        <v>237</v>
      </c>
      <c r="F8768" t="s">
        <v>670</v>
      </c>
      <c r="G8768" t="s">
        <v>59</v>
      </c>
      <c r="H8768">
        <v>2025</v>
      </c>
    </row>
    <row r="8769" spans="1:8" x14ac:dyDescent="0.2">
      <c r="A8769">
        <v>302010</v>
      </c>
      <c r="B8769">
        <v>100000</v>
      </c>
      <c r="C8769" t="str">
        <f t="shared" si="136"/>
        <v>3. $50K-250K</v>
      </c>
      <c r="D8769" t="s">
        <v>929</v>
      </c>
      <c r="E8769" t="s">
        <v>42</v>
      </c>
      <c r="F8769" t="s">
        <v>670</v>
      </c>
      <c r="G8769" t="s">
        <v>59</v>
      </c>
      <c r="H8769">
        <v>2025</v>
      </c>
    </row>
    <row r="8770" spans="1:8" x14ac:dyDescent="0.2">
      <c r="A8770">
        <v>302021</v>
      </c>
      <c r="B8770">
        <v>1633150</v>
      </c>
      <c r="C8770" t="str">
        <f t="shared" si="136"/>
        <v>3. $50K-250K</v>
      </c>
      <c r="D8770" t="s">
        <v>2071</v>
      </c>
      <c r="E8770" t="s">
        <v>237</v>
      </c>
      <c r="F8770" t="s">
        <v>670</v>
      </c>
      <c r="G8770" t="s">
        <v>59</v>
      </c>
      <c r="H8770">
        <v>2025</v>
      </c>
    </row>
    <row r="8771" spans="1:8" x14ac:dyDescent="0.2">
      <c r="A8771">
        <v>302024</v>
      </c>
      <c r="B8771">
        <v>86268.3</v>
      </c>
      <c r="C8771" t="str">
        <f t="shared" ref="C8771:C8834" si="137">IF(B8770&lt;10000,"1. Under $10K",IF(B8770&lt;50000,"2. $10K-50K",IF(B8770&lt;250000,"3. $50K-250K",IF(B8770&lt;1000000,"4. $250K-1M","5. $1M+"))))</f>
        <v>5. $1M+</v>
      </c>
      <c r="D8771" t="s">
        <v>837</v>
      </c>
      <c r="E8771" t="s">
        <v>237</v>
      </c>
      <c r="F8771" t="s">
        <v>670</v>
      </c>
      <c r="G8771" t="s">
        <v>59</v>
      </c>
      <c r="H8771">
        <v>2025</v>
      </c>
    </row>
    <row r="8772" spans="1:8" x14ac:dyDescent="0.2">
      <c r="A8772">
        <v>302025</v>
      </c>
      <c r="B8772">
        <v>20533</v>
      </c>
      <c r="C8772" t="str">
        <f t="shared" si="137"/>
        <v>3. $50K-250K</v>
      </c>
      <c r="D8772" t="s">
        <v>837</v>
      </c>
      <c r="E8772" t="s">
        <v>237</v>
      </c>
      <c r="F8772" t="s">
        <v>670</v>
      </c>
      <c r="G8772" t="s">
        <v>59</v>
      </c>
      <c r="H8772">
        <v>2025</v>
      </c>
    </row>
    <row r="8773" spans="1:8" x14ac:dyDescent="0.2">
      <c r="A8773">
        <v>302041</v>
      </c>
      <c r="B8773">
        <v>25432387.5</v>
      </c>
      <c r="C8773" t="str">
        <f t="shared" si="137"/>
        <v>2. $10K-50K</v>
      </c>
      <c r="D8773" t="s">
        <v>144</v>
      </c>
      <c r="E8773" t="s">
        <v>24</v>
      </c>
      <c r="F8773" t="s">
        <v>9</v>
      </c>
      <c r="G8773" t="s">
        <v>10</v>
      </c>
      <c r="H8773">
        <v>2025</v>
      </c>
    </row>
    <row r="8774" spans="1:8" x14ac:dyDescent="0.2">
      <c r="A8774">
        <v>302128</v>
      </c>
      <c r="B8774">
        <v>116250</v>
      </c>
      <c r="C8774" t="str">
        <f t="shared" si="137"/>
        <v>5. $1M+</v>
      </c>
      <c r="D8774" t="s">
        <v>925</v>
      </c>
      <c r="E8774" t="s">
        <v>237</v>
      </c>
      <c r="F8774" t="s">
        <v>670</v>
      </c>
      <c r="G8774" t="s">
        <v>59</v>
      </c>
      <c r="H8774">
        <v>2025</v>
      </c>
    </row>
    <row r="8775" spans="1:8" x14ac:dyDescent="0.2">
      <c r="A8775">
        <v>302130</v>
      </c>
      <c r="B8775">
        <v>61926</v>
      </c>
      <c r="C8775" t="str">
        <f t="shared" si="137"/>
        <v>3. $50K-250K</v>
      </c>
      <c r="D8775" t="s">
        <v>1073</v>
      </c>
      <c r="E8775" t="s">
        <v>42</v>
      </c>
      <c r="F8775" t="s">
        <v>670</v>
      </c>
      <c r="G8775" t="s">
        <v>59</v>
      </c>
      <c r="H8775">
        <v>2025</v>
      </c>
    </row>
    <row r="8776" spans="1:8" x14ac:dyDescent="0.2">
      <c r="A8776">
        <v>302131</v>
      </c>
      <c r="B8776">
        <v>78017.899999999994</v>
      </c>
      <c r="C8776" t="str">
        <f t="shared" si="137"/>
        <v>3. $50K-250K</v>
      </c>
      <c r="D8776" t="s">
        <v>719</v>
      </c>
      <c r="E8776" t="s">
        <v>42</v>
      </c>
      <c r="F8776" t="s">
        <v>670</v>
      </c>
      <c r="G8776" t="s">
        <v>59</v>
      </c>
      <c r="H8776">
        <v>2025</v>
      </c>
    </row>
    <row r="8777" spans="1:8" x14ac:dyDescent="0.2">
      <c r="A8777">
        <v>302133</v>
      </c>
      <c r="B8777">
        <v>240000</v>
      </c>
      <c r="C8777" t="str">
        <f t="shared" si="137"/>
        <v>3. $50K-250K</v>
      </c>
      <c r="D8777" t="s">
        <v>822</v>
      </c>
      <c r="E8777" t="s">
        <v>42</v>
      </c>
      <c r="F8777" t="s">
        <v>670</v>
      </c>
      <c r="G8777" t="s">
        <v>59</v>
      </c>
      <c r="H8777">
        <v>2025</v>
      </c>
    </row>
    <row r="8778" spans="1:8" x14ac:dyDescent="0.2">
      <c r="A8778">
        <v>302134</v>
      </c>
      <c r="B8778">
        <v>240000</v>
      </c>
      <c r="C8778" t="str">
        <f t="shared" si="137"/>
        <v>3. $50K-250K</v>
      </c>
      <c r="D8778" t="s">
        <v>847</v>
      </c>
      <c r="E8778" t="s">
        <v>42</v>
      </c>
      <c r="F8778" t="s">
        <v>670</v>
      </c>
      <c r="G8778" t="s">
        <v>59</v>
      </c>
      <c r="H8778">
        <v>2025</v>
      </c>
    </row>
    <row r="8779" spans="1:8" x14ac:dyDescent="0.2">
      <c r="A8779">
        <v>302135</v>
      </c>
      <c r="B8779">
        <v>1080198.2</v>
      </c>
      <c r="C8779" t="str">
        <f t="shared" si="137"/>
        <v>3. $50K-250K</v>
      </c>
      <c r="D8779" t="s">
        <v>674</v>
      </c>
      <c r="E8779" t="s">
        <v>42</v>
      </c>
      <c r="F8779" t="s">
        <v>670</v>
      </c>
      <c r="G8779" t="s">
        <v>59</v>
      </c>
      <c r="H8779">
        <v>2025</v>
      </c>
    </row>
    <row r="8780" spans="1:8" x14ac:dyDescent="0.2">
      <c r="A8780">
        <v>302136</v>
      </c>
      <c r="B8780">
        <v>302948.7</v>
      </c>
      <c r="C8780" t="str">
        <f t="shared" si="137"/>
        <v>5. $1M+</v>
      </c>
      <c r="D8780" t="s">
        <v>838</v>
      </c>
      <c r="E8780" t="s">
        <v>42</v>
      </c>
      <c r="F8780" t="s">
        <v>670</v>
      </c>
      <c r="G8780" t="s">
        <v>59</v>
      </c>
      <c r="H8780">
        <v>2025</v>
      </c>
    </row>
    <row r="8781" spans="1:8" x14ac:dyDescent="0.2">
      <c r="A8781">
        <v>302138</v>
      </c>
      <c r="B8781">
        <v>480000</v>
      </c>
      <c r="C8781" t="str">
        <f t="shared" si="137"/>
        <v>4. $250K-1M</v>
      </c>
      <c r="D8781" t="s">
        <v>821</v>
      </c>
      <c r="E8781" t="s">
        <v>42</v>
      </c>
      <c r="F8781" t="s">
        <v>670</v>
      </c>
      <c r="G8781" t="s">
        <v>59</v>
      </c>
      <c r="H8781">
        <v>2025</v>
      </c>
    </row>
    <row r="8782" spans="1:8" x14ac:dyDescent="0.2">
      <c r="A8782">
        <v>302140</v>
      </c>
      <c r="B8782">
        <v>75000</v>
      </c>
      <c r="C8782" t="str">
        <f t="shared" si="137"/>
        <v>4. $250K-1M</v>
      </c>
      <c r="D8782" t="s">
        <v>1711</v>
      </c>
      <c r="E8782" t="s">
        <v>42</v>
      </c>
      <c r="F8782" t="s">
        <v>670</v>
      </c>
      <c r="G8782" t="s">
        <v>59</v>
      </c>
      <c r="H8782">
        <v>2025</v>
      </c>
    </row>
    <row r="8783" spans="1:8" x14ac:dyDescent="0.2">
      <c r="A8783">
        <v>302141</v>
      </c>
      <c r="B8783">
        <v>207384</v>
      </c>
      <c r="C8783" t="str">
        <f t="shared" si="137"/>
        <v>3. $50K-250K</v>
      </c>
      <c r="D8783" t="s">
        <v>391</v>
      </c>
      <c r="E8783" t="s">
        <v>42</v>
      </c>
      <c r="F8783" t="s">
        <v>670</v>
      </c>
      <c r="G8783" t="s">
        <v>59</v>
      </c>
      <c r="H8783">
        <v>2025</v>
      </c>
    </row>
    <row r="8784" spans="1:8" x14ac:dyDescent="0.2">
      <c r="A8784">
        <v>302148</v>
      </c>
      <c r="B8784">
        <v>506999</v>
      </c>
      <c r="C8784" t="str">
        <f t="shared" si="137"/>
        <v>3. $50K-250K</v>
      </c>
      <c r="D8784" t="s">
        <v>669</v>
      </c>
      <c r="E8784" t="s">
        <v>42</v>
      </c>
      <c r="F8784" t="s">
        <v>670</v>
      </c>
      <c r="G8784" t="s">
        <v>59</v>
      </c>
      <c r="H8784">
        <v>2025</v>
      </c>
    </row>
    <row r="8785" spans="1:8" x14ac:dyDescent="0.2">
      <c r="A8785">
        <v>302193</v>
      </c>
      <c r="B8785">
        <v>115000</v>
      </c>
      <c r="C8785" t="str">
        <f t="shared" si="137"/>
        <v>4. $250K-1M</v>
      </c>
      <c r="D8785" t="s">
        <v>804</v>
      </c>
      <c r="E8785" t="s">
        <v>42</v>
      </c>
      <c r="F8785" t="s">
        <v>670</v>
      </c>
      <c r="G8785" t="s">
        <v>44</v>
      </c>
      <c r="H8785">
        <v>2025</v>
      </c>
    </row>
    <row r="8786" spans="1:8" x14ac:dyDescent="0.2">
      <c r="A8786">
        <v>302194</v>
      </c>
      <c r="B8786">
        <v>312146</v>
      </c>
      <c r="C8786" t="str">
        <f t="shared" si="137"/>
        <v>3. $50K-250K</v>
      </c>
      <c r="D8786" t="s">
        <v>1581</v>
      </c>
      <c r="E8786" t="s">
        <v>42</v>
      </c>
      <c r="F8786" t="s">
        <v>670</v>
      </c>
      <c r="G8786" t="s">
        <v>44</v>
      </c>
      <c r="H8786">
        <v>2025</v>
      </c>
    </row>
    <row r="8787" spans="1:8" x14ac:dyDescent="0.2">
      <c r="A8787">
        <v>302196</v>
      </c>
      <c r="B8787">
        <v>394000</v>
      </c>
      <c r="C8787" t="str">
        <f t="shared" si="137"/>
        <v>4. $250K-1M</v>
      </c>
      <c r="D8787" t="s">
        <v>884</v>
      </c>
      <c r="E8787" t="s">
        <v>42</v>
      </c>
      <c r="F8787" t="s">
        <v>670</v>
      </c>
      <c r="G8787" t="s">
        <v>44</v>
      </c>
      <c r="H8787">
        <v>2025</v>
      </c>
    </row>
    <row r="8788" spans="1:8" x14ac:dyDescent="0.2">
      <c r="A8788">
        <v>302197</v>
      </c>
      <c r="B8788">
        <v>305711</v>
      </c>
      <c r="C8788" t="str">
        <f t="shared" si="137"/>
        <v>4. $250K-1M</v>
      </c>
      <c r="D8788" t="s">
        <v>680</v>
      </c>
      <c r="E8788" t="s">
        <v>42</v>
      </c>
      <c r="F8788" t="s">
        <v>670</v>
      </c>
      <c r="G8788" t="s">
        <v>44</v>
      </c>
      <c r="H8788">
        <v>2025</v>
      </c>
    </row>
    <row r="8789" spans="1:8" x14ac:dyDescent="0.2">
      <c r="A8789">
        <v>302198</v>
      </c>
      <c r="B8789">
        <v>305060</v>
      </c>
      <c r="C8789" t="str">
        <f t="shared" si="137"/>
        <v>4. $250K-1M</v>
      </c>
      <c r="D8789" t="s">
        <v>674</v>
      </c>
      <c r="E8789" t="s">
        <v>42</v>
      </c>
      <c r="F8789" t="s">
        <v>670</v>
      </c>
      <c r="G8789" t="s">
        <v>44</v>
      </c>
      <c r="H8789">
        <v>2025</v>
      </c>
    </row>
    <row r="8790" spans="1:8" x14ac:dyDescent="0.2">
      <c r="A8790">
        <v>302201</v>
      </c>
      <c r="B8790">
        <v>360072</v>
      </c>
      <c r="C8790" t="str">
        <f t="shared" si="137"/>
        <v>4. $250K-1M</v>
      </c>
      <c r="D8790" t="s">
        <v>671</v>
      </c>
      <c r="E8790" t="s">
        <v>42</v>
      </c>
      <c r="F8790" t="s">
        <v>670</v>
      </c>
      <c r="G8790" t="s">
        <v>44</v>
      </c>
      <c r="H8790">
        <v>2025</v>
      </c>
    </row>
    <row r="8791" spans="1:8" x14ac:dyDescent="0.2">
      <c r="A8791">
        <v>302202</v>
      </c>
      <c r="B8791">
        <v>322958</v>
      </c>
      <c r="C8791" t="str">
        <f t="shared" si="137"/>
        <v>4. $250K-1M</v>
      </c>
      <c r="D8791" t="s">
        <v>679</v>
      </c>
      <c r="E8791" t="s">
        <v>42</v>
      </c>
      <c r="F8791" t="s">
        <v>670</v>
      </c>
      <c r="G8791" t="s">
        <v>44</v>
      </c>
      <c r="H8791">
        <v>2025</v>
      </c>
    </row>
    <row r="8792" spans="1:8" x14ac:dyDescent="0.2">
      <c r="A8792">
        <v>302203</v>
      </c>
      <c r="B8792">
        <v>4914475</v>
      </c>
      <c r="C8792" t="str">
        <f t="shared" si="137"/>
        <v>4. $250K-1M</v>
      </c>
      <c r="D8792" t="s">
        <v>1473</v>
      </c>
      <c r="E8792" t="s">
        <v>59</v>
      </c>
      <c r="F8792" t="s">
        <v>670</v>
      </c>
      <c r="G8792" t="s">
        <v>59</v>
      </c>
      <c r="H8792">
        <v>2025</v>
      </c>
    </row>
    <row r="8793" spans="1:8" x14ac:dyDescent="0.2">
      <c r="A8793">
        <v>302205</v>
      </c>
      <c r="B8793">
        <v>1274726</v>
      </c>
      <c r="C8793" t="str">
        <f t="shared" si="137"/>
        <v>5. $1M+</v>
      </c>
      <c r="D8793" t="s">
        <v>686</v>
      </c>
      <c r="E8793" t="s">
        <v>59</v>
      </c>
      <c r="F8793" t="s">
        <v>670</v>
      </c>
      <c r="G8793" t="s">
        <v>59</v>
      </c>
      <c r="H8793">
        <v>2025</v>
      </c>
    </row>
    <row r="8794" spans="1:8" x14ac:dyDescent="0.2">
      <c r="A8794">
        <v>302211</v>
      </c>
      <c r="B8794">
        <v>240000</v>
      </c>
      <c r="C8794" t="str">
        <f t="shared" si="137"/>
        <v>5. $1M+</v>
      </c>
      <c r="D8794" t="s">
        <v>808</v>
      </c>
      <c r="E8794" t="s">
        <v>42</v>
      </c>
      <c r="F8794" t="s">
        <v>670</v>
      </c>
      <c r="G8794" t="s">
        <v>59</v>
      </c>
      <c r="H8794">
        <v>2025</v>
      </c>
    </row>
    <row r="8795" spans="1:8" x14ac:dyDescent="0.2">
      <c r="A8795">
        <v>302212</v>
      </c>
      <c r="B8795">
        <v>240000</v>
      </c>
      <c r="C8795" t="str">
        <f t="shared" si="137"/>
        <v>3. $50K-250K</v>
      </c>
      <c r="D8795" t="s">
        <v>1004</v>
      </c>
      <c r="E8795" t="s">
        <v>42</v>
      </c>
      <c r="F8795" t="s">
        <v>670</v>
      </c>
      <c r="G8795" t="s">
        <v>59</v>
      </c>
      <c r="H8795">
        <v>2025</v>
      </c>
    </row>
    <row r="8796" spans="1:8" x14ac:dyDescent="0.2">
      <c r="A8796">
        <v>302213</v>
      </c>
      <c r="B8796">
        <v>240000</v>
      </c>
      <c r="C8796" t="str">
        <f t="shared" si="137"/>
        <v>3. $50K-250K</v>
      </c>
      <c r="D8796" t="s">
        <v>702</v>
      </c>
      <c r="E8796" t="s">
        <v>42</v>
      </c>
      <c r="F8796" t="s">
        <v>670</v>
      </c>
      <c r="G8796" t="s">
        <v>59</v>
      </c>
      <c r="H8796">
        <v>2025</v>
      </c>
    </row>
    <row r="8797" spans="1:8" x14ac:dyDescent="0.2">
      <c r="A8797">
        <v>302214</v>
      </c>
      <c r="B8797">
        <v>360000</v>
      </c>
      <c r="C8797" t="str">
        <f t="shared" si="137"/>
        <v>3. $50K-250K</v>
      </c>
      <c r="D8797" t="s">
        <v>1009</v>
      </c>
      <c r="E8797" t="s">
        <v>42</v>
      </c>
      <c r="F8797" t="s">
        <v>670</v>
      </c>
      <c r="G8797" t="s">
        <v>59</v>
      </c>
      <c r="H8797">
        <v>2025</v>
      </c>
    </row>
    <row r="8798" spans="1:8" x14ac:dyDescent="0.2">
      <c r="A8798">
        <v>302216</v>
      </c>
      <c r="B8798">
        <v>350000</v>
      </c>
      <c r="C8798" t="str">
        <f t="shared" si="137"/>
        <v>4. $250K-1M</v>
      </c>
      <c r="D8798" t="s">
        <v>791</v>
      </c>
      <c r="E8798" t="s">
        <v>42</v>
      </c>
      <c r="F8798" t="s">
        <v>670</v>
      </c>
      <c r="G8798" t="s">
        <v>59</v>
      </c>
      <c r="H8798">
        <v>2025</v>
      </c>
    </row>
    <row r="8799" spans="1:8" x14ac:dyDescent="0.2">
      <c r="A8799">
        <v>302217</v>
      </c>
      <c r="B8799">
        <v>480700</v>
      </c>
      <c r="C8799" t="str">
        <f t="shared" si="137"/>
        <v>4. $250K-1M</v>
      </c>
      <c r="D8799" t="s">
        <v>717</v>
      </c>
      <c r="E8799" t="s">
        <v>42</v>
      </c>
      <c r="F8799" t="s">
        <v>670</v>
      </c>
      <c r="G8799" t="s">
        <v>59</v>
      </c>
      <c r="H8799">
        <v>2025</v>
      </c>
    </row>
    <row r="8800" spans="1:8" x14ac:dyDescent="0.2">
      <c r="A8800">
        <v>302218</v>
      </c>
      <c r="B8800">
        <v>242740</v>
      </c>
      <c r="C8800" t="str">
        <f t="shared" si="137"/>
        <v>4. $250K-1M</v>
      </c>
      <c r="D8800" t="s">
        <v>1026</v>
      </c>
      <c r="E8800" t="s">
        <v>42</v>
      </c>
      <c r="F8800" t="s">
        <v>670</v>
      </c>
      <c r="G8800" t="s">
        <v>59</v>
      </c>
      <c r="H8800">
        <v>2025</v>
      </c>
    </row>
    <row r="8801" spans="1:8" x14ac:dyDescent="0.2">
      <c r="A8801">
        <v>302278</v>
      </c>
      <c r="B8801">
        <v>69000</v>
      </c>
      <c r="C8801" t="str">
        <f t="shared" si="137"/>
        <v>3. $50K-250K</v>
      </c>
      <c r="D8801" t="s">
        <v>919</v>
      </c>
      <c r="E8801" t="s">
        <v>237</v>
      </c>
      <c r="F8801" t="s">
        <v>670</v>
      </c>
      <c r="G8801" t="s">
        <v>59</v>
      </c>
      <c r="H8801">
        <v>2025</v>
      </c>
    </row>
    <row r="8802" spans="1:8" x14ac:dyDescent="0.2">
      <c r="A8802">
        <v>302280</v>
      </c>
      <c r="B8802">
        <v>69000</v>
      </c>
      <c r="C8802" t="str">
        <f t="shared" si="137"/>
        <v>3. $50K-250K</v>
      </c>
      <c r="D8802" t="s">
        <v>988</v>
      </c>
      <c r="E8802" t="s">
        <v>237</v>
      </c>
      <c r="F8802" t="s">
        <v>670</v>
      </c>
      <c r="G8802" t="s">
        <v>59</v>
      </c>
      <c r="H8802">
        <v>2025</v>
      </c>
    </row>
    <row r="8803" spans="1:8" x14ac:dyDescent="0.2">
      <c r="A8803">
        <v>302287</v>
      </c>
      <c r="B8803">
        <v>69000</v>
      </c>
      <c r="C8803" t="str">
        <f t="shared" si="137"/>
        <v>3. $50K-250K</v>
      </c>
      <c r="D8803" t="s">
        <v>802</v>
      </c>
      <c r="E8803" t="s">
        <v>237</v>
      </c>
      <c r="F8803" t="s">
        <v>670</v>
      </c>
      <c r="G8803" t="s">
        <v>59</v>
      </c>
      <c r="H8803">
        <v>2025</v>
      </c>
    </row>
    <row r="8804" spans="1:8" x14ac:dyDescent="0.2">
      <c r="A8804">
        <v>302293</v>
      </c>
      <c r="B8804">
        <v>54000</v>
      </c>
      <c r="C8804" t="str">
        <f t="shared" si="137"/>
        <v>3. $50K-250K</v>
      </c>
      <c r="D8804" t="s">
        <v>762</v>
      </c>
      <c r="E8804" t="s">
        <v>237</v>
      </c>
      <c r="F8804" t="s">
        <v>670</v>
      </c>
      <c r="G8804" t="s">
        <v>59</v>
      </c>
      <c r="H8804">
        <v>2025</v>
      </c>
    </row>
    <row r="8805" spans="1:8" x14ac:dyDescent="0.2">
      <c r="A8805">
        <v>302294</v>
      </c>
      <c r="B8805">
        <v>108000</v>
      </c>
      <c r="C8805" t="str">
        <f t="shared" si="137"/>
        <v>3. $50K-250K</v>
      </c>
      <c r="D8805" t="s">
        <v>575</v>
      </c>
      <c r="E8805" t="s">
        <v>237</v>
      </c>
      <c r="F8805" t="s">
        <v>670</v>
      </c>
      <c r="G8805" t="s">
        <v>59</v>
      </c>
      <c r="H8805">
        <v>2025</v>
      </c>
    </row>
    <row r="8806" spans="1:8" x14ac:dyDescent="0.2">
      <c r="A8806">
        <v>302295</v>
      </c>
      <c r="B8806">
        <v>54000</v>
      </c>
      <c r="C8806" t="str">
        <f t="shared" si="137"/>
        <v>3. $50K-250K</v>
      </c>
      <c r="D8806" t="s">
        <v>708</v>
      </c>
      <c r="E8806" t="s">
        <v>237</v>
      </c>
      <c r="F8806" t="s">
        <v>670</v>
      </c>
      <c r="G8806" t="s">
        <v>59</v>
      </c>
      <c r="H8806">
        <v>2025</v>
      </c>
    </row>
    <row r="8807" spans="1:8" x14ac:dyDescent="0.2">
      <c r="A8807">
        <v>302296</v>
      </c>
      <c r="B8807">
        <v>54000</v>
      </c>
      <c r="C8807" t="str">
        <f t="shared" si="137"/>
        <v>3. $50K-250K</v>
      </c>
      <c r="D8807" t="s">
        <v>926</v>
      </c>
      <c r="E8807" t="s">
        <v>237</v>
      </c>
      <c r="F8807" t="s">
        <v>670</v>
      </c>
      <c r="G8807" t="s">
        <v>59</v>
      </c>
      <c r="H8807">
        <v>2025</v>
      </c>
    </row>
    <row r="8808" spans="1:8" x14ac:dyDescent="0.2">
      <c r="A8808">
        <v>302297</v>
      </c>
      <c r="B8808">
        <v>54000</v>
      </c>
      <c r="C8808" t="str">
        <f t="shared" si="137"/>
        <v>3. $50K-250K</v>
      </c>
      <c r="D8808" t="s">
        <v>1046</v>
      </c>
      <c r="E8808" t="s">
        <v>237</v>
      </c>
      <c r="F8808" t="s">
        <v>670</v>
      </c>
      <c r="G8808" t="s">
        <v>59</v>
      </c>
      <c r="H8808">
        <v>2025</v>
      </c>
    </row>
    <row r="8809" spans="1:8" x14ac:dyDescent="0.2">
      <c r="A8809">
        <v>302298</v>
      </c>
      <c r="B8809">
        <v>54000</v>
      </c>
      <c r="C8809" t="str">
        <f t="shared" si="137"/>
        <v>3. $50K-250K</v>
      </c>
      <c r="D8809" t="s">
        <v>1076</v>
      </c>
      <c r="E8809" t="s">
        <v>237</v>
      </c>
      <c r="F8809" t="s">
        <v>670</v>
      </c>
      <c r="G8809" t="s">
        <v>59</v>
      </c>
      <c r="H8809">
        <v>2025</v>
      </c>
    </row>
    <row r="8810" spans="1:8" x14ac:dyDescent="0.2">
      <c r="A8810">
        <v>302299</v>
      </c>
      <c r="B8810">
        <v>135000</v>
      </c>
      <c r="C8810" t="str">
        <f t="shared" si="137"/>
        <v>3. $50K-250K</v>
      </c>
      <c r="D8810" t="s">
        <v>990</v>
      </c>
      <c r="E8810" t="s">
        <v>237</v>
      </c>
      <c r="F8810" t="s">
        <v>670</v>
      </c>
      <c r="G8810" t="s">
        <v>59</v>
      </c>
      <c r="H8810">
        <v>2025</v>
      </c>
    </row>
    <row r="8811" spans="1:8" x14ac:dyDescent="0.2">
      <c r="A8811">
        <v>302300</v>
      </c>
      <c r="B8811">
        <v>54000</v>
      </c>
      <c r="C8811" t="str">
        <f t="shared" si="137"/>
        <v>3. $50K-250K</v>
      </c>
      <c r="D8811" t="s">
        <v>920</v>
      </c>
      <c r="E8811" t="s">
        <v>237</v>
      </c>
      <c r="F8811" t="s">
        <v>670</v>
      </c>
      <c r="G8811" t="s">
        <v>59</v>
      </c>
      <c r="H8811">
        <v>2025</v>
      </c>
    </row>
    <row r="8812" spans="1:8" x14ac:dyDescent="0.2">
      <c r="A8812">
        <v>302301</v>
      </c>
      <c r="B8812">
        <v>135000</v>
      </c>
      <c r="C8812" t="str">
        <f t="shared" si="137"/>
        <v>3. $50K-250K</v>
      </c>
      <c r="D8812" t="s">
        <v>720</v>
      </c>
      <c r="E8812" t="s">
        <v>237</v>
      </c>
      <c r="F8812" t="s">
        <v>670</v>
      </c>
      <c r="G8812" t="s">
        <v>59</v>
      </c>
      <c r="H8812">
        <v>2025</v>
      </c>
    </row>
    <row r="8813" spans="1:8" x14ac:dyDescent="0.2">
      <c r="A8813">
        <v>302302</v>
      </c>
      <c r="B8813">
        <v>104063</v>
      </c>
      <c r="C8813" t="str">
        <f t="shared" si="137"/>
        <v>3. $50K-250K</v>
      </c>
      <c r="D8813" t="s">
        <v>724</v>
      </c>
      <c r="E8813" t="s">
        <v>237</v>
      </c>
      <c r="F8813" t="s">
        <v>670</v>
      </c>
      <c r="G8813" t="s">
        <v>59</v>
      </c>
      <c r="H8813">
        <v>2025</v>
      </c>
    </row>
    <row r="8814" spans="1:8" x14ac:dyDescent="0.2">
      <c r="A8814">
        <v>302303</v>
      </c>
      <c r="B8814">
        <v>54000</v>
      </c>
      <c r="C8814" t="str">
        <f t="shared" si="137"/>
        <v>3. $50K-250K</v>
      </c>
      <c r="D8814" t="s">
        <v>908</v>
      </c>
      <c r="E8814" t="s">
        <v>237</v>
      </c>
      <c r="F8814" t="s">
        <v>670</v>
      </c>
      <c r="G8814" t="s">
        <v>59</v>
      </c>
      <c r="H8814">
        <v>2025</v>
      </c>
    </row>
    <row r="8815" spans="1:8" x14ac:dyDescent="0.2">
      <c r="A8815">
        <v>302304</v>
      </c>
      <c r="B8815">
        <v>72000</v>
      </c>
      <c r="C8815" t="str">
        <f t="shared" si="137"/>
        <v>3. $50K-250K</v>
      </c>
      <c r="D8815" t="s">
        <v>839</v>
      </c>
      <c r="E8815" t="s">
        <v>237</v>
      </c>
      <c r="F8815" t="s">
        <v>670</v>
      </c>
      <c r="G8815" t="s">
        <v>59</v>
      </c>
      <c r="H8815">
        <v>2025</v>
      </c>
    </row>
    <row r="8816" spans="1:8" x14ac:dyDescent="0.2">
      <c r="A8816">
        <v>302305</v>
      </c>
      <c r="B8816">
        <v>144000</v>
      </c>
      <c r="C8816" t="str">
        <f t="shared" si="137"/>
        <v>3. $50K-250K</v>
      </c>
      <c r="D8816" t="s">
        <v>713</v>
      </c>
      <c r="E8816" t="s">
        <v>237</v>
      </c>
      <c r="F8816" t="s">
        <v>670</v>
      </c>
      <c r="G8816" t="s">
        <v>59</v>
      </c>
      <c r="H8816">
        <v>2025</v>
      </c>
    </row>
    <row r="8817" spans="1:8" x14ac:dyDescent="0.2">
      <c r="A8817">
        <v>302306</v>
      </c>
      <c r="B8817">
        <v>65000</v>
      </c>
      <c r="C8817" t="str">
        <f t="shared" si="137"/>
        <v>3. $50K-250K</v>
      </c>
      <c r="D8817" t="s">
        <v>721</v>
      </c>
      <c r="E8817" t="s">
        <v>237</v>
      </c>
      <c r="F8817" t="s">
        <v>670</v>
      </c>
      <c r="G8817" t="s">
        <v>59</v>
      </c>
      <c r="H8817">
        <v>2025</v>
      </c>
    </row>
    <row r="8818" spans="1:8" x14ac:dyDescent="0.2">
      <c r="A8818">
        <v>302307</v>
      </c>
      <c r="B8818">
        <v>54000</v>
      </c>
      <c r="C8818" t="str">
        <f t="shared" si="137"/>
        <v>3. $50K-250K</v>
      </c>
      <c r="D8818" t="s">
        <v>983</v>
      </c>
      <c r="E8818" t="s">
        <v>237</v>
      </c>
      <c r="F8818" t="s">
        <v>670</v>
      </c>
      <c r="G8818" t="s">
        <v>59</v>
      </c>
      <c r="H8818">
        <v>2025</v>
      </c>
    </row>
    <row r="8819" spans="1:8" x14ac:dyDescent="0.2">
      <c r="A8819">
        <v>302308</v>
      </c>
      <c r="B8819">
        <v>48000</v>
      </c>
      <c r="C8819" t="str">
        <f t="shared" si="137"/>
        <v>3. $50K-250K</v>
      </c>
      <c r="D8819" t="s">
        <v>713</v>
      </c>
      <c r="E8819" t="s">
        <v>237</v>
      </c>
      <c r="F8819" t="s">
        <v>670</v>
      </c>
      <c r="G8819" t="s">
        <v>59</v>
      </c>
      <c r="H8819">
        <v>2025</v>
      </c>
    </row>
    <row r="8820" spans="1:8" x14ac:dyDescent="0.2">
      <c r="A8820">
        <v>302309</v>
      </c>
      <c r="B8820">
        <v>108000</v>
      </c>
      <c r="C8820" t="str">
        <f t="shared" si="137"/>
        <v>2. $10K-50K</v>
      </c>
      <c r="D8820" t="s">
        <v>983</v>
      </c>
      <c r="E8820" t="s">
        <v>237</v>
      </c>
      <c r="F8820" t="s">
        <v>670</v>
      </c>
      <c r="G8820" t="s">
        <v>59</v>
      </c>
      <c r="H8820">
        <v>2025</v>
      </c>
    </row>
    <row r="8821" spans="1:8" x14ac:dyDescent="0.2">
      <c r="A8821">
        <v>302310</v>
      </c>
      <c r="B8821">
        <v>54000</v>
      </c>
      <c r="C8821" t="str">
        <f t="shared" si="137"/>
        <v>3. $50K-250K</v>
      </c>
      <c r="D8821" t="s">
        <v>983</v>
      </c>
      <c r="E8821" t="s">
        <v>237</v>
      </c>
      <c r="F8821" t="s">
        <v>670</v>
      </c>
      <c r="G8821" t="s">
        <v>59</v>
      </c>
      <c r="H8821">
        <v>2025</v>
      </c>
    </row>
    <row r="8822" spans="1:8" x14ac:dyDescent="0.2">
      <c r="A8822">
        <v>302311</v>
      </c>
      <c r="B8822">
        <v>81000</v>
      </c>
      <c r="C8822" t="str">
        <f t="shared" si="137"/>
        <v>3. $50K-250K</v>
      </c>
      <c r="D8822" t="s">
        <v>983</v>
      </c>
      <c r="E8822" t="s">
        <v>237</v>
      </c>
      <c r="F8822" t="s">
        <v>670</v>
      </c>
      <c r="G8822" t="s">
        <v>59</v>
      </c>
      <c r="H8822">
        <v>2025</v>
      </c>
    </row>
    <row r="8823" spans="1:8" x14ac:dyDescent="0.2">
      <c r="A8823">
        <v>302312</v>
      </c>
      <c r="B8823">
        <v>54000</v>
      </c>
      <c r="C8823" t="str">
        <f t="shared" si="137"/>
        <v>3. $50K-250K</v>
      </c>
      <c r="D8823" t="s">
        <v>701</v>
      </c>
      <c r="E8823" t="s">
        <v>237</v>
      </c>
      <c r="F8823" t="s">
        <v>670</v>
      </c>
      <c r="G8823" t="s">
        <v>59</v>
      </c>
      <c r="H8823">
        <v>2025</v>
      </c>
    </row>
    <row r="8824" spans="1:8" x14ac:dyDescent="0.2">
      <c r="A8824">
        <v>302313</v>
      </c>
      <c r="B8824">
        <v>138000</v>
      </c>
      <c r="C8824" t="str">
        <f t="shared" si="137"/>
        <v>3. $50K-250K</v>
      </c>
      <c r="D8824" t="s">
        <v>1168</v>
      </c>
      <c r="E8824" t="s">
        <v>237</v>
      </c>
      <c r="F8824" t="s">
        <v>670</v>
      </c>
      <c r="G8824" t="s">
        <v>59</v>
      </c>
      <c r="H8824">
        <v>2025</v>
      </c>
    </row>
    <row r="8825" spans="1:8" x14ac:dyDescent="0.2">
      <c r="A8825">
        <v>302314</v>
      </c>
      <c r="B8825">
        <v>69000</v>
      </c>
      <c r="C8825" t="str">
        <f t="shared" si="137"/>
        <v>3. $50K-250K</v>
      </c>
      <c r="D8825" t="s">
        <v>749</v>
      </c>
      <c r="E8825" t="s">
        <v>237</v>
      </c>
      <c r="F8825" t="s">
        <v>670</v>
      </c>
      <c r="G8825" t="s">
        <v>59</v>
      </c>
      <c r="H8825">
        <v>2025</v>
      </c>
    </row>
    <row r="8826" spans="1:8" x14ac:dyDescent="0.2">
      <c r="A8826">
        <v>302315</v>
      </c>
      <c r="B8826">
        <v>81000</v>
      </c>
      <c r="C8826" t="str">
        <f t="shared" si="137"/>
        <v>3. $50K-250K</v>
      </c>
      <c r="D8826" t="s">
        <v>1065</v>
      </c>
      <c r="E8826" t="s">
        <v>237</v>
      </c>
      <c r="F8826" t="s">
        <v>670</v>
      </c>
      <c r="G8826" t="s">
        <v>59</v>
      </c>
      <c r="H8826">
        <v>2025</v>
      </c>
    </row>
    <row r="8827" spans="1:8" x14ac:dyDescent="0.2">
      <c r="A8827">
        <v>302316</v>
      </c>
      <c r="B8827">
        <v>162000</v>
      </c>
      <c r="C8827" t="str">
        <f t="shared" si="137"/>
        <v>3. $50K-250K</v>
      </c>
      <c r="D8827" t="s">
        <v>713</v>
      </c>
      <c r="E8827" t="s">
        <v>237</v>
      </c>
      <c r="F8827" t="s">
        <v>670</v>
      </c>
      <c r="G8827" t="s">
        <v>59</v>
      </c>
      <c r="H8827">
        <v>2025</v>
      </c>
    </row>
    <row r="8828" spans="1:8" x14ac:dyDescent="0.2">
      <c r="A8828">
        <v>302317</v>
      </c>
      <c r="B8828">
        <v>54500</v>
      </c>
      <c r="C8828" t="str">
        <f t="shared" si="137"/>
        <v>3. $50K-250K</v>
      </c>
      <c r="D8828" t="s">
        <v>694</v>
      </c>
      <c r="E8828" t="s">
        <v>237</v>
      </c>
      <c r="F8828" t="s">
        <v>670</v>
      </c>
      <c r="G8828" t="s">
        <v>59</v>
      </c>
      <c r="H8828">
        <v>2025</v>
      </c>
    </row>
    <row r="8829" spans="1:8" x14ac:dyDescent="0.2">
      <c r="A8829">
        <v>302318</v>
      </c>
      <c r="B8829">
        <v>1537776.5</v>
      </c>
      <c r="C8829" t="str">
        <f t="shared" si="137"/>
        <v>3. $50K-250K</v>
      </c>
      <c r="D8829" t="s">
        <v>713</v>
      </c>
      <c r="E8829" t="s">
        <v>237</v>
      </c>
      <c r="F8829" t="s">
        <v>670</v>
      </c>
      <c r="G8829" t="s">
        <v>59</v>
      </c>
      <c r="H8829">
        <v>2025</v>
      </c>
    </row>
    <row r="8830" spans="1:8" x14ac:dyDescent="0.2">
      <c r="A8830">
        <v>302319</v>
      </c>
      <c r="B8830">
        <v>56516</v>
      </c>
      <c r="C8830" t="str">
        <f t="shared" si="137"/>
        <v>5. $1M+</v>
      </c>
      <c r="D8830" t="s">
        <v>713</v>
      </c>
      <c r="E8830" t="s">
        <v>237</v>
      </c>
      <c r="F8830" t="s">
        <v>670</v>
      </c>
      <c r="G8830" t="s">
        <v>59</v>
      </c>
      <c r="H8830">
        <v>2025</v>
      </c>
    </row>
    <row r="8831" spans="1:8" x14ac:dyDescent="0.2">
      <c r="A8831">
        <v>302320</v>
      </c>
      <c r="B8831">
        <v>12779</v>
      </c>
      <c r="C8831" t="str">
        <f t="shared" si="137"/>
        <v>3. $50K-250K</v>
      </c>
      <c r="D8831" t="s">
        <v>890</v>
      </c>
      <c r="E8831" t="s">
        <v>237</v>
      </c>
      <c r="F8831" t="s">
        <v>670</v>
      </c>
      <c r="G8831" t="s">
        <v>59</v>
      </c>
      <c r="H8831">
        <v>2025</v>
      </c>
    </row>
    <row r="8832" spans="1:8" x14ac:dyDescent="0.2">
      <c r="A8832">
        <v>302321</v>
      </c>
      <c r="B8832">
        <v>108000</v>
      </c>
      <c r="C8832" t="str">
        <f t="shared" si="137"/>
        <v>2. $10K-50K</v>
      </c>
      <c r="D8832" t="s">
        <v>713</v>
      </c>
      <c r="E8832" t="s">
        <v>237</v>
      </c>
      <c r="F8832" t="s">
        <v>670</v>
      </c>
      <c r="G8832" t="s">
        <v>59</v>
      </c>
      <c r="H8832">
        <v>2025</v>
      </c>
    </row>
    <row r="8833" spans="1:8" x14ac:dyDescent="0.2">
      <c r="A8833">
        <v>302322</v>
      </c>
      <c r="B8833">
        <v>48000</v>
      </c>
      <c r="C8833" t="str">
        <f t="shared" si="137"/>
        <v>3. $50K-250K</v>
      </c>
      <c r="D8833" t="s">
        <v>713</v>
      </c>
      <c r="E8833" t="s">
        <v>237</v>
      </c>
      <c r="F8833" t="s">
        <v>670</v>
      </c>
      <c r="G8833" t="s">
        <v>59</v>
      </c>
      <c r="H8833">
        <v>2025</v>
      </c>
    </row>
    <row r="8834" spans="1:8" x14ac:dyDescent="0.2">
      <c r="A8834">
        <v>302323</v>
      </c>
      <c r="B8834">
        <v>216000</v>
      </c>
      <c r="C8834" t="str">
        <f t="shared" si="137"/>
        <v>2. $10K-50K</v>
      </c>
      <c r="D8834" t="s">
        <v>726</v>
      </c>
      <c r="E8834" t="s">
        <v>237</v>
      </c>
      <c r="F8834" t="s">
        <v>670</v>
      </c>
      <c r="G8834" t="s">
        <v>59</v>
      </c>
      <c r="H8834">
        <v>2025</v>
      </c>
    </row>
    <row r="8835" spans="1:8" x14ac:dyDescent="0.2">
      <c r="A8835">
        <v>302324</v>
      </c>
      <c r="B8835">
        <v>135000</v>
      </c>
      <c r="C8835" t="str">
        <f t="shared" ref="C8835:C8898" si="138">IF(B8834&lt;10000,"1. Under $10K",IF(B8834&lt;50000,"2. $10K-50K",IF(B8834&lt;250000,"3. $50K-250K",IF(B8834&lt;1000000,"4. $250K-1M","5. $1M+"))))</f>
        <v>3. $50K-250K</v>
      </c>
      <c r="D8835" t="s">
        <v>713</v>
      </c>
      <c r="E8835" t="s">
        <v>237</v>
      </c>
      <c r="F8835" t="s">
        <v>670</v>
      </c>
      <c r="G8835" t="s">
        <v>59</v>
      </c>
      <c r="H8835">
        <v>2025</v>
      </c>
    </row>
    <row r="8836" spans="1:8" x14ac:dyDescent="0.2">
      <c r="A8836">
        <v>302325</v>
      </c>
      <c r="B8836">
        <v>52800</v>
      </c>
      <c r="C8836" t="str">
        <f t="shared" si="138"/>
        <v>3. $50K-250K</v>
      </c>
      <c r="D8836" t="s">
        <v>930</v>
      </c>
      <c r="E8836" t="s">
        <v>237</v>
      </c>
      <c r="F8836" t="s">
        <v>670</v>
      </c>
      <c r="G8836" t="s">
        <v>59</v>
      </c>
      <c r="H8836">
        <v>2025</v>
      </c>
    </row>
    <row r="8837" spans="1:8" x14ac:dyDescent="0.2">
      <c r="A8837">
        <v>302340</v>
      </c>
      <c r="B8837">
        <v>69000</v>
      </c>
      <c r="C8837" t="str">
        <f t="shared" si="138"/>
        <v>3. $50K-250K</v>
      </c>
      <c r="D8837" t="s">
        <v>1179</v>
      </c>
      <c r="E8837" t="s">
        <v>237</v>
      </c>
      <c r="F8837" t="s">
        <v>670</v>
      </c>
      <c r="G8837" t="s">
        <v>59</v>
      </c>
      <c r="H8837">
        <v>2025</v>
      </c>
    </row>
    <row r="8838" spans="1:8" x14ac:dyDescent="0.2">
      <c r="A8838">
        <v>302342</v>
      </c>
      <c r="B8838">
        <v>34500</v>
      </c>
      <c r="C8838" t="str">
        <f t="shared" si="138"/>
        <v>3. $50K-250K</v>
      </c>
      <c r="D8838" t="s">
        <v>1179</v>
      </c>
      <c r="E8838" t="s">
        <v>237</v>
      </c>
      <c r="F8838" t="s">
        <v>670</v>
      </c>
      <c r="G8838" t="s">
        <v>59</v>
      </c>
      <c r="H8838">
        <v>2025</v>
      </c>
    </row>
    <row r="8839" spans="1:8" x14ac:dyDescent="0.2">
      <c r="A8839">
        <v>302343</v>
      </c>
      <c r="B8839">
        <v>222000</v>
      </c>
      <c r="C8839" t="str">
        <f t="shared" si="138"/>
        <v>2. $10K-50K</v>
      </c>
      <c r="D8839" t="s">
        <v>708</v>
      </c>
      <c r="E8839" t="s">
        <v>237</v>
      </c>
      <c r="F8839" t="s">
        <v>670</v>
      </c>
      <c r="G8839" t="s">
        <v>59</v>
      </c>
      <c r="H8839">
        <v>2025</v>
      </c>
    </row>
    <row r="8840" spans="1:8" x14ac:dyDescent="0.2">
      <c r="A8840">
        <v>302345</v>
      </c>
      <c r="B8840">
        <v>207000</v>
      </c>
      <c r="C8840" t="str">
        <f t="shared" si="138"/>
        <v>3. $50K-250K</v>
      </c>
      <c r="D8840" t="s">
        <v>783</v>
      </c>
      <c r="E8840" t="s">
        <v>237</v>
      </c>
      <c r="F8840" t="s">
        <v>670</v>
      </c>
      <c r="G8840" t="s">
        <v>59</v>
      </c>
      <c r="H8840">
        <v>2025</v>
      </c>
    </row>
    <row r="8841" spans="1:8" x14ac:dyDescent="0.2">
      <c r="A8841">
        <v>302346</v>
      </c>
      <c r="B8841">
        <v>104000</v>
      </c>
      <c r="C8841" t="str">
        <f t="shared" si="138"/>
        <v>3. $50K-250K</v>
      </c>
      <c r="D8841" t="s">
        <v>694</v>
      </c>
      <c r="E8841" t="s">
        <v>237</v>
      </c>
      <c r="F8841" t="s">
        <v>670</v>
      </c>
      <c r="G8841" t="s">
        <v>59</v>
      </c>
      <c r="H8841">
        <v>2025</v>
      </c>
    </row>
    <row r="8842" spans="1:8" x14ac:dyDescent="0.2">
      <c r="A8842">
        <v>302347</v>
      </c>
      <c r="B8842">
        <v>40346</v>
      </c>
      <c r="C8842" t="str">
        <f t="shared" si="138"/>
        <v>3. $50K-250K</v>
      </c>
      <c r="D8842" t="s">
        <v>1019</v>
      </c>
      <c r="E8842" t="s">
        <v>237</v>
      </c>
      <c r="F8842" t="s">
        <v>670</v>
      </c>
      <c r="G8842" t="s">
        <v>59</v>
      </c>
      <c r="H8842">
        <v>2025</v>
      </c>
    </row>
    <row r="8843" spans="1:8" x14ac:dyDescent="0.2">
      <c r="A8843">
        <v>302348</v>
      </c>
      <c r="B8843">
        <v>222000</v>
      </c>
      <c r="C8843" t="str">
        <f t="shared" si="138"/>
        <v>2. $10K-50K</v>
      </c>
      <c r="D8843" t="s">
        <v>1073</v>
      </c>
      <c r="E8843" t="s">
        <v>237</v>
      </c>
      <c r="F8843" t="s">
        <v>670</v>
      </c>
      <c r="G8843" t="s">
        <v>59</v>
      </c>
      <c r="H8843">
        <v>2025</v>
      </c>
    </row>
    <row r="8844" spans="1:8" x14ac:dyDescent="0.2">
      <c r="A8844">
        <v>302349</v>
      </c>
      <c r="B8844">
        <v>111000</v>
      </c>
      <c r="C8844" t="str">
        <f t="shared" si="138"/>
        <v>3. $50K-250K</v>
      </c>
      <c r="D8844" t="s">
        <v>802</v>
      </c>
      <c r="E8844" t="s">
        <v>237</v>
      </c>
      <c r="F8844" t="s">
        <v>670</v>
      </c>
      <c r="G8844" t="s">
        <v>59</v>
      </c>
      <c r="H8844">
        <v>2025</v>
      </c>
    </row>
    <row r="8845" spans="1:8" x14ac:dyDescent="0.2">
      <c r="A8845">
        <v>302350</v>
      </c>
      <c r="B8845">
        <v>69000</v>
      </c>
      <c r="C8845" t="str">
        <f t="shared" si="138"/>
        <v>3. $50K-250K</v>
      </c>
      <c r="D8845" t="s">
        <v>720</v>
      </c>
      <c r="E8845" t="s">
        <v>237</v>
      </c>
      <c r="F8845" t="s">
        <v>670</v>
      </c>
      <c r="G8845" t="s">
        <v>59</v>
      </c>
      <c r="H8845">
        <v>2025</v>
      </c>
    </row>
    <row r="8846" spans="1:8" x14ac:dyDescent="0.2">
      <c r="A8846">
        <v>302351</v>
      </c>
      <c r="B8846">
        <v>222000</v>
      </c>
      <c r="C8846" t="str">
        <f t="shared" si="138"/>
        <v>3. $50K-250K</v>
      </c>
      <c r="D8846" t="s">
        <v>781</v>
      </c>
      <c r="E8846" t="s">
        <v>237</v>
      </c>
      <c r="F8846" t="s">
        <v>670</v>
      </c>
      <c r="G8846" t="s">
        <v>59</v>
      </c>
      <c r="H8846">
        <v>2025</v>
      </c>
    </row>
    <row r="8847" spans="1:8" x14ac:dyDescent="0.2">
      <c r="A8847">
        <v>302363</v>
      </c>
      <c r="B8847">
        <v>45000</v>
      </c>
      <c r="C8847" t="str">
        <f t="shared" si="138"/>
        <v>3. $50K-250K</v>
      </c>
      <c r="D8847" t="s">
        <v>946</v>
      </c>
      <c r="E8847" t="s">
        <v>819</v>
      </c>
      <c r="F8847" t="s">
        <v>670</v>
      </c>
      <c r="G8847" t="s">
        <v>59</v>
      </c>
      <c r="H8847">
        <v>2025</v>
      </c>
    </row>
    <row r="8848" spans="1:8" x14ac:dyDescent="0.2">
      <c r="A8848">
        <v>302364</v>
      </c>
      <c r="B8848">
        <v>8019555</v>
      </c>
      <c r="C8848" t="str">
        <f t="shared" si="138"/>
        <v>2. $10K-50K</v>
      </c>
      <c r="D8848" t="s">
        <v>749</v>
      </c>
      <c r="E8848" t="s">
        <v>42</v>
      </c>
      <c r="F8848" t="s">
        <v>670</v>
      </c>
      <c r="G8848" t="s">
        <v>44</v>
      </c>
      <c r="H8848">
        <v>2025</v>
      </c>
    </row>
    <row r="8849" spans="1:8" x14ac:dyDescent="0.2">
      <c r="A8849">
        <v>302365</v>
      </c>
      <c r="B8849">
        <v>6419555</v>
      </c>
      <c r="C8849" t="str">
        <f t="shared" si="138"/>
        <v>5. $1M+</v>
      </c>
      <c r="D8849" t="s">
        <v>1047</v>
      </c>
      <c r="E8849" t="s">
        <v>42</v>
      </c>
      <c r="F8849" t="s">
        <v>670</v>
      </c>
      <c r="G8849" t="s">
        <v>44</v>
      </c>
      <c r="H8849">
        <v>2025</v>
      </c>
    </row>
    <row r="8850" spans="1:8" x14ac:dyDescent="0.2">
      <c r="A8850">
        <v>302368</v>
      </c>
      <c r="B8850">
        <v>185480</v>
      </c>
      <c r="C8850" t="str">
        <f t="shared" si="138"/>
        <v>5. $1M+</v>
      </c>
      <c r="D8850" t="s">
        <v>813</v>
      </c>
      <c r="E8850" t="s">
        <v>237</v>
      </c>
      <c r="F8850" t="s">
        <v>670</v>
      </c>
      <c r="G8850" t="s">
        <v>59</v>
      </c>
      <c r="H8850">
        <v>2025</v>
      </c>
    </row>
    <row r="8851" spans="1:8" x14ac:dyDescent="0.2">
      <c r="A8851">
        <v>302369</v>
      </c>
      <c r="B8851">
        <v>46370</v>
      </c>
      <c r="C8851" t="str">
        <f t="shared" si="138"/>
        <v>3. $50K-250K</v>
      </c>
      <c r="D8851" t="s">
        <v>813</v>
      </c>
      <c r="E8851" t="s">
        <v>237</v>
      </c>
      <c r="F8851" t="s">
        <v>670</v>
      </c>
      <c r="G8851" t="s">
        <v>59</v>
      </c>
      <c r="H8851">
        <v>2025</v>
      </c>
    </row>
    <row r="8852" spans="1:8" x14ac:dyDescent="0.2">
      <c r="A8852">
        <v>302395</v>
      </c>
      <c r="B8852">
        <v>52800</v>
      </c>
      <c r="C8852" t="str">
        <f t="shared" si="138"/>
        <v>2. $10K-50K</v>
      </c>
      <c r="D8852" t="s">
        <v>931</v>
      </c>
      <c r="E8852" t="s">
        <v>237</v>
      </c>
      <c r="F8852" t="s">
        <v>670</v>
      </c>
      <c r="G8852" t="s">
        <v>59</v>
      </c>
      <c r="H8852">
        <v>2025</v>
      </c>
    </row>
    <row r="8853" spans="1:8" x14ac:dyDescent="0.2">
      <c r="A8853">
        <v>302396</v>
      </c>
      <c r="B8853">
        <v>222000</v>
      </c>
      <c r="C8853" t="str">
        <f t="shared" si="138"/>
        <v>3. $50K-250K</v>
      </c>
      <c r="D8853" t="s">
        <v>883</v>
      </c>
      <c r="E8853" t="s">
        <v>237</v>
      </c>
      <c r="F8853" t="s">
        <v>670</v>
      </c>
      <c r="G8853" t="s">
        <v>59</v>
      </c>
      <c r="H8853">
        <v>2025</v>
      </c>
    </row>
    <row r="8854" spans="1:8" x14ac:dyDescent="0.2">
      <c r="A8854">
        <v>302397</v>
      </c>
      <c r="B8854">
        <v>333000</v>
      </c>
      <c r="C8854" t="str">
        <f t="shared" si="138"/>
        <v>3. $50K-250K</v>
      </c>
      <c r="D8854" t="s">
        <v>799</v>
      </c>
      <c r="E8854" t="s">
        <v>237</v>
      </c>
      <c r="F8854" t="s">
        <v>670</v>
      </c>
      <c r="G8854" t="s">
        <v>59</v>
      </c>
      <c r="H8854">
        <v>2025</v>
      </c>
    </row>
    <row r="8855" spans="1:8" x14ac:dyDescent="0.2">
      <c r="A8855">
        <v>302398</v>
      </c>
      <c r="B8855">
        <v>81619</v>
      </c>
      <c r="C8855" t="str">
        <f t="shared" si="138"/>
        <v>4. $250K-1M</v>
      </c>
      <c r="D8855" t="s">
        <v>785</v>
      </c>
      <c r="E8855" t="s">
        <v>237</v>
      </c>
      <c r="F8855" t="s">
        <v>670</v>
      </c>
      <c r="G8855" t="s">
        <v>59</v>
      </c>
      <c r="H8855">
        <v>2025</v>
      </c>
    </row>
    <row r="8856" spans="1:8" x14ac:dyDescent="0.2">
      <c r="A8856">
        <v>302403</v>
      </c>
      <c r="B8856">
        <v>103500</v>
      </c>
      <c r="C8856" t="str">
        <f t="shared" si="138"/>
        <v>3. $50K-250K</v>
      </c>
      <c r="D8856" t="s">
        <v>1093</v>
      </c>
      <c r="E8856" t="s">
        <v>237</v>
      </c>
      <c r="F8856" t="s">
        <v>670</v>
      </c>
      <c r="G8856" t="s">
        <v>59</v>
      </c>
      <c r="H8856">
        <v>2025</v>
      </c>
    </row>
    <row r="8857" spans="1:8" x14ac:dyDescent="0.2">
      <c r="A8857">
        <v>302404</v>
      </c>
      <c r="B8857">
        <v>222000</v>
      </c>
      <c r="C8857" t="str">
        <f t="shared" si="138"/>
        <v>3. $50K-250K</v>
      </c>
      <c r="D8857" t="s">
        <v>838</v>
      </c>
      <c r="E8857" t="s">
        <v>237</v>
      </c>
      <c r="F8857" t="s">
        <v>670</v>
      </c>
      <c r="G8857" t="s">
        <v>59</v>
      </c>
      <c r="H8857">
        <v>2025</v>
      </c>
    </row>
    <row r="8858" spans="1:8" x14ac:dyDescent="0.2">
      <c r="A8858">
        <v>302405</v>
      </c>
      <c r="B8858">
        <v>52800</v>
      </c>
      <c r="C8858" t="str">
        <f t="shared" si="138"/>
        <v>3. $50K-250K</v>
      </c>
      <c r="D8858" t="s">
        <v>916</v>
      </c>
      <c r="E8858" t="s">
        <v>237</v>
      </c>
      <c r="F8858" t="s">
        <v>670</v>
      </c>
      <c r="G8858" t="s">
        <v>59</v>
      </c>
      <c r="H8858">
        <v>2025</v>
      </c>
    </row>
    <row r="8859" spans="1:8" x14ac:dyDescent="0.2">
      <c r="A8859">
        <v>302407</v>
      </c>
      <c r="B8859">
        <v>223000</v>
      </c>
      <c r="C8859" t="str">
        <f t="shared" si="138"/>
        <v>3. $50K-250K</v>
      </c>
      <c r="D8859" t="s">
        <v>988</v>
      </c>
      <c r="E8859" t="s">
        <v>237</v>
      </c>
      <c r="F8859" t="s">
        <v>670</v>
      </c>
      <c r="G8859" t="s">
        <v>59</v>
      </c>
      <c r="H8859">
        <v>2025</v>
      </c>
    </row>
    <row r="8860" spans="1:8" x14ac:dyDescent="0.2">
      <c r="A8860">
        <v>302408</v>
      </c>
      <c r="B8860">
        <v>69000</v>
      </c>
      <c r="C8860" t="str">
        <f t="shared" si="138"/>
        <v>3. $50K-250K</v>
      </c>
      <c r="D8860" t="s">
        <v>1046</v>
      </c>
      <c r="E8860" t="s">
        <v>237</v>
      </c>
      <c r="F8860" t="s">
        <v>670</v>
      </c>
      <c r="G8860" t="s">
        <v>59</v>
      </c>
      <c r="H8860">
        <v>2025</v>
      </c>
    </row>
    <row r="8861" spans="1:8" x14ac:dyDescent="0.2">
      <c r="A8861">
        <v>302420</v>
      </c>
      <c r="B8861">
        <v>480000</v>
      </c>
      <c r="C8861" t="str">
        <f t="shared" si="138"/>
        <v>3. $50K-250K</v>
      </c>
      <c r="D8861" t="s">
        <v>929</v>
      </c>
      <c r="E8861" t="s">
        <v>42</v>
      </c>
      <c r="F8861" t="s">
        <v>670</v>
      </c>
      <c r="G8861" t="s">
        <v>59</v>
      </c>
      <c r="H8861">
        <v>2025</v>
      </c>
    </row>
    <row r="8862" spans="1:8" x14ac:dyDescent="0.2">
      <c r="A8862">
        <v>302421</v>
      </c>
      <c r="B8862">
        <v>70000</v>
      </c>
      <c r="C8862" t="str">
        <f t="shared" si="138"/>
        <v>4. $250K-1M</v>
      </c>
      <c r="D8862" t="s">
        <v>1358</v>
      </c>
      <c r="E8862" t="s">
        <v>819</v>
      </c>
      <c r="F8862" t="s">
        <v>670</v>
      </c>
      <c r="G8862" t="s">
        <v>59</v>
      </c>
      <c r="H8862">
        <v>2025</v>
      </c>
    </row>
    <row r="8863" spans="1:8" x14ac:dyDescent="0.2">
      <c r="A8863">
        <v>302425</v>
      </c>
      <c r="B8863">
        <v>356900</v>
      </c>
      <c r="C8863" t="str">
        <f t="shared" si="138"/>
        <v>3. $50K-250K</v>
      </c>
      <c r="D8863" t="s">
        <v>684</v>
      </c>
      <c r="E8863" t="s">
        <v>59</v>
      </c>
      <c r="F8863" t="s">
        <v>670</v>
      </c>
      <c r="G8863" t="s">
        <v>101</v>
      </c>
      <c r="H8863">
        <v>2025</v>
      </c>
    </row>
    <row r="8864" spans="1:8" x14ac:dyDescent="0.2">
      <c r="A8864">
        <v>302432</v>
      </c>
      <c r="B8864">
        <v>9463040</v>
      </c>
      <c r="C8864" t="str">
        <f t="shared" si="138"/>
        <v>4. $250K-1M</v>
      </c>
      <c r="D8864" t="s">
        <v>928</v>
      </c>
      <c r="E8864" t="s">
        <v>237</v>
      </c>
      <c r="F8864" t="s">
        <v>670</v>
      </c>
      <c r="G8864" t="s">
        <v>59</v>
      </c>
      <c r="H8864">
        <v>2025</v>
      </c>
    </row>
    <row r="8865" spans="1:8" x14ac:dyDescent="0.2">
      <c r="A8865">
        <v>302446</v>
      </c>
      <c r="B8865">
        <v>500000</v>
      </c>
      <c r="C8865" t="str">
        <f t="shared" si="138"/>
        <v>5. $1M+</v>
      </c>
      <c r="D8865" t="s">
        <v>792</v>
      </c>
      <c r="E8865" t="s">
        <v>59</v>
      </c>
      <c r="F8865" t="s">
        <v>670</v>
      </c>
      <c r="G8865" t="s">
        <v>101</v>
      </c>
      <c r="H8865">
        <v>2025</v>
      </c>
    </row>
    <row r="8866" spans="1:8" x14ac:dyDescent="0.2">
      <c r="A8866">
        <v>302449</v>
      </c>
      <c r="B8866">
        <v>60000</v>
      </c>
      <c r="C8866" t="str">
        <f t="shared" si="138"/>
        <v>4. $250K-1M</v>
      </c>
      <c r="D8866" t="s">
        <v>1443</v>
      </c>
      <c r="E8866" t="s">
        <v>819</v>
      </c>
      <c r="F8866" t="s">
        <v>670</v>
      </c>
      <c r="G8866" t="s">
        <v>59</v>
      </c>
      <c r="H8866">
        <v>2025</v>
      </c>
    </row>
    <row r="8867" spans="1:8" x14ac:dyDescent="0.2">
      <c r="A8867">
        <v>302450</v>
      </c>
      <c r="B8867">
        <v>70000</v>
      </c>
      <c r="C8867" t="str">
        <f t="shared" si="138"/>
        <v>3. $50K-250K</v>
      </c>
      <c r="D8867" t="s">
        <v>1456</v>
      </c>
      <c r="E8867" t="s">
        <v>819</v>
      </c>
      <c r="F8867" t="s">
        <v>670</v>
      </c>
      <c r="G8867" t="s">
        <v>59</v>
      </c>
      <c r="H8867">
        <v>2025</v>
      </c>
    </row>
    <row r="8868" spans="1:8" x14ac:dyDescent="0.2">
      <c r="A8868">
        <v>302454</v>
      </c>
      <c r="B8868">
        <v>240000</v>
      </c>
      <c r="C8868" t="str">
        <f t="shared" si="138"/>
        <v>3. $50K-250K</v>
      </c>
      <c r="D8868" t="s">
        <v>999</v>
      </c>
      <c r="E8868" t="s">
        <v>42</v>
      </c>
      <c r="F8868" t="s">
        <v>670</v>
      </c>
      <c r="G8868" t="s">
        <v>59</v>
      </c>
      <c r="H8868">
        <v>2025</v>
      </c>
    </row>
    <row r="8869" spans="1:8" x14ac:dyDescent="0.2">
      <c r="A8869">
        <v>302455</v>
      </c>
      <c r="B8869">
        <v>240000</v>
      </c>
      <c r="C8869" t="str">
        <f t="shared" si="138"/>
        <v>3. $50K-250K</v>
      </c>
      <c r="D8869" t="s">
        <v>1002</v>
      </c>
      <c r="E8869" t="s">
        <v>42</v>
      </c>
      <c r="F8869" t="s">
        <v>670</v>
      </c>
      <c r="G8869" t="s">
        <v>59</v>
      </c>
      <c r="H8869">
        <v>2025</v>
      </c>
    </row>
    <row r="8870" spans="1:8" x14ac:dyDescent="0.2">
      <c r="A8870">
        <v>302456</v>
      </c>
      <c r="B8870">
        <v>480000</v>
      </c>
      <c r="C8870" t="str">
        <f t="shared" si="138"/>
        <v>3. $50K-250K</v>
      </c>
      <c r="D8870" t="s">
        <v>1091</v>
      </c>
      <c r="E8870" t="s">
        <v>42</v>
      </c>
      <c r="F8870" t="s">
        <v>670</v>
      </c>
      <c r="G8870" t="s">
        <v>59</v>
      </c>
      <c r="H8870">
        <v>2025</v>
      </c>
    </row>
    <row r="8871" spans="1:8" x14ac:dyDescent="0.2">
      <c r="A8871">
        <v>302457</v>
      </c>
      <c r="B8871">
        <v>480000</v>
      </c>
      <c r="C8871" t="str">
        <f t="shared" si="138"/>
        <v>4. $250K-1M</v>
      </c>
      <c r="D8871" t="s">
        <v>683</v>
      </c>
      <c r="E8871" t="s">
        <v>42</v>
      </c>
      <c r="F8871" t="s">
        <v>670</v>
      </c>
      <c r="G8871" t="s">
        <v>59</v>
      </c>
      <c r="H8871">
        <v>2025</v>
      </c>
    </row>
    <row r="8872" spans="1:8" x14ac:dyDescent="0.2">
      <c r="A8872">
        <v>302459</v>
      </c>
      <c r="B8872">
        <v>480000</v>
      </c>
      <c r="C8872" t="str">
        <f t="shared" si="138"/>
        <v>4. $250K-1M</v>
      </c>
      <c r="D8872" t="s">
        <v>688</v>
      </c>
      <c r="E8872" t="s">
        <v>42</v>
      </c>
      <c r="F8872" t="s">
        <v>670</v>
      </c>
      <c r="G8872" t="s">
        <v>59</v>
      </c>
      <c r="H8872">
        <v>2025</v>
      </c>
    </row>
    <row r="8873" spans="1:8" x14ac:dyDescent="0.2">
      <c r="A8873">
        <v>302462</v>
      </c>
      <c r="B8873">
        <v>184000</v>
      </c>
      <c r="C8873" t="str">
        <f t="shared" si="138"/>
        <v>4. $250K-1M</v>
      </c>
      <c r="D8873" t="s">
        <v>684</v>
      </c>
      <c r="E8873" t="s">
        <v>42</v>
      </c>
      <c r="F8873" t="s">
        <v>670</v>
      </c>
      <c r="G8873" t="s">
        <v>59</v>
      </c>
      <c r="H8873">
        <v>2025</v>
      </c>
    </row>
    <row r="8874" spans="1:8" x14ac:dyDescent="0.2">
      <c r="A8874">
        <v>302689</v>
      </c>
      <c r="B8874">
        <v>25000</v>
      </c>
      <c r="C8874" t="str">
        <f t="shared" si="138"/>
        <v>3. $50K-250K</v>
      </c>
      <c r="D8874" t="s">
        <v>2505</v>
      </c>
      <c r="E8874" t="s">
        <v>819</v>
      </c>
      <c r="F8874" t="s">
        <v>670</v>
      </c>
      <c r="G8874" t="s">
        <v>59</v>
      </c>
      <c r="H8874">
        <v>2025</v>
      </c>
    </row>
    <row r="8875" spans="1:8" x14ac:dyDescent="0.2">
      <c r="A8875">
        <v>302698</v>
      </c>
      <c r="B8875">
        <v>240000</v>
      </c>
      <c r="C8875" t="str">
        <f t="shared" si="138"/>
        <v>2. $10K-50K</v>
      </c>
      <c r="D8875" t="s">
        <v>2099</v>
      </c>
      <c r="E8875" t="s">
        <v>42</v>
      </c>
      <c r="F8875" t="s">
        <v>670</v>
      </c>
      <c r="G8875" t="s">
        <v>59</v>
      </c>
      <c r="H8875">
        <v>2025</v>
      </c>
    </row>
    <row r="8876" spans="1:8" x14ac:dyDescent="0.2">
      <c r="A8876">
        <v>302699</v>
      </c>
      <c r="B8876">
        <v>240000</v>
      </c>
      <c r="C8876" t="str">
        <f t="shared" si="138"/>
        <v>3. $50K-250K</v>
      </c>
      <c r="D8876" t="s">
        <v>692</v>
      </c>
      <c r="E8876" t="s">
        <v>42</v>
      </c>
      <c r="F8876" t="s">
        <v>670</v>
      </c>
      <c r="G8876" t="s">
        <v>59</v>
      </c>
      <c r="H8876">
        <v>2025</v>
      </c>
    </row>
    <row r="8877" spans="1:8" x14ac:dyDescent="0.2">
      <c r="A8877">
        <v>302700</v>
      </c>
      <c r="B8877">
        <v>240000</v>
      </c>
      <c r="C8877" t="str">
        <f t="shared" si="138"/>
        <v>3. $50K-250K</v>
      </c>
      <c r="D8877" t="s">
        <v>793</v>
      </c>
      <c r="E8877" t="s">
        <v>42</v>
      </c>
      <c r="F8877" t="s">
        <v>670</v>
      </c>
      <c r="G8877" t="s">
        <v>59</v>
      </c>
      <c r="H8877">
        <v>2025</v>
      </c>
    </row>
    <row r="8878" spans="1:8" x14ac:dyDescent="0.2">
      <c r="A8878">
        <v>302701</v>
      </c>
      <c r="B8878">
        <v>25222</v>
      </c>
      <c r="C8878" t="str">
        <f t="shared" si="138"/>
        <v>3. $50K-250K</v>
      </c>
      <c r="D8878" t="s">
        <v>686</v>
      </c>
      <c r="E8878" t="s">
        <v>42</v>
      </c>
      <c r="F8878" t="s">
        <v>670</v>
      </c>
      <c r="G8878" t="s">
        <v>59</v>
      </c>
      <c r="H8878">
        <v>2025</v>
      </c>
    </row>
    <row r="8879" spans="1:8" x14ac:dyDescent="0.2">
      <c r="A8879">
        <v>302702</v>
      </c>
      <c r="B8879">
        <v>461618</v>
      </c>
      <c r="C8879" t="str">
        <f t="shared" si="138"/>
        <v>2. $10K-50K</v>
      </c>
      <c r="D8879" t="s">
        <v>1473</v>
      </c>
      <c r="E8879" t="s">
        <v>42</v>
      </c>
      <c r="F8879" t="s">
        <v>670</v>
      </c>
      <c r="G8879" t="s">
        <v>59</v>
      </c>
      <c r="H8879">
        <v>2025</v>
      </c>
    </row>
    <row r="8880" spans="1:8" x14ac:dyDescent="0.2">
      <c r="A8880">
        <v>302703</v>
      </c>
      <c r="B8880">
        <v>240000</v>
      </c>
      <c r="C8880" t="str">
        <f t="shared" si="138"/>
        <v>4. $250K-1M</v>
      </c>
      <c r="D8880" t="s">
        <v>1001</v>
      </c>
      <c r="E8880" t="s">
        <v>42</v>
      </c>
      <c r="F8880" t="s">
        <v>670</v>
      </c>
      <c r="G8880" t="s">
        <v>59</v>
      </c>
      <c r="H8880">
        <v>2025</v>
      </c>
    </row>
    <row r="8881" spans="1:8" x14ac:dyDescent="0.2">
      <c r="A8881">
        <v>302704</v>
      </c>
      <c r="B8881">
        <v>388734.7</v>
      </c>
      <c r="C8881" t="str">
        <f t="shared" si="138"/>
        <v>3. $50K-250K</v>
      </c>
      <c r="D8881" t="s">
        <v>1662</v>
      </c>
      <c r="E8881" t="s">
        <v>42</v>
      </c>
      <c r="F8881" t="s">
        <v>670</v>
      </c>
      <c r="G8881" t="s">
        <v>59</v>
      </c>
      <c r="H8881">
        <v>2025</v>
      </c>
    </row>
    <row r="8882" spans="1:8" x14ac:dyDescent="0.2">
      <c r="A8882">
        <v>302705</v>
      </c>
      <c r="B8882">
        <v>240000</v>
      </c>
      <c r="C8882" t="str">
        <f t="shared" si="138"/>
        <v>4. $250K-1M</v>
      </c>
      <c r="D8882" t="s">
        <v>1021</v>
      </c>
      <c r="E8882" t="s">
        <v>42</v>
      </c>
      <c r="F8882" t="s">
        <v>670</v>
      </c>
      <c r="G8882" t="s">
        <v>59</v>
      </c>
      <c r="H8882">
        <v>2025</v>
      </c>
    </row>
    <row r="8883" spans="1:8" x14ac:dyDescent="0.2">
      <c r="A8883">
        <v>302710</v>
      </c>
      <c r="B8883">
        <v>130000</v>
      </c>
      <c r="C8883" t="str">
        <f t="shared" si="138"/>
        <v>3. $50K-250K</v>
      </c>
      <c r="D8883" t="s">
        <v>1443</v>
      </c>
      <c r="E8883" t="s">
        <v>819</v>
      </c>
      <c r="F8883" t="s">
        <v>670</v>
      </c>
      <c r="G8883" t="s">
        <v>59</v>
      </c>
      <c r="H8883">
        <v>2025</v>
      </c>
    </row>
    <row r="8884" spans="1:8" x14ac:dyDescent="0.2">
      <c r="A8884">
        <v>302722</v>
      </c>
      <c r="B8884">
        <v>45000</v>
      </c>
      <c r="C8884" t="str">
        <f t="shared" si="138"/>
        <v>3. $50K-250K</v>
      </c>
      <c r="D8884" t="s">
        <v>2123</v>
      </c>
      <c r="E8884" t="s">
        <v>819</v>
      </c>
      <c r="F8884" t="s">
        <v>670</v>
      </c>
      <c r="G8884" t="s">
        <v>59</v>
      </c>
      <c r="H8884">
        <v>2025</v>
      </c>
    </row>
    <row r="8885" spans="1:8" x14ac:dyDescent="0.2">
      <c r="A8885">
        <v>302726</v>
      </c>
      <c r="B8885">
        <v>592906</v>
      </c>
      <c r="C8885" t="str">
        <f t="shared" si="138"/>
        <v>2. $10K-50K</v>
      </c>
      <c r="D8885" t="s">
        <v>391</v>
      </c>
      <c r="E8885" t="s">
        <v>42</v>
      </c>
      <c r="F8885" t="s">
        <v>670</v>
      </c>
      <c r="G8885" t="s">
        <v>59</v>
      </c>
      <c r="H8885">
        <v>2025</v>
      </c>
    </row>
    <row r="8886" spans="1:8" x14ac:dyDescent="0.2">
      <c r="A8886">
        <v>302728</v>
      </c>
      <c r="B8886">
        <v>426786</v>
      </c>
      <c r="C8886" t="str">
        <f t="shared" si="138"/>
        <v>4. $250K-1M</v>
      </c>
      <c r="D8886" t="s">
        <v>1003</v>
      </c>
      <c r="E8886" t="s">
        <v>42</v>
      </c>
      <c r="F8886" t="s">
        <v>670</v>
      </c>
      <c r="G8886" t="s">
        <v>59</v>
      </c>
      <c r="H8886">
        <v>2025</v>
      </c>
    </row>
    <row r="8887" spans="1:8" x14ac:dyDescent="0.2">
      <c r="A8887">
        <v>302729</v>
      </c>
      <c r="B8887">
        <v>65000</v>
      </c>
      <c r="C8887" t="str">
        <f t="shared" si="138"/>
        <v>4. $250K-1M</v>
      </c>
      <c r="D8887" t="s">
        <v>967</v>
      </c>
      <c r="E8887" t="s">
        <v>819</v>
      </c>
      <c r="F8887" t="s">
        <v>670</v>
      </c>
      <c r="G8887" t="s">
        <v>59</v>
      </c>
      <c r="H8887">
        <v>2025</v>
      </c>
    </row>
    <row r="8888" spans="1:8" x14ac:dyDescent="0.2">
      <c r="A8888">
        <v>302743</v>
      </c>
      <c r="B8888">
        <v>340834</v>
      </c>
      <c r="C8888" t="str">
        <f t="shared" si="138"/>
        <v>3. $50K-250K</v>
      </c>
      <c r="D8888" t="s">
        <v>804</v>
      </c>
      <c r="E8888" t="s">
        <v>42</v>
      </c>
      <c r="F8888" t="s">
        <v>670</v>
      </c>
      <c r="G8888" t="s">
        <v>59</v>
      </c>
      <c r="H8888">
        <v>2025</v>
      </c>
    </row>
    <row r="8889" spans="1:8" x14ac:dyDescent="0.2">
      <c r="A8889">
        <v>302747</v>
      </c>
      <c r="B8889">
        <v>3050000</v>
      </c>
      <c r="C8889" t="str">
        <f t="shared" si="138"/>
        <v>4. $250K-1M</v>
      </c>
      <c r="D8889" t="s">
        <v>771</v>
      </c>
      <c r="E8889" t="s">
        <v>42</v>
      </c>
      <c r="F8889" t="s">
        <v>670</v>
      </c>
      <c r="G8889" t="s">
        <v>59</v>
      </c>
      <c r="H8889">
        <v>2025</v>
      </c>
    </row>
    <row r="8890" spans="1:8" x14ac:dyDescent="0.2">
      <c r="A8890">
        <v>302754</v>
      </c>
      <c r="B8890">
        <v>604314</v>
      </c>
      <c r="C8890" t="str">
        <f t="shared" si="138"/>
        <v>5. $1M+</v>
      </c>
      <c r="D8890" t="s">
        <v>674</v>
      </c>
      <c r="E8890" t="s">
        <v>42</v>
      </c>
      <c r="F8890" t="s">
        <v>670</v>
      </c>
      <c r="G8890" t="s">
        <v>59</v>
      </c>
      <c r="H8890">
        <v>2025</v>
      </c>
    </row>
    <row r="8891" spans="1:8" x14ac:dyDescent="0.2">
      <c r="A8891">
        <v>302766</v>
      </c>
      <c r="B8891">
        <v>55000</v>
      </c>
      <c r="C8891" t="str">
        <f t="shared" si="138"/>
        <v>4. $250K-1M</v>
      </c>
      <c r="D8891" t="s">
        <v>1173</v>
      </c>
      <c r="E8891" t="s">
        <v>819</v>
      </c>
      <c r="F8891" t="s">
        <v>670</v>
      </c>
      <c r="G8891" t="s">
        <v>59</v>
      </c>
      <c r="H8891">
        <v>2025</v>
      </c>
    </row>
    <row r="8892" spans="1:8" x14ac:dyDescent="0.2">
      <c r="A8892">
        <v>302788</v>
      </c>
      <c r="B8892">
        <v>40000</v>
      </c>
      <c r="C8892" t="str">
        <f t="shared" si="138"/>
        <v>3. $50K-250K</v>
      </c>
      <c r="D8892" t="s">
        <v>1609</v>
      </c>
      <c r="E8892" t="s">
        <v>819</v>
      </c>
      <c r="F8892" t="s">
        <v>670</v>
      </c>
      <c r="G8892" t="s">
        <v>59</v>
      </c>
      <c r="H8892">
        <v>2025</v>
      </c>
    </row>
    <row r="8893" spans="1:8" x14ac:dyDescent="0.2">
      <c r="A8893">
        <v>302793</v>
      </c>
      <c r="B8893">
        <v>34560</v>
      </c>
      <c r="C8893" t="str">
        <f t="shared" si="138"/>
        <v>2. $10K-50K</v>
      </c>
      <c r="D8893" t="s">
        <v>391</v>
      </c>
      <c r="E8893" t="s">
        <v>237</v>
      </c>
      <c r="F8893" t="s">
        <v>670</v>
      </c>
      <c r="G8893" t="s">
        <v>59</v>
      </c>
      <c r="H8893">
        <v>2025</v>
      </c>
    </row>
    <row r="8894" spans="1:8" x14ac:dyDescent="0.2">
      <c r="A8894">
        <v>302855</v>
      </c>
      <c r="B8894">
        <v>650846</v>
      </c>
      <c r="C8894" t="str">
        <f t="shared" si="138"/>
        <v>2. $10K-50K</v>
      </c>
      <c r="D8894" t="s">
        <v>792</v>
      </c>
      <c r="E8894" t="s">
        <v>42</v>
      </c>
      <c r="F8894" t="s">
        <v>670</v>
      </c>
      <c r="G8894" t="s">
        <v>59</v>
      </c>
      <c r="H8894">
        <v>2025</v>
      </c>
    </row>
    <row r="8895" spans="1:8" x14ac:dyDescent="0.2">
      <c r="A8895">
        <v>302975</v>
      </c>
      <c r="B8895">
        <v>340834</v>
      </c>
      <c r="C8895" t="str">
        <f t="shared" si="138"/>
        <v>4. $250K-1M</v>
      </c>
      <c r="D8895" t="s">
        <v>674</v>
      </c>
      <c r="E8895" t="s">
        <v>42</v>
      </c>
      <c r="F8895" t="s">
        <v>670</v>
      </c>
      <c r="G8895" t="s">
        <v>59</v>
      </c>
      <c r="H8895">
        <v>2025</v>
      </c>
    </row>
    <row r="8896" spans="1:8" x14ac:dyDescent="0.2">
      <c r="A8896">
        <v>302976</v>
      </c>
      <c r="B8896">
        <v>9914072.8000000007</v>
      </c>
      <c r="C8896" t="str">
        <f t="shared" si="138"/>
        <v>4. $250K-1M</v>
      </c>
      <c r="D8896" t="s">
        <v>80</v>
      </c>
      <c r="E8896" t="s">
        <v>24</v>
      </c>
      <c r="F8896" t="s">
        <v>9</v>
      </c>
      <c r="G8896" t="s">
        <v>10</v>
      </c>
      <c r="H8896">
        <v>2025</v>
      </c>
    </row>
    <row r="8897" spans="1:8" x14ac:dyDescent="0.2">
      <c r="A8897">
        <v>302988</v>
      </c>
      <c r="B8897">
        <v>350000</v>
      </c>
      <c r="C8897" t="str">
        <f t="shared" si="138"/>
        <v>5. $1M+</v>
      </c>
      <c r="D8897" t="s">
        <v>851</v>
      </c>
      <c r="E8897" t="s">
        <v>237</v>
      </c>
      <c r="F8897" t="s">
        <v>670</v>
      </c>
      <c r="G8897" t="s">
        <v>59</v>
      </c>
      <c r="H8897">
        <v>2025</v>
      </c>
    </row>
    <row r="8898" spans="1:8" x14ac:dyDescent="0.2">
      <c r="A8898">
        <v>302989</v>
      </c>
      <c r="B8898">
        <v>60000</v>
      </c>
      <c r="C8898" t="str">
        <f t="shared" si="138"/>
        <v>4. $250K-1M</v>
      </c>
      <c r="D8898" t="s">
        <v>860</v>
      </c>
      <c r="E8898" t="s">
        <v>237</v>
      </c>
      <c r="F8898" t="s">
        <v>670</v>
      </c>
      <c r="G8898" t="s">
        <v>59</v>
      </c>
      <c r="H8898">
        <v>2025</v>
      </c>
    </row>
    <row r="8899" spans="1:8" x14ac:dyDescent="0.2">
      <c r="A8899">
        <v>302990</v>
      </c>
      <c r="B8899">
        <v>69000</v>
      </c>
      <c r="C8899" t="str">
        <f t="shared" ref="C8899:C8962" si="139">IF(B8898&lt;10000,"1. Under $10K",IF(B8898&lt;50000,"2. $10K-50K",IF(B8898&lt;250000,"3. $50K-250K",IF(B8898&lt;1000000,"4. $250K-1M","5. $1M+"))))</f>
        <v>3. $50K-250K</v>
      </c>
      <c r="D8899" t="s">
        <v>1208</v>
      </c>
      <c r="E8899" t="s">
        <v>237</v>
      </c>
      <c r="F8899" t="s">
        <v>670</v>
      </c>
      <c r="G8899" t="s">
        <v>59</v>
      </c>
      <c r="H8899">
        <v>2025</v>
      </c>
    </row>
    <row r="8900" spans="1:8" x14ac:dyDescent="0.2">
      <c r="A8900">
        <v>302992</v>
      </c>
      <c r="B8900">
        <v>103600</v>
      </c>
      <c r="C8900" t="str">
        <f t="shared" si="139"/>
        <v>3. $50K-250K</v>
      </c>
      <c r="D8900" t="s">
        <v>860</v>
      </c>
      <c r="E8900" t="s">
        <v>237</v>
      </c>
      <c r="F8900" t="s">
        <v>670</v>
      </c>
      <c r="G8900" t="s">
        <v>59</v>
      </c>
      <c r="H8900">
        <v>2025</v>
      </c>
    </row>
    <row r="8901" spans="1:8" x14ac:dyDescent="0.2">
      <c r="A8901">
        <v>302993</v>
      </c>
      <c r="B8901">
        <v>35222</v>
      </c>
      <c r="C8901" t="str">
        <f t="shared" si="139"/>
        <v>3. $50K-250K</v>
      </c>
      <c r="D8901" t="s">
        <v>749</v>
      </c>
      <c r="E8901" t="s">
        <v>237</v>
      </c>
      <c r="F8901" t="s">
        <v>670</v>
      </c>
      <c r="G8901" t="s">
        <v>59</v>
      </c>
      <c r="H8901">
        <v>2025</v>
      </c>
    </row>
    <row r="8902" spans="1:8" x14ac:dyDescent="0.2">
      <c r="A8902">
        <v>302994</v>
      </c>
      <c r="B8902">
        <v>65961</v>
      </c>
      <c r="C8902" t="str">
        <f t="shared" si="139"/>
        <v>2. $10K-50K</v>
      </c>
      <c r="D8902" t="s">
        <v>851</v>
      </c>
      <c r="E8902" t="s">
        <v>237</v>
      </c>
      <c r="F8902" t="s">
        <v>670</v>
      </c>
      <c r="G8902" t="s">
        <v>59</v>
      </c>
      <c r="H8902">
        <v>2025</v>
      </c>
    </row>
    <row r="8903" spans="1:8" x14ac:dyDescent="0.2">
      <c r="A8903">
        <v>302995</v>
      </c>
      <c r="B8903">
        <v>222000</v>
      </c>
      <c r="C8903" t="str">
        <f t="shared" si="139"/>
        <v>3. $50K-250K</v>
      </c>
      <c r="D8903" t="s">
        <v>1093</v>
      </c>
      <c r="E8903" t="s">
        <v>237</v>
      </c>
      <c r="F8903" t="s">
        <v>670</v>
      </c>
      <c r="G8903" t="s">
        <v>59</v>
      </c>
      <c r="H8903">
        <v>2025</v>
      </c>
    </row>
    <row r="8904" spans="1:8" x14ac:dyDescent="0.2">
      <c r="A8904">
        <v>302996</v>
      </c>
      <c r="B8904">
        <v>120000</v>
      </c>
      <c r="C8904" t="str">
        <f t="shared" si="139"/>
        <v>3. $50K-250K</v>
      </c>
      <c r="D8904" t="s">
        <v>876</v>
      </c>
      <c r="E8904" t="s">
        <v>237</v>
      </c>
      <c r="F8904" t="s">
        <v>670</v>
      </c>
      <c r="G8904" t="s">
        <v>59</v>
      </c>
      <c r="H8904">
        <v>2025</v>
      </c>
    </row>
    <row r="8905" spans="1:8" x14ac:dyDescent="0.2">
      <c r="A8905">
        <v>302997</v>
      </c>
      <c r="B8905">
        <v>12288</v>
      </c>
      <c r="C8905" t="str">
        <f t="shared" si="139"/>
        <v>3. $50K-250K</v>
      </c>
      <c r="D8905" t="s">
        <v>749</v>
      </c>
      <c r="E8905" t="s">
        <v>237</v>
      </c>
      <c r="F8905" t="s">
        <v>670</v>
      </c>
      <c r="G8905" t="s">
        <v>59</v>
      </c>
      <c r="H8905">
        <v>2025</v>
      </c>
    </row>
    <row r="8906" spans="1:8" x14ac:dyDescent="0.2">
      <c r="A8906">
        <v>302998</v>
      </c>
      <c r="B8906">
        <v>500000</v>
      </c>
      <c r="C8906" t="str">
        <f t="shared" si="139"/>
        <v>2. $10K-50K</v>
      </c>
      <c r="D8906" t="s">
        <v>836</v>
      </c>
      <c r="E8906" t="s">
        <v>237</v>
      </c>
      <c r="F8906" t="s">
        <v>670</v>
      </c>
      <c r="G8906" t="s">
        <v>59</v>
      </c>
      <c r="H8906">
        <v>2025</v>
      </c>
    </row>
    <row r="8907" spans="1:8" x14ac:dyDescent="0.2">
      <c r="A8907">
        <v>303002</v>
      </c>
      <c r="B8907">
        <v>59532</v>
      </c>
      <c r="C8907" t="str">
        <f t="shared" si="139"/>
        <v>4. $250K-1M</v>
      </c>
      <c r="D8907" t="s">
        <v>708</v>
      </c>
      <c r="E8907" t="s">
        <v>237</v>
      </c>
      <c r="F8907" t="s">
        <v>670</v>
      </c>
      <c r="G8907" t="s">
        <v>59</v>
      </c>
      <c r="H8907">
        <v>2025</v>
      </c>
    </row>
    <row r="8908" spans="1:8" x14ac:dyDescent="0.2">
      <c r="A8908">
        <v>303004</v>
      </c>
      <c r="B8908">
        <v>1546003</v>
      </c>
      <c r="C8908" t="str">
        <f t="shared" si="139"/>
        <v>3. $50K-250K</v>
      </c>
      <c r="D8908" t="s">
        <v>2071</v>
      </c>
      <c r="E8908" t="s">
        <v>237</v>
      </c>
      <c r="F8908" t="s">
        <v>670</v>
      </c>
      <c r="G8908" t="s">
        <v>59</v>
      </c>
      <c r="H8908">
        <v>2025</v>
      </c>
    </row>
    <row r="8909" spans="1:8" x14ac:dyDescent="0.2">
      <c r="A8909">
        <v>303136</v>
      </c>
      <c r="B8909">
        <v>134789</v>
      </c>
      <c r="C8909" t="str">
        <f t="shared" si="139"/>
        <v>5. $1M+</v>
      </c>
      <c r="D8909" t="s">
        <v>762</v>
      </c>
      <c r="E8909" t="s">
        <v>237</v>
      </c>
      <c r="F8909" t="s">
        <v>670</v>
      </c>
      <c r="G8909" t="s">
        <v>59</v>
      </c>
      <c r="H8909">
        <v>2025</v>
      </c>
    </row>
    <row r="8910" spans="1:8" x14ac:dyDescent="0.2">
      <c r="A8910">
        <v>303158</v>
      </c>
      <c r="B8910">
        <v>333000</v>
      </c>
      <c r="C8910" t="str">
        <f t="shared" si="139"/>
        <v>3. $50K-250K</v>
      </c>
      <c r="D8910" t="s">
        <v>803</v>
      </c>
      <c r="E8910" t="s">
        <v>237</v>
      </c>
      <c r="F8910" t="s">
        <v>670</v>
      </c>
      <c r="G8910" t="s">
        <v>59</v>
      </c>
      <c r="H8910">
        <v>2025</v>
      </c>
    </row>
    <row r="8911" spans="1:8" x14ac:dyDescent="0.2">
      <c r="A8911">
        <v>303176</v>
      </c>
      <c r="B8911">
        <v>413355</v>
      </c>
      <c r="C8911" t="str">
        <f t="shared" si="139"/>
        <v>4. $250K-1M</v>
      </c>
      <c r="D8911" t="s">
        <v>984</v>
      </c>
      <c r="E8911" t="s">
        <v>42</v>
      </c>
      <c r="F8911" t="s">
        <v>670</v>
      </c>
      <c r="G8911" t="s">
        <v>59</v>
      </c>
      <c r="H8911">
        <v>2025</v>
      </c>
    </row>
    <row r="8912" spans="1:8" x14ac:dyDescent="0.2">
      <c r="A8912">
        <v>303231</v>
      </c>
      <c r="B8912">
        <v>12034</v>
      </c>
      <c r="C8912" t="str">
        <f t="shared" si="139"/>
        <v>4. $250K-1M</v>
      </c>
      <c r="D8912" t="s">
        <v>696</v>
      </c>
      <c r="E8912" t="s">
        <v>237</v>
      </c>
      <c r="F8912" t="s">
        <v>670</v>
      </c>
      <c r="G8912" t="s">
        <v>59</v>
      </c>
      <c r="H8912">
        <v>2025</v>
      </c>
    </row>
    <row r="8913" spans="1:8" x14ac:dyDescent="0.2">
      <c r="A8913">
        <v>303271</v>
      </c>
      <c r="B8913">
        <v>176320</v>
      </c>
      <c r="C8913" t="str">
        <f t="shared" si="139"/>
        <v>2. $10K-50K</v>
      </c>
      <c r="D8913" t="s">
        <v>977</v>
      </c>
      <c r="E8913" t="s">
        <v>237</v>
      </c>
      <c r="F8913" t="s">
        <v>670</v>
      </c>
      <c r="G8913" t="s">
        <v>59</v>
      </c>
      <c r="H8913">
        <v>2025</v>
      </c>
    </row>
    <row r="8914" spans="1:8" x14ac:dyDescent="0.2">
      <c r="A8914">
        <v>303314</v>
      </c>
      <c r="B8914">
        <v>25000</v>
      </c>
      <c r="C8914" t="str">
        <f t="shared" si="139"/>
        <v>3. $50K-250K</v>
      </c>
      <c r="D8914" t="s">
        <v>1445</v>
      </c>
      <c r="E8914" t="s">
        <v>819</v>
      </c>
      <c r="F8914" t="s">
        <v>670</v>
      </c>
      <c r="G8914" t="s">
        <v>59</v>
      </c>
      <c r="H8914">
        <v>2025</v>
      </c>
    </row>
    <row r="8915" spans="1:8" x14ac:dyDescent="0.2">
      <c r="A8915">
        <v>303322</v>
      </c>
      <c r="B8915">
        <v>12034</v>
      </c>
      <c r="C8915" t="str">
        <f t="shared" si="139"/>
        <v>2. $10K-50K</v>
      </c>
      <c r="D8915" t="s">
        <v>726</v>
      </c>
      <c r="E8915" t="s">
        <v>237</v>
      </c>
      <c r="F8915" t="s">
        <v>670</v>
      </c>
      <c r="G8915" t="s">
        <v>59</v>
      </c>
      <c r="H8915">
        <v>2025</v>
      </c>
    </row>
    <row r="8916" spans="1:8" x14ac:dyDescent="0.2">
      <c r="A8916">
        <v>303324</v>
      </c>
      <c r="B8916">
        <v>21200</v>
      </c>
      <c r="C8916" t="str">
        <f t="shared" si="139"/>
        <v>2. $10K-50K</v>
      </c>
      <c r="D8916" t="s">
        <v>685</v>
      </c>
      <c r="E8916" t="s">
        <v>42</v>
      </c>
      <c r="F8916" t="s">
        <v>670</v>
      </c>
      <c r="G8916" t="s">
        <v>59</v>
      </c>
      <c r="H8916">
        <v>2025</v>
      </c>
    </row>
    <row r="8917" spans="1:8" x14ac:dyDescent="0.2">
      <c r="A8917">
        <v>303330</v>
      </c>
      <c r="B8917">
        <v>538831</v>
      </c>
      <c r="C8917" t="str">
        <f t="shared" si="139"/>
        <v>2. $10K-50K</v>
      </c>
      <c r="D8917" t="s">
        <v>1036</v>
      </c>
      <c r="E8917" t="s">
        <v>42</v>
      </c>
      <c r="F8917" t="s">
        <v>670</v>
      </c>
      <c r="G8917" t="s">
        <v>59</v>
      </c>
      <c r="H8917">
        <v>2025</v>
      </c>
    </row>
    <row r="8918" spans="1:8" x14ac:dyDescent="0.2">
      <c r="A8918">
        <v>303331</v>
      </c>
      <c r="B8918">
        <v>45000</v>
      </c>
      <c r="C8918" t="str">
        <f t="shared" si="139"/>
        <v>4. $250K-1M</v>
      </c>
      <c r="D8918" t="s">
        <v>926</v>
      </c>
      <c r="E8918" t="s">
        <v>237</v>
      </c>
      <c r="F8918" t="s">
        <v>670</v>
      </c>
      <c r="G8918" t="s">
        <v>59</v>
      </c>
      <c r="H8918">
        <v>2025</v>
      </c>
    </row>
    <row r="8919" spans="1:8" x14ac:dyDescent="0.2">
      <c r="A8919">
        <v>303332</v>
      </c>
      <c r="B8919">
        <v>1243752</v>
      </c>
      <c r="C8919" t="str">
        <f t="shared" si="139"/>
        <v>2. $10K-50K</v>
      </c>
      <c r="D8919" t="s">
        <v>881</v>
      </c>
      <c r="E8919" t="s">
        <v>42</v>
      </c>
      <c r="F8919" t="s">
        <v>670</v>
      </c>
      <c r="G8919" t="s">
        <v>59</v>
      </c>
      <c r="H8919">
        <v>2025</v>
      </c>
    </row>
    <row r="8920" spans="1:8" x14ac:dyDescent="0.2">
      <c r="A8920">
        <v>303333</v>
      </c>
      <c r="B8920">
        <v>800000</v>
      </c>
      <c r="C8920" t="str">
        <f t="shared" si="139"/>
        <v>5. $1M+</v>
      </c>
      <c r="D8920" t="s">
        <v>791</v>
      </c>
      <c r="E8920" t="s">
        <v>42</v>
      </c>
      <c r="F8920" t="s">
        <v>670</v>
      </c>
      <c r="G8920" t="s">
        <v>44</v>
      </c>
      <c r="H8920">
        <v>2025</v>
      </c>
    </row>
    <row r="8921" spans="1:8" x14ac:dyDescent="0.2">
      <c r="A8921">
        <v>303346</v>
      </c>
      <c r="B8921">
        <v>25000</v>
      </c>
      <c r="C8921" t="str">
        <f t="shared" si="139"/>
        <v>4. $250K-1M</v>
      </c>
      <c r="D8921" t="s">
        <v>1455</v>
      </c>
      <c r="E8921" t="s">
        <v>819</v>
      </c>
      <c r="F8921" t="s">
        <v>670</v>
      </c>
      <c r="G8921" t="s">
        <v>59</v>
      </c>
      <c r="H8921">
        <v>2025</v>
      </c>
    </row>
    <row r="8922" spans="1:8" x14ac:dyDescent="0.2">
      <c r="A8922">
        <v>303350</v>
      </c>
      <c r="B8922">
        <v>70000</v>
      </c>
      <c r="C8922" t="str">
        <f t="shared" si="139"/>
        <v>2. $10K-50K</v>
      </c>
      <c r="D8922" t="s">
        <v>1367</v>
      </c>
      <c r="E8922" t="s">
        <v>819</v>
      </c>
      <c r="F8922" t="s">
        <v>670</v>
      </c>
      <c r="G8922" t="s">
        <v>59</v>
      </c>
      <c r="H8922">
        <v>2025</v>
      </c>
    </row>
    <row r="8923" spans="1:8" x14ac:dyDescent="0.2">
      <c r="A8923">
        <v>303353</v>
      </c>
      <c r="B8923">
        <v>50000</v>
      </c>
      <c r="C8923" t="str">
        <f t="shared" si="139"/>
        <v>3. $50K-250K</v>
      </c>
      <c r="D8923" t="s">
        <v>1466</v>
      </c>
      <c r="E8923" t="s">
        <v>819</v>
      </c>
      <c r="F8923" t="s">
        <v>670</v>
      </c>
      <c r="G8923" t="s">
        <v>59</v>
      </c>
      <c r="H8923">
        <v>2025</v>
      </c>
    </row>
    <row r="8924" spans="1:8" x14ac:dyDescent="0.2">
      <c r="A8924">
        <v>303355</v>
      </c>
      <c r="B8924">
        <v>100000</v>
      </c>
      <c r="C8924" t="str">
        <f t="shared" si="139"/>
        <v>3. $50K-250K</v>
      </c>
      <c r="D8924" t="s">
        <v>1610</v>
      </c>
      <c r="E8924" t="s">
        <v>819</v>
      </c>
      <c r="F8924" t="s">
        <v>670</v>
      </c>
      <c r="G8924" t="s">
        <v>59</v>
      </c>
      <c r="H8924">
        <v>2025</v>
      </c>
    </row>
    <row r="8925" spans="1:8" x14ac:dyDescent="0.2">
      <c r="A8925">
        <v>303356</v>
      </c>
      <c r="B8925">
        <v>50000</v>
      </c>
      <c r="C8925" t="str">
        <f t="shared" si="139"/>
        <v>3. $50K-250K</v>
      </c>
      <c r="D8925" t="s">
        <v>1464</v>
      </c>
      <c r="E8925" t="s">
        <v>819</v>
      </c>
      <c r="F8925" t="s">
        <v>670</v>
      </c>
      <c r="G8925" t="s">
        <v>59</v>
      </c>
      <c r="H8925">
        <v>2025</v>
      </c>
    </row>
    <row r="8926" spans="1:8" x14ac:dyDescent="0.2">
      <c r="A8926">
        <v>303357</v>
      </c>
      <c r="B8926">
        <v>40000</v>
      </c>
      <c r="C8926" t="str">
        <f t="shared" si="139"/>
        <v>3. $50K-250K</v>
      </c>
      <c r="D8926" t="s">
        <v>1450</v>
      </c>
      <c r="E8926" t="s">
        <v>819</v>
      </c>
      <c r="F8926" t="s">
        <v>670</v>
      </c>
      <c r="G8926" t="s">
        <v>59</v>
      </c>
      <c r="H8926">
        <v>2025</v>
      </c>
    </row>
    <row r="8927" spans="1:8" x14ac:dyDescent="0.2">
      <c r="A8927">
        <v>303489</v>
      </c>
      <c r="B8927">
        <v>26538372.5</v>
      </c>
      <c r="C8927" t="str">
        <f t="shared" si="139"/>
        <v>2. $10K-50K</v>
      </c>
      <c r="D8927" t="s">
        <v>482</v>
      </c>
      <c r="E8927" t="s">
        <v>67</v>
      </c>
      <c r="F8927" t="s">
        <v>183</v>
      </c>
      <c r="G8927" t="s">
        <v>44</v>
      </c>
      <c r="H8927">
        <v>2025</v>
      </c>
    </row>
    <row r="8928" spans="1:8" x14ac:dyDescent="0.2">
      <c r="A8928">
        <v>303494</v>
      </c>
      <c r="B8928">
        <v>131797.79999999999</v>
      </c>
      <c r="C8928" t="str">
        <f t="shared" si="139"/>
        <v>5. $1M+</v>
      </c>
      <c r="D8928" t="s">
        <v>1056</v>
      </c>
      <c r="E8928" t="s">
        <v>42</v>
      </c>
      <c r="F8928" t="s">
        <v>670</v>
      </c>
      <c r="G8928" t="s">
        <v>59</v>
      </c>
      <c r="H8928">
        <v>2025</v>
      </c>
    </row>
    <row r="8929" spans="1:8" x14ac:dyDescent="0.2">
      <c r="A8929">
        <v>303528</v>
      </c>
      <c r="B8929">
        <v>55000</v>
      </c>
      <c r="C8929" t="str">
        <f t="shared" si="139"/>
        <v>3. $50K-250K</v>
      </c>
      <c r="D8929" t="s">
        <v>1424</v>
      </c>
      <c r="E8929" t="s">
        <v>819</v>
      </c>
      <c r="F8929" t="s">
        <v>670</v>
      </c>
      <c r="G8929" t="s">
        <v>59</v>
      </c>
      <c r="H8929">
        <v>2025</v>
      </c>
    </row>
    <row r="8930" spans="1:8" x14ac:dyDescent="0.2">
      <c r="A8930">
        <v>303529</v>
      </c>
      <c r="B8930">
        <v>50000</v>
      </c>
      <c r="C8930" t="str">
        <f t="shared" si="139"/>
        <v>3. $50K-250K</v>
      </c>
      <c r="D8930" t="s">
        <v>945</v>
      </c>
      <c r="E8930" t="s">
        <v>819</v>
      </c>
      <c r="F8930" t="s">
        <v>670</v>
      </c>
      <c r="G8930" t="s">
        <v>59</v>
      </c>
      <c r="H8930">
        <v>2025</v>
      </c>
    </row>
    <row r="8931" spans="1:8" x14ac:dyDescent="0.2">
      <c r="A8931">
        <v>303541</v>
      </c>
      <c r="B8931">
        <v>130000</v>
      </c>
      <c r="C8931" t="str">
        <f t="shared" si="139"/>
        <v>3. $50K-250K</v>
      </c>
      <c r="D8931" t="s">
        <v>1236</v>
      </c>
      <c r="E8931" t="s">
        <v>112</v>
      </c>
      <c r="F8931" t="s">
        <v>668</v>
      </c>
      <c r="G8931" t="s">
        <v>59</v>
      </c>
      <c r="H8931">
        <v>2025</v>
      </c>
    </row>
    <row r="8932" spans="1:8" x14ac:dyDescent="0.2">
      <c r="A8932">
        <v>303543</v>
      </c>
      <c r="B8932">
        <v>8310</v>
      </c>
      <c r="C8932" t="str">
        <f t="shared" si="139"/>
        <v>3. $50K-250K</v>
      </c>
      <c r="D8932" t="s">
        <v>2528</v>
      </c>
      <c r="E8932" t="s">
        <v>112</v>
      </c>
      <c r="F8932" t="s">
        <v>668</v>
      </c>
      <c r="G8932" t="s">
        <v>59</v>
      </c>
      <c r="H8932">
        <v>2025</v>
      </c>
    </row>
    <row r="8933" spans="1:8" x14ac:dyDescent="0.2">
      <c r="A8933">
        <v>303544</v>
      </c>
      <c r="B8933">
        <v>200000</v>
      </c>
      <c r="C8933" t="str">
        <f t="shared" si="139"/>
        <v>1. Under $10K</v>
      </c>
      <c r="D8933" t="s">
        <v>1591</v>
      </c>
      <c r="E8933" t="s">
        <v>112</v>
      </c>
      <c r="F8933" t="s">
        <v>668</v>
      </c>
      <c r="G8933" t="s">
        <v>59</v>
      </c>
      <c r="H8933">
        <v>2025</v>
      </c>
    </row>
    <row r="8934" spans="1:8" x14ac:dyDescent="0.2">
      <c r="A8934">
        <v>303546</v>
      </c>
      <c r="B8934">
        <v>83700</v>
      </c>
      <c r="C8934" t="str">
        <f t="shared" si="139"/>
        <v>3. $50K-250K</v>
      </c>
      <c r="D8934" t="s">
        <v>927</v>
      </c>
      <c r="E8934" t="s">
        <v>237</v>
      </c>
      <c r="F8934" t="s">
        <v>670</v>
      </c>
      <c r="G8934" t="s">
        <v>59</v>
      </c>
      <c r="H8934">
        <v>2025</v>
      </c>
    </row>
    <row r="8935" spans="1:8" x14ac:dyDescent="0.2">
      <c r="A8935">
        <v>303547</v>
      </c>
      <c r="B8935">
        <v>204538</v>
      </c>
      <c r="C8935" t="str">
        <f t="shared" si="139"/>
        <v>3. $50K-250K</v>
      </c>
      <c r="D8935" t="s">
        <v>877</v>
      </c>
      <c r="E8935" t="s">
        <v>237</v>
      </c>
      <c r="F8935" t="s">
        <v>670</v>
      </c>
      <c r="G8935" t="s">
        <v>59</v>
      </c>
      <c r="H8935">
        <v>2025</v>
      </c>
    </row>
    <row r="8936" spans="1:8" x14ac:dyDescent="0.2">
      <c r="A8936">
        <v>303548</v>
      </c>
      <c r="B8936">
        <v>136500</v>
      </c>
      <c r="C8936" t="str">
        <f t="shared" si="139"/>
        <v>3. $50K-250K</v>
      </c>
      <c r="D8936" t="s">
        <v>711</v>
      </c>
      <c r="E8936" t="s">
        <v>237</v>
      </c>
      <c r="F8936" t="s">
        <v>670</v>
      </c>
      <c r="G8936" t="s">
        <v>59</v>
      </c>
      <c r="H8936">
        <v>2025</v>
      </c>
    </row>
    <row r="8937" spans="1:8" x14ac:dyDescent="0.2">
      <c r="A8937">
        <v>303549</v>
      </c>
      <c r="B8937">
        <v>65880</v>
      </c>
      <c r="C8937" t="str">
        <f t="shared" si="139"/>
        <v>3. $50K-250K</v>
      </c>
      <c r="D8937" t="s">
        <v>749</v>
      </c>
      <c r="E8937" t="s">
        <v>237</v>
      </c>
      <c r="F8937" t="s">
        <v>670</v>
      </c>
      <c r="G8937" t="s">
        <v>59</v>
      </c>
      <c r="H8937">
        <v>2025</v>
      </c>
    </row>
    <row r="8938" spans="1:8" x14ac:dyDescent="0.2">
      <c r="A8938">
        <v>303550</v>
      </c>
      <c r="B8938">
        <v>120000</v>
      </c>
      <c r="C8938" t="str">
        <f t="shared" si="139"/>
        <v>3. $50K-250K</v>
      </c>
      <c r="D8938" t="s">
        <v>866</v>
      </c>
      <c r="E8938" t="s">
        <v>237</v>
      </c>
      <c r="F8938" t="s">
        <v>670</v>
      </c>
      <c r="G8938" t="s">
        <v>59</v>
      </c>
      <c r="H8938">
        <v>2025</v>
      </c>
    </row>
    <row r="8939" spans="1:8" x14ac:dyDescent="0.2">
      <c r="A8939">
        <v>303552</v>
      </c>
      <c r="B8939">
        <v>107986</v>
      </c>
      <c r="C8939" t="str">
        <f t="shared" si="139"/>
        <v>3. $50K-250K</v>
      </c>
      <c r="D8939" t="s">
        <v>882</v>
      </c>
      <c r="E8939" t="s">
        <v>237</v>
      </c>
      <c r="F8939" t="s">
        <v>670</v>
      </c>
      <c r="G8939" t="s">
        <v>59</v>
      </c>
      <c r="H8939">
        <v>2025</v>
      </c>
    </row>
    <row r="8940" spans="1:8" x14ac:dyDescent="0.2">
      <c r="A8940">
        <v>303553</v>
      </c>
      <c r="B8940">
        <v>46000</v>
      </c>
      <c r="C8940" t="str">
        <f t="shared" si="139"/>
        <v>3. $50K-250K</v>
      </c>
      <c r="D8940" t="s">
        <v>866</v>
      </c>
      <c r="E8940" t="s">
        <v>237</v>
      </c>
      <c r="F8940" t="s">
        <v>670</v>
      </c>
      <c r="G8940" t="s">
        <v>59</v>
      </c>
      <c r="H8940">
        <v>2025</v>
      </c>
    </row>
    <row r="8941" spans="1:8" x14ac:dyDescent="0.2">
      <c r="A8941">
        <v>303558</v>
      </c>
      <c r="B8941">
        <v>40000</v>
      </c>
      <c r="C8941" t="str">
        <f t="shared" si="139"/>
        <v>2. $10K-50K</v>
      </c>
      <c r="D8941" t="s">
        <v>1435</v>
      </c>
      <c r="E8941" t="s">
        <v>819</v>
      </c>
      <c r="F8941" t="s">
        <v>670</v>
      </c>
      <c r="G8941" t="s">
        <v>59</v>
      </c>
      <c r="H8941">
        <v>2025</v>
      </c>
    </row>
    <row r="8942" spans="1:8" x14ac:dyDescent="0.2">
      <c r="A8942">
        <v>303591</v>
      </c>
      <c r="B8942">
        <v>69000</v>
      </c>
      <c r="C8942" t="str">
        <f t="shared" si="139"/>
        <v>2. $10K-50K</v>
      </c>
      <c r="D8942" t="s">
        <v>1176</v>
      </c>
      <c r="E8942" t="s">
        <v>237</v>
      </c>
      <c r="F8942" t="s">
        <v>670</v>
      </c>
      <c r="G8942" t="s">
        <v>59</v>
      </c>
      <c r="H8942">
        <v>2025</v>
      </c>
    </row>
    <row r="8943" spans="1:8" x14ac:dyDescent="0.2">
      <c r="A8943">
        <v>303602</v>
      </c>
      <c r="B8943">
        <v>145573</v>
      </c>
      <c r="C8943" t="str">
        <f t="shared" si="139"/>
        <v>3. $50K-250K</v>
      </c>
      <c r="D8943" t="s">
        <v>701</v>
      </c>
      <c r="E8943" t="s">
        <v>237</v>
      </c>
      <c r="F8943" t="s">
        <v>670</v>
      </c>
      <c r="G8943" t="s">
        <v>59</v>
      </c>
      <c r="H8943">
        <v>2025</v>
      </c>
    </row>
    <row r="8944" spans="1:8" x14ac:dyDescent="0.2">
      <c r="A8944">
        <v>303604</v>
      </c>
      <c r="B8944">
        <v>12034</v>
      </c>
      <c r="C8944" t="str">
        <f t="shared" si="139"/>
        <v>3. $50K-250K</v>
      </c>
      <c r="D8944" t="s">
        <v>837</v>
      </c>
      <c r="E8944" t="s">
        <v>237</v>
      </c>
      <c r="F8944" t="s">
        <v>670</v>
      </c>
      <c r="G8944" t="s">
        <v>59</v>
      </c>
      <c r="H8944">
        <v>2025</v>
      </c>
    </row>
    <row r="8945" spans="1:8" x14ac:dyDescent="0.2">
      <c r="A8945">
        <v>303606</v>
      </c>
      <c r="B8945">
        <v>480494</v>
      </c>
      <c r="C8945" t="str">
        <f t="shared" si="139"/>
        <v>2. $10K-50K</v>
      </c>
      <c r="D8945" t="s">
        <v>687</v>
      </c>
      <c r="E8945" t="s">
        <v>42</v>
      </c>
      <c r="F8945" t="s">
        <v>670</v>
      </c>
      <c r="G8945" t="s">
        <v>59</v>
      </c>
      <c r="H8945">
        <v>2025</v>
      </c>
    </row>
    <row r="8946" spans="1:8" x14ac:dyDescent="0.2">
      <c r="A8946">
        <v>303608</v>
      </c>
      <c r="B8946">
        <v>7606894</v>
      </c>
      <c r="C8946" t="str">
        <f t="shared" si="139"/>
        <v>4. $250K-1M</v>
      </c>
      <c r="D8946" t="s">
        <v>41</v>
      </c>
      <c r="E8946" t="s">
        <v>237</v>
      </c>
      <c r="F8946" t="s">
        <v>670</v>
      </c>
      <c r="G8946" t="s">
        <v>59</v>
      </c>
      <c r="H8946">
        <v>2025</v>
      </c>
    </row>
    <row r="8947" spans="1:8" x14ac:dyDescent="0.2">
      <c r="A8947">
        <v>303618</v>
      </c>
      <c r="B8947">
        <v>125034.4</v>
      </c>
      <c r="C8947" t="str">
        <f t="shared" si="139"/>
        <v>5. $1M+</v>
      </c>
      <c r="D8947" t="s">
        <v>883</v>
      </c>
      <c r="E8947" t="s">
        <v>237</v>
      </c>
      <c r="F8947" t="s">
        <v>670</v>
      </c>
      <c r="G8947" t="s">
        <v>59</v>
      </c>
      <c r="H8947">
        <v>2025</v>
      </c>
    </row>
    <row r="8948" spans="1:8" x14ac:dyDescent="0.2">
      <c r="A8948">
        <v>303623</v>
      </c>
      <c r="B8948">
        <v>76666</v>
      </c>
      <c r="C8948" t="str">
        <f t="shared" si="139"/>
        <v>3. $50K-250K</v>
      </c>
      <c r="D8948" t="s">
        <v>883</v>
      </c>
      <c r="E8948" t="s">
        <v>237</v>
      </c>
      <c r="F8948" t="s">
        <v>670</v>
      </c>
      <c r="G8948" t="s">
        <v>59</v>
      </c>
      <c r="H8948">
        <v>2025</v>
      </c>
    </row>
    <row r="8949" spans="1:8" x14ac:dyDescent="0.2">
      <c r="A8949">
        <v>303624</v>
      </c>
      <c r="B8949">
        <v>115730</v>
      </c>
      <c r="C8949" t="str">
        <f t="shared" si="139"/>
        <v>3. $50K-250K</v>
      </c>
      <c r="D8949" t="s">
        <v>883</v>
      </c>
      <c r="E8949" t="s">
        <v>237</v>
      </c>
      <c r="F8949" t="s">
        <v>670</v>
      </c>
      <c r="G8949" t="s">
        <v>59</v>
      </c>
      <c r="H8949">
        <v>2025</v>
      </c>
    </row>
    <row r="8950" spans="1:8" x14ac:dyDescent="0.2">
      <c r="A8950">
        <v>303627</v>
      </c>
      <c r="B8950">
        <v>40270</v>
      </c>
      <c r="C8950" t="str">
        <f t="shared" si="139"/>
        <v>3. $50K-250K</v>
      </c>
      <c r="D8950" t="s">
        <v>883</v>
      </c>
      <c r="E8950" t="s">
        <v>237</v>
      </c>
      <c r="F8950" t="s">
        <v>670</v>
      </c>
      <c r="G8950" t="s">
        <v>59</v>
      </c>
      <c r="H8950">
        <v>2025</v>
      </c>
    </row>
    <row r="8951" spans="1:8" x14ac:dyDescent="0.2">
      <c r="A8951">
        <v>303628</v>
      </c>
      <c r="B8951">
        <v>55107</v>
      </c>
      <c r="C8951" t="str">
        <f t="shared" si="139"/>
        <v>2. $10K-50K</v>
      </c>
      <c r="D8951" t="s">
        <v>883</v>
      </c>
      <c r="E8951" t="s">
        <v>237</v>
      </c>
      <c r="F8951" t="s">
        <v>670</v>
      </c>
      <c r="G8951" t="s">
        <v>59</v>
      </c>
      <c r="H8951">
        <v>2025</v>
      </c>
    </row>
    <row r="8952" spans="1:8" x14ac:dyDescent="0.2">
      <c r="A8952">
        <v>303664</v>
      </c>
      <c r="B8952">
        <v>55000</v>
      </c>
      <c r="C8952" t="str">
        <f t="shared" si="139"/>
        <v>3. $50K-250K</v>
      </c>
      <c r="D8952" t="s">
        <v>883</v>
      </c>
      <c r="E8952" t="s">
        <v>237</v>
      </c>
      <c r="F8952" t="s">
        <v>670</v>
      </c>
      <c r="G8952" t="s">
        <v>59</v>
      </c>
      <c r="H8952">
        <v>2025</v>
      </c>
    </row>
    <row r="8953" spans="1:8" x14ac:dyDescent="0.2">
      <c r="A8953">
        <v>303674</v>
      </c>
      <c r="B8953">
        <v>483000</v>
      </c>
      <c r="C8953" t="str">
        <f t="shared" si="139"/>
        <v>3. $50K-250K</v>
      </c>
      <c r="D8953" t="s">
        <v>799</v>
      </c>
      <c r="E8953" t="s">
        <v>237</v>
      </c>
      <c r="F8953" t="s">
        <v>670</v>
      </c>
      <c r="G8953" t="s">
        <v>59</v>
      </c>
      <c r="H8953">
        <v>2025</v>
      </c>
    </row>
    <row r="8954" spans="1:8" x14ac:dyDescent="0.2">
      <c r="A8954">
        <v>303675</v>
      </c>
      <c r="B8954">
        <v>138000</v>
      </c>
      <c r="C8954" t="str">
        <f t="shared" si="139"/>
        <v>4. $250K-1M</v>
      </c>
      <c r="D8954" t="s">
        <v>799</v>
      </c>
      <c r="E8954" t="s">
        <v>237</v>
      </c>
      <c r="F8954" t="s">
        <v>670</v>
      </c>
      <c r="G8954" t="s">
        <v>59</v>
      </c>
      <c r="H8954">
        <v>2025</v>
      </c>
    </row>
    <row r="8955" spans="1:8" x14ac:dyDescent="0.2">
      <c r="A8955">
        <v>303691</v>
      </c>
      <c r="B8955">
        <v>650846</v>
      </c>
      <c r="C8955" t="str">
        <f t="shared" si="139"/>
        <v>3. $50K-250K</v>
      </c>
      <c r="D8955" t="s">
        <v>1038</v>
      </c>
      <c r="E8955" t="s">
        <v>42</v>
      </c>
      <c r="F8955" t="s">
        <v>670</v>
      </c>
      <c r="G8955" t="s">
        <v>59</v>
      </c>
      <c r="H8955">
        <v>2025</v>
      </c>
    </row>
    <row r="8956" spans="1:8" x14ac:dyDescent="0.2">
      <c r="A8956">
        <v>30370</v>
      </c>
      <c r="B8956">
        <v>7400000</v>
      </c>
      <c r="C8956" t="str">
        <f t="shared" si="139"/>
        <v>4. $250K-1M</v>
      </c>
      <c r="D8956" t="s">
        <v>284</v>
      </c>
      <c r="E8956" t="s">
        <v>89</v>
      </c>
      <c r="F8956" t="s">
        <v>29</v>
      </c>
      <c r="G8956" t="s">
        <v>15</v>
      </c>
      <c r="H8956">
        <v>2023</v>
      </c>
    </row>
    <row r="8957" spans="1:8" x14ac:dyDescent="0.2">
      <c r="A8957">
        <v>303781</v>
      </c>
      <c r="B8957">
        <v>324361.40000000002</v>
      </c>
      <c r="C8957" t="str">
        <f t="shared" si="139"/>
        <v>5. $1M+</v>
      </c>
      <c r="D8957" t="s">
        <v>860</v>
      </c>
      <c r="E8957" t="s">
        <v>237</v>
      </c>
      <c r="F8957" t="s">
        <v>670</v>
      </c>
      <c r="G8957" t="s">
        <v>59</v>
      </c>
      <c r="H8957">
        <v>2025</v>
      </c>
    </row>
    <row r="8958" spans="1:8" x14ac:dyDescent="0.2">
      <c r="A8958">
        <v>303782</v>
      </c>
      <c r="B8958">
        <v>108900</v>
      </c>
      <c r="C8958" t="str">
        <f t="shared" si="139"/>
        <v>4. $250K-1M</v>
      </c>
      <c r="D8958" t="s">
        <v>829</v>
      </c>
      <c r="E8958" t="s">
        <v>237</v>
      </c>
      <c r="F8958" t="s">
        <v>670</v>
      </c>
      <c r="G8958" t="s">
        <v>59</v>
      </c>
      <c r="H8958">
        <v>2025</v>
      </c>
    </row>
    <row r="8959" spans="1:8" x14ac:dyDescent="0.2">
      <c r="A8959">
        <v>303783</v>
      </c>
      <c r="B8959">
        <v>130540</v>
      </c>
      <c r="C8959" t="str">
        <f t="shared" si="139"/>
        <v>3. $50K-250K</v>
      </c>
      <c r="D8959" t="s">
        <v>785</v>
      </c>
      <c r="E8959" t="s">
        <v>237</v>
      </c>
      <c r="F8959" t="s">
        <v>670</v>
      </c>
      <c r="G8959" t="s">
        <v>59</v>
      </c>
      <c r="H8959">
        <v>2025</v>
      </c>
    </row>
    <row r="8960" spans="1:8" x14ac:dyDescent="0.2">
      <c r="A8960">
        <v>303784</v>
      </c>
      <c r="B8960">
        <v>222000</v>
      </c>
      <c r="C8960" t="str">
        <f t="shared" si="139"/>
        <v>3. $50K-250K</v>
      </c>
      <c r="D8960" t="s">
        <v>821</v>
      </c>
      <c r="E8960" t="s">
        <v>237</v>
      </c>
      <c r="F8960" t="s">
        <v>670</v>
      </c>
      <c r="G8960" t="s">
        <v>59</v>
      </c>
      <c r="H8960">
        <v>2025</v>
      </c>
    </row>
    <row r="8961" spans="1:8" x14ac:dyDescent="0.2">
      <c r="A8961">
        <v>303785</v>
      </c>
      <c r="B8961">
        <v>222000</v>
      </c>
      <c r="C8961" t="str">
        <f t="shared" si="139"/>
        <v>3. $50K-250K</v>
      </c>
      <c r="D8961" t="s">
        <v>708</v>
      </c>
      <c r="E8961" t="s">
        <v>237</v>
      </c>
      <c r="F8961" t="s">
        <v>670</v>
      </c>
      <c r="G8961" t="s">
        <v>59</v>
      </c>
      <c r="H8961">
        <v>2025</v>
      </c>
    </row>
    <row r="8962" spans="1:8" x14ac:dyDescent="0.2">
      <c r="A8962">
        <v>303836</v>
      </c>
      <c r="B8962">
        <v>90744.2</v>
      </c>
      <c r="C8962" t="str">
        <f t="shared" si="139"/>
        <v>3. $50K-250K</v>
      </c>
      <c r="D8962" t="s">
        <v>711</v>
      </c>
      <c r="E8962" t="s">
        <v>237</v>
      </c>
      <c r="F8962" t="s">
        <v>670</v>
      </c>
      <c r="G8962" t="s">
        <v>59</v>
      </c>
      <c r="H8962">
        <v>2025</v>
      </c>
    </row>
    <row r="8963" spans="1:8" x14ac:dyDescent="0.2">
      <c r="A8963">
        <v>303857</v>
      </c>
      <c r="B8963">
        <v>154857.5</v>
      </c>
      <c r="C8963" t="str">
        <f t="shared" ref="C8963:C9026" si="140">IF(B8962&lt;10000,"1. Under $10K",IF(B8962&lt;50000,"2. $10K-50K",IF(B8962&lt;250000,"3. $50K-250K",IF(B8962&lt;1000000,"4. $250K-1M","5. $1M+"))))</f>
        <v>3. $50K-250K</v>
      </c>
      <c r="D8963" t="s">
        <v>711</v>
      </c>
      <c r="E8963" t="s">
        <v>237</v>
      </c>
      <c r="F8963" t="s">
        <v>670</v>
      </c>
      <c r="G8963" t="s">
        <v>59</v>
      </c>
      <c r="H8963">
        <v>2025</v>
      </c>
    </row>
    <row r="8964" spans="1:8" x14ac:dyDescent="0.2">
      <c r="A8964">
        <v>303862</v>
      </c>
      <c r="B8964">
        <v>187719</v>
      </c>
      <c r="C8964" t="str">
        <f t="shared" si="140"/>
        <v>3. $50K-250K</v>
      </c>
      <c r="D8964" t="s">
        <v>749</v>
      </c>
      <c r="E8964" t="s">
        <v>237</v>
      </c>
      <c r="F8964" t="s">
        <v>670</v>
      </c>
      <c r="G8964" t="s">
        <v>59</v>
      </c>
      <c r="H8964">
        <v>2025</v>
      </c>
    </row>
    <row r="8965" spans="1:8" x14ac:dyDescent="0.2">
      <c r="A8965">
        <v>303880</v>
      </c>
      <c r="B8965">
        <v>48107.4</v>
      </c>
      <c r="C8965" t="str">
        <f t="shared" si="140"/>
        <v>3. $50K-250K</v>
      </c>
      <c r="D8965" t="s">
        <v>801</v>
      </c>
      <c r="E8965" t="s">
        <v>42</v>
      </c>
      <c r="F8965" t="s">
        <v>670</v>
      </c>
      <c r="G8965" t="s">
        <v>59</v>
      </c>
      <c r="H8965">
        <v>2025</v>
      </c>
    </row>
    <row r="8966" spans="1:8" x14ac:dyDescent="0.2">
      <c r="A8966">
        <v>303883</v>
      </c>
      <c r="B8966">
        <v>202963</v>
      </c>
      <c r="C8966" t="str">
        <f t="shared" si="140"/>
        <v>2. $10K-50K</v>
      </c>
      <c r="D8966" t="s">
        <v>1084</v>
      </c>
      <c r="E8966" t="s">
        <v>237</v>
      </c>
      <c r="F8966" t="s">
        <v>670</v>
      </c>
      <c r="G8966" t="s">
        <v>59</v>
      </c>
      <c r="H8966">
        <v>2025</v>
      </c>
    </row>
    <row r="8967" spans="1:8" x14ac:dyDescent="0.2">
      <c r="A8967">
        <v>303887</v>
      </c>
      <c r="B8967">
        <v>359195</v>
      </c>
      <c r="C8967" t="str">
        <f t="shared" si="140"/>
        <v>3. $50K-250K</v>
      </c>
      <c r="D8967" t="s">
        <v>1090</v>
      </c>
      <c r="E8967" t="s">
        <v>42</v>
      </c>
      <c r="F8967" t="s">
        <v>670</v>
      </c>
      <c r="G8967" t="s">
        <v>59</v>
      </c>
      <c r="H8967">
        <v>2025</v>
      </c>
    </row>
    <row r="8968" spans="1:8" x14ac:dyDescent="0.2">
      <c r="A8968">
        <v>303916</v>
      </c>
      <c r="B8968">
        <v>135125</v>
      </c>
      <c r="C8968" t="str">
        <f t="shared" si="140"/>
        <v>4. $250K-1M</v>
      </c>
      <c r="D8968" t="s">
        <v>671</v>
      </c>
      <c r="E8968" t="s">
        <v>237</v>
      </c>
      <c r="F8968" t="s">
        <v>670</v>
      </c>
      <c r="G8968" t="s">
        <v>59</v>
      </c>
      <c r="H8968">
        <v>2025</v>
      </c>
    </row>
    <row r="8969" spans="1:8" x14ac:dyDescent="0.2">
      <c r="A8969">
        <v>303919</v>
      </c>
      <c r="B8969">
        <v>200000</v>
      </c>
      <c r="C8969" t="str">
        <f t="shared" si="140"/>
        <v>3. $50K-250K</v>
      </c>
      <c r="D8969" t="s">
        <v>719</v>
      </c>
      <c r="E8969" t="s">
        <v>237</v>
      </c>
      <c r="F8969" t="s">
        <v>670</v>
      </c>
      <c r="G8969" t="s">
        <v>59</v>
      </c>
      <c r="H8969">
        <v>2025</v>
      </c>
    </row>
    <row r="8970" spans="1:8" x14ac:dyDescent="0.2">
      <c r="A8970">
        <v>303920</v>
      </c>
      <c r="B8970">
        <v>52800</v>
      </c>
      <c r="C8970" t="str">
        <f t="shared" si="140"/>
        <v>3. $50K-250K</v>
      </c>
      <c r="D8970" t="s">
        <v>749</v>
      </c>
      <c r="E8970" t="s">
        <v>237</v>
      </c>
      <c r="F8970" t="s">
        <v>670</v>
      </c>
      <c r="G8970" t="s">
        <v>59</v>
      </c>
      <c r="H8970">
        <v>2025</v>
      </c>
    </row>
    <row r="8971" spans="1:8" x14ac:dyDescent="0.2">
      <c r="A8971">
        <v>303921</v>
      </c>
      <c r="B8971">
        <v>52800</v>
      </c>
      <c r="C8971" t="str">
        <f t="shared" si="140"/>
        <v>3. $50K-250K</v>
      </c>
      <c r="D8971" t="s">
        <v>749</v>
      </c>
      <c r="E8971" t="s">
        <v>237</v>
      </c>
      <c r="F8971" t="s">
        <v>670</v>
      </c>
      <c r="G8971" t="s">
        <v>59</v>
      </c>
      <c r="H8971">
        <v>2025</v>
      </c>
    </row>
    <row r="8972" spans="1:8" x14ac:dyDescent="0.2">
      <c r="A8972">
        <v>303922</v>
      </c>
      <c r="B8972">
        <v>129000</v>
      </c>
      <c r="C8972" t="str">
        <f t="shared" si="140"/>
        <v>3. $50K-250K</v>
      </c>
      <c r="D8972" t="s">
        <v>749</v>
      </c>
      <c r="E8972" t="s">
        <v>237</v>
      </c>
      <c r="F8972" t="s">
        <v>670</v>
      </c>
      <c r="G8972" t="s">
        <v>59</v>
      </c>
      <c r="H8972">
        <v>2025</v>
      </c>
    </row>
    <row r="8973" spans="1:8" x14ac:dyDescent="0.2">
      <c r="A8973">
        <v>303923</v>
      </c>
      <c r="B8973">
        <v>50000</v>
      </c>
      <c r="C8973" t="str">
        <f t="shared" si="140"/>
        <v>3. $50K-250K</v>
      </c>
      <c r="D8973" t="s">
        <v>671</v>
      </c>
      <c r="E8973" t="s">
        <v>237</v>
      </c>
      <c r="F8973" t="s">
        <v>670</v>
      </c>
      <c r="G8973" t="s">
        <v>59</v>
      </c>
      <c r="H8973">
        <v>2025</v>
      </c>
    </row>
    <row r="8974" spans="1:8" x14ac:dyDescent="0.2">
      <c r="A8974">
        <v>303924</v>
      </c>
      <c r="B8974">
        <v>90000</v>
      </c>
      <c r="C8974" t="str">
        <f t="shared" si="140"/>
        <v>3. $50K-250K</v>
      </c>
      <c r="D8974" t="s">
        <v>749</v>
      </c>
      <c r="E8974" t="s">
        <v>237</v>
      </c>
      <c r="F8974" t="s">
        <v>670</v>
      </c>
      <c r="G8974" t="s">
        <v>59</v>
      </c>
      <c r="H8974">
        <v>2025</v>
      </c>
    </row>
    <row r="8975" spans="1:8" x14ac:dyDescent="0.2">
      <c r="A8975">
        <v>303925</v>
      </c>
      <c r="B8975">
        <v>52800</v>
      </c>
      <c r="C8975" t="str">
        <f t="shared" si="140"/>
        <v>3. $50K-250K</v>
      </c>
      <c r="D8975" t="s">
        <v>671</v>
      </c>
      <c r="E8975" t="s">
        <v>237</v>
      </c>
      <c r="F8975" t="s">
        <v>670</v>
      </c>
      <c r="G8975" t="s">
        <v>59</v>
      </c>
      <c r="H8975">
        <v>2025</v>
      </c>
    </row>
    <row r="8976" spans="1:8" x14ac:dyDescent="0.2">
      <c r="A8976">
        <v>304043</v>
      </c>
      <c r="B8976">
        <v>47331880.799999997</v>
      </c>
      <c r="C8976" t="str">
        <f t="shared" si="140"/>
        <v>3. $50K-250K</v>
      </c>
      <c r="D8976" t="s">
        <v>502</v>
      </c>
      <c r="E8976" t="s">
        <v>28</v>
      </c>
      <c r="F8976" t="s">
        <v>85</v>
      </c>
      <c r="G8976" t="s">
        <v>10</v>
      </c>
      <c r="H8976">
        <v>2025</v>
      </c>
    </row>
    <row r="8977" spans="1:8" x14ac:dyDescent="0.2">
      <c r="A8977">
        <v>304072</v>
      </c>
      <c r="B8977">
        <v>72700</v>
      </c>
      <c r="C8977" t="str">
        <f t="shared" si="140"/>
        <v>5. $1M+</v>
      </c>
      <c r="D8977" t="s">
        <v>960</v>
      </c>
      <c r="E8977" t="s">
        <v>825</v>
      </c>
      <c r="F8977" t="s">
        <v>670</v>
      </c>
      <c r="G8977" t="s">
        <v>59</v>
      </c>
      <c r="H8977">
        <v>2025</v>
      </c>
    </row>
    <row r="8978" spans="1:8" x14ac:dyDescent="0.2">
      <c r="A8978">
        <v>304118</v>
      </c>
      <c r="B8978">
        <v>70410</v>
      </c>
      <c r="C8978" t="str">
        <f t="shared" si="140"/>
        <v>3. $50K-250K</v>
      </c>
      <c r="D8978" t="s">
        <v>861</v>
      </c>
      <c r="E8978" t="s">
        <v>237</v>
      </c>
      <c r="F8978" t="s">
        <v>670</v>
      </c>
      <c r="G8978" t="s">
        <v>59</v>
      </c>
      <c r="H8978">
        <v>2025</v>
      </c>
    </row>
    <row r="8979" spans="1:8" x14ac:dyDescent="0.2">
      <c r="A8979">
        <v>304119</v>
      </c>
      <c r="B8979">
        <v>54000</v>
      </c>
      <c r="C8979" t="str">
        <f t="shared" si="140"/>
        <v>3. $50K-250K</v>
      </c>
      <c r="D8979" t="s">
        <v>937</v>
      </c>
      <c r="E8979" t="s">
        <v>237</v>
      </c>
      <c r="F8979" t="s">
        <v>670</v>
      </c>
      <c r="G8979" t="s">
        <v>59</v>
      </c>
      <c r="H8979">
        <v>2025</v>
      </c>
    </row>
    <row r="8980" spans="1:8" x14ac:dyDescent="0.2">
      <c r="A8980">
        <v>304120</v>
      </c>
      <c r="B8980">
        <v>44086</v>
      </c>
      <c r="C8980" t="str">
        <f t="shared" si="140"/>
        <v>3. $50K-250K</v>
      </c>
      <c r="D8980" t="s">
        <v>878</v>
      </c>
      <c r="E8980" t="s">
        <v>237</v>
      </c>
      <c r="F8980" t="s">
        <v>670</v>
      </c>
      <c r="G8980" t="s">
        <v>59</v>
      </c>
      <c r="H8980">
        <v>2025</v>
      </c>
    </row>
    <row r="8981" spans="1:8" x14ac:dyDescent="0.2">
      <c r="A8981">
        <v>304121</v>
      </c>
      <c r="B8981">
        <v>66040</v>
      </c>
      <c r="C8981" t="str">
        <f t="shared" si="140"/>
        <v>2. $10K-50K</v>
      </c>
      <c r="D8981" t="s">
        <v>711</v>
      </c>
      <c r="E8981" t="s">
        <v>237</v>
      </c>
      <c r="F8981" t="s">
        <v>670</v>
      </c>
      <c r="G8981" t="s">
        <v>59</v>
      </c>
      <c r="H8981">
        <v>2025</v>
      </c>
    </row>
    <row r="8982" spans="1:8" x14ac:dyDescent="0.2">
      <c r="A8982">
        <v>304122</v>
      </c>
      <c r="B8982">
        <v>81000</v>
      </c>
      <c r="C8982" t="str">
        <f t="shared" si="140"/>
        <v>3. $50K-250K</v>
      </c>
      <c r="D8982" t="s">
        <v>799</v>
      </c>
      <c r="E8982" t="s">
        <v>237</v>
      </c>
      <c r="F8982" t="s">
        <v>670</v>
      </c>
      <c r="G8982" t="s">
        <v>59</v>
      </c>
      <c r="H8982">
        <v>2025</v>
      </c>
    </row>
    <row r="8983" spans="1:8" x14ac:dyDescent="0.2">
      <c r="A8983">
        <v>304123</v>
      </c>
      <c r="B8983">
        <v>120000</v>
      </c>
      <c r="C8983" t="str">
        <f t="shared" si="140"/>
        <v>3. $50K-250K</v>
      </c>
      <c r="D8983" t="s">
        <v>694</v>
      </c>
      <c r="E8983" t="s">
        <v>237</v>
      </c>
      <c r="F8983" t="s">
        <v>670</v>
      </c>
      <c r="G8983" t="s">
        <v>59</v>
      </c>
      <c r="H8983">
        <v>2025</v>
      </c>
    </row>
    <row r="8984" spans="1:8" x14ac:dyDescent="0.2">
      <c r="A8984">
        <v>304124</v>
      </c>
      <c r="B8984">
        <v>30241</v>
      </c>
      <c r="C8984" t="str">
        <f t="shared" si="140"/>
        <v>3. $50K-250K</v>
      </c>
      <c r="D8984" t="s">
        <v>762</v>
      </c>
      <c r="E8984" t="s">
        <v>237</v>
      </c>
      <c r="F8984" t="s">
        <v>670</v>
      </c>
      <c r="G8984" t="s">
        <v>59</v>
      </c>
      <c r="H8984">
        <v>2025</v>
      </c>
    </row>
    <row r="8985" spans="1:8" x14ac:dyDescent="0.2">
      <c r="A8985">
        <v>304125</v>
      </c>
      <c r="B8985">
        <v>54000</v>
      </c>
      <c r="C8985" t="str">
        <f t="shared" si="140"/>
        <v>2. $10K-50K</v>
      </c>
      <c r="D8985" t="s">
        <v>799</v>
      </c>
      <c r="E8985" t="s">
        <v>237</v>
      </c>
      <c r="F8985" t="s">
        <v>670</v>
      </c>
      <c r="G8985" t="s">
        <v>59</v>
      </c>
      <c r="H8985">
        <v>2025</v>
      </c>
    </row>
    <row r="8986" spans="1:8" x14ac:dyDescent="0.2">
      <c r="A8986">
        <v>304126</v>
      </c>
      <c r="B8986">
        <v>411253.8</v>
      </c>
      <c r="C8986" t="str">
        <f t="shared" si="140"/>
        <v>3. $50K-250K</v>
      </c>
      <c r="D8986" t="s">
        <v>859</v>
      </c>
      <c r="E8986" t="s">
        <v>237</v>
      </c>
      <c r="F8986" t="s">
        <v>670</v>
      </c>
      <c r="G8986" t="s">
        <v>59</v>
      </c>
      <c r="H8986">
        <v>2025</v>
      </c>
    </row>
    <row r="8987" spans="1:8" x14ac:dyDescent="0.2">
      <c r="A8987">
        <v>304137</v>
      </c>
      <c r="B8987">
        <v>65441</v>
      </c>
      <c r="C8987" t="str">
        <f t="shared" si="140"/>
        <v>4. $250K-1M</v>
      </c>
      <c r="D8987" t="s">
        <v>936</v>
      </c>
      <c r="E8987" t="s">
        <v>237</v>
      </c>
      <c r="F8987" t="s">
        <v>670</v>
      </c>
      <c r="G8987" t="s">
        <v>59</v>
      </c>
      <c r="H8987">
        <v>2025</v>
      </c>
    </row>
    <row r="8988" spans="1:8" x14ac:dyDescent="0.2">
      <c r="A8988">
        <v>304144</v>
      </c>
      <c r="B8988">
        <v>112500</v>
      </c>
      <c r="C8988" t="str">
        <f t="shared" si="140"/>
        <v>3. $50K-250K</v>
      </c>
      <c r="D8988" t="s">
        <v>861</v>
      </c>
      <c r="E8988" t="s">
        <v>237</v>
      </c>
      <c r="F8988" t="s">
        <v>670</v>
      </c>
      <c r="G8988" t="s">
        <v>59</v>
      </c>
      <c r="H8988">
        <v>2025</v>
      </c>
    </row>
    <row r="8989" spans="1:8" x14ac:dyDescent="0.2">
      <c r="A8989">
        <v>304146</v>
      </c>
      <c r="B8989">
        <v>72000</v>
      </c>
      <c r="C8989" t="str">
        <f t="shared" si="140"/>
        <v>3. $50K-250K</v>
      </c>
      <c r="D8989" t="s">
        <v>1095</v>
      </c>
      <c r="E8989" t="s">
        <v>237</v>
      </c>
      <c r="F8989" t="s">
        <v>670</v>
      </c>
      <c r="G8989" t="s">
        <v>59</v>
      </c>
      <c r="H8989">
        <v>2025</v>
      </c>
    </row>
    <row r="8990" spans="1:8" x14ac:dyDescent="0.2">
      <c r="A8990">
        <v>304148</v>
      </c>
      <c r="B8990">
        <v>162356</v>
      </c>
      <c r="C8990" t="str">
        <f t="shared" si="140"/>
        <v>3. $50K-250K</v>
      </c>
      <c r="D8990" t="s">
        <v>877</v>
      </c>
      <c r="E8990" t="s">
        <v>237</v>
      </c>
      <c r="F8990" t="s">
        <v>670</v>
      </c>
      <c r="G8990" t="s">
        <v>59</v>
      </c>
      <c r="H8990">
        <v>2025</v>
      </c>
    </row>
    <row r="8991" spans="1:8" x14ac:dyDescent="0.2">
      <c r="A8991">
        <v>304152</v>
      </c>
      <c r="B8991">
        <v>72000</v>
      </c>
      <c r="C8991" t="str">
        <f t="shared" si="140"/>
        <v>3. $50K-250K</v>
      </c>
      <c r="D8991" t="s">
        <v>1093</v>
      </c>
      <c r="E8991" t="s">
        <v>237</v>
      </c>
      <c r="F8991" t="s">
        <v>670</v>
      </c>
      <c r="G8991" t="s">
        <v>59</v>
      </c>
      <c r="H8991">
        <v>2025</v>
      </c>
    </row>
    <row r="8992" spans="1:8" x14ac:dyDescent="0.2">
      <c r="A8992">
        <v>304162</v>
      </c>
      <c r="B8992">
        <v>72000</v>
      </c>
      <c r="C8992" t="str">
        <f t="shared" si="140"/>
        <v>3. $50K-250K</v>
      </c>
      <c r="D8992" t="s">
        <v>708</v>
      </c>
      <c r="E8992" t="s">
        <v>237</v>
      </c>
      <c r="F8992" t="s">
        <v>670</v>
      </c>
      <c r="G8992" t="s">
        <v>59</v>
      </c>
      <c r="H8992">
        <v>2025</v>
      </c>
    </row>
    <row r="8993" spans="1:8" x14ac:dyDescent="0.2">
      <c r="A8993">
        <v>304164</v>
      </c>
      <c r="B8993">
        <v>69000</v>
      </c>
      <c r="C8993" t="str">
        <f t="shared" si="140"/>
        <v>3. $50K-250K</v>
      </c>
      <c r="D8993" t="s">
        <v>781</v>
      </c>
      <c r="E8993" t="s">
        <v>237</v>
      </c>
      <c r="F8993" t="s">
        <v>670</v>
      </c>
      <c r="G8993" t="s">
        <v>59</v>
      </c>
      <c r="H8993">
        <v>2025</v>
      </c>
    </row>
    <row r="8994" spans="1:8" x14ac:dyDescent="0.2">
      <c r="A8994">
        <v>304165</v>
      </c>
      <c r="B8994">
        <v>29694</v>
      </c>
      <c r="C8994" t="str">
        <f t="shared" si="140"/>
        <v>3. $50K-250K</v>
      </c>
      <c r="D8994" t="s">
        <v>866</v>
      </c>
      <c r="E8994" t="s">
        <v>237</v>
      </c>
      <c r="F8994" t="s">
        <v>670</v>
      </c>
      <c r="G8994" t="s">
        <v>59</v>
      </c>
      <c r="H8994">
        <v>2025</v>
      </c>
    </row>
    <row r="8995" spans="1:8" x14ac:dyDescent="0.2">
      <c r="A8995">
        <v>304166</v>
      </c>
      <c r="B8995">
        <v>378109</v>
      </c>
      <c r="C8995" t="str">
        <f t="shared" si="140"/>
        <v>2. $10K-50K</v>
      </c>
      <c r="D8995" t="s">
        <v>851</v>
      </c>
      <c r="E8995" t="s">
        <v>237</v>
      </c>
      <c r="F8995" t="s">
        <v>670</v>
      </c>
      <c r="G8995" t="s">
        <v>59</v>
      </c>
      <c r="H8995">
        <v>2025</v>
      </c>
    </row>
    <row r="8996" spans="1:8" x14ac:dyDescent="0.2">
      <c r="A8996">
        <v>304167</v>
      </c>
      <c r="B8996">
        <v>138000</v>
      </c>
      <c r="C8996" t="str">
        <f t="shared" si="140"/>
        <v>4. $250K-1M</v>
      </c>
      <c r="D8996" t="s">
        <v>781</v>
      </c>
      <c r="E8996" t="s">
        <v>237</v>
      </c>
      <c r="F8996" t="s">
        <v>670</v>
      </c>
      <c r="G8996" t="s">
        <v>59</v>
      </c>
      <c r="H8996">
        <v>2025</v>
      </c>
    </row>
    <row r="8997" spans="1:8" x14ac:dyDescent="0.2">
      <c r="A8997">
        <v>304168</v>
      </c>
      <c r="B8997">
        <v>175770</v>
      </c>
      <c r="C8997" t="str">
        <f t="shared" si="140"/>
        <v>3. $50K-250K</v>
      </c>
      <c r="D8997" t="s">
        <v>719</v>
      </c>
      <c r="E8997" t="s">
        <v>237</v>
      </c>
      <c r="F8997" t="s">
        <v>670</v>
      </c>
      <c r="G8997" t="s">
        <v>59</v>
      </c>
      <c r="H8997">
        <v>2025</v>
      </c>
    </row>
    <row r="8998" spans="1:8" x14ac:dyDescent="0.2">
      <c r="A8998">
        <v>304169</v>
      </c>
      <c r="B8998">
        <v>103500</v>
      </c>
      <c r="C8998" t="str">
        <f t="shared" si="140"/>
        <v>3. $50K-250K</v>
      </c>
      <c r="D8998" t="s">
        <v>1067</v>
      </c>
      <c r="E8998" t="s">
        <v>237</v>
      </c>
      <c r="F8998" t="s">
        <v>670</v>
      </c>
      <c r="G8998" t="s">
        <v>59</v>
      </c>
      <c r="H8998">
        <v>2025</v>
      </c>
    </row>
    <row r="8999" spans="1:8" x14ac:dyDescent="0.2">
      <c r="A8999">
        <v>304170</v>
      </c>
      <c r="B8999">
        <v>56493</v>
      </c>
      <c r="C8999" t="str">
        <f t="shared" si="140"/>
        <v>3. $50K-250K</v>
      </c>
      <c r="D8999" t="s">
        <v>749</v>
      </c>
      <c r="E8999" t="s">
        <v>237</v>
      </c>
      <c r="F8999" t="s">
        <v>670</v>
      </c>
      <c r="G8999" t="s">
        <v>59</v>
      </c>
      <c r="H8999">
        <v>2025</v>
      </c>
    </row>
    <row r="9000" spans="1:8" x14ac:dyDescent="0.2">
      <c r="A9000">
        <v>304171</v>
      </c>
      <c r="B9000">
        <v>26397</v>
      </c>
      <c r="C9000" t="str">
        <f t="shared" si="140"/>
        <v>3. $50K-250K</v>
      </c>
      <c r="D9000" t="s">
        <v>866</v>
      </c>
      <c r="E9000" t="s">
        <v>237</v>
      </c>
      <c r="F9000" t="s">
        <v>670</v>
      </c>
      <c r="G9000" t="s">
        <v>59</v>
      </c>
      <c r="H9000">
        <v>2025</v>
      </c>
    </row>
    <row r="9001" spans="1:8" x14ac:dyDescent="0.2">
      <c r="A9001">
        <v>304172</v>
      </c>
      <c r="B9001">
        <v>49500</v>
      </c>
      <c r="C9001" t="str">
        <f t="shared" si="140"/>
        <v>2. $10K-50K</v>
      </c>
      <c r="D9001" t="s">
        <v>694</v>
      </c>
      <c r="E9001" t="s">
        <v>237</v>
      </c>
      <c r="F9001" t="s">
        <v>670</v>
      </c>
      <c r="G9001" t="s">
        <v>59</v>
      </c>
      <c r="H9001">
        <v>2025</v>
      </c>
    </row>
    <row r="9002" spans="1:8" x14ac:dyDescent="0.2">
      <c r="A9002">
        <v>304174</v>
      </c>
      <c r="B9002">
        <v>69000</v>
      </c>
      <c r="C9002" t="str">
        <f t="shared" si="140"/>
        <v>2. $10K-50K</v>
      </c>
      <c r="D9002" t="s">
        <v>711</v>
      </c>
      <c r="E9002" t="s">
        <v>237</v>
      </c>
      <c r="F9002" t="s">
        <v>670</v>
      </c>
      <c r="G9002" t="s">
        <v>59</v>
      </c>
      <c r="H9002">
        <v>2025</v>
      </c>
    </row>
    <row r="9003" spans="1:8" x14ac:dyDescent="0.2">
      <c r="A9003">
        <v>304175</v>
      </c>
      <c r="B9003">
        <v>48500</v>
      </c>
      <c r="C9003" t="str">
        <f t="shared" si="140"/>
        <v>3. $50K-250K</v>
      </c>
      <c r="D9003" t="s">
        <v>1891</v>
      </c>
      <c r="E9003" t="s">
        <v>237</v>
      </c>
      <c r="F9003" t="s">
        <v>670</v>
      </c>
      <c r="G9003" t="s">
        <v>59</v>
      </c>
      <c r="H9003">
        <v>2025</v>
      </c>
    </row>
    <row r="9004" spans="1:8" x14ac:dyDescent="0.2">
      <c r="A9004">
        <v>304176</v>
      </c>
      <c r="B9004">
        <v>54000</v>
      </c>
      <c r="C9004" t="str">
        <f t="shared" si="140"/>
        <v>2. $10K-50K</v>
      </c>
      <c r="D9004" t="s">
        <v>1066</v>
      </c>
      <c r="E9004" t="s">
        <v>237</v>
      </c>
      <c r="F9004" t="s">
        <v>670</v>
      </c>
      <c r="G9004" t="s">
        <v>59</v>
      </c>
      <c r="H9004">
        <v>2025</v>
      </c>
    </row>
    <row r="9005" spans="1:8" x14ac:dyDescent="0.2">
      <c r="A9005">
        <v>304177</v>
      </c>
      <c r="B9005">
        <v>176188</v>
      </c>
      <c r="C9005" t="str">
        <f t="shared" si="140"/>
        <v>3. $50K-250K</v>
      </c>
      <c r="D9005" t="s">
        <v>867</v>
      </c>
      <c r="E9005" t="s">
        <v>237</v>
      </c>
      <c r="F9005" t="s">
        <v>670</v>
      </c>
      <c r="G9005" t="s">
        <v>59</v>
      </c>
      <c r="H9005">
        <v>2025</v>
      </c>
    </row>
    <row r="9006" spans="1:8" x14ac:dyDescent="0.2">
      <c r="A9006">
        <v>304179</v>
      </c>
      <c r="B9006">
        <v>157575</v>
      </c>
      <c r="C9006" t="str">
        <f t="shared" si="140"/>
        <v>3. $50K-250K</v>
      </c>
      <c r="D9006" t="s">
        <v>867</v>
      </c>
      <c r="E9006" t="s">
        <v>237</v>
      </c>
      <c r="F9006" t="s">
        <v>670</v>
      </c>
      <c r="G9006" t="s">
        <v>59</v>
      </c>
      <c r="H9006">
        <v>2025</v>
      </c>
    </row>
    <row r="9007" spans="1:8" x14ac:dyDescent="0.2">
      <c r="A9007">
        <v>304180</v>
      </c>
      <c r="B9007">
        <v>16608</v>
      </c>
      <c r="C9007" t="str">
        <f t="shared" si="140"/>
        <v>3. $50K-250K</v>
      </c>
      <c r="D9007" t="s">
        <v>861</v>
      </c>
      <c r="E9007" t="s">
        <v>237</v>
      </c>
      <c r="F9007" t="s">
        <v>670</v>
      </c>
      <c r="G9007" t="s">
        <v>59</v>
      </c>
      <c r="H9007">
        <v>2025</v>
      </c>
    </row>
    <row r="9008" spans="1:8" x14ac:dyDescent="0.2">
      <c r="A9008">
        <v>304200</v>
      </c>
      <c r="B9008">
        <v>984000</v>
      </c>
      <c r="C9008" t="str">
        <f t="shared" si="140"/>
        <v>2. $10K-50K</v>
      </c>
      <c r="D9008" t="s">
        <v>1094</v>
      </c>
      <c r="E9008" t="s">
        <v>237</v>
      </c>
      <c r="F9008" t="s">
        <v>670</v>
      </c>
      <c r="G9008" t="s">
        <v>59</v>
      </c>
      <c r="H9008">
        <v>2025</v>
      </c>
    </row>
    <row r="9009" spans="1:8" x14ac:dyDescent="0.2">
      <c r="A9009">
        <v>304201</v>
      </c>
      <c r="B9009">
        <v>54000</v>
      </c>
      <c r="C9009" t="str">
        <f t="shared" si="140"/>
        <v>4. $250K-1M</v>
      </c>
      <c r="D9009" t="s">
        <v>1068</v>
      </c>
      <c r="E9009" t="s">
        <v>237</v>
      </c>
      <c r="F9009" t="s">
        <v>670</v>
      </c>
      <c r="G9009" t="s">
        <v>59</v>
      </c>
      <c r="H9009">
        <v>2025</v>
      </c>
    </row>
    <row r="9010" spans="1:8" x14ac:dyDescent="0.2">
      <c r="A9010">
        <v>304212</v>
      </c>
      <c r="B9010">
        <v>720000</v>
      </c>
      <c r="C9010" t="str">
        <f t="shared" si="140"/>
        <v>3. $50K-250K</v>
      </c>
      <c r="D9010" t="s">
        <v>1094</v>
      </c>
      <c r="E9010" t="s">
        <v>237</v>
      </c>
      <c r="F9010" t="s">
        <v>670</v>
      </c>
      <c r="G9010" t="s">
        <v>59</v>
      </c>
      <c r="H9010">
        <v>2025</v>
      </c>
    </row>
    <row r="9011" spans="1:8" x14ac:dyDescent="0.2">
      <c r="A9011">
        <v>304222</v>
      </c>
      <c r="B9011">
        <v>211534.9</v>
      </c>
      <c r="C9011" t="str">
        <f t="shared" si="140"/>
        <v>4. $250K-1M</v>
      </c>
      <c r="D9011" t="s">
        <v>63</v>
      </c>
      <c r="E9011" t="s">
        <v>28</v>
      </c>
      <c r="F9011" t="s">
        <v>120</v>
      </c>
      <c r="G9011" t="s">
        <v>59</v>
      </c>
      <c r="H9011">
        <v>2025</v>
      </c>
    </row>
    <row r="9012" spans="1:8" x14ac:dyDescent="0.2">
      <c r="A9012">
        <v>304233</v>
      </c>
      <c r="B9012">
        <v>6559</v>
      </c>
      <c r="C9012" t="str">
        <f t="shared" si="140"/>
        <v>3. $50K-250K</v>
      </c>
      <c r="D9012" t="s">
        <v>684</v>
      </c>
      <c r="E9012" t="s">
        <v>42</v>
      </c>
      <c r="F9012" t="s">
        <v>670</v>
      </c>
      <c r="G9012" t="s">
        <v>59</v>
      </c>
      <c r="H9012">
        <v>2025</v>
      </c>
    </row>
    <row r="9013" spans="1:8" x14ac:dyDescent="0.2">
      <c r="A9013">
        <v>304234</v>
      </c>
      <c r="B9013">
        <v>111209</v>
      </c>
      <c r="C9013" t="str">
        <f t="shared" si="140"/>
        <v>1. Under $10K</v>
      </c>
      <c r="D9013" t="s">
        <v>682</v>
      </c>
      <c r="E9013" t="s">
        <v>237</v>
      </c>
      <c r="F9013" t="s">
        <v>670</v>
      </c>
      <c r="G9013" t="s">
        <v>59</v>
      </c>
      <c r="H9013">
        <v>2025</v>
      </c>
    </row>
    <row r="9014" spans="1:8" x14ac:dyDescent="0.2">
      <c r="A9014">
        <v>304235</v>
      </c>
      <c r="B9014">
        <v>333000</v>
      </c>
      <c r="C9014" t="str">
        <f t="shared" si="140"/>
        <v>3. $50K-250K</v>
      </c>
      <c r="D9014" t="s">
        <v>805</v>
      </c>
      <c r="E9014" t="s">
        <v>237</v>
      </c>
      <c r="F9014" t="s">
        <v>670</v>
      </c>
      <c r="G9014" t="s">
        <v>59</v>
      </c>
      <c r="H9014">
        <v>2025</v>
      </c>
    </row>
    <row r="9015" spans="1:8" x14ac:dyDescent="0.2">
      <c r="A9015">
        <v>304236</v>
      </c>
      <c r="B9015">
        <v>16348</v>
      </c>
      <c r="C9015" t="str">
        <f t="shared" si="140"/>
        <v>4. $250K-1M</v>
      </c>
      <c r="D9015" t="s">
        <v>685</v>
      </c>
      <c r="E9015" t="s">
        <v>42</v>
      </c>
      <c r="F9015" t="s">
        <v>670</v>
      </c>
      <c r="G9015" t="s">
        <v>59</v>
      </c>
      <c r="H9015">
        <v>2025</v>
      </c>
    </row>
    <row r="9016" spans="1:8" x14ac:dyDescent="0.2">
      <c r="A9016">
        <v>304238</v>
      </c>
      <c r="B9016">
        <v>52800</v>
      </c>
      <c r="C9016" t="str">
        <f t="shared" si="140"/>
        <v>2. $10K-50K</v>
      </c>
      <c r="D9016" t="s">
        <v>801</v>
      </c>
      <c r="E9016" t="s">
        <v>237</v>
      </c>
      <c r="F9016" t="s">
        <v>670</v>
      </c>
      <c r="G9016" t="s">
        <v>59</v>
      </c>
      <c r="H9016">
        <v>2025</v>
      </c>
    </row>
    <row r="9017" spans="1:8" x14ac:dyDescent="0.2">
      <c r="A9017">
        <v>304239</v>
      </c>
      <c r="B9017">
        <v>70000</v>
      </c>
      <c r="C9017" t="str">
        <f t="shared" si="140"/>
        <v>3. $50K-250K</v>
      </c>
      <c r="D9017" t="s">
        <v>915</v>
      </c>
      <c r="E9017" t="s">
        <v>237</v>
      </c>
      <c r="F9017" t="s">
        <v>670</v>
      </c>
      <c r="G9017" t="s">
        <v>59</v>
      </c>
      <c r="H9017">
        <v>2025</v>
      </c>
    </row>
    <row r="9018" spans="1:8" x14ac:dyDescent="0.2">
      <c r="A9018">
        <v>304240</v>
      </c>
      <c r="B9018">
        <v>80000</v>
      </c>
      <c r="C9018" t="str">
        <f t="shared" si="140"/>
        <v>3. $50K-250K</v>
      </c>
      <c r="D9018" t="s">
        <v>915</v>
      </c>
      <c r="E9018" t="s">
        <v>237</v>
      </c>
      <c r="F9018" t="s">
        <v>670</v>
      </c>
      <c r="G9018" t="s">
        <v>59</v>
      </c>
      <c r="H9018">
        <v>2025</v>
      </c>
    </row>
    <row r="9019" spans="1:8" x14ac:dyDescent="0.2">
      <c r="A9019">
        <v>304241</v>
      </c>
      <c r="B9019">
        <v>52500</v>
      </c>
      <c r="C9019" t="str">
        <f t="shared" si="140"/>
        <v>3. $50K-250K</v>
      </c>
      <c r="D9019" t="s">
        <v>857</v>
      </c>
      <c r="E9019" t="s">
        <v>825</v>
      </c>
      <c r="F9019" t="s">
        <v>670</v>
      </c>
      <c r="G9019" t="s">
        <v>59</v>
      </c>
      <c r="H9019">
        <v>2025</v>
      </c>
    </row>
    <row r="9020" spans="1:8" x14ac:dyDescent="0.2">
      <c r="A9020">
        <v>304242</v>
      </c>
      <c r="B9020">
        <v>208650</v>
      </c>
      <c r="C9020" t="str">
        <f t="shared" si="140"/>
        <v>3. $50K-250K</v>
      </c>
      <c r="D9020" t="s">
        <v>785</v>
      </c>
      <c r="E9020" t="s">
        <v>237</v>
      </c>
      <c r="F9020" t="s">
        <v>670</v>
      </c>
      <c r="G9020" t="s">
        <v>59</v>
      </c>
      <c r="H9020">
        <v>2025</v>
      </c>
    </row>
    <row r="9021" spans="1:8" x14ac:dyDescent="0.2">
      <c r="A9021">
        <v>304243</v>
      </c>
      <c r="B9021">
        <v>52800</v>
      </c>
      <c r="C9021" t="str">
        <f t="shared" si="140"/>
        <v>3. $50K-250K</v>
      </c>
      <c r="D9021" t="s">
        <v>696</v>
      </c>
      <c r="E9021" t="s">
        <v>237</v>
      </c>
      <c r="F9021" t="s">
        <v>670</v>
      </c>
      <c r="G9021" t="s">
        <v>59</v>
      </c>
      <c r="H9021">
        <v>2025</v>
      </c>
    </row>
    <row r="9022" spans="1:8" x14ac:dyDescent="0.2">
      <c r="A9022">
        <v>304244</v>
      </c>
      <c r="B9022">
        <v>413355</v>
      </c>
      <c r="C9022" t="str">
        <f t="shared" si="140"/>
        <v>3. $50K-250K</v>
      </c>
      <c r="D9022" t="s">
        <v>801</v>
      </c>
      <c r="E9022" t="s">
        <v>42</v>
      </c>
      <c r="F9022" t="s">
        <v>670</v>
      </c>
      <c r="G9022" t="s">
        <v>59</v>
      </c>
      <c r="H9022">
        <v>2025</v>
      </c>
    </row>
    <row r="9023" spans="1:8" x14ac:dyDescent="0.2">
      <c r="A9023">
        <v>304245</v>
      </c>
      <c r="B9023">
        <v>53000</v>
      </c>
      <c r="C9023" t="str">
        <f t="shared" si="140"/>
        <v>4. $250K-1M</v>
      </c>
      <c r="D9023" t="s">
        <v>809</v>
      </c>
      <c r="E9023" t="s">
        <v>237</v>
      </c>
      <c r="F9023" t="s">
        <v>670</v>
      </c>
      <c r="G9023" t="s">
        <v>59</v>
      </c>
      <c r="H9023">
        <v>2025</v>
      </c>
    </row>
    <row r="9024" spans="1:8" x14ac:dyDescent="0.2">
      <c r="A9024">
        <v>304246</v>
      </c>
      <c r="B9024">
        <v>109016</v>
      </c>
      <c r="C9024" t="str">
        <f t="shared" si="140"/>
        <v>3. $50K-250K</v>
      </c>
      <c r="D9024" t="s">
        <v>859</v>
      </c>
      <c r="E9024" t="s">
        <v>237</v>
      </c>
      <c r="F9024" t="s">
        <v>670</v>
      </c>
      <c r="G9024" t="s">
        <v>59</v>
      </c>
      <c r="H9024">
        <v>2025</v>
      </c>
    </row>
    <row r="9025" spans="1:8" x14ac:dyDescent="0.2">
      <c r="A9025">
        <v>304247</v>
      </c>
      <c r="B9025">
        <v>105320</v>
      </c>
      <c r="C9025" t="str">
        <f t="shared" si="140"/>
        <v>3. $50K-250K</v>
      </c>
      <c r="D9025" t="s">
        <v>915</v>
      </c>
      <c r="E9025" t="s">
        <v>237</v>
      </c>
      <c r="F9025" t="s">
        <v>670</v>
      </c>
      <c r="G9025" t="s">
        <v>59</v>
      </c>
      <c r="H9025">
        <v>2025</v>
      </c>
    </row>
    <row r="9026" spans="1:8" x14ac:dyDescent="0.2">
      <c r="A9026">
        <v>304259</v>
      </c>
      <c r="B9026">
        <v>462566</v>
      </c>
      <c r="C9026" t="str">
        <f t="shared" si="140"/>
        <v>3. $50K-250K</v>
      </c>
      <c r="D9026" t="s">
        <v>671</v>
      </c>
      <c r="E9026" t="s">
        <v>42</v>
      </c>
      <c r="F9026" t="s">
        <v>670</v>
      </c>
      <c r="G9026" t="s">
        <v>59</v>
      </c>
      <c r="H9026">
        <v>2025</v>
      </c>
    </row>
    <row r="9027" spans="1:8" x14ac:dyDescent="0.2">
      <c r="A9027">
        <v>304264</v>
      </c>
      <c r="B9027">
        <v>40000</v>
      </c>
      <c r="C9027" t="str">
        <f t="shared" ref="C9027:C9090" si="141">IF(B9026&lt;10000,"1. Under $10K",IF(B9026&lt;50000,"2. $10K-50K",IF(B9026&lt;250000,"3. $50K-250K",IF(B9026&lt;1000000,"4. $250K-1M","5. $1M+"))))</f>
        <v>4. $250K-1M</v>
      </c>
      <c r="D9027" t="s">
        <v>2172</v>
      </c>
      <c r="E9027" t="s">
        <v>819</v>
      </c>
      <c r="F9027" t="s">
        <v>670</v>
      </c>
      <c r="G9027" t="s">
        <v>59</v>
      </c>
      <c r="H9027">
        <v>2025</v>
      </c>
    </row>
    <row r="9028" spans="1:8" x14ac:dyDescent="0.2">
      <c r="A9028">
        <v>304270</v>
      </c>
      <c r="B9028">
        <v>368094</v>
      </c>
      <c r="C9028" t="str">
        <f t="shared" si="141"/>
        <v>2. $10K-50K</v>
      </c>
      <c r="D9028" t="s">
        <v>881</v>
      </c>
      <c r="E9028" t="s">
        <v>237</v>
      </c>
      <c r="F9028" t="s">
        <v>670</v>
      </c>
      <c r="G9028" t="s">
        <v>59</v>
      </c>
      <c r="H9028">
        <v>2025</v>
      </c>
    </row>
    <row r="9029" spans="1:8" x14ac:dyDescent="0.2">
      <c r="A9029">
        <v>304272</v>
      </c>
      <c r="B9029">
        <v>35000</v>
      </c>
      <c r="C9029" t="str">
        <f t="shared" si="141"/>
        <v>4. $250K-1M</v>
      </c>
      <c r="D9029" t="s">
        <v>1431</v>
      </c>
      <c r="E9029" t="s">
        <v>819</v>
      </c>
      <c r="F9029" t="s">
        <v>670</v>
      </c>
      <c r="G9029" t="s">
        <v>59</v>
      </c>
      <c r="H9029">
        <v>2025</v>
      </c>
    </row>
    <row r="9030" spans="1:8" x14ac:dyDescent="0.2">
      <c r="A9030">
        <v>304275</v>
      </c>
      <c r="B9030">
        <v>506036.4</v>
      </c>
      <c r="C9030" t="str">
        <f t="shared" si="141"/>
        <v>2. $10K-50K</v>
      </c>
      <c r="D9030" t="s">
        <v>763</v>
      </c>
      <c r="E9030" t="s">
        <v>42</v>
      </c>
      <c r="F9030" t="s">
        <v>670</v>
      </c>
      <c r="G9030" t="s">
        <v>59</v>
      </c>
      <c r="H9030">
        <v>2025</v>
      </c>
    </row>
    <row r="9031" spans="1:8" x14ac:dyDescent="0.2">
      <c r="A9031">
        <v>304277</v>
      </c>
      <c r="B9031">
        <v>7900000</v>
      </c>
      <c r="C9031" t="str">
        <f t="shared" si="141"/>
        <v>4. $250K-1M</v>
      </c>
      <c r="D9031" t="s">
        <v>872</v>
      </c>
      <c r="E9031" t="s">
        <v>99</v>
      </c>
      <c r="F9031" t="s">
        <v>668</v>
      </c>
      <c r="G9031" t="s">
        <v>59</v>
      </c>
      <c r="H9031">
        <v>2025</v>
      </c>
    </row>
    <row r="9032" spans="1:8" x14ac:dyDescent="0.2">
      <c r="A9032">
        <v>304287</v>
      </c>
      <c r="B9032">
        <v>2523970</v>
      </c>
      <c r="C9032" t="str">
        <f t="shared" si="141"/>
        <v>5. $1M+</v>
      </c>
      <c r="D9032" t="s">
        <v>1838</v>
      </c>
      <c r="E9032" t="s">
        <v>42</v>
      </c>
      <c r="F9032" t="s">
        <v>670</v>
      </c>
      <c r="G9032" t="s">
        <v>59</v>
      </c>
      <c r="H9032">
        <v>2025</v>
      </c>
    </row>
    <row r="9033" spans="1:8" x14ac:dyDescent="0.2">
      <c r="A9033">
        <v>304288</v>
      </c>
      <c r="B9033">
        <v>180000</v>
      </c>
      <c r="C9033" t="str">
        <f t="shared" si="141"/>
        <v>5. $1M+</v>
      </c>
      <c r="D9033" t="s">
        <v>975</v>
      </c>
      <c r="E9033" t="s">
        <v>825</v>
      </c>
      <c r="F9033" t="s">
        <v>670</v>
      </c>
      <c r="G9033" t="s">
        <v>59</v>
      </c>
      <c r="H9033">
        <v>2025</v>
      </c>
    </row>
    <row r="9034" spans="1:8" x14ac:dyDescent="0.2">
      <c r="A9034">
        <v>304291</v>
      </c>
      <c r="B9034">
        <v>52500</v>
      </c>
      <c r="C9034" t="str">
        <f t="shared" si="141"/>
        <v>3. $50K-250K</v>
      </c>
      <c r="D9034" t="s">
        <v>956</v>
      </c>
      <c r="E9034" t="s">
        <v>825</v>
      </c>
      <c r="F9034" t="s">
        <v>670</v>
      </c>
      <c r="G9034" t="s">
        <v>59</v>
      </c>
      <c r="H9034">
        <v>2025</v>
      </c>
    </row>
    <row r="9035" spans="1:8" x14ac:dyDescent="0.2">
      <c r="A9035">
        <v>304296</v>
      </c>
      <c r="B9035">
        <v>124000</v>
      </c>
      <c r="C9035" t="str">
        <f t="shared" si="141"/>
        <v>3. $50K-250K</v>
      </c>
      <c r="D9035" t="s">
        <v>956</v>
      </c>
      <c r="E9035" t="s">
        <v>825</v>
      </c>
      <c r="F9035" t="s">
        <v>670</v>
      </c>
      <c r="G9035" t="s">
        <v>59</v>
      </c>
      <c r="H9035">
        <v>2025</v>
      </c>
    </row>
    <row r="9036" spans="1:8" x14ac:dyDescent="0.2">
      <c r="A9036">
        <v>304297</v>
      </c>
      <c r="B9036">
        <v>124000</v>
      </c>
      <c r="C9036" t="str">
        <f t="shared" si="141"/>
        <v>3. $50K-250K</v>
      </c>
      <c r="D9036" t="s">
        <v>1547</v>
      </c>
      <c r="E9036" t="s">
        <v>825</v>
      </c>
      <c r="F9036" t="s">
        <v>670</v>
      </c>
      <c r="G9036" t="s">
        <v>59</v>
      </c>
      <c r="H9036">
        <v>2025</v>
      </c>
    </row>
    <row r="9037" spans="1:8" x14ac:dyDescent="0.2">
      <c r="A9037">
        <v>304363</v>
      </c>
      <c r="B9037">
        <v>75000</v>
      </c>
      <c r="C9037" t="str">
        <f t="shared" si="141"/>
        <v>3. $50K-250K</v>
      </c>
      <c r="D9037" t="s">
        <v>2529</v>
      </c>
      <c r="E9037" t="s">
        <v>52</v>
      </c>
      <c r="F9037" t="s">
        <v>668</v>
      </c>
      <c r="G9037" t="s">
        <v>59</v>
      </c>
      <c r="H9037">
        <v>2025</v>
      </c>
    </row>
    <row r="9038" spans="1:8" x14ac:dyDescent="0.2">
      <c r="A9038">
        <v>304397</v>
      </c>
      <c r="B9038">
        <v>52800</v>
      </c>
      <c r="C9038" t="str">
        <f t="shared" si="141"/>
        <v>3. $50K-250K</v>
      </c>
      <c r="D9038" t="s">
        <v>869</v>
      </c>
      <c r="E9038" t="s">
        <v>237</v>
      </c>
      <c r="F9038" t="s">
        <v>670</v>
      </c>
      <c r="G9038" t="s">
        <v>59</v>
      </c>
      <c r="H9038">
        <v>2025</v>
      </c>
    </row>
    <row r="9039" spans="1:8" x14ac:dyDescent="0.2">
      <c r="A9039">
        <v>304398</v>
      </c>
      <c r="B9039">
        <v>52800</v>
      </c>
      <c r="C9039" t="str">
        <f t="shared" si="141"/>
        <v>3. $50K-250K</v>
      </c>
      <c r="D9039" t="s">
        <v>803</v>
      </c>
      <c r="E9039" t="s">
        <v>237</v>
      </c>
      <c r="F9039" t="s">
        <v>670</v>
      </c>
      <c r="G9039" t="s">
        <v>59</v>
      </c>
      <c r="H9039">
        <v>2025</v>
      </c>
    </row>
    <row r="9040" spans="1:8" x14ac:dyDescent="0.2">
      <c r="A9040">
        <v>304399</v>
      </c>
      <c r="B9040">
        <v>65895</v>
      </c>
      <c r="C9040" t="str">
        <f t="shared" si="141"/>
        <v>3. $50K-250K</v>
      </c>
      <c r="D9040" t="s">
        <v>870</v>
      </c>
      <c r="E9040" t="s">
        <v>237</v>
      </c>
      <c r="F9040" t="s">
        <v>670</v>
      </c>
      <c r="G9040" t="s">
        <v>59</v>
      </c>
      <c r="H9040">
        <v>2025</v>
      </c>
    </row>
    <row r="9041" spans="1:8" x14ac:dyDescent="0.2">
      <c r="A9041">
        <v>304400</v>
      </c>
      <c r="B9041">
        <v>55851</v>
      </c>
      <c r="C9041" t="str">
        <f t="shared" si="141"/>
        <v>3. $50K-250K</v>
      </c>
      <c r="D9041" t="s">
        <v>952</v>
      </c>
      <c r="E9041" t="s">
        <v>825</v>
      </c>
      <c r="F9041" t="s">
        <v>670</v>
      </c>
      <c r="G9041" t="s">
        <v>59</v>
      </c>
      <c r="H9041">
        <v>2025</v>
      </c>
    </row>
    <row r="9042" spans="1:8" x14ac:dyDescent="0.2">
      <c r="A9042">
        <v>304401</v>
      </c>
      <c r="B9042">
        <v>141873</v>
      </c>
      <c r="C9042" t="str">
        <f t="shared" si="141"/>
        <v>3. $50K-250K</v>
      </c>
      <c r="D9042" t="s">
        <v>870</v>
      </c>
      <c r="E9042" t="s">
        <v>237</v>
      </c>
      <c r="F9042" t="s">
        <v>670</v>
      </c>
      <c r="G9042" t="s">
        <v>59</v>
      </c>
      <c r="H9042">
        <v>2025</v>
      </c>
    </row>
    <row r="9043" spans="1:8" x14ac:dyDescent="0.2">
      <c r="A9043">
        <v>304402</v>
      </c>
      <c r="B9043">
        <v>371777</v>
      </c>
      <c r="C9043" t="str">
        <f t="shared" si="141"/>
        <v>3. $50K-250K</v>
      </c>
      <c r="D9043" t="s">
        <v>721</v>
      </c>
      <c r="E9043" t="s">
        <v>237</v>
      </c>
      <c r="F9043" t="s">
        <v>670</v>
      </c>
      <c r="G9043" t="s">
        <v>59</v>
      </c>
      <c r="H9043">
        <v>2025</v>
      </c>
    </row>
    <row r="9044" spans="1:8" x14ac:dyDescent="0.2">
      <c r="A9044">
        <v>304519</v>
      </c>
      <c r="B9044">
        <v>20742025</v>
      </c>
      <c r="C9044" t="str">
        <f t="shared" si="141"/>
        <v>4. $250K-1M</v>
      </c>
      <c r="D9044" t="s">
        <v>39</v>
      </c>
      <c r="E9044" t="s">
        <v>24</v>
      </c>
      <c r="F9044" t="s">
        <v>9</v>
      </c>
      <c r="G9044" t="s">
        <v>10</v>
      </c>
      <c r="H9044">
        <v>2025</v>
      </c>
    </row>
    <row r="9045" spans="1:8" x14ac:dyDescent="0.2">
      <c r="A9045">
        <v>304521</v>
      </c>
      <c r="B9045">
        <v>696000</v>
      </c>
      <c r="C9045" t="str">
        <f t="shared" si="141"/>
        <v>5. $1M+</v>
      </c>
      <c r="D9045" t="s">
        <v>1094</v>
      </c>
      <c r="E9045" t="s">
        <v>237</v>
      </c>
      <c r="F9045" t="s">
        <v>670</v>
      </c>
      <c r="G9045" t="s">
        <v>59</v>
      </c>
      <c r="H9045">
        <v>2025</v>
      </c>
    </row>
    <row r="9046" spans="1:8" x14ac:dyDescent="0.2">
      <c r="A9046">
        <v>304522</v>
      </c>
      <c r="B9046">
        <v>80000</v>
      </c>
      <c r="C9046" t="str">
        <f t="shared" si="141"/>
        <v>4. $250K-1M</v>
      </c>
      <c r="D9046" t="s">
        <v>1215</v>
      </c>
      <c r="E9046" t="s">
        <v>237</v>
      </c>
      <c r="F9046" t="s">
        <v>670</v>
      </c>
      <c r="G9046" t="s">
        <v>59</v>
      </c>
      <c r="H9046">
        <v>2025</v>
      </c>
    </row>
    <row r="9047" spans="1:8" x14ac:dyDescent="0.2">
      <c r="A9047">
        <v>304523</v>
      </c>
      <c r="B9047">
        <v>1713548</v>
      </c>
      <c r="C9047" t="str">
        <f t="shared" si="141"/>
        <v>3. $50K-250K</v>
      </c>
      <c r="D9047" t="s">
        <v>872</v>
      </c>
      <c r="E9047" t="s">
        <v>237</v>
      </c>
      <c r="F9047" t="s">
        <v>670</v>
      </c>
      <c r="G9047" t="s">
        <v>59</v>
      </c>
      <c r="H9047">
        <v>2025</v>
      </c>
    </row>
    <row r="9048" spans="1:8" x14ac:dyDescent="0.2">
      <c r="A9048">
        <v>304524</v>
      </c>
      <c r="B9048">
        <v>114872</v>
      </c>
      <c r="C9048" t="str">
        <f t="shared" si="141"/>
        <v>5. $1M+</v>
      </c>
      <c r="D9048" t="s">
        <v>864</v>
      </c>
      <c r="E9048" t="s">
        <v>237</v>
      </c>
      <c r="F9048" t="s">
        <v>670</v>
      </c>
      <c r="G9048" t="s">
        <v>59</v>
      </c>
      <c r="H9048">
        <v>2025</v>
      </c>
    </row>
    <row r="9049" spans="1:8" x14ac:dyDescent="0.2">
      <c r="A9049">
        <v>304525</v>
      </c>
      <c r="B9049">
        <v>120000</v>
      </c>
      <c r="C9049" t="str">
        <f t="shared" si="141"/>
        <v>3. $50K-250K</v>
      </c>
      <c r="D9049" t="s">
        <v>1103</v>
      </c>
      <c r="E9049" t="s">
        <v>237</v>
      </c>
      <c r="F9049" t="s">
        <v>670</v>
      </c>
      <c r="G9049" t="s">
        <v>59</v>
      </c>
      <c r="H9049">
        <v>2025</v>
      </c>
    </row>
    <row r="9050" spans="1:8" x14ac:dyDescent="0.2">
      <c r="A9050">
        <v>304526</v>
      </c>
      <c r="B9050">
        <v>54000</v>
      </c>
      <c r="C9050" t="str">
        <f t="shared" si="141"/>
        <v>3. $50K-250K</v>
      </c>
      <c r="D9050" t="s">
        <v>737</v>
      </c>
      <c r="E9050" t="s">
        <v>237</v>
      </c>
      <c r="F9050" t="s">
        <v>670</v>
      </c>
      <c r="G9050" t="s">
        <v>59</v>
      </c>
      <c r="H9050">
        <v>2025</v>
      </c>
    </row>
    <row r="9051" spans="1:8" x14ac:dyDescent="0.2">
      <c r="A9051">
        <v>304527</v>
      </c>
      <c r="B9051">
        <v>48000</v>
      </c>
      <c r="C9051" t="str">
        <f t="shared" si="141"/>
        <v>3. $50K-250K</v>
      </c>
      <c r="D9051" t="s">
        <v>1100</v>
      </c>
      <c r="E9051" t="s">
        <v>237</v>
      </c>
      <c r="F9051" t="s">
        <v>670</v>
      </c>
      <c r="G9051" t="s">
        <v>59</v>
      </c>
      <c r="H9051">
        <v>2025</v>
      </c>
    </row>
    <row r="9052" spans="1:8" x14ac:dyDescent="0.2">
      <c r="A9052">
        <v>304529</v>
      </c>
      <c r="B9052">
        <v>48000</v>
      </c>
      <c r="C9052" t="str">
        <f t="shared" si="141"/>
        <v>2. $10K-50K</v>
      </c>
      <c r="D9052" t="s">
        <v>1099</v>
      </c>
      <c r="E9052" t="s">
        <v>237</v>
      </c>
      <c r="F9052" t="s">
        <v>670</v>
      </c>
      <c r="G9052" t="s">
        <v>59</v>
      </c>
      <c r="H9052">
        <v>2025</v>
      </c>
    </row>
    <row r="9053" spans="1:8" x14ac:dyDescent="0.2">
      <c r="A9053">
        <v>304530</v>
      </c>
      <c r="B9053">
        <v>39258</v>
      </c>
      <c r="C9053" t="str">
        <f t="shared" si="141"/>
        <v>2. $10K-50K</v>
      </c>
      <c r="D9053" t="s">
        <v>794</v>
      </c>
      <c r="E9053" t="s">
        <v>237</v>
      </c>
      <c r="F9053" t="s">
        <v>670</v>
      </c>
      <c r="G9053" t="s">
        <v>59</v>
      </c>
      <c r="H9053">
        <v>2025</v>
      </c>
    </row>
    <row r="9054" spans="1:8" x14ac:dyDescent="0.2">
      <c r="A9054">
        <v>304531</v>
      </c>
      <c r="B9054">
        <v>1050000</v>
      </c>
      <c r="C9054" t="str">
        <f t="shared" si="141"/>
        <v>2. $10K-50K</v>
      </c>
      <c r="D9054" t="s">
        <v>868</v>
      </c>
      <c r="E9054" t="s">
        <v>237</v>
      </c>
      <c r="F9054" t="s">
        <v>670</v>
      </c>
      <c r="G9054" t="s">
        <v>59</v>
      </c>
      <c r="H9054">
        <v>2025</v>
      </c>
    </row>
    <row r="9055" spans="1:8" x14ac:dyDescent="0.2">
      <c r="A9055">
        <v>304532</v>
      </c>
      <c r="B9055">
        <v>696000</v>
      </c>
      <c r="C9055" t="str">
        <f t="shared" si="141"/>
        <v>5. $1M+</v>
      </c>
      <c r="D9055" t="s">
        <v>1094</v>
      </c>
      <c r="E9055" t="s">
        <v>237</v>
      </c>
      <c r="F9055" t="s">
        <v>670</v>
      </c>
      <c r="G9055" t="s">
        <v>59</v>
      </c>
      <c r="H9055">
        <v>2025</v>
      </c>
    </row>
    <row r="9056" spans="1:8" x14ac:dyDescent="0.2">
      <c r="A9056">
        <v>304534</v>
      </c>
      <c r="B9056">
        <v>100000</v>
      </c>
      <c r="C9056" t="str">
        <f t="shared" si="141"/>
        <v>4. $250K-1M</v>
      </c>
      <c r="D9056" t="s">
        <v>785</v>
      </c>
      <c r="E9056" t="s">
        <v>237</v>
      </c>
      <c r="F9056" t="s">
        <v>670</v>
      </c>
      <c r="G9056" t="s">
        <v>59</v>
      </c>
      <c r="H9056">
        <v>2025</v>
      </c>
    </row>
    <row r="9057" spans="1:8" x14ac:dyDescent="0.2">
      <c r="A9057">
        <v>304537</v>
      </c>
      <c r="B9057">
        <v>49474109.200000003</v>
      </c>
      <c r="C9057" t="str">
        <f t="shared" si="141"/>
        <v>3. $50K-250K</v>
      </c>
      <c r="D9057" t="s">
        <v>255</v>
      </c>
      <c r="E9057" t="s">
        <v>67</v>
      </c>
      <c r="F9057" t="s">
        <v>43</v>
      </c>
      <c r="G9057" t="s">
        <v>232</v>
      </c>
      <c r="H9057">
        <v>2025</v>
      </c>
    </row>
    <row r="9058" spans="1:8" x14ac:dyDescent="0.2">
      <c r="A9058">
        <v>304542</v>
      </c>
      <c r="B9058">
        <v>95500</v>
      </c>
      <c r="C9058" t="str">
        <f t="shared" si="141"/>
        <v>5. $1M+</v>
      </c>
      <c r="D9058" t="s">
        <v>895</v>
      </c>
      <c r="E9058" t="s">
        <v>42</v>
      </c>
      <c r="F9058" t="s">
        <v>670</v>
      </c>
      <c r="G9058" t="s">
        <v>59</v>
      </c>
      <c r="H9058">
        <v>2025</v>
      </c>
    </row>
    <row r="9059" spans="1:8" x14ac:dyDescent="0.2">
      <c r="A9059">
        <v>304682</v>
      </c>
      <c r="B9059">
        <v>620000</v>
      </c>
      <c r="C9059" t="str">
        <f t="shared" si="141"/>
        <v>3. $50K-250K</v>
      </c>
      <c r="D9059" t="s">
        <v>853</v>
      </c>
      <c r="E9059" t="s">
        <v>237</v>
      </c>
      <c r="F9059" t="s">
        <v>670</v>
      </c>
      <c r="G9059" t="s">
        <v>59</v>
      </c>
      <c r="H9059">
        <v>2025</v>
      </c>
    </row>
    <row r="9060" spans="1:8" x14ac:dyDescent="0.2">
      <c r="A9060">
        <v>304684</v>
      </c>
      <c r="B9060">
        <v>18332</v>
      </c>
      <c r="C9060" t="str">
        <f t="shared" si="141"/>
        <v>4. $250K-1M</v>
      </c>
      <c r="D9060" t="s">
        <v>719</v>
      </c>
      <c r="E9060" t="s">
        <v>237</v>
      </c>
      <c r="F9060" t="s">
        <v>670</v>
      </c>
      <c r="G9060" t="s">
        <v>59</v>
      </c>
      <c r="H9060">
        <v>2025</v>
      </c>
    </row>
    <row r="9061" spans="1:8" x14ac:dyDescent="0.2">
      <c r="A9061">
        <v>304685</v>
      </c>
      <c r="B9061">
        <v>155000</v>
      </c>
      <c r="C9061" t="str">
        <f t="shared" si="141"/>
        <v>2. $10K-50K</v>
      </c>
      <c r="D9061" t="s">
        <v>870</v>
      </c>
      <c r="E9061" t="s">
        <v>237</v>
      </c>
      <c r="F9061" t="s">
        <v>670</v>
      </c>
      <c r="G9061" t="s">
        <v>59</v>
      </c>
      <c r="H9061">
        <v>2025</v>
      </c>
    </row>
    <row r="9062" spans="1:8" x14ac:dyDescent="0.2">
      <c r="A9062">
        <v>304686</v>
      </c>
      <c r="B9062">
        <v>34500</v>
      </c>
      <c r="C9062" t="str">
        <f t="shared" si="141"/>
        <v>3. $50K-250K</v>
      </c>
      <c r="D9062" t="s">
        <v>713</v>
      </c>
      <c r="E9062" t="s">
        <v>237</v>
      </c>
      <c r="F9062" t="s">
        <v>670</v>
      </c>
      <c r="G9062" t="s">
        <v>59</v>
      </c>
      <c r="H9062">
        <v>2025</v>
      </c>
    </row>
    <row r="9063" spans="1:8" x14ac:dyDescent="0.2">
      <c r="A9063">
        <v>304687</v>
      </c>
      <c r="B9063">
        <v>81800</v>
      </c>
      <c r="C9063" t="str">
        <f t="shared" si="141"/>
        <v>2. $10K-50K</v>
      </c>
      <c r="D9063" t="s">
        <v>719</v>
      </c>
      <c r="E9063" t="s">
        <v>237</v>
      </c>
      <c r="F9063" t="s">
        <v>670</v>
      </c>
      <c r="G9063" t="s">
        <v>59</v>
      </c>
      <c r="H9063">
        <v>2025</v>
      </c>
    </row>
    <row r="9064" spans="1:8" x14ac:dyDescent="0.2">
      <c r="A9064">
        <v>304689</v>
      </c>
      <c r="B9064">
        <v>1440000</v>
      </c>
      <c r="C9064" t="str">
        <f t="shared" si="141"/>
        <v>3. $50K-250K</v>
      </c>
      <c r="D9064" t="s">
        <v>1094</v>
      </c>
      <c r="E9064" t="s">
        <v>237</v>
      </c>
      <c r="F9064" t="s">
        <v>670</v>
      </c>
      <c r="G9064" t="s">
        <v>59</v>
      </c>
      <c r="H9064">
        <v>2025</v>
      </c>
    </row>
    <row r="9065" spans="1:8" x14ac:dyDescent="0.2">
      <c r="A9065">
        <v>304691</v>
      </c>
      <c r="B9065">
        <v>110000</v>
      </c>
      <c r="C9065" t="str">
        <f t="shared" si="141"/>
        <v>5. $1M+</v>
      </c>
      <c r="D9065" t="s">
        <v>956</v>
      </c>
      <c r="E9065" t="s">
        <v>819</v>
      </c>
      <c r="F9065" t="s">
        <v>670</v>
      </c>
      <c r="G9065" t="s">
        <v>59</v>
      </c>
      <c r="H9065">
        <v>2025</v>
      </c>
    </row>
    <row r="9066" spans="1:8" x14ac:dyDescent="0.2">
      <c r="A9066">
        <v>304692</v>
      </c>
      <c r="B9066">
        <v>50000</v>
      </c>
      <c r="C9066" t="str">
        <f t="shared" si="141"/>
        <v>3. $50K-250K</v>
      </c>
      <c r="D9066" t="s">
        <v>942</v>
      </c>
      <c r="E9066" t="s">
        <v>819</v>
      </c>
      <c r="F9066" t="s">
        <v>670</v>
      </c>
      <c r="G9066" t="s">
        <v>59</v>
      </c>
      <c r="H9066">
        <v>2025</v>
      </c>
    </row>
    <row r="9067" spans="1:8" x14ac:dyDescent="0.2">
      <c r="A9067">
        <v>304693</v>
      </c>
      <c r="B9067">
        <v>250000</v>
      </c>
      <c r="C9067" t="str">
        <f t="shared" si="141"/>
        <v>3. $50K-250K</v>
      </c>
      <c r="D9067" t="s">
        <v>762</v>
      </c>
      <c r="E9067" t="s">
        <v>237</v>
      </c>
      <c r="F9067" t="s">
        <v>670</v>
      </c>
      <c r="G9067" t="s">
        <v>59</v>
      </c>
      <c r="H9067">
        <v>2025</v>
      </c>
    </row>
    <row r="9068" spans="1:8" x14ac:dyDescent="0.2">
      <c r="A9068">
        <v>304694</v>
      </c>
      <c r="B9068">
        <v>444000</v>
      </c>
      <c r="C9068" t="str">
        <f t="shared" si="141"/>
        <v>4. $250K-1M</v>
      </c>
      <c r="D9068" t="s">
        <v>783</v>
      </c>
      <c r="E9068" t="s">
        <v>237</v>
      </c>
      <c r="F9068" t="s">
        <v>670</v>
      </c>
      <c r="G9068" t="s">
        <v>59</v>
      </c>
      <c r="H9068">
        <v>2025</v>
      </c>
    </row>
    <row r="9069" spans="1:8" x14ac:dyDescent="0.2">
      <c r="A9069">
        <v>304697</v>
      </c>
      <c r="B9069">
        <v>31352.699999999899</v>
      </c>
      <c r="C9069" t="str">
        <f t="shared" si="141"/>
        <v>4. $250K-1M</v>
      </c>
      <c r="D9069" t="s">
        <v>861</v>
      </c>
      <c r="E9069" t="s">
        <v>237</v>
      </c>
      <c r="F9069" t="s">
        <v>670</v>
      </c>
      <c r="G9069" t="s">
        <v>59</v>
      </c>
      <c r="H9069">
        <v>2025</v>
      </c>
    </row>
    <row r="9070" spans="1:8" x14ac:dyDescent="0.2">
      <c r="A9070">
        <v>304698</v>
      </c>
      <c r="B9070">
        <v>835952</v>
      </c>
      <c r="C9070" t="str">
        <f t="shared" si="141"/>
        <v>2. $10K-50K</v>
      </c>
      <c r="D9070" t="s">
        <v>711</v>
      </c>
      <c r="E9070" t="s">
        <v>237</v>
      </c>
      <c r="F9070" t="s">
        <v>670</v>
      </c>
      <c r="G9070" t="s">
        <v>59</v>
      </c>
      <c r="H9070">
        <v>2025</v>
      </c>
    </row>
    <row r="9071" spans="1:8" x14ac:dyDescent="0.2">
      <c r="A9071">
        <v>304707</v>
      </c>
      <c r="B9071">
        <v>100000</v>
      </c>
      <c r="C9071" t="str">
        <f t="shared" si="141"/>
        <v>4. $250K-1M</v>
      </c>
      <c r="D9071" t="s">
        <v>501</v>
      </c>
      <c r="E9071" t="s">
        <v>819</v>
      </c>
      <c r="F9071" t="s">
        <v>670</v>
      </c>
      <c r="G9071" t="s">
        <v>59</v>
      </c>
      <c r="H9071">
        <v>2025</v>
      </c>
    </row>
    <row r="9072" spans="1:8" x14ac:dyDescent="0.2">
      <c r="A9072">
        <v>304708</v>
      </c>
      <c r="B9072">
        <v>25000</v>
      </c>
      <c r="C9072" t="str">
        <f t="shared" si="141"/>
        <v>3. $50K-250K</v>
      </c>
      <c r="D9072" t="s">
        <v>2509</v>
      </c>
      <c r="E9072" t="s">
        <v>819</v>
      </c>
      <c r="F9072" t="s">
        <v>670</v>
      </c>
      <c r="G9072" t="s">
        <v>59</v>
      </c>
      <c r="H9072">
        <v>2025</v>
      </c>
    </row>
    <row r="9073" spans="1:8" x14ac:dyDescent="0.2">
      <c r="A9073">
        <v>304710</v>
      </c>
      <c r="B9073">
        <v>175000</v>
      </c>
      <c r="C9073" t="str">
        <f t="shared" si="141"/>
        <v>2. $10K-50K</v>
      </c>
      <c r="D9073" t="s">
        <v>1478</v>
      </c>
      <c r="E9073" t="s">
        <v>237</v>
      </c>
      <c r="F9073" t="s">
        <v>670</v>
      </c>
      <c r="G9073" t="s">
        <v>59</v>
      </c>
      <c r="H9073">
        <v>2025</v>
      </c>
    </row>
    <row r="9074" spans="1:8" x14ac:dyDescent="0.2">
      <c r="A9074">
        <v>304711</v>
      </c>
      <c r="B9074">
        <v>175000</v>
      </c>
      <c r="C9074" t="str">
        <f t="shared" si="141"/>
        <v>3. $50K-250K</v>
      </c>
      <c r="D9074" t="s">
        <v>1478</v>
      </c>
      <c r="E9074" t="s">
        <v>237</v>
      </c>
      <c r="F9074" t="s">
        <v>670</v>
      </c>
      <c r="G9074" t="s">
        <v>59</v>
      </c>
      <c r="H9074">
        <v>2025</v>
      </c>
    </row>
    <row r="9075" spans="1:8" x14ac:dyDescent="0.2">
      <c r="A9075">
        <v>304721</v>
      </c>
      <c r="B9075">
        <v>85000</v>
      </c>
      <c r="C9075" t="str">
        <f t="shared" si="141"/>
        <v>3. $50K-250K</v>
      </c>
      <c r="D9075" t="s">
        <v>1432</v>
      </c>
      <c r="E9075" t="s">
        <v>819</v>
      </c>
      <c r="F9075" t="s">
        <v>670</v>
      </c>
      <c r="G9075" t="s">
        <v>59</v>
      </c>
      <c r="H9075">
        <v>2025</v>
      </c>
    </row>
    <row r="9076" spans="1:8" x14ac:dyDescent="0.2">
      <c r="A9076">
        <v>304731</v>
      </c>
      <c r="B9076">
        <v>64100</v>
      </c>
      <c r="C9076" t="str">
        <f t="shared" si="141"/>
        <v>3. $50K-250K</v>
      </c>
      <c r="D9076" t="s">
        <v>701</v>
      </c>
      <c r="E9076" t="s">
        <v>825</v>
      </c>
      <c r="F9076" t="s">
        <v>670</v>
      </c>
      <c r="G9076" t="s">
        <v>59</v>
      </c>
      <c r="H9076">
        <v>2025</v>
      </c>
    </row>
    <row r="9077" spans="1:8" x14ac:dyDescent="0.2">
      <c r="A9077">
        <v>304732</v>
      </c>
      <c r="B9077">
        <v>52500</v>
      </c>
      <c r="C9077" t="str">
        <f t="shared" si="141"/>
        <v>3. $50K-250K</v>
      </c>
      <c r="D9077" t="s">
        <v>701</v>
      </c>
      <c r="E9077" t="s">
        <v>825</v>
      </c>
      <c r="F9077" t="s">
        <v>670</v>
      </c>
      <c r="G9077" t="s">
        <v>59</v>
      </c>
      <c r="H9077">
        <v>2025</v>
      </c>
    </row>
    <row r="9078" spans="1:8" x14ac:dyDescent="0.2">
      <c r="A9078">
        <v>304736</v>
      </c>
      <c r="B9078">
        <v>80590</v>
      </c>
      <c r="C9078" t="str">
        <f t="shared" si="141"/>
        <v>3. $50K-250K</v>
      </c>
      <c r="D9078" t="s">
        <v>854</v>
      </c>
      <c r="E9078" t="s">
        <v>237</v>
      </c>
      <c r="F9078" t="s">
        <v>670</v>
      </c>
      <c r="G9078" t="s">
        <v>59</v>
      </c>
      <c r="H9078">
        <v>2025</v>
      </c>
    </row>
    <row r="9079" spans="1:8" x14ac:dyDescent="0.2">
      <c r="A9079">
        <v>304738</v>
      </c>
      <c r="B9079">
        <v>516301</v>
      </c>
      <c r="C9079" t="str">
        <f t="shared" si="141"/>
        <v>3. $50K-250K</v>
      </c>
      <c r="D9079" t="s">
        <v>507</v>
      </c>
      <c r="E9079" t="s">
        <v>237</v>
      </c>
      <c r="F9079" t="s">
        <v>670</v>
      </c>
      <c r="G9079" t="s">
        <v>59</v>
      </c>
      <c r="H9079">
        <v>2025</v>
      </c>
    </row>
    <row r="9080" spans="1:8" x14ac:dyDescent="0.2">
      <c r="A9080">
        <v>304746</v>
      </c>
      <c r="B9080">
        <v>30000</v>
      </c>
      <c r="C9080" t="str">
        <f t="shared" si="141"/>
        <v>4. $250K-1M</v>
      </c>
      <c r="D9080" t="s">
        <v>1008</v>
      </c>
      <c r="E9080" t="s">
        <v>819</v>
      </c>
      <c r="F9080" t="s">
        <v>670</v>
      </c>
      <c r="G9080" t="s">
        <v>59</v>
      </c>
      <c r="H9080">
        <v>2025</v>
      </c>
    </row>
    <row r="9081" spans="1:8" x14ac:dyDescent="0.2">
      <c r="A9081">
        <v>304747</v>
      </c>
      <c r="B9081">
        <v>53435.7</v>
      </c>
      <c r="C9081" t="str">
        <f t="shared" si="141"/>
        <v>2. $10K-50K</v>
      </c>
      <c r="D9081" t="s">
        <v>953</v>
      </c>
      <c r="E9081" t="s">
        <v>825</v>
      </c>
      <c r="F9081" t="s">
        <v>670</v>
      </c>
      <c r="G9081" t="s">
        <v>59</v>
      </c>
      <c r="H9081">
        <v>2025</v>
      </c>
    </row>
    <row r="9082" spans="1:8" x14ac:dyDescent="0.2">
      <c r="A9082">
        <v>304754</v>
      </c>
      <c r="B9082">
        <v>310091</v>
      </c>
      <c r="C9082" t="str">
        <f t="shared" si="141"/>
        <v>3. $50K-250K</v>
      </c>
      <c r="D9082" t="s">
        <v>968</v>
      </c>
      <c r="E9082" t="s">
        <v>42</v>
      </c>
      <c r="F9082" t="s">
        <v>670</v>
      </c>
      <c r="G9082" t="s">
        <v>59</v>
      </c>
      <c r="H9082">
        <v>2025</v>
      </c>
    </row>
    <row r="9083" spans="1:8" x14ac:dyDescent="0.2">
      <c r="A9083">
        <v>304755</v>
      </c>
      <c r="B9083">
        <v>689515.6</v>
      </c>
      <c r="C9083" t="str">
        <f t="shared" si="141"/>
        <v>4. $250K-1M</v>
      </c>
      <c r="D9083" t="s">
        <v>1028</v>
      </c>
      <c r="E9083" t="s">
        <v>42</v>
      </c>
      <c r="F9083" t="s">
        <v>670</v>
      </c>
      <c r="G9083" t="s">
        <v>59</v>
      </c>
      <c r="H9083">
        <v>2025</v>
      </c>
    </row>
    <row r="9084" spans="1:8" x14ac:dyDescent="0.2">
      <c r="A9084">
        <v>304777</v>
      </c>
      <c r="B9084">
        <v>47728</v>
      </c>
      <c r="C9084" t="str">
        <f t="shared" si="141"/>
        <v>4. $250K-1M</v>
      </c>
      <c r="D9084" t="s">
        <v>1459</v>
      </c>
      <c r="E9084" t="s">
        <v>819</v>
      </c>
      <c r="F9084" t="s">
        <v>670</v>
      </c>
      <c r="G9084" t="s">
        <v>59</v>
      </c>
      <c r="H9084">
        <v>2025</v>
      </c>
    </row>
    <row r="9085" spans="1:8" x14ac:dyDescent="0.2">
      <c r="A9085">
        <v>304778</v>
      </c>
      <c r="B9085">
        <v>50000</v>
      </c>
      <c r="C9085" t="str">
        <f t="shared" si="141"/>
        <v>2. $10K-50K</v>
      </c>
      <c r="D9085" t="s">
        <v>1442</v>
      </c>
      <c r="E9085" t="s">
        <v>819</v>
      </c>
      <c r="F9085" t="s">
        <v>670</v>
      </c>
      <c r="G9085" t="s">
        <v>59</v>
      </c>
      <c r="H9085">
        <v>2025</v>
      </c>
    </row>
    <row r="9086" spans="1:8" x14ac:dyDescent="0.2">
      <c r="A9086">
        <v>304781</v>
      </c>
      <c r="B9086">
        <v>41875</v>
      </c>
      <c r="C9086" t="str">
        <f t="shared" si="141"/>
        <v>3. $50K-250K</v>
      </c>
      <c r="D9086" t="s">
        <v>748</v>
      </c>
      <c r="E9086" t="s">
        <v>237</v>
      </c>
      <c r="F9086" t="s">
        <v>670</v>
      </c>
      <c r="G9086" t="s">
        <v>59</v>
      </c>
      <c r="H9086">
        <v>2025</v>
      </c>
    </row>
    <row r="9087" spans="1:8" x14ac:dyDescent="0.2">
      <c r="A9087">
        <v>304782</v>
      </c>
      <c r="B9087">
        <v>41875</v>
      </c>
      <c r="C9087" t="str">
        <f t="shared" si="141"/>
        <v>2. $10K-50K</v>
      </c>
      <c r="D9087" t="s">
        <v>748</v>
      </c>
      <c r="E9087" t="s">
        <v>237</v>
      </c>
      <c r="F9087" t="s">
        <v>670</v>
      </c>
      <c r="G9087" t="s">
        <v>59</v>
      </c>
      <c r="H9087">
        <v>2025</v>
      </c>
    </row>
    <row r="9088" spans="1:8" x14ac:dyDescent="0.2">
      <c r="A9088">
        <v>304805</v>
      </c>
      <c r="B9088">
        <v>166667</v>
      </c>
      <c r="C9088" t="str">
        <f t="shared" si="141"/>
        <v>2. $10K-50K</v>
      </c>
      <c r="D9088" t="s">
        <v>895</v>
      </c>
      <c r="E9088" t="s">
        <v>42</v>
      </c>
      <c r="F9088" t="s">
        <v>670</v>
      </c>
      <c r="G9088" t="s">
        <v>59</v>
      </c>
      <c r="H9088">
        <v>2025</v>
      </c>
    </row>
    <row r="9089" spans="1:8" x14ac:dyDescent="0.2">
      <c r="A9089">
        <v>304852</v>
      </c>
      <c r="B9089">
        <v>240000</v>
      </c>
      <c r="C9089" t="str">
        <f t="shared" si="141"/>
        <v>3. $50K-250K</v>
      </c>
      <c r="D9089" t="s">
        <v>823</v>
      </c>
      <c r="E9089" t="s">
        <v>42</v>
      </c>
      <c r="F9089" t="s">
        <v>670</v>
      </c>
      <c r="G9089" t="s">
        <v>59</v>
      </c>
      <c r="H9089">
        <v>2025</v>
      </c>
    </row>
    <row r="9090" spans="1:8" x14ac:dyDescent="0.2">
      <c r="A9090">
        <v>304853</v>
      </c>
      <c r="B9090">
        <v>581897.6</v>
      </c>
      <c r="C9090" t="str">
        <f t="shared" si="141"/>
        <v>3. $50K-250K</v>
      </c>
      <c r="D9090" t="s">
        <v>1057</v>
      </c>
      <c r="E9090" t="s">
        <v>42</v>
      </c>
      <c r="F9090" t="s">
        <v>670</v>
      </c>
      <c r="G9090" t="s">
        <v>59</v>
      </c>
      <c r="H9090">
        <v>2025</v>
      </c>
    </row>
    <row r="9091" spans="1:8" x14ac:dyDescent="0.2">
      <c r="A9091">
        <v>304854</v>
      </c>
      <c r="B9091">
        <v>399048.4</v>
      </c>
      <c r="C9091" t="str">
        <f t="shared" ref="C9091:C9154" si="142">IF(B9090&lt;10000,"1. Under $10K",IF(B9090&lt;50000,"2. $10K-50K",IF(B9090&lt;250000,"3. $50K-250K",IF(B9090&lt;1000000,"4. $250K-1M","5. $1M+"))))</f>
        <v>4. $250K-1M</v>
      </c>
      <c r="D9091" t="s">
        <v>391</v>
      </c>
      <c r="E9091" t="s">
        <v>42</v>
      </c>
      <c r="F9091" t="s">
        <v>670</v>
      </c>
      <c r="G9091" t="s">
        <v>59</v>
      </c>
      <c r="H9091">
        <v>2025</v>
      </c>
    </row>
    <row r="9092" spans="1:8" x14ac:dyDescent="0.2">
      <c r="A9092">
        <v>304858</v>
      </c>
      <c r="B9092">
        <v>55000</v>
      </c>
      <c r="C9092" t="str">
        <f t="shared" si="142"/>
        <v>4. $250K-1M</v>
      </c>
      <c r="D9092" t="s">
        <v>2508</v>
      </c>
      <c r="E9092" t="s">
        <v>819</v>
      </c>
      <c r="F9092" t="s">
        <v>670</v>
      </c>
      <c r="G9092" t="s">
        <v>59</v>
      </c>
      <c r="H9092">
        <v>2025</v>
      </c>
    </row>
    <row r="9093" spans="1:8" x14ac:dyDescent="0.2">
      <c r="A9093">
        <v>304859</v>
      </c>
      <c r="B9093">
        <v>670840</v>
      </c>
      <c r="C9093" t="str">
        <f t="shared" si="142"/>
        <v>3. $50K-250K</v>
      </c>
      <c r="D9093" t="s">
        <v>1038</v>
      </c>
      <c r="E9093" t="s">
        <v>42</v>
      </c>
      <c r="F9093" t="s">
        <v>670</v>
      </c>
      <c r="G9093" t="s">
        <v>59</v>
      </c>
      <c r="H9093">
        <v>2025</v>
      </c>
    </row>
    <row r="9094" spans="1:8" x14ac:dyDescent="0.2">
      <c r="A9094">
        <v>304860</v>
      </c>
      <c r="B9094">
        <v>1943150</v>
      </c>
      <c r="C9094" t="str">
        <f t="shared" si="142"/>
        <v>4. $250K-1M</v>
      </c>
      <c r="D9094" t="s">
        <v>1033</v>
      </c>
      <c r="E9094" t="s">
        <v>237</v>
      </c>
      <c r="F9094" t="s">
        <v>670</v>
      </c>
      <c r="G9094" t="s">
        <v>59</v>
      </c>
      <c r="H9094">
        <v>2025</v>
      </c>
    </row>
    <row r="9095" spans="1:8" x14ac:dyDescent="0.2">
      <c r="A9095">
        <v>304861</v>
      </c>
      <c r="B9095">
        <v>500000</v>
      </c>
      <c r="C9095" t="str">
        <f t="shared" si="142"/>
        <v>5. $1M+</v>
      </c>
      <c r="D9095" t="s">
        <v>801</v>
      </c>
      <c r="E9095" t="s">
        <v>42</v>
      </c>
      <c r="F9095" t="s">
        <v>670</v>
      </c>
      <c r="G9095" t="s">
        <v>59</v>
      </c>
      <c r="H9095">
        <v>2025</v>
      </c>
    </row>
    <row r="9096" spans="1:8" x14ac:dyDescent="0.2">
      <c r="A9096">
        <v>304862</v>
      </c>
      <c r="B9096">
        <v>288148</v>
      </c>
      <c r="C9096" t="str">
        <f t="shared" si="142"/>
        <v>4. $250K-1M</v>
      </c>
      <c r="D9096" t="s">
        <v>823</v>
      </c>
      <c r="E9096" t="s">
        <v>42</v>
      </c>
      <c r="F9096" t="s">
        <v>670</v>
      </c>
      <c r="G9096" t="s">
        <v>59</v>
      </c>
      <c r="H9096">
        <v>2025</v>
      </c>
    </row>
    <row r="9097" spans="1:8" x14ac:dyDescent="0.2">
      <c r="A9097">
        <v>304863</v>
      </c>
      <c r="B9097">
        <v>52500</v>
      </c>
      <c r="C9097" t="str">
        <f t="shared" si="142"/>
        <v>4. $250K-1M</v>
      </c>
      <c r="D9097" t="s">
        <v>949</v>
      </c>
      <c r="E9097" t="s">
        <v>825</v>
      </c>
      <c r="F9097" t="s">
        <v>670</v>
      </c>
      <c r="G9097" t="s">
        <v>59</v>
      </c>
      <c r="H9097">
        <v>2025</v>
      </c>
    </row>
    <row r="9098" spans="1:8" x14ac:dyDescent="0.2">
      <c r="A9098">
        <v>304864</v>
      </c>
      <c r="B9098">
        <v>66186</v>
      </c>
      <c r="C9098" t="str">
        <f t="shared" si="142"/>
        <v>3. $50K-250K</v>
      </c>
      <c r="D9098" t="s">
        <v>955</v>
      </c>
      <c r="E9098" t="s">
        <v>825</v>
      </c>
      <c r="F9098" t="s">
        <v>670</v>
      </c>
      <c r="G9098" t="s">
        <v>59</v>
      </c>
      <c r="H9098">
        <v>2025</v>
      </c>
    </row>
    <row r="9099" spans="1:8" x14ac:dyDescent="0.2">
      <c r="A9099">
        <v>304865</v>
      </c>
      <c r="B9099">
        <v>52500</v>
      </c>
      <c r="C9099" t="str">
        <f t="shared" si="142"/>
        <v>3. $50K-250K</v>
      </c>
      <c r="D9099" t="s">
        <v>957</v>
      </c>
      <c r="E9099" t="s">
        <v>825</v>
      </c>
      <c r="F9099" t="s">
        <v>670</v>
      </c>
      <c r="G9099" t="s">
        <v>59</v>
      </c>
      <c r="H9099">
        <v>2025</v>
      </c>
    </row>
    <row r="9100" spans="1:8" x14ac:dyDescent="0.2">
      <c r="A9100">
        <v>304969</v>
      </c>
      <c r="B9100">
        <v>22500</v>
      </c>
      <c r="C9100" t="str">
        <f t="shared" si="142"/>
        <v>3. $50K-250K</v>
      </c>
      <c r="D9100" t="s">
        <v>1346</v>
      </c>
      <c r="E9100" t="s">
        <v>112</v>
      </c>
      <c r="F9100" t="s">
        <v>668</v>
      </c>
      <c r="G9100" t="s">
        <v>59</v>
      </c>
      <c r="H9100">
        <v>2025</v>
      </c>
    </row>
    <row r="9101" spans="1:8" x14ac:dyDescent="0.2">
      <c r="A9101">
        <v>305010</v>
      </c>
      <c r="B9101">
        <v>488801</v>
      </c>
      <c r="C9101" t="str">
        <f t="shared" si="142"/>
        <v>2. $10K-50K</v>
      </c>
      <c r="D9101" t="s">
        <v>860</v>
      </c>
      <c r="E9101" t="s">
        <v>237</v>
      </c>
      <c r="F9101" t="s">
        <v>670</v>
      </c>
      <c r="G9101" t="s">
        <v>59</v>
      </c>
      <c r="H9101">
        <v>2025</v>
      </c>
    </row>
    <row r="9102" spans="1:8" x14ac:dyDescent="0.2">
      <c r="A9102">
        <v>305011</v>
      </c>
      <c r="B9102">
        <v>241634</v>
      </c>
      <c r="C9102" t="str">
        <f t="shared" si="142"/>
        <v>4. $250K-1M</v>
      </c>
      <c r="D9102" t="s">
        <v>886</v>
      </c>
      <c r="E9102" t="s">
        <v>237</v>
      </c>
      <c r="F9102" t="s">
        <v>670</v>
      </c>
      <c r="G9102" t="s">
        <v>59</v>
      </c>
      <c r="H9102">
        <v>2025</v>
      </c>
    </row>
    <row r="9103" spans="1:8" x14ac:dyDescent="0.2">
      <c r="A9103">
        <v>305012</v>
      </c>
      <c r="B9103">
        <v>72000</v>
      </c>
      <c r="C9103" t="str">
        <f t="shared" si="142"/>
        <v>3. $50K-250K</v>
      </c>
      <c r="D9103" t="s">
        <v>972</v>
      </c>
      <c r="E9103" t="s">
        <v>237</v>
      </c>
      <c r="F9103" t="s">
        <v>670</v>
      </c>
      <c r="G9103" t="s">
        <v>59</v>
      </c>
      <c r="H9103">
        <v>2025</v>
      </c>
    </row>
    <row r="9104" spans="1:8" x14ac:dyDescent="0.2">
      <c r="A9104">
        <v>305013</v>
      </c>
      <c r="B9104">
        <v>69000</v>
      </c>
      <c r="C9104" t="str">
        <f t="shared" si="142"/>
        <v>3. $50K-250K</v>
      </c>
      <c r="D9104" t="s">
        <v>713</v>
      </c>
      <c r="E9104" t="s">
        <v>237</v>
      </c>
      <c r="F9104" t="s">
        <v>670</v>
      </c>
      <c r="G9104" t="s">
        <v>59</v>
      </c>
      <c r="H9104">
        <v>2025</v>
      </c>
    </row>
    <row r="9105" spans="1:8" x14ac:dyDescent="0.2">
      <c r="A9105">
        <v>305014</v>
      </c>
      <c r="B9105">
        <v>72000</v>
      </c>
      <c r="C9105" t="str">
        <f t="shared" si="142"/>
        <v>3. $50K-250K</v>
      </c>
      <c r="D9105" t="s">
        <v>781</v>
      </c>
      <c r="E9105" t="s">
        <v>237</v>
      </c>
      <c r="F9105" t="s">
        <v>670</v>
      </c>
      <c r="G9105" t="s">
        <v>59</v>
      </c>
      <c r="H9105">
        <v>2025</v>
      </c>
    </row>
    <row r="9106" spans="1:8" x14ac:dyDescent="0.2">
      <c r="A9106">
        <v>305015</v>
      </c>
      <c r="B9106">
        <v>48000</v>
      </c>
      <c r="C9106" t="str">
        <f t="shared" si="142"/>
        <v>3. $50K-250K</v>
      </c>
      <c r="D9106" t="s">
        <v>1109</v>
      </c>
      <c r="E9106" t="s">
        <v>237</v>
      </c>
      <c r="F9106" t="s">
        <v>670</v>
      </c>
      <c r="G9106" t="s">
        <v>59</v>
      </c>
      <c r="H9106">
        <v>2025</v>
      </c>
    </row>
    <row r="9107" spans="1:8" x14ac:dyDescent="0.2">
      <c r="A9107">
        <v>305017</v>
      </c>
      <c r="B9107">
        <v>96000</v>
      </c>
      <c r="C9107" t="str">
        <f t="shared" si="142"/>
        <v>2. $10K-50K</v>
      </c>
      <c r="D9107" t="s">
        <v>1074</v>
      </c>
      <c r="E9107" t="s">
        <v>237</v>
      </c>
      <c r="F9107" t="s">
        <v>670</v>
      </c>
      <c r="G9107" t="s">
        <v>59</v>
      </c>
      <c r="H9107">
        <v>2025</v>
      </c>
    </row>
    <row r="9108" spans="1:8" x14ac:dyDescent="0.2">
      <c r="A9108">
        <v>305018</v>
      </c>
      <c r="B9108">
        <v>168000</v>
      </c>
      <c r="C9108" t="str">
        <f t="shared" si="142"/>
        <v>3. $50K-250K</v>
      </c>
      <c r="D9108" t="s">
        <v>1105</v>
      </c>
      <c r="E9108" t="s">
        <v>237</v>
      </c>
      <c r="F9108" t="s">
        <v>670</v>
      </c>
      <c r="G9108" t="s">
        <v>59</v>
      </c>
      <c r="H9108">
        <v>2025</v>
      </c>
    </row>
    <row r="9109" spans="1:8" x14ac:dyDescent="0.2">
      <c r="A9109">
        <v>305019</v>
      </c>
      <c r="B9109">
        <v>48000</v>
      </c>
      <c r="C9109" t="str">
        <f t="shared" si="142"/>
        <v>3. $50K-250K</v>
      </c>
      <c r="D9109" t="s">
        <v>1105</v>
      </c>
      <c r="E9109" t="s">
        <v>237</v>
      </c>
      <c r="F9109" t="s">
        <v>670</v>
      </c>
      <c r="G9109" t="s">
        <v>59</v>
      </c>
      <c r="H9109">
        <v>2025</v>
      </c>
    </row>
    <row r="9110" spans="1:8" x14ac:dyDescent="0.2">
      <c r="A9110">
        <v>305020</v>
      </c>
      <c r="B9110">
        <v>48000</v>
      </c>
      <c r="C9110" t="str">
        <f t="shared" si="142"/>
        <v>2. $10K-50K</v>
      </c>
      <c r="D9110" t="s">
        <v>749</v>
      </c>
      <c r="E9110" t="s">
        <v>237</v>
      </c>
      <c r="F9110" t="s">
        <v>670</v>
      </c>
      <c r="G9110" t="s">
        <v>59</v>
      </c>
      <c r="H9110">
        <v>2025</v>
      </c>
    </row>
    <row r="9111" spans="1:8" x14ac:dyDescent="0.2">
      <c r="A9111">
        <v>305021</v>
      </c>
      <c r="B9111">
        <v>99211</v>
      </c>
      <c r="C9111" t="str">
        <f t="shared" si="142"/>
        <v>2. $10K-50K</v>
      </c>
      <c r="D9111" t="s">
        <v>1514</v>
      </c>
      <c r="E9111" t="s">
        <v>237</v>
      </c>
      <c r="F9111" t="s">
        <v>670</v>
      </c>
      <c r="G9111" t="s">
        <v>59</v>
      </c>
      <c r="H9111">
        <v>2025</v>
      </c>
    </row>
    <row r="9112" spans="1:8" x14ac:dyDescent="0.2">
      <c r="A9112">
        <v>305022</v>
      </c>
      <c r="B9112">
        <v>96900</v>
      </c>
      <c r="C9112" t="str">
        <f t="shared" si="142"/>
        <v>3. $50K-250K</v>
      </c>
      <c r="D9112" t="s">
        <v>749</v>
      </c>
      <c r="E9112" t="s">
        <v>237</v>
      </c>
      <c r="F9112" t="s">
        <v>670</v>
      </c>
      <c r="G9112" t="s">
        <v>59</v>
      </c>
      <c r="H9112">
        <v>2025</v>
      </c>
    </row>
    <row r="9113" spans="1:8" x14ac:dyDescent="0.2">
      <c r="A9113">
        <v>305023</v>
      </c>
      <c r="B9113">
        <v>135000</v>
      </c>
      <c r="C9113" t="str">
        <f t="shared" si="142"/>
        <v>3. $50K-250K</v>
      </c>
      <c r="D9113" t="s">
        <v>713</v>
      </c>
      <c r="E9113" t="s">
        <v>237</v>
      </c>
      <c r="F9113" t="s">
        <v>670</v>
      </c>
      <c r="G9113" t="s">
        <v>59</v>
      </c>
      <c r="H9113">
        <v>2025</v>
      </c>
    </row>
    <row r="9114" spans="1:8" x14ac:dyDescent="0.2">
      <c r="A9114">
        <v>305024</v>
      </c>
      <c r="B9114">
        <v>405000</v>
      </c>
      <c r="C9114" t="str">
        <f t="shared" si="142"/>
        <v>3. $50K-250K</v>
      </c>
      <c r="D9114" t="s">
        <v>713</v>
      </c>
      <c r="E9114" t="s">
        <v>237</v>
      </c>
      <c r="F9114" t="s">
        <v>670</v>
      </c>
      <c r="G9114" t="s">
        <v>59</v>
      </c>
      <c r="H9114">
        <v>2025</v>
      </c>
    </row>
    <row r="9115" spans="1:8" x14ac:dyDescent="0.2">
      <c r="A9115">
        <v>305025</v>
      </c>
      <c r="B9115">
        <v>48000</v>
      </c>
      <c r="C9115" t="str">
        <f t="shared" si="142"/>
        <v>4. $250K-1M</v>
      </c>
      <c r="D9115" t="s">
        <v>822</v>
      </c>
      <c r="E9115" t="s">
        <v>237</v>
      </c>
      <c r="F9115" t="s">
        <v>670</v>
      </c>
      <c r="G9115" t="s">
        <v>59</v>
      </c>
      <c r="H9115">
        <v>2025</v>
      </c>
    </row>
    <row r="9116" spans="1:8" x14ac:dyDescent="0.2">
      <c r="A9116">
        <v>305026</v>
      </c>
      <c r="B9116">
        <v>49500</v>
      </c>
      <c r="C9116" t="str">
        <f t="shared" si="142"/>
        <v>2. $10K-50K</v>
      </c>
      <c r="D9116" t="s">
        <v>822</v>
      </c>
      <c r="E9116" t="s">
        <v>237</v>
      </c>
      <c r="F9116" t="s">
        <v>670</v>
      </c>
      <c r="G9116" t="s">
        <v>59</v>
      </c>
      <c r="H9116">
        <v>2025</v>
      </c>
    </row>
    <row r="9117" spans="1:8" x14ac:dyDescent="0.2">
      <c r="A9117">
        <v>305027</v>
      </c>
      <c r="B9117">
        <v>48000</v>
      </c>
      <c r="C9117" t="str">
        <f t="shared" si="142"/>
        <v>2. $10K-50K</v>
      </c>
      <c r="D9117" t="s">
        <v>822</v>
      </c>
      <c r="E9117" t="s">
        <v>237</v>
      </c>
      <c r="F9117" t="s">
        <v>670</v>
      </c>
      <c r="G9117" t="s">
        <v>59</v>
      </c>
      <c r="H9117">
        <v>2025</v>
      </c>
    </row>
    <row r="9118" spans="1:8" x14ac:dyDescent="0.2">
      <c r="A9118">
        <v>305028</v>
      </c>
      <c r="B9118">
        <v>240000</v>
      </c>
      <c r="C9118" t="str">
        <f t="shared" si="142"/>
        <v>2. $10K-50K</v>
      </c>
      <c r="D9118" t="s">
        <v>1110</v>
      </c>
      <c r="E9118" t="s">
        <v>237</v>
      </c>
      <c r="F9118" t="s">
        <v>670</v>
      </c>
      <c r="G9118" t="s">
        <v>59</v>
      </c>
      <c r="H9118">
        <v>2025</v>
      </c>
    </row>
    <row r="9119" spans="1:8" x14ac:dyDescent="0.2">
      <c r="A9119">
        <v>305029</v>
      </c>
      <c r="B9119">
        <v>264000</v>
      </c>
      <c r="C9119" t="str">
        <f t="shared" si="142"/>
        <v>3. $50K-250K</v>
      </c>
      <c r="D9119" t="s">
        <v>1110</v>
      </c>
      <c r="E9119" t="s">
        <v>237</v>
      </c>
      <c r="F9119" t="s">
        <v>670</v>
      </c>
      <c r="G9119" t="s">
        <v>59</v>
      </c>
      <c r="H9119">
        <v>2025</v>
      </c>
    </row>
    <row r="9120" spans="1:8" x14ac:dyDescent="0.2">
      <c r="A9120">
        <v>305030</v>
      </c>
      <c r="B9120">
        <v>54000</v>
      </c>
      <c r="C9120" t="str">
        <f t="shared" si="142"/>
        <v>4. $250K-1M</v>
      </c>
      <c r="D9120" t="s">
        <v>1075</v>
      </c>
      <c r="E9120" t="s">
        <v>237</v>
      </c>
      <c r="F9120" t="s">
        <v>670</v>
      </c>
      <c r="G9120" t="s">
        <v>59</v>
      </c>
      <c r="H9120">
        <v>2025</v>
      </c>
    </row>
    <row r="9121" spans="1:8" x14ac:dyDescent="0.2">
      <c r="A9121">
        <v>305031</v>
      </c>
      <c r="B9121">
        <v>126275</v>
      </c>
      <c r="C9121" t="str">
        <f t="shared" si="142"/>
        <v>3. $50K-250K</v>
      </c>
      <c r="D9121" t="s">
        <v>884</v>
      </c>
      <c r="E9121" t="s">
        <v>237</v>
      </c>
      <c r="F9121" t="s">
        <v>670</v>
      </c>
      <c r="G9121" t="s">
        <v>59</v>
      </c>
      <c r="H9121">
        <v>2025</v>
      </c>
    </row>
    <row r="9122" spans="1:8" x14ac:dyDescent="0.2">
      <c r="A9122">
        <v>305032</v>
      </c>
      <c r="B9122">
        <v>81000</v>
      </c>
      <c r="C9122" t="str">
        <f t="shared" si="142"/>
        <v>3. $50K-250K</v>
      </c>
      <c r="D9122" t="s">
        <v>679</v>
      </c>
      <c r="E9122" t="s">
        <v>237</v>
      </c>
      <c r="F9122" t="s">
        <v>670</v>
      </c>
      <c r="G9122" t="s">
        <v>59</v>
      </c>
      <c r="H9122">
        <v>2025</v>
      </c>
    </row>
    <row r="9123" spans="1:8" x14ac:dyDescent="0.2">
      <c r="A9123">
        <v>305033</v>
      </c>
      <c r="B9123">
        <v>546639</v>
      </c>
      <c r="C9123" t="str">
        <f t="shared" si="142"/>
        <v>3. $50K-250K</v>
      </c>
      <c r="D9123" t="s">
        <v>860</v>
      </c>
      <c r="E9123" t="s">
        <v>237</v>
      </c>
      <c r="F9123" t="s">
        <v>670</v>
      </c>
      <c r="G9123" t="s">
        <v>59</v>
      </c>
      <c r="H9123">
        <v>2025</v>
      </c>
    </row>
    <row r="9124" spans="1:8" x14ac:dyDescent="0.2">
      <c r="A9124">
        <v>305034</v>
      </c>
      <c r="B9124">
        <v>368725.4</v>
      </c>
      <c r="C9124" t="str">
        <f t="shared" si="142"/>
        <v>4. $250K-1M</v>
      </c>
      <c r="D9124" t="s">
        <v>860</v>
      </c>
      <c r="E9124" t="s">
        <v>237</v>
      </c>
      <c r="F9124" t="s">
        <v>670</v>
      </c>
      <c r="G9124" t="s">
        <v>59</v>
      </c>
      <c r="H9124">
        <v>2025</v>
      </c>
    </row>
    <row r="9125" spans="1:8" x14ac:dyDescent="0.2">
      <c r="A9125">
        <v>305035</v>
      </c>
      <c r="B9125">
        <v>80000</v>
      </c>
      <c r="C9125" t="str">
        <f t="shared" si="142"/>
        <v>4. $250K-1M</v>
      </c>
      <c r="D9125" t="s">
        <v>1217</v>
      </c>
      <c r="E9125" t="s">
        <v>237</v>
      </c>
      <c r="F9125" t="s">
        <v>670</v>
      </c>
      <c r="G9125" t="s">
        <v>59</v>
      </c>
      <c r="H9125">
        <v>2025</v>
      </c>
    </row>
    <row r="9126" spans="1:8" x14ac:dyDescent="0.2">
      <c r="A9126">
        <v>305036</v>
      </c>
      <c r="B9126">
        <v>160000</v>
      </c>
      <c r="C9126" t="str">
        <f t="shared" si="142"/>
        <v>3. $50K-250K</v>
      </c>
      <c r="D9126" t="s">
        <v>763</v>
      </c>
      <c r="E9126" t="s">
        <v>237</v>
      </c>
      <c r="F9126" t="s">
        <v>670</v>
      </c>
      <c r="G9126" t="s">
        <v>59</v>
      </c>
      <c r="H9126">
        <v>2025</v>
      </c>
    </row>
    <row r="9127" spans="1:8" x14ac:dyDescent="0.2">
      <c r="A9127">
        <v>305037</v>
      </c>
      <c r="B9127">
        <v>80000</v>
      </c>
      <c r="C9127" t="str">
        <f t="shared" si="142"/>
        <v>3. $50K-250K</v>
      </c>
      <c r="D9127" t="s">
        <v>694</v>
      </c>
      <c r="E9127" t="s">
        <v>237</v>
      </c>
      <c r="F9127" t="s">
        <v>670</v>
      </c>
      <c r="G9127" t="s">
        <v>59</v>
      </c>
      <c r="H9127">
        <v>2025</v>
      </c>
    </row>
    <row r="9128" spans="1:8" x14ac:dyDescent="0.2">
      <c r="A9128">
        <v>305038</v>
      </c>
      <c r="B9128">
        <v>447551</v>
      </c>
      <c r="C9128" t="str">
        <f t="shared" si="142"/>
        <v>3. $50K-250K</v>
      </c>
      <c r="D9128" t="s">
        <v>860</v>
      </c>
      <c r="E9128" t="s">
        <v>237</v>
      </c>
      <c r="F9128" t="s">
        <v>670</v>
      </c>
      <c r="G9128" t="s">
        <v>59</v>
      </c>
      <c r="H9128">
        <v>2025</v>
      </c>
    </row>
    <row r="9129" spans="1:8" x14ac:dyDescent="0.2">
      <c r="A9129">
        <v>305039</v>
      </c>
      <c r="B9129">
        <v>15263</v>
      </c>
      <c r="C9129" t="str">
        <f t="shared" si="142"/>
        <v>4. $250K-1M</v>
      </c>
      <c r="D9129" t="s">
        <v>1033</v>
      </c>
      <c r="E9129" t="s">
        <v>237</v>
      </c>
      <c r="F9129" t="s">
        <v>670</v>
      </c>
      <c r="G9129" t="s">
        <v>59</v>
      </c>
      <c r="H9129">
        <v>2025</v>
      </c>
    </row>
    <row r="9130" spans="1:8" x14ac:dyDescent="0.2">
      <c r="A9130">
        <v>305040</v>
      </c>
      <c r="B9130">
        <v>317000</v>
      </c>
      <c r="C9130" t="str">
        <f t="shared" si="142"/>
        <v>2. $10K-50K</v>
      </c>
      <c r="D9130" t="s">
        <v>1110</v>
      </c>
      <c r="E9130" t="s">
        <v>237</v>
      </c>
      <c r="F9130" t="s">
        <v>670</v>
      </c>
      <c r="G9130" t="s">
        <v>59</v>
      </c>
      <c r="H9130">
        <v>2025</v>
      </c>
    </row>
    <row r="9131" spans="1:8" x14ac:dyDescent="0.2">
      <c r="A9131">
        <v>305041</v>
      </c>
      <c r="B9131">
        <v>60000</v>
      </c>
      <c r="C9131" t="str">
        <f t="shared" si="142"/>
        <v>4. $250K-1M</v>
      </c>
      <c r="D9131" t="s">
        <v>872</v>
      </c>
      <c r="E9131" t="s">
        <v>237</v>
      </c>
      <c r="F9131" t="s">
        <v>670</v>
      </c>
      <c r="G9131" t="s">
        <v>59</v>
      </c>
      <c r="H9131">
        <v>2025</v>
      </c>
    </row>
    <row r="9132" spans="1:8" x14ac:dyDescent="0.2">
      <c r="A9132">
        <v>305042</v>
      </c>
      <c r="B9132">
        <v>54445</v>
      </c>
      <c r="C9132" t="str">
        <f t="shared" si="142"/>
        <v>3. $50K-250K</v>
      </c>
      <c r="D9132" t="s">
        <v>929</v>
      </c>
      <c r="E9132" t="s">
        <v>237</v>
      </c>
      <c r="F9132" t="s">
        <v>670</v>
      </c>
      <c r="G9132" t="s">
        <v>59</v>
      </c>
      <c r="H9132">
        <v>2025</v>
      </c>
    </row>
    <row r="9133" spans="1:8" x14ac:dyDescent="0.2">
      <c r="A9133">
        <v>305043</v>
      </c>
      <c r="B9133">
        <v>591650</v>
      </c>
      <c r="C9133" t="str">
        <f t="shared" si="142"/>
        <v>3. $50K-250K</v>
      </c>
      <c r="D9133" t="s">
        <v>860</v>
      </c>
      <c r="E9133" t="s">
        <v>237</v>
      </c>
      <c r="F9133" t="s">
        <v>670</v>
      </c>
      <c r="G9133" t="s">
        <v>59</v>
      </c>
      <c r="H9133">
        <v>2025</v>
      </c>
    </row>
    <row r="9134" spans="1:8" x14ac:dyDescent="0.2">
      <c r="A9134">
        <v>305044</v>
      </c>
      <c r="B9134">
        <v>34500</v>
      </c>
      <c r="C9134" t="str">
        <f t="shared" si="142"/>
        <v>4. $250K-1M</v>
      </c>
      <c r="D9134" t="s">
        <v>1176</v>
      </c>
      <c r="E9134" t="s">
        <v>237</v>
      </c>
      <c r="F9134" t="s">
        <v>670</v>
      </c>
      <c r="G9134" t="s">
        <v>59</v>
      </c>
      <c r="H9134">
        <v>2025</v>
      </c>
    </row>
    <row r="9135" spans="1:8" x14ac:dyDescent="0.2">
      <c r="A9135">
        <v>305045</v>
      </c>
      <c r="B9135">
        <v>100000</v>
      </c>
      <c r="C9135" t="str">
        <f t="shared" si="142"/>
        <v>2. $10K-50K</v>
      </c>
      <c r="D9135" t="s">
        <v>859</v>
      </c>
      <c r="E9135" t="s">
        <v>237</v>
      </c>
      <c r="F9135" t="s">
        <v>670</v>
      </c>
      <c r="G9135" t="s">
        <v>59</v>
      </c>
      <c r="H9135">
        <v>2025</v>
      </c>
    </row>
    <row r="9136" spans="1:8" x14ac:dyDescent="0.2">
      <c r="A9136">
        <v>305046</v>
      </c>
      <c r="B9136">
        <v>41095</v>
      </c>
      <c r="C9136" t="str">
        <f t="shared" si="142"/>
        <v>3. $50K-250K</v>
      </c>
      <c r="D9136" t="s">
        <v>794</v>
      </c>
      <c r="E9136" t="s">
        <v>237</v>
      </c>
      <c r="F9136" t="s">
        <v>670</v>
      </c>
      <c r="G9136" t="s">
        <v>59</v>
      </c>
      <c r="H9136">
        <v>2025</v>
      </c>
    </row>
    <row r="9137" spans="1:8" x14ac:dyDescent="0.2">
      <c r="A9137">
        <v>305047</v>
      </c>
      <c r="B9137">
        <v>1128000</v>
      </c>
      <c r="C9137" t="str">
        <f t="shared" si="142"/>
        <v>2. $10K-50K</v>
      </c>
      <c r="D9137" t="s">
        <v>1094</v>
      </c>
      <c r="E9137" t="s">
        <v>237</v>
      </c>
      <c r="F9137" t="s">
        <v>670</v>
      </c>
      <c r="G9137" t="s">
        <v>59</v>
      </c>
      <c r="H9137">
        <v>2025</v>
      </c>
    </row>
    <row r="9138" spans="1:8" x14ac:dyDescent="0.2">
      <c r="A9138">
        <v>305048</v>
      </c>
      <c r="B9138">
        <v>160810.29999999999</v>
      </c>
      <c r="C9138" t="str">
        <f t="shared" si="142"/>
        <v>5. $1M+</v>
      </c>
      <c r="D9138" t="s">
        <v>721</v>
      </c>
      <c r="E9138" t="s">
        <v>237</v>
      </c>
      <c r="F9138" t="s">
        <v>670</v>
      </c>
      <c r="G9138" t="s">
        <v>59</v>
      </c>
      <c r="H9138">
        <v>2025</v>
      </c>
    </row>
    <row r="9139" spans="1:8" x14ac:dyDescent="0.2">
      <c r="A9139">
        <v>305049</v>
      </c>
      <c r="B9139">
        <v>48000</v>
      </c>
      <c r="C9139" t="str">
        <f t="shared" si="142"/>
        <v>3. $50K-250K</v>
      </c>
      <c r="D9139" t="s">
        <v>507</v>
      </c>
      <c r="E9139" t="s">
        <v>237</v>
      </c>
      <c r="F9139" t="s">
        <v>670</v>
      </c>
      <c r="G9139" t="s">
        <v>59</v>
      </c>
      <c r="H9139">
        <v>2025</v>
      </c>
    </row>
    <row r="9140" spans="1:8" x14ac:dyDescent="0.2">
      <c r="A9140">
        <v>305050</v>
      </c>
      <c r="B9140">
        <v>361350</v>
      </c>
      <c r="C9140" t="str">
        <f t="shared" si="142"/>
        <v>2. $10K-50K</v>
      </c>
      <c r="D9140" t="s">
        <v>887</v>
      </c>
      <c r="E9140" t="s">
        <v>237</v>
      </c>
      <c r="F9140" t="s">
        <v>670</v>
      </c>
      <c r="G9140" t="s">
        <v>59</v>
      </c>
      <c r="H9140">
        <v>2025</v>
      </c>
    </row>
    <row r="9141" spans="1:8" x14ac:dyDescent="0.2">
      <c r="A9141">
        <v>305051</v>
      </c>
      <c r="B9141">
        <v>54000</v>
      </c>
      <c r="C9141" t="str">
        <f t="shared" si="142"/>
        <v>4. $250K-1M</v>
      </c>
      <c r="D9141" t="s">
        <v>712</v>
      </c>
      <c r="E9141" t="s">
        <v>237</v>
      </c>
      <c r="F9141" t="s">
        <v>670</v>
      </c>
      <c r="G9141" t="s">
        <v>59</v>
      </c>
      <c r="H9141">
        <v>2025</v>
      </c>
    </row>
    <row r="9142" spans="1:8" x14ac:dyDescent="0.2">
      <c r="A9142">
        <v>305052</v>
      </c>
      <c r="B9142">
        <v>57398.400000000001</v>
      </c>
      <c r="C9142" t="str">
        <f t="shared" si="142"/>
        <v>3. $50K-250K</v>
      </c>
      <c r="D9142" t="s">
        <v>887</v>
      </c>
      <c r="E9142" t="s">
        <v>237</v>
      </c>
      <c r="F9142" t="s">
        <v>670</v>
      </c>
      <c r="G9142" t="s">
        <v>59</v>
      </c>
      <c r="H9142">
        <v>2025</v>
      </c>
    </row>
    <row r="9143" spans="1:8" x14ac:dyDescent="0.2">
      <c r="A9143">
        <v>305053</v>
      </c>
      <c r="B9143">
        <v>70037</v>
      </c>
      <c r="C9143" t="str">
        <f t="shared" si="142"/>
        <v>3. $50K-250K</v>
      </c>
      <c r="D9143" t="s">
        <v>870</v>
      </c>
      <c r="E9143" t="s">
        <v>237</v>
      </c>
      <c r="F9143" t="s">
        <v>670</v>
      </c>
      <c r="G9143" t="s">
        <v>59</v>
      </c>
      <c r="H9143">
        <v>2025</v>
      </c>
    </row>
    <row r="9144" spans="1:8" x14ac:dyDescent="0.2">
      <c r="A9144">
        <v>305054</v>
      </c>
      <c r="B9144">
        <v>26884</v>
      </c>
      <c r="C9144" t="str">
        <f t="shared" si="142"/>
        <v>3. $50K-250K</v>
      </c>
      <c r="D9144" t="s">
        <v>870</v>
      </c>
      <c r="E9144" t="s">
        <v>237</v>
      </c>
      <c r="F9144" t="s">
        <v>670</v>
      </c>
      <c r="G9144" t="s">
        <v>59</v>
      </c>
      <c r="H9144">
        <v>2025</v>
      </c>
    </row>
    <row r="9145" spans="1:8" x14ac:dyDescent="0.2">
      <c r="A9145">
        <v>305055</v>
      </c>
      <c r="B9145">
        <v>19079</v>
      </c>
      <c r="C9145" t="str">
        <f t="shared" si="142"/>
        <v>2. $10K-50K</v>
      </c>
      <c r="D9145" t="s">
        <v>926</v>
      </c>
      <c r="E9145" t="s">
        <v>237</v>
      </c>
      <c r="F9145" t="s">
        <v>670</v>
      </c>
      <c r="G9145" t="s">
        <v>59</v>
      </c>
      <c r="H9145">
        <v>2025</v>
      </c>
    </row>
    <row r="9146" spans="1:8" x14ac:dyDescent="0.2">
      <c r="A9146">
        <v>305056</v>
      </c>
      <c r="B9146">
        <v>72000</v>
      </c>
      <c r="C9146" t="str">
        <f t="shared" si="142"/>
        <v>2. $10K-50K</v>
      </c>
      <c r="D9146" t="s">
        <v>1108</v>
      </c>
      <c r="E9146" t="s">
        <v>237</v>
      </c>
      <c r="F9146" t="s">
        <v>670</v>
      </c>
      <c r="G9146" t="s">
        <v>59</v>
      </c>
      <c r="H9146">
        <v>2025</v>
      </c>
    </row>
    <row r="9147" spans="1:8" x14ac:dyDescent="0.2">
      <c r="A9147">
        <v>305057</v>
      </c>
      <c r="B9147">
        <v>16608</v>
      </c>
      <c r="C9147" t="str">
        <f t="shared" si="142"/>
        <v>3. $50K-250K</v>
      </c>
      <c r="D9147" t="s">
        <v>861</v>
      </c>
      <c r="E9147" t="s">
        <v>237</v>
      </c>
      <c r="F9147" t="s">
        <v>670</v>
      </c>
      <c r="G9147" t="s">
        <v>59</v>
      </c>
      <c r="H9147">
        <v>2025</v>
      </c>
    </row>
    <row r="9148" spans="1:8" x14ac:dyDescent="0.2">
      <c r="A9148">
        <v>305058</v>
      </c>
      <c r="B9148">
        <v>14251</v>
      </c>
      <c r="C9148" t="str">
        <f t="shared" si="142"/>
        <v>2. $10K-50K</v>
      </c>
      <c r="D9148" t="s">
        <v>870</v>
      </c>
      <c r="E9148" t="s">
        <v>237</v>
      </c>
      <c r="F9148" t="s">
        <v>670</v>
      </c>
      <c r="G9148" t="s">
        <v>59</v>
      </c>
      <c r="H9148">
        <v>2025</v>
      </c>
    </row>
    <row r="9149" spans="1:8" x14ac:dyDescent="0.2">
      <c r="A9149">
        <v>305059</v>
      </c>
      <c r="B9149">
        <v>932250</v>
      </c>
      <c r="C9149" t="str">
        <f t="shared" si="142"/>
        <v>2. $10K-50K</v>
      </c>
      <c r="D9149" t="s">
        <v>2179</v>
      </c>
      <c r="E9149" t="s">
        <v>237</v>
      </c>
      <c r="F9149" t="s">
        <v>670</v>
      </c>
      <c r="G9149" t="s">
        <v>59</v>
      </c>
      <c r="H9149">
        <v>2025</v>
      </c>
    </row>
    <row r="9150" spans="1:8" x14ac:dyDescent="0.2">
      <c r="A9150">
        <v>305060</v>
      </c>
      <c r="B9150">
        <v>25691</v>
      </c>
      <c r="C9150" t="str">
        <f t="shared" si="142"/>
        <v>4. $250K-1M</v>
      </c>
      <c r="D9150" t="s">
        <v>507</v>
      </c>
      <c r="E9150" t="s">
        <v>237</v>
      </c>
      <c r="F9150" t="s">
        <v>670</v>
      </c>
      <c r="G9150" t="s">
        <v>59</v>
      </c>
      <c r="H9150">
        <v>2025</v>
      </c>
    </row>
    <row r="9151" spans="1:8" x14ac:dyDescent="0.2">
      <c r="A9151">
        <v>305061</v>
      </c>
      <c r="B9151">
        <v>162356</v>
      </c>
      <c r="C9151" t="str">
        <f t="shared" si="142"/>
        <v>2. $10K-50K</v>
      </c>
      <c r="D9151" t="s">
        <v>877</v>
      </c>
      <c r="E9151" t="s">
        <v>237</v>
      </c>
      <c r="F9151" t="s">
        <v>670</v>
      </c>
      <c r="G9151" t="s">
        <v>59</v>
      </c>
      <c r="H9151">
        <v>2025</v>
      </c>
    </row>
    <row r="9152" spans="1:8" x14ac:dyDescent="0.2">
      <c r="A9152">
        <v>305062</v>
      </c>
      <c r="B9152">
        <v>249999</v>
      </c>
      <c r="C9152" t="str">
        <f t="shared" si="142"/>
        <v>3. $50K-250K</v>
      </c>
      <c r="D9152" t="s">
        <v>507</v>
      </c>
      <c r="E9152" t="s">
        <v>237</v>
      </c>
      <c r="F9152" t="s">
        <v>670</v>
      </c>
      <c r="G9152" t="s">
        <v>59</v>
      </c>
      <c r="H9152">
        <v>2025</v>
      </c>
    </row>
    <row r="9153" spans="1:8" x14ac:dyDescent="0.2">
      <c r="A9153">
        <v>305063</v>
      </c>
      <c r="B9153">
        <v>28728</v>
      </c>
      <c r="C9153" t="str">
        <f t="shared" si="142"/>
        <v>3. $50K-250K</v>
      </c>
      <c r="D9153" t="s">
        <v>865</v>
      </c>
      <c r="E9153" t="s">
        <v>237</v>
      </c>
      <c r="F9153" t="s">
        <v>670</v>
      </c>
      <c r="G9153" t="s">
        <v>59</v>
      </c>
      <c r="H9153">
        <v>2025</v>
      </c>
    </row>
    <row r="9154" spans="1:8" x14ac:dyDescent="0.2">
      <c r="A9154">
        <v>305064</v>
      </c>
      <c r="B9154">
        <v>39085.300000000003</v>
      </c>
      <c r="C9154" t="str">
        <f t="shared" si="142"/>
        <v>2. $10K-50K</v>
      </c>
      <c r="D9154" t="s">
        <v>874</v>
      </c>
      <c r="E9154" t="s">
        <v>237</v>
      </c>
      <c r="F9154" t="s">
        <v>670</v>
      </c>
      <c r="G9154" t="s">
        <v>59</v>
      </c>
      <c r="H9154">
        <v>2025</v>
      </c>
    </row>
    <row r="9155" spans="1:8" x14ac:dyDescent="0.2">
      <c r="A9155">
        <v>305065</v>
      </c>
      <c r="B9155">
        <v>139862.1</v>
      </c>
      <c r="C9155" t="str">
        <f t="shared" ref="C9155:C9218" si="143">IF(B9154&lt;10000,"1. Under $10K",IF(B9154&lt;50000,"2. $10K-50K",IF(B9154&lt;250000,"3. $50K-250K",IF(B9154&lt;1000000,"4. $250K-1M","5. $1M+"))))</f>
        <v>2. $10K-50K</v>
      </c>
      <c r="D9155" t="s">
        <v>857</v>
      </c>
      <c r="E9155" t="s">
        <v>237</v>
      </c>
      <c r="F9155" t="s">
        <v>670</v>
      </c>
      <c r="G9155" t="s">
        <v>59</v>
      </c>
      <c r="H9155">
        <v>2025</v>
      </c>
    </row>
    <row r="9156" spans="1:8" x14ac:dyDescent="0.2">
      <c r="A9156">
        <v>305082</v>
      </c>
      <c r="B9156">
        <v>240000</v>
      </c>
      <c r="C9156" t="str">
        <f t="shared" si="143"/>
        <v>3. $50K-250K</v>
      </c>
      <c r="D9156" t="s">
        <v>1000</v>
      </c>
      <c r="E9156" t="s">
        <v>42</v>
      </c>
      <c r="F9156" t="s">
        <v>670</v>
      </c>
      <c r="G9156" t="s">
        <v>59</v>
      </c>
      <c r="H9156">
        <v>2025</v>
      </c>
    </row>
    <row r="9157" spans="1:8" x14ac:dyDescent="0.2">
      <c r="A9157">
        <v>305083</v>
      </c>
      <c r="B9157">
        <v>1777024.1</v>
      </c>
      <c r="C9157" t="str">
        <f t="shared" si="143"/>
        <v>3. $50K-250K</v>
      </c>
      <c r="D9157" t="s">
        <v>1058</v>
      </c>
      <c r="E9157" t="s">
        <v>42</v>
      </c>
      <c r="F9157" t="s">
        <v>670</v>
      </c>
      <c r="G9157" t="s">
        <v>59</v>
      </c>
      <c r="H9157">
        <v>2025</v>
      </c>
    </row>
    <row r="9158" spans="1:8" x14ac:dyDescent="0.2">
      <c r="A9158">
        <v>305084</v>
      </c>
      <c r="B9158">
        <v>160118</v>
      </c>
      <c r="C9158" t="str">
        <f t="shared" si="143"/>
        <v>5. $1M+</v>
      </c>
      <c r="D9158" t="s">
        <v>671</v>
      </c>
      <c r="E9158" t="s">
        <v>42</v>
      </c>
      <c r="F9158" t="s">
        <v>670</v>
      </c>
      <c r="G9158" t="s">
        <v>59</v>
      </c>
      <c r="H9158">
        <v>2025</v>
      </c>
    </row>
    <row r="9159" spans="1:8" x14ac:dyDescent="0.2">
      <c r="A9159">
        <v>305085</v>
      </c>
      <c r="B9159">
        <v>100000</v>
      </c>
      <c r="C9159" t="str">
        <f t="shared" si="143"/>
        <v>3. $50K-250K</v>
      </c>
      <c r="D9159" t="s">
        <v>1056</v>
      </c>
      <c r="E9159" t="s">
        <v>42</v>
      </c>
      <c r="F9159" t="s">
        <v>670</v>
      </c>
      <c r="G9159" t="s">
        <v>59</v>
      </c>
      <c r="H9159">
        <v>2025</v>
      </c>
    </row>
    <row r="9160" spans="1:8" x14ac:dyDescent="0.2">
      <c r="A9160">
        <v>305091</v>
      </c>
      <c r="B9160">
        <v>240000</v>
      </c>
      <c r="C9160" t="str">
        <f t="shared" si="143"/>
        <v>3. $50K-250K</v>
      </c>
      <c r="D9160" t="s">
        <v>864</v>
      </c>
      <c r="E9160" t="s">
        <v>42</v>
      </c>
      <c r="F9160" t="s">
        <v>670</v>
      </c>
      <c r="G9160" t="s">
        <v>59</v>
      </c>
      <c r="H9160">
        <v>2025</v>
      </c>
    </row>
    <row r="9161" spans="1:8" x14ac:dyDescent="0.2">
      <c r="A9161">
        <v>305092</v>
      </c>
      <c r="B9161">
        <v>360000</v>
      </c>
      <c r="C9161" t="str">
        <f t="shared" si="143"/>
        <v>3. $50K-250K</v>
      </c>
      <c r="D9161" t="s">
        <v>1022</v>
      </c>
      <c r="E9161" t="s">
        <v>42</v>
      </c>
      <c r="F9161" t="s">
        <v>670</v>
      </c>
      <c r="G9161" t="s">
        <v>59</v>
      </c>
      <c r="H9161">
        <v>2025</v>
      </c>
    </row>
    <row r="9162" spans="1:8" x14ac:dyDescent="0.2">
      <c r="A9162">
        <v>305093</v>
      </c>
      <c r="B9162">
        <v>360000</v>
      </c>
      <c r="C9162" t="str">
        <f t="shared" si="143"/>
        <v>4. $250K-1M</v>
      </c>
      <c r="D9162" t="s">
        <v>701</v>
      </c>
      <c r="E9162" t="s">
        <v>42</v>
      </c>
      <c r="F9162" t="s">
        <v>670</v>
      </c>
      <c r="G9162" t="s">
        <v>59</v>
      </c>
      <c r="H9162">
        <v>2025</v>
      </c>
    </row>
    <row r="9163" spans="1:8" x14ac:dyDescent="0.2">
      <c r="A9163">
        <v>305094</v>
      </c>
      <c r="B9163">
        <v>350000</v>
      </c>
      <c r="C9163" t="str">
        <f t="shared" si="143"/>
        <v>4. $250K-1M</v>
      </c>
      <c r="D9163" t="s">
        <v>794</v>
      </c>
      <c r="E9163" t="s">
        <v>42</v>
      </c>
      <c r="F9163" t="s">
        <v>670</v>
      </c>
      <c r="G9163" t="s">
        <v>59</v>
      </c>
      <c r="H9163">
        <v>2025</v>
      </c>
    </row>
    <row r="9164" spans="1:8" x14ac:dyDescent="0.2">
      <c r="A9164">
        <v>305095</v>
      </c>
      <c r="B9164">
        <v>49820.7</v>
      </c>
      <c r="C9164" t="str">
        <f t="shared" si="143"/>
        <v>4. $250K-1M</v>
      </c>
      <c r="D9164" t="s">
        <v>957</v>
      </c>
      <c r="E9164" t="s">
        <v>42</v>
      </c>
      <c r="F9164" t="s">
        <v>670</v>
      </c>
      <c r="G9164" t="s">
        <v>59</v>
      </c>
      <c r="H9164">
        <v>2025</v>
      </c>
    </row>
    <row r="9165" spans="1:8" x14ac:dyDescent="0.2">
      <c r="A9165">
        <v>305106</v>
      </c>
      <c r="B9165">
        <v>250000</v>
      </c>
      <c r="C9165" t="str">
        <f t="shared" si="143"/>
        <v>2. $10K-50K</v>
      </c>
      <c r="D9165" t="s">
        <v>707</v>
      </c>
      <c r="E9165" t="s">
        <v>237</v>
      </c>
      <c r="F9165" t="s">
        <v>670</v>
      </c>
      <c r="G9165" t="s">
        <v>59</v>
      </c>
      <c r="H9165">
        <v>2025</v>
      </c>
    </row>
    <row r="9166" spans="1:8" x14ac:dyDescent="0.2">
      <c r="A9166">
        <v>305120</v>
      </c>
      <c r="B9166">
        <v>57059</v>
      </c>
      <c r="C9166" t="str">
        <f t="shared" si="143"/>
        <v>4. $250K-1M</v>
      </c>
      <c r="D9166" t="s">
        <v>870</v>
      </c>
      <c r="E9166" t="s">
        <v>237</v>
      </c>
      <c r="F9166" t="s">
        <v>670</v>
      </c>
      <c r="G9166" t="s">
        <v>59</v>
      </c>
      <c r="H9166">
        <v>2025</v>
      </c>
    </row>
    <row r="9167" spans="1:8" x14ac:dyDescent="0.2">
      <c r="A9167">
        <v>305121</v>
      </c>
      <c r="B9167">
        <v>41875</v>
      </c>
      <c r="C9167" t="str">
        <f t="shared" si="143"/>
        <v>3. $50K-250K</v>
      </c>
      <c r="D9167" t="s">
        <v>901</v>
      </c>
      <c r="E9167" t="s">
        <v>237</v>
      </c>
      <c r="F9167" t="s">
        <v>670</v>
      </c>
      <c r="G9167" t="s">
        <v>59</v>
      </c>
      <c r="H9167">
        <v>2025</v>
      </c>
    </row>
    <row r="9168" spans="1:8" x14ac:dyDescent="0.2">
      <c r="A9168">
        <v>305122</v>
      </c>
      <c r="B9168">
        <v>41875</v>
      </c>
      <c r="C9168" t="str">
        <f t="shared" si="143"/>
        <v>2. $10K-50K</v>
      </c>
      <c r="D9168" t="s">
        <v>901</v>
      </c>
      <c r="E9168" t="s">
        <v>237</v>
      </c>
      <c r="F9168" t="s">
        <v>670</v>
      </c>
      <c r="G9168" t="s">
        <v>59</v>
      </c>
      <c r="H9168">
        <v>2025</v>
      </c>
    </row>
    <row r="9169" spans="1:8" x14ac:dyDescent="0.2">
      <c r="A9169">
        <v>305123</v>
      </c>
      <c r="B9169">
        <v>41875</v>
      </c>
      <c r="C9169" t="str">
        <f t="shared" si="143"/>
        <v>2. $10K-50K</v>
      </c>
      <c r="D9169" t="s">
        <v>901</v>
      </c>
      <c r="E9169" t="s">
        <v>237</v>
      </c>
      <c r="F9169" t="s">
        <v>670</v>
      </c>
      <c r="G9169" t="s">
        <v>59</v>
      </c>
      <c r="H9169">
        <v>2025</v>
      </c>
    </row>
    <row r="9170" spans="1:8" x14ac:dyDescent="0.2">
      <c r="A9170">
        <v>305124</v>
      </c>
      <c r="B9170">
        <v>41875</v>
      </c>
      <c r="C9170" t="str">
        <f t="shared" si="143"/>
        <v>2. $10K-50K</v>
      </c>
      <c r="D9170" t="s">
        <v>901</v>
      </c>
      <c r="E9170" t="s">
        <v>237</v>
      </c>
      <c r="F9170" t="s">
        <v>670</v>
      </c>
      <c r="G9170" t="s">
        <v>59</v>
      </c>
      <c r="H9170">
        <v>2025</v>
      </c>
    </row>
    <row r="9171" spans="1:8" x14ac:dyDescent="0.2">
      <c r="A9171">
        <v>305125</v>
      </c>
      <c r="B9171">
        <v>1800000</v>
      </c>
      <c r="C9171" t="str">
        <f t="shared" si="143"/>
        <v>2. $10K-50K</v>
      </c>
      <c r="D9171" t="s">
        <v>863</v>
      </c>
      <c r="E9171" t="s">
        <v>237</v>
      </c>
      <c r="F9171" t="s">
        <v>670</v>
      </c>
      <c r="G9171" t="s">
        <v>59</v>
      </c>
      <c r="H9171">
        <v>2025</v>
      </c>
    </row>
    <row r="9172" spans="1:8" x14ac:dyDescent="0.2">
      <c r="A9172">
        <v>305126</v>
      </c>
      <c r="B9172">
        <v>41875</v>
      </c>
      <c r="C9172" t="str">
        <f t="shared" si="143"/>
        <v>5. $1M+</v>
      </c>
      <c r="D9172" t="s">
        <v>901</v>
      </c>
      <c r="E9172" t="s">
        <v>237</v>
      </c>
      <c r="F9172" t="s">
        <v>670</v>
      </c>
      <c r="G9172" t="s">
        <v>59</v>
      </c>
      <c r="H9172">
        <v>2025</v>
      </c>
    </row>
    <row r="9173" spans="1:8" x14ac:dyDescent="0.2">
      <c r="A9173">
        <v>305131</v>
      </c>
      <c r="B9173">
        <v>10250000</v>
      </c>
      <c r="C9173" t="str">
        <f t="shared" si="143"/>
        <v>2. $10K-50K</v>
      </c>
      <c r="D9173" t="s">
        <v>1520</v>
      </c>
      <c r="E9173" t="s">
        <v>112</v>
      </c>
      <c r="F9173" t="s">
        <v>668</v>
      </c>
      <c r="G9173" t="s">
        <v>59</v>
      </c>
      <c r="H9173">
        <v>2025</v>
      </c>
    </row>
    <row r="9174" spans="1:8" x14ac:dyDescent="0.2">
      <c r="A9174">
        <v>305135</v>
      </c>
      <c r="B9174">
        <v>937281.6</v>
      </c>
      <c r="C9174" t="str">
        <f t="shared" si="143"/>
        <v>5. $1M+</v>
      </c>
      <c r="D9174" t="s">
        <v>778</v>
      </c>
      <c r="E9174" t="s">
        <v>18</v>
      </c>
      <c r="F9174" t="s">
        <v>668</v>
      </c>
      <c r="G9174" t="s">
        <v>59</v>
      </c>
      <c r="H9174">
        <v>2025</v>
      </c>
    </row>
    <row r="9175" spans="1:8" x14ac:dyDescent="0.2">
      <c r="A9175">
        <v>305136</v>
      </c>
      <c r="B9175">
        <v>1529853</v>
      </c>
      <c r="C9175" t="str">
        <f t="shared" si="143"/>
        <v>4. $250K-1M</v>
      </c>
      <c r="D9175" t="s">
        <v>852</v>
      </c>
      <c r="E9175" t="s">
        <v>237</v>
      </c>
      <c r="F9175" t="s">
        <v>670</v>
      </c>
      <c r="G9175" t="s">
        <v>59</v>
      </c>
      <c r="H9175">
        <v>2025</v>
      </c>
    </row>
    <row r="9176" spans="1:8" x14ac:dyDescent="0.2">
      <c r="A9176">
        <v>305137</v>
      </c>
      <c r="B9176">
        <v>978858</v>
      </c>
      <c r="C9176" t="str">
        <f t="shared" si="143"/>
        <v>5. $1M+</v>
      </c>
      <c r="D9176" t="s">
        <v>497</v>
      </c>
      <c r="E9176" t="s">
        <v>141</v>
      </c>
      <c r="F9176" t="s">
        <v>668</v>
      </c>
      <c r="G9176" t="s">
        <v>59</v>
      </c>
      <c r="H9176">
        <v>2025</v>
      </c>
    </row>
    <row r="9177" spans="1:8" x14ac:dyDescent="0.2">
      <c r="A9177">
        <v>305138</v>
      </c>
      <c r="B9177">
        <v>80000</v>
      </c>
      <c r="C9177" t="str">
        <f t="shared" si="143"/>
        <v>4. $250K-1M</v>
      </c>
      <c r="D9177" t="s">
        <v>977</v>
      </c>
      <c r="E9177" t="s">
        <v>237</v>
      </c>
      <c r="F9177" t="s">
        <v>670</v>
      </c>
      <c r="G9177" t="s">
        <v>59</v>
      </c>
      <c r="H9177">
        <v>2025</v>
      </c>
    </row>
    <row r="9178" spans="1:8" x14ac:dyDescent="0.2">
      <c r="A9178">
        <v>305139</v>
      </c>
      <c r="B9178">
        <v>640000</v>
      </c>
      <c r="C9178" t="str">
        <f t="shared" si="143"/>
        <v>3. $50K-250K</v>
      </c>
      <c r="D9178" t="s">
        <v>548</v>
      </c>
      <c r="E9178" t="s">
        <v>237</v>
      </c>
      <c r="F9178" t="s">
        <v>670</v>
      </c>
      <c r="G9178" t="s">
        <v>59</v>
      </c>
      <c r="H9178">
        <v>2025</v>
      </c>
    </row>
    <row r="9179" spans="1:8" x14ac:dyDescent="0.2">
      <c r="A9179">
        <v>305140</v>
      </c>
      <c r="B9179">
        <v>80000</v>
      </c>
      <c r="C9179" t="str">
        <f t="shared" si="143"/>
        <v>4. $250K-1M</v>
      </c>
      <c r="D9179" t="s">
        <v>1021</v>
      </c>
      <c r="E9179" t="s">
        <v>237</v>
      </c>
      <c r="F9179" t="s">
        <v>670</v>
      </c>
      <c r="G9179" t="s">
        <v>59</v>
      </c>
      <c r="H9179">
        <v>2025</v>
      </c>
    </row>
    <row r="9180" spans="1:8" x14ac:dyDescent="0.2">
      <c r="A9180">
        <v>305179</v>
      </c>
      <c r="B9180">
        <v>155055</v>
      </c>
      <c r="C9180" t="str">
        <f t="shared" si="143"/>
        <v>3. $50K-250K</v>
      </c>
      <c r="D9180" t="s">
        <v>928</v>
      </c>
      <c r="E9180" t="s">
        <v>237</v>
      </c>
      <c r="F9180" t="s">
        <v>670</v>
      </c>
      <c r="G9180" t="s">
        <v>59</v>
      </c>
      <c r="H9180">
        <v>2025</v>
      </c>
    </row>
    <row r="9181" spans="1:8" x14ac:dyDescent="0.2">
      <c r="A9181">
        <v>305181</v>
      </c>
      <c r="B9181">
        <v>141600</v>
      </c>
      <c r="C9181" t="str">
        <f t="shared" si="143"/>
        <v>3. $50K-250K</v>
      </c>
      <c r="D9181" t="s">
        <v>934</v>
      </c>
      <c r="E9181" t="s">
        <v>237</v>
      </c>
      <c r="F9181" t="s">
        <v>670</v>
      </c>
      <c r="G9181" t="s">
        <v>59</v>
      </c>
      <c r="H9181">
        <v>2025</v>
      </c>
    </row>
    <row r="9182" spans="1:8" x14ac:dyDescent="0.2">
      <c r="A9182">
        <v>305183</v>
      </c>
      <c r="B9182">
        <v>177787</v>
      </c>
      <c r="C9182" t="str">
        <f t="shared" si="143"/>
        <v>3. $50K-250K</v>
      </c>
      <c r="D9182" t="s">
        <v>856</v>
      </c>
      <c r="E9182" t="s">
        <v>237</v>
      </c>
      <c r="F9182" t="s">
        <v>670</v>
      </c>
      <c r="G9182" t="s">
        <v>59</v>
      </c>
      <c r="H9182">
        <v>2025</v>
      </c>
    </row>
    <row r="9183" spans="1:8" x14ac:dyDescent="0.2">
      <c r="A9183">
        <v>305186</v>
      </c>
      <c r="B9183">
        <v>211541</v>
      </c>
      <c r="C9183" t="str">
        <f t="shared" si="143"/>
        <v>3. $50K-250K</v>
      </c>
      <c r="D9183" t="s">
        <v>935</v>
      </c>
      <c r="E9183" t="s">
        <v>237</v>
      </c>
      <c r="F9183" t="s">
        <v>670</v>
      </c>
      <c r="G9183" t="s">
        <v>59</v>
      </c>
      <c r="H9183">
        <v>2025</v>
      </c>
    </row>
    <row r="9184" spans="1:8" x14ac:dyDescent="0.2">
      <c r="A9184">
        <v>305193</v>
      </c>
      <c r="B9184">
        <v>175220</v>
      </c>
      <c r="C9184" t="str">
        <f t="shared" si="143"/>
        <v>3. $50K-250K</v>
      </c>
      <c r="D9184" t="s">
        <v>922</v>
      </c>
      <c r="E9184" t="s">
        <v>237</v>
      </c>
      <c r="F9184" t="s">
        <v>670</v>
      </c>
      <c r="G9184" t="s">
        <v>59</v>
      </c>
      <c r="H9184">
        <v>2025</v>
      </c>
    </row>
    <row r="9185" spans="1:8" x14ac:dyDescent="0.2">
      <c r="A9185">
        <v>305198</v>
      </c>
      <c r="B9185">
        <v>98830</v>
      </c>
      <c r="C9185" t="str">
        <f t="shared" si="143"/>
        <v>3. $50K-250K</v>
      </c>
      <c r="D9185" t="s">
        <v>908</v>
      </c>
      <c r="E9185" t="s">
        <v>237</v>
      </c>
      <c r="F9185" t="s">
        <v>670</v>
      </c>
      <c r="G9185" t="s">
        <v>59</v>
      </c>
      <c r="H9185">
        <v>2025</v>
      </c>
    </row>
    <row r="9186" spans="1:8" x14ac:dyDescent="0.2">
      <c r="A9186">
        <v>305202</v>
      </c>
      <c r="B9186">
        <v>400000</v>
      </c>
      <c r="C9186" t="str">
        <f t="shared" si="143"/>
        <v>3. $50K-250K</v>
      </c>
      <c r="D9186" t="s">
        <v>391</v>
      </c>
      <c r="E9186" t="s">
        <v>237</v>
      </c>
      <c r="F9186" t="s">
        <v>670</v>
      </c>
      <c r="G9186" t="s">
        <v>59</v>
      </c>
      <c r="H9186">
        <v>2025</v>
      </c>
    </row>
    <row r="9187" spans="1:8" x14ac:dyDescent="0.2">
      <c r="A9187">
        <v>305205</v>
      </c>
      <c r="B9187">
        <v>1279342</v>
      </c>
      <c r="C9187" t="str">
        <f t="shared" si="143"/>
        <v>4. $250K-1M</v>
      </c>
      <c r="D9187" t="s">
        <v>851</v>
      </c>
      <c r="E9187" t="s">
        <v>237</v>
      </c>
      <c r="F9187" t="s">
        <v>670</v>
      </c>
      <c r="G9187" t="s">
        <v>59</v>
      </c>
      <c r="H9187">
        <v>2025</v>
      </c>
    </row>
    <row r="9188" spans="1:8" x14ac:dyDescent="0.2">
      <c r="A9188">
        <v>305212</v>
      </c>
      <c r="B9188">
        <v>12629</v>
      </c>
      <c r="C9188" t="str">
        <f t="shared" si="143"/>
        <v>5. $1M+</v>
      </c>
      <c r="D9188" t="s">
        <v>854</v>
      </c>
      <c r="E9188" t="s">
        <v>237</v>
      </c>
      <c r="F9188" t="s">
        <v>670</v>
      </c>
      <c r="G9188" t="s">
        <v>59</v>
      </c>
      <c r="H9188">
        <v>2025</v>
      </c>
    </row>
    <row r="9189" spans="1:8" x14ac:dyDescent="0.2">
      <c r="A9189">
        <v>305216</v>
      </c>
      <c r="B9189">
        <v>340320</v>
      </c>
      <c r="C9189" t="str">
        <f t="shared" si="143"/>
        <v>2. $10K-50K</v>
      </c>
      <c r="D9189" t="s">
        <v>867</v>
      </c>
      <c r="E9189" t="s">
        <v>237</v>
      </c>
      <c r="F9189" t="s">
        <v>670</v>
      </c>
      <c r="G9189" t="s">
        <v>59</v>
      </c>
      <c r="H9189">
        <v>2025</v>
      </c>
    </row>
    <row r="9190" spans="1:8" x14ac:dyDescent="0.2">
      <c r="A9190">
        <v>305217</v>
      </c>
      <c r="B9190">
        <v>295837</v>
      </c>
      <c r="C9190" t="str">
        <f t="shared" si="143"/>
        <v>4. $250K-1M</v>
      </c>
      <c r="D9190" t="s">
        <v>875</v>
      </c>
      <c r="E9190" t="s">
        <v>237</v>
      </c>
      <c r="F9190" t="s">
        <v>670</v>
      </c>
      <c r="G9190" t="s">
        <v>59</v>
      </c>
      <c r="H9190">
        <v>2025</v>
      </c>
    </row>
    <row r="9191" spans="1:8" x14ac:dyDescent="0.2">
      <c r="A9191">
        <v>305218</v>
      </c>
      <c r="B9191">
        <v>112500</v>
      </c>
      <c r="C9191" t="str">
        <f t="shared" si="143"/>
        <v>4. $250K-1M</v>
      </c>
      <c r="D9191" t="s">
        <v>749</v>
      </c>
      <c r="E9191" t="s">
        <v>237</v>
      </c>
      <c r="F9191" t="s">
        <v>670</v>
      </c>
      <c r="G9191" t="s">
        <v>59</v>
      </c>
      <c r="H9191">
        <v>2025</v>
      </c>
    </row>
    <row r="9192" spans="1:8" x14ac:dyDescent="0.2">
      <c r="A9192">
        <v>305219</v>
      </c>
      <c r="B9192">
        <v>370451</v>
      </c>
      <c r="C9192" t="str">
        <f t="shared" si="143"/>
        <v>3. $50K-250K</v>
      </c>
      <c r="D9192" t="s">
        <v>852</v>
      </c>
      <c r="E9192" t="s">
        <v>237</v>
      </c>
      <c r="F9192" t="s">
        <v>670</v>
      </c>
      <c r="G9192" t="s">
        <v>59</v>
      </c>
      <c r="H9192">
        <v>2025</v>
      </c>
    </row>
    <row r="9193" spans="1:8" x14ac:dyDescent="0.2">
      <c r="A9193">
        <v>305220</v>
      </c>
      <c r="B9193">
        <v>716247</v>
      </c>
      <c r="C9193" t="str">
        <f t="shared" si="143"/>
        <v>4. $250K-1M</v>
      </c>
      <c r="D9193" t="s">
        <v>507</v>
      </c>
      <c r="E9193" t="s">
        <v>237</v>
      </c>
      <c r="F9193" t="s">
        <v>670</v>
      </c>
      <c r="G9193" t="s">
        <v>59</v>
      </c>
      <c r="H9193">
        <v>2025</v>
      </c>
    </row>
    <row r="9194" spans="1:8" x14ac:dyDescent="0.2">
      <c r="A9194">
        <v>305222</v>
      </c>
      <c r="B9194">
        <v>32556.2</v>
      </c>
      <c r="C9194" t="str">
        <f t="shared" si="143"/>
        <v>4. $250K-1M</v>
      </c>
      <c r="D9194" t="s">
        <v>862</v>
      </c>
      <c r="E9194" t="s">
        <v>237</v>
      </c>
      <c r="F9194" t="s">
        <v>670</v>
      </c>
      <c r="G9194" t="s">
        <v>59</v>
      </c>
      <c r="H9194">
        <v>2025</v>
      </c>
    </row>
    <row r="9195" spans="1:8" x14ac:dyDescent="0.2">
      <c r="A9195">
        <v>305223</v>
      </c>
      <c r="B9195">
        <v>548981</v>
      </c>
      <c r="C9195" t="str">
        <f t="shared" si="143"/>
        <v>2. $10K-50K</v>
      </c>
      <c r="D9195" t="s">
        <v>721</v>
      </c>
      <c r="E9195" t="s">
        <v>237</v>
      </c>
      <c r="F9195" t="s">
        <v>670</v>
      </c>
      <c r="G9195" t="s">
        <v>59</v>
      </c>
      <c r="H9195">
        <v>2025</v>
      </c>
    </row>
    <row r="9196" spans="1:8" x14ac:dyDescent="0.2">
      <c r="A9196">
        <v>305224</v>
      </c>
      <c r="B9196">
        <v>8634366</v>
      </c>
      <c r="C9196" t="str">
        <f t="shared" si="143"/>
        <v>4. $250K-1M</v>
      </c>
      <c r="D9196" t="s">
        <v>852</v>
      </c>
      <c r="E9196" t="s">
        <v>237</v>
      </c>
      <c r="F9196" t="s">
        <v>670</v>
      </c>
      <c r="G9196" t="s">
        <v>59</v>
      </c>
      <c r="H9196">
        <v>2025</v>
      </c>
    </row>
    <row r="9197" spans="1:8" x14ac:dyDescent="0.2">
      <c r="A9197">
        <v>305225</v>
      </c>
      <c r="B9197">
        <v>150000</v>
      </c>
      <c r="C9197" t="str">
        <f t="shared" si="143"/>
        <v>5. $1M+</v>
      </c>
      <c r="D9197" t="s">
        <v>857</v>
      </c>
      <c r="E9197" t="s">
        <v>237</v>
      </c>
      <c r="F9197" t="s">
        <v>670</v>
      </c>
      <c r="G9197" t="s">
        <v>59</v>
      </c>
      <c r="H9197">
        <v>2025</v>
      </c>
    </row>
    <row r="9198" spans="1:8" x14ac:dyDescent="0.2">
      <c r="A9198">
        <v>305226</v>
      </c>
      <c r="B9198">
        <v>401500</v>
      </c>
      <c r="C9198" t="str">
        <f t="shared" si="143"/>
        <v>3. $50K-250K</v>
      </c>
      <c r="D9198" t="s">
        <v>862</v>
      </c>
      <c r="E9198" t="s">
        <v>237</v>
      </c>
      <c r="F9198" t="s">
        <v>670</v>
      </c>
      <c r="G9198" t="s">
        <v>59</v>
      </c>
      <c r="H9198">
        <v>2025</v>
      </c>
    </row>
    <row r="9199" spans="1:8" x14ac:dyDescent="0.2">
      <c r="A9199">
        <v>305227</v>
      </c>
      <c r="B9199">
        <v>237500</v>
      </c>
      <c r="C9199" t="str">
        <f t="shared" si="143"/>
        <v>4. $250K-1M</v>
      </c>
      <c r="D9199" t="s">
        <v>857</v>
      </c>
      <c r="E9199" t="s">
        <v>237</v>
      </c>
      <c r="F9199" t="s">
        <v>670</v>
      </c>
      <c r="G9199" t="s">
        <v>59</v>
      </c>
      <c r="H9199">
        <v>2025</v>
      </c>
    </row>
    <row r="9200" spans="1:8" x14ac:dyDescent="0.2">
      <c r="A9200">
        <v>305228</v>
      </c>
      <c r="B9200">
        <v>14000092</v>
      </c>
      <c r="C9200" t="str">
        <f t="shared" si="143"/>
        <v>3. $50K-250K</v>
      </c>
      <c r="D9200" t="s">
        <v>852</v>
      </c>
      <c r="E9200" t="s">
        <v>237</v>
      </c>
      <c r="F9200" t="s">
        <v>670</v>
      </c>
      <c r="G9200" t="s">
        <v>59</v>
      </c>
      <c r="H9200">
        <v>2025</v>
      </c>
    </row>
    <row r="9201" spans="1:8" x14ac:dyDescent="0.2">
      <c r="A9201">
        <v>305231</v>
      </c>
      <c r="B9201">
        <v>20222</v>
      </c>
      <c r="C9201" t="str">
        <f t="shared" si="143"/>
        <v>5. $1M+</v>
      </c>
      <c r="D9201" t="s">
        <v>857</v>
      </c>
      <c r="E9201" t="s">
        <v>237</v>
      </c>
      <c r="F9201" t="s">
        <v>670</v>
      </c>
      <c r="G9201" t="s">
        <v>59</v>
      </c>
      <c r="H9201">
        <v>2025</v>
      </c>
    </row>
    <row r="9202" spans="1:8" x14ac:dyDescent="0.2">
      <c r="A9202">
        <v>305276</v>
      </c>
      <c r="B9202">
        <v>52500</v>
      </c>
      <c r="C9202" t="str">
        <f t="shared" si="143"/>
        <v>2. $10K-50K</v>
      </c>
      <c r="D9202" t="s">
        <v>812</v>
      </c>
      <c r="E9202" t="s">
        <v>825</v>
      </c>
      <c r="F9202" t="s">
        <v>670</v>
      </c>
      <c r="G9202" t="s">
        <v>59</v>
      </c>
      <c r="H9202">
        <v>2025</v>
      </c>
    </row>
    <row r="9203" spans="1:8" x14ac:dyDescent="0.2">
      <c r="A9203">
        <v>305303</v>
      </c>
      <c r="B9203">
        <v>19609340</v>
      </c>
      <c r="C9203" t="str">
        <f t="shared" si="143"/>
        <v>3. $50K-250K</v>
      </c>
      <c r="D9203" t="s">
        <v>39</v>
      </c>
      <c r="E9203" t="s">
        <v>24</v>
      </c>
      <c r="F9203" t="s">
        <v>25</v>
      </c>
      <c r="G9203" t="s">
        <v>10</v>
      </c>
      <c r="H9203">
        <v>2025</v>
      </c>
    </row>
    <row r="9204" spans="1:8" x14ac:dyDescent="0.2">
      <c r="A9204">
        <v>305349</v>
      </c>
      <c r="B9204">
        <v>838628</v>
      </c>
      <c r="C9204" t="str">
        <f t="shared" si="143"/>
        <v>5. $1M+</v>
      </c>
      <c r="D9204" t="s">
        <v>851</v>
      </c>
      <c r="E9204" t="s">
        <v>237</v>
      </c>
      <c r="F9204" t="s">
        <v>670</v>
      </c>
      <c r="G9204" t="s">
        <v>59</v>
      </c>
      <c r="H9204">
        <v>2025</v>
      </c>
    </row>
    <row r="9205" spans="1:8" x14ac:dyDescent="0.2">
      <c r="A9205">
        <v>305350</v>
      </c>
      <c r="B9205">
        <v>398008</v>
      </c>
      <c r="C9205" t="str">
        <f t="shared" si="143"/>
        <v>4. $250K-1M</v>
      </c>
      <c r="D9205" t="s">
        <v>851</v>
      </c>
      <c r="E9205" t="s">
        <v>237</v>
      </c>
      <c r="F9205" t="s">
        <v>670</v>
      </c>
      <c r="G9205" t="s">
        <v>59</v>
      </c>
      <c r="H9205">
        <v>2025</v>
      </c>
    </row>
    <row r="9206" spans="1:8" x14ac:dyDescent="0.2">
      <c r="A9206">
        <v>305353</v>
      </c>
      <c r="B9206">
        <v>300000</v>
      </c>
      <c r="C9206" t="str">
        <f t="shared" si="143"/>
        <v>4. $250K-1M</v>
      </c>
      <c r="D9206" t="s">
        <v>852</v>
      </c>
      <c r="E9206" t="s">
        <v>237</v>
      </c>
      <c r="F9206" t="s">
        <v>670</v>
      </c>
      <c r="G9206" t="s">
        <v>59</v>
      </c>
      <c r="H9206">
        <v>2025</v>
      </c>
    </row>
    <row r="9207" spans="1:8" x14ac:dyDescent="0.2">
      <c r="A9207">
        <v>305356</v>
      </c>
      <c r="B9207">
        <v>250098</v>
      </c>
      <c r="C9207" t="str">
        <f t="shared" si="143"/>
        <v>4. $250K-1M</v>
      </c>
      <c r="D9207" t="s">
        <v>875</v>
      </c>
      <c r="E9207" t="s">
        <v>237</v>
      </c>
      <c r="F9207" t="s">
        <v>670</v>
      </c>
      <c r="G9207" t="s">
        <v>59</v>
      </c>
      <c r="H9207">
        <v>2025</v>
      </c>
    </row>
    <row r="9208" spans="1:8" x14ac:dyDescent="0.2">
      <c r="A9208">
        <v>305357</v>
      </c>
      <c r="B9208">
        <v>5687</v>
      </c>
      <c r="C9208" t="str">
        <f t="shared" si="143"/>
        <v>4. $250K-1M</v>
      </c>
      <c r="D9208" t="s">
        <v>902</v>
      </c>
      <c r="E9208" t="s">
        <v>237</v>
      </c>
      <c r="F9208" t="s">
        <v>670</v>
      </c>
      <c r="G9208" t="s">
        <v>59</v>
      </c>
      <c r="H9208">
        <v>2025</v>
      </c>
    </row>
    <row r="9209" spans="1:8" x14ac:dyDescent="0.2">
      <c r="A9209">
        <v>305360</v>
      </c>
      <c r="B9209">
        <v>72269.399999999994</v>
      </c>
      <c r="C9209" t="str">
        <f t="shared" si="143"/>
        <v>1. Under $10K</v>
      </c>
      <c r="D9209" t="s">
        <v>812</v>
      </c>
      <c r="E9209" t="s">
        <v>237</v>
      </c>
      <c r="F9209" t="s">
        <v>670</v>
      </c>
      <c r="G9209" t="s">
        <v>59</v>
      </c>
      <c r="H9209">
        <v>2025</v>
      </c>
    </row>
    <row r="9210" spans="1:8" x14ac:dyDescent="0.2">
      <c r="A9210">
        <v>305362</v>
      </c>
      <c r="B9210">
        <v>237490</v>
      </c>
      <c r="C9210" t="str">
        <f t="shared" si="143"/>
        <v>3. $50K-250K</v>
      </c>
      <c r="D9210" t="s">
        <v>856</v>
      </c>
      <c r="E9210" t="s">
        <v>237</v>
      </c>
      <c r="F9210" t="s">
        <v>670</v>
      </c>
      <c r="G9210" t="s">
        <v>59</v>
      </c>
      <c r="H9210">
        <v>2025</v>
      </c>
    </row>
    <row r="9211" spans="1:8" x14ac:dyDescent="0.2">
      <c r="A9211">
        <v>305366</v>
      </c>
      <c r="B9211">
        <v>94088</v>
      </c>
      <c r="C9211" t="str">
        <f t="shared" si="143"/>
        <v>3. $50K-250K</v>
      </c>
      <c r="D9211" t="s">
        <v>822</v>
      </c>
      <c r="E9211" t="s">
        <v>237</v>
      </c>
      <c r="F9211" t="s">
        <v>670</v>
      </c>
      <c r="G9211" t="s">
        <v>59</v>
      </c>
      <c r="H9211">
        <v>2025</v>
      </c>
    </row>
    <row r="9212" spans="1:8" x14ac:dyDescent="0.2">
      <c r="A9212">
        <v>305368</v>
      </c>
      <c r="B9212">
        <v>613163.1</v>
      </c>
      <c r="C9212" t="str">
        <f t="shared" si="143"/>
        <v>3. $50K-250K</v>
      </c>
      <c r="D9212" t="s">
        <v>872</v>
      </c>
      <c r="E9212" t="s">
        <v>237</v>
      </c>
      <c r="F9212" t="s">
        <v>670</v>
      </c>
      <c r="G9212" t="s">
        <v>59</v>
      </c>
      <c r="H9212">
        <v>2025</v>
      </c>
    </row>
    <row r="9213" spans="1:8" x14ac:dyDescent="0.2">
      <c r="A9213">
        <v>305372</v>
      </c>
      <c r="B9213">
        <v>221588.7</v>
      </c>
      <c r="C9213" t="str">
        <f t="shared" si="143"/>
        <v>4. $250K-1M</v>
      </c>
      <c r="D9213" t="s">
        <v>864</v>
      </c>
      <c r="E9213" t="s">
        <v>237</v>
      </c>
      <c r="F9213" t="s">
        <v>670</v>
      </c>
      <c r="G9213" t="s">
        <v>59</v>
      </c>
      <c r="H9213">
        <v>2025</v>
      </c>
    </row>
    <row r="9214" spans="1:8" x14ac:dyDescent="0.2">
      <c r="A9214">
        <v>305374</v>
      </c>
      <c r="B9214">
        <v>67000</v>
      </c>
      <c r="C9214" t="str">
        <f t="shared" si="143"/>
        <v>3. $50K-250K</v>
      </c>
      <c r="D9214" t="s">
        <v>854</v>
      </c>
      <c r="E9214" t="s">
        <v>237</v>
      </c>
      <c r="F9214" t="s">
        <v>670</v>
      </c>
      <c r="G9214" t="s">
        <v>59</v>
      </c>
      <c r="H9214">
        <v>2025</v>
      </c>
    </row>
    <row r="9215" spans="1:8" x14ac:dyDescent="0.2">
      <c r="A9215">
        <v>305375</v>
      </c>
      <c r="B9215">
        <v>30560</v>
      </c>
      <c r="C9215" t="str">
        <f t="shared" si="143"/>
        <v>3. $50K-250K</v>
      </c>
      <c r="D9215" t="s">
        <v>854</v>
      </c>
      <c r="E9215" t="s">
        <v>237</v>
      </c>
      <c r="F9215" t="s">
        <v>670</v>
      </c>
      <c r="G9215" t="s">
        <v>59</v>
      </c>
      <c r="H9215">
        <v>2025</v>
      </c>
    </row>
    <row r="9216" spans="1:8" x14ac:dyDescent="0.2">
      <c r="A9216">
        <v>305376</v>
      </c>
      <c r="B9216">
        <v>31478</v>
      </c>
      <c r="C9216" t="str">
        <f t="shared" si="143"/>
        <v>2. $10K-50K</v>
      </c>
      <c r="D9216" t="s">
        <v>852</v>
      </c>
      <c r="E9216" t="s">
        <v>237</v>
      </c>
      <c r="F9216" t="s">
        <v>670</v>
      </c>
      <c r="G9216" t="s">
        <v>59</v>
      </c>
      <c r="H9216">
        <v>2025</v>
      </c>
    </row>
    <row r="9217" spans="1:8" x14ac:dyDescent="0.2">
      <c r="A9217">
        <v>305377</v>
      </c>
      <c r="B9217">
        <v>22783</v>
      </c>
      <c r="C9217" t="str">
        <f t="shared" si="143"/>
        <v>2. $10K-50K</v>
      </c>
      <c r="D9217" t="s">
        <v>749</v>
      </c>
      <c r="E9217" t="s">
        <v>237</v>
      </c>
      <c r="F9217" t="s">
        <v>670</v>
      </c>
      <c r="G9217" t="s">
        <v>59</v>
      </c>
      <c r="H9217">
        <v>2025</v>
      </c>
    </row>
    <row r="9218" spans="1:8" x14ac:dyDescent="0.2">
      <c r="A9218">
        <v>305378</v>
      </c>
      <c r="B9218">
        <v>109709</v>
      </c>
      <c r="C9218" t="str">
        <f t="shared" si="143"/>
        <v>2. $10K-50K</v>
      </c>
      <c r="D9218" t="s">
        <v>854</v>
      </c>
      <c r="E9218" t="s">
        <v>237</v>
      </c>
      <c r="F9218" t="s">
        <v>670</v>
      </c>
      <c r="G9218" t="s">
        <v>59</v>
      </c>
      <c r="H9218">
        <v>2025</v>
      </c>
    </row>
    <row r="9219" spans="1:8" x14ac:dyDescent="0.2">
      <c r="A9219">
        <v>305379</v>
      </c>
      <c r="B9219">
        <v>124346</v>
      </c>
      <c r="C9219" t="str">
        <f t="shared" ref="C9219:C9282" si="144">IF(B9218&lt;10000,"1. Under $10K",IF(B9218&lt;50000,"2. $10K-50K",IF(B9218&lt;250000,"3. $50K-250K",IF(B9218&lt;1000000,"4. $250K-1M","5. $1M+"))))</f>
        <v>3. $50K-250K</v>
      </c>
      <c r="D9219" t="s">
        <v>812</v>
      </c>
      <c r="E9219" t="s">
        <v>237</v>
      </c>
      <c r="F9219" t="s">
        <v>670</v>
      </c>
      <c r="G9219" t="s">
        <v>59</v>
      </c>
      <c r="H9219">
        <v>2025</v>
      </c>
    </row>
    <row r="9220" spans="1:8" x14ac:dyDescent="0.2">
      <c r="A9220">
        <v>305380</v>
      </c>
      <c r="B9220">
        <v>189000</v>
      </c>
      <c r="C9220" t="str">
        <f t="shared" si="144"/>
        <v>3. $50K-250K</v>
      </c>
      <c r="D9220" t="s">
        <v>1074</v>
      </c>
      <c r="E9220" t="s">
        <v>237</v>
      </c>
      <c r="F9220" t="s">
        <v>670</v>
      </c>
      <c r="G9220" t="s">
        <v>59</v>
      </c>
      <c r="H9220">
        <v>2025</v>
      </c>
    </row>
    <row r="9221" spans="1:8" x14ac:dyDescent="0.2">
      <c r="A9221">
        <v>305381</v>
      </c>
      <c r="B9221">
        <v>35343</v>
      </c>
      <c r="C9221" t="str">
        <f t="shared" si="144"/>
        <v>3. $50K-250K</v>
      </c>
      <c r="D9221" t="s">
        <v>870</v>
      </c>
      <c r="E9221" t="s">
        <v>237</v>
      </c>
      <c r="F9221" t="s">
        <v>670</v>
      </c>
      <c r="G9221" t="s">
        <v>59</v>
      </c>
      <c r="H9221">
        <v>2025</v>
      </c>
    </row>
    <row r="9222" spans="1:8" x14ac:dyDescent="0.2">
      <c r="A9222">
        <v>305383</v>
      </c>
      <c r="B9222">
        <v>52650</v>
      </c>
      <c r="C9222" t="str">
        <f t="shared" si="144"/>
        <v>2. $10K-50K</v>
      </c>
      <c r="D9222" t="s">
        <v>926</v>
      </c>
      <c r="E9222" t="s">
        <v>825</v>
      </c>
      <c r="F9222" t="s">
        <v>670</v>
      </c>
      <c r="G9222" t="s">
        <v>59</v>
      </c>
      <c r="H9222">
        <v>2025</v>
      </c>
    </row>
    <row r="9223" spans="1:8" x14ac:dyDescent="0.2">
      <c r="A9223">
        <v>305384</v>
      </c>
      <c r="B9223">
        <v>52500</v>
      </c>
      <c r="C9223" t="str">
        <f t="shared" si="144"/>
        <v>3. $50K-250K</v>
      </c>
      <c r="D9223" t="s">
        <v>959</v>
      </c>
      <c r="E9223" t="s">
        <v>825</v>
      </c>
      <c r="F9223" t="s">
        <v>670</v>
      </c>
      <c r="G9223" t="s">
        <v>59</v>
      </c>
      <c r="H9223">
        <v>2025</v>
      </c>
    </row>
    <row r="9224" spans="1:8" x14ac:dyDescent="0.2">
      <c r="A9224">
        <v>30543</v>
      </c>
      <c r="B9224">
        <v>1391531.9</v>
      </c>
      <c r="C9224" t="str">
        <f t="shared" si="144"/>
        <v>3. $50K-250K</v>
      </c>
      <c r="D9224" t="s">
        <v>193</v>
      </c>
      <c r="E9224" t="s">
        <v>8</v>
      </c>
      <c r="F9224" t="s">
        <v>14</v>
      </c>
      <c r="G9224" t="s">
        <v>44</v>
      </c>
      <c r="H9224">
        <v>2025</v>
      </c>
    </row>
    <row r="9225" spans="1:8" x14ac:dyDescent="0.2">
      <c r="A9225">
        <v>30544</v>
      </c>
      <c r="B9225">
        <v>819348.6</v>
      </c>
      <c r="C9225" t="str">
        <f t="shared" si="144"/>
        <v>5. $1M+</v>
      </c>
      <c r="D9225" t="s">
        <v>503</v>
      </c>
      <c r="E9225" t="s">
        <v>18</v>
      </c>
      <c r="F9225" t="s">
        <v>12</v>
      </c>
      <c r="G9225" t="s">
        <v>10</v>
      </c>
      <c r="H9225">
        <v>2025</v>
      </c>
    </row>
    <row r="9226" spans="1:8" x14ac:dyDescent="0.2">
      <c r="A9226">
        <v>305444</v>
      </c>
      <c r="B9226">
        <v>40000</v>
      </c>
      <c r="C9226" t="str">
        <f t="shared" si="144"/>
        <v>4. $250K-1M</v>
      </c>
      <c r="D9226" t="s">
        <v>1458</v>
      </c>
      <c r="E9226" t="s">
        <v>819</v>
      </c>
      <c r="F9226" t="s">
        <v>670</v>
      </c>
      <c r="G9226" t="s">
        <v>59</v>
      </c>
      <c r="H9226">
        <v>2025</v>
      </c>
    </row>
    <row r="9227" spans="1:8" x14ac:dyDescent="0.2">
      <c r="A9227">
        <v>305445</v>
      </c>
      <c r="B9227">
        <v>50000</v>
      </c>
      <c r="C9227" t="str">
        <f t="shared" si="144"/>
        <v>2. $10K-50K</v>
      </c>
      <c r="D9227" t="s">
        <v>1789</v>
      </c>
      <c r="E9227" t="s">
        <v>819</v>
      </c>
      <c r="F9227" t="s">
        <v>670</v>
      </c>
      <c r="G9227" t="s">
        <v>59</v>
      </c>
      <c r="H9227">
        <v>2025</v>
      </c>
    </row>
    <row r="9228" spans="1:8" x14ac:dyDescent="0.2">
      <c r="A9228">
        <v>305446</v>
      </c>
      <c r="B9228">
        <v>40000</v>
      </c>
      <c r="C9228" t="str">
        <f t="shared" si="144"/>
        <v>3. $50K-250K</v>
      </c>
      <c r="D9228" t="s">
        <v>944</v>
      </c>
      <c r="E9228" t="s">
        <v>819</v>
      </c>
      <c r="F9228" t="s">
        <v>670</v>
      </c>
      <c r="G9228" t="s">
        <v>59</v>
      </c>
      <c r="H9228">
        <v>2025</v>
      </c>
    </row>
    <row r="9229" spans="1:8" x14ac:dyDescent="0.2">
      <c r="A9229">
        <v>305453</v>
      </c>
      <c r="B9229">
        <v>78712</v>
      </c>
      <c r="C9229" t="str">
        <f t="shared" si="144"/>
        <v>2. $10K-50K</v>
      </c>
      <c r="D9229" t="s">
        <v>822</v>
      </c>
      <c r="E9229" t="s">
        <v>237</v>
      </c>
      <c r="F9229" t="s">
        <v>670</v>
      </c>
      <c r="G9229" t="s">
        <v>59</v>
      </c>
      <c r="H9229">
        <v>2025</v>
      </c>
    </row>
    <row r="9230" spans="1:8" x14ac:dyDescent="0.2">
      <c r="A9230">
        <v>305463</v>
      </c>
      <c r="B9230">
        <v>95184</v>
      </c>
      <c r="C9230" t="str">
        <f t="shared" si="144"/>
        <v>3. $50K-250K</v>
      </c>
      <c r="D9230" t="s">
        <v>1505</v>
      </c>
      <c r="E9230" t="s">
        <v>825</v>
      </c>
      <c r="F9230" t="s">
        <v>670</v>
      </c>
      <c r="G9230" t="s">
        <v>59</v>
      </c>
      <c r="H9230">
        <v>2025</v>
      </c>
    </row>
    <row r="9231" spans="1:8" x14ac:dyDescent="0.2">
      <c r="A9231">
        <v>30547</v>
      </c>
      <c r="B9231">
        <v>7532075.5999999996</v>
      </c>
      <c r="C9231" t="str">
        <f t="shared" si="144"/>
        <v>3. $50K-250K</v>
      </c>
      <c r="D9231" t="s">
        <v>2530</v>
      </c>
      <c r="E9231" t="s">
        <v>59</v>
      </c>
      <c r="F9231" t="s">
        <v>664</v>
      </c>
      <c r="G9231" t="s">
        <v>59</v>
      </c>
      <c r="H9231">
        <v>2023</v>
      </c>
    </row>
    <row r="9232" spans="1:8" x14ac:dyDescent="0.2">
      <c r="A9232">
        <v>305506</v>
      </c>
      <c r="B9232">
        <v>1947000</v>
      </c>
      <c r="C9232" t="str">
        <f t="shared" si="144"/>
        <v>5. $1M+</v>
      </c>
      <c r="D9232" t="s">
        <v>904</v>
      </c>
      <c r="E9232" t="s">
        <v>891</v>
      </c>
      <c r="F9232" t="s">
        <v>670</v>
      </c>
      <c r="G9232" t="s">
        <v>59</v>
      </c>
      <c r="H9232">
        <v>2025</v>
      </c>
    </row>
    <row r="9233" spans="1:8" x14ac:dyDescent="0.2">
      <c r="A9233">
        <v>305531</v>
      </c>
      <c r="B9233">
        <v>101121</v>
      </c>
      <c r="C9233" t="str">
        <f t="shared" si="144"/>
        <v>5. $1M+</v>
      </c>
      <c r="D9233" t="s">
        <v>943</v>
      </c>
      <c r="E9233" t="s">
        <v>99</v>
      </c>
      <c r="F9233" t="s">
        <v>670</v>
      </c>
      <c r="G9233" t="s">
        <v>59</v>
      </c>
      <c r="H9233">
        <v>2025</v>
      </c>
    </row>
    <row r="9234" spans="1:8" x14ac:dyDescent="0.2">
      <c r="A9234">
        <v>305538</v>
      </c>
      <c r="B9234">
        <v>20909550</v>
      </c>
      <c r="C9234" t="str">
        <f t="shared" si="144"/>
        <v>3. $50K-250K</v>
      </c>
      <c r="D9234" t="s">
        <v>137</v>
      </c>
      <c r="E9234" t="s">
        <v>24</v>
      </c>
      <c r="F9234" t="s">
        <v>25</v>
      </c>
      <c r="G9234" t="s">
        <v>10</v>
      </c>
      <c r="H9234">
        <v>2025</v>
      </c>
    </row>
    <row r="9235" spans="1:8" x14ac:dyDescent="0.2">
      <c r="A9235">
        <v>305540</v>
      </c>
      <c r="B9235">
        <v>75000</v>
      </c>
      <c r="C9235" t="str">
        <f t="shared" si="144"/>
        <v>5. $1M+</v>
      </c>
      <c r="D9235" t="s">
        <v>1449</v>
      </c>
      <c r="E9235" t="s">
        <v>819</v>
      </c>
      <c r="F9235" t="s">
        <v>670</v>
      </c>
      <c r="G9235" t="s">
        <v>59</v>
      </c>
      <c r="H9235">
        <v>2025</v>
      </c>
    </row>
    <row r="9236" spans="1:8" x14ac:dyDescent="0.2">
      <c r="A9236">
        <v>305541</v>
      </c>
      <c r="B9236">
        <v>50000</v>
      </c>
      <c r="C9236" t="str">
        <f t="shared" si="144"/>
        <v>3. $50K-250K</v>
      </c>
      <c r="D9236" t="s">
        <v>1434</v>
      </c>
      <c r="E9236" t="s">
        <v>819</v>
      </c>
      <c r="F9236" t="s">
        <v>670</v>
      </c>
      <c r="G9236" t="s">
        <v>59</v>
      </c>
      <c r="H9236">
        <v>2025</v>
      </c>
    </row>
    <row r="9237" spans="1:8" x14ac:dyDescent="0.2">
      <c r="A9237">
        <v>305550</v>
      </c>
      <c r="B9237">
        <v>18443905</v>
      </c>
      <c r="C9237" t="str">
        <f t="shared" si="144"/>
        <v>3. $50K-250K</v>
      </c>
      <c r="D9237" t="s">
        <v>114</v>
      </c>
      <c r="E9237" t="s">
        <v>24</v>
      </c>
      <c r="F9237" t="s">
        <v>25</v>
      </c>
      <c r="G9237" t="s">
        <v>10</v>
      </c>
      <c r="H9237">
        <v>2025</v>
      </c>
    </row>
    <row r="9238" spans="1:8" x14ac:dyDescent="0.2">
      <c r="A9238">
        <v>305553</v>
      </c>
      <c r="B9238">
        <v>200000</v>
      </c>
      <c r="C9238" t="str">
        <f t="shared" si="144"/>
        <v>5. $1M+</v>
      </c>
      <c r="D9238" t="s">
        <v>904</v>
      </c>
      <c r="E9238" t="s">
        <v>891</v>
      </c>
      <c r="F9238" t="s">
        <v>670</v>
      </c>
      <c r="G9238" t="s">
        <v>59</v>
      </c>
      <c r="H9238">
        <v>2025</v>
      </c>
    </row>
    <row r="9239" spans="1:8" x14ac:dyDescent="0.2">
      <c r="A9239">
        <v>305555</v>
      </c>
      <c r="B9239">
        <v>41875</v>
      </c>
      <c r="C9239" t="str">
        <f t="shared" si="144"/>
        <v>3. $50K-250K</v>
      </c>
      <c r="D9239" t="s">
        <v>900</v>
      </c>
      <c r="E9239" t="s">
        <v>237</v>
      </c>
      <c r="F9239" t="s">
        <v>670</v>
      </c>
      <c r="G9239" t="s">
        <v>59</v>
      </c>
      <c r="H9239">
        <v>2025</v>
      </c>
    </row>
    <row r="9240" spans="1:8" x14ac:dyDescent="0.2">
      <c r="A9240">
        <v>305559</v>
      </c>
      <c r="B9240">
        <v>150000</v>
      </c>
      <c r="C9240" t="str">
        <f t="shared" si="144"/>
        <v>2. $10K-50K</v>
      </c>
      <c r="D9240" t="s">
        <v>181</v>
      </c>
      <c r="E9240" t="s">
        <v>99</v>
      </c>
      <c r="F9240" t="s">
        <v>668</v>
      </c>
      <c r="G9240" t="s">
        <v>59</v>
      </c>
      <c r="H9240">
        <v>2025</v>
      </c>
    </row>
    <row r="9241" spans="1:8" x14ac:dyDescent="0.2">
      <c r="A9241">
        <v>305561</v>
      </c>
      <c r="B9241">
        <v>10160500</v>
      </c>
      <c r="C9241" t="str">
        <f t="shared" si="144"/>
        <v>3. $50K-250K</v>
      </c>
      <c r="D9241" t="s">
        <v>2531</v>
      </c>
      <c r="E9241" t="s">
        <v>99</v>
      </c>
      <c r="F9241" t="s">
        <v>668</v>
      </c>
      <c r="G9241" t="s">
        <v>59</v>
      </c>
      <c r="H9241">
        <v>2025</v>
      </c>
    </row>
    <row r="9242" spans="1:8" x14ac:dyDescent="0.2">
      <c r="A9242">
        <v>305574</v>
      </c>
      <c r="B9242">
        <v>120000</v>
      </c>
      <c r="C9242" t="str">
        <f t="shared" si="144"/>
        <v>5. $1M+</v>
      </c>
      <c r="D9242" t="s">
        <v>1516</v>
      </c>
      <c r="E9242" t="s">
        <v>825</v>
      </c>
      <c r="F9242" t="s">
        <v>670</v>
      </c>
      <c r="G9242" t="s">
        <v>59</v>
      </c>
      <c r="H9242">
        <v>2025</v>
      </c>
    </row>
    <row r="9243" spans="1:8" x14ac:dyDescent="0.2">
      <c r="A9243">
        <v>305575</v>
      </c>
      <c r="B9243">
        <v>87427</v>
      </c>
      <c r="C9243" t="str">
        <f t="shared" si="144"/>
        <v>3. $50K-250K</v>
      </c>
      <c r="D9243" t="s">
        <v>1467</v>
      </c>
      <c r="E9243" t="s">
        <v>99</v>
      </c>
      <c r="F9243" t="s">
        <v>670</v>
      </c>
      <c r="G9243" t="s">
        <v>59</v>
      </c>
      <c r="H9243">
        <v>2025</v>
      </c>
    </row>
    <row r="9244" spans="1:8" x14ac:dyDescent="0.2">
      <c r="A9244">
        <v>305729</v>
      </c>
      <c r="B9244">
        <v>173081</v>
      </c>
      <c r="C9244" t="str">
        <f t="shared" si="144"/>
        <v>3. $50K-250K</v>
      </c>
      <c r="D9244" t="s">
        <v>1003</v>
      </c>
      <c r="E9244" t="s">
        <v>42</v>
      </c>
      <c r="F9244" t="s">
        <v>670</v>
      </c>
      <c r="G9244" t="s">
        <v>59</v>
      </c>
      <c r="H9244">
        <v>2025</v>
      </c>
    </row>
    <row r="9245" spans="1:8" x14ac:dyDescent="0.2">
      <c r="A9245">
        <v>305731</v>
      </c>
      <c r="B9245">
        <v>100000</v>
      </c>
      <c r="C9245" t="str">
        <f t="shared" si="144"/>
        <v>3. $50K-250K</v>
      </c>
      <c r="D9245" t="s">
        <v>957</v>
      </c>
      <c r="E9245" t="s">
        <v>819</v>
      </c>
      <c r="F9245" t="s">
        <v>670</v>
      </c>
      <c r="G9245" t="s">
        <v>59</v>
      </c>
      <c r="H9245">
        <v>2025</v>
      </c>
    </row>
    <row r="9246" spans="1:8" x14ac:dyDescent="0.2">
      <c r="A9246">
        <v>305732</v>
      </c>
      <c r="B9246">
        <v>240000</v>
      </c>
      <c r="C9246" t="str">
        <f t="shared" si="144"/>
        <v>3. $50K-250K</v>
      </c>
      <c r="D9246" t="s">
        <v>749</v>
      </c>
      <c r="E9246" t="s">
        <v>42</v>
      </c>
      <c r="F9246" t="s">
        <v>670</v>
      </c>
      <c r="G9246" t="s">
        <v>59</v>
      </c>
      <c r="H9246">
        <v>2025</v>
      </c>
    </row>
    <row r="9247" spans="1:8" x14ac:dyDescent="0.2">
      <c r="A9247">
        <v>305761</v>
      </c>
      <c r="B9247">
        <v>66000</v>
      </c>
      <c r="C9247" t="str">
        <f t="shared" si="144"/>
        <v>3. $50K-250K</v>
      </c>
      <c r="D9247" t="s">
        <v>902</v>
      </c>
      <c r="E9247" t="s">
        <v>237</v>
      </c>
      <c r="F9247" t="s">
        <v>670</v>
      </c>
      <c r="G9247" t="s">
        <v>59</v>
      </c>
      <c r="H9247">
        <v>2025</v>
      </c>
    </row>
    <row r="9248" spans="1:8" x14ac:dyDescent="0.2">
      <c r="A9248">
        <v>305762</v>
      </c>
      <c r="B9248">
        <v>200000</v>
      </c>
      <c r="C9248" t="str">
        <f t="shared" si="144"/>
        <v>3. $50K-250K</v>
      </c>
      <c r="D9248" t="s">
        <v>893</v>
      </c>
      <c r="E9248" t="s">
        <v>891</v>
      </c>
      <c r="F9248" t="s">
        <v>670</v>
      </c>
      <c r="G9248" t="s">
        <v>59</v>
      </c>
      <c r="H9248">
        <v>2025</v>
      </c>
    </row>
    <row r="9249" spans="1:8" x14ac:dyDescent="0.2">
      <c r="A9249">
        <v>305763</v>
      </c>
      <c r="B9249">
        <v>749000</v>
      </c>
      <c r="C9249" t="str">
        <f t="shared" si="144"/>
        <v>3. $50K-250K</v>
      </c>
      <c r="D9249" t="s">
        <v>893</v>
      </c>
      <c r="E9249" t="s">
        <v>891</v>
      </c>
      <c r="F9249" t="s">
        <v>670</v>
      </c>
      <c r="G9249" t="s">
        <v>59</v>
      </c>
      <c r="H9249">
        <v>2025</v>
      </c>
    </row>
    <row r="9250" spans="1:8" x14ac:dyDescent="0.2">
      <c r="A9250">
        <v>305797</v>
      </c>
      <c r="B9250">
        <v>72769</v>
      </c>
      <c r="C9250" t="str">
        <f t="shared" si="144"/>
        <v>4. $250K-1M</v>
      </c>
      <c r="D9250" t="s">
        <v>975</v>
      </c>
      <c r="E9250" t="s">
        <v>825</v>
      </c>
      <c r="F9250" t="s">
        <v>670</v>
      </c>
      <c r="G9250" t="s">
        <v>59</v>
      </c>
      <c r="H9250">
        <v>2025</v>
      </c>
    </row>
    <row r="9251" spans="1:8" x14ac:dyDescent="0.2">
      <c r="A9251">
        <v>305826</v>
      </c>
      <c r="B9251">
        <v>50000</v>
      </c>
      <c r="C9251" t="str">
        <f t="shared" si="144"/>
        <v>3. $50K-250K</v>
      </c>
      <c r="D9251" t="s">
        <v>919</v>
      </c>
      <c r="E9251" t="s">
        <v>819</v>
      </c>
      <c r="F9251" t="s">
        <v>670</v>
      </c>
      <c r="G9251" t="s">
        <v>59</v>
      </c>
      <c r="H9251">
        <v>2025</v>
      </c>
    </row>
    <row r="9252" spans="1:8" x14ac:dyDescent="0.2">
      <c r="A9252">
        <v>305827</v>
      </c>
      <c r="B9252">
        <v>40000</v>
      </c>
      <c r="C9252" t="str">
        <f t="shared" si="144"/>
        <v>3. $50K-250K</v>
      </c>
      <c r="D9252" t="s">
        <v>1441</v>
      </c>
      <c r="E9252" t="s">
        <v>819</v>
      </c>
      <c r="F9252" t="s">
        <v>670</v>
      </c>
      <c r="G9252" t="s">
        <v>59</v>
      </c>
      <c r="H9252">
        <v>2025</v>
      </c>
    </row>
    <row r="9253" spans="1:8" x14ac:dyDescent="0.2">
      <c r="A9253">
        <v>305828</v>
      </c>
      <c r="B9253">
        <v>59385</v>
      </c>
      <c r="C9253" t="str">
        <f t="shared" si="144"/>
        <v>2. $10K-50K</v>
      </c>
      <c r="D9253" t="s">
        <v>936</v>
      </c>
      <c r="E9253" t="s">
        <v>237</v>
      </c>
      <c r="F9253" t="s">
        <v>670</v>
      </c>
      <c r="G9253" t="s">
        <v>59</v>
      </c>
      <c r="H9253">
        <v>2025</v>
      </c>
    </row>
    <row r="9254" spans="1:8" x14ac:dyDescent="0.2">
      <c r="A9254">
        <v>305829</v>
      </c>
      <c r="B9254">
        <v>105024</v>
      </c>
      <c r="C9254" t="str">
        <f t="shared" si="144"/>
        <v>3. $50K-250K</v>
      </c>
      <c r="D9254" t="s">
        <v>711</v>
      </c>
      <c r="E9254" t="s">
        <v>237</v>
      </c>
      <c r="F9254" t="s">
        <v>670</v>
      </c>
      <c r="G9254" t="s">
        <v>59</v>
      </c>
      <c r="H9254">
        <v>2025</v>
      </c>
    </row>
    <row r="9255" spans="1:8" x14ac:dyDescent="0.2">
      <c r="A9255">
        <v>305830</v>
      </c>
      <c r="B9255">
        <v>129250</v>
      </c>
      <c r="C9255" t="str">
        <f t="shared" si="144"/>
        <v>3. $50K-250K</v>
      </c>
      <c r="D9255" t="s">
        <v>877</v>
      </c>
      <c r="E9255" t="s">
        <v>237</v>
      </c>
      <c r="F9255" t="s">
        <v>670</v>
      </c>
      <c r="G9255" t="s">
        <v>59</v>
      </c>
      <c r="H9255">
        <v>2025</v>
      </c>
    </row>
    <row r="9256" spans="1:8" x14ac:dyDescent="0.2">
      <c r="A9256">
        <v>305831</v>
      </c>
      <c r="B9256">
        <v>52500</v>
      </c>
      <c r="C9256" t="str">
        <f t="shared" si="144"/>
        <v>3. $50K-250K</v>
      </c>
      <c r="D9256" t="s">
        <v>951</v>
      </c>
      <c r="E9256" t="s">
        <v>825</v>
      </c>
      <c r="F9256" t="s">
        <v>670</v>
      </c>
      <c r="G9256" t="s">
        <v>59</v>
      </c>
      <c r="H9256">
        <v>2025</v>
      </c>
    </row>
    <row r="9257" spans="1:8" x14ac:dyDescent="0.2">
      <c r="A9257">
        <v>305863</v>
      </c>
      <c r="B9257">
        <v>25000</v>
      </c>
      <c r="C9257" t="str">
        <f t="shared" si="144"/>
        <v>3. $50K-250K</v>
      </c>
      <c r="D9257" t="s">
        <v>2507</v>
      </c>
      <c r="E9257" t="s">
        <v>819</v>
      </c>
      <c r="F9257" t="s">
        <v>670</v>
      </c>
      <c r="G9257" t="s">
        <v>59</v>
      </c>
      <c r="H9257">
        <v>2025</v>
      </c>
    </row>
    <row r="9258" spans="1:8" x14ac:dyDescent="0.2">
      <c r="A9258">
        <v>305875</v>
      </c>
      <c r="B9258">
        <v>1155</v>
      </c>
      <c r="C9258" t="str">
        <f t="shared" si="144"/>
        <v>2. $10K-50K</v>
      </c>
      <c r="D9258" t="s">
        <v>504</v>
      </c>
      <c r="E9258" t="s">
        <v>8</v>
      </c>
      <c r="F9258" t="s">
        <v>457</v>
      </c>
      <c r="G9258" t="s">
        <v>59</v>
      </c>
      <c r="H9258">
        <v>2025</v>
      </c>
    </row>
    <row r="9259" spans="1:8" x14ac:dyDescent="0.2">
      <c r="A9259">
        <v>305877</v>
      </c>
      <c r="B9259">
        <v>299128</v>
      </c>
      <c r="C9259" t="str">
        <f t="shared" si="144"/>
        <v>1. Under $10K</v>
      </c>
      <c r="D9259" t="s">
        <v>1611</v>
      </c>
      <c r="E9259" t="s">
        <v>237</v>
      </c>
      <c r="F9259" t="s">
        <v>670</v>
      </c>
      <c r="G9259" t="s">
        <v>59</v>
      </c>
      <c r="H9259">
        <v>2025</v>
      </c>
    </row>
    <row r="9260" spans="1:8" x14ac:dyDescent="0.2">
      <c r="A9260">
        <v>305878</v>
      </c>
      <c r="B9260">
        <v>299040</v>
      </c>
      <c r="C9260" t="str">
        <f t="shared" si="144"/>
        <v>4. $250K-1M</v>
      </c>
      <c r="D9260" t="s">
        <v>1611</v>
      </c>
      <c r="E9260" t="s">
        <v>237</v>
      </c>
      <c r="F9260" t="s">
        <v>670</v>
      </c>
      <c r="G9260" t="s">
        <v>59</v>
      </c>
      <c r="H9260">
        <v>2025</v>
      </c>
    </row>
    <row r="9261" spans="1:8" x14ac:dyDescent="0.2">
      <c r="A9261">
        <v>305929</v>
      </c>
      <c r="B9261">
        <v>40000</v>
      </c>
      <c r="C9261" t="str">
        <f t="shared" si="144"/>
        <v>4. $250K-1M</v>
      </c>
      <c r="D9261" t="s">
        <v>1448</v>
      </c>
      <c r="E9261" t="s">
        <v>819</v>
      </c>
      <c r="F9261" t="s">
        <v>670</v>
      </c>
      <c r="G9261" t="s">
        <v>59</v>
      </c>
      <c r="H9261">
        <v>2025</v>
      </c>
    </row>
    <row r="9262" spans="1:8" x14ac:dyDescent="0.2">
      <c r="A9262">
        <v>305959</v>
      </c>
      <c r="B9262">
        <v>120000</v>
      </c>
      <c r="C9262" t="str">
        <f t="shared" si="144"/>
        <v>2. $10K-50K</v>
      </c>
      <c r="D9262" t="s">
        <v>971</v>
      </c>
      <c r="E9262" t="s">
        <v>825</v>
      </c>
      <c r="F9262" t="s">
        <v>670</v>
      </c>
      <c r="G9262" t="s">
        <v>59</v>
      </c>
      <c r="H9262">
        <v>2025</v>
      </c>
    </row>
    <row r="9263" spans="1:8" x14ac:dyDescent="0.2">
      <c r="A9263">
        <v>305961</v>
      </c>
      <c r="B9263">
        <v>72770</v>
      </c>
      <c r="C9263" t="str">
        <f t="shared" si="144"/>
        <v>3. $50K-250K</v>
      </c>
      <c r="D9263" t="s">
        <v>1027</v>
      </c>
      <c r="E9263" t="s">
        <v>825</v>
      </c>
      <c r="F9263" t="s">
        <v>670</v>
      </c>
      <c r="G9263" t="s">
        <v>59</v>
      </c>
      <c r="H9263">
        <v>2025</v>
      </c>
    </row>
    <row r="9264" spans="1:8" x14ac:dyDescent="0.2">
      <c r="A9264">
        <v>305965</v>
      </c>
      <c r="B9264">
        <v>62280</v>
      </c>
      <c r="C9264" t="str">
        <f t="shared" si="144"/>
        <v>3. $50K-250K</v>
      </c>
      <c r="D9264" t="s">
        <v>892</v>
      </c>
      <c r="E9264" t="s">
        <v>825</v>
      </c>
      <c r="F9264" t="s">
        <v>670</v>
      </c>
      <c r="G9264" t="s">
        <v>59</v>
      </c>
      <c r="H9264">
        <v>2025</v>
      </c>
    </row>
    <row r="9265" spans="1:8" x14ac:dyDescent="0.2">
      <c r="A9265">
        <v>305972</v>
      </c>
      <c r="B9265">
        <v>1352875</v>
      </c>
      <c r="C9265" t="str">
        <f t="shared" si="144"/>
        <v>3. $50K-250K</v>
      </c>
      <c r="D9265" t="s">
        <v>925</v>
      </c>
      <c r="E9265" t="s">
        <v>237</v>
      </c>
      <c r="F9265" t="s">
        <v>670</v>
      </c>
      <c r="G9265" t="s">
        <v>59</v>
      </c>
      <c r="H9265">
        <v>2025</v>
      </c>
    </row>
    <row r="9266" spans="1:8" x14ac:dyDescent="0.2">
      <c r="A9266">
        <v>305976</v>
      </c>
      <c r="B9266">
        <v>494000</v>
      </c>
      <c r="C9266" t="str">
        <f t="shared" si="144"/>
        <v>5. $1M+</v>
      </c>
      <c r="D9266" t="s">
        <v>945</v>
      </c>
      <c r="E9266" t="s">
        <v>99</v>
      </c>
      <c r="F9266" t="s">
        <v>668</v>
      </c>
      <c r="G9266" t="s">
        <v>59</v>
      </c>
      <c r="H9266">
        <v>2025</v>
      </c>
    </row>
    <row r="9267" spans="1:8" x14ac:dyDescent="0.2">
      <c r="A9267">
        <v>305978</v>
      </c>
      <c r="B9267">
        <v>2500000</v>
      </c>
      <c r="C9267" t="str">
        <f t="shared" si="144"/>
        <v>4. $250K-1M</v>
      </c>
      <c r="D9267" t="s">
        <v>2532</v>
      </c>
      <c r="E9267" t="s">
        <v>99</v>
      </c>
      <c r="F9267" t="s">
        <v>668</v>
      </c>
      <c r="G9267" t="s">
        <v>59</v>
      </c>
      <c r="H9267">
        <v>2025</v>
      </c>
    </row>
    <row r="9268" spans="1:8" x14ac:dyDescent="0.2">
      <c r="A9268">
        <v>305980</v>
      </c>
      <c r="B9268">
        <v>250000</v>
      </c>
      <c r="C9268" t="str">
        <f t="shared" si="144"/>
        <v>5. $1M+</v>
      </c>
      <c r="D9268" t="s">
        <v>2533</v>
      </c>
      <c r="E9268" t="s">
        <v>99</v>
      </c>
      <c r="F9268" t="s">
        <v>668</v>
      </c>
      <c r="G9268" t="s">
        <v>59</v>
      </c>
      <c r="H9268">
        <v>2025</v>
      </c>
    </row>
    <row r="9269" spans="1:8" x14ac:dyDescent="0.2">
      <c r="A9269">
        <v>305983</v>
      </c>
      <c r="B9269">
        <v>455000</v>
      </c>
      <c r="C9269" t="str">
        <f t="shared" si="144"/>
        <v>4. $250K-1M</v>
      </c>
      <c r="D9269" t="s">
        <v>797</v>
      </c>
      <c r="E9269" t="s">
        <v>99</v>
      </c>
      <c r="F9269" t="s">
        <v>668</v>
      </c>
      <c r="G9269" t="s">
        <v>59</v>
      </c>
      <c r="H9269">
        <v>2025</v>
      </c>
    </row>
    <row r="9270" spans="1:8" x14ac:dyDescent="0.2">
      <c r="A9270">
        <v>305997</v>
      </c>
      <c r="B9270">
        <v>265500</v>
      </c>
      <c r="C9270" t="str">
        <f t="shared" si="144"/>
        <v>4. $250K-1M</v>
      </c>
      <c r="D9270" t="s">
        <v>787</v>
      </c>
      <c r="E9270" t="s">
        <v>819</v>
      </c>
      <c r="F9270" t="s">
        <v>668</v>
      </c>
      <c r="G9270" t="s">
        <v>59</v>
      </c>
      <c r="H9270">
        <v>2025</v>
      </c>
    </row>
    <row r="9271" spans="1:8" x14ac:dyDescent="0.2">
      <c r="A9271">
        <v>306008</v>
      </c>
      <c r="B9271">
        <v>52500</v>
      </c>
      <c r="C9271" t="str">
        <f t="shared" si="144"/>
        <v>4. $250K-1M</v>
      </c>
      <c r="D9271" t="s">
        <v>948</v>
      </c>
      <c r="E9271" t="s">
        <v>825</v>
      </c>
      <c r="F9271" t="s">
        <v>670</v>
      </c>
      <c r="G9271" t="s">
        <v>59</v>
      </c>
      <c r="H9271">
        <v>2025</v>
      </c>
    </row>
    <row r="9272" spans="1:8" x14ac:dyDescent="0.2">
      <c r="A9272">
        <v>306010</v>
      </c>
      <c r="B9272">
        <v>52500</v>
      </c>
      <c r="C9272" t="str">
        <f t="shared" si="144"/>
        <v>3. $50K-250K</v>
      </c>
      <c r="D9272" t="s">
        <v>950</v>
      </c>
      <c r="E9272" t="s">
        <v>825</v>
      </c>
      <c r="F9272" t="s">
        <v>670</v>
      </c>
      <c r="G9272" t="s">
        <v>59</v>
      </c>
      <c r="H9272">
        <v>2025</v>
      </c>
    </row>
    <row r="9273" spans="1:8" x14ac:dyDescent="0.2">
      <c r="A9273">
        <v>306042</v>
      </c>
      <c r="B9273">
        <v>225000</v>
      </c>
      <c r="C9273" t="str">
        <f t="shared" si="144"/>
        <v>3. $50K-250K</v>
      </c>
      <c r="D9273" t="s">
        <v>2534</v>
      </c>
      <c r="E9273" t="s">
        <v>112</v>
      </c>
      <c r="F9273" t="s">
        <v>668</v>
      </c>
      <c r="G9273" t="s">
        <v>59</v>
      </c>
      <c r="H9273">
        <v>2025</v>
      </c>
    </row>
    <row r="9274" spans="1:8" x14ac:dyDescent="0.2">
      <c r="A9274">
        <v>306071</v>
      </c>
      <c r="B9274">
        <v>413355</v>
      </c>
      <c r="C9274" t="str">
        <f t="shared" si="144"/>
        <v>3. $50K-250K</v>
      </c>
      <c r="D9274" t="s">
        <v>957</v>
      </c>
      <c r="E9274" t="s">
        <v>42</v>
      </c>
      <c r="F9274" t="s">
        <v>670</v>
      </c>
      <c r="G9274" t="s">
        <v>59</v>
      </c>
      <c r="H9274">
        <v>2025</v>
      </c>
    </row>
    <row r="9275" spans="1:8" x14ac:dyDescent="0.2">
      <c r="A9275">
        <v>306114</v>
      </c>
      <c r="B9275">
        <v>109455.7</v>
      </c>
      <c r="C9275" t="str">
        <f t="shared" si="144"/>
        <v>4. $250K-1M</v>
      </c>
      <c r="D9275" t="s">
        <v>1016</v>
      </c>
      <c r="E9275" t="s">
        <v>112</v>
      </c>
      <c r="F9275" t="s">
        <v>668</v>
      </c>
      <c r="G9275" t="s">
        <v>59</v>
      </c>
      <c r="H9275">
        <v>2025</v>
      </c>
    </row>
    <row r="9276" spans="1:8" x14ac:dyDescent="0.2">
      <c r="A9276">
        <v>306120</v>
      </c>
      <c r="B9276">
        <v>536500</v>
      </c>
      <c r="C9276" t="str">
        <f t="shared" si="144"/>
        <v>3. $50K-250K</v>
      </c>
      <c r="D9276" t="s">
        <v>1016</v>
      </c>
      <c r="E9276" t="s">
        <v>112</v>
      </c>
      <c r="F9276" t="s">
        <v>668</v>
      </c>
      <c r="G9276" t="s">
        <v>59</v>
      </c>
      <c r="H9276">
        <v>2025</v>
      </c>
    </row>
    <row r="9277" spans="1:8" x14ac:dyDescent="0.2">
      <c r="A9277">
        <v>306135</v>
      </c>
      <c r="B9277">
        <v>43078</v>
      </c>
      <c r="C9277" t="str">
        <f t="shared" si="144"/>
        <v>4. $250K-1M</v>
      </c>
      <c r="D9277" t="s">
        <v>1063</v>
      </c>
      <c r="E9277" t="s">
        <v>237</v>
      </c>
      <c r="F9277" t="s">
        <v>670</v>
      </c>
      <c r="G9277" t="s">
        <v>59</v>
      </c>
      <c r="H9277">
        <v>2025</v>
      </c>
    </row>
    <row r="9278" spans="1:8" x14ac:dyDescent="0.2">
      <c r="A9278">
        <v>306148</v>
      </c>
      <c r="B9278">
        <v>74236</v>
      </c>
      <c r="C9278" t="str">
        <f t="shared" si="144"/>
        <v>2. $10K-50K</v>
      </c>
      <c r="D9278" t="s">
        <v>881</v>
      </c>
      <c r="E9278" t="s">
        <v>237</v>
      </c>
      <c r="F9278" t="s">
        <v>670</v>
      </c>
      <c r="G9278" t="s">
        <v>59</v>
      </c>
      <c r="H9278">
        <v>2025</v>
      </c>
    </row>
    <row r="9279" spans="1:8" x14ac:dyDescent="0.2">
      <c r="A9279">
        <v>306222</v>
      </c>
      <c r="B9279">
        <v>40078</v>
      </c>
      <c r="C9279" t="str">
        <f t="shared" si="144"/>
        <v>3. $50K-250K</v>
      </c>
      <c r="D9279" t="s">
        <v>1891</v>
      </c>
      <c r="E9279" t="s">
        <v>237</v>
      </c>
      <c r="F9279" t="s">
        <v>670</v>
      </c>
      <c r="G9279" t="s">
        <v>59</v>
      </c>
      <c r="H9279">
        <v>2025</v>
      </c>
    </row>
    <row r="9280" spans="1:8" x14ac:dyDescent="0.2">
      <c r="A9280">
        <v>306223</v>
      </c>
      <c r="B9280">
        <v>40078</v>
      </c>
      <c r="C9280" t="str">
        <f t="shared" si="144"/>
        <v>2. $10K-50K</v>
      </c>
      <c r="D9280" t="s">
        <v>1069</v>
      </c>
      <c r="E9280" t="s">
        <v>237</v>
      </c>
      <c r="F9280" t="s">
        <v>670</v>
      </c>
      <c r="G9280" t="s">
        <v>59</v>
      </c>
      <c r="H9280">
        <v>2025</v>
      </c>
    </row>
    <row r="9281" spans="1:8" x14ac:dyDescent="0.2">
      <c r="A9281">
        <v>306225</v>
      </c>
      <c r="B9281">
        <v>40078</v>
      </c>
      <c r="C9281" t="str">
        <f t="shared" si="144"/>
        <v>2. $10K-50K</v>
      </c>
      <c r="D9281" t="s">
        <v>985</v>
      </c>
      <c r="E9281" t="s">
        <v>237</v>
      </c>
      <c r="F9281" t="s">
        <v>670</v>
      </c>
      <c r="G9281" t="s">
        <v>59</v>
      </c>
      <c r="H9281">
        <v>2025</v>
      </c>
    </row>
    <row r="9282" spans="1:8" x14ac:dyDescent="0.2">
      <c r="A9282">
        <v>306226</v>
      </c>
      <c r="B9282">
        <v>40078</v>
      </c>
      <c r="C9282" t="str">
        <f t="shared" si="144"/>
        <v>2. $10K-50K</v>
      </c>
      <c r="D9282" t="s">
        <v>1546</v>
      </c>
      <c r="E9282" t="s">
        <v>237</v>
      </c>
      <c r="F9282" t="s">
        <v>670</v>
      </c>
      <c r="G9282" t="s">
        <v>59</v>
      </c>
      <c r="H9282">
        <v>2025</v>
      </c>
    </row>
    <row r="9283" spans="1:8" x14ac:dyDescent="0.2">
      <c r="A9283">
        <v>306227</v>
      </c>
      <c r="B9283">
        <v>50000</v>
      </c>
      <c r="C9283" t="str">
        <f t="shared" ref="C9283:C9346" si="145">IF(B9282&lt;10000,"1. Under $10K",IF(B9282&lt;50000,"2. $10K-50K",IF(B9282&lt;250000,"3. $50K-250K",IF(B9282&lt;1000000,"4. $250K-1M","5. $1M+"))))</f>
        <v>2. $10K-50K</v>
      </c>
      <c r="D9283" t="s">
        <v>1437</v>
      </c>
      <c r="E9283" t="s">
        <v>819</v>
      </c>
      <c r="F9283" t="s">
        <v>670</v>
      </c>
      <c r="G9283" t="s">
        <v>59</v>
      </c>
      <c r="H9283">
        <v>2025</v>
      </c>
    </row>
    <row r="9284" spans="1:8" x14ac:dyDescent="0.2">
      <c r="A9284">
        <v>306228</v>
      </c>
      <c r="B9284">
        <v>40078</v>
      </c>
      <c r="C9284" t="str">
        <f t="shared" si="145"/>
        <v>3. $50K-250K</v>
      </c>
      <c r="D9284" t="s">
        <v>957</v>
      </c>
      <c r="E9284" t="s">
        <v>237</v>
      </c>
      <c r="F9284" t="s">
        <v>670</v>
      </c>
      <c r="G9284" t="s">
        <v>59</v>
      </c>
      <c r="H9284">
        <v>2025</v>
      </c>
    </row>
    <row r="9285" spans="1:8" x14ac:dyDescent="0.2">
      <c r="A9285">
        <v>306269</v>
      </c>
      <c r="B9285">
        <v>275000</v>
      </c>
      <c r="C9285" t="str">
        <f t="shared" si="145"/>
        <v>2. $10K-50K</v>
      </c>
      <c r="D9285" t="s">
        <v>686</v>
      </c>
      <c r="E9285" t="s">
        <v>42</v>
      </c>
      <c r="F9285" t="s">
        <v>670</v>
      </c>
      <c r="G9285" t="s">
        <v>59</v>
      </c>
      <c r="H9285">
        <v>2025</v>
      </c>
    </row>
    <row r="9286" spans="1:8" x14ac:dyDescent="0.2">
      <c r="A9286">
        <v>306270</v>
      </c>
      <c r="B9286">
        <v>5032000</v>
      </c>
      <c r="C9286" t="str">
        <f t="shared" si="145"/>
        <v>4. $250K-1M</v>
      </c>
      <c r="D9286" t="s">
        <v>115</v>
      </c>
      <c r="E9286" t="s">
        <v>59</v>
      </c>
      <c r="F9286" t="s">
        <v>25</v>
      </c>
      <c r="G9286" t="s">
        <v>10</v>
      </c>
      <c r="H9286">
        <v>2025</v>
      </c>
    </row>
    <row r="9287" spans="1:8" x14ac:dyDescent="0.2">
      <c r="A9287">
        <v>306274</v>
      </c>
      <c r="B9287">
        <v>90000</v>
      </c>
      <c r="C9287" t="str">
        <f t="shared" si="145"/>
        <v>5. $1M+</v>
      </c>
      <c r="D9287" t="s">
        <v>1534</v>
      </c>
      <c r="E9287" t="s">
        <v>825</v>
      </c>
      <c r="F9287" t="s">
        <v>670</v>
      </c>
      <c r="G9287" t="s">
        <v>59</v>
      </c>
      <c r="H9287">
        <v>2025</v>
      </c>
    </row>
    <row r="9288" spans="1:8" x14ac:dyDescent="0.2">
      <c r="A9288">
        <v>306283</v>
      </c>
      <c r="B9288">
        <v>4738000</v>
      </c>
      <c r="C9288" t="str">
        <f t="shared" si="145"/>
        <v>3. $50K-250K</v>
      </c>
      <c r="D9288" t="s">
        <v>115</v>
      </c>
      <c r="E9288" t="s">
        <v>59</v>
      </c>
      <c r="F9288" t="s">
        <v>25</v>
      </c>
      <c r="G9288" t="s">
        <v>10</v>
      </c>
      <c r="H9288">
        <v>2025</v>
      </c>
    </row>
    <row r="9289" spans="1:8" x14ac:dyDescent="0.2">
      <c r="A9289">
        <v>306286</v>
      </c>
      <c r="B9289">
        <v>4323000</v>
      </c>
      <c r="C9289" t="str">
        <f t="shared" si="145"/>
        <v>5. $1M+</v>
      </c>
      <c r="D9289" t="s">
        <v>115</v>
      </c>
      <c r="E9289" t="s">
        <v>24</v>
      </c>
      <c r="F9289" t="s">
        <v>25</v>
      </c>
      <c r="G9289" t="s">
        <v>10</v>
      </c>
      <c r="H9289">
        <v>2025</v>
      </c>
    </row>
    <row r="9290" spans="1:8" x14ac:dyDescent="0.2">
      <c r="A9290">
        <v>306315</v>
      </c>
      <c r="B9290">
        <v>44600</v>
      </c>
      <c r="C9290" t="str">
        <f t="shared" si="145"/>
        <v>5. $1M+</v>
      </c>
      <c r="D9290" t="s">
        <v>865</v>
      </c>
      <c r="E9290" t="s">
        <v>237</v>
      </c>
      <c r="F9290" t="s">
        <v>670</v>
      </c>
      <c r="G9290" t="s">
        <v>59</v>
      </c>
      <c r="H9290">
        <v>2025</v>
      </c>
    </row>
    <row r="9291" spans="1:8" x14ac:dyDescent="0.2">
      <c r="A9291">
        <v>306318</v>
      </c>
      <c r="B9291">
        <v>80000</v>
      </c>
      <c r="C9291" t="str">
        <f t="shared" si="145"/>
        <v>2. $10K-50K</v>
      </c>
      <c r="D9291" t="s">
        <v>864</v>
      </c>
      <c r="E9291" t="s">
        <v>237</v>
      </c>
      <c r="F9291" t="s">
        <v>670</v>
      </c>
      <c r="G9291" t="s">
        <v>59</v>
      </c>
      <c r="H9291">
        <v>2025</v>
      </c>
    </row>
    <row r="9292" spans="1:8" x14ac:dyDescent="0.2">
      <c r="A9292">
        <v>30633</v>
      </c>
      <c r="B9292">
        <v>1060000</v>
      </c>
      <c r="C9292" t="str">
        <f t="shared" si="145"/>
        <v>3. $50K-250K</v>
      </c>
      <c r="D9292" t="s">
        <v>179</v>
      </c>
      <c r="E9292" t="s">
        <v>42</v>
      </c>
      <c r="F9292" t="s">
        <v>43</v>
      </c>
      <c r="G9292" t="s">
        <v>44</v>
      </c>
      <c r="H9292">
        <v>2023</v>
      </c>
    </row>
    <row r="9293" spans="1:8" x14ac:dyDescent="0.2">
      <c r="A9293">
        <v>306339</v>
      </c>
      <c r="B9293">
        <v>129911</v>
      </c>
      <c r="C9293" t="str">
        <f t="shared" si="145"/>
        <v>5. $1M+</v>
      </c>
      <c r="D9293" t="s">
        <v>944</v>
      </c>
      <c r="E9293" t="s">
        <v>99</v>
      </c>
      <c r="F9293" t="s">
        <v>670</v>
      </c>
      <c r="G9293" t="s">
        <v>59</v>
      </c>
      <c r="H9293">
        <v>2025</v>
      </c>
    </row>
    <row r="9294" spans="1:8" x14ac:dyDescent="0.2">
      <c r="A9294">
        <v>306349</v>
      </c>
      <c r="B9294">
        <v>50000</v>
      </c>
      <c r="C9294" t="str">
        <f t="shared" si="145"/>
        <v>3. $50K-250K</v>
      </c>
      <c r="D9294" t="s">
        <v>966</v>
      </c>
      <c r="E9294" t="s">
        <v>825</v>
      </c>
      <c r="F9294" t="s">
        <v>670</v>
      </c>
      <c r="G9294" t="s">
        <v>59</v>
      </c>
      <c r="H9294">
        <v>2025</v>
      </c>
    </row>
    <row r="9295" spans="1:8" x14ac:dyDescent="0.2">
      <c r="A9295">
        <v>306354</v>
      </c>
      <c r="B9295">
        <v>40302</v>
      </c>
      <c r="C9295" t="str">
        <f t="shared" si="145"/>
        <v>3. $50K-250K</v>
      </c>
      <c r="D9295" t="s">
        <v>946</v>
      </c>
      <c r="E9295" t="s">
        <v>99</v>
      </c>
      <c r="F9295" t="s">
        <v>670</v>
      </c>
      <c r="G9295" t="s">
        <v>59</v>
      </c>
      <c r="H9295">
        <v>2025</v>
      </c>
    </row>
    <row r="9296" spans="1:8" x14ac:dyDescent="0.2">
      <c r="A9296">
        <v>306373</v>
      </c>
      <c r="B9296">
        <v>72770</v>
      </c>
      <c r="C9296" t="str">
        <f t="shared" si="145"/>
        <v>2. $10K-50K</v>
      </c>
      <c r="D9296" t="s">
        <v>1840</v>
      </c>
      <c r="E9296" t="s">
        <v>825</v>
      </c>
      <c r="F9296" t="s">
        <v>670</v>
      </c>
      <c r="G9296" t="s">
        <v>59</v>
      </c>
      <c r="H9296">
        <v>2025</v>
      </c>
    </row>
    <row r="9297" spans="1:8" x14ac:dyDescent="0.2">
      <c r="A9297">
        <v>306454</v>
      </c>
      <c r="B9297">
        <v>156400</v>
      </c>
      <c r="C9297" t="str">
        <f t="shared" si="145"/>
        <v>3. $50K-250K</v>
      </c>
      <c r="D9297" t="s">
        <v>912</v>
      </c>
      <c r="E9297" t="s">
        <v>237</v>
      </c>
      <c r="F9297" t="s">
        <v>670</v>
      </c>
      <c r="G9297" t="s">
        <v>59</v>
      </c>
      <c r="H9297">
        <v>2025</v>
      </c>
    </row>
    <row r="9298" spans="1:8" x14ac:dyDescent="0.2">
      <c r="A9298">
        <v>306603</v>
      </c>
      <c r="B9298">
        <v>52800</v>
      </c>
      <c r="C9298" t="str">
        <f t="shared" si="145"/>
        <v>3. $50K-250K</v>
      </c>
      <c r="D9298" t="s">
        <v>694</v>
      </c>
      <c r="E9298" t="s">
        <v>237</v>
      </c>
      <c r="F9298" t="s">
        <v>670</v>
      </c>
      <c r="G9298" t="s">
        <v>59</v>
      </c>
      <c r="H9298">
        <v>2025</v>
      </c>
    </row>
    <row r="9299" spans="1:8" x14ac:dyDescent="0.2">
      <c r="A9299">
        <v>306676</v>
      </c>
      <c r="B9299">
        <v>40078</v>
      </c>
      <c r="C9299" t="str">
        <f t="shared" si="145"/>
        <v>3. $50K-250K</v>
      </c>
      <c r="D9299" t="s">
        <v>801</v>
      </c>
      <c r="E9299" t="s">
        <v>237</v>
      </c>
      <c r="F9299" t="s">
        <v>670</v>
      </c>
      <c r="G9299" t="s">
        <v>59</v>
      </c>
      <c r="H9299">
        <v>2025</v>
      </c>
    </row>
    <row r="9300" spans="1:8" x14ac:dyDescent="0.2">
      <c r="A9300">
        <v>306677</v>
      </c>
      <c r="B9300">
        <v>40078</v>
      </c>
      <c r="C9300" t="str">
        <f t="shared" si="145"/>
        <v>2. $10K-50K</v>
      </c>
      <c r="D9300" t="s">
        <v>1084</v>
      </c>
      <c r="E9300" t="s">
        <v>237</v>
      </c>
      <c r="F9300" t="s">
        <v>670</v>
      </c>
      <c r="G9300" t="s">
        <v>59</v>
      </c>
      <c r="H9300">
        <v>2025</v>
      </c>
    </row>
    <row r="9301" spans="1:8" x14ac:dyDescent="0.2">
      <c r="A9301">
        <v>306678</v>
      </c>
      <c r="B9301">
        <v>124349</v>
      </c>
      <c r="C9301" t="str">
        <f t="shared" si="145"/>
        <v>2. $10K-50K</v>
      </c>
      <c r="D9301" t="s">
        <v>977</v>
      </c>
      <c r="E9301" t="s">
        <v>237</v>
      </c>
      <c r="F9301" t="s">
        <v>670</v>
      </c>
      <c r="G9301" t="s">
        <v>59</v>
      </c>
      <c r="H9301">
        <v>2025</v>
      </c>
    </row>
    <row r="9302" spans="1:8" x14ac:dyDescent="0.2">
      <c r="A9302">
        <v>306679</v>
      </c>
      <c r="B9302">
        <v>40078</v>
      </c>
      <c r="C9302" t="str">
        <f t="shared" si="145"/>
        <v>3. $50K-250K</v>
      </c>
      <c r="D9302" t="s">
        <v>804</v>
      </c>
      <c r="E9302" t="s">
        <v>237</v>
      </c>
      <c r="F9302" t="s">
        <v>670</v>
      </c>
      <c r="G9302" t="s">
        <v>59</v>
      </c>
      <c r="H9302">
        <v>2025</v>
      </c>
    </row>
    <row r="9303" spans="1:8" x14ac:dyDescent="0.2">
      <c r="A9303">
        <v>306680</v>
      </c>
      <c r="B9303">
        <v>40078</v>
      </c>
      <c r="C9303" t="str">
        <f t="shared" si="145"/>
        <v>2. $10K-50K</v>
      </c>
      <c r="D9303" t="s">
        <v>1360</v>
      </c>
      <c r="E9303" t="s">
        <v>237</v>
      </c>
      <c r="F9303" t="s">
        <v>670</v>
      </c>
      <c r="G9303" t="s">
        <v>59</v>
      </c>
      <c r="H9303">
        <v>2025</v>
      </c>
    </row>
    <row r="9304" spans="1:8" x14ac:dyDescent="0.2">
      <c r="A9304">
        <v>306681</v>
      </c>
      <c r="B9304">
        <v>40078</v>
      </c>
      <c r="C9304" t="str">
        <f t="shared" si="145"/>
        <v>2. $10K-50K</v>
      </c>
      <c r="D9304" t="s">
        <v>1074</v>
      </c>
      <c r="E9304" t="s">
        <v>237</v>
      </c>
      <c r="F9304" t="s">
        <v>670</v>
      </c>
      <c r="G9304" t="s">
        <v>59</v>
      </c>
      <c r="H9304">
        <v>2025</v>
      </c>
    </row>
    <row r="9305" spans="1:8" x14ac:dyDescent="0.2">
      <c r="A9305">
        <v>306682</v>
      </c>
      <c r="B9305">
        <v>12000000</v>
      </c>
      <c r="C9305" t="str">
        <f t="shared" si="145"/>
        <v>2. $10K-50K</v>
      </c>
      <c r="D9305" t="s">
        <v>505</v>
      </c>
      <c r="E9305" t="s">
        <v>28</v>
      </c>
      <c r="F9305" t="s">
        <v>29</v>
      </c>
      <c r="G9305" t="s">
        <v>124</v>
      </c>
      <c r="H9305">
        <v>2025</v>
      </c>
    </row>
    <row r="9306" spans="1:8" x14ac:dyDescent="0.2">
      <c r="A9306">
        <v>306683</v>
      </c>
      <c r="B9306">
        <v>111880</v>
      </c>
      <c r="C9306" t="str">
        <f t="shared" si="145"/>
        <v>5. $1M+</v>
      </c>
      <c r="D9306" t="s">
        <v>817</v>
      </c>
      <c r="E9306" t="s">
        <v>99</v>
      </c>
      <c r="F9306" t="s">
        <v>670</v>
      </c>
      <c r="G9306" t="s">
        <v>59</v>
      </c>
      <c r="H9306">
        <v>2025</v>
      </c>
    </row>
    <row r="9307" spans="1:8" x14ac:dyDescent="0.2">
      <c r="A9307">
        <v>306720</v>
      </c>
      <c r="B9307">
        <v>60000</v>
      </c>
      <c r="C9307" t="str">
        <f t="shared" si="145"/>
        <v>3. $50K-250K</v>
      </c>
      <c r="D9307" t="s">
        <v>882</v>
      </c>
      <c r="E9307" t="s">
        <v>825</v>
      </c>
      <c r="F9307" t="s">
        <v>670</v>
      </c>
      <c r="G9307" t="s">
        <v>59</v>
      </c>
      <c r="H9307">
        <v>2025</v>
      </c>
    </row>
    <row r="9308" spans="1:8" x14ac:dyDescent="0.2">
      <c r="A9308">
        <v>306733</v>
      </c>
      <c r="B9308">
        <v>247999</v>
      </c>
      <c r="C9308" t="str">
        <f t="shared" si="145"/>
        <v>3. $50K-250K</v>
      </c>
      <c r="D9308" t="s">
        <v>694</v>
      </c>
      <c r="E9308" t="s">
        <v>237</v>
      </c>
      <c r="F9308" t="s">
        <v>670</v>
      </c>
      <c r="G9308" t="s">
        <v>59</v>
      </c>
      <c r="H9308">
        <v>2025</v>
      </c>
    </row>
    <row r="9309" spans="1:8" x14ac:dyDescent="0.2">
      <c r="A9309">
        <v>306810</v>
      </c>
      <c r="B9309">
        <v>75000</v>
      </c>
      <c r="C9309" t="str">
        <f t="shared" si="145"/>
        <v>3. $50K-250K</v>
      </c>
      <c r="D9309" t="s">
        <v>822</v>
      </c>
      <c r="E9309" t="s">
        <v>237</v>
      </c>
      <c r="F9309" t="s">
        <v>670</v>
      </c>
      <c r="G9309" t="s">
        <v>59</v>
      </c>
      <c r="H9309">
        <v>2025</v>
      </c>
    </row>
    <row r="9310" spans="1:8" x14ac:dyDescent="0.2">
      <c r="A9310">
        <v>306811</v>
      </c>
      <c r="B9310">
        <v>200000</v>
      </c>
      <c r="C9310" t="str">
        <f t="shared" si="145"/>
        <v>3. $50K-250K</v>
      </c>
      <c r="D9310" t="s">
        <v>1611</v>
      </c>
      <c r="E9310" t="s">
        <v>237</v>
      </c>
      <c r="F9310" t="s">
        <v>670</v>
      </c>
      <c r="G9310" t="s">
        <v>59</v>
      </c>
      <c r="H9310">
        <v>2025</v>
      </c>
    </row>
    <row r="9311" spans="1:8" x14ac:dyDescent="0.2">
      <c r="A9311">
        <v>306812</v>
      </c>
      <c r="B9311">
        <v>200000</v>
      </c>
      <c r="C9311" t="str">
        <f t="shared" si="145"/>
        <v>3. $50K-250K</v>
      </c>
      <c r="D9311" t="s">
        <v>1611</v>
      </c>
      <c r="E9311" t="s">
        <v>237</v>
      </c>
      <c r="F9311" t="s">
        <v>670</v>
      </c>
      <c r="G9311" t="s">
        <v>59</v>
      </c>
      <c r="H9311">
        <v>2025</v>
      </c>
    </row>
    <row r="9312" spans="1:8" x14ac:dyDescent="0.2">
      <c r="A9312">
        <v>306814</v>
      </c>
      <c r="B9312">
        <v>184487.4</v>
      </c>
      <c r="C9312" t="str">
        <f t="shared" si="145"/>
        <v>3. $50K-250K</v>
      </c>
      <c r="D9312" t="s">
        <v>879</v>
      </c>
      <c r="E9312" t="s">
        <v>237</v>
      </c>
      <c r="F9312" t="s">
        <v>670</v>
      </c>
      <c r="G9312" t="s">
        <v>59</v>
      </c>
      <c r="H9312">
        <v>2025</v>
      </c>
    </row>
    <row r="9313" spans="1:8" x14ac:dyDescent="0.2">
      <c r="A9313">
        <v>306815</v>
      </c>
      <c r="B9313">
        <v>492750</v>
      </c>
      <c r="C9313" t="str">
        <f t="shared" si="145"/>
        <v>3. $50K-250K</v>
      </c>
      <c r="D9313" t="s">
        <v>857</v>
      </c>
      <c r="E9313" t="s">
        <v>237</v>
      </c>
      <c r="F9313" t="s">
        <v>670</v>
      </c>
      <c r="G9313" t="s">
        <v>59</v>
      </c>
      <c r="H9313">
        <v>2025</v>
      </c>
    </row>
    <row r="9314" spans="1:8" x14ac:dyDescent="0.2">
      <c r="A9314">
        <v>306816</v>
      </c>
      <c r="B9314">
        <v>666490</v>
      </c>
      <c r="C9314" t="str">
        <f t="shared" si="145"/>
        <v>4. $250K-1M</v>
      </c>
      <c r="D9314" t="s">
        <v>874</v>
      </c>
      <c r="E9314" t="s">
        <v>237</v>
      </c>
      <c r="F9314" t="s">
        <v>670</v>
      </c>
      <c r="G9314" t="s">
        <v>59</v>
      </c>
      <c r="H9314">
        <v>2025</v>
      </c>
    </row>
    <row r="9315" spans="1:8" x14ac:dyDescent="0.2">
      <c r="A9315">
        <v>306817</v>
      </c>
      <c r="B9315">
        <v>106033</v>
      </c>
      <c r="C9315" t="str">
        <f t="shared" si="145"/>
        <v>4. $250K-1M</v>
      </c>
      <c r="D9315" t="s">
        <v>874</v>
      </c>
      <c r="E9315" t="s">
        <v>237</v>
      </c>
      <c r="F9315" t="s">
        <v>670</v>
      </c>
      <c r="G9315" t="s">
        <v>59</v>
      </c>
      <c r="H9315">
        <v>2025</v>
      </c>
    </row>
    <row r="9316" spans="1:8" x14ac:dyDescent="0.2">
      <c r="A9316">
        <v>306818</v>
      </c>
      <c r="B9316">
        <v>50836</v>
      </c>
      <c r="C9316" t="str">
        <f t="shared" si="145"/>
        <v>3. $50K-250K</v>
      </c>
      <c r="D9316" t="s">
        <v>809</v>
      </c>
      <c r="E9316" t="s">
        <v>237</v>
      </c>
      <c r="F9316" t="s">
        <v>670</v>
      </c>
      <c r="G9316" t="s">
        <v>59</v>
      </c>
      <c r="H9316">
        <v>2025</v>
      </c>
    </row>
    <row r="9317" spans="1:8" x14ac:dyDescent="0.2">
      <c r="A9317">
        <v>306819</v>
      </c>
      <c r="B9317">
        <v>150200</v>
      </c>
      <c r="C9317" t="str">
        <f t="shared" si="145"/>
        <v>3. $50K-250K</v>
      </c>
      <c r="D9317" t="s">
        <v>2179</v>
      </c>
      <c r="E9317" t="s">
        <v>237</v>
      </c>
      <c r="F9317" t="s">
        <v>670</v>
      </c>
      <c r="G9317" t="s">
        <v>59</v>
      </c>
      <c r="H9317">
        <v>2025</v>
      </c>
    </row>
    <row r="9318" spans="1:8" x14ac:dyDescent="0.2">
      <c r="A9318">
        <v>306820</v>
      </c>
      <c r="B9318">
        <v>80750</v>
      </c>
      <c r="C9318" t="str">
        <f t="shared" si="145"/>
        <v>3. $50K-250K</v>
      </c>
      <c r="D9318" t="s">
        <v>876</v>
      </c>
      <c r="E9318" t="s">
        <v>237</v>
      </c>
      <c r="F9318" t="s">
        <v>670</v>
      </c>
      <c r="G9318" t="s">
        <v>59</v>
      </c>
      <c r="H9318">
        <v>2025</v>
      </c>
    </row>
    <row r="9319" spans="1:8" x14ac:dyDescent="0.2">
      <c r="A9319">
        <v>306821</v>
      </c>
      <c r="B9319">
        <v>262500</v>
      </c>
      <c r="C9319" t="str">
        <f t="shared" si="145"/>
        <v>3. $50K-250K</v>
      </c>
      <c r="D9319" t="s">
        <v>859</v>
      </c>
      <c r="E9319" t="s">
        <v>237</v>
      </c>
      <c r="F9319" t="s">
        <v>670</v>
      </c>
      <c r="G9319" t="s">
        <v>59</v>
      </c>
      <c r="H9319">
        <v>2025</v>
      </c>
    </row>
    <row r="9320" spans="1:8" x14ac:dyDescent="0.2">
      <c r="A9320">
        <v>306822</v>
      </c>
      <c r="B9320">
        <v>307516</v>
      </c>
      <c r="C9320" t="str">
        <f t="shared" si="145"/>
        <v>4. $250K-1M</v>
      </c>
      <c r="D9320" t="s">
        <v>902</v>
      </c>
      <c r="E9320" t="s">
        <v>237</v>
      </c>
      <c r="F9320" t="s">
        <v>670</v>
      </c>
      <c r="G9320" t="s">
        <v>59</v>
      </c>
      <c r="H9320">
        <v>2025</v>
      </c>
    </row>
    <row r="9321" spans="1:8" x14ac:dyDescent="0.2">
      <c r="A9321">
        <v>306823</v>
      </c>
      <c r="B9321">
        <v>122241</v>
      </c>
      <c r="C9321" t="str">
        <f t="shared" si="145"/>
        <v>4. $250K-1M</v>
      </c>
      <c r="D9321" t="s">
        <v>785</v>
      </c>
      <c r="E9321" t="s">
        <v>237</v>
      </c>
      <c r="F9321" t="s">
        <v>670</v>
      </c>
      <c r="G9321" t="s">
        <v>59</v>
      </c>
      <c r="H9321">
        <v>2025</v>
      </c>
    </row>
    <row r="9322" spans="1:8" x14ac:dyDescent="0.2">
      <c r="A9322">
        <v>306824</v>
      </c>
      <c r="B9322">
        <v>240358.39999999999</v>
      </c>
      <c r="C9322" t="str">
        <f t="shared" si="145"/>
        <v>3. $50K-250K</v>
      </c>
      <c r="D9322" t="s">
        <v>875</v>
      </c>
      <c r="E9322" t="s">
        <v>237</v>
      </c>
      <c r="F9322" t="s">
        <v>670</v>
      </c>
      <c r="G9322" t="s">
        <v>59</v>
      </c>
      <c r="H9322">
        <v>2025</v>
      </c>
    </row>
    <row r="9323" spans="1:8" x14ac:dyDescent="0.2">
      <c r="A9323">
        <v>306825</v>
      </c>
      <c r="B9323">
        <v>175076</v>
      </c>
      <c r="C9323" t="str">
        <f t="shared" si="145"/>
        <v>3. $50K-250K</v>
      </c>
      <c r="D9323" t="s">
        <v>671</v>
      </c>
      <c r="E9323" t="s">
        <v>237</v>
      </c>
      <c r="F9323" t="s">
        <v>670</v>
      </c>
      <c r="G9323" t="s">
        <v>59</v>
      </c>
      <c r="H9323">
        <v>2025</v>
      </c>
    </row>
    <row r="9324" spans="1:8" x14ac:dyDescent="0.2">
      <c r="A9324">
        <v>306826</v>
      </c>
      <c r="B9324">
        <v>513258</v>
      </c>
      <c r="C9324" t="str">
        <f t="shared" si="145"/>
        <v>3. $50K-250K</v>
      </c>
      <c r="D9324" t="s">
        <v>671</v>
      </c>
      <c r="E9324" t="s">
        <v>237</v>
      </c>
      <c r="F9324" t="s">
        <v>670</v>
      </c>
      <c r="G9324" t="s">
        <v>59</v>
      </c>
      <c r="H9324">
        <v>2025</v>
      </c>
    </row>
    <row r="9325" spans="1:8" x14ac:dyDescent="0.2">
      <c r="A9325">
        <v>306827</v>
      </c>
      <c r="B9325">
        <v>24841.7</v>
      </c>
      <c r="C9325" t="str">
        <f t="shared" si="145"/>
        <v>4. $250K-1M</v>
      </c>
      <c r="D9325" t="s">
        <v>876</v>
      </c>
      <c r="E9325" t="s">
        <v>237</v>
      </c>
      <c r="F9325" t="s">
        <v>670</v>
      </c>
      <c r="G9325" t="s">
        <v>59</v>
      </c>
      <c r="H9325">
        <v>2025</v>
      </c>
    </row>
    <row r="9326" spans="1:8" x14ac:dyDescent="0.2">
      <c r="A9326">
        <v>306828</v>
      </c>
      <c r="B9326">
        <v>257066</v>
      </c>
      <c r="C9326" t="str">
        <f t="shared" si="145"/>
        <v>2. $10K-50K</v>
      </c>
      <c r="D9326" t="s">
        <v>875</v>
      </c>
      <c r="E9326" t="s">
        <v>237</v>
      </c>
      <c r="F9326" t="s">
        <v>670</v>
      </c>
      <c r="G9326" t="s">
        <v>59</v>
      </c>
      <c r="H9326">
        <v>2025</v>
      </c>
    </row>
    <row r="9327" spans="1:8" x14ac:dyDescent="0.2">
      <c r="A9327">
        <v>306829</v>
      </c>
      <c r="B9327">
        <v>69000</v>
      </c>
      <c r="C9327" t="str">
        <f t="shared" si="145"/>
        <v>4. $250K-1M</v>
      </c>
      <c r="D9327" t="s">
        <v>1079</v>
      </c>
      <c r="E9327" t="s">
        <v>237</v>
      </c>
      <c r="F9327" t="s">
        <v>670</v>
      </c>
      <c r="G9327" t="s">
        <v>59</v>
      </c>
      <c r="H9327">
        <v>2025</v>
      </c>
    </row>
    <row r="9328" spans="1:8" x14ac:dyDescent="0.2">
      <c r="A9328">
        <v>306830</v>
      </c>
      <c r="B9328">
        <v>72000</v>
      </c>
      <c r="C9328" t="str">
        <f t="shared" si="145"/>
        <v>3. $50K-250K</v>
      </c>
      <c r="D9328" t="s">
        <v>760</v>
      </c>
      <c r="E9328" t="s">
        <v>237</v>
      </c>
      <c r="F9328" t="s">
        <v>670</v>
      </c>
      <c r="G9328" t="s">
        <v>59</v>
      </c>
      <c r="H9328">
        <v>2025</v>
      </c>
    </row>
    <row r="9329" spans="1:8" x14ac:dyDescent="0.2">
      <c r="A9329">
        <v>306831</v>
      </c>
      <c r="B9329">
        <v>60000</v>
      </c>
      <c r="C9329" t="str">
        <f t="shared" si="145"/>
        <v>3. $50K-250K</v>
      </c>
      <c r="D9329" t="s">
        <v>879</v>
      </c>
      <c r="E9329" t="s">
        <v>237</v>
      </c>
      <c r="F9329" t="s">
        <v>670</v>
      </c>
      <c r="G9329" t="s">
        <v>59</v>
      </c>
      <c r="H9329">
        <v>2025</v>
      </c>
    </row>
    <row r="9330" spans="1:8" x14ac:dyDescent="0.2">
      <c r="A9330">
        <v>306919</v>
      </c>
      <c r="B9330">
        <v>247999</v>
      </c>
      <c r="C9330" t="str">
        <f t="shared" si="145"/>
        <v>3. $50K-250K</v>
      </c>
      <c r="D9330" t="s">
        <v>908</v>
      </c>
      <c r="E9330" t="s">
        <v>237</v>
      </c>
      <c r="F9330" t="s">
        <v>670</v>
      </c>
      <c r="G9330" t="s">
        <v>59</v>
      </c>
      <c r="H9330">
        <v>2025</v>
      </c>
    </row>
    <row r="9331" spans="1:8" x14ac:dyDescent="0.2">
      <c r="A9331">
        <v>307004</v>
      </c>
      <c r="B9331">
        <v>48789</v>
      </c>
      <c r="C9331" t="str">
        <f t="shared" si="145"/>
        <v>3. $50K-250K</v>
      </c>
      <c r="D9331" t="s">
        <v>903</v>
      </c>
      <c r="E9331" t="s">
        <v>237</v>
      </c>
      <c r="F9331" t="s">
        <v>670</v>
      </c>
      <c r="G9331" t="s">
        <v>59</v>
      </c>
      <c r="H9331">
        <v>2025</v>
      </c>
    </row>
    <row r="9332" spans="1:8" x14ac:dyDescent="0.2">
      <c r="A9332">
        <v>307008</v>
      </c>
      <c r="B9332">
        <v>216959</v>
      </c>
      <c r="C9332" t="str">
        <f t="shared" si="145"/>
        <v>2. $10K-50K</v>
      </c>
      <c r="D9332" t="s">
        <v>871</v>
      </c>
      <c r="E9332" t="s">
        <v>237</v>
      </c>
      <c r="F9332" t="s">
        <v>670</v>
      </c>
      <c r="G9332" t="s">
        <v>59</v>
      </c>
      <c r="H9332">
        <v>2025</v>
      </c>
    </row>
    <row r="9333" spans="1:8" x14ac:dyDescent="0.2">
      <c r="A9333">
        <v>307013</v>
      </c>
      <c r="B9333">
        <v>52800</v>
      </c>
      <c r="C9333" t="str">
        <f t="shared" si="145"/>
        <v>3. $50K-250K</v>
      </c>
      <c r="D9333" t="s">
        <v>907</v>
      </c>
      <c r="E9333" t="s">
        <v>237</v>
      </c>
      <c r="F9333" t="s">
        <v>670</v>
      </c>
      <c r="G9333" t="s">
        <v>59</v>
      </c>
      <c r="H9333">
        <v>2025</v>
      </c>
    </row>
    <row r="9334" spans="1:8" x14ac:dyDescent="0.2">
      <c r="A9334">
        <v>307023</v>
      </c>
      <c r="B9334">
        <v>1000000</v>
      </c>
      <c r="C9334" t="str">
        <f t="shared" si="145"/>
        <v>3. $50K-250K</v>
      </c>
      <c r="D9334" t="s">
        <v>1092</v>
      </c>
      <c r="E9334" t="s">
        <v>237</v>
      </c>
      <c r="F9334" t="s">
        <v>670</v>
      </c>
      <c r="G9334" t="s">
        <v>59</v>
      </c>
      <c r="H9334">
        <v>2025</v>
      </c>
    </row>
    <row r="9335" spans="1:8" x14ac:dyDescent="0.2">
      <c r="A9335">
        <v>307052</v>
      </c>
      <c r="B9335">
        <v>29200</v>
      </c>
      <c r="C9335" t="str">
        <f t="shared" si="145"/>
        <v>5. $1M+</v>
      </c>
      <c r="D9335" t="s">
        <v>869</v>
      </c>
      <c r="E9335" t="s">
        <v>237</v>
      </c>
      <c r="F9335" t="s">
        <v>670</v>
      </c>
      <c r="G9335" t="s">
        <v>59</v>
      </c>
      <c r="H9335">
        <v>2025</v>
      </c>
    </row>
    <row r="9336" spans="1:8" x14ac:dyDescent="0.2">
      <c r="A9336">
        <v>307065</v>
      </c>
      <c r="B9336">
        <v>254244.8</v>
      </c>
      <c r="C9336" t="str">
        <f t="shared" si="145"/>
        <v>2. $10K-50K</v>
      </c>
      <c r="D9336" t="s">
        <v>230</v>
      </c>
      <c r="E9336" t="s">
        <v>67</v>
      </c>
      <c r="F9336" t="s">
        <v>231</v>
      </c>
      <c r="G9336" t="s">
        <v>232</v>
      </c>
      <c r="H9336">
        <v>2025</v>
      </c>
    </row>
    <row r="9337" spans="1:8" x14ac:dyDescent="0.2">
      <c r="A9337">
        <v>307066</v>
      </c>
      <c r="B9337">
        <v>111247</v>
      </c>
      <c r="C9337" t="str">
        <f t="shared" si="145"/>
        <v>4. $250K-1M</v>
      </c>
      <c r="D9337" t="s">
        <v>945</v>
      </c>
      <c r="E9337" t="s">
        <v>99</v>
      </c>
      <c r="F9337" t="s">
        <v>670</v>
      </c>
      <c r="G9337" t="s">
        <v>59</v>
      </c>
      <c r="H9337">
        <v>2025</v>
      </c>
    </row>
    <row r="9338" spans="1:8" x14ac:dyDescent="0.2">
      <c r="A9338">
        <v>307075</v>
      </c>
      <c r="B9338">
        <v>250000</v>
      </c>
      <c r="C9338" t="str">
        <f t="shared" si="145"/>
        <v>3. $50K-250K</v>
      </c>
      <c r="D9338" t="s">
        <v>800</v>
      </c>
      <c r="E9338" t="s">
        <v>237</v>
      </c>
      <c r="F9338" t="s">
        <v>670</v>
      </c>
      <c r="G9338" t="s">
        <v>59</v>
      </c>
      <c r="H9338">
        <v>2025</v>
      </c>
    </row>
    <row r="9339" spans="1:8" x14ac:dyDescent="0.2">
      <c r="A9339">
        <v>307076</v>
      </c>
      <c r="B9339">
        <v>333000</v>
      </c>
      <c r="C9339" t="str">
        <f t="shared" si="145"/>
        <v>4. $250K-1M</v>
      </c>
      <c r="D9339" t="s">
        <v>800</v>
      </c>
      <c r="E9339" t="s">
        <v>237</v>
      </c>
      <c r="F9339" t="s">
        <v>670</v>
      </c>
      <c r="G9339" t="s">
        <v>59</v>
      </c>
      <c r="H9339">
        <v>2025</v>
      </c>
    </row>
    <row r="9340" spans="1:8" x14ac:dyDescent="0.2">
      <c r="A9340">
        <v>307284</v>
      </c>
      <c r="B9340">
        <v>15650617</v>
      </c>
      <c r="C9340" t="str">
        <f t="shared" si="145"/>
        <v>4. $250K-1M</v>
      </c>
      <c r="D9340" t="s">
        <v>84</v>
      </c>
      <c r="E9340" t="s">
        <v>28</v>
      </c>
      <c r="F9340" t="s">
        <v>85</v>
      </c>
      <c r="G9340" t="s">
        <v>10</v>
      </c>
      <c r="H9340">
        <v>2025</v>
      </c>
    </row>
    <row r="9341" spans="1:8" x14ac:dyDescent="0.2">
      <c r="A9341">
        <v>307319</v>
      </c>
      <c r="B9341">
        <v>203000</v>
      </c>
      <c r="C9341" t="str">
        <f t="shared" si="145"/>
        <v>5. $1M+</v>
      </c>
      <c r="D9341" t="s">
        <v>711</v>
      </c>
      <c r="E9341" t="s">
        <v>237</v>
      </c>
      <c r="F9341" t="s">
        <v>670</v>
      </c>
      <c r="G9341" t="s">
        <v>59</v>
      </c>
      <c r="H9341">
        <v>2025</v>
      </c>
    </row>
    <row r="9342" spans="1:8" x14ac:dyDescent="0.2">
      <c r="A9342">
        <v>307407</v>
      </c>
      <c r="B9342">
        <v>250000</v>
      </c>
      <c r="C9342" t="str">
        <f t="shared" si="145"/>
        <v>3. $50K-250K</v>
      </c>
      <c r="D9342" t="s">
        <v>999</v>
      </c>
      <c r="E9342" t="s">
        <v>42</v>
      </c>
      <c r="F9342" t="s">
        <v>670</v>
      </c>
      <c r="G9342" t="s">
        <v>59</v>
      </c>
      <c r="H9342">
        <v>2025</v>
      </c>
    </row>
    <row r="9343" spans="1:8" x14ac:dyDescent="0.2">
      <c r="A9343">
        <v>307408</v>
      </c>
      <c r="B9343">
        <v>250000</v>
      </c>
      <c r="C9343" t="str">
        <f t="shared" si="145"/>
        <v>4. $250K-1M</v>
      </c>
      <c r="D9343" t="s">
        <v>791</v>
      </c>
      <c r="E9343" t="s">
        <v>42</v>
      </c>
      <c r="F9343" t="s">
        <v>670</v>
      </c>
      <c r="G9343" t="s">
        <v>59</v>
      </c>
      <c r="H9343">
        <v>2025</v>
      </c>
    </row>
    <row r="9344" spans="1:8" x14ac:dyDescent="0.2">
      <c r="A9344">
        <v>307410</v>
      </c>
      <c r="B9344">
        <v>1647100</v>
      </c>
      <c r="C9344" t="str">
        <f t="shared" si="145"/>
        <v>4. $250K-1M</v>
      </c>
      <c r="D9344" t="s">
        <v>2155</v>
      </c>
      <c r="E9344" t="s">
        <v>237</v>
      </c>
      <c r="F9344" t="s">
        <v>670</v>
      </c>
      <c r="G9344" t="s">
        <v>59</v>
      </c>
      <c r="H9344">
        <v>2025</v>
      </c>
    </row>
    <row r="9345" spans="1:8" x14ac:dyDescent="0.2">
      <c r="A9345">
        <v>307411</v>
      </c>
      <c r="B9345">
        <v>275000</v>
      </c>
      <c r="C9345" t="str">
        <f t="shared" si="145"/>
        <v>5. $1M+</v>
      </c>
      <c r="D9345" t="s">
        <v>688</v>
      </c>
      <c r="E9345" t="s">
        <v>42</v>
      </c>
      <c r="F9345" t="s">
        <v>670</v>
      </c>
      <c r="G9345" t="s">
        <v>59</v>
      </c>
      <c r="H9345">
        <v>2025</v>
      </c>
    </row>
    <row r="9346" spans="1:8" x14ac:dyDescent="0.2">
      <c r="A9346">
        <v>307412</v>
      </c>
      <c r="B9346">
        <v>50000</v>
      </c>
      <c r="C9346" t="str">
        <f t="shared" si="145"/>
        <v>4. $250K-1M</v>
      </c>
      <c r="D9346" t="s">
        <v>1454</v>
      </c>
      <c r="E9346" t="s">
        <v>819</v>
      </c>
      <c r="F9346" t="s">
        <v>670</v>
      </c>
      <c r="G9346" t="s">
        <v>59</v>
      </c>
      <c r="H9346">
        <v>2025</v>
      </c>
    </row>
    <row r="9347" spans="1:8" x14ac:dyDescent="0.2">
      <c r="A9347">
        <v>307413</v>
      </c>
      <c r="B9347">
        <v>250000</v>
      </c>
      <c r="C9347" t="str">
        <f t="shared" ref="C9347:C9410" si="146">IF(B9346&lt;10000,"1. Under $10K",IF(B9346&lt;50000,"2. $10K-50K",IF(B9346&lt;250000,"3. $50K-250K",IF(B9346&lt;1000000,"4. $250K-1M","5. $1M+"))))</f>
        <v>3. $50K-250K</v>
      </c>
      <c r="D9347" t="s">
        <v>671</v>
      </c>
      <c r="E9347" t="s">
        <v>42</v>
      </c>
      <c r="F9347" t="s">
        <v>670</v>
      </c>
      <c r="G9347" t="s">
        <v>59</v>
      </c>
      <c r="H9347">
        <v>2025</v>
      </c>
    </row>
    <row r="9348" spans="1:8" x14ac:dyDescent="0.2">
      <c r="A9348">
        <v>307414</v>
      </c>
      <c r="B9348">
        <v>249500</v>
      </c>
      <c r="C9348" t="str">
        <f t="shared" si="146"/>
        <v>4. $250K-1M</v>
      </c>
      <c r="D9348" t="s">
        <v>2535</v>
      </c>
      <c r="E9348" t="s">
        <v>42</v>
      </c>
      <c r="F9348" t="s">
        <v>670</v>
      </c>
      <c r="G9348" t="s">
        <v>59</v>
      </c>
      <c r="H9348">
        <v>2025</v>
      </c>
    </row>
    <row r="9349" spans="1:8" x14ac:dyDescent="0.2">
      <c r="A9349">
        <v>307415</v>
      </c>
      <c r="B9349">
        <v>400000</v>
      </c>
      <c r="C9349" t="str">
        <f t="shared" si="146"/>
        <v>3. $50K-250K</v>
      </c>
      <c r="D9349" t="s">
        <v>1174</v>
      </c>
      <c r="E9349" t="s">
        <v>42</v>
      </c>
      <c r="F9349" t="s">
        <v>670</v>
      </c>
      <c r="G9349" t="s">
        <v>59</v>
      </c>
      <c r="H9349">
        <v>2025</v>
      </c>
    </row>
    <row r="9350" spans="1:8" x14ac:dyDescent="0.2">
      <c r="A9350">
        <v>307423</v>
      </c>
      <c r="B9350">
        <v>3186000</v>
      </c>
      <c r="C9350" t="str">
        <f t="shared" si="146"/>
        <v>4. $250K-1M</v>
      </c>
      <c r="D9350" t="s">
        <v>787</v>
      </c>
      <c r="E9350" t="s">
        <v>819</v>
      </c>
      <c r="F9350" t="s">
        <v>668</v>
      </c>
      <c r="G9350" t="s">
        <v>59</v>
      </c>
      <c r="H9350">
        <v>2025</v>
      </c>
    </row>
    <row r="9351" spans="1:8" x14ac:dyDescent="0.2">
      <c r="A9351">
        <v>307424</v>
      </c>
      <c r="B9351">
        <v>67000</v>
      </c>
      <c r="C9351" t="str">
        <f t="shared" si="146"/>
        <v>5. $1M+</v>
      </c>
      <c r="D9351" t="s">
        <v>804</v>
      </c>
      <c r="E9351" t="s">
        <v>819</v>
      </c>
      <c r="F9351" t="s">
        <v>670</v>
      </c>
      <c r="G9351" t="s">
        <v>59</v>
      </c>
      <c r="H9351">
        <v>2025</v>
      </c>
    </row>
    <row r="9352" spans="1:8" x14ac:dyDescent="0.2">
      <c r="A9352">
        <v>307433</v>
      </c>
      <c r="B9352">
        <v>4584419.8</v>
      </c>
      <c r="C9352" t="str">
        <f t="shared" si="146"/>
        <v>3. $50K-250K</v>
      </c>
      <c r="D9352" t="s">
        <v>146</v>
      </c>
      <c r="E9352" t="s">
        <v>28</v>
      </c>
      <c r="F9352" t="s">
        <v>85</v>
      </c>
      <c r="G9352" t="s">
        <v>10</v>
      </c>
      <c r="H9352">
        <v>2025</v>
      </c>
    </row>
    <row r="9353" spans="1:8" x14ac:dyDescent="0.2">
      <c r="A9353">
        <v>307434</v>
      </c>
      <c r="B9353">
        <v>97400</v>
      </c>
      <c r="C9353" t="str">
        <f t="shared" si="146"/>
        <v>5. $1M+</v>
      </c>
      <c r="D9353" t="s">
        <v>977</v>
      </c>
      <c r="E9353" t="s">
        <v>825</v>
      </c>
      <c r="F9353" t="s">
        <v>670</v>
      </c>
      <c r="G9353" t="s">
        <v>59</v>
      </c>
      <c r="H9353">
        <v>2025</v>
      </c>
    </row>
    <row r="9354" spans="1:8" x14ac:dyDescent="0.2">
      <c r="A9354">
        <v>307435</v>
      </c>
      <c r="B9354">
        <v>43750</v>
      </c>
      <c r="C9354" t="str">
        <f t="shared" si="146"/>
        <v>3. $50K-250K</v>
      </c>
      <c r="D9354" t="s">
        <v>865</v>
      </c>
      <c r="E9354" t="s">
        <v>237</v>
      </c>
      <c r="F9354" t="s">
        <v>670</v>
      </c>
      <c r="G9354" t="s">
        <v>59</v>
      </c>
      <c r="H9354">
        <v>2025</v>
      </c>
    </row>
    <row r="9355" spans="1:8" x14ac:dyDescent="0.2">
      <c r="A9355">
        <v>307486</v>
      </c>
      <c r="B9355">
        <v>60500</v>
      </c>
      <c r="C9355" t="str">
        <f t="shared" si="146"/>
        <v>2. $10K-50K</v>
      </c>
      <c r="D9355" t="s">
        <v>885</v>
      </c>
      <c r="E9355" t="s">
        <v>237</v>
      </c>
      <c r="F9355" t="s">
        <v>670</v>
      </c>
      <c r="G9355" t="s">
        <v>59</v>
      </c>
      <c r="H9355">
        <v>2025</v>
      </c>
    </row>
    <row r="9356" spans="1:8" x14ac:dyDescent="0.2">
      <c r="A9356">
        <v>307568</v>
      </c>
      <c r="B9356">
        <v>7527</v>
      </c>
      <c r="C9356" t="str">
        <f t="shared" si="146"/>
        <v>3. $50K-250K</v>
      </c>
      <c r="D9356" t="s">
        <v>869</v>
      </c>
      <c r="E9356" t="s">
        <v>237</v>
      </c>
      <c r="F9356" t="s">
        <v>670</v>
      </c>
      <c r="G9356" t="s">
        <v>59</v>
      </c>
      <c r="H9356">
        <v>2025</v>
      </c>
    </row>
    <row r="9357" spans="1:8" x14ac:dyDescent="0.2">
      <c r="A9357">
        <v>307618</v>
      </c>
      <c r="B9357">
        <v>29064</v>
      </c>
      <c r="C9357" t="str">
        <f t="shared" si="146"/>
        <v>1. Under $10K</v>
      </c>
      <c r="D9357" t="s">
        <v>807</v>
      </c>
      <c r="E9357" t="s">
        <v>237</v>
      </c>
      <c r="F9357" t="s">
        <v>670</v>
      </c>
      <c r="G9357" t="s">
        <v>59</v>
      </c>
      <c r="H9357">
        <v>2025</v>
      </c>
    </row>
    <row r="9358" spans="1:8" x14ac:dyDescent="0.2">
      <c r="A9358">
        <v>307619</v>
      </c>
      <c r="B9358">
        <v>151975.9</v>
      </c>
      <c r="C9358" t="str">
        <f t="shared" si="146"/>
        <v>2. $10K-50K</v>
      </c>
      <c r="D9358" t="s">
        <v>507</v>
      </c>
      <c r="E9358" t="s">
        <v>237</v>
      </c>
      <c r="F9358" t="s">
        <v>670</v>
      </c>
      <c r="G9358" t="s">
        <v>59</v>
      </c>
      <c r="H9358">
        <v>2025</v>
      </c>
    </row>
    <row r="9359" spans="1:8" x14ac:dyDescent="0.2">
      <c r="A9359">
        <v>307620</v>
      </c>
      <c r="B9359">
        <v>50000</v>
      </c>
      <c r="C9359" t="str">
        <f t="shared" si="146"/>
        <v>3. $50K-250K</v>
      </c>
      <c r="D9359" t="s">
        <v>869</v>
      </c>
      <c r="E9359" t="s">
        <v>237</v>
      </c>
      <c r="F9359" t="s">
        <v>670</v>
      </c>
      <c r="G9359" t="s">
        <v>59</v>
      </c>
      <c r="H9359">
        <v>2025</v>
      </c>
    </row>
    <row r="9360" spans="1:8" x14ac:dyDescent="0.2">
      <c r="A9360">
        <v>307621</v>
      </c>
      <c r="B9360">
        <v>222000</v>
      </c>
      <c r="C9360" t="str">
        <f t="shared" si="146"/>
        <v>3. $50K-250K</v>
      </c>
      <c r="D9360" t="s">
        <v>749</v>
      </c>
      <c r="E9360" t="s">
        <v>237</v>
      </c>
      <c r="F9360" t="s">
        <v>670</v>
      </c>
      <c r="G9360" t="s">
        <v>59</v>
      </c>
      <c r="H9360">
        <v>2025</v>
      </c>
    </row>
    <row r="9361" spans="1:8" x14ac:dyDescent="0.2">
      <c r="A9361">
        <v>307622</v>
      </c>
      <c r="B9361">
        <v>21605</v>
      </c>
      <c r="C9361" t="str">
        <f t="shared" si="146"/>
        <v>3. $50K-250K</v>
      </c>
      <c r="D9361" t="s">
        <v>782</v>
      </c>
      <c r="E9361" t="s">
        <v>237</v>
      </c>
      <c r="F9361" t="s">
        <v>670</v>
      </c>
      <c r="G9361" t="s">
        <v>59</v>
      </c>
      <c r="H9361">
        <v>2025</v>
      </c>
    </row>
    <row r="9362" spans="1:8" x14ac:dyDescent="0.2">
      <c r="A9362">
        <v>307624</v>
      </c>
      <c r="B9362">
        <v>222000</v>
      </c>
      <c r="C9362" t="str">
        <f t="shared" si="146"/>
        <v>2. $10K-50K</v>
      </c>
      <c r="D9362" t="s">
        <v>749</v>
      </c>
      <c r="E9362" t="s">
        <v>237</v>
      </c>
      <c r="F9362" t="s">
        <v>670</v>
      </c>
      <c r="G9362" t="s">
        <v>59</v>
      </c>
      <c r="H9362">
        <v>2025</v>
      </c>
    </row>
    <row r="9363" spans="1:8" x14ac:dyDescent="0.2">
      <c r="A9363">
        <v>307625</v>
      </c>
      <c r="B9363">
        <v>109645</v>
      </c>
      <c r="C9363" t="str">
        <f t="shared" si="146"/>
        <v>3. $50K-250K</v>
      </c>
      <c r="D9363" t="s">
        <v>869</v>
      </c>
      <c r="E9363" t="s">
        <v>237</v>
      </c>
      <c r="F9363" t="s">
        <v>670</v>
      </c>
      <c r="G9363" t="s">
        <v>59</v>
      </c>
      <c r="H9363">
        <v>2025</v>
      </c>
    </row>
    <row r="9364" spans="1:8" x14ac:dyDescent="0.2">
      <c r="A9364">
        <v>307626</v>
      </c>
      <c r="B9364">
        <v>178063.4</v>
      </c>
      <c r="C9364" t="str">
        <f t="shared" si="146"/>
        <v>3. $50K-250K</v>
      </c>
      <c r="D9364" t="s">
        <v>785</v>
      </c>
      <c r="E9364" t="s">
        <v>237</v>
      </c>
      <c r="F9364" t="s">
        <v>670</v>
      </c>
      <c r="G9364" t="s">
        <v>59</v>
      </c>
      <c r="H9364">
        <v>2025</v>
      </c>
    </row>
    <row r="9365" spans="1:8" x14ac:dyDescent="0.2">
      <c r="A9365">
        <v>307627</v>
      </c>
      <c r="B9365">
        <v>222000</v>
      </c>
      <c r="C9365" t="str">
        <f t="shared" si="146"/>
        <v>3. $50K-250K</v>
      </c>
      <c r="D9365" t="s">
        <v>2115</v>
      </c>
      <c r="E9365" t="s">
        <v>237</v>
      </c>
      <c r="F9365" t="s">
        <v>670</v>
      </c>
      <c r="G9365" t="s">
        <v>59</v>
      </c>
      <c r="H9365">
        <v>2025</v>
      </c>
    </row>
    <row r="9366" spans="1:8" x14ac:dyDescent="0.2">
      <c r="A9366">
        <v>307628</v>
      </c>
      <c r="B9366">
        <v>202570</v>
      </c>
      <c r="C9366" t="str">
        <f t="shared" si="146"/>
        <v>3. $50K-250K</v>
      </c>
      <c r="D9366" t="s">
        <v>601</v>
      </c>
      <c r="E9366" t="s">
        <v>237</v>
      </c>
      <c r="F9366" t="s">
        <v>670</v>
      </c>
      <c r="G9366" t="s">
        <v>59</v>
      </c>
      <c r="H9366">
        <v>2025</v>
      </c>
    </row>
    <row r="9367" spans="1:8" x14ac:dyDescent="0.2">
      <c r="A9367">
        <v>307629</v>
      </c>
      <c r="B9367">
        <v>5500</v>
      </c>
      <c r="C9367" t="str">
        <f t="shared" si="146"/>
        <v>3. $50K-250K</v>
      </c>
      <c r="D9367" t="s">
        <v>794</v>
      </c>
      <c r="E9367" t="s">
        <v>237</v>
      </c>
      <c r="F9367" t="s">
        <v>670</v>
      </c>
      <c r="G9367" t="s">
        <v>59</v>
      </c>
      <c r="H9367">
        <v>2025</v>
      </c>
    </row>
    <row r="9368" spans="1:8" x14ac:dyDescent="0.2">
      <c r="A9368">
        <v>307630</v>
      </c>
      <c r="B9368">
        <v>108900</v>
      </c>
      <c r="C9368" t="str">
        <f t="shared" si="146"/>
        <v>1. Under $10K</v>
      </c>
      <c r="D9368" t="s">
        <v>872</v>
      </c>
      <c r="E9368" t="s">
        <v>237</v>
      </c>
      <c r="F9368" t="s">
        <v>670</v>
      </c>
      <c r="G9368" t="s">
        <v>59</v>
      </c>
      <c r="H9368">
        <v>2025</v>
      </c>
    </row>
    <row r="9369" spans="1:8" x14ac:dyDescent="0.2">
      <c r="A9369">
        <v>307631</v>
      </c>
      <c r="B9369">
        <v>620000</v>
      </c>
      <c r="C9369" t="str">
        <f t="shared" si="146"/>
        <v>3. $50K-250K</v>
      </c>
      <c r="D9369" t="s">
        <v>936</v>
      </c>
      <c r="E9369" t="s">
        <v>237</v>
      </c>
      <c r="F9369" t="s">
        <v>670</v>
      </c>
      <c r="G9369" t="s">
        <v>59</v>
      </c>
      <c r="H9369">
        <v>2025</v>
      </c>
    </row>
    <row r="9370" spans="1:8" x14ac:dyDescent="0.2">
      <c r="A9370">
        <v>307632</v>
      </c>
      <c r="B9370">
        <v>138000</v>
      </c>
      <c r="C9370" t="str">
        <f t="shared" si="146"/>
        <v>4. $250K-1M</v>
      </c>
      <c r="D9370" t="s">
        <v>1079</v>
      </c>
      <c r="E9370" t="s">
        <v>237</v>
      </c>
      <c r="F9370" t="s">
        <v>670</v>
      </c>
      <c r="G9370" t="s">
        <v>59</v>
      </c>
      <c r="H9370">
        <v>2025</v>
      </c>
    </row>
    <row r="9371" spans="1:8" x14ac:dyDescent="0.2">
      <c r="A9371">
        <v>307633</v>
      </c>
      <c r="B9371">
        <v>1135902</v>
      </c>
      <c r="C9371" t="str">
        <f t="shared" si="146"/>
        <v>3. $50K-250K</v>
      </c>
      <c r="D9371" t="s">
        <v>671</v>
      </c>
      <c r="E9371" t="s">
        <v>237</v>
      </c>
      <c r="F9371" t="s">
        <v>670</v>
      </c>
      <c r="G9371" t="s">
        <v>59</v>
      </c>
      <c r="H9371">
        <v>2025</v>
      </c>
    </row>
    <row r="9372" spans="1:8" x14ac:dyDescent="0.2">
      <c r="A9372">
        <v>307634</v>
      </c>
      <c r="B9372">
        <v>226800</v>
      </c>
      <c r="C9372" t="str">
        <f t="shared" si="146"/>
        <v>5. $1M+</v>
      </c>
      <c r="D9372" t="s">
        <v>832</v>
      </c>
      <c r="E9372" t="s">
        <v>237</v>
      </c>
      <c r="F9372" t="s">
        <v>670</v>
      </c>
      <c r="G9372" t="s">
        <v>59</v>
      </c>
      <c r="H9372">
        <v>2025</v>
      </c>
    </row>
    <row r="9373" spans="1:8" x14ac:dyDescent="0.2">
      <c r="A9373">
        <v>307638</v>
      </c>
      <c r="B9373">
        <v>2914854</v>
      </c>
      <c r="C9373" t="str">
        <f t="shared" si="146"/>
        <v>3. $50K-250K</v>
      </c>
      <c r="D9373" t="s">
        <v>146</v>
      </c>
      <c r="E9373" t="s">
        <v>8</v>
      </c>
      <c r="F9373" t="s">
        <v>9</v>
      </c>
      <c r="G9373" t="s">
        <v>10</v>
      </c>
      <c r="H9373">
        <v>2025</v>
      </c>
    </row>
    <row r="9374" spans="1:8" x14ac:dyDescent="0.2">
      <c r="A9374">
        <v>307662</v>
      </c>
      <c r="B9374">
        <v>108000</v>
      </c>
      <c r="C9374" t="str">
        <f t="shared" si="146"/>
        <v>5. $1M+</v>
      </c>
      <c r="D9374" t="s">
        <v>832</v>
      </c>
      <c r="E9374" t="s">
        <v>237</v>
      </c>
      <c r="F9374" t="s">
        <v>670</v>
      </c>
      <c r="G9374" t="s">
        <v>59</v>
      </c>
      <c r="H9374">
        <v>2025</v>
      </c>
    </row>
    <row r="9375" spans="1:8" x14ac:dyDescent="0.2">
      <c r="A9375">
        <v>307679</v>
      </c>
      <c r="B9375">
        <v>1975919.1</v>
      </c>
      <c r="C9375" t="str">
        <f t="shared" si="146"/>
        <v>3. $50K-250K</v>
      </c>
      <c r="D9375" t="s">
        <v>852</v>
      </c>
      <c r="E9375" t="s">
        <v>237</v>
      </c>
      <c r="F9375" t="s">
        <v>670</v>
      </c>
      <c r="G9375" t="s">
        <v>59</v>
      </c>
      <c r="H9375">
        <v>2025</v>
      </c>
    </row>
    <row r="9376" spans="1:8" x14ac:dyDescent="0.2">
      <c r="A9376">
        <v>307686</v>
      </c>
      <c r="B9376">
        <v>120000</v>
      </c>
      <c r="C9376" t="str">
        <f t="shared" si="146"/>
        <v>5. $1M+</v>
      </c>
      <c r="D9376" t="s">
        <v>882</v>
      </c>
      <c r="E9376" t="s">
        <v>825</v>
      </c>
      <c r="F9376" t="s">
        <v>670</v>
      </c>
      <c r="G9376" t="s">
        <v>59</v>
      </c>
      <c r="H9376">
        <v>2025</v>
      </c>
    </row>
    <row r="9377" spans="1:8" x14ac:dyDescent="0.2">
      <c r="A9377">
        <v>307687</v>
      </c>
      <c r="B9377">
        <v>70937</v>
      </c>
      <c r="C9377" t="str">
        <f t="shared" si="146"/>
        <v>3. $50K-250K</v>
      </c>
      <c r="D9377" t="s">
        <v>942</v>
      </c>
      <c r="E9377" t="s">
        <v>99</v>
      </c>
      <c r="F9377" t="s">
        <v>670</v>
      </c>
      <c r="G9377" t="s">
        <v>59</v>
      </c>
      <c r="H9377">
        <v>2025</v>
      </c>
    </row>
    <row r="9378" spans="1:8" x14ac:dyDescent="0.2">
      <c r="A9378">
        <v>307688</v>
      </c>
      <c r="B9378">
        <v>239999</v>
      </c>
      <c r="C9378" t="str">
        <f t="shared" si="146"/>
        <v>3. $50K-250K</v>
      </c>
      <c r="D9378" t="s">
        <v>726</v>
      </c>
      <c r="E9378" t="s">
        <v>42</v>
      </c>
      <c r="F9378" t="s">
        <v>670</v>
      </c>
      <c r="G9378" t="s">
        <v>59</v>
      </c>
      <c r="H9378">
        <v>2025</v>
      </c>
    </row>
    <row r="9379" spans="1:8" x14ac:dyDescent="0.2">
      <c r="A9379">
        <v>307692</v>
      </c>
      <c r="B9379">
        <v>41110.5</v>
      </c>
      <c r="C9379" t="str">
        <f t="shared" si="146"/>
        <v>3. $50K-250K</v>
      </c>
      <c r="D9379" t="s">
        <v>977</v>
      </c>
      <c r="E9379" t="s">
        <v>42</v>
      </c>
      <c r="F9379" t="s">
        <v>670</v>
      </c>
      <c r="G9379" t="s">
        <v>59</v>
      </c>
      <c r="H9379">
        <v>2025</v>
      </c>
    </row>
    <row r="9380" spans="1:8" x14ac:dyDescent="0.2">
      <c r="A9380">
        <v>307705</v>
      </c>
      <c r="B9380">
        <v>54000</v>
      </c>
      <c r="C9380" t="str">
        <f t="shared" si="146"/>
        <v>2. $10K-50K</v>
      </c>
      <c r="D9380" t="s">
        <v>839</v>
      </c>
      <c r="E9380" t="s">
        <v>237</v>
      </c>
      <c r="F9380" t="s">
        <v>670</v>
      </c>
      <c r="G9380" t="s">
        <v>59</v>
      </c>
      <c r="H9380">
        <v>2025</v>
      </c>
    </row>
    <row r="9381" spans="1:8" x14ac:dyDescent="0.2">
      <c r="A9381">
        <v>307706</v>
      </c>
      <c r="B9381">
        <v>54000</v>
      </c>
      <c r="C9381" t="str">
        <f t="shared" si="146"/>
        <v>3. $50K-250K</v>
      </c>
      <c r="D9381" t="s">
        <v>2536</v>
      </c>
      <c r="E9381" t="s">
        <v>237</v>
      </c>
      <c r="F9381" t="s">
        <v>670</v>
      </c>
      <c r="G9381" t="s">
        <v>59</v>
      </c>
      <c r="H9381">
        <v>2025</v>
      </c>
    </row>
    <row r="9382" spans="1:8" x14ac:dyDescent="0.2">
      <c r="A9382">
        <v>307707</v>
      </c>
      <c r="B9382">
        <v>54000</v>
      </c>
      <c r="C9382" t="str">
        <f t="shared" si="146"/>
        <v>3. $50K-250K</v>
      </c>
      <c r="D9382" t="s">
        <v>674</v>
      </c>
      <c r="E9382" t="s">
        <v>237</v>
      </c>
      <c r="F9382" t="s">
        <v>670</v>
      </c>
      <c r="G9382" t="s">
        <v>59</v>
      </c>
      <c r="H9382">
        <v>2025</v>
      </c>
    </row>
    <row r="9383" spans="1:8" x14ac:dyDescent="0.2">
      <c r="A9383">
        <v>307708</v>
      </c>
      <c r="B9383">
        <v>54000</v>
      </c>
      <c r="C9383" t="str">
        <f t="shared" si="146"/>
        <v>3. $50K-250K</v>
      </c>
      <c r="D9383" t="s">
        <v>1067</v>
      </c>
      <c r="E9383" t="s">
        <v>237</v>
      </c>
      <c r="F9383" t="s">
        <v>670</v>
      </c>
      <c r="G9383" t="s">
        <v>59</v>
      </c>
      <c r="H9383">
        <v>2025</v>
      </c>
    </row>
    <row r="9384" spans="1:8" x14ac:dyDescent="0.2">
      <c r="A9384">
        <v>307709</v>
      </c>
      <c r="B9384">
        <v>48000</v>
      </c>
      <c r="C9384" t="str">
        <f t="shared" si="146"/>
        <v>3. $50K-250K</v>
      </c>
      <c r="D9384" t="s">
        <v>847</v>
      </c>
      <c r="E9384" t="s">
        <v>237</v>
      </c>
      <c r="F9384" t="s">
        <v>670</v>
      </c>
      <c r="G9384" t="s">
        <v>59</v>
      </c>
      <c r="H9384">
        <v>2025</v>
      </c>
    </row>
    <row r="9385" spans="1:8" x14ac:dyDescent="0.2">
      <c r="A9385">
        <v>307710</v>
      </c>
      <c r="B9385">
        <v>81000</v>
      </c>
      <c r="C9385" t="str">
        <f t="shared" si="146"/>
        <v>2. $10K-50K</v>
      </c>
      <c r="D9385" t="s">
        <v>707</v>
      </c>
      <c r="E9385" t="s">
        <v>237</v>
      </c>
      <c r="F9385" t="s">
        <v>670</v>
      </c>
      <c r="G9385" t="s">
        <v>59</v>
      </c>
      <c r="H9385">
        <v>2025</v>
      </c>
    </row>
    <row r="9386" spans="1:8" x14ac:dyDescent="0.2">
      <c r="A9386">
        <v>307711</v>
      </c>
      <c r="B9386">
        <v>378589.2</v>
      </c>
      <c r="C9386" t="str">
        <f t="shared" si="146"/>
        <v>3. $50K-250K</v>
      </c>
      <c r="D9386" t="s">
        <v>506</v>
      </c>
      <c r="E9386" t="s">
        <v>28</v>
      </c>
      <c r="F9386" t="s">
        <v>31</v>
      </c>
      <c r="G9386" t="s">
        <v>10</v>
      </c>
      <c r="H9386">
        <v>2025</v>
      </c>
    </row>
    <row r="9387" spans="1:8" x14ac:dyDescent="0.2">
      <c r="A9387">
        <v>307723</v>
      </c>
      <c r="B9387">
        <v>268275</v>
      </c>
      <c r="C9387" t="str">
        <f t="shared" si="146"/>
        <v>4. $250K-1M</v>
      </c>
      <c r="D9387" t="s">
        <v>230</v>
      </c>
      <c r="E9387" t="s">
        <v>67</v>
      </c>
      <c r="F9387" t="s">
        <v>231</v>
      </c>
      <c r="G9387" t="s">
        <v>232</v>
      </c>
      <c r="H9387">
        <v>2025</v>
      </c>
    </row>
    <row r="9388" spans="1:8" x14ac:dyDescent="0.2">
      <c r="A9388">
        <v>307724</v>
      </c>
      <c r="B9388">
        <v>5627787.2000000002</v>
      </c>
      <c r="C9388" t="str">
        <f t="shared" si="146"/>
        <v>4. $250K-1M</v>
      </c>
      <c r="D9388" t="s">
        <v>230</v>
      </c>
      <c r="E9388" t="s">
        <v>67</v>
      </c>
      <c r="F9388" t="s">
        <v>231</v>
      </c>
      <c r="G9388" t="s">
        <v>232</v>
      </c>
      <c r="H9388">
        <v>2025</v>
      </c>
    </row>
    <row r="9389" spans="1:8" x14ac:dyDescent="0.2">
      <c r="A9389">
        <v>307725</v>
      </c>
      <c r="B9389">
        <v>84965</v>
      </c>
      <c r="C9389" t="str">
        <f t="shared" si="146"/>
        <v>5. $1M+</v>
      </c>
      <c r="D9389" t="s">
        <v>940</v>
      </c>
      <c r="E9389" t="s">
        <v>99</v>
      </c>
      <c r="F9389" t="s">
        <v>670</v>
      </c>
      <c r="G9389" t="s">
        <v>59</v>
      </c>
      <c r="H9389">
        <v>2025</v>
      </c>
    </row>
    <row r="9390" spans="1:8" x14ac:dyDescent="0.2">
      <c r="A9390">
        <v>307859</v>
      </c>
      <c r="B9390">
        <v>40000</v>
      </c>
      <c r="C9390" t="str">
        <f t="shared" si="146"/>
        <v>3. $50K-250K</v>
      </c>
      <c r="D9390" t="s">
        <v>2461</v>
      </c>
      <c r="E9390" t="s">
        <v>112</v>
      </c>
      <c r="F9390" t="s">
        <v>668</v>
      </c>
      <c r="G9390" t="s">
        <v>59</v>
      </c>
      <c r="H9390">
        <v>2025</v>
      </c>
    </row>
    <row r="9391" spans="1:8" x14ac:dyDescent="0.2">
      <c r="A9391">
        <v>307860</v>
      </c>
      <c r="B9391">
        <v>50000</v>
      </c>
      <c r="C9391" t="str">
        <f t="shared" si="146"/>
        <v>2. $10K-50K</v>
      </c>
      <c r="D9391" t="s">
        <v>2537</v>
      </c>
      <c r="E9391" t="s">
        <v>112</v>
      </c>
      <c r="F9391" t="s">
        <v>668</v>
      </c>
      <c r="G9391" t="s">
        <v>59</v>
      </c>
      <c r="H9391">
        <v>2025</v>
      </c>
    </row>
    <row r="9392" spans="1:8" x14ac:dyDescent="0.2">
      <c r="A9392">
        <v>307861</v>
      </c>
      <c r="B9392">
        <v>12000</v>
      </c>
      <c r="C9392" t="str">
        <f t="shared" si="146"/>
        <v>3. $50K-250K</v>
      </c>
      <c r="D9392" t="s">
        <v>1185</v>
      </c>
      <c r="E9392" t="s">
        <v>112</v>
      </c>
      <c r="F9392" t="s">
        <v>668</v>
      </c>
      <c r="G9392" t="s">
        <v>59</v>
      </c>
      <c r="H9392">
        <v>2025</v>
      </c>
    </row>
    <row r="9393" spans="1:8" x14ac:dyDescent="0.2">
      <c r="A9393">
        <v>307862</v>
      </c>
      <c r="B9393">
        <v>43000</v>
      </c>
      <c r="C9393" t="str">
        <f t="shared" si="146"/>
        <v>2. $10K-50K</v>
      </c>
      <c r="D9393" t="s">
        <v>1702</v>
      </c>
      <c r="E9393" t="s">
        <v>112</v>
      </c>
      <c r="F9393" t="s">
        <v>668</v>
      </c>
      <c r="G9393" t="s">
        <v>59</v>
      </c>
      <c r="H9393">
        <v>2025</v>
      </c>
    </row>
    <row r="9394" spans="1:8" x14ac:dyDescent="0.2">
      <c r="A9394">
        <v>307871</v>
      </c>
      <c r="B9394">
        <v>50000</v>
      </c>
      <c r="C9394" t="str">
        <f t="shared" si="146"/>
        <v>2. $10K-50K</v>
      </c>
      <c r="D9394" t="s">
        <v>2538</v>
      </c>
      <c r="E9394" t="s">
        <v>112</v>
      </c>
      <c r="F9394" t="s">
        <v>668</v>
      </c>
      <c r="G9394" t="s">
        <v>59</v>
      </c>
      <c r="H9394">
        <v>2025</v>
      </c>
    </row>
    <row r="9395" spans="1:8" x14ac:dyDescent="0.2">
      <c r="A9395">
        <v>307998</v>
      </c>
      <c r="B9395">
        <v>67500</v>
      </c>
      <c r="C9395" t="str">
        <f t="shared" si="146"/>
        <v>3. $50K-250K</v>
      </c>
      <c r="D9395" t="s">
        <v>822</v>
      </c>
      <c r="E9395" t="s">
        <v>825</v>
      </c>
      <c r="F9395" t="s">
        <v>670</v>
      </c>
      <c r="G9395" t="s">
        <v>59</v>
      </c>
      <c r="H9395">
        <v>2025</v>
      </c>
    </row>
    <row r="9396" spans="1:8" x14ac:dyDescent="0.2">
      <c r="A9396">
        <v>308079</v>
      </c>
      <c r="B9396">
        <v>413354</v>
      </c>
      <c r="C9396" t="str">
        <f t="shared" si="146"/>
        <v>3. $50K-250K</v>
      </c>
      <c r="D9396" t="s">
        <v>999</v>
      </c>
      <c r="E9396" t="s">
        <v>42</v>
      </c>
      <c r="F9396" t="s">
        <v>670</v>
      </c>
      <c r="G9396" t="s">
        <v>59</v>
      </c>
      <c r="H9396">
        <v>2025</v>
      </c>
    </row>
    <row r="9397" spans="1:8" x14ac:dyDescent="0.2">
      <c r="A9397">
        <v>30810</v>
      </c>
      <c r="B9397">
        <v>38911.4</v>
      </c>
      <c r="C9397" t="str">
        <f t="shared" si="146"/>
        <v>4. $250K-1M</v>
      </c>
      <c r="D9397" t="s">
        <v>1754</v>
      </c>
      <c r="E9397" t="s">
        <v>59</v>
      </c>
      <c r="F9397" t="s">
        <v>664</v>
      </c>
      <c r="G9397" t="s">
        <v>59</v>
      </c>
      <c r="H9397">
        <v>2023</v>
      </c>
    </row>
    <row r="9398" spans="1:8" x14ac:dyDescent="0.2">
      <c r="A9398">
        <v>308143</v>
      </c>
      <c r="B9398">
        <v>585230</v>
      </c>
      <c r="C9398" t="str">
        <f t="shared" si="146"/>
        <v>2. $10K-50K</v>
      </c>
      <c r="D9398" t="s">
        <v>2539</v>
      </c>
      <c r="E9398" t="s">
        <v>99</v>
      </c>
      <c r="F9398" t="s">
        <v>668</v>
      </c>
      <c r="G9398" t="s">
        <v>59</v>
      </c>
      <c r="H9398">
        <v>2025</v>
      </c>
    </row>
    <row r="9399" spans="1:8" x14ac:dyDescent="0.2">
      <c r="A9399">
        <v>30816</v>
      </c>
      <c r="B9399">
        <v>799999.9</v>
      </c>
      <c r="C9399" t="str">
        <f t="shared" si="146"/>
        <v>4. $250K-1M</v>
      </c>
      <c r="D9399" t="s">
        <v>507</v>
      </c>
      <c r="E9399" t="s">
        <v>8</v>
      </c>
      <c r="F9399" t="s">
        <v>12</v>
      </c>
      <c r="G9399" t="s">
        <v>372</v>
      </c>
      <c r="H9399">
        <v>2023</v>
      </c>
    </row>
    <row r="9400" spans="1:8" x14ac:dyDescent="0.2">
      <c r="A9400">
        <v>308163</v>
      </c>
      <c r="B9400">
        <v>211680</v>
      </c>
      <c r="C9400" t="str">
        <f t="shared" si="146"/>
        <v>4. $250K-1M</v>
      </c>
      <c r="D9400" t="s">
        <v>391</v>
      </c>
      <c r="E9400" t="s">
        <v>237</v>
      </c>
      <c r="F9400" t="s">
        <v>670</v>
      </c>
      <c r="G9400" t="s">
        <v>59</v>
      </c>
      <c r="H9400">
        <v>2025</v>
      </c>
    </row>
    <row r="9401" spans="1:8" x14ac:dyDescent="0.2">
      <c r="A9401">
        <v>308171</v>
      </c>
      <c r="B9401">
        <v>52500</v>
      </c>
      <c r="C9401" t="str">
        <f t="shared" si="146"/>
        <v>3. $50K-250K</v>
      </c>
      <c r="D9401" t="s">
        <v>880</v>
      </c>
      <c r="E9401" t="s">
        <v>825</v>
      </c>
      <c r="F9401" t="s">
        <v>670</v>
      </c>
      <c r="G9401" t="s">
        <v>59</v>
      </c>
      <c r="H9401">
        <v>2025</v>
      </c>
    </row>
    <row r="9402" spans="1:8" x14ac:dyDescent="0.2">
      <c r="A9402">
        <v>308172</v>
      </c>
      <c r="B9402">
        <v>70500</v>
      </c>
      <c r="C9402" t="str">
        <f t="shared" si="146"/>
        <v>3. $50K-250K</v>
      </c>
      <c r="D9402" t="s">
        <v>880</v>
      </c>
      <c r="E9402" t="s">
        <v>825</v>
      </c>
      <c r="F9402" t="s">
        <v>670</v>
      </c>
      <c r="G9402" t="s">
        <v>59</v>
      </c>
      <c r="H9402">
        <v>2025</v>
      </c>
    </row>
    <row r="9403" spans="1:8" x14ac:dyDescent="0.2">
      <c r="A9403">
        <v>308233</v>
      </c>
      <c r="B9403">
        <v>2000000</v>
      </c>
      <c r="C9403" t="str">
        <f t="shared" si="146"/>
        <v>3. $50K-250K</v>
      </c>
      <c r="D9403" t="s">
        <v>852</v>
      </c>
      <c r="E9403" t="s">
        <v>237</v>
      </c>
      <c r="F9403" t="s">
        <v>670</v>
      </c>
      <c r="G9403" t="s">
        <v>59</v>
      </c>
      <c r="H9403">
        <v>2025</v>
      </c>
    </row>
    <row r="9404" spans="1:8" x14ac:dyDescent="0.2">
      <c r="A9404">
        <v>308234</v>
      </c>
      <c r="B9404">
        <v>300000</v>
      </c>
      <c r="C9404" t="str">
        <f t="shared" si="146"/>
        <v>5. $1M+</v>
      </c>
      <c r="D9404" t="s">
        <v>868</v>
      </c>
      <c r="E9404" t="s">
        <v>237</v>
      </c>
      <c r="F9404" t="s">
        <v>670</v>
      </c>
      <c r="G9404" t="s">
        <v>59</v>
      </c>
      <c r="H9404">
        <v>2025</v>
      </c>
    </row>
    <row r="9405" spans="1:8" x14ac:dyDescent="0.2">
      <c r="A9405">
        <v>308235</v>
      </c>
      <c r="B9405">
        <v>76650</v>
      </c>
      <c r="C9405" t="str">
        <f t="shared" si="146"/>
        <v>4. $250K-1M</v>
      </c>
      <c r="D9405" t="s">
        <v>871</v>
      </c>
      <c r="E9405" t="s">
        <v>237</v>
      </c>
      <c r="F9405" t="s">
        <v>670</v>
      </c>
      <c r="G9405" t="s">
        <v>59</v>
      </c>
      <c r="H9405">
        <v>2025</v>
      </c>
    </row>
    <row r="9406" spans="1:8" x14ac:dyDescent="0.2">
      <c r="A9406">
        <v>308237</v>
      </c>
      <c r="B9406">
        <v>138136.70000000001</v>
      </c>
      <c r="C9406" t="str">
        <f t="shared" si="146"/>
        <v>3. $50K-250K</v>
      </c>
      <c r="D9406" t="s">
        <v>601</v>
      </c>
      <c r="E9406" t="s">
        <v>237</v>
      </c>
      <c r="F9406" t="s">
        <v>670</v>
      </c>
      <c r="G9406" t="s">
        <v>59</v>
      </c>
      <c r="H9406">
        <v>2025</v>
      </c>
    </row>
    <row r="9407" spans="1:8" x14ac:dyDescent="0.2">
      <c r="A9407">
        <v>308238</v>
      </c>
      <c r="B9407">
        <v>66150</v>
      </c>
      <c r="C9407" t="str">
        <f t="shared" si="146"/>
        <v>3. $50K-250K</v>
      </c>
      <c r="D9407" t="s">
        <v>856</v>
      </c>
      <c r="E9407" t="s">
        <v>237</v>
      </c>
      <c r="F9407" t="s">
        <v>670</v>
      </c>
      <c r="G9407" t="s">
        <v>59</v>
      </c>
      <c r="H9407">
        <v>2025</v>
      </c>
    </row>
    <row r="9408" spans="1:8" x14ac:dyDescent="0.2">
      <c r="A9408">
        <v>308239</v>
      </c>
      <c r="B9408">
        <v>600000</v>
      </c>
      <c r="C9408" t="str">
        <f t="shared" si="146"/>
        <v>3. $50K-250K</v>
      </c>
      <c r="D9408" t="s">
        <v>865</v>
      </c>
      <c r="E9408" t="s">
        <v>237</v>
      </c>
      <c r="F9408" t="s">
        <v>670</v>
      </c>
      <c r="G9408" t="s">
        <v>59</v>
      </c>
      <c r="H9408">
        <v>2025</v>
      </c>
    </row>
    <row r="9409" spans="1:8" x14ac:dyDescent="0.2">
      <c r="A9409">
        <v>308240</v>
      </c>
      <c r="B9409">
        <v>385688</v>
      </c>
      <c r="C9409" t="str">
        <f t="shared" si="146"/>
        <v>4. $250K-1M</v>
      </c>
      <c r="D9409" t="s">
        <v>1019</v>
      </c>
      <c r="E9409" t="s">
        <v>237</v>
      </c>
      <c r="F9409" t="s">
        <v>670</v>
      </c>
      <c r="G9409" t="s">
        <v>59</v>
      </c>
      <c r="H9409">
        <v>2025</v>
      </c>
    </row>
    <row r="9410" spans="1:8" x14ac:dyDescent="0.2">
      <c r="A9410">
        <v>308241</v>
      </c>
      <c r="B9410">
        <v>100000</v>
      </c>
      <c r="C9410" t="str">
        <f t="shared" si="146"/>
        <v>4. $250K-1M</v>
      </c>
      <c r="D9410" t="s">
        <v>869</v>
      </c>
      <c r="E9410" t="s">
        <v>237</v>
      </c>
      <c r="F9410" t="s">
        <v>670</v>
      </c>
      <c r="G9410" t="s">
        <v>59</v>
      </c>
      <c r="H9410">
        <v>2025</v>
      </c>
    </row>
    <row r="9411" spans="1:8" x14ac:dyDescent="0.2">
      <c r="A9411">
        <v>308242</v>
      </c>
      <c r="B9411">
        <v>35912</v>
      </c>
      <c r="C9411" t="str">
        <f t="shared" ref="C9411:C9474" si="147">IF(B9410&lt;10000,"1. Under $10K",IF(B9410&lt;50000,"2. $10K-50K",IF(B9410&lt;250000,"3. $50K-250K",IF(B9410&lt;1000000,"4. $250K-1M","5. $1M+"))))</f>
        <v>3. $50K-250K</v>
      </c>
      <c r="D9411" t="s">
        <v>865</v>
      </c>
      <c r="E9411" t="s">
        <v>237</v>
      </c>
      <c r="F9411" t="s">
        <v>670</v>
      </c>
      <c r="G9411" t="s">
        <v>59</v>
      </c>
      <c r="H9411">
        <v>2025</v>
      </c>
    </row>
    <row r="9412" spans="1:8" x14ac:dyDescent="0.2">
      <c r="A9412">
        <v>308243</v>
      </c>
      <c r="B9412">
        <v>282281</v>
      </c>
      <c r="C9412" t="str">
        <f t="shared" si="147"/>
        <v>2. $10K-50K</v>
      </c>
      <c r="D9412" t="s">
        <v>749</v>
      </c>
      <c r="E9412" t="s">
        <v>237</v>
      </c>
      <c r="F9412" t="s">
        <v>670</v>
      </c>
      <c r="G9412" t="s">
        <v>59</v>
      </c>
      <c r="H9412">
        <v>2025</v>
      </c>
    </row>
    <row r="9413" spans="1:8" x14ac:dyDescent="0.2">
      <c r="A9413">
        <v>308245</v>
      </c>
      <c r="B9413">
        <v>320480</v>
      </c>
      <c r="C9413" t="str">
        <f t="shared" si="147"/>
        <v>4. $250K-1M</v>
      </c>
      <c r="D9413" t="s">
        <v>878</v>
      </c>
      <c r="E9413" t="s">
        <v>237</v>
      </c>
      <c r="F9413" t="s">
        <v>670</v>
      </c>
      <c r="G9413" t="s">
        <v>59</v>
      </c>
      <c r="H9413">
        <v>2025</v>
      </c>
    </row>
    <row r="9414" spans="1:8" x14ac:dyDescent="0.2">
      <c r="A9414">
        <v>308246</v>
      </c>
      <c r="B9414">
        <v>96500</v>
      </c>
      <c r="C9414" t="str">
        <f t="shared" si="147"/>
        <v>4. $250K-1M</v>
      </c>
      <c r="D9414" t="s">
        <v>1032</v>
      </c>
      <c r="E9414" t="s">
        <v>237</v>
      </c>
      <c r="F9414" t="s">
        <v>670</v>
      </c>
      <c r="G9414" t="s">
        <v>59</v>
      </c>
      <c r="H9414">
        <v>2025</v>
      </c>
    </row>
    <row r="9415" spans="1:8" x14ac:dyDescent="0.2">
      <c r="A9415">
        <v>308247</v>
      </c>
      <c r="B9415">
        <v>69000</v>
      </c>
      <c r="C9415" t="str">
        <f t="shared" si="147"/>
        <v>3. $50K-250K</v>
      </c>
      <c r="D9415" t="s">
        <v>1079</v>
      </c>
      <c r="E9415" t="s">
        <v>237</v>
      </c>
      <c r="F9415" t="s">
        <v>670</v>
      </c>
      <c r="G9415" t="s">
        <v>59</v>
      </c>
      <c r="H9415">
        <v>2025</v>
      </c>
    </row>
    <row r="9416" spans="1:8" x14ac:dyDescent="0.2">
      <c r="A9416">
        <v>308248</v>
      </c>
      <c r="B9416">
        <v>69000</v>
      </c>
      <c r="C9416" t="str">
        <f t="shared" si="147"/>
        <v>3. $50K-250K</v>
      </c>
      <c r="D9416" t="s">
        <v>1083</v>
      </c>
      <c r="E9416" t="s">
        <v>237</v>
      </c>
      <c r="F9416" t="s">
        <v>670</v>
      </c>
      <c r="G9416" t="s">
        <v>59</v>
      </c>
      <c r="H9416">
        <v>2025</v>
      </c>
    </row>
    <row r="9417" spans="1:8" x14ac:dyDescent="0.2">
      <c r="A9417">
        <v>308249</v>
      </c>
      <c r="B9417">
        <v>300000</v>
      </c>
      <c r="C9417" t="str">
        <f t="shared" si="147"/>
        <v>3. $50K-250K</v>
      </c>
      <c r="D9417" t="s">
        <v>855</v>
      </c>
      <c r="E9417" t="s">
        <v>237</v>
      </c>
      <c r="F9417" t="s">
        <v>670</v>
      </c>
      <c r="G9417" t="s">
        <v>59</v>
      </c>
      <c r="H9417">
        <v>2025</v>
      </c>
    </row>
    <row r="9418" spans="1:8" x14ac:dyDescent="0.2">
      <c r="A9418">
        <v>308250</v>
      </c>
      <c r="B9418">
        <v>25900</v>
      </c>
      <c r="C9418" t="str">
        <f t="shared" si="147"/>
        <v>4. $250K-1M</v>
      </c>
      <c r="D9418" t="s">
        <v>855</v>
      </c>
      <c r="E9418" t="s">
        <v>237</v>
      </c>
      <c r="F9418" t="s">
        <v>670</v>
      </c>
      <c r="G9418" t="s">
        <v>59</v>
      </c>
      <c r="H9418">
        <v>2025</v>
      </c>
    </row>
    <row r="9419" spans="1:8" x14ac:dyDescent="0.2">
      <c r="A9419">
        <v>308251</v>
      </c>
      <c r="B9419">
        <v>1795506</v>
      </c>
      <c r="C9419" t="str">
        <f t="shared" si="147"/>
        <v>2. $10K-50K</v>
      </c>
      <c r="D9419" t="s">
        <v>852</v>
      </c>
      <c r="E9419" t="s">
        <v>237</v>
      </c>
      <c r="F9419" t="s">
        <v>670</v>
      </c>
      <c r="G9419" t="s">
        <v>59</v>
      </c>
      <c r="H9419">
        <v>2025</v>
      </c>
    </row>
    <row r="9420" spans="1:8" x14ac:dyDescent="0.2">
      <c r="A9420">
        <v>308253</v>
      </c>
      <c r="B9420">
        <v>72000</v>
      </c>
      <c r="C9420" t="str">
        <f t="shared" si="147"/>
        <v>5. $1M+</v>
      </c>
      <c r="D9420" t="s">
        <v>803</v>
      </c>
      <c r="E9420" t="s">
        <v>237</v>
      </c>
      <c r="F9420" t="s">
        <v>670</v>
      </c>
      <c r="G9420" t="s">
        <v>59</v>
      </c>
      <c r="H9420">
        <v>2025</v>
      </c>
    </row>
    <row r="9421" spans="1:8" x14ac:dyDescent="0.2">
      <c r="A9421">
        <v>308256</v>
      </c>
      <c r="B9421">
        <v>54000</v>
      </c>
      <c r="C9421" t="str">
        <f t="shared" si="147"/>
        <v>3. $50K-250K</v>
      </c>
      <c r="D9421" t="s">
        <v>1079</v>
      </c>
      <c r="E9421" t="s">
        <v>237</v>
      </c>
      <c r="F9421" t="s">
        <v>670</v>
      </c>
      <c r="G9421" t="s">
        <v>59</v>
      </c>
      <c r="H9421">
        <v>2025</v>
      </c>
    </row>
    <row r="9422" spans="1:8" x14ac:dyDescent="0.2">
      <c r="A9422">
        <v>308257</v>
      </c>
      <c r="B9422">
        <v>11680</v>
      </c>
      <c r="C9422" t="str">
        <f t="shared" si="147"/>
        <v>3. $50K-250K</v>
      </c>
      <c r="D9422" t="s">
        <v>807</v>
      </c>
      <c r="E9422" t="s">
        <v>237</v>
      </c>
      <c r="F9422" t="s">
        <v>670</v>
      </c>
      <c r="G9422" t="s">
        <v>59</v>
      </c>
      <c r="H9422">
        <v>2025</v>
      </c>
    </row>
    <row r="9423" spans="1:8" x14ac:dyDescent="0.2">
      <c r="A9423">
        <v>308258</v>
      </c>
      <c r="B9423">
        <v>17033.3</v>
      </c>
      <c r="C9423" t="str">
        <f t="shared" si="147"/>
        <v>2. $10K-50K</v>
      </c>
      <c r="D9423" t="s">
        <v>807</v>
      </c>
      <c r="E9423" t="s">
        <v>237</v>
      </c>
      <c r="F9423" t="s">
        <v>670</v>
      </c>
      <c r="G9423" t="s">
        <v>59</v>
      </c>
      <c r="H9423">
        <v>2025</v>
      </c>
    </row>
    <row r="9424" spans="1:8" x14ac:dyDescent="0.2">
      <c r="A9424">
        <v>308259</v>
      </c>
      <c r="B9424">
        <v>141081</v>
      </c>
      <c r="C9424" t="str">
        <f t="shared" si="147"/>
        <v>2. $10K-50K</v>
      </c>
      <c r="D9424" t="s">
        <v>807</v>
      </c>
      <c r="E9424" t="s">
        <v>237</v>
      </c>
      <c r="F9424" t="s">
        <v>670</v>
      </c>
      <c r="G9424" t="s">
        <v>59</v>
      </c>
      <c r="H9424">
        <v>2025</v>
      </c>
    </row>
    <row r="9425" spans="1:8" x14ac:dyDescent="0.2">
      <c r="A9425">
        <v>308260</v>
      </c>
      <c r="B9425">
        <v>54000</v>
      </c>
      <c r="C9425" t="str">
        <f t="shared" si="147"/>
        <v>3. $50K-250K</v>
      </c>
      <c r="D9425" t="s">
        <v>1064</v>
      </c>
      <c r="E9425" t="s">
        <v>237</v>
      </c>
      <c r="F9425" t="s">
        <v>670</v>
      </c>
      <c r="G9425" t="s">
        <v>59</v>
      </c>
      <c r="H9425">
        <v>2025</v>
      </c>
    </row>
    <row r="9426" spans="1:8" x14ac:dyDescent="0.2">
      <c r="A9426">
        <v>308261</v>
      </c>
      <c r="B9426">
        <v>300000</v>
      </c>
      <c r="C9426" t="str">
        <f t="shared" si="147"/>
        <v>3. $50K-250K</v>
      </c>
      <c r="D9426" t="s">
        <v>1027</v>
      </c>
      <c r="E9426" t="s">
        <v>237</v>
      </c>
      <c r="F9426" t="s">
        <v>670</v>
      </c>
      <c r="G9426" t="s">
        <v>59</v>
      </c>
      <c r="H9426">
        <v>2025</v>
      </c>
    </row>
    <row r="9427" spans="1:8" x14ac:dyDescent="0.2">
      <c r="A9427">
        <v>308262</v>
      </c>
      <c r="B9427">
        <v>54000</v>
      </c>
      <c r="C9427" t="str">
        <f t="shared" si="147"/>
        <v>4. $250K-1M</v>
      </c>
      <c r="D9427" t="s">
        <v>839</v>
      </c>
      <c r="E9427" t="s">
        <v>237</v>
      </c>
      <c r="F9427" t="s">
        <v>670</v>
      </c>
      <c r="G9427" t="s">
        <v>59</v>
      </c>
      <c r="H9427">
        <v>2025</v>
      </c>
    </row>
    <row r="9428" spans="1:8" x14ac:dyDescent="0.2">
      <c r="A9428">
        <v>308263</v>
      </c>
      <c r="B9428">
        <v>48000</v>
      </c>
      <c r="C9428" t="str">
        <f t="shared" si="147"/>
        <v>3. $50K-250K</v>
      </c>
      <c r="D9428" t="s">
        <v>1104</v>
      </c>
      <c r="E9428" t="s">
        <v>237</v>
      </c>
      <c r="F9428" t="s">
        <v>670</v>
      </c>
      <c r="G9428" t="s">
        <v>59</v>
      </c>
      <c r="H9428">
        <v>2025</v>
      </c>
    </row>
    <row r="9429" spans="1:8" x14ac:dyDescent="0.2">
      <c r="A9429">
        <v>308268</v>
      </c>
      <c r="B9429">
        <v>274987</v>
      </c>
      <c r="C9429" t="str">
        <f t="shared" si="147"/>
        <v>2. $10K-50K</v>
      </c>
      <c r="D9429" t="s">
        <v>762</v>
      </c>
      <c r="E9429" t="s">
        <v>59</v>
      </c>
      <c r="F9429" t="s">
        <v>670</v>
      </c>
      <c r="G9429" t="s">
        <v>59</v>
      </c>
      <c r="H9429">
        <v>2025</v>
      </c>
    </row>
    <row r="9430" spans="1:8" x14ac:dyDescent="0.2">
      <c r="A9430">
        <v>308270</v>
      </c>
      <c r="B9430">
        <v>338994</v>
      </c>
      <c r="C9430" t="str">
        <f t="shared" si="147"/>
        <v>4. $250K-1M</v>
      </c>
      <c r="D9430" t="s">
        <v>2540</v>
      </c>
      <c r="E9430" t="s">
        <v>59</v>
      </c>
      <c r="F9430" t="s">
        <v>670</v>
      </c>
      <c r="G9430" t="s">
        <v>59</v>
      </c>
      <c r="H9430">
        <v>2025</v>
      </c>
    </row>
    <row r="9431" spans="1:8" x14ac:dyDescent="0.2">
      <c r="A9431">
        <v>308272</v>
      </c>
      <c r="B9431">
        <v>235706</v>
      </c>
      <c r="C9431" t="str">
        <f t="shared" si="147"/>
        <v>4. $250K-1M</v>
      </c>
      <c r="D9431" t="s">
        <v>719</v>
      </c>
      <c r="E9431" t="s">
        <v>59</v>
      </c>
      <c r="F9431" t="s">
        <v>670</v>
      </c>
      <c r="G9431" t="s">
        <v>59</v>
      </c>
      <c r="H9431">
        <v>2025</v>
      </c>
    </row>
    <row r="9432" spans="1:8" x14ac:dyDescent="0.2">
      <c r="A9432">
        <v>308274</v>
      </c>
      <c r="B9432">
        <v>214055</v>
      </c>
      <c r="C9432" t="str">
        <f t="shared" si="147"/>
        <v>3. $50K-250K</v>
      </c>
      <c r="D9432" t="s">
        <v>2541</v>
      </c>
      <c r="E9432" t="s">
        <v>59</v>
      </c>
      <c r="F9432" t="s">
        <v>670</v>
      </c>
      <c r="G9432" t="s">
        <v>59</v>
      </c>
      <c r="H9432">
        <v>2025</v>
      </c>
    </row>
    <row r="9433" spans="1:8" x14ac:dyDescent="0.2">
      <c r="A9433">
        <v>308277</v>
      </c>
      <c r="B9433">
        <v>247611</v>
      </c>
      <c r="C9433" t="str">
        <f t="shared" si="147"/>
        <v>3. $50K-250K</v>
      </c>
      <c r="D9433" t="s">
        <v>782</v>
      </c>
      <c r="E9433" t="s">
        <v>59</v>
      </c>
      <c r="F9433" t="s">
        <v>670</v>
      </c>
      <c r="G9433" t="s">
        <v>59</v>
      </c>
      <c r="H9433">
        <v>2025</v>
      </c>
    </row>
    <row r="9434" spans="1:8" x14ac:dyDescent="0.2">
      <c r="A9434">
        <v>308278</v>
      </c>
      <c r="B9434">
        <v>257938</v>
      </c>
      <c r="C9434" t="str">
        <f t="shared" si="147"/>
        <v>3. $50K-250K</v>
      </c>
      <c r="D9434" t="s">
        <v>783</v>
      </c>
      <c r="E9434" t="s">
        <v>59</v>
      </c>
      <c r="F9434" t="s">
        <v>670</v>
      </c>
      <c r="G9434" t="s">
        <v>59</v>
      </c>
      <c r="H9434">
        <v>2025</v>
      </c>
    </row>
    <row r="9435" spans="1:8" x14ac:dyDescent="0.2">
      <c r="A9435">
        <v>308280</v>
      </c>
      <c r="B9435">
        <v>632900</v>
      </c>
      <c r="C9435" t="str">
        <f t="shared" si="147"/>
        <v>4. $250K-1M</v>
      </c>
      <c r="D9435" t="s">
        <v>780</v>
      </c>
      <c r="E9435" t="s">
        <v>59</v>
      </c>
      <c r="F9435" t="s">
        <v>670</v>
      </c>
      <c r="G9435" t="s">
        <v>59</v>
      </c>
      <c r="H9435">
        <v>2025</v>
      </c>
    </row>
    <row r="9436" spans="1:8" x14ac:dyDescent="0.2">
      <c r="A9436">
        <v>308281</v>
      </c>
      <c r="B9436">
        <v>907684</v>
      </c>
      <c r="C9436" t="str">
        <f t="shared" si="147"/>
        <v>4. $250K-1M</v>
      </c>
      <c r="D9436" t="s">
        <v>781</v>
      </c>
      <c r="E9436" t="s">
        <v>59</v>
      </c>
      <c r="F9436" t="s">
        <v>670</v>
      </c>
      <c r="G9436" t="s">
        <v>59</v>
      </c>
      <c r="H9436">
        <v>2025</v>
      </c>
    </row>
    <row r="9437" spans="1:8" x14ac:dyDescent="0.2">
      <c r="A9437">
        <v>308353</v>
      </c>
      <c r="B9437">
        <v>124349</v>
      </c>
      <c r="C9437" t="str">
        <f t="shared" si="147"/>
        <v>4. $250K-1M</v>
      </c>
      <c r="D9437" t="s">
        <v>713</v>
      </c>
      <c r="E9437" t="s">
        <v>237</v>
      </c>
      <c r="F9437" t="s">
        <v>670</v>
      </c>
      <c r="G9437" t="s">
        <v>59</v>
      </c>
      <c r="H9437">
        <v>2025</v>
      </c>
    </row>
    <row r="9438" spans="1:8" x14ac:dyDescent="0.2">
      <c r="A9438">
        <v>308354</v>
      </c>
      <c r="B9438">
        <v>247999</v>
      </c>
      <c r="C9438" t="str">
        <f t="shared" si="147"/>
        <v>3. $50K-250K</v>
      </c>
      <c r="D9438" t="s">
        <v>909</v>
      </c>
      <c r="E9438" t="s">
        <v>237</v>
      </c>
      <c r="F9438" t="s">
        <v>670</v>
      </c>
      <c r="G9438" t="s">
        <v>59</v>
      </c>
      <c r="H9438">
        <v>2025</v>
      </c>
    </row>
    <row r="9439" spans="1:8" x14ac:dyDescent="0.2">
      <c r="A9439">
        <v>308355</v>
      </c>
      <c r="B9439">
        <v>40078</v>
      </c>
      <c r="C9439" t="str">
        <f t="shared" si="147"/>
        <v>3. $50K-250K</v>
      </c>
      <c r="D9439" t="s">
        <v>1545</v>
      </c>
      <c r="E9439" t="s">
        <v>237</v>
      </c>
      <c r="F9439" t="s">
        <v>670</v>
      </c>
      <c r="G9439" t="s">
        <v>59</v>
      </c>
      <c r="H9439">
        <v>2025</v>
      </c>
    </row>
    <row r="9440" spans="1:8" x14ac:dyDescent="0.2">
      <c r="A9440">
        <v>308356</v>
      </c>
      <c r="B9440">
        <v>124349</v>
      </c>
      <c r="C9440" t="str">
        <f t="shared" si="147"/>
        <v>2. $10K-50K</v>
      </c>
      <c r="D9440" t="s">
        <v>708</v>
      </c>
      <c r="E9440" t="s">
        <v>237</v>
      </c>
      <c r="F9440" t="s">
        <v>670</v>
      </c>
      <c r="G9440" t="s">
        <v>59</v>
      </c>
      <c r="H9440">
        <v>2025</v>
      </c>
    </row>
    <row r="9441" spans="1:8" x14ac:dyDescent="0.2">
      <c r="A9441">
        <v>308357</v>
      </c>
      <c r="B9441">
        <v>325743</v>
      </c>
      <c r="C9441" t="str">
        <f t="shared" si="147"/>
        <v>3. $50K-250K</v>
      </c>
      <c r="D9441" t="s">
        <v>783</v>
      </c>
      <c r="E9441" t="s">
        <v>237</v>
      </c>
      <c r="F9441" t="s">
        <v>670</v>
      </c>
      <c r="G9441" t="s">
        <v>59</v>
      </c>
      <c r="H9441">
        <v>2025</v>
      </c>
    </row>
    <row r="9442" spans="1:8" x14ac:dyDescent="0.2">
      <c r="A9442">
        <v>308358</v>
      </c>
      <c r="B9442">
        <v>124349</v>
      </c>
      <c r="C9442" t="str">
        <f t="shared" si="147"/>
        <v>4. $250K-1M</v>
      </c>
      <c r="D9442" t="s">
        <v>1094</v>
      </c>
      <c r="E9442" t="s">
        <v>237</v>
      </c>
      <c r="F9442" t="s">
        <v>670</v>
      </c>
      <c r="G9442" t="s">
        <v>59</v>
      </c>
      <c r="H9442">
        <v>2025</v>
      </c>
    </row>
    <row r="9443" spans="1:8" x14ac:dyDescent="0.2">
      <c r="A9443">
        <v>308360</v>
      </c>
      <c r="B9443">
        <v>124349</v>
      </c>
      <c r="C9443" t="str">
        <f t="shared" si="147"/>
        <v>3. $50K-250K</v>
      </c>
      <c r="D9443" t="s">
        <v>1094</v>
      </c>
      <c r="E9443" t="s">
        <v>237</v>
      </c>
      <c r="F9443" t="s">
        <v>670</v>
      </c>
      <c r="G9443" t="s">
        <v>59</v>
      </c>
      <c r="H9443">
        <v>2025</v>
      </c>
    </row>
    <row r="9444" spans="1:8" x14ac:dyDescent="0.2">
      <c r="A9444">
        <v>308361</v>
      </c>
      <c r="B9444">
        <v>124349</v>
      </c>
      <c r="C9444" t="str">
        <f t="shared" si="147"/>
        <v>3. $50K-250K</v>
      </c>
      <c r="D9444" t="s">
        <v>1074</v>
      </c>
      <c r="E9444" t="s">
        <v>237</v>
      </c>
      <c r="F9444" t="s">
        <v>670</v>
      </c>
      <c r="G9444" t="s">
        <v>59</v>
      </c>
      <c r="H9444">
        <v>2025</v>
      </c>
    </row>
    <row r="9445" spans="1:8" x14ac:dyDescent="0.2">
      <c r="A9445">
        <v>308362</v>
      </c>
      <c r="B9445">
        <v>124349</v>
      </c>
      <c r="C9445" t="str">
        <f t="shared" si="147"/>
        <v>3. $50K-250K</v>
      </c>
      <c r="D9445" t="s">
        <v>708</v>
      </c>
      <c r="E9445" t="s">
        <v>237</v>
      </c>
      <c r="F9445" t="s">
        <v>670</v>
      </c>
      <c r="G9445" t="s">
        <v>59</v>
      </c>
      <c r="H9445">
        <v>2025</v>
      </c>
    </row>
    <row r="9446" spans="1:8" x14ac:dyDescent="0.2">
      <c r="A9446">
        <v>308370</v>
      </c>
      <c r="B9446">
        <v>5000000</v>
      </c>
      <c r="C9446" t="str">
        <f t="shared" si="147"/>
        <v>3. $50K-250K</v>
      </c>
      <c r="D9446" t="s">
        <v>508</v>
      </c>
      <c r="E9446" t="s">
        <v>8</v>
      </c>
      <c r="F9446" t="s">
        <v>14</v>
      </c>
      <c r="G9446" t="s">
        <v>103</v>
      </c>
      <c r="H9446">
        <v>2025</v>
      </c>
    </row>
    <row r="9447" spans="1:8" x14ac:dyDescent="0.2">
      <c r="A9447">
        <v>308375</v>
      </c>
      <c r="B9447">
        <v>89986</v>
      </c>
      <c r="C9447" t="str">
        <f t="shared" si="147"/>
        <v>5. $1M+</v>
      </c>
      <c r="D9447" t="s">
        <v>822</v>
      </c>
      <c r="E9447" t="s">
        <v>825</v>
      </c>
      <c r="F9447" t="s">
        <v>670</v>
      </c>
      <c r="G9447" t="s">
        <v>59</v>
      </c>
      <c r="H9447">
        <v>2025</v>
      </c>
    </row>
    <row r="9448" spans="1:8" x14ac:dyDescent="0.2">
      <c r="A9448">
        <v>308411</v>
      </c>
      <c r="B9448">
        <v>124349</v>
      </c>
      <c r="C9448" t="str">
        <f t="shared" si="147"/>
        <v>3. $50K-250K</v>
      </c>
      <c r="D9448" t="s">
        <v>1361</v>
      </c>
      <c r="E9448" t="s">
        <v>237</v>
      </c>
      <c r="F9448" t="s">
        <v>670</v>
      </c>
      <c r="G9448" t="s">
        <v>59</v>
      </c>
      <c r="H9448">
        <v>2025</v>
      </c>
    </row>
    <row r="9449" spans="1:8" x14ac:dyDescent="0.2">
      <c r="A9449">
        <v>308412</v>
      </c>
      <c r="B9449">
        <v>124349</v>
      </c>
      <c r="C9449" t="str">
        <f t="shared" si="147"/>
        <v>3. $50K-250K</v>
      </c>
      <c r="D9449" t="s">
        <v>1361</v>
      </c>
      <c r="E9449" t="s">
        <v>237</v>
      </c>
      <c r="F9449" t="s">
        <v>670</v>
      </c>
      <c r="G9449" t="s">
        <v>59</v>
      </c>
      <c r="H9449">
        <v>2025</v>
      </c>
    </row>
    <row r="9450" spans="1:8" x14ac:dyDescent="0.2">
      <c r="A9450">
        <v>308413</v>
      </c>
      <c r="B9450">
        <v>247999</v>
      </c>
      <c r="C9450" t="str">
        <f t="shared" si="147"/>
        <v>3. $50K-250K</v>
      </c>
      <c r="D9450" t="s">
        <v>907</v>
      </c>
      <c r="E9450" t="s">
        <v>237</v>
      </c>
      <c r="F9450" t="s">
        <v>670</v>
      </c>
      <c r="G9450" t="s">
        <v>59</v>
      </c>
      <c r="H9450">
        <v>2025</v>
      </c>
    </row>
    <row r="9451" spans="1:8" x14ac:dyDescent="0.2">
      <c r="A9451">
        <v>308440</v>
      </c>
      <c r="B9451">
        <v>40000</v>
      </c>
      <c r="C9451" t="str">
        <f t="shared" si="147"/>
        <v>3. $50K-250K</v>
      </c>
      <c r="D9451" t="s">
        <v>971</v>
      </c>
      <c r="E9451" t="s">
        <v>825</v>
      </c>
      <c r="F9451" t="s">
        <v>670</v>
      </c>
      <c r="G9451" t="s">
        <v>59</v>
      </c>
      <c r="H9451">
        <v>2025</v>
      </c>
    </row>
    <row r="9452" spans="1:8" x14ac:dyDescent="0.2">
      <c r="A9452">
        <v>308446</v>
      </c>
      <c r="B9452">
        <v>360000</v>
      </c>
      <c r="C9452" t="str">
        <f t="shared" si="147"/>
        <v>2. $10K-50K</v>
      </c>
      <c r="D9452" t="s">
        <v>791</v>
      </c>
      <c r="E9452" t="s">
        <v>42</v>
      </c>
      <c r="F9452" t="s">
        <v>670</v>
      </c>
      <c r="G9452" t="s">
        <v>59</v>
      </c>
      <c r="H9452">
        <v>2025</v>
      </c>
    </row>
    <row r="9453" spans="1:8" x14ac:dyDescent="0.2">
      <c r="A9453">
        <v>308452</v>
      </c>
      <c r="B9453">
        <v>52500</v>
      </c>
      <c r="C9453" t="str">
        <f t="shared" si="147"/>
        <v>4. $250K-1M</v>
      </c>
      <c r="D9453" t="s">
        <v>900</v>
      </c>
      <c r="E9453" t="s">
        <v>825</v>
      </c>
      <c r="F9453" t="s">
        <v>670</v>
      </c>
      <c r="G9453" t="s">
        <v>59</v>
      </c>
      <c r="H9453">
        <v>2025</v>
      </c>
    </row>
    <row r="9454" spans="1:8" x14ac:dyDescent="0.2">
      <c r="A9454">
        <v>308463</v>
      </c>
      <c r="B9454">
        <v>500000</v>
      </c>
      <c r="C9454" t="str">
        <f t="shared" si="147"/>
        <v>3. $50K-250K</v>
      </c>
      <c r="D9454" t="s">
        <v>749</v>
      </c>
      <c r="E9454" t="s">
        <v>42</v>
      </c>
      <c r="F9454" t="s">
        <v>670</v>
      </c>
      <c r="G9454" t="s">
        <v>59</v>
      </c>
      <c r="H9454">
        <v>2025</v>
      </c>
    </row>
    <row r="9455" spans="1:8" x14ac:dyDescent="0.2">
      <c r="A9455">
        <v>308464</v>
      </c>
      <c r="B9455">
        <v>250000</v>
      </c>
      <c r="C9455" t="str">
        <f t="shared" si="147"/>
        <v>4. $250K-1M</v>
      </c>
      <c r="D9455" t="s">
        <v>883</v>
      </c>
      <c r="E9455" t="s">
        <v>237</v>
      </c>
      <c r="F9455" t="s">
        <v>670</v>
      </c>
      <c r="G9455" t="s">
        <v>59</v>
      </c>
      <c r="H9455">
        <v>2025</v>
      </c>
    </row>
    <row r="9456" spans="1:8" x14ac:dyDescent="0.2">
      <c r="A9456">
        <v>308465</v>
      </c>
      <c r="B9456">
        <v>250000</v>
      </c>
      <c r="C9456" t="str">
        <f t="shared" si="147"/>
        <v>4. $250K-1M</v>
      </c>
      <c r="D9456" t="s">
        <v>782</v>
      </c>
      <c r="E9456" t="s">
        <v>237</v>
      </c>
      <c r="F9456" t="s">
        <v>670</v>
      </c>
      <c r="G9456" t="s">
        <v>59</v>
      </c>
      <c r="H9456">
        <v>2025</v>
      </c>
    </row>
    <row r="9457" spans="1:8" x14ac:dyDescent="0.2">
      <c r="A9457">
        <v>308524</v>
      </c>
      <c r="B9457">
        <v>72770</v>
      </c>
      <c r="C9457" t="str">
        <f t="shared" si="147"/>
        <v>4. $250K-1M</v>
      </c>
      <c r="D9457" t="s">
        <v>1611</v>
      </c>
      <c r="E9457" t="s">
        <v>825</v>
      </c>
      <c r="F9457" t="s">
        <v>670</v>
      </c>
      <c r="G9457" t="s">
        <v>59</v>
      </c>
      <c r="H9457">
        <v>2025</v>
      </c>
    </row>
    <row r="9458" spans="1:8" x14ac:dyDescent="0.2">
      <c r="A9458">
        <v>308553</v>
      </c>
      <c r="B9458">
        <v>1652566</v>
      </c>
      <c r="C9458" t="str">
        <f t="shared" si="147"/>
        <v>3. $50K-250K</v>
      </c>
      <c r="D9458" t="s">
        <v>804</v>
      </c>
      <c r="E9458" t="s">
        <v>42</v>
      </c>
      <c r="F9458" t="s">
        <v>670</v>
      </c>
      <c r="G9458" t="s">
        <v>59</v>
      </c>
      <c r="H9458">
        <v>2025</v>
      </c>
    </row>
    <row r="9459" spans="1:8" x14ac:dyDescent="0.2">
      <c r="A9459">
        <v>308568</v>
      </c>
      <c r="B9459">
        <v>54000</v>
      </c>
      <c r="C9459" t="str">
        <f t="shared" si="147"/>
        <v>5. $1M+</v>
      </c>
      <c r="D9459" t="s">
        <v>911</v>
      </c>
      <c r="E9459" t="s">
        <v>237</v>
      </c>
      <c r="F9459" t="s">
        <v>670</v>
      </c>
      <c r="G9459" t="s">
        <v>59</v>
      </c>
      <c r="H9459">
        <v>2025</v>
      </c>
    </row>
    <row r="9460" spans="1:8" x14ac:dyDescent="0.2">
      <c r="A9460">
        <v>308587</v>
      </c>
      <c r="B9460">
        <v>1740250</v>
      </c>
      <c r="C9460" t="str">
        <f t="shared" si="147"/>
        <v>3. $50K-250K</v>
      </c>
      <c r="D9460" t="s">
        <v>2179</v>
      </c>
      <c r="E9460" t="s">
        <v>237</v>
      </c>
      <c r="F9460" t="s">
        <v>670</v>
      </c>
      <c r="G9460" t="s">
        <v>59</v>
      </c>
      <c r="H9460">
        <v>2025</v>
      </c>
    </row>
    <row r="9461" spans="1:8" x14ac:dyDescent="0.2">
      <c r="A9461">
        <v>308592</v>
      </c>
      <c r="B9461">
        <v>41938823.899999999</v>
      </c>
      <c r="C9461" t="str">
        <f t="shared" si="147"/>
        <v>5. $1M+</v>
      </c>
      <c r="D9461" t="s">
        <v>7</v>
      </c>
      <c r="E9461" t="s">
        <v>28</v>
      </c>
      <c r="F9461" t="s">
        <v>85</v>
      </c>
      <c r="G9461" t="s">
        <v>10</v>
      </c>
      <c r="H9461">
        <v>2025</v>
      </c>
    </row>
    <row r="9462" spans="1:8" x14ac:dyDescent="0.2">
      <c r="A9462">
        <v>308624</v>
      </c>
      <c r="B9462">
        <v>728345</v>
      </c>
      <c r="C9462" t="str">
        <f t="shared" si="147"/>
        <v>5. $1M+</v>
      </c>
      <c r="D9462" t="s">
        <v>992</v>
      </c>
      <c r="E9462" t="s">
        <v>99</v>
      </c>
      <c r="F9462" t="s">
        <v>670</v>
      </c>
      <c r="G9462" t="s">
        <v>59</v>
      </c>
      <c r="H9462">
        <v>2025</v>
      </c>
    </row>
    <row r="9463" spans="1:8" x14ac:dyDescent="0.2">
      <c r="A9463">
        <v>308636</v>
      </c>
      <c r="B9463">
        <v>40000</v>
      </c>
      <c r="C9463" t="str">
        <f t="shared" si="147"/>
        <v>4. $250K-1M</v>
      </c>
      <c r="D9463" t="s">
        <v>920</v>
      </c>
      <c r="E9463" t="s">
        <v>819</v>
      </c>
      <c r="F9463" t="s">
        <v>670</v>
      </c>
      <c r="G9463" t="s">
        <v>59</v>
      </c>
      <c r="H9463">
        <v>2025</v>
      </c>
    </row>
    <row r="9464" spans="1:8" x14ac:dyDescent="0.2">
      <c r="A9464">
        <v>308735</v>
      </c>
      <c r="B9464">
        <v>246860.79999999999</v>
      </c>
      <c r="C9464" t="str">
        <f t="shared" si="147"/>
        <v>2. $10K-50K</v>
      </c>
      <c r="D9464" t="s">
        <v>1500</v>
      </c>
      <c r="E9464" t="s">
        <v>28</v>
      </c>
      <c r="F9464" t="s">
        <v>668</v>
      </c>
      <c r="G9464" t="s">
        <v>59</v>
      </c>
      <c r="H9464">
        <v>2025</v>
      </c>
    </row>
    <row r="9465" spans="1:8" x14ac:dyDescent="0.2">
      <c r="A9465">
        <v>308742</v>
      </c>
      <c r="B9465">
        <v>27300</v>
      </c>
      <c r="C9465" t="str">
        <f t="shared" si="147"/>
        <v>3. $50K-250K</v>
      </c>
      <c r="D9465" t="s">
        <v>2542</v>
      </c>
      <c r="E9465" t="s">
        <v>112</v>
      </c>
      <c r="F9465" t="s">
        <v>668</v>
      </c>
      <c r="G9465" t="s">
        <v>59</v>
      </c>
      <c r="H9465">
        <v>2025</v>
      </c>
    </row>
    <row r="9466" spans="1:8" x14ac:dyDescent="0.2">
      <c r="A9466">
        <v>308796</v>
      </c>
      <c r="B9466">
        <v>195000</v>
      </c>
      <c r="C9466" t="str">
        <f t="shared" si="147"/>
        <v>2. $10K-50K</v>
      </c>
      <c r="D9466" t="s">
        <v>966</v>
      </c>
      <c r="E9466" t="s">
        <v>825</v>
      </c>
      <c r="F9466" t="s">
        <v>670</v>
      </c>
      <c r="G9466" t="s">
        <v>59</v>
      </c>
      <c r="H9466">
        <v>2025</v>
      </c>
    </row>
    <row r="9467" spans="1:8" x14ac:dyDescent="0.2">
      <c r="A9467">
        <v>308800</v>
      </c>
      <c r="B9467">
        <v>1905860</v>
      </c>
      <c r="C9467" t="str">
        <f t="shared" si="147"/>
        <v>3. $50K-250K</v>
      </c>
      <c r="D9467" t="s">
        <v>41</v>
      </c>
      <c r="E9467" t="s">
        <v>237</v>
      </c>
      <c r="F9467" t="s">
        <v>670</v>
      </c>
      <c r="G9467" t="s">
        <v>59</v>
      </c>
      <c r="H9467">
        <v>2025</v>
      </c>
    </row>
    <row r="9468" spans="1:8" x14ac:dyDescent="0.2">
      <c r="A9468">
        <v>308801</v>
      </c>
      <c r="B9468">
        <v>320000</v>
      </c>
      <c r="C9468" t="str">
        <f t="shared" si="147"/>
        <v>5. $1M+</v>
      </c>
      <c r="D9468" t="s">
        <v>801</v>
      </c>
      <c r="E9468" t="s">
        <v>42</v>
      </c>
      <c r="F9468" t="s">
        <v>670</v>
      </c>
      <c r="G9468" t="s">
        <v>59</v>
      </c>
      <c r="H9468">
        <v>2025</v>
      </c>
    </row>
    <row r="9469" spans="1:8" x14ac:dyDescent="0.2">
      <c r="A9469">
        <v>308835</v>
      </c>
      <c r="B9469">
        <v>116800</v>
      </c>
      <c r="C9469" t="str">
        <f t="shared" si="147"/>
        <v>4. $250K-1M</v>
      </c>
      <c r="D9469" t="s">
        <v>807</v>
      </c>
      <c r="E9469" t="s">
        <v>237</v>
      </c>
      <c r="F9469" t="s">
        <v>670</v>
      </c>
      <c r="G9469" t="s">
        <v>59</v>
      </c>
      <c r="H9469">
        <v>2025</v>
      </c>
    </row>
    <row r="9470" spans="1:8" x14ac:dyDescent="0.2">
      <c r="A9470">
        <v>308836</v>
      </c>
      <c r="B9470">
        <v>46666</v>
      </c>
      <c r="C9470" t="str">
        <f t="shared" si="147"/>
        <v>3. $50K-250K</v>
      </c>
      <c r="D9470" t="s">
        <v>682</v>
      </c>
      <c r="E9470" t="s">
        <v>237</v>
      </c>
      <c r="F9470" t="s">
        <v>670</v>
      </c>
      <c r="G9470" t="s">
        <v>59</v>
      </c>
      <c r="H9470">
        <v>2025</v>
      </c>
    </row>
    <row r="9471" spans="1:8" x14ac:dyDescent="0.2">
      <c r="A9471">
        <v>308888</v>
      </c>
      <c r="B9471">
        <v>760032.89999999898</v>
      </c>
      <c r="C9471" t="str">
        <f t="shared" si="147"/>
        <v>2. $10K-50K</v>
      </c>
      <c r="D9471" t="s">
        <v>2071</v>
      </c>
      <c r="E9471" t="s">
        <v>237</v>
      </c>
      <c r="F9471" t="s">
        <v>670</v>
      </c>
      <c r="G9471" t="s">
        <v>59</v>
      </c>
      <c r="H9471">
        <v>2025</v>
      </c>
    </row>
    <row r="9472" spans="1:8" x14ac:dyDescent="0.2">
      <c r="A9472">
        <v>308889</v>
      </c>
      <c r="B9472">
        <v>1000000</v>
      </c>
      <c r="C9472" t="str">
        <f t="shared" si="147"/>
        <v>4. $250K-1M</v>
      </c>
      <c r="D9472" t="s">
        <v>887</v>
      </c>
      <c r="E9472" t="s">
        <v>237</v>
      </c>
      <c r="F9472" t="s">
        <v>670</v>
      </c>
      <c r="G9472" t="s">
        <v>59</v>
      </c>
      <c r="H9472">
        <v>2025</v>
      </c>
    </row>
    <row r="9473" spans="1:8" x14ac:dyDescent="0.2">
      <c r="A9473">
        <v>308890</v>
      </c>
      <c r="B9473">
        <v>450000</v>
      </c>
      <c r="C9473" t="str">
        <f t="shared" si="147"/>
        <v>5. $1M+</v>
      </c>
      <c r="D9473" t="s">
        <v>1027</v>
      </c>
      <c r="E9473" t="s">
        <v>237</v>
      </c>
      <c r="F9473" t="s">
        <v>670</v>
      </c>
      <c r="G9473" t="s">
        <v>59</v>
      </c>
      <c r="H9473">
        <v>2025</v>
      </c>
    </row>
    <row r="9474" spans="1:8" x14ac:dyDescent="0.2">
      <c r="A9474">
        <v>308894</v>
      </c>
      <c r="B9474">
        <v>148094</v>
      </c>
      <c r="C9474" t="str">
        <f t="shared" si="147"/>
        <v>4. $250K-1M</v>
      </c>
      <c r="D9474" t="s">
        <v>1062</v>
      </c>
      <c r="E9474" t="s">
        <v>42</v>
      </c>
      <c r="F9474" t="s">
        <v>670</v>
      </c>
      <c r="G9474" t="s">
        <v>59</v>
      </c>
      <c r="H9474">
        <v>2025</v>
      </c>
    </row>
    <row r="9475" spans="1:8" x14ac:dyDescent="0.2">
      <c r="A9475">
        <v>308976</v>
      </c>
      <c r="B9475">
        <v>316488.40000000002</v>
      </c>
      <c r="C9475" t="str">
        <f t="shared" ref="C9475:C9538" si="148">IF(B9474&lt;10000,"1. Under $10K",IF(B9474&lt;50000,"2. $10K-50K",IF(B9474&lt;250000,"3. $50K-250K",IF(B9474&lt;1000000,"4. $250K-1M","5. $1M+"))))</f>
        <v>3. $50K-250K</v>
      </c>
      <c r="D9475" t="s">
        <v>849</v>
      </c>
      <c r="E9475" t="s">
        <v>42</v>
      </c>
      <c r="F9475" t="s">
        <v>670</v>
      </c>
      <c r="G9475" t="s">
        <v>59</v>
      </c>
      <c r="H9475">
        <v>2025</v>
      </c>
    </row>
    <row r="9476" spans="1:8" x14ac:dyDescent="0.2">
      <c r="A9476">
        <v>308984</v>
      </c>
      <c r="B9476">
        <v>172455</v>
      </c>
      <c r="C9476" t="str">
        <f t="shared" si="148"/>
        <v>4. $250K-1M</v>
      </c>
      <c r="D9476" t="s">
        <v>801</v>
      </c>
      <c r="E9476" t="s">
        <v>42</v>
      </c>
      <c r="F9476" t="s">
        <v>670</v>
      </c>
      <c r="G9476" t="s">
        <v>59</v>
      </c>
      <c r="H9476">
        <v>2025</v>
      </c>
    </row>
    <row r="9477" spans="1:8" x14ac:dyDescent="0.2">
      <c r="A9477">
        <v>309011</v>
      </c>
      <c r="B9477">
        <v>350000</v>
      </c>
      <c r="C9477" t="str">
        <f t="shared" si="148"/>
        <v>3. $50K-250K</v>
      </c>
      <c r="D9477" t="s">
        <v>1092</v>
      </c>
      <c r="E9477" t="s">
        <v>237</v>
      </c>
      <c r="F9477" t="s">
        <v>670</v>
      </c>
      <c r="G9477" t="s">
        <v>59</v>
      </c>
      <c r="H9477">
        <v>2025</v>
      </c>
    </row>
    <row r="9478" spans="1:8" x14ac:dyDescent="0.2">
      <c r="A9478">
        <v>309035</v>
      </c>
      <c r="B9478">
        <v>1000000</v>
      </c>
      <c r="C9478" t="str">
        <f t="shared" si="148"/>
        <v>4. $250K-1M</v>
      </c>
      <c r="D9478" t="s">
        <v>1027</v>
      </c>
      <c r="E9478" t="s">
        <v>237</v>
      </c>
      <c r="F9478" t="s">
        <v>670</v>
      </c>
      <c r="G9478" t="s">
        <v>59</v>
      </c>
      <c r="H9478">
        <v>2025</v>
      </c>
    </row>
    <row r="9479" spans="1:8" x14ac:dyDescent="0.2">
      <c r="A9479">
        <v>309037</v>
      </c>
      <c r="B9479">
        <v>249032</v>
      </c>
      <c r="C9479" t="str">
        <f t="shared" si="148"/>
        <v>5. $1M+</v>
      </c>
      <c r="D9479" t="s">
        <v>852</v>
      </c>
      <c r="E9479" t="s">
        <v>237</v>
      </c>
      <c r="F9479" t="s">
        <v>670</v>
      </c>
      <c r="G9479" t="s">
        <v>59</v>
      </c>
      <c r="H9479">
        <v>2025</v>
      </c>
    </row>
    <row r="9480" spans="1:8" x14ac:dyDescent="0.2">
      <c r="A9480">
        <v>309038</v>
      </c>
      <c r="B9480">
        <v>442395</v>
      </c>
      <c r="C9480" t="str">
        <f t="shared" si="148"/>
        <v>3. $50K-250K</v>
      </c>
      <c r="D9480" t="s">
        <v>507</v>
      </c>
      <c r="E9480" t="s">
        <v>237</v>
      </c>
      <c r="F9480" t="s">
        <v>670</v>
      </c>
      <c r="G9480" t="s">
        <v>59</v>
      </c>
      <c r="H9480">
        <v>2025</v>
      </c>
    </row>
    <row r="9481" spans="1:8" x14ac:dyDescent="0.2">
      <c r="A9481">
        <v>309039</v>
      </c>
      <c r="B9481">
        <v>69000</v>
      </c>
      <c r="C9481" t="str">
        <f t="shared" si="148"/>
        <v>4. $250K-1M</v>
      </c>
      <c r="D9481" t="s">
        <v>782</v>
      </c>
      <c r="E9481" t="s">
        <v>237</v>
      </c>
      <c r="F9481" t="s">
        <v>670</v>
      </c>
      <c r="G9481" t="s">
        <v>59</v>
      </c>
      <c r="H9481">
        <v>2025</v>
      </c>
    </row>
    <row r="9482" spans="1:8" x14ac:dyDescent="0.2">
      <c r="A9482">
        <v>309040</v>
      </c>
      <c r="B9482">
        <v>20936</v>
      </c>
      <c r="C9482" t="str">
        <f t="shared" si="148"/>
        <v>3. $50K-250K</v>
      </c>
      <c r="D9482" t="s">
        <v>903</v>
      </c>
      <c r="E9482" t="s">
        <v>237</v>
      </c>
      <c r="F9482" t="s">
        <v>670</v>
      </c>
      <c r="G9482" t="s">
        <v>59</v>
      </c>
      <c r="H9482">
        <v>2025</v>
      </c>
    </row>
    <row r="9483" spans="1:8" x14ac:dyDescent="0.2">
      <c r="A9483">
        <v>309041</v>
      </c>
      <c r="B9483">
        <v>130000</v>
      </c>
      <c r="C9483" t="str">
        <f t="shared" si="148"/>
        <v>2. $10K-50K</v>
      </c>
      <c r="D9483" t="s">
        <v>852</v>
      </c>
      <c r="E9483" t="s">
        <v>237</v>
      </c>
      <c r="F9483" t="s">
        <v>670</v>
      </c>
      <c r="G9483" t="s">
        <v>59</v>
      </c>
      <c r="H9483">
        <v>2025</v>
      </c>
    </row>
    <row r="9484" spans="1:8" x14ac:dyDescent="0.2">
      <c r="A9484">
        <v>309042</v>
      </c>
      <c r="B9484">
        <v>174402</v>
      </c>
      <c r="C9484" t="str">
        <f t="shared" si="148"/>
        <v>3. $50K-250K</v>
      </c>
      <c r="D9484" t="s">
        <v>852</v>
      </c>
      <c r="E9484" t="s">
        <v>237</v>
      </c>
      <c r="F9484" t="s">
        <v>670</v>
      </c>
      <c r="G9484" t="s">
        <v>59</v>
      </c>
      <c r="H9484">
        <v>2025</v>
      </c>
    </row>
    <row r="9485" spans="1:8" x14ac:dyDescent="0.2">
      <c r="A9485">
        <v>309072</v>
      </c>
      <c r="B9485">
        <v>405309.1</v>
      </c>
      <c r="C9485" t="str">
        <f t="shared" si="148"/>
        <v>3. $50K-250K</v>
      </c>
      <c r="D9485" t="s">
        <v>1028</v>
      </c>
      <c r="E9485" t="s">
        <v>42</v>
      </c>
      <c r="F9485" t="s">
        <v>670</v>
      </c>
      <c r="G9485" t="s">
        <v>59</v>
      </c>
      <c r="H9485">
        <v>2025</v>
      </c>
    </row>
    <row r="9486" spans="1:8" x14ac:dyDescent="0.2">
      <c r="A9486">
        <v>309073</v>
      </c>
      <c r="B9486">
        <v>125000</v>
      </c>
      <c r="C9486" t="str">
        <f t="shared" si="148"/>
        <v>4. $250K-1M</v>
      </c>
      <c r="D9486" t="s">
        <v>815</v>
      </c>
      <c r="E9486" t="s">
        <v>819</v>
      </c>
      <c r="F9486" t="s">
        <v>670</v>
      </c>
      <c r="G9486" t="s">
        <v>59</v>
      </c>
      <c r="H9486">
        <v>2025</v>
      </c>
    </row>
    <row r="9487" spans="1:8" x14ac:dyDescent="0.2">
      <c r="A9487">
        <v>309074</v>
      </c>
      <c r="B9487">
        <v>65000</v>
      </c>
      <c r="C9487" t="str">
        <f t="shared" si="148"/>
        <v>3. $50K-250K</v>
      </c>
      <c r="D9487" t="s">
        <v>817</v>
      </c>
      <c r="E9487" t="s">
        <v>819</v>
      </c>
      <c r="F9487" t="s">
        <v>670</v>
      </c>
      <c r="G9487" t="s">
        <v>59</v>
      </c>
      <c r="H9487">
        <v>2025</v>
      </c>
    </row>
    <row r="9488" spans="1:8" x14ac:dyDescent="0.2">
      <c r="A9488">
        <v>309076</v>
      </c>
      <c r="B9488">
        <v>211555</v>
      </c>
      <c r="C9488" t="str">
        <f t="shared" si="148"/>
        <v>3. $50K-250K</v>
      </c>
      <c r="D9488" t="s">
        <v>869</v>
      </c>
      <c r="E9488" t="s">
        <v>237</v>
      </c>
      <c r="F9488" t="s">
        <v>670</v>
      </c>
      <c r="G9488" t="s">
        <v>59</v>
      </c>
      <c r="H9488">
        <v>2025</v>
      </c>
    </row>
    <row r="9489" spans="1:8" x14ac:dyDescent="0.2">
      <c r="A9489">
        <v>309077</v>
      </c>
      <c r="B9489">
        <v>100000</v>
      </c>
      <c r="C9489" t="str">
        <f t="shared" si="148"/>
        <v>3. $50K-250K</v>
      </c>
      <c r="D9489" t="s">
        <v>874</v>
      </c>
      <c r="E9489" t="s">
        <v>237</v>
      </c>
      <c r="F9489" t="s">
        <v>670</v>
      </c>
      <c r="G9489" t="s">
        <v>59</v>
      </c>
      <c r="H9489">
        <v>2025</v>
      </c>
    </row>
    <row r="9490" spans="1:8" x14ac:dyDescent="0.2">
      <c r="A9490">
        <v>309081</v>
      </c>
      <c r="B9490">
        <v>65214</v>
      </c>
      <c r="C9490" t="str">
        <f t="shared" si="148"/>
        <v>3. $50K-250K</v>
      </c>
      <c r="D9490" t="s">
        <v>926</v>
      </c>
      <c r="E9490" t="s">
        <v>825</v>
      </c>
      <c r="F9490" t="s">
        <v>670</v>
      </c>
      <c r="G9490" t="s">
        <v>59</v>
      </c>
      <c r="H9490">
        <v>2025</v>
      </c>
    </row>
    <row r="9491" spans="1:8" x14ac:dyDescent="0.2">
      <c r="A9491">
        <v>309083</v>
      </c>
      <c r="B9491">
        <v>52500</v>
      </c>
      <c r="C9491" t="str">
        <f t="shared" si="148"/>
        <v>3. $50K-250K</v>
      </c>
      <c r="D9491" t="s">
        <v>919</v>
      </c>
      <c r="E9491" t="s">
        <v>825</v>
      </c>
      <c r="F9491" t="s">
        <v>670</v>
      </c>
      <c r="G9491" t="s">
        <v>59</v>
      </c>
      <c r="H9491">
        <v>2025</v>
      </c>
    </row>
    <row r="9492" spans="1:8" x14ac:dyDescent="0.2">
      <c r="A9492">
        <v>309084</v>
      </c>
      <c r="B9492">
        <v>40000</v>
      </c>
      <c r="C9492" t="str">
        <f t="shared" si="148"/>
        <v>3. $50K-250K</v>
      </c>
      <c r="D9492" t="s">
        <v>937</v>
      </c>
      <c r="E9492" t="s">
        <v>237</v>
      </c>
      <c r="F9492" t="s">
        <v>670</v>
      </c>
      <c r="G9492" t="s">
        <v>59</v>
      </c>
      <c r="H9492">
        <v>2025</v>
      </c>
    </row>
    <row r="9493" spans="1:8" x14ac:dyDescent="0.2">
      <c r="A9493">
        <v>309085</v>
      </c>
      <c r="B9493">
        <v>98790</v>
      </c>
      <c r="C9493" t="str">
        <f t="shared" si="148"/>
        <v>2. $10K-50K</v>
      </c>
      <c r="D9493" t="s">
        <v>919</v>
      </c>
      <c r="E9493" t="s">
        <v>825</v>
      </c>
      <c r="F9493" t="s">
        <v>670</v>
      </c>
      <c r="G9493" t="s">
        <v>59</v>
      </c>
      <c r="H9493">
        <v>2025</v>
      </c>
    </row>
    <row r="9494" spans="1:8" x14ac:dyDescent="0.2">
      <c r="A9494">
        <v>309109</v>
      </c>
      <c r="B9494">
        <v>62931</v>
      </c>
      <c r="C9494" t="str">
        <f t="shared" si="148"/>
        <v>3. $50K-250K</v>
      </c>
      <c r="D9494" t="s">
        <v>864</v>
      </c>
      <c r="E9494" t="s">
        <v>237</v>
      </c>
      <c r="F9494" t="s">
        <v>670</v>
      </c>
      <c r="G9494" t="s">
        <v>59</v>
      </c>
      <c r="H9494">
        <v>2025</v>
      </c>
    </row>
    <row r="9495" spans="1:8" x14ac:dyDescent="0.2">
      <c r="A9495">
        <v>309137</v>
      </c>
      <c r="B9495">
        <v>200754</v>
      </c>
      <c r="C9495" t="str">
        <f t="shared" si="148"/>
        <v>3. $50K-250K</v>
      </c>
      <c r="D9495" t="s">
        <v>990</v>
      </c>
      <c r="E9495" t="s">
        <v>237</v>
      </c>
      <c r="F9495" t="s">
        <v>670</v>
      </c>
      <c r="G9495" t="s">
        <v>59</v>
      </c>
      <c r="H9495">
        <v>2025</v>
      </c>
    </row>
    <row r="9496" spans="1:8" x14ac:dyDescent="0.2">
      <c r="A9496">
        <v>309138</v>
      </c>
      <c r="B9496">
        <v>461733</v>
      </c>
      <c r="C9496" t="str">
        <f t="shared" si="148"/>
        <v>3. $50K-250K</v>
      </c>
      <c r="D9496" t="s">
        <v>1093</v>
      </c>
      <c r="E9496" t="s">
        <v>237</v>
      </c>
      <c r="F9496" t="s">
        <v>670</v>
      </c>
      <c r="G9496" t="s">
        <v>59</v>
      </c>
      <c r="H9496">
        <v>2025</v>
      </c>
    </row>
    <row r="9497" spans="1:8" x14ac:dyDescent="0.2">
      <c r="A9497">
        <v>309139</v>
      </c>
      <c r="B9497">
        <v>16506956</v>
      </c>
      <c r="C9497" t="str">
        <f t="shared" si="148"/>
        <v>4. $250K-1M</v>
      </c>
      <c r="D9497" t="s">
        <v>1094</v>
      </c>
      <c r="E9497" t="s">
        <v>237</v>
      </c>
      <c r="F9497" t="s">
        <v>670</v>
      </c>
      <c r="G9497" t="s">
        <v>59</v>
      </c>
      <c r="H9497">
        <v>2025</v>
      </c>
    </row>
    <row r="9498" spans="1:8" x14ac:dyDescent="0.2">
      <c r="A9498">
        <v>309140</v>
      </c>
      <c r="B9498">
        <v>10158126</v>
      </c>
      <c r="C9498" t="str">
        <f t="shared" si="148"/>
        <v>5. $1M+</v>
      </c>
      <c r="D9498" t="s">
        <v>799</v>
      </c>
      <c r="E9498" t="s">
        <v>237</v>
      </c>
      <c r="F9498" t="s">
        <v>670</v>
      </c>
      <c r="G9498" t="s">
        <v>59</v>
      </c>
      <c r="H9498">
        <v>2025</v>
      </c>
    </row>
    <row r="9499" spans="1:8" x14ac:dyDescent="0.2">
      <c r="A9499">
        <v>309141</v>
      </c>
      <c r="B9499">
        <v>230867</v>
      </c>
      <c r="C9499" t="str">
        <f t="shared" si="148"/>
        <v>5. $1M+</v>
      </c>
      <c r="D9499" t="s">
        <v>821</v>
      </c>
      <c r="E9499" t="s">
        <v>237</v>
      </c>
      <c r="F9499" t="s">
        <v>670</v>
      </c>
      <c r="G9499" t="s">
        <v>59</v>
      </c>
      <c r="H9499">
        <v>2025</v>
      </c>
    </row>
    <row r="9500" spans="1:8" x14ac:dyDescent="0.2">
      <c r="A9500">
        <v>309142</v>
      </c>
      <c r="B9500">
        <v>150563</v>
      </c>
      <c r="C9500" t="str">
        <f t="shared" si="148"/>
        <v>3. $50K-250K</v>
      </c>
      <c r="D9500" t="s">
        <v>980</v>
      </c>
      <c r="E9500" t="s">
        <v>237</v>
      </c>
      <c r="F9500" t="s">
        <v>670</v>
      </c>
      <c r="G9500" t="s">
        <v>59</v>
      </c>
      <c r="H9500">
        <v>2025</v>
      </c>
    </row>
    <row r="9501" spans="1:8" x14ac:dyDescent="0.2">
      <c r="A9501">
        <v>309143</v>
      </c>
      <c r="B9501">
        <v>692600</v>
      </c>
      <c r="C9501" t="str">
        <f t="shared" si="148"/>
        <v>3. $50K-250K</v>
      </c>
      <c r="D9501" t="s">
        <v>783</v>
      </c>
      <c r="E9501" t="s">
        <v>237</v>
      </c>
      <c r="F9501" t="s">
        <v>670</v>
      </c>
      <c r="G9501" t="s">
        <v>59</v>
      </c>
      <c r="H9501">
        <v>2025</v>
      </c>
    </row>
    <row r="9502" spans="1:8" x14ac:dyDescent="0.2">
      <c r="A9502">
        <v>309144</v>
      </c>
      <c r="B9502">
        <v>2308665</v>
      </c>
      <c r="C9502" t="str">
        <f t="shared" si="148"/>
        <v>4. $250K-1M</v>
      </c>
      <c r="D9502" t="s">
        <v>942</v>
      </c>
      <c r="E9502" t="s">
        <v>237</v>
      </c>
      <c r="F9502" t="s">
        <v>670</v>
      </c>
      <c r="G9502" t="s">
        <v>59</v>
      </c>
      <c r="H9502">
        <v>2025</v>
      </c>
    </row>
    <row r="9503" spans="1:8" x14ac:dyDescent="0.2">
      <c r="A9503">
        <v>309145</v>
      </c>
      <c r="B9503">
        <v>346301</v>
      </c>
      <c r="C9503" t="str">
        <f t="shared" si="148"/>
        <v>5. $1M+</v>
      </c>
      <c r="D9503" t="s">
        <v>1891</v>
      </c>
      <c r="E9503" t="s">
        <v>237</v>
      </c>
      <c r="F9503" t="s">
        <v>670</v>
      </c>
      <c r="G9503" t="s">
        <v>59</v>
      </c>
      <c r="H9503">
        <v>2025</v>
      </c>
    </row>
    <row r="9504" spans="1:8" x14ac:dyDescent="0.2">
      <c r="A9504">
        <v>309146</v>
      </c>
      <c r="B9504">
        <v>461733</v>
      </c>
      <c r="C9504" t="str">
        <f t="shared" si="148"/>
        <v>4. $250K-1M</v>
      </c>
      <c r="D9504" t="s">
        <v>1098</v>
      </c>
      <c r="E9504" t="s">
        <v>237</v>
      </c>
      <c r="F9504" t="s">
        <v>670</v>
      </c>
      <c r="G9504" t="s">
        <v>59</v>
      </c>
      <c r="H9504">
        <v>2025</v>
      </c>
    </row>
    <row r="9505" spans="1:8" x14ac:dyDescent="0.2">
      <c r="A9505">
        <v>309147</v>
      </c>
      <c r="B9505">
        <v>692600</v>
      </c>
      <c r="C9505" t="str">
        <f t="shared" si="148"/>
        <v>4. $250K-1M</v>
      </c>
      <c r="D9505" t="s">
        <v>984</v>
      </c>
      <c r="E9505" t="s">
        <v>237</v>
      </c>
      <c r="F9505" t="s">
        <v>670</v>
      </c>
      <c r="G9505" t="s">
        <v>59</v>
      </c>
      <c r="H9505">
        <v>2025</v>
      </c>
    </row>
    <row r="9506" spans="1:8" x14ac:dyDescent="0.2">
      <c r="A9506">
        <v>309148</v>
      </c>
      <c r="B9506">
        <v>230867</v>
      </c>
      <c r="C9506" t="str">
        <f t="shared" si="148"/>
        <v>4. $250K-1M</v>
      </c>
      <c r="D9506" t="s">
        <v>724</v>
      </c>
      <c r="E9506" t="s">
        <v>237</v>
      </c>
      <c r="F9506" t="s">
        <v>670</v>
      </c>
      <c r="G9506" t="s">
        <v>59</v>
      </c>
      <c r="H9506">
        <v>2025</v>
      </c>
    </row>
    <row r="9507" spans="1:8" x14ac:dyDescent="0.2">
      <c r="A9507">
        <v>309149</v>
      </c>
      <c r="B9507">
        <v>230867</v>
      </c>
      <c r="C9507" t="str">
        <f t="shared" si="148"/>
        <v>3. $50K-250K</v>
      </c>
      <c r="D9507" t="s">
        <v>911</v>
      </c>
      <c r="E9507" t="s">
        <v>237</v>
      </c>
      <c r="F9507" t="s">
        <v>670</v>
      </c>
      <c r="G9507" t="s">
        <v>59</v>
      </c>
      <c r="H9507">
        <v>2025</v>
      </c>
    </row>
    <row r="9508" spans="1:8" x14ac:dyDescent="0.2">
      <c r="A9508">
        <v>309150</v>
      </c>
      <c r="B9508">
        <v>692600</v>
      </c>
      <c r="C9508" t="str">
        <f t="shared" si="148"/>
        <v>3. $50K-250K</v>
      </c>
      <c r="D9508" t="s">
        <v>985</v>
      </c>
      <c r="E9508" t="s">
        <v>237</v>
      </c>
      <c r="F9508" t="s">
        <v>670</v>
      </c>
      <c r="G9508" t="s">
        <v>59</v>
      </c>
      <c r="H9508">
        <v>2025</v>
      </c>
    </row>
    <row r="9509" spans="1:8" x14ac:dyDescent="0.2">
      <c r="A9509">
        <v>309151</v>
      </c>
      <c r="B9509">
        <v>230867</v>
      </c>
      <c r="C9509" t="str">
        <f t="shared" si="148"/>
        <v>4. $250K-1M</v>
      </c>
      <c r="D9509" t="s">
        <v>2543</v>
      </c>
      <c r="E9509" t="s">
        <v>237</v>
      </c>
      <c r="F9509" t="s">
        <v>670</v>
      </c>
      <c r="G9509" t="s">
        <v>59</v>
      </c>
      <c r="H9509">
        <v>2025</v>
      </c>
    </row>
    <row r="9510" spans="1:8" x14ac:dyDescent="0.2">
      <c r="A9510">
        <v>309152</v>
      </c>
      <c r="B9510">
        <v>923466</v>
      </c>
      <c r="C9510" t="str">
        <f t="shared" si="148"/>
        <v>3. $50K-250K</v>
      </c>
      <c r="D9510" t="s">
        <v>986</v>
      </c>
      <c r="E9510" t="s">
        <v>237</v>
      </c>
      <c r="F9510" t="s">
        <v>670</v>
      </c>
      <c r="G9510" t="s">
        <v>59</v>
      </c>
      <c r="H9510">
        <v>2025</v>
      </c>
    </row>
    <row r="9511" spans="1:8" x14ac:dyDescent="0.2">
      <c r="A9511">
        <v>309153</v>
      </c>
      <c r="B9511">
        <v>461733</v>
      </c>
      <c r="C9511" t="str">
        <f t="shared" si="148"/>
        <v>4. $250K-1M</v>
      </c>
      <c r="D9511" t="s">
        <v>2544</v>
      </c>
      <c r="E9511" t="s">
        <v>237</v>
      </c>
      <c r="F9511" t="s">
        <v>670</v>
      </c>
      <c r="G9511" t="s">
        <v>59</v>
      </c>
      <c r="H9511">
        <v>2025</v>
      </c>
    </row>
    <row r="9512" spans="1:8" x14ac:dyDescent="0.2">
      <c r="A9512">
        <v>309154</v>
      </c>
      <c r="B9512">
        <v>461733</v>
      </c>
      <c r="C9512" t="str">
        <f t="shared" si="148"/>
        <v>4. $250K-1M</v>
      </c>
      <c r="D9512" t="s">
        <v>749</v>
      </c>
      <c r="E9512" t="s">
        <v>237</v>
      </c>
      <c r="F9512" t="s">
        <v>670</v>
      </c>
      <c r="G9512" t="s">
        <v>59</v>
      </c>
      <c r="H9512">
        <v>2025</v>
      </c>
    </row>
    <row r="9513" spans="1:8" x14ac:dyDescent="0.2">
      <c r="A9513">
        <v>309155</v>
      </c>
      <c r="B9513">
        <v>230867</v>
      </c>
      <c r="C9513" t="str">
        <f t="shared" si="148"/>
        <v>4. $250K-1M</v>
      </c>
      <c r="D9513" t="s">
        <v>989</v>
      </c>
      <c r="E9513" t="s">
        <v>237</v>
      </c>
      <c r="F9513" t="s">
        <v>670</v>
      </c>
      <c r="G9513" t="s">
        <v>59</v>
      </c>
      <c r="H9513">
        <v>2025</v>
      </c>
    </row>
    <row r="9514" spans="1:8" x14ac:dyDescent="0.2">
      <c r="A9514">
        <v>309156</v>
      </c>
      <c r="B9514">
        <v>577167</v>
      </c>
      <c r="C9514" t="str">
        <f t="shared" si="148"/>
        <v>3. $50K-250K</v>
      </c>
      <c r="D9514" t="s">
        <v>1583</v>
      </c>
      <c r="E9514" t="s">
        <v>237</v>
      </c>
      <c r="F9514" t="s">
        <v>670</v>
      </c>
      <c r="G9514" t="s">
        <v>59</v>
      </c>
      <c r="H9514">
        <v>2025</v>
      </c>
    </row>
    <row r="9515" spans="1:8" x14ac:dyDescent="0.2">
      <c r="A9515">
        <v>309157</v>
      </c>
      <c r="B9515">
        <v>2077799</v>
      </c>
      <c r="C9515" t="str">
        <f t="shared" si="148"/>
        <v>4. $250K-1M</v>
      </c>
      <c r="D9515" t="s">
        <v>801</v>
      </c>
      <c r="E9515" t="s">
        <v>237</v>
      </c>
      <c r="F9515" t="s">
        <v>670</v>
      </c>
      <c r="G9515" t="s">
        <v>59</v>
      </c>
      <c r="H9515">
        <v>2025</v>
      </c>
    </row>
    <row r="9516" spans="1:8" x14ac:dyDescent="0.2">
      <c r="A9516">
        <v>309158</v>
      </c>
      <c r="B9516">
        <v>230867</v>
      </c>
      <c r="C9516" t="str">
        <f t="shared" si="148"/>
        <v>5. $1M+</v>
      </c>
      <c r="D9516" t="s">
        <v>1074</v>
      </c>
      <c r="E9516" t="s">
        <v>237</v>
      </c>
      <c r="F9516" t="s">
        <v>670</v>
      </c>
      <c r="G9516" t="s">
        <v>59</v>
      </c>
      <c r="H9516">
        <v>2025</v>
      </c>
    </row>
    <row r="9517" spans="1:8" x14ac:dyDescent="0.2">
      <c r="A9517">
        <v>309159</v>
      </c>
      <c r="B9517">
        <v>30113</v>
      </c>
      <c r="C9517" t="str">
        <f t="shared" si="148"/>
        <v>3. $50K-250K</v>
      </c>
      <c r="D9517" t="s">
        <v>990</v>
      </c>
      <c r="E9517" t="s">
        <v>237</v>
      </c>
      <c r="F9517" t="s">
        <v>670</v>
      </c>
      <c r="G9517" t="s">
        <v>59</v>
      </c>
      <c r="H9517">
        <v>2025</v>
      </c>
    </row>
    <row r="9518" spans="1:8" x14ac:dyDescent="0.2">
      <c r="A9518">
        <v>309160</v>
      </c>
      <c r="B9518">
        <v>2539533</v>
      </c>
      <c r="C9518" t="str">
        <f t="shared" si="148"/>
        <v>2. $10K-50K</v>
      </c>
      <c r="D9518" t="s">
        <v>708</v>
      </c>
      <c r="E9518" t="s">
        <v>237</v>
      </c>
      <c r="F9518" t="s">
        <v>670</v>
      </c>
      <c r="G9518" t="s">
        <v>59</v>
      </c>
      <c r="H9518">
        <v>2025</v>
      </c>
    </row>
    <row r="9519" spans="1:8" x14ac:dyDescent="0.2">
      <c r="A9519">
        <v>309161</v>
      </c>
      <c r="B9519">
        <v>346301</v>
      </c>
      <c r="C9519" t="str">
        <f t="shared" si="148"/>
        <v>5. $1M+</v>
      </c>
      <c r="D9519" t="s">
        <v>763</v>
      </c>
      <c r="E9519" t="s">
        <v>237</v>
      </c>
      <c r="F9519" t="s">
        <v>670</v>
      </c>
      <c r="G9519" t="s">
        <v>59</v>
      </c>
      <c r="H9519">
        <v>2025</v>
      </c>
    </row>
    <row r="9520" spans="1:8" x14ac:dyDescent="0.2">
      <c r="A9520">
        <v>309162</v>
      </c>
      <c r="B9520">
        <v>230867</v>
      </c>
      <c r="C9520" t="str">
        <f t="shared" si="148"/>
        <v>4. $250K-1M</v>
      </c>
      <c r="D9520" t="s">
        <v>1076</v>
      </c>
      <c r="E9520" t="s">
        <v>237</v>
      </c>
      <c r="F9520" t="s">
        <v>670</v>
      </c>
      <c r="G9520" t="s">
        <v>59</v>
      </c>
      <c r="H9520">
        <v>2025</v>
      </c>
    </row>
    <row r="9521" spans="1:8" x14ac:dyDescent="0.2">
      <c r="A9521">
        <v>309163</v>
      </c>
      <c r="B9521">
        <v>923466</v>
      </c>
      <c r="C9521" t="str">
        <f t="shared" si="148"/>
        <v>3. $50K-250K</v>
      </c>
      <c r="D9521" t="s">
        <v>803</v>
      </c>
      <c r="E9521" t="s">
        <v>237</v>
      </c>
      <c r="F9521" t="s">
        <v>670</v>
      </c>
      <c r="G9521" t="s">
        <v>59</v>
      </c>
      <c r="H9521">
        <v>2025</v>
      </c>
    </row>
    <row r="9522" spans="1:8" x14ac:dyDescent="0.2">
      <c r="A9522">
        <v>309164</v>
      </c>
      <c r="B9522">
        <v>461733</v>
      </c>
      <c r="C9522" t="str">
        <f t="shared" si="148"/>
        <v>4. $250K-1M</v>
      </c>
      <c r="D9522" t="s">
        <v>804</v>
      </c>
      <c r="E9522" t="s">
        <v>237</v>
      </c>
      <c r="F9522" t="s">
        <v>670</v>
      </c>
      <c r="G9522" t="s">
        <v>59</v>
      </c>
      <c r="H9522">
        <v>2025</v>
      </c>
    </row>
    <row r="9523" spans="1:8" x14ac:dyDescent="0.2">
      <c r="A9523">
        <v>309166</v>
      </c>
      <c r="B9523">
        <v>1154333</v>
      </c>
      <c r="C9523" t="str">
        <f t="shared" si="148"/>
        <v>4. $250K-1M</v>
      </c>
      <c r="D9523" t="s">
        <v>781</v>
      </c>
      <c r="E9523" t="s">
        <v>237</v>
      </c>
      <c r="F9523" t="s">
        <v>670</v>
      </c>
      <c r="G9523" t="s">
        <v>59</v>
      </c>
      <c r="H9523">
        <v>2025</v>
      </c>
    </row>
    <row r="9524" spans="1:8" x14ac:dyDescent="0.2">
      <c r="A9524">
        <v>309167</v>
      </c>
      <c r="B9524">
        <v>461733</v>
      </c>
      <c r="C9524" t="str">
        <f t="shared" si="148"/>
        <v>5. $1M+</v>
      </c>
      <c r="D9524" t="s">
        <v>673</v>
      </c>
      <c r="E9524" t="s">
        <v>237</v>
      </c>
      <c r="F9524" t="s">
        <v>670</v>
      </c>
      <c r="G9524" t="s">
        <v>59</v>
      </c>
      <c r="H9524">
        <v>2025</v>
      </c>
    </row>
    <row r="9525" spans="1:8" x14ac:dyDescent="0.2">
      <c r="A9525">
        <v>309168</v>
      </c>
      <c r="B9525">
        <v>346301</v>
      </c>
      <c r="C9525" t="str">
        <f t="shared" si="148"/>
        <v>4. $250K-1M</v>
      </c>
      <c r="D9525" t="s">
        <v>1110</v>
      </c>
      <c r="E9525" t="s">
        <v>237</v>
      </c>
      <c r="F9525" t="s">
        <v>670</v>
      </c>
      <c r="G9525" t="s">
        <v>59</v>
      </c>
      <c r="H9525">
        <v>2025</v>
      </c>
    </row>
    <row r="9526" spans="1:8" x14ac:dyDescent="0.2">
      <c r="A9526">
        <v>309169</v>
      </c>
      <c r="B9526">
        <v>346301</v>
      </c>
      <c r="C9526" t="str">
        <f t="shared" si="148"/>
        <v>4. $250K-1M</v>
      </c>
      <c r="D9526" t="s">
        <v>1361</v>
      </c>
      <c r="E9526" t="s">
        <v>237</v>
      </c>
      <c r="F9526" t="s">
        <v>670</v>
      </c>
      <c r="G9526" t="s">
        <v>59</v>
      </c>
      <c r="H9526">
        <v>2025</v>
      </c>
    </row>
    <row r="9527" spans="1:8" x14ac:dyDescent="0.2">
      <c r="A9527">
        <v>309170</v>
      </c>
      <c r="B9527">
        <v>923466</v>
      </c>
      <c r="C9527" t="str">
        <f t="shared" si="148"/>
        <v>4. $250K-1M</v>
      </c>
      <c r="D9527" t="s">
        <v>925</v>
      </c>
      <c r="E9527" t="s">
        <v>237</v>
      </c>
      <c r="F9527" t="s">
        <v>670</v>
      </c>
      <c r="G9527" t="s">
        <v>59</v>
      </c>
      <c r="H9527">
        <v>2025</v>
      </c>
    </row>
    <row r="9528" spans="1:8" x14ac:dyDescent="0.2">
      <c r="A9528">
        <v>309171</v>
      </c>
      <c r="B9528">
        <v>230867</v>
      </c>
      <c r="C9528" t="str">
        <f t="shared" si="148"/>
        <v>4. $250K-1M</v>
      </c>
      <c r="D9528" t="s">
        <v>1084</v>
      </c>
      <c r="E9528" t="s">
        <v>237</v>
      </c>
      <c r="F9528" t="s">
        <v>670</v>
      </c>
      <c r="G9528" t="s">
        <v>59</v>
      </c>
      <c r="H9528">
        <v>2025</v>
      </c>
    </row>
    <row r="9529" spans="1:8" x14ac:dyDescent="0.2">
      <c r="A9529">
        <v>309172</v>
      </c>
      <c r="B9529">
        <v>577167</v>
      </c>
      <c r="C9529" t="str">
        <f t="shared" si="148"/>
        <v>3. $50K-250K</v>
      </c>
      <c r="D9529" t="s">
        <v>1478</v>
      </c>
      <c r="E9529" t="s">
        <v>237</v>
      </c>
      <c r="F9529" t="s">
        <v>670</v>
      </c>
      <c r="G9529" t="s">
        <v>59</v>
      </c>
      <c r="H9529">
        <v>2025</v>
      </c>
    </row>
    <row r="9530" spans="1:8" x14ac:dyDescent="0.2">
      <c r="A9530">
        <v>309174</v>
      </c>
      <c r="B9530">
        <v>1003770</v>
      </c>
      <c r="C9530" t="str">
        <f t="shared" si="148"/>
        <v>4. $250K-1M</v>
      </c>
      <c r="D9530" t="s">
        <v>980</v>
      </c>
      <c r="E9530" t="s">
        <v>237</v>
      </c>
      <c r="F9530" t="s">
        <v>670</v>
      </c>
      <c r="G9530" t="s">
        <v>59</v>
      </c>
      <c r="H9530">
        <v>2025</v>
      </c>
    </row>
    <row r="9531" spans="1:8" x14ac:dyDescent="0.2">
      <c r="A9531">
        <v>309176</v>
      </c>
      <c r="B9531">
        <v>161752</v>
      </c>
      <c r="C9531" t="str">
        <f t="shared" si="148"/>
        <v>5. $1M+</v>
      </c>
      <c r="D9531" t="s">
        <v>799</v>
      </c>
      <c r="E9531" t="s">
        <v>237</v>
      </c>
      <c r="F9531" t="s">
        <v>670</v>
      </c>
      <c r="G9531" t="s">
        <v>59</v>
      </c>
      <c r="H9531">
        <v>2025</v>
      </c>
    </row>
    <row r="9532" spans="1:8" x14ac:dyDescent="0.2">
      <c r="A9532">
        <v>309177</v>
      </c>
      <c r="B9532">
        <v>53918</v>
      </c>
      <c r="C9532" t="str">
        <f t="shared" si="148"/>
        <v>3. $50K-250K</v>
      </c>
      <c r="D9532" t="s">
        <v>717</v>
      </c>
      <c r="E9532" t="s">
        <v>237</v>
      </c>
      <c r="F9532" t="s">
        <v>670</v>
      </c>
      <c r="G9532" t="s">
        <v>59</v>
      </c>
      <c r="H9532">
        <v>2025</v>
      </c>
    </row>
    <row r="9533" spans="1:8" x14ac:dyDescent="0.2">
      <c r="A9533">
        <v>309178</v>
      </c>
      <c r="B9533">
        <v>107835</v>
      </c>
      <c r="C9533" t="str">
        <f t="shared" si="148"/>
        <v>3. $50K-250K</v>
      </c>
      <c r="D9533" t="s">
        <v>980</v>
      </c>
      <c r="E9533" t="s">
        <v>237</v>
      </c>
      <c r="F9533" t="s">
        <v>670</v>
      </c>
      <c r="G9533" t="s">
        <v>59</v>
      </c>
      <c r="H9533">
        <v>2025</v>
      </c>
    </row>
    <row r="9534" spans="1:8" x14ac:dyDescent="0.2">
      <c r="A9534">
        <v>309179</v>
      </c>
      <c r="B9534">
        <v>107835</v>
      </c>
      <c r="C9534" t="str">
        <f t="shared" si="148"/>
        <v>3. $50K-250K</v>
      </c>
      <c r="D9534" t="s">
        <v>986</v>
      </c>
      <c r="E9534" t="s">
        <v>237</v>
      </c>
      <c r="F9534" t="s">
        <v>670</v>
      </c>
      <c r="G9534" t="s">
        <v>59</v>
      </c>
      <c r="H9534">
        <v>2025</v>
      </c>
    </row>
    <row r="9535" spans="1:8" x14ac:dyDescent="0.2">
      <c r="A9535">
        <v>309180</v>
      </c>
      <c r="B9535">
        <v>53918</v>
      </c>
      <c r="C9535" t="str">
        <f t="shared" si="148"/>
        <v>3. $50K-250K</v>
      </c>
      <c r="D9535" t="s">
        <v>749</v>
      </c>
      <c r="E9535" t="s">
        <v>237</v>
      </c>
      <c r="F9535" t="s">
        <v>670</v>
      </c>
      <c r="G9535" t="s">
        <v>59</v>
      </c>
      <c r="H9535">
        <v>2025</v>
      </c>
    </row>
    <row r="9536" spans="1:8" x14ac:dyDescent="0.2">
      <c r="A9536">
        <v>309181</v>
      </c>
      <c r="B9536">
        <v>107835</v>
      </c>
      <c r="C9536" t="str">
        <f t="shared" si="148"/>
        <v>3. $50K-250K</v>
      </c>
      <c r="D9536" t="s">
        <v>801</v>
      </c>
      <c r="E9536" t="s">
        <v>237</v>
      </c>
      <c r="F9536" t="s">
        <v>670</v>
      </c>
      <c r="G9536" t="s">
        <v>59</v>
      </c>
      <c r="H9536">
        <v>2025</v>
      </c>
    </row>
    <row r="9537" spans="1:8" x14ac:dyDescent="0.2">
      <c r="A9537">
        <v>309182</v>
      </c>
      <c r="B9537">
        <v>53918</v>
      </c>
      <c r="C9537" t="str">
        <f t="shared" si="148"/>
        <v>3. $50K-250K</v>
      </c>
      <c r="D9537" t="s">
        <v>1074</v>
      </c>
      <c r="E9537" t="s">
        <v>237</v>
      </c>
      <c r="F9537" t="s">
        <v>670</v>
      </c>
      <c r="G9537" t="s">
        <v>59</v>
      </c>
      <c r="H9537">
        <v>2025</v>
      </c>
    </row>
    <row r="9538" spans="1:8" x14ac:dyDescent="0.2">
      <c r="A9538">
        <v>309183</v>
      </c>
      <c r="B9538">
        <v>107835</v>
      </c>
      <c r="C9538" t="str">
        <f t="shared" si="148"/>
        <v>3. $50K-250K</v>
      </c>
      <c r="D9538" t="s">
        <v>990</v>
      </c>
      <c r="E9538" t="s">
        <v>237</v>
      </c>
      <c r="F9538" t="s">
        <v>670</v>
      </c>
      <c r="G9538" t="s">
        <v>59</v>
      </c>
      <c r="H9538">
        <v>2025</v>
      </c>
    </row>
    <row r="9539" spans="1:8" x14ac:dyDescent="0.2">
      <c r="A9539">
        <v>309184</v>
      </c>
      <c r="B9539">
        <v>53918</v>
      </c>
      <c r="C9539" t="str">
        <f t="shared" ref="C9539:C9602" si="149">IF(B9538&lt;10000,"1. Under $10K",IF(B9538&lt;50000,"2. $10K-50K",IF(B9538&lt;250000,"3. $50K-250K",IF(B9538&lt;1000000,"4. $250K-1M","5. $1M+"))))</f>
        <v>3. $50K-250K</v>
      </c>
      <c r="D9539" t="s">
        <v>803</v>
      </c>
      <c r="E9539" t="s">
        <v>237</v>
      </c>
      <c r="F9539" t="s">
        <v>670</v>
      </c>
      <c r="G9539" t="s">
        <v>59</v>
      </c>
      <c r="H9539">
        <v>2025</v>
      </c>
    </row>
    <row r="9540" spans="1:8" x14ac:dyDescent="0.2">
      <c r="A9540">
        <v>309185</v>
      </c>
      <c r="B9540">
        <v>107835</v>
      </c>
      <c r="C9540" t="str">
        <f t="shared" si="149"/>
        <v>3. $50K-250K</v>
      </c>
      <c r="D9540" t="s">
        <v>781</v>
      </c>
      <c r="E9540" t="s">
        <v>237</v>
      </c>
      <c r="F9540" t="s">
        <v>670</v>
      </c>
      <c r="G9540" t="s">
        <v>59</v>
      </c>
      <c r="H9540">
        <v>2025</v>
      </c>
    </row>
    <row r="9541" spans="1:8" x14ac:dyDescent="0.2">
      <c r="A9541">
        <v>309186</v>
      </c>
      <c r="B9541">
        <v>53918</v>
      </c>
      <c r="C9541" t="str">
        <f t="shared" si="149"/>
        <v>3. $50K-250K</v>
      </c>
      <c r="D9541" t="s">
        <v>925</v>
      </c>
      <c r="E9541" t="s">
        <v>237</v>
      </c>
      <c r="F9541" t="s">
        <v>670</v>
      </c>
      <c r="G9541" t="s">
        <v>59</v>
      </c>
      <c r="H9541">
        <v>2025</v>
      </c>
    </row>
    <row r="9542" spans="1:8" x14ac:dyDescent="0.2">
      <c r="A9542">
        <v>309187</v>
      </c>
      <c r="B9542">
        <v>1078344</v>
      </c>
      <c r="C9542" t="str">
        <f t="shared" si="149"/>
        <v>3. $50K-250K</v>
      </c>
      <c r="D9542" t="s">
        <v>799</v>
      </c>
      <c r="E9542" t="s">
        <v>237</v>
      </c>
      <c r="F9542" t="s">
        <v>670</v>
      </c>
      <c r="G9542" t="s">
        <v>59</v>
      </c>
      <c r="H9542">
        <v>2025</v>
      </c>
    </row>
    <row r="9543" spans="1:8" x14ac:dyDescent="0.2">
      <c r="A9543">
        <v>309188</v>
      </c>
      <c r="B9543">
        <v>359448</v>
      </c>
      <c r="C9543" t="str">
        <f t="shared" si="149"/>
        <v>5. $1M+</v>
      </c>
      <c r="D9543" t="s">
        <v>717</v>
      </c>
      <c r="E9543" t="s">
        <v>237</v>
      </c>
      <c r="F9543" t="s">
        <v>670</v>
      </c>
      <c r="G9543" t="s">
        <v>59</v>
      </c>
      <c r="H9543">
        <v>2025</v>
      </c>
    </row>
    <row r="9544" spans="1:8" x14ac:dyDescent="0.2">
      <c r="A9544">
        <v>309189</v>
      </c>
      <c r="B9544">
        <v>718896</v>
      </c>
      <c r="C9544" t="str">
        <f t="shared" si="149"/>
        <v>4. $250K-1M</v>
      </c>
      <c r="D9544" t="s">
        <v>980</v>
      </c>
      <c r="E9544" t="s">
        <v>237</v>
      </c>
      <c r="F9544" t="s">
        <v>670</v>
      </c>
      <c r="G9544" t="s">
        <v>59</v>
      </c>
      <c r="H9544">
        <v>2025</v>
      </c>
    </row>
    <row r="9545" spans="1:8" x14ac:dyDescent="0.2">
      <c r="A9545">
        <v>309190</v>
      </c>
      <c r="B9545">
        <v>718896</v>
      </c>
      <c r="C9545" t="str">
        <f t="shared" si="149"/>
        <v>4. $250K-1M</v>
      </c>
      <c r="D9545" t="s">
        <v>986</v>
      </c>
      <c r="E9545" t="s">
        <v>237</v>
      </c>
      <c r="F9545" t="s">
        <v>670</v>
      </c>
      <c r="G9545" t="s">
        <v>59</v>
      </c>
      <c r="H9545">
        <v>2025</v>
      </c>
    </row>
    <row r="9546" spans="1:8" x14ac:dyDescent="0.2">
      <c r="A9546">
        <v>309191</v>
      </c>
      <c r="B9546">
        <v>359448</v>
      </c>
      <c r="C9546" t="str">
        <f t="shared" si="149"/>
        <v>4. $250K-1M</v>
      </c>
      <c r="D9546" t="s">
        <v>749</v>
      </c>
      <c r="E9546" t="s">
        <v>237</v>
      </c>
      <c r="F9546" t="s">
        <v>670</v>
      </c>
      <c r="G9546" t="s">
        <v>59</v>
      </c>
      <c r="H9546">
        <v>2025</v>
      </c>
    </row>
    <row r="9547" spans="1:8" x14ac:dyDescent="0.2">
      <c r="A9547">
        <v>309192</v>
      </c>
      <c r="B9547">
        <v>718896</v>
      </c>
      <c r="C9547" t="str">
        <f t="shared" si="149"/>
        <v>4. $250K-1M</v>
      </c>
      <c r="D9547" t="s">
        <v>801</v>
      </c>
      <c r="E9547" t="s">
        <v>237</v>
      </c>
      <c r="F9547" t="s">
        <v>670</v>
      </c>
      <c r="G9547" t="s">
        <v>59</v>
      </c>
      <c r="H9547">
        <v>2025</v>
      </c>
    </row>
    <row r="9548" spans="1:8" x14ac:dyDescent="0.2">
      <c r="A9548">
        <v>309193</v>
      </c>
      <c r="B9548">
        <v>359448</v>
      </c>
      <c r="C9548" t="str">
        <f t="shared" si="149"/>
        <v>4. $250K-1M</v>
      </c>
      <c r="D9548" t="s">
        <v>1074</v>
      </c>
      <c r="E9548" t="s">
        <v>237</v>
      </c>
      <c r="F9548" t="s">
        <v>670</v>
      </c>
      <c r="G9548" t="s">
        <v>59</v>
      </c>
      <c r="H9548">
        <v>2025</v>
      </c>
    </row>
    <row r="9549" spans="1:8" x14ac:dyDescent="0.2">
      <c r="A9549">
        <v>309194</v>
      </c>
      <c r="B9549">
        <v>718896</v>
      </c>
      <c r="C9549" t="str">
        <f t="shared" si="149"/>
        <v>4. $250K-1M</v>
      </c>
      <c r="D9549" t="s">
        <v>990</v>
      </c>
      <c r="E9549" t="s">
        <v>237</v>
      </c>
      <c r="F9549" t="s">
        <v>670</v>
      </c>
      <c r="G9549" t="s">
        <v>59</v>
      </c>
      <c r="H9549">
        <v>2025</v>
      </c>
    </row>
    <row r="9550" spans="1:8" x14ac:dyDescent="0.2">
      <c r="A9550">
        <v>309195</v>
      </c>
      <c r="B9550">
        <v>359448</v>
      </c>
      <c r="C9550" t="str">
        <f t="shared" si="149"/>
        <v>4. $250K-1M</v>
      </c>
      <c r="D9550" t="s">
        <v>803</v>
      </c>
      <c r="E9550" t="s">
        <v>237</v>
      </c>
      <c r="F9550" t="s">
        <v>670</v>
      </c>
      <c r="G9550" t="s">
        <v>59</v>
      </c>
      <c r="H9550">
        <v>2025</v>
      </c>
    </row>
    <row r="9551" spans="1:8" x14ac:dyDescent="0.2">
      <c r="A9551">
        <v>309196</v>
      </c>
      <c r="B9551">
        <v>718896</v>
      </c>
      <c r="C9551" t="str">
        <f t="shared" si="149"/>
        <v>4. $250K-1M</v>
      </c>
      <c r="D9551" t="s">
        <v>781</v>
      </c>
      <c r="E9551" t="s">
        <v>237</v>
      </c>
      <c r="F9551" t="s">
        <v>670</v>
      </c>
      <c r="G9551" t="s">
        <v>59</v>
      </c>
      <c r="H9551">
        <v>2025</v>
      </c>
    </row>
    <row r="9552" spans="1:8" x14ac:dyDescent="0.2">
      <c r="A9552">
        <v>309197</v>
      </c>
      <c r="B9552">
        <v>359448</v>
      </c>
      <c r="C9552" t="str">
        <f t="shared" si="149"/>
        <v>4. $250K-1M</v>
      </c>
      <c r="D9552" t="s">
        <v>925</v>
      </c>
      <c r="E9552" t="s">
        <v>237</v>
      </c>
      <c r="F9552" t="s">
        <v>670</v>
      </c>
      <c r="G9552" t="s">
        <v>59</v>
      </c>
      <c r="H9552">
        <v>2025</v>
      </c>
    </row>
    <row r="9553" spans="1:8" x14ac:dyDescent="0.2">
      <c r="A9553">
        <v>309199</v>
      </c>
      <c r="B9553">
        <v>162500</v>
      </c>
      <c r="C9553" t="str">
        <f t="shared" si="149"/>
        <v>4. $250K-1M</v>
      </c>
      <c r="D9553" t="s">
        <v>801</v>
      </c>
      <c r="E9553" t="s">
        <v>59</v>
      </c>
      <c r="F9553" t="s">
        <v>670</v>
      </c>
      <c r="G9553" t="s">
        <v>59</v>
      </c>
      <c r="H9553">
        <v>2025</v>
      </c>
    </row>
    <row r="9554" spans="1:8" x14ac:dyDescent="0.2">
      <c r="A9554">
        <v>309202</v>
      </c>
      <c r="B9554">
        <v>212500</v>
      </c>
      <c r="C9554" t="str">
        <f t="shared" si="149"/>
        <v>3. $50K-250K</v>
      </c>
      <c r="D9554" t="s">
        <v>763</v>
      </c>
      <c r="E9554" t="s">
        <v>59</v>
      </c>
      <c r="F9554" t="s">
        <v>670</v>
      </c>
      <c r="G9554" t="s">
        <v>59</v>
      </c>
      <c r="H9554">
        <v>2025</v>
      </c>
    </row>
    <row r="9555" spans="1:8" x14ac:dyDescent="0.2">
      <c r="A9555">
        <v>309207</v>
      </c>
      <c r="B9555">
        <v>40078</v>
      </c>
      <c r="C9555" t="str">
        <f t="shared" si="149"/>
        <v>3. $50K-250K</v>
      </c>
      <c r="D9555" t="s">
        <v>977</v>
      </c>
      <c r="E9555" t="s">
        <v>237</v>
      </c>
      <c r="F9555" t="s">
        <v>670</v>
      </c>
      <c r="G9555" t="s">
        <v>59</v>
      </c>
      <c r="H9555">
        <v>2025</v>
      </c>
    </row>
    <row r="9556" spans="1:8" x14ac:dyDescent="0.2">
      <c r="A9556">
        <v>309231</v>
      </c>
      <c r="B9556">
        <v>172456</v>
      </c>
      <c r="C9556" t="str">
        <f t="shared" si="149"/>
        <v>2. $10K-50K</v>
      </c>
      <c r="D9556" t="s">
        <v>763</v>
      </c>
      <c r="E9556" t="s">
        <v>42</v>
      </c>
      <c r="F9556" t="s">
        <v>670</v>
      </c>
      <c r="G9556" t="s">
        <v>59</v>
      </c>
      <c r="H9556">
        <v>2025</v>
      </c>
    </row>
    <row r="9557" spans="1:8" x14ac:dyDescent="0.2">
      <c r="A9557">
        <v>309282</v>
      </c>
      <c r="B9557">
        <v>8783268</v>
      </c>
      <c r="C9557" t="str">
        <f t="shared" si="149"/>
        <v>3. $50K-250K</v>
      </c>
      <c r="D9557" t="s">
        <v>1094</v>
      </c>
      <c r="E9557" t="s">
        <v>237</v>
      </c>
      <c r="F9557" t="s">
        <v>670</v>
      </c>
      <c r="G9557" t="s">
        <v>59</v>
      </c>
      <c r="H9557">
        <v>2025</v>
      </c>
    </row>
    <row r="9558" spans="1:8" x14ac:dyDescent="0.2">
      <c r="A9558">
        <v>309284</v>
      </c>
      <c r="B9558">
        <v>150000</v>
      </c>
      <c r="C9558" t="str">
        <f t="shared" si="149"/>
        <v>5. $1M+</v>
      </c>
      <c r="D9558" t="s">
        <v>929</v>
      </c>
      <c r="E9558" t="s">
        <v>42</v>
      </c>
      <c r="F9558" t="s">
        <v>670</v>
      </c>
      <c r="G9558" t="s">
        <v>59</v>
      </c>
      <c r="H9558">
        <v>2025</v>
      </c>
    </row>
    <row r="9559" spans="1:8" x14ac:dyDescent="0.2">
      <c r="A9559">
        <v>309291</v>
      </c>
      <c r="B9559">
        <v>719940</v>
      </c>
      <c r="C9559" t="str">
        <f t="shared" si="149"/>
        <v>3. $50K-250K</v>
      </c>
      <c r="D9559" t="s">
        <v>799</v>
      </c>
      <c r="E9559" t="s">
        <v>237</v>
      </c>
      <c r="F9559" t="s">
        <v>670</v>
      </c>
      <c r="G9559" t="s">
        <v>59</v>
      </c>
      <c r="H9559">
        <v>2025</v>
      </c>
    </row>
    <row r="9560" spans="1:8" x14ac:dyDescent="0.2">
      <c r="A9560">
        <v>309302</v>
      </c>
      <c r="B9560">
        <v>107991</v>
      </c>
      <c r="C9560" t="str">
        <f t="shared" si="149"/>
        <v>4. $250K-1M</v>
      </c>
      <c r="D9560" t="s">
        <v>821</v>
      </c>
      <c r="E9560" t="s">
        <v>237</v>
      </c>
      <c r="F9560" t="s">
        <v>670</v>
      </c>
      <c r="G9560" t="s">
        <v>59</v>
      </c>
      <c r="H9560">
        <v>2025</v>
      </c>
    </row>
    <row r="9561" spans="1:8" x14ac:dyDescent="0.2">
      <c r="A9561">
        <v>309341</v>
      </c>
      <c r="B9561">
        <v>346301</v>
      </c>
      <c r="C9561" t="str">
        <f t="shared" si="149"/>
        <v>3. $50K-250K</v>
      </c>
      <c r="D9561" t="s">
        <v>2545</v>
      </c>
      <c r="E9561" t="s">
        <v>237</v>
      </c>
      <c r="F9561" t="s">
        <v>670</v>
      </c>
      <c r="G9561" t="s">
        <v>59</v>
      </c>
      <c r="H9561">
        <v>2025</v>
      </c>
    </row>
    <row r="9562" spans="1:8" x14ac:dyDescent="0.2">
      <c r="A9562">
        <v>309343</v>
      </c>
      <c r="B9562">
        <v>71994</v>
      </c>
      <c r="C9562" t="str">
        <f t="shared" si="149"/>
        <v>4. $250K-1M</v>
      </c>
      <c r="D9562" t="s">
        <v>980</v>
      </c>
      <c r="E9562" t="s">
        <v>237</v>
      </c>
      <c r="F9562" t="s">
        <v>670</v>
      </c>
      <c r="G9562" t="s">
        <v>59</v>
      </c>
      <c r="H9562">
        <v>2025</v>
      </c>
    </row>
    <row r="9563" spans="1:8" x14ac:dyDescent="0.2">
      <c r="A9563">
        <v>309345</v>
      </c>
      <c r="B9563">
        <v>431964</v>
      </c>
      <c r="C9563" t="str">
        <f t="shared" si="149"/>
        <v>3. $50K-250K</v>
      </c>
      <c r="D9563" t="s">
        <v>2546</v>
      </c>
      <c r="E9563" t="s">
        <v>237</v>
      </c>
      <c r="F9563" t="s">
        <v>670</v>
      </c>
      <c r="G9563" t="s">
        <v>59</v>
      </c>
      <c r="H9563">
        <v>2025</v>
      </c>
    </row>
    <row r="9564" spans="1:8" x14ac:dyDescent="0.2">
      <c r="A9564">
        <v>309347</v>
      </c>
      <c r="B9564">
        <v>215982</v>
      </c>
      <c r="C9564" t="str">
        <f t="shared" si="149"/>
        <v>4. $250K-1M</v>
      </c>
      <c r="D9564" t="s">
        <v>1046</v>
      </c>
      <c r="E9564" t="s">
        <v>237</v>
      </c>
      <c r="F9564" t="s">
        <v>670</v>
      </c>
      <c r="G9564" t="s">
        <v>59</v>
      </c>
      <c r="H9564">
        <v>2025</v>
      </c>
    </row>
    <row r="9565" spans="1:8" x14ac:dyDescent="0.2">
      <c r="A9565">
        <v>309348</v>
      </c>
      <c r="B9565">
        <v>107991</v>
      </c>
      <c r="C9565" t="str">
        <f t="shared" si="149"/>
        <v>3. $50K-250K</v>
      </c>
      <c r="D9565" t="s">
        <v>719</v>
      </c>
      <c r="E9565" t="s">
        <v>237</v>
      </c>
      <c r="F9565" t="s">
        <v>670</v>
      </c>
      <c r="G9565" t="s">
        <v>59</v>
      </c>
      <c r="H9565">
        <v>2025</v>
      </c>
    </row>
    <row r="9566" spans="1:8" x14ac:dyDescent="0.2">
      <c r="A9566">
        <v>309385</v>
      </c>
      <c r="B9566">
        <v>71994</v>
      </c>
      <c r="C9566" t="str">
        <f t="shared" si="149"/>
        <v>3. $50K-250K</v>
      </c>
      <c r="D9566" t="s">
        <v>942</v>
      </c>
      <c r="E9566" t="s">
        <v>237</v>
      </c>
      <c r="F9566" t="s">
        <v>670</v>
      </c>
      <c r="G9566" t="s">
        <v>59</v>
      </c>
      <c r="H9566">
        <v>2025</v>
      </c>
    </row>
    <row r="9567" spans="1:8" x14ac:dyDescent="0.2">
      <c r="A9567">
        <v>309389</v>
      </c>
      <c r="B9567">
        <v>143988</v>
      </c>
      <c r="C9567" t="str">
        <f t="shared" si="149"/>
        <v>3. $50K-250K</v>
      </c>
      <c r="D9567" t="s">
        <v>1098</v>
      </c>
      <c r="E9567" t="s">
        <v>237</v>
      </c>
      <c r="F9567" t="s">
        <v>670</v>
      </c>
      <c r="G9567" t="s">
        <v>59</v>
      </c>
      <c r="H9567">
        <v>2025</v>
      </c>
    </row>
    <row r="9568" spans="1:8" x14ac:dyDescent="0.2">
      <c r="A9568">
        <v>309391</v>
      </c>
      <c r="B9568">
        <v>143988</v>
      </c>
      <c r="C9568" t="str">
        <f t="shared" si="149"/>
        <v>3. $50K-250K</v>
      </c>
      <c r="D9568" t="s">
        <v>694</v>
      </c>
      <c r="E9568" t="s">
        <v>237</v>
      </c>
      <c r="F9568" t="s">
        <v>670</v>
      </c>
      <c r="G9568" t="s">
        <v>59</v>
      </c>
      <c r="H9568">
        <v>2025</v>
      </c>
    </row>
    <row r="9569" spans="1:8" x14ac:dyDescent="0.2">
      <c r="A9569">
        <v>309392</v>
      </c>
      <c r="B9569">
        <v>71994</v>
      </c>
      <c r="C9569" t="str">
        <f t="shared" si="149"/>
        <v>3. $50K-250K</v>
      </c>
      <c r="D9569" t="s">
        <v>2115</v>
      </c>
      <c r="E9569" t="s">
        <v>237</v>
      </c>
      <c r="F9569" t="s">
        <v>670</v>
      </c>
      <c r="G9569" t="s">
        <v>59</v>
      </c>
      <c r="H9569">
        <v>2025</v>
      </c>
    </row>
    <row r="9570" spans="1:8" x14ac:dyDescent="0.2">
      <c r="A9570">
        <v>309394</v>
      </c>
      <c r="B9570">
        <v>71994</v>
      </c>
      <c r="C9570" t="str">
        <f t="shared" si="149"/>
        <v>3. $50K-250K</v>
      </c>
      <c r="D9570" t="s">
        <v>1032</v>
      </c>
      <c r="E9570" t="s">
        <v>237</v>
      </c>
      <c r="F9570" t="s">
        <v>670</v>
      </c>
      <c r="G9570" t="s">
        <v>59</v>
      </c>
      <c r="H9570">
        <v>2025</v>
      </c>
    </row>
    <row r="9571" spans="1:8" x14ac:dyDescent="0.2">
      <c r="A9571">
        <v>309400</v>
      </c>
      <c r="B9571">
        <v>107991</v>
      </c>
      <c r="C9571" t="str">
        <f t="shared" si="149"/>
        <v>3. $50K-250K</v>
      </c>
      <c r="D9571" t="s">
        <v>911</v>
      </c>
      <c r="E9571" t="s">
        <v>237</v>
      </c>
      <c r="F9571" t="s">
        <v>670</v>
      </c>
      <c r="G9571" t="s">
        <v>59</v>
      </c>
      <c r="H9571">
        <v>2025</v>
      </c>
    </row>
    <row r="9572" spans="1:8" x14ac:dyDescent="0.2">
      <c r="A9572">
        <v>309406</v>
      </c>
      <c r="B9572">
        <v>107991</v>
      </c>
      <c r="C9572" t="str">
        <f t="shared" si="149"/>
        <v>3. $50K-250K</v>
      </c>
      <c r="D9572" t="s">
        <v>985</v>
      </c>
      <c r="E9572" t="s">
        <v>237</v>
      </c>
      <c r="F9572" t="s">
        <v>670</v>
      </c>
      <c r="G9572" t="s">
        <v>59</v>
      </c>
      <c r="H9572">
        <v>2025</v>
      </c>
    </row>
    <row r="9573" spans="1:8" x14ac:dyDescent="0.2">
      <c r="A9573">
        <v>309410</v>
      </c>
      <c r="B9573">
        <v>71994</v>
      </c>
      <c r="C9573" t="str">
        <f t="shared" si="149"/>
        <v>3. $50K-250K</v>
      </c>
      <c r="D9573" t="s">
        <v>1535</v>
      </c>
      <c r="E9573" t="s">
        <v>237</v>
      </c>
      <c r="F9573" t="s">
        <v>670</v>
      </c>
      <c r="G9573" t="s">
        <v>59</v>
      </c>
      <c r="H9573">
        <v>2025</v>
      </c>
    </row>
    <row r="9574" spans="1:8" x14ac:dyDescent="0.2">
      <c r="A9574">
        <v>309412</v>
      </c>
      <c r="B9574">
        <v>107991</v>
      </c>
      <c r="C9574" t="str">
        <f t="shared" si="149"/>
        <v>3. $50K-250K</v>
      </c>
      <c r="D9574" t="s">
        <v>755</v>
      </c>
      <c r="E9574" t="s">
        <v>237</v>
      </c>
      <c r="F9574" t="s">
        <v>670</v>
      </c>
      <c r="G9574" t="s">
        <v>59</v>
      </c>
      <c r="H9574">
        <v>2025</v>
      </c>
    </row>
    <row r="9575" spans="1:8" x14ac:dyDescent="0.2">
      <c r="A9575">
        <v>309413</v>
      </c>
      <c r="B9575">
        <v>107991</v>
      </c>
      <c r="C9575" t="str">
        <f t="shared" si="149"/>
        <v>3. $50K-250K</v>
      </c>
      <c r="D9575" t="s">
        <v>801</v>
      </c>
      <c r="E9575" t="s">
        <v>237</v>
      </c>
      <c r="F9575" t="s">
        <v>670</v>
      </c>
      <c r="G9575" t="s">
        <v>59</v>
      </c>
      <c r="H9575">
        <v>2025</v>
      </c>
    </row>
    <row r="9576" spans="1:8" x14ac:dyDescent="0.2">
      <c r="A9576">
        <v>309414</v>
      </c>
      <c r="B9576">
        <v>71994</v>
      </c>
      <c r="C9576" t="str">
        <f t="shared" si="149"/>
        <v>3. $50K-250K</v>
      </c>
      <c r="D9576" t="s">
        <v>1074</v>
      </c>
      <c r="E9576" t="s">
        <v>237</v>
      </c>
      <c r="F9576" t="s">
        <v>670</v>
      </c>
      <c r="G9576" t="s">
        <v>59</v>
      </c>
      <c r="H9576">
        <v>2025</v>
      </c>
    </row>
    <row r="9577" spans="1:8" x14ac:dyDescent="0.2">
      <c r="A9577">
        <v>309415</v>
      </c>
      <c r="B9577">
        <v>107991</v>
      </c>
      <c r="C9577" t="str">
        <f t="shared" si="149"/>
        <v>3. $50K-250K</v>
      </c>
      <c r="D9577" t="s">
        <v>990</v>
      </c>
      <c r="E9577" t="s">
        <v>237</v>
      </c>
      <c r="F9577" t="s">
        <v>670</v>
      </c>
      <c r="G9577" t="s">
        <v>59</v>
      </c>
      <c r="H9577">
        <v>2025</v>
      </c>
    </row>
    <row r="9578" spans="1:8" x14ac:dyDescent="0.2">
      <c r="A9578">
        <v>309420</v>
      </c>
      <c r="B9578">
        <v>503958</v>
      </c>
      <c r="C9578" t="str">
        <f t="shared" si="149"/>
        <v>3. $50K-250K</v>
      </c>
      <c r="D9578" t="s">
        <v>762</v>
      </c>
      <c r="E9578" t="s">
        <v>237</v>
      </c>
      <c r="F9578" t="s">
        <v>670</v>
      </c>
      <c r="G9578" t="s">
        <v>59</v>
      </c>
      <c r="H9578">
        <v>2025</v>
      </c>
    </row>
    <row r="9579" spans="1:8" x14ac:dyDescent="0.2">
      <c r="A9579">
        <v>309421</v>
      </c>
      <c r="B9579">
        <v>35997</v>
      </c>
      <c r="C9579" t="str">
        <f t="shared" si="149"/>
        <v>4. $250K-1M</v>
      </c>
      <c r="D9579" t="s">
        <v>934</v>
      </c>
      <c r="E9579" t="s">
        <v>237</v>
      </c>
      <c r="F9579" t="s">
        <v>670</v>
      </c>
      <c r="G9579" t="s">
        <v>59</v>
      </c>
      <c r="H9579">
        <v>2025</v>
      </c>
    </row>
    <row r="9580" spans="1:8" x14ac:dyDescent="0.2">
      <c r="A9580">
        <v>309434</v>
      </c>
      <c r="B9580">
        <v>549338</v>
      </c>
      <c r="C9580" t="str">
        <f t="shared" si="149"/>
        <v>2. $10K-50K</v>
      </c>
      <c r="D9580" t="s">
        <v>871</v>
      </c>
      <c r="E9580" t="s">
        <v>237</v>
      </c>
      <c r="F9580" t="s">
        <v>670</v>
      </c>
      <c r="G9580" t="s">
        <v>59</v>
      </c>
      <c r="H9580">
        <v>2025</v>
      </c>
    </row>
    <row r="9581" spans="1:8" x14ac:dyDescent="0.2">
      <c r="A9581">
        <v>309435</v>
      </c>
      <c r="B9581">
        <v>791934</v>
      </c>
      <c r="C9581" t="str">
        <f t="shared" si="149"/>
        <v>4. $250K-1M</v>
      </c>
      <c r="D9581" t="s">
        <v>1079</v>
      </c>
      <c r="E9581" t="s">
        <v>237</v>
      </c>
      <c r="F9581" t="s">
        <v>670</v>
      </c>
      <c r="G9581" t="s">
        <v>59</v>
      </c>
      <c r="H9581">
        <v>2025</v>
      </c>
    </row>
    <row r="9582" spans="1:8" x14ac:dyDescent="0.2">
      <c r="A9582">
        <v>309436</v>
      </c>
      <c r="B9582">
        <v>35997</v>
      </c>
      <c r="C9582" t="str">
        <f t="shared" si="149"/>
        <v>4. $250K-1M</v>
      </c>
      <c r="D9582" t="s">
        <v>925</v>
      </c>
      <c r="E9582" t="s">
        <v>237</v>
      </c>
      <c r="F9582" t="s">
        <v>670</v>
      </c>
      <c r="G9582" t="s">
        <v>59</v>
      </c>
      <c r="H9582">
        <v>2025</v>
      </c>
    </row>
    <row r="9583" spans="1:8" x14ac:dyDescent="0.2">
      <c r="A9583">
        <v>309437</v>
      </c>
      <c r="B9583">
        <v>107991</v>
      </c>
      <c r="C9583" t="str">
        <f t="shared" si="149"/>
        <v>2. $10K-50K</v>
      </c>
      <c r="D9583" t="s">
        <v>713</v>
      </c>
      <c r="E9583" t="s">
        <v>237</v>
      </c>
      <c r="F9583" t="s">
        <v>670</v>
      </c>
      <c r="G9583" t="s">
        <v>59</v>
      </c>
      <c r="H9583">
        <v>2025</v>
      </c>
    </row>
    <row r="9584" spans="1:8" x14ac:dyDescent="0.2">
      <c r="A9584">
        <v>309438</v>
      </c>
      <c r="B9584">
        <v>240294</v>
      </c>
      <c r="C9584" t="str">
        <f t="shared" si="149"/>
        <v>3. $50K-250K</v>
      </c>
      <c r="D9584" t="s">
        <v>799</v>
      </c>
      <c r="E9584" t="s">
        <v>237</v>
      </c>
      <c r="F9584" t="s">
        <v>670</v>
      </c>
      <c r="G9584" t="s">
        <v>59</v>
      </c>
      <c r="H9584">
        <v>2025</v>
      </c>
    </row>
    <row r="9585" spans="1:8" x14ac:dyDescent="0.2">
      <c r="A9585">
        <v>309439</v>
      </c>
      <c r="B9585">
        <v>460572</v>
      </c>
      <c r="C9585" t="str">
        <f t="shared" si="149"/>
        <v>3. $50K-250K</v>
      </c>
      <c r="D9585" t="s">
        <v>717</v>
      </c>
      <c r="E9585" t="s">
        <v>237</v>
      </c>
      <c r="F9585" t="s">
        <v>670</v>
      </c>
      <c r="G9585" t="s">
        <v>59</v>
      </c>
      <c r="H9585">
        <v>2025</v>
      </c>
    </row>
    <row r="9586" spans="1:8" x14ac:dyDescent="0.2">
      <c r="A9586">
        <v>309440</v>
      </c>
      <c r="B9586">
        <v>60074</v>
      </c>
      <c r="C9586" t="str">
        <f t="shared" si="149"/>
        <v>4. $250K-1M</v>
      </c>
      <c r="D9586" t="s">
        <v>980</v>
      </c>
      <c r="E9586" t="s">
        <v>237</v>
      </c>
      <c r="F9586" t="s">
        <v>670</v>
      </c>
      <c r="G9586" t="s">
        <v>59</v>
      </c>
      <c r="H9586">
        <v>2025</v>
      </c>
    </row>
    <row r="9587" spans="1:8" x14ac:dyDescent="0.2">
      <c r="A9587">
        <v>309441</v>
      </c>
      <c r="B9587">
        <v>60074</v>
      </c>
      <c r="C9587" t="str">
        <f t="shared" si="149"/>
        <v>3. $50K-250K</v>
      </c>
      <c r="D9587" t="s">
        <v>930</v>
      </c>
      <c r="E9587" t="s">
        <v>237</v>
      </c>
      <c r="F9587" t="s">
        <v>670</v>
      </c>
      <c r="G9587" t="s">
        <v>59</v>
      </c>
      <c r="H9587">
        <v>2025</v>
      </c>
    </row>
    <row r="9588" spans="1:8" x14ac:dyDescent="0.2">
      <c r="A9588">
        <v>309442</v>
      </c>
      <c r="B9588">
        <v>60074</v>
      </c>
      <c r="C9588" t="str">
        <f t="shared" si="149"/>
        <v>3. $50K-250K</v>
      </c>
      <c r="D9588" t="s">
        <v>1583</v>
      </c>
      <c r="E9588" t="s">
        <v>237</v>
      </c>
      <c r="F9588" t="s">
        <v>670</v>
      </c>
      <c r="G9588" t="s">
        <v>59</v>
      </c>
      <c r="H9588">
        <v>2025</v>
      </c>
    </row>
    <row r="9589" spans="1:8" x14ac:dyDescent="0.2">
      <c r="A9589">
        <v>309443</v>
      </c>
      <c r="B9589">
        <v>60074</v>
      </c>
      <c r="C9589" t="str">
        <f t="shared" si="149"/>
        <v>3. $50K-250K</v>
      </c>
      <c r="D9589" t="s">
        <v>1074</v>
      </c>
      <c r="E9589" t="s">
        <v>237</v>
      </c>
      <c r="F9589" t="s">
        <v>670</v>
      </c>
      <c r="G9589" t="s">
        <v>59</v>
      </c>
      <c r="H9589">
        <v>2025</v>
      </c>
    </row>
    <row r="9590" spans="1:8" x14ac:dyDescent="0.2">
      <c r="A9590">
        <v>309444</v>
      </c>
      <c r="B9590">
        <v>60074</v>
      </c>
      <c r="C9590" t="str">
        <f t="shared" si="149"/>
        <v>3. $50K-250K</v>
      </c>
      <c r="D9590" t="s">
        <v>762</v>
      </c>
      <c r="E9590" t="s">
        <v>237</v>
      </c>
      <c r="F9590" t="s">
        <v>670</v>
      </c>
      <c r="G9590" t="s">
        <v>59</v>
      </c>
      <c r="H9590">
        <v>2025</v>
      </c>
    </row>
    <row r="9591" spans="1:8" x14ac:dyDescent="0.2">
      <c r="A9591">
        <v>309445</v>
      </c>
      <c r="B9591">
        <v>120147</v>
      </c>
      <c r="C9591" t="str">
        <f t="shared" si="149"/>
        <v>3. $50K-250K</v>
      </c>
      <c r="D9591" t="s">
        <v>781</v>
      </c>
      <c r="E9591" t="s">
        <v>237</v>
      </c>
      <c r="F9591" t="s">
        <v>670</v>
      </c>
      <c r="G9591" t="s">
        <v>59</v>
      </c>
      <c r="H9591">
        <v>2025</v>
      </c>
    </row>
    <row r="9592" spans="1:8" x14ac:dyDescent="0.2">
      <c r="A9592">
        <v>309446</v>
      </c>
      <c r="B9592">
        <v>800982</v>
      </c>
      <c r="C9592" t="str">
        <f t="shared" si="149"/>
        <v>3. $50K-250K</v>
      </c>
      <c r="D9592" t="s">
        <v>781</v>
      </c>
      <c r="E9592" t="s">
        <v>237</v>
      </c>
      <c r="F9592" t="s">
        <v>670</v>
      </c>
      <c r="G9592" t="s">
        <v>59</v>
      </c>
      <c r="H9592">
        <v>2025</v>
      </c>
    </row>
    <row r="9593" spans="1:8" x14ac:dyDescent="0.2">
      <c r="A9593">
        <v>309447</v>
      </c>
      <c r="B9593">
        <v>1616964</v>
      </c>
      <c r="C9593" t="str">
        <f t="shared" si="149"/>
        <v>4. $250K-1M</v>
      </c>
      <c r="D9593" t="s">
        <v>799</v>
      </c>
      <c r="E9593" t="s">
        <v>237</v>
      </c>
      <c r="F9593" t="s">
        <v>670</v>
      </c>
      <c r="G9593" t="s">
        <v>59</v>
      </c>
      <c r="H9593">
        <v>2025</v>
      </c>
    </row>
    <row r="9594" spans="1:8" x14ac:dyDescent="0.2">
      <c r="A9594">
        <v>309448</v>
      </c>
      <c r="B9594">
        <v>400491</v>
      </c>
      <c r="C9594" t="str">
        <f t="shared" si="149"/>
        <v>5. $1M+</v>
      </c>
      <c r="D9594" t="s">
        <v>980</v>
      </c>
      <c r="E9594" t="s">
        <v>237</v>
      </c>
      <c r="F9594" t="s">
        <v>670</v>
      </c>
      <c r="G9594" t="s">
        <v>59</v>
      </c>
      <c r="H9594">
        <v>2025</v>
      </c>
    </row>
    <row r="9595" spans="1:8" x14ac:dyDescent="0.2">
      <c r="A9595">
        <v>309449</v>
      </c>
      <c r="B9595">
        <v>400491</v>
      </c>
      <c r="C9595" t="str">
        <f t="shared" si="149"/>
        <v>4. $250K-1M</v>
      </c>
      <c r="D9595" t="s">
        <v>930</v>
      </c>
      <c r="E9595" t="s">
        <v>237</v>
      </c>
      <c r="F9595" t="s">
        <v>670</v>
      </c>
      <c r="G9595" t="s">
        <v>59</v>
      </c>
      <c r="H9595">
        <v>2025</v>
      </c>
    </row>
    <row r="9596" spans="1:8" x14ac:dyDescent="0.2">
      <c r="A9596">
        <v>309451</v>
      </c>
      <c r="B9596">
        <v>400491</v>
      </c>
      <c r="C9596" t="str">
        <f t="shared" si="149"/>
        <v>4. $250K-1M</v>
      </c>
      <c r="D9596" t="s">
        <v>1074</v>
      </c>
      <c r="E9596" t="s">
        <v>237</v>
      </c>
      <c r="F9596" t="s">
        <v>670</v>
      </c>
      <c r="G9596" t="s">
        <v>59</v>
      </c>
      <c r="H9596">
        <v>2025</v>
      </c>
    </row>
    <row r="9597" spans="1:8" x14ac:dyDescent="0.2">
      <c r="A9597">
        <v>309452</v>
      </c>
      <c r="B9597">
        <v>400499</v>
      </c>
      <c r="C9597" t="str">
        <f t="shared" si="149"/>
        <v>4. $250K-1M</v>
      </c>
      <c r="D9597" t="s">
        <v>708</v>
      </c>
      <c r="E9597" t="s">
        <v>237</v>
      </c>
      <c r="F9597" t="s">
        <v>670</v>
      </c>
      <c r="G9597" t="s">
        <v>59</v>
      </c>
      <c r="H9597">
        <v>2025</v>
      </c>
    </row>
    <row r="9598" spans="1:8" x14ac:dyDescent="0.2">
      <c r="A9598">
        <v>309455</v>
      </c>
      <c r="B9598">
        <v>2177999.9</v>
      </c>
      <c r="C9598" t="str">
        <f t="shared" si="149"/>
        <v>4. $250K-1M</v>
      </c>
      <c r="D9598" t="s">
        <v>1011</v>
      </c>
      <c r="E9598" t="s">
        <v>52</v>
      </c>
      <c r="F9598" t="s">
        <v>670</v>
      </c>
      <c r="G9598" t="s">
        <v>59</v>
      </c>
      <c r="H9598">
        <v>2025</v>
      </c>
    </row>
    <row r="9599" spans="1:8" x14ac:dyDescent="0.2">
      <c r="A9599">
        <v>309460</v>
      </c>
      <c r="B9599">
        <v>124349</v>
      </c>
      <c r="C9599" t="str">
        <f t="shared" si="149"/>
        <v>5. $1M+</v>
      </c>
      <c r="D9599" t="s">
        <v>749</v>
      </c>
      <c r="E9599" t="s">
        <v>237</v>
      </c>
      <c r="F9599" t="s">
        <v>670</v>
      </c>
      <c r="G9599" t="s">
        <v>59</v>
      </c>
      <c r="H9599">
        <v>2025</v>
      </c>
    </row>
    <row r="9600" spans="1:8" x14ac:dyDescent="0.2">
      <c r="A9600">
        <v>309461</v>
      </c>
      <c r="B9600">
        <v>124349</v>
      </c>
      <c r="C9600" t="str">
        <f t="shared" si="149"/>
        <v>3. $50K-250K</v>
      </c>
      <c r="D9600" t="s">
        <v>749</v>
      </c>
      <c r="E9600" t="s">
        <v>237</v>
      </c>
      <c r="F9600" t="s">
        <v>670</v>
      </c>
      <c r="G9600" t="s">
        <v>59</v>
      </c>
      <c r="H9600">
        <v>2025</v>
      </c>
    </row>
    <row r="9601" spans="1:8" x14ac:dyDescent="0.2">
      <c r="A9601">
        <v>309469</v>
      </c>
      <c r="B9601">
        <v>200000</v>
      </c>
      <c r="C9601" t="str">
        <f t="shared" si="149"/>
        <v>3. $50K-250K</v>
      </c>
      <c r="D9601" t="s">
        <v>863</v>
      </c>
      <c r="E9601" t="s">
        <v>237</v>
      </c>
      <c r="F9601" t="s">
        <v>670</v>
      </c>
      <c r="G9601" t="s">
        <v>44</v>
      </c>
      <c r="H9601">
        <v>2025</v>
      </c>
    </row>
    <row r="9602" spans="1:8" x14ac:dyDescent="0.2">
      <c r="A9602">
        <v>309478</v>
      </c>
      <c r="B9602">
        <v>98270</v>
      </c>
      <c r="C9602" t="str">
        <f t="shared" si="149"/>
        <v>3. $50K-250K</v>
      </c>
      <c r="D9602" t="s">
        <v>726</v>
      </c>
      <c r="E9602" t="s">
        <v>825</v>
      </c>
      <c r="F9602" t="s">
        <v>670</v>
      </c>
      <c r="G9602" t="s">
        <v>59</v>
      </c>
      <c r="H9602">
        <v>2025</v>
      </c>
    </row>
    <row r="9603" spans="1:8" x14ac:dyDescent="0.2">
      <c r="A9603">
        <v>309485</v>
      </c>
      <c r="B9603">
        <v>125206</v>
      </c>
      <c r="C9603" t="str">
        <f t="shared" ref="C9603:C9666" si="150">IF(B9602&lt;10000,"1. Under $10K",IF(B9602&lt;50000,"2. $10K-50K",IF(B9602&lt;250000,"3. $50K-250K",IF(B9602&lt;1000000,"4. $250K-1M","5. $1M+"))))</f>
        <v>3. $50K-250K</v>
      </c>
      <c r="D9603" t="s">
        <v>823</v>
      </c>
      <c r="E9603" t="s">
        <v>42</v>
      </c>
      <c r="F9603" t="s">
        <v>670</v>
      </c>
      <c r="G9603" t="s">
        <v>59</v>
      </c>
      <c r="H9603">
        <v>2025</v>
      </c>
    </row>
    <row r="9604" spans="1:8" x14ac:dyDescent="0.2">
      <c r="A9604">
        <v>309494</v>
      </c>
      <c r="B9604">
        <v>173158</v>
      </c>
      <c r="C9604" t="str">
        <f t="shared" si="150"/>
        <v>3. $50K-250K</v>
      </c>
      <c r="D9604" t="s">
        <v>1473</v>
      </c>
      <c r="E9604" t="s">
        <v>42</v>
      </c>
      <c r="F9604" t="s">
        <v>670</v>
      </c>
      <c r="G9604" t="s">
        <v>59</v>
      </c>
      <c r="H9604">
        <v>2025</v>
      </c>
    </row>
    <row r="9605" spans="1:8" x14ac:dyDescent="0.2">
      <c r="A9605">
        <v>309506</v>
      </c>
      <c r="B9605">
        <v>263886</v>
      </c>
      <c r="C9605" t="str">
        <f t="shared" si="150"/>
        <v>3. $50K-250K</v>
      </c>
      <c r="D9605" t="s">
        <v>878</v>
      </c>
      <c r="E9605" t="s">
        <v>237</v>
      </c>
      <c r="F9605" t="s">
        <v>670</v>
      </c>
      <c r="G9605" t="s">
        <v>59</v>
      </c>
      <c r="H9605">
        <v>2025</v>
      </c>
    </row>
    <row r="9606" spans="1:8" x14ac:dyDescent="0.2">
      <c r="A9606">
        <v>309513</v>
      </c>
      <c r="B9606">
        <v>103500</v>
      </c>
      <c r="C9606" t="str">
        <f t="shared" si="150"/>
        <v>4. $250K-1M</v>
      </c>
      <c r="D9606" t="s">
        <v>1177</v>
      </c>
      <c r="E9606" t="s">
        <v>237</v>
      </c>
      <c r="F9606" t="s">
        <v>670</v>
      </c>
      <c r="G9606" t="s">
        <v>59</v>
      </c>
      <c r="H9606">
        <v>2025</v>
      </c>
    </row>
    <row r="9607" spans="1:8" x14ac:dyDescent="0.2">
      <c r="A9607">
        <v>309514</v>
      </c>
      <c r="B9607">
        <v>101200</v>
      </c>
      <c r="C9607" t="str">
        <f t="shared" si="150"/>
        <v>3. $50K-250K</v>
      </c>
      <c r="D9607" t="s">
        <v>865</v>
      </c>
      <c r="E9607" t="s">
        <v>237</v>
      </c>
      <c r="F9607" t="s">
        <v>670</v>
      </c>
      <c r="G9607" t="s">
        <v>59</v>
      </c>
      <c r="H9607">
        <v>2025</v>
      </c>
    </row>
    <row r="9608" spans="1:8" x14ac:dyDescent="0.2">
      <c r="A9608">
        <v>309515</v>
      </c>
      <c r="B9608">
        <v>109324.9</v>
      </c>
      <c r="C9608" t="str">
        <f t="shared" si="150"/>
        <v>3. $50K-250K</v>
      </c>
      <c r="D9608" t="s">
        <v>873</v>
      </c>
      <c r="E9608" t="s">
        <v>237</v>
      </c>
      <c r="F9608" t="s">
        <v>670</v>
      </c>
      <c r="G9608" t="s">
        <v>59</v>
      </c>
      <c r="H9608">
        <v>2025</v>
      </c>
    </row>
    <row r="9609" spans="1:8" x14ac:dyDescent="0.2">
      <c r="A9609">
        <v>309517</v>
      </c>
      <c r="B9609">
        <v>28500</v>
      </c>
      <c r="C9609" t="str">
        <f t="shared" si="150"/>
        <v>3. $50K-250K</v>
      </c>
      <c r="D9609" t="s">
        <v>865</v>
      </c>
      <c r="E9609" t="s">
        <v>237</v>
      </c>
      <c r="F9609" t="s">
        <v>670</v>
      </c>
      <c r="G9609" t="s">
        <v>59</v>
      </c>
      <c r="H9609">
        <v>2025</v>
      </c>
    </row>
    <row r="9610" spans="1:8" x14ac:dyDescent="0.2">
      <c r="A9610">
        <v>309526</v>
      </c>
      <c r="B9610">
        <v>67137</v>
      </c>
      <c r="C9610" t="str">
        <f t="shared" si="150"/>
        <v>2. $10K-50K</v>
      </c>
      <c r="D9610" t="s">
        <v>937</v>
      </c>
      <c r="E9610" t="s">
        <v>237</v>
      </c>
      <c r="F9610" t="s">
        <v>670</v>
      </c>
      <c r="G9610" t="s">
        <v>59</v>
      </c>
      <c r="H9610">
        <v>2025</v>
      </c>
    </row>
    <row r="9611" spans="1:8" x14ac:dyDescent="0.2">
      <c r="A9611">
        <v>309527</v>
      </c>
      <c r="B9611">
        <v>96152.4</v>
      </c>
      <c r="C9611" t="str">
        <f t="shared" si="150"/>
        <v>3. $50K-250K</v>
      </c>
      <c r="D9611" t="s">
        <v>682</v>
      </c>
      <c r="E9611" t="s">
        <v>237</v>
      </c>
      <c r="F9611" t="s">
        <v>670</v>
      </c>
      <c r="G9611" t="s">
        <v>59</v>
      </c>
      <c r="H9611">
        <v>2025</v>
      </c>
    </row>
    <row r="9612" spans="1:8" x14ac:dyDescent="0.2">
      <c r="A9612">
        <v>309536</v>
      </c>
      <c r="B9612">
        <v>120000000</v>
      </c>
      <c r="C9612" t="str">
        <f t="shared" si="150"/>
        <v>3. $50K-250K</v>
      </c>
      <c r="D9612" t="s">
        <v>148</v>
      </c>
      <c r="E9612" t="s">
        <v>8</v>
      </c>
      <c r="F9612" t="s">
        <v>120</v>
      </c>
      <c r="G9612" t="s">
        <v>10</v>
      </c>
      <c r="H9612">
        <v>2025</v>
      </c>
    </row>
    <row r="9613" spans="1:8" x14ac:dyDescent="0.2">
      <c r="A9613">
        <v>309538</v>
      </c>
      <c r="B9613">
        <v>120000000</v>
      </c>
      <c r="C9613" t="str">
        <f t="shared" si="150"/>
        <v>5. $1M+</v>
      </c>
      <c r="D9613" t="s">
        <v>63</v>
      </c>
      <c r="E9613" t="s">
        <v>8</v>
      </c>
      <c r="F9613" t="s">
        <v>120</v>
      </c>
      <c r="G9613" t="s">
        <v>10</v>
      </c>
      <c r="H9613">
        <v>2025</v>
      </c>
    </row>
    <row r="9614" spans="1:8" x14ac:dyDescent="0.2">
      <c r="A9614">
        <v>309539</v>
      </c>
      <c r="B9614">
        <v>221410.1</v>
      </c>
      <c r="C9614" t="str">
        <f t="shared" si="150"/>
        <v>5. $1M+</v>
      </c>
      <c r="D9614" t="s">
        <v>63</v>
      </c>
      <c r="E9614" t="s">
        <v>28</v>
      </c>
      <c r="F9614" t="s">
        <v>120</v>
      </c>
      <c r="G9614" t="s">
        <v>59</v>
      </c>
      <c r="H9614">
        <v>2025</v>
      </c>
    </row>
    <row r="9615" spans="1:8" x14ac:dyDescent="0.2">
      <c r="A9615">
        <v>309542</v>
      </c>
      <c r="B9615">
        <v>120000000</v>
      </c>
      <c r="C9615" t="str">
        <f t="shared" si="150"/>
        <v>3. $50K-250K</v>
      </c>
      <c r="D9615" t="s">
        <v>7</v>
      </c>
      <c r="E9615" t="s">
        <v>8</v>
      </c>
      <c r="F9615" t="s">
        <v>120</v>
      </c>
      <c r="G9615" t="s">
        <v>10</v>
      </c>
      <c r="H9615">
        <v>2025</v>
      </c>
    </row>
    <row r="9616" spans="1:8" x14ac:dyDescent="0.2">
      <c r="A9616">
        <v>309564</v>
      </c>
      <c r="B9616">
        <v>5000000</v>
      </c>
      <c r="C9616" t="str">
        <f t="shared" si="150"/>
        <v>5. $1M+</v>
      </c>
      <c r="D9616" t="s">
        <v>771</v>
      </c>
      <c r="E9616" t="s">
        <v>42</v>
      </c>
      <c r="F9616" t="s">
        <v>670</v>
      </c>
      <c r="G9616" t="s">
        <v>59</v>
      </c>
      <c r="H9616">
        <v>2025</v>
      </c>
    </row>
    <row r="9617" spans="1:8" x14ac:dyDescent="0.2">
      <c r="A9617">
        <v>309567</v>
      </c>
      <c r="B9617">
        <v>1958166</v>
      </c>
      <c r="C9617" t="str">
        <f t="shared" si="150"/>
        <v>5. $1M+</v>
      </c>
      <c r="D9617" t="s">
        <v>782</v>
      </c>
      <c r="E9617" t="s">
        <v>42</v>
      </c>
      <c r="F9617" t="s">
        <v>670</v>
      </c>
      <c r="G9617" t="s">
        <v>44</v>
      </c>
      <c r="H9617">
        <v>2025</v>
      </c>
    </row>
    <row r="9618" spans="1:8" x14ac:dyDescent="0.2">
      <c r="A9618">
        <v>309574</v>
      </c>
      <c r="B9618">
        <v>50000</v>
      </c>
      <c r="C9618" t="str">
        <f t="shared" si="150"/>
        <v>5. $1M+</v>
      </c>
      <c r="D9618" t="s">
        <v>2537</v>
      </c>
      <c r="E9618" t="s">
        <v>112</v>
      </c>
      <c r="F9618" t="s">
        <v>668</v>
      </c>
      <c r="G9618" t="s">
        <v>59</v>
      </c>
      <c r="H9618">
        <v>2025</v>
      </c>
    </row>
    <row r="9619" spans="1:8" x14ac:dyDescent="0.2">
      <c r="A9619">
        <v>309575</v>
      </c>
      <c r="B9619">
        <v>250000</v>
      </c>
      <c r="C9619" t="str">
        <f t="shared" si="150"/>
        <v>3. $50K-250K</v>
      </c>
      <c r="D9619" t="s">
        <v>2547</v>
      </c>
      <c r="E9619" t="s">
        <v>99</v>
      </c>
      <c r="F9619" t="s">
        <v>668</v>
      </c>
      <c r="G9619" t="s">
        <v>59</v>
      </c>
      <c r="H9619">
        <v>2025</v>
      </c>
    </row>
    <row r="9620" spans="1:8" x14ac:dyDescent="0.2">
      <c r="A9620">
        <v>309578</v>
      </c>
      <c r="B9620">
        <v>45000</v>
      </c>
      <c r="C9620" t="str">
        <f t="shared" si="150"/>
        <v>4. $250K-1M</v>
      </c>
      <c r="D9620" t="s">
        <v>909</v>
      </c>
      <c r="E9620" t="s">
        <v>237</v>
      </c>
      <c r="F9620" t="s">
        <v>670</v>
      </c>
      <c r="G9620" t="s">
        <v>59</v>
      </c>
      <c r="H9620">
        <v>2025</v>
      </c>
    </row>
    <row r="9621" spans="1:8" x14ac:dyDescent="0.2">
      <c r="A9621">
        <v>309617</v>
      </c>
      <c r="B9621">
        <v>373518</v>
      </c>
      <c r="C9621" t="str">
        <f t="shared" si="150"/>
        <v>2. $10K-50K</v>
      </c>
      <c r="D9621" t="s">
        <v>701</v>
      </c>
      <c r="E9621" t="s">
        <v>237</v>
      </c>
      <c r="F9621" t="s">
        <v>670</v>
      </c>
      <c r="G9621" t="s">
        <v>59</v>
      </c>
      <c r="H9621">
        <v>2025</v>
      </c>
    </row>
    <row r="9622" spans="1:8" x14ac:dyDescent="0.2">
      <c r="A9622">
        <v>309618</v>
      </c>
      <c r="B9622">
        <v>324688</v>
      </c>
      <c r="C9622" t="str">
        <f t="shared" si="150"/>
        <v>4. $250K-1M</v>
      </c>
      <c r="D9622" t="s">
        <v>874</v>
      </c>
      <c r="E9622" t="s">
        <v>237</v>
      </c>
      <c r="F9622" t="s">
        <v>670</v>
      </c>
      <c r="G9622" t="s">
        <v>59</v>
      </c>
      <c r="H9622">
        <v>2025</v>
      </c>
    </row>
    <row r="9623" spans="1:8" x14ac:dyDescent="0.2">
      <c r="A9623">
        <v>309619</v>
      </c>
      <c r="B9623">
        <v>106751</v>
      </c>
      <c r="C9623" t="str">
        <f t="shared" si="150"/>
        <v>4. $250K-1M</v>
      </c>
      <c r="D9623" t="s">
        <v>903</v>
      </c>
      <c r="E9623" t="s">
        <v>237</v>
      </c>
      <c r="F9623" t="s">
        <v>670</v>
      </c>
      <c r="G9623" t="s">
        <v>59</v>
      </c>
      <c r="H9623">
        <v>2025</v>
      </c>
    </row>
    <row r="9624" spans="1:8" x14ac:dyDescent="0.2">
      <c r="A9624">
        <v>309620</v>
      </c>
      <c r="B9624">
        <v>211772</v>
      </c>
      <c r="C9624" t="str">
        <f t="shared" si="150"/>
        <v>3. $50K-250K</v>
      </c>
      <c r="D9624" t="s">
        <v>721</v>
      </c>
      <c r="E9624" t="s">
        <v>237</v>
      </c>
      <c r="F9624" t="s">
        <v>670</v>
      </c>
      <c r="G9624" t="s">
        <v>59</v>
      </c>
      <c r="H9624">
        <v>2025</v>
      </c>
    </row>
    <row r="9625" spans="1:8" x14ac:dyDescent="0.2">
      <c r="A9625">
        <v>309621</v>
      </c>
      <c r="B9625">
        <v>376534</v>
      </c>
      <c r="C9625" t="str">
        <f t="shared" si="150"/>
        <v>3. $50K-250K</v>
      </c>
      <c r="D9625" t="s">
        <v>711</v>
      </c>
      <c r="E9625" t="s">
        <v>237</v>
      </c>
      <c r="F9625" t="s">
        <v>670</v>
      </c>
      <c r="G9625" t="s">
        <v>59</v>
      </c>
      <c r="H9625">
        <v>2025</v>
      </c>
    </row>
    <row r="9626" spans="1:8" x14ac:dyDescent="0.2">
      <c r="A9626">
        <v>309622</v>
      </c>
      <c r="B9626">
        <v>100000</v>
      </c>
      <c r="C9626" t="str">
        <f t="shared" si="150"/>
        <v>4. $250K-1M</v>
      </c>
      <c r="D9626" t="s">
        <v>725</v>
      </c>
      <c r="E9626" t="s">
        <v>237</v>
      </c>
      <c r="F9626" t="s">
        <v>670</v>
      </c>
      <c r="G9626" t="s">
        <v>59</v>
      </c>
      <c r="H9626">
        <v>2025</v>
      </c>
    </row>
    <row r="9627" spans="1:8" x14ac:dyDescent="0.2">
      <c r="A9627">
        <v>309623</v>
      </c>
      <c r="B9627">
        <v>230335</v>
      </c>
      <c r="C9627" t="str">
        <f t="shared" si="150"/>
        <v>3. $50K-250K</v>
      </c>
      <c r="D9627" t="s">
        <v>711</v>
      </c>
      <c r="E9627" t="s">
        <v>237</v>
      </c>
      <c r="F9627" t="s">
        <v>670</v>
      </c>
      <c r="G9627" t="s">
        <v>59</v>
      </c>
      <c r="H9627">
        <v>2025</v>
      </c>
    </row>
    <row r="9628" spans="1:8" x14ac:dyDescent="0.2">
      <c r="A9628">
        <v>309624</v>
      </c>
      <c r="B9628">
        <v>90880</v>
      </c>
      <c r="C9628" t="str">
        <f t="shared" si="150"/>
        <v>3. $50K-250K</v>
      </c>
      <c r="D9628" t="s">
        <v>873</v>
      </c>
      <c r="E9628" t="s">
        <v>237</v>
      </c>
      <c r="F9628" t="s">
        <v>670</v>
      </c>
      <c r="G9628" t="s">
        <v>59</v>
      </c>
      <c r="H9628">
        <v>2025</v>
      </c>
    </row>
    <row r="9629" spans="1:8" x14ac:dyDescent="0.2">
      <c r="A9629">
        <v>309625</v>
      </c>
      <c r="B9629">
        <v>1671600</v>
      </c>
      <c r="C9629" t="str">
        <f t="shared" si="150"/>
        <v>3. $50K-250K</v>
      </c>
      <c r="D9629" t="s">
        <v>711</v>
      </c>
      <c r="E9629" t="s">
        <v>237</v>
      </c>
      <c r="F9629" t="s">
        <v>670</v>
      </c>
      <c r="G9629" t="s">
        <v>59</v>
      </c>
      <c r="H9629">
        <v>2025</v>
      </c>
    </row>
    <row r="9630" spans="1:8" x14ac:dyDescent="0.2">
      <c r="A9630">
        <v>309626</v>
      </c>
      <c r="B9630">
        <v>226482</v>
      </c>
      <c r="C9630" t="str">
        <f t="shared" si="150"/>
        <v>5. $1M+</v>
      </c>
      <c r="D9630" t="s">
        <v>1084</v>
      </c>
      <c r="E9630" t="s">
        <v>237</v>
      </c>
      <c r="F9630" t="s">
        <v>670</v>
      </c>
      <c r="G9630" t="s">
        <v>59</v>
      </c>
      <c r="H9630">
        <v>2025</v>
      </c>
    </row>
    <row r="9631" spans="1:8" x14ac:dyDescent="0.2">
      <c r="A9631">
        <v>309627</v>
      </c>
      <c r="B9631">
        <v>71241</v>
      </c>
      <c r="C9631" t="str">
        <f t="shared" si="150"/>
        <v>3. $50K-250K</v>
      </c>
      <c r="D9631" t="s">
        <v>909</v>
      </c>
      <c r="E9631" t="s">
        <v>237</v>
      </c>
      <c r="F9631" t="s">
        <v>670</v>
      </c>
      <c r="G9631" t="s">
        <v>59</v>
      </c>
      <c r="H9631">
        <v>2025</v>
      </c>
    </row>
    <row r="9632" spans="1:8" x14ac:dyDescent="0.2">
      <c r="A9632">
        <v>309658</v>
      </c>
      <c r="B9632">
        <v>25000</v>
      </c>
      <c r="C9632" t="str">
        <f t="shared" si="150"/>
        <v>3. $50K-250K</v>
      </c>
      <c r="D9632" t="s">
        <v>992</v>
      </c>
      <c r="E9632" t="s">
        <v>819</v>
      </c>
      <c r="F9632" t="s">
        <v>670</v>
      </c>
      <c r="G9632" t="s">
        <v>59</v>
      </c>
      <c r="H9632">
        <v>2025</v>
      </c>
    </row>
    <row r="9633" spans="1:8" x14ac:dyDescent="0.2">
      <c r="A9633">
        <v>309664</v>
      </c>
      <c r="B9633">
        <v>103793.2</v>
      </c>
      <c r="C9633" t="str">
        <f t="shared" si="150"/>
        <v>2. $10K-50K</v>
      </c>
      <c r="D9633" t="s">
        <v>2548</v>
      </c>
      <c r="E9633" t="s">
        <v>99</v>
      </c>
      <c r="F9633" t="s">
        <v>668</v>
      </c>
      <c r="G9633" t="s">
        <v>59</v>
      </c>
      <c r="H9633">
        <v>2025</v>
      </c>
    </row>
    <row r="9634" spans="1:8" x14ac:dyDescent="0.2">
      <c r="A9634">
        <v>309677</v>
      </c>
      <c r="B9634">
        <v>350000</v>
      </c>
      <c r="C9634" t="str">
        <f t="shared" si="150"/>
        <v>3. $50K-250K</v>
      </c>
      <c r="D9634" t="s">
        <v>2549</v>
      </c>
      <c r="E9634" t="s">
        <v>112</v>
      </c>
      <c r="F9634" t="s">
        <v>668</v>
      </c>
      <c r="G9634" t="s">
        <v>59</v>
      </c>
      <c r="H9634">
        <v>2025</v>
      </c>
    </row>
    <row r="9635" spans="1:8" x14ac:dyDescent="0.2">
      <c r="A9635">
        <v>309678</v>
      </c>
      <c r="B9635">
        <v>1323780</v>
      </c>
      <c r="C9635" t="str">
        <f t="shared" si="150"/>
        <v>4. $250K-1M</v>
      </c>
      <c r="D9635" t="s">
        <v>1429</v>
      </c>
      <c r="E9635" t="s">
        <v>28</v>
      </c>
      <c r="F9635" t="s">
        <v>668</v>
      </c>
      <c r="G9635" t="s">
        <v>59</v>
      </c>
      <c r="H9635">
        <v>2025</v>
      </c>
    </row>
    <row r="9636" spans="1:8" x14ac:dyDescent="0.2">
      <c r="A9636">
        <v>309686</v>
      </c>
      <c r="B9636">
        <v>100000000</v>
      </c>
      <c r="C9636" t="str">
        <f t="shared" si="150"/>
        <v>5. $1M+</v>
      </c>
      <c r="D9636" t="s">
        <v>922</v>
      </c>
      <c r="E9636" t="s">
        <v>99</v>
      </c>
      <c r="F9636" t="s">
        <v>668</v>
      </c>
      <c r="G9636" t="s">
        <v>59</v>
      </c>
      <c r="H9636">
        <v>2025</v>
      </c>
    </row>
    <row r="9637" spans="1:8" x14ac:dyDescent="0.2">
      <c r="A9637">
        <v>309710</v>
      </c>
      <c r="B9637">
        <v>85000</v>
      </c>
      <c r="C9637" t="str">
        <f t="shared" si="150"/>
        <v>5. $1M+</v>
      </c>
      <c r="D9637" t="s">
        <v>943</v>
      </c>
      <c r="E9637" t="s">
        <v>819</v>
      </c>
      <c r="F9637" t="s">
        <v>670</v>
      </c>
      <c r="G9637" t="s">
        <v>59</v>
      </c>
      <c r="H9637">
        <v>2025</v>
      </c>
    </row>
    <row r="9638" spans="1:8" x14ac:dyDescent="0.2">
      <c r="A9638">
        <v>309711</v>
      </c>
      <c r="B9638">
        <v>85000</v>
      </c>
      <c r="C9638" t="str">
        <f t="shared" si="150"/>
        <v>3. $50K-250K</v>
      </c>
      <c r="D9638" t="s">
        <v>816</v>
      </c>
      <c r="E9638" t="s">
        <v>819</v>
      </c>
      <c r="F9638" t="s">
        <v>670</v>
      </c>
      <c r="G9638" t="s">
        <v>59</v>
      </c>
      <c r="H9638">
        <v>2025</v>
      </c>
    </row>
    <row r="9639" spans="1:8" x14ac:dyDescent="0.2">
      <c r="A9639">
        <v>309742</v>
      </c>
      <c r="B9639">
        <v>1860736</v>
      </c>
      <c r="C9639" t="str">
        <f t="shared" si="150"/>
        <v>3. $50K-250K</v>
      </c>
      <c r="D9639" t="s">
        <v>41</v>
      </c>
      <c r="E9639" t="s">
        <v>237</v>
      </c>
      <c r="F9639" t="s">
        <v>668</v>
      </c>
      <c r="G9639" t="s">
        <v>59</v>
      </c>
      <c r="H9639">
        <v>2025</v>
      </c>
    </row>
    <row r="9640" spans="1:8" x14ac:dyDescent="0.2">
      <c r="A9640">
        <v>309934</v>
      </c>
      <c r="B9640">
        <v>158500</v>
      </c>
      <c r="C9640" t="str">
        <f t="shared" si="150"/>
        <v>5. $1M+</v>
      </c>
      <c r="D9640" t="s">
        <v>821</v>
      </c>
      <c r="E9640" t="s">
        <v>42</v>
      </c>
      <c r="F9640" t="s">
        <v>670</v>
      </c>
      <c r="G9640" t="s">
        <v>59</v>
      </c>
      <c r="H9640">
        <v>2025</v>
      </c>
    </row>
    <row r="9641" spans="1:8" x14ac:dyDescent="0.2">
      <c r="A9641">
        <v>309989</v>
      </c>
      <c r="B9641">
        <v>35000</v>
      </c>
      <c r="C9641" t="str">
        <f t="shared" si="150"/>
        <v>3. $50K-250K</v>
      </c>
      <c r="D9641" t="s">
        <v>2550</v>
      </c>
      <c r="E9641" t="s">
        <v>112</v>
      </c>
      <c r="F9641" t="s">
        <v>668</v>
      </c>
      <c r="G9641" t="s">
        <v>59</v>
      </c>
      <c r="H9641">
        <v>2025</v>
      </c>
    </row>
    <row r="9642" spans="1:8" x14ac:dyDescent="0.2">
      <c r="A9642">
        <v>309996</v>
      </c>
      <c r="B9642">
        <v>40000</v>
      </c>
      <c r="C9642" t="str">
        <f t="shared" si="150"/>
        <v>2. $10K-50K</v>
      </c>
      <c r="D9642" t="s">
        <v>1387</v>
      </c>
      <c r="E9642" t="s">
        <v>112</v>
      </c>
      <c r="F9642" t="s">
        <v>668</v>
      </c>
      <c r="G9642" t="s">
        <v>59</v>
      </c>
      <c r="H9642">
        <v>2025</v>
      </c>
    </row>
    <row r="9643" spans="1:8" x14ac:dyDescent="0.2">
      <c r="A9643">
        <v>310005</v>
      </c>
      <c r="B9643">
        <v>7500</v>
      </c>
      <c r="C9643" t="str">
        <f t="shared" si="150"/>
        <v>2. $10K-50K</v>
      </c>
      <c r="D9643" t="s">
        <v>2551</v>
      </c>
      <c r="E9643" t="s">
        <v>112</v>
      </c>
      <c r="F9643" t="s">
        <v>668</v>
      </c>
      <c r="G9643" t="s">
        <v>59</v>
      </c>
      <c r="H9643">
        <v>2025</v>
      </c>
    </row>
    <row r="9644" spans="1:8" x14ac:dyDescent="0.2">
      <c r="A9644">
        <v>310006</v>
      </c>
      <c r="B9644">
        <v>785000</v>
      </c>
      <c r="C9644" t="str">
        <f t="shared" si="150"/>
        <v>1. Under $10K</v>
      </c>
      <c r="D9644" t="s">
        <v>778</v>
      </c>
      <c r="E9644" t="s">
        <v>112</v>
      </c>
      <c r="F9644" t="s">
        <v>668</v>
      </c>
      <c r="G9644" t="s">
        <v>59</v>
      </c>
      <c r="H9644">
        <v>2025</v>
      </c>
    </row>
    <row r="9645" spans="1:8" x14ac:dyDescent="0.2">
      <c r="A9645">
        <v>310020</v>
      </c>
      <c r="B9645">
        <v>3926945</v>
      </c>
      <c r="C9645" t="str">
        <f t="shared" si="150"/>
        <v>4. $250K-1M</v>
      </c>
      <c r="D9645" t="s">
        <v>749</v>
      </c>
      <c r="E9645" t="s">
        <v>42</v>
      </c>
      <c r="F9645" t="s">
        <v>670</v>
      </c>
      <c r="G9645" t="s">
        <v>59</v>
      </c>
      <c r="H9645">
        <v>2025</v>
      </c>
    </row>
    <row r="9646" spans="1:8" x14ac:dyDescent="0.2">
      <c r="A9646">
        <v>310124</v>
      </c>
      <c r="B9646">
        <v>124349</v>
      </c>
      <c r="C9646" t="str">
        <f t="shared" si="150"/>
        <v>5. $1M+</v>
      </c>
      <c r="D9646" t="s">
        <v>1360</v>
      </c>
      <c r="E9646" t="s">
        <v>237</v>
      </c>
      <c r="F9646" t="s">
        <v>670</v>
      </c>
      <c r="G9646" t="s">
        <v>59</v>
      </c>
      <c r="H9646">
        <v>2025</v>
      </c>
    </row>
    <row r="9647" spans="1:8" x14ac:dyDescent="0.2">
      <c r="A9647">
        <v>310125</v>
      </c>
      <c r="B9647">
        <v>124349</v>
      </c>
      <c r="C9647" t="str">
        <f t="shared" si="150"/>
        <v>3. $50K-250K</v>
      </c>
      <c r="D9647" t="s">
        <v>1360</v>
      </c>
      <c r="E9647" t="s">
        <v>237</v>
      </c>
      <c r="F9647" t="s">
        <v>670</v>
      </c>
      <c r="G9647" t="s">
        <v>59</v>
      </c>
      <c r="H9647">
        <v>2025</v>
      </c>
    </row>
    <row r="9648" spans="1:8" x14ac:dyDescent="0.2">
      <c r="A9648">
        <v>310176</v>
      </c>
      <c r="B9648">
        <v>110770</v>
      </c>
      <c r="C9648" t="str">
        <f t="shared" si="150"/>
        <v>3. $50K-250K</v>
      </c>
      <c r="D9648" t="s">
        <v>957</v>
      </c>
      <c r="E9648" t="s">
        <v>42</v>
      </c>
      <c r="F9648" t="s">
        <v>670</v>
      </c>
      <c r="G9648" t="s">
        <v>59</v>
      </c>
      <c r="H9648">
        <v>2025</v>
      </c>
    </row>
    <row r="9649" spans="1:8" x14ac:dyDescent="0.2">
      <c r="A9649">
        <v>310179</v>
      </c>
      <c r="B9649">
        <v>167606</v>
      </c>
      <c r="C9649" t="str">
        <f t="shared" si="150"/>
        <v>3. $50K-250K</v>
      </c>
      <c r="D9649" t="s">
        <v>2281</v>
      </c>
      <c r="E9649" t="s">
        <v>42</v>
      </c>
      <c r="F9649" t="s">
        <v>670</v>
      </c>
      <c r="G9649" t="s">
        <v>59</v>
      </c>
      <c r="H9649">
        <v>2025</v>
      </c>
    </row>
    <row r="9650" spans="1:8" x14ac:dyDescent="0.2">
      <c r="A9650">
        <v>310180</v>
      </c>
      <c r="B9650">
        <v>390000</v>
      </c>
      <c r="C9650" t="str">
        <f t="shared" si="150"/>
        <v>3. $50K-250K</v>
      </c>
      <c r="D9650" t="s">
        <v>892</v>
      </c>
      <c r="E9650" t="s">
        <v>891</v>
      </c>
      <c r="F9650" t="s">
        <v>670</v>
      </c>
      <c r="G9650" t="s">
        <v>59</v>
      </c>
      <c r="H9650">
        <v>2025</v>
      </c>
    </row>
    <row r="9651" spans="1:8" x14ac:dyDescent="0.2">
      <c r="A9651">
        <v>310198</v>
      </c>
      <c r="B9651">
        <v>12000000</v>
      </c>
      <c r="C9651" t="str">
        <f t="shared" si="150"/>
        <v>4. $250K-1M</v>
      </c>
      <c r="D9651" t="s">
        <v>505</v>
      </c>
      <c r="E9651" t="s">
        <v>28</v>
      </c>
      <c r="F9651" t="s">
        <v>29</v>
      </c>
      <c r="G9651" t="s">
        <v>124</v>
      </c>
      <c r="H9651">
        <v>2025</v>
      </c>
    </row>
    <row r="9652" spans="1:8" x14ac:dyDescent="0.2">
      <c r="A9652">
        <v>310215</v>
      </c>
      <c r="B9652">
        <v>1350000</v>
      </c>
      <c r="C9652" t="str">
        <f t="shared" si="150"/>
        <v>5. $1M+</v>
      </c>
      <c r="D9652" t="s">
        <v>1378</v>
      </c>
      <c r="E9652" t="s">
        <v>42</v>
      </c>
      <c r="F9652" t="s">
        <v>670</v>
      </c>
      <c r="G9652" t="s">
        <v>59</v>
      </c>
      <c r="H9652">
        <v>2025</v>
      </c>
    </row>
    <row r="9653" spans="1:8" x14ac:dyDescent="0.2">
      <c r="A9653">
        <v>310259</v>
      </c>
      <c r="B9653">
        <v>85000</v>
      </c>
      <c r="C9653" t="str">
        <f t="shared" si="150"/>
        <v>5. $1M+</v>
      </c>
      <c r="D9653" t="s">
        <v>817</v>
      </c>
      <c r="E9653" t="s">
        <v>819</v>
      </c>
      <c r="F9653" t="s">
        <v>670</v>
      </c>
      <c r="G9653" t="s">
        <v>59</v>
      </c>
      <c r="H9653">
        <v>2025</v>
      </c>
    </row>
    <row r="9654" spans="1:8" x14ac:dyDescent="0.2">
      <c r="A9654">
        <v>310289</v>
      </c>
      <c r="B9654">
        <v>150000</v>
      </c>
      <c r="C9654" t="str">
        <f t="shared" si="150"/>
        <v>3. $50K-250K</v>
      </c>
      <c r="D9654" t="s">
        <v>977</v>
      </c>
      <c r="E9654" t="s">
        <v>42</v>
      </c>
      <c r="F9654" t="s">
        <v>670</v>
      </c>
      <c r="G9654" t="s">
        <v>59</v>
      </c>
      <c r="H9654">
        <v>2025</v>
      </c>
    </row>
    <row r="9655" spans="1:8" x14ac:dyDescent="0.2">
      <c r="A9655">
        <v>310332</v>
      </c>
      <c r="B9655">
        <v>87200</v>
      </c>
      <c r="C9655" t="str">
        <f t="shared" si="150"/>
        <v>3. $50K-250K</v>
      </c>
      <c r="D9655" t="s">
        <v>782</v>
      </c>
      <c r="E9655" t="s">
        <v>237</v>
      </c>
      <c r="F9655" t="s">
        <v>670</v>
      </c>
      <c r="G9655" t="s">
        <v>59</v>
      </c>
      <c r="H9655">
        <v>2025</v>
      </c>
    </row>
    <row r="9656" spans="1:8" x14ac:dyDescent="0.2">
      <c r="A9656">
        <v>310366</v>
      </c>
      <c r="B9656">
        <v>85000</v>
      </c>
      <c r="C9656" t="str">
        <f t="shared" si="150"/>
        <v>3. $50K-250K</v>
      </c>
      <c r="D9656" t="s">
        <v>804</v>
      </c>
      <c r="E9656" t="s">
        <v>819</v>
      </c>
      <c r="F9656" t="s">
        <v>670</v>
      </c>
      <c r="G9656" t="s">
        <v>59</v>
      </c>
      <c r="H9656">
        <v>2025</v>
      </c>
    </row>
    <row r="9657" spans="1:8" x14ac:dyDescent="0.2">
      <c r="A9657">
        <v>310415</v>
      </c>
      <c r="B9657">
        <v>241172</v>
      </c>
      <c r="C9657" t="str">
        <f t="shared" si="150"/>
        <v>3. $50K-250K</v>
      </c>
      <c r="D9657" t="s">
        <v>807</v>
      </c>
      <c r="E9657" t="s">
        <v>237</v>
      </c>
      <c r="F9657" t="s">
        <v>670</v>
      </c>
      <c r="G9657" t="s">
        <v>59</v>
      </c>
      <c r="H9657">
        <v>2025</v>
      </c>
    </row>
    <row r="9658" spans="1:8" x14ac:dyDescent="0.2">
      <c r="A9658">
        <v>310416</v>
      </c>
      <c r="B9658">
        <v>300000</v>
      </c>
      <c r="C9658" t="str">
        <f t="shared" si="150"/>
        <v>3. $50K-250K</v>
      </c>
      <c r="D9658" t="s">
        <v>1084</v>
      </c>
      <c r="E9658" t="s">
        <v>237</v>
      </c>
      <c r="F9658" t="s">
        <v>670</v>
      </c>
      <c r="G9658" t="s">
        <v>59</v>
      </c>
      <c r="H9658">
        <v>2025</v>
      </c>
    </row>
    <row r="9659" spans="1:8" x14ac:dyDescent="0.2">
      <c r="A9659">
        <v>310417</v>
      </c>
      <c r="B9659">
        <v>600000</v>
      </c>
      <c r="C9659" t="str">
        <f t="shared" si="150"/>
        <v>4. $250K-1M</v>
      </c>
      <c r="D9659" t="s">
        <v>1027</v>
      </c>
      <c r="E9659" t="s">
        <v>237</v>
      </c>
      <c r="F9659" t="s">
        <v>670</v>
      </c>
      <c r="G9659" t="s">
        <v>59</v>
      </c>
      <c r="H9659">
        <v>2025</v>
      </c>
    </row>
    <row r="9660" spans="1:8" x14ac:dyDescent="0.2">
      <c r="A9660">
        <v>310443</v>
      </c>
      <c r="B9660">
        <v>52500</v>
      </c>
      <c r="C9660" t="str">
        <f t="shared" si="150"/>
        <v>4. $250K-1M</v>
      </c>
      <c r="D9660" t="s">
        <v>809</v>
      </c>
      <c r="E9660" t="s">
        <v>825</v>
      </c>
      <c r="F9660" t="s">
        <v>670</v>
      </c>
      <c r="G9660" t="s">
        <v>59</v>
      </c>
      <c r="H9660">
        <v>2025</v>
      </c>
    </row>
    <row r="9661" spans="1:8" x14ac:dyDescent="0.2">
      <c r="A9661">
        <v>310444</v>
      </c>
      <c r="B9661">
        <v>247500</v>
      </c>
      <c r="C9661" t="str">
        <f t="shared" si="150"/>
        <v>3. $50K-250K</v>
      </c>
      <c r="D9661" t="s">
        <v>771</v>
      </c>
      <c r="E9661" t="s">
        <v>825</v>
      </c>
      <c r="F9661" t="s">
        <v>670</v>
      </c>
      <c r="G9661" t="s">
        <v>59</v>
      </c>
      <c r="H9661">
        <v>2025</v>
      </c>
    </row>
    <row r="9662" spans="1:8" x14ac:dyDescent="0.2">
      <c r="A9662">
        <v>310464</v>
      </c>
      <c r="B9662">
        <v>29475</v>
      </c>
      <c r="C9662" t="str">
        <f t="shared" si="150"/>
        <v>3. $50K-250K</v>
      </c>
      <c r="D9662" t="s">
        <v>749</v>
      </c>
      <c r="E9662" t="s">
        <v>825</v>
      </c>
      <c r="F9662" t="s">
        <v>670</v>
      </c>
      <c r="G9662" t="s">
        <v>59</v>
      </c>
      <c r="H9662">
        <v>2025</v>
      </c>
    </row>
    <row r="9663" spans="1:8" x14ac:dyDescent="0.2">
      <c r="A9663">
        <v>310465</v>
      </c>
      <c r="B9663">
        <v>36025</v>
      </c>
      <c r="C9663" t="str">
        <f t="shared" si="150"/>
        <v>2. $10K-50K</v>
      </c>
      <c r="D9663" t="s">
        <v>749</v>
      </c>
      <c r="E9663" t="s">
        <v>825</v>
      </c>
      <c r="F9663" t="s">
        <v>670</v>
      </c>
      <c r="G9663" t="s">
        <v>59</v>
      </c>
      <c r="H9663">
        <v>2025</v>
      </c>
    </row>
    <row r="9664" spans="1:8" x14ac:dyDescent="0.2">
      <c r="A9664">
        <v>310471</v>
      </c>
      <c r="B9664">
        <v>5305110</v>
      </c>
      <c r="C9664" t="str">
        <f t="shared" si="150"/>
        <v>2. $10K-50K</v>
      </c>
      <c r="D9664" t="s">
        <v>749</v>
      </c>
      <c r="E9664" t="s">
        <v>42</v>
      </c>
      <c r="F9664" t="s">
        <v>670</v>
      </c>
      <c r="G9664" t="s">
        <v>59</v>
      </c>
      <c r="H9664">
        <v>2025</v>
      </c>
    </row>
    <row r="9665" spans="1:8" x14ac:dyDescent="0.2">
      <c r="A9665">
        <v>310496</v>
      </c>
      <c r="B9665">
        <v>60000</v>
      </c>
      <c r="C9665" t="str">
        <f t="shared" si="150"/>
        <v>5. $1M+</v>
      </c>
      <c r="D9665" t="s">
        <v>880</v>
      </c>
      <c r="E9665" t="s">
        <v>819</v>
      </c>
      <c r="F9665" t="s">
        <v>670</v>
      </c>
      <c r="G9665" t="s">
        <v>59</v>
      </c>
      <c r="H9665">
        <v>2025</v>
      </c>
    </row>
    <row r="9666" spans="1:8" x14ac:dyDescent="0.2">
      <c r="A9666">
        <v>310497</v>
      </c>
      <c r="B9666">
        <v>85000</v>
      </c>
      <c r="C9666" t="str">
        <f t="shared" si="150"/>
        <v>3. $50K-250K</v>
      </c>
      <c r="D9666" t="s">
        <v>501</v>
      </c>
      <c r="E9666" t="s">
        <v>819</v>
      </c>
      <c r="F9666" t="s">
        <v>670</v>
      </c>
      <c r="G9666" t="s">
        <v>59</v>
      </c>
      <c r="H9666">
        <v>2025</v>
      </c>
    </row>
    <row r="9667" spans="1:8" x14ac:dyDescent="0.2">
      <c r="A9667">
        <v>310565</v>
      </c>
      <c r="B9667">
        <v>186956</v>
      </c>
      <c r="C9667" t="str">
        <f t="shared" ref="C9667:C9730" si="151">IF(B9666&lt;10000,"1. Under $10K",IF(B9666&lt;50000,"2. $10K-50K",IF(B9666&lt;250000,"3. $50K-250K",IF(B9666&lt;1000000,"4. $250K-1M","5. $1M+"))))</f>
        <v>3. $50K-250K</v>
      </c>
      <c r="D9667" t="s">
        <v>889</v>
      </c>
      <c r="E9667" t="s">
        <v>237</v>
      </c>
      <c r="F9667" t="s">
        <v>670</v>
      </c>
      <c r="G9667" t="s">
        <v>59</v>
      </c>
      <c r="H9667">
        <v>2025</v>
      </c>
    </row>
    <row r="9668" spans="1:8" x14ac:dyDescent="0.2">
      <c r="A9668">
        <v>31057</v>
      </c>
      <c r="B9668">
        <v>1950399.3</v>
      </c>
      <c r="C9668" t="str">
        <f t="shared" si="151"/>
        <v>3. $50K-250K</v>
      </c>
      <c r="D9668" t="s">
        <v>509</v>
      </c>
      <c r="E9668" t="s">
        <v>510</v>
      </c>
      <c r="F9668" t="s">
        <v>12</v>
      </c>
      <c r="G9668" t="s">
        <v>10</v>
      </c>
      <c r="H9668">
        <v>2023</v>
      </c>
    </row>
    <row r="9669" spans="1:8" x14ac:dyDescent="0.2">
      <c r="A9669">
        <v>310651</v>
      </c>
      <c r="B9669">
        <v>300000</v>
      </c>
      <c r="C9669" t="str">
        <f t="shared" si="151"/>
        <v>5. $1M+</v>
      </c>
      <c r="D9669" t="s">
        <v>801</v>
      </c>
      <c r="E9669" t="s">
        <v>82</v>
      </c>
      <c r="F9669" t="s">
        <v>670</v>
      </c>
      <c r="G9669" t="s">
        <v>59</v>
      </c>
      <c r="H9669">
        <v>2025</v>
      </c>
    </row>
    <row r="9670" spans="1:8" x14ac:dyDescent="0.2">
      <c r="A9670">
        <v>310662</v>
      </c>
      <c r="B9670">
        <v>40000</v>
      </c>
      <c r="C9670" t="str">
        <f t="shared" si="151"/>
        <v>4. $250K-1M</v>
      </c>
      <c r="D9670" t="s">
        <v>850</v>
      </c>
      <c r="E9670" t="s">
        <v>825</v>
      </c>
      <c r="F9670" t="s">
        <v>670</v>
      </c>
      <c r="G9670" t="s">
        <v>59</v>
      </c>
      <c r="H9670">
        <v>2025</v>
      </c>
    </row>
    <row r="9671" spans="1:8" x14ac:dyDescent="0.2">
      <c r="A9671">
        <v>310669</v>
      </c>
      <c r="B9671">
        <v>6763.4</v>
      </c>
      <c r="C9671" t="str">
        <f t="shared" si="151"/>
        <v>2. $10K-50K</v>
      </c>
      <c r="D9671" t="s">
        <v>470</v>
      </c>
      <c r="E9671" t="s">
        <v>141</v>
      </c>
      <c r="F9671" t="s">
        <v>423</v>
      </c>
      <c r="G9671" t="s">
        <v>59</v>
      </c>
      <c r="H9671">
        <v>2025</v>
      </c>
    </row>
    <row r="9672" spans="1:8" x14ac:dyDescent="0.2">
      <c r="A9672">
        <v>310786</v>
      </c>
      <c r="B9672">
        <v>265000</v>
      </c>
      <c r="C9672" t="str">
        <f t="shared" si="151"/>
        <v>1. Under $10K</v>
      </c>
      <c r="D9672" t="s">
        <v>1063</v>
      </c>
      <c r="E9672" t="s">
        <v>42</v>
      </c>
      <c r="F9672" t="s">
        <v>670</v>
      </c>
      <c r="G9672" t="s">
        <v>59</v>
      </c>
      <c r="H9672">
        <v>2025</v>
      </c>
    </row>
    <row r="9673" spans="1:8" x14ac:dyDescent="0.2">
      <c r="A9673">
        <v>310787</v>
      </c>
      <c r="B9673">
        <v>248000</v>
      </c>
      <c r="C9673" t="str">
        <f t="shared" si="151"/>
        <v>4. $250K-1M</v>
      </c>
      <c r="D9673" t="s">
        <v>2552</v>
      </c>
      <c r="E9673" t="s">
        <v>99</v>
      </c>
      <c r="F9673" t="s">
        <v>668</v>
      </c>
      <c r="G9673" t="s">
        <v>59</v>
      </c>
      <c r="H9673">
        <v>2025</v>
      </c>
    </row>
    <row r="9674" spans="1:8" x14ac:dyDescent="0.2">
      <c r="A9674">
        <v>310789</v>
      </c>
      <c r="B9674">
        <v>120982389.7</v>
      </c>
      <c r="C9674" t="str">
        <f t="shared" si="151"/>
        <v>3. $50K-250K</v>
      </c>
      <c r="D9674" t="s">
        <v>7</v>
      </c>
      <c r="E9674" t="s">
        <v>8</v>
      </c>
      <c r="F9674" t="s">
        <v>9</v>
      </c>
      <c r="G9674" t="s">
        <v>10</v>
      </c>
      <c r="H9674">
        <v>2025</v>
      </c>
    </row>
    <row r="9675" spans="1:8" x14ac:dyDescent="0.2">
      <c r="A9675">
        <v>310819</v>
      </c>
      <c r="B9675">
        <v>50000</v>
      </c>
      <c r="C9675" t="str">
        <f t="shared" si="151"/>
        <v>5. $1M+</v>
      </c>
      <c r="D9675" t="s">
        <v>936</v>
      </c>
      <c r="E9675" t="s">
        <v>825</v>
      </c>
      <c r="F9675" t="s">
        <v>670</v>
      </c>
      <c r="G9675" t="s">
        <v>59</v>
      </c>
      <c r="H9675">
        <v>2025</v>
      </c>
    </row>
    <row r="9676" spans="1:8" x14ac:dyDescent="0.2">
      <c r="A9676">
        <v>310820</v>
      </c>
      <c r="B9676">
        <v>50000</v>
      </c>
      <c r="C9676" t="str">
        <f t="shared" si="151"/>
        <v>3. $50K-250K</v>
      </c>
      <c r="D9676" t="s">
        <v>954</v>
      </c>
      <c r="E9676" t="s">
        <v>825</v>
      </c>
      <c r="F9676" t="s">
        <v>670</v>
      </c>
      <c r="G9676" t="s">
        <v>59</v>
      </c>
      <c r="H9676">
        <v>2025</v>
      </c>
    </row>
    <row r="9677" spans="1:8" x14ac:dyDescent="0.2">
      <c r="A9677">
        <v>310821</v>
      </c>
      <c r="B9677">
        <v>150440</v>
      </c>
      <c r="C9677" t="str">
        <f t="shared" si="151"/>
        <v>3. $50K-250K</v>
      </c>
      <c r="D9677" t="s">
        <v>936</v>
      </c>
      <c r="E9677" t="s">
        <v>825</v>
      </c>
      <c r="F9677" t="s">
        <v>670</v>
      </c>
      <c r="G9677" t="s">
        <v>59</v>
      </c>
      <c r="H9677">
        <v>2025</v>
      </c>
    </row>
    <row r="9678" spans="1:8" x14ac:dyDescent="0.2">
      <c r="A9678">
        <v>310824</v>
      </c>
      <c r="B9678">
        <v>50000</v>
      </c>
      <c r="C9678" t="str">
        <f t="shared" si="151"/>
        <v>3. $50K-250K</v>
      </c>
      <c r="D9678" t="s">
        <v>950</v>
      </c>
      <c r="E9678" t="s">
        <v>825</v>
      </c>
      <c r="F9678" t="s">
        <v>670</v>
      </c>
      <c r="G9678" t="s">
        <v>59</v>
      </c>
      <c r="H9678">
        <v>2025</v>
      </c>
    </row>
    <row r="9679" spans="1:8" x14ac:dyDescent="0.2">
      <c r="A9679">
        <v>310835</v>
      </c>
      <c r="B9679">
        <v>50000</v>
      </c>
      <c r="C9679" t="str">
        <f t="shared" si="151"/>
        <v>3. $50K-250K</v>
      </c>
      <c r="D9679" t="s">
        <v>877</v>
      </c>
      <c r="E9679" t="s">
        <v>825</v>
      </c>
      <c r="F9679" t="s">
        <v>670</v>
      </c>
      <c r="G9679" t="s">
        <v>59</v>
      </c>
      <c r="H9679">
        <v>2025</v>
      </c>
    </row>
    <row r="9680" spans="1:8" x14ac:dyDescent="0.2">
      <c r="A9680">
        <v>310836</v>
      </c>
      <c r="B9680">
        <v>450000</v>
      </c>
      <c r="C9680" t="str">
        <f t="shared" si="151"/>
        <v>3. $50K-250K</v>
      </c>
      <c r="D9680" t="s">
        <v>2553</v>
      </c>
      <c r="E9680" t="s">
        <v>112</v>
      </c>
      <c r="F9680" t="s">
        <v>668</v>
      </c>
      <c r="G9680" t="s">
        <v>59</v>
      </c>
      <c r="H9680">
        <v>2025</v>
      </c>
    </row>
    <row r="9681" spans="1:8" x14ac:dyDescent="0.2">
      <c r="A9681">
        <v>310884</v>
      </c>
      <c r="B9681">
        <v>127783</v>
      </c>
      <c r="C9681" t="str">
        <f t="shared" si="151"/>
        <v>4. $250K-1M</v>
      </c>
      <c r="D9681" t="s">
        <v>2505</v>
      </c>
      <c r="E9681" t="s">
        <v>99</v>
      </c>
      <c r="F9681" t="s">
        <v>670</v>
      </c>
      <c r="G9681" t="s">
        <v>59</v>
      </c>
      <c r="H9681">
        <v>2025</v>
      </c>
    </row>
    <row r="9682" spans="1:8" x14ac:dyDescent="0.2">
      <c r="A9682">
        <v>310888</v>
      </c>
      <c r="B9682">
        <v>85000</v>
      </c>
      <c r="C9682" t="str">
        <f t="shared" si="151"/>
        <v>3. $50K-250K</v>
      </c>
      <c r="D9682" t="s">
        <v>818</v>
      </c>
      <c r="E9682" t="s">
        <v>819</v>
      </c>
      <c r="F9682" t="s">
        <v>670</v>
      </c>
      <c r="G9682" t="s">
        <v>59</v>
      </c>
      <c r="H9682">
        <v>2025</v>
      </c>
    </row>
    <row r="9683" spans="1:8" x14ac:dyDescent="0.2">
      <c r="A9683">
        <v>310922</v>
      </c>
      <c r="B9683">
        <v>359970</v>
      </c>
      <c r="C9683" t="str">
        <f t="shared" si="151"/>
        <v>3. $50K-250K</v>
      </c>
      <c r="D9683" t="s">
        <v>2546</v>
      </c>
      <c r="E9683" t="s">
        <v>237</v>
      </c>
      <c r="F9683" t="s">
        <v>670</v>
      </c>
      <c r="G9683" t="s">
        <v>59</v>
      </c>
      <c r="H9683">
        <v>2025</v>
      </c>
    </row>
    <row r="9684" spans="1:8" x14ac:dyDescent="0.2">
      <c r="A9684">
        <v>310923</v>
      </c>
      <c r="B9684">
        <v>71994</v>
      </c>
      <c r="C9684" t="str">
        <f t="shared" si="151"/>
        <v>4. $250K-1M</v>
      </c>
      <c r="D9684" t="s">
        <v>2554</v>
      </c>
      <c r="E9684" t="s">
        <v>237</v>
      </c>
      <c r="F9684" t="s">
        <v>670</v>
      </c>
      <c r="G9684" t="s">
        <v>59</v>
      </c>
      <c r="H9684">
        <v>2025</v>
      </c>
    </row>
    <row r="9685" spans="1:8" x14ac:dyDescent="0.2">
      <c r="A9685">
        <v>310924</v>
      </c>
      <c r="B9685">
        <v>450000</v>
      </c>
      <c r="C9685" t="str">
        <f t="shared" si="151"/>
        <v>3. $50K-250K</v>
      </c>
      <c r="D9685" t="s">
        <v>2555</v>
      </c>
      <c r="E9685" t="s">
        <v>28</v>
      </c>
      <c r="F9685" t="s">
        <v>668</v>
      </c>
      <c r="G9685" t="s">
        <v>59</v>
      </c>
      <c r="H9685">
        <v>2025</v>
      </c>
    </row>
    <row r="9686" spans="1:8" x14ac:dyDescent="0.2">
      <c r="A9686">
        <v>310925</v>
      </c>
      <c r="B9686">
        <v>5650</v>
      </c>
      <c r="C9686" t="str">
        <f t="shared" si="151"/>
        <v>4. $250K-1M</v>
      </c>
      <c r="D9686" t="s">
        <v>2050</v>
      </c>
      <c r="E9686" t="s">
        <v>112</v>
      </c>
      <c r="F9686" t="s">
        <v>668</v>
      </c>
      <c r="G9686" t="s">
        <v>59</v>
      </c>
      <c r="H9686">
        <v>2025</v>
      </c>
    </row>
    <row r="9687" spans="1:8" x14ac:dyDescent="0.2">
      <c r="A9687">
        <v>310958</v>
      </c>
      <c r="B9687">
        <v>50000</v>
      </c>
      <c r="C9687" t="str">
        <f t="shared" si="151"/>
        <v>1. Under $10K</v>
      </c>
      <c r="D9687" t="s">
        <v>948</v>
      </c>
      <c r="E9687" t="s">
        <v>825</v>
      </c>
      <c r="F9687" t="s">
        <v>670</v>
      </c>
      <c r="G9687" t="s">
        <v>59</v>
      </c>
      <c r="H9687">
        <v>2025</v>
      </c>
    </row>
    <row r="9688" spans="1:8" x14ac:dyDescent="0.2">
      <c r="A9688">
        <v>311070</v>
      </c>
      <c r="B9688">
        <v>208600</v>
      </c>
      <c r="C9688" t="str">
        <f t="shared" si="151"/>
        <v>3. $50K-250K</v>
      </c>
      <c r="D9688" t="s">
        <v>1016</v>
      </c>
      <c r="E9688" t="s">
        <v>112</v>
      </c>
      <c r="F9688" t="s">
        <v>668</v>
      </c>
      <c r="G9688" t="s">
        <v>59</v>
      </c>
      <c r="H9688">
        <v>2025</v>
      </c>
    </row>
    <row r="9689" spans="1:8" x14ac:dyDescent="0.2">
      <c r="A9689">
        <v>311073</v>
      </c>
      <c r="B9689">
        <v>300000</v>
      </c>
      <c r="C9689" t="str">
        <f t="shared" si="151"/>
        <v>3. $50K-250K</v>
      </c>
      <c r="D9689" t="s">
        <v>991</v>
      </c>
      <c r="E9689" t="s">
        <v>112</v>
      </c>
      <c r="F9689" t="s">
        <v>668</v>
      </c>
      <c r="G9689" t="s">
        <v>59</v>
      </c>
      <c r="H9689">
        <v>2025</v>
      </c>
    </row>
    <row r="9690" spans="1:8" x14ac:dyDescent="0.2">
      <c r="A9690">
        <v>311104</v>
      </c>
      <c r="B9690">
        <v>52500</v>
      </c>
      <c r="C9690" t="str">
        <f t="shared" si="151"/>
        <v>4. $250K-1M</v>
      </c>
      <c r="D9690" t="s">
        <v>818</v>
      </c>
      <c r="E9690" t="s">
        <v>825</v>
      </c>
      <c r="F9690" t="s">
        <v>670</v>
      </c>
      <c r="G9690" t="s">
        <v>59</v>
      </c>
      <c r="H9690">
        <v>2025</v>
      </c>
    </row>
    <row r="9691" spans="1:8" x14ac:dyDescent="0.2">
      <c r="A9691">
        <v>311107</v>
      </c>
      <c r="B9691">
        <v>220000</v>
      </c>
      <c r="C9691" t="str">
        <f t="shared" si="151"/>
        <v>3. $50K-250K</v>
      </c>
      <c r="D9691" t="s">
        <v>865</v>
      </c>
      <c r="E9691" t="s">
        <v>237</v>
      </c>
      <c r="F9691" t="s">
        <v>670</v>
      </c>
      <c r="G9691" t="s">
        <v>59</v>
      </c>
      <c r="H9691">
        <v>2025</v>
      </c>
    </row>
    <row r="9692" spans="1:8" x14ac:dyDescent="0.2">
      <c r="A9692">
        <v>311110</v>
      </c>
      <c r="B9692">
        <v>60059</v>
      </c>
      <c r="C9692" t="str">
        <f t="shared" si="151"/>
        <v>3. $50K-250K</v>
      </c>
      <c r="D9692" t="s">
        <v>871</v>
      </c>
      <c r="E9692" t="s">
        <v>237</v>
      </c>
      <c r="F9692" t="s">
        <v>670</v>
      </c>
      <c r="G9692" t="s">
        <v>59</v>
      </c>
      <c r="H9692">
        <v>2025</v>
      </c>
    </row>
    <row r="9693" spans="1:8" x14ac:dyDescent="0.2">
      <c r="A9693">
        <v>311113</v>
      </c>
      <c r="B9693">
        <v>100000</v>
      </c>
      <c r="C9693" t="str">
        <f t="shared" si="151"/>
        <v>3. $50K-250K</v>
      </c>
      <c r="D9693" t="s">
        <v>1027</v>
      </c>
      <c r="E9693" t="s">
        <v>237</v>
      </c>
      <c r="F9693" t="s">
        <v>670</v>
      </c>
      <c r="G9693" t="s">
        <v>59</v>
      </c>
      <c r="H9693">
        <v>2025</v>
      </c>
    </row>
    <row r="9694" spans="1:8" x14ac:dyDescent="0.2">
      <c r="A9694">
        <v>311114</v>
      </c>
      <c r="B9694">
        <v>45597</v>
      </c>
      <c r="C9694" t="str">
        <f t="shared" si="151"/>
        <v>3. $50K-250K</v>
      </c>
      <c r="D9694" t="s">
        <v>807</v>
      </c>
      <c r="E9694" t="s">
        <v>237</v>
      </c>
      <c r="F9694" t="s">
        <v>670</v>
      </c>
      <c r="G9694" t="s">
        <v>59</v>
      </c>
      <c r="H9694">
        <v>2025</v>
      </c>
    </row>
    <row r="9695" spans="1:8" x14ac:dyDescent="0.2">
      <c r="A9695">
        <v>311116</v>
      </c>
      <c r="B9695">
        <v>83668</v>
      </c>
      <c r="C9695" t="str">
        <f t="shared" si="151"/>
        <v>2. $10K-50K</v>
      </c>
      <c r="D9695" t="s">
        <v>1613</v>
      </c>
      <c r="E9695" t="s">
        <v>237</v>
      </c>
      <c r="F9695" t="s">
        <v>670</v>
      </c>
      <c r="G9695" t="s">
        <v>59</v>
      </c>
      <c r="H9695">
        <v>2025</v>
      </c>
    </row>
    <row r="9696" spans="1:8" x14ac:dyDescent="0.2">
      <c r="A9696">
        <v>311127</v>
      </c>
      <c r="B9696">
        <v>72000</v>
      </c>
      <c r="C9696" t="str">
        <f t="shared" si="151"/>
        <v>3. $50K-250K</v>
      </c>
      <c r="D9696" t="s">
        <v>1101</v>
      </c>
      <c r="E9696" t="s">
        <v>237</v>
      </c>
      <c r="F9696" t="s">
        <v>670</v>
      </c>
      <c r="G9696" t="s">
        <v>59</v>
      </c>
      <c r="H9696">
        <v>2025</v>
      </c>
    </row>
    <row r="9697" spans="1:8" x14ac:dyDescent="0.2">
      <c r="A9697">
        <v>311141</v>
      </c>
      <c r="B9697">
        <v>72000</v>
      </c>
      <c r="C9697" t="str">
        <f t="shared" si="151"/>
        <v>3. $50K-250K</v>
      </c>
      <c r="D9697" t="s">
        <v>1101</v>
      </c>
      <c r="E9697" t="s">
        <v>237</v>
      </c>
      <c r="F9697" t="s">
        <v>670</v>
      </c>
      <c r="G9697" t="s">
        <v>59</v>
      </c>
      <c r="H9697">
        <v>2025</v>
      </c>
    </row>
    <row r="9698" spans="1:8" x14ac:dyDescent="0.2">
      <c r="A9698">
        <v>311170</v>
      </c>
      <c r="B9698">
        <v>95328.699999999895</v>
      </c>
      <c r="C9698" t="str">
        <f t="shared" si="151"/>
        <v>3. $50K-250K</v>
      </c>
      <c r="D9698" t="s">
        <v>711</v>
      </c>
      <c r="E9698" t="s">
        <v>237</v>
      </c>
      <c r="F9698" t="s">
        <v>670</v>
      </c>
      <c r="G9698" t="s">
        <v>59</v>
      </c>
      <c r="H9698">
        <v>2025</v>
      </c>
    </row>
    <row r="9699" spans="1:8" x14ac:dyDescent="0.2">
      <c r="A9699">
        <v>311176</v>
      </c>
      <c r="B9699">
        <v>69000</v>
      </c>
      <c r="C9699" t="str">
        <f t="shared" si="151"/>
        <v>3. $50K-250K</v>
      </c>
      <c r="D9699" t="s">
        <v>1180</v>
      </c>
      <c r="E9699" t="s">
        <v>237</v>
      </c>
      <c r="F9699" t="s">
        <v>670</v>
      </c>
      <c r="G9699" t="s">
        <v>59</v>
      </c>
      <c r="H9699">
        <v>2025</v>
      </c>
    </row>
    <row r="9700" spans="1:8" x14ac:dyDescent="0.2">
      <c r="A9700">
        <v>311178</v>
      </c>
      <c r="B9700">
        <v>100000</v>
      </c>
      <c r="C9700" t="str">
        <f t="shared" si="151"/>
        <v>3. $50K-250K</v>
      </c>
      <c r="D9700" t="s">
        <v>792</v>
      </c>
      <c r="E9700" t="s">
        <v>42</v>
      </c>
      <c r="F9700" t="s">
        <v>670</v>
      </c>
      <c r="G9700" t="s">
        <v>59</v>
      </c>
      <c r="H9700">
        <v>2025</v>
      </c>
    </row>
    <row r="9701" spans="1:8" x14ac:dyDescent="0.2">
      <c r="A9701">
        <v>311179</v>
      </c>
      <c r="B9701">
        <v>7123549.5</v>
      </c>
      <c r="C9701" t="str">
        <f t="shared" si="151"/>
        <v>3. $50K-250K</v>
      </c>
      <c r="D9701" t="s">
        <v>1052</v>
      </c>
      <c r="E9701" t="s">
        <v>237</v>
      </c>
      <c r="F9701" t="s">
        <v>670</v>
      </c>
      <c r="G9701" t="s">
        <v>59</v>
      </c>
      <c r="H9701">
        <v>2025</v>
      </c>
    </row>
    <row r="9702" spans="1:8" x14ac:dyDescent="0.2">
      <c r="A9702">
        <v>311217</v>
      </c>
      <c r="B9702">
        <v>5363627</v>
      </c>
      <c r="C9702" t="str">
        <f t="shared" si="151"/>
        <v>5. $1M+</v>
      </c>
      <c r="D9702" t="s">
        <v>1052</v>
      </c>
      <c r="E9702" t="s">
        <v>237</v>
      </c>
      <c r="F9702" t="s">
        <v>670</v>
      </c>
      <c r="G9702" t="s">
        <v>59</v>
      </c>
      <c r="H9702">
        <v>2025</v>
      </c>
    </row>
    <row r="9703" spans="1:8" x14ac:dyDescent="0.2">
      <c r="A9703">
        <v>311226</v>
      </c>
      <c r="B9703">
        <v>75000</v>
      </c>
      <c r="C9703" t="str">
        <f t="shared" si="151"/>
        <v>5. $1M+</v>
      </c>
      <c r="D9703" t="s">
        <v>2159</v>
      </c>
      <c r="E9703" t="s">
        <v>112</v>
      </c>
      <c r="F9703" t="s">
        <v>668</v>
      </c>
      <c r="G9703" t="s">
        <v>59</v>
      </c>
      <c r="H9703">
        <v>2025</v>
      </c>
    </row>
    <row r="9704" spans="1:8" x14ac:dyDescent="0.2">
      <c r="A9704">
        <v>311290</v>
      </c>
      <c r="B9704">
        <v>55023585</v>
      </c>
      <c r="C9704" t="str">
        <f t="shared" si="151"/>
        <v>3. $50K-250K</v>
      </c>
      <c r="D9704" t="s">
        <v>279</v>
      </c>
      <c r="E9704" t="s">
        <v>8</v>
      </c>
      <c r="F9704" t="s">
        <v>22</v>
      </c>
      <c r="G9704" t="s">
        <v>10</v>
      </c>
      <c r="H9704">
        <v>2025</v>
      </c>
    </row>
    <row r="9705" spans="1:8" x14ac:dyDescent="0.2">
      <c r="A9705">
        <v>311304</v>
      </c>
      <c r="B9705">
        <v>52500</v>
      </c>
      <c r="C9705" t="str">
        <f t="shared" si="151"/>
        <v>5. $1M+</v>
      </c>
      <c r="D9705" t="s">
        <v>958</v>
      </c>
      <c r="E9705" t="s">
        <v>825</v>
      </c>
      <c r="F9705" t="s">
        <v>670</v>
      </c>
      <c r="G9705" t="s">
        <v>59</v>
      </c>
      <c r="H9705">
        <v>2025</v>
      </c>
    </row>
    <row r="9706" spans="1:8" x14ac:dyDescent="0.2">
      <c r="A9706">
        <v>311334</v>
      </c>
      <c r="B9706">
        <v>1964928</v>
      </c>
      <c r="C9706" t="str">
        <f t="shared" si="151"/>
        <v>3. $50K-250K</v>
      </c>
      <c r="D9706" t="s">
        <v>928</v>
      </c>
      <c r="E9706" t="s">
        <v>237</v>
      </c>
      <c r="F9706" t="s">
        <v>670</v>
      </c>
      <c r="G9706" t="s">
        <v>59</v>
      </c>
      <c r="H9706">
        <v>2025</v>
      </c>
    </row>
    <row r="9707" spans="1:8" x14ac:dyDescent="0.2">
      <c r="A9707">
        <v>311335</v>
      </c>
      <c r="B9707">
        <v>130149</v>
      </c>
      <c r="C9707" t="str">
        <f t="shared" si="151"/>
        <v>5. $1M+</v>
      </c>
      <c r="D9707" t="s">
        <v>889</v>
      </c>
      <c r="E9707" t="s">
        <v>237</v>
      </c>
      <c r="F9707" t="s">
        <v>670</v>
      </c>
      <c r="G9707" t="s">
        <v>59</v>
      </c>
      <c r="H9707">
        <v>2025</v>
      </c>
    </row>
    <row r="9708" spans="1:8" x14ac:dyDescent="0.2">
      <c r="A9708">
        <v>311346</v>
      </c>
      <c r="B9708">
        <v>98210</v>
      </c>
      <c r="C9708" t="str">
        <f t="shared" si="151"/>
        <v>3. $50K-250K</v>
      </c>
      <c r="D9708" t="s">
        <v>947</v>
      </c>
      <c r="E9708" t="s">
        <v>99</v>
      </c>
      <c r="F9708" t="s">
        <v>670</v>
      </c>
      <c r="G9708" t="s">
        <v>59</v>
      </c>
      <c r="H9708">
        <v>2025</v>
      </c>
    </row>
    <row r="9709" spans="1:8" x14ac:dyDescent="0.2">
      <c r="A9709">
        <v>311355</v>
      </c>
      <c r="B9709">
        <v>36000</v>
      </c>
      <c r="C9709" t="str">
        <f t="shared" si="151"/>
        <v>3. $50K-250K</v>
      </c>
      <c r="D9709" t="s">
        <v>920</v>
      </c>
      <c r="E9709" t="s">
        <v>237</v>
      </c>
      <c r="F9709" t="s">
        <v>670</v>
      </c>
      <c r="G9709" t="s">
        <v>59</v>
      </c>
      <c r="H9709">
        <v>2025</v>
      </c>
    </row>
    <row r="9710" spans="1:8" x14ac:dyDescent="0.2">
      <c r="A9710">
        <v>311356</v>
      </c>
      <c r="B9710">
        <v>300000</v>
      </c>
      <c r="C9710" t="str">
        <f t="shared" si="151"/>
        <v>2. $10K-50K</v>
      </c>
      <c r="D9710" t="s">
        <v>1027</v>
      </c>
      <c r="E9710" t="s">
        <v>237</v>
      </c>
      <c r="F9710" t="s">
        <v>670</v>
      </c>
      <c r="G9710" t="s">
        <v>59</v>
      </c>
      <c r="H9710">
        <v>2025</v>
      </c>
    </row>
    <row r="9711" spans="1:8" x14ac:dyDescent="0.2">
      <c r="A9711">
        <v>311357</v>
      </c>
      <c r="B9711">
        <v>36000</v>
      </c>
      <c r="C9711" t="str">
        <f t="shared" si="151"/>
        <v>4. $250K-1M</v>
      </c>
      <c r="D9711" t="s">
        <v>937</v>
      </c>
      <c r="E9711" t="s">
        <v>237</v>
      </c>
      <c r="F9711" t="s">
        <v>670</v>
      </c>
      <c r="G9711" t="s">
        <v>59</v>
      </c>
      <c r="H9711">
        <v>2025</v>
      </c>
    </row>
    <row r="9712" spans="1:8" x14ac:dyDescent="0.2">
      <c r="A9712">
        <v>311393</v>
      </c>
      <c r="B9712">
        <v>300000</v>
      </c>
      <c r="C9712" t="str">
        <f t="shared" si="151"/>
        <v>2. $10K-50K</v>
      </c>
      <c r="D9712" t="s">
        <v>903</v>
      </c>
      <c r="E9712" t="s">
        <v>237</v>
      </c>
      <c r="F9712" t="s">
        <v>670</v>
      </c>
      <c r="G9712" t="s">
        <v>59</v>
      </c>
      <c r="H9712">
        <v>2025</v>
      </c>
    </row>
    <row r="9713" spans="1:8" x14ac:dyDescent="0.2">
      <c r="A9713">
        <v>311410</v>
      </c>
      <c r="B9713">
        <v>36000</v>
      </c>
      <c r="C9713" t="str">
        <f t="shared" si="151"/>
        <v>4. $250K-1M</v>
      </c>
      <c r="D9713" t="s">
        <v>1179</v>
      </c>
      <c r="E9713" t="s">
        <v>237</v>
      </c>
      <c r="F9713" t="s">
        <v>670</v>
      </c>
      <c r="G9713" t="s">
        <v>59</v>
      </c>
      <c r="H9713">
        <v>2025</v>
      </c>
    </row>
    <row r="9714" spans="1:8" x14ac:dyDescent="0.2">
      <c r="A9714">
        <v>311412</v>
      </c>
      <c r="B9714">
        <v>163231.29999999999</v>
      </c>
      <c r="C9714" t="str">
        <f t="shared" si="151"/>
        <v>2. $10K-50K</v>
      </c>
      <c r="D9714" t="s">
        <v>711</v>
      </c>
      <c r="E9714" t="s">
        <v>237</v>
      </c>
      <c r="F9714" t="s">
        <v>670</v>
      </c>
      <c r="G9714" t="s">
        <v>59</v>
      </c>
      <c r="H9714">
        <v>2025</v>
      </c>
    </row>
    <row r="9715" spans="1:8" x14ac:dyDescent="0.2">
      <c r="A9715">
        <v>311413</v>
      </c>
      <c r="B9715">
        <v>83980</v>
      </c>
      <c r="C9715" t="str">
        <f t="shared" si="151"/>
        <v>3. $50K-250K</v>
      </c>
      <c r="D9715" t="s">
        <v>792</v>
      </c>
      <c r="E9715" t="s">
        <v>237</v>
      </c>
      <c r="F9715" t="s">
        <v>670</v>
      </c>
      <c r="G9715" t="s">
        <v>59</v>
      </c>
      <c r="H9715">
        <v>2025</v>
      </c>
    </row>
    <row r="9716" spans="1:8" x14ac:dyDescent="0.2">
      <c r="A9716">
        <v>311414</v>
      </c>
      <c r="B9716">
        <v>8175</v>
      </c>
      <c r="C9716" t="str">
        <f t="shared" si="151"/>
        <v>3. $50K-250K</v>
      </c>
      <c r="D9716" t="s">
        <v>792</v>
      </c>
      <c r="E9716" t="s">
        <v>237</v>
      </c>
      <c r="F9716" t="s">
        <v>670</v>
      </c>
      <c r="G9716" t="s">
        <v>59</v>
      </c>
      <c r="H9716">
        <v>2025</v>
      </c>
    </row>
    <row r="9717" spans="1:8" x14ac:dyDescent="0.2">
      <c r="A9717">
        <v>311415</v>
      </c>
      <c r="B9717">
        <v>30000</v>
      </c>
      <c r="C9717" t="str">
        <f t="shared" si="151"/>
        <v>1. Under $10K</v>
      </c>
      <c r="D9717" t="s">
        <v>792</v>
      </c>
      <c r="E9717" t="s">
        <v>237</v>
      </c>
      <c r="F9717" t="s">
        <v>670</v>
      </c>
      <c r="G9717" t="s">
        <v>59</v>
      </c>
      <c r="H9717">
        <v>2025</v>
      </c>
    </row>
    <row r="9718" spans="1:8" x14ac:dyDescent="0.2">
      <c r="A9718">
        <v>311416</v>
      </c>
      <c r="B9718">
        <v>70000</v>
      </c>
      <c r="C9718" t="str">
        <f t="shared" si="151"/>
        <v>2. $10K-50K</v>
      </c>
      <c r="D9718" t="s">
        <v>889</v>
      </c>
      <c r="E9718" t="s">
        <v>237</v>
      </c>
      <c r="F9718" t="s">
        <v>670</v>
      </c>
      <c r="G9718" t="s">
        <v>59</v>
      </c>
      <c r="H9718">
        <v>2025</v>
      </c>
    </row>
    <row r="9719" spans="1:8" x14ac:dyDescent="0.2">
      <c r="A9719">
        <v>311417</v>
      </c>
      <c r="B9719">
        <v>54000</v>
      </c>
      <c r="C9719" t="str">
        <f t="shared" si="151"/>
        <v>3. $50K-250K</v>
      </c>
      <c r="D9719" t="s">
        <v>1555</v>
      </c>
      <c r="E9719" t="s">
        <v>237</v>
      </c>
      <c r="F9719" t="s">
        <v>670</v>
      </c>
      <c r="G9719" t="s">
        <v>59</v>
      </c>
      <c r="H9719">
        <v>2025</v>
      </c>
    </row>
    <row r="9720" spans="1:8" x14ac:dyDescent="0.2">
      <c r="A9720">
        <v>311419</v>
      </c>
      <c r="B9720">
        <v>36000</v>
      </c>
      <c r="C9720" t="str">
        <f t="shared" si="151"/>
        <v>3. $50K-250K</v>
      </c>
      <c r="D9720" t="s">
        <v>713</v>
      </c>
      <c r="E9720" t="s">
        <v>237</v>
      </c>
      <c r="F9720" t="s">
        <v>670</v>
      </c>
      <c r="G9720" t="s">
        <v>59</v>
      </c>
      <c r="H9720">
        <v>2025</v>
      </c>
    </row>
    <row r="9721" spans="1:8" x14ac:dyDescent="0.2">
      <c r="A9721">
        <v>311420</v>
      </c>
      <c r="B9721">
        <v>36000</v>
      </c>
      <c r="C9721" t="str">
        <f t="shared" si="151"/>
        <v>2. $10K-50K</v>
      </c>
      <c r="D9721" t="s">
        <v>713</v>
      </c>
      <c r="E9721" t="s">
        <v>237</v>
      </c>
      <c r="F9721" t="s">
        <v>670</v>
      </c>
      <c r="G9721" t="s">
        <v>59</v>
      </c>
      <c r="H9721">
        <v>2025</v>
      </c>
    </row>
    <row r="9722" spans="1:8" x14ac:dyDescent="0.2">
      <c r="A9722">
        <v>311421</v>
      </c>
      <c r="B9722">
        <v>36000</v>
      </c>
      <c r="C9722" t="str">
        <f t="shared" si="151"/>
        <v>2. $10K-50K</v>
      </c>
      <c r="D9722" t="s">
        <v>983</v>
      </c>
      <c r="E9722" t="s">
        <v>237</v>
      </c>
      <c r="F9722" t="s">
        <v>670</v>
      </c>
      <c r="G9722" t="s">
        <v>59</v>
      </c>
      <c r="H9722">
        <v>2025</v>
      </c>
    </row>
    <row r="9723" spans="1:8" x14ac:dyDescent="0.2">
      <c r="A9723">
        <v>311463</v>
      </c>
      <c r="B9723">
        <v>274987</v>
      </c>
      <c r="C9723" t="str">
        <f t="shared" si="151"/>
        <v>2. $10K-50K</v>
      </c>
      <c r="D9723" t="s">
        <v>708</v>
      </c>
      <c r="E9723" t="s">
        <v>42</v>
      </c>
      <c r="F9723" t="s">
        <v>670</v>
      </c>
      <c r="G9723" t="s">
        <v>59</v>
      </c>
      <c r="H9723">
        <v>2025</v>
      </c>
    </row>
    <row r="9724" spans="1:8" x14ac:dyDescent="0.2">
      <c r="A9724">
        <v>311471</v>
      </c>
      <c r="B9724">
        <v>235706</v>
      </c>
      <c r="C9724" t="str">
        <f t="shared" si="151"/>
        <v>4. $250K-1M</v>
      </c>
      <c r="D9724" t="s">
        <v>719</v>
      </c>
      <c r="E9724" t="s">
        <v>42</v>
      </c>
      <c r="F9724" t="s">
        <v>670</v>
      </c>
      <c r="G9724" t="s">
        <v>59</v>
      </c>
      <c r="H9724">
        <v>2025</v>
      </c>
    </row>
    <row r="9725" spans="1:8" x14ac:dyDescent="0.2">
      <c r="A9725">
        <v>311498</v>
      </c>
      <c r="B9725">
        <v>750000</v>
      </c>
      <c r="C9725" t="str">
        <f t="shared" si="151"/>
        <v>3. $50K-250K</v>
      </c>
      <c r="D9725" t="s">
        <v>882</v>
      </c>
      <c r="E9725" t="s">
        <v>825</v>
      </c>
      <c r="F9725" t="s">
        <v>670</v>
      </c>
      <c r="G9725" t="s">
        <v>44</v>
      </c>
      <c r="H9725">
        <v>2025</v>
      </c>
    </row>
    <row r="9726" spans="1:8" x14ac:dyDescent="0.2">
      <c r="A9726">
        <v>311510</v>
      </c>
      <c r="B9726">
        <v>74395.7</v>
      </c>
      <c r="C9726" t="str">
        <f t="shared" si="151"/>
        <v>4. $250K-1M</v>
      </c>
      <c r="D9726" t="s">
        <v>230</v>
      </c>
      <c r="E9726" t="s">
        <v>67</v>
      </c>
      <c r="F9726" t="s">
        <v>231</v>
      </c>
      <c r="G9726" t="s">
        <v>232</v>
      </c>
      <c r="H9726">
        <v>2025</v>
      </c>
    </row>
    <row r="9727" spans="1:8" x14ac:dyDescent="0.2">
      <c r="A9727">
        <v>311511</v>
      </c>
      <c r="B9727">
        <v>907684</v>
      </c>
      <c r="C9727" t="str">
        <f t="shared" si="151"/>
        <v>3. $50K-250K</v>
      </c>
      <c r="D9727" t="s">
        <v>781</v>
      </c>
      <c r="E9727" t="s">
        <v>42</v>
      </c>
      <c r="F9727" t="s">
        <v>670</v>
      </c>
      <c r="G9727" t="s">
        <v>59</v>
      </c>
      <c r="H9727">
        <v>2025</v>
      </c>
    </row>
    <row r="9728" spans="1:8" x14ac:dyDescent="0.2">
      <c r="A9728">
        <v>311568</v>
      </c>
      <c r="B9728">
        <v>1964928</v>
      </c>
      <c r="C9728" t="str">
        <f t="shared" si="151"/>
        <v>4. $250K-1M</v>
      </c>
      <c r="D9728" t="s">
        <v>928</v>
      </c>
      <c r="E9728" t="s">
        <v>237</v>
      </c>
      <c r="F9728" t="s">
        <v>670</v>
      </c>
      <c r="G9728" t="s">
        <v>59</v>
      </c>
      <c r="H9728">
        <v>2025</v>
      </c>
    </row>
    <row r="9729" spans="1:8" x14ac:dyDescent="0.2">
      <c r="A9729">
        <v>311569</v>
      </c>
      <c r="B9729">
        <v>108000</v>
      </c>
      <c r="C9729" t="str">
        <f t="shared" si="151"/>
        <v>5. $1M+</v>
      </c>
      <c r="D9729" t="s">
        <v>697</v>
      </c>
      <c r="E9729" t="s">
        <v>237</v>
      </c>
      <c r="F9729" t="s">
        <v>670</v>
      </c>
      <c r="G9729" t="s">
        <v>59</v>
      </c>
      <c r="H9729">
        <v>2025</v>
      </c>
    </row>
    <row r="9730" spans="1:8" x14ac:dyDescent="0.2">
      <c r="A9730">
        <v>311571</v>
      </c>
      <c r="B9730">
        <v>126000</v>
      </c>
      <c r="C9730" t="str">
        <f t="shared" si="151"/>
        <v>3. $50K-250K</v>
      </c>
      <c r="D9730" t="s">
        <v>983</v>
      </c>
      <c r="E9730" t="s">
        <v>237</v>
      </c>
      <c r="F9730" t="s">
        <v>670</v>
      </c>
      <c r="G9730" t="s">
        <v>59</v>
      </c>
      <c r="H9730">
        <v>2025</v>
      </c>
    </row>
    <row r="9731" spans="1:8" x14ac:dyDescent="0.2">
      <c r="A9731">
        <v>311573</v>
      </c>
      <c r="B9731">
        <v>126000</v>
      </c>
      <c r="C9731" t="str">
        <f t="shared" ref="C9731:C9794" si="152">IF(B9730&lt;10000,"1. Under $10K",IF(B9730&lt;50000,"2. $10K-50K",IF(B9730&lt;250000,"3. $50K-250K",IF(B9730&lt;1000000,"4. $250K-1M","5. $1M+"))))</f>
        <v>3. $50K-250K</v>
      </c>
      <c r="D9731" t="s">
        <v>1084</v>
      </c>
      <c r="E9731" t="s">
        <v>237</v>
      </c>
      <c r="F9731" t="s">
        <v>670</v>
      </c>
      <c r="G9731" t="s">
        <v>59</v>
      </c>
      <c r="H9731">
        <v>2025</v>
      </c>
    </row>
    <row r="9732" spans="1:8" x14ac:dyDescent="0.2">
      <c r="A9732">
        <v>311574</v>
      </c>
      <c r="B9732">
        <v>54000</v>
      </c>
      <c r="C9732" t="str">
        <f t="shared" si="152"/>
        <v>3. $50K-250K</v>
      </c>
      <c r="D9732" t="s">
        <v>1067</v>
      </c>
      <c r="E9732" t="s">
        <v>237</v>
      </c>
      <c r="F9732" t="s">
        <v>670</v>
      </c>
      <c r="G9732" t="s">
        <v>59</v>
      </c>
      <c r="H9732">
        <v>2025</v>
      </c>
    </row>
    <row r="9733" spans="1:8" x14ac:dyDescent="0.2">
      <c r="A9733">
        <v>311630</v>
      </c>
      <c r="B9733">
        <v>13506.5</v>
      </c>
      <c r="C9733" t="str">
        <f t="shared" si="152"/>
        <v>3. $50K-250K</v>
      </c>
      <c r="D9733" t="s">
        <v>2556</v>
      </c>
      <c r="E9733" t="s">
        <v>59</v>
      </c>
      <c r="F9733" t="s">
        <v>664</v>
      </c>
      <c r="G9733" t="s">
        <v>59</v>
      </c>
      <c r="H9733">
        <v>2025</v>
      </c>
    </row>
    <row r="9734" spans="1:8" x14ac:dyDescent="0.2">
      <c r="A9734">
        <v>311733</v>
      </c>
      <c r="B9734">
        <v>30000</v>
      </c>
      <c r="C9734" t="str">
        <f t="shared" si="152"/>
        <v>2. $10K-50K</v>
      </c>
      <c r="D9734" t="s">
        <v>1012</v>
      </c>
      <c r="E9734" t="s">
        <v>112</v>
      </c>
      <c r="F9734" t="s">
        <v>668</v>
      </c>
      <c r="G9734" t="s">
        <v>59</v>
      </c>
      <c r="H9734">
        <v>2025</v>
      </c>
    </row>
    <row r="9735" spans="1:8" x14ac:dyDescent="0.2">
      <c r="A9735">
        <v>311738</v>
      </c>
      <c r="B9735">
        <v>55000</v>
      </c>
      <c r="C9735" t="str">
        <f t="shared" si="152"/>
        <v>2. $10K-50K</v>
      </c>
      <c r="D9735" t="s">
        <v>2557</v>
      </c>
      <c r="E9735" t="s">
        <v>112</v>
      </c>
      <c r="F9735" t="s">
        <v>668</v>
      </c>
      <c r="G9735" t="s">
        <v>59</v>
      </c>
      <c r="H9735">
        <v>2025</v>
      </c>
    </row>
    <row r="9736" spans="1:8" x14ac:dyDescent="0.2">
      <c r="A9736">
        <v>311784</v>
      </c>
      <c r="B9736">
        <v>370000</v>
      </c>
      <c r="C9736" t="str">
        <f t="shared" si="152"/>
        <v>3. $50K-250K</v>
      </c>
      <c r="D9736" t="s">
        <v>837</v>
      </c>
      <c r="E9736" t="s">
        <v>891</v>
      </c>
      <c r="F9736" t="s">
        <v>670</v>
      </c>
      <c r="G9736" t="s">
        <v>59</v>
      </c>
      <c r="H9736">
        <v>2025</v>
      </c>
    </row>
    <row r="9737" spans="1:8" x14ac:dyDescent="0.2">
      <c r="A9737">
        <v>312012</v>
      </c>
      <c r="B9737">
        <v>68166</v>
      </c>
      <c r="C9737" t="str">
        <f t="shared" si="152"/>
        <v>4. $250K-1M</v>
      </c>
      <c r="D9737" t="s">
        <v>801</v>
      </c>
      <c r="E9737" t="s">
        <v>42</v>
      </c>
      <c r="F9737" t="s">
        <v>670</v>
      </c>
      <c r="G9737" t="s">
        <v>59</v>
      </c>
      <c r="H9737">
        <v>2025</v>
      </c>
    </row>
    <row r="9738" spans="1:8" x14ac:dyDescent="0.2">
      <c r="A9738">
        <v>312039</v>
      </c>
      <c r="B9738">
        <v>28125</v>
      </c>
      <c r="C9738" t="str">
        <f t="shared" si="152"/>
        <v>3. $50K-250K</v>
      </c>
      <c r="D9738" t="s">
        <v>694</v>
      </c>
      <c r="E9738" t="s">
        <v>42</v>
      </c>
      <c r="F9738" t="s">
        <v>670</v>
      </c>
      <c r="G9738" t="s">
        <v>59</v>
      </c>
      <c r="H9738">
        <v>2025</v>
      </c>
    </row>
    <row r="9739" spans="1:8" x14ac:dyDescent="0.2">
      <c r="A9739">
        <v>312050</v>
      </c>
      <c r="B9739">
        <v>479264</v>
      </c>
      <c r="C9739" t="str">
        <f t="shared" si="152"/>
        <v>2. $10K-50K</v>
      </c>
      <c r="D9739" t="s">
        <v>1601</v>
      </c>
      <c r="E9739" t="s">
        <v>237</v>
      </c>
      <c r="F9739" t="s">
        <v>670</v>
      </c>
      <c r="G9739" t="s">
        <v>59</v>
      </c>
      <c r="H9739">
        <v>2025</v>
      </c>
    </row>
    <row r="9740" spans="1:8" x14ac:dyDescent="0.2">
      <c r="A9740">
        <v>312051</v>
      </c>
      <c r="B9740">
        <v>479264</v>
      </c>
      <c r="C9740" t="str">
        <f t="shared" si="152"/>
        <v>4. $250K-1M</v>
      </c>
      <c r="D9740" t="s">
        <v>801</v>
      </c>
      <c r="E9740" t="s">
        <v>237</v>
      </c>
      <c r="F9740" t="s">
        <v>670</v>
      </c>
      <c r="G9740" t="s">
        <v>59</v>
      </c>
      <c r="H9740">
        <v>2025</v>
      </c>
    </row>
    <row r="9741" spans="1:8" x14ac:dyDescent="0.2">
      <c r="A9741">
        <v>312052</v>
      </c>
      <c r="B9741">
        <v>239632</v>
      </c>
      <c r="C9741" t="str">
        <f t="shared" si="152"/>
        <v>4. $250K-1M</v>
      </c>
      <c r="D9741" t="s">
        <v>1074</v>
      </c>
      <c r="E9741" t="s">
        <v>237</v>
      </c>
      <c r="F9741" t="s">
        <v>670</v>
      </c>
      <c r="G9741" t="s">
        <v>59</v>
      </c>
      <c r="H9741">
        <v>2025</v>
      </c>
    </row>
    <row r="9742" spans="1:8" x14ac:dyDescent="0.2">
      <c r="A9742">
        <v>312053</v>
      </c>
      <c r="B9742">
        <v>239632</v>
      </c>
      <c r="C9742" t="str">
        <f t="shared" si="152"/>
        <v>3. $50K-250K</v>
      </c>
      <c r="D9742" t="s">
        <v>803</v>
      </c>
      <c r="E9742" t="s">
        <v>237</v>
      </c>
      <c r="F9742" t="s">
        <v>670</v>
      </c>
      <c r="G9742" t="s">
        <v>59</v>
      </c>
      <c r="H9742">
        <v>2025</v>
      </c>
    </row>
    <row r="9743" spans="1:8" x14ac:dyDescent="0.2">
      <c r="A9743">
        <v>312072</v>
      </c>
      <c r="B9743">
        <v>668740</v>
      </c>
      <c r="C9743" t="str">
        <f t="shared" si="152"/>
        <v>3. $50K-250K</v>
      </c>
      <c r="D9743" t="s">
        <v>708</v>
      </c>
      <c r="E9743" t="s">
        <v>237</v>
      </c>
      <c r="F9743" t="s">
        <v>670</v>
      </c>
      <c r="G9743" t="s">
        <v>59</v>
      </c>
      <c r="H9743">
        <v>2025</v>
      </c>
    </row>
    <row r="9744" spans="1:8" x14ac:dyDescent="0.2">
      <c r="A9744">
        <v>312073</v>
      </c>
      <c r="B9744">
        <v>36668</v>
      </c>
      <c r="C9744" t="str">
        <f t="shared" si="152"/>
        <v>4. $250K-1M</v>
      </c>
      <c r="D9744" t="s">
        <v>719</v>
      </c>
      <c r="E9744" t="s">
        <v>237</v>
      </c>
      <c r="F9744" t="s">
        <v>670</v>
      </c>
      <c r="G9744" t="s">
        <v>59</v>
      </c>
      <c r="H9744">
        <v>2025</v>
      </c>
    </row>
    <row r="9745" spans="1:8" x14ac:dyDescent="0.2">
      <c r="A9745">
        <v>312074</v>
      </c>
      <c r="B9745">
        <v>15961</v>
      </c>
      <c r="C9745" t="str">
        <f t="shared" si="152"/>
        <v>2. $10K-50K</v>
      </c>
      <c r="D9745" t="s">
        <v>851</v>
      </c>
      <c r="E9745" t="s">
        <v>237</v>
      </c>
      <c r="F9745" t="s">
        <v>670</v>
      </c>
      <c r="G9745" t="s">
        <v>59</v>
      </c>
      <c r="H9745">
        <v>2025</v>
      </c>
    </row>
    <row r="9746" spans="1:8" x14ac:dyDescent="0.2">
      <c r="A9746">
        <v>312076</v>
      </c>
      <c r="B9746">
        <v>209737</v>
      </c>
      <c r="C9746" t="str">
        <f t="shared" si="152"/>
        <v>2. $10K-50K</v>
      </c>
      <c r="D9746" t="s">
        <v>1033</v>
      </c>
      <c r="E9746" t="s">
        <v>237</v>
      </c>
      <c r="F9746" t="s">
        <v>670</v>
      </c>
      <c r="G9746" t="s">
        <v>59</v>
      </c>
      <c r="H9746">
        <v>2025</v>
      </c>
    </row>
    <row r="9747" spans="1:8" x14ac:dyDescent="0.2">
      <c r="A9747">
        <v>312078</v>
      </c>
      <c r="B9747">
        <v>66463</v>
      </c>
      <c r="C9747" t="str">
        <f t="shared" si="152"/>
        <v>3. $50K-250K</v>
      </c>
      <c r="D9747" t="s">
        <v>857</v>
      </c>
      <c r="E9747" t="s">
        <v>237</v>
      </c>
      <c r="F9747" t="s">
        <v>670</v>
      </c>
      <c r="G9747" t="s">
        <v>59</v>
      </c>
      <c r="H9747">
        <v>2025</v>
      </c>
    </row>
    <row r="9748" spans="1:8" x14ac:dyDescent="0.2">
      <c r="A9748">
        <v>312080</v>
      </c>
      <c r="B9748">
        <v>179016</v>
      </c>
      <c r="C9748" t="str">
        <f t="shared" si="152"/>
        <v>3. $50K-250K</v>
      </c>
      <c r="D9748" t="s">
        <v>978</v>
      </c>
      <c r="E9748" t="s">
        <v>42</v>
      </c>
      <c r="F9748" t="s">
        <v>670</v>
      </c>
      <c r="G9748" t="s">
        <v>59</v>
      </c>
      <c r="H9748">
        <v>2025</v>
      </c>
    </row>
    <row r="9749" spans="1:8" x14ac:dyDescent="0.2">
      <c r="A9749">
        <v>312081</v>
      </c>
      <c r="B9749">
        <v>500000</v>
      </c>
      <c r="C9749" t="str">
        <f t="shared" si="152"/>
        <v>3. $50K-250K</v>
      </c>
      <c r="D9749" t="s">
        <v>1047</v>
      </c>
      <c r="E9749" t="s">
        <v>42</v>
      </c>
      <c r="F9749" t="s">
        <v>670</v>
      </c>
      <c r="G9749" t="s">
        <v>59</v>
      </c>
      <c r="H9749">
        <v>2025</v>
      </c>
    </row>
    <row r="9750" spans="1:8" x14ac:dyDescent="0.2">
      <c r="A9750">
        <v>312084</v>
      </c>
      <c r="B9750">
        <v>337362</v>
      </c>
      <c r="C9750" t="str">
        <f t="shared" si="152"/>
        <v>4. $250K-1M</v>
      </c>
      <c r="D9750" t="s">
        <v>1473</v>
      </c>
      <c r="E9750" t="s">
        <v>42</v>
      </c>
      <c r="F9750" t="s">
        <v>670</v>
      </c>
      <c r="G9750" t="s">
        <v>59</v>
      </c>
      <c r="H9750">
        <v>2025</v>
      </c>
    </row>
    <row r="9751" spans="1:8" x14ac:dyDescent="0.2">
      <c r="A9751">
        <v>312086</v>
      </c>
      <c r="B9751">
        <v>632900</v>
      </c>
      <c r="C9751" t="str">
        <f t="shared" si="152"/>
        <v>4. $250K-1M</v>
      </c>
      <c r="D9751" t="s">
        <v>780</v>
      </c>
      <c r="E9751" t="s">
        <v>42</v>
      </c>
      <c r="F9751" t="s">
        <v>670</v>
      </c>
      <c r="G9751" t="s">
        <v>59</v>
      </c>
      <c r="H9751">
        <v>2025</v>
      </c>
    </row>
    <row r="9752" spans="1:8" x14ac:dyDescent="0.2">
      <c r="A9752">
        <v>312087</v>
      </c>
      <c r="B9752">
        <v>259938</v>
      </c>
      <c r="C9752" t="str">
        <f t="shared" si="152"/>
        <v>4. $250K-1M</v>
      </c>
      <c r="D9752" t="s">
        <v>783</v>
      </c>
      <c r="E9752" t="s">
        <v>42</v>
      </c>
      <c r="F9752" t="s">
        <v>670</v>
      </c>
      <c r="G9752" t="s">
        <v>59</v>
      </c>
      <c r="H9752">
        <v>2025</v>
      </c>
    </row>
    <row r="9753" spans="1:8" x14ac:dyDescent="0.2">
      <c r="A9753">
        <v>312088</v>
      </c>
      <c r="B9753">
        <v>300000</v>
      </c>
      <c r="C9753" t="str">
        <f t="shared" si="152"/>
        <v>4. $250K-1M</v>
      </c>
      <c r="D9753" t="s">
        <v>1019</v>
      </c>
      <c r="E9753" t="s">
        <v>237</v>
      </c>
      <c r="F9753" t="s">
        <v>670</v>
      </c>
      <c r="G9753" t="s">
        <v>59</v>
      </c>
      <c r="H9753">
        <v>2025</v>
      </c>
    </row>
    <row r="9754" spans="1:8" x14ac:dyDescent="0.2">
      <c r="A9754">
        <v>312089</v>
      </c>
      <c r="B9754">
        <v>176787.5</v>
      </c>
      <c r="C9754" t="str">
        <f t="shared" si="152"/>
        <v>4. $250K-1M</v>
      </c>
      <c r="D9754" t="s">
        <v>889</v>
      </c>
      <c r="E9754" t="s">
        <v>237</v>
      </c>
      <c r="F9754" t="s">
        <v>670</v>
      </c>
      <c r="G9754" t="s">
        <v>59</v>
      </c>
      <c r="H9754">
        <v>2025</v>
      </c>
    </row>
    <row r="9755" spans="1:8" x14ac:dyDescent="0.2">
      <c r="A9755">
        <v>312122</v>
      </c>
      <c r="B9755">
        <v>348750</v>
      </c>
      <c r="C9755" t="str">
        <f t="shared" si="152"/>
        <v>3. $50K-250K</v>
      </c>
      <c r="D9755" t="s">
        <v>925</v>
      </c>
      <c r="E9755" t="s">
        <v>237</v>
      </c>
      <c r="F9755" t="s">
        <v>670</v>
      </c>
      <c r="G9755" t="s">
        <v>59</v>
      </c>
      <c r="H9755">
        <v>2025</v>
      </c>
    </row>
    <row r="9756" spans="1:8" x14ac:dyDescent="0.2">
      <c r="A9756">
        <v>312192</v>
      </c>
      <c r="B9756">
        <v>266994</v>
      </c>
      <c r="C9756" t="str">
        <f t="shared" si="152"/>
        <v>4. $250K-1M</v>
      </c>
      <c r="D9756" t="s">
        <v>1074</v>
      </c>
      <c r="E9756" t="s">
        <v>237</v>
      </c>
      <c r="F9756" t="s">
        <v>670</v>
      </c>
      <c r="G9756" t="s">
        <v>59</v>
      </c>
      <c r="H9756">
        <v>2025</v>
      </c>
    </row>
    <row r="9757" spans="1:8" x14ac:dyDescent="0.2">
      <c r="A9757">
        <v>312218</v>
      </c>
      <c r="B9757">
        <v>787489</v>
      </c>
      <c r="C9757" t="str">
        <f t="shared" si="152"/>
        <v>4. $250K-1M</v>
      </c>
      <c r="D9757" t="s">
        <v>2065</v>
      </c>
      <c r="E9757" t="s">
        <v>237</v>
      </c>
      <c r="F9757" t="s">
        <v>670</v>
      </c>
      <c r="G9757" t="s">
        <v>59</v>
      </c>
      <c r="H9757">
        <v>2025</v>
      </c>
    </row>
    <row r="9758" spans="1:8" x14ac:dyDescent="0.2">
      <c r="A9758">
        <v>312228</v>
      </c>
      <c r="B9758">
        <v>250000</v>
      </c>
      <c r="C9758" t="str">
        <f t="shared" si="152"/>
        <v>4. $250K-1M</v>
      </c>
      <c r="D9758" t="s">
        <v>1360</v>
      </c>
      <c r="E9758" t="s">
        <v>237</v>
      </c>
      <c r="F9758" t="s">
        <v>670</v>
      </c>
      <c r="G9758" t="s">
        <v>59</v>
      </c>
      <c r="H9758">
        <v>2025</v>
      </c>
    </row>
    <row r="9759" spans="1:8" x14ac:dyDescent="0.2">
      <c r="A9759">
        <v>312247</v>
      </c>
      <c r="B9759">
        <v>250000</v>
      </c>
      <c r="C9759" t="str">
        <f t="shared" si="152"/>
        <v>4. $250K-1M</v>
      </c>
      <c r="D9759" t="s">
        <v>2558</v>
      </c>
      <c r="E9759" t="s">
        <v>52</v>
      </c>
      <c r="F9759" t="s">
        <v>668</v>
      </c>
      <c r="G9759" t="s">
        <v>59</v>
      </c>
      <c r="H9759">
        <v>2025</v>
      </c>
    </row>
    <row r="9760" spans="1:8" x14ac:dyDescent="0.2">
      <c r="A9760">
        <v>312254</v>
      </c>
      <c r="B9760">
        <v>214055</v>
      </c>
      <c r="C9760" t="str">
        <f t="shared" si="152"/>
        <v>4. $250K-1M</v>
      </c>
      <c r="D9760" t="s">
        <v>2541</v>
      </c>
      <c r="E9760" t="s">
        <v>42</v>
      </c>
      <c r="F9760" t="s">
        <v>670</v>
      </c>
      <c r="G9760" t="s">
        <v>59</v>
      </c>
      <c r="H9760">
        <v>2025</v>
      </c>
    </row>
    <row r="9761" spans="1:8" x14ac:dyDescent="0.2">
      <c r="A9761">
        <v>312255</v>
      </c>
      <c r="B9761">
        <v>3419555</v>
      </c>
      <c r="C9761" t="str">
        <f t="shared" si="152"/>
        <v>3. $50K-250K</v>
      </c>
      <c r="D9761" t="s">
        <v>1047</v>
      </c>
      <c r="E9761" t="s">
        <v>42</v>
      </c>
      <c r="F9761" t="s">
        <v>670</v>
      </c>
      <c r="G9761" t="s">
        <v>59</v>
      </c>
      <c r="H9761">
        <v>2025</v>
      </c>
    </row>
    <row r="9762" spans="1:8" x14ac:dyDescent="0.2">
      <c r="A9762">
        <v>312256</v>
      </c>
      <c r="B9762">
        <v>34083</v>
      </c>
      <c r="C9762" t="str">
        <f t="shared" si="152"/>
        <v>5. $1M+</v>
      </c>
      <c r="D9762" t="s">
        <v>763</v>
      </c>
      <c r="E9762" t="s">
        <v>42</v>
      </c>
      <c r="F9762" t="s">
        <v>670</v>
      </c>
      <c r="G9762" t="s">
        <v>59</v>
      </c>
      <c r="H9762">
        <v>2025</v>
      </c>
    </row>
    <row r="9763" spans="1:8" x14ac:dyDescent="0.2">
      <c r="A9763">
        <v>312416</v>
      </c>
      <c r="B9763">
        <v>49076.3</v>
      </c>
      <c r="C9763" t="str">
        <f t="shared" si="152"/>
        <v>2. $10K-50K</v>
      </c>
      <c r="D9763" t="s">
        <v>493</v>
      </c>
      <c r="E9763" t="s">
        <v>152</v>
      </c>
      <c r="F9763" t="s">
        <v>423</v>
      </c>
      <c r="G9763" t="s">
        <v>59</v>
      </c>
      <c r="H9763">
        <v>2025</v>
      </c>
    </row>
    <row r="9764" spans="1:8" x14ac:dyDescent="0.2">
      <c r="A9764">
        <v>312471</v>
      </c>
      <c r="B9764">
        <v>533376</v>
      </c>
      <c r="C9764" t="str">
        <f t="shared" si="152"/>
        <v>2. $10K-50K</v>
      </c>
      <c r="D9764" t="s">
        <v>907</v>
      </c>
      <c r="E9764" t="s">
        <v>237</v>
      </c>
      <c r="F9764" t="s">
        <v>670</v>
      </c>
      <c r="G9764" t="s">
        <v>59</v>
      </c>
      <c r="H9764">
        <v>2025</v>
      </c>
    </row>
    <row r="9765" spans="1:8" x14ac:dyDescent="0.2">
      <c r="A9765">
        <v>312577</v>
      </c>
      <c r="B9765">
        <v>50000</v>
      </c>
      <c r="C9765" t="str">
        <f t="shared" si="152"/>
        <v>4. $250K-1M</v>
      </c>
      <c r="D9765" t="s">
        <v>949</v>
      </c>
      <c r="E9765" t="s">
        <v>825</v>
      </c>
      <c r="F9765" t="s">
        <v>670</v>
      </c>
      <c r="G9765" t="s">
        <v>59</v>
      </c>
      <c r="H9765">
        <v>2025</v>
      </c>
    </row>
    <row r="9766" spans="1:8" x14ac:dyDescent="0.2">
      <c r="A9766">
        <v>312691</v>
      </c>
      <c r="B9766">
        <v>81000</v>
      </c>
      <c r="C9766" t="str">
        <f t="shared" si="152"/>
        <v>3. $50K-250K</v>
      </c>
      <c r="D9766" t="s">
        <v>801</v>
      </c>
      <c r="E9766" t="s">
        <v>237</v>
      </c>
      <c r="F9766" t="s">
        <v>670</v>
      </c>
      <c r="G9766" t="s">
        <v>59</v>
      </c>
      <c r="H9766">
        <v>2025</v>
      </c>
    </row>
    <row r="9767" spans="1:8" x14ac:dyDescent="0.2">
      <c r="A9767">
        <v>312692</v>
      </c>
      <c r="B9767">
        <v>338994</v>
      </c>
      <c r="C9767" t="str">
        <f t="shared" si="152"/>
        <v>3. $50K-250K</v>
      </c>
      <c r="D9767" t="s">
        <v>2540</v>
      </c>
      <c r="E9767" t="s">
        <v>42</v>
      </c>
      <c r="F9767" t="s">
        <v>670</v>
      </c>
      <c r="G9767" t="s">
        <v>59</v>
      </c>
      <c r="H9767">
        <v>2025</v>
      </c>
    </row>
    <row r="9768" spans="1:8" x14ac:dyDescent="0.2">
      <c r="A9768">
        <v>312694</v>
      </c>
      <c r="B9768">
        <v>34083</v>
      </c>
      <c r="C9768" t="str">
        <f t="shared" si="152"/>
        <v>4. $250K-1M</v>
      </c>
      <c r="D9768" t="s">
        <v>957</v>
      </c>
      <c r="E9768" t="s">
        <v>42</v>
      </c>
      <c r="F9768" t="s">
        <v>670</v>
      </c>
      <c r="G9768" t="s">
        <v>59</v>
      </c>
      <c r="H9768">
        <v>2025</v>
      </c>
    </row>
    <row r="9769" spans="1:8" x14ac:dyDescent="0.2">
      <c r="A9769">
        <v>312697</v>
      </c>
      <c r="B9769">
        <v>323263</v>
      </c>
      <c r="C9769" t="str">
        <f t="shared" si="152"/>
        <v>2. $10K-50K</v>
      </c>
      <c r="D9769" t="s">
        <v>321</v>
      </c>
      <c r="E9769" t="s">
        <v>112</v>
      </c>
      <c r="F9769" t="s">
        <v>668</v>
      </c>
      <c r="G9769" t="s">
        <v>59</v>
      </c>
      <c r="H9769">
        <v>2025</v>
      </c>
    </row>
    <row r="9770" spans="1:8" x14ac:dyDescent="0.2">
      <c r="A9770">
        <v>312699</v>
      </c>
      <c r="B9770">
        <v>150000</v>
      </c>
      <c r="C9770" t="str">
        <f t="shared" si="152"/>
        <v>4. $250K-1M</v>
      </c>
      <c r="D9770" t="s">
        <v>797</v>
      </c>
      <c r="E9770" t="s">
        <v>99</v>
      </c>
      <c r="F9770" t="s">
        <v>668</v>
      </c>
      <c r="G9770" t="s">
        <v>59</v>
      </c>
      <c r="H9770">
        <v>2025</v>
      </c>
    </row>
    <row r="9771" spans="1:8" x14ac:dyDescent="0.2">
      <c r="A9771">
        <v>312703</v>
      </c>
      <c r="B9771">
        <v>120580.1</v>
      </c>
      <c r="C9771" t="str">
        <f t="shared" si="152"/>
        <v>3. $50K-250K</v>
      </c>
      <c r="D9771" t="s">
        <v>683</v>
      </c>
      <c r="E9771" t="s">
        <v>99</v>
      </c>
      <c r="F9771" t="s">
        <v>668</v>
      </c>
      <c r="G9771" t="s">
        <v>59</v>
      </c>
      <c r="H9771">
        <v>2025</v>
      </c>
    </row>
    <row r="9772" spans="1:8" x14ac:dyDescent="0.2">
      <c r="A9772">
        <v>312706</v>
      </c>
      <c r="B9772">
        <v>15000000</v>
      </c>
      <c r="C9772" t="str">
        <f t="shared" si="152"/>
        <v>3. $50K-250K</v>
      </c>
      <c r="D9772" t="s">
        <v>2559</v>
      </c>
      <c r="E9772" t="s">
        <v>99</v>
      </c>
      <c r="F9772" t="s">
        <v>668</v>
      </c>
      <c r="G9772" t="s">
        <v>59</v>
      </c>
      <c r="H9772">
        <v>2025</v>
      </c>
    </row>
    <row r="9773" spans="1:8" x14ac:dyDescent="0.2">
      <c r="A9773">
        <v>312712</v>
      </c>
      <c r="B9773">
        <v>115000</v>
      </c>
      <c r="C9773" t="str">
        <f t="shared" si="152"/>
        <v>5. $1M+</v>
      </c>
      <c r="D9773" t="s">
        <v>804</v>
      </c>
      <c r="E9773" t="s">
        <v>42</v>
      </c>
      <c r="F9773" t="s">
        <v>670</v>
      </c>
      <c r="G9773" t="s">
        <v>59</v>
      </c>
      <c r="H9773">
        <v>2025</v>
      </c>
    </row>
    <row r="9774" spans="1:8" x14ac:dyDescent="0.2">
      <c r="A9774">
        <v>312713</v>
      </c>
      <c r="B9774">
        <v>394000</v>
      </c>
      <c r="C9774" t="str">
        <f t="shared" si="152"/>
        <v>3. $50K-250K</v>
      </c>
      <c r="D9774" t="s">
        <v>884</v>
      </c>
      <c r="E9774" t="s">
        <v>42</v>
      </c>
      <c r="F9774" t="s">
        <v>670</v>
      </c>
      <c r="G9774" t="s">
        <v>59</v>
      </c>
      <c r="H9774">
        <v>2025</v>
      </c>
    </row>
    <row r="9775" spans="1:8" x14ac:dyDescent="0.2">
      <c r="A9775">
        <v>312715</v>
      </c>
      <c r="B9775">
        <v>2500000</v>
      </c>
      <c r="C9775" t="str">
        <f t="shared" si="152"/>
        <v>4. $250K-1M</v>
      </c>
      <c r="D9775" t="s">
        <v>2560</v>
      </c>
      <c r="E9775" t="s">
        <v>99</v>
      </c>
      <c r="F9775" t="s">
        <v>668</v>
      </c>
      <c r="G9775" t="s">
        <v>59</v>
      </c>
      <c r="H9775">
        <v>2025</v>
      </c>
    </row>
    <row r="9776" spans="1:8" x14ac:dyDescent="0.2">
      <c r="A9776">
        <v>312721</v>
      </c>
      <c r="B9776">
        <v>300000</v>
      </c>
      <c r="C9776" t="str">
        <f t="shared" si="152"/>
        <v>5. $1M+</v>
      </c>
      <c r="D9776" t="s">
        <v>391</v>
      </c>
      <c r="E9776" t="s">
        <v>42</v>
      </c>
      <c r="F9776" t="s">
        <v>670</v>
      </c>
      <c r="G9776" t="s">
        <v>59</v>
      </c>
      <c r="H9776">
        <v>2025</v>
      </c>
    </row>
    <row r="9777" spans="1:8" x14ac:dyDescent="0.2">
      <c r="A9777">
        <v>312723</v>
      </c>
      <c r="B9777">
        <v>175000</v>
      </c>
      <c r="C9777" t="str">
        <f t="shared" si="152"/>
        <v>4. $250K-1M</v>
      </c>
      <c r="D9777" t="s">
        <v>391</v>
      </c>
      <c r="E9777" t="s">
        <v>42</v>
      </c>
      <c r="F9777" t="s">
        <v>670</v>
      </c>
      <c r="G9777" t="s">
        <v>59</v>
      </c>
      <c r="H9777">
        <v>2025</v>
      </c>
    </row>
    <row r="9778" spans="1:8" x14ac:dyDescent="0.2">
      <c r="A9778">
        <v>312724</v>
      </c>
      <c r="B9778">
        <v>400000</v>
      </c>
      <c r="C9778" t="str">
        <f t="shared" si="152"/>
        <v>3. $50K-250K</v>
      </c>
      <c r="D9778" t="s">
        <v>808</v>
      </c>
      <c r="E9778" t="s">
        <v>42</v>
      </c>
      <c r="F9778" t="s">
        <v>670</v>
      </c>
      <c r="G9778" t="s">
        <v>59</v>
      </c>
      <c r="H9778">
        <v>2025</v>
      </c>
    </row>
    <row r="9779" spans="1:8" x14ac:dyDescent="0.2">
      <c r="A9779">
        <v>312731</v>
      </c>
      <c r="B9779">
        <v>500000</v>
      </c>
      <c r="C9779" t="str">
        <f t="shared" si="152"/>
        <v>4. $250K-1M</v>
      </c>
      <c r="D9779" t="s">
        <v>792</v>
      </c>
      <c r="E9779" t="s">
        <v>42</v>
      </c>
      <c r="F9779" t="s">
        <v>670</v>
      </c>
      <c r="G9779" t="s">
        <v>59</v>
      </c>
      <c r="H9779">
        <v>2025</v>
      </c>
    </row>
    <row r="9780" spans="1:8" x14ac:dyDescent="0.2">
      <c r="A9780">
        <v>312732</v>
      </c>
      <c r="B9780">
        <v>120000</v>
      </c>
      <c r="C9780" t="str">
        <f t="shared" si="152"/>
        <v>4. $250K-1M</v>
      </c>
      <c r="D9780" t="s">
        <v>391</v>
      </c>
      <c r="E9780" t="s">
        <v>42</v>
      </c>
      <c r="F9780" t="s">
        <v>670</v>
      </c>
      <c r="G9780" t="s">
        <v>59</v>
      </c>
      <c r="H9780">
        <v>2025</v>
      </c>
    </row>
    <row r="9781" spans="1:8" x14ac:dyDescent="0.2">
      <c r="A9781">
        <v>312733</v>
      </c>
      <c r="B9781">
        <v>2526300</v>
      </c>
      <c r="C9781" t="str">
        <f t="shared" si="152"/>
        <v>3. $50K-250K</v>
      </c>
      <c r="D9781" t="s">
        <v>1024</v>
      </c>
      <c r="E9781" t="s">
        <v>42</v>
      </c>
      <c r="F9781" t="s">
        <v>670</v>
      </c>
      <c r="G9781" t="s">
        <v>59</v>
      </c>
      <c r="H9781">
        <v>2025</v>
      </c>
    </row>
    <row r="9782" spans="1:8" x14ac:dyDescent="0.2">
      <c r="A9782">
        <v>312734</v>
      </c>
      <c r="B9782">
        <v>2075000</v>
      </c>
      <c r="C9782" t="str">
        <f t="shared" si="152"/>
        <v>5. $1M+</v>
      </c>
      <c r="D9782" t="s">
        <v>791</v>
      </c>
      <c r="E9782" t="s">
        <v>42</v>
      </c>
      <c r="F9782" t="s">
        <v>670</v>
      </c>
      <c r="G9782" t="s">
        <v>59</v>
      </c>
      <c r="H9782">
        <v>2025</v>
      </c>
    </row>
    <row r="9783" spans="1:8" x14ac:dyDescent="0.2">
      <c r="A9783">
        <v>312736</v>
      </c>
      <c r="B9783">
        <v>249910</v>
      </c>
      <c r="C9783" t="str">
        <f t="shared" si="152"/>
        <v>5. $1M+</v>
      </c>
      <c r="D9783" t="s">
        <v>807</v>
      </c>
      <c r="E9783" t="s">
        <v>42</v>
      </c>
      <c r="F9783" t="s">
        <v>670</v>
      </c>
      <c r="G9783" t="s">
        <v>59</v>
      </c>
      <c r="H9783">
        <v>2025</v>
      </c>
    </row>
    <row r="9784" spans="1:8" x14ac:dyDescent="0.2">
      <c r="A9784">
        <v>312818</v>
      </c>
      <c r="B9784">
        <v>250000</v>
      </c>
      <c r="C9784" t="str">
        <f t="shared" si="152"/>
        <v>3. $50K-250K</v>
      </c>
      <c r="D9784" t="s">
        <v>907</v>
      </c>
      <c r="E9784" t="s">
        <v>42</v>
      </c>
      <c r="F9784" t="s">
        <v>670</v>
      </c>
      <c r="G9784" t="s">
        <v>59</v>
      </c>
      <c r="H9784">
        <v>2025</v>
      </c>
    </row>
    <row r="9785" spans="1:8" x14ac:dyDescent="0.2">
      <c r="A9785">
        <v>312819</v>
      </c>
      <c r="B9785">
        <v>250000</v>
      </c>
      <c r="C9785" t="str">
        <f t="shared" si="152"/>
        <v>4. $250K-1M</v>
      </c>
      <c r="D9785" t="s">
        <v>2448</v>
      </c>
      <c r="E9785" t="s">
        <v>42</v>
      </c>
      <c r="F9785" t="s">
        <v>670</v>
      </c>
      <c r="G9785" t="s">
        <v>59</v>
      </c>
      <c r="H9785">
        <v>2025</v>
      </c>
    </row>
    <row r="9786" spans="1:8" x14ac:dyDescent="0.2">
      <c r="A9786">
        <v>312822</v>
      </c>
      <c r="B9786">
        <v>39897</v>
      </c>
      <c r="C9786" t="str">
        <f t="shared" si="152"/>
        <v>4. $250K-1M</v>
      </c>
      <c r="D9786" t="s">
        <v>230</v>
      </c>
      <c r="E9786" t="s">
        <v>67</v>
      </c>
      <c r="F9786" t="s">
        <v>231</v>
      </c>
      <c r="G9786" t="s">
        <v>232</v>
      </c>
      <c r="H9786">
        <v>2025</v>
      </c>
    </row>
    <row r="9787" spans="1:8" x14ac:dyDescent="0.2">
      <c r="A9787">
        <v>312823</v>
      </c>
      <c r="B9787">
        <v>250000</v>
      </c>
      <c r="C9787" t="str">
        <f t="shared" si="152"/>
        <v>2. $10K-50K</v>
      </c>
      <c r="D9787" t="s">
        <v>1084</v>
      </c>
      <c r="E9787" t="s">
        <v>42</v>
      </c>
      <c r="F9787" t="s">
        <v>670</v>
      </c>
      <c r="G9787" t="s">
        <v>59</v>
      </c>
      <c r="H9787">
        <v>2025</v>
      </c>
    </row>
    <row r="9788" spans="1:8" x14ac:dyDescent="0.2">
      <c r="A9788">
        <v>312824</v>
      </c>
      <c r="B9788">
        <v>332500</v>
      </c>
      <c r="C9788" t="str">
        <f t="shared" si="152"/>
        <v>4. $250K-1M</v>
      </c>
      <c r="D9788" t="s">
        <v>672</v>
      </c>
      <c r="E9788" t="s">
        <v>42</v>
      </c>
      <c r="F9788" t="s">
        <v>670</v>
      </c>
      <c r="G9788" t="s">
        <v>59</v>
      </c>
      <c r="H9788">
        <v>2025</v>
      </c>
    </row>
    <row r="9789" spans="1:8" x14ac:dyDescent="0.2">
      <c r="A9789">
        <v>312977</v>
      </c>
      <c r="B9789">
        <v>580863</v>
      </c>
      <c r="C9789" t="str">
        <f t="shared" si="152"/>
        <v>4. $250K-1M</v>
      </c>
      <c r="D9789" t="s">
        <v>781</v>
      </c>
      <c r="E9789" t="s">
        <v>237</v>
      </c>
      <c r="F9789" t="s">
        <v>670</v>
      </c>
      <c r="G9789" t="s">
        <v>59</v>
      </c>
      <c r="H9789">
        <v>2025</v>
      </c>
    </row>
    <row r="9790" spans="1:8" x14ac:dyDescent="0.2">
      <c r="A9790">
        <v>312978</v>
      </c>
      <c r="B9790">
        <v>533988</v>
      </c>
      <c r="C9790" t="str">
        <f t="shared" si="152"/>
        <v>4. $250K-1M</v>
      </c>
      <c r="D9790" t="s">
        <v>799</v>
      </c>
      <c r="E9790" t="s">
        <v>237</v>
      </c>
      <c r="F9790" t="s">
        <v>670</v>
      </c>
      <c r="G9790" t="s">
        <v>59</v>
      </c>
      <c r="H9790">
        <v>2025</v>
      </c>
    </row>
    <row r="9791" spans="1:8" x14ac:dyDescent="0.2">
      <c r="A9791">
        <v>312979</v>
      </c>
      <c r="B9791">
        <v>533988</v>
      </c>
      <c r="C9791" t="str">
        <f t="shared" si="152"/>
        <v>4. $250K-1M</v>
      </c>
      <c r="D9791" t="s">
        <v>799</v>
      </c>
      <c r="E9791" t="s">
        <v>237</v>
      </c>
      <c r="F9791" t="s">
        <v>670</v>
      </c>
      <c r="G9791" t="s">
        <v>59</v>
      </c>
      <c r="H9791">
        <v>2025</v>
      </c>
    </row>
    <row r="9792" spans="1:8" x14ac:dyDescent="0.2">
      <c r="A9792">
        <v>312982</v>
      </c>
      <c r="B9792">
        <v>266994</v>
      </c>
      <c r="C9792" t="str">
        <f t="shared" si="152"/>
        <v>4. $250K-1M</v>
      </c>
      <c r="D9792" t="s">
        <v>930</v>
      </c>
      <c r="E9792" t="s">
        <v>237</v>
      </c>
      <c r="F9792" t="s">
        <v>670</v>
      </c>
      <c r="G9792" t="s">
        <v>59</v>
      </c>
      <c r="H9792">
        <v>2025</v>
      </c>
    </row>
    <row r="9793" spans="1:8" x14ac:dyDescent="0.2">
      <c r="A9793">
        <v>312983</v>
      </c>
      <c r="B9793">
        <v>47287</v>
      </c>
      <c r="C9793" t="str">
        <f t="shared" si="152"/>
        <v>4. $250K-1M</v>
      </c>
      <c r="D9793" t="s">
        <v>230</v>
      </c>
      <c r="E9793" t="s">
        <v>67</v>
      </c>
      <c r="F9793" t="s">
        <v>231</v>
      </c>
      <c r="G9793" t="s">
        <v>232</v>
      </c>
      <c r="H9793">
        <v>2025</v>
      </c>
    </row>
    <row r="9794" spans="1:8" x14ac:dyDescent="0.2">
      <c r="A9794">
        <v>313024</v>
      </c>
      <c r="B9794">
        <v>95000</v>
      </c>
      <c r="C9794" t="str">
        <f t="shared" si="152"/>
        <v>2. $10K-50K</v>
      </c>
      <c r="D9794" t="s">
        <v>820</v>
      </c>
      <c r="E9794" t="s">
        <v>819</v>
      </c>
      <c r="F9794" t="s">
        <v>670</v>
      </c>
      <c r="G9794" t="s">
        <v>59</v>
      </c>
      <c r="H9794">
        <v>2025</v>
      </c>
    </row>
    <row r="9795" spans="1:8" x14ac:dyDescent="0.2">
      <c r="A9795">
        <v>313025</v>
      </c>
      <c r="B9795">
        <v>85000</v>
      </c>
      <c r="C9795" t="str">
        <f t="shared" ref="C9795:C9858" si="153">IF(B9794&lt;10000,"1. Under $10K",IF(B9794&lt;50000,"2. $10K-50K",IF(B9794&lt;250000,"3. $50K-250K",IF(B9794&lt;1000000,"4. $250K-1M","5. $1M+"))))</f>
        <v>3. $50K-250K</v>
      </c>
      <c r="D9795" t="s">
        <v>820</v>
      </c>
      <c r="E9795" t="s">
        <v>819</v>
      </c>
      <c r="F9795" t="s">
        <v>670</v>
      </c>
      <c r="G9795" t="s">
        <v>59</v>
      </c>
      <c r="H9795">
        <v>2025</v>
      </c>
    </row>
    <row r="9796" spans="1:8" x14ac:dyDescent="0.2">
      <c r="A9796">
        <v>313040</v>
      </c>
      <c r="B9796">
        <v>40049</v>
      </c>
      <c r="C9796" t="str">
        <f t="shared" si="153"/>
        <v>3. $50K-250K</v>
      </c>
      <c r="D9796" t="s">
        <v>1074</v>
      </c>
      <c r="E9796" t="s">
        <v>237</v>
      </c>
      <c r="F9796" t="s">
        <v>670</v>
      </c>
      <c r="G9796" t="s">
        <v>59</v>
      </c>
      <c r="H9796">
        <v>2025</v>
      </c>
    </row>
    <row r="9797" spans="1:8" x14ac:dyDescent="0.2">
      <c r="A9797">
        <v>313111</v>
      </c>
      <c r="B9797">
        <v>615644</v>
      </c>
      <c r="C9797" t="str">
        <f t="shared" si="153"/>
        <v>2. $10K-50K</v>
      </c>
      <c r="D9797" t="s">
        <v>986</v>
      </c>
      <c r="E9797" t="s">
        <v>237</v>
      </c>
      <c r="F9797" t="s">
        <v>670</v>
      </c>
      <c r="G9797" t="s">
        <v>59</v>
      </c>
      <c r="H9797">
        <v>2025</v>
      </c>
    </row>
    <row r="9798" spans="1:8" x14ac:dyDescent="0.2">
      <c r="A9798">
        <v>313114</v>
      </c>
      <c r="B9798">
        <v>1539110</v>
      </c>
      <c r="C9798" t="str">
        <f t="shared" si="153"/>
        <v>4. $250K-1M</v>
      </c>
      <c r="D9798" t="s">
        <v>942</v>
      </c>
      <c r="E9798" t="s">
        <v>237</v>
      </c>
      <c r="F9798" t="s">
        <v>670</v>
      </c>
      <c r="G9798" t="s">
        <v>59</v>
      </c>
      <c r="H9798">
        <v>2025</v>
      </c>
    </row>
    <row r="9799" spans="1:8" x14ac:dyDescent="0.2">
      <c r="A9799">
        <v>313115</v>
      </c>
      <c r="B9799">
        <v>33600</v>
      </c>
      <c r="C9799" t="str">
        <f t="shared" si="153"/>
        <v>5. $1M+</v>
      </c>
      <c r="D9799" t="s">
        <v>832</v>
      </c>
      <c r="E9799" t="s">
        <v>237</v>
      </c>
      <c r="F9799" t="s">
        <v>670</v>
      </c>
      <c r="G9799" t="s">
        <v>59</v>
      </c>
      <c r="H9799">
        <v>2025</v>
      </c>
    </row>
    <row r="9800" spans="1:8" x14ac:dyDescent="0.2">
      <c r="A9800">
        <v>313116</v>
      </c>
      <c r="B9800">
        <v>75000</v>
      </c>
      <c r="C9800" t="str">
        <f t="shared" si="153"/>
        <v>2. $10K-50K</v>
      </c>
      <c r="D9800" t="s">
        <v>863</v>
      </c>
      <c r="E9800" t="s">
        <v>237</v>
      </c>
      <c r="F9800" t="s">
        <v>670</v>
      </c>
      <c r="G9800" t="s">
        <v>59</v>
      </c>
      <c r="H9800">
        <v>2025</v>
      </c>
    </row>
    <row r="9801" spans="1:8" x14ac:dyDescent="0.2">
      <c r="A9801">
        <v>313117</v>
      </c>
      <c r="B9801">
        <v>40049</v>
      </c>
      <c r="C9801" t="str">
        <f t="shared" si="153"/>
        <v>3. $50K-250K</v>
      </c>
      <c r="D9801" t="s">
        <v>762</v>
      </c>
      <c r="E9801" t="s">
        <v>237</v>
      </c>
      <c r="F9801" t="s">
        <v>670</v>
      </c>
      <c r="G9801" t="s">
        <v>59</v>
      </c>
      <c r="H9801">
        <v>2025</v>
      </c>
    </row>
    <row r="9802" spans="1:8" x14ac:dyDescent="0.2">
      <c r="A9802">
        <v>313118</v>
      </c>
      <c r="B9802">
        <v>80098</v>
      </c>
      <c r="C9802" t="str">
        <f t="shared" si="153"/>
        <v>2. $10K-50K</v>
      </c>
      <c r="D9802" t="s">
        <v>799</v>
      </c>
      <c r="E9802" t="s">
        <v>237</v>
      </c>
      <c r="F9802" t="s">
        <v>670</v>
      </c>
      <c r="G9802" t="s">
        <v>59</v>
      </c>
      <c r="H9802">
        <v>2025</v>
      </c>
    </row>
    <row r="9803" spans="1:8" x14ac:dyDescent="0.2">
      <c r="A9803">
        <v>313119</v>
      </c>
      <c r="B9803">
        <v>80098</v>
      </c>
      <c r="C9803" t="str">
        <f t="shared" si="153"/>
        <v>3. $50K-250K</v>
      </c>
      <c r="D9803" t="s">
        <v>799</v>
      </c>
      <c r="E9803" t="s">
        <v>237</v>
      </c>
      <c r="F9803" t="s">
        <v>670</v>
      </c>
      <c r="G9803" t="s">
        <v>59</v>
      </c>
      <c r="H9803">
        <v>2025</v>
      </c>
    </row>
    <row r="9804" spans="1:8" x14ac:dyDescent="0.2">
      <c r="A9804">
        <v>313120</v>
      </c>
      <c r="B9804">
        <v>40049</v>
      </c>
      <c r="C9804" t="str">
        <f t="shared" si="153"/>
        <v>3. $50K-250K</v>
      </c>
      <c r="D9804" t="s">
        <v>930</v>
      </c>
      <c r="E9804" t="s">
        <v>237</v>
      </c>
      <c r="F9804" t="s">
        <v>670</v>
      </c>
      <c r="G9804" t="s">
        <v>59</v>
      </c>
      <c r="H9804">
        <v>2025</v>
      </c>
    </row>
    <row r="9805" spans="1:8" x14ac:dyDescent="0.2">
      <c r="A9805">
        <v>313121</v>
      </c>
      <c r="B9805">
        <v>80098</v>
      </c>
      <c r="C9805" t="str">
        <f t="shared" si="153"/>
        <v>2. $10K-50K</v>
      </c>
      <c r="D9805" t="s">
        <v>781</v>
      </c>
      <c r="E9805" t="s">
        <v>237</v>
      </c>
      <c r="F9805" t="s">
        <v>670</v>
      </c>
      <c r="G9805" t="s">
        <v>59</v>
      </c>
      <c r="H9805">
        <v>2025</v>
      </c>
    </row>
    <row r="9806" spans="1:8" x14ac:dyDescent="0.2">
      <c r="A9806">
        <v>313122</v>
      </c>
      <c r="B9806">
        <v>11539.4</v>
      </c>
      <c r="C9806" t="str">
        <f t="shared" si="153"/>
        <v>3. $50K-250K</v>
      </c>
      <c r="D9806" t="s">
        <v>713</v>
      </c>
      <c r="E9806" t="s">
        <v>237</v>
      </c>
      <c r="F9806" t="s">
        <v>670</v>
      </c>
      <c r="G9806" t="s">
        <v>59</v>
      </c>
      <c r="H9806">
        <v>2025</v>
      </c>
    </row>
    <row r="9807" spans="1:8" x14ac:dyDescent="0.2">
      <c r="A9807">
        <v>313123</v>
      </c>
      <c r="B9807">
        <v>26426.799999999999</v>
      </c>
      <c r="C9807" t="str">
        <f t="shared" si="153"/>
        <v>2. $10K-50K</v>
      </c>
      <c r="D9807" t="s">
        <v>713</v>
      </c>
      <c r="E9807" t="s">
        <v>237</v>
      </c>
      <c r="F9807" t="s">
        <v>670</v>
      </c>
      <c r="G9807" t="s">
        <v>59</v>
      </c>
      <c r="H9807">
        <v>2025</v>
      </c>
    </row>
    <row r="9808" spans="1:8" x14ac:dyDescent="0.2">
      <c r="A9808">
        <v>313124</v>
      </c>
      <c r="B9808">
        <v>71994</v>
      </c>
      <c r="C9808" t="str">
        <f t="shared" si="153"/>
        <v>2. $10K-50K</v>
      </c>
      <c r="D9808" t="s">
        <v>801</v>
      </c>
      <c r="E9808" t="s">
        <v>237</v>
      </c>
      <c r="F9808" t="s">
        <v>670</v>
      </c>
      <c r="G9808" t="s">
        <v>59</v>
      </c>
      <c r="H9808">
        <v>2025</v>
      </c>
    </row>
    <row r="9809" spans="1:8" x14ac:dyDescent="0.2">
      <c r="A9809">
        <v>313125</v>
      </c>
      <c r="B9809">
        <v>71994</v>
      </c>
      <c r="C9809" t="str">
        <f t="shared" si="153"/>
        <v>3. $50K-250K</v>
      </c>
      <c r="D9809" t="s">
        <v>719</v>
      </c>
      <c r="E9809" t="s">
        <v>237</v>
      </c>
      <c r="F9809" t="s">
        <v>670</v>
      </c>
      <c r="G9809" t="s">
        <v>59</v>
      </c>
      <c r="H9809">
        <v>2025</v>
      </c>
    </row>
    <row r="9810" spans="1:8" x14ac:dyDescent="0.2">
      <c r="A9810">
        <v>313126</v>
      </c>
      <c r="B9810">
        <v>307822</v>
      </c>
      <c r="C9810" t="str">
        <f t="shared" si="153"/>
        <v>3. $50K-250K</v>
      </c>
      <c r="D9810" t="s">
        <v>1093</v>
      </c>
      <c r="E9810" t="s">
        <v>237</v>
      </c>
      <c r="F9810" t="s">
        <v>670</v>
      </c>
      <c r="G9810" t="s">
        <v>59</v>
      </c>
      <c r="H9810">
        <v>2025</v>
      </c>
    </row>
    <row r="9811" spans="1:8" x14ac:dyDescent="0.2">
      <c r="A9811">
        <v>313127</v>
      </c>
      <c r="B9811">
        <v>615644</v>
      </c>
      <c r="C9811" t="str">
        <f t="shared" si="153"/>
        <v>4. $250K-1M</v>
      </c>
      <c r="D9811" t="s">
        <v>803</v>
      </c>
      <c r="E9811" t="s">
        <v>237</v>
      </c>
      <c r="F9811" t="s">
        <v>670</v>
      </c>
      <c r="G9811" t="s">
        <v>59</v>
      </c>
      <c r="H9811">
        <v>2025</v>
      </c>
    </row>
    <row r="9812" spans="1:8" x14ac:dyDescent="0.2">
      <c r="A9812">
        <v>313128</v>
      </c>
      <c r="B9812">
        <v>230867</v>
      </c>
      <c r="C9812" t="str">
        <f t="shared" si="153"/>
        <v>4. $250K-1M</v>
      </c>
      <c r="D9812" t="s">
        <v>1361</v>
      </c>
      <c r="E9812" t="s">
        <v>237</v>
      </c>
      <c r="F9812" t="s">
        <v>670</v>
      </c>
      <c r="G9812" t="s">
        <v>59</v>
      </c>
      <c r="H9812">
        <v>2025</v>
      </c>
    </row>
    <row r="9813" spans="1:8" x14ac:dyDescent="0.2">
      <c r="A9813">
        <v>313130</v>
      </c>
      <c r="B9813">
        <v>153911</v>
      </c>
      <c r="C9813" t="str">
        <f t="shared" si="153"/>
        <v>3. $50K-250K</v>
      </c>
      <c r="D9813" t="s">
        <v>1076</v>
      </c>
      <c r="E9813" t="s">
        <v>237</v>
      </c>
      <c r="F9813" t="s">
        <v>670</v>
      </c>
      <c r="G9813" t="s">
        <v>59</v>
      </c>
      <c r="H9813">
        <v>2025</v>
      </c>
    </row>
    <row r="9814" spans="1:8" x14ac:dyDescent="0.2">
      <c r="A9814">
        <v>313131</v>
      </c>
      <c r="B9814">
        <v>1385199</v>
      </c>
      <c r="C9814" t="str">
        <f t="shared" si="153"/>
        <v>3. $50K-250K</v>
      </c>
      <c r="D9814" t="s">
        <v>801</v>
      </c>
      <c r="E9814" t="s">
        <v>237</v>
      </c>
      <c r="F9814" t="s">
        <v>670</v>
      </c>
      <c r="G9814" t="s">
        <v>59</v>
      </c>
      <c r="H9814">
        <v>2025</v>
      </c>
    </row>
    <row r="9815" spans="1:8" x14ac:dyDescent="0.2">
      <c r="A9815">
        <v>313158</v>
      </c>
      <c r="B9815">
        <v>34680</v>
      </c>
      <c r="C9815" t="str">
        <f t="shared" si="153"/>
        <v>5. $1M+</v>
      </c>
      <c r="D9815" t="s">
        <v>978</v>
      </c>
      <c r="E9815" t="s">
        <v>42</v>
      </c>
      <c r="F9815" t="s">
        <v>670</v>
      </c>
      <c r="G9815" t="s">
        <v>59</v>
      </c>
      <c r="H9815">
        <v>2025</v>
      </c>
    </row>
    <row r="9816" spans="1:8" x14ac:dyDescent="0.2">
      <c r="A9816">
        <v>313177</v>
      </c>
      <c r="B9816">
        <v>566583</v>
      </c>
      <c r="C9816" t="str">
        <f t="shared" si="153"/>
        <v>2. $10K-50K</v>
      </c>
      <c r="D9816" t="s">
        <v>936</v>
      </c>
      <c r="E9816" t="s">
        <v>237</v>
      </c>
      <c r="F9816" t="s">
        <v>670</v>
      </c>
      <c r="G9816" t="s">
        <v>59</v>
      </c>
      <c r="H9816">
        <v>2025</v>
      </c>
    </row>
    <row r="9817" spans="1:8" x14ac:dyDescent="0.2">
      <c r="A9817">
        <v>313178</v>
      </c>
      <c r="B9817">
        <v>3000000</v>
      </c>
      <c r="C9817" t="str">
        <f t="shared" si="153"/>
        <v>4. $250K-1M</v>
      </c>
      <c r="D9817" t="s">
        <v>1047</v>
      </c>
      <c r="E9817" t="s">
        <v>42</v>
      </c>
      <c r="F9817" t="s">
        <v>670</v>
      </c>
      <c r="G9817" t="s">
        <v>59</v>
      </c>
      <c r="H9817">
        <v>2025</v>
      </c>
    </row>
    <row r="9818" spans="1:8" x14ac:dyDescent="0.2">
      <c r="A9818">
        <v>313304</v>
      </c>
      <c r="B9818">
        <v>30989</v>
      </c>
      <c r="C9818" t="str">
        <f t="shared" si="153"/>
        <v>5. $1M+</v>
      </c>
      <c r="D9818" t="s">
        <v>691</v>
      </c>
      <c r="E9818" t="s">
        <v>42</v>
      </c>
      <c r="F9818" t="s">
        <v>670</v>
      </c>
      <c r="G9818" t="s">
        <v>59</v>
      </c>
      <c r="H9818">
        <v>2025</v>
      </c>
    </row>
    <row r="9819" spans="1:8" x14ac:dyDescent="0.2">
      <c r="A9819">
        <v>313314</v>
      </c>
      <c r="B9819">
        <v>143988</v>
      </c>
      <c r="C9819" t="str">
        <f t="shared" si="153"/>
        <v>2. $10K-50K</v>
      </c>
      <c r="D9819" t="s">
        <v>1046</v>
      </c>
      <c r="E9819" t="s">
        <v>237</v>
      </c>
      <c r="F9819" t="s">
        <v>670</v>
      </c>
      <c r="G9819" t="s">
        <v>59</v>
      </c>
      <c r="H9819">
        <v>2025</v>
      </c>
    </row>
    <row r="9820" spans="1:8" x14ac:dyDescent="0.2">
      <c r="A9820">
        <v>313410</v>
      </c>
      <c r="B9820">
        <v>529390</v>
      </c>
      <c r="C9820" t="str">
        <f t="shared" si="153"/>
        <v>3. $50K-250K</v>
      </c>
      <c r="D9820" t="s">
        <v>511</v>
      </c>
      <c r="E9820" t="s">
        <v>24</v>
      </c>
      <c r="F9820" t="s">
        <v>25</v>
      </c>
      <c r="G9820" t="s">
        <v>10</v>
      </c>
      <c r="H9820">
        <v>2025</v>
      </c>
    </row>
    <row r="9821" spans="1:8" x14ac:dyDescent="0.2">
      <c r="A9821">
        <v>313413</v>
      </c>
      <c r="B9821">
        <v>40077</v>
      </c>
      <c r="C9821" t="str">
        <f t="shared" si="153"/>
        <v>4. $250K-1M</v>
      </c>
      <c r="D9821" t="s">
        <v>999</v>
      </c>
      <c r="E9821" t="s">
        <v>237</v>
      </c>
      <c r="F9821" t="s">
        <v>670</v>
      </c>
      <c r="G9821" t="s">
        <v>59</v>
      </c>
      <c r="H9821">
        <v>2025</v>
      </c>
    </row>
    <row r="9822" spans="1:8" x14ac:dyDescent="0.2">
      <c r="A9822">
        <v>313443</v>
      </c>
      <c r="B9822">
        <v>158800</v>
      </c>
      <c r="C9822" t="str">
        <f t="shared" si="153"/>
        <v>2. $10K-50K</v>
      </c>
      <c r="D9822" t="s">
        <v>904</v>
      </c>
      <c r="E9822" t="s">
        <v>891</v>
      </c>
      <c r="F9822" t="s">
        <v>670</v>
      </c>
      <c r="G9822" t="s">
        <v>59</v>
      </c>
      <c r="H9822">
        <v>2025</v>
      </c>
    </row>
    <row r="9823" spans="1:8" x14ac:dyDescent="0.2">
      <c r="A9823">
        <v>313532</v>
      </c>
      <c r="B9823">
        <v>153911</v>
      </c>
      <c r="C9823" t="str">
        <f t="shared" si="153"/>
        <v>3. $50K-250K</v>
      </c>
      <c r="D9823" t="s">
        <v>1074</v>
      </c>
      <c r="E9823" t="s">
        <v>237</v>
      </c>
      <c r="F9823" t="s">
        <v>670</v>
      </c>
      <c r="G9823" t="s">
        <v>59</v>
      </c>
      <c r="H9823">
        <v>2025</v>
      </c>
    </row>
    <row r="9824" spans="1:8" x14ac:dyDescent="0.2">
      <c r="A9824">
        <v>313535</v>
      </c>
      <c r="B9824">
        <v>49474109.200000003</v>
      </c>
      <c r="C9824" t="str">
        <f t="shared" si="153"/>
        <v>3. $50K-250K</v>
      </c>
      <c r="D9824" t="s">
        <v>255</v>
      </c>
      <c r="E9824" t="s">
        <v>67</v>
      </c>
      <c r="F9824" t="s">
        <v>43</v>
      </c>
      <c r="G9824" t="s">
        <v>59</v>
      </c>
      <c r="H9824">
        <v>2025</v>
      </c>
    </row>
    <row r="9825" spans="1:8" x14ac:dyDescent="0.2">
      <c r="A9825">
        <v>313558</v>
      </c>
      <c r="B9825">
        <v>266999</v>
      </c>
      <c r="C9825" t="str">
        <f t="shared" si="153"/>
        <v>5. $1M+</v>
      </c>
      <c r="D9825" t="s">
        <v>708</v>
      </c>
      <c r="E9825" t="s">
        <v>237</v>
      </c>
      <c r="F9825" t="s">
        <v>670</v>
      </c>
      <c r="G9825" t="s">
        <v>59</v>
      </c>
      <c r="H9825">
        <v>2025</v>
      </c>
    </row>
    <row r="9826" spans="1:8" x14ac:dyDescent="0.2">
      <c r="A9826">
        <v>313562</v>
      </c>
      <c r="B9826">
        <v>307048</v>
      </c>
      <c r="C9826" t="str">
        <f t="shared" si="153"/>
        <v>4. $250K-1M</v>
      </c>
      <c r="D9826" t="s">
        <v>717</v>
      </c>
      <c r="E9826" t="s">
        <v>237</v>
      </c>
      <c r="F9826" t="s">
        <v>670</v>
      </c>
      <c r="G9826" t="s">
        <v>59</v>
      </c>
      <c r="H9826">
        <v>2025</v>
      </c>
    </row>
    <row r="9827" spans="1:8" x14ac:dyDescent="0.2">
      <c r="A9827">
        <v>313573</v>
      </c>
      <c r="B9827">
        <v>47996</v>
      </c>
      <c r="C9827" t="str">
        <f t="shared" si="153"/>
        <v>4. $250K-1M</v>
      </c>
      <c r="D9827" t="s">
        <v>2115</v>
      </c>
      <c r="E9827" t="s">
        <v>237</v>
      </c>
      <c r="F9827" t="s">
        <v>670</v>
      </c>
      <c r="G9827" t="s">
        <v>59</v>
      </c>
      <c r="H9827">
        <v>2025</v>
      </c>
    </row>
    <row r="9828" spans="1:8" x14ac:dyDescent="0.2">
      <c r="A9828">
        <v>313701</v>
      </c>
      <c r="B9828">
        <v>34083</v>
      </c>
      <c r="C9828" t="str">
        <f t="shared" si="153"/>
        <v>2. $10K-50K</v>
      </c>
      <c r="D9828" t="s">
        <v>977</v>
      </c>
      <c r="E9828" t="s">
        <v>42</v>
      </c>
      <c r="F9828" t="s">
        <v>670</v>
      </c>
      <c r="G9828" t="s">
        <v>59</v>
      </c>
      <c r="H9828">
        <v>2025</v>
      </c>
    </row>
    <row r="9829" spans="1:8" x14ac:dyDescent="0.2">
      <c r="A9829">
        <v>313713</v>
      </c>
      <c r="B9829">
        <v>266994</v>
      </c>
      <c r="C9829" t="str">
        <f t="shared" si="153"/>
        <v>2. $10K-50K</v>
      </c>
      <c r="D9829" t="s">
        <v>980</v>
      </c>
      <c r="E9829" t="s">
        <v>237</v>
      </c>
      <c r="F9829" t="s">
        <v>670</v>
      </c>
      <c r="G9829" t="s">
        <v>59</v>
      </c>
      <c r="H9829">
        <v>2025</v>
      </c>
    </row>
    <row r="9830" spans="1:8" x14ac:dyDescent="0.2">
      <c r="A9830">
        <v>313730</v>
      </c>
      <c r="B9830">
        <v>55440</v>
      </c>
      <c r="C9830" t="str">
        <f t="shared" si="153"/>
        <v>4. $250K-1M</v>
      </c>
      <c r="D9830" t="s">
        <v>711</v>
      </c>
      <c r="E9830" t="s">
        <v>237</v>
      </c>
      <c r="F9830" t="s">
        <v>670</v>
      </c>
      <c r="G9830" t="s">
        <v>59</v>
      </c>
      <c r="H9830">
        <v>2025</v>
      </c>
    </row>
    <row r="9831" spans="1:8" x14ac:dyDescent="0.2">
      <c r="A9831">
        <v>313731</v>
      </c>
      <c r="B9831">
        <v>300000</v>
      </c>
      <c r="C9831" t="str">
        <f t="shared" si="153"/>
        <v>3. $50K-250K</v>
      </c>
      <c r="D9831" t="s">
        <v>749</v>
      </c>
      <c r="E9831" t="s">
        <v>237</v>
      </c>
      <c r="F9831" t="s">
        <v>670</v>
      </c>
      <c r="G9831" t="s">
        <v>59</v>
      </c>
      <c r="H9831">
        <v>2025</v>
      </c>
    </row>
    <row r="9832" spans="1:8" x14ac:dyDescent="0.2">
      <c r="A9832">
        <v>313732</v>
      </c>
      <c r="B9832">
        <v>300000</v>
      </c>
      <c r="C9832" t="str">
        <f t="shared" si="153"/>
        <v>4. $250K-1M</v>
      </c>
      <c r="D9832" t="s">
        <v>902</v>
      </c>
      <c r="E9832" t="s">
        <v>237</v>
      </c>
      <c r="F9832" t="s">
        <v>670</v>
      </c>
      <c r="G9832" t="s">
        <v>59</v>
      </c>
      <c r="H9832">
        <v>2025</v>
      </c>
    </row>
    <row r="9833" spans="1:8" x14ac:dyDescent="0.2">
      <c r="A9833">
        <v>313734</v>
      </c>
      <c r="B9833">
        <v>20800</v>
      </c>
      <c r="C9833" t="str">
        <f t="shared" si="153"/>
        <v>4. $250K-1M</v>
      </c>
      <c r="D9833" t="s">
        <v>832</v>
      </c>
      <c r="E9833" t="s">
        <v>237</v>
      </c>
      <c r="F9833" t="s">
        <v>670</v>
      </c>
      <c r="G9833" t="s">
        <v>59</v>
      </c>
      <c r="H9833">
        <v>2025</v>
      </c>
    </row>
    <row r="9834" spans="1:8" x14ac:dyDescent="0.2">
      <c r="A9834">
        <v>313735</v>
      </c>
      <c r="B9834">
        <v>59150</v>
      </c>
      <c r="C9834" t="str">
        <f t="shared" si="153"/>
        <v>2. $10K-50K</v>
      </c>
      <c r="D9834" t="s">
        <v>832</v>
      </c>
      <c r="E9834" t="s">
        <v>237</v>
      </c>
      <c r="F9834" t="s">
        <v>670</v>
      </c>
      <c r="G9834" t="s">
        <v>59</v>
      </c>
      <c r="H9834">
        <v>2025</v>
      </c>
    </row>
    <row r="9835" spans="1:8" x14ac:dyDescent="0.2">
      <c r="A9835">
        <v>313736</v>
      </c>
      <c r="B9835">
        <v>437504</v>
      </c>
      <c r="C9835" t="str">
        <f t="shared" si="153"/>
        <v>3. $50K-250K</v>
      </c>
      <c r="D9835" t="s">
        <v>832</v>
      </c>
      <c r="E9835" t="s">
        <v>237</v>
      </c>
      <c r="F9835" t="s">
        <v>670</v>
      </c>
      <c r="G9835" t="s">
        <v>59</v>
      </c>
      <c r="H9835">
        <v>2025</v>
      </c>
    </row>
    <row r="9836" spans="1:8" x14ac:dyDescent="0.2">
      <c r="A9836">
        <v>313737</v>
      </c>
      <c r="B9836">
        <v>71994</v>
      </c>
      <c r="C9836" t="str">
        <f t="shared" si="153"/>
        <v>4. $250K-1M</v>
      </c>
      <c r="D9836" t="s">
        <v>911</v>
      </c>
      <c r="E9836" t="s">
        <v>237</v>
      </c>
      <c r="F9836" t="s">
        <v>670</v>
      </c>
      <c r="G9836" t="s">
        <v>59</v>
      </c>
      <c r="H9836">
        <v>2025</v>
      </c>
    </row>
    <row r="9837" spans="1:8" x14ac:dyDescent="0.2">
      <c r="A9837">
        <v>313869</v>
      </c>
      <c r="B9837">
        <v>247611</v>
      </c>
      <c r="C9837" t="str">
        <f t="shared" si="153"/>
        <v>3. $50K-250K</v>
      </c>
      <c r="D9837" t="s">
        <v>782</v>
      </c>
      <c r="E9837" t="s">
        <v>42</v>
      </c>
      <c r="F9837" t="s">
        <v>670</v>
      </c>
      <c r="G9837" t="s">
        <v>59</v>
      </c>
      <c r="H9837">
        <v>2025</v>
      </c>
    </row>
    <row r="9838" spans="1:8" x14ac:dyDescent="0.2">
      <c r="A9838">
        <v>313936</v>
      </c>
      <c r="B9838">
        <v>88317</v>
      </c>
      <c r="C9838" t="str">
        <f t="shared" si="153"/>
        <v>3. $50K-250K</v>
      </c>
      <c r="D9838" t="s">
        <v>938</v>
      </c>
      <c r="E9838" t="s">
        <v>237</v>
      </c>
      <c r="F9838" t="s">
        <v>670</v>
      </c>
      <c r="G9838" t="s">
        <v>59</v>
      </c>
      <c r="H9838">
        <v>2025</v>
      </c>
    </row>
    <row r="9839" spans="1:8" x14ac:dyDescent="0.2">
      <c r="A9839">
        <v>313993</v>
      </c>
      <c r="B9839">
        <v>4250000</v>
      </c>
      <c r="C9839" t="str">
        <f t="shared" si="153"/>
        <v>3. $50K-250K</v>
      </c>
      <c r="D9839" t="s">
        <v>774</v>
      </c>
      <c r="E9839" t="s">
        <v>99</v>
      </c>
      <c r="F9839" t="s">
        <v>668</v>
      </c>
      <c r="G9839" t="s">
        <v>59</v>
      </c>
      <c r="H9839">
        <v>2025</v>
      </c>
    </row>
    <row r="9840" spans="1:8" x14ac:dyDescent="0.2">
      <c r="A9840">
        <v>313998</v>
      </c>
      <c r="B9840">
        <v>750000</v>
      </c>
      <c r="C9840" t="str">
        <f t="shared" si="153"/>
        <v>5. $1M+</v>
      </c>
      <c r="D9840" t="s">
        <v>774</v>
      </c>
      <c r="E9840" t="s">
        <v>99</v>
      </c>
      <c r="F9840" t="s">
        <v>668</v>
      </c>
      <c r="G9840" t="s">
        <v>59</v>
      </c>
      <c r="H9840">
        <v>2025</v>
      </c>
    </row>
    <row r="9841" spans="1:8" x14ac:dyDescent="0.2">
      <c r="A9841">
        <v>314001</v>
      </c>
      <c r="B9841">
        <v>8900000</v>
      </c>
      <c r="C9841" t="str">
        <f t="shared" si="153"/>
        <v>4. $250K-1M</v>
      </c>
      <c r="D9841" t="s">
        <v>774</v>
      </c>
      <c r="E9841" t="s">
        <v>99</v>
      </c>
      <c r="F9841" t="s">
        <v>668</v>
      </c>
      <c r="G9841" t="s">
        <v>59</v>
      </c>
      <c r="H9841">
        <v>2025</v>
      </c>
    </row>
    <row r="9842" spans="1:8" x14ac:dyDescent="0.2">
      <c r="A9842">
        <v>314010</v>
      </c>
      <c r="B9842">
        <v>400000</v>
      </c>
      <c r="C9842" t="str">
        <f t="shared" si="153"/>
        <v>5. $1M+</v>
      </c>
      <c r="D9842" t="s">
        <v>774</v>
      </c>
      <c r="E9842" t="s">
        <v>99</v>
      </c>
      <c r="F9842" t="s">
        <v>668</v>
      </c>
      <c r="G9842" t="s">
        <v>59</v>
      </c>
      <c r="H9842">
        <v>2025</v>
      </c>
    </row>
    <row r="9843" spans="1:8" x14ac:dyDescent="0.2">
      <c r="A9843">
        <v>314012</v>
      </c>
      <c r="B9843">
        <v>10130000</v>
      </c>
      <c r="C9843" t="str">
        <f t="shared" si="153"/>
        <v>4. $250K-1M</v>
      </c>
      <c r="D9843" t="s">
        <v>774</v>
      </c>
      <c r="E9843" t="s">
        <v>99</v>
      </c>
      <c r="F9843" t="s">
        <v>668</v>
      </c>
      <c r="G9843" t="s">
        <v>59</v>
      </c>
      <c r="H9843">
        <v>2025</v>
      </c>
    </row>
    <row r="9844" spans="1:8" x14ac:dyDescent="0.2">
      <c r="A9844">
        <v>314014</v>
      </c>
      <c r="B9844">
        <v>1850000</v>
      </c>
      <c r="C9844" t="str">
        <f t="shared" si="153"/>
        <v>5. $1M+</v>
      </c>
      <c r="D9844" t="s">
        <v>1429</v>
      </c>
      <c r="E9844" t="s">
        <v>28</v>
      </c>
      <c r="F9844" t="s">
        <v>668</v>
      </c>
      <c r="G9844" t="s">
        <v>59</v>
      </c>
      <c r="H9844">
        <v>2025</v>
      </c>
    </row>
    <row r="9845" spans="1:8" x14ac:dyDescent="0.2">
      <c r="A9845">
        <v>314018</v>
      </c>
      <c r="B9845">
        <v>8000000</v>
      </c>
      <c r="C9845" t="str">
        <f t="shared" si="153"/>
        <v>5. $1M+</v>
      </c>
      <c r="D9845" t="s">
        <v>774</v>
      </c>
      <c r="E9845" t="s">
        <v>99</v>
      </c>
      <c r="F9845" t="s">
        <v>668</v>
      </c>
      <c r="G9845" t="s">
        <v>59</v>
      </c>
      <c r="H9845">
        <v>2025</v>
      </c>
    </row>
    <row r="9846" spans="1:8" x14ac:dyDescent="0.2">
      <c r="A9846">
        <v>314019</v>
      </c>
      <c r="B9846">
        <v>200000</v>
      </c>
      <c r="C9846" t="str">
        <f t="shared" si="153"/>
        <v>5. $1M+</v>
      </c>
      <c r="D9846" t="s">
        <v>774</v>
      </c>
      <c r="E9846" t="s">
        <v>99</v>
      </c>
      <c r="F9846" t="s">
        <v>668</v>
      </c>
      <c r="G9846" t="s">
        <v>59</v>
      </c>
      <c r="H9846">
        <v>2025</v>
      </c>
    </row>
    <row r="9847" spans="1:8" x14ac:dyDescent="0.2">
      <c r="A9847">
        <v>314020</v>
      </c>
      <c r="B9847">
        <v>3100000</v>
      </c>
      <c r="C9847" t="str">
        <f t="shared" si="153"/>
        <v>3. $50K-250K</v>
      </c>
      <c r="D9847" t="s">
        <v>774</v>
      </c>
      <c r="E9847" t="s">
        <v>99</v>
      </c>
      <c r="F9847" t="s">
        <v>668</v>
      </c>
      <c r="G9847" t="s">
        <v>59</v>
      </c>
      <c r="H9847">
        <v>2025</v>
      </c>
    </row>
    <row r="9848" spans="1:8" x14ac:dyDescent="0.2">
      <c r="A9848">
        <v>314022</v>
      </c>
      <c r="B9848">
        <v>150000</v>
      </c>
      <c r="C9848" t="str">
        <f t="shared" si="153"/>
        <v>5. $1M+</v>
      </c>
      <c r="D9848" t="s">
        <v>2166</v>
      </c>
      <c r="E9848" t="s">
        <v>99</v>
      </c>
      <c r="F9848" t="s">
        <v>668</v>
      </c>
      <c r="G9848" t="s">
        <v>59</v>
      </c>
      <c r="H9848">
        <v>2025</v>
      </c>
    </row>
    <row r="9849" spans="1:8" x14ac:dyDescent="0.2">
      <c r="A9849">
        <v>314024</v>
      </c>
      <c r="B9849">
        <v>550000</v>
      </c>
      <c r="C9849" t="str">
        <f t="shared" si="153"/>
        <v>3. $50K-250K</v>
      </c>
      <c r="D9849" t="s">
        <v>774</v>
      </c>
      <c r="E9849" t="s">
        <v>99</v>
      </c>
      <c r="F9849" t="s">
        <v>668</v>
      </c>
      <c r="G9849" t="s">
        <v>59</v>
      </c>
      <c r="H9849">
        <v>2025</v>
      </c>
    </row>
    <row r="9850" spans="1:8" x14ac:dyDescent="0.2">
      <c r="A9850">
        <v>314025</v>
      </c>
      <c r="B9850">
        <v>75000</v>
      </c>
      <c r="C9850" t="str">
        <f t="shared" si="153"/>
        <v>4. $250K-1M</v>
      </c>
      <c r="D9850" t="s">
        <v>434</v>
      </c>
      <c r="E9850" t="s">
        <v>112</v>
      </c>
      <c r="F9850" t="s">
        <v>668</v>
      </c>
      <c r="G9850" t="s">
        <v>59</v>
      </c>
      <c r="H9850">
        <v>2025</v>
      </c>
    </row>
    <row r="9851" spans="1:8" x14ac:dyDescent="0.2">
      <c r="A9851">
        <v>314027</v>
      </c>
      <c r="B9851">
        <v>2100000</v>
      </c>
      <c r="C9851" t="str">
        <f t="shared" si="153"/>
        <v>3. $50K-250K</v>
      </c>
      <c r="D9851" t="s">
        <v>774</v>
      </c>
      <c r="E9851" t="s">
        <v>99</v>
      </c>
      <c r="F9851" t="s">
        <v>668</v>
      </c>
      <c r="G9851" t="s">
        <v>59</v>
      </c>
      <c r="H9851">
        <v>2025</v>
      </c>
    </row>
    <row r="9852" spans="1:8" x14ac:dyDescent="0.2">
      <c r="A9852">
        <v>314028</v>
      </c>
      <c r="B9852">
        <v>940000</v>
      </c>
      <c r="C9852" t="str">
        <f t="shared" si="153"/>
        <v>5. $1M+</v>
      </c>
      <c r="D9852" t="s">
        <v>2561</v>
      </c>
      <c r="E9852" t="s">
        <v>99</v>
      </c>
      <c r="F9852" t="s">
        <v>668</v>
      </c>
      <c r="G9852" t="s">
        <v>59</v>
      </c>
      <c r="H9852">
        <v>2025</v>
      </c>
    </row>
    <row r="9853" spans="1:8" x14ac:dyDescent="0.2">
      <c r="A9853">
        <v>314029</v>
      </c>
      <c r="B9853">
        <v>4500000</v>
      </c>
      <c r="C9853" t="str">
        <f t="shared" si="153"/>
        <v>4. $250K-1M</v>
      </c>
      <c r="D9853" t="s">
        <v>1053</v>
      </c>
      <c r="E9853" t="s">
        <v>99</v>
      </c>
      <c r="F9853" t="s">
        <v>668</v>
      </c>
      <c r="G9853" t="s">
        <v>59</v>
      </c>
      <c r="H9853">
        <v>2025</v>
      </c>
    </row>
    <row r="9854" spans="1:8" x14ac:dyDescent="0.2">
      <c r="A9854">
        <v>314033</v>
      </c>
      <c r="B9854">
        <v>79800</v>
      </c>
      <c r="C9854" t="str">
        <f t="shared" si="153"/>
        <v>5. $1M+</v>
      </c>
      <c r="D9854" t="s">
        <v>2562</v>
      </c>
      <c r="E9854" t="s">
        <v>28</v>
      </c>
      <c r="F9854" t="s">
        <v>668</v>
      </c>
      <c r="G9854" t="s">
        <v>59</v>
      </c>
      <c r="H9854">
        <v>2025</v>
      </c>
    </row>
    <row r="9855" spans="1:8" x14ac:dyDescent="0.2">
      <c r="A9855">
        <v>314062</v>
      </c>
      <c r="B9855">
        <v>405000</v>
      </c>
      <c r="C9855" t="str">
        <f t="shared" si="153"/>
        <v>3. $50K-250K</v>
      </c>
      <c r="D9855" t="s">
        <v>774</v>
      </c>
      <c r="E9855" t="s">
        <v>99</v>
      </c>
      <c r="F9855" t="s">
        <v>668</v>
      </c>
      <c r="G9855" t="s">
        <v>59</v>
      </c>
      <c r="H9855">
        <v>2025</v>
      </c>
    </row>
    <row r="9856" spans="1:8" x14ac:dyDescent="0.2">
      <c r="A9856">
        <v>314064</v>
      </c>
      <c r="B9856">
        <v>250000</v>
      </c>
      <c r="C9856" t="str">
        <f t="shared" si="153"/>
        <v>4. $250K-1M</v>
      </c>
      <c r="D9856" t="s">
        <v>2563</v>
      </c>
      <c r="E9856" t="s">
        <v>99</v>
      </c>
      <c r="F9856" t="s">
        <v>668</v>
      </c>
      <c r="G9856" t="s">
        <v>59</v>
      </c>
      <c r="H9856">
        <v>2025</v>
      </c>
    </row>
    <row r="9857" spans="1:8" x14ac:dyDescent="0.2">
      <c r="A9857">
        <v>314065</v>
      </c>
      <c r="B9857">
        <v>280000</v>
      </c>
      <c r="C9857" t="str">
        <f t="shared" si="153"/>
        <v>4. $250K-1M</v>
      </c>
      <c r="D9857" t="s">
        <v>774</v>
      </c>
      <c r="E9857" t="s">
        <v>99</v>
      </c>
      <c r="F9857" t="s">
        <v>668</v>
      </c>
      <c r="G9857" t="s">
        <v>59</v>
      </c>
      <c r="H9857">
        <v>2025</v>
      </c>
    </row>
    <row r="9858" spans="1:8" x14ac:dyDescent="0.2">
      <c r="A9858">
        <v>314070</v>
      </c>
      <c r="B9858">
        <v>1348000</v>
      </c>
      <c r="C9858" t="str">
        <f t="shared" si="153"/>
        <v>4. $250K-1M</v>
      </c>
      <c r="D9858" t="s">
        <v>774</v>
      </c>
      <c r="E9858" t="s">
        <v>99</v>
      </c>
      <c r="F9858" t="s">
        <v>668</v>
      </c>
      <c r="G9858" t="s">
        <v>59</v>
      </c>
      <c r="H9858">
        <v>2025</v>
      </c>
    </row>
    <row r="9859" spans="1:8" x14ac:dyDescent="0.2">
      <c r="A9859">
        <v>314077</v>
      </c>
      <c r="B9859">
        <v>54460</v>
      </c>
      <c r="C9859" t="str">
        <f t="shared" ref="C9859:C9922" si="154">IF(B9858&lt;10000,"1. Under $10K",IF(B9858&lt;50000,"2. $10K-50K",IF(B9858&lt;250000,"3. $50K-250K",IF(B9858&lt;1000000,"4. $250K-1M","5. $1M+"))))</f>
        <v>5. $1M+</v>
      </c>
      <c r="D9859" t="s">
        <v>2564</v>
      </c>
      <c r="E9859" t="s">
        <v>99</v>
      </c>
      <c r="F9859" t="s">
        <v>668</v>
      </c>
      <c r="G9859" t="s">
        <v>59</v>
      </c>
      <c r="H9859">
        <v>2025</v>
      </c>
    </row>
    <row r="9860" spans="1:8" x14ac:dyDescent="0.2">
      <c r="A9860">
        <v>314079</v>
      </c>
      <c r="B9860">
        <v>250000</v>
      </c>
      <c r="C9860" t="str">
        <f t="shared" si="154"/>
        <v>3. $50K-250K</v>
      </c>
      <c r="D9860" t="s">
        <v>2565</v>
      </c>
      <c r="E9860" t="s">
        <v>99</v>
      </c>
      <c r="F9860" t="s">
        <v>668</v>
      </c>
      <c r="G9860" t="s">
        <v>59</v>
      </c>
      <c r="H9860">
        <v>2025</v>
      </c>
    </row>
    <row r="9861" spans="1:8" x14ac:dyDescent="0.2">
      <c r="A9861">
        <v>314122</v>
      </c>
      <c r="B9861">
        <v>47996</v>
      </c>
      <c r="C9861" t="str">
        <f t="shared" si="154"/>
        <v>4. $250K-1M</v>
      </c>
      <c r="D9861" t="s">
        <v>1032</v>
      </c>
      <c r="E9861" t="s">
        <v>237</v>
      </c>
      <c r="F9861" t="s">
        <v>670</v>
      </c>
      <c r="G9861" t="s">
        <v>59</v>
      </c>
      <c r="H9861">
        <v>2025</v>
      </c>
    </row>
    <row r="9862" spans="1:8" x14ac:dyDescent="0.2">
      <c r="A9862">
        <v>314123</v>
      </c>
      <c r="B9862">
        <v>134997</v>
      </c>
      <c r="C9862" t="str">
        <f t="shared" si="154"/>
        <v>2. $10K-50K</v>
      </c>
      <c r="D9862" t="s">
        <v>797</v>
      </c>
      <c r="E9862" t="s">
        <v>99</v>
      </c>
      <c r="F9862" t="s">
        <v>668</v>
      </c>
      <c r="G9862" t="s">
        <v>59</v>
      </c>
      <c r="H9862">
        <v>2025</v>
      </c>
    </row>
    <row r="9863" spans="1:8" x14ac:dyDescent="0.2">
      <c r="A9863">
        <v>314124</v>
      </c>
      <c r="B9863">
        <v>110000</v>
      </c>
      <c r="C9863" t="str">
        <f t="shared" si="154"/>
        <v>3. $50K-250K</v>
      </c>
      <c r="D9863" t="s">
        <v>711</v>
      </c>
      <c r="E9863" t="s">
        <v>237</v>
      </c>
      <c r="F9863" t="s">
        <v>670</v>
      </c>
      <c r="G9863" t="s">
        <v>59</v>
      </c>
      <c r="H9863">
        <v>2025</v>
      </c>
    </row>
    <row r="9864" spans="1:8" x14ac:dyDescent="0.2">
      <c r="A9864">
        <v>314125</v>
      </c>
      <c r="B9864">
        <v>6957</v>
      </c>
      <c r="C9864" t="str">
        <f t="shared" si="154"/>
        <v>3. $50K-250K</v>
      </c>
      <c r="D9864" t="s">
        <v>1450</v>
      </c>
      <c r="E9864" t="s">
        <v>99</v>
      </c>
      <c r="F9864" t="s">
        <v>668</v>
      </c>
      <c r="G9864" t="s">
        <v>59</v>
      </c>
      <c r="H9864">
        <v>2025</v>
      </c>
    </row>
    <row r="9865" spans="1:8" x14ac:dyDescent="0.2">
      <c r="A9865">
        <v>314126</v>
      </c>
      <c r="B9865">
        <v>771500</v>
      </c>
      <c r="C9865" t="str">
        <f t="shared" si="154"/>
        <v>1. Under $10K</v>
      </c>
      <c r="D9865" t="s">
        <v>711</v>
      </c>
      <c r="E9865" t="s">
        <v>237</v>
      </c>
      <c r="F9865" t="s">
        <v>670</v>
      </c>
      <c r="G9865" t="s">
        <v>59</v>
      </c>
      <c r="H9865">
        <v>2025</v>
      </c>
    </row>
    <row r="9866" spans="1:8" x14ac:dyDescent="0.2">
      <c r="A9866">
        <v>314127</v>
      </c>
      <c r="B9866">
        <v>742447</v>
      </c>
      <c r="C9866" t="str">
        <f t="shared" si="154"/>
        <v>4. $250K-1M</v>
      </c>
      <c r="D9866" t="s">
        <v>785</v>
      </c>
      <c r="E9866" t="s">
        <v>237</v>
      </c>
      <c r="F9866" t="s">
        <v>670</v>
      </c>
      <c r="G9866" t="s">
        <v>59</v>
      </c>
      <c r="H9866">
        <v>2025</v>
      </c>
    </row>
    <row r="9867" spans="1:8" x14ac:dyDescent="0.2">
      <c r="A9867">
        <v>314128</v>
      </c>
      <c r="B9867">
        <v>349781</v>
      </c>
      <c r="C9867" t="str">
        <f t="shared" si="154"/>
        <v>4. $250K-1M</v>
      </c>
      <c r="D9867" t="s">
        <v>711</v>
      </c>
      <c r="E9867" t="s">
        <v>237</v>
      </c>
      <c r="F9867" t="s">
        <v>670</v>
      </c>
      <c r="G9867" t="s">
        <v>59</v>
      </c>
      <c r="H9867">
        <v>2025</v>
      </c>
    </row>
    <row r="9868" spans="1:8" x14ac:dyDescent="0.2">
      <c r="A9868">
        <v>314129</v>
      </c>
      <c r="B9868">
        <v>1539110</v>
      </c>
      <c r="C9868" t="str">
        <f t="shared" si="154"/>
        <v>4. $250K-1M</v>
      </c>
      <c r="D9868" t="s">
        <v>1094</v>
      </c>
      <c r="E9868" t="s">
        <v>237</v>
      </c>
      <c r="F9868" t="s">
        <v>670</v>
      </c>
      <c r="G9868" t="s">
        <v>59</v>
      </c>
      <c r="H9868">
        <v>2025</v>
      </c>
    </row>
    <row r="9869" spans="1:8" x14ac:dyDescent="0.2">
      <c r="A9869">
        <v>314130</v>
      </c>
      <c r="B9869">
        <v>2231710</v>
      </c>
      <c r="C9869" t="str">
        <f t="shared" si="154"/>
        <v>5. $1M+</v>
      </c>
      <c r="D9869" t="s">
        <v>1094</v>
      </c>
      <c r="E9869" t="s">
        <v>237</v>
      </c>
      <c r="F9869" t="s">
        <v>670</v>
      </c>
      <c r="G9869" t="s">
        <v>59</v>
      </c>
      <c r="H9869">
        <v>2025</v>
      </c>
    </row>
    <row r="9870" spans="1:8" x14ac:dyDescent="0.2">
      <c r="A9870">
        <v>314131</v>
      </c>
      <c r="B9870">
        <v>2033843</v>
      </c>
      <c r="C9870" t="str">
        <f t="shared" si="154"/>
        <v>5. $1M+</v>
      </c>
      <c r="D9870" t="s">
        <v>1094</v>
      </c>
      <c r="E9870" t="s">
        <v>237</v>
      </c>
      <c r="F9870" t="s">
        <v>670</v>
      </c>
      <c r="G9870" t="s">
        <v>59</v>
      </c>
      <c r="H9870">
        <v>2025</v>
      </c>
    </row>
    <row r="9871" spans="1:8" x14ac:dyDescent="0.2">
      <c r="A9871">
        <v>314132</v>
      </c>
      <c r="B9871">
        <v>1437910</v>
      </c>
      <c r="C9871" t="str">
        <f t="shared" si="154"/>
        <v>5. $1M+</v>
      </c>
      <c r="D9871" t="s">
        <v>1094</v>
      </c>
      <c r="E9871" t="s">
        <v>237</v>
      </c>
      <c r="F9871" t="s">
        <v>670</v>
      </c>
      <c r="G9871" t="s">
        <v>59</v>
      </c>
      <c r="H9871">
        <v>2025</v>
      </c>
    </row>
    <row r="9872" spans="1:8" x14ac:dyDescent="0.2">
      <c r="A9872">
        <v>314133</v>
      </c>
      <c r="B9872">
        <v>1405199</v>
      </c>
      <c r="C9872" t="str">
        <f t="shared" si="154"/>
        <v>5. $1M+</v>
      </c>
      <c r="D9872" t="s">
        <v>1094</v>
      </c>
      <c r="E9872" t="s">
        <v>237</v>
      </c>
      <c r="F9872" t="s">
        <v>670</v>
      </c>
      <c r="G9872" t="s">
        <v>59</v>
      </c>
      <c r="H9872">
        <v>2025</v>
      </c>
    </row>
    <row r="9873" spans="1:8" x14ac:dyDescent="0.2">
      <c r="A9873">
        <v>314134</v>
      </c>
      <c r="B9873">
        <v>2462576</v>
      </c>
      <c r="C9873" t="str">
        <f t="shared" si="154"/>
        <v>5. $1M+</v>
      </c>
      <c r="D9873" t="s">
        <v>1094</v>
      </c>
      <c r="E9873" t="s">
        <v>237</v>
      </c>
      <c r="F9873" t="s">
        <v>670</v>
      </c>
      <c r="G9873" t="s">
        <v>59</v>
      </c>
      <c r="H9873">
        <v>2025</v>
      </c>
    </row>
    <row r="9874" spans="1:8" x14ac:dyDescent="0.2">
      <c r="A9874">
        <v>314140</v>
      </c>
      <c r="B9874">
        <v>120000</v>
      </c>
      <c r="C9874" t="str">
        <f t="shared" si="154"/>
        <v>5. $1M+</v>
      </c>
      <c r="D9874" t="s">
        <v>783</v>
      </c>
      <c r="E9874" t="s">
        <v>99</v>
      </c>
      <c r="F9874" t="s">
        <v>668</v>
      </c>
      <c r="G9874" t="s">
        <v>59</v>
      </c>
      <c r="H9874">
        <v>2025</v>
      </c>
    </row>
    <row r="9875" spans="1:8" x14ac:dyDescent="0.2">
      <c r="A9875">
        <v>314143</v>
      </c>
      <c r="B9875">
        <v>1260000</v>
      </c>
      <c r="C9875" t="str">
        <f t="shared" si="154"/>
        <v>3. $50K-250K</v>
      </c>
      <c r="D9875" t="s">
        <v>774</v>
      </c>
      <c r="E9875" t="s">
        <v>99</v>
      </c>
      <c r="F9875" t="s">
        <v>668</v>
      </c>
      <c r="G9875" t="s">
        <v>59</v>
      </c>
      <c r="H9875">
        <v>2025</v>
      </c>
    </row>
    <row r="9876" spans="1:8" x14ac:dyDescent="0.2">
      <c r="A9876">
        <v>314145</v>
      </c>
      <c r="B9876">
        <v>3714519</v>
      </c>
      <c r="C9876" t="str">
        <f t="shared" si="154"/>
        <v>5. $1M+</v>
      </c>
      <c r="D9876" t="s">
        <v>2566</v>
      </c>
      <c r="E9876" t="s">
        <v>99</v>
      </c>
      <c r="F9876" t="s">
        <v>668</v>
      </c>
      <c r="G9876" t="s">
        <v>59</v>
      </c>
      <c r="H9876">
        <v>2025</v>
      </c>
    </row>
    <row r="9877" spans="1:8" x14ac:dyDescent="0.2">
      <c r="A9877">
        <v>314147</v>
      </c>
      <c r="B9877">
        <v>300000</v>
      </c>
      <c r="C9877" t="str">
        <f t="shared" si="154"/>
        <v>5. $1M+</v>
      </c>
      <c r="D9877" t="s">
        <v>774</v>
      </c>
      <c r="E9877" t="s">
        <v>99</v>
      </c>
      <c r="F9877" t="s">
        <v>668</v>
      </c>
      <c r="G9877" t="s">
        <v>59</v>
      </c>
      <c r="H9877">
        <v>2025</v>
      </c>
    </row>
    <row r="9878" spans="1:8" x14ac:dyDescent="0.2">
      <c r="A9878">
        <v>314149</v>
      </c>
      <c r="B9878">
        <v>250000</v>
      </c>
      <c r="C9878" t="str">
        <f t="shared" si="154"/>
        <v>4. $250K-1M</v>
      </c>
      <c r="D9878" t="s">
        <v>2567</v>
      </c>
      <c r="E9878" t="s">
        <v>99</v>
      </c>
      <c r="F9878" t="s">
        <v>668</v>
      </c>
      <c r="G9878" t="s">
        <v>59</v>
      </c>
      <c r="H9878">
        <v>2025</v>
      </c>
    </row>
    <row r="9879" spans="1:8" x14ac:dyDescent="0.2">
      <c r="A9879">
        <v>314150</v>
      </c>
      <c r="B9879">
        <v>4700000</v>
      </c>
      <c r="C9879" t="str">
        <f t="shared" si="154"/>
        <v>4. $250K-1M</v>
      </c>
      <c r="D9879" t="s">
        <v>774</v>
      </c>
      <c r="E9879" t="s">
        <v>99</v>
      </c>
      <c r="F9879" t="s">
        <v>668</v>
      </c>
      <c r="G9879" t="s">
        <v>59</v>
      </c>
      <c r="H9879">
        <v>2025</v>
      </c>
    </row>
    <row r="9880" spans="1:8" x14ac:dyDescent="0.2">
      <c r="A9880">
        <v>314151</v>
      </c>
      <c r="B9880">
        <v>300000</v>
      </c>
      <c r="C9880" t="str">
        <f t="shared" si="154"/>
        <v>5. $1M+</v>
      </c>
      <c r="D9880" t="s">
        <v>774</v>
      </c>
      <c r="E9880" t="s">
        <v>99</v>
      </c>
      <c r="F9880" t="s">
        <v>668</v>
      </c>
      <c r="G9880" t="s">
        <v>59</v>
      </c>
      <c r="H9880">
        <v>2025</v>
      </c>
    </row>
    <row r="9881" spans="1:8" x14ac:dyDescent="0.2">
      <c r="A9881">
        <v>314153</v>
      </c>
      <c r="B9881">
        <v>250000</v>
      </c>
      <c r="C9881" t="str">
        <f t="shared" si="154"/>
        <v>4. $250K-1M</v>
      </c>
      <c r="D9881" t="s">
        <v>2568</v>
      </c>
      <c r="E9881" t="s">
        <v>99</v>
      </c>
      <c r="F9881" t="s">
        <v>668</v>
      </c>
      <c r="G9881" t="s">
        <v>59</v>
      </c>
      <c r="H9881">
        <v>2025</v>
      </c>
    </row>
    <row r="9882" spans="1:8" x14ac:dyDescent="0.2">
      <c r="A9882">
        <v>314157</v>
      </c>
      <c r="B9882">
        <v>186200</v>
      </c>
      <c r="C9882" t="str">
        <f t="shared" si="154"/>
        <v>4. $250K-1M</v>
      </c>
      <c r="D9882" t="s">
        <v>774</v>
      </c>
      <c r="E9882" t="s">
        <v>99</v>
      </c>
      <c r="F9882" t="s">
        <v>668</v>
      </c>
      <c r="G9882" t="s">
        <v>59</v>
      </c>
      <c r="H9882">
        <v>2025</v>
      </c>
    </row>
    <row r="9883" spans="1:8" x14ac:dyDescent="0.2">
      <c r="A9883">
        <v>314158</v>
      </c>
      <c r="B9883">
        <v>95187.4</v>
      </c>
      <c r="C9883" t="str">
        <f t="shared" si="154"/>
        <v>3. $50K-250K</v>
      </c>
      <c r="D9883" t="s">
        <v>1838</v>
      </c>
      <c r="E9883" t="s">
        <v>99</v>
      </c>
      <c r="F9883" t="s">
        <v>668</v>
      </c>
      <c r="G9883" t="s">
        <v>59</v>
      </c>
      <c r="H9883">
        <v>2025</v>
      </c>
    </row>
    <row r="9884" spans="1:8" x14ac:dyDescent="0.2">
      <c r="A9884">
        <v>314161</v>
      </c>
      <c r="B9884">
        <v>250000</v>
      </c>
      <c r="C9884" t="str">
        <f t="shared" si="154"/>
        <v>3. $50K-250K</v>
      </c>
      <c r="D9884" t="s">
        <v>2569</v>
      </c>
      <c r="E9884" t="s">
        <v>99</v>
      </c>
      <c r="F9884" t="s">
        <v>668</v>
      </c>
      <c r="G9884" t="s">
        <v>59</v>
      </c>
      <c r="H9884">
        <v>2025</v>
      </c>
    </row>
    <row r="9885" spans="1:8" x14ac:dyDescent="0.2">
      <c r="A9885">
        <v>314177</v>
      </c>
      <c r="B9885">
        <v>18700000</v>
      </c>
      <c r="C9885" t="str">
        <f t="shared" si="154"/>
        <v>4. $250K-1M</v>
      </c>
      <c r="D9885" t="s">
        <v>2570</v>
      </c>
      <c r="E9885" t="s">
        <v>99</v>
      </c>
      <c r="F9885" t="s">
        <v>668</v>
      </c>
      <c r="G9885" t="s">
        <v>59</v>
      </c>
      <c r="H9885">
        <v>2025</v>
      </c>
    </row>
    <row r="9886" spans="1:8" x14ac:dyDescent="0.2">
      <c r="A9886">
        <v>314178</v>
      </c>
      <c r="B9886">
        <v>6116.8</v>
      </c>
      <c r="C9886" t="str">
        <f t="shared" si="154"/>
        <v>5. $1M+</v>
      </c>
      <c r="D9886" t="s">
        <v>1014</v>
      </c>
      <c r="E9886" t="s">
        <v>112</v>
      </c>
      <c r="F9886" t="s">
        <v>668</v>
      </c>
      <c r="G9886" t="s">
        <v>59</v>
      </c>
      <c r="H9886">
        <v>2025</v>
      </c>
    </row>
    <row r="9887" spans="1:8" x14ac:dyDescent="0.2">
      <c r="A9887">
        <v>314183</v>
      </c>
      <c r="B9887">
        <v>172000</v>
      </c>
      <c r="C9887" t="str">
        <f t="shared" si="154"/>
        <v>1. Under $10K</v>
      </c>
      <c r="D9887" t="s">
        <v>1581</v>
      </c>
      <c r="E9887" t="s">
        <v>42</v>
      </c>
      <c r="F9887" t="s">
        <v>670</v>
      </c>
      <c r="G9887" t="s">
        <v>59</v>
      </c>
      <c r="H9887">
        <v>2025</v>
      </c>
    </row>
    <row r="9888" spans="1:8" x14ac:dyDescent="0.2">
      <c r="A9888">
        <v>314264</v>
      </c>
      <c r="B9888">
        <v>750000</v>
      </c>
      <c r="C9888" t="str">
        <f t="shared" si="154"/>
        <v>3. $50K-250K</v>
      </c>
      <c r="D9888" t="s">
        <v>774</v>
      </c>
      <c r="E9888" t="s">
        <v>99</v>
      </c>
      <c r="F9888" t="s">
        <v>668</v>
      </c>
      <c r="G9888" t="s">
        <v>59</v>
      </c>
      <c r="H9888">
        <v>2025</v>
      </c>
    </row>
    <row r="9889" spans="1:8" x14ac:dyDescent="0.2">
      <c r="A9889">
        <v>314266</v>
      </c>
      <c r="B9889">
        <v>750000</v>
      </c>
      <c r="C9889" t="str">
        <f t="shared" si="154"/>
        <v>4. $250K-1M</v>
      </c>
      <c r="D9889" t="s">
        <v>774</v>
      </c>
      <c r="E9889" t="s">
        <v>99</v>
      </c>
      <c r="F9889" t="s">
        <v>668</v>
      </c>
      <c r="G9889" t="s">
        <v>59</v>
      </c>
      <c r="H9889">
        <v>2025</v>
      </c>
    </row>
    <row r="9890" spans="1:8" x14ac:dyDescent="0.2">
      <c r="A9890">
        <v>314282</v>
      </c>
      <c r="B9890">
        <v>2400000</v>
      </c>
      <c r="C9890" t="str">
        <f t="shared" si="154"/>
        <v>4. $250K-1M</v>
      </c>
      <c r="D9890" t="s">
        <v>774</v>
      </c>
      <c r="E9890" t="s">
        <v>99</v>
      </c>
      <c r="F9890" t="s">
        <v>668</v>
      </c>
      <c r="G9890" t="s">
        <v>59</v>
      </c>
      <c r="H9890">
        <v>2025</v>
      </c>
    </row>
    <row r="9891" spans="1:8" x14ac:dyDescent="0.2">
      <c r="A9891">
        <v>314286</v>
      </c>
      <c r="B9891">
        <v>250000</v>
      </c>
      <c r="C9891" t="str">
        <f t="shared" si="154"/>
        <v>5. $1M+</v>
      </c>
      <c r="D9891" t="s">
        <v>774</v>
      </c>
      <c r="E9891" t="s">
        <v>99</v>
      </c>
      <c r="F9891" t="s">
        <v>668</v>
      </c>
      <c r="G9891" t="s">
        <v>59</v>
      </c>
      <c r="H9891">
        <v>2025</v>
      </c>
    </row>
    <row r="9892" spans="1:8" x14ac:dyDescent="0.2">
      <c r="A9892">
        <v>314288</v>
      </c>
      <c r="B9892">
        <v>100000</v>
      </c>
      <c r="C9892" t="str">
        <f t="shared" si="154"/>
        <v>4. $250K-1M</v>
      </c>
      <c r="D9892" t="s">
        <v>774</v>
      </c>
      <c r="E9892" t="s">
        <v>99</v>
      </c>
      <c r="F9892" t="s">
        <v>668</v>
      </c>
      <c r="G9892" t="s">
        <v>59</v>
      </c>
      <c r="H9892">
        <v>2025</v>
      </c>
    </row>
    <row r="9893" spans="1:8" x14ac:dyDescent="0.2">
      <c r="A9893">
        <v>314290</v>
      </c>
      <c r="B9893">
        <v>1000000</v>
      </c>
      <c r="C9893" t="str">
        <f t="shared" si="154"/>
        <v>3. $50K-250K</v>
      </c>
      <c r="D9893" t="s">
        <v>774</v>
      </c>
      <c r="E9893" t="s">
        <v>99</v>
      </c>
      <c r="F9893" t="s">
        <v>668</v>
      </c>
      <c r="G9893" t="s">
        <v>59</v>
      </c>
      <c r="H9893">
        <v>2025</v>
      </c>
    </row>
    <row r="9894" spans="1:8" x14ac:dyDescent="0.2">
      <c r="A9894">
        <v>314295</v>
      </c>
      <c r="B9894">
        <v>275000</v>
      </c>
      <c r="C9894" t="str">
        <f t="shared" si="154"/>
        <v>5. $1M+</v>
      </c>
      <c r="D9894" t="s">
        <v>774</v>
      </c>
      <c r="E9894" t="s">
        <v>99</v>
      </c>
      <c r="F9894" t="s">
        <v>668</v>
      </c>
      <c r="G9894" t="s">
        <v>59</v>
      </c>
      <c r="H9894">
        <v>2025</v>
      </c>
    </row>
    <row r="9895" spans="1:8" x14ac:dyDescent="0.2">
      <c r="A9895">
        <v>314296</v>
      </c>
      <c r="B9895">
        <v>3725000</v>
      </c>
      <c r="C9895" t="str">
        <f t="shared" si="154"/>
        <v>4. $250K-1M</v>
      </c>
      <c r="D9895" t="s">
        <v>774</v>
      </c>
      <c r="E9895" t="s">
        <v>99</v>
      </c>
      <c r="F9895" t="s">
        <v>668</v>
      </c>
      <c r="G9895" t="s">
        <v>59</v>
      </c>
      <c r="H9895">
        <v>2025</v>
      </c>
    </row>
    <row r="9896" spans="1:8" x14ac:dyDescent="0.2">
      <c r="A9896">
        <v>314297</v>
      </c>
      <c r="B9896">
        <v>750000</v>
      </c>
      <c r="C9896" t="str">
        <f t="shared" si="154"/>
        <v>5. $1M+</v>
      </c>
      <c r="D9896" t="s">
        <v>774</v>
      </c>
      <c r="E9896" t="s">
        <v>99</v>
      </c>
      <c r="F9896" t="s">
        <v>668</v>
      </c>
      <c r="G9896" t="s">
        <v>59</v>
      </c>
      <c r="H9896">
        <v>2025</v>
      </c>
    </row>
    <row r="9897" spans="1:8" x14ac:dyDescent="0.2">
      <c r="A9897">
        <v>314298</v>
      </c>
      <c r="B9897">
        <v>5000000</v>
      </c>
      <c r="C9897" t="str">
        <f t="shared" si="154"/>
        <v>4. $250K-1M</v>
      </c>
      <c r="D9897" t="s">
        <v>1881</v>
      </c>
      <c r="E9897" t="s">
        <v>99</v>
      </c>
      <c r="F9897" t="s">
        <v>668</v>
      </c>
      <c r="G9897" t="s">
        <v>59</v>
      </c>
      <c r="H9897">
        <v>2025</v>
      </c>
    </row>
    <row r="9898" spans="1:8" x14ac:dyDescent="0.2">
      <c r="A9898">
        <v>314299</v>
      </c>
      <c r="B9898">
        <v>431000</v>
      </c>
      <c r="C9898" t="str">
        <f t="shared" si="154"/>
        <v>5. $1M+</v>
      </c>
      <c r="D9898" t="s">
        <v>774</v>
      </c>
      <c r="E9898" t="s">
        <v>99</v>
      </c>
      <c r="F9898" t="s">
        <v>668</v>
      </c>
      <c r="G9898" t="s">
        <v>59</v>
      </c>
      <c r="H9898">
        <v>2025</v>
      </c>
    </row>
    <row r="9899" spans="1:8" x14ac:dyDescent="0.2">
      <c r="A9899">
        <v>314300</v>
      </c>
      <c r="B9899">
        <v>11050000</v>
      </c>
      <c r="C9899" t="str">
        <f t="shared" si="154"/>
        <v>4. $250K-1M</v>
      </c>
      <c r="D9899" t="s">
        <v>774</v>
      </c>
      <c r="E9899" t="s">
        <v>99</v>
      </c>
      <c r="F9899" t="s">
        <v>668</v>
      </c>
      <c r="G9899" t="s">
        <v>59</v>
      </c>
      <c r="H9899">
        <v>2025</v>
      </c>
    </row>
    <row r="9900" spans="1:8" x14ac:dyDescent="0.2">
      <c r="A9900">
        <v>314301</v>
      </c>
      <c r="B9900">
        <v>132892.6</v>
      </c>
      <c r="C9900" t="str">
        <f t="shared" si="154"/>
        <v>5. $1M+</v>
      </c>
      <c r="D9900" t="s">
        <v>2571</v>
      </c>
      <c r="E9900" t="s">
        <v>99</v>
      </c>
      <c r="F9900" t="s">
        <v>668</v>
      </c>
      <c r="G9900" t="s">
        <v>59</v>
      </c>
      <c r="H9900">
        <v>2025</v>
      </c>
    </row>
    <row r="9901" spans="1:8" x14ac:dyDescent="0.2">
      <c r="A9901">
        <v>314305</v>
      </c>
      <c r="B9901">
        <v>24621</v>
      </c>
      <c r="C9901" t="str">
        <f t="shared" si="154"/>
        <v>3. $50K-250K</v>
      </c>
      <c r="D9901" t="s">
        <v>2121</v>
      </c>
      <c r="E9901" t="s">
        <v>99</v>
      </c>
      <c r="F9901" t="s">
        <v>668</v>
      </c>
      <c r="G9901" t="s">
        <v>59</v>
      </c>
      <c r="H9901">
        <v>2025</v>
      </c>
    </row>
    <row r="9902" spans="1:8" x14ac:dyDescent="0.2">
      <c r="A9902">
        <v>314306</v>
      </c>
      <c r="B9902">
        <v>148492.6</v>
      </c>
      <c r="C9902" t="str">
        <f t="shared" si="154"/>
        <v>2. $10K-50K</v>
      </c>
      <c r="D9902" t="s">
        <v>2572</v>
      </c>
      <c r="E9902" t="s">
        <v>99</v>
      </c>
      <c r="F9902" t="s">
        <v>668</v>
      </c>
      <c r="G9902" t="s">
        <v>59</v>
      </c>
      <c r="H9902">
        <v>2025</v>
      </c>
    </row>
    <row r="9903" spans="1:8" x14ac:dyDescent="0.2">
      <c r="A9903">
        <v>314307</v>
      </c>
      <c r="B9903">
        <v>73030</v>
      </c>
      <c r="C9903" t="str">
        <f t="shared" si="154"/>
        <v>3. $50K-250K</v>
      </c>
      <c r="D9903" t="s">
        <v>2564</v>
      </c>
      <c r="E9903" t="s">
        <v>99</v>
      </c>
      <c r="F9903" t="s">
        <v>668</v>
      </c>
      <c r="G9903" t="s">
        <v>59</v>
      </c>
      <c r="H9903">
        <v>2025</v>
      </c>
    </row>
    <row r="9904" spans="1:8" x14ac:dyDescent="0.2">
      <c r="A9904">
        <v>314308</v>
      </c>
      <c r="B9904">
        <v>7416769</v>
      </c>
      <c r="C9904" t="str">
        <f t="shared" si="154"/>
        <v>3. $50K-250K</v>
      </c>
      <c r="D9904" t="s">
        <v>2573</v>
      </c>
      <c r="E9904" t="s">
        <v>99</v>
      </c>
      <c r="F9904" t="s">
        <v>668</v>
      </c>
      <c r="G9904" t="s">
        <v>59</v>
      </c>
      <c r="H9904">
        <v>2025</v>
      </c>
    </row>
    <row r="9905" spans="1:8" x14ac:dyDescent="0.2">
      <c r="A9905">
        <v>314309</v>
      </c>
      <c r="B9905">
        <v>1298000</v>
      </c>
      <c r="C9905" t="str">
        <f t="shared" si="154"/>
        <v>5. $1M+</v>
      </c>
      <c r="D9905" t="s">
        <v>774</v>
      </c>
      <c r="E9905" t="s">
        <v>99</v>
      </c>
      <c r="F9905" t="s">
        <v>668</v>
      </c>
      <c r="G9905" t="s">
        <v>59</v>
      </c>
      <c r="H9905">
        <v>2025</v>
      </c>
    </row>
    <row r="9906" spans="1:8" x14ac:dyDescent="0.2">
      <c r="A9906">
        <v>314310</v>
      </c>
      <c r="B9906">
        <v>2500000</v>
      </c>
      <c r="C9906" t="str">
        <f t="shared" si="154"/>
        <v>5. $1M+</v>
      </c>
      <c r="D9906" t="s">
        <v>774</v>
      </c>
      <c r="E9906" t="s">
        <v>99</v>
      </c>
      <c r="F9906" t="s">
        <v>668</v>
      </c>
      <c r="G9906" t="s">
        <v>59</v>
      </c>
      <c r="H9906">
        <v>2025</v>
      </c>
    </row>
    <row r="9907" spans="1:8" x14ac:dyDescent="0.2">
      <c r="A9907">
        <v>314311</v>
      </c>
      <c r="B9907">
        <v>5750000</v>
      </c>
      <c r="C9907" t="str">
        <f t="shared" si="154"/>
        <v>5. $1M+</v>
      </c>
      <c r="D9907" t="s">
        <v>774</v>
      </c>
      <c r="E9907" t="s">
        <v>99</v>
      </c>
      <c r="F9907" t="s">
        <v>668</v>
      </c>
      <c r="G9907" t="s">
        <v>59</v>
      </c>
      <c r="H9907">
        <v>2025</v>
      </c>
    </row>
    <row r="9908" spans="1:8" x14ac:dyDescent="0.2">
      <c r="A9908">
        <v>314312</v>
      </c>
      <c r="B9908">
        <v>600000</v>
      </c>
      <c r="C9908" t="str">
        <f t="shared" si="154"/>
        <v>5. $1M+</v>
      </c>
      <c r="D9908" t="s">
        <v>774</v>
      </c>
      <c r="E9908" t="s">
        <v>99</v>
      </c>
      <c r="F9908" t="s">
        <v>668</v>
      </c>
      <c r="G9908" t="s">
        <v>59</v>
      </c>
      <c r="H9908">
        <v>2025</v>
      </c>
    </row>
    <row r="9909" spans="1:8" x14ac:dyDescent="0.2">
      <c r="A9909">
        <v>314313</v>
      </c>
      <c r="B9909">
        <v>750000</v>
      </c>
      <c r="C9909" t="str">
        <f t="shared" si="154"/>
        <v>4. $250K-1M</v>
      </c>
      <c r="D9909" t="s">
        <v>774</v>
      </c>
      <c r="E9909" t="s">
        <v>99</v>
      </c>
      <c r="F9909" t="s">
        <v>668</v>
      </c>
      <c r="G9909" t="s">
        <v>59</v>
      </c>
      <c r="H9909">
        <v>2025</v>
      </c>
    </row>
    <row r="9910" spans="1:8" x14ac:dyDescent="0.2">
      <c r="A9910">
        <v>314314</v>
      </c>
      <c r="B9910">
        <v>3740000</v>
      </c>
      <c r="C9910" t="str">
        <f t="shared" si="154"/>
        <v>4. $250K-1M</v>
      </c>
      <c r="D9910" t="s">
        <v>774</v>
      </c>
      <c r="E9910" t="s">
        <v>99</v>
      </c>
      <c r="F9910" t="s">
        <v>668</v>
      </c>
      <c r="G9910" t="s">
        <v>59</v>
      </c>
      <c r="H9910">
        <v>2025</v>
      </c>
    </row>
    <row r="9911" spans="1:8" x14ac:dyDescent="0.2">
      <c r="A9911">
        <v>314315</v>
      </c>
      <c r="B9911">
        <v>3800000</v>
      </c>
      <c r="C9911" t="str">
        <f t="shared" si="154"/>
        <v>5. $1M+</v>
      </c>
      <c r="D9911" t="s">
        <v>774</v>
      </c>
      <c r="E9911" t="s">
        <v>99</v>
      </c>
      <c r="F9911" t="s">
        <v>668</v>
      </c>
      <c r="G9911" t="s">
        <v>59</v>
      </c>
      <c r="H9911">
        <v>2025</v>
      </c>
    </row>
    <row r="9912" spans="1:8" x14ac:dyDescent="0.2">
      <c r="A9912">
        <v>314316</v>
      </c>
      <c r="B9912">
        <v>11510000</v>
      </c>
      <c r="C9912" t="str">
        <f t="shared" si="154"/>
        <v>5. $1M+</v>
      </c>
      <c r="D9912" t="s">
        <v>774</v>
      </c>
      <c r="E9912" t="s">
        <v>99</v>
      </c>
      <c r="F9912" t="s">
        <v>668</v>
      </c>
      <c r="G9912" t="s">
        <v>59</v>
      </c>
      <c r="H9912">
        <v>2025</v>
      </c>
    </row>
    <row r="9913" spans="1:8" x14ac:dyDescent="0.2">
      <c r="A9913">
        <v>314317</v>
      </c>
      <c r="B9913">
        <v>6952000</v>
      </c>
      <c r="C9913" t="str">
        <f t="shared" si="154"/>
        <v>5. $1M+</v>
      </c>
      <c r="D9913" t="s">
        <v>774</v>
      </c>
      <c r="E9913" t="s">
        <v>99</v>
      </c>
      <c r="F9913" t="s">
        <v>668</v>
      </c>
      <c r="G9913" t="s">
        <v>59</v>
      </c>
      <c r="H9913">
        <v>2025</v>
      </c>
    </row>
    <row r="9914" spans="1:8" x14ac:dyDescent="0.2">
      <c r="A9914">
        <v>314319</v>
      </c>
      <c r="B9914">
        <v>18000000</v>
      </c>
      <c r="C9914" t="str">
        <f t="shared" si="154"/>
        <v>5. $1M+</v>
      </c>
      <c r="D9914" t="s">
        <v>872</v>
      </c>
      <c r="E9914" t="s">
        <v>237</v>
      </c>
      <c r="F9914" t="s">
        <v>670</v>
      </c>
      <c r="G9914" t="s">
        <v>59</v>
      </c>
      <c r="H9914">
        <v>2025</v>
      </c>
    </row>
    <row r="9915" spans="1:8" x14ac:dyDescent="0.2">
      <c r="A9915">
        <v>314322</v>
      </c>
      <c r="B9915">
        <v>431964</v>
      </c>
      <c r="C9915" t="str">
        <f t="shared" si="154"/>
        <v>5. $1M+</v>
      </c>
      <c r="D9915" t="s">
        <v>2574</v>
      </c>
      <c r="E9915" t="s">
        <v>237</v>
      </c>
      <c r="F9915" t="s">
        <v>670</v>
      </c>
      <c r="G9915" t="s">
        <v>59</v>
      </c>
      <c r="H9915">
        <v>2025</v>
      </c>
    </row>
    <row r="9916" spans="1:8" x14ac:dyDescent="0.2">
      <c r="A9916">
        <v>314323</v>
      </c>
      <c r="B9916">
        <v>71994</v>
      </c>
      <c r="C9916" t="str">
        <f t="shared" si="154"/>
        <v>4. $250K-1M</v>
      </c>
      <c r="D9916" t="s">
        <v>951</v>
      </c>
      <c r="E9916" t="s">
        <v>237</v>
      </c>
      <c r="F9916" t="s">
        <v>670</v>
      </c>
      <c r="G9916" t="s">
        <v>59</v>
      </c>
      <c r="H9916">
        <v>2025</v>
      </c>
    </row>
    <row r="9917" spans="1:8" x14ac:dyDescent="0.2">
      <c r="A9917">
        <v>314324</v>
      </c>
      <c r="B9917">
        <v>107991</v>
      </c>
      <c r="C9917" t="str">
        <f t="shared" si="154"/>
        <v>3. $50K-250K</v>
      </c>
      <c r="D9917" t="s">
        <v>988</v>
      </c>
      <c r="E9917" t="s">
        <v>237</v>
      </c>
      <c r="F9917" t="s">
        <v>670</v>
      </c>
      <c r="G9917" t="s">
        <v>59</v>
      </c>
      <c r="H9917">
        <v>2025</v>
      </c>
    </row>
    <row r="9918" spans="1:8" x14ac:dyDescent="0.2">
      <c r="A9918">
        <v>314325</v>
      </c>
      <c r="B9918">
        <v>35997</v>
      </c>
      <c r="C9918" t="str">
        <f t="shared" si="154"/>
        <v>3. $50K-250K</v>
      </c>
      <c r="D9918" t="s">
        <v>2575</v>
      </c>
      <c r="E9918" t="s">
        <v>237</v>
      </c>
      <c r="F9918" t="s">
        <v>670</v>
      </c>
      <c r="G9918" t="s">
        <v>59</v>
      </c>
      <c r="H9918">
        <v>2025</v>
      </c>
    </row>
    <row r="9919" spans="1:8" x14ac:dyDescent="0.2">
      <c r="A9919">
        <v>314326</v>
      </c>
      <c r="B9919">
        <v>71994</v>
      </c>
      <c r="C9919" t="str">
        <f t="shared" si="154"/>
        <v>2. $10K-50K</v>
      </c>
      <c r="D9919" t="s">
        <v>724</v>
      </c>
      <c r="E9919" t="s">
        <v>237</v>
      </c>
      <c r="F9919" t="s">
        <v>670</v>
      </c>
      <c r="G9919" t="s">
        <v>59</v>
      </c>
      <c r="H9919">
        <v>2025</v>
      </c>
    </row>
    <row r="9920" spans="1:8" x14ac:dyDescent="0.2">
      <c r="A9920">
        <v>314327</v>
      </c>
      <c r="B9920">
        <v>35997</v>
      </c>
      <c r="C9920" t="str">
        <f t="shared" si="154"/>
        <v>3. $50K-250K</v>
      </c>
      <c r="D9920" t="s">
        <v>801</v>
      </c>
      <c r="E9920" t="s">
        <v>237</v>
      </c>
      <c r="F9920" t="s">
        <v>670</v>
      </c>
      <c r="G9920" t="s">
        <v>59</v>
      </c>
      <c r="H9920">
        <v>2025</v>
      </c>
    </row>
    <row r="9921" spans="1:8" x14ac:dyDescent="0.2">
      <c r="A9921">
        <v>314328</v>
      </c>
      <c r="B9921">
        <v>35997</v>
      </c>
      <c r="C9921" t="str">
        <f t="shared" si="154"/>
        <v>2. $10K-50K</v>
      </c>
      <c r="D9921" t="s">
        <v>1084</v>
      </c>
      <c r="E9921" t="s">
        <v>237</v>
      </c>
      <c r="F9921" t="s">
        <v>670</v>
      </c>
      <c r="G9921" t="s">
        <v>59</v>
      </c>
      <c r="H9921">
        <v>2025</v>
      </c>
    </row>
    <row r="9922" spans="1:8" x14ac:dyDescent="0.2">
      <c r="A9922">
        <v>314341</v>
      </c>
      <c r="B9922">
        <v>23998</v>
      </c>
      <c r="C9922" t="str">
        <f t="shared" si="154"/>
        <v>2. $10K-50K</v>
      </c>
      <c r="D9922" t="s">
        <v>925</v>
      </c>
      <c r="E9922" t="s">
        <v>237</v>
      </c>
      <c r="F9922" t="s">
        <v>670</v>
      </c>
      <c r="G9922" t="s">
        <v>59</v>
      </c>
      <c r="H9922">
        <v>2025</v>
      </c>
    </row>
    <row r="9923" spans="1:8" x14ac:dyDescent="0.2">
      <c r="A9923">
        <v>314342</v>
      </c>
      <c r="B9923">
        <v>6000</v>
      </c>
      <c r="C9923" t="str">
        <f t="shared" ref="C9923:C9986" si="155">IF(B9922&lt;10000,"1. Under $10K",IF(B9922&lt;50000,"2. $10K-50K",IF(B9922&lt;250000,"3. $50K-250K",IF(B9922&lt;1000000,"4. $250K-1M","5. $1M+"))))</f>
        <v>2. $10K-50K</v>
      </c>
      <c r="D9923" t="s">
        <v>711</v>
      </c>
      <c r="E9923" t="s">
        <v>237</v>
      </c>
      <c r="F9923" t="s">
        <v>670</v>
      </c>
      <c r="G9923" t="s">
        <v>59</v>
      </c>
      <c r="H9923">
        <v>2025</v>
      </c>
    </row>
    <row r="9924" spans="1:8" x14ac:dyDescent="0.2">
      <c r="A9924">
        <v>314357</v>
      </c>
      <c r="B9924">
        <v>500000</v>
      </c>
      <c r="C9924" t="str">
        <f t="shared" si="155"/>
        <v>1. Under $10K</v>
      </c>
      <c r="D9924" t="s">
        <v>1034</v>
      </c>
      <c r="E9924" t="s">
        <v>59</v>
      </c>
      <c r="F9924" t="s">
        <v>670</v>
      </c>
      <c r="G9924" t="s">
        <v>59</v>
      </c>
      <c r="H9924">
        <v>2025</v>
      </c>
    </row>
    <row r="9925" spans="1:8" x14ac:dyDescent="0.2">
      <c r="A9925">
        <v>314360</v>
      </c>
      <c r="B9925">
        <v>175000</v>
      </c>
      <c r="C9925" t="str">
        <f t="shared" si="155"/>
        <v>4. $250K-1M</v>
      </c>
      <c r="D9925" t="s">
        <v>1473</v>
      </c>
      <c r="E9925" t="s">
        <v>59</v>
      </c>
      <c r="F9925" t="s">
        <v>670</v>
      </c>
      <c r="G9925" t="s">
        <v>59</v>
      </c>
      <c r="H9925">
        <v>2025</v>
      </c>
    </row>
    <row r="9926" spans="1:8" x14ac:dyDescent="0.2">
      <c r="A9926">
        <v>314362</v>
      </c>
      <c r="B9926">
        <v>325000</v>
      </c>
      <c r="C9926" t="str">
        <f t="shared" si="155"/>
        <v>3. $50K-250K</v>
      </c>
      <c r="D9926" t="s">
        <v>849</v>
      </c>
      <c r="E9926" t="s">
        <v>59</v>
      </c>
      <c r="F9926" t="s">
        <v>670</v>
      </c>
      <c r="G9926" t="s">
        <v>59</v>
      </c>
      <c r="H9926">
        <v>2025</v>
      </c>
    </row>
    <row r="9927" spans="1:8" x14ac:dyDescent="0.2">
      <c r="A9927">
        <v>314384</v>
      </c>
      <c r="B9927">
        <v>25000</v>
      </c>
      <c r="C9927" t="str">
        <f t="shared" si="155"/>
        <v>4. $250K-1M</v>
      </c>
      <c r="D9927" t="s">
        <v>851</v>
      </c>
      <c r="E9927" t="s">
        <v>237</v>
      </c>
      <c r="F9927" t="s">
        <v>670</v>
      </c>
      <c r="G9927" t="s">
        <v>59</v>
      </c>
      <c r="H9927">
        <v>2025</v>
      </c>
    </row>
    <row r="9928" spans="1:8" x14ac:dyDescent="0.2">
      <c r="A9928">
        <v>314386</v>
      </c>
      <c r="B9928">
        <v>19000</v>
      </c>
      <c r="C9928" t="str">
        <f t="shared" si="155"/>
        <v>2. $10K-50K</v>
      </c>
      <c r="D9928" t="s">
        <v>860</v>
      </c>
      <c r="E9928" t="s">
        <v>237</v>
      </c>
      <c r="F9928" t="s">
        <v>670</v>
      </c>
      <c r="G9928" t="s">
        <v>59</v>
      </c>
      <c r="H9928">
        <v>2025</v>
      </c>
    </row>
    <row r="9929" spans="1:8" x14ac:dyDescent="0.2">
      <c r="A9929">
        <v>314387</v>
      </c>
      <c r="B9929">
        <v>25000</v>
      </c>
      <c r="C9929" t="str">
        <f t="shared" si="155"/>
        <v>2. $10K-50K</v>
      </c>
      <c r="D9929" t="s">
        <v>883</v>
      </c>
      <c r="E9929" t="s">
        <v>237</v>
      </c>
      <c r="F9929" t="s">
        <v>670</v>
      </c>
      <c r="G9929" t="s">
        <v>59</v>
      </c>
      <c r="H9929">
        <v>2025</v>
      </c>
    </row>
    <row r="9930" spans="1:8" x14ac:dyDescent="0.2">
      <c r="A9930">
        <v>314388</v>
      </c>
      <c r="B9930">
        <v>6000</v>
      </c>
      <c r="C9930" t="str">
        <f t="shared" si="155"/>
        <v>2. $10K-50K</v>
      </c>
      <c r="D9930" t="s">
        <v>872</v>
      </c>
      <c r="E9930" t="s">
        <v>237</v>
      </c>
      <c r="F9930" t="s">
        <v>670</v>
      </c>
      <c r="G9930" t="s">
        <v>59</v>
      </c>
      <c r="H9930">
        <v>2025</v>
      </c>
    </row>
    <row r="9931" spans="1:8" x14ac:dyDescent="0.2">
      <c r="A9931">
        <v>314390</v>
      </c>
      <c r="B9931">
        <v>23500</v>
      </c>
      <c r="C9931" t="str">
        <f t="shared" si="155"/>
        <v>1. Under $10K</v>
      </c>
      <c r="D9931" t="s">
        <v>721</v>
      </c>
      <c r="E9931" t="s">
        <v>237</v>
      </c>
      <c r="F9931" t="s">
        <v>670</v>
      </c>
      <c r="G9931" t="s">
        <v>59</v>
      </c>
      <c r="H9931">
        <v>2025</v>
      </c>
    </row>
    <row r="9932" spans="1:8" x14ac:dyDescent="0.2">
      <c r="A9932">
        <v>314391</v>
      </c>
      <c r="B9932">
        <v>6000</v>
      </c>
      <c r="C9932" t="str">
        <f t="shared" si="155"/>
        <v>2. $10K-50K</v>
      </c>
      <c r="D9932" t="s">
        <v>860</v>
      </c>
      <c r="E9932" t="s">
        <v>237</v>
      </c>
      <c r="F9932" t="s">
        <v>670</v>
      </c>
      <c r="G9932" t="s">
        <v>59</v>
      </c>
      <c r="H9932">
        <v>2025</v>
      </c>
    </row>
    <row r="9933" spans="1:8" x14ac:dyDescent="0.2">
      <c r="A9933">
        <v>314392</v>
      </c>
      <c r="B9933">
        <v>16695</v>
      </c>
      <c r="C9933" t="str">
        <f t="shared" si="155"/>
        <v>1. Under $10K</v>
      </c>
      <c r="D9933" t="s">
        <v>869</v>
      </c>
      <c r="E9933" t="s">
        <v>237</v>
      </c>
      <c r="F9933" t="s">
        <v>670</v>
      </c>
      <c r="G9933" t="s">
        <v>59</v>
      </c>
      <c r="H9933">
        <v>2025</v>
      </c>
    </row>
    <row r="9934" spans="1:8" x14ac:dyDescent="0.2">
      <c r="A9934">
        <v>314393</v>
      </c>
      <c r="B9934">
        <v>3500</v>
      </c>
      <c r="C9934" t="str">
        <f t="shared" si="155"/>
        <v>2. $10K-50K</v>
      </c>
      <c r="D9934" t="s">
        <v>719</v>
      </c>
      <c r="E9934" t="s">
        <v>237</v>
      </c>
      <c r="F9934" t="s">
        <v>670</v>
      </c>
      <c r="G9934" t="s">
        <v>59</v>
      </c>
      <c r="H9934">
        <v>2025</v>
      </c>
    </row>
    <row r="9935" spans="1:8" x14ac:dyDescent="0.2">
      <c r="A9935">
        <v>314394</v>
      </c>
      <c r="B9935">
        <v>6000</v>
      </c>
      <c r="C9935" t="str">
        <f t="shared" si="155"/>
        <v>1. Under $10K</v>
      </c>
      <c r="D9935" t="s">
        <v>878</v>
      </c>
      <c r="E9935" t="s">
        <v>237</v>
      </c>
      <c r="F9935" t="s">
        <v>670</v>
      </c>
      <c r="G9935" t="s">
        <v>59</v>
      </c>
      <c r="H9935">
        <v>2025</v>
      </c>
    </row>
    <row r="9936" spans="1:8" x14ac:dyDescent="0.2">
      <c r="A9936">
        <v>314395</v>
      </c>
      <c r="B9936">
        <v>5810</v>
      </c>
      <c r="C9936" t="str">
        <f t="shared" si="155"/>
        <v>1. Under $10K</v>
      </c>
      <c r="D9936" t="s">
        <v>878</v>
      </c>
      <c r="E9936" t="s">
        <v>237</v>
      </c>
      <c r="F9936" t="s">
        <v>670</v>
      </c>
      <c r="G9936" t="s">
        <v>59</v>
      </c>
      <c r="H9936">
        <v>2025</v>
      </c>
    </row>
    <row r="9937" spans="1:8" x14ac:dyDescent="0.2">
      <c r="A9937">
        <v>314396</v>
      </c>
      <c r="B9937">
        <v>5956.2</v>
      </c>
      <c r="C9937" t="str">
        <f t="shared" si="155"/>
        <v>1. Under $10K</v>
      </c>
      <c r="D9937" t="s">
        <v>867</v>
      </c>
      <c r="E9937" t="s">
        <v>237</v>
      </c>
      <c r="F9937" t="s">
        <v>670</v>
      </c>
      <c r="G9937" t="s">
        <v>59</v>
      </c>
      <c r="H9937">
        <v>2025</v>
      </c>
    </row>
    <row r="9938" spans="1:8" x14ac:dyDescent="0.2">
      <c r="A9938">
        <v>314397</v>
      </c>
      <c r="B9938">
        <v>40049</v>
      </c>
      <c r="C9938" t="str">
        <f t="shared" si="155"/>
        <v>1. Under $10K</v>
      </c>
      <c r="D9938" t="s">
        <v>980</v>
      </c>
      <c r="E9938" t="s">
        <v>237</v>
      </c>
      <c r="F9938" t="s">
        <v>670</v>
      </c>
      <c r="G9938" t="s">
        <v>59</v>
      </c>
      <c r="H9938">
        <v>2025</v>
      </c>
    </row>
    <row r="9939" spans="1:8" x14ac:dyDescent="0.2">
      <c r="A9939">
        <v>314398</v>
      </c>
      <c r="B9939">
        <v>95992</v>
      </c>
      <c r="C9939" t="str">
        <f t="shared" si="155"/>
        <v>2. $10K-50K</v>
      </c>
      <c r="D9939" t="s">
        <v>694</v>
      </c>
      <c r="E9939" t="s">
        <v>237</v>
      </c>
      <c r="F9939" t="s">
        <v>670</v>
      </c>
      <c r="G9939" t="s">
        <v>59</v>
      </c>
      <c r="H9939">
        <v>2025</v>
      </c>
    </row>
    <row r="9940" spans="1:8" x14ac:dyDescent="0.2">
      <c r="A9940">
        <v>314399</v>
      </c>
      <c r="B9940">
        <v>5832.9</v>
      </c>
      <c r="C9940" t="str">
        <f t="shared" si="155"/>
        <v>3. $50K-250K</v>
      </c>
      <c r="D9940" t="s">
        <v>711</v>
      </c>
      <c r="E9940" t="s">
        <v>237</v>
      </c>
      <c r="F9940" t="s">
        <v>670</v>
      </c>
      <c r="G9940" t="s">
        <v>59</v>
      </c>
      <c r="H9940">
        <v>2025</v>
      </c>
    </row>
    <row r="9941" spans="1:8" x14ac:dyDescent="0.2">
      <c r="A9941">
        <v>314400</v>
      </c>
      <c r="B9941">
        <v>5441</v>
      </c>
      <c r="C9941" t="str">
        <f t="shared" si="155"/>
        <v>1. Under $10K</v>
      </c>
      <c r="D9941" t="s">
        <v>879</v>
      </c>
      <c r="E9941" t="s">
        <v>237</v>
      </c>
      <c r="F9941" t="s">
        <v>670</v>
      </c>
      <c r="G9941" t="s">
        <v>59</v>
      </c>
      <c r="H9941">
        <v>2025</v>
      </c>
    </row>
    <row r="9942" spans="1:8" x14ac:dyDescent="0.2">
      <c r="A9942">
        <v>314401</v>
      </c>
      <c r="B9942">
        <v>16250</v>
      </c>
      <c r="C9942" t="str">
        <f t="shared" si="155"/>
        <v>1. Under $10K</v>
      </c>
      <c r="D9942" t="s">
        <v>872</v>
      </c>
      <c r="E9942" t="s">
        <v>237</v>
      </c>
      <c r="F9942" t="s">
        <v>670</v>
      </c>
      <c r="G9942" t="s">
        <v>59</v>
      </c>
      <c r="H9942">
        <v>2025</v>
      </c>
    </row>
    <row r="9943" spans="1:8" x14ac:dyDescent="0.2">
      <c r="A9943">
        <v>314402</v>
      </c>
      <c r="B9943">
        <v>21500</v>
      </c>
      <c r="C9943" t="str">
        <f t="shared" si="155"/>
        <v>2. $10K-50K</v>
      </c>
      <c r="D9943" t="s">
        <v>719</v>
      </c>
      <c r="E9943" t="s">
        <v>237</v>
      </c>
      <c r="F9943" t="s">
        <v>670</v>
      </c>
      <c r="G9943" t="s">
        <v>59</v>
      </c>
      <c r="H9943">
        <v>2025</v>
      </c>
    </row>
    <row r="9944" spans="1:8" x14ac:dyDescent="0.2">
      <c r="A9944">
        <v>314404</v>
      </c>
      <c r="B9944">
        <v>6000</v>
      </c>
      <c r="C9944" t="str">
        <f t="shared" si="155"/>
        <v>2. $10K-50K</v>
      </c>
      <c r="D9944" t="s">
        <v>867</v>
      </c>
      <c r="E9944" t="s">
        <v>237</v>
      </c>
      <c r="F9944" t="s">
        <v>670</v>
      </c>
      <c r="G9944" t="s">
        <v>59</v>
      </c>
      <c r="H9944">
        <v>2025</v>
      </c>
    </row>
    <row r="9945" spans="1:8" x14ac:dyDescent="0.2">
      <c r="A9945">
        <v>314405</v>
      </c>
      <c r="B9945">
        <v>6000</v>
      </c>
      <c r="C9945" t="str">
        <f t="shared" si="155"/>
        <v>1. Under $10K</v>
      </c>
      <c r="D9945" t="s">
        <v>854</v>
      </c>
      <c r="E9945" t="s">
        <v>237</v>
      </c>
      <c r="F9945" t="s">
        <v>670</v>
      </c>
      <c r="G9945" t="s">
        <v>59</v>
      </c>
      <c r="H9945">
        <v>2025</v>
      </c>
    </row>
    <row r="9946" spans="1:8" x14ac:dyDescent="0.2">
      <c r="A9946">
        <v>314406</v>
      </c>
      <c r="B9946">
        <v>19000</v>
      </c>
      <c r="C9946" t="str">
        <f t="shared" si="155"/>
        <v>1. Under $10K</v>
      </c>
      <c r="D9946" t="s">
        <v>854</v>
      </c>
      <c r="E9946" t="s">
        <v>237</v>
      </c>
      <c r="F9946" t="s">
        <v>670</v>
      </c>
      <c r="G9946" t="s">
        <v>59</v>
      </c>
      <c r="H9946">
        <v>2025</v>
      </c>
    </row>
    <row r="9947" spans="1:8" x14ac:dyDescent="0.2">
      <c r="A9947">
        <v>314407</v>
      </c>
      <c r="B9947">
        <v>5981</v>
      </c>
      <c r="C9947" t="str">
        <f t="shared" si="155"/>
        <v>2. $10K-50K</v>
      </c>
      <c r="D9947" t="s">
        <v>867</v>
      </c>
      <c r="E9947" t="s">
        <v>237</v>
      </c>
      <c r="F9947" t="s">
        <v>670</v>
      </c>
      <c r="G9947" t="s">
        <v>59</v>
      </c>
      <c r="H9947">
        <v>2025</v>
      </c>
    </row>
    <row r="9948" spans="1:8" x14ac:dyDescent="0.2">
      <c r="A9948">
        <v>314409</v>
      </c>
      <c r="B9948">
        <v>4236</v>
      </c>
      <c r="C9948" t="str">
        <f t="shared" si="155"/>
        <v>1. Under $10K</v>
      </c>
      <c r="D9948" t="s">
        <v>865</v>
      </c>
      <c r="E9948" t="s">
        <v>237</v>
      </c>
      <c r="F9948" t="s">
        <v>670</v>
      </c>
      <c r="G9948" t="s">
        <v>59</v>
      </c>
      <c r="H9948">
        <v>2025</v>
      </c>
    </row>
    <row r="9949" spans="1:8" x14ac:dyDescent="0.2">
      <c r="A9949">
        <v>314410</v>
      </c>
      <c r="B9949">
        <v>1036.7</v>
      </c>
      <c r="C9949" t="str">
        <f t="shared" si="155"/>
        <v>1. Under $10K</v>
      </c>
      <c r="D9949" t="s">
        <v>870</v>
      </c>
      <c r="E9949" t="s">
        <v>237</v>
      </c>
      <c r="F9949" t="s">
        <v>670</v>
      </c>
      <c r="G9949" t="s">
        <v>59</v>
      </c>
      <c r="H9949">
        <v>2025</v>
      </c>
    </row>
    <row r="9950" spans="1:8" x14ac:dyDescent="0.2">
      <c r="A9950">
        <v>314412</v>
      </c>
      <c r="B9950">
        <v>18300</v>
      </c>
      <c r="C9950" t="str">
        <f t="shared" si="155"/>
        <v>1. Under $10K</v>
      </c>
      <c r="D9950" t="s">
        <v>864</v>
      </c>
      <c r="E9950" t="s">
        <v>237</v>
      </c>
      <c r="F9950" t="s">
        <v>670</v>
      </c>
      <c r="G9950" t="s">
        <v>59</v>
      </c>
      <c r="H9950">
        <v>2025</v>
      </c>
    </row>
    <row r="9951" spans="1:8" x14ac:dyDescent="0.2">
      <c r="A9951">
        <v>314415</v>
      </c>
      <c r="B9951">
        <v>23404</v>
      </c>
      <c r="C9951" t="str">
        <f t="shared" si="155"/>
        <v>2. $10K-50K</v>
      </c>
      <c r="D9951" t="s">
        <v>870</v>
      </c>
      <c r="E9951" t="s">
        <v>237</v>
      </c>
      <c r="F9951" t="s">
        <v>670</v>
      </c>
      <c r="G9951" t="s">
        <v>59</v>
      </c>
      <c r="H9951">
        <v>2025</v>
      </c>
    </row>
    <row r="9952" spans="1:8" x14ac:dyDescent="0.2">
      <c r="A9952">
        <v>314418</v>
      </c>
      <c r="B9952">
        <v>5968</v>
      </c>
      <c r="C9952" t="str">
        <f t="shared" si="155"/>
        <v>2. $10K-50K</v>
      </c>
      <c r="D9952" t="s">
        <v>871</v>
      </c>
      <c r="E9952" t="s">
        <v>237</v>
      </c>
      <c r="F9952" t="s">
        <v>670</v>
      </c>
      <c r="G9952" t="s">
        <v>59</v>
      </c>
      <c r="H9952">
        <v>2025</v>
      </c>
    </row>
    <row r="9953" spans="1:8" x14ac:dyDescent="0.2">
      <c r="A9953">
        <v>314421</v>
      </c>
      <c r="B9953">
        <v>6000</v>
      </c>
      <c r="C9953" t="str">
        <f t="shared" si="155"/>
        <v>1. Under $10K</v>
      </c>
      <c r="D9953" t="s">
        <v>711</v>
      </c>
      <c r="E9953" t="s">
        <v>237</v>
      </c>
      <c r="F9953" t="s">
        <v>670</v>
      </c>
      <c r="G9953" t="s">
        <v>59</v>
      </c>
      <c r="H9953">
        <v>2025</v>
      </c>
    </row>
    <row r="9954" spans="1:8" x14ac:dyDescent="0.2">
      <c r="A9954">
        <v>314572</v>
      </c>
      <c r="B9954">
        <v>4716640</v>
      </c>
      <c r="C9954" t="str">
        <f t="shared" si="155"/>
        <v>1. Under $10K</v>
      </c>
      <c r="D9954" t="s">
        <v>1073</v>
      </c>
      <c r="E9954" t="s">
        <v>237</v>
      </c>
      <c r="F9954" t="s">
        <v>670</v>
      </c>
      <c r="G9954" t="s">
        <v>59</v>
      </c>
      <c r="H9954">
        <v>2025</v>
      </c>
    </row>
    <row r="9955" spans="1:8" x14ac:dyDescent="0.2">
      <c r="A9955">
        <v>314585</v>
      </c>
      <c r="B9955">
        <v>400000</v>
      </c>
      <c r="C9955" t="str">
        <f t="shared" si="155"/>
        <v>5. $1M+</v>
      </c>
      <c r="D9955" t="s">
        <v>889</v>
      </c>
      <c r="E9955" t="s">
        <v>237</v>
      </c>
      <c r="F9955" t="s">
        <v>670</v>
      </c>
      <c r="G9955" t="s">
        <v>59</v>
      </c>
      <c r="H9955">
        <v>2025</v>
      </c>
    </row>
    <row r="9956" spans="1:8" x14ac:dyDescent="0.2">
      <c r="A9956">
        <v>314590</v>
      </c>
      <c r="B9956">
        <v>150000</v>
      </c>
      <c r="C9956" t="str">
        <f t="shared" si="155"/>
        <v>4. $250K-1M</v>
      </c>
      <c r="D9956" t="s">
        <v>792</v>
      </c>
      <c r="E9956" t="s">
        <v>237</v>
      </c>
      <c r="F9956" t="s">
        <v>670</v>
      </c>
      <c r="G9956" t="s">
        <v>59</v>
      </c>
      <c r="H9956">
        <v>2025</v>
      </c>
    </row>
    <row r="9957" spans="1:8" x14ac:dyDescent="0.2">
      <c r="A9957">
        <v>314784</v>
      </c>
      <c r="B9957">
        <v>184501</v>
      </c>
      <c r="C9957" t="str">
        <f t="shared" si="155"/>
        <v>3. $50K-250K</v>
      </c>
      <c r="D9957" t="s">
        <v>691</v>
      </c>
      <c r="E9957" t="s">
        <v>42</v>
      </c>
      <c r="F9957" t="s">
        <v>670</v>
      </c>
      <c r="G9957" t="s">
        <v>59</v>
      </c>
      <c r="H9957">
        <v>2025</v>
      </c>
    </row>
    <row r="9958" spans="1:8" x14ac:dyDescent="0.2">
      <c r="A9958">
        <v>314943</v>
      </c>
      <c r="B9958">
        <v>5999</v>
      </c>
      <c r="C9958" t="str">
        <f t="shared" si="155"/>
        <v>3. $50K-250K</v>
      </c>
      <c r="D9958" t="s">
        <v>864</v>
      </c>
      <c r="E9958" t="s">
        <v>237</v>
      </c>
      <c r="F9958" t="s">
        <v>670</v>
      </c>
      <c r="G9958" t="s">
        <v>59</v>
      </c>
      <c r="H9958">
        <v>2025</v>
      </c>
    </row>
    <row r="9959" spans="1:8" x14ac:dyDescent="0.2">
      <c r="A9959">
        <v>315185</v>
      </c>
      <c r="B9959">
        <v>13500</v>
      </c>
      <c r="C9959" t="str">
        <f t="shared" si="155"/>
        <v>1. Under $10K</v>
      </c>
      <c r="D9959" t="s">
        <v>865</v>
      </c>
      <c r="E9959" t="s">
        <v>237</v>
      </c>
      <c r="F9959" t="s">
        <v>670</v>
      </c>
      <c r="G9959" t="s">
        <v>59</v>
      </c>
      <c r="H9959">
        <v>2025</v>
      </c>
    </row>
    <row r="9960" spans="1:8" x14ac:dyDescent="0.2">
      <c r="A9960">
        <v>315186</v>
      </c>
      <c r="B9960">
        <v>23998</v>
      </c>
      <c r="C9960" t="str">
        <f t="shared" si="155"/>
        <v>2. $10K-50K</v>
      </c>
      <c r="D9960" t="s">
        <v>821</v>
      </c>
      <c r="E9960" t="s">
        <v>237</v>
      </c>
      <c r="F9960" t="s">
        <v>670</v>
      </c>
      <c r="G9960" t="s">
        <v>59</v>
      </c>
      <c r="H9960">
        <v>2025</v>
      </c>
    </row>
    <row r="9961" spans="1:8" x14ac:dyDescent="0.2">
      <c r="A9961">
        <v>315191</v>
      </c>
      <c r="B9961">
        <v>47996</v>
      </c>
      <c r="C9961" t="str">
        <f t="shared" si="155"/>
        <v>2. $10K-50K</v>
      </c>
      <c r="D9961" t="s">
        <v>2554</v>
      </c>
      <c r="E9961" t="s">
        <v>237</v>
      </c>
      <c r="F9961" t="s">
        <v>670</v>
      </c>
      <c r="G9961" t="s">
        <v>59</v>
      </c>
      <c r="H9961">
        <v>2025</v>
      </c>
    </row>
    <row r="9962" spans="1:8" x14ac:dyDescent="0.2">
      <c r="A9962">
        <v>315193</v>
      </c>
      <c r="B9962">
        <v>47996</v>
      </c>
      <c r="C9962" t="str">
        <f t="shared" si="155"/>
        <v>2. $10K-50K</v>
      </c>
      <c r="D9962" t="s">
        <v>1074</v>
      </c>
      <c r="E9962" t="s">
        <v>237</v>
      </c>
      <c r="F9962" t="s">
        <v>670</v>
      </c>
      <c r="G9962" t="s">
        <v>59</v>
      </c>
      <c r="H9962">
        <v>2025</v>
      </c>
    </row>
    <row r="9963" spans="1:8" x14ac:dyDescent="0.2">
      <c r="A9963">
        <v>315206</v>
      </c>
      <c r="B9963">
        <v>272683</v>
      </c>
      <c r="C9963" t="str">
        <f t="shared" si="155"/>
        <v>2. $10K-50K</v>
      </c>
      <c r="D9963" t="s">
        <v>2546</v>
      </c>
      <c r="E9963" t="s">
        <v>237</v>
      </c>
      <c r="F9963" t="s">
        <v>670</v>
      </c>
      <c r="G9963" t="s">
        <v>59</v>
      </c>
      <c r="H9963">
        <v>2025</v>
      </c>
    </row>
    <row r="9964" spans="1:8" x14ac:dyDescent="0.2">
      <c r="A9964">
        <v>315359</v>
      </c>
      <c r="B9964">
        <v>2676500</v>
      </c>
      <c r="C9964" t="str">
        <f t="shared" si="155"/>
        <v>4. $250K-1M</v>
      </c>
      <c r="D9964" t="s">
        <v>711</v>
      </c>
      <c r="E9964" t="s">
        <v>237</v>
      </c>
      <c r="F9964" t="s">
        <v>670</v>
      </c>
      <c r="G9964" t="s">
        <v>59</v>
      </c>
      <c r="H9964">
        <v>2025</v>
      </c>
    </row>
    <row r="9965" spans="1:8" x14ac:dyDescent="0.2">
      <c r="A9965">
        <v>315362</v>
      </c>
      <c r="B9965">
        <v>16779</v>
      </c>
      <c r="C9965" t="str">
        <f t="shared" si="155"/>
        <v>5. $1M+</v>
      </c>
      <c r="D9965" t="s">
        <v>938</v>
      </c>
      <c r="E9965" t="s">
        <v>237</v>
      </c>
      <c r="F9965" t="s">
        <v>670</v>
      </c>
      <c r="G9965" t="s">
        <v>59</v>
      </c>
      <c r="H9965">
        <v>2025</v>
      </c>
    </row>
    <row r="9966" spans="1:8" x14ac:dyDescent="0.2">
      <c r="A9966">
        <v>315363</v>
      </c>
      <c r="B9966">
        <v>34116.9</v>
      </c>
      <c r="C9966" t="str">
        <f t="shared" si="155"/>
        <v>2. $10K-50K</v>
      </c>
      <c r="D9966" t="s">
        <v>942</v>
      </c>
      <c r="E9966" t="s">
        <v>237</v>
      </c>
      <c r="F9966" t="s">
        <v>670</v>
      </c>
      <c r="G9966" t="s">
        <v>59</v>
      </c>
      <c r="H9966">
        <v>2025</v>
      </c>
    </row>
    <row r="9967" spans="1:8" x14ac:dyDescent="0.2">
      <c r="A9967">
        <v>315364</v>
      </c>
      <c r="B9967">
        <v>215982</v>
      </c>
      <c r="C9967" t="str">
        <f t="shared" si="155"/>
        <v>2. $10K-50K</v>
      </c>
      <c r="D9967" t="s">
        <v>799</v>
      </c>
      <c r="E9967" t="s">
        <v>237</v>
      </c>
      <c r="F9967" t="s">
        <v>670</v>
      </c>
      <c r="G9967" t="s">
        <v>59</v>
      </c>
      <c r="H9967">
        <v>2025</v>
      </c>
    </row>
    <row r="9968" spans="1:8" x14ac:dyDescent="0.2">
      <c r="A9968">
        <v>315366</v>
      </c>
      <c r="B9968">
        <v>263978</v>
      </c>
      <c r="C9968" t="str">
        <f t="shared" si="155"/>
        <v>3. $50K-250K</v>
      </c>
      <c r="D9968" t="s">
        <v>799</v>
      </c>
      <c r="E9968" t="s">
        <v>237</v>
      </c>
      <c r="F9968" t="s">
        <v>670</v>
      </c>
      <c r="G9968" t="s">
        <v>59</v>
      </c>
      <c r="H9968">
        <v>2025</v>
      </c>
    </row>
    <row r="9969" spans="1:8" x14ac:dyDescent="0.2">
      <c r="A9969">
        <v>315368</v>
      </c>
      <c r="B9969">
        <v>71994</v>
      </c>
      <c r="C9969" t="str">
        <f t="shared" si="155"/>
        <v>4. $250K-1M</v>
      </c>
      <c r="D9969" t="s">
        <v>985</v>
      </c>
      <c r="E9969" t="s">
        <v>237</v>
      </c>
      <c r="F9969" t="s">
        <v>670</v>
      </c>
      <c r="G9969" t="s">
        <v>59</v>
      </c>
      <c r="H9969">
        <v>2025</v>
      </c>
    </row>
    <row r="9970" spans="1:8" x14ac:dyDescent="0.2">
      <c r="A9970">
        <v>315370</v>
      </c>
      <c r="B9970">
        <v>1130725</v>
      </c>
      <c r="C9970" t="str">
        <f t="shared" si="155"/>
        <v>3. $50K-250K</v>
      </c>
      <c r="D9970" t="s">
        <v>671</v>
      </c>
      <c r="E9970" t="s">
        <v>237</v>
      </c>
      <c r="F9970" t="s">
        <v>670</v>
      </c>
      <c r="G9970" t="s">
        <v>59</v>
      </c>
      <c r="H9970">
        <v>2025</v>
      </c>
    </row>
    <row r="9971" spans="1:8" x14ac:dyDescent="0.2">
      <c r="A9971">
        <v>315373</v>
      </c>
      <c r="B9971">
        <v>6000</v>
      </c>
      <c r="C9971" t="str">
        <f t="shared" si="155"/>
        <v>5. $1M+</v>
      </c>
      <c r="D9971" t="s">
        <v>873</v>
      </c>
      <c r="E9971" t="s">
        <v>237</v>
      </c>
      <c r="F9971" t="s">
        <v>670</v>
      </c>
      <c r="G9971" t="s">
        <v>59</v>
      </c>
      <c r="H9971">
        <v>2025</v>
      </c>
    </row>
    <row r="9972" spans="1:8" x14ac:dyDescent="0.2">
      <c r="A9972">
        <v>315374</v>
      </c>
      <c r="B9972">
        <v>47996</v>
      </c>
      <c r="C9972" t="str">
        <f t="shared" si="155"/>
        <v>1. Under $10K</v>
      </c>
      <c r="D9972" t="s">
        <v>821</v>
      </c>
      <c r="E9972" t="s">
        <v>237</v>
      </c>
      <c r="F9972" t="s">
        <v>670</v>
      </c>
      <c r="G9972" t="s">
        <v>59</v>
      </c>
      <c r="H9972">
        <v>2025</v>
      </c>
    </row>
    <row r="9973" spans="1:8" x14ac:dyDescent="0.2">
      <c r="A9973">
        <v>315382</v>
      </c>
      <c r="B9973">
        <v>10564.1</v>
      </c>
      <c r="C9973" t="str">
        <f t="shared" si="155"/>
        <v>2. $10K-50K</v>
      </c>
      <c r="D9973" t="s">
        <v>230</v>
      </c>
      <c r="E9973" t="s">
        <v>67</v>
      </c>
      <c r="F9973" t="s">
        <v>231</v>
      </c>
      <c r="G9973" t="s">
        <v>232</v>
      </c>
      <c r="H9973">
        <v>2025</v>
      </c>
    </row>
    <row r="9974" spans="1:8" x14ac:dyDescent="0.2">
      <c r="A9974">
        <v>315671</v>
      </c>
      <c r="B9974">
        <v>296748</v>
      </c>
      <c r="C9974" t="str">
        <f t="shared" si="155"/>
        <v>2. $10K-50K</v>
      </c>
      <c r="D9974" t="s">
        <v>942</v>
      </c>
      <c r="E9974" t="s">
        <v>99</v>
      </c>
      <c r="F9974" t="s">
        <v>668</v>
      </c>
      <c r="G9974" t="s">
        <v>59</v>
      </c>
      <c r="H9974">
        <v>2025</v>
      </c>
    </row>
    <row r="9975" spans="1:8" x14ac:dyDescent="0.2">
      <c r="A9975">
        <v>315673</v>
      </c>
      <c r="B9975">
        <v>50000</v>
      </c>
      <c r="C9975" t="str">
        <f t="shared" si="155"/>
        <v>4. $250K-1M</v>
      </c>
      <c r="D9975" t="s">
        <v>2576</v>
      </c>
      <c r="E9975" t="s">
        <v>112</v>
      </c>
      <c r="F9975" t="s">
        <v>668</v>
      </c>
      <c r="G9975" t="s">
        <v>59</v>
      </c>
      <c r="H9975">
        <v>2025</v>
      </c>
    </row>
    <row r="9976" spans="1:8" x14ac:dyDescent="0.2">
      <c r="A9976">
        <v>315688</v>
      </c>
      <c r="B9976">
        <v>15000000</v>
      </c>
      <c r="C9976" t="str">
        <f t="shared" si="155"/>
        <v>3. $50K-250K</v>
      </c>
      <c r="D9976" t="s">
        <v>872</v>
      </c>
      <c r="E9976" t="s">
        <v>99</v>
      </c>
      <c r="F9976" t="s">
        <v>668</v>
      </c>
      <c r="G9976" t="s">
        <v>59</v>
      </c>
      <c r="H9976">
        <v>2025</v>
      </c>
    </row>
    <row r="9977" spans="1:8" x14ac:dyDescent="0.2">
      <c r="A9977">
        <v>315693</v>
      </c>
      <c r="B9977">
        <v>250000</v>
      </c>
      <c r="C9977" t="str">
        <f t="shared" si="155"/>
        <v>5. $1M+</v>
      </c>
      <c r="D9977" t="s">
        <v>2577</v>
      </c>
      <c r="E9977" t="s">
        <v>99</v>
      </c>
      <c r="F9977" t="s">
        <v>668</v>
      </c>
      <c r="G9977" t="s">
        <v>59</v>
      </c>
      <c r="H9977">
        <v>2025</v>
      </c>
    </row>
    <row r="9978" spans="1:8" x14ac:dyDescent="0.2">
      <c r="A9978">
        <v>315696</v>
      </c>
      <c r="B9978">
        <v>10106</v>
      </c>
      <c r="C9978" t="str">
        <f t="shared" si="155"/>
        <v>4. $250K-1M</v>
      </c>
      <c r="D9978" t="s">
        <v>1387</v>
      </c>
      <c r="E9978" t="s">
        <v>99</v>
      </c>
      <c r="F9978" t="s">
        <v>668</v>
      </c>
      <c r="G9978" t="s">
        <v>59</v>
      </c>
      <c r="H9978">
        <v>2025</v>
      </c>
    </row>
    <row r="9979" spans="1:8" x14ac:dyDescent="0.2">
      <c r="A9979">
        <v>315702</v>
      </c>
      <c r="B9979">
        <v>250000</v>
      </c>
      <c r="C9979" t="str">
        <f t="shared" si="155"/>
        <v>2. $10K-50K</v>
      </c>
      <c r="D9979" t="s">
        <v>1017</v>
      </c>
      <c r="E9979" t="s">
        <v>112</v>
      </c>
      <c r="F9979" t="s">
        <v>668</v>
      </c>
      <c r="G9979" t="s">
        <v>59</v>
      </c>
      <c r="H9979">
        <v>2025</v>
      </c>
    </row>
    <row r="9980" spans="1:8" x14ac:dyDescent="0.2">
      <c r="A9980">
        <v>315725</v>
      </c>
      <c r="B9980">
        <v>528769.5</v>
      </c>
      <c r="C9980" t="str">
        <f t="shared" si="155"/>
        <v>4. $250K-1M</v>
      </c>
      <c r="D9980" t="s">
        <v>230</v>
      </c>
      <c r="E9980" t="s">
        <v>67</v>
      </c>
      <c r="F9980" t="s">
        <v>231</v>
      </c>
      <c r="G9980" t="s">
        <v>232</v>
      </c>
      <c r="H9980">
        <v>2025</v>
      </c>
    </row>
    <row r="9981" spans="1:8" x14ac:dyDescent="0.2">
      <c r="A9981">
        <v>315731</v>
      </c>
      <c r="B9981">
        <v>215623.9</v>
      </c>
      <c r="C9981" t="str">
        <f t="shared" si="155"/>
        <v>4. $250K-1M</v>
      </c>
      <c r="D9981" t="s">
        <v>230</v>
      </c>
      <c r="E9981" t="s">
        <v>67</v>
      </c>
      <c r="F9981" t="s">
        <v>231</v>
      </c>
      <c r="G9981" t="s">
        <v>232</v>
      </c>
      <c r="H9981">
        <v>2025</v>
      </c>
    </row>
    <row r="9982" spans="1:8" x14ac:dyDescent="0.2">
      <c r="A9982">
        <v>315768</v>
      </c>
      <c r="B9982">
        <v>861126</v>
      </c>
      <c r="C9982" t="str">
        <f t="shared" si="155"/>
        <v>3. $50K-250K</v>
      </c>
      <c r="D9982" t="s">
        <v>669</v>
      </c>
      <c r="E9982" t="s">
        <v>42</v>
      </c>
      <c r="F9982" t="s">
        <v>670</v>
      </c>
      <c r="G9982" t="s">
        <v>59</v>
      </c>
      <c r="H9982">
        <v>2025</v>
      </c>
    </row>
    <row r="9983" spans="1:8" x14ac:dyDescent="0.2">
      <c r="A9983">
        <v>315776</v>
      </c>
      <c r="B9983">
        <v>230867</v>
      </c>
      <c r="C9983" t="str">
        <f t="shared" si="155"/>
        <v>4. $250K-1M</v>
      </c>
      <c r="D9983" t="s">
        <v>1110</v>
      </c>
      <c r="E9983" t="s">
        <v>237</v>
      </c>
      <c r="F9983" t="s">
        <v>670</v>
      </c>
      <c r="G9983" t="s">
        <v>59</v>
      </c>
      <c r="H9983">
        <v>2025</v>
      </c>
    </row>
    <row r="9984" spans="1:8" x14ac:dyDescent="0.2">
      <c r="A9984">
        <v>315781</v>
      </c>
      <c r="B9984">
        <v>230867</v>
      </c>
      <c r="C9984" t="str">
        <f t="shared" si="155"/>
        <v>3. $50K-250K</v>
      </c>
      <c r="D9984" t="s">
        <v>1478</v>
      </c>
      <c r="E9984" t="s">
        <v>237</v>
      </c>
      <c r="F9984" t="s">
        <v>670</v>
      </c>
      <c r="G9984" t="s">
        <v>59</v>
      </c>
      <c r="H9984">
        <v>2025</v>
      </c>
    </row>
    <row r="9985" spans="1:8" x14ac:dyDescent="0.2">
      <c r="A9985">
        <v>315782</v>
      </c>
      <c r="B9985">
        <v>153911</v>
      </c>
      <c r="C9985" t="str">
        <f t="shared" si="155"/>
        <v>3. $50K-250K</v>
      </c>
      <c r="D9985" t="s">
        <v>1478</v>
      </c>
      <c r="E9985" t="s">
        <v>237</v>
      </c>
      <c r="F9985" t="s">
        <v>670</v>
      </c>
      <c r="G9985" t="s">
        <v>59</v>
      </c>
      <c r="H9985">
        <v>2025</v>
      </c>
    </row>
    <row r="9986" spans="1:8" x14ac:dyDescent="0.2">
      <c r="A9986">
        <v>31581</v>
      </c>
      <c r="B9986">
        <v>6898152.5999999996</v>
      </c>
      <c r="C9986" t="str">
        <f t="shared" si="155"/>
        <v>3. $50K-250K</v>
      </c>
      <c r="D9986" t="s">
        <v>2578</v>
      </c>
      <c r="E9986" t="s">
        <v>28</v>
      </c>
      <c r="F9986" t="s">
        <v>668</v>
      </c>
      <c r="G9986" t="s">
        <v>59</v>
      </c>
      <c r="H9986">
        <v>2023</v>
      </c>
    </row>
    <row r="9987" spans="1:8" x14ac:dyDescent="0.2">
      <c r="A9987">
        <v>315939</v>
      </c>
      <c r="B9987">
        <v>133836</v>
      </c>
      <c r="C9987" t="str">
        <f t="shared" ref="C9987:C10050" si="156">IF(B9986&lt;10000,"1. Under $10K",IF(B9986&lt;50000,"2. $10K-50K",IF(B9986&lt;250000,"3. $50K-250K",IF(B9986&lt;1000000,"4. $250K-1M","5. $1M+"))))</f>
        <v>5. $1M+</v>
      </c>
      <c r="D9987" t="s">
        <v>990</v>
      </c>
      <c r="E9987" t="s">
        <v>237</v>
      </c>
      <c r="F9987" t="s">
        <v>670</v>
      </c>
      <c r="G9987" t="s">
        <v>59</v>
      </c>
      <c r="H9987">
        <v>2025</v>
      </c>
    </row>
    <row r="9988" spans="1:8" x14ac:dyDescent="0.2">
      <c r="A9988">
        <v>315945</v>
      </c>
      <c r="B9988">
        <v>153911</v>
      </c>
      <c r="C9988" t="str">
        <f t="shared" si="156"/>
        <v>3. $50K-250K</v>
      </c>
      <c r="D9988" t="s">
        <v>1084</v>
      </c>
      <c r="E9988" t="s">
        <v>237</v>
      </c>
      <c r="F9988" t="s">
        <v>670</v>
      </c>
      <c r="G9988" t="s">
        <v>59</v>
      </c>
      <c r="H9988">
        <v>2025</v>
      </c>
    </row>
    <row r="9989" spans="1:8" x14ac:dyDescent="0.2">
      <c r="A9989">
        <v>315946</v>
      </c>
      <c r="B9989">
        <v>615644</v>
      </c>
      <c r="C9989" t="str">
        <f t="shared" si="156"/>
        <v>3. $50K-250K</v>
      </c>
      <c r="D9989" t="s">
        <v>925</v>
      </c>
      <c r="E9989" t="s">
        <v>237</v>
      </c>
      <c r="F9989" t="s">
        <v>670</v>
      </c>
      <c r="G9989" t="s">
        <v>59</v>
      </c>
      <c r="H9989">
        <v>2025</v>
      </c>
    </row>
    <row r="9990" spans="1:8" x14ac:dyDescent="0.2">
      <c r="A9990">
        <v>315947</v>
      </c>
      <c r="B9990">
        <v>769555</v>
      </c>
      <c r="C9990" t="str">
        <f t="shared" si="156"/>
        <v>4. $250K-1M</v>
      </c>
      <c r="D9990" t="s">
        <v>781</v>
      </c>
      <c r="E9990" t="s">
        <v>237</v>
      </c>
      <c r="F9990" t="s">
        <v>670</v>
      </c>
      <c r="G9990" t="s">
        <v>59</v>
      </c>
      <c r="H9990">
        <v>2025</v>
      </c>
    </row>
    <row r="9991" spans="1:8" x14ac:dyDescent="0.2">
      <c r="A9991">
        <v>315948</v>
      </c>
      <c r="B9991">
        <v>692600</v>
      </c>
      <c r="C9991" t="str">
        <f t="shared" si="156"/>
        <v>4. $250K-1M</v>
      </c>
      <c r="D9991" t="s">
        <v>762</v>
      </c>
      <c r="E9991" t="s">
        <v>237</v>
      </c>
      <c r="F9991" t="s">
        <v>670</v>
      </c>
      <c r="G9991" t="s">
        <v>59</v>
      </c>
      <c r="H9991">
        <v>2025</v>
      </c>
    </row>
    <row r="9992" spans="1:8" x14ac:dyDescent="0.2">
      <c r="A9992">
        <v>315951</v>
      </c>
      <c r="B9992">
        <v>230867</v>
      </c>
      <c r="C9992" t="str">
        <f t="shared" si="156"/>
        <v>4. $250K-1M</v>
      </c>
      <c r="D9992" t="s">
        <v>763</v>
      </c>
      <c r="E9992" t="s">
        <v>237</v>
      </c>
      <c r="F9992" t="s">
        <v>670</v>
      </c>
      <c r="G9992" t="s">
        <v>59</v>
      </c>
      <c r="H9992">
        <v>2025</v>
      </c>
    </row>
    <row r="9993" spans="1:8" x14ac:dyDescent="0.2">
      <c r="A9993">
        <v>315978</v>
      </c>
      <c r="B9993">
        <v>29584.5</v>
      </c>
      <c r="C9993" t="str">
        <f t="shared" si="156"/>
        <v>3. $50K-250K</v>
      </c>
      <c r="D9993" t="s">
        <v>1033</v>
      </c>
      <c r="E9993" t="s">
        <v>42</v>
      </c>
      <c r="F9993" t="s">
        <v>670</v>
      </c>
      <c r="G9993" t="s">
        <v>59</v>
      </c>
      <c r="H9993">
        <v>2025</v>
      </c>
    </row>
    <row r="9994" spans="1:8" x14ac:dyDescent="0.2">
      <c r="A9994">
        <v>316070</v>
      </c>
      <c r="B9994">
        <v>12467000</v>
      </c>
      <c r="C9994" t="str">
        <f t="shared" si="156"/>
        <v>2. $10K-50K</v>
      </c>
      <c r="D9994" t="s">
        <v>2155</v>
      </c>
      <c r="E9994" t="s">
        <v>237</v>
      </c>
      <c r="F9994" t="s">
        <v>670</v>
      </c>
      <c r="G9994" t="s">
        <v>59</v>
      </c>
      <c r="H9994">
        <v>2025</v>
      </c>
    </row>
    <row r="9995" spans="1:8" x14ac:dyDescent="0.2">
      <c r="A9995">
        <v>316159</v>
      </c>
      <c r="B9995">
        <v>64280</v>
      </c>
      <c r="C9995" t="str">
        <f t="shared" si="156"/>
        <v>5. $1M+</v>
      </c>
      <c r="D9995" t="s">
        <v>1746</v>
      </c>
      <c r="E9995" t="s">
        <v>112</v>
      </c>
      <c r="F9995" t="s">
        <v>668</v>
      </c>
      <c r="G9995" t="s">
        <v>59</v>
      </c>
      <c r="H9995">
        <v>2025</v>
      </c>
    </row>
    <row r="9996" spans="1:8" x14ac:dyDescent="0.2">
      <c r="A9996">
        <v>316162</v>
      </c>
      <c r="B9996">
        <v>7900</v>
      </c>
      <c r="C9996" t="str">
        <f t="shared" si="156"/>
        <v>3. $50K-250K</v>
      </c>
      <c r="D9996" t="s">
        <v>1329</v>
      </c>
      <c r="E9996" t="s">
        <v>112</v>
      </c>
      <c r="F9996" t="s">
        <v>668</v>
      </c>
      <c r="G9996" t="s">
        <v>59</v>
      </c>
      <c r="H9996">
        <v>2025</v>
      </c>
    </row>
    <row r="9997" spans="1:8" x14ac:dyDescent="0.2">
      <c r="A9997">
        <v>316164</v>
      </c>
      <c r="B9997">
        <v>10000</v>
      </c>
      <c r="C9997" t="str">
        <f t="shared" si="156"/>
        <v>1. Under $10K</v>
      </c>
      <c r="D9997" t="s">
        <v>2579</v>
      </c>
      <c r="E9997" t="s">
        <v>112</v>
      </c>
      <c r="F9997" t="s">
        <v>668</v>
      </c>
      <c r="G9997" t="s">
        <v>59</v>
      </c>
      <c r="H9997">
        <v>2025</v>
      </c>
    </row>
    <row r="9998" spans="1:8" x14ac:dyDescent="0.2">
      <c r="A9998">
        <v>316167</v>
      </c>
      <c r="B9998">
        <v>22253000</v>
      </c>
      <c r="C9998" t="str">
        <f t="shared" si="156"/>
        <v>2. $10K-50K</v>
      </c>
      <c r="D9998" t="s">
        <v>986</v>
      </c>
      <c r="E9998" t="s">
        <v>237</v>
      </c>
      <c r="F9998" t="s">
        <v>670</v>
      </c>
      <c r="G9998" t="s">
        <v>59</v>
      </c>
      <c r="H9998">
        <v>2025</v>
      </c>
    </row>
    <row r="9999" spans="1:8" x14ac:dyDescent="0.2">
      <c r="A9999">
        <v>316173</v>
      </c>
      <c r="B9999">
        <v>669180</v>
      </c>
      <c r="C9999" t="str">
        <f t="shared" si="156"/>
        <v>5. $1M+</v>
      </c>
      <c r="D9999" t="s">
        <v>980</v>
      </c>
      <c r="E9999" t="s">
        <v>237</v>
      </c>
      <c r="F9999" t="s">
        <v>670</v>
      </c>
      <c r="G9999" t="s">
        <v>59</v>
      </c>
      <c r="H9999">
        <v>2025</v>
      </c>
    </row>
    <row r="10000" spans="1:8" x14ac:dyDescent="0.2">
      <c r="A10000">
        <v>316209</v>
      </c>
      <c r="B10000">
        <v>461733</v>
      </c>
      <c r="C10000" t="str">
        <f t="shared" si="156"/>
        <v>4. $250K-1M</v>
      </c>
      <c r="D10000" t="s">
        <v>984</v>
      </c>
      <c r="E10000" t="s">
        <v>237</v>
      </c>
      <c r="F10000" t="s">
        <v>670</v>
      </c>
      <c r="G10000" t="s">
        <v>59</v>
      </c>
      <c r="H10000">
        <v>2025</v>
      </c>
    </row>
    <row r="10001" spans="1:8" x14ac:dyDescent="0.2">
      <c r="A10001">
        <v>316210</v>
      </c>
      <c r="B10001">
        <v>153911</v>
      </c>
      <c r="C10001" t="str">
        <f t="shared" si="156"/>
        <v>4. $250K-1M</v>
      </c>
      <c r="D10001" t="s">
        <v>804</v>
      </c>
      <c r="E10001" t="s">
        <v>237</v>
      </c>
      <c r="F10001" t="s">
        <v>670</v>
      </c>
      <c r="G10001" t="s">
        <v>59</v>
      </c>
      <c r="H10001">
        <v>2025</v>
      </c>
    </row>
    <row r="10002" spans="1:8" x14ac:dyDescent="0.2">
      <c r="A10002">
        <v>316211</v>
      </c>
      <c r="B10002">
        <v>153911</v>
      </c>
      <c r="C10002" t="str">
        <f t="shared" si="156"/>
        <v>3. $50K-250K</v>
      </c>
      <c r="D10002" t="s">
        <v>804</v>
      </c>
      <c r="E10002" t="s">
        <v>237</v>
      </c>
      <c r="F10002" t="s">
        <v>670</v>
      </c>
      <c r="G10002" t="s">
        <v>59</v>
      </c>
      <c r="H10002">
        <v>2025</v>
      </c>
    </row>
    <row r="10003" spans="1:8" x14ac:dyDescent="0.2">
      <c r="A10003">
        <v>316212</v>
      </c>
      <c r="B10003">
        <v>280079</v>
      </c>
      <c r="C10003" t="str">
        <f t="shared" si="156"/>
        <v>3. $50K-250K</v>
      </c>
      <c r="D10003" t="s">
        <v>1022</v>
      </c>
      <c r="E10003" t="s">
        <v>42</v>
      </c>
      <c r="F10003" t="s">
        <v>670</v>
      </c>
      <c r="G10003" t="s">
        <v>44</v>
      </c>
      <c r="H10003">
        <v>2025</v>
      </c>
    </row>
    <row r="10004" spans="1:8" x14ac:dyDescent="0.2">
      <c r="A10004">
        <v>316213</v>
      </c>
      <c r="B10004">
        <v>221115</v>
      </c>
      <c r="C10004" t="str">
        <f t="shared" si="156"/>
        <v>4. $250K-1M</v>
      </c>
      <c r="D10004" t="s">
        <v>703</v>
      </c>
      <c r="E10004" t="s">
        <v>42</v>
      </c>
      <c r="F10004" t="s">
        <v>670</v>
      </c>
      <c r="G10004" t="s">
        <v>44</v>
      </c>
      <c r="H10004">
        <v>2025</v>
      </c>
    </row>
    <row r="10005" spans="1:8" x14ac:dyDescent="0.2">
      <c r="A10005">
        <v>316214</v>
      </c>
      <c r="B10005">
        <v>235856</v>
      </c>
      <c r="C10005" t="str">
        <f t="shared" si="156"/>
        <v>3. $50K-250K</v>
      </c>
      <c r="D10005" t="s">
        <v>1002</v>
      </c>
      <c r="E10005" t="s">
        <v>42</v>
      </c>
      <c r="F10005" t="s">
        <v>670</v>
      </c>
      <c r="G10005" t="s">
        <v>44</v>
      </c>
      <c r="H10005">
        <v>2025</v>
      </c>
    </row>
    <row r="10006" spans="1:8" x14ac:dyDescent="0.2">
      <c r="A10006">
        <v>316215</v>
      </c>
      <c r="B10006">
        <v>324302</v>
      </c>
      <c r="C10006" t="str">
        <f t="shared" si="156"/>
        <v>3. $50K-250K</v>
      </c>
      <c r="D10006" t="s">
        <v>1021</v>
      </c>
      <c r="E10006" t="s">
        <v>42</v>
      </c>
      <c r="F10006" t="s">
        <v>670</v>
      </c>
      <c r="G10006" t="s">
        <v>44</v>
      </c>
      <c r="H10006">
        <v>2025</v>
      </c>
    </row>
    <row r="10007" spans="1:8" x14ac:dyDescent="0.2">
      <c r="A10007">
        <v>316216</v>
      </c>
      <c r="B10007">
        <v>589640</v>
      </c>
      <c r="C10007" t="str">
        <f t="shared" si="156"/>
        <v>4. $250K-1M</v>
      </c>
      <c r="D10007" t="s">
        <v>683</v>
      </c>
      <c r="E10007" t="s">
        <v>42</v>
      </c>
      <c r="F10007" t="s">
        <v>670</v>
      </c>
      <c r="G10007" t="s">
        <v>44</v>
      </c>
      <c r="H10007">
        <v>2025</v>
      </c>
    </row>
    <row r="10008" spans="1:8" x14ac:dyDescent="0.2">
      <c r="A10008">
        <v>316278</v>
      </c>
      <c r="B10008">
        <v>7136123.5</v>
      </c>
      <c r="C10008" t="str">
        <f t="shared" si="156"/>
        <v>4. $250K-1M</v>
      </c>
      <c r="D10008" t="s">
        <v>779</v>
      </c>
      <c r="E10008" t="s">
        <v>237</v>
      </c>
      <c r="F10008" t="s">
        <v>670</v>
      </c>
      <c r="G10008" t="s">
        <v>59</v>
      </c>
      <c r="H10008">
        <v>2025</v>
      </c>
    </row>
    <row r="10009" spans="1:8" x14ac:dyDescent="0.2">
      <c r="A10009">
        <v>316279</v>
      </c>
      <c r="B10009">
        <v>4999</v>
      </c>
      <c r="C10009" t="str">
        <f t="shared" si="156"/>
        <v>5. $1M+</v>
      </c>
      <c r="D10009" t="s">
        <v>888</v>
      </c>
      <c r="E10009" t="s">
        <v>99</v>
      </c>
      <c r="F10009" t="s">
        <v>668</v>
      </c>
      <c r="G10009" t="s">
        <v>59</v>
      </c>
      <c r="H10009">
        <v>2025</v>
      </c>
    </row>
    <row r="10010" spans="1:8" x14ac:dyDescent="0.2">
      <c r="A10010">
        <v>316281</v>
      </c>
      <c r="B10010">
        <v>53687</v>
      </c>
      <c r="C10010" t="str">
        <f t="shared" si="156"/>
        <v>1. Under $10K</v>
      </c>
      <c r="D10010" t="s">
        <v>1442</v>
      </c>
      <c r="E10010" t="s">
        <v>99</v>
      </c>
      <c r="F10010" t="s">
        <v>668</v>
      </c>
      <c r="G10010" t="s">
        <v>59</v>
      </c>
      <c r="H10010">
        <v>2025</v>
      </c>
    </row>
    <row r="10011" spans="1:8" x14ac:dyDescent="0.2">
      <c r="A10011">
        <v>316282</v>
      </c>
      <c r="B10011">
        <v>461733</v>
      </c>
      <c r="C10011" t="str">
        <f t="shared" si="156"/>
        <v>3. $50K-250K</v>
      </c>
      <c r="D10011" t="s">
        <v>783</v>
      </c>
      <c r="E10011" t="s">
        <v>237</v>
      </c>
      <c r="F10011" t="s">
        <v>670</v>
      </c>
      <c r="G10011" t="s">
        <v>59</v>
      </c>
      <c r="H10011">
        <v>2025</v>
      </c>
    </row>
    <row r="10012" spans="1:8" x14ac:dyDescent="0.2">
      <c r="A10012">
        <v>316283</v>
      </c>
      <c r="B10012">
        <v>153911</v>
      </c>
      <c r="C10012" t="str">
        <f t="shared" si="156"/>
        <v>4. $250K-1M</v>
      </c>
      <c r="D10012" t="s">
        <v>821</v>
      </c>
      <c r="E10012" t="s">
        <v>237</v>
      </c>
      <c r="F10012" t="s">
        <v>670</v>
      </c>
      <c r="G10012" t="s">
        <v>59</v>
      </c>
      <c r="H10012">
        <v>2025</v>
      </c>
    </row>
    <row r="10013" spans="1:8" x14ac:dyDescent="0.2">
      <c r="A10013">
        <v>316285</v>
      </c>
      <c r="B10013">
        <v>20075</v>
      </c>
      <c r="C10013" t="str">
        <f t="shared" si="156"/>
        <v>3. $50K-250K</v>
      </c>
      <c r="D10013" t="s">
        <v>990</v>
      </c>
      <c r="E10013" t="s">
        <v>237</v>
      </c>
      <c r="F10013" t="s">
        <v>670</v>
      </c>
      <c r="G10013" t="s">
        <v>59</v>
      </c>
      <c r="H10013">
        <v>2025</v>
      </c>
    </row>
    <row r="10014" spans="1:8" x14ac:dyDescent="0.2">
      <c r="A10014">
        <v>316286</v>
      </c>
      <c r="B10014">
        <v>239632</v>
      </c>
      <c r="C10014" t="str">
        <f t="shared" si="156"/>
        <v>2. $10K-50K</v>
      </c>
      <c r="D10014" t="s">
        <v>717</v>
      </c>
      <c r="E10014" t="s">
        <v>237</v>
      </c>
      <c r="F10014" t="s">
        <v>670</v>
      </c>
      <c r="G10014" t="s">
        <v>59</v>
      </c>
      <c r="H10014">
        <v>2025</v>
      </c>
    </row>
    <row r="10015" spans="1:8" x14ac:dyDescent="0.2">
      <c r="A10015">
        <v>316287</v>
      </c>
      <c r="B10015">
        <v>307822</v>
      </c>
      <c r="C10015" t="str">
        <f t="shared" si="156"/>
        <v>3. $50K-250K</v>
      </c>
      <c r="D10015" t="s">
        <v>2544</v>
      </c>
      <c r="E10015" t="s">
        <v>237</v>
      </c>
      <c r="F10015" t="s">
        <v>670</v>
      </c>
      <c r="G10015" t="s">
        <v>59</v>
      </c>
      <c r="H10015">
        <v>2025</v>
      </c>
    </row>
    <row r="10016" spans="1:8" x14ac:dyDescent="0.2">
      <c r="A10016">
        <v>316288</v>
      </c>
      <c r="B10016">
        <v>2154754</v>
      </c>
      <c r="C10016" t="str">
        <f t="shared" si="156"/>
        <v>4. $250K-1M</v>
      </c>
      <c r="D10016" t="s">
        <v>799</v>
      </c>
      <c r="E10016" t="s">
        <v>237</v>
      </c>
      <c r="F10016" t="s">
        <v>670</v>
      </c>
      <c r="G10016" t="s">
        <v>59</v>
      </c>
      <c r="H10016">
        <v>2025</v>
      </c>
    </row>
    <row r="10017" spans="1:8" x14ac:dyDescent="0.2">
      <c r="A10017">
        <v>316289</v>
      </c>
      <c r="B10017">
        <v>479264</v>
      </c>
      <c r="C10017" t="str">
        <f t="shared" si="156"/>
        <v>5. $1M+</v>
      </c>
      <c r="D10017" t="s">
        <v>799</v>
      </c>
      <c r="E10017" t="s">
        <v>237</v>
      </c>
      <c r="F10017" t="s">
        <v>670</v>
      </c>
      <c r="G10017" t="s">
        <v>59</v>
      </c>
      <c r="H10017">
        <v>2025</v>
      </c>
    </row>
    <row r="10018" spans="1:8" x14ac:dyDescent="0.2">
      <c r="A10018">
        <v>316290</v>
      </c>
      <c r="B10018">
        <v>239632</v>
      </c>
      <c r="C10018" t="str">
        <f t="shared" si="156"/>
        <v>4. $250K-1M</v>
      </c>
      <c r="D10018" t="s">
        <v>799</v>
      </c>
      <c r="E10018" t="s">
        <v>237</v>
      </c>
      <c r="F10018" t="s">
        <v>670</v>
      </c>
      <c r="G10018" t="s">
        <v>59</v>
      </c>
      <c r="H10018">
        <v>2025</v>
      </c>
    </row>
    <row r="10019" spans="1:8" x14ac:dyDescent="0.2">
      <c r="A10019">
        <v>316291</v>
      </c>
      <c r="B10019">
        <v>230867</v>
      </c>
      <c r="C10019" t="str">
        <f t="shared" si="156"/>
        <v>3. $50K-250K</v>
      </c>
      <c r="D10019" t="s">
        <v>1891</v>
      </c>
      <c r="E10019" t="s">
        <v>237</v>
      </c>
      <c r="F10019" t="s">
        <v>670</v>
      </c>
      <c r="G10019" t="s">
        <v>59</v>
      </c>
      <c r="H10019">
        <v>2025</v>
      </c>
    </row>
    <row r="10020" spans="1:8" x14ac:dyDescent="0.2">
      <c r="A10020">
        <v>316292</v>
      </c>
      <c r="B10020">
        <v>33219</v>
      </c>
      <c r="C10020" t="str">
        <f t="shared" si="156"/>
        <v>3. $50K-250K</v>
      </c>
      <c r="D10020" t="s">
        <v>1464</v>
      </c>
      <c r="E10020" t="s">
        <v>99</v>
      </c>
      <c r="F10020" t="s">
        <v>668</v>
      </c>
      <c r="G10020" t="s">
        <v>59</v>
      </c>
      <c r="H10020">
        <v>2025</v>
      </c>
    </row>
    <row r="10021" spans="1:8" x14ac:dyDescent="0.2">
      <c r="A10021">
        <v>316293</v>
      </c>
      <c r="B10021">
        <v>260000</v>
      </c>
      <c r="C10021" t="str">
        <f t="shared" si="156"/>
        <v>2. $10K-50K</v>
      </c>
      <c r="D10021" t="s">
        <v>2463</v>
      </c>
      <c r="E10021" t="s">
        <v>237</v>
      </c>
      <c r="F10021" t="s">
        <v>670</v>
      </c>
      <c r="G10021" t="s">
        <v>59</v>
      </c>
      <c r="H10021">
        <v>2025</v>
      </c>
    </row>
    <row r="10022" spans="1:8" x14ac:dyDescent="0.2">
      <c r="A10022">
        <v>316294</v>
      </c>
      <c r="B10022">
        <v>153911</v>
      </c>
      <c r="C10022" t="str">
        <f t="shared" si="156"/>
        <v>4. $250K-1M</v>
      </c>
      <c r="D10022" t="s">
        <v>911</v>
      </c>
      <c r="E10022" t="s">
        <v>237</v>
      </c>
      <c r="F10022" t="s">
        <v>670</v>
      </c>
      <c r="G10022" t="s">
        <v>59</v>
      </c>
      <c r="H10022">
        <v>2025</v>
      </c>
    </row>
    <row r="10023" spans="1:8" x14ac:dyDescent="0.2">
      <c r="A10023">
        <v>316295</v>
      </c>
      <c r="B10023">
        <v>307822</v>
      </c>
      <c r="C10023" t="str">
        <f t="shared" si="156"/>
        <v>3. $50K-250K</v>
      </c>
      <c r="D10023" t="s">
        <v>749</v>
      </c>
      <c r="E10023" t="s">
        <v>237</v>
      </c>
      <c r="F10023" t="s">
        <v>670</v>
      </c>
      <c r="G10023" t="s">
        <v>59</v>
      </c>
      <c r="H10023">
        <v>2025</v>
      </c>
    </row>
    <row r="10024" spans="1:8" x14ac:dyDescent="0.2">
      <c r="A10024">
        <v>316296</v>
      </c>
      <c r="B10024">
        <v>307822</v>
      </c>
      <c r="C10024" t="str">
        <f t="shared" si="156"/>
        <v>4. $250K-1M</v>
      </c>
      <c r="D10024" t="s">
        <v>673</v>
      </c>
      <c r="E10024" t="s">
        <v>237</v>
      </c>
      <c r="F10024" t="s">
        <v>670</v>
      </c>
      <c r="G10024" t="s">
        <v>59</v>
      </c>
      <c r="H10024">
        <v>2025</v>
      </c>
    </row>
    <row r="10025" spans="1:8" x14ac:dyDescent="0.2">
      <c r="A10025">
        <v>316297</v>
      </c>
      <c r="B10025">
        <v>119990</v>
      </c>
      <c r="C10025" t="str">
        <f t="shared" si="156"/>
        <v>4. $250K-1M</v>
      </c>
      <c r="D10025" t="s">
        <v>708</v>
      </c>
      <c r="E10025" t="s">
        <v>237</v>
      </c>
      <c r="F10025" t="s">
        <v>670</v>
      </c>
      <c r="G10025" t="s">
        <v>59</v>
      </c>
      <c r="H10025">
        <v>2025</v>
      </c>
    </row>
    <row r="10026" spans="1:8" x14ac:dyDescent="0.2">
      <c r="A10026">
        <v>316298</v>
      </c>
      <c r="B10026">
        <v>153911</v>
      </c>
      <c r="C10026" t="str">
        <f t="shared" si="156"/>
        <v>3. $50K-250K</v>
      </c>
      <c r="D10026" t="s">
        <v>724</v>
      </c>
      <c r="E10026" t="s">
        <v>237</v>
      </c>
      <c r="F10026" t="s">
        <v>670</v>
      </c>
      <c r="G10026" t="s">
        <v>59</v>
      </c>
      <c r="H10026">
        <v>2025</v>
      </c>
    </row>
    <row r="10027" spans="1:8" x14ac:dyDescent="0.2">
      <c r="A10027">
        <v>316300</v>
      </c>
      <c r="B10027">
        <v>62233</v>
      </c>
      <c r="C10027" t="str">
        <f t="shared" si="156"/>
        <v>3. $50K-250K</v>
      </c>
      <c r="D10027" t="s">
        <v>817</v>
      </c>
      <c r="E10027" t="s">
        <v>99</v>
      </c>
      <c r="F10027" t="s">
        <v>668</v>
      </c>
      <c r="G10027" t="s">
        <v>59</v>
      </c>
      <c r="H10027">
        <v>2025</v>
      </c>
    </row>
    <row r="10028" spans="1:8" x14ac:dyDescent="0.2">
      <c r="A10028">
        <v>316301</v>
      </c>
      <c r="B10028">
        <v>153911</v>
      </c>
      <c r="C10028" t="str">
        <f t="shared" si="156"/>
        <v>3. $50K-250K</v>
      </c>
      <c r="D10028" t="s">
        <v>989</v>
      </c>
      <c r="E10028" t="s">
        <v>237</v>
      </c>
      <c r="F10028" t="s">
        <v>670</v>
      </c>
      <c r="G10028" t="s">
        <v>59</v>
      </c>
      <c r="H10028">
        <v>2025</v>
      </c>
    </row>
    <row r="10029" spans="1:8" x14ac:dyDescent="0.2">
      <c r="A10029">
        <v>316302</v>
      </c>
      <c r="B10029">
        <v>153911</v>
      </c>
      <c r="C10029" t="str">
        <f t="shared" si="156"/>
        <v>3. $50K-250K</v>
      </c>
      <c r="D10029" t="s">
        <v>799</v>
      </c>
      <c r="E10029" t="s">
        <v>237</v>
      </c>
      <c r="F10029" t="s">
        <v>670</v>
      </c>
      <c r="G10029" t="s">
        <v>59</v>
      </c>
      <c r="H10029">
        <v>2025</v>
      </c>
    </row>
    <row r="10030" spans="1:8" x14ac:dyDescent="0.2">
      <c r="A10030">
        <v>316308</v>
      </c>
      <c r="B10030">
        <v>4800</v>
      </c>
      <c r="C10030" t="str">
        <f t="shared" si="156"/>
        <v>3. $50K-250K</v>
      </c>
      <c r="D10030" t="s">
        <v>2580</v>
      </c>
      <c r="E10030" t="s">
        <v>112</v>
      </c>
      <c r="F10030" t="s">
        <v>668</v>
      </c>
      <c r="G10030" t="s">
        <v>59</v>
      </c>
      <c r="H10030">
        <v>2025</v>
      </c>
    </row>
    <row r="10031" spans="1:8" x14ac:dyDescent="0.2">
      <c r="A10031">
        <v>316309</v>
      </c>
      <c r="B10031">
        <v>454364</v>
      </c>
      <c r="C10031" t="str">
        <f t="shared" si="156"/>
        <v>1. Under $10K</v>
      </c>
      <c r="D10031" t="s">
        <v>2581</v>
      </c>
      <c r="E10031" t="s">
        <v>112</v>
      </c>
      <c r="F10031" t="s">
        <v>668</v>
      </c>
      <c r="G10031" t="s">
        <v>59</v>
      </c>
      <c r="H10031">
        <v>2025</v>
      </c>
    </row>
    <row r="10032" spans="1:8" x14ac:dyDescent="0.2">
      <c r="A10032">
        <v>316315</v>
      </c>
      <c r="B10032">
        <v>96000</v>
      </c>
      <c r="C10032" t="str">
        <f t="shared" si="156"/>
        <v>4. $250K-1M</v>
      </c>
      <c r="D10032" t="s">
        <v>2146</v>
      </c>
      <c r="E10032" t="s">
        <v>112</v>
      </c>
      <c r="F10032" t="s">
        <v>668</v>
      </c>
      <c r="G10032" t="s">
        <v>59</v>
      </c>
      <c r="H10032">
        <v>2025</v>
      </c>
    </row>
    <row r="10033" spans="1:8" x14ac:dyDescent="0.2">
      <c r="A10033">
        <v>316325</v>
      </c>
      <c r="B10033">
        <v>479264</v>
      </c>
      <c r="C10033" t="str">
        <f t="shared" si="156"/>
        <v>3. $50K-250K</v>
      </c>
      <c r="D10033" t="s">
        <v>990</v>
      </c>
      <c r="E10033" t="s">
        <v>237</v>
      </c>
      <c r="F10033" t="s">
        <v>670</v>
      </c>
      <c r="G10033" t="s">
        <v>59</v>
      </c>
      <c r="H10033">
        <v>2025</v>
      </c>
    </row>
    <row r="10034" spans="1:8" x14ac:dyDescent="0.2">
      <c r="A10034">
        <v>316327</v>
      </c>
      <c r="B10034">
        <v>239632</v>
      </c>
      <c r="C10034" t="str">
        <f t="shared" si="156"/>
        <v>4. $250K-1M</v>
      </c>
      <c r="D10034" t="s">
        <v>749</v>
      </c>
      <c r="E10034" t="s">
        <v>237</v>
      </c>
      <c r="F10034" t="s">
        <v>670</v>
      </c>
      <c r="G10034" t="s">
        <v>59</v>
      </c>
      <c r="H10034">
        <v>2025</v>
      </c>
    </row>
    <row r="10035" spans="1:8" x14ac:dyDescent="0.2">
      <c r="A10035">
        <v>316387</v>
      </c>
      <c r="B10035">
        <v>2540</v>
      </c>
      <c r="C10035" t="str">
        <f t="shared" si="156"/>
        <v>3. $50K-250K</v>
      </c>
      <c r="D10035" t="s">
        <v>820</v>
      </c>
      <c r="E10035" t="s">
        <v>99</v>
      </c>
      <c r="F10035" t="s">
        <v>668</v>
      </c>
      <c r="G10035" t="s">
        <v>59</v>
      </c>
      <c r="H10035">
        <v>2025</v>
      </c>
    </row>
    <row r="10036" spans="1:8" x14ac:dyDescent="0.2">
      <c r="A10036">
        <v>316390</v>
      </c>
      <c r="B10036">
        <v>239632</v>
      </c>
      <c r="C10036" t="str">
        <f t="shared" si="156"/>
        <v>1. Under $10K</v>
      </c>
      <c r="D10036" t="s">
        <v>925</v>
      </c>
      <c r="E10036" t="s">
        <v>237</v>
      </c>
      <c r="F10036" t="s">
        <v>670</v>
      </c>
      <c r="G10036" t="s">
        <v>59</v>
      </c>
      <c r="H10036">
        <v>2025</v>
      </c>
    </row>
    <row r="10037" spans="1:8" x14ac:dyDescent="0.2">
      <c r="A10037">
        <v>316406</v>
      </c>
      <c r="B10037">
        <v>307822</v>
      </c>
      <c r="C10037" t="str">
        <f t="shared" si="156"/>
        <v>3. $50K-250K</v>
      </c>
      <c r="D10037" t="s">
        <v>799</v>
      </c>
      <c r="E10037" t="s">
        <v>237</v>
      </c>
      <c r="F10037" t="s">
        <v>670</v>
      </c>
      <c r="G10037" t="s">
        <v>59</v>
      </c>
      <c r="H10037">
        <v>2025</v>
      </c>
    </row>
    <row r="10038" spans="1:8" x14ac:dyDescent="0.2">
      <c r="A10038">
        <v>316407</v>
      </c>
      <c r="B10038">
        <v>400832</v>
      </c>
      <c r="C10038" t="str">
        <f t="shared" si="156"/>
        <v>4. $250K-1M</v>
      </c>
      <c r="D10038" t="s">
        <v>928</v>
      </c>
      <c r="E10038" t="s">
        <v>237</v>
      </c>
      <c r="F10038" t="s">
        <v>670</v>
      </c>
      <c r="G10038" t="s">
        <v>59</v>
      </c>
      <c r="H10038">
        <v>2025</v>
      </c>
    </row>
    <row r="10039" spans="1:8" x14ac:dyDescent="0.2">
      <c r="A10039">
        <v>316408</v>
      </c>
      <c r="B10039">
        <v>692600</v>
      </c>
      <c r="C10039" t="str">
        <f t="shared" si="156"/>
        <v>4. $250K-1M</v>
      </c>
      <c r="D10039" t="s">
        <v>708</v>
      </c>
      <c r="E10039" t="s">
        <v>237</v>
      </c>
      <c r="F10039" t="s">
        <v>670</v>
      </c>
      <c r="G10039" t="s">
        <v>59</v>
      </c>
      <c r="H10039">
        <v>2025</v>
      </c>
    </row>
    <row r="10040" spans="1:8" x14ac:dyDescent="0.2">
      <c r="A10040">
        <v>316409</v>
      </c>
      <c r="B10040">
        <v>119990</v>
      </c>
      <c r="C10040" t="str">
        <f t="shared" si="156"/>
        <v>4. $250K-1M</v>
      </c>
      <c r="D10040" t="s">
        <v>762</v>
      </c>
      <c r="E10040" t="s">
        <v>237</v>
      </c>
      <c r="F10040" t="s">
        <v>670</v>
      </c>
      <c r="G10040" t="s">
        <v>59</v>
      </c>
      <c r="H10040">
        <v>2025</v>
      </c>
    </row>
    <row r="10041" spans="1:8" x14ac:dyDescent="0.2">
      <c r="A10041">
        <v>316410</v>
      </c>
      <c r="B10041">
        <v>4155597</v>
      </c>
      <c r="C10041" t="str">
        <f t="shared" si="156"/>
        <v>3. $50K-250K</v>
      </c>
      <c r="D10041" t="s">
        <v>799</v>
      </c>
      <c r="E10041" t="s">
        <v>237</v>
      </c>
      <c r="F10041" t="s">
        <v>670</v>
      </c>
      <c r="G10041" t="s">
        <v>59</v>
      </c>
      <c r="H10041">
        <v>2025</v>
      </c>
    </row>
    <row r="10042" spans="1:8" x14ac:dyDescent="0.2">
      <c r="A10042">
        <v>316411</v>
      </c>
      <c r="B10042">
        <v>307822</v>
      </c>
      <c r="C10042" t="str">
        <f t="shared" si="156"/>
        <v>5. $1M+</v>
      </c>
      <c r="D10042" t="s">
        <v>708</v>
      </c>
      <c r="E10042" t="s">
        <v>237</v>
      </c>
      <c r="F10042" t="s">
        <v>670</v>
      </c>
      <c r="G10042" t="s">
        <v>59</v>
      </c>
      <c r="H10042">
        <v>2025</v>
      </c>
    </row>
    <row r="10043" spans="1:8" x14ac:dyDescent="0.2">
      <c r="A10043">
        <v>316412</v>
      </c>
      <c r="B10043">
        <v>71994</v>
      </c>
      <c r="C10043" t="str">
        <f t="shared" si="156"/>
        <v>4. $250K-1M</v>
      </c>
      <c r="D10043" t="s">
        <v>990</v>
      </c>
      <c r="E10043" t="s">
        <v>237</v>
      </c>
      <c r="F10043" t="s">
        <v>670</v>
      </c>
      <c r="G10043" t="s">
        <v>59</v>
      </c>
      <c r="H10043">
        <v>2025</v>
      </c>
    </row>
    <row r="10044" spans="1:8" x14ac:dyDescent="0.2">
      <c r="A10044">
        <v>316446</v>
      </c>
      <c r="B10044">
        <v>275000</v>
      </c>
      <c r="C10044" t="str">
        <f t="shared" si="156"/>
        <v>3. $50K-250K</v>
      </c>
      <c r="D10044" t="s">
        <v>782</v>
      </c>
      <c r="E10044" t="s">
        <v>42</v>
      </c>
      <c r="F10044" t="s">
        <v>670</v>
      </c>
      <c r="G10044" t="s">
        <v>59</v>
      </c>
      <c r="H10044">
        <v>2025</v>
      </c>
    </row>
    <row r="10045" spans="1:8" x14ac:dyDescent="0.2">
      <c r="A10045">
        <v>316449</v>
      </c>
      <c r="B10045">
        <v>60000</v>
      </c>
      <c r="C10045" t="str">
        <f t="shared" si="156"/>
        <v>4. $250K-1M</v>
      </c>
      <c r="D10045" t="s">
        <v>682</v>
      </c>
      <c r="E10045" t="s">
        <v>42</v>
      </c>
      <c r="F10045" t="s">
        <v>670</v>
      </c>
      <c r="G10045" t="s">
        <v>59</v>
      </c>
      <c r="H10045">
        <v>2025</v>
      </c>
    </row>
    <row r="10046" spans="1:8" x14ac:dyDescent="0.2">
      <c r="A10046">
        <v>316450</v>
      </c>
      <c r="B10046">
        <v>293158.90000000002</v>
      </c>
      <c r="C10046" t="str">
        <f t="shared" si="156"/>
        <v>3. $50K-250K</v>
      </c>
      <c r="D10046" t="s">
        <v>681</v>
      </c>
      <c r="E10046" t="s">
        <v>42</v>
      </c>
      <c r="F10046" t="s">
        <v>670</v>
      </c>
      <c r="G10046" t="s">
        <v>59</v>
      </c>
      <c r="H10046">
        <v>2025</v>
      </c>
    </row>
    <row r="10047" spans="1:8" x14ac:dyDescent="0.2">
      <c r="A10047">
        <v>316513</v>
      </c>
      <c r="B10047">
        <v>356900</v>
      </c>
      <c r="C10047" t="str">
        <f t="shared" si="156"/>
        <v>4. $250K-1M</v>
      </c>
      <c r="D10047" t="s">
        <v>684</v>
      </c>
      <c r="E10047" t="s">
        <v>42</v>
      </c>
      <c r="F10047" t="s">
        <v>670</v>
      </c>
      <c r="G10047" t="s">
        <v>59</v>
      </c>
      <c r="H10047">
        <v>2025</v>
      </c>
    </row>
    <row r="10048" spans="1:8" x14ac:dyDescent="0.2">
      <c r="A10048">
        <v>316664</v>
      </c>
      <c r="B10048">
        <v>10000000</v>
      </c>
      <c r="C10048" t="str">
        <f t="shared" si="156"/>
        <v>4. $250K-1M</v>
      </c>
      <c r="D10048" t="s">
        <v>2582</v>
      </c>
      <c r="E10048" t="s">
        <v>99</v>
      </c>
      <c r="F10048" t="s">
        <v>668</v>
      </c>
      <c r="G10048" t="s">
        <v>59</v>
      </c>
      <c r="H10048">
        <v>2025</v>
      </c>
    </row>
    <row r="10049" spans="1:8" x14ac:dyDescent="0.2">
      <c r="A10049">
        <v>316804</v>
      </c>
      <c r="B10049">
        <v>71890</v>
      </c>
      <c r="C10049" t="str">
        <f t="shared" si="156"/>
        <v>5. $1M+</v>
      </c>
      <c r="D10049" t="s">
        <v>781</v>
      </c>
      <c r="E10049" t="s">
        <v>237</v>
      </c>
      <c r="F10049" t="s">
        <v>670</v>
      </c>
      <c r="G10049" t="s">
        <v>59</v>
      </c>
      <c r="H10049">
        <v>2025</v>
      </c>
    </row>
    <row r="10050" spans="1:8" x14ac:dyDescent="0.2">
      <c r="A10050">
        <v>316809</v>
      </c>
      <c r="B10050">
        <v>35945</v>
      </c>
      <c r="C10050" t="str">
        <f t="shared" si="156"/>
        <v>3. $50K-250K</v>
      </c>
      <c r="D10050" t="s">
        <v>803</v>
      </c>
      <c r="E10050" t="s">
        <v>237</v>
      </c>
      <c r="F10050" t="s">
        <v>670</v>
      </c>
      <c r="G10050" t="s">
        <v>59</v>
      </c>
      <c r="H10050">
        <v>2025</v>
      </c>
    </row>
    <row r="10051" spans="1:8" x14ac:dyDescent="0.2">
      <c r="A10051">
        <v>316815</v>
      </c>
      <c r="B10051">
        <v>71890</v>
      </c>
      <c r="C10051" t="str">
        <f t="shared" ref="C10051:C10114" si="157">IF(B10050&lt;10000,"1. Under $10K",IF(B10050&lt;50000,"2. $10K-50K",IF(B10050&lt;250000,"3. $50K-250K",IF(B10050&lt;1000000,"4. $250K-1M","5. $1M+"))))</f>
        <v>2. $10K-50K</v>
      </c>
      <c r="D10051" t="s">
        <v>990</v>
      </c>
      <c r="E10051" t="s">
        <v>237</v>
      </c>
      <c r="F10051" t="s">
        <v>670</v>
      </c>
      <c r="G10051" t="s">
        <v>59</v>
      </c>
      <c r="H10051">
        <v>2025</v>
      </c>
    </row>
    <row r="10052" spans="1:8" x14ac:dyDescent="0.2">
      <c r="A10052">
        <v>316816</v>
      </c>
      <c r="B10052">
        <v>71890</v>
      </c>
      <c r="C10052" t="str">
        <f t="shared" si="157"/>
        <v>3. $50K-250K</v>
      </c>
      <c r="D10052" t="s">
        <v>801</v>
      </c>
      <c r="E10052" t="s">
        <v>237</v>
      </c>
      <c r="F10052" t="s">
        <v>670</v>
      </c>
      <c r="G10052" t="s">
        <v>59</v>
      </c>
      <c r="H10052">
        <v>2025</v>
      </c>
    </row>
    <row r="10053" spans="1:8" x14ac:dyDescent="0.2">
      <c r="A10053">
        <v>316817</v>
      </c>
      <c r="B10053">
        <v>35945</v>
      </c>
      <c r="C10053" t="str">
        <f t="shared" si="157"/>
        <v>3. $50K-250K</v>
      </c>
      <c r="D10053" t="s">
        <v>1074</v>
      </c>
      <c r="E10053" t="s">
        <v>237</v>
      </c>
      <c r="F10053" t="s">
        <v>670</v>
      </c>
      <c r="G10053" t="s">
        <v>59</v>
      </c>
      <c r="H10053">
        <v>2025</v>
      </c>
    </row>
    <row r="10054" spans="1:8" x14ac:dyDescent="0.2">
      <c r="A10054">
        <v>316822</v>
      </c>
      <c r="B10054">
        <v>35945</v>
      </c>
      <c r="C10054" t="str">
        <f t="shared" si="157"/>
        <v>2. $10K-50K</v>
      </c>
      <c r="D10054" t="s">
        <v>749</v>
      </c>
      <c r="E10054" t="s">
        <v>237</v>
      </c>
      <c r="F10054" t="s">
        <v>670</v>
      </c>
      <c r="G10054" t="s">
        <v>59</v>
      </c>
      <c r="H10054">
        <v>2025</v>
      </c>
    </row>
    <row r="10055" spans="1:8" x14ac:dyDescent="0.2">
      <c r="A10055">
        <v>316840</v>
      </c>
      <c r="B10055">
        <v>54000</v>
      </c>
      <c r="C10055" t="str">
        <f t="shared" si="157"/>
        <v>2. $10K-50K</v>
      </c>
      <c r="D10055" t="s">
        <v>1556</v>
      </c>
      <c r="E10055" t="s">
        <v>237</v>
      </c>
      <c r="F10055" t="s">
        <v>670</v>
      </c>
      <c r="G10055" t="s">
        <v>59</v>
      </c>
      <c r="H10055">
        <v>2025</v>
      </c>
    </row>
    <row r="10056" spans="1:8" x14ac:dyDescent="0.2">
      <c r="A10056">
        <v>316841</v>
      </c>
      <c r="B10056">
        <v>36000</v>
      </c>
      <c r="C10056" t="str">
        <f t="shared" si="157"/>
        <v>3. $50K-250K</v>
      </c>
      <c r="D10056" t="s">
        <v>972</v>
      </c>
      <c r="E10056" t="s">
        <v>237</v>
      </c>
      <c r="F10056" t="s">
        <v>670</v>
      </c>
      <c r="G10056" t="s">
        <v>59</v>
      </c>
      <c r="H10056">
        <v>2025</v>
      </c>
    </row>
    <row r="10057" spans="1:8" x14ac:dyDescent="0.2">
      <c r="A10057">
        <v>316842</v>
      </c>
      <c r="B10057">
        <v>108000</v>
      </c>
      <c r="C10057" t="str">
        <f t="shared" si="157"/>
        <v>2. $10K-50K</v>
      </c>
      <c r="D10057" t="s">
        <v>1468</v>
      </c>
      <c r="E10057" t="s">
        <v>237</v>
      </c>
      <c r="F10057" t="s">
        <v>670</v>
      </c>
      <c r="G10057" t="s">
        <v>59</v>
      </c>
      <c r="H10057">
        <v>2025</v>
      </c>
    </row>
    <row r="10058" spans="1:8" x14ac:dyDescent="0.2">
      <c r="A10058">
        <v>316843</v>
      </c>
      <c r="B10058">
        <v>461733</v>
      </c>
      <c r="C10058" t="str">
        <f t="shared" si="157"/>
        <v>3. $50K-250K</v>
      </c>
      <c r="D10058" t="s">
        <v>985</v>
      </c>
      <c r="E10058" t="s">
        <v>237</v>
      </c>
      <c r="F10058" t="s">
        <v>670</v>
      </c>
      <c r="G10058" t="s">
        <v>59</v>
      </c>
      <c r="H10058">
        <v>2025</v>
      </c>
    </row>
    <row r="10059" spans="1:8" x14ac:dyDescent="0.2">
      <c r="A10059">
        <v>316844</v>
      </c>
      <c r="B10059">
        <v>71890</v>
      </c>
      <c r="C10059" t="str">
        <f t="shared" si="157"/>
        <v>4. $250K-1M</v>
      </c>
      <c r="D10059" t="s">
        <v>1601</v>
      </c>
      <c r="E10059" t="s">
        <v>237</v>
      </c>
      <c r="F10059" t="s">
        <v>670</v>
      </c>
      <c r="G10059" t="s">
        <v>59</v>
      </c>
      <c r="H10059">
        <v>2025</v>
      </c>
    </row>
    <row r="10060" spans="1:8" x14ac:dyDescent="0.2">
      <c r="A10060">
        <v>316845</v>
      </c>
      <c r="B10060">
        <v>36000</v>
      </c>
      <c r="C10060" t="str">
        <f t="shared" si="157"/>
        <v>3. $50K-250K</v>
      </c>
      <c r="D10060" t="s">
        <v>957</v>
      </c>
      <c r="E10060" t="s">
        <v>237</v>
      </c>
      <c r="F10060" t="s">
        <v>670</v>
      </c>
      <c r="G10060" t="s">
        <v>59</v>
      </c>
      <c r="H10060">
        <v>2025</v>
      </c>
    </row>
    <row r="10061" spans="1:8" x14ac:dyDescent="0.2">
      <c r="A10061">
        <v>316846</v>
      </c>
      <c r="B10061">
        <v>1410539.8</v>
      </c>
      <c r="C10061" t="str">
        <f t="shared" si="157"/>
        <v>2. $10K-50K</v>
      </c>
      <c r="D10061" t="s">
        <v>1094</v>
      </c>
      <c r="E10061" t="s">
        <v>237</v>
      </c>
      <c r="F10061" t="s">
        <v>670</v>
      </c>
      <c r="G10061" t="s">
        <v>59</v>
      </c>
      <c r="H10061">
        <v>2025</v>
      </c>
    </row>
    <row r="10062" spans="1:8" x14ac:dyDescent="0.2">
      <c r="A10062">
        <v>316847</v>
      </c>
      <c r="B10062">
        <v>1306922.8</v>
      </c>
      <c r="C10062" t="str">
        <f t="shared" si="157"/>
        <v>5. $1M+</v>
      </c>
      <c r="D10062" t="s">
        <v>1094</v>
      </c>
      <c r="E10062" t="s">
        <v>237</v>
      </c>
      <c r="F10062" t="s">
        <v>670</v>
      </c>
      <c r="G10062" t="s">
        <v>59</v>
      </c>
      <c r="H10062">
        <v>2025</v>
      </c>
    </row>
    <row r="10063" spans="1:8" x14ac:dyDescent="0.2">
      <c r="A10063">
        <v>316848</v>
      </c>
      <c r="B10063">
        <v>719940</v>
      </c>
      <c r="C10063" t="str">
        <f t="shared" si="157"/>
        <v>5. $1M+</v>
      </c>
      <c r="D10063" t="s">
        <v>1094</v>
      </c>
      <c r="E10063" t="s">
        <v>237</v>
      </c>
      <c r="F10063" t="s">
        <v>670</v>
      </c>
      <c r="G10063" t="s">
        <v>59</v>
      </c>
      <c r="H10063">
        <v>2025</v>
      </c>
    </row>
    <row r="10064" spans="1:8" x14ac:dyDescent="0.2">
      <c r="A10064">
        <v>316849</v>
      </c>
      <c r="B10064">
        <v>854709.8</v>
      </c>
      <c r="C10064" t="str">
        <f t="shared" si="157"/>
        <v>4. $250K-1M</v>
      </c>
      <c r="D10064" t="s">
        <v>1094</v>
      </c>
      <c r="E10064" t="s">
        <v>237</v>
      </c>
      <c r="F10064" t="s">
        <v>670</v>
      </c>
      <c r="G10064" t="s">
        <v>59</v>
      </c>
      <c r="H10064">
        <v>2025</v>
      </c>
    </row>
    <row r="10065" spans="1:8" x14ac:dyDescent="0.2">
      <c r="A10065">
        <v>316850</v>
      </c>
      <c r="B10065">
        <v>95992</v>
      </c>
      <c r="C10065" t="str">
        <f t="shared" si="157"/>
        <v>4. $250K-1M</v>
      </c>
      <c r="D10065" t="s">
        <v>708</v>
      </c>
      <c r="E10065" t="s">
        <v>237</v>
      </c>
      <c r="F10065" t="s">
        <v>670</v>
      </c>
      <c r="G10065" t="s">
        <v>59</v>
      </c>
      <c r="H10065">
        <v>2025</v>
      </c>
    </row>
    <row r="10066" spans="1:8" x14ac:dyDescent="0.2">
      <c r="A10066">
        <v>316851</v>
      </c>
      <c r="B10066">
        <v>555472.19999999995</v>
      </c>
      <c r="C10066" t="str">
        <f t="shared" si="157"/>
        <v>3. $50K-250K</v>
      </c>
      <c r="D10066" t="s">
        <v>1094</v>
      </c>
      <c r="E10066" t="s">
        <v>237</v>
      </c>
      <c r="F10066" t="s">
        <v>670</v>
      </c>
      <c r="G10066" t="s">
        <v>59</v>
      </c>
      <c r="H10066">
        <v>2025</v>
      </c>
    </row>
    <row r="10067" spans="1:8" x14ac:dyDescent="0.2">
      <c r="A10067">
        <v>316852</v>
      </c>
      <c r="B10067">
        <v>719940</v>
      </c>
      <c r="C10067" t="str">
        <f t="shared" si="157"/>
        <v>4. $250K-1M</v>
      </c>
      <c r="D10067" t="s">
        <v>1094</v>
      </c>
      <c r="E10067" t="s">
        <v>237</v>
      </c>
      <c r="F10067" t="s">
        <v>670</v>
      </c>
      <c r="G10067" t="s">
        <v>59</v>
      </c>
      <c r="H10067">
        <v>2025</v>
      </c>
    </row>
    <row r="10068" spans="1:8" x14ac:dyDescent="0.2">
      <c r="A10068">
        <v>316854</v>
      </c>
      <c r="B10068">
        <v>230867</v>
      </c>
      <c r="C10068" t="str">
        <f t="shared" si="157"/>
        <v>4. $250K-1M</v>
      </c>
      <c r="D10068" t="s">
        <v>2545</v>
      </c>
      <c r="E10068" t="s">
        <v>237</v>
      </c>
      <c r="F10068" t="s">
        <v>670</v>
      </c>
      <c r="G10068" t="s">
        <v>59</v>
      </c>
      <c r="H10068">
        <v>2025</v>
      </c>
    </row>
    <row r="10069" spans="1:8" x14ac:dyDescent="0.2">
      <c r="A10069">
        <v>316855</v>
      </c>
      <c r="B10069">
        <v>198200</v>
      </c>
      <c r="C10069" t="str">
        <f t="shared" si="157"/>
        <v>3. $50K-250K</v>
      </c>
      <c r="D10069" t="s">
        <v>873</v>
      </c>
      <c r="E10069" t="s">
        <v>237</v>
      </c>
      <c r="F10069" t="s">
        <v>670</v>
      </c>
      <c r="G10069" t="s">
        <v>59</v>
      </c>
      <c r="H10069">
        <v>2025</v>
      </c>
    </row>
    <row r="10070" spans="1:8" x14ac:dyDescent="0.2">
      <c r="A10070">
        <v>316856</v>
      </c>
      <c r="B10070">
        <v>35945</v>
      </c>
      <c r="C10070" t="str">
        <f t="shared" si="157"/>
        <v>3. $50K-250K</v>
      </c>
      <c r="D10070" t="s">
        <v>925</v>
      </c>
      <c r="E10070" t="s">
        <v>237</v>
      </c>
      <c r="F10070" t="s">
        <v>670</v>
      </c>
      <c r="G10070" t="s">
        <v>59</v>
      </c>
      <c r="H10070">
        <v>2025</v>
      </c>
    </row>
    <row r="10071" spans="1:8" x14ac:dyDescent="0.2">
      <c r="A10071">
        <v>316858</v>
      </c>
      <c r="B10071">
        <v>100375</v>
      </c>
      <c r="C10071" t="str">
        <f t="shared" si="157"/>
        <v>2. $10K-50K</v>
      </c>
      <c r="D10071" t="s">
        <v>980</v>
      </c>
      <c r="E10071" t="s">
        <v>237</v>
      </c>
      <c r="F10071" t="s">
        <v>670</v>
      </c>
      <c r="G10071" t="s">
        <v>59</v>
      </c>
      <c r="H10071">
        <v>2025</v>
      </c>
    </row>
    <row r="10072" spans="1:8" x14ac:dyDescent="0.2">
      <c r="A10072">
        <v>316859</v>
      </c>
      <c r="B10072">
        <v>35945</v>
      </c>
      <c r="C10072" t="str">
        <f t="shared" si="157"/>
        <v>3. $50K-250K</v>
      </c>
      <c r="D10072" t="s">
        <v>799</v>
      </c>
      <c r="E10072" t="s">
        <v>237</v>
      </c>
      <c r="F10072" t="s">
        <v>670</v>
      </c>
      <c r="G10072" t="s">
        <v>59</v>
      </c>
      <c r="H10072">
        <v>2025</v>
      </c>
    </row>
    <row r="10073" spans="1:8" x14ac:dyDescent="0.2">
      <c r="A10073">
        <v>316860</v>
      </c>
      <c r="B10073">
        <v>36145</v>
      </c>
      <c r="C10073" t="str">
        <f t="shared" si="157"/>
        <v>2. $10K-50K</v>
      </c>
      <c r="D10073" t="s">
        <v>717</v>
      </c>
      <c r="E10073" t="s">
        <v>237</v>
      </c>
      <c r="F10073" t="s">
        <v>670</v>
      </c>
      <c r="G10073" t="s">
        <v>59</v>
      </c>
      <c r="H10073">
        <v>2025</v>
      </c>
    </row>
    <row r="10074" spans="1:8" x14ac:dyDescent="0.2">
      <c r="A10074">
        <v>316861</v>
      </c>
      <c r="B10074">
        <v>71890</v>
      </c>
      <c r="C10074" t="str">
        <f t="shared" si="157"/>
        <v>2. $10K-50K</v>
      </c>
      <c r="D10074" t="s">
        <v>980</v>
      </c>
      <c r="E10074" t="s">
        <v>237</v>
      </c>
      <c r="F10074" t="s">
        <v>670</v>
      </c>
      <c r="G10074" t="s">
        <v>59</v>
      </c>
      <c r="H10074">
        <v>2025</v>
      </c>
    </row>
    <row r="10075" spans="1:8" x14ac:dyDescent="0.2">
      <c r="A10075">
        <v>316862</v>
      </c>
      <c r="B10075">
        <v>54000</v>
      </c>
      <c r="C10075" t="str">
        <f t="shared" si="157"/>
        <v>3. $50K-250K</v>
      </c>
      <c r="D10075" t="s">
        <v>1074</v>
      </c>
      <c r="E10075" t="s">
        <v>237</v>
      </c>
      <c r="F10075" t="s">
        <v>670</v>
      </c>
      <c r="G10075" t="s">
        <v>59</v>
      </c>
      <c r="H10075">
        <v>2025</v>
      </c>
    </row>
    <row r="10076" spans="1:8" x14ac:dyDescent="0.2">
      <c r="A10076">
        <v>316863</v>
      </c>
      <c r="B10076">
        <v>36000</v>
      </c>
      <c r="C10076" t="str">
        <f t="shared" si="157"/>
        <v>3. $50K-250K</v>
      </c>
      <c r="D10076" t="s">
        <v>929</v>
      </c>
      <c r="E10076" t="s">
        <v>237</v>
      </c>
      <c r="F10076" t="s">
        <v>670</v>
      </c>
      <c r="G10076" t="s">
        <v>59</v>
      </c>
      <c r="H10076">
        <v>2025</v>
      </c>
    </row>
    <row r="10077" spans="1:8" x14ac:dyDescent="0.2">
      <c r="A10077">
        <v>316864</v>
      </c>
      <c r="B10077">
        <v>36000</v>
      </c>
      <c r="C10077" t="str">
        <f t="shared" si="157"/>
        <v>2. $10K-50K</v>
      </c>
      <c r="D10077" t="s">
        <v>697</v>
      </c>
      <c r="E10077" t="s">
        <v>237</v>
      </c>
      <c r="F10077" t="s">
        <v>670</v>
      </c>
      <c r="G10077" t="s">
        <v>59</v>
      </c>
      <c r="H10077">
        <v>2025</v>
      </c>
    </row>
    <row r="10078" spans="1:8" x14ac:dyDescent="0.2">
      <c r="A10078">
        <v>316865</v>
      </c>
      <c r="B10078">
        <v>36000</v>
      </c>
      <c r="C10078" t="str">
        <f t="shared" si="157"/>
        <v>2. $10K-50K</v>
      </c>
      <c r="D10078" t="s">
        <v>1100</v>
      </c>
      <c r="E10078" t="s">
        <v>237</v>
      </c>
      <c r="F10078" t="s">
        <v>670</v>
      </c>
      <c r="G10078" t="s">
        <v>59</v>
      </c>
      <c r="H10078">
        <v>2025</v>
      </c>
    </row>
    <row r="10079" spans="1:8" x14ac:dyDescent="0.2">
      <c r="A10079">
        <v>316866</v>
      </c>
      <c r="B10079">
        <v>36000</v>
      </c>
      <c r="C10079" t="str">
        <f t="shared" si="157"/>
        <v>2. $10K-50K</v>
      </c>
      <c r="D10079" t="s">
        <v>727</v>
      </c>
      <c r="E10079" t="s">
        <v>237</v>
      </c>
      <c r="F10079" t="s">
        <v>670</v>
      </c>
      <c r="G10079" t="s">
        <v>59</v>
      </c>
      <c r="H10079">
        <v>2025</v>
      </c>
    </row>
    <row r="10080" spans="1:8" x14ac:dyDescent="0.2">
      <c r="A10080">
        <v>316867</v>
      </c>
      <c r="B10080">
        <v>71890</v>
      </c>
      <c r="C10080" t="str">
        <f t="shared" si="157"/>
        <v>2. $10K-50K</v>
      </c>
      <c r="D10080" t="s">
        <v>799</v>
      </c>
      <c r="E10080" t="s">
        <v>237</v>
      </c>
      <c r="F10080" t="s">
        <v>670</v>
      </c>
      <c r="G10080" t="s">
        <v>59</v>
      </c>
      <c r="H10080">
        <v>2025</v>
      </c>
    </row>
    <row r="10081" spans="1:8" x14ac:dyDescent="0.2">
      <c r="A10081">
        <v>316868</v>
      </c>
      <c r="B10081">
        <v>36000</v>
      </c>
      <c r="C10081" t="str">
        <f t="shared" si="157"/>
        <v>3. $50K-250K</v>
      </c>
      <c r="D10081" t="s">
        <v>1491</v>
      </c>
      <c r="E10081" t="s">
        <v>237</v>
      </c>
      <c r="F10081" t="s">
        <v>670</v>
      </c>
      <c r="G10081" t="s">
        <v>59</v>
      </c>
      <c r="H10081">
        <v>2025</v>
      </c>
    </row>
    <row r="10082" spans="1:8" x14ac:dyDescent="0.2">
      <c r="A10082">
        <v>316956</v>
      </c>
      <c r="B10082">
        <v>5880719.5</v>
      </c>
      <c r="C10082" t="str">
        <f t="shared" si="157"/>
        <v>2. $10K-50K</v>
      </c>
      <c r="D10082" t="s">
        <v>23</v>
      </c>
      <c r="E10082" t="s">
        <v>24</v>
      </c>
      <c r="F10082" t="s">
        <v>9</v>
      </c>
      <c r="G10082" t="s">
        <v>10</v>
      </c>
      <c r="H10082">
        <v>2025</v>
      </c>
    </row>
    <row r="10083" spans="1:8" x14ac:dyDescent="0.2">
      <c r="A10083">
        <v>317025</v>
      </c>
      <c r="B10083">
        <v>219826</v>
      </c>
      <c r="C10083" t="str">
        <f t="shared" si="157"/>
        <v>5. $1M+</v>
      </c>
      <c r="D10083" t="s">
        <v>680</v>
      </c>
      <c r="E10083" t="s">
        <v>42</v>
      </c>
      <c r="F10083" t="s">
        <v>670</v>
      </c>
      <c r="G10083" t="s">
        <v>59</v>
      </c>
      <c r="H10083">
        <v>2025</v>
      </c>
    </row>
    <row r="10084" spans="1:8" x14ac:dyDescent="0.2">
      <c r="A10084">
        <v>317031</v>
      </c>
      <c r="B10084">
        <v>18044</v>
      </c>
      <c r="C10084" t="str">
        <f t="shared" si="157"/>
        <v>3. $50K-250K</v>
      </c>
      <c r="D10084" t="s">
        <v>1790</v>
      </c>
      <c r="E10084" t="s">
        <v>99</v>
      </c>
      <c r="F10084" t="s">
        <v>668</v>
      </c>
      <c r="G10084" t="s">
        <v>59</v>
      </c>
      <c r="H10084">
        <v>2025</v>
      </c>
    </row>
    <row r="10085" spans="1:8" x14ac:dyDescent="0.2">
      <c r="A10085">
        <v>317034</v>
      </c>
      <c r="B10085">
        <v>105252</v>
      </c>
      <c r="C10085" t="str">
        <f t="shared" si="157"/>
        <v>2. $10K-50K</v>
      </c>
      <c r="D10085" t="s">
        <v>820</v>
      </c>
      <c r="E10085" t="s">
        <v>99</v>
      </c>
      <c r="F10085" t="s">
        <v>668</v>
      </c>
      <c r="G10085" t="s">
        <v>59</v>
      </c>
      <c r="H10085">
        <v>2025</v>
      </c>
    </row>
    <row r="10086" spans="1:8" x14ac:dyDescent="0.2">
      <c r="A10086">
        <v>317036</v>
      </c>
      <c r="B10086">
        <v>19626</v>
      </c>
      <c r="C10086" t="str">
        <f t="shared" si="157"/>
        <v>3. $50K-250K</v>
      </c>
      <c r="D10086" t="s">
        <v>943</v>
      </c>
      <c r="E10086" t="s">
        <v>99</v>
      </c>
      <c r="F10086" t="s">
        <v>668</v>
      </c>
      <c r="G10086" t="s">
        <v>59</v>
      </c>
      <c r="H10086">
        <v>2025</v>
      </c>
    </row>
    <row r="10087" spans="1:8" x14ac:dyDescent="0.2">
      <c r="A10087">
        <v>317041</v>
      </c>
      <c r="B10087">
        <v>29240</v>
      </c>
      <c r="C10087" t="str">
        <f t="shared" si="157"/>
        <v>2. $10K-50K</v>
      </c>
      <c r="D10087" t="s">
        <v>1005</v>
      </c>
      <c r="E10087" t="s">
        <v>99</v>
      </c>
      <c r="F10087" t="s">
        <v>668</v>
      </c>
      <c r="G10087" t="s">
        <v>59</v>
      </c>
      <c r="H10087">
        <v>2025</v>
      </c>
    </row>
    <row r="10088" spans="1:8" x14ac:dyDescent="0.2">
      <c r="A10088">
        <v>317047</v>
      </c>
      <c r="B10088">
        <v>600000</v>
      </c>
      <c r="C10088" t="str">
        <f t="shared" si="157"/>
        <v>2. $10K-50K</v>
      </c>
      <c r="D10088" t="s">
        <v>778</v>
      </c>
      <c r="E10088" t="s">
        <v>99</v>
      </c>
      <c r="F10088" t="s">
        <v>668</v>
      </c>
      <c r="G10088" t="s">
        <v>59</v>
      </c>
      <c r="H10088">
        <v>2025</v>
      </c>
    </row>
    <row r="10089" spans="1:8" x14ac:dyDescent="0.2">
      <c r="A10089">
        <v>317051</v>
      </c>
      <c r="B10089">
        <v>54203</v>
      </c>
      <c r="C10089" t="str">
        <f t="shared" si="157"/>
        <v>4. $250K-1M</v>
      </c>
      <c r="D10089" t="s">
        <v>1443</v>
      </c>
      <c r="E10089" t="s">
        <v>99</v>
      </c>
      <c r="F10089" t="s">
        <v>668</v>
      </c>
      <c r="G10089" t="s">
        <v>59</v>
      </c>
      <c r="H10089">
        <v>2025</v>
      </c>
    </row>
    <row r="10090" spans="1:8" x14ac:dyDescent="0.2">
      <c r="A10090">
        <v>317055</v>
      </c>
      <c r="B10090">
        <v>108222</v>
      </c>
      <c r="C10090" t="str">
        <f t="shared" si="157"/>
        <v>3. $50K-250K</v>
      </c>
      <c r="D10090" t="s">
        <v>1424</v>
      </c>
      <c r="E10090" t="s">
        <v>99</v>
      </c>
      <c r="F10090" t="s">
        <v>668</v>
      </c>
      <c r="G10090" t="s">
        <v>59</v>
      </c>
      <c r="H10090">
        <v>2025</v>
      </c>
    </row>
    <row r="10091" spans="1:8" x14ac:dyDescent="0.2">
      <c r="A10091">
        <v>317063</v>
      </c>
      <c r="B10091">
        <v>275000</v>
      </c>
      <c r="C10091" t="str">
        <f t="shared" si="157"/>
        <v>3. $50K-250K</v>
      </c>
      <c r="D10091" t="s">
        <v>682</v>
      </c>
      <c r="E10091" t="s">
        <v>42</v>
      </c>
      <c r="F10091" t="s">
        <v>670</v>
      </c>
      <c r="G10091" t="s">
        <v>59</v>
      </c>
      <c r="H10091">
        <v>2025</v>
      </c>
    </row>
    <row r="10092" spans="1:8" x14ac:dyDescent="0.2">
      <c r="A10092">
        <v>317136</v>
      </c>
      <c r="B10092">
        <v>339000</v>
      </c>
      <c r="C10092" t="str">
        <f t="shared" si="157"/>
        <v>4. $250K-1M</v>
      </c>
      <c r="D10092" t="s">
        <v>694</v>
      </c>
      <c r="E10092" t="s">
        <v>237</v>
      </c>
      <c r="F10092" t="s">
        <v>670</v>
      </c>
      <c r="G10092" t="s">
        <v>44</v>
      </c>
      <c r="H10092">
        <v>2025</v>
      </c>
    </row>
    <row r="10093" spans="1:8" x14ac:dyDescent="0.2">
      <c r="A10093">
        <v>317151</v>
      </c>
      <c r="B10093">
        <v>305060</v>
      </c>
      <c r="C10093" t="str">
        <f t="shared" si="157"/>
        <v>4. $250K-1M</v>
      </c>
      <c r="D10093" t="s">
        <v>674</v>
      </c>
      <c r="E10093" t="s">
        <v>42</v>
      </c>
      <c r="F10093" t="s">
        <v>670</v>
      </c>
      <c r="G10093" t="s">
        <v>59</v>
      </c>
      <c r="H10093">
        <v>2025</v>
      </c>
    </row>
    <row r="10094" spans="1:8" x14ac:dyDescent="0.2">
      <c r="A10094">
        <v>317152</v>
      </c>
      <c r="B10094">
        <v>437755</v>
      </c>
      <c r="C10094" t="str">
        <f t="shared" si="157"/>
        <v>4. $250K-1M</v>
      </c>
      <c r="D10094" t="s">
        <v>792</v>
      </c>
      <c r="E10094" t="s">
        <v>42</v>
      </c>
      <c r="F10094" t="s">
        <v>670</v>
      </c>
      <c r="G10094" t="s">
        <v>59</v>
      </c>
      <c r="H10094">
        <v>2025</v>
      </c>
    </row>
    <row r="10095" spans="1:8" x14ac:dyDescent="0.2">
      <c r="A10095">
        <v>317382</v>
      </c>
      <c r="B10095">
        <v>57666631</v>
      </c>
      <c r="C10095" t="str">
        <f t="shared" si="157"/>
        <v>4. $250K-1M</v>
      </c>
      <c r="D10095" t="s">
        <v>2070</v>
      </c>
      <c r="E10095" t="s">
        <v>237</v>
      </c>
      <c r="F10095" t="s">
        <v>670</v>
      </c>
      <c r="G10095" t="s">
        <v>44</v>
      </c>
      <c r="H10095">
        <v>2025</v>
      </c>
    </row>
    <row r="10096" spans="1:8" x14ac:dyDescent="0.2">
      <c r="A10096">
        <v>317454</v>
      </c>
      <c r="B10096">
        <v>7039421</v>
      </c>
      <c r="C10096" t="str">
        <f t="shared" si="157"/>
        <v>5. $1M+</v>
      </c>
      <c r="D10096" t="s">
        <v>116</v>
      </c>
      <c r="E10096" t="s">
        <v>24</v>
      </c>
      <c r="F10096" t="s">
        <v>9</v>
      </c>
      <c r="G10096" t="s">
        <v>10</v>
      </c>
      <c r="H10096">
        <v>2025</v>
      </c>
    </row>
    <row r="10097" spans="1:8" x14ac:dyDescent="0.2">
      <c r="A10097">
        <v>317465</v>
      </c>
      <c r="B10097">
        <v>250000</v>
      </c>
      <c r="C10097" t="str">
        <f t="shared" si="157"/>
        <v>5. $1M+</v>
      </c>
      <c r="D10097" t="s">
        <v>2583</v>
      </c>
      <c r="E10097" t="s">
        <v>99</v>
      </c>
      <c r="F10097" t="s">
        <v>668</v>
      </c>
      <c r="G10097" t="s">
        <v>59</v>
      </c>
      <c r="H10097">
        <v>2025</v>
      </c>
    </row>
    <row r="10098" spans="1:8" x14ac:dyDescent="0.2">
      <c r="A10098">
        <v>317466</v>
      </c>
      <c r="B10098">
        <v>81397</v>
      </c>
      <c r="C10098" t="str">
        <f t="shared" si="157"/>
        <v>4. $250K-1M</v>
      </c>
      <c r="D10098" t="s">
        <v>1438</v>
      </c>
      <c r="E10098" t="s">
        <v>99</v>
      </c>
      <c r="F10098" t="s">
        <v>668</v>
      </c>
      <c r="G10098" t="s">
        <v>59</v>
      </c>
      <c r="H10098">
        <v>2025</v>
      </c>
    </row>
    <row r="10099" spans="1:8" x14ac:dyDescent="0.2">
      <c r="A10099">
        <v>317467</v>
      </c>
      <c r="B10099">
        <v>35960</v>
      </c>
      <c r="C10099" t="str">
        <f t="shared" si="157"/>
        <v>3. $50K-250K</v>
      </c>
      <c r="D10099" t="s">
        <v>2584</v>
      </c>
      <c r="E10099" t="s">
        <v>112</v>
      </c>
      <c r="F10099" t="s">
        <v>668</v>
      </c>
      <c r="G10099" t="s">
        <v>59</v>
      </c>
      <c r="H10099">
        <v>2025</v>
      </c>
    </row>
    <row r="10100" spans="1:8" x14ac:dyDescent="0.2">
      <c r="A10100">
        <v>31761</v>
      </c>
      <c r="B10100">
        <v>877264.8</v>
      </c>
      <c r="C10100" t="str">
        <f t="shared" si="157"/>
        <v>2. $10K-50K</v>
      </c>
      <c r="D10100" t="s">
        <v>376</v>
      </c>
      <c r="E10100" t="s">
        <v>24</v>
      </c>
      <c r="F10100" t="s">
        <v>22</v>
      </c>
      <c r="G10100" t="s">
        <v>10</v>
      </c>
      <c r="H10100">
        <v>2023</v>
      </c>
    </row>
    <row r="10101" spans="1:8" x14ac:dyDescent="0.2">
      <c r="A10101">
        <v>317619</v>
      </c>
      <c r="B10101">
        <v>36000</v>
      </c>
      <c r="C10101" t="str">
        <f t="shared" si="157"/>
        <v>4. $250K-1M</v>
      </c>
      <c r="D10101" t="s">
        <v>726</v>
      </c>
      <c r="E10101" t="s">
        <v>237</v>
      </c>
      <c r="F10101" t="s">
        <v>670</v>
      </c>
      <c r="G10101" t="s">
        <v>59</v>
      </c>
      <c r="H10101">
        <v>2025</v>
      </c>
    </row>
    <row r="10102" spans="1:8" x14ac:dyDescent="0.2">
      <c r="A10102">
        <v>317635</v>
      </c>
      <c r="B10102">
        <v>96000</v>
      </c>
      <c r="C10102" t="str">
        <f t="shared" si="157"/>
        <v>2. $10K-50K</v>
      </c>
      <c r="D10102" t="s">
        <v>1553</v>
      </c>
      <c r="E10102" t="s">
        <v>237</v>
      </c>
      <c r="F10102" t="s">
        <v>670</v>
      </c>
      <c r="G10102" t="s">
        <v>59</v>
      </c>
      <c r="H10102">
        <v>2025</v>
      </c>
    </row>
    <row r="10103" spans="1:8" x14ac:dyDescent="0.2">
      <c r="A10103">
        <v>317756</v>
      </c>
      <c r="B10103">
        <v>24700</v>
      </c>
      <c r="C10103" t="str">
        <f t="shared" si="157"/>
        <v>3. $50K-250K</v>
      </c>
      <c r="D10103" t="s">
        <v>925</v>
      </c>
      <c r="E10103" t="s">
        <v>237</v>
      </c>
      <c r="F10103" t="s">
        <v>670</v>
      </c>
      <c r="G10103" t="s">
        <v>59</v>
      </c>
      <c r="H10103">
        <v>2025</v>
      </c>
    </row>
    <row r="10104" spans="1:8" x14ac:dyDescent="0.2">
      <c r="A10104">
        <v>317773</v>
      </c>
      <c r="B10104">
        <v>206271</v>
      </c>
      <c r="C10104" t="str">
        <f t="shared" si="157"/>
        <v>2. $10K-50K</v>
      </c>
      <c r="D10104" t="s">
        <v>686</v>
      </c>
      <c r="E10104" t="s">
        <v>42</v>
      </c>
      <c r="F10104" t="s">
        <v>670</v>
      </c>
      <c r="G10104" t="s">
        <v>59</v>
      </c>
      <c r="H10104">
        <v>2025</v>
      </c>
    </row>
    <row r="10105" spans="1:8" x14ac:dyDescent="0.2">
      <c r="A10105">
        <v>317782</v>
      </c>
      <c r="B10105">
        <v>876698</v>
      </c>
      <c r="C10105" t="str">
        <f t="shared" si="157"/>
        <v>3. $50K-250K</v>
      </c>
      <c r="D10105" t="s">
        <v>1473</v>
      </c>
      <c r="E10105" t="s">
        <v>42</v>
      </c>
      <c r="F10105" t="s">
        <v>670</v>
      </c>
      <c r="G10105" t="s">
        <v>59</v>
      </c>
      <c r="H10105">
        <v>2025</v>
      </c>
    </row>
    <row r="10106" spans="1:8" x14ac:dyDescent="0.2">
      <c r="A10106">
        <v>317831</v>
      </c>
      <c r="B10106">
        <v>1464000</v>
      </c>
      <c r="C10106" t="str">
        <f t="shared" si="157"/>
        <v>4. $250K-1M</v>
      </c>
      <c r="D10106" t="s">
        <v>2585</v>
      </c>
      <c r="E10106" t="s">
        <v>99</v>
      </c>
      <c r="F10106" t="s">
        <v>668</v>
      </c>
      <c r="G10106" t="s">
        <v>59</v>
      </c>
      <c r="H10106">
        <v>2025</v>
      </c>
    </row>
    <row r="10107" spans="1:8" x14ac:dyDescent="0.2">
      <c r="A10107">
        <v>317832</v>
      </c>
      <c r="B10107">
        <v>27815</v>
      </c>
      <c r="C10107" t="str">
        <f t="shared" si="157"/>
        <v>5. $1M+</v>
      </c>
      <c r="D10107" t="s">
        <v>2063</v>
      </c>
      <c r="E10107" t="s">
        <v>99</v>
      </c>
      <c r="F10107" t="s">
        <v>668</v>
      </c>
      <c r="G10107" t="s">
        <v>59</v>
      </c>
      <c r="H10107">
        <v>2025</v>
      </c>
    </row>
    <row r="10108" spans="1:8" x14ac:dyDescent="0.2">
      <c r="A10108">
        <v>317833</v>
      </c>
      <c r="B10108">
        <v>11484</v>
      </c>
      <c r="C10108" t="str">
        <f t="shared" si="157"/>
        <v>2. $10K-50K</v>
      </c>
      <c r="D10108" t="s">
        <v>2123</v>
      </c>
      <c r="E10108" t="s">
        <v>99</v>
      </c>
      <c r="F10108" t="s">
        <v>668</v>
      </c>
      <c r="G10108" t="s">
        <v>59</v>
      </c>
      <c r="H10108">
        <v>2025</v>
      </c>
    </row>
    <row r="10109" spans="1:8" x14ac:dyDescent="0.2">
      <c r="A10109">
        <v>317834</v>
      </c>
      <c r="B10109">
        <v>93959.7</v>
      </c>
      <c r="C10109" t="str">
        <f t="shared" si="157"/>
        <v>2. $10K-50K</v>
      </c>
      <c r="D10109" t="s">
        <v>1555</v>
      </c>
      <c r="E10109" t="s">
        <v>99</v>
      </c>
      <c r="F10109" t="s">
        <v>668</v>
      </c>
      <c r="G10109" t="s">
        <v>59</v>
      </c>
      <c r="H10109">
        <v>2025</v>
      </c>
    </row>
    <row r="10110" spans="1:8" x14ac:dyDescent="0.2">
      <c r="A10110">
        <v>318053</v>
      </c>
      <c r="B10110">
        <v>3283154.0999999898</v>
      </c>
      <c r="C10110" t="str">
        <f t="shared" si="157"/>
        <v>3. $50K-250K</v>
      </c>
      <c r="D10110" t="s">
        <v>512</v>
      </c>
      <c r="E10110" t="s">
        <v>18</v>
      </c>
      <c r="F10110" t="s">
        <v>12</v>
      </c>
      <c r="G10110" t="s">
        <v>124</v>
      </c>
      <c r="H10110">
        <v>2025</v>
      </c>
    </row>
    <row r="10111" spans="1:8" x14ac:dyDescent="0.2">
      <c r="A10111">
        <v>318058</v>
      </c>
      <c r="B10111">
        <v>522780</v>
      </c>
      <c r="C10111" t="str">
        <f t="shared" si="157"/>
        <v>5. $1M+</v>
      </c>
      <c r="D10111" t="s">
        <v>781</v>
      </c>
      <c r="E10111" t="s">
        <v>237</v>
      </c>
      <c r="F10111" t="s">
        <v>670</v>
      </c>
      <c r="G10111" t="s">
        <v>59</v>
      </c>
      <c r="H10111">
        <v>2025</v>
      </c>
    </row>
    <row r="10112" spans="1:8" x14ac:dyDescent="0.2">
      <c r="A10112">
        <v>318064</v>
      </c>
      <c r="B10112">
        <v>5000000</v>
      </c>
      <c r="C10112" t="str">
        <f t="shared" si="157"/>
        <v>4. $250K-1M</v>
      </c>
      <c r="D10112" t="s">
        <v>1836</v>
      </c>
      <c r="E10112" t="s">
        <v>99</v>
      </c>
      <c r="F10112" t="s">
        <v>668</v>
      </c>
      <c r="G10112" t="s">
        <v>59</v>
      </c>
      <c r="H10112">
        <v>2025</v>
      </c>
    </row>
    <row r="10113" spans="1:8" x14ac:dyDescent="0.2">
      <c r="A10113">
        <v>318065</v>
      </c>
      <c r="B10113">
        <v>183405.4</v>
      </c>
      <c r="C10113" t="str">
        <f t="shared" si="157"/>
        <v>5. $1M+</v>
      </c>
      <c r="D10113" t="s">
        <v>899</v>
      </c>
      <c r="E10113" t="s">
        <v>99</v>
      </c>
      <c r="F10113" t="s">
        <v>668</v>
      </c>
      <c r="G10113" t="s">
        <v>59</v>
      </c>
      <c r="H10113">
        <v>2025</v>
      </c>
    </row>
    <row r="10114" spans="1:8" x14ac:dyDescent="0.2">
      <c r="A10114">
        <v>318067</v>
      </c>
      <c r="B10114">
        <v>184017.7</v>
      </c>
      <c r="C10114" t="str">
        <f t="shared" si="157"/>
        <v>3. $50K-250K</v>
      </c>
      <c r="D10114" t="s">
        <v>916</v>
      </c>
      <c r="E10114" t="s">
        <v>99</v>
      </c>
      <c r="F10114" t="s">
        <v>668</v>
      </c>
      <c r="G10114" t="s">
        <v>59</v>
      </c>
      <c r="H10114">
        <v>2025</v>
      </c>
    </row>
    <row r="10115" spans="1:8" x14ac:dyDescent="0.2">
      <c r="A10115">
        <v>318070</v>
      </c>
      <c r="B10115">
        <v>47996</v>
      </c>
      <c r="C10115" t="str">
        <f t="shared" ref="C10115:C10178" si="158">IF(B10114&lt;10000,"1. Under $10K",IF(B10114&lt;50000,"2. $10K-50K",IF(B10114&lt;250000,"3. $50K-250K",IF(B10114&lt;1000000,"4. $250K-1M","5. $1M+"))))</f>
        <v>3. $50K-250K</v>
      </c>
      <c r="D10115" t="s">
        <v>1535</v>
      </c>
      <c r="E10115" t="s">
        <v>237</v>
      </c>
      <c r="F10115" t="s">
        <v>670</v>
      </c>
      <c r="G10115" t="s">
        <v>59</v>
      </c>
      <c r="H10115">
        <v>2025</v>
      </c>
    </row>
    <row r="10116" spans="1:8" x14ac:dyDescent="0.2">
      <c r="A10116">
        <v>318072</v>
      </c>
      <c r="B10116">
        <v>10000</v>
      </c>
      <c r="C10116" t="str">
        <f t="shared" si="158"/>
        <v>2. $10K-50K</v>
      </c>
      <c r="D10116" t="s">
        <v>1046</v>
      </c>
      <c r="E10116" t="s">
        <v>112</v>
      </c>
      <c r="F10116" t="s">
        <v>668</v>
      </c>
      <c r="G10116" t="s">
        <v>59</v>
      </c>
      <c r="H10116">
        <v>2025</v>
      </c>
    </row>
    <row r="10117" spans="1:8" x14ac:dyDescent="0.2">
      <c r="A10117">
        <v>318073</v>
      </c>
      <c r="B10117">
        <v>459402</v>
      </c>
      <c r="C10117" t="str">
        <f t="shared" si="158"/>
        <v>2. $10K-50K</v>
      </c>
      <c r="D10117" t="s">
        <v>1018</v>
      </c>
      <c r="E10117" t="s">
        <v>112</v>
      </c>
      <c r="F10117" t="s">
        <v>668</v>
      </c>
      <c r="G10117" t="s">
        <v>59</v>
      </c>
      <c r="H10117">
        <v>2025</v>
      </c>
    </row>
    <row r="10118" spans="1:8" x14ac:dyDescent="0.2">
      <c r="A10118">
        <v>318074</v>
      </c>
      <c r="B10118">
        <v>10000</v>
      </c>
      <c r="C10118" t="str">
        <f t="shared" si="158"/>
        <v>4. $250K-1M</v>
      </c>
      <c r="D10118" t="s">
        <v>926</v>
      </c>
      <c r="E10118" t="s">
        <v>112</v>
      </c>
      <c r="F10118" t="s">
        <v>668</v>
      </c>
      <c r="G10118" t="s">
        <v>59</v>
      </c>
      <c r="H10118">
        <v>2025</v>
      </c>
    </row>
    <row r="10119" spans="1:8" x14ac:dyDescent="0.2">
      <c r="A10119">
        <v>318084</v>
      </c>
      <c r="B10119">
        <v>7900</v>
      </c>
      <c r="C10119" t="str">
        <f t="shared" si="158"/>
        <v>2. $10K-50K</v>
      </c>
      <c r="D10119" t="s">
        <v>1329</v>
      </c>
      <c r="E10119" t="s">
        <v>112</v>
      </c>
      <c r="F10119" t="s">
        <v>668</v>
      </c>
      <c r="G10119" t="s">
        <v>59</v>
      </c>
      <c r="H10119">
        <v>2025</v>
      </c>
    </row>
    <row r="10120" spans="1:8" x14ac:dyDescent="0.2">
      <c r="A10120">
        <v>318135</v>
      </c>
      <c r="B10120">
        <v>250000</v>
      </c>
      <c r="C10120" t="str">
        <f t="shared" si="158"/>
        <v>1. Under $10K</v>
      </c>
      <c r="D10120" t="s">
        <v>2586</v>
      </c>
      <c r="E10120" t="s">
        <v>99</v>
      </c>
      <c r="F10120" t="s">
        <v>668</v>
      </c>
      <c r="G10120" t="s">
        <v>59</v>
      </c>
      <c r="H10120">
        <v>2025</v>
      </c>
    </row>
    <row r="10121" spans="1:8" x14ac:dyDescent="0.2">
      <c r="A10121">
        <v>318136</v>
      </c>
      <c r="B10121">
        <v>225000</v>
      </c>
      <c r="C10121" t="str">
        <f t="shared" si="158"/>
        <v>4. $250K-1M</v>
      </c>
      <c r="D10121" t="s">
        <v>2587</v>
      </c>
      <c r="E10121" t="s">
        <v>141</v>
      </c>
      <c r="F10121" t="s">
        <v>668</v>
      </c>
      <c r="G10121" t="s">
        <v>59</v>
      </c>
      <c r="H10121">
        <v>2025</v>
      </c>
    </row>
    <row r="10122" spans="1:8" x14ac:dyDescent="0.2">
      <c r="A10122">
        <v>318139</v>
      </c>
      <c r="B10122">
        <v>2983269</v>
      </c>
      <c r="C10122" t="str">
        <f t="shared" si="158"/>
        <v>3. $50K-250K</v>
      </c>
      <c r="D10122" t="s">
        <v>2588</v>
      </c>
      <c r="E10122" t="s">
        <v>99</v>
      </c>
      <c r="F10122" t="s">
        <v>668</v>
      </c>
      <c r="G10122" t="s">
        <v>59</v>
      </c>
      <c r="H10122">
        <v>2025</v>
      </c>
    </row>
    <row r="10123" spans="1:8" x14ac:dyDescent="0.2">
      <c r="A10123">
        <v>318140</v>
      </c>
      <c r="B10123">
        <v>249750</v>
      </c>
      <c r="C10123" t="str">
        <f t="shared" si="158"/>
        <v>5. $1M+</v>
      </c>
      <c r="D10123" t="s">
        <v>1604</v>
      </c>
      <c r="E10123" t="s">
        <v>99</v>
      </c>
      <c r="F10123" t="s">
        <v>668</v>
      </c>
      <c r="G10123" t="s">
        <v>59</v>
      </c>
      <c r="H10123">
        <v>2025</v>
      </c>
    </row>
    <row r="10124" spans="1:8" x14ac:dyDescent="0.2">
      <c r="A10124">
        <v>318141</v>
      </c>
      <c r="B10124">
        <v>8200000</v>
      </c>
      <c r="C10124" t="str">
        <f t="shared" si="158"/>
        <v>3. $50K-250K</v>
      </c>
      <c r="D10124" t="s">
        <v>2570</v>
      </c>
      <c r="E10124" t="s">
        <v>99</v>
      </c>
      <c r="F10124" t="s">
        <v>668</v>
      </c>
      <c r="G10124" t="s">
        <v>59</v>
      </c>
      <c r="H10124">
        <v>2025</v>
      </c>
    </row>
    <row r="10125" spans="1:8" x14ac:dyDescent="0.2">
      <c r="A10125">
        <v>318142</v>
      </c>
      <c r="B10125">
        <v>10525000</v>
      </c>
      <c r="C10125" t="str">
        <f t="shared" si="158"/>
        <v>5. $1M+</v>
      </c>
      <c r="D10125" t="s">
        <v>2570</v>
      </c>
      <c r="E10125" t="s">
        <v>99</v>
      </c>
      <c r="F10125" t="s">
        <v>668</v>
      </c>
      <c r="G10125" t="s">
        <v>59</v>
      </c>
      <c r="H10125">
        <v>2025</v>
      </c>
    </row>
    <row r="10126" spans="1:8" x14ac:dyDescent="0.2">
      <c r="A10126">
        <v>318203</v>
      </c>
      <c r="B10126">
        <v>400000</v>
      </c>
      <c r="C10126" t="str">
        <f t="shared" si="158"/>
        <v>5. $1M+</v>
      </c>
      <c r="D10126" t="s">
        <v>778</v>
      </c>
      <c r="E10126" t="s">
        <v>99</v>
      </c>
      <c r="F10126" t="s">
        <v>668</v>
      </c>
      <c r="G10126" t="s">
        <v>59</v>
      </c>
      <c r="H10126">
        <v>2025</v>
      </c>
    </row>
    <row r="10127" spans="1:8" x14ac:dyDescent="0.2">
      <c r="A10127">
        <v>318206</v>
      </c>
      <c r="B10127">
        <v>530000</v>
      </c>
      <c r="C10127" t="str">
        <f t="shared" si="158"/>
        <v>4. $250K-1M</v>
      </c>
      <c r="D10127" t="s">
        <v>995</v>
      </c>
      <c r="E10127" t="s">
        <v>237</v>
      </c>
      <c r="F10127" t="s">
        <v>668</v>
      </c>
      <c r="G10127" t="s">
        <v>59</v>
      </c>
      <c r="H10127">
        <v>2025</v>
      </c>
    </row>
    <row r="10128" spans="1:8" x14ac:dyDescent="0.2">
      <c r="A10128">
        <v>318210</v>
      </c>
      <c r="B10128">
        <v>221530</v>
      </c>
      <c r="C10128" t="str">
        <f t="shared" si="158"/>
        <v>4. $250K-1M</v>
      </c>
      <c r="D10128" t="s">
        <v>816</v>
      </c>
      <c r="E10128" t="s">
        <v>99</v>
      </c>
      <c r="F10128" t="s">
        <v>668</v>
      </c>
      <c r="G10128" t="s">
        <v>59</v>
      </c>
      <c r="H10128">
        <v>2025</v>
      </c>
    </row>
    <row r="10129" spans="1:8" x14ac:dyDescent="0.2">
      <c r="A10129">
        <v>318222</v>
      </c>
      <c r="B10129">
        <v>298092</v>
      </c>
      <c r="C10129" t="str">
        <f t="shared" si="158"/>
        <v>3. $50K-250K</v>
      </c>
      <c r="D10129" t="s">
        <v>679</v>
      </c>
      <c r="E10129" t="s">
        <v>42</v>
      </c>
      <c r="F10129" t="s">
        <v>670</v>
      </c>
      <c r="G10129" t="s">
        <v>59</v>
      </c>
      <c r="H10129">
        <v>2025</v>
      </c>
    </row>
    <row r="10130" spans="1:8" x14ac:dyDescent="0.2">
      <c r="A10130">
        <v>318223</v>
      </c>
      <c r="B10130">
        <v>293392</v>
      </c>
      <c r="C10130" t="str">
        <f t="shared" si="158"/>
        <v>4. $250K-1M</v>
      </c>
      <c r="D10130" t="s">
        <v>671</v>
      </c>
      <c r="E10130" t="s">
        <v>42</v>
      </c>
      <c r="F10130" t="s">
        <v>670</v>
      </c>
      <c r="G10130" t="s">
        <v>59</v>
      </c>
      <c r="H10130">
        <v>2025</v>
      </c>
    </row>
    <row r="10131" spans="1:8" x14ac:dyDescent="0.2">
      <c r="A10131">
        <v>318272</v>
      </c>
      <c r="B10131">
        <v>577550</v>
      </c>
      <c r="C10131" t="str">
        <f t="shared" si="158"/>
        <v>4. $250K-1M</v>
      </c>
      <c r="D10131" t="s">
        <v>513</v>
      </c>
      <c r="E10131" t="s">
        <v>24</v>
      </c>
      <c r="F10131" t="s">
        <v>25</v>
      </c>
      <c r="G10131" t="s">
        <v>10</v>
      </c>
      <c r="H10131">
        <v>2025</v>
      </c>
    </row>
    <row r="10132" spans="1:8" x14ac:dyDescent="0.2">
      <c r="A10132">
        <v>318274</v>
      </c>
      <c r="B10132">
        <v>4000</v>
      </c>
      <c r="C10132" t="str">
        <f t="shared" si="158"/>
        <v>4. $250K-1M</v>
      </c>
      <c r="D10132" t="s">
        <v>2589</v>
      </c>
      <c r="E10132" t="s">
        <v>112</v>
      </c>
      <c r="F10132" t="s">
        <v>668</v>
      </c>
      <c r="G10132" t="s">
        <v>59</v>
      </c>
      <c r="H10132">
        <v>2025</v>
      </c>
    </row>
    <row r="10133" spans="1:8" x14ac:dyDescent="0.2">
      <c r="A10133">
        <v>318277</v>
      </c>
      <c r="B10133">
        <v>2425192</v>
      </c>
      <c r="C10133" t="str">
        <f t="shared" si="158"/>
        <v>1. Under $10K</v>
      </c>
      <c r="D10133" t="s">
        <v>2590</v>
      </c>
      <c r="E10133" t="s">
        <v>99</v>
      </c>
      <c r="F10133" t="s">
        <v>668</v>
      </c>
      <c r="G10133" t="s">
        <v>59</v>
      </c>
      <c r="H10133">
        <v>2025</v>
      </c>
    </row>
    <row r="10134" spans="1:8" x14ac:dyDescent="0.2">
      <c r="A10134">
        <v>318280</v>
      </c>
      <c r="B10134">
        <v>62871</v>
      </c>
      <c r="C10134" t="str">
        <f t="shared" si="158"/>
        <v>5. $1M+</v>
      </c>
      <c r="D10134" t="s">
        <v>2591</v>
      </c>
      <c r="E10134" t="s">
        <v>99</v>
      </c>
      <c r="F10134" t="s">
        <v>668</v>
      </c>
      <c r="G10134" t="s">
        <v>59</v>
      </c>
      <c r="H10134">
        <v>2025</v>
      </c>
    </row>
    <row r="10135" spans="1:8" x14ac:dyDescent="0.2">
      <c r="A10135">
        <v>318281</v>
      </c>
      <c r="B10135">
        <v>72836</v>
      </c>
      <c r="C10135" t="str">
        <f t="shared" si="158"/>
        <v>3. $50K-250K</v>
      </c>
      <c r="D10135" t="s">
        <v>2261</v>
      </c>
      <c r="E10135" t="s">
        <v>99</v>
      </c>
      <c r="F10135" t="s">
        <v>668</v>
      </c>
      <c r="G10135" t="s">
        <v>59</v>
      </c>
      <c r="H10135">
        <v>2025</v>
      </c>
    </row>
    <row r="10136" spans="1:8" x14ac:dyDescent="0.2">
      <c r="A10136">
        <v>318285</v>
      </c>
      <c r="B10136">
        <v>225673.2</v>
      </c>
      <c r="C10136" t="str">
        <f t="shared" si="158"/>
        <v>3. $50K-250K</v>
      </c>
      <c r="D10136" t="s">
        <v>2592</v>
      </c>
      <c r="E10136" t="s">
        <v>99</v>
      </c>
      <c r="F10136" t="s">
        <v>668</v>
      </c>
      <c r="G10136" t="s">
        <v>59</v>
      </c>
      <c r="H10136">
        <v>2025</v>
      </c>
    </row>
    <row r="10137" spans="1:8" x14ac:dyDescent="0.2">
      <c r="A10137">
        <v>318306</v>
      </c>
      <c r="B10137">
        <v>241109</v>
      </c>
      <c r="C10137" t="str">
        <f t="shared" si="158"/>
        <v>3. $50K-250K</v>
      </c>
      <c r="D10137" t="s">
        <v>713</v>
      </c>
      <c r="E10137" t="s">
        <v>99</v>
      </c>
      <c r="F10137" t="s">
        <v>668</v>
      </c>
      <c r="G10137" t="s">
        <v>59</v>
      </c>
      <c r="H10137">
        <v>2025</v>
      </c>
    </row>
    <row r="10138" spans="1:8" x14ac:dyDescent="0.2">
      <c r="A10138">
        <v>318308</v>
      </c>
      <c r="B10138">
        <v>250000</v>
      </c>
      <c r="C10138" t="str">
        <f t="shared" si="158"/>
        <v>3. $50K-250K</v>
      </c>
      <c r="D10138" t="s">
        <v>2593</v>
      </c>
      <c r="E10138" t="s">
        <v>99</v>
      </c>
      <c r="F10138" t="s">
        <v>668</v>
      </c>
      <c r="G10138" t="s">
        <v>59</v>
      </c>
      <c r="H10138">
        <v>2025</v>
      </c>
    </row>
    <row r="10139" spans="1:8" x14ac:dyDescent="0.2">
      <c r="A10139">
        <v>318309</v>
      </c>
      <c r="B10139">
        <v>4200000</v>
      </c>
      <c r="C10139" t="str">
        <f t="shared" si="158"/>
        <v>4. $250K-1M</v>
      </c>
      <c r="D10139" t="s">
        <v>2594</v>
      </c>
      <c r="E10139" t="s">
        <v>99</v>
      </c>
      <c r="F10139" t="s">
        <v>668</v>
      </c>
      <c r="G10139" t="s">
        <v>59</v>
      </c>
      <c r="H10139">
        <v>2025</v>
      </c>
    </row>
    <row r="10140" spans="1:8" x14ac:dyDescent="0.2">
      <c r="A10140">
        <v>318313</v>
      </c>
      <c r="B10140">
        <v>90750</v>
      </c>
      <c r="C10140" t="str">
        <f t="shared" si="158"/>
        <v>5. $1M+</v>
      </c>
      <c r="D10140" t="s">
        <v>2595</v>
      </c>
      <c r="E10140" t="s">
        <v>141</v>
      </c>
      <c r="F10140" t="s">
        <v>668</v>
      </c>
      <c r="G10140" t="s">
        <v>59</v>
      </c>
      <c r="H10140">
        <v>2025</v>
      </c>
    </row>
    <row r="10141" spans="1:8" x14ac:dyDescent="0.2">
      <c r="A10141">
        <v>318576</v>
      </c>
      <c r="B10141">
        <v>36000</v>
      </c>
      <c r="C10141" t="str">
        <f t="shared" si="158"/>
        <v>3. $50K-250K</v>
      </c>
      <c r="D10141" t="s">
        <v>781</v>
      </c>
      <c r="E10141" t="s">
        <v>237</v>
      </c>
      <c r="F10141" t="s">
        <v>670</v>
      </c>
      <c r="G10141" t="s">
        <v>59</v>
      </c>
      <c r="H10141">
        <v>2025</v>
      </c>
    </row>
    <row r="10142" spans="1:8" x14ac:dyDescent="0.2">
      <c r="A10142">
        <v>318578</v>
      </c>
      <c r="B10142">
        <v>36000</v>
      </c>
      <c r="C10142" t="str">
        <f t="shared" si="158"/>
        <v>2. $10K-50K</v>
      </c>
      <c r="D10142" t="s">
        <v>1168</v>
      </c>
      <c r="E10142" t="s">
        <v>237</v>
      </c>
      <c r="F10142" t="s">
        <v>670</v>
      </c>
      <c r="G10142" t="s">
        <v>59</v>
      </c>
      <c r="H10142">
        <v>2025</v>
      </c>
    </row>
    <row r="10143" spans="1:8" x14ac:dyDescent="0.2">
      <c r="A10143">
        <v>318579</v>
      </c>
      <c r="B10143">
        <v>174176.6</v>
      </c>
      <c r="C10143" t="str">
        <f t="shared" si="158"/>
        <v>2. $10K-50K</v>
      </c>
      <c r="D10143" t="s">
        <v>2574</v>
      </c>
      <c r="E10143" t="s">
        <v>237</v>
      </c>
      <c r="F10143" t="s">
        <v>670</v>
      </c>
      <c r="G10143" t="s">
        <v>59</v>
      </c>
      <c r="H10143">
        <v>2025</v>
      </c>
    </row>
    <row r="10144" spans="1:8" x14ac:dyDescent="0.2">
      <c r="A10144">
        <v>318580</v>
      </c>
      <c r="B10144">
        <v>22158</v>
      </c>
      <c r="C10144" t="str">
        <f t="shared" si="158"/>
        <v>3. $50K-250K</v>
      </c>
      <c r="D10144" t="s">
        <v>801</v>
      </c>
      <c r="E10144" t="s">
        <v>237</v>
      </c>
      <c r="F10144" t="s">
        <v>670</v>
      </c>
      <c r="G10144" t="s">
        <v>59</v>
      </c>
      <c r="H10144">
        <v>2025</v>
      </c>
    </row>
    <row r="10145" spans="1:8" x14ac:dyDescent="0.2">
      <c r="A10145">
        <v>318581</v>
      </c>
      <c r="B10145">
        <v>23998</v>
      </c>
      <c r="C10145" t="str">
        <f t="shared" si="158"/>
        <v>2. $10K-50K</v>
      </c>
      <c r="D10145" t="s">
        <v>2575</v>
      </c>
      <c r="E10145" t="s">
        <v>237</v>
      </c>
      <c r="F10145" t="s">
        <v>670</v>
      </c>
      <c r="G10145" t="s">
        <v>59</v>
      </c>
      <c r="H10145">
        <v>2025</v>
      </c>
    </row>
    <row r="10146" spans="1:8" x14ac:dyDescent="0.2">
      <c r="A10146">
        <v>318582</v>
      </c>
      <c r="B10146">
        <v>36000</v>
      </c>
      <c r="C10146" t="str">
        <f t="shared" si="158"/>
        <v>2. $10K-50K</v>
      </c>
      <c r="D10146" t="s">
        <v>711</v>
      </c>
      <c r="E10146" t="s">
        <v>237</v>
      </c>
      <c r="F10146" t="s">
        <v>670</v>
      </c>
      <c r="G10146" t="s">
        <v>59</v>
      </c>
      <c r="H10146">
        <v>2025</v>
      </c>
    </row>
    <row r="10147" spans="1:8" x14ac:dyDescent="0.2">
      <c r="A10147">
        <v>318634</v>
      </c>
      <c r="B10147">
        <v>479264</v>
      </c>
      <c r="C10147" t="str">
        <f t="shared" si="158"/>
        <v>2. $10K-50K</v>
      </c>
      <c r="D10147" t="s">
        <v>980</v>
      </c>
      <c r="E10147" t="s">
        <v>237</v>
      </c>
      <c r="F10147" t="s">
        <v>670</v>
      </c>
      <c r="G10147" t="s">
        <v>59</v>
      </c>
      <c r="H10147">
        <v>2025</v>
      </c>
    </row>
    <row r="10148" spans="1:8" x14ac:dyDescent="0.2">
      <c r="A10148">
        <v>318660</v>
      </c>
      <c r="B10148">
        <v>300000</v>
      </c>
      <c r="C10148" t="str">
        <f t="shared" si="158"/>
        <v>4. $250K-1M</v>
      </c>
      <c r="D10148" t="s">
        <v>669</v>
      </c>
      <c r="E10148" t="s">
        <v>42</v>
      </c>
      <c r="F10148" t="s">
        <v>670</v>
      </c>
      <c r="G10148" t="s">
        <v>59</v>
      </c>
      <c r="H10148">
        <v>2025</v>
      </c>
    </row>
    <row r="10149" spans="1:8" x14ac:dyDescent="0.2">
      <c r="A10149">
        <v>318661</v>
      </c>
      <c r="B10149">
        <v>444672.4</v>
      </c>
      <c r="C10149" t="str">
        <f t="shared" si="158"/>
        <v>4. $250K-1M</v>
      </c>
      <c r="D10149" t="s">
        <v>688</v>
      </c>
      <c r="E10149" t="s">
        <v>42</v>
      </c>
      <c r="F10149" t="s">
        <v>670</v>
      </c>
      <c r="G10149" t="s">
        <v>59</v>
      </c>
      <c r="H10149">
        <v>2025</v>
      </c>
    </row>
    <row r="10150" spans="1:8" x14ac:dyDescent="0.2">
      <c r="A10150">
        <v>318662</v>
      </c>
      <c r="B10150">
        <v>4557900</v>
      </c>
      <c r="C10150" t="str">
        <f t="shared" si="158"/>
        <v>4. $250K-1M</v>
      </c>
      <c r="D10150" t="s">
        <v>669</v>
      </c>
      <c r="E10150" t="s">
        <v>42</v>
      </c>
      <c r="F10150" t="s">
        <v>670</v>
      </c>
      <c r="G10150" t="s">
        <v>59</v>
      </c>
      <c r="H10150">
        <v>2025</v>
      </c>
    </row>
    <row r="10151" spans="1:8" x14ac:dyDescent="0.2">
      <c r="A10151">
        <v>318665</v>
      </c>
      <c r="B10151">
        <v>20000</v>
      </c>
      <c r="C10151" t="str">
        <f t="shared" si="158"/>
        <v>5. $1M+</v>
      </c>
      <c r="D10151" t="s">
        <v>2596</v>
      </c>
      <c r="E10151" t="s">
        <v>112</v>
      </c>
      <c r="F10151" t="s">
        <v>668</v>
      </c>
      <c r="G10151" t="s">
        <v>59</v>
      </c>
      <c r="H10151">
        <v>2025</v>
      </c>
    </row>
    <row r="10152" spans="1:8" x14ac:dyDescent="0.2">
      <c r="A10152">
        <v>318668</v>
      </c>
      <c r="B10152">
        <v>20000</v>
      </c>
      <c r="C10152" t="str">
        <f t="shared" si="158"/>
        <v>2. $10K-50K</v>
      </c>
      <c r="D10152" t="s">
        <v>2597</v>
      </c>
      <c r="E10152" t="s">
        <v>112</v>
      </c>
      <c r="F10152" t="s">
        <v>668</v>
      </c>
      <c r="G10152" t="s">
        <v>59</v>
      </c>
      <c r="H10152">
        <v>2025</v>
      </c>
    </row>
    <row r="10153" spans="1:8" x14ac:dyDescent="0.2">
      <c r="A10153">
        <v>318671</v>
      </c>
      <c r="B10153">
        <v>20000</v>
      </c>
      <c r="C10153" t="str">
        <f t="shared" si="158"/>
        <v>2. $10K-50K</v>
      </c>
      <c r="D10153" t="s">
        <v>2598</v>
      </c>
      <c r="E10153" t="s">
        <v>112</v>
      </c>
      <c r="F10153" t="s">
        <v>668</v>
      </c>
      <c r="G10153" t="s">
        <v>59</v>
      </c>
      <c r="H10153">
        <v>2025</v>
      </c>
    </row>
    <row r="10154" spans="1:8" x14ac:dyDescent="0.2">
      <c r="A10154">
        <v>318672</v>
      </c>
      <c r="B10154">
        <v>20000</v>
      </c>
      <c r="C10154" t="str">
        <f t="shared" si="158"/>
        <v>2. $10K-50K</v>
      </c>
      <c r="D10154" t="s">
        <v>2599</v>
      </c>
      <c r="E10154" t="s">
        <v>112</v>
      </c>
      <c r="F10154" t="s">
        <v>668</v>
      </c>
      <c r="G10154" t="s">
        <v>59</v>
      </c>
      <c r="H10154">
        <v>2025</v>
      </c>
    </row>
    <row r="10155" spans="1:8" x14ac:dyDescent="0.2">
      <c r="A10155">
        <v>318674</v>
      </c>
      <c r="B10155">
        <v>303105</v>
      </c>
      <c r="C10155" t="str">
        <f t="shared" si="158"/>
        <v>2. $10K-50K</v>
      </c>
      <c r="D10155" t="s">
        <v>797</v>
      </c>
      <c r="E10155" t="s">
        <v>99</v>
      </c>
      <c r="F10155" t="s">
        <v>668</v>
      </c>
      <c r="G10155" t="s">
        <v>59</v>
      </c>
      <c r="H10155">
        <v>2025</v>
      </c>
    </row>
    <row r="10156" spans="1:8" x14ac:dyDescent="0.2">
      <c r="A10156">
        <v>318676</v>
      </c>
      <c r="B10156">
        <v>20000</v>
      </c>
      <c r="C10156" t="str">
        <f t="shared" si="158"/>
        <v>4. $250K-1M</v>
      </c>
      <c r="D10156" t="s">
        <v>2600</v>
      </c>
      <c r="E10156" t="s">
        <v>112</v>
      </c>
      <c r="F10156" t="s">
        <v>668</v>
      </c>
      <c r="G10156" t="s">
        <v>59</v>
      </c>
      <c r="H10156">
        <v>2025</v>
      </c>
    </row>
    <row r="10157" spans="1:8" x14ac:dyDescent="0.2">
      <c r="A10157">
        <v>318779</v>
      </c>
      <c r="B10157">
        <v>205898</v>
      </c>
      <c r="C10157" t="str">
        <f t="shared" si="158"/>
        <v>2. $10K-50K</v>
      </c>
      <c r="D10157" t="s">
        <v>673</v>
      </c>
      <c r="E10157" t="s">
        <v>42</v>
      </c>
      <c r="F10157" t="s">
        <v>670</v>
      </c>
      <c r="G10157" t="s">
        <v>59</v>
      </c>
      <c r="H10157">
        <v>2025</v>
      </c>
    </row>
    <row r="10158" spans="1:8" x14ac:dyDescent="0.2">
      <c r="A10158">
        <v>318805</v>
      </c>
      <c r="B10158">
        <v>659812.19999999995</v>
      </c>
      <c r="C10158" t="str">
        <f t="shared" si="158"/>
        <v>3. $50K-250K</v>
      </c>
      <c r="D10158" t="s">
        <v>7</v>
      </c>
      <c r="E10158" t="s">
        <v>28</v>
      </c>
      <c r="F10158" t="s">
        <v>85</v>
      </c>
      <c r="G10158" t="s">
        <v>59</v>
      </c>
      <c r="H10158">
        <v>2025</v>
      </c>
    </row>
    <row r="10159" spans="1:8" x14ac:dyDescent="0.2">
      <c r="A10159">
        <v>319008</v>
      </c>
      <c r="B10159">
        <v>180000</v>
      </c>
      <c r="C10159" t="str">
        <f t="shared" si="158"/>
        <v>4. $250K-1M</v>
      </c>
      <c r="D10159" t="s">
        <v>2601</v>
      </c>
      <c r="E10159" t="s">
        <v>52</v>
      </c>
      <c r="F10159" t="s">
        <v>668</v>
      </c>
      <c r="G10159" t="s">
        <v>59</v>
      </c>
      <c r="H10159">
        <v>2025</v>
      </c>
    </row>
    <row r="10160" spans="1:8" x14ac:dyDescent="0.2">
      <c r="A10160">
        <v>319103</v>
      </c>
      <c r="B10160">
        <v>2750000</v>
      </c>
      <c r="C10160" t="str">
        <f t="shared" si="158"/>
        <v>3. $50K-250K</v>
      </c>
      <c r="D10160" t="s">
        <v>167</v>
      </c>
      <c r="E10160" t="s">
        <v>8</v>
      </c>
      <c r="F10160" t="s">
        <v>14</v>
      </c>
      <c r="G10160" t="s">
        <v>15</v>
      </c>
      <c r="H10160">
        <v>2025</v>
      </c>
    </row>
    <row r="10161" spans="1:8" x14ac:dyDescent="0.2">
      <c r="A10161">
        <v>319105</v>
      </c>
      <c r="B10161">
        <v>59580.2</v>
      </c>
      <c r="C10161" t="str">
        <f t="shared" si="158"/>
        <v>5. $1M+</v>
      </c>
      <c r="D10161" t="s">
        <v>1079</v>
      </c>
      <c r="E10161" t="s">
        <v>237</v>
      </c>
      <c r="F10161" t="s">
        <v>670</v>
      </c>
      <c r="G10161" t="s">
        <v>59</v>
      </c>
      <c r="H10161">
        <v>2025</v>
      </c>
    </row>
    <row r="10162" spans="1:8" x14ac:dyDescent="0.2">
      <c r="A10162">
        <v>319106</v>
      </c>
      <c r="B10162">
        <v>148616.9</v>
      </c>
      <c r="C10162" t="str">
        <f t="shared" si="158"/>
        <v>3. $50K-250K</v>
      </c>
      <c r="D10162" t="s">
        <v>1079</v>
      </c>
      <c r="E10162" t="s">
        <v>237</v>
      </c>
      <c r="F10162" t="s">
        <v>670</v>
      </c>
      <c r="G10162" t="s">
        <v>59</v>
      </c>
      <c r="H10162">
        <v>2025</v>
      </c>
    </row>
    <row r="10163" spans="1:8" x14ac:dyDescent="0.2">
      <c r="A10163">
        <v>319107</v>
      </c>
      <c r="B10163">
        <v>66932.899999999994</v>
      </c>
      <c r="C10163" t="str">
        <f t="shared" si="158"/>
        <v>3. $50K-250K</v>
      </c>
      <c r="D10163" t="s">
        <v>1079</v>
      </c>
      <c r="E10163" t="s">
        <v>237</v>
      </c>
      <c r="F10163" t="s">
        <v>670</v>
      </c>
      <c r="G10163" t="s">
        <v>59</v>
      </c>
      <c r="H10163">
        <v>2025</v>
      </c>
    </row>
    <row r="10164" spans="1:8" x14ac:dyDescent="0.2">
      <c r="A10164">
        <v>319256</v>
      </c>
      <c r="B10164">
        <v>105000000</v>
      </c>
      <c r="C10164" t="str">
        <f t="shared" si="158"/>
        <v>3. $50K-250K</v>
      </c>
      <c r="D10164" t="s">
        <v>863</v>
      </c>
      <c r="E10164" t="s">
        <v>237</v>
      </c>
      <c r="F10164" t="s">
        <v>670</v>
      </c>
      <c r="G10164" t="s">
        <v>44</v>
      </c>
      <c r="H10164">
        <v>2025</v>
      </c>
    </row>
    <row r="10165" spans="1:8" x14ac:dyDescent="0.2">
      <c r="A10165">
        <v>319285</v>
      </c>
      <c r="B10165">
        <v>461733</v>
      </c>
      <c r="C10165" t="str">
        <f t="shared" si="158"/>
        <v>5. $1M+</v>
      </c>
      <c r="D10165" t="s">
        <v>1103</v>
      </c>
      <c r="E10165" t="s">
        <v>237</v>
      </c>
      <c r="F10165" t="s">
        <v>670</v>
      </c>
      <c r="G10165" t="s">
        <v>59</v>
      </c>
      <c r="H10165">
        <v>2025</v>
      </c>
    </row>
    <row r="10166" spans="1:8" x14ac:dyDescent="0.2">
      <c r="A10166">
        <v>319292</v>
      </c>
      <c r="B10166">
        <v>21000</v>
      </c>
      <c r="C10166" t="str">
        <f t="shared" si="158"/>
        <v>4. $250K-1M</v>
      </c>
      <c r="D10166" t="s">
        <v>1046</v>
      </c>
      <c r="E10166" t="s">
        <v>237</v>
      </c>
      <c r="F10166" t="s">
        <v>670</v>
      </c>
      <c r="G10166" t="s">
        <v>59</v>
      </c>
      <c r="H10166">
        <v>2025</v>
      </c>
    </row>
    <row r="10167" spans="1:8" x14ac:dyDescent="0.2">
      <c r="A10167">
        <v>319294</v>
      </c>
      <c r="B10167">
        <v>1707000</v>
      </c>
      <c r="C10167" t="str">
        <f t="shared" si="158"/>
        <v>2. $10K-50K</v>
      </c>
      <c r="D10167" t="s">
        <v>726</v>
      </c>
      <c r="E10167" t="s">
        <v>237</v>
      </c>
      <c r="F10167" t="s">
        <v>670</v>
      </c>
      <c r="G10167" t="s">
        <v>59</v>
      </c>
      <c r="H10167">
        <v>2025</v>
      </c>
    </row>
    <row r="10168" spans="1:8" x14ac:dyDescent="0.2">
      <c r="A10168">
        <v>319296</v>
      </c>
      <c r="B10168">
        <v>3813000</v>
      </c>
      <c r="C10168" t="str">
        <f t="shared" si="158"/>
        <v>5. $1M+</v>
      </c>
      <c r="D10168" t="s">
        <v>698</v>
      </c>
      <c r="E10168" t="s">
        <v>237</v>
      </c>
      <c r="F10168" t="s">
        <v>670</v>
      </c>
      <c r="G10168" t="s">
        <v>59</v>
      </c>
      <c r="H10168">
        <v>2025</v>
      </c>
    </row>
    <row r="10169" spans="1:8" x14ac:dyDescent="0.2">
      <c r="A10169">
        <v>319298</v>
      </c>
      <c r="B10169">
        <v>522000</v>
      </c>
      <c r="C10169" t="str">
        <f t="shared" si="158"/>
        <v>5. $1M+</v>
      </c>
      <c r="D10169" t="s">
        <v>700</v>
      </c>
      <c r="E10169" t="s">
        <v>237</v>
      </c>
      <c r="F10169" t="s">
        <v>670</v>
      </c>
      <c r="G10169" t="s">
        <v>59</v>
      </c>
      <c r="H10169">
        <v>2025</v>
      </c>
    </row>
    <row r="10170" spans="1:8" x14ac:dyDescent="0.2">
      <c r="A10170">
        <v>319316</v>
      </c>
      <c r="B10170">
        <v>216000</v>
      </c>
      <c r="C10170" t="str">
        <f t="shared" si="158"/>
        <v>4. $250K-1M</v>
      </c>
      <c r="D10170" t="s">
        <v>740</v>
      </c>
      <c r="E10170" t="s">
        <v>237</v>
      </c>
      <c r="F10170" t="s">
        <v>670</v>
      </c>
      <c r="G10170" t="s">
        <v>59</v>
      </c>
      <c r="H10170">
        <v>2025</v>
      </c>
    </row>
    <row r="10171" spans="1:8" x14ac:dyDescent="0.2">
      <c r="A10171">
        <v>319317</v>
      </c>
      <c r="B10171">
        <v>3174000</v>
      </c>
      <c r="C10171" t="str">
        <f t="shared" si="158"/>
        <v>3. $50K-250K</v>
      </c>
      <c r="D10171" t="s">
        <v>1514</v>
      </c>
      <c r="E10171" t="s">
        <v>237</v>
      </c>
      <c r="F10171" t="s">
        <v>670</v>
      </c>
      <c r="G10171" t="s">
        <v>59</v>
      </c>
      <c r="H10171">
        <v>2025</v>
      </c>
    </row>
    <row r="10172" spans="1:8" x14ac:dyDescent="0.2">
      <c r="A10172">
        <v>319318</v>
      </c>
      <c r="B10172">
        <v>228000</v>
      </c>
      <c r="C10172" t="str">
        <f t="shared" si="158"/>
        <v>5. $1M+</v>
      </c>
      <c r="D10172" t="s">
        <v>751</v>
      </c>
      <c r="E10172" t="s">
        <v>237</v>
      </c>
      <c r="F10172" t="s">
        <v>670</v>
      </c>
      <c r="G10172" t="s">
        <v>59</v>
      </c>
      <c r="H10172">
        <v>2025</v>
      </c>
    </row>
    <row r="10173" spans="1:8" x14ac:dyDescent="0.2">
      <c r="A10173">
        <v>319320</v>
      </c>
      <c r="B10173">
        <v>534000</v>
      </c>
      <c r="C10173" t="str">
        <f t="shared" si="158"/>
        <v>3. $50K-250K</v>
      </c>
      <c r="D10173" t="s">
        <v>706</v>
      </c>
      <c r="E10173" t="s">
        <v>237</v>
      </c>
      <c r="F10173" t="s">
        <v>670</v>
      </c>
      <c r="G10173" t="s">
        <v>59</v>
      </c>
      <c r="H10173">
        <v>2025</v>
      </c>
    </row>
    <row r="10174" spans="1:8" x14ac:dyDescent="0.2">
      <c r="A10174">
        <v>319321</v>
      </c>
      <c r="B10174">
        <v>2142000</v>
      </c>
      <c r="C10174" t="str">
        <f t="shared" si="158"/>
        <v>4. $250K-1M</v>
      </c>
      <c r="D10174" t="s">
        <v>754</v>
      </c>
      <c r="E10174" t="s">
        <v>237</v>
      </c>
      <c r="F10174" t="s">
        <v>670</v>
      </c>
      <c r="G10174" t="s">
        <v>59</v>
      </c>
      <c r="H10174">
        <v>2025</v>
      </c>
    </row>
    <row r="10175" spans="1:8" x14ac:dyDescent="0.2">
      <c r="A10175">
        <v>319322</v>
      </c>
      <c r="B10175">
        <v>246000</v>
      </c>
      <c r="C10175" t="str">
        <f t="shared" si="158"/>
        <v>5. $1M+</v>
      </c>
      <c r="D10175" t="s">
        <v>784</v>
      </c>
      <c r="E10175" t="s">
        <v>237</v>
      </c>
      <c r="F10175" t="s">
        <v>670</v>
      </c>
      <c r="G10175" t="s">
        <v>59</v>
      </c>
      <c r="H10175">
        <v>2025</v>
      </c>
    </row>
    <row r="10176" spans="1:8" x14ac:dyDescent="0.2">
      <c r="A10176">
        <v>319324</v>
      </c>
      <c r="B10176">
        <v>960000</v>
      </c>
      <c r="C10176" t="str">
        <f t="shared" si="158"/>
        <v>3. $50K-250K</v>
      </c>
      <c r="D10176" t="s">
        <v>711</v>
      </c>
      <c r="E10176" t="s">
        <v>237</v>
      </c>
      <c r="F10176" t="s">
        <v>670</v>
      </c>
      <c r="G10176" t="s">
        <v>59</v>
      </c>
      <c r="H10176">
        <v>2025</v>
      </c>
    </row>
    <row r="10177" spans="1:8" x14ac:dyDescent="0.2">
      <c r="A10177">
        <v>319325</v>
      </c>
      <c r="B10177">
        <v>4434000</v>
      </c>
      <c r="C10177" t="str">
        <f t="shared" si="158"/>
        <v>4. $250K-1M</v>
      </c>
      <c r="D10177" t="s">
        <v>712</v>
      </c>
      <c r="E10177" t="s">
        <v>237</v>
      </c>
      <c r="F10177" t="s">
        <v>670</v>
      </c>
      <c r="G10177" t="s">
        <v>59</v>
      </c>
      <c r="H10177">
        <v>2025</v>
      </c>
    </row>
    <row r="10178" spans="1:8" x14ac:dyDescent="0.2">
      <c r="A10178">
        <v>319326</v>
      </c>
      <c r="B10178">
        <v>1974000</v>
      </c>
      <c r="C10178" t="str">
        <f t="shared" si="158"/>
        <v>5. $1M+</v>
      </c>
      <c r="D10178" t="s">
        <v>713</v>
      </c>
      <c r="E10178" t="s">
        <v>237</v>
      </c>
      <c r="F10178" t="s">
        <v>670</v>
      </c>
      <c r="G10178" t="s">
        <v>59</v>
      </c>
      <c r="H10178">
        <v>2025</v>
      </c>
    </row>
    <row r="10179" spans="1:8" x14ac:dyDescent="0.2">
      <c r="A10179">
        <v>319476</v>
      </c>
      <c r="B10179">
        <v>240000</v>
      </c>
      <c r="C10179" t="str">
        <f t="shared" ref="C10179:C10242" si="159">IF(B10178&lt;10000,"1. Under $10K",IF(B10178&lt;50000,"2. $10K-50K",IF(B10178&lt;250000,"3. $50K-250K",IF(B10178&lt;1000000,"4. $250K-1M","5. $1M+"))))</f>
        <v>5. $1M+</v>
      </c>
      <c r="D10179" t="s">
        <v>692</v>
      </c>
      <c r="E10179" t="s">
        <v>59</v>
      </c>
      <c r="F10179" t="s">
        <v>670</v>
      </c>
      <c r="G10179" t="s">
        <v>59</v>
      </c>
      <c r="H10179">
        <v>2025</v>
      </c>
    </row>
    <row r="10180" spans="1:8" x14ac:dyDescent="0.2">
      <c r="A10180">
        <v>31952</v>
      </c>
      <c r="B10180">
        <v>253431.4</v>
      </c>
      <c r="C10180" t="str">
        <f t="shared" si="159"/>
        <v>3. $50K-250K</v>
      </c>
      <c r="D10180" t="s">
        <v>514</v>
      </c>
      <c r="E10180" t="s">
        <v>65</v>
      </c>
      <c r="F10180" t="s">
        <v>12</v>
      </c>
      <c r="G10180" t="s">
        <v>10</v>
      </c>
      <c r="H10180">
        <v>2023</v>
      </c>
    </row>
    <row r="10181" spans="1:8" x14ac:dyDescent="0.2">
      <c r="A10181">
        <v>319520</v>
      </c>
      <c r="B10181">
        <v>307822</v>
      </c>
      <c r="C10181" t="str">
        <f t="shared" si="159"/>
        <v>4. $250K-1M</v>
      </c>
      <c r="D10181" t="s">
        <v>1103</v>
      </c>
      <c r="E10181" t="s">
        <v>237</v>
      </c>
      <c r="F10181" t="s">
        <v>670</v>
      </c>
      <c r="G10181" t="s">
        <v>59</v>
      </c>
      <c r="H10181">
        <v>2025</v>
      </c>
    </row>
    <row r="10182" spans="1:8" x14ac:dyDescent="0.2">
      <c r="A10182">
        <v>31956</v>
      </c>
      <c r="B10182">
        <v>135648.09999999899</v>
      </c>
      <c r="C10182" t="str">
        <f t="shared" si="159"/>
        <v>4. $250K-1M</v>
      </c>
      <c r="D10182" t="s">
        <v>128</v>
      </c>
      <c r="E10182" t="s">
        <v>8</v>
      </c>
      <c r="F10182" t="s">
        <v>9</v>
      </c>
      <c r="G10182" t="s">
        <v>10</v>
      </c>
      <c r="H10182">
        <v>2023</v>
      </c>
    </row>
    <row r="10183" spans="1:8" x14ac:dyDescent="0.2">
      <c r="A10183">
        <v>319577</v>
      </c>
      <c r="B10183">
        <v>1323451</v>
      </c>
      <c r="C10183" t="str">
        <f t="shared" si="159"/>
        <v>3. $50K-250K</v>
      </c>
      <c r="D10183" t="s">
        <v>673</v>
      </c>
      <c r="E10183" t="s">
        <v>42</v>
      </c>
      <c r="F10183" t="s">
        <v>670</v>
      </c>
      <c r="G10183" t="s">
        <v>59</v>
      </c>
      <c r="H10183">
        <v>2025</v>
      </c>
    </row>
    <row r="10184" spans="1:8" x14ac:dyDescent="0.2">
      <c r="A10184">
        <v>319578</v>
      </c>
      <c r="B10184">
        <v>146792</v>
      </c>
      <c r="C10184" t="str">
        <f t="shared" si="159"/>
        <v>5. $1M+</v>
      </c>
      <c r="D10184" t="s">
        <v>690</v>
      </c>
      <c r="E10184" t="s">
        <v>42</v>
      </c>
      <c r="F10184" t="s">
        <v>670</v>
      </c>
      <c r="G10184" t="s">
        <v>59</v>
      </c>
      <c r="H10184">
        <v>2025</v>
      </c>
    </row>
    <row r="10185" spans="1:8" x14ac:dyDescent="0.2">
      <c r="A10185">
        <v>319579</v>
      </c>
      <c r="B10185">
        <v>129285</v>
      </c>
      <c r="C10185" t="str">
        <f t="shared" si="159"/>
        <v>3. $50K-250K</v>
      </c>
      <c r="D10185" t="s">
        <v>689</v>
      </c>
      <c r="E10185" t="s">
        <v>42</v>
      </c>
      <c r="F10185" t="s">
        <v>670</v>
      </c>
      <c r="G10185" t="s">
        <v>59</v>
      </c>
      <c r="H10185">
        <v>2025</v>
      </c>
    </row>
    <row r="10186" spans="1:8" x14ac:dyDescent="0.2">
      <c r="A10186">
        <v>319580</v>
      </c>
      <c r="B10186">
        <v>310966</v>
      </c>
      <c r="C10186" t="str">
        <f t="shared" si="159"/>
        <v>3. $50K-250K</v>
      </c>
      <c r="D10186" t="s">
        <v>683</v>
      </c>
      <c r="E10186" t="s">
        <v>42</v>
      </c>
      <c r="F10186" t="s">
        <v>670</v>
      </c>
      <c r="G10186" t="s">
        <v>59</v>
      </c>
      <c r="H10186">
        <v>2025</v>
      </c>
    </row>
    <row r="10187" spans="1:8" x14ac:dyDescent="0.2">
      <c r="A10187">
        <v>319581</v>
      </c>
      <c r="B10187">
        <v>249386</v>
      </c>
      <c r="C10187" t="str">
        <f t="shared" si="159"/>
        <v>4. $250K-1M</v>
      </c>
      <c r="D10187" t="s">
        <v>684</v>
      </c>
      <c r="E10187" t="s">
        <v>42</v>
      </c>
      <c r="F10187" t="s">
        <v>670</v>
      </c>
      <c r="G10187" t="s">
        <v>59</v>
      </c>
      <c r="H10187">
        <v>2025</v>
      </c>
    </row>
    <row r="10188" spans="1:8" x14ac:dyDescent="0.2">
      <c r="A10188">
        <v>319582</v>
      </c>
      <c r="B10188">
        <v>236000</v>
      </c>
      <c r="C10188" t="str">
        <f t="shared" si="159"/>
        <v>3. $50K-250K</v>
      </c>
      <c r="D10188" t="s">
        <v>687</v>
      </c>
      <c r="E10188" t="s">
        <v>42</v>
      </c>
      <c r="F10188" t="s">
        <v>670</v>
      </c>
      <c r="G10188" t="s">
        <v>59</v>
      </c>
      <c r="H10188">
        <v>2025</v>
      </c>
    </row>
    <row r="10189" spans="1:8" x14ac:dyDescent="0.2">
      <c r="A10189">
        <v>319583</v>
      </c>
      <c r="B10189">
        <v>3034021</v>
      </c>
      <c r="C10189" t="str">
        <f t="shared" si="159"/>
        <v>3. $50K-250K</v>
      </c>
      <c r="D10189" t="s">
        <v>682</v>
      </c>
      <c r="E10189" t="s">
        <v>42</v>
      </c>
      <c r="F10189" t="s">
        <v>670</v>
      </c>
      <c r="G10189" t="s">
        <v>59</v>
      </c>
      <c r="H10189">
        <v>2025</v>
      </c>
    </row>
    <row r="10190" spans="1:8" x14ac:dyDescent="0.2">
      <c r="A10190">
        <v>319584</v>
      </c>
      <c r="B10190">
        <v>690297</v>
      </c>
      <c r="C10190" t="str">
        <f t="shared" si="159"/>
        <v>5. $1M+</v>
      </c>
      <c r="D10190" t="s">
        <v>685</v>
      </c>
      <c r="E10190" t="s">
        <v>42</v>
      </c>
      <c r="F10190" t="s">
        <v>670</v>
      </c>
      <c r="G10190" t="s">
        <v>59</v>
      </c>
      <c r="H10190">
        <v>2025</v>
      </c>
    </row>
    <row r="10191" spans="1:8" x14ac:dyDescent="0.2">
      <c r="A10191">
        <v>319585</v>
      </c>
      <c r="B10191">
        <v>732240</v>
      </c>
      <c r="C10191" t="str">
        <f t="shared" si="159"/>
        <v>4. $250K-1M</v>
      </c>
      <c r="D10191" t="s">
        <v>1473</v>
      </c>
      <c r="E10191" t="s">
        <v>42</v>
      </c>
      <c r="F10191" t="s">
        <v>670</v>
      </c>
      <c r="G10191" t="s">
        <v>59</v>
      </c>
      <c r="H10191">
        <v>2025</v>
      </c>
    </row>
    <row r="10192" spans="1:8" x14ac:dyDescent="0.2">
      <c r="A10192">
        <v>319586</v>
      </c>
      <c r="B10192">
        <v>1000000</v>
      </c>
      <c r="C10192" t="str">
        <f t="shared" si="159"/>
        <v>4. $250K-1M</v>
      </c>
      <c r="D10192" t="s">
        <v>673</v>
      </c>
      <c r="E10192" t="s">
        <v>42</v>
      </c>
      <c r="F10192" t="s">
        <v>670</v>
      </c>
      <c r="G10192" t="s">
        <v>59</v>
      </c>
      <c r="H10192">
        <v>2025</v>
      </c>
    </row>
    <row r="10193" spans="1:8" x14ac:dyDescent="0.2">
      <c r="A10193">
        <v>319624</v>
      </c>
      <c r="B10193">
        <v>240000</v>
      </c>
      <c r="C10193" t="str">
        <f t="shared" si="159"/>
        <v>5. $1M+</v>
      </c>
      <c r="D10193" t="s">
        <v>692</v>
      </c>
      <c r="E10193" t="s">
        <v>42</v>
      </c>
      <c r="F10193" t="s">
        <v>670</v>
      </c>
      <c r="G10193" t="s">
        <v>59</v>
      </c>
      <c r="H10193">
        <v>2025</v>
      </c>
    </row>
    <row r="10194" spans="1:8" x14ac:dyDescent="0.2">
      <c r="A10194">
        <v>319773</v>
      </c>
      <c r="B10194">
        <v>20000</v>
      </c>
      <c r="C10194" t="str">
        <f t="shared" si="159"/>
        <v>3. $50K-250K</v>
      </c>
      <c r="D10194" t="s">
        <v>2602</v>
      </c>
      <c r="E10194" t="s">
        <v>112</v>
      </c>
      <c r="F10194" t="s">
        <v>668</v>
      </c>
      <c r="G10194" t="s">
        <v>59</v>
      </c>
      <c r="H10194">
        <v>2025</v>
      </c>
    </row>
    <row r="10195" spans="1:8" x14ac:dyDescent="0.2">
      <c r="A10195">
        <v>319774</v>
      </c>
      <c r="B10195">
        <v>15756.1</v>
      </c>
      <c r="C10195" t="str">
        <f t="shared" si="159"/>
        <v>2. $10K-50K</v>
      </c>
      <c r="D10195" t="s">
        <v>2073</v>
      </c>
      <c r="E10195" t="s">
        <v>112</v>
      </c>
      <c r="F10195" t="s">
        <v>668</v>
      </c>
      <c r="G10195" t="s">
        <v>59</v>
      </c>
      <c r="H10195">
        <v>2025</v>
      </c>
    </row>
    <row r="10196" spans="1:8" x14ac:dyDescent="0.2">
      <c r="A10196">
        <v>319776</v>
      </c>
      <c r="B10196">
        <v>20000</v>
      </c>
      <c r="C10196" t="str">
        <f t="shared" si="159"/>
        <v>2. $10K-50K</v>
      </c>
      <c r="D10196" t="s">
        <v>2603</v>
      </c>
      <c r="E10196" t="s">
        <v>112</v>
      </c>
      <c r="F10196" t="s">
        <v>668</v>
      </c>
      <c r="G10196" t="s">
        <v>59</v>
      </c>
      <c r="H10196">
        <v>2025</v>
      </c>
    </row>
    <row r="10197" spans="1:8" x14ac:dyDescent="0.2">
      <c r="A10197">
        <v>319777</v>
      </c>
      <c r="B10197">
        <v>20000</v>
      </c>
      <c r="C10197" t="str">
        <f t="shared" si="159"/>
        <v>2. $10K-50K</v>
      </c>
      <c r="D10197" t="s">
        <v>2604</v>
      </c>
      <c r="E10197" t="s">
        <v>112</v>
      </c>
      <c r="F10197" t="s">
        <v>668</v>
      </c>
      <c r="G10197" t="s">
        <v>59</v>
      </c>
      <c r="H10197">
        <v>2025</v>
      </c>
    </row>
    <row r="10198" spans="1:8" x14ac:dyDescent="0.2">
      <c r="A10198">
        <v>319853</v>
      </c>
      <c r="B10198">
        <v>126111</v>
      </c>
      <c r="C10198" t="str">
        <f t="shared" si="159"/>
        <v>2. $10K-50K</v>
      </c>
      <c r="D10198" t="s">
        <v>968</v>
      </c>
      <c r="E10198" t="s">
        <v>42</v>
      </c>
      <c r="F10198" t="s">
        <v>670</v>
      </c>
      <c r="G10198" t="s">
        <v>59</v>
      </c>
      <c r="H10198">
        <v>2025</v>
      </c>
    </row>
    <row r="10199" spans="1:8" x14ac:dyDescent="0.2">
      <c r="A10199">
        <v>319854</v>
      </c>
      <c r="B10199">
        <v>638530</v>
      </c>
      <c r="C10199" t="str">
        <f t="shared" si="159"/>
        <v>3. $50K-250K</v>
      </c>
      <c r="D10199" t="s">
        <v>686</v>
      </c>
      <c r="E10199" t="s">
        <v>42</v>
      </c>
      <c r="F10199" t="s">
        <v>670</v>
      </c>
      <c r="G10199" t="s">
        <v>59</v>
      </c>
      <c r="H10199">
        <v>2025</v>
      </c>
    </row>
    <row r="10200" spans="1:8" x14ac:dyDescent="0.2">
      <c r="A10200">
        <v>319870</v>
      </c>
      <c r="B10200">
        <v>4002</v>
      </c>
      <c r="C10200" t="str">
        <f t="shared" si="159"/>
        <v>4. $250K-1M</v>
      </c>
      <c r="D10200" t="s">
        <v>1435</v>
      </c>
      <c r="E10200" t="s">
        <v>99</v>
      </c>
      <c r="F10200" t="s">
        <v>668</v>
      </c>
      <c r="G10200" t="s">
        <v>59</v>
      </c>
      <c r="H10200">
        <v>2025</v>
      </c>
    </row>
    <row r="10201" spans="1:8" x14ac:dyDescent="0.2">
      <c r="A10201">
        <v>319871</v>
      </c>
      <c r="B10201">
        <v>750000</v>
      </c>
      <c r="C10201" t="str">
        <f t="shared" si="159"/>
        <v>1. Under $10K</v>
      </c>
      <c r="D10201" t="s">
        <v>2605</v>
      </c>
      <c r="E10201" t="s">
        <v>99</v>
      </c>
      <c r="F10201" t="s">
        <v>668</v>
      </c>
      <c r="G10201" t="s">
        <v>59</v>
      </c>
      <c r="H10201">
        <v>2025</v>
      </c>
    </row>
    <row r="10202" spans="1:8" x14ac:dyDescent="0.2">
      <c r="A10202">
        <v>319903</v>
      </c>
      <c r="B10202">
        <v>55000</v>
      </c>
      <c r="C10202" t="str">
        <f t="shared" si="159"/>
        <v>4. $250K-1M</v>
      </c>
      <c r="D10202" t="s">
        <v>1453</v>
      </c>
      <c r="E10202" t="s">
        <v>819</v>
      </c>
      <c r="F10202" t="s">
        <v>670</v>
      </c>
      <c r="G10202" t="s">
        <v>59</v>
      </c>
      <c r="H10202">
        <v>2025</v>
      </c>
    </row>
    <row r="10203" spans="1:8" x14ac:dyDescent="0.2">
      <c r="A10203">
        <v>31991</v>
      </c>
      <c r="B10203">
        <v>48448117</v>
      </c>
      <c r="C10203" t="str">
        <f t="shared" si="159"/>
        <v>3. $50K-250K</v>
      </c>
      <c r="D10203" t="s">
        <v>1426</v>
      </c>
      <c r="E10203" t="s">
        <v>52</v>
      </c>
      <c r="F10203" t="s">
        <v>668</v>
      </c>
      <c r="G10203" t="s">
        <v>59</v>
      </c>
      <c r="H10203">
        <v>2023</v>
      </c>
    </row>
    <row r="10204" spans="1:8" x14ac:dyDescent="0.2">
      <c r="A10204">
        <v>31994</v>
      </c>
      <c r="B10204">
        <v>130000</v>
      </c>
      <c r="C10204" t="str">
        <f t="shared" si="159"/>
        <v>5. $1M+</v>
      </c>
      <c r="D10204" t="s">
        <v>515</v>
      </c>
      <c r="E10204" t="s">
        <v>8</v>
      </c>
      <c r="F10204" t="s">
        <v>14</v>
      </c>
      <c r="G10204" t="s">
        <v>61</v>
      </c>
      <c r="H10204">
        <v>2023</v>
      </c>
    </row>
    <row r="10205" spans="1:8" x14ac:dyDescent="0.2">
      <c r="A10205">
        <v>320011</v>
      </c>
      <c r="B10205">
        <v>6000</v>
      </c>
      <c r="C10205" t="str">
        <f t="shared" si="159"/>
        <v>3. $50K-250K</v>
      </c>
      <c r="D10205" t="s">
        <v>2606</v>
      </c>
      <c r="E10205" t="s">
        <v>112</v>
      </c>
      <c r="F10205" t="s">
        <v>668</v>
      </c>
      <c r="G10205" t="s">
        <v>59</v>
      </c>
      <c r="H10205">
        <v>2025</v>
      </c>
    </row>
    <row r="10206" spans="1:8" x14ac:dyDescent="0.2">
      <c r="A10206">
        <v>320017</v>
      </c>
      <c r="B10206">
        <v>6000</v>
      </c>
      <c r="C10206" t="str">
        <f t="shared" si="159"/>
        <v>1. Under $10K</v>
      </c>
      <c r="D10206" t="s">
        <v>2607</v>
      </c>
      <c r="E10206" t="s">
        <v>112</v>
      </c>
      <c r="F10206" t="s">
        <v>668</v>
      </c>
      <c r="G10206" t="s">
        <v>59</v>
      </c>
      <c r="H10206">
        <v>2025</v>
      </c>
    </row>
    <row r="10207" spans="1:8" x14ac:dyDescent="0.2">
      <c r="A10207">
        <v>320026</v>
      </c>
      <c r="B10207">
        <v>6000</v>
      </c>
      <c r="C10207" t="str">
        <f t="shared" si="159"/>
        <v>1. Under $10K</v>
      </c>
      <c r="D10207" t="s">
        <v>2608</v>
      </c>
      <c r="E10207" t="s">
        <v>112</v>
      </c>
      <c r="F10207" t="s">
        <v>668</v>
      </c>
      <c r="G10207" t="s">
        <v>59</v>
      </c>
      <c r="H10207">
        <v>2025</v>
      </c>
    </row>
    <row r="10208" spans="1:8" x14ac:dyDescent="0.2">
      <c r="A10208">
        <v>320104</v>
      </c>
      <c r="B10208">
        <v>4797668</v>
      </c>
      <c r="C10208" t="str">
        <f t="shared" si="159"/>
        <v>1. Under $10K</v>
      </c>
      <c r="D10208" t="s">
        <v>968</v>
      </c>
      <c r="E10208" t="s">
        <v>42</v>
      </c>
      <c r="F10208" t="s">
        <v>670</v>
      </c>
      <c r="G10208" t="s">
        <v>59</v>
      </c>
      <c r="H10208">
        <v>2025</v>
      </c>
    </row>
    <row r="10209" spans="1:8" x14ac:dyDescent="0.2">
      <c r="A10209">
        <v>320165</v>
      </c>
      <c r="B10209">
        <v>18344044</v>
      </c>
      <c r="C10209" t="str">
        <f t="shared" si="159"/>
        <v>5. $1M+</v>
      </c>
      <c r="D10209" t="s">
        <v>2594</v>
      </c>
      <c r="E10209" t="s">
        <v>99</v>
      </c>
      <c r="F10209" t="s">
        <v>668</v>
      </c>
      <c r="G10209" t="s">
        <v>59</v>
      </c>
      <c r="H10209">
        <v>2025</v>
      </c>
    </row>
    <row r="10210" spans="1:8" x14ac:dyDescent="0.2">
      <c r="A10210">
        <v>320168</v>
      </c>
      <c r="B10210">
        <v>40000</v>
      </c>
      <c r="C10210" t="str">
        <f t="shared" si="159"/>
        <v>5. $1M+</v>
      </c>
      <c r="D10210" t="s">
        <v>783</v>
      </c>
      <c r="E10210" t="s">
        <v>42</v>
      </c>
      <c r="F10210" t="s">
        <v>670</v>
      </c>
      <c r="G10210" t="s">
        <v>44</v>
      </c>
      <c r="H10210">
        <v>2025</v>
      </c>
    </row>
    <row r="10211" spans="1:8" x14ac:dyDescent="0.2">
      <c r="A10211">
        <v>320169</v>
      </c>
      <c r="B10211">
        <v>40000</v>
      </c>
      <c r="C10211" t="str">
        <f t="shared" si="159"/>
        <v>2. $10K-50K</v>
      </c>
      <c r="D10211" t="s">
        <v>801</v>
      </c>
      <c r="E10211" t="s">
        <v>42</v>
      </c>
      <c r="F10211" t="s">
        <v>670</v>
      </c>
      <c r="G10211" t="s">
        <v>44</v>
      </c>
      <c r="H10211">
        <v>2025</v>
      </c>
    </row>
    <row r="10212" spans="1:8" x14ac:dyDescent="0.2">
      <c r="A10212">
        <v>320173</v>
      </c>
      <c r="B10212">
        <v>6000</v>
      </c>
      <c r="C10212" t="str">
        <f t="shared" si="159"/>
        <v>2. $10K-50K</v>
      </c>
      <c r="D10212" t="s">
        <v>2609</v>
      </c>
      <c r="E10212" t="s">
        <v>112</v>
      </c>
      <c r="F10212" t="s">
        <v>668</v>
      </c>
      <c r="G10212" t="s">
        <v>59</v>
      </c>
      <c r="H10212">
        <v>2025</v>
      </c>
    </row>
    <row r="10213" spans="1:8" x14ac:dyDescent="0.2">
      <c r="A10213">
        <v>320174</v>
      </c>
      <c r="B10213">
        <v>6000</v>
      </c>
      <c r="C10213" t="str">
        <f t="shared" si="159"/>
        <v>1. Under $10K</v>
      </c>
      <c r="D10213" t="s">
        <v>2610</v>
      </c>
      <c r="E10213" t="s">
        <v>112</v>
      </c>
      <c r="F10213" t="s">
        <v>668</v>
      </c>
      <c r="G10213" t="s">
        <v>59</v>
      </c>
      <c r="H10213">
        <v>2025</v>
      </c>
    </row>
    <row r="10214" spans="1:8" x14ac:dyDescent="0.2">
      <c r="A10214">
        <v>320178</v>
      </c>
      <c r="B10214">
        <v>6000</v>
      </c>
      <c r="C10214" t="str">
        <f t="shared" si="159"/>
        <v>1. Under $10K</v>
      </c>
      <c r="D10214" t="s">
        <v>2611</v>
      </c>
      <c r="E10214" t="s">
        <v>112</v>
      </c>
      <c r="F10214" t="s">
        <v>668</v>
      </c>
      <c r="G10214" t="s">
        <v>59</v>
      </c>
      <c r="H10214">
        <v>2025</v>
      </c>
    </row>
    <row r="10215" spans="1:8" x14ac:dyDescent="0.2">
      <c r="A10215">
        <v>320182</v>
      </c>
      <c r="B10215">
        <v>6000</v>
      </c>
      <c r="C10215" t="str">
        <f t="shared" si="159"/>
        <v>1. Under $10K</v>
      </c>
      <c r="D10215" t="s">
        <v>2612</v>
      </c>
      <c r="E10215" t="s">
        <v>112</v>
      </c>
      <c r="F10215" t="s">
        <v>668</v>
      </c>
      <c r="G10215" t="s">
        <v>59</v>
      </c>
      <c r="H10215">
        <v>2025</v>
      </c>
    </row>
    <row r="10216" spans="1:8" x14ac:dyDescent="0.2">
      <c r="A10216">
        <v>320191</v>
      </c>
      <c r="B10216">
        <v>6000</v>
      </c>
      <c r="C10216" t="str">
        <f t="shared" si="159"/>
        <v>1. Under $10K</v>
      </c>
      <c r="D10216" t="s">
        <v>2613</v>
      </c>
      <c r="E10216" t="s">
        <v>112</v>
      </c>
      <c r="F10216" t="s">
        <v>668</v>
      </c>
      <c r="G10216" t="s">
        <v>59</v>
      </c>
      <c r="H10216">
        <v>2025</v>
      </c>
    </row>
    <row r="10217" spans="1:8" x14ac:dyDescent="0.2">
      <c r="A10217">
        <v>320196</v>
      </c>
      <c r="B10217">
        <v>7000</v>
      </c>
      <c r="C10217" t="str">
        <f t="shared" si="159"/>
        <v>1. Under $10K</v>
      </c>
      <c r="D10217" t="s">
        <v>2503</v>
      </c>
      <c r="E10217" t="s">
        <v>112</v>
      </c>
      <c r="F10217" t="s">
        <v>668</v>
      </c>
      <c r="G10217" t="s">
        <v>59</v>
      </c>
      <c r="H10217">
        <v>2025</v>
      </c>
    </row>
    <row r="10218" spans="1:8" x14ac:dyDescent="0.2">
      <c r="A10218">
        <v>320272</v>
      </c>
      <c r="B10218">
        <v>46537</v>
      </c>
      <c r="C10218" t="str">
        <f t="shared" si="159"/>
        <v>1. Under $10K</v>
      </c>
      <c r="D10218" t="s">
        <v>878</v>
      </c>
      <c r="E10218" t="s">
        <v>237</v>
      </c>
      <c r="F10218" t="s">
        <v>670</v>
      </c>
      <c r="G10218" t="s">
        <v>59</v>
      </c>
      <c r="H10218">
        <v>2025</v>
      </c>
    </row>
    <row r="10219" spans="1:8" x14ac:dyDescent="0.2">
      <c r="A10219">
        <v>320273</v>
      </c>
      <c r="B10219">
        <v>5368108</v>
      </c>
      <c r="C10219" t="str">
        <f t="shared" si="159"/>
        <v>2. $10K-50K</v>
      </c>
      <c r="D10219" t="s">
        <v>2071</v>
      </c>
      <c r="E10219" t="s">
        <v>237</v>
      </c>
      <c r="F10219" t="s">
        <v>670</v>
      </c>
      <c r="G10219" t="s">
        <v>59</v>
      </c>
      <c r="H10219">
        <v>2025</v>
      </c>
    </row>
    <row r="10220" spans="1:8" x14ac:dyDescent="0.2">
      <c r="A10220">
        <v>320274</v>
      </c>
      <c r="B10220">
        <v>106033</v>
      </c>
      <c r="C10220" t="str">
        <f t="shared" si="159"/>
        <v>5. $1M+</v>
      </c>
      <c r="D10220" t="s">
        <v>874</v>
      </c>
      <c r="E10220" t="s">
        <v>237</v>
      </c>
      <c r="F10220" t="s">
        <v>670</v>
      </c>
      <c r="G10220" t="s">
        <v>59</v>
      </c>
      <c r="H10220">
        <v>2025</v>
      </c>
    </row>
    <row r="10221" spans="1:8" x14ac:dyDescent="0.2">
      <c r="A10221">
        <v>320275</v>
      </c>
      <c r="B10221">
        <v>371420</v>
      </c>
      <c r="C10221" t="str">
        <f t="shared" si="159"/>
        <v>3. $50K-250K</v>
      </c>
      <c r="D10221" t="s">
        <v>860</v>
      </c>
      <c r="E10221" t="s">
        <v>237</v>
      </c>
      <c r="F10221" t="s">
        <v>670</v>
      </c>
      <c r="G10221" t="s">
        <v>59</v>
      </c>
      <c r="H10221">
        <v>2025</v>
      </c>
    </row>
    <row r="10222" spans="1:8" x14ac:dyDescent="0.2">
      <c r="A10222">
        <v>320280</v>
      </c>
      <c r="B10222">
        <v>72270</v>
      </c>
      <c r="C10222" t="str">
        <f t="shared" si="159"/>
        <v>4. $250K-1M</v>
      </c>
      <c r="D10222" t="s">
        <v>812</v>
      </c>
      <c r="E10222" t="s">
        <v>237</v>
      </c>
      <c r="F10222" t="s">
        <v>670</v>
      </c>
      <c r="G10222" t="s">
        <v>59</v>
      </c>
      <c r="H10222">
        <v>2025</v>
      </c>
    </row>
    <row r="10223" spans="1:8" x14ac:dyDescent="0.2">
      <c r="A10223">
        <v>320283</v>
      </c>
      <c r="B10223">
        <v>262800</v>
      </c>
      <c r="C10223" t="str">
        <f t="shared" si="159"/>
        <v>3. $50K-250K</v>
      </c>
      <c r="D10223" t="s">
        <v>879</v>
      </c>
      <c r="E10223" t="s">
        <v>237</v>
      </c>
      <c r="F10223" t="s">
        <v>670</v>
      </c>
      <c r="G10223" t="s">
        <v>59</v>
      </c>
      <c r="H10223">
        <v>2025</v>
      </c>
    </row>
    <row r="10224" spans="1:8" x14ac:dyDescent="0.2">
      <c r="A10224">
        <v>320285</v>
      </c>
      <c r="B10224">
        <v>328954</v>
      </c>
      <c r="C10224" t="str">
        <f t="shared" si="159"/>
        <v>4. $250K-1M</v>
      </c>
      <c r="D10224" t="s">
        <v>860</v>
      </c>
      <c r="E10224" t="s">
        <v>237</v>
      </c>
      <c r="F10224" t="s">
        <v>670</v>
      </c>
      <c r="G10224" t="s">
        <v>59</v>
      </c>
      <c r="H10224">
        <v>2025</v>
      </c>
    </row>
    <row r="10225" spans="1:8" x14ac:dyDescent="0.2">
      <c r="A10225">
        <v>320290</v>
      </c>
      <c r="B10225">
        <v>57488</v>
      </c>
      <c r="C10225" t="str">
        <f t="shared" si="159"/>
        <v>4. $250K-1M</v>
      </c>
      <c r="D10225" t="s">
        <v>887</v>
      </c>
      <c r="E10225" t="s">
        <v>237</v>
      </c>
      <c r="F10225" t="s">
        <v>670</v>
      </c>
      <c r="G10225" t="s">
        <v>59</v>
      </c>
      <c r="H10225">
        <v>2025</v>
      </c>
    </row>
    <row r="10226" spans="1:8" x14ac:dyDescent="0.2">
      <c r="A10226">
        <v>320292</v>
      </c>
      <c r="B10226">
        <v>267148</v>
      </c>
      <c r="C10226" t="str">
        <f t="shared" si="159"/>
        <v>3. $50K-250K</v>
      </c>
      <c r="D10226" t="s">
        <v>867</v>
      </c>
      <c r="E10226" t="s">
        <v>237</v>
      </c>
      <c r="F10226" t="s">
        <v>670</v>
      </c>
      <c r="G10226" t="s">
        <v>59</v>
      </c>
      <c r="H10226">
        <v>2025</v>
      </c>
    </row>
    <row r="10227" spans="1:8" x14ac:dyDescent="0.2">
      <c r="A10227">
        <v>320293</v>
      </c>
      <c r="B10227">
        <v>186652</v>
      </c>
      <c r="C10227" t="str">
        <f t="shared" si="159"/>
        <v>4. $250K-1M</v>
      </c>
      <c r="D10227" t="s">
        <v>867</v>
      </c>
      <c r="E10227" t="s">
        <v>237</v>
      </c>
      <c r="F10227" t="s">
        <v>670</v>
      </c>
      <c r="G10227" t="s">
        <v>59</v>
      </c>
      <c r="H10227">
        <v>2025</v>
      </c>
    </row>
    <row r="10228" spans="1:8" x14ac:dyDescent="0.2">
      <c r="A10228">
        <v>320296</v>
      </c>
      <c r="B10228">
        <v>42158</v>
      </c>
      <c r="C10228" t="str">
        <f t="shared" si="159"/>
        <v>3. $50K-250K</v>
      </c>
      <c r="D10228" t="s">
        <v>867</v>
      </c>
      <c r="E10228" t="s">
        <v>237</v>
      </c>
      <c r="F10228" t="s">
        <v>670</v>
      </c>
      <c r="G10228" t="s">
        <v>59</v>
      </c>
      <c r="H10228">
        <v>2025</v>
      </c>
    </row>
    <row r="10229" spans="1:8" x14ac:dyDescent="0.2">
      <c r="A10229">
        <v>320297</v>
      </c>
      <c r="B10229">
        <v>63875</v>
      </c>
      <c r="C10229" t="str">
        <f t="shared" si="159"/>
        <v>2. $10K-50K</v>
      </c>
      <c r="D10229" t="s">
        <v>862</v>
      </c>
      <c r="E10229" t="s">
        <v>237</v>
      </c>
      <c r="F10229" t="s">
        <v>670</v>
      </c>
      <c r="G10229" t="s">
        <v>59</v>
      </c>
      <c r="H10229">
        <v>2025</v>
      </c>
    </row>
    <row r="10230" spans="1:8" x14ac:dyDescent="0.2">
      <c r="A10230">
        <v>320302</v>
      </c>
      <c r="B10230">
        <v>71994</v>
      </c>
      <c r="C10230" t="str">
        <f t="shared" si="159"/>
        <v>3. $50K-250K</v>
      </c>
      <c r="D10230" t="s">
        <v>988</v>
      </c>
      <c r="E10230" t="s">
        <v>237</v>
      </c>
      <c r="F10230" t="s">
        <v>670</v>
      </c>
      <c r="G10230" t="s">
        <v>59</v>
      </c>
      <c r="H10230">
        <v>2025</v>
      </c>
    </row>
    <row r="10231" spans="1:8" x14ac:dyDescent="0.2">
      <c r="A10231">
        <v>320313</v>
      </c>
      <c r="B10231">
        <v>492750</v>
      </c>
      <c r="C10231" t="str">
        <f t="shared" si="159"/>
        <v>3. $50K-250K</v>
      </c>
      <c r="D10231" t="s">
        <v>857</v>
      </c>
      <c r="E10231" t="s">
        <v>237</v>
      </c>
      <c r="F10231" t="s">
        <v>670</v>
      </c>
      <c r="G10231" t="s">
        <v>59</v>
      </c>
      <c r="H10231">
        <v>2025</v>
      </c>
    </row>
    <row r="10232" spans="1:8" x14ac:dyDescent="0.2">
      <c r="A10232">
        <v>320316</v>
      </c>
      <c r="B10232">
        <v>488536</v>
      </c>
      <c r="C10232" t="str">
        <f t="shared" si="159"/>
        <v>4. $250K-1M</v>
      </c>
      <c r="D10232" t="s">
        <v>851</v>
      </c>
      <c r="E10232" t="s">
        <v>237</v>
      </c>
      <c r="F10232" t="s">
        <v>670</v>
      </c>
      <c r="G10232" t="s">
        <v>59</v>
      </c>
      <c r="H10232">
        <v>2025</v>
      </c>
    </row>
    <row r="10233" spans="1:8" x14ac:dyDescent="0.2">
      <c r="A10233">
        <v>320317</v>
      </c>
      <c r="B10233">
        <v>260165</v>
      </c>
      <c r="C10233" t="str">
        <f t="shared" si="159"/>
        <v>4. $250K-1M</v>
      </c>
      <c r="D10233" t="s">
        <v>864</v>
      </c>
      <c r="E10233" t="s">
        <v>237</v>
      </c>
      <c r="F10233" t="s">
        <v>670</v>
      </c>
      <c r="G10233" t="s">
        <v>59</v>
      </c>
      <c r="H10233">
        <v>2025</v>
      </c>
    </row>
    <row r="10234" spans="1:8" x14ac:dyDescent="0.2">
      <c r="A10234">
        <v>320318</v>
      </c>
      <c r="B10234">
        <v>29200</v>
      </c>
      <c r="C10234" t="str">
        <f t="shared" si="159"/>
        <v>4. $250K-1M</v>
      </c>
      <c r="D10234" t="s">
        <v>869</v>
      </c>
      <c r="E10234" t="s">
        <v>237</v>
      </c>
      <c r="F10234" t="s">
        <v>670</v>
      </c>
      <c r="G10234" t="s">
        <v>59</v>
      </c>
      <c r="H10234">
        <v>2025</v>
      </c>
    </row>
    <row r="10235" spans="1:8" x14ac:dyDescent="0.2">
      <c r="A10235">
        <v>320343</v>
      </c>
      <c r="B10235">
        <v>8372000</v>
      </c>
      <c r="C10235" t="str">
        <f t="shared" si="159"/>
        <v>2. $10K-50K</v>
      </c>
      <c r="D10235" t="s">
        <v>1601</v>
      </c>
      <c r="E10235" t="s">
        <v>237</v>
      </c>
      <c r="F10235" t="s">
        <v>670</v>
      </c>
      <c r="G10235" t="s">
        <v>59</v>
      </c>
      <c r="H10235">
        <v>2025</v>
      </c>
    </row>
    <row r="10236" spans="1:8" x14ac:dyDescent="0.2">
      <c r="A10236">
        <v>320351</v>
      </c>
      <c r="B10236">
        <v>48167</v>
      </c>
      <c r="C10236" t="str">
        <f t="shared" si="159"/>
        <v>5. $1M+</v>
      </c>
      <c r="D10236" t="s">
        <v>957</v>
      </c>
      <c r="E10236" t="s">
        <v>237</v>
      </c>
      <c r="F10236" t="s">
        <v>670</v>
      </c>
      <c r="G10236" t="s">
        <v>59</v>
      </c>
      <c r="H10236">
        <v>2025</v>
      </c>
    </row>
    <row r="10237" spans="1:8" x14ac:dyDescent="0.2">
      <c r="A10237">
        <v>320352</v>
      </c>
      <c r="B10237">
        <v>34688</v>
      </c>
      <c r="C10237" t="str">
        <f t="shared" si="159"/>
        <v>2. $10K-50K</v>
      </c>
      <c r="D10237" t="s">
        <v>507</v>
      </c>
      <c r="E10237" t="s">
        <v>237</v>
      </c>
      <c r="F10237" t="s">
        <v>670</v>
      </c>
      <c r="G10237" t="s">
        <v>59</v>
      </c>
      <c r="H10237">
        <v>2025</v>
      </c>
    </row>
    <row r="10238" spans="1:8" x14ac:dyDescent="0.2">
      <c r="A10238">
        <v>320353</v>
      </c>
      <c r="B10238">
        <v>71994</v>
      </c>
      <c r="C10238" t="str">
        <f t="shared" si="159"/>
        <v>2. $10K-50K</v>
      </c>
      <c r="D10238" t="s">
        <v>755</v>
      </c>
      <c r="E10238" t="s">
        <v>237</v>
      </c>
      <c r="F10238" t="s">
        <v>670</v>
      </c>
      <c r="G10238" t="s">
        <v>59</v>
      </c>
      <c r="H10238">
        <v>2025</v>
      </c>
    </row>
    <row r="10239" spans="1:8" x14ac:dyDescent="0.2">
      <c r="A10239">
        <v>320354</v>
      </c>
      <c r="B10239">
        <v>209629</v>
      </c>
      <c r="C10239" t="str">
        <f t="shared" si="159"/>
        <v>3. $50K-250K</v>
      </c>
      <c r="D10239" t="s">
        <v>601</v>
      </c>
      <c r="E10239" t="s">
        <v>237</v>
      </c>
      <c r="F10239" t="s">
        <v>670</v>
      </c>
      <c r="G10239" t="s">
        <v>59</v>
      </c>
      <c r="H10239">
        <v>2025</v>
      </c>
    </row>
    <row r="10240" spans="1:8" x14ac:dyDescent="0.2">
      <c r="A10240">
        <v>320355</v>
      </c>
      <c r="B10240">
        <v>23998</v>
      </c>
      <c r="C10240" t="str">
        <f t="shared" si="159"/>
        <v>3. $50K-250K</v>
      </c>
      <c r="D10240" t="s">
        <v>934</v>
      </c>
      <c r="E10240" t="s">
        <v>237</v>
      </c>
      <c r="F10240" t="s">
        <v>670</v>
      </c>
      <c r="G10240" t="s">
        <v>59</v>
      </c>
      <c r="H10240">
        <v>2025</v>
      </c>
    </row>
    <row r="10241" spans="1:8" x14ac:dyDescent="0.2">
      <c r="A10241">
        <v>320356</v>
      </c>
      <c r="B10241">
        <v>180128</v>
      </c>
      <c r="C10241" t="str">
        <f t="shared" si="159"/>
        <v>2. $10K-50K</v>
      </c>
      <c r="D10241" t="s">
        <v>721</v>
      </c>
      <c r="E10241" t="s">
        <v>237</v>
      </c>
      <c r="F10241" t="s">
        <v>670</v>
      </c>
      <c r="G10241" t="s">
        <v>59</v>
      </c>
      <c r="H10241">
        <v>2025</v>
      </c>
    </row>
    <row r="10242" spans="1:8" x14ac:dyDescent="0.2">
      <c r="A10242">
        <v>320357</v>
      </c>
      <c r="B10242">
        <v>47996</v>
      </c>
      <c r="C10242" t="str">
        <f t="shared" si="159"/>
        <v>3. $50K-250K</v>
      </c>
      <c r="D10242" t="s">
        <v>954</v>
      </c>
      <c r="E10242" t="s">
        <v>237</v>
      </c>
      <c r="F10242" t="s">
        <v>670</v>
      </c>
      <c r="G10242" t="s">
        <v>59</v>
      </c>
      <c r="H10242">
        <v>2025</v>
      </c>
    </row>
    <row r="10243" spans="1:8" x14ac:dyDescent="0.2">
      <c r="A10243">
        <v>320359</v>
      </c>
      <c r="B10243">
        <v>1333752</v>
      </c>
      <c r="C10243" t="str">
        <f t="shared" ref="C10243:C10306" si="160">IF(B10242&lt;10000,"1. Under $10K",IF(B10242&lt;50000,"2. $10K-50K",IF(B10242&lt;250000,"3. $50K-250K",IF(B10242&lt;1000000,"4. $250K-1M","5. $1M+"))))</f>
        <v>2. $10K-50K</v>
      </c>
      <c r="D10243" t="s">
        <v>700</v>
      </c>
      <c r="E10243" t="s">
        <v>237</v>
      </c>
      <c r="F10243" t="s">
        <v>670</v>
      </c>
      <c r="G10243" t="s">
        <v>59</v>
      </c>
      <c r="H10243">
        <v>2025</v>
      </c>
    </row>
    <row r="10244" spans="1:8" x14ac:dyDescent="0.2">
      <c r="A10244">
        <v>320504</v>
      </c>
      <c r="B10244">
        <v>9168977.9000000004</v>
      </c>
      <c r="C10244" t="str">
        <f t="shared" si="160"/>
        <v>5. $1M+</v>
      </c>
      <c r="D10244" t="s">
        <v>137</v>
      </c>
      <c r="E10244" t="s">
        <v>8</v>
      </c>
      <c r="F10244" t="s">
        <v>9</v>
      </c>
      <c r="G10244" t="s">
        <v>10</v>
      </c>
      <c r="H10244">
        <v>2025</v>
      </c>
    </row>
    <row r="10245" spans="1:8" x14ac:dyDescent="0.2">
      <c r="A10245">
        <v>320573</v>
      </c>
      <c r="B10245">
        <v>3000000</v>
      </c>
      <c r="C10245" t="str">
        <f t="shared" si="160"/>
        <v>5. $1M+</v>
      </c>
      <c r="D10245" t="s">
        <v>41</v>
      </c>
      <c r="E10245" t="s">
        <v>237</v>
      </c>
      <c r="F10245" t="s">
        <v>668</v>
      </c>
      <c r="G10245" t="s">
        <v>59</v>
      </c>
      <c r="H10245">
        <v>2025</v>
      </c>
    </row>
    <row r="10246" spans="1:8" x14ac:dyDescent="0.2">
      <c r="A10246">
        <v>320579</v>
      </c>
      <c r="B10246">
        <v>68728961</v>
      </c>
      <c r="C10246" t="str">
        <f t="shared" si="160"/>
        <v>5. $1M+</v>
      </c>
      <c r="D10246" t="s">
        <v>1429</v>
      </c>
      <c r="E10246" t="s">
        <v>28</v>
      </c>
      <c r="F10246" t="s">
        <v>668</v>
      </c>
      <c r="G10246" t="s">
        <v>59</v>
      </c>
      <c r="H10246">
        <v>2025</v>
      </c>
    </row>
    <row r="10247" spans="1:8" x14ac:dyDescent="0.2">
      <c r="A10247">
        <v>320586</v>
      </c>
      <c r="B10247">
        <v>400000</v>
      </c>
      <c r="C10247" t="str">
        <f t="shared" si="160"/>
        <v>5. $1M+</v>
      </c>
      <c r="D10247" t="s">
        <v>778</v>
      </c>
      <c r="E10247" t="s">
        <v>99</v>
      </c>
      <c r="F10247" t="s">
        <v>668</v>
      </c>
      <c r="G10247" t="s">
        <v>59</v>
      </c>
      <c r="H10247">
        <v>2025</v>
      </c>
    </row>
    <row r="10248" spans="1:8" x14ac:dyDescent="0.2">
      <c r="A10248">
        <v>320591</v>
      </c>
      <c r="B10248">
        <v>6000</v>
      </c>
      <c r="C10248" t="str">
        <f t="shared" si="160"/>
        <v>4. $250K-1M</v>
      </c>
      <c r="D10248" t="s">
        <v>2614</v>
      </c>
      <c r="E10248" t="s">
        <v>112</v>
      </c>
      <c r="F10248" t="s">
        <v>668</v>
      </c>
      <c r="G10248" t="s">
        <v>59</v>
      </c>
      <c r="H10248">
        <v>2025</v>
      </c>
    </row>
    <row r="10249" spans="1:8" x14ac:dyDescent="0.2">
      <c r="A10249">
        <v>320597</v>
      </c>
      <c r="B10249">
        <v>1400000</v>
      </c>
      <c r="C10249" t="str">
        <f t="shared" si="160"/>
        <v>1. Under $10K</v>
      </c>
      <c r="D10249" t="s">
        <v>2615</v>
      </c>
      <c r="E10249" t="s">
        <v>99</v>
      </c>
      <c r="F10249" t="s">
        <v>668</v>
      </c>
      <c r="G10249" t="s">
        <v>59</v>
      </c>
      <c r="H10249">
        <v>2025</v>
      </c>
    </row>
    <row r="10250" spans="1:8" x14ac:dyDescent="0.2">
      <c r="A10250">
        <v>320605</v>
      </c>
      <c r="B10250">
        <v>104167</v>
      </c>
      <c r="C10250" t="str">
        <f t="shared" si="160"/>
        <v>5. $1M+</v>
      </c>
      <c r="D10250" t="s">
        <v>669</v>
      </c>
      <c r="E10250" t="s">
        <v>42</v>
      </c>
      <c r="F10250" t="s">
        <v>670</v>
      </c>
      <c r="G10250" t="s">
        <v>59</v>
      </c>
      <c r="H10250">
        <v>2025</v>
      </c>
    </row>
    <row r="10251" spans="1:8" x14ac:dyDescent="0.2">
      <c r="A10251">
        <v>320614</v>
      </c>
      <c r="B10251">
        <v>19474200.800000001</v>
      </c>
      <c r="C10251" t="str">
        <f t="shared" si="160"/>
        <v>3. $50K-250K</v>
      </c>
      <c r="D10251" t="s">
        <v>2616</v>
      </c>
      <c r="E10251" t="s">
        <v>99</v>
      </c>
      <c r="F10251" t="s">
        <v>668</v>
      </c>
      <c r="G10251" t="s">
        <v>59</v>
      </c>
      <c r="H10251">
        <v>2025</v>
      </c>
    </row>
    <row r="10252" spans="1:8" x14ac:dyDescent="0.2">
      <c r="A10252">
        <v>320634</v>
      </c>
      <c r="B10252">
        <v>16608</v>
      </c>
      <c r="C10252" t="str">
        <f t="shared" si="160"/>
        <v>5. $1M+</v>
      </c>
      <c r="D10252" t="s">
        <v>861</v>
      </c>
      <c r="E10252" t="s">
        <v>237</v>
      </c>
      <c r="F10252" t="s">
        <v>670</v>
      </c>
      <c r="G10252" t="s">
        <v>59</v>
      </c>
      <c r="H10252">
        <v>2025</v>
      </c>
    </row>
    <row r="10253" spans="1:8" x14ac:dyDescent="0.2">
      <c r="A10253">
        <v>320635</v>
      </c>
      <c r="B10253">
        <v>330450</v>
      </c>
      <c r="C10253" t="str">
        <f t="shared" si="160"/>
        <v>2. $10K-50K</v>
      </c>
      <c r="D10253" t="s">
        <v>711</v>
      </c>
      <c r="E10253" t="s">
        <v>237</v>
      </c>
      <c r="F10253" t="s">
        <v>670</v>
      </c>
      <c r="G10253" t="s">
        <v>59</v>
      </c>
      <c r="H10253">
        <v>2025</v>
      </c>
    </row>
    <row r="10254" spans="1:8" x14ac:dyDescent="0.2">
      <c r="A10254">
        <v>320723</v>
      </c>
      <c r="B10254">
        <v>3408816.3</v>
      </c>
      <c r="C10254" t="str">
        <f t="shared" si="160"/>
        <v>4. $250K-1M</v>
      </c>
      <c r="D10254" t="s">
        <v>516</v>
      </c>
      <c r="E10254" t="s">
        <v>52</v>
      </c>
      <c r="F10254" t="s">
        <v>43</v>
      </c>
      <c r="G10254" t="s">
        <v>103</v>
      </c>
      <c r="H10254">
        <v>2025</v>
      </c>
    </row>
    <row r="10255" spans="1:8" x14ac:dyDescent="0.2">
      <c r="A10255">
        <v>320747</v>
      </c>
      <c r="B10255">
        <v>250000</v>
      </c>
      <c r="C10255" t="str">
        <f t="shared" si="160"/>
        <v>5. $1M+</v>
      </c>
      <c r="D10255" t="s">
        <v>2539</v>
      </c>
      <c r="E10255" t="s">
        <v>99</v>
      </c>
      <c r="F10255" t="s">
        <v>668</v>
      </c>
      <c r="G10255" t="s">
        <v>59</v>
      </c>
      <c r="H10255">
        <v>2025</v>
      </c>
    </row>
    <row r="10256" spans="1:8" x14ac:dyDescent="0.2">
      <c r="A10256">
        <v>320754</v>
      </c>
      <c r="B10256">
        <v>150000</v>
      </c>
      <c r="C10256" t="str">
        <f t="shared" si="160"/>
        <v>4. $250K-1M</v>
      </c>
      <c r="D10256" t="s">
        <v>2473</v>
      </c>
      <c r="E10256" t="s">
        <v>99</v>
      </c>
      <c r="F10256" t="s">
        <v>668</v>
      </c>
      <c r="G10256" t="s">
        <v>59</v>
      </c>
      <c r="H10256">
        <v>2025</v>
      </c>
    </row>
    <row r="10257" spans="1:8" x14ac:dyDescent="0.2">
      <c r="A10257">
        <v>320755</v>
      </c>
      <c r="B10257">
        <v>750000</v>
      </c>
      <c r="C10257" t="str">
        <f t="shared" si="160"/>
        <v>3. $50K-250K</v>
      </c>
      <c r="D10257" t="s">
        <v>774</v>
      </c>
      <c r="E10257" t="s">
        <v>99</v>
      </c>
      <c r="F10257" t="s">
        <v>668</v>
      </c>
      <c r="G10257" t="s">
        <v>59</v>
      </c>
      <c r="H10257">
        <v>2025</v>
      </c>
    </row>
    <row r="10258" spans="1:8" x14ac:dyDescent="0.2">
      <c r="A10258">
        <v>320922</v>
      </c>
      <c r="B10258">
        <v>35943</v>
      </c>
      <c r="C10258" t="str">
        <f t="shared" si="160"/>
        <v>4. $250K-1M</v>
      </c>
      <c r="D10258" t="s">
        <v>230</v>
      </c>
      <c r="E10258" t="s">
        <v>67</v>
      </c>
      <c r="F10258" t="s">
        <v>231</v>
      </c>
      <c r="G10258" t="s">
        <v>232</v>
      </c>
      <c r="H10258">
        <v>2025</v>
      </c>
    </row>
    <row r="10259" spans="1:8" x14ac:dyDescent="0.2">
      <c r="A10259">
        <v>320949</v>
      </c>
      <c r="B10259">
        <v>6000</v>
      </c>
      <c r="C10259" t="str">
        <f t="shared" si="160"/>
        <v>2. $10K-50K</v>
      </c>
      <c r="D10259" t="s">
        <v>2617</v>
      </c>
      <c r="E10259" t="s">
        <v>112</v>
      </c>
      <c r="F10259" t="s">
        <v>668</v>
      </c>
      <c r="G10259" t="s">
        <v>59</v>
      </c>
      <c r="H10259">
        <v>2025</v>
      </c>
    </row>
    <row r="10260" spans="1:8" x14ac:dyDescent="0.2">
      <c r="A10260">
        <v>320954</v>
      </c>
      <c r="B10260">
        <v>4700</v>
      </c>
      <c r="C10260" t="str">
        <f t="shared" si="160"/>
        <v>1. Under $10K</v>
      </c>
      <c r="D10260" t="s">
        <v>2618</v>
      </c>
      <c r="E10260" t="s">
        <v>112</v>
      </c>
      <c r="F10260" t="s">
        <v>668</v>
      </c>
      <c r="G10260" t="s">
        <v>59</v>
      </c>
      <c r="H10260">
        <v>2025</v>
      </c>
    </row>
    <row r="10261" spans="1:8" x14ac:dyDescent="0.2">
      <c r="A10261">
        <v>320956</v>
      </c>
      <c r="B10261">
        <v>6000</v>
      </c>
      <c r="C10261" t="str">
        <f t="shared" si="160"/>
        <v>1. Under $10K</v>
      </c>
      <c r="D10261" t="s">
        <v>2619</v>
      </c>
      <c r="E10261" t="s">
        <v>112</v>
      </c>
      <c r="F10261" t="s">
        <v>668</v>
      </c>
      <c r="G10261" t="s">
        <v>59</v>
      </c>
      <c r="H10261">
        <v>2025</v>
      </c>
    </row>
    <row r="10262" spans="1:8" x14ac:dyDescent="0.2">
      <c r="A10262">
        <v>320962</v>
      </c>
      <c r="B10262">
        <v>6000</v>
      </c>
      <c r="C10262" t="str">
        <f t="shared" si="160"/>
        <v>1. Under $10K</v>
      </c>
      <c r="D10262" t="s">
        <v>2620</v>
      </c>
      <c r="E10262" t="s">
        <v>112</v>
      </c>
      <c r="F10262" t="s">
        <v>668</v>
      </c>
      <c r="G10262" t="s">
        <v>59</v>
      </c>
      <c r="H10262">
        <v>2025</v>
      </c>
    </row>
    <row r="10263" spans="1:8" x14ac:dyDescent="0.2">
      <c r="A10263">
        <v>320964</v>
      </c>
      <c r="B10263">
        <v>6000</v>
      </c>
      <c r="C10263" t="str">
        <f t="shared" si="160"/>
        <v>1. Under $10K</v>
      </c>
      <c r="D10263" t="s">
        <v>2621</v>
      </c>
      <c r="E10263" t="s">
        <v>112</v>
      </c>
      <c r="F10263" t="s">
        <v>668</v>
      </c>
      <c r="G10263" t="s">
        <v>59</v>
      </c>
      <c r="H10263">
        <v>2025</v>
      </c>
    </row>
    <row r="10264" spans="1:8" x14ac:dyDescent="0.2">
      <c r="A10264">
        <v>320966</v>
      </c>
      <c r="B10264">
        <v>5050</v>
      </c>
      <c r="C10264" t="str">
        <f t="shared" si="160"/>
        <v>1. Under $10K</v>
      </c>
      <c r="D10264" t="s">
        <v>2622</v>
      </c>
      <c r="E10264" t="s">
        <v>112</v>
      </c>
      <c r="F10264" t="s">
        <v>668</v>
      </c>
      <c r="G10264" t="s">
        <v>59</v>
      </c>
      <c r="H10264">
        <v>2025</v>
      </c>
    </row>
    <row r="10265" spans="1:8" x14ac:dyDescent="0.2">
      <c r="A10265">
        <v>320967</v>
      </c>
      <c r="B10265">
        <v>6000</v>
      </c>
      <c r="C10265" t="str">
        <f t="shared" si="160"/>
        <v>1. Under $10K</v>
      </c>
      <c r="D10265" t="s">
        <v>2623</v>
      </c>
      <c r="E10265" t="s">
        <v>112</v>
      </c>
      <c r="F10265" t="s">
        <v>668</v>
      </c>
      <c r="G10265" t="s">
        <v>59</v>
      </c>
      <c r="H10265">
        <v>2025</v>
      </c>
    </row>
    <row r="10266" spans="1:8" x14ac:dyDescent="0.2">
      <c r="A10266">
        <v>320969</v>
      </c>
      <c r="B10266">
        <v>6000</v>
      </c>
      <c r="C10266" t="str">
        <f t="shared" si="160"/>
        <v>1. Under $10K</v>
      </c>
      <c r="D10266" t="s">
        <v>2624</v>
      </c>
      <c r="E10266" t="s">
        <v>112</v>
      </c>
      <c r="F10266" t="s">
        <v>668</v>
      </c>
      <c r="G10266" t="s">
        <v>59</v>
      </c>
      <c r="H10266">
        <v>2025</v>
      </c>
    </row>
    <row r="10267" spans="1:8" x14ac:dyDescent="0.2">
      <c r="A10267">
        <v>320970</v>
      </c>
      <c r="B10267">
        <v>6000</v>
      </c>
      <c r="C10267" t="str">
        <f t="shared" si="160"/>
        <v>1. Under $10K</v>
      </c>
      <c r="D10267" t="s">
        <v>2625</v>
      </c>
      <c r="E10267" t="s">
        <v>112</v>
      </c>
      <c r="F10267" t="s">
        <v>668</v>
      </c>
      <c r="G10267" t="s">
        <v>59</v>
      </c>
      <c r="H10267">
        <v>2025</v>
      </c>
    </row>
    <row r="10268" spans="1:8" x14ac:dyDescent="0.2">
      <c r="A10268">
        <v>321097</v>
      </c>
      <c r="B10268">
        <v>3000</v>
      </c>
      <c r="C10268" t="str">
        <f t="shared" si="160"/>
        <v>1. Under $10K</v>
      </c>
      <c r="D10268" t="s">
        <v>2626</v>
      </c>
      <c r="E10268" t="s">
        <v>112</v>
      </c>
      <c r="F10268" t="s">
        <v>668</v>
      </c>
      <c r="G10268" t="s">
        <v>59</v>
      </c>
      <c r="H10268">
        <v>2025</v>
      </c>
    </row>
    <row r="10269" spans="1:8" x14ac:dyDescent="0.2">
      <c r="A10269">
        <v>321098</v>
      </c>
      <c r="B10269">
        <v>6000</v>
      </c>
      <c r="C10269" t="str">
        <f t="shared" si="160"/>
        <v>1. Under $10K</v>
      </c>
      <c r="D10269" t="s">
        <v>1684</v>
      </c>
      <c r="E10269" t="s">
        <v>112</v>
      </c>
      <c r="F10269" t="s">
        <v>668</v>
      </c>
      <c r="G10269" t="s">
        <v>59</v>
      </c>
      <c r="H10269">
        <v>2025</v>
      </c>
    </row>
    <row r="10270" spans="1:8" x14ac:dyDescent="0.2">
      <c r="A10270">
        <v>321103</v>
      </c>
      <c r="B10270">
        <v>6000</v>
      </c>
      <c r="C10270" t="str">
        <f t="shared" si="160"/>
        <v>1. Under $10K</v>
      </c>
      <c r="D10270" t="s">
        <v>2627</v>
      </c>
      <c r="E10270" t="s">
        <v>112</v>
      </c>
      <c r="F10270" t="s">
        <v>668</v>
      </c>
      <c r="G10270" t="s">
        <v>59</v>
      </c>
      <c r="H10270">
        <v>2025</v>
      </c>
    </row>
    <row r="10271" spans="1:8" x14ac:dyDescent="0.2">
      <c r="A10271">
        <v>321107</v>
      </c>
      <c r="B10271">
        <v>6000</v>
      </c>
      <c r="C10271" t="str">
        <f t="shared" si="160"/>
        <v>1. Under $10K</v>
      </c>
      <c r="D10271" t="s">
        <v>1805</v>
      </c>
      <c r="E10271" t="s">
        <v>112</v>
      </c>
      <c r="F10271" t="s">
        <v>668</v>
      </c>
      <c r="G10271" t="s">
        <v>59</v>
      </c>
      <c r="H10271">
        <v>2025</v>
      </c>
    </row>
    <row r="10272" spans="1:8" x14ac:dyDescent="0.2">
      <c r="A10272">
        <v>321112</v>
      </c>
      <c r="B10272">
        <v>2500</v>
      </c>
      <c r="C10272" t="str">
        <f t="shared" si="160"/>
        <v>1. Under $10K</v>
      </c>
      <c r="D10272" t="s">
        <v>2628</v>
      </c>
      <c r="E10272" t="s">
        <v>112</v>
      </c>
      <c r="F10272" t="s">
        <v>668</v>
      </c>
      <c r="G10272" t="s">
        <v>59</v>
      </c>
      <c r="H10272">
        <v>2025</v>
      </c>
    </row>
    <row r="10273" spans="1:8" x14ac:dyDescent="0.2">
      <c r="A10273">
        <v>321113</v>
      </c>
      <c r="B10273">
        <v>10000</v>
      </c>
      <c r="C10273" t="str">
        <f t="shared" si="160"/>
        <v>1. Under $10K</v>
      </c>
      <c r="D10273" t="s">
        <v>2629</v>
      </c>
      <c r="E10273" t="s">
        <v>112</v>
      </c>
      <c r="F10273" t="s">
        <v>668</v>
      </c>
      <c r="G10273" t="s">
        <v>59</v>
      </c>
      <c r="H10273">
        <v>2025</v>
      </c>
    </row>
    <row r="10274" spans="1:8" x14ac:dyDescent="0.2">
      <c r="A10274">
        <v>321116</v>
      </c>
      <c r="B10274">
        <v>6000</v>
      </c>
      <c r="C10274" t="str">
        <f t="shared" si="160"/>
        <v>2. $10K-50K</v>
      </c>
      <c r="D10274" t="s">
        <v>2630</v>
      </c>
      <c r="E10274" t="s">
        <v>112</v>
      </c>
      <c r="F10274" t="s">
        <v>668</v>
      </c>
      <c r="G10274" t="s">
        <v>59</v>
      </c>
      <c r="H10274">
        <v>2025</v>
      </c>
    </row>
    <row r="10275" spans="1:8" x14ac:dyDescent="0.2">
      <c r="A10275">
        <v>321117</v>
      </c>
      <c r="B10275">
        <v>6000</v>
      </c>
      <c r="C10275" t="str">
        <f t="shared" si="160"/>
        <v>1. Under $10K</v>
      </c>
      <c r="D10275" t="s">
        <v>2631</v>
      </c>
      <c r="E10275" t="s">
        <v>112</v>
      </c>
      <c r="F10275" t="s">
        <v>668</v>
      </c>
      <c r="G10275" t="s">
        <v>59</v>
      </c>
      <c r="H10275">
        <v>2025</v>
      </c>
    </row>
    <row r="10276" spans="1:8" x14ac:dyDescent="0.2">
      <c r="A10276">
        <v>321119</v>
      </c>
      <c r="B10276">
        <v>5000</v>
      </c>
      <c r="C10276" t="str">
        <f t="shared" si="160"/>
        <v>1. Under $10K</v>
      </c>
      <c r="D10276" t="s">
        <v>2632</v>
      </c>
      <c r="E10276" t="s">
        <v>112</v>
      </c>
      <c r="F10276" t="s">
        <v>668</v>
      </c>
      <c r="G10276" t="s">
        <v>59</v>
      </c>
      <c r="H10276">
        <v>2025</v>
      </c>
    </row>
    <row r="10277" spans="1:8" x14ac:dyDescent="0.2">
      <c r="A10277">
        <v>321120</v>
      </c>
      <c r="B10277">
        <v>6000</v>
      </c>
      <c r="C10277" t="str">
        <f t="shared" si="160"/>
        <v>1. Under $10K</v>
      </c>
      <c r="D10277" t="s">
        <v>1667</v>
      </c>
      <c r="E10277" t="s">
        <v>112</v>
      </c>
      <c r="F10277" t="s">
        <v>668</v>
      </c>
      <c r="G10277" t="s">
        <v>59</v>
      </c>
      <c r="H10277">
        <v>2025</v>
      </c>
    </row>
    <row r="10278" spans="1:8" x14ac:dyDescent="0.2">
      <c r="A10278">
        <v>321121</v>
      </c>
      <c r="B10278">
        <v>5000</v>
      </c>
      <c r="C10278" t="str">
        <f t="shared" si="160"/>
        <v>1. Under $10K</v>
      </c>
      <c r="D10278" t="s">
        <v>2633</v>
      </c>
      <c r="E10278" t="s">
        <v>112</v>
      </c>
      <c r="F10278" t="s">
        <v>668</v>
      </c>
      <c r="G10278" t="s">
        <v>59</v>
      </c>
      <c r="H10278">
        <v>2025</v>
      </c>
    </row>
    <row r="10279" spans="1:8" x14ac:dyDescent="0.2">
      <c r="A10279">
        <v>321122</v>
      </c>
      <c r="B10279">
        <v>955000</v>
      </c>
      <c r="C10279" t="str">
        <f t="shared" si="160"/>
        <v>1. Under $10K</v>
      </c>
      <c r="D10279" t="s">
        <v>2634</v>
      </c>
      <c r="E10279" t="s">
        <v>99</v>
      </c>
      <c r="F10279" t="s">
        <v>668</v>
      </c>
      <c r="G10279" t="s">
        <v>59</v>
      </c>
      <c r="H10279">
        <v>2025</v>
      </c>
    </row>
    <row r="10280" spans="1:8" x14ac:dyDescent="0.2">
      <c r="A10280">
        <v>321125</v>
      </c>
      <c r="B10280">
        <v>1700000</v>
      </c>
      <c r="C10280" t="str">
        <f t="shared" si="160"/>
        <v>4. $250K-1M</v>
      </c>
      <c r="D10280" t="s">
        <v>964</v>
      </c>
      <c r="E10280" t="s">
        <v>825</v>
      </c>
      <c r="F10280" t="s">
        <v>670</v>
      </c>
      <c r="G10280" t="s">
        <v>59</v>
      </c>
      <c r="H10280">
        <v>2025</v>
      </c>
    </row>
    <row r="10281" spans="1:8" x14ac:dyDescent="0.2">
      <c r="A10281">
        <v>321156</v>
      </c>
      <c r="B10281">
        <v>611814</v>
      </c>
      <c r="C10281" t="str">
        <f t="shared" si="160"/>
        <v>5. $1M+</v>
      </c>
      <c r="D10281" t="s">
        <v>674</v>
      </c>
      <c r="E10281" t="s">
        <v>42</v>
      </c>
      <c r="F10281" t="s">
        <v>670</v>
      </c>
      <c r="G10281" t="s">
        <v>59</v>
      </c>
      <c r="H10281">
        <v>2025</v>
      </c>
    </row>
    <row r="10282" spans="1:8" x14ac:dyDescent="0.2">
      <c r="A10282">
        <v>321158</v>
      </c>
      <c r="B10282">
        <v>30587.1</v>
      </c>
      <c r="C10282" t="str">
        <f t="shared" si="160"/>
        <v>4. $250K-1M</v>
      </c>
      <c r="D10282" t="s">
        <v>517</v>
      </c>
      <c r="E10282" t="s">
        <v>28</v>
      </c>
      <c r="F10282" t="s">
        <v>31</v>
      </c>
      <c r="G10282" t="s">
        <v>10</v>
      </c>
      <c r="H10282">
        <v>2025</v>
      </c>
    </row>
    <row r="10283" spans="1:8" x14ac:dyDescent="0.2">
      <c r="A10283">
        <v>321190</v>
      </c>
      <c r="B10283">
        <v>254048</v>
      </c>
      <c r="C10283" t="str">
        <f t="shared" si="160"/>
        <v>2. $10K-50K</v>
      </c>
      <c r="D10283" t="s">
        <v>693</v>
      </c>
      <c r="E10283" t="s">
        <v>237</v>
      </c>
      <c r="F10283" t="s">
        <v>670</v>
      </c>
      <c r="G10283" t="s">
        <v>59</v>
      </c>
      <c r="H10283">
        <v>2025</v>
      </c>
    </row>
    <row r="10284" spans="1:8" x14ac:dyDescent="0.2">
      <c r="A10284">
        <v>32120</v>
      </c>
      <c r="B10284">
        <v>3000000</v>
      </c>
      <c r="C10284" t="str">
        <f t="shared" si="160"/>
        <v>4. $250K-1M</v>
      </c>
      <c r="D10284" t="s">
        <v>2635</v>
      </c>
      <c r="E10284" t="s">
        <v>52</v>
      </c>
      <c r="F10284" t="s">
        <v>668</v>
      </c>
      <c r="G10284" t="s">
        <v>59</v>
      </c>
      <c r="H10284">
        <v>2024</v>
      </c>
    </row>
    <row r="10285" spans="1:8" x14ac:dyDescent="0.2">
      <c r="A10285">
        <v>321200</v>
      </c>
      <c r="B10285">
        <v>75000</v>
      </c>
      <c r="C10285" t="str">
        <f t="shared" si="160"/>
        <v>5. $1M+</v>
      </c>
      <c r="D10285" t="s">
        <v>778</v>
      </c>
      <c r="E10285" t="s">
        <v>99</v>
      </c>
      <c r="F10285" t="s">
        <v>668</v>
      </c>
      <c r="G10285" t="s">
        <v>59</v>
      </c>
      <c r="H10285">
        <v>2025</v>
      </c>
    </row>
    <row r="10286" spans="1:8" x14ac:dyDescent="0.2">
      <c r="A10286">
        <v>321203</v>
      </c>
      <c r="B10286">
        <v>192618.4</v>
      </c>
      <c r="C10286" t="str">
        <f t="shared" si="160"/>
        <v>3. $50K-250K</v>
      </c>
      <c r="D10286" t="s">
        <v>2636</v>
      </c>
      <c r="E10286" t="s">
        <v>99</v>
      </c>
      <c r="F10286" t="s">
        <v>668</v>
      </c>
      <c r="G10286" t="s">
        <v>59</v>
      </c>
      <c r="H10286">
        <v>2025</v>
      </c>
    </row>
    <row r="10287" spans="1:8" x14ac:dyDescent="0.2">
      <c r="A10287">
        <v>321207</v>
      </c>
      <c r="B10287">
        <v>14000000</v>
      </c>
      <c r="C10287" t="str">
        <f t="shared" si="160"/>
        <v>3. $50K-250K</v>
      </c>
      <c r="D10287" t="s">
        <v>1156</v>
      </c>
      <c r="E10287" t="s">
        <v>99</v>
      </c>
      <c r="F10287" t="s">
        <v>668</v>
      </c>
      <c r="G10287" t="s">
        <v>59</v>
      </c>
      <c r="H10287">
        <v>2025</v>
      </c>
    </row>
    <row r="10288" spans="1:8" x14ac:dyDescent="0.2">
      <c r="A10288">
        <v>321212</v>
      </c>
      <c r="B10288">
        <v>250000</v>
      </c>
      <c r="C10288" t="str">
        <f t="shared" si="160"/>
        <v>5. $1M+</v>
      </c>
      <c r="D10288" t="s">
        <v>1099</v>
      </c>
      <c r="E10288" t="s">
        <v>99</v>
      </c>
      <c r="F10288" t="s">
        <v>668</v>
      </c>
      <c r="G10288" t="s">
        <v>59</v>
      </c>
      <c r="H10288">
        <v>2025</v>
      </c>
    </row>
    <row r="10289" spans="1:8" x14ac:dyDescent="0.2">
      <c r="A10289">
        <v>32123</v>
      </c>
      <c r="B10289">
        <v>125187.2</v>
      </c>
      <c r="C10289" t="str">
        <f t="shared" si="160"/>
        <v>4. $250K-1M</v>
      </c>
      <c r="D10289" t="s">
        <v>518</v>
      </c>
      <c r="E10289" t="s">
        <v>65</v>
      </c>
      <c r="F10289" t="s">
        <v>22</v>
      </c>
      <c r="G10289" t="s">
        <v>10</v>
      </c>
      <c r="H10289">
        <v>2023</v>
      </c>
    </row>
    <row r="10290" spans="1:8" x14ac:dyDescent="0.2">
      <c r="A10290">
        <v>32124</v>
      </c>
      <c r="B10290">
        <v>244343</v>
      </c>
      <c r="C10290" t="str">
        <f t="shared" si="160"/>
        <v>3. $50K-250K</v>
      </c>
      <c r="D10290" t="s">
        <v>519</v>
      </c>
      <c r="E10290" t="s">
        <v>52</v>
      </c>
      <c r="F10290" t="s">
        <v>43</v>
      </c>
      <c r="G10290" t="s">
        <v>79</v>
      </c>
      <c r="H10290">
        <v>2023</v>
      </c>
    </row>
    <row r="10291" spans="1:8" x14ac:dyDescent="0.2">
      <c r="A10291">
        <v>321474</v>
      </c>
      <c r="B10291">
        <v>20650000</v>
      </c>
      <c r="C10291" t="str">
        <f t="shared" si="160"/>
        <v>3. $50K-250K</v>
      </c>
      <c r="D10291" t="s">
        <v>2637</v>
      </c>
      <c r="E10291" t="s">
        <v>99</v>
      </c>
      <c r="F10291" t="s">
        <v>668</v>
      </c>
      <c r="G10291" t="s">
        <v>59</v>
      </c>
      <c r="H10291">
        <v>2025</v>
      </c>
    </row>
    <row r="10292" spans="1:8" x14ac:dyDescent="0.2">
      <c r="A10292">
        <v>321580</v>
      </c>
      <c r="B10292">
        <v>47996</v>
      </c>
      <c r="C10292" t="str">
        <f t="shared" si="160"/>
        <v>5. $1M+</v>
      </c>
      <c r="D10292" t="s">
        <v>724</v>
      </c>
      <c r="E10292" t="s">
        <v>237</v>
      </c>
      <c r="F10292" t="s">
        <v>670</v>
      </c>
      <c r="G10292" t="s">
        <v>59</v>
      </c>
      <c r="H10292">
        <v>2025</v>
      </c>
    </row>
    <row r="10293" spans="1:8" x14ac:dyDescent="0.2">
      <c r="A10293">
        <v>321589</v>
      </c>
      <c r="B10293">
        <v>51100</v>
      </c>
      <c r="C10293" t="str">
        <f t="shared" si="160"/>
        <v>2. $10K-50K</v>
      </c>
      <c r="D10293" t="s">
        <v>865</v>
      </c>
      <c r="E10293" t="s">
        <v>237</v>
      </c>
      <c r="F10293" t="s">
        <v>670</v>
      </c>
      <c r="G10293" t="s">
        <v>59</v>
      </c>
      <c r="H10293">
        <v>2025</v>
      </c>
    </row>
    <row r="10294" spans="1:8" x14ac:dyDescent="0.2">
      <c r="A10294">
        <v>321594</v>
      </c>
      <c r="B10294">
        <v>130670</v>
      </c>
      <c r="C10294" t="str">
        <f t="shared" si="160"/>
        <v>3. $50K-250K</v>
      </c>
      <c r="D10294" t="s">
        <v>873</v>
      </c>
      <c r="E10294" t="s">
        <v>237</v>
      </c>
      <c r="F10294" t="s">
        <v>670</v>
      </c>
      <c r="G10294" t="s">
        <v>59</v>
      </c>
      <c r="H10294">
        <v>2025</v>
      </c>
    </row>
    <row r="10295" spans="1:8" x14ac:dyDescent="0.2">
      <c r="A10295">
        <v>321609</v>
      </c>
      <c r="B10295">
        <v>685288</v>
      </c>
      <c r="C10295" t="str">
        <f t="shared" si="160"/>
        <v>3. $50K-250K</v>
      </c>
      <c r="D10295" t="s">
        <v>872</v>
      </c>
      <c r="E10295" t="s">
        <v>237</v>
      </c>
      <c r="F10295" t="s">
        <v>670</v>
      </c>
      <c r="G10295" t="s">
        <v>59</v>
      </c>
      <c r="H10295">
        <v>2025</v>
      </c>
    </row>
    <row r="10296" spans="1:8" x14ac:dyDescent="0.2">
      <c r="A10296">
        <v>321624</v>
      </c>
      <c r="B10296">
        <v>4000000</v>
      </c>
      <c r="C10296" t="str">
        <f t="shared" si="160"/>
        <v>4. $250K-1M</v>
      </c>
      <c r="D10296" t="s">
        <v>863</v>
      </c>
      <c r="E10296" t="s">
        <v>237</v>
      </c>
      <c r="F10296" t="s">
        <v>670</v>
      </c>
      <c r="G10296" t="s">
        <v>59</v>
      </c>
      <c r="H10296">
        <v>2025</v>
      </c>
    </row>
    <row r="10297" spans="1:8" x14ac:dyDescent="0.2">
      <c r="A10297">
        <v>321630</v>
      </c>
      <c r="B10297">
        <v>127750</v>
      </c>
      <c r="C10297" t="str">
        <f t="shared" si="160"/>
        <v>5. $1M+</v>
      </c>
      <c r="D10297" t="s">
        <v>875</v>
      </c>
      <c r="E10297" t="s">
        <v>237</v>
      </c>
      <c r="F10297" t="s">
        <v>670</v>
      </c>
      <c r="G10297" t="s">
        <v>59</v>
      </c>
      <c r="H10297">
        <v>2025</v>
      </c>
    </row>
    <row r="10298" spans="1:8" x14ac:dyDescent="0.2">
      <c r="A10298">
        <v>321631</v>
      </c>
      <c r="B10298">
        <v>2250</v>
      </c>
      <c r="C10298" t="str">
        <f t="shared" si="160"/>
        <v>3. $50K-250K</v>
      </c>
      <c r="D10298" t="s">
        <v>520</v>
      </c>
      <c r="E10298" t="s">
        <v>54</v>
      </c>
      <c r="F10298" t="s">
        <v>457</v>
      </c>
      <c r="G10298" t="s">
        <v>59</v>
      </c>
      <c r="H10298">
        <v>2025</v>
      </c>
    </row>
    <row r="10299" spans="1:8" x14ac:dyDescent="0.2">
      <c r="A10299">
        <v>321632</v>
      </c>
      <c r="B10299">
        <v>176650</v>
      </c>
      <c r="C10299" t="str">
        <f t="shared" si="160"/>
        <v>1. Under $10K</v>
      </c>
      <c r="D10299" t="s">
        <v>719</v>
      </c>
      <c r="E10299" t="s">
        <v>237</v>
      </c>
      <c r="F10299" t="s">
        <v>670</v>
      </c>
      <c r="G10299" t="s">
        <v>59</v>
      </c>
      <c r="H10299">
        <v>2025</v>
      </c>
    </row>
    <row r="10300" spans="1:8" x14ac:dyDescent="0.2">
      <c r="A10300">
        <v>321634</v>
      </c>
      <c r="B10300">
        <v>162356</v>
      </c>
      <c r="C10300" t="str">
        <f t="shared" si="160"/>
        <v>3. $50K-250K</v>
      </c>
      <c r="D10300" t="s">
        <v>877</v>
      </c>
      <c r="E10300" t="s">
        <v>237</v>
      </c>
      <c r="F10300" t="s">
        <v>670</v>
      </c>
      <c r="G10300" t="s">
        <v>59</v>
      </c>
      <c r="H10300">
        <v>2025</v>
      </c>
    </row>
    <row r="10301" spans="1:8" x14ac:dyDescent="0.2">
      <c r="A10301">
        <v>321635</v>
      </c>
      <c r="B10301">
        <v>180000</v>
      </c>
      <c r="C10301" t="str">
        <f t="shared" si="160"/>
        <v>3. $50K-250K</v>
      </c>
      <c r="D10301" t="s">
        <v>785</v>
      </c>
      <c r="E10301" t="s">
        <v>237</v>
      </c>
      <c r="F10301" t="s">
        <v>670</v>
      </c>
      <c r="G10301" t="s">
        <v>59</v>
      </c>
      <c r="H10301">
        <v>2025</v>
      </c>
    </row>
    <row r="10302" spans="1:8" x14ac:dyDescent="0.2">
      <c r="A10302">
        <v>321636</v>
      </c>
      <c r="B10302">
        <v>29064</v>
      </c>
      <c r="C10302" t="str">
        <f t="shared" si="160"/>
        <v>3. $50K-250K</v>
      </c>
      <c r="D10302" t="s">
        <v>807</v>
      </c>
      <c r="E10302" t="s">
        <v>237</v>
      </c>
      <c r="F10302" t="s">
        <v>670</v>
      </c>
      <c r="G10302" t="s">
        <v>59</v>
      </c>
      <c r="H10302">
        <v>2025</v>
      </c>
    </row>
    <row r="10303" spans="1:8" x14ac:dyDescent="0.2">
      <c r="A10303">
        <v>321638</v>
      </c>
      <c r="B10303">
        <v>12629</v>
      </c>
      <c r="C10303" t="str">
        <f t="shared" si="160"/>
        <v>2. $10K-50K</v>
      </c>
      <c r="D10303" t="s">
        <v>854</v>
      </c>
      <c r="E10303" t="s">
        <v>237</v>
      </c>
      <c r="F10303" t="s">
        <v>670</v>
      </c>
      <c r="G10303" t="s">
        <v>59</v>
      </c>
      <c r="H10303">
        <v>2025</v>
      </c>
    </row>
    <row r="10304" spans="1:8" x14ac:dyDescent="0.2">
      <c r="A10304">
        <v>321642</v>
      </c>
      <c r="B10304">
        <v>139889</v>
      </c>
      <c r="C10304" t="str">
        <f t="shared" si="160"/>
        <v>2. $10K-50K</v>
      </c>
      <c r="D10304" t="s">
        <v>857</v>
      </c>
      <c r="E10304" t="s">
        <v>237</v>
      </c>
      <c r="F10304" t="s">
        <v>670</v>
      </c>
      <c r="G10304" t="s">
        <v>59</v>
      </c>
      <c r="H10304">
        <v>2025</v>
      </c>
    </row>
    <row r="10305" spans="1:8" x14ac:dyDescent="0.2">
      <c r="A10305">
        <v>321643</v>
      </c>
      <c r="B10305">
        <v>472656</v>
      </c>
      <c r="C10305" t="str">
        <f t="shared" si="160"/>
        <v>3. $50K-250K</v>
      </c>
      <c r="D10305" t="s">
        <v>859</v>
      </c>
      <c r="E10305" t="s">
        <v>237</v>
      </c>
      <c r="F10305" t="s">
        <v>670</v>
      </c>
      <c r="G10305" t="s">
        <v>59</v>
      </c>
      <c r="H10305">
        <v>2025</v>
      </c>
    </row>
    <row r="10306" spans="1:8" x14ac:dyDescent="0.2">
      <c r="A10306">
        <v>321644</v>
      </c>
      <c r="B10306">
        <v>31938</v>
      </c>
      <c r="C10306" t="str">
        <f t="shared" si="160"/>
        <v>4. $250K-1M</v>
      </c>
      <c r="D10306" t="s">
        <v>876</v>
      </c>
      <c r="E10306" t="s">
        <v>237</v>
      </c>
      <c r="F10306" t="s">
        <v>670</v>
      </c>
      <c r="G10306" t="s">
        <v>59</v>
      </c>
      <c r="H10306">
        <v>2025</v>
      </c>
    </row>
    <row r="10307" spans="1:8" x14ac:dyDescent="0.2">
      <c r="A10307">
        <v>321646</v>
      </c>
      <c r="B10307">
        <v>45990</v>
      </c>
      <c r="C10307" t="str">
        <f t="shared" ref="C10307:C10370" si="161">IF(B10306&lt;10000,"1. Under $10K",IF(B10306&lt;50000,"2. $10K-50K",IF(B10306&lt;250000,"3. $50K-250K",IF(B10306&lt;1000000,"4. $250K-1M","5. $1M+"))))</f>
        <v>2. $10K-50K</v>
      </c>
      <c r="D10307" t="s">
        <v>870</v>
      </c>
      <c r="E10307" t="s">
        <v>237</v>
      </c>
      <c r="F10307" t="s">
        <v>670</v>
      </c>
      <c r="G10307" t="s">
        <v>59</v>
      </c>
      <c r="H10307">
        <v>2025</v>
      </c>
    </row>
    <row r="10308" spans="1:8" x14ac:dyDescent="0.2">
      <c r="A10308">
        <v>321647</v>
      </c>
      <c r="B10308">
        <v>38970.199999999997</v>
      </c>
      <c r="C10308" t="str">
        <f t="shared" si="161"/>
        <v>2. $10K-50K</v>
      </c>
      <c r="D10308" t="s">
        <v>980</v>
      </c>
      <c r="E10308" t="s">
        <v>237</v>
      </c>
      <c r="F10308" t="s">
        <v>670</v>
      </c>
      <c r="G10308" t="s">
        <v>59</v>
      </c>
      <c r="H10308">
        <v>2025</v>
      </c>
    </row>
    <row r="10309" spans="1:8" x14ac:dyDescent="0.2">
      <c r="A10309">
        <v>321650</v>
      </c>
      <c r="B10309">
        <v>126667</v>
      </c>
      <c r="C10309" t="str">
        <f t="shared" si="161"/>
        <v>2. $10K-50K</v>
      </c>
      <c r="D10309" t="s">
        <v>883</v>
      </c>
      <c r="E10309" t="s">
        <v>237</v>
      </c>
      <c r="F10309" t="s">
        <v>670</v>
      </c>
      <c r="G10309" t="s">
        <v>59</v>
      </c>
      <c r="H10309">
        <v>2025</v>
      </c>
    </row>
    <row r="10310" spans="1:8" x14ac:dyDescent="0.2">
      <c r="A10310">
        <v>32166</v>
      </c>
      <c r="B10310">
        <v>2300000</v>
      </c>
      <c r="C10310" t="str">
        <f t="shared" si="161"/>
        <v>3. $50K-250K</v>
      </c>
      <c r="D10310" t="s">
        <v>521</v>
      </c>
      <c r="E10310" t="s">
        <v>8</v>
      </c>
      <c r="F10310" t="s">
        <v>14</v>
      </c>
      <c r="G10310" t="s">
        <v>61</v>
      </c>
      <c r="H10310">
        <v>2023</v>
      </c>
    </row>
    <row r="10311" spans="1:8" x14ac:dyDescent="0.2">
      <c r="A10311">
        <v>321757</v>
      </c>
      <c r="B10311">
        <v>169311</v>
      </c>
      <c r="C10311" t="str">
        <f t="shared" si="161"/>
        <v>5. $1M+</v>
      </c>
      <c r="D10311" t="s">
        <v>864</v>
      </c>
      <c r="E10311" t="s">
        <v>42</v>
      </c>
      <c r="F10311" t="s">
        <v>670</v>
      </c>
      <c r="G10311" t="s">
        <v>59</v>
      </c>
      <c r="H10311">
        <v>2025</v>
      </c>
    </row>
    <row r="10312" spans="1:8" x14ac:dyDescent="0.2">
      <c r="A10312">
        <v>32179</v>
      </c>
      <c r="B10312">
        <v>4900000</v>
      </c>
      <c r="C10312" t="str">
        <f t="shared" si="161"/>
        <v>3. $50K-250K</v>
      </c>
      <c r="D10312" t="s">
        <v>286</v>
      </c>
      <c r="E10312" t="s">
        <v>8</v>
      </c>
      <c r="F10312" t="s">
        <v>14</v>
      </c>
      <c r="G10312" t="s">
        <v>61</v>
      </c>
      <c r="H10312">
        <v>2023</v>
      </c>
    </row>
    <row r="10313" spans="1:8" x14ac:dyDescent="0.2">
      <c r="A10313">
        <v>322033</v>
      </c>
      <c r="B10313">
        <v>493000</v>
      </c>
      <c r="C10313" t="str">
        <f t="shared" si="161"/>
        <v>5. $1M+</v>
      </c>
      <c r="D10313" t="s">
        <v>965</v>
      </c>
      <c r="E10313" t="s">
        <v>825</v>
      </c>
      <c r="F10313" t="s">
        <v>670</v>
      </c>
      <c r="G10313" t="s">
        <v>59</v>
      </c>
      <c r="H10313">
        <v>2025</v>
      </c>
    </row>
    <row r="10314" spans="1:8" x14ac:dyDescent="0.2">
      <c r="A10314">
        <v>322040</v>
      </c>
      <c r="B10314">
        <v>10000</v>
      </c>
      <c r="C10314" t="str">
        <f t="shared" si="161"/>
        <v>4. $250K-1M</v>
      </c>
      <c r="D10314" t="s">
        <v>2638</v>
      </c>
      <c r="E10314" t="s">
        <v>112</v>
      </c>
      <c r="F10314" t="s">
        <v>668</v>
      </c>
      <c r="G10314" t="s">
        <v>59</v>
      </c>
      <c r="H10314">
        <v>2025</v>
      </c>
    </row>
    <row r="10315" spans="1:8" x14ac:dyDescent="0.2">
      <c r="A10315">
        <v>322101</v>
      </c>
      <c r="B10315">
        <v>50000</v>
      </c>
      <c r="C10315" t="str">
        <f t="shared" si="161"/>
        <v>2. $10K-50K</v>
      </c>
      <c r="D10315" t="s">
        <v>2639</v>
      </c>
      <c r="E10315" t="s">
        <v>59</v>
      </c>
      <c r="F10315" t="s">
        <v>670</v>
      </c>
      <c r="G10315" t="s">
        <v>59</v>
      </c>
      <c r="H10315">
        <v>2025</v>
      </c>
    </row>
    <row r="10316" spans="1:8" x14ac:dyDescent="0.2">
      <c r="A10316">
        <v>32227</v>
      </c>
      <c r="B10316">
        <v>136227287</v>
      </c>
      <c r="C10316" t="str">
        <f t="shared" si="161"/>
        <v>3. $50K-250K</v>
      </c>
      <c r="D10316" t="s">
        <v>1426</v>
      </c>
      <c r="E10316" t="s">
        <v>52</v>
      </c>
      <c r="F10316" t="s">
        <v>668</v>
      </c>
      <c r="G10316" t="s">
        <v>59</v>
      </c>
      <c r="H10316">
        <v>2023</v>
      </c>
    </row>
    <row r="10317" spans="1:8" x14ac:dyDescent="0.2">
      <c r="A10317">
        <v>322324</v>
      </c>
      <c r="B10317">
        <v>4500000</v>
      </c>
      <c r="C10317" t="str">
        <f t="shared" si="161"/>
        <v>5. $1M+</v>
      </c>
      <c r="D10317" t="s">
        <v>872</v>
      </c>
      <c r="E10317" t="s">
        <v>237</v>
      </c>
      <c r="F10317" t="s">
        <v>670</v>
      </c>
      <c r="G10317" t="s">
        <v>59</v>
      </c>
      <c r="H10317">
        <v>2025</v>
      </c>
    </row>
    <row r="10318" spans="1:8" x14ac:dyDescent="0.2">
      <c r="A10318">
        <v>322326</v>
      </c>
      <c r="B10318">
        <v>4000000</v>
      </c>
      <c r="C10318" t="str">
        <f t="shared" si="161"/>
        <v>5. $1M+</v>
      </c>
      <c r="D10318" t="s">
        <v>2640</v>
      </c>
      <c r="E10318" t="s">
        <v>237</v>
      </c>
      <c r="F10318" t="s">
        <v>670</v>
      </c>
      <c r="G10318" t="s">
        <v>59</v>
      </c>
      <c r="H10318">
        <v>2025</v>
      </c>
    </row>
    <row r="10319" spans="1:8" x14ac:dyDescent="0.2">
      <c r="A10319">
        <v>322331</v>
      </c>
      <c r="B10319">
        <v>3542000</v>
      </c>
      <c r="C10319" t="str">
        <f t="shared" si="161"/>
        <v>5. $1M+</v>
      </c>
      <c r="D10319" t="s">
        <v>1601</v>
      </c>
      <c r="E10319" t="s">
        <v>237</v>
      </c>
      <c r="F10319" t="s">
        <v>670</v>
      </c>
      <c r="G10319" t="s">
        <v>59</v>
      </c>
      <c r="H10319">
        <v>2025</v>
      </c>
    </row>
    <row r="10320" spans="1:8" x14ac:dyDescent="0.2">
      <c r="A10320">
        <v>322332</v>
      </c>
      <c r="B10320">
        <v>76650</v>
      </c>
      <c r="C10320" t="str">
        <f t="shared" si="161"/>
        <v>5. $1M+</v>
      </c>
      <c r="D10320" t="s">
        <v>871</v>
      </c>
      <c r="E10320" t="s">
        <v>237</v>
      </c>
      <c r="F10320" t="s">
        <v>670</v>
      </c>
      <c r="G10320" t="s">
        <v>59</v>
      </c>
      <c r="H10320">
        <v>2025</v>
      </c>
    </row>
    <row r="10321" spans="1:8" x14ac:dyDescent="0.2">
      <c r="A10321">
        <v>322334</v>
      </c>
      <c r="B10321">
        <v>126667</v>
      </c>
      <c r="C10321" t="str">
        <f t="shared" si="161"/>
        <v>3. $50K-250K</v>
      </c>
      <c r="D10321" t="s">
        <v>682</v>
      </c>
      <c r="E10321" t="s">
        <v>237</v>
      </c>
      <c r="F10321" t="s">
        <v>670</v>
      </c>
      <c r="G10321" t="s">
        <v>59</v>
      </c>
      <c r="H10321">
        <v>2025</v>
      </c>
    </row>
    <row r="10322" spans="1:8" x14ac:dyDescent="0.2">
      <c r="A10322">
        <v>322335</v>
      </c>
      <c r="B10322">
        <v>20440</v>
      </c>
      <c r="C10322" t="str">
        <f t="shared" si="161"/>
        <v>3. $50K-250K</v>
      </c>
      <c r="D10322" t="s">
        <v>807</v>
      </c>
      <c r="E10322" t="s">
        <v>237</v>
      </c>
      <c r="F10322" t="s">
        <v>670</v>
      </c>
      <c r="G10322" t="s">
        <v>59</v>
      </c>
      <c r="H10322">
        <v>2025</v>
      </c>
    </row>
    <row r="10323" spans="1:8" x14ac:dyDescent="0.2">
      <c r="A10323">
        <v>322337</v>
      </c>
      <c r="B10323">
        <v>305000</v>
      </c>
      <c r="C10323" t="str">
        <f t="shared" si="161"/>
        <v>2. $10K-50K</v>
      </c>
      <c r="D10323" t="s">
        <v>1092</v>
      </c>
      <c r="E10323" t="s">
        <v>237</v>
      </c>
      <c r="F10323" t="s">
        <v>670</v>
      </c>
      <c r="G10323" t="s">
        <v>59</v>
      </c>
      <c r="H10323">
        <v>2025</v>
      </c>
    </row>
    <row r="10324" spans="1:8" x14ac:dyDescent="0.2">
      <c r="A10324">
        <v>322416</v>
      </c>
      <c r="B10324">
        <v>115593.8</v>
      </c>
      <c r="C10324" t="str">
        <f t="shared" si="161"/>
        <v>4. $250K-1M</v>
      </c>
      <c r="D10324" t="s">
        <v>493</v>
      </c>
      <c r="E10324" t="s">
        <v>152</v>
      </c>
      <c r="F10324" t="s">
        <v>423</v>
      </c>
      <c r="G10324" t="s">
        <v>59</v>
      </c>
      <c r="H10324">
        <v>2025</v>
      </c>
    </row>
    <row r="10325" spans="1:8" x14ac:dyDescent="0.2">
      <c r="A10325">
        <v>322417</v>
      </c>
      <c r="B10325">
        <v>87.5</v>
      </c>
      <c r="C10325" t="str">
        <f t="shared" si="161"/>
        <v>3. $50K-250K</v>
      </c>
      <c r="D10325" t="s">
        <v>522</v>
      </c>
      <c r="E10325" t="s">
        <v>152</v>
      </c>
      <c r="F10325" t="s">
        <v>423</v>
      </c>
      <c r="G10325" t="s">
        <v>59</v>
      </c>
      <c r="H10325">
        <v>2025</v>
      </c>
    </row>
    <row r="10326" spans="1:8" x14ac:dyDescent="0.2">
      <c r="A10326">
        <v>322422</v>
      </c>
      <c r="B10326">
        <v>325000</v>
      </c>
      <c r="C10326" t="str">
        <f t="shared" si="161"/>
        <v>1. Under $10K</v>
      </c>
      <c r="D10326" t="s">
        <v>849</v>
      </c>
      <c r="E10326" t="s">
        <v>42</v>
      </c>
      <c r="F10326" t="s">
        <v>670</v>
      </c>
      <c r="G10326" t="s">
        <v>59</v>
      </c>
      <c r="H10326">
        <v>2025</v>
      </c>
    </row>
    <row r="10327" spans="1:8" x14ac:dyDescent="0.2">
      <c r="A10327">
        <v>322423</v>
      </c>
      <c r="B10327">
        <v>500000</v>
      </c>
      <c r="C10327" t="str">
        <f t="shared" si="161"/>
        <v>4. $250K-1M</v>
      </c>
      <c r="D10327" t="s">
        <v>1034</v>
      </c>
      <c r="E10327" t="s">
        <v>42</v>
      </c>
      <c r="F10327" t="s">
        <v>670</v>
      </c>
      <c r="G10327" t="s">
        <v>59</v>
      </c>
      <c r="H10327">
        <v>2025</v>
      </c>
    </row>
    <row r="10328" spans="1:8" x14ac:dyDescent="0.2">
      <c r="A10328">
        <v>322441</v>
      </c>
      <c r="B10328">
        <v>53798</v>
      </c>
      <c r="C10328" t="str">
        <f t="shared" si="161"/>
        <v>4. $250K-1M</v>
      </c>
      <c r="D10328" t="s">
        <v>1613</v>
      </c>
      <c r="E10328" t="s">
        <v>237</v>
      </c>
      <c r="F10328" t="s">
        <v>670</v>
      </c>
      <c r="G10328" t="s">
        <v>59</v>
      </c>
      <c r="H10328">
        <v>2025</v>
      </c>
    </row>
    <row r="10329" spans="1:8" x14ac:dyDescent="0.2">
      <c r="A10329">
        <v>322443</v>
      </c>
      <c r="B10329">
        <v>610000</v>
      </c>
      <c r="C10329" t="str">
        <f t="shared" si="161"/>
        <v>3. $50K-250K</v>
      </c>
      <c r="D10329" t="s">
        <v>2506</v>
      </c>
      <c r="E10329" t="s">
        <v>99</v>
      </c>
      <c r="F10329" t="s">
        <v>670</v>
      </c>
      <c r="G10329" t="s">
        <v>59</v>
      </c>
      <c r="H10329">
        <v>2025</v>
      </c>
    </row>
    <row r="10330" spans="1:8" x14ac:dyDescent="0.2">
      <c r="A10330">
        <v>322481</v>
      </c>
      <c r="B10330">
        <v>1674400</v>
      </c>
      <c r="C10330" t="str">
        <f t="shared" si="161"/>
        <v>4. $250K-1M</v>
      </c>
      <c r="D10330" t="s">
        <v>2155</v>
      </c>
      <c r="E10330" t="s">
        <v>237</v>
      </c>
      <c r="F10330" t="s">
        <v>670</v>
      </c>
      <c r="G10330" t="s">
        <v>59</v>
      </c>
      <c r="H10330">
        <v>2025</v>
      </c>
    </row>
    <row r="10331" spans="1:8" x14ac:dyDescent="0.2">
      <c r="A10331">
        <v>322482</v>
      </c>
      <c r="B10331">
        <v>2697734</v>
      </c>
      <c r="C10331" t="str">
        <f t="shared" si="161"/>
        <v>5. $1M+</v>
      </c>
      <c r="D10331" t="s">
        <v>2070</v>
      </c>
      <c r="E10331" t="s">
        <v>237</v>
      </c>
      <c r="F10331" t="s">
        <v>670</v>
      </c>
      <c r="G10331" t="s">
        <v>59</v>
      </c>
      <c r="H10331">
        <v>2025</v>
      </c>
    </row>
    <row r="10332" spans="1:8" x14ac:dyDescent="0.2">
      <c r="A10332">
        <v>322501</v>
      </c>
      <c r="B10332">
        <v>403093</v>
      </c>
      <c r="C10332" t="str">
        <f t="shared" si="161"/>
        <v>5. $1M+</v>
      </c>
      <c r="D10332" t="s">
        <v>711</v>
      </c>
      <c r="E10332" t="s">
        <v>237</v>
      </c>
      <c r="F10332" t="s">
        <v>670</v>
      </c>
      <c r="G10332" t="s">
        <v>59</v>
      </c>
      <c r="H10332">
        <v>2025</v>
      </c>
    </row>
    <row r="10333" spans="1:8" x14ac:dyDescent="0.2">
      <c r="A10333">
        <v>322502</v>
      </c>
      <c r="B10333">
        <v>508739</v>
      </c>
      <c r="C10333" t="str">
        <f t="shared" si="161"/>
        <v>4. $250K-1M</v>
      </c>
      <c r="D10333" t="s">
        <v>917</v>
      </c>
      <c r="E10333" t="s">
        <v>237</v>
      </c>
      <c r="F10333" t="s">
        <v>670</v>
      </c>
      <c r="G10333" t="s">
        <v>59</v>
      </c>
      <c r="H10333">
        <v>2025</v>
      </c>
    </row>
    <row r="10334" spans="1:8" x14ac:dyDescent="0.2">
      <c r="A10334">
        <v>322520</v>
      </c>
      <c r="B10334">
        <v>9000000</v>
      </c>
      <c r="C10334" t="str">
        <f t="shared" si="161"/>
        <v>4. $250K-1M</v>
      </c>
      <c r="D10334" t="s">
        <v>863</v>
      </c>
      <c r="E10334" t="s">
        <v>237</v>
      </c>
      <c r="F10334" t="s">
        <v>670</v>
      </c>
      <c r="G10334" t="s">
        <v>44</v>
      </c>
      <c r="H10334">
        <v>2025</v>
      </c>
    </row>
    <row r="10335" spans="1:8" x14ac:dyDescent="0.2">
      <c r="A10335">
        <v>322522</v>
      </c>
      <c r="B10335">
        <v>700000</v>
      </c>
      <c r="C10335" t="str">
        <f t="shared" si="161"/>
        <v>5. $1M+</v>
      </c>
      <c r="D10335" t="s">
        <v>784</v>
      </c>
      <c r="E10335" t="s">
        <v>237</v>
      </c>
      <c r="F10335" t="s">
        <v>670</v>
      </c>
      <c r="G10335" t="s">
        <v>44</v>
      </c>
      <c r="H10335">
        <v>2025</v>
      </c>
    </row>
    <row r="10336" spans="1:8" x14ac:dyDescent="0.2">
      <c r="A10336">
        <v>322603</v>
      </c>
      <c r="B10336">
        <v>600</v>
      </c>
      <c r="C10336" t="str">
        <f t="shared" si="161"/>
        <v>4. $250K-1M</v>
      </c>
      <c r="D10336" t="s">
        <v>523</v>
      </c>
      <c r="E10336" t="s">
        <v>99</v>
      </c>
      <c r="F10336" t="s">
        <v>457</v>
      </c>
      <c r="G10336" t="s">
        <v>59</v>
      </c>
      <c r="H10336">
        <v>2025</v>
      </c>
    </row>
    <row r="10337" spans="1:8" x14ac:dyDescent="0.2">
      <c r="A10337">
        <v>322604</v>
      </c>
      <c r="B10337">
        <v>311520</v>
      </c>
      <c r="C10337" t="str">
        <f t="shared" si="161"/>
        <v>1. Under $10K</v>
      </c>
      <c r="D10337" t="s">
        <v>711</v>
      </c>
      <c r="E10337" t="s">
        <v>237</v>
      </c>
      <c r="F10337" t="s">
        <v>670</v>
      </c>
      <c r="G10337" t="s">
        <v>59</v>
      </c>
      <c r="H10337">
        <v>2025</v>
      </c>
    </row>
    <row r="10338" spans="1:8" x14ac:dyDescent="0.2">
      <c r="A10338">
        <v>322607</v>
      </c>
      <c r="B10338">
        <v>344250</v>
      </c>
      <c r="C10338" t="str">
        <f t="shared" si="161"/>
        <v>4. $250K-1M</v>
      </c>
      <c r="D10338" t="s">
        <v>601</v>
      </c>
      <c r="E10338" t="s">
        <v>237</v>
      </c>
      <c r="F10338" t="s">
        <v>670</v>
      </c>
      <c r="G10338" t="s">
        <v>59</v>
      </c>
      <c r="H10338">
        <v>2025</v>
      </c>
    </row>
    <row r="10339" spans="1:8" x14ac:dyDescent="0.2">
      <c r="A10339">
        <v>322609</v>
      </c>
      <c r="B10339">
        <v>35482</v>
      </c>
      <c r="C10339" t="str">
        <f t="shared" si="161"/>
        <v>4. $250K-1M</v>
      </c>
      <c r="D10339" t="s">
        <v>874</v>
      </c>
      <c r="E10339" t="s">
        <v>237</v>
      </c>
      <c r="F10339" t="s">
        <v>670</v>
      </c>
      <c r="G10339" t="s">
        <v>59</v>
      </c>
      <c r="H10339">
        <v>2025</v>
      </c>
    </row>
    <row r="10340" spans="1:8" x14ac:dyDescent="0.2">
      <c r="A10340">
        <v>32270</v>
      </c>
      <c r="B10340">
        <v>1500000</v>
      </c>
      <c r="C10340" t="str">
        <f t="shared" si="161"/>
        <v>2. $10K-50K</v>
      </c>
      <c r="D10340" t="s">
        <v>16</v>
      </c>
      <c r="E10340" t="s">
        <v>8</v>
      </c>
      <c r="F10340" t="s">
        <v>14</v>
      </c>
      <c r="G10340" t="s">
        <v>61</v>
      </c>
      <c r="H10340">
        <v>2025</v>
      </c>
    </row>
    <row r="10341" spans="1:8" x14ac:dyDescent="0.2">
      <c r="A10341">
        <v>322776</v>
      </c>
      <c r="B10341">
        <v>700000</v>
      </c>
      <c r="C10341" t="str">
        <f t="shared" si="161"/>
        <v>5. $1M+</v>
      </c>
      <c r="D10341" t="s">
        <v>1040</v>
      </c>
      <c r="E10341" t="s">
        <v>237</v>
      </c>
      <c r="F10341" t="s">
        <v>670</v>
      </c>
      <c r="G10341" t="s">
        <v>44</v>
      </c>
      <c r="H10341">
        <v>2025</v>
      </c>
    </row>
    <row r="10342" spans="1:8" x14ac:dyDescent="0.2">
      <c r="A10342">
        <v>322778</v>
      </c>
      <c r="B10342">
        <v>750000</v>
      </c>
      <c r="C10342" t="str">
        <f t="shared" si="161"/>
        <v>4. $250K-1M</v>
      </c>
      <c r="D10342" t="s">
        <v>1041</v>
      </c>
      <c r="E10342" t="s">
        <v>237</v>
      </c>
      <c r="F10342" t="s">
        <v>670</v>
      </c>
      <c r="G10342" t="s">
        <v>44</v>
      </c>
      <c r="H10342">
        <v>2025</v>
      </c>
    </row>
    <row r="10343" spans="1:8" x14ac:dyDescent="0.2">
      <c r="A10343">
        <v>322779</v>
      </c>
      <c r="B10343">
        <v>900000</v>
      </c>
      <c r="C10343" t="str">
        <f t="shared" si="161"/>
        <v>4. $250K-1M</v>
      </c>
      <c r="D10343" t="s">
        <v>2641</v>
      </c>
      <c r="E10343" t="s">
        <v>237</v>
      </c>
      <c r="F10343" t="s">
        <v>670</v>
      </c>
      <c r="G10343" t="s">
        <v>44</v>
      </c>
      <c r="H10343">
        <v>2025</v>
      </c>
    </row>
    <row r="10344" spans="1:8" x14ac:dyDescent="0.2">
      <c r="A10344">
        <v>322896</v>
      </c>
      <c r="B10344">
        <v>235856</v>
      </c>
      <c r="C10344" t="str">
        <f t="shared" si="161"/>
        <v>4. $250K-1M</v>
      </c>
      <c r="D10344" t="s">
        <v>1002</v>
      </c>
      <c r="E10344" t="s">
        <v>42</v>
      </c>
      <c r="F10344" t="s">
        <v>670</v>
      </c>
      <c r="G10344" t="s">
        <v>59</v>
      </c>
      <c r="H10344">
        <v>2025</v>
      </c>
    </row>
    <row r="10345" spans="1:8" x14ac:dyDescent="0.2">
      <c r="A10345">
        <v>322975</v>
      </c>
      <c r="B10345">
        <v>207000</v>
      </c>
      <c r="C10345" t="str">
        <f t="shared" si="161"/>
        <v>3. $50K-250K</v>
      </c>
      <c r="D10345" t="s">
        <v>2223</v>
      </c>
      <c r="E10345" t="s">
        <v>237</v>
      </c>
      <c r="F10345" t="s">
        <v>670</v>
      </c>
      <c r="G10345" t="s">
        <v>59</v>
      </c>
      <c r="H10345">
        <v>2025</v>
      </c>
    </row>
    <row r="10346" spans="1:8" x14ac:dyDescent="0.2">
      <c r="A10346">
        <v>323025</v>
      </c>
      <c r="B10346">
        <v>40000</v>
      </c>
      <c r="C10346" t="str">
        <f t="shared" si="161"/>
        <v>3. $50K-250K</v>
      </c>
      <c r="D10346" t="s">
        <v>2642</v>
      </c>
      <c r="E10346" t="s">
        <v>112</v>
      </c>
      <c r="F10346" t="s">
        <v>668</v>
      </c>
      <c r="G10346" t="s">
        <v>59</v>
      </c>
      <c r="H10346">
        <v>2025</v>
      </c>
    </row>
    <row r="10347" spans="1:8" x14ac:dyDescent="0.2">
      <c r="A10347">
        <v>323059</v>
      </c>
      <c r="B10347">
        <v>287945</v>
      </c>
      <c r="C10347" t="str">
        <f t="shared" si="161"/>
        <v>2. $10K-50K</v>
      </c>
      <c r="D10347" t="s">
        <v>524</v>
      </c>
      <c r="E10347" t="s">
        <v>24</v>
      </c>
      <c r="F10347" t="s">
        <v>25</v>
      </c>
      <c r="G10347" t="s">
        <v>10</v>
      </c>
      <c r="H10347">
        <v>2025</v>
      </c>
    </row>
    <row r="10348" spans="1:8" x14ac:dyDescent="0.2">
      <c r="A10348">
        <v>323215</v>
      </c>
      <c r="B10348">
        <v>275638</v>
      </c>
      <c r="C10348" t="str">
        <f t="shared" si="161"/>
        <v>4. $250K-1M</v>
      </c>
      <c r="D10348" t="s">
        <v>524</v>
      </c>
      <c r="E10348" t="s">
        <v>24</v>
      </c>
      <c r="F10348" t="s">
        <v>25</v>
      </c>
      <c r="G10348" t="s">
        <v>10</v>
      </c>
      <c r="H10348">
        <v>2025</v>
      </c>
    </row>
    <row r="10349" spans="1:8" x14ac:dyDescent="0.2">
      <c r="A10349">
        <v>323226</v>
      </c>
      <c r="B10349">
        <v>70318</v>
      </c>
      <c r="C10349" t="str">
        <f t="shared" si="161"/>
        <v>4. $250K-1M</v>
      </c>
      <c r="D10349" t="s">
        <v>917</v>
      </c>
      <c r="E10349" t="s">
        <v>237</v>
      </c>
      <c r="F10349" t="s">
        <v>670</v>
      </c>
      <c r="G10349" t="s">
        <v>59</v>
      </c>
      <c r="H10349">
        <v>2025</v>
      </c>
    </row>
    <row r="10350" spans="1:8" x14ac:dyDescent="0.2">
      <c r="A10350">
        <v>323227</v>
      </c>
      <c r="B10350">
        <v>74720</v>
      </c>
      <c r="C10350" t="str">
        <f t="shared" si="161"/>
        <v>3. $50K-250K</v>
      </c>
      <c r="D10350" t="s">
        <v>765</v>
      </c>
      <c r="E10350" t="s">
        <v>237</v>
      </c>
      <c r="F10350" t="s">
        <v>670</v>
      </c>
      <c r="G10350" t="s">
        <v>59</v>
      </c>
      <c r="H10350">
        <v>2025</v>
      </c>
    </row>
    <row r="10351" spans="1:8" x14ac:dyDescent="0.2">
      <c r="A10351">
        <v>323228</v>
      </c>
      <c r="B10351">
        <v>283240</v>
      </c>
      <c r="C10351" t="str">
        <f t="shared" si="161"/>
        <v>3. $50K-250K</v>
      </c>
      <c r="D10351" t="s">
        <v>726</v>
      </c>
      <c r="E10351" t="s">
        <v>237</v>
      </c>
      <c r="F10351" t="s">
        <v>670</v>
      </c>
      <c r="G10351" t="s">
        <v>59</v>
      </c>
      <c r="H10351">
        <v>2025</v>
      </c>
    </row>
    <row r="10352" spans="1:8" x14ac:dyDescent="0.2">
      <c r="A10352">
        <v>323229</v>
      </c>
      <c r="B10352">
        <v>149440</v>
      </c>
      <c r="C10352" t="str">
        <f t="shared" si="161"/>
        <v>4. $250K-1M</v>
      </c>
      <c r="D10352" t="s">
        <v>740</v>
      </c>
      <c r="E10352" t="s">
        <v>237</v>
      </c>
      <c r="F10352" t="s">
        <v>670</v>
      </c>
      <c r="G10352" t="s">
        <v>59</v>
      </c>
      <c r="H10352">
        <v>2025</v>
      </c>
    </row>
    <row r="10353" spans="1:8" x14ac:dyDescent="0.2">
      <c r="A10353">
        <v>323230</v>
      </c>
      <c r="B10353">
        <v>341040</v>
      </c>
      <c r="C10353" t="str">
        <f t="shared" si="161"/>
        <v>3. $50K-250K</v>
      </c>
      <c r="D10353" t="s">
        <v>765</v>
      </c>
      <c r="E10353" t="s">
        <v>237</v>
      </c>
      <c r="F10353" t="s">
        <v>670</v>
      </c>
      <c r="G10353" t="s">
        <v>59</v>
      </c>
      <c r="H10353">
        <v>2025</v>
      </c>
    </row>
    <row r="10354" spans="1:8" x14ac:dyDescent="0.2">
      <c r="A10354">
        <v>323231</v>
      </c>
      <c r="B10354">
        <v>2100200</v>
      </c>
      <c r="C10354" t="str">
        <f t="shared" si="161"/>
        <v>4. $250K-1M</v>
      </c>
      <c r="D10354" t="s">
        <v>702</v>
      </c>
      <c r="E10354" t="s">
        <v>237</v>
      </c>
      <c r="F10354" t="s">
        <v>670</v>
      </c>
      <c r="G10354" t="s">
        <v>59</v>
      </c>
      <c r="H10354">
        <v>2025</v>
      </c>
    </row>
    <row r="10355" spans="1:8" x14ac:dyDescent="0.2">
      <c r="A10355">
        <v>323233</v>
      </c>
      <c r="B10355">
        <v>178977</v>
      </c>
      <c r="C10355" t="str">
        <f t="shared" si="161"/>
        <v>5. $1M+</v>
      </c>
      <c r="D10355" t="s">
        <v>799</v>
      </c>
      <c r="E10355" t="s">
        <v>237</v>
      </c>
      <c r="F10355" t="s">
        <v>670</v>
      </c>
      <c r="G10355" t="s">
        <v>59</v>
      </c>
      <c r="H10355">
        <v>2025</v>
      </c>
    </row>
    <row r="10356" spans="1:8" x14ac:dyDescent="0.2">
      <c r="A10356">
        <v>323234</v>
      </c>
      <c r="B10356">
        <v>536930</v>
      </c>
      <c r="C10356" t="str">
        <f t="shared" si="161"/>
        <v>3. $50K-250K</v>
      </c>
      <c r="D10356" t="s">
        <v>799</v>
      </c>
      <c r="E10356" t="s">
        <v>237</v>
      </c>
      <c r="F10356" t="s">
        <v>670</v>
      </c>
      <c r="G10356" t="s">
        <v>59</v>
      </c>
      <c r="H10356">
        <v>2025</v>
      </c>
    </row>
    <row r="10357" spans="1:8" x14ac:dyDescent="0.2">
      <c r="A10357">
        <v>323235</v>
      </c>
      <c r="B10357">
        <v>210954</v>
      </c>
      <c r="C10357" t="str">
        <f t="shared" si="161"/>
        <v>4. $250K-1M</v>
      </c>
      <c r="D10357" t="s">
        <v>917</v>
      </c>
      <c r="E10357" t="s">
        <v>237</v>
      </c>
      <c r="F10357" t="s">
        <v>670</v>
      </c>
      <c r="G10357" t="s">
        <v>59</v>
      </c>
      <c r="H10357">
        <v>2025</v>
      </c>
    </row>
    <row r="10358" spans="1:8" x14ac:dyDescent="0.2">
      <c r="A10358">
        <v>323237</v>
      </c>
      <c r="B10358">
        <v>169580</v>
      </c>
      <c r="C10358" t="str">
        <f t="shared" si="161"/>
        <v>3. $50K-250K</v>
      </c>
      <c r="D10358" t="s">
        <v>917</v>
      </c>
      <c r="E10358" t="s">
        <v>237</v>
      </c>
      <c r="F10358" t="s">
        <v>670</v>
      </c>
      <c r="G10358" t="s">
        <v>59</v>
      </c>
      <c r="H10358">
        <v>2025</v>
      </c>
    </row>
    <row r="10359" spans="1:8" x14ac:dyDescent="0.2">
      <c r="A10359">
        <v>323238</v>
      </c>
      <c r="B10359">
        <v>682080</v>
      </c>
      <c r="C10359" t="str">
        <f t="shared" si="161"/>
        <v>3. $50K-250K</v>
      </c>
      <c r="D10359" t="s">
        <v>697</v>
      </c>
      <c r="E10359" t="s">
        <v>237</v>
      </c>
      <c r="F10359" t="s">
        <v>670</v>
      </c>
      <c r="G10359" t="s">
        <v>59</v>
      </c>
      <c r="H10359">
        <v>2025</v>
      </c>
    </row>
    <row r="10360" spans="1:8" x14ac:dyDescent="0.2">
      <c r="A10360">
        <v>323239</v>
      </c>
      <c r="B10360">
        <v>298800</v>
      </c>
      <c r="C10360" t="str">
        <f t="shared" si="161"/>
        <v>4. $250K-1M</v>
      </c>
      <c r="D10360" t="s">
        <v>714</v>
      </c>
      <c r="E10360" t="s">
        <v>237</v>
      </c>
      <c r="F10360" t="s">
        <v>670</v>
      </c>
      <c r="G10360" t="s">
        <v>59</v>
      </c>
      <c r="H10360">
        <v>2025</v>
      </c>
    </row>
    <row r="10361" spans="1:8" x14ac:dyDescent="0.2">
      <c r="A10361">
        <v>323240</v>
      </c>
      <c r="B10361">
        <v>231632</v>
      </c>
      <c r="C10361" t="str">
        <f t="shared" si="161"/>
        <v>4. $250K-1M</v>
      </c>
      <c r="D10361" t="s">
        <v>692</v>
      </c>
      <c r="E10361" t="s">
        <v>237</v>
      </c>
      <c r="F10361" t="s">
        <v>670</v>
      </c>
      <c r="G10361" t="s">
        <v>59</v>
      </c>
      <c r="H10361">
        <v>2025</v>
      </c>
    </row>
    <row r="10362" spans="1:8" x14ac:dyDescent="0.2">
      <c r="A10362">
        <v>323241</v>
      </c>
      <c r="B10362">
        <v>341040</v>
      </c>
      <c r="C10362" t="str">
        <f t="shared" si="161"/>
        <v>3. $50K-250K</v>
      </c>
      <c r="D10362" t="s">
        <v>740</v>
      </c>
      <c r="E10362" t="s">
        <v>237</v>
      </c>
      <c r="F10362" t="s">
        <v>670</v>
      </c>
      <c r="G10362" t="s">
        <v>59</v>
      </c>
      <c r="H10362">
        <v>2025</v>
      </c>
    </row>
    <row r="10363" spans="1:8" x14ac:dyDescent="0.2">
      <c r="A10363">
        <v>323242</v>
      </c>
      <c r="B10363">
        <v>710500</v>
      </c>
      <c r="C10363" t="str">
        <f t="shared" si="161"/>
        <v>4. $250K-1M</v>
      </c>
      <c r="D10363" t="s">
        <v>693</v>
      </c>
      <c r="E10363" t="s">
        <v>237</v>
      </c>
      <c r="F10363" t="s">
        <v>670</v>
      </c>
      <c r="G10363" t="s">
        <v>59</v>
      </c>
      <c r="H10363">
        <v>2025</v>
      </c>
    </row>
    <row r="10364" spans="1:8" x14ac:dyDescent="0.2">
      <c r="A10364">
        <v>323243</v>
      </c>
      <c r="B10364">
        <v>169560</v>
      </c>
      <c r="C10364" t="str">
        <f t="shared" si="161"/>
        <v>4. $250K-1M</v>
      </c>
      <c r="D10364" t="s">
        <v>717</v>
      </c>
      <c r="E10364" t="s">
        <v>237</v>
      </c>
      <c r="F10364" t="s">
        <v>670</v>
      </c>
      <c r="G10364" t="s">
        <v>59</v>
      </c>
      <c r="H10364">
        <v>2025</v>
      </c>
    </row>
    <row r="10365" spans="1:8" x14ac:dyDescent="0.2">
      <c r="A10365">
        <v>323244</v>
      </c>
      <c r="B10365">
        <v>1158160</v>
      </c>
      <c r="C10365" t="str">
        <f t="shared" si="161"/>
        <v>3. $50K-250K</v>
      </c>
      <c r="D10365" t="s">
        <v>702</v>
      </c>
      <c r="E10365" t="s">
        <v>237</v>
      </c>
      <c r="F10365" t="s">
        <v>670</v>
      </c>
      <c r="G10365" t="s">
        <v>59</v>
      </c>
      <c r="H10365">
        <v>2025</v>
      </c>
    </row>
    <row r="10366" spans="1:8" x14ac:dyDescent="0.2">
      <c r="A10366">
        <v>323245</v>
      </c>
      <c r="B10366">
        <v>1105856</v>
      </c>
      <c r="C10366" t="str">
        <f t="shared" si="161"/>
        <v>5. $1M+</v>
      </c>
      <c r="D10366" t="s">
        <v>697</v>
      </c>
      <c r="E10366" t="s">
        <v>237</v>
      </c>
      <c r="F10366" t="s">
        <v>670</v>
      </c>
      <c r="G10366" t="s">
        <v>59</v>
      </c>
      <c r="H10366">
        <v>2025</v>
      </c>
    </row>
    <row r="10367" spans="1:8" x14ac:dyDescent="0.2">
      <c r="A10367">
        <v>323330</v>
      </c>
      <c r="B10367">
        <v>7022</v>
      </c>
      <c r="C10367" t="str">
        <f t="shared" si="161"/>
        <v>5. $1M+</v>
      </c>
      <c r="D10367" t="s">
        <v>676</v>
      </c>
      <c r="E10367" t="s">
        <v>42</v>
      </c>
      <c r="F10367" t="s">
        <v>670</v>
      </c>
      <c r="G10367" t="s">
        <v>59</v>
      </c>
      <c r="H10367">
        <v>2025</v>
      </c>
    </row>
    <row r="10368" spans="1:8" x14ac:dyDescent="0.2">
      <c r="A10368">
        <v>323419</v>
      </c>
      <c r="B10368">
        <v>302.5</v>
      </c>
      <c r="C10368" t="str">
        <f t="shared" si="161"/>
        <v>1. Under $10K</v>
      </c>
      <c r="D10368" t="s">
        <v>522</v>
      </c>
      <c r="E10368" t="s">
        <v>152</v>
      </c>
      <c r="F10368" t="s">
        <v>423</v>
      </c>
      <c r="G10368" t="s">
        <v>59</v>
      </c>
      <c r="H10368">
        <v>2025</v>
      </c>
    </row>
    <row r="10369" spans="1:8" x14ac:dyDescent="0.2">
      <c r="A10369">
        <v>323436</v>
      </c>
      <c r="B10369">
        <v>493952</v>
      </c>
      <c r="C10369" t="str">
        <f t="shared" si="161"/>
        <v>1. Under $10K</v>
      </c>
      <c r="D10369" t="s">
        <v>771</v>
      </c>
      <c r="E10369" t="s">
        <v>42</v>
      </c>
      <c r="F10369" t="s">
        <v>670</v>
      </c>
      <c r="G10369" t="s">
        <v>44</v>
      </c>
      <c r="H10369">
        <v>2025</v>
      </c>
    </row>
    <row r="10370" spans="1:8" x14ac:dyDescent="0.2">
      <c r="A10370">
        <v>323468</v>
      </c>
      <c r="B10370">
        <v>4640</v>
      </c>
      <c r="C10370" t="str">
        <f t="shared" si="161"/>
        <v>4. $250K-1M</v>
      </c>
      <c r="D10370" t="s">
        <v>525</v>
      </c>
      <c r="E10370" t="s">
        <v>65</v>
      </c>
      <c r="F10370" t="s">
        <v>457</v>
      </c>
      <c r="G10370" t="s">
        <v>59</v>
      </c>
      <c r="H10370">
        <v>2025</v>
      </c>
    </row>
    <row r="10371" spans="1:8" x14ac:dyDescent="0.2">
      <c r="A10371">
        <v>323537</v>
      </c>
      <c r="B10371">
        <v>589640</v>
      </c>
      <c r="C10371" t="str">
        <f t="shared" ref="C10371:C10434" si="162">IF(B10370&lt;10000,"1. Under $10K",IF(B10370&lt;50000,"2. $10K-50K",IF(B10370&lt;250000,"3. $50K-250K",IF(B10370&lt;1000000,"4. $250K-1M","5. $1M+"))))</f>
        <v>1. Under $10K</v>
      </c>
      <c r="D10371" t="s">
        <v>683</v>
      </c>
      <c r="E10371" t="s">
        <v>42</v>
      </c>
      <c r="F10371" t="s">
        <v>670</v>
      </c>
      <c r="G10371" t="s">
        <v>59</v>
      </c>
      <c r="H10371">
        <v>2025</v>
      </c>
    </row>
    <row r="10372" spans="1:8" x14ac:dyDescent="0.2">
      <c r="A10372">
        <v>323589</v>
      </c>
      <c r="B10372">
        <v>280079</v>
      </c>
      <c r="C10372" t="str">
        <f t="shared" si="162"/>
        <v>4. $250K-1M</v>
      </c>
      <c r="D10372" t="s">
        <v>1022</v>
      </c>
      <c r="E10372" t="s">
        <v>42</v>
      </c>
      <c r="F10372" t="s">
        <v>670</v>
      </c>
      <c r="G10372" t="s">
        <v>59</v>
      </c>
      <c r="H10372">
        <v>2025</v>
      </c>
    </row>
    <row r="10373" spans="1:8" x14ac:dyDescent="0.2">
      <c r="A10373">
        <v>323668</v>
      </c>
      <c r="B10373">
        <v>523040</v>
      </c>
      <c r="C10373" t="str">
        <f t="shared" si="162"/>
        <v>4. $250K-1M</v>
      </c>
      <c r="D10373" t="s">
        <v>727</v>
      </c>
      <c r="E10373" t="s">
        <v>237</v>
      </c>
      <c r="F10373" t="s">
        <v>670</v>
      </c>
      <c r="G10373" t="s">
        <v>59</v>
      </c>
      <c r="H10373">
        <v>2025</v>
      </c>
    </row>
    <row r="10374" spans="1:8" x14ac:dyDescent="0.2">
      <c r="A10374">
        <v>323669</v>
      </c>
      <c r="B10374">
        <v>904112</v>
      </c>
      <c r="C10374" t="str">
        <f t="shared" si="162"/>
        <v>4. $250K-1M</v>
      </c>
      <c r="D10374" t="s">
        <v>1088</v>
      </c>
      <c r="E10374" t="s">
        <v>237</v>
      </c>
      <c r="F10374" t="s">
        <v>670</v>
      </c>
      <c r="G10374" t="s">
        <v>59</v>
      </c>
      <c r="H10374">
        <v>2025</v>
      </c>
    </row>
    <row r="10375" spans="1:8" x14ac:dyDescent="0.2">
      <c r="A10375">
        <v>323671</v>
      </c>
      <c r="B10375">
        <v>112080</v>
      </c>
      <c r="C10375" t="str">
        <f t="shared" si="162"/>
        <v>4. $250K-1M</v>
      </c>
      <c r="D10375" t="s">
        <v>729</v>
      </c>
      <c r="E10375" t="s">
        <v>237</v>
      </c>
      <c r="F10375" t="s">
        <v>670</v>
      </c>
      <c r="G10375" t="s">
        <v>59</v>
      </c>
      <c r="H10375">
        <v>2025</v>
      </c>
    </row>
    <row r="10376" spans="1:8" x14ac:dyDescent="0.2">
      <c r="A10376">
        <v>323672</v>
      </c>
      <c r="B10376">
        <v>508096</v>
      </c>
      <c r="C10376" t="str">
        <f t="shared" si="162"/>
        <v>3. $50K-250K</v>
      </c>
      <c r="D10376" t="s">
        <v>753</v>
      </c>
      <c r="E10376" t="s">
        <v>237</v>
      </c>
      <c r="F10376" t="s">
        <v>670</v>
      </c>
      <c r="G10376" t="s">
        <v>59</v>
      </c>
      <c r="H10376">
        <v>2025</v>
      </c>
    </row>
    <row r="10377" spans="1:8" x14ac:dyDescent="0.2">
      <c r="A10377">
        <v>323674</v>
      </c>
      <c r="B10377">
        <v>1389700</v>
      </c>
      <c r="C10377" t="str">
        <f t="shared" si="162"/>
        <v>4. $250K-1M</v>
      </c>
      <c r="D10377" t="s">
        <v>727</v>
      </c>
      <c r="E10377" t="s">
        <v>237</v>
      </c>
      <c r="F10377" t="s">
        <v>670</v>
      </c>
      <c r="G10377" t="s">
        <v>59</v>
      </c>
      <c r="H10377">
        <v>2025</v>
      </c>
    </row>
    <row r="10378" spans="1:8" x14ac:dyDescent="0.2">
      <c r="A10378">
        <v>323677</v>
      </c>
      <c r="B10378">
        <v>276464</v>
      </c>
      <c r="C10378" t="str">
        <f t="shared" si="162"/>
        <v>5. $1M+</v>
      </c>
      <c r="D10378" t="s">
        <v>1532</v>
      </c>
      <c r="E10378" t="s">
        <v>237</v>
      </c>
      <c r="F10378" t="s">
        <v>670</v>
      </c>
      <c r="G10378" t="s">
        <v>59</v>
      </c>
      <c r="H10378">
        <v>2025</v>
      </c>
    </row>
    <row r="10379" spans="1:8" x14ac:dyDescent="0.2">
      <c r="A10379">
        <v>323678</v>
      </c>
      <c r="B10379">
        <v>254048</v>
      </c>
      <c r="C10379" t="str">
        <f t="shared" si="162"/>
        <v>4. $250K-1M</v>
      </c>
      <c r="D10379" t="s">
        <v>751</v>
      </c>
      <c r="E10379" t="s">
        <v>237</v>
      </c>
      <c r="F10379" t="s">
        <v>670</v>
      </c>
      <c r="G10379" t="s">
        <v>59</v>
      </c>
      <c r="H10379">
        <v>2025</v>
      </c>
    </row>
    <row r="10380" spans="1:8" x14ac:dyDescent="0.2">
      <c r="A10380">
        <v>323735</v>
      </c>
      <c r="B10380">
        <v>381072</v>
      </c>
      <c r="C10380" t="str">
        <f t="shared" si="162"/>
        <v>4. $250K-1M</v>
      </c>
      <c r="D10380" t="s">
        <v>752</v>
      </c>
      <c r="E10380" t="s">
        <v>237</v>
      </c>
      <c r="F10380" t="s">
        <v>670</v>
      </c>
      <c r="G10380" t="s">
        <v>59</v>
      </c>
      <c r="H10380">
        <v>2025</v>
      </c>
    </row>
    <row r="10381" spans="1:8" x14ac:dyDescent="0.2">
      <c r="A10381">
        <v>323736</v>
      </c>
      <c r="B10381">
        <v>1023664</v>
      </c>
      <c r="C10381" t="str">
        <f t="shared" si="162"/>
        <v>4. $250K-1M</v>
      </c>
      <c r="D10381" t="s">
        <v>704</v>
      </c>
      <c r="E10381" t="s">
        <v>237</v>
      </c>
      <c r="F10381" t="s">
        <v>670</v>
      </c>
      <c r="G10381" t="s">
        <v>59</v>
      </c>
      <c r="H10381">
        <v>2025</v>
      </c>
    </row>
    <row r="10382" spans="1:8" x14ac:dyDescent="0.2">
      <c r="A10382">
        <v>323737</v>
      </c>
      <c r="B10382">
        <v>1494400</v>
      </c>
      <c r="C10382" t="str">
        <f t="shared" si="162"/>
        <v>5. $1M+</v>
      </c>
      <c r="D10382" t="s">
        <v>698</v>
      </c>
      <c r="E10382" t="s">
        <v>237</v>
      </c>
      <c r="F10382" t="s">
        <v>670</v>
      </c>
      <c r="G10382" t="s">
        <v>59</v>
      </c>
      <c r="H10382">
        <v>2025</v>
      </c>
    </row>
    <row r="10383" spans="1:8" x14ac:dyDescent="0.2">
      <c r="A10383">
        <v>323738</v>
      </c>
      <c r="B10383">
        <v>493152</v>
      </c>
      <c r="C10383" t="str">
        <f t="shared" si="162"/>
        <v>5. $1M+</v>
      </c>
      <c r="D10383" t="s">
        <v>1513</v>
      </c>
      <c r="E10383" t="s">
        <v>237</v>
      </c>
      <c r="F10383" t="s">
        <v>670</v>
      </c>
      <c r="G10383" t="s">
        <v>59</v>
      </c>
      <c r="H10383">
        <v>2025</v>
      </c>
    </row>
    <row r="10384" spans="1:8" x14ac:dyDescent="0.2">
      <c r="A10384">
        <v>323745</v>
      </c>
      <c r="B10384">
        <v>1136800</v>
      </c>
      <c r="C10384" t="str">
        <f t="shared" si="162"/>
        <v>4. $250K-1M</v>
      </c>
      <c r="D10384" t="s">
        <v>700</v>
      </c>
      <c r="E10384" t="s">
        <v>237</v>
      </c>
      <c r="F10384" t="s">
        <v>670</v>
      </c>
      <c r="G10384" t="s">
        <v>59</v>
      </c>
      <c r="H10384">
        <v>2025</v>
      </c>
    </row>
    <row r="10385" spans="1:8" x14ac:dyDescent="0.2">
      <c r="A10385">
        <v>323746</v>
      </c>
      <c r="B10385">
        <v>1860550</v>
      </c>
      <c r="C10385" t="str">
        <f t="shared" si="162"/>
        <v>5. $1M+</v>
      </c>
      <c r="D10385" t="s">
        <v>699</v>
      </c>
      <c r="E10385" t="s">
        <v>237</v>
      </c>
      <c r="F10385" t="s">
        <v>670</v>
      </c>
      <c r="G10385" t="s">
        <v>59</v>
      </c>
      <c r="H10385">
        <v>2025</v>
      </c>
    </row>
    <row r="10386" spans="1:8" x14ac:dyDescent="0.2">
      <c r="A10386">
        <v>323749</v>
      </c>
      <c r="B10386">
        <v>127024</v>
      </c>
      <c r="C10386" t="str">
        <f t="shared" si="162"/>
        <v>5. $1M+</v>
      </c>
      <c r="D10386" t="s">
        <v>718</v>
      </c>
      <c r="E10386" t="s">
        <v>237</v>
      </c>
      <c r="F10386" t="s">
        <v>670</v>
      </c>
      <c r="G10386" t="s">
        <v>59</v>
      </c>
      <c r="H10386">
        <v>2025</v>
      </c>
    </row>
    <row r="10387" spans="1:8" x14ac:dyDescent="0.2">
      <c r="A10387">
        <v>323750</v>
      </c>
      <c r="B10387">
        <v>762144</v>
      </c>
      <c r="C10387" t="str">
        <f t="shared" si="162"/>
        <v>3. $50K-250K</v>
      </c>
      <c r="D10387" t="s">
        <v>699</v>
      </c>
      <c r="E10387" t="s">
        <v>237</v>
      </c>
      <c r="F10387" t="s">
        <v>670</v>
      </c>
      <c r="G10387" t="s">
        <v>59</v>
      </c>
      <c r="H10387">
        <v>2025</v>
      </c>
    </row>
    <row r="10388" spans="1:8" x14ac:dyDescent="0.2">
      <c r="A10388">
        <v>323752</v>
      </c>
      <c r="B10388">
        <v>127024</v>
      </c>
      <c r="C10388" t="str">
        <f t="shared" si="162"/>
        <v>4. $250K-1M</v>
      </c>
      <c r="D10388" t="s">
        <v>764</v>
      </c>
      <c r="E10388" t="s">
        <v>237</v>
      </c>
      <c r="F10388" t="s">
        <v>670</v>
      </c>
      <c r="G10388" t="s">
        <v>59</v>
      </c>
      <c r="H10388">
        <v>2025</v>
      </c>
    </row>
    <row r="10389" spans="1:8" x14ac:dyDescent="0.2">
      <c r="A10389">
        <v>323754</v>
      </c>
      <c r="B10389">
        <v>2387280</v>
      </c>
      <c r="C10389" t="str">
        <f t="shared" si="162"/>
        <v>3. $50K-250K</v>
      </c>
      <c r="D10389" t="s">
        <v>704</v>
      </c>
      <c r="E10389" t="s">
        <v>237</v>
      </c>
      <c r="F10389" t="s">
        <v>670</v>
      </c>
      <c r="G10389" t="s">
        <v>59</v>
      </c>
      <c r="H10389">
        <v>2025</v>
      </c>
    </row>
    <row r="10390" spans="1:8" x14ac:dyDescent="0.2">
      <c r="A10390">
        <v>323758</v>
      </c>
      <c r="B10390">
        <v>1136800</v>
      </c>
      <c r="C10390" t="str">
        <f t="shared" si="162"/>
        <v>5. $1M+</v>
      </c>
      <c r="D10390" t="s">
        <v>723</v>
      </c>
      <c r="E10390" t="s">
        <v>237</v>
      </c>
      <c r="F10390" t="s">
        <v>670</v>
      </c>
      <c r="G10390" t="s">
        <v>59</v>
      </c>
      <c r="H10390">
        <v>2025</v>
      </c>
    </row>
    <row r="10391" spans="1:8" x14ac:dyDescent="0.2">
      <c r="A10391">
        <v>323762</v>
      </c>
      <c r="B10391">
        <v>141968</v>
      </c>
      <c r="C10391" t="str">
        <f t="shared" si="162"/>
        <v>5. $1M+</v>
      </c>
      <c r="D10391" t="s">
        <v>723</v>
      </c>
      <c r="E10391" t="s">
        <v>237</v>
      </c>
      <c r="F10391" t="s">
        <v>670</v>
      </c>
      <c r="G10391" t="s">
        <v>59</v>
      </c>
      <c r="H10391">
        <v>2025</v>
      </c>
    </row>
    <row r="10392" spans="1:8" x14ac:dyDescent="0.2">
      <c r="A10392">
        <v>323763</v>
      </c>
      <c r="B10392">
        <v>426300</v>
      </c>
      <c r="C10392" t="str">
        <f t="shared" si="162"/>
        <v>3. $50K-250K</v>
      </c>
      <c r="D10392" t="s">
        <v>1532</v>
      </c>
      <c r="E10392" t="s">
        <v>237</v>
      </c>
      <c r="F10392" t="s">
        <v>670</v>
      </c>
      <c r="G10392" t="s">
        <v>59</v>
      </c>
      <c r="H10392">
        <v>2025</v>
      </c>
    </row>
    <row r="10393" spans="1:8" x14ac:dyDescent="0.2">
      <c r="A10393">
        <v>323766</v>
      </c>
      <c r="B10393">
        <v>448320</v>
      </c>
      <c r="C10393" t="str">
        <f t="shared" si="162"/>
        <v>4. $250K-1M</v>
      </c>
      <c r="D10393" t="s">
        <v>707</v>
      </c>
      <c r="E10393" t="s">
        <v>237</v>
      </c>
      <c r="F10393" t="s">
        <v>670</v>
      </c>
      <c r="G10393" t="s">
        <v>59</v>
      </c>
      <c r="H10393">
        <v>2025</v>
      </c>
    </row>
    <row r="10394" spans="1:8" x14ac:dyDescent="0.2">
      <c r="A10394">
        <v>323768</v>
      </c>
      <c r="B10394">
        <v>1818880</v>
      </c>
      <c r="C10394" t="str">
        <f t="shared" si="162"/>
        <v>4. $250K-1M</v>
      </c>
      <c r="D10394" t="s">
        <v>698</v>
      </c>
      <c r="E10394" t="s">
        <v>237</v>
      </c>
      <c r="F10394" t="s">
        <v>670</v>
      </c>
      <c r="G10394" t="s">
        <v>59</v>
      </c>
      <c r="H10394">
        <v>2025</v>
      </c>
    </row>
    <row r="10395" spans="1:8" x14ac:dyDescent="0.2">
      <c r="A10395">
        <v>323769</v>
      </c>
      <c r="B10395">
        <v>134496</v>
      </c>
      <c r="C10395" t="str">
        <f t="shared" si="162"/>
        <v>5. $1M+</v>
      </c>
      <c r="D10395" t="s">
        <v>735</v>
      </c>
      <c r="E10395" t="s">
        <v>237</v>
      </c>
      <c r="F10395" t="s">
        <v>670</v>
      </c>
      <c r="G10395" t="s">
        <v>59</v>
      </c>
      <c r="H10395">
        <v>2025</v>
      </c>
    </row>
    <row r="10396" spans="1:8" x14ac:dyDescent="0.2">
      <c r="A10396">
        <v>323770</v>
      </c>
      <c r="B10396">
        <v>134496</v>
      </c>
      <c r="C10396" t="str">
        <f t="shared" si="162"/>
        <v>3. $50K-250K</v>
      </c>
      <c r="D10396" t="s">
        <v>743</v>
      </c>
      <c r="E10396" t="s">
        <v>237</v>
      </c>
      <c r="F10396" t="s">
        <v>670</v>
      </c>
      <c r="G10396" t="s">
        <v>59</v>
      </c>
      <c r="H10396">
        <v>2025</v>
      </c>
    </row>
    <row r="10397" spans="1:8" x14ac:dyDescent="0.2">
      <c r="A10397">
        <v>323771</v>
      </c>
      <c r="B10397">
        <v>1441260</v>
      </c>
      <c r="C10397" t="str">
        <f t="shared" si="162"/>
        <v>3. $50K-250K</v>
      </c>
      <c r="D10397" t="s">
        <v>768</v>
      </c>
      <c r="E10397" t="s">
        <v>237</v>
      </c>
      <c r="F10397" t="s">
        <v>670</v>
      </c>
      <c r="G10397" t="s">
        <v>59</v>
      </c>
      <c r="H10397">
        <v>2025</v>
      </c>
    </row>
    <row r="10398" spans="1:8" x14ac:dyDescent="0.2">
      <c r="A10398">
        <v>323772</v>
      </c>
      <c r="B10398">
        <v>227360</v>
      </c>
      <c r="C10398" t="str">
        <f t="shared" si="162"/>
        <v>5. $1M+</v>
      </c>
      <c r="D10398" t="s">
        <v>743</v>
      </c>
      <c r="E10398" t="s">
        <v>237</v>
      </c>
      <c r="F10398" t="s">
        <v>670</v>
      </c>
      <c r="G10398" t="s">
        <v>59</v>
      </c>
      <c r="H10398">
        <v>2025</v>
      </c>
    </row>
    <row r="10399" spans="1:8" x14ac:dyDescent="0.2">
      <c r="A10399">
        <v>323773</v>
      </c>
      <c r="B10399">
        <v>149440</v>
      </c>
      <c r="C10399" t="str">
        <f t="shared" si="162"/>
        <v>3. $50K-250K</v>
      </c>
      <c r="D10399" t="s">
        <v>776</v>
      </c>
      <c r="E10399" t="s">
        <v>237</v>
      </c>
      <c r="F10399" t="s">
        <v>670</v>
      </c>
      <c r="G10399" t="s">
        <v>59</v>
      </c>
      <c r="H10399">
        <v>2025</v>
      </c>
    </row>
    <row r="10400" spans="1:8" x14ac:dyDescent="0.2">
      <c r="A10400">
        <v>323774</v>
      </c>
      <c r="B10400">
        <v>1389792</v>
      </c>
      <c r="C10400" t="str">
        <f t="shared" si="162"/>
        <v>3. $50K-250K</v>
      </c>
      <c r="D10400" t="s">
        <v>720</v>
      </c>
      <c r="E10400" t="s">
        <v>237</v>
      </c>
      <c r="F10400" t="s">
        <v>670</v>
      </c>
      <c r="G10400" t="s">
        <v>59</v>
      </c>
      <c r="H10400">
        <v>2025</v>
      </c>
    </row>
    <row r="10401" spans="1:8" x14ac:dyDescent="0.2">
      <c r="A10401">
        <v>323775</v>
      </c>
      <c r="B10401">
        <v>17340.400000000001</v>
      </c>
      <c r="C10401" t="str">
        <f t="shared" si="162"/>
        <v>5. $1M+</v>
      </c>
      <c r="D10401" t="s">
        <v>1084</v>
      </c>
      <c r="E10401" t="s">
        <v>237</v>
      </c>
      <c r="F10401" t="s">
        <v>670</v>
      </c>
      <c r="G10401" t="s">
        <v>59</v>
      </c>
      <c r="H10401">
        <v>2025</v>
      </c>
    </row>
    <row r="10402" spans="1:8" x14ac:dyDescent="0.2">
      <c r="A10402">
        <v>323797</v>
      </c>
      <c r="B10402">
        <v>324302</v>
      </c>
      <c r="C10402" t="str">
        <f t="shared" si="162"/>
        <v>2. $10K-50K</v>
      </c>
      <c r="D10402" t="s">
        <v>1021</v>
      </c>
      <c r="E10402" t="s">
        <v>42</v>
      </c>
      <c r="F10402" t="s">
        <v>670</v>
      </c>
      <c r="G10402" t="s">
        <v>59</v>
      </c>
      <c r="H10402">
        <v>2025</v>
      </c>
    </row>
    <row r="10403" spans="1:8" x14ac:dyDescent="0.2">
      <c r="A10403">
        <v>323904</v>
      </c>
      <c r="B10403">
        <v>33000</v>
      </c>
      <c r="C10403" t="str">
        <f t="shared" si="162"/>
        <v>4. $250K-1M</v>
      </c>
      <c r="D10403" t="s">
        <v>681</v>
      </c>
      <c r="E10403" t="s">
        <v>42</v>
      </c>
      <c r="F10403" t="s">
        <v>670</v>
      </c>
      <c r="G10403" t="s">
        <v>59</v>
      </c>
      <c r="H10403">
        <v>2025</v>
      </c>
    </row>
    <row r="10404" spans="1:8" x14ac:dyDescent="0.2">
      <c r="A10404">
        <v>323963</v>
      </c>
      <c r="B10404">
        <v>333376</v>
      </c>
      <c r="C10404" t="str">
        <f t="shared" si="162"/>
        <v>2. $10K-50K</v>
      </c>
      <c r="D10404" t="s">
        <v>907</v>
      </c>
      <c r="E10404" t="s">
        <v>237</v>
      </c>
      <c r="F10404" t="s">
        <v>670</v>
      </c>
      <c r="G10404" t="s">
        <v>59</v>
      </c>
      <c r="H10404">
        <v>2025</v>
      </c>
    </row>
    <row r="10405" spans="1:8" x14ac:dyDescent="0.2">
      <c r="A10405">
        <v>324135</v>
      </c>
      <c r="B10405">
        <v>1270240</v>
      </c>
      <c r="C10405" t="str">
        <f t="shared" si="162"/>
        <v>4. $250K-1M</v>
      </c>
      <c r="D10405" t="s">
        <v>1514</v>
      </c>
      <c r="E10405" t="s">
        <v>237</v>
      </c>
      <c r="F10405" t="s">
        <v>670</v>
      </c>
      <c r="G10405" t="s">
        <v>59</v>
      </c>
      <c r="H10405">
        <v>2025</v>
      </c>
    </row>
    <row r="10406" spans="1:8" x14ac:dyDescent="0.2">
      <c r="A10406">
        <v>324136</v>
      </c>
      <c r="B10406">
        <v>1367376</v>
      </c>
      <c r="C10406" t="str">
        <f t="shared" si="162"/>
        <v>5. $1M+</v>
      </c>
      <c r="D10406" t="s">
        <v>705</v>
      </c>
      <c r="E10406" t="s">
        <v>237</v>
      </c>
      <c r="F10406" t="s">
        <v>670</v>
      </c>
      <c r="G10406" t="s">
        <v>59</v>
      </c>
      <c r="H10406">
        <v>2025</v>
      </c>
    </row>
    <row r="10407" spans="1:8" x14ac:dyDescent="0.2">
      <c r="A10407">
        <v>324138</v>
      </c>
      <c r="B10407">
        <v>1023120</v>
      </c>
      <c r="C10407" t="str">
        <f t="shared" si="162"/>
        <v>5. $1M+</v>
      </c>
      <c r="D10407" t="s">
        <v>705</v>
      </c>
      <c r="E10407" t="s">
        <v>237</v>
      </c>
      <c r="F10407" t="s">
        <v>670</v>
      </c>
      <c r="G10407" t="s">
        <v>59</v>
      </c>
      <c r="H10407">
        <v>2025</v>
      </c>
    </row>
    <row r="10408" spans="1:8" x14ac:dyDescent="0.2">
      <c r="A10408">
        <v>324139</v>
      </c>
      <c r="B10408">
        <v>127024</v>
      </c>
      <c r="C10408" t="str">
        <f t="shared" si="162"/>
        <v>5. $1M+</v>
      </c>
      <c r="D10408" t="s">
        <v>766</v>
      </c>
      <c r="E10408" t="s">
        <v>237</v>
      </c>
      <c r="F10408" t="s">
        <v>670</v>
      </c>
      <c r="G10408" t="s">
        <v>59</v>
      </c>
      <c r="H10408">
        <v>2025</v>
      </c>
    </row>
    <row r="10409" spans="1:8" x14ac:dyDescent="0.2">
      <c r="A10409">
        <v>324140</v>
      </c>
      <c r="B10409">
        <v>795760</v>
      </c>
      <c r="C10409" t="str">
        <f t="shared" si="162"/>
        <v>3. $50K-250K</v>
      </c>
      <c r="D10409" t="s">
        <v>1514</v>
      </c>
      <c r="E10409" t="s">
        <v>237</v>
      </c>
      <c r="F10409" t="s">
        <v>670</v>
      </c>
      <c r="G10409" t="s">
        <v>59</v>
      </c>
      <c r="H10409">
        <v>2025</v>
      </c>
    </row>
    <row r="10410" spans="1:8" x14ac:dyDescent="0.2">
      <c r="A10410">
        <v>324141</v>
      </c>
      <c r="B10410">
        <v>254048</v>
      </c>
      <c r="C10410" t="str">
        <f t="shared" si="162"/>
        <v>4. $250K-1M</v>
      </c>
      <c r="D10410" t="s">
        <v>746</v>
      </c>
      <c r="E10410" t="s">
        <v>237</v>
      </c>
      <c r="F10410" t="s">
        <v>670</v>
      </c>
      <c r="G10410" t="s">
        <v>59</v>
      </c>
      <c r="H10410">
        <v>2025</v>
      </c>
    </row>
    <row r="10411" spans="1:8" x14ac:dyDescent="0.2">
      <c r="A10411">
        <v>324142</v>
      </c>
      <c r="B10411">
        <v>909440</v>
      </c>
      <c r="C10411" t="str">
        <f t="shared" si="162"/>
        <v>4. $250K-1M</v>
      </c>
      <c r="D10411" t="s">
        <v>756</v>
      </c>
      <c r="E10411" t="s">
        <v>237</v>
      </c>
      <c r="F10411" t="s">
        <v>670</v>
      </c>
      <c r="G10411" t="s">
        <v>59</v>
      </c>
      <c r="H10411">
        <v>2025</v>
      </c>
    </row>
    <row r="10412" spans="1:8" x14ac:dyDescent="0.2">
      <c r="A10412">
        <v>324143</v>
      </c>
      <c r="B10412">
        <v>224160</v>
      </c>
      <c r="C10412" t="str">
        <f t="shared" si="162"/>
        <v>4. $250K-1M</v>
      </c>
      <c r="D10412" t="s">
        <v>784</v>
      </c>
      <c r="E10412" t="s">
        <v>237</v>
      </c>
      <c r="F10412" t="s">
        <v>670</v>
      </c>
      <c r="G10412" t="s">
        <v>59</v>
      </c>
      <c r="H10412">
        <v>2025</v>
      </c>
    </row>
    <row r="10413" spans="1:8" x14ac:dyDescent="0.2">
      <c r="A10413">
        <v>324146</v>
      </c>
      <c r="B10413">
        <v>254048</v>
      </c>
      <c r="C10413" t="str">
        <f t="shared" si="162"/>
        <v>3. $50K-250K</v>
      </c>
      <c r="D10413" t="s">
        <v>716</v>
      </c>
      <c r="E10413" t="s">
        <v>237</v>
      </c>
      <c r="F10413" t="s">
        <v>670</v>
      </c>
      <c r="G10413" t="s">
        <v>59</v>
      </c>
      <c r="H10413">
        <v>2025</v>
      </c>
    </row>
    <row r="10414" spans="1:8" x14ac:dyDescent="0.2">
      <c r="A10414">
        <v>324148</v>
      </c>
      <c r="B10414">
        <v>114103</v>
      </c>
      <c r="C10414" t="str">
        <f t="shared" si="162"/>
        <v>4. $250K-1M</v>
      </c>
      <c r="D10414" t="s">
        <v>702</v>
      </c>
      <c r="E10414" t="s">
        <v>237</v>
      </c>
      <c r="F10414" t="s">
        <v>670</v>
      </c>
      <c r="G10414" t="s">
        <v>59</v>
      </c>
      <c r="H10414">
        <v>2025</v>
      </c>
    </row>
    <row r="10415" spans="1:8" x14ac:dyDescent="0.2">
      <c r="A10415">
        <v>324149</v>
      </c>
      <c r="B10415">
        <v>1017360</v>
      </c>
      <c r="C10415" t="str">
        <f t="shared" si="162"/>
        <v>3. $50K-250K</v>
      </c>
      <c r="D10415" t="s">
        <v>763</v>
      </c>
      <c r="E10415" t="s">
        <v>237</v>
      </c>
      <c r="F10415" t="s">
        <v>670</v>
      </c>
      <c r="G10415" t="s">
        <v>59</v>
      </c>
      <c r="H10415">
        <v>2025</v>
      </c>
    </row>
    <row r="10416" spans="1:8" x14ac:dyDescent="0.2">
      <c r="A10416">
        <v>324156</v>
      </c>
      <c r="B10416">
        <v>395894</v>
      </c>
      <c r="C10416" t="str">
        <f t="shared" si="162"/>
        <v>5. $1M+</v>
      </c>
      <c r="D10416" t="s">
        <v>957</v>
      </c>
      <c r="E10416" t="s">
        <v>42</v>
      </c>
      <c r="F10416" t="s">
        <v>670</v>
      </c>
      <c r="G10416" t="s">
        <v>59</v>
      </c>
      <c r="H10416">
        <v>2025</v>
      </c>
    </row>
    <row r="10417" spans="1:8" x14ac:dyDescent="0.2">
      <c r="A10417">
        <v>324158</v>
      </c>
      <c r="B10417">
        <v>398082</v>
      </c>
      <c r="C10417" t="str">
        <f t="shared" si="162"/>
        <v>4. $250K-1M</v>
      </c>
      <c r="D10417" t="s">
        <v>978</v>
      </c>
      <c r="E10417" t="s">
        <v>42</v>
      </c>
      <c r="F10417" t="s">
        <v>670</v>
      </c>
      <c r="G10417" t="s">
        <v>59</v>
      </c>
      <c r="H10417">
        <v>2025</v>
      </c>
    </row>
    <row r="10418" spans="1:8" x14ac:dyDescent="0.2">
      <c r="A10418">
        <v>324160</v>
      </c>
      <c r="B10418">
        <v>216688</v>
      </c>
      <c r="C10418" t="str">
        <f t="shared" si="162"/>
        <v>4. $250K-1M</v>
      </c>
      <c r="D10418" t="s">
        <v>745</v>
      </c>
      <c r="E10418" t="s">
        <v>237</v>
      </c>
      <c r="F10418" t="s">
        <v>670</v>
      </c>
      <c r="G10418" t="s">
        <v>59</v>
      </c>
      <c r="H10418">
        <v>2025</v>
      </c>
    </row>
    <row r="10419" spans="1:8" x14ac:dyDescent="0.2">
      <c r="A10419">
        <v>324162</v>
      </c>
      <c r="B10419">
        <v>833670</v>
      </c>
      <c r="C10419" t="str">
        <f t="shared" si="162"/>
        <v>3. $50K-250K</v>
      </c>
      <c r="D10419" t="s">
        <v>760</v>
      </c>
      <c r="E10419" t="s">
        <v>237</v>
      </c>
      <c r="F10419" t="s">
        <v>670</v>
      </c>
      <c r="G10419" t="s">
        <v>59</v>
      </c>
      <c r="H10419">
        <v>2025</v>
      </c>
    </row>
    <row r="10420" spans="1:8" x14ac:dyDescent="0.2">
      <c r="A10420">
        <v>324163</v>
      </c>
      <c r="B10420">
        <v>127024</v>
      </c>
      <c r="C10420" t="str">
        <f t="shared" si="162"/>
        <v>4. $250K-1M</v>
      </c>
      <c r="D10420" t="s">
        <v>750</v>
      </c>
      <c r="E10420" t="s">
        <v>237</v>
      </c>
      <c r="F10420" t="s">
        <v>670</v>
      </c>
      <c r="G10420" t="s">
        <v>59</v>
      </c>
      <c r="H10420">
        <v>2025</v>
      </c>
    </row>
    <row r="10421" spans="1:8" x14ac:dyDescent="0.2">
      <c r="A10421">
        <v>324164</v>
      </c>
      <c r="B10421">
        <v>198940</v>
      </c>
      <c r="C10421" t="str">
        <f t="shared" si="162"/>
        <v>3. $50K-250K</v>
      </c>
      <c r="D10421" t="s">
        <v>732</v>
      </c>
      <c r="E10421" t="s">
        <v>237</v>
      </c>
      <c r="F10421" t="s">
        <v>670</v>
      </c>
      <c r="G10421" t="s">
        <v>59</v>
      </c>
      <c r="H10421">
        <v>2025</v>
      </c>
    </row>
    <row r="10422" spans="1:8" x14ac:dyDescent="0.2">
      <c r="A10422">
        <v>324165</v>
      </c>
      <c r="B10422">
        <v>1737990</v>
      </c>
      <c r="C10422" t="str">
        <f t="shared" si="162"/>
        <v>3. $50K-250K</v>
      </c>
      <c r="D10422" t="s">
        <v>695</v>
      </c>
      <c r="E10422" t="s">
        <v>237</v>
      </c>
      <c r="F10422" t="s">
        <v>670</v>
      </c>
      <c r="G10422" t="s">
        <v>59</v>
      </c>
      <c r="H10422">
        <v>2025</v>
      </c>
    </row>
    <row r="10423" spans="1:8" x14ac:dyDescent="0.2">
      <c r="A10423">
        <v>324166</v>
      </c>
      <c r="B10423">
        <v>605232</v>
      </c>
      <c r="C10423" t="str">
        <f t="shared" si="162"/>
        <v>5. $1M+</v>
      </c>
      <c r="D10423" t="s">
        <v>756</v>
      </c>
      <c r="E10423" t="s">
        <v>237</v>
      </c>
      <c r="F10423" t="s">
        <v>670</v>
      </c>
      <c r="G10423" t="s">
        <v>59</v>
      </c>
      <c r="H10423">
        <v>2025</v>
      </c>
    </row>
    <row r="10424" spans="1:8" x14ac:dyDescent="0.2">
      <c r="A10424">
        <v>324167</v>
      </c>
      <c r="B10424">
        <v>298880</v>
      </c>
      <c r="C10424" t="str">
        <f t="shared" si="162"/>
        <v>4. $250K-1M</v>
      </c>
      <c r="D10424" t="s">
        <v>759</v>
      </c>
      <c r="E10424" t="s">
        <v>237</v>
      </c>
      <c r="F10424" t="s">
        <v>670</v>
      </c>
      <c r="G10424" t="s">
        <v>59</v>
      </c>
      <c r="H10424">
        <v>2025</v>
      </c>
    </row>
    <row r="10425" spans="1:8" x14ac:dyDescent="0.2">
      <c r="A10425">
        <v>324168</v>
      </c>
      <c r="B10425">
        <v>381072</v>
      </c>
      <c r="C10425" t="str">
        <f t="shared" si="162"/>
        <v>4. $250K-1M</v>
      </c>
      <c r="D10425" t="s">
        <v>711</v>
      </c>
      <c r="E10425" t="s">
        <v>237</v>
      </c>
      <c r="F10425" t="s">
        <v>670</v>
      </c>
      <c r="G10425" t="s">
        <v>59</v>
      </c>
      <c r="H10425">
        <v>2025</v>
      </c>
    </row>
    <row r="10426" spans="1:8" x14ac:dyDescent="0.2">
      <c r="A10426">
        <v>324169</v>
      </c>
      <c r="B10426">
        <v>1195520</v>
      </c>
      <c r="C10426" t="str">
        <f t="shared" si="162"/>
        <v>4. $250K-1M</v>
      </c>
      <c r="D10426" t="s">
        <v>695</v>
      </c>
      <c r="E10426" t="s">
        <v>237</v>
      </c>
      <c r="F10426" t="s">
        <v>670</v>
      </c>
      <c r="G10426" t="s">
        <v>59</v>
      </c>
      <c r="H10426">
        <v>2025</v>
      </c>
    </row>
    <row r="10427" spans="1:8" x14ac:dyDescent="0.2">
      <c r="A10427">
        <v>324187</v>
      </c>
      <c r="B10427">
        <v>13500</v>
      </c>
      <c r="C10427" t="str">
        <f t="shared" si="162"/>
        <v>5. $1M+</v>
      </c>
      <c r="D10427" t="s">
        <v>1161</v>
      </c>
      <c r="E10427" t="s">
        <v>112</v>
      </c>
      <c r="F10427" t="s">
        <v>668</v>
      </c>
      <c r="G10427" t="s">
        <v>59</v>
      </c>
      <c r="H10427">
        <v>2025</v>
      </c>
    </row>
    <row r="10428" spans="1:8" x14ac:dyDescent="0.2">
      <c r="A10428">
        <v>324189</v>
      </c>
      <c r="B10428">
        <v>22250</v>
      </c>
      <c r="C10428" t="str">
        <f t="shared" si="162"/>
        <v>2. $10K-50K</v>
      </c>
      <c r="D10428" t="s">
        <v>2643</v>
      </c>
      <c r="E10428" t="s">
        <v>112</v>
      </c>
      <c r="F10428" t="s">
        <v>668</v>
      </c>
      <c r="G10428" t="s">
        <v>59</v>
      </c>
      <c r="H10428">
        <v>2025</v>
      </c>
    </row>
    <row r="10429" spans="1:8" x14ac:dyDescent="0.2">
      <c r="A10429">
        <v>324198</v>
      </c>
      <c r="B10429">
        <v>45000</v>
      </c>
      <c r="C10429" t="str">
        <f t="shared" si="162"/>
        <v>2. $10K-50K</v>
      </c>
      <c r="D10429" t="s">
        <v>2644</v>
      </c>
      <c r="E10429" t="s">
        <v>112</v>
      </c>
      <c r="F10429" t="s">
        <v>668</v>
      </c>
      <c r="G10429" t="s">
        <v>59</v>
      </c>
      <c r="H10429">
        <v>2025</v>
      </c>
    </row>
    <row r="10430" spans="1:8" x14ac:dyDescent="0.2">
      <c r="A10430">
        <v>324229</v>
      </c>
      <c r="B10430">
        <v>250000</v>
      </c>
      <c r="C10430" t="str">
        <f t="shared" si="162"/>
        <v>2. $10K-50K</v>
      </c>
      <c r="D10430" t="s">
        <v>2569</v>
      </c>
      <c r="E10430" t="s">
        <v>99</v>
      </c>
      <c r="F10430" t="s">
        <v>668</v>
      </c>
      <c r="G10430" t="s">
        <v>59</v>
      </c>
      <c r="H10430">
        <v>2025</v>
      </c>
    </row>
    <row r="10431" spans="1:8" x14ac:dyDescent="0.2">
      <c r="A10431">
        <v>324233</v>
      </c>
      <c r="B10431">
        <v>201926.2</v>
      </c>
      <c r="C10431" t="str">
        <f t="shared" si="162"/>
        <v>4. $250K-1M</v>
      </c>
      <c r="D10431" t="s">
        <v>2645</v>
      </c>
      <c r="E10431" t="s">
        <v>99</v>
      </c>
      <c r="F10431" t="s">
        <v>668</v>
      </c>
      <c r="G10431" t="s">
        <v>59</v>
      </c>
      <c r="H10431">
        <v>2025</v>
      </c>
    </row>
    <row r="10432" spans="1:8" x14ac:dyDescent="0.2">
      <c r="A10432">
        <v>324240</v>
      </c>
      <c r="B10432">
        <v>250000</v>
      </c>
      <c r="C10432" t="str">
        <f t="shared" si="162"/>
        <v>3. $50K-250K</v>
      </c>
      <c r="D10432" t="s">
        <v>2646</v>
      </c>
      <c r="E10432" t="s">
        <v>99</v>
      </c>
      <c r="F10432" t="s">
        <v>668</v>
      </c>
      <c r="G10432" t="s">
        <v>59</v>
      </c>
      <c r="H10432">
        <v>2025</v>
      </c>
    </row>
    <row r="10433" spans="1:8" x14ac:dyDescent="0.2">
      <c r="A10433">
        <v>324255</v>
      </c>
      <c r="B10433">
        <v>825000</v>
      </c>
      <c r="C10433" t="str">
        <f t="shared" si="162"/>
        <v>4. $250K-1M</v>
      </c>
      <c r="D10433" t="s">
        <v>2647</v>
      </c>
      <c r="E10433" t="s">
        <v>99</v>
      </c>
      <c r="F10433" t="s">
        <v>668</v>
      </c>
      <c r="G10433" t="s">
        <v>59</v>
      </c>
      <c r="H10433">
        <v>2025</v>
      </c>
    </row>
    <row r="10434" spans="1:8" x14ac:dyDescent="0.2">
      <c r="A10434">
        <v>324322</v>
      </c>
      <c r="B10434">
        <v>1845000</v>
      </c>
      <c r="C10434" t="str">
        <f t="shared" si="162"/>
        <v>4. $250K-1M</v>
      </c>
      <c r="D10434" t="s">
        <v>774</v>
      </c>
      <c r="E10434" t="s">
        <v>99</v>
      </c>
      <c r="F10434" t="s">
        <v>668</v>
      </c>
      <c r="G10434" t="s">
        <v>59</v>
      </c>
      <c r="H10434">
        <v>2025</v>
      </c>
    </row>
    <row r="10435" spans="1:8" x14ac:dyDescent="0.2">
      <c r="A10435">
        <v>324323</v>
      </c>
      <c r="B10435">
        <v>11854857.699999999</v>
      </c>
      <c r="C10435" t="str">
        <f t="shared" ref="C10435:C10498" si="163">IF(B10434&lt;10000,"1. Under $10K",IF(B10434&lt;50000,"2. $10K-50K",IF(B10434&lt;250000,"3. $50K-250K",IF(B10434&lt;1000000,"4. $250K-1M","5. $1M+"))))</f>
        <v>5. $1M+</v>
      </c>
      <c r="D10435" t="s">
        <v>526</v>
      </c>
      <c r="E10435" t="s">
        <v>28</v>
      </c>
      <c r="F10435" t="s">
        <v>29</v>
      </c>
      <c r="G10435" t="s">
        <v>44</v>
      </c>
      <c r="H10435">
        <v>2025</v>
      </c>
    </row>
    <row r="10436" spans="1:8" x14ac:dyDescent="0.2">
      <c r="A10436">
        <v>324324</v>
      </c>
      <c r="B10436">
        <v>3515000</v>
      </c>
      <c r="C10436" t="str">
        <f t="shared" si="163"/>
        <v>5. $1M+</v>
      </c>
      <c r="D10436" t="s">
        <v>1453</v>
      </c>
      <c r="E10436" t="s">
        <v>99</v>
      </c>
      <c r="F10436" t="s">
        <v>668</v>
      </c>
      <c r="G10436" t="s">
        <v>59</v>
      </c>
      <c r="H10436">
        <v>2025</v>
      </c>
    </row>
    <row r="10437" spans="1:8" x14ac:dyDescent="0.2">
      <c r="A10437">
        <v>324358</v>
      </c>
      <c r="B10437">
        <v>381072</v>
      </c>
      <c r="C10437" t="str">
        <f t="shared" si="163"/>
        <v>5. $1M+</v>
      </c>
      <c r="D10437" t="s">
        <v>747</v>
      </c>
      <c r="E10437" t="s">
        <v>237</v>
      </c>
      <c r="F10437" t="s">
        <v>670</v>
      </c>
      <c r="G10437" t="s">
        <v>59</v>
      </c>
      <c r="H10437">
        <v>2025</v>
      </c>
    </row>
    <row r="10438" spans="1:8" x14ac:dyDescent="0.2">
      <c r="A10438">
        <v>324359</v>
      </c>
      <c r="B10438">
        <v>190387</v>
      </c>
      <c r="C10438" t="str">
        <f t="shared" si="163"/>
        <v>4. $250K-1M</v>
      </c>
      <c r="D10438" t="s">
        <v>798</v>
      </c>
      <c r="E10438" t="s">
        <v>237</v>
      </c>
      <c r="F10438" t="s">
        <v>670</v>
      </c>
      <c r="G10438" t="s">
        <v>59</v>
      </c>
      <c r="H10438">
        <v>2025</v>
      </c>
    </row>
    <row r="10439" spans="1:8" x14ac:dyDescent="0.2">
      <c r="A10439">
        <v>324360</v>
      </c>
      <c r="B10439">
        <v>1108380</v>
      </c>
      <c r="C10439" t="str">
        <f t="shared" si="163"/>
        <v>3. $50K-250K</v>
      </c>
      <c r="D10439" t="s">
        <v>747</v>
      </c>
      <c r="E10439" t="s">
        <v>237</v>
      </c>
      <c r="F10439" t="s">
        <v>670</v>
      </c>
      <c r="G10439" t="s">
        <v>59</v>
      </c>
      <c r="H10439">
        <v>2025</v>
      </c>
    </row>
    <row r="10440" spans="1:8" x14ac:dyDescent="0.2">
      <c r="A10440">
        <v>324361</v>
      </c>
      <c r="B10440">
        <v>104181</v>
      </c>
      <c r="C10440" t="str">
        <f t="shared" si="163"/>
        <v>5. $1M+</v>
      </c>
      <c r="D10440" t="s">
        <v>725</v>
      </c>
      <c r="E10440" t="s">
        <v>237</v>
      </c>
      <c r="F10440" t="s">
        <v>670</v>
      </c>
      <c r="G10440" t="s">
        <v>59</v>
      </c>
      <c r="H10440">
        <v>2025</v>
      </c>
    </row>
    <row r="10441" spans="1:8" x14ac:dyDescent="0.2">
      <c r="A10441">
        <v>324362</v>
      </c>
      <c r="B10441">
        <v>223245</v>
      </c>
      <c r="C10441" t="str">
        <f t="shared" si="163"/>
        <v>3. $50K-250K</v>
      </c>
      <c r="D10441" t="s">
        <v>829</v>
      </c>
      <c r="E10441" t="s">
        <v>237</v>
      </c>
      <c r="F10441" t="s">
        <v>670</v>
      </c>
      <c r="G10441" t="s">
        <v>59</v>
      </c>
      <c r="H10441">
        <v>2025</v>
      </c>
    </row>
    <row r="10442" spans="1:8" x14ac:dyDescent="0.2">
      <c r="A10442">
        <v>324363</v>
      </c>
      <c r="B10442">
        <v>341040</v>
      </c>
      <c r="C10442" t="str">
        <f t="shared" si="163"/>
        <v>3. $50K-250K</v>
      </c>
      <c r="D10442" t="s">
        <v>711</v>
      </c>
      <c r="E10442" t="s">
        <v>237</v>
      </c>
      <c r="F10442" t="s">
        <v>670</v>
      </c>
      <c r="G10442" t="s">
        <v>59</v>
      </c>
      <c r="H10442">
        <v>2025</v>
      </c>
    </row>
    <row r="10443" spans="1:8" x14ac:dyDescent="0.2">
      <c r="A10443">
        <v>324404</v>
      </c>
      <c r="B10443">
        <v>573253</v>
      </c>
      <c r="C10443" t="str">
        <f t="shared" si="163"/>
        <v>4. $250K-1M</v>
      </c>
      <c r="D10443" t="s">
        <v>701</v>
      </c>
      <c r="E10443" t="s">
        <v>237</v>
      </c>
      <c r="F10443" t="s">
        <v>670</v>
      </c>
      <c r="G10443" t="s">
        <v>59</v>
      </c>
      <c r="H10443">
        <v>2025</v>
      </c>
    </row>
    <row r="10444" spans="1:8" x14ac:dyDescent="0.2">
      <c r="A10444">
        <v>324406</v>
      </c>
      <c r="B10444">
        <v>77764</v>
      </c>
      <c r="C10444" t="str">
        <f t="shared" si="163"/>
        <v>4. $250K-1M</v>
      </c>
      <c r="D10444" t="s">
        <v>798</v>
      </c>
      <c r="E10444" t="s">
        <v>237</v>
      </c>
      <c r="F10444" t="s">
        <v>670</v>
      </c>
      <c r="G10444" t="s">
        <v>59</v>
      </c>
      <c r="H10444">
        <v>2025</v>
      </c>
    </row>
    <row r="10445" spans="1:8" x14ac:dyDescent="0.2">
      <c r="A10445">
        <v>324413</v>
      </c>
      <c r="B10445">
        <v>771100</v>
      </c>
      <c r="C10445" t="str">
        <f t="shared" si="163"/>
        <v>3. $50K-250K</v>
      </c>
      <c r="D10445" t="s">
        <v>1500</v>
      </c>
      <c r="E10445" t="s">
        <v>28</v>
      </c>
      <c r="F10445" t="s">
        <v>668</v>
      </c>
      <c r="G10445" t="s">
        <v>59</v>
      </c>
      <c r="H10445">
        <v>2025</v>
      </c>
    </row>
    <row r="10446" spans="1:8" x14ac:dyDescent="0.2">
      <c r="A10446">
        <v>324415</v>
      </c>
      <c r="B10446">
        <v>635120</v>
      </c>
      <c r="C10446" t="str">
        <f t="shared" si="163"/>
        <v>4. $250K-1M</v>
      </c>
      <c r="D10446" t="s">
        <v>701</v>
      </c>
      <c r="E10446" t="s">
        <v>237</v>
      </c>
      <c r="F10446" t="s">
        <v>670</v>
      </c>
      <c r="G10446" t="s">
        <v>59</v>
      </c>
      <c r="H10446">
        <v>2025</v>
      </c>
    </row>
    <row r="10447" spans="1:8" x14ac:dyDescent="0.2">
      <c r="A10447">
        <v>324416</v>
      </c>
      <c r="B10447">
        <v>91834176</v>
      </c>
      <c r="C10447" t="str">
        <f t="shared" si="163"/>
        <v>4. $250K-1M</v>
      </c>
      <c r="D10447" t="s">
        <v>1429</v>
      </c>
      <c r="E10447" t="s">
        <v>28</v>
      </c>
      <c r="F10447" t="s">
        <v>668</v>
      </c>
      <c r="G10447" t="s">
        <v>59</v>
      </c>
      <c r="H10447">
        <v>2025</v>
      </c>
    </row>
    <row r="10448" spans="1:8" x14ac:dyDescent="0.2">
      <c r="A10448">
        <v>324417</v>
      </c>
      <c r="B10448">
        <v>667870</v>
      </c>
      <c r="C10448" t="str">
        <f t="shared" si="163"/>
        <v>5. $1M+</v>
      </c>
      <c r="D10448" t="s">
        <v>734</v>
      </c>
      <c r="E10448" t="s">
        <v>237</v>
      </c>
      <c r="F10448" t="s">
        <v>670</v>
      </c>
      <c r="G10448" t="s">
        <v>59</v>
      </c>
      <c r="H10448">
        <v>2025</v>
      </c>
    </row>
    <row r="10449" spans="1:8" x14ac:dyDescent="0.2">
      <c r="A10449">
        <v>324418</v>
      </c>
      <c r="B10449">
        <v>127024</v>
      </c>
      <c r="C10449" t="str">
        <f t="shared" si="163"/>
        <v>4. $250K-1M</v>
      </c>
      <c r="D10449" t="s">
        <v>741</v>
      </c>
      <c r="E10449" t="s">
        <v>237</v>
      </c>
      <c r="F10449" t="s">
        <v>670</v>
      </c>
      <c r="G10449" t="s">
        <v>59</v>
      </c>
      <c r="H10449">
        <v>2025</v>
      </c>
    </row>
    <row r="10450" spans="1:8" x14ac:dyDescent="0.2">
      <c r="A10450">
        <v>324419</v>
      </c>
      <c r="B10450">
        <v>254048</v>
      </c>
      <c r="C10450" t="str">
        <f t="shared" si="163"/>
        <v>3. $50K-250K</v>
      </c>
      <c r="D10450" t="s">
        <v>726</v>
      </c>
      <c r="E10450" t="s">
        <v>237</v>
      </c>
      <c r="F10450" t="s">
        <v>670</v>
      </c>
      <c r="G10450" t="s">
        <v>59</v>
      </c>
      <c r="H10450">
        <v>2025</v>
      </c>
    </row>
    <row r="10451" spans="1:8" x14ac:dyDescent="0.2">
      <c r="A10451">
        <v>324421</v>
      </c>
      <c r="B10451">
        <v>227360</v>
      </c>
      <c r="C10451" t="str">
        <f t="shared" si="163"/>
        <v>4. $250K-1M</v>
      </c>
      <c r="D10451" t="s">
        <v>766</v>
      </c>
      <c r="E10451" t="s">
        <v>237</v>
      </c>
      <c r="F10451" t="s">
        <v>670</v>
      </c>
      <c r="G10451" t="s">
        <v>59</v>
      </c>
      <c r="H10451">
        <v>2025</v>
      </c>
    </row>
    <row r="10452" spans="1:8" x14ac:dyDescent="0.2">
      <c r="A10452">
        <v>324422</v>
      </c>
      <c r="B10452">
        <v>607590</v>
      </c>
      <c r="C10452" t="str">
        <f t="shared" si="163"/>
        <v>3. $50K-250K</v>
      </c>
      <c r="D10452" t="s">
        <v>725</v>
      </c>
      <c r="E10452" t="s">
        <v>237</v>
      </c>
      <c r="F10452" t="s">
        <v>670</v>
      </c>
      <c r="G10452" t="s">
        <v>59</v>
      </c>
      <c r="H10452">
        <v>2025</v>
      </c>
    </row>
    <row r="10453" spans="1:8" x14ac:dyDescent="0.2">
      <c r="A10453">
        <v>324423</v>
      </c>
      <c r="B10453">
        <v>341040</v>
      </c>
      <c r="C10453" t="str">
        <f t="shared" si="163"/>
        <v>4. $250K-1M</v>
      </c>
      <c r="D10453" t="s">
        <v>754</v>
      </c>
      <c r="E10453" t="s">
        <v>237</v>
      </c>
      <c r="F10453" t="s">
        <v>670</v>
      </c>
      <c r="G10453" t="s">
        <v>59</v>
      </c>
      <c r="H10453">
        <v>2025</v>
      </c>
    </row>
    <row r="10454" spans="1:8" x14ac:dyDescent="0.2">
      <c r="A10454">
        <v>324424</v>
      </c>
      <c r="B10454">
        <v>410960</v>
      </c>
      <c r="C10454" t="str">
        <f t="shared" si="163"/>
        <v>4. $250K-1M</v>
      </c>
      <c r="D10454" t="s">
        <v>754</v>
      </c>
      <c r="E10454" t="s">
        <v>237</v>
      </c>
      <c r="F10454" t="s">
        <v>670</v>
      </c>
      <c r="G10454" t="s">
        <v>59</v>
      </c>
      <c r="H10454">
        <v>2025</v>
      </c>
    </row>
    <row r="10455" spans="1:8" x14ac:dyDescent="0.2">
      <c r="A10455">
        <v>324425</v>
      </c>
      <c r="B10455">
        <v>112080</v>
      </c>
      <c r="C10455" t="str">
        <f t="shared" si="163"/>
        <v>4. $250K-1M</v>
      </c>
      <c r="D10455" t="s">
        <v>769</v>
      </c>
      <c r="E10455" t="s">
        <v>237</v>
      </c>
      <c r="F10455" t="s">
        <v>670</v>
      </c>
      <c r="G10455" t="s">
        <v>59</v>
      </c>
      <c r="H10455">
        <v>2025</v>
      </c>
    </row>
    <row r="10456" spans="1:8" x14ac:dyDescent="0.2">
      <c r="A10456">
        <v>324426</v>
      </c>
      <c r="B10456">
        <v>268992</v>
      </c>
      <c r="C10456" t="str">
        <f t="shared" si="163"/>
        <v>3. $50K-250K</v>
      </c>
      <c r="D10456" t="s">
        <v>734</v>
      </c>
      <c r="E10456" t="s">
        <v>237</v>
      </c>
      <c r="F10456" t="s">
        <v>670</v>
      </c>
      <c r="G10456" t="s">
        <v>59</v>
      </c>
      <c r="H10456">
        <v>2025</v>
      </c>
    </row>
    <row r="10457" spans="1:8" x14ac:dyDescent="0.2">
      <c r="A10457">
        <v>324428</v>
      </c>
      <c r="B10457">
        <v>119552</v>
      </c>
      <c r="C10457" t="str">
        <f t="shared" si="163"/>
        <v>4. $250K-1M</v>
      </c>
      <c r="D10457" t="s">
        <v>732</v>
      </c>
      <c r="E10457" t="s">
        <v>237</v>
      </c>
      <c r="F10457" t="s">
        <v>670</v>
      </c>
      <c r="G10457" t="s">
        <v>59</v>
      </c>
      <c r="H10457">
        <v>2025</v>
      </c>
    </row>
    <row r="10458" spans="1:8" x14ac:dyDescent="0.2">
      <c r="A10458">
        <v>324429</v>
      </c>
      <c r="B10458">
        <v>3749520</v>
      </c>
      <c r="C10458" t="str">
        <f t="shared" si="163"/>
        <v>3. $50K-250K</v>
      </c>
      <c r="D10458" t="s">
        <v>720</v>
      </c>
      <c r="E10458" t="s">
        <v>237</v>
      </c>
      <c r="F10458" t="s">
        <v>670</v>
      </c>
      <c r="G10458" t="s">
        <v>59</v>
      </c>
      <c r="H10458">
        <v>2025</v>
      </c>
    </row>
    <row r="10459" spans="1:8" x14ac:dyDescent="0.2">
      <c r="A10459">
        <v>324430</v>
      </c>
      <c r="B10459">
        <v>909440</v>
      </c>
      <c r="C10459" t="str">
        <f t="shared" si="163"/>
        <v>5. $1M+</v>
      </c>
      <c r="D10459" t="s">
        <v>758</v>
      </c>
      <c r="E10459" t="s">
        <v>237</v>
      </c>
      <c r="F10459" t="s">
        <v>670</v>
      </c>
      <c r="G10459" t="s">
        <v>59</v>
      </c>
      <c r="H10459">
        <v>2025</v>
      </c>
    </row>
    <row r="10460" spans="1:8" x14ac:dyDescent="0.2">
      <c r="A10460">
        <v>324454</v>
      </c>
      <c r="B10460">
        <v>61000</v>
      </c>
      <c r="C10460" t="str">
        <f t="shared" si="163"/>
        <v>4. $250K-1M</v>
      </c>
      <c r="D10460" t="s">
        <v>889</v>
      </c>
      <c r="E10460" t="s">
        <v>237</v>
      </c>
      <c r="F10460" t="s">
        <v>670</v>
      </c>
      <c r="G10460" t="s">
        <v>59</v>
      </c>
      <c r="H10460">
        <v>2025</v>
      </c>
    </row>
    <row r="10461" spans="1:8" x14ac:dyDescent="0.2">
      <c r="A10461">
        <v>324544</v>
      </c>
      <c r="B10461">
        <v>24335</v>
      </c>
      <c r="C10461" t="str">
        <f t="shared" si="163"/>
        <v>3. $50K-250K</v>
      </c>
      <c r="D10461" t="s">
        <v>1613</v>
      </c>
      <c r="E10461" t="s">
        <v>237</v>
      </c>
      <c r="F10461" t="s">
        <v>670</v>
      </c>
      <c r="G10461" t="s">
        <v>59</v>
      </c>
      <c r="H10461">
        <v>2025</v>
      </c>
    </row>
    <row r="10462" spans="1:8" x14ac:dyDescent="0.2">
      <c r="A10462">
        <v>324545</v>
      </c>
      <c r="B10462">
        <v>221115</v>
      </c>
      <c r="C10462" t="str">
        <f t="shared" si="163"/>
        <v>2. $10K-50K</v>
      </c>
      <c r="D10462" t="s">
        <v>703</v>
      </c>
      <c r="E10462" t="s">
        <v>42</v>
      </c>
      <c r="F10462" t="s">
        <v>670</v>
      </c>
      <c r="G10462" t="s">
        <v>59</v>
      </c>
      <c r="H10462">
        <v>2025</v>
      </c>
    </row>
    <row r="10463" spans="1:8" x14ac:dyDescent="0.2">
      <c r="A10463">
        <v>324546</v>
      </c>
      <c r="B10463">
        <v>90000</v>
      </c>
      <c r="C10463" t="str">
        <f t="shared" si="163"/>
        <v>3. $50K-250K</v>
      </c>
      <c r="D10463" t="s">
        <v>687</v>
      </c>
      <c r="E10463" t="s">
        <v>42</v>
      </c>
      <c r="F10463" t="s">
        <v>670</v>
      </c>
      <c r="G10463" t="s">
        <v>59</v>
      </c>
      <c r="H10463">
        <v>2025</v>
      </c>
    </row>
    <row r="10464" spans="1:8" x14ac:dyDescent="0.2">
      <c r="A10464">
        <v>324584</v>
      </c>
      <c r="B10464">
        <v>395894</v>
      </c>
      <c r="C10464" t="str">
        <f t="shared" si="163"/>
        <v>3. $50K-250K</v>
      </c>
      <c r="D10464" t="s">
        <v>763</v>
      </c>
      <c r="E10464" t="s">
        <v>42</v>
      </c>
      <c r="F10464" t="s">
        <v>670</v>
      </c>
      <c r="G10464" t="s">
        <v>59</v>
      </c>
      <c r="H10464">
        <v>2025</v>
      </c>
    </row>
    <row r="10465" spans="1:8" x14ac:dyDescent="0.2">
      <c r="A10465">
        <v>324585</v>
      </c>
      <c r="B10465">
        <v>395894</v>
      </c>
      <c r="C10465" t="str">
        <f t="shared" si="163"/>
        <v>4. $250K-1M</v>
      </c>
      <c r="D10465" t="s">
        <v>801</v>
      </c>
      <c r="E10465" t="s">
        <v>42</v>
      </c>
      <c r="F10465" t="s">
        <v>670</v>
      </c>
      <c r="G10465" t="s">
        <v>59</v>
      </c>
      <c r="H10465">
        <v>2025</v>
      </c>
    </row>
    <row r="10466" spans="1:8" x14ac:dyDescent="0.2">
      <c r="A10466">
        <v>324586</v>
      </c>
      <c r="B10466">
        <v>395894</v>
      </c>
      <c r="C10466" t="str">
        <f t="shared" si="163"/>
        <v>4. $250K-1M</v>
      </c>
      <c r="D10466" t="s">
        <v>977</v>
      </c>
      <c r="E10466" t="s">
        <v>42</v>
      </c>
      <c r="F10466" t="s">
        <v>670</v>
      </c>
      <c r="G10466" t="s">
        <v>59</v>
      </c>
      <c r="H10466">
        <v>2025</v>
      </c>
    </row>
    <row r="10467" spans="1:8" x14ac:dyDescent="0.2">
      <c r="A10467">
        <v>324591</v>
      </c>
      <c r="B10467">
        <v>77500</v>
      </c>
      <c r="C10467" t="str">
        <f t="shared" si="163"/>
        <v>4. $250K-1M</v>
      </c>
      <c r="D10467" t="s">
        <v>970</v>
      </c>
      <c r="E10467" t="s">
        <v>42</v>
      </c>
      <c r="F10467" t="s">
        <v>670</v>
      </c>
      <c r="G10467" t="s">
        <v>44</v>
      </c>
      <c r="H10467">
        <v>2025</v>
      </c>
    </row>
    <row r="10468" spans="1:8" x14ac:dyDescent="0.2">
      <c r="A10468">
        <v>324791</v>
      </c>
      <c r="B10468">
        <v>1109993.8999999999</v>
      </c>
      <c r="C10468" t="str">
        <f t="shared" si="163"/>
        <v>3. $50K-250K</v>
      </c>
      <c r="D10468" t="s">
        <v>527</v>
      </c>
      <c r="E10468" t="s">
        <v>18</v>
      </c>
      <c r="F10468" t="s">
        <v>19</v>
      </c>
      <c r="G10468" t="s">
        <v>124</v>
      </c>
      <c r="H10468">
        <v>2025</v>
      </c>
    </row>
    <row r="10469" spans="1:8" x14ac:dyDescent="0.2">
      <c r="A10469">
        <v>324802</v>
      </c>
      <c r="B10469">
        <v>40000</v>
      </c>
      <c r="C10469" t="str">
        <f t="shared" si="163"/>
        <v>5. $1M+</v>
      </c>
      <c r="D10469" t="s">
        <v>783</v>
      </c>
      <c r="E10469" t="s">
        <v>42</v>
      </c>
      <c r="F10469" t="s">
        <v>670</v>
      </c>
      <c r="G10469" t="s">
        <v>59</v>
      </c>
      <c r="H10469">
        <v>2025</v>
      </c>
    </row>
    <row r="10470" spans="1:8" x14ac:dyDescent="0.2">
      <c r="A10470">
        <v>324803</v>
      </c>
      <c r="B10470">
        <v>40000</v>
      </c>
      <c r="C10470" t="str">
        <f t="shared" si="163"/>
        <v>2. $10K-50K</v>
      </c>
      <c r="D10470" t="s">
        <v>801</v>
      </c>
      <c r="E10470" t="s">
        <v>42</v>
      </c>
      <c r="F10470" t="s">
        <v>670</v>
      </c>
      <c r="G10470" t="s">
        <v>59</v>
      </c>
      <c r="H10470">
        <v>2025</v>
      </c>
    </row>
    <row r="10471" spans="1:8" x14ac:dyDescent="0.2">
      <c r="A10471">
        <v>324804</v>
      </c>
      <c r="B10471">
        <v>959000000</v>
      </c>
      <c r="C10471" t="str">
        <f t="shared" si="163"/>
        <v>2. $10K-50K</v>
      </c>
      <c r="D10471" t="s">
        <v>1764</v>
      </c>
      <c r="E10471" t="s">
        <v>99</v>
      </c>
      <c r="F10471" t="s">
        <v>668</v>
      </c>
      <c r="G10471" t="s">
        <v>59</v>
      </c>
      <c r="H10471">
        <v>2025</v>
      </c>
    </row>
    <row r="10472" spans="1:8" x14ac:dyDescent="0.2">
      <c r="A10472">
        <v>324813</v>
      </c>
      <c r="B10472">
        <v>12140</v>
      </c>
      <c r="C10472" t="str">
        <f t="shared" si="163"/>
        <v>5. $1M+</v>
      </c>
      <c r="D10472" t="s">
        <v>792</v>
      </c>
      <c r="E10472" t="s">
        <v>237</v>
      </c>
      <c r="F10472" t="s">
        <v>670</v>
      </c>
      <c r="G10472" t="s">
        <v>59</v>
      </c>
      <c r="H10472">
        <v>2025</v>
      </c>
    </row>
    <row r="10473" spans="1:8" x14ac:dyDescent="0.2">
      <c r="A10473">
        <v>324835</v>
      </c>
      <c r="B10473">
        <v>11752122.699999999</v>
      </c>
      <c r="C10473" t="str">
        <f t="shared" si="163"/>
        <v>2. $10K-50K</v>
      </c>
      <c r="D10473" t="s">
        <v>527</v>
      </c>
      <c r="E10473" t="s">
        <v>18</v>
      </c>
      <c r="F10473" t="s">
        <v>12</v>
      </c>
      <c r="G10473" t="s">
        <v>10</v>
      </c>
      <c r="H10473">
        <v>2025</v>
      </c>
    </row>
    <row r="10474" spans="1:8" x14ac:dyDescent="0.2">
      <c r="A10474">
        <v>324899</v>
      </c>
      <c r="B10474">
        <v>752501</v>
      </c>
      <c r="C10474" t="str">
        <f t="shared" si="163"/>
        <v>5. $1M+</v>
      </c>
      <c r="D10474" t="s">
        <v>711</v>
      </c>
      <c r="E10474" t="s">
        <v>237</v>
      </c>
      <c r="F10474" t="s">
        <v>670</v>
      </c>
      <c r="G10474" t="s">
        <v>59</v>
      </c>
      <c r="H10474">
        <v>2025</v>
      </c>
    </row>
    <row r="10475" spans="1:8" x14ac:dyDescent="0.2">
      <c r="A10475">
        <v>324903</v>
      </c>
      <c r="B10475">
        <v>209216</v>
      </c>
      <c r="C10475" t="str">
        <f t="shared" si="163"/>
        <v>4. $250K-1M</v>
      </c>
      <c r="D10475" t="s">
        <v>703</v>
      </c>
      <c r="E10475" t="s">
        <v>237</v>
      </c>
      <c r="F10475" t="s">
        <v>670</v>
      </c>
      <c r="G10475" t="s">
        <v>59</v>
      </c>
      <c r="H10475">
        <v>2025</v>
      </c>
    </row>
    <row r="10476" spans="1:8" x14ac:dyDescent="0.2">
      <c r="A10476">
        <v>324908</v>
      </c>
      <c r="B10476">
        <v>428571</v>
      </c>
      <c r="C10476" t="str">
        <f t="shared" si="163"/>
        <v>3. $50K-250K</v>
      </c>
      <c r="D10476" t="s">
        <v>1026</v>
      </c>
      <c r="E10476" t="s">
        <v>42</v>
      </c>
      <c r="F10476" t="s">
        <v>670</v>
      </c>
      <c r="G10476" t="s">
        <v>59</v>
      </c>
      <c r="H10476">
        <v>2025</v>
      </c>
    </row>
    <row r="10477" spans="1:8" x14ac:dyDescent="0.2">
      <c r="A10477">
        <v>324909</v>
      </c>
      <c r="B10477">
        <v>428571</v>
      </c>
      <c r="C10477" t="str">
        <f t="shared" si="163"/>
        <v>4. $250K-1M</v>
      </c>
      <c r="D10477" t="s">
        <v>1730</v>
      </c>
      <c r="E10477" t="s">
        <v>42</v>
      </c>
      <c r="F10477" t="s">
        <v>670</v>
      </c>
      <c r="G10477" t="s">
        <v>59</v>
      </c>
      <c r="H10477">
        <v>2025</v>
      </c>
    </row>
    <row r="10478" spans="1:8" x14ac:dyDescent="0.2">
      <c r="A10478">
        <v>324921</v>
      </c>
      <c r="B10478">
        <v>59532</v>
      </c>
      <c r="C10478" t="str">
        <f t="shared" si="163"/>
        <v>4. $250K-1M</v>
      </c>
      <c r="D10478" t="s">
        <v>708</v>
      </c>
      <c r="E10478" t="s">
        <v>237</v>
      </c>
      <c r="F10478" t="s">
        <v>670</v>
      </c>
      <c r="G10478" t="s">
        <v>59</v>
      </c>
      <c r="H10478">
        <v>2025</v>
      </c>
    </row>
    <row r="10479" spans="1:8" x14ac:dyDescent="0.2">
      <c r="A10479">
        <v>324924</v>
      </c>
      <c r="B10479">
        <v>433376</v>
      </c>
      <c r="C10479" t="str">
        <f t="shared" si="163"/>
        <v>3. $50K-250K</v>
      </c>
      <c r="D10479" t="s">
        <v>737</v>
      </c>
      <c r="E10479" t="s">
        <v>237</v>
      </c>
      <c r="F10479" t="s">
        <v>670</v>
      </c>
      <c r="G10479" t="s">
        <v>59</v>
      </c>
      <c r="H10479">
        <v>2025</v>
      </c>
    </row>
    <row r="10480" spans="1:8" x14ac:dyDescent="0.2">
      <c r="A10480">
        <v>324925</v>
      </c>
      <c r="B10480">
        <v>962760</v>
      </c>
      <c r="C10480" t="str">
        <f t="shared" si="163"/>
        <v>4. $250K-1M</v>
      </c>
      <c r="D10480" t="s">
        <v>703</v>
      </c>
      <c r="E10480" t="s">
        <v>237</v>
      </c>
      <c r="F10480" t="s">
        <v>670</v>
      </c>
      <c r="G10480" t="s">
        <v>59</v>
      </c>
      <c r="H10480">
        <v>2025</v>
      </c>
    </row>
    <row r="10481" spans="1:8" x14ac:dyDescent="0.2">
      <c r="A10481">
        <v>324926</v>
      </c>
      <c r="B10481">
        <v>228206</v>
      </c>
      <c r="C10481" t="str">
        <f t="shared" si="163"/>
        <v>4. $250K-1M</v>
      </c>
      <c r="D10481" t="s">
        <v>703</v>
      </c>
      <c r="E10481" t="s">
        <v>237</v>
      </c>
      <c r="F10481" t="s">
        <v>670</v>
      </c>
      <c r="G10481" t="s">
        <v>59</v>
      </c>
      <c r="H10481">
        <v>2025</v>
      </c>
    </row>
    <row r="10482" spans="1:8" x14ac:dyDescent="0.2">
      <c r="A10482">
        <v>324927</v>
      </c>
      <c r="B10482">
        <v>149440</v>
      </c>
      <c r="C10482" t="str">
        <f t="shared" si="163"/>
        <v>3. $50K-250K</v>
      </c>
      <c r="D10482" t="s">
        <v>770</v>
      </c>
      <c r="E10482" t="s">
        <v>237</v>
      </c>
      <c r="F10482" t="s">
        <v>670</v>
      </c>
      <c r="G10482" t="s">
        <v>59</v>
      </c>
      <c r="H10482">
        <v>2025</v>
      </c>
    </row>
    <row r="10483" spans="1:8" x14ac:dyDescent="0.2">
      <c r="A10483">
        <v>324928</v>
      </c>
      <c r="B10483">
        <v>508096</v>
      </c>
      <c r="C10483" t="str">
        <f t="shared" si="163"/>
        <v>3. $50K-250K</v>
      </c>
      <c r="D10483" t="s">
        <v>757</v>
      </c>
      <c r="E10483" t="s">
        <v>237</v>
      </c>
      <c r="F10483" t="s">
        <v>670</v>
      </c>
      <c r="G10483" t="s">
        <v>59</v>
      </c>
      <c r="H10483">
        <v>2025</v>
      </c>
    </row>
    <row r="10484" spans="1:8" x14ac:dyDescent="0.2">
      <c r="A10484">
        <v>324929</v>
      </c>
      <c r="B10484">
        <v>454720</v>
      </c>
      <c r="C10484" t="str">
        <f t="shared" si="163"/>
        <v>4. $250K-1M</v>
      </c>
      <c r="D10484" t="s">
        <v>735</v>
      </c>
      <c r="E10484" t="s">
        <v>237</v>
      </c>
      <c r="F10484" t="s">
        <v>670</v>
      </c>
      <c r="G10484" t="s">
        <v>59</v>
      </c>
      <c r="H10484">
        <v>2025</v>
      </c>
    </row>
    <row r="10485" spans="1:8" x14ac:dyDescent="0.2">
      <c r="A10485">
        <v>32493</v>
      </c>
      <c r="B10485">
        <v>1400000</v>
      </c>
      <c r="C10485" t="str">
        <f t="shared" si="163"/>
        <v>4. $250K-1M</v>
      </c>
      <c r="D10485" t="s">
        <v>528</v>
      </c>
      <c r="E10485" t="s">
        <v>8</v>
      </c>
      <c r="F10485" t="s">
        <v>22</v>
      </c>
      <c r="G10485" t="s">
        <v>10</v>
      </c>
      <c r="H10485">
        <v>2023</v>
      </c>
    </row>
    <row r="10486" spans="1:8" x14ac:dyDescent="0.2">
      <c r="A10486">
        <v>324930</v>
      </c>
      <c r="B10486">
        <v>127024</v>
      </c>
      <c r="C10486" t="str">
        <f t="shared" si="163"/>
        <v>5. $1M+</v>
      </c>
      <c r="D10486" t="s">
        <v>738</v>
      </c>
      <c r="E10486" t="s">
        <v>237</v>
      </c>
      <c r="F10486" t="s">
        <v>670</v>
      </c>
      <c r="G10486" t="s">
        <v>59</v>
      </c>
      <c r="H10486">
        <v>2025</v>
      </c>
    </row>
    <row r="10487" spans="1:8" x14ac:dyDescent="0.2">
      <c r="A10487">
        <v>324931</v>
      </c>
      <c r="B10487">
        <v>170520</v>
      </c>
      <c r="C10487" t="str">
        <f t="shared" si="163"/>
        <v>3. $50K-250K</v>
      </c>
      <c r="D10487" t="s">
        <v>770</v>
      </c>
      <c r="E10487" t="s">
        <v>237</v>
      </c>
      <c r="F10487" t="s">
        <v>670</v>
      </c>
      <c r="G10487" t="s">
        <v>59</v>
      </c>
      <c r="H10487">
        <v>2025</v>
      </c>
    </row>
    <row r="10488" spans="1:8" x14ac:dyDescent="0.2">
      <c r="A10488">
        <v>324932</v>
      </c>
      <c r="B10488">
        <v>40000</v>
      </c>
      <c r="C10488" t="str">
        <f t="shared" si="163"/>
        <v>3. $50K-250K</v>
      </c>
      <c r="D10488" t="s">
        <v>792</v>
      </c>
      <c r="E10488" t="s">
        <v>237</v>
      </c>
      <c r="F10488" t="s">
        <v>670</v>
      </c>
      <c r="G10488" t="s">
        <v>59</v>
      </c>
      <c r="H10488">
        <v>2025</v>
      </c>
    </row>
    <row r="10489" spans="1:8" x14ac:dyDescent="0.2">
      <c r="A10489">
        <v>324938</v>
      </c>
      <c r="B10489">
        <v>428571</v>
      </c>
      <c r="C10489" t="str">
        <f t="shared" si="163"/>
        <v>2. $10K-50K</v>
      </c>
      <c r="D10489" t="s">
        <v>791</v>
      </c>
      <c r="E10489" t="s">
        <v>42</v>
      </c>
      <c r="F10489" t="s">
        <v>670</v>
      </c>
      <c r="G10489" t="s">
        <v>59</v>
      </c>
      <c r="H10489">
        <v>2025</v>
      </c>
    </row>
    <row r="10490" spans="1:8" x14ac:dyDescent="0.2">
      <c r="A10490">
        <v>325070</v>
      </c>
      <c r="B10490">
        <v>125000</v>
      </c>
      <c r="C10490" t="str">
        <f t="shared" si="163"/>
        <v>4. $250K-1M</v>
      </c>
      <c r="D10490" t="s">
        <v>1552</v>
      </c>
      <c r="E10490" t="s">
        <v>112</v>
      </c>
      <c r="F10490" t="s">
        <v>668</v>
      </c>
      <c r="G10490" t="s">
        <v>59</v>
      </c>
      <c r="H10490">
        <v>2025</v>
      </c>
    </row>
    <row r="10491" spans="1:8" x14ac:dyDescent="0.2">
      <c r="A10491">
        <v>325120</v>
      </c>
      <c r="B10491">
        <v>3258580</v>
      </c>
      <c r="C10491" t="str">
        <f t="shared" si="163"/>
        <v>3. $50K-250K</v>
      </c>
      <c r="D10491" t="s">
        <v>1864</v>
      </c>
      <c r="E10491" t="s">
        <v>59</v>
      </c>
      <c r="F10491" t="s">
        <v>664</v>
      </c>
      <c r="G10491" t="s">
        <v>59</v>
      </c>
      <c r="H10491">
        <v>2025</v>
      </c>
    </row>
    <row r="10492" spans="1:8" x14ac:dyDescent="0.2">
      <c r="A10492">
        <v>325150</v>
      </c>
      <c r="B10492">
        <v>428571</v>
      </c>
      <c r="C10492" t="str">
        <f t="shared" si="163"/>
        <v>5. $1M+</v>
      </c>
      <c r="D10492" t="s">
        <v>864</v>
      </c>
      <c r="E10492" t="s">
        <v>42</v>
      </c>
      <c r="F10492" t="s">
        <v>670</v>
      </c>
      <c r="G10492" t="s">
        <v>59</v>
      </c>
      <c r="H10492">
        <v>2025</v>
      </c>
    </row>
    <row r="10493" spans="1:8" x14ac:dyDescent="0.2">
      <c r="A10493">
        <v>32520</v>
      </c>
      <c r="B10493">
        <v>3200000</v>
      </c>
      <c r="C10493" t="str">
        <f t="shared" si="163"/>
        <v>4. $250K-1M</v>
      </c>
      <c r="D10493" t="s">
        <v>72</v>
      </c>
      <c r="E10493" t="s">
        <v>8</v>
      </c>
      <c r="F10493" t="s">
        <v>12</v>
      </c>
      <c r="G10493" t="s">
        <v>10</v>
      </c>
      <c r="H10493">
        <v>2023</v>
      </c>
    </row>
    <row r="10494" spans="1:8" x14ac:dyDescent="0.2">
      <c r="A10494">
        <v>325205</v>
      </c>
      <c r="B10494">
        <v>25641544.300000001</v>
      </c>
      <c r="C10494" t="str">
        <f t="shared" si="163"/>
        <v>5. $1M+</v>
      </c>
      <c r="D10494" t="s">
        <v>405</v>
      </c>
      <c r="E10494" t="s">
        <v>18</v>
      </c>
      <c r="F10494" t="s">
        <v>12</v>
      </c>
      <c r="G10494" t="s">
        <v>232</v>
      </c>
      <c r="H10494">
        <v>2025</v>
      </c>
    </row>
    <row r="10495" spans="1:8" x14ac:dyDescent="0.2">
      <c r="A10495">
        <v>325269</v>
      </c>
      <c r="B10495">
        <v>350000</v>
      </c>
      <c r="C10495" t="str">
        <f t="shared" si="163"/>
        <v>5. $1M+</v>
      </c>
      <c r="D10495" t="s">
        <v>836</v>
      </c>
      <c r="E10495" t="s">
        <v>237</v>
      </c>
      <c r="F10495" t="s">
        <v>670</v>
      </c>
      <c r="G10495" t="s">
        <v>59</v>
      </c>
      <c r="H10495">
        <v>2025</v>
      </c>
    </row>
    <row r="10496" spans="1:8" x14ac:dyDescent="0.2">
      <c r="A10496">
        <v>325270</v>
      </c>
      <c r="B10496">
        <v>1079704</v>
      </c>
      <c r="C10496" t="str">
        <f t="shared" si="163"/>
        <v>4. $250K-1M</v>
      </c>
      <c r="D10496" t="s">
        <v>713</v>
      </c>
      <c r="E10496" t="s">
        <v>237</v>
      </c>
      <c r="F10496" t="s">
        <v>670</v>
      </c>
      <c r="G10496" t="s">
        <v>59</v>
      </c>
      <c r="H10496">
        <v>2025</v>
      </c>
    </row>
    <row r="10497" spans="1:8" x14ac:dyDescent="0.2">
      <c r="A10497">
        <v>32528</v>
      </c>
      <c r="B10497">
        <v>23271053.300000001</v>
      </c>
      <c r="C10497" t="str">
        <f t="shared" si="163"/>
        <v>5. $1M+</v>
      </c>
      <c r="D10497" t="s">
        <v>529</v>
      </c>
      <c r="E10497" t="s">
        <v>65</v>
      </c>
      <c r="F10497" t="s">
        <v>22</v>
      </c>
      <c r="G10497" t="s">
        <v>10</v>
      </c>
      <c r="H10497">
        <v>2023</v>
      </c>
    </row>
    <row r="10498" spans="1:8" x14ac:dyDescent="0.2">
      <c r="A10498">
        <v>325290</v>
      </c>
      <c r="B10498">
        <v>35400</v>
      </c>
      <c r="C10498" t="str">
        <f t="shared" si="163"/>
        <v>5. $1M+</v>
      </c>
      <c r="D10498" t="s">
        <v>1063</v>
      </c>
      <c r="E10498" t="s">
        <v>237</v>
      </c>
      <c r="F10498" t="s">
        <v>670</v>
      </c>
      <c r="G10498" t="s">
        <v>59</v>
      </c>
      <c r="H10498">
        <v>2025</v>
      </c>
    </row>
    <row r="10499" spans="1:8" x14ac:dyDescent="0.2">
      <c r="A10499">
        <v>325291</v>
      </c>
      <c r="B10499">
        <v>35400</v>
      </c>
      <c r="C10499" t="str">
        <f t="shared" ref="C10499:C10562" si="164">IF(B10498&lt;10000,"1. Under $10K",IF(B10498&lt;50000,"2. $10K-50K",IF(B10498&lt;250000,"3. $50K-250K",IF(B10498&lt;1000000,"4. $250K-1M","5. $1M+"))))</f>
        <v>2. $10K-50K</v>
      </c>
      <c r="D10499" t="s">
        <v>1891</v>
      </c>
      <c r="E10499" t="s">
        <v>237</v>
      </c>
      <c r="F10499" t="s">
        <v>670</v>
      </c>
      <c r="G10499" t="s">
        <v>59</v>
      </c>
      <c r="H10499">
        <v>2025</v>
      </c>
    </row>
    <row r="10500" spans="1:8" x14ac:dyDescent="0.2">
      <c r="A10500">
        <v>325292</v>
      </c>
      <c r="B10500">
        <v>35400</v>
      </c>
      <c r="C10500" t="str">
        <f t="shared" si="164"/>
        <v>2. $10K-50K</v>
      </c>
      <c r="D10500" t="s">
        <v>1069</v>
      </c>
      <c r="E10500" t="s">
        <v>237</v>
      </c>
      <c r="F10500" t="s">
        <v>670</v>
      </c>
      <c r="G10500" t="s">
        <v>59</v>
      </c>
      <c r="H10500">
        <v>2025</v>
      </c>
    </row>
    <row r="10501" spans="1:8" x14ac:dyDescent="0.2">
      <c r="A10501">
        <v>325293</v>
      </c>
      <c r="B10501">
        <v>35400</v>
      </c>
      <c r="C10501" t="str">
        <f t="shared" si="164"/>
        <v>2. $10K-50K</v>
      </c>
      <c r="D10501" t="s">
        <v>985</v>
      </c>
      <c r="E10501" t="s">
        <v>237</v>
      </c>
      <c r="F10501" t="s">
        <v>670</v>
      </c>
      <c r="G10501" t="s">
        <v>59</v>
      </c>
      <c r="H10501">
        <v>2025</v>
      </c>
    </row>
    <row r="10502" spans="1:8" x14ac:dyDescent="0.2">
      <c r="A10502">
        <v>325295</v>
      </c>
      <c r="B10502">
        <v>35400</v>
      </c>
      <c r="C10502" t="str">
        <f t="shared" si="164"/>
        <v>2. $10K-50K</v>
      </c>
      <c r="D10502" t="s">
        <v>957</v>
      </c>
      <c r="E10502" t="s">
        <v>237</v>
      </c>
      <c r="F10502" t="s">
        <v>670</v>
      </c>
      <c r="G10502" t="s">
        <v>59</v>
      </c>
      <c r="H10502">
        <v>2025</v>
      </c>
    </row>
    <row r="10503" spans="1:8" x14ac:dyDescent="0.2">
      <c r="A10503">
        <v>325297</v>
      </c>
      <c r="B10503">
        <v>35400</v>
      </c>
      <c r="C10503" t="str">
        <f t="shared" si="164"/>
        <v>2. $10K-50K</v>
      </c>
      <c r="D10503" t="s">
        <v>999</v>
      </c>
      <c r="E10503" t="s">
        <v>237</v>
      </c>
      <c r="F10503" t="s">
        <v>670</v>
      </c>
      <c r="G10503" t="s">
        <v>59</v>
      </c>
      <c r="H10503">
        <v>2025</v>
      </c>
    </row>
    <row r="10504" spans="1:8" x14ac:dyDescent="0.2">
      <c r="A10504">
        <v>325298</v>
      </c>
      <c r="B10504">
        <v>35400</v>
      </c>
      <c r="C10504" t="str">
        <f t="shared" si="164"/>
        <v>2. $10K-50K</v>
      </c>
      <c r="D10504" t="s">
        <v>1546</v>
      </c>
      <c r="E10504" t="s">
        <v>237</v>
      </c>
      <c r="F10504" t="s">
        <v>670</v>
      </c>
      <c r="G10504" t="s">
        <v>59</v>
      </c>
      <c r="H10504">
        <v>2025</v>
      </c>
    </row>
    <row r="10505" spans="1:8" x14ac:dyDescent="0.2">
      <c r="A10505">
        <v>325299</v>
      </c>
      <c r="B10505">
        <v>70800</v>
      </c>
      <c r="C10505" t="str">
        <f t="shared" si="164"/>
        <v>2. $10K-50K</v>
      </c>
      <c r="D10505" t="s">
        <v>801</v>
      </c>
      <c r="E10505" t="s">
        <v>237</v>
      </c>
      <c r="F10505" t="s">
        <v>670</v>
      </c>
      <c r="G10505" t="s">
        <v>59</v>
      </c>
      <c r="H10505">
        <v>2025</v>
      </c>
    </row>
    <row r="10506" spans="1:8" x14ac:dyDescent="0.2">
      <c r="A10506">
        <v>325300</v>
      </c>
      <c r="B10506">
        <v>35400</v>
      </c>
      <c r="C10506" t="str">
        <f t="shared" si="164"/>
        <v>3. $50K-250K</v>
      </c>
      <c r="D10506" t="s">
        <v>1074</v>
      </c>
      <c r="E10506" t="s">
        <v>237</v>
      </c>
      <c r="F10506" t="s">
        <v>670</v>
      </c>
      <c r="G10506" t="s">
        <v>59</v>
      </c>
      <c r="H10506">
        <v>2025</v>
      </c>
    </row>
    <row r="10507" spans="1:8" x14ac:dyDescent="0.2">
      <c r="A10507">
        <v>325301</v>
      </c>
      <c r="B10507">
        <v>35400</v>
      </c>
      <c r="C10507" t="str">
        <f t="shared" si="164"/>
        <v>2. $10K-50K</v>
      </c>
      <c r="D10507" t="s">
        <v>804</v>
      </c>
      <c r="E10507" t="s">
        <v>237</v>
      </c>
      <c r="F10507" t="s">
        <v>670</v>
      </c>
      <c r="G10507" t="s">
        <v>59</v>
      </c>
      <c r="H10507">
        <v>2025</v>
      </c>
    </row>
    <row r="10508" spans="1:8" x14ac:dyDescent="0.2">
      <c r="A10508">
        <v>325302</v>
      </c>
      <c r="B10508">
        <v>35400</v>
      </c>
      <c r="C10508" t="str">
        <f t="shared" si="164"/>
        <v>2. $10K-50K</v>
      </c>
      <c r="D10508" t="s">
        <v>1360</v>
      </c>
      <c r="E10508" t="s">
        <v>237</v>
      </c>
      <c r="F10508" t="s">
        <v>670</v>
      </c>
      <c r="G10508" t="s">
        <v>59</v>
      </c>
      <c r="H10508">
        <v>2025</v>
      </c>
    </row>
    <row r="10509" spans="1:8" x14ac:dyDescent="0.2">
      <c r="A10509">
        <v>325303</v>
      </c>
      <c r="B10509">
        <v>35400</v>
      </c>
      <c r="C10509" t="str">
        <f t="shared" si="164"/>
        <v>2. $10K-50K</v>
      </c>
      <c r="D10509" t="s">
        <v>977</v>
      </c>
      <c r="E10509" t="s">
        <v>237</v>
      </c>
      <c r="F10509" t="s">
        <v>670</v>
      </c>
      <c r="G10509" t="s">
        <v>59</v>
      </c>
      <c r="H10509">
        <v>2025</v>
      </c>
    </row>
    <row r="10510" spans="1:8" x14ac:dyDescent="0.2">
      <c r="A10510">
        <v>325304</v>
      </c>
      <c r="B10510">
        <v>35400</v>
      </c>
      <c r="C10510" t="str">
        <f t="shared" si="164"/>
        <v>2. $10K-50K</v>
      </c>
      <c r="D10510" t="s">
        <v>1084</v>
      </c>
      <c r="E10510" t="s">
        <v>237</v>
      </c>
      <c r="F10510" t="s">
        <v>670</v>
      </c>
      <c r="G10510" t="s">
        <v>59</v>
      </c>
      <c r="H10510">
        <v>2025</v>
      </c>
    </row>
    <row r="10511" spans="1:8" x14ac:dyDescent="0.2">
      <c r="A10511">
        <v>325305</v>
      </c>
      <c r="B10511">
        <v>255520</v>
      </c>
      <c r="C10511" t="str">
        <f t="shared" si="164"/>
        <v>2. $10K-50K</v>
      </c>
      <c r="D10511" t="s">
        <v>1094</v>
      </c>
      <c r="E10511" t="s">
        <v>237</v>
      </c>
      <c r="F10511" t="s">
        <v>670</v>
      </c>
      <c r="G10511" t="s">
        <v>59</v>
      </c>
      <c r="H10511">
        <v>2025</v>
      </c>
    </row>
    <row r="10512" spans="1:8" x14ac:dyDescent="0.2">
      <c r="A10512">
        <v>325311</v>
      </c>
      <c r="B10512">
        <v>111080</v>
      </c>
      <c r="C10512" t="str">
        <f t="shared" si="164"/>
        <v>4. $250K-1M</v>
      </c>
      <c r="D10512" t="s">
        <v>1514</v>
      </c>
      <c r="E10512" t="s">
        <v>237</v>
      </c>
      <c r="F10512" t="s">
        <v>670</v>
      </c>
      <c r="G10512" t="s">
        <v>59</v>
      </c>
      <c r="H10512">
        <v>2025</v>
      </c>
    </row>
    <row r="10513" spans="1:8" x14ac:dyDescent="0.2">
      <c r="A10513">
        <v>325312</v>
      </c>
      <c r="B10513">
        <v>199980</v>
      </c>
      <c r="C10513" t="str">
        <f t="shared" si="164"/>
        <v>3. $50K-250K</v>
      </c>
      <c r="D10513" t="s">
        <v>1074</v>
      </c>
      <c r="E10513" t="s">
        <v>237</v>
      </c>
      <c r="F10513" t="s">
        <v>670</v>
      </c>
      <c r="G10513" t="s">
        <v>59</v>
      </c>
      <c r="H10513">
        <v>2025</v>
      </c>
    </row>
    <row r="10514" spans="1:8" x14ac:dyDescent="0.2">
      <c r="A10514">
        <v>325314</v>
      </c>
      <c r="B10514">
        <v>55540</v>
      </c>
      <c r="C10514" t="str">
        <f t="shared" si="164"/>
        <v>3. $50K-250K</v>
      </c>
      <c r="D10514" t="s">
        <v>977</v>
      </c>
      <c r="E10514" t="s">
        <v>237</v>
      </c>
      <c r="F10514" t="s">
        <v>670</v>
      </c>
      <c r="G10514" t="s">
        <v>59</v>
      </c>
      <c r="H10514">
        <v>2025</v>
      </c>
    </row>
    <row r="10515" spans="1:8" x14ac:dyDescent="0.2">
      <c r="A10515">
        <v>325316</v>
      </c>
      <c r="B10515">
        <v>255520</v>
      </c>
      <c r="C10515" t="str">
        <f t="shared" si="164"/>
        <v>3. $50K-250K</v>
      </c>
      <c r="D10515" t="s">
        <v>708</v>
      </c>
      <c r="E10515" t="s">
        <v>237</v>
      </c>
      <c r="F10515" t="s">
        <v>670</v>
      </c>
      <c r="G10515" t="s">
        <v>59</v>
      </c>
      <c r="H10515">
        <v>2025</v>
      </c>
    </row>
    <row r="10516" spans="1:8" x14ac:dyDescent="0.2">
      <c r="A10516">
        <v>325325</v>
      </c>
      <c r="B10516">
        <v>199980</v>
      </c>
      <c r="C10516" t="str">
        <f t="shared" si="164"/>
        <v>4. $250K-1M</v>
      </c>
      <c r="D10516" t="s">
        <v>1361</v>
      </c>
      <c r="E10516" t="s">
        <v>237</v>
      </c>
      <c r="F10516" t="s">
        <v>670</v>
      </c>
      <c r="G10516" t="s">
        <v>59</v>
      </c>
      <c r="H10516">
        <v>2025</v>
      </c>
    </row>
    <row r="10517" spans="1:8" x14ac:dyDescent="0.2">
      <c r="A10517">
        <v>325326</v>
      </c>
      <c r="B10517">
        <v>55540</v>
      </c>
      <c r="C10517" t="str">
        <f t="shared" si="164"/>
        <v>3. $50K-250K</v>
      </c>
      <c r="D10517" t="s">
        <v>713</v>
      </c>
      <c r="E10517" t="s">
        <v>237</v>
      </c>
      <c r="F10517" t="s">
        <v>670</v>
      </c>
      <c r="G10517" t="s">
        <v>59</v>
      </c>
      <c r="H10517">
        <v>2025</v>
      </c>
    </row>
    <row r="10518" spans="1:8" x14ac:dyDescent="0.2">
      <c r="A10518">
        <v>325348</v>
      </c>
      <c r="B10518">
        <v>657984</v>
      </c>
      <c r="C10518" t="str">
        <f t="shared" si="164"/>
        <v>3. $50K-250K</v>
      </c>
      <c r="D10518" t="s">
        <v>2070</v>
      </c>
      <c r="E10518" t="s">
        <v>237</v>
      </c>
      <c r="F10518" t="s">
        <v>670</v>
      </c>
      <c r="G10518" t="s">
        <v>59</v>
      </c>
      <c r="H10518">
        <v>2025</v>
      </c>
    </row>
    <row r="10519" spans="1:8" x14ac:dyDescent="0.2">
      <c r="A10519">
        <v>325352</v>
      </c>
      <c r="B10519">
        <v>119990</v>
      </c>
      <c r="C10519" t="str">
        <f t="shared" si="164"/>
        <v>4. $250K-1M</v>
      </c>
      <c r="D10519" t="s">
        <v>1094</v>
      </c>
      <c r="E10519" t="s">
        <v>237</v>
      </c>
      <c r="F10519" t="s">
        <v>670</v>
      </c>
      <c r="G10519" t="s">
        <v>59</v>
      </c>
      <c r="H10519">
        <v>2025</v>
      </c>
    </row>
    <row r="10520" spans="1:8" x14ac:dyDescent="0.2">
      <c r="A10520">
        <v>325353</v>
      </c>
      <c r="B10520">
        <v>47996</v>
      </c>
      <c r="C10520" t="str">
        <f t="shared" si="164"/>
        <v>3. $50K-250K</v>
      </c>
      <c r="D10520" t="s">
        <v>1094</v>
      </c>
      <c r="E10520" t="s">
        <v>237</v>
      </c>
      <c r="F10520" t="s">
        <v>670</v>
      </c>
      <c r="G10520" t="s">
        <v>59</v>
      </c>
      <c r="H10520">
        <v>2025</v>
      </c>
    </row>
    <row r="10521" spans="1:8" x14ac:dyDescent="0.2">
      <c r="A10521">
        <v>325354</v>
      </c>
      <c r="B10521">
        <v>95992</v>
      </c>
      <c r="C10521" t="str">
        <f t="shared" si="164"/>
        <v>2. $10K-50K</v>
      </c>
      <c r="D10521" t="s">
        <v>1094</v>
      </c>
      <c r="E10521" t="s">
        <v>237</v>
      </c>
      <c r="F10521" t="s">
        <v>670</v>
      </c>
      <c r="G10521" t="s">
        <v>59</v>
      </c>
      <c r="H10521">
        <v>2025</v>
      </c>
    </row>
    <row r="10522" spans="1:8" x14ac:dyDescent="0.2">
      <c r="A10522">
        <v>325355</v>
      </c>
      <c r="B10522">
        <v>47996</v>
      </c>
      <c r="C10522" t="str">
        <f t="shared" si="164"/>
        <v>3. $50K-250K</v>
      </c>
      <c r="D10522" t="s">
        <v>1094</v>
      </c>
      <c r="E10522" t="s">
        <v>237</v>
      </c>
      <c r="F10522" t="s">
        <v>670</v>
      </c>
      <c r="G10522" t="s">
        <v>59</v>
      </c>
      <c r="H10522">
        <v>2025</v>
      </c>
    </row>
    <row r="10523" spans="1:8" x14ac:dyDescent="0.2">
      <c r="A10523">
        <v>325360</v>
      </c>
      <c r="B10523">
        <v>47996</v>
      </c>
      <c r="C10523" t="str">
        <f t="shared" si="164"/>
        <v>2. $10K-50K</v>
      </c>
      <c r="D10523" t="s">
        <v>1094</v>
      </c>
      <c r="E10523" t="s">
        <v>237</v>
      </c>
      <c r="F10523" t="s">
        <v>670</v>
      </c>
      <c r="G10523" t="s">
        <v>59</v>
      </c>
      <c r="H10523">
        <v>2025</v>
      </c>
    </row>
    <row r="10524" spans="1:8" x14ac:dyDescent="0.2">
      <c r="A10524">
        <v>325448</v>
      </c>
      <c r="B10524">
        <v>9000000</v>
      </c>
      <c r="C10524" t="str">
        <f t="shared" si="164"/>
        <v>2. $10K-50K</v>
      </c>
      <c r="D10524" t="s">
        <v>2648</v>
      </c>
      <c r="E10524" t="s">
        <v>99</v>
      </c>
      <c r="F10524" t="s">
        <v>668</v>
      </c>
      <c r="G10524" t="s">
        <v>59</v>
      </c>
      <c r="H10524">
        <v>2025</v>
      </c>
    </row>
    <row r="10525" spans="1:8" x14ac:dyDescent="0.2">
      <c r="A10525">
        <v>325498</v>
      </c>
      <c r="B10525">
        <v>133300</v>
      </c>
      <c r="C10525" t="str">
        <f t="shared" si="164"/>
        <v>5. $1M+</v>
      </c>
      <c r="D10525" t="s">
        <v>810</v>
      </c>
      <c r="E10525" t="s">
        <v>42</v>
      </c>
      <c r="F10525" t="s">
        <v>670</v>
      </c>
      <c r="G10525" t="s">
        <v>59</v>
      </c>
      <c r="H10525">
        <v>2025</v>
      </c>
    </row>
    <row r="10526" spans="1:8" x14ac:dyDescent="0.2">
      <c r="A10526">
        <v>325581</v>
      </c>
      <c r="B10526">
        <v>4415000</v>
      </c>
      <c r="C10526" t="str">
        <f t="shared" si="164"/>
        <v>3. $50K-250K</v>
      </c>
      <c r="D10526" t="s">
        <v>530</v>
      </c>
      <c r="E10526" t="s">
        <v>28</v>
      </c>
      <c r="F10526" t="s">
        <v>31</v>
      </c>
      <c r="G10526" t="s">
        <v>10</v>
      </c>
      <c r="H10526">
        <v>2025</v>
      </c>
    </row>
    <row r="10527" spans="1:8" x14ac:dyDescent="0.2">
      <c r="A10527">
        <v>32560</v>
      </c>
      <c r="B10527">
        <v>17000000</v>
      </c>
      <c r="C10527" t="str">
        <f t="shared" si="164"/>
        <v>5. $1M+</v>
      </c>
      <c r="D10527" t="s">
        <v>248</v>
      </c>
      <c r="E10527" t="s">
        <v>67</v>
      </c>
      <c r="F10527" t="s">
        <v>43</v>
      </c>
      <c r="G10527" t="s">
        <v>61</v>
      </c>
      <c r="H10527">
        <v>2023</v>
      </c>
    </row>
    <row r="10528" spans="1:8" x14ac:dyDescent="0.2">
      <c r="A10528">
        <v>32561</v>
      </c>
      <c r="B10528">
        <v>8767969.3000000007</v>
      </c>
      <c r="C10528" t="str">
        <f t="shared" si="164"/>
        <v>5. $1M+</v>
      </c>
      <c r="D10528" t="s">
        <v>81</v>
      </c>
      <c r="E10528" t="s">
        <v>67</v>
      </c>
      <c r="F10528" t="s">
        <v>43</v>
      </c>
      <c r="G10528" t="s">
        <v>61</v>
      </c>
      <c r="H10528">
        <v>2023</v>
      </c>
    </row>
    <row r="10529" spans="1:8" x14ac:dyDescent="0.2">
      <c r="A10529">
        <v>325647</v>
      </c>
      <c r="B10529">
        <v>9134878</v>
      </c>
      <c r="C10529" t="str">
        <f t="shared" si="164"/>
        <v>5. $1M+</v>
      </c>
      <c r="D10529" t="s">
        <v>116</v>
      </c>
      <c r="E10529" t="s">
        <v>24</v>
      </c>
      <c r="F10529" t="s">
        <v>9</v>
      </c>
      <c r="G10529" t="s">
        <v>10</v>
      </c>
      <c r="H10529">
        <v>2025</v>
      </c>
    </row>
    <row r="10530" spans="1:8" x14ac:dyDescent="0.2">
      <c r="A10530">
        <v>325671</v>
      </c>
      <c r="B10530">
        <v>260495</v>
      </c>
      <c r="C10530" t="str">
        <f t="shared" si="164"/>
        <v>5. $1M+</v>
      </c>
      <c r="D10530" t="s">
        <v>2538</v>
      </c>
      <c r="E10530" t="s">
        <v>59</v>
      </c>
      <c r="F10530" t="s">
        <v>670</v>
      </c>
      <c r="G10530" t="s">
        <v>59</v>
      </c>
      <c r="H10530">
        <v>2025</v>
      </c>
    </row>
    <row r="10531" spans="1:8" x14ac:dyDescent="0.2">
      <c r="A10531">
        <v>325681</v>
      </c>
      <c r="B10531">
        <v>1302399</v>
      </c>
      <c r="C10531" t="str">
        <f t="shared" si="164"/>
        <v>4. $250K-1M</v>
      </c>
      <c r="D10531" t="s">
        <v>828</v>
      </c>
      <c r="E10531" t="s">
        <v>237</v>
      </c>
      <c r="F10531" t="s">
        <v>670</v>
      </c>
      <c r="G10531" t="s">
        <v>59</v>
      </c>
      <c r="H10531">
        <v>2025</v>
      </c>
    </row>
    <row r="10532" spans="1:8" x14ac:dyDescent="0.2">
      <c r="A10532">
        <v>325682</v>
      </c>
      <c r="B10532">
        <v>50585</v>
      </c>
      <c r="C10532" t="str">
        <f t="shared" si="164"/>
        <v>5. $1M+</v>
      </c>
      <c r="D10532" t="s">
        <v>2223</v>
      </c>
      <c r="E10532" t="s">
        <v>237</v>
      </c>
      <c r="F10532" t="s">
        <v>670</v>
      </c>
      <c r="G10532" t="s">
        <v>59</v>
      </c>
      <c r="H10532">
        <v>2025</v>
      </c>
    </row>
    <row r="10533" spans="1:8" x14ac:dyDescent="0.2">
      <c r="A10533">
        <v>325684</v>
      </c>
      <c r="B10533">
        <v>2728320</v>
      </c>
      <c r="C10533" t="str">
        <f t="shared" si="164"/>
        <v>3. $50K-250K</v>
      </c>
      <c r="D10533" t="s">
        <v>696</v>
      </c>
      <c r="E10533" t="s">
        <v>237</v>
      </c>
      <c r="F10533" t="s">
        <v>670</v>
      </c>
      <c r="G10533" t="s">
        <v>59</v>
      </c>
      <c r="H10533">
        <v>2025</v>
      </c>
    </row>
    <row r="10534" spans="1:8" x14ac:dyDescent="0.2">
      <c r="A10534">
        <v>325685</v>
      </c>
      <c r="B10534">
        <v>446490</v>
      </c>
      <c r="C10534" t="str">
        <f t="shared" si="164"/>
        <v>5. $1M+</v>
      </c>
      <c r="D10534" t="s">
        <v>695</v>
      </c>
      <c r="E10534" t="s">
        <v>237</v>
      </c>
      <c r="F10534" t="s">
        <v>670</v>
      </c>
      <c r="G10534" t="s">
        <v>59</v>
      </c>
      <c r="H10534">
        <v>2025</v>
      </c>
    </row>
    <row r="10535" spans="1:8" x14ac:dyDescent="0.2">
      <c r="A10535">
        <v>325686</v>
      </c>
      <c r="B10535">
        <v>2273600</v>
      </c>
      <c r="C10535" t="str">
        <f t="shared" si="164"/>
        <v>4. $250K-1M</v>
      </c>
      <c r="D10535" t="s">
        <v>713</v>
      </c>
      <c r="E10535" t="s">
        <v>237</v>
      </c>
      <c r="F10535" t="s">
        <v>670</v>
      </c>
      <c r="G10535" t="s">
        <v>59</v>
      </c>
      <c r="H10535">
        <v>2025</v>
      </c>
    </row>
    <row r="10536" spans="1:8" x14ac:dyDescent="0.2">
      <c r="A10536">
        <v>325688</v>
      </c>
      <c r="B10536">
        <v>1815696</v>
      </c>
      <c r="C10536" t="str">
        <f t="shared" si="164"/>
        <v>5. $1M+</v>
      </c>
      <c r="D10536" t="s">
        <v>696</v>
      </c>
      <c r="E10536" t="s">
        <v>237</v>
      </c>
      <c r="F10536" t="s">
        <v>670</v>
      </c>
      <c r="G10536" t="s">
        <v>59</v>
      </c>
      <c r="H10536">
        <v>2025</v>
      </c>
    </row>
    <row r="10537" spans="1:8" x14ac:dyDescent="0.2">
      <c r="A10537">
        <v>325689</v>
      </c>
      <c r="B10537">
        <v>254048</v>
      </c>
      <c r="C10537" t="str">
        <f t="shared" si="164"/>
        <v>5. $1M+</v>
      </c>
      <c r="D10537" t="s">
        <v>761</v>
      </c>
      <c r="E10537" t="s">
        <v>237</v>
      </c>
      <c r="F10537" t="s">
        <v>670</v>
      </c>
      <c r="G10537" t="s">
        <v>59</v>
      </c>
      <c r="H10537">
        <v>2025</v>
      </c>
    </row>
    <row r="10538" spans="1:8" x14ac:dyDescent="0.2">
      <c r="A10538">
        <v>325861</v>
      </c>
      <c r="B10538">
        <v>375000</v>
      </c>
      <c r="C10538" t="str">
        <f t="shared" si="164"/>
        <v>4. $250K-1M</v>
      </c>
      <c r="D10538" t="s">
        <v>1813</v>
      </c>
      <c r="E10538" t="s">
        <v>42</v>
      </c>
      <c r="F10538" t="s">
        <v>670</v>
      </c>
      <c r="G10538" t="s">
        <v>44</v>
      </c>
      <c r="H10538">
        <v>2025</v>
      </c>
    </row>
    <row r="10539" spans="1:8" x14ac:dyDescent="0.2">
      <c r="A10539">
        <v>325862</v>
      </c>
      <c r="B10539">
        <v>375000</v>
      </c>
      <c r="C10539" t="str">
        <f t="shared" si="164"/>
        <v>4. $250K-1M</v>
      </c>
      <c r="D10539" t="s">
        <v>785</v>
      </c>
      <c r="E10539" t="s">
        <v>42</v>
      </c>
      <c r="F10539" t="s">
        <v>670</v>
      </c>
      <c r="G10539" t="s">
        <v>44</v>
      </c>
      <c r="H10539">
        <v>2025</v>
      </c>
    </row>
    <row r="10540" spans="1:8" x14ac:dyDescent="0.2">
      <c r="A10540">
        <v>325866</v>
      </c>
      <c r="B10540">
        <v>1388948.4</v>
      </c>
      <c r="C10540" t="str">
        <f t="shared" si="164"/>
        <v>4. $250K-1M</v>
      </c>
      <c r="D10540" t="s">
        <v>7</v>
      </c>
      <c r="E10540" t="s">
        <v>28</v>
      </c>
      <c r="F10540" t="s">
        <v>85</v>
      </c>
      <c r="G10540" t="s">
        <v>59</v>
      </c>
      <c r="H10540">
        <v>2025</v>
      </c>
    </row>
    <row r="10541" spans="1:8" x14ac:dyDescent="0.2">
      <c r="A10541">
        <v>325934</v>
      </c>
      <c r="B10541">
        <v>224160</v>
      </c>
      <c r="C10541" t="str">
        <f t="shared" si="164"/>
        <v>5. $1M+</v>
      </c>
      <c r="D10541" t="s">
        <v>706</v>
      </c>
      <c r="E10541" t="s">
        <v>237</v>
      </c>
      <c r="F10541" t="s">
        <v>670</v>
      </c>
      <c r="G10541" t="s">
        <v>59</v>
      </c>
      <c r="H10541">
        <v>2025</v>
      </c>
    </row>
    <row r="10542" spans="1:8" x14ac:dyDescent="0.2">
      <c r="A10542">
        <v>326204</v>
      </c>
      <c r="B10542">
        <v>2636.8</v>
      </c>
      <c r="C10542" t="str">
        <f t="shared" si="164"/>
        <v>3. $50K-250K</v>
      </c>
      <c r="D10542" t="s">
        <v>2649</v>
      </c>
      <c r="E10542" t="s">
        <v>141</v>
      </c>
      <c r="F10542" t="s">
        <v>668</v>
      </c>
      <c r="G10542" t="s">
        <v>59</v>
      </c>
      <c r="H10542">
        <v>2025</v>
      </c>
    </row>
    <row r="10543" spans="1:8" x14ac:dyDescent="0.2">
      <c r="A10543">
        <v>326214</v>
      </c>
      <c r="B10543">
        <v>6000</v>
      </c>
      <c r="C10543" t="str">
        <f t="shared" si="164"/>
        <v>1. Under $10K</v>
      </c>
      <c r="D10543" t="s">
        <v>2650</v>
      </c>
      <c r="E10543" t="s">
        <v>112</v>
      </c>
      <c r="F10543" t="s">
        <v>668</v>
      </c>
      <c r="G10543" t="s">
        <v>59</v>
      </c>
      <c r="H10543">
        <v>2025</v>
      </c>
    </row>
    <row r="10544" spans="1:8" x14ac:dyDescent="0.2">
      <c r="A10544">
        <v>326285</v>
      </c>
      <c r="B10544">
        <v>20000</v>
      </c>
      <c r="C10544" t="str">
        <f t="shared" si="164"/>
        <v>1. Under $10K</v>
      </c>
      <c r="D10544" t="s">
        <v>1439</v>
      </c>
      <c r="E10544" t="s">
        <v>819</v>
      </c>
      <c r="F10544" t="s">
        <v>670</v>
      </c>
      <c r="G10544" t="s">
        <v>59</v>
      </c>
      <c r="H10544">
        <v>2025</v>
      </c>
    </row>
    <row r="10545" spans="1:8" x14ac:dyDescent="0.2">
      <c r="A10545">
        <v>326286</v>
      </c>
      <c r="B10545">
        <v>750000</v>
      </c>
      <c r="C10545" t="str">
        <f t="shared" si="164"/>
        <v>2. $10K-50K</v>
      </c>
      <c r="D10545" t="s">
        <v>882</v>
      </c>
      <c r="E10545" t="s">
        <v>825</v>
      </c>
      <c r="F10545" t="s">
        <v>670</v>
      </c>
      <c r="G10545" t="s">
        <v>59</v>
      </c>
      <c r="H10545">
        <v>2025</v>
      </c>
    </row>
    <row r="10546" spans="1:8" x14ac:dyDescent="0.2">
      <c r="A10546">
        <v>326337</v>
      </c>
      <c r="B10546">
        <v>1842270</v>
      </c>
      <c r="C10546" t="str">
        <f t="shared" si="164"/>
        <v>4. $250K-1M</v>
      </c>
      <c r="D10546" t="s">
        <v>762</v>
      </c>
      <c r="E10546" t="s">
        <v>237</v>
      </c>
      <c r="F10546" t="s">
        <v>670</v>
      </c>
      <c r="G10546" t="s">
        <v>59</v>
      </c>
      <c r="H10546">
        <v>2025</v>
      </c>
    </row>
    <row r="10547" spans="1:8" x14ac:dyDescent="0.2">
      <c r="A10547">
        <v>326338</v>
      </c>
      <c r="B10547">
        <v>44085</v>
      </c>
      <c r="C10547" t="str">
        <f t="shared" si="164"/>
        <v>5. $1M+</v>
      </c>
      <c r="D10547" t="s">
        <v>762</v>
      </c>
      <c r="E10547" t="s">
        <v>237</v>
      </c>
      <c r="F10547" t="s">
        <v>670</v>
      </c>
      <c r="G10547" t="s">
        <v>59</v>
      </c>
      <c r="H10547">
        <v>2025</v>
      </c>
    </row>
    <row r="10548" spans="1:8" x14ac:dyDescent="0.2">
      <c r="A10548">
        <v>326339</v>
      </c>
      <c r="B10548">
        <v>1023120</v>
      </c>
      <c r="C10548" t="str">
        <f t="shared" si="164"/>
        <v>2. $10K-50K</v>
      </c>
      <c r="D10548" t="s">
        <v>724</v>
      </c>
      <c r="E10548" t="s">
        <v>237</v>
      </c>
      <c r="F10548" t="s">
        <v>670</v>
      </c>
      <c r="G10548" t="s">
        <v>59</v>
      </c>
      <c r="H10548">
        <v>2025</v>
      </c>
    </row>
    <row r="10549" spans="1:8" x14ac:dyDescent="0.2">
      <c r="A10549">
        <v>326342</v>
      </c>
      <c r="B10549">
        <v>560400</v>
      </c>
      <c r="C10549" t="str">
        <f t="shared" si="164"/>
        <v>5. $1M+</v>
      </c>
      <c r="D10549" t="s">
        <v>712</v>
      </c>
      <c r="E10549" t="s">
        <v>237</v>
      </c>
      <c r="F10549" t="s">
        <v>670</v>
      </c>
      <c r="G10549" t="s">
        <v>59</v>
      </c>
      <c r="H10549">
        <v>2025</v>
      </c>
    </row>
    <row r="10550" spans="1:8" x14ac:dyDescent="0.2">
      <c r="A10550">
        <v>326344</v>
      </c>
      <c r="B10550">
        <v>454720</v>
      </c>
      <c r="C10550" t="str">
        <f t="shared" si="164"/>
        <v>4. $250K-1M</v>
      </c>
      <c r="D10550" t="s">
        <v>722</v>
      </c>
      <c r="E10550" t="s">
        <v>237</v>
      </c>
      <c r="F10550" t="s">
        <v>670</v>
      </c>
      <c r="G10550" t="s">
        <v>59</v>
      </c>
      <c r="H10550">
        <v>2025</v>
      </c>
    </row>
    <row r="10551" spans="1:8" x14ac:dyDescent="0.2">
      <c r="A10551">
        <v>326349</v>
      </c>
      <c r="B10551">
        <v>2437400</v>
      </c>
      <c r="C10551" t="str">
        <f t="shared" si="164"/>
        <v>4. $250K-1M</v>
      </c>
      <c r="D10551" t="s">
        <v>695</v>
      </c>
      <c r="E10551" t="s">
        <v>237</v>
      </c>
      <c r="F10551" t="s">
        <v>670</v>
      </c>
      <c r="G10551" t="s">
        <v>59</v>
      </c>
      <c r="H10551">
        <v>2025</v>
      </c>
    </row>
    <row r="10552" spans="1:8" x14ac:dyDescent="0.2">
      <c r="A10552">
        <v>326350</v>
      </c>
      <c r="B10552">
        <v>134496</v>
      </c>
      <c r="C10552" t="str">
        <f t="shared" si="164"/>
        <v>5. $1M+</v>
      </c>
      <c r="D10552" t="s">
        <v>722</v>
      </c>
      <c r="E10552" t="s">
        <v>237</v>
      </c>
      <c r="F10552" t="s">
        <v>670</v>
      </c>
      <c r="G10552" t="s">
        <v>59</v>
      </c>
      <c r="H10552">
        <v>2025</v>
      </c>
    </row>
    <row r="10553" spans="1:8" x14ac:dyDescent="0.2">
      <c r="A10553">
        <v>32638</v>
      </c>
      <c r="B10553">
        <v>12287000</v>
      </c>
      <c r="C10553" t="str">
        <f t="shared" si="164"/>
        <v>3. $50K-250K</v>
      </c>
      <c r="D10553" t="s">
        <v>269</v>
      </c>
      <c r="E10553" t="s">
        <v>67</v>
      </c>
      <c r="F10553" t="s">
        <v>43</v>
      </c>
      <c r="G10553" t="s">
        <v>61</v>
      </c>
      <c r="H10553">
        <v>2023</v>
      </c>
    </row>
    <row r="10554" spans="1:8" x14ac:dyDescent="0.2">
      <c r="A10554">
        <v>326503</v>
      </c>
      <c r="B10554">
        <v>7336323</v>
      </c>
      <c r="C10554" t="str">
        <f t="shared" si="164"/>
        <v>5. $1M+</v>
      </c>
      <c r="D10554" t="s">
        <v>531</v>
      </c>
      <c r="E10554" t="s">
        <v>59</v>
      </c>
      <c r="F10554" t="s">
        <v>9</v>
      </c>
      <c r="G10554" t="s">
        <v>10</v>
      </c>
      <c r="H10554">
        <v>2025</v>
      </c>
    </row>
    <row r="10555" spans="1:8" x14ac:dyDescent="0.2">
      <c r="A10555">
        <v>326692</v>
      </c>
      <c r="B10555">
        <v>175000</v>
      </c>
      <c r="C10555" t="str">
        <f t="shared" si="164"/>
        <v>5. $1M+</v>
      </c>
      <c r="D10555" t="s">
        <v>1473</v>
      </c>
      <c r="E10555" t="s">
        <v>42</v>
      </c>
      <c r="F10555" t="s">
        <v>670</v>
      </c>
      <c r="G10555" t="s">
        <v>59</v>
      </c>
      <c r="H10555">
        <v>2025</v>
      </c>
    </row>
    <row r="10556" spans="1:8" x14ac:dyDescent="0.2">
      <c r="A10556">
        <v>326744</v>
      </c>
      <c r="B10556">
        <v>1318.4</v>
      </c>
      <c r="C10556" t="str">
        <f t="shared" si="164"/>
        <v>3. $50K-250K</v>
      </c>
      <c r="D10556" t="s">
        <v>2651</v>
      </c>
      <c r="E10556" t="s">
        <v>141</v>
      </c>
      <c r="F10556" t="s">
        <v>668</v>
      </c>
      <c r="G10556" t="s">
        <v>59</v>
      </c>
      <c r="H10556">
        <v>2025</v>
      </c>
    </row>
    <row r="10557" spans="1:8" x14ac:dyDescent="0.2">
      <c r="A10557">
        <v>326745</v>
      </c>
      <c r="B10557">
        <v>3955.2</v>
      </c>
      <c r="C10557" t="str">
        <f t="shared" si="164"/>
        <v>1. Under $10K</v>
      </c>
      <c r="D10557" t="s">
        <v>2652</v>
      </c>
      <c r="E10557" t="s">
        <v>141</v>
      </c>
      <c r="F10557" t="s">
        <v>668</v>
      </c>
      <c r="G10557" t="s">
        <v>59</v>
      </c>
      <c r="H10557">
        <v>2025</v>
      </c>
    </row>
    <row r="10558" spans="1:8" x14ac:dyDescent="0.2">
      <c r="A10558">
        <v>326747</v>
      </c>
      <c r="B10558">
        <v>1318.4</v>
      </c>
      <c r="C10558" t="str">
        <f t="shared" si="164"/>
        <v>1. Under $10K</v>
      </c>
      <c r="D10558" t="s">
        <v>2653</v>
      </c>
      <c r="E10558" t="s">
        <v>141</v>
      </c>
      <c r="F10558" t="s">
        <v>668</v>
      </c>
      <c r="G10558" t="s">
        <v>59</v>
      </c>
      <c r="H10558">
        <v>2025</v>
      </c>
    </row>
    <row r="10559" spans="1:8" x14ac:dyDescent="0.2">
      <c r="A10559">
        <v>326771</v>
      </c>
      <c r="B10559">
        <v>428571</v>
      </c>
      <c r="C10559" t="str">
        <f t="shared" si="164"/>
        <v>1. Under $10K</v>
      </c>
      <c r="D10559" t="s">
        <v>1000</v>
      </c>
      <c r="E10559" t="s">
        <v>42</v>
      </c>
      <c r="F10559" t="s">
        <v>670</v>
      </c>
      <c r="G10559" t="s">
        <v>59</v>
      </c>
      <c r="H10559">
        <v>2025</v>
      </c>
    </row>
    <row r="10560" spans="1:8" x14ac:dyDescent="0.2">
      <c r="A10560">
        <v>326772</v>
      </c>
      <c r="B10560">
        <v>112500</v>
      </c>
      <c r="C10560" t="str">
        <f t="shared" si="164"/>
        <v>4. $250K-1M</v>
      </c>
      <c r="D10560" t="s">
        <v>686</v>
      </c>
      <c r="E10560" t="s">
        <v>42</v>
      </c>
      <c r="F10560" t="s">
        <v>670</v>
      </c>
      <c r="G10560" t="s">
        <v>59</v>
      </c>
      <c r="H10560">
        <v>2025</v>
      </c>
    </row>
    <row r="10561" spans="1:8" x14ac:dyDescent="0.2">
      <c r="A10561">
        <v>326773</v>
      </c>
      <c r="B10561">
        <v>428571</v>
      </c>
      <c r="C10561" t="str">
        <f t="shared" si="164"/>
        <v>3. $50K-250K</v>
      </c>
      <c r="D10561" t="s">
        <v>1021</v>
      </c>
      <c r="E10561" t="s">
        <v>42</v>
      </c>
      <c r="F10561" t="s">
        <v>670</v>
      </c>
      <c r="G10561" t="s">
        <v>59</v>
      </c>
      <c r="H10561">
        <v>2025</v>
      </c>
    </row>
    <row r="10562" spans="1:8" x14ac:dyDescent="0.2">
      <c r="A10562">
        <v>326774</v>
      </c>
      <c r="B10562">
        <v>112500</v>
      </c>
      <c r="C10562" t="str">
        <f t="shared" si="164"/>
        <v>4. $250K-1M</v>
      </c>
      <c r="D10562" t="s">
        <v>763</v>
      </c>
      <c r="E10562" t="s">
        <v>42</v>
      </c>
      <c r="F10562" t="s">
        <v>670</v>
      </c>
      <c r="G10562" t="s">
        <v>59</v>
      </c>
      <c r="H10562">
        <v>2025</v>
      </c>
    </row>
    <row r="10563" spans="1:8" x14ac:dyDescent="0.2">
      <c r="A10563">
        <v>327069</v>
      </c>
      <c r="B10563">
        <v>36499</v>
      </c>
      <c r="C10563" t="str">
        <f t="shared" ref="C10563:C10626" si="165">IF(B10562&lt;10000,"1. Under $10K",IF(B10562&lt;50000,"2. $10K-50K",IF(B10562&lt;250000,"3. $50K-250K",IF(B10562&lt;1000000,"4. $250K-1M","5. $1M+"))))</f>
        <v>3. $50K-250K</v>
      </c>
      <c r="D10563" t="s">
        <v>2463</v>
      </c>
      <c r="E10563" t="s">
        <v>237</v>
      </c>
      <c r="F10563" t="s">
        <v>670</v>
      </c>
      <c r="G10563" t="s">
        <v>59</v>
      </c>
      <c r="H10563">
        <v>2025</v>
      </c>
    </row>
    <row r="10564" spans="1:8" x14ac:dyDescent="0.2">
      <c r="A10564">
        <v>327070</v>
      </c>
      <c r="B10564">
        <v>1886355</v>
      </c>
      <c r="C10564" t="str">
        <f t="shared" si="165"/>
        <v>2. $10K-50K</v>
      </c>
      <c r="D10564" t="s">
        <v>762</v>
      </c>
      <c r="E10564" t="s">
        <v>237</v>
      </c>
      <c r="F10564" t="s">
        <v>670</v>
      </c>
      <c r="G10564" t="s">
        <v>59</v>
      </c>
      <c r="H10564">
        <v>2025</v>
      </c>
    </row>
    <row r="10565" spans="1:8" x14ac:dyDescent="0.2">
      <c r="A10565">
        <v>327071</v>
      </c>
      <c r="B10565">
        <v>1477840</v>
      </c>
      <c r="C10565" t="str">
        <f t="shared" si="165"/>
        <v>5. $1M+</v>
      </c>
      <c r="D10565" t="s">
        <v>1088</v>
      </c>
      <c r="E10565" t="s">
        <v>237</v>
      </c>
      <c r="F10565" t="s">
        <v>670</v>
      </c>
      <c r="G10565" t="s">
        <v>59</v>
      </c>
      <c r="H10565">
        <v>2025</v>
      </c>
    </row>
    <row r="10566" spans="1:8" x14ac:dyDescent="0.2">
      <c r="A10566">
        <v>327072</v>
      </c>
      <c r="B10566">
        <v>941472</v>
      </c>
      <c r="C10566" t="str">
        <f t="shared" si="165"/>
        <v>5. $1M+</v>
      </c>
      <c r="D10566" t="s">
        <v>1032</v>
      </c>
      <c r="E10566" t="s">
        <v>237</v>
      </c>
      <c r="F10566" t="s">
        <v>670</v>
      </c>
      <c r="G10566" t="s">
        <v>59</v>
      </c>
      <c r="H10566">
        <v>2025</v>
      </c>
    </row>
    <row r="10567" spans="1:8" x14ac:dyDescent="0.2">
      <c r="A10567">
        <v>327073</v>
      </c>
      <c r="B10567">
        <v>625240</v>
      </c>
      <c r="C10567" t="str">
        <f t="shared" si="165"/>
        <v>4. $250K-1M</v>
      </c>
      <c r="D10567" t="s">
        <v>899</v>
      </c>
      <c r="E10567" t="s">
        <v>237</v>
      </c>
      <c r="F10567" t="s">
        <v>670</v>
      </c>
      <c r="G10567" t="s">
        <v>59</v>
      </c>
      <c r="H10567">
        <v>2025</v>
      </c>
    </row>
    <row r="10568" spans="1:8" x14ac:dyDescent="0.2">
      <c r="A10568">
        <v>327074</v>
      </c>
      <c r="B10568">
        <v>149440</v>
      </c>
      <c r="C10568" t="str">
        <f t="shared" si="165"/>
        <v>4. $250K-1M</v>
      </c>
      <c r="D10568" t="s">
        <v>744</v>
      </c>
      <c r="E10568" t="s">
        <v>237</v>
      </c>
      <c r="F10568" t="s">
        <v>670</v>
      </c>
      <c r="G10568" t="s">
        <v>59</v>
      </c>
      <c r="H10568">
        <v>2025</v>
      </c>
    </row>
    <row r="10569" spans="1:8" x14ac:dyDescent="0.2">
      <c r="A10569">
        <v>327075</v>
      </c>
      <c r="B10569">
        <v>1165632</v>
      </c>
      <c r="C10569" t="str">
        <f t="shared" si="165"/>
        <v>3. $50K-250K</v>
      </c>
      <c r="D10569" t="s">
        <v>899</v>
      </c>
      <c r="E10569" t="s">
        <v>237</v>
      </c>
      <c r="F10569" t="s">
        <v>670</v>
      </c>
      <c r="G10569" t="s">
        <v>59</v>
      </c>
      <c r="H10569">
        <v>2025</v>
      </c>
    </row>
    <row r="10570" spans="1:8" x14ac:dyDescent="0.2">
      <c r="A10570">
        <v>327076</v>
      </c>
      <c r="B10570">
        <v>909440</v>
      </c>
      <c r="C10570" t="str">
        <f t="shared" si="165"/>
        <v>5. $1M+</v>
      </c>
      <c r="D10570" t="s">
        <v>694</v>
      </c>
      <c r="E10570" t="s">
        <v>237</v>
      </c>
      <c r="F10570" t="s">
        <v>670</v>
      </c>
      <c r="G10570" t="s">
        <v>59</v>
      </c>
      <c r="H10570">
        <v>2025</v>
      </c>
    </row>
    <row r="10571" spans="1:8" x14ac:dyDescent="0.2">
      <c r="A10571">
        <v>327077</v>
      </c>
      <c r="B10571">
        <v>134496</v>
      </c>
      <c r="C10571" t="str">
        <f t="shared" si="165"/>
        <v>4. $250K-1M</v>
      </c>
      <c r="D10571" t="s">
        <v>730</v>
      </c>
      <c r="E10571" t="s">
        <v>237</v>
      </c>
      <c r="F10571" t="s">
        <v>670</v>
      </c>
      <c r="G10571" t="s">
        <v>59</v>
      </c>
      <c r="H10571">
        <v>2025</v>
      </c>
    </row>
    <row r="10572" spans="1:8" x14ac:dyDescent="0.2">
      <c r="A10572">
        <v>327078</v>
      </c>
      <c r="B10572">
        <v>923650</v>
      </c>
      <c r="C10572" t="str">
        <f t="shared" si="165"/>
        <v>3. $50K-250K</v>
      </c>
      <c r="D10572" t="s">
        <v>712</v>
      </c>
      <c r="E10572" t="s">
        <v>237</v>
      </c>
      <c r="F10572" t="s">
        <v>670</v>
      </c>
      <c r="G10572" t="s">
        <v>59</v>
      </c>
      <c r="H10572">
        <v>2025</v>
      </c>
    </row>
    <row r="10573" spans="1:8" x14ac:dyDescent="0.2">
      <c r="A10573">
        <v>327079</v>
      </c>
      <c r="B10573">
        <v>851808</v>
      </c>
      <c r="C10573" t="str">
        <f t="shared" si="165"/>
        <v>4. $250K-1M</v>
      </c>
      <c r="D10573" t="s">
        <v>742</v>
      </c>
      <c r="E10573" t="s">
        <v>237</v>
      </c>
      <c r="F10573" t="s">
        <v>670</v>
      </c>
      <c r="G10573" t="s">
        <v>59</v>
      </c>
      <c r="H10573">
        <v>2025</v>
      </c>
    </row>
    <row r="10574" spans="1:8" x14ac:dyDescent="0.2">
      <c r="A10574">
        <v>327080</v>
      </c>
      <c r="B10574">
        <v>1690990</v>
      </c>
      <c r="C10574" t="str">
        <f t="shared" si="165"/>
        <v>4. $250K-1M</v>
      </c>
      <c r="D10574" t="s">
        <v>1032</v>
      </c>
      <c r="E10574" t="s">
        <v>237</v>
      </c>
      <c r="F10574" t="s">
        <v>670</v>
      </c>
      <c r="G10574" t="s">
        <v>59</v>
      </c>
      <c r="H10574">
        <v>2025</v>
      </c>
    </row>
    <row r="10575" spans="1:8" x14ac:dyDescent="0.2">
      <c r="A10575">
        <v>327081</v>
      </c>
      <c r="B10575">
        <v>762144</v>
      </c>
      <c r="C10575" t="str">
        <f t="shared" si="165"/>
        <v>5. $1M+</v>
      </c>
      <c r="D10575" t="s">
        <v>724</v>
      </c>
      <c r="E10575" t="s">
        <v>237</v>
      </c>
      <c r="F10575" t="s">
        <v>670</v>
      </c>
      <c r="G10575" t="s">
        <v>59</v>
      </c>
      <c r="H10575">
        <v>2025</v>
      </c>
    </row>
    <row r="10576" spans="1:8" x14ac:dyDescent="0.2">
      <c r="A10576">
        <v>327082</v>
      </c>
      <c r="B10576">
        <v>67000</v>
      </c>
      <c r="C10576" t="str">
        <f t="shared" si="165"/>
        <v>4. $250K-1M</v>
      </c>
      <c r="D10576" t="s">
        <v>957</v>
      </c>
      <c r="E10576" t="s">
        <v>237</v>
      </c>
      <c r="F10576" t="s">
        <v>670</v>
      </c>
      <c r="G10576" t="s">
        <v>59</v>
      </c>
      <c r="H10576">
        <v>2025</v>
      </c>
    </row>
    <row r="10577" spans="1:8" x14ac:dyDescent="0.2">
      <c r="A10577">
        <v>327136</v>
      </c>
      <c r="B10577">
        <v>227160</v>
      </c>
      <c r="C10577" t="str">
        <f t="shared" si="165"/>
        <v>3. $50K-250K</v>
      </c>
      <c r="D10577" t="s">
        <v>907</v>
      </c>
      <c r="E10577" t="s">
        <v>237</v>
      </c>
      <c r="F10577" t="s">
        <v>670</v>
      </c>
      <c r="G10577" t="s">
        <v>59</v>
      </c>
      <c r="H10577">
        <v>2025</v>
      </c>
    </row>
    <row r="10578" spans="1:8" x14ac:dyDescent="0.2">
      <c r="A10578">
        <v>327147</v>
      </c>
      <c r="B10578">
        <v>1318.4</v>
      </c>
      <c r="C10578" t="str">
        <f t="shared" si="165"/>
        <v>3. $50K-250K</v>
      </c>
      <c r="D10578" t="s">
        <v>2654</v>
      </c>
      <c r="E10578" t="s">
        <v>141</v>
      </c>
      <c r="F10578" t="s">
        <v>668</v>
      </c>
      <c r="G10578" t="s">
        <v>59</v>
      </c>
      <c r="H10578">
        <v>2025</v>
      </c>
    </row>
    <row r="10579" spans="1:8" x14ac:dyDescent="0.2">
      <c r="A10579">
        <v>327171</v>
      </c>
      <c r="B10579">
        <v>254048</v>
      </c>
      <c r="C10579" t="str">
        <f t="shared" si="165"/>
        <v>1. Under $10K</v>
      </c>
      <c r="D10579" t="s">
        <v>694</v>
      </c>
      <c r="E10579" t="s">
        <v>237</v>
      </c>
      <c r="F10579" t="s">
        <v>670</v>
      </c>
      <c r="G10579" t="s">
        <v>59</v>
      </c>
      <c r="H10579">
        <v>2025</v>
      </c>
    </row>
    <row r="10580" spans="1:8" x14ac:dyDescent="0.2">
      <c r="A10580">
        <v>327450</v>
      </c>
      <c r="B10580">
        <v>1000</v>
      </c>
      <c r="C10580" t="str">
        <f t="shared" si="165"/>
        <v>4. $250K-1M</v>
      </c>
      <c r="D10580" t="s">
        <v>2655</v>
      </c>
      <c r="E10580" t="s">
        <v>112</v>
      </c>
      <c r="F10580" t="s">
        <v>668</v>
      </c>
      <c r="G10580" t="s">
        <v>59</v>
      </c>
      <c r="H10580">
        <v>2025</v>
      </c>
    </row>
    <row r="10581" spans="1:8" x14ac:dyDescent="0.2">
      <c r="A10581">
        <v>327545</v>
      </c>
      <c r="B10581">
        <v>2000</v>
      </c>
      <c r="C10581" t="str">
        <f t="shared" si="165"/>
        <v>1. Under $10K</v>
      </c>
      <c r="D10581" t="s">
        <v>1912</v>
      </c>
      <c r="E10581" t="s">
        <v>112</v>
      </c>
      <c r="F10581" t="s">
        <v>668</v>
      </c>
      <c r="G10581" t="s">
        <v>59</v>
      </c>
      <c r="H10581">
        <v>2025</v>
      </c>
    </row>
    <row r="10582" spans="1:8" x14ac:dyDescent="0.2">
      <c r="A10582">
        <v>327817</v>
      </c>
      <c r="B10582">
        <v>1452734.3</v>
      </c>
      <c r="C10582" t="str">
        <f t="shared" si="165"/>
        <v>1. Under $10K</v>
      </c>
      <c r="D10582" t="s">
        <v>230</v>
      </c>
      <c r="E10582" t="s">
        <v>67</v>
      </c>
      <c r="F10582" t="s">
        <v>231</v>
      </c>
      <c r="G10582" t="s">
        <v>232</v>
      </c>
      <c r="H10582">
        <v>2025</v>
      </c>
    </row>
    <row r="10583" spans="1:8" x14ac:dyDescent="0.2">
      <c r="A10583">
        <v>327830</v>
      </c>
      <c r="B10583">
        <v>147218.29999999999</v>
      </c>
      <c r="C10583" t="str">
        <f t="shared" si="165"/>
        <v>5. $1M+</v>
      </c>
      <c r="D10583" t="s">
        <v>230</v>
      </c>
      <c r="E10583" t="s">
        <v>67</v>
      </c>
      <c r="F10583" t="s">
        <v>231</v>
      </c>
      <c r="G10583" t="s">
        <v>232</v>
      </c>
      <c r="H10583">
        <v>2025</v>
      </c>
    </row>
    <row r="10584" spans="1:8" x14ac:dyDescent="0.2">
      <c r="A10584">
        <v>32790</v>
      </c>
      <c r="B10584">
        <v>1000000</v>
      </c>
      <c r="C10584" t="str">
        <f t="shared" si="165"/>
        <v>3. $50K-250K</v>
      </c>
      <c r="D10584" t="s">
        <v>778</v>
      </c>
      <c r="E10584" t="s">
        <v>99</v>
      </c>
      <c r="F10584" t="s">
        <v>668</v>
      </c>
      <c r="G10584" t="s">
        <v>59</v>
      </c>
      <c r="H10584">
        <v>2025</v>
      </c>
    </row>
    <row r="10585" spans="1:8" x14ac:dyDescent="0.2">
      <c r="A10585">
        <v>328276</v>
      </c>
      <c r="B10585">
        <v>164653</v>
      </c>
      <c r="C10585" t="str">
        <f t="shared" si="165"/>
        <v>5. $1M+</v>
      </c>
      <c r="D10585" t="s">
        <v>771</v>
      </c>
      <c r="E10585" t="s">
        <v>42</v>
      </c>
      <c r="F10585" t="s">
        <v>670</v>
      </c>
      <c r="G10585" t="s">
        <v>59</v>
      </c>
      <c r="H10585">
        <v>2025</v>
      </c>
    </row>
    <row r="10586" spans="1:8" x14ac:dyDescent="0.2">
      <c r="A10586">
        <v>328277</v>
      </c>
      <c r="B10586">
        <v>428571</v>
      </c>
      <c r="C10586" t="str">
        <f t="shared" si="165"/>
        <v>3. $50K-250K</v>
      </c>
      <c r="D10586" t="s">
        <v>999</v>
      </c>
      <c r="E10586" t="s">
        <v>42</v>
      </c>
      <c r="F10586" t="s">
        <v>670</v>
      </c>
      <c r="G10586" t="s">
        <v>59</v>
      </c>
      <c r="H10586">
        <v>2025</v>
      </c>
    </row>
    <row r="10587" spans="1:8" x14ac:dyDescent="0.2">
      <c r="A10587">
        <v>328281</v>
      </c>
      <c r="B10587">
        <v>69112513.5</v>
      </c>
      <c r="C10587" t="str">
        <f t="shared" si="165"/>
        <v>4. $250K-1M</v>
      </c>
      <c r="D10587" t="s">
        <v>516</v>
      </c>
      <c r="E10587" t="s">
        <v>28</v>
      </c>
      <c r="F10587" t="s">
        <v>29</v>
      </c>
      <c r="G10587" t="s">
        <v>124</v>
      </c>
      <c r="H10587">
        <v>2025</v>
      </c>
    </row>
    <row r="10588" spans="1:8" x14ac:dyDescent="0.2">
      <c r="A10588">
        <v>328283</v>
      </c>
      <c r="B10588">
        <v>75000</v>
      </c>
      <c r="C10588" t="str">
        <f t="shared" si="165"/>
        <v>5. $1M+</v>
      </c>
      <c r="D10588" t="s">
        <v>2656</v>
      </c>
      <c r="E10588" t="s">
        <v>52</v>
      </c>
      <c r="F10588" t="s">
        <v>668</v>
      </c>
      <c r="G10588" t="s">
        <v>59</v>
      </c>
      <c r="H10588">
        <v>2025</v>
      </c>
    </row>
    <row r="10589" spans="1:8" x14ac:dyDescent="0.2">
      <c r="A10589">
        <v>328284</v>
      </c>
      <c r="B10589">
        <v>11445</v>
      </c>
      <c r="C10589" t="str">
        <f t="shared" si="165"/>
        <v>3. $50K-250K</v>
      </c>
      <c r="D10589" t="s">
        <v>683</v>
      </c>
      <c r="E10589" t="s">
        <v>42</v>
      </c>
      <c r="F10589" t="s">
        <v>670</v>
      </c>
      <c r="G10589" t="s">
        <v>59</v>
      </c>
      <c r="H10589">
        <v>2025</v>
      </c>
    </row>
    <row r="10590" spans="1:8" x14ac:dyDescent="0.2">
      <c r="A10590">
        <v>328285</v>
      </c>
      <c r="B10590">
        <v>9183</v>
      </c>
      <c r="C10590" t="str">
        <f t="shared" si="165"/>
        <v>2. $10K-50K</v>
      </c>
      <c r="D10590" t="s">
        <v>684</v>
      </c>
      <c r="E10590" t="s">
        <v>42</v>
      </c>
      <c r="F10590" t="s">
        <v>670</v>
      </c>
      <c r="G10590" t="s">
        <v>59</v>
      </c>
      <c r="H10590">
        <v>2025</v>
      </c>
    </row>
    <row r="10591" spans="1:8" x14ac:dyDescent="0.2">
      <c r="A10591">
        <v>328286</v>
      </c>
      <c r="B10591">
        <v>160000</v>
      </c>
      <c r="C10591" t="str">
        <f t="shared" si="165"/>
        <v>1. Under $10K</v>
      </c>
      <c r="D10591" t="s">
        <v>2312</v>
      </c>
      <c r="E10591" t="s">
        <v>52</v>
      </c>
      <c r="F10591" t="s">
        <v>668</v>
      </c>
      <c r="G10591" t="s">
        <v>59</v>
      </c>
      <c r="H10591">
        <v>2025</v>
      </c>
    </row>
    <row r="10592" spans="1:8" x14ac:dyDescent="0.2">
      <c r="A10592">
        <v>328289</v>
      </c>
      <c r="B10592">
        <v>22887</v>
      </c>
      <c r="C10592" t="str">
        <f t="shared" si="165"/>
        <v>3. $50K-250K</v>
      </c>
      <c r="D10592" t="s">
        <v>685</v>
      </c>
      <c r="E10592" t="s">
        <v>42</v>
      </c>
      <c r="F10592" t="s">
        <v>670</v>
      </c>
      <c r="G10592" t="s">
        <v>59</v>
      </c>
      <c r="H10592">
        <v>2025</v>
      </c>
    </row>
    <row r="10593" spans="1:8" x14ac:dyDescent="0.2">
      <c r="A10593">
        <v>328292</v>
      </c>
      <c r="B10593">
        <v>140000</v>
      </c>
      <c r="C10593" t="str">
        <f t="shared" si="165"/>
        <v>2. $10K-50K</v>
      </c>
      <c r="D10593" t="s">
        <v>1721</v>
      </c>
      <c r="E10593" t="s">
        <v>52</v>
      </c>
      <c r="F10593" t="s">
        <v>668</v>
      </c>
      <c r="G10593" t="s">
        <v>59</v>
      </c>
      <c r="H10593">
        <v>2025</v>
      </c>
    </row>
    <row r="10594" spans="1:8" x14ac:dyDescent="0.2">
      <c r="A10594">
        <v>328296</v>
      </c>
      <c r="B10594">
        <v>75000</v>
      </c>
      <c r="C10594" t="str">
        <f t="shared" si="165"/>
        <v>3. $50K-250K</v>
      </c>
      <c r="D10594" t="s">
        <v>2657</v>
      </c>
      <c r="E10594" t="s">
        <v>52</v>
      </c>
      <c r="F10594" t="s">
        <v>668</v>
      </c>
      <c r="G10594" t="s">
        <v>59</v>
      </c>
      <c r="H10594">
        <v>2025</v>
      </c>
    </row>
    <row r="10595" spans="1:8" x14ac:dyDescent="0.2">
      <c r="A10595">
        <v>32835</v>
      </c>
      <c r="B10595">
        <v>57753.4</v>
      </c>
      <c r="C10595" t="str">
        <f t="shared" si="165"/>
        <v>3. $50K-250K</v>
      </c>
      <c r="D10595" t="s">
        <v>532</v>
      </c>
      <c r="E10595" t="s">
        <v>28</v>
      </c>
      <c r="F10595" t="s">
        <v>85</v>
      </c>
      <c r="G10595" t="s">
        <v>10</v>
      </c>
      <c r="H10595">
        <v>2024</v>
      </c>
    </row>
    <row r="10596" spans="1:8" x14ac:dyDescent="0.2">
      <c r="A10596">
        <v>328450</v>
      </c>
      <c r="B10596">
        <v>260495</v>
      </c>
      <c r="C10596" t="str">
        <f t="shared" si="165"/>
        <v>3. $50K-250K</v>
      </c>
      <c r="D10596" t="s">
        <v>2538</v>
      </c>
      <c r="E10596" t="s">
        <v>42</v>
      </c>
      <c r="F10596" t="s">
        <v>670</v>
      </c>
      <c r="G10596" t="s">
        <v>59</v>
      </c>
      <c r="H10596">
        <v>2025</v>
      </c>
    </row>
    <row r="10597" spans="1:8" x14ac:dyDescent="0.2">
      <c r="A10597">
        <v>328455</v>
      </c>
      <c r="B10597">
        <v>6000</v>
      </c>
      <c r="C10597" t="str">
        <f t="shared" si="165"/>
        <v>4. $250K-1M</v>
      </c>
      <c r="D10597" t="s">
        <v>2658</v>
      </c>
      <c r="E10597" t="s">
        <v>112</v>
      </c>
      <c r="F10597" t="s">
        <v>668</v>
      </c>
      <c r="G10597" t="s">
        <v>59</v>
      </c>
      <c r="H10597">
        <v>2025</v>
      </c>
    </row>
    <row r="10598" spans="1:8" x14ac:dyDescent="0.2">
      <c r="A10598">
        <v>328457</v>
      </c>
      <c r="B10598">
        <v>5250</v>
      </c>
      <c r="C10598" t="str">
        <f t="shared" si="165"/>
        <v>1. Under $10K</v>
      </c>
      <c r="D10598" t="s">
        <v>2659</v>
      </c>
      <c r="E10598" t="s">
        <v>112</v>
      </c>
      <c r="F10598" t="s">
        <v>668</v>
      </c>
      <c r="G10598" t="s">
        <v>59</v>
      </c>
      <c r="H10598">
        <v>2025</v>
      </c>
    </row>
    <row r="10599" spans="1:8" x14ac:dyDescent="0.2">
      <c r="A10599">
        <v>328459</v>
      </c>
      <c r="B10599">
        <v>4000</v>
      </c>
      <c r="C10599" t="str">
        <f t="shared" si="165"/>
        <v>1. Under $10K</v>
      </c>
      <c r="D10599" t="s">
        <v>2660</v>
      </c>
      <c r="E10599" t="s">
        <v>112</v>
      </c>
      <c r="F10599" t="s">
        <v>668</v>
      </c>
      <c r="G10599" t="s">
        <v>59</v>
      </c>
      <c r="H10599">
        <v>2025</v>
      </c>
    </row>
    <row r="10600" spans="1:8" x14ac:dyDescent="0.2">
      <c r="A10600">
        <v>328461</v>
      </c>
      <c r="B10600">
        <v>3750</v>
      </c>
      <c r="C10600" t="str">
        <f t="shared" si="165"/>
        <v>1. Under $10K</v>
      </c>
      <c r="D10600" t="s">
        <v>2661</v>
      </c>
      <c r="E10600" t="s">
        <v>112</v>
      </c>
      <c r="F10600" t="s">
        <v>668</v>
      </c>
      <c r="G10600" t="s">
        <v>59</v>
      </c>
      <c r="H10600">
        <v>2025</v>
      </c>
    </row>
    <row r="10601" spans="1:8" x14ac:dyDescent="0.2">
      <c r="A10601">
        <v>328464</v>
      </c>
      <c r="B10601">
        <v>6000</v>
      </c>
      <c r="C10601" t="str">
        <f t="shared" si="165"/>
        <v>1. Under $10K</v>
      </c>
      <c r="D10601" t="s">
        <v>2662</v>
      </c>
      <c r="E10601" t="s">
        <v>112</v>
      </c>
      <c r="F10601" t="s">
        <v>668</v>
      </c>
      <c r="G10601" t="s">
        <v>59</v>
      </c>
      <c r="H10601">
        <v>2025</v>
      </c>
    </row>
    <row r="10602" spans="1:8" x14ac:dyDescent="0.2">
      <c r="A10602">
        <v>328465</v>
      </c>
      <c r="B10602">
        <v>3500</v>
      </c>
      <c r="C10602" t="str">
        <f t="shared" si="165"/>
        <v>1. Under $10K</v>
      </c>
      <c r="D10602" t="s">
        <v>2663</v>
      </c>
      <c r="E10602" t="s">
        <v>112</v>
      </c>
      <c r="F10602" t="s">
        <v>668</v>
      </c>
      <c r="G10602" t="s">
        <v>59</v>
      </c>
      <c r="H10602">
        <v>2025</v>
      </c>
    </row>
    <row r="10603" spans="1:8" x14ac:dyDescent="0.2">
      <c r="A10603">
        <v>328466</v>
      </c>
      <c r="B10603">
        <v>1500</v>
      </c>
      <c r="C10603" t="str">
        <f t="shared" si="165"/>
        <v>1. Under $10K</v>
      </c>
      <c r="D10603" t="s">
        <v>2664</v>
      </c>
      <c r="E10603" t="s">
        <v>112</v>
      </c>
      <c r="F10603" t="s">
        <v>668</v>
      </c>
      <c r="G10603" t="s">
        <v>59</v>
      </c>
      <c r="H10603">
        <v>2025</v>
      </c>
    </row>
    <row r="10604" spans="1:8" x14ac:dyDescent="0.2">
      <c r="A10604">
        <v>328467</v>
      </c>
      <c r="B10604">
        <v>49042</v>
      </c>
      <c r="C10604" t="str">
        <f t="shared" si="165"/>
        <v>1. Under $10K</v>
      </c>
      <c r="D10604" t="s">
        <v>1473</v>
      </c>
      <c r="E10604" t="s">
        <v>42</v>
      </c>
      <c r="F10604" t="s">
        <v>670</v>
      </c>
      <c r="G10604" t="s">
        <v>59</v>
      </c>
      <c r="H10604">
        <v>2025</v>
      </c>
    </row>
    <row r="10605" spans="1:8" x14ac:dyDescent="0.2">
      <c r="A10605">
        <v>328468</v>
      </c>
      <c r="B10605">
        <v>14713</v>
      </c>
      <c r="C10605" t="str">
        <f t="shared" si="165"/>
        <v>2. $10K-50K</v>
      </c>
      <c r="D10605" t="s">
        <v>686</v>
      </c>
      <c r="E10605" t="s">
        <v>42</v>
      </c>
      <c r="F10605" t="s">
        <v>670</v>
      </c>
      <c r="G10605" t="s">
        <v>59</v>
      </c>
      <c r="H10605">
        <v>2025</v>
      </c>
    </row>
    <row r="10606" spans="1:8" x14ac:dyDescent="0.2">
      <c r="A10606">
        <v>328469</v>
      </c>
      <c r="B10606">
        <v>6000</v>
      </c>
      <c r="C10606" t="str">
        <f t="shared" si="165"/>
        <v>2. $10K-50K</v>
      </c>
      <c r="D10606" t="s">
        <v>2665</v>
      </c>
      <c r="E10606" t="s">
        <v>112</v>
      </c>
      <c r="F10606" t="s">
        <v>668</v>
      </c>
      <c r="G10606" t="s">
        <v>59</v>
      </c>
      <c r="H10606">
        <v>2025</v>
      </c>
    </row>
    <row r="10607" spans="1:8" x14ac:dyDescent="0.2">
      <c r="A10607">
        <v>328470</v>
      </c>
      <c r="B10607">
        <v>6000</v>
      </c>
      <c r="C10607" t="str">
        <f t="shared" si="165"/>
        <v>1. Under $10K</v>
      </c>
      <c r="D10607" t="s">
        <v>2666</v>
      </c>
      <c r="E10607" t="s">
        <v>112</v>
      </c>
      <c r="F10607" t="s">
        <v>668</v>
      </c>
      <c r="G10607" t="s">
        <v>59</v>
      </c>
      <c r="H10607">
        <v>2025</v>
      </c>
    </row>
    <row r="10608" spans="1:8" x14ac:dyDescent="0.2">
      <c r="A10608">
        <v>328472</v>
      </c>
      <c r="B10608">
        <v>6000</v>
      </c>
      <c r="C10608" t="str">
        <f t="shared" si="165"/>
        <v>1. Under $10K</v>
      </c>
      <c r="D10608" t="s">
        <v>2667</v>
      </c>
      <c r="E10608" t="s">
        <v>112</v>
      </c>
      <c r="F10608" t="s">
        <v>668</v>
      </c>
      <c r="G10608" t="s">
        <v>59</v>
      </c>
      <c r="H10608">
        <v>2025</v>
      </c>
    </row>
    <row r="10609" spans="1:8" x14ac:dyDescent="0.2">
      <c r="A10609">
        <v>328482</v>
      </c>
      <c r="B10609">
        <v>112500</v>
      </c>
      <c r="C10609" t="str">
        <f t="shared" si="165"/>
        <v>1. Under $10K</v>
      </c>
      <c r="D10609" t="s">
        <v>1057</v>
      </c>
      <c r="E10609" t="s">
        <v>42</v>
      </c>
      <c r="F10609" t="s">
        <v>670</v>
      </c>
      <c r="G10609" t="s">
        <v>44</v>
      </c>
      <c r="H10609">
        <v>2025</v>
      </c>
    </row>
    <row r="10610" spans="1:8" x14ac:dyDescent="0.2">
      <c r="A10610">
        <v>328483</v>
      </c>
      <c r="B10610">
        <v>273598</v>
      </c>
      <c r="C10610" t="str">
        <f t="shared" si="165"/>
        <v>3. $50K-250K</v>
      </c>
      <c r="D10610" t="s">
        <v>1058</v>
      </c>
      <c r="E10610" t="s">
        <v>42</v>
      </c>
      <c r="F10610" t="s">
        <v>670</v>
      </c>
      <c r="G10610" t="s">
        <v>44</v>
      </c>
      <c r="H10610">
        <v>2025</v>
      </c>
    </row>
    <row r="10611" spans="1:8" x14ac:dyDescent="0.2">
      <c r="A10611">
        <v>328680</v>
      </c>
      <c r="B10611">
        <v>851808</v>
      </c>
      <c r="C10611" t="str">
        <f t="shared" si="165"/>
        <v>4. $250K-1M</v>
      </c>
      <c r="D10611" t="s">
        <v>736</v>
      </c>
      <c r="E10611" t="s">
        <v>237</v>
      </c>
      <c r="F10611" t="s">
        <v>670</v>
      </c>
      <c r="G10611" t="s">
        <v>59</v>
      </c>
      <c r="H10611">
        <v>2025</v>
      </c>
    </row>
    <row r="10612" spans="1:8" x14ac:dyDescent="0.2">
      <c r="A10612">
        <v>328681</v>
      </c>
      <c r="B10612">
        <v>100000</v>
      </c>
      <c r="C10612" t="str">
        <f t="shared" si="165"/>
        <v>4. $250K-1M</v>
      </c>
      <c r="D10612" t="s">
        <v>1056</v>
      </c>
      <c r="E10612" t="s">
        <v>42</v>
      </c>
      <c r="F10612" t="s">
        <v>670</v>
      </c>
      <c r="G10612" t="s">
        <v>59</v>
      </c>
      <c r="H10612">
        <v>2025</v>
      </c>
    </row>
    <row r="10613" spans="1:8" x14ac:dyDescent="0.2">
      <c r="A10613">
        <v>328682</v>
      </c>
      <c r="B10613">
        <v>108000</v>
      </c>
      <c r="C10613" t="str">
        <f t="shared" si="165"/>
        <v>3. $50K-250K</v>
      </c>
      <c r="D10613" t="s">
        <v>832</v>
      </c>
      <c r="E10613" t="s">
        <v>237</v>
      </c>
      <c r="F10613" t="s">
        <v>670</v>
      </c>
      <c r="G10613" t="s">
        <v>59</v>
      </c>
      <c r="H10613">
        <v>2025</v>
      </c>
    </row>
    <row r="10614" spans="1:8" x14ac:dyDescent="0.2">
      <c r="A10614">
        <v>328683</v>
      </c>
      <c r="B10614">
        <v>1250480</v>
      </c>
      <c r="C10614" t="str">
        <f t="shared" si="165"/>
        <v>3. $50K-250K</v>
      </c>
      <c r="D10614" t="s">
        <v>709</v>
      </c>
      <c r="E10614" t="s">
        <v>237</v>
      </c>
      <c r="F10614" t="s">
        <v>670</v>
      </c>
      <c r="G10614" t="s">
        <v>59</v>
      </c>
      <c r="H10614">
        <v>2025</v>
      </c>
    </row>
    <row r="10615" spans="1:8" x14ac:dyDescent="0.2">
      <c r="A10615">
        <v>328722</v>
      </c>
      <c r="B10615">
        <v>254048</v>
      </c>
      <c r="C10615" t="str">
        <f t="shared" si="165"/>
        <v>5. $1M+</v>
      </c>
      <c r="D10615" t="s">
        <v>731</v>
      </c>
      <c r="E10615" t="s">
        <v>237</v>
      </c>
      <c r="F10615" t="s">
        <v>670</v>
      </c>
      <c r="G10615" t="s">
        <v>59</v>
      </c>
      <c r="H10615">
        <v>2025</v>
      </c>
    </row>
    <row r="10616" spans="1:8" x14ac:dyDescent="0.2">
      <c r="A10616">
        <v>328724</v>
      </c>
      <c r="B10616">
        <v>226800</v>
      </c>
      <c r="C10616" t="str">
        <f t="shared" si="165"/>
        <v>4. $250K-1M</v>
      </c>
      <c r="D10616" t="s">
        <v>832</v>
      </c>
      <c r="E10616" t="s">
        <v>237</v>
      </c>
      <c r="F10616" t="s">
        <v>670</v>
      </c>
      <c r="G10616" t="s">
        <v>59</v>
      </c>
      <c r="H10616">
        <v>2025</v>
      </c>
    </row>
    <row r="10617" spans="1:8" x14ac:dyDescent="0.2">
      <c r="A10617">
        <v>328725</v>
      </c>
      <c r="B10617">
        <v>1136800</v>
      </c>
      <c r="C10617" t="str">
        <f t="shared" si="165"/>
        <v>3. $50K-250K</v>
      </c>
      <c r="D10617" t="s">
        <v>736</v>
      </c>
      <c r="E10617" t="s">
        <v>237</v>
      </c>
      <c r="F10617" t="s">
        <v>670</v>
      </c>
      <c r="G10617" t="s">
        <v>59</v>
      </c>
      <c r="H10617">
        <v>2025</v>
      </c>
    </row>
    <row r="10618" spans="1:8" x14ac:dyDescent="0.2">
      <c r="A10618">
        <v>328726</v>
      </c>
      <c r="B10618">
        <v>795760</v>
      </c>
      <c r="C10618" t="str">
        <f t="shared" si="165"/>
        <v>5. $1M+</v>
      </c>
      <c r="D10618" t="s">
        <v>731</v>
      </c>
      <c r="E10618" t="s">
        <v>237</v>
      </c>
      <c r="F10618" t="s">
        <v>670</v>
      </c>
      <c r="G10618" t="s">
        <v>59</v>
      </c>
      <c r="H10618">
        <v>2025</v>
      </c>
    </row>
    <row r="10619" spans="1:8" x14ac:dyDescent="0.2">
      <c r="A10619">
        <v>328729</v>
      </c>
      <c r="B10619">
        <v>16347</v>
      </c>
      <c r="C10619" t="str">
        <f t="shared" si="165"/>
        <v>4. $250K-1M</v>
      </c>
      <c r="D10619" t="s">
        <v>688</v>
      </c>
      <c r="E10619" t="s">
        <v>42</v>
      </c>
      <c r="F10619" t="s">
        <v>670</v>
      </c>
      <c r="G10619" t="s">
        <v>59</v>
      </c>
      <c r="H10619">
        <v>2025</v>
      </c>
    </row>
    <row r="10620" spans="1:8" x14ac:dyDescent="0.2">
      <c r="A10620">
        <v>328730</v>
      </c>
      <c r="B10620">
        <v>90477</v>
      </c>
      <c r="C10620" t="str">
        <f t="shared" si="165"/>
        <v>2. $10K-50K</v>
      </c>
      <c r="D10620" t="s">
        <v>682</v>
      </c>
      <c r="E10620" t="s">
        <v>42</v>
      </c>
      <c r="F10620" t="s">
        <v>670</v>
      </c>
      <c r="G10620" t="s">
        <v>59</v>
      </c>
      <c r="H10620">
        <v>2025</v>
      </c>
    </row>
    <row r="10621" spans="1:8" x14ac:dyDescent="0.2">
      <c r="A10621">
        <v>328742</v>
      </c>
      <c r="B10621">
        <v>1345230</v>
      </c>
      <c r="C10621" t="str">
        <f t="shared" si="165"/>
        <v>3. $50K-250K</v>
      </c>
      <c r="D10621" t="s">
        <v>872</v>
      </c>
      <c r="E10621" t="s">
        <v>237</v>
      </c>
      <c r="F10621" t="s">
        <v>670</v>
      </c>
      <c r="G10621" t="s">
        <v>59</v>
      </c>
      <c r="H10621">
        <v>2025</v>
      </c>
    </row>
    <row r="10622" spans="1:8" x14ac:dyDescent="0.2">
      <c r="A10622">
        <v>32877</v>
      </c>
      <c r="B10622">
        <v>4220873.2</v>
      </c>
      <c r="C10622" t="str">
        <f t="shared" si="165"/>
        <v>5. $1M+</v>
      </c>
      <c r="D10622" t="s">
        <v>533</v>
      </c>
      <c r="E10622" t="s">
        <v>18</v>
      </c>
      <c r="F10622" t="s">
        <v>19</v>
      </c>
      <c r="G10622" t="s">
        <v>10</v>
      </c>
      <c r="H10622">
        <v>2025</v>
      </c>
    </row>
    <row r="10623" spans="1:8" x14ac:dyDescent="0.2">
      <c r="A10623">
        <v>328775</v>
      </c>
      <c r="B10623">
        <v>47408</v>
      </c>
      <c r="C10623" t="str">
        <f t="shared" si="165"/>
        <v>5. $1M+</v>
      </c>
      <c r="D10623" t="s">
        <v>673</v>
      </c>
      <c r="E10623" t="s">
        <v>42</v>
      </c>
      <c r="F10623" t="s">
        <v>670</v>
      </c>
      <c r="G10623" t="s">
        <v>59</v>
      </c>
      <c r="H10623">
        <v>2025</v>
      </c>
    </row>
    <row r="10624" spans="1:8" x14ac:dyDescent="0.2">
      <c r="A10624">
        <v>328776</v>
      </c>
      <c r="B10624">
        <v>126111</v>
      </c>
      <c r="C10624" t="str">
        <f t="shared" si="165"/>
        <v>2. $10K-50K</v>
      </c>
      <c r="D10624" t="s">
        <v>968</v>
      </c>
      <c r="E10624" t="s">
        <v>42</v>
      </c>
      <c r="F10624" t="s">
        <v>670</v>
      </c>
      <c r="G10624" t="s">
        <v>59</v>
      </c>
      <c r="H10624">
        <v>2025</v>
      </c>
    </row>
    <row r="10625" spans="1:8" x14ac:dyDescent="0.2">
      <c r="A10625">
        <v>328777</v>
      </c>
      <c r="B10625">
        <v>145833</v>
      </c>
      <c r="C10625" t="str">
        <f t="shared" si="165"/>
        <v>3. $50K-250K</v>
      </c>
      <c r="D10625" t="s">
        <v>669</v>
      </c>
      <c r="E10625" t="s">
        <v>42</v>
      </c>
      <c r="F10625" t="s">
        <v>670</v>
      </c>
      <c r="G10625" t="s">
        <v>59</v>
      </c>
      <c r="H10625">
        <v>2025</v>
      </c>
    </row>
    <row r="10626" spans="1:8" x14ac:dyDescent="0.2">
      <c r="A10626">
        <v>328877</v>
      </c>
      <c r="B10626">
        <v>75000</v>
      </c>
      <c r="C10626" t="str">
        <f t="shared" si="165"/>
        <v>3. $50K-250K</v>
      </c>
      <c r="D10626" t="s">
        <v>1718</v>
      </c>
      <c r="E10626" t="s">
        <v>112</v>
      </c>
      <c r="F10626" t="s">
        <v>668</v>
      </c>
      <c r="G10626" t="s">
        <v>59</v>
      </c>
      <c r="H10626">
        <v>2025</v>
      </c>
    </row>
    <row r="10627" spans="1:8" x14ac:dyDescent="0.2">
      <c r="A10627">
        <v>328900</v>
      </c>
      <c r="B10627">
        <v>1316304.6000000001</v>
      </c>
      <c r="C10627" t="str">
        <f t="shared" ref="C10627:C10690" si="166">IF(B10626&lt;10000,"1. Under $10K",IF(B10626&lt;50000,"2. $10K-50K",IF(B10626&lt;250000,"3. $50K-250K",IF(B10626&lt;1000000,"4. $250K-1M","5. $1M+"))))</f>
        <v>3. $50K-250K</v>
      </c>
      <c r="D10627" t="s">
        <v>1531</v>
      </c>
      <c r="E10627" t="s">
        <v>368</v>
      </c>
      <c r="F10627" t="s">
        <v>668</v>
      </c>
      <c r="G10627" t="s">
        <v>59</v>
      </c>
      <c r="H10627">
        <v>2025</v>
      </c>
    </row>
    <row r="10628" spans="1:8" x14ac:dyDescent="0.2">
      <c r="A10628">
        <v>328908</v>
      </c>
      <c r="B10628">
        <v>6000</v>
      </c>
      <c r="C10628" t="str">
        <f t="shared" si="166"/>
        <v>5. $1M+</v>
      </c>
      <c r="D10628" t="s">
        <v>2668</v>
      </c>
      <c r="E10628" t="s">
        <v>112</v>
      </c>
      <c r="F10628" t="s">
        <v>668</v>
      </c>
      <c r="G10628" t="s">
        <v>59</v>
      </c>
      <c r="H10628">
        <v>2025</v>
      </c>
    </row>
    <row r="10629" spans="1:8" x14ac:dyDescent="0.2">
      <c r="A10629">
        <v>328917</v>
      </c>
      <c r="B10629">
        <v>6000</v>
      </c>
      <c r="C10629" t="str">
        <f t="shared" si="166"/>
        <v>1. Under $10K</v>
      </c>
      <c r="D10629" t="s">
        <v>2669</v>
      </c>
      <c r="E10629" t="s">
        <v>112</v>
      </c>
      <c r="F10629" t="s">
        <v>668</v>
      </c>
      <c r="G10629" t="s">
        <v>59</v>
      </c>
      <c r="H10629">
        <v>2025</v>
      </c>
    </row>
    <row r="10630" spans="1:8" x14ac:dyDescent="0.2">
      <c r="A10630">
        <v>328926</v>
      </c>
      <c r="B10630">
        <v>6000</v>
      </c>
      <c r="C10630" t="str">
        <f t="shared" si="166"/>
        <v>1. Under $10K</v>
      </c>
      <c r="D10630" t="s">
        <v>2670</v>
      </c>
      <c r="E10630" t="s">
        <v>112</v>
      </c>
      <c r="F10630" t="s">
        <v>668</v>
      </c>
      <c r="G10630" t="s">
        <v>59</v>
      </c>
      <c r="H10630">
        <v>2025</v>
      </c>
    </row>
    <row r="10631" spans="1:8" x14ac:dyDescent="0.2">
      <c r="A10631">
        <v>328928</v>
      </c>
      <c r="B10631">
        <v>6000</v>
      </c>
      <c r="C10631" t="str">
        <f t="shared" si="166"/>
        <v>1. Under $10K</v>
      </c>
      <c r="D10631" t="s">
        <v>2671</v>
      </c>
      <c r="E10631" t="s">
        <v>112</v>
      </c>
      <c r="F10631" t="s">
        <v>668</v>
      </c>
      <c r="G10631" t="s">
        <v>59</v>
      </c>
      <c r="H10631">
        <v>2025</v>
      </c>
    </row>
    <row r="10632" spans="1:8" x14ac:dyDescent="0.2">
      <c r="A10632">
        <v>328936</v>
      </c>
      <c r="B10632">
        <v>3500</v>
      </c>
      <c r="C10632" t="str">
        <f t="shared" si="166"/>
        <v>1. Under $10K</v>
      </c>
      <c r="D10632" t="s">
        <v>2672</v>
      </c>
      <c r="E10632" t="s">
        <v>112</v>
      </c>
      <c r="F10632" t="s">
        <v>668</v>
      </c>
      <c r="G10632" t="s">
        <v>59</v>
      </c>
      <c r="H10632">
        <v>2025</v>
      </c>
    </row>
    <row r="10633" spans="1:8" x14ac:dyDescent="0.2">
      <c r="A10633">
        <v>328940</v>
      </c>
      <c r="B10633">
        <v>1000</v>
      </c>
      <c r="C10633" t="str">
        <f t="shared" si="166"/>
        <v>1. Under $10K</v>
      </c>
      <c r="D10633" t="s">
        <v>2673</v>
      </c>
      <c r="E10633" t="s">
        <v>112</v>
      </c>
      <c r="F10633" t="s">
        <v>668</v>
      </c>
      <c r="G10633" t="s">
        <v>59</v>
      </c>
      <c r="H10633">
        <v>2025</v>
      </c>
    </row>
    <row r="10634" spans="1:8" x14ac:dyDescent="0.2">
      <c r="A10634">
        <v>328945</v>
      </c>
      <c r="B10634">
        <v>5000</v>
      </c>
      <c r="C10634" t="str">
        <f t="shared" si="166"/>
        <v>1. Under $10K</v>
      </c>
      <c r="D10634" t="s">
        <v>2674</v>
      </c>
      <c r="E10634" t="s">
        <v>112</v>
      </c>
      <c r="F10634" t="s">
        <v>668</v>
      </c>
      <c r="G10634" t="s">
        <v>59</v>
      </c>
      <c r="H10634">
        <v>2025</v>
      </c>
    </row>
    <row r="10635" spans="1:8" x14ac:dyDescent="0.2">
      <c r="A10635">
        <v>328967</v>
      </c>
      <c r="B10635">
        <v>6000</v>
      </c>
      <c r="C10635" t="str">
        <f t="shared" si="166"/>
        <v>1. Under $10K</v>
      </c>
      <c r="D10635" t="s">
        <v>2675</v>
      </c>
      <c r="E10635" t="s">
        <v>112</v>
      </c>
      <c r="F10635" t="s">
        <v>668</v>
      </c>
      <c r="G10635" t="s">
        <v>59</v>
      </c>
      <c r="H10635">
        <v>2025</v>
      </c>
    </row>
    <row r="10636" spans="1:8" x14ac:dyDescent="0.2">
      <c r="A10636">
        <v>328968</v>
      </c>
      <c r="B10636">
        <v>6000</v>
      </c>
      <c r="C10636" t="str">
        <f t="shared" si="166"/>
        <v>1. Under $10K</v>
      </c>
      <c r="D10636" t="s">
        <v>2676</v>
      </c>
      <c r="E10636" t="s">
        <v>112</v>
      </c>
      <c r="F10636" t="s">
        <v>668</v>
      </c>
      <c r="G10636" t="s">
        <v>59</v>
      </c>
      <c r="H10636">
        <v>2025</v>
      </c>
    </row>
    <row r="10637" spans="1:8" x14ac:dyDescent="0.2">
      <c r="A10637">
        <v>328970</v>
      </c>
      <c r="B10637">
        <v>3250</v>
      </c>
      <c r="C10637" t="str">
        <f t="shared" si="166"/>
        <v>1. Under $10K</v>
      </c>
      <c r="D10637" t="s">
        <v>2677</v>
      </c>
      <c r="E10637" t="s">
        <v>112</v>
      </c>
      <c r="F10637" t="s">
        <v>668</v>
      </c>
      <c r="G10637" t="s">
        <v>59</v>
      </c>
      <c r="H10637">
        <v>2025</v>
      </c>
    </row>
    <row r="10638" spans="1:8" x14ac:dyDescent="0.2">
      <c r="A10638">
        <v>328972</v>
      </c>
      <c r="B10638">
        <v>6000</v>
      </c>
      <c r="C10638" t="str">
        <f t="shared" si="166"/>
        <v>1. Under $10K</v>
      </c>
      <c r="D10638" t="s">
        <v>2678</v>
      </c>
      <c r="E10638" t="s">
        <v>112</v>
      </c>
      <c r="F10638" t="s">
        <v>668</v>
      </c>
      <c r="G10638" t="s">
        <v>59</v>
      </c>
      <c r="H10638">
        <v>2025</v>
      </c>
    </row>
    <row r="10639" spans="1:8" x14ac:dyDescent="0.2">
      <c r="A10639">
        <v>328974</v>
      </c>
      <c r="B10639">
        <v>3500</v>
      </c>
      <c r="C10639" t="str">
        <f t="shared" si="166"/>
        <v>1. Under $10K</v>
      </c>
      <c r="D10639" t="s">
        <v>2679</v>
      </c>
      <c r="E10639" t="s">
        <v>112</v>
      </c>
      <c r="F10639" t="s">
        <v>668</v>
      </c>
      <c r="G10639" t="s">
        <v>59</v>
      </c>
      <c r="H10639">
        <v>2025</v>
      </c>
    </row>
    <row r="10640" spans="1:8" x14ac:dyDescent="0.2">
      <c r="A10640">
        <v>32900</v>
      </c>
      <c r="B10640">
        <v>4354133.4000000004</v>
      </c>
      <c r="C10640" t="str">
        <f t="shared" si="166"/>
        <v>1. Under $10K</v>
      </c>
      <c r="D10640" t="s">
        <v>95</v>
      </c>
      <c r="E10640" t="s">
        <v>65</v>
      </c>
      <c r="F10640" t="s">
        <v>12</v>
      </c>
      <c r="G10640" t="s">
        <v>10</v>
      </c>
      <c r="H10640">
        <v>2023</v>
      </c>
    </row>
    <row r="10641" spans="1:8" x14ac:dyDescent="0.2">
      <c r="A10641">
        <v>329003</v>
      </c>
      <c r="B10641">
        <v>75000</v>
      </c>
      <c r="C10641" t="str">
        <f t="shared" si="166"/>
        <v>5. $1M+</v>
      </c>
      <c r="D10641" t="s">
        <v>1473</v>
      </c>
      <c r="E10641" t="s">
        <v>42</v>
      </c>
      <c r="F10641" t="s">
        <v>670</v>
      </c>
      <c r="G10641" t="s">
        <v>59</v>
      </c>
      <c r="H10641">
        <v>2025</v>
      </c>
    </row>
    <row r="10642" spans="1:8" x14ac:dyDescent="0.2">
      <c r="A10642">
        <v>329004</v>
      </c>
      <c r="B10642">
        <v>200000</v>
      </c>
      <c r="C10642" t="str">
        <f t="shared" si="166"/>
        <v>3. $50K-250K</v>
      </c>
      <c r="D10642" t="s">
        <v>1473</v>
      </c>
      <c r="E10642" t="s">
        <v>42</v>
      </c>
      <c r="F10642" t="s">
        <v>670</v>
      </c>
      <c r="G10642" t="s">
        <v>59</v>
      </c>
      <c r="H10642">
        <v>2025</v>
      </c>
    </row>
    <row r="10643" spans="1:8" x14ac:dyDescent="0.2">
      <c r="A10643">
        <v>329018</v>
      </c>
      <c r="B10643">
        <v>28333</v>
      </c>
      <c r="C10643" t="str">
        <f t="shared" si="166"/>
        <v>3. $50K-250K</v>
      </c>
      <c r="D10643" t="s">
        <v>726</v>
      </c>
      <c r="E10643" t="s">
        <v>237</v>
      </c>
      <c r="F10643" t="s">
        <v>670</v>
      </c>
      <c r="G10643" t="s">
        <v>59</v>
      </c>
      <c r="H10643">
        <v>2025</v>
      </c>
    </row>
    <row r="10644" spans="1:8" x14ac:dyDescent="0.2">
      <c r="A10644">
        <v>329021</v>
      </c>
      <c r="B10644">
        <v>268992</v>
      </c>
      <c r="C10644" t="str">
        <f t="shared" si="166"/>
        <v>2. $10K-50K</v>
      </c>
      <c r="D10644" t="s">
        <v>719</v>
      </c>
      <c r="E10644" t="s">
        <v>237</v>
      </c>
      <c r="F10644" t="s">
        <v>670</v>
      </c>
      <c r="G10644" t="s">
        <v>59</v>
      </c>
      <c r="H10644">
        <v>2025</v>
      </c>
    </row>
    <row r="10645" spans="1:8" x14ac:dyDescent="0.2">
      <c r="A10645">
        <v>32909</v>
      </c>
      <c r="B10645">
        <v>838783.5</v>
      </c>
      <c r="C10645" t="str">
        <f t="shared" si="166"/>
        <v>4. $250K-1M</v>
      </c>
      <c r="D10645" t="s">
        <v>451</v>
      </c>
      <c r="E10645" t="s">
        <v>69</v>
      </c>
      <c r="F10645" t="s">
        <v>12</v>
      </c>
      <c r="G10645" t="s">
        <v>10</v>
      </c>
      <c r="H10645">
        <v>2023</v>
      </c>
    </row>
    <row r="10646" spans="1:8" x14ac:dyDescent="0.2">
      <c r="A10646">
        <v>329094</v>
      </c>
      <c r="B10646">
        <v>5300000</v>
      </c>
      <c r="C10646" t="str">
        <f t="shared" si="166"/>
        <v>4. $250K-1M</v>
      </c>
      <c r="D10646" t="s">
        <v>774</v>
      </c>
      <c r="E10646" t="s">
        <v>99</v>
      </c>
      <c r="F10646" t="s">
        <v>668</v>
      </c>
      <c r="G10646" t="s">
        <v>59</v>
      </c>
      <c r="H10646">
        <v>2025</v>
      </c>
    </row>
    <row r="10647" spans="1:8" x14ac:dyDescent="0.2">
      <c r="A10647">
        <v>329137</v>
      </c>
      <c r="B10647">
        <v>3000000</v>
      </c>
      <c r="C10647" t="str">
        <f t="shared" si="166"/>
        <v>5. $1M+</v>
      </c>
      <c r="D10647" t="s">
        <v>2680</v>
      </c>
      <c r="E10647" t="s">
        <v>99</v>
      </c>
      <c r="F10647" t="s">
        <v>668</v>
      </c>
      <c r="G10647" t="s">
        <v>59</v>
      </c>
      <c r="H10647">
        <v>2025</v>
      </c>
    </row>
    <row r="10648" spans="1:8" x14ac:dyDescent="0.2">
      <c r="A10648">
        <v>329142</v>
      </c>
      <c r="B10648">
        <v>6000</v>
      </c>
      <c r="C10648" t="str">
        <f t="shared" si="166"/>
        <v>5. $1M+</v>
      </c>
      <c r="D10648" t="s">
        <v>2681</v>
      </c>
      <c r="E10648" t="s">
        <v>112</v>
      </c>
      <c r="F10648" t="s">
        <v>668</v>
      </c>
      <c r="G10648" t="s">
        <v>59</v>
      </c>
      <c r="H10648">
        <v>2025</v>
      </c>
    </row>
    <row r="10649" spans="1:8" x14ac:dyDescent="0.2">
      <c r="A10649">
        <v>329143</v>
      </c>
      <c r="B10649">
        <v>6000</v>
      </c>
      <c r="C10649" t="str">
        <f t="shared" si="166"/>
        <v>1. Under $10K</v>
      </c>
      <c r="D10649" t="s">
        <v>1926</v>
      </c>
      <c r="E10649" t="s">
        <v>112</v>
      </c>
      <c r="F10649" t="s">
        <v>668</v>
      </c>
      <c r="G10649" t="s">
        <v>59</v>
      </c>
      <c r="H10649">
        <v>2025</v>
      </c>
    </row>
    <row r="10650" spans="1:8" x14ac:dyDescent="0.2">
      <c r="A10650">
        <v>329147</v>
      </c>
      <c r="B10650">
        <v>300000</v>
      </c>
      <c r="C10650" t="str">
        <f t="shared" si="166"/>
        <v>1. Under $10K</v>
      </c>
      <c r="D10650" t="s">
        <v>778</v>
      </c>
      <c r="E10650" t="s">
        <v>99</v>
      </c>
      <c r="F10650" t="s">
        <v>668</v>
      </c>
      <c r="G10650" t="s">
        <v>59</v>
      </c>
      <c r="H10650">
        <v>2025</v>
      </c>
    </row>
    <row r="10651" spans="1:8" x14ac:dyDescent="0.2">
      <c r="A10651">
        <v>329150</v>
      </c>
      <c r="B10651">
        <v>6000</v>
      </c>
      <c r="C10651" t="str">
        <f t="shared" si="166"/>
        <v>4. $250K-1M</v>
      </c>
      <c r="D10651" t="s">
        <v>2682</v>
      </c>
      <c r="E10651" t="s">
        <v>112</v>
      </c>
      <c r="F10651" t="s">
        <v>668</v>
      </c>
      <c r="G10651" t="s">
        <v>59</v>
      </c>
      <c r="H10651">
        <v>2025</v>
      </c>
    </row>
    <row r="10652" spans="1:8" x14ac:dyDescent="0.2">
      <c r="A10652">
        <v>329158</v>
      </c>
      <c r="B10652">
        <v>275000</v>
      </c>
      <c r="C10652" t="str">
        <f t="shared" si="166"/>
        <v>1. Under $10K</v>
      </c>
      <c r="D10652" t="s">
        <v>804</v>
      </c>
      <c r="E10652" t="s">
        <v>42</v>
      </c>
      <c r="F10652" t="s">
        <v>670</v>
      </c>
      <c r="G10652" t="s">
        <v>44</v>
      </c>
      <c r="H10652">
        <v>2025</v>
      </c>
    </row>
    <row r="10653" spans="1:8" x14ac:dyDescent="0.2">
      <c r="A10653">
        <v>32916</v>
      </c>
      <c r="B10653">
        <v>15421430.4</v>
      </c>
      <c r="C10653" t="str">
        <f t="shared" si="166"/>
        <v>4. $250K-1M</v>
      </c>
      <c r="D10653" t="s">
        <v>534</v>
      </c>
      <c r="E10653" t="s">
        <v>18</v>
      </c>
      <c r="F10653" t="s">
        <v>19</v>
      </c>
      <c r="G10653" t="s">
        <v>10</v>
      </c>
      <c r="H10653">
        <v>2024</v>
      </c>
    </row>
    <row r="10654" spans="1:8" x14ac:dyDescent="0.2">
      <c r="A10654">
        <v>329215</v>
      </c>
      <c r="B10654">
        <v>275000</v>
      </c>
      <c r="C10654" t="str">
        <f t="shared" si="166"/>
        <v>5. $1M+</v>
      </c>
      <c r="D10654" t="s">
        <v>804</v>
      </c>
      <c r="E10654" t="s">
        <v>42</v>
      </c>
      <c r="F10654" t="s">
        <v>670</v>
      </c>
      <c r="G10654" t="s">
        <v>59</v>
      </c>
      <c r="H10654">
        <v>2025</v>
      </c>
    </row>
    <row r="10655" spans="1:8" x14ac:dyDescent="0.2">
      <c r="A10655">
        <v>329217</v>
      </c>
      <c r="B10655">
        <v>6000</v>
      </c>
      <c r="C10655" t="str">
        <f t="shared" si="166"/>
        <v>4. $250K-1M</v>
      </c>
      <c r="D10655" t="s">
        <v>2683</v>
      </c>
      <c r="E10655" t="s">
        <v>112</v>
      </c>
      <c r="F10655" t="s">
        <v>668</v>
      </c>
      <c r="G10655" t="s">
        <v>59</v>
      </c>
      <c r="H10655">
        <v>2025</v>
      </c>
    </row>
    <row r="10656" spans="1:8" x14ac:dyDescent="0.2">
      <c r="A10656">
        <v>329220</v>
      </c>
      <c r="B10656">
        <v>840000</v>
      </c>
      <c r="C10656" t="str">
        <f t="shared" si="166"/>
        <v>1. Under $10K</v>
      </c>
      <c r="D10656" t="s">
        <v>1217</v>
      </c>
      <c r="E10656" t="s">
        <v>237</v>
      </c>
      <c r="F10656" t="s">
        <v>670</v>
      </c>
      <c r="G10656" t="s">
        <v>59</v>
      </c>
      <c r="H10656">
        <v>2025</v>
      </c>
    </row>
    <row r="10657" spans="1:8" x14ac:dyDescent="0.2">
      <c r="A10657">
        <v>329221</v>
      </c>
      <c r="B10657">
        <v>4000</v>
      </c>
      <c r="C10657" t="str">
        <f t="shared" si="166"/>
        <v>4. $250K-1M</v>
      </c>
      <c r="D10657" t="s">
        <v>2684</v>
      </c>
      <c r="E10657" t="s">
        <v>112</v>
      </c>
      <c r="F10657" t="s">
        <v>668</v>
      </c>
      <c r="G10657" t="s">
        <v>59</v>
      </c>
      <c r="H10657">
        <v>2025</v>
      </c>
    </row>
    <row r="10658" spans="1:8" x14ac:dyDescent="0.2">
      <c r="A10658">
        <v>329223</v>
      </c>
      <c r="B10658">
        <v>6000</v>
      </c>
      <c r="C10658" t="str">
        <f t="shared" si="166"/>
        <v>1. Under $10K</v>
      </c>
      <c r="D10658" t="s">
        <v>2685</v>
      </c>
      <c r="E10658" t="s">
        <v>112</v>
      </c>
      <c r="F10658" t="s">
        <v>668</v>
      </c>
      <c r="G10658" t="s">
        <v>59</v>
      </c>
      <c r="H10658">
        <v>2025</v>
      </c>
    </row>
    <row r="10659" spans="1:8" x14ac:dyDescent="0.2">
      <c r="A10659">
        <v>329227</v>
      </c>
      <c r="B10659">
        <v>840000</v>
      </c>
      <c r="C10659" t="str">
        <f t="shared" si="166"/>
        <v>1. Under $10K</v>
      </c>
      <c r="D10659" t="s">
        <v>1215</v>
      </c>
      <c r="E10659" t="s">
        <v>237</v>
      </c>
      <c r="F10659" t="s">
        <v>670</v>
      </c>
      <c r="G10659" t="s">
        <v>44</v>
      </c>
      <c r="H10659">
        <v>2025</v>
      </c>
    </row>
    <row r="10660" spans="1:8" x14ac:dyDescent="0.2">
      <c r="A10660">
        <v>329228</v>
      </c>
      <c r="B10660">
        <v>450000</v>
      </c>
      <c r="C10660" t="str">
        <f t="shared" si="166"/>
        <v>4. $250K-1M</v>
      </c>
      <c r="D10660" t="s">
        <v>827</v>
      </c>
      <c r="E10660" t="s">
        <v>99</v>
      </c>
      <c r="F10660" t="s">
        <v>668</v>
      </c>
      <c r="G10660" t="s">
        <v>59</v>
      </c>
      <c r="H10660">
        <v>2025</v>
      </c>
    </row>
    <row r="10661" spans="1:8" x14ac:dyDescent="0.2">
      <c r="A10661">
        <v>329233</v>
      </c>
      <c r="B10661">
        <v>840000</v>
      </c>
      <c r="C10661" t="str">
        <f t="shared" si="166"/>
        <v>4. $250K-1M</v>
      </c>
      <c r="D10661" t="s">
        <v>954</v>
      </c>
      <c r="E10661" t="s">
        <v>237</v>
      </c>
      <c r="F10661" t="s">
        <v>670</v>
      </c>
      <c r="G10661" t="s">
        <v>59</v>
      </c>
      <c r="H10661">
        <v>2025</v>
      </c>
    </row>
    <row r="10662" spans="1:8" x14ac:dyDescent="0.2">
      <c r="A10662">
        <v>329234</v>
      </c>
      <c r="B10662">
        <v>70188.7</v>
      </c>
      <c r="C10662" t="str">
        <f t="shared" si="166"/>
        <v>4. $250K-1M</v>
      </c>
      <c r="D10662" t="s">
        <v>1578</v>
      </c>
      <c r="E10662" t="s">
        <v>99</v>
      </c>
      <c r="F10662" t="s">
        <v>668</v>
      </c>
      <c r="G10662" t="s">
        <v>59</v>
      </c>
      <c r="H10662">
        <v>2025</v>
      </c>
    </row>
    <row r="10663" spans="1:8" x14ac:dyDescent="0.2">
      <c r="A10663">
        <v>329239</v>
      </c>
      <c r="B10663">
        <v>250000</v>
      </c>
      <c r="C10663" t="str">
        <f t="shared" si="166"/>
        <v>3. $50K-250K</v>
      </c>
      <c r="D10663" t="s">
        <v>2686</v>
      </c>
      <c r="E10663" t="s">
        <v>99</v>
      </c>
      <c r="F10663" t="s">
        <v>668</v>
      </c>
      <c r="G10663" t="s">
        <v>59</v>
      </c>
      <c r="H10663">
        <v>2025</v>
      </c>
    </row>
    <row r="10664" spans="1:8" x14ac:dyDescent="0.2">
      <c r="A10664">
        <v>329240</v>
      </c>
      <c r="B10664">
        <v>7100000</v>
      </c>
      <c r="C10664" t="str">
        <f t="shared" si="166"/>
        <v>4. $250K-1M</v>
      </c>
      <c r="D10664" t="s">
        <v>778</v>
      </c>
      <c r="E10664" t="s">
        <v>99</v>
      </c>
      <c r="F10664" t="s">
        <v>668</v>
      </c>
      <c r="G10664" t="s">
        <v>59</v>
      </c>
      <c r="H10664">
        <v>2025</v>
      </c>
    </row>
    <row r="10665" spans="1:8" x14ac:dyDescent="0.2">
      <c r="A10665">
        <v>329241</v>
      </c>
      <c r="B10665">
        <v>3000000</v>
      </c>
      <c r="C10665" t="str">
        <f t="shared" si="166"/>
        <v>5. $1M+</v>
      </c>
      <c r="D10665" t="s">
        <v>2687</v>
      </c>
      <c r="E10665" t="s">
        <v>99</v>
      </c>
      <c r="F10665" t="s">
        <v>668</v>
      </c>
      <c r="G10665" t="s">
        <v>59</v>
      </c>
      <c r="H10665">
        <v>2025</v>
      </c>
    </row>
    <row r="10666" spans="1:8" x14ac:dyDescent="0.2">
      <c r="A10666">
        <v>329242</v>
      </c>
      <c r="B10666">
        <v>3000000</v>
      </c>
      <c r="C10666" t="str">
        <f t="shared" si="166"/>
        <v>5. $1M+</v>
      </c>
      <c r="D10666" t="s">
        <v>2688</v>
      </c>
      <c r="E10666" t="s">
        <v>99</v>
      </c>
      <c r="F10666" t="s">
        <v>668</v>
      </c>
      <c r="G10666" t="s">
        <v>59</v>
      </c>
      <c r="H10666">
        <v>2025</v>
      </c>
    </row>
    <row r="10667" spans="1:8" x14ac:dyDescent="0.2">
      <c r="A10667">
        <v>329244</v>
      </c>
      <c r="B10667">
        <v>3000000</v>
      </c>
      <c r="C10667" t="str">
        <f t="shared" si="166"/>
        <v>5. $1M+</v>
      </c>
      <c r="D10667" t="s">
        <v>2689</v>
      </c>
      <c r="E10667" t="s">
        <v>99</v>
      </c>
      <c r="F10667" t="s">
        <v>668</v>
      </c>
      <c r="G10667" t="s">
        <v>59</v>
      </c>
      <c r="H10667">
        <v>2025</v>
      </c>
    </row>
    <row r="10668" spans="1:8" x14ac:dyDescent="0.2">
      <c r="A10668">
        <v>329283</v>
      </c>
      <c r="B10668">
        <v>3000000</v>
      </c>
      <c r="C10668" t="str">
        <f t="shared" si="166"/>
        <v>5. $1M+</v>
      </c>
      <c r="D10668" t="s">
        <v>2271</v>
      </c>
      <c r="E10668" t="s">
        <v>99</v>
      </c>
      <c r="F10668" t="s">
        <v>668</v>
      </c>
      <c r="G10668" t="s">
        <v>59</v>
      </c>
      <c r="H10668">
        <v>2025</v>
      </c>
    </row>
    <row r="10669" spans="1:8" x14ac:dyDescent="0.2">
      <c r="A10669">
        <v>329285</v>
      </c>
      <c r="B10669">
        <v>3000000</v>
      </c>
      <c r="C10669" t="str">
        <f t="shared" si="166"/>
        <v>5. $1M+</v>
      </c>
      <c r="D10669" t="s">
        <v>1751</v>
      </c>
      <c r="E10669" t="s">
        <v>99</v>
      </c>
      <c r="F10669" t="s">
        <v>668</v>
      </c>
      <c r="G10669" t="s">
        <v>59</v>
      </c>
      <c r="H10669">
        <v>2025</v>
      </c>
    </row>
    <row r="10670" spans="1:8" x14ac:dyDescent="0.2">
      <c r="A10670">
        <v>329291</v>
      </c>
      <c r="B10670">
        <v>34350</v>
      </c>
      <c r="C10670" t="str">
        <f t="shared" si="166"/>
        <v>5. $1M+</v>
      </c>
      <c r="D10670" t="s">
        <v>1754</v>
      </c>
      <c r="E10670" t="s">
        <v>99</v>
      </c>
      <c r="F10670" t="s">
        <v>668</v>
      </c>
      <c r="G10670" t="s">
        <v>59</v>
      </c>
      <c r="H10670">
        <v>2025</v>
      </c>
    </row>
    <row r="10671" spans="1:8" x14ac:dyDescent="0.2">
      <c r="A10671">
        <v>329296</v>
      </c>
      <c r="B10671">
        <v>3000000</v>
      </c>
      <c r="C10671" t="str">
        <f t="shared" si="166"/>
        <v>2. $10K-50K</v>
      </c>
      <c r="D10671" t="s">
        <v>2272</v>
      </c>
      <c r="E10671" t="s">
        <v>99</v>
      </c>
      <c r="F10671" t="s">
        <v>668</v>
      </c>
      <c r="G10671" t="s">
        <v>59</v>
      </c>
      <c r="H10671">
        <v>2025</v>
      </c>
    </row>
    <row r="10672" spans="1:8" x14ac:dyDescent="0.2">
      <c r="A10672">
        <v>329302</v>
      </c>
      <c r="B10672">
        <v>150000</v>
      </c>
      <c r="C10672" t="str">
        <f t="shared" si="166"/>
        <v>5. $1M+</v>
      </c>
      <c r="D10672" t="s">
        <v>774</v>
      </c>
      <c r="E10672" t="s">
        <v>112</v>
      </c>
      <c r="F10672" t="s">
        <v>668</v>
      </c>
      <c r="G10672" t="s">
        <v>59</v>
      </c>
      <c r="H10672">
        <v>2025</v>
      </c>
    </row>
    <row r="10673" spans="1:8" x14ac:dyDescent="0.2">
      <c r="A10673">
        <v>329303</v>
      </c>
      <c r="B10673">
        <v>250000</v>
      </c>
      <c r="C10673" t="str">
        <f t="shared" si="166"/>
        <v>3. $50K-250K</v>
      </c>
      <c r="D10673" t="s">
        <v>2690</v>
      </c>
      <c r="E10673" t="s">
        <v>99</v>
      </c>
      <c r="F10673" t="s">
        <v>668</v>
      </c>
      <c r="G10673" t="s">
        <v>59</v>
      </c>
      <c r="H10673">
        <v>2025</v>
      </c>
    </row>
    <row r="10674" spans="1:8" x14ac:dyDescent="0.2">
      <c r="A10674">
        <v>329304</v>
      </c>
      <c r="B10674">
        <v>6000</v>
      </c>
      <c r="C10674" t="str">
        <f t="shared" si="166"/>
        <v>4. $250K-1M</v>
      </c>
      <c r="D10674" t="s">
        <v>2691</v>
      </c>
      <c r="E10674" t="s">
        <v>112</v>
      </c>
      <c r="F10674" t="s">
        <v>668</v>
      </c>
      <c r="G10674" t="s">
        <v>59</v>
      </c>
      <c r="H10674">
        <v>2025</v>
      </c>
    </row>
    <row r="10675" spans="1:8" x14ac:dyDescent="0.2">
      <c r="A10675">
        <v>32931</v>
      </c>
      <c r="B10675">
        <v>2482159</v>
      </c>
      <c r="C10675" t="str">
        <f t="shared" si="166"/>
        <v>1. Under $10K</v>
      </c>
      <c r="D10675" t="s">
        <v>1500</v>
      </c>
      <c r="E10675" t="s">
        <v>28</v>
      </c>
      <c r="F10675" t="s">
        <v>668</v>
      </c>
      <c r="G10675" t="s">
        <v>59</v>
      </c>
      <c r="H10675">
        <v>2025</v>
      </c>
    </row>
    <row r="10676" spans="1:8" x14ac:dyDescent="0.2">
      <c r="A10676">
        <v>329389</v>
      </c>
      <c r="B10676">
        <v>2060000</v>
      </c>
      <c r="C10676" t="str">
        <f t="shared" si="166"/>
        <v>5. $1M+</v>
      </c>
      <c r="D10676" t="s">
        <v>669</v>
      </c>
      <c r="E10676" t="s">
        <v>59</v>
      </c>
      <c r="F10676" t="s">
        <v>670</v>
      </c>
      <c r="G10676" t="s">
        <v>59</v>
      </c>
      <c r="H10676">
        <v>2025</v>
      </c>
    </row>
    <row r="10677" spans="1:8" x14ac:dyDescent="0.2">
      <c r="A10677">
        <v>329390</v>
      </c>
      <c r="B10677">
        <v>180000</v>
      </c>
      <c r="C10677" t="str">
        <f t="shared" si="166"/>
        <v>5. $1M+</v>
      </c>
      <c r="D10677" t="s">
        <v>684</v>
      </c>
      <c r="E10677" t="s">
        <v>42</v>
      </c>
      <c r="F10677" t="s">
        <v>670</v>
      </c>
      <c r="G10677" t="s">
        <v>44</v>
      </c>
      <c r="H10677">
        <v>2025</v>
      </c>
    </row>
    <row r="10678" spans="1:8" x14ac:dyDescent="0.2">
      <c r="A10678">
        <v>329391</v>
      </c>
      <c r="B10678">
        <v>278742</v>
      </c>
      <c r="C10678" t="str">
        <f t="shared" si="166"/>
        <v>3. $50K-250K</v>
      </c>
      <c r="D10678" t="s">
        <v>680</v>
      </c>
      <c r="E10678" t="s">
        <v>42</v>
      </c>
      <c r="F10678" t="s">
        <v>670</v>
      </c>
      <c r="G10678" t="s">
        <v>44</v>
      </c>
      <c r="H10678">
        <v>2025</v>
      </c>
    </row>
    <row r="10679" spans="1:8" x14ac:dyDescent="0.2">
      <c r="A10679">
        <v>329392</v>
      </c>
      <c r="B10679">
        <v>305060</v>
      </c>
      <c r="C10679" t="str">
        <f t="shared" si="166"/>
        <v>4. $250K-1M</v>
      </c>
      <c r="D10679" t="s">
        <v>674</v>
      </c>
      <c r="E10679" t="s">
        <v>42</v>
      </c>
      <c r="F10679" t="s">
        <v>670</v>
      </c>
      <c r="G10679" t="s">
        <v>44</v>
      </c>
      <c r="H10679">
        <v>2025</v>
      </c>
    </row>
    <row r="10680" spans="1:8" x14ac:dyDescent="0.2">
      <c r="A10680">
        <v>329393</v>
      </c>
      <c r="B10680">
        <v>2330048.7000000002</v>
      </c>
      <c r="C10680" t="str">
        <f t="shared" si="166"/>
        <v>4. $250K-1M</v>
      </c>
      <c r="D10680" t="s">
        <v>683</v>
      </c>
      <c r="E10680" t="s">
        <v>42</v>
      </c>
      <c r="F10680" t="s">
        <v>670</v>
      </c>
      <c r="G10680" t="s">
        <v>44</v>
      </c>
      <c r="H10680">
        <v>2025</v>
      </c>
    </row>
    <row r="10681" spans="1:8" x14ac:dyDescent="0.2">
      <c r="A10681">
        <v>329395</v>
      </c>
      <c r="B10681">
        <v>14000000</v>
      </c>
      <c r="C10681" t="str">
        <f t="shared" si="166"/>
        <v>5. $1M+</v>
      </c>
      <c r="D10681" t="s">
        <v>681</v>
      </c>
      <c r="E10681" t="s">
        <v>42</v>
      </c>
      <c r="F10681" t="s">
        <v>670</v>
      </c>
      <c r="G10681" t="s">
        <v>44</v>
      </c>
      <c r="H10681">
        <v>2025</v>
      </c>
    </row>
    <row r="10682" spans="1:8" x14ac:dyDescent="0.2">
      <c r="A10682">
        <v>329396</v>
      </c>
      <c r="B10682">
        <v>533000</v>
      </c>
      <c r="C10682" t="str">
        <f t="shared" si="166"/>
        <v>5. $1M+</v>
      </c>
      <c r="D10682" t="s">
        <v>884</v>
      </c>
      <c r="E10682" t="s">
        <v>42</v>
      </c>
      <c r="F10682" t="s">
        <v>670</v>
      </c>
      <c r="G10682" t="s">
        <v>44</v>
      </c>
      <c r="H10682">
        <v>2025</v>
      </c>
    </row>
    <row r="10683" spans="1:8" x14ac:dyDescent="0.2">
      <c r="A10683">
        <v>329397</v>
      </c>
      <c r="B10683">
        <v>1215614</v>
      </c>
      <c r="C10683" t="str">
        <f t="shared" si="166"/>
        <v>4. $250K-1M</v>
      </c>
      <c r="D10683" t="s">
        <v>689</v>
      </c>
      <c r="E10683" t="s">
        <v>42</v>
      </c>
      <c r="F10683" t="s">
        <v>670</v>
      </c>
      <c r="G10683" t="s">
        <v>44</v>
      </c>
      <c r="H10683">
        <v>2025</v>
      </c>
    </row>
    <row r="10684" spans="1:8" x14ac:dyDescent="0.2">
      <c r="A10684">
        <v>329398</v>
      </c>
      <c r="B10684">
        <v>360072</v>
      </c>
      <c r="C10684" t="str">
        <f t="shared" si="166"/>
        <v>5. $1M+</v>
      </c>
      <c r="D10684" t="s">
        <v>671</v>
      </c>
      <c r="E10684" t="s">
        <v>42</v>
      </c>
      <c r="F10684" t="s">
        <v>670</v>
      </c>
      <c r="G10684" t="s">
        <v>44</v>
      </c>
      <c r="H10684">
        <v>2025</v>
      </c>
    </row>
    <row r="10685" spans="1:8" x14ac:dyDescent="0.2">
      <c r="A10685">
        <v>329399</v>
      </c>
      <c r="B10685">
        <v>4901983.0999999996</v>
      </c>
      <c r="C10685" t="str">
        <f t="shared" si="166"/>
        <v>4. $250K-1M</v>
      </c>
      <c r="D10685" t="s">
        <v>685</v>
      </c>
      <c r="E10685" t="s">
        <v>42</v>
      </c>
      <c r="F10685" t="s">
        <v>670</v>
      </c>
      <c r="G10685" t="s">
        <v>44</v>
      </c>
      <c r="H10685">
        <v>2025</v>
      </c>
    </row>
    <row r="10686" spans="1:8" x14ac:dyDescent="0.2">
      <c r="A10686">
        <v>329400</v>
      </c>
      <c r="B10686">
        <v>5074281</v>
      </c>
      <c r="C10686" t="str">
        <f t="shared" si="166"/>
        <v>5. $1M+</v>
      </c>
      <c r="D10686" t="s">
        <v>686</v>
      </c>
      <c r="E10686" t="s">
        <v>42</v>
      </c>
      <c r="F10686" t="s">
        <v>670</v>
      </c>
      <c r="G10686" t="s">
        <v>44</v>
      </c>
      <c r="H10686">
        <v>2025</v>
      </c>
    </row>
    <row r="10687" spans="1:8" x14ac:dyDescent="0.2">
      <c r="A10687">
        <v>329401</v>
      </c>
      <c r="B10687">
        <v>1000000</v>
      </c>
      <c r="C10687" t="str">
        <f t="shared" si="166"/>
        <v>5. $1M+</v>
      </c>
      <c r="D10687" t="s">
        <v>968</v>
      </c>
      <c r="E10687" t="s">
        <v>59</v>
      </c>
      <c r="F10687" t="s">
        <v>670</v>
      </c>
      <c r="G10687" t="s">
        <v>59</v>
      </c>
      <c r="H10687">
        <v>2025</v>
      </c>
    </row>
    <row r="10688" spans="1:8" x14ac:dyDescent="0.2">
      <c r="A10688">
        <v>329405</v>
      </c>
      <c r="B10688">
        <v>8759725</v>
      </c>
      <c r="C10688" t="str">
        <f t="shared" si="166"/>
        <v>5. $1M+</v>
      </c>
      <c r="D10688" t="s">
        <v>673</v>
      </c>
      <c r="E10688" t="s">
        <v>42</v>
      </c>
      <c r="F10688" t="s">
        <v>670</v>
      </c>
      <c r="G10688" t="s">
        <v>44</v>
      </c>
      <c r="H10688">
        <v>2025</v>
      </c>
    </row>
    <row r="10689" spans="1:8" x14ac:dyDescent="0.2">
      <c r="A10689">
        <v>329408</v>
      </c>
      <c r="B10689">
        <v>6000</v>
      </c>
      <c r="C10689" t="str">
        <f t="shared" si="166"/>
        <v>5. $1M+</v>
      </c>
      <c r="D10689" t="s">
        <v>2692</v>
      </c>
      <c r="E10689" t="s">
        <v>112</v>
      </c>
      <c r="F10689" t="s">
        <v>668</v>
      </c>
      <c r="G10689" t="s">
        <v>59</v>
      </c>
      <c r="H10689">
        <v>2025</v>
      </c>
    </row>
    <row r="10690" spans="1:8" x14ac:dyDescent="0.2">
      <c r="A10690">
        <v>329409</v>
      </c>
      <c r="B10690">
        <v>6000</v>
      </c>
      <c r="C10690" t="str">
        <f t="shared" si="166"/>
        <v>1. Under $10K</v>
      </c>
      <c r="D10690" t="s">
        <v>2693</v>
      </c>
      <c r="E10690" t="s">
        <v>112</v>
      </c>
      <c r="F10690" t="s">
        <v>668</v>
      </c>
      <c r="G10690" t="s">
        <v>59</v>
      </c>
      <c r="H10690">
        <v>2025</v>
      </c>
    </row>
    <row r="10691" spans="1:8" x14ac:dyDescent="0.2">
      <c r="A10691">
        <v>329412</v>
      </c>
      <c r="B10691">
        <v>6000</v>
      </c>
      <c r="C10691" t="str">
        <f t="shared" ref="C10691:C10754" si="167">IF(B10690&lt;10000,"1. Under $10K",IF(B10690&lt;50000,"2. $10K-50K",IF(B10690&lt;250000,"3. $50K-250K",IF(B10690&lt;1000000,"4. $250K-1M","5. $1M+"))))</f>
        <v>1. Under $10K</v>
      </c>
      <c r="D10691" t="s">
        <v>2694</v>
      </c>
      <c r="E10691" t="s">
        <v>112</v>
      </c>
      <c r="F10691" t="s">
        <v>668</v>
      </c>
      <c r="G10691" t="s">
        <v>59</v>
      </c>
      <c r="H10691">
        <v>2025</v>
      </c>
    </row>
    <row r="10692" spans="1:8" x14ac:dyDescent="0.2">
      <c r="A10692">
        <v>329413</v>
      </c>
      <c r="B10692">
        <v>4800</v>
      </c>
      <c r="C10692" t="str">
        <f t="shared" si="167"/>
        <v>1. Under $10K</v>
      </c>
      <c r="D10692" t="s">
        <v>2695</v>
      </c>
      <c r="E10692" t="s">
        <v>112</v>
      </c>
      <c r="F10692" t="s">
        <v>668</v>
      </c>
      <c r="G10692" t="s">
        <v>59</v>
      </c>
      <c r="H10692">
        <v>2025</v>
      </c>
    </row>
    <row r="10693" spans="1:8" x14ac:dyDescent="0.2">
      <c r="A10693">
        <v>329415</v>
      </c>
      <c r="B10693">
        <v>6000</v>
      </c>
      <c r="C10693" t="str">
        <f t="shared" si="167"/>
        <v>1. Under $10K</v>
      </c>
      <c r="D10693" t="s">
        <v>2696</v>
      </c>
      <c r="E10693" t="s">
        <v>112</v>
      </c>
      <c r="F10693" t="s">
        <v>668</v>
      </c>
      <c r="G10693" t="s">
        <v>59</v>
      </c>
      <c r="H10693">
        <v>2025</v>
      </c>
    </row>
    <row r="10694" spans="1:8" x14ac:dyDescent="0.2">
      <c r="A10694">
        <v>329422</v>
      </c>
      <c r="B10694">
        <v>6000</v>
      </c>
      <c r="C10694" t="str">
        <f t="shared" si="167"/>
        <v>1. Under $10K</v>
      </c>
      <c r="D10694" t="s">
        <v>2697</v>
      </c>
      <c r="E10694" t="s">
        <v>112</v>
      </c>
      <c r="F10694" t="s">
        <v>668</v>
      </c>
      <c r="G10694" t="s">
        <v>59</v>
      </c>
      <c r="H10694">
        <v>2025</v>
      </c>
    </row>
    <row r="10695" spans="1:8" x14ac:dyDescent="0.2">
      <c r="A10695">
        <v>329425</v>
      </c>
      <c r="B10695">
        <v>6000</v>
      </c>
      <c r="C10695" t="str">
        <f t="shared" si="167"/>
        <v>1. Under $10K</v>
      </c>
      <c r="D10695" t="s">
        <v>2698</v>
      </c>
      <c r="E10695" t="s">
        <v>112</v>
      </c>
      <c r="F10695" t="s">
        <v>668</v>
      </c>
      <c r="G10695" t="s">
        <v>59</v>
      </c>
      <c r="H10695">
        <v>2025</v>
      </c>
    </row>
    <row r="10696" spans="1:8" x14ac:dyDescent="0.2">
      <c r="A10696">
        <v>329432</v>
      </c>
      <c r="B10696">
        <v>6000</v>
      </c>
      <c r="C10696" t="str">
        <f t="shared" si="167"/>
        <v>1. Under $10K</v>
      </c>
      <c r="D10696" t="s">
        <v>2699</v>
      </c>
      <c r="E10696" t="s">
        <v>112</v>
      </c>
      <c r="F10696" t="s">
        <v>668</v>
      </c>
      <c r="G10696" t="s">
        <v>59</v>
      </c>
      <c r="H10696">
        <v>2025</v>
      </c>
    </row>
    <row r="10697" spans="1:8" x14ac:dyDescent="0.2">
      <c r="A10697">
        <v>329433</v>
      </c>
      <c r="B10697">
        <v>8989068</v>
      </c>
      <c r="C10697" t="str">
        <f t="shared" si="167"/>
        <v>1. Under $10K</v>
      </c>
      <c r="D10697" t="s">
        <v>692</v>
      </c>
      <c r="E10697" t="s">
        <v>237</v>
      </c>
      <c r="F10697" t="s">
        <v>670</v>
      </c>
      <c r="G10697" t="s">
        <v>59</v>
      </c>
      <c r="H10697">
        <v>2025</v>
      </c>
    </row>
    <row r="10698" spans="1:8" x14ac:dyDescent="0.2">
      <c r="A10698">
        <v>329434</v>
      </c>
      <c r="B10698">
        <v>6000</v>
      </c>
      <c r="C10698" t="str">
        <f t="shared" si="167"/>
        <v>5. $1M+</v>
      </c>
      <c r="D10698" t="s">
        <v>2700</v>
      </c>
      <c r="E10698" t="s">
        <v>112</v>
      </c>
      <c r="F10698" t="s">
        <v>668</v>
      </c>
      <c r="G10698" t="s">
        <v>59</v>
      </c>
      <c r="H10698">
        <v>2025</v>
      </c>
    </row>
    <row r="10699" spans="1:8" x14ac:dyDescent="0.2">
      <c r="A10699">
        <v>329436</v>
      </c>
      <c r="B10699">
        <v>6000</v>
      </c>
      <c r="C10699" t="str">
        <f t="shared" si="167"/>
        <v>1. Under $10K</v>
      </c>
      <c r="D10699" t="s">
        <v>2701</v>
      </c>
      <c r="E10699" t="s">
        <v>112</v>
      </c>
      <c r="F10699" t="s">
        <v>668</v>
      </c>
      <c r="G10699" t="s">
        <v>59</v>
      </c>
      <c r="H10699">
        <v>2025</v>
      </c>
    </row>
    <row r="10700" spans="1:8" x14ac:dyDescent="0.2">
      <c r="A10700">
        <v>329437</v>
      </c>
      <c r="B10700">
        <v>25280897</v>
      </c>
      <c r="C10700" t="str">
        <f t="shared" si="167"/>
        <v>1. Under $10K</v>
      </c>
      <c r="D10700" t="s">
        <v>713</v>
      </c>
      <c r="E10700" t="s">
        <v>237</v>
      </c>
      <c r="F10700" t="s">
        <v>670</v>
      </c>
      <c r="G10700" t="s">
        <v>59</v>
      </c>
      <c r="H10700">
        <v>2025</v>
      </c>
    </row>
    <row r="10701" spans="1:8" x14ac:dyDescent="0.2">
      <c r="A10701">
        <v>329438</v>
      </c>
      <c r="B10701">
        <v>6000</v>
      </c>
      <c r="C10701" t="str">
        <f t="shared" si="167"/>
        <v>5. $1M+</v>
      </c>
      <c r="D10701" t="s">
        <v>2702</v>
      </c>
      <c r="E10701" t="s">
        <v>112</v>
      </c>
      <c r="F10701" t="s">
        <v>668</v>
      </c>
      <c r="G10701" t="s">
        <v>59</v>
      </c>
      <c r="H10701">
        <v>2025</v>
      </c>
    </row>
    <row r="10702" spans="1:8" x14ac:dyDescent="0.2">
      <c r="A10702">
        <v>329453</v>
      </c>
      <c r="B10702">
        <v>52502583</v>
      </c>
      <c r="C10702" t="str">
        <f t="shared" si="167"/>
        <v>1. Under $10K</v>
      </c>
      <c r="D10702" t="s">
        <v>692</v>
      </c>
      <c r="E10702" t="s">
        <v>237</v>
      </c>
      <c r="F10702" t="s">
        <v>670</v>
      </c>
      <c r="G10702" t="s">
        <v>59</v>
      </c>
      <c r="H10702">
        <v>2025</v>
      </c>
    </row>
    <row r="10703" spans="1:8" x14ac:dyDescent="0.2">
      <c r="A10703">
        <v>329457</v>
      </c>
      <c r="B10703">
        <v>6000</v>
      </c>
      <c r="C10703" t="str">
        <f t="shared" si="167"/>
        <v>5. $1M+</v>
      </c>
      <c r="D10703" t="s">
        <v>2703</v>
      </c>
      <c r="E10703" t="s">
        <v>112</v>
      </c>
      <c r="F10703" t="s">
        <v>668</v>
      </c>
      <c r="G10703" t="s">
        <v>59</v>
      </c>
      <c r="H10703">
        <v>2025</v>
      </c>
    </row>
    <row r="10704" spans="1:8" x14ac:dyDescent="0.2">
      <c r="A10704">
        <v>329459</v>
      </c>
      <c r="B10704">
        <v>6000</v>
      </c>
      <c r="C10704" t="str">
        <f t="shared" si="167"/>
        <v>1. Under $10K</v>
      </c>
      <c r="D10704" t="s">
        <v>2704</v>
      </c>
      <c r="E10704" t="s">
        <v>112</v>
      </c>
      <c r="F10704" t="s">
        <v>668</v>
      </c>
      <c r="G10704" t="s">
        <v>59</v>
      </c>
      <c r="H10704">
        <v>2025</v>
      </c>
    </row>
    <row r="10705" spans="1:8" x14ac:dyDescent="0.2">
      <c r="A10705">
        <v>329460</v>
      </c>
      <c r="B10705">
        <v>6000</v>
      </c>
      <c r="C10705" t="str">
        <f t="shared" si="167"/>
        <v>1. Under $10K</v>
      </c>
      <c r="D10705" t="s">
        <v>1900</v>
      </c>
      <c r="E10705" t="s">
        <v>112</v>
      </c>
      <c r="F10705" t="s">
        <v>668</v>
      </c>
      <c r="G10705" t="s">
        <v>59</v>
      </c>
      <c r="H10705">
        <v>2025</v>
      </c>
    </row>
    <row r="10706" spans="1:8" x14ac:dyDescent="0.2">
      <c r="A10706">
        <v>329461</v>
      </c>
      <c r="B10706">
        <v>4500</v>
      </c>
      <c r="C10706" t="str">
        <f t="shared" si="167"/>
        <v>1. Under $10K</v>
      </c>
      <c r="D10706" t="s">
        <v>2705</v>
      </c>
      <c r="E10706" t="s">
        <v>112</v>
      </c>
      <c r="F10706" t="s">
        <v>668</v>
      </c>
      <c r="G10706" t="s">
        <v>59</v>
      </c>
      <c r="H10706">
        <v>2025</v>
      </c>
    </row>
    <row r="10707" spans="1:8" x14ac:dyDescent="0.2">
      <c r="A10707">
        <v>329462</v>
      </c>
      <c r="B10707">
        <v>6000</v>
      </c>
      <c r="C10707" t="str">
        <f t="shared" si="167"/>
        <v>1. Under $10K</v>
      </c>
      <c r="D10707" t="s">
        <v>2706</v>
      </c>
      <c r="E10707" t="s">
        <v>112</v>
      </c>
      <c r="F10707" t="s">
        <v>668</v>
      </c>
      <c r="G10707" t="s">
        <v>59</v>
      </c>
      <c r="H10707">
        <v>2025</v>
      </c>
    </row>
    <row r="10708" spans="1:8" x14ac:dyDescent="0.2">
      <c r="A10708">
        <v>329463</v>
      </c>
      <c r="B10708">
        <v>6000</v>
      </c>
      <c r="C10708" t="str">
        <f t="shared" si="167"/>
        <v>1. Under $10K</v>
      </c>
      <c r="D10708" t="s">
        <v>2707</v>
      </c>
      <c r="E10708" t="s">
        <v>112</v>
      </c>
      <c r="F10708" t="s">
        <v>668</v>
      </c>
      <c r="G10708" t="s">
        <v>59</v>
      </c>
      <c r="H10708">
        <v>2025</v>
      </c>
    </row>
    <row r="10709" spans="1:8" x14ac:dyDescent="0.2">
      <c r="A10709">
        <v>329465</v>
      </c>
      <c r="B10709">
        <v>6000</v>
      </c>
      <c r="C10709" t="str">
        <f t="shared" si="167"/>
        <v>1. Under $10K</v>
      </c>
      <c r="D10709" t="s">
        <v>2708</v>
      </c>
      <c r="E10709" t="s">
        <v>112</v>
      </c>
      <c r="F10709" t="s">
        <v>668</v>
      </c>
      <c r="G10709" t="s">
        <v>59</v>
      </c>
      <c r="H10709">
        <v>2025</v>
      </c>
    </row>
    <row r="10710" spans="1:8" x14ac:dyDescent="0.2">
      <c r="A10710">
        <v>329466</v>
      </c>
      <c r="B10710">
        <v>2750</v>
      </c>
      <c r="C10710" t="str">
        <f t="shared" si="167"/>
        <v>1. Under $10K</v>
      </c>
      <c r="D10710" t="s">
        <v>2709</v>
      </c>
      <c r="E10710" t="s">
        <v>112</v>
      </c>
      <c r="F10710" t="s">
        <v>668</v>
      </c>
      <c r="G10710" t="s">
        <v>59</v>
      </c>
      <c r="H10710">
        <v>2025</v>
      </c>
    </row>
    <row r="10711" spans="1:8" x14ac:dyDescent="0.2">
      <c r="A10711">
        <v>329467</v>
      </c>
      <c r="B10711">
        <v>12650640</v>
      </c>
      <c r="C10711" t="str">
        <f t="shared" si="167"/>
        <v>1. Under $10K</v>
      </c>
      <c r="D10711" t="s">
        <v>693</v>
      </c>
      <c r="E10711" t="s">
        <v>237</v>
      </c>
      <c r="F10711" t="s">
        <v>670</v>
      </c>
      <c r="G10711" t="s">
        <v>59</v>
      </c>
      <c r="H10711">
        <v>2025</v>
      </c>
    </row>
    <row r="10712" spans="1:8" x14ac:dyDescent="0.2">
      <c r="A10712">
        <v>329468</v>
      </c>
      <c r="B10712">
        <v>3798137</v>
      </c>
      <c r="C10712" t="str">
        <f t="shared" si="167"/>
        <v>5. $1M+</v>
      </c>
      <c r="D10712" t="s">
        <v>713</v>
      </c>
      <c r="E10712" t="s">
        <v>237</v>
      </c>
      <c r="F10712" t="s">
        <v>670</v>
      </c>
      <c r="G10712" t="s">
        <v>59</v>
      </c>
      <c r="H10712">
        <v>2025</v>
      </c>
    </row>
    <row r="10713" spans="1:8" x14ac:dyDescent="0.2">
      <c r="A10713">
        <v>329469</v>
      </c>
      <c r="B10713">
        <v>6000</v>
      </c>
      <c r="C10713" t="str">
        <f t="shared" si="167"/>
        <v>5. $1M+</v>
      </c>
      <c r="D10713" t="s">
        <v>2090</v>
      </c>
      <c r="E10713" t="s">
        <v>112</v>
      </c>
      <c r="F10713" t="s">
        <v>668</v>
      </c>
      <c r="G10713" t="s">
        <v>59</v>
      </c>
      <c r="H10713">
        <v>2025</v>
      </c>
    </row>
    <row r="10714" spans="1:8" x14ac:dyDescent="0.2">
      <c r="A10714">
        <v>329470</v>
      </c>
      <c r="B10714">
        <v>6000</v>
      </c>
      <c r="C10714" t="str">
        <f t="shared" si="167"/>
        <v>1. Under $10K</v>
      </c>
      <c r="D10714" t="s">
        <v>2710</v>
      </c>
      <c r="E10714" t="s">
        <v>112</v>
      </c>
      <c r="F10714" t="s">
        <v>668</v>
      </c>
      <c r="G10714" t="s">
        <v>59</v>
      </c>
      <c r="H10714">
        <v>2025</v>
      </c>
    </row>
    <row r="10715" spans="1:8" x14ac:dyDescent="0.2">
      <c r="A10715">
        <v>329472</v>
      </c>
      <c r="B10715">
        <v>6000</v>
      </c>
      <c r="C10715" t="str">
        <f t="shared" si="167"/>
        <v>1. Under $10K</v>
      </c>
      <c r="D10715" t="s">
        <v>2711</v>
      </c>
      <c r="E10715" t="s">
        <v>112</v>
      </c>
      <c r="F10715" t="s">
        <v>668</v>
      </c>
      <c r="G10715" t="s">
        <v>59</v>
      </c>
      <c r="H10715">
        <v>2025</v>
      </c>
    </row>
    <row r="10716" spans="1:8" x14ac:dyDescent="0.2">
      <c r="A10716">
        <v>329473</v>
      </c>
      <c r="B10716">
        <v>6000</v>
      </c>
      <c r="C10716" t="str">
        <f t="shared" si="167"/>
        <v>1. Under $10K</v>
      </c>
      <c r="D10716" t="s">
        <v>2712</v>
      </c>
      <c r="E10716" t="s">
        <v>112</v>
      </c>
      <c r="F10716" t="s">
        <v>668</v>
      </c>
      <c r="G10716" t="s">
        <v>59</v>
      </c>
      <c r="H10716">
        <v>2025</v>
      </c>
    </row>
    <row r="10717" spans="1:8" x14ac:dyDescent="0.2">
      <c r="A10717">
        <v>329474</v>
      </c>
      <c r="B10717">
        <v>19165710</v>
      </c>
      <c r="C10717" t="str">
        <f t="shared" si="167"/>
        <v>1. Under $10K</v>
      </c>
      <c r="D10717" t="s">
        <v>41</v>
      </c>
      <c r="E10717" t="s">
        <v>237</v>
      </c>
      <c r="F10717" t="s">
        <v>670</v>
      </c>
      <c r="G10717" t="s">
        <v>59</v>
      </c>
      <c r="H10717">
        <v>2025</v>
      </c>
    </row>
    <row r="10718" spans="1:8" x14ac:dyDescent="0.2">
      <c r="A10718">
        <v>329476</v>
      </c>
      <c r="B10718">
        <v>1650</v>
      </c>
      <c r="C10718" t="str">
        <f t="shared" si="167"/>
        <v>5. $1M+</v>
      </c>
      <c r="D10718" t="s">
        <v>2713</v>
      </c>
      <c r="E10718" t="s">
        <v>112</v>
      </c>
      <c r="F10718" t="s">
        <v>668</v>
      </c>
      <c r="G10718" t="s">
        <v>59</v>
      </c>
      <c r="H10718">
        <v>2025</v>
      </c>
    </row>
    <row r="10719" spans="1:8" x14ac:dyDescent="0.2">
      <c r="A10719">
        <v>329482</v>
      </c>
      <c r="B10719">
        <v>5000</v>
      </c>
      <c r="C10719" t="str">
        <f t="shared" si="167"/>
        <v>1. Under $10K</v>
      </c>
      <c r="D10719" t="s">
        <v>2714</v>
      </c>
      <c r="E10719" t="s">
        <v>112</v>
      </c>
      <c r="F10719" t="s">
        <v>668</v>
      </c>
      <c r="G10719" t="s">
        <v>59</v>
      </c>
      <c r="H10719">
        <v>2025</v>
      </c>
    </row>
    <row r="10720" spans="1:8" x14ac:dyDescent="0.2">
      <c r="A10720">
        <v>329484</v>
      </c>
      <c r="B10720">
        <v>22576260</v>
      </c>
      <c r="C10720" t="str">
        <f t="shared" si="167"/>
        <v>1. Under $10K</v>
      </c>
      <c r="D10720" t="s">
        <v>694</v>
      </c>
      <c r="E10720" t="s">
        <v>237</v>
      </c>
      <c r="F10720" t="s">
        <v>670</v>
      </c>
      <c r="G10720" t="s">
        <v>59</v>
      </c>
      <c r="H10720">
        <v>2025</v>
      </c>
    </row>
    <row r="10721" spans="1:8" x14ac:dyDescent="0.2">
      <c r="A10721">
        <v>329485</v>
      </c>
      <c r="B10721">
        <v>6000</v>
      </c>
      <c r="C10721" t="str">
        <f t="shared" si="167"/>
        <v>5. $1M+</v>
      </c>
      <c r="D10721" t="s">
        <v>2715</v>
      </c>
      <c r="E10721" t="s">
        <v>112</v>
      </c>
      <c r="F10721" t="s">
        <v>668</v>
      </c>
      <c r="G10721" t="s">
        <v>59</v>
      </c>
      <c r="H10721">
        <v>2025</v>
      </c>
    </row>
    <row r="10722" spans="1:8" x14ac:dyDescent="0.2">
      <c r="A10722">
        <v>329486</v>
      </c>
      <c r="B10722">
        <v>16220353</v>
      </c>
      <c r="C10722" t="str">
        <f t="shared" si="167"/>
        <v>1. Under $10K</v>
      </c>
      <c r="D10722" t="s">
        <v>712</v>
      </c>
      <c r="E10722" t="s">
        <v>237</v>
      </c>
      <c r="F10722" t="s">
        <v>670</v>
      </c>
      <c r="G10722" t="s">
        <v>59</v>
      </c>
      <c r="H10722">
        <v>2025</v>
      </c>
    </row>
    <row r="10723" spans="1:8" x14ac:dyDescent="0.2">
      <c r="A10723">
        <v>329491</v>
      </c>
      <c r="B10723">
        <v>6000</v>
      </c>
      <c r="C10723" t="str">
        <f t="shared" si="167"/>
        <v>5. $1M+</v>
      </c>
      <c r="D10723" t="s">
        <v>2716</v>
      </c>
      <c r="E10723" t="s">
        <v>112</v>
      </c>
      <c r="F10723" t="s">
        <v>668</v>
      </c>
      <c r="G10723" t="s">
        <v>59</v>
      </c>
      <c r="H10723">
        <v>2025</v>
      </c>
    </row>
    <row r="10724" spans="1:8" x14ac:dyDescent="0.2">
      <c r="A10724">
        <v>329498</v>
      </c>
      <c r="B10724">
        <v>6000</v>
      </c>
      <c r="C10724" t="str">
        <f t="shared" si="167"/>
        <v>1. Under $10K</v>
      </c>
      <c r="D10724" t="s">
        <v>2717</v>
      </c>
      <c r="E10724" t="s">
        <v>112</v>
      </c>
      <c r="F10724" t="s">
        <v>668</v>
      </c>
      <c r="G10724" t="s">
        <v>59</v>
      </c>
      <c r="H10724">
        <v>2025</v>
      </c>
    </row>
    <row r="10725" spans="1:8" x14ac:dyDescent="0.2">
      <c r="A10725">
        <v>329499</v>
      </c>
      <c r="B10725">
        <v>20236735</v>
      </c>
      <c r="C10725" t="str">
        <f t="shared" si="167"/>
        <v>1. Under $10K</v>
      </c>
      <c r="D10725" t="s">
        <v>711</v>
      </c>
      <c r="E10725" t="s">
        <v>237</v>
      </c>
      <c r="F10725" t="s">
        <v>670</v>
      </c>
      <c r="G10725" t="s">
        <v>59</v>
      </c>
      <c r="H10725">
        <v>2025</v>
      </c>
    </row>
    <row r="10726" spans="1:8" x14ac:dyDescent="0.2">
      <c r="A10726">
        <v>329501</v>
      </c>
      <c r="B10726">
        <v>7101860</v>
      </c>
      <c r="C10726" t="str">
        <f t="shared" si="167"/>
        <v>5. $1M+</v>
      </c>
      <c r="D10726" t="s">
        <v>710</v>
      </c>
      <c r="E10726" t="s">
        <v>237</v>
      </c>
      <c r="F10726" t="s">
        <v>670</v>
      </c>
      <c r="G10726" t="s">
        <v>59</v>
      </c>
      <c r="H10726">
        <v>2025</v>
      </c>
    </row>
    <row r="10727" spans="1:8" x14ac:dyDescent="0.2">
      <c r="A10727">
        <v>329505</v>
      </c>
      <c r="B10727">
        <v>12178257</v>
      </c>
      <c r="C10727" t="str">
        <f t="shared" si="167"/>
        <v>5. $1M+</v>
      </c>
      <c r="D10727" t="s">
        <v>695</v>
      </c>
      <c r="E10727" t="s">
        <v>237</v>
      </c>
      <c r="F10727" t="s">
        <v>670</v>
      </c>
      <c r="G10727" t="s">
        <v>59</v>
      </c>
      <c r="H10727">
        <v>2025</v>
      </c>
    </row>
    <row r="10728" spans="1:8" x14ac:dyDescent="0.2">
      <c r="A10728">
        <v>329507</v>
      </c>
      <c r="B10728">
        <v>35458851</v>
      </c>
      <c r="C10728" t="str">
        <f t="shared" si="167"/>
        <v>5. $1M+</v>
      </c>
      <c r="D10728" t="s">
        <v>696</v>
      </c>
      <c r="E10728" t="s">
        <v>237</v>
      </c>
      <c r="F10728" t="s">
        <v>670</v>
      </c>
      <c r="G10728" t="s">
        <v>59</v>
      </c>
      <c r="H10728">
        <v>2025</v>
      </c>
    </row>
    <row r="10729" spans="1:8" x14ac:dyDescent="0.2">
      <c r="A10729">
        <v>329508</v>
      </c>
      <c r="B10729">
        <v>25034037</v>
      </c>
      <c r="C10729" t="str">
        <f t="shared" si="167"/>
        <v>5. $1M+</v>
      </c>
      <c r="D10729" t="s">
        <v>709</v>
      </c>
      <c r="E10729" t="s">
        <v>237</v>
      </c>
      <c r="F10729" t="s">
        <v>670</v>
      </c>
      <c r="G10729" t="s">
        <v>59</v>
      </c>
      <c r="H10729">
        <v>2025</v>
      </c>
    </row>
    <row r="10730" spans="1:8" x14ac:dyDescent="0.2">
      <c r="A10730">
        <v>329511</v>
      </c>
      <c r="B10730">
        <v>15188364</v>
      </c>
      <c r="C10730" t="str">
        <f t="shared" si="167"/>
        <v>5. $1M+</v>
      </c>
      <c r="D10730" t="s">
        <v>762</v>
      </c>
      <c r="E10730" t="s">
        <v>237</v>
      </c>
      <c r="F10730" t="s">
        <v>670</v>
      </c>
      <c r="G10730" t="s">
        <v>59</v>
      </c>
      <c r="H10730">
        <v>2025</v>
      </c>
    </row>
    <row r="10731" spans="1:8" x14ac:dyDescent="0.2">
      <c r="A10731">
        <v>329514</v>
      </c>
      <c r="B10731">
        <v>6990684</v>
      </c>
      <c r="C10731" t="str">
        <f t="shared" si="167"/>
        <v>5. $1M+</v>
      </c>
      <c r="D10731" t="s">
        <v>761</v>
      </c>
      <c r="E10731" t="s">
        <v>237</v>
      </c>
      <c r="F10731" t="s">
        <v>670</v>
      </c>
      <c r="G10731" t="s">
        <v>59</v>
      </c>
      <c r="H10731">
        <v>2025</v>
      </c>
    </row>
    <row r="10732" spans="1:8" x14ac:dyDescent="0.2">
      <c r="A10732">
        <v>329515</v>
      </c>
      <c r="B10732">
        <v>3381847</v>
      </c>
      <c r="C10732" t="str">
        <f t="shared" si="167"/>
        <v>5. $1M+</v>
      </c>
      <c r="D10732" t="s">
        <v>697</v>
      </c>
      <c r="E10732" t="s">
        <v>237</v>
      </c>
      <c r="F10732" t="s">
        <v>670</v>
      </c>
      <c r="G10732" t="s">
        <v>59</v>
      </c>
      <c r="H10732">
        <v>2025</v>
      </c>
    </row>
    <row r="10733" spans="1:8" x14ac:dyDescent="0.2">
      <c r="A10733">
        <v>329523</v>
      </c>
      <c r="B10733">
        <v>8201435</v>
      </c>
      <c r="C10733" t="str">
        <f t="shared" si="167"/>
        <v>5. $1M+</v>
      </c>
      <c r="D10733" t="s">
        <v>707</v>
      </c>
      <c r="E10733" t="s">
        <v>237</v>
      </c>
      <c r="F10733" t="s">
        <v>670</v>
      </c>
      <c r="G10733" t="s">
        <v>59</v>
      </c>
      <c r="H10733">
        <v>2025</v>
      </c>
    </row>
    <row r="10734" spans="1:8" x14ac:dyDescent="0.2">
      <c r="A10734">
        <v>329525</v>
      </c>
      <c r="B10734">
        <v>2992708</v>
      </c>
      <c r="C10734" t="str">
        <f t="shared" si="167"/>
        <v>5. $1M+</v>
      </c>
      <c r="D10734" t="s">
        <v>706</v>
      </c>
      <c r="E10734" t="s">
        <v>237</v>
      </c>
      <c r="F10734" t="s">
        <v>670</v>
      </c>
      <c r="G10734" t="s">
        <v>59</v>
      </c>
      <c r="H10734">
        <v>2025</v>
      </c>
    </row>
    <row r="10735" spans="1:8" x14ac:dyDescent="0.2">
      <c r="A10735">
        <v>329526</v>
      </c>
      <c r="B10735">
        <v>43079925</v>
      </c>
      <c r="C10735" t="str">
        <f t="shared" si="167"/>
        <v>5. $1M+</v>
      </c>
      <c r="D10735" t="s">
        <v>705</v>
      </c>
      <c r="E10735" t="s">
        <v>237</v>
      </c>
      <c r="F10735" t="s">
        <v>670</v>
      </c>
      <c r="G10735" t="s">
        <v>59</v>
      </c>
      <c r="H10735">
        <v>2025</v>
      </c>
    </row>
    <row r="10736" spans="1:8" x14ac:dyDescent="0.2">
      <c r="A10736">
        <v>329528</v>
      </c>
      <c r="B10736">
        <v>35219648</v>
      </c>
      <c r="C10736" t="str">
        <f t="shared" si="167"/>
        <v>5. $1M+</v>
      </c>
      <c r="D10736" t="s">
        <v>704</v>
      </c>
      <c r="E10736" t="s">
        <v>237</v>
      </c>
      <c r="F10736" t="s">
        <v>670</v>
      </c>
      <c r="G10736" t="s">
        <v>59</v>
      </c>
      <c r="H10736">
        <v>2025</v>
      </c>
    </row>
    <row r="10737" spans="1:8" x14ac:dyDescent="0.2">
      <c r="A10737">
        <v>329530</v>
      </c>
      <c r="B10737">
        <v>27091271</v>
      </c>
      <c r="C10737" t="str">
        <f t="shared" si="167"/>
        <v>5. $1M+</v>
      </c>
      <c r="D10737" t="s">
        <v>702</v>
      </c>
      <c r="E10737" t="s">
        <v>237</v>
      </c>
      <c r="F10737" t="s">
        <v>670</v>
      </c>
      <c r="G10737" t="s">
        <v>59</v>
      </c>
      <c r="H10737">
        <v>2025</v>
      </c>
    </row>
    <row r="10738" spans="1:8" x14ac:dyDescent="0.2">
      <c r="A10738">
        <v>329593</v>
      </c>
      <c r="B10738">
        <v>268992</v>
      </c>
      <c r="C10738" t="str">
        <f t="shared" si="167"/>
        <v>5. $1M+</v>
      </c>
      <c r="D10738" t="s">
        <v>739</v>
      </c>
      <c r="E10738" t="s">
        <v>237</v>
      </c>
      <c r="F10738" t="s">
        <v>670</v>
      </c>
      <c r="G10738" t="s">
        <v>59</v>
      </c>
      <c r="H10738">
        <v>2025</v>
      </c>
    </row>
    <row r="10739" spans="1:8" x14ac:dyDescent="0.2">
      <c r="A10739">
        <v>329594</v>
      </c>
      <c r="B10739">
        <v>682080</v>
      </c>
      <c r="C10739" t="str">
        <f t="shared" si="167"/>
        <v>4. $250K-1M</v>
      </c>
      <c r="D10739" t="s">
        <v>728</v>
      </c>
      <c r="E10739" t="s">
        <v>237</v>
      </c>
      <c r="F10739" t="s">
        <v>670</v>
      </c>
      <c r="G10739" t="s">
        <v>59</v>
      </c>
      <c r="H10739">
        <v>2025</v>
      </c>
    </row>
    <row r="10740" spans="1:8" x14ac:dyDescent="0.2">
      <c r="A10740">
        <v>329596</v>
      </c>
      <c r="B10740">
        <v>508096</v>
      </c>
      <c r="C10740" t="str">
        <f t="shared" si="167"/>
        <v>4. $250K-1M</v>
      </c>
      <c r="D10740" t="s">
        <v>721</v>
      </c>
      <c r="E10740" t="s">
        <v>237</v>
      </c>
      <c r="F10740" t="s">
        <v>670</v>
      </c>
      <c r="G10740" t="s">
        <v>59</v>
      </c>
      <c r="H10740">
        <v>2025</v>
      </c>
    </row>
    <row r="10741" spans="1:8" x14ac:dyDescent="0.2">
      <c r="A10741">
        <v>329597</v>
      </c>
      <c r="B10741">
        <v>227360</v>
      </c>
      <c r="C10741" t="str">
        <f t="shared" si="167"/>
        <v>4. $250K-1M</v>
      </c>
      <c r="D10741" t="s">
        <v>721</v>
      </c>
      <c r="E10741" t="s">
        <v>237</v>
      </c>
      <c r="F10741" t="s">
        <v>670</v>
      </c>
      <c r="G10741" t="s">
        <v>59</v>
      </c>
      <c r="H10741">
        <v>2025</v>
      </c>
    </row>
    <row r="10742" spans="1:8" x14ac:dyDescent="0.2">
      <c r="A10742">
        <v>329624</v>
      </c>
      <c r="B10742">
        <v>4725</v>
      </c>
      <c r="C10742" t="str">
        <f t="shared" si="167"/>
        <v>3. $50K-250K</v>
      </c>
      <c r="D10742" t="s">
        <v>2718</v>
      </c>
      <c r="E10742" t="s">
        <v>112</v>
      </c>
      <c r="F10742" t="s">
        <v>668</v>
      </c>
      <c r="G10742" t="s">
        <v>59</v>
      </c>
      <c r="H10742">
        <v>2025</v>
      </c>
    </row>
    <row r="10743" spans="1:8" x14ac:dyDescent="0.2">
      <c r="A10743">
        <v>329625</v>
      </c>
      <c r="B10743">
        <v>6000</v>
      </c>
      <c r="C10743" t="str">
        <f t="shared" si="167"/>
        <v>1. Under $10K</v>
      </c>
      <c r="D10743" t="s">
        <v>2719</v>
      </c>
      <c r="E10743" t="s">
        <v>112</v>
      </c>
      <c r="F10743" t="s">
        <v>668</v>
      </c>
      <c r="G10743" t="s">
        <v>59</v>
      </c>
      <c r="H10743">
        <v>2025</v>
      </c>
    </row>
    <row r="10744" spans="1:8" x14ac:dyDescent="0.2">
      <c r="A10744">
        <v>329626</v>
      </c>
      <c r="B10744">
        <v>6000</v>
      </c>
      <c r="C10744" t="str">
        <f t="shared" si="167"/>
        <v>1. Under $10K</v>
      </c>
      <c r="D10744" t="s">
        <v>2720</v>
      </c>
      <c r="E10744" t="s">
        <v>112</v>
      </c>
      <c r="F10744" t="s">
        <v>668</v>
      </c>
      <c r="G10744" t="s">
        <v>59</v>
      </c>
      <c r="H10744">
        <v>2025</v>
      </c>
    </row>
    <row r="10745" spans="1:8" x14ac:dyDescent="0.2">
      <c r="A10745">
        <v>329627</v>
      </c>
      <c r="B10745">
        <v>6000</v>
      </c>
      <c r="C10745" t="str">
        <f t="shared" si="167"/>
        <v>1. Under $10K</v>
      </c>
      <c r="D10745" t="s">
        <v>2721</v>
      </c>
      <c r="E10745" t="s">
        <v>112</v>
      </c>
      <c r="F10745" t="s">
        <v>668</v>
      </c>
      <c r="G10745" t="s">
        <v>59</v>
      </c>
      <c r="H10745">
        <v>2025</v>
      </c>
    </row>
    <row r="10746" spans="1:8" x14ac:dyDescent="0.2">
      <c r="A10746">
        <v>329628</v>
      </c>
      <c r="B10746">
        <v>61852</v>
      </c>
      <c r="C10746" t="str">
        <f t="shared" si="167"/>
        <v>1. Under $10K</v>
      </c>
      <c r="D10746" t="s">
        <v>1599</v>
      </c>
      <c r="E10746" t="s">
        <v>112</v>
      </c>
      <c r="F10746" t="s">
        <v>668</v>
      </c>
      <c r="G10746" t="s">
        <v>59</v>
      </c>
      <c r="H10746">
        <v>2025</v>
      </c>
    </row>
    <row r="10747" spans="1:8" x14ac:dyDescent="0.2">
      <c r="A10747">
        <v>329629</v>
      </c>
      <c r="B10747">
        <v>5500</v>
      </c>
      <c r="C10747" t="str">
        <f t="shared" si="167"/>
        <v>3. $50K-250K</v>
      </c>
      <c r="D10747" t="s">
        <v>2722</v>
      </c>
      <c r="E10747" t="s">
        <v>112</v>
      </c>
      <c r="F10747" t="s">
        <v>668</v>
      </c>
      <c r="G10747" t="s">
        <v>59</v>
      </c>
      <c r="H10747">
        <v>2025</v>
      </c>
    </row>
    <row r="10748" spans="1:8" x14ac:dyDescent="0.2">
      <c r="A10748">
        <v>329630</v>
      </c>
      <c r="B10748">
        <v>6000</v>
      </c>
      <c r="C10748" t="str">
        <f t="shared" si="167"/>
        <v>1. Under $10K</v>
      </c>
      <c r="D10748" t="s">
        <v>2723</v>
      </c>
      <c r="E10748" t="s">
        <v>112</v>
      </c>
      <c r="F10748" t="s">
        <v>668</v>
      </c>
      <c r="G10748" t="s">
        <v>59</v>
      </c>
      <c r="H10748">
        <v>2025</v>
      </c>
    </row>
    <row r="10749" spans="1:8" x14ac:dyDescent="0.2">
      <c r="A10749">
        <v>329631</v>
      </c>
      <c r="B10749">
        <v>304265</v>
      </c>
      <c r="C10749" t="str">
        <f t="shared" si="167"/>
        <v>1. Under $10K</v>
      </c>
      <c r="D10749" t="s">
        <v>2724</v>
      </c>
      <c r="E10749" t="s">
        <v>141</v>
      </c>
      <c r="F10749" t="s">
        <v>668</v>
      </c>
      <c r="G10749" t="s">
        <v>59</v>
      </c>
      <c r="H10749">
        <v>2025</v>
      </c>
    </row>
    <row r="10750" spans="1:8" x14ac:dyDescent="0.2">
      <c r="A10750">
        <v>329633</v>
      </c>
      <c r="B10750">
        <v>6000</v>
      </c>
      <c r="C10750" t="str">
        <f t="shared" si="167"/>
        <v>4. $250K-1M</v>
      </c>
      <c r="D10750" t="s">
        <v>2725</v>
      </c>
      <c r="E10750" t="s">
        <v>112</v>
      </c>
      <c r="F10750" t="s">
        <v>668</v>
      </c>
      <c r="G10750" t="s">
        <v>59</v>
      </c>
      <c r="H10750">
        <v>2025</v>
      </c>
    </row>
    <row r="10751" spans="1:8" x14ac:dyDescent="0.2">
      <c r="A10751">
        <v>329634</v>
      </c>
      <c r="B10751">
        <v>25000</v>
      </c>
      <c r="C10751" t="str">
        <f t="shared" si="167"/>
        <v>1. Under $10K</v>
      </c>
      <c r="D10751" t="s">
        <v>2726</v>
      </c>
      <c r="E10751" t="s">
        <v>112</v>
      </c>
      <c r="F10751" t="s">
        <v>668</v>
      </c>
      <c r="G10751" t="s">
        <v>59</v>
      </c>
      <c r="H10751">
        <v>2025</v>
      </c>
    </row>
    <row r="10752" spans="1:8" x14ac:dyDescent="0.2">
      <c r="A10752">
        <v>329635</v>
      </c>
      <c r="B10752">
        <v>6000</v>
      </c>
      <c r="C10752" t="str">
        <f t="shared" si="167"/>
        <v>2. $10K-50K</v>
      </c>
      <c r="D10752" t="s">
        <v>2727</v>
      </c>
      <c r="E10752" t="s">
        <v>112</v>
      </c>
      <c r="F10752" t="s">
        <v>668</v>
      </c>
      <c r="G10752" t="s">
        <v>59</v>
      </c>
      <c r="H10752">
        <v>2025</v>
      </c>
    </row>
    <row r="10753" spans="1:8" x14ac:dyDescent="0.2">
      <c r="A10753">
        <v>329636</v>
      </c>
      <c r="B10753">
        <v>43079313</v>
      </c>
      <c r="C10753" t="str">
        <f t="shared" si="167"/>
        <v>1. Under $10K</v>
      </c>
      <c r="D10753" t="s">
        <v>697</v>
      </c>
      <c r="E10753" t="s">
        <v>237</v>
      </c>
      <c r="F10753" t="s">
        <v>670</v>
      </c>
      <c r="G10753" t="s">
        <v>59</v>
      </c>
      <c r="H10753">
        <v>2025</v>
      </c>
    </row>
    <row r="10754" spans="1:8" x14ac:dyDescent="0.2">
      <c r="A10754">
        <v>329637</v>
      </c>
      <c r="B10754">
        <v>6000</v>
      </c>
      <c r="C10754" t="str">
        <f t="shared" si="167"/>
        <v>5. $1M+</v>
      </c>
      <c r="D10754" t="s">
        <v>2728</v>
      </c>
      <c r="E10754" t="s">
        <v>112</v>
      </c>
      <c r="F10754" t="s">
        <v>668</v>
      </c>
      <c r="G10754" t="s">
        <v>59</v>
      </c>
      <c r="H10754">
        <v>2025</v>
      </c>
    </row>
    <row r="10755" spans="1:8" x14ac:dyDescent="0.2">
      <c r="A10755">
        <v>329638</v>
      </c>
      <c r="B10755">
        <v>6000</v>
      </c>
      <c r="C10755" t="str">
        <f t="shared" ref="C10755:C10818" si="168">IF(B10754&lt;10000,"1. Under $10K",IF(B10754&lt;50000,"2. $10K-50K",IF(B10754&lt;250000,"3. $50K-250K",IF(B10754&lt;1000000,"4. $250K-1M","5. $1M+"))))</f>
        <v>1. Under $10K</v>
      </c>
      <c r="D10755" t="s">
        <v>2729</v>
      </c>
      <c r="E10755" t="s">
        <v>112</v>
      </c>
      <c r="F10755" t="s">
        <v>668</v>
      </c>
      <c r="G10755" t="s">
        <v>59</v>
      </c>
      <c r="H10755">
        <v>2025</v>
      </c>
    </row>
    <row r="10756" spans="1:8" x14ac:dyDescent="0.2">
      <c r="A10756">
        <v>329639</v>
      </c>
      <c r="B10756">
        <v>6000</v>
      </c>
      <c r="C10756" t="str">
        <f t="shared" si="168"/>
        <v>1. Under $10K</v>
      </c>
      <c r="D10756" t="s">
        <v>2730</v>
      </c>
      <c r="E10756" t="s">
        <v>112</v>
      </c>
      <c r="F10756" t="s">
        <v>668</v>
      </c>
      <c r="G10756" t="s">
        <v>59</v>
      </c>
      <c r="H10756">
        <v>2025</v>
      </c>
    </row>
    <row r="10757" spans="1:8" x14ac:dyDescent="0.2">
      <c r="A10757">
        <v>329641</v>
      </c>
      <c r="B10757">
        <v>68229083</v>
      </c>
      <c r="C10757" t="str">
        <f t="shared" si="168"/>
        <v>1. Under $10K</v>
      </c>
      <c r="D10757" t="s">
        <v>1429</v>
      </c>
      <c r="E10757" t="s">
        <v>28</v>
      </c>
      <c r="F10757" t="s">
        <v>668</v>
      </c>
      <c r="G10757" t="s">
        <v>59</v>
      </c>
      <c r="H10757">
        <v>2025</v>
      </c>
    </row>
    <row r="10758" spans="1:8" x14ac:dyDescent="0.2">
      <c r="A10758">
        <v>329642</v>
      </c>
      <c r="B10758">
        <v>24387024</v>
      </c>
      <c r="C10758" t="str">
        <f t="shared" si="168"/>
        <v>5. $1M+</v>
      </c>
      <c r="D10758" t="s">
        <v>698</v>
      </c>
      <c r="E10758" t="s">
        <v>237</v>
      </c>
      <c r="F10758" t="s">
        <v>670</v>
      </c>
      <c r="G10758" t="s">
        <v>59</v>
      </c>
      <c r="H10758">
        <v>2025</v>
      </c>
    </row>
    <row r="10759" spans="1:8" x14ac:dyDescent="0.2">
      <c r="A10759">
        <v>329700</v>
      </c>
      <c r="B10759">
        <v>35400</v>
      </c>
      <c r="C10759" t="str">
        <f t="shared" si="168"/>
        <v>5. $1M+</v>
      </c>
      <c r="D10759" t="s">
        <v>801</v>
      </c>
      <c r="E10759" t="s">
        <v>237</v>
      </c>
      <c r="F10759" t="s">
        <v>670</v>
      </c>
      <c r="G10759" t="s">
        <v>59</v>
      </c>
      <c r="H10759">
        <v>2025</v>
      </c>
    </row>
    <row r="10760" spans="1:8" x14ac:dyDescent="0.2">
      <c r="A10760">
        <v>32971</v>
      </c>
      <c r="B10760">
        <v>767789.39999999898</v>
      </c>
      <c r="C10760" t="str">
        <f t="shared" si="168"/>
        <v>2. $10K-50K</v>
      </c>
      <c r="D10760" t="s">
        <v>535</v>
      </c>
      <c r="E10760" t="s">
        <v>18</v>
      </c>
      <c r="F10760" t="s">
        <v>14</v>
      </c>
      <c r="G10760" t="s">
        <v>61</v>
      </c>
      <c r="H10760">
        <v>2024</v>
      </c>
    </row>
    <row r="10761" spans="1:8" x14ac:dyDescent="0.2">
      <c r="A10761">
        <v>329724</v>
      </c>
      <c r="B10761">
        <v>7389797</v>
      </c>
      <c r="C10761" t="str">
        <f t="shared" si="168"/>
        <v>4. $250K-1M</v>
      </c>
      <c r="D10761" t="s">
        <v>1032</v>
      </c>
      <c r="E10761" t="s">
        <v>237</v>
      </c>
      <c r="F10761" t="s">
        <v>670</v>
      </c>
      <c r="G10761" t="s">
        <v>59</v>
      </c>
      <c r="H10761">
        <v>2025</v>
      </c>
    </row>
    <row r="10762" spans="1:8" x14ac:dyDescent="0.2">
      <c r="A10762">
        <v>329725</v>
      </c>
      <c r="B10762">
        <v>4814357</v>
      </c>
      <c r="C10762" t="str">
        <f t="shared" si="168"/>
        <v>5. $1M+</v>
      </c>
      <c r="D10762" t="s">
        <v>700</v>
      </c>
      <c r="E10762" t="s">
        <v>237</v>
      </c>
      <c r="F10762" t="s">
        <v>670</v>
      </c>
      <c r="G10762" t="s">
        <v>59</v>
      </c>
      <c r="H10762">
        <v>2025</v>
      </c>
    </row>
    <row r="10763" spans="1:8" x14ac:dyDescent="0.2">
      <c r="A10763">
        <v>329728</v>
      </c>
      <c r="B10763">
        <v>78078351</v>
      </c>
      <c r="C10763" t="str">
        <f t="shared" si="168"/>
        <v>5. $1M+</v>
      </c>
      <c r="D10763" t="s">
        <v>700</v>
      </c>
      <c r="E10763" t="s">
        <v>237</v>
      </c>
      <c r="F10763" t="s">
        <v>670</v>
      </c>
      <c r="G10763" t="s">
        <v>59</v>
      </c>
      <c r="H10763">
        <v>2025</v>
      </c>
    </row>
    <row r="10764" spans="1:8" x14ac:dyDescent="0.2">
      <c r="A10764">
        <v>329730</v>
      </c>
      <c r="B10764">
        <v>14165592</v>
      </c>
      <c r="C10764" t="str">
        <f t="shared" si="168"/>
        <v>5. $1M+</v>
      </c>
      <c r="D10764" t="s">
        <v>701</v>
      </c>
      <c r="E10764" t="s">
        <v>237</v>
      </c>
      <c r="F10764" t="s">
        <v>670</v>
      </c>
      <c r="G10764" t="s">
        <v>59</v>
      </c>
      <c r="H10764">
        <v>2025</v>
      </c>
    </row>
    <row r="10765" spans="1:8" x14ac:dyDescent="0.2">
      <c r="A10765">
        <v>329754</v>
      </c>
      <c r="B10765">
        <v>75000</v>
      </c>
      <c r="C10765" t="str">
        <f t="shared" si="168"/>
        <v>5. $1M+</v>
      </c>
      <c r="D10765" t="s">
        <v>672</v>
      </c>
      <c r="E10765" t="s">
        <v>42</v>
      </c>
      <c r="F10765" t="s">
        <v>670</v>
      </c>
      <c r="G10765" t="s">
        <v>59</v>
      </c>
      <c r="H10765">
        <v>2025</v>
      </c>
    </row>
    <row r="10766" spans="1:8" x14ac:dyDescent="0.2">
      <c r="A10766">
        <v>329755</v>
      </c>
      <c r="B10766">
        <v>325000</v>
      </c>
      <c r="C10766" t="str">
        <f t="shared" si="168"/>
        <v>3. $50K-250K</v>
      </c>
      <c r="D10766" t="s">
        <v>792</v>
      </c>
      <c r="E10766" t="s">
        <v>42</v>
      </c>
      <c r="F10766" t="s">
        <v>670</v>
      </c>
      <c r="G10766" t="s">
        <v>59</v>
      </c>
      <c r="H10766">
        <v>2025</v>
      </c>
    </row>
    <row r="10767" spans="1:8" x14ac:dyDescent="0.2">
      <c r="A10767">
        <v>32980</v>
      </c>
      <c r="B10767">
        <v>3623423.3</v>
      </c>
      <c r="C10767" t="str">
        <f t="shared" si="168"/>
        <v>4. $250K-1M</v>
      </c>
      <c r="D10767" t="s">
        <v>196</v>
      </c>
      <c r="E10767" t="s">
        <v>18</v>
      </c>
      <c r="F10767" t="s">
        <v>14</v>
      </c>
      <c r="G10767" t="s">
        <v>61</v>
      </c>
      <c r="H10767">
        <v>2023</v>
      </c>
    </row>
    <row r="10768" spans="1:8" x14ac:dyDescent="0.2">
      <c r="A10768">
        <v>329815</v>
      </c>
      <c r="B10768">
        <v>6000</v>
      </c>
      <c r="C10768" t="str">
        <f t="shared" si="168"/>
        <v>5. $1M+</v>
      </c>
      <c r="D10768" t="s">
        <v>2731</v>
      </c>
      <c r="E10768" t="s">
        <v>112</v>
      </c>
      <c r="F10768" t="s">
        <v>668</v>
      </c>
      <c r="G10768" t="s">
        <v>59</v>
      </c>
      <c r="H10768">
        <v>2025</v>
      </c>
    </row>
    <row r="10769" spans="1:8" x14ac:dyDescent="0.2">
      <c r="A10769">
        <v>329820</v>
      </c>
      <c r="B10769">
        <v>6000</v>
      </c>
      <c r="C10769" t="str">
        <f t="shared" si="168"/>
        <v>1. Under $10K</v>
      </c>
      <c r="D10769" t="s">
        <v>2732</v>
      </c>
      <c r="E10769" t="s">
        <v>112</v>
      </c>
      <c r="F10769" t="s">
        <v>668</v>
      </c>
      <c r="G10769" t="s">
        <v>59</v>
      </c>
      <c r="H10769">
        <v>2025</v>
      </c>
    </row>
    <row r="10770" spans="1:8" x14ac:dyDescent="0.2">
      <c r="A10770">
        <v>329824</v>
      </c>
      <c r="B10770">
        <v>6000</v>
      </c>
      <c r="C10770" t="str">
        <f t="shared" si="168"/>
        <v>1. Under $10K</v>
      </c>
      <c r="D10770" t="s">
        <v>2733</v>
      </c>
      <c r="E10770" t="s">
        <v>112</v>
      </c>
      <c r="F10770" t="s">
        <v>668</v>
      </c>
      <c r="G10770" t="s">
        <v>59</v>
      </c>
      <c r="H10770">
        <v>2025</v>
      </c>
    </row>
    <row r="10771" spans="1:8" x14ac:dyDescent="0.2">
      <c r="A10771">
        <v>329826</v>
      </c>
      <c r="B10771">
        <v>6000</v>
      </c>
      <c r="C10771" t="str">
        <f t="shared" si="168"/>
        <v>1. Under $10K</v>
      </c>
      <c r="D10771" t="s">
        <v>2734</v>
      </c>
      <c r="E10771" t="s">
        <v>112</v>
      </c>
      <c r="F10771" t="s">
        <v>668</v>
      </c>
      <c r="G10771" t="s">
        <v>59</v>
      </c>
      <c r="H10771">
        <v>2025</v>
      </c>
    </row>
    <row r="10772" spans="1:8" x14ac:dyDescent="0.2">
      <c r="A10772">
        <v>329829</v>
      </c>
      <c r="B10772">
        <v>6000</v>
      </c>
      <c r="C10772" t="str">
        <f t="shared" si="168"/>
        <v>1. Under $10K</v>
      </c>
      <c r="D10772" t="s">
        <v>2735</v>
      </c>
      <c r="E10772" t="s">
        <v>112</v>
      </c>
      <c r="F10772" t="s">
        <v>668</v>
      </c>
      <c r="G10772" t="s">
        <v>59</v>
      </c>
      <c r="H10772">
        <v>2025</v>
      </c>
    </row>
    <row r="10773" spans="1:8" x14ac:dyDescent="0.2">
      <c r="A10773">
        <v>329833</v>
      </c>
      <c r="B10773">
        <v>6000</v>
      </c>
      <c r="C10773" t="str">
        <f t="shared" si="168"/>
        <v>1. Under $10K</v>
      </c>
      <c r="D10773" t="s">
        <v>2736</v>
      </c>
      <c r="E10773" t="s">
        <v>112</v>
      </c>
      <c r="F10773" t="s">
        <v>668</v>
      </c>
      <c r="G10773" t="s">
        <v>59</v>
      </c>
      <c r="H10773">
        <v>2025</v>
      </c>
    </row>
    <row r="10774" spans="1:8" x14ac:dyDescent="0.2">
      <c r="A10774">
        <v>329851</v>
      </c>
      <c r="B10774">
        <v>6000</v>
      </c>
      <c r="C10774" t="str">
        <f t="shared" si="168"/>
        <v>1. Under $10K</v>
      </c>
      <c r="D10774" t="s">
        <v>2737</v>
      </c>
      <c r="E10774" t="s">
        <v>112</v>
      </c>
      <c r="F10774" t="s">
        <v>668</v>
      </c>
      <c r="G10774" t="s">
        <v>59</v>
      </c>
      <c r="H10774">
        <v>2025</v>
      </c>
    </row>
    <row r="10775" spans="1:8" x14ac:dyDescent="0.2">
      <c r="A10775">
        <v>329861</v>
      </c>
      <c r="B10775">
        <v>6000</v>
      </c>
      <c r="C10775" t="str">
        <f t="shared" si="168"/>
        <v>1. Under $10K</v>
      </c>
      <c r="D10775" t="s">
        <v>2738</v>
      </c>
      <c r="E10775" t="s">
        <v>112</v>
      </c>
      <c r="F10775" t="s">
        <v>668</v>
      </c>
      <c r="G10775" t="s">
        <v>59</v>
      </c>
      <c r="H10775">
        <v>2025</v>
      </c>
    </row>
    <row r="10776" spans="1:8" x14ac:dyDescent="0.2">
      <c r="A10776">
        <v>329866</v>
      </c>
      <c r="B10776">
        <v>6000</v>
      </c>
      <c r="C10776" t="str">
        <f t="shared" si="168"/>
        <v>1. Under $10K</v>
      </c>
      <c r="D10776" t="s">
        <v>2739</v>
      </c>
      <c r="E10776" t="s">
        <v>112</v>
      </c>
      <c r="F10776" t="s">
        <v>668</v>
      </c>
      <c r="G10776" t="s">
        <v>59</v>
      </c>
      <c r="H10776">
        <v>2025</v>
      </c>
    </row>
    <row r="10777" spans="1:8" x14ac:dyDescent="0.2">
      <c r="A10777">
        <v>329871</v>
      </c>
      <c r="B10777">
        <v>6000</v>
      </c>
      <c r="C10777" t="str">
        <f t="shared" si="168"/>
        <v>1. Under $10K</v>
      </c>
      <c r="D10777" t="s">
        <v>2740</v>
      </c>
      <c r="E10777" t="s">
        <v>112</v>
      </c>
      <c r="F10777" t="s">
        <v>668</v>
      </c>
      <c r="G10777" t="s">
        <v>59</v>
      </c>
      <c r="H10777">
        <v>2025</v>
      </c>
    </row>
    <row r="10778" spans="1:8" x14ac:dyDescent="0.2">
      <c r="A10778">
        <v>329872</v>
      </c>
      <c r="B10778">
        <v>6000</v>
      </c>
      <c r="C10778" t="str">
        <f t="shared" si="168"/>
        <v>1. Under $10K</v>
      </c>
      <c r="D10778" t="s">
        <v>2741</v>
      </c>
      <c r="E10778" t="s">
        <v>112</v>
      </c>
      <c r="F10778" t="s">
        <v>668</v>
      </c>
      <c r="G10778" t="s">
        <v>59</v>
      </c>
      <c r="H10778">
        <v>2025</v>
      </c>
    </row>
    <row r="10779" spans="1:8" x14ac:dyDescent="0.2">
      <c r="A10779">
        <v>329874</v>
      </c>
      <c r="B10779">
        <v>6000</v>
      </c>
      <c r="C10779" t="str">
        <f t="shared" si="168"/>
        <v>1. Under $10K</v>
      </c>
      <c r="D10779" t="s">
        <v>2742</v>
      </c>
      <c r="E10779" t="s">
        <v>112</v>
      </c>
      <c r="F10779" t="s">
        <v>668</v>
      </c>
      <c r="G10779" t="s">
        <v>59</v>
      </c>
      <c r="H10779">
        <v>2025</v>
      </c>
    </row>
    <row r="10780" spans="1:8" x14ac:dyDescent="0.2">
      <c r="A10780">
        <v>329877</v>
      </c>
      <c r="B10780">
        <v>6000</v>
      </c>
      <c r="C10780" t="str">
        <f t="shared" si="168"/>
        <v>1. Under $10K</v>
      </c>
      <c r="D10780" t="s">
        <v>2743</v>
      </c>
      <c r="E10780" t="s">
        <v>112</v>
      </c>
      <c r="F10780" t="s">
        <v>668</v>
      </c>
      <c r="G10780" t="s">
        <v>59</v>
      </c>
      <c r="H10780">
        <v>2025</v>
      </c>
    </row>
    <row r="10781" spans="1:8" x14ac:dyDescent="0.2">
      <c r="A10781">
        <v>329878</v>
      </c>
      <c r="B10781">
        <v>3500</v>
      </c>
      <c r="C10781" t="str">
        <f t="shared" si="168"/>
        <v>1. Under $10K</v>
      </c>
      <c r="D10781" t="s">
        <v>2744</v>
      </c>
      <c r="E10781" t="s">
        <v>112</v>
      </c>
      <c r="F10781" t="s">
        <v>668</v>
      </c>
      <c r="G10781" t="s">
        <v>59</v>
      </c>
      <c r="H10781">
        <v>2025</v>
      </c>
    </row>
    <row r="10782" spans="1:8" x14ac:dyDescent="0.2">
      <c r="A10782">
        <v>329879</v>
      </c>
      <c r="B10782">
        <v>6000</v>
      </c>
      <c r="C10782" t="str">
        <f t="shared" si="168"/>
        <v>1. Under $10K</v>
      </c>
      <c r="D10782" t="s">
        <v>2745</v>
      </c>
      <c r="E10782" t="s">
        <v>112</v>
      </c>
      <c r="F10782" t="s">
        <v>668</v>
      </c>
      <c r="G10782" t="s">
        <v>59</v>
      </c>
      <c r="H10782">
        <v>2025</v>
      </c>
    </row>
    <row r="10783" spans="1:8" x14ac:dyDescent="0.2">
      <c r="A10783">
        <v>329880</v>
      </c>
      <c r="B10783">
        <v>6000</v>
      </c>
      <c r="C10783" t="str">
        <f t="shared" si="168"/>
        <v>1. Under $10K</v>
      </c>
      <c r="D10783" t="s">
        <v>2746</v>
      </c>
      <c r="E10783" t="s">
        <v>112</v>
      </c>
      <c r="F10783" t="s">
        <v>668</v>
      </c>
      <c r="G10783" t="s">
        <v>59</v>
      </c>
      <c r="H10783">
        <v>2025</v>
      </c>
    </row>
    <row r="10784" spans="1:8" x14ac:dyDescent="0.2">
      <c r="A10784">
        <v>329881</v>
      </c>
      <c r="B10784">
        <v>6000</v>
      </c>
      <c r="C10784" t="str">
        <f t="shared" si="168"/>
        <v>1. Under $10K</v>
      </c>
      <c r="D10784" t="s">
        <v>2747</v>
      </c>
      <c r="E10784" t="s">
        <v>112</v>
      </c>
      <c r="F10784" t="s">
        <v>668</v>
      </c>
      <c r="G10784" t="s">
        <v>59</v>
      </c>
      <c r="H10784">
        <v>2025</v>
      </c>
    </row>
    <row r="10785" spans="1:8" x14ac:dyDescent="0.2">
      <c r="A10785">
        <v>329882</v>
      </c>
      <c r="B10785">
        <v>6000</v>
      </c>
      <c r="C10785" t="str">
        <f t="shared" si="168"/>
        <v>1. Under $10K</v>
      </c>
      <c r="D10785" t="s">
        <v>2748</v>
      </c>
      <c r="E10785" t="s">
        <v>112</v>
      </c>
      <c r="F10785" t="s">
        <v>668</v>
      </c>
      <c r="G10785" t="s">
        <v>59</v>
      </c>
      <c r="H10785">
        <v>2025</v>
      </c>
    </row>
    <row r="10786" spans="1:8" x14ac:dyDescent="0.2">
      <c r="A10786">
        <v>329883</v>
      </c>
      <c r="B10786">
        <v>2000</v>
      </c>
      <c r="C10786" t="str">
        <f t="shared" si="168"/>
        <v>1. Under $10K</v>
      </c>
      <c r="D10786" t="s">
        <v>2749</v>
      </c>
      <c r="E10786" t="s">
        <v>112</v>
      </c>
      <c r="F10786" t="s">
        <v>668</v>
      </c>
      <c r="G10786" t="s">
        <v>59</v>
      </c>
      <c r="H10786">
        <v>2025</v>
      </c>
    </row>
    <row r="10787" spans="1:8" x14ac:dyDescent="0.2">
      <c r="A10787">
        <v>329884</v>
      </c>
      <c r="B10787">
        <v>6000</v>
      </c>
      <c r="C10787" t="str">
        <f t="shared" si="168"/>
        <v>1. Under $10K</v>
      </c>
      <c r="D10787" t="s">
        <v>2750</v>
      </c>
      <c r="E10787" t="s">
        <v>112</v>
      </c>
      <c r="F10787" t="s">
        <v>668</v>
      </c>
      <c r="G10787" t="s">
        <v>59</v>
      </c>
      <c r="H10787">
        <v>2025</v>
      </c>
    </row>
    <row r="10788" spans="1:8" x14ac:dyDescent="0.2">
      <c r="A10788">
        <v>329886</v>
      </c>
      <c r="B10788">
        <v>5000</v>
      </c>
      <c r="C10788" t="str">
        <f t="shared" si="168"/>
        <v>1. Under $10K</v>
      </c>
      <c r="D10788" t="s">
        <v>2751</v>
      </c>
      <c r="E10788" t="s">
        <v>112</v>
      </c>
      <c r="F10788" t="s">
        <v>668</v>
      </c>
      <c r="G10788" t="s">
        <v>59</v>
      </c>
      <c r="H10788">
        <v>2025</v>
      </c>
    </row>
    <row r="10789" spans="1:8" x14ac:dyDescent="0.2">
      <c r="A10789">
        <v>329887</v>
      </c>
      <c r="B10789">
        <v>85414</v>
      </c>
      <c r="C10789" t="str">
        <f t="shared" si="168"/>
        <v>1. Under $10K</v>
      </c>
      <c r="D10789" t="s">
        <v>1712</v>
      </c>
      <c r="E10789" t="s">
        <v>112</v>
      </c>
      <c r="F10789" t="s">
        <v>668</v>
      </c>
      <c r="G10789" t="s">
        <v>59</v>
      </c>
      <c r="H10789">
        <v>2025</v>
      </c>
    </row>
    <row r="10790" spans="1:8" x14ac:dyDescent="0.2">
      <c r="A10790">
        <v>329890</v>
      </c>
      <c r="B10790">
        <v>5000</v>
      </c>
      <c r="C10790" t="str">
        <f t="shared" si="168"/>
        <v>3. $50K-250K</v>
      </c>
      <c r="D10790" t="s">
        <v>2752</v>
      </c>
      <c r="E10790" t="s">
        <v>112</v>
      </c>
      <c r="F10790" t="s">
        <v>668</v>
      </c>
      <c r="G10790" t="s">
        <v>59</v>
      </c>
      <c r="H10790">
        <v>2025</v>
      </c>
    </row>
    <row r="10791" spans="1:8" x14ac:dyDescent="0.2">
      <c r="A10791">
        <v>329891</v>
      </c>
      <c r="B10791">
        <v>6000</v>
      </c>
      <c r="C10791" t="str">
        <f t="shared" si="168"/>
        <v>1. Under $10K</v>
      </c>
      <c r="D10791" t="s">
        <v>2753</v>
      </c>
      <c r="E10791" t="s">
        <v>112</v>
      </c>
      <c r="F10791" t="s">
        <v>668</v>
      </c>
      <c r="G10791" t="s">
        <v>59</v>
      </c>
      <c r="H10791">
        <v>2025</v>
      </c>
    </row>
    <row r="10792" spans="1:8" x14ac:dyDescent="0.2">
      <c r="A10792">
        <v>329893</v>
      </c>
      <c r="B10792">
        <v>6000</v>
      </c>
      <c r="C10792" t="str">
        <f t="shared" si="168"/>
        <v>1. Under $10K</v>
      </c>
      <c r="D10792" t="s">
        <v>2754</v>
      </c>
      <c r="E10792" t="s">
        <v>112</v>
      </c>
      <c r="F10792" t="s">
        <v>668</v>
      </c>
      <c r="G10792" t="s">
        <v>59</v>
      </c>
      <c r="H10792">
        <v>2025</v>
      </c>
    </row>
    <row r="10793" spans="1:8" x14ac:dyDescent="0.2">
      <c r="A10793">
        <v>329894</v>
      </c>
      <c r="B10793">
        <v>5000</v>
      </c>
      <c r="C10793" t="str">
        <f t="shared" si="168"/>
        <v>1. Under $10K</v>
      </c>
      <c r="D10793" t="s">
        <v>2755</v>
      </c>
      <c r="E10793" t="s">
        <v>112</v>
      </c>
      <c r="F10793" t="s">
        <v>668</v>
      </c>
      <c r="G10793" t="s">
        <v>59</v>
      </c>
      <c r="H10793">
        <v>2025</v>
      </c>
    </row>
    <row r="10794" spans="1:8" x14ac:dyDescent="0.2">
      <c r="A10794">
        <v>329895</v>
      </c>
      <c r="B10794">
        <v>6000</v>
      </c>
      <c r="C10794" t="str">
        <f t="shared" si="168"/>
        <v>1. Under $10K</v>
      </c>
      <c r="D10794" t="s">
        <v>2756</v>
      </c>
      <c r="E10794" t="s">
        <v>112</v>
      </c>
      <c r="F10794" t="s">
        <v>668</v>
      </c>
      <c r="G10794" t="s">
        <v>59</v>
      </c>
      <c r="H10794">
        <v>2025</v>
      </c>
    </row>
    <row r="10795" spans="1:8" x14ac:dyDescent="0.2">
      <c r="A10795">
        <v>329901</v>
      </c>
      <c r="B10795">
        <v>6000</v>
      </c>
      <c r="C10795" t="str">
        <f t="shared" si="168"/>
        <v>1. Under $10K</v>
      </c>
      <c r="D10795" t="s">
        <v>2757</v>
      </c>
      <c r="E10795" t="s">
        <v>112</v>
      </c>
      <c r="F10795" t="s">
        <v>668</v>
      </c>
      <c r="G10795" t="s">
        <v>59</v>
      </c>
      <c r="H10795">
        <v>2025</v>
      </c>
    </row>
    <row r="10796" spans="1:8" x14ac:dyDescent="0.2">
      <c r="A10796">
        <v>329973</v>
      </c>
      <c r="B10796">
        <v>17700</v>
      </c>
      <c r="C10796" t="str">
        <f t="shared" si="168"/>
        <v>1. Under $10K</v>
      </c>
      <c r="D10796" t="s">
        <v>957</v>
      </c>
      <c r="E10796" t="s">
        <v>237</v>
      </c>
      <c r="F10796" t="s">
        <v>670</v>
      </c>
      <c r="G10796" t="s">
        <v>59</v>
      </c>
      <c r="H10796">
        <v>2025</v>
      </c>
    </row>
    <row r="10797" spans="1:8" x14ac:dyDescent="0.2">
      <c r="A10797">
        <v>329997</v>
      </c>
      <c r="B10797">
        <v>6000</v>
      </c>
      <c r="C10797" t="str">
        <f t="shared" si="168"/>
        <v>2. $10K-50K</v>
      </c>
      <c r="D10797" t="s">
        <v>2758</v>
      </c>
      <c r="E10797" t="s">
        <v>112</v>
      </c>
      <c r="F10797" t="s">
        <v>668</v>
      </c>
      <c r="G10797" t="s">
        <v>59</v>
      </c>
      <c r="H10797">
        <v>2025</v>
      </c>
    </row>
    <row r="10798" spans="1:8" x14ac:dyDescent="0.2">
      <c r="A10798">
        <v>330000</v>
      </c>
      <c r="B10798">
        <v>6000</v>
      </c>
      <c r="C10798" t="str">
        <f t="shared" si="168"/>
        <v>1. Under $10K</v>
      </c>
      <c r="D10798" t="s">
        <v>2759</v>
      </c>
      <c r="E10798" t="s">
        <v>112</v>
      </c>
      <c r="F10798" t="s">
        <v>668</v>
      </c>
      <c r="G10798" t="s">
        <v>59</v>
      </c>
      <c r="H10798">
        <v>2025</v>
      </c>
    </row>
    <row r="10799" spans="1:8" x14ac:dyDescent="0.2">
      <c r="A10799">
        <v>330001</v>
      </c>
      <c r="B10799">
        <v>6000</v>
      </c>
      <c r="C10799" t="str">
        <f t="shared" si="168"/>
        <v>1. Under $10K</v>
      </c>
      <c r="D10799" t="s">
        <v>2760</v>
      </c>
      <c r="E10799" t="s">
        <v>112</v>
      </c>
      <c r="F10799" t="s">
        <v>668</v>
      </c>
      <c r="G10799" t="s">
        <v>59</v>
      </c>
      <c r="H10799">
        <v>2025</v>
      </c>
    </row>
    <row r="10800" spans="1:8" x14ac:dyDescent="0.2">
      <c r="A10800">
        <v>330011</v>
      </c>
      <c r="B10800">
        <v>6000</v>
      </c>
      <c r="C10800" t="str">
        <f t="shared" si="168"/>
        <v>1. Under $10K</v>
      </c>
      <c r="D10800" t="s">
        <v>2761</v>
      </c>
      <c r="E10800" t="s">
        <v>112</v>
      </c>
      <c r="F10800" t="s">
        <v>668</v>
      </c>
      <c r="G10800" t="s">
        <v>59</v>
      </c>
      <c r="H10800">
        <v>2025</v>
      </c>
    </row>
    <row r="10801" spans="1:8" x14ac:dyDescent="0.2">
      <c r="A10801">
        <v>330041</v>
      </c>
      <c r="B10801">
        <v>6000</v>
      </c>
      <c r="C10801" t="str">
        <f t="shared" si="168"/>
        <v>1. Under $10K</v>
      </c>
      <c r="D10801" t="s">
        <v>2762</v>
      </c>
      <c r="E10801" t="s">
        <v>112</v>
      </c>
      <c r="F10801" t="s">
        <v>668</v>
      </c>
      <c r="G10801" t="s">
        <v>59</v>
      </c>
      <c r="H10801">
        <v>2025</v>
      </c>
    </row>
    <row r="10802" spans="1:8" x14ac:dyDescent="0.2">
      <c r="A10802">
        <v>330044</v>
      </c>
      <c r="B10802">
        <v>2000</v>
      </c>
      <c r="C10802" t="str">
        <f t="shared" si="168"/>
        <v>1. Under $10K</v>
      </c>
      <c r="D10802" t="s">
        <v>2763</v>
      </c>
      <c r="E10802" t="s">
        <v>112</v>
      </c>
      <c r="F10802" t="s">
        <v>668</v>
      </c>
      <c r="G10802" t="s">
        <v>59</v>
      </c>
      <c r="H10802">
        <v>2025</v>
      </c>
    </row>
    <row r="10803" spans="1:8" x14ac:dyDescent="0.2">
      <c r="A10803">
        <v>330053</v>
      </c>
      <c r="B10803">
        <v>6000</v>
      </c>
      <c r="C10803" t="str">
        <f t="shared" si="168"/>
        <v>1. Under $10K</v>
      </c>
      <c r="D10803" t="s">
        <v>2764</v>
      </c>
      <c r="E10803" t="s">
        <v>112</v>
      </c>
      <c r="F10803" t="s">
        <v>668</v>
      </c>
      <c r="G10803" t="s">
        <v>59</v>
      </c>
      <c r="H10803">
        <v>2025</v>
      </c>
    </row>
    <row r="10804" spans="1:8" x14ac:dyDescent="0.2">
      <c r="A10804">
        <v>330059</v>
      </c>
      <c r="B10804">
        <v>5000</v>
      </c>
      <c r="C10804" t="str">
        <f t="shared" si="168"/>
        <v>1. Under $10K</v>
      </c>
      <c r="D10804" t="s">
        <v>2765</v>
      </c>
      <c r="E10804" t="s">
        <v>112</v>
      </c>
      <c r="F10804" t="s">
        <v>668</v>
      </c>
      <c r="G10804" t="s">
        <v>59</v>
      </c>
      <c r="H10804">
        <v>2025</v>
      </c>
    </row>
    <row r="10805" spans="1:8" x14ac:dyDescent="0.2">
      <c r="A10805">
        <v>330061</v>
      </c>
      <c r="B10805">
        <v>5000</v>
      </c>
      <c r="C10805" t="str">
        <f t="shared" si="168"/>
        <v>1. Under $10K</v>
      </c>
      <c r="D10805" t="s">
        <v>2766</v>
      </c>
      <c r="E10805" t="s">
        <v>112</v>
      </c>
      <c r="F10805" t="s">
        <v>668</v>
      </c>
      <c r="G10805" t="s">
        <v>59</v>
      </c>
      <c r="H10805">
        <v>2025</v>
      </c>
    </row>
    <row r="10806" spans="1:8" x14ac:dyDescent="0.2">
      <c r="A10806">
        <v>330062</v>
      </c>
      <c r="B10806">
        <v>6000</v>
      </c>
      <c r="C10806" t="str">
        <f t="shared" si="168"/>
        <v>1. Under $10K</v>
      </c>
      <c r="D10806" t="s">
        <v>2767</v>
      </c>
      <c r="E10806" t="s">
        <v>112</v>
      </c>
      <c r="F10806" t="s">
        <v>668</v>
      </c>
      <c r="G10806" t="s">
        <v>59</v>
      </c>
      <c r="H10806">
        <v>2025</v>
      </c>
    </row>
    <row r="10807" spans="1:8" x14ac:dyDescent="0.2">
      <c r="A10807">
        <v>330064</v>
      </c>
      <c r="B10807">
        <v>6000</v>
      </c>
      <c r="C10807" t="str">
        <f t="shared" si="168"/>
        <v>1. Under $10K</v>
      </c>
      <c r="D10807" t="s">
        <v>2768</v>
      </c>
      <c r="E10807" t="s">
        <v>112</v>
      </c>
      <c r="F10807" t="s">
        <v>668</v>
      </c>
      <c r="G10807" t="s">
        <v>59</v>
      </c>
      <c r="H10807">
        <v>2025</v>
      </c>
    </row>
    <row r="10808" spans="1:8" x14ac:dyDescent="0.2">
      <c r="A10808">
        <v>330065</v>
      </c>
      <c r="B10808">
        <v>6000</v>
      </c>
      <c r="C10808" t="str">
        <f t="shared" si="168"/>
        <v>1. Under $10K</v>
      </c>
      <c r="D10808" t="s">
        <v>2769</v>
      </c>
      <c r="E10808" t="s">
        <v>112</v>
      </c>
      <c r="F10808" t="s">
        <v>668</v>
      </c>
      <c r="G10808" t="s">
        <v>59</v>
      </c>
      <c r="H10808">
        <v>2025</v>
      </c>
    </row>
    <row r="10809" spans="1:8" x14ac:dyDescent="0.2">
      <c r="A10809">
        <v>330068</v>
      </c>
      <c r="B10809">
        <v>6000</v>
      </c>
      <c r="C10809" t="str">
        <f t="shared" si="168"/>
        <v>1. Under $10K</v>
      </c>
      <c r="D10809" t="s">
        <v>2770</v>
      </c>
      <c r="E10809" t="s">
        <v>112</v>
      </c>
      <c r="F10809" t="s">
        <v>668</v>
      </c>
      <c r="G10809" t="s">
        <v>59</v>
      </c>
      <c r="H10809">
        <v>2025</v>
      </c>
    </row>
    <row r="10810" spans="1:8" x14ac:dyDescent="0.2">
      <c r="A10810">
        <v>330070</v>
      </c>
      <c r="B10810">
        <v>6000</v>
      </c>
      <c r="C10810" t="str">
        <f t="shared" si="168"/>
        <v>1. Under $10K</v>
      </c>
      <c r="D10810" t="s">
        <v>2771</v>
      </c>
      <c r="E10810" t="s">
        <v>112</v>
      </c>
      <c r="F10810" t="s">
        <v>668</v>
      </c>
      <c r="G10810" t="s">
        <v>59</v>
      </c>
      <c r="H10810">
        <v>2025</v>
      </c>
    </row>
    <row r="10811" spans="1:8" x14ac:dyDescent="0.2">
      <c r="A10811">
        <v>330076</v>
      </c>
      <c r="B10811">
        <v>6000</v>
      </c>
      <c r="C10811" t="str">
        <f t="shared" si="168"/>
        <v>1. Under $10K</v>
      </c>
      <c r="D10811" t="s">
        <v>2772</v>
      </c>
      <c r="E10811" t="s">
        <v>112</v>
      </c>
      <c r="F10811" t="s">
        <v>668</v>
      </c>
      <c r="G10811" t="s">
        <v>59</v>
      </c>
      <c r="H10811">
        <v>2025</v>
      </c>
    </row>
    <row r="10812" spans="1:8" x14ac:dyDescent="0.2">
      <c r="A10812">
        <v>330081</v>
      </c>
      <c r="B10812">
        <v>6000</v>
      </c>
      <c r="C10812" t="str">
        <f t="shared" si="168"/>
        <v>1. Under $10K</v>
      </c>
      <c r="D10812" t="s">
        <v>460</v>
      </c>
      <c r="E10812" t="s">
        <v>112</v>
      </c>
      <c r="F10812" t="s">
        <v>668</v>
      </c>
      <c r="G10812" t="s">
        <v>59</v>
      </c>
      <c r="H10812">
        <v>2025</v>
      </c>
    </row>
    <row r="10813" spans="1:8" x14ac:dyDescent="0.2">
      <c r="A10813">
        <v>330084</v>
      </c>
      <c r="B10813">
        <v>6000</v>
      </c>
      <c r="C10813" t="str">
        <f t="shared" si="168"/>
        <v>1. Under $10K</v>
      </c>
      <c r="D10813" t="s">
        <v>2773</v>
      </c>
      <c r="E10813" t="s">
        <v>112</v>
      </c>
      <c r="F10813" t="s">
        <v>668</v>
      </c>
      <c r="G10813" t="s">
        <v>59</v>
      </c>
      <c r="H10813">
        <v>2025</v>
      </c>
    </row>
    <row r="10814" spans="1:8" x14ac:dyDescent="0.2">
      <c r="A10814">
        <v>330086</v>
      </c>
      <c r="B10814">
        <v>5000</v>
      </c>
      <c r="C10814" t="str">
        <f t="shared" si="168"/>
        <v>1. Under $10K</v>
      </c>
      <c r="D10814" t="s">
        <v>2774</v>
      </c>
      <c r="E10814" t="s">
        <v>112</v>
      </c>
      <c r="F10814" t="s">
        <v>668</v>
      </c>
      <c r="G10814" t="s">
        <v>59</v>
      </c>
      <c r="H10814">
        <v>2025</v>
      </c>
    </row>
    <row r="10815" spans="1:8" x14ac:dyDescent="0.2">
      <c r="A10815">
        <v>330089</v>
      </c>
      <c r="B10815">
        <v>6000</v>
      </c>
      <c r="C10815" t="str">
        <f t="shared" si="168"/>
        <v>1. Under $10K</v>
      </c>
      <c r="D10815" t="s">
        <v>2775</v>
      </c>
      <c r="E10815" t="s">
        <v>112</v>
      </c>
      <c r="F10815" t="s">
        <v>668</v>
      </c>
      <c r="G10815" t="s">
        <v>59</v>
      </c>
      <c r="H10815">
        <v>2025</v>
      </c>
    </row>
    <row r="10816" spans="1:8" x14ac:dyDescent="0.2">
      <c r="A10816">
        <v>330093</v>
      </c>
      <c r="B10816">
        <v>6000</v>
      </c>
      <c r="C10816" t="str">
        <f t="shared" si="168"/>
        <v>1. Under $10K</v>
      </c>
      <c r="D10816" t="s">
        <v>2776</v>
      </c>
      <c r="E10816" t="s">
        <v>112</v>
      </c>
      <c r="F10816" t="s">
        <v>668</v>
      </c>
      <c r="G10816" t="s">
        <v>59</v>
      </c>
      <c r="H10816">
        <v>2025</v>
      </c>
    </row>
    <row r="10817" spans="1:8" x14ac:dyDescent="0.2">
      <c r="A10817">
        <v>330094</v>
      </c>
      <c r="B10817">
        <v>6000</v>
      </c>
      <c r="C10817" t="str">
        <f t="shared" si="168"/>
        <v>1. Under $10K</v>
      </c>
      <c r="D10817" t="s">
        <v>2777</v>
      </c>
      <c r="E10817" t="s">
        <v>112</v>
      </c>
      <c r="F10817" t="s">
        <v>668</v>
      </c>
      <c r="G10817" t="s">
        <v>59</v>
      </c>
      <c r="H10817">
        <v>2025</v>
      </c>
    </row>
    <row r="10818" spans="1:8" x14ac:dyDescent="0.2">
      <c r="A10818">
        <v>330097</v>
      </c>
      <c r="B10818">
        <v>3500</v>
      </c>
      <c r="C10818" t="str">
        <f t="shared" si="168"/>
        <v>1. Under $10K</v>
      </c>
      <c r="D10818" t="s">
        <v>2778</v>
      </c>
      <c r="E10818" t="s">
        <v>112</v>
      </c>
      <c r="F10818" t="s">
        <v>668</v>
      </c>
      <c r="G10818" t="s">
        <v>59</v>
      </c>
      <c r="H10818">
        <v>2025</v>
      </c>
    </row>
    <row r="10819" spans="1:8" x14ac:dyDescent="0.2">
      <c r="A10819">
        <v>330100</v>
      </c>
      <c r="B10819">
        <v>6000</v>
      </c>
      <c r="C10819" t="str">
        <f t="shared" ref="C10819:C10882" si="169">IF(B10818&lt;10000,"1. Under $10K",IF(B10818&lt;50000,"2. $10K-50K",IF(B10818&lt;250000,"3. $50K-250K",IF(B10818&lt;1000000,"4. $250K-1M","5. $1M+"))))</f>
        <v>1. Under $10K</v>
      </c>
      <c r="D10819" t="s">
        <v>2779</v>
      </c>
      <c r="E10819" t="s">
        <v>112</v>
      </c>
      <c r="F10819" t="s">
        <v>668</v>
      </c>
      <c r="G10819" t="s">
        <v>59</v>
      </c>
      <c r="H10819">
        <v>2025</v>
      </c>
    </row>
    <row r="10820" spans="1:8" x14ac:dyDescent="0.2">
      <c r="A10820">
        <v>330102</v>
      </c>
      <c r="B10820">
        <v>6000</v>
      </c>
      <c r="C10820" t="str">
        <f t="shared" si="169"/>
        <v>1. Under $10K</v>
      </c>
      <c r="D10820" t="s">
        <v>2780</v>
      </c>
      <c r="E10820" t="s">
        <v>112</v>
      </c>
      <c r="F10820" t="s">
        <v>668</v>
      </c>
      <c r="G10820" t="s">
        <v>59</v>
      </c>
      <c r="H10820">
        <v>2025</v>
      </c>
    </row>
    <row r="10821" spans="1:8" x14ac:dyDescent="0.2">
      <c r="A10821">
        <v>330103</v>
      </c>
      <c r="B10821">
        <v>6000</v>
      </c>
      <c r="C10821" t="str">
        <f t="shared" si="169"/>
        <v>1. Under $10K</v>
      </c>
      <c r="D10821" t="s">
        <v>2781</v>
      </c>
      <c r="E10821" t="s">
        <v>112</v>
      </c>
      <c r="F10821" t="s">
        <v>668</v>
      </c>
      <c r="G10821" t="s">
        <v>59</v>
      </c>
      <c r="H10821">
        <v>2025</v>
      </c>
    </row>
    <row r="10822" spans="1:8" x14ac:dyDescent="0.2">
      <c r="A10822">
        <v>330104</v>
      </c>
      <c r="B10822">
        <v>4250</v>
      </c>
      <c r="C10822" t="str">
        <f t="shared" si="169"/>
        <v>1. Under $10K</v>
      </c>
      <c r="D10822" t="s">
        <v>2782</v>
      </c>
      <c r="E10822" t="s">
        <v>112</v>
      </c>
      <c r="F10822" t="s">
        <v>668</v>
      </c>
      <c r="G10822" t="s">
        <v>59</v>
      </c>
      <c r="H10822">
        <v>2025</v>
      </c>
    </row>
    <row r="10823" spans="1:8" x14ac:dyDescent="0.2">
      <c r="A10823">
        <v>330190</v>
      </c>
      <c r="B10823">
        <v>34850</v>
      </c>
      <c r="C10823" t="str">
        <f t="shared" si="169"/>
        <v>1. Under $10K</v>
      </c>
      <c r="D10823" t="s">
        <v>1950</v>
      </c>
      <c r="E10823" t="s">
        <v>112</v>
      </c>
      <c r="F10823" t="s">
        <v>668</v>
      </c>
      <c r="G10823" t="s">
        <v>59</v>
      </c>
      <c r="H10823">
        <v>2025</v>
      </c>
    </row>
    <row r="10824" spans="1:8" x14ac:dyDescent="0.2">
      <c r="A10824">
        <v>330192</v>
      </c>
      <c r="B10824">
        <v>120000</v>
      </c>
      <c r="C10824" t="str">
        <f t="shared" si="169"/>
        <v>2. $10K-50K</v>
      </c>
      <c r="D10824" t="s">
        <v>2783</v>
      </c>
      <c r="E10824" t="s">
        <v>112</v>
      </c>
      <c r="F10824" t="s">
        <v>668</v>
      </c>
      <c r="G10824" t="s">
        <v>59</v>
      </c>
      <c r="H10824">
        <v>2025</v>
      </c>
    </row>
    <row r="10825" spans="1:8" x14ac:dyDescent="0.2">
      <c r="A10825">
        <v>330193</v>
      </c>
      <c r="B10825">
        <v>3000000</v>
      </c>
      <c r="C10825" t="str">
        <f t="shared" si="169"/>
        <v>3. $50K-250K</v>
      </c>
      <c r="D10825" t="s">
        <v>1749</v>
      </c>
      <c r="E10825" t="s">
        <v>99</v>
      </c>
      <c r="F10825" t="s">
        <v>668</v>
      </c>
      <c r="G10825" t="s">
        <v>59</v>
      </c>
      <c r="H10825">
        <v>2025</v>
      </c>
    </row>
    <row r="10826" spans="1:8" x14ac:dyDescent="0.2">
      <c r="A10826">
        <v>330196</v>
      </c>
      <c r="B10826">
        <v>2434955</v>
      </c>
      <c r="C10826" t="str">
        <f t="shared" si="169"/>
        <v>5. $1M+</v>
      </c>
      <c r="D10826" t="s">
        <v>2784</v>
      </c>
      <c r="E10826" t="s">
        <v>99</v>
      </c>
      <c r="F10826" t="s">
        <v>668</v>
      </c>
      <c r="G10826" t="s">
        <v>59</v>
      </c>
      <c r="H10826">
        <v>2025</v>
      </c>
    </row>
    <row r="10827" spans="1:8" x14ac:dyDescent="0.2">
      <c r="A10827">
        <v>330197</v>
      </c>
      <c r="B10827">
        <v>5750</v>
      </c>
      <c r="C10827" t="str">
        <f t="shared" si="169"/>
        <v>5. $1M+</v>
      </c>
      <c r="D10827" t="s">
        <v>2785</v>
      </c>
      <c r="E10827" t="s">
        <v>112</v>
      </c>
      <c r="F10827" t="s">
        <v>668</v>
      </c>
      <c r="G10827" t="s">
        <v>59</v>
      </c>
      <c r="H10827">
        <v>2025</v>
      </c>
    </row>
    <row r="10828" spans="1:8" x14ac:dyDescent="0.2">
      <c r="A10828">
        <v>330198</v>
      </c>
      <c r="B10828">
        <v>6000</v>
      </c>
      <c r="C10828" t="str">
        <f t="shared" si="169"/>
        <v>1. Under $10K</v>
      </c>
      <c r="D10828" t="s">
        <v>2786</v>
      </c>
      <c r="E10828" t="s">
        <v>112</v>
      </c>
      <c r="F10828" t="s">
        <v>668</v>
      </c>
      <c r="G10828" t="s">
        <v>59</v>
      </c>
      <c r="H10828">
        <v>2025</v>
      </c>
    </row>
    <row r="10829" spans="1:8" x14ac:dyDescent="0.2">
      <c r="A10829">
        <v>330199</v>
      </c>
      <c r="B10829">
        <v>85000</v>
      </c>
      <c r="C10829" t="str">
        <f t="shared" si="169"/>
        <v>1. Under $10K</v>
      </c>
      <c r="D10829" t="s">
        <v>1216</v>
      </c>
      <c r="E10829" t="s">
        <v>28</v>
      </c>
      <c r="F10829" t="s">
        <v>668</v>
      </c>
      <c r="G10829" t="s">
        <v>59</v>
      </c>
      <c r="H10829">
        <v>2025</v>
      </c>
    </row>
    <row r="10830" spans="1:8" x14ac:dyDescent="0.2">
      <c r="A10830">
        <v>330201</v>
      </c>
      <c r="B10830">
        <v>6000</v>
      </c>
      <c r="C10830" t="str">
        <f t="shared" si="169"/>
        <v>3. $50K-250K</v>
      </c>
      <c r="D10830" t="s">
        <v>2787</v>
      </c>
      <c r="E10830" t="s">
        <v>112</v>
      </c>
      <c r="F10830" t="s">
        <v>668</v>
      </c>
      <c r="G10830" t="s">
        <v>59</v>
      </c>
      <c r="H10830">
        <v>2025</v>
      </c>
    </row>
    <row r="10831" spans="1:8" x14ac:dyDescent="0.2">
      <c r="A10831">
        <v>330206</v>
      </c>
      <c r="B10831">
        <v>700000</v>
      </c>
      <c r="C10831" t="str">
        <f t="shared" si="169"/>
        <v>1. Under $10K</v>
      </c>
      <c r="D10831" t="s">
        <v>1602</v>
      </c>
      <c r="E10831" t="s">
        <v>99</v>
      </c>
      <c r="F10831" t="s">
        <v>668</v>
      </c>
      <c r="G10831" t="s">
        <v>59</v>
      </c>
      <c r="H10831">
        <v>2025</v>
      </c>
    </row>
    <row r="10832" spans="1:8" x14ac:dyDescent="0.2">
      <c r="A10832">
        <v>330209</v>
      </c>
      <c r="B10832">
        <v>3000</v>
      </c>
      <c r="C10832" t="str">
        <f t="shared" si="169"/>
        <v>4. $250K-1M</v>
      </c>
      <c r="D10832" t="s">
        <v>1229</v>
      </c>
      <c r="E10832" t="s">
        <v>112</v>
      </c>
      <c r="F10832" t="s">
        <v>668</v>
      </c>
      <c r="G10832" t="s">
        <v>59</v>
      </c>
      <c r="H10832">
        <v>2025</v>
      </c>
    </row>
    <row r="10833" spans="1:8" x14ac:dyDescent="0.2">
      <c r="A10833">
        <v>330210</v>
      </c>
      <c r="B10833">
        <v>1000</v>
      </c>
      <c r="C10833" t="str">
        <f t="shared" si="169"/>
        <v>1. Under $10K</v>
      </c>
      <c r="D10833" t="s">
        <v>2788</v>
      </c>
      <c r="E10833" t="s">
        <v>112</v>
      </c>
      <c r="F10833" t="s">
        <v>668</v>
      </c>
      <c r="G10833" t="s">
        <v>59</v>
      </c>
      <c r="H10833">
        <v>2025</v>
      </c>
    </row>
    <row r="10834" spans="1:8" x14ac:dyDescent="0.2">
      <c r="A10834">
        <v>330218</v>
      </c>
      <c r="B10834">
        <v>25000</v>
      </c>
      <c r="C10834" t="str">
        <f t="shared" si="169"/>
        <v>1. Under $10K</v>
      </c>
      <c r="D10834" t="s">
        <v>1121</v>
      </c>
      <c r="E10834" t="s">
        <v>112</v>
      </c>
      <c r="F10834" t="s">
        <v>668</v>
      </c>
      <c r="G10834" t="s">
        <v>59</v>
      </c>
      <c r="H10834">
        <v>2025</v>
      </c>
    </row>
    <row r="10835" spans="1:8" x14ac:dyDescent="0.2">
      <c r="A10835">
        <v>330222</v>
      </c>
      <c r="B10835">
        <v>1000</v>
      </c>
      <c r="C10835" t="str">
        <f t="shared" si="169"/>
        <v>2. $10K-50K</v>
      </c>
      <c r="D10835" t="s">
        <v>2789</v>
      </c>
      <c r="E10835" t="s">
        <v>112</v>
      </c>
      <c r="F10835" t="s">
        <v>668</v>
      </c>
      <c r="G10835" t="s">
        <v>59</v>
      </c>
      <c r="H10835">
        <v>2025</v>
      </c>
    </row>
    <row r="10836" spans="1:8" x14ac:dyDescent="0.2">
      <c r="A10836">
        <v>33030</v>
      </c>
      <c r="B10836">
        <v>1527381.5</v>
      </c>
      <c r="C10836" t="str">
        <f t="shared" si="169"/>
        <v>1. Under $10K</v>
      </c>
      <c r="D10836" t="s">
        <v>83</v>
      </c>
      <c r="E10836" t="s">
        <v>24</v>
      </c>
      <c r="F10836" t="s">
        <v>22</v>
      </c>
      <c r="G10836" t="s">
        <v>10</v>
      </c>
      <c r="H10836">
        <v>2023</v>
      </c>
    </row>
    <row r="10837" spans="1:8" x14ac:dyDescent="0.2">
      <c r="A10837">
        <v>330313</v>
      </c>
      <c r="B10837">
        <v>6000</v>
      </c>
      <c r="C10837" t="str">
        <f t="shared" si="169"/>
        <v>5. $1M+</v>
      </c>
      <c r="D10837" t="s">
        <v>2790</v>
      </c>
      <c r="E10837" t="s">
        <v>112</v>
      </c>
      <c r="F10837" t="s">
        <v>668</v>
      </c>
      <c r="G10837" t="s">
        <v>59</v>
      </c>
      <c r="H10837">
        <v>2025</v>
      </c>
    </row>
    <row r="10838" spans="1:8" x14ac:dyDescent="0.2">
      <c r="A10838">
        <v>330314</v>
      </c>
      <c r="B10838">
        <v>5500</v>
      </c>
      <c r="C10838" t="str">
        <f t="shared" si="169"/>
        <v>1. Under $10K</v>
      </c>
      <c r="D10838" t="s">
        <v>2791</v>
      </c>
      <c r="E10838" t="s">
        <v>112</v>
      </c>
      <c r="F10838" t="s">
        <v>668</v>
      </c>
      <c r="G10838" t="s">
        <v>59</v>
      </c>
      <c r="H10838">
        <v>2025</v>
      </c>
    </row>
    <row r="10839" spans="1:8" x14ac:dyDescent="0.2">
      <c r="A10839">
        <v>330316</v>
      </c>
      <c r="B10839">
        <v>6000</v>
      </c>
      <c r="C10839" t="str">
        <f t="shared" si="169"/>
        <v>1. Under $10K</v>
      </c>
      <c r="D10839" t="s">
        <v>2792</v>
      </c>
      <c r="E10839" t="s">
        <v>112</v>
      </c>
      <c r="F10839" t="s">
        <v>668</v>
      </c>
      <c r="G10839" t="s">
        <v>59</v>
      </c>
      <c r="H10839">
        <v>2025</v>
      </c>
    </row>
    <row r="10840" spans="1:8" x14ac:dyDescent="0.2">
      <c r="A10840">
        <v>330321</v>
      </c>
      <c r="B10840">
        <v>150000</v>
      </c>
      <c r="C10840" t="str">
        <f t="shared" si="169"/>
        <v>1. Under $10K</v>
      </c>
      <c r="D10840" t="s">
        <v>2793</v>
      </c>
      <c r="E10840" t="s">
        <v>99</v>
      </c>
      <c r="F10840" t="s">
        <v>668</v>
      </c>
      <c r="G10840" t="s">
        <v>59</v>
      </c>
      <c r="H10840">
        <v>2025</v>
      </c>
    </row>
    <row r="10841" spans="1:8" x14ac:dyDescent="0.2">
      <c r="A10841">
        <v>330324</v>
      </c>
      <c r="B10841">
        <v>2500</v>
      </c>
      <c r="C10841" t="str">
        <f t="shared" si="169"/>
        <v>3. $50K-250K</v>
      </c>
      <c r="D10841" t="s">
        <v>2794</v>
      </c>
      <c r="E10841" t="s">
        <v>112</v>
      </c>
      <c r="F10841" t="s">
        <v>668</v>
      </c>
      <c r="G10841" t="s">
        <v>59</v>
      </c>
      <c r="H10841">
        <v>2025</v>
      </c>
    </row>
    <row r="10842" spans="1:8" x14ac:dyDescent="0.2">
      <c r="A10842">
        <v>330325</v>
      </c>
      <c r="B10842">
        <v>9790</v>
      </c>
      <c r="C10842" t="str">
        <f t="shared" si="169"/>
        <v>1. Under $10K</v>
      </c>
      <c r="D10842" t="s">
        <v>2795</v>
      </c>
      <c r="E10842" t="s">
        <v>246</v>
      </c>
      <c r="F10842" t="s">
        <v>668</v>
      </c>
      <c r="G10842" t="s">
        <v>59</v>
      </c>
      <c r="H10842">
        <v>2025</v>
      </c>
    </row>
    <row r="10843" spans="1:8" x14ac:dyDescent="0.2">
      <c r="A10843">
        <v>33033</v>
      </c>
      <c r="B10843">
        <v>390000</v>
      </c>
      <c r="C10843" t="str">
        <f t="shared" si="169"/>
        <v>1. Under $10K</v>
      </c>
      <c r="D10843" t="s">
        <v>297</v>
      </c>
      <c r="E10843" t="s">
        <v>8</v>
      </c>
      <c r="F10843" t="s">
        <v>22</v>
      </c>
      <c r="G10843" t="s">
        <v>10</v>
      </c>
      <c r="H10843">
        <v>2023</v>
      </c>
    </row>
    <row r="10844" spans="1:8" x14ac:dyDescent="0.2">
      <c r="A10844">
        <v>330380</v>
      </c>
      <c r="B10844">
        <v>6000</v>
      </c>
      <c r="C10844" t="str">
        <f t="shared" si="169"/>
        <v>4. $250K-1M</v>
      </c>
      <c r="D10844" t="s">
        <v>2796</v>
      </c>
      <c r="E10844" t="s">
        <v>112</v>
      </c>
      <c r="F10844" t="s">
        <v>668</v>
      </c>
      <c r="G10844" t="s">
        <v>59</v>
      </c>
      <c r="H10844">
        <v>2025</v>
      </c>
    </row>
    <row r="10845" spans="1:8" x14ac:dyDescent="0.2">
      <c r="A10845">
        <v>330384</v>
      </c>
      <c r="B10845">
        <v>6000</v>
      </c>
      <c r="C10845" t="str">
        <f t="shared" si="169"/>
        <v>1. Under $10K</v>
      </c>
      <c r="D10845" t="s">
        <v>2797</v>
      </c>
      <c r="E10845" t="s">
        <v>112</v>
      </c>
      <c r="F10845" t="s">
        <v>668</v>
      </c>
      <c r="G10845" t="s">
        <v>59</v>
      </c>
      <c r="H10845">
        <v>2025</v>
      </c>
    </row>
    <row r="10846" spans="1:8" x14ac:dyDescent="0.2">
      <c r="A10846">
        <v>330387</v>
      </c>
      <c r="B10846">
        <v>6000</v>
      </c>
      <c r="C10846" t="str">
        <f t="shared" si="169"/>
        <v>1. Under $10K</v>
      </c>
      <c r="D10846" t="s">
        <v>2798</v>
      </c>
      <c r="E10846" t="s">
        <v>112</v>
      </c>
      <c r="F10846" t="s">
        <v>668</v>
      </c>
      <c r="G10846" t="s">
        <v>59</v>
      </c>
      <c r="H10846">
        <v>2025</v>
      </c>
    </row>
    <row r="10847" spans="1:8" x14ac:dyDescent="0.2">
      <c r="A10847">
        <v>330389</v>
      </c>
      <c r="B10847">
        <v>6000</v>
      </c>
      <c r="C10847" t="str">
        <f t="shared" si="169"/>
        <v>1. Under $10K</v>
      </c>
      <c r="D10847" t="s">
        <v>2799</v>
      </c>
      <c r="E10847" t="s">
        <v>112</v>
      </c>
      <c r="F10847" t="s">
        <v>668</v>
      </c>
      <c r="G10847" t="s">
        <v>59</v>
      </c>
      <c r="H10847">
        <v>2025</v>
      </c>
    </row>
    <row r="10848" spans="1:8" x14ac:dyDescent="0.2">
      <c r="A10848">
        <v>330393</v>
      </c>
      <c r="B10848">
        <v>6000</v>
      </c>
      <c r="C10848" t="str">
        <f t="shared" si="169"/>
        <v>1. Under $10K</v>
      </c>
      <c r="D10848" t="s">
        <v>2800</v>
      </c>
      <c r="E10848" t="s">
        <v>112</v>
      </c>
      <c r="F10848" t="s">
        <v>668</v>
      </c>
      <c r="G10848" t="s">
        <v>59</v>
      </c>
      <c r="H10848">
        <v>2025</v>
      </c>
    </row>
    <row r="10849" spans="1:8" x14ac:dyDescent="0.2">
      <c r="A10849">
        <v>330397</v>
      </c>
      <c r="B10849">
        <v>6000</v>
      </c>
      <c r="C10849" t="str">
        <f t="shared" si="169"/>
        <v>1. Under $10K</v>
      </c>
      <c r="D10849" t="s">
        <v>2801</v>
      </c>
      <c r="E10849" t="s">
        <v>112</v>
      </c>
      <c r="F10849" t="s">
        <v>668</v>
      </c>
      <c r="G10849" t="s">
        <v>59</v>
      </c>
      <c r="H10849">
        <v>2025</v>
      </c>
    </row>
    <row r="10850" spans="1:8" x14ac:dyDescent="0.2">
      <c r="A10850">
        <v>330398</v>
      </c>
      <c r="B10850">
        <v>6000</v>
      </c>
      <c r="C10850" t="str">
        <f t="shared" si="169"/>
        <v>1. Under $10K</v>
      </c>
      <c r="D10850" t="s">
        <v>2802</v>
      </c>
      <c r="E10850" t="s">
        <v>112</v>
      </c>
      <c r="F10850" t="s">
        <v>668</v>
      </c>
      <c r="G10850" t="s">
        <v>59</v>
      </c>
      <c r="H10850">
        <v>2025</v>
      </c>
    </row>
    <row r="10851" spans="1:8" x14ac:dyDescent="0.2">
      <c r="A10851">
        <v>330403</v>
      </c>
      <c r="B10851">
        <v>6000</v>
      </c>
      <c r="C10851" t="str">
        <f t="shared" si="169"/>
        <v>1. Under $10K</v>
      </c>
      <c r="D10851" t="s">
        <v>2803</v>
      </c>
      <c r="E10851" t="s">
        <v>112</v>
      </c>
      <c r="F10851" t="s">
        <v>668</v>
      </c>
      <c r="G10851" t="s">
        <v>59</v>
      </c>
      <c r="H10851">
        <v>2025</v>
      </c>
    </row>
    <row r="10852" spans="1:8" x14ac:dyDescent="0.2">
      <c r="A10852">
        <v>330405</v>
      </c>
      <c r="B10852">
        <v>6000</v>
      </c>
      <c r="C10852" t="str">
        <f t="shared" si="169"/>
        <v>1. Under $10K</v>
      </c>
      <c r="D10852" t="s">
        <v>2804</v>
      </c>
      <c r="E10852" t="s">
        <v>112</v>
      </c>
      <c r="F10852" t="s">
        <v>668</v>
      </c>
      <c r="G10852" t="s">
        <v>59</v>
      </c>
      <c r="H10852">
        <v>2025</v>
      </c>
    </row>
    <row r="10853" spans="1:8" x14ac:dyDescent="0.2">
      <c r="A10853">
        <v>330441</v>
      </c>
      <c r="B10853">
        <v>508382</v>
      </c>
      <c r="C10853" t="str">
        <f t="shared" si="169"/>
        <v>1. Under $10K</v>
      </c>
      <c r="D10853" t="s">
        <v>1813</v>
      </c>
      <c r="E10853" t="s">
        <v>42</v>
      </c>
      <c r="F10853" t="s">
        <v>670</v>
      </c>
      <c r="G10853" t="s">
        <v>59</v>
      </c>
      <c r="H10853">
        <v>2025</v>
      </c>
    </row>
    <row r="10854" spans="1:8" x14ac:dyDescent="0.2">
      <c r="A10854">
        <v>330442</v>
      </c>
      <c r="B10854">
        <v>200000</v>
      </c>
      <c r="C10854" t="str">
        <f t="shared" si="169"/>
        <v>4. $250K-1M</v>
      </c>
      <c r="D10854" t="s">
        <v>2079</v>
      </c>
      <c r="E10854" t="s">
        <v>42</v>
      </c>
      <c r="F10854" t="s">
        <v>670</v>
      </c>
      <c r="G10854" t="s">
        <v>59</v>
      </c>
      <c r="H10854">
        <v>2025</v>
      </c>
    </row>
    <row r="10855" spans="1:8" x14ac:dyDescent="0.2">
      <c r="A10855">
        <v>330443</v>
      </c>
      <c r="B10855">
        <v>375000</v>
      </c>
      <c r="C10855" t="str">
        <f t="shared" si="169"/>
        <v>3. $50K-250K</v>
      </c>
      <c r="D10855" t="s">
        <v>785</v>
      </c>
      <c r="E10855" t="s">
        <v>42</v>
      </c>
      <c r="F10855" t="s">
        <v>670</v>
      </c>
      <c r="G10855" t="s">
        <v>59</v>
      </c>
      <c r="H10855">
        <v>2025</v>
      </c>
    </row>
    <row r="10856" spans="1:8" x14ac:dyDescent="0.2">
      <c r="A10856">
        <v>330447</v>
      </c>
      <c r="B10856">
        <v>6000</v>
      </c>
      <c r="C10856" t="str">
        <f t="shared" si="169"/>
        <v>4. $250K-1M</v>
      </c>
      <c r="D10856" t="s">
        <v>2805</v>
      </c>
      <c r="E10856" t="s">
        <v>112</v>
      </c>
      <c r="F10856" t="s">
        <v>668</v>
      </c>
      <c r="G10856" t="s">
        <v>59</v>
      </c>
      <c r="H10856">
        <v>2025</v>
      </c>
    </row>
    <row r="10857" spans="1:8" x14ac:dyDescent="0.2">
      <c r="A10857">
        <v>330449</v>
      </c>
      <c r="B10857">
        <v>6000</v>
      </c>
      <c r="C10857" t="str">
        <f t="shared" si="169"/>
        <v>1. Under $10K</v>
      </c>
      <c r="D10857" t="s">
        <v>2806</v>
      </c>
      <c r="E10857" t="s">
        <v>112</v>
      </c>
      <c r="F10857" t="s">
        <v>668</v>
      </c>
      <c r="G10857" t="s">
        <v>59</v>
      </c>
      <c r="H10857">
        <v>2025</v>
      </c>
    </row>
    <row r="10858" spans="1:8" x14ac:dyDescent="0.2">
      <c r="A10858">
        <v>330450</v>
      </c>
      <c r="B10858">
        <v>4875</v>
      </c>
      <c r="C10858" t="str">
        <f t="shared" si="169"/>
        <v>1. Under $10K</v>
      </c>
      <c r="D10858" t="s">
        <v>2807</v>
      </c>
      <c r="E10858" t="s">
        <v>112</v>
      </c>
      <c r="F10858" t="s">
        <v>668</v>
      </c>
      <c r="G10858" t="s">
        <v>59</v>
      </c>
      <c r="H10858">
        <v>2025</v>
      </c>
    </row>
    <row r="10859" spans="1:8" x14ac:dyDescent="0.2">
      <c r="A10859">
        <v>330451</v>
      </c>
      <c r="B10859">
        <v>2500</v>
      </c>
      <c r="C10859" t="str">
        <f t="shared" si="169"/>
        <v>1. Under $10K</v>
      </c>
      <c r="D10859" t="s">
        <v>2808</v>
      </c>
      <c r="E10859" t="s">
        <v>112</v>
      </c>
      <c r="F10859" t="s">
        <v>668</v>
      </c>
      <c r="G10859" t="s">
        <v>59</v>
      </c>
      <c r="H10859">
        <v>2025</v>
      </c>
    </row>
    <row r="10860" spans="1:8" x14ac:dyDescent="0.2">
      <c r="A10860">
        <v>330453</v>
      </c>
      <c r="B10860">
        <v>6000</v>
      </c>
      <c r="C10860" t="str">
        <f t="shared" si="169"/>
        <v>1. Under $10K</v>
      </c>
      <c r="D10860" t="s">
        <v>2809</v>
      </c>
      <c r="E10860" t="s">
        <v>112</v>
      </c>
      <c r="F10860" t="s">
        <v>668</v>
      </c>
      <c r="G10860" t="s">
        <v>59</v>
      </c>
      <c r="H10860">
        <v>2025</v>
      </c>
    </row>
    <row r="10861" spans="1:8" x14ac:dyDescent="0.2">
      <c r="A10861">
        <v>330455</v>
      </c>
      <c r="B10861">
        <v>6000</v>
      </c>
      <c r="C10861" t="str">
        <f t="shared" si="169"/>
        <v>1. Under $10K</v>
      </c>
      <c r="D10861" t="s">
        <v>2810</v>
      </c>
      <c r="E10861" t="s">
        <v>112</v>
      </c>
      <c r="F10861" t="s">
        <v>668</v>
      </c>
      <c r="G10861" t="s">
        <v>59</v>
      </c>
      <c r="H10861">
        <v>2025</v>
      </c>
    </row>
    <row r="10862" spans="1:8" x14ac:dyDescent="0.2">
      <c r="A10862">
        <v>330460</v>
      </c>
      <c r="B10862">
        <v>6000</v>
      </c>
      <c r="C10862" t="str">
        <f t="shared" si="169"/>
        <v>1. Under $10K</v>
      </c>
      <c r="D10862" t="s">
        <v>2811</v>
      </c>
      <c r="E10862" t="s">
        <v>112</v>
      </c>
      <c r="F10862" t="s">
        <v>668</v>
      </c>
      <c r="G10862" t="s">
        <v>59</v>
      </c>
      <c r="H10862">
        <v>2025</v>
      </c>
    </row>
    <row r="10863" spans="1:8" x14ac:dyDescent="0.2">
      <c r="A10863">
        <v>330461</v>
      </c>
      <c r="B10863">
        <v>6000</v>
      </c>
      <c r="C10863" t="str">
        <f t="shared" si="169"/>
        <v>1. Under $10K</v>
      </c>
      <c r="D10863" t="s">
        <v>2812</v>
      </c>
      <c r="E10863" t="s">
        <v>112</v>
      </c>
      <c r="F10863" t="s">
        <v>668</v>
      </c>
      <c r="G10863" t="s">
        <v>59</v>
      </c>
      <c r="H10863">
        <v>2025</v>
      </c>
    </row>
    <row r="10864" spans="1:8" x14ac:dyDescent="0.2">
      <c r="A10864">
        <v>330462</v>
      </c>
      <c r="B10864">
        <v>4500</v>
      </c>
      <c r="C10864" t="str">
        <f t="shared" si="169"/>
        <v>1. Under $10K</v>
      </c>
      <c r="D10864" t="s">
        <v>2813</v>
      </c>
      <c r="E10864" t="s">
        <v>112</v>
      </c>
      <c r="F10864" t="s">
        <v>668</v>
      </c>
      <c r="G10864" t="s">
        <v>59</v>
      </c>
      <c r="H10864">
        <v>2025</v>
      </c>
    </row>
    <row r="10865" spans="1:8" x14ac:dyDescent="0.2">
      <c r="A10865">
        <v>330465</v>
      </c>
      <c r="B10865">
        <v>6000</v>
      </c>
      <c r="C10865" t="str">
        <f t="shared" si="169"/>
        <v>1. Under $10K</v>
      </c>
      <c r="D10865" t="s">
        <v>2814</v>
      </c>
      <c r="E10865" t="s">
        <v>112</v>
      </c>
      <c r="F10865" t="s">
        <v>668</v>
      </c>
      <c r="G10865" t="s">
        <v>59</v>
      </c>
      <c r="H10865">
        <v>2025</v>
      </c>
    </row>
    <row r="10866" spans="1:8" x14ac:dyDescent="0.2">
      <c r="A10866">
        <v>330472</v>
      </c>
      <c r="B10866">
        <v>6000</v>
      </c>
      <c r="C10866" t="str">
        <f t="shared" si="169"/>
        <v>1. Under $10K</v>
      </c>
      <c r="D10866" t="s">
        <v>2815</v>
      </c>
      <c r="E10866" t="s">
        <v>112</v>
      </c>
      <c r="F10866" t="s">
        <v>668</v>
      </c>
      <c r="G10866" t="s">
        <v>59</v>
      </c>
      <c r="H10866">
        <v>2025</v>
      </c>
    </row>
    <row r="10867" spans="1:8" x14ac:dyDescent="0.2">
      <c r="A10867">
        <v>33048</v>
      </c>
      <c r="B10867">
        <v>1079724.7</v>
      </c>
      <c r="C10867" t="str">
        <f t="shared" si="169"/>
        <v>1. Under $10K</v>
      </c>
      <c r="D10867" t="s">
        <v>2816</v>
      </c>
      <c r="E10867" t="s">
        <v>59</v>
      </c>
      <c r="F10867" t="s">
        <v>664</v>
      </c>
      <c r="G10867" t="s">
        <v>59</v>
      </c>
      <c r="H10867">
        <v>2023</v>
      </c>
    </row>
    <row r="10868" spans="1:8" x14ac:dyDescent="0.2">
      <c r="A10868">
        <v>330488</v>
      </c>
      <c r="B10868">
        <v>4500</v>
      </c>
      <c r="C10868" t="str">
        <f t="shared" si="169"/>
        <v>5. $1M+</v>
      </c>
      <c r="D10868" t="s">
        <v>2817</v>
      </c>
      <c r="E10868" t="s">
        <v>112</v>
      </c>
      <c r="F10868" t="s">
        <v>668</v>
      </c>
      <c r="G10868" t="s">
        <v>59</v>
      </c>
      <c r="H10868">
        <v>2025</v>
      </c>
    </row>
    <row r="10869" spans="1:8" x14ac:dyDescent="0.2">
      <c r="A10869">
        <v>330493</v>
      </c>
      <c r="B10869">
        <v>3500</v>
      </c>
      <c r="C10869" t="str">
        <f t="shared" si="169"/>
        <v>1. Under $10K</v>
      </c>
      <c r="D10869" t="s">
        <v>2818</v>
      </c>
      <c r="E10869" t="s">
        <v>112</v>
      </c>
      <c r="F10869" t="s">
        <v>668</v>
      </c>
      <c r="G10869" t="s">
        <v>59</v>
      </c>
      <c r="H10869">
        <v>2025</v>
      </c>
    </row>
    <row r="10870" spans="1:8" x14ac:dyDescent="0.2">
      <c r="A10870">
        <v>330497</v>
      </c>
      <c r="B10870">
        <v>6000</v>
      </c>
      <c r="C10870" t="str">
        <f t="shared" si="169"/>
        <v>1. Under $10K</v>
      </c>
      <c r="D10870" t="s">
        <v>2819</v>
      </c>
      <c r="E10870" t="s">
        <v>112</v>
      </c>
      <c r="F10870" t="s">
        <v>668</v>
      </c>
      <c r="G10870" t="s">
        <v>59</v>
      </c>
      <c r="H10870">
        <v>2025</v>
      </c>
    </row>
    <row r="10871" spans="1:8" x14ac:dyDescent="0.2">
      <c r="A10871">
        <v>330515</v>
      </c>
      <c r="B10871">
        <v>5500</v>
      </c>
      <c r="C10871" t="str">
        <f t="shared" si="169"/>
        <v>1. Under $10K</v>
      </c>
      <c r="D10871" t="s">
        <v>2820</v>
      </c>
      <c r="E10871" t="s">
        <v>112</v>
      </c>
      <c r="F10871" t="s">
        <v>668</v>
      </c>
      <c r="G10871" t="s">
        <v>59</v>
      </c>
      <c r="H10871">
        <v>2025</v>
      </c>
    </row>
    <row r="10872" spans="1:8" x14ac:dyDescent="0.2">
      <c r="A10872">
        <v>330516</v>
      </c>
      <c r="B10872">
        <v>6000</v>
      </c>
      <c r="C10872" t="str">
        <f t="shared" si="169"/>
        <v>1. Under $10K</v>
      </c>
      <c r="D10872" t="s">
        <v>2821</v>
      </c>
      <c r="E10872" t="s">
        <v>112</v>
      </c>
      <c r="F10872" t="s">
        <v>668</v>
      </c>
      <c r="G10872" t="s">
        <v>59</v>
      </c>
      <c r="H10872">
        <v>2025</v>
      </c>
    </row>
    <row r="10873" spans="1:8" x14ac:dyDescent="0.2">
      <c r="A10873">
        <v>330517</v>
      </c>
      <c r="B10873">
        <v>6000</v>
      </c>
      <c r="C10873" t="str">
        <f t="shared" si="169"/>
        <v>1. Under $10K</v>
      </c>
      <c r="D10873" t="s">
        <v>2822</v>
      </c>
      <c r="E10873" t="s">
        <v>112</v>
      </c>
      <c r="F10873" t="s">
        <v>668</v>
      </c>
      <c r="G10873" t="s">
        <v>59</v>
      </c>
      <c r="H10873">
        <v>2025</v>
      </c>
    </row>
    <row r="10874" spans="1:8" x14ac:dyDescent="0.2">
      <c r="A10874">
        <v>330518</v>
      </c>
      <c r="B10874">
        <v>6000</v>
      </c>
      <c r="C10874" t="str">
        <f t="shared" si="169"/>
        <v>1. Under $10K</v>
      </c>
      <c r="D10874" t="s">
        <v>2823</v>
      </c>
      <c r="E10874" t="s">
        <v>112</v>
      </c>
      <c r="F10874" t="s">
        <v>668</v>
      </c>
      <c r="G10874" t="s">
        <v>59</v>
      </c>
      <c r="H10874">
        <v>2025</v>
      </c>
    </row>
    <row r="10875" spans="1:8" x14ac:dyDescent="0.2">
      <c r="A10875">
        <v>330520</v>
      </c>
      <c r="B10875">
        <v>6000</v>
      </c>
      <c r="C10875" t="str">
        <f t="shared" si="169"/>
        <v>1. Under $10K</v>
      </c>
      <c r="D10875" t="s">
        <v>2824</v>
      </c>
      <c r="E10875" t="s">
        <v>112</v>
      </c>
      <c r="F10875" t="s">
        <v>668</v>
      </c>
      <c r="G10875" t="s">
        <v>59</v>
      </c>
      <c r="H10875">
        <v>2025</v>
      </c>
    </row>
    <row r="10876" spans="1:8" x14ac:dyDescent="0.2">
      <c r="A10876">
        <v>330528</v>
      </c>
      <c r="B10876">
        <v>6000</v>
      </c>
      <c r="C10876" t="str">
        <f t="shared" si="169"/>
        <v>1. Under $10K</v>
      </c>
      <c r="D10876" t="s">
        <v>2825</v>
      </c>
      <c r="E10876" t="s">
        <v>112</v>
      </c>
      <c r="F10876" t="s">
        <v>668</v>
      </c>
      <c r="G10876" t="s">
        <v>59</v>
      </c>
      <c r="H10876">
        <v>2025</v>
      </c>
    </row>
    <row r="10877" spans="1:8" x14ac:dyDescent="0.2">
      <c r="A10877">
        <v>330529</v>
      </c>
      <c r="B10877">
        <v>3250</v>
      </c>
      <c r="C10877" t="str">
        <f t="shared" si="169"/>
        <v>1. Under $10K</v>
      </c>
      <c r="D10877" t="s">
        <v>2826</v>
      </c>
      <c r="E10877" t="s">
        <v>112</v>
      </c>
      <c r="F10877" t="s">
        <v>668</v>
      </c>
      <c r="G10877" t="s">
        <v>59</v>
      </c>
      <c r="H10877">
        <v>2025</v>
      </c>
    </row>
    <row r="10878" spans="1:8" x14ac:dyDescent="0.2">
      <c r="A10878">
        <v>330530</v>
      </c>
      <c r="B10878">
        <v>6000</v>
      </c>
      <c r="C10878" t="str">
        <f t="shared" si="169"/>
        <v>1. Under $10K</v>
      </c>
      <c r="D10878" t="s">
        <v>2827</v>
      </c>
      <c r="E10878" t="s">
        <v>112</v>
      </c>
      <c r="F10878" t="s">
        <v>668</v>
      </c>
      <c r="G10878" t="s">
        <v>59</v>
      </c>
      <c r="H10878">
        <v>2025</v>
      </c>
    </row>
    <row r="10879" spans="1:8" x14ac:dyDescent="0.2">
      <c r="A10879">
        <v>330532</v>
      </c>
      <c r="B10879">
        <v>6000</v>
      </c>
      <c r="C10879" t="str">
        <f t="shared" si="169"/>
        <v>1. Under $10K</v>
      </c>
      <c r="D10879" t="s">
        <v>2828</v>
      </c>
      <c r="E10879" t="s">
        <v>112</v>
      </c>
      <c r="F10879" t="s">
        <v>668</v>
      </c>
      <c r="G10879" t="s">
        <v>59</v>
      </c>
      <c r="H10879">
        <v>2025</v>
      </c>
    </row>
    <row r="10880" spans="1:8" x14ac:dyDescent="0.2">
      <c r="A10880">
        <v>330533</v>
      </c>
      <c r="B10880">
        <v>6000</v>
      </c>
      <c r="C10880" t="str">
        <f t="shared" si="169"/>
        <v>1. Under $10K</v>
      </c>
      <c r="D10880" t="s">
        <v>2829</v>
      </c>
      <c r="E10880" t="s">
        <v>112</v>
      </c>
      <c r="F10880" t="s">
        <v>668</v>
      </c>
      <c r="G10880" t="s">
        <v>59</v>
      </c>
      <c r="H10880">
        <v>2025</v>
      </c>
    </row>
    <row r="10881" spans="1:8" x14ac:dyDescent="0.2">
      <c r="A10881">
        <v>330536</v>
      </c>
      <c r="B10881">
        <v>6000</v>
      </c>
      <c r="C10881" t="str">
        <f t="shared" si="169"/>
        <v>1. Under $10K</v>
      </c>
      <c r="D10881" t="s">
        <v>2830</v>
      </c>
      <c r="E10881" t="s">
        <v>112</v>
      </c>
      <c r="F10881" t="s">
        <v>668</v>
      </c>
      <c r="G10881" t="s">
        <v>59</v>
      </c>
      <c r="H10881">
        <v>2025</v>
      </c>
    </row>
    <row r="10882" spans="1:8" x14ac:dyDescent="0.2">
      <c r="A10882">
        <v>330539</v>
      </c>
      <c r="B10882">
        <v>6000</v>
      </c>
      <c r="C10882" t="str">
        <f t="shared" si="169"/>
        <v>1. Under $10K</v>
      </c>
      <c r="D10882" t="s">
        <v>2831</v>
      </c>
      <c r="E10882" t="s">
        <v>112</v>
      </c>
      <c r="F10882" t="s">
        <v>668</v>
      </c>
      <c r="G10882" t="s">
        <v>59</v>
      </c>
      <c r="H10882">
        <v>2025</v>
      </c>
    </row>
    <row r="10883" spans="1:8" x14ac:dyDescent="0.2">
      <c r="A10883">
        <v>330540</v>
      </c>
      <c r="B10883">
        <v>6000</v>
      </c>
      <c r="C10883" t="str">
        <f t="shared" ref="C10883:C10946" si="170">IF(B10882&lt;10000,"1. Under $10K",IF(B10882&lt;50000,"2. $10K-50K",IF(B10882&lt;250000,"3. $50K-250K",IF(B10882&lt;1000000,"4. $250K-1M","5. $1M+"))))</f>
        <v>1. Under $10K</v>
      </c>
      <c r="D10883" t="s">
        <v>1901</v>
      </c>
      <c r="E10883" t="s">
        <v>112</v>
      </c>
      <c r="F10883" t="s">
        <v>668</v>
      </c>
      <c r="G10883" t="s">
        <v>59</v>
      </c>
      <c r="H10883">
        <v>2025</v>
      </c>
    </row>
    <row r="10884" spans="1:8" x14ac:dyDescent="0.2">
      <c r="A10884">
        <v>330543</v>
      </c>
      <c r="B10884">
        <v>6000</v>
      </c>
      <c r="C10884" t="str">
        <f t="shared" si="170"/>
        <v>1. Under $10K</v>
      </c>
      <c r="D10884" t="s">
        <v>2832</v>
      </c>
      <c r="E10884" t="s">
        <v>112</v>
      </c>
      <c r="F10884" t="s">
        <v>668</v>
      </c>
      <c r="G10884" t="s">
        <v>59</v>
      </c>
      <c r="H10884">
        <v>2025</v>
      </c>
    </row>
    <row r="10885" spans="1:8" x14ac:dyDescent="0.2">
      <c r="A10885">
        <v>330547</v>
      </c>
      <c r="B10885">
        <v>6000</v>
      </c>
      <c r="C10885" t="str">
        <f t="shared" si="170"/>
        <v>1. Under $10K</v>
      </c>
      <c r="D10885" t="s">
        <v>2833</v>
      </c>
      <c r="E10885" t="s">
        <v>112</v>
      </c>
      <c r="F10885" t="s">
        <v>668</v>
      </c>
      <c r="G10885" t="s">
        <v>59</v>
      </c>
      <c r="H10885">
        <v>2025</v>
      </c>
    </row>
    <row r="10886" spans="1:8" x14ac:dyDescent="0.2">
      <c r="A10886">
        <v>330549</v>
      </c>
      <c r="B10886">
        <v>4250</v>
      </c>
      <c r="C10886" t="str">
        <f t="shared" si="170"/>
        <v>1. Under $10K</v>
      </c>
      <c r="D10886" t="s">
        <v>2834</v>
      </c>
      <c r="E10886" t="s">
        <v>112</v>
      </c>
      <c r="F10886" t="s">
        <v>668</v>
      </c>
      <c r="G10886" t="s">
        <v>59</v>
      </c>
      <c r="H10886">
        <v>2025</v>
      </c>
    </row>
    <row r="10887" spans="1:8" x14ac:dyDescent="0.2">
      <c r="A10887">
        <v>330555</v>
      </c>
      <c r="B10887">
        <v>6000</v>
      </c>
      <c r="C10887" t="str">
        <f t="shared" si="170"/>
        <v>1. Under $10K</v>
      </c>
      <c r="D10887" t="s">
        <v>1937</v>
      </c>
      <c r="E10887" t="s">
        <v>112</v>
      </c>
      <c r="F10887" t="s">
        <v>668</v>
      </c>
      <c r="G10887" t="s">
        <v>59</v>
      </c>
      <c r="H10887">
        <v>2025</v>
      </c>
    </row>
    <row r="10888" spans="1:8" x14ac:dyDescent="0.2">
      <c r="A10888">
        <v>330567</v>
      </c>
      <c r="B10888">
        <v>6000</v>
      </c>
      <c r="C10888" t="str">
        <f t="shared" si="170"/>
        <v>1. Under $10K</v>
      </c>
      <c r="D10888" t="s">
        <v>2835</v>
      </c>
      <c r="E10888" t="s">
        <v>112</v>
      </c>
      <c r="F10888" t="s">
        <v>668</v>
      </c>
      <c r="G10888" t="s">
        <v>59</v>
      </c>
      <c r="H10888">
        <v>2025</v>
      </c>
    </row>
    <row r="10889" spans="1:8" x14ac:dyDescent="0.2">
      <c r="A10889">
        <v>330568</v>
      </c>
      <c r="B10889">
        <v>6000</v>
      </c>
      <c r="C10889" t="str">
        <f t="shared" si="170"/>
        <v>1. Under $10K</v>
      </c>
      <c r="D10889" t="s">
        <v>2836</v>
      </c>
      <c r="E10889" t="s">
        <v>112</v>
      </c>
      <c r="F10889" t="s">
        <v>668</v>
      </c>
      <c r="G10889" t="s">
        <v>59</v>
      </c>
      <c r="H10889">
        <v>2025</v>
      </c>
    </row>
    <row r="10890" spans="1:8" x14ac:dyDescent="0.2">
      <c r="A10890">
        <v>330569</v>
      </c>
      <c r="B10890">
        <v>6000</v>
      </c>
      <c r="C10890" t="str">
        <f t="shared" si="170"/>
        <v>1. Under $10K</v>
      </c>
      <c r="D10890" t="s">
        <v>2837</v>
      </c>
      <c r="E10890" t="s">
        <v>112</v>
      </c>
      <c r="F10890" t="s">
        <v>668</v>
      </c>
      <c r="G10890" t="s">
        <v>59</v>
      </c>
      <c r="H10890">
        <v>2025</v>
      </c>
    </row>
    <row r="10891" spans="1:8" x14ac:dyDescent="0.2">
      <c r="A10891">
        <v>330570</v>
      </c>
      <c r="B10891">
        <v>6000</v>
      </c>
      <c r="C10891" t="str">
        <f t="shared" si="170"/>
        <v>1. Under $10K</v>
      </c>
      <c r="D10891" t="s">
        <v>2838</v>
      </c>
      <c r="E10891" t="s">
        <v>112</v>
      </c>
      <c r="F10891" t="s">
        <v>668</v>
      </c>
      <c r="G10891" t="s">
        <v>59</v>
      </c>
      <c r="H10891">
        <v>2025</v>
      </c>
    </row>
    <row r="10892" spans="1:8" x14ac:dyDescent="0.2">
      <c r="A10892">
        <v>330574</v>
      </c>
      <c r="B10892">
        <v>6000</v>
      </c>
      <c r="C10892" t="str">
        <f t="shared" si="170"/>
        <v>1. Under $10K</v>
      </c>
      <c r="D10892" t="s">
        <v>2839</v>
      </c>
      <c r="E10892" t="s">
        <v>112</v>
      </c>
      <c r="F10892" t="s">
        <v>668</v>
      </c>
      <c r="G10892" t="s">
        <v>59</v>
      </c>
      <c r="H10892">
        <v>2025</v>
      </c>
    </row>
    <row r="10893" spans="1:8" x14ac:dyDescent="0.2">
      <c r="A10893">
        <v>330575</v>
      </c>
      <c r="B10893">
        <v>3000</v>
      </c>
      <c r="C10893" t="str">
        <f t="shared" si="170"/>
        <v>1. Under $10K</v>
      </c>
      <c r="D10893" t="s">
        <v>2840</v>
      </c>
      <c r="E10893" t="s">
        <v>112</v>
      </c>
      <c r="F10893" t="s">
        <v>668</v>
      </c>
      <c r="G10893" t="s">
        <v>59</v>
      </c>
      <c r="H10893">
        <v>2025</v>
      </c>
    </row>
    <row r="10894" spans="1:8" x14ac:dyDescent="0.2">
      <c r="A10894">
        <v>330577</v>
      </c>
      <c r="B10894">
        <v>6000</v>
      </c>
      <c r="C10894" t="str">
        <f t="shared" si="170"/>
        <v>1. Under $10K</v>
      </c>
      <c r="D10894" t="s">
        <v>2841</v>
      </c>
      <c r="E10894" t="s">
        <v>112</v>
      </c>
      <c r="F10894" t="s">
        <v>668</v>
      </c>
      <c r="G10894" t="s">
        <v>59</v>
      </c>
      <c r="H10894">
        <v>2025</v>
      </c>
    </row>
    <row r="10895" spans="1:8" x14ac:dyDescent="0.2">
      <c r="A10895">
        <v>330581</v>
      </c>
      <c r="B10895">
        <v>6000</v>
      </c>
      <c r="C10895" t="str">
        <f t="shared" si="170"/>
        <v>1. Under $10K</v>
      </c>
      <c r="D10895" t="s">
        <v>2842</v>
      </c>
      <c r="E10895" t="s">
        <v>112</v>
      </c>
      <c r="F10895" t="s">
        <v>668</v>
      </c>
      <c r="G10895" t="s">
        <v>59</v>
      </c>
      <c r="H10895">
        <v>2025</v>
      </c>
    </row>
    <row r="10896" spans="1:8" x14ac:dyDescent="0.2">
      <c r="A10896">
        <v>330583</v>
      </c>
      <c r="B10896">
        <v>792140</v>
      </c>
      <c r="C10896" t="str">
        <f t="shared" si="170"/>
        <v>1. Under $10K</v>
      </c>
      <c r="D10896" t="s">
        <v>968</v>
      </c>
      <c r="E10896" t="s">
        <v>42</v>
      </c>
      <c r="F10896" t="s">
        <v>668</v>
      </c>
      <c r="G10896" t="s">
        <v>59</v>
      </c>
      <c r="H10896">
        <v>2025</v>
      </c>
    </row>
    <row r="10897" spans="1:8" x14ac:dyDescent="0.2">
      <c r="A10897">
        <v>330586</v>
      </c>
      <c r="B10897">
        <v>6000</v>
      </c>
      <c r="C10897" t="str">
        <f t="shared" si="170"/>
        <v>4. $250K-1M</v>
      </c>
      <c r="D10897" t="s">
        <v>2843</v>
      </c>
      <c r="E10897" t="s">
        <v>112</v>
      </c>
      <c r="F10897" t="s">
        <v>668</v>
      </c>
      <c r="G10897" t="s">
        <v>59</v>
      </c>
      <c r="H10897">
        <v>2025</v>
      </c>
    </row>
    <row r="10898" spans="1:8" x14ac:dyDescent="0.2">
      <c r="A10898">
        <v>330591</v>
      </c>
      <c r="B10898">
        <v>6000</v>
      </c>
      <c r="C10898" t="str">
        <f t="shared" si="170"/>
        <v>1. Under $10K</v>
      </c>
      <c r="D10898" t="s">
        <v>2844</v>
      </c>
      <c r="E10898" t="s">
        <v>112</v>
      </c>
      <c r="F10898" t="s">
        <v>668</v>
      </c>
      <c r="G10898" t="s">
        <v>59</v>
      </c>
      <c r="H10898">
        <v>2025</v>
      </c>
    </row>
    <row r="10899" spans="1:8" x14ac:dyDescent="0.2">
      <c r="A10899">
        <v>330592</v>
      </c>
      <c r="B10899">
        <v>3250</v>
      </c>
      <c r="C10899" t="str">
        <f t="shared" si="170"/>
        <v>1. Under $10K</v>
      </c>
      <c r="D10899" t="s">
        <v>2845</v>
      </c>
      <c r="E10899" t="s">
        <v>112</v>
      </c>
      <c r="F10899" t="s">
        <v>668</v>
      </c>
      <c r="G10899" t="s">
        <v>59</v>
      </c>
      <c r="H10899">
        <v>2025</v>
      </c>
    </row>
    <row r="10900" spans="1:8" x14ac:dyDescent="0.2">
      <c r="A10900">
        <v>330593</v>
      </c>
      <c r="B10900">
        <v>6000</v>
      </c>
      <c r="C10900" t="str">
        <f t="shared" si="170"/>
        <v>1. Under $10K</v>
      </c>
      <c r="D10900" t="s">
        <v>2846</v>
      </c>
      <c r="E10900" t="s">
        <v>112</v>
      </c>
      <c r="F10900" t="s">
        <v>668</v>
      </c>
      <c r="G10900" t="s">
        <v>59</v>
      </c>
      <c r="H10900">
        <v>2025</v>
      </c>
    </row>
    <row r="10901" spans="1:8" x14ac:dyDescent="0.2">
      <c r="A10901">
        <v>330594</v>
      </c>
      <c r="B10901">
        <v>6000</v>
      </c>
      <c r="C10901" t="str">
        <f t="shared" si="170"/>
        <v>1. Under $10K</v>
      </c>
      <c r="D10901" t="s">
        <v>2847</v>
      </c>
      <c r="E10901" t="s">
        <v>112</v>
      </c>
      <c r="F10901" t="s">
        <v>668</v>
      </c>
      <c r="G10901" t="s">
        <v>59</v>
      </c>
      <c r="H10901">
        <v>2025</v>
      </c>
    </row>
    <row r="10902" spans="1:8" x14ac:dyDescent="0.2">
      <c r="A10902">
        <v>330598</v>
      </c>
      <c r="B10902">
        <v>6000</v>
      </c>
      <c r="C10902" t="str">
        <f t="shared" si="170"/>
        <v>1. Under $10K</v>
      </c>
      <c r="D10902" t="s">
        <v>2848</v>
      </c>
      <c r="E10902" t="s">
        <v>112</v>
      </c>
      <c r="F10902" t="s">
        <v>668</v>
      </c>
      <c r="G10902" t="s">
        <v>59</v>
      </c>
      <c r="H10902">
        <v>2025</v>
      </c>
    </row>
    <row r="10903" spans="1:8" x14ac:dyDescent="0.2">
      <c r="A10903">
        <v>330602</v>
      </c>
      <c r="B10903">
        <v>6000</v>
      </c>
      <c r="C10903" t="str">
        <f t="shared" si="170"/>
        <v>1. Under $10K</v>
      </c>
      <c r="D10903" t="s">
        <v>2849</v>
      </c>
      <c r="E10903" t="s">
        <v>112</v>
      </c>
      <c r="F10903" t="s">
        <v>668</v>
      </c>
      <c r="G10903" t="s">
        <v>59</v>
      </c>
      <c r="H10903">
        <v>2025</v>
      </c>
    </row>
    <row r="10904" spans="1:8" x14ac:dyDescent="0.2">
      <c r="A10904">
        <v>330603</v>
      </c>
      <c r="B10904">
        <v>6000</v>
      </c>
      <c r="C10904" t="str">
        <f t="shared" si="170"/>
        <v>1. Under $10K</v>
      </c>
      <c r="D10904" t="s">
        <v>1479</v>
      </c>
      <c r="E10904" t="s">
        <v>112</v>
      </c>
      <c r="F10904" t="s">
        <v>668</v>
      </c>
      <c r="G10904" t="s">
        <v>59</v>
      </c>
      <c r="H10904">
        <v>2025</v>
      </c>
    </row>
    <row r="10905" spans="1:8" x14ac:dyDescent="0.2">
      <c r="A10905">
        <v>330604</v>
      </c>
      <c r="B10905">
        <v>6000</v>
      </c>
      <c r="C10905" t="str">
        <f t="shared" si="170"/>
        <v>1. Under $10K</v>
      </c>
      <c r="D10905" t="s">
        <v>2850</v>
      </c>
      <c r="E10905" t="s">
        <v>112</v>
      </c>
      <c r="F10905" t="s">
        <v>668</v>
      </c>
      <c r="G10905" t="s">
        <v>59</v>
      </c>
      <c r="H10905">
        <v>2025</v>
      </c>
    </row>
    <row r="10906" spans="1:8" x14ac:dyDescent="0.2">
      <c r="A10906">
        <v>330605</v>
      </c>
      <c r="B10906">
        <v>6000</v>
      </c>
      <c r="C10906" t="str">
        <f t="shared" si="170"/>
        <v>1. Under $10K</v>
      </c>
      <c r="D10906" t="s">
        <v>1797</v>
      </c>
      <c r="E10906" t="s">
        <v>112</v>
      </c>
      <c r="F10906" t="s">
        <v>668</v>
      </c>
      <c r="G10906" t="s">
        <v>59</v>
      </c>
      <c r="H10906">
        <v>2025</v>
      </c>
    </row>
    <row r="10907" spans="1:8" x14ac:dyDescent="0.2">
      <c r="A10907">
        <v>330606</v>
      </c>
      <c r="B10907">
        <v>6000</v>
      </c>
      <c r="C10907" t="str">
        <f t="shared" si="170"/>
        <v>1. Under $10K</v>
      </c>
      <c r="D10907" t="s">
        <v>2851</v>
      </c>
      <c r="E10907" t="s">
        <v>112</v>
      </c>
      <c r="F10907" t="s">
        <v>668</v>
      </c>
      <c r="G10907" t="s">
        <v>59</v>
      </c>
      <c r="H10907">
        <v>2025</v>
      </c>
    </row>
    <row r="10908" spans="1:8" x14ac:dyDescent="0.2">
      <c r="A10908">
        <v>330608</v>
      </c>
      <c r="B10908">
        <v>6000</v>
      </c>
      <c r="C10908" t="str">
        <f t="shared" si="170"/>
        <v>1. Under $10K</v>
      </c>
      <c r="D10908" t="s">
        <v>2852</v>
      </c>
      <c r="E10908" t="s">
        <v>112</v>
      </c>
      <c r="F10908" t="s">
        <v>668</v>
      </c>
      <c r="G10908" t="s">
        <v>59</v>
      </c>
      <c r="H10908">
        <v>2025</v>
      </c>
    </row>
    <row r="10909" spans="1:8" x14ac:dyDescent="0.2">
      <c r="A10909">
        <v>330609</v>
      </c>
      <c r="B10909">
        <v>5250</v>
      </c>
      <c r="C10909" t="str">
        <f t="shared" si="170"/>
        <v>1. Under $10K</v>
      </c>
      <c r="D10909" t="s">
        <v>2853</v>
      </c>
      <c r="E10909" t="s">
        <v>112</v>
      </c>
      <c r="F10909" t="s">
        <v>668</v>
      </c>
      <c r="G10909" t="s">
        <v>59</v>
      </c>
      <c r="H10909">
        <v>2025</v>
      </c>
    </row>
    <row r="10910" spans="1:8" x14ac:dyDescent="0.2">
      <c r="A10910">
        <v>330610</v>
      </c>
      <c r="B10910">
        <v>6000</v>
      </c>
      <c r="C10910" t="str">
        <f t="shared" si="170"/>
        <v>1. Under $10K</v>
      </c>
      <c r="D10910" t="s">
        <v>2854</v>
      </c>
      <c r="E10910" t="s">
        <v>112</v>
      </c>
      <c r="F10910" t="s">
        <v>668</v>
      </c>
      <c r="G10910" t="s">
        <v>59</v>
      </c>
      <c r="H10910">
        <v>2025</v>
      </c>
    </row>
    <row r="10911" spans="1:8" x14ac:dyDescent="0.2">
      <c r="A10911">
        <v>330612</v>
      </c>
      <c r="B10911">
        <v>3500</v>
      </c>
      <c r="C10911" t="str">
        <f t="shared" si="170"/>
        <v>1. Under $10K</v>
      </c>
      <c r="D10911" t="s">
        <v>2855</v>
      </c>
      <c r="E10911" t="s">
        <v>112</v>
      </c>
      <c r="F10911" t="s">
        <v>668</v>
      </c>
      <c r="G10911" t="s">
        <v>59</v>
      </c>
      <c r="H10911">
        <v>2025</v>
      </c>
    </row>
    <row r="10912" spans="1:8" x14ac:dyDescent="0.2">
      <c r="A10912">
        <v>33068</v>
      </c>
      <c r="B10912">
        <v>225626</v>
      </c>
      <c r="C10912" t="str">
        <f t="shared" si="170"/>
        <v>1. Under $10K</v>
      </c>
      <c r="D10912" t="s">
        <v>536</v>
      </c>
      <c r="E10912" t="s">
        <v>28</v>
      </c>
      <c r="F10912" t="s">
        <v>29</v>
      </c>
      <c r="G10912" t="s">
        <v>44</v>
      </c>
      <c r="H10912">
        <v>2023</v>
      </c>
    </row>
    <row r="10913" spans="1:8" x14ac:dyDescent="0.2">
      <c r="A10913">
        <v>330731</v>
      </c>
      <c r="B10913">
        <v>17700</v>
      </c>
      <c r="C10913" t="str">
        <f t="shared" si="170"/>
        <v>3. $50K-250K</v>
      </c>
      <c r="D10913" t="s">
        <v>1891</v>
      </c>
      <c r="E10913" t="s">
        <v>237</v>
      </c>
      <c r="F10913" t="s">
        <v>670</v>
      </c>
      <c r="G10913" t="s">
        <v>59</v>
      </c>
      <c r="H10913">
        <v>2025</v>
      </c>
    </row>
    <row r="10914" spans="1:8" x14ac:dyDescent="0.2">
      <c r="A10914">
        <v>330733</v>
      </c>
      <c r="B10914">
        <v>134496</v>
      </c>
      <c r="C10914" t="str">
        <f t="shared" si="170"/>
        <v>2. $10K-50K</v>
      </c>
      <c r="D10914" t="s">
        <v>733</v>
      </c>
      <c r="E10914" t="s">
        <v>237</v>
      </c>
      <c r="F10914" t="s">
        <v>670</v>
      </c>
      <c r="G10914" t="s">
        <v>59</v>
      </c>
      <c r="H10914">
        <v>2025</v>
      </c>
    </row>
    <row r="10915" spans="1:8" x14ac:dyDescent="0.2">
      <c r="A10915">
        <v>330734</v>
      </c>
      <c r="B10915">
        <v>27770</v>
      </c>
      <c r="C10915" t="str">
        <f t="shared" si="170"/>
        <v>3. $50K-250K</v>
      </c>
      <c r="D10915" t="s">
        <v>1094</v>
      </c>
      <c r="E10915" t="s">
        <v>237</v>
      </c>
      <c r="F10915" t="s">
        <v>670</v>
      </c>
      <c r="G10915" t="s">
        <v>59</v>
      </c>
      <c r="H10915">
        <v>2025</v>
      </c>
    </row>
    <row r="10916" spans="1:8" x14ac:dyDescent="0.2">
      <c r="A10916">
        <v>330735</v>
      </c>
      <c r="B10916">
        <v>17741</v>
      </c>
      <c r="C10916" t="str">
        <f t="shared" si="170"/>
        <v>2. $10K-50K</v>
      </c>
      <c r="D10916" t="s">
        <v>874</v>
      </c>
      <c r="E10916" t="s">
        <v>237</v>
      </c>
      <c r="F10916" t="s">
        <v>670</v>
      </c>
      <c r="G10916" t="s">
        <v>59</v>
      </c>
      <c r="H10916">
        <v>2025</v>
      </c>
    </row>
    <row r="10917" spans="1:8" x14ac:dyDescent="0.2">
      <c r="A10917">
        <v>330737</v>
      </c>
      <c r="B10917">
        <v>27770</v>
      </c>
      <c r="C10917" t="str">
        <f t="shared" si="170"/>
        <v>2. $10K-50K</v>
      </c>
      <c r="D10917" t="s">
        <v>977</v>
      </c>
      <c r="E10917" t="s">
        <v>237</v>
      </c>
      <c r="F10917" t="s">
        <v>670</v>
      </c>
      <c r="G10917" t="s">
        <v>59</v>
      </c>
      <c r="H10917">
        <v>2025</v>
      </c>
    </row>
    <row r="10918" spans="1:8" x14ac:dyDescent="0.2">
      <c r="A10918">
        <v>330738</v>
      </c>
      <c r="B10918">
        <v>27770</v>
      </c>
      <c r="C10918" t="str">
        <f t="shared" si="170"/>
        <v>2. $10K-50K</v>
      </c>
      <c r="D10918" t="s">
        <v>1514</v>
      </c>
      <c r="E10918" t="s">
        <v>237</v>
      </c>
      <c r="F10918" t="s">
        <v>670</v>
      </c>
      <c r="G10918" t="s">
        <v>59</v>
      </c>
      <c r="H10918">
        <v>2025</v>
      </c>
    </row>
    <row r="10919" spans="1:8" x14ac:dyDescent="0.2">
      <c r="A10919">
        <v>330739</v>
      </c>
      <c r="B10919">
        <v>99990</v>
      </c>
      <c r="C10919" t="str">
        <f t="shared" si="170"/>
        <v>2. $10K-50K</v>
      </c>
      <c r="D10919" t="s">
        <v>1094</v>
      </c>
      <c r="E10919" t="s">
        <v>237</v>
      </c>
      <c r="F10919" t="s">
        <v>670</v>
      </c>
      <c r="G10919" t="s">
        <v>59</v>
      </c>
      <c r="H10919">
        <v>2025</v>
      </c>
    </row>
    <row r="10920" spans="1:8" x14ac:dyDescent="0.2">
      <c r="A10920">
        <v>330740</v>
      </c>
      <c r="B10920">
        <v>17700</v>
      </c>
      <c r="C10920" t="str">
        <f t="shared" si="170"/>
        <v>3. $50K-250K</v>
      </c>
      <c r="D10920" t="s">
        <v>985</v>
      </c>
      <c r="E10920" t="s">
        <v>237</v>
      </c>
      <c r="F10920" t="s">
        <v>670</v>
      </c>
      <c r="G10920" t="s">
        <v>59</v>
      </c>
      <c r="H10920">
        <v>2025</v>
      </c>
    </row>
    <row r="10921" spans="1:8" x14ac:dyDescent="0.2">
      <c r="A10921">
        <v>330741</v>
      </c>
      <c r="B10921">
        <v>27770</v>
      </c>
      <c r="C10921" t="str">
        <f t="shared" si="170"/>
        <v>2. $10K-50K</v>
      </c>
      <c r="D10921" t="s">
        <v>1514</v>
      </c>
      <c r="E10921" t="s">
        <v>237</v>
      </c>
      <c r="F10921" t="s">
        <v>670</v>
      </c>
      <c r="G10921" t="s">
        <v>59</v>
      </c>
      <c r="H10921">
        <v>2025</v>
      </c>
    </row>
    <row r="10922" spans="1:8" x14ac:dyDescent="0.2">
      <c r="A10922">
        <v>330744</v>
      </c>
      <c r="B10922">
        <v>17700</v>
      </c>
      <c r="C10922" t="str">
        <f t="shared" si="170"/>
        <v>2. $10K-50K</v>
      </c>
      <c r="D10922" t="s">
        <v>1069</v>
      </c>
      <c r="E10922" t="s">
        <v>237</v>
      </c>
      <c r="F10922" t="s">
        <v>670</v>
      </c>
      <c r="G10922" t="s">
        <v>59</v>
      </c>
      <c r="H10922">
        <v>2025</v>
      </c>
    </row>
    <row r="10923" spans="1:8" x14ac:dyDescent="0.2">
      <c r="A10923">
        <v>330745</v>
      </c>
      <c r="B10923">
        <v>155760</v>
      </c>
      <c r="C10923" t="str">
        <f t="shared" si="170"/>
        <v>2. $10K-50K</v>
      </c>
      <c r="D10923" t="s">
        <v>711</v>
      </c>
      <c r="E10923" t="s">
        <v>237</v>
      </c>
      <c r="F10923" t="s">
        <v>670</v>
      </c>
      <c r="G10923" t="s">
        <v>59</v>
      </c>
      <c r="H10923">
        <v>2025</v>
      </c>
    </row>
    <row r="10924" spans="1:8" x14ac:dyDescent="0.2">
      <c r="A10924">
        <v>330746</v>
      </c>
      <c r="B10924">
        <v>178000</v>
      </c>
      <c r="C10924" t="str">
        <f t="shared" si="170"/>
        <v>3. $50K-250K</v>
      </c>
      <c r="D10924" t="s">
        <v>706</v>
      </c>
      <c r="E10924" t="s">
        <v>237</v>
      </c>
      <c r="F10924" t="s">
        <v>670</v>
      </c>
      <c r="G10924" t="s">
        <v>59</v>
      </c>
      <c r="H10924">
        <v>2025</v>
      </c>
    </row>
    <row r="10925" spans="1:8" x14ac:dyDescent="0.2">
      <c r="A10925">
        <v>330747</v>
      </c>
      <c r="B10925">
        <v>1271000</v>
      </c>
      <c r="C10925" t="str">
        <f t="shared" si="170"/>
        <v>3. $50K-250K</v>
      </c>
      <c r="D10925" t="s">
        <v>698</v>
      </c>
      <c r="E10925" t="s">
        <v>237</v>
      </c>
      <c r="F10925" t="s">
        <v>670</v>
      </c>
      <c r="G10925" t="s">
        <v>59</v>
      </c>
      <c r="H10925">
        <v>2025</v>
      </c>
    </row>
    <row r="10926" spans="1:8" x14ac:dyDescent="0.2">
      <c r="A10926">
        <v>330748</v>
      </c>
      <c r="B10926">
        <v>1058000</v>
      </c>
      <c r="C10926" t="str">
        <f t="shared" si="170"/>
        <v>5. $1M+</v>
      </c>
      <c r="D10926" t="s">
        <v>1514</v>
      </c>
      <c r="E10926" t="s">
        <v>237</v>
      </c>
      <c r="F10926" t="s">
        <v>670</v>
      </c>
      <c r="G10926" t="s">
        <v>59</v>
      </c>
      <c r="H10926">
        <v>2025</v>
      </c>
    </row>
    <row r="10927" spans="1:8" x14ac:dyDescent="0.2">
      <c r="A10927">
        <v>330749</v>
      </c>
      <c r="B10927">
        <v>76000</v>
      </c>
      <c r="C10927" t="str">
        <f t="shared" si="170"/>
        <v>5. $1M+</v>
      </c>
      <c r="D10927" t="s">
        <v>751</v>
      </c>
      <c r="E10927" t="s">
        <v>237</v>
      </c>
      <c r="F10927" t="s">
        <v>670</v>
      </c>
      <c r="G10927" t="s">
        <v>59</v>
      </c>
      <c r="H10927">
        <v>2025</v>
      </c>
    </row>
    <row r="10928" spans="1:8" x14ac:dyDescent="0.2">
      <c r="A10928">
        <v>330750</v>
      </c>
      <c r="B10928">
        <v>1478000</v>
      </c>
      <c r="C10928" t="str">
        <f t="shared" si="170"/>
        <v>3. $50K-250K</v>
      </c>
      <c r="D10928" t="s">
        <v>712</v>
      </c>
      <c r="E10928" t="s">
        <v>237</v>
      </c>
      <c r="F10928" t="s">
        <v>670</v>
      </c>
      <c r="G10928" t="s">
        <v>59</v>
      </c>
      <c r="H10928">
        <v>2025</v>
      </c>
    </row>
    <row r="10929" spans="1:8" x14ac:dyDescent="0.2">
      <c r="A10929">
        <v>330751</v>
      </c>
      <c r="B10929">
        <v>714000</v>
      </c>
      <c r="C10929" t="str">
        <f t="shared" si="170"/>
        <v>5. $1M+</v>
      </c>
      <c r="D10929" t="s">
        <v>754</v>
      </c>
      <c r="E10929" t="s">
        <v>237</v>
      </c>
      <c r="F10929" t="s">
        <v>670</v>
      </c>
      <c r="G10929" t="s">
        <v>59</v>
      </c>
      <c r="H10929">
        <v>2025</v>
      </c>
    </row>
    <row r="10930" spans="1:8" x14ac:dyDescent="0.2">
      <c r="A10930">
        <v>330752</v>
      </c>
      <c r="B10930">
        <v>658000</v>
      </c>
      <c r="C10930" t="str">
        <f t="shared" si="170"/>
        <v>4. $250K-1M</v>
      </c>
      <c r="D10930" t="s">
        <v>713</v>
      </c>
      <c r="E10930" t="s">
        <v>237</v>
      </c>
      <c r="F10930" t="s">
        <v>670</v>
      </c>
      <c r="G10930" t="s">
        <v>59</v>
      </c>
      <c r="H10930">
        <v>2025</v>
      </c>
    </row>
    <row r="10931" spans="1:8" x14ac:dyDescent="0.2">
      <c r="A10931">
        <v>330753</v>
      </c>
      <c r="B10931">
        <v>320000</v>
      </c>
      <c r="C10931" t="str">
        <f t="shared" si="170"/>
        <v>4. $250K-1M</v>
      </c>
      <c r="D10931" t="s">
        <v>711</v>
      </c>
      <c r="E10931" t="s">
        <v>237</v>
      </c>
      <c r="F10931" t="s">
        <v>670</v>
      </c>
      <c r="G10931" t="s">
        <v>59</v>
      </c>
      <c r="H10931">
        <v>2025</v>
      </c>
    </row>
    <row r="10932" spans="1:8" x14ac:dyDescent="0.2">
      <c r="A10932">
        <v>330754</v>
      </c>
      <c r="B10932">
        <v>174000</v>
      </c>
      <c r="C10932" t="str">
        <f t="shared" si="170"/>
        <v>4. $250K-1M</v>
      </c>
      <c r="D10932" t="s">
        <v>700</v>
      </c>
      <c r="E10932" t="s">
        <v>237</v>
      </c>
      <c r="F10932" t="s">
        <v>670</v>
      </c>
      <c r="G10932" t="s">
        <v>59</v>
      </c>
      <c r="H10932">
        <v>2025</v>
      </c>
    </row>
    <row r="10933" spans="1:8" x14ac:dyDescent="0.2">
      <c r="A10933">
        <v>330757</v>
      </c>
      <c r="B10933">
        <v>82000</v>
      </c>
      <c r="C10933" t="str">
        <f t="shared" si="170"/>
        <v>3. $50K-250K</v>
      </c>
      <c r="D10933" t="s">
        <v>784</v>
      </c>
      <c r="E10933" t="s">
        <v>237</v>
      </c>
      <c r="F10933" t="s">
        <v>670</v>
      </c>
      <c r="G10933" t="s">
        <v>59</v>
      </c>
      <c r="H10933">
        <v>2025</v>
      </c>
    </row>
    <row r="10934" spans="1:8" x14ac:dyDescent="0.2">
      <c r="A10934">
        <v>330759</v>
      </c>
      <c r="B10934">
        <v>72000</v>
      </c>
      <c r="C10934" t="str">
        <f t="shared" si="170"/>
        <v>3. $50K-250K</v>
      </c>
      <c r="D10934" t="s">
        <v>740</v>
      </c>
      <c r="E10934" t="s">
        <v>237</v>
      </c>
      <c r="F10934" t="s">
        <v>670</v>
      </c>
      <c r="G10934" t="s">
        <v>59</v>
      </c>
      <c r="H10934">
        <v>2025</v>
      </c>
    </row>
    <row r="10935" spans="1:8" x14ac:dyDescent="0.2">
      <c r="A10935">
        <v>330763</v>
      </c>
      <c r="B10935">
        <v>569000</v>
      </c>
      <c r="C10935" t="str">
        <f t="shared" si="170"/>
        <v>3. $50K-250K</v>
      </c>
      <c r="D10935" t="s">
        <v>726</v>
      </c>
      <c r="E10935" t="s">
        <v>237</v>
      </c>
      <c r="F10935" t="s">
        <v>670</v>
      </c>
      <c r="G10935" t="s">
        <v>59</v>
      </c>
      <c r="H10935">
        <v>2025</v>
      </c>
    </row>
    <row r="10936" spans="1:8" x14ac:dyDescent="0.2">
      <c r="A10936">
        <v>330764</v>
      </c>
      <c r="B10936">
        <v>7000</v>
      </c>
      <c r="C10936" t="str">
        <f t="shared" si="170"/>
        <v>4. $250K-1M</v>
      </c>
      <c r="D10936" t="s">
        <v>1046</v>
      </c>
      <c r="E10936" t="s">
        <v>237</v>
      </c>
      <c r="F10936" t="s">
        <v>670</v>
      </c>
      <c r="G10936" t="s">
        <v>59</v>
      </c>
      <c r="H10936">
        <v>2025</v>
      </c>
    </row>
    <row r="10937" spans="1:8" x14ac:dyDescent="0.2">
      <c r="A10937">
        <v>331128</v>
      </c>
      <c r="B10937">
        <v>1356339</v>
      </c>
      <c r="C10937" t="str">
        <f t="shared" si="170"/>
        <v>1. Under $10K</v>
      </c>
      <c r="D10937" t="s">
        <v>1024</v>
      </c>
      <c r="E10937" t="s">
        <v>42</v>
      </c>
      <c r="F10937" t="s">
        <v>670</v>
      </c>
      <c r="G10937" t="s">
        <v>59</v>
      </c>
      <c r="H10937">
        <v>2025</v>
      </c>
    </row>
    <row r="10938" spans="1:8" x14ac:dyDescent="0.2">
      <c r="A10938">
        <v>331129</v>
      </c>
      <c r="B10938">
        <v>290001</v>
      </c>
      <c r="C10938" t="str">
        <f t="shared" si="170"/>
        <v>5. $1M+</v>
      </c>
      <c r="D10938" t="s">
        <v>688</v>
      </c>
      <c r="E10938" t="s">
        <v>42</v>
      </c>
      <c r="F10938" t="s">
        <v>670</v>
      </c>
      <c r="G10938" t="s">
        <v>59</v>
      </c>
      <c r="H10938">
        <v>2025</v>
      </c>
    </row>
    <row r="10939" spans="1:8" x14ac:dyDescent="0.2">
      <c r="A10939">
        <v>331130</v>
      </c>
      <c r="B10939">
        <v>300000</v>
      </c>
      <c r="C10939" t="str">
        <f t="shared" si="170"/>
        <v>4. $250K-1M</v>
      </c>
      <c r="D10939" t="s">
        <v>682</v>
      </c>
      <c r="E10939" t="s">
        <v>42</v>
      </c>
      <c r="F10939" t="s">
        <v>670</v>
      </c>
      <c r="G10939" t="s">
        <v>59</v>
      </c>
      <c r="H10939">
        <v>2025</v>
      </c>
    </row>
    <row r="10940" spans="1:8" x14ac:dyDescent="0.2">
      <c r="A10940">
        <v>331184</v>
      </c>
      <c r="B10940">
        <v>200000</v>
      </c>
      <c r="C10940" t="str">
        <f t="shared" si="170"/>
        <v>4. $250K-1M</v>
      </c>
      <c r="D10940" t="s">
        <v>2078</v>
      </c>
      <c r="E10940" t="s">
        <v>42</v>
      </c>
      <c r="F10940" t="s">
        <v>670</v>
      </c>
      <c r="G10940" t="s">
        <v>59</v>
      </c>
      <c r="H10940">
        <v>2025</v>
      </c>
    </row>
    <row r="10941" spans="1:8" x14ac:dyDescent="0.2">
      <c r="A10941">
        <v>331307</v>
      </c>
      <c r="B10941">
        <v>80580</v>
      </c>
      <c r="C10941" t="str">
        <f t="shared" si="170"/>
        <v>3. $50K-250K</v>
      </c>
      <c r="D10941" t="s">
        <v>711</v>
      </c>
      <c r="E10941" t="s">
        <v>237</v>
      </c>
      <c r="F10941" t="s">
        <v>670</v>
      </c>
      <c r="G10941" t="s">
        <v>59</v>
      </c>
      <c r="H10941">
        <v>2025</v>
      </c>
    </row>
    <row r="10942" spans="1:8" x14ac:dyDescent="0.2">
      <c r="A10942">
        <v>331308</v>
      </c>
      <c r="B10942">
        <v>121779</v>
      </c>
      <c r="C10942" t="str">
        <f t="shared" si="170"/>
        <v>3. $50K-250K</v>
      </c>
      <c r="D10942" t="s">
        <v>726</v>
      </c>
      <c r="E10942" t="s">
        <v>237</v>
      </c>
      <c r="F10942" t="s">
        <v>670</v>
      </c>
      <c r="G10942" t="s">
        <v>59</v>
      </c>
      <c r="H10942">
        <v>2025</v>
      </c>
    </row>
    <row r="10943" spans="1:8" x14ac:dyDescent="0.2">
      <c r="A10943">
        <v>331311</v>
      </c>
      <c r="B10943">
        <v>65000</v>
      </c>
      <c r="C10943" t="str">
        <f t="shared" si="170"/>
        <v>3. $50K-250K</v>
      </c>
      <c r="D10943" t="s">
        <v>2856</v>
      </c>
      <c r="E10943" t="s">
        <v>246</v>
      </c>
      <c r="F10943" t="s">
        <v>668</v>
      </c>
      <c r="G10943" t="s">
        <v>59</v>
      </c>
      <c r="H10943">
        <v>2025</v>
      </c>
    </row>
    <row r="10944" spans="1:8" x14ac:dyDescent="0.2">
      <c r="A10944">
        <v>331394</v>
      </c>
      <c r="B10944">
        <v>551095</v>
      </c>
      <c r="C10944" t="str">
        <f t="shared" si="170"/>
        <v>3. $50K-250K</v>
      </c>
      <c r="D10944" t="s">
        <v>2857</v>
      </c>
      <c r="E10944" t="s">
        <v>246</v>
      </c>
      <c r="F10944" t="s">
        <v>668</v>
      </c>
      <c r="G10944" t="s">
        <v>59</v>
      </c>
      <c r="H10944">
        <v>2025</v>
      </c>
    </row>
    <row r="10945" spans="1:8" x14ac:dyDescent="0.2">
      <c r="A10945">
        <v>331402</v>
      </c>
      <c r="B10945">
        <v>1535504</v>
      </c>
      <c r="C10945" t="str">
        <f t="shared" si="170"/>
        <v>4. $250K-1M</v>
      </c>
      <c r="D10945" t="s">
        <v>507</v>
      </c>
      <c r="E10945" t="s">
        <v>237</v>
      </c>
      <c r="F10945" t="s">
        <v>670</v>
      </c>
      <c r="G10945" t="s">
        <v>59</v>
      </c>
      <c r="H10945">
        <v>2025</v>
      </c>
    </row>
    <row r="10946" spans="1:8" x14ac:dyDescent="0.2">
      <c r="A10946">
        <v>331484</v>
      </c>
      <c r="B10946">
        <v>27960</v>
      </c>
      <c r="C10946" t="str">
        <f t="shared" si="170"/>
        <v>5. $1M+</v>
      </c>
      <c r="D10946" t="s">
        <v>2556</v>
      </c>
      <c r="E10946" t="s">
        <v>28</v>
      </c>
      <c r="F10946" t="s">
        <v>668</v>
      </c>
      <c r="G10946" t="s">
        <v>59</v>
      </c>
      <c r="H10946">
        <v>2025</v>
      </c>
    </row>
    <row r="10947" spans="1:8" x14ac:dyDescent="0.2">
      <c r="A10947">
        <v>331601</v>
      </c>
      <c r="B10947">
        <v>140146</v>
      </c>
      <c r="C10947" t="str">
        <f t="shared" ref="C10947:C11010" si="171">IF(B10946&lt;10000,"1. Under $10K",IF(B10946&lt;50000,"2. $10K-50K",IF(B10946&lt;250000,"3. $50K-250K",IF(B10946&lt;1000000,"4. $250K-1M","5. $1M+"))))</f>
        <v>2. $10K-50K</v>
      </c>
      <c r="D10947" t="s">
        <v>1581</v>
      </c>
      <c r="E10947" t="s">
        <v>42</v>
      </c>
      <c r="F10947" t="s">
        <v>670</v>
      </c>
      <c r="G10947" t="s">
        <v>59</v>
      </c>
      <c r="H10947">
        <v>2025</v>
      </c>
    </row>
    <row r="10948" spans="1:8" x14ac:dyDescent="0.2">
      <c r="A10948">
        <v>331651</v>
      </c>
      <c r="B10948">
        <v>37500</v>
      </c>
      <c r="C10948" t="str">
        <f t="shared" si="171"/>
        <v>3. $50K-250K</v>
      </c>
      <c r="D10948" t="s">
        <v>694</v>
      </c>
      <c r="E10948" t="s">
        <v>42</v>
      </c>
      <c r="F10948" t="s">
        <v>670</v>
      </c>
      <c r="G10948" t="s">
        <v>59</v>
      </c>
      <c r="H10948">
        <v>2025</v>
      </c>
    </row>
    <row r="10949" spans="1:8" x14ac:dyDescent="0.2">
      <c r="A10949">
        <v>331757</v>
      </c>
      <c r="B10949">
        <v>1638581.9</v>
      </c>
      <c r="C10949" t="str">
        <f t="shared" si="171"/>
        <v>2. $10K-50K</v>
      </c>
      <c r="D10949" t="s">
        <v>678</v>
      </c>
      <c r="E10949" t="s">
        <v>28</v>
      </c>
      <c r="F10949" t="s">
        <v>668</v>
      </c>
      <c r="G10949" t="s">
        <v>59</v>
      </c>
      <c r="H10949">
        <v>2025</v>
      </c>
    </row>
    <row r="10950" spans="1:8" x14ac:dyDescent="0.2">
      <c r="A10950">
        <v>331758</v>
      </c>
      <c r="B10950">
        <v>86356.5</v>
      </c>
      <c r="C10950" t="str">
        <f t="shared" si="171"/>
        <v>5. $1M+</v>
      </c>
      <c r="D10950" t="s">
        <v>2858</v>
      </c>
      <c r="E10950" t="s">
        <v>99</v>
      </c>
      <c r="F10950" t="s">
        <v>668</v>
      </c>
      <c r="G10950" t="s">
        <v>59</v>
      </c>
      <c r="H10950">
        <v>2025</v>
      </c>
    </row>
    <row r="10951" spans="1:8" x14ac:dyDescent="0.2">
      <c r="A10951">
        <v>331760</v>
      </c>
      <c r="B10951">
        <v>3000000</v>
      </c>
      <c r="C10951" t="str">
        <f t="shared" si="171"/>
        <v>3. $50K-250K</v>
      </c>
      <c r="D10951" t="s">
        <v>1035</v>
      </c>
      <c r="E10951" t="s">
        <v>99</v>
      </c>
      <c r="F10951" t="s">
        <v>668</v>
      </c>
      <c r="G10951" t="s">
        <v>59</v>
      </c>
      <c r="H10951">
        <v>2025</v>
      </c>
    </row>
    <row r="10952" spans="1:8" x14ac:dyDescent="0.2">
      <c r="A10952">
        <v>331891</v>
      </c>
      <c r="B10952">
        <v>139000</v>
      </c>
      <c r="C10952" t="str">
        <f t="shared" si="171"/>
        <v>5. $1M+</v>
      </c>
      <c r="D10952" t="s">
        <v>884</v>
      </c>
      <c r="E10952" t="s">
        <v>42</v>
      </c>
      <c r="F10952" t="s">
        <v>670</v>
      </c>
      <c r="G10952" t="s">
        <v>59</v>
      </c>
      <c r="H10952">
        <v>2025</v>
      </c>
    </row>
    <row r="10953" spans="1:8" x14ac:dyDescent="0.2">
      <c r="A10953">
        <v>331892</v>
      </c>
      <c r="B10953">
        <v>101112</v>
      </c>
      <c r="C10953" t="str">
        <f t="shared" si="171"/>
        <v>3. $50K-250K</v>
      </c>
      <c r="D10953" t="s">
        <v>673</v>
      </c>
      <c r="E10953" t="s">
        <v>42</v>
      </c>
      <c r="F10953" t="s">
        <v>670</v>
      </c>
      <c r="G10953" t="s">
        <v>59</v>
      </c>
      <c r="H10953">
        <v>2025</v>
      </c>
    </row>
    <row r="10954" spans="1:8" x14ac:dyDescent="0.2">
      <c r="A10954">
        <v>331893</v>
      </c>
      <c r="B10954">
        <v>81544</v>
      </c>
      <c r="C10954" t="str">
        <f t="shared" si="171"/>
        <v>3. $50K-250K</v>
      </c>
      <c r="D10954" t="s">
        <v>683</v>
      </c>
      <c r="E10954" t="s">
        <v>42</v>
      </c>
      <c r="F10954" t="s">
        <v>670</v>
      </c>
      <c r="G10954" t="s">
        <v>59</v>
      </c>
      <c r="H10954">
        <v>2025</v>
      </c>
    </row>
    <row r="10955" spans="1:8" x14ac:dyDescent="0.2">
      <c r="A10955">
        <v>331894</v>
      </c>
      <c r="B10955">
        <v>26969</v>
      </c>
      <c r="C10955" t="str">
        <f t="shared" si="171"/>
        <v>3. $50K-250K</v>
      </c>
      <c r="D10955" t="s">
        <v>680</v>
      </c>
      <c r="E10955" t="s">
        <v>42</v>
      </c>
      <c r="F10955" t="s">
        <v>670</v>
      </c>
      <c r="G10955" t="s">
        <v>59</v>
      </c>
      <c r="H10955">
        <v>2025</v>
      </c>
    </row>
    <row r="10956" spans="1:8" x14ac:dyDescent="0.2">
      <c r="A10956">
        <v>331896</v>
      </c>
      <c r="B10956">
        <v>27770</v>
      </c>
      <c r="C10956" t="str">
        <f t="shared" si="171"/>
        <v>2. $10K-50K</v>
      </c>
      <c r="D10956" t="s">
        <v>1361</v>
      </c>
      <c r="E10956" t="s">
        <v>237</v>
      </c>
      <c r="F10956" t="s">
        <v>670</v>
      </c>
      <c r="G10956" t="s">
        <v>59</v>
      </c>
      <c r="H10956">
        <v>2025</v>
      </c>
    </row>
    <row r="10957" spans="1:8" x14ac:dyDescent="0.2">
      <c r="A10957">
        <v>331901</v>
      </c>
      <c r="B10957">
        <v>99990</v>
      </c>
      <c r="C10957" t="str">
        <f t="shared" si="171"/>
        <v>2. $10K-50K</v>
      </c>
      <c r="D10957" t="s">
        <v>762</v>
      </c>
      <c r="E10957" t="s">
        <v>237</v>
      </c>
      <c r="F10957" t="s">
        <v>670</v>
      </c>
      <c r="G10957" t="s">
        <v>59</v>
      </c>
      <c r="H10957">
        <v>2025</v>
      </c>
    </row>
    <row r="10958" spans="1:8" x14ac:dyDescent="0.2">
      <c r="A10958">
        <v>331902</v>
      </c>
      <c r="B10958">
        <v>17700</v>
      </c>
      <c r="C10958" t="str">
        <f t="shared" si="171"/>
        <v>3. $50K-250K</v>
      </c>
      <c r="D10958" t="s">
        <v>1084</v>
      </c>
      <c r="E10958" t="s">
        <v>237</v>
      </c>
      <c r="F10958" t="s">
        <v>670</v>
      </c>
      <c r="G10958" t="s">
        <v>59</v>
      </c>
      <c r="H10958">
        <v>2025</v>
      </c>
    </row>
    <row r="10959" spans="1:8" x14ac:dyDescent="0.2">
      <c r="A10959">
        <v>331905</v>
      </c>
      <c r="B10959">
        <v>17700</v>
      </c>
      <c r="C10959" t="str">
        <f t="shared" si="171"/>
        <v>2. $10K-50K</v>
      </c>
      <c r="D10959" t="s">
        <v>977</v>
      </c>
      <c r="E10959" t="s">
        <v>237</v>
      </c>
      <c r="F10959" t="s">
        <v>670</v>
      </c>
      <c r="G10959" t="s">
        <v>59</v>
      </c>
      <c r="H10959">
        <v>2025</v>
      </c>
    </row>
    <row r="10960" spans="1:8" x14ac:dyDescent="0.2">
      <c r="A10960">
        <v>331907</v>
      </c>
      <c r="B10960">
        <v>172125</v>
      </c>
      <c r="C10960" t="str">
        <f t="shared" si="171"/>
        <v>2. $10K-50K</v>
      </c>
      <c r="D10960" t="s">
        <v>601</v>
      </c>
      <c r="E10960" t="s">
        <v>237</v>
      </c>
      <c r="F10960" t="s">
        <v>670</v>
      </c>
      <c r="G10960" t="s">
        <v>59</v>
      </c>
      <c r="H10960">
        <v>2025</v>
      </c>
    </row>
    <row r="10961" spans="1:8" x14ac:dyDescent="0.2">
      <c r="A10961">
        <v>331973</v>
      </c>
      <c r="B10961">
        <v>27770</v>
      </c>
      <c r="C10961" t="str">
        <f t="shared" si="171"/>
        <v>3. $50K-250K</v>
      </c>
      <c r="D10961" t="s">
        <v>708</v>
      </c>
      <c r="E10961" t="s">
        <v>237</v>
      </c>
      <c r="F10961" t="s">
        <v>670</v>
      </c>
      <c r="G10961" t="s">
        <v>59</v>
      </c>
      <c r="H10961">
        <v>2025</v>
      </c>
    </row>
    <row r="10962" spans="1:8" x14ac:dyDescent="0.2">
      <c r="A10962">
        <v>331976</v>
      </c>
      <c r="B10962">
        <v>17700</v>
      </c>
      <c r="C10962" t="str">
        <f t="shared" si="171"/>
        <v>2. $10K-50K</v>
      </c>
      <c r="D10962" t="s">
        <v>1063</v>
      </c>
      <c r="E10962" t="s">
        <v>237</v>
      </c>
      <c r="F10962" t="s">
        <v>670</v>
      </c>
      <c r="G10962" t="s">
        <v>59</v>
      </c>
      <c r="H10962">
        <v>2025</v>
      </c>
    </row>
    <row r="10963" spans="1:8" x14ac:dyDescent="0.2">
      <c r="A10963">
        <v>331981</v>
      </c>
      <c r="B10963">
        <v>27770</v>
      </c>
      <c r="C10963" t="str">
        <f t="shared" si="171"/>
        <v>2. $10K-50K</v>
      </c>
      <c r="D10963" t="s">
        <v>713</v>
      </c>
      <c r="E10963" t="s">
        <v>237</v>
      </c>
      <c r="F10963" t="s">
        <v>670</v>
      </c>
      <c r="G10963" t="s">
        <v>59</v>
      </c>
      <c r="H10963">
        <v>2025</v>
      </c>
    </row>
    <row r="10964" spans="1:8" x14ac:dyDescent="0.2">
      <c r="A10964">
        <v>331994</v>
      </c>
      <c r="B10964">
        <v>99990</v>
      </c>
      <c r="C10964" t="str">
        <f t="shared" si="171"/>
        <v>2. $10K-50K</v>
      </c>
      <c r="D10964" t="s">
        <v>1074</v>
      </c>
      <c r="E10964" t="s">
        <v>237</v>
      </c>
      <c r="F10964" t="s">
        <v>670</v>
      </c>
      <c r="G10964" t="s">
        <v>59</v>
      </c>
      <c r="H10964">
        <v>2025</v>
      </c>
    </row>
    <row r="10965" spans="1:8" x14ac:dyDescent="0.2">
      <c r="A10965">
        <v>332001</v>
      </c>
      <c r="B10965">
        <v>99990</v>
      </c>
      <c r="C10965" t="str">
        <f t="shared" si="171"/>
        <v>3. $50K-250K</v>
      </c>
      <c r="D10965" t="s">
        <v>1361</v>
      </c>
      <c r="E10965" t="s">
        <v>237</v>
      </c>
      <c r="F10965" t="s">
        <v>670</v>
      </c>
      <c r="G10965" t="s">
        <v>59</v>
      </c>
      <c r="H10965">
        <v>2025</v>
      </c>
    </row>
    <row r="10966" spans="1:8" x14ac:dyDescent="0.2">
      <c r="A10966">
        <v>33232</v>
      </c>
      <c r="B10966">
        <v>174250000</v>
      </c>
      <c r="C10966" t="str">
        <f t="shared" si="171"/>
        <v>3. $50K-250K</v>
      </c>
      <c r="D10966" t="s">
        <v>537</v>
      </c>
      <c r="E10966" t="s">
        <v>67</v>
      </c>
      <c r="F10966" t="s">
        <v>43</v>
      </c>
      <c r="G10966" t="s">
        <v>44</v>
      </c>
      <c r="H10966">
        <v>2023</v>
      </c>
    </row>
    <row r="10967" spans="1:8" x14ac:dyDescent="0.2">
      <c r="A10967">
        <v>332345</v>
      </c>
      <c r="B10967">
        <v>20996</v>
      </c>
      <c r="C10967" t="str">
        <f t="shared" si="171"/>
        <v>5. $1M+</v>
      </c>
      <c r="D10967" t="s">
        <v>683</v>
      </c>
      <c r="E10967" t="s">
        <v>42</v>
      </c>
      <c r="F10967" t="s">
        <v>670</v>
      </c>
      <c r="G10967" t="s">
        <v>59</v>
      </c>
      <c r="H10967">
        <v>2025</v>
      </c>
    </row>
    <row r="10968" spans="1:8" x14ac:dyDescent="0.2">
      <c r="A10968">
        <v>332351</v>
      </c>
      <c r="B10968">
        <v>60456</v>
      </c>
      <c r="C10968" t="str">
        <f t="shared" si="171"/>
        <v>2. $10K-50K</v>
      </c>
      <c r="D10968" t="s">
        <v>687</v>
      </c>
      <c r="E10968" t="s">
        <v>42</v>
      </c>
      <c r="F10968" t="s">
        <v>670</v>
      </c>
      <c r="G10968" t="s">
        <v>59</v>
      </c>
      <c r="H10968">
        <v>2025</v>
      </c>
    </row>
    <row r="10969" spans="1:8" x14ac:dyDescent="0.2">
      <c r="A10969">
        <v>332352</v>
      </c>
      <c r="B10969">
        <v>21744</v>
      </c>
      <c r="C10969" t="str">
        <f t="shared" si="171"/>
        <v>3. $50K-250K</v>
      </c>
      <c r="D10969" t="s">
        <v>681</v>
      </c>
      <c r="E10969" t="s">
        <v>42</v>
      </c>
      <c r="F10969" t="s">
        <v>670</v>
      </c>
      <c r="G10969" t="s">
        <v>59</v>
      </c>
      <c r="H10969">
        <v>2025</v>
      </c>
    </row>
    <row r="10970" spans="1:8" x14ac:dyDescent="0.2">
      <c r="A10970">
        <v>332400</v>
      </c>
      <c r="B10970">
        <v>17700</v>
      </c>
      <c r="C10970" t="str">
        <f t="shared" si="171"/>
        <v>2. $10K-50K</v>
      </c>
      <c r="D10970" t="s">
        <v>1546</v>
      </c>
      <c r="E10970" t="s">
        <v>237</v>
      </c>
      <c r="F10970" t="s">
        <v>670</v>
      </c>
      <c r="G10970" t="s">
        <v>59</v>
      </c>
      <c r="H10970">
        <v>2025</v>
      </c>
    </row>
    <row r="10971" spans="1:8" x14ac:dyDescent="0.2">
      <c r="A10971">
        <v>332401</v>
      </c>
      <c r="B10971">
        <v>17700</v>
      </c>
      <c r="C10971" t="str">
        <f t="shared" si="171"/>
        <v>2. $10K-50K</v>
      </c>
      <c r="D10971" t="s">
        <v>1360</v>
      </c>
      <c r="E10971" t="s">
        <v>237</v>
      </c>
      <c r="F10971" t="s">
        <v>670</v>
      </c>
      <c r="G10971" t="s">
        <v>59</v>
      </c>
      <c r="H10971">
        <v>2025</v>
      </c>
    </row>
    <row r="10972" spans="1:8" x14ac:dyDescent="0.2">
      <c r="A10972">
        <v>332403</v>
      </c>
      <c r="B10972">
        <v>9951320</v>
      </c>
      <c r="C10972" t="str">
        <f t="shared" si="171"/>
        <v>2. $10K-50K</v>
      </c>
      <c r="D10972" t="s">
        <v>863</v>
      </c>
      <c r="E10972" t="s">
        <v>237</v>
      </c>
      <c r="F10972" t="s">
        <v>670</v>
      </c>
      <c r="G10972" t="s">
        <v>59</v>
      </c>
      <c r="H10972">
        <v>2025</v>
      </c>
    </row>
    <row r="10973" spans="1:8" x14ac:dyDescent="0.2">
      <c r="A10973">
        <v>332556</v>
      </c>
      <c r="B10973">
        <v>51875</v>
      </c>
      <c r="C10973" t="str">
        <f t="shared" si="171"/>
        <v>5. $1M+</v>
      </c>
      <c r="D10973" t="s">
        <v>1524</v>
      </c>
      <c r="E10973" t="s">
        <v>42</v>
      </c>
      <c r="F10973" t="s">
        <v>670</v>
      </c>
      <c r="G10973" t="s">
        <v>59</v>
      </c>
      <c r="H10973">
        <v>2025</v>
      </c>
    </row>
    <row r="10974" spans="1:8" x14ac:dyDescent="0.2">
      <c r="A10974">
        <v>332557</v>
      </c>
      <c r="B10974">
        <v>15000</v>
      </c>
      <c r="C10974" t="str">
        <f t="shared" si="171"/>
        <v>3. $50K-250K</v>
      </c>
      <c r="D10974" t="s">
        <v>804</v>
      </c>
      <c r="E10974" t="s">
        <v>42</v>
      </c>
      <c r="F10974" t="s">
        <v>670</v>
      </c>
      <c r="G10974" t="s">
        <v>59</v>
      </c>
      <c r="H10974">
        <v>2025</v>
      </c>
    </row>
    <row r="10975" spans="1:8" x14ac:dyDescent="0.2">
      <c r="A10975">
        <v>332558</v>
      </c>
      <c r="B10975">
        <v>14100</v>
      </c>
      <c r="C10975" t="str">
        <f t="shared" si="171"/>
        <v>2. $10K-50K</v>
      </c>
      <c r="D10975" t="s">
        <v>855</v>
      </c>
      <c r="E10975" t="s">
        <v>42</v>
      </c>
      <c r="F10975" t="s">
        <v>670</v>
      </c>
      <c r="G10975" t="s">
        <v>59</v>
      </c>
      <c r="H10975">
        <v>2025</v>
      </c>
    </row>
    <row r="10976" spans="1:8" x14ac:dyDescent="0.2">
      <c r="A10976">
        <v>33262</v>
      </c>
      <c r="B10976">
        <v>2032554</v>
      </c>
      <c r="C10976" t="str">
        <f t="shared" si="171"/>
        <v>2. $10K-50K</v>
      </c>
      <c r="D10976" t="s">
        <v>538</v>
      </c>
      <c r="E10976" t="s">
        <v>24</v>
      </c>
      <c r="F10976" t="s">
        <v>12</v>
      </c>
      <c r="G10976" t="s">
        <v>10</v>
      </c>
      <c r="H10976">
        <v>2024</v>
      </c>
    </row>
    <row r="10977" spans="1:8" x14ac:dyDescent="0.2">
      <c r="A10977">
        <v>332675</v>
      </c>
      <c r="B10977">
        <v>215818</v>
      </c>
      <c r="C10977" t="str">
        <f t="shared" si="171"/>
        <v>5. $1M+</v>
      </c>
      <c r="D10977" t="s">
        <v>1505</v>
      </c>
      <c r="E10977" t="s">
        <v>825</v>
      </c>
      <c r="F10977" t="s">
        <v>670</v>
      </c>
      <c r="G10977" t="s">
        <v>44</v>
      </c>
      <c r="H10977">
        <v>2025</v>
      </c>
    </row>
    <row r="10978" spans="1:8" x14ac:dyDescent="0.2">
      <c r="A10978">
        <v>332676</v>
      </c>
      <c r="B10978">
        <v>90000</v>
      </c>
      <c r="C10978" t="str">
        <f t="shared" si="171"/>
        <v>3. $50K-250K</v>
      </c>
      <c r="D10978" t="s">
        <v>971</v>
      </c>
      <c r="E10978" t="s">
        <v>825</v>
      </c>
      <c r="F10978" t="s">
        <v>670</v>
      </c>
      <c r="G10978" t="s">
        <v>44</v>
      </c>
      <c r="H10978">
        <v>2025</v>
      </c>
    </row>
    <row r="10979" spans="1:8" x14ac:dyDescent="0.2">
      <c r="A10979">
        <v>332685</v>
      </c>
      <c r="B10979">
        <v>244000</v>
      </c>
      <c r="C10979" t="str">
        <f t="shared" si="171"/>
        <v>3. $50K-250K</v>
      </c>
      <c r="D10979" t="s">
        <v>971</v>
      </c>
      <c r="E10979" t="s">
        <v>825</v>
      </c>
      <c r="F10979" t="s">
        <v>670</v>
      </c>
      <c r="G10979" t="s">
        <v>44</v>
      </c>
      <c r="H10979">
        <v>2025</v>
      </c>
    </row>
    <row r="10980" spans="1:8" x14ac:dyDescent="0.2">
      <c r="A10980">
        <v>332813</v>
      </c>
      <c r="B10980">
        <v>6000</v>
      </c>
      <c r="C10980" t="str">
        <f t="shared" si="171"/>
        <v>3. $50K-250K</v>
      </c>
      <c r="D10980" t="s">
        <v>2859</v>
      </c>
      <c r="E10980" t="s">
        <v>112</v>
      </c>
      <c r="F10980" t="s">
        <v>668</v>
      </c>
      <c r="G10980" t="s">
        <v>59</v>
      </c>
      <c r="H10980">
        <v>2025</v>
      </c>
    </row>
    <row r="10981" spans="1:8" x14ac:dyDescent="0.2">
      <c r="A10981">
        <v>332816</v>
      </c>
      <c r="B10981">
        <v>2000</v>
      </c>
      <c r="C10981" t="str">
        <f t="shared" si="171"/>
        <v>1. Under $10K</v>
      </c>
      <c r="D10981" t="s">
        <v>2860</v>
      </c>
      <c r="E10981" t="s">
        <v>112</v>
      </c>
      <c r="F10981" t="s">
        <v>668</v>
      </c>
      <c r="G10981" t="s">
        <v>59</v>
      </c>
      <c r="H10981">
        <v>2025</v>
      </c>
    </row>
    <row r="10982" spans="1:8" x14ac:dyDescent="0.2">
      <c r="A10982">
        <v>332819</v>
      </c>
      <c r="B10982">
        <v>2500</v>
      </c>
      <c r="C10982" t="str">
        <f t="shared" si="171"/>
        <v>1. Under $10K</v>
      </c>
      <c r="D10982" t="s">
        <v>2794</v>
      </c>
      <c r="E10982" t="s">
        <v>112</v>
      </c>
      <c r="F10982" t="s">
        <v>668</v>
      </c>
      <c r="G10982" t="s">
        <v>59</v>
      </c>
      <c r="H10982">
        <v>2025</v>
      </c>
    </row>
    <row r="10983" spans="1:8" x14ac:dyDescent="0.2">
      <c r="A10983">
        <v>332832</v>
      </c>
      <c r="B10983">
        <v>72000</v>
      </c>
      <c r="C10983" t="str">
        <f t="shared" si="171"/>
        <v>1. Under $10K</v>
      </c>
      <c r="D10983" t="s">
        <v>2861</v>
      </c>
      <c r="E10983" t="s">
        <v>112</v>
      </c>
      <c r="F10983" t="s">
        <v>668</v>
      </c>
      <c r="G10983" t="s">
        <v>59</v>
      </c>
      <c r="H10983">
        <v>2025</v>
      </c>
    </row>
    <row r="10984" spans="1:8" x14ac:dyDescent="0.2">
      <c r="A10984">
        <v>332856</v>
      </c>
      <c r="B10984">
        <v>70000</v>
      </c>
      <c r="C10984" t="str">
        <f t="shared" si="171"/>
        <v>3. $50K-250K</v>
      </c>
      <c r="D10984" t="s">
        <v>1454</v>
      </c>
      <c r="E10984" t="s">
        <v>112</v>
      </c>
      <c r="F10984" t="s">
        <v>668</v>
      </c>
      <c r="G10984" t="s">
        <v>59</v>
      </c>
      <c r="H10984">
        <v>2025</v>
      </c>
    </row>
    <row r="10985" spans="1:8" x14ac:dyDescent="0.2">
      <c r="A10985">
        <v>332862</v>
      </c>
      <c r="B10985">
        <v>65000</v>
      </c>
      <c r="C10985" t="str">
        <f t="shared" si="171"/>
        <v>3. $50K-250K</v>
      </c>
      <c r="D10985" t="s">
        <v>1640</v>
      </c>
      <c r="E10985" t="s">
        <v>112</v>
      </c>
      <c r="F10985" t="s">
        <v>668</v>
      </c>
      <c r="G10985" t="s">
        <v>59</v>
      </c>
      <c r="H10985">
        <v>2025</v>
      </c>
    </row>
    <row r="10986" spans="1:8" x14ac:dyDescent="0.2">
      <c r="A10986">
        <v>332878</v>
      </c>
      <c r="B10986">
        <v>100000</v>
      </c>
      <c r="C10986" t="str">
        <f t="shared" si="171"/>
        <v>3. $50K-250K</v>
      </c>
      <c r="D10986" t="s">
        <v>686</v>
      </c>
      <c r="E10986" t="s">
        <v>42</v>
      </c>
      <c r="F10986" t="s">
        <v>670</v>
      </c>
      <c r="G10986" t="s">
        <v>59</v>
      </c>
      <c r="H10986">
        <v>2025</v>
      </c>
    </row>
    <row r="10987" spans="1:8" x14ac:dyDescent="0.2">
      <c r="A10987">
        <v>332910</v>
      </c>
      <c r="B10987">
        <v>131400</v>
      </c>
      <c r="C10987" t="str">
        <f t="shared" si="171"/>
        <v>3. $50K-250K</v>
      </c>
      <c r="D10987" t="s">
        <v>953</v>
      </c>
      <c r="E10987" t="s">
        <v>825</v>
      </c>
      <c r="F10987" t="s">
        <v>670</v>
      </c>
      <c r="G10987" t="s">
        <v>44</v>
      </c>
      <c r="H10987">
        <v>2025</v>
      </c>
    </row>
    <row r="10988" spans="1:8" x14ac:dyDescent="0.2">
      <c r="A10988">
        <v>332911</v>
      </c>
      <c r="B10988">
        <v>157500</v>
      </c>
      <c r="C10988" t="str">
        <f t="shared" si="171"/>
        <v>3. $50K-250K</v>
      </c>
      <c r="D10988" t="s">
        <v>812</v>
      </c>
      <c r="E10988" t="s">
        <v>825</v>
      </c>
      <c r="F10988" t="s">
        <v>670</v>
      </c>
      <c r="G10988" t="s">
        <v>44</v>
      </c>
      <c r="H10988">
        <v>2025</v>
      </c>
    </row>
    <row r="10989" spans="1:8" x14ac:dyDescent="0.2">
      <c r="A10989">
        <v>332912</v>
      </c>
      <c r="B10989">
        <v>157500</v>
      </c>
      <c r="C10989" t="str">
        <f t="shared" si="171"/>
        <v>3. $50K-250K</v>
      </c>
      <c r="D10989" t="s">
        <v>952</v>
      </c>
      <c r="E10989" t="s">
        <v>825</v>
      </c>
      <c r="F10989" t="s">
        <v>670</v>
      </c>
      <c r="G10989" t="s">
        <v>44</v>
      </c>
      <c r="H10989">
        <v>2025</v>
      </c>
    </row>
    <row r="10990" spans="1:8" x14ac:dyDescent="0.2">
      <c r="A10990">
        <v>332913</v>
      </c>
      <c r="B10990">
        <v>144000</v>
      </c>
      <c r="C10990" t="str">
        <f t="shared" si="171"/>
        <v>3. $50K-250K</v>
      </c>
      <c r="D10990" t="s">
        <v>2862</v>
      </c>
      <c r="E10990" t="s">
        <v>825</v>
      </c>
      <c r="F10990" t="s">
        <v>670</v>
      </c>
      <c r="G10990" t="s">
        <v>44</v>
      </c>
      <c r="H10990">
        <v>2025</v>
      </c>
    </row>
    <row r="10991" spans="1:8" x14ac:dyDescent="0.2">
      <c r="A10991">
        <v>332914</v>
      </c>
      <c r="B10991">
        <v>157500</v>
      </c>
      <c r="C10991" t="str">
        <f t="shared" si="171"/>
        <v>3. $50K-250K</v>
      </c>
      <c r="D10991" t="s">
        <v>809</v>
      </c>
      <c r="E10991" t="s">
        <v>825</v>
      </c>
      <c r="F10991" t="s">
        <v>670</v>
      </c>
      <c r="G10991" t="s">
        <v>44</v>
      </c>
      <c r="H10991">
        <v>2025</v>
      </c>
    </row>
    <row r="10992" spans="1:8" x14ac:dyDescent="0.2">
      <c r="A10992">
        <v>332915</v>
      </c>
      <c r="B10992">
        <v>157500</v>
      </c>
      <c r="C10992" t="str">
        <f t="shared" si="171"/>
        <v>3. $50K-250K</v>
      </c>
      <c r="D10992" t="s">
        <v>880</v>
      </c>
      <c r="E10992" t="s">
        <v>825</v>
      </c>
      <c r="F10992" t="s">
        <v>670</v>
      </c>
      <c r="G10992" t="s">
        <v>44</v>
      </c>
      <c r="H10992">
        <v>2025</v>
      </c>
    </row>
    <row r="10993" spans="1:8" x14ac:dyDescent="0.2">
      <c r="A10993">
        <v>332916</v>
      </c>
      <c r="B10993">
        <v>144000</v>
      </c>
      <c r="C10993" t="str">
        <f t="shared" si="171"/>
        <v>3. $50K-250K</v>
      </c>
      <c r="D10993" t="s">
        <v>717</v>
      </c>
      <c r="E10993" t="s">
        <v>825</v>
      </c>
      <c r="F10993" t="s">
        <v>670</v>
      </c>
      <c r="G10993" t="s">
        <v>44</v>
      </c>
      <c r="H10993">
        <v>2025</v>
      </c>
    </row>
    <row r="10994" spans="1:8" x14ac:dyDescent="0.2">
      <c r="A10994">
        <v>332918</v>
      </c>
      <c r="B10994">
        <v>177000</v>
      </c>
      <c r="C10994" t="str">
        <f t="shared" si="171"/>
        <v>3. $50K-250K</v>
      </c>
      <c r="D10994" t="s">
        <v>955</v>
      </c>
      <c r="E10994" t="s">
        <v>825</v>
      </c>
      <c r="F10994" t="s">
        <v>670</v>
      </c>
      <c r="G10994" t="s">
        <v>44</v>
      </c>
      <c r="H10994">
        <v>2025</v>
      </c>
    </row>
    <row r="10995" spans="1:8" x14ac:dyDescent="0.2">
      <c r="A10995">
        <v>332920</v>
      </c>
      <c r="B10995">
        <v>157500</v>
      </c>
      <c r="C10995" t="str">
        <f t="shared" si="171"/>
        <v>3. $50K-250K</v>
      </c>
      <c r="D10995" t="s">
        <v>951</v>
      </c>
      <c r="E10995" t="s">
        <v>825</v>
      </c>
      <c r="F10995" t="s">
        <v>670</v>
      </c>
      <c r="G10995" t="s">
        <v>44</v>
      </c>
      <c r="H10995">
        <v>2025</v>
      </c>
    </row>
    <row r="10996" spans="1:8" x14ac:dyDescent="0.2">
      <c r="A10996">
        <v>332921</v>
      </c>
      <c r="B10996">
        <v>138000</v>
      </c>
      <c r="C10996" t="str">
        <f t="shared" si="171"/>
        <v>3. $50K-250K</v>
      </c>
      <c r="D10996" t="s">
        <v>857</v>
      </c>
      <c r="E10996" t="s">
        <v>825</v>
      </c>
      <c r="F10996" t="s">
        <v>670</v>
      </c>
      <c r="G10996" t="s">
        <v>44</v>
      </c>
      <c r="H10996">
        <v>2025</v>
      </c>
    </row>
    <row r="10997" spans="1:8" x14ac:dyDescent="0.2">
      <c r="A10997">
        <v>332922</v>
      </c>
      <c r="B10997">
        <v>150000</v>
      </c>
      <c r="C10997" t="str">
        <f t="shared" si="171"/>
        <v>3. $50K-250K</v>
      </c>
      <c r="D10997" t="s">
        <v>701</v>
      </c>
      <c r="E10997" t="s">
        <v>825</v>
      </c>
      <c r="F10997" t="s">
        <v>670</v>
      </c>
      <c r="G10997" t="s">
        <v>44</v>
      </c>
      <c r="H10997">
        <v>2025</v>
      </c>
    </row>
    <row r="10998" spans="1:8" x14ac:dyDescent="0.2">
      <c r="A10998">
        <v>332924</v>
      </c>
      <c r="B10998">
        <v>150000</v>
      </c>
      <c r="C10998" t="str">
        <f t="shared" si="171"/>
        <v>3. $50K-250K</v>
      </c>
      <c r="D10998" t="s">
        <v>957</v>
      </c>
      <c r="E10998" t="s">
        <v>825</v>
      </c>
      <c r="F10998" t="s">
        <v>670</v>
      </c>
      <c r="G10998" t="s">
        <v>44</v>
      </c>
      <c r="H10998">
        <v>2025</v>
      </c>
    </row>
    <row r="10999" spans="1:8" x14ac:dyDescent="0.2">
      <c r="A10999">
        <v>332925</v>
      </c>
      <c r="B10999">
        <v>153600</v>
      </c>
      <c r="C10999" t="str">
        <f t="shared" si="171"/>
        <v>3. $50K-250K</v>
      </c>
      <c r="D10999" t="s">
        <v>929</v>
      </c>
      <c r="E10999" t="s">
        <v>825</v>
      </c>
      <c r="F10999" t="s">
        <v>670</v>
      </c>
      <c r="G10999" t="s">
        <v>44</v>
      </c>
      <c r="H10999">
        <v>2025</v>
      </c>
    </row>
    <row r="11000" spans="1:8" x14ac:dyDescent="0.2">
      <c r="A11000">
        <v>332926</v>
      </c>
      <c r="B11000">
        <v>144000</v>
      </c>
      <c r="C11000" t="str">
        <f t="shared" si="171"/>
        <v>3. $50K-250K</v>
      </c>
      <c r="D11000" t="s">
        <v>920</v>
      </c>
      <c r="E11000" t="s">
        <v>825</v>
      </c>
      <c r="F11000" t="s">
        <v>670</v>
      </c>
      <c r="G11000" t="s">
        <v>44</v>
      </c>
      <c r="H11000">
        <v>2025</v>
      </c>
    </row>
    <row r="11001" spans="1:8" x14ac:dyDescent="0.2">
      <c r="A11001">
        <v>332927</v>
      </c>
      <c r="B11001">
        <v>157500</v>
      </c>
      <c r="C11001" t="str">
        <f t="shared" si="171"/>
        <v>3. $50K-250K</v>
      </c>
      <c r="D11001" t="s">
        <v>958</v>
      </c>
      <c r="E11001" t="s">
        <v>825</v>
      </c>
      <c r="F11001" t="s">
        <v>670</v>
      </c>
      <c r="G11001" t="s">
        <v>44</v>
      </c>
      <c r="H11001">
        <v>2025</v>
      </c>
    </row>
    <row r="11002" spans="1:8" x14ac:dyDescent="0.2">
      <c r="A11002">
        <v>332930</v>
      </c>
      <c r="B11002">
        <v>157500</v>
      </c>
      <c r="C11002" t="str">
        <f t="shared" si="171"/>
        <v>3. $50K-250K</v>
      </c>
      <c r="D11002" t="s">
        <v>949</v>
      </c>
      <c r="E11002" t="s">
        <v>825</v>
      </c>
      <c r="F11002" t="s">
        <v>670</v>
      </c>
      <c r="G11002" t="s">
        <v>44</v>
      </c>
      <c r="H11002">
        <v>2025</v>
      </c>
    </row>
    <row r="11003" spans="1:8" x14ac:dyDescent="0.2">
      <c r="A11003">
        <v>332937</v>
      </c>
      <c r="B11003">
        <v>100000</v>
      </c>
      <c r="C11003" t="str">
        <f t="shared" si="171"/>
        <v>3. $50K-250K</v>
      </c>
      <c r="D11003" t="s">
        <v>685</v>
      </c>
      <c r="E11003" t="s">
        <v>42</v>
      </c>
      <c r="F11003" t="s">
        <v>670</v>
      </c>
      <c r="G11003" t="s">
        <v>59</v>
      </c>
      <c r="H11003">
        <v>2025</v>
      </c>
    </row>
    <row r="11004" spans="1:8" x14ac:dyDescent="0.2">
      <c r="A11004">
        <v>332938</v>
      </c>
      <c r="B11004">
        <v>60000</v>
      </c>
      <c r="C11004" t="str">
        <f t="shared" si="171"/>
        <v>3. $50K-250K</v>
      </c>
      <c r="D11004" t="s">
        <v>687</v>
      </c>
      <c r="E11004" t="s">
        <v>42</v>
      </c>
      <c r="F11004" t="s">
        <v>670</v>
      </c>
      <c r="G11004" t="s">
        <v>59</v>
      </c>
      <c r="H11004">
        <v>2025</v>
      </c>
    </row>
    <row r="11005" spans="1:8" x14ac:dyDescent="0.2">
      <c r="A11005">
        <v>332939</v>
      </c>
      <c r="B11005">
        <v>26969</v>
      </c>
      <c r="C11005" t="str">
        <f t="shared" si="171"/>
        <v>3. $50K-250K</v>
      </c>
      <c r="D11005" t="s">
        <v>680</v>
      </c>
      <c r="E11005" t="s">
        <v>42</v>
      </c>
      <c r="F11005" t="s">
        <v>670</v>
      </c>
      <c r="G11005" t="s">
        <v>59</v>
      </c>
      <c r="H11005">
        <v>2025</v>
      </c>
    </row>
    <row r="11006" spans="1:8" x14ac:dyDescent="0.2">
      <c r="A11006">
        <v>332942</v>
      </c>
      <c r="B11006">
        <v>13476758</v>
      </c>
      <c r="C11006" t="str">
        <f t="shared" si="171"/>
        <v>2. $10K-50K</v>
      </c>
      <c r="D11006" t="s">
        <v>2863</v>
      </c>
      <c r="E11006" t="s">
        <v>99</v>
      </c>
      <c r="F11006" t="s">
        <v>668</v>
      </c>
      <c r="G11006" t="s">
        <v>59</v>
      </c>
      <c r="H11006">
        <v>2025</v>
      </c>
    </row>
    <row r="11007" spans="1:8" x14ac:dyDescent="0.2">
      <c r="A11007">
        <v>333052</v>
      </c>
      <c r="B11007">
        <v>100000</v>
      </c>
      <c r="C11007" t="str">
        <f t="shared" si="171"/>
        <v>5. $1M+</v>
      </c>
      <c r="D11007" t="s">
        <v>877</v>
      </c>
      <c r="E11007" t="s">
        <v>825</v>
      </c>
      <c r="F11007" t="s">
        <v>670</v>
      </c>
      <c r="G11007" t="s">
        <v>44</v>
      </c>
      <c r="H11007">
        <v>2025</v>
      </c>
    </row>
    <row r="11008" spans="1:8" x14ac:dyDescent="0.2">
      <c r="A11008">
        <v>333053</v>
      </c>
      <c r="B11008">
        <v>100000</v>
      </c>
      <c r="C11008" t="str">
        <f t="shared" si="171"/>
        <v>3. $50K-250K</v>
      </c>
      <c r="D11008" t="s">
        <v>2864</v>
      </c>
      <c r="E11008" t="s">
        <v>825</v>
      </c>
      <c r="F11008" t="s">
        <v>670</v>
      </c>
      <c r="G11008" t="s">
        <v>44</v>
      </c>
      <c r="H11008">
        <v>2025</v>
      </c>
    </row>
    <row r="11009" spans="1:8" x14ac:dyDescent="0.2">
      <c r="A11009">
        <v>333054</v>
      </c>
      <c r="B11009">
        <v>100000</v>
      </c>
      <c r="C11009" t="str">
        <f t="shared" si="171"/>
        <v>3. $50K-250K</v>
      </c>
      <c r="D11009" t="s">
        <v>954</v>
      </c>
      <c r="E11009" t="s">
        <v>825</v>
      </c>
      <c r="F11009" t="s">
        <v>670</v>
      </c>
      <c r="G11009" t="s">
        <v>44</v>
      </c>
      <c r="H11009">
        <v>2025</v>
      </c>
    </row>
    <row r="11010" spans="1:8" x14ac:dyDescent="0.2">
      <c r="A11010">
        <v>333058</v>
      </c>
      <c r="B11010">
        <v>6955</v>
      </c>
      <c r="C11010" t="str">
        <f t="shared" si="171"/>
        <v>3. $50K-250K</v>
      </c>
      <c r="D11010" t="s">
        <v>878</v>
      </c>
      <c r="E11010" t="s">
        <v>42</v>
      </c>
      <c r="F11010" t="s">
        <v>670</v>
      </c>
      <c r="G11010" t="s">
        <v>59</v>
      </c>
      <c r="H11010">
        <v>2025</v>
      </c>
    </row>
    <row r="11011" spans="1:8" x14ac:dyDescent="0.2">
      <c r="A11011">
        <v>333062</v>
      </c>
      <c r="B11011">
        <v>45000</v>
      </c>
      <c r="C11011" t="str">
        <f t="shared" ref="C11011:C11074" si="172">IF(B11010&lt;10000,"1. Under $10K",IF(B11010&lt;50000,"2. $10K-50K",IF(B11010&lt;250000,"3. $50K-250K",IF(B11010&lt;1000000,"4. $250K-1M","5. $1M+"))))</f>
        <v>1. Under $10K</v>
      </c>
      <c r="D11011" t="s">
        <v>792</v>
      </c>
      <c r="E11011" t="s">
        <v>42</v>
      </c>
      <c r="F11011" t="s">
        <v>670</v>
      </c>
      <c r="G11011" t="s">
        <v>59</v>
      </c>
      <c r="H11011">
        <v>2025</v>
      </c>
    </row>
    <row r="11012" spans="1:8" x14ac:dyDescent="0.2">
      <c r="A11012">
        <v>333081</v>
      </c>
      <c r="B11012">
        <v>211500</v>
      </c>
      <c r="C11012" t="str">
        <f t="shared" si="172"/>
        <v>2. $10K-50K</v>
      </c>
      <c r="D11012" t="s">
        <v>880</v>
      </c>
      <c r="E11012" t="s">
        <v>825</v>
      </c>
      <c r="F11012" t="s">
        <v>670</v>
      </c>
      <c r="G11012" t="s">
        <v>44</v>
      </c>
      <c r="H11012">
        <v>2025</v>
      </c>
    </row>
    <row r="11013" spans="1:8" x14ac:dyDescent="0.2">
      <c r="A11013">
        <v>333082</v>
      </c>
      <c r="B11013">
        <v>192300</v>
      </c>
      <c r="C11013" t="str">
        <f t="shared" si="172"/>
        <v>3. $50K-250K</v>
      </c>
      <c r="D11013" t="s">
        <v>701</v>
      </c>
      <c r="E11013" t="s">
        <v>825</v>
      </c>
      <c r="F11013" t="s">
        <v>670</v>
      </c>
      <c r="G11013" t="s">
        <v>44</v>
      </c>
      <c r="H11013">
        <v>2025</v>
      </c>
    </row>
    <row r="11014" spans="1:8" x14ac:dyDescent="0.2">
      <c r="A11014">
        <v>333083</v>
      </c>
      <c r="B11014">
        <v>306000</v>
      </c>
      <c r="C11014" t="str">
        <f t="shared" si="172"/>
        <v>3. $50K-250K</v>
      </c>
      <c r="D11014" t="s">
        <v>2862</v>
      </c>
      <c r="E11014" t="s">
        <v>825</v>
      </c>
      <c r="F11014" t="s">
        <v>670</v>
      </c>
      <c r="G11014" t="s">
        <v>44</v>
      </c>
      <c r="H11014">
        <v>2025</v>
      </c>
    </row>
    <row r="11015" spans="1:8" x14ac:dyDescent="0.2">
      <c r="A11015">
        <v>333085</v>
      </c>
      <c r="B11015">
        <v>180000</v>
      </c>
      <c r="C11015" t="str">
        <f t="shared" si="172"/>
        <v>4. $250K-1M</v>
      </c>
      <c r="D11015" t="s">
        <v>1096</v>
      </c>
      <c r="E11015" t="s">
        <v>825</v>
      </c>
      <c r="F11015" t="s">
        <v>670</v>
      </c>
      <c r="G11015" t="s">
        <v>44</v>
      </c>
      <c r="H11015">
        <v>2025</v>
      </c>
    </row>
    <row r="11016" spans="1:8" x14ac:dyDescent="0.2">
      <c r="A11016">
        <v>333087</v>
      </c>
      <c r="B11016">
        <v>294900</v>
      </c>
      <c r="C11016" t="str">
        <f t="shared" si="172"/>
        <v>3. $50K-250K</v>
      </c>
      <c r="D11016" t="s">
        <v>726</v>
      </c>
      <c r="E11016" t="s">
        <v>825</v>
      </c>
      <c r="F11016" t="s">
        <v>670</v>
      </c>
      <c r="G11016" t="s">
        <v>44</v>
      </c>
      <c r="H11016">
        <v>2025</v>
      </c>
    </row>
    <row r="11017" spans="1:8" x14ac:dyDescent="0.2">
      <c r="A11017">
        <v>333088</v>
      </c>
      <c r="B11017">
        <v>300000</v>
      </c>
      <c r="C11017" t="str">
        <f t="shared" si="172"/>
        <v>4. $250K-1M</v>
      </c>
      <c r="D11017" t="s">
        <v>2865</v>
      </c>
      <c r="E11017" t="s">
        <v>825</v>
      </c>
      <c r="F11017" t="s">
        <v>670</v>
      </c>
      <c r="G11017" t="s">
        <v>44</v>
      </c>
      <c r="H11017">
        <v>2025</v>
      </c>
    </row>
    <row r="11018" spans="1:8" x14ac:dyDescent="0.2">
      <c r="A11018">
        <v>333089</v>
      </c>
      <c r="B11018">
        <v>742500</v>
      </c>
      <c r="C11018" t="str">
        <f t="shared" si="172"/>
        <v>4. $250K-1M</v>
      </c>
      <c r="D11018" t="s">
        <v>771</v>
      </c>
      <c r="E11018" t="s">
        <v>825</v>
      </c>
      <c r="F11018" t="s">
        <v>670</v>
      </c>
      <c r="G11018" t="s">
        <v>44</v>
      </c>
      <c r="H11018">
        <v>2025</v>
      </c>
    </row>
    <row r="11019" spans="1:8" x14ac:dyDescent="0.2">
      <c r="A11019">
        <v>333090</v>
      </c>
      <c r="B11019">
        <v>372000</v>
      </c>
      <c r="C11019" t="str">
        <f t="shared" si="172"/>
        <v>4. $250K-1M</v>
      </c>
      <c r="D11019" t="s">
        <v>956</v>
      </c>
      <c r="E11019" t="s">
        <v>825</v>
      </c>
      <c r="F11019" t="s">
        <v>670</v>
      </c>
      <c r="G11019" t="s">
        <v>44</v>
      </c>
      <c r="H11019">
        <v>2025</v>
      </c>
    </row>
    <row r="11020" spans="1:8" x14ac:dyDescent="0.2">
      <c r="A11020">
        <v>333095</v>
      </c>
      <c r="B11020">
        <v>1535504</v>
      </c>
      <c r="C11020" t="str">
        <f t="shared" si="172"/>
        <v>4. $250K-1M</v>
      </c>
      <c r="D11020" t="s">
        <v>507</v>
      </c>
      <c r="E11020" t="s">
        <v>237</v>
      </c>
      <c r="F11020" t="s">
        <v>670</v>
      </c>
      <c r="G11020" t="s">
        <v>59</v>
      </c>
      <c r="H11020">
        <v>2025</v>
      </c>
    </row>
    <row r="11021" spans="1:8" x14ac:dyDescent="0.2">
      <c r="A11021">
        <v>333104</v>
      </c>
      <c r="B11021">
        <v>15000</v>
      </c>
      <c r="C11021" t="str">
        <f t="shared" si="172"/>
        <v>5. $1M+</v>
      </c>
      <c r="D11021" t="s">
        <v>687</v>
      </c>
      <c r="E11021" t="s">
        <v>42</v>
      </c>
      <c r="F11021" t="s">
        <v>670</v>
      </c>
      <c r="G11021" t="s">
        <v>59</v>
      </c>
      <c r="H11021">
        <v>2025</v>
      </c>
    </row>
    <row r="11022" spans="1:8" x14ac:dyDescent="0.2">
      <c r="A11022">
        <v>333106</v>
      </c>
      <c r="B11022">
        <v>197086</v>
      </c>
      <c r="C11022" t="str">
        <f t="shared" si="172"/>
        <v>2. $10K-50K</v>
      </c>
      <c r="D11022" t="s">
        <v>674</v>
      </c>
      <c r="E11022" t="s">
        <v>42</v>
      </c>
      <c r="F11022" t="s">
        <v>670</v>
      </c>
      <c r="G11022" t="s">
        <v>59</v>
      </c>
      <c r="H11022">
        <v>2025</v>
      </c>
    </row>
    <row r="11023" spans="1:8" x14ac:dyDescent="0.2">
      <c r="A11023">
        <v>333107</v>
      </c>
      <c r="B11023">
        <v>564100</v>
      </c>
      <c r="C11023" t="str">
        <f t="shared" si="172"/>
        <v>3. $50K-250K</v>
      </c>
      <c r="D11023" t="s">
        <v>669</v>
      </c>
      <c r="E11023" t="s">
        <v>42</v>
      </c>
      <c r="F11023" t="s">
        <v>670</v>
      </c>
      <c r="G11023" t="s">
        <v>59</v>
      </c>
      <c r="H11023">
        <v>2025</v>
      </c>
    </row>
    <row r="11024" spans="1:8" x14ac:dyDescent="0.2">
      <c r="A11024">
        <v>333110</v>
      </c>
      <c r="B11024">
        <v>10000</v>
      </c>
      <c r="C11024" t="str">
        <f t="shared" si="172"/>
        <v>4. $250K-1M</v>
      </c>
      <c r="D11024" t="s">
        <v>2866</v>
      </c>
      <c r="E11024" t="s">
        <v>112</v>
      </c>
      <c r="F11024" t="s">
        <v>668</v>
      </c>
      <c r="G11024" t="s">
        <v>59</v>
      </c>
      <c r="H11024">
        <v>2025</v>
      </c>
    </row>
    <row r="11025" spans="1:8" x14ac:dyDescent="0.2">
      <c r="A11025">
        <v>333111</v>
      </c>
      <c r="B11025">
        <v>10000</v>
      </c>
      <c r="C11025" t="str">
        <f t="shared" si="172"/>
        <v>2. $10K-50K</v>
      </c>
      <c r="D11025" t="s">
        <v>1183</v>
      </c>
      <c r="E11025" t="s">
        <v>112</v>
      </c>
      <c r="F11025" t="s">
        <v>668</v>
      </c>
      <c r="G11025" t="s">
        <v>59</v>
      </c>
      <c r="H11025">
        <v>2025</v>
      </c>
    </row>
    <row r="11026" spans="1:8" x14ac:dyDescent="0.2">
      <c r="A11026">
        <v>333114</v>
      </c>
      <c r="B11026">
        <v>75000</v>
      </c>
      <c r="C11026" t="str">
        <f t="shared" si="172"/>
        <v>2. $10K-50K</v>
      </c>
      <c r="D11026" t="s">
        <v>1595</v>
      </c>
      <c r="E11026" t="s">
        <v>112</v>
      </c>
      <c r="F11026" t="s">
        <v>668</v>
      </c>
      <c r="G11026" t="s">
        <v>59</v>
      </c>
      <c r="H11026">
        <v>2025</v>
      </c>
    </row>
    <row r="11027" spans="1:8" x14ac:dyDescent="0.2">
      <c r="A11027">
        <v>333117</v>
      </c>
      <c r="B11027">
        <v>15000</v>
      </c>
      <c r="C11027" t="str">
        <f t="shared" si="172"/>
        <v>3. $50K-250K</v>
      </c>
      <c r="D11027" t="s">
        <v>1240</v>
      </c>
      <c r="E11027" t="s">
        <v>112</v>
      </c>
      <c r="F11027" t="s">
        <v>668</v>
      </c>
      <c r="G11027" t="s">
        <v>59</v>
      </c>
      <c r="H11027">
        <v>2025</v>
      </c>
    </row>
    <row r="11028" spans="1:8" x14ac:dyDescent="0.2">
      <c r="A11028">
        <v>333118</v>
      </c>
      <c r="B11028">
        <v>10000</v>
      </c>
      <c r="C11028" t="str">
        <f t="shared" si="172"/>
        <v>2. $10K-50K</v>
      </c>
      <c r="D11028" t="s">
        <v>1332</v>
      </c>
      <c r="E11028" t="s">
        <v>112</v>
      </c>
      <c r="F11028" t="s">
        <v>668</v>
      </c>
      <c r="G11028" t="s">
        <v>59</v>
      </c>
      <c r="H11028">
        <v>2025</v>
      </c>
    </row>
    <row r="11029" spans="1:8" x14ac:dyDescent="0.2">
      <c r="A11029">
        <v>333119</v>
      </c>
      <c r="B11029">
        <v>10000</v>
      </c>
      <c r="C11029" t="str">
        <f t="shared" si="172"/>
        <v>2. $10K-50K</v>
      </c>
      <c r="D11029" t="s">
        <v>1305</v>
      </c>
      <c r="E11029" t="s">
        <v>112</v>
      </c>
      <c r="F11029" t="s">
        <v>668</v>
      </c>
      <c r="G11029" t="s">
        <v>59</v>
      </c>
      <c r="H11029">
        <v>2025</v>
      </c>
    </row>
    <row r="11030" spans="1:8" x14ac:dyDescent="0.2">
      <c r="A11030">
        <v>333120</v>
      </c>
      <c r="B11030">
        <v>20000</v>
      </c>
      <c r="C11030" t="str">
        <f t="shared" si="172"/>
        <v>2. $10K-50K</v>
      </c>
      <c r="D11030" t="s">
        <v>1275</v>
      </c>
      <c r="E11030" t="s">
        <v>112</v>
      </c>
      <c r="F11030" t="s">
        <v>668</v>
      </c>
      <c r="G11030" t="s">
        <v>59</v>
      </c>
      <c r="H11030">
        <v>2025</v>
      </c>
    </row>
    <row r="11031" spans="1:8" x14ac:dyDescent="0.2">
      <c r="A11031">
        <v>333121</v>
      </c>
      <c r="B11031">
        <v>30000</v>
      </c>
      <c r="C11031" t="str">
        <f t="shared" si="172"/>
        <v>2. $10K-50K</v>
      </c>
      <c r="D11031" t="s">
        <v>2209</v>
      </c>
      <c r="E11031" t="s">
        <v>112</v>
      </c>
      <c r="F11031" t="s">
        <v>668</v>
      </c>
      <c r="G11031" t="s">
        <v>59</v>
      </c>
      <c r="H11031">
        <v>2025</v>
      </c>
    </row>
    <row r="11032" spans="1:8" x14ac:dyDescent="0.2">
      <c r="A11032">
        <v>333184</v>
      </c>
      <c r="B11032">
        <v>75988</v>
      </c>
      <c r="C11032" t="str">
        <f t="shared" si="172"/>
        <v>2. $10K-50K</v>
      </c>
      <c r="D11032" t="s">
        <v>681</v>
      </c>
      <c r="E11032" t="s">
        <v>42</v>
      </c>
      <c r="F11032" t="s">
        <v>670</v>
      </c>
      <c r="G11032" t="s">
        <v>59</v>
      </c>
      <c r="H11032">
        <v>2025</v>
      </c>
    </row>
    <row r="11033" spans="1:8" x14ac:dyDescent="0.2">
      <c r="A11033">
        <v>333185</v>
      </c>
      <c r="B11033">
        <v>50000</v>
      </c>
      <c r="C11033" t="str">
        <f t="shared" si="172"/>
        <v>3. $50K-250K</v>
      </c>
      <c r="D11033" t="s">
        <v>689</v>
      </c>
      <c r="E11033" t="s">
        <v>42</v>
      </c>
      <c r="F11033" t="s">
        <v>670</v>
      </c>
      <c r="G11033" t="s">
        <v>59</v>
      </c>
      <c r="H11033">
        <v>2025</v>
      </c>
    </row>
    <row r="11034" spans="1:8" x14ac:dyDescent="0.2">
      <c r="A11034">
        <v>333201</v>
      </c>
      <c r="B11034">
        <v>10000</v>
      </c>
      <c r="C11034" t="str">
        <f t="shared" si="172"/>
        <v>3. $50K-250K</v>
      </c>
      <c r="D11034" t="s">
        <v>879</v>
      </c>
      <c r="E11034" t="s">
        <v>42</v>
      </c>
      <c r="F11034" t="s">
        <v>670</v>
      </c>
      <c r="G11034" t="s">
        <v>59</v>
      </c>
      <c r="H11034">
        <v>2025</v>
      </c>
    </row>
    <row r="11035" spans="1:8" x14ac:dyDescent="0.2">
      <c r="A11035">
        <v>333203</v>
      </c>
      <c r="B11035">
        <v>9025</v>
      </c>
      <c r="C11035" t="str">
        <f t="shared" si="172"/>
        <v>2. $10K-50K</v>
      </c>
      <c r="D11035" t="s">
        <v>691</v>
      </c>
      <c r="E11035" t="s">
        <v>42</v>
      </c>
      <c r="F11035" t="s">
        <v>670</v>
      </c>
      <c r="G11035" t="s">
        <v>59</v>
      </c>
      <c r="H11035">
        <v>2025</v>
      </c>
    </row>
    <row r="11036" spans="1:8" x14ac:dyDescent="0.2">
      <c r="A11036">
        <v>333206</v>
      </c>
      <c r="B11036">
        <v>500000</v>
      </c>
      <c r="C11036" t="str">
        <f t="shared" si="172"/>
        <v>1. Under $10K</v>
      </c>
      <c r="D11036" t="s">
        <v>910</v>
      </c>
      <c r="E11036" t="s">
        <v>237</v>
      </c>
      <c r="F11036" t="s">
        <v>670</v>
      </c>
      <c r="G11036" t="s">
        <v>59</v>
      </c>
      <c r="H11036">
        <v>2025</v>
      </c>
    </row>
    <row r="11037" spans="1:8" x14ac:dyDescent="0.2">
      <c r="A11037">
        <v>333371</v>
      </c>
      <c r="B11037">
        <v>1600000</v>
      </c>
      <c r="C11037" t="str">
        <f t="shared" si="172"/>
        <v>4. $250K-1M</v>
      </c>
      <c r="D11037" t="s">
        <v>1558</v>
      </c>
      <c r="E11037" t="s">
        <v>368</v>
      </c>
      <c r="F11037" t="s">
        <v>668</v>
      </c>
      <c r="G11037" t="s">
        <v>59</v>
      </c>
      <c r="H11037">
        <v>2025</v>
      </c>
    </row>
    <row r="11038" spans="1:8" x14ac:dyDescent="0.2">
      <c r="A11038">
        <v>333535</v>
      </c>
      <c r="B11038">
        <v>50000</v>
      </c>
      <c r="C11038" t="str">
        <f t="shared" si="172"/>
        <v>5. $1M+</v>
      </c>
      <c r="D11038" t="s">
        <v>2867</v>
      </c>
      <c r="E11038" t="s">
        <v>112</v>
      </c>
      <c r="F11038" t="s">
        <v>668</v>
      </c>
      <c r="G11038" t="s">
        <v>59</v>
      </c>
      <c r="H11038">
        <v>2025</v>
      </c>
    </row>
    <row r="11039" spans="1:8" x14ac:dyDescent="0.2">
      <c r="A11039">
        <v>333579</v>
      </c>
      <c r="B11039">
        <v>75000</v>
      </c>
      <c r="C11039" t="str">
        <f t="shared" si="172"/>
        <v>3. $50K-250K</v>
      </c>
      <c r="D11039" t="s">
        <v>1275</v>
      </c>
      <c r="E11039" t="s">
        <v>112</v>
      </c>
      <c r="F11039" t="s">
        <v>668</v>
      </c>
      <c r="G11039" t="s">
        <v>59</v>
      </c>
      <c r="H11039">
        <v>2025</v>
      </c>
    </row>
    <row r="11040" spans="1:8" x14ac:dyDescent="0.2">
      <c r="A11040">
        <v>333616</v>
      </c>
      <c r="B11040">
        <v>10000</v>
      </c>
      <c r="C11040" t="str">
        <f t="shared" si="172"/>
        <v>3. $50K-250K</v>
      </c>
      <c r="D11040" t="s">
        <v>1147</v>
      </c>
      <c r="E11040" t="s">
        <v>112</v>
      </c>
      <c r="F11040" t="s">
        <v>668</v>
      </c>
      <c r="G11040" t="s">
        <v>59</v>
      </c>
      <c r="H11040">
        <v>2025</v>
      </c>
    </row>
    <row r="11041" spans="1:8" x14ac:dyDescent="0.2">
      <c r="A11041">
        <v>333632</v>
      </c>
      <c r="B11041">
        <v>10000</v>
      </c>
      <c r="C11041" t="str">
        <f t="shared" si="172"/>
        <v>2. $10K-50K</v>
      </c>
      <c r="D11041" t="s">
        <v>1195</v>
      </c>
      <c r="E11041" t="s">
        <v>112</v>
      </c>
      <c r="F11041" t="s">
        <v>668</v>
      </c>
      <c r="G11041" t="s">
        <v>59</v>
      </c>
      <c r="H11041">
        <v>2025</v>
      </c>
    </row>
    <row r="11042" spans="1:8" x14ac:dyDescent="0.2">
      <c r="A11042">
        <v>333639</v>
      </c>
      <c r="B11042">
        <v>10000</v>
      </c>
      <c r="C11042" t="str">
        <f t="shared" si="172"/>
        <v>2. $10K-50K</v>
      </c>
      <c r="D11042" t="s">
        <v>2868</v>
      </c>
      <c r="E11042" t="s">
        <v>112</v>
      </c>
      <c r="F11042" t="s">
        <v>668</v>
      </c>
      <c r="G11042" t="s">
        <v>59</v>
      </c>
      <c r="H11042">
        <v>2025</v>
      </c>
    </row>
    <row r="11043" spans="1:8" x14ac:dyDescent="0.2">
      <c r="A11043">
        <v>333642</v>
      </c>
      <c r="B11043">
        <v>2500000</v>
      </c>
      <c r="C11043" t="str">
        <f t="shared" si="172"/>
        <v>2. $10K-50K</v>
      </c>
      <c r="D11043" t="s">
        <v>1558</v>
      </c>
      <c r="E11043" t="s">
        <v>112</v>
      </c>
      <c r="F11043" t="s">
        <v>668</v>
      </c>
      <c r="G11043" t="s">
        <v>59</v>
      </c>
      <c r="H11043">
        <v>2025</v>
      </c>
    </row>
    <row r="11044" spans="1:8" x14ac:dyDescent="0.2">
      <c r="A11044">
        <v>333651</v>
      </c>
      <c r="B11044">
        <v>500000</v>
      </c>
      <c r="C11044" t="str">
        <f t="shared" si="172"/>
        <v>5. $1M+</v>
      </c>
      <c r="D11044" t="s">
        <v>1558</v>
      </c>
      <c r="E11044" t="s">
        <v>368</v>
      </c>
      <c r="F11044" t="s">
        <v>668</v>
      </c>
      <c r="G11044" t="s">
        <v>59</v>
      </c>
      <c r="H11044">
        <v>2025</v>
      </c>
    </row>
    <row r="11045" spans="1:8" x14ac:dyDescent="0.2">
      <c r="A11045">
        <v>333766</v>
      </c>
      <c r="B11045">
        <v>163310</v>
      </c>
      <c r="C11045" t="str">
        <f t="shared" si="172"/>
        <v>4. $250K-1M</v>
      </c>
      <c r="D11045" t="s">
        <v>680</v>
      </c>
      <c r="E11045" t="s">
        <v>42</v>
      </c>
      <c r="F11045" t="s">
        <v>670</v>
      </c>
      <c r="G11045" t="s">
        <v>59</v>
      </c>
      <c r="H11045">
        <v>2025</v>
      </c>
    </row>
    <row r="11046" spans="1:8" x14ac:dyDescent="0.2">
      <c r="A11046">
        <v>333767</v>
      </c>
      <c r="B11046">
        <v>50000</v>
      </c>
      <c r="C11046" t="str">
        <f t="shared" si="172"/>
        <v>3. $50K-250K</v>
      </c>
      <c r="D11046" t="s">
        <v>689</v>
      </c>
      <c r="E11046" t="s">
        <v>42</v>
      </c>
      <c r="F11046" t="s">
        <v>670</v>
      </c>
      <c r="G11046" t="s">
        <v>59</v>
      </c>
      <c r="H11046">
        <v>2025</v>
      </c>
    </row>
    <row r="11047" spans="1:8" x14ac:dyDescent="0.2">
      <c r="A11047">
        <v>333768</v>
      </c>
      <c r="B11047">
        <v>10000</v>
      </c>
      <c r="C11047" t="str">
        <f t="shared" si="172"/>
        <v>3. $50K-250K</v>
      </c>
      <c r="D11047" t="s">
        <v>987</v>
      </c>
      <c r="E11047" t="s">
        <v>112</v>
      </c>
      <c r="F11047" t="s">
        <v>668</v>
      </c>
      <c r="G11047" t="s">
        <v>59</v>
      </c>
      <c r="H11047">
        <v>2025</v>
      </c>
    </row>
    <row r="11048" spans="1:8" x14ac:dyDescent="0.2">
      <c r="A11048">
        <v>333772</v>
      </c>
      <c r="B11048">
        <v>5000</v>
      </c>
      <c r="C11048" t="str">
        <f t="shared" si="172"/>
        <v>2. $10K-50K</v>
      </c>
      <c r="D11048" t="s">
        <v>2029</v>
      </c>
      <c r="E11048" t="s">
        <v>112</v>
      </c>
      <c r="F11048" t="s">
        <v>668</v>
      </c>
      <c r="G11048" t="s">
        <v>59</v>
      </c>
      <c r="H11048">
        <v>2025</v>
      </c>
    </row>
    <row r="11049" spans="1:8" x14ac:dyDescent="0.2">
      <c r="A11049">
        <v>333774</v>
      </c>
      <c r="B11049">
        <v>15000</v>
      </c>
      <c r="C11049" t="str">
        <f t="shared" si="172"/>
        <v>1. Under $10K</v>
      </c>
      <c r="D11049" t="s">
        <v>1121</v>
      </c>
      <c r="E11049" t="s">
        <v>112</v>
      </c>
      <c r="F11049" t="s">
        <v>668</v>
      </c>
      <c r="G11049" t="s">
        <v>59</v>
      </c>
      <c r="H11049">
        <v>2025</v>
      </c>
    </row>
    <row r="11050" spans="1:8" x14ac:dyDescent="0.2">
      <c r="A11050">
        <v>333775</v>
      </c>
      <c r="B11050">
        <v>10000</v>
      </c>
      <c r="C11050" t="str">
        <f t="shared" si="172"/>
        <v>2. $10K-50K</v>
      </c>
      <c r="D11050" t="s">
        <v>2495</v>
      </c>
      <c r="E11050" t="s">
        <v>112</v>
      </c>
      <c r="F11050" t="s">
        <v>668</v>
      </c>
      <c r="G11050" t="s">
        <v>59</v>
      </c>
      <c r="H11050">
        <v>2025</v>
      </c>
    </row>
    <row r="11051" spans="1:8" x14ac:dyDescent="0.2">
      <c r="A11051">
        <v>333776</v>
      </c>
      <c r="B11051">
        <v>302671</v>
      </c>
      <c r="C11051" t="str">
        <f t="shared" si="172"/>
        <v>2. $10K-50K</v>
      </c>
      <c r="D11051" t="s">
        <v>671</v>
      </c>
      <c r="E11051" t="s">
        <v>42</v>
      </c>
      <c r="F11051" t="s">
        <v>670</v>
      </c>
      <c r="G11051" t="s">
        <v>59</v>
      </c>
      <c r="H11051">
        <v>2025</v>
      </c>
    </row>
    <row r="11052" spans="1:8" x14ac:dyDescent="0.2">
      <c r="A11052">
        <v>333783</v>
      </c>
      <c r="B11052">
        <v>10000</v>
      </c>
      <c r="C11052" t="str">
        <f t="shared" si="172"/>
        <v>4. $250K-1M</v>
      </c>
      <c r="D11052" t="s">
        <v>2869</v>
      </c>
      <c r="E11052" t="s">
        <v>112</v>
      </c>
      <c r="F11052" t="s">
        <v>668</v>
      </c>
      <c r="G11052" t="s">
        <v>59</v>
      </c>
      <c r="H11052">
        <v>2025</v>
      </c>
    </row>
    <row r="11053" spans="1:8" x14ac:dyDescent="0.2">
      <c r="A11053">
        <v>333791</v>
      </c>
      <c r="B11053">
        <v>10000</v>
      </c>
      <c r="C11053" t="str">
        <f t="shared" si="172"/>
        <v>2. $10K-50K</v>
      </c>
      <c r="D11053" t="s">
        <v>2870</v>
      </c>
      <c r="E11053" t="s">
        <v>112</v>
      </c>
      <c r="F11053" t="s">
        <v>668</v>
      </c>
      <c r="G11053" t="s">
        <v>59</v>
      </c>
      <c r="H11053">
        <v>2025</v>
      </c>
    </row>
    <row r="11054" spans="1:8" x14ac:dyDescent="0.2">
      <c r="A11054">
        <v>333798</v>
      </c>
      <c r="B11054">
        <v>10000</v>
      </c>
      <c r="C11054" t="str">
        <f t="shared" si="172"/>
        <v>2. $10K-50K</v>
      </c>
      <c r="D11054" t="s">
        <v>2500</v>
      </c>
      <c r="E11054" t="s">
        <v>112</v>
      </c>
      <c r="F11054" t="s">
        <v>668</v>
      </c>
      <c r="G11054" t="s">
        <v>59</v>
      </c>
      <c r="H11054">
        <v>2025</v>
      </c>
    </row>
    <row r="11055" spans="1:8" x14ac:dyDescent="0.2">
      <c r="A11055">
        <v>333823</v>
      </c>
      <c r="B11055">
        <v>10000</v>
      </c>
      <c r="C11055" t="str">
        <f t="shared" si="172"/>
        <v>2. $10K-50K</v>
      </c>
      <c r="D11055" t="s">
        <v>2512</v>
      </c>
      <c r="E11055" t="s">
        <v>112</v>
      </c>
      <c r="F11055" t="s">
        <v>668</v>
      </c>
      <c r="G11055" t="s">
        <v>59</v>
      </c>
      <c r="H11055">
        <v>2025</v>
      </c>
    </row>
    <row r="11056" spans="1:8" x14ac:dyDescent="0.2">
      <c r="A11056">
        <v>333829</v>
      </c>
      <c r="B11056">
        <v>5000</v>
      </c>
      <c r="C11056" t="str">
        <f t="shared" si="172"/>
        <v>2. $10K-50K</v>
      </c>
      <c r="D11056" t="s">
        <v>1127</v>
      </c>
      <c r="E11056" t="s">
        <v>112</v>
      </c>
      <c r="F11056" t="s">
        <v>668</v>
      </c>
      <c r="G11056" t="s">
        <v>59</v>
      </c>
      <c r="H11056">
        <v>2025</v>
      </c>
    </row>
    <row r="11057" spans="1:8" x14ac:dyDescent="0.2">
      <c r="A11057">
        <v>333858</v>
      </c>
      <c r="B11057">
        <v>17700</v>
      </c>
      <c r="C11057" t="str">
        <f t="shared" si="172"/>
        <v>1. Under $10K</v>
      </c>
      <c r="D11057" t="s">
        <v>804</v>
      </c>
      <c r="E11057" t="s">
        <v>237</v>
      </c>
      <c r="F11057" t="s">
        <v>670</v>
      </c>
      <c r="G11057" t="s">
        <v>59</v>
      </c>
      <c r="H11057">
        <v>2025</v>
      </c>
    </row>
    <row r="11058" spans="1:8" x14ac:dyDescent="0.2">
      <c r="A11058">
        <v>333859</v>
      </c>
      <c r="B11058">
        <v>13133</v>
      </c>
      <c r="C11058" t="str">
        <f t="shared" si="172"/>
        <v>2. $10K-50K</v>
      </c>
      <c r="D11058" t="s">
        <v>701</v>
      </c>
      <c r="E11058" t="s">
        <v>237</v>
      </c>
      <c r="F11058" t="s">
        <v>670</v>
      </c>
      <c r="G11058" t="s">
        <v>59</v>
      </c>
      <c r="H11058">
        <v>2025</v>
      </c>
    </row>
    <row r="11059" spans="1:8" x14ac:dyDescent="0.2">
      <c r="A11059">
        <v>333861</v>
      </c>
      <c r="B11059">
        <v>19700</v>
      </c>
      <c r="C11059" t="str">
        <f t="shared" si="172"/>
        <v>2. $10K-50K</v>
      </c>
      <c r="D11059" t="s">
        <v>697</v>
      </c>
      <c r="E11059" t="s">
        <v>237</v>
      </c>
      <c r="F11059" t="s">
        <v>670</v>
      </c>
      <c r="G11059" t="s">
        <v>59</v>
      </c>
      <c r="H11059">
        <v>2025</v>
      </c>
    </row>
    <row r="11060" spans="1:8" x14ac:dyDescent="0.2">
      <c r="A11060">
        <v>333862</v>
      </c>
      <c r="B11060">
        <v>10423</v>
      </c>
      <c r="C11060" t="str">
        <f t="shared" si="172"/>
        <v>2. $10K-50K</v>
      </c>
      <c r="D11060" t="s">
        <v>697</v>
      </c>
      <c r="E11060" t="s">
        <v>237</v>
      </c>
      <c r="F11060" t="s">
        <v>670</v>
      </c>
      <c r="G11060" t="s">
        <v>59</v>
      </c>
      <c r="H11060">
        <v>2025</v>
      </c>
    </row>
    <row r="11061" spans="1:8" x14ac:dyDescent="0.2">
      <c r="A11061">
        <v>333863</v>
      </c>
      <c r="B11061">
        <v>68464</v>
      </c>
      <c r="C11061" t="str">
        <f t="shared" si="172"/>
        <v>2. $10K-50K</v>
      </c>
      <c r="D11061" t="s">
        <v>697</v>
      </c>
      <c r="E11061" t="s">
        <v>237</v>
      </c>
      <c r="F11061" t="s">
        <v>670</v>
      </c>
      <c r="G11061" t="s">
        <v>59</v>
      </c>
      <c r="H11061">
        <v>2025</v>
      </c>
    </row>
    <row r="11062" spans="1:8" x14ac:dyDescent="0.2">
      <c r="A11062">
        <v>333865</v>
      </c>
      <c r="B11062">
        <v>28333</v>
      </c>
      <c r="C11062" t="str">
        <f t="shared" si="172"/>
        <v>3. $50K-250K</v>
      </c>
      <c r="D11062" t="s">
        <v>837</v>
      </c>
      <c r="E11062" t="s">
        <v>237</v>
      </c>
      <c r="F11062" t="s">
        <v>670</v>
      </c>
      <c r="G11062" t="s">
        <v>59</v>
      </c>
      <c r="H11062">
        <v>2025</v>
      </c>
    </row>
    <row r="11063" spans="1:8" x14ac:dyDescent="0.2">
      <c r="A11063">
        <v>333866</v>
      </c>
      <c r="B11063">
        <v>40390</v>
      </c>
      <c r="C11063" t="str">
        <f t="shared" si="172"/>
        <v>2. $10K-50K</v>
      </c>
      <c r="D11063" t="s">
        <v>697</v>
      </c>
      <c r="E11063" t="s">
        <v>237</v>
      </c>
      <c r="F11063" t="s">
        <v>670</v>
      </c>
      <c r="G11063" t="s">
        <v>59</v>
      </c>
      <c r="H11063">
        <v>2025</v>
      </c>
    </row>
    <row r="11064" spans="1:8" x14ac:dyDescent="0.2">
      <c r="A11064">
        <v>333868</v>
      </c>
      <c r="B11064">
        <v>17700</v>
      </c>
      <c r="C11064" t="str">
        <f t="shared" si="172"/>
        <v>2. $10K-50K</v>
      </c>
      <c r="D11064" t="s">
        <v>1074</v>
      </c>
      <c r="E11064" t="s">
        <v>237</v>
      </c>
      <c r="F11064" t="s">
        <v>670</v>
      </c>
      <c r="G11064" t="s">
        <v>59</v>
      </c>
      <c r="H11064">
        <v>2025</v>
      </c>
    </row>
    <row r="11065" spans="1:8" x14ac:dyDescent="0.2">
      <c r="A11065">
        <v>333869</v>
      </c>
      <c r="B11065">
        <v>21020</v>
      </c>
      <c r="C11065" t="str">
        <f t="shared" si="172"/>
        <v>2. $10K-50K</v>
      </c>
      <c r="D11065" t="s">
        <v>710</v>
      </c>
      <c r="E11065" t="s">
        <v>237</v>
      </c>
      <c r="F11065" t="s">
        <v>670</v>
      </c>
      <c r="G11065" t="s">
        <v>59</v>
      </c>
      <c r="H11065">
        <v>2025</v>
      </c>
    </row>
    <row r="11066" spans="1:8" x14ac:dyDescent="0.2">
      <c r="A11066">
        <v>333884</v>
      </c>
      <c r="B11066">
        <v>3500000</v>
      </c>
      <c r="C11066" t="str">
        <f t="shared" si="172"/>
        <v>2. $10K-50K</v>
      </c>
      <c r="D11066" t="s">
        <v>774</v>
      </c>
      <c r="E11066" t="s">
        <v>99</v>
      </c>
      <c r="F11066" t="s">
        <v>668</v>
      </c>
      <c r="G11066" t="s">
        <v>59</v>
      </c>
      <c r="H11066">
        <v>2025</v>
      </c>
    </row>
    <row r="11067" spans="1:8" x14ac:dyDescent="0.2">
      <c r="A11067">
        <v>333890</v>
      </c>
      <c r="B11067">
        <v>2000000</v>
      </c>
      <c r="C11067" t="str">
        <f t="shared" si="172"/>
        <v>5. $1M+</v>
      </c>
      <c r="D11067" t="s">
        <v>1891</v>
      </c>
      <c r="E11067" t="s">
        <v>99</v>
      </c>
      <c r="F11067" t="s">
        <v>668</v>
      </c>
      <c r="G11067" t="s">
        <v>59</v>
      </c>
      <c r="H11067">
        <v>2025</v>
      </c>
    </row>
    <row r="11068" spans="1:8" x14ac:dyDescent="0.2">
      <c r="A11068">
        <v>333892</v>
      </c>
      <c r="B11068">
        <v>144210</v>
      </c>
      <c r="C11068" t="str">
        <f t="shared" si="172"/>
        <v>5. $1M+</v>
      </c>
      <c r="D11068" t="s">
        <v>2871</v>
      </c>
      <c r="E11068" t="s">
        <v>99</v>
      </c>
      <c r="F11068" t="s">
        <v>668</v>
      </c>
      <c r="G11068" t="s">
        <v>59</v>
      </c>
      <c r="H11068">
        <v>2025</v>
      </c>
    </row>
    <row r="11069" spans="1:8" x14ac:dyDescent="0.2">
      <c r="A11069">
        <v>333895</v>
      </c>
      <c r="B11069">
        <v>10000000</v>
      </c>
      <c r="C11069" t="str">
        <f t="shared" si="172"/>
        <v>3. $50K-250K</v>
      </c>
      <c r="D11069" t="s">
        <v>2872</v>
      </c>
      <c r="E11069" t="s">
        <v>99</v>
      </c>
      <c r="F11069" t="s">
        <v>668</v>
      </c>
      <c r="G11069" t="s">
        <v>59</v>
      </c>
      <c r="H11069">
        <v>2025</v>
      </c>
    </row>
    <row r="11070" spans="1:8" x14ac:dyDescent="0.2">
      <c r="A11070">
        <v>333899</v>
      </c>
      <c r="B11070">
        <v>2000000</v>
      </c>
      <c r="C11070" t="str">
        <f t="shared" si="172"/>
        <v>5. $1M+</v>
      </c>
      <c r="D11070" t="s">
        <v>774</v>
      </c>
      <c r="E11070" t="s">
        <v>99</v>
      </c>
      <c r="F11070" t="s">
        <v>668</v>
      </c>
      <c r="G11070" t="s">
        <v>59</v>
      </c>
      <c r="H11070">
        <v>2025</v>
      </c>
    </row>
    <row r="11071" spans="1:8" x14ac:dyDescent="0.2">
      <c r="A11071">
        <v>333903</v>
      </c>
      <c r="B11071">
        <v>910000</v>
      </c>
      <c r="C11071" t="str">
        <f t="shared" si="172"/>
        <v>5. $1M+</v>
      </c>
      <c r="D11071" t="s">
        <v>774</v>
      </c>
      <c r="E11071" t="s">
        <v>99</v>
      </c>
      <c r="F11071" t="s">
        <v>668</v>
      </c>
      <c r="G11071" t="s">
        <v>59</v>
      </c>
      <c r="H11071">
        <v>2025</v>
      </c>
    </row>
    <row r="11072" spans="1:8" x14ac:dyDescent="0.2">
      <c r="A11072">
        <v>333906</v>
      </c>
      <c r="B11072">
        <v>1925000</v>
      </c>
      <c r="C11072" t="str">
        <f t="shared" si="172"/>
        <v>4. $250K-1M</v>
      </c>
      <c r="D11072" t="s">
        <v>965</v>
      </c>
      <c r="E11072" t="s">
        <v>99</v>
      </c>
      <c r="F11072" t="s">
        <v>668</v>
      </c>
      <c r="G11072" t="s">
        <v>59</v>
      </c>
      <c r="H11072">
        <v>2025</v>
      </c>
    </row>
    <row r="11073" spans="1:8" x14ac:dyDescent="0.2">
      <c r="A11073">
        <v>333915</v>
      </c>
      <c r="B11073">
        <v>8000000</v>
      </c>
      <c r="C11073" t="str">
        <f t="shared" si="172"/>
        <v>5. $1M+</v>
      </c>
      <c r="D11073" t="s">
        <v>2873</v>
      </c>
      <c r="E11073" t="s">
        <v>99</v>
      </c>
      <c r="F11073" t="s">
        <v>668</v>
      </c>
      <c r="G11073" t="s">
        <v>59</v>
      </c>
      <c r="H11073">
        <v>2025</v>
      </c>
    </row>
    <row r="11074" spans="1:8" x14ac:dyDescent="0.2">
      <c r="A11074">
        <v>333918</v>
      </c>
      <c r="B11074">
        <v>249032</v>
      </c>
      <c r="C11074" t="str">
        <f t="shared" si="172"/>
        <v>5. $1M+</v>
      </c>
      <c r="D11074" t="s">
        <v>2874</v>
      </c>
      <c r="E11074" t="s">
        <v>99</v>
      </c>
      <c r="F11074" t="s">
        <v>668</v>
      </c>
      <c r="G11074" t="s">
        <v>59</v>
      </c>
      <c r="H11074">
        <v>2025</v>
      </c>
    </row>
    <row r="11075" spans="1:8" x14ac:dyDescent="0.2">
      <c r="A11075">
        <v>333920</v>
      </c>
      <c r="B11075">
        <v>1300000</v>
      </c>
      <c r="C11075" t="str">
        <f t="shared" ref="C11075:C11138" si="173">IF(B11074&lt;10000,"1. Under $10K",IF(B11074&lt;50000,"2. $10K-50K",IF(B11074&lt;250000,"3. $50K-250K",IF(B11074&lt;1000000,"4. $250K-1M","5. $1M+"))))</f>
        <v>3. $50K-250K</v>
      </c>
      <c r="D11075" t="s">
        <v>1548</v>
      </c>
      <c r="E11075" t="s">
        <v>99</v>
      </c>
      <c r="F11075" t="s">
        <v>668</v>
      </c>
      <c r="G11075" t="s">
        <v>59</v>
      </c>
      <c r="H11075">
        <v>2025</v>
      </c>
    </row>
    <row r="11076" spans="1:8" x14ac:dyDescent="0.2">
      <c r="A11076">
        <v>333945</v>
      </c>
      <c r="B11076">
        <v>96283.7</v>
      </c>
      <c r="C11076" t="str">
        <f t="shared" si="173"/>
        <v>5. $1M+</v>
      </c>
      <c r="D11076" t="s">
        <v>2875</v>
      </c>
      <c r="E11076" t="s">
        <v>99</v>
      </c>
      <c r="F11076" t="s">
        <v>668</v>
      </c>
      <c r="G11076" t="s">
        <v>59</v>
      </c>
      <c r="H11076">
        <v>2025</v>
      </c>
    </row>
    <row r="11077" spans="1:8" x14ac:dyDescent="0.2">
      <c r="A11077">
        <v>333951</v>
      </c>
      <c r="B11077">
        <v>1400000</v>
      </c>
      <c r="C11077" t="str">
        <f t="shared" si="173"/>
        <v>3. $50K-250K</v>
      </c>
      <c r="D11077" t="s">
        <v>774</v>
      </c>
      <c r="E11077" t="s">
        <v>99</v>
      </c>
      <c r="F11077" t="s">
        <v>668</v>
      </c>
      <c r="G11077" t="s">
        <v>59</v>
      </c>
      <c r="H11077">
        <v>2025</v>
      </c>
    </row>
    <row r="11078" spans="1:8" x14ac:dyDescent="0.2">
      <c r="A11078">
        <v>333958</v>
      </c>
      <c r="B11078">
        <v>13950000</v>
      </c>
      <c r="C11078" t="str">
        <f t="shared" si="173"/>
        <v>5. $1M+</v>
      </c>
      <c r="D11078" t="s">
        <v>774</v>
      </c>
      <c r="E11078" t="s">
        <v>99</v>
      </c>
      <c r="F11078" t="s">
        <v>668</v>
      </c>
      <c r="G11078" t="s">
        <v>59</v>
      </c>
      <c r="H11078">
        <v>2025</v>
      </c>
    </row>
    <row r="11079" spans="1:8" x14ac:dyDescent="0.2">
      <c r="A11079">
        <v>333961</v>
      </c>
      <c r="B11079">
        <v>150000</v>
      </c>
      <c r="C11079" t="str">
        <f t="shared" si="173"/>
        <v>5. $1M+</v>
      </c>
      <c r="D11079" t="s">
        <v>957</v>
      </c>
      <c r="E11079" t="s">
        <v>99</v>
      </c>
      <c r="F11079" t="s">
        <v>668</v>
      </c>
      <c r="G11079" t="s">
        <v>59</v>
      </c>
      <c r="H11079">
        <v>2025</v>
      </c>
    </row>
    <row r="11080" spans="1:8" x14ac:dyDescent="0.2">
      <c r="A11080">
        <v>333962</v>
      </c>
      <c r="B11080">
        <v>65691.7</v>
      </c>
      <c r="C11080" t="str">
        <f t="shared" si="173"/>
        <v>3. $50K-250K</v>
      </c>
      <c r="D11080" t="s">
        <v>1193</v>
      </c>
      <c r="E11080" t="s">
        <v>99</v>
      </c>
      <c r="F11080" t="s">
        <v>668</v>
      </c>
      <c r="G11080" t="s">
        <v>59</v>
      </c>
      <c r="H11080">
        <v>2025</v>
      </c>
    </row>
    <row r="11081" spans="1:8" x14ac:dyDescent="0.2">
      <c r="A11081">
        <v>333964</v>
      </c>
      <c r="B11081">
        <v>5000000</v>
      </c>
      <c r="C11081" t="str">
        <f t="shared" si="173"/>
        <v>3. $50K-250K</v>
      </c>
      <c r="D11081" t="s">
        <v>1094</v>
      </c>
      <c r="E11081" t="s">
        <v>99</v>
      </c>
      <c r="F11081" t="s">
        <v>668</v>
      </c>
      <c r="G11081" t="s">
        <v>59</v>
      </c>
      <c r="H11081">
        <v>2025</v>
      </c>
    </row>
    <row r="11082" spans="1:8" x14ac:dyDescent="0.2">
      <c r="A11082">
        <v>333966</v>
      </c>
      <c r="B11082">
        <v>100000</v>
      </c>
      <c r="C11082" t="str">
        <f t="shared" si="173"/>
        <v>5. $1M+</v>
      </c>
      <c r="D11082" t="s">
        <v>2876</v>
      </c>
      <c r="E11082" t="s">
        <v>112</v>
      </c>
      <c r="F11082" t="s">
        <v>668</v>
      </c>
      <c r="G11082" t="s">
        <v>59</v>
      </c>
      <c r="H11082">
        <v>2025</v>
      </c>
    </row>
    <row r="11083" spans="1:8" x14ac:dyDescent="0.2">
      <c r="A11083">
        <v>333974</v>
      </c>
      <c r="B11083">
        <v>10000</v>
      </c>
      <c r="C11083" t="str">
        <f t="shared" si="173"/>
        <v>3. $50K-250K</v>
      </c>
      <c r="D11083" t="s">
        <v>2449</v>
      </c>
      <c r="E11083" t="s">
        <v>112</v>
      </c>
      <c r="F11083" t="s">
        <v>668</v>
      </c>
      <c r="G11083" t="s">
        <v>59</v>
      </c>
      <c r="H11083">
        <v>2025</v>
      </c>
    </row>
    <row r="11084" spans="1:8" x14ac:dyDescent="0.2">
      <c r="A11084">
        <v>333975</v>
      </c>
      <c r="B11084">
        <v>1000</v>
      </c>
      <c r="C11084" t="str">
        <f t="shared" si="173"/>
        <v>2. $10K-50K</v>
      </c>
      <c r="D11084" t="s">
        <v>2877</v>
      </c>
      <c r="E11084" t="s">
        <v>112</v>
      </c>
      <c r="F11084" t="s">
        <v>668</v>
      </c>
      <c r="G11084" t="s">
        <v>59</v>
      </c>
      <c r="H11084">
        <v>2025</v>
      </c>
    </row>
    <row r="11085" spans="1:8" x14ac:dyDescent="0.2">
      <c r="A11085">
        <v>333981</v>
      </c>
      <c r="B11085">
        <v>75000</v>
      </c>
      <c r="C11085" t="str">
        <f t="shared" si="173"/>
        <v>1. Under $10K</v>
      </c>
      <c r="D11085" t="s">
        <v>797</v>
      </c>
      <c r="E11085" t="s">
        <v>99</v>
      </c>
      <c r="F11085" t="s">
        <v>668</v>
      </c>
      <c r="G11085" t="s">
        <v>59</v>
      </c>
      <c r="H11085">
        <v>2025</v>
      </c>
    </row>
    <row r="11086" spans="1:8" x14ac:dyDescent="0.2">
      <c r="A11086">
        <v>333984</v>
      </c>
      <c r="B11086">
        <v>125000</v>
      </c>
      <c r="C11086" t="str">
        <f t="shared" si="173"/>
        <v>3. $50K-250K</v>
      </c>
      <c r="D11086" t="s">
        <v>2878</v>
      </c>
      <c r="E11086" t="s">
        <v>112</v>
      </c>
      <c r="F11086" t="s">
        <v>668</v>
      </c>
      <c r="G11086" t="s">
        <v>59</v>
      </c>
      <c r="H11086">
        <v>2025</v>
      </c>
    </row>
    <row r="11087" spans="1:8" x14ac:dyDescent="0.2">
      <c r="A11087">
        <v>334008</v>
      </c>
      <c r="B11087">
        <v>121779</v>
      </c>
      <c r="C11087" t="str">
        <f t="shared" si="173"/>
        <v>3. $50K-250K</v>
      </c>
      <c r="D11087" t="s">
        <v>696</v>
      </c>
      <c r="E11087" t="s">
        <v>237</v>
      </c>
      <c r="F11087" t="s">
        <v>670</v>
      </c>
      <c r="G11087" t="s">
        <v>59</v>
      </c>
      <c r="H11087">
        <v>2025</v>
      </c>
    </row>
    <row r="11088" spans="1:8" x14ac:dyDescent="0.2">
      <c r="A11088">
        <v>334172</v>
      </c>
      <c r="B11088">
        <v>17700</v>
      </c>
      <c r="C11088" t="str">
        <f t="shared" si="173"/>
        <v>3. $50K-250K</v>
      </c>
      <c r="D11088" t="s">
        <v>999</v>
      </c>
      <c r="E11088" t="s">
        <v>237</v>
      </c>
      <c r="F11088" t="s">
        <v>670</v>
      </c>
      <c r="G11088" t="s">
        <v>59</v>
      </c>
      <c r="H11088">
        <v>2025</v>
      </c>
    </row>
    <row r="11089" spans="1:8" x14ac:dyDescent="0.2">
      <c r="A11089">
        <v>334240</v>
      </c>
      <c r="B11089">
        <v>155110</v>
      </c>
      <c r="C11089" t="str">
        <f t="shared" si="173"/>
        <v>2. $10K-50K</v>
      </c>
      <c r="D11089" t="s">
        <v>671</v>
      </c>
      <c r="E11089" t="s">
        <v>42</v>
      </c>
      <c r="F11089" t="s">
        <v>670</v>
      </c>
      <c r="G11089" t="s">
        <v>59</v>
      </c>
      <c r="H11089">
        <v>2025</v>
      </c>
    </row>
    <row r="11090" spans="1:8" x14ac:dyDescent="0.2">
      <c r="A11090">
        <v>334421</v>
      </c>
      <c r="B11090">
        <v>176555</v>
      </c>
      <c r="C11090" t="str">
        <f t="shared" si="173"/>
        <v>3. $50K-250K</v>
      </c>
      <c r="D11090" t="s">
        <v>968</v>
      </c>
      <c r="E11090" t="s">
        <v>42</v>
      </c>
      <c r="F11090" t="s">
        <v>670</v>
      </c>
      <c r="G11090" t="s">
        <v>59</v>
      </c>
      <c r="H11090">
        <v>2025</v>
      </c>
    </row>
    <row r="11091" spans="1:8" x14ac:dyDescent="0.2">
      <c r="A11091">
        <v>334539</v>
      </c>
      <c r="B11091">
        <v>150000</v>
      </c>
      <c r="C11091" t="str">
        <f t="shared" si="173"/>
        <v>3. $50K-250K</v>
      </c>
      <c r="D11091" t="s">
        <v>801</v>
      </c>
      <c r="E11091" t="s">
        <v>42</v>
      </c>
      <c r="F11091" t="s">
        <v>670</v>
      </c>
      <c r="G11091" t="s">
        <v>59</v>
      </c>
      <c r="H11091">
        <v>2025</v>
      </c>
    </row>
    <row r="11092" spans="1:8" x14ac:dyDescent="0.2">
      <c r="A11092">
        <v>334557</v>
      </c>
      <c r="B11092">
        <v>273598</v>
      </c>
      <c r="C11092" t="str">
        <f t="shared" si="173"/>
        <v>3. $50K-250K</v>
      </c>
      <c r="D11092" t="s">
        <v>1058</v>
      </c>
      <c r="E11092" t="s">
        <v>42</v>
      </c>
      <c r="F11092" t="s">
        <v>670</v>
      </c>
      <c r="G11092" t="s">
        <v>59</v>
      </c>
      <c r="H11092">
        <v>2025</v>
      </c>
    </row>
    <row r="11093" spans="1:8" x14ac:dyDescent="0.2">
      <c r="A11093">
        <v>334559</v>
      </c>
      <c r="B11093">
        <v>10000</v>
      </c>
      <c r="C11093" t="str">
        <f t="shared" si="173"/>
        <v>4. $250K-1M</v>
      </c>
      <c r="D11093" t="s">
        <v>1719</v>
      </c>
      <c r="E11093" t="s">
        <v>112</v>
      </c>
      <c r="F11093" t="s">
        <v>668</v>
      </c>
      <c r="G11093" t="s">
        <v>59</v>
      </c>
      <c r="H11093">
        <v>2025</v>
      </c>
    </row>
    <row r="11094" spans="1:8" x14ac:dyDescent="0.2">
      <c r="A11094">
        <v>334561</v>
      </c>
      <c r="B11094">
        <v>35000</v>
      </c>
      <c r="C11094" t="str">
        <f t="shared" si="173"/>
        <v>2. $10K-50K</v>
      </c>
      <c r="D11094" t="s">
        <v>1186</v>
      </c>
      <c r="E11094" t="s">
        <v>112</v>
      </c>
      <c r="F11094" t="s">
        <v>668</v>
      </c>
      <c r="G11094" t="s">
        <v>59</v>
      </c>
      <c r="H11094">
        <v>2025</v>
      </c>
    </row>
    <row r="11095" spans="1:8" x14ac:dyDescent="0.2">
      <c r="A11095">
        <v>334562</v>
      </c>
      <c r="B11095">
        <v>25000</v>
      </c>
      <c r="C11095" t="str">
        <f t="shared" si="173"/>
        <v>2. $10K-50K</v>
      </c>
      <c r="D11095" t="s">
        <v>942</v>
      </c>
      <c r="E11095" t="s">
        <v>112</v>
      </c>
      <c r="F11095" t="s">
        <v>668</v>
      </c>
      <c r="G11095" t="s">
        <v>59</v>
      </c>
      <c r="H11095">
        <v>2025</v>
      </c>
    </row>
    <row r="11096" spans="1:8" x14ac:dyDescent="0.2">
      <c r="A11096">
        <v>334563</v>
      </c>
      <c r="B11096">
        <v>75000</v>
      </c>
      <c r="C11096" t="str">
        <f t="shared" si="173"/>
        <v>2. $10K-50K</v>
      </c>
      <c r="D11096" t="s">
        <v>1243</v>
      </c>
      <c r="E11096" t="s">
        <v>112</v>
      </c>
      <c r="F11096" t="s">
        <v>668</v>
      </c>
      <c r="G11096" t="s">
        <v>59</v>
      </c>
      <c r="H11096">
        <v>2025</v>
      </c>
    </row>
    <row r="11097" spans="1:8" x14ac:dyDescent="0.2">
      <c r="A11097">
        <v>334565</v>
      </c>
      <c r="B11097">
        <v>10000</v>
      </c>
      <c r="C11097" t="str">
        <f t="shared" si="173"/>
        <v>3. $50K-250K</v>
      </c>
      <c r="D11097" t="s">
        <v>1111</v>
      </c>
      <c r="E11097" t="s">
        <v>112</v>
      </c>
      <c r="F11097" t="s">
        <v>668</v>
      </c>
      <c r="G11097" t="s">
        <v>59</v>
      </c>
      <c r="H11097">
        <v>2025</v>
      </c>
    </row>
    <row r="11098" spans="1:8" x14ac:dyDescent="0.2">
      <c r="A11098">
        <v>334566</v>
      </c>
      <c r="B11098">
        <v>10000</v>
      </c>
      <c r="C11098" t="str">
        <f t="shared" si="173"/>
        <v>2. $10K-50K</v>
      </c>
      <c r="D11098" t="s">
        <v>1880</v>
      </c>
      <c r="E11098" t="s">
        <v>112</v>
      </c>
      <c r="F11098" t="s">
        <v>668</v>
      </c>
      <c r="G11098" t="s">
        <v>59</v>
      </c>
      <c r="H11098">
        <v>2025</v>
      </c>
    </row>
    <row r="11099" spans="1:8" x14ac:dyDescent="0.2">
      <c r="A11099">
        <v>334567</v>
      </c>
      <c r="B11099">
        <v>75000</v>
      </c>
      <c r="C11099" t="str">
        <f t="shared" si="173"/>
        <v>2. $10K-50K</v>
      </c>
      <c r="D11099" t="s">
        <v>1644</v>
      </c>
      <c r="E11099" t="s">
        <v>112</v>
      </c>
      <c r="F11099" t="s">
        <v>668</v>
      </c>
      <c r="G11099" t="s">
        <v>59</v>
      </c>
      <c r="H11099">
        <v>2025</v>
      </c>
    </row>
    <row r="11100" spans="1:8" x14ac:dyDescent="0.2">
      <c r="A11100">
        <v>334568</v>
      </c>
      <c r="B11100">
        <v>10000</v>
      </c>
      <c r="C11100" t="str">
        <f t="shared" si="173"/>
        <v>3. $50K-250K</v>
      </c>
      <c r="D11100" t="s">
        <v>1108</v>
      </c>
      <c r="E11100" t="s">
        <v>112</v>
      </c>
      <c r="F11100" t="s">
        <v>668</v>
      </c>
      <c r="G11100" t="s">
        <v>59</v>
      </c>
      <c r="H11100">
        <v>2025</v>
      </c>
    </row>
    <row r="11101" spans="1:8" x14ac:dyDescent="0.2">
      <c r="A11101">
        <v>334573</v>
      </c>
      <c r="B11101">
        <v>10000</v>
      </c>
      <c r="C11101" t="str">
        <f t="shared" si="173"/>
        <v>2. $10K-50K</v>
      </c>
      <c r="D11101" t="s">
        <v>1140</v>
      </c>
      <c r="E11101" t="s">
        <v>112</v>
      </c>
      <c r="F11101" t="s">
        <v>668</v>
      </c>
      <c r="G11101" t="s">
        <v>59</v>
      </c>
      <c r="H11101">
        <v>2025</v>
      </c>
    </row>
    <row r="11102" spans="1:8" x14ac:dyDescent="0.2">
      <c r="A11102">
        <v>334583</v>
      </c>
      <c r="B11102">
        <v>25000</v>
      </c>
      <c r="C11102" t="str">
        <f t="shared" si="173"/>
        <v>2. $10K-50K</v>
      </c>
      <c r="D11102" t="s">
        <v>2115</v>
      </c>
      <c r="E11102" t="s">
        <v>112</v>
      </c>
      <c r="F11102" t="s">
        <v>668</v>
      </c>
      <c r="G11102" t="s">
        <v>59</v>
      </c>
      <c r="H11102">
        <v>2025</v>
      </c>
    </row>
    <row r="11103" spans="1:8" x14ac:dyDescent="0.2">
      <c r="A11103">
        <v>334596</v>
      </c>
      <c r="B11103">
        <v>10000</v>
      </c>
      <c r="C11103" t="str">
        <f t="shared" si="173"/>
        <v>2. $10K-50K</v>
      </c>
      <c r="D11103" t="s">
        <v>1957</v>
      </c>
      <c r="E11103" t="s">
        <v>112</v>
      </c>
      <c r="F11103" t="s">
        <v>668</v>
      </c>
      <c r="G11103" t="s">
        <v>59</v>
      </c>
      <c r="H11103">
        <v>2025</v>
      </c>
    </row>
    <row r="11104" spans="1:8" x14ac:dyDescent="0.2">
      <c r="A11104">
        <v>334603</v>
      </c>
      <c r="B11104">
        <v>20000</v>
      </c>
      <c r="C11104" t="str">
        <f t="shared" si="173"/>
        <v>2. $10K-50K</v>
      </c>
      <c r="D11104" t="s">
        <v>1069</v>
      </c>
      <c r="E11104" t="s">
        <v>112</v>
      </c>
      <c r="F11104" t="s">
        <v>668</v>
      </c>
      <c r="G11104" t="s">
        <v>59</v>
      </c>
      <c r="H11104">
        <v>2025</v>
      </c>
    </row>
    <row r="11105" spans="1:8" x14ac:dyDescent="0.2">
      <c r="A11105">
        <v>334606</v>
      </c>
      <c r="B11105">
        <v>5000</v>
      </c>
      <c r="C11105" t="str">
        <f t="shared" si="173"/>
        <v>2. $10K-50K</v>
      </c>
      <c r="D11105" t="s">
        <v>2879</v>
      </c>
      <c r="E11105" t="s">
        <v>112</v>
      </c>
      <c r="F11105" t="s">
        <v>668</v>
      </c>
      <c r="G11105" t="s">
        <v>59</v>
      </c>
      <c r="H11105">
        <v>2025</v>
      </c>
    </row>
    <row r="11106" spans="1:8" x14ac:dyDescent="0.2">
      <c r="A11106">
        <v>334615</v>
      </c>
      <c r="B11106">
        <v>10000</v>
      </c>
      <c r="C11106" t="str">
        <f t="shared" si="173"/>
        <v>1. Under $10K</v>
      </c>
      <c r="D11106" t="s">
        <v>1107</v>
      </c>
      <c r="E11106" t="s">
        <v>112</v>
      </c>
      <c r="F11106" t="s">
        <v>668</v>
      </c>
      <c r="G11106" t="s">
        <v>59</v>
      </c>
      <c r="H11106">
        <v>2025</v>
      </c>
    </row>
    <row r="11107" spans="1:8" x14ac:dyDescent="0.2">
      <c r="A11107">
        <v>334616</v>
      </c>
      <c r="B11107">
        <v>55000</v>
      </c>
      <c r="C11107" t="str">
        <f t="shared" si="173"/>
        <v>2. $10K-50K</v>
      </c>
      <c r="D11107" t="s">
        <v>816</v>
      </c>
      <c r="E11107" t="s">
        <v>112</v>
      </c>
      <c r="F11107" t="s">
        <v>668</v>
      </c>
      <c r="G11107" t="s">
        <v>59</v>
      </c>
      <c r="H11107">
        <v>2025</v>
      </c>
    </row>
    <row r="11108" spans="1:8" x14ac:dyDescent="0.2">
      <c r="A11108">
        <v>334618</v>
      </c>
      <c r="B11108">
        <v>10000</v>
      </c>
      <c r="C11108" t="str">
        <f t="shared" si="173"/>
        <v>3. $50K-250K</v>
      </c>
      <c r="D11108" t="s">
        <v>2880</v>
      </c>
      <c r="E11108" t="s">
        <v>112</v>
      </c>
      <c r="F11108" t="s">
        <v>668</v>
      </c>
      <c r="G11108" t="s">
        <v>59</v>
      </c>
      <c r="H11108">
        <v>2025</v>
      </c>
    </row>
    <row r="11109" spans="1:8" x14ac:dyDescent="0.2">
      <c r="A11109">
        <v>33467</v>
      </c>
      <c r="B11109">
        <v>14619.7</v>
      </c>
      <c r="C11109" t="str">
        <f t="shared" si="173"/>
        <v>2. $10K-50K</v>
      </c>
      <c r="D11109" t="s">
        <v>33</v>
      </c>
      <c r="E11109" t="s">
        <v>18</v>
      </c>
      <c r="F11109" t="s">
        <v>22</v>
      </c>
      <c r="G11109" t="s">
        <v>10</v>
      </c>
      <c r="H11109">
        <v>2025</v>
      </c>
    </row>
    <row r="11110" spans="1:8" x14ac:dyDescent="0.2">
      <c r="A11110">
        <v>33468</v>
      </c>
      <c r="B11110">
        <v>20000</v>
      </c>
      <c r="C11110" t="str">
        <f t="shared" si="173"/>
        <v>2. $10K-50K</v>
      </c>
      <c r="D11110" t="s">
        <v>83</v>
      </c>
      <c r="E11110" t="s">
        <v>18</v>
      </c>
      <c r="F11110" t="s">
        <v>22</v>
      </c>
      <c r="G11110" t="s">
        <v>10</v>
      </c>
      <c r="H11110">
        <v>2025</v>
      </c>
    </row>
    <row r="11111" spans="1:8" x14ac:dyDescent="0.2">
      <c r="A11111">
        <v>33469</v>
      </c>
      <c r="B11111">
        <v>6003689</v>
      </c>
      <c r="C11111" t="str">
        <f t="shared" si="173"/>
        <v>2. $10K-50K</v>
      </c>
      <c r="D11111" t="s">
        <v>539</v>
      </c>
      <c r="E11111" t="s">
        <v>69</v>
      </c>
      <c r="F11111" t="s">
        <v>22</v>
      </c>
      <c r="G11111" t="s">
        <v>10</v>
      </c>
      <c r="H11111">
        <v>2023</v>
      </c>
    </row>
    <row r="11112" spans="1:8" x14ac:dyDescent="0.2">
      <c r="A11112">
        <v>334706</v>
      </c>
      <c r="B11112">
        <v>100000</v>
      </c>
      <c r="C11112" t="str">
        <f t="shared" si="173"/>
        <v>5. $1M+</v>
      </c>
      <c r="D11112" t="s">
        <v>2881</v>
      </c>
      <c r="E11112" t="s">
        <v>112</v>
      </c>
      <c r="F11112" t="s">
        <v>668</v>
      </c>
      <c r="G11112" t="s">
        <v>59</v>
      </c>
      <c r="H11112">
        <v>2025</v>
      </c>
    </row>
    <row r="11113" spans="1:8" x14ac:dyDescent="0.2">
      <c r="A11113">
        <v>334712</v>
      </c>
      <c r="B11113">
        <v>1860736</v>
      </c>
      <c r="C11113" t="str">
        <f t="shared" si="173"/>
        <v>3. $50K-250K</v>
      </c>
      <c r="D11113" t="s">
        <v>41</v>
      </c>
      <c r="E11113" t="s">
        <v>237</v>
      </c>
      <c r="F11113" t="s">
        <v>668</v>
      </c>
      <c r="G11113" t="s">
        <v>59</v>
      </c>
      <c r="H11113">
        <v>2025</v>
      </c>
    </row>
    <row r="11114" spans="1:8" x14ac:dyDescent="0.2">
      <c r="A11114">
        <v>334736</v>
      </c>
      <c r="B11114">
        <v>10000</v>
      </c>
      <c r="C11114" t="str">
        <f t="shared" si="173"/>
        <v>5. $1M+</v>
      </c>
      <c r="D11114" t="s">
        <v>1314</v>
      </c>
      <c r="E11114" t="s">
        <v>112</v>
      </c>
      <c r="F11114" t="s">
        <v>668</v>
      </c>
      <c r="G11114" t="s">
        <v>59</v>
      </c>
      <c r="H11114">
        <v>2025</v>
      </c>
    </row>
    <row r="11115" spans="1:8" x14ac:dyDescent="0.2">
      <c r="A11115">
        <v>334737</v>
      </c>
      <c r="B11115">
        <v>10000</v>
      </c>
      <c r="C11115" t="str">
        <f t="shared" si="173"/>
        <v>2. $10K-50K</v>
      </c>
      <c r="D11115" t="s">
        <v>1124</v>
      </c>
      <c r="E11115" t="s">
        <v>112</v>
      </c>
      <c r="F11115" t="s">
        <v>668</v>
      </c>
      <c r="G11115" t="s">
        <v>59</v>
      </c>
      <c r="H11115">
        <v>2025</v>
      </c>
    </row>
    <row r="11116" spans="1:8" x14ac:dyDescent="0.2">
      <c r="A11116">
        <v>334738</v>
      </c>
      <c r="B11116">
        <v>10000</v>
      </c>
      <c r="C11116" t="str">
        <f t="shared" si="173"/>
        <v>2. $10K-50K</v>
      </c>
      <c r="D11116" t="s">
        <v>1210</v>
      </c>
      <c r="E11116" t="s">
        <v>112</v>
      </c>
      <c r="F11116" t="s">
        <v>668</v>
      </c>
      <c r="G11116" t="s">
        <v>59</v>
      </c>
      <c r="H11116">
        <v>2025</v>
      </c>
    </row>
    <row r="11117" spans="1:8" x14ac:dyDescent="0.2">
      <c r="A11117">
        <v>334740</v>
      </c>
      <c r="B11117">
        <v>5000</v>
      </c>
      <c r="C11117" t="str">
        <f t="shared" si="173"/>
        <v>2. $10K-50K</v>
      </c>
      <c r="D11117" t="s">
        <v>1577</v>
      </c>
      <c r="E11117" t="s">
        <v>112</v>
      </c>
      <c r="F11117" t="s">
        <v>668</v>
      </c>
      <c r="G11117" t="s">
        <v>59</v>
      </c>
      <c r="H11117">
        <v>2025</v>
      </c>
    </row>
    <row r="11118" spans="1:8" x14ac:dyDescent="0.2">
      <c r="A11118">
        <v>334743</v>
      </c>
      <c r="B11118">
        <v>20000</v>
      </c>
      <c r="C11118" t="str">
        <f t="shared" si="173"/>
        <v>1. Under $10K</v>
      </c>
      <c r="D11118" t="s">
        <v>1270</v>
      </c>
      <c r="E11118" t="s">
        <v>112</v>
      </c>
      <c r="F11118" t="s">
        <v>668</v>
      </c>
      <c r="G11118" t="s">
        <v>59</v>
      </c>
      <c r="H11118">
        <v>2025</v>
      </c>
    </row>
    <row r="11119" spans="1:8" x14ac:dyDescent="0.2">
      <c r="A11119">
        <v>334745</v>
      </c>
      <c r="B11119">
        <v>400000</v>
      </c>
      <c r="C11119" t="str">
        <f t="shared" si="173"/>
        <v>2. $10K-50K</v>
      </c>
      <c r="D11119" t="s">
        <v>910</v>
      </c>
      <c r="E11119" t="s">
        <v>237</v>
      </c>
      <c r="F11119" t="s">
        <v>670</v>
      </c>
      <c r="G11119" t="s">
        <v>59</v>
      </c>
      <c r="H11119">
        <v>2025</v>
      </c>
    </row>
    <row r="11120" spans="1:8" x14ac:dyDescent="0.2">
      <c r="A11120">
        <v>334748</v>
      </c>
      <c r="B11120">
        <v>40000</v>
      </c>
      <c r="C11120" t="str">
        <f t="shared" si="173"/>
        <v>4. $250K-1M</v>
      </c>
      <c r="D11120" t="s">
        <v>1140</v>
      </c>
      <c r="E11120" t="s">
        <v>112</v>
      </c>
      <c r="F11120" t="s">
        <v>668</v>
      </c>
      <c r="G11120" t="s">
        <v>59</v>
      </c>
      <c r="H11120">
        <v>2025</v>
      </c>
    </row>
    <row r="11121" spans="1:8" x14ac:dyDescent="0.2">
      <c r="A11121">
        <v>334766</v>
      </c>
      <c r="B11121">
        <v>329299</v>
      </c>
      <c r="C11121" t="str">
        <f t="shared" si="173"/>
        <v>2. $10K-50K</v>
      </c>
      <c r="D11121" t="s">
        <v>771</v>
      </c>
      <c r="E11121" t="s">
        <v>42</v>
      </c>
      <c r="F11121" t="s">
        <v>670</v>
      </c>
      <c r="G11121" t="s">
        <v>59</v>
      </c>
      <c r="H11121">
        <v>2025</v>
      </c>
    </row>
    <row r="11122" spans="1:8" x14ac:dyDescent="0.2">
      <c r="A11122">
        <v>334769</v>
      </c>
      <c r="B11122">
        <v>98000</v>
      </c>
      <c r="C11122" t="str">
        <f t="shared" si="173"/>
        <v>4. $250K-1M</v>
      </c>
      <c r="D11122" t="s">
        <v>674</v>
      </c>
      <c r="E11122" t="s">
        <v>42</v>
      </c>
      <c r="F11122" t="s">
        <v>670</v>
      </c>
      <c r="G11122" t="s">
        <v>59</v>
      </c>
      <c r="H11122">
        <v>2025</v>
      </c>
    </row>
    <row r="11123" spans="1:8" x14ac:dyDescent="0.2">
      <c r="A11123">
        <v>334771</v>
      </c>
      <c r="B11123">
        <v>116247</v>
      </c>
      <c r="C11123" t="str">
        <f t="shared" si="173"/>
        <v>3. $50K-250K</v>
      </c>
      <c r="D11123" t="s">
        <v>685</v>
      </c>
      <c r="E11123" t="s">
        <v>42</v>
      </c>
      <c r="F11123" t="s">
        <v>670</v>
      </c>
      <c r="G11123" t="s">
        <v>59</v>
      </c>
      <c r="H11123">
        <v>2025</v>
      </c>
    </row>
    <row r="11124" spans="1:8" x14ac:dyDescent="0.2">
      <c r="A11124">
        <v>334918</v>
      </c>
      <c r="B11124">
        <v>100000</v>
      </c>
      <c r="C11124" t="str">
        <f t="shared" si="173"/>
        <v>3. $50K-250K</v>
      </c>
      <c r="D11124" t="s">
        <v>910</v>
      </c>
      <c r="E11124" t="s">
        <v>237</v>
      </c>
      <c r="F11124" t="s">
        <v>670</v>
      </c>
      <c r="G11124" t="s">
        <v>59</v>
      </c>
      <c r="H11124">
        <v>2025</v>
      </c>
    </row>
    <row r="11125" spans="1:8" x14ac:dyDescent="0.2">
      <c r="A11125">
        <v>33493</v>
      </c>
      <c r="B11125">
        <v>1571566.3</v>
      </c>
      <c r="C11125" t="str">
        <f t="shared" si="173"/>
        <v>3. $50K-250K</v>
      </c>
      <c r="D11125" t="s">
        <v>359</v>
      </c>
      <c r="E11125" t="s">
        <v>18</v>
      </c>
      <c r="F11125" t="s">
        <v>12</v>
      </c>
      <c r="G11125" t="s">
        <v>10</v>
      </c>
      <c r="H11125">
        <v>2024</v>
      </c>
    </row>
    <row r="11126" spans="1:8" x14ac:dyDescent="0.2">
      <c r="A11126">
        <v>335019</v>
      </c>
      <c r="B11126">
        <v>10279000</v>
      </c>
      <c r="C11126" t="str">
        <f t="shared" si="173"/>
        <v>5. $1M+</v>
      </c>
      <c r="D11126" t="s">
        <v>2882</v>
      </c>
      <c r="E11126" t="s">
        <v>825</v>
      </c>
      <c r="F11126" t="s">
        <v>670</v>
      </c>
      <c r="G11126" t="s">
        <v>44</v>
      </c>
      <c r="H11126">
        <v>2025</v>
      </c>
    </row>
    <row r="11127" spans="1:8" x14ac:dyDescent="0.2">
      <c r="A11127">
        <v>335020</v>
      </c>
      <c r="B11127">
        <v>600000</v>
      </c>
      <c r="C11127" t="str">
        <f t="shared" si="173"/>
        <v>5. $1M+</v>
      </c>
      <c r="D11127" t="s">
        <v>2883</v>
      </c>
      <c r="E11127" t="s">
        <v>825</v>
      </c>
      <c r="F11127" t="s">
        <v>670</v>
      </c>
      <c r="G11127" t="s">
        <v>44</v>
      </c>
      <c r="H11127">
        <v>2025</v>
      </c>
    </row>
    <row r="11128" spans="1:8" x14ac:dyDescent="0.2">
      <c r="A11128">
        <v>335036</v>
      </c>
      <c r="B11128">
        <v>450000</v>
      </c>
      <c r="C11128" t="str">
        <f t="shared" si="173"/>
        <v>4. $250K-1M</v>
      </c>
      <c r="D11128" t="s">
        <v>2884</v>
      </c>
      <c r="E11128" t="s">
        <v>42</v>
      </c>
      <c r="F11128" t="s">
        <v>668</v>
      </c>
      <c r="G11128" t="s">
        <v>59</v>
      </c>
      <c r="H11128">
        <v>2025</v>
      </c>
    </row>
    <row r="11129" spans="1:8" x14ac:dyDescent="0.2">
      <c r="A11129">
        <v>335042</v>
      </c>
      <c r="B11129">
        <v>1164133</v>
      </c>
      <c r="C11129" t="str">
        <f t="shared" si="173"/>
        <v>4. $250K-1M</v>
      </c>
      <c r="D11129" t="s">
        <v>2160</v>
      </c>
      <c r="E11129" t="s">
        <v>28</v>
      </c>
      <c r="F11129" t="s">
        <v>668</v>
      </c>
      <c r="G11129" t="s">
        <v>59</v>
      </c>
      <c r="H11129">
        <v>2025</v>
      </c>
    </row>
    <row r="11130" spans="1:8" x14ac:dyDescent="0.2">
      <c r="A11130">
        <v>335048</v>
      </c>
      <c r="B11130">
        <v>44736</v>
      </c>
      <c r="C11130" t="str">
        <f t="shared" si="173"/>
        <v>5. $1M+</v>
      </c>
      <c r="D11130" t="s">
        <v>713</v>
      </c>
      <c r="E11130" t="s">
        <v>237</v>
      </c>
      <c r="F11130" t="s">
        <v>670</v>
      </c>
      <c r="G11130" t="s">
        <v>59</v>
      </c>
      <c r="H11130">
        <v>2025</v>
      </c>
    </row>
    <row r="11131" spans="1:8" x14ac:dyDescent="0.2">
      <c r="A11131">
        <v>335051</v>
      </c>
      <c r="B11131">
        <v>180000</v>
      </c>
      <c r="C11131" t="str">
        <f t="shared" si="173"/>
        <v>2. $10K-50K</v>
      </c>
      <c r="D11131" t="s">
        <v>2885</v>
      </c>
      <c r="E11131" t="s">
        <v>112</v>
      </c>
      <c r="F11131" t="s">
        <v>668</v>
      </c>
      <c r="G11131" t="s">
        <v>59</v>
      </c>
      <c r="H11131">
        <v>2025</v>
      </c>
    </row>
    <row r="11132" spans="1:8" x14ac:dyDescent="0.2">
      <c r="A11132">
        <v>335053</v>
      </c>
      <c r="B11132">
        <v>2000000</v>
      </c>
      <c r="C11132" t="str">
        <f t="shared" si="173"/>
        <v>3. $50K-250K</v>
      </c>
      <c r="D11132" t="s">
        <v>778</v>
      </c>
      <c r="E11132" t="s">
        <v>99</v>
      </c>
      <c r="F11132" t="s">
        <v>668</v>
      </c>
      <c r="G11132" t="s">
        <v>59</v>
      </c>
      <c r="H11132">
        <v>2025</v>
      </c>
    </row>
    <row r="11133" spans="1:8" x14ac:dyDescent="0.2">
      <c r="A11133">
        <v>335063</v>
      </c>
      <c r="B11133">
        <v>250000</v>
      </c>
      <c r="C11133" t="str">
        <f t="shared" si="173"/>
        <v>5. $1M+</v>
      </c>
      <c r="D11133" t="s">
        <v>2886</v>
      </c>
      <c r="E11133" t="s">
        <v>99</v>
      </c>
      <c r="F11133" t="s">
        <v>668</v>
      </c>
      <c r="G11133" t="s">
        <v>59</v>
      </c>
      <c r="H11133">
        <v>2025</v>
      </c>
    </row>
    <row r="11134" spans="1:8" x14ac:dyDescent="0.2">
      <c r="A11134">
        <v>335069</v>
      </c>
      <c r="B11134">
        <v>10000</v>
      </c>
      <c r="C11134" t="str">
        <f t="shared" si="173"/>
        <v>4. $250K-1M</v>
      </c>
      <c r="D11134" t="s">
        <v>1115</v>
      </c>
      <c r="E11134" t="s">
        <v>112</v>
      </c>
      <c r="F11134" t="s">
        <v>668</v>
      </c>
      <c r="G11134" t="s">
        <v>59</v>
      </c>
      <c r="H11134">
        <v>2025</v>
      </c>
    </row>
    <row r="11135" spans="1:8" x14ac:dyDescent="0.2">
      <c r="A11135">
        <v>335072</v>
      </c>
      <c r="B11135">
        <v>800000</v>
      </c>
      <c r="C11135" t="str">
        <f t="shared" si="173"/>
        <v>2. $10K-50K</v>
      </c>
      <c r="D11135" t="s">
        <v>778</v>
      </c>
      <c r="E11135" t="s">
        <v>99</v>
      </c>
      <c r="F11135" t="s">
        <v>668</v>
      </c>
      <c r="G11135" t="s">
        <v>59</v>
      </c>
      <c r="H11135">
        <v>2025</v>
      </c>
    </row>
    <row r="11136" spans="1:8" x14ac:dyDescent="0.2">
      <c r="A11136">
        <v>335082</v>
      </c>
      <c r="B11136">
        <v>1280325</v>
      </c>
      <c r="C11136" t="str">
        <f t="shared" si="173"/>
        <v>4. $250K-1M</v>
      </c>
      <c r="D11136" t="s">
        <v>1082</v>
      </c>
      <c r="E11136" t="s">
        <v>99</v>
      </c>
      <c r="F11136" t="s">
        <v>668</v>
      </c>
      <c r="G11136" t="s">
        <v>59</v>
      </c>
      <c r="H11136">
        <v>2025</v>
      </c>
    </row>
    <row r="11137" spans="1:8" x14ac:dyDescent="0.2">
      <c r="A11137">
        <v>335088</v>
      </c>
      <c r="B11137">
        <v>10000</v>
      </c>
      <c r="C11137" t="str">
        <f t="shared" si="173"/>
        <v>5. $1M+</v>
      </c>
      <c r="D11137" t="s">
        <v>1242</v>
      </c>
      <c r="E11137" t="s">
        <v>112</v>
      </c>
      <c r="F11137" t="s">
        <v>668</v>
      </c>
      <c r="G11137" t="s">
        <v>59</v>
      </c>
      <c r="H11137">
        <v>2025</v>
      </c>
    </row>
    <row r="11138" spans="1:8" x14ac:dyDescent="0.2">
      <c r="A11138">
        <v>335090</v>
      </c>
      <c r="B11138">
        <v>17500</v>
      </c>
      <c r="C11138" t="str">
        <f t="shared" si="173"/>
        <v>2. $10K-50K</v>
      </c>
      <c r="D11138" t="s">
        <v>2496</v>
      </c>
      <c r="E11138" t="s">
        <v>112</v>
      </c>
      <c r="F11138" t="s">
        <v>668</v>
      </c>
      <c r="G11138" t="s">
        <v>59</v>
      </c>
      <c r="H11138">
        <v>2025</v>
      </c>
    </row>
    <row r="11139" spans="1:8" x14ac:dyDescent="0.2">
      <c r="A11139">
        <v>335092</v>
      </c>
      <c r="B11139">
        <v>10000</v>
      </c>
      <c r="C11139" t="str">
        <f t="shared" ref="C11139:C11202" si="174">IF(B11138&lt;10000,"1. Under $10K",IF(B11138&lt;50000,"2. $10K-50K",IF(B11138&lt;250000,"3. $50K-250K",IF(B11138&lt;1000000,"4. $250K-1M","5. $1M+"))))</f>
        <v>2. $10K-50K</v>
      </c>
      <c r="D11139" t="s">
        <v>2467</v>
      </c>
      <c r="E11139" t="s">
        <v>112</v>
      </c>
      <c r="F11139" t="s">
        <v>668</v>
      </c>
      <c r="G11139" t="s">
        <v>59</v>
      </c>
      <c r="H11139">
        <v>2025</v>
      </c>
    </row>
    <row r="11140" spans="1:8" x14ac:dyDescent="0.2">
      <c r="A11140">
        <v>335093</v>
      </c>
      <c r="B11140">
        <v>10000</v>
      </c>
      <c r="C11140" t="str">
        <f t="shared" si="174"/>
        <v>2. $10K-50K</v>
      </c>
      <c r="D11140" t="s">
        <v>1331</v>
      </c>
      <c r="E11140" t="s">
        <v>112</v>
      </c>
      <c r="F11140" t="s">
        <v>668</v>
      </c>
      <c r="G11140" t="s">
        <v>59</v>
      </c>
      <c r="H11140">
        <v>2025</v>
      </c>
    </row>
    <row r="11141" spans="1:8" x14ac:dyDescent="0.2">
      <c r="A11141">
        <v>335094</v>
      </c>
      <c r="B11141">
        <v>12000</v>
      </c>
      <c r="C11141" t="str">
        <f t="shared" si="174"/>
        <v>2. $10K-50K</v>
      </c>
      <c r="D11141" t="s">
        <v>1250</v>
      </c>
      <c r="E11141" t="s">
        <v>112</v>
      </c>
      <c r="F11141" t="s">
        <v>668</v>
      </c>
      <c r="G11141" t="s">
        <v>59</v>
      </c>
      <c r="H11141">
        <v>2025</v>
      </c>
    </row>
    <row r="11142" spans="1:8" x14ac:dyDescent="0.2">
      <c r="A11142">
        <v>335096</v>
      </c>
      <c r="B11142">
        <v>15000</v>
      </c>
      <c r="C11142" t="str">
        <f t="shared" si="174"/>
        <v>2. $10K-50K</v>
      </c>
      <c r="D11142" t="s">
        <v>1141</v>
      </c>
      <c r="E11142" t="s">
        <v>112</v>
      </c>
      <c r="F11142" t="s">
        <v>668</v>
      </c>
      <c r="G11142" t="s">
        <v>59</v>
      </c>
      <c r="H11142">
        <v>2025</v>
      </c>
    </row>
    <row r="11143" spans="1:8" x14ac:dyDescent="0.2">
      <c r="A11143">
        <v>335098</v>
      </c>
      <c r="B11143">
        <v>15000</v>
      </c>
      <c r="C11143" t="str">
        <f t="shared" si="174"/>
        <v>2. $10K-50K</v>
      </c>
      <c r="D11143" t="s">
        <v>2037</v>
      </c>
      <c r="E11143" t="s">
        <v>112</v>
      </c>
      <c r="F11143" t="s">
        <v>668</v>
      </c>
      <c r="G11143" t="s">
        <v>59</v>
      </c>
      <c r="H11143">
        <v>2025</v>
      </c>
    </row>
    <row r="11144" spans="1:8" x14ac:dyDescent="0.2">
      <c r="A11144">
        <v>335099</v>
      </c>
      <c r="B11144">
        <v>15000</v>
      </c>
      <c r="C11144" t="str">
        <f t="shared" si="174"/>
        <v>2. $10K-50K</v>
      </c>
      <c r="D11144" t="s">
        <v>2887</v>
      </c>
      <c r="E11144" t="s">
        <v>112</v>
      </c>
      <c r="F11144" t="s">
        <v>668</v>
      </c>
      <c r="G11144" t="s">
        <v>59</v>
      </c>
      <c r="H11144">
        <v>2025</v>
      </c>
    </row>
    <row r="11145" spans="1:8" x14ac:dyDescent="0.2">
      <c r="A11145">
        <v>335100</v>
      </c>
      <c r="B11145">
        <v>20000</v>
      </c>
      <c r="C11145" t="str">
        <f t="shared" si="174"/>
        <v>2. $10K-50K</v>
      </c>
      <c r="D11145" t="s">
        <v>1250</v>
      </c>
      <c r="E11145" t="s">
        <v>112</v>
      </c>
      <c r="F11145" t="s">
        <v>668</v>
      </c>
      <c r="G11145" t="s">
        <v>59</v>
      </c>
      <c r="H11145">
        <v>2025</v>
      </c>
    </row>
    <row r="11146" spans="1:8" x14ac:dyDescent="0.2">
      <c r="A11146">
        <v>335101</v>
      </c>
      <c r="B11146">
        <v>5000</v>
      </c>
      <c r="C11146" t="str">
        <f t="shared" si="174"/>
        <v>2. $10K-50K</v>
      </c>
      <c r="D11146" t="s">
        <v>2888</v>
      </c>
      <c r="E11146" t="s">
        <v>112</v>
      </c>
      <c r="F11146" t="s">
        <v>668</v>
      </c>
      <c r="G11146" t="s">
        <v>59</v>
      </c>
      <c r="H11146">
        <v>2025</v>
      </c>
    </row>
    <row r="11147" spans="1:8" x14ac:dyDescent="0.2">
      <c r="A11147">
        <v>335102</v>
      </c>
      <c r="B11147">
        <v>23000</v>
      </c>
      <c r="C11147" t="str">
        <f t="shared" si="174"/>
        <v>1. Under $10K</v>
      </c>
      <c r="D11147" t="s">
        <v>2003</v>
      </c>
      <c r="E11147" t="s">
        <v>112</v>
      </c>
      <c r="F11147" t="s">
        <v>668</v>
      </c>
      <c r="G11147" t="s">
        <v>59</v>
      </c>
      <c r="H11147">
        <v>2025</v>
      </c>
    </row>
    <row r="11148" spans="1:8" x14ac:dyDescent="0.2">
      <c r="A11148">
        <v>335111</v>
      </c>
      <c r="B11148">
        <v>28333</v>
      </c>
      <c r="C11148" t="str">
        <f t="shared" si="174"/>
        <v>2. $10K-50K</v>
      </c>
      <c r="D11148" t="s">
        <v>696</v>
      </c>
      <c r="E11148" t="s">
        <v>237</v>
      </c>
      <c r="F11148" t="s">
        <v>670</v>
      </c>
      <c r="G11148" t="s">
        <v>59</v>
      </c>
      <c r="H11148">
        <v>2025</v>
      </c>
    </row>
    <row r="11149" spans="1:8" x14ac:dyDescent="0.2">
      <c r="A11149">
        <v>335112</v>
      </c>
      <c r="B11149">
        <v>10210</v>
      </c>
      <c r="C11149" t="str">
        <f t="shared" si="174"/>
        <v>2. $10K-50K</v>
      </c>
      <c r="D11149" t="s">
        <v>712</v>
      </c>
      <c r="E11149" t="s">
        <v>237</v>
      </c>
      <c r="F11149" t="s">
        <v>670</v>
      </c>
      <c r="G11149" t="s">
        <v>59</v>
      </c>
      <c r="H11149">
        <v>2025</v>
      </c>
    </row>
    <row r="11150" spans="1:8" x14ac:dyDescent="0.2">
      <c r="A11150">
        <v>335113</v>
      </c>
      <c r="B11150">
        <v>10671</v>
      </c>
      <c r="C11150" t="str">
        <f t="shared" si="174"/>
        <v>2. $10K-50K</v>
      </c>
      <c r="D11150" t="s">
        <v>712</v>
      </c>
      <c r="E11150" t="s">
        <v>237</v>
      </c>
      <c r="F11150" t="s">
        <v>670</v>
      </c>
      <c r="G11150" t="s">
        <v>59</v>
      </c>
      <c r="H11150">
        <v>2025</v>
      </c>
    </row>
    <row r="11151" spans="1:8" x14ac:dyDescent="0.2">
      <c r="A11151">
        <v>335114</v>
      </c>
      <c r="B11151">
        <v>28457</v>
      </c>
      <c r="C11151" t="str">
        <f t="shared" si="174"/>
        <v>2. $10K-50K</v>
      </c>
      <c r="D11151" t="s">
        <v>712</v>
      </c>
      <c r="E11151" t="s">
        <v>237</v>
      </c>
      <c r="F11151" t="s">
        <v>670</v>
      </c>
      <c r="G11151" t="s">
        <v>59</v>
      </c>
      <c r="H11151">
        <v>2025</v>
      </c>
    </row>
    <row r="11152" spans="1:8" x14ac:dyDescent="0.2">
      <c r="A11152">
        <v>335115</v>
      </c>
      <c r="B11152">
        <v>48019</v>
      </c>
      <c r="C11152" t="str">
        <f t="shared" si="174"/>
        <v>2. $10K-50K</v>
      </c>
      <c r="D11152" t="s">
        <v>1032</v>
      </c>
      <c r="E11152" t="s">
        <v>237</v>
      </c>
      <c r="F11152" t="s">
        <v>670</v>
      </c>
      <c r="G11152" t="s">
        <v>59</v>
      </c>
      <c r="H11152">
        <v>2025</v>
      </c>
    </row>
    <row r="11153" spans="1:8" x14ac:dyDescent="0.2">
      <c r="A11153">
        <v>335116</v>
      </c>
      <c r="B11153">
        <v>80696</v>
      </c>
      <c r="C11153" t="str">
        <f t="shared" si="174"/>
        <v>2. $10K-50K</v>
      </c>
      <c r="D11153" t="s">
        <v>700</v>
      </c>
      <c r="E11153" t="s">
        <v>237</v>
      </c>
      <c r="F11153" t="s">
        <v>670</v>
      </c>
      <c r="G11153" t="s">
        <v>59</v>
      </c>
      <c r="H11153">
        <v>2025</v>
      </c>
    </row>
    <row r="11154" spans="1:8" x14ac:dyDescent="0.2">
      <c r="A11154">
        <v>335117</v>
      </c>
      <c r="B11154">
        <v>14892</v>
      </c>
      <c r="C11154" t="str">
        <f t="shared" si="174"/>
        <v>3. $50K-250K</v>
      </c>
      <c r="D11154" t="s">
        <v>713</v>
      </c>
      <c r="E11154" t="s">
        <v>237</v>
      </c>
      <c r="F11154" t="s">
        <v>670</v>
      </c>
      <c r="G11154" t="s">
        <v>59</v>
      </c>
      <c r="H11154">
        <v>2025</v>
      </c>
    </row>
    <row r="11155" spans="1:8" x14ac:dyDescent="0.2">
      <c r="A11155">
        <v>335119</v>
      </c>
      <c r="B11155">
        <v>14149</v>
      </c>
      <c r="C11155" t="str">
        <f t="shared" si="174"/>
        <v>2. $10K-50K</v>
      </c>
      <c r="D11155" t="s">
        <v>700</v>
      </c>
      <c r="E11155" t="s">
        <v>237</v>
      </c>
      <c r="F11155" t="s">
        <v>670</v>
      </c>
      <c r="G11155" t="s">
        <v>59</v>
      </c>
      <c r="H11155">
        <v>2025</v>
      </c>
    </row>
    <row r="11156" spans="1:8" x14ac:dyDescent="0.2">
      <c r="A11156">
        <v>335120</v>
      </c>
      <c r="B11156">
        <v>99993</v>
      </c>
      <c r="C11156" t="str">
        <f t="shared" si="174"/>
        <v>2. $10K-50K</v>
      </c>
      <c r="D11156" t="s">
        <v>700</v>
      </c>
      <c r="E11156" t="s">
        <v>237</v>
      </c>
      <c r="F11156" t="s">
        <v>670</v>
      </c>
      <c r="G11156" t="s">
        <v>59</v>
      </c>
      <c r="H11156">
        <v>2025</v>
      </c>
    </row>
    <row r="11157" spans="1:8" x14ac:dyDescent="0.2">
      <c r="A11157">
        <v>335138</v>
      </c>
      <c r="B11157">
        <v>1000</v>
      </c>
      <c r="C11157" t="str">
        <f t="shared" si="174"/>
        <v>3. $50K-250K</v>
      </c>
      <c r="D11157" t="s">
        <v>2016</v>
      </c>
      <c r="E11157" t="s">
        <v>112</v>
      </c>
      <c r="F11157" t="s">
        <v>668</v>
      </c>
      <c r="G11157" t="s">
        <v>59</v>
      </c>
      <c r="H11157">
        <v>2025</v>
      </c>
    </row>
    <row r="11158" spans="1:8" x14ac:dyDescent="0.2">
      <c r="A11158">
        <v>335151</v>
      </c>
      <c r="B11158">
        <v>16500</v>
      </c>
      <c r="C11158" t="str">
        <f t="shared" si="174"/>
        <v>1. Under $10K</v>
      </c>
      <c r="D11158" t="s">
        <v>2889</v>
      </c>
      <c r="E11158" t="s">
        <v>112</v>
      </c>
      <c r="F11158" t="s">
        <v>668</v>
      </c>
      <c r="G11158" t="s">
        <v>59</v>
      </c>
      <c r="H11158">
        <v>2025</v>
      </c>
    </row>
    <row r="11159" spans="1:8" x14ac:dyDescent="0.2">
      <c r="A11159">
        <v>335221</v>
      </c>
      <c r="B11159">
        <v>1892928</v>
      </c>
      <c r="C11159" t="str">
        <f t="shared" si="174"/>
        <v>2. $10K-50K</v>
      </c>
      <c r="D11159" t="s">
        <v>2073</v>
      </c>
      <c r="E11159" t="s">
        <v>99</v>
      </c>
      <c r="F11159" t="s">
        <v>668</v>
      </c>
      <c r="G11159" t="s">
        <v>59</v>
      </c>
      <c r="H11159">
        <v>2025</v>
      </c>
    </row>
    <row r="11160" spans="1:8" x14ac:dyDescent="0.2">
      <c r="A11160">
        <v>335246</v>
      </c>
      <c r="B11160">
        <v>39065</v>
      </c>
      <c r="C11160" t="str">
        <f t="shared" si="174"/>
        <v>5. $1M+</v>
      </c>
      <c r="D11160" t="s">
        <v>1473</v>
      </c>
      <c r="E11160" t="s">
        <v>42</v>
      </c>
      <c r="F11160" t="s">
        <v>670</v>
      </c>
      <c r="G11160" t="s">
        <v>59</v>
      </c>
      <c r="H11160">
        <v>2025</v>
      </c>
    </row>
    <row r="11161" spans="1:8" x14ac:dyDescent="0.2">
      <c r="A11161">
        <v>335289</v>
      </c>
      <c r="B11161">
        <v>12250000</v>
      </c>
      <c r="C11161" t="str">
        <f t="shared" si="174"/>
        <v>2. $10K-50K</v>
      </c>
      <c r="D11161" t="s">
        <v>925</v>
      </c>
      <c r="E11161" t="s">
        <v>99</v>
      </c>
      <c r="F11161" t="s">
        <v>668</v>
      </c>
      <c r="G11161" t="s">
        <v>59</v>
      </c>
      <c r="H11161">
        <v>2025</v>
      </c>
    </row>
    <row r="11162" spans="1:8" x14ac:dyDescent="0.2">
      <c r="A11162">
        <v>335301</v>
      </c>
      <c r="B11162">
        <v>13133</v>
      </c>
      <c r="C11162" t="str">
        <f t="shared" si="174"/>
        <v>5. $1M+</v>
      </c>
      <c r="D11162" t="s">
        <v>695</v>
      </c>
      <c r="E11162" t="s">
        <v>237</v>
      </c>
      <c r="F11162" t="s">
        <v>670</v>
      </c>
      <c r="G11162" t="s">
        <v>59</v>
      </c>
      <c r="H11162">
        <v>2025</v>
      </c>
    </row>
    <row r="11163" spans="1:8" x14ac:dyDescent="0.2">
      <c r="A11163">
        <v>335342</v>
      </c>
      <c r="B11163">
        <v>112500</v>
      </c>
      <c r="C11163" t="str">
        <f t="shared" si="174"/>
        <v>2. $10K-50K</v>
      </c>
      <c r="D11163" t="s">
        <v>1057</v>
      </c>
      <c r="E11163" t="s">
        <v>42</v>
      </c>
      <c r="F11163" t="s">
        <v>670</v>
      </c>
      <c r="G11163" t="s">
        <v>59</v>
      </c>
      <c r="H11163">
        <v>2025</v>
      </c>
    </row>
    <row r="11164" spans="1:8" x14ac:dyDescent="0.2">
      <c r="A11164">
        <v>335361</v>
      </c>
      <c r="B11164">
        <v>508096</v>
      </c>
      <c r="C11164" t="str">
        <f t="shared" si="174"/>
        <v>3. $50K-250K</v>
      </c>
      <c r="D11164" t="s">
        <v>41</v>
      </c>
      <c r="E11164" t="s">
        <v>237</v>
      </c>
      <c r="F11164" t="s">
        <v>670</v>
      </c>
      <c r="G11164" t="s">
        <v>59</v>
      </c>
      <c r="H11164">
        <v>2025</v>
      </c>
    </row>
    <row r="11165" spans="1:8" x14ac:dyDescent="0.2">
      <c r="A11165">
        <v>335422</v>
      </c>
      <c r="B11165">
        <v>21204.1</v>
      </c>
      <c r="C11165" t="str">
        <f t="shared" si="174"/>
        <v>4. $250K-1M</v>
      </c>
      <c r="D11165" t="s">
        <v>540</v>
      </c>
      <c r="E11165" t="s">
        <v>54</v>
      </c>
      <c r="F11165" t="s">
        <v>457</v>
      </c>
      <c r="G11165" t="s">
        <v>59</v>
      </c>
      <c r="H11165">
        <v>2025</v>
      </c>
    </row>
    <row r="11166" spans="1:8" x14ac:dyDescent="0.2">
      <c r="A11166">
        <v>335626</v>
      </c>
      <c r="B11166">
        <v>16417</v>
      </c>
      <c r="C11166" t="str">
        <f t="shared" si="174"/>
        <v>2. $10K-50K</v>
      </c>
      <c r="D11166" t="s">
        <v>708</v>
      </c>
      <c r="E11166" t="s">
        <v>237</v>
      </c>
      <c r="F11166" t="s">
        <v>670</v>
      </c>
      <c r="G11166" t="s">
        <v>59</v>
      </c>
      <c r="H11166">
        <v>2025</v>
      </c>
    </row>
    <row r="11167" spans="1:8" x14ac:dyDescent="0.2">
      <c r="A11167">
        <v>335627</v>
      </c>
      <c r="B11167">
        <v>21967</v>
      </c>
      <c r="C11167" t="str">
        <f t="shared" si="174"/>
        <v>2. $10K-50K</v>
      </c>
      <c r="D11167" t="s">
        <v>692</v>
      </c>
      <c r="E11167" t="s">
        <v>237</v>
      </c>
      <c r="F11167" t="s">
        <v>670</v>
      </c>
      <c r="G11167" t="s">
        <v>59</v>
      </c>
      <c r="H11167">
        <v>2025</v>
      </c>
    </row>
    <row r="11168" spans="1:8" x14ac:dyDescent="0.2">
      <c r="A11168">
        <v>335628</v>
      </c>
      <c r="B11168">
        <v>12612</v>
      </c>
      <c r="C11168" t="str">
        <f t="shared" si="174"/>
        <v>2. $10K-50K</v>
      </c>
      <c r="D11168" t="s">
        <v>707</v>
      </c>
      <c r="E11168" t="s">
        <v>237</v>
      </c>
      <c r="F11168" t="s">
        <v>670</v>
      </c>
      <c r="G11168" t="s">
        <v>59</v>
      </c>
      <c r="H11168">
        <v>2025</v>
      </c>
    </row>
    <row r="11169" spans="1:8" x14ac:dyDescent="0.2">
      <c r="A11169">
        <v>335629</v>
      </c>
      <c r="B11169">
        <v>27088</v>
      </c>
      <c r="C11169" t="str">
        <f t="shared" si="174"/>
        <v>2. $10K-50K</v>
      </c>
      <c r="D11169" t="s">
        <v>692</v>
      </c>
      <c r="E11169" t="s">
        <v>237</v>
      </c>
      <c r="F11169" t="s">
        <v>670</v>
      </c>
      <c r="G11169" t="s">
        <v>59</v>
      </c>
      <c r="H11169">
        <v>2025</v>
      </c>
    </row>
    <row r="11170" spans="1:8" x14ac:dyDescent="0.2">
      <c r="A11170">
        <v>335630</v>
      </c>
      <c r="B11170">
        <v>69723</v>
      </c>
      <c r="C11170" t="str">
        <f t="shared" si="174"/>
        <v>2. $10K-50K</v>
      </c>
      <c r="D11170" t="s">
        <v>692</v>
      </c>
      <c r="E11170" t="s">
        <v>237</v>
      </c>
      <c r="F11170" t="s">
        <v>670</v>
      </c>
      <c r="G11170" t="s">
        <v>59</v>
      </c>
      <c r="H11170">
        <v>2025</v>
      </c>
    </row>
    <row r="11171" spans="1:8" x14ac:dyDescent="0.2">
      <c r="A11171">
        <v>335632</v>
      </c>
      <c r="B11171">
        <v>394000</v>
      </c>
      <c r="C11171" t="str">
        <f t="shared" si="174"/>
        <v>3. $50K-250K</v>
      </c>
      <c r="D11171" t="s">
        <v>2890</v>
      </c>
      <c r="E11171" t="s">
        <v>42</v>
      </c>
      <c r="F11171" t="s">
        <v>668</v>
      </c>
      <c r="G11171" t="s">
        <v>59</v>
      </c>
      <c r="H11171">
        <v>2025</v>
      </c>
    </row>
    <row r="11172" spans="1:8" x14ac:dyDescent="0.2">
      <c r="A11172">
        <v>335652</v>
      </c>
      <c r="B11172">
        <v>15314</v>
      </c>
      <c r="C11172" t="str">
        <f t="shared" si="174"/>
        <v>4. $250K-1M</v>
      </c>
      <c r="D11172" t="s">
        <v>694</v>
      </c>
      <c r="E11172" t="s">
        <v>237</v>
      </c>
      <c r="F11172" t="s">
        <v>670</v>
      </c>
      <c r="G11172" t="s">
        <v>59</v>
      </c>
      <c r="H11172">
        <v>2025</v>
      </c>
    </row>
    <row r="11173" spans="1:8" x14ac:dyDescent="0.2">
      <c r="A11173">
        <v>335653</v>
      </c>
      <c r="B11173">
        <v>25682</v>
      </c>
      <c r="C11173" t="str">
        <f t="shared" si="174"/>
        <v>2. $10K-50K</v>
      </c>
      <c r="D11173" t="s">
        <v>694</v>
      </c>
      <c r="E11173" t="s">
        <v>237</v>
      </c>
      <c r="F11173" t="s">
        <v>670</v>
      </c>
      <c r="G11173" t="s">
        <v>59</v>
      </c>
      <c r="H11173">
        <v>2025</v>
      </c>
    </row>
    <row r="11174" spans="1:8" x14ac:dyDescent="0.2">
      <c r="A11174">
        <v>335654</v>
      </c>
      <c r="B11174">
        <v>11081</v>
      </c>
      <c r="C11174" t="str">
        <f t="shared" si="174"/>
        <v>2. $10K-50K</v>
      </c>
      <c r="D11174" t="s">
        <v>709</v>
      </c>
      <c r="E11174" t="s">
        <v>237</v>
      </c>
      <c r="F11174" t="s">
        <v>670</v>
      </c>
      <c r="G11174" t="s">
        <v>59</v>
      </c>
      <c r="H11174">
        <v>2025</v>
      </c>
    </row>
    <row r="11175" spans="1:8" x14ac:dyDescent="0.2">
      <c r="A11175">
        <v>335655</v>
      </c>
      <c r="B11175">
        <v>40390</v>
      </c>
      <c r="C11175" t="str">
        <f t="shared" si="174"/>
        <v>2. $10K-50K</v>
      </c>
      <c r="D11175" t="s">
        <v>709</v>
      </c>
      <c r="E11175" t="s">
        <v>237</v>
      </c>
      <c r="F11175" t="s">
        <v>670</v>
      </c>
      <c r="G11175" t="s">
        <v>59</v>
      </c>
      <c r="H11175">
        <v>2025</v>
      </c>
    </row>
    <row r="11176" spans="1:8" x14ac:dyDescent="0.2">
      <c r="A11176">
        <v>335838</v>
      </c>
      <c r="B11176">
        <v>15314</v>
      </c>
      <c r="C11176" t="str">
        <f t="shared" si="174"/>
        <v>2. $10K-50K</v>
      </c>
      <c r="D11176" t="s">
        <v>693</v>
      </c>
      <c r="E11176" t="s">
        <v>237</v>
      </c>
      <c r="F11176" t="s">
        <v>670</v>
      </c>
      <c r="G11176" t="s">
        <v>59</v>
      </c>
      <c r="H11176">
        <v>2025</v>
      </c>
    </row>
    <row r="11177" spans="1:8" x14ac:dyDescent="0.2">
      <c r="A11177">
        <v>335839</v>
      </c>
      <c r="B11177">
        <v>16827</v>
      </c>
      <c r="C11177" t="str">
        <f t="shared" si="174"/>
        <v>2. $10K-50K</v>
      </c>
      <c r="D11177" t="s">
        <v>702</v>
      </c>
      <c r="E11177" t="s">
        <v>237</v>
      </c>
      <c r="F11177" t="s">
        <v>670</v>
      </c>
      <c r="G11177" t="s">
        <v>59</v>
      </c>
      <c r="H11177">
        <v>2025</v>
      </c>
    </row>
    <row r="11178" spans="1:8" x14ac:dyDescent="0.2">
      <c r="A11178">
        <v>335840</v>
      </c>
      <c r="B11178">
        <v>22490</v>
      </c>
      <c r="C11178" t="str">
        <f t="shared" si="174"/>
        <v>2. $10K-50K</v>
      </c>
      <c r="D11178" t="s">
        <v>693</v>
      </c>
      <c r="E11178" t="s">
        <v>237</v>
      </c>
      <c r="F11178" t="s">
        <v>670</v>
      </c>
      <c r="G11178" t="s">
        <v>59</v>
      </c>
      <c r="H11178">
        <v>2025</v>
      </c>
    </row>
    <row r="11179" spans="1:8" x14ac:dyDescent="0.2">
      <c r="A11179">
        <v>335841</v>
      </c>
      <c r="B11179">
        <v>69574</v>
      </c>
      <c r="C11179" t="str">
        <f t="shared" si="174"/>
        <v>2. $10K-50K</v>
      </c>
      <c r="D11179" t="s">
        <v>705</v>
      </c>
      <c r="E11179" t="s">
        <v>237</v>
      </c>
      <c r="F11179" t="s">
        <v>670</v>
      </c>
      <c r="G11179" t="s">
        <v>59</v>
      </c>
      <c r="H11179">
        <v>2025</v>
      </c>
    </row>
    <row r="11180" spans="1:8" x14ac:dyDescent="0.2">
      <c r="A11180">
        <v>335843</v>
      </c>
      <c r="B11180">
        <v>10944</v>
      </c>
      <c r="C11180" t="str">
        <f t="shared" si="174"/>
        <v>3. $50K-250K</v>
      </c>
      <c r="D11180" t="s">
        <v>707</v>
      </c>
      <c r="E11180" t="s">
        <v>237</v>
      </c>
      <c r="F11180" t="s">
        <v>670</v>
      </c>
      <c r="G11180" t="s">
        <v>59</v>
      </c>
      <c r="H11180">
        <v>2025</v>
      </c>
    </row>
    <row r="11181" spans="1:8" x14ac:dyDescent="0.2">
      <c r="A11181">
        <v>335844</v>
      </c>
      <c r="B11181">
        <v>40838</v>
      </c>
      <c r="C11181" t="str">
        <f t="shared" si="174"/>
        <v>2. $10K-50K</v>
      </c>
      <c r="D11181" t="s">
        <v>692</v>
      </c>
      <c r="E11181" t="s">
        <v>237</v>
      </c>
      <c r="F11181" t="s">
        <v>670</v>
      </c>
      <c r="G11181" t="s">
        <v>59</v>
      </c>
      <c r="H11181">
        <v>2025</v>
      </c>
    </row>
    <row r="11182" spans="1:8" x14ac:dyDescent="0.2">
      <c r="A11182">
        <v>335845</v>
      </c>
      <c r="B11182">
        <v>20419</v>
      </c>
      <c r="C11182" t="str">
        <f t="shared" si="174"/>
        <v>2. $10K-50K</v>
      </c>
      <c r="D11182" t="s">
        <v>709</v>
      </c>
      <c r="E11182" t="s">
        <v>237</v>
      </c>
      <c r="F11182" t="s">
        <v>670</v>
      </c>
      <c r="G11182" t="s">
        <v>59</v>
      </c>
      <c r="H11182">
        <v>2025</v>
      </c>
    </row>
    <row r="11183" spans="1:8" x14ac:dyDescent="0.2">
      <c r="A11183">
        <v>335847</v>
      </c>
      <c r="B11183">
        <v>45943</v>
      </c>
      <c r="C11183" t="str">
        <f t="shared" si="174"/>
        <v>2. $10K-50K</v>
      </c>
      <c r="D11183" t="s">
        <v>705</v>
      </c>
      <c r="E11183" t="s">
        <v>237</v>
      </c>
      <c r="F11183" t="s">
        <v>670</v>
      </c>
      <c r="G11183" t="s">
        <v>59</v>
      </c>
      <c r="H11183">
        <v>2025</v>
      </c>
    </row>
    <row r="11184" spans="1:8" x14ac:dyDescent="0.2">
      <c r="A11184">
        <v>335848</v>
      </c>
      <c r="B11184">
        <v>13133</v>
      </c>
      <c r="C11184" t="str">
        <f t="shared" si="174"/>
        <v>2. $10K-50K</v>
      </c>
      <c r="D11184" t="s">
        <v>761</v>
      </c>
      <c r="E11184" t="s">
        <v>237</v>
      </c>
      <c r="F11184" t="s">
        <v>670</v>
      </c>
      <c r="G11184" t="s">
        <v>59</v>
      </c>
      <c r="H11184">
        <v>2025</v>
      </c>
    </row>
    <row r="11185" spans="1:8" x14ac:dyDescent="0.2">
      <c r="A11185">
        <v>33717</v>
      </c>
      <c r="B11185">
        <v>21131207</v>
      </c>
      <c r="C11185" t="str">
        <f t="shared" si="174"/>
        <v>2. $10K-50K</v>
      </c>
      <c r="D11185" t="s">
        <v>541</v>
      </c>
      <c r="E11185" t="s">
        <v>42</v>
      </c>
      <c r="F11185" t="s">
        <v>43</v>
      </c>
      <c r="G11185" t="s">
        <v>44</v>
      </c>
      <c r="H11185">
        <v>2023</v>
      </c>
    </row>
    <row r="11186" spans="1:8" x14ac:dyDescent="0.2">
      <c r="A11186">
        <v>33718</v>
      </c>
      <c r="B11186">
        <v>2515937</v>
      </c>
      <c r="C11186" t="str">
        <f t="shared" si="174"/>
        <v>5. $1M+</v>
      </c>
      <c r="D11186" t="s">
        <v>542</v>
      </c>
      <c r="E11186" t="s">
        <v>42</v>
      </c>
      <c r="F11186" t="s">
        <v>43</v>
      </c>
      <c r="G11186" t="s">
        <v>44</v>
      </c>
      <c r="H11186">
        <v>2023</v>
      </c>
    </row>
    <row r="11187" spans="1:8" x14ac:dyDescent="0.2">
      <c r="A11187">
        <v>33719</v>
      </c>
      <c r="B11187">
        <v>3166898.9</v>
      </c>
      <c r="C11187" t="str">
        <f t="shared" si="174"/>
        <v>5. $1M+</v>
      </c>
      <c r="D11187" t="s">
        <v>543</v>
      </c>
      <c r="E11187" t="s">
        <v>18</v>
      </c>
      <c r="F11187" t="s">
        <v>43</v>
      </c>
      <c r="G11187" t="s">
        <v>44</v>
      </c>
      <c r="H11187">
        <v>2024</v>
      </c>
    </row>
    <row r="11188" spans="1:8" x14ac:dyDescent="0.2">
      <c r="A11188">
        <v>33790</v>
      </c>
      <c r="B11188">
        <v>299890</v>
      </c>
      <c r="C11188" t="str">
        <f t="shared" si="174"/>
        <v>5. $1M+</v>
      </c>
      <c r="D11188" t="s">
        <v>544</v>
      </c>
      <c r="E11188" t="s">
        <v>54</v>
      </c>
      <c r="F11188" t="s">
        <v>12</v>
      </c>
      <c r="G11188" t="s">
        <v>101</v>
      </c>
      <c r="H11188">
        <v>2024</v>
      </c>
    </row>
    <row r="11189" spans="1:8" x14ac:dyDescent="0.2">
      <c r="A11189">
        <v>33814</v>
      </c>
      <c r="B11189">
        <v>3500000</v>
      </c>
      <c r="C11189" t="str">
        <f t="shared" si="174"/>
        <v>4. $250K-1M</v>
      </c>
      <c r="D11189" t="s">
        <v>545</v>
      </c>
      <c r="E11189" t="s">
        <v>69</v>
      </c>
      <c r="F11189" t="s">
        <v>19</v>
      </c>
      <c r="G11189" t="s">
        <v>10</v>
      </c>
      <c r="H11189">
        <v>2023</v>
      </c>
    </row>
    <row r="11190" spans="1:8" x14ac:dyDescent="0.2">
      <c r="A11190">
        <v>33939</v>
      </c>
      <c r="B11190">
        <v>25628555</v>
      </c>
      <c r="C11190" t="str">
        <f t="shared" si="174"/>
        <v>5. $1M+</v>
      </c>
      <c r="D11190" t="s">
        <v>546</v>
      </c>
      <c r="E11190" t="s">
        <v>37</v>
      </c>
      <c r="F11190" t="s">
        <v>43</v>
      </c>
      <c r="G11190" t="s">
        <v>44</v>
      </c>
      <c r="H11190">
        <v>2023</v>
      </c>
    </row>
    <row r="11191" spans="1:8" x14ac:dyDescent="0.2">
      <c r="A11191">
        <v>33959</v>
      </c>
      <c r="B11191">
        <v>37815076.899999999</v>
      </c>
      <c r="C11191" t="str">
        <f t="shared" si="174"/>
        <v>5. $1M+</v>
      </c>
      <c r="D11191" t="s">
        <v>547</v>
      </c>
      <c r="E11191" t="s">
        <v>18</v>
      </c>
      <c r="F11191" t="s">
        <v>43</v>
      </c>
      <c r="G11191" t="s">
        <v>44</v>
      </c>
      <c r="H11191">
        <v>2024</v>
      </c>
    </row>
    <row r="11192" spans="1:8" x14ac:dyDescent="0.2">
      <c r="A11192">
        <v>34012</v>
      </c>
      <c r="B11192">
        <v>100000</v>
      </c>
      <c r="C11192" t="str">
        <f t="shared" si="174"/>
        <v>5. $1M+</v>
      </c>
      <c r="D11192" t="s">
        <v>548</v>
      </c>
      <c r="E11192" t="s">
        <v>237</v>
      </c>
      <c r="F11192" t="s">
        <v>43</v>
      </c>
      <c r="G11192" t="s">
        <v>44</v>
      </c>
      <c r="H11192">
        <v>2023</v>
      </c>
    </row>
    <row r="11193" spans="1:8" x14ac:dyDescent="0.2">
      <c r="A11193">
        <v>34346</v>
      </c>
      <c r="B11193">
        <v>600000</v>
      </c>
      <c r="C11193" t="str">
        <f t="shared" si="174"/>
        <v>3. $50K-250K</v>
      </c>
      <c r="D11193" t="s">
        <v>549</v>
      </c>
      <c r="E11193" t="s">
        <v>8</v>
      </c>
      <c r="F11193" t="s">
        <v>12</v>
      </c>
      <c r="G11193" t="s">
        <v>10</v>
      </c>
      <c r="H11193">
        <v>2025</v>
      </c>
    </row>
    <row r="11194" spans="1:8" x14ac:dyDescent="0.2">
      <c r="A11194">
        <v>34466</v>
      </c>
      <c r="B11194">
        <v>200000</v>
      </c>
      <c r="C11194" t="str">
        <f t="shared" si="174"/>
        <v>4. $250K-1M</v>
      </c>
      <c r="D11194" t="s">
        <v>210</v>
      </c>
      <c r="E11194" t="s">
        <v>8</v>
      </c>
      <c r="F11194" t="s">
        <v>22</v>
      </c>
      <c r="G11194" t="s">
        <v>79</v>
      </c>
      <c r="H11194">
        <v>2023</v>
      </c>
    </row>
    <row r="11195" spans="1:8" x14ac:dyDescent="0.2">
      <c r="A11195">
        <v>34921</v>
      </c>
      <c r="B11195">
        <v>36986494</v>
      </c>
      <c r="C11195" t="str">
        <f t="shared" si="174"/>
        <v>3. $50K-250K</v>
      </c>
      <c r="D11195" t="s">
        <v>550</v>
      </c>
      <c r="E11195" t="s">
        <v>49</v>
      </c>
      <c r="F11195" t="s">
        <v>43</v>
      </c>
      <c r="G11195" t="s">
        <v>44</v>
      </c>
      <c r="H11195">
        <v>2024</v>
      </c>
    </row>
    <row r="11196" spans="1:8" x14ac:dyDescent="0.2">
      <c r="A11196">
        <v>34964</v>
      </c>
      <c r="B11196">
        <v>403000</v>
      </c>
      <c r="C11196" t="str">
        <f t="shared" si="174"/>
        <v>5. $1M+</v>
      </c>
      <c r="D11196" t="s">
        <v>551</v>
      </c>
      <c r="E11196" t="s">
        <v>18</v>
      </c>
      <c r="F11196" t="s">
        <v>12</v>
      </c>
      <c r="G11196" t="s">
        <v>10</v>
      </c>
      <c r="H11196">
        <v>2023</v>
      </c>
    </row>
    <row r="11197" spans="1:8" x14ac:dyDescent="0.2">
      <c r="A11197">
        <v>35593</v>
      </c>
      <c r="B11197">
        <v>281850</v>
      </c>
      <c r="C11197" t="str">
        <f t="shared" si="174"/>
        <v>4. $250K-1M</v>
      </c>
      <c r="D11197" t="s">
        <v>1427</v>
      </c>
      <c r="E11197" t="s">
        <v>59</v>
      </c>
      <c r="F11197" t="s">
        <v>664</v>
      </c>
      <c r="G11197" t="s">
        <v>59</v>
      </c>
      <c r="H11197">
        <v>2023</v>
      </c>
    </row>
    <row r="11198" spans="1:8" x14ac:dyDescent="0.2">
      <c r="A11198">
        <v>36370</v>
      </c>
      <c r="B11198">
        <v>30500</v>
      </c>
      <c r="C11198" t="str">
        <f t="shared" si="174"/>
        <v>4. $250K-1M</v>
      </c>
      <c r="D11198" t="s">
        <v>204</v>
      </c>
      <c r="E11198" t="s">
        <v>8</v>
      </c>
      <c r="F11198" t="s">
        <v>14</v>
      </c>
      <c r="G11198" t="s">
        <v>44</v>
      </c>
      <c r="H11198">
        <v>2023</v>
      </c>
    </row>
    <row r="11199" spans="1:8" x14ac:dyDescent="0.2">
      <c r="A11199">
        <v>36561</v>
      </c>
      <c r="B11199">
        <v>2676396.9</v>
      </c>
      <c r="C11199" t="str">
        <f t="shared" si="174"/>
        <v>2. $10K-50K</v>
      </c>
      <c r="D11199" t="s">
        <v>522</v>
      </c>
      <c r="E11199" t="s">
        <v>37</v>
      </c>
      <c r="F11199" t="s">
        <v>43</v>
      </c>
      <c r="G11199" t="s">
        <v>44</v>
      </c>
      <c r="H11199">
        <v>2024</v>
      </c>
    </row>
    <row r="11200" spans="1:8" x14ac:dyDescent="0.2">
      <c r="A11200">
        <v>37504</v>
      </c>
      <c r="B11200">
        <v>100000</v>
      </c>
      <c r="C11200" t="str">
        <f t="shared" si="174"/>
        <v>5. $1M+</v>
      </c>
      <c r="D11200" t="s">
        <v>552</v>
      </c>
      <c r="E11200" t="s">
        <v>54</v>
      </c>
      <c r="F11200" t="s">
        <v>43</v>
      </c>
      <c r="G11200" t="s">
        <v>44</v>
      </c>
      <c r="H11200">
        <v>2024</v>
      </c>
    </row>
    <row r="11201" spans="1:8" x14ac:dyDescent="0.2">
      <c r="A11201">
        <v>37728</v>
      </c>
      <c r="B11201">
        <v>1350855</v>
      </c>
      <c r="C11201" t="str">
        <f t="shared" si="174"/>
        <v>3. $50K-250K</v>
      </c>
      <c r="D11201" t="s">
        <v>553</v>
      </c>
      <c r="E11201" t="s">
        <v>99</v>
      </c>
      <c r="F11201" t="s">
        <v>43</v>
      </c>
      <c r="G11201" t="s">
        <v>61</v>
      </c>
      <c r="H11201">
        <v>2025</v>
      </c>
    </row>
    <row r="11202" spans="1:8" x14ac:dyDescent="0.2">
      <c r="A11202">
        <v>37742</v>
      </c>
      <c r="B11202">
        <v>2500000</v>
      </c>
      <c r="C11202" t="str">
        <f t="shared" si="174"/>
        <v>5. $1M+</v>
      </c>
      <c r="D11202" t="s">
        <v>554</v>
      </c>
      <c r="E11202" t="s">
        <v>99</v>
      </c>
      <c r="F11202" t="s">
        <v>43</v>
      </c>
      <c r="G11202" t="s">
        <v>61</v>
      </c>
      <c r="H11202">
        <v>2025</v>
      </c>
    </row>
    <row r="11203" spans="1:8" x14ac:dyDescent="0.2">
      <c r="A11203">
        <v>37748</v>
      </c>
      <c r="B11203">
        <v>2595000</v>
      </c>
      <c r="C11203" t="str">
        <f t="shared" ref="C11203:C11266" si="175">IF(B11202&lt;10000,"1. Under $10K",IF(B11202&lt;50000,"2. $10K-50K",IF(B11202&lt;250000,"3. $50K-250K",IF(B11202&lt;1000000,"4. $250K-1M","5. $1M+"))))</f>
        <v>5. $1M+</v>
      </c>
      <c r="D11203" t="s">
        <v>555</v>
      </c>
      <c r="E11203" t="s">
        <v>99</v>
      </c>
      <c r="F11203" t="s">
        <v>43</v>
      </c>
      <c r="G11203" t="s">
        <v>61</v>
      </c>
      <c r="H11203">
        <v>2025</v>
      </c>
    </row>
    <row r="11204" spans="1:8" x14ac:dyDescent="0.2">
      <c r="A11204">
        <v>37749</v>
      </c>
      <c r="B11204">
        <v>2913391</v>
      </c>
      <c r="C11204" t="str">
        <f t="shared" si="175"/>
        <v>5. $1M+</v>
      </c>
      <c r="D11204" t="s">
        <v>556</v>
      </c>
      <c r="E11204" t="s">
        <v>99</v>
      </c>
      <c r="F11204" t="s">
        <v>43</v>
      </c>
      <c r="G11204" t="s">
        <v>61</v>
      </c>
      <c r="H11204">
        <v>2025</v>
      </c>
    </row>
    <row r="11205" spans="1:8" x14ac:dyDescent="0.2">
      <c r="A11205">
        <v>37887</v>
      </c>
      <c r="B11205">
        <v>5045790</v>
      </c>
      <c r="C11205" t="str">
        <f t="shared" si="175"/>
        <v>5. $1M+</v>
      </c>
      <c r="D11205" t="s">
        <v>153</v>
      </c>
      <c r="E11205" t="s">
        <v>24</v>
      </c>
      <c r="F11205" t="s">
        <v>14</v>
      </c>
      <c r="G11205" t="s">
        <v>61</v>
      </c>
      <c r="H11205">
        <v>2024</v>
      </c>
    </row>
    <row r="11206" spans="1:8" x14ac:dyDescent="0.2">
      <c r="A11206">
        <v>38318</v>
      </c>
      <c r="B11206">
        <v>355000</v>
      </c>
      <c r="C11206" t="str">
        <f t="shared" si="175"/>
        <v>5. $1M+</v>
      </c>
      <c r="D11206" t="s">
        <v>394</v>
      </c>
      <c r="E11206" t="s">
        <v>28</v>
      </c>
      <c r="F11206" t="s">
        <v>31</v>
      </c>
      <c r="G11206" t="s">
        <v>10</v>
      </c>
      <c r="H11206">
        <v>2023</v>
      </c>
    </row>
    <row r="11207" spans="1:8" x14ac:dyDescent="0.2">
      <c r="A11207">
        <v>38326</v>
      </c>
      <c r="B11207">
        <v>5665618</v>
      </c>
      <c r="C11207" t="str">
        <f t="shared" si="175"/>
        <v>4. $250K-1M</v>
      </c>
      <c r="D11207" t="s">
        <v>557</v>
      </c>
      <c r="E11207" t="s">
        <v>99</v>
      </c>
      <c r="F11207" t="s">
        <v>43</v>
      </c>
      <c r="G11207" t="s">
        <v>61</v>
      </c>
      <c r="H11207">
        <v>2024</v>
      </c>
    </row>
    <row r="11208" spans="1:8" x14ac:dyDescent="0.2">
      <c r="A11208">
        <v>38921</v>
      </c>
      <c r="B11208">
        <v>2000000</v>
      </c>
      <c r="C11208" t="str">
        <f t="shared" si="175"/>
        <v>5. $1M+</v>
      </c>
      <c r="D11208" t="s">
        <v>375</v>
      </c>
      <c r="E11208" t="s">
        <v>24</v>
      </c>
      <c r="F11208" t="s">
        <v>22</v>
      </c>
      <c r="G11208" t="s">
        <v>10</v>
      </c>
      <c r="H11208">
        <v>2023</v>
      </c>
    </row>
    <row r="11209" spans="1:8" x14ac:dyDescent="0.2">
      <c r="A11209">
        <v>38959</v>
      </c>
      <c r="B11209">
        <v>8500000</v>
      </c>
      <c r="C11209" t="str">
        <f t="shared" si="175"/>
        <v>5. $1M+</v>
      </c>
      <c r="D11209" t="s">
        <v>197</v>
      </c>
      <c r="E11209" t="s">
        <v>8</v>
      </c>
      <c r="F11209" t="s">
        <v>14</v>
      </c>
      <c r="G11209" t="s">
        <v>61</v>
      </c>
      <c r="H11209">
        <v>2023</v>
      </c>
    </row>
    <row r="11210" spans="1:8" x14ac:dyDescent="0.2">
      <c r="A11210">
        <v>40336</v>
      </c>
      <c r="B11210">
        <v>1239999.1000000001</v>
      </c>
      <c r="C11210" t="str">
        <f t="shared" si="175"/>
        <v>5. $1M+</v>
      </c>
      <c r="D11210" t="s">
        <v>130</v>
      </c>
      <c r="E11210" t="s">
        <v>37</v>
      </c>
      <c r="F11210" t="s">
        <v>22</v>
      </c>
      <c r="G11210" t="s">
        <v>10</v>
      </c>
      <c r="H11210">
        <v>2023</v>
      </c>
    </row>
    <row r="11211" spans="1:8" x14ac:dyDescent="0.2">
      <c r="A11211">
        <v>41299</v>
      </c>
      <c r="B11211">
        <v>600000</v>
      </c>
      <c r="C11211" t="str">
        <f t="shared" si="175"/>
        <v>5. $1M+</v>
      </c>
      <c r="D11211" t="s">
        <v>558</v>
      </c>
      <c r="E11211" t="s">
        <v>24</v>
      </c>
      <c r="F11211" t="s">
        <v>22</v>
      </c>
      <c r="G11211" t="s">
        <v>10</v>
      </c>
      <c r="H11211">
        <v>2025</v>
      </c>
    </row>
    <row r="11212" spans="1:8" x14ac:dyDescent="0.2">
      <c r="A11212">
        <v>41635</v>
      </c>
      <c r="B11212">
        <v>2699713.1</v>
      </c>
      <c r="C11212" t="str">
        <f t="shared" si="175"/>
        <v>4. $250K-1M</v>
      </c>
      <c r="D11212" t="s">
        <v>83</v>
      </c>
      <c r="E11212" t="s">
        <v>18</v>
      </c>
      <c r="F11212" t="s">
        <v>22</v>
      </c>
      <c r="G11212" t="s">
        <v>10</v>
      </c>
      <c r="H11212">
        <v>2023</v>
      </c>
    </row>
    <row r="11213" spans="1:8" x14ac:dyDescent="0.2">
      <c r="A11213">
        <v>41708</v>
      </c>
      <c r="B11213">
        <v>1920424.5</v>
      </c>
      <c r="C11213" t="str">
        <f t="shared" si="175"/>
        <v>5. $1M+</v>
      </c>
      <c r="D11213" t="s">
        <v>455</v>
      </c>
      <c r="E11213" t="s">
        <v>18</v>
      </c>
      <c r="F11213" t="s">
        <v>22</v>
      </c>
      <c r="G11213" t="s">
        <v>10</v>
      </c>
      <c r="H11213">
        <v>2024</v>
      </c>
    </row>
    <row r="11214" spans="1:8" x14ac:dyDescent="0.2">
      <c r="A11214">
        <v>41709</v>
      </c>
      <c r="B11214">
        <v>120000</v>
      </c>
      <c r="C11214" t="str">
        <f t="shared" si="175"/>
        <v>5. $1M+</v>
      </c>
      <c r="D11214" t="s">
        <v>559</v>
      </c>
      <c r="E11214" t="s">
        <v>18</v>
      </c>
      <c r="F11214" t="s">
        <v>22</v>
      </c>
      <c r="G11214" t="s">
        <v>10</v>
      </c>
      <c r="H11214">
        <v>2024</v>
      </c>
    </row>
    <row r="11215" spans="1:8" x14ac:dyDescent="0.2">
      <c r="A11215">
        <v>41787</v>
      </c>
      <c r="B11215">
        <v>138000</v>
      </c>
      <c r="C11215" t="str">
        <f t="shared" si="175"/>
        <v>3. $50K-250K</v>
      </c>
      <c r="D11215" t="s">
        <v>560</v>
      </c>
      <c r="E11215" t="s">
        <v>18</v>
      </c>
      <c r="F11215" t="s">
        <v>22</v>
      </c>
      <c r="G11215" t="s">
        <v>10</v>
      </c>
      <c r="H11215">
        <v>2024</v>
      </c>
    </row>
    <row r="11216" spans="1:8" x14ac:dyDescent="0.2">
      <c r="A11216">
        <v>41932</v>
      </c>
      <c r="B11216">
        <v>1005297.4</v>
      </c>
      <c r="C11216" t="str">
        <f t="shared" si="175"/>
        <v>3. $50K-250K</v>
      </c>
      <c r="D11216" t="s">
        <v>561</v>
      </c>
      <c r="E11216" t="s">
        <v>18</v>
      </c>
      <c r="F11216" t="s">
        <v>22</v>
      </c>
      <c r="G11216" t="s">
        <v>10</v>
      </c>
      <c r="H11216">
        <v>2024</v>
      </c>
    </row>
    <row r="11217" spans="1:8" x14ac:dyDescent="0.2">
      <c r="A11217">
        <v>42708</v>
      </c>
      <c r="B11217">
        <v>2502488</v>
      </c>
      <c r="C11217" t="str">
        <f t="shared" si="175"/>
        <v>5. $1M+</v>
      </c>
      <c r="D11217" t="s">
        <v>562</v>
      </c>
      <c r="E11217" t="s">
        <v>28</v>
      </c>
      <c r="F11217" t="s">
        <v>29</v>
      </c>
      <c r="G11217" t="s">
        <v>44</v>
      </c>
      <c r="H11217">
        <v>2023</v>
      </c>
    </row>
    <row r="11218" spans="1:8" x14ac:dyDescent="0.2">
      <c r="A11218">
        <v>43126</v>
      </c>
      <c r="B11218">
        <v>421000</v>
      </c>
      <c r="C11218" t="str">
        <f t="shared" si="175"/>
        <v>5. $1M+</v>
      </c>
      <c r="D11218" t="s">
        <v>68</v>
      </c>
      <c r="E11218" t="s">
        <v>37</v>
      </c>
      <c r="F11218" t="s">
        <v>43</v>
      </c>
      <c r="G11218" t="s">
        <v>61</v>
      </c>
      <c r="H11218">
        <v>2025</v>
      </c>
    </row>
    <row r="11219" spans="1:8" x14ac:dyDescent="0.2">
      <c r="A11219">
        <v>44375</v>
      </c>
      <c r="B11219">
        <v>2498325.5</v>
      </c>
      <c r="C11219" t="str">
        <f t="shared" si="175"/>
        <v>4. $250K-1M</v>
      </c>
      <c r="D11219" t="s">
        <v>50</v>
      </c>
      <c r="E11219" t="s">
        <v>8</v>
      </c>
      <c r="F11219" t="s">
        <v>14</v>
      </c>
      <c r="G11219" t="s">
        <v>44</v>
      </c>
      <c r="H11219">
        <v>2025</v>
      </c>
    </row>
    <row r="11220" spans="1:8" x14ac:dyDescent="0.2">
      <c r="A11220">
        <v>45947</v>
      </c>
      <c r="B11220">
        <v>225000</v>
      </c>
      <c r="C11220" t="str">
        <f t="shared" si="175"/>
        <v>5. $1M+</v>
      </c>
      <c r="D11220" t="s">
        <v>563</v>
      </c>
      <c r="E11220" t="s">
        <v>18</v>
      </c>
      <c r="F11220" t="s">
        <v>12</v>
      </c>
      <c r="G11220" t="s">
        <v>10</v>
      </c>
      <c r="H11220">
        <v>2024</v>
      </c>
    </row>
    <row r="11221" spans="1:8" x14ac:dyDescent="0.2">
      <c r="A11221">
        <v>46217</v>
      </c>
      <c r="B11221">
        <v>5000000</v>
      </c>
      <c r="C11221" t="str">
        <f t="shared" si="175"/>
        <v>3. $50K-250K</v>
      </c>
      <c r="D11221" t="s">
        <v>564</v>
      </c>
      <c r="E11221" t="s">
        <v>8</v>
      </c>
      <c r="F11221" t="s">
        <v>14</v>
      </c>
      <c r="G11221" t="s">
        <v>61</v>
      </c>
      <c r="H11221">
        <v>2024</v>
      </c>
    </row>
    <row r="11222" spans="1:8" x14ac:dyDescent="0.2">
      <c r="A11222">
        <v>46431</v>
      </c>
      <c r="B11222">
        <v>406440.6</v>
      </c>
      <c r="C11222" t="str">
        <f t="shared" si="175"/>
        <v>5. $1M+</v>
      </c>
      <c r="D11222" t="s">
        <v>375</v>
      </c>
      <c r="E11222" t="s">
        <v>24</v>
      </c>
      <c r="F11222" t="s">
        <v>22</v>
      </c>
      <c r="G11222" t="s">
        <v>10</v>
      </c>
      <c r="H11222">
        <v>2023</v>
      </c>
    </row>
    <row r="11223" spans="1:8" x14ac:dyDescent="0.2">
      <c r="A11223">
        <v>46733</v>
      </c>
      <c r="B11223">
        <v>20758809.600000001</v>
      </c>
      <c r="C11223" t="str">
        <f t="shared" si="175"/>
        <v>4. $250K-1M</v>
      </c>
      <c r="D11223" t="s">
        <v>275</v>
      </c>
      <c r="E11223" t="s">
        <v>28</v>
      </c>
      <c r="F11223" t="s">
        <v>29</v>
      </c>
      <c r="G11223" t="s">
        <v>103</v>
      </c>
      <c r="H11223">
        <v>2023</v>
      </c>
    </row>
    <row r="11224" spans="1:8" x14ac:dyDescent="0.2">
      <c r="A11224">
        <v>46810</v>
      </c>
      <c r="B11224">
        <v>4307241.5</v>
      </c>
      <c r="C11224" t="str">
        <f t="shared" si="175"/>
        <v>5. $1M+</v>
      </c>
      <c r="D11224" t="s">
        <v>565</v>
      </c>
      <c r="E11224" t="s">
        <v>18</v>
      </c>
      <c r="F11224" t="s">
        <v>22</v>
      </c>
      <c r="G11224" t="s">
        <v>10</v>
      </c>
      <c r="H11224">
        <v>2024</v>
      </c>
    </row>
    <row r="11225" spans="1:8" x14ac:dyDescent="0.2">
      <c r="A11225">
        <v>46920</v>
      </c>
      <c r="B11225">
        <v>1591154.8</v>
      </c>
      <c r="C11225" t="str">
        <f t="shared" si="175"/>
        <v>5. $1M+</v>
      </c>
      <c r="D11225" t="s">
        <v>275</v>
      </c>
      <c r="E11225" t="s">
        <v>28</v>
      </c>
      <c r="F11225" t="s">
        <v>29</v>
      </c>
      <c r="G11225" t="s">
        <v>44</v>
      </c>
      <c r="H11225">
        <v>2023</v>
      </c>
    </row>
    <row r="11226" spans="1:8" x14ac:dyDescent="0.2">
      <c r="A11226">
        <v>47438</v>
      </c>
      <c r="B11226">
        <v>397000</v>
      </c>
      <c r="C11226" t="str">
        <f t="shared" si="175"/>
        <v>5. $1M+</v>
      </c>
      <c r="D11226" t="s">
        <v>566</v>
      </c>
      <c r="E11226" t="s">
        <v>52</v>
      </c>
      <c r="F11226" t="s">
        <v>43</v>
      </c>
      <c r="G11226" t="s">
        <v>44</v>
      </c>
      <c r="H11226">
        <v>2024</v>
      </c>
    </row>
    <row r="11227" spans="1:8" x14ac:dyDescent="0.2">
      <c r="A11227">
        <v>47573</v>
      </c>
      <c r="B11227">
        <v>86472</v>
      </c>
      <c r="C11227" t="str">
        <f t="shared" si="175"/>
        <v>4. $250K-1M</v>
      </c>
      <c r="D11227" t="s">
        <v>50</v>
      </c>
      <c r="E11227" t="s">
        <v>8</v>
      </c>
      <c r="F11227" t="s">
        <v>14</v>
      </c>
      <c r="G11227" t="s">
        <v>15</v>
      </c>
      <c r="H11227">
        <v>2023</v>
      </c>
    </row>
    <row r="11228" spans="1:8" x14ac:dyDescent="0.2">
      <c r="A11228">
        <v>47594</v>
      </c>
      <c r="B11228">
        <v>658942.30000000005</v>
      </c>
      <c r="C11228" t="str">
        <f t="shared" si="175"/>
        <v>3. $50K-250K</v>
      </c>
      <c r="D11228" t="s">
        <v>394</v>
      </c>
      <c r="E11228" t="s">
        <v>28</v>
      </c>
      <c r="F11228" t="s">
        <v>31</v>
      </c>
      <c r="G11228" t="s">
        <v>10</v>
      </c>
      <c r="H11228">
        <v>2023</v>
      </c>
    </row>
    <row r="11229" spans="1:8" x14ac:dyDescent="0.2">
      <c r="A11229">
        <v>48198</v>
      </c>
      <c r="B11229">
        <v>1072940.7</v>
      </c>
      <c r="C11229" t="str">
        <f t="shared" si="175"/>
        <v>4. $250K-1M</v>
      </c>
      <c r="D11229" t="s">
        <v>95</v>
      </c>
      <c r="E11229" t="s">
        <v>65</v>
      </c>
      <c r="F11229" t="s">
        <v>22</v>
      </c>
      <c r="G11229" t="s">
        <v>10</v>
      </c>
      <c r="H11229">
        <v>2023</v>
      </c>
    </row>
    <row r="11230" spans="1:8" x14ac:dyDescent="0.2">
      <c r="A11230">
        <v>48351</v>
      </c>
      <c r="B11230">
        <v>260668</v>
      </c>
      <c r="C11230" t="str">
        <f t="shared" si="175"/>
        <v>5. $1M+</v>
      </c>
      <c r="D11230" t="s">
        <v>567</v>
      </c>
      <c r="E11230" t="s">
        <v>69</v>
      </c>
      <c r="F11230" t="s">
        <v>12</v>
      </c>
      <c r="G11230" t="s">
        <v>79</v>
      </c>
      <c r="H11230">
        <v>2023</v>
      </c>
    </row>
    <row r="11231" spans="1:8" x14ac:dyDescent="0.2">
      <c r="A11231">
        <v>49308</v>
      </c>
      <c r="B11231">
        <v>300000</v>
      </c>
      <c r="C11231" t="str">
        <f t="shared" si="175"/>
        <v>4. $250K-1M</v>
      </c>
      <c r="D11231" t="s">
        <v>568</v>
      </c>
      <c r="E11231" t="s">
        <v>411</v>
      </c>
      <c r="F11231" t="s">
        <v>43</v>
      </c>
      <c r="G11231" t="s">
        <v>44</v>
      </c>
      <c r="H11231">
        <v>2025</v>
      </c>
    </row>
    <row r="11232" spans="1:8" x14ac:dyDescent="0.2">
      <c r="A11232">
        <v>49444</v>
      </c>
      <c r="B11232">
        <v>1210308.7</v>
      </c>
      <c r="C11232" t="str">
        <f t="shared" si="175"/>
        <v>4. $250K-1M</v>
      </c>
      <c r="D11232" t="s">
        <v>569</v>
      </c>
      <c r="E11232" t="s">
        <v>69</v>
      </c>
      <c r="F11232" t="s">
        <v>43</v>
      </c>
      <c r="G11232" t="s">
        <v>61</v>
      </c>
      <c r="H11232">
        <v>2023</v>
      </c>
    </row>
    <row r="11233" spans="1:8" x14ac:dyDescent="0.2">
      <c r="A11233">
        <v>49445</v>
      </c>
      <c r="B11233">
        <v>1000000</v>
      </c>
      <c r="C11233" t="str">
        <f t="shared" si="175"/>
        <v>5. $1M+</v>
      </c>
      <c r="D11233" t="s">
        <v>570</v>
      </c>
      <c r="E11233" t="s">
        <v>69</v>
      </c>
      <c r="F11233" t="s">
        <v>43</v>
      </c>
      <c r="G11233" t="s">
        <v>61</v>
      </c>
      <c r="H11233">
        <v>2023</v>
      </c>
    </row>
    <row r="11234" spans="1:8" x14ac:dyDescent="0.2">
      <c r="A11234">
        <v>50366</v>
      </c>
      <c r="B11234">
        <v>7089237</v>
      </c>
      <c r="C11234" t="str">
        <f t="shared" si="175"/>
        <v>5. $1M+</v>
      </c>
      <c r="D11234" t="s">
        <v>571</v>
      </c>
      <c r="E11234" t="s">
        <v>99</v>
      </c>
      <c r="F11234" t="s">
        <v>43</v>
      </c>
      <c r="G11234" t="s">
        <v>61</v>
      </c>
      <c r="H11234">
        <v>2023</v>
      </c>
    </row>
    <row r="11235" spans="1:8" x14ac:dyDescent="0.2">
      <c r="A11235">
        <v>50459</v>
      </c>
      <c r="B11235">
        <v>1086099</v>
      </c>
      <c r="C11235" t="str">
        <f t="shared" si="175"/>
        <v>5. $1M+</v>
      </c>
      <c r="D11235" t="s">
        <v>572</v>
      </c>
      <c r="E11235" t="s">
        <v>28</v>
      </c>
      <c r="F11235" t="s">
        <v>31</v>
      </c>
      <c r="G11235" t="s">
        <v>59</v>
      </c>
      <c r="H11235">
        <v>2023</v>
      </c>
    </row>
    <row r="11236" spans="1:8" x14ac:dyDescent="0.2">
      <c r="A11236">
        <v>50514</v>
      </c>
      <c r="B11236">
        <v>521823.8</v>
      </c>
      <c r="C11236" t="str">
        <f t="shared" si="175"/>
        <v>5. $1M+</v>
      </c>
      <c r="D11236" t="s">
        <v>521</v>
      </c>
      <c r="E11236" t="s">
        <v>18</v>
      </c>
      <c r="F11236" t="s">
        <v>43</v>
      </c>
      <c r="G11236" t="s">
        <v>61</v>
      </c>
      <c r="H11236">
        <v>2025</v>
      </c>
    </row>
    <row r="11237" spans="1:8" x14ac:dyDescent="0.2">
      <c r="A11237">
        <v>51437</v>
      </c>
      <c r="B11237">
        <v>300000</v>
      </c>
      <c r="C11237" t="str">
        <f t="shared" si="175"/>
        <v>4. $250K-1M</v>
      </c>
      <c r="D11237" t="s">
        <v>573</v>
      </c>
      <c r="E11237" t="s">
        <v>99</v>
      </c>
      <c r="F11237" t="s">
        <v>43</v>
      </c>
      <c r="G11237" t="s">
        <v>61</v>
      </c>
      <c r="H11237">
        <v>2025</v>
      </c>
    </row>
    <row r="11238" spans="1:8" x14ac:dyDescent="0.2">
      <c r="A11238">
        <v>51521</v>
      </c>
      <c r="B11238">
        <v>500000</v>
      </c>
      <c r="C11238" t="str">
        <f t="shared" si="175"/>
        <v>4. $250K-1M</v>
      </c>
      <c r="D11238" t="s">
        <v>535</v>
      </c>
      <c r="E11238" t="s">
        <v>99</v>
      </c>
      <c r="F11238" t="s">
        <v>43</v>
      </c>
      <c r="G11238" t="s">
        <v>61</v>
      </c>
      <c r="H11238">
        <v>2025</v>
      </c>
    </row>
    <row r="11239" spans="1:8" x14ac:dyDescent="0.2">
      <c r="A11239">
        <v>51528</v>
      </c>
      <c r="B11239">
        <v>6958000</v>
      </c>
      <c r="C11239" t="str">
        <f t="shared" si="175"/>
        <v>4. $250K-1M</v>
      </c>
      <c r="D11239" t="s">
        <v>574</v>
      </c>
      <c r="E11239" t="s">
        <v>178</v>
      </c>
      <c r="F11239" t="s">
        <v>43</v>
      </c>
      <c r="G11239" t="s">
        <v>61</v>
      </c>
      <c r="H11239">
        <v>2024</v>
      </c>
    </row>
    <row r="11240" spans="1:8" x14ac:dyDescent="0.2">
      <c r="A11240">
        <v>51549</v>
      </c>
      <c r="B11240">
        <v>2635938</v>
      </c>
      <c r="C11240" t="str">
        <f t="shared" si="175"/>
        <v>5. $1M+</v>
      </c>
      <c r="D11240" t="s">
        <v>575</v>
      </c>
      <c r="E11240" t="s">
        <v>42</v>
      </c>
      <c r="F11240" t="s">
        <v>43</v>
      </c>
      <c r="G11240" t="s">
        <v>61</v>
      </c>
      <c r="H11240">
        <v>2024</v>
      </c>
    </row>
    <row r="11241" spans="1:8" x14ac:dyDescent="0.2">
      <c r="A11241">
        <v>51701</v>
      </c>
      <c r="B11241">
        <v>4338519</v>
      </c>
      <c r="C11241" t="str">
        <f t="shared" si="175"/>
        <v>5. $1M+</v>
      </c>
      <c r="D11241" t="s">
        <v>50</v>
      </c>
      <c r="E11241" t="s">
        <v>99</v>
      </c>
      <c r="F11241" t="s">
        <v>43</v>
      </c>
      <c r="G11241" t="s">
        <v>61</v>
      </c>
      <c r="H11241">
        <v>2024</v>
      </c>
    </row>
    <row r="11242" spans="1:8" x14ac:dyDescent="0.2">
      <c r="A11242">
        <v>51703</v>
      </c>
      <c r="B11242">
        <v>2500001</v>
      </c>
      <c r="C11242" t="str">
        <f t="shared" si="175"/>
        <v>5. $1M+</v>
      </c>
      <c r="D11242" t="s">
        <v>547</v>
      </c>
      <c r="E11242" t="s">
        <v>99</v>
      </c>
      <c r="F11242" t="s">
        <v>43</v>
      </c>
      <c r="G11242" t="s">
        <v>61</v>
      </c>
      <c r="H11242">
        <v>2025</v>
      </c>
    </row>
    <row r="11243" spans="1:8" x14ac:dyDescent="0.2">
      <c r="A11243">
        <v>51904</v>
      </c>
      <c r="B11243">
        <v>31746602.399999999</v>
      </c>
      <c r="C11243" t="str">
        <f t="shared" si="175"/>
        <v>5. $1M+</v>
      </c>
      <c r="D11243" t="s">
        <v>255</v>
      </c>
      <c r="E11243" t="s">
        <v>67</v>
      </c>
      <c r="F11243" t="s">
        <v>43</v>
      </c>
      <c r="G11243" t="s">
        <v>103</v>
      </c>
      <c r="H11243">
        <v>2023</v>
      </c>
    </row>
    <row r="11244" spans="1:8" x14ac:dyDescent="0.2">
      <c r="A11244">
        <v>52685</v>
      </c>
      <c r="B11244">
        <v>100000000</v>
      </c>
      <c r="C11244" t="str">
        <f t="shared" si="175"/>
        <v>5. $1M+</v>
      </c>
      <c r="D11244" t="s">
        <v>576</v>
      </c>
      <c r="E11244" t="s">
        <v>8</v>
      </c>
      <c r="F11244" t="s">
        <v>14</v>
      </c>
      <c r="G11244" t="s">
        <v>44</v>
      </c>
      <c r="H11244">
        <v>2024</v>
      </c>
    </row>
    <row r="11245" spans="1:8" x14ac:dyDescent="0.2">
      <c r="A11245">
        <v>52756</v>
      </c>
      <c r="B11245">
        <v>745521</v>
      </c>
      <c r="C11245" t="str">
        <f t="shared" si="175"/>
        <v>5. $1M+</v>
      </c>
      <c r="D11245" t="s">
        <v>577</v>
      </c>
      <c r="E11245" t="s">
        <v>99</v>
      </c>
      <c r="F11245" t="s">
        <v>43</v>
      </c>
      <c r="G11245" t="s">
        <v>61</v>
      </c>
      <c r="H11245">
        <v>2025</v>
      </c>
    </row>
    <row r="11246" spans="1:8" x14ac:dyDescent="0.2">
      <c r="A11246">
        <v>52776</v>
      </c>
      <c r="B11246">
        <v>4302559</v>
      </c>
      <c r="C11246" t="str">
        <f t="shared" si="175"/>
        <v>4. $250K-1M</v>
      </c>
      <c r="D11246" t="s">
        <v>554</v>
      </c>
      <c r="E11246" t="s">
        <v>99</v>
      </c>
      <c r="F11246" t="s">
        <v>43</v>
      </c>
      <c r="G11246" t="s">
        <v>61</v>
      </c>
      <c r="H11246">
        <v>2024</v>
      </c>
    </row>
    <row r="11247" spans="1:8" x14ac:dyDescent="0.2">
      <c r="A11247">
        <v>52802</v>
      </c>
      <c r="B11247">
        <v>106620</v>
      </c>
      <c r="C11247" t="str">
        <f t="shared" si="175"/>
        <v>5. $1M+</v>
      </c>
      <c r="D11247" t="s">
        <v>578</v>
      </c>
      <c r="E11247" t="s">
        <v>99</v>
      </c>
      <c r="F11247" t="s">
        <v>43</v>
      </c>
      <c r="G11247" t="s">
        <v>61</v>
      </c>
      <c r="H11247">
        <v>2025</v>
      </c>
    </row>
    <row r="11248" spans="1:8" x14ac:dyDescent="0.2">
      <c r="A11248">
        <v>52811</v>
      </c>
      <c r="B11248">
        <v>615487</v>
      </c>
      <c r="C11248" t="str">
        <f t="shared" si="175"/>
        <v>3. $50K-250K</v>
      </c>
      <c r="D11248" t="s">
        <v>579</v>
      </c>
      <c r="E11248" t="s">
        <v>99</v>
      </c>
      <c r="F11248" t="s">
        <v>43</v>
      </c>
      <c r="G11248" t="s">
        <v>61</v>
      </c>
      <c r="H11248">
        <v>2025</v>
      </c>
    </row>
    <row r="11249" spans="1:8" x14ac:dyDescent="0.2">
      <c r="A11249">
        <v>52814</v>
      </c>
      <c r="B11249">
        <v>3897820</v>
      </c>
      <c r="C11249" t="str">
        <f t="shared" si="175"/>
        <v>4. $250K-1M</v>
      </c>
      <c r="D11249" t="s">
        <v>580</v>
      </c>
      <c r="E11249" t="s">
        <v>99</v>
      </c>
      <c r="F11249" t="s">
        <v>43</v>
      </c>
      <c r="G11249" t="s">
        <v>61</v>
      </c>
      <c r="H11249">
        <v>2024</v>
      </c>
    </row>
    <row r="11250" spans="1:8" x14ac:dyDescent="0.2">
      <c r="A11250">
        <v>52825</v>
      </c>
      <c r="B11250">
        <v>4389681</v>
      </c>
      <c r="C11250" t="str">
        <f t="shared" si="175"/>
        <v>5. $1M+</v>
      </c>
      <c r="D11250" t="s">
        <v>188</v>
      </c>
      <c r="E11250" t="s">
        <v>99</v>
      </c>
      <c r="F11250" t="s">
        <v>43</v>
      </c>
      <c r="G11250" t="s">
        <v>61</v>
      </c>
      <c r="H11250">
        <v>2024</v>
      </c>
    </row>
    <row r="11251" spans="1:8" x14ac:dyDescent="0.2">
      <c r="A11251">
        <v>53283</v>
      </c>
      <c r="B11251">
        <v>186000</v>
      </c>
      <c r="C11251" t="str">
        <f t="shared" si="175"/>
        <v>5. $1M+</v>
      </c>
      <c r="D11251" t="s">
        <v>581</v>
      </c>
      <c r="E11251" t="s">
        <v>42</v>
      </c>
      <c r="F11251" t="s">
        <v>43</v>
      </c>
      <c r="G11251" t="s">
        <v>44</v>
      </c>
      <c r="H11251">
        <v>2025</v>
      </c>
    </row>
    <row r="11252" spans="1:8" x14ac:dyDescent="0.2">
      <c r="A11252">
        <v>54002</v>
      </c>
      <c r="B11252">
        <v>50000</v>
      </c>
      <c r="C11252" t="str">
        <f t="shared" si="175"/>
        <v>3. $50K-250K</v>
      </c>
      <c r="D11252" t="s">
        <v>391</v>
      </c>
      <c r="E11252" t="s">
        <v>237</v>
      </c>
      <c r="F11252" t="s">
        <v>100</v>
      </c>
      <c r="G11252" t="s">
        <v>44</v>
      </c>
      <c r="H11252">
        <v>2024</v>
      </c>
    </row>
    <row r="11253" spans="1:8" x14ac:dyDescent="0.2">
      <c r="A11253">
        <v>5432</v>
      </c>
      <c r="B11253">
        <v>5910000</v>
      </c>
      <c r="C11253" t="str">
        <f t="shared" si="175"/>
        <v>3. $50K-250K</v>
      </c>
      <c r="D11253" t="s">
        <v>582</v>
      </c>
      <c r="E11253" t="s">
        <v>28</v>
      </c>
      <c r="F11253" t="s">
        <v>43</v>
      </c>
      <c r="G11253" t="s">
        <v>15</v>
      </c>
      <c r="H11253">
        <v>2023</v>
      </c>
    </row>
    <row r="11254" spans="1:8" x14ac:dyDescent="0.2">
      <c r="A11254">
        <v>54498</v>
      </c>
      <c r="B11254">
        <v>949800</v>
      </c>
      <c r="C11254" t="str">
        <f t="shared" si="175"/>
        <v>5. $1M+</v>
      </c>
      <c r="D11254" t="s">
        <v>109</v>
      </c>
      <c r="E11254" t="s">
        <v>37</v>
      </c>
      <c r="F11254" t="s">
        <v>120</v>
      </c>
      <c r="G11254" t="s">
        <v>10</v>
      </c>
      <c r="H11254">
        <v>2024</v>
      </c>
    </row>
    <row r="11255" spans="1:8" x14ac:dyDescent="0.2">
      <c r="A11255">
        <v>54698</v>
      </c>
      <c r="B11255">
        <v>10750000</v>
      </c>
      <c r="C11255" t="str">
        <f t="shared" si="175"/>
        <v>4. $250K-1M</v>
      </c>
      <c r="D11255" t="s">
        <v>452</v>
      </c>
      <c r="E11255" t="s">
        <v>28</v>
      </c>
      <c r="F11255" t="s">
        <v>29</v>
      </c>
      <c r="G11255" t="s">
        <v>15</v>
      </c>
      <c r="H11255">
        <v>2023</v>
      </c>
    </row>
    <row r="11256" spans="1:8" x14ac:dyDescent="0.2">
      <c r="A11256">
        <v>54742</v>
      </c>
      <c r="B11256">
        <v>500000</v>
      </c>
      <c r="C11256" t="str">
        <f t="shared" si="175"/>
        <v>5. $1M+</v>
      </c>
      <c r="D11256" t="s">
        <v>109</v>
      </c>
      <c r="E11256" t="s">
        <v>37</v>
      </c>
      <c r="F11256" t="s">
        <v>120</v>
      </c>
      <c r="G11256" t="s">
        <v>10</v>
      </c>
      <c r="H11256">
        <v>2025</v>
      </c>
    </row>
    <row r="11257" spans="1:8" x14ac:dyDescent="0.2">
      <c r="A11257">
        <v>54815</v>
      </c>
      <c r="B11257">
        <v>21231354.699999999</v>
      </c>
      <c r="C11257" t="str">
        <f t="shared" si="175"/>
        <v>4. $250K-1M</v>
      </c>
      <c r="D11257" t="s">
        <v>583</v>
      </c>
      <c r="E11257" t="s">
        <v>52</v>
      </c>
      <c r="F11257" t="s">
        <v>43</v>
      </c>
      <c r="G11257" t="s">
        <v>44</v>
      </c>
      <c r="H11257">
        <v>2024</v>
      </c>
    </row>
    <row r="11258" spans="1:8" x14ac:dyDescent="0.2">
      <c r="A11258">
        <v>54976</v>
      </c>
      <c r="B11258">
        <v>402.1</v>
      </c>
      <c r="C11258" t="str">
        <f t="shared" si="175"/>
        <v>5. $1M+</v>
      </c>
      <c r="D11258" t="s">
        <v>137</v>
      </c>
      <c r="E11258" t="s">
        <v>8</v>
      </c>
      <c r="F11258" t="s">
        <v>25</v>
      </c>
      <c r="G11258" t="s">
        <v>10</v>
      </c>
      <c r="H11258">
        <v>2024</v>
      </c>
    </row>
    <row r="11259" spans="1:8" x14ac:dyDescent="0.2">
      <c r="A11259">
        <v>56145</v>
      </c>
      <c r="B11259">
        <v>6191067</v>
      </c>
      <c r="C11259" t="str">
        <f t="shared" si="175"/>
        <v>1. Under $10K</v>
      </c>
      <c r="D11259" t="s">
        <v>584</v>
      </c>
      <c r="E11259" t="s">
        <v>52</v>
      </c>
      <c r="F11259" t="s">
        <v>43</v>
      </c>
      <c r="G11259" t="s">
        <v>44</v>
      </c>
      <c r="H11259">
        <v>2023</v>
      </c>
    </row>
    <row r="11260" spans="1:8" x14ac:dyDescent="0.2">
      <c r="A11260">
        <v>56322</v>
      </c>
      <c r="B11260">
        <v>101847</v>
      </c>
      <c r="C11260" t="str">
        <f t="shared" si="175"/>
        <v>5. $1M+</v>
      </c>
      <c r="D11260" t="s">
        <v>585</v>
      </c>
      <c r="E11260" t="s">
        <v>89</v>
      </c>
      <c r="F11260" t="s">
        <v>85</v>
      </c>
      <c r="G11260" t="s">
        <v>59</v>
      </c>
      <c r="H11260">
        <v>2023</v>
      </c>
    </row>
    <row r="11261" spans="1:8" x14ac:dyDescent="0.2">
      <c r="A11261">
        <v>56484</v>
      </c>
      <c r="B11261">
        <v>237893</v>
      </c>
      <c r="C11261" t="str">
        <f t="shared" si="175"/>
        <v>3. $50K-250K</v>
      </c>
      <c r="D11261" t="s">
        <v>33</v>
      </c>
      <c r="E11261" t="s">
        <v>24</v>
      </c>
      <c r="F11261" t="s">
        <v>12</v>
      </c>
      <c r="G11261" t="s">
        <v>10</v>
      </c>
      <c r="H11261">
        <v>2024</v>
      </c>
    </row>
    <row r="11262" spans="1:8" x14ac:dyDescent="0.2">
      <c r="A11262">
        <v>57097</v>
      </c>
      <c r="B11262">
        <v>356697.8</v>
      </c>
      <c r="C11262" t="str">
        <f t="shared" si="175"/>
        <v>3. $50K-250K</v>
      </c>
      <c r="D11262" t="s">
        <v>95</v>
      </c>
      <c r="E11262" t="s">
        <v>65</v>
      </c>
      <c r="F11262" t="s">
        <v>12</v>
      </c>
      <c r="G11262" t="s">
        <v>10</v>
      </c>
      <c r="H11262">
        <v>2025</v>
      </c>
    </row>
    <row r="11263" spans="1:8" x14ac:dyDescent="0.2">
      <c r="A11263">
        <v>57473</v>
      </c>
      <c r="B11263">
        <v>795394.9</v>
      </c>
      <c r="C11263" t="str">
        <f t="shared" si="175"/>
        <v>4. $250K-1M</v>
      </c>
      <c r="D11263" t="s">
        <v>586</v>
      </c>
      <c r="E11263" t="s">
        <v>28</v>
      </c>
      <c r="F11263" t="s">
        <v>85</v>
      </c>
      <c r="G11263" t="s">
        <v>10</v>
      </c>
      <c r="H11263">
        <v>2024</v>
      </c>
    </row>
    <row r="11264" spans="1:8" x14ac:dyDescent="0.2">
      <c r="A11264">
        <v>58083</v>
      </c>
      <c r="B11264">
        <v>5000000</v>
      </c>
      <c r="C11264" t="str">
        <f t="shared" si="175"/>
        <v>4. $250K-1M</v>
      </c>
      <c r="D11264" t="s">
        <v>39</v>
      </c>
      <c r="E11264" t="s">
        <v>8</v>
      </c>
      <c r="F11264" t="s">
        <v>9</v>
      </c>
      <c r="G11264" t="s">
        <v>10</v>
      </c>
      <c r="H11264">
        <v>2023</v>
      </c>
    </row>
    <row r="11265" spans="1:8" x14ac:dyDescent="0.2">
      <c r="A11265">
        <v>58084</v>
      </c>
      <c r="B11265">
        <v>15000000</v>
      </c>
      <c r="C11265" t="str">
        <f t="shared" si="175"/>
        <v>5. $1M+</v>
      </c>
      <c r="D11265" t="s">
        <v>39</v>
      </c>
      <c r="E11265" t="s">
        <v>8</v>
      </c>
      <c r="F11265" t="s">
        <v>9</v>
      </c>
      <c r="G11265" t="s">
        <v>10</v>
      </c>
      <c r="H11265">
        <v>2023</v>
      </c>
    </row>
    <row r="11266" spans="1:8" x14ac:dyDescent="0.2">
      <c r="A11266">
        <v>58085</v>
      </c>
      <c r="B11266">
        <v>5000000</v>
      </c>
      <c r="C11266" t="str">
        <f t="shared" si="175"/>
        <v>5. $1M+</v>
      </c>
      <c r="D11266" t="s">
        <v>39</v>
      </c>
      <c r="E11266" t="s">
        <v>8</v>
      </c>
      <c r="F11266" t="s">
        <v>9</v>
      </c>
      <c r="G11266" t="s">
        <v>10</v>
      </c>
      <c r="H11266">
        <v>2023</v>
      </c>
    </row>
    <row r="11267" spans="1:8" x14ac:dyDescent="0.2">
      <c r="A11267">
        <v>58086</v>
      </c>
      <c r="B11267">
        <v>15000000</v>
      </c>
      <c r="C11267" t="str">
        <f t="shared" ref="C11267:C11330" si="176">IF(B11266&lt;10000,"1. Under $10K",IF(B11266&lt;50000,"2. $10K-50K",IF(B11266&lt;250000,"3. $50K-250K",IF(B11266&lt;1000000,"4. $250K-1M","5. $1M+"))))</f>
        <v>5. $1M+</v>
      </c>
      <c r="D11267" t="s">
        <v>39</v>
      </c>
      <c r="E11267" t="s">
        <v>8</v>
      </c>
      <c r="F11267" t="s">
        <v>9</v>
      </c>
      <c r="G11267" t="s">
        <v>10</v>
      </c>
      <c r="H11267">
        <v>2023</v>
      </c>
    </row>
    <row r="11268" spans="1:8" x14ac:dyDescent="0.2">
      <c r="A11268">
        <v>58578</v>
      </c>
      <c r="B11268">
        <v>550</v>
      </c>
      <c r="C11268" t="str">
        <f t="shared" si="176"/>
        <v>5. $1M+</v>
      </c>
      <c r="D11268" t="s">
        <v>587</v>
      </c>
      <c r="E11268" t="s">
        <v>588</v>
      </c>
      <c r="F11268" t="s">
        <v>25</v>
      </c>
      <c r="G11268" t="s">
        <v>10</v>
      </c>
      <c r="H11268">
        <v>2024</v>
      </c>
    </row>
    <row r="11269" spans="1:8" x14ac:dyDescent="0.2">
      <c r="A11269">
        <v>58582</v>
      </c>
      <c r="B11269">
        <v>37039.199999999997</v>
      </c>
      <c r="C11269" t="str">
        <f t="shared" si="176"/>
        <v>1. Under $10K</v>
      </c>
      <c r="D11269" t="s">
        <v>23</v>
      </c>
      <c r="E11269" t="s">
        <v>24</v>
      </c>
      <c r="F11269" t="s">
        <v>25</v>
      </c>
      <c r="G11269" t="s">
        <v>10</v>
      </c>
      <c r="H11269">
        <v>2024</v>
      </c>
    </row>
    <row r="11270" spans="1:8" x14ac:dyDescent="0.2">
      <c r="A11270">
        <v>58961</v>
      </c>
      <c r="B11270">
        <v>147067.9</v>
      </c>
      <c r="C11270" t="str">
        <f t="shared" si="176"/>
        <v>2. $10K-50K</v>
      </c>
      <c r="D11270" t="s">
        <v>83</v>
      </c>
      <c r="E11270" t="s">
        <v>49</v>
      </c>
      <c r="F11270" t="s">
        <v>22</v>
      </c>
      <c r="G11270" t="s">
        <v>10</v>
      </c>
      <c r="H11270">
        <v>2023</v>
      </c>
    </row>
    <row r="11271" spans="1:8" x14ac:dyDescent="0.2">
      <c r="A11271">
        <v>59163</v>
      </c>
      <c r="B11271">
        <v>726130.1</v>
      </c>
      <c r="C11271" t="str">
        <f t="shared" si="176"/>
        <v>3. $50K-250K</v>
      </c>
      <c r="D11271" t="s">
        <v>2891</v>
      </c>
      <c r="E11271" t="s">
        <v>59</v>
      </c>
      <c r="F11271" t="s">
        <v>664</v>
      </c>
      <c r="G11271" t="s">
        <v>59</v>
      </c>
      <c r="H11271">
        <v>2023</v>
      </c>
    </row>
    <row r="11272" spans="1:8" x14ac:dyDescent="0.2">
      <c r="A11272">
        <v>59353</v>
      </c>
      <c r="B11272">
        <v>3008722.6</v>
      </c>
      <c r="C11272" t="str">
        <f t="shared" si="176"/>
        <v>4. $250K-1M</v>
      </c>
      <c r="D11272" t="s">
        <v>589</v>
      </c>
      <c r="E11272" t="s">
        <v>28</v>
      </c>
      <c r="F11272" t="s">
        <v>31</v>
      </c>
      <c r="G11272" t="s">
        <v>10</v>
      </c>
      <c r="H11272">
        <v>2023</v>
      </c>
    </row>
    <row r="11273" spans="1:8" x14ac:dyDescent="0.2">
      <c r="A11273">
        <v>59599</v>
      </c>
      <c r="B11273">
        <v>2085422</v>
      </c>
      <c r="C11273" t="str">
        <f t="shared" si="176"/>
        <v>5. $1M+</v>
      </c>
      <c r="D11273" t="s">
        <v>206</v>
      </c>
      <c r="E11273" t="s">
        <v>8</v>
      </c>
      <c r="F11273" t="s">
        <v>14</v>
      </c>
      <c r="G11273" t="s">
        <v>15</v>
      </c>
      <c r="H11273">
        <v>2024</v>
      </c>
    </row>
    <row r="11274" spans="1:8" x14ac:dyDescent="0.2">
      <c r="A11274">
        <v>59907</v>
      </c>
      <c r="B11274">
        <v>82215</v>
      </c>
      <c r="C11274" t="str">
        <f t="shared" si="176"/>
        <v>5. $1M+</v>
      </c>
      <c r="D11274" t="s">
        <v>2892</v>
      </c>
      <c r="E11274" t="s">
        <v>59</v>
      </c>
      <c r="F11274" t="s">
        <v>664</v>
      </c>
      <c r="G11274" t="s">
        <v>59</v>
      </c>
      <c r="H11274">
        <v>2023</v>
      </c>
    </row>
    <row r="11275" spans="1:8" x14ac:dyDescent="0.2">
      <c r="A11275">
        <v>60151</v>
      </c>
      <c r="B11275">
        <v>175000</v>
      </c>
      <c r="C11275" t="str">
        <f t="shared" si="176"/>
        <v>3. $50K-250K</v>
      </c>
      <c r="D11275" t="s">
        <v>394</v>
      </c>
      <c r="E11275" t="s">
        <v>28</v>
      </c>
      <c r="F11275" t="s">
        <v>31</v>
      </c>
      <c r="G11275" t="s">
        <v>10</v>
      </c>
      <c r="H11275">
        <v>2023</v>
      </c>
    </row>
    <row r="11276" spans="1:8" x14ac:dyDescent="0.2">
      <c r="A11276">
        <v>60334</v>
      </c>
      <c r="B11276">
        <v>294130.40000000002</v>
      </c>
      <c r="C11276" t="str">
        <f t="shared" si="176"/>
        <v>3. $50K-250K</v>
      </c>
      <c r="D11276" t="s">
        <v>590</v>
      </c>
      <c r="E11276" t="s">
        <v>24</v>
      </c>
      <c r="F11276" t="s">
        <v>9</v>
      </c>
      <c r="G11276" t="s">
        <v>10</v>
      </c>
      <c r="H11276">
        <v>2023</v>
      </c>
    </row>
    <row r="11277" spans="1:8" x14ac:dyDescent="0.2">
      <c r="A11277">
        <v>60663</v>
      </c>
      <c r="B11277">
        <v>31055344.5</v>
      </c>
      <c r="C11277" t="str">
        <f t="shared" si="176"/>
        <v>4. $250K-1M</v>
      </c>
      <c r="D11277" t="s">
        <v>591</v>
      </c>
      <c r="E11277" t="s">
        <v>54</v>
      </c>
      <c r="F11277" t="s">
        <v>22</v>
      </c>
      <c r="G11277" t="s">
        <v>101</v>
      </c>
      <c r="H11277">
        <v>2023</v>
      </c>
    </row>
    <row r="11278" spans="1:8" x14ac:dyDescent="0.2">
      <c r="A11278">
        <v>6078</v>
      </c>
      <c r="B11278">
        <v>1870712229</v>
      </c>
      <c r="C11278" t="str">
        <f t="shared" si="176"/>
        <v>5. $1M+</v>
      </c>
      <c r="D11278" t="s">
        <v>1426</v>
      </c>
      <c r="E11278" t="s">
        <v>52</v>
      </c>
      <c r="F11278" t="s">
        <v>668</v>
      </c>
      <c r="G11278" t="s">
        <v>59</v>
      </c>
      <c r="H11278">
        <v>2023</v>
      </c>
    </row>
    <row r="11279" spans="1:8" x14ac:dyDescent="0.2">
      <c r="A11279">
        <v>6082</v>
      </c>
      <c r="B11279">
        <v>13100000</v>
      </c>
      <c r="C11279" t="str">
        <f t="shared" si="176"/>
        <v>5. $1M+</v>
      </c>
      <c r="D11279" t="s">
        <v>2893</v>
      </c>
      <c r="E11279" t="s">
        <v>52</v>
      </c>
      <c r="F11279" t="s">
        <v>668</v>
      </c>
      <c r="G11279" t="s">
        <v>59</v>
      </c>
      <c r="H11279">
        <v>2023</v>
      </c>
    </row>
    <row r="11280" spans="1:8" x14ac:dyDescent="0.2">
      <c r="A11280">
        <v>6083</v>
      </c>
      <c r="B11280">
        <v>2063490</v>
      </c>
      <c r="C11280" t="str">
        <f t="shared" si="176"/>
        <v>5. $1M+</v>
      </c>
      <c r="D11280" t="s">
        <v>2894</v>
      </c>
      <c r="E11280" t="s">
        <v>52</v>
      </c>
      <c r="F11280" t="s">
        <v>668</v>
      </c>
      <c r="G11280" t="s">
        <v>59</v>
      </c>
      <c r="H11280">
        <v>2023</v>
      </c>
    </row>
    <row r="11281" spans="1:8" x14ac:dyDescent="0.2">
      <c r="A11281">
        <v>61840</v>
      </c>
      <c r="B11281">
        <v>4808358</v>
      </c>
      <c r="C11281" t="str">
        <f t="shared" si="176"/>
        <v>5. $1M+</v>
      </c>
      <c r="D11281" t="s">
        <v>430</v>
      </c>
      <c r="E11281" t="s">
        <v>28</v>
      </c>
      <c r="F11281" t="s">
        <v>31</v>
      </c>
      <c r="G11281" t="s">
        <v>10</v>
      </c>
      <c r="H11281">
        <v>2023</v>
      </c>
    </row>
    <row r="11282" spans="1:8" x14ac:dyDescent="0.2">
      <c r="A11282">
        <v>61858</v>
      </c>
      <c r="B11282">
        <v>368000</v>
      </c>
      <c r="C11282" t="str">
        <f t="shared" si="176"/>
        <v>5. $1M+</v>
      </c>
      <c r="D11282" t="s">
        <v>518</v>
      </c>
      <c r="E11282" t="s">
        <v>18</v>
      </c>
      <c r="F11282" t="s">
        <v>19</v>
      </c>
      <c r="G11282" t="s">
        <v>10</v>
      </c>
      <c r="H11282">
        <v>2023</v>
      </c>
    </row>
    <row r="11283" spans="1:8" x14ac:dyDescent="0.2">
      <c r="A11283">
        <v>62053</v>
      </c>
      <c r="B11283">
        <v>38076.199999999997</v>
      </c>
      <c r="C11283" t="str">
        <f t="shared" si="176"/>
        <v>4. $250K-1M</v>
      </c>
      <c r="D11283" t="s">
        <v>592</v>
      </c>
      <c r="E11283" t="s">
        <v>28</v>
      </c>
      <c r="F11283" t="s">
        <v>31</v>
      </c>
      <c r="G11283" t="s">
        <v>10</v>
      </c>
      <c r="H11283">
        <v>2023</v>
      </c>
    </row>
    <row r="11284" spans="1:8" x14ac:dyDescent="0.2">
      <c r="A11284">
        <v>62176</v>
      </c>
      <c r="B11284">
        <v>70605</v>
      </c>
      <c r="C11284" t="str">
        <f t="shared" si="176"/>
        <v>2. $10K-50K</v>
      </c>
      <c r="D11284" t="s">
        <v>593</v>
      </c>
      <c r="E11284" t="s">
        <v>24</v>
      </c>
      <c r="F11284" t="s">
        <v>22</v>
      </c>
      <c r="G11284" t="s">
        <v>10</v>
      </c>
      <c r="H11284">
        <v>2023</v>
      </c>
    </row>
    <row r="11285" spans="1:8" x14ac:dyDescent="0.2">
      <c r="A11285">
        <v>62425</v>
      </c>
      <c r="B11285">
        <v>213585.4</v>
      </c>
      <c r="C11285" t="str">
        <f t="shared" si="176"/>
        <v>3. $50K-250K</v>
      </c>
      <c r="D11285" t="s">
        <v>594</v>
      </c>
      <c r="E11285" t="s">
        <v>8</v>
      </c>
      <c r="F11285" t="s">
        <v>9</v>
      </c>
      <c r="G11285" t="s">
        <v>59</v>
      </c>
      <c r="H11285">
        <v>2024</v>
      </c>
    </row>
    <row r="11286" spans="1:8" x14ac:dyDescent="0.2">
      <c r="A11286">
        <v>62925</v>
      </c>
      <c r="B11286">
        <v>345364</v>
      </c>
      <c r="C11286" t="str">
        <f t="shared" si="176"/>
        <v>3. $50K-250K</v>
      </c>
      <c r="D11286" t="s">
        <v>212</v>
      </c>
      <c r="E11286" t="s">
        <v>24</v>
      </c>
      <c r="F11286" t="s">
        <v>9</v>
      </c>
      <c r="G11286" t="s">
        <v>10</v>
      </c>
      <c r="H11286">
        <v>2024</v>
      </c>
    </row>
    <row r="11287" spans="1:8" x14ac:dyDescent="0.2">
      <c r="A11287">
        <v>63191</v>
      </c>
      <c r="B11287">
        <v>886000</v>
      </c>
      <c r="C11287" t="str">
        <f t="shared" si="176"/>
        <v>4. $250K-1M</v>
      </c>
      <c r="D11287" t="s">
        <v>2895</v>
      </c>
      <c r="E11287" t="s">
        <v>42</v>
      </c>
      <c r="F11287" t="s">
        <v>668</v>
      </c>
      <c r="G11287" t="s">
        <v>59</v>
      </c>
      <c r="H11287">
        <v>2024</v>
      </c>
    </row>
    <row r="11288" spans="1:8" x14ac:dyDescent="0.2">
      <c r="A11288">
        <v>63621</v>
      </c>
      <c r="B11288">
        <v>709000</v>
      </c>
      <c r="C11288" t="str">
        <f t="shared" si="176"/>
        <v>4. $250K-1M</v>
      </c>
      <c r="D11288" t="s">
        <v>62</v>
      </c>
      <c r="E11288" t="s">
        <v>28</v>
      </c>
      <c r="F11288" t="s">
        <v>31</v>
      </c>
      <c r="G11288" t="s">
        <v>10</v>
      </c>
      <c r="H11288">
        <v>2023</v>
      </c>
    </row>
    <row r="11289" spans="1:8" x14ac:dyDescent="0.2">
      <c r="A11289">
        <v>63622</v>
      </c>
      <c r="B11289">
        <v>747000</v>
      </c>
      <c r="C11289" t="str">
        <f t="shared" si="176"/>
        <v>4. $250K-1M</v>
      </c>
      <c r="D11289" t="s">
        <v>595</v>
      </c>
      <c r="E11289" t="s">
        <v>28</v>
      </c>
      <c r="F11289" t="s">
        <v>31</v>
      </c>
      <c r="G11289" t="s">
        <v>10</v>
      </c>
      <c r="H11289">
        <v>2023</v>
      </c>
    </row>
    <row r="11290" spans="1:8" x14ac:dyDescent="0.2">
      <c r="A11290">
        <v>63833</v>
      </c>
      <c r="B11290">
        <v>1265850</v>
      </c>
      <c r="C11290" t="str">
        <f t="shared" si="176"/>
        <v>4. $250K-1M</v>
      </c>
      <c r="D11290" t="s">
        <v>115</v>
      </c>
      <c r="E11290" t="s">
        <v>8</v>
      </c>
      <c r="F11290" t="s">
        <v>25</v>
      </c>
      <c r="G11290" t="s">
        <v>10</v>
      </c>
      <c r="H11290">
        <v>2023</v>
      </c>
    </row>
    <row r="11291" spans="1:8" x14ac:dyDescent="0.2">
      <c r="A11291">
        <v>64311</v>
      </c>
      <c r="B11291">
        <v>913700</v>
      </c>
      <c r="C11291" t="str">
        <f t="shared" si="176"/>
        <v>5. $1M+</v>
      </c>
      <c r="D11291" t="s">
        <v>2896</v>
      </c>
      <c r="E11291" t="s">
        <v>42</v>
      </c>
      <c r="F11291" t="s">
        <v>668</v>
      </c>
      <c r="G11291" t="s">
        <v>59</v>
      </c>
      <c r="H11291">
        <v>2023</v>
      </c>
    </row>
    <row r="11292" spans="1:8" x14ac:dyDescent="0.2">
      <c r="A11292">
        <v>64418</v>
      </c>
      <c r="B11292">
        <v>3897489.4</v>
      </c>
      <c r="C11292" t="str">
        <f t="shared" si="176"/>
        <v>4. $250K-1M</v>
      </c>
      <c r="D11292" t="s">
        <v>63</v>
      </c>
      <c r="E11292" t="s">
        <v>28</v>
      </c>
      <c r="F11292" t="s">
        <v>31</v>
      </c>
      <c r="G11292" t="s">
        <v>10</v>
      </c>
      <c r="H11292">
        <v>2024</v>
      </c>
    </row>
    <row r="11293" spans="1:8" x14ac:dyDescent="0.2">
      <c r="A11293">
        <v>64607</v>
      </c>
      <c r="B11293">
        <v>6059797.7999999998</v>
      </c>
      <c r="C11293" t="str">
        <f t="shared" si="176"/>
        <v>5. $1M+</v>
      </c>
      <c r="D11293" t="s">
        <v>596</v>
      </c>
      <c r="E11293" t="s">
        <v>28</v>
      </c>
      <c r="F11293" t="s">
        <v>31</v>
      </c>
      <c r="G11293" t="s">
        <v>10</v>
      </c>
      <c r="H11293">
        <v>2024</v>
      </c>
    </row>
    <row r="11294" spans="1:8" x14ac:dyDescent="0.2">
      <c r="A11294">
        <v>64697</v>
      </c>
      <c r="B11294">
        <v>3533445</v>
      </c>
      <c r="C11294" t="str">
        <f t="shared" si="176"/>
        <v>5. $1M+</v>
      </c>
      <c r="D11294" t="s">
        <v>597</v>
      </c>
      <c r="E11294" t="s">
        <v>69</v>
      </c>
      <c r="F11294" t="s">
        <v>12</v>
      </c>
      <c r="G11294" t="s">
        <v>10</v>
      </c>
      <c r="H11294">
        <v>2023</v>
      </c>
    </row>
    <row r="11295" spans="1:8" x14ac:dyDescent="0.2">
      <c r="A11295">
        <v>64702</v>
      </c>
      <c r="B11295">
        <v>45308.5</v>
      </c>
      <c r="C11295" t="str">
        <f t="shared" si="176"/>
        <v>5. $1M+</v>
      </c>
      <c r="D11295" t="s">
        <v>598</v>
      </c>
      <c r="E11295" t="s">
        <v>8</v>
      </c>
      <c r="F11295" t="s">
        <v>25</v>
      </c>
      <c r="G11295" t="s">
        <v>10</v>
      </c>
      <c r="H11295">
        <v>2023</v>
      </c>
    </row>
    <row r="11296" spans="1:8" x14ac:dyDescent="0.2">
      <c r="A11296">
        <v>64819</v>
      </c>
      <c r="B11296">
        <v>5586610.5</v>
      </c>
      <c r="C11296" t="str">
        <f t="shared" si="176"/>
        <v>2. $10K-50K</v>
      </c>
      <c r="D11296" t="s">
        <v>526</v>
      </c>
      <c r="E11296" t="s">
        <v>28</v>
      </c>
      <c r="F11296" t="s">
        <v>29</v>
      </c>
      <c r="G11296" t="s">
        <v>44</v>
      </c>
      <c r="H11296">
        <v>2023</v>
      </c>
    </row>
    <row r="11297" spans="1:8" x14ac:dyDescent="0.2">
      <c r="A11297">
        <v>64824</v>
      </c>
      <c r="B11297">
        <v>6500000</v>
      </c>
      <c r="C11297" t="str">
        <f t="shared" si="176"/>
        <v>5. $1M+</v>
      </c>
      <c r="D11297" t="s">
        <v>186</v>
      </c>
      <c r="E11297" t="s">
        <v>28</v>
      </c>
      <c r="F11297" t="s">
        <v>71</v>
      </c>
      <c r="G11297" t="s">
        <v>15</v>
      </c>
      <c r="H11297">
        <v>2025</v>
      </c>
    </row>
    <row r="11298" spans="1:8" x14ac:dyDescent="0.2">
      <c r="A11298">
        <v>65185</v>
      </c>
      <c r="B11298">
        <v>432</v>
      </c>
      <c r="C11298" t="str">
        <f t="shared" si="176"/>
        <v>5. $1M+</v>
      </c>
      <c r="D11298" t="s">
        <v>129</v>
      </c>
      <c r="E11298" t="s">
        <v>8</v>
      </c>
      <c r="F11298" t="s">
        <v>9</v>
      </c>
      <c r="G11298" t="s">
        <v>10</v>
      </c>
      <c r="H11298">
        <v>2023</v>
      </c>
    </row>
    <row r="11299" spans="1:8" x14ac:dyDescent="0.2">
      <c r="A11299">
        <v>65986</v>
      </c>
      <c r="B11299">
        <v>2700000</v>
      </c>
      <c r="C11299" t="str">
        <f t="shared" si="176"/>
        <v>1. Under $10K</v>
      </c>
      <c r="D11299" t="s">
        <v>74</v>
      </c>
      <c r="E11299" t="s">
        <v>24</v>
      </c>
      <c r="F11299" t="s">
        <v>14</v>
      </c>
      <c r="G11299" t="s">
        <v>61</v>
      </c>
      <c r="H11299">
        <v>2025</v>
      </c>
    </row>
    <row r="11300" spans="1:8" x14ac:dyDescent="0.2">
      <c r="A11300">
        <v>66009</v>
      </c>
      <c r="B11300">
        <v>567000</v>
      </c>
      <c r="C11300" t="str">
        <f t="shared" si="176"/>
        <v>5. $1M+</v>
      </c>
      <c r="D11300" t="s">
        <v>297</v>
      </c>
      <c r="E11300" t="s">
        <v>18</v>
      </c>
      <c r="F11300" t="s">
        <v>22</v>
      </c>
      <c r="G11300" t="s">
        <v>10</v>
      </c>
      <c r="H11300">
        <v>2024</v>
      </c>
    </row>
    <row r="11301" spans="1:8" x14ac:dyDescent="0.2">
      <c r="A11301">
        <v>66808</v>
      </c>
      <c r="B11301">
        <v>100000000</v>
      </c>
      <c r="C11301" t="str">
        <f t="shared" si="176"/>
        <v>4. $250K-1M</v>
      </c>
      <c r="D11301" t="s">
        <v>546</v>
      </c>
      <c r="E11301" t="s">
        <v>37</v>
      </c>
      <c r="F11301" t="s">
        <v>668</v>
      </c>
      <c r="G11301" t="s">
        <v>59</v>
      </c>
      <c r="H11301">
        <v>2023</v>
      </c>
    </row>
    <row r="11302" spans="1:8" x14ac:dyDescent="0.2">
      <c r="A11302">
        <v>66921</v>
      </c>
      <c r="B11302">
        <v>199318.5</v>
      </c>
      <c r="C11302" t="str">
        <f t="shared" si="176"/>
        <v>5. $1M+</v>
      </c>
      <c r="D11302" t="s">
        <v>282</v>
      </c>
      <c r="E11302" t="s">
        <v>8</v>
      </c>
      <c r="F11302" t="s">
        <v>14</v>
      </c>
      <c r="G11302" t="s">
        <v>15</v>
      </c>
      <c r="H11302">
        <v>2025</v>
      </c>
    </row>
    <row r="11303" spans="1:8" x14ac:dyDescent="0.2">
      <c r="A11303">
        <v>66942</v>
      </c>
      <c r="B11303">
        <v>2655789.5</v>
      </c>
      <c r="C11303" t="str">
        <f t="shared" si="176"/>
        <v>3. $50K-250K</v>
      </c>
      <c r="D11303" t="s">
        <v>599</v>
      </c>
      <c r="E11303" t="s">
        <v>28</v>
      </c>
      <c r="F11303" t="s">
        <v>31</v>
      </c>
      <c r="G11303" t="s">
        <v>10</v>
      </c>
      <c r="H11303">
        <v>2023</v>
      </c>
    </row>
    <row r="11304" spans="1:8" x14ac:dyDescent="0.2">
      <c r="A11304">
        <v>68188</v>
      </c>
      <c r="B11304">
        <v>1255418.8999999999</v>
      </c>
      <c r="C11304" t="str">
        <f t="shared" si="176"/>
        <v>5. $1M+</v>
      </c>
      <c r="D11304" t="s">
        <v>600</v>
      </c>
      <c r="E11304" t="s">
        <v>69</v>
      </c>
      <c r="F11304" t="s">
        <v>12</v>
      </c>
      <c r="G11304" t="s">
        <v>10</v>
      </c>
      <c r="H11304">
        <v>2023</v>
      </c>
    </row>
    <row r="11305" spans="1:8" x14ac:dyDescent="0.2">
      <c r="A11305">
        <v>68348</v>
      </c>
      <c r="B11305">
        <v>2190000</v>
      </c>
      <c r="C11305" t="str">
        <f t="shared" si="176"/>
        <v>5. $1M+</v>
      </c>
      <c r="D11305" t="s">
        <v>601</v>
      </c>
      <c r="E11305" t="s">
        <v>8</v>
      </c>
      <c r="F11305" t="s">
        <v>12</v>
      </c>
      <c r="G11305" t="s">
        <v>101</v>
      </c>
      <c r="H11305">
        <v>2025</v>
      </c>
    </row>
    <row r="11306" spans="1:8" x14ac:dyDescent="0.2">
      <c r="A11306">
        <v>68936</v>
      </c>
      <c r="B11306">
        <v>214152.2</v>
      </c>
      <c r="C11306" t="str">
        <f t="shared" si="176"/>
        <v>5. $1M+</v>
      </c>
      <c r="D11306" t="s">
        <v>451</v>
      </c>
      <c r="E11306" t="s">
        <v>28</v>
      </c>
      <c r="F11306" t="s">
        <v>31</v>
      </c>
      <c r="G11306" t="s">
        <v>10</v>
      </c>
      <c r="H11306">
        <v>2023</v>
      </c>
    </row>
    <row r="11307" spans="1:8" x14ac:dyDescent="0.2">
      <c r="A11307">
        <v>69568</v>
      </c>
      <c r="B11307">
        <v>122000000</v>
      </c>
      <c r="C11307" t="str">
        <f t="shared" si="176"/>
        <v>3. $50K-250K</v>
      </c>
      <c r="D11307" t="s">
        <v>602</v>
      </c>
      <c r="E11307" t="s">
        <v>28</v>
      </c>
      <c r="F11307" t="s">
        <v>29</v>
      </c>
      <c r="G11307" t="s">
        <v>15</v>
      </c>
      <c r="H11307">
        <v>2025</v>
      </c>
    </row>
    <row r="11308" spans="1:8" x14ac:dyDescent="0.2">
      <c r="A11308">
        <v>69858</v>
      </c>
      <c r="B11308">
        <v>12000000</v>
      </c>
      <c r="C11308" t="str">
        <f t="shared" si="176"/>
        <v>5. $1M+</v>
      </c>
      <c r="D11308" t="s">
        <v>275</v>
      </c>
      <c r="E11308" t="s">
        <v>67</v>
      </c>
      <c r="F11308" t="s">
        <v>43</v>
      </c>
      <c r="G11308" t="s">
        <v>101</v>
      </c>
      <c r="H11308">
        <v>2023</v>
      </c>
    </row>
    <row r="11309" spans="1:8" x14ac:dyDescent="0.2">
      <c r="A11309">
        <v>70751</v>
      </c>
      <c r="B11309">
        <v>8658607</v>
      </c>
      <c r="C11309" t="str">
        <f t="shared" si="176"/>
        <v>5. $1M+</v>
      </c>
      <c r="D11309" t="s">
        <v>603</v>
      </c>
      <c r="E11309" t="s">
        <v>69</v>
      </c>
      <c r="F11309" t="s">
        <v>12</v>
      </c>
      <c r="G11309" t="s">
        <v>124</v>
      </c>
      <c r="H11309">
        <v>2023</v>
      </c>
    </row>
    <row r="11310" spans="1:8" x14ac:dyDescent="0.2">
      <c r="A11310">
        <v>70775</v>
      </c>
      <c r="B11310">
        <v>3928000</v>
      </c>
      <c r="C11310" t="str">
        <f t="shared" si="176"/>
        <v>5. $1M+</v>
      </c>
      <c r="D11310" t="s">
        <v>604</v>
      </c>
      <c r="E11310" t="s">
        <v>28</v>
      </c>
      <c r="F11310" t="s">
        <v>31</v>
      </c>
      <c r="G11310" t="s">
        <v>10</v>
      </c>
      <c r="H11310">
        <v>2023</v>
      </c>
    </row>
    <row r="11311" spans="1:8" x14ac:dyDescent="0.2">
      <c r="A11311">
        <v>70890</v>
      </c>
      <c r="B11311">
        <v>6400000</v>
      </c>
      <c r="C11311" t="str">
        <f t="shared" si="176"/>
        <v>5. $1M+</v>
      </c>
      <c r="D11311" t="s">
        <v>605</v>
      </c>
      <c r="E11311" t="s">
        <v>18</v>
      </c>
      <c r="F11311" t="s">
        <v>12</v>
      </c>
      <c r="G11311" t="s">
        <v>44</v>
      </c>
      <c r="H11311">
        <v>2023</v>
      </c>
    </row>
    <row r="11312" spans="1:8" x14ac:dyDescent="0.2">
      <c r="A11312">
        <v>70891</v>
      </c>
      <c r="B11312">
        <v>5800000</v>
      </c>
      <c r="C11312" t="str">
        <f t="shared" si="176"/>
        <v>5. $1M+</v>
      </c>
      <c r="D11312" t="s">
        <v>606</v>
      </c>
      <c r="E11312" t="s">
        <v>18</v>
      </c>
      <c r="F11312" t="s">
        <v>12</v>
      </c>
      <c r="G11312" t="s">
        <v>44</v>
      </c>
      <c r="H11312">
        <v>2023</v>
      </c>
    </row>
    <row r="11313" spans="1:8" x14ac:dyDescent="0.2">
      <c r="A11313">
        <v>70892</v>
      </c>
      <c r="B11313">
        <v>9800000</v>
      </c>
      <c r="C11313" t="str">
        <f t="shared" si="176"/>
        <v>5. $1M+</v>
      </c>
      <c r="D11313" t="s">
        <v>607</v>
      </c>
      <c r="E11313" t="s">
        <v>18</v>
      </c>
      <c r="F11313" t="s">
        <v>12</v>
      </c>
      <c r="G11313" t="s">
        <v>44</v>
      </c>
      <c r="H11313">
        <v>2023</v>
      </c>
    </row>
    <row r="11314" spans="1:8" x14ac:dyDescent="0.2">
      <c r="A11314">
        <v>70944</v>
      </c>
      <c r="B11314">
        <v>13355322.9</v>
      </c>
      <c r="C11314" t="str">
        <f t="shared" si="176"/>
        <v>5. $1M+</v>
      </c>
      <c r="D11314" t="s">
        <v>608</v>
      </c>
      <c r="E11314" t="s">
        <v>18</v>
      </c>
      <c r="F11314" t="s">
        <v>12</v>
      </c>
      <c r="G11314" t="s">
        <v>44</v>
      </c>
      <c r="H11314">
        <v>2023</v>
      </c>
    </row>
    <row r="11315" spans="1:8" x14ac:dyDescent="0.2">
      <c r="A11315">
        <v>71097</v>
      </c>
      <c r="B11315">
        <v>1591998.2</v>
      </c>
      <c r="C11315" t="str">
        <f t="shared" si="176"/>
        <v>5. $1M+</v>
      </c>
      <c r="D11315" t="s">
        <v>189</v>
      </c>
      <c r="E11315" t="s">
        <v>24</v>
      </c>
      <c r="F11315" t="s">
        <v>14</v>
      </c>
      <c r="G11315" t="s">
        <v>61</v>
      </c>
      <c r="H11315">
        <v>2023</v>
      </c>
    </row>
    <row r="11316" spans="1:8" x14ac:dyDescent="0.2">
      <c r="A11316">
        <v>71133</v>
      </c>
      <c r="B11316">
        <v>9869552.6999999993</v>
      </c>
      <c r="C11316" t="str">
        <f t="shared" si="176"/>
        <v>5. $1M+</v>
      </c>
      <c r="D11316" t="s">
        <v>197</v>
      </c>
      <c r="E11316" t="s">
        <v>24</v>
      </c>
      <c r="F11316" t="s">
        <v>14</v>
      </c>
      <c r="G11316" t="s">
        <v>61</v>
      </c>
      <c r="H11316">
        <v>2023</v>
      </c>
    </row>
    <row r="11317" spans="1:8" x14ac:dyDescent="0.2">
      <c r="A11317">
        <v>71235</v>
      </c>
      <c r="B11317">
        <v>5572872.2999999998</v>
      </c>
      <c r="C11317" t="str">
        <f t="shared" si="176"/>
        <v>5. $1M+</v>
      </c>
      <c r="D11317" t="s">
        <v>609</v>
      </c>
      <c r="E11317" t="s">
        <v>24</v>
      </c>
      <c r="F11317" t="s">
        <v>14</v>
      </c>
      <c r="G11317" t="s">
        <v>61</v>
      </c>
      <c r="H11317">
        <v>2023</v>
      </c>
    </row>
    <row r="11318" spans="1:8" x14ac:dyDescent="0.2">
      <c r="A11318">
        <v>71261</v>
      </c>
      <c r="B11318">
        <v>14133808</v>
      </c>
      <c r="C11318" t="str">
        <f t="shared" si="176"/>
        <v>5. $1M+</v>
      </c>
      <c r="D11318" t="s">
        <v>259</v>
      </c>
      <c r="E11318" t="s">
        <v>28</v>
      </c>
      <c r="F11318" t="s">
        <v>29</v>
      </c>
      <c r="G11318" t="s">
        <v>44</v>
      </c>
      <c r="H11318">
        <v>2024</v>
      </c>
    </row>
    <row r="11319" spans="1:8" x14ac:dyDescent="0.2">
      <c r="A11319">
        <v>71366</v>
      </c>
      <c r="B11319">
        <v>14399847</v>
      </c>
      <c r="C11319" t="str">
        <f t="shared" si="176"/>
        <v>5. $1M+</v>
      </c>
      <c r="D11319" t="s">
        <v>610</v>
      </c>
      <c r="E11319" t="s">
        <v>54</v>
      </c>
      <c r="F11319" t="s">
        <v>22</v>
      </c>
      <c r="G11319" t="s">
        <v>79</v>
      </c>
      <c r="H11319">
        <v>2023</v>
      </c>
    </row>
    <row r="11320" spans="1:8" x14ac:dyDescent="0.2">
      <c r="A11320">
        <v>74134</v>
      </c>
      <c r="B11320">
        <v>3000000</v>
      </c>
      <c r="C11320" t="str">
        <f t="shared" si="176"/>
        <v>5. $1M+</v>
      </c>
      <c r="D11320" t="s">
        <v>611</v>
      </c>
      <c r="E11320" t="s">
        <v>24</v>
      </c>
      <c r="F11320" t="s">
        <v>14</v>
      </c>
      <c r="G11320" t="s">
        <v>15</v>
      </c>
      <c r="H11320">
        <v>2024</v>
      </c>
    </row>
    <row r="11321" spans="1:8" x14ac:dyDescent="0.2">
      <c r="A11321">
        <v>74381</v>
      </c>
      <c r="B11321">
        <v>16766429.300000001</v>
      </c>
      <c r="C11321" t="str">
        <f t="shared" si="176"/>
        <v>5. $1M+</v>
      </c>
      <c r="D11321" t="s">
        <v>539</v>
      </c>
      <c r="E11321" t="s">
        <v>24</v>
      </c>
      <c r="F11321" t="s">
        <v>22</v>
      </c>
      <c r="G11321" t="s">
        <v>10</v>
      </c>
      <c r="H11321">
        <v>2023</v>
      </c>
    </row>
    <row r="11322" spans="1:8" x14ac:dyDescent="0.2">
      <c r="A11322">
        <v>74495</v>
      </c>
      <c r="B11322">
        <v>4071116</v>
      </c>
      <c r="C11322" t="str">
        <f t="shared" si="176"/>
        <v>5. $1M+</v>
      </c>
      <c r="D11322" t="s">
        <v>179</v>
      </c>
      <c r="E11322" t="s">
        <v>42</v>
      </c>
      <c r="F11322" t="s">
        <v>43</v>
      </c>
      <c r="G11322" t="s">
        <v>44</v>
      </c>
      <c r="H11322">
        <v>2023</v>
      </c>
    </row>
    <row r="11323" spans="1:8" x14ac:dyDescent="0.2">
      <c r="A11323">
        <v>75071</v>
      </c>
      <c r="B11323">
        <v>9600000</v>
      </c>
      <c r="C11323" t="str">
        <f t="shared" si="176"/>
        <v>5. $1M+</v>
      </c>
      <c r="D11323" t="s">
        <v>345</v>
      </c>
      <c r="E11323" t="s">
        <v>24</v>
      </c>
      <c r="F11323" t="s">
        <v>12</v>
      </c>
      <c r="G11323" t="s">
        <v>10</v>
      </c>
      <c r="H11323">
        <v>2023</v>
      </c>
    </row>
    <row r="11324" spans="1:8" x14ac:dyDescent="0.2">
      <c r="A11324">
        <v>75599</v>
      </c>
      <c r="B11324">
        <v>5502</v>
      </c>
      <c r="C11324" t="str">
        <f t="shared" si="176"/>
        <v>5. $1M+</v>
      </c>
      <c r="D11324" t="s">
        <v>23</v>
      </c>
      <c r="E11324" t="s">
        <v>588</v>
      </c>
      <c r="F11324" t="s">
        <v>9</v>
      </c>
      <c r="G11324" t="s">
        <v>10</v>
      </c>
      <c r="H11324">
        <v>2024</v>
      </c>
    </row>
    <row r="11325" spans="1:8" x14ac:dyDescent="0.2">
      <c r="A11325">
        <v>75623</v>
      </c>
      <c r="B11325">
        <v>139084</v>
      </c>
      <c r="C11325" t="str">
        <f t="shared" si="176"/>
        <v>1. Under $10K</v>
      </c>
      <c r="D11325" t="s">
        <v>116</v>
      </c>
      <c r="E11325" t="s">
        <v>588</v>
      </c>
      <c r="F11325" t="s">
        <v>9</v>
      </c>
      <c r="G11325" t="s">
        <v>10</v>
      </c>
      <c r="H11325">
        <v>2025</v>
      </c>
    </row>
    <row r="11326" spans="1:8" x14ac:dyDescent="0.2">
      <c r="A11326">
        <v>7581</v>
      </c>
      <c r="B11326">
        <v>9000000</v>
      </c>
      <c r="C11326" t="str">
        <f t="shared" si="176"/>
        <v>3. $50K-250K</v>
      </c>
      <c r="D11326" t="s">
        <v>1764</v>
      </c>
      <c r="E11326" t="s">
        <v>368</v>
      </c>
      <c r="F11326" t="s">
        <v>668</v>
      </c>
      <c r="G11326" t="s">
        <v>59</v>
      </c>
      <c r="H11326">
        <v>2023</v>
      </c>
    </row>
    <row r="11327" spans="1:8" x14ac:dyDescent="0.2">
      <c r="A11327">
        <v>76213</v>
      </c>
      <c r="B11327">
        <v>2324100</v>
      </c>
      <c r="C11327" t="str">
        <f t="shared" si="176"/>
        <v>5. $1M+</v>
      </c>
      <c r="D11327" t="s">
        <v>547</v>
      </c>
      <c r="E11327" t="s">
        <v>99</v>
      </c>
      <c r="F11327" t="s">
        <v>43</v>
      </c>
      <c r="G11327" t="s">
        <v>61</v>
      </c>
      <c r="H11327">
        <v>2024</v>
      </c>
    </row>
    <row r="11328" spans="1:8" x14ac:dyDescent="0.2">
      <c r="A11328">
        <v>76631</v>
      </c>
      <c r="B11328">
        <v>463464.4</v>
      </c>
      <c r="C11328" t="str">
        <f t="shared" si="176"/>
        <v>5. $1M+</v>
      </c>
      <c r="D11328" t="s">
        <v>612</v>
      </c>
      <c r="E11328" t="s">
        <v>65</v>
      </c>
      <c r="F11328" t="s">
        <v>12</v>
      </c>
      <c r="G11328" t="s">
        <v>10</v>
      </c>
      <c r="H11328">
        <v>2023</v>
      </c>
    </row>
    <row r="11329" spans="1:8" x14ac:dyDescent="0.2">
      <c r="A11329">
        <v>78284</v>
      </c>
      <c r="B11329">
        <v>150000</v>
      </c>
      <c r="C11329" t="str">
        <f t="shared" si="176"/>
        <v>4. $250K-1M</v>
      </c>
      <c r="D11329" t="s">
        <v>613</v>
      </c>
      <c r="E11329" t="s">
        <v>37</v>
      </c>
      <c r="F11329" t="s">
        <v>12</v>
      </c>
      <c r="G11329" t="s">
        <v>10</v>
      </c>
      <c r="H11329">
        <v>2023</v>
      </c>
    </row>
    <row r="11330" spans="1:8" x14ac:dyDescent="0.2">
      <c r="A11330">
        <v>78459</v>
      </c>
      <c r="B11330">
        <v>8642.5</v>
      </c>
      <c r="C11330" t="str">
        <f t="shared" si="176"/>
        <v>3. $50K-250K</v>
      </c>
      <c r="D11330" t="s">
        <v>137</v>
      </c>
      <c r="E11330" t="s">
        <v>8</v>
      </c>
      <c r="F11330" t="s">
        <v>25</v>
      </c>
      <c r="G11330" t="s">
        <v>10</v>
      </c>
      <c r="H11330">
        <v>2025</v>
      </c>
    </row>
    <row r="11331" spans="1:8" x14ac:dyDescent="0.2">
      <c r="A11331">
        <v>79559</v>
      </c>
      <c r="B11331">
        <v>60289.2</v>
      </c>
      <c r="C11331" t="str">
        <f t="shared" ref="C11331:C11394" si="177">IF(B11330&lt;10000,"1. Under $10K",IF(B11330&lt;50000,"2. $10K-50K",IF(B11330&lt;250000,"3. $50K-250K",IF(B11330&lt;1000000,"4. $250K-1M","5. $1M+"))))</f>
        <v>1. Under $10K</v>
      </c>
      <c r="D11331" t="s">
        <v>23</v>
      </c>
      <c r="E11331" t="s">
        <v>24</v>
      </c>
      <c r="F11331" t="s">
        <v>25</v>
      </c>
      <c r="G11331" t="s">
        <v>10</v>
      </c>
      <c r="H11331">
        <v>2023</v>
      </c>
    </row>
    <row r="11332" spans="1:8" x14ac:dyDescent="0.2">
      <c r="A11332">
        <v>79644</v>
      </c>
      <c r="B11332">
        <v>436280</v>
      </c>
      <c r="C11332" t="str">
        <f t="shared" si="177"/>
        <v>3. $50K-250K</v>
      </c>
      <c r="D11332" t="s">
        <v>614</v>
      </c>
      <c r="E11332" t="s">
        <v>42</v>
      </c>
      <c r="F11332" t="s">
        <v>43</v>
      </c>
      <c r="G11332" t="s">
        <v>44</v>
      </c>
      <c r="H11332">
        <v>2023</v>
      </c>
    </row>
    <row r="11333" spans="1:8" x14ac:dyDescent="0.2">
      <c r="A11333">
        <v>80313</v>
      </c>
      <c r="B11333">
        <v>60000</v>
      </c>
      <c r="C11333" t="str">
        <f t="shared" si="177"/>
        <v>4. $250K-1M</v>
      </c>
      <c r="D11333" t="s">
        <v>434</v>
      </c>
      <c r="E11333" t="s">
        <v>112</v>
      </c>
      <c r="F11333" t="s">
        <v>12</v>
      </c>
      <c r="G11333" t="s">
        <v>10</v>
      </c>
      <c r="H11333">
        <v>2023</v>
      </c>
    </row>
    <row r="11334" spans="1:8" x14ac:dyDescent="0.2">
      <c r="A11334">
        <v>80431</v>
      </c>
      <c r="B11334">
        <v>160000</v>
      </c>
      <c r="C11334" t="str">
        <f t="shared" si="177"/>
        <v>3. $50K-250K</v>
      </c>
      <c r="D11334" t="s">
        <v>2897</v>
      </c>
      <c r="E11334" t="s">
        <v>52</v>
      </c>
      <c r="F11334" t="s">
        <v>668</v>
      </c>
      <c r="G11334" t="s">
        <v>59</v>
      </c>
      <c r="H11334">
        <v>2023</v>
      </c>
    </row>
    <row r="11335" spans="1:8" x14ac:dyDescent="0.2">
      <c r="A11335">
        <v>80434</v>
      </c>
      <c r="B11335">
        <v>140000</v>
      </c>
      <c r="C11335" t="str">
        <f t="shared" si="177"/>
        <v>3. $50K-250K</v>
      </c>
      <c r="D11335" t="s">
        <v>1721</v>
      </c>
      <c r="E11335" t="s">
        <v>52</v>
      </c>
      <c r="F11335" t="s">
        <v>668</v>
      </c>
      <c r="G11335" t="s">
        <v>59</v>
      </c>
      <c r="H11335">
        <v>2023</v>
      </c>
    </row>
    <row r="11336" spans="1:8" x14ac:dyDescent="0.2">
      <c r="A11336">
        <v>81222</v>
      </c>
      <c r="B11336">
        <v>1366951</v>
      </c>
      <c r="C11336" t="str">
        <f t="shared" si="177"/>
        <v>3. $50K-250K</v>
      </c>
      <c r="D11336" t="s">
        <v>615</v>
      </c>
      <c r="E11336" t="s">
        <v>18</v>
      </c>
      <c r="F11336" t="s">
        <v>43</v>
      </c>
      <c r="G11336" t="s">
        <v>44</v>
      </c>
      <c r="H11336">
        <v>2024</v>
      </c>
    </row>
    <row r="11337" spans="1:8" x14ac:dyDescent="0.2">
      <c r="A11337">
        <v>81226</v>
      </c>
      <c r="B11337">
        <v>45154483</v>
      </c>
      <c r="C11337" t="str">
        <f t="shared" si="177"/>
        <v>5. $1M+</v>
      </c>
      <c r="D11337" t="s">
        <v>616</v>
      </c>
      <c r="E11337" t="s">
        <v>24</v>
      </c>
      <c r="F11337" t="s">
        <v>9</v>
      </c>
      <c r="G11337" t="s">
        <v>10</v>
      </c>
      <c r="H11337">
        <v>2023</v>
      </c>
    </row>
    <row r="11338" spans="1:8" x14ac:dyDescent="0.2">
      <c r="A11338">
        <v>81297</v>
      </c>
      <c r="B11338">
        <v>82000</v>
      </c>
      <c r="C11338" t="str">
        <f t="shared" si="177"/>
        <v>5. $1M+</v>
      </c>
      <c r="D11338" t="s">
        <v>2313</v>
      </c>
      <c r="E11338" t="s">
        <v>52</v>
      </c>
      <c r="F11338" t="s">
        <v>668</v>
      </c>
      <c r="G11338" t="s">
        <v>59</v>
      </c>
      <c r="H11338">
        <v>2023</v>
      </c>
    </row>
    <row r="11339" spans="1:8" x14ac:dyDescent="0.2">
      <c r="A11339">
        <v>81298</v>
      </c>
      <c r="B11339">
        <v>325000</v>
      </c>
      <c r="C11339" t="str">
        <f t="shared" si="177"/>
        <v>3. $50K-250K</v>
      </c>
      <c r="D11339" t="s">
        <v>2312</v>
      </c>
      <c r="E11339" t="s">
        <v>52</v>
      </c>
      <c r="F11339" t="s">
        <v>668</v>
      </c>
      <c r="G11339" t="s">
        <v>59</v>
      </c>
      <c r="H11339">
        <v>2023</v>
      </c>
    </row>
    <row r="11340" spans="1:8" x14ac:dyDescent="0.2">
      <c r="A11340">
        <v>81301</v>
      </c>
      <c r="B11340">
        <v>11700000</v>
      </c>
      <c r="C11340" t="str">
        <f t="shared" si="177"/>
        <v>4. $250K-1M</v>
      </c>
      <c r="D11340" t="s">
        <v>2898</v>
      </c>
      <c r="E11340" t="s">
        <v>52</v>
      </c>
      <c r="F11340" t="s">
        <v>668</v>
      </c>
      <c r="G11340" t="s">
        <v>59</v>
      </c>
      <c r="H11340">
        <v>2023</v>
      </c>
    </row>
    <row r="11341" spans="1:8" x14ac:dyDescent="0.2">
      <c r="A11341">
        <v>81492</v>
      </c>
      <c r="B11341">
        <v>3600000</v>
      </c>
      <c r="C11341" t="str">
        <f t="shared" si="177"/>
        <v>5. $1M+</v>
      </c>
      <c r="D11341" t="s">
        <v>570</v>
      </c>
      <c r="E11341" t="s">
        <v>99</v>
      </c>
      <c r="F11341" t="s">
        <v>43</v>
      </c>
      <c r="G11341" t="s">
        <v>44</v>
      </c>
      <c r="H11341">
        <v>2025</v>
      </c>
    </row>
    <row r="11342" spans="1:8" x14ac:dyDescent="0.2">
      <c r="A11342">
        <v>83272</v>
      </c>
      <c r="B11342">
        <v>24000000</v>
      </c>
      <c r="C11342" t="str">
        <f t="shared" si="177"/>
        <v>5. $1M+</v>
      </c>
      <c r="D11342" t="s">
        <v>617</v>
      </c>
      <c r="E11342" t="s">
        <v>42</v>
      </c>
      <c r="F11342" t="s">
        <v>43</v>
      </c>
      <c r="G11342" t="s">
        <v>44</v>
      </c>
      <c r="H11342">
        <v>2023</v>
      </c>
    </row>
    <row r="11343" spans="1:8" x14ac:dyDescent="0.2">
      <c r="A11343">
        <v>83835</v>
      </c>
      <c r="B11343">
        <v>197671.5</v>
      </c>
      <c r="C11343" t="str">
        <f t="shared" si="177"/>
        <v>5. $1M+</v>
      </c>
      <c r="D11343" t="s">
        <v>7</v>
      </c>
      <c r="E11343" t="s">
        <v>24</v>
      </c>
      <c r="F11343" t="s">
        <v>9</v>
      </c>
      <c r="G11343" t="s">
        <v>10</v>
      </c>
      <c r="H11343">
        <v>2023</v>
      </c>
    </row>
    <row r="11344" spans="1:8" x14ac:dyDescent="0.2">
      <c r="A11344">
        <v>84271</v>
      </c>
      <c r="B11344">
        <v>74975015.900000006</v>
      </c>
      <c r="C11344" t="str">
        <f t="shared" si="177"/>
        <v>3. $50K-250K</v>
      </c>
      <c r="D11344" t="s">
        <v>303</v>
      </c>
      <c r="E11344" t="s">
        <v>24</v>
      </c>
      <c r="F11344" t="s">
        <v>22</v>
      </c>
      <c r="G11344" t="s">
        <v>10</v>
      </c>
      <c r="H11344">
        <v>2023</v>
      </c>
    </row>
    <row r="11345" spans="1:8" x14ac:dyDescent="0.2">
      <c r="A11345">
        <v>84415</v>
      </c>
      <c r="B11345">
        <v>44472.6</v>
      </c>
      <c r="C11345" t="str">
        <f t="shared" si="177"/>
        <v>5. $1M+</v>
      </c>
      <c r="D11345" t="s">
        <v>517</v>
      </c>
      <c r="E11345" t="s">
        <v>28</v>
      </c>
      <c r="F11345" t="s">
        <v>31</v>
      </c>
      <c r="G11345" t="s">
        <v>10</v>
      </c>
      <c r="H11345">
        <v>2024</v>
      </c>
    </row>
    <row r="11346" spans="1:8" x14ac:dyDescent="0.2">
      <c r="A11346">
        <v>84664</v>
      </c>
      <c r="B11346">
        <v>3900598.5</v>
      </c>
      <c r="C11346" t="str">
        <f t="shared" si="177"/>
        <v>2. $10K-50K</v>
      </c>
      <c r="D11346" t="s">
        <v>594</v>
      </c>
      <c r="E11346" t="s">
        <v>8</v>
      </c>
      <c r="F11346" t="s">
        <v>9</v>
      </c>
      <c r="G11346" t="s">
        <v>10</v>
      </c>
      <c r="H11346">
        <v>2023</v>
      </c>
    </row>
    <row r="11347" spans="1:8" x14ac:dyDescent="0.2">
      <c r="A11347">
        <v>85577</v>
      </c>
      <c r="B11347">
        <v>6000270</v>
      </c>
      <c r="C11347" t="str">
        <f t="shared" si="177"/>
        <v>5. $1M+</v>
      </c>
      <c r="D11347" t="s">
        <v>618</v>
      </c>
      <c r="E11347" t="s">
        <v>28</v>
      </c>
      <c r="F11347" t="s">
        <v>31</v>
      </c>
      <c r="G11347" t="s">
        <v>10</v>
      </c>
      <c r="H11347">
        <v>2025</v>
      </c>
    </row>
    <row r="11348" spans="1:8" x14ac:dyDescent="0.2">
      <c r="A11348">
        <v>86020</v>
      </c>
      <c r="B11348">
        <v>28106000</v>
      </c>
      <c r="C11348" t="str">
        <f t="shared" si="177"/>
        <v>5. $1M+</v>
      </c>
      <c r="D11348" t="s">
        <v>619</v>
      </c>
      <c r="E11348" t="s">
        <v>28</v>
      </c>
      <c r="F11348" t="s">
        <v>34</v>
      </c>
      <c r="G11348" t="s">
        <v>10</v>
      </c>
      <c r="H11348">
        <v>2023</v>
      </c>
    </row>
    <row r="11349" spans="1:8" x14ac:dyDescent="0.2">
      <c r="A11349">
        <v>86023</v>
      </c>
      <c r="B11349">
        <v>109286.5</v>
      </c>
      <c r="C11349" t="str">
        <f t="shared" si="177"/>
        <v>5. $1M+</v>
      </c>
      <c r="D11349" t="s">
        <v>620</v>
      </c>
      <c r="E11349" t="s">
        <v>59</v>
      </c>
      <c r="F11349" t="s">
        <v>31</v>
      </c>
      <c r="G11349" t="s">
        <v>59</v>
      </c>
      <c r="H11349">
        <v>2023</v>
      </c>
    </row>
    <row r="11350" spans="1:8" x14ac:dyDescent="0.2">
      <c r="A11350">
        <v>86455</v>
      </c>
      <c r="B11350">
        <v>719367.8</v>
      </c>
      <c r="C11350" t="str">
        <f t="shared" si="177"/>
        <v>3. $50K-250K</v>
      </c>
      <c r="D11350" t="s">
        <v>2899</v>
      </c>
      <c r="E11350" t="s">
        <v>59</v>
      </c>
      <c r="F11350" t="s">
        <v>664</v>
      </c>
      <c r="G11350" t="s">
        <v>59</v>
      </c>
      <c r="H11350">
        <v>2023</v>
      </c>
    </row>
    <row r="11351" spans="1:8" x14ac:dyDescent="0.2">
      <c r="A11351">
        <v>86478</v>
      </c>
      <c r="B11351">
        <v>89609.8</v>
      </c>
      <c r="C11351" t="str">
        <f t="shared" si="177"/>
        <v>4. $250K-1M</v>
      </c>
      <c r="D11351" t="s">
        <v>128</v>
      </c>
      <c r="E11351" t="s">
        <v>8</v>
      </c>
      <c r="F11351" t="s">
        <v>9</v>
      </c>
      <c r="G11351" t="s">
        <v>59</v>
      </c>
      <c r="H11351">
        <v>2024</v>
      </c>
    </row>
    <row r="11352" spans="1:8" x14ac:dyDescent="0.2">
      <c r="A11352">
        <v>87486</v>
      </c>
      <c r="B11352">
        <v>491712916</v>
      </c>
      <c r="C11352" t="str">
        <f t="shared" si="177"/>
        <v>3. $50K-250K</v>
      </c>
      <c r="D11352" t="s">
        <v>678</v>
      </c>
      <c r="E11352" t="s">
        <v>28</v>
      </c>
      <c r="F11352" t="s">
        <v>668</v>
      </c>
      <c r="G11352" t="s">
        <v>59</v>
      </c>
      <c r="H11352">
        <v>2023</v>
      </c>
    </row>
    <row r="11353" spans="1:8" x14ac:dyDescent="0.2">
      <c r="A11353">
        <v>87516</v>
      </c>
      <c r="B11353">
        <v>27545325.100000001</v>
      </c>
      <c r="C11353" t="str">
        <f t="shared" si="177"/>
        <v>5. $1M+</v>
      </c>
      <c r="D11353" t="s">
        <v>621</v>
      </c>
      <c r="E11353" t="s">
        <v>18</v>
      </c>
      <c r="F11353" t="s">
        <v>12</v>
      </c>
      <c r="G11353" t="s">
        <v>44</v>
      </c>
      <c r="H11353">
        <v>2023</v>
      </c>
    </row>
    <row r="11354" spans="1:8" x14ac:dyDescent="0.2">
      <c r="A11354">
        <v>87822</v>
      </c>
      <c r="B11354">
        <v>1453144.4</v>
      </c>
      <c r="C11354" t="str">
        <f t="shared" si="177"/>
        <v>5. $1M+</v>
      </c>
      <c r="D11354" t="s">
        <v>203</v>
      </c>
      <c r="E11354" t="s">
        <v>8</v>
      </c>
      <c r="F11354" t="s">
        <v>14</v>
      </c>
      <c r="G11354" t="s">
        <v>15</v>
      </c>
      <c r="H11354">
        <v>2023</v>
      </c>
    </row>
    <row r="11355" spans="1:8" x14ac:dyDescent="0.2">
      <c r="A11355">
        <v>89344</v>
      </c>
      <c r="B11355">
        <v>7800000</v>
      </c>
      <c r="C11355" t="str">
        <f t="shared" si="177"/>
        <v>5. $1M+</v>
      </c>
      <c r="D11355" t="s">
        <v>622</v>
      </c>
      <c r="E11355" t="s">
        <v>28</v>
      </c>
      <c r="F11355" t="s">
        <v>29</v>
      </c>
      <c r="G11355" t="s">
        <v>44</v>
      </c>
      <c r="H11355">
        <v>2023</v>
      </c>
    </row>
    <row r="11356" spans="1:8" x14ac:dyDescent="0.2">
      <c r="A11356">
        <v>89427</v>
      </c>
      <c r="B11356">
        <v>50000</v>
      </c>
      <c r="C11356" t="str">
        <f t="shared" si="177"/>
        <v>5. $1M+</v>
      </c>
      <c r="D11356" t="s">
        <v>2895</v>
      </c>
      <c r="E11356" t="s">
        <v>42</v>
      </c>
      <c r="F11356" t="s">
        <v>668</v>
      </c>
      <c r="G11356" t="s">
        <v>59</v>
      </c>
      <c r="H11356">
        <v>2023</v>
      </c>
    </row>
    <row r="11357" spans="1:8" x14ac:dyDescent="0.2">
      <c r="A11357">
        <v>89433</v>
      </c>
      <c r="B11357">
        <v>20737846</v>
      </c>
      <c r="C11357" t="str">
        <f t="shared" si="177"/>
        <v>3. $50K-250K</v>
      </c>
      <c r="D11357" t="s">
        <v>2900</v>
      </c>
      <c r="E11357" t="s">
        <v>52</v>
      </c>
      <c r="F11357" t="s">
        <v>668</v>
      </c>
      <c r="G11357" t="s">
        <v>59</v>
      </c>
      <c r="H11357">
        <v>2023</v>
      </c>
    </row>
    <row r="11358" spans="1:8" x14ac:dyDescent="0.2">
      <c r="A11358">
        <v>89590</v>
      </c>
      <c r="B11358">
        <v>1370278.8</v>
      </c>
      <c r="C11358" t="str">
        <f t="shared" si="177"/>
        <v>5. $1M+</v>
      </c>
      <c r="D11358" t="s">
        <v>594</v>
      </c>
      <c r="E11358" t="s">
        <v>8</v>
      </c>
      <c r="F11358" t="s">
        <v>9</v>
      </c>
      <c r="G11358" t="s">
        <v>10</v>
      </c>
      <c r="H11358">
        <v>2023</v>
      </c>
    </row>
    <row r="11359" spans="1:8" x14ac:dyDescent="0.2">
      <c r="A11359">
        <v>89748</v>
      </c>
      <c r="B11359">
        <v>12258594</v>
      </c>
      <c r="C11359" t="str">
        <f t="shared" si="177"/>
        <v>5. $1M+</v>
      </c>
      <c r="D11359" t="s">
        <v>269</v>
      </c>
      <c r="E11359" t="s">
        <v>28</v>
      </c>
      <c r="F11359" t="s">
        <v>43</v>
      </c>
      <c r="G11359" t="s">
        <v>44</v>
      </c>
      <c r="H11359">
        <v>2024</v>
      </c>
    </row>
    <row r="11360" spans="1:8" x14ac:dyDescent="0.2">
      <c r="A11360">
        <v>91186</v>
      </c>
      <c r="B11360">
        <v>287500</v>
      </c>
      <c r="C11360" t="str">
        <f t="shared" si="177"/>
        <v>5. $1M+</v>
      </c>
      <c r="D11360" t="s">
        <v>804</v>
      </c>
      <c r="E11360" t="s">
        <v>42</v>
      </c>
      <c r="F11360" t="s">
        <v>670</v>
      </c>
      <c r="G11360" t="s">
        <v>44</v>
      </c>
      <c r="H11360">
        <v>2023</v>
      </c>
    </row>
    <row r="11361" spans="1:8" x14ac:dyDescent="0.2">
      <c r="A11361">
        <v>91187</v>
      </c>
      <c r="B11361">
        <v>287500</v>
      </c>
      <c r="C11361" t="str">
        <f t="shared" si="177"/>
        <v>4. $250K-1M</v>
      </c>
      <c r="D11361" t="s">
        <v>682</v>
      </c>
      <c r="E11361" t="s">
        <v>42</v>
      </c>
      <c r="F11361" t="s">
        <v>670</v>
      </c>
      <c r="G11361" t="s">
        <v>44</v>
      </c>
      <c r="H11361">
        <v>2023</v>
      </c>
    </row>
    <row r="11362" spans="1:8" x14ac:dyDescent="0.2">
      <c r="A11362">
        <v>91188</v>
      </c>
      <c r="B11362">
        <v>287500</v>
      </c>
      <c r="C11362" t="str">
        <f t="shared" si="177"/>
        <v>4. $250K-1M</v>
      </c>
      <c r="D11362" t="s">
        <v>782</v>
      </c>
      <c r="E11362" t="s">
        <v>42</v>
      </c>
      <c r="F11362" t="s">
        <v>670</v>
      </c>
      <c r="G11362" t="s">
        <v>44</v>
      </c>
      <c r="H11362">
        <v>2024</v>
      </c>
    </row>
    <row r="11363" spans="1:8" x14ac:dyDescent="0.2">
      <c r="A11363">
        <v>91955</v>
      </c>
      <c r="B11363">
        <v>1190623</v>
      </c>
      <c r="C11363" t="str">
        <f t="shared" si="177"/>
        <v>4. $250K-1M</v>
      </c>
      <c r="D11363" t="s">
        <v>297</v>
      </c>
      <c r="E11363" t="s">
        <v>28</v>
      </c>
      <c r="F11363" t="s">
        <v>34</v>
      </c>
      <c r="G11363" t="s">
        <v>10</v>
      </c>
      <c r="H11363">
        <v>2023</v>
      </c>
    </row>
    <row r="11364" spans="1:8" x14ac:dyDescent="0.2">
      <c r="A11364">
        <v>91956</v>
      </c>
      <c r="B11364">
        <v>268000</v>
      </c>
      <c r="C11364" t="str">
        <f t="shared" si="177"/>
        <v>5. $1M+</v>
      </c>
      <c r="D11364" t="s">
        <v>623</v>
      </c>
      <c r="E11364" t="s">
        <v>28</v>
      </c>
      <c r="F11364" t="s">
        <v>34</v>
      </c>
      <c r="G11364" t="s">
        <v>10</v>
      </c>
      <c r="H11364">
        <v>2023</v>
      </c>
    </row>
    <row r="11365" spans="1:8" x14ac:dyDescent="0.2">
      <c r="A11365">
        <v>92309</v>
      </c>
      <c r="B11365">
        <v>412546</v>
      </c>
      <c r="C11365" t="str">
        <f t="shared" si="177"/>
        <v>4. $250K-1M</v>
      </c>
      <c r="D11365" t="s">
        <v>879</v>
      </c>
      <c r="E11365" t="s">
        <v>42</v>
      </c>
      <c r="F11365" t="s">
        <v>670</v>
      </c>
      <c r="G11365" t="s">
        <v>44</v>
      </c>
      <c r="H11365">
        <v>2023</v>
      </c>
    </row>
    <row r="11366" spans="1:8" x14ac:dyDescent="0.2">
      <c r="A11366">
        <v>92311</v>
      </c>
      <c r="B11366">
        <v>534564</v>
      </c>
      <c r="C11366" t="str">
        <f t="shared" si="177"/>
        <v>4. $250K-1M</v>
      </c>
      <c r="D11366" t="s">
        <v>804</v>
      </c>
      <c r="E11366" t="s">
        <v>42</v>
      </c>
      <c r="F11366" t="s">
        <v>670</v>
      </c>
      <c r="G11366" t="s">
        <v>44</v>
      </c>
      <c r="H11366">
        <v>2023</v>
      </c>
    </row>
    <row r="11367" spans="1:8" x14ac:dyDescent="0.2">
      <c r="A11367">
        <v>92312</v>
      </c>
      <c r="B11367">
        <v>3919098</v>
      </c>
      <c r="C11367" t="str">
        <f t="shared" si="177"/>
        <v>4. $250K-1M</v>
      </c>
      <c r="D11367" t="s">
        <v>674</v>
      </c>
      <c r="E11367" t="s">
        <v>42</v>
      </c>
      <c r="F11367" t="s">
        <v>670</v>
      </c>
      <c r="G11367" t="s">
        <v>44</v>
      </c>
      <c r="H11367">
        <v>2023</v>
      </c>
    </row>
    <row r="11368" spans="1:8" x14ac:dyDescent="0.2">
      <c r="A11368">
        <v>92313</v>
      </c>
      <c r="B11368">
        <v>780602</v>
      </c>
      <c r="C11368" t="str">
        <f t="shared" si="177"/>
        <v>5. $1M+</v>
      </c>
      <c r="D11368" t="s">
        <v>810</v>
      </c>
      <c r="E11368" t="s">
        <v>42</v>
      </c>
      <c r="F11368" t="s">
        <v>670</v>
      </c>
      <c r="G11368" t="s">
        <v>44</v>
      </c>
      <c r="H11368">
        <v>2023</v>
      </c>
    </row>
    <row r="11369" spans="1:8" x14ac:dyDescent="0.2">
      <c r="A11369">
        <v>92315</v>
      </c>
      <c r="B11369">
        <v>1291482</v>
      </c>
      <c r="C11369" t="str">
        <f t="shared" si="177"/>
        <v>4. $250K-1M</v>
      </c>
      <c r="D11369" t="s">
        <v>687</v>
      </c>
      <c r="E11369" t="s">
        <v>42</v>
      </c>
      <c r="F11369" t="s">
        <v>670</v>
      </c>
      <c r="G11369" t="s">
        <v>44</v>
      </c>
      <c r="H11369">
        <v>2023</v>
      </c>
    </row>
    <row r="11370" spans="1:8" x14ac:dyDescent="0.2">
      <c r="A11370">
        <v>92316</v>
      </c>
      <c r="B11370">
        <v>1126311</v>
      </c>
      <c r="C11370" t="str">
        <f t="shared" si="177"/>
        <v>5. $1M+</v>
      </c>
      <c r="D11370" t="s">
        <v>878</v>
      </c>
      <c r="E11370" t="s">
        <v>42</v>
      </c>
      <c r="F11370" t="s">
        <v>670</v>
      </c>
      <c r="G11370" t="s">
        <v>44</v>
      </c>
      <c r="H11370">
        <v>2023</v>
      </c>
    </row>
    <row r="11371" spans="1:8" x14ac:dyDescent="0.2">
      <c r="A11371">
        <v>92318</v>
      </c>
      <c r="B11371">
        <v>527536</v>
      </c>
      <c r="C11371" t="str">
        <f t="shared" si="177"/>
        <v>5. $1M+</v>
      </c>
      <c r="D11371" t="s">
        <v>997</v>
      </c>
      <c r="E11371" t="s">
        <v>42</v>
      </c>
      <c r="F11371" t="s">
        <v>670</v>
      </c>
      <c r="G11371" t="s">
        <v>44</v>
      </c>
      <c r="H11371">
        <v>2023</v>
      </c>
    </row>
    <row r="11372" spans="1:8" x14ac:dyDescent="0.2">
      <c r="A11372">
        <v>92319</v>
      </c>
      <c r="B11372">
        <v>279793</v>
      </c>
      <c r="C11372" t="str">
        <f t="shared" si="177"/>
        <v>4. $250K-1M</v>
      </c>
      <c r="D11372" t="s">
        <v>691</v>
      </c>
      <c r="E11372" t="s">
        <v>42</v>
      </c>
      <c r="F11372" t="s">
        <v>670</v>
      </c>
      <c r="G11372" t="s">
        <v>44</v>
      </c>
      <c r="H11372">
        <v>2023</v>
      </c>
    </row>
    <row r="11373" spans="1:8" x14ac:dyDescent="0.2">
      <c r="A11373">
        <v>92320</v>
      </c>
      <c r="B11373">
        <v>3324216</v>
      </c>
      <c r="C11373" t="str">
        <f t="shared" si="177"/>
        <v>4. $250K-1M</v>
      </c>
      <c r="D11373" t="s">
        <v>881</v>
      </c>
      <c r="E11373" t="s">
        <v>42</v>
      </c>
      <c r="F11373" t="s">
        <v>670</v>
      </c>
      <c r="G11373" t="s">
        <v>44</v>
      </c>
      <c r="H11373">
        <v>2023</v>
      </c>
    </row>
    <row r="11374" spans="1:8" x14ac:dyDescent="0.2">
      <c r="A11374">
        <v>92321</v>
      </c>
      <c r="B11374">
        <v>1947635</v>
      </c>
      <c r="C11374" t="str">
        <f t="shared" si="177"/>
        <v>5. $1M+</v>
      </c>
      <c r="D11374" t="s">
        <v>671</v>
      </c>
      <c r="E11374" t="s">
        <v>42</v>
      </c>
      <c r="F11374" t="s">
        <v>670</v>
      </c>
      <c r="G11374" t="s">
        <v>44</v>
      </c>
      <c r="H11374">
        <v>2023</v>
      </c>
    </row>
    <row r="11375" spans="1:8" x14ac:dyDescent="0.2">
      <c r="A11375">
        <v>92322</v>
      </c>
      <c r="B11375">
        <v>805671</v>
      </c>
      <c r="C11375" t="str">
        <f t="shared" si="177"/>
        <v>5. $1M+</v>
      </c>
      <c r="D11375" t="s">
        <v>864</v>
      </c>
      <c r="E11375" t="s">
        <v>42</v>
      </c>
      <c r="F11375" t="s">
        <v>670</v>
      </c>
      <c r="G11375" t="s">
        <v>44</v>
      </c>
      <c r="H11375">
        <v>2023</v>
      </c>
    </row>
    <row r="11376" spans="1:8" x14ac:dyDescent="0.2">
      <c r="A11376">
        <v>92323</v>
      </c>
      <c r="B11376">
        <v>666993</v>
      </c>
      <c r="C11376" t="str">
        <f t="shared" si="177"/>
        <v>4. $250K-1M</v>
      </c>
      <c r="D11376" t="s">
        <v>1524</v>
      </c>
      <c r="E11376" t="s">
        <v>42</v>
      </c>
      <c r="F11376" t="s">
        <v>670</v>
      </c>
      <c r="G11376" t="s">
        <v>44</v>
      </c>
      <c r="H11376">
        <v>2023</v>
      </c>
    </row>
    <row r="11377" spans="1:8" x14ac:dyDescent="0.2">
      <c r="A11377">
        <v>92324</v>
      </c>
      <c r="B11377">
        <v>1328254</v>
      </c>
      <c r="C11377" t="str">
        <f t="shared" si="177"/>
        <v>4. $250K-1M</v>
      </c>
      <c r="D11377" t="s">
        <v>855</v>
      </c>
      <c r="E11377" t="s">
        <v>42</v>
      </c>
      <c r="F11377" t="s">
        <v>670</v>
      </c>
      <c r="G11377" t="s">
        <v>44</v>
      </c>
      <c r="H11377">
        <v>2023</v>
      </c>
    </row>
    <row r="11378" spans="1:8" x14ac:dyDescent="0.2">
      <c r="A11378">
        <v>92325</v>
      </c>
      <c r="B11378">
        <v>13688662</v>
      </c>
      <c r="C11378" t="str">
        <f t="shared" si="177"/>
        <v>5. $1M+</v>
      </c>
      <c r="D11378" t="s">
        <v>669</v>
      </c>
      <c r="E11378" t="s">
        <v>42</v>
      </c>
      <c r="F11378" t="s">
        <v>670</v>
      </c>
      <c r="G11378" t="s">
        <v>44</v>
      </c>
      <c r="H11378">
        <v>2023</v>
      </c>
    </row>
    <row r="11379" spans="1:8" x14ac:dyDescent="0.2">
      <c r="A11379">
        <v>92930</v>
      </c>
      <c r="B11379">
        <v>1787752</v>
      </c>
      <c r="C11379" t="str">
        <f t="shared" si="177"/>
        <v>5. $1M+</v>
      </c>
      <c r="D11379" t="s">
        <v>383</v>
      </c>
      <c r="E11379" t="s">
        <v>49</v>
      </c>
      <c r="F11379" t="s">
        <v>22</v>
      </c>
      <c r="G11379" t="s">
        <v>10</v>
      </c>
      <c r="H11379">
        <v>2024</v>
      </c>
    </row>
    <row r="11380" spans="1:8" x14ac:dyDescent="0.2">
      <c r="A11380">
        <v>92953</v>
      </c>
      <c r="B11380">
        <v>3780514.5</v>
      </c>
      <c r="C11380" t="str">
        <f t="shared" si="177"/>
        <v>5. $1M+</v>
      </c>
      <c r="D11380" t="s">
        <v>317</v>
      </c>
      <c r="E11380" t="s">
        <v>37</v>
      </c>
      <c r="F11380" t="s">
        <v>22</v>
      </c>
      <c r="G11380" t="s">
        <v>10</v>
      </c>
      <c r="H11380">
        <v>2023</v>
      </c>
    </row>
    <row r="11381" spans="1:8" x14ac:dyDescent="0.2">
      <c r="A11381">
        <v>93627</v>
      </c>
      <c r="B11381">
        <v>68874321</v>
      </c>
      <c r="C11381" t="str">
        <f t="shared" si="177"/>
        <v>5. $1M+</v>
      </c>
      <c r="D11381" t="s">
        <v>275</v>
      </c>
      <c r="E11381" t="s">
        <v>67</v>
      </c>
      <c r="F11381" t="s">
        <v>43</v>
      </c>
      <c r="G11381" t="s">
        <v>44</v>
      </c>
      <c r="H11381">
        <v>2024</v>
      </c>
    </row>
    <row r="11382" spans="1:8" x14ac:dyDescent="0.2">
      <c r="A11382">
        <v>94385</v>
      </c>
      <c r="B11382">
        <v>2127298</v>
      </c>
      <c r="C11382" t="str">
        <f t="shared" si="177"/>
        <v>5. $1M+</v>
      </c>
      <c r="D11382" t="s">
        <v>669</v>
      </c>
      <c r="E11382" t="s">
        <v>42</v>
      </c>
      <c r="F11382" t="s">
        <v>670</v>
      </c>
      <c r="G11382" t="s">
        <v>44</v>
      </c>
      <c r="H11382">
        <v>2023</v>
      </c>
    </row>
    <row r="11383" spans="1:8" x14ac:dyDescent="0.2">
      <c r="A11383">
        <v>94389</v>
      </c>
      <c r="B11383">
        <v>236688</v>
      </c>
      <c r="C11383" t="str">
        <f t="shared" si="177"/>
        <v>5. $1M+</v>
      </c>
      <c r="D11383" t="s">
        <v>548</v>
      </c>
      <c r="E11383" t="s">
        <v>42</v>
      </c>
      <c r="F11383" t="s">
        <v>670</v>
      </c>
      <c r="G11383" t="s">
        <v>44</v>
      </c>
      <c r="H11383">
        <v>2023</v>
      </c>
    </row>
    <row r="11384" spans="1:8" x14ac:dyDescent="0.2">
      <c r="A11384">
        <v>94391</v>
      </c>
      <c r="B11384">
        <v>260666</v>
      </c>
      <c r="C11384" t="str">
        <f t="shared" si="177"/>
        <v>3. $50K-250K</v>
      </c>
      <c r="D11384" t="s">
        <v>804</v>
      </c>
      <c r="E11384" t="s">
        <v>42</v>
      </c>
      <c r="F11384" t="s">
        <v>670</v>
      </c>
      <c r="G11384" t="s">
        <v>44</v>
      </c>
      <c r="H11384">
        <v>2023</v>
      </c>
    </row>
    <row r="11385" spans="1:8" x14ac:dyDescent="0.2">
      <c r="A11385">
        <v>94395</v>
      </c>
      <c r="B11385">
        <v>18310216</v>
      </c>
      <c r="C11385" t="str">
        <f t="shared" si="177"/>
        <v>4. $250K-1M</v>
      </c>
      <c r="D11385" t="s">
        <v>669</v>
      </c>
      <c r="E11385" t="s">
        <v>42</v>
      </c>
      <c r="F11385" t="s">
        <v>670</v>
      </c>
      <c r="G11385" t="s">
        <v>44</v>
      </c>
      <c r="H11385">
        <v>2023</v>
      </c>
    </row>
    <row r="11386" spans="1:8" x14ac:dyDescent="0.2">
      <c r="A11386">
        <v>94402</v>
      </c>
      <c r="B11386">
        <v>322364</v>
      </c>
      <c r="C11386" t="str">
        <f t="shared" si="177"/>
        <v>5. $1M+</v>
      </c>
      <c r="D11386" t="s">
        <v>1581</v>
      </c>
      <c r="E11386" t="s">
        <v>42</v>
      </c>
      <c r="F11386" t="s">
        <v>670</v>
      </c>
      <c r="G11386" t="s">
        <v>44</v>
      </c>
      <c r="H11386">
        <v>2023</v>
      </c>
    </row>
    <row r="11387" spans="1:8" x14ac:dyDescent="0.2">
      <c r="A11387">
        <v>94403</v>
      </c>
      <c r="B11387">
        <v>802926</v>
      </c>
      <c r="C11387" t="str">
        <f t="shared" si="177"/>
        <v>4. $250K-1M</v>
      </c>
      <c r="D11387" t="s">
        <v>884</v>
      </c>
      <c r="E11387" t="s">
        <v>42</v>
      </c>
      <c r="F11387" t="s">
        <v>670</v>
      </c>
      <c r="G11387" t="s">
        <v>44</v>
      </c>
      <c r="H11387">
        <v>2023</v>
      </c>
    </row>
    <row r="11388" spans="1:8" x14ac:dyDescent="0.2">
      <c r="A11388">
        <v>94994</v>
      </c>
      <c r="B11388">
        <v>8043271.9000000004</v>
      </c>
      <c r="C11388" t="str">
        <f t="shared" si="177"/>
        <v>4. $250K-1M</v>
      </c>
      <c r="D11388" t="s">
        <v>11</v>
      </c>
      <c r="E11388" t="s">
        <v>28</v>
      </c>
      <c r="F11388" t="s">
        <v>31</v>
      </c>
      <c r="G11388" t="s">
        <v>10</v>
      </c>
      <c r="H11388">
        <v>2023</v>
      </c>
    </row>
    <row r="11389" spans="1:8" x14ac:dyDescent="0.2">
      <c r="A11389">
        <v>95359</v>
      </c>
      <c r="B11389">
        <v>305718.40000000002</v>
      </c>
      <c r="C11389" t="str">
        <f t="shared" si="177"/>
        <v>5. $1M+</v>
      </c>
      <c r="D11389" t="s">
        <v>624</v>
      </c>
      <c r="E11389" t="s">
        <v>24</v>
      </c>
      <c r="F11389" t="s">
        <v>22</v>
      </c>
      <c r="G11389" t="s">
        <v>10</v>
      </c>
      <c r="H11389">
        <v>2023</v>
      </c>
    </row>
    <row r="11390" spans="1:8" x14ac:dyDescent="0.2">
      <c r="A11390">
        <v>95695</v>
      </c>
      <c r="B11390">
        <v>79562</v>
      </c>
      <c r="C11390" t="str">
        <f t="shared" si="177"/>
        <v>4. $250K-1M</v>
      </c>
      <c r="D11390" t="s">
        <v>128</v>
      </c>
      <c r="E11390" t="s">
        <v>8</v>
      </c>
      <c r="F11390" t="s">
        <v>9</v>
      </c>
      <c r="G11390" t="s">
        <v>10</v>
      </c>
      <c r="H11390">
        <v>2023</v>
      </c>
    </row>
    <row r="11391" spans="1:8" x14ac:dyDescent="0.2">
      <c r="A11391">
        <v>96319</v>
      </c>
      <c r="B11391">
        <v>55250000</v>
      </c>
      <c r="C11391" t="str">
        <f t="shared" si="177"/>
        <v>3. $50K-250K</v>
      </c>
      <c r="D11391" t="s">
        <v>625</v>
      </c>
      <c r="E11391" t="s">
        <v>28</v>
      </c>
      <c r="F11391" t="s">
        <v>29</v>
      </c>
      <c r="G11391" t="s">
        <v>59</v>
      </c>
      <c r="H11391">
        <v>2023</v>
      </c>
    </row>
    <row r="11392" spans="1:8" x14ac:dyDescent="0.2">
      <c r="A11392">
        <v>97923</v>
      </c>
      <c r="B11392">
        <v>296731</v>
      </c>
      <c r="C11392" t="str">
        <f t="shared" si="177"/>
        <v>5. $1M+</v>
      </c>
      <c r="D11392" t="s">
        <v>626</v>
      </c>
      <c r="E11392" t="s">
        <v>54</v>
      </c>
      <c r="F11392" t="s">
        <v>22</v>
      </c>
      <c r="G11392" t="s">
        <v>10</v>
      </c>
      <c r="H11392">
        <v>2023</v>
      </c>
    </row>
    <row r="11393" spans="1:8" x14ac:dyDescent="0.2">
      <c r="A11393">
        <v>98065</v>
      </c>
      <c r="B11393">
        <v>508409494</v>
      </c>
      <c r="C11393" t="str">
        <f t="shared" si="177"/>
        <v>4. $250K-1M</v>
      </c>
      <c r="D11393" t="s">
        <v>627</v>
      </c>
      <c r="E11393" t="s">
        <v>28</v>
      </c>
      <c r="F11393" t="s">
        <v>29</v>
      </c>
      <c r="G11393" t="s">
        <v>15</v>
      </c>
      <c r="H11393">
        <v>2023</v>
      </c>
    </row>
    <row r="11394" spans="1:8" x14ac:dyDescent="0.2">
      <c r="A11394">
        <v>98336</v>
      </c>
      <c r="B11394">
        <v>2000000</v>
      </c>
      <c r="C11394" t="str">
        <f t="shared" si="177"/>
        <v>5. $1M+</v>
      </c>
      <c r="D11394" t="s">
        <v>601</v>
      </c>
      <c r="E11394" t="s">
        <v>8</v>
      </c>
      <c r="F11394" t="s">
        <v>12</v>
      </c>
      <c r="G11394" t="s">
        <v>101</v>
      </c>
      <c r="H11394">
        <v>2025</v>
      </c>
    </row>
    <row r="11395" spans="1:8" x14ac:dyDescent="0.2">
      <c r="A11395">
        <v>98447</v>
      </c>
      <c r="B11395">
        <v>2082115154</v>
      </c>
      <c r="C11395" t="str">
        <f t="shared" ref="C11395:C11409" si="178">IF(B11394&lt;10000,"1. Under $10K",IF(B11394&lt;50000,"2. $10K-50K",IF(B11394&lt;250000,"3. $50K-250K",IF(B11394&lt;1000000,"4. $250K-1M","5. $1M+"))))</f>
        <v>5. $1M+</v>
      </c>
      <c r="D11395" t="s">
        <v>628</v>
      </c>
      <c r="E11395" t="s">
        <v>28</v>
      </c>
      <c r="F11395" t="s">
        <v>29</v>
      </c>
      <c r="G11395" t="s">
        <v>15</v>
      </c>
      <c r="H11395">
        <v>2023</v>
      </c>
    </row>
    <row r="11396" spans="1:8" x14ac:dyDescent="0.2">
      <c r="A11396">
        <v>98464</v>
      </c>
      <c r="B11396">
        <v>2349520</v>
      </c>
      <c r="C11396" t="str">
        <f t="shared" si="178"/>
        <v>5. $1M+</v>
      </c>
      <c r="D11396" t="s">
        <v>629</v>
      </c>
      <c r="E11396" t="s">
        <v>28</v>
      </c>
      <c r="F11396" t="s">
        <v>31</v>
      </c>
      <c r="G11396" t="s">
        <v>10</v>
      </c>
      <c r="H11396">
        <v>2025</v>
      </c>
    </row>
    <row r="11397" spans="1:8" x14ac:dyDescent="0.2">
      <c r="A11397">
        <v>99121</v>
      </c>
      <c r="B11397">
        <v>698638.2</v>
      </c>
      <c r="C11397" t="str">
        <f t="shared" si="178"/>
        <v>5. $1M+</v>
      </c>
      <c r="D11397" t="s">
        <v>83</v>
      </c>
      <c r="E11397" t="s">
        <v>24</v>
      </c>
      <c r="F11397" t="s">
        <v>12</v>
      </c>
      <c r="G11397" t="s">
        <v>10</v>
      </c>
      <c r="H11397">
        <v>2023</v>
      </c>
    </row>
    <row r="11398" spans="1:8" x14ac:dyDescent="0.2">
      <c r="A11398">
        <v>99710</v>
      </c>
      <c r="B11398">
        <v>30985.5</v>
      </c>
      <c r="C11398" t="str">
        <f t="shared" si="178"/>
        <v>4. $250K-1M</v>
      </c>
      <c r="D11398" t="s">
        <v>80</v>
      </c>
      <c r="E11398" t="s">
        <v>24</v>
      </c>
      <c r="F11398" t="s">
        <v>25</v>
      </c>
      <c r="G11398" t="s">
        <v>10</v>
      </c>
      <c r="H11398">
        <v>2024</v>
      </c>
    </row>
    <row r="11399" spans="1:8" x14ac:dyDescent="0.2">
      <c r="A11399">
        <v>99711</v>
      </c>
      <c r="B11399">
        <v>1319</v>
      </c>
      <c r="C11399" t="str">
        <f t="shared" si="178"/>
        <v>2. $10K-50K</v>
      </c>
      <c r="D11399" t="s">
        <v>23</v>
      </c>
      <c r="E11399" t="s">
        <v>24</v>
      </c>
      <c r="F11399" t="s">
        <v>25</v>
      </c>
      <c r="G11399" t="s">
        <v>10</v>
      </c>
      <c r="H11399">
        <v>2024</v>
      </c>
    </row>
    <row r="11400" spans="1:8" x14ac:dyDescent="0.2">
      <c r="A11400">
        <v>99820</v>
      </c>
      <c r="B11400">
        <v>927134.7</v>
      </c>
      <c r="C11400" t="str">
        <f t="shared" si="178"/>
        <v>1. Under $10K</v>
      </c>
      <c r="D11400" t="s">
        <v>590</v>
      </c>
      <c r="E11400" t="s">
        <v>24</v>
      </c>
      <c r="F11400" t="s">
        <v>9</v>
      </c>
      <c r="G11400" t="s">
        <v>10</v>
      </c>
      <c r="H11400">
        <v>2025</v>
      </c>
    </row>
    <row r="11401" spans="1:8" x14ac:dyDescent="0.2">
      <c r="A11401">
        <v>99821</v>
      </c>
      <c r="B11401">
        <v>8449.5</v>
      </c>
      <c r="C11401" t="str">
        <f t="shared" si="178"/>
        <v>4. $250K-1M</v>
      </c>
      <c r="D11401" t="s">
        <v>116</v>
      </c>
      <c r="E11401" t="s">
        <v>24</v>
      </c>
      <c r="F11401" t="s">
        <v>25</v>
      </c>
      <c r="G11401" t="s">
        <v>10</v>
      </c>
      <c r="H11401">
        <v>2023</v>
      </c>
    </row>
    <row r="11402" spans="1:8" x14ac:dyDescent="0.2">
      <c r="A11402">
        <v>9983</v>
      </c>
      <c r="B11402">
        <v>363090</v>
      </c>
      <c r="C11402" t="str">
        <f t="shared" si="178"/>
        <v>1. Under $10K</v>
      </c>
      <c r="D11402" t="s">
        <v>2901</v>
      </c>
      <c r="E11402" t="s">
        <v>368</v>
      </c>
      <c r="F11402" t="s">
        <v>668</v>
      </c>
      <c r="G11402" t="s">
        <v>59</v>
      </c>
      <c r="H11402">
        <v>2023</v>
      </c>
    </row>
    <row r="11403" spans="1:8" x14ac:dyDescent="0.2">
      <c r="A11403">
        <v>99894</v>
      </c>
      <c r="B11403">
        <v>4989068</v>
      </c>
      <c r="C11403" t="str">
        <f t="shared" si="178"/>
        <v>4. $250K-1M</v>
      </c>
      <c r="D11403" t="s">
        <v>692</v>
      </c>
      <c r="E11403" t="s">
        <v>237</v>
      </c>
      <c r="F11403" t="s">
        <v>670</v>
      </c>
      <c r="G11403" t="s">
        <v>59</v>
      </c>
      <c r="H11403">
        <v>2023</v>
      </c>
    </row>
    <row r="11404" spans="1:8" x14ac:dyDescent="0.2">
      <c r="A11404">
        <v>99903</v>
      </c>
      <c r="B11404">
        <v>1626375</v>
      </c>
      <c r="C11404" t="str">
        <f t="shared" si="178"/>
        <v>5. $1M+</v>
      </c>
      <c r="D11404" t="s">
        <v>697</v>
      </c>
      <c r="E11404" t="s">
        <v>237</v>
      </c>
      <c r="F11404" t="s">
        <v>670</v>
      </c>
      <c r="G11404" t="s">
        <v>59</v>
      </c>
      <c r="H11404">
        <v>2024</v>
      </c>
    </row>
    <row r="11405" spans="1:8" x14ac:dyDescent="0.2">
      <c r="A11405">
        <v>9991</v>
      </c>
      <c r="B11405">
        <v>1010538.3</v>
      </c>
      <c r="C11405" t="str">
        <f t="shared" si="178"/>
        <v>5. $1M+</v>
      </c>
      <c r="D11405" t="s">
        <v>2902</v>
      </c>
      <c r="E11405" t="s">
        <v>99</v>
      </c>
      <c r="F11405" t="s">
        <v>668</v>
      </c>
      <c r="G11405" t="s">
        <v>59</v>
      </c>
      <c r="H11405">
        <v>2023</v>
      </c>
    </row>
    <row r="11406" spans="1:8" x14ac:dyDescent="0.2">
      <c r="A11406">
        <v>99983</v>
      </c>
      <c r="B11406">
        <v>2514565</v>
      </c>
      <c r="C11406" t="str">
        <f t="shared" si="178"/>
        <v>5. $1M+</v>
      </c>
      <c r="D11406" t="s">
        <v>700</v>
      </c>
      <c r="E11406" t="s">
        <v>237</v>
      </c>
      <c r="F11406" t="s">
        <v>670</v>
      </c>
      <c r="G11406" t="s">
        <v>59</v>
      </c>
      <c r="H11406">
        <v>2023</v>
      </c>
    </row>
    <row r="11407" spans="1:8" x14ac:dyDescent="0.2">
      <c r="A11407">
        <v>99984</v>
      </c>
      <c r="B11407">
        <v>464022</v>
      </c>
      <c r="C11407" t="str">
        <f t="shared" si="178"/>
        <v>5. $1M+</v>
      </c>
      <c r="D11407" t="s">
        <v>705</v>
      </c>
      <c r="E11407" t="s">
        <v>237</v>
      </c>
      <c r="F11407" t="s">
        <v>670</v>
      </c>
      <c r="G11407" t="s">
        <v>59</v>
      </c>
      <c r="H11407">
        <v>2024</v>
      </c>
    </row>
    <row r="11408" spans="1:8" x14ac:dyDescent="0.2">
      <c r="A11408">
        <v>99985</v>
      </c>
      <c r="B11408">
        <v>2250155</v>
      </c>
      <c r="C11408" t="str">
        <f t="shared" si="178"/>
        <v>4. $250K-1M</v>
      </c>
      <c r="D11408" t="s">
        <v>713</v>
      </c>
      <c r="E11408" t="s">
        <v>237</v>
      </c>
      <c r="F11408" t="s">
        <v>670</v>
      </c>
      <c r="G11408" t="s">
        <v>59</v>
      </c>
      <c r="H11408">
        <v>2023</v>
      </c>
    </row>
    <row r="11409" spans="1:8" x14ac:dyDescent="0.2">
      <c r="A11409" t="s">
        <v>630</v>
      </c>
      <c r="B11409">
        <v>7731390</v>
      </c>
      <c r="C11409" t="str">
        <f t="shared" si="178"/>
        <v>5. $1M+</v>
      </c>
      <c r="D11409" t="s">
        <v>631</v>
      </c>
      <c r="E11409" t="s">
        <v>8</v>
      </c>
      <c r="F11409" t="s">
        <v>43</v>
      </c>
      <c r="G11409" t="s">
        <v>101</v>
      </c>
      <c r="H11409">
        <v>2023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8810-33C1-194A-BA1A-D408C85C88FF}">
  <dimension ref="A1:D45"/>
  <sheetViews>
    <sheetView zoomScale="75" workbookViewId="0">
      <selection activeCell="C56" sqref="C56"/>
    </sheetView>
  </sheetViews>
  <sheetFormatPr baseColWidth="10" defaultRowHeight="16" x14ac:dyDescent="0.2"/>
  <cols>
    <col min="1" max="1" width="59.5" bestFit="1" customWidth="1"/>
    <col min="2" max="2" width="17.5" bestFit="1" customWidth="1"/>
    <col min="3" max="3" width="15" bestFit="1" customWidth="1"/>
  </cols>
  <sheetData>
    <row r="1" spans="1:4" x14ac:dyDescent="0.2">
      <c r="A1" s="3" t="s">
        <v>632</v>
      </c>
      <c r="B1" t="s">
        <v>659</v>
      </c>
    </row>
    <row r="3" spans="1:4" x14ac:dyDescent="0.2">
      <c r="A3" s="3" t="s">
        <v>633</v>
      </c>
      <c r="B3" t="s">
        <v>660</v>
      </c>
      <c r="C3" t="s">
        <v>636</v>
      </c>
      <c r="D3" s="12" t="s">
        <v>650</v>
      </c>
    </row>
    <row r="4" spans="1:4" x14ac:dyDescent="0.2">
      <c r="A4" s="4" t="s">
        <v>112</v>
      </c>
      <c r="B4" s="10">
        <v>1150</v>
      </c>
      <c r="C4" s="1">
        <v>61131237.200000003</v>
      </c>
      <c r="D4">
        <f>COUNTA(_xlfn.UNIQUE(_xlfn._xlws.FILTER(Data!#REF!,(Data!#REF!=A4)*((Data!#REF!="1. Under $10K")+(Data!#REF!="2. $10K-50K")))))</f>
        <v>1</v>
      </c>
    </row>
    <row r="5" spans="1:4" x14ac:dyDescent="0.2">
      <c r="A5" s="4" t="s">
        <v>237</v>
      </c>
      <c r="B5" s="10">
        <v>1001</v>
      </c>
      <c r="C5" s="1">
        <v>655018171.00000036</v>
      </c>
      <c r="D5" cm="1">
        <f t="array" ref="D5">COUNTA(_xlfn.UNIQUE(_xlfn._xlws.FILTER(Data!#REF!,(Data!#REF!=A5)*((Data!#REF!="1. Under $10K")+(Data!#REF!="2. $10K-50K")))))</f>
        <v>1</v>
      </c>
    </row>
    <row r="6" spans="1:4" x14ac:dyDescent="0.2">
      <c r="A6" s="4" t="s">
        <v>42</v>
      </c>
      <c r="B6" s="10">
        <v>252</v>
      </c>
      <c r="C6" s="1">
        <v>172297591.29999998</v>
      </c>
      <c r="D6" cm="1">
        <f t="array" ref="D6">COUNTA(_xlfn.UNIQUE(_xlfn._xlws.FILTER(Data!#REF!,(Data!#REF!=A6)*((Data!#REF!="1. Under $10K")+(Data!#REF!="2. $10K-50K")))))</f>
        <v>1</v>
      </c>
    </row>
    <row r="7" spans="1:4" x14ac:dyDescent="0.2">
      <c r="A7" s="4" t="s">
        <v>432</v>
      </c>
      <c r="B7" s="10">
        <v>112</v>
      </c>
      <c r="C7" s="1">
        <v>7833982.6999999993</v>
      </c>
      <c r="D7" cm="1">
        <f t="array" ref="D7">COUNTA(_xlfn.UNIQUE(_xlfn._xlws.FILTER(Data!#REF!,(Data!#REF!=A7)*((Data!#REF!="1. Under $10K")+(Data!#REF!="2. $10K-50K")))))</f>
        <v>1</v>
      </c>
    </row>
    <row r="8" spans="1:4" x14ac:dyDescent="0.2">
      <c r="A8" s="4" t="s">
        <v>99</v>
      </c>
      <c r="B8" s="10">
        <v>101</v>
      </c>
      <c r="C8" s="1">
        <v>1191458744.5</v>
      </c>
      <c r="D8" cm="1">
        <f t="array" ref="D8">COUNTA(_xlfn.UNIQUE(_xlfn._xlws.FILTER(Data!#REF!,(Data!#REF!=A8)*((Data!#REF!="1. Under $10K")+(Data!#REF!="2. $10K-50K")))))</f>
        <v>1</v>
      </c>
    </row>
    <row r="9" spans="1:4" x14ac:dyDescent="0.2">
      <c r="A9" s="4" t="s">
        <v>368</v>
      </c>
      <c r="B9" s="10">
        <v>72</v>
      </c>
      <c r="C9" s="1">
        <v>9390087.7000000011</v>
      </c>
      <c r="D9" cm="1">
        <f t="array" ref="D9">COUNTA(_xlfn.UNIQUE(_xlfn._xlws.FILTER(Data!#REF!,(Data!#REF!=A9)*((Data!#REF!="1. Under $10K")+(Data!#REF!="2. $10K-50K")))))</f>
        <v>1</v>
      </c>
    </row>
    <row r="10" spans="1:4" x14ac:dyDescent="0.2">
      <c r="A10" s="4" t="s">
        <v>819</v>
      </c>
      <c r="B10" s="10">
        <v>61</v>
      </c>
      <c r="C10" s="1">
        <v>3412665.7</v>
      </c>
      <c r="D10" cm="1">
        <f t="array" ref="D10">COUNTA(_xlfn.UNIQUE(_xlfn._xlws.FILTER(Data!#REF!,(Data!#REF!=A10)*((Data!#REF!="1. Under $10K")+(Data!#REF!="2. $10K-50K")))))</f>
        <v>1</v>
      </c>
    </row>
    <row r="11" spans="1:4" x14ac:dyDescent="0.2">
      <c r="A11" s="4" t="s">
        <v>825</v>
      </c>
      <c r="B11" s="10">
        <v>52</v>
      </c>
      <c r="C11" s="1">
        <v>25327311.500000007</v>
      </c>
      <c r="D11" cm="1">
        <f t="array" ref="D11">COUNTA(_xlfn.UNIQUE(_xlfn._xlws.FILTER(Data!#REF!,(Data!#REF!=A11)*((Data!#REF!="1. Under $10K")+(Data!#REF!="2. $10K-50K")))))</f>
        <v>1</v>
      </c>
    </row>
    <row r="12" spans="1:4" x14ac:dyDescent="0.2">
      <c r="A12" s="4" t="s">
        <v>8</v>
      </c>
      <c r="B12" s="10">
        <v>42</v>
      </c>
      <c r="C12" s="1">
        <v>720459100.19999993</v>
      </c>
      <c r="D12" cm="1">
        <f t="array" ref="D12">COUNTA(_xlfn.UNIQUE(_xlfn._xlws.FILTER(Data!#REF!,(Data!#REF!=A12)*((Data!#REF!="1. Under $10K")+(Data!#REF!="2. $10K-50K")))))</f>
        <v>1</v>
      </c>
    </row>
    <row r="13" spans="1:4" x14ac:dyDescent="0.2">
      <c r="A13" s="4" t="s">
        <v>24</v>
      </c>
      <c r="B13" s="10">
        <v>31</v>
      </c>
      <c r="C13" s="1">
        <v>550679562.79999995</v>
      </c>
      <c r="D13" cm="1">
        <f t="array" ref="D13">COUNTA(_xlfn.UNIQUE(_xlfn._xlws.FILTER(Data!#REF!,(Data!#REF!=A13)*((Data!#REF!="1. Under $10K")+(Data!#REF!="2. $10K-50K")))))</f>
        <v>1</v>
      </c>
    </row>
    <row r="14" spans="1:4" x14ac:dyDescent="0.2">
      <c r="A14" s="4" t="s">
        <v>59</v>
      </c>
      <c r="B14" s="10">
        <v>27</v>
      </c>
      <c r="C14" s="1">
        <v>20951083.699999999</v>
      </c>
      <c r="D14" cm="1">
        <f t="array" ref="D14">COUNTA(_xlfn.UNIQUE(_xlfn._xlws.FILTER(Data!#REF!,(Data!#REF!=A14)*((Data!#REF!="1. Under $10K")+(Data!#REF!="2. $10K-50K")))))</f>
        <v>1</v>
      </c>
    </row>
    <row r="15" spans="1:4" x14ac:dyDescent="0.2">
      <c r="A15" s="4" t="s">
        <v>28</v>
      </c>
      <c r="B15" s="10">
        <v>25</v>
      </c>
      <c r="C15" s="1">
        <v>604465653</v>
      </c>
      <c r="D15" cm="1">
        <f t="array" ref="D15">COUNTA(_xlfn.UNIQUE(_xlfn._xlws.FILTER(Data!#REF!,(Data!#REF!=A15)*((Data!#REF!="1. Under $10K")+(Data!#REF!="2. $10K-50K")))))</f>
        <v>1</v>
      </c>
    </row>
    <row r="16" spans="1:4" x14ac:dyDescent="0.2">
      <c r="A16" s="4" t="s">
        <v>18</v>
      </c>
      <c r="B16" s="10">
        <v>18</v>
      </c>
      <c r="C16" s="1">
        <v>426968779.80000001</v>
      </c>
      <c r="D16" cm="1">
        <f t="array" ref="D16">COUNTA(_xlfn.UNIQUE(_xlfn._xlws.FILTER(Data!#REF!,(Data!#REF!=A16)*((Data!#REF!="1. Under $10K")+(Data!#REF!="2. $10K-50K")))))</f>
        <v>1</v>
      </c>
    </row>
    <row r="17" spans="1:4" x14ac:dyDescent="0.2">
      <c r="A17" s="4" t="s">
        <v>67</v>
      </c>
      <c r="B17" s="10">
        <v>14</v>
      </c>
      <c r="C17" s="1">
        <v>40317230.5</v>
      </c>
      <c r="D17" cm="1">
        <f t="array" ref="D17">COUNTA(_xlfn.UNIQUE(_xlfn._xlws.FILTER(Data!#REF!,(Data!#REF!=A17)*((Data!#REF!="1. Under $10K")+(Data!#REF!="2. $10K-50K")))))</f>
        <v>1</v>
      </c>
    </row>
    <row r="18" spans="1:4" x14ac:dyDescent="0.2">
      <c r="A18" s="4" t="s">
        <v>141</v>
      </c>
      <c r="B18" s="10">
        <v>12</v>
      </c>
      <c r="C18" s="1">
        <v>17089984.199999999</v>
      </c>
      <c r="D18" cm="1">
        <f t="array" ref="D18">COUNTA(_xlfn.UNIQUE(_xlfn._xlws.FILTER(Data!#REF!,(Data!#REF!=A18)*((Data!#REF!="1. Under $10K")+(Data!#REF!="2. $10K-50K")))))</f>
        <v>1</v>
      </c>
    </row>
    <row r="19" spans="1:4" x14ac:dyDescent="0.2">
      <c r="A19" s="4" t="s">
        <v>69</v>
      </c>
      <c r="B19" s="10">
        <v>11</v>
      </c>
      <c r="C19" s="1">
        <v>138526617.19999999</v>
      </c>
      <c r="D19" cm="1">
        <f t="array" ref="D19">COUNTA(_xlfn.UNIQUE(_xlfn._xlws.FILTER(Data!#REF!,(Data!#REF!=A19)*((Data!#REF!="1. Under $10K")+(Data!#REF!="2. $10K-50K")))))</f>
        <v>1</v>
      </c>
    </row>
    <row r="20" spans="1:4" x14ac:dyDescent="0.2">
      <c r="A20" s="4" t="s">
        <v>52</v>
      </c>
      <c r="B20" s="10">
        <v>9</v>
      </c>
      <c r="C20" s="1">
        <v>3031035051.3000002</v>
      </c>
      <c r="D20" cm="1">
        <f t="array" ref="D20">COUNTA(_xlfn.UNIQUE(_xlfn._xlws.FILTER(Data!#REF!,(Data!#REF!=A20)*((Data!#REF!="1. Under $10K")+(Data!#REF!="2. $10K-50K")))))</f>
        <v>1</v>
      </c>
    </row>
    <row r="21" spans="1:4" x14ac:dyDescent="0.2">
      <c r="A21" s="4" t="s">
        <v>178</v>
      </c>
      <c r="B21" s="10">
        <v>8</v>
      </c>
      <c r="C21" s="1">
        <v>3919415.4</v>
      </c>
      <c r="D21" cm="1">
        <f t="array" ref="D21">COUNTA(_xlfn.UNIQUE(_xlfn._xlws.FILTER(Data!#REF!,(Data!#REF!=A21)*((Data!#REF!="1. Under $10K")+(Data!#REF!="2. $10K-50K")))))</f>
        <v>1</v>
      </c>
    </row>
    <row r="22" spans="1:4" x14ac:dyDescent="0.2">
      <c r="A22" s="4" t="s">
        <v>891</v>
      </c>
      <c r="B22" s="10">
        <v>6</v>
      </c>
      <c r="C22" s="1">
        <v>4153597.7</v>
      </c>
      <c r="D22" cm="1">
        <f t="array" ref="D22">COUNTA(_xlfn.UNIQUE(_xlfn._xlws.FILTER(Data!#REF!,(Data!#REF!=A22)*((Data!#REF!="1. Under $10K")+(Data!#REF!="2. $10K-50K")))))</f>
        <v>1</v>
      </c>
    </row>
    <row r="23" spans="1:4" x14ac:dyDescent="0.2">
      <c r="A23" s="4" t="s">
        <v>65</v>
      </c>
      <c r="B23" s="10">
        <v>6</v>
      </c>
      <c r="C23" s="1">
        <v>19139940.100000001</v>
      </c>
      <c r="D23" cm="1">
        <f t="array" ref="D23">COUNTA(_xlfn.UNIQUE(_xlfn._xlws.FILTER(Data!#REF!,(Data!#REF!=A23)*((Data!#REF!="1. Under $10K")+(Data!#REF!="2. $10K-50K")))))</f>
        <v>1</v>
      </c>
    </row>
    <row r="24" spans="1:4" x14ac:dyDescent="0.2">
      <c r="A24" s="4" t="s">
        <v>480</v>
      </c>
      <c r="B24" s="10">
        <v>5</v>
      </c>
      <c r="C24" s="1">
        <v>281100</v>
      </c>
      <c r="D24" cm="1">
        <f t="array" ref="D24">COUNTA(_xlfn.UNIQUE(_xlfn._xlws.FILTER(Data!#REF!,(Data!#REF!=A24)*((Data!#REF!="1. Under $10K")+(Data!#REF!="2. $10K-50K")))))</f>
        <v>1</v>
      </c>
    </row>
    <row r="25" spans="1:4" x14ac:dyDescent="0.2">
      <c r="A25" s="4" t="s">
        <v>246</v>
      </c>
      <c r="B25" s="10">
        <v>4</v>
      </c>
      <c r="C25" s="1">
        <v>788790</v>
      </c>
      <c r="D25" cm="1">
        <f t="array" ref="D25">COUNTA(_xlfn.UNIQUE(_xlfn._xlws.FILTER(Data!#REF!,(Data!#REF!=A25)*((Data!#REF!="1. Under $10K")+(Data!#REF!="2. $10K-50K")))))</f>
        <v>1</v>
      </c>
    </row>
    <row r="26" spans="1:4" x14ac:dyDescent="0.2">
      <c r="A26" s="4" t="s">
        <v>54</v>
      </c>
      <c r="B26" s="10">
        <v>4</v>
      </c>
      <c r="C26" s="1">
        <v>13687529.5</v>
      </c>
      <c r="D26" cm="1">
        <f t="array" ref="D26">COUNTA(_xlfn.UNIQUE(_xlfn._xlws.FILTER(Data!#REF!,(Data!#REF!=A26)*((Data!#REF!="1. Under $10K")+(Data!#REF!="2. $10K-50K")))))</f>
        <v>1</v>
      </c>
    </row>
    <row r="27" spans="1:4" x14ac:dyDescent="0.2">
      <c r="A27" s="4" t="s">
        <v>152</v>
      </c>
      <c r="B27" s="10">
        <v>3</v>
      </c>
      <c r="C27" s="1">
        <v>3049378.8</v>
      </c>
      <c r="D27" cm="1">
        <f t="array" ref="D27">COUNTA(_xlfn.UNIQUE(_xlfn._xlws.FILTER(Data!#REF!,(Data!#REF!=A27)*((Data!#REF!="1. Under $10K")+(Data!#REF!="2. $10K-50K")))))</f>
        <v>1</v>
      </c>
    </row>
    <row r="28" spans="1:4" x14ac:dyDescent="0.2">
      <c r="A28" s="4" t="s">
        <v>49</v>
      </c>
      <c r="B28" s="10">
        <v>3</v>
      </c>
      <c r="C28" s="1">
        <v>14909847.9</v>
      </c>
      <c r="D28" cm="1">
        <f t="array" ref="D28">COUNTA(_xlfn.UNIQUE(_xlfn._xlws.FILTER(Data!#REF!,(Data!#REF!=A28)*((Data!#REF!="1. Under $10K")+(Data!#REF!="2. $10K-50K")))))</f>
        <v>1</v>
      </c>
    </row>
    <row r="29" spans="1:4" x14ac:dyDescent="0.2">
      <c r="A29" s="4" t="s">
        <v>82</v>
      </c>
      <c r="B29" s="10">
        <v>2</v>
      </c>
      <c r="C29" s="1">
        <v>418484</v>
      </c>
      <c r="D29" cm="1">
        <f t="array" ref="D29">COUNTA(_xlfn.UNIQUE(_xlfn._xlws.FILTER(Data!#REF!,(Data!#REF!=A29)*((Data!#REF!="1. Under $10K")+(Data!#REF!="2. $10K-50K")))))</f>
        <v>1</v>
      </c>
    </row>
    <row r="30" spans="1:4" x14ac:dyDescent="0.2">
      <c r="A30" s="4" t="s">
        <v>252</v>
      </c>
      <c r="B30" s="10">
        <v>1</v>
      </c>
      <c r="C30" s="1">
        <v>73600</v>
      </c>
      <c r="D30" cm="1">
        <f t="array" ref="D30">COUNTA(_xlfn.UNIQUE(_xlfn._xlws.FILTER(Data!#REF!,(Data!#REF!=A30)*((Data!#REF!="1. Under $10K")+(Data!#REF!="2. $10K-50K")))))</f>
        <v>1</v>
      </c>
    </row>
    <row r="31" spans="1:4" x14ac:dyDescent="0.2">
      <c r="A31" s="4" t="s">
        <v>207</v>
      </c>
      <c r="B31" s="10">
        <v>1</v>
      </c>
      <c r="C31" s="1">
        <v>29913</v>
      </c>
      <c r="D31" cm="1">
        <f t="array" ref="D31">COUNTA(_xlfn.UNIQUE(_xlfn._xlws.FILTER(Data!#REF!,(Data!#REF!=A31)*((Data!#REF!="1. Under $10K")+(Data!#REF!="2. $10K-50K")))))</f>
        <v>1</v>
      </c>
    </row>
    <row r="32" spans="1:4" x14ac:dyDescent="0.2">
      <c r="A32" s="4" t="s">
        <v>1592</v>
      </c>
      <c r="B32" s="10">
        <v>1</v>
      </c>
      <c r="C32" s="1">
        <v>17995</v>
      </c>
      <c r="D32" cm="1">
        <f t="array" ref="D32">COUNTA(_xlfn.UNIQUE(_xlfn._xlws.FILTER(Data!#REF!,(Data!#REF!=A32)*((Data!#REF!="1. Under $10K")+(Data!#REF!="2. $10K-50K")))))</f>
        <v>1</v>
      </c>
    </row>
    <row r="33" spans="1:4" x14ac:dyDescent="0.2">
      <c r="A33" s="4" t="s">
        <v>474</v>
      </c>
      <c r="B33" s="10">
        <v>1</v>
      </c>
      <c r="C33" s="1">
        <v>99723.8</v>
      </c>
      <c r="D33" cm="1">
        <f t="array" ref="D33">COUNTA(_xlfn.UNIQUE(_xlfn._xlws.FILTER(Data!#REF!,(Data!#REF!=A33)*((Data!#REF!="1. Under $10K")+(Data!#REF!="2. $10K-50K")))))</f>
        <v>1</v>
      </c>
    </row>
    <row r="34" spans="1:4" x14ac:dyDescent="0.2">
      <c r="A34" s="4" t="s">
        <v>588</v>
      </c>
      <c r="B34" s="10">
        <v>1</v>
      </c>
      <c r="C34" s="1">
        <v>139084</v>
      </c>
      <c r="D34" cm="1">
        <f t="array" ref="D34">COUNTA(_xlfn.UNIQUE(_xlfn._xlws.FILTER(Data!#REF!,(Data!#REF!=A34)*((Data!#REF!="1. Under $10K")+(Data!#REF!="2. $10K-50K")))))</f>
        <v>1</v>
      </c>
    </row>
    <row r="35" spans="1:4" x14ac:dyDescent="0.2">
      <c r="A35" s="4" t="s">
        <v>132</v>
      </c>
      <c r="B35" s="10">
        <v>1</v>
      </c>
      <c r="C35" s="1">
        <v>290000</v>
      </c>
      <c r="D35" cm="1">
        <f t="array" ref="D35">COUNTA(_xlfn.UNIQUE(_xlfn._xlws.FILTER(Data!#REF!,(Data!#REF!=A35)*((Data!#REF!="1. Under $10K")+(Data!#REF!="2. $10K-50K")))))</f>
        <v>1</v>
      </c>
    </row>
    <row r="36" spans="1:4" x14ac:dyDescent="0.2">
      <c r="A36" s="4" t="s">
        <v>1565</v>
      </c>
      <c r="B36" s="10">
        <v>1</v>
      </c>
      <c r="C36" s="1">
        <v>25000</v>
      </c>
      <c r="D36" cm="1">
        <f t="array" ref="D36">COUNTA(_xlfn.UNIQUE(_xlfn._xlws.FILTER(Data!#REF!,(Data!#REF!=A36)*((Data!#REF!="1. Under $10K")+(Data!#REF!="2. $10K-50K")))))</f>
        <v>1</v>
      </c>
    </row>
    <row r="37" spans="1:4" x14ac:dyDescent="0.2">
      <c r="A37" s="4" t="s">
        <v>411</v>
      </c>
      <c r="B37" s="10">
        <v>1</v>
      </c>
      <c r="C37" s="1">
        <v>462.6</v>
      </c>
      <c r="D37" cm="1">
        <f t="array" ref="D37">COUNTA(_xlfn.UNIQUE(_xlfn._xlws.FILTER(Data!#REF!,(Data!#REF!=A37)*((Data!#REF!="1. Under $10K")+(Data!#REF!="2. $10K-50K")))))</f>
        <v>1</v>
      </c>
    </row>
    <row r="38" spans="1:4" x14ac:dyDescent="0.2">
      <c r="A38" s="4" t="s">
        <v>37</v>
      </c>
      <c r="B38" s="10">
        <v>1</v>
      </c>
      <c r="C38" s="1">
        <v>2676396.9</v>
      </c>
      <c r="D38" cm="1">
        <f t="array" ref="D38">COUNTA(_xlfn.UNIQUE(_xlfn._xlws.FILTER(Data!#REF!,(Data!#REF!=A38)*((Data!#REF!="1. Under $10K")+(Data!#REF!="2. $10K-50K")))))</f>
        <v>1</v>
      </c>
    </row>
    <row r="39" spans="1:4" x14ac:dyDescent="0.2">
      <c r="A39" s="4" t="s">
        <v>2157</v>
      </c>
      <c r="B39" s="10">
        <v>1</v>
      </c>
      <c r="C39" s="1">
        <v>94625</v>
      </c>
      <c r="D39" cm="1">
        <f t="array" ref="D39">COUNTA(_xlfn.UNIQUE(_xlfn._xlws.FILTER(Data!#REF!,(Data!#REF!=A39)*((Data!#REF!="1. Under $10K")+(Data!#REF!="2. $10K-50K")))))</f>
        <v>1</v>
      </c>
    </row>
    <row r="40" spans="1:4" x14ac:dyDescent="0.2">
      <c r="A40" s="4" t="s">
        <v>241</v>
      </c>
      <c r="B40" s="10">
        <v>1</v>
      </c>
      <c r="C40" s="1">
        <v>83688</v>
      </c>
      <c r="D40" cm="1">
        <f t="array" ref="D40">COUNTA(_xlfn.UNIQUE(_xlfn._xlws.FILTER(Data!#REF!,(Data!#REF!=A40)*((Data!#REF!="1. Under $10K")+(Data!#REF!="2. $10K-50K")))))</f>
        <v>1</v>
      </c>
    </row>
    <row r="41" spans="1:4" x14ac:dyDescent="0.2">
      <c r="A41" s="4" t="s">
        <v>634</v>
      </c>
      <c r="B41" s="10">
        <v>3042</v>
      </c>
      <c r="C41" s="1">
        <v>7740241426.0000038</v>
      </c>
      <c r="D41" cm="1">
        <f t="array" ref="D41">COUNTA(_xlfn.UNIQUE(_xlfn._xlws.FILTER(Data!#REF!,(Data!#REF!=A41)*((Data!#REF!="1. Under $10K")+(Data!#REF!="2. $10K-50K")))))</f>
        <v>1</v>
      </c>
    </row>
    <row r="42" spans="1:4" x14ac:dyDescent="0.2">
      <c r="D42" cm="1">
        <f t="array" ref="D42">COUNTA(_xlfn.UNIQUE(_xlfn._xlws.FILTER(Data!#REF!,(Data!#REF!=A42)*((Data!#REF!="1. Under $10K")+(Data!#REF!="2. $10K-50K")))))</f>
        <v>1</v>
      </c>
    </row>
    <row r="43" spans="1:4" x14ac:dyDescent="0.2">
      <c r="D43" cm="1">
        <f t="array" ref="D43">COUNTA(_xlfn.UNIQUE(_xlfn._xlws.FILTER(Data!#REF!,(Data!#REF!=A43)*((Data!#REF!="1. Under $10K")+(Data!#REF!="2. $10K-50K")))))</f>
        <v>1</v>
      </c>
    </row>
    <row r="44" spans="1:4" x14ac:dyDescent="0.2">
      <c r="D44" cm="1">
        <f t="array" ref="D44">COUNTA(_xlfn.UNIQUE(_xlfn._xlws.FILTER(Data!#REF!,(Data!#REF!=A44)*((Data!#REF!="1. Under $10K")+(Data!#REF!="2. $10K-50K")))))</f>
        <v>1</v>
      </c>
    </row>
    <row r="45" spans="1:4" x14ac:dyDescent="0.2">
      <c r="D45" cm="1">
        <f t="array" ref="D45">COUNTA(_xlfn.UNIQUE(_xlfn._xlws.FILTER(Data!#REF!,(Data!#REF!=A45)*((Data!#REF!="1. Under $10K")+(Data!#REF!="2. $10K-50K")))))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A5A3-193B-854C-8A22-749676D182D9}">
  <dimension ref="A3:E12"/>
  <sheetViews>
    <sheetView workbookViewId="0">
      <selection activeCell="D17" sqref="D17"/>
    </sheetView>
  </sheetViews>
  <sheetFormatPr baseColWidth="10" defaultRowHeight="16" x14ac:dyDescent="0.2"/>
  <cols>
    <col min="1" max="1" width="12.1640625" bestFit="1" customWidth="1"/>
    <col min="2" max="2" width="14.6640625" bestFit="1" customWidth="1"/>
    <col min="3" max="3" width="9.5" bestFit="1" customWidth="1"/>
    <col min="4" max="4" width="13.33203125" bestFit="1" customWidth="1"/>
    <col min="5" max="5" width="10" bestFit="1" customWidth="1"/>
  </cols>
  <sheetData>
    <row r="3" spans="1:5" x14ac:dyDescent="0.2">
      <c r="A3" s="3" t="s">
        <v>656</v>
      </c>
      <c r="B3" t="s">
        <v>636</v>
      </c>
      <c r="C3" t="s">
        <v>656</v>
      </c>
      <c r="D3" t="s">
        <v>657</v>
      </c>
      <c r="E3" t="s">
        <v>658</v>
      </c>
    </row>
    <row r="4" spans="1:5" x14ac:dyDescent="0.2">
      <c r="A4" s="4" t="s">
        <v>651</v>
      </c>
      <c r="B4" s="1">
        <v>1335927801.3000004</v>
      </c>
      <c r="C4" s="10">
        <v>997</v>
      </c>
      <c r="D4" s="5">
        <v>8.7394810659186542E-2</v>
      </c>
      <c r="E4" s="5">
        <v>3.8180653033195851E-2</v>
      </c>
    </row>
    <row r="5" spans="1:5" x14ac:dyDescent="0.2">
      <c r="A5" s="4" t="s">
        <v>652</v>
      </c>
      <c r="B5" s="1">
        <v>6404313624.7000065</v>
      </c>
      <c r="C5" s="10">
        <v>2045</v>
      </c>
      <c r="D5" s="5">
        <v>0.17926016830294531</v>
      </c>
      <c r="E5" s="5">
        <v>0.1830344994561045</v>
      </c>
    </row>
    <row r="6" spans="1:5" x14ac:dyDescent="0.2">
      <c r="A6" s="4" t="s">
        <v>653</v>
      </c>
      <c r="B6" s="1">
        <v>6653842080.2999935</v>
      </c>
      <c r="C6" s="10">
        <v>4024</v>
      </c>
      <c r="D6" s="5">
        <v>0.35273492286115005</v>
      </c>
      <c r="E6" s="5">
        <v>0.19016599217292751</v>
      </c>
    </row>
    <row r="7" spans="1:5" x14ac:dyDescent="0.2">
      <c r="A7" s="4" t="s">
        <v>654</v>
      </c>
      <c r="B7" s="1">
        <v>4755350869.0999985</v>
      </c>
      <c r="C7" s="10">
        <v>2375</v>
      </c>
      <c r="D7" s="5">
        <v>0.20818723702664796</v>
      </c>
      <c r="E7" s="5">
        <v>0.13590734574692867</v>
      </c>
    </row>
    <row r="8" spans="1:5" x14ac:dyDescent="0.2">
      <c r="A8" s="4" t="s">
        <v>655</v>
      </c>
      <c r="B8" s="1">
        <v>15840218633.899996</v>
      </c>
      <c r="C8" s="10">
        <v>1967</v>
      </c>
      <c r="D8" s="5">
        <v>0.17242286115007013</v>
      </c>
      <c r="E8" s="5">
        <v>0.45271150959084328</v>
      </c>
    </row>
    <row r="9" spans="1:5" x14ac:dyDescent="0.2">
      <c r="A9" s="4" t="s">
        <v>634</v>
      </c>
      <c r="B9" s="1">
        <v>34989653009.300003</v>
      </c>
      <c r="C9" s="10">
        <v>11408</v>
      </c>
      <c r="D9" s="5">
        <v>1</v>
      </c>
      <c r="E9" s="5">
        <v>1</v>
      </c>
    </row>
    <row r="11" spans="1:5" x14ac:dyDescent="0.2">
      <c r="A11" s="4" t="s">
        <v>661</v>
      </c>
      <c r="C11" s="11">
        <f>GETPIVOTDATA("% of Contracts",$A$3,"Size","1. Under $10K")+GETPIVOTDATA("% of Contracts",$A$3,"Size","2. $10K-50K")</f>
        <v>0.26665497896213186</v>
      </c>
    </row>
    <row r="12" spans="1:5" x14ac:dyDescent="0.2">
      <c r="A12" s="4" t="s">
        <v>662</v>
      </c>
      <c r="C12" s="11">
        <f>GETPIVOTDATA("% of Spend",$A$3,"Size","1. Under $10K")+GETPIVOTDATA("% of Spend",$A$3,"Size","2. $10K-50K")</f>
        <v>0.22121515248930035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0553-C865-CC48-92D5-7EE1A8E8828C}">
  <dimension ref="A1:K2784"/>
  <sheetViews>
    <sheetView workbookViewId="0">
      <selection activeCell="E11" sqref="E11"/>
    </sheetView>
  </sheetViews>
  <sheetFormatPr baseColWidth="10" defaultRowHeight="16" x14ac:dyDescent="0.2"/>
  <cols>
    <col min="1" max="1" width="93.33203125" bestFit="1" customWidth="1"/>
    <col min="2" max="2" width="19.33203125" bestFit="1" customWidth="1"/>
    <col min="3" max="3" width="8.1640625" bestFit="1" customWidth="1"/>
    <col min="7" max="7" width="16.5" customWidth="1"/>
    <col min="10" max="10" width="21.1640625" customWidth="1"/>
  </cols>
  <sheetData>
    <row r="1" spans="1:11" x14ac:dyDescent="0.2">
      <c r="A1" s="3" t="s">
        <v>633</v>
      </c>
      <c r="B1" t="s">
        <v>635</v>
      </c>
      <c r="C1" t="s">
        <v>645</v>
      </c>
      <c r="F1" t="s">
        <v>2</v>
      </c>
      <c r="G1" t="s">
        <v>636</v>
      </c>
      <c r="H1" t="s">
        <v>637</v>
      </c>
      <c r="J1" t="s">
        <v>638</v>
      </c>
      <c r="K1" t="s">
        <v>639</v>
      </c>
    </row>
    <row r="2" spans="1:11" x14ac:dyDescent="0.2">
      <c r="A2" s="4" t="s">
        <v>1426</v>
      </c>
      <c r="B2" s="1">
        <v>5159687633</v>
      </c>
      <c r="C2" s="5">
        <v>0.14746324096522478</v>
      </c>
      <c r="F2" s="4" t="s">
        <v>628</v>
      </c>
      <c r="G2" s="1">
        <v>2082115154</v>
      </c>
      <c r="H2" s="6">
        <f>SUM($G$2:G2)/SUM($G:$G)</f>
        <v>0.10602163569771875</v>
      </c>
      <c r="J2" t="s">
        <v>640</v>
      </c>
      <c r="K2">
        <f>COUNTA(F:F)-1</f>
        <v>552</v>
      </c>
    </row>
    <row r="3" spans="1:11" x14ac:dyDescent="0.2">
      <c r="A3" s="4" t="s">
        <v>628</v>
      </c>
      <c r="B3" s="1">
        <v>2082115154</v>
      </c>
      <c r="C3" s="5">
        <v>5.9506596234223649E-2</v>
      </c>
      <c r="F3" s="4" t="s">
        <v>7</v>
      </c>
      <c r="G3" s="1">
        <v>1246992867.3000002</v>
      </c>
      <c r="H3" s="6">
        <f>SUM($G$2:G3)/SUM($G:$G)</f>
        <v>0.1695187113712453</v>
      </c>
      <c r="J3" t="s">
        <v>641</v>
      </c>
      <c r="K3" s="6">
        <f>SUM(G2:G11)/SUM(G:G)</f>
        <v>0.3193918621501089</v>
      </c>
    </row>
    <row r="4" spans="1:11" x14ac:dyDescent="0.2">
      <c r="A4" s="4" t="s">
        <v>7</v>
      </c>
      <c r="B4" s="1">
        <v>1246992867.3000002</v>
      </c>
      <c r="C4" s="5">
        <v>3.5638903505803857E-2</v>
      </c>
      <c r="F4" s="4" t="s">
        <v>627</v>
      </c>
      <c r="G4" s="1">
        <v>508409494</v>
      </c>
      <c r="H4" s="6">
        <f>SUM($G$2:G4)/SUM($G:$G)</f>
        <v>0.19540700388694807</v>
      </c>
      <c r="J4" t="s">
        <v>642</v>
      </c>
      <c r="K4" s="6">
        <f>SUM(G2:G21)/SUM(G:G)</f>
        <v>0.43747503508762259</v>
      </c>
    </row>
    <row r="5" spans="1:11" ht="17" x14ac:dyDescent="0.25">
      <c r="A5" s="4" t="s">
        <v>1764</v>
      </c>
      <c r="B5" s="1">
        <v>1005213938</v>
      </c>
      <c r="C5" s="5">
        <v>2.8728891302032145E-2</v>
      </c>
      <c r="F5" s="4" t="s">
        <v>23</v>
      </c>
      <c r="G5" s="1">
        <v>485682403.70000005</v>
      </c>
      <c r="H5" s="6">
        <f>SUM($G$2:G5)/SUM($G:$G)</f>
        <v>0.22013802934005502</v>
      </c>
      <c r="J5" t="s">
        <v>643</v>
      </c>
      <c r="K5" s="2">
        <f>COUNTIF(H:H,"&lt;0.8")+1</f>
        <v>91</v>
      </c>
    </row>
    <row r="6" spans="1:11" x14ac:dyDescent="0.2">
      <c r="A6" s="4" t="s">
        <v>678</v>
      </c>
      <c r="B6" s="1">
        <v>513395812.89999998</v>
      </c>
      <c r="C6" s="5">
        <v>1.4672789489039629E-2</v>
      </c>
      <c r="F6" s="4" t="s">
        <v>236</v>
      </c>
      <c r="G6" s="1">
        <v>391310836.89999998</v>
      </c>
      <c r="H6" s="6">
        <f>SUM($G$2:G6)/SUM($G:$G)</f>
        <v>0.2400636395613143</v>
      </c>
      <c r="J6" t="s">
        <v>644</v>
      </c>
      <c r="K6" s="6">
        <f>K5/K2</f>
        <v>0.16485507246376813</v>
      </c>
    </row>
    <row r="7" spans="1:11" x14ac:dyDescent="0.2">
      <c r="A7" s="4" t="s">
        <v>627</v>
      </c>
      <c r="B7" s="1">
        <v>508409494</v>
      </c>
      <c r="C7" s="5">
        <v>1.4530281105241861E-2</v>
      </c>
      <c r="F7" s="4" t="s">
        <v>442</v>
      </c>
      <c r="G7" s="1">
        <v>388013360</v>
      </c>
      <c r="H7" s="6">
        <f>SUM($G$2:G7)/SUM($G:$G)</f>
        <v>0.25982134173294347</v>
      </c>
    </row>
    <row r="8" spans="1:11" x14ac:dyDescent="0.2">
      <c r="A8" s="4" t="s">
        <v>23</v>
      </c>
      <c r="B8" s="1">
        <v>485682403.70000005</v>
      </c>
      <c r="C8" s="5">
        <v>1.3880743646440562E-2</v>
      </c>
      <c r="F8" s="4" t="s">
        <v>39</v>
      </c>
      <c r="G8" s="1">
        <v>320825543.80000001</v>
      </c>
      <c r="H8" s="6">
        <f>SUM($G$2:G8)/SUM($G:$G)</f>
        <v>0.27615782958854557</v>
      </c>
    </row>
    <row r="9" spans="1:11" x14ac:dyDescent="0.2">
      <c r="A9" s="4" t="s">
        <v>236</v>
      </c>
      <c r="B9" s="1">
        <v>391310836.89999998</v>
      </c>
      <c r="C9" s="5">
        <v>1.1183615819110667E-2</v>
      </c>
      <c r="F9" s="4" t="s">
        <v>121</v>
      </c>
      <c r="G9" s="1">
        <v>307524208.60000002</v>
      </c>
      <c r="H9" s="6">
        <f>SUM($G$2:G9)/SUM($G:$G)</f>
        <v>0.29181701133446475</v>
      </c>
    </row>
    <row r="10" spans="1:11" x14ac:dyDescent="0.2">
      <c r="A10" s="4" t="s">
        <v>442</v>
      </c>
      <c r="B10" s="1">
        <v>388013360</v>
      </c>
      <c r="C10" s="5">
        <v>1.1089374332945498E-2</v>
      </c>
      <c r="F10" s="4" t="s">
        <v>174</v>
      </c>
      <c r="G10" s="1">
        <v>291531116.5</v>
      </c>
      <c r="H10" s="6">
        <f>SUM($G$2:G10)/SUM($G:$G)</f>
        <v>0.30666182228007116</v>
      </c>
    </row>
    <row r="11" spans="1:11" x14ac:dyDescent="0.2">
      <c r="A11" s="4" t="s">
        <v>1052</v>
      </c>
      <c r="B11" s="1">
        <v>359901179.5999999</v>
      </c>
      <c r="C11" s="5">
        <v>1.0285931658263124E-2</v>
      </c>
      <c r="F11" s="4" t="s">
        <v>349</v>
      </c>
      <c r="G11" s="1">
        <v>250000000</v>
      </c>
      <c r="H11" s="6">
        <f>SUM($G$2:G11)/SUM($G:$G)</f>
        <v>0.3193918621501089</v>
      </c>
    </row>
    <row r="12" spans="1:11" x14ac:dyDescent="0.2">
      <c r="A12" s="4" t="s">
        <v>39</v>
      </c>
      <c r="B12" s="1">
        <v>320825543.80000001</v>
      </c>
      <c r="C12" s="5">
        <v>9.1691547702610083E-3</v>
      </c>
      <c r="F12" s="4" t="s">
        <v>123</v>
      </c>
      <c r="G12" s="1">
        <v>246244500</v>
      </c>
      <c r="H12" s="6">
        <f>SUM($G$2:G12)/SUM($G:$G)</f>
        <v>0.3319306713612189</v>
      </c>
    </row>
    <row r="13" spans="1:11" x14ac:dyDescent="0.2">
      <c r="A13" s="4" t="s">
        <v>121</v>
      </c>
      <c r="B13" s="1">
        <v>307524208.60000002</v>
      </c>
      <c r="C13" s="5">
        <v>8.7890042384319387E-3</v>
      </c>
      <c r="F13" s="4" t="s">
        <v>275</v>
      </c>
      <c r="G13" s="1">
        <v>243224285.40000001</v>
      </c>
      <c r="H13" s="6">
        <f>SUM($G$2:G13)/SUM($G:$G)</f>
        <v>0.3443156907632326</v>
      </c>
    </row>
    <row r="14" spans="1:11" x14ac:dyDescent="0.2">
      <c r="A14" s="4" t="s">
        <v>174</v>
      </c>
      <c r="B14" s="1">
        <v>291531116.5</v>
      </c>
      <c r="C14" s="5">
        <v>8.3319236238928573E-3</v>
      </c>
      <c r="F14" s="4" t="s">
        <v>269</v>
      </c>
      <c r="G14" s="1">
        <v>234545594</v>
      </c>
      <c r="H14" s="6">
        <f>SUM($G$2:G14)/SUM($G:$G)</f>
        <v>0.3562587898150793</v>
      </c>
    </row>
    <row r="15" spans="1:11" x14ac:dyDescent="0.2">
      <c r="A15" s="4" t="s">
        <v>863</v>
      </c>
      <c r="B15" s="1">
        <v>289489140.79999995</v>
      </c>
      <c r="C15" s="5">
        <v>8.2735642083405711E-3</v>
      </c>
      <c r="F15" s="4" t="s">
        <v>122</v>
      </c>
      <c r="G15" s="1">
        <v>232500000</v>
      </c>
      <c r="H15" s="6">
        <f>SUM($G$2:G15)/SUM($G:$G)</f>
        <v>0.36809772689421433</v>
      </c>
    </row>
    <row r="16" spans="1:11" x14ac:dyDescent="0.2">
      <c r="A16" s="4" t="s">
        <v>774</v>
      </c>
      <c r="B16" s="1">
        <v>289195455</v>
      </c>
      <c r="C16" s="5">
        <v>8.2651707041259993E-3</v>
      </c>
      <c r="F16" s="4" t="s">
        <v>119</v>
      </c>
      <c r="G16" s="1">
        <v>232500000</v>
      </c>
      <c r="H16" s="6">
        <f>SUM($G$2:G16)/SUM($G:$G)</f>
        <v>0.37993666397334941</v>
      </c>
    </row>
    <row r="17" spans="1:8" x14ac:dyDescent="0.2">
      <c r="A17" s="4" t="s">
        <v>1429</v>
      </c>
      <c r="B17" s="1">
        <v>264074439</v>
      </c>
      <c r="C17" s="5">
        <v>7.5472151418538311E-3</v>
      </c>
      <c r="F17" s="4" t="s">
        <v>248</v>
      </c>
      <c r="G17" s="1">
        <v>227752514.09999999</v>
      </c>
      <c r="H17" s="6">
        <f>SUM($G$2:G17)/SUM($G:$G)</f>
        <v>0.39153385831332671</v>
      </c>
    </row>
    <row r="18" spans="1:8" x14ac:dyDescent="0.2">
      <c r="A18" s="4" t="s">
        <v>790</v>
      </c>
      <c r="B18" s="1">
        <v>252000000</v>
      </c>
      <c r="C18" s="5">
        <v>7.2021291532391191E-3</v>
      </c>
      <c r="F18" s="4" t="s">
        <v>406</v>
      </c>
      <c r="G18" s="1">
        <v>227219813.19999999</v>
      </c>
      <c r="H18" s="6">
        <f>SUM($G$2:G18)/SUM($G:$G)</f>
        <v>0.4031039274385208</v>
      </c>
    </row>
    <row r="19" spans="1:8" x14ac:dyDescent="0.2">
      <c r="A19" s="4" t="s">
        <v>349</v>
      </c>
      <c r="B19" s="1">
        <v>250000000</v>
      </c>
      <c r="C19" s="5">
        <v>7.1449693980546822E-3</v>
      </c>
      <c r="F19" s="4" t="s">
        <v>439</v>
      </c>
      <c r="G19" s="1">
        <v>225000000</v>
      </c>
      <c r="H19" s="6">
        <f>SUM($G$2:G19)/SUM($G:$G)</f>
        <v>0.41456096332155473</v>
      </c>
    </row>
    <row r="20" spans="1:8" x14ac:dyDescent="0.2">
      <c r="A20" s="4" t="s">
        <v>123</v>
      </c>
      <c r="B20" s="1">
        <v>246244500</v>
      </c>
      <c r="C20" s="5">
        <v>7.0376376677571042E-3</v>
      </c>
      <c r="F20" s="4" t="s">
        <v>435</v>
      </c>
      <c r="G20" s="1">
        <v>225000000</v>
      </c>
      <c r="H20" s="6">
        <f>SUM($G$2:G20)/SUM($G:$G)</f>
        <v>0.42601799920458866</v>
      </c>
    </row>
    <row r="21" spans="1:8" x14ac:dyDescent="0.2">
      <c r="A21" s="4" t="s">
        <v>275</v>
      </c>
      <c r="B21" s="1">
        <v>243224285.40000001</v>
      </c>
      <c r="C21" s="5">
        <v>6.9513203041868732E-3</v>
      </c>
      <c r="F21" s="4" t="s">
        <v>436</v>
      </c>
      <c r="G21" s="1">
        <v>225000000</v>
      </c>
      <c r="H21" s="6">
        <f>SUM($G$2:G21)/SUM($G:$G)</f>
        <v>0.43747503508762259</v>
      </c>
    </row>
    <row r="22" spans="1:8" x14ac:dyDescent="0.2">
      <c r="A22" s="4" t="s">
        <v>269</v>
      </c>
      <c r="B22" s="1">
        <v>234545594</v>
      </c>
      <c r="C22" s="5">
        <v>6.703284366314231E-3</v>
      </c>
      <c r="F22" s="4" t="s">
        <v>255</v>
      </c>
      <c r="G22" s="1">
        <v>200048042.89999989</v>
      </c>
      <c r="H22" s="6">
        <f>SUM($G$2:G22)/SUM($G:$G)</f>
        <v>0.44766151333578263</v>
      </c>
    </row>
    <row r="23" spans="1:8" x14ac:dyDescent="0.2">
      <c r="A23" s="4" t="s">
        <v>122</v>
      </c>
      <c r="B23" s="1">
        <v>232500000</v>
      </c>
      <c r="C23" s="5">
        <v>6.6448215401908543E-3</v>
      </c>
      <c r="F23" s="4" t="s">
        <v>116</v>
      </c>
      <c r="G23" s="1">
        <v>196494633.80000001</v>
      </c>
      <c r="H23" s="6">
        <f>SUM($G$2:G23)/SUM($G:$G)</f>
        <v>0.45766705142587238</v>
      </c>
    </row>
    <row r="24" spans="1:8" x14ac:dyDescent="0.2">
      <c r="A24" s="4" t="s">
        <v>119</v>
      </c>
      <c r="B24" s="1">
        <v>232500000</v>
      </c>
      <c r="C24" s="5">
        <v>6.6448215401908543E-3</v>
      </c>
      <c r="F24" s="4" t="s">
        <v>104</v>
      </c>
      <c r="G24" s="1">
        <v>186065482</v>
      </c>
      <c r="H24" s="6">
        <f>SUM($G$2:G24)/SUM($G:$G)</f>
        <v>0.46714153544306353</v>
      </c>
    </row>
    <row r="25" spans="1:8" x14ac:dyDescent="0.2">
      <c r="A25" s="4" t="s">
        <v>248</v>
      </c>
      <c r="B25" s="1">
        <v>227752514.09999999</v>
      </c>
      <c r="C25" s="5">
        <v>6.5091389742980696E-3</v>
      </c>
      <c r="F25" s="4" t="s">
        <v>537</v>
      </c>
      <c r="G25" s="1">
        <v>174250000</v>
      </c>
      <c r="H25" s="6">
        <f>SUM($G$2:G25)/SUM($G:$G)</f>
        <v>0.4760143732324798</v>
      </c>
    </row>
    <row r="26" spans="1:8" x14ac:dyDescent="0.2">
      <c r="A26" s="4" t="s">
        <v>406</v>
      </c>
      <c r="B26" s="1">
        <v>227219813.19999999</v>
      </c>
      <c r="C26" s="5">
        <v>6.4939144477828047E-3</v>
      </c>
      <c r="F26" s="4" t="s">
        <v>272</v>
      </c>
      <c r="G26" s="1">
        <v>170000000</v>
      </c>
      <c r="H26" s="6">
        <f>SUM($G$2:G26)/SUM($G:$G)</f>
        <v>0.48467080034410542</v>
      </c>
    </row>
    <row r="27" spans="1:8" x14ac:dyDescent="0.2">
      <c r="A27" s="4" t="s">
        <v>439</v>
      </c>
      <c r="B27" s="1">
        <v>225000000</v>
      </c>
      <c r="C27" s="5">
        <v>6.4304724582492142E-3</v>
      </c>
      <c r="F27" s="4" t="s">
        <v>114</v>
      </c>
      <c r="G27" s="1">
        <v>166260557.69999999</v>
      </c>
      <c r="H27" s="6">
        <f>SUM($G$2:G27)/SUM($G:$G)</f>
        <v>0.49313681445744828</v>
      </c>
    </row>
    <row r="28" spans="1:8" x14ac:dyDescent="0.2">
      <c r="A28" s="4" t="s">
        <v>435</v>
      </c>
      <c r="B28" s="1">
        <v>225000000</v>
      </c>
      <c r="C28" s="5">
        <v>6.4304724582492142E-3</v>
      </c>
      <c r="F28" s="4" t="s">
        <v>233</v>
      </c>
      <c r="G28" s="1">
        <v>164288975</v>
      </c>
      <c r="H28" s="6">
        <f>SUM($G$2:G28)/SUM($G:$G)</f>
        <v>0.50150243526527882</v>
      </c>
    </row>
    <row r="29" spans="1:8" x14ac:dyDescent="0.2">
      <c r="A29" s="4" t="s">
        <v>436</v>
      </c>
      <c r="B29" s="1">
        <v>225000000</v>
      </c>
      <c r="C29" s="5">
        <v>6.4304724582492142E-3</v>
      </c>
      <c r="F29" s="4" t="s">
        <v>365</v>
      </c>
      <c r="G29" s="1">
        <v>157252438.80000001</v>
      </c>
      <c r="H29" s="6">
        <f>SUM($G$2:G29)/SUM($G:$G)</f>
        <v>0.50950975452761738</v>
      </c>
    </row>
    <row r="30" spans="1:8" x14ac:dyDescent="0.2">
      <c r="A30" s="4" t="s">
        <v>255</v>
      </c>
      <c r="B30" s="1">
        <v>200048042.89999989</v>
      </c>
      <c r="C30" s="5">
        <v>5.7173485786449173E-3</v>
      </c>
      <c r="F30" s="4" t="s">
        <v>137</v>
      </c>
      <c r="G30" s="1">
        <v>154922824.69999999</v>
      </c>
      <c r="H30" s="6">
        <f>SUM($G$2:G30)/SUM($G:$G)</f>
        <v>0.51739844946845692</v>
      </c>
    </row>
    <row r="31" spans="1:8" x14ac:dyDescent="0.2">
      <c r="A31" s="4" t="s">
        <v>116</v>
      </c>
      <c r="B31" s="1">
        <v>196494633.80000001</v>
      </c>
      <c r="C31" s="5">
        <v>5.6157925815318449E-3</v>
      </c>
      <c r="F31" s="4" t="s">
        <v>63</v>
      </c>
      <c r="G31" s="1">
        <v>154670841.40000001</v>
      </c>
      <c r="H31" s="6">
        <f>SUM($G$2:G31)/SUM($G:$G)</f>
        <v>0.52527431337947394</v>
      </c>
    </row>
    <row r="32" spans="1:8" x14ac:dyDescent="0.2">
      <c r="A32" s="4" t="s">
        <v>852</v>
      </c>
      <c r="B32" s="1">
        <v>188419676.40000001</v>
      </c>
      <c r="C32" s="5">
        <v>5.385011287477464E-3</v>
      </c>
      <c r="F32" s="4" t="s">
        <v>303</v>
      </c>
      <c r="G32" s="1">
        <v>152655395.90000001</v>
      </c>
      <c r="H32" s="6">
        <f>SUM($G$2:G32)/SUM($G:$G)</f>
        <v>0.53304755048420749</v>
      </c>
    </row>
    <row r="33" spans="1:8" x14ac:dyDescent="0.2">
      <c r="A33" s="4" t="s">
        <v>104</v>
      </c>
      <c r="B33" s="1">
        <v>186065482</v>
      </c>
      <c r="C33" s="5">
        <v>5.3177286996971768E-3</v>
      </c>
      <c r="F33" s="4" t="s">
        <v>302</v>
      </c>
      <c r="G33" s="1">
        <v>141254520</v>
      </c>
      <c r="H33" s="6">
        <f>SUM($G$2:G33)/SUM($G:$G)</f>
        <v>0.54024025316989965</v>
      </c>
    </row>
    <row r="34" spans="1:8" x14ac:dyDescent="0.2">
      <c r="A34" s="4" t="s">
        <v>537</v>
      </c>
      <c r="B34" s="1">
        <v>174250000</v>
      </c>
      <c r="C34" s="5">
        <v>4.9800436704441134E-3</v>
      </c>
      <c r="F34" s="4" t="s">
        <v>92</v>
      </c>
      <c r="G34" s="1">
        <v>140000000</v>
      </c>
      <c r="H34" s="6">
        <f>SUM($G$2:G34)/SUM($G:$G)</f>
        <v>0.54736907549712077</v>
      </c>
    </row>
    <row r="35" spans="1:8" x14ac:dyDescent="0.2">
      <c r="A35" s="4" t="s">
        <v>272</v>
      </c>
      <c r="B35" s="1">
        <v>170000000</v>
      </c>
      <c r="C35" s="5">
        <v>4.8585791906771841E-3</v>
      </c>
      <c r="F35" s="4" t="s">
        <v>172</v>
      </c>
      <c r="G35" s="1">
        <v>139813928.60000002</v>
      </c>
      <c r="H35" s="6">
        <f>SUM($G$2:G35)/SUM($G:$G)</f>
        <v>0.55448842303897927</v>
      </c>
    </row>
    <row r="36" spans="1:8" x14ac:dyDescent="0.2">
      <c r="A36" s="4" t="s">
        <v>700</v>
      </c>
      <c r="B36" s="1">
        <v>167405652.90000001</v>
      </c>
      <c r="C36" s="5">
        <v>4.7844330681274562E-3</v>
      </c>
      <c r="F36" s="4" t="s">
        <v>148</v>
      </c>
      <c r="G36" s="1">
        <v>134695280</v>
      </c>
      <c r="H36" s="6">
        <f>SUM($G$2:G36)/SUM($G:$G)</f>
        <v>0.56134712817780286</v>
      </c>
    </row>
    <row r="37" spans="1:8" x14ac:dyDescent="0.2">
      <c r="A37" s="4" t="s">
        <v>114</v>
      </c>
      <c r="B37" s="1">
        <v>166260557.69999999</v>
      </c>
      <c r="C37" s="5">
        <v>4.7517063874800182E-3</v>
      </c>
      <c r="F37" s="4" t="s">
        <v>48</v>
      </c>
      <c r="G37" s="1">
        <v>128893513.7</v>
      </c>
      <c r="H37" s="6">
        <f>SUM($G$2:G37)/SUM($G:$G)</f>
        <v>0.56791040645136381</v>
      </c>
    </row>
    <row r="38" spans="1:8" x14ac:dyDescent="0.2">
      <c r="A38" s="4" t="s">
        <v>233</v>
      </c>
      <c r="B38" s="1">
        <v>164288975</v>
      </c>
      <c r="C38" s="5">
        <v>4.695358795251083E-3</v>
      </c>
      <c r="F38" s="4" t="s">
        <v>26</v>
      </c>
      <c r="G38" s="1">
        <v>123212392.40000001</v>
      </c>
      <c r="H38" s="6">
        <f>SUM($G$2:G38)/SUM($G:$G)</f>
        <v>0.57418440112230273</v>
      </c>
    </row>
    <row r="39" spans="1:8" x14ac:dyDescent="0.2">
      <c r="A39" s="4" t="s">
        <v>365</v>
      </c>
      <c r="B39" s="1">
        <v>157252438.80000001</v>
      </c>
      <c r="C39" s="5">
        <v>4.4942554519818668E-3</v>
      </c>
      <c r="F39" s="4" t="s">
        <v>298</v>
      </c>
      <c r="G39" s="1">
        <v>122156864</v>
      </c>
      <c r="H39" s="6">
        <f>SUM($G$2:G39)/SUM($G:$G)</f>
        <v>0.58040464811877779</v>
      </c>
    </row>
    <row r="40" spans="1:8" x14ac:dyDescent="0.2">
      <c r="A40" s="4" t="s">
        <v>137</v>
      </c>
      <c r="B40" s="1">
        <v>154922824.69999999</v>
      </c>
      <c r="C40" s="5">
        <v>4.4276753661667599E-3</v>
      </c>
      <c r="F40" s="4" t="s">
        <v>602</v>
      </c>
      <c r="G40" s="1">
        <v>122000000</v>
      </c>
      <c r="H40" s="6">
        <f>SUM($G$2:G40)/SUM($G:$G)</f>
        <v>0.58661690757535623</v>
      </c>
    </row>
    <row r="41" spans="1:8" x14ac:dyDescent="0.2">
      <c r="A41" s="4" t="s">
        <v>63</v>
      </c>
      <c r="B41" s="1">
        <v>154670841.40000001</v>
      </c>
      <c r="C41" s="5">
        <v>4.4204737142974774E-3</v>
      </c>
      <c r="F41" s="4" t="s">
        <v>315</v>
      </c>
      <c r="G41" s="1">
        <v>121879015.3</v>
      </c>
      <c r="H41" s="6">
        <f>SUM($G$2:G41)/SUM($G:$G)</f>
        <v>0.59282300647171593</v>
      </c>
    </row>
    <row r="42" spans="1:8" x14ac:dyDescent="0.2">
      <c r="A42" s="4" t="s">
        <v>303</v>
      </c>
      <c r="B42" s="1">
        <v>152655395.90000001</v>
      </c>
      <c r="C42" s="5">
        <v>4.3628725286136887E-3</v>
      </c>
      <c r="F42" s="4" t="s">
        <v>27</v>
      </c>
      <c r="G42" s="1">
        <v>120000000</v>
      </c>
      <c r="H42" s="6">
        <f>SUM($G$2:G42)/SUM($G:$G)</f>
        <v>0.59893342560933405</v>
      </c>
    </row>
    <row r="43" spans="1:8" x14ac:dyDescent="0.2">
      <c r="A43" s="4" t="s">
        <v>2070</v>
      </c>
      <c r="B43" s="1">
        <v>149169723.19999999</v>
      </c>
      <c r="C43" s="5">
        <v>4.2632524295211499E-3</v>
      </c>
      <c r="F43" s="4" t="s">
        <v>81</v>
      </c>
      <c r="G43" s="1">
        <v>116890478.3</v>
      </c>
      <c r="H43" s="6">
        <f>SUM($G$2:G43)/SUM($G:$G)</f>
        <v>0.60488550740608116</v>
      </c>
    </row>
    <row r="44" spans="1:8" x14ac:dyDescent="0.2">
      <c r="A44" s="4" t="s">
        <v>302</v>
      </c>
      <c r="B44" s="1">
        <v>141254520</v>
      </c>
      <c r="C44" s="5">
        <v>4.0370368909476125E-3</v>
      </c>
      <c r="F44" s="4" t="s">
        <v>393</v>
      </c>
      <c r="G44" s="1">
        <v>116813982.2</v>
      </c>
      <c r="H44" s="6">
        <f>SUM($G$2:G44)/SUM($G:$G)</f>
        <v>0.61083369400921661</v>
      </c>
    </row>
    <row r="45" spans="1:8" x14ac:dyDescent="0.2">
      <c r="A45" s="4" t="s">
        <v>92</v>
      </c>
      <c r="B45" s="1">
        <v>140000000</v>
      </c>
      <c r="C45" s="5">
        <v>4.0011828629106221E-3</v>
      </c>
      <c r="F45" s="4" t="s">
        <v>279</v>
      </c>
      <c r="G45" s="1">
        <v>110747326</v>
      </c>
      <c r="H45" s="6">
        <f>SUM($G$2:G45)/SUM($G:$G)</f>
        <v>0.61647296551113684</v>
      </c>
    </row>
    <row r="46" spans="1:8" x14ac:dyDescent="0.2">
      <c r="A46" s="4" t="s">
        <v>172</v>
      </c>
      <c r="B46" s="1">
        <v>139813928.60000002</v>
      </c>
      <c r="C46" s="5">
        <v>3.9958649650752099E-3</v>
      </c>
      <c r="F46" s="4" t="s">
        <v>226</v>
      </c>
      <c r="G46" s="1">
        <v>110517735</v>
      </c>
      <c r="H46" s="6">
        <f>SUM($G$2:G46)/SUM($G:$G)</f>
        <v>0.62210054620272193</v>
      </c>
    </row>
    <row r="47" spans="1:8" x14ac:dyDescent="0.2">
      <c r="A47" s="4" t="s">
        <v>1094</v>
      </c>
      <c r="B47" s="1">
        <v>137297038.79999998</v>
      </c>
      <c r="C47" s="5">
        <v>3.9239325626781044E-3</v>
      </c>
      <c r="F47" s="4" t="s">
        <v>273</v>
      </c>
      <c r="G47" s="1">
        <v>110000000</v>
      </c>
      <c r="H47" s="6">
        <f>SUM($G$2:G47)/SUM($G:$G)</f>
        <v>0.62770176374553854</v>
      </c>
    </row>
    <row r="48" spans="1:8" x14ac:dyDescent="0.2">
      <c r="A48" s="4" t="s">
        <v>148</v>
      </c>
      <c r="B48" s="1">
        <v>134695280</v>
      </c>
      <c r="C48" s="5">
        <v>3.8495746146496273E-3</v>
      </c>
      <c r="F48" s="4" t="s">
        <v>277</v>
      </c>
      <c r="G48" s="1">
        <v>110000000</v>
      </c>
      <c r="H48" s="6">
        <f>SUM($G$2:G48)/SUM($G:$G)</f>
        <v>0.63330298128835516</v>
      </c>
    </row>
    <row r="49" spans="1:8" x14ac:dyDescent="0.2">
      <c r="A49" s="4" t="s">
        <v>1571</v>
      </c>
      <c r="B49" s="1">
        <v>133860127</v>
      </c>
      <c r="C49" s="5">
        <v>3.8257060441388531E-3</v>
      </c>
      <c r="F49" s="4" t="s">
        <v>274</v>
      </c>
      <c r="G49" s="1">
        <v>110000000</v>
      </c>
      <c r="H49" s="6">
        <f>SUM($G$2:G49)/SUM($G:$G)</f>
        <v>0.63890419883117167</v>
      </c>
    </row>
    <row r="50" spans="1:8" x14ac:dyDescent="0.2">
      <c r="A50" s="4" t="s">
        <v>986</v>
      </c>
      <c r="B50" s="1">
        <v>133288454.8</v>
      </c>
      <c r="C50" s="5">
        <v>3.8093677226399788E-3</v>
      </c>
      <c r="F50" s="4" t="s">
        <v>300</v>
      </c>
      <c r="G50" s="1">
        <v>108506027.09999999</v>
      </c>
      <c r="H50" s="6">
        <f>SUM($G$2:G50)/SUM($G:$G)</f>
        <v>0.64442934303566124</v>
      </c>
    </row>
    <row r="51" spans="1:8" x14ac:dyDescent="0.2">
      <c r="A51" s="4" t="s">
        <v>2071</v>
      </c>
      <c r="B51" s="1">
        <v>132554535.5</v>
      </c>
      <c r="C51" s="5">
        <v>3.7883923988834118E-3</v>
      </c>
      <c r="F51" s="4" t="s">
        <v>266</v>
      </c>
      <c r="G51" s="1">
        <v>105173250</v>
      </c>
      <c r="H51" s="6">
        <f>SUM($G$2:G51)/SUM($G:$G)</f>
        <v>0.64978478169870701</v>
      </c>
    </row>
    <row r="52" spans="1:8" x14ac:dyDescent="0.2">
      <c r="A52" s="4" t="s">
        <v>48</v>
      </c>
      <c r="B52" s="1">
        <v>128893513.7</v>
      </c>
      <c r="C52" s="5">
        <v>3.6837608439769676E-3</v>
      </c>
      <c r="F52" s="4" t="s">
        <v>309</v>
      </c>
      <c r="G52" s="1">
        <v>101110307.5</v>
      </c>
      <c r="H52" s="6">
        <f>SUM($G$2:G52)/SUM($G:$G)</f>
        <v>0.65493333468169412</v>
      </c>
    </row>
    <row r="53" spans="1:8" x14ac:dyDescent="0.2">
      <c r="A53" s="4" t="s">
        <v>546</v>
      </c>
      <c r="B53" s="1">
        <v>125628555</v>
      </c>
      <c r="C53" s="5">
        <v>3.590448723987318E-3</v>
      </c>
      <c r="F53" s="4" t="s">
        <v>576</v>
      </c>
      <c r="G53" s="1">
        <v>100000000</v>
      </c>
      <c r="H53" s="6">
        <f>SUM($G$2:G53)/SUM($G:$G)</f>
        <v>0.66002535062970924</v>
      </c>
    </row>
    <row r="54" spans="1:8" x14ac:dyDescent="0.2">
      <c r="A54" s="4" t="s">
        <v>749</v>
      </c>
      <c r="B54" s="1">
        <v>123270265.59999998</v>
      </c>
      <c r="C54" s="5">
        <v>3.5230491016082907E-3</v>
      </c>
      <c r="F54" s="4" t="s">
        <v>195</v>
      </c>
      <c r="G54" s="1">
        <v>98000000</v>
      </c>
      <c r="H54" s="6">
        <f>SUM($G$2:G54)/SUM($G:$G)</f>
        <v>0.66501552625876403</v>
      </c>
    </row>
    <row r="55" spans="1:8" x14ac:dyDescent="0.2">
      <c r="A55" s="4" t="s">
        <v>26</v>
      </c>
      <c r="B55" s="1">
        <v>123212392.40000001</v>
      </c>
      <c r="C55" s="5">
        <v>3.5213950926364212E-3</v>
      </c>
      <c r="F55" s="4" t="s">
        <v>117</v>
      </c>
      <c r="G55" s="1">
        <v>95204115.700000003</v>
      </c>
      <c r="H55" s="6">
        <f>SUM($G$2:G55)/SUM($G:$G)</f>
        <v>0.66986333501337481</v>
      </c>
    </row>
    <row r="56" spans="1:8" x14ac:dyDescent="0.2">
      <c r="A56" s="4" t="s">
        <v>298</v>
      </c>
      <c r="B56" s="1">
        <v>122156864</v>
      </c>
      <c r="C56" s="5">
        <v>3.4912282201693106E-3</v>
      </c>
      <c r="F56" s="4" t="s">
        <v>70</v>
      </c>
      <c r="G56" s="1">
        <v>93957272</v>
      </c>
      <c r="H56" s="6">
        <f>SUM($G$2:G56)/SUM($G:$G)</f>
        <v>0.67464765428793472</v>
      </c>
    </row>
    <row r="57" spans="1:8" x14ac:dyDescent="0.2">
      <c r="A57" s="4" t="s">
        <v>602</v>
      </c>
      <c r="B57" s="1">
        <v>122000000</v>
      </c>
      <c r="C57" s="5">
        <v>3.4867450662506849E-3</v>
      </c>
      <c r="F57" s="4" t="s">
        <v>80</v>
      </c>
      <c r="G57" s="1">
        <v>93932025.699999988</v>
      </c>
      <c r="H57" s="6">
        <f>SUM($G$2:G57)/SUM($G:$G)</f>
        <v>0.67943068801687234</v>
      </c>
    </row>
    <row r="58" spans="1:8" x14ac:dyDescent="0.2">
      <c r="A58" s="4" t="s">
        <v>315</v>
      </c>
      <c r="B58" s="1">
        <v>121879015.3</v>
      </c>
      <c r="C58" s="5">
        <v>3.4832873383341535E-3</v>
      </c>
      <c r="F58" s="4" t="s">
        <v>110</v>
      </c>
      <c r="G58" s="1">
        <v>92700000</v>
      </c>
      <c r="H58" s="6">
        <f>SUM($G$2:G58)/SUM($G:$G)</f>
        <v>0.68415098680068231</v>
      </c>
    </row>
    <row r="59" spans="1:8" x14ac:dyDescent="0.2">
      <c r="A59" s="4" t="s">
        <v>692</v>
      </c>
      <c r="B59" s="1">
        <v>121371578.09999999</v>
      </c>
      <c r="C59" s="5">
        <v>3.4687848452724149E-3</v>
      </c>
      <c r="F59" s="4" t="s">
        <v>143</v>
      </c>
      <c r="G59" s="1">
        <v>91167800.400000006</v>
      </c>
      <c r="H59" s="6">
        <f>SUM($G$2:G59)/SUM($G:$G)</f>
        <v>0.6887932657365049</v>
      </c>
    </row>
    <row r="60" spans="1:8" x14ac:dyDescent="0.2">
      <c r="A60" s="4" t="s">
        <v>27</v>
      </c>
      <c r="B60" s="1">
        <v>120000000</v>
      </c>
      <c r="C60" s="5">
        <v>3.4295853110662472E-3</v>
      </c>
      <c r="F60" s="4" t="s">
        <v>135</v>
      </c>
      <c r="G60" s="1">
        <v>89890205.299999997</v>
      </c>
      <c r="H60" s="6">
        <f>SUM($G$2:G60)/SUM($G:$G)</f>
        <v>0.69337048932608436</v>
      </c>
    </row>
    <row r="61" spans="1:8" x14ac:dyDescent="0.2">
      <c r="A61" s="4" t="s">
        <v>1601</v>
      </c>
      <c r="B61" s="1">
        <v>119390244</v>
      </c>
      <c r="C61" s="5">
        <v>3.4121585592251265E-3</v>
      </c>
      <c r="F61" s="4" t="s">
        <v>405</v>
      </c>
      <c r="G61" s="1">
        <v>86826344.299999997</v>
      </c>
      <c r="H61" s="6">
        <f>SUM($G$2:G61)/SUM($G:$G)</f>
        <v>0.6977917006249188</v>
      </c>
    </row>
    <row r="62" spans="1:8" x14ac:dyDescent="0.2">
      <c r="A62" s="4" t="s">
        <v>81</v>
      </c>
      <c r="B62" s="1">
        <v>116890478.3</v>
      </c>
      <c r="C62" s="5">
        <v>3.3407155615098995E-3</v>
      </c>
      <c r="F62" s="4" t="s">
        <v>50</v>
      </c>
      <c r="G62" s="1">
        <v>86559859.5</v>
      </c>
      <c r="H62" s="6">
        <f>SUM($G$2:G62)/SUM($G:$G)</f>
        <v>0.70219934247523819</v>
      </c>
    </row>
    <row r="63" spans="1:8" x14ac:dyDescent="0.2">
      <c r="A63" s="4" t="s">
        <v>393</v>
      </c>
      <c r="B63" s="1">
        <v>116813982.2</v>
      </c>
      <c r="C63" s="5">
        <v>3.3385293123356172E-3</v>
      </c>
      <c r="F63" s="4" t="s">
        <v>304</v>
      </c>
      <c r="G63" s="1">
        <v>85047510</v>
      </c>
      <c r="H63" s="6">
        <f>SUM($G$2:G63)/SUM($G:$G)</f>
        <v>0.7065299752478279</v>
      </c>
    </row>
    <row r="64" spans="1:8" x14ac:dyDescent="0.2">
      <c r="A64" s="4" t="s">
        <v>279</v>
      </c>
      <c r="B64" s="1">
        <v>110747326</v>
      </c>
      <c r="C64" s="5">
        <v>3.1651450207455427E-3</v>
      </c>
      <c r="F64" s="4" t="s">
        <v>305</v>
      </c>
      <c r="G64" s="1">
        <v>84371700</v>
      </c>
      <c r="H64" s="6">
        <f>SUM($G$2:G64)/SUM($G:$G)</f>
        <v>0.71082619566743932</v>
      </c>
    </row>
    <row r="65" spans="1:8" x14ac:dyDescent="0.2">
      <c r="A65" s="4" t="s">
        <v>226</v>
      </c>
      <c r="B65" s="1">
        <v>110577735</v>
      </c>
      <c r="C65" s="5">
        <v>3.1602981307248005E-3</v>
      </c>
      <c r="F65" s="4" t="s">
        <v>38</v>
      </c>
      <c r="G65" s="1">
        <v>83364040</v>
      </c>
      <c r="H65" s="6">
        <f>SUM($G$2:G65)/SUM($G:$G)</f>
        <v>0.71507110587914902</v>
      </c>
    </row>
    <row r="66" spans="1:8" x14ac:dyDescent="0.2">
      <c r="A66" s="4" t="s">
        <v>273</v>
      </c>
      <c r="B66" s="1">
        <v>110000000</v>
      </c>
      <c r="C66" s="5">
        <v>3.1437865351440601E-3</v>
      </c>
      <c r="F66" s="4" t="s">
        <v>17</v>
      </c>
      <c r="G66" s="1">
        <v>77601276</v>
      </c>
      <c r="H66" s="6">
        <f>SUM($G$2:G66)/SUM($G:$G)</f>
        <v>0.7190225752289322</v>
      </c>
    </row>
    <row r="67" spans="1:8" x14ac:dyDescent="0.2">
      <c r="A67" s="4" t="s">
        <v>277</v>
      </c>
      <c r="B67" s="1">
        <v>110000000</v>
      </c>
      <c r="C67" s="5">
        <v>3.1437865351440601E-3</v>
      </c>
      <c r="F67" s="4" t="s">
        <v>186</v>
      </c>
      <c r="G67" s="1">
        <v>77500000</v>
      </c>
      <c r="H67" s="6">
        <f>SUM($G$2:G67)/SUM($G:$G)</f>
        <v>0.72296888758864397</v>
      </c>
    </row>
    <row r="68" spans="1:8" x14ac:dyDescent="0.2">
      <c r="A68" s="4" t="s">
        <v>274</v>
      </c>
      <c r="B68" s="1">
        <v>110000000</v>
      </c>
      <c r="C68" s="5">
        <v>3.1437865351440601E-3</v>
      </c>
      <c r="F68" s="4" t="s">
        <v>414</v>
      </c>
      <c r="G68" s="1">
        <v>76000988</v>
      </c>
      <c r="H68" s="6">
        <f>SUM($G$2:G68)/SUM($G:$G)</f>
        <v>0.72683887001825298</v>
      </c>
    </row>
    <row r="69" spans="1:8" x14ac:dyDescent="0.2">
      <c r="A69" s="4" t="s">
        <v>300</v>
      </c>
      <c r="B69" s="1">
        <v>108506027.09999999</v>
      </c>
      <c r="C69" s="5">
        <v>3.1010889725359681E-3</v>
      </c>
      <c r="F69" s="4" t="s">
        <v>450</v>
      </c>
      <c r="G69" s="1">
        <v>75466360</v>
      </c>
      <c r="H69" s="6">
        <f>SUM($G$2:G69)/SUM($G:$G)</f>
        <v>0.73068162910483947</v>
      </c>
    </row>
    <row r="70" spans="1:8" x14ac:dyDescent="0.2">
      <c r="A70" s="4" t="s">
        <v>266</v>
      </c>
      <c r="B70" s="1">
        <v>105173250</v>
      </c>
      <c r="C70" s="5">
        <v>3.0058386109758184E-3</v>
      </c>
      <c r="F70" s="4" t="s">
        <v>308</v>
      </c>
      <c r="G70" s="1">
        <v>75000000</v>
      </c>
      <c r="H70" s="6">
        <f>SUM($G$2:G70)/SUM($G:$G)</f>
        <v>0.73450064106585078</v>
      </c>
    </row>
    <row r="71" spans="1:8" x14ac:dyDescent="0.2">
      <c r="A71" s="4" t="s">
        <v>711</v>
      </c>
      <c r="B71" s="1">
        <v>104959716.89999999</v>
      </c>
      <c r="C71" s="5">
        <v>2.9997358611159311E-3</v>
      </c>
      <c r="F71" s="4" t="s">
        <v>516</v>
      </c>
      <c r="G71" s="1">
        <v>72521329.799999997</v>
      </c>
      <c r="H71" s="6">
        <f>SUM($G$2:G71)/SUM($G:$G)</f>
        <v>0.73819343874497934</v>
      </c>
    </row>
    <row r="72" spans="1:8" x14ac:dyDescent="0.2">
      <c r="A72" s="4" t="s">
        <v>697</v>
      </c>
      <c r="B72" s="1">
        <v>102586751.40000001</v>
      </c>
      <c r="C72" s="5">
        <v>2.9319167975953736E-3</v>
      </c>
      <c r="F72" s="4" t="s">
        <v>466</v>
      </c>
      <c r="G72" s="1">
        <v>72387000</v>
      </c>
      <c r="H72" s="6">
        <f>SUM($G$2:G72)/SUM($G:$G)</f>
        <v>0.74187939632926903</v>
      </c>
    </row>
    <row r="73" spans="1:8" x14ac:dyDescent="0.2">
      <c r="A73" s="4" t="s">
        <v>922</v>
      </c>
      <c r="B73" s="1">
        <v>101274860.59999999</v>
      </c>
      <c r="C73" s="5">
        <v>2.894423119117015E-3</v>
      </c>
      <c r="F73" s="4" t="s">
        <v>205</v>
      </c>
      <c r="G73" s="1">
        <v>66850625</v>
      </c>
      <c r="H73" s="6">
        <f>SUM($G$2:G73)/SUM($G:$G)</f>
        <v>0.7452834408156167</v>
      </c>
    </row>
    <row r="74" spans="1:8" x14ac:dyDescent="0.2">
      <c r="A74" s="4" t="s">
        <v>309</v>
      </c>
      <c r="B74" s="1">
        <v>101110307.5</v>
      </c>
      <c r="C74" s="5">
        <v>2.8897202116615951E-3</v>
      </c>
      <c r="F74" s="4" t="s">
        <v>147</v>
      </c>
      <c r="G74" s="1">
        <v>64334319</v>
      </c>
      <c r="H74" s="6">
        <f>SUM($G$2:G74)/SUM($G:$G)</f>
        <v>0.74855935459914369</v>
      </c>
    </row>
    <row r="75" spans="1:8" x14ac:dyDescent="0.2">
      <c r="A75" s="4" t="s">
        <v>576</v>
      </c>
      <c r="B75" s="1">
        <v>100000000</v>
      </c>
      <c r="C75" s="5">
        <v>2.8579877592218726E-3</v>
      </c>
      <c r="F75" s="4" t="s">
        <v>16</v>
      </c>
      <c r="G75" s="1">
        <v>63825101.200000003</v>
      </c>
      <c r="H75" s="6">
        <f>SUM($G$2:G75)/SUM($G:$G)</f>
        <v>0.75180933893108448</v>
      </c>
    </row>
    <row r="76" spans="1:8" x14ac:dyDescent="0.2">
      <c r="A76" s="4" t="s">
        <v>195</v>
      </c>
      <c r="B76" s="1">
        <v>98000000</v>
      </c>
      <c r="C76" s="5">
        <v>2.8008280040374353E-3</v>
      </c>
      <c r="F76" s="4" t="s">
        <v>196</v>
      </c>
      <c r="G76" s="1">
        <v>63623423.299999997</v>
      </c>
      <c r="H76" s="6">
        <f>SUM($G$2:G76)/SUM($G:$G)</f>
        <v>0.75504905379219356</v>
      </c>
    </row>
    <row r="77" spans="1:8" x14ac:dyDescent="0.2">
      <c r="A77" s="4" t="s">
        <v>704</v>
      </c>
      <c r="B77" s="1">
        <v>96045306.400000006</v>
      </c>
      <c r="C77" s="5">
        <v>2.744963100219142E-3</v>
      </c>
      <c r="F77" s="4" t="s">
        <v>144</v>
      </c>
      <c r="G77" s="1">
        <v>62528355.299999997</v>
      </c>
      <c r="H77" s="6">
        <f>SUM($G$2:G77)/SUM($G:$G)</f>
        <v>0.75823300761610102</v>
      </c>
    </row>
    <row r="78" spans="1:8" x14ac:dyDescent="0.2">
      <c r="A78" s="4" t="s">
        <v>117</v>
      </c>
      <c r="B78" s="1">
        <v>95204115.700000003</v>
      </c>
      <c r="C78" s="5">
        <v>2.7209219729814292E-3</v>
      </c>
      <c r="F78" s="4" t="s">
        <v>109</v>
      </c>
      <c r="G78" s="1">
        <v>61449800</v>
      </c>
      <c r="H78" s="6">
        <f>SUM($G$2:G78)/SUM($G:$G)</f>
        <v>0.76136204123212436</v>
      </c>
    </row>
    <row r="79" spans="1:8" x14ac:dyDescent="0.2">
      <c r="A79" s="4" t="s">
        <v>705</v>
      </c>
      <c r="B79" s="1">
        <v>94196015.800000012</v>
      </c>
      <c r="C79" s="5">
        <v>2.6921106012387018E-3</v>
      </c>
      <c r="F79" s="4" t="s">
        <v>130</v>
      </c>
      <c r="G79" s="1">
        <v>61299082.5</v>
      </c>
      <c r="H79" s="6">
        <f>SUM($G$2:G79)/SUM($G:$G)</f>
        <v>0.76448340028901129</v>
      </c>
    </row>
    <row r="80" spans="1:8" x14ac:dyDescent="0.2">
      <c r="A80" s="4" t="s">
        <v>70</v>
      </c>
      <c r="B80" s="1">
        <v>93957272</v>
      </c>
      <c r="C80" s="5">
        <v>2.6852873326588E-3</v>
      </c>
      <c r="F80" s="4" t="s">
        <v>189</v>
      </c>
      <c r="G80" s="1">
        <v>60591998.200000003</v>
      </c>
      <c r="H80" s="6">
        <f>SUM($G$2:G80)/SUM($G:$G)</f>
        <v>0.76756875450057638</v>
      </c>
    </row>
    <row r="81" spans="1:8" x14ac:dyDescent="0.2">
      <c r="A81" s="4" t="s">
        <v>80</v>
      </c>
      <c r="B81" s="1">
        <v>93932025.699999988</v>
      </c>
      <c r="C81" s="5">
        <v>2.6845657964951431E-3</v>
      </c>
      <c r="F81" s="4" t="s">
        <v>345</v>
      </c>
      <c r="G81" s="1">
        <v>59833199.200000003</v>
      </c>
      <c r="H81" s="6">
        <f>SUM($G$2:G81)/SUM($G:$G)</f>
        <v>0.77061547054604806</v>
      </c>
    </row>
    <row r="82" spans="1:8" x14ac:dyDescent="0.2">
      <c r="A82" s="4" t="s">
        <v>110</v>
      </c>
      <c r="B82" s="1">
        <v>92700000</v>
      </c>
      <c r="C82" s="5">
        <v>2.6493546527986763E-3</v>
      </c>
      <c r="F82" s="4" t="s">
        <v>495</v>
      </c>
      <c r="G82" s="1">
        <v>59131385.799999997</v>
      </c>
      <c r="H82" s="6">
        <f>SUM($G$2:G82)/SUM($G:$G)</f>
        <v>0.7736264501412663</v>
      </c>
    </row>
    <row r="83" spans="1:8" x14ac:dyDescent="0.2">
      <c r="A83" s="4" t="s">
        <v>143</v>
      </c>
      <c r="B83" s="1">
        <v>91167800.400000006</v>
      </c>
      <c r="C83" s="5">
        <v>2.6055645757838298E-3</v>
      </c>
      <c r="F83" s="4" t="s">
        <v>197</v>
      </c>
      <c r="G83" s="1">
        <v>57419813.299999997</v>
      </c>
      <c r="H83" s="6">
        <f>SUM($G$2:G83)/SUM($G:$G)</f>
        <v>0.77655027619182282</v>
      </c>
    </row>
    <row r="84" spans="1:8" x14ac:dyDescent="0.2">
      <c r="A84" s="4" t="s">
        <v>135</v>
      </c>
      <c r="B84" s="1">
        <v>89890205.299999997</v>
      </c>
      <c r="C84" s="5">
        <v>2.5690510642134112E-3</v>
      </c>
      <c r="F84" s="4" t="s">
        <v>267</v>
      </c>
      <c r="G84" s="1">
        <v>56239223.799999997</v>
      </c>
      <c r="H84" s="6">
        <f>SUM($G$2:G84)/SUM($G:$G)</f>
        <v>0.77941398643675863</v>
      </c>
    </row>
    <row r="85" spans="1:8" x14ac:dyDescent="0.2">
      <c r="A85" s="4" t="s">
        <v>713</v>
      </c>
      <c r="B85" s="1">
        <v>88368035.699999988</v>
      </c>
      <c r="C85" s="5">
        <v>2.5255476433708145E-3</v>
      </c>
      <c r="F85" s="4" t="s">
        <v>486</v>
      </c>
      <c r="G85" s="1">
        <v>55904940</v>
      </c>
      <c r="H85" s="6">
        <f>SUM($G$2:G85)/SUM($G:$G)</f>
        <v>0.7822606748972869</v>
      </c>
    </row>
    <row r="86" spans="1:8" x14ac:dyDescent="0.2">
      <c r="A86" s="4" t="s">
        <v>405</v>
      </c>
      <c r="B86" s="1">
        <v>86826344.299999997</v>
      </c>
      <c r="C86" s="5">
        <v>2.4814862918738382E-3</v>
      </c>
      <c r="F86" s="4" t="s">
        <v>259</v>
      </c>
      <c r="G86" s="1">
        <v>55898191</v>
      </c>
      <c r="H86" s="6">
        <f>SUM($G$2:G86)/SUM($G:$G)</f>
        <v>0.78510701969765884</v>
      </c>
    </row>
    <row r="87" spans="1:8" x14ac:dyDescent="0.2">
      <c r="A87" s="4" t="s">
        <v>50</v>
      </c>
      <c r="B87" s="1">
        <v>86559859.5</v>
      </c>
      <c r="C87" s="5">
        <v>2.4738701889096514E-3</v>
      </c>
      <c r="F87" s="4" t="s">
        <v>625</v>
      </c>
      <c r="G87" s="1">
        <v>55250000</v>
      </c>
      <c r="H87" s="6">
        <f>SUM($G$2:G87)/SUM($G:$G)</f>
        <v>0.78792035850893716</v>
      </c>
    </row>
    <row r="88" spans="1:8" x14ac:dyDescent="0.2">
      <c r="A88" s="4" t="s">
        <v>304</v>
      </c>
      <c r="B88" s="1">
        <v>85047510</v>
      </c>
      <c r="C88" s="5">
        <v>2.4306474253229984E-3</v>
      </c>
      <c r="F88" s="4" t="s">
        <v>314</v>
      </c>
      <c r="G88" s="1">
        <v>55000000</v>
      </c>
      <c r="H88" s="6">
        <f>SUM($G$2:G88)/SUM($G:$G)</f>
        <v>0.79072096728034547</v>
      </c>
    </row>
    <row r="89" spans="1:8" x14ac:dyDescent="0.2">
      <c r="A89" s="4" t="s">
        <v>305</v>
      </c>
      <c r="B89" s="1">
        <v>84371700</v>
      </c>
      <c r="C89" s="5">
        <v>2.4113328582474011E-3</v>
      </c>
      <c r="F89" s="4" t="s">
        <v>313</v>
      </c>
      <c r="G89" s="1">
        <v>55000000</v>
      </c>
      <c r="H89" s="6">
        <f>SUM($G$2:G89)/SUM($G:$G)</f>
        <v>0.79352157605175377</v>
      </c>
    </row>
    <row r="90" spans="1:8" x14ac:dyDescent="0.2">
      <c r="A90" s="4" t="s">
        <v>38</v>
      </c>
      <c r="B90" s="1">
        <v>83364040</v>
      </c>
      <c r="C90" s="5">
        <v>2.3825340587928256E-3</v>
      </c>
      <c r="F90" s="4" t="s">
        <v>115</v>
      </c>
      <c r="G90" s="1">
        <v>52765045.799999997</v>
      </c>
      <c r="H90" s="6">
        <f>SUM($G$2:G90)/SUM($G:$G)</f>
        <v>0.79620838059886712</v>
      </c>
    </row>
    <row r="91" spans="1:8" x14ac:dyDescent="0.2">
      <c r="A91" s="4" t="s">
        <v>698</v>
      </c>
      <c r="B91" s="1">
        <v>81080910.900000006</v>
      </c>
      <c r="C91" s="5">
        <v>2.3172825085875934E-3</v>
      </c>
      <c r="F91" s="4" t="s">
        <v>429</v>
      </c>
      <c r="G91" s="1">
        <v>52296652.799999997</v>
      </c>
      <c r="H91" s="6">
        <f>SUM($G$2:G91)/SUM($G:$G)</f>
        <v>0.79887133449972125</v>
      </c>
    </row>
    <row r="92" spans="1:8" x14ac:dyDescent="0.2">
      <c r="A92" s="4" t="s">
        <v>669</v>
      </c>
      <c r="B92" s="1">
        <v>80167630.799999997</v>
      </c>
      <c r="C92" s="5">
        <v>2.2911810751221839E-3</v>
      </c>
      <c r="F92" s="4" t="s">
        <v>426</v>
      </c>
      <c r="G92" s="1">
        <v>52217159.5</v>
      </c>
      <c r="H92" s="6">
        <f>SUM($G$2:G92)/SUM($G:$G)</f>
        <v>0.80153024058906164</v>
      </c>
    </row>
    <row r="93" spans="1:8" x14ac:dyDescent="0.2">
      <c r="A93" s="4" t="s">
        <v>17</v>
      </c>
      <c r="B93" s="1">
        <v>77601276</v>
      </c>
      <c r="C93" s="5">
        <v>2.2178349690799809E-3</v>
      </c>
      <c r="F93" s="4" t="s">
        <v>206</v>
      </c>
      <c r="G93" s="1">
        <v>52085422</v>
      </c>
      <c r="H93" s="6">
        <f>SUM($G$2:G93)/SUM($G:$G)</f>
        <v>0.8041824385838926</v>
      </c>
    </row>
    <row r="94" spans="1:8" x14ac:dyDescent="0.2">
      <c r="A94" s="4" t="s">
        <v>186</v>
      </c>
      <c r="B94" s="1">
        <v>77500000</v>
      </c>
      <c r="C94" s="5">
        <v>2.2149405133969516E-3</v>
      </c>
      <c r="F94" s="4" t="s">
        <v>32</v>
      </c>
      <c r="G94" s="1">
        <v>50408871.700000003</v>
      </c>
      <c r="H94" s="6">
        <f>SUM($G$2:G94)/SUM($G:$G)</f>
        <v>0.80674926637007116</v>
      </c>
    </row>
    <row r="95" spans="1:8" x14ac:dyDescent="0.2">
      <c r="A95" s="4" t="s">
        <v>414</v>
      </c>
      <c r="B95" s="1">
        <v>76000988</v>
      </c>
      <c r="C95" s="5">
        <v>2.1720989339276842E-3</v>
      </c>
      <c r="F95" s="4" t="s">
        <v>487</v>
      </c>
      <c r="G95" s="1">
        <v>50000000</v>
      </c>
      <c r="H95" s="6">
        <f>SUM($G$2:G95)/SUM($G:$G)</f>
        <v>0.80929527434407866</v>
      </c>
    </row>
    <row r="96" spans="1:8" x14ac:dyDescent="0.2">
      <c r="A96" s="4" t="s">
        <v>450</v>
      </c>
      <c r="B96" s="1">
        <v>75466360</v>
      </c>
      <c r="C96" s="5">
        <v>2.1568193311303119E-3</v>
      </c>
      <c r="F96" s="4" t="s">
        <v>268</v>
      </c>
      <c r="G96" s="1">
        <v>50000000</v>
      </c>
      <c r="H96" s="6">
        <f>SUM($G$2:G96)/SUM($G:$G)</f>
        <v>0.81184128231808617</v>
      </c>
    </row>
    <row r="97" spans="1:8" x14ac:dyDescent="0.2">
      <c r="A97" s="4" t="s">
        <v>696</v>
      </c>
      <c r="B97" s="1">
        <v>75384611.799999997</v>
      </c>
      <c r="C97" s="5">
        <v>2.1544829775809273E-3</v>
      </c>
      <c r="F97" s="4" t="s">
        <v>198</v>
      </c>
      <c r="G97" s="1">
        <v>50000000</v>
      </c>
      <c r="H97" s="6">
        <f>SUM($G$2:G97)/SUM($G:$G)</f>
        <v>0.81438729029209378</v>
      </c>
    </row>
    <row r="98" spans="1:8" x14ac:dyDescent="0.2">
      <c r="A98" s="4" t="s">
        <v>308</v>
      </c>
      <c r="B98" s="1">
        <v>75000000</v>
      </c>
      <c r="C98" s="5">
        <v>2.1434908194164046E-3</v>
      </c>
      <c r="F98" s="4" t="s">
        <v>420</v>
      </c>
      <c r="G98" s="1">
        <v>48196132.299999997</v>
      </c>
      <c r="H98" s="6">
        <f>SUM($G$2:G98)/SUM($G:$G)</f>
        <v>0.81684144503513612</v>
      </c>
    </row>
    <row r="99" spans="1:8" x14ac:dyDescent="0.2">
      <c r="A99" s="4" t="s">
        <v>41</v>
      </c>
      <c r="B99" s="1">
        <v>73486948.099999994</v>
      </c>
      <c r="C99" s="5">
        <v>2.1002479813237306E-3</v>
      </c>
      <c r="F99" s="4" t="s">
        <v>187</v>
      </c>
      <c r="G99" s="1">
        <v>48015923.799999997</v>
      </c>
      <c r="H99" s="6">
        <f>SUM($G$2:G99)/SUM($G:$G)</f>
        <v>0.81928642353261893</v>
      </c>
    </row>
    <row r="100" spans="1:8" x14ac:dyDescent="0.2">
      <c r="A100" s="4" t="s">
        <v>516</v>
      </c>
      <c r="B100" s="1">
        <v>72521329.799999997</v>
      </c>
      <c r="C100" s="5">
        <v>2.0726507285089243E-3</v>
      </c>
      <c r="F100" s="4" t="s">
        <v>209</v>
      </c>
      <c r="G100" s="1">
        <v>47900000</v>
      </c>
      <c r="H100" s="6">
        <f>SUM($G$2:G100)/SUM($G:$G)</f>
        <v>0.82172549917171811</v>
      </c>
    </row>
    <row r="101" spans="1:8" x14ac:dyDescent="0.2">
      <c r="A101" s="4" t="s">
        <v>466</v>
      </c>
      <c r="B101" s="1">
        <v>72387000</v>
      </c>
      <c r="C101" s="5">
        <v>2.0688115992679372E-3</v>
      </c>
      <c r="F101" s="4" t="s">
        <v>502</v>
      </c>
      <c r="G101" s="1">
        <v>47331880.799999997</v>
      </c>
      <c r="H101" s="6">
        <f>SUM($G$2:G101)/SUM($G:$G)</f>
        <v>0.82413564609054957</v>
      </c>
    </row>
    <row r="102" spans="1:8" x14ac:dyDescent="0.2">
      <c r="A102" s="4" t="s">
        <v>680</v>
      </c>
      <c r="B102" s="1">
        <v>72271116.799999997</v>
      </c>
      <c r="C102" s="5">
        <v>2.0654996715969423E-3</v>
      </c>
      <c r="F102" s="4" t="s">
        <v>616</v>
      </c>
      <c r="G102" s="1">
        <v>45154483</v>
      </c>
      <c r="H102" s="6">
        <f>SUM($G$2:G102)/SUM($G:$G)</f>
        <v>0.82643491956615334</v>
      </c>
    </row>
    <row r="103" spans="1:8" x14ac:dyDescent="0.2">
      <c r="A103" s="4" t="s">
        <v>872</v>
      </c>
      <c r="B103" s="1">
        <v>71502147.299999997</v>
      </c>
      <c r="C103" s="5">
        <v>2.0435226174147928E-3</v>
      </c>
      <c r="F103" s="4" t="s">
        <v>310</v>
      </c>
      <c r="G103" s="1">
        <v>45049820</v>
      </c>
      <c r="H103" s="6">
        <f>SUM($G$2:G103)/SUM($G:$G)</f>
        <v>0.82872886358510545</v>
      </c>
    </row>
    <row r="104" spans="1:8" x14ac:dyDescent="0.2">
      <c r="A104" s="4" t="s">
        <v>205</v>
      </c>
      <c r="B104" s="1">
        <v>66850625</v>
      </c>
      <c r="C104" s="5">
        <v>1.9105826794633171E-3</v>
      </c>
      <c r="F104" s="4" t="s">
        <v>301</v>
      </c>
      <c r="G104" s="1">
        <v>45000000</v>
      </c>
      <c r="H104" s="6">
        <f>SUM($G$2:G104)/SUM($G:$G)</f>
        <v>0.83102027076171214</v>
      </c>
    </row>
    <row r="105" spans="1:8" x14ac:dyDescent="0.2">
      <c r="A105" s="4" t="s">
        <v>694</v>
      </c>
      <c r="B105" s="1">
        <v>64627281.000000007</v>
      </c>
      <c r="C105" s="5">
        <v>1.8470397800979233E-3</v>
      </c>
      <c r="F105" s="4" t="s">
        <v>160</v>
      </c>
      <c r="G105" s="1">
        <v>44857125</v>
      </c>
      <c r="H105" s="6">
        <f>SUM($G$2:G105)/SUM($G:$G)</f>
        <v>0.8333044027205333</v>
      </c>
    </row>
    <row r="106" spans="1:8" x14ac:dyDescent="0.2">
      <c r="A106" s="4" t="s">
        <v>147</v>
      </c>
      <c r="B106" s="1">
        <v>64334319</v>
      </c>
      <c r="C106" s="5">
        <v>1.8386669619987516E-3</v>
      </c>
      <c r="F106" s="4" t="s">
        <v>202</v>
      </c>
      <c r="G106" s="1">
        <v>44834892</v>
      </c>
      <c r="H106" s="6">
        <f>SUM($G$2:G106)/SUM($G:$G)</f>
        <v>0.83558740257144859</v>
      </c>
    </row>
    <row r="107" spans="1:8" x14ac:dyDescent="0.2">
      <c r="A107" s="4" t="s">
        <v>16</v>
      </c>
      <c r="B107" s="1">
        <v>63825101.200000003</v>
      </c>
      <c r="C107" s="5">
        <v>1.8241135796069727E-3</v>
      </c>
      <c r="F107" s="4" t="s">
        <v>190</v>
      </c>
      <c r="G107" s="1">
        <v>43593800</v>
      </c>
      <c r="H107" s="6">
        <f>SUM($G$2:G107)/SUM($G:$G)</f>
        <v>0.8378072058197944</v>
      </c>
    </row>
    <row r="108" spans="1:8" x14ac:dyDescent="0.2">
      <c r="A108" s="4" t="s">
        <v>196</v>
      </c>
      <c r="B108" s="1">
        <v>63623423.299999997</v>
      </c>
      <c r="C108" s="5">
        <v>1.8183496499119167E-3</v>
      </c>
      <c r="F108" s="4" t="s">
        <v>55</v>
      </c>
      <c r="G108" s="1">
        <v>43000000</v>
      </c>
      <c r="H108" s="6">
        <f>SUM($G$2:G108)/SUM($G:$G)</f>
        <v>0.83999677267744088</v>
      </c>
    </row>
    <row r="109" spans="1:8" x14ac:dyDescent="0.2">
      <c r="A109" s="4" t="s">
        <v>976</v>
      </c>
      <c r="B109" s="1">
        <v>63027666.399999999</v>
      </c>
      <c r="C109" s="5">
        <v>1.8013229906351971E-3</v>
      </c>
      <c r="F109" s="4" t="s">
        <v>547</v>
      </c>
      <c r="G109" s="1">
        <v>42639177.899999999</v>
      </c>
      <c r="H109" s="6">
        <f>SUM($G$2:G109)/SUM($G:$G)</f>
        <v>0.84216796641621139</v>
      </c>
    </row>
    <row r="110" spans="1:8" x14ac:dyDescent="0.2">
      <c r="A110" s="4" t="s">
        <v>144</v>
      </c>
      <c r="B110" s="1">
        <v>62528355.299999997</v>
      </c>
      <c r="C110" s="5">
        <v>1.7870527405167611E-3</v>
      </c>
      <c r="F110" s="4" t="s">
        <v>306</v>
      </c>
      <c r="G110" s="1">
        <v>41650000</v>
      </c>
      <c r="H110" s="6">
        <f>SUM($G$2:G110)/SUM($G:$G)</f>
        <v>0.8442887910585597</v>
      </c>
    </row>
    <row r="111" spans="1:8" x14ac:dyDescent="0.2">
      <c r="A111" s="4" t="s">
        <v>778</v>
      </c>
      <c r="B111" s="1">
        <v>61850208.5</v>
      </c>
      <c r="C111" s="5">
        <v>1.7676713879832063E-3</v>
      </c>
      <c r="F111" s="4" t="s">
        <v>418</v>
      </c>
      <c r="G111" s="1">
        <v>41562253</v>
      </c>
      <c r="H111" s="6">
        <f>SUM($G$2:G111)/SUM($G:$G)</f>
        <v>0.846405147609674</v>
      </c>
    </row>
    <row r="112" spans="1:8" x14ac:dyDescent="0.2">
      <c r="A112" s="4" t="s">
        <v>109</v>
      </c>
      <c r="B112" s="1">
        <v>61449800</v>
      </c>
      <c r="C112" s="5">
        <v>1.7562277620663223E-3</v>
      </c>
      <c r="F112" s="4" t="s">
        <v>452</v>
      </c>
      <c r="G112" s="1">
        <v>40750000</v>
      </c>
      <c r="H112" s="6">
        <f>SUM($G$2:G112)/SUM($G:$G)</f>
        <v>0.84848014410849015</v>
      </c>
    </row>
    <row r="113" spans="1:8" x14ac:dyDescent="0.2">
      <c r="A113" s="4" t="s">
        <v>130</v>
      </c>
      <c r="B113" s="1">
        <v>61299082.5</v>
      </c>
      <c r="C113" s="5">
        <v>1.7519202743653173E-3</v>
      </c>
      <c r="F113" s="4" t="s">
        <v>146</v>
      </c>
      <c r="G113" s="1">
        <v>40726773.399999999</v>
      </c>
      <c r="H113" s="6">
        <f>SUM($G$2:G113)/SUM($G:$G)</f>
        <v>0.85055395790513011</v>
      </c>
    </row>
    <row r="114" spans="1:8" x14ac:dyDescent="0.2">
      <c r="A114" s="4" t="s">
        <v>2158</v>
      </c>
      <c r="B114" s="1">
        <v>60740000</v>
      </c>
      <c r="C114" s="5">
        <v>1.7359417649513654E-3</v>
      </c>
      <c r="F114" s="4" t="s">
        <v>125</v>
      </c>
      <c r="G114" s="1">
        <v>40621476</v>
      </c>
      <c r="H114" s="6">
        <f>SUM($G$2:G114)/SUM($G:$G)</f>
        <v>0.85262240994136929</v>
      </c>
    </row>
    <row r="115" spans="1:8" x14ac:dyDescent="0.2">
      <c r="A115" s="4" t="s">
        <v>189</v>
      </c>
      <c r="B115" s="1">
        <v>60591998.200000003</v>
      </c>
      <c r="C115" s="5">
        <v>1.7317118916239376E-3</v>
      </c>
      <c r="F115" s="4" t="s">
        <v>395</v>
      </c>
      <c r="G115" s="1">
        <v>40162257.799999997</v>
      </c>
      <c r="H115" s="6">
        <f>SUM($G$2:G115)/SUM($G:$G)</f>
        <v>0.85466747851362812</v>
      </c>
    </row>
    <row r="116" spans="1:8" x14ac:dyDescent="0.2">
      <c r="A116" s="4" t="s">
        <v>345</v>
      </c>
      <c r="B116" s="1">
        <v>59833199.200000003</v>
      </c>
      <c r="C116" s="5">
        <v>1.7100255090868395E-3</v>
      </c>
      <c r="F116" s="4" t="s">
        <v>230</v>
      </c>
      <c r="G116" s="1">
        <v>38273569.20000001</v>
      </c>
      <c r="H116" s="6">
        <f>SUM($G$2:G116)/SUM($G:$G)</f>
        <v>0.85661637476116681</v>
      </c>
    </row>
    <row r="117" spans="1:8" x14ac:dyDescent="0.2">
      <c r="A117" s="4" t="s">
        <v>495</v>
      </c>
      <c r="B117" s="1">
        <v>59131385.799999997</v>
      </c>
      <c r="C117" s="5">
        <v>1.6899677680222607E-3</v>
      </c>
      <c r="F117" s="4" t="s">
        <v>491</v>
      </c>
      <c r="G117" s="1">
        <v>37550302</v>
      </c>
      <c r="H117" s="6">
        <f>SUM($G$2:G117)/SUM($G:$G)</f>
        <v>0.85852844212753454</v>
      </c>
    </row>
    <row r="118" spans="1:8" x14ac:dyDescent="0.2">
      <c r="A118" s="4" t="s">
        <v>799</v>
      </c>
      <c r="B118" s="1">
        <v>58098933.799999997</v>
      </c>
      <c r="C118" s="5">
        <v>1.6604604162424191E-3</v>
      </c>
      <c r="F118" s="4" t="s">
        <v>550</v>
      </c>
      <c r="G118" s="1">
        <v>36986494</v>
      </c>
      <c r="H118" s="6">
        <f>SUM($G$2:G118)/SUM($G:$G)</f>
        <v>0.86041180030062625</v>
      </c>
    </row>
    <row r="119" spans="1:8" x14ac:dyDescent="0.2">
      <c r="A119" s="4" t="s">
        <v>197</v>
      </c>
      <c r="B119" s="1">
        <v>57419813.299999997</v>
      </c>
      <c r="C119" s="5">
        <v>1.6410512354820528E-3</v>
      </c>
      <c r="F119" s="4" t="s">
        <v>182</v>
      </c>
      <c r="G119" s="1">
        <v>36954206</v>
      </c>
      <c r="H119" s="6">
        <f>SUM($G$2:G119)/SUM($G:$G)</f>
        <v>0.86229351436360857</v>
      </c>
    </row>
    <row r="120" spans="1:8" x14ac:dyDescent="0.2">
      <c r="A120" s="4" t="s">
        <v>267</v>
      </c>
      <c r="B120" s="1">
        <v>56239223.799999997</v>
      </c>
      <c r="C120" s="5">
        <v>1.6073101320853941E-3</v>
      </c>
      <c r="F120" s="4" t="s">
        <v>193</v>
      </c>
      <c r="G120" s="1">
        <v>36546620.5</v>
      </c>
      <c r="H120" s="6">
        <f>SUM($G$2:G120)/SUM($G:$G)</f>
        <v>0.86415447410792912</v>
      </c>
    </row>
    <row r="121" spans="1:8" x14ac:dyDescent="0.2">
      <c r="A121" s="4" t="s">
        <v>486</v>
      </c>
      <c r="B121" s="1">
        <v>55904940</v>
      </c>
      <c r="C121" s="5">
        <v>1.5977563420003324E-3</v>
      </c>
      <c r="F121" s="4" t="s">
        <v>203</v>
      </c>
      <c r="G121" s="1">
        <v>36453144.399999999</v>
      </c>
      <c r="H121" s="6">
        <f>SUM($G$2:G121)/SUM($G:$G)</f>
        <v>0.86601067403433007</v>
      </c>
    </row>
    <row r="122" spans="1:8" x14ac:dyDescent="0.2">
      <c r="A122" s="4" t="s">
        <v>259</v>
      </c>
      <c r="B122" s="1">
        <v>55898191</v>
      </c>
      <c r="C122" s="5">
        <v>1.5975634564064625E-3</v>
      </c>
      <c r="F122" s="4" t="s">
        <v>83</v>
      </c>
      <c r="G122" s="1">
        <v>36443215.300000004</v>
      </c>
      <c r="H122" s="6">
        <f>SUM($G$2:G122)/SUM($G:$G)</f>
        <v>0.86786636836937547</v>
      </c>
    </row>
    <row r="123" spans="1:8" x14ac:dyDescent="0.2">
      <c r="A123" s="4" t="s">
        <v>702</v>
      </c>
      <c r="B123" s="1">
        <v>55680391.299999997</v>
      </c>
      <c r="C123" s="5">
        <v>1.5913387676408405E-3</v>
      </c>
      <c r="F123" s="4" t="s">
        <v>191</v>
      </c>
      <c r="G123" s="1">
        <v>36000000</v>
      </c>
      <c r="H123" s="6">
        <f>SUM($G$2:G123)/SUM($G:$G)</f>
        <v>0.86969949411066094</v>
      </c>
    </row>
    <row r="124" spans="1:8" x14ac:dyDescent="0.2">
      <c r="A124" s="4" t="s">
        <v>709</v>
      </c>
      <c r="B124" s="1">
        <v>55600619.100000001</v>
      </c>
      <c r="C124" s="5">
        <v>1.5890588879295786E-3</v>
      </c>
      <c r="F124" s="4" t="s">
        <v>128</v>
      </c>
      <c r="G124" s="1">
        <v>35995572.100000001</v>
      </c>
      <c r="H124" s="6">
        <f>SUM($G$2:G124)/SUM($G:$G)</f>
        <v>0.87153239438257224</v>
      </c>
    </row>
    <row r="125" spans="1:8" x14ac:dyDescent="0.2">
      <c r="A125" s="4" t="s">
        <v>625</v>
      </c>
      <c r="B125" s="1">
        <v>55250000</v>
      </c>
      <c r="C125" s="5">
        <v>1.5790382369700847E-3</v>
      </c>
      <c r="F125" s="4" t="s">
        <v>199</v>
      </c>
      <c r="G125" s="1">
        <v>35650000</v>
      </c>
      <c r="H125" s="6">
        <f>SUM($G$2:G125)/SUM($G:$G)</f>
        <v>0.87334769806803958</v>
      </c>
    </row>
    <row r="126" spans="1:8" x14ac:dyDescent="0.2">
      <c r="A126" s="4" t="s">
        <v>313</v>
      </c>
      <c r="B126" s="1">
        <v>55000000</v>
      </c>
      <c r="C126" s="5">
        <v>1.5718932675720301E-3</v>
      </c>
      <c r="F126" s="4" t="s">
        <v>482</v>
      </c>
      <c r="G126" s="1">
        <v>35556197.600000001</v>
      </c>
      <c r="H126" s="6">
        <f>SUM($G$2:G126)/SUM($G:$G)</f>
        <v>0.87515822532033938</v>
      </c>
    </row>
    <row r="127" spans="1:8" x14ac:dyDescent="0.2">
      <c r="A127" s="4" t="s">
        <v>314</v>
      </c>
      <c r="B127" s="1">
        <v>55000000</v>
      </c>
      <c r="C127" s="5">
        <v>1.5718932675720301E-3</v>
      </c>
      <c r="F127" s="4" t="s">
        <v>35</v>
      </c>
      <c r="G127" s="1">
        <v>34341894.299999997</v>
      </c>
      <c r="H127" s="6">
        <f>SUM($G$2:G127)/SUM($G:$G)</f>
        <v>0.87690692005494586</v>
      </c>
    </row>
    <row r="128" spans="1:8" x14ac:dyDescent="0.2">
      <c r="A128" s="4" t="s">
        <v>712</v>
      </c>
      <c r="B128" s="1">
        <v>53537824.200000003</v>
      </c>
      <c r="C128" s="5">
        <v>1.5301044621897257E-3</v>
      </c>
      <c r="F128" s="4" t="s">
        <v>74</v>
      </c>
      <c r="G128" s="1">
        <v>32381650</v>
      </c>
      <c r="H128" s="6">
        <f>SUM($G$2:G128)/SUM($G:$G)</f>
        <v>0.87855579883717627</v>
      </c>
    </row>
    <row r="129" spans="1:8" x14ac:dyDescent="0.2">
      <c r="A129" s="4" t="s">
        <v>115</v>
      </c>
      <c r="B129" s="1">
        <v>52765045.799999997</v>
      </c>
      <c r="C129" s="5">
        <v>1.5080185501118149E-3</v>
      </c>
      <c r="F129" s="4" t="s">
        <v>591</v>
      </c>
      <c r="G129" s="1">
        <v>31055344.5</v>
      </c>
      <c r="H129" s="6">
        <f>SUM($G$2:G129)/SUM($G:$G)</f>
        <v>0.88013714193182724</v>
      </c>
    </row>
    <row r="130" spans="1:8" x14ac:dyDescent="0.2">
      <c r="A130" s="4" t="s">
        <v>771</v>
      </c>
      <c r="B130" s="1">
        <v>52721883.899999991</v>
      </c>
      <c r="C130" s="5">
        <v>1.5067849882931671E-3</v>
      </c>
      <c r="F130" s="4" t="s">
        <v>84</v>
      </c>
      <c r="G130" s="1">
        <v>30510360.199999999</v>
      </c>
      <c r="H130" s="6">
        <f>SUM($G$2:G130)/SUM($G:$G)</f>
        <v>0.88169073433900813</v>
      </c>
    </row>
    <row r="131" spans="1:8" x14ac:dyDescent="0.2">
      <c r="A131" s="4" t="s">
        <v>429</v>
      </c>
      <c r="B131" s="1">
        <v>52296652.799999997</v>
      </c>
      <c r="C131" s="5">
        <v>1.4946319355067627E-3</v>
      </c>
      <c r="F131" s="4" t="s">
        <v>297</v>
      </c>
      <c r="G131" s="1">
        <v>30259615.5</v>
      </c>
      <c r="H131" s="6">
        <f>SUM($G$2:G131)/SUM($G:$G)</f>
        <v>0.88323155878607618</v>
      </c>
    </row>
    <row r="132" spans="1:8" x14ac:dyDescent="0.2">
      <c r="A132" s="4" t="s">
        <v>426</v>
      </c>
      <c r="B132" s="1">
        <v>52217159.5</v>
      </c>
      <c r="C132" s="5">
        <v>1.4923600267233612E-3</v>
      </c>
      <c r="F132" s="4" t="s">
        <v>276</v>
      </c>
      <c r="G132" s="1">
        <v>30000000</v>
      </c>
      <c r="H132" s="6">
        <f>SUM($G$2:G132)/SUM($G:$G)</f>
        <v>0.88475916357048068</v>
      </c>
    </row>
    <row r="133" spans="1:8" x14ac:dyDescent="0.2">
      <c r="A133" s="4" t="s">
        <v>206</v>
      </c>
      <c r="B133" s="1">
        <v>52085422</v>
      </c>
      <c r="C133" s="5">
        <v>1.4885949850990563E-3</v>
      </c>
      <c r="F133" s="4" t="s">
        <v>376</v>
      </c>
      <c r="G133" s="1">
        <v>29704263</v>
      </c>
      <c r="H133" s="6">
        <f>SUM($G$2:G133)/SUM($G:$G)</f>
        <v>0.88627170937968103</v>
      </c>
    </row>
    <row r="134" spans="1:8" x14ac:dyDescent="0.2">
      <c r="A134" s="4" t="s">
        <v>695</v>
      </c>
      <c r="B134" s="1">
        <v>50823182.5</v>
      </c>
      <c r="C134" s="5">
        <v>1.4525203346969929E-3</v>
      </c>
      <c r="F134" s="4" t="s">
        <v>367</v>
      </c>
      <c r="G134" s="1">
        <v>29366298.100000001</v>
      </c>
      <c r="H134" s="6">
        <f>SUM($G$2:G134)/SUM($G:$G)</f>
        <v>0.88776704596227463</v>
      </c>
    </row>
    <row r="135" spans="1:8" x14ac:dyDescent="0.2">
      <c r="A135" s="4" t="s">
        <v>845</v>
      </c>
      <c r="B135" s="1">
        <v>50423765</v>
      </c>
      <c r="C135" s="5">
        <v>1.441105031438803E-3</v>
      </c>
      <c r="F135" s="4" t="s">
        <v>402</v>
      </c>
      <c r="G135" s="1">
        <v>28960469</v>
      </c>
      <c r="H135" s="6">
        <f>SUM($G$2:G135)/SUM($G:$G)</f>
        <v>0.88924171766237459</v>
      </c>
    </row>
    <row r="136" spans="1:8" x14ac:dyDescent="0.2">
      <c r="A136" s="4" t="s">
        <v>32</v>
      </c>
      <c r="B136" s="1">
        <v>50408871.700000003</v>
      </c>
      <c r="C136" s="5">
        <v>1.4406793827478588E-3</v>
      </c>
      <c r="F136" s="4" t="s">
        <v>334</v>
      </c>
      <c r="G136" s="1">
        <v>28774814</v>
      </c>
      <c r="H136" s="6">
        <f>SUM($G$2:G136)/SUM($G:$G)</f>
        <v>0.89070693578026627</v>
      </c>
    </row>
    <row r="137" spans="1:8" x14ac:dyDescent="0.2">
      <c r="A137" s="4" t="s">
        <v>487</v>
      </c>
      <c r="B137" s="1">
        <v>50000000</v>
      </c>
      <c r="C137" s="5">
        <v>1.4289938796109363E-3</v>
      </c>
      <c r="F137" s="4" t="s">
        <v>619</v>
      </c>
      <c r="G137" s="1">
        <v>28106000</v>
      </c>
      <c r="H137" s="6">
        <f>SUM($G$2:G137)/SUM($G:$G)</f>
        <v>0.89213809778261544</v>
      </c>
    </row>
    <row r="138" spans="1:8" x14ac:dyDescent="0.2">
      <c r="A138" s="4" t="s">
        <v>268</v>
      </c>
      <c r="B138" s="1">
        <v>50000000</v>
      </c>
      <c r="C138" s="5">
        <v>1.4289938796109363E-3</v>
      </c>
      <c r="F138" s="4" t="s">
        <v>621</v>
      </c>
      <c r="G138" s="1">
        <v>27545325.100000001</v>
      </c>
      <c r="H138" s="6">
        <f>SUM($G$2:G138)/SUM($G:$G)</f>
        <v>0.89354071012963987</v>
      </c>
    </row>
    <row r="139" spans="1:8" x14ac:dyDescent="0.2">
      <c r="A139" s="4" t="s">
        <v>198</v>
      </c>
      <c r="B139" s="1">
        <v>50000000</v>
      </c>
      <c r="C139" s="5">
        <v>1.4289938796109363E-3</v>
      </c>
      <c r="F139" s="4" t="s">
        <v>284</v>
      </c>
      <c r="G139" s="1">
        <v>27400000</v>
      </c>
      <c r="H139" s="6">
        <f>SUM($G$2:G139)/SUM($G:$G)</f>
        <v>0.89493592249939602</v>
      </c>
    </row>
    <row r="140" spans="1:8" x14ac:dyDescent="0.2">
      <c r="A140" s="4" t="s">
        <v>420</v>
      </c>
      <c r="B140" s="1">
        <v>48196132.299999997</v>
      </c>
      <c r="C140" s="5">
        <v>1.3774395615523791E-3</v>
      </c>
      <c r="F140" s="4" t="s">
        <v>546</v>
      </c>
      <c r="G140" s="1">
        <v>25628555</v>
      </c>
      <c r="H140" s="6">
        <f>SUM($G$2:G140)/SUM($G:$G)</f>
        <v>0.8962409326072418</v>
      </c>
    </row>
    <row r="141" spans="1:8" x14ac:dyDescent="0.2">
      <c r="A141" s="4" t="s">
        <v>187</v>
      </c>
      <c r="B141" s="1">
        <v>48015923.799999997</v>
      </c>
      <c r="C141" s="5">
        <v>1.3722892246813018E-3</v>
      </c>
      <c r="F141" s="4" t="s">
        <v>204</v>
      </c>
      <c r="G141" s="1">
        <v>25030500</v>
      </c>
      <c r="H141" s="6">
        <f>SUM($G$2:G141)/SUM($G:$G)</f>
        <v>0.89751548965910977</v>
      </c>
    </row>
    <row r="142" spans="1:8" x14ac:dyDescent="0.2">
      <c r="A142" s="4" t="s">
        <v>209</v>
      </c>
      <c r="B142" s="1">
        <v>47900000</v>
      </c>
      <c r="C142" s="5">
        <v>1.3689761366672772E-3</v>
      </c>
      <c r="F142" s="4" t="s">
        <v>66</v>
      </c>
      <c r="G142" s="1">
        <v>25000000</v>
      </c>
      <c r="H142" s="6">
        <f>SUM($G$2:G142)/SUM($G:$G)</f>
        <v>0.89878849364611357</v>
      </c>
    </row>
    <row r="143" spans="1:8" x14ac:dyDescent="0.2">
      <c r="A143" s="4" t="s">
        <v>502</v>
      </c>
      <c r="B143" s="1">
        <v>47331880.799999997</v>
      </c>
      <c r="C143" s="5">
        <v>1.3527393594734878E-3</v>
      </c>
      <c r="F143" s="4" t="s">
        <v>200</v>
      </c>
      <c r="G143" s="1">
        <v>25000000</v>
      </c>
      <c r="H143" s="6">
        <f>SUM($G$2:G143)/SUM($G:$G)</f>
        <v>0.90006149763311727</v>
      </c>
    </row>
    <row r="144" spans="1:8" x14ac:dyDescent="0.2">
      <c r="A144" s="4" t="s">
        <v>772</v>
      </c>
      <c r="B144" s="1">
        <v>46354305.799999997</v>
      </c>
      <c r="C144" s="5">
        <v>1.3248003856362745E-3</v>
      </c>
      <c r="F144" s="4" t="s">
        <v>271</v>
      </c>
      <c r="G144" s="1">
        <v>25000000</v>
      </c>
      <c r="H144" s="6">
        <f>SUM($G$2:G144)/SUM($G:$G)</f>
        <v>0.90133450162012108</v>
      </c>
    </row>
    <row r="145" spans="1:8" x14ac:dyDescent="0.2">
      <c r="A145" s="4" t="s">
        <v>616</v>
      </c>
      <c r="B145" s="1">
        <v>45154483</v>
      </c>
      <c r="C145" s="5">
        <v>1.2905095968799216E-3</v>
      </c>
      <c r="F145" s="4" t="s">
        <v>208</v>
      </c>
      <c r="G145" s="1">
        <v>25000000</v>
      </c>
      <c r="H145" s="6">
        <f>SUM($G$2:G145)/SUM($G:$G)</f>
        <v>0.90260750560712488</v>
      </c>
    </row>
    <row r="146" spans="1:8" x14ac:dyDescent="0.2">
      <c r="A146" s="4" t="s">
        <v>310</v>
      </c>
      <c r="B146" s="1">
        <v>45049820</v>
      </c>
      <c r="C146" s="5">
        <v>1.2875183411514871E-3</v>
      </c>
      <c r="F146" s="4" t="s">
        <v>201</v>
      </c>
      <c r="G146" s="1">
        <v>25000000</v>
      </c>
      <c r="H146" s="6">
        <f>SUM($G$2:G146)/SUM($G:$G)</f>
        <v>0.90388050959412858</v>
      </c>
    </row>
    <row r="147" spans="1:8" x14ac:dyDescent="0.2">
      <c r="A147" s="4" t="s">
        <v>301</v>
      </c>
      <c r="B147" s="1">
        <v>45000000</v>
      </c>
      <c r="C147" s="5">
        <v>1.2860944916498428E-3</v>
      </c>
      <c r="F147" s="4" t="s">
        <v>340</v>
      </c>
      <c r="G147" s="1">
        <v>24381343</v>
      </c>
      <c r="H147" s="6">
        <f>SUM($G$2:G147)/SUM($G:$G)</f>
        <v>0.90512201146802884</v>
      </c>
    </row>
    <row r="148" spans="1:8" x14ac:dyDescent="0.2">
      <c r="A148" s="4" t="s">
        <v>160</v>
      </c>
      <c r="B148" s="1">
        <v>44857125</v>
      </c>
      <c r="C148" s="5">
        <v>1.2820111416388545E-3</v>
      </c>
      <c r="F148" s="4" t="s">
        <v>617</v>
      </c>
      <c r="G148" s="1">
        <v>24000000</v>
      </c>
      <c r="H148" s="6">
        <f>SUM($G$2:G148)/SUM($G:$G)</f>
        <v>0.90634409529555249</v>
      </c>
    </row>
    <row r="149" spans="1:8" x14ac:dyDescent="0.2">
      <c r="A149" s="4" t="s">
        <v>202</v>
      </c>
      <c r="B149" s="1">
        <v>44834892</v>
      </c>
      <c r="C149" s="5">
        <v>1.2813757252203466E-3</v>
      </c>
      <c r="F149" s="4" t="s">
        <v>505</v>
      </c>
      <c r="G149" s="1">
        <v>24000000</v>
      </c>
      <c r="H149" s="6">
        <f>SUM($G$2:G149)/SUM($G:$G)</f>
        <v>0.90756617912307613</v>
      </c>
    </row>
    <row r="150" spans="1:8" x14ac:dyDescent="0.2">
      <c r="A150" s="4" t="s">
        <v>391</v>
      </c>
      <c r="B150" s="1">
        <v>44471992.999999985</v>
      </c>
      <c r="C150" s="5">
        <v>1.2710041162220078E-3</v>
      </c>
      <c r="F150" s="4" t="s">
        <v>529</v>
      </c>
      <c r="G150" s="1">
        <v>23271053.300000001</v>
      </c>
      <c r="H150" s="6">
        <f>SUM($G$2:G150)/SUM($G:$G)</f>
        <v>0.90875114486838315</v>
      </c>
    </row>
    <row r="151" spans="1:8" x14ac:dyDescent="0.2">
      <c r="A151" s="4" t="s">
        <v>190</v>
      </c>
      <c r="B151" s="1">
        <v>43593800</v>
      </c>
      <c r="C151" s="5">
        <v>1.2459054677796649E-3</v>
      </c>
      <c r="F151" s="4" t="s">
        <v>489</v>
      </c>
      <c r="G151" s="1">
        <v>23138501</v>
      </c>
      <c r="H151" s="6">
        <f>SUM($G$2:G151)/SUM($G:$G)</f>
        <v>0.90992936102943478</v>
      </c>
    </row>
    <row r="152" spans="1:8" x14ac:dyDescent="0.2">
      <c r="A152" s="4" t="s">
        <v>1027</v>
      </c>
      <c r="B152" s="1">
        <v>43394199.100000001</v>
      </c>
      <c r="C152" s="5">
        <v>1.2402008984903682E-3</v>
      </c>
      <c r="F152" s="4" t="s">
        <v>235</v>
      </c>
      <c r="G152" s="1">
        <v>22981493.800000001</v>
      </c>
      <c r="H152" s="6">
        <f>SUM($G$2:G152)/SUM($G:$G)</f>
        <v>0.91109958235882282</v>
      </c>
    </row>
    <row r="153" spans="1:8" x14ac:dyDescent="0.2">
      <c r="A153" s="4" t="s">
        <v>2155</v>
      </c>
      <c r="B153" s="1">
        <v>43225000</v>
      </c>
      <c r="C153" s="5">
        <v>1.2353652089236546E-3</v>
      </c>
      <c r="F153" s="4" t="s">
        <v>384</v>
      </c>
      <c r="G153" s="1">
        <v>22868285.300000001</v>
      </c>
      <c r="H153" s="6">
        <f>SUM($G$2:G153)/SUM($G:$G)</f>
        <v>0.91226403909333642</v>
      </c>
    </row>
    <row r="154" spans="1:8" x14ac:dyDescent="0.2">
      <c r="A154" s="4" t="s">
        <v>801</v>
      </c>
      <c r="B154" s="1">
        <v>43213849.699999996</v>
      </c>
      <c r="C154" s="5">
        <v>1.2350465347145379E-3</v>
      </c>
      <c r="F154" s="4" t="s">
        <v>539</v>
      </c>
      <c r="G154" s="1">
        <v>22770118.300000001</v>
      </c>
      <c r="H154" s="6">
        <f>SUM($G$2:G154)/SUM($G:$G)</f>
        <v>0.91342349714855431</v>
      </c>
    </row>
    <row r="155" spans="1:8" x14ac:dyDescent="0.2">
      <c r="A155" s="4" t="s">
        <v>55</v>
      </c>
      <c r="B155" s="1">
        <v>43000000</v>
      </c>
      <c r="C155" s="5">
        <v>1.2289347364654053E-3</v>
      </c>
      <c r="F155" s="4" t="s">
        <v>443</v>
      </c>
      <c r="G155" s="1">
        <v>22758600</v>
      </c>
      <c r="H155" s="6">
        <f>SUM($G$2:G155)/SUM($G:$G)</f>
        <v>0.91458236869009923</v>
      </c>
    </row>
    <row r="156" spans="1:8" x14ac:dyDescent="0.2">
      <c r="A156" s="4" t="s">
        <v>547</v>
      </c>
      <c r="B156" s="1">
        <v>42639177.899999999</v>
      </c>
      <c r="C156" s="5">
        <v>1.2186224850148379E-3</v>
      </c>
      <c r="F156" s="4" t="s">
        <v>88</v>
      </c>
      <c r="G156" s="1">
        <v>22564835.300000001</v>
      </c>
      <c r="H156" s="6">
        <f>SUM($G$2:G156)/SUM($G:$G)</f>
        <v>0.91573137370221858</v>
      </c>
    </row>
    <row r="157" spans="1:8" x14ac:dyDescent="0.2">
      <c r="A157" s="4" t="s">
        <v>1520</v>
      </c>
      <c r="B157" s="1">
        <v>42221900</v>
      </c>
      <c r="C157" s="5">
        <v>1.2066967337108999E-3</v>
      </c>
      <c r="F157" s="4" t="s">
        <v>260</v>
      </c>
      <c r="G157" s="1">
        <v>22032608.199999999</v>
      </c>
      <c r="H157" s="6">
        <f>SUM($G$2:G157)/SUM($G:$G)</f>
        <v>0.91685327762552626</v>
      </c>
    </row>
    <row r="158" spans="1:8" x14ac:dyDescent="0.2">
      <c r="A158" s="4" t="s">
        <v>306</v>
      </c>
      <c r="B158" s="1">
        <v>41650000</v>
      </c>
      <c r="C158" s="5">
        <v>1.1903519017159099E-3</v>
      </c>
      <c r="F158" s="4" t="s">
        <v>583</v>
      </c>
      <c r="G158" s="1">
        <v>21231354.699999999</v>
      </c>
      <c r="H158" s="6">
        <f>SUM($G$2:G158)/SUM($G:$G)</f>
        <v>0.91793438159282992</v>
      </c>
    </row>
    <row r="159" spans="1:8" x14ac:dyDescent="0.2">
      <c r="A159" s="4" t="s">
        <v>418</v>
      </c>
      <c r="B159" s="1">
        <v>41562253</v>
      </c>
      <c r="C159" s="5">
        <v>1.1878441031968256E-3</v>
      </c>
      <c r="F159" s="4" t="s">
        <v>541</v>
      </c>
      <c r="G159" s="1">
        <v>21131207</v>
      </c>
      <c r="H159" s="6">
        <f>SUM($G$2:G159)/SUM($G:$G)</f>
        <v>0.919010386023278</v>
      </c>
    </row>
    <row r="160" spans="1:8" x14ac:dyDescent="0.2">
      <c r="A160" s="4" t="s">
        <v>452</v>
      </c>
      <c r="B160" s="1">
        <v>40750000</v>
      </c>
      <c r="C160" s="5">
        <v>1.1646300118829131E-3</v>
      </c>
      <c r="F160" s="4" t="s">
        <v>185</v>
      </c>
      <c r="G160" s="1">
        <v>21120000</v>
      </c>
      <c r="H160" s="6">
        <f>SUM($G$2:G160)/SUM($G:$G)</f>
        <v>0.92008581979149884</v>
      </c>
    </row>
    <row r="161" spans="1:8" x14ac:dyDescent="0.2">
      <c r="A161" s="4" t="s">
        <v>146</v>
      </c>
      <c r="B161" s="1">
        <v>40726773.399999999</v>
      </c>
      <c r="C161" s="5">
        <v>1.1639661984980296E-3</v>
      </c>
      <c r="F161" s="4" t="s">
        <v>270</v>
      </c>
      <c r="G161" s="1">
        <v>20000000</v>
      </c>
      <c r="H161" s="6">
        <f>SUM($G$2:G161)/SUM($G:$G)</f>
        <v>0.92110422298110184</v>
      </c>
    </row>
    <row r="162" spans="1:8" x14ac:dyDescent="0.2">
      <c r="A162" s="4" t="s">
        <v>125</v>
      </c>
      <c r="B162" s="1">
        <v>40621476</v>
      </c>
      <c r="C162" s="5">
        <v>1.1609568116952508E-3</v>
      </c>
      <c r="F162" s="4" t="s">
        <v>404</v>
      </c>
      <c r="G162" s="1">
        <v>19300000</v>
      </c>
      <c r="H162" s="6">
        <f>SUM($G$2:G162)/SUM($G:$G)</f>
        <v>0.92208698205906869</v>
      </c>
    </row>
    <row r="163" spans="1:8" x14ac:dyDescent="0.2">
      <c r="A163" s="4" t="s">
        <v>395</v>
      </c>
      <c r="B163" s="1">
        <v>40162257.799999997</v>
      </c>
      <c r="C163" s="5">
        <v>1.1478324117511318E-3</v>
      </c>
      <c r="F163" s="4" t="s">
        <v>33</v>
      </c>
      <c r="G163" s="1">
        <v>18565943</v>
      </c>
      <c r="H163" s="6">
        <f>SUM($G$2:G163)/SUM($G:$G)</f>
        <v>0.9230323628375281</v>
      </c>
    </row>
    <row r="164" spans="1:8" x14ac:dyDescent="0.2">
      <c r="A164" s="4" t="s">
        <v>814</v>
      </c>
      <c r="B164" s="1">
        <v>39312887.199999899</v>
      </c>
      <c r="C164" s="5">
        <v>1.1235575039726996E-3</v>
      </c>
      <c r="F164" s="4" t="s">
        <v>353</v>
      </c>
      <c r="G164" s="1">
        <v>18343505.399999999</v>
      </c>
      <c r="H164" s="6">
        <f>SUM($G$2:G164)/SUM($G:$G)</f>
        <v>0.92396641705792115</v>
      </c>
    </row>
    <row r="165" spans="1:8" x14ac:dyDescent="0.2">
      <c r="A165" s="4" t="s">
        <v>230</v>
      </c>
      <c r="B165" s="1">
        <v>38273569.20000001</v>
      </c>
      <c r="C165" s="5">
        <v>1.0938539227533131E-3</v>
      </c>
      <c r="F165" s="4" t="s">
        <v>428</v>
      </c>
      <c r="G165" s="1">
        <v>18071736.600000001</v>
      </c>
      <c r="H165" s="6">
        <f>SUM($G$2:G165)/SUM($G:$G)</f>
        <v>0.92488663276767635</v>
      </c>
    </row>
    <row r="166" spans="1:8" x14ac:dyDescent="0.2">
      <c r="A166" s="4" t="s">
        <v>1032</v>
      </c>
      <c r="B166" s="1">
        <v>37747681.600000009</v>
      </c>
      <c r="C166" s="5">
        <v>1.0788241195180475E-3</v>
      </c>
      <c r="F166" s="4" t="s">
        <v>179</v>
      </c>
      <c r="G166" s="1">
        <v>17596978.300000001</v>
      </c>
      <c r="H166" s="6">
        <f>SUM($G$2:G166)/SUM($G:$G)</f>
        <v>0.92578267370908107</v>
      </c>
    </row>
    <row r="167" spans="1:8" x14ac:dyDescent="0.2">
      <c r="A167" s="4" t="s">
        <v>491</v>
      </c>
      <c r="B167" s="1">
        <v>37550302</v>
      </c>
      <c r="C167" s="5">
        <v>1.0731830347108461E-3</v>
      </c>
      <c r="F167" s="4" t="s">
        <v>526</v>
      </c>
      <c r="G167" s="1">
        <v>17441468.199999999</v>
      </c>
      <c r="H167" s="6">
        <f>SUM($G$2:G167)/SUM($G:$G)</f>
        <v>0.92667079605139313</v>
      </c>
    </row>
    <row r="168" spans="1:8" x14ac:dyDescent="0.2">
      <c r="A168" s="4" t="s">
        <v>2570</v>
      </c>
      <c r="B168" s="1">
        <v>37425000</v>
      </c>
      <c r="C168" s="5">
        <v>1.0696019188887859E-3</v>
      </c>
      <c r="F168" s="4" t="s">
        <v>227</v>
      </c>
      <c r="G168" s="1">
        <v>17192941</v>
      </c>
      <c r="H168" s="6">
        <f>SUM($G$2:G168)/SUM($G:$G)</f>
        <v>0.927546263349046</v>
      </c>
    </row>
    <row r="169" spans="1:8" x14ac:dyDescent="0.2">
      <c r="A169" s="4" t="s">
        <v>720</v>
      </c>
      <c r="B169" s="1">
        <v>37184306.799999997</v>
      </c>
      <c r="C169" s="5">
        <v>1.0627229366955064E-3</v>
      </c>
      <c r="F169" s="4" t="s">
        <v>285</v>
      </c>
      <c r="G169" s="1">
        <v>16850625</v>
      </c>
      <c r="H169" s="6">
        <f>SUM($G$2:G169)/SUM($G:$G)</f>
        <v>0.92840429986138617</v>
      </c>
    </row>
    <row r="170" spans="1:8" x14ac:dyDescent="0.2">
      <c r="A170" s="4" t="s">
        <v>550</v>
      </c>
      <c r="B170" s="1">
        <v>36986494</v>
      </c>
      <c r="C170" s="5">
        <v>1.0570694710853325E-3</v>
      </c>
      <c r="F170" s="4" t="s">
        <v>421</v>
      </c>
      <c r="G170" s="1">
        <v>16715149.6</v>
      </c>
      <c r="H170" s="6">
        <f>SUM($G$2:G170)/SUM($G:$G)</f>
        <v>0.92925543794475263</v>
      </c>
    </row>
    <row r="171" spans="1:8" x14ac:dyDescent="0.2">
      <c r="A171" s="4" t="s">
        <v>182</v>
      </c>
      <c r="B171" s="1">
        <v>36954206</v>
      </c>
      <c r="C171" s="5">
        <v>1.0561466839976348E-3</v>
      </c>
      <c r="F171" s="4" t="s">
        <v>188</v>
      </c>
      <c r="G171" s="1">
        <v>16389681</v>
      </c>
      <c r="H171" s="6">
        <f>SUM($G$2:G171)/SUM($G:$G)</f>
        <v>0.93009000311510148</v>
      </c>
    </row>
    <row r="172" spans="1:8" x14ac:dyDescent="0.2">
      <c r="A172" s="4" t="s">
        <v>762</v>
      </c>
      <c r="B172" s="1">
        <v>36690491.799999997</v>
      </c>
      <c r="C172" s="5">
        <v>1.0486097644423049E-3</v>
      </c>
      <c r="F172" s="4" t="s">
        <v>415</v>
      </c>
      <c r="G172" s="1">
        <v>16260000</v>
      </c>
      <c r="H172" s="6">
        <f>SUM($G$2:G172)/SUM($G:$G)</f>
        <v>0.93091796490824874</v>
      </c>
    </row>
    <row r="173" spans="1:8" x14ac:dyDescent="0.2">
      <c r="A173" s="4" t="s">
        <v>193</v>
      </c>
      <c r="B173" s="1">
        <v>36546620.5</v>
      </c>
      <c r="C173" s="5">
        <v>1.0444979402992715E-3</v>
      </c>
      <c r="F173" s="4" t="s">
        <v>471</v>
      </c>
      <c r="G173" s="1">
        <v>16000000</v>
      </c>
      <c r="H173" s="6">
        <f>SUM($G$2:G173)/SUM($G:$G)</f>
        <v>0.9317326874599311</v>
      </c>
    </row>
    <row r="174" spans="1:8" x14ac:dyDescent="0.2">
      <c r="A174" s="4" t="s">
        <v>203</v>
      </c>
      <c r="B174" s="1">
        <v>36453144.399999999</v>
      </c>
      <c r="C174" s="5">
        <v>1.0418264048034735E-3</v>
      </c>
      <c r="F174" s="4" t="s">
        <v>107</v>
      </c>
      <c r="G174" s="1">
        <v>15900000</v>
      </c>
      <c r="H174" s="6">
        <f>SUM($G$2:G174)/SUM($G:$G)</f>
        <v>0.93254231799566556</v>
      </c>
    </row>
    <row r="175" spans="1:8" x14ac:dyDescent="0.2">
      <c r="A175" s="4" t="s">
        <v>83</v>
      </c>
      <c r="B175" s="1">
        <v>36443215.300000004</v>
      </c>
      <c r="C175" s="5">
        <v>1.0415426323408729E-3</v>
      </c>
      <c r="F175" s="4" t="s">
        <v>534</v>
      </c>
      <c r="G175" s="1">
        <v>15421430.4</v>
      </c>
      <c r="H175" s="6">
        <f>SUM($G$2:G175)/SUM($G:$G)</f>
        <v>0.93332757969104563</v>
      </c>
    </row>
    <row r="176" spans="1:8" x14ac:dyDescent="0.2">
      <c r="A176" s="4" t="s">
        <v>191</v>
      </c>
      <c r="B176" s="1">
        <v>36000000</v>
      </c>
      <c r="C176" s="5">
        <v>1.0288755933198742E-3</v>
      </c>
      <c r="F176" s="4" t="s">
        <v>448</v>
      </c>
      <c r="G176" s="1">
        <v>15323190.699999899</v>
      </c>
      <c r="H176" s="6">
        <f>SUM($G$2:G176)/SUM($G:$G)</f>
        <v>0.93410783900523442</v>
      </c>
    </row>
    <row r="177" spans="1:8" x14ac:dyDescent="0.2">
      <c r="A177" s="4" t="s">
        <v>128</v>
      </c>
      <c r="B177" s="1">
        <v>35995572.100000001</v>
      </c>
      <c r="C177" s="5">
        <v>1.0287490444798836E-3</v>
      </c>
      <c r="F177" s="4" t="s">
        <v>282</v>
      </c>
      <c r="G177" s="1">
        <v>15199318.5</v>
      </c>
      <c r="H177" s="6">
        <f>SUM($G$2:G177)/SUM($G:$G)</f>
        <v>0.93488179072724409</v>
      </c>
    </row>
    <row r="178" spans="1:8" x14ac:dyDescent="0.2">
      <c r="A178" s="4" t="s">
        <v>199</v>
      </c>
      <c r="B178" s="1">
        <v>35650000</v>
      </c>
      <c r="C178" s="5">
        <v>1.0188726361625977E-3</v>
      </c>
      <c r="F178" s="4" t="s">
        <v>213</v>
      </c>
      <c r="G178" s="1">
        <v>15061478</v>
      </c>
      <c r="H178" s="6">
        <f>SUM($G$2:G178)/SUM($G:$G)</f>
        <v>0.93564872358901086</v>
      </c>
    </row>
    <row r="179" spans="1:8" x14ac:dyDescent="0.2">
      <c r="A179" s="4" t="s">
        <v>482</v>
      </c>
      <c r="B179" s="1">
        <v>35556197.600000001</v>
      </c>
      <c r="C179" s="5">
        <v>1.0161917750527414E-3</v>
      </c>
      <c r="F179" s="4" t="s">
        <v>385</v>
      </c>
      <c r="G179" s="1">
        <v>15000000</v>
      </c>
      <c r="H179" s="6">
        <f>SUM($G$2:G179)/SUM($G:$G)</f>
        <v>0.93641252598121316</v>
      </c>
    </row>
    <row r="180" spans="1:8" x14ac:dyDescent="0.2">
      <c r="A180" s="4" t="s">
        <v>673</v>
      </c>
      <c r="B180" s="1">
        <v>34536183.299999997</v>
      </c>
      <c r="C180" s="5">
        <v>9.8703989121642867E-4</v>
      </c>
      <c r="F180" s="4" t="s">
        <v>286</v>
      </c>
      <c r="G180" s="1">
        <v>14900000</v>
      </c>
      <c r="H180" s="6">
        <f>SUM($G$2:G180)/SUM($G:$G)</f>
        <v>0.93717123635746735</v>
      </c>
    </row>
    <row r="181" spans="1:8" x14ac:dyDescent="0.2">
      <c r="A181" s="4" t="s">
        <v>35</v>
      </c>
      <c r="B181" s="1">
        <v>34341894.299999997</v>
      </c>
      <c r="C181" s="5">
        <v>9.8148713537891388E-4</v>
      </c>
      <c r="F181" s="4" t="s">
        <v>293</v>
      </c>
      <c r="G181" s="1">
        <v>14500000</v>
      </c>
      <c r="H181" s="6">
        <f>SUM($G$2:G181)/SUM($G:$G)</f>
        <v>0.93790957866992952</v>
      </c>
    </row>
    <row r="182" spans="1:8" x14ac:dyDescent="0.2">
      <c r="A182" s="4" t="s">
        <v>682</v>
      </c>
      <c r="B182" s="1">
        <v>33936704.699999996</v>
      </c>
      <c r="C182" s="5">
        <v>9.6990686620927388E-4</v>
      </c>
      <c r="F182" s="4" t="s">
        <v>287</v>
      </c>
      <c r="G182" s="1">
        <v>14500000</v>
      </c>
      <c r="H182" s="6">
        <f>SUM($G$2:G182)/SUM($G:$G)</f>
        <v>0.93864792098239169</v>
      </c>
    </row>
    <row r="183" spans="1:8" x14ac:dyDescent="0.2">
      <c r="A183" s="4" t="s">
        <v>701</v>
      </c>
      <c r="B183" s="1">
        <v>33493422.799999997</v>
      </c>
      <c r="C183" s="5">
        <v>9.5723792376842774E-4</v>
      </c>
      <c r="F183" s="4" t="s">
        <v>288</v>
      </c>
      <c r="G183" s="1">
        <v>14500000</v>
      </c>
      <c r="H183" s="6">
        <f>SUM($G$2:G183)/SUM($G:$G)</f>
        <v>0.93938626329485386</v>
      </c>
    </row>
    <row r="184" spans="1:8" x14ac:dyDescent="0.2">
      <c r="A184" s="4" t="s">
        <v>881</v>
      </c>
      <c r="B184" s="1">
        <v>32655444.800000008</v>
      </c>
      <c r="C184" s="5">
        <v>9.332886151034558E-4</v>
      </c>
      <c r="F184" s="4" t="s">
        <v>610</v>
      </c>
      <c r="G184" s="1">
        <v>14399847</v>
      </c>
      <c r="H184" s="6">
        <f>SUM($G$2:G184)/SUM($G:$G)</f>
        <v>0.94011950580058368</v>
      </c>
    </row>
    <row r="185" spans="1:8" x14ac:dyDescent="0.2">
      <c r="A185" s="4" t="s">
        <v>74</v>
      </c>
      <c r="B185" s="1">
        <v>32381650</v>
      </c>
      <c r="C185" s="5">
        <v>9.2546359323406957E-4</v>
      </c>
      <c r="F185" s="4" t="s">
        <v>91</v>
      </c>
      <c r="G185" s="1">
        <v>14199504.300000001</v>
      </c>
      <c r="H185" s="6">
        <f>SUM($G$2:G185)/SUM($G:$G)</f>
        <v>0.94084254682407875</v>
      </c>
    </row>
    <row r="186" spans="1:8" x14ac:dyDescent="0.2">
      <c r="A186" s="4" t="s">
        <v>671</v>
      </c>
      <c r="B186" s="1">
        <v>32340218.599999994</v>
      </c>
      <c r="C186" s="5">
        <v>9.2427948889359517E-4</v>
      </c>
      <c r="F186" s="4" t="s">
        <v>608</v>
      </c>
      <c r="G186" s="1">
        <v>13355322.9</v>
      </c>
      <c r="H186" s="6">
        <f>SUM($G$2:G186)/SUM($G:$G)</f>
        <v>0.94152260199605575</v>
      </c>
    </row>
    <row r="187" spans="1:8" x14ac:dyDescent="0.2">
      <c r="A187" s="4" t="s">
        <v>693</v>
      </c>
      <c r="B187" s="1">
        <v>31409860.600000001</v>
      </c>
      <c r="C187" s="5">
        <v>8.9768997113665397E-4</v>
      </c>
      <c r="F187" s="4" t="s">
        <v>342</v>
      </c>
      <c r="G187" s="1">
        <v>12970587.1</v>
      </c>
      <c r="H187" s="6">
        <f>SUM($G$2:G187)/SUM($G:$G)</f>
        <v>0.94218306635973881</v>
      </c>
    </row>
    <row r="188" spans="1:8" x14ac:dyDescent="0.2">
      <c r="A188" s="4" t="s">
        <v>591</v>
      </c>
      <c r="B188" s="1">
        <v>31055344.5</v>
      </c>
      <c r="C188" s="5">
        <v>8.8755794439418316E-4</v>
      </c>
      <c r="F188" s="4" t="s">
        <v>261</v>
      </c>
      <c r="G188" s="1">
        <v>12900000</v>
      </c>
      <c r="H188" s="6">
        <f>SUM($G$2:G188)/SUM($G:$G)</f>
        <v>0.94283993641703279</v>
      </c>
    </row>
    <row r="189" spans="1:8" x14ac:dyDescent="0.2">
      <c r="A189" s="4" t="s">
        <v>84</v>
      </c>
      <c r="B189" s="1">
        <v>30510360.199999999</v>
      </c>
      <c r="C189" s="5">
        <v>8.7198235981050213E-4</v>
      </c>
      <c r="F189" s="4" t="s">
        <v>527</v>
      </c>
      <c r="G189" s="1">
        <v>12862116.6</v>
      </c>
      <c r="H189" s="6">
        <f>SUM($G$2:G189)/SUM($G:$G)</f>
        <v>0.94349487744555705</v>
      </c>
    </row>
    <row r="190" spans="1:8" x14ac:dyDescent="0.2">
      <c r="A190" s="4" t="s">
        <v>1084</v>
      </c>
      <c r="B190" s="1">
        <v>30496165.600000001</v>
      </c>
      <c r="C190" s="5">
        <v>8.715766798800316E-4</v>
      </c>
      <c r="F190" s="4" t="s">
        <v>343</v>
      </c>
      <c r="G190" s="1">
        <v>12825048</v>
      </c>
      <c r="H190" s="6">
        <f>SUM($G$2:G190)/SUM($G:$G)</f>
        <v>0.94414793093505756</v>
      </c>
    </row>
    <row r="191" spans="1:8" x14ac:dyDescent="0.2">
      <c r="A191" s="4" t="s">
        <v>297</v>
      </c>
      <c r="B191" s="1">
        <v>30259615.5</v>
      </c>
      <c r="C191" s="5">
        <v>8.6481610697760453E-4</v>
      </c>
      <c r="F191" s="4" t="s">
        <v>95</v>
      </c>
      <c r="G191" s="1">
        <v>12772732.9</v>
      </c>
      <c r="H191" s="6">
        <f>SUM($G$2:G191)/SUM($G:$G)</f>
        <v>0.94479832053132307</v>
      </c>
    </row>
    <row r="192" spans="1:8" x14ac:dyDescent="0.2">
      <c r="A192" s="4" t="s">
        <v>276</v>
      </c>
      <c r="B192" s="1">
        <v>30000000</v>
      </c>
      <c r="C192" s="5">
        <v>8.5739632776656179E-4</v>
      </c>
      <c r="F192" s="4" t="s">
        <v>351</v>
      </c>
      <c r="G192" s="1">
        <v>12256480</v>
      </c>
      <c r="H192" s="6">
        <f>SUM($G$2:G192)/SUM($G:$G)</f>
        <v>0.94542242244758834</v>
      </c>
    </row>
    <row r="193" spans="1:8" x14ac:dyDescent="0.2">
      <c r="A193" s="4" t="s">
        <v>376</v>
      </c>
      <c r="B193" s="1">
        <v>29704263</v>
      </c>
      <c r="C193" s="5">
        <v>8.4894420050707191E-4</v>
      </c>
      <c r="F193" s="4" t="s">
        <v>362</v>
      </c>
      <c r="G193" s="1">
        <v>12150000</v>
      </c>
      <c r="H193" s="6">
        <f>SUM($G$2:G193)/SUM($G:$G)</f>
        <v>0.94604110238527217</v>
      </c>
    </row>
    <row r="194" spans="1:8" x14ac:dyDescent="0.2">
      <c r="A194" s="4" t="s">
        <v>925</v>
      </c>
      <c r="B194" s="1">
        <v>29409784.399999999</v>
      </c>
      <c r="C194" s="5">
        <v>8.4052803816554386E-4</v>
      </c>
      <c r="F194" s="4" t="s">
        <v>140</v>
      </c>
      <c r="G194" s="1">
        <v>12067767.5</v>
      </c>
      <c r="H194" s="6">
        <f>SUM($G$2:G194)/SUM($G:$G)</f>
        <v>0.94665559503094154</v>
      </c>
    </row>
    <row r="195" spans="1:8" x14ac:dyDescent="0.2">
      <c r="A195" s="4" t="s">
        <v>367</v>
      </c>
      <c r="B195" s="1">
        <v>29366298.100000001</v>
      </c>
      <c r="C195" s="5">
        <v>8.3928520503460545E-4</v>
      </c>
      <c r="F195" s="4" t="s">
        <v>219</v>
      </c>
      <c r="G195" s="1">
        <v>12000000</v>
      </c>
      <c r="H195" s="6">
        <f>SUM($G$2:G195)/SUM($G:$G)</f>
        <v>0.94726663694470337</v>
      </c>
    </row>
    <row r="196" spans="1:8" x14ac:dyDescent="0.2">
      <c r="A196" s="4" t="s">
        <v>402</v>
      </c>
      <c r="B196" s="1">
        <v>28960469</v>
      </c>
      <c r="C196" s="5">
        <v>8.2768665903324508E-4</v>
      </c>
      <c r="F196" s="4" t="s">
        <v>46</v>
      </c>
      <c r="G196" s="1">
        <v>12000000</v>
      </c>
      <c r="H196" s="6">
        <f>SUM($G$2:G196)/SUM($G:$G)</f>
        <v>0.94787767885846519</v>
      </c>
    </row>
    <row r="197" spans="1:8" x14ac:dyDescent="0.2">
      <c r="A197" s="4" t="s">
        <v>334</v>
      </c>
      <c r="B197" s="1">
        <v>28774814</v>
      </c>
      <c r="C197" s="5">
        <v>8.2238066185886171E-4</v>
      </c>
      <c r="F197" s="4" t="s">
        <v>184</v>
      </c>
      <c r="G197" s="1">
        <v>12000000</v>
      </c>
      <c r="H197" s="6">
        <f>SUM($G$2:G197)/SUM($G:$G)</f>
        <v>0.9484887207722269</v>
      </c>
    </row>
    <row r="198" spans="1:8" x14ac:dyDescent="0.2">
      <c r="A198" s="4" t="s">
        <v>681</v>
      </c>
      <c r="B198" s="1">
        <v>28204129.299999997</v>
      </c>
      <c r="C198" s="5">
        <v>8.0607056298910964E-4</v>
      </c>
      <c r="F198" s="4" t="s">
        <v>36</v>
      </c>
      <c r="G198" s="1">
        <v>10636000</v>
      </c>
      <c r="H198" s="6">
        <f>SUM($G$2:G198)/SUM($G:$G)</f>
        <v>0.94903030758845786</v>
      </c>
    </row>
    <row r="199" spans="1:8" x14ac:dyDescent="0.2">
      <c r="A199" s="4" t="s">
        <v>619</v>
      </c>
      <c r="B199" s="1">
        <v>28106000</v>
      </c>
      <c r="C199" s="5">
        <v>8.0326603960689954E-4</v>
      </c>
      <c r="F199" s="4" t="s">
        <v>412</v>
      </c>
      <c r="G199" s="1">
        <v>10332630</v>
      </c>
      <c r="H199" s="6">
        <f>SUM($G$2:G199)/SUM($G:$G)</f>
        <v>0.94955644675590722</v>
      </c>
    </row>
    <row r="200" spans="1:8" x14ac:dyDescent="0.2">
      <c r="A200" s="4" t="s">
        <v>621</v>
      </c>
      <c r="B200" s="1">
        <v>27545325.100000001</v>
      </c>
      <c r="C200" s="5">
        <v>7.8724201959587013E-4</v>
      </c>
      <c r="F200" s="4" t="s">
        <v>383</v>
      </c>
      <c r="G200" s="1">
        <v>10248267.6</v>
      </c>
      <c r="H200" s="6">
        <f>SUM($G$2:G200)/SUM($G:$G)</f>
        <v>0.95007829017649437</v>
      </c>
    </row>
    <row r="201" spans="1:8" x14ac:dyDescent="0.2">
      <c r="A201" s="4" t="s">
        <v>284</v>
      </c>
      <c r="B201" s="1">
        <v>27400000</v>
      </c>
      <c r="C201" s="5">
        <v>7.8308864602679319E-4</v>
      </c>
      <c r="F201" s="4" t="s">
        <v>375</v>
      </c>
      <c r="G201" s="1">
        <v>10004574.6</v>
      </c>
      <c r="H201" s="6">
        <f>SUM($G$2:G201)/SUM($G:$G)</f>
        <v>0.95058772471065744</v>
      </c>
    </row>
    <row r="202" spans="1:8" x14ac:dyDescent="0.2">
      <c r="A202" s="4" t="s">
        <v>2142</v>
      </c>
      <c r="B202" s="1">
        <v>27350000</v>
      </c>
      <c r="C202" s="5">
        <v>7.8165965214718226E-4</v>
      </c>
      <c r="F202" s="4" t="s">
        <v>312</v>
      </c>
      <c r="G202" s="1">
        <v>10000000</v>
      </c>
      <c r="H202" s="6">
        <f>SUM($G$2:G202)/SUM($G:$G)</f>
        <v>0.95109692630545895</v>
      </c>
    </row>
    <row r="203" spans="1:8" x14ac:dyDescent="0.2">
      <c r="A203" s="4" t="s">
        <v>1381</v>
      </c>
      <c r="B203" s="1">
        <v>26100000</v>
      </c>
      <c r="C203" s="5">
        <v>7.4593480515690877E-4</v>
      </c>
      <c r="F203" s="4" t="s">
        <v>280</v>
      </c>
      <c r="G203" s="1">
        <v>10000000</v>
      </c>
      <c r="H203" s="6">
        <f>SUM($G$2:G203)/SUM($G:$G)</f>
        <v>0.95160612790026045</v>
      </c>
    </row>
    <row r="204" spans="1:8" x14ac:dyDescent="0.2">
      <c r="A204" s="4" t="s">
        <v>1725</v>
      </c>
      <c r="B204" s="1">
        <v>25642177</v>
      </c>
      <c r="C204" s="5">
        <v>7.328502798580064E-4</v>
      </c>
      <c r="F204" s="4" t="s">
        <v>283</v>
      </c>
      <c r="G204" s="1">
        <v>10000000</v>
      </c>
      <c r="H204" s="6">
        <f>SUM($G$2:G204)/SUM($G:$G)</f>
        <v>0.95211532949506195</v>
      </c>
    </row>
    <row r="205" spans="1:8" x14ac:dyDescent="0.2">
      <c r="A205" s="4" t="s">
        <v>1498</v>
      </c>
      <c r="B205" s="1">
        <v>25325000</v>
      </c>
      <c r="C205" s="5">
        <v>7.2378540002293926E-4</v>
      </c>
      <c r="F205" s="4" t="s">
        <v>294</v>
      </c>
      <c r="G205" s="1">
        <v>10000000</v>
      </c>
      <c r="H205" s="6">
        <f>SUM($G$2:G205)/SUM($G:$G)</f>
        <v>0.95262453108986345</v>
      </c>
    </row>
    <row r="206" spans="1:8" x14ac:dyDescent="0.2">
      <c r="A206" s="4" t="s">
        <v>204</v>
      </c>
      <c r="B206" s="1">
        <v>25030500</v>
      </c>
      <c r="C206" s="5">
        <v>7.1536862607203089E-4</v>
      </c>
      <c r="F206" s="4" t="s">
        <v>296</v>
      </c>
      <c r="G206" s="1">
        <v>10000000</v>
      </c>
      <c r="H206" s="6">
        <f>SUM($G$2:G206)/SUM($G:$G)</f>
        <v>0.95313373268466495</v>
      </c>
    </row>
    <row r="207" spans="1:8" x14ac:dyDescent="0.2">
      <c r="A207" s="4" t="s">
        <v>792</v>
      </c>
      <c r="B207" s="1">
        <v>25029347.800000001</v>
      </c>
      <c r="C207" s="5">
        <v>7.1533569633706916E-4</v>
      </c>
      <c r="F207" s="4" t="s">
        <v>291</v>
      </c>
      <c r="G207" s="1">
        <v>10000000</v>
      </c>
      <c r="H207" s="6">
        <f>SUM($G$2:G207)/SUM($G:$G)</f>
        <v>0.95364293427946645</v>
      </c>
    </row>
    <row r="208" spans="1:8" x14ac:dyDescent="0.2">
      <c r="A208" s="4" t="s">
        <v>200</v>
      </c>
      <c r="B208" s="1">
        <v>25000000</v>
      </c>
      <c r="C208" s="5">
        <v>7.1449693980546816E-4</v>
      </c>
      <c r="F208" s="4" t="s">
        <v>374</v>
      </c>
      <c r="G208" s="1">
        <v>10000000</v>
      </c>
      <c r="H208" s="6">
        <f>SUM($G$2:G208)/SUM($G:$G)</f>
        <v>0.95415213587426795</v>
      </c>
    </row>
    <row r="209" spans="1:8" x14ac:dyDescent="0.2">
      <c r="A209" s="4" t="s">
        <v>66</v>
      </c>
      <c r="B209" s="1">
        <v>25000000</v>
      </c>
      <c r="C209" s="5">
        <v>7.1449693980546816E-4</v>
      </c>
      <c r="F209" s="4" t="s">
        <v>290</v>
      </c>
      <c r="G209" s="1">
        <v>10000000</v>
      </c>
      <c r="H209" s="6">
        <f>SUM($G$2:G209)/SUM($G:$G)</f>
        <v>0.95466133746906945</v>
      </c>
    </row>
    <row r="210" spans="1:8" x14ac:dyDescent="0.2">
      <c r="A210" s="4" t="s">
        <v>271</v>
      </c>
      <c r="B210" s="1">
        <v>25000000</v>
      </c>
      <c r="C210" s="5">
        <v>7.1449693980546816E-4</v>
      </c>
      <c r="F210" s="4" t="s">
        <v>289</v>
      </c>
      <c r="G210" s="1">
        <v>10000000</v>
      </c>
      <c r="H210" s="6">
        <f>SUM($G$2:G210)/SUM($G:$G)</f>
        <v>0.95517053906387095</v>
      </c>
    </row>
    <row r="211" spans="1:8" x14ac:dyDescent="0.2">
      <c r="A211" s="4" t="s">
        <v>208</v>
      </c>
      <c r="B211" s="1">
        <v>25000000</v>
      </c>
      <c r="C211" s="5">
        <v>7.1449693980546816E-4</v>
      </c>
      <c r="F211" s="4" t="s">
        <v>311</v>
      </c>
      <c r="G211" s="1">
        <v>10000000</v>
      </c>
      <c r="H211" s="6">
        <f>SUM($G$2:G211)/SUM($G:$G)</f>
        <v>0.95567974065867245</v>
      </c>
    </row>
    <row r="212" spans="1:8" x14ac:dyDescent="0.2">
      <c r="A212" s="4" t="s">
        <v>201</v>
      </c>
      <c r="B212" s="1">
        <v>25000000</v>
      </c>
      <c r="C212" s="5">
        <v>7.1449693980546816E-4</v>
      </c>
      <c r="F212" s="4" t="s">
        <v>281</v>
      </c>
      <c r="G212" s="1">
        <v>10000000</v>
      </c>
      <c r="H212" s="6">
        <f>SUM($G$2:G212)/SUM($G:$G)</f>
        <v>0.95618894225347395</v>
      </c>
    </row>
    <row r="213" spans="1:8" x14ac:dyDescent="0.2">
      <c r="A213" s="4" t="s">
        <v>1380</v>
      </c>
      <c r="B213" s="1">
        <v>24854035</v>
      </c>
      <c r="C213" s="5">
        <v>7.1032527797271997E-4</v>
      </c>
      <c r="F213" s="4" t="s">
        <v>292</v>
      </c>
      <c r="G213" s="1">
        <v>10000000</v>
      </c>
      <c r="H213" s="6">
        <f>SUM($G$2:G213)/SUM($G:$G)</f>
        <v>0.95669814384827545</v>
      </c>
    </row>
    <row r="214" spans="1:8" x14ac:dyDescent="0.2">
      <c r="A214" s="4" t="s">
        <v>340</v>
      </c>
      <c r="B214" s="1">
        <v>24381343</v>
      </c>
      <c r="C214" s="5">
        <v>6.9681579847389891E-4</v>
      </c>
      <c r="F214" s="4" t="s">
        <v>295</v>
      </c>
      <c r="G214" s="1">
        <v>10000000</v>
      </c>
      <c r="H214" s="6">
        <f>SUM($G$2:G214)/SUM($G:$G)</f>
        <v>0.95720734544307695</v>
      </c>
    </row>
    <row r="215" spans="1:8" x14ac:dyDescent="0.2">
      <c r="A215" s="4" t="s">
        <v>928</v>
      </c>
      <c r="B215" s="1">
        <v>24313901</v>
      </c>
      <c r="C215" s="5">
        <v>6.9488831436932458E-4</v>
      </c>
      <c r="F215" s="4" t="s">
        <v>607</v>
      </c>
      <c r="G215" s="1">
        <v>9800000</v>
      </c>
      <c r="H215" s="6">
        <f>SUM($G$2:G215)/SUM($G:$G)</f>
        <v>0.95770636300598244</v>
      </c>
    </row>
    <row r="216" spans="1:8" x14ac:dyDescent="0.2">
      <c r="A216" s="4" t="s">
        <v>1028</v>
      </c>
      <c r="B216" s="1">
        <v>24127462.800000004</v>
      </c>
      <c r="C216" s="5">
        <v>6.8955993343481107E-4</v>
      </c>
      <c r="F216" s="4" t="s">
        <v>403</v>
      </c>
      <c r="G216" s="1">
        <v>9650670</v>
      </c>
      <c r="H216" s="6">
        <f>SUM($G$2:G216)/SUM($G:$G)</f>
        <v>0.95819777666147277</v>
      </c>
    </row>
    <row r="217" spans="1:8" x14ac:dyDescent="0.2">
      <c r="A217" s="4" t="s">
        <v>617</v>
      </c>
      <c r="B217" s="1">
        <v>24000000</v>
      </c>
      <c r="C217" s="5">
        <v>6.859170622132495E-4</v>
      </c>
      <c r="F217" s="4" t="s">
        <v>153</v>
      </c>
      <c r="G217" s="1">
        <v>9445790</v>
      </c>
      <c r="H217" s="6">
        <f>SUM($G$2:G217)/SUM($G:$G)</f>
        <v>0.95867875779468881</v>
      </c>
    </row>
    <row r="218" spans="1:8" x14ac:dyDescent="0.2">
      <c r="A218" s="4" t="s">
        <v>505</v>
      </c>
      <c r="B218" s="1">
        <v>24000000</v>
      </c>
      <c r="C218" s="5">
        <v>6.859170622132495E-4</v>
      </c>
      <c r="F218" s="4" t="s">
        <v>431</v>
      </c>
      <c r="G218" s="1">
        <v>9408000</v>
      </c>
      <c r="H218" s="6">
        <f>SUM($G$2:G218)/SUM($G:$G)</f>
        <v>0.9591578146550781</v>
      </c>
    </row>
    <row r="219" spans="1:8" x14ac:dyDescent="0.2">
      <c r="A219" s="4" t="s">
        <v>708</v>
      </c>
      <c r="B219" s="1">
        <v>23388453.899999999</v>
      </c>
      <c r="C219" s="5">
        <v>6.6843914953325064E-4</v>
      </c>
      <c r="F219" s="4" t="s">
        <v>77</v>
      </c>
      <c r="G219" s="1">
        <v>9246882</v>
      </c>
      <c r="H219" s="6">
        <f>SUM($G$2:G219)/SUM($G:$G)</f>
        <v>0.95962866736121222</v>
      </c>
    </row>
    <row r="220" spans="1:8" x14ac:dyDescent="0.2">
      <c r="A220" s="4" t="s">
        <v>851</v>
      </c>
      <c r="B220" s="1">
        <v>23281058.799999997</v>
      </c>
      <c r="C220" s="5">
        <v>6.653698107212465E-4</v>
      </c>
      <c r="F220" s="4" t="s">
        <v>11</v>
      </c>
      <c r="G220" s="1">
        <v>8991521.9000000004</v>
      </c>
      <c r="H220" s="6">
        <f>SUM($G$2:G220)/SUM($G:$G)</f>
        <v>0.96008651709032955</v>
      </c>
    </row>
    <row r="221" spans="1:8" x14ac:dyDescent="0.2">
      <c r="A221" s="4" t="s">
        <v>529</v>
      </c>
      <c r="B221" s="1">
        <v>23271053.300000001</v>
      </c>
      <c r="C221" s="5">
        <v>6.6508385475599766E-4</v>
      </c>
      <c r="F221" s="4" t="s">
        <v>317</v>
      </c>
      <c r="G221" s="1">
        <v>8975692</v>
      </c>
      <c r="H221" s="6">
        <f>SUM($G$2:G221)/SUM($G:$G)</f>
        <v>0.96054356075841429</v>
      </c>
    </row>
    <row r="222" spans="1:8" x14ac:dyDescent="0.2">
      <c r="A222" s="4" t="s">
        <v>489</v>
      </c>
      <c r="B222" s="1">
        <v>23138501</v>
      </c>
      <c r="C222" s="5">
        <v>6.6129552624743062E-4</v>
      </c>
      <c r="F222" s="4" t="s">
        <v>603</v>
      </c>
      <c r="G222" s="1">
        <v>8658607</v>
      </c>
      <c r="H222" s="6">
        <f>SUM($G$2:G222)/SUM($G:$G)</f>
        <v>0.96098445840773017</v>
      </c>
    </row>
    <row r="223" spans="1:8" x14ac:dyDescent="0.2">
      <c r="A223" s="4" t="s">
        <v>235</v>
      </c>
      <c r="B223" s="1">
        <v>22981493.800000001</v>
      </c>
      <c r="C223" s="5">
        <v>6.5680827969033365E-4</v>
      </c>
      <c r="F223" s="4" t="s">
        <v>126</v>
      </c>
      <c r="G223" s="1">
        <v>8609862.7999999896</v>
      </c>
      <c r="H223" s="6">
        <f>SUM($G$2:G223)/SUM($G:$G)</f>
        <v>0.96142287399460835</v>
      </c>
    </row>
    <row r="224" spans="1:8" x14ac:dyDescent="0.2">
      <c r="A224" s="4" t="s">
        <v>384</v>
      </c>
      <c r="B224" s="1">
        <v>22868285.300000001</v>
      </c>
      <c r="C224" s="5">
        <v>6.5357279461793498E-4</v>
      </c>
      <c r="F224" s="4" t="s">
        <v>223</v>
      </c>
      <c r="G224" s="1">
        <v>8544615</v>
      </c>
      <c r="H224" s="6">
        <f>SUM($G$2:G224)/SUM($G:$G)</f>
        <v>0.9618579671531049</v>
      </c>
    </row>
    <row r="225" spans="1:8" x14ac:dyDescent="0.2">
      <c r="A225" s="4" t="s">
        <v>539</v>
      </c>
      <c r="B225" s="1">
        <v>22770118.300000001</v>
      </c>
      <c r="C225" s="5">
        <v>6.5076719377433958E-4</v>
      </c>
      <c r="F225" s="4" t="s">
        <v>229</v>
      </c>
      <c r="G225" s="1">
        <v>8300000</v>
      </c>
      <c r="H225" s="6">
        <f>SUM($G$2:G225)/SUM($G:$G)</f>
        <v>0.96228060447679009</v>
      </c>
    </row>
    <row r="226" spans="1:8" x14ac:dyDescent="0.2">
      <c r="A226" s="4" t="s">
        <v>443</v>
      </c>
      <c r="B226" s="1">
        <v>22758600</v>
      </c>
      <c r="C226" s="5">
        <v>6.504380021702691E-4</v>
      </c>
      <c r="F226" s="4" t="s">
        <v>454</v>
      </c>
      <c r="G226" s="1">
        <v>8028000</v>
      </c>
      <c r="H226" s="6">
        <f>SUM($G$2:G226)/SUM($G:$G)</f>
        <v>0.96268939151709676</v>
      </c>
    </row>
    <row r="227" spans="1:8" x14ac:dyDescent="0.2">
      <c r="A227" s="4" t="s">
        <v>88</v>
      </c>
      <c r="B227" s="1">
        <v>22564835.300000001</v>
      </c>
      <c r="C227" s="5">
        <v>6.4490023076257616E-4</v>
      </c>
      <c r="F227" s="4" t="s">
        <v>318</v>
      </c>
      <c r="G227" s="1">
        <v>8000000</v>
      </c>
      <c r="H227" s="6">
        <f>SUM($G$2:G227)/SUM($G:$G)</f>
        <v>0.96309675279293794</v>
      </c>
    </row>
    <row r="228" spans="1:8" x14ac:dyDescent="0.2">
      <c r="A228" s="4" t="s">
        <v>2594</v>
      </c>
      <c r="B228" s="1">
        <v>22544044</v>
      </c>
      <c r="C228" s="5">
        <v>6.4430601795359302E-4</v>
      </c>
      <c r="F228" s="4" t="s">
        <v>131</v>
      </c>
      <c r="G228" s="1">
        <v>8000000</v>
      </c>
      <c r="H228" s="6">
        <f>SUM($G$2:G228)/SUM($G:$G)</f>
        <v>0.96350411406877923</v>
      </c>
    </row>
    <row r="229" spans="1:8" x14ac:dyDescent="0.2">
      <c r="A229" s="4" t="s">
        <v>2277</v>
      </c>
      <c r="B229" s="1">
        <v>22255000</v>
      </c>
      <c r="C229" s="5">
        <v>6.3604517581482777E-4</v>
      </c>
      <c r="F229" s="4" t="s">
        <v>354</v>
      </c>
      <c r="G229" s="1">
        <v>7955732.6999999993</v>
      </c>
      <c r="H229" s="6">
        <f>SUM($G$2:G229)/SUM($G:$G)</f>
        <v>0.96390922124664469</v>
      </c>
    </row>
    <row r="230" spans="1:8" x14ac:dyDescent="0.2">
      <c r="A230" s="4" t="s">
        <v>1050</v>
      </c>
      <c r="B230" s="1">
        <v>22096000</v>
      </c>
      <c r="C230" s="5">
        <v>6.3150097527766506E-4</v>
      </c>
      <c r="F230" s="4" t="s">
        <v>438</v>
      </c>
      <c r="G230" s="1">
        <v>7906800</v>
      </c>
      <c r="H230" s="6">
        <f>SUM($G$2:G230)/SUM($G:$G)</f>
        <v>0.96431183676362231</v>
      </c>
    </row>
    <row r="231" spans="1:8" x14ac:dyDescent="0.2">
      <c r="A231" s="4" t="s">
        <v>260</v>
      </c>
      <c r="B231" s="1">
        <v>22032608.199999999</v>
      </c>
      <c r="C231" s="5">
        <v>6.2968924539331462E-4</v>
      </c>
      <c r="F231" s="4" t="s">
        <v>622</v>
      </c>
      <c r="G231" s="1">
        <v>7800000</v>
      </c>
      <c r="H231" s="6">
        <f>SUM($G$2:G231)/SUM($G:$G)</f>
        <v>0.96470901400756748</v>
      </c>
    </row>
    <row r="232" spans="1:8" x14ac:dyDescent="0.2">
      <c r="A232" s="4" t="s">
        <v>1499</v>
      </c>
      <c r="B232" s="1">
        <v>21600000</v>
      </c>
      <c r="C232" s="5">
        <v>6.1732535599192447E-4</v>
      </c>
      <c r="F232" s="4" t="s">
        <v>350</v>
      </c>
      <c r="G232" s="1">
        <v>7791624</v>
      </c>
      <c r="H232" s="6">
        <f>SUM($G$2:G232)/SUM($G:$G)</f>
        <v>0.96510576474425691</v>
      </c>
    </row>
    <row r="233" spans="1:8" x14ac:dyDescent="0.2">
      <c r="A233" s="4" t="s">
        <v>583</v>
      </c>
      <c r="B233" s="1">
        <v>21231354.699999999</v>
      </c>
      <c r="C233" s="5">
        <v>6.0678951844297772E-4</v>
      </c>
      <c r="F233" s="4" t="s">
        <v>468</v>
      </c>
      <c r="G233" s="1">
        <v>7761889.0999999996</v>
      </c>
      <c r="H233" s="6">
        <f>SUM($G$2:G233)/SUM($G:$G)</f>
        <v>0.96550100137509609</v>
      </c>
    </row>
    <row r="234" spans="1:8" x14ac:dyDescent="0.2">
      <c r="A234" s="4" t="s">
        <v>541</v>
      </c>
      <c r="B234" s="1">
        <v>21131207</v>
      </c>
      <c r="C234" s="5">
        <v>6.0392730943583555E-4</v>
      </c>
      <c r="F234" s="4" t="s">
        <v>631</v>
      </c>
      <c r="G234" s="1">
        <v>7731390</v>
      </c>
      <c r="H234" s="6">
        <f>SUM($G$2:G234)/SUM($G:$G)</f>
        <v>0.96589468498689934</v>
      </c>
    </row>
    <row r="235" spans="1:8" x14ac:dyDescent="0.2">
      <c r="A235" s="4" t="s">
        <v>185</v>
      </c>
      <c r="B235" s="1">
        <v>21120000</v>
      </c>
      <c r="C235" s="5">
        <v>6.0360701474765951E-4</v>
      </c>
      <c r="F235" s="4" t="s">
        <v>377</v>
      </c>
      <c r="G235" s="1">
        <v>7534080</v>
      </c>
      <c r="H235" s="6">
        <f>SUM($G$2:G235)/SUM($G:$G)</f>
        <v>0.96627832154203552</v>
      </c>
    </row>
    <row r="236" spans="1:8" x14ac:dyDescent="0.2">
      <c r="A236" s="4" t="s">
        <v>707</v>
      </c>
      <c r="B236" s="1">
        <v>21012149.899999999</v>
      </c>
      <c r="C236" s="5">
        <v>6.0052467209135096E-4</v>
      </c>
      <c r="F236" s="4" t="s">
        <v>90</v>
      </c>
      <c r="G236" s="1">
        <v>7500000</v>
      </c>
      <c r="H236" s="6">
        <f>SUM($G$2:G236)/SUM($G:$G)</f>
        <v>0.96666022273813668</v>
      </c>
    </row>
    <row r="237" spans="1:8" x14ac:dyDescent="0.2">
      <c r="A237" s="4" t="s">
        <v>783</v>
      </c>
      <c r="B237" s="1">
        <v>20915815.900000006</v>
      </c>
      <c r="C237" s="5">
        <v>5.9777145816338232E-4</v>
      </c>
      <c r="F237" s="4" t="s">
        <v>408</v>
      </c>
      <c r="G237" s="1">
        <v>7423000</v>
      </c>
      <c r="H237" s="6">
        <f>SUM($G$2:G237)/SUM($G:$G)</f>
        <v>0.96703820308195776</v>
      </c>
    </row>
    <row r="238" spans="1:8" x14ac:dyDescent="0.2">
      <c r="A238" s="4" t="s">
        <v>2900</v>
      </c>
      <c r="B238" s="1">
        <v>20737846</v>
      </c>
      <c r="C238" s="5">
        <v>5.9268510020628275E-4</v>
      </c>
      <c r="F238" s="4" t="s">
        <v>531</v>
      </c>
      <c r="G238" s="1">
        <v>7336323</v>
      </c>
      <c r="H238" s="6">
        <f>SUM($G$2:G238)/SUM($G:$G)</f>
        <v>0.9674117698191157</v>
      </c>
    </row>
    <row r="239" spans="1:8" x14ac:dyDescent="0.2">
      <c r="A239" s="4" t="s">
        <v>2637</v>
      </c>
      <c r="B239" s="1">
        <v>20650000</v>
      </c>
      <c r="C239" s="5">
        <v>5.9017447227931673E-4</v>
      </c>
      <c r="F239" s="4" t="s">
        <v>571</v>
      </c>
      <c r="G239" s="1">
        <v>7089237</v>
      </c>
      <c r="H239" s="6">
        <f>SUM($G$2:G239)/SUM($G:$G)</f>
        <v>0.96777275489774828</v>
      </c>
    </row>
    <row r="240" spans="1:8" x14ac:dyDescent="0.2">
      <c r="A240" s="4" t="s">
        <v>860</v>
      </c>
      <c r="B240" s="1">
        <v>20558033.199999996</v>
      </c>
      <c r="C240" s="5">
        <v>5.8754607239276853E-4</v>
      </c>
      <c r="F240" s="4" t="s">
        <v>574</v>
      </c>
      <c r="G240" s="1">
        <v>6958000</v>
      </c>
      <c r="H240" s="6">
        <f>SUM($G$2:G240)/SUM($G:$G)</f>
        <v>0.96812705736741111</v>
      </c>
    </row>
    <row r="241" spans="1:8" x14ac:dyDescent="0.2">
      <c r="A241" s="4" t="s">
        <v>1672</v>
      </c>
      <c r="B241" s="1">
        <v>20400000</v>
      </c>
      <c r="C241" s="5">
        <v>5.8302950288126201E-4</v>
      </c>
      <c r="F241" s="4" t="s">
        <v>478</v>
      </c>
      <c r="G241" s="1">
        <v>6850625</v>
      </c>
      <c r="H241" s="6">
        <f>SUM($G$2:G241)/SUM($G:$G)</f>
        <v>0.9684758922849499</v>
      </c>
    </row>
    <row r="242" spans="1:8" x14ac:dyDescent="0.2">
      <c r="A242" s="4" t="s">
        <v>1047</v>
      </c>
      <c r="B242" s="1">
        <v>20327615</v>
      </c>
      <c r="C242" s="5">
        <v>5.8096074844174927E-4</v>
      </c>
      <c r="F242" s="4" t="s">
        <v>475</v>
      </c>
      <c r="G242" s="1">
        <v>6850625</v>
      </c>
      <c r="H242" s="6">
        <f>SUM($G$2:G242)/SUM($G:$G)</f>
        <v>0.96882472720248858</v>
      </c>
    </row>
    <row r="243" spans="1:8" x14ac:dyDescent="0.2">
      <c r="A243" s="4" t="s">
        <v>804</v>
      </c>
      <c r="B243" s="1">
        <v>20141220.199999999</v>
      </c>
      <c r="C243" s="5">
        <v>5.7563360787392316E-4</v>
      </c>
      <c r="F243" s="4" t="s">
        <v>476</v>
      </c>
      <c r="G243" s="1">
        <v>6850625</v>
      </c>
      <c r="H243" s="6">
        <f>SUM($G$2:G243)/SUM($G:$G)</f>
        <v>0.96917356212002725</v>
      </c>
    </row>
    <row r="244" spans="1:8" x14ac:dyDescent="0.2">
      <c r="A244" s="4" t="s">
        <v>270</v>
      </c>
      <c r="B244" s="1">
        <v>20000000</v>
      </c>
      <c r="C244" s="5">
        <v>5.7159755184437453E-4</v>
      </c>
      <c r="F244" s="4" t="s">
        <v>477</v>
      </c>
      <c r="G244" s="1">
        <v>6850625</v>
      </c>
      <c r="H244" s="6">
        <f>SUM($G$2:G244)/SUM($G:$G)</f>
        <v>0.96952239703756604</v>
      </c>
    </row>
    <row r="245" spans="1:8" x14ac:dyDescent="0.2">
      <c r="A245" s="4" t="s">
        <v>507</v>
      </c>
      <c r="B245" s="1">
        <v>19913830.200000003</v>
      </c>
      <c r="C245" s="5">
        <v>5.6913482950822871E-4</v>
      </c>
      <c r="F245" s="4" t="s">
        <v>136</v>
      </c>
      <c r="G245" s="1">
        <v>6831602</v>
      </c>
      <c r="H245" s="6">
        <f>SUM($G$2:G245)/SUM($G:$G)</f>
        <v>0.96987026330091097</v>
      </c>
    </row>
    <row r="246" spans="1:8" x14ac:dyDescent="0.2">
      <c r="A246" s="4" t="s">
        <v>1372</v>
      </c>
      <c r="B246" s="1">
        <v>19900000</v>
      </c>
      <c r="C246" s="5">
        <v>5.6873956408515268E-4</v>
      </c>
      <c r="F246" s="4" t="s">
        <v>40</v>
      </c>
      <c r="G246" s="1">
        <v>6812410</v>
      </c>
      <c r="H246" s="6">
        <f>SUM($G$2:G246)/SUM($G:$G)</f>
        <v>0.97021715230455507</v>
      </c>
    </row>
    <row r="247" spans="1:8" x14ac:dyDescent="0.2">
      <c r="A247" s="4" t="s">
        <v>1500</v>
      </c>
      <c r="B247" s="1">
        <v>19807618.600000001</v>
      </c>
      <c r="C247" s="5">
        <v>5.6609931498135494E-4</v>
      </c>
      <c r="F247" s="4" t="s">
        <v>554</v>
      </c>
      <c r="G247" s="1">
        <v>6802559</v>
      </c>
      <c r="H247" s="6">
        <f>SUM($G$2:G247)/SUM($G:$G)</f>
        <v>0.97056353969370823</v>
      </c>
    </row>
    <row r="248" spans="1:8" x14ac:dyDescent="0.2">
      <c r="A248" s="4" t="s">
        <v>1747</v>
      </c>
      <c r="B248" s="1">
        <v>19500000</v>
      </c>
      <c r="C248" s="5">
        <v>5.573076130482652E-4</v>
      </c>
      <c r="F248" s="4" t="s">
        <v>216</v>
      </c>
      <c r="G248" s="1">
        <v>6748366.4000000004</v>
      </c>
      <c r="H248" s="6">
        <f>SUM($G$2:G248)/SUM($G:$G)</f>
        <v>0.97090716758702678</v>
      </c>
    </row>
    <row r="249" spans="1:8" x14ac:dyDescent="0.2">
      <c r="A249" s="4" t="s">
        <v>2616</v>
      </c>
      <c r="B249" s="1">
        <v>19474200.800000001</v>
      </c>
      <c r="C249" s="5">
        <v>5.565702750702881E-4</v>
      </c>
      <c r="F249" s="4" t="s">
        <v>45</v>
      </c>
      <c r="G249" s="1">
        <v>6500000</v>
      </c>
      <c r="H249" s="6">
        <f>SUM($G$2:G249)/SUM($G:$G)</f>
        <v>0.97123814862364777</v>
      </c>
    </row>
    <row r="250" spans="1:8" x14ac:dyDescent="0.2">
      <c r="A250" s="4" t="s">
        <v>686</v>
      </c>
      <c r="B250" s="1">
        <v>19300991.5</v>
      </c>
      <c r="C250" s="5">
        <v>5.5161997447845414E-4</v>
      </c>
      <c r="F250" s="4" t="s">
        <v>169</v>
      </c>
      <c r="G250" s="1">
        <v>6430000</v>
      </c>
      <c r="H250" s="6">
        <f>SUM($G$2:G250)/SUM($G:$G)</f>
        <v>0.9715655652491052</v>
      </c>
    </row>
    <row r="251" spans="1:8" x14ac:dyDescent="0.2">
      <c r="A251" s="4" t="s">
        <v>404</v>
      </c>
      <c r="B251" s="1">
        <v>19300000</v>
      </c>
      <c r="C251" s="5">
        <v>5.515916375298214E-4</v>
      </c>
      <c r="F251" s="4" t="s">
        <v>341</v>
      </c>
      <c r="G251" s="1">
        <v>6423037</v>
      </c>
      <c r="H251" s="6">
        <f>SUM($G$2:G251)/SUM($G:$G)</f>
        <v>0.97189262731749204</v>
      </c>
    </row>
    <row r="252" spans="1:8" x14ac:dyDescent="0.2">
      <c r="A252" s="4" t="s">
        <v>674</v>
      </c>
      <c r="B252" s="1">
        <v>19112131.5</v>
      </c>
      <c r="C252" s="5">
        <v>5.4622237879638766E-4</v>
      </c>
      <c r="F252" s="4" t="s">
        <v>605</v>
      </c>
      <c r="G252" s="1">
        <v>6400000</v>
      </c>
      <c r="H252" s="6">
        <f>SUM($G$2:G252)/SUM($G:$G)</f>
        <v>0.97221851633816503</v>
      </c>
    </row>
    <row r="253" spans="1:8" x14ac:dyDescent="0.2">
      <c r="A253" s="4" t="s">
        <v>1024</v>
      </c>
      <c r="B253" s="1">
        <v>19058441</v>
      </c>
      <c r="C253" s="5">
        <v>5.4468791087852264E-4</v>
      </c>
      <c r="F253" s="4" t="s">
        <v>419</v>
      </c>
      <c r="G253" s="1">
        <v>6360719.9000000004</v>
      </c>
      <c r="H253" s="6">
        <f>SUM($G$2:G253)/SUM($G:$G)</f>
        <v>0.97254240520988167</v>
      </c>
    </row>
    <row r="254" spans="1:8" x14ac:dyDescent="0.2">
      <c r="A254" s="4" t="s">
        <v>2477</v>
      </c>
      <c r="B254" s="1">
        <v>19036215.300000001</v>
      </c>
      <c r="C254" s="5">
        <v>5.4405270309312132E-4</v>
      </c>
      <c r="F254" s="4" t="s">
        <v>359</v>
      </c>
      <c r="G254" s="1">
        <v>6304316.2999999998</v>
      </c>
      <c r="H254" s="6">
        <f>SUM($G$2:G254)/SUM($G:$G)</f>
        <v>0.97286342200129095</v>
      </c>
    </row>
    <row r="255" spans="1:8" x14ac:dyDescent="0.2">
      <c r="A255" s="4" t="s">
        <v>1085</v>
      </c>
      <c r="B255" s="1">
        <v>18849340</v>
      </c>
      <c r="C255" s="5">
        <v>5.3871182989411218E-4</v>
      </c>
      <c r="F255" s="4" t="s">
        <v>584</v>
      </c>
      <c r="G255" s="1">
        <v>6191067</v>
      </c>
      <c r="H255" s="6">
        <f>SUM($G$2:G255)/SUM($G:$G)</f>
        <v>0.97317867212028319</v>
      </c>
    </row>
    <row r="256" spans="1:8" x14ac:dyDescent="0.2">
      <c r="A256" s="4" t="s">
        <v>763</v>
      </c>
      <c r="B256" s="1">
        <v>18711245.5</v>
      </c>
      <c r="C256" s="5">
        <v>5.3476510598795353E-4</v>
      </c>
      <c r="F256" s="4" t="s">
        <v>97</v>
      </c>
      <c r="G256" s="1">
        <v>6110347.9000000004</v>
      </c>
      <c r="H256" s="6">
        <f>SUM($G$2:G256)/SUM($G:$G)</f>
        <v>0.97348981200983054</v>
      </c>
    </row>
    <row r="257" spans="1:8" x14ac:dyDescent="0.2">
      <c r="A257" s="4" t="s">
        <v>699</v>
      </c>
      <c r="B257" s="1">
        <v>18643698.100000001</v>
      </c>
      <c r="C257" s="5">
        <v>5.3283460956428093E-4</v>
      </c>
      <c r="F257" s="4" t="s">
        <v>596</v>
      </c>
      <c r="G257" s="1">
        <v>6059797.7999999998</v>
      </c>
      <c r="H257" s="6">
        <f>SUM($G$2:G257)/SUM($G:$G)</f>
        <v>0.97379837788022394</v>
      </c>
    </row>
    <row r="258" spans="1:8" x14ac:dyDescent="0.2">
      <c r="A258" s="4" t="s">
        <v>1382</v>
      </c>
      <c r="B258" s="1">
        <v>18630000</v>
      </c>
      <c r="C258" s="5">
        <v>5.3244311954303493E-4</v>
      </c>
      <c r="F258" s="4" t="s">
        <v>618</v>
      </c>
      <c r="G258" s="1">
        <v>6000270</v>
      </c>
      <c r="H258" s="6">
        <f>SUM($G$2:G258)/SUM($G:$G)</f>
        <v>0.97410391258554796</v>
      </c>
    </row>
    <row r="259" spans="1:8" x14ac:dyDescent="0.2">
      <c r="A259" s="4" t="s">
        <v>33</v>
      </c>
      <c r="B259" s="1">
        <v>18565943</v>
      </c>
      <c r="C259" s="5">
        <v>5.3061237832411018E-4</v>
      </c>
      <c r="F259" s="4" t="s">
        <v>582</v>
      </c>
      <c r="G259" s="1">
        <v>5910000</v>
      </c>
      <c r="H259" s="6">
        <f>SUM($G$2:G259)/SUM($G:$G)</f>
        <v>0.97440485072807559</v>
      </c>
    </row>
    <row r="260" spans="1:8" x14ac:dyDescent="0.2">
      <c r="A260" s="4" t="s">
        <v>353</v>
      </c>
      <c r="B260" s="1">
        <v>18343505.399999999</v>
      </c>
      <c r="C260" s="5">
        <v>5.242551389442032E-4</v>
      </c>
      <c r="F260" s="4" t="s">
        <v>430</v>
      </c>
      <c r="G260" s="1">
        <v>5808358</v>
      </c>
      <c r="H260" s="6">
        <f>SUM($G$2:G260)/SUM($G:$G)</f>
        <v>0.97470061324375346</v>
      </c>
    </row>
    <row r="261" spans="1:8" x14ac:dyDescent="0.2">
      <c r="A261" s="4" t="s">
        <v>791</v>
      </c>
      <c r="B261" s="1">
        <v>18330012.600000001</v>
      </c>
      <c r="C261" s="5">
        <v>5.2386951637182697E-4</v>
      </c>
      <c r="F261" s="4" t="s">
        <v>606</v>
      </c>
      <c r="G261" s="1">
        <v>5800000</v>
      </c>
      <c r="H261" s="6">
        <f>SUM($G$2:G261)/SUM($G:$G)</f>
        <v>0.9749959501687383</v>
      </c>
    </row>
    <row r="262" spans="1:8" x14ac:dyDescent="0.2">
      <c r="A262" s="4" t="s">
        <v>428</v>
      </c>
      <c r="B262" s="1">
        <v>18071736.600000001</v>
      </c>
      <c r="C262" s="5">
        <v>5.1648801990681909E-4</v>
      </c>
      <c r="F262" s="4" t="s">
        <v>167</v>
      </c>
      <c r="G262" s="1">
        <v>5750000</v>
      </c>
      <c r="H262" s="6">
        <f>SUM($G$2:G262)/SUM($G:$G)</f>
        <v>0.97528874108574914</v>
      </c>
    </row>
    <row r="263" spans="1:8" x14ac:dyDescent="0.2">
      <c r="A263" s="4" t="s">
        <v>964</v>
      </c>
      <c r="B263" s="1">
        <v>18007794</v>
      </c>
      <c r="C263" s="5">
        <v>5.1466054822589091E-4</v>
      </c>
      <c r="F263" s="4" t="s">
        <v>557</v>
      </c>
      <c r="G263" s="1">
        <v>5665618</v>
      </c>
      <c r="H263" s="6">
        <f>SUM($G$2:G263)/SUM($G:$G)</f>
        <v>0.97557723525786277</v>
      </c>
    </row>
    <row r="264" spans="1:8" x14ac:dyDescent="0.2">
      <c r="A264" s="4" t="s">
        <v>1088</v>
      </c>
      <c r="B264" s="1">
        <v>17910875.100000001</v>
      </c>
      <c r="C264" s="5">
        <v>5.1189061792751838E-4</v>
      </c>
      <c r="F264" s="4" t="s">
        <v>265</v>
      </c>
      <c r="G264" s="1">
        <v>5610000</v>
      </c>
      <c r="H264" s="6">
        <f>SUM($G$2:G264)/SUM($G:$G)</f>
        <v>0.97586289735254639</v>
      </c>
    </row>
    <row r="265" spans="1:8" x14ac:dyDescent="0.2">
      <c r="A265" s="4" t="s">
        <v>867</v>
      </c>
      <c r="B265" s="1">
        <v>17841770.099999998</v>
      </c>
      <c r="C265" s="5">
        <v>5.0991560548650804E-4</v>
      </c>
      <c r="F265" s="4" t="s">
        <v>609</v>
      </c>
      <c r="G265" s="1">
        <v>5572872.2999999998</v>
      </c>
      <c r="H265" s="6">
        <f>SUM($G$2:G265)/SUM($G:$G)</f>
        <v>0.97614666889882484</v>
      </c>
    </row>
    <row r="266" spans="1:8" x14ac:dyDescent="0.2">
      <c r="A266" s="4" t="s">
        <v>785</v>
      </c>
      <c r="B266" s="1">
        <v>17764200.600000001</v>
      </c>
      <c r="C266" s="5">
        <v>5.0769867867161847E-4</v>
      </c>
      <c r="F266" s="4" t="s">
        <v>150</v>
      </c>
      <c r="G266" s="1">
        <v>5493144.6999999993</v>
      </c>
      <c r="H266" s="6">
        <f>SUM($G$2:G266)/SUM($G:$G)</f>
        <v>0.97642638070299648</v>
      </c>
    </row>
    <row r="267" spans="1:8" x14ac:dyDescent="0.2">
      <c r="A267" s="4" t="s">
        <v>179</v>
      </c>
      <c r="B267" s="1">
        <v>17596978.300000001</v>
      </c>
      <c r="C267" s="5">
        <v>5.0291948580692919E-4</v>
      </c>
      <c r="F267" s="4" t="s">
        <v>594</v>
      </c>
      <c r="G267" s="1">
        <v>5484462.7000000002</v>
      </c>
      <c r="H267" s="6">
        <f>SUM($G$2:G267)/SUM($G:$G)</f>
        <v>0.97670565041834345</v>
      </c>
    </row>
    <row r="268" spans="1:8" x14ac:dyDescent="0.2">
      <c r="A268" s="4" t="s">
        <v>2170</v>
      </c>
      <c r="B268" s="1">
        <v>17550000</v>
      </c>
      <c r="C268" s="5">
        <v>5.0157685174343869E-4</v>
      </c>
      <c r="F268" s="4" t="s">
        <v>451</v>
      </c>
      <c r="G268" s="1">
        <v>5399935.7000000002</v>
      </c>
      <c r="H268" s="6">
        <f>SUM($G$2:G268)/SUM($G:$G)</f>
        <v>0.97698061600537001</v>
      </c>
    </row>
    <row r="269" spans="1:8" x14ac:dyDescent="0.2">
      <c r="A269" s="4" t="s">
        <v>526</v>
      </c>
      <c r="B269" s="1">
        <v>17441468.199999999</v>
      </c>
      <c r="C269" s="5">
        <v>4.9847502618457552E-4</v>
      </c>
      <c r="F269" s="4" t="s">
        <v>416</v>
      </c>
      <c r="G269" s="1">
        <v>5348150</v>
      </c>
      <c r="H269" s="6">
        <f>SUM($G$2:G269)/SUM($G:$G)</f>
        <v>0.97725294465629386</v>
      </c>
    </row>
    <row r="270" spans="1:8" x14ac:dyDescent="0.2">
      <c r="A270" s="4" t="s">
        <v>917</v>
      </c>
      <c r="B270" s="1">
        <v>17415813.799999997</v>
      </c>
      <c r="C270" s="5">
        <v>4.9774182657287363E-4</v>
      </c>
      <c r="F270" s="4" t="s">
        <v>369</v>
      </c>
      <c r="G270" s="1">
        <v>5106061.4000000004</v>
      </c>
      <c r="H270" s="6">
        <f>SUM($G$2:G270)/SUM($G:$G)</f>
        <v>0.97751294611709738</v>
      </c>
    </row>
    <row r="271" spans="1:8" x14ac:dyDescent="0.2">
      <c r="A271" s="4" t="s">
        <v>2479</v>
      </c>
      <c r="B271" s="1">
        <v>17398675</v>
      </c>
      <c r="C271" s="5">
        <v>4.9725200176679613E-4</v>
      </c>
      <c r="F271" s="4" t="s">
        <v>113</v>
      </c>
      <c r="G271" s="1">
        <v>5033962.5</v>
      </c>
      <c r="H271" s="6">
        <f>SUM($G$2:G271)/SUM($G:$G)</f>
        <v>0.97776927629041444</v>
      </c>
    </row>
    <row r="272" spans="1:8" x14ac:dyDescent="0.2">
      <c r="A272" s="4" t="s">
        <v>227</v>
      </c>
      <c r="B272" s="1">
        <v>17192941</v>
      </c>
      <c r="C272" s="5">
        <v>4.9137214923023864E-4</v>
      </c>
      <c r="F272" s="4" t="s">
        <v>564</v>
      </c>
      <c r="G272" s="1">
        <v>5000000</v>
      </c>
      <c r="H272" s="6">
        <f>SUM($G$2:G272)/SUM($G:$G)</f>
        <v>0.97802387708781524</v>
      </c>
    </row>
    <row r="273" spans="1:8" x14ac:dyDescent="0.2">
      <c r="A273" s="4" t="s">
        <v>2181</v>
      </c>
      <c r="B273" s="1">
        <v>17000000</v>
      </c>
      <c r="C273" s="5">
        <v>4.8585791906771838E-4</v>
      </c>
      <c r="F273" s="4" t="s">
        <v>60</v>
      </c>
      <c r="G273" s="1">
        <v>5000000</v>
      </c>
      <c r="H273" s="6">
        <f>SUM($G$2:G273)/SUM($G:$G)</f>
        <v>0.97827847788521594</v>
      </c>
    </row>
    <row r="274" spans="1:8" x14ac:dyDescent="0.2">
      <c r="A274" s="4" t="s">
        <v>568</v>
      </c>
      <c r="B274" s="1">
        <v>16857263</v>
      </c>
      <c r="C274" s="5">
        <v>4.8177851307983787E-4</v>
      </c>
      <c r="F274" s="4" t="s">
        <v>508</v>
      </c>
      <c r="G274" s="1">
        <v>5000000</v>
      </c>
      <c r="H274" s="6">
        <f>SUM($G$2:G274)/SUM($G:$G)</f>
        <v>0.97853307868261674</v>
      </c>
    </row>
    <row r="275" spans="1:8" x14ac:dyDescent="0.2">
      <c r="A275" s="4" t="s">
        <v>285</v>
      </c>
      <c r="B275" s="1">
        <v>16850625</v>
      </c>
      <c r="C275" s="5">
        <v>4.815887998523807E-4</v>
      </c>
      <c r="F275" s="4" t="s">
        <v>417</v>
      </c>
      <c r="G275" s="1">
        <v>5000000</v>
      </c>
      <c r="H275" s="6">
        <f>SUM($G$2:G275)/SUM($G:$G)</f>
        <v>0.97878767948001744</v>
      </c>
    </row>
    <row r="276" spans="1:8" x14ac:dyDescent="0.2">
      <c r="A276" s="4" t="s">
        <v>781</v>
      </c>
      <c r="B276" s="1">
        <v>16769252.300000001</v>
      </c>
      <c r="C276" s="5">
        <v>4.7926317804703237E-4</v>
      </c>
      <c r="F276" s="4" t="s">
        <v>394</v>
      </c>
      <c r="G276" s="1">
        <v>4772699.8</v>
      </c>
      <c r="H276" s="6">
        <f>SUM($G$2:G276)/SUM($G:$G)</f>
        <v>0.97903070611498433</v>
      </c>
    </row>
    <row r="277" spans="1:8" x14ac:dyDescent="0.2">
      <c r="A277" s="4" t="s">
        <v>421</v>
      </c>
      <c r="B277" s="1">
        <v>16715149.6</v>
      </c>
      <c r="C277" s="5">
        <v>4.777169295036238E-4</v>
      </c>
      <c r="F277" s="4" t="s">
        <v>181</v>
      </c>
      <c r="G277" s="1">
        <v>4700000</v>
      </c>
      <c r="H277" s="6">
        <f>SUM($G$2:G277)/SUM($G:$G)</f>
        <v>0.97927003086454101</v>
      </c>
    </row>
    <row r="278" spans="1:8" x14ac:dyDescent="0.2">
      <c r="A278" s="4" t="s">
        <v>1748</v>
      </c>
      <c r="B278" s="1">
        <v>16500000</v>
      </c>
      <c r="C278" s="5">
        <v>4.71567980271609E-4</v>
      </c>
      <c r="F278" s="4" t="s">
        <v>175</v>
      </c>
      <c r="G278" s="1">
        <v>4674327</v>
      </c>
      <c r="H278" s="6">
        <f>SUM($G$2:G278)/SUM($G:$G)</f>
        <v>0.97950804834084337</v>
      </c>
    </row>
    <row r="279" spans="1:8" x14ac:dyDescent="0.2">
      <c r="A279" s="4" t="s">
        <v>1371</v>
      </c>
      <c r="B279" s="1">
        <v>16500000</v>
      </c>
      <c r="C279" s="5">
        <v>4.71567980271609E-4</v>
      </c>
      <c r="F279" s="4" t="s">
        <v>264</v>
      </c>
      <c r="G279" s="1">
        <v>4647616.3</v>
      </c>
      <c r="H279" s="6">
        <f>SUM($G$2:G279)/SUM($G:$G)</f>
        <v>0.97974470570404193</v>
      </c>
    </row>
    <row r="280" spans="1:8" x14ac:dyDescent="0.2">
      <c r="A280" s="4" t="s">
        <v>1033</v>
      </c>
      <c r="B280" s="1">
        <v>16449551.9</v>
      </c>
      <c r="C280" s="5">
        <v>4.7012617974884902E-4</v>
      </c>
      <c r="F280" s="4" t="s">
        <v>427</v>
      </c>
      <c r="G280" s="1">
        <v>4606280.5999999996</v>
      </c>
      <c r="H280" s="6">
        <f>SUM($G$2:G280)/SUM($G:$G)</f>
        <v>0.9799792582468041</v>
      </c>
    </row>
    <row r="281" spans="1:8" x14ac:dyDescent="0.2">
      <c r="A281" s="4" t="s">
        <v>188</v>
      </c>
      <c r="B281" s="1">
        <v>16389681</v>
      </c>
      <c r="C281" s="5">
        <v>4.6841507675551304E-4</v>
      </c>
      <c r="F281" s="4" t="s">
        <v>570</v>
      </c>
      <c r="G281" s="1">
        <v>4600000</v>
      </c>
      <c r="H281" s="6">
        <f>SUM($G$2:G281)/SUM($G:$G)</f>
        <v>0.98021349098041288</v>
      </c>
    </row>
    <row r="282" spans="1:8" x14ac:dyDescent="0.2">
      <c r="A282" s="4" t="s">
        <v>415</v>
      </c>
      <c r="B282" s="1">
        <v>16260000</v>
      </c>
      <c r="C282" s="5">
        <v>4.6470880964947652E-4</v>
      </c>
      <c r="F282" s="4" t="s">
        <v>399</v>
      </c>
      <c r="G282" s="1">
        <v>4500000</v>
      </c>
      <c r="H282" s="6">
        <f>SUM($G$2:G282)/SUM($G:$G)</f>
        <v>0.98044263169807355</v>
      </c>
    </row>
    <row r="283" spans="1:8" x14ac:dyDescent="0.2">
      <c r="A283" s="4" t="s">
        <v>1554</v>
      </c>
      <c r="B283" s="1">
        <v>16220058</v>
      </c>
      <c r="C283" s="5">
        <v>4.6356727217868813E-4</v>
      </c>
      <c r="F283" s="4" t="s">
        <v>401</v>
      </c>
      <c r="G283" s="1">
        <v>4500000</v>
      </c>
      <c r="H283" s="6">
        <f>SUM($G$2:G283)/SUM($G:$G)</f>
        <v>0.98067177241573422</v>
      </c>
    </row>
    <row r="284" spans="1:8" x14ac:dyDescent="0.2">
      <c r="A284" s="4" t="s">
        <v>1734</v>
      </c>
      <c r="B284" s="1">
        <v>16109854</v>
      </c>
      <c r="C284" s="5">
        <v>4.6041765534851522E-4</v>
      </c>
      <c r="F284" s="4" t="s">
        <v>400</v>
      </c>
      <c r="G284" s="1">
        <v>4500000</v>
      </c>
      <c r="H284" s="6">
        <f>SUM($G$2:G284)/SUM($G:$G)</f>
        <v>0.98090091313339489</v>
      </c>
    </row>
    <row r="285" spans="1:8" x14ac:dyDescent="0.2">
      <c r="A285" s="4" t="s">
        <v>726</v>
      </c>
      <c r="B285" s="1">
        <v>16005739.4</v>
      </c>
      <c r="C285" s="5">
        <v>4.5744207282495246E-4</v>
      </c>
      <c r="F285" s="4" t="s">
        <v>497</v>
      </c>
      <c r="G285" s="1">
        <v>4466871.3</v>
      </c>
      <c r="H285" s="6">
        <f>SUM($G$2:G285)/SUM($G:$G)</f>
        <v>0.98112836693236816</v>
      </c>
    </row>
    <row r="286" spans="1:8" x14ac:dyDescent="0.2">
      <c r="A286" s="4" t="s">
        <v>471</v>
      </c>
      <c r="B286" s="1">
        <v>16000000</v>
      </c>
      <c r="C286" s="5">
        <v>4.5727804147549967E-4</v>
      </c>
      <c r="F286" s="4" t="s">
        <v>530</v>
      </c>
      <c r="G286" s="1">
        <v>4415000</v>
      </c>
      <c r="H286" s="6">
        <f>SUM($G$2:G286)/SUM($G:$G)</f>
        <v>0.98135317943647304</v>
      </c>
    </row>
    <row r="287" spans="1:8" x14ac:dyDescent="0.2">
      <c r="A287" s="4" t="s">
        <v>107</v>
      </c>
      <c r="B287" s="1">
        <v>15900000</v>
      </c>
      <c r="C287" s="5">
        <v>4.5442005371627777E-4</v>
      </c>
      <c r="F287" s="4" t="s">
        <v>68</v>
      </c>
      <c r="G287" s="1">
        <v>4381000</v>
      </c>
      <c r="H287" s="6">
        <f>SUM($G$2:G287)/SUM($G:$G)</f>
        <v>0.98157626065515557</v>
      </c>
    </row>
    <row r="288" spans="1:8" x14ac:dyDescent="0.2">
      <c r="A288" s="4" t="s">
        <v>857</v>
      </c>
      <c r="B288" s="1">
        <v>15898458.100000001</v>
      </c>
      <c r="C288" s="5">
        <v>4.5437598640301837E-4</v>
      </c>
      <c r="F288" s="4" t="s">
        <v>565</v>
      </c>
      <c r="G288" s="1">
        <v>4307241.5</v>
      </c>
      <c r="H288" s="6">
        <f>SUM($G$2:G288)/SUM($G:$G)</f>
        <v>0.9817955860792551</v>
      </c>
    </row>
    <row r="289" spans="1:8" x14ac:dyDescent="0.2">
      <c r="A289" s="4" t="s">
        <v>968</v>
      </c>
      <c r="B289" s="1">
        <v>15797285.199999999</v>
      </c>
      <c r="C289" s="5">
        <v>4.514844773053685E-4</v>
      </c>
      <c r="F289" s="4" t="s">
        <v>96</v>
      </c>
      <c r="G289" s="1">
        <v>4250902.4000000004</v>
      </c>
      <c r="H289" s="6">
        <f>SUM($G$2:G289)/SUM($G:$G)</f>
        <v>0.98201204270739773</v>
      </c>
    </row>
    <row r="290" spans="1:8" x14ac:dyDescent="0.2">
      <c r="A290" s="4" t="s">
        <v>501</v>
      </c>
      <c r="B290" s="1">
        <v>15687990.699999999</v>
      </c>
      <c r="C290" s="5">
        <v>4.4836085387386579E-4</v>
      </c>
      <c r="F290" s="4" t="s">
        <v>533</v>
      </c>
      <c r="G290" s="1">
        <v>4220873.2</v>
      </c>
      <c r="H290" s="6">
        <f>SUM($G$2:G290)/SUM($G:$G)</f>
        <v>0.98222697024388728</v>
      </c>
    </row>
    <row r="291" spans="1:8" x14ac:dyDescent="0.2">
      <c r="A291" s="4" t="s">
        <v>675</v>
      </c>
      <c r="B291" s="1">
        <v>15634408</v>
      </c>
      <c r="C291" s="5">
        <v>4.4682946686680524E-4</v>
      </c>
      <c r="F291" s="4" t="s">
        <v>601</v>
      </c>
      <c r="G291" s="1">
        <v>4190000</v>
      </c>
      <c r="H291" s="6">
        <f>SUM($G$2:G291)/SUM($G:$G)</f>
        <v>0.98244032571210904</v>
      </c>
    </row>
    <row r="292" spans="1:8" x14ac:dyDescent="0.2">
      <c r="A292" s="4" t="s">
        <v>534</v>
      </c>
      <c r="B292" s="1">
        <v>15421430.4</v>
      </c>
      <c r="C292" s="5">
        <v>4.407425931289207E-4</v>
      </c>
      <c r="F292" s="4" t="s">
        <v>387</v>
      </c>
      <c r="G292" s="1">
        <v>4135811.7</v>
      </c>
      <c r="H292" s="6">
        <f>SUM($G$2:G292)/SUM($G:$G)</f>
        <v>0.98265092190345293</v>
      </c>
    </row>
    <row r="293" spans="1:8" x14ac:dyDescent="0.2">
      <c r="A293" s="4" t="s">
        <v>859</v>
      </c>
      <c r="B293" s="1">
        <v>15344519</v>
      </c>
      <c r="C293" s="5">
        <v>4.3854447473147453E-4</v>
      </c>
      <c r="F293" s="4" t="s">
        <v>388</v>
      </c>
      <c r="G293" s="1">
        <v>4012500</v>
      </c>
      <c r="H293" s="6">
        <f>SUM($G$2:G293)/SUM($G:$G)</f>
        <v>0.98285523904336713</v>
      </c>
    </row>
    <row r="294" spans="1:8" x14ac:dyDescent="0.2">
      <c r="A294" s="4" t="s">
        <v>448</v>
      </c>
      <c r="B294" s="1">
        <v>15323190.699999899</v>
      </c>
      <c r="C294" s="5">
        <v>4.379349145282215E-4</v>
      </c>
      <c r="F294" s="4" t="s">
        <v>145</v>
      </c>
      <c r="G294" s="1">
        <v>4000000</v>
      </c>
      <c r="H294" s="6">
        <f>SUM($G$2:G294)/SUM($G:$G)</f>
        <v>0.98305891968128767</v>
      </c>
    </row>
    <row r="295" spans="1:8" x14ac:dyDescent="0.2">
      <c r="A295" s="4" t="s">
        <v>282</v>
      </c>
      <c r="B295" s="1">
        <v>15199318.5</v>
      </c>
      <c r="C295" s="5">
        <v>4.3439466221514557E-4</v>
      </c>
      <c r="F295" s="4" t="s">
        <v>335</v>
      </c>
      <c r="G295" s="1">
        <v>4000000</v>
      </c>
      <c r="H295" s="6">
        <f>SUM($G$2:G295)/SUM($G:$G)</f>
        <v>0.98326260031920831</v>
      </c>
    </row>
    <row r="296" spans="1:8" x14ac:dyDescent="0.2">
      <c r="A296" s="4" t="s">
        <v>213</v>
      </c>
      <c r="B296" s="1">
        <v>15061478</v>
      </c>
      <c r="C296" s="5">
        <v>4.3045519759789535E-4</v>
      </c>
      <c r="F296" s="4" t="s">
        <v>253</v>
      </c>
      <c r="G296" s="1">
        <v>3963710.1</v>
      </c>
      <c r="H296" s="6">
        <f>SUM($G$2:G296)/SUM($G:$G)</f>
        <v>0.98346443306963327</v>
      </c>
    </row>
    <row r="297" spans="1:8" x14ac:dyDescent="0.2">
      <c r="A297" s="4" t="s">
        <v>2559</v>
      </c>
      <c r="B297" s="1">
        <v>15000000</v>
      </c>
      <c r="C297" s="5">
        <v>4.286981638832809E-4</v>
      </c>
      <c r="F297" s="4" t="s">
        <v>604</v>
      </c>
      <c r="G297" s="1">
        <v>3928000</v>
      </c>
      <c r="H297" s="6">
        <f>SUM($G$2:G297)/SUM($G:$G)</f>
        <v>0.98366444745607129</v>
      </c>
    </row>
    <row r="298" spans="1:8" x14ac:dyDescent="0.2">
      <c r="A298" s="4" t="s">
        <v>1597</v>
      </c>
      <c r="B298" s="1">
        <v>15000000</v>
      </c>
      <c r="C298" s="5">
        <v>4.286981638832809E-4</v>
      </c>
      <c r="F298" s="4" t="s">
        <v>580</v>
      </c>
      <c r="G298" s="1">
        <v>3897820</v>
      </c>
      <c r="H298" s="6">
        <f>SUM($G$2:G298)/SUM($G:$G)</f>
        <v>0.98386292507209627</v>
      </c>
    </row>
    <row r="299" spans="1:8" x14ac:dyDescent="0.2">
      <c r="A299" s="4" t="s">
        <v>385</v>
      </c>
      <c r="B299" s="1">
        <v>15000000</v>
      </c>
      <c r="C299" s="5">
        <v>4.286981638832809E-4</v>
      </c>
      <c r="F299" s="4" t="s">
        <v>397</v>
      </c>
      <c r="G299" s="1">
        <v>3826227.4</v>
      </c>
      <c r="H299" s="6">
        <f>SUM($G$2:G299)/SUM($G:$G)</f>
        <v>0.98405775718151167</v>
      </c>
    </row>
    <row r="300" spans="1:8" x14ac:dyDescent="0.2">
      <c r="A300" s="4" t="s">
        <v>286</v>
      </c>
      <c r="B300" s="1">
        <v>14900000</v>
      </c>
      <c r="C300" s="5">
        <v>4.2584017612405905E-4</v>
      </c>
      <c r="F300" s="4" t="s">
        <v>161</v>
      </c>
      <c r="G300" s="1">
        <v>3655000</v>
      </c>
      <c r="H300" s="6">
        <f>SUM($G$2:G300)/SUM($G:$G)</f>
        <v>0.98424387036441163</v>
      </c>
    </row>
    <row r="301" spans="1:8" x14ac:dyDescent="0.2">
      <c r="A301" s="4" t="s">
        <v>710</v>
      </c>
      <c r="B301" s="1">
        <v>14681335.199999999</v>
      </c>
      <c r="C301" s="5">
        <v>4.1959076290633203E-4</v>
      </c>
      <c r="F301" s="4" t="s">
        <v>597</v>
      </c>
      <c r="G301" s="1">
        <v>3533445</v>
      </c>
      <c r="H301" s="6">
        <f>SUM($G$2:G301)/SUM($G:$G)</f>
        <v>0.98442379394732593</v>
      </c>
    </row>
    <row r="302" spans="1:8" x14ac:dyDescent="0.2">
      <c r="A302" s="4" t="s">
        <v>548</v>
      </c>
      <c r="B302" s="1">
        <v>14653707.399999999</v>
      </c>
      <c r="C302" s="5">
        <v>4.1880116376418971E-4</v>
      </c>
      <c r="F302" s="4" t="s">
        <v>545</v>
      </c>
      <c r="G302" s="1">
        <v>3500000</v>
      </c>
      <c r="H302" s="6">
        <f>SUM($G$2:G302)/SUM($G:$G)</f>
        <v>0.98460201450550644</v>
      </c>
    </row>
    <row r="303" spans="1:8" x14ac:dyDescent="0.2">
      <c r="A303" s="4" t="s">
        <v>717</v>
      </c>
      <c r="B303" s="1">
        <v>14557005.800000001</v>
      </c>
      <c r="C303" s="5">
        <v>4.1603744387321809E-4</v>
      </c>
      <c r="F303" s="4" t="s">
        <v>378</v>
      </c>
      <c r="G303" s="1">
        <v>3481926.5999999898</v>
      </c>
      <c r="H303" s="6">
        <f>SUM($G$2:G303)/SUM($G:$G)</f>
        <v>0.98477931476327663</v>
      </c>
    </row>
    <row r="304" spans="1:8" x14ac:dyDescent="0.2">
      <c r="A304" s="4" t="s">
        <v>287</v>
      </c>
      <c r="B304" s="1">
        <v>14500000</v>
      </c>
      <c r="C304" s="5">
        <v>4.1440822508717156E-4</v>
      </c>
      <c r="F304" s="4" t="s">
        <v>72</v>
      </c>
      <c r="G304" s="1">
        <v>3293758.9</v>
      </c>
      <c r="H304" s="6">
        <f>SUM($G$2:G304)/SUM($G:$G)</f>
        <v>0.98494703349175383</v>
      </c>
    </row>
    <row r="305" spans="1:8" x14ac:dyDescent="0.2">
      <c r="A305" s="4" t="s">
        <v>288</v>
      </c>
      <c r="B305" s="1">
        <v>14500000</v>
      </c>
      <c r="C305" s="5">
        <v>4.1440822508717156E-4</v>
      </c>
      <c r="F305" s="4" t="s">
        <v>512</v>
      </c>
      <c r="G305" s="1">
        <v>3283154.0999999898</v>
      </c>
      <c r="H305" s="6">
        <f>SUM($G$2:G305)/SUM($G:$G)</f>
        <v>0.9851142122221237</v>
      </c>
    </row>
    <row r="306" spans="1:8" x14ac:dyDescent="0.2">
      <c r="A306" s="4" t="s">
        <v>293</v>
      </c>
      <c r="B306" s="1">
        <v>14500000</v>
      </c>
      <c r="C306" s="5">
        <v>4.1440822508717156E-4</v>
      </c>
      <c r="F306" s="4" t="s">
        <v>234</v>
      </c>
      <c r="G306" s="1">
        <v>3268606.8</v>
      </c>
      <c r="H306" s="6">
        <f>SUM($G$2:G306)/SUM($G:$G)</f>
        <v>0.98528065020165756</v>
      </c>
    </row>
    <row r="307" spans="1:8" x14ac:dyDescent="0.2">
      <c r="A307" s="4" t="s">
        <v>1736</v>
      </c>
      <c r="B307" s="1">
        <v>14486586</v>
      </c>
      <c r="C307" s="5">
        <v>4.1402485460914954E-4</v>
      </c>
      <c r="F307" s="4" t="s">
        <v>407</v>
      </c>
      <c r="G307" s="1">
        <v>3249500</v>
      </c>
      <c r="H307" s="6">
        <f>SUM($G$2:G307)/SUM($G:$G)</f>
        <v>0.98544611525988823</v>
      </c>
    </row>
    <row r="308" spans="1:8" x14ac:dyDescent="0.2">
      <c r="A308" s="4" t="s">
        <v>724</v>
      </c>
      <c r="B308" s="1">
        <v>14411023.799999999</v>
      </c>
      <c r="C308" s="5">
        <v>4.1186529618255074E-4</v>
      </c>
      <c r="F308" s="4" t="s">
        <v>243</v>
      </c>
      <c r="G308" s="1">
        <v>3223348.5</v>
      </c>
      <c r="H308" s="6">
        <f>SUM($G$2:G308)/SUM($G:$G)</f>
        <v>0.98561024867956837</v>
      </c>
    </row>
    <row r="309" spans="1:8" x14ac:dyDescent="0.2">
      <c r="A309" s="4" t="s">
        <v>610</v>
      </c>
      <c r="B309" s="1">
        <v>14399847</v>
      </c>
      <c r="C309" s="5">
        <v>4.1154586460667806E-4</v>
      </c>
      <c r="F309" s="4" t="s">
        <v>500</v>
      </c>
      <c r="G309" s="1">
        <v>3219688</v>
      </c>
      <c r="H309" s="6">
        <f>SUM($G$2:G309)/SUM($G:$G)</f>
        <v>0.98577419570600466</v>
      </c>
    </row>
    <row r="310" spans="1:8" x14ac:dyDescent="0.2">
      <c r="A310" s="4" t="s">
        <v>721</v>
      </c>
      <c r="B310" s="1">
        <v>14332809.000000002</v>
      </c>
      <c r="C310" s="5">
        <v>4.0962992677265098E-4</v>
      </c>
      <c r="F310" s="4" t="s">
        <v>173</v>
      </c>
      <c r="G310" s="1">
        <v>3212166.4</v>
      </c>
      <c r="H310" s="6">
        <f>SUM($G$2:G310)/SUM($G:$G)</f>
        <v>0.98593775973136955</v>
      </c>
    </row>
    <row r="311" spans="1:8" x14ac:dyDescent="0.2">
      <c r="A311" s="4" t="s">
        <v>1156</v>
      </c>
      <c r="B311" s="1">
        <v>14250000</v>
      </c>
      <c r="C311" s="5">
        <v>4.072632556891169E-4</v>
      </c>
      <c r="F311" s="4" t="s">
        <v>543</v>
      </c>
      <c r="G311" s="1">
        <v>3166898.9</v>
      </c>
      <c r="H311" s="6">
        <f>SUM($G$2:G311)/SUM($G:$G)</f>
        <v>0.98609901872841521</v>
      </c>
    </row>
    <row r="312" spans="1:8" x14ac:dyDescent="0.2">
      <c r="A312" s="4" t="s">
        <v>91</v>
      </c>
      <c r="B312" s="1">
        <v>14199504.300000001</v>
      </c>
      <c r="C312" s="5">
        <v>4.0582009476418352E-4</v>
      </c>
      <c r="F312" s="4" t="s">
        <v>589</v>
      </c>
      <c r="G312" s="1">
        <v>3008722.6</v>
      </c>
      <c r="H312" s="6">
        <f>SUM($G$2:G312)/SUM($G:$G)</f>
        <v>0.98625222336303864</v>
      </c>
    </row>
    <row r="313" spans="1:8" x14ac:dyDescent="0.2">
      <c r="A313" s="4" t="s">
        <v>800</v>
      </c>
      <c r="B313" s="1">
        <v>14073959.9</v>
      </c>
      <c r="C313" s="5">
        <v>4.0223205117979492E-4</v>
      </c>
      <c r="F313" s="4" t="s">
        <v>166</v>
      </c>
      <c r="G313" s="1">
        <v>3000000</v>
      </c>
      <c r="H313" s="6">
        <f>SUM($G$2:G313)/SUM($G:$G)</f>
        <v>0.98640498384147901</v>
      </c>
    </row>
    <row r="314" spans="1:8" x14ac:dyDescent="0.2">
      <c r="A314" s="4" t="s">
        <v>703</v>
      </c>
      <c r="B314" s="1">
        <v>14019163.100000001</v>
      </c>
      <c r="C314" s="5">
        <v>4.0066596534334966E-4</v>
      </c>
      <c r="F314" s="4" t="s">
        <v>156</v>
      </c>
      <c r="G314" s="1">
        <v>3000000</v>
      </c>
      <c r="H314" s="6">
        <f>SUM($G$2:G314)/SUM($G:$G)</f>
        <v>0.98655774431991949</v>
      </c>
    </row>
    <row r="315" spans="1:8" x14ac:dyDescent="0.2">
      <c r="A315" s="4" t="s">
        <v>685</v>
      </c>
      <c r="B315" s="1">
        <v>13821992.50000038</v>
      </c>
      <c r="C315" s="5">
        <v>3.9503085373057619E-4</v>
      </c>
      <c r="F315" s="4" t="s">
        <v>118</v>
      </c>
      <c r="G315" s="1">
        <v>3000000</v>
      </c>
      <c r="H315" s="6">
        <f>SUM($G$2:G315)/SUM($G:$G)</f>
        <v>0.98671050479835998</v>
      </c>
    </row>
    <row r="316" spans="1:8" x14ac:dyDescent="0.2">
      <c r="A316" s="4" t="s">
        <v>1035</v>
      </c>
      <c r="B316" s="1">
        <v>13781177.100000001</v>
      </c>
      <c r="C316" s="5">
        <v>3.9386435459468793E-4</v>
      </c>
      <c r="F316" s="4" t="s">
        <v>327</v>
      </c>
      <c r="G316" s="1">
        <v>3000000</v>
      </c>
      <c r="H316" s="6">
        <f>SUM($G$2:G316)/SUM($G:$G)</f>
        <v>0.98686326527680046</v>
      </c>
    </row>
    <row r="317" spans="1:8" x14ac:dyDescent="0.2">
      <c r="A317" s="4" t="s">
        <v>2270</v>
      </c>
      <c r="B317" s="1">
        <v>13775000</v>
      </c>
      <c r="C317" s="5">
        <v>3.9368781383281298E-4</v>
      </c>
      <c r="F317" s="4" t="s">
        <v>329</v>
      </c>
      <c r="G317" s="1">
        <v>3000000</v>
      </c>
      <c r="H317" s="6">
        <f>SUM($G$2:G317)/SUM($G:$G)</f>
        <v>0.98701602575524083</v>
      </c>
    </row>
    <row r="318" spans="1:8" x14ac:dyDescent="0.2">
      <c r="A318" s="4" t="s">
        <v>2186</v>
      </c>
      <c r="B318" s="1">
        <v>13492500</v>
      </c>
      <c r="C318" s="5">
        <v>3.8561399841301121E-4</v>
      </c>
      <c r="F318" s="4" t="s">
        <v>330</v>
      </c>
      <c r="G318" s="1">
        <v>3000000</v>
      </c>
      <c r="H318" s="6">
        <f>SUM($G$2:G318)/SUM($G:$G)</f>
        <v>0.98716878623368132</v>
      </c>
    </row>
    <row r="319" spans="1:8" x14ac:dyDescent="0.2">
      <c r="A319" s="4" t="s">
        <v>2863</v>
      </c>
      <c r="B319" s="1">
        <v>13476758</v>
      </c>
      <c r="C319" s="5">
        <v>3.8516409397995448E-4</v>
      </c>
      <c r="F319" s="4" t="s">
        <v>325</v>
      </c>
      <c r="G319" s="1">
        <v>3000000</v>
      </c>
      <c r="H319" s="6">
        <f>SUM($G$2:G319)/SUM($G:$G)</f>
        <v>0.9873215467121218</v>
      </c>
    </row>
    <row r="320" spans="1:8" x14ac:dyDescent="0.2">
      <c r="A320" s="4" t="s">
        <v>608</v>
      </c>
      <c r="B320" s="1">
        <v>13355322.9</v>
      </c>
      <c r="C320" s="5">
        <v>3.8169349368655567E-4</v>
      </c>
      <c r="F320" s="4" t="s">
        <v>326</v>
      </c>
      <c r="G320" s="1">
        <v>3000000</v>
      </c>
      <c r="H320" s="6">
        <f>SUM($G$2:G320)/SUM($G:$G)</f>
        <v>0.98747430719056228</v>
      </c>
    </row>
    <row r="321" spans="1:8" x14ac:dyDescent="0.2">
      <c r="A321" s="4" t="s">
        <v>683</v>
      </c>
      <c r="B321" s="1">
        <v>13335663.699999999</v>
      </c>
      <c r="C321" s="5">
        <v>3.811316361569947E-4</v>
      </c>
      <c r="F321" s="4" t="s">
        <v>158</v>
      </c>
      <c r="G321" s="1">
        <v>3000000</v>
      </c>
      <c r="H321" s="6">
        <f>SUM($G$2:G321)/SUM($G:$G)</f>
        <v>0.98762706766900266</v>
      </c>
    </row>
    <row r="322" spans="1:8" x14ac:dyDescent="0.2">
      <c r="A322" s="4" t="s">
        <v>980</v>
      </c>
      <c r="B322" s="1">
        <v>13219187.699999999</v>
      </c>
      <c r="C322" s="5">
        <v>3.7780276633456341E-4</v>
      </c>
      <c r="F322" s="4" t="s">
        <v>171</v>
      </c>
      <c r="G322" s="1">
        <v>3000000</v>
      </c>
      <c r="H322" s="6">
        <f>SUM($G$2:G322)/SUM($G:$G)</f>
        <v>0.98777982814744314</v>
      </c>
    </row>
    <row r="323" spans="1:8" x14ac:dyDescent="0.2">
      <c r="A323" s="4" t="s">
        <v>1580</v>
      </c>
      <c r="B323" s="1">
        <v>13179172</v>
      </c>
      <c r="C323" s="5">
        <v>3.7665912252679649E-4</v>
      </c>
      <c r="F323" s="4" t="s">
        <v>155</v>
      </c>
      <c r="G323" s="1">
        <v>3000000</v>
      </c>
      <c r="H323" s="6">
        <f>SUM($G$2:G323)/SUM($G:$G)</f>
        <v>0.98793258862588362</v>
      </c>
    </row>
    <row r="324" spans="1:8" x14ac:dyDescent="0.2">
      <c r="A324" s="4" t="s">
        <v>736</v>
      </c>
      <c r="B324" s="1">
        <v>13143874</v>
      </c>
      <c r="C324" s="5">
        <v>3.7565031000754632E-4</v>
      </c>
      <c r="F324" s="4" t="s">
        <v>328</v>
      </c>
      <c r="G324" s="1">
        <v>3000000</v>
      </c>
      <c r="H324" s="6">
        <f>SUM($G$2:G324)/SUM($G:$G)</f>
        <v>0.988085349104324</v>
      </c>
    </row>
    <row r="325" spans="1:8" x14ac:dyDescent="0.2">
      <c r="A325" s="4" t="s">
        <v>2893</v>
      </c>
      <c r="B325" s="1">
        <v>13100000</v>
      </c>
      <c r="C325" s="5">
        <v>3.7439639645806536E-4</v>
      </c>
      <c r="F325" s="4" t="s">
        <v>331</v>
      </c>
      <c r="G325" s="1">
        <v>3000000</v>
      </c>
      <c r="H325" s="6">
        <f>SUM($G$2:G325)/SUM($G:$G)</f>
        <v>0.98823810958276448</v>
      </c>
    </row>
    <row r="326" spans="1:8" x14ac:dyDescent="0.2">
      <c r="A326" s="4" t="s">
        <v>342</v>
      </c>
      <c r="B326" s="1">
        <v>12970587.1</v>
      </c>
      <c r="C326" s="5">
        <v>3.7069779161721131E-4</v>
      </c>
      <c r="F326" s="4" t="s">
        <v>321</v>
      </c>
      <c r="G326" s="1">
        <v>3000000</v>
      </c>
      <c r="H326" s="6">
        <f>SUM($G$2:G326)/SUM($G:$G)</f>
        <v>0.98839087006120496</v>
      </c>
    </row>
    <row r="327" spans="1:8" x14ac:dyDescent="0.2">
      <c r="A327" s="4" t="s">
        <v>261</v>
      </c>
      <c r="B327" s="1">
        <v>12900000</v>
      </c>
      <c r="C327" s="5">
        <v>3.6868042093962157E-4</v>
      </c>
      <c r="F327" s="4" t="s">
        <v>165</v>
      </c>
      <c r="G327" s="1">
        <v>3000000</v>
      </c>
      <c r="H327" s="6">
        <f>SUM($G$2:G327)/SUM($G:$G)</f>
        <v>0.98854363053964545</v>
      </c>
    </row>
    <row r="328" spans="1:8" x14ac:dyDescent="0.2">
      <c r="A328" s="4" t="s">
        <v>942</v>
      </c>
      <c r="B328" s="1">
        <v>12876507.1</v>
      </c>
      <c r="C328" s="5">
        <v>3.6800899673333537E-4</v>
      </c>
      <c r="F328" s="4" t="s">
        <v>162</v>
      </c>
      <c r="G328" s="1">
        <v>3000000</v>
      </c>
      <c r="H328" s="6">
        <f>SUM($G$2:G328)/SUM($G:$G)</f>
        <v>0.98869639101808582</v>
      </c>
    </row>
    <row r="329" spans="1:8" x14ac:dyDescent="0.2">
      <c r="A329" s="4" t="s">
        <v>527</v>
      </c>
      <c r="B329" s="1">
        <v>12862116.6</v>
      </c>
      <c r="C329" s="5">
        <v>3.6759771800484454E-4</v>
      </c>
      <c r="F329" s="4" t="s">
        <v>157</v>
      </c>
      <c r="G329" s="1">
        <v>3000000</v>
      </c>
      <c r="H329" s="6">
        <f>SUM($G$2:G329)/SUM($G:$G)</f>
        <v>0.9888491514965263</v>
      </c>
    </row>
    <row r="330" spans="1:8" x14ac:dyDescent="0.2">
      <c r="A330" s="4" t="s">
        <v>343</v>
      </c>
      <c r="B330" s="1">
        <v>12825048</v>
      </c>
      <c r="C330" s="5">
        <v>3.6653830195432962E-4</v>
      </c>
      <c r="F330" s="4" t="s">
        <v>170</v>
      </c>
      <c r="G330" s="1">
        <v>3000000</v>
      </c>
      <c r="H330" s="6">
        <f>SUM($G$2:G330)/SUM($G:$G)</f>
        <v>0.98900191197496679</v>
      </c>
    </row>
    <row r="331" spans="1:8" x14ac:dyDescent="0.2">
      <c r="A331" s="4" t="s">
        <v>95</v>
      </c>
      <c r="B331" s="1">
        <v>12772732.9</v>
      </c>
      <c r="C331" s="5">
        <v>3.6504314280010492E-4</v>
      </c>
      <c r="F331" s="4" t="s">
        <v>163</v>
      </c>
      <c r="G331" s="1">
        <v>3000000</v>
      </c>
      <c r="H331" s="6">
        <f>SUM($G$2:G331)/SUM($G:$G)</f>
        <v>0.98915467245340716</v>
      </c>
    </row>
    <row r="332" spans="1:8" x14ac:dyDescent="0.2">
      <c r="A332" s="4" t="s">
        <v>2120</v>
      </c>
      <c r="B332" s="1">
        <v>12724625</v>
      </c>
      <c r="C332" s="5">
        <v>3.6366822490688623E-4</v>
      </c>
      <c r="F332" s="4" t="s">
        <v>151</v>
      </c>
      <c r="G332" s="1">
        <v>3000000</v>
      </c>
      <c r="H332" s="6">
        <f>SUM($G$2:G332)/SUM($G:$G)</f>
        <v>0.98930743293184764</v>
      </c>
    </row>
    <row r="333" spans="1:8" x14ac:dyDescent="0.2">
      <c r="A333" s="4" t="s">
        <v>2122</v>
      </c>
      <c r="B333" s="1">
        <v>12569068</v>
      </c>
      <c r="C333" s="5">
        <v>3.5922242488827346E-4</v>
      </c>
      <c r="F333" s="4" t="s">
        <v>168</v>
      </c>
      <c r="G333" s="1">
        <v>3000000</v>
      </c>
      <c r="H333" s="6">
        <f>SUM($G$2:G333)/SUM($G:$G)</f>
        <v>0.98946019341028812</v>
      </c>
    </row>
    <row r="334" spans="1:8" x14ac:dyDescent="0.2">
      <c r="A334" s="4" t="s">
        <v>957</v>
      </c>
      <c r="B334" s="1">
        <v>12566910.199999999</v>
      </c>
      <c r="C334" s="5">
        <v>3.5916075522840496E-4</v>
      </c>
      <c r="F334" s="4" t="s">
        <v>322</v>
      </c>
      <c r="G334" s="1">
        <v>3000000</v>
      </c>
      <c r="H334" s="6">
        <f>SUM($G$2:G334)/SUM($G:$G)</f>
        <v>0.98961295388872861</v>
      </c>
    </row>
    <row r="335" spans="1:8" x14ac:dyDescent="0.2">
      <c r="A335" s="4" t="s">
        <v>813</v>
      </c>
      <c r="B335" s="1">
        <v>12344184</v>
      </c>
      <c r="C335" s="5">
        <v>3.5279526769582497E-4</v>
      </c>
      <c r="F335" s="4" t="s">
        <v>159</v>
      </c>
      <c r="G335" s="1">
        <v>3000000</v>
      </c>
      <c r="H335" s="6">
        <f>SUM($G$2:G335)/SUM($G:$G)</f>
        <v>0.98976571436716898</v>
      </c>
    </row>
    <row r="336" spans="1:8" x14ac:dyDescent="0.2">
      <c r="A336" s="4" t="s">
        <v>575</v>
      </c>
      <c r="B336" s="1">
        <v>12287442.199999999</v>
      </c>
      <c r="C336" s="5">
        <v>3.511735939974628E-4</v>
      </c>
      <c r="F336" s="4" t="s">
        <v>323</v>
      </c>
      <c r="G336" s="1">
        <v>3000000</v>
      </c>
      <c r="H336" s="6">
        <f>SUM($G$2:G336)/SUM($G:$G)</f>
        <v>0.98991847484560946</v>
      </c>
    </row>
    <row r="337" spans="1:8" x14ac:dyDescent="0.2">
      <c r="A337" s="4" t="s">
        <v>351</v>
      </c>
      <c r="B337" s="1">
        <v>12256480</v>
      </c>
      <c r="C337" s="5">
        <v>3.5028869811147697E-4</v>
      </c>
      <c r="F337" s="4" t="s">
        <v>324</v>
      </c>
      <c r="G337" s="1">
        <v>3000000</v>
      </c>
      <c r="H337" s="6">
        <f>SUM($G$2:G337)/SUM($G:$G)</f>
        <v>0.99007123532404995</v>
      </c>
    </row>
    <row r="338" spans="1:8" x14ac:dyDescent="0.2">
      <c r="A338" s="4" t="s">
        <v>362</v>
      </c>
      <c r="B338" s="1">
        <v>12150000</v>
      </c>
      <c r="C338" s="5">
        <v>3.4724551274545757E-4</v>
      </c>
      <c r="F338" s="4" t="s">
        <v>164</v>
      </c>
      <c r="G338" s="1">
        <v>3000000</v>
      </c>
      <c r="H338" s="6">
        <f>SUM($G$2:G338)/SUM($G:$G)</f>
        <v>0.99022399580249032</v>
      </c>
    </row>
    <row r="339" spans="1:8" x14ac:dyDescent="0.2">
      <c r="A339" s="4" t="s">
        <v>140</v>
      </c>
      <c r="B339" s="1">
        <v>12067767.5</v>
      </c>
      <c r="C339" s="5">
        <v>3.4489531796135544E-4</v>
      </c>
      <c r="F339" s="4" t="s">
        <v>611</v>
      </c>
      <c r="G339" s="1">
        <v>3000000</v>
      </c>
      <c r="H339" s="6">
        <f>SUM($G$2:G339)/SUM($G:$G)</f>
        <v>0.9903767562809308</v>
      </c>
    </row>
    <row r="340" spans="1:8" x14ac:dyDescent="0.2">
      <c r="A340" s="4" t="s">
        <v>1735</v>
      </c>
      <c r="B340" s="1">
        <v>12000000</v>
      </c>
      <c r="C340" s="5">
        <v>3.4295853110662475E-4</v>
      </c>
      <c r="F340" s="4" t="s">
        <v>320</v>
      </c>
      <c r="G340" s="1">
        <v>3000000</v>
      </c>
      <c r="H340" s="6">
        <f>SUM($G$2:G340)/SUM($G:$G)</f>
        <v>0.99052951675937129</v>
      </c>
    </row>
    <row r="341" spans="1:8" x14ac:dyDescent="0.2">
      <c r="A341" s="4" t="s">
        <v>219</v>
      </c>
      <c r="B341" s="1">
        <v>12000000</v>
      </c>
      <c r="C341" s="5">
        <v>3.4295853110662475E-4</v>
      </c>
      <c r="F341" s="4" t="s">
        <v>154</v>
      </c>
      <c r="G341" s="1">
        <v>3000000</v>
      </c>
      <c r="H341" s="6">
        <f>SUM($G$2:G341)/SUM($G:$G)</f>
        <v>0.99068227723781177</v>
      </c>
    </row>
    <row r="342" spans="1:8" x14ac:dyDescent="0.2">
      <c r="A342" s="4" t="s">
        <v>46</v>
      </c>
      <c r="B342" s="1">
        <v>12000000</v>
      </c>
      <c r="C342" s="5">
        <v>3.4295853110662475E-4</v>
      </c>
      <c r="F342" s="4" t="s">
        <v>319</v>
      </c>
      <c r="G342" s="1">
        <v>3000000</v>
      </c>
      <c r="H342" s="6">
        <f>SUM($G$2:G342)/SUM($G:$G)</f>
        <v>0.99083503771625214</v>
      </c>
    </row>
    <row r="343" spans="1:8" x14ac:dyDescent="0.2">
      <c r="A343" s="4" t="s">
        <v>184</v>
      </c>
      <c r="B343" s="1">
        <v>12000000</v>
      </c>
      <c r="C343" s="5">
        <v>3.4295853110662475E-4</v>
      </c>
      <c r="F343" s="4" t="s">
        <v>556</v>
      </c>
      <c r="G343" s="1">
        <v>2913391</v>
      </c>
      <c r="H343" s="6">
        <f>SUM($G$2:G343)/SUM($G:$G)</f>
        <v>0.99098338805060027</v>
      </c>
    </row>
    <row r="344" spans="1:8" x14ac:dyDescent="0.2">
      <c r="A344" s="4" t="s">
        <v>2898</v>
      </c>
      <c r="B344" s="1">
        <v>11700000</v>
      </c>
      <c r="C344" s="5">
        <v>3.3438456782895911E-4</v>
      </c>
      <c r="F344" s="4" t="s">
        <v>357</v>
      </c>
      <c r="G344" s="1">
        <v>2881532.0999999898</v>
      </c>
      <c r="H344" s="6">
        <f>SUM($G$2:G344)/SUM($G:$G)</f>
        <v>0.99113011612467927</v>
      </c>
    </row>
    <row r="345" spans="1:8" x14ac:dyDescent="0.2">
      <c r="A345" s="4" t="s">
        <v>761</v>
      </c>
      <c r="B345" s="1">
        <v>11589352.9</v>
      </c>
      <c r="C345" s="5">
        <v>3.3122228725502515E-4</v>
      </c>
      <c r="F345" s="4" t="s">
        <v>129</v>
      </c>
      <c r="G345" s="1">
        <v>2841749.1</v>
      </c>
      <c r="H345" s="6">
        <f>SUM($G$2:G345)/SUM($G:$G)</f>
        <v>0.99127481844205378</v>
      </c>
    </row>
    <row r="346" spans="1:8" x14ac:dyDescent="0.2">
      <c r="A346" s="4" t="s">
        <v>1833</v>
      </c>
      <c r="B346" s="1">
        <v>11464796</v>
      </c>
      <c r="C346" s="5">
        <v>3.2766246629975889E-4</v>
      </c>
      <c r="F346" s="4" t="s">
        <v>521</v>
      </c>
      <c r="G346" s="1">
        <v>2821823.8</v>
      </c>
      <c r="H346" s="6">
        <f>SUM($G$2:G346)/SUM($G:$G)</f>
        <v>0.99141850615997462</v>
      </c>
    </row>
    <row r="347" spans="1:8" x14ac:dyDescent="0.2">
      <c r="A347" s="4" t="s">
        <v>601</v>
      </c>
      <c r="B347" s="1">
        <v>11427645.400000002</v>
      </c>
      <c r="C347" s="5">
        <v>3.2660070669928147E-4</v>
      </c>
      <c r="F347" s="4" t="s">
        <v>490</v>
      </c>
      <c r="G347" s="1">
        <v>2791861.6</v>
      </c>
      <c r="H347" s="6">
        <f>SUM($G$2:G347)/SUM($G:$G)</f>
        <v>0.99156066819789312</v>
      </c>
    </row>
    <row r="348" spans="1:8" x14ac:dyDescent="0.2">
      <c r="A348" s="4" t="s">
        <v>805</v>
      </c>
      <c r="B348" s="1">
        <v>11323873.000000002</v>
      </c>
      <c r="C348" s="5">
        <v>3.2363490420983071E-4</v>
      </c>
      <c r="F348" s="4" t="s">
        <v>366</v>
      </c>
      <c r="G348" s="1">
        <v>2755920</v>
      </c>
      <c r="H348" s="6">
        <f>SUM($G$2:G348)/SUM($G:$G)</f>
        <v>0.99170100008380768</v>
      </c>
    </row>
    <row r="349" spans="1:8" x14ac:dyDescent="0.2">
      <c r="A349" s="4" t="s">
        <v>2089</v>
      </c>
      <c r="B349" s="1">
        <v>11300757</v>
      </c>
      <c r="C349" s="5">
        <v>3.2297425175940896E-4</v>
      </c>
      <c r="F349" s="4" t="s">
        <v>254</v>
      </c>
      <c r="G349" s="1">
        <v>2752236.6</v>
      </c>
      <c r="H349" s="6">
        <f>SUM($G$2:G349)/SUM($G:$G)</f>
        <v>0.99184114441040661</v>
      </c>
    </row>
    <row r="350" spans="1:8" x14ac:dyDescent="0.2">
      <c r="A350" s="4" t="s">
        <v>754</v>
      </c>
      <c r="B350" s="1">
        <v>11261300.6</v>
      </c>
      <c r="C350" s="5">
        <v>3.2184659267717929E-4</v>
      </c>
      <c r="F350" s="4" t="s">
        <v>87</v>
      </c>
      <c r="G350" s="1">
        <v>2741940</v>
      </c>
      <c r="H350" s="6">
        <f>SUM($G$2:G350)/SUM($G:$G)</f>
        <v>0.99198076443249161</v>
      </c>
    </row>
    <row r="351" spans="1:8" x14ac:dyDescent="0.2">
      <c r="A351" s="4" t="s">
        <v>727</v>
      </c>
      <c r="B351" s="1">
        <v>11207359.800000001</v>
      </c>
      <c r="C351" s="5">
        <v>3.2030497121595297E-4</v>
      </c>
      <c r="F351" s="4" t="s">
        <v>64</v>
      </c>
      <c r="G351" s="1">
        <v>2689991.9</v>
      </c>
      <c r="H351" s="6">
        <f>SUM($G$2:G351)/SUM($G:$G)</f>
        <v>0.99211773924904001</v>
      </c>
    </row>
    <row r="352" spans="1:8" x14ac:dyDescent="0.2">
      <c r="A352" s="4" t="s">
        <v>2179</v>
      </c>
      <c r="B352" s="1">
        <v>11140475.699999999</v>
      </c>
      <c r="C352" s="5">
        <v>3.1839343182508723E-4</v>
      </c>
      <c r="F352" s="4" t="s">
        <v>316</v>
      </c>
      <c r="G352" s="1">
        <v>2681210.7000000002</v>
      </c>
      <c r="H352" s="6">
        <f>SUM($G$2:G352)/SUM($G:$G)</f>
        <v>0.99225426692548402</v>
      </c>
    </row>
    <row r="353" spans="1:8" x14ac:dyDescent="0.2">
      <c r="A353" s="4" t="s">
        <v>748</v>
      </c>
      <c r="B353" s="1">
        <v>10788089.6</v>
      </c>
      <c r="C353" s="5">
        <v>3.0832228022188788E-4</v>
      </c>
      <c r="F353" s="4" t="s">
        <v>522</v>
      </c>
      <c r="G353" s="1">
        <v>2676786.9</v>
      </c>
      <c r="H353" s="6">
        <f>SUM($G$2:G353)/SUM($G:$G)</f>
        <v>0.99239056934132641</v>
      </c>
    </row>
    <row r="354" spans="1:8" x14ac:dyDescent="0.2">
      <c r="A354" s="4" t="s">
        <v>688</v>
      </c>
      <c r="B354" s="1">
        <v>10691879.800000001</v>
      </c>
      <c r="C354" s="5">
        <v>3.0557261591471609E-4</v>
      </c>
      <c r="F354" s="4" t="s">
        <v>373</v>
      </c>
      <c r="G354" s="1">
        <v>2664491</v>
      </c>
      <c r="H354" s="6">
        <f>SUM($G$2:G354)/SUM($G:$G)</f>
        <v>0.99252624564797987</v>
      </c>
    </row>
    <row r="355" spans="1:8" x14ac:dyDescent="0.2">
      <c r="A355" s="4" t="s">
        <v>36</v>
      </c>
      <c r="B355" s="1">
        <v>10636000</v>
      </c>
      <c r="C355" s="5">
        <v>3.0397557807083838E-4</v>
      </c>
      <c r="F355" s="4" t="s">
        <v>599</v>
      </c>
      <c r="G355" s="1">
        <v>2655789.5</v>
      </c>
      <c r="H355" s="6">
        <f>SUM($G$2:G355)/SUM($G:$G)</f>
        <v>0.9926614788728656</v>
      </c>
    </row>
    <row r="356" spans="1:8" x14ac:dyDescent="0.2">
      <c r="A356" s="4" t="s">
        <v>936</v>
      </c>
      <c r="B356" s="1">
        <v>10623568.699999999</v>
      </c>
      <c r="C356" s="5">
        <v>3.0362029303852622E-4</v>
      </c>
      <c r="F356" s="4" t="s">
        <v>575</v>
      </c>
      <c r="G356" s="1">
        <v>2635938</v>
      </c>
      <c r="H356" s="6">
        <f>SUM($G$2:G356)/SUM($G:$G)</f>
        <v>0.99279570125620531</v>
      </c>
    </row>
    <row r="357" spans="1:8" x14ac:dyDescent="0.2">
      <c r="A357" s="4" t="s">
        <v>412</v>
      </c>
      <c r="B357" s="1">
        <v>10332630</v>
      </c>
      <c r="C357" s="5">
        <v>2.9530530060568698E-4</v>
      </c>
      <c r="F357" s="4" t="s">
        <v>555</v>
      </c>
      <c r="G357" s="1">
        <v>2595000</v>
      </c>
      <c r="H357" s="6">
        <f>SUM($G$2:G357)/SUM($G:$G)</f>
        <v>0.99292783907005633</v>
      </c>
    </row>
    <row r="358" spans="1:8" x14ac:dyDescent="0.2">
      <c r="A358" s="4" t="s">
        <v>756</v>
      </c>
      <c r="B358" s="1">
        <v>10306783.9</v>
      </c>
      <c r="C358" s="5">
        <v>2.9456662223145078E-4</v>
      </c>
      <c r="F358" s="4" t="s">
        <v>542</v>
      </c>
      <c r="G358" s="1">
        <v>2515937</v>
      </c>
      <c r="H358" s="6">
        <f>SUM($G$2:G358)/SUM($G:$G)</f>
        <v>0.99305595098333832</v>
      </c>
    </row>
    <row r="359" spans="1:8" x14ac:dyDescent="0.2">
      <c r="A359" s="4" t="s">
        <v>2882</v>
      </c>
      <c r="B359" s="1">
        <v>10279000</v>
      </c>
      <c r="C359" s="5">
        <v>2.937725617704163E-4</v>
      </c>
      <c r="F359" s="4" t="s">
        <v>562</v>
      </c>
      <c r="G359" s="1">
        <v>2502488</v>
      </c>
      <c r="H359" s="6">
        <f>SUM($G$2:G359)/SUM($G:$G)</f>
        <v>0.99318337807139556</v>
      </c>
    </row>
    <row r="360" spans="1:8" x14ac:dyDescent="0.2">
      <c r="A360" s="4" t="s">
        <v>383</v>
      </c>
      <c r="B360" s="1">
        <v>10248267.6</v>
      </c>
      <c r="C360" s="5">
        <v>2.9289423354030117E-4</v>
      </c>
      <c r="F360" s="4" t="s">
        <v>337</v>
      </c>
      <c r="G360" s="1">
        <v>2500000</v>
      </c>
      <c r="H360" s="6">
        <f>SUM($G$2:G360)/SUM($G:$G)</f>
        <v>0.99331067847009591</v>
      </c>
    </row>
    <row r="361" spans="1:8" x14ac:dyDescent="0.2">
      <c r="A361" s="4" t="s">
        <v>747</v>
      </c>
      <c r="B361" s="1">
        <v>10230720</v>
      </c>
      <c r="C361" s="5">
        <v>2.92392725280264E-4</v>
      </c>
      <c r="F361" s="4" t="s">
        <v>218</v>
      </c>
      <c r="G361" s="1">
        <v>2465582.7999999998</v>
      </c>
      <c r="H361" s="6">
        <f>SUM($G$2:G361)/SUM($G:$G)</f>
        <v>0.99343622633948336</v>
      </c>
    </row>
    <row r="362" spans="1:8" x14ac:dyDescent="0.2">
      <c r="A362" s="4" t="s">
        <v>948</v>
      </c>
      <c r="B362" s="1">
        <v>10191287.600000001</v>
      </c>
      <c r="C362" s="5">
        <v>2.9126575211509663E-4</v>
      </c>
      <c r="F362" s="4" t="s">
        <v>139</v>
      </c>
      <c r="G362" s="1">
        <v>2400000</v>
      </c>
      <c r="H362" s="6">
        <f>SUM($G$2:G362)/SUM($G:$G)</f>
        <v>0.99355843472223571</v>
      </c>
    </row>
    <row r="363" spans="1:8" x14ac:dyDescent="0.2">
      <c r="A363" s="4" t="s">
        <v>2531</v>
      </c>
      <c r="B363" s="1">
        <v>10160500</v>
      </c>
      <c r="C363" s="5">
        <v>2.9038584627573839E-4</v>
      </c>
      <c r="F363" s="4" t="s">
        <v>138</v>
      </c>
      <c r="G363" s="1">
        <v>2400000</v>
      </c>
      <c r="H363" s="6">
        <f>SUM($G$2:G363)/SUM($G:$G)</f>
        <v>0.99368064310498816</v>
      </c>
    </row>
    <row r="364" spans="1:8" x14ac:dyDescent="0.2">
      <c r="A364" s="4" t="s">
        <v>1864</v>
      </c>
      <c r="B364" s="1">
        <v>10079436.1</v>
      </c>
      <c r="C364" s="5">
        <v>2.8806904993659052E-4</v>
      </c>
      <c r="F364" s="4" t="s">
        <v>629</v>
      </c>
      <c r="G364" s="1">
        <v>2349520</v>
      </c>
      <c r="H364" s="6">
        <f>SUM($G$2:G364)/SUM($G:$G)</f>
        <v>0.99380028103808993</v>
      </c>
    </row>
    <row r="365" spans="1:8" x14ac:dyDescent="0.2">
      <c r="A365" s="4" t="s">
        <v>1838</v>
      </c>
      <c r="B365" s="1">
        <v>10005084.5</v>
      </c>
      <c r="C365" s="5">
        <v>2.8594409030980493E-4</v>
      </c>
      <c r="F365" s="4" t="s">
        <v>258</v>
      </c>
      <c r="G365" s="1">
        <v>2292171</v>
      </c>
      <c r="H365" s="6">
        <f>SUM($G$2:G365)/SUM($G:$G)</f>
        <v>0.99391699875096573</v>
      </c>
    </row>
    <row r="366" spans="1:8" x14ac:dyDescent="0.2">
      <c r="A366" s="4" t="s">
        <v>375</v>
      </c>
      <c r="B366" s="1">
        <v>10004574.6</v>
      </c>
      <c r="C366" s="5">
        <v>2.8592951743022061E-4</v>
      </c>
      <c r="F366" s="4" t="s">
        <v>53</v>
      </c>
      <c r="G366" s="1">
        <v>2250000</v>
      </c>
      <c r="H366" s="6">
        <f>SUM($G$2:G366)/SUM($G:$G)</f>
        <v>0.99403156910979606</v>
      </c>
    </row>
    <row r="367" spans="1:8" x14ac:dyDescent="0.2">
      <c r="A367" s="4" t="s">
        <v>2872</v>
      </c>
      <c r="B367" s="1">
        <v>10000000</v>
      </c>
      <c r="C367" s="5">
        <v>2.8579877592218726E-4</v>
      </c>
      <c r="F367" s="4" t="s">
        <v>538</v>
      </c>
      <c r="G367" s="1">
        <v>2032554</v>
      </c>
      <c r="H367" s="6">
        <f>SUM($G$2:G367)/SUM($G:$G)</f>
        <v>0.99413506708362809</v>
      </c>
    </row>
    <row r="368" spans="1:8" x14ac:dyDescent="0.2">
      <c r="A368" s="4" t="s">
        <v>2582</v>
      </c>
      <c r="B368" s="1">
        <v>10000000</v>
      </c>
      <c r="C368" s="5">
        <v>2.8579877592218726E-4</v>
      </c>
      <c r="F368" s="4" t="s">
        <v>370</v>
      </c>
      <c r="G368" s="1">
        <v>2018879</v>
      </c>
      <c r="H368" s="6">
        <f>SUM($G$2:G368)/SUM($G:$G)</f>
        <v>0.99423786872427922</v>
      </c>
    </row>
    <row r="369" spans="1:8" x14ac:dyDescent="0.2">
      <c r="A369" s="4" t="s">
        <v>1648</v>
      </c>
      <c r="B369" s="1">
        <v>10000000</v>
      </c>
      <c r="C369" s="5">
        <v>2.8579877592218726E-4</v>
      </c>
      <c r="F369" s="4" t="s">
        <v>463</v>
      </c>
      <c r="G369" s="1">
        <v>2014124.7</v>
      </c>
      <c r="H369" s="6">
        <f>SUM($G$2:G369)/SUM($G:$G)</f>
        <v>0.99434042827521607</v>
      </c>
    </row>
    <row r="370" spans="1:8" x14ac:dyDescent="0.2">
      <c r="A370" s="4" t="s">
        <v>1674</v>
      </c>
      <c r="B370" s="1">
        <v>10000000</v>
      </c>
      <c r="C370" s="5">
        <v>2.8579877592218726E-4</v>
      </c>
      <c r="F370" s="4" t="s">
        <v>102</v>
      </c>
      <c r="G370" s="1">
        <v>2000000</v>
      </c>
      <c r="H370" s="6">
        <f>SUM($G$2:G370)/SUM($G:$G)</f>
        <v>0.99444226859417639</v>
      </c>
    </row>
    <row r="371" spans="1:8" x14ac:dyDescent="0.2">
      <c r="A371" s="4" t="s">
        <v>1507</v>
      </c>
      <c r="B371" s="1">
        <v>10000000</v>
      </c>
      <c r="C371" s="5">
        <v>2.8579877592218726E-4</v>
      </c>
      <c r="F371" s="4" t="s">
        <v>228</v>
      </c>
      <c r="G371" s="1">
        <v>2000000</v>
      </c>
      <c r="H371" s="6">
        <f>SUM($G$2:G371)/SUM($G:$G)</f>
        <v>0.99454410891313672</v>
      </c>
    </row>
    <row r="372" spans="1:8" x14ac:dyDescent="0.2">
      <c r="A372" s="4" t="s">
        <v>294</v>
      </c>
      <c r="B372" s="1">
        <v>10000000</v>
      </c>
      <c r="C372" s="5">
        <v>2.8579877592218726E-4</v>
      </c>
      <c r="F372" s="4" t="s">
        <v>499</v>
      </c>
      <c r="G372" s="1">
        <v>1968750</v>
      </c>
      <c r="H372" s="6">
        <f>SUM($G$2:G372)/SUM($G:$G)</f>
        <v>0.99464435797711326</v>
      </c>
    </row>
    <row r="373" spans="1:8" x14ac:dyDescent="0.2">
      <c r="A373" s="4" t="s">
        <v>374</v>
      </c>
      <c r="B373" s="1">
        <v>10000000</v>
      </c>
      <c r="C373" s="5">
        <v>2.8579877592218726E-4</v>
      </c>
      <c r="F373" s="4" t="s">
        <v>225</v>
      </c>
      <c r="G373" s="1">
        <v>1954826</v>
      </c>
      <c r="H373" s="6">
        <f>SUM($G$2:G373)/SUM($G:$G)</f>
        <v>0.99474389802878926</v>
      </c>
    </row>
    <row r="374" spans="1:8" x14ac:dyDescent="0.2">
      <c r="A374" s="4" t="s">
        <v>283</v>
      </c>
      <c r="B374" s="1">
        <v>10000000</v>
      </c>
      <c r="C374" s="5">
        <v>2.8579877592218726E-4</v>
      </c>
      <c r="F374" s="4" t="s">
        <v>509</v>
      </c>
      <c r="G374" s="1">
        <v>1950399.3</v>
      </c>
      <c r="H374" s="6">
        <f>SUM($G$2:G374)/SUM($G:$G)</f>
        <v>0.99484321267219511</v>
      </c>
    </row>
    <row r="375" spans="1:8" x14ac:dyDescent="0.2">
      <c r="A375" s="4" t="s">
        <v>296</v>
      </c>
      <c r="B375" s="1">
        <v>10000000</v>
      </c>
      <c r="C375" s="5">
        <v>2.8579877592218726E-4</v>
      </c>
      <c r="F375" s="4" t="s">
        <v>455</v>
      </c>
      <c r="G375" s="1">
        <v>1921213.8</v>
      </c>
      <c r="H375" s="6">
        <f>SUM($G$2:G375)/SUM($G:$G)</f>
        <v>0.99494104118528659</v>
      </c>
    </row>
    <row r="376" spans="1:8" x14ac:dyDescent="0.2">
      <c r="A376" s="4" t="s">
        <v>312</v>
      </c>
      <c r="B376" s="1">
        <v>10000000</v>
      </c>
      <c r="C376" s="5">
        <v>2.8579877592218726E-4</v>
      </c>
      <c r="F376" s="4" t="s">
        <v>410</v>
      </c>
      <c r="G376" s="1">
        <v>1856016.7</v>
      </c>
      <c r="H376" s="6">
        <f>SUM($G$2:G376)/SUM($G:$G)</f>
        <v>0.99503554985164844</v>
      </c>
    </row>
    <row r="377" spans="1:8" x14ac:dyDescent="0.2">
      <c r="A377" s="4" t="s">
        <v>280</v>
      </c>
      <c r="B377" s="1">
        <v>10000000</v>
      </c>
      <c r="C377" s="5">
        <v>2.8579877592218726E-4</v>
      </c>
      <c r="F377" s="4" t="s">
        <v>355</v>
      </c>
      <c r="G377" s="1">
        <v>1771247.5</v>
      </c>
      <c r="H377" s="6">
        <f>SUM($G$2:G377)/SUM($G:$G)</f>
        <v>0.99512574205682724</v>
      </c>
    </row>
    <row r="378" spans="1:8" x14ac:dyDescent="0.2">
      <c r="A378" s="4" t="s">
        <v>291</v>
      </c>
      <c r="B378" s="1">
        <v>10000000</v>
      </c>
      <c r="C378" s="5">
        <v>2.8579877592218726E-4</v>
      </c>
      <c r="F378" s="4" t="s">
        <v>62</v>
      </c>
      <c r="G378" s="1">
        <v>1709000</v>
      </c>
      <c r="H378" s="6">
        <f>SUM($G$2:G378)/SUM($G:$G)</f>
        <v>0.9952127646093788</v>
      </c>
    </row>
    <row r="379" spans="1:8" x14ac:dyDescent="0.2">
      <c r="A379" s="4" t="s">
        <v>311</v>
      </c>
      <c r="B379" s="1">
        <v>10000000</v>
      </c>
      <c r="C379" s="5">
        <v>2.8579877592218726E-4</v>
      </c>
      <c r="F379" s="4" t="s">
        <v>462</v>
      </c>
      <c r="G379" s="1">
        <v>1687245.2</v>
      </c>
      <c r="H379" s="6">
        <f>SUM($G$2:G379)/SUM($G:$G)</f>
        <v>0.99529867940404504</v>
      </c>
    </row>
    <row r="380" spans="1:8" x14ac:dyDescent="0.2">
      <c r="A380" s="4" t="s">
        <v>290</v>
      </c>
      <c r="B380" s="1">
        <v>10000000</v>
      </c>
      <c r="C380" s="5">
        <v>2.8579877592218726E-4</v>
      </c>
      <c r="F380" s="4" t="s">
        <v>364</v>
      </c>
      <c r="G380" s="1">
        <v>1680845.5</v>
      </c>
      <c r="H380" s="6">
        <f>SUM($G$2:G380)/SUM($G:$G)</f>
        <v>0.99538426832496651</v>
      </c>
    </row>
    <row r="381" spans="1:8" x14ac:dyDescent="0.2">
      <c r="A381" s="4" t="s">
        <v>295</v>
      </c>
      <c r="B381" s="1">
        <v>10000000</v>
      </c>
      <c r="C381" s="5">
        <v>2.8579877592218726E-4</v>
      </c>
      <c r="F381" s="4" t="s">
        <v>176</v>
      </c>
      <c r="G381" s="1">
        <v>1667024</v>
      </c>
      <c r="H381" s="6">
        <f>SUM($G$2:G381)/SUM($G:$G)</f>
        <v>0.99546915345290377</v>
      </c>
    </row>
    <row r="382" spans="1:8" x14ac:dyDescent="0.2">
      <c r="A382" s="4" t="s">
        <v>289</v>
      </c>
      <c r="B382" s="1">
        <v>10000000</v>
      </c>
      <c r="C382" s="5">
        <v>2.8579877592218726E-4</v>
      </c>
      <c r="F382" s="4" t="s">
        <v>389</v>
      </c>
      <c r="G382" s="1">
        <v>1520000</v>
      </c>
      <c r="H382" s="6">
        <f>SUM($G$2:G382)/SUM($G:$G)</f>
        <v>0.99554655209531351</v>
      </c>
    </row>
    <row r="383" spans="1:8" x14ac:dyDescent="0.2">
      <c r="A383" s="4" t="s">
        <v>281</v>
      </c>
      <c r="B383" s="1">
        <v>10000000</v>
      </c>
      <c r="C383" s="5">
        <v>2.8579877592218726E-4</v>
      </c>
      <c r="F383" s="4" t="s">
        <v>496</v>
      </c>
      <c r="G383" s="1">
        <v>1500000</v>
      </c>
      <c r="H383" s="6">
        <f>SUM($G$2:G383)/SUM($G:$G)</f>
        <v>0.99562293233453381</v>
      </c>
    </row>
    <row r="384" spans="1:8" x14ac:dyDescent="0.2">
      <c r="A384" s="4" t="s">
        <v>292</v>
      </c>
      <c r="B384" s="1">
        <v>10000000</v>
      </c>
      <c r="C384" s="5">
        <v>2.8579877592218726E-4</v>
      </c>
      <c r="F384" s="4" t="s">
        <v>381</v>
      </c>
      <c r="G384" s="1">
        <v>1500000</v>
      </c>
      <c r="H384" s="6">
        <f>SUM($G$2:G384)/SUM($G:$G)</f>
        <v>0.99569931257375399</v>
      </c>
    </row>
    <row r="385" spans="1:8" x14ac:dyDescent="0.2">
      <c r="A385" s="4" t="s">
        <v>2275</v>
      </c>
      <c r="B385" s="1">
        <v>9979190</v>
      </c>
      <c r="C385" s="5">
        <v>2.8520402866949321E-4</v>
      </c>
      <c r="F385" s="4" t="s">
        <v>339</v>
      </c>
      <c r="G385" s="1">
        <v>1500000</v>
      </c>
      <c r="H385" s="6">
        <f>SUM($G$2:G385)/SUM($G:$G)</f>
        <v>0.99577569281297429</v>
      </c>
    </row>
    <row r="386" spans="1:8" x14ac:dyDescent="0.2">
      <c r="A386" s="4" t="s">
        <v>977</v>
      </c>
      <c r="B386" s="1">
        <v>9875690.0000000019</v>
      </c>
      <c r="C386" s="5">
        <v>2.8224601133869864E-4</v>
      </c>
      <c r="F386" s="4" t="s">
        <v>336</v>
      </c>
      <c r="G386" s="1">
        <v>1500000</v>
      </c>
      <c r="H386" s="6">
        <f>SUM($G$2:G386)/SUM($G:$G)</f>
        <v>0.99585207305219448</v>
      </c>
    </row>
    <row r="387" spans="1:8" x14ac:dyDescent="0.2">
      <c r="A387" s="4" t="s">
        <v>849</v>
      </c>
      <c r="B387" s="1">
        <v>9820536.0999999996</v>
      </c>
      <c r="C387" s="5">
        <v>2.8066971962796507E-4</v>
      </c>
      <c r="F387" s="4" t="s">
        <v>221</v>
      </c>
      <c r="G387" s="1">
        <v>1492340.9</v>
      </c>
      <c r="H387" s="6">
        <f>SUM($G$2:G387)/SUM($G:$G)</f>
        <v>0.99592806328882133</v>
      </c>
    </row>
    <row r="388" spans="1:8" x14ac:dyDescent="0.2">
      <c r="A388" s="4" t="s">
        <v>868</v>
      </c>
      <c r="B388" s="1">
        <v>9810350</v>
      </c>
      <c r="C388" s="5">
        <v>2.8037860213682301E-4</v>
      </c>
      <c r="F388" s="4" t="s">
        <v>93</v>
      </c>
      <c r="G388" s="1">
        <v>1482293.6</v>
      </c>
      <c r="H388" s="6">
        <f>SUM($G$2:G388)/SUM($G:$G)</f>
        <v>0.99600354191532958</v>
      </c>
    </row>
    <row r="389" spans="1:8" x14ac:dyDescent="0.2">
      <c r="A389" s="4" t="s">
        <v>1558</v>
      </c>
      <c r="B389" s="1">
        <v>9800000</v>
      </c>
      <c r="C389" s="5">
        <v>2.8008280040374352E-4</v>
      </c>
      <c r="F389" s="4" t="s">
        <v>51</v>
      </c>
      <c r="G389" s="1">
        <v>1480000</v>
      </c>
      <c r="H389" s="6">
        <f>SUM($G$2:G389)/SUM($G:$G)</f>
        <v>0.99607890375136021</v>
      </c>
    </row>
    <row r="390" spans="1:8" x14ac:dyDescent="0.2">
      <c r="A390" s="4" t="s">
        <v>607</v>
      </c>
      <c r="B390" s="1">
        <v>9800000</v>
      </c>
      <c r="C390" s="5">
        <v>2.8008280040374352E-4</v>
      </c>
      <c r="F390" s="4" t="s">
        <v>360</v>
      </c>
      <c r="G390" s="1">
        <v>1436387</v>
      </c>
      <c r="H390" s="6">
        <f>SUM($G$2:G390)/SUM($G:$G)</f>
        <v>0.99615204480647546</v>
      </c>
    </row>
    <row r="391" spans="1:8" x14ac:dyDescent="0.2">
      <c r="A391" s="4" t="s">
        <v>719</v>
      </c>
      <c r="B391" s="1">
        <v>9699956.8000000007</v>
      </c>
      <c r="C391" s="5">
        <v>2.7722357799380971E-4</v>
      </c>
      <c r="F391" s="4" t="s">
        <v>299</v>
      </c>
      <c r="G391" s="1">
        <v>1426436</v>
      </c>
      <c r="H391" s="6">
        <f>SUM($G$2:G391)/SUM($G:$G)</f>
        <v>0.99622467915508373</v>
      </c>
    </row>
    <row r="392" spans="1:8" x14ac:dyDescent="0.2">
      <c r="A392" s="4" t="s">
        <v>403</v>
      </c>
      <c r="B392" s="1">
        <v>9650670</v>
      </c>
      <c r="C392" s="5">
        <v>2.7581496728289754E-4</v>
      </c>
      <c r="F392" s="4" t="s">
        <v>224</v>
      </c>
      <c r="G392" s="1">
        <v>1414999.9</v>
      </c>
      <c r="H392" s="6">
        <f>SUM($G$2:G392)/SUM($G:$G)</f>
        <v>0.9962967311756562</v>
      </c>
    </row>
    <row r="393" spans="1:8" x14ac:dyDescent="0.2">
      <c r="A393" s="4" t="s">
        <v>153</v>
      </c>
      <c r="B393" s="1">
        <v>9445790</v>
      </c>
      <c r="C393" s="5">
        <v>2.6995952196180376E-4</v>
      </c>
      <c r="F393" s="4" t="s">
        <v>498</v>
      </c>
      <c r="G393" s="1">
        <v>1414875</v>
      </c>
      <c r="H393" s="6">
        <f>SUM($G$2:G393)/SUM($G:$G)</f>
        <v>0.99636877683630065</v>
      </c>
    </row>
    <row r="394" spans="1:8" x14ac:dyDescent="0.2">
      <c r="A394" s="4" t="s">
        <v>431</v>
      </c>
      <c r="B394" s="1">
        <v>9408000</v>
      </c>
      <c r="C394" s="5">
        <v>2.6887948838759379E-4</v>
      </c>
      <c r="F394" s="4" t="s">
        <v>528</v>
      </c>
      <c r="G394" s="1">
        <v>1400000</v>
      </c>
      <c r="H394" s="6">
        <f>SUM($G$2:G394)/SUM($G:$G)</f>
        <v>0.99644006505957283</v>
      </c>
    </row>
    <row r="395" spans="1:8" x14ac:dyDescent="0.2">
      <c r="A395" s="4" t="s">
        <v>706</v>
      </c>
      <c r="B395" s="1">
        <v>9401414.1000000015</v>
      </c>
      <c r="C395" s="5">
        <v>2.6869126417175922E-4</v>
      </c>
      <c r="F395" s="4" t="s">
        <v>78</v>
      </c>
      <c r="G395" s="1">
        <v>1399971.5</v>
      </c>
      <c r="H395" s="6">
        <f>SUM($G$2:G395)/SUM($G:$G)</f>
        <v>0.99651135183162054</v>
      </c>
    </row>
    <row r="396" spans="1:8" x14ac:dyDescent="0.2">
      <c r="A396" s="4" t="s">
        <v>871</v>
      </c>
      <c r="B396" s="1">
        <v>9352805.3999999985</v>
      </c>
      <c r="C396" s="5">
        <v>2.6730203347584229E-4</v>
      </c>
      <c r="F396" s="4" t="s">
        <v>615</v>
      </c>
      <c r="G396" s="1">
        <v>1366951</v>
      </c>
      <c r="H396" s="6">
        <f>SUM($G$2:G396)/SUM($G:$G)</f>
        <v>0.99658095719454209</v>
      </c>
    </row>
    <row r="397" spans="1:8" x14ac:dyDescent="0.2">
      <c r="A397" s="4" t="s">
        <v>874</v>
      </c>
      <c r="B397" s="1">
        <v>9327378.6999999993</v>
      </c>
      <c r="C397" s="5">
        <v>2.6657534150226821E-4</v>
      </c>
      <c r="F397" s="4" t="s">
        <v>553</v>
      </c>
      <c r="G397" s="1">
        <v>1350855</v>
      </c>
      <c r="H397" s="6">
        <f>SUM($G$2:G397)/SUM($G:$G)</f>
        <v>0.9966497429465766</v>
      </c>
    </row>
    <row r="398" spans="1:8" x14ac:dyDescent="0.2">
      <c r="A398" s="4" t="s">
        <v>889</v>
      </c>
      <c r="B398" s="1">
        <v>9267216</v>
      </c>
      <c r="C398" s="5">
        <v>2.6485589890065089E-4</v>
      </c>
      <c r="F398" s="4" t="s">
        <v>76</v>
      </c>
      <c r="G398" s="1">
        <v>1349339</v>
      </c>
      <c r="H398" s="6">
        <f>SUM($G$2:G398)/SUM($G:$G)</f>
        <v>0.99671845150364946</v>
      </c>
    </row>
    <row r="399" spans="1:8" x14ac:dyDescent="0.2">
      <c r="A399" s="4" t="s">
        <v>77</v>
      </c>
      <c r="B399" s="1">
        <v>9246882</v>
      </c>
      <c r="C399" s="5">
        <v>2.6427475566969072E-4</v>
      </c>
      <c r="F399" s="4" t="s">
        <v>220</v>
      </c>
      <c r="G399" s="1">
        <v>1338750</v>
      </c>
      <c r="H399" s="6">
        <f>SUM($G$2:G399)/SUM($G:$G)</f>
        <v>0.99678662086715342</v>
      </c>
    </row>
    <row r="400" spans="1:8" x14ac:dyDescent="0.2">
      <c r="A400" s="4" t="s">
        <v>2287</v>
      </c>
      <c r="B400" s="1">
        <v>9200000</v>
      </c>
      <c r="C400" s="5">
        <v>2.6293487384841229E-4</v>
      </c>
      <c r="F400" s="4" t="s">
        <v>347</v>
      </c>
      <c r="G400" s="1">
        <v>1280900</v>
      </c>
      <c r="H400" s="6">
        <f>SUM($G$2:G400)/SUM($G:$G)</f>
        <v>0.99685184449943165</v>
      </c>
    </row>
    <row r="401" spans="1:8" x14ac:dyDescent="0.2">
      <c r="A401" s="4" t="s">
        <v>797</v>
      </c>
      <c r="B401" s="1">
        <v>9127564</v>
      </c>
      <c r="C401" s="5">
        <v>2.6086466183514233E-4</v>
      </c>
      <c r="F401" s="4" t="s">
        <v>380</v>
      </c>
      <c r="G401" s="1">
        <v>1280000</v>
      </c>
      <c r="H401" s="6">
        <f>SUM($G$2:G401)/SUM($G:$G)</f>
        <v>0.99691702230356616</v>
      </c>
    </row>
    <row r="402" spans="1:8" x14ac:dyDescent="0.2">
      <c r="A402" s="4" t="s">
        <v>882</v>
      </c>
      <c r="B402" s="1">
        <v>9074197.9000000004</v>
      </c>
      <c r="C402" s="5">
        <v>2.5933946522956823E-4</v>
      </c>
      <c r="F402" s="4" t="s">
        <v>535</v>
      </c>
      <c r="G402" s="1">
        <v>1267789.399999999</v>
      </c>
      <c r="H402" s="6">
        <f>SUM($G$2:G402)/SUM($G:$G)</f>
        <v>0.99698157834200152</v>
      </c>
    </row>
    <row r="403" spans="1:8" x14ac:dyDescent="0.2">
      <c r="A403" s="4" t="s">
        <v>985</v>
      </c>
      <c r="B403" s="1">
        <v>9046858.6999999993</v>
      </c>
      <c r="C403" s="5">
        <v>2.5855811424009903E-4</v>
      </c>
      <c r="F403" s="4" t="s">
        <v>600</v>
      </c>
      <c r="G403" s="1">
        <v>1255418.8999999999</v>
      </c>
      <c r="H403" s="6">
        <f>SUM($G$2:G403)/SUM($G:$G)</f>
        <v>0.99704550447260398</v>
      </c>
    </row>
    <row r="404" spans="1:8" x14ac:dyDescent="0.2">
      <c r="A404" s="4" t="s">
        <v>779</v>
      </c>
      <c r="B404" s="1">
        <v>9041304.5</v>
      </c>
      <c r="C404" s="5">
        <v>2.5839937588397637E-4</v>
      </c>
      <c r="F404" s="4" t="s">
        <v>590</v>
      </c>
      <c r="G404" s="1">
        <v>1221265.1000000001</v>
      </c>
      <c r="H404" s="6">
        <f>SUM($G$2:G404)/SUM($G:$G)</f>
        <v>0.99710769148626344</v>
      </c>
    </row>
    <row r="405" spans="1:8" x14ac:dyDescent="0.2">
      <c r="A405" s="4" t="s">
        <v>768</v>
      </c>
      <c r="B405" s="1">
        <v>9027882.6999999993</v>
      </c>
      <c r="C405" s="5">
        <v>2.5801578248290909E-4</v>
      </c>
      <c r="F405" s="4" t="s">
        <v>569</v>
      </c>
      <c r="G405" s="1">
        <v>1210308.7</v>
      </c>
      <c r="H405" s="6">
        <f>SUM($G$2:G405)/SUM($G:$G)</f>
        <v>0.99716932059828767</v>
      </c>
    </row>
    <row r="406" spans="1:8" x14ac:dyDescent="0.2">
      <c r="A406" s="4" t="s">
        <v>803</v>
      </c>
      <c r="B406" s="1">
        <v>9007089.4000000004</v>
      </c>
      <c r="C406" s="5">
        <v>2.5742151251417083E-4</v>
      </c>
      <c r="F406" s="4" t="s">
        <v>493</v>
      </c>
      <c r="G406" s="1">
        <v>1169226.1000000001</v>
      </c>
      <c r="H406" s="6">
        <f>SUM($G$2:G406)/SUM($G:$G)</f>
        <v>0.99722885777776793</v>
      </c>
    </row>
    <row r="407" spans="1:8" x14ac:dyDescent="0.2">
      <c r="A407" s="4" t="s">
        <v>2648</v>
      </c>
      <c r="B407" s="1">
        <v>9000000</v>
      </c>
      <c r="C407" s="5">
        <v>2.5721889832996855E-4</v>
      </c>
      <c r="F407" s="4" t="s">
        <v>392</v>
      </c>
      <c r="G407" s="1">
        <v>1167992.6000000001</v>
      </c>
      <c r="H407" s="6">
        <f>SUM($G$2:G407)/SUM($G:$G)</f>
        <v>0.99728833214723156</v>
      </c>
    </row>
    <row r="408" spans="1:8" x14ac:dyDescent="0.2">
      <c r="A408" s="4" t="s">
        <v>1749</v>
      </c>
      <c r="B408" s="1">
        <v>8999660</v>
      </c>
      <c r="C408" s="5">
        <v>2.5720918117158722E-4</v>
      </c>
      <c r="F408" s="4" t="s">
        <v>94</v>
      </c>
      <c r="G408" s="1">
        <v>1167231.1000000001</v>
      </c>
      <c r="H408" s="6">
        <f>SUM($G$2:G408)/SUM($G:$G)</f>
        <v>0.99734776774099365</v>
      </c>
    </row>
    <row r="409" spans="1:8" x14ac:dyDescent="0.2">
      <c r="A409" s="4" t="s">
        <v>11</v>
      </c>
      <c r="B409" s="1">
        <v>8991521.9000000004</v>
      </c>
      <c r="C409" s="5">
        <v>2.5697659526975397E-4</v>
      </c>
      <c r="F409" s="4" t="s">
        <v>257</v>
      </c>
      <c r="G409" s="1">
        <v>1150000</v>
      </c>
      <c r="H409" s="6">
        <f>SUM($G$2:G409)/SUM($G:$G)</f>
        <v>0.99740632592439582</v>
      </c>
    </row>
    <row r="410" spans="1:8" x14ac:dyDescent="0.2">
      <c r="A410" s="4" t="s">
        <v>1473</v>
      </c>
      <c r="B410" s="1">
        <v>8983301.3000000007</v>
      </c>
      <c r="C410" s="5">
        <v>2.5674165152801942E-4</v>
      </c>
      <c r="F410" s="4" t="s">
        <v>441</v>
      </c>
      <c r="G410" s="1">
        <v>1135649</v>
      </c>
      <c r="H410" s="6">
        <f>SUM($G$2:G410)/SUM($G:$G)</f>
        <v>0.99746415335258931</v>
      </c>
    </row>
    <row r="411" spans="1:8" x14ac:dyDescent="0.2">
      <c r="A411" s="4" t="s">
        <v>317</v>
      </c>
      <c r="B411" s="1">
        <v>8975692</v>
      </c>
      <c r="C411" s="5">
        <v>2.5652417866545689E-4</v>
      </c>
      <c r="F411" s="4" t="s">
        <v>396</v>
      </c>
      <c r="G411" s="1">
        <v>1127266</v>
      </c>
      <c r="H411" s="6">
        <f>SUM($G$2:G411)/SUM($G:$G)</f>
        <v>0.99752155391708586</v>
      </c>
    </row>
    <row r="412" spans="1:8" x14ac:dyDescent="0.2">
      <c r="A412" s="4" t="s">
        <v>782</v>
      </c>
      <c r="B412" s="1">
        <v>8917107.3000000007</v>
      </c>
      <c r="C412" s="5">
        <v>2.5484983511068007E-4</v>
      </c>
      <c r="F412" s="4" t="s">
        <v>192</v>
      </c>
      <c r="G412" s="1">
        <v>1104062.5</v>
      </c>
      <c r="H412" s="6">
        <f>SUM($G$2:G412)/SUM($G:$G)</f>
        <v>0.99757777295566186</v>
      </c>
    </row>
    <row r="413" spans="1:8" x14ac:dyDescent="0.2">
      <c r="A413" s="4" t="s">
        <v>723</v>
      </c>
      <c r="B413" s="1">
        <v>8729797.6000000015</v>
      </c>
      <c r="C413" s="5">
        <v>2.4949654681284488E-4</v>
      </c>
      <c r="F413" s="4" t="s">
        <v>501</v>
      </c>
      <c r="G413" s="1">
        <v>1097540</v>
      </c>
      <c r="H413" s="6">
        <f>SUM($G$2:G413)/SUM($G:$G)</f>
        <v>0.99763365986749775</v>
      </c>
    </row>
    <row r="414" spans="1:8" x14ac:dyDescent="0.2">
      <c r="A414" s="4" t="s">
        <v>2516</v>
      </c>
      <c r="B414" s="1">
        <v>8706353</v>
      </c>
      <c r="C414" s="5">
        <v>2.4882650301464633E-4</v>
      </c>
      <c r="F414" s="4" t="s">
        <v>572</v>
      </c>
      <c r="G414" s="1">
        <v>1086099</v>
      </c>
      <c r="H414" s="6">
        <f>SUM($G$2:G414)/SUM($G:$G)</f>
        <v>0.99768896420178899</v>
      </c>
    </row>
    <row r="415" spans="1:8" x14ac:dyDescent="0.2">
      <c r="A415" s="4" t="s">
        <v>2518</v>
      </c>
      <c r="B415" s="1">
        <v>8706353</v>
      </c>
      <c r="C415" s="5">
        <v>2.4882650301464633E-4</v>
      </c>
      <c r="F415" s="4" t="s">
        <v>346</v>
      </c>
      <c r="G415" s="1">
        <v>1075200</v>
      </c>
      <c r="H415" s="6">
        <f>SUM($G$2:G415)/SUM($G:$G)</f>
        <v>0.99774371355726199</v>
      </c>
    </row>
    <row r="416" spans="1:8" x14ac:dyDescent="0.2">
      <c r="A416" s="4" t="s">
        <v>603</v>
      </c>
      <c r="B416" s="1">
        <v>8658607</v>
      </c>
      <c r="C416" s="5">
        <v>2.4746192817912821E-4</v>
      </c>
      <c r="F416" s="4" t="s">
        <v>464</v>
      </c>
      <c r="G416" s="1">
        <v>1072805.2</v>
      </c>
      <c r="H416" s="6">
        <f>SUM($G$2:G416)/SUM($G:$G)</f>
        <v>0.99779834096913722</v>
      </c>
    </row>
    <row r="417" spans="1:8" x14ac:dyDescent="0.2">
      <c r="A417" s="4" t="s">
        <v>126</v>
      </c>
      <c r="B417" s="1">
        <v>8609862.7999999896</v>
      </c>
      <c r="C417" s="5">
        <v>2.4606882490979732E-4</v>
      </c>
      <c r="F417" s="4" t="s">
        <v>75</v>
      </c>
      <c r="G417" s="1">
        <v>1070000</v>
      </c>
      <c r="H417" s="6">
        <f>SUM($G$2:G417)/SUM($G:$G)</f>
        <v>0.99785282553978094</v>
      </c>
    </row>
    <row r="418" spans="1:8" x14ac:dyDescent="0.2">
      <c r="A418" s="4" t="s">
        <v>828</v>
      </c>
      <c r="B418" s="1">
        <v>8597820.8000000007</v>
      </c>
      <c r="C418" s="5">
        <v>2.4572466602383212E-4</v>
      </c>
      <c r="F418" s="4" t="s">
        <v>444</v>
      </c>
      <c r="G418" s="1">
        <v>1064736.8</v>
      </c>
      <c r="H418" s="6">
        <f>SUM($G$2:G418)/SUM($G:$G)</f>
        <v>0.9979070421074413</v>
      </c>
    </row>
    <row r="419" spans="1:8" x14ac:dyDescent="0.2">
      <c r="A419" s="4" t="s">
        <v>223</v>
      </c>
      <c r="B419" s="1">
        <v>8544615</v>
      </c>
      <c r="C419" s="5">
        <v>2.4420405077263602E-4</v>
      </c>
      <c r="F419" s="4" t="s">
        <v>214</v>
      </c>
      <c r="G419" s="1">
        <v>1010986.5</v>
      </c>
      <c r="H419" s="6">
        <f>SUM($G$2:G419)/SUM($G:$G)</f>
        <v>0.99795852170125365</v>
      </c>
    </row>
    <row r="420" spans="1:8" x14ac:dyDescent="0.2">
      <c r="A420" s="4" t="s">
        <v>864</v>
      </c>
      <c r="B420" s="1">
        <v>8474214.6999999993</v>
      </c>
      <c r="C420" s="5">
        <v>2.4219201881618054E-4</v>
      </c>
      <c r="F420" s="4" t="s">
        <v>561</v>
      </c>
      <c r="G420" s="1">
        <v>1005297.4</v>
      </c>
      <c r="H420" s="6">
        <f>SUM($G$2:G420)/SUM($G:$G)</f>
        <v>0.9980097116051867</v>
      </c>
    </row>
    <row r="421" spans="1:8" x14ac:dyDescent="0.2">
      <c r="A421" s="4" t="s">
        <v>821</v>
      </c>
      <c r="B421" s="1">
        <v>8355772.4000000004</v>
      </c>
      <c r="C421" s="5">
        <v>2.3880695238043972E-4</v>
      </c>
      <c r="F421" s="4" t="s">
        <v>58</v>
      </c>
      <c r="G421" s="1">
        <v>1000000</v>
      </c>
      <c r="H421" s="6">
        <f>SUM($G$2:G421)/SUM($G:$G)</f>
        <v>0.99806063176466686</v>
      </c>
    </row>
    <row r="422" spans="1:8" x14ac:dyDescent="0.2">
      <c r="A422" s="4" t="s">
        <v>1378</v>
      </c>
      <c r="B422" s="1">
        <v>8341009.9000000004</v>
      </c>
      <c r="C422" s="5">
        <v>2.3838504193748457E-4</v>
      </c>
      <c r="F422" s="4" t="s">
        <v>434</v>
      </c>
      <c r="G422" s="1">
        <v>997140</v>
      </c>
      <c r="H422" s="6">
        <f>SUM($G$2:G422)/SUM($G:$G)</f>
        <v>0.99811140629249084</v>
      </c>
    </row>
    <row r="423" spans="1:8" x14ac:dyDescent="0.2">
      <c r="A423" s="4" t="s">
        <v>229</v>
      </c>
      <c r="B423" s="1">
        <v>8300000</v>
      </c>
      <c r="C423" s="5">
        <v>2.3721298401541545E-4</v>
      </c>
      <c r="F423" s="4" t="s">
        <v>134</v>
      </c>
      <c r="G423" s="1">
        <v>958285.7</v>
      </c>
      <c r="H423" s="6">
        <f>SUM($G$2:G423)/SUM($G:$G)</f>
        <v>0.99816020235316238</v>
      </c>
    </row>
    <row r="424" spans="1:8" x14ac:dyDescent="0.2">
      <c r="A424" s="4" t="s">
        <v>999</v>
      </c>
      <c r="B424" s="1">
        <v>8265771.6999999993</v>
      </c>
      <c r="C424" s="5">
        <v>2.3623474339122568E-4</v>
      </c>
      <c r="F424" s="4" t="s">
        <v>446</v>
      </c>
      <c r="G424" s="1">
        <v>934715.8</v>
      </c>
      <c r="H424" s="6">
        <f>SUM($G$2:G424)/SUM($G:$G)</f>
        <v>0.998207798230767</v>
      </c>
    </row>
    <row r="425" spans="1:8" x14ac:dyDescent="0.2">
      <c r="A425" s="4" t="s">
        <v>983</v>
      </c>
      <c r="B425" s="1">
        <v>8137165.1999999993</v>
      </c>
      <c r="C425" s="5">
        <v>2.3255918536366199E-4</v>
      </c>
      <c r="F425" s="4" t="s">
        <v>217</v>
      </c>
      <c r="G425" s="1">
        <v>900000</v>
      </c>
      <c r="H425" s="6">
        <f>SUM($G$2:G425)/SUM($G:$G)</f>
        <v>0.99825362637429915</v>
      </c>
    </row>
    <row r="426" spans="1:8" x14ac:dyDescent="0.2">
      <c r="A426" s="4" t="s">
        <v>1090</v>
      </c>
      <c r="B426" s="1">
        <v>8028922.2000000002</v>
      </c>
      <c r="C426" s="5">
        <v>2.2946561367344749E-4</v>
      </c>
      <c r="F426" s="4" t="s">
        <v>13</v>
      </c>
      <c r="G426" s="1">
        <v>900000</v>
      </c>
      <c r="H426" s="6">
        <f>SUM($G$2:G426)/SUM($G:$G)</f>
        <v>0.99829945451783131</v>
      </c>
    </row>
    <row r="427" spans="1:8" x14ac:dyDescent="0.2">
      <c r="A427" s="4" t="s">
        <v>454</v>
      </c>
      <c r="B427" s="1">
        <v>8028000</v>
      </c>
      <c r="C427" s="5">
        <v>2.2943925731033196E-4</v>
      </c>
      <c r="F427" s="4" t="s">
        <v>20</v>
      </c>
      <c r="G427" s="1">
        <v>892475</v>
      </c>
      <c r="H427" s="6">
        <f>SUM($G$2:G427)/SUM($G:$G)</f>
        <v>0.99834489948716332</v>
      </c>
    </row>
    <row r="428" spans="1:8" x14ac:dyDescent="0.2">
      <c r="A428" s="4" t="s">
        <v>2873</v>
      </c>
      <c r="B428" s="1">
        <v>8000000</v>
      </c>
      <c r="C428" s="5">
        <v>2.2863902073774983E-4</v>
      </c>
      <c r="F428" s="4" t="s">
        <v>215</v>
      </c>
      <c r="G428" s="1">
        <v>884242.7</v>
      </c>
      <c r="H428" s="6">
        <f>SUM($G$2:G428)/SUM($G:$G)</f>
        <v>0.99838992526646653</v>
      </c>
    </row>
    <row r="429" spans="1:8" x14ac:dyDescent="0.2">
      <c r="A429" s="4" t="s">
        <v>318</v>
      </c>
      <c r="B429" s="1">
        <v>8000000</v>
      </c>
      <c r="C429" s="5">
        <v>2.2863902073774983E-4</v>
      </c>
      <c r="F429" s="4" t="s">
        <v>424</v>
      </c>
      <c r="G429" s="1">
        <v>847794</v>
      </c>
      <c r="H429" s="6">
        <f>SUM($G$2:G429)/SUM($G:$G)</f>
        <v>0.99843309507215283</v>
      </c>
    </row>
    <row r="430" spans="1:8" x14ac:dyDescent="0.2">
      <c r="A430" s="4" t="s">
        <v>131</v>
      </c>
      <c r="B430" s="1">
        <v>8000000</v>
      </c>
      <c r="C430" s="5">
        <v>2.2863902073774983E-4</v>
      </c>
      <c r="F430" s="4" t="s">
        <v>503</v>
      </c>
      <c r="G430" s="1">
        <v>819348.6</v>
      </c>
      <c r="H430" s="6">
        <f>SUM($G$2:G430)/SUM($G:$G)</f>
        <v>0.99847481643353464</v>
      </c>
    </row>
    <row r="431" spans="1:8" x14ac:dyDescent="0.2">
      <c r="A431" s="4" t="s">
        <v>354</v>
      </c>
      <c r="B431" s="1">
        <v>7955732.6999999993</v>
      </c>
      <c r="C431" s="5">
        <v>2.2737386672241178E-4</v>
      </c>
      <c r="F431" s="4" t="s">
        <v>507</v>
      </c>
      <c r="G431" s="1">
        <v>799999.9</v>
      </c>
      <c r="H431" s="6">
        <f>SUM($G$2:G431)/SUM($G:$G)</f>
        <v>0.99851555255602675</v>
      </c>
    </row>
    <row r="432" spans="1:8" x14ac:dyDescent="0.2">
      <c r="A432" s="4" t="s">
        <v>438</v>
      </c>
      <c r="B432" s="1">
        <v>7906800</v>
      </c>
      <c r="C432" s="5">
        <v>2.2597537614615503E-4</v>
      </c>
      <c r="F432" s="4" t="s">
        <v>586</v>
      </c>
      <c r="G432" s="1">
        <v>795394.9</v>
      </c>
      <c r="H432" s="6">
        <f>SUM($G$2:G432)/SUM($G:$G)</f>
        <v>0.99855605419118454</v>
      </c>
    </row>
    <row r="433" spans="1:8" x14ac:dyDescent="0.2">
      <c r="A433" s="4" t="s">
        <v>622</v>
      </c>
      <c r="B433" s="1">
        <v>7800000</v>
      </c>
      <c r="C433" s="5">
        <v>2.2292304521930609E-4</v>
      </c>
      <c r="F433" s="4" t="s">
        <v>382</v>
      </c>
      <c r="G433" s="1">
        <v>782100</v>
      </c>
      <c r="H433" s="6">
        <f>SUM($G$2:G433)/SUM($G:$G)</f>
        <v>0.99859587884791401</v>
      </c>
    </row>
    <row r="434" spans="1:8" x14ac:dyDescent="0.2">
      <c r="A434" s="4" t="s">
        <v>350</v>
      </c>
      <c r="B434" s="1">
        <v>7791624</v>
      </c>
      <c r="C434" s="5">
        <v>2.2268366016459367E-4</v>
      </c>
      <c r="F434" s="4" t="s">
        <v>595</v>
      </c>
      <c r="G434" s="1">
        <v>747000</v>
      </c>
      <c r="H434" s="6">
        <f>SUM($G$2:G434)/SUM($G:$G)</f>
        <v>0.99863391620704567</v>
      </c>
    </row>
    <row r="435" spans="1:8" x14ac:dyDescent="0.2">
      <c r="A435" s="4" t="s">
        <v>468</v>
      </c>
      <c r="B435" s="1">
        <v>7761889.0999999996</v>
      </c>
      <c r="C435" s="5">
        <v>2.2183384036237677E-4</v>
      </c>
      <c r="F435" s="4" t="s">
        <v>577</v>
      </c>
      <c r="G435" s="1">
        <v>745521</v>
      </c>
      <c r="H435" s="6">
        <f>SUM($G$2:G435)/SUM($G:$G)</f>
        <v>0.99867187825526149</v>
      </c>
    </row>
    <row r="436" spans="1:8" x14ac:dyDescent="0.2">
      <c r="A436" s="4" t="s">
        <v>631</v>
      </c>
      <c r="B436" s="1">
        <v>7731390</v>
      </c>
      <c r="C436" s="5">
        <v>2.2096217981770394E-4</v>
      </c>
      <c r="F436" s="4" t="s">
        <v>149</v>
      </c>
      <c r="G436" s="1">
        <v>739000</v>
      </c>
      <c r="H436" s="6">
        <f>SUM($G$2:G436)/SUM($G:$G)</f>
        <v>0.99870950825311733</v>
      </c>
    </row>
    <row r="437" spans="1:8" x14ac:dyDescent="0.2">
      <c r="A437" s="4" t="s">
        <v>1069</v>
      </c>
      <c r="B437" s="1">
        <v>7700003.7000000002</v>
      </c>
      <c r="C437" s="5">
        <v>2.200651632056313E-4</v>
      </c>
      <c r="F437" s="4" t="s">
        <v>222</v>
      </c>
      <c r="G437" s="1">
        <v>723266.5</v>
      </c>
      <c r="H437" s="6">
        <f>SUM($G$2:G437)/SUM($G:$G)</f>
        <v>0.99874633709864391</v>
      </c>
    </row>
    <row r="438" spans="1:8" x14ac:dyDescent="0.2">
      <c r="A438" s="4" t="s">
        <v>831</v>
      </c>
      <c r="B438" s="1">
        <v>7693977.5</v>
      </c>
      <c r="C438" s="5">
        <v>2.1989293514728506E-4</v>
      </c>
      <c r="F438" s="4" t="s">
        <v>361</v>
      </c>
      <c r="G438" s="1">
        <v>714872.2</v>
      </c>
      <c r="H438" s="6">
        <f>SUM($G$2:G438)/SUM($G:$G)</f>
        <v>0.99878273850507593</v>
      </c>
    </row>
    <row r="439" spans="1:8" x14ac:dyDescent="0.2">
      <c r="A439" s="4" t="s">
        <v>904</v>
      </c>
      <c r="B439" s="1">
        <v>7692351.5</v>
      </c>
      <c r="C439" s="5">
        <v>2.1984646426632013E-4</v>
      </c>
      <c r="F439" s="4" t="s">
        <v>212</v>
      </c>
      <c r="G439" s="1">
        <v>673280.4</v>
      </c>
      <c r="H439" s="6">
        <f>SUM($G$2:G439)/SUM($G:$G)</f>
        <v>0.99881702205041889</v>
      </c>
    </row>
    <row r="440" spans="1:8" x14ac:dyDescent="0.2">
      <c r="A440" s="4" t="s">
        <v>865</v>
      </c>
      <c r="B440" s="1">
        <v>7666529.8999999994</v>
      </c>
      <c r="C440" s="5">
        <v>2.1910848609908487E-4</v>
      </c>
      <c r="F440" s="4" t="s">
        <v>86</v>
      </c>
      <c r="G440" s="1">
        <v>670613</v>
      </c>
      <c r="H440" s="6">
        <f>SUM($G$2:G440)/SUM($G:$G)</f>
        <v>0.99885116977132826</v>
      </c>
    </row>
    <row r="441" spans="1:8" x14ac:dyDescent="0.2">
      <c r="A441" s="4" t="s">
        <v>1514</v>
      </c>
      <c r="B441" s="1">
        <v>7652123</v>
      </c>
      <c r="C441" s="5">
        <v>2.1869673866060154E-4</v>
      </c>
      <c r="F441" s="4" t="s">
        <v>379</v>
      </c>
      <c r="G441" s="1">
        <v>650000</v>
      </c>
      <c r="H441" s="6">
        <f>SUM($G$2:G441)/SUM($G:$G)</f>
        <v>0.99888426787499041</v>
      </c>
    </row>
    <row r="442" spans="1:8" x14ac:dyDescent="0.2">
      <c r="A442" s="4" t="s">
        <v>377</v>
      </c>
      <c r="B442" s="1">
        <v>7534080</v>
      </c>
      <c r="C442" s="5">
        <v>2.1532308416998328E-4</v>
      </c>
      <c r="F442" s="4" t="s">
        <v>579</v>
      </c>
      <c r="G442" s="1">
        <v>615487</v>
      </c>
      <c r="H442" s="6">
        <f>SUM($G$2:G442)/SUM($G:$G)</f>
        <v>0.99891560857118833</v>
      </c>
    </row>
    <row r="443" spans="1:8" x14ac:dyDescent="0.2">
      <c r="A443" s="4" t="s">
        <v>2530</v>
      </c>
      <c r="B443" s="1">
        <v>7532075.5999999996</v>
      </c>
      <c r="C443" s="5">
        <v>2.1526579866333742E-4</v>
      </c>
      <c r="F443" s="4" t="s">
        <v>549</v>
      </c>
      <c r="G443" s="1">
        <v>600000</v>
      </c>
      <c r="H443" s="6">
        <f>SUM($G$2:G443)/SUM($G:$G)</f>
        <v>0.99894616066687647</v>
      </c>
    </row>
    <row r="444" spans="1:8" x14ac:dyDescent="0.2">
      <c r="A444" s="4" t="s">
        <v>965</v>
      </c>
      <c r="B444" s="1">
        <v>7531160.1999999993</v>
      </c>
      <c r="C444" s="5">
        <v>2.152396366433895E-4</v>
      </c>
      <c r="F444" s="4" t="s">
        <v>558</v>
      </c>
      <c r="G444" s="1">
        <v>600000</v>
      </c>
      <c r="H444" s="6">
        <f>SUM($G$2:G444)/SUM($G:$G)</f>
        <v>0.9989767127625645</v>
      </c>
    </row>
    <row r="445" spans="1:8" x14ac:dyDescent="0.2">
      <c r="A445" s="4" t="s">
        <v>798</v>
      </c>
      <c r="B445" s="1">
        <v>7502412.799999998</v>
      </c>
      <c r="C445" s="5">
        <v>2.1441803947029492E-4</v>
      </c>
      <c r="F445" s="4" t="s">
        <v>513</v>
      </c>
      <c r="G445" s="1">
        <v>577550</v>
      </c>
      <c r="H445" s="6">
        <f>SUM($G$2:G445)/SUM($G:$G)</f>
        <v>0.99900612170067227</v>
      </c>
    </row>
    <row r="446" spans="1:8" x14ac:dyDescent="0.2">
      <c r="A446" s="4" t="s">
        <v>90</v>
      </c>
      <c r="B446" s="1">
        <v>7500000</v>
      </c>
      <c r="C446" s="5">
        <v>2.1434908194164045E-4</v>
      </c>
      <c r="F446" s="4" t="s">
        <v>524</v>
      </c>
      <c r="G446" s="1">
        <v>563583</v>
      </c>
      <c r="H446" s="6">
        <f>SUM($G$2:G446)/SUM($G:$G)</f>
        <v>0.99903481943691264</v>
      </c>
    </row>
    <row r="447" spans="1:8" x14ac:dyDescent="0.2">
      <c r="A447" s="4" t="s">
        <v>408</v>
      </c>
      <c r="B447" s="1">
        <v>7423000</v>
      </c>
      <c r="C447" s="5">
        <v>2.1214843136703961E-4</v>
      </c>
      <c r="F447" s="4" t="s">
        <v>511</v>
      </c>
      <c r="G447" s="1">
        <v>529390</v>
      </c>
      <c r="H447" s="6">
        <f>SUM($G$2:G447)/SUM($G:$G)</f>
        <v>0.99906177606013979</v>
      </c>
    </row>
    <row r="448" spans="1:8" x14ac:dyDescent="0.2">
      <c r="A448" s="4" t="s">
        <v>2573</v>
      </c>
      <c r="B448" s="1">
        <v>7416769</v>
      </c>
      <c r="C448" s="5">
        <v>2.119703501497625E-4</v>
      </c>
      <c r="F448" s="4" t="s">
        <v>409</v>
      </c>
      <c r="G448" s="1">
        <v>517585</v>
      </c>
      <c r="H448" s="6">
        <f>SUM($G$2:G448)/SUM($G:$G)</f>
        <v>0.99908813157088439</v>
      </c>
    </row>
    <row r="449" spans="1:8" x14ac:dyDescent="0.2">
      <c r="A449" s="4" t="s">
        <v>531</v>
      </c>
      <c r="B449" s="1">
        <v>7336323</v>
      </c>
      <c r="C449" s="5">
        <v>2.0967121331697889E-4</v>
      </c>
      <c r="F449" s="4" t="s">
        <v>57</v>
      </c>
      <c r="G449" s="1">
        <v>500000</v>
      </c>
      <c r="H449" s="6">
        <f>SUM($G$2:G449)/SUM($G:$G)</f>
        <v>0.99911359165062441</v>
      </c>
    </row>
    <row r="450" spans="1:8" x14ac:dyDescent="0.2">
      <c r="A450" s="4" t="s">
        <v>571</v>
      </c>
      <c r="B450" s="1">
        <v>7089237</v>
      </c>
      <c r="C450" s="5">
        <v>2.0260952568222792E-4</v>
      </c>
      <c r="F450" s="4" t="s">
        <v>433</v>
      </c>
      <c r="G450" s="1">
        <v>498000</v>
      </c>
      <c r="H450" s="6">
        <f>SUM($G$2:G450)/SUM($G:$G)</f>
        <v>0.99913894989004548</v>
      </c>
    </row>
    <row r="451" spans="1:8" x14ac:dyDescent="0.2">
      <c r="A451" s="4" t="s">
        <v>731</v>
      </c>
      <c r="B451" s="1">
        <v>7067604.7000000002</v>
      </c>
      <c r="C451" s="5">
        <v>2.0199127719618977E-4</v>
      </c>
      <c r="F451" s="4" t="s">
        <v>518</v>
      </c>
      <c r="G451" s="1">
        <v>493187.2</v>
      </c>
      <c r="H451" s="6">
        <f>SUM($G$2:G451)/SUM($G:$G)</f>
        <v>0.99916406306092309</v>
      </c>
    </row>
    <row r="452" spans="1:8" x14ac:dyDescent="0.2">
      <c r="A452" s="4" t="s">
        <v>1034</v>
      </c>
      <c r="B452" s="1">
        <v>7050000</v>
      </c>
      <c r="C452" s="5">
        <v>2.0148813702514204E-4</v>
      </c>
      <c r="F452" s="4" t="s">
        <v>612</v>
      </c>
      <c r="G452" s="1">
        <v>463464.4</v>
      </c>
      <c r="H452" s="6">
        <f>SUM($G$2:G452)/SUM($G:$G)</f>
        <v>0.99918766274208459</v>
      </c>
    </row>
    <row r="453" spans="1:8" x14ac:dyDescent="0.2">
      <c r="A453" s="4" t="s">
        <v>2117</v>
      </c>
      <c r="B453" s="1">
        <v>7000000</v>
      </c>
      <c r="C453" s="5">
        <v>2.0005914314553109E-4</v>
      </c>
      <c r="F453" s="4" t="s">
        <v>485</v>
      </c>
      <c r="G453" s="1">
        <v>462774.5</v>
      </c>
      <c r="H453" s="6">
        <f>SUM($G$2:G453)/SUM($G:$G)</f>
        <v>0.99921122729342793</v>
      </c>
    </row>
    <row r="454" spans="1:8" x14ac:dyDescent="0.2">
      <c r="A454" s="4" t="s">
        <v>574</v>
      </c>
      <c r="B454" s="1">
        <v>6958000</v>
      </c>
      <c r="C454" s="5">
        <v>1.988587882866579E-4</v>
      </c>
      <c r="F454" s="4" t="s">
        <v>614</v>
      </c>
      <c r="G454" s="1">
        <v>436280</v>
      </c>
      <c r="H454" s="6">
        <f>SUM($G$2:G454)/SUM($G:$G)</f>
        <v>0.99923344274060599</v>
      </c>
    </row>
    <row r="455" spans="1:8" x14ac:dyDescent="0.2">
      <c r="A455" s="4" t="s">
        <v>2578</v>
      </c>
      <c r="B455" s="1">
        <v>6898152.5999999996</v>
      </c>
      <c r="C455" s="5">
        <v>1.9714835692044534E-4</v>
      </c>
      <c r="F455" s="4" t="s">
        <v>356</v>
      </c>
      <c r="G455" s="1">
        <v>432000</v>
      </c>
      <c r="H455" s="6">
        <f>SUM($G$2:G455)/SUM($G:$G)</f>
        <v>0.99925544024950141</v>
      </c>
    </row>
    <row r="456" spans="1:8" x14ac:dyDescent="0.2">
      <c r="A456" s="4" t="s">
        <v>893</v>
      </c>
      <c r="B456" s="1">
        <v>6893157.8999999994</v>
      </c>
      <c r="C456" s="5">
        <v>1.970056090058355E-4</v>
      </c>
      <c r="F456" s="4" t="s">
        <v>551</v>
      </c>
      <c r="G456" s="1">
        <v>403000</v>
      </c>
      <c r="H456" s="6">
        <f>SUM($G$2:G456)/SUM($G:$G)</f>
        <v>0.99927596107377181</v>
      </c>
    </row>
    <row r="457" spans="1:8" x14ac:dyDescent="0.2">
      <c r="A457" s="4" t="s">
        <v>321</v>
      </c>
      <c r="B457" s="1">
        <v>6868551</v>
      </c>
      <c r="C457" s="5">
        <v>1.9630234681591153E-4</v>
      </c>
      <c r="F457" s="4" t="s">
        <v>390</v>
      </c>
      <c r="G457" s="1">
        <v>400715</v>
      </c>
      <c r="H457" s="6">
        <f>SUM($G$2:G457)/SUM($G:$G)</f>
        <v>0.99929636554547796</v>
      </c>
    </row>
    <row r="458" spans="1:8" x14ac:dyDescent="0.2">
      <c r="A458" s="4" t="s">
        <v>477</v>
      </c>
      <c r="B458" s="1">
        <v>6850625</v>
      </c>
      <c r="C458" s="5">
        <v>1.9579002393019343E-4</v>
      </c>
      <c r="F458" s="4" t="s">
        <v>566</v>
      </c>
      <c r="G458" s="1">
        <v>397000</v>
      </c>
      <c r="H458" s="6">
        <f>SUM($G$2:G458)/SUM($G:$G)</f>
        <v>0.9993165808487916</v>
      </c>
    </row>
    <row r="459" spans="1:8" x14ac:dyDescent="0.2">
      <c r="A459" s="4" t="s">
        <v>475</v>
      </c>
      <c r="B459" s="1">
        <v>6850625</v>
      </c>
      <c r="C459" s="5">
        <v>1.9579002393019343E-4</v>
      </c>
      <c r="F459" s="4" t="s">
        <v>41</v>
      </c>
      <c r="G459" s="1">
        <v>385334</v>
      </c>
      <c r="H459" s="6">
        <f>SUM($G$2:G459)/SUM($G:$G)</f>
        <v>0.99933620211752472</v>
      </c>
    </row>
    <row r="460" spans="1:8" x14ac:dyDescent="0.2">
      <c r="A460" s="4" t="s">
        <v>476</v>
      </c>
      <c r="B460" s="1">
        <v>6850625</v>
      </c>
      <c r="C460" s="5">
        <v>1.9579002393019343E-4</v>
      </c>
      <c r="F460" s="4" t="s">
        <v>506</v>
      </c>
      <c r="G460" s="1">
        <v>378589.2</v>
      </c>
      <c r="H460" s="6">
        <f>SUM($G$2:G460)/SUM($G:$G)</f>
        <v>0.99935547993996621</v>
      </c>
    </row>
    <row r="461" spans="1:8" x14ac:dyDescent="0.2">
      <c r="A461" s="4" t="s">
        <v>478</v>
      </c>
      <c r="B461" s="1">
        <v>6850625</v>
      </c>
      <c r="C461" s="5">
        <v>1.9579002393019343E-4</v>
      </c>
      <c r="F461" s="4" t="s">
        <v>307</v>
      </c>
      <c r="G461" s="1">
        <v>364000</v>
      </c>
      <c r="H461" s="6">
        <f>SUM($G$2:G461)/SUM($G:$G)</f>
        <v>0.99937401487801703</v>
      </c>
    </row>
    <row r="462" spans="1:8" x14ac:dyDescent="0.2">
      <c r="A462" s="4" t="s">
        <v>136</v>
      </c>
      <c r="B462" s="1">
        <v>6831602</v>
      </c>
      <c r="C462" s="5">
        <v>1.9524634891875665E-4</v>
      </c>
      <c r="F462" s="4" t="s">
        <v>624</v>
      </c>
      <c r="G462" s="1">
        <v>305718.40000000002</v>
      </c>
      <c r="H462" s="6">
        <f>SUM($G$2:G462)/SUM($G:$G)</f>
        <v>0.99938958210770112</v>
      </c>
    </row>
    <row r="463" spans="1:8" x14ac:dyDescent="0.2">
      <c r="A463" s="4" t="s">
        <v>1011</v>
      </c>
      <c r="B463" s="1">
        <v>6822458.3000000007</v>
      </c>
      <c r="C463" s="5">
        <v>1.9498502309201669E-4</v>
      </c>
      <c r="F463" s="4" t="s">
        <v>47</v>
      </c>
      <c r="G463" s="1">
        <v>305154.09999999998</v>
      </c>
      <c r="H463" s="6">
        <f>SUM($G$2:G463)/SUM($G:$G)</f>
        <v>0.99940512060313902</v>
      </c>
    </row>
    <row r="464" spans="1:8" x14ac:dyDescent="0.2">
      <c r="A464" s="4" t="s">
        <v>40</v>
      </c>
      <c r="B464" s="1">
        <v>6812410</v>
      </c>
      <c r="C464" s="5">
        <v>1.9469784390800679E-4</v>
      </c>
      <c r="F464" s="4" t="s">
        <v>573</v>
      </c>
      <c r="G464" s="1">
        <v>300000</v>
      </c>
      <c r="H464" s="6">
        <f>SUM($G$2:G464)/SUM($G:$G)</f>
        <v>0.99942039665098303</v>
      </c>
    </row>
    <row r="465" spans="1:8" x14ac:dyDescent="0.2">
      <c r="A465" s="4" t="s">
        <v>554</v>
      </c>
      <c r="B465" s="1">
        <v>6802559</v>
      </c>
      <c r="C465" s="5">
        <v>1.9441630353384583E-4</v>
      </c>
      <c r="F465" s="4" t="s">
        <v>568</v>
      </c>
      <c r="G465" s="1">
        <v>300000</v>
      </c>
      <c r="H465" s="6">
        <f>SUM($G$2:G465)/SUM($G:$G)</f>
        <v>0.99943567269882716</v>
      </c>
    </row>
    <row r="466" spans="1:8" x14ac:dyDescent="0.2">
      <c r="A466" s="4" t="s">
        <v>216</v>
      </c>
      <c r="B466" s="1">
        <v>6748366.4000000004</v>
      </c>
      <c r="C466" s="5">
        <v>1.9286748565944178E-4</v>
      </c>
      <c r="F466" s="4" t="s">
        <v>111</v>
      </c>
      <c r="G466" s="1">
        <v>300000</v>
      </c>
      <c r="H466" s="6">
        <f>SUM($G$2:G466)/SUM($G:$G)</f>
        <v>0.99945094874667118</v>
      </c>
    </row>
    <row r="467" spans="1:8" x14ac:dyDescent="0.2">
      <c r="A467" s="4" t="s">
        <v>839</v>
      </c>
      <c r="B467" s="1">
        <v>6690735.4000000004</v>
      </c>
      <c r="C467" s="5">
        <v>1.9122039873392462E-4</v>
      </c>
      <c r="F467" s="4" t="s">
        <v>544</v>
      </c>
      <c r="G467" s="1">
        <v>299890</v>
      </c>
      <c r="H467" s="6">
        <f>SUM($G$2:G467)/SUM($G:$G)</f>
        <v>0.9994662191932977</v>
      </c>
    </row>
    <row r="468" spans="1:8" x14ac:dyDescent="0.2">
      <c r="A468" s="4" t="s">
        <v>1751</v>
      </c>
      <c r="B468" s="1">
        <v>6624660</v>
      </c>
      <c r="C468" s="5">
        <v>1.8933197189006771E-4</v>
      </c>
      <c r="F468" s="4" t="s">
        <v>626</v>
      </c>
      <c r="G468" s="1">
        <v>296731</v>
      </c>
      <c r="H468" s="6">
        <f>SUM($G$2:G468)/SUM($G:$G)</f>
        <v>0.99948132878314033</v>
      </c>
    </row>
    <row r="469" spans="1:8" x14ac:dyDescent="0.2">
      <c r="A469" s="4" t="s">
        <v>780</v>
      </c>
      <c r="B469" s="1">
        <v>6573684.4999999991</v>
      </c>
      <c r="C469" s="5">
        <v>1.8787509833986555E-4</v>
      </c>
      <c r="F469" s="4" t="s">
        <v>263</v>
      </c>
      <c r="G469" s="1">
        <v>290000</v>
      </c>
      <c r="H469" s="6">
        <f>SUM($G$2:G469)/SUM($G:$G)</f>
        <v>0.99949609562938957</v>
      </c>
    </row>
    <row r="470" spans="1:8" x14ac:dyDescent="0.2">
      <c r="A470" s="4" t="s">
        <v>924</v>
      </c>
      <c r="B470" s="1">
        <v>6552809.7999999998</v>
      </c>
      <c r="C470" s="5">
        <v>1.8727850196909127E-4</v>
      </c>
      <c r="F470" s="4" t="s">
        <v>56</v>
      </c>
      <c r="G470" s="1">
        <v>281000</v>
      </c>
      <c r="H470" s="6">
        <f>SUM($G$2:G470)/SUM($G:$G)</f>
        <v>0.99951040419420356</v>
      </c>
    </row>
    <row r="471" spans="1:8" x14ac:dyDescent="0.2">
      <c r="A471" s="4" t="s">
        <v>807</v>
      </c>
      <c r="B471" s="1">
        <v>6540387.2999999998</v>
      </c>
      <c r="C471" s="5">
        <v>1.8692346843970193E-4</v>
      </c>
      <c r="F471" s="4" t="s">
        <v>623</v>
      </c>
      <c r="G471" s="1">
        <v>268000</v>
      </c>
      <c r="H471" s="6">
        <f>SUM($G$2:G471)/SUM($G:$G)</f>
        <v>0.99952405079694417</v>
      </c>
    </row>
    <row r="472" spans="1:8" x14ac:dyDescent="0.2">
      <c r="A472" s="4" t="s">
        <v>910</v>
      </c>
      <c r="B472" s="1">
        <v>6535177.7999999998</v>
      </c>
      <c r="C472" s="5">
        <v>1.8677458156738527E-4</v>
      </c>
      <c r="F472" s="4" t="s">
        <v>567</v>
      </c>
      <c r="G472" s="1">
        <v>260668</v>
      </c>
      <c r="H472" s="6">
        <f>SUM($G$2:G472)/SUM($G:$G)</f>
        <v>0.9995373240530756</v>
      </c>
    </row>
    <row r="473" spans="1:8" x14ac:dyDescent="0.2">
      <c r="A473" s="4" t="s">
        <v>1021</v>
      </c>
      <c r="B473" s="1">
        <v>6529578.8999999994</v>
      </c>
      <c r="C473" s="5">
        <v>1.866145656907342E-4</v>
      </c>
      <c r="F473" s="4" t="s">
        <v>514</v>
      </c>
      <c r="G473" s="1">
        <v>253431.4</v>
      </c>
      <c r="H473" s="6">
        <f>SUM($G$2:G473)/SUM($G:$G)</f>
        <v>0.99955022882038091</v>
      </c>
    </row>
    <row r="474" spans="1:8" x14ac:dyDescent="0.2">
      <c r="A474" s="4" t="s">
        <v>869</v>
      </c>
      <c r="B474" s="1">
        <v>6522765.2000000002</v>
      </c>
      <c r="C474" s="5">
        <v>1.8641983097878411E-4</v>
      </c>
      <c r="F474" s="4" t="s">
        <v>250</v>
      </c>
      <c r="G474" s="1">
        <v>252000</v>
      </c>
      <c r="H474" s="6">
        <f>SUM($G$2:G474)/SUM($G:$G)</f>
        <v>0.99956306070056988</v>
      </c>
    </row>
    <row r="475" spans="1:8" x14ac:dyDescent="0.2">
      <c r="A475" s="4" t="s">
        <v>1073</v>
      </c>
      <c r="B475" s="1">
        <v>6519566</v>
      </c>
      <c r="C475" s="5">
        <v>1.8632839823439108E-4</v>
      </c>
      <c r="F475" s="4" t="s">
        <v>344</v>
      </c>
      <c r="G475" s="1">
        <v>250000</v>
      </c>
      <c r="H475" s="6">
        <f>SUM($G$2:G475)/SUM($G:$G)</f>
        <v>0.99957579074044001</v>
      </c>
    </row>
    <row r="476" spans="1:8" x14ac:dyDescent="0.2">
      <c r="A476" s="4" t="s">
        <v>1058</v>
      </c>
      <c r="B476" s="1">
        <v>6509220.0999999996</v>
      </c>
      <c r="C476" s="5">
        <v>1.8603271367880974E-4</v>
      </c>
      <c r="F476" s="4" t="s">
        <v>469</v>
      </c>
      <c r="G476" s="1">
        <v>250000</v>
      </c>
      <c r="H476" s="6">
        <f>SUM($G$2:G476)/SUM($G:$G)</f>
        <v>0.99958852078031002</v>
      </c>
    </row>
    <row r="477" spans="1:8" x14ac:dyDescent="0.2">
      <c r="A477" s="4" t="s">
        <v>45</v>
      </c>
      <c r="B477" s="1">
        <v>6500000</v>
      </c>
      <c r="C477" s="5">
        <v>1.8576920434942173E-4</v>
      </c>
      <c r="F477" s="4" t="s">
        <v>484</v>
      </c>
      <c r="G477" s="1">
        <v>250000</v>
      </c>
      <c r="H477" s="6">
        <f>SUM($G$2:G477)/SUM($G:$G)</f>
        <v>0.99960125082018003</v>
      </c>
    </row>
    <row r="478" spans="1:8" x14ac:dyDescent="0.2">
      <c r="A478" s="4" t="s">
        <v>978</v>
      </c>
      <c r="B478" s="1">
        <v>6497808.5999999996</v>
      </c>
      <c r="C478" s="5">
        <v>1.8570657440566613E-4</v>
      </c>
      <c r="F478" s="4" t="s">
        <v>470</v>
      </c>
      <c r="G478" s="1">
        <v>248568.9</v>
      </c>
      <c r="H478" s="6">
        <f>SUM($G$2:G478)/SUM($G:$G)</f>
        <v>0.99961390798820993</v>
      </c>
    </row>
    <row r="479" spans="1:8" x14ac:dyDescent="0.2">
      <c r="A479" s="4" t="s">
        <v>822</v>
      </c>
      <c r="B479" s="1">
        <v>6467861.9000000004</v>
      </c>
      <c r="C479" s="5">
        <v>1.8485070138537526E-4</v>
      </c>
      <c r="F479" s="4" t="s">
        <v>256</v>
      </c>
      <c r="G479" s="1">
        <v>248400</v>
      </c>
      <c r="H479" s="6">
        <f>SUM($G$2:G479)/SUM($G:$G)</f>
        <v>0.99962655655582477</v>
      </c>
    </row>
    <row r="480" spans="1:8" x14ac:dyDescent="0.2">
      <c r="A480" s="4" t="s">
        <v>1074</v>
      </c>
      <c r="B480" s="1">
        <v>6455493.2999999998</v>
      </c>
      <c r="C480" s="5">
        <v>1.8449720831138812E-4</v>
      </c>
      <c r="F480" s="4" t="s">
        <v>398</v>
      </c>
      <c r="G480" s="1">
        <v>247780</v>
      </c>
      <c r="H480" s="6">
        <f>SUM($G$2:G480)/SUM($G:$G)</f>
        <v>0.99963917355294074</v>
      </c>
    </row>
    <row r="481" spans="1:8" x14ac:dyDescent="0.2">
      <c r="A481" s="4" t="s">
        <v>1518</v>
      </c>
      <c r="B481" s="1">
        <v>6435980</v>
      </c>
      <c r="C481" s="5">
        <v>1.8393952058596788E-4</v>
      </c>
      <c r="F481" s="4" t="s">
        <v>425</v>
      </c>
      <c r="G481" s="1">
        <v>245500</v>
      </c>
      <c r="H481" s="6">
        <f>SUM($G$2:G481)/SUM($G:$G)</f>
        <v>0.99965167445209313</v>
      </c>
    </row>
    <row r="482" spans="1:8" x14ac:dyDescent="0.2">
      <c r="A482" s="4" t="s">
        <v>169</v>
      </c>
      <c r="B482" s="1">
        <v>6430000</v>
      </c>
      <c r="C482" s="5">
        <v>1.8376861291796641E-4</v>
      </c>
      <c r="F482" s="4" t="s">
        <v>519</v>
      </c>
      <c r="G482" s="1">
        <v>244343</v>
      </c>
      <c r="H482" s="6">
        <f>SUM($G$2:G482)/SUM($G:$G)</f>
        <v>0.99966411643662101</v>
      </c>
    </row>
    <row r="483" spans="1:8" x14ac:dyDescent="0.2">
      <c r="A483" s="4" t="s">
        <v>341</v>
      </c>
      <c r="B483" s="1">
        <v>6423037</v>
      </c>
      <c r="C483" s="5">
        <v>1.8356961123029179E-4</v>
      </c>
      <c r="F483" s="4" t="s">
        <v>210</v>
      </c>
      <c r="G483" s="1">
        <v>243750</v>
      </c>
      <c r="H483" s="6">
        <f>SUM($G$2:G483)/SUM($G:$G)</f>
        <v>0.99967652822549435</v>
      </c>
    </row>
    <row r="484" spans="1:8" x14ac:dyDescent="0.2">
      <c r="A484" s="4" t="s">
        <v>875</v>
      </c>
      <c r="B484" s="1">
        <v>6409854.6000000006</v>
      </c>
      <c r="C484" s="5">
        <v>1.8319285985192015E-4</v>
      </c>
      <c r="F484" s="4" t="s">
        <v>352</v>
      </c>
      <c r="G484" s="1">
        <v>239310.6</v>
      </c>
      <c r="H484" s="6">
        <f>SUM($G$2:G484)/SUM($G:$G)</f>
        <v>0.9996887139594115</v>
      </c>
    </row>
    <row r="485" spans="1:8" x14ac:dyDescent="0.2">
      <c r="A485" s="4" t="s">
        <v>605</v>
      </c>
      <c r="B485" s="1">
        <v>6400000</v>
      </c>
      <c r="C485" s="5">
        <v>1.8291121659019986E-4</v>
      </c>
      <c r="F485" s="4" t="s">
        <v>536</v>
      </c>
      <c r="G485" s="1">
        <v>225626</v>
      </c>
      <c r="H485" s="6">
        <f>SUM($G$2:G485)/SUM($G:$G)</f>
        <v>0.99970020287131434</v>
      </c>
    </row>
    <row r="486" spans="1:8" x14ac:dyDescent="0.2">
      <c r="A486" s="4" t="s">
        <v>734</v>
      </c>
      <c r="B486" s="1">
        <v>6390729</v>
      </c>
      <c r="C486" s="5">
        <v>1.826462525450424E-4</v>
      </c>
      <c r="F486" s="4" t="s">
        <v>563</v>
      </c>
      <c r="G486" s="1">
        <v>225000</v>
      </c>
      <c r="H486" s="6">
        <f>SUM($G$2:G486)/SUM($G:$G)</f>
        <v>0.99971165990719746</v>
      </c>
    </row>
    <row r="487" spans="1:8" x14ac:dyDescent="0.2">
      <c r="A487" s="4" t="s">
        <v>419</v>
      </c>
      <c r="B487" s="1">
        <v>6360719.9000000004</v>
      </c>
      <c r="C487" s="5">
        <v>1.8178859614038977E-4</v>
      </c>
      <c r="F487" s="4" t="s">
        <v>332</v>
      </c>
      <c r="G487" s="1">
        <v>213095</v>
      </c>
      <c r="H487" s="6">
        <f>SUM($G$2:G487)/SUM($G:$G)</f>
        <v>0.99972251073858187</v>
      </c>
    </row>
    <row r="488" spans="1:8" x14ac:dyDescent="0.2">
      <c r="A488" s="4" t="s">
        <v>359</v>
      </c>
      <c r="B488" s="1">
        <v>6304316.2999999998</v>
      </c>
      <c r="C488" s="5">
        <v>1.8017658815662927E-4</v>
      </c>
      <c r="F488" s="4" t="s">
        <v>445</v>
      </c>
      <c r="G488" s="1">
        <v>208073</v>
      </c>
      <c r="H488" s="6">
        <f>SUM($G$2:G488)/SUM($G:$G)</f>
        <v>0.99973310584892539</v>
      </c>
    </row>
    <row r="489" spans="1:8" x14ac:dyDescent="0.2">
      <c r="A489" s="4" t="s">
        <v>687</v>
      </c>
      <c r="B489" s="1">
        <v>6301379</v>
      </c>
      <c r="C489" s="5">
        <v>1.8009264048217765E-4</v>
      </c>
      <c r="F489" s="4" t="s">
        <v>437</v>
      </c>
      <c r="G489" s="1">
        <v>203853.1</v>
      </c>
      <c r="H489" s="6">
        <f>SUM($G$2:G489)/SUM($G:$G)</f>
        <v>0.99974348608128782</v>
      </c>
    </row>
    <row r="490" spans="1:8" x14ac:dyDescent="0.2">
      <c r="A490" s="4" t="s">
        <v>1110</v>
      </c>
      <c r="B490" s="1">
        <v>6270248</v>
      </c>
      <c r="C490" s="5">
        <v>1.792029203128543E-4</v>
      </c>
      <c r="F490" s="4" t="s">
        <v>180</v>
      </c>
      <c r="G490" s="1">
        <v>200000</v>
      </c>
      <c r="H490" s="6">
        <f>SUM($G$2:G490)/SUM($G:$G)</f>
        <v>0.99975367011318383</v>
      </c>
    </row>
    <row r="491" spans="1:8" x14ac:dyDescent="0.2">
      <c r="A491" s="4" t="s">
        <v>2444</v>
      </c>
      <c r="B491" s="1">
        <v>6200000</v>
      </c>
      <c r="C491" s="5">
        <v>1.7719524107175612E-4</v>
      </c>
      <c r="F491" s="4" t="s">
        <v>242</v>
      </c>
      <c r="G491" s="1">
        <v>190700</v>
      </c>
      <c r="H491" s="6">
        <f>SUM($G$2:G491)/SUM($G:$G)</f>
        <v>0.99976338058759673</v>
      </c>
    </row>
    <row r="492" spans="1:8" x14ac:dyDescent="0.2">
      <c r="A492" s="4" t="s">
        <v>584</v>
      </c>
      <c r="B492" s="1">
        <v>6191067</v>
      </c>
      <c r="C492" s="5">
        <v>1.7693993702522484E-4</v>
      </c>
      <c r="F492" s="4" t="s">
        <v>358</v>
      </c>
      <c r="G492" s="1">
        <v>187220</v>
      </c>
      <c r="H492" s="6">
        <f>SUM($G$2:G492)/SUM($G:$G)</f>
        <v>0.99977291385985456</v>
      </c>
    </row>
    <row r="493" spans="1:8" x14ac:dyDescent="0.2">
      <c r="A493" s="4" t="s">
        <v>837</v>
      </c>
      <c r="B493" s="1">
        <v>6170597.8999999994</v>
      </c>
      <c r="C493" s="5">
        <v>1.7635493265280192E-4</v>
      </c>
      <c r="F493" s="4" t="s">
        <v>581</v>
      </c>
      <c r="G493" s="1">
        <v>186000</v>
      </c>
      <c r="H493" s="6">
        <f>SUM($G$2:G493)/SUM($G:$G)</f>
        <v>0.99978238500951788</v>
      </c>
    </row>
    <row r="494" spans="1:8" x14ac:dyDescent="0.2">
      <c r="A494" s="4" t="s">
        <v>758</v>
      </c>
      <c r="B494" s="1">
        <v>6143766.9000000004</v>
      </c>
      <c r="C494" s="5">
        <v>1.7558810595712514E-4</v>
      </c>
      <c r="F494" s="4" t="s">
        <v>492</v>
      </c>
      <c r="G494" s="1">
        <v>184444.7</v>
      </c>
      <c r="H494" s="6">
        <f>SUM($G$2:G494)/SUM($G:$G)</f>
        <v>0.99979177696305721</v>
      </c>
    </row>
    <row r="495" spans="1:8" x14ac:dyDescent="0.2">
      <c r="A495" s="4" t="s">
        <v>97</v>
      </c>
      <c r="B495" s="1">
        <v>6110347.9000000004</v>
      </c>
      <c r="C495" s="5">
        <v>1.7463299502787079E-4</v>
      </c>
      <c r="F495" s="4" t="s">
        <v>245</v>
      </c>
      <c r="G495" s="1">
        <v>184000</v>
      </c>
      <c r="H495" s="6">
        <f>SUM($G$2:G495)/SUM($G:$G)</f>
        <v>0.99980114627240158</v>
      </c>
    </row>
    <row r="496" spans="1:8" x14ac:dyDescent="0.2">
      <c r="A496" s="4" t="s">
        <v>883</v>
      </c>
      <c r="B496" s="1">
        <v>6070727.7000000002</v>
      </c>
      <c r="C496" s="5">
        <v>1.7350065456169154E-4</v>
      </c>
      <c r="F496" s="4" t="s">
        <v>238</v>
      </c>
      <c r="G496" s="1">
        <v>170249.5</v>
      </c>
      <c r="H496" s="6">
        <f>SUM($G$2:G496)/SUM($G:$G)</f>
        <v>0.99980981540409297</v>
      </c>
    </row>
    <row r="497" spans="1:8" x14ac:dyDescent="0.2">
      <c r="A497" s="4" t="s">
        <v>596</v>
      </c>
      <c r="B497" s="1">
        <v>6059797.7999999998</v>
      </c>
      <c r="C497" s="5">
        <v>1.7318827935759634E-4</v>
      </c>
      <c r="F497" s="4" t="s">
        <v>98</v>
      </c>
      <c r="G497" s="1">
        <v>164606.39999999999</v>
      </c>
      <c r="H497" s="6">
        <f>SUM($G$2:G497)/SUM($G:$G)</f>
        <v>0.9998181971882325</v>
      </c>
    </row>
    <row r="498" spans="1:8" x14ac:dyDescent="0.2">
      <c r="A498" s="4" t="s">
        <v>992</v>
      </c>
      <c r="B498" s="1">
        <v>6021299.5</v>
      </c>
      <c r="C498" s="5">
        <v>1.7208800265608784E-4</v>
      </c>
      <c r="F498" s="4" t="s">
        <v>453</v>
      </c>
      <c r="G498" s="1">
        <v>150000</v>
      </c>
      <c r="H498" s="6">
        <f>SUM($G$2:G498)/SUM($G:$G)</f>
        <v>0.99982583521215451</v>
      </c>
    </row>
    <row r="499" spans="1:8" x14ac:dyDescent="0.2">
      <c r="A499" s="4" t="s">
        <v>618</v>
      </c>
      <c r="B499" s="1">
        <v>6000270</v>
      </c>
      <c r="C499" s="5">
        <v>1.7148698212026228E-4</v>
      </c>
      <c r="F499" s="4" t="s">
        <v>413</v>
      </c>
      <c r="G499" s="1">
        <v>150000</v>
      </c>
      <c r="H499" s="6">
        <f>SUM($G$2:G499)/SUM($G:$G)</f>
        <v>0.99983347323607652</v>
      </c>
    </row>
    <row r="500" spans="1:8" x14ac:dyDescent="0.2">
      <c r="A500" s="4" t="s">
        <v>2272</v>
      </c>
      <c r="B500" s="1">
        <v>6000000</v>
      </c>
      <c r="C500" s="5">
        <v>1.7147926555331237E-4</v>
      </c>
      <c r="F500" s="4" t="s">
        <v>613</v>
      </c>
      <c r="G500" s="1">
        <v>150000</v>
      </c>
      <c r="H500" s="6">
        <f>SUM($G$2:G500)/SUM($G:$G)</f>
        <v>0.99984111125999853</v>
      </c>
    </row>
    <row r="501" spans="1:8" x14ac:dyDescent="0.2">
      <c r="A501" s="4" t="s">
        <v>2271</v>
      </c>
      <c r="B501" s="1">
        <v>6000000</v>
      </c>
      <c r="C501" s="5">
        <v>1.7147926555331237E-4</v>
      </c>
      <c r="F501" s="4" t="s">
        <v>391</v>
      </c>
      <c r="G501" s="1">
        <v>150000</v>
      </c>
      <c r="H501" s="6">
        <f>SUM($G$2:G501)/SUM($G:$G)</f>
        <v>0.99984874928392053</v>
      </c>
    </row>
    <row r="502" spans="1:8" x14ac:dyDescent="0.2">
      <c r="A502" s="4" t="s">
        <v>2187</v>
      </c>
      <c r="B502" s="1">
        <v>5913737</v>
      </c>
      <c r="C502" s="5">
        <v>1.690138795725748E-4</v>
      </c>
      <c r="F502" s="4" t="s">
        <v>440</v>
      </c>
      <c r="G502" s="1">
        <v>139400</v>
      </c>
      <c r="H502" s="6">
        <f>SUM($G$2:G502)/SUM($G:$G)</f>
        <v>0.99985584755415213</v>
      </c>
    </row>
    <row r="503" spans="1:8" x14ac:dyDescent="0.2">
      <c r="A503" s="4" t="s">
        <v>582</v>
      </c>
      <c r="B503" s="1">
        <v>5910000</v>
      </c>
      <c r="C503" s="5">
        <v>1.6890707657001269E-4</v>
      </c>
      <c r="F503" s="4" t="s">
        <v>560</v>
      </c>
      <c r="G503" s="1">
        <v>138000</v>
      </c>
      <c r="H503" s="6">
        <f>SUM($G$2:G503)/SUM($G:$G)</f>
        <v>0.99986287453616041</v>
      </c>
    </row>
    <row r="504" spans="1:8" x14ac:dyDescent="0.2">
      <c r="A504" s="4" t="s">
        <v>878</v>
      </c>
      <c r="B504" s="1">
        <v>5891175.7000000002</v>
      </c>
      <c r="C504" s="5">
        <v>1.6836908038025348E-4</v>
      </c>
      <c r="F504" s="4" t="s">
        <v>177</v>
      </c>
      <c r="G504" s="1">
        <v>134510</v>
      </c>
      <c r="H504" s="6">
        <f>SUM($G$2:G504)/SUM($G:$G)</f>
        <v>0.99986972380681205</v>
      </c>
    </row>
    <row r="505" spans="1:8" x14ac:dyDescent="0.2">
      <c r="A505" s="4" t="s">
        <v>684</v>
      </c>
      <c r="B505" s="1">
        <v>5864634.2000000002</v>
      </c>
      <c r="C505" s="5">
        <v>1.6761052755913961E-4</v>
      </c>
      <c r="F505" s="4" t="s">
        <v>515</v>
      </c>
      <c r="G505" s="1">
        <v>130000</v>
      </c>
      <c r="H505" s="6">
        <f>SUM($G$2:G505)/SUM($G:$G)</f>
        <v>0.9998763434275445</v>
      </c>
    </row>
    <row r="506" spans="1:8" x14ac:dyDescent="0.2">
      <c r="A506" s="4" t="s">
        <v>1422</v>
      </c>
      <c r="B506" s="1">
        <v>5815775.8000000007</v>
      </c>
      <c r="C506" s="5">
        <v>1.6621416046778796E-4</v>
      </c>
      <c r="F506" s="4" t="s">
        <v>447</v>
      </c>
      <c r="G506" s="1">
        <v>124560</v>
      </c>
      <c r="H506" s="6">
        <f>SUM($G$2:G506)/SUM($G:$G)</f>
        <v>0.99988268604260933</v>
      </c>
    </row>
    <row r="507" spans="1:8" x14ac:dyDescent="0.2">
      <c r="A507" s="4" t="s">
        <v>2182</v>
      </c>
      <c r="B507" s="1">
        <v>5810000</v>
      </c>
      <c r="C507" s="5">
        <v>1.6604908881079082E-4</v>
      </c>
      <c r="F507" s="4" t="s">
        <v>559</v>
      </c>
      <c r="G507" s="1">
        <v>120000</v>
      </c>
      <c r="H507" s="6">
        <f>SUM($G$2:G507)/SUM($G:$G)</f>
        <v>0.99988879646174689</v>
      </c>
    </row>
    <row r="508" spans="1:8" x14ac:dyDescent="0.2">
      <c r="A508" s="4" t="s">
        <v>430</v>
      </c>
      <c r="B508" s="1">
        <v>5808358</v>
      </c>
      <c r="C508" s="5">
        <v>1.6600216065178438E-4</v>
      </c>
      <c r="F508" s="4" t="s">
        <v>620</v>
      </c>
      <c r="G508" s="1">
        <v>109286.5</v>
      </c>
      <c r="H508" s="6">
        <f>SUM($G$2:G508)/SUM($G:$G)</f>
        <v>0.999894361347756</v>
      </c>
    </row>
    <row r="509" spans="1:8" x14ac:dyDescent="0.2">
      <c r="A509" s="4" t="s">
        <v>606</v>
      </c>
      <c r="B509" s="1">
        <v>5800000</v>
      </c>
      <c r="C509" s="5">
        <v>1.6576329003486863E-4</v>
      </c>
      <c r="F509" s="4" t="s">
        <v>578</v>
      </c>
      <c r="G509" s="1">
        <v>106620</v>
      </c>
      <c r="H509" s="6">
        <f>SUM($G$2:G509)/SUM($G:$G)</f>
        <v>0.99989979045515975</v>
      </c>
    </row>
    <row r="510" spans="1:8" x14ac:dyDescent="0.2">
      <c r="A510" s="4" t="s">
        <v>167</v>
      </c>
      <c r="B510" s="1">
        <v>5750000</v>
      </c>
      <c r="C510" s="5">
        <v>1.6433429615525768E-4</v>
      </c>
      <c r="F510" s="4" t="s">
        <v>585</v>
      </c>
      <c r="G510" s="1">
        <v>101847</v>
      </c>
      <c r="H510" s="6">
        <f>SUM($G$2:G510)/SUM($G:$G)</f>
        <v>0.99990497652064225</v>
      </c>
    </row>
    <row r="511" spans="1:8" x14ac:dyDescent="0.2">
      <c r="A511" s="4" t="s">
        <v>557</v>
      </c>
      <c r="B511" s="1">
        <v>5665618</v>
      </c>
      <c r="C511" s="5">
        <v>1.6192266892427109E-4</v>
      </c>
      <c r="F511" s="4" t="s">
        <v>552</v>
      </c>
      <c r="G511" s="1">
        <v>100000</v>
      </c>
      <c r="H511" s="6">
        <f>SUM($G$2:G511)/SUM($G:$G)</f>
        <v>0.99991006853659037</v>
      </c>
    </row>
    <row r="512" spans="1:8" x14ac:dyDescent="0.2">
      <c r="A512" s="4" t="s">
        <v>1836</v>
      </c>
      <c r="B512" s="1">
        <v>5616233.5999999996</v>
      </c>
      <c r="C512" s="5">
        <v>1.6051126881730591E-4</v>
      </c>
      <c r="F512" s="4" t="s">
        <v>548</v>
      </c>
      <c r="G512" s="1">
        <v>100000</v>
      </c>
      <c r="H512" s="6">
        <f>SUM($G$2:G512)/SUM($G:$G)</f>
        <v>0.99991516055253837</v>
      </c>
    </row>
    <row r="513" spans="1:8" x14ac:dyDescent="0.2">
      <c r="A513" s="4" t="s">
        <v>265</v>
      </c>
      <c r="B513" s="1">
        <v>5610000</v>
      </c>
      <c r="C513" s="5">
        <v>1.6033311329234707E-4</v>
      </c>
      <c r="F513" s="4" t="s">
        <v>473</v>
      </c>
      <c r="G513" s="1">
        <v>99723.8</v>
      </c>
      <c r="H513" s="6">
        <f>SUM($G$2:G513)/SUM($G:$G)</f>
        <v>0.99992023850433831</v>
      </c>
    </row>
    <row r="514" spans="1:8" x14ac:dyDescent="0.2">
      <c r="A514" s="4" t="s">
        <v>609</v>
      </c>
      <c r="B514" s="1">
        <v>5572872.2999999998</v>
      </c>
      <c r="C514" s="5">
        <v>1.5927200817106643E-4</v>
      </c>
      <c r="F514" s="4" t="s">
        <v>244</v>
      </c>
      <c r="G514" s="1">
        <v>98600</v>
      </c>
      <c r="H514" s="6">
        <f>SUM($G$2:G514)/SUM($G:$G)</f>
        <v>0.99992525923206299</v>
      </c>
    </row>
    <row r="515" spans="1:8" x14ac:dyDescent="0.2">
      <c r="A515" s="4" t="s">
        <v>742</v>
      </c>
      <c r="B515" s="1">
        <v>5539096</v>
      </c>
      <c r="C515" s="5">
        <v>1.5830668565154838E-4</v>
      </c>
      <c r="F515" s="4" t="s">
        <v>73</v>
      </c>
      <c r="G515" s="1">
        <v>97032</v>
      </c>
      <c r="H515" s="6">
        <f>SUM($G$2:G515)/SUM($G:$G)</f>
        <v>0.99993020011697764</v>
      </c>
    </row>
    <row r="516" spans="1:8" x14ac:dyDescent="0.2">
      <c r="A516" s="4" t="s">
        <v>2126</v>
      </c>
      <c r="B516" s="1">
        <v>5500000</v>
      </c>
      <c r="C516" s="5">
        <v>1.5718932675720302E-4</v>
      </c>
      <c r="F516" s="4" t="s">
        <v>30</v>
      </c>
      <c r="G516" s="1">
        <v>94950</v>
      </c>
      <c r="H516" s="6">
        <f>SUM($G$2:G516)/SUM($G:$G)</f>
        <v>0.99993503498612035</v>
      </c>
    </row>
    <row r="517" spans="1:8" x14ac:dyDescent="0.2">
      <c r="A517" s="4" t="s">
        <v>836</v>
      </c>
      <c r="B517" s="1">
        <v>5496073</v>
      </c>
      <c r="C517" s="5">
        <v>1.5707709357789837E-4</v>
      </c>
      <c r="F517" s="4" t="s">
        <v>278</v>
      </c>
      <c r="G517" s="1">
        <v>93088.8</v>
      </c>
      <c r="H517" s="6">
        <f>SUM($G$2:G517)/SUM($G:$G)</f>
        <v>0.99993977508266207</v>
      </c>
    </row>
    <row r="518" spans="1:8" x14ac:dyDescent="0.2">
      <c r="A518" s="4" t="s">
        <v>150</v>
      </c>
      <c r="B518" s="1">
        <v>5493144.6999999993</v>
      </c>
      <c r="C518" s="5">
        <v>1.5699340312234504E-4</v>
      </c>
      <c r="F518" s="4" t="s">
        <v>247</v>
      </c>
      <c r="G518" s="1">
        <v>87602.6</v>
      </c>
      <c r="H518" s="6">
        <f>SUM($G$2:G518)/SUM($G:$G)</f>
        <v>0.99994423582102487</v>
      </c>
    </row>
    <row r="519" spans="1:8" x14ac:dyDescent="0.2">
      <c r="A519" s="4" t="s">
        <v>594</v>
      </c>
      <c r="B519" s="1">
        <v>5484462.7000000002</v>
      </c>
      <c r="C519" s="5">
        <v>1.5674527262508943E-4</v>
      </c>
      <c r="F519" s="4" t="s">
        <v>240</v>
      </c>
      <c r="G519" s="1">
        <v>83688</v>
      </c>
      <c r="H519" s="6">
        <f>SUM($G$2:G519)/SUM($G:$G)</f>
        <v>0.99994849722733148</v>
      </c>
    </row>
    <row r="520" spans="1:8" x14ac:dyDescent="0.2">
      <c r="A520" s="4" t="s">
        <v>497</v>
      </c>
      <c r="B520" s="1">
        <v>5445729.2999999998</v>
      </c>
      <c r="C520" s="5">
        <v>1.5563827679435896E-4</v>
      </c>
      <c r="F520" s="4" t="s">
        <v>467</v>
      </c>
      <c r="G520" s="1">
        <v>83565.2</v>
      </c>
      <c r="H520" s="6">
        <f>SUM($G$2:G520)/SUM($G:$G)</f>
        <v>0.99995275238064252</v>
      </c>
    </row>
    <row r="521" spans="1:8" x14ac:dyDescent="0.2">
      <c r="A521" s="4" t="s">
        <v>728</v>
      </c>
      <c r="B521" s="1">
        <v>5436413.2999999998</v>
      </c>
      <c r="C521" s="5">
        <v>1.5537202665470985E-4</v>
      </c>
      <c r="F521" s="4" t="s">
        <v>517</v>
      </c>
      <c r="G521" s="1">
        <v>75059.7</v>
      </c>
      <c r="H521" s="6">
        <f>SUM($G$2:G521)/SUM($G:$G)</f>
        <v>0.99995657443253705</v>
      </c>
    </row>
    <row r="522" spans="1:8" x14ac:dyDescent="0.2">
      <c r="A522" s="4" t="s">
        <v>1548</v>
      </c>
      <c r="B522" s="1">
        <v>5400000</v>
      </c>
      <c r="C522" s="5">
        <v>1.5433133899798112E-4</v>
      </c>
      <c r="F522" s="4" t="s">
        <v>251</v>
      </c>
      <c r="G522" s="1">
        <v>73600</v>
      </c>
      <c r="H522" s="6">
        <f>SUM($G$2:G522)/SUM($G:$G)</f>
        <v>0.99996032215627484</v>
      </c>
    </row>
    <row r="523" spans="1:8" x14ac:dyDescent="0.2">
      <c r="A523" s="4" t="s">
        <v>451</v>
      </c>
      <c r="B523" s="1">
        <v>5399935.7000000002</v>
      </c>
      <c r="C523" s="5">
        <v>1.5432950131185195E-4</v>
      </c>
      <c r="F523" s="4" t="s">
        <v>593</v>
      </c>
      <c r="G523" s="1">
        <v>70605</v>
      </c>
      <c r="H523" s="6">
        <f>SUM($G$2:G523)/SUM($G:$G)</f>
        <v>0.99996391737413493</v>
      </c>
    </row>
    <row r="524" spans="1:8" x14ac:dyDescent="0.2">
      <c r="A524" s="4" t="s">
        <v>416</v>
      </c>
      <c r="B524" s="1">
        <v>5348150</v>
      </c>
      <c r="C524" s="5">
        <v>1.5284947234482459E-4</v>
      </c>
      <c r="F524" s="4" t="s">
        <v>386</v>
      </c>
      <c r="G524" s="1">
        <v>69750</v>
      </c>
      <c r="H524" s="6">
        <f>SUM($G$2:G524)/SUM($G:$G)</f>
        <v>0.99996746905525868</v>
      </c>
    </row>
    <row r="525" spans="1:8" x14ac:dyDescent="0.2">
      <c r="A525" s="4" t="s">
        <v>908</v>
      </c>
      <c r="B525" s="1">
        <v>5344695.8000000007</v>
      </c>
      <c r="C525" s="5">
        <v>1.5275075173164557E-4</v>
      </c>
      <c r="F525" s="4" t="s">
        <v>108</v>
      </c>
      <c r="G525" s="1">
        <v>69423.8</v>
      </c>
      <c r="H525" s="6">
        <f>SUM($G$2:G525)/SUM($G:$G)</f>
        <v>0.9999710041262263</v>
      </c>
    </row>
    <row r="526" spans="1:8" x14ac:dyDescent="0.2">
      <c r="A526" s="4" t="s">
        <v>887</v>
      </c>
      <c r="B526" s="1">
        <v>5224970.0999999996</v>
      </c>
      <c r="C526" s="5">
        <v>1.4932900588100284E-4</v>
      </c>
      <c r="F526" s="4" t="s">
        <v>461</v>
      </c>
      <c r="G526" s="1">
        <v>66560.3</v>
      </c>
      <c r="H526" s="6">
        <f>SUM($G$2:G526)/SUM($G:$G)</f>
        <v>0.99997439338731731</v>
      </c>
    </row>
    <row r="527" spans="1:8" x14ac:dyDescent="0.2">
      <c r="A527" s="4" t="s">
        <v>1531</v>
      </c>
      <c r="B527" s="1">
        <v>5215740.1000000006</v>
      </c>
      <c r="C527" s="5">
        <v>1.4906521361082668E-4</v>
      </c>
      <c r="F527" s="4" t="s">
        <v>449</v>
      </c>
      <c r="G527" s="1">
        <v>65750</v>
      </c>
      <c r="H527" s="6">
        <f>SUM($G$2:G527)/SUM($G:$G)</f>
        <v>0.99997774138780315</v>
      </c>
    </row>
    <row r="528" spans="1:8" x14ac:dyDescent="0.2">
      <c r="A528" s="4" t="s">
        <v>369</v>
      </c>
      <c r="B528" s="1">
        <v>5106061.4000000004</v>
      </c>
      <c r="C528" s="5">
        <v>1.4593060979035299E-4</v>
      </c>
      <c r="F528" s="4" t="s">
        <v>532</v>
      </c>
      <c r="G528" s="1">
        <v>57753.4</v>
      </c>
      <c r="H528" s="6">
        <f>SUM($G$2:G528)/SUM($G:$G)</f>
        <v>0.9999806822001418</v>
      </c>
    </row>
    <row r="529" spans="1:8" x14ac:dyDescent="0.2">
      <c r="A529" s="4" t="s">
        <v>984</v>
      </c>
      <c r="B529" s="1">
        <v>5085123.2</v>
      </c>
      <c r="C529" s="5">
        <v>1.4533219859735159E-4</v>
      </c>
      <c r="F529" s="4" t="s">
        <v>494</v>
      </c>
      <c r="G529" s="1">
        <v>53340</v>
      </c>
      <c r="H529" s="6">
        <f>SUM($G$2:G529)/SUM($G:$G)</f>
        <v>0.99998339828144844</v>
      </c>
    </row>
    <row r="530" spans="1:8" x14ac:dyDescent="0.2">
      <c r="A530" s="4" t="s">
        <v>1881</v>
      </c>
      <c r="B530" s="1">
        <v>5050000</v>
      </c>
      <c r="C530" s="5">
        <v>1.4432838184070458E-4</v>
      </c>
      <c r="F530" s="4" t="s">
        <v>363</v>
      </c>
      <c r="G530" s="1">
        <v>51513.2</v>
      </c>
      <c r="H530" s="6">
        <f>SUM($G$2:G530)/SUM($G:$G)</f>
        <v>0.99998602134180781</v>
      </c>
    </row>
    <row r="531" spans="1:8" x14ac:dyDescent="0.2">
      <c r="A531" s="4" t="s">
        <v>1327</v>
      </c>
      <c r="B531" s="1">
        <v>5040000</v>
      </c>
      <c r="C531" s="5">
        <v>1.440425830647824E-4</v>
      </c>
      <c r="F531" s="4" t="s">
        <v>598</v>
      </c>
      <c r="G531" s="1">
        <v>45308.5</v>
      </c>
      <c r="H531" s="6">
        <f>SUM($G$2:G531)/SUM($G:$G)</f>
        <v>0.99998832845785357</v>
      </c>
    </row>
    <row r="532" spans="1:8" x14ac:dyDescent="0.2">
      <c r="A532" s="4" t="s">
        <v>113</v>
      </c>
      <c r="B532" s="1">
        <v>5033962.5</v>
      </c>
      <c r="C532" s="5">
        <v>1.4387003205381936E-4</v>
      </c>
      <c r="F532" s="4" t="s">
        <v>592</v>
      </c>
      <c r="G532" s="1">
        <v>38076.199999999997</v>
      </c>
      <c r="H532" s="6">
        <f>SUM($G$2:G532)/SUM($G:$G)</f>
        <v>0.99999026730403007</v>
      </c>
    </row>
    <row r="533" spans="1:8" x14ac:dyDescent="0.2">
      <c r="A533" s="4" t="s">
        <v>2400</v>
      </c>
      <c r="B533" s="1">
        <v>5000000</v>
      </c>
      <c r="C533" s="5">
        <v>1.4289938796109363E-4</v>
      </c>
      <c r="F533" s="4" t="s">
        <v>348</v>
      </c>
      <c r="G533" s="1">
        <v>36154</v>
      </c>
      <c r="H533" s="6">
        <f>SUM($G$2:G533)/SUM($G:$G)</f>
        <v>0.99999210827147589</v>
      </c>
    </row>
    <row r="534" spans="1:8" x14ac:dyDescent="0.2">
      <c r="A534" s="4" t="s">
        <v>2282</v>
      </c>
      <c r="B534" s="1">
        <v>5000000</v>
      </c>
      <c r="C534" s="5">
        <v>1.4289938796109363E-4</v>
      </c>
      <c r="F534" s="4" t="s">
        <v>105</v>
      </c>
      <c r="G534" s="1">
        <v>25000</v>
      </c>
      <c r="H534" s="6">
        <f>SUM($G$2:G534)/SUM($G:$G)</f>
        <v>0.99999338127546289</v>
      </c>
    </row>
    <row r="535" spans="1:8" x14ac:dyDescent="0.2">
      <c r="A535" s="4" t="s">
        <v>2264</v>
      </c>
      <c r="B535" s="1">
        <v>5000000</v>
      </c>
      <c r="C535" s="5">
        <v>1.4289938796109363E-4</v>
      </c>
      <c r="F535" s="4" t="s">
        <v>249</v>
      </c>
      <c r="G535" s="1">
        <v>24750</v>
      </c>
      <c r="H535" s="6">
        <f>SUM($G$2:G535)/SUM($G:$G)</f>
        <v>0.99999464154940998</v>
      </c>
    </row>
    <row r="536" spans="1:8" x14ac:dyDescent="0.2">
      <c r="A536" s="4" t="s">
        <v>1395</v>
      </c>
      <c r="B536" s="1">
        <v>5000000</v>
      </c>
      <c r="C536" s="5">
        <v>1.4289938796109363E-4</v>
      </c>
      <c r="F536" s="4" t="s">
        <v>540</v>
      </c>
      <c r="G536" s="1">
        <v>21204.1</v>
      </c>
      <c r="H536" s="6">
        <f>SUM($G$2:G536)/SUM($G:$G)</f>
        <v>0.99999572126556358</v>
      </c>
    </row>
    <row r="537" spans="1:8" x14ac:dyDescent="0.2">
      <c r="A537" s="4" t="s">
        <v>60</v>
      </c>
      <c r="B537" s="1">
        <v>5000000</v>
      </c>
      <c r="C537" s="5">
        <v>1.4289938796109363E-4</v>
      </c>
      <c r="F537" s="4" t="s">
        <v>371</v>
      </c>
      <c r="G537" s="1">
        <v>20000</v>
      </c>
      <c r="H537" s="6">
        <f>SUM($G$2:G537)/SUM($G:$G)</f>
        <v>0.99999673966875313</v>
      </c>
    </row>
    <row r="538" spans="1:8" x14ac:dyDescent="0.2">
      <c r="A538" s="4" t="s">
        <v>564</v>
      </c>
      <c r="B538" s="1">
        <v>5000000</v>
      </c>
      <c r="C538" s="5">
        <v>1.4289938796109363E-4</v>
      </c>
      <c r="F538" s="4" t="s">
        <v>142</v>
      </c>
      <c r="G538" s="1">
        <v>13488.6</v>
      </c>
      <c r="H538" s="6">
        <f>SUM($G$2:G538)/SUM($G:$G)</f>
        <v>0.99999742651041623</v>
      </c>
    </row>
    <row r="539" spans="1:8" x14ac:dyDescent="0.2">
      <c r="A539" s="4" t="s">
        <v>417</v>
      </c>
      <c r="B539" s="1">
        <v>5000000</v>
      </c>
      <c r="C539" s="5">
        <v>1.4289938796109363E-4</v>
      </c>
      <c r="F539" s="4" t="s">
        <v>465</v>
      </c>
      <c r="G539" s="1">
        <v>13018.099999999999</v>
      </c>
      <c r="H539" s="6">
        <f>SUM($G$2:G539)/SUM($G:$G)</f>
        <v>0.99999808939414436</v>
      </c>
    </row>
    <row r="540" spans="1:8" x14ac:dyDescent="0.2">
      <c r="A540" s="4" t="s">
        <v>508</v>
      </c>
      <c r="B540" s="1">
        <v>5000000</v>
      </c>
      <c r="C540" s="5">
        <v>1.4289938796109363E-4</v>
      </c>
      <c r="F540" s="4" t="s">
        <v>458</v>
      </c>
      <c r="G540" s="1">
        <v>11061.6</v>
      </c>
      <c r="H540" s="6">
        <f>SUM($G$2:G540)/SUM($G:$G)</f>
        <v>0.99999865265258037</v>
      </c>
    </row>
    <row r="541" spans="1:8" x14ac:dyDescent="0.2">
      <c r="A541" s="4" t="s">
        <v>725</v>
      </c>
      <c r="B541" s="1">
        <v>4994935.0999999996</v>
      </c>
      <c r="C541" s="5">
        <v>1.427546337390768E-4</v>
      </c>
      <c r="F541" s="4" t="s">
        <v>481</v>
      </c>
      <c r="G541" s="1">
        <v>7500</v>
      </c>
      <c r="H541" s="6">
        <f>SUM($G$2:G541)/SUM($G:$G)</f>
        <v>0.99999903455377648</v>
      </c>
    </row>
    <row r="542" spans="1:8" x14ac:dyDescent="0.2">
      <c r="A542" s="4" t="s">
        <v>1274</v>
      </c>
      <c r="B542" s="1">
        <v>4940000</v>
      </c>
      <c r="C542" s="5">
        <v>1.4118459530556053E-4</v>
      </c>
      <c r="F542" s="4" t="s">
        <v>525</v>
      </c>
      <c r="G542" s="1">
        <v>4640</v>
      </c>
      <c r="H542" s="6">
        <f>SUM($G$2:G542)/SUM($G:$G)</f>
        <v>0.99999927082331641</v>
      </c>
    </row>
    <row r="543" spans="1:8" x14ac:dyDescent="0.2">
      <c r="A543" s="4" t="s">
        <v>907</v>
      </c>
      <c r="B543" s="1">
        <v>4890309.1999999993</v>
      </c>
      <c r="C543" s="5">
        <v>1.3976443832410107E-4</v>
      </c>
      <c r="F543" s="4" t="s">
        <v>479</v>
      </c>
      <c r="G543" s="1">
        <v>3000</v>
      </c>
      <c r="H543" s="6">
        <f>SUM($G$2:G543)/SUM($G:$G)</f>
        <v>0.9999994235837949</v>
      </c>
    </row>
    <row r="544" spans="1:8" x14ac:dyDescent="0.2">
      <c r="A544" s="4" t="s">
        <v>969</v>
      </c>
      <c r="B544" s="1">
        <v>4879176.9000000004</v>
      </c>
      <c r="C544" s="5">
        <v>1.3944627855278126E-4</v>
      </c>
      <c r="F544" s="4" t="s">
        <v>456</v>
      </c>
      <c r="G544" s="1">
        <v>2600</v>
      </c>
      <c r="H544" s="6">
        <f>SUM($G$2:G544)/SUM($G:$G)</f>
        <v>0.99999955597620949</v>
      </c>
    </row>
    <row r="545" spans="1:8" x14ac:dyDescent="0.2">
      <c r="A545" s="4" t="s">
        <v>1478</v>
      </c>
      <c r="B545" s="1">
        <v>4869835.4999999991</v>
      </c>
      <c r="C545" s="5">
        <v>1.3917930248424126E-4</v>
      </c>
      <c r="F545" s="4" t="s">
        <v>520</v>
      </c>
      <c r="G545" s="1">
        <v>2250</v>
      </c>
      <c r="H545" s="6">
        <f>SUM($G$2:G545)/SUM($G:$G)</f>
        <v>0.99999967054656835</v>
      </c>
    </row>
    <row r="546" spans="1:8" x14ac:dyDescent="0.2">
      <c r="A546" s="4" t="s">
        <v>1038</v>
      </c>
      <c r="B546" s="1">
        <v>4855308.7</v>
      </c>
      <c r="C546" s="5">
        <v>1.3876412831843464E-4</v>
      </c>
      <c r="F546" s="4" t="s">
        <v>472</v>
      </c>
      <c r="G546" s="1">
        <v>1770</v>
      </c>
      <c r="H546" s="6">
        <f>SUM($G$2:G546)/SUM($G:$G)</f>
        <v>0.99999976067525065</v>
      </c>
    </row>
    <row r="547" spans="1:8" x14ac:dyDescent="0.2">
      <c r="A547" s="4" t="s">
        <v>181</v>
      </c>
      <c r="B547" s="1">
        <v>4850000</v>
      </c>
      <c r="C547" s="5">
        <v>1.3861240632226084E-4</v>
      </c>
      <c r="F547" s="4" t="s">
        <v>504</v>
      </c>
      <c r="G547" s="1">
        <v>1155</v>
      </c>
      <c r="H547" s="6">
        <f>SUM($G$2:G547)/SUM($G:$G)</f>
        <v>0.99999981948803485</v>
      </c>
    </row>
    <row r="548" spans="1:8" x14ac:dyDescent="0.2">
      <c r="A548" s="4" t="s">
        <v>1053</v>
      </c>
      <c r="B548" s="1">
        <v>4844600</v>
      </c>
      <c r="C548" s="5">
        <v>1.3845807498326284E-4</v>
      </c>
      <c r="F548" s="4" t="s">
        <v>460</v>
      </c>
      <c r="G548" s="1">
        <v>1050</v>
      </c>
      <c r="H548" s="6">
        <f>SUM($G$2:G548)/SUM($G:$G)</f>
        <v>0.99999987295420234</v>
      </c>
    </row>
    <row r="549" spans="1:8" x14ac:dyDescent="0.2">
      <c r="A549" s="4" t="s">
        <v>1092</v>
      </c>
      <c r="B549" s="1">
        <v>4826015.5999999996</v>
      </c>
      <c r="C549" s="5">
        <v>1.37926935106138E-4</v>
      </c>
      <c r="F549" s="4" t="s">
        <v>523</v>
      </c>
      <c r="G549" s="1">
        <v>600</v>
      </c>
      <c r="H549" s="6">
        <f>SUM($G$2:G549)/SUM($G:$G)</f>
        <v>0.99999990350629797</v>
      </c>
    </row>
    <row r="550" spans="1:8" x14ac:dyDescent="0.2">
      <c r="A550" s="4" t="s">
        <v>929</v>
      </c>
      <c r="B550" s="1">
        <v>4822983</v>
      </c>
      <c r="C550" s="5">
        <v>1.3784026376935187E-4</v>
      </c>
      <c r="F550" s="4" t="s">
        <v>587</v>
      </c>
      <c r="G550" s="1">
        <v>550</v>
      </c>
      <c r="H550" s="6">
        <f>SUM($G$2:G550)/SUM($G:$G)</f>
        <v>0.99999993151238564</v>
      </c>
    </row>
    <row r="551" spans="1:8" x14ac:dyDescent="0.2">
      <c r="A551" s="4" t="s">
        <v>838</v>
      </c>
      <c r="B551" s="1">
        <v>4811004.9000000004</v>
      </c>
      <c r="C551" s="5">
        <v>1.374979311375645E-4</v>
      </c>
      <c r="F551" s="4" t="s">
        <v>488</v>
      </c>
      <c r="G551" s="1">
        <v>462.6</v>
      </c>
      <c r="H551" s="6">
        <f>SUM($G$2:G551)/SUM($G:$G)</f>
        <v>0.99999995506805139</v>
      </c>
    </row>
    <row r="552" spans="1:8" x14ac:dyDescent="0.2">
      <c r="A552" s="4" t="s">
        <v>1891</v>
      </c>
      <c r="B552" s="1">
        <v>4775175.3</v>
      </c>
      <c r="C552" s="5">
        <v>1.3647392555538634E-4</v>
      </c>
      <c r="F552" s="4" t="s">
        <v>483</v>
      </c>
      <c r="G552" s="1">
        <v>455.6</v>
      </c>
      <c r="H552" s="6">
        <f>SUM($G$2:G552)/SUM($G:$G)</f>
        <v>0.99999997826727594</v>
      </c>
    </row>
    <row r="553" spans="1:8" x14ac:dyDescent="0.2">
      <c r="A553" s="4" t="s">
        <v>394</v>
      </c>
      <c r="B553" s="1">
        <v>4772699.8</v>
      </c>
      <c r="C553" s="5">
        <v>1.3640317606840679E-4</v>
      </c>
      <c r="F553" s="4" t="s">
        <v>422</v>
      </c>
      <c r="G553" s="1">
        <v>426.8</v>
      </c>
      <c r="H553" s="6">
        <f>SUM($G$2:G553)/SUM($G:$G)</f>
        <v>1</v>
      </c>
    </row>
    <row r="554" spans="1:8" x14ac:dyDescent="0.2">
      <c r="A554" s="4" t="s">
        <v>2506</v>
      </c>
      <c r="B554" s="1">
        <v>4720000</v>
      </c>
      <c r="C554" s="5">
        <v>1.3489702223527239E-4</v>
      </c>
    </row>
    <row r="555" spans="1:8" x14ac:dyDescent="0.2">
      <c r="A555" s="4" t="s">
        <v>1532</v>
      </c>
      <c r="B555" s="1">
        <v>4708095</v>
      </c>
      <c r="C555" s="5">
        <v>1.3455677879253703E-4</v>
      </c>
    </row>
    <row r="556" spans="1:8" x14ac:dyDescent="0.2">
      <c r="A556" s="4" t="s">
        <v>175</v>
      </c>
      <c r="B556" s="1">
        <v>4674327</v>
      </c>
      <c r="C556" s="5">
        <v>1.3359169348600299E-4</v>
      </c>
    </row>
    <row r="557" spans="1:8" x14ac:dyDescent="0.2">
      <c r="A557" s="4" t="s">
        <v>264</v>
      </c>
      <c r="B557" s="1">
        <v>4647616.3</v>
      </c>
      <c r="C557" s="5">
        <v>1.3282830494960052E-4</v>
      </c>
    </row>
    <row r="558" spans="1:8" x14ac:dyDescent="0.2">
      <c r="A558" s="4" t="s">
        <v>855</v>
      </c>
      <c r="B558" s="1">
        <v>4606581.0999999996</v>
      </c>
      <c r="C558" s="5">
        <v>1.316555239566283E-4</v>
      </c>
    </row>
    <row r="559" spans="1:8" x14ac:dyDescent="0.2">
      <c r="A559" s="4" t="s">
        <v>427</v>
      </c>
      <c r="B559" s="1">
        <v>4606280.5999999996</v>
      </c>
      <c r="C559" s="5">
        <v>1.3164693570341183E-4</v>
      </c>
    </row>
    <row r="560" spans="1:8" x14ac:dyDescent="0.2">
      <c r="A560" s="4" t="s">
        <v>812</v>
      </c>
      <c r="B560" s="1">
        <v>4600943.6000000006</v>
      </c>
      <c r="C560" s="5">
        <v>1.3149440489670217E-4</v>
      </c>
    </row>
    <row r="561" spans="1:3" x14ac:dyDescent="0.2">
      <c r="A561" s="4" t="s">
        <v>570</v>
      </c>
      <c r="B561" s="1">
        <v>4600000</v>
      </c>
      <c r="C561" s="5">
        <v>1.3146743692420615E-4</v>
      </c>
    </row>
    <row r="562" spans="1:3" x14ac:dyDescent="0.2">
      <c r="A562" s="4" t="s">
        <v>787</v>
      </c>
      <c r="B562" s="1">
        <v>4551500</v>
      </c>
      <c r="C562" s="5">
        <v>1.3008131286098353E-4</v>
      </c>
    </row>
    <row r="563" spans="1:3" x14ac:dyDescent="0.2">
      <c r="A563" s="4" t="s">
        <v>832</v>
      </c>
      <c r="B563" s="1">
        <v>4509274.5</v>
      </c>
      <c r="C563" s="5">
        <v>1.288745132397133E-4</v>
      </c>
    </row>
    <row r="564" spans="1:3" x14ac:dyDescent="0.2">
      <c r="A564" s="4" t="s">
        <v>806</v>
      </c>
      <c r="B564" s="1">
        <v>4500000</v>
      </c>
      <c r="C564" s="5">
        <v>1.2860944916498427E-4</v>
      </c>
    </row>
    <row r="565" spans="1:3" x14ac:dyDescent="0.2">
      <c r="A565" s="4" t="s">
        <v>399</v>
      </c>
      <c r="B565" s="1">
        <v>4500000</v>
      </c>
      <c r="C565" s="5">
        <v>1.2860944916498427E-4</v>
      </c>
    </row>
    <row r="566" spans="1:3" x14ac:dyDescent="0.2">
      <c r="A566" s="4" t="s">
        <v>401</v>
      </c>
      <c r="B566" s="1">
        <v>4500000</v>
      </c>
      <c r="C566" s="5">
        <v>1.2860944916498427E-4</v>
      </c>
    </row>
    <row r="567" spans="1:3" x14ac:dyDescent="0.2">
      <c r="A567" s="4" t="s">
        <v>400</v>
      </c>
      <c r="B567" s="1">
        <v>4500000</v>
      </c>
      <c r="C567" s="5">
        <v>1.2860944916498427E-4</v>
      </c>
    </row>
    <row r="568" spans="1:3" x14ac:dyDescent="0.2">
      <c r="A568" s="4" t="s">
        <v>767</v>
      </c>
      <c r="B568" s="1">
        <v>4468527.0999999996</v>
      </c>
      <c r="C568" s="5">
        <v>1.2770995753551214E-4</v>
      </c>
    </row>
    <row r="569" spans="1:3" x14ac:dyDescent="0.2">
      <c r="A569" s="4" t="s">
        <v>877</v>
      </c>
      <c r="B569" s="1">
        <v>4457653.8</v>
      </c>
      <c r="C569" s="5">
        <v>1.2739919995248867E-4</v>
      </c>
    </row>
    <row r="570" spans="1:3" x14ac:dyDescent="0.2">
      <c r="A570" s="4" t="s">
        <v>827</v>
      </c>
      <c r="B570" s="1">
        <v>4447987</v>
      </c>
      <c r="C570" s="5">
        <v>1.2712292399178019E-4</v>
      </c>
    </row>
    <row r="571" spans="1:3" x14ac:dyDescent="0.2">
      <c r="A571" s="4" t="s">
        <v>760</v>
      </c>
      <c r="B571" s="1">
        <v>4436184</v>
      </c>
      <c r="C571" s="5">
        <v>1.2678559569655925E-4</v>
      </c>
    </row>
    <row r="572" spans="1:3" x14ac:dyDescent="0.2">
      <c r="A572" s="4" t="s">
        <v>530</v>
      </c>
      <c r="B572" s="1">
        <v>4415000</v>
      </c>
      <c r="C572" s="5">
        <v>1.2618015956964568E-4</v>
      </c>
    </row>
    <row r="573" spans="1:3" x14ac:dyDescent="0.2">
      <c r="A573" s="4" t="s">
        <v>68</v>
      </c>
      <c r="B573" s="1">
        <v>4381000</v>
      </c>
      <c r="C573" s="5">
        <v>1.2520844373151025E-4</v>
      </c>
    </row>
    <row r="574" spans="1:3" x14ac:dyDescent="0.2">
      <c r="A574" s="4" t="s">
        <v>870</v>
      </c>
      <c r="B574" s="1">
        <v>4330917.2</v>
      </c>
      <c r="C574" s="5">
        <v>1.2377708343803468E-4</v>
      </c>
    </row>
    <row r="575" spans="1:3" x14ac:dyDescent="0.2">
      <c r="A575" s="4" t="s">
        <v>1022</v>
      </c>
      <c r="B575" s="1">
        <v>4329265.0999999996</v>
      </c>
      <c r="C575" s="5">
        <v>1.2372986662226456E-4</v>
      </c>
    </row>
    <row r="576" spans="1:3" x14ac:dyDescent="0.2">
      <c r="A576" s="4" t="s">
        <v>565</v>
      </c>
      <c r="B576" s="1">
        <v>4307241.5</v>
      </c>
      <c r="C576" s="5">
        <v>1.2310043483012458E-4</v>
      </c>
    </row>
    <row r="577" spans="1:3" x14ac:dyDescent="0.2">
      <c r="A577" s="4" t="s">
        <v>1513</v>
      </c>
      <c r="B577" s="1">
        <v>4292168</v>
      </c>
      <c r="C577" s="5">
        <v>1.2266963604523826E-4</v>
      </c>
    </row>
    <row r="578" spans="1:3" x14ac:dyDescent="0.2">
      <c r="A578" s="4" t="s">
        <v>1360</v>
      </c>
      <c r="B578" s="1">
        <v>4291942.7</v>
      </c>
      <c r="C578" s="5">
        <v>1.2266319699881674E-4</v>
      </c>
    </row>
    <row r="579" spans="1:3" x14ac:dyDescent="0.2">
      <c r="A579" s="4" t="s">
        <v>1453</v>
      </c>
      <c r="B579" s="1">
        <v>4255698.8</v>
      </c>
      <c r="C579" s="5">
        <v>1.2162735077335213E-4</v>
      </c>
    </row>
    <row r="580" spans="1:3" x14ac:dyDescent="0.2">
      <c r="A580" s="4" t="s">
        <v>96</v>
      </c>
      <c r="B580" s="1">
        <v>4250902.4000000004</v>
      </c>
      <c r="C580" s="5">
        <v>1.2149027024846882E-4</v>
      </c>
    </row>
    <row r="581" spans="1:3" x14ac:dyDescent="0.2">
      <c r="A581" s="4" t="s">
        <v>533</v>
      </c>
      <c r="B581" s="1">
        <v>4220873.2</v>
      </c>
      <c r="C581" s="5">
        <v>1.2063203938827657E-4</v>
      </c>
    </row>
    <row r="582" spans="1:3" x14ac:dyDescent="0.2">
      <c r="A582" s="4" t="s">
        <v>921</v>
      </c>
      <c r="B582" s="1">
        <v>4216799.8</v>
      </c>
      <c r="C582" s="5">
        <v>1.205156221148924E-4</v>
      </c>
    </row>
    <row r="583" spans="1:3" x14ac:dyDescent="0.2">
      <c r="A583" s="4" t="s">
        <v>2445</v>
      </c>
      <c r="B583" s="1">
        <v>4200000</v>
      </c>
      <c r="C583" s="5">
        <v>1.2003548588731866E-4</v>
      </c>
    </row>
    <row r="584" spans="1:3" x14ac:dyDescent="0.2">
      <c r="A584" s="4" t="s">
        <v>823</v>
      </c>
      <c r="B584" s="1">
        <v>4158544.4</v>
      </c>
      <c r="C584" s="5">
        <v>1.1885068991380667E-4</v>
      </c>
    </row>
    <row r="585" spans="1:3" x14ac:dyDescent="0.2">
      <c r="A585" s="4" t="s">
        <v>387</v>
      </c>
      <c r="B585" s="1">
        <v>4135811.7</v>
      </c>
      <c r="C585" s="5">
        <v>1.1820099213046605E-4</v>
      </c>
    </row>
    <row r="586" spans="1:3" x14ac:dyDescent="0.2">
      <c r="A586" s="4" t="s">
        <v>1559</v>
      </c>
      <c r="B586" s="1">
        <v>4123321.8</v>
      </c>
      <c r="C586" s="5">
        <v>1.1784403231732699E-4</v>
      </c>
    </row>
    <row r="587" spans="1:3" x14ac:dyDescent="0.2">
      <c r="A587" s="4" t="s">
        <v>990</v>
      </c>
      <c r="B587" s="1">
        <v>4076477.4</v>
      </c>
      <c r="C587" s="5">
        <v>1.1650522509944606E-4</v>
      </c>
    </row>
    <row r="588" spans="1:3" x14ac:dyDescent="0.2">
      <c r="A588" s="4" t="s">
        <v>735</v>
      </c>
      <c r="B588" s="1">
        <v>4057863</v>
      </c>
      <c r="C588" s="5">
        <v>1.1597322782599346E-4</v>
      </c>
    </row>
    <row r="589" spans="1:3" x14ac:dyDescent="0.2">
      <c r="A589" s="4" t="s">
        <v>1611</v>
      </c>
      <c r="B589" s="1">
        <v>4033166</v>
      </c>
      <c r="C589" s="5">
        <v>1.1526739058909844E-4</v>
      </c>
    </row>
    <row r="590" spans="1:3" x14ac:dyDescent="0.2">
      <c r="A590" s="4" t="s">
        <v>988</v>
      </c>
      <c r="B590" s="1">
        <v>4024771.2999999993</v>
      </c>
      <c r="C590" s="5">
        <v>1.1502747109067502E-4</v>
      </c>
    </row>
    <row r="591" spans="1:3" x14ac:dyDescent="0.2">
      <c r="A591" s="4" t="s">
        <v>388</v>
      </c>
      <c r="B591" s="1">
        <v>4012500</v>
      </c>
      <c r="C591" s="5">
        <v>1.1467675883877765E-4</v>
      </c>
    </row>
    <row r="592" spans="1:3" x14ac:dyDescent="0.2">
      <c r="A592" s="4" t="s">
        <v>2640</v>
      </c>
      <c r="B592" s="1">
        <v>4000000</v>
      </c>
      <c r="C592" s="5">
        <v>1.1431951036887492E-4</v>
      </c>
    </row>
    <row r="593" spans="1:3" x14ac:dyDescent="0.2">
      <c r="A593" s="4" t="s">
        <v>1594</v>
      </c>
      <c r="B593" s="1">
        <v>4000000</v>
      </c>
      <c r="C593" s="5">
        <v>1.1431951036887492E-4</v>
      </c>
    </row>
    <row r="594" spans="1:3" x14ac:dyDescent="0.2">
      <c r="A594" s="4" t="s">
        <v>145</v>
      </c>
      <c r="B594" s="1">
        <v>4000000</v>
      </c>
      <c r="C594" s="5">
        <v>1.1431951036887492E-4</v>
      </c>
    </row>
    <row r="595" spans="1:3" x14ac:dyDescent="0.2">
      <c r="A595" s="4" t="s">
        <v>335</v>
      </c>
      <c r="B595" s="1">
        <v>4000000</v>
      </c>
      <c r="C595" s="5">
        <v>1.1431951036887492E-4</v>
      </c>
    </row>
    <row r="596" spans="1:3" x14ac:dyDescent="0.2">
      <c r="A596" s="4" t="s">
        <v>1079</v>
      </c>
      <c r="B596" s="1">
        <v>3976374.6000000006</v>
      </c>
      <c r="C596" s="5">
        <v>1.1364429932880772E-4</v>
      </c>
    </row>
    <row r="597" spans="1:3" x14ac:dyDescent="0.2">
      <c r="A597" s="4" t="s">
        <v>879</v>
      </c>
      <c r="B597" s="1">
        <v>3970104.8</v>
      </c>
      <c r="C597" s="5">
        <v>1.1346510921228001E-4</v>
      </c>
    </row>
    <row r="598" spans="1:3" x14ac:dyDescent="0.2">
      <c r="A598" s="4" t="s">
        <v>1002</v>
      </c>
      <c r="B598" s="1">
        <v>3966035</v>
      </c>
      <c r="C598" s="5">
        <v>1.1334879482645521E-4</v>
      </c>
    </row>
    <row r="599" spans="1:3" x14ac:dyDescent="0.2">
      <c r="A599" s="4" t="s">
        <v>253</v>
      </c>
      <c r="B599" s="1">
        <v>3963710.1</v>
      </c>
      <c r="C599" s="5">
        <v>1.1328234946904106E-4</v>
      </c>
    </row>
    <row r="600" spans="1:3" x14ac:dyDescent="0.2">
      <c r="A600" s="4" t="s">
        <v>1059</v>
      </c>
      <c r="B600" s="1">
        <v>3944101.4000000004</v>
      </c>
      <c r="C600" s="5">
        <v>1.1272193522329852E-4</v>
      </c>
    </row>
    <row r="601" spans="1:3" x14ac:dyDescent="0.2">
      <c r="A601" s="4" t="s">
        <v>604</v>
      </c>
      <c r="B601" s="1">
        <v>3928000</v>
      </c>
      <c r="C601" s="5">
        <v>1.1226175918223516E-4</v>
      </c>
    </row>
    <row r="602" spans="1:3" x14ac:dyDescent="0.2">
      <c r="A602" s="4" t="s">
        <v>784</v>
      </c>
      <c r="B602" s="1">
        <v>3907407.2000000007</v>
      </c>
      <c r="C602" s="5">
        <v>1.1167321947895413E-4</v>
      </c>
    </row>
    <row r="603" spans="1:3" x14ac:dyDescent="0.2">
      <c r="A603" s="4" t="s">
        <v>722</v>
      </c>
      <c r="B603" s="1">
        <v>3902342.7</v>
      </c>
      <c r="C603" s="5">
        <v>1.1152847668888833E-4</v>
      </c>
    </row>
    <row r="604" spans="1:3" x14ac:dyDescent="0.2">
      <c r="A604" s="4" t="s">
        <v>580</v>
      </c>
      <c r="B604" s="1">
        <v>3897820</v>
      </c>
      <c r="C604" s="5">
        <v>1.1139921847650201E-4</v>
      </c>
    </row>
    <row r="605" spans="1:3" x14ac:dyDescent="0.2">
      <c r="A605" s="4" t="s">
        <v>1373</v>
      </c>
      <c r="B605" s="1">
        <v>3885962</v>
      </c>
      <c r="C605" s="5">
        <v>1.1106031828801347E-4</v>
      </c>
    </row>
    <row r="606" spans="1:3" x14ac:dyDescent="0.2">
      <c r="A606" s="4" t="s">
        <v>853</v>
      </c>
      <c r="B606" s="1">
        <v>3875000</v>
      </c>
      <c r="C606" s="5">
        <v>1.1074702566984757E-4</v>
      </c>
    </row>
    <row r="607" spans="1:3" x14ac:dyDescent="0.2">
      <c r="A607" s="4" t="s">
        <v>1093</v>
      </c>
      <c r="B607" s="1">
        <v>3860860</v>
      </c>
      <c r="C607" s="5">
        <v>1.1034290620069359E-4</v>
      </c>
    </row>
    <row r="608" spans="1:3" x14ac:dyDescent="0.2">
      <c r="A608" s="4" t="s">
        <v>884</v>
      </c>
      <c r="B608" s="1">
        <v>3860030.3</v>
      </c>
      <c r="C608" s="5">
        <v>1.1031919347625533E-4</v>
      </c>
    </row>
    <row r="609" spans="1:3" x14ac:dyDescent="0.2">
      <c r="A609" s="4" t="s">
        <v>740</v>
      </c>
      <c r="B609" s="1">
        <v>3850319.9</v>
      </c>
      <c r="C609" s="5">
        <v>1.1004167143288385E-4</v>
      </c>
    </row>
    <row r="610" spans="1:3" x14ac:dyDescent="0.2">
      <c r="A610" s="4" t="s">
        <v>397</v>
      </c>
      <c r="B610" s="1">
        <v>3826227.4</v>
      </c>
      <c r="C610" s="5">
        <v>1.0935311073199333E-4</v>
      </c>
    </row>
    <row r="611" spans="1:3" x14ac:dyDescent="0.2">
      <c r="A611" s="4" t="s">
        <v>808</v>
      </c>
      <c r="B611" s="1">
        <v>3812830</v>
      </c>
      <c r="C611" s="5">
        <v>1.0897021467993933E-4</v>
      </c>
    </row>
    <row r="612" spans="1:3" x14ac:dyDescent="0.2">
      <c r="A612" s="4" t="s">
        <v>987</v>
      </c>
      <c r="B612" s="1">
        <v>3772552.5999999996</v>
      </c>
      <c r="C612" s="5">
        <v>1.078190915182065E-4</v>
      </c>
    </row>
    <row r="613" spans="1:3" x14ac:dyDescent="0.2">
      <c r="A613" s="4" t="s">
        <v>737</v>
      </c>
      <c r="B613" s="1">
        <v>3752810.7</v>
      </c>
      <c r="C613" s="5">
        <v>1.0725487043276868E-4</v>
      </c>
    </row>
    <row r="614" spans="1:3" x14ac:dyDescent="0.2">
      <c r="A614" s="4" t="s">
        <v>2566</v>
      </c>
      <c r="B614" s="1">
        <v>3714519</v>
      </c>
      <c r="C614" s="5">
        <v>1.0616049833397071E-4</v>
      </c>
    </row>
    <row r="615" spans="1:3" x14ac:dyDescent="0.2">
      <c r="A615" s="4" t="s">
        <v>1003</v>
      </c>
      <c r="B615" s="1">
        <v>3713527.6</v>
      </c>
      <c r="C615" s="5">
        <v>1.061321642433258E-4</v>
      </c>
    </row>
    <row r="616" spans="1:3" x14ac:dyDescent="0.2">
      <c r="A616" s="4" t="s">
        <v>1019</v>
      </c>
      <c r="B616" s="1">
        <v>3685137.3</v>
      </c>
      <c r="C616" s="5">
        <v>1.0532077294451943E-4</v>
      </c>
    </row>
    <row r="617" spans="1:3" x14ac:dyDescent="0.2">
      <c r="A617" s="4" t="s">
        <v>794</v>
      </c>
      <c r="B617" s="1">
        <v>3674631.1</v>
      </c>
      <c r="C617" s="5">
        <v>1.0502050703456006E-4</v>
      </c>
    </row>
    <row r="618" spans="1:3" x14ac:dyDescent="0.2">
      <c r="A618" s="4" t="s">
        <v>161</v>
      </c>
      <c r="B618" s="1">
        <v>3655000</v>
      </c>
      <c r="C618" s="5">
        <v>1.0445945259955944E-4</v>
      </c>
    </row>
    <row r="619" spans="1:3" x14ac:dyDescent="0.2">
      <c r="A619" s="4" t="s">
        <v>691</v>
      </c>
      <c r="B619" s="1">
        <v>3631668.6</v>
      </c>
      <c r="C619" s="5">
        <v>1.0379264404350436E-4</v>
      </c>
    </row>
    <row r="620" spans="1:3" x14ac:dyDescent="0.2">
      <c r="A620" s="4" t="s">
        <v>324</v>
      </c>
      <c r="B620" s="1">
        <v>3600000</v>
      </c>
      <c r="C620" s="5">
        <v>1.0288755933198742E-4</v>
      </c>
    </row>
    <row r="621" spans="1:3" x14ac:dyDescent="0.2">
      <c r="A621" s="4" t="s">
        <v>2160</v>
      </c>
      <c r="B621" s="1">
        <v>3564317</v>
      </c>
      <c r="C621" s="5">
        <v>1.0186774355986428E-4</v>
      </c>
    </row>
    <row r="622" spans="1:3" x14ac:dyDescent="0.2">
      <c r="A622" s="4" t="s">
        <v>1000</v>
      </c>
      <c r="B622" s="1">
        <v>3536388.9</v>
      </c>
      <c r="C622" s="5">
        <v>1.0106956188048103E-4</v>
      </c>
    </row>
    <row r="623" spans="1:3" x14ac:dyDescent="0.2">
      <c r="A623" s="4" t="s">
        <v>597</v>
      </c>
      <c r="B623" s="1">
        <v>3533445</v>
      </c>
      <c r="C623" s="5">
        <v>1.009854255788373E-4</v>
      </c>
    </row>
    <row r="624" spans="1:3" x14ac:dyDescent="0.2">
      <c r="A624" s="4" t="s">
        <v>689</v>
      </c>
      <c r="B624" s="1">
        <v>3507375</v>
      </c>
      <c r="C624" s="5">
        <v>1.0024034817000817E-4</v>
      </c>
    </row>
    <row r="625" spans="1:3" x14ac:dyDescent="0.2">
      <c r="A625" s="4" t="s">
        <v>1533</v>
      </c>
      <c r="B625" s="1">
        <v>3500000</v>
      </c>
      <c r="C625" s="5">
        <v>1.0002957157276555E-4</v>
      </c>
    </row>
    <row r="626" spans="1:3" x14ac:dyDescent="0.2">
      <c r="A626" s="4" t="s">
        <v>545</v>
      </c>
      <c r="B626" s="1">
        <v>3500000</v>
      </c>
      <c r="C626" s="5">
        <v>1.0002957157276555E-4</v>
      </c>
    </row>
    <row r="627" spans="1:3" x14ac:dyDescent="0.2">
      <c r="A627" s="4" t="s">
        <v>1813</v>
      </c>
      <c r="B627" s="1">
        <v>3489634.9</v>
      </c>
      <c r="C627" s="5">
        <v>9.9733338283534433E-5</v>
      </c>
    </row>
    <row r="628" spans="1:3" x14ac:dyDescent="0.2">
      <c r="A628" s="4" t="s">
        <v>378</v>
      </c>
      <c r="B628" s="1">
        <v>3481926.5999999898</v>
      </c>
      <c r="C628" s="5">
        <v>9.9513036013090046E-5</v>
      </c>
    </row>
    <row r="629" spans="1:3" x14ac:dyDescent="0.2">
      <c r="A629" s="4" t="s">
        <v>902</v>
      </c>
      <c r="B629" s="1">
        <v>3458931.2</v>
      </c>
      <c r="C629" s="5">
        <v>9.8855830295906235E-5</v>
      </c>
    </row>
    <row r="630" spans="1:3" x14ac:dyDescent="0.2">
      <c r="A630" s="4" t="s">
        <v>848</v>
      </c>
      <c r="B630" s="1">
        <v>3398246.2</v>
      </c>
      <c r="C630" s="5">
        <v>9.7121460424222451E-5</v>
      </c>
    </row>
    <row r="631" spans="1:3" x14ac:dyDescent="0.2">
      <c r="A631" s="4" t="s">
        <v>2488</v>
      </c>
      <c r="B631" s="1">
        <v>3300000</v>
      </c>
      <c r="C631" s="5">
        <v>9.4313596054321802E-5</v>
      </c>
    </row>
    <row r="632" spans="1:3" x14ac:dyDescent="0.2">
      <c r="A632" s="4" t="s">
        <v>72</v>
      </c>
      <c r="B632" s="1">
        <v>3293758.9</v>
      </c>
      <c r="C632" s="5">
        <v>9.4135226180280999E-5</v>
      </c>
    </row>
    <row r="633" spans="1:3" x14ac:dyDescent="0.2">
      <c r="A633" s="4" t="s">
        <v>512</v>
      </c>
      <c r="B633" s="1">
        <v>3283154.0999999898</v>
      </c>
      <c r="C633" s="5">
        <v>9.3832142294390753E-5</v>
      </c>
    </row>
    <row r="634" spans="1:3" x14ac:dyDescent="0.2">
      <c r="A634" s="4" t="s">
        <v>234</v>
      </c>
      <c r="B634" s="1">
        <v>3268606.8</v>
      </c>
      <c r="C634" s="5">
        <v>9.3416382241093759E-5</v>
      </c>
    </row>
    <row r="635" spans="1:3" x14ac:dyDescent="0.2">
      <c r="A635" s="4" t="s">
        <v>775</v>
      </c>
      <c r="B635" s="1">
        <v>3264512</v>
      </c>
      <c r="C635" s="5">
        <v>9.3299353358329145E-5</v>
      </c>
    </row>
    <row r="636" spans="1:3" x14ac:dyDescent="0.2">
      <c r="A636" s="4" t="s">
        <v>407</v>
      </c>
      <c r="B636" s="1">
        <v>3249500</v>
      </c>
      <c r="C636" s="5">
        <v>9.287031223591476E-5</v>
      </c>
    </row>
    <row r="637" spans="1:3" x14ac:dyDescent="0.2">
      <c r="A637" s="4" t="s">
        <v>243</v>
      </c>
      <c r="B637" s="1">
        <v>3223348.5</v>
      </c>
      <c r="C637" s="5">
        <v>9.2122905567061845E-5</v>
      </c>
    </row>
    <row r="638" spans="1:3" x14ac:dyDescent="0.2">
      <c r="A638" s="4" t="s">
        <v>500</v>
      </c>
      <c r="B638" s="1">
        <v>3219688</v>
      </c>
      <c r="C638" s="5">
        <v>9.2018288925135538E-5</v>
      </c>
    </row>
    <row r="639" spans="1:3" x14ac:dyDescent="0.2">
      <c r="A639" s="4" t="s">
        <v>1564</v>
      </c>
      <c r="B639" s="1">
        <v>3213000</v>
      </c>
      <c r="C639" s="5">
        <v>9.1827146703798767E-5</v>
      </c>
    </row>
    <row r="640" spans="1:3" x14ac:dyDescent="0.2">
      <c r="A640" s="4" t="s">
        <v>173</v>
      </c>
      <c r="B640" s="1">
        <v>3212166.4</v>
      </c>
      <c r="C640" s="5">
        <v>9.1803322517837891E-5</v>
      </c>
    </row>
    <row r="641" spans="1:3" x14ac:dyDescent="0.2">
      <c r="A641" s="4" t="s">
        <v>672</v>
      </c>
      <c r="B641" s="1">
        <v>3170220.9</v>
      </c>
      <c r="C641" s="5">
        <v>9.0604525262293488E-5</v>
      </c>
    </row>
    <row r="642" spans="1:3" x14ac:dyDescent="0.2">
      <c r="A642" s="4" t="s">
        <v>543</v>
      </c>
      <c r="B642" s="1">
        <v>3166898.9</v>
      </c>
      <c r="C642" s="5">
        <v>9.0509582908932139E-5</v>
      </c>
    </row>
    <row r="643" spans="1:3" x14ac:dyDescent="0.2">
      <c r="A643" s="4" t="s">
        <v>873</v>
      </c>
      <c r="B643" s="1">
        <v>3134369.9</v>
      </c>
      <c r="C643" s="5">
        <v>8.9579908070734849E-5</v>
      </c>
    </row>
    <row r="644" spans="1:3" x14ac:dyDescent="0.2">
      <c r="A644" s="4" t="s">
        <v>909</v>
      </c>
      <c r="B644" s="1">
        <v>3128188.1</v>
      </c>
      <c r="C644" s="5">
        <v>8.9403232983435276E-5</v>
      </c>
    </row>
    <row r="645" spans="1:3" x14ac:dyDescent="0.2">
      <c r="A645" s="4" t="s">
        <v>1016</v>
      </c>
      <c r="B645" s="1">
        <v>3121155.7</v>
      </c>
      <c r="C645" s="5">
        <v>8.9202247852255759E-5</v>
      </c>
    </row>
    <row r="646" spans="1:3" x14ac:dyDescent="0.2">
      <c r="A646" s="4" t="s">
        <v>328</v>
      </c>
      <c r="B646" s="1">
        <v>3120000</v>
      </c>
      <c r="C646" s="5">
        <v>8.9169218087722428E-5</v>
      </c>
    </row>
    <row r="647" spans="1:3" x14ac:dyDescent="0.2">
      <c r="A647" s="4" t="s">
        <v>753</v>
      </c>
      <c r="B647" s="1">
        <v>3116861.8</v>
      </c>
      <c r="C647" s="5">
        <v>8.9079528715862519E-5</v>
      </c>
    </row>
    <row r="648" spans="1:3" x14ac:dyDescent="0.2">
      <c r="A648" s="4" t="s">
        <v>979</v>
      </c>
      <c r="B648" s="1">
        <v>3116081.6</v>
      </c>
      <c r="C648" s="5">
        <v>8.9057230695365085E-5</v>
      </c>
    </row>
    <row r="649" spans="1:3" x14ac:dyDescent="0.2">
      <c r="A649" s="4" t="s">
        <v>918</v>
      </c>
      <c r="B649" s="1">
        <v>3094063.8</v>
      </c>
      <c r="C649" s="5">
        <v>8.8427964666515125E-5</v>
      </c>
    </row>
    <row r="650" spans="1:3" x14ac:dyDescent="0.2">
      <c r="A650" s="4" t="s">
        <v>880</v>
      </c>
      <c r="B650" s="1">
        <v>3054914.6999999997</v>
      </c>
      <c r="C650" s="5">
        <v>8.7309088180669594E-5</v>
      </c>
    </row>
    <row r="651" spans="1:3" x14ac:dyDescent="0.2">
      <c r="A651" s="4" t="s">
        <v>919</v>
      </c>
      <c r="B651" s="1">
        <v>3045959.5000000005</v>
      </c>
      <c r="C651" s="5">
        <v>8.7053149660855779E-5</v>
      </c>
    </row>
    <row r="652" spans="1:3" x14ac:dyDescent="0.2">
      <c r="A652" s="4" t="s">
        <v>1768</v>
      </c>
      <c r="B652" s="1">
        <v>3045000</v>
      </c>
      <c r="C652" s="5">
        <v>8.7025727268306031E-5</v>
      </c>
    </row>
    <row r="653" spans="1:3" x14ac:dyDescent="0.2">
      <c r="A653" s="4" t="s">
        <v>1026</v>
      </c>
      <c r="B653" s="1">
        <v>3033016.5000000005</v>
      </c>
      <c r="C653" s="5">
        <v>8.6683240305179682E-5</v>
      </c>
    </row>
    <row r="654" spans="1:3" x14ac:dyDescent="0.2">
      <c r="A654" s="4" t="s">
        <v>1009</v>
      </c>
      <c r="B654" s="1">
        <v>3031165.5</v>
      </c>
      <c r="C654" s="5">
        <v>8.6630338951756476E-5</v>
      </c>
    </row>
    <row r="655" spans="1:3" x14ac:dyDescent="0.2">
      <c r="A655" s="4" t="s">
        <v>862</v>
      </c>
      <c r="B655" s="1">
        <v>3019815.2</v>
      </c>
      <c r="C655" s="5">
        <v>8.6305948767121516E-5</v>
      </c>
    </row>
    <row r="656" spans="1:3" x14ac:dyDescent="0.2">
      <c r="A656" s="4" t="s">
        <v>589</v>
      </c>
      <c r="B656" s="1">
        <v>3008722.6</v>
      </c>
      <c r="C656" s="5">
        <v>8.5988923616942074E-5</v>
      </c>
    </row>
    <row r="657" spans="1:3" x14ac:dyDescent="0.2">
      <c r="A657" s="4" t="s">
        <v>912</v>
      </c>
      <c r="B657" s="1">
        <v>3002088.1</v>
      </c>
      <c r="C657" s="5">
        <v>8.5799310419056504E-5</v>
      </c>
    </row>
    <row r="658" spans="1:3" x14ac:dyDescent="0.2">
      <c r="A658" s="4" t="s">
        <v>2688</v>
      </c>
      <c r="B658" s="1">
        <v>3000000</v>
      </c>
      <c r="C658" s="5">
        <v>8.5739632776656187E-5</v>
      </c>
    </row>
    <row r="659" spans="1:3" x14ac:dyDescent="0.2">
      <c r="A659" s="4" t="s">
        <v>2635</v>
      </c>
      <c r="B659" s="1">
        <v>3000000</v>
      </c>
      <c r="C659" s="5">
        <v>8.5739632776656187E-5</v>
      </c>
    </row>
    <row r="660" spans="1:3" x14ac:dyDescent="0.2">
      <c r="A660" s="4" t="s">
        <v>2680</v>
      </c>
      <c r="B660" s="1">
        <v>3000000</v>
      </c>
      <c r="C660" s="5">
        <v>8.5739632776656187E-5</v>
      </c>
    </row>
    <row r="661" spans="1:3" x14ac:dyDescent="0.2">
      <c r="A661" s="4" t="s">
        <v>2687</v>
      </c>
      <c r="B661" s="1">
        <v>3000000</v>
      </c>
      <c r="C661" s="5">
        <v>8.5739632776656187E-5</v>
      </c>
    </row>
    <row r="662" spans="1:3" x14ac:dyDescent="0.2">
      <c r="A662" s="4" t="s">
        <v>2689</v>
      </c>
      <c r="B662" s="1">
        <v>3000000</v>
      </c>
      <c r="C662" s="5">
        <v>8.5739632776656187E-5</v>
      </c>
    </row>
    <row r="663" spans="1:3" x14ac:dyDescent="0.2">
      <c r="A663" s="4" t="s">
        <v>329</v>
      </c>
      <c r="B663" s="1">
        <v>3000000</v>
      </c>
      <c r="C663" s="5">
        <v>8.5739632776656187E-5</v>
      </c>
    </row>
    <row r="664" spans="1:3" x14ac:dyDescent="0.2">
      <c r="A664" s="4" t="s">
        <v>330</v>
      </c>
      <c r="B664" s="1">
        <v>3000000</v>
      </c>
      <c r="C664" s="5">
        <v>8.5739632776656187E-5</v>
      </c>
    </row>
    <row r="665" spans="1:3" x14ac:dyDescent="0.2">
      <c r="A665" s="4" t="s">
        <v>327</v>
      </c>
      <c r="B665" s="1">
        <v>3000000</v>
      </c>
      <c r="C665" s="5">
        <v>8.5739632776656187E-5</v>
      </c>
    </row>
    <row r="666" spans="1:3" x14ac:dyDescent="0.2">
      <c r="A666" s="4" t="s">
        <v>155</v>
      </c>
      <c r="B666" s="1">
        <v>3000000</v>
      </c>
      <c r="C666" s="5">
        <v>8.5739632776656187E-5</v>
      </c>
    </row>
    <row r="667" spans="1:3" x14ac:dyDescent="0.2">
      <c r="A667" s="4" t="s">
        <v>156</v>
      </c>
      <c r="B667" s="1">
        <v>3000000</v>
      </c>
      <c r="C667" s="5">
        <v>8.5739632776656187E-5</v>
      </c>
    </row>
    <row r="668" spans="1:3" x14ac:dyDescent="0.2">
      <c r="A668" s="4" t="s">
        <v>118</v>
      </c>
      <c r="B668" s="1">
        <v>3000000</v>
      </c>
      <c r="C668" s="5">
        <v>8.5739632776656187E-5</v>
      </c>
    </row>
    <row r="669" spans="1:3" x14ac:dyDescent="0.2">
      <c r="A669" s="4" t="s">
        <v>158</v>
      </c>
      <c r="B669" s="1">
        <v>3000000</v>
      </c>
      <c r="C669" s="5">
        <v>8.5739632776656187E-5</v>
      </c>
    </row>
    <row r="670" spans="1:3" x14ac:dyDescent="0.2">
      <c r="A670" s="4" t="s">
        <v>171</v>
      </c>
      <c r="B670" s="1">
        <v>3000000</v>
      </c>
      <c r="C670" s="5">
        <v>8.5739632776656187E-5</v>
      </c>
    </row>
    <row r="671" spans="1:3" x14ac:dyDescent="0.2">
      <c r="A671" s="4" t="s">
        <v>166</v>
      </c>
      <c r="B671" s="1">
        <v>3000000</v>
      </c>
      <c r="C671" s="5">
        <v>8.5739632776656187E-5</v>
      </c>
    </row>
    <row r="672" spans="1:3" x14ac:dyDescent="0.2">
      <c r="A672" s="4" t="s">
        <v>326</v>
      </c>
      <c r="B672" s="1">
        <v>3000000</v>
      </c>
      <c r="C672" s="5">
        <v>8.5739632776656187E-5</v>
      </c>
    </row>
    <row r="673" spans="1:3" x14ac:dyDescent="0.2">
      <c r="A673" s="4" t="s">
        <v>325</v>
      </c>
      <c r="B673" s="1">
        <v>3000000</v>
      </c>
      <c r="C673" s="5">
        <v>8.5739632776656187E-5</v>
      </c>
    </row>
    <row r="674" spans="1:3" x14ac:dyDescent="0.2">
      <c r="A674" s="4" t="s">
        <v>168</v>
      </c>
      <c r="B674" s="1">
        <v>3000000</v>
      </c>
      <c r="C674" s="5">
        <v>8.5739632776656187E-5</v>
      </c>
    </row>
    <row r="675" spans="1:3" x14ac:dyDescent="0.2">
      <c r="A675" s="4" t="s">
        <v>165</v>
      </c>
      <c r="B675" s="1">
        <v>3000000</v>
      </c>
      <c r="C675" s="5">
        <v>8.5739632776656187E-5</v>
      </c>
    </row>
    <row r="676" spans="1:3" x14ac:dyDescent="0.2">
      <c r="A676" s="4" t="s">
        <v>159</v>
      </c>
      <c r="B676" s="1">
        <v>3000000</v>
      </c>
      <c r="C676" s="5">
        <v>8.5739632776656187E-5</v>
      </c>
    </row>
    <row r="677" spans="1:3" x14ac:dyDescent="0.2">
      <c r="A677" s="4" t="s">
        <v>319</v>
      </c>
      <c r="B677" s="1">
        <v>3000000</v>
      </c>
      <c r="C677" s="5">
        <v>8.5739632776656187E-5</v>
      </c>
    </row>
    <row r="678" spans="1:3" x14ac:dyDescent="0.2">
      <c r="A678" s="4" t="s">
        <v>611</v>
      </c>
      <c r="B678" s="1">
        <v>3000000</v>
      </c>
      <c r="C678" s="5">
        <v>8.5739632776656187E-5</v>
      </c>
    </row>
    <row r="679" spans="1:3" x14ac:dyDescent="0.2">
      <c r="A679" s="4" t="s">
        <v>162</v>
      </c>
      <c r="B679" s="1">
        <v>3000000</v>
      </c>
      <c r="C679" s="5">
        <v>8.5739632776656187E-5</v>
      </c>
    </row>
    <row r="680" spans="1:3" x14ac:dyDescent="0.2">
      <c r="A680" s="4" t="s">
        <v>164</v>
      </c>
      <c r="B680" s="1">
        <v>3000000</v>
      </c>
      <c r="C680" s="5">
        <v>8.5739632776656187E-5</v>
      </c>
    </row>
    <row r="681" spans="1:3" x14ac:dyDescent="0.2">
      <c r="A681" s="4" t="s">
        <v>323</v>
      </c>
      <c r="B681" s="1">
        <v>3000000</v>
      </c>
      <c r="C681" s="5">
        <v>8.5739632776656187E-5</v>
      </c>
    </row>
    <row r="682" spans="1:3" x14ac:dyDescent="0.2">
      <c r="A682" s="4" t="s">
        <v>320</v>
      </c>
      <c r="B682" s="1">
        <v>3000000</v>
      </c>
      <c r="C682" s="5">
        <v>8.5739632776656187E-5</v>
      </c>
    </row>
    <row r="683" spans="1:3" x14ac:dyDescent="0.2">
      <c r="A683" s="4" t="s">
        <v>154</v>
      </c>
      <c r="B683" s="1">
        <v>3000000</v>
      </c>
      <c r="C683" s="5">
        <v>8.5739632776656187E-5</v>
      </c>
    </row>
    <row r="684" spans="1:3" x14ac:dyDescent="0.2">
      <c r="A684" s="4" t="s">
        <v>163</v>
      </c>
      <c r="B684" s="1">
        <v>3000000</v>
      </c>
      <c r="C684" s="5">
        <v>8.5739632776656187E-5</v>
      </c>
    </row>
    <row r="685" spans="1:3" x14ac:dyDescent="0.2">
      <c r="A685" s="4" t="s">
        <v>151</v>
      </c>
      <c r="B685" s="1">
        <v>3000000</v>
      </c>
      <c r="C685" s="5">
        <v>8.5739632776656187E-5</v>
      </c>
    </row>
    <row r="686" spans="1:3" x14ac:dyDescent="0.2">
      <c r="A686" s="4" t="s">
        <v>170</v>
      </c>
      <c r="B686" s="1">
        <v>3000000</v>
      </c>
      <c r="C686" s="5">
        <v>8.5739632776656187E-5</v>
      </c>
    </row>
    <row r="687" spans="1:3" x14ac:dyDescent="0.2">
      <c r="A687" s="4" t="s">
        <v>322</v>
      </c>
      <c r="B687" s="1">
        <v>3000000</v>
      </c>
      <c r="C687" s="5">
        <v>8.5739632776656187E-5</v>
      </c>
    </row>
    <row r="688" spans="1:3" x14ac:dyDescent="0.2">
      <c r="A688" s="4" t="s">
        <v>157</v>
      </c>
      <c r="B688" s="1">
        <v>3000000</v>
      </c>
      <c r="C688" s="5">
        <v>8.5739632776656187E-5</v>
      </c>
    </row>
    <row r="689" spans="1:3" x14ac:dyDescent="0.2">
      <c r="A689" s="4" t="s">
        <v>331</v>
      </c>
      <c r="B689" s="1">
        <v>3000000</v>
      </c>
      <c r="C689" s="5">
        <v>8.5739632776656187E-5</v>
      </c>
    </row>
    <row r="690" spans="1:3" x14ac:dyDescent="0.2">
      <c r="A690" s="4" t="s">
        <v>2588</v>
      </c>
      <c r="B690" s="1">
        <v>2983269</v>
      </c>
      <c r="C690" s="5">
        <v>8.5261462844660773E-5</v>
      </c>
    </row>
    <row r="691" spans="1:3" x14ac:dyDescent="0.2">
      <c r="A691" s="4" t="s">
        <v>773</v>
      </c>
      <c r="B691" s="1">
        <v>2935565</v>
      </c>
      <c r="C691" s="5">
        <v>8.389808836400157E-5</v>
      </c>
    </row>
    <row r="692" spans="1:3" x14ac:dyDescent="0.2">
      <c r="A692" s="4" t="s">
        <v>788</v>
      </c>
      <c r="B692" s="1">
        <v>2920941</v>
      </c>
      <c r="C692" s="5">
        <v>8.348013623409297E-5</v>
      </c>
    </row>
    <row r="693" spans="1:3" x14ac:dyDescent="0.2">
      <c r="A693" s="4" t="s">
        <v>556</v>
      </c>
      <c r="B693" s="1">
        <v>2913391</v>
      </c>
      <c r="C693" s="5">
        <v>8.3264358158271712E-5</v>
      </c>
    </row>
    <row r="694" spans="1:3" x14ac:dyDescent="0.2">
      <c r="A694" s="4" t="s">
        <v>962</v>
      </c>
      <c r="B694" s="1">
        <v>2892710.5</v>
      </c>
      <c r="C694" s="5">
        <v>8.2673311999725832E-5</v>
      </c>
    </row>
    <row r="695" spans="1:3" x14ac:dyDescent="0.2">
      <c r="A695" s="4" t="s">
        <v>357</v>
      </c>
      <c r="B695" s="1">
        <v>2881532.0999999898</v>
      </c>
      <c r="C695" s="5">
        <v>8.2353834696048691E-5</v>
      </c>
    </row>
    <row r="696" spans="1:3" x14ac:dyDescent="0.2">
      <c r="A696" s="4" t="s">
        <v>1361</v>
      </c>
      <c r="B696" s="1">
        <v>2868664.8</v>
      </c>
      <c r="C696" s="5">
        <v>8.1986088837106614E-5</v>
      </c>
    </row>
    <row r="697" spans="1:3" x14ac:dyDescent="0.2">
      <c r="A697" s="4" t="s">
        <v>829</v>
      </c>
      <c r="B697" s="1">
        <v>2857874.7</v>
      </c>
      <c r="C697" s="5">
        <v>8.1677709099898819E-5</v>
      </c>
    </row>
    <row r="698" spans="1:3" x14ac:dyDescent="0.2">
      <c r="A698" s="4" t="s">
        <v>833</v>
      </c>
      <c r="B698" s="1">
        <v>2849584.1</v>
      </c>
      <c r="C698" s="5">
        <v>8.1440764766732777E-5</v>
      </c>
    </row>
    <row r="699" spans="1:3" x14ac:dyDescent="0.2">
      <c r="A699" s="4" t="s">
        <v>129</v>
      </c>
      <c r="B699" s="1">
        <v>2841749.1</v>
      </c>
      <c r="C699" s="5">
        <v>8.1216841425797733E-5</v>
      </c>
    </row>
    <row r="700" spans="1:3" x14ac:dyDescent="0.2">
      <c r="A700" s="4" t="s">
        <v>765</v>
      </c>
      <c r="B700" s="1">
        <v>2838055.2</v>
      </c>
      <c r="C700" s="5">
        <v>8.111127021595984E-5</v>
      </c>
    </row>
    <row r="701" spans="1:3" x14ac:dyDescent="0.2">
      <c r="A701" s="4" t="s">
        <v>521</v>
      </c>
      <c r="B701" s="1">
        <v>2821823.8</v>
      </c>
      <c r="C701" s="5">
        <v>8.0647378790809498E-5</v>
      </c>
    </row>
    <row r="702" spans="1:3" x14ac:dyDescent="0.2">
      <c r="A702" s="4" t="s">
        <v>667</v>
      </c>
      <c r="B702" s="1">
        <v>2819282.5999999898</v>
      </c>
      <c r="C702" s="5">
        <v>8.0574751605871865E-5</v>
      </c>
    </row>
    <row r="703" spans="1:3" x14ac:dyDescent="0.2">
      <c r="A703" s="4" t="s">
        <v>490</v>
      </c>
      <c r="B703" s="1">
        <v>2791861.6</v>
      </c>
      <c r="C703" s="5">
        <v>7.9791062782415926E-5</v>
      </c>
    </row>
    <row r="704" spans="1:3" x14ac:dyDescent="0.2">
      <c r="A704" s="4" t="s">
        <v>1086</v>
      </c>
      <c r="B704" s="1">
        <v>2785272.3</v>
      </c>
      <c r="C704" s="5">
        <v>7.960274139499752E-5</v>
      </c>
    </row>
    <row r="705" spans="1:3" x14ac:dyDescent="0.2">
      <c r="A705" s="4" t="s">
        <v>366</v>
      </c>
      <c r="B705" s="1">
        <v>2755920</v>
      </c>
      <c r="C705" s="5">
        <v>7.8763856253947443E-5</v>
      </c>
    </row>
    <row r="706" spans="1:3" x14ac:dyDescent="0.2">
      <c r="A706" s="4" t="s">
        <v>254</v>
      </c>
      <c r="B706" s="1">
        <v>2752236.6</v>
      </c>
      <c r="C706" s="5">
        <v>7.8658585132824265E-5</v>
      </c>
    </row>
    <row r="707" spans="1:3" x14ac:dyDescent="0.2">
      <c r="A707" s="4" t="s">
        <v>1039</v>
      </c>
      <c r="B707" s="1">
        <v>2748950</v>
      </c>
      <c r="C707" s="5">
        <v>7.8564654507129675E-5</v>
      </c>
    </row>
    <row r="708" spans="1:3" x14ac:dyDescent="0.2">
      <c r="A708" s="4" t="s">
        <v>87</v>
      </c>
      <c r="B708" s="1">
        <v>2741940</v>
      </c>
      <c r="C708" s="5">
        <v>7.8364309565208222E-5</v>
      </c>
    </row>
    <row r="709" spans="1:3" x14ac:dyDescent="0.2">
      <c r="A709" s="4" t="s">
        <v>64</v>
      </c>
      <c r="B709" s="1">
        <v>2689991.9</v>
      </c>
      <c r="C709" s="5">
        <v>7.6879639226059882E-5</v>
      </c>
    </row>
    <row r="710" spans="1:3" x14ac:dyDescent="0.2">
      <c r="A710" s="4" t="s">
        <v>316</v>
      </c>
      <c r="B710" s="1">
        <v>2681210.7000000002</v>
      </c>
      <c r="C710" s="5">
        <v>7.6628673604947102E-5</v>
      </c>
    </row>
    <row r="711" spans="1:3" x14ac:dyDescent="0.2">
      <c r="A711" s="4" t="s">
        <v>522</v>
      </c>
      <c r="B711" s="1">
        <v>2676786.9</v>
      </c>
      <c r="C711" s="5">
        <v>7.650224194245463E-5</v>
      </c>
    </row>
    <row r="712" spans="1:3" x14ac:dyDescent="0.2">
      <c r="A712" s="4" t="s">
        <v>1036</v>
      </c>
      <c r="B712" s="1">
        <v>2670906.2999999989</v>
      </c>
      <c r="C712" s="5">
        <v>7.6334175114285802E-5</v>
      </c>
    </row>
    <row r="713" spans="1:3" x14ac:dyDescent="0.2">
      <c r="A713" s="4" t="s">
        <v>373</v>
      </c>
      <c r="B713" s="1">
        <v>2664491</v>
      </c>
      <c r="C713" s="5">
        <v>7.6150826625568472E-5</v>
      </c>
    </row>
    <row r="714" spans="1:3" x14ac:dyDescent="0.2">
      <c r="A714" s="4" t="s">
        <v>599</v>
      </c>
      <c r="B714" s="1">
        <v>2655789.5</v>
      </c>
      <c r="C714" s="5">
        <v>7.5902138820699774E-5</v>
      </c>
    </row>
    <row r="715" spans="1:3" x14ac:dyDescent="0.2">
      <c r="A715" s="4" t="s">
        <v>1428</v>
      </c>
      <c r="B715" s="1">
        <v>2645279</v>
      </c>
      <c r="C715" s="5">
        <v>7.5601750017266768E-5</v>
      </c>
    </row>
    <row r="716" spans="1:3" x14ac:dyDescent="0.2">
      <c r="A716" s="4" t="s">
        <v>1057</v>
      </c>
      <c r="B716" s="1">
        <v>2627308.1</v>
      </c>
      <c r="C716" s="5">
        <v>7.5088143895044761E-5</v>
      </c>
    </row>
    <row r="717" spans="1:3" x14ac:dyDescent="0.2">
      <c r="A717" s="4" t="s">
        <v>892</v>
      </c>
      <c r="B717" s="1">
        <v>2622672.7999999998</v>
      </c>
      <c r="C717" s="5">
        <v>7.4955667588441548E-5</v>
      </c>
    </row>
    <row r="718" spans="1:3" x14ac:dyDescent="0.2">
      <c r="A718" s="4" t="s">
        <v>555</v>
      </c>
      <c r="B718" s="1">
        <v>2595000</v>
      </c>
      <c r="C718" s="5">
        <v>7.4164782351807595E-5</v>
      </c>
    </row>
    <row r="719" spans="1:3" x14ac:dyDescent="0.2">
      <c r="A719" s="4" t="s">
        <v>1577</v>
      </c>
      <c r="B719" s="1">
        <v>2572027</v>
      </c>
      <c r="C719" s="5">
        <v>7.3508216823881564E-5</v>
      </c>
    </row>
    <row r="720" spans="1:3" x14ac:dyDescent="0.2">
      <c r="A720" s="4" t="s">
        <v>755</v>
      </c>
      <c r="B720" s="1">
        <v>2562206.5999999987</v>
      </c>
      <c r="C720" s="5">
        <v>7.3227550993974901E-5</v>
      </c>
    </row>
    <row r="721" spans="1:3" x14ac:dyDescent="0.2">
      <c r="A721" s="4" t="s">
        <v>1536</v>
      </c>
      <c r="B721" s="1">
        <v>2549478</v>
      </c>
      <c r="C721" s="5">
        <v>7.2863769164054616E-5</v>
      </c>
    </row>
    <row r="722" spans="1:3" x14ac:dyDescent="0.2">
      <c r="A722" s="4" t="s">
        <v>1285</v>
      </c>
      <c r="B722" s="1">
        <v>2545000</v>
      </c>
      <c r="C722" s="5">
        <v>7.2735788472196659E-5</v>
      </c>
    </row>
    <row r="723" spans="1:3" x14ac:dyDescent="0.2">
      <c r="A723" s="4" t="s">
        <v>751</v>
      </c>
      <c r="B723" s="1">
        <v>2534151.6</v>
      </c>
      <c r="C723" s="5">
        <v>7.2425742528125234E-5</v>
      </c>
    </row>
    <row r="724" spans="1:3" x14ac:dyDescent="0.2">
      <c r="A724" s="4" t="s">
        <v>973</v>
      </c>
      <c r="B724" s="1">
        <v>2534048.2000000002</v>
      </c>
      <c r="C724" s="5">
        <v>7.2422787368782213E-5</v>
      </c>
    </row>
    <row r="725" spans="1:3" x14ac:dyDescent="0.2">
      <c r="A725" s="4" t="s">
        <v>903</v>
      </c>
      <c r="B725" s="1">
        <v>2519605.7999999998</v>
      </c>
      <c r="C725" s="5">
        <v>7.2010025344644335E-5</v>
      </c>
    </row>
    <row r="726" spans="1:3" x14ac:dyDescent="0.2">
      <c r="A726" s="4" t="s">
        <v>542</v>
      </c>
      <c r="B726" s="1">
        <v>2515937</v>
      </c>
      <c r="C726" s="5">
        <v>7.1905171489734004E-5</v>
      </c>
    </row>
    <row r="727" spans="1:3" x14ac:dyDescent="0.2">
      <c r="A727" s="4" t="s">
        <v>1091</v>
      </c>
      <c r="B727" s="1">
        <v>2504860.7000000002</v>
      </c>
      <c r="C727" s="5">
        <v>7.158861219155932E-5</v>
      </c>
    </row>
    <row r="728" spans="1:3" x14ac:dyDescent="0.2">
      <c r="A728" s="4" t="s">
        <v>956</v>
      </c>
      <c r="B728" s="1">
        <v>2502935.6</v>
      </c>
      <c r="C728" s="5">
        <v>7.1533593069206546E-5</v>
      </c>
    </row>
    <row r="729" spans="1:3" x14ac:dyDescent="0.2">
      <c r="A729" s="4" t="s">
        <v>562</v>
      </c>
      <c r="B729" s="1">
        <v>2502488</v>
      </c>
      <c r="C729" s="5">
        <v>7.1520800715996254E-5</v>
      </c>
    </row>
    <row r="730" spans="1:3" x14ac:dyDescent="0.2">
      <c r="A730" s="4" t="s">
        <v>2560</v>
      </c>
      <c r="B730" s="1">
        <v>2500000</v>
      </c>
      <c r="C730" s="5">
        <v>7.1449693980546816E-5</v>
      </c>
    </row>
    <row r="731" spans="1:3" x14ac:dyDescent="0.2">
      <c r="A731" s="4" t="s">
        <v>2532</v>
      </c>
      <c r="B731" s="1">
        <v>2500000</v>
      </c>
      <c r="C731" s="5">
        <v>7.1449693980546816E-5</v>
      </c>
    </row>
    <row r="732" spans="1:3" x14ac:dyDescent="0.2">
      <c r="A732" s="4" t="s">
        <v>337</v>
      </c>
      <c r="B732" s="1">
        <v>2500000</v>
      </c>
      <c r="C732" s="5">
        <v>7.1449693980546816E-5</v>
      </c>
    </row>
    <row r="733" spans="1:3" x14ac:dyDescent="0.2">
      <c r="A733" s="4" t="s">
        <v>752</v>
      </c>
      <c r="B733" s="1">
        <v>2491248</v>
      </c>
      <c r="C733" s="5">
        <v>7.1199562891859718E-5</v>
      </c>
    </row>
    <row r="734" spans="1:3" x14ac:dyDescent="0.2">
      <c r="A734" s="4" t="s">
        <v>816</v>
      </c>
      <c r="B734" s="1">
        <v>2477209.7999999998</v>
      </c>
      <c r="C734" s="5">
        <v>7.0798352854244638E-5</v>
      </c>
    </row>
    <row r="735" spans="1:3" x14ac:dyDescent="0.2">
      <c r="A735" s="4" t="s">
        <v>856</v>
      </c>
      <c r="B735" s="1">
        <v>2467334</v>
      </c>
      <c r="C735" s="5">
        <v>7.0516103699119401E-5</v>
      </c>
    </row>
    <row r="736" spans="1:3" x14ac:dyDescent="0.2">
      <c r="A736" s="4" t="s">
        <v>743</v>
      </c>
      <c r="B736" s="1">
        <v>2465877.7000000002</v>
      </c>
      <c r="C736" s="5">
        <v>7.0474482823381865E-5</v>
      </c>
    </row>
    <row r="737" spans="1:3" x14ac:dyDescent="0.2">
      <c r="A737" s="4" t="s">
        <v>218</v>
      </c>
      <c r="B737" s="1">
        <v>2465582.7999999998</v>
      </c>
      <c r="C737" s="5">
        <v>7.0466054617479904E-5</v>
      </c>
    </row>
    <row r="738" spans="1:3" x14ac:dyDescent="0.2">
      <c r="A738" s="4" t="s">
        <v>2490</v>
      </c>
      <c r="B738" s="1">
        <v>2441372</v>
      </c>
      <c r="C738" s="5">
        <v>6.9774112917070225E-5</v>
      </c>
    </row>
    <row r="739" spans="1:3" x14ac:dyDescent="0.2">
      <c r="A739" s="4" t="s">
        <v>2784</v>
      </c>
      <c r="B739" s="1">
        <v>2434955</v>
      </c>
      <c r="C739" s="5">
        <v>6.9590715842560958E-5</v>
      </c>
    </row>
    <row r="740" spans="1:3" x14ac:dyDescent="0.2">
      <c r="A740" s="4" t="s">
        <v>2590</v>
      </c>
      <c r="B740" s="1">
        <v>2425192</v>
      </c>
      <c r="C740" s="5">
        <v>6.9311690497628125E-5</v>
      </c>
    </row>
    <row r="741" spans="1:3" x14ac:dyDescent="0.2">
      <c r="A741" s="4" t="s">
        <v>766</v>
      </c>
      <c r="B741" s="1">
        <v>2416799.7000000002</v>
      </c>
      <c r="C741" s="5">
        <v>6.9071839590910945E-5</v>
      </c>
    </row>
    <row r="742" spans="1:3" x14ac:dyDescent="0.2">
      <c r="A742" s="4" t="s">
        <v>679</v>
      </c>
      <c r="B742" s="1">
        <v>2416766.2999999998</v>
      </c>
      <c r="C742" s="5">
        <v>6.9070885022999359E-5</v>
      </c>
    </row>
    <row r="743" spans="1:3" x14ac:dyDescent="0.2">
      <c r="A743" s="4" t="s">
        <v>991</v>
      </c>
      <c r="B743" s="1">
        <v>2414531.3000000003</v>
      </c>
      <c r="C743" s="5">
        <v>6.9007008996580768E-5</v>
      </c>
    </row>
    <row r="744" spans="1:3" x14ac:dyDescent="0.2">
      <c r="A744" s="4" t="s">
        <v>2084</v>
      </c>
      <c r="B744" s="1">
        <v>2413155</v>
      </c>
      <c r="C744" s="5">
        <v>6.8967674511050589E-5</v>
      </c>
    </row>
    <row r="745" spans="1:3" x14ac:dyDescent="0.2">
      <c r="A745" s="4" t="s">
        <v>139</v>
      </c>
      <c r="B745" s="1">
        <v>2400000</v>
      </c>
      <c r="C745" s="5">
        <v>6.8591706221324944E-5</v>
      </c>
    </row>
    <row r="746" spans="1:3" x14ac:dyDescent="0.2">
      <c r="A746" s="4" t="s">
        <v>138</v>
      </c>
      <c r="B746" s="1">
        <v>2400000</v>
      </c>
      <c r="C746" s="5">
        <v>6.8591706221324944E-5</v>
      </c>
    </row>
    <row r="747" spans="1:3" x14ac:dyDescent="0.2">
      <c r="A747" s="4" t="s">
        <v>933</v>
      </c>
      <c r="B747" s="1">
        <v>2378975.2999999998</v>
      </c>
      <c r="C747" s="5">
        <v>6.7990822868911822E-5</v>
      </c>
    </row>
    <row r="748" spans="1:3" x14ac:dyDescent="0.2">
      <c r="A748" s="4" t="s">
        <v>629</v>
      </c>
      <c r="B748" s="1">
        <v>2349520</v>
      </c>
      <c r="C748" s="5">
        <v>6.7148994000469745E-5</v>
      </c>
    </row>
    <row r="749" spans="1:3" x14ac:dyDescent="0.2">
      <c r="A749" s="4" t="s">
        <v>718</v>
      </c>
      <c r="B749" s="1">
        <v>2326514.7000000002</v>
      </c>
      <c r="C749" s="5">
        <v>6.6491505342497487E-5</v>
      </c>
    </row>
    <row r="750" spans="1:3" x14ac:dyDescent="0.2">
      <c r="A750" s="4" t="s">
        <v>258</v>
      </c>
      <c r="B750" s="1">
        <v>2292171</v>
      </c>
      <c r="C750" s="5">
        <v>6.5509966600433591E-5</v>
      </c>
    </row>
    <row r="751" spans="1:3" x14ac:dyDescent="0.2">
      <c r="A751" s="4" t="s">
        <v>53</v>
      </c>
      <c r="B751" s="1">
        <v>2250000</v>
      </c>
      <c r="C751" s="5">
        <v>6.4304724582492137E-5</v>
      </c>
    </row>
    <row r="752" spans="1:3" x14ac:dyDescent="0.2">
      <c r="A752" s="4" t="s">
        <v>840</v>
      </c>
      <c r="B752" s="1">
        <v>2200000</v>
      </c>
      <c r="C752" s="5">
        <v>6.2875730702881201E-5</v>
      </c>
    </row>
    <row r="753" spans="1:3" x14ac:dyDescent="0.2">
      <c r="A753" s="4" t="s">
        <v>757</v>
      </c>
      <c r="B753" s="1">
        <v>2189358</v>
      </c>
      <c r="C753" s="5">
        <v>6.2571583645544811E-5</v>
      </c>
    </row>
    <row r="754" spans="1:3" x14ac:dyDescent="0.2">
      <c r="A754" s="4" t="s">
        <v>899</v>
      </c>
      <c r="B754" s="1">
        <v>2183652.2999999998</v>
      </c>
      <c r="C754" s="5">
        <v>6.2408515437966888E-5</v>
      </c>
    </row>
    <row r="755" spans="1:3" x14ac:dyDescent="0.2">
      <c r="A755" s="4" t="s">
        <v>958</v>
      </c>
      <c r="B755" s="1">
        <v>2173364.5999999996</v>
      </c>
      <c r="C755" s="5">
        <v>6.2114494231261408E-5</v>
      </c>
    </row>
    <row r="756" spans="1:3" x14ac:dyDescent="0.2">
      <c r="A756" s="4" t="s">
        <v>945</v>
      </c>
      <c r="B756" s="1">
        <v>2166552.6</v>
      </c>
      <c r="C756" s="5">
        <v>6.1919808105103234E-5</v>
      </c>
    </row>
    <row r="757" spans="1:3" x14ac:dyDescent="0.2">
      <c r="A757" s="4" t="s">
        <v>732</v>
      </c>
      <c r="B757" s="1">
        <v>2163585.2999999998</v>
      </c>
      <c r="C757" s="5">
        <v>6.183500303432383E-5</v>
      </c>
    </row>
    <row r="758" spans="1:3" x14ac:dyDescent="0.2">
      <c r="A758" s="4" t="s">
        <v>770</v>
      </c>
      <c r="B758" s="1">
        <v>2163252.9</v>
      </c>
      <c r="C758" s="5">
        <v>6.1825503083012178E-5</v>
      </c>
    </row>
    <row r="759" spans="1:3" x14ac:dyDescent="0.2">
      <c r="A759" s="4" t="s">
        <v>1103</v>
      </c>
      <c r="B759" s="1">
        <v>2134489.5</v>
      </c>
      <c r="C759" s="5">
        <v>6.1003448631876154E-5</v>
      </c>
    </row>
    <row r="760" spans="1:3" x14ac:dyDescent="0.2">
      <c r="A760" s="4" t="s">
        <v>947</v>
      </c>
      <c r="B760" s="1">
        <v>2114260</v>
      </c>
      <c r="C760" s="5">
        <v>6.0425291998124368E-5</v>
      </c>
    </row>
    <row r="761" spans="1:3" x14ac:dyDescent="0.2">
      <c r="A761" s="4" t="s">
        <v>905</v>
      </c>
      <c r="B761" s="1">
        <v>2093378.1</v>
      </c>
      <c r="C761" s="5">
        <v>5.982848985223142E-5</v>
      </c>
    </row>
    <row r="762" spans="1:3" x14ac:dyDescent="0.2">
      <c r="A762" s="4" t="s">
        <v>1063</v>
      </c>
      <c r="B762" s="1">
        <v>2079011</v>
      </c>
      <c r="C762" s="5">
        <v>5.9417879892876249E-5</v>
      </c>
    </row>
    <row r="763" spans="1:3" x14ac:dyDescent="0.2">
      <c r="A763" s="4" t="s">
        <v>817</v>
      </c>
      <c r="B763" s="1">
        <v>2066795.5</v>
      </c>
      <c r="C763" s="5">
        <v>5.9068762398148503E-5</v>
      </c>
    </row>
    <row r="764" spans="1:3" x14ac:dyDescent="0.2">
      <c r="A764" s="4" t="s">
        <v>2894</v>
      </c>
      <c r="B764" s="1">
        <v>2063490</v>
      </c>
      <c r="C764" s="5">
        <v>5.8974291612767423E-5</v>
      </c>
    </row>
    <row r="765" spans="1:3" x14ac:dyDescent="0.2">
      <c r="A765" s="4" t="s">
        <v>538</v>
      </c>
      <c r="B765" s="1">
        <v>2032554</v>
      </c>
      <c r="C765" s="5">
        <v>5.8090144519574545E-5</v>
      </c>
    </row>
    <row r="766" spans="1:3" x14ac:dyDescent="0.2">
      <c r="A766" s="4" t="s">
        <v>370</v>
      </c>
      <c r="B766" s="1">
        <v>2018879</v>
      </c>
      <c r="C766" s="5">
        <v>5.7699314693500951E-5</v>
      </c>
    </row>
    <row r="767" spans="1:3" x14ac:dyDescent="0.2">
      <c r="A767" s="4" t="s">
        <v>1046</v>
      </c>
      <c r="B767" s="1">
        <v>2015041.9</v>
      </c>
      <c r="C767" s="5">
        <v>5.7589650845191848E-5</v>
      </c>
    </row>
    <row r="768" spans="1:3" x14ac:dyDescent="0.2">
      <c r="A768" s="4" t="s">
        <v>463</v>
      </c>
      <c r="B768" s="1">
        <v>2014124.7</v>
      </c>
      <c r="C768" s="5">
        <v>5.7563437381464269E-5</v>
      </c>
    </row>
    <row r="769" spans="1:3" x14ac:dyDescent="0.2">
      <c r="A769" s="4" t="s">
        <v>895</v>
      </c>
      <c r="B769" s="1">
        <v>2009299.6</v>
      </c>
      <c r="C769" s="5">
        <v>5.7425536614094055E-5</v>
      </c>
    </row>
    <row r="770" spans="1:3" x14ac:dyDescent="0.2">
      <c r="A770" s="4" t="s">
        <v>2314</v>
      </c>
      <c r="B770" s="1">
        <v>2000000</v>
      </c>
      <c r="C770" s="5">
        <v>5.7159755184437458E-5</v>
      </c>
    </row>
    <row r="771" spans="1:3" x14ac:dyDescent="0.2">
      <c r="A771" s="4" t="s">
        <v>1603</v>
      </c>
      <c r="B771" s="1">
        <v>2000000</v>
      </c>
      <c r="C771" s="5">
        <v>5.7159755184437458E-5</v>
      </c>
    </row>
    <row r="772" spans="1:3" x14ac:dyDescent="0.2">
      <c r="A772" s="4" t="s">
        <v>102</v>
      </c>
      <c r="B772" s="1">
        <v>2000000</v>
      </c>
      <c r="C772" s="5">
        <v>5.7159755184437458E-5</v>
      </c>
    </row>
    <row r="773" spans="1:3" x14ac:dyDescent="0.2">
      <c r="A773" s="4" t="s">
        <v>228</v>
      </c>
      <c r="B773" s="1">
        <v>2000000</v>
      </c>
      <c r="C773" s="5">
        <v>5.7159755184437458E-5</v>
      </c>
    </row>
    <row r="774" spans="1:3" x14ac:dyDescent="0.2">
      <c r="A774" s="4" t="s">
        <v>861</v>
      </c>
      <c r="B774" s="1">
        <v>1992139.5999999999</v>
      </c>
      <c r="C774" s="5">
        <v>5.6935105914611577E-5</v>
      </c>
    </row>
    <row r="775" spans="1:3" x14ac:dyDescent="0.2">
      <c r="A775" s="4" t="s">
        <v>802</v>
      </c>
      <c r="B775" s="1">
        <v>1983666</v>
      </c>
      <c r="C775" s="5">
        <v>5.6692931463846157E-5</v>
      </c>
    </row>
    <row r="776" spans="1:3" x14ac:dyDescent="0.2">
      <c r="A776" s="4" t="s">
        <v>499</v>
      </c>
      <c r="B776" s="1">
        <v>1968750</v>
      </c>
      <c r="C776" s="5">
        <v>5.6266634009680618E-5</v>
      </c>
    </row>
    <row r="777" spans="1:3" x14ac:dyDescent="0.2">
      <c r="A777" s="4" t="s">
        <v>1730</v>
      </c>
      <c r="B777" s="1">
        <v>1967459</v>
      </c>
      <c r="C777" s="5">
        <v>5.6229737387709066E-5</v>
      </c>
    </row>
    <row r="778" spans="1:3" x14ac:dyDescent="0.2">
      <c r="A778" s="4" t="s">
        <v>225</v>
      </c>
      <c r="B778" s="1">
        <v>1954826</v>
      </c>
      <c r="C778" s="5">
        <v>5.5868687794086565E-5</v>
      </c>
    </row>
    <row r="779" spans="1:3" x14ac:dyDescent="0.2">
      <c r="A779" s="4" t="s">
        <v>714</v>
      </c>
      <c r="B779" s="1">
        <v>1953839.9</v>
      </c>
      <c r="C779" s="5">
        <v>5.5840505176792875E-5</v>
      </c>
    </row>
    <row r="780" spans="1:3" x14ac:dyDescent="0.2">
      <c r="A780" s="4" t="s">
        <v>509</v>
      </c>
      <c r="B780" s="1">
        <v>1950399.3</v>
      </c>
      <c r="C780" s="5">
        <v>5.5742173249949091E-5</v>
      </c>
    </row>
    <row r="781" spans="1:3" x14ac:dyDescent="0.2">
      <c r="A781" s="4" t="s">
        <v>2073</v>
      </c>
      <c r="B781" s="1">
        <v>1945684.1</v>
      </c>
      <c r="C781" s="5">
        <v>5.5607413411126267E-5</v>
      </c>
    </row>
    <row r="782" spans="1:3" x14ac:dyDescent="0.2">
      <c r="A782" s="4" t="s">
        <v>1096</v>
      </c>
      <c r="B782" s="1">
        <v>1944441.8</v>
      </c>
      <c r="C782" s="5">
        <v>5.5571908629193452E-5</v>
      </c>
    </row>
    <row r="783" spans="1:3" x14ac:dyDescent="0.2">
      <c r="A783" s="4" t="s">
        <v>809</v>
      </c>
      <c r="B783" s="1">
        <v>1933537.6</v>
      </c>
      <c r="C783" s="5">
        <v>5.5260267927952383E-5</v>
      </c>
    </row>
    <row r="784" spans="1:3" x14ac:dyDescent="0.2">
      <c r="A784" s="4" t="s">
        <v>455</v>
      </c>
      <c r="B784" s="1">
        <v>1921213.8</v>
      </c>
      <c r="C784" s="5">
        <v>5.4908055232481393E-5</v>
      </c>
    </row>
    <row r="785" spans="1:3" x14ac:dyDescent="0.2">
      <c r="A785" s="4" t="s">
        <v>2154</v>
      </c>
      <c r="B785" s="1">
        <v>1885241.5999999901</v>
      </c>
      <c r="C785" s="5">
        <v>5.3879974159758296E-5</v>
      </c>
    </row>
    <row r="786" spans="1:3" x14ac:dyDescent="0.2">
      <c r="A786" s="4" t="s">
        <v>1037</v>
      </c>
      <c r="B786" s="1">
        <v>1882538</v>
      </c>
      <c r="C786" s="5">
        <v>5.3802705602700262E-5</v>
      </c>
    </row>
    <row r="787" spans="1:3" x14ac:dyDescent="0.2">
      <c r="A787" s="4" t="s">
        <v>2178</v>
      </c>
      <c r="B787" s="1">
        <v>1880000</v>
      </c>
      <c r="C787" s="5">
        <v>5.3730169873371211E-5</v>
      </c>
    </row>
    <row r="788" spans="1:3" x14ac:dyDescent="0.2">
      <c r="A788" s="4" t="s">
        <v>2065</v>
      </c>
      <c r="B788" s="1">
        <v>1870489</v>
      </c>
      <c r="C788" s="5">
        <v>5.3458346657591618E-5</v>
      </c>
    </row>
    <row r="789" spans="1:3" x14ac:dyDescent="0.2">
      <c r="A789" s="4" t="s">
        <v>1563</v>
      </c>
      <c r="B789" s="1">
        <v>1858000</v>
      </c>
      <c r="C789" s="5">
        <v>5.3101412566342396E-5</v>
      </c>
    </row>
    <row r="790" spans="1:3" x14ac:dyDescent="0.2">
      <c r="A790" s="4" t="s">
        <v>410</v>
      </c>
      <c r="B790" s="1">
        <v>1856016.7</v>
      </c>
      <c r="C790" s="5">
        <v>5.3044730095113749E-5</v>
      </c>
    </row>
    <row r="791" spans="1:3" x14ac:dyDescent="0.2">
      <c r="A791" s="4" t="s">
        <v>810</v>
      </c>
      <c r="B791" s="1">
        <v>1851759.6</v>
      </c>
      <c r="C791" s="5">
        <v>5.2923062698215917E-5</v>
      </c>
    </row>
    <row r="792" spans="1:3" x14ac:dyDescent="0.2">
      <c r="A792" s="4" t="s">
        <v>1470</v>
      </c>
      <c r="B792" s="1">
        <v>1838592.2</v>
      </c>
      <c r="C792" s="5">
        <v>5.2546740018008129E-5</v>
      </c>
    </row>
    <row r="793" spans="1:3" x14ac:dyDescent="0.2">
      <c r="A793" s="4" t="s">
        <v>690</v>
      </c>
      <c r="B793" s="1">
        <v>1829227.2000000002</v>
      </c>
      <c r="C793" s="5">
        <v>5.227908946435701E-5</v>
      </c>
    </row>
    <row r="794" spans="1:3" x14ac:dyDescent="0.2">
      <c r="A794" s="4" t="s">
        <v>677</v>
      </c>
      <c r="B794" s="1">
        <v>1816855.3</v>
      </c>
      <c r="C794" s="5">
        <v>5.1925502076773835E-5</v>
      </c>
    </row>
    <row r="795" spans="1:3" x14ac:dyDescent="0.2">
      <c r="A795" s="4" t="s">
        <v>854</v>
      </c>
      <c r="B795" s="1">
        <v>1811324.7000000002</v>
      </c>
      <c r="C795" s="5">
        <v>5.1767438205762313E-5</v>
      </c>
    </row>
    <row r="796" spans="1:3" x14ac:dyDescent="0.2">
      <c r="A796" s="4" t="s">
        <v>1010</v>
      </c>
      <c r="B796" s="1">
        <v>1803653</v>
      </c>
      <c r="C796" s="5">
        <v>5.1548181958838088E-5</v>
      </c>
    </row>
    <row r="797" spans="1:3" x14ac:dyDescent="0.2">
      <c r="A797" s="4" t="s">
        <v>989</v>
      </c>
      <c r="B797" s="1">
        <v>1797571.3</v>
      </c>
      <c r="C797" s="5">
        <v>5.1374367717285488E-5</v>
      </c>
    </row>
    <row r="798" spans="1:3" x14ac:dyDescent="0.2">
      <c r="A798" s="4" t="s">
        <v>1105</v>
      </c>
      <c r="B798" s="1">
        <v>1788587.6</v>
      </c>
      <c r="C798" s="5">
        <v>5.1117614670960275E-5</v>
      </c>
    </row>
    <row r="799" spans="1:3" x14ac:dyDescent="0.2">
      <c r="A799" s="4" t="s">
        <v>355</v>
      </c>
      <c r="B799" s="1">
        <v>1771247.5</v>
      </c>
      <c r="C799" s="5">
        <v>5.0622036735523441E-5</v>
      </c>
    </row>
    <row r="800" spans="1:3" x14ac:dyDescent="0.2">
      <c r="A800" s="4" t="s">
        <v>943</v>
      </c>
      <c r="B800" s="1">
        <v>1765916</v>
      </c>
      <c r="C800" s="5">
        <v>5.0469663118140524E-5</v>
      </c>
    </row>
    <row r="801" spans="1:3" x14ac:dyDescent="0.2">
      <c r="A801" s="4" t="s">
        <v>739</v>
      </c>
      <c r="B801" s="1">
        <v>1758491.6</v>
      </c>
      <c r="C801" s="5">
        <v>5.0257474674944862E-5</v>
      </c>
    </row>
    <row r="802" spans="1:3" x14ac:dyDescent="0.2">
      <c r="A802" s="4" t="s">
        <v>815</v>
      </c>
      <c r="B802" s="1">
        <v>1749820.3</v>
      </c>
      <c r="C802" s="5">
        <v>5.0009649982379451E-5</v>
      </c>
    </row>
    <row r="803" spans="1:3" x14ac:dyDescent="0.2">
      <c r="A803" s="4" t="s">
        <v>1662</v>
      </c>
      <c r="B803" s="1">
        <v>1728124</v>
      </c>
      <c r="C803" s="5">
        <v>4.9389572384175401E-5</v>
      </c>
    </row>
    <row r="804" spans="1:3" x14ac:dyDescent="0.2">
      <c r="A804" s="4" t="s">
        <v>62</v>
      </c>
      <c r="B804" s="1">
        <v>1709000</v>
      </c>
      <c r="C804" s="5">
        <v>4.8843010805101808E-5</v>
      </c>
    </row>
    <row r="805" spans="1:3" x14ac:dyDescent="0.2">
      <c r="A805" s="4" t="s">
        <v>1076</v>
      </c>
      <c r="B805" s="1">
        <v>1708001.3</v>
      </c>
      <c r="C805" s="5">
        <v>4.8814468081350458E-5</v>
      </c>
    </row>
    <row r="806" spans="1:3" x14ac:dyDescent="0.2">
      <c r="A806" s="4" t="s">
        <v>2493</v>
      </c>
      <c r="B806" s="1">
        <v>1700000</v>
      </c>
      <c r="C806" s="5">
        <v>4.8585791906771837E-5</v>
      </c>
    </row>
    <row r="807" spans="1:3" x14ac:dyDescent="0.2">
      <c r="A807" s="4" t="s">
        <v>1754</v>
      </c>
      <c r="B807" s="1">
        <v>1690837.5</v>
      </c>
      <c r="C807" s="5">
        <v>4.832392877833313E-5</v>
      </c>
    </row>
    <row r="808" spans="1:3" x14ac:dyDescent="0.2">
      <c r="A808" s="4" t="s">
        <v>462</v>
      </c>
      <c r="B808" s="1">
        <v>1687245.2</v>
      </c>
      <c r="C808" s="5">
        <v>4.8221261284058603E-5</v>
      </c>
    </row>
    <row r="809" spans="1:3" x14ac:dyDescent="0.2">
      <c r="A809" s="4" t="s">
        <v>364</v>
      </c>
      <c r="B809" s="1">
        <v>1680845.5</v>
      </c>
      <c r="C809" s="5">
        <v>4.8038358641431687E-5</v>
      </c>
    </row>
    <row r="810" spans="1:3" x14ac:dyDescent="0.2">
      <c r="A810" s="4" t="s">
        <v>876</v>
      </c>
      <c r="B810" s="1">
        <v>1680385.4000000001</v>
      </c>
      <c r="C810" s="5">
        <v>4.8025209039751507E-5</v>
      </c>
    </row>
    <row r="811" spans="1:3" x14ac:dyDescent="0.2">
      <c r="A811" s="4" t="s">
        <v>926</v>
      </c>
      <c r="B811" s="1">
        <v>1680131.4999999998</v>
      </c>
      <c r="C811" s="5">
        <v>4.8017952608830832E-5</v>
      </c>
    </row>
    <row r="812" spans="1:3" x14ac:dyDescent="0.2">
      <c r="A812" s="4" t="s">
        <v>2141</v>
      </c>
      <c r="B812" s="1">
        <v>1671877</v>
      </c>
      <c r="C812" s="5">
        <v>4.7782040009245873E-5</v>
      </c>
    </row>
    <row r="813" spans="1:3" x14ac:dyDescent="0.2">
      <c r="A813" s="4" t="s">
        <v>176</v>
      </c>
      <c r="B813" s="1">
        <v>1667024</v>
      </c>
      <c r="C813" s="5">
        <v>4.7643341863290834E-5</v>
      </c>
    </row>
    <row r="814" spans="1:3" x14ac:dyDescent="0.2">
      <c r="A814" s="4" t="s">
        <v>1001</v>
      </c>
      <c r="B814" s="1">
        <v>1665523.1</v>
      </c>
      <c r="C814" s="5">
        <v>4.7600446325012673E-5</v>
      </c>
    </row>
    <row r="815" spans="1:3" x14ac:dyDescent="0.2">
      <c r="A815" s="4" t="s">
        <v>716</v>
      </c>
      <c r="B815" s="1">
        <v>1660832</v>
      </c>
      <c r="C815" s="5">
        <v>4.7466375261239816E-5</v>
      </c>
    </row>
    <row r="816" spans="1:3" x14ac:dyDescent="0.2">
      <c r="A816" s="4" t="s">
        <v>746</v>
      </c>
      <c r="B816" s="1">
        <v>1660832</v>
      </c>
      <c r="C816" s="5">
        <v>4.7466375261239816E-5</v>
      </c>
    </row>
    <row r="817" spans="1:3" x14ac:dyDescent="0.2">
      <c r="A817" s="4" t="s">
        <v>966</v>
      </c>
      <c r="B817" s="1">
        <v>1659000</v>
      </c>
      <c r="C817" s="5">
        <v>4.7414016925490872E-5</v>
      </c>
    </row>
    <row r="818" spans="1:3" x14ac:dyDescent="0.2">
      <c r="A818" s="4" t="s">
        <v>1041</v>
      </c>
      <c r="B818" s="1">
        <v>1630543</v>
      </c>
      <c r="C818" s="5">
        <v>4.6600719348849104E-5</v>
      </c>
    </row>
    <row r="819" spans="1:3" x14ac:dyDescent="0.2">
      <c r="A819" s="4" t="s">
        <v>1004</v>
      </c>
      <c r="B819" s="1">
        <v>1614763.5</v>
      </c>
      <c r="C819" s="5">
        <v>4.6149743170382684E-5</v>
      </c>
    </row>
    <row r="820" spans="1:3" x14ac:dyDescent="0.2">
      <c r="A820" s="4" t="s">
        <v>847</v>
      </c>
      <c r="B820" s="1">
        <v>1612035.9</v>
      </c>
      <c r="C820" s="5">
        <v>4.6071788696262149E-5</v>
      </c>
    </row>
    <row r="821" spans="1:3" x14ac:dyDescent="0.2">
      <c r="A821" s="4" t="s">
        <v>1602</v>
      </c>
      <c r="B821" s="1">
        <v>1600000</v>
      </c>
      <c r="C821" s="5">
        <v>4.5727804147549965E-5</v>
      </c>
    </row>
    <row r="822" spans="1:3" x14ac:dyDescent="0.2">
      <c r="A822" s="4" t="s">
        <v>2177</v>
      </c>
      <c r="B822" s="1">
        <v>1599148.4</v>
      </c>
      <c r="C822" s="5">
        <v>4.5703465523792426E-5</v>
      </c>
    </row>
    <row r="823" spans="1:3" x14ac:dyDescent="0.2">
      <c r="A823" s="4" t="s">
        <v>2517</v>
      </c>
      <c r="B823" s="1">
        <v>1590602</v>
      </c>
      <c r="C823" s="5">
        <v>4.5459210457938294E-5</v>
      </c>
    </row>
    <row r="824" spans="1:3" x14ac:dyDescent="0.2">
      <c r="A824" s="4" t="s">
        <v>995</v>
      </c>
      <c r="B824" s="1">
        <v>1590000</v>
      </c>
      <c r="C824" s="5">
        <v>4.5442005371627781E-5</v>
      </c>
    </row>
    <row r="825" spans="1:3" x14ac:dyDescent="0.2">
      <c r="A825" s="4" t="s">
        <v>1040</v>
      </c>
      <c r="B825" s="1">
        <v>1573489.7</v>
      </c>
      <c r="C825" s="5">
        <v>4.4970143018616967E-5</v>
      </c>
    </row>
    <row r="826" spans="1:3" x14ac:dyDescent="0.2">
      <c r="A826" s="4" t="s">
        <v>911</v>
      </c>
      <c r="B826" s="1">
        <v>1566207.2</v>
      </c>
      <c r="C826" s="5">
        <v>4.4762010060051638E-5</v>
      </c>
    </row>
    <row r="827" spans="1:3" x14ac:dyDescent="0.2">
      <c r="A827" s="4" t="s">
        <v>2482</v>
      </c>
      <c r="B827" s="1">
        <v>1562786</v>
      </c>
      <c r="C827" s="5">
        <v>4.4664232582833138E-5</v>
      </c>
    </row>
    <row r="828" spans="1:3" x14ac:dyDescent="0.2">
      <c r="A828" s="4" t="s">
        <v>1217</v>
      </c>
      <c r="B828" s="1">
        <v>1560000</v>
      </c>
      <c r="C828" s="5">
        <v>4.4584609043861214E-5</v>
      </c>
    </row>
    <row r="829" spans="1:3" x14ac:dyDescent="0.2">
      <c r="A829" s="4" t="s">
        <v>389</v>
      </c>
      <c r="B829" s="1">
        <v>1520000</v>
      </c>
      <c r="C829" s="5">
        <v>4.3441413940172469E-5</v>
      </c>
    </row>
    <row r="830" spans="1:3" x14ac:dyDescent="0.2">
      <c r="A830" s="4" t="s">
        <v>493</v>
      </c>
      <c r="B830" s="1">
        <v>1519028.1</v>
      </c>
      <c r="C830" s="5">
        <v>4.3413637157140592E-5</v>
      </c>
    </row>
    <row r="831" spans="1:3" x14ac:dyDescent="0.2">
      <c r="A831" s="4" t="s">
        <v>920</v>
      </c>
      <c r="B831" s="1">
        <v>1502448.1</v>
      </c>
      <c r="C831" s="5">
        <v>4.2939782786661605E-5</v>
      </c>
    </row>
    <row r="832" spans="1:3" x14ac:dyDescent="0.2">
      <c r="A832" s="4" t="s">
        <v>777</v>
      </c>
      <c r="B832" s="1">
        <v>1500000</v>
      </c>
      <c r="C832" s="5">
        <v>4.2869816388328094E-5</v>
      </c>
    </row>
    <row r="833" spans="1:3" x14ac:dyDescent="0.2">
      <c r="A833" s="4" t="s">
        <v>826</v>
      </c>
      <c r="B833" s="1">
        <v>1500000</v>
      </c>
      <c r="C833" s="5">
        <v>4.2869816388328094E-5</v>
      </c>
    </row>
    <row r="834" spans="1:3" x14ac:dyDescent="0.2">
      <c r="A834" s="4" t="s">
        <v>496</v>
      </c>
      <c r="B834" s="1">
        <v>1500000</v>
      </c>
      <c r="C834" s="5">
        <v>4.2869816388328094E-5</v>
      </c>
    </row>
    <row r="835" spans="1:3" x14ac:dyDescent="0.2">
      <c r="A835" s="4" t="s">
        <v>381</v>
      </c>
      <c r="B835" s="1">
        <v>1500000</v>
      </c>
      <c r="C835" s="5">
        <v>4.2869816388328094E-5</v>
      </c>
    </row>
    <row r="836" spans="1:3" x14ac:dyDescent="0.2">
      <c r="A836" s="4" t="s">
        <v>339</v>
      </c>
      <c r="B836" s="1">
        <v>1500000</v>
      </c>
      <c r="C836" s="5">
        <v>4.2869816388328094E-5</v>
      </c>
    </row>
    <row r="837" spans="1:3" x14ac:dyDescent="0.2">
      <c r="A837" s="4" t="s">
        <v>336</v>
      </c>
      <c r="B837" s="1">
        <v>1500000</v>
      </c>
      <c r="C837" s="5">
        <v>4.2869816388328094E-5</v>
      </c>
    </row>
    <row r="838" spans="1:3" x14ac:dyDescent="0.2">
      <c r="A838" s="4" t="s">
        <v>1082</v>
      </c>
      <c r="B838" s="1">
        <v>1496325</v>
      </c>
      <c r="C838" s="5">
        <v>4.2764785338176691E-5</v>
      </c>
    </row>
    <row r="839" spans="1:3" x14ac:dyDescent="0.2">
      <c r="A839" s="4" t="s">
        <v>824</v>
      </c>
      <c r="B839" s="1">
        <v>1496249.2</v>
      </c>
      <c r="C839" s="5">
        <v>4.2762618983455198E-5</v>
      </c>
    </row>
    <row r="840" spans="1:3" x14ac:dyDescent="0.2">
      <c r="A840" s="4" t="s">
        <v>221</v>
      </c>
      <c r="B840" s="1">
        <v>1492340.9</v>
      </c>
      <c r="C840" s="5">
        <v>4.2650920247861529E-5</v>
      </c>
    </row>
    <row r="841" spans="1:3" x14ac:dyDescent="0.2">
      <c r="A841" s="4" t="s">
        <v>93</v>
      </c>
      <c r="B841" s="1">
        <v>1482293.6</v>
      </c>
      <c r="C841" s="5">
        <v>4.2363769643729235E-5</v>
      </c>
    </row>
    <row r="842" spans="1:3" x14ac:dyDescent="0.2">
      <c r="A842" s="4" t="s">
        <v>1215</v>
      </c>
      <c r="B842" s="1">
        <v>1480000</v>
      </c>
      <c r="C842" s="5">
        <v>4.2298218836483718E-5</v>
      </c>
    </row>
    <row r="843" spans="1:3" x14ac:dyDescent="0.2">
      <c r="A843" s="4" t="s">
        <v>51</v>
      </c>
      <c r="B843" s="1">
        <v>1480000</v>
      </c>
      <c r="C843" s="5">
        <v>4.2298218836483718E-5</v>
      </c>
    </row>
    <row r="844" spans="1:3" x14ac:dyDescent="0.2">
      <c r="A844" s="4" t="s">
        <v>715</v>
      </c>
      <c r="B844" s="1">
        <v>1479319</v>
      </c>
      <c r="C844" s="5">
        <v>4.2278755939843414E-5</v>
      </c>
    </row>
    <row r="845" spans="1:3" x14ac:dyDescent="0.2">
      <c r="A845" s="4" t="s">
        <v>886</v>
      </c>
      <c r="B845" s="1">
        <v>1472579</v>
      </c>
      <c r="C845" s="5">
        <v>4.2086127564871863E-5</v>
      </c>
    </row>
    <row r="846" spans="1:3" x14ac:dyDescent="0.2">
      <c r="A846" s="4" t="s">
        <v>916</v>
      </c>
      <c r="B846" s="1">
        <v>1464659.5999999999</v>
      </c>
      <c r="C846" s="5">
        <v>4.1859792082268041E-5</v>
      </c>
    </row>
    <row r="847" spans="1:3" x14ac:dyDescent="0.2">
      <c r="A847" s="4" t="s">
        <v>2585</v>
      </c>
      <c r="B847" s="1">
        <v>1464000</v>
      </c>
      <c r="C847" s="5">
        <v>4.1840940795008215E-5</v>
      </c>
    </row>
    <row r="848" spans="1:3" x14ac:dyDescent="0.2">
      <c r="A848" s="4" t="s">
        <v>2269</v>
      </c>
      <c r="B848" s="1">
        <v>1450000</v>
      </c>
      <c r="C848" s="5">
        <v>4.1440822508717158E-5</v>
      </c>
    </row>
    <row r="849" spans="1:3" x14ac:dyDescent="0.2">
      <c r="A849" s="4" t="s">
        <v>930</v>
      </c>
      <c r="B849" s="1">
        <v>1443592</v>
      </c>
      <c r="C849" s="5">
        <v>4.1257682653106218E-5</v>
      </c>
    </row>
    <row r="850" spans="1:3" x14ac:dyDescent="0.2">
      <c r="A850" s="4" t="s">
        <v>1549</v>
      </c>
      <c r="B850" s="1">
        <v>1440150.8</v>
      </c>
      <c r="C850" s="5">
        <v>4.1159333578335876E-5</v>
      </c>
    </row>
    <row r="851" spans="1:3" x14ac:dyDescent="0.2">
      <c r="A851" s="4" t="s">
        <v>1056</v>
      </c>
      <c r="B851" s="1">
        <v>1438390.3</v>
      </c>
      <c r="C851" s="5">
        <v>4.1109018703834775E-5</v>
      </c>
    </row>
    <row r="852" spans="1:3" x14ac:dyDescent="0.2">
      <c r="A852" s="4" t="s">
        <v>360</v>
      </c>
      <c r="B852" s="1">
        <v>1436387</v>
      </c>
      <c r="C852" s="5">
        <v>4.1051764635054279E-5</v>
      </c>
    </row>
    <row r="853" spans="1:3" x14ac:dyDescent="0.2">
      <c r="A853" s="4" t="s">
        <v>299</v>
      </c>
      <c r="B853" s="1">
        <v>1426436</v>
      </c>
      <c r="C853" s="5">
        <v>4.0767366273134114E-5</v>
      </c>
    </row>
    <row r="854" spans="1:3" x14ac:dyDescent="0.2">
      <c r="A854" s="4" t="s">
        <v>759</v>
      </c>
      <c r="B854" s="1">
        <v>1419387.7999999998</v>
      </c>
      <c r="C854" s="5">
        <v>4.0565929579888632E-5</v>
      </c>
    </row>
    <row r="855" spans="1:3" x14ac:dyDescent="0.2">
      <c r="A855" s="4" t="s">
        <v>745</v>
      </c>
      <c r="B855" s="1">
        <v>1416577.8</v>
      </c>
      <c r="C855" s="5">
        <v>4.0485620123854505E-5</v>
      </c>
    </row>
    <row r="856" spans="1:3" x14ac:dyDescent="0.2">
      <c r="A856" s="4" t="s">
        <v>224</v>
      </c>
      <c r="B856" s="1">
        <v>1414999.9</v>
      </c>
      <c r="C856" s="5">
        <v>4.044052393500174E-5</v>
      </c>
    </row>
    <row r="857" spans="1:3" x14ac:dyDescent="0.2">
      <c r="A857" s="4" t="s">
        <v>498</v>
      </c>
      <c r="B857" s="1">
        <v>1414875</v>
      </c>
      <c r="C857" s="5">
        <v>4.0436954308290476E-5</v>
      </c>
    </row>
    <row r="858" spans="1:3" x14ac:dyDescent="0.2">
      <c r="A858" s="4" t="s">
        <v>793</v>
      </c>
      <c r="B858" s="1">
        <v>1407522.2</v>
      </c>
      <c r="C858" s="5">
        <v>4.0226812184330407E-5</v>
      </c>
    </row>
    <row r="859" spans="1:3" x14ac:dyDescent="0.2">
      <c r="A859" s="4" t="s">
        <v>2615</v>
      </c>
      <c r="B859" s="1">
        <v>1400000</v>
      </c>
      <c r="C859" s="5">
        <v>4.0011828629106222E-5</v>
      </c>
    </row>
    <row r="860" spans="1:3" x14ac:dyDescent="0.2">
      <c r="A860" s="4" t="s">
        <v>528</v>
      </c>
      <c r="B860" s="1">
        <v>1400000</v>
      </c>
      <c r="C860" s="5">
        <v>4.0011828629106222E-5</v>
      </c>
    </row>
    <row r="861" spans="1:3" x14ac:dyDescent="0.2">
      <c r="A861" s="4" t="s">
        <v>78</v>
      </c>
      <c r="B861" s="1">
        <v>1399971.5</v>
      </c>
      <c r="C861" s="5">
        <v>4.0011014102594838E-5</v>
      </c>
    </row>
    <row r="862" spans="1:3" x14ac:dyDescent="0.2">
      <c r="A862" s="4" t="s">
        <v>795</v>
      </c>
      <c r="B862" s="1">
        <v>1390305</v>
      </c>
      <c r="C862" s="5">
        <v>3.9734746715849658E-5</v>
      </c>
    </row>
    <row r="863" spans="1:3" x14ac:dyDescent="0.2">
      <c r="A863" s="4" t="s">
        <v>1387</v>
      </c>
      <c r="B863" s="1">
        <v>1382413.6</v>
      </c>
      <c r="C863" s="5">
        <v>3.9509211469818426E-5</v>
      </c>
    </row>
    <row r="864" spans="1:3" x14ac:dyDescent="0.2">
      <c r="A864" s="4" t="s">
        <v>2078</v>
      </c>
      <c r="B864" s="1">
        <v>1374641.8</v>
      </c>
      <c r="C864" s="5">
        <v>3.9287094377147223E-5</v>
      </c>
    </row>
    <row r="865" spans="1:3" x14ac:dyDescent="0.2">
      <c r="A865" s="4" t="s">
        <v>615</v>
      </c>
      <c r="B865" s="1">
        <v>1366951</v>
      </c>
      <c r="C865" s="5">
        <v>3.9067292254560983E-5</v>
      </c>
    </row>
    <row r="866" spans="1:3" x14ac:dyDescent="0.2">
      <c r="A866" s="4" t="s">
        <v>1067</v>
      </c>
      <c r="B866" s="1">
        <v>1364397.2</v>
      </c>
      <c r="C866" s="5">
        <v>3.8994304963165973E-5</v>
      </c>
    </row>
    <row r="867" spans="1:3" x14ac:dyDescent="0.2">
      <c r="A867" s="4" t="s">
        <v>553</v>
      </c>
      <c r="B867" s="1">
        <v>1350855</v>
      </c>
      <c r="C867" s="5">
        <v>3.8607270544836627E-5</v>
      </c>
    </row>
    <row r="868" spans="1:3" x14ac:dyDescent="0.2">
      <c r="A868" s="4" t="s">
        <v>1174</v>
      </c>
      <c r="B868" s="1">
        <v>1350577</v>
      </c>
      <c r="C868" s="5">
        <v>3.8599325338865996E-5</v>
      </c>
    </row>
    <row r="869" spans="1:3" x14ac:dyDescent="0.2">
      <c r="A869" s="4" t="s">
        <v>2119</v>
      </c>
      <c r="B869" s="1">
        <v>1350000</v>
      </c>
      <c r="C869" s="5">
        <v>3.858283474949528E-5</v>
      </c>
    </row>
    <row r="870" spans="1:3" x14ac:dyDescent="0.2">
      <c r="A870" s="4" t="s">
        <v>76</v>
      </c>
      <c r="B870" s="1">
        <v>1349339</v>
      </c>
      <c r="C870" s="5">
        <v>3.8563943450406825E-5</v>
      </c>
    </row>
    <row r="871" spans="1:3" x14ac:dyDescent="0.2">
      <c r="A871" s="4" t="s">
        <v>1062</v>
      </c>
      <c r="B871" s="1">
        <v>1347693</v>
      </c>
      <c r="C871" s="5">
        <v>3.8516900971890032E-5</v>
      </c>
    </row>
    <row r="872" spans="1:3" x14ac:dyDescent="0.2">
      <c r="A872" s="4" t="s">
        <v>220</v>
      </c>
      <c r="B872" s="1">
        <v>1338750</v>
      </c>
      <c r="C872" s="5">
        <v>3.8261311126582822E-5</v>
      </c>
    </row>
    <row r="873" spans="1:3" x14ac:dyDescent="0.2">
      <c r="A873" s="4" t="s">
        <v>1524</v>
      </c>
      <c r="B873" s="1">
        <v>1337109</v>
      </c>
      <c r="C873" s="5">
        <v>3.821441154745399E-5</v>
      </c>
    </row>
    <row r="874" spans="1:3" x14ac:dyDescent="0.2">
      <c r="A874" s="4" t="s">
        <v>971</v>
      </c>
      <c r="B874" s="1">
        <v>1312604.3999999999</v>
      </c>
      <c r="C874" s="5">
        <v>3.7514073079007703E-5</v>
      </c>
    </row>
    <row r="875" spans="1:3" x14ac:dyDescent="0.2">
      <c r="A875" s="4" t="s">
        <v>900</v>
      </c>
      <c r="B875" s="1">
        <v>1309640.1000000001</v>
      </c>
      <c r="C875" s="5">
        <v>3.7429353747861099E-5</v>
      </c>
    </row>
    <row r="876" spans="1:3" x14ac:dyDescent="0.2">
      <c r="A876" s="4" t="s">
        <v>897</v>
      </c>
      <c r="B876" s="1">
        <v>1299884.2</v>
      </c>
      <c r="C876" s="5">
        <v>3.7150531320059166E-5</v>
      </c>
    </row>
    <row r="877" spans="1:3" x14ac:dyDescent="0.2">
      <c r="A877" s="4" t="s">
        <v>1352</v>
      </c>
      <c r="B877" s="1">
        <v>1298454.6000000001</v>
      </c>
      <c r="C877" s="5">
        <v>3.7109673527053337E-5</v>
      </c>
    </row>
    <row r="878" spans="1:3" x14ac:dyDescent="0.2">
      <c r="A878" s="4" t="s">
        <v>1495</v>
      </c>
      <c r="B878" s="1">
        <v>1298195.3</v>
      </c>
      <c r="C878" s="5">
        <v>3.7102262764793673E-5</v>
      </c>
    </row>
    <row r="879" spans="1:3" x14ac:dyDescent="0.2">
      <c r="A879" s="4" t="s">
        <v>1581</v>
      </c>
      <c r="B879" s="1">
        <v>1296725.6000000001</v>
      </c>
      <c r="C879" s="5">
        <v>3.7060258918696387E-5</v>
      </c>
    </row>
    <row r="880" spans="1:3" x14ac:dyDescent="0.2">
      <c r="A880" s="4" t="s">
        <v>1731</v>
      </c>
      <c r="B880" s="1">
        <v>1284992.1000000001</v>
      </c>
      <c r="C880" s="5">
        <v>3.6724916924968091E-5</v>
      </c>
    </row>
    <row r="881" spans="1:3" x14ac:dyDescent="0.2">
      <c r="A881" s="4" t="s">
        <v>2087</v>
      </c>
      <c r="B881" s="1">
        <v>1284300</v>
      </c>
      <c r="C881" s="5">
        <v>3.6705136791686514E-5</v>
      </c>
    </row>
    <row r="882" spans="1:3" x14ac:dyDescent="0.2">
      <c r="A882" s="4" t="s">
        <v>347</v>
      </c>
      <c r="B882" s="1">
        <v>1280900</v>
      </c>
      <c r="C882" s="5">
        <v>3.6607965207872968E-5</v>
      </c>
    </row>
    <row r="883" spans="1:3" x14ac:dyDescent="0.2">
      <c r="A883" s="4" t="s">
        <v>380</v>
      </c>
      <c r="B883" s="1">
        <v>1280000</v>
      </c>
      <c r="C883" s="5">
        <v>3.6582243318039975E-5</v>
      </c>
    </row>
    <row r="884" spans="1:3" x14ac:dyDescent="0.2">
      <c r="A884" s="4" t="s">
        <v>1839</v>
      </c>
      <c r="B884" s="1">
        <v>1271000</v>
      </c>
      <c r="C884" s="5">
        <v>3.6325024419710003E-5</v>
      </c>
    </row>
    <row r="885" spans="1:3" x14ac:dyDescent="0.2">
      <c r="A885" s="4" t="s">
        <v>535</v>
      </c>
      <c r="B885" s="1">
        <v>1267789.399999999</v>
      </c>
      <c r="C885" s="5">
        <v>3.6233265864712397E-5</v>
      </c>
    </row>
    <row r="886" spans="1:3" x14ac:dyDescent="0.2">
      <c r="A886" s="4" t="s">
        <v>2476</v>
      </c>
      <c r="B886" s="1">
        <v>1267663.5</v>
      </c>
      <c r="C886" s="5">
        <v>3.6229667658123566E-5</v>
      </c>
    </row>
    <row r="887" spans="1:3" x14ac:dyDescent="0.2">
      <c r="A887" s="4" t="s">
        <v>1585</v>
      </c>
      <c r="B887" s="1">
        <v>1259048</v>
      </c>
      <c r="C887" s="5">
        <v>3.5983437722727806E-5</v>
      </c>
    </row>
    <row r="888" spans="1:3" x14ac:dyDescent="0.2">
      <c r="A888" s="4" t="s">
        <v>600</v>
      </c>
      <c r="B888" s="1">
        <v>1255418.8999999999</v>
      </c>
      <c r="C888" s="5">
        <v>3.5879718488957884E-5</v>
      </c>
    </row>
    <row r="889" spans="1:3" x14ac:dyDescent="0.2">
      <c r="A889" s="4" t="s">
        <v>2455</v>
      </c>
      <c r="B889" s="1">
        <v>1236808.3</v>
      </c>
      <c r="C889" s="5">
        <v>3.5347829819040141E-5</v>
      </c>
    </row>
    <row r="890" spans="1:3" x14ac:dyDescent="0.2">
      <c r="A890" s="4" t="s">
        <v>866</v>
      </c>
      <c r="B890" s="1">
        <v>1227647.8999999999</v>
      </c>
      <c r="C890" s="5">
        <v>3.5086026708344374E-5</v>
      </c>
    </row>
    <row r="891" spans="1:3" x14ac:dyDescent="0.2">
      <c r="A891" s="4" t="s">
        <v>954</v>
      </c>
      <c r="B891" s="1">
        <v>1224658</v>
      </c>
      <c r="C891" s="5">
        <v>3.5000575732331401E-5</v>
      </c>
    </row>
    <row r="892" spans="1:3" x14ac:dyDescent="0.2">
      <c r="A892" s="4" t="s">
        <v>998</v>
      </c>
      <c r="B892" s="1">
        <v>1221430</v>
      </c>
      <c r="C892" s="5">
        <v>3.4908319887463718E-5</v>
      </c>
    </row>
    <row r="893" spans="1:3" x14ac:dyDescent="0.2">
      <c r="A893" s="4" t="s">
        <v>590</v>
      </c>
      <c r="B893" s="1">
        <v>1221265.1000000001</v>
      </c>
      <c r="C893" s="5">
        <v>3.4903607065648768E-5</v>
      </c>
    </row>
    <row r="894" spans="1:3" x14ac:dyDescent="0.2">
      <c r="A894" s="4" t="s">
        <v>569</v>
      </c>
      <c r="B894" s="1">
        <v>1210308.7</v>
      </c>
      <c r="C894" s="5">
        <v>3.4590474494797375E-5</v>
      </c>
    </row>
    <row r="895" spans="1:3" x14ac:dyDescent="0.2">
      <c r="A895" s="4" t="s">
        <v>915</v>
      </c>
      <c r="B895" s="1">
        <v>1209367.8</v>
      </c>
      <c r="C895" s="5">
        <v>3.4563583687970862E-5</v>
      </c>
    </row>
    <row r="896" spans="1:3" x14ac:dyDescent="0.2">
      <c r="A896" s="4" t="s">
        <v>1527</v>
      </c>
      <c r="B896" s="1">
        <v>1200000</v>
      </c>
      <c r="C896" s="5">
        <v>3.4295853110662472E-5</v>
      </c>
    </row>
    <row r="897" spans="1:3" x14ac:dyDescent="0.2">
      <c r="A897" s="4" t="s">
        <v>1486</v>
      </c>
      <c r="B897" s="1">
        <v>1200000</v>
      </c>
      <c r="C897" s="5">
        <v>3.4295853110662472E-5</v>
      </c>
    </row>
    <row r="898" spans="1:3" x14ac:dyDescent="0.2">
      <c r="A898" s="4" t="s">
        <v>1068</v>
      </c>
      <c r="B898" s="1">
        <v>1193827.1000000001</v>
      </c>
      <c r="C898" s="5">
        <v>3.4119432384273469E-5</v>
      </c>
    </row>
    <row r="899" spans="1:3" x14ac:dyDescent="0.2">
      <c r="A899" s="4" t="s">
        <v>1737</v>
      </c>
      <c r="B899" s="1">
        <v>1186198</v>
      </c>
      <c r="C899" s="5">
        <v>3.3901393640134668E-5</v>
      </c>
    </row>
    <row r="900" spans="1:3" x14ac:dyDescent="0.2">
      <c r="A900" s="4" t="s">
        <v>2312</v>
      </c>
      <c r="B900" s="1">
        <v>1175000</v>
      </c>
      <c r="C900" s="5">
        <v>3.3581356170857004E-5</v>
      </c>
    </row>
    <row r="901" spans="1:3" x14ac:dyDescent="0.2">
      <c r="A901" s="4" t="s">
        <v>2176</v>
      </c>
      <c r="B901" s="1">
        <v>1173537.3999999999</v>
      </c>
      <c r="C901" s="5">
        <v>3.3539555241890624E-5</v>
      </c>
    </row>
    <row r="902" spans="1:3" x14ac:dyDescent="0.2">
      <c r="A902" s="4" t="s">
        <v>392</v>
      </c>
      <c r="B902" s="1">
        <v>1167992.6000000001</v>
      </c>
      <c r="C902" s="5">
        <v>3.3381085536617297E-5</v>
      </c>
    </row>
    <row r="903" spans="1:3" x14ac:dyDescent="0.2">
      <c r="A903" s="4" t="s">
        <v>94</v>
      </c>
      <c r="B903" s="1">
        <v>1167231.1000000001</v>
      </c>
      <c r="C903" s="5">
        <v>3.3359321959830822E-5</v>
      </c>
    </row>
    <row r="904" spans="1:3" x14ac:dyDescent="0.2">
      <c r="A904" s="4" t="s">
        <v>1552</v>
      </c>
      <c r="B904" s="1">
        <v>1165946.7</v>
      </c>
      <c r="C904" s="5">
        <v>3.332261396505137E-5</v>
      </c>
    </row>
    <row r="905" spans="1:3" x14ac:dyDescent="0.2">
      <c r="A905" s="4" t="s">
        <v>1505</v>
      </c>
      <c r="B905" s="1">
        <v>1153843.6000000001</v>
      </c>
      <c r="C905" s="5">
        <v>3.2976708848564993E-5</v>
      </c>
    </row>
    <row r="906" spans="1:3" x14ac:dyDescent="0.2">
      <c r="A906" s="4" t="s">
        <v>1437</v>
      </c>
      <c r="B906" s="1">
        <v>1150000</v>
      </c>
      <c r="C906" s="5">
        <v>3.2866859231051536E-5</v>
      </c>
    </row>
    <row r="907" spans="1:3" x14ac:dyDescent="0.2">
      <c r="A907" s="4" t="s">
        <v>257</v>
      </c>
      <c r="B907" s="1">
        <v>1150000</v>
      </c>
      <c r="C907" s="5">
        <v>3.2866859231051536E-5</v>
      </c>
    </row>
    <row r="908" spans="1:3" x14ac:dyDescent="0.2">
      <c r="A908" s="4" t="s">
        <v>1604</v>
      </c>
      <c r="B908" s="1">
        <v>1149750</v>
      </c>
      <c r="C908" s="5">
        <v>3.2859714261653483E-5</v>
      </c>
    </row>
    <row r="909" spans="1:3" x14ac:dyDescent="0.2">
      <c r="A909" s="4" t="s">
        <v>1551</v>
      </c>
      <c r="B909" s="1">
        <v>1146876</v>
      </c>
      <c r="C909" s="5">
        <v>3.2777575693453447E-5</v>
      </c>
    </row>
    <row r="910" spans="1:3" x14ac:dyDescent="0.2">
      <c r="A910" s="4" t="s">
        <v>1673</v>
      </c>
      <c r="B910" s="1">
        <v>1146846.7</v>
      </c>
      <c r="C910" s="5">
        <v>3.2776738303039994E-5</v>
      </c>
    </row>
    <row r="911" spans="1:3" x14ac:dyDescent="0.2">
      <c r="A911" s="4" t="s">
        <v>818</v>
      </c>
      <c r="B911" s="1">
        <v>1145143.3</v>
      </c>
      <c r="C911" s="5">
        <v>3.2728055339549413E-5</v>
      </c>
    </row>
    <row r="912" spans="1:3" x14ac:dyDescent="0.2">
      <c r="A912" s="4" t="s">
        <v>441</v>
      </c>
      <c r="B912" s="1">
        <v>1135649</v>
      </c>
      <c r="C912" s="5">
        <v>3.2456709407725606E-5</v>
      </c>
    </row>
    <row r="913" spans="1:3" x14ac:dyDescent="0.2">
      <c r="A913" s="4" t="s">
        <v>396</v>
      </c>
      <c r="B913" s="1">
        <v>1127266</v>
      </c>
      <c r="C913" s="5">
        <v>3.2217124293870037E-5</v>
      </c>
    </row>
    <row r="914" spans="1:3" x14ac:dyDescent="0.2">
      <c r="A914" s="4" t="s">
        <v>2079</v>
      </c>
      <c r="B914" s="1">
        <v>1125580.8999999999</v>
      </c>
      <c r="C914" s="5">
        <v>3.2168964342139387E-5</v>
      </c>
    </row>
    <row r="915" spans="1:3" x14ac:dyDescent="0.2">
      <c r="A915" s="4" t="s">
        <v>937</v>
      </c>
      <c r="B915" s="1">
        <v>1124892.2</v>
      </c>
      <c r="C915" s="5">
        <v>3.2149281380441625E-5</v>
      </c>
    </row>
    <row r="916" spans="1:3" x14ac:dyDescent="0.2">
      <c r="A916" s="4" t="s">
        <v>1835</v>
      </c>
      <c r="B916" s="1">
        <v>1115130.2</v>
      </c>
      <c r="C916" s="5">
        <v>3.1870284615386385E-5</v>
      </c>
    </row>
    <row r="917" spans="1:3" x14ac:dyDescent="0.2">
      <c r="A917" s="4" t="s">
        <v>1546</v>
      </c>
      <c r="B917" s="1">
        <v>1111438.8</v>
      </c>
      <c r="C917" s="5">
        <v>3.1764784855242473E-5</v>
      </c>
    </row>
    <row r="918" spans="1:3" x14ac:dyDescent="0.2">
      <c r="A918" s="4" t="s">
        <v>975</v>
      </c>
      <c r="B918" s="1">
        <v>1110076.2000000002</v>
      </c>
      <c r="C918" s="5">
        <v>3.1725841914035319E-5</v>
      </c>
    </row>
    <row r="919" spans="1:3" x14ac:dyDescent="0.2">
      <c r="A919" s="4" t="s">
        <v>192</v>
      </c>
      <c r="B919" s="1">
        <v>1104062.5</v>
      </c>
      <c r="C919" s="5">
        <v>3.1553971104158988E-5</v>
      </c>
    </row>
    <row r="920" spans="1:3" x14ac:dyDescent="0.2">
      <c r="A920" s="4" t="s">
        <v>1176</v>
      </c>
      <c r="B920" s="1">
        <v>1092428.5</v>
      </c>
      <c r="C920" s="5">
        <v>3.1221472808251119E-5</v>
      </c>
    </row>
    <row r="921" spans="1:3" x14ac:dyDescent="0.2">
      <c r="A921" s="4" t="s">
        <v>572</v>
      </c>
      <c r="B921" s="1">
        <v>1086099</v>
      </c>
      <c r="C921" s="5">
        <v>3.104057647303117E-5</v>
      </c>
    </row>
    <row r="922" spans="1:3" x14ac:dyDescent="0.2">
      <c r="A922" s="4" t="s">
        <v>2816</v>
      </c>
      <c r="B922" s="1">
        <v>1079724.7</v>
      </c>
      <c r="C922" s="5">
        <v>3.0858399759295086E-5</v>
      </c>
    </row>
    <row r="923" spans="1:3" x14ac:dyDescent="0.2">
      <c r="A923" s="4" t="s">
        <v>935</v>
      </c>
      <c r="B923" s="1">
        <v>1078205</v>
      </c>
      <c r="C923" s="5">
        <v>3.0814966919318193E-5</v>
      </c>
    </row>
    <row r="924" spans="1:3" x14ac:dyDescent="0.2">
      <c r="A924" s="4" t="s">
        <v>346</v>
      </c>
      <c r="B924" s="1">
        <v>1075200</v>
      </c>
      <c r="C924" s="5">
        <v>3.0729084387153579E-5</v>
      </c>
    </row>
    <row r="925" spans="1:3" x14ac:dyDescent="0.2">
      <c r="A925" s="4" t="s">
        <v>1007</v>
      </c>
      <c r="B925" s="1">
        <v>1074000</v>
      </c>
      <c r="C925" s="5">
        <v>3.0694788534042913E-5</v>
      </c>
    </row>
    <row r="926" spans="1:3" x14ac:dyDescent="0.2">
      <c r="A926" s="4" t="s">
        <v>464</v>
      </c>
      <c r="B926" s="1">
        <v>1072805.2</v>
      </c>
      <c r="C926" s="5">
        <v>3.0660641296295731E-5</v>
      </c>
    </row>
    <row r="927" spans="1:3" x14ac:dyDescent="0.2">
      <c r="A927" s="4" t="s">
        <v>434</v>
      </c>
      <c r="B927" s="1">
        <v>1072140</v>
      </c>
      <c r="C927" s="5">
        <v>3.0641629961721385E-5</v>
      </c>
    </row>
    <row r="928" spans="1:3" x14ac:dyDescent="0.2">
      <c r="A928" s="4" t="s">
        <v>75</v>
      </c>
      <c r="B928" s="1">
        <v>1070000</v>
      </c>
      <c r="C928" s="5">
        <v>3.0580469023674041E-5</v>
      </c>
    </row>
    <row r="929" spans="1:3" x14ac:dyDescent="0.2">
      <c r="A929" s="4" t="s">
        <v>949</v>
      </c>
      <c r="B929" s="1">
        <v>1067796.5</v>
      </c>
      <c r="C929" s="5">
        <v>3.0517493263399584E-5</v>
      </c>
    </row>
    <row r="930" spans="1:3" x14ac:dyDescent="0.2">
      <c r="A930" s="4" t="s">
        <v>1089</v>
      </c>
      <c r="B930" s="1">
        <v>1066471</v>
      </c>
      <c r="C930" s="5">
        <v>3.0479610635651101E-5</v>
      </c>
    </row>
    <row r="931" spans="1:3" x14ac:dyDescent="0.2">
      <c r="A931" s="4" t="s">
        <v>444</v>
      </c>
      <c r="B931" s="1">
        <v>1064736.8</v>
      </c>
      <c r="C931" s="5">
        <v>3.0430047411930676E-5</v>
      </c>
    </row>
    <row r="932" spans="1:3" x14ac:dyDescent="0.2">
      <c r="A932" s="4" t="s">
        <v>2546</v>
      </c>
      <c r="B932" s="1">
        <v>1064617</v>
      </c>
      <c r="C932" s="5">
        <v>3.0426623542595127E-5</v>
      </c>
    </row>
    <row r="933" spans="1:3" x14ac:dyDescent="0.2">
      <c r="A933" s="4" t="s">
        <v>1583</v>
      </c>
      <c r="B933" s="1">
        <v>1054605.3999999999</v>
      </c>
      <c r="C933" s="5">
        <v>3.0140493240092866E-5</v>
      </c>
    </row>
    <row r="934" spans="1:3" x14ac:dyDescent="0.2">
      <c r="A934" s="4" t="s">
        <v>2221</v>
      </c>
      <c r="B934" s="1">
        <v>1040000</v>
      </c>
      <c r="C934" s="5">
        <v>2.9723072695907477E-5</v>
      </c>
    </row>
    <row r="935" spans="1:3" x14ac:dyDescent="0.2">
      <c r="A935" s="4" t="s">
        <v>844</v>
      </c>
      <c r="B935" s="1">
        <v>1034694.2</v>
      </c>
      <c r="C935" s="5">
        <v>2.9571433581378681E-5</v>
      </c>
    </row>
    <row r="936" spans="1:3" x14ac:dyDescent="0.2">
      <c r="A936" s="4" t="s">
        <v>2115</v>
      </c>
      <c r="B936" s="1">
        <v>1032990</v>
      </c>
      <c r="C936" s="5">
        <v>2.9522727753986024E-5</v>
      </c>
    </row>
    <row r="937" spans="1:3" x14ac:dyDescent="0.2">
      <c r="A937" s="4" t="s">
        <v>820</v>
      </c>
      <c r="B937" s="1">
        <v>1027792</v>
      </c>
      <c r="C937" s="5">
        <v>2.9374169550261672E-5</v>
      </c>
    </row>
    <row r="938" spans="1:3" x14ac:dyDescent="0.2">
      <c r="A938" s="4" t="s">
        <v>960</v>
      </c>
      <c r="B938" s="1">
        <v>1019637.899999999</v>
      </c>
      <c r="C938" s="5">
        <v>2.9141126370386931E-5</v>
      </c>
    </row>
    <row r="939" spans="1:3" x14ac:dyDescent="0.2">
      <c r="A939" s="4" t="s">
        <v>997</v>
      </c>
      <c r="B939" s="1">
        <v>1015072</v>
      </c>
      <c r="C939" s="5">
        <v>2.9010633507288649E-5</v>
      </c>
    </row>
    <row r="940" spans="1:3" x14ac:dyDescent="0.2">
      <c r="A940" s="4" t="s">
        <v>940</v>
      </c>
      <c r="B940" s="1">
        <v>1014790</v>
      </c>
      <c r="C940" s="5">
        <v>2.9002573981807645E-5</v>
      </c>
    </row>
    <row r="941" spans="1:3" x14ac:dyDescent="0.2">
      <c r="A941" s="4" t="s">
        <v>951</v>
      </c>
      <c r="B941" s="1">
        <v>1011970.6000000001</v>
      </c>
      <c r="C941" s="5">
        <v>2.8921995874924145E-5</v>
      </c>
    </row>
    <row r="942" spans="1:3" x14ac:dyDescent="0.2">
      <c r="A942" s="4" t="s">
        <v>214</v>
      </c>
      <c r="B942" s="1">
        <v>1010986.5</v>
      </c>
      <c r="C942" s="5">
        <v>2.8893870417385638E-5</v>
      </c>
    </row>
    <row r="943" spans="1:3" x14ac:dyDescent="0.2">
      <c r="A943" s="4" t="s">
        <v>993</v>
      </c>
      <c r="B943" s="1">
        <v>1010567.8</v>
      </c>
      <c r="C943" s="5">
        <v>2.8881904022637778E-5</v>
      </c>
    </row>
    <row r="944" spans="1:3" x14ac:dyDescent="0.2">
      <c r="A944" s="4" t="s">
        <v>2902</v>
      </c>
      <c r="B944" s="1">
        <v>1010538.3</v>
      </c>
      <c r="C944" s="5">
        <v>2.8881060916248808E-5</v>
      </c>
    </row>
    <row r="945" spans="1:3" x14ac:dyDescent="0.2">
      <c r="A945" s="4" t="s">
        <v>1178</v>
      </c>
      <c r="B945" s="1">
        <v>1009973.5</v>
      </c>
      <c r="C945" s="5">
        <v>2.886491900138472E-5</v>
      </c>
    </row>
    <row r="946" spans="1:3" x14ac:dyDescent="0.2">
      <c r="A946" s="4" t="s">
        <v>561</v>
      </c>
      <c r="B946" s="1">
        <v>1005297.4</v>
      </c>
      <c r="C946" s="5">
        <v>2.8731276635775749E-5</v>
      </c>
    </row>
    <row r="947" spans="1:3" x14ac:dyDescent="0.2">
      <c r="A947" s="4" t="s">
        <v>901</v>
      </c>
      <c r="B947" s="1">
        <v>1004457</v>
      </c>
      <c r="C947" s="5">
        <v>2.8707258106647246E-5</v>
      </c>
    </row>
    <row r="948" spans="1:3" x14ac:dyDescent="0.2">
      <c r="A948" s="4" t="s">
        <v>2222</v>
      </c>
      <c r="B948" s="1">
        <v>1000000</v>
      </c>
      <c r="C948" s="5">
        <v>2.8579877592218729E-5</v>
      </c>
    </row>
    <row r="949" spans="1:3" x14ac:dyDescent="0.2">
      <c r="A949" s="4" t="s">
        <v>2118</v>
      </c>
      <c r="B949" s="1">
        <v>1000000</v>
      </c>
      <c r="C949" s="5">
        <v>2.8579877592218729E-5</v>
      </c>
    </row>
    <row r="950" spans="1:3" x14ac:dyDescent="0.2">
      <c r="A950" s="4" t="s">
        <v>1383</v>
      </c>
      <c r="B950" s="1">
        <v>1000000</v>
      </c>
      <c r="C950" s="5">
        <v>2.8579877592218729E-5</v>
      </c>
    </row>
    <row r="951" spans="1:3" x14ac:dyDescent="0.2">
      <c r="A951" s="4" t="s">
        <v>58</v>
      </c>
      <c r="B951" s="1">
        <v>1000000</v>
      </c>
      <c r="C951" s="5">
        <v>2.8579877592218729E-5</v>
      </c>
    </row>
    <row r="952" spans="1:3" x14ac:dyDescent="0.2">
      <c r="A952" s="4" t="s">
        <v>890</v>
      </c>
      <c r="B952" s="1">
        <v>999454</v>
      </c>
      <c r="C952" s="5">
        <v>2.8564272979053376E-5</v>
      </c>
    </row>
    <row r="953" spans="1:3" x14ac:dyDescent="0.2">
      <c r="A953" s="4" t="s">
        <v>2458</v>
      </c>
      <c r="B953" s="1">
        <v>989780</v>
      </c>
      <c r="C953" s="5">
        <v>2.8287791243226252E-5</v>
      </c>
    </row>
    <row r="954" spans="1:3" x14ac:dyDescent="0.2">
      <c r="A954" s="4" t="s">
        <v>1099</v>
      </c>
      <c r="B954" s="1">
        <v>989628</v>
      </c>
      <c r="C954" s="5">
        <v>2.8283447101832235E-5</v>
      </c>
    </row>
    <row r="955" spans="1:3" x14ac:dyDescent="0.2">
      <c r="A955" s="4" t="s">
        <v>944</v>
      </c>
      <c r="B955" s="1">
        <v>989466</v>
      </c>
      <c r="C955" s="5">
        <v>2.8278817161662297E-5</v>
      </c>
    </row>
    <row r="956" spans="1:3" x14ac:dyDescent="0.2">
      <c r="A956" s="4" t="s">
        <v>2290</v>
      </c>
      <c r="B956" s="1">
        <v>988427</v>
      </c>
      <c r="C956" s="5">
        <v>2.8249122668843982E-5</v>
      </c>
    </row>
    <row r="957" spans="1:3" x14ac:dyDescent="0.2">
      <c r="A957" s="4" t="s">
        <v>1515</v>
      </c>
      <c r="B957" s="1">
        <v>981291</v>
      </c>
      <c r="C957" s="5">
        <v>2.8045176662345909E-5</v>
      </c>
    </row>
    <row r="958" spans="1:3" x14ac:dyDescent="0.2">
      <c r="A958" s="4" t="s">
        <v>1423</v>
      </c>
      <c r="B958" s="1">
        <v>980226.3</v>
      </c>
      <c r="C958" s="5">
        <v>2.8014747666673473E-5</v>
      </c>
    </row>
    <row r="959" spans="1:3" x14ac:dyDescent="0.2">
      <c r="A959" s="4" t="s">
        <v>1168</v>
      </c>
      <c r="B959" s="1">
        <v>975000</v>
      </c>
      <c r="C959" s="5">
        <v>2.7865380652413261E-5</v>
      </c>
    </row>
    <row r="960" spans="1:3" x14ac:dyDescent="0.2">
      <c r="A960" s="4" t="s">
        <v>1545</v>
      </c>
      <c r="B960" s="1">
        <v>969367.2</v>
      </c>
      <c r="C960" s="5">
        <v>2.7704395917911809E-5</v>
      </c>
    </row>
    <row r="961" spans="1:3" x14ac:dyDescent="0.2">
      <c r="A961" s="4" t="s">
        <v>134</v>
      </c>
      <c r="B961" s="1">
        <v>958285.7</v>
      </c>
      <c r="C961" s="5">
        <v>2.7387688004373637E-5</v>
      </c>
    </row>
    <row r="962" spans="1:3" x14ac:dyDescent="0.2">
      <c r="A962" s="4" t="s">
        <v>2634</v>
      </c>
      <c r="B962" s="1">
        <v>955000</v>
      </c>
      <c r="C962" s="5">
        <v>2.7293783100568886E-5</v>
      </c>
    </row>
    <row r="963" spans="1:3" x14ac:dyDescent="0.2">
      <c r="A963" s="4" t="s">
        <v>1760</v>
      </c>
      <c r="B963" s="1">
        <v>950000</v>
      </c>
      <c r="C963" s="5">
        <v>2.7150883712607793E-5</v>
      </c>
    </row>
    <row r="964" spans="1:3" x14ac:dyDescent="0.2">
      <c r="A964" s="4" t="s">
        <v>1762</v>
      </c>
      <c r="B964" s="1">
        <v>950000</v>
      </c>
      <c r="C964" s="5">
        <v>2.7150883712607793E-5</v>
      </c>
    </row>
    <row r="965" spans="1:3" x14ac:dyDescent="0.2">
      <c r="A965" s="4" t="s">
        <v>1335</v>
      </c>
      <c r="B965" s="1">
        <v>944817.29999999993</v>
      </c>
      <c r="C965" s="5">
        <v>2.7002762781010596E-5</v>
      </c>
    </row>
    <row r="966" spans="1:3" x14ac:dyDescent="0.2">
      <c r="A966" s="4" t="s">
        <v>1295</v>
      </c>
      <c r="B966" s="1">
        <v>942000</v>
      </c>
      <c r="C966" s="5">
        <v>2.6922244691870042E-5</v>
      </c>
    </row>
    <row r="967" spans="1:3" x14ac:dyDescent="0.2">
      <c r="A967" s="4" t="s">
        <v>2561</v>
      </c>
      <c r="B967" s="1">
        <v>940000</v>
      </c>
      <c r="C967" s="5">
        <v>2.6865084936685605E-5</v>
      </c>
    </row>
    <row r="968" spans="1:3" x14ac:dyDescent="0.2">
      <c r="A968" s="4" t="s">
        <v>2895</v>
      </c>
      <c r="B968" s="1">
        <v>936000</v>
      </c>
      <c r="C968" s="5">
        <v>2.675076542631673E-5</v>
      </c>
    </row>
    <row r="969" spans="1:3" x14ac:dyDescent="0.2">
      <c r="A969" s="4" t="s">
        <v>446</v>
      </c>
      <c r="B969" s="1">
        <v>934715.8</v>
      </c>
      <c r="C969" s="5">
        <v>2.6714063147512805E-5</v>
      </c>
    </row>
    <row r="970" spans="1:3" x14ac:dyDescent="0.2">
      <c r="A970" s="4" t="s">
        <v>2088</v>
      </c>
      <c r="B970" s="1">
        <v>932435</v>
      </c>
      <c r="C970" s="5">
        <v>2.6648878162700468E-5</v>
      </c>
    </row>
    <row r="971" spans="1:3" x14ac:dyDescent="0.2">
      <c r="A971" s="4" t="s">
        <v>1750</v>
      </c>
      <c r="B971" s="1">
        <v>924000</v>
      </c>
      <c r="C971" s="5">
        <v>2.6407806895210106E-5</v>
      </c>
    </row>
    <row r="972" spans="1:3" x14ac:dyDescent="0.2">
      <c r="A972" s="4" t="s">
        <v>1753</v>
      </c>
      <c r="B972" s="1">
        <v>924000</v>
      </c>
      <c r="C972" s="5">
        <v>2.6407806895210106E-5</v>
      </c>
    </row>
    <row r="973" spans="1:3" x14ac:dyDescent="0.2">
      <c r="A973" s="4" t="s">
        <v>744</v>
      </c>
      <c r="B973" s="1">
        <v>921422.1</v>
      </c>
      <c r="C973" s="5">
        <v>2.6334130828765124E-5</v>
      </c>
    </row>
    <row r="974" spans="1:3" x14ac:dyDescent="0.2">
      <c r="A974" s="4" t="s">
        <v>963</v>
      </c>
      <c r="B974" s="1">
        <v>920000</v>
      </c>
      <c r="C974" s="5">
        <v>2.629348738484123E-5</v>
      </c>
    </row>
    <row r="975" spans="1:3" x14ac:dyDescent="0.2">
      <c r="A975" s="4" t="s">
        <v>2896</v>
      </c>
      <c r="B975" s="1">
        <v>913700</v>
      </c>
      <c r="C975" s="5">
        <v>2.6113434156010251E-5</v>
      </c>
    </row>
    <row r="976" spans="1:3" x14ac:dyDescent="0.2">
      <c r="A976" s="4" t="s">
        <v>776</v>
      </c>
      <c r="B976" s="1">
        <v>907373.1</v>
      </c>
      <c r="C976" s="5">
        <v>2.5932612128472041E-5</v>
      </c>
    </row>
    <row r="977" spans="1:3" x14ac:dyDescent="0.2">
      <c r="A977" s="4" t="s">
        <v>2641</v>
      </c>
      <c r="B977" s="1">
        <v>900000</v>
      </c>
      <c r="C977" s="5">
        <v>2.5721889832996854E-5</v>
      </c>
    </row>
    <row r="978" spans="1:3" x14ac:dyDescent="0.2">
      <c r="A978" s="4" t="s">
        <v>217</v>
      </c>
      <c r="B978" s="1">
        <v>900000</v>
      </c>
      <c r="C978" s="5">
        <v>2.5721889832996854E-5</v>
      </c>
    </row>
    <row r="979" spans="1:3" x14ac:dyDescent="0.2">
      <c r="A979" s="4" t="s">
        <v>13</v>
      </c>
      <c r="B979" s="1">
        <v>900000</v>
      </c>
      <c r="C979" s="5">
        <v>2.5721889832996854E-5</v>
      </c>
    </row>
    <row r="980" spans="1:3" x14ac:dyDescent="0.2">
      <c r="A980" s="4" t="s">
        <v>20</v>
      </c>
      <c r="B980" s="1">
        <v>892475</v>
      </c>
      <c r="C980" s="5">
        <v>2.5506826254115409E-5</v>
      </c>
    </row>
    <row r="981" spans="1:3" x14ac:dyDescent="0.2">
      <c r="A981" s="4" t="s">
        <v>1077</v>
      </c>
      <c r="B981" s="1">
        <v>885000</v>
      </c>
      <c r="C981" s="5">
        <v>2.5293191669113574E-5</v>
      </c>
    </row>
    <row r="982" spans="1:3" x14ac:dyDescent="0.2">
      <c r="A982" s="4" t="s">
        <v>215</v>
      </c>
      <c r="B982" s="1">
        <v>884242.7</v>
      </c>
      <c r="C982" s="5">
        <v>2.5271548127812987E-5</v>
      </c>
    </row>
    <row r="983" spans="1:3" x14ac:dyDescent="0.2">
      <c r="A983" s="4" t="s">
        <v>1388</v>
      </c>
      <c r="B983" s="1">
        <v>882616</v>
      </c>
      <c r="C983" s="5">
        <v>2.5225057240933723E-5</v>
      </c>
    </row>
    <row r="984" spans="1:3" x14ac:dyDescent="0.2">
      <c r="A984" s="4" t="s">
        <v>730</v>
      </c>
      <c r="B984" s="1">
        <v>881891.4</v>
      </c>
      <c r="C984" s="5">
        <v>2.5204348261630405E-5</v>
      </c>
    </row>
    <row r="985" spans="1:3" x14ac:dyDescent="0.2">
      <c r="A985" s="4" t="s">
        <v>733</v>
      </c>
      <c r="B985" s="1">
        <v>879262.2</v>
      </c>
      <c r="C985" s="5">
        <v>2.5129206047464941E-5</v>
      </c>
    </row>
    <row r="986" spans="1:3" x14ac:dyDescent="0.2">
      <c r="A986" s="4" t="s">
        <v>1347</v>
      </c>
      <c r="B986" s="1">
        <v>869054.99999999988</v>
      </c>
      <c r="C986" s="5">
        <v>2.4837485520905645E-5</v>
      </c>
    </row>
    <row r="987" spans="1:3" x14ac:dyDescent="0.2">
      <c r="A987" s="4" t="s">
        <v>2099</v>
      </c>
      <c r="B987" s="1">
        <v>866456.3</v>
      </c>
      <c r="C987" s="5">
        <v>2.4763214993006748E-5</v>
      </c>
    </row>
    <row r="988" spans="1:3" x14ac:dyDescent="0.2">
      <c r="A988" s="4" t="s">
        <v>1840</v>
      </c>
      <c r="B988" s="1">
        <v>866390.7</v>
      </c>
      <c r="C988" s="5">
        <v>2.4761340153036698E-5</v>
      </c>
    </row>
    <row r="989" spans="1:3" x14ac:dyDescent="0.2">
      <c r="A989" s="4" t="s">
        <v>1101</v>
      </c>
      <c r="B989" s="1">
        <v>864000</v>
      </c>
      <c r="C989" s="5">
        <v>2.4693014239676982E-5</v>
      </c>
    </row>
    <row r="990" spans="1:3" x14ac:dyDescent="0.2">
      <c r="A990" s="4" t="s">
        <v>2463</v>
      </c>
      <c r="B990" s="1">
        <v>852998</v>
      </c>
      <c r="C990" s="5">
        <v>2.4378578426407391E-5</v>
      </c>
    </row>
    <row r="991" spans="1:3" x14ac:dyDescent="0.2">
      <c r="A991" s="4">
        <v>2243</v>
      </c>
      <c r="B991" s="1">
        <v>848394.7</v>
      </c>
      <c r="C991" s="5">
        <v>2.4247016675887129E-5</v>
      </c>
    </row>
    <row r="992" spans="1:3" x14ac:dyDescent="0.2">
      <c r="A992" s="4" t="s">
        <v>424</v>
      </c>
      <c r="B992" s="1">
        <v>847794</v>
      </c>
      <c r="C992" s="5">
        <v>2.4229848743417485E-5</v>
      </c>
    </row>
    <row r="993" spans="1:3" x14ac:dyDescent="0.2">
      <c r="A993" s="4" t="s">
        <v>2539</v>
      </c>
      <c r="B993" s="1">
        <v>835230</v>
      </c>
      <c r="C993" s="5">
        <v>2.3870771161348849E-5</v>
      </c>
    </row>
    <row r="994" spans="1:3" x14ac:dyDescent="0.2">
      <c r="A994" s="4" t="s">
        <v>738</v>
      </c>
      <c r="B994" s="1">
        <v>830515.9</v>
      </c>
      <c r="C994" s="5">
        <v>2.3736042760391369E-5</v>
      </c>
    </row>
    <row r="995" spans="1:3" x14ac:dyDescent="0.2">
      <c r="A995" s="4" t="s">
        <v>741</v>
      </c>
      <c r="B995" s="1">
        <v>830221.2</v>
      </c>
      <c r="C995" s="5">
        <v>2.3727620270464943E-5</v>
      </c>
    </row>
    <row r="996" spans="1:3" x14ac:dyDescent="0.2">
      <c r="A996" s="4" t="s">
        <v>764</v>
      </c>
      <c r="B996" s="1">
        <v>829053</v>
      </c>
      <c r="C996" s="5">
        <v>2.3694233257461713E-5</v>
      </c>
    </row>
    <row r="997" spans="1:3" x14ac:dyDescent="0.2">
      <c r="A997" s="4" t="s">
        <v>2223</v>
      </c>
      <c r="B997" s="1">
        <v>825585</v>
      </c>
      <c r="C997" s="5">
        <v>2.3595118241971898E-5</v>
      </c>
    </row>
    <row r="998" spans="1:3" x14ac:dyDescent="0.2">
      <c r="A998" s="4" t="s">
        <v>2647</v>
      </c>
      <c r="B998" s="1">
        <v>825000</v>
      </c>
      <c r="C998" s="5">
        <v>2.357839901358045E-5</v>
      </c>
    </row>
    <row r="999" spans="1:3" x14ac:dyDescent="0.2">
      <c r="A999" s="4" t="s">
        <v>1752</v>
      </c>
      <c r="B999" s="1">
        <v>825000</v>
      </c>
      <c r="C999" s="5">
        <v>2.357839901358045E-5</v>
      </c>
    </row>
    <row r="1000" spans="1:3" x14ac:dyDescent="0.2">
      <c r="A1000" s="4" t="s">
        <v>1443</v>
      </c>
      <c r="B1000" s="1">
        <v>822696</v>
      </c>
      <c r="C1000" s="5">
        <v>2.3512550975607977E-5</v>
      </c>
    </row>
    <row r="1001" spans="1:3" x14ac:dyDescent="0.2">
      <c r="A1001" s="4" t="s">
        <v>750</v>
      </c>
      <c r="B1001" s="1">
        <v>821236</v>
      </c>
      <c r="C1001" s="5">
        <v>2.3470824354323339E-5</v>
      </c>
    </row>
    <row r="1002" spans="1:3" x14ac:dyDescent="0.2">
      <c r="A1002" s="4" t="s">
        <v>503</v>
      </c>
      <c r="B1002" s="1">
        <v>819348.6</v>
      </c>
      <c r="C1002" s="5">
        <v>2.3416882693355783E-5</v>
      </c>
    </row>
    <row r="1003" spans="1:3" x14ac:dyDescent="0.2">
      <c r="A1003" s="4" t="s">
        <v>1075</v>
      </c>
      <c r="B1003" s="1">
        <v>818466.2</v>
      </c>
      <c r="C1003" s="5">
        <v>2.3391663809368411E-5</v>
      </c>
    </row>
    <row r="1004" spans="1:3" x14ac:dyDescent="0.2">
      <c r="A1004" s="4" t="s">
        <v>1491</v>
      </c>
      <c r="B1004" s="1">
        <v>814344</v>
      </c>
      <c r="C1004" s="5">
        <v>2.3273851837957769E-5</v>
      </c>
    </row>
    <row r="1005" spans="1:3" x14ac:dyDescent="0.2">
      <c r="A1005" s="4" t="s">
        <v>1018</v>
      </c>
      <c r="B1005" s="1">
        <v>807987</v>
      </c>
      <c r="C1005" s="5">
        <v>2.3092169556104032E-5</v>
      </c>
    </row>
    <row r="1006" spans="1:3" x14ac:dyDescent="0.2">
      <c r="A1006" s="4" t="s">
        <v>1179</v>
      </c>
      <c r="B1006" s="1">
        <v>802500</v>
      </c>
      <c r="C1006" s="5">
        <v>2.2935351767755529E-5</v>
      </c>
    </row>
    <row r="1007" spans="1:3" x14ac:dyDescent="0.2">
      <c r="A1007" s="4" t="s">
        <v>2143</v>
      </c>
      <c r="B1007" s="1">
        <v>800000</v>
      </c>
      <c r="C1007" s="5">
        <v>2.2863902073774983E-5</v>
      </c>
    </row>
    <row r="1008" spans="1:3" x14ac:dyDescent="0.2">
      <c r="A1008" s="4" t="s">
        <v>1044</v>
      </c>
      <c r="B1008" s="1">
        <v>799441</v>
      </c>
      <c r="C1008" s="5">
        <v>2.2847925922200931E-5</v>
      </c>
    </row>
    <row r="1009" spans="1:3" x14ac:dyDescent="0.2">
      <c r="A1009" s="4" t="s">
        <v>1613</v>
      </c>
      <c r="B1009" s="1">
        <v>798706.2</v>
      </c>
      <c r="C1009" s="5">
        <v>2.2826925428146168E-5</v>
      </c>
    </row>
    <row r="1010" spans="1:3" x14ac:dyDescent="0.2">
      <c r="A1010" s="4" t="s">
        <v>586</v>
      </c>
      <c r="B1010" s="1">
        <v>795394.9</v>
      </c>
      <c r="C1010" s="5">
        <v>2.2732288879475058E-5</v>
      </c>
    </row>
    <row r="1011" spans="1:3" x14ac:dyDescent="0.2">
      <c r="A1011" s="4" t="s">
        <v>1083</v>
      </c>
      <c r="B1011" s="1">
        <v>792000</v>
      </c>
      <c r="C1011" s="5">
        <v>2.2635263053037231E-5</v>
      </c>
    </row>
    <row r="1012" spans="1:3" x14ac:dyDescent="0.2">
      <c r="A1012" s="4" t="s">
        <v>382</v>
      </c>
      <c r="B1012" s="1">
        <v>782100</v>
      </c>
      <c r="C1012" s="5">
        <v>2.2352322264874266E-5</v>
      </c>
    </row>
    <row r="1013" spans="1:3" x14ac:dyDescent="0.2">
      <c r="A1013" s="4" t="s">
        <v>941</v>
      </c>
      <c r="B1013" s="1">
        <v>772301</v>
      </c>
      <c r="C1013" s="5">
        <v>2.2072268044348115E-5</v>
      </c>
    </row>
    <row r="1014" spans="1:3" x14ac:dyDescent="0.2">
      <c r="A1014" s="4" t="s">
        <v>2544</v>
      </c>
      <c r="B1014" s="1">
        <v>769555</v>
      </c>
      <c r="C1014" s="5">
        <v>2.1993787700479883E-5</v>
      </c>
    </row>
    <row r="1015" spans="1:3" x14ac:dyDescent="0.2">
      <c r="A1015" s="4" t="s">
        <v>934</v>
      </c>
      <c r="B1015" s="1">
        <v>767995</v>
      </c>
      <c r="C1015" s="5">
        <v>2.1949203091436022E-5</v>
      </c>
    </row>
    <row r="1016" spans="1:3" x14ac:dyDescent="0.2">
      <c r="A1016" s="4" t="s">
        <v>1834</v>
      </c>
      <c r="B1016" s="1">
        <v>762254.8</v>
      </c>
      <c r="C1016" s="5">
        <v>2.1785148878081171E-5</v>
      </c>
    </row>
    <row r="1017" spans="1:3" x14ac:dyDescent="0.2">
      <c r="A1017" s="4" t="s">
        <v>1464</v>
      </c>
      <c r="B1017" s="1">
        <v>761609.5</v>
      </c>
      <c r="C1017" s="5">
        <v>2.1766706283070909E-5</v>
      </c>
    </row>
    <row r="1018" spans="1:3" x14ac:dyDescent="0.2">
      <c r="A1018" s="4" t="s">
        <v>1424</v>
      </c>
      <c r="B1018" s="1">
        <v>753487.7</v>
      </c>
      <c r="C1018" s="5">
        <v>2.1534586233242425E-5</v>
      </c>
    </row>
    <row r="1019" spans="1:3" x14ac:dyDescent="0.2">
      <c r="A1019" s="4" t="s">
        <v>970</v>
      </c>
      <c r="B1019" s="1">
        <v>752500</v>
      </c>
      <c r="C1019" s="5">
        <v>2.1506357888144593E-5</v>
      </c>
    </row>
    <row r="1020" spans="1:3" x14ac:dyDescent="0.2">
      <c r="A1020" s="4" t="s">
        <v>1663</v>
      </c>
      <c r="B1020" s="1">
        <v>750936.1</v>
      </c>
      <c r="C1020" s="5">
        <v>2.146166181757812E-5</v>
      </c>
    </row>
    <row r="1021" spans="1:3" x14ac:dyDescent="0.2">
      <c r="A1021" s="4" t="s">
        <v>2605</v>
      </c>
      <c r="B1021" s="1">
        <v>750000</v>
      </c>
      <c r="C1021" s="5">
        <v>2.1434908194164047E-5</v>
      </c>
    </row>
    <row r="1022" spans="1:3" x14ac:dyDescent="0.2">
      <c r="A1022" s="4" t="s">
        <v>1419</v>
      </c>
      <c r="B1022" s="1">
        <v>749747.4</v>
      </c>
      <c r="C1022" s="5">
        <v>2.1427688917084251E-5</v>
      </c>
    </row>
    <row r="1023" spans="1:3" x14ac:dyDescent="0.2">
      <c r="A1023" s="4" t="s">
        <v>1098</v>
      </c>
      <c r="B1023" s="1">
        <v>749721</v>
      </c>
      <c r="C1023" s="5">
        <v>2.1426934408315816E-5</v>
      </c>
    </row>
    <row r="1024" spans="1:3" x14ac:dyDescent="0.2">
      <c r="A1024" s="4" t="s">
        <v>1017</v>
      </c>
      <c r="B1024" s="1">
        <v>748520</v>
      </c>
      <c r="C1024" s="5">
        <v>2.1392609975327563E-5</v>
      </c>
    </row>
    <row r="1025" spans="1:3" x14ac:dyDescent="0.2">
      <c r="A1025" s="4" t="s">
        <v>595</v>
      </c>
      <c r="B1025" s="1">
        <v>747000</v>
      </c>
      <c r="C1025" s="5">
        <v>2.1349168561387391E-5</v>
      </c>
    </row>
    <row r="1026" spans="1:3" x14ac:dyDescent="0.2">
      <c r="A1026" s="4" t="s">
        <v>577</v>
      </c>
      <c r="B1026" s="1">
        <v>745521</v>
      </c>
      <c r="C1026" s="5">
        <v>2.1306898922428497E-5</v>
      </c>
    </row>
    <row r="1027" spans="1:3" x14ac:dyDescent="0.2">
      <c r="A1027" s="4" t="s">
        <v>149</v>
      </c>
      <c r="B1027" s="1">
        <v>739000</v>
      </c>
      <c r="C1027" s="5">
        <v>2.1120529540649639E-5</v>
      </c>
    </row>
    <row r="1028" spans="1:3" x14ac:dyDescent="0.2">
      <c r="A1028" s="4" t="s">
        <v>1005</v>
      </c>
      <c r="B1028" s="1">
        <v>734140</v>
      </c>
      <c r="C1028" s="5">
        <v>2.0981631335551456E-5</v>
      </c>
    </row>
    <row r="1029" spans="1:3" x14ac:dyDescent="0.2">
      <c r="A1029" s="4" t="s">
        <v>769</v>
      </c>
      <c r="B1029" s="1">
        <v>732696.9</v>
      </c>
      <c r="C1029" s="5">
        <v>2.0940387714198128E-5</v>
      </c>
    </row>
    <row r="1030" spans="1:3" x14ac:dyDescent="0.2">
      <c r="A1030" s="4" t="s">
        <v>729</v>
      </c>
      <c r="B1030" s="1">
        <v>732309.2</v>
      </c>
      <c r="C1030" s="5">
        <v>2.0929307295655623E-5</v>
      </c>
    </row>
    <row r="1031" spans="1:3" x14ac:dyDescent="0.2">
      <c r="A1031" s="4" t="s">
        <v>1427</v>
      </c>
      <c r="B1031" s="1">
        <v>727424</v>
      </c>
      <c r="C1031" s="5">
        <v>2.0789688877642115E-5</v>
      </c>
    </row>
    <row r="1032" spans="1:3" x14ac:dyDescent="0.2">
      <c r="A1032" s="4" t="s">
        <v>2891</v>
      </c>
      <c r="B1032" s="1">
        <v>726130.1</v>
      </c>
      <c r="C1032" s="5">
        <v>2.0752709374025545E-5</v>
      </c>
    </row>
    <row r="1033" spans="1:3" x14ac:dyDescent="0.2">
      <c r="A1033" s="4" t="s">
        <v>222</v>
      </c>
      <c r="B1033" s="1">
        <v>723266.5</v>
      </c>
      <c r="C1033" s="5">
        <v>2.0670868036552468E-5</v>
      </c>
    </row>
    <row r="1034" spans="1:3" x14ac:dyDescent="0.2">
      <c r="A1034" s="4" t="s">
        <v>846</v>
      </c>
      <c r="B1034" s="1">
        <v>720000</v>
      </c>
      <c r="C1034" s="5">
        <v>2.0577511866397483E-5</v>
      </c>
    </row>
    <row r="1035" spans="1:3" x14ac:dyDescent="0.2">
      <c r="A1035" s="4" t="s">
        <v>2899</v>
      </c>
      <c r="B1035" s="1">
        <v>719367.8</v>
      </c>
      <c r="C1035" s="5">
        <v>2.0559443667783685E-5</v>
      </c>
    </row>
    <row r="1036" spans="1:3" x14ac:dyDescent="0.2">
      <c r="A1036" s="4" t="s">
        <v>361</v>
      </c>
      <c r="B1036" s="1">
        <v>714872.2</v>
      </c>
      <c r="C1036" s="5">
        <v>2.0430959970080105E-5</v>
      </c>
    </row>
    <row r="1037" spans="1:3" x14ac:dyDescent="0.2">
      <c r="A1037" s="4" t="s">
        <v>1487</v>
      </c>
      <c r="B1037" s="1">
        <v>700000</v>
      </c>
      <c r="C1037" s="5">
        <v>2.0005914314553111E-5</v>
      </c>
    </row>
    <row r="1038" spans="1:3" x14ac:dyDescent="0.2">
      <c r="A1038" s="4" t="s">
        <v>1031</v>
      </c>
      <c r="B1038" s="1">
        <v>700000</v>
      </c>
      <c r="C1038" s="5">
        <v>2.0005914314553111E-5</v>
      </c>
    </row>
    <row r="1039" spans="1:3" x14ac:dyDescent="0.2">
      <c r="A1039" s="4" t="s">
        <v>1006</v>
      </c>
      <c r="B1039" s="1">
        <v>699999</v>
      </c>
      <c r="C1039" s="5">
        <v>2.0005885734675518E-5</v>
      </c>
    </row>
    <row r="1040" spans="1:3" x14ac:dyDescent="0.2">
      <c r="A1040" s="4" t="s">
        <v>953</v>
      </c>
      <c r="B1040" s="1">
        <v>698663</v>
      </c>
      <c r="C1040" s="5">
        <v>1.9967703018212313E-5</v>
      </c>
    </row>
    <row r="1041" spans="1:3" x14ac:dyDescent="0.2">
      <c r="A1041" s="4" t="s">
        <v>1837</v>
      </c>
      <c r="B1041" s="1">
        <v>697235</v>
      </c>
      <c r="C1041" s="5">
        <v>1.9926890953010626E-5</v>
      </c>
    </row>
    <row r="1042" spans="1:3" x14ac:dyDescent="0.2">
      <c r="A1042" s="4" t="s">
        <v>885</v>
      </c>
      <c r="B1042" s="1">
        <v>696481.7</v>
      </c>
      <c r="C1042" s="5">
        <v>1.9905361731220407E-5</v>
      </c>
    </row>
    <row r="1043" spans="1:3" x14ac:dyDescent="0.2">
      <c r="A1043" s="4" t="s">
        <v>1573</v>
      </c>
      <c r="B1043" s="1">
        <v>686500</v>
      </c>
      <c r="C1043" s="5">
        <v>1.9620085967058157E-5</v>
      </c>
    </row>
    <row r="1044" spans="1:3" x14ac:dyDescent="0.2">
      <c r="A1044" s="4" t="s">
        <v>932</v>
      </c>
      <c r="B1044" s="1">
        <v>682340</v>
      </c>
      <c r="C1044" s="5">
        <v>1.9501193676274527E-5</v>
      </c>
    </row>
    <row r="1045" spans="1:3" x14ac:dyDescent="0.2">
      <c r="A1045" s="4" t="s">
        <v>663</v>
      </c>
      <c r="B1045" s="1">
        <v>681592</v>
      </c>
      <c r="C1045" s="5">
        <v>1.9479815927835547E-5</v>
      </c>
    </row>
    <row r="1046" spans="1:3" x14ac:dyDescent="0.2">
      <c r="A1046" s="4" t="s">
        <v>835</v>
      </c>
      <c r="B1046" s="1">
        <v>680382</v>
      </c>
      <c r="C1046" s="5">
        <v>1.9445234275948963E-5</v>
      </c>
    </row>
    <row r="1047" spans="1:3" x14ac:dyDescent="0.2">
      <c r="A1047" s="4" t="s">
        <v>1463</v>
      </c>
      <c r="B1047" s="1">
        <v>680000</v>
      </c>
      <c r="C1047" s="5">
        <v>1.9434316762708735E-5</v>
      </c>
    </row>
    <row r="1048" spans="1:3" x14ac:dyDescent="0.2">
      <c r="A1048" s="4" t="s">
        <v>1516</v>
      </c>
      <c r="B1048" s="1">
        <v>679000</v>
      </c>
      <c r="C1048" s="5">
        <v>1.9405736885116516E-5</v>
      </c>
    </row>
    <row r="1049" spans="1:3" x14ac:dyDescent="0.2">
      <c r="A1049" s="4" t="s">
        <v>1593</v>
      </c>
      <c r="B1049" s="1">
        <v>678152.5</v>
      </c>
      <c r="C1049" s="5">
        <v>1.9381515438857109E-5</v>
      </c>
    </row>
    <row r="1050" spans="1:3" x14ac:dyDescent="0.2">
      <c r="A1050" s="4" t="s">
        <v>2540</v>
      </c>
      <c r="B1050" s="1">
        <v>677988</v>
      </c>
      <c r="C1050" s="5">
        <v>1.9376814048993191E-5</v>
      </c>
    </row>
    <row r="1051" spans="1:3" x14ac:dyDescent="0.2">
      <c r="A1051" s="4" t="s">
        <v>1555</v>
      </c>
      <c r="B1051" s="1">
        <v>676959.7</v>
      </c>
      <c r="C1051" s="5">
        <v>1.9347425360865111E-5</v>
      </c>
    </row>
    <row r="1052" spans="1:3" x14ac:dyDescent="0.2">
      <c r="A1052" s="4" t="s">
        <v>212</v>
      </c>
      <c r="B1052" s="1">
        <v>673280.4</v>
      </c>
      <c r="C1052" s="5">
        <v>1.9242271417240062E-5</v>
      </c>
    </row>
    <row r="1053" spans="1:3" x14ac:dyDescent="0.2">
      <c r="A1053" s="4" t="s">
        <v>961</v>
      </c>
      <c r="B1053" s="1">
        <v>673196</v>
      </c>
      <c r="C1053" s="5">
        <v>1.923985927557128E-5</v>
      </c>
    </row>
    <row r="1054" spans="1:3" x14ac:dyDescent="0.2">
      <c r="A1054" s="4" t="s">
        <v>86</v>
      </c>
      <c r="B1054" s="1">
        <v>670613</v>
      </c>
      <c r="C1054" s="5">
        <v>1.9166037451750579E-5</v>
      </c>
    </row>
    <row r="1055" spans="1:3" x14ac:dyDescent="0.2">
      <c r="A1055" s="4" t="s">
        <v>2116</v>
      </c>
      <c r="B1055" s="1">
        <v>666000</v>
      </c>
      <c r="C1055" s="5">
        <v>1.9034198476417672E-5</v>
      </c>
    </row>
    <row r="1056" spans="1:3" x14ac:dyDescent="0.2">
      <c r="A1056" s="4" t="s">
        <v>1332</v>
      </c>
      <c r="B1056" s="1">
        <v>666000</v>
      </c>
      <c r="C1056" s="5">
        <v>1.9034198476417672E-5</v>
      </c>
    </row>
    <row r="1057" spans="1:3" x14ac:dyDescent="0.2">
      <c r="A1057" s="4" t="s">
        <v>1208</v>
      </c>
      <c r="B1057" s="1">
        <v>655500</v>
      </c>
      <c r="C1057" s="5">
        <v>1.8734109761699377E-5</v>
      </c>
    </row>
    <row r="1058" spans="1:3" x14ac:dyDescent="0.2">
      <c r="A1058" s="4" t="s">
        <v>1586</v>
      </c>
      <c r="B1058" s="1">
        <v>652419.6</v>
      </c>
      <c r="C1058" s="5">
        <v>1.8646072306764306E-5</v>
      </c>
    </row>
    <row r="1059" spans="1:3" x14ac:dyDescent="0.2">
      <c r="A1059" s="4" t="s">
        <v>1557</v>
      </c>
      <c r="B1059" s="1">
        <v>651462.19999999995</v>
      </c>
      <c r="C1059" s="5">
        <v>1.8618709931957514E-5</v>
      </c>
    </row>
    <row r="1060" spans="1:3" x14ac:dyDescent="0.2">
      <c r="A1060" s="4" t="s">
        <v>379</v>
      </c>
      <c r="B1060" s="1">
        <v>650000</v>
      </c>
      <c r="C1060" s="5">
        <v>1.8576920434942172E-5</v>
      </c>
    </row>
    <row r="1061" spans="1:3" x14ac:dyDescent="0.2">
      <c r="A1061" s="4" t="s">
        <v>950</v>
      </c>
      <c r="B1061" s="1">
        <v>641303.80000000005</v>
      </c>
      <c r="C1061" s="5">
        <v>1.8328384103424724E-5</v>
      </c>
    </row>
    <row r="1062" spans="1:3" x14ac:dyDescent="0.2">
      <c r="A1062" s="4" t="s">
        <v>676</v>
      </c>
      <c r="B1062" s="1">
        <v>631774.30000000005</v>
      </c>
      <c r="C1062" s="5">
        <v>1.8056032159909675E-5</v>
      </c>
    </row>
    <row r="1063" spans="1:3" x14ac:dyDescent="0.2">
      <c r="A1063" s="4" t="s">
        <v>1177</v>
      </c>
      <c r="B1063" s="1">
        <v>625250</v>
      </c>
      <c r="C1063" s="5">
        <v>1.7869568464534761E-5</v>
      </c>
    </row>
    <row r="1064" spans="1:3" x14ac:dyDescent="0.2">
      <c r="A1064" s="4" t="s">
        <v>1547</v>
      </c>
      <c r="B1064" s="1">
        <v>619753.1</v>
      </c>
      <c r="C1064" s="5">
        <v>1.7712467735398091E-5</v>
      </c>
    </row>
    <row r="1065" spans="1:3" x14ac:dyDescent="0.2">
      <c r="A1065" s="4" t="s">
        <v>1449</v>
      </c>
      <c r="B1065" s="1">
        <v>617708</v>
      </c>
      <c r="C1065" s="5">
        <v>1.7654019027734247E-5</v>
      </c>
    </row>
    <row r="1066" spans="1:3" x14ac:dyDescent="0.2">
      <c r="A1066" s="4" t="s">
        <v>579</v>
      </c>
      <c r="B1066" s="1">
        <v>615487</v>
      </c>
      <c r="C1066" s="5">
        <v>1.7590543119601928E-5</v>
      </c>
    </row>
    <row r="1067" spans="1:3" x14ac:dyDescent="0.2">
      <c r="A1067" s="4" t="s">
        <v>2153</v>
      </c>
      <c r="B1067" s="1">
        <v>611548</v>
      </c>
      <c r="C1067" s="5">
        <v>1.747796698176618E-5</v>
      </c>
    </row>
    <row r="1068" spans="1:3" x14ac:dyDescent="0.2">
      <c r="A1068" s="4" t="s">
        <v>1756</v>
      </c>
      <c r="B1068" s="1">
        <v>609106.19999999995</v>
      </c>
      <c r="C1068" s="5">
        <v>1.7408180636661499E-5</v>
      </c>
    </row>
    <row r="1069" spans="1:3" x14ac:dyDescent="0.2">
      <c r="A1069" s="4" t="s">
        <v>2574</v>
      </c>
      <c r="B1069" s="1">
        <v>606140.6</v>
      </c>
      <c r="C1069" s="5">
        <v>1.7323424151674016E-5</v>
      </c>
    </row>
    <row r="1070" spans="1:3" x14ac:dyDescent="0.2">
      <c r="A1070" s="4" t="s">
        <v>938</v>
      </c>
      <c r="B1070" s="1">
        <v>605701.6</v>
      </c>
      <c r="C1070" s="5">
        <v>1.731087758541103E-5</v>
      </c>
    </row>
    <row r="1071" spans="1:3" x14ac:dyDescent="0.2">
      <c r="A1071" s="4" t="s">
        <v>796</v>
      </c>
      <c r="B1071" s="1">
        <v>601420</v>
      </c>
      <c r="C1071" s="5">
        <v>1.7188509981512188E-5</v>
      </c>
    </row>
    <row r="1072" spans="1:3" x14ac:dyDescent="0.2">
      <c r="A1072" s="4" t="s">
        <v>665</v>
      </c>
      <c r="B1072" s="1">
        <v>601293.5</v>
      </c>
      <c r="C1072" s="5">
        <v>1.7184894626996772E-5</v>
      </c>
    </row>
    <row r="1073" spans="1:3" x14ac:dyDescent="0.2">
      <c r="A1073" s="4" t="s">
        <v>2883</v>
      </c>
      <c r="B1073" s="1">
        <v>600000</v>
      </c>
      <c r="C1073" s="5">
        <v>1.7147926555331236E-5</v>
      </c>
    </row>
    <row r="1074" spans="1:3" x14ac:dyDescent="0.2">
      <c r="A1074" s="4" t="s">
        <v>1610</v>
      </c>
      <c r="B1074" s="1">
        <v>600000</v>
      </c>
      <c r="C1074" s="5">
        <v>1.7147926555331236E-5</v>
      </c>
    </row>
    <row r="1075" spans="1:3" x14ac:dyDescent="0.2">
      <c r="A1075" s="4" t="s">
        <v>1612</v>
      </c>
      <c r="B1075" s="1">
        <v>600000</v>
      </c>
      <c r="C1075" s="5">
        <v>1.7147926555331236E-5</v>
      </c>
    </row>
    <row r="1076" spans="1:3" x14ac:dyDescent="0.2">
      <c r="A1076" s="4" t="s">
        <v>1492</v>
      </c>
      <c r="B1076" s="1">
        <v>600000</v>
      </c>
      <c r="C1076" s="5">
        <v>1.7147926555331236E-5</v>
      </c>
    </row>
    <row r="1077" spans="1:3" x14ac:dyDescent="0.2">
      <c r="A1077" s="4" t="s">
        <v>1490</v>
      </c>
      <c r="B1077" s="1">
        <v>600000</v>
      </c>
      <c r="C1077" s="5">
        <v>1.7147926555331236E-5</v>
      </c>
    </row>
    <row r="1078" spans="1:3" x14ac:dyDescent="0.2">
      <c r="A1078" s="4" t="s">
        <v>1494</v>
      </c>
      <c r="B1078" s="1">
        <v>600000</v>
      </c>
      <c r="C1078" s="5">
        <v>1.7147926555331236E-5</v>
      </c>
    </row>
    <row r="1079" spans="1:3" x14ac:dyDescent="0.2">
      <c r="A1079" s="4" t="s">
        <v>1484</v>
      </c>
      <c r="B1079" s="1">
        <v>600000</v>
      </c>
      <c r="C1079" s="5">
        <v>1.7147926555331236E-5</v>
      </c>
    </row>
    <row r="1080" spans="1:3" x14ac:dyDescent="0.2">
      <c r="A1080" s="4" t="s">
        <v>549</v>
      </c>
      <c r="B1080" s="1">
        <v>600000</v>
      </c>
      <c r="C1080" s="5">
        <v>1.7147926555331236E-5</v>
      </c>
    </row>
    <row r="1081" spans="1:3" x14ac:dyDescent="0.2">
      <c r="A1081" s="4" t="s">
        <v>558</v>
      </c>
      <c r="B1081" s="1">
        <v>600000</v>
      </c>
      <c r="C1081" s="5">
        <v>1.7147926555331236E-5</v>
      </c>
    </row>
    <row r="1082" spans="1:3" x14ac:dyDescent="0.2">
      <c r="A1082" s="4" t="s">
        <v>1155</v>
      </c>
      <c r="B1082" s="1">
        <v>585000</v>
      </c>
      <c r="C1082" s="5">
        <v>1.6719228391447956E-5</v>
      </c>
    </row>
    <row r="1083" spans="1:3" x14ac:dyDescent="0.2">
      <c r="A1083" s="4" t="s">
        <v>830</v>
      </c>
      <c r="B1083" s="1">
        <v>580425.9</v>
      </c>
      <c r="C1083" s="5">
        <v>1.6588501173353388E-5</v>
      </c>
    </row>
    <row r="1084" spans="1:3" x14ac:dyDescent="0.2">
      <c r="A1084" s="4" t="s">
        <v>1145</v>
      </c>
      <c r="B1084" s="1">
        <v>579528.80000000005</v>
      </c>
      <c r="C1084" s="5">
        <v>1.656286216516541E-5</v>
      </c>
    </row>
    <row r="1085" spans="1:3" x14ac:dyDescent="0.2">
      <c r="A1085" s="4" t="s">
        <v>513</v>
      </c>
      <c r="B1085" s="1">
        <v>577550</v>
      </c>
      <c r="C1085" s="5">
        <v>1.6506308303385928E-5</v>
      </c>
    </row>
    <row r="1086" spans="1:3" x14ac:dyDescent="0.2">
      <c r="A1086" s="4" t="s">
        <v>2545</v>
      </c>
      <c r="B1086" s="1">
        <v>577168</v>
      </c>
      <c r="C1086" s="5">
        <v>1.64953907901457E-5</v>
      </c>
    </row>
    <row r="1087" spans="1:3" x14ac:dyDescent="0.2">
      <c r="A1087" s="4" t="s">
        <v>1108</v>
      </c>
      <c r="B1087" s="1">
        <v>577000</v>
      </c>
      <c r="C1087" s="5">
        <v>1.6490589370710204E-5</v>
      </c>
    </row>
    <row r="1088" spans="1:3" x14ac:dyDescent="0.2">
      <c r="A1088" s="4" t="s">
        <v>1417</v>
      </c>
      <c r="B1088" s="1">
        <v>575401.1</v>
      </c>
      <c r="C1088" s="5">
        <v>1.6444893004428007E-5</v>
      </c>
    </row>
    <row r="1089" spans="1:3" x14ac:dyDescent="0.2">
      <c r="A1089" s="4" t="s">
        <v>850</v>
      </c>
      <c r="B1089" s="1">
        <v>571960</v>
      </c>
      <c r="C1089" s="5">
        <v>1.6346546787645424E-5</v>
      </c>
    </row>
    <row r="1090" spans="1:3" x14ac:dyDescent="0.2">
      <c r="A1090" s="4" t="s">
        <v>2538</v>
      </c>
      <c r="B1090" s="1">
        <v>570990</v>
      </c>
      <c r="C1090" s="5">
        <v>1.6318824306380971E-5</v>
      </c>
    </row>
    <row r="1091" spans="1:3" x14ac:dyDescent="0.2">
      <c r="A1091" s="4" t="s">
        <v>1425</v>
      </c>
      <c r="B1091" s="1">
        <v>567636</v>
      </c>
      <c r="C1091" s="5">
        <v>1.6222967396936671E-5</v>
      </c>
    </row>
    <row r="1092" spans="1:3" x14ac:dyDescent="0.2">
      <c r="A1092" s="4" t="s">
        <v>2077</v>
      </c>
      <c r="B1092" s="1">
        <v>566000</v>
      </c>
      <c r="C1092" s="5">
        <v>1.61762107171958E-5</v>
      </c>
    </row>
    <row r="1093" spans="1:3" x14ac:dyDescent="0.2">
      <c r="A1093" s="4" t="s">
        <v>524</v>
      </c>
      <c r="B1093" s="1">
        <v>563583</v>
      </c>
      <c r="C1093" s="5">
        <v>1.6107133153055408E-5</v>
      </c>
    </row>
    <row r="1094" spans="1:3" x14ac:dyDescent="0.2">
      <c r="A1094" s="4" t="s">
        <v>1523</v>
      </c>
      <c r="B1094" s="1">
        <v>563521.5</v>
      </c>
      <c r="C1094" s="5">
        <v>1.6105375490583487E-5</v>
      </c>
    </row>
    <row r="1095" spans="1:3" x14ac:dyDescent="0.2">
      <c r="A1095" s="4" t="s">
        <v>1553</v>
      </c>
      <c r="B1095" s="1">
        <v>561362.69999999995</v>
      </c>
      <c r="C1095" s="5">
        <v>1.6043677250837404E-5</v>
      </c>
    </row>
    <row r="1096" spans="1:3" x14ac:dyDescent="0.2">
      <c r="A1096" s="4" t="s">
        <v>1765</v>
      </c>
      <c r="B1096" s="1">
        <v>560000</v>
      </c>
      <c r="C1096" s="5">
        <v>1.6004731451642488E-5</v>
      </c>
    </row>
    <row r="1097" spans="1:3" x14ac:dyDescent="0.2">
      <c r="A1097" s="4" t="s">
        <v>1468</v>
      </c>
      <c r="B1097" s="1">
        <v>552913.1</v>
      </c>
      <c r="C1097" s="5">
        <v>1.5802188717134193E-5</v>
      </c>
    </row>
    <row r="1098" spans="1:3" x14ac:dyDescent="0.2">
      <c r="A1098" s="4" t="s">
        <v>2857</v>
      </c>
      <c r="B1098" s="1">
        <v>551095</v>
      </c>
      <c r="C1098" s="5">
        <v>1.5750227641683779E-5</v>
      </c>
    </row>
    <row r="1099" spans="1:3" x14ac:dyDescent="0.2">
      <c r="A1099" s="4" t="s">
        <v>1628</v>
      </c>
      <c r="B1099" s="1">
        <v>545810.19999999995</v>
      </c>
      <c r="C1099" s="5">
        <v>1.559918870458442E-5</v>
      </c>
    </row>
    <row r="1100" spans="1:3" x14ac:dyDescent="0.2">
      <c r="A1100" s="4" t="s">
        <v>1121</v>
      </c>
      <c r="B1100" s="1">
        <v>545000</v>
      </c>
      <c r="C1100" s="5">
        <v>1.5576033287759208E-5</v>
      </c>
    </row>
    <row r="1101" spans="1:3" x14ac:dyDescent="0.2">
      <c r="A1101" s="4" t="s">
        <v>1488</v>
      </c>
      <c r="B1101" s="1">
        <v>541200</v>
      </c>
      <c r="C1101" s="5">
        <v>1.5467429752908776E-5</v>
      </c>
    </row>
    <row r="1102" spans="1:3" x14ac:dyDescent="0.2">
      <c r="A1102" s="4" t="s">
        <v>2443</v>
      </c>
      <c r="B1102" s="1">
        <v>540000</v>
      </c>
      <c r="C1102" s="5">
        <v>1.5433133899798112E-5</v>
      </c>
    </row>
    <row r="1103" spans="1:3" x14ac:dyDescent="0.2">
      <c r="A1103" s="4" t="s">
        <v>2202</v>
      </c>
      <c r="B1103" s="1">
        <v>540000</v>
      </c>
      <c r="C1103" s="5">
        <v>1.5433133899798112E-5</v>
      </c>
    </row>
    <row r="1104" spans="1:3" x14ac:dyDescent="0.2">
      <c r="A1104" s="4" t="s">
        <v>1721</v>
      </c>
      <c r="B1104" s="1">
        <v>540000</v>
      </c>
      <c r="C1104" s="5">
        <v>1.5433133899798112E-5</v>
      </c>
    </row>
    <row r="1105" spans="1:3" x14ac:dyDescent="0.2">
      <c r="A1105" s="4" t="s">
        <v>955</v>
      </c>
      <c r="B1105" s="1">
        <v>538565</v>
      </c>
      <c r="C1105" s="5">
        <v>1.5392121775453278E-5</v>
      </c>
    </row>
    <row r="1106" spans="1:3" x14ac:dyDescent="0.2">
      <c r="A1106" s="4" t="s">
        <v>511</v>
      </c>
      <c r="B1106" s="1">
        <v>529390</v>
      </c>
      <c r="C1106" s="5">
        <v>1.5129901398544672E-5</v>
      </c>
    </row>
    <row r="1107" spans="1:3" x14ac:dyDescent="0.2">
      <c r="A1107" s="4" t="s">
        <v>1418</v>
      </c>
      <c r="B1107" s="1">
        <v>524727.5</v>
      </c>
      <c r="C1107" s="5">
        <v>1.4996647719270953E-5</v>
      </c>
    </row>
    <row r="1108" spans="1:3" x14ac:dyDescent="0.2">
      <c r="A1108" s="4" t="s">
        <v>1438</v>
      </c>
      <c r="B1108" s="1">
        <v>519896</v>
      </c>
      <c r="C1108" s="5">
        <v>1.4858564040684148E-5</v>
      </c>
    </row>
    <row r="1109" spans="1:3" x14ac:dyDescent="0.2">
      <c r="A1109" s="4" t="s">
        <v>409</v>
      </c>
      <c r="B1109" s="1">
        <v>517585</v>
      </c>
      <c r="C1109" s="5">
        <v>1.479251594356853E-5</v>
      </c>
    </row>
    <row r="1110" spans="1:3" x14ac:dyDescent="0.2">
      <c r="A1110" s="4" t="s">
        <v>2485</v>
      </c>
      <c r="B1110" s="1">
        <v>514000</v>
      </c>
      <c r="C1110" s="5">
        <v>1.4690057082400426E-5</v>
      </c>
    </row>
    <row r="1111" spans="1:3" x14ac:dyDescent="0.2">
      <c r="A1111" s="4" t="s">
        <v>946</v>
      </c>
      <c r="B1111" s="1">
        <v>511812</v>
      </c>
      <c r="C1111" s="5">
        <v>1.4627524310228652E-5</v>
      </c>
    </row>
    <row r="1112" spans="1:3" x14ac:dyDescent="0.2">
      <c r="A1112" s="4" t="s">
        <v>1432</v>
      </c>
      <c r="B1112" s="1">
        <v>510000</v>
      </c>
      <c r="C1112" s="5">
        <v>1.4575737572031551E-5</v>
      </c>
    </row>
    <row r="1113" spans="1:3" x14ac:dyDescent="0.2">
      <c r="A1113" s="4" t="s">
        <v>1173</v>
      </c>
      <c r="B1113" s="1">
        <v>504393.8</v>
      </c>
      <c r="C1113" s="5">
        <v>1.4415513062274054E-5</v>
      </c>
    </row>
    <row r="1114" spans="1:3" x14ac:dyDescent="0.2">
      <c r="A1114" s="4" t="s">
        <v>1100</v>
      </c>
      <c r="B1114" s="1">
        <v>504000</v>
      </c>
      <c r="C1114" s="5">
        <v>1.4404258306478239E-5</v>
      </c>
    </row>
    <row r="1115" spans="1:3" x14ac:dyDescent="0.2">
      <c r="A1115" s="4" t="s">
        <v>1435</v>
      </c>
      <c r="B1115" s="1">
        <v>503861</v>
      </c>
      <c r="C1115" s="5">
        <v>1.440028570349292E-5</v>
      </c>
    </row>
    <row r="1116" spans="1:3" x14ac:dyDescent="0.2">
      <c r="A1116" s="4" t="s">
        <v>1830</v>
      </c>
      <c r="B1116" s="1">
        <v>500036.6</v>
      </c>
      <c r="C1116" s="5">
        <v>1.4290984819629238E-5</v>
      </c>
    </row>
    <row r="1117" spans="1:3" x14ac:dyDescent="0.2">
      <c r="A1117" s="4" t="s">
        <v>2448</v>
      </c>
      <c r="B1117" s="1">
        <v>500000</v>
      </c>
      <c r="C1117" s="5">
        <v>1.4289938796109365E-5</v>
      </c>
    </row>
    <row r="1118" spans="1:3" x14ac:dyDescent="0.2">
      <c r="A1118" s="4" t="s">
        <v>2569</v>
      </c>
      <c r="B1118" s="1">
        <v>500000</v>
      </c>
      <c r="C1118" s="5">
        <v>1.4289938796109365E-5</v>
      </c>
    </row>
    <row r="1119" spans="1:3" x14ac:dyDescent="0.2">
      <c r="A1119" s="4" t="s">
        <v>1877</v>
      </c>
      <c r="B1119" s="1">
        <v>500000</v>
      </c>
      <c r="C1119" s="5">
        <v>1.4289938796109365E-5</v>
      </c>
    </row>
    <row r="1120" spans="1:3" x14ac:dyDescent="0.2">
      <c r="A1120" s="4" t="s">
        <v>841</v>
      </c>
      <c r="B1120" s="1">
        <v>500000</v>
      </c>
      <c r="C1120" s="5">
        <v>1.4289938796109365E-5</v>
      </c>
    </row>
    <row r="1121" spans="1:3" x14ac:dyDescent="0.2">
      <c r="A1121" s="4" t="s">
        <v>57</v>
      </c>
      <c r="B1121" s="1">
        <v>500000</v>
      </c>
      <c r="C1121" s="5">
        <v>1.4289938796109365E-5</v>
      </c>
    </row>
    <row r="1122" spans="1:3" x14ac:dyDescent="0.2">
      <c r="A1122" s="4" t="s">
        <v>433</v>
      </c>
      <c r="B1122" s="1">
        <v>498000</v>
      </c>
      <c r="C1122" s="5">
        <v>1.4232779040924927E-5</v>
      </c>
    </row>
    <row r="1123" spans="1:3" x14ac:dyDescent="0.2">
      <c r="A1123" s="4" t="s">
        <v>1590</v>
      </c>
      <c r="B1123" s="1">
        <v>497500</v>
      </c>
      <c r="C1123" s="5">
        <v>1.4218489102128817E-5</v>
      </c>
    </row>
    <row r="1124" spans="1:3" x14ac:dyDescent="0.2">
      <c r="A1124" s="4" t="s">
        <v>1605</v>
      </c>
      <c r="B1124" s="1">
        <v>494374</v>
      </c>
      <c r="C1124" s="5">
        <v>1.4129148404775542E-5</v>
      </c>
    </row>
    <row r="1125" spans="1:3" x14ac:dyDescent="0.2">
      <c r="A1125" s="4" t="s">
        <v>518</v>
      </c>
      <c r="B1125" s="1">
        <v>493187.2</v>
      </c>
      <c r="C1125" s="5">
        <v>1.4095229806049097E-5</v>
      </c>
    </row>
    <row r="1126" spans="1:3" x14ac:dyDescent="0.2">
      <c r="A1126" s="4" t="s">
        <v>1042</v>
      </c>
      <c r="B1126" s="1">
        <v>492719.6</v>
      </c>
      <c r="C1126" s="5">
        <v>1.4081865855286974E-5</v>
      </c>
    </row>
    <row r="1127" spans="1:3" x14ac:dyDescent="0.2">
      <c r="A1127" s="4" t="s">
        <v>898</v>
      </c>
      <c r="B1127" s="1">
        <v>490000</v>
      </c>
      <c r="C1127" s="5">
        <v>1.4004140020187177E-5</v>
      </c>
    </row>
    <row r="1128" spans="1:3" x14ac:dyDescent="0.2">
      <c r="A1128" s="4" t="s">
        <v>1065</v>
      </c>
      <c r="B1128" s="1">
        <v>486000</v>
      </c>
      <c r="C1128" s="5">
        <v>1.3889820509818303E-5</v>
      </c>
    </row>
    <row r="1129" spans="1:3" x14ac:dyDescent="0.2">
      <c r="A1129" s="4" t="s">
        <v>1537</v>
      </c>
      <c r="B1129" s="1">
        <v>485082</v>
      </c>
      <c r="C1129" s="5">
        <v>1.3863584182188645E-5</v>
      </c>
    </row>
    <row r="1130" spans="1:3" x14ac:dyDescent="0.2">
      <c r="A1130" s="4" t="s">
        <v>2523</v>
      </c>
      <c r="B1130" s="1">
        <v>480000</v>
      </c>
      <c r="C1130" s="5">
        <v>1.3718341244264989E-5</v>
      </c>
    </row>
    <row r="1131" spans="1:3" x14ac:dyDescent="0.2">
      <c r="A1131" s="4" t="s">
        <v>1025</v>
      </c>
      <c r="B1131" s="1">
        <v>480000</v>
      </c>
      <c r="C1131" s="5">
        <v>1.3718341244264989E-5</v>
      </c>
    </row>
    <row r="1132" spans="1:3" x14ac:dyDescent="0.2">
      <c r="A1132" s="4" t="s">
        <v>1102</v>
      </c>
      <c r="B1132" s="1">
        <v>480000</v>
      </c>
      <c r="C1132" s="5">
        <v>1.3718341244264989E-5</v>
      </c>
    </row>
    <row r="1133" spans="1:3" x14ac:dyDescent="0.2">
      <c r="A1133" s="4" t="s">
        <v>858</v>
      </c>
      <c r="B1133" s="1">
        <v>472200</v>
      </c>
      <c r="C1133" s="5">
        <v>1.3495418199045684E-5</v>
      </c>
    </row>
    <row r="1134" spans="1:3" x14ac:dyDescent="0.2">
      <c r="A1134" s="4" t="s">
        <v>1071</v>
      </c>
      <c r="B1134" s="1">
        <v>470726.8</v>
      </c>
      <c r="C1134" s="5">
        <v>1.3453314323376827E-5</v>
      </c>
    </row>
    <row r="1135" spans="1:3" x14ac:dyDescent="0.2">
      <c r="A1135" s="4" t="s">
        <v>2478</v>
      </c>
      <c r="B1135" s="1">
        <v>470436</v>
      </c>
      <c r="C1135" s="5">
        <v>1.3445003294973009E-5</v>
      </c>
    </row>
    <row r="1136" spans="1:3" x14ac:dyDescent="0.2">
      <c r="A1136" s="4" t="s">
        <v>1116</v>
      </c>
      <c r="B1136" s="1">
        <v>470000</v>
      </c>
      <c r="C1136" s="5">
        <v>1.3432542468342803E-5</v>
      </c>
    </row>
    <row r="1137" spans="1:3" x14ac:dyDescent="0.2">
      <c r="A1137" s="4" t="s">
        <v>612</v>
      </c>
      <c r="B1137" s="1">
        <v>463464.4</v>
      </c>
      <c r="C1137" s="5">
        <v>1.3245755820351097E-5</v>
      </c>
    </row>
    <row r="1138" spans="1:3" x14ac:dyDescent="0.2">
      <c r="A1138" s="4" t="s">
        <v>485</v>
      </c>
      <c r="B1138" s="1">
        <v>462774.5</v>
      </c>
      <c r="C1138" s="5">
        <v>1.3226038562800226E-5</v>
      </c>
    </row>
    <row r="1139" spans="1:3" x14ac:dyDescent="0.2">
      <c r="A1139" s="4" t="s">
        <v>1615</v>
      </c>
      <c r="B1139" s="1">
        <v>460000</v>
      </c>
      <c r="C1139" s="5">
        <v>1.3146743692420615E-5</v>
      </c>
    </row>
    <row r="1140" spans="1:3" x14ac:dyDescent="0.2">
      <c r="A1140" s="4" t="s">
        <v>789</v>
      </c>
      <c r="B1140" s="1">
        <v>460000</v>
      </c>
      <c r="C1140" s="5">
        <v>1.3146743692420615E-5</v>
      </c>
    </row>
    <row r="1141" spans="1:3" x14ac:dyDescent="0.2">
      <c r="A1141" s="4" t="s">
        <v>2581</v>
      </c>
      <c r="B1141" s="1">
        <v>454364</v>
      </c>
      <c r="C1141" s="5">
        <v>1.298566750231087E-5</v>
      </c>
    </row>
    <row r="1142" spans="1:3" x14ac:dyDescent="0.2">
      <c r="A1142" s="4" t="s">
        <v>972</v>
      </c>
      <c r="B1142" s="1">
        <v>452538.3</v>
      </c>
      <c r="C1142" s="5">
        <v>1.2933489219790756E-5</v>
      </c>
    </row>
    <row r="1143" spans="1:3" x14ac:dyDescent="0.2">
      <c r="A1143" s="4" t="s">
        <v>2862</v>
      </c>
      <c r="B1143" s="1">
        <v>450000</v>
      </c>
      <c r="C1143" s="5">
        <v>1.2860944916498427E-5</v>
      </c>
    </row>
    <row r="1144" spans="1:3" x14ac:dyDescent="0.2">
      <c r="A1144" s="4" t="s">
        <v>2884</v>
      </c>
      <c r="B1144" s="1">
        <v>450000</v>
      </c>
      <c r="C1144" s="5">
        <v>1.2860944916498427E-5</v>
      </c>
    </row>
    <row r="1145" spans="1:3" x14ac:dyDescent="0.2">
      <c r="A1145" s="4" t="s">
        <v>2553</v>
      </c>
      <c r="B1145" s="1">
        <v>450000</v>
      </c>
      <c r="C1145" s="5">
        <v>1.2860944916498427E-5</v>
      </c>
    </row>
    <row r="1146" spans="1:3" x14ac:dyDescent="0.2">
      <c r="A1146" s="4" t="s">
        <v>2555</v>
      </c>
      <c r="B1146" s="1">
        <v>450000</v>
      </c>
      <c r="C1146" s="5">
        <v>1.2860944916498427E-5</v>
      </c>
    </row>
    <row r="1147" spans="1:3" x14ac:dyDescent="0.2">
      <c r="A1147" s="4" t="s">
        <v>1534</v>
      </c>
      <c r="B1147" s="1">
        <v>450000</v>
      </c>
      <c r="C1147" s="5">
        <v>1.2860944916498427E-5</v>
      </c>
    </row>
    <row r="1148" spans="1:3" x14ac:dyDescent="0.2">
      <c r="A1148" s="4" t="s">
        <v>1652</v>
      </c>
      <c r="B1148" s="1">
        <v>450000</v>
      </c>
      <c r="C1148" s="5">
        <v>1.2860944916498427E-5</v>
      </c>
    </row>
    <row r="1149" spans="1:3" x14ac:dyDescent="0.2">
      <c r="A1149" s="4" t="s">
        <v>1711</v>
      </c>
      <c r="B1149" s="1">
        <v>448719.3</v>
      </c>
      <c r="C1149" s="5">
        <v>1.2824342667266073E-5</v>
      </c>
    </row>
    <row r="1150" spans="1:3" x14ac:dyDescent="0.2">
      <c r="A1150" s="4" t="s">
        <v>1008</v>
      </c>
      <c r="B1150" s="1">
        <v>439575.2</v>
      </c>
      <c r="C1150" s="5">
        <v>1.2563005408575067E-5</v>
      </c>
    </row>
    <row r="1151" spans="1:3" x14ac:dyDescent="0.2">
      <c r="A1151" s="4" t="s">
        <v>2341</v>
      </c>
      <c r="B1151" s="1">
        <v>439367</v>
      </c>
      <c r="C1151" s="5">
        <v>1.2557055078060367E-5</v>
      </c>
    </row>
    <row r="1152" spans="1:3" x14ac:dyDescent="0.2">
      <c r="A1152" s="4" t="s">
        <v>786</v>
      </c>
      <c r="B1152" s="1">
        <v>436824.4</v>
      </c>
      <c r="C1152" s="5">
        <v>1.2484387881294391E-5</v>
      </c>
    </row>
    <row r="1153" spans="1:3" x14ac:dyDescent="0.2">
      <c r="A1153" s="4" t="s">
        <v>614</v>
      </c>
      <c r="B1153" s="1">
        <v>436280</v>
      </c>
      <c r="C1153" s="5">
        <v>1.2468828995933187E-5</v>
      </c>
    </row>
    <row r="1154" spans="1:3" x14ac:dyDescent="0.2">
      <c r="A1154" s="4" t="s">
        <v>1182</v>
      </c>
      <c r="B1154" s="1">
        <v>433537.2</v>
      </c>
      <c r="C1154" s="5">
        <v>1.239044010767325E-5</v>
      </c>
    </row>
    <row r="1155" spans="1:3" x14ac:dyDescent="0.2">
      <c r="A1155" s="4" t="s">
        <v>1517</v>
      </c>
      <c r="B1155" s="1">
        <v>432809.8</v>
      </c>
      <c r="C1155" s="5">
        <v>1.2369651104712668E-5</v>
      </c>
    </row>
    <row r="1156" spans="1:3" x14ac:dyDescent="0.2">
      <c r="A1156" s="4" t="s">
        <v>1095</v>
      </c>
      <c r="B1156" s="1">
        <v>432000</v>
      </c>
      <c r="C1156" s="5">
        <v>1.2346507119838491E-5</v>
      </c>
    </row>
    <row r="1157" spans="1:3" x14ac:dyDescent="0.2">
      <c r="A1157" s="4" t="s">
        <v>356</v>
      </c>
      <c r="B1157" s="1">
        <v>432000</v>
      </c>
      <c r="C1157" s="5">
        <v>1.2346507119838491E-5</v>
      </c>
    </row>
    <row r="1158" spans="1:3" x14ac:dyDescent="0.2">
      <c r="A1158" s="4" t="s">
        <v>914</v>
      </c>
      <c r="B1158" s="1">
        <v>431097.5</v>
      </c>
      <c r="C1158" s="5">
        <v>1.2320713780311513E-5</v>
      </c>
    </row>
    <row r="1159" spans="1:3" x14ac:dyDescent="0.2">
      <c r="A1159" s="4" t="s">
        <v>1304</v>
      </c>
      <c r="B1159" s="1">
        <v>430000</v>
      </c>
      <c r="C1159" s="5">
        <v>1.2289347364654053E-5</v>
      </c>
    </row>
    <row r="1160" spans="1:3" x14ac:dyDescent="0.2">
      <c r="A1160" s="4" t="s">
        <v>2541</v>
      </c>
      <c r="B1160" s="1">
        <v>428110</v>
      </c>
      <c r="C1160" s="5">
        <v>1.223533139600476E-5</v>
      </c>
    </row>
    <row r="1161" spans="1:3" x14ac:dyDescent="0.2">
      <c r="A1161" s="4" t="s">
        <v>896</v>
      </c>
      <c r="B1161" s="1">
        <v>427311.3</v>
      </c>
      <c r="C1161" s="5">
        <v>1.2212504647771855E-5</v>
      </c>
    </row>
    <row r="1162" spans="1:3" x14ac:dyDescent="0.2">
      <c r="A1162" s="4" t="s">
        <v>1064</v>
      </c>
      <c r="B1162" s="1">
        <v>424000</v>
      </c>
      <c r="C1162" s="5">
        <v>1.2117868099100741E-5</v>
      </c>
    </row>
    <row r="1163" spans="1:3" x14ac:dyDescent="0.2">
      <c r="A1163" s="4" t="s">
        <v>1454</v>
      </c>
      <c r="B1163" s="1">
        <v>420000</v>
      </c>
      <c r="C1163" s="5">
        <v>1.2003548588731865E-5</v>
      </c>
    </row>
    <row r="1164" spans="1:3" x14ac:dyDescent="0.2">
      <c r="A1164" s="4" t="s">
        <v>952</v>
      </c>
      <c r="B1164" s="1">
        <v>414108.6</v>
      </c>
      <c r="C1164" s="5">
        <v>1.1835173097885068E-5</v>
      </c>
    </row>
    <row r="1165" spans="1:3" x14ac:dyDescent="0.2">
      <c r="A1165" s="4" t="s">
        <v>1167</v>
      </c>
      <c r="B1165" s="1">
        <v>414000</v>
      </c>
      <c r="C1165" s="5">
        <v>1.1832069323178553E-5</v>
      </c>
    </row>
    <row r="1166" spans="1:3" x14ac:dyDescent="0.2">
      <c r="A1166" s="4" t="s">
        <v>1180</v>
      </c>
      <c r="B1166" s="1">
        <v>414000</v>
      </c>
      <c r="C1166" s="5">
        <v>1.1832069323178553E-5</v>
      </c>
    </row>
    <row r="1167" spans="1:3" x14ac:dyDescent="0.2">
      <c r="A1167" s="4" t="s">
        <v>1318</v>
      </c>
      <c r="B1167" s="1">
        <v>410000</v>
      </c>
      <c r="C1167" s="5">
        <v>1.1717749812809679E-5</v>
      </c>
    </row>
    <row r="1168" spans="1:3" x14ac:dyDescent="0.2">
      <c r="A1168" s="4" t="s">
        <v>1070</v>
      </c>
      <c r="B1168" s="1">
        <v>410000</v>
      </c>
      <c r="C1168" s="5">
        <v>1.1717749812809679E-5</v>
      </c>
    </row>
    <row r="1169" spans="1:3" x14ac:dyDescent="0.2">
      <c r="A1169" s="4" t="s">
        <v>1472</v>
      </c>
      <c r="B1169" s="1">
        <v>404358</v>
      </c>
      <c r="C1169" s="5">
        <v>1.155650214343438E-5</v>
      </c>
    </row>
    <row r="1170" spans="1:3" x14ac:dyDescent="0.2">
      <c r="A1170" s="4" t="s">
        <v>1300</v>
      </c>
      <c r="B1170" s="1">
        <v>403000</v>
      </c>
      <c r="C1170" s="5">
        <v>1.1517690669664147E-5</v>
      </c>
    </row>
    <row r="1171" spans="1:3" x14ac:dyDescent="0.2">
      <c r="A1171" s="4" t="s">
        <v>551</v>
      </c>
      <c r="B1171" s="1">
        <v>403000</v>
      </c>
      <c r="C1171" s="5">
        <v>1.1517690669664147E-5</v>
      </c>
    </row>
    <row r="1172" spans="1:3" x14ac:dyDescent="0.2">
      <c r="A1172" s="4" t="s">
        <v>390</v>
      </c>
      <c r="B1172" s="1">
        <v>400715</v>
      </c>
      <c r="C1172" s="5">
        <v>1.1452385649365928E-5</v>
      </c>
    </row>
    <row r="1173" spans="1:3" x14ac:dyDescent="0.2">
      <c r="A1173" s="4" t="s">
        <v>2166</v>
      </c>
      <c r="B1173" s="1">
        <v>400000</v>
      </c>
      <c r="C1173" s="5">
        <v>1.1431951036887491E-5</v>
      </c>
    </row>
    <row r="1174" spans="1:3" x14ac:dyDescent="0.2">
      <c r="A1174" s="4" t="s">
        <v>1493</v>
      </c>
      <c r="B1174" s="1">
        <v>400000</v>
      </c>
      <c r="C1174" s="5">
        <v>1.1431951036887491E-5</v>
      </c>
    </row>
    <row r="1175" spans="1:3" x14ac:dyDescent="0.2">
      <c r="A1175" s="4" t="s">
        <v>1262</v>
      </c>
      <c r="B1175" s="1">
        <v>400000</v>
      </c>
      <c r="C1175" s="5">
        <v>1.1431951036887491E-5</v>
      </c>
    </row>
    <row r="1176" spans="1:3" x14ac:dyDescent="0.2">
      <c r="A1176" s="4" t="s">
        <v>1956</v>
      </c>
      <c r="B1176" s="1">
        <v>399610.2</v>
      </c>
      <c r="C1176" s="5">
        <v>1.1420810600602045E-5</v>
      </c>
    </row>
    <row r="1177" spans="1:3" x14ac:dyDescent="0.2">
      <c r="A1177" s="4" t="s">
        <v>1379</v>
      </c>
      <c r="B1177" s="1">
        <v>399541</v>
      </c>
      <c r="C1177" s="5">
        <v>1.1418832873072664E-5</v>
      </c>
    </row>
    <row r="1178" spans="1:3" x14ac:dyDescent="0.2">
      <c r="A1178" s="4" t="s">
        <v>1600</v>
      </c>
      <c r="B1178" s="1">
        <v>397000</v>
      </c>
      <c r="C1178" s="5">
        <v>1.1346211404110835E-5</v>
      </c>
    </row>
    <row r="1179" spans="1:3" x14ac:dyDescent="0.2">
      <c r="A1179" s="4" t="s">
        <v>566</v>
      </c>
      <c r="B1179" s="1">
        <v>397000</v>
      </c>
      <c r="C1179" s="5">
        <v>1.1346211404110835E-5</v>
      </c>
    </row>
    <row r="1180" spans="1:3" x14ac:dyDescent="0.2">
      <c r="A1180" s="4" t="s">
        <v>1391</v>
      </c>
      <c r="B1180" s="1">
        <v>395845</v>
      </c>
      <c r="C1180" s="5">
        <v>1.1313201645491823E-5</v>
      </c>
    </row>
    <row r="1181" spans="1:3" x14ac:dyDescent="0.2">
      <c r="A1181" s="4" t="s">
        <v>2890</v>
      </c>
      <c r="B1181" s="1">
        <v>394000</v>
      </c>
      <c r="C1181" s="5">
        <v>1.1260471771334179E-5</v>
      </c>
    </row>
    <row r="1182" spans="1:3" x14ac:dyDescent="0.2">
      <c r="A1182" s="4" t="s">
        <v>939</v>
      </c>
      <c r="B1182" s="1">
        <v>391838.8</v>
      </c>
      <c r="C1182" s="5">
        <v>1.1198704939881876E-5</v>
      </c>
    </row>
    <row r="1183" spans="1:3" x14ac:dyDescent="0.2">
      <c r="A1183" s="4" t="s">
        <v>1061</v>
      </c>
      <c r="B1183" s="1">
        <v>384706.8</v>
      </c>
      <c r="C1183" s="5">
        <v>1.0994873252894172E-5</v>
      </c>
    </row>
    <row r="1184" spans="1:3" x14ac:dyDescent="0.2">
      <c r="A1184" s="4" t="s">
        <v>1358</v>
      </c>
      <c r="B1184" s="1">
        <v>379500</v>
      </c>
      <c r="C1184" s="5">
        <v>1.0846063546247007E-5</v>
      </c>
    </row>
    <row r="1185" spans="1:3" x14ac:dyDescent="0.2">
      <c r="A1185" s="4" t="s">
        <v>506</v>
      </c>
      <c r="B1185" s="1">
        <v>378589.2</v>
      </c>
      <c r="C1185" s="5">
        <v>1.0820032993736015E-5</v>
      </c>
    </row>
    <row r="1186" spans="1:3" x14ac:dyDescent="0.2">
      <c r="A1186" s="4" t="s">
        <v>2281</v>
      </c>
      <c r="B1186" s="1">
        <v>377606.2</v>
      </c>
      <c r="C1186" s="5">
        <v>1.0791938974062864E-5</v>
      </c>
    </row>
    <row r="1187" spans="1:3" x14ac:dyDescent="0.2">
      <c r="A1187" s="4" t="s">
        <v>1630</v>
      </c>
      <c r="B1187" s="1">
        <v>370260</v>
      </c>
      <c r="C1187" s="5">
        <v>1.0581985477294906E-5</v>
      </c>
    </row>
    <row r="1188" spans="1:3" x14ac:dyDescent="0.2">
      <c r="A1188" s="4" t="s">
        <v>1367</v>
      </c>
      <c r="B1188" s="1">
        <v>370000</v>
      </c>
      <c r="C1188" s="5">
        <v>1.0574554709120929E-5</v>
      </c>
    </row>
    <row r="1189" spans="1:3" x14ac:dyDescent="0.2">
      <c r="A1189" s="4" t="s">
        <v>307</v>
      </c>
      <c r="B1189" s="1">
        <v>364000</v>
      </c>
      <c r="C1189" s="5">
        <v>1.0403075443567617E-5</v>
      </c>
    </row>
    <row r="1190" spans="1:3" x14ac:dyDescent="0.2">
      <c r="A1190" s="4" t="s">
        <v>2901</v>
      </c>
      <c r="B1190" s="1">
        <v>363090</v>
      </c>
      <c r="C1190" s="5">
        <v>1.0377067754958698E-5</v>
      </c>
    </row>
    <row r="1191" spans="1:3" x14ac:dyDescent="0.2">
      <c r="A1191" s="4" t="s">
        <v>1246</v>
      </c>
      <c r="B1191" s="1">
        <v>360000</v>
      </c>
      <c r="C1191" s="5">
        <v>1.0288755933198742E-5</v>
      </c>
    </row>
    <row r="1192" spans="1:3" x14ac:dyDescent="0.2">
      <c r="A1192" s="4" t="s">
        <v>1209</v>
      </c>
      <c r="B1192" s="1">
        <v>359000</v>
      </c>
      <c r="C1192" s="5">
        <v>1.0260176055606524E-5</v>
      </c>
    </row>
    <row r="1193" spans="1:3" x14ac:dyDescent="0.2">
      <c r="A1193" s="4" t="s">
        <v>888</v>
      </c>
      <c r="B1193" s="1">
        <v>357548</v>
      </c>
      <c r="C1193" s="5">
        <v>1.0218678073342622E-5</v>
      </c>
    </row>
    <row r="1194" spans="1:3" x14ac:dyDescent="0.2">
      <c r="A1194" s="4" t="s">
        <v>967</v>
      </c>
      <c r="B1194" s="1">
        <v>356098.4</v>
      </c>
      <c r="C1194" s="5">
        <v>1.0177248682784942E-5</v>
      </c>
    </row>
    <row r="1195" spans="1:3" x14ac:dyDescent="0.2">
      <c r="A1195" s="4" t="s">
        <v>2527</v>
      </c>
      <c r="B1195" s="1">
        <v>350000</v>
      </c>
      <c r="C1195" s="5">
        <v>1.0002957157276556E-5</v>
      </c>
    </row>
    <row r="1196" spans="1:3" x14ac:dyDescent="0.2">
      <c r="A1196" s="4" t="s">
        <v>2549</v>
      </c>
      <c r="B1196" s="1">
        <v>350000</v>
      </c>
      <c r="C1196" s="5">
        <v>1.0002957157276556E-5</v>
      </c>
    </row>
    <row r="1197" spans="1:3" x14ac:dyDescent="0.2">
      <c r="A1197" s="4" t="s">
        <v>2132</v>
      </c>
      <c r="B1197" s="1">
        <v>350000</v>
      </c>
      <c r="C1197" s="5">
        <v>1.0002957157276556E-5</v>
      </c>
    </row>
    <row r="1198" spans="1:3" x14ac:dyDescent="0.2">
      <c r="A1198" s="4" t="s">
        <v>1287</v>
      </c>
      <c r="B1198" s="1">
        <v>350000</v>
      </c>
      <c r="C1198" s="5">
        <v>1.0002957157276556E-5</v>
      </c>
    </row>
    <row r="1199" spans="1:3" x14ac:dyDescent="0.2">
      <c r="A1199" s="4" t="s">
        <v>1175</v>
      </c>
      <c r="B1199" s="1">
        <v>350000</v>
      </c>
      <c r="C1199" s="5">
        <v>1.0002957157276556E-5</v>
      </c>
    </row>
    <row r="1200" spans="1:3" x14ac:dyDescent="0.2">
      <c r="A1200" s="4" t="s">
        <v>1210</v>
      </c>
      <c r="B1200" s="1">
        <v>345000</v>
      </c>
      <c r="C1200" s="5">
        <v>9.8600577693154616E-6</v>
      </c>
    </row>
    <row r="1201" spans="1:3" x14ac:dyDescent="0.2">
      <c r="A1201" s="4" t="s">
        <v>1220</v>
      </c>
      <c r="B1201" s="1">
        <v>345000</v>
      </c>
      <c r="C1201" s="5">
        <v>9.8600577693154616E-6</v>
      </c>
    </row>
    <row r="1202" spans="1:3" x14ac:dyDescent="0.2">
      <c r="A1202" s="4" t="s">
        <v>2484</v>
      </c>
      <c r="B1202" s="1">
        <v>344049</v>
      </c>
      <c r="C1202" s="5">
        <v>9.8328783057252617E-6</v>
      </c>
    </row>
    <row r="1203" spans="1:3" x14ac:dyDescent="0.2">
      <c r="A1203" s="4" t="s">
        <v>1740</v>
      </c>
      <c r="B1203" s="1">
        <v>343000</v>
      </c>
      <c r="C1203" s="5">
        <v>9.8028980141310237E-6</v>
      </c>
    </row>
    <row r="1204" spans="1:3" x14ac:dyDescent="0.2">
      <c r="A1204" s="4" t="s">
        <v>1436</v>
      </c>
      <c r="B1204" s="1">
        <v>340544</v>
      </c>
      <c r="C1204" s="5">
        <v>9.7327058347645351E-6</v>
      </c>
    </row>
    <row r="1205" spans="1:3" x14ac:dyDescent="0.2">
      <c r="A1205" s="4" t="s">
        <v>1745</v>
      </c>
      <c r="B1205" s="1">
        <v>340000</v>
      </c>
      <c r="C1205" s="5">
        <v>9.7171583813543677E-6</v>
      </c>
    </row>
    <row r="1206" spans="1:3" x14ac:dyDescent="0.2">
      <c r="A1206" s="4" t="s">
        <v>1466</v>
      </c>
      <c r="B1206" s="1">
        <v>340000</v>
      </c>
      <c r="C1206" s="5">
        <v>9.7171583813543677E-6</v>
      </c>
    </row>
    <row r="1207" spans="1:3" x14ac:dyDescent="0.2">
      <c r="A1207" s="4" t="s">
        <v>1434</v>
      </c>
      <c r="B1207" s="1">
        <v>340000</v>
      </c>
      <c r="C1207" s="5">
        <v>9.7171583813543677E-6</v>
      </c>
    </row>
    <row r="1208" spans="1:3" x14ac:dyDescent="0.2">
      <c r="A1208" s="4" t="s">
        <v>913</v>
      </c>
      <c r="B1208" s="1">
        <v>338967.10000000003</v>
      </c>
      <c r="C1208" s="5">
        <v>9.6876382257893655E-6</v>
      </c>
    </row>
    <row r="1209" spans="1:3" x14ac:dyDescent="0.2">
      <c r="A1209" s="4" t="s">
        <v>1376</v>
      </c>
      <c r="B1209" s="1">
        <v>338000</v>
      </c>
      <c r="C1209" s="5">
        <v>9.6599986261699298E-6</v>
      </c>
    </row>
    <row r="1210" spans="1:3" x14ac:dyDescent="0.2">
      <c r="A1210" s="4" t="s">
        <v>1385</v>
      </c>
      <c r="B1210" s="1">
        <v>328765.90000000002</v>
      </c>
      <c r="C1210" s="5">
        <v>9.3960891784956236E-6</v>
      </c>
    </row>
    <row r="1211" spans="1:3" x14ac:dyDescent="0.2">
      <c r="A1211" s="4" t="s">
        <v>1249</v>
      </c>
      <c r="B1211" s="1">
        <v>325000</v>
      </c>
      <c r="C1211" s="5">
        <v>9.2884602174710859E-6</v>
      </c>
    </row>
    <row r="1212" spans="1:3" x14ac:dyDescent="0.2">
      <c r="A1212" s="4" t="s">
        <v>1556</v>
      </c>
      <c r="B1212" s="1">
        <v>324000</v>
      </c>
      <c r="C1212" s="5">
        <v>9.2598803398788678E-6</v>
      </c>
    </row>
    <row r="1213" spans="1:3" x14ac:dyDescent="0.2">
      <c r="A1213" s="4" t="s">
        <v>1081</v>
      </c>
      <c r="B1213" s="1">
        <v>324000</v>
      </c>
      <c r="C1213" s="5">
        <v>9.2598803398788678E-6</v>
      </c>
    </row>
    <row r="1214" spans="1:3" x14ac:dyDescent="0.2">
      <c r="A1214" s="4" t="s">
        <v>1066</v>
      </c>
      <c r="B1214" s="1">
        <v>324000</v>
      </c>
      <c r="C1214" s="5">
        <v>9.2598803398788678E-6</v>
      </c>
    </row>
    <row r="1215" spans="1:3" x14ac:dyDescent="0.2">
      <c r="A1215" s="4" t="s">
        <v>1078</v>
      </c>
      <c r="B1215" s="1">
        <v>324000</v>
      </c>
      <c r="C1215" s="5">
        <v>9.2598803398788678E-6</v>
      </c>
    </row>
    <row r="1216" spans="1:3" x14ac:dyDescent="0.2">
      <c r="A1216" s="4" t="s">
        <v>1578</v>
      </c>
      <c r="B1216" s="1">
        <v>320188.7</v>
      </c>
      <c r="C1216" s="5">
        <v>9.1509538524116445E-6</v>
      </c>
    </row>
    <row r="1217" spans="1:3" x14ac:dyDescent="0.2">
      <c r="A1217" s="4" t="s">
        <v>1718</v>
      </c>
      <c r="B1217" s="1">
        <v>320000</v>
      </c>
      <c r="C1217" s="5">
        <v>9.1455608295099937E-6</v>
      </c>
    </row>
    <row r="1218" spans="1:3" x14ac:dyDescent="0.2">
      <c r="A1218" s="4" t="s">
        <v>1270</v>
      </c>
      <c r="B1218" s="1">
        <v>320000</v>
      </c>
      <c r="C1218" s="5">
        <v>9.1455608295099937E-6</v>
      </c>
    </row>
    <row r="1219" spans="1:3" x14ac:dyDescent="0.2">
      <c r="A1219" s="4" t="s">
        <v>1442</v>
      </c>
      <c r="B1219" s="1">
        <v>313687</v>
      </c>
      <c r="C1219" s="5">
        <v>8.9651360622703167E-6</v>
      </c>
    </row>
    <row r="1220" spans="1:3" x14ac:dyDescent="0.2">
      <c r="A1220" s="4" t="s">
        <v>1501</v>
      </c>
      <c r="B1220" s="1">
        <v>313238</v>
      </c>
      <c r="C1220" s="5">
        <v>8.9523036972314102E-6</v>
      </c>
    </row>
    <row r="1221" spans="1:3" x14ac:dyDescent="0.2">
      <c r="A1221" s="4" t="s">
        <v>1142</v>
      </c>
      <c r="B1221" s="1">
        <v>310000</v>
      </c>
      <c r="C1221" s="5">
        <v>8.8597620535878059E-6</v>
      </c>
    </row>
    <row r="1222" spans="1:3" x14ac:dyDescent="0.2">
      <c r="A1222" s="4" t="s">
        <v>2505</v>
      </c>
      <c r="B1222" s="1">
        <v>305783</v>
      </c>
      <c r="C1222" s="5">
        <v>8.7392407097814195E-6</v>
      </c>
    </row>
    <row r="1223" spans="1:3" x14ac:dyDescent="0.2">
      <c r="A1223" s="4" t="s">
        <v>624</v>
      </c>
      <c r="B1223" s="1">
        <v>305718.40000000002</v>
      </c>
      <c r="C1223" s="5">
        <v>8.7373944496889623E-6</v>
      </c>
    </row>
    <row r="1224" spans="1:3" x14ac:dyDescent="0.2">
      <c r="A1224" s="4" t="s">
        <v>47</v>
      </c>
      <c r="B1224" s="1">
        <v>305154.09999999998</v>
      </c>
      <c r="C1224" s="5">
        <v>8.7212668247636728E-6</v>
      </c>
    </row>
    <row r="1225" spans="1:3" x14ac:dyDescent="0.2">
      <c r="A1225" s="4" t="s">
        <v>2037</v>
      </c>
      <c r="B1225" s="1">
        <v>305000</v>
      </c>
      <c r="C1225" s="5">
        <v>8.716862665626712E-6</v>
      </c>
    </row>
    <row r="1226" spans="1:3" x14ac:dyDescent="0.2">
      <c r="A1226" s="4" t="s">
        <v>1129</v>
      </c>
      <c r="B1226" s="1">
        <v>305000</v>
      </c>
      <c r="C1226" s="5">
        <v>8.716862665626712E-6</v>
      </c>
    </row>
    <row r="1227" spans="1:3" x14ac:dyDescent="0.2">
      <c r="A1227" s="4" t="s">
        <v>2724</v>
      </c>
      <c r="B1227" s="1">
        <v>304265</v>
      </c>
      <c r="C1227" s="5">
        <v>8.6958564555964308E-6</v>
      </c>
    </row>
    <row r="1228" spans="1:3" x14ac:dyDescent="0.2">
      <c r="A1228" s="4" t="s">
        <v>1467</v>
      </c>
      <c r="B1228" s="1">
        <v>302281</v>
      </c>
      <c r="C1228" s="5">
        <v>8.63915397845347E-6</v>
      </c>
    </row>
    <row r="1229" spans="1:3" x14ac:dyDescent="0.2">
      <c r="A1229" s="4" t="s">
        <v>1396</v>
      </c>
      <c r="B1229" s="1">
        <v>300997.5</v>
      </c>
      <c r="C1229" s="5">
        <v>8.6024717055638558E-6</v>
      </c>
    </row>
    <row r="1230" spans="1:3" x14ac:dyDescent="0.2">
      <c r="A1230" s="4" t="s">
        <v>2865</v>
      </c>
      <c r="B1230" s="1">
        <v>300000</v>
      </c>
      <c r="C1230" s="5">
        <v>8.573963277665618E-6</v>
      </c>
    </row>
    <row r="1231" spans="1:3" x14ac:dyDescent="0.2">
      <c r="A1231" s="4" t="s">
        <v>2189</v>
      </c>
      <c r="B1231" s="1">
        <v>300000</v>
      </c>
      <c r="C1231" s="5">
        <v>8.573963277665618E-6</v>
      </c>
    </row>
    <row r="1232" spans="1:3" x14ac:dyDescent="0.2">
      <c r="A1232" s="4" t="s">
        <v>1759</v>
      </c>
      <c r="B1232" s="1">
        <v>300000</v>
      </c>
      <c r="C1232" s="5">
        <v>8.573963277665618E-6</v>
      </c>
    </row>
    <row r="1233" spans="1:3" x14ac:dyDescent="0.2">
      <c r="A1233" s="4" t="s">
        <v>1485</v>
      </c>
      <c r="B1233" s="1">
        <v>300000</v>
      </c>
      <c r="C1233" s="5">
        <v>8.573963277665618E-6</v>
      </c>
    </row>
    <row r="1234" spans="1:3" x14ac:dyDescent="0.2">
      <c r="A1234" s="4" t="s">
        <v>1107</v>
      </c>
      <c r="B1234" s="1">
        <v>300000</v>
      </c>
      <c r="C1234" s="5">
        <v>8.573963277665618E-6</v>
      </c>
    </row>
    <row r="1235" spans="1:3" x14ac:dyDescent="0.2">
      <c r="A1235" s="4" t="s">
        <v>573</v>
      </c>
      <c r="B1235" s="1">
        <v>300000</v>
      </c>
      <c r="C1235" s="5">
        <v>8.573963277665618E-6</v>
      </c>
    </row>
    <row r="1236" spans="1:3" x14ac:dyDescent="0.2">
      <c r="A1236" s="4" t="s">
        <v>111</v>
      </c>
      <c r="B1236" s="1">
        <v>300000</v>
      </c>
      <c r="C1236" s="5">
        <v>8.573963277665618E-6</v>
      </c>
    </row>
    <row r="1237" spans="1:3" x14ac:dyDescent="0.2">
      <c r="A1237" s="4" t="s">
        <v>544</v>
      </c>
      <c r="B1237" s="1">
        <v>299890</v>
      </c>
      <c r="C1237" s="5">
        <v>8.5708194911304751E-6</v>
      </c>
    </row>
    <row r="1238" spans="1:3" x14ac:dyDescent="0.2">
      <c r="A1238" s="4" t="s">
        <v>2050</v>
      </c>
      <c r="B1238" s="1">
        <v>298650</v>
      </c>
      <c r="C1238" s="5">
        <v>8.5353804429161234E-6</v>
      </c>
    </row>
    <row r="1239" spans="1:3" x14ac:dyDescent="0.2">
      <c r="A1239" s="4" t="s">
        <v>481</v>
      </c>
      <c r="B1239" s="1">
        <v>298500</v>
      </c>
      <c r="C1239" s="5">
        <v>8.53109346127729E-6</v>
      </c>
    </row>
    <row r="1240" spans="1:3" x14ac:dyDescent="0.2">
      <c r="A1240" s="4" t="s">
        <v>626</v>
      </c>
      <c r="B1240" s="1">
        <v>296731</v>
      </c>
      <c r="C1240" s="5">
        <v>8.4805356578166562E-6</v>
      </c>
    </row>
    <row r="1241" spans="1:3" x14ac:dyDescent="0.2">
      <c r="A1241" s="4" t="s">
        <v>2156</v>
      </c>
      <c r="B1241" s="1">
        <v>292638</v>
      </c>
      <c r="C1241" s="5">
        <v>8.3635582188317047E-6</v>
      </c>
    </row>
    <row r="1242" spans="1:3" x14ac:dyDescent="0.2">
      <c r="A1242" s="4" t="s">
        <v>1729</v>
      </c>
      <c r="B1242" s="1">
        <v>292500</v>
      </c>
      <c r="C1242" s="5">
        <v>8.359614195723978E-6</v>
      </c>
    </row>
    <row r="1243" spans="1:3" x14ac:dyDescent="0.2">
      <c r="A1243" s="4" t="s">
        <v>1456</v>
      </c>
      <c r="B1243" s="1">
        <v>290000</v>
      </c>
      <c r="C1243" s="5">
        <v>8.2881645017434319E-6</v>
      </c>
    </row>
    <row r="1244" spans="1:3" x14ac:dyDescent="0.2">
      <c r="A1244" s="4" t="s">
        <v>1445</v>
      </c>
      <c r="B1244" s="1">
        <v>290000</v>
      </c>
      <c r="C1244" s="5">
        <v>8.2881645017434319E-6</v>
      </c>
    </row>
    <row r="1245" spans="1:3" x14ac:dyDescent="0.2">
      <c r="A1245" s="4" t="s">
        <v>263</v>
      </c>
      <c r="B1245" s="1">
        <v>290000</v>
      </c>
      <c r="C1245" s="5">
        <v>8.2881645017434319E-6</v>
      </c>
    </row>
    <row r="1246" spans="1:3" x14ac:dyDescent="0.2">
      <c r="A1246" s="4" t="s">
        <v>1109</v>
      </c>
      <c r="B1246" s="1">
        <v>288000</v>
      </c>
      <c r="C1246" s="5">
        <v>8.231004746558994E-6</v>
      </c>
    </row>
    <row r="1247" spans="1:3" x14ac:dyDescent="0.2">
      <c r="A1247" s="4" t="s">
        <v>1104</v>
      </c>
      <c r="B1247" s="1">
        <v>288000</v>
      </c>
      <c r="C1247" s="5">
        <v>8.231004746558994E-6</v>
      </c>
    </row>
    <row r="1248" spans="1:3" x14ac:dyDescent="0.2">
      <c r="A1248" s="4" t="s">
        <v>56</v>
      </c>
      <c r="B1248" s="1">
        <v>281000</v>
      </c>
      <c r="C1248" s="5">
        <v>8.0309456034134622E-6</v>
      </c>
    </row>
    <row r="1249" spans="1:3" x14ac:dyDescent="0.2">
      <c r="A1249" s="4" t="s">
        <v>1858</v>
      </c>
      <c r="B1249" s="1">
        <v>278000</v>
      </c>
      <c r="C1249" s="5">
        <v>7.9452059706368062E-6</v>
      </c>
    </row>
    <row r="1250" spans="1:3" x14ac:dyDescent="0.2">
      <c r="A1250" s="4" t="s">
        <v>927</v>
      </c>
      <c r="B1250" s="1">
        <v>276802.89999999991</v>
      </c>
      <c r="C1250" s="5">
        <v>7.9109929991711581E-6</v>
      </c>
    </row>
    <row r="1251" spans="1:3" x14ac:dyDescent="0.2">
      <c r="A1251" s="4" t="s">
        <v>1169</v>
      </c>
      <c r="B1251" s="1">
        <v>276000</v>
      </c>
      <c r="C1251" s="5">
        <v>7.8880462154523683E-6</v>
      </c>
    </row>
    <row r="1252" spans="1:3" x14ac:dyDescent="0.2">
      <c r="A1252" s="4" t="s">
        <v>1187</v>
      </c>
      <c r="B1252" s="1">
        <v>275000</v>
      </c>
      <c r="C1252" s="5">
        <v>7.8594663378601502E-6</v>
      </c>
    </row>
    <row r="1253" spans="1:3" x14ac:dyDescent="0.2">
      <c r="A1253" s="4" t="s">
        <v>1792</v>
      </c>
      <c r="B1253" s="1">
        <v>270000</v>
      </c>
      <c r="C1253" s="5">
        <v>7.7165669498990562E-6</v>
      </c>
    </row>
    <row r="1254" spans="1:3" x14ac:dyDescent="0.2">
      <c r="A1254" s="4" t="s">
        <v>1236</v>
      </c>
      <c r="B1254" s="1">
        <v>270000</v>
      </c>
      <c r="C1254" s="5">
        <v>7.7165669498990562E-6</v>
      </c>
    </row>
    <row r="1255" spans="1:3" x14ac:dyDescent="0.2">
      <c r="A1255" s="4" t="s">
        <v>1080</v>
      </c>
      <c r="B1255" s="1">
        <v>270000</v>
      </c>
      <c r="C1255" s="5">
        <v>7.7165669498990562E-6</v>
      </c>
    </row>
    <row r="1256" spans="1:3" x14ac:dyDescent="0.2">
      <c r="A1256" s="4" t="s">
        <v>1482</v>
      </c>
      <c r="B1256" s="1">
        <v>269997</v>
      </c>
      <c r="C1256" s="5">
        <v>7.7164812102662792E-6</v>
      </c>
    </row>
    <row r="1257" spans="1:3" x14ac:dyDescent="0.2">
      <c r="A1257" s="4" t="s">
        <v>623</v>
      </c>
      <c r="B1257" s="1">
        <v>268000</v>
      </c>
      <c r="C1257" s="5">
        <v>7.6594071947146183E-6</v>
      </c>
    </row>
    <row r="1258" spans="1:3" x14ac:dyDescent="0.2">
      <c r="A1258" s="4" t="s">
        <v>1550</v>
      </c>
      <c r="B1258" s="1">
        <v>267000</v>
      </c>
      <c r="C1258" s="5">
        <v>7.6308273171224002E-6</v>
      </c>
    </row>
    <row r="1259" spans="1:3" x14ac:dyDescent="0.2">
      <c r="A1259" s="4" t="s">
        <v>1293</v>
      </c>
      <c r="B1259" s="1">
        <v>266843.2</v>
      </c>
      <c r="C1259" s="5">
        <v>7.6263459923159409E-6</v>
      </c>
    </row>
    <row r="1260" spans="1:3" x14ac:dyDescent="0.2">
      <c r="A1260" s="4" t="s">
        <v>931</v>
      </c>
      <c r="B1260" s="1">
        <v>264000</v>
      </c>
      <c r="C1260" s="5">
        <v>7.5450876843457442E-6</v>
      </c>
    </row>
    <row r="1261" spans="1:3" x14ac:dyDescent="0.2">
      <c r="A1261" s="4" t="s">
        <v>567</v>
      </c>
      <c r="B1261" s="1">
        <v>260668</v>
      </c>
      <c r="C1261" s="5">
        <v>7.4498595322084715E-6</v>
      </c>
    </row>
    <row r="1262" spans="1:3" x14ac:dyDescent="0.2">
      <c r="A1262" s="4" t="s">
        <v>1349</v>
      </c>
      <c r="B1262" s="1">
        <v>260000</v>
      </c>
      <c r="C1262" s="5">
        <v>7.4307681739768693E-6</v>
      </c>
    </row>
    <row r="1263" spans="1:3" x14ac:dyDescent="0.2">
      <c r="A1263" s="4" t="s">
        <v>1133</v>
      </c>
      <c r="B1263" s="1">
        <v>260000</v>
      </c>
      <c r="C1263" s="5">
        <v>7.4307681739768693E-6</v>
      </c>
    </row>
    <row r="1264" spans="1:3" x14ac:dyDescent="0.2">
      <c r="A1264" s="4" t="s">
        <v>1301</v>
      </c>
      <c r="B1264" s="1">
        <v>255000</v>
      </c>
      <c r="C1264" s="5">
        <v>7.2878687860157753E-6</v>
      </c>
    </row>
    <row r="1265" spans="1:3" x14ac:dyDescent="0.2">
      <c r="A1265" s="4" t="s">
        <v>1275</v>
      </c>
      <c r="B1265" s="1">
        <v>255000</v>
      </c>
      <c r="C1265" s="5">
        <v>7.2878687860157753E-6</v>
      </c>
    </row>
    <row r="1266" spans="1:3" x14ac:dyDescent="0.2">
      <c r="A1266" s="4" t="s">
        <v>514</v>
      </c>
      <c r="B1266" s="1">
        <v>253431.4</v>
      </c>
      <c r="C1266" s="5">
        <v>7.2430383900246212E-6</v>
      </c>
    </row>
    <row r="1267" spans="1:3" x14ac:dyDescent="0.2">
      <c r="A1267" s="4" t="s">
        <v>1657</v>
      </c>
      <c r="B1267" s="1">
        <v>252924</v>
      </c>
      <c r="C1267" s="5">
        <v>7.2285369601343298E-6</v>
      </c>
    </row>
    <row r="1268" spans="1:3" x14ac:dyDescent="0.2">
      <c r="A1268" s="4" t="s">
        <v>250</v>
      </c>
      <c r="B1268" s="1">
        <v>252000</v>
      </c>
      <c r="C1268" s="5">
        <v>7.2021291532391193E-6</v>
      </c>
    </row>
    <row r="1269" spans="1:3" x14ac:dyDescent="0.2">
      <c r="A1269" s="4" t="s">
        <v>2686</v>
      </c>
      <c r="B1269" s="1">
        <v>250000</v>
      </c>
      <c r="C1269" s="5">
        <v>7.1449693980546823E-6</v>
      </c>
    </row>
    <row r="1270" spans="1:3" x14ac:dyDescent="0.2">
      <c r="A1270" s="4" t="s">
        <v>2690</v>
      </c>
      <c r="B1270" s="1">
        <v>250000</v>
      </c>
      <c r="C1270" s="5">
        <v>7.1449693980546823E-6</v>
      </c>
    </row>
    <row r="1271" spans="1:3" x14ac:dyDescent="0.2">
      <c r="A1271" s="4" t="s">
        <v>2886</v>
      </c>
      <c r="B1271" s="1">
        <v>250000</v>
      </c>
      <c r="C1271" s="5">
        <v>7.1449693980546823E-6</v>
      </c>
    </row>
    <row r="1272" spans="1:3" x14ac:dyDescent="0.2">
      <c r="A1272" s="4" t="s">
        <v>2646</v>
      </c>
      <c r="B1272" s="1">
        <v>250000</v>
      </c>
      <c r="C1272" s="5">
        <v>7.1449693980546823E-6</v>
      </c>
    </row>
    <row r="1273" spans="1:3" x14ac:dyDescent="0.2">
      <c r="A1273" s="4" t="s">
        <v>2586</v>
      </c>
      <c r="B1273" s="1">
        <v>250000</v>
      </c>
      <c r="C1273" s="5">
        <v>7.1449693980546823E-6</v>
      </c>
    </row>
    <row r="1274" spans="1:3" x14ac:dyDescent="0.2">
      <c r="A1274" s="4" t="s">
        <v>2583</v>
      </c>
      <c r="B1274" s="1">
        <v>250000</v>
      </c>
      <c r="C1274" s="5">
        <v>7.1449693980546823E-6</v>
      </c>
    </row>
    <row r="1275" spans="1:3" x14ac:dyDescent="0.2">
      <c r="A1275" s="4" t="s">
        <v>2547</v>
      </c>
      <c r="B1275" s="1">
        <v>250000</v>
      </c>
      <c r="C1275" s="5">
        <v>7.1449693980546823E-6</v>
      </c>
    </row>
    <row r="1276" spans="1:3" x14ac:dyDescent="0.2">
      <c r="A1276" s="4" t="s">
        <v>2577</v>
      </c>
      <c r="B1276" s="1">
        <v>250000</v>
      </c>
      <c r="C1276" s="5">
        <v>7.1449693980546823E-6</v>
      </c>
    </row>
    <row r="1277" spans="1:3" x14ac:dyDescent="0.2">
      <c r="A1277" s="4" t="s">
        <v>2487</v>
      </c>
      <c r="B1277" s="1">
        <v>250000</v>
      </c>
      <c r="C1277" s="5">
        <v>7.1449693980546823E-6</v>
      </c>
    </row>
    <row r="1278" spans="1:3" x14ac:dyDescent="0.2">
      <c r="A1278" s="4" t="s">
        <v>2593</v>
      </c>
      <c r="B1278" s="1">
        <v>250000</v>
      </c>
      <c r="C1278" s="5">
        <v>7.1449693980546823E-6</v>
      </c>
    </row>
    <row r="1279" spans="1:3" x14ac:dyDescent="0.2">
      <c r="A1279" s="4" t="s">
        <v>2524</v>
      </c>
      <c r="B1279" s="1">
        <v>250000</v>
      </c>
      <c r="C1279" s="5">
        <v>7.1449693980546823E-6</v>
      </c>
    </row>
    <row r="1280" spans="1:3" x14ac:dyDescent="0.2">
      <c r="A1280" s="4" t="s">
        <v>2558</v>
      </c>
      <c r="B1280" s="1">
        <v>250000</v>
      </c>
      <c r="C1280" s="5">
        <v>7.1449693980546823E-6</v>
      </c>
    </row>
    <row r="1281" spans="1:3" x14ac:dyDescent="0.2">
      <c r="A1281" s="4" t="s">
        <v>2563</v>
      </c>
      <c r="B1281" s="1">
        <v>250000</v>
      </c>
      <c r="C1281" s="5">
        <v>7.1449693980546823E-6</v>
      </c>
    </row>
    <row r="1282" spans="1:3" x14ac:dyDescent="0.2">
      <c r="A1282" s="4" t="s">
        <v>2533</v>
      </c>
      <c r="B1282" s="1">
        <v>250000</v>
      </c>
      <c r="C1282" s="5">
        <v>7.1449693980546823E-6</v>
      </c>
    </row>
    <row r="1283" spans="1:3" x14ac:dyDescent="0.2">
      <c r="A1283" s="4" t="s">
        <v>2565</v>
      </c>
      <c r="B1283" s="1">
        <v>250000</v>
      </c>
      <c r="C1283" s="5">
        <v>7.1449693980546823E-6</v>
      </c>
    </row>
    <row r="1284" spans="1:3" x14ac:dyDescent="0.2">
      <c r="A1284" s="4" t="s">
        <v>2567</v>
      </c>
      <c r="B1284" s="1">
        <v>250000</v>
      </c>
      <c r="C1284" s="5">
        <v>7.1449693980546823E-6</v>
      </c>
    </row>
    <row r="1285" spans="1:3" x14ac:dyDescent="0.2">
      <c r="A1285" s="4" t="s">
        <v>2568</v>
      </c>
      <c r="B1285" s="1">
        <v>250000</v>
      </c>
      <c r="C1285" s="5">
        <v>7.1449693980546823E-6</v>
      </c>
    </row>
    <row r="1286" spans="1:3" x14ac:dyDescent="0.2">
      <c r="A1286" s="4" t="s">
        <v>2136</v>
      </c>
      <c r="B1286" s="1">
        <v>250000</v>
      </c>
      <c r="C1286" s="5">
        <v>7.1449693980546823E-6</v>
      </c>
    </row>
    <row r="1287" spans="1:3" x14ac:dyDescent="0.2">
      <c r="A1287" s="4" t="s">
        <v>2147</v>
      </c>
      <c r="B1287" s="1">
        <v>250000</v>
      </c>
      <c r="C1287" s="5">
        <v>7.1449693980546823E-6</v>
      </c>
    </row>
    <row r="1288" spans="1:3" x14ac:dyDescent="0.2">
      <c r="A1288" s="4" t="s">
        <v>2148</v>
      </c>
      <c r="B1288" s="1">
        <v>250000</v>
      </c>
      <c r="C1288" s="5">
        <v>7.1449693980546823E-6</v>
      </c>
    </row>
    <row r="1289" spans="1:3" x14ac:dyDescent="0.2">
      <c r="A1289" s="4" t="s">
        <v>2190</v>
      </c>
      <c r="B1289" s="1">
        <v>250000</v>
      </c>
      <c r="C1289" s="5">
        <v>7.1449693980546823E-6</v>
      </c>
    </row>
    <row r="1290" spans="1:3" x14ac:dyDescent="0.2">
      <c r="A1290" s="4" t="s">
        <v>2082</v>
      </c>
      <c r="B1290" s="1">
        <v>250000</v>
      </c>
      <c r="C1290" s="5">
        <v>7.1449693980546823E-6</v>
      </c>
    </row>
    <row r="1291" spans="1:3" x14ac:dyDescent="0.2">
      <c r="A1291" s="4" t="s">
        <v>2201</v>
      </c>
      <c r="B1291" s="1">
        <v>250000</v>
      </c>
      <c r="C1291" s="5">
        <v>7.1449693980546823E-6</v>
      </c>
    </row>
    <row r="1292" spans="1:3" x14ac:dyDescent="0.2">
      <c r="A1292" s="4" t="s">
        <v>2227</v>
      </c>
      <c r="B1292" s="1">
        <v>250000</v>
      </c>
      <c r="C1292" s="5">
        <v>7.1449693980546823E-6</v>
      </c>
    </row>
    <row r="1293" spans="1:3" x14ac:dyDescent="0.2">
      <c r="A1293" s="4" t="s">
        <v>2113</v>
      </c>
      <c r="B1293" s="1">
        <v>250000</v>
      </c>
      <c r="C1293" s="5">
        <v>7.1449693980546823E-6</v>
      </c>
    </row>
    <row r="1294" spans="1:3" x14ac:dyDescent="0.2">
      <c r="A1294" s="4" t="s">
        <v>2135</v>
      </c>
      <c r="B1294" s="1">
        <v>250000</v>
      </c>
      <c r="C1294" s="5">
        <v>7.1449693980546823E-6</v>
      </c>
    </row>
    <row r="1295" spans="1:3" x14ac:dyDescent="0.2">
      <c r="A1295" s="4" t="s">
        <v>2167</v>
      </c>
      <c r="B1295" s="1">
        <v>250000</v>
      </c>
      <c r="C1295" s="5">
        <v>7.1449693980546823E-6</v>
      </c>
    </row>
    <row r="1296" spans="1:3" x14ac:dyDescent="0.2">
      <c r="A1296" s="4" t="s">
        <v>2150</v>
      </c>
      <c r="B1296" s="1">
        <v>250000</v>
      </c>
      <c r="C1296" s="5">
        <v>7.1449693980546823E-6</v>
      </c>
    </row>
    <row r="1297" spans="1:3" x14ac:dyDescent="0.2">
      <c r="A1297" s="4" t="s">
        <v>2273</v>
      </c>
      <c r="B1297" s="1">
        <v>250000</v>
      </c>
      <c r="C1297" s="5">
        <v>7.1449693980546823E-6</v>
      </c>
    </row>
    <row r="1298" spans="1:3" x14ac:dyDescent="0.2">
      <c r="A1298" s="4" t="s">
        <v>2188</v>
      </c>
      <c r="B1298" s="1">
        <v>250000</v>
      </c>
      <c r="C1298" s="5">
        <v>7.1449693980546823E-6</v>
      </c>
    </row>
    <row r="1299" spans="1:3" x14ac:dyDescent="0.2">
      <c r="A1299" s="4" t="s">
        <v>2144</v>
      </c>
      <c r="B1299" s="1">
        <v>250000</v>
      </c>
      <c r="C1299" s="5">
        <v>7.1449693980546823E-6</v>
      </c>
    </row>
    <row r="1300" spans="1:3" x14ac:dyDescent="0.2">
      <c r="A1300" s="4" t="s">
        <v>2278</v>
      </c>
      <c r="B1300" s="1">
        <v>250000</v>
      </c>
      <c r="C1300" s="5">
        <v>7.1449693980546823E-6</v>
      </c>
    </row>
    <row r="1301" spans="1:3" x14ac:dyDescent="0.2">
      <c r="A1301" s="4" t="s">
        <v>2080</v>
      </c>
      <c r="B1301" s="1">
        <v>250000</v>
      </c>
      <c r="C1301" s="5">
        <v>7.1449693980546823E-6</v>
      </c>
    </row>
    <row r="1302" spans="1:3" x14ac:dyDescent="0.2">
      <c r="A1302" s="4" t="s">
        <v>2152</v>
      </c>
      <c r="B1302" s="1">
        <v>250000</v>
      </c>
      <c r="C1302" s="5">
        <v>7.1449693980546823E-6</v>
      </c>
    </row>
    <row r="1303" spans="1:3" x14ac:dyDescent="0.2">
      <c r="A1303" s="4" t="s">
        <v>2085</v>
      </c>
      <c r="B1303" s="1">
        <v>250000</v>
      </c>
      <c r="C1303" s="5">
        <v>7.1449693980546823E-6</v>
      </c>
    </row>
    <row r="1304" spans="1:3" x14ac:dyDescent="0.2">
      <c r="A1304" s="4" t="s">
        <v>2286</v>
      </c>
      <c r="B1304" s="1">
        <v>250000</v>
      </c>
      <c r="C1304" s="5">
        <v>7.1449693980546823E-6</v>
      </c>
    </row>
    <row r="1305" spans="1:3" x14ac:dyDescent="0.2">
      <c r="A1305" s="4" t="s">
        <v>2205</v>
      </c>
      <c r="B1305" s="1">
        <v>250000</v>
      </c>
      <c r="C1305" s="5">
        <v>7.1449693980546823E-6</v>
      </c>
    </row>
    <row r="1306" spans="1:3" x14ac:dyDescent="0.2">
      <c r="A1306" s="4" t="s">
        <v>2169</v>
      </c>
      <c r="B1306" s="1">
        <v>250000</v>
      </c>
      <c r="C1306" s="5">
        <v>7.1449693980546823E-6</v>
      </c>
    </row>
    <row r="1307" spans="1:3" x14ac:dyDescent="0.2">
      <c r="A1307" s="4" t="s">
        <v>2208</v>
      </c>
      <c r="B1307" s="1">
        <v>250000</v>
      </c>
      <c r="C1307" s="5">
        <v>7.1449693980546823E-6</v>
      </c>
    </row>
    <row r="1308" spans="1:3" x14ac:dyDescent="0.2">
      <c r="A1308" s="4" t="s">
        <v>2081</v>
      </c>
      <c r="B1308" s="1">
        <v>250000</v>
      </c>
      <c r="C1308" s="5">
        <v>7.1449693980546823E-6</v>
      </c>
    </row>
    <row r="1309" spans="1:3" x14ac:dyDescent="0.2">
      <c r="A1309" s="4" t="s">
        <v>2184</v>
      </c>
      <c r="B1309" s="1">
        <v>250000</v>
      </c>
      <c r="C1309" s="5">
        <v>7.1449693980546823E-6</v>
      </c>
    </row>
    <row r="1310" spans="1:3" x14ac:dyDescent="0.2">
      <c r="A1310" s="4" t="s">
        <v>2165</v>
      </c>
      <c r="B1310" s="1">
        <v>250000</v>
      </c>
      <c r="C1310" s="5">
        <v>7.1449693980546823E-6</v>
      </c>
    </row>
    <row r="1311" spans="1:3" x14ac:dyDescent="0.2">
      <c r="A1311" s="4" t="s">
        <v>2213</v>
      </c>
      <c r="B1311" s="1">
        <v>250000</v>
      </c>
      <c r="C1311" s="5">
        <v>7.1449693980546823E-6</v>
      </c>
    </row>
    <row r="1312" spans="1:3" x14ac:dyDescent="0.2">
      <c r="A1312" s="4" t="s">
        <v>1857</v>
      </c>
      <c r="B1312" s="1">
        <v>250000</v>
      </c>
      <c r="C1312" s="5">
        <v>7.1449693980546823E-6</v>
      </c>
    </row>
    <row r="1313" spans="1:3" x14ac:dyDescent="0.2">
      <c r="A1313" s="4" t="s">
        <v>2034</v>
      </c>
      <c r="B1313" s="1">
        <v>250000</v>
      </c>
      <c r="C1313" s="5">
        <v>7.1449693980546823E-6</v>
      </c>
    </row>
    <row r="1314" spans="1:3" x14ac:dyDescent="0.2">
      <c r="A1314" s="4" t="s">
        <v>2013</v>
      </c>
      <c r="B1314" s="1">
        <v>250000</v>
      </c>
      <c r="C1314" s="5">
        <v>7.1449693980546823E-6</v>
      </c>
    </row>
    <row r="1315" spans="1:3" x14ac:dyDescent="0.2">
      <c r="A1315" s="4" t="s">
        <v>2062</v>
      </c>
      <c r="B1315" s="1">
        <v>250000</v>
      </c>
      <c r="C1315" s="5">
        <v>7.1449693980546823E-6</v>
      </c>
    </row>
    <row r="1316" spans="1:3" x14ac:dyDescent="0.2">
      <c r="A1316" s="4" t="s">
        <v>1854</v>
      </c>
      <c r="B1316" s="1">
        <v>250000</v>
      </c>
      <c r="C1316" s="5">
        <v>7.1449693980546823E-6</v>
      </c>
    </row>
    <row r="1317" spans="1:3" x14ac:dyDescent="0.2">
      <c r="A1317" s="4" t="s">
        <v>1890</v>
      </c>
      <c r="B1317" s="1">
        <v>250000</v>
      </c>
      <c r="C1317" s="5">
        <v>7.1449693980546823E-6</v>
      </c>
    </row>
    <row r="1318" spans="1:3" x14ac:dyDescent="0.2">
      <c r="A1318" s="4" t="s">
        <v>1650</v>
      </c>
      <c r="B1318" s="1">
        <v>250000</v>
      </c>
      <c r="C1318" s="5">
        <v>7.1449693980546823E-6</v>
      </c>
    </row>
    <row r="1319" spans="1:3" x14ac:dyDescent="0.2">
      <c r="A1319" s="4" t="s">
        <v>1761</v>
      </c>
      <c r="B1319" s="1">
        <v>250000</v>
      </c>
      <c r="C1319" s="5">
        <v>7.1449693980546823E-6</v>
      </c>
    </row>
    <row r="1320" spans="1:3" x14ac:dyDescent="0.2">
      <c r="A1320" s="4" t="s">
        <v>1567</v>
      </c>
      <c r="B1320" s="1">
        <v>250000</v>
      </c>
      <c r="C1320" s="5">
        <v>7.1449693980546823E-6</v>
      </c>
    </row>
    <row r="1321" spans="1:3" x14ac:dyDescent="0.2">
      <c r="A1321" s="4" t="s">
        <v>1651</v>
      </c>
      <c r="B1321" s="1">
        <v>250000</v>
      </c>
      <c r="C1321" s="5">
        <v>7.1449693980546823E-6</v>
      </c>
    </row>
    <row r="1322" spans="1:3" x14ac:dyDescent="0.2">
      <c r="A1322" s="4" t="s">
        <v>1569</v>
      </c>
      <c r="B1322" s="1">
        <v>250000</v>
      </c>
      <c r="C1322" s="5">
        <v>7.1449693980546823E-6</v>
      </c>
    </row>
    <row r="1323" spans="1:3" x14ac:dyDescent="0.2">
      <c r="A1323" s="4" t="s">
        <v>1763</v>
      </c>
      <c r="B1323" s="1">
        <v>250000</v>
      </c>
      <c r="C1323" s="5">
        <v>7.1449693980546823E-6</v>
      </c>
    </row>
    <row r="1324" spans="1:3" x14ac:dyDescent="0.2">
      <c r="A1324" s="4" t="s">
        <v>1570</v>
      </c>
      <c r="B1324" s="1">
        <v>250000</v>
      </c>
      <c r="C1324" s="5">
        <v>7.1449693980546823E-6</v>
      </c>
    </row>
    <row r="1325" spans="1:3" x14ac:dyDescent="0.2">
      <c r="A1325" s="4" t="s">
        <v>1717</v>
      </c>
      <c r="B1325" s="1">
        <v>250000</v>
      </c>
      <c r="C1325" s="5">
        <v>7.1449693980546823E-6</v>
      </c>
    </row>
    <row r="1326" spans="1:3" x14ac:dyDescent="0.2">
      <c r="A1326" s="4" t="s">
        <v>1625</v>
      </c>
      <c r="B1326" s="1">
        <v>250000</v>
      </c>
      <c r="C1326" s="5">
        <v>7.1449693980546823E-6</v>
      </c>
    </row>
    <row r="1327" spans="1:3" x14ac:dyDescent="0.2">
      <c r="A1327" s="4" t="s">
        <v>1576</v>
      </c>
      <c r="B1327" s="1">
        <v>250000</v>
      </c>
      <c r="C1327" s="5">
        <v>7.1449693980546823E-6</v>
      </c>
    </row>
    <row r="1328" spans="1:3" x14ac:dyDescent="0.2">
      <c r="A1328" s="4" t="s">
        <v>1715</v>
      </c>
      <c r="B1328" s="1">
        <v>250000</v>
      </c>
      <c r="C1328" s="5">
        <v>7.1449693980546823E-6</v>
      </c>
    </row>
    <row r="1329" spans="1:3" x14ac:dyDescent="0.2">
      <c r="A1329" s="4" t="s">
        <v>1733</v>
      </c>
      <c r="B1329" s="1">
        <v>250000</v>
      </c>
      <c r="C1329" s="5">
        <v>7.1449693980546823E-6</v>
      </c>
    </row>
    <row r="1330" spans="1:3" x14ac:dyDescent="0.2">
      <c r="A1330" s="4" t="s">
        <v>1767</v>
      </c>
      <c r="B1330" s="1">
        <v>250000</v>
      </c>
      <c r="C1330" s="5">
        <v>7.1449693980546823E-6</v>
      </c>
    </row>
    <row r="1331" spans="1:3" x14ac:dyDescent="0.2">
      <c r="A1331" s="4" t="s">
        <v>1642</v>
      </c>
      <c r="B1331" s="1">
        <v>250000</v>
      </c>
      <c r="C1331" s="5">
        <v>7.1449693980546823E-6</v>
      </c>
    </row>
    <row r="1332" spans="1:3" x14ac:dyDescent="0.2">
      <c r="A1332" s="4" t="s">
        <v>1643</v>
      </c>
      <c r="B1332" s="1">
        <v>250000</v>
      </c>
      <c r="C1332" s="5">
        <v>7.1449693980546823E-6</v>
      </c>
    </row>
    <row r="1333" spans="1:3" x14ac:dyDescent="0.2">
      <c r="A1333" s="4" t="s">
        <v>1574</v>
      </c>
      <c r="B1333" s="1">
        <v>250000</v>
      </c>
      <c r="C1333" s="5">
        <v>7.1449693980546823E-6</v>
      </c>
    </row>
    <row r="1334" spans="1:3" x14ac:dyDescent="0.2">
      <c r="A1334" s="4" t="s">
        <v>1619</v>
      </c>
      <c r="B1334" s="1">
        <v>250000</v>
      </c>
      <c r="C1334" s="5">
        <v>7.1449693980546823E-6</v>
      </c>
    </row>
    <row r="1335" spans="1:3" x14ac:dyDescent="0.2">
      <c r="A1335" s="4" t="s">
        <v>1591</v>
      </c>
      <c r="B1335" s="1">
        <v>250000</v>
      </c>
      <c r="C1335" s="5">
        <v>7.1449693980546823E-6</v>
      </c>
    </row>
    <row r="1336" spans="1:3" x14ac:dyDescent="0.2">
      <c r="A1336" s="4" t="s">
        <v>1618</v>
      </c>
      <c r="B1336" s="1">
        <v>250000</v>
      </c>
      <c r="C1336" s="5">
        <v>7.1449693980546823E-6</v>
      </c>
    </row>
    <row r="1337" spans="1:3" x14ac:dyDescent="0.2">
      <c r="A1337" s="4" t="s">
        <v>1575</v>
      </c>
      <c r="B1337" s="1">
        <v>250000</v>
      </c>
      <c r="C1337" s="5">
        <v>7.1449693980546823E-6</v>
      </c>
    </row>
    <row r="1338" spans="1:3" x14ac:dyDescent="0.2">
      <c r="A1338" s="4" t="s">
        <v>1713</v>
      </c>
      <c r="B1338" s="1">
        <v>250000</v>
      </c>
      <c r="C1338" s="5">
        <v>7.1449693980546823E-6</v>
      </c>
    </row>
    <row r="1339" spans="1:3" x14ac:dyDescent="0.2">
      <c r="A1339" s="4" t="s">
        <v>1283</v>
      </c>
      <c r="B1339" s="1">
        <v>250000</v>
      </c>
      <c r="C1339" s="5">
        <v>7.1449693980546823E-6</v>
      </c>
    </row>
    <row r="1340" spans="1:3" x14ac:dyDescent="0.2">
      <c r="A1340" s="4" t="s">
        <v>1316</v>
      </c>
      <c r="B1340" s="1">
        <v>250000</v>
      </c>
      <c r="C1340" s="5">
        <v>7.1449693980546823E-6</v>
      </c>
    </row>
    <row r="1341" spans="1:3" x14ac:dyDescent="0.2">
      <c r="A1341" s="4" t="s">
        <v>1489</v>
      </c>
      <c r="B1341" s="1">
        <v>250000</v>
      </c>
      <c r="C1341" s="5">
        <v>7.1449693980546823E-6</v>
      </c>
    </row>
    <row r="1342" spans="1:3" x14ac:dyDescent="0.2">
      <c r="A1342" s="4" t="s">
        <v>1496</v>
      </c>
      <c r="B1342" s="1">
        <v>250000</v>
      </c>
      <c r="C1342" s="5">
        <v>7.1449693980546823E-6</v>
      </c>
    </row>
    <row r="1343" spans="1:3" x14ac:dyDescent="0.2">
      <c r="A1343" s="4" t="s">
        <v>1497</v>
      </c>
      <c r="B1343" s="1">
        <v>250000</v>
      </c>
      <c r="C1343" s="5">
        <v>7.1449693980546823E-6</v>
      </c>
    </row>
    <row r="1344" spans="1:3" x14ac:dyDescent="0.2">
      <c r="A1344" s="4" t="s">
        <v>344</v>
      </c>
      <c r="B1344" s="1">
        <v>250000</v>
      </c>
      <c r="C1344" s="5">
        <v>7.1449693980546823E-6</v>
      </c>
    </row>
    <row r="1345" spans="1:3" x14ac:dyDescent="0.2">
      <c r="A1345" s="4" t="s">
        <v>469</v>
      </c>
      <c r="B1345" s="1">
        <v>250000</v>
      </c>
      <c r="C1345" s="5">
        <v>7.1449693980546823E-6</v>
      </c>
    </row>
    <row r="1346" spans="1:3" x14ac:dyDescent="0.2">
      <c r="A1346" s="4" t="s">
        <v>484</v>
      </c>
      <c r="B1346" s="1">
        <v>250000</v>
      </c>
      <c r="C1346" s="5">
        <v>7.1449693980546823E-6</v>
      </c>
    </row>
    <row r="1347" spans="1:3" x14ac:dyDescent="0.2">
      <c r="A1347" s="4" t="s">
        <v>2535</v>
      </c>
      <c r="B1347" s="1">
        <v>249500</v>
      </c>
      <c r="C1347" s="5">
        <v>7.1306794592585724E-6</v>
      </c>
    </row>
    <row r="1348" spans="1:3" x14ac:dyDescent="0.2">
      <c r="A1348" s="4" t="s">
        <v>2874</v>
      </c>
      <c r="B1348" s="1">
        <v>249032</v>
      </c>
      <c r="C1348" s="5">
        <v>7.1173040765454142E-6</v>
      </c>
    </row>
    <row r="1349" spans="1:3" x14ac:dyDescent="0.2">
      <c r="A1349" s="4" t="s">
        <v>1539</v>
      </c>
      <c r="B1349" s="1">
        <v>248962.5</v>
      </c>
      <c r="C1349" s="5">
        <v>7.115317775052755E-6</v>
      </c>
    </row>
    <row r="1350" spans="1:3" x14ac:dyDescent="0.2">
      <c r="A1350" s="4" t="s">
        <v>470</v>
      </c>
      <c r="B1350" s="1">
        <v>248568.9</v>
      </c>
      <c r="C1350" s="5">
        <v>7.1040687352324573E-6</v>
      </c>
    </row>
    <row r="1351" spans="1:3" x14ac:dyDescent="0.2">
      <c r="A1351" s="4" t="s">
        <v>256</v>
      </c>
      <c r="B1351" s="1">
        <v>248400</v>
      </c>
      <c r="C1351" s="5">
        <v>7.0992415939071318E-6</v>
      </c>
    </row>
    <row r="1352" spans="1:3" x14ac:dyDescent="0.2">
      <c r="A1352" s="4" t="s">
        <v>959</v>
      </c>
      <c r="B1352" s="1">
        <v>248174.4</v>
      </c>
      <c r="C1352" s="5">
        <v>7.0927939735223272E-6</v>
      </c>
    </row>
    <row r="1353" spans="1:3" x14ac:dyDescent="0.2">
      <c r="A1353" s="4" t="s">
        <v>2552</v>
      </c>
      <c r="B1353" s="1">
        <v>248000</v>
      </c>
      <c r="C1353" s="5">
        <v>7.0878096428702444E-6</v>
      </c>
    </row>
    <row r="1354" spans="1:3" x14ac:dyDescent="0.2">
      <c r="A1354" s="4" t="s">
        <v>398</v>
      </c>
      <c r="B1354" s="1">
        <v>247780</v>
      </c>
      <c r="C1354" s="5">
        <v>7.0815220697999568E-6</v>
      </c>
    </row>
    <row r="1355" spans="1:3" x14ac:dyDescent="0.2">
      <c r="A1355" s="4" t="s">
        <v>2217</v>
      </c>
      <c r="B1355" s="1">
        <v>247629.8</v>
      </c>
      <c r="C1355" s="5">
        <v>7.0772293721856053E-6</v>
      </c>
    </row>
    <row r="1356" spans="1:3" x14ac:dyDescent="0.2">
      <c r="A1356" s="4" t="s">
        <v>2265</v>
      </c>
      <c r="B1356" s="1">
        <v>247008.8</v>
      </c>
      <c r="C1356" s="5">
        <v>7.0594812682008367E-6</v>
      </c>
    </row>
    <row r="1357" spans="1:3" x14ac:dyDescent="0.2">
      <c r="A1357" s="4" t="s">
        <v>1450</v>
      </c>
      <c r="B1357" s="1">
        <v>246957</v>
      </c>
      <c r="C1357" s="5">
        <v>7.0580008305415605E-6</v>
      </c>
    </row>
    <row r="1358" spans="1:3" x14ac:dyDescent="0.2">
      <c r="A1358" s="4" t="s">
        <v>1566</v>
      </c>
      <c r="B1358" s="1">
        <v>245625</v>
      </c>
      <c r="C1358" s="5">
        <v>7.0199324335887249E-6</v>
      </c>
    </row>
    <row r="1359" spans="1:3" x14ac:dyDescent="0.2">
      <c r="A1359" s="4" t="s">
        <v>425</v>
      </c>
      <c r="B1359" s="1">
        <v>245500</v>
      </c>
      <c r="C1359" s="5">
        <v>7.0163599488896974E-6</v>
      </c>
    </row>
    <row r="1360" spans="1:3" x14ac:dyDescent="0.2">
      <c r="A1360" s="4" t="s">
        <v>1562</v>
      </c>
      <c r="B1360" s="1">
        <v>245136.1</v>
      </c>
      <c r="C1360" s="5">
        <v>7.0059597314338893E-6</v>
      </c>
    </row>
    <row r="1361" spans="1:3" x14ac:dyDescent="0.2">
      <c r="A1361" s="4" t="s">
        <v>519</v>
      </c>
      <c r="B1361" s="1">
        <v>244343</v>
      </c>
      <c r="C1361" s="5">
        <v>6.9832930305155009E-6</v>
      </c>
    </row>
    <row r="1362" spans="1:3" x14ac:dyDescent="0.2">
      <c r="A1362" s="4" t="s">
        <v>1638</v>
      </c>
      <c r="B1362" s="1">
        <v>243920</v>
      </c>
      <c r="C1362" s="5">
        <v>6.9712037422939921E-6</v>
      </c>
    </row>
    <row r="1363" spans="1:3" x14ac:dyDescent="0.2">
      <c r="A1363" s="4" t="s">
        <v>2083</v>
      </c>
      <c r="B1363" s="1">
        <v>243860.2</v>
      </c>
      <c r="C1363" s="5">
        <v>6.9694946656139781E-6</v>
      </c>
    </row>
    <row r="1364" spans="1:3" x14ac:dyDescent="0.2">
      <c r="A1364" s="4" t="s">
        <v>210</v>
      </c>
      <c r="B1364" s="1">
        <v>243750</v>
      </c>
      <c r="C1364" s="5">
        <v>6.9663451631033153E-6</v>
      </c>
    </row>
    <row r="1365" spans="1:3" x14ac:dyDescent="0.2">
      <c r="A1365" s="4" t="s">
        <v>1708</v>
      </c>
      <c r="B1365" s="1">
        <v>240000</v>
      </c>
      <c r="C1365" s="5">
        <v>6.8591706221324944E-6</v>
      </c>
    </row>
    <row r="1366" spans="1:3" x14ac:dyDescent="0.2">
      <c r="A1366" s="4" t="s">
        <v>1458</v>
      </c>
      <c r="B1366" s="1">
        <v>240000</v>
      </c>
      <c r="C1366" s="5">
        <v>6.8591706221324944E-6</v>
      </c>
    </row>
    <row r="1367" spans="1:3" x14ac:dyDescent="0.2">
      <c r="A1367" s="4" t="s">
        <v>1433</v>
      </c>
      <c r="B1367" s="1">
        <v>240000</v>
      </c>
      <c r="C1367" s="5">
        <v>6.8591706221324944E-6</v>
      </c>
    </row>
    <row r="1368" spans="1:3" x14ac:dyDescent="0.2">
      <c r="A1368" s="4" t="s">
        <v>1447</v>
      </c>
      <c r="B1368" s="1">
        <v>240000</v>
      </c>
      <c r="C1368" s="5">
        <v>6.8591706221324944E-6</v>
      </c>
    </row>
    <row r="1369" spans="1:3" x14ac:dyDescent="0.2">
      <c r="A1369" s="4" t="s">
        <v>1441</v>
      </c>
      <c r="B1369" s="1">
        <v>240000</v>
      </c>
      <c r="C1369" s="5">
        <v>6.8591706221324944E-6</v>
      </c>
    </row>
    <row r="1370" spans="1:3" x14ac:dyDescent="0.2">
      <c r="A1370" s="4" t="s">
        <v>352</v>
      </c>
      <c r="B1370" s="1">
        <v>239310.6</v>
      </c>
      <c r="C1370" s="5">
        <v>6.8394676545204197E-6</v>
      </c>
    </row>
    <row r="1371" spans="1:3" x14ac:dyDescent="0.2">
      <c r="A1371" s="4" t="s">
        <v>2207</v>
      </c>
      <c r="B1371" s="1">
        <v>235246.5</v>
      </c>
      <c r="C1371" s="5">
        <v>6.7233161739978833E-6</v>
      </c>
    </row>
    <row r="1372" spans="1:3" x14ac:dyDescent="0.2">
      <c r="A1372" s="4" t="s">
        <v>1237</v>
      </c>
      <c r="B1372" s="1">
        <v>235000</v>
      </c>
      <c r="C1372" s="5">
        <v>6.7162712341714014E-6</v>
      </c>
    </row>
    <row r="1373" spans="1:3" x14ac:dyDescent="0.2">
      <c r="A1373" s="4" t="s">
        <v>1541</v>
      </c>
      <c r="B1373" s="1">
        <v>234375</v>
      </c>
      <c r="C1373" s="5">
        <v>6.698408810676264E-6</v>
      </c>
    </row>
    <row r="1374" spans="1:3" x14ac:dyDescent="0.2">
      <c r="A1374" s="4" t="s">
        <v>2029</v>
      </c>
      <c r="B1374" s="1">
        <v>232912.9</v>
      </c>
      <c r="C1374" s="5">
        <v>6.6566221716486815E-6</v>
      </c>
    </row>
    <row r="1375" spans="1:3" x14ac:dyDescent="0.2">
      <c r="A1375" s="4" t="s">
        <v>1746</v>
      </c>
      <c r="B1375" s="1">
        <v>232255</v>
      </c>
      <c r="C1375" s="5">
        <v>6.637819470180761E-6</v>
      </c>
    </row>
    <row r="1376" spans="1:3" x14ac:dyDescent="0.2">
      <c r="A1376" s="4" t="s">
        <v>2543</v>
      </c>
      <c r="B1376" s="1">
        <v>230867</v>
      </c>
      <c r="C1376" s="5">
        <v>6.5981506000827612E-6</v>
      </c>
    </row>
    <row r="1377" spans="1:3" x14ac:dyDescent="0.2">
      <c r="A1377" s="4" t="s">
        <v>1431</v>
      </c>
      <c r="B1377" s="1">
        <v>230000</v>
      </c>
      <c r="C1377" s="5">
        <v>6.5733718462103075E-6</v>
      </c>
    </row>
    <row r="1378" spans="1:3" x14ac:dyDescent="0.2">
      <c r="A1378" s="4" t="s">
        <v>1540</v>
      </c>
      <c r="B1378" s="1">
        <v>229840</v>
      </c>
      <c r="C1378" s="5">
        <v>6.5687990657955528E-6</v>
      </c>
    </row>
    <row r="1379" spans="1:3" x14ac:dyDescent="0.2">
      <c r="A1379" s="4" t="s">
        <v>1087</v>
      </c>
      <c r="B1379" s="1">
        <v>228703.69999999998</v>
      </c>
      <c r="C1379" s="5">
        <v>6.5363237508875139E-6</v>
      </c>
    </row>
    <row r="1380" spans="1:3" x14ac:dyDescent="0.2">
      <c r="A1380" s="4" t="s">
        <v>2592</v>
      </c>
      <c r="B1380" s="1">
        <v>225673.2</v>
      </c>
      <c r="C1380" s="5">
        <v>6.4497124318442955E-6</v>
      </c>
    </row>
    <row r="1381" spans="1:3" x14ac:dyDescent="0.2">
      <c r="A1381" s="4" t="s">
        <v>536</v>
      </c>
      <c r="B1381" s="1">
        <v>225626</v>
      </c>
      <c r="C1381" s="5">
        <v>6.4483634616219427E-6</v>
      </c>
    </row>
    <row r="1382" spans="1:3" x14ac:dyDescent="0.2">
      <c r="A1382" s="4" t="s">
        <v>2587</v>
      </c>
      <c r="B1382" s="1">
        <v>225000</v>
      </c>
      <c r="C1382" s="5">
        <v>6.4304724582492135E-6</v>
      </c>
    </row>
    <row r="1383" spans="1:3" x14ac:dyDescent="0.2">
      <c r="A1383" s="4" t="s">
        <v>2534</v>
      </c>
      <c r="B1383" s="1">
        <v>225000</v>
      </c>
      <c r="C1383" s="5">
        <v>6.4304724582492135E-6</v>
      </c>
    </row>
    <row r="1384" spans="1:3" x14ac:dyDescent="0.2">
      <c r="A1384" s="4" t="s">
        <v>1637</v>
      </c>
      <c r="B1384" s="1">
        <v>225000</v>
      </c>
      <c r="C1384" s="5">
        <v>6.4304724582492135E-6</v>
      </c>
    </row>
    <row r="1385" spans="1:3" x14ac:dyDescent="0.2">
      <c r="A1385" s="4" t="s">
        <v>1233</v>
      </c>
      <c r="B1385" s="1">
        <v>225000</v>
      </c>
      <c r="C1385" s="5">
        <v>6.4304724582492135E-6</v>
      </c>
    </row>
    <row r="1386" spans="1:3" x14ac:dyDescent="0.2">
      <c r="A1386" s="4" t="s">
        <v>1477</v>
      </c>
      <c r="B1386" s="1">
        <v>225000</v>
      </c>
      <c r="C1386" s="5">
        <v>6.4304724582492135E-6</v>
      </c>
    </row>
    <row r="1387" spans="1:3" x14ac:dyDescent="0.2">
      <c r="A1387" s="4" t="s">
        <v>1299</v>
      </c>
      <c r="B1387" s="1">
        <v>225000</v>
      </c>
      <c r="C1387" s="5">
        <v>6.4304724582492135E-6</v>
      </c>
    </row>
    <row r="1388" spans="1:3" x14ac:dyDescent="0.2">
      <c r="A1388" s="4" t="s">
        <v>563</v>
      </c>
      <c r="B1388" s="1">
        <v>225000</v>
      </c>
      <c r="C1388" s="5">
        <v>6.4304724582492135E-6</v>
      </c>
    </row>
    <row r="1389" spans="1:3" x14ac:dyDescent="0.2">
      <c r="A1389" s="4" t="s">
        <v>1374</v>
      </c>
      <c r="B1389" s="1">
        <v>221323.6</v>
      </c>
      <c r="C1389" s="5">
        <v>6.3254013962691812E-6</v>
      </c>
    </row>
    <row r="1390" spans="1:3" x14ac:dyDescent="0.2">
      <c r="A1390" s="4" t="s">
        <v>2146</v>
      </c>
      <c r="B1390" s="1">
        <v>221000</v>
      </c>
      <c r="C1390" s="5">
        <v>6.3161529478803386E-6</v>
      </c>
    </row>
    <row r="1391" spans="1:3" x14ac:dyDescent="0.2">
      <c r="A1391" s="4" t="s">
        <v>1393</v>
      </c>
      <c r="B1391" s="1">
        <v>220330</v>
      </c>
      <c r="C1391" s="5">
        <v>6.2970044298935527E-6</v>
      </c>
    </row>
    <row r="1392" spans="1:3" x14ac:dyDescent="0.2">
      <c r="A1392" s="4" t="s">
        <v>2127</v>
      </c>
      <c r="B1392" s="1">
        <v>220000</v>
      </c>
      <c r="C1392" s="5">
        <v>6.2875730702881205E-6</v>
      </c>
    </row>
    <row r="1393" spans="1:3" x14ac:dyDescent="0.2">
      <c r="A1393" s="4" t="s">
        <v>1775</v>
      </c>
      <c r="B1393" s="1">
        <v>217500</v>
      </c>
      <c r="C1393" s="5">
        <v>6.2161233763075735E-6</v>
      </c>
    </row>
    <row r="1394" spans="1:3" x14ac:dyDescent="0.2">
      <c r="A1394" s="4" t="s">
        <v>1675</v>
      </c>
      <c r="B1394" s="1">
        <v>217398</v>
      </c>
      <c r="C1394" s="5">
        <v>6.2132082287931674E-6</v>
      </c>
    </row>
    <row r="1395" spans="1:3" x14ac:dyDescent="0.2">
      <c r="A1395" s="4" t="s">
        <v>1609</v>
      </c>
      <c r="B1395" s="1">
        <v>216804</v>
      </c>
      <c r="C1395" s="5">
        <v>6.1962317815033892E-6</v>
      </c>
    </row>
    <row r="1396" spans="1:3" x14ac:dyDescent="0.2">
      <c r="A1396" s="4" t="s">
        <v>923</v>
      </c>
      <c r="B1396" s="1">
        <v>216311.8</v>
      </c>
      <c r="C1396" s="5">
        <v>6.1821647657524988E-6</v>
      </c>
    </row>
    <row r="1397" spans="1:3" x14ac:dyDescent="0.2">
      <c r="A1397" s="4" t="s">
        <v>1106</v>
      </c>
      <c r="B1397" s="1">
        <v>216000</v>
      </c>
      <c r="C1397" s="5">
        <v>6.1732535599192455E-6</v>
      </c>
    </row>
    <row r="1398" spans="1:3" x14ac:dyDescent="0.2">
      <c r="A1398" s="4" t="s">
        <v>1481</v>
      </c>
      <c r="B1398" s="1">
        <v>215000</v>
      </c>
      <c r="C1398" s="5">
        <v>6.1446736823270265E-6</v>
      </c>
    </row>
    <row r="1399" spans="1:3" x14ac:dyDescent="0.2">
      <c r="A1399" s="4" t="s">
        <v>1242</v>
      </c>
      <c r="B1399" s="1">
        <v>215000</v>
      </c>
      <c r="C1399" s="5">
        <v>6.1446736823270265E-6</v>
      </c>
    </row>
    <row r="1400" spans="1:3" x14ac:dyDescent="0.2">
      <c r="A1400" s="4" t="s">
        <v>1440</v>
      </c>
      <c r="B1400" s="1">
        <v>214777</v>
      </c>
      <c r="C1400" s="5">
        <v>6.1383003696239619E-6</v>
      </c>
    </row>
    <row r="1401" spans="1:3" x14ac:dyDescent="0.2">
      <c r="A1401" s="4" t="s">
        <v>996</v>
      </c>
      <c r="B1401" s="1">
        <v>214580</v>
      </c>
      <c r="C1401" s="5">
        <v>6.1326701337382948E-6</v>
      </c>
    </row>
    <row r="1402" spans="1:3" x14ac:dyDescent="0.2">
      <c r="A1402" s="4" t="s">
        <v>332</v>
      </c>
      <c r="B1402" s="1">
        <v>213095</v>
      </c>
      <c r="C1402" s="5">
        <v>6.0902290155138496E-6</v>
      </c>
    </row>
    <row r="1403" spans="1:3" x14ac:dyDescent="0.2">
      <c r="A1403" s="4" t="s">
        <v>2185</v>
      </c>
      <c r="B1403" s="1">
        <v>212721</v>
      </c>
      <c r="C1403" s="5">
        <v>6.0795401412943598E-6</v>
      </c>
    </row>
    <row r="1404" spans="1:3" x14ac:dyDescent="0.2">
      <c r="A1404" s="4" t="s">
        <v>2114</v>
      </c>
      <c r="B1404" s="1">
        <v>211512.1</v>
      </c>
      <c r="C1404" s="5">
        <v>6.0449899272731268E-6</v>
      </c>
    </row>
    <row r="1405" spans="1:3" x14ac:dyDescent="0.2">
      <c r="A1405" s="4" t="s">
        <v>1681</v>
      </c>
      <c r="B1405" s="1">
        <v>210000</v>
      </c>
      <c r="C1405" s="5">
        <v>6.0017742943659326E-6</v>
      </c>
    </row>
    <row r="1406" spans="1:3" x14ac:dyDescent="0.2">
      <c r="A1406" s="4" t="s">
        <v>1457</v>
      </c>
      <c r="B1406" s="1">
        <v>210000</v>
      </c>
      <c r="C1406" s="5">
        <v>6.0017742943659326E-6</v>
      </c>
    </row>
    <row r="1407" spans="1:3" x14ac:dyDescent="0.2">
      <c r="A1407" s="4" t="s">
        <v>2229</v>
      </c>
      <c r="B1407" s="1">
        <v>209700</v>
      </c>
      <c r="C1407" s="5">
        <v>5.9932003310882669E-6</v>
      </c>
    </row>
    <row r="1408" spans="1:3" x14ac:dyDescent="0.2">
      <c r="A1408" s="4" t="s">
        <v>1582</v>
      </c>
      <c r="B1408" s="1">
        <v>208535</v>
      </c>
      <c r="C1408" s="5">
        <v>5.9599047736933326E-6</v>
      </c>
    </row>
    <row r="1409" spans="1:3" x14ac:dyDescent="0.2">
      <c r="A1409" s="4" t="s">
        <v>1525</v>
      </c>
      <c r="B1409" s="1">
        <v>208200</v>
      </c>
      <c r="C1409" s="5">
        <v>5.9503305146999389E-6</v>
      </c>
    </row>
    <row r="1410" spans="1:3" x14ac:dyDescent="0.2">
      <c r="A1410" s="4" t="s">
        <v>445</v>
      </c>
      <c r="B1410" s="1">
        <v>208073</v>
      </c>
      <c r="C1410" s="5">
        <v>5.9467008702457278E-6</v>
      </c>
    </row>
    <row r="1411" spans="1:3" x14ac:dyDescent="0.2">
      <c r="A1411" s="4" t="s">
        <v>2442</v>
      </c>
      <c r="B1411" s="1">
        <v>207075</v>
      </c>
      <c r="C1411" s="5">
        <v>5.9181781524086933E-6</v>
      </c>
    </row>
    <row r="1412" spans="1:3" x14ac:dyDescent="0.2">
      <c r="A1412" s="4" t="s">
        <v>1162</v>
      </c>
      <c r="B1412" s="1">
        <v>205000</v>
      </c>
      <c r="C1412" s="5">
        <v>5.8588749064048396E-6</v>
      </c>
    </row>
    <row r="1413" spans="1:3" x14ac:dyDescent="0.2">
      <c r="A1413" s="4" t="s">
        <v>437</v>
      </c>
      <c r="B1413" s="1">
        <v>203853.1</v>
      </c>
      <c r="C1413" s="5">
        <v>5.8260966447943239E-6</v>
      </c>
    </row>
    <row r="1414" spans="1:3" x14ac:dyDescent="0.2">
      <c r="A1414" s="4" t="s">
        <v>1538</v>
      </c>
      <c r="B1414" s="1">
        <v>203083</v>
      </c>
      <c r="C1414" s="5">
        <v>5.804087281060556E-6</v>
      </c>
    </row>
    <row r="1415" spans="1:3" x14ac:dyDescent="0.2">
      <c r="A1415" s="4" t="s">
        <v>2645</v>
      </c>
      <c r="B1415" s="1">
        <v>201926.2</v>
      </c>
      <c r="C1415" s="5">
        <v>5.7710260786618777E-6</v>
      </c>
    </row>
    <row r="1416" spans="1:3" x14ac:dyDescent="0.2">
      <c r="A1416" s="4" t="s">
        <v>1060</v>
      </c>
      <c r="B1416" s="1">
        <v>201281</v>
      </c>
      <c r="C1416" s="5">
        <v>5.7525863416393778E-6</v>
      </c>
    </row>
    <row r="1417" spans="1:3" x14ac:dyDescent="0.2">
      <c r="A1417" s="4" t="s">
        <v>2525</v>
      </c>
      <c r="B1417" s="1">
        <v>200392.5</v>
      </c>
      <c r="C1417" s="5">
        <v>5.7271931203986912E-6</v>
      </c>
    </row>
    <row r="1418" spans="1:3" x14ac:dyDescent="0.2">
      <c r="A1418" s="4" t="s">
        <v>1868</v>
      </c>
      <c r="B1418" s="1">
        <v>200000</v>
      </c>
      <c r="C1418" s="5">
        <v>5.7159755184437456E-6</v>
      </c>
    </row>
    <row r="1419" spans="1:3" x14ac:dyDescent="0.2">
      <c r="A1419" s="4" t="s">
        <v>1885</v>
      </c>
      <c r="B1419" s="1">
        <v>200000</v>
      </c>
      <c r="C1419" s="5">
        <v>5.7159755184437456E-6</v>
      </c>
    </row>
    <row r="1420" spans="1:3" x14ac:dyDescent="0.2">
      <c r="A1420" s="4" t="s">
        <v>1448</v>
      </c>
      <c r="B1420" s="1">
        <v>200000</v>
      </c>
      <c r="C1420" s="5">
        <v>5.7159755184437456E-6</v>
      </c>
    </row>
    <row r="1421" spans="1:3" x14ac:dyDescent="0.2">
      <c r="A1421" s="4" t="s">
        <v>1305</v>
      </c>
      <c r="B1421" s="1">
        <v>200000</v>
      </c>
      <c r="C1421" s="5">
        <v>5.7159755184437456E-6</v>
      </c>
    </row>
    <row r="1422" spans="1:3" x14ac:dyDescent="0.2">
      <c r="A1422" s="4" t="s">
        <v>180</v>
      </c>
      <c r="B1422" s="1">
        <v>200000</v>
      </c>
      <c r="C1422" s="5">
        <v>5.7159755184437456E-6</v>
      </c>
    </row>
    <row r="1423" spans="1:3" x14ac:dyDescent="0.2">
      <c r="A1423" s="4" t="s">
        <v>906</v>
      </c>
      <c r="B1423" s="1">
        <v>199507</v>
      </c>
      <c r="C1423" s="5">
        <v>5.7018856387907817E-6</v>
      </c>
    </row>
    <row r="1424" spans="1:3" x14ac:dyDescent="0.2">
      <c r="A1424" s="4" t="s">
        <v>1183</v>
      </c>
      <c r="B1424" s="1">
        <v>199000</v>
      </c>
      <c r="C1424" s="5">
        <v>5.6873956408515267E-6</v>
      </c>
    </row>
    <row r="1425" spans="1:3" x14ac:dyDescent="0.2">
      <c r="A1425" s="4" t="s">
        <v>2161</v>
      </c>
      <c r="B1425" s="1">
        <v>197495.2</v>
      </c>
      <c r="C1425" s="5">
        <v>5.6443886410507562E-6</v>
      </c>
    </row>
    <row r="1426" spans="1:3" x14ac:dyDescent="0.2">
      <c r="A1426" s="4" t="s">
        <v>1152</v>
      </c>
      <c r="B1426" s="1">
        <v>196355.1</v>
      </c>
      <c r="C1426" s="5">
        <v>5.6118047226078675E-6</v>
      </c>
    </row>
    <row r="1427" spans="1:3" x14ac:dyDescent="0.2">
      <c r="A1427" s="4" t="s">
        <v>1624</v>
      </c>
      <c r="B1427" s="1">
        <v>195000</v>
      </c>
      <c r="C1427" s="5">
        <v>5.5730761304826517E-6</v>
      </c>
    </row>
    <row r="1428" spans="1:3" x14ac:dyDescent="0.2">
      <c r="A1428" s="4" t="s">
        <v>1244</v>
      </c>
      <c r="B1428" s="1">
        <v>195000</v>
      </c>
      <c r="C1428" s="5">
        <v>5.5730761304826517E-6</v>
      </c>
    </row>
    <row r="1429" spans="1:3" x14ac:dyDescent="0.2">
      <c r="A1429" s="4" t="s">
        <v>811</v>
      </c>
      <c r="B1429" s="1">
        <v>194069.3</v>
      </c>
      <c r="C1429" s="5">
        <v>5.5464768384075738E-6</v>
      </c>
    </row>
    <row r="1430" spans="1:3" x14ac:dyDescent="0.2">
      <c r="A1430" s="4" t="s">
        <v>1459</v>
      </c>
      <c r="B1430" s="1">
        <v>192728</v>
      </c>
      <c r="C1430" s="5">
        <v>5.508142648593131E-6</v>
      </c>
    </row>
    <row r="1431" spans="1:3" x14ac:dyDescent="0.2">
      <c r="A1431" s="4" t="s">
        <v>2636</v>
      </c>
      <c r="B1431" s="1">
        <v>192618.4</v>
      </c>
      <c r="C1431" s="5">
        <v>5.5050102940090235E-6</v>
      </c>
    </row>
    <row r="1432" spans="1:3" x14ac:dyDescent="0.2">
      <c r="A1432" s="4" t="s">
        <v>2313</v>
      </c>
      <c r="B1432" s="1">
        <v>192000</v>
      </c>
      <c r="C1432" s="5">
        <v>5.4873364977059957E-6</v>
      </c>
    </row>
    <row r="1433" spans="1:3" x14ac:dyDescent="0.2">
      <c r="A1433" s="4" t="s">
        <v>1291</v>
      </c>
      <c r="B1433" s="1">
        <v>192000</v>
      </c>
      <c r="C1433" s="5">
        <v>5.4873364977059957E-6</v>
      </c>
    </row>
    <row r="1434" spans="1:3" x14ac:dyDescent="0.2">
      <c r="A1434" s="4" t="s">
        <v>1097</v>
      </c>
      <c r="B1434" s="1">
        <v>192000</v>
      </c>
      <c r="C1434" s="5">
        <v>5.4873364977059957E-6</v>
      </c>
    </row>
    <row r="1435" spans="1:3" x14ac:dyDescent="0.2">
      <c r="A1435" s="4" t="s">
        <v>242</v>
      </c>
      <c r="B1435" s="1">
        <v>190700</v>
      </c>
      <c r="C1435" s="5">
        <v>5.4501826568361118E-6</v>
      </c>
    </row>
    <row r="1436" spans="1:3" x14ac:dyDescent="0.2">
      <c r="A1436" s="4" t="s">
        <v>2473</v>
      </c>
      <c r="B1436" s="1">
        <v>190000</v>
      </c>
      <c r="C1436" s="5">
        <v>5.4301767425215587E-6</v>
      </c>
    </row>
    <row r="1437" spans="1:3" x14ac:dyDescent="0.2">
      <c r="A1437" s="4" t="s">
        <v>1277</v>
      </c>
      <c r="B1437" s="1">
        <v>190000</v>
      </c>
      <c r="C1437" s="5">
        <v>5.4301767425215587E-6</v>
      </c>
    </row>
    <row r="1438" spans="1:3" x14ac:dyDescent="0.2">
      <c r="A1438" s="4" t="s">
        <v>1273</v>
      </c>
      <c r="B1438" s="1">
        <v>190000</v>
      </c>
      <c r="C1438" s="5">
        <v>5.4301767425215587E-6</v>
      </c>
    </row>
    <row r="1439" spans="1:3" x14ac:dyDescent="0.2">
      <c r="A1439" s="4" t="s">
        <v>1712</v>
      </c>
      <c r="B1439" s="1">
        <v>189914</v>
      </c>
      <c r="C1439" s="5">
        <v>5.4277188730486272E-6</v>
      </c>
    </row>
    <row r="1440" spans="1:3" x14ac:dyDescent="0.2">
      <c r="A1440" s="4" t="s">
        <v>2218</v>
      </c>
      <c r="B1440" s="1">
        <v>189585</v>
      </c>
      <c r="C1440" s="5">
        <v>5.4183160933207876E-6</v>
      </c>
    </row>
    <row r="1441" spans="1:3" x14ac:dyDescent="0.2">
      <c r="A1441" s="4" t="s">
        <v>1474</v>
      </c>
      <c r="B1441" s="1">
        <v>188071</v>
      </c>
      <c r="C1441" s="5">
        <v>5.3750461586461685E-6</v>
      </c>
    </row>
    <row r="1442" spans="1:3" x14ac:dyDescent="0.2">
      <c r="A1442" s="4" t="s">
        <v>1758</v>
      </c>
      <c r="B1442" s="1">
        <v>187927</v>
      </c>
      <c r="C1442" s="5">
        <v>5.3709306562728885E-6</v>
      </c>
    </row>
    <row r="1443" spans="1:3" x14ac:dyDescent="0.2">
      <c r="A1443" s="4" t="s">
        <v>358</v>
      </c>
      <c r="B1443" s="1">
        <v>187220</v>
      </c>
      <c r="C1443" s="5">
        <v>5.3507246828151903E-6</v>
      </c>
    </row>
    <row r="1444" spans="1:3" x14ac:dyDescent="0.2">
      <c r="A1444" s="4" t="s">
        <v>581</v>
      </c>
      <c r="B1444" s="1">
        <v>186000</v>
      </c>
      <c r="C1444" s="5">
        <v>5.3158572321526837E-6</v>
      </c>
    </row>
    <row r="1445" spans="1:3" x14ac:dyDescent="0.2">
      <c r="A1445" s="4" t="s">
        <v>492</v>
      </c>
      <c r="B1445" s="1">
        <v>184444.7</v>
      </c>
      <c r="C1445" s="5">
        <v>5.2714069485335057E-6</v>
      </c>
    </row>
    <row r="1446" spans="1:3" x14ac:dyDescent="0.2">
      <c r="A1446" s="4" t="s">
        <v>245</v>
      </c>
      <c r="B1446" s="1">
        <v>184000</v>
      </c>
      <c r="C1446" s="5">
        <v>5.2586974769682458E-6</v>
      </c>
    </row>
    <row r="1447" spans="1:3" x14ac:dyDescent="0.2">
      <c r="A1447" s="4" t="s">
        <v>1714</v>
      </c>
      <c r="B1447" s="1">
        <v>182691</v>
      </c>
      <c r="C1447" s="5">
        <v>5.2212864172000315E-6</v>
      </c>
    </row>
    <row r="1448" spans="1:3" x14ac:dyDescent="0.2">
      <c r="A1448" s="4" t="s">
        <v>1535</v>
      </c>
      <c r="B1448" s="1">
        <v>182634.2</v>
      </c>
      <c r="C1448" s="5">
        <v>5.2196630801527938E-6</v>
      </c>
    </row>
    <row r="1449" spans="1:3" x14ac:dyDescent="0.2">
      <c r="A1449" s="4" t="s">
        <v>1421</v>
      </c>
      <c r="B1449" s="1">
        <v>180432</v>
      </c>
      <c r="C1449" s="5">
        <v>5.1567244737192092E-6</v>
      </c>
    </row>
    <row r="1450" spans="1:3" x14ac:dyDescent="0.2">
      <c r="A1450" s="4" t="s">
        <v>2885</v>
      </c>
      <c r="B1450" s="1">
        <v>180000</v>
      </c>
      <c r="C1450" s="5">
        <v>5.1443779665993708E-6</v>
      </c>
    </row>
    <row r="1451" spans="1:3" x14ac:dyDescent="0.2">
      <c r="A1451" s="4" t="s">
        <v>2601</v>
      </c>
      <c r="B1451" s="1">
        <v>180000</v>
      </c>
      <c r="C1451" s="5">
        <v>5.1443779665993708E-6</v>
      </c>
    </row>
    <row r="1452" spans="1:3" x14ac:dyDescent="0.2">
      <c r="A1452" s="4" t="s">
        <v>1831</v>
      </c>
      <c r="B1452" s="1">
        <v>180000</v>
      </c>
      <c r="C1452" s="5">
        <v>5.1443779665993708E-6</v>
      </c>
    </row>
    <row r="1453" spans="1:3" x14ac:dyDescent="0.2">
      <c r="A1453" s="4" t="s">
        <v>1322</v>
      </c>
      <c r="B1453" s="1">
        <v>180000</v>
      </c>
      <c r="C1453" s="5">
        <v>5.1443779665993708E-6</v>
      </c>
    </row>
    <row r="1454" spans="1:3" x14ac:dyDescent="0.2">
      <c r="A1454" s="4" t="s">
        <v>1289</v>
      </c>
      <c r="B1454" s="1">
        <v>180000</v>
      </c>
      <c r="C1454" s="5">
        <v>5.1443779665993708E-6</v>
      </c>
    </row>
    <row r="1455" spans="1:3" x14ac:dyDescent="0.2">
      <c r="A1455" s="4" t="s">
        <v>1200</v>
      </c>
      <c r="B1455" s="1">
        <v>180000</v>
      </c>
      <c r="C1455" s="5">
        <v>5.1443779665993708E-6</v>
      </c>
    </row>
    <row r="1456" spans="1:3" x14ac:dyDescent="0.2">
      <c r="A1456" s="4" t="s">
        <v>842</v>
      </c>
      <c r="B1456" s="1">
        <v>179606.2</v>
      </c>
      <c r="C1456" s="5">
        <v>5.1331232108035558E-6</v>
      </c>
    </row>
    <row r="1457" spans="1:3" x14ac:dyDescent="0.2">
      <c r="A1457" s="4" t="s">
        <v>1113</v>
      </c>
      <c r="B1457" s="1">
        <v>179000</v>
      </c>
      <c r="C1457" s="5">
        <v>5.1157980890071527E-6</v>
      </c>
    </row>
    <row r="1458" spans="1:3" x14ac:dyDescent="0.2">
      <c r="A1458" s="4" t="s">
        <v>1526</v>
      </c>
      <c r="B1458" s="1">
        <v>178428.79999999999</v>
      </c>
      <c r="C1458" s="5">
        <v>5.0994732629264768E-6</v>
      </c>
    </row>
    <row r="1459" spans="1:3" x14ac:dyDescent="0.2">
      <c r="A1459" s="4" t="s">
        <v>1243</v>
      </c>
      <c r="B1459" s="1">
        <v>178000</v>
      </c>
      <c r="C1459" s="5">
        <v>5.0872182114149338E-6</v>
      </c>
    </row>
    <row r="1460" spans="1:3" x14ac:dyDescent="0.2">
      <c r="A1460" s="4" t="s">
        <v>2447</v>
      </c>
      <c r="B1460" s="1">
        <v>176550</v>
      </c>
      <c r="C1460" s="5">
        <v>5.0457773889062166E-6</v>
      </c>
    </row>
    <row r="1461" spans="1:3" x14ac:dyDescent="0.2">
      <c r="A1461" s="4" t="s">
        <v>2459</v>
      </c>
      <c r="B1461" s="1">
        <v>175000</v>
      </c>
      <c r="C1461" s="5">
        <v>5.0014785786382778E-6</v>
      </c>
    </row>
    <row r="1462" spans="1:3" x14ac:dyDescent="0.2">
      <c r="A1462" s="4" t="s">
        <v>2316</v>
      </c>
      <c r="B1462" s="1">
        <v>175000</v>
      </c>
      <c r="C1462" s="5">
        <v>5.0014785786382778E-6</v>
      </c>
    </row>
    <row r="1463" spans="1:3" x14ac:dyDescent="0.2">
      <c r="A1463" s="4" t="s">
        <v>1866</v>
      </c>
      <c r="B1463" s="1">
        <v>175000</v>
      </c>
      <c r="C1463" s="5">
        <v>5.0014785786382778E-6</v>
      </c>
    </row>
    <row r="1464" spans="1:3" x14ac:dyDescent="0.2">
      <c r="A1464" s="4" t="s">
        <v>1958</v>
      </c>
      <c r="B1464" s="1">
        <v>175000</v>
      </c>
      <c r="C1464" s="5">
        <v>5.0014785786382778E-6</v>
      </c>
    </row>
    <row r="1465" spans="1:3" x14ac:dyDescent="0.2">
      <c r="A1465" s="4" t="s">
        <v>1716</v>
      </c>
      <c r="B1465" s="1">
        <v>175000</v>
      </c>
      <c r="C1465" s="5">
        <v>5.0014785786382778E-6</v>
      </c>
    </row>
    <row r="1466" spans="1:3" x14ac:dyDescent="0.2">
      <c r="A1466" s="4" t="s">
        <v>1719</v>
      </c>
      <c r="B1466" s="1">
        <v>175000</v>
      </c>
      <c r="C1466" s="5">
        <v>5.0014785786382778E-6</v>
      </c>
    </row>
    <row r="1467" spans="1:3" x14ac:dyDescent="0.2">
      <c r="A1467" s="4" t="s">
        <v>1640</v>
      </c>
      <c r="B1467" s="1">
        <v>175000</v>
      </c>
      <c r="C1467" s="5">
        <v>5.0014785786382778E-6</v>
      </c>
    </row>
    <row r="1468" spans="1:3" x14ac:dyDescent="0.2">
      <c r="A1468" s="4" t="s">
        <v>1644</v>
      </c>
      <c r="B1468" s="1">
        <v>175000</v>
      </c>
      <c r="C1468" s="5">
        <v>5.0014785786382778E-6</v>
      </c>
    </row>
    <row r="1469" spans="1:3" x14ac:dyDescent="0.2">
      <c r="A1469" s="4" t="s">
        <v>1136</v>
      </c>
      <c r="B1469" s="1">
        <v>175000</v>
      </c>
      <c r="C1469" s="5">
        <v>5.0014785786382778E-6</v>
      </c>
    </row>
    <row r="1470" spans="1:3" x14ac:dyDescent="0.2">
      <c r="A1470" s="4" t="s">
        <v>2520</v>
      </c>
      <c r="B1470" s="1">
        <v>174898</v>
      </c>
      <c r="C1470" s="5">
        <v>4.9985634311238708E-6</v>
      </c>
    </row>
    <row r="1471" spans="1:3" x14ac:dyDescent="0.2">
      <c r="A1471" s="4" t="s">
        <v>238</v>
      </c>
      <c r="B1471" s="1">
        <v>170249.5</v>
      </c>
      <c r="C1471" s="5">
        <v>4.865709870136442E-6</v>
      </c>
    </row>
    <row r="1472" spans="1:3" x14ac:dyDescent="0.2">
      <c r="A1472" s="4" t="s">
        <v>2028</v>
      </c>
      <c r="B1472" s="1">
        <v>170000</v>
      </c>
      <c r="C1472" s="5">
        <v>4.8585791906771838E-6</v>
      </c>
    </row>
    <row r="1473" spans="1:3" x14ac:dyDescent="0.2">
      <c r="A1473" s="4" t="s">
        <v>2003</v>
      </c>
      <c r="B1473" s="1">
        <v>170000</v>
      </c>
      <c r="C1473" s="5">
        <v>4.8585791906771838E-6</v>
      </c>
    </row>
    <row r="1474" spans="1:3" x14ac:dyDescent="0.2">
      <c r="A1474" s="4" t="s">
        <v>994</v>
      </c>
      <c r="B1474" s="1">
        <v>170000</v>
      </c>
      <c r="C1474" s="5">
        <v>4.8585791906771838E-6</v>
      </c>
    </row>
    <row r="1475" spans="1:3" x14ac:dyDescent="0.2">
      <c r="A1475" s="4" t="s">
        <v>2481</v>
      </c>
      <c r="B1475" s="1">
        <v>166927.5</v>
      </c>
      <c r="C1475" s="5">
        <v>4.7707675167750915E-6</v>
      </c>
    </row>
    <row r="1476" spans="1:3" x14ac:dyDescent="0.2">
      <c r="A1476" s="4" t="s">
        <v>1160</v>
      </c>
      <c r="B1476" s="1">
        <v>165000</v>
      </c>
      <c r="C1476" s="5">
        <v>4.7156798027160899E-6</v>
      </c>
    </row>
    <row r="1477" spans="1:3" x14ac:dyDescent="0.2">
      <c r="A1477" s="4" t="s">
        <v>98</v>
      </c>
      <c r="B1477" s="1">
        <v>164606.39999999999</v>
      </c>
      <c r="C1477" s="5">
        <v>4.704430762895793E-6</v>
      </c>
    </row>
    <row r="1478" spans="1:3" x14ac:dyDescent="0.2">
      <c r="A1478" s="4" t="s">
        <v>1460</v>
      </c>
      <c r="B1478" s="1">
        <v>162000</v>
      </c>
      <c r="C1478" s="5">
        <v>4.6299401699394339E-6</v>
      </c>
    </row>
    <row r="1479" spans="1:3" x14ac:dyDescent="0.2">
      <c r="A1479" s="4" t="s">
        <v>2124</v>
      </c>
      <c r="B1479" s="1">
        <v>160485</v>
      </c>
      <c r="C1479" s="5">
        <v>4.5866416553872222E-6</v>
      </c>
    </row>
    <row r="1480" spans="1:3" x14ac:dyDescent="0.2">
      <c r="A1480" s="4" t="s">
        <v>2897</v>
      </c>
      <c r="B1480" s="1">
        <v>160000</v>
      </c>
      <c r="C1480" s="5">
        <v>4.5727804147549969E-6</v>
      </c>
    </row>
    <row r="1481" spans="1:3" x14ac:dyDescent="0.2">
      <c r="A1481" s="4" t="s">
        <v>1645</v>
      </c>
      <c r="B1481" s="1">
        <v>160000</v>
      </c>
      <c r="C1481" s="5">
        <v>4.5727804147549969E-6</v>
      </c>
    </row>
    <row r="1482" spans="1:3" x14ac:dyDescent="0.2">
      <c r="A1482" s="4" t="s">
        <v>1313</v>
      </c>
      <c r="B1482" s="1">
        <v>160000</v>
      </c>
      <c r="C1482" s="5">
        <v>4.5727804147549969E-6</v>
      </c>
    </row>
    <row r="1483" spans="1:3" x14ac:dyDescent="0.2">
      <c r="A1483" s="4" t="s">
        <v>1452</v>
      </c>
      <c r="B1483" s="1">
        <v>160000</v>
      </c>
      <c r="C1483" s="5">
        <v>4.5727804147549969E-6</v>
      </c>
    </row>
    <row r="1484" spans="1:3" x14ac:dyDescent="0.2">
      <c r="A1484" s="4" t="s">
        <v>1207</v>
      </c>
      <c r="B1484" s="1">
        <v>160000</v>
      </c>
      <c r="C1484" s="5">
        <v>4.5727804147549969E-6</v>
      </c>
    </row>
    <row r="1485" spans="1:3" x14ac:dyDescent="0.2">
      <c r="A1485" s="4" t="s">
        <v>1444</v>
      </c>
      <c r="B1485" s="1">
        <v>157152</v>
      </c>
      <c r="C1485" s="5">
        <v>4.4913849233723577E-6</v>
      </c>
    </row>
    <row r="1486" spans="1:3" x14ac:dyDescent="0.2">
      <c r="A1486" s="4" t="s">
        <v>2199</v>
      </c>
      <c r="B1486" s="1">
        <v>157053.79999999999</v>
      </c>
      <c r="C1486" s="5">
        <v>4.4885783793928015E-6</v>
      </c>
    </row>
    <row r="1487" spans="1:3" x14ac:dyDescent="0.2">
      <c r="A1487" s="4" t="s">
        <v>2261</v>
      </c>
      <c r="B1487" s="1">
        <v>155380</v>
      </c>
      <c r="C1487" s="5">
        <v>4.440741380278946E-6</v>
      </c>
    </row>
    <row r="1488" spans="1:3" x14ac:dyDescent="0.2">
      <c r="A1488" s="4" t="s">
        <v>1878</v>
      </c>
      <c r="B1488" s="1">
        <v>153000</v>
      </c>
      <c r="C1488" s="5">
        <v>4.372721271609465E-6</v>
      </c>
    </row>
    <row r="1489" spans="1:3" x14ac:dyDescent="0.2">
      <c r="A1489" s="4" t="s">
        <v>2446</v>
      </c>
      <c r="B1489" s="1">
        <v>152589.70000000001</v>
      </c>
      <c r="C1489" s="5">
        <v>4.3609949478333786E-6</v>
      </c>
    </row>
    <row r="1490" spans="1:3" x14ac:dyDescent="0.2">
      <c r="A1490" s="4" t="s">
        <v>1599</v>
      </c>
      <c r="B1490" s="1">
        <v>151852</v>
      </c>
      <c r="C1490" s="5">
        <v>4.3399115721335981E-6</v>
      </c>
    </row>
    <row r="1491" spans="1:3" x14ac:dyDescent="0.2">
      <c r="A1491" s="4" t="s">
        <v>1676</v>
      </c>
      <c r="B1491" s="1">
        <v>151782</v>
      </c>
      <c r="C1491" s="5">
        <v>4.3379109807021429E-6</v>
      </c>
    </row>
    <row r="1492" spans="1:3" x14ac:dyDescent="0.2">
      <c r="A1492" s="4" t="s">
        <v>2410</v>
      </c>
      <c r="B1492" s="1">
        <v>150150</v>
      </c>
      <c r="C1492" s="5">
        <v>4.2912686204716423E-6</v>
      </c>
    </row>
    <row r="1493" spans="1:3" x14ac:dyDescent="0.2">
      <c r="A1493" s="4" t="s">
        <v>2793</v>
      </c>
      <c r="B1493" s="1">
        <v>150000</v>
      </c>
      <c r="C1493" s="5">
        <v>4.286981638832809E-6</v>
      </c>
    </row>
    <row r="1494" spans="1:3" x14ac:dyDescent="0.2">
      <c r="A1494" s="4" t="s">
        <v>2456</v>
      </c>
      <c r="B1494" s="1">
        <v>150000</v>
      </c>
      <c r="C1494" s="5">
        <v>4.286981638832809E-6</v>
      </c>
    </row>
    <row r="1495" spans="1:3" x14ac:dyDescent="0.2">
      <c r="A1495" s="4" t="s">
        <v>2164</v>
      </c>
      <c r="B1495" s="1">
        <v>150000</v>
      </c>
      <c r="C1495" s="5">
        <v>4.286981638832809E-6</v>
      </c>
    </row>
    <row r="1496" spans="1:3" x14ac:dyDescent="0.2">
      <c r="A1496" s="4" t="s">
        <v>2168</v>
      </c>
      <c r="B1496" s="1">
        <v>150000</v>
      </c>
      <c r="C1496" s="5">
        <v>4.286981638832809E-6</v>
      </c>
    </row>
    <row r="1497" spans="1:3" x14ac:dyDescent="0.2">
      <c r="A1497" s="4" t="s">
        <v>2204</v>
      </c>
      <c r="B1497" s="1">
        <v>150000</v>
      </c>
      <c r="C1497" s="5">
        <v>4.286981638832809E-6</v>
      </c>
    </row>
    <row r="1498" spans="1:3" x14ac:dyDescent="0.2">
      <c r="A1498" s="4" t="s">
        <v>2191</v>
      </c>
      <c r="B1498" s="1">
        <v>150000</v>
      </c>
      <c r="C1498" s="5">
        <v>4.286981638832809E-6</v>
      </c>
    </row>
    <row r="1499" spans="1:3" x14ac:dyDescent="0.2">
      <c r="A1499" s="4" t="s">
        <v>2175</v>
      </c>
      <c r="B1499" s="1">
        <v>150000</v>
      </c>
      <c r="C1499" s="5">
        <v>4.286981638832809E-6</v>
      </c>
    </row>
    <row r="1500" spans="1:3" x14ac:dyDescent="0.2">
      <c r="A1500" s="4" t="s">
        <v>2237</v>
      </c>
      <c r="B1500" s="1">
        <v>150000</v>
      </c>
      <c r="C1500" s="5">
        <v>4.286981638832809E-6</v>
      </c>
    </row>
    <row r="1501" spans="1:3" x14ac:dyDescent="0.2">
      <c r="A1501" s="4" t="s">
        <v>2212</v>
      </c>
      <c r="B1501" s="1">
        <v>150000</v>
      </c>
      <c r="C1501" s="5">
        <v>4.286981638832809E-6</v>
      </c>
    </row>
    <row r="1502" spans="1:3" x14ac:dyDescent="0.2">
      <c r="A1502" s="4" t="s">
        <v>2262</v>
      </c>
      <c r="B1502" s="1">
        <v>150000</v>
      </c>
      <c r="C1502" s="5">
        <v>4.286981638832809E-6</v>
      </c>
    </row>
    <row r="1503" spans="1:3" x14ac:dyDescent="0.2">
      <c r="A1503" s="4" t="s">
        <v>2216</v>
      </c>
      <c r="B1503" s="1">
        <v>150000</v>
      </c>
      <c r="C1503" s="5">
        <v>4.286981638832809E-6</v>
      </c>
    </row>
    <row r="1504" spans="1:3" x14ac:dyDescent="0.2">
      <c r="A1504" s="4" t="s">
        <v>2266</v>
      </c>
      <c r="B1504" s="1">
        <v>150000</v>
      </c>
      <c r="C1504" s="5">
        <v>4.286981638832809E-6</v>
      </c>
    </row>
    <row r="1505" spans="1:3" x14ac:dyDescent="0.2">
      <c r="A1505" s="4" t="s">
        <v>2183</v>
      </c>
      <c r="B1505" s="1">
        <v>150000</v>
      </c>
      <c r="C1505" s="5">
        <v>4.286981638832809E-6</v>
      </c>
    </row>
    <row r="1506" spans="1:3" x14ac:dyDescent="0.2">
      <c r="A1506" s="4" t="s">
        <v>2149</v>
      </c>
      <c r="B1506" s="1">
        <v>150000</v>
      </c>
      <c r="C1506" s="5">
        <v>4.286981638832809E-6</v>
      </c>
    </row>
    <row r="1507" spans="1:3" x14ac:dyDescent="0.2">
      <c r="A1507" s="4" t="s">
        <v>2151</v>
      </c>
      <c r="B1507" s="1">
        <v>150000</v>
      </c>
      <c r="C1507" s="5">
        <v>4.286981638832809E-6</v>
      </c>
    </row>
    <row r="1508" spans="1:3" x14ac:dyDescent="0.2">
      <c r="A1508" s="4" t="s">
        <v>2163</v>
      </c>
      <c r="B1508" s="1">
        <v>150000</v>
      </c>
      <c r="C1508" s="5">
        <v>4.286981638832809E-6</v>
      </c>
    </row>
    <row r="1509" spans="1:3" x14ac:dyDescent="0.2">
      <c r="A1509" s="4" t="s">
        <v>2203</v>
      </c>
      <c r="B1509" s="1">
        <v>150000</v>
      </c>
      <c r="C1509" s="5">
        <v>4.286981638832809E-6</v>
      </c>
    </row>
    <row r="1510" spans="1:3" x14ac:dyDescent="0.2">
      <c r="A1510" s="4" t="s">
        <v>2200</v>
      </c>
      <c r="B1510" s="1">
        <v>150000</v>
      </c>
      <c r="C1510" s="5">
        <v>4.286981638832809E-6</v>
      </c>
    </row>
    <row r="1511" spans="1:3" x14ac:dyDescent="0.2">
      <c r="A1511" s="4" t="s">
        <v>1589</v>
      </c>
      <c r="B1511" s="1">
        <v>150000</v>
      </c>
      <c r="C1511" s="5">
        <v>4.286981638832809E-6</v>
      </c>
    </row>
    <row r="1512" spans="1:3" x14ac:dyDescent="0.2">
      <c r="A1512" s="4" t="s">
        <v>1706</v>
      </c>
      <c r="B1512" s="1">
        <v>150000</v>
      </c>
      <c r="C1512" s="5">
        <v>4.286981638832809E-6</v>
      </c>
    </row>
    <row r="1513" spans="1:3" x14ac:dyDescent="0.2">
      <c r="A1513" s="4" t="s">
        <v>1248</v>
      </c>
      <c r="B1513" s="1">
        <v>150000</v>
      </c>
      <c r="C1513" s="5">
        <v>4.286981638832809E-6</v>
      </c>
    </row>
    <row r="1514" spans="1:3" x14ac:dyDescent="0.2">
      <c r="A1514" s="4" t="s">
        <v>1240</v>
      </c>
      <c r="B1514" s="1">
        <v>150000</v>
      </c>
      <c r="C1514" s="5">
        <v>4.286981638832809E-6</v>
      </c>
    </row>
    <row r="1515" spans="1:3" x14ac:dyDescent="0.2">
      <c r="A1515" s="4" t="s">
        <v>1330</v>
      </c>
      <c r="B1515" s="1">
        <v>150000</v>
      </c>
      <c r="C1515" s="5">
        <v>4.286981638832809E-6</v>
      </c>
    </row>
    <row r="1516" spans="1:3" x14ac:dyDescent="0.2">
      <c r="A1516" s="4" t="s">
        <v>1216</v>
      </c>
      <c r="B1516" s="1">
        <v>150000</v>
      </c>
      <c r="C1516" s="5">
        <v>4.286981638832809E-6</v>
      </c>
    </row>
    <row r="1517" spans="1:3" x14ac:dyDescent="0.2">
      <c r="A1517" s="4" t="s">
        <v>1140</v>
      </c>
      <c r="B1517" s="1">
        <v>150000</v>
      </c>
      <c r="C1517" s="5">
        <v>4.286981638832809E-6</v>
      </c>
    </row>
    <row r="1518" spans="1:3" x14ac:dyDescent="0.2">
      <c r="A1518" s="4" t="s">
        <v>453</v>
      </c>
      <c r="B1518" s="1">
        <v>150000</v>
      </c>
      <c r="C1518" s="5">
        <v>4.286981638832809E-6</v>
      </c>
    </row>
    <row r="1519" spans="1:3" x14ac:dyDescent="0.2">
      <c r="A1519" s="4" t="s">
        <v>613</v>
      </c>
      <c r="B1519" s="1">
        <v>150000</v>
      </c>
      <c r="C1519" s="5">
        <v>4.286981638832809E-6</v>
      </c>
    </row>
    <row r="1520" spans="1:3" x14ac:dyDescent="0.2">
      <c r="A1520" s="4" t="s">
        <v>413</v>
      </c>
      <c r="B1520" s="1">
        <v>150000</v>
      </c>
      <c r="C1520" s="5">
        <v>4.286981638832809E-6</v>
      </c>
    </row>
    <row r="1521" spans="1:3" x14ac:dyDescent="0.2">
      <c r="A1521" s="4" t="s">
        <v>2572</v>
      </c>
      <c r="B1521" s="1">
        <v>148492.6</v>
      </c>
      <c r="C1521" s="5">
        <v>4.2439003313502987E-6</v>
      </c>
    </row>
    <row r="1522" spans="1:3" x14ac:dyDescent="0.2">
      <c r="A1522" s="4" t="s">
        <v>1394</v>
      </c>
      <c r="B1522" s="1">
        <v>147167.5</v>
      </c>
      <c r="C1522" s="5">
        <v>4.2060291355528495E-6</v>
      </c>
    </row>
    <row r="1523" spans="1:3" x14ac:dyDescent="0.2">
      <c r="A1523" s="4" t="s">
        <v>2053</v>
      </c>
      <c r="B1523" s="1">
        <v>147000</v>
      </c>
      <c r="C1523" s="5">
        <v>4.201242006056153E-6</v>
      </c>
    </row>
    <row r="1524" spans="1:3" x14ac:dyDescent="0.2">
      <c r="A1524" s="4" t="s">
        <v>2276</v>
      </c>
      <c r="B1524" s="1">
        <v>145000</v>
      </c>
      <c r="C1524" s="5">
        <v>4.144082250871716E-6</v>
      </c>
    </row>
    <row r="1525" spans="1:3" x14ac:dyDescent="0.2">
      <c r="A1525" s="4" t="s">
        <v>1699</v>
      </c>
      <c r="B1525" s="1">
        <v>145000</v>
      </c>
      <c r="C1525" s="5">
        <v>4.144082250871716E-6</v>
      </c>
    </row>
    <row r="1526" spans="1:3" x14ac:dyDescent="0.2">
      <c r="A1526" s="4" t="s">
        <v>1789</v>
      </c>
      <c r="B1526" s="1">
        <v>145000</v>
      </c>
      <c r="C1526" s="5">
        <v>4.144082250871716E-6</v>
      </c>
    </row>
    <row r="1527" spans="1:3" x14ac:dyDescent="0.2">
      <c r="A1527" s="4" t="s">
        <v>1345</v>
      </c>
      <c r="B1527" s="1">
        <v>145000</v>
      </c>
      <c r="C1527" s="5">
        <v>4.144082250871716E-6</v>
      </c>
    </row>
    <row r="1528" spans="1:3" x14ac:dyDescent="0.2">
      <c r="A1528" s="4" t="s">
        <v>1150</v>
      </c>
      <c r="B1528" s="1">
        <v>145000</v>
      </c>
      <c r="C1528" s="5">
        <v>4.144082250871716E-6</v>
      </c>
    </row>
    <row r="1529" spans="1:3" x14ac:dyDescent="0.2">
      <c r="A1529" s="4" t="s">
        <v>1579</v>
      </c>
      <c r="B1529" s="1">
        <v>144513</v>
      </c>
      <c r="C1529" s="5">
        <v>4.1301638504843053E-6</v>
      </c>
    </row>
    <row r="1530" spans="1:3" x14ac:dyDescent="0.2">
      <c r="A1530" s="4" t="s">
        <v>2871</v>
      </c>
      <c r="B1530" s="1">
        <v>144210</v>
      </c>
      <c r="C1530" s="5">
        <v>4.1215041475738624E-6</v>
      </c>
    </row>
    <row r="1531" spans="1:3" x14ac:dyDescent="0.2">
      <c r="A1531" s="4" t="s">
        <v>1302</v>
      </c>
      <c r="B1531" s="1">
        <v>140000</v>
      </c>
      <c r="C1531" s="5">
        <v>4.001182862910622E-6</v>
      </c>
    </row>
    <row r="1532" spans="1:3" x14ac:dyDescent="0.2">
      <c r="A1532" s="4" t="s">
        <v>1290</v>
      </c>
      <c r="B1532" s="1">
        <v>140000</v>
      </c>
      <c r="C1532" s="5">
        <v>4.001182862910622E-6</v>
      </c>
    </row>
    <row r="1533" spans="1:3" x14ac:dyDescent="0.2">
      <c r="A1533" s="4" t="s">
        <v>1294</v>
      </c>
      <c r="B1533" s="1">
        <v>140000</v>
      </c>
      <c r="C1533" s="5">
        <v>4.001182862910622E-6</v>
      </c>
    </row>
    <row r="1534" spans="1:3" x14ac:dyDescent="0.2">
      <c r="A1534" s="4" t="s">
        <v>1202</v>
      </c>
      <c r="B1534" s="1">
        <v>140000</v>
      </c>
      <c r="C1534" s="5">
        <v>4.001182862910622E-6</v>
      </c>
    </row>
    <row r="1535" spans="1:3" x14ac:dyDescent="0.2">
      <c r="A1535" s="4" t="s">
        <v>1111</v>
      </c>
      <c r="B1535" s="1">
        <v>140000</v>
      </c>
      <c r="C1535" s="5">
        <v>4.001182862910622E-6</v>
      </c>
    </row>
    <row r="1536" spans="1:3" x14ac:dyDescent="0.2">
      <c r="A1536" s="4" t="s">
        <v>1166</v>
      </c>
      <c r="B1536" s="1">
        <v>140000</v>
      </c>
      <c r="C1536" s="5">
        <v>4.001182862910622E-6</v>
      </c>
    </row>
    <row r="1537" spans="1:3" x14ac:dyDescent="0.2">
      <c r="A1537" s="4" t="s">
        <v>440</v>
      </c>
      <c r="B1537" s="1">
        <v>139400</v>
      </c>
      <c r="C1537" s="5">
        <v>3.9840349363552905E-6</v>
      </c>
    </row>
    <row r="1538" spans="1:3" x14ac:dyDescent="0.2">
      <c r="A1538" s="4" t="s">
        <v>560</v>
      </c>
      <c r="B1538" s="1">
        <v>138000</v>
      </c>
      <c r="C1538" s="5">
        <v>3.9440231077261841E-6</v>
      </c>
    </row>
    <row r="1539" spans="1:3" x14ac:dyDescent="0.2">
      <c r="A1539" s="4" t="s">
        <v>2480</v>
      </c>
      <c r="B1539" s="1">
        <v>137032.5</v>
      </c>
      <c r="C1539" s="5">
        <v>3.9163720761557128E-6</v>
      </c>
    </row>
    <row r="1540" spans="1:3" x14ac:dyDescent="0.2">
      <c r="A1540" s="4" t="s">
        <v>1465</v>
      </c>
      <c r="B1540" s="1">
        <v>136804</v>
      </c>
      <c r="C1540" s="5">
        <v>3.9098415741258908E-6</v>
      </c>
    </row>
    <row r="1541" spans="1:3" x14ac:dyDescent="0.2">
      <c r="A1541" s="4" t="s">
        <v>1329</v>
      </c>
      <c r="B1541" s="1">
        <v>135800</v>
      </c>
      <c r="C1541" s="5">
        <v>3.8811473770233029E-6</v>
      </c>
    </row>
    <row r="1542" spans="1:3" x14ac:dyDescent="0.2">
      <c r="A1542" s="4" t="s">
        <v>177</v>
      </c>
      <c r="B1542" s="1">
        <v>134510</v>
      </c>
      <c r="C1542" s="5">
        <v>3.8442793349293412E-6</v>
      </c>
    </row>
    <row r="1543" spans="1:3" x14ac:dyDescent="0.2">
      <c r="A1543" s="4" t="s">
        <v>2171</v>
      </c>
      <c r="B1543" s="1">
        <v>134000</v>
      </c>
      <c r="C1543" s="5">
        <v>3.8297035973573092E-6</v>
      </c>
    </row>
    <row r="1544" spans="1:3" x14ac:dyDescent="0.2">
      <c r="A1544" s="4" t="s">
        <v>1702</v>
      </c>
      <c r="B1544" s="1">
        <v>134000</v>
      </c>
      <c r="C1544" s="5">
        <v>3.8297035973573092E-6</v>
      </c>
    </row>
    <row r="1545" spans="1:3" x14ac:dyDescent="0.2">
      <c r="A1545" s="4" t="s">
        <v>1199</v>
      </c>
      <c r="B1545" s="1">
        <v>134000</v>
      </c>
      <c r="C1545" s="5">
        <v>3.8297035973573092E-6</v>
      </c>
    </row>
    <row r="1546" spans="1:3" x14ac:dyDescent="0.2">
      <c r="A1546" s="4" t="s">
        <v>1186</v>
      </c>
      <c r="B1546" s="1">
        <v>133000</v>
      </c>
      <c r="C1546" s="5">
        <v>3.8011237197650906E-6</v>
      </c>
    </row>
    <row r="1547" spans="1:3" x14ac:dyDescent="0.2">
      <c r="A1547" s="4" t="s">
        <v>2571</v>
      </c>
      <c r="B1547" s="1">
        <v>132892.6</v>
      </c>
      <c r="C1547" s="5">
        <v>3.7980542409116867E-6</v>
      </c>
    </row>
    <row r="1548" spans="1:3" x14ac:dyDescent="0.2">
      <c r="A1548" s="4" t="s">
        <v>1744</v>
      </c>
      <c r="B1548" s="1">
        <v>132463</v>
      </c>
      <c r="C1548" s="5">
        <v>3.7857763254980696E-6</v>
      </c>
    </row>
    <row r="1549" spans="1:3" x14ac:dyDescent="0.2">
      <c r="A1549" s="4" t="s">
        <v>1595</v>
      </c>
      <c r="B1549" s="1">
        <v>130000</v>
      </c>
      <c r="C1549" s="5">
        <v>3.7153840869884346E-6</v>
      </c>
    </row>
    <row r="1550" spans="1:3" x14ac:dyDescent="0.2">
      <c r="A1550" s="4" t="s">
        <v>1280</v>
      </c>
      <c r="B1550" s="1">
        <v>130000</v>
      </c>
      <c r="C1550" s="5">
        <v>3.7153840869884346E-6</v>
      </c>
    </row>
    <row r="1551" spans="1:3" x14ac:dyDescent="0.2">
      <c r="A1551" s="4" t="s">
        <v>1455</v>
      </c>
      <c r="B1551" s="1">
        <v>130000</v>
      </c>
      <c r="C1551" s="5">
        <v>3.7153840869884346E-6</v>
      </c>
    </row>
    <row r="1552" spans="1:3" x14ac:dyDescent="0.2">
      <c r="A1552" s="4" t="s">
        <v>1238</v>
      </c>
      <c r="B1552" s="1">
        <v>130000</v>
      </c>
      <c r="C1552" s="5">
        <v>3.7153840869884346E-6</v>
      </c>
    </row>
    <row r="1553" spans="1:3" x14ac:dyDescent="0.2">
      <c r="A1553" s="4" t="s">
        <v>1324</v>
      </c>
      <c r="B1553" s="1">
        <v>130000</v>
      </c>
      <c r="C1553" s="5">
        <v>3.7153840869884346E-6</v>
      </c>
    </row>
    <row r="1554" spans="1:3" x14ac:dyDescent="0.2">
      <c r="A1554" s="4" t="s">
        <v>1118</v>
      </c>
      <c r="B1554" s="1">
        <v>130000</v>
      </c>
      <c r="C1554" s="5">
        <v>3.7153840869884346E-6</v>
      </c>
    </row>
    <row r="1555" spans="1:3" x14ac:dyDescent="0.2">
      <c r="A1555" s="4" t="s">
        <v>515</v>
      </c>
      <c r="B1555" s="1">
        <v>130000</v>
      </c>
      <c r="C1555" s="5">
        <v>3.7153840869884346E-6</v>
      </c>
    </row>
    <row r="1556" spans="1:3" x14ac:dyDescent="0.2">
      <c r="A1556" s="4" t="s">
        <v>2564</v>
      </c>
      <c r="B1556" s="1">
        <v>127490</v>
      </c>
      <c r="C1556" s="5">
        <v>3.6436485942319655E-6</v>
      </c>
    </row>
    <row r="1557" spans="1:3" x14ac:dyDescent="0.2">
      <c r="A1557" s="4" t="s">
        <v>1785</v>
      </c>
      <c r="B1557" s="1">
        <v>126735</v>
      </c>
      <c r="C1557" s="5">
        <v>3.6220707866498404E-6</v>
      </c>
    </row>
    <row r="1558" spans="1:3" x14ac:dyDescent="0.2">
      <c r="A1558" s="4" t="s">
        <v>2878</v>
      </c>
      <c r="B1558" s="1">
        <v>125000</v>
      </c>
      <c r="C1558" s="5">
        <v>3.5724846990273411E-6</v>
      </c>
    </row>
    <row r="1559" spans="1:3" x14ac:dyDescent="0.2">
      <c r="A1559" s="4" t="s">
        <v>2159</v>
      </c>
      <c r="B1559" s="1">
        <v>125000</v>
      </c>
      <c r="C1559" s="5">
        <v>3.5724846990273411E-6</v>
      </c>
    </row>
    <row r="1560" spans="1:3" x14ac:dyDescent="0.2">
      <c r="A1560" s="4" t="s">
        <v>1461</v>
      </c>
      <c r="B1560" s="1">
        <v>125000</v>
      </c>
      <c r="C1560" s="5">
        <v>3.5724846990273411E-6</v>
      </c>
    </row>
    <row r="1561" spans="1:3" x14ac:dyDescent="0.2">
      <c r="A1561" s="4" t="s">
        <v>1338</v>
      </c>
      <c r="B1561" s="1">
        <v>125000</v>
      </c>
      <c r="C1561" s="5">
        <v>3.5724846990273411E-6</v>
      </c>
    </row>
    <row r="1562" spans="1:3" x14ac:dyDescent="0.2">
      <c r="A1562" s="4" t="s">
        <v>1235</v>
      </c>
      <c r="B1562" s="1">
        <v>125000</v>
      </c>
      <c r="C1562" s="5">
        <v>3.5724846990273411E-6</v>
      </c>
    </row>
    <row r="1563" spans="1:3" x14ac:dyDescent="0.2">
      <c r="A1563" s="4" t="s">
        <v>1127</v>
      </c>
      <c r="B1563" s="1">
        <v>125000</v>
      </c>
      <c r="C1563" s="5">
        <v>3.5724846990273411E-6</v>
      </c>
    </row>
    <row r="1564" spans="1:3" x14ac:dyDescent="0.2">
      <c r="A1564" s="4" t="s">
        <v>447</v>
      </c>
      <c r="B1564" s="1">
        <v>124560</v>
      </c>
      <c r="C1564" s="5">
        <v>3.5599095528867646E-6</v>
      </c>
    </row>
    <row r="1565" spans="1:3" x14ac:dyDescent="0.2">
      <c r="A1565" s="4" t="s">
        <v>1617</v>
      </c>
      <c r="B1565" s="1">
        <v>123345</v>
      </c>
      <c r="C1565" s="5">
        <v>3.5251850016122192E-6</v>
      </c>
    </row>
    <row r="1566" spans="1:3" x14ac:dyDescent="0.2">
      <c r="A1566" s="4" t="s">
        <v>2492</v>
      </c>
      <c r="B1566" s="1">
        <v>123000</v>
      </c>
      <c r="C1566" s="5">
        <v>3.5153249438429037E-6</v>
      </c>
    </row>
    <row r="1567" spans="1:3" x14ac:dyDescent="0.2">
      <c r="A1567" s="4" t="s">
        <v>1161</v>
      </c>
      <c r="B1567" s="1">
        <v>122000</v>
      </c>
      <c r="C1567" s="5">
        <v>3.4867450662506847E-6</v>
      </c>
    </row>
    <row r="1568" spans="1:3" x14ac:dyDescent="0.2">
      <c r="A1568" s="4" t="s">
        <v>1193</v>
      </c>
      <c r="B1568" s="1">
        <v>120691.7</v>
      </c>
      <c r="C1568" s="5">
        <v>3.449354012396785E-6</v>
      </c>
    </row>
    <row r="1569" spans="1:3" x14ac:dyDescent="0.2">
      <c r="A1569" s="4" t="s">
        <v>2783</v>
      </c>
      <c r="B1569" s="1">
        <v>120000</v>
      </c>
      <c r="C1569" s="5">
        <v>3.4295853110662472E-6</v>
      </c>
    </row>
    <row r="1570" spans="1:3" x14ac:dyDescent="0.2">
      <c r="A1570" s="4" t="s">
        <v>2172</v>
      </c>
      <c r="B1570" s="1">
        <v>120000</v>
      </c>
      <c r="C1570" s="5">
        <v>3.4295853110662472E-6</v>
      </c>
    </row>
    <row r="1571" spans="1:3" x14ac:dyDescent="0.2">
      <c r="A1571" s="4" t="s">
        <v>1451</v>
      </c>
      <c r="B1571" s="1">
        <v>120000</v>
      </c>
      <c r="C1571" s="5">
        <v>3.4295853110662472E-6</v>
      </c>
    </row>
    <row r="1572" spans="1:3" x14ac:dyDescent="0.2">
      <c r="A1572" s="4" t="s">
        <v>1269</v>
      </c>
      <c r="B1572" s="1">
        <v>120000</v>
      </c>
      <c r="C1572" s="5">
        <v>3.4295853110662472E-6</v>
      </c>
    </row>
    <row r="1573" spans="1:3" x14ac:dyDescent="0.2">
      <c r="A1573" s="4" t="s">
        <v>1439</v>
      </c>
      <c r="B1573" s="1">
        <v>120000</v>
      </c>
      <c r="C1573" s="5">
        <v>3.4295853110662472E-6</v>
      </c>
    </row>
    <row r="1574" spans="1:3" x14ac:dyDescent="0.2">
      <c r="A1574" s="4" t="s">
        <v>1334</v>
      </c>
      <c r="B1574" s="1">
        <v>120000</v>
      </c>
      <c r="C1574" s="5">
        <v>3.4295853110662472E-6</v>
      </c>
    </row>
    <row r="1575" spans="1:3" x14ac:dyDescent="0.2">
      <c r="A1575" s="4" t="s">
        <v>1462</v>
      </c>
      <c r="B1575" s="1">
        <v>120000</v>
      </c>
      <c r="C1575" s="5">
        <v>3.4295853110662472E-6</v>
      </c>
    </row>
    <row r="1576" spans="1:3" x14ac:dyDescent="0.2">
      <c r="A1576" s="4" t="s">
        <v>1135</v>
      </c>
      <c r="B1576" s="1">
        <v>120000</v>
      </c>
      <c r="C1576" s="5">
        <v>3.4295853110662472E-6</v>
      </c>
    </row>
    <row r="1577" spans="1:3" x14ac:dyDescent="0.2">
      <c r="A1577" s="4" t="s">
        <v>981</v>
      </c>
      <c r="B1577" s="1">
        <v>120000</v>
      </c>
      <c r="C1577" s="5">
        <v>3.4295853110662472E-6</v>
      </c>
    </row>
    <row r="1578" spans="1:3" x14ac:dyDescent="0.2">
      <c r="A1578" s="4" t="s">
        <v>559</v>
      </c>
      <c r="B1578" s="1">
        <v>120000</v>
      </c>
      <c r="C1578" s="5">
        <v>3.4295853110662472E-6</v>
      </c>
    </row>
    <row r="1579" spans="1:3" x14ac:dyDescent="0.2">
      <c r="A1579" s="4" t="s">
        <v>2554</v>
      </c>
      <c r="B1579" s="1">
        <v>119990</v>
      </c>
      <c r="C1579" s="5">
        <v>3.4292995122903251E-6</v>
      </c>
    </row>
    <row r="1580" spans="1:3" x14ac:dyDescent="0.2">
      <c r="A1580" s="4" t="s">
        <v>1206</v>
      </c>
      <c r="B1580" s="1">
        <v>119000</v>
      </c>
      <c r="C1580" s="5">
        <v>3.4010054334740287E-6</v>
      </c>
    </row>
    <row r="1581" spans="1:3" x14ac:dyDescent="0.2">
      <c r="A1581" s="4" t="s">
        <v>2064</v>
      </c>
      <c r="B1581" s="1">
        <v>118780.5</v>
      </c>
      <c r="C1581" s="5">
        <v>3.3947321503425366E-6</v>
      </c>
    </row>
    <row r="1582" spans="1:3" x14ac:dyDescent="0.2">
      <c r="A1582" s="4" t="s">
        <v>2519</v>
      </c>
      <c r="B1582" s="1">
        <v>118109.5</v>
      </c>
      <c r="C1582" s="5">
        <v>3.3755550524781581E-6</v>
      </c>
    </row>
    <row r="1583" spans="1:3" x14ac:dyDescent="0.2">
      <c r="A1583" s="4" t="s">
        <v>2450</v>
      </c>
      <c r="B1583" s="1">
        <v>117757.5</v>
      </c>
      <c r="C1583" s="5">
        <v>3.365494935565697E-6</v>
      </c>
    </row>
    <row r="1584" spans="1:3" x14ac:dyDescent="0.2">
      <c r="A1584" s="4" t="s">
        <v>1170</v>
      </c>
      <c r="B1584" s="1">
        <v>117126.6</v>
      </c>
      <c r="C1584" s="5">
        <v>3.3474638907927663E-6</v>
      </c>
    </row>
    <row r="1585" spans="1:3" x14ac:dyDescent="0.2">
      <c r="A1585" s="4" t="s">
        <v>2123</v>
      </c>
      <c r="B1585" s="1">
        <v>115354</v>
      </c>
      <c r="C1585" s="5">
        <v>3.2968031997727992E-6</v>
      </c>
    </row>
    <row r="1586" spans="1:3" x14ac:dyDescent="0.2">
      <c r="A1586" s="4" t="s">
        <v>1336</v>
      </c>
      <c r="B1586" s="1">
        <v>115000</v>
      </c>
      <c r="C1586" s="5">
        <v>3.2866859231051537E-6</v>
      </c>
    </row>
    <row r="1587" spans="1:3" x14ac:dyDescent="0.2">
      <c r="A1587" s="4" t="s">
        <v>894</v>
      </c>
      <c r="B1587" s="1">
        <v>112742.5</v>
      </c>
      <c r="C1587" s="5">
        <v>3.2221668494407199E-6</v>
      </c>
    </row>
    <row r="1588" spans="1:3" x14ac:dyDescent="0.2">
      <c r="A1588" s="4" t="s">
        <v>1633</v>
      </c>
      <c r="B1588" s="1">
        <v>112500</v>
      </c>
      <c r="C1588" s="5">
        <v>3.2152362291246068E-6</v>
      </c>
    </row>
    <row r="1589" spans="1:3" x14ac:dyDescent="0.2">
      <c r="A1589" s="4" t="s">
        <v>666</v>
      </c>
      <c r="B1589" s="1">
        <v>112147.3</v>
      </c>
      <c r="C1589" s="5">
        <v>3.2051561062978312E-6</v>
      </c>
    </row>
    <row r="1590" spans="1:3" x14ac:dyDescent="0.2">
      <c r="A1590" s="4" t="s">
        <v>1384</v>
      </c>
      <c r="B1590" s="1">
        <v>111000</v>
      </c>
      <c r="C1590" s="5">
        <v>3.1723664127362788E-6</v>
      </c>
    </row>
    <row r="1591" spans="1:3" x14ac:dyDescent="0.2">
      <c r="A1591" s="4" t="s">
        <v>2508</v>
      </c>
      <c r="B1591" s="1">
        <v>110000</v>
      </c>
      <c r="C1591" s="5">
        <v>3.1437865351440602E-6</v>
      </c>
    </row>
    <row r="1592" spans="1:3" x14ac:dyDescent="0.2">
      <c r="A1592" s="4" t="s">
        <v>1853</v>
      </c>
      <c r="B1592" s="1">
        <v>110000</v>
      </c>
      <c r="C1592" s="5">
        <v>3.1437865351440602E-6</v>
      </c>
    </row>
    <row r="1593" spans="1:3" x14ac:dyDescent="0.2">
      <c r="A1593" s="4" t="s">
        <v>1635</v>
      </c>
      <c r="B1593" s="1">
        <v>110000</v>
      </c>
      <c r="C1593" s="5">
        <v>3.1437865351440602E-6</v>
      </c>
    </row>
    <row r="1594" spans="1:3" x14ac:dyDescent="0.2">
      <c r="A1594" s="4" t="s">
        <v>1147</v>
      </c>
      <c r="B1594" s="1">
        <v>110000</v>
      </c>
      <c r="C1594" s="5">
        <v>3.1437865351440602E-6</v>
      </c>
    </row>
    <row r="1595" spans="1:3" x14ac:dyDescent="0.2">
      <c r="A1595" s="4" t="s">
        <v>1195</v>
      </c>
      <c r="B1595" s="1">
        <v>110000</v>
      </c>
      <c r="C1595" s="5">
        <v>3.1437865351440602E-6</v>
      </c>
    </row>
    <row r="1596" spans="1:3" x14ac:dyDescent="0.2">
      <c r="A1596" s="4" t="s">
        <v>620</v>
      </c>
      <c r="B1596" s="1">
        <v>109286.5</v>
      </c>
      <c r="C1596" s="5">
        <v>3.1233947924820119E-6</v>
      </c>
    </row>
    <row r="1597" spans="1:3" x14ac:dyDescent="0.2">
      <c r="A1597" s="4" t="s">
        <v>1254</v>
      </c>
      <c r="B1597" s="1">
        <v>109000</v>
      </c>
      <c r="C1597" s="5">
        <v>3.1152066575518413E-6</v>
      </c>
    </row>
    <row r="1598" spans="1:3" x14ac:dyDescent="0.2">
      <c r="A1598" s="4" t="s">
        <v>1606</v>
      </c>
      <c r="B1598" s="1">
        <v>108000</v>
      </c>
      <c r="C1598" s="5">
        <v>3.0866267799596228E-6</v>
      </c>
    </row>
    <row r="1599" spans="1:3" x14ac:dyDescent="0.2">
      <c r="A1599" s="4" t="s">
        <v>1146</v>
      </c>
      <c r="B1599" s="1">
        <v>108000</v>
      </c>
      <c r="C1599" s="5">
        <v>3.0866267799596228E-6</v>
      </c>
    </row>
    <row r="1600" spans="1:3" x14ac:dyDescent="0.2">
      <c r="A1600" s="4" t="s">
        <v>1015</v>
      </c>
      <c r="B1600" s="1">
        <v>107000</v>
      </c>
      <c r="C1600" s="5">
        <v>3.0580469023674038E-6</v>
      </c>
    </row>
    <row r="1601" spans="1:3" x14ac:dyDescent="0.2">
      <c r="A1601" s="4" t="s">
        <v>578</v>
      </c>
      <c r="B1601" s="1">
        <v>106620</v>
      </c>
      <c r="C1601" s="5">
        <v>3.0471865488823607E-6</v>
      </c>
    </row>
    <row r="1602" spans="1:3" x14ac:dyDescent="0.2">
      <c r="A1602" s="4" t="s">
        <v>1430</v>
      </c>
      <c r="B1602" s="1">
        <v>105157</v>
      </c>
      <c r="C1602" s="5">
        <v>3.0053741879649447E-6</v>
      </c>
    </row>
    <row r="1603" spans="1:3" x14ac:dyDescent="0.2">
      <c r="A1603" s="4" t="s">
        <v>1614</v>
      </c>
      <c r="B1603" s="1">
        <v>105000</v>
      </c>
      <c r="C1603" s="5">
        <v>3.0008871471829663E-6</v>
      </c>
    </row>
    <row r="1604" spans="1:3" x14ac:dyDescent="0.2">
      <c r="A1604" s="4" t="s">
        <v>2548</v>
      </c>
      <c r="B1604" s="1">
        <v>103793.2</v>
      </c>
      <c r="C1604" s="5">
        <v>2.9663969509046768E-6</v>
      </c>
    </row>
    <row r="1605" spans="1:3" x14ac:dyDescent="0.2">
      <c r="A1605" s="4" t="s">
        <v>2012</v>
      </c>
      <c r="B1605" s="1">
        <v>103000</v>
      </c>
      <c r="C1605" s="5">
        <v>2.9437273919985288E-6</v>
      </c>
    </row>
    <row r="1606" spans="1:3" x14ac:dyDescent="0.2">
      <c r="A1606" s="4" t="s">
        <v>1842</v>
      </c>
      <c r="B1606" s="1">
        <v>102000</v>
      </c>
      <c r="C1606" s="5">
        <v>2.9151475144063103E-6</v>
      </c>
    </row>
    <row r="1607" spans="1:3" x14ac:dyDescent="0.2">
      <c r="A1607" s="4" t="s">
        <v>585</v>
      </c>
      <c r="B1607" s="1">
        <v>101847</v>
      </c>
      <c r="C1607" s="5">
        <v>2.9107747931347008E-6</v>
      </c>
    </row>
    <row r="1608" spans="1:3" x14ac:dyDescent="0.2">
      <c r="A1608" s="4" t="s">
        <v>2876</v>
      </c>
      <c r="B1608" s="1">
        <v>100000</v>
      </c>
      <c r="C1608" s="5">
        <v>2.8579877592218728E-6</v>
      </c>
    </row>
    <row r="1609" spans="1:3" x14ac:dyDescent="0.2">
      <c r="A1609" s="4" t="s">
        <v>2864</v>
      </c>
      <c r="B1609" s="1">
        <v>100000</v>
      </c>
      <c r="C1609" s="5">
        <v>2.8579877592218728E-6</v>
      </c>
    </row>
    <row r="1610" spans="1:3" x14ac:dyDescent="0.2">
      <c r="A1610" s="4" t="s">
        <v>2881</v>
      </c>
      <c r="B1610" s="1">
        <v>100000</v>
      </c>
      <c r="C1610" s="5">
        <v>2.8579877592218728E-6</v>
      </c>
    </row>
    <row r="1611" spans="1:3" x14ac:dyDescent="0.2">
      <c r="A1611" s="4" t="s">
        <v>2537</v>
      </c>
      <c r="B1611" s="1">
        <v>100000</v>
      </c>
      <c r="C1611" s="5">
        <v>2.8579877592218728E-6</v>
      </c>
    </row>
    <row r="1612" spans="1:3" x14ac:dyDescent="0.2">
      <c r="A1612" s="4" t="s">
        <v>2103</v>
      </c>
      <c r="B1612" s="1">
        <v>100000</v>
      </c>
      <c r="C1612" s="5">
        <v>2.8579877592218728E-6</v>
      </c>
    </row>
    <row r="1613" spans="1:3" x14ac:dyDescent="0.2">
      <c r="A1613" s="4" t="s">
        <v>2131</v>
      </c>
      <c r="B1613" s="1">
        <v>100000</v>
      </c>
      <c r="C1613" s="5">
        <v>2.8579877592218728E-6</v>
      </c>
    </row>
    <row r="1614" spans="1:3" x14ac:dyDescent="0.2">
      <c r="A1614" s="4" t="s">
        <v>2134</v>
      </c>
      <c r="B1614" s="1">
        <v>100000</v>
      </c>
      <c r="C1614" s="5">
        <v>2.8579877592218728E-6</v>
      </c>
    </row>
    <row r="1615" spans="1:3" x14ac:dyDescent="0.2">
      <c r="A1615" s="4" t="s">
        <v>2145</v>
      </c>
      <c r="B1615" s="1">
        <v>100000</v>
      </c>
      <c r="C1615" s="5">
        <v>2.8579877592218728E-6</v>
      </c>
    </row>
    <row r="1616" spans="1:3" x14ac:dyDescent="0.2">
      <c r="A1616" s="4" t="s">
        <v>2056</v>
      </c>
      <c r="B1616" s="1">
        <v>100000</v>
      </c>
      <c r="C1616" s="5">
        <v>2.8579877592218728E-6</v>
      </c>
    </row>
    <row r="1617" spans="1:3" x14ac:dyDescent="0.2">
      <c r="A1617" s="4" t="s">
        <v>2052</v>
      </c>
      <c r="B1617" s="1">
        <v>100000</v>
      </c>
      <c r="C1617" s="5">
        <v>2.8579877592218728E-6</v>
      </c>
    </row>
    <row r="1618" spans="1:3" x14ac:dyDescent="0.2">
      <c r="A1618" s="4" t="s">
        <v>2058</v>
      </c>
      <c r="B1618" s="1">
        <v>100000</v>
      </c>
      <c r="C1618" s="5">
        <v>2.8579877592218728E-6</v>
      </c>
    </row>
    <row r="1619" spans="1:3" x14ac:dyDescent="0.2">
      <c r="A1619" s="4" t="s">
        <v>2035</v>
      </c>
      <c r="B1619" s="1">
        <v>100000</v>
      </c>
      <c r="C1619" s="5">
        <v>2.8579877592218728E-6</v>
      </c>
    </row>
    <row r="1620" spans="1:3" x14ac:dyDescent="0.2">
      <c r="A1620" s="4" t="s">
        <v>1888</v>
      </c>
      <c r="B1620" s="1">
        <v>100000</v>
      </c>
      <c r="C1620" s="5">
        <v>2.8579877592218728E-6</v>
      </c>
    </row>
    <row r="1621" spans="1:3" x14ac:dyDescent="0.2">
      <c r="A1621" s="4" t="s">
        <v>1786</v>
      </c>
      <c r="B1621" s="1">
        <v>100000</v>
      </c>
      <c r="C1621" s="5">
        <v>2.8579877592218728E-6</v>
      </c>
    </row>
    <row r="1622" spans="1:3" x14ac:dyDescent="0.2">
      <c r="A1622" s="4" t="s">
        <v>1649</v>
      </c>
      <c r="B1622" s="1">
        <v>100000</v>
      </c>
      <c r="C1622" s="5">
        <v>2.8579877592218728E-6</v>
      </c>
    </row>
    <row r="1623" spans="1:3" x14ac:dyDescent="0.2">
      <c r="A1623" s="4" t="s">
        <v>1621</v>
      </c>
      <c r="B1623" s="1">
        <v>100000</v>
      </c>
      <c r="C1623" s="5">
        <v>2.8579877592218728E-6</v>
      </c>
    </row>
    <row r="1624" spans="1:3" x14ac:dyDescent="0.2">
      <c r="A1624" s="4" t="s">
        <v>1766</v>
      </c>
      <c r="B1624" s="1">
        <v>100000</v>
      </c>
      <c r="C1624" s="5">
        <v>2.8579877592218728E-6</v>
      </c>
    </row>
    <row r="1625" spans="1:3" x14ac:dyDescent="0.2">
      <c r="A1625" s="4" t="s">
        <v>1739</v>
      </c>
      <c r="B1625" s="1">
        <v>100000</v>
      </c>
      <c r="C1625" s="5">
        <v>2.8579877592218728E-6</v>
      </c>
    </row>
    <row r="1626" spans="1:3" x14ac:dyDescent="0.2">
      <c r="A1626" s="4" t="s">
        <v>1344</v>
      </c>
      <c r="B1626" s="1">
        <v>100000</v>
      </c>
      <c r="C1626" s="5">
        <v>2.8579877592218728E-6</v>
      </c>
    </row>
    <row r="1627" spans="1:3" x14ac:dyDescent="0.2">
      <c r="A1627" s="4" t="s">
        <v>1288</v>
      </c>
      <c r="B1627" s="1">
        <v>100000</v>
      </c>
      <c r="C1627" s="5">
        <v>2.8579877592218728E-6</v>
      </c>
    </row>
    <row r="1628" spans="1:3" x14ac:dyDescent="0.2">
      <c r="A1628" s="4" t="s">
        <v>1245</v>
      </c>
      <c r="B1628" s="1">
        <v>100000</v>
      </c>
      <c r="C1628" s="5">
        <v>2.8579877592218728E-6</v>
      </c>
    </row>
    <row r="1629" spans="1:3" x14ac:dyDescent="0.2">
      <c r="A1629" s="4" t="s">
        <v>1212</v>
      </c>
      <c r="B1629" s="1">
        <v>100000</v>
      </c>
      <c r="C1629" s="5">
        <v>2.8579877592218728E-6</v>
      </c>
    </row>
    <row r="1630" spans="1:3" x14ac:dyDescent="0.2">
      <c r="A1630" s="4" t="s">
        <v>1030</v>
      </c>
      <c r="B1630" s="1">
        <v>100000</v>
      </c>
      <c r="C1630" s="5">
        <v>2.8579877592218728E-6</v>
      </c>
    </row>
    <row r="1631" spans="1:3" x14ac:dyDescent="0.2">
      <c r="A1631" s="4" t="s">
        <v>1138</v>
      </c>
      <c r="B1631" s="1">
        <v>100000</v>
      </c>
      <c r="C1631" s="5">
        <v>2.8579877592218728E-6</v>
      </c>
    </row>
    <row r="1632" spans="1:3" x14ac:dyDescent="0.2">
      <c r="A1632" s="4" t="s">
        <v>1218</v>
      </c>
      <c r="B1632" s="1">
        <v>100000</v>
      </c>
      <c r="C1632" s="5">
        <v>2.8579877592218728E-6</v>
      </c>
    </row>
    <row r="1633" spans="1:3" x14ac:dyDescent="0.2">
      <c r="A1633" s="4" t="s">
        <v>982</v>
      </c>
      <c r="B1633" s="1">
        <v>100000</v>
      </c>
      <c r="C1633" s="5">
        <v>2.8579877592218728E-6</v>
      </c>
    </row>
    <row r="1634" spans="1:3" x14ac:dyDescent="0.2">
      <c r="A1634" s="4" t="s">
        <v>552</v>
      </c>
      <c r="B1634" s="1">
        <v>100000</v>
      </c>
      <c r="C1634" s="5">
        <v>2.8579877592218728E-6</v>
      </c>
    </row>
    <row r="1635" spans="1:3" x14ac:dyDescent="0.2">
      <c r="A1635" s="4" t="s">
        <v>473</v>
      </c>
      <c r="B1635" s="1">
        <v>99723.8</v>
      </c>
      <c r="C1635" s="5">
        <v>2.8500939970309021E-6</v>
      </c>
    </row>
    <row r="1636" spans="1:3" x14ac:dyDescent="0.2">
      <c r="A1636" s="4" t="s">
        <v>2112</v>
      </c>
      <c r="B1636" s="1">
        <v>99656.2</v>
      </c>
      <c r="C1636" s="5">
        <v>2.8481619973056677E-6</v>
      </c>
    </row>
    <row r="1637" spans="1:3" x14ac:dyDescent="0.2">
      <c r="A1637" s="4" t="s">
        <v>479</v>
      </c>
      <c r="B1637" s="1">
        <v>99600</v>
      </c>
      <c r="C1637" s="5">
        <v>2.8465558081849854E-6</v>
      </c>
    </row>
    <row r="1638" spans="1:3" x14ac:dyDescent="0.2">
      <c r="A1638" s="4" t="s">
        <v>244</v>
      </c>
      <c r="B1638" s="1">
        <v>98600</v>
      </c>
      <c r="C1638" s="5">
        <v>2.8179759305927665E-6</v>
      </c>
    </row>
    <row r="1639" spans="1:3" x14ac:dyDescent="0.2">
      <c r="A1639" s="4" t="s">
        <v>1626</v>
      </c>
      <c r="B1639" s="1">
        <v>98489</v>
      </c>
      <c r="C1639" s="5">
        <v>2.8148035641800304E-6</v>
      </c>
    </row>
    <row r="1640" spans="1:3" x14ac:dyDescent="0.2">
      <c r="A1640" s="4" t="s">
        <v>1023</v>
      </c>
      <c r="B1640" s="1">
        <v>97810</v>
      </c>
      <c r="C1640" s="5">
        <v>2.7953978272949138E-6</v>
      </c>
    </row>
    <row r="1641" spans="1:3" x14ac:dyDescent="0.2">
      <c r="A1641" s="4" t="s">
        <v>73</v>
      </c>
      <c r="B1641" s="1">
        <v>97032</v>
      </c>
      <c r="C1641" s="5">
        <v>2.7731626825281677E-6</v>
      </c>
    </row>
    <row r="1642" spans="1:3" x14ac:dyDescent="0.2">
      <c r="A1642" s="4" t="s">
        <v>1250</v>
      </c>
      <c r="B1642" s="1">
        <v>97000</v>
      </c>
      <c r="C1642" s="5">
        <v>2.7722481264452168E-6</v>
      </c>
    </row>
    <row r="1643" spans="1:3" x14ac:dyDescent="0.2">
      <c r="A1643" s="4" t="s">
        <v>2875</v>
      </c>
      <c r="B1643" s="1">
        <v>96283.7</v>
      </c>
      <c r="C1643" s="5">
        <v>2.7517763601259105E-6</v>
      </c>
    </row>
    <row r="1644" spans="1:3" x14ac:dyDescent="0.2">
      <c r="A1644" s="4" t="s">
        <v>2004</v>
      </c>
      <c r="B1644" s="1">
        <v>95000</v>
      </c>
      <c r="C1644" s="5">
        <v>2.7150883712607793E-6</v>
      </c>
    </row>
    <row r="1645" spans="1:3" x14ac:dyDescent="0.2">
      <c r="A1645" s="4" t="s">
        <v>1542</v>
      </c>
      <c r="B1645" s="1">
        <v>95000</v>
      </c>
      <c r="C1645" s="5">
        <v>2.7150883712607793E-6</v>
      </c>
    </row>
    <row r="1646" spans="1:3" x14ac:dyDescent="0.2">
      <c r="A1646" s="4" t="s">
        <v>1232</v>
      </c>
      <c r="B1646" s="1">
        <v>95000</v>
      </c>
      <c r="C1646" s="5">
        <v>2.7150883712607793E-6</v>
      </c>
    </row>
    <row r="1647" spans="1:3" x14ac:dyDescent="0.2">
      <c r="A1647" s="4" t="s">
        <v>1350</v>
      </c>
      <c r="B1647" s="1">
        <v>95000</v>
      </c>
      <c r="C1647" s="5">
        <v>2.7150883712607793E-6</v>
      </c>
    </row>
    <row r="1648" spans="1:3" x14ac:dyDescent="0.2">
      <c r="A1648" s="4" t="s">
        <v>30</v>
      </c>
      <c r="B1648" s="1">
        <v>94950</v>
      </c>
      <c r="C1648" s="5">
        <v>2.7136593773811681E-6</v>
      </c>
    </row>
    <row r="1649" spans="1:3" x14ac:dyDescent="0.2">
      <c r="A1649" s="4" t="s">
        <v>278</v>
      </c>
      <c r="B1649" s="1">
        <v>93088.8</v>
      </c>
      <c r="C1649" s="5">
        <v>2.6604665092065309E-6</v>
      </c>
    </row>
    <row r="1650" spans="1:3" x14ac:dyDescent="0.2">
      <c r="A1650" s="4" t="s">
        <v>1115</v>
      </c>
      <c r="B1650" s="1">
        <v>93000</v>
      </c>
      <c r="C1650" s="5">
        <v>2.6579286160763418E-6</v>
      </c>
    </row>
    <row r="1651" spans="1:3" x14ac:dyDescent="0.2">
      <c r="A1651" s="4" t="s">
        <v>1141</v>
      </c>
      <c r="B1651" s="1">
        <v>93000</v>
      </c>
      <c r="C1651" s="5">
        <v>2.6579286160763418E-6</v>
      </c>
    </row>
    <row r="1652" spans="1:3" x14ac:dyDescent="0.2">
      <c r="A1652" s="4" t="s">
        <v>1588</v>
      </c>
      <c r="B1652" s="1">
        <v>92891</v>
      </c>
      <c r="C1652" s="5">
        <v>2.6548134094187898E-6</v>
      </c>
    </row>
    <row r="1653" spans="1:3" x14ac:dyDescent="0.2">
      <c r="A1653" s="4" t="s">
        <v>1843</v>
      </c>
      <c r="B1653" s="1">
        <v>92257</v>
      </c>
      <c r="C1653" s="5">
        <v>2.6366937670253234E-6</v>
      </c>
    </row>
    <row r="1654" spans="1:3" x14ac:dyDescent="0.2">
      <c r="A1654" s="4" t="s">
        <v>1655</v>
      </c>
      <c r="B1654" s="1">
        <v>91750</v>
      </c>
      <c r="C1654" s="5">
        <v>2.6222037690860684E-6</v>
      </c>
    </row>
    <row r="1655" spans="1:3" x14ac:dyDescent="0.2">
      <c r="A1655" s="4" t="s">
        <v>2486</v>
      </c>
      <c r="B1655" s="1">
        <v>91000</v>
      </c>
      <c r="C1655" s="5">
        <v>2.6007688608919044E-6</v>
      </c>
    </row>
    <row r="1656" spans="1:3" x14ac:dyDescent="0.2">
      <c r="A1656" s="4" t="s">
        <v>1829</v>
      </c>
      <c r="B1656" s="1">
        <v>91000</v>
      </c>
      <c r="C1656" s="5">
        <v>2.6007688608919044E-6</v>
      </c>
    </row>
    <row r="1657" spans="1:3" x14ac:dyDescent="0.2">
      <c r="A1657" s="4" t="s">
        <v>2595</v>
      </c>
      <c r="B1657" s="1">
        <v>90750</v>
      </c>
      <c r="C1657" s="5">
        <v>2.5936238914938494E-6</v>
      </c>
    </row>
    <row r="1658" spans="1:3" x14ac:dyDescent="0.2">
      <c r="A1658" s="4" t="s">
        <v>1568</v>
      </c>
      <c r="B1658" s="1">
        <v>90043.199999999997</v>
      </c>
      <c r="C1658" s="5">
        <v>2.5734236340116693E-6</v>
      </c>
    </row>
    <row r="1659" spans="1:3" x14ac:dyDescent="0.2">
      <c r="A1659" s="4" t="s">
        <v>1924</v>
      </c>
      <c r="B1659" s="1">
        <v>90000</v>
      </c>
      <c r="C1659" s="5">
        <v>2.5721889832996854E-6</v>
      </c>
    </row>
    <row r="1660" spans="1:3" x14ac:dyDescent="0.2">
      <c r="A1660" s="4" t="s">
        <v>1276</v>
      </c>
      <c r="B1660" s="1">
        <v>89000</v>
      </c>
      <c r="C1660" s="5">
        <v>2.5436091057074669E-6</v>
      </c>
    </row>
    <row r="1661" spans="1:3" x14ac:dyDescent="0.2">
      <c r="A1661" s="4" t="s">
        <v>2162</v>
      </c>
      <c r="B1661" s="1">
        <v>88913.1</v>
      </c>
      <c r="C1661" s="5">
        <v>2.5411255143447032E-6</v>
      </c>
    </row>
    <row r="1662" spans="1:3" x14ac:dyDescent="0.2">
      <c r="A1662" s="4" t="s">
        <v>247</v>
      </c>
      <c r="B1662" s="1">
        <v>87602.6</v>
      </c>
      <c r="C1662" s="5">
        <v>2.5036715847601004E-6</v>
      </c>
    </row>
    <row r="1663" spans="1:3" x14ac:dyDescent="0.2">
      <c r="A1663" s="4" t="s">
        <v>2076</v>
      </c>
      <c r="B1663" s="1">
        <v>87010</v>
      </c>
      <c r="C1663" s="5">
        <v>2.4867351492989516E-6</v>
      </c>
    </row>
    <row r="1664" spans="1:3" x14ac:dyDescent="0.2">
      <c r="A1664" s="4" t="s">
        <v>1204</v>
      </c>
      <c r="B1664" s="1">
        <v>87000</v>
      </c>
      <c r="C1664" s="5">
        <v>2.4864493505230294E-6</v>
      </c>
    </row>
    <row r="1665" spans="1:3" x14ac:dyDescent="0.2">
      <c r="A1665" s="4" t="s">
        <v>2858</v>
      </c>
      <c r="B1665" s="1">
        <v>86356.5</v>
      </c>
      <c r="C1665" s="5">
        <v>2.4680581992924367E-6</v>
      </c>
    </row>
    <row r="1666" spans="1:3" x14ac:dyDescent="0.2">
      <c r="A1666" s="4" t="s">
        <v>2063</v>
      </c>
      <c r="B1666" s="1">
        <v>86289</v>
      </c>
      <c r="C1666" s="5">
        <v>2.4661290575549618E-6</v>
      </c>
    </row>
    <row r="1667" spans="1:3" x14ac:dyDescent="0.2">
      <c r="A1667" s="4" t="s">
        <v>1841</v>
      </c>
      <c r="B1667" s="1">
        <v>85000</v>
      </c>
      <c r="C1667" s="5">
        <v>2.4292895953385919E-6</v>
      </c>
    </row>
    <row r="1668" spans="1:3" x14ac:dyDescent="0.2">
      <c r="A1668" s="4" t="s">
        <v>1307</v>
      </c>
      <c r="B1668" s="1">
        <v>85000</v>
      </c>
      <c r="C1668" s="5">
        <v>2.4292895953385919E-6</v>
      </c>
    </row>
    <row r="1669" spans="1:3" x14ac:dyDescent="0.2">
      <c r="A1669" s="4" t="s">
        <v>1314</v>
      </c>
      <c r="B1669" s="1">
        <v>85000</v>
      </c>
      <c r="C1669" s="5">
        <v>2.4292895953385919E-6</v>
      </c>
    </row>
    <row r="1670" spans="1:3" x14ac:dyDescent="0.2">
      <c r="A1670" s="4" t="s">
        <v>1359</v>
      </c>
      <c r="B1670" s="1">
        <v>85000</v>
      </c>
      <c r="C1670" s="5">
        <v>2.4292895953385919E-6</v>
      </c>
    </row>
    <row r="1671" spans="1:3" x14ac:dyDescent="0.2">
      <c r="A1671" s="4" t="s">
        <v>1260</v>
      </c>
      <c r="B1671" s="1">
        <v>85000</v>
      </c>
      <c r="C1671" s="5">
        <v>2.4292895953385919E-6</v>
      </c>
    </row>
    <row r="1672" spans="1:3" x14ac:dyDescent="0.2">
      <c r="A1672" s="4" t="s">
        <v>1331</v>
      </c>
      <c r="B1672" s="1">
        <v>85000</v>
      </c>
      <c r="C1672" s="5">
        <v>2.4292895953385919E-6</v>
      </c>
    </row>
    <row r="1673" spans="1:3" x14ac:dyDescent="0.2">
      <c r="A1673" s="4" t="s">
        <v>1231</v>
      </c>
      <c r="B1673" s="1">
        <v>85000</v>
      </c>
      <c r="C1673" s="5">
        <v>2.4292895953385919E-6</v>
      </c>
    </row>
    <row r="1674" spans="1:3" x14ac:dyDescent="0.2">
      <c r="A1674" s="4" t="s">
        <v>1211</v>
      </c>
      <c r="B1674" s="1">
        <v>85000</v>
      </c>
      <c r="C1674" s="5">
        <v>2.4292895953385919E-6</v>
      </c>
    </row>
    <row r="1675" spans="1:3" x14ac:dyDescent="0.2">
      <c r="A1675" s="4" t="s">
        <v>240</v>
      </c>
      <c r="B1675" s="1">
        <v>83688</v>
      </c>
      <c r="C1675" s="5">
        <v>2.391792795937601E-6</v>
      </c>
    </row>
    <row r="1676" spans="1:3" x14ac:dyDescent="0.2">
      <c r="A1676" s="4" t="s">
        <v>467</v>
      </c>
      <c r="B1676" s="1">
        <v>83565.2</v>
      </c>
      <c r="C1676" s="5">
        <v>2.3882831869692762E-6</v>
      </c>
    </row>
    <row r="1677" spans="1:3" x14ac:dyDescent="0.2">
      <c r="A1677" s="4" t="s">
        <v>2892</v>
      </c>
      <c r="B1677" s="1">
        <v>82215</v>
      </c>
      <c r="C1677" s="5">
        <v>2.3496946362442629E-6</v>
      </c>
    </row>
    <row r="1678" spans="1:3" x14ac:dyDescent="0.2">
      <c r="A1678" s="4" t="s">
        <v>2483</v>
      </c>
      <c r="B1678" s="1">
        <v>82121.2</v>
      </c>
      <c r="C1678" s="5">
        <v>2.3470138437261127E-6</v>
      </c>
    </row>
    <row r="1679" spans="1:3" x14ac:dyDescent="0.2">
      <c r="A1679" s="4" t="s">
        <v>2026</v>
      </c>
      <c r="B1679" s="1">
        <v>82000</v>
      </c>
      <c r="C1679" s="5">
        <v>2.3435499625619359E-6</v>
      </c>
    </row>
    <row r="1680" spans="1:3" x14ac:dyDescent="0.2">
      <c r="A1680" s="4" t="s">
        <v>2491</v>
      </c>
      <c r="B1680" s="1">
        <v>81000</v>
      </c>
      <c r="C1680" s="5">
        <v>2.314970084969717E-6</v>
      </c>
    </row>
    <row r="1681" spans="1:3" x14ac:dyDescent="0.2">
      <c r="A1681" s="4" t="s">
        <v>2196</v>
      </c>
      <c r="B1681" s="1">
        <v>81000</v>
      </c>
      <c r="C1681" s="5">
        <v>2.314970084969717E-6</v>
      </c>
    </row>
    <row r="1682" spans="1:3" x14ac:dyDescent="0.2">
      <c r="A1682" s="4" t="s">
        <v>2016</v>
      </c>
      <c r="B1682" s="1">
        <v>81000</v>
      </c>
      <c r="C1682" s="5">
        <v>2.314970084969717E-6</v>
      </c>
    </row>
    <row r="1683" spans="1:3" x14ac:dyDescent="0.2">
      <c r="A1683" s="4" t="s">
        <v>2494</v>
      </c>
      <c r="B1683" s="1">
        <v>80000</v>
      </c>
      <c r="C1683" s="5">
        <v>2.2863902073774984E-6</v>
      </c>
    </row>
    <row r="1684" spans="1:3" x14ac:dyDescent="0.2">
      <c r="A1684" s="4" t="s">
        <v>2100</v>
      </c>
      <c r="B1684" s="1">
        <v>80000</v>
      </c>
      <c r="C1684" s="5">
        <v>2.2863902073774984E-6</v>
      </c>
    </row>
    <row r="1685" spans="1:3" x14ac:dyDescent="0.2">
      <c r="A1685" s="4" t="s">
        <v>2027</v>
      </c>
      <c r="B1685" s="1">
        <v>80000</v>
      </c>
      <c r="C1685" s="5">
        <v>2.2863902073774984E-6</v>
      </c>
    </row>
    <row r="1686" spans="1:3" x14ac:dyDescent="0.2">
      <c r="A1686" s="4" t="s">
        <v>1951</v>
      </c>
      <c r="B1686" s="1">
        <v>80000</v>
      </c>
      <c r="C1686" s="5">
        <v>2.2863902073774984E-6</v>
      </c>
    </row>
    <row r="1687" spans="1:3" x14ac:dyDescent="0.2">
      <c r="A1687" s="4" t="s">
        <v>1741</v>
      </c>
      <c r="B1687" s="1">
        <v>80000</v>
      </c>
      <c r="C1687" s="5">
        <v>2.2863902073774984E-6</v>
      </c>
    </row>
    <row r="1688" spans="1:3" x14ac:dyDescent="0.2">
      <c r="A1688" s="4" t="s">
        <v>1480</v>
      </c>
      <c r="B1688" s="1">
        <v>80000</v>
      </c>
      <c r="C1688" s="5">
        <v>2.2863902073774984E-6</v>
      </c>
    </row>
    <row r="1689" spans="1:3" x14ac:dyDescent="0.2">
      <c r="A1689" s="4" t="s">
        <v>1446</v>
      </c>
      <c r="B1689" s="1">
        <v>80000</v>
      </c>
      <c r="C1689" s="5">
        <v>2.2863902073774984E-6</v>
      </c>
    </row>
    <row r="1690" spans="1:3" x14ac:dyDescent="0.2">
      <c r="A1690" s="4" t="s">
        <v>1184</v>
      </c>
      <c r="B1690" s="1">
        <v>80000</v>
      </c>
      <c r="C1690" s="5">
        <v>2.2863902073774984E-6</v>
      </c>
    </row>
    <row r="1691" spans="1:3" x14ac:dyDescent="0.2">
      <c r="A1691" s="4" t="s">
        <v>1012</v>
      </c>
      <c r="B1691" s="1">
        <v>80000</v>
      </c>
      <c r="C1691" s="5">
        <v>2.2863902073774984E-6</v>
      </c>
    </row>
    <row r="1692" spans="1:3" x14ac:dyDescent="0.2">
      <c r="A1692" s="4" t="s">
        <v>1137</v>
      </c>
      <c r="B1692" s="1">
        <v>80000</v>
      </c>
      <c r="C1692" s="5">
        <v>2.2863902073774984E-6</v>
      </c>
    </row>
    <row r="1693" spans="1:3" x14ac:dyDescent="0.2">
      <c r="A1693" s="4" t="s">
        <v>2562</v>
      </c>
      <c r="B1693" s="1">
        <v>79800</v>
      </c>
      <c r="C1693" s="5">
        <v>2.2806742318590543E-6</v>
      </c>
    </row>
    <row r="1694" spans="1:3" x14ac:dyDescent="0.2">
      <c r="A1694" s="4" t="s">
        <v>1256</v>
      </c>
      <c r="B1694" s="1">
        <v>78000</v>
      </c>
      <c r="C1694" s="5">
        <v>2.2292304521930609E-6</v>
      </c>
    </row>
    <row r="1695" spans="1:3" x14ac:dyDescent="0.2">
      <c r="A1695" s="4" t="s">
        <v>1408</v>
      </c>
      <c r="B1695" s="1">
        <v>76400</v>
      </c>
      <c r="C1695" s="5">
        <v>2.1835026480455109E-6</v>
      </c>
    </row>
    <row r="1696" spans="1:3" x14ac:dyDescent="0.2">
      <c r="A1696" s="4" t="s">
        <v>1855</v>
      </c>
      <c r="B1696" s="1">
        <v>76000</v>
      </c>
      <c r="C1696" s="5">
        <v>2.1720706970086235E-6</v>
      </c>
    </row>
    <row r="1697" spans="1:3" x14ac:dyDescent="0.2">
      <c r="A1697" s="4" t="s">
        <v>517</v>
      </c>
      <c r="B1697" s="1">
        <v>75059.7</v>
      </c>
      <c r="C1697" s="5">
        <v>2.1451970381086598E-6</v>
      </c>
    </row>
    <row r="1698" spans="1:3" x14ac:dyDescent="0.2">
      <c r="A1698" s="4" t="s">
        <v>2657</v>
      </c>
      <c r="B1698" s="1">
        <v>75000</v>
      </c>
      <c r="C1698" s="5">
        <v>2.1434908194164045E-6</v>
      </c>
    </row>
    <row r="1699" spans="1:3" x14ac:dyDescent="0.2">
      <c r="A1699" s="4" t="s">
        <v>2656</v>
      </c>
      <c r="B1699" s="1">
        <v>75000</v>
      </c>
      <c r="C1699" s="5">
        <v>2.1434908194164045E-6</v>
      </c>
    </row>
    <row r="1700" spans="1:3" x14ac:dyDescent="0.2">
      <c r="A1700" s="4" t="s">
        <v>2529</v>
      </c>
      <c r="B1700" s="1">
        <v>75000</v>
      </c>
      <c r="C1700" s="5">
        <v>2.1434908194164045E-6</v>
      </c>
    </row>
    <row r="1701" spans="1:3" x14ac:dyDescent="0.2">
      <c r="A1701" s="4" t="s">
        <v>2133</v>
      </c>
      <c r="B1701" s="1">
        <v>75000</v>
      </c>
      <c r="C1701" s="5">
        <v>2.1434908194164045E-6</v>
      </c>
    </row>
    <row r="1702" spans="1:3" x14ac:dyDescent="0.2">
      <c r="A1702" s="4" t="s">
        <v>1647</v>
      </c>
      <c r="B1702" s="1">
        <v>75000</v>
      </c>
      <c r="C1702" s="5">
        <v>2.1434908194164045E-6</v>
      </c>
    </row>
    <row r="1703" spans="1:3" x14ac:dyDescent="0.2">
      <c r="A1703" s="4" t="s">
        <v>1646</v>
      </c>
      <c r="B1703" s="1">
        <v>75000</v>
      </c>
      <c r="C1703" s="5">
        <v>2.1434908194164045E-6</v>
      </c>
    </row>
    <row r="1704" spans="1:3" x14ac:dyDescent="0.2">
      <c r="A1704" s="4" t="s">
        <v>1671</v>
      </c>
      <c r="B1704" s="1">
        <v>75000</v>
      </c>
      <c r="C1704" s="5">
        <v>2.1434908194164045E-6</v>
      </c>
    </row>
    <row r="1705" spans="1:3" x14ac:dyDescent="0.2">
      <c r="A1705" s="4" t="s">
        <v>1284</v>
      </c>
      <c r="B1705" s="1">
        <v>75000</v>
      </c>
      <c r="C1705" s="5">
        <v>2.1434908194164045E-6</v>
      </c>
    </row>
    <row r="1706" spans="1:3" x14ac:dyDescent="0.2">
      <c r="A1706" s="4" t="s">
        <v>1323</v>
      </c>
      <c r="B1706" s="1">
        <v>75000</v>
      </c>
      <c r="C1706" s="5">
        <v>2.1434908194164045E-6</v>
      </c>
    </row>
    <row r="1707" spans="1:3" x14ac:dyDescent="0.2">
      <c r="A1707" s="4" t="s">
        <v>1194</v>
      </c>
      <c r="B1707" s="1">
        <v>75000</v>
      </c>
      <c r="C1707" s="5">
        <v>2.1434908194164045E-6</v>
      </c>
    </row>
    <row r="1708" spans="1:3" x14ac:dyDescent="0.2">
      <c r="A1708" s="4" t="s">
        <v>1157</v>
      </c>
      <c r="B1708" s="1">
        <v>75000</v>
      </c>
      <c r="C1708" s="5">
        <v>2.1434908194164045E-6</v>
      </c>
    </row>
    <row r="1709" spans="1:3" x14ac:dyDescent="0.2">
      <c r="A1709" s="4" t="s">
        <v>2125</v>
      </c>
      <c r="B1709" s="1">
        <v>74778</v>
      </c>
      <c r="C1709" s="5">
        <v>2.137146086590932E-6</v>
      </c>
    </row>
    <row r="1710" spans="1:3" x14ac:dyDescent="0.2">
      <c r="A1710" s="4" t="s">
        <v>1883</v>
      </c>
      <c r="B1710" s="1">
        <v>74000</v>
      </c>
      <c r="C1710" s="5">
        <v>2.114910941824186E-6</v>
      </c>
    </row>
    <row r="1711" spans="1:3" x14ac:dyDescent="0.2">
      <c r="A1711" s="4" t="s">
        <v>251</v>
      </c>
      <c r="B1711" s="1">
        <v>73600</v>
      </c>
      <c r="C1711" s="5">
        <v>2.1034789907872986E-6</v>
      </c>
    </row>
    <row r="1712" spans="1:3" x14ac:dyDescent="0.2">
      <c r="A1712" s="4" t="s">
        <v>1171</v>
      </c>
      <c r="B1712" s="1">
        <v>72027.899999999994</v>
      </c>
      <c r="C1712" s="5">
        <v>2.058548565224571E-6</v>
      </c>
    </row>
    <row r="1713" spans="1:3" x14ac:dyDescent="0.2">
      <c r="A1713" s="4" t="s">
        <v>2861</v>
      </c>
      <c r="B1713" s="1">
        <v>72000</v>
      </c>
      <c r="C1713" s="5">
        <v>2.0577511866397485E-6</v>
      </c>
    </row>
    <row r="1714" spans="1:3" x14ac:dyDescent="0.2">
      <c r="A1714" s="4" t="s">
        <v>2526</v>
      </c>
      <c r="B1714" s="1">
        <v>71000</v>
      </c>
      <c r="C1714" s="5">
        <v>2.0291713090475295E-6</v>
      </c>
    </row>
    <row r="1715" spans="1:3" x14ac:dyDescent="0.2">
      <c r="A1715" s="4" t="s">
        <v>593</v>
      </c>
      <c r="B1715" s="1">
        <v>70605</v>
      </c>
      <c r="C1715" s="5">
        <v>2.0178822573986032E-6</v>
      </c>
    </row>
    <row r="1716" spans="1:3" x14ac:dyDescent="0.2">
      <c r="A1716" s="4" t="s">
        <v>2522</v>
      </c>
      <c r="B1716" s="1">
        <v>70000</v>
      </c>
      <c r="C1716" s="5">
        <v>2.000591431455311E-6</v>
      </c>
    </row>
    <row r="1717" spans="1:3" x14ac:dyDescent="0.2">
      <c r="A1717" s="4" t="s">
        <v>2059</v>
      </c>
      <c r="B1717" s="1">
        <v>70000</v>
      </c>
      <c r="C1717" s="5">
        <v>2.000591431455311E-6</v>
      </c>
    </row>
    <row r="1718" spans="1:3" x14ac:dyDescent="0.2">
      <c r="A1718" s="4" t="s">
        <v>1508</v>
      </c>
      <c r="B1718" s="1">
        <v>70000</v>
      </c>
      <c r="C1718" s="5">
        <v>2.000591431455311E-6</v>
      </c>
    </row>
    <row r="1719" spans="1:3" x14ac:dyDescent="0.2">
      <c r="A1719" s="4" t="s">
        <v>386</v>
      </c>
      <c r="B1719" s="1">
        <v>69750</v>
      </c>
      <c r="C1719" s="5">
        <v>1.9934464620572565E-6</v>
      </c>
    </row>
    <row r="1720" spans="1:3" x14ac:dyDescent="0.2">
      <c r="A1720" s="4" t="s">
        <v>108</v>
      </c>
      <c r="B1720" s="1">
        <v>69423.8</v>
      </c>
      <c r="C1720" s="5">
        <v>1.9841237059866745E-6</v>
      </c>
    </row>
    <row r="1721" spans="1:3" x14ac:dyDescent="0.2">
      <c r="A1721" s="4" t="s">
        <v>1416</v>
      </c>
      <c r="B1721" s="1">
        <v>68296.2</v>
      </c>
      <c r="C1721" s="5">
        <v>1.9518970360136886E-6</v>
      </c>
    </row>
    <row r="1722" spans="1:3" x14ac:dyDescent="0.2">
      <c r="A1722" s="4" t="s">
        <v>1865</v>
      </c>
      <c r="B1722" s="1">
        <v>68000</v>
      </c>
      <c r="C1722" s="5">
        <v>1.9434316762708735E-6</v>
      </c>
    </row>
    <row r="1723" spans="1:3" x14ac:dyDescent="0.2">
      <c r="A1723" s="4" t="s">
        <v>1312</v>
      </c>
      <c r="B1723" s="1">
        <v>67500</v>
      </c>
      <c r="C1723" s="5">
        <v>1.9291417374747641E-6</v>
      </c>
    </row>
    <row r="1724" spans="1:3" x14ac:dyDescent="0.2">
      <c r="A1724" s="4" t="s">
        <v>1504</v>
      </c>
      <c r="B1724" s="1">
        <v>66699.8</v>
      </c>
      <c r="C1724" s="5">
        <v>1.9062721194254708E-6</v>
      </c>
    </row>
    <row r="1725" spans="1:3" x14ac:dyDescent="0.2">
      <c r="A1725" s="4" t="s">
        <v>1363</v>
      </c>
      <c r="B1725" s="1">
        <v>66666</v>
      </c>
      <c r="C1725" s="5">
        <v>1.9053061195628537E-6</v>
      </c>
    </row>
    <row r="1726" spans="1:3" x14ac:dyDescent="0.2">
      <c r="A1726" s="4" t="s">
        <v>1362</v>
      </c>
      <c r="B1726" s="1">
        <v>66666</v>
      </c>
      <c r="C1726" s="5">
        <v>1.9053061195628537E-6</v>
      </c>
    </row>
    <row r="1727" spans="1:3" x14ac:dyDescent="0.2">
      <c r="A1727" s="4" t="s">
        <v>461</v>
      </c>
      <c r="B1727" s="1">
        <v>66560.3</v>
      </c>
      <c r="C1727" s="5">
        <v>1.9022852265013562E-6</v>
      </c>
    </row>
    <row r="1728" spans="1:3" x14ac:dyDescent="0.2">
      <c r="A1728" s="4" t="s">
        <v>449</v>
      </c>
      <c r="B1728" s="1">
        <v>65750</v>
      </c>
      <c r="C1728" s="5">
        <v>1.8791269516883813E-6</v>
      </c>
    </row>
    <row r="1729" spans="1:3" x14ac:dyDescent="0.2">
      <c r="A1729" s="4" t="s">
        <v>1572</v>
      </c>
      <c r="B1729" s="1">
        <v>65272</v>
      </c>
      <c r="C1729" s="5">
        <v>1.8654657701993008E-6</v>
      </c>
    </row>
    <row r="1730" spans="1:3" x14ac:dyDescent="0.2">
      <c r="A1730" s="4" t="s">
        <v>2856</v>
      </c>
      <c r="B1730" s="1">
        <v>65000</v>
      </c>
      <c r="C1730" s="5">
        <v>1.8576920434942173E-6</v>
      </c>
    </row>
    <row r="1731" spans="1:3" x14ac:dyDescent="0.2">
      <c r="A1731" s="4" t="s">
        <v>2061</v>
      </c>
      <c r="B1731" s="1">
        <v>65000</v>
      </c>
      <c r="C1731" s="5">
        <v>1.8576920434942173E-6</v>
      </c>
    </row>
    <row r="1732" spans="1:3" x14ac:dyDescent="0.2">
      <c r="A1732" s="4" t="s">
        <v>1114</v>
      </c>
      <c r="B1732" s="1">
        <v>65000</v>
      </c>
      <c r="C1732" s="5">
        <v>1.8576920434942173E-6</v>
      </c>
    </row>
    <row r="1733" spans="1:3" x14ac:dyDescent="0.2">
      <c r="A1733" s="4" t="s">
        <v>1134</v>
      </c>
      <c r="B1733" s="1">
        <v>65000</v>
      </c>
      <c r="C1733" s="5">
        <v>1.8576920434942173E-6</v>
      </c>
    </row>
    <row r="1734" spans="1:3" x14ac:dyDescent="0.2">
      <c r="A1734" s="4" t="s">
        <v>2263</v>
      </c>
      <c r="B1734" s="1">
        <v>64495</v>
      </c>
      <c r="C1734" s="5">
        <v>1.843259205310147E-6</v>
      </c>
    </row>
    <row r="1735" spans="1:3" x14ac:dyDescent="0.2">
      <c r="A1735" s="4" t="s">
        <v>1790</v>
      </c>
      <c r="B1735" s="1">
        <v>63044</v>
      </c>
      <c r="C1735" s="5">
        <v>1.8017898029238376E-6</v>
      </c>
    </row>
    <row r="1736" spans="1:3" x14ac:dyDescent="0.2">
      <c r="A1736" s="4" t="s">
        <v>2066</v>
      </c>
      <c r="B1736" s="1">
        <v>63000</v>
      </c>
      <c r="C1736" s="5">
        <v>1.8005322883097798E-6</v>
      </c>
    </row>
    <row r="1737" spans="1:3" x14ac:dyDescent="0.2">
      <c r="A1737" s="4" t="s">
        <v>2591</v>
      </c>
      <c r="B1737" s="1">
        <v>62871</v>
      </c>
      <c r="C1737" s="5">
        <v>1.7968454841003837E-6</v>
      </c>
    </row>
    <row r="1738" spans="1:3" x14ac:dyDescent="0.2">
      <c r="A1738" s="4" t="s">
        <v>1561</v>
      </c>
      <c r="B1738" s="1">
        <v>61177</v>
      </c>
      <c r="C1738" s="5">
        <v>1.7484311714591651E-6</v>
      </c>
    </row>
    <row r="1739" spans="1:3" x14ac:dyDescent="0.2">
      <c r="A1739" s="4" t="s">
        <v>2461</v>
      </c>
      <c r="B1739" s="1">
        <v>60000</v>
      </c>
      <c r="C1739" s="5">
        <v>1.7147926555331236E-6</v>
      </c>
    </row>
    <row r="1740" spans="1:3" x14ac:dyDescent="0.2">
      <c r="A1740" s="4" t="s">
        <v>2512</v>
      </c>
      <c r="B1740" s="1">
        <v>60000</v>
      </c>
      <c r="C1740" s="5">
        <v>1.7147926555331236E-6</v>
      </c>
    </row>
    <row r="1741" spans="1:3" x14ac:dyDescent="0.2">
      <c r="A1741" s="4" t="s">
        <v>2140</v>
      </c>
      <c r="B1741" s="1">
        <v>60000</v>
      </c>
      <c r="C1741" s="5">
        <v>1.7147926555331236E-6</v>
      </c>
    </row>
    <row r="1742" spans="1:3" x14ac:dyDescent="0.2">
      <c r="A1742" s="4" t="s">
        <v>1704</v>
      </c>
      <c r="B1742" s="1">
        <v>60000</v>
      </c>
      <c r="C1742" s="5">
        <v>1.7147926555331236E-6</v>
      </c>
    </row>
    <row r="1743" spans="1:3" x14ac:dyDescent="0.2">
      <c r="A1743" s="4" t="s">
        <v>1710</v>
      </c>
      <c r="B1743" s="1">
        <v>60000</v>
      </c>
      <c r="C1743" s="5">
        <v>1.7147926555331236E-6</v>
      </c>
    </row>
    <row r="1744" spans="1:3" x14ac:dyDescent="0.2">
      <c r="A1744" s="4" t="s">
        <v>1259</v>
      </c>
      <c r="B1744" s="1">
        <v>60000</v>
      </c>
      <c r="C1744" s="5">
        <v>1.7147926555331236E-6</v>
      </c>
    </row>
    <row r="1745" spans="1:3" x14ac:dyDescent="0.2">
      <c r="A1745" s="4" t="s">
        <v>1341</v>
      </c>
      <c r="B1745" s="1">
        <v>60000</v>
      </c>
      <c r="C1745" s="5">
        <v>1.7147926555331236E-6</v>
      </c>
    </row>
    <row r="1746" spans="1:3" x14ac:dyDescent="0.2">
      <c r="A1746" s="4" t="s">
        <v>1144</v>
      </c>
      <c r="B1746" s="1">
        <v>60000</v>
      </c>
      <c r="C1746" s="5">
        <v>1.7147926555331236E-6</v>
      </c>
    </row>
    <row r="1747" spans="1:3" x14ac:dyDescent="0.2">
      <c r="A1747" s="4" t="s">
        <v>1219</v>
      </c>
      <c r="B1747" s="1">
        <v>60000</v>
      </c>
      <c r="C1747" s="5">
        <v>1.7147926555331236E-6</v>
      </c>
    </row>
    <row r="1748" spans="1:3" x14ac:dyDescent="0.2">
      <c r="A1748" s="4" t="s">
        <v>2575</v>
      </c>
      <c r="B1748" s="1">
        <v>59995</v>
      </c>
      <c r="C1748" s="5">
        <v>1.7146497561451625E-6</v>
      </c>
    </row>
    <row r="1749" spans="1:3" x14ac:dyDescent="0.2">
      <c r="A1749" s="4" t="s">
        <v>1475</v>
      </c>
      <c r="B1749" s="1">
        <v>59826</v>
      </c>
      <c r="C1749" s="5">
        <v>1.7098197568320775E-6</v>
      </c>
    </row>
    <row r="1750" spans="1:3" x14ac:dyDescent="0.2">
      <c r="A1750" s="4" t="s">
        <v>1722</v>
      </c>
      <c r="B1750" s="1">
        <v>59718</v>
      </c>
      <c r="C1750" s="5">
        <v>1.7067331300521179E-6</v>
      </c>
    </row>
    <row r="1751" spans="1:3" x14ac:dyDescent="0.2">
      <c r="A1751" s="4" t="s">
        <v>1560</v>
      </c>
      <c r="B1751" s="1">
        <v>58791</v>
      </c>
      <c r="C1751" s="5">
        <v>1.6802395835241312E-6</v>
      </c>
    </row>
    <row r="1752" spans="1:3" x14ac:dyDescent="0.2">
      <c r="A1752" s="4" t="s">
        <v>532</v>
      </c>
      <c r="B1752" s="1">
        <v>57753.4</v>
      </c>
      <c r="C1752" s="5">
        <v>1.6505851025344451E-6</v>
      </c>
    </row>
    <row r="1753" spans="1:3" x14ac:dyDescent="0.2">
      <c r="A1753" s="4" t="s">
        <v>2496</v>
      </c>
      <c r="B1753" s="1">
        <v>57500</v>
      </c>
      <c r="C1753" s="5">
        <v>1.6433429615525769E-6</v>
      </c>
    </row>
    <row r="1754" spans="1:3" x14ac:dyDescent="0.2">
      <c r="A1754" s="4" t="s">
        <v>1263</v>
      </c>
      <c r="B1754" s="1">
        <v>57000</v>
      </c>
      <c r="C1754" s="5">
        <v>1.6290530227564676E-6</v>
      </c>
    </row>
    <row r="1755" spans="1:3" x14ac:dyDescent="0.2">
      <c r="A1755" s="4" t="s">
        <v>1072</v>
      </c>
      <c r="B1755" s="1">
        <v>56645.1</v>
      </c>
      <c r="C1755" s="5">
        <v>1.618910024198989E-6</v>
      </c>
    </row>
    <row r="1756" spans="1:3" x14ac:dyDescent="0.2">
      <c r="A1756" s="4" t="s">
        <v>2557</v>
      </c>
      <c r="B1756" s="1">
        <v>55000</v>
      </c>
      <c r="C1756" s="5">
        <v>1.5718932675720301E-6</v>
      </c>
    </row>
    <row r="1757" spans="1:3" x14ac:dyDescent="0.2">
      <c r="A1757" s="4" t="s">
        <v>2209</v>
      </c>
      <c r="B1757" s="1">
        <v>55000</v>
      </c>
      <c r="C1757" s="5">
        <v>1.5718932675720301E-6</v>
      </c>
    </row>
    <row r="1758" spans="1:3" x14ac:dyDescent="0.2">
      <c r="A1758" s="4" t="s">
        <v>1832</v>
      </c>
      <c r="B1758" s="1">
        <v>55000</v>
      </c>
      <c r="C1758" s="5">
        <v>1.5718932675720301E-6</v>
      </c>
    </row>
    <row r="1759" spans="1:3" x14ac:dyDescent="0.2">
      <c r="A1759" s="4" t="s">
        <v>1828</v>
      </c>
      <c r="B1759" s="1">
        <v>55000</v>
      </c>
      <c r="C1759" s="5">
        <v>1.5718932675720301E-6</v>
      </c>
    </row>
    <row r="1760" spans="1:3" x14ac:dyDescent="0.2">
      <c r="A1760" s="4" t="s">
        <v>1530</v>
      </c>
      <c r="B1760" s="1">
        <v>55000</v>
      </c>
      <c r="C1760" s="5">
        <v>1.5718932675720301E-6</v>
      </c>
    </row>
    <row r="1761" spans="1:3" x14ac:dyDescent="0.2">
      <c r="A1761" s="4" t="s">
        <v>1703</v>
      </c>
      <c r="B1761" s="1">
        <v>55000</v>
      </c>
      <c r="C1761" s="5">
        <v>1.5718932675720301E-6</v>
      </c>
    </row>
    <row r="1762" spans="1:3" x14ac:dyDescent="0.2">
      <c r="A1762" s="4" t="s">
        <v>1234</v>
      </c>
      <c r="B1762" s="1">
        <v>55000</v>
      </c>
      <c r="C1762" s="5">
        <v>1.5718932675720301E-6</v>
      </c>
    </row>
    <row r="1763" spans="1:3" x14ac:dyDescent="0.2">
      <c r="A1763" s="4" t="s">
        <v>1117</v>
      </c>
      <c r="B1763" s="1">
        <v>55000</v>
      </c>
      <c r="C1763" s="5">
        <v>1.5718932675720301E-6</v>
      </c>
    </row>
    <row r="1764" spans="1:3" x14ac:dyDescent="0.2">
      <c r="A1764" s="4" t="s">
        <v>1148</v>
      </c>
      <c r="B1764" s="1">
        <v>55000</v>
      </c>
      <c r="C1764" s="5">
        <v>1.5718932675720301E-6</v>
      </c>
    </row>
    <row r="1765" spans="1:3" x14ac:dyDescent="0.2">
      <c r="A1765" s="4" t="s">
        <v>1192</v>
      </c>
      <c r="B1765" s="1">
        <v>55000</v>
      </c>
      <c r="C1765" s="5">
        <v>1.5718932675720301E-6</v>
      </c>
    </row>
    <row r="1766" spans="1:3" x14ac:dyDescent="0.2">
      <c r="A1766" s="4" t="s">
        <v>1159</v>
      </c>
      <c r="B1766" s="1">
        <v>55000</v>
      </c>
      <c r="C1766" s="5">
        <v>1.5718932675720301E-6</v>
      </c>
    </row>
    <row r="1767" spans="1:3" x14ac:dyDescent="0.2">
      <c r="A1767" s="4" t="s">
        <v>2536</v>
      </c>
      <c r="B1767" s="1">
        <v>54000</v>
      </c>
      <c r="C1767" s="5">
        <v>1.5433133899798114E-6</v>
      </c>
    </row>
    <row r="1768" spans="1:3" x14ac:dyDescent="0.2">
      <c r="A1768" s="4" t="s">
        <v>494</v>
      </c>
      <c r="B1768" s="1">
        <v>53340</v>
      </c>
      <c r="C1768" s="5">
        <v>1.5244506707689468E-6</v>
      </c>
    </row>
    <row r="1769" spans="1:3" x14ac:dyDescent="0.2">
      <c r="A1769" s="4" t="s">
        <v>1013</v>
      </c>
      <c r="B1769" s="1">
        <v>52835</v>
      </c>
      <c r="C1769" s="5">
        <v>1.5100178325848765E-6</v>
      </c>
    </row>
    <row r="1770" spans="1:3" x14ac:dyDescent="0.2">
      <c r="A1770" s="4" t="s">
        <v>1584</v>
      </c>
      <c r="B1770" s="1">
        <v>52331.9</v>
      </c>
      <c r="C1770" s="5">
        <v>1.4956392961682313E-6</v>
      </c>
    </row>
    <row r="1771" spans="1:3" x14ac:dyDescent="0.2">
      <c r="A1771" s="4" t="s">
        <v>2454</v>
      </c>
      <c r="B1771" s="1">
        <v>52240</v>
      </c>
      <c r="C1771" s="5">
        <v>1.4930128054175063E-6</v>
      </c>
    </row>
    <row r="1772" spans="1:3" x14ac:dyDescent="0.2">
      <c r="A1772" s="4" t="s">
        <v>363</v>
      </c>
      <c r="B1772" s="1">
        <v>51513.2</v>
      </c>
      <c r="C1772" s="5">
        <v>1.4722409503834816E-6</v>
      </c>
    </row>
    <row r="1773" spans="1:3" x14ac:dyDescent="0.2">
      <c r="A1773" s="4" t="s">
        <v>2284</v>
      </c>
      <c r="B1773" s="1">
        <v>50800</v>
      </c>
      <c r="C1773" s="5">
        <v>1.4518577816847114E-6</v>
      </c>
    </row>
    <row r="1774" spans="1:3" x14ac:dyDescent="0.2">
      <c r="A1774" s="4" t="s">
        <v>1401</v>
      </c>
      <c r="B1774" s="1">
        <v>50020</v>
      </c>
      <c r="C1774" s="5">
        <v>1.4295654771627807E-6</v>
      </c>
    </row>
    <row r="1775" spans="1:3" x14ac:dyDescent="0.2">
      <c r="A1775" s="4" t="s">
        <v>2639</v>
      </c>
      <c r="B1775" s="1">
        <v>50000</v>
      </c>
      <c r="C1775" s="5">
        <v>1.4289938796109364E-6</v>
      </c>
    </row>
    <row r="1776" spans="1:3" x14ac:dyDescent="0.2">
      <c r="A1776" s="4" t="s">
        <v>2867</v>
      </c>
      <c r="B1776" s="1">
        <v>50000</v>
      </c>
      <c r="C1776" s="5">
        <v>1.4289938796109364E-6</v>
      </c>
    </row>
    <row r="1777" spans="1:3" x14ac:dyDescent="0.2">
      <c r="A1777" s="4" t="s">
        <v>2507</v>
      </c>
      <c r="B1777" s="1">
        <v>50000</v>
      </c>
      <c r="C1777" s="5">
        <v>1.4289938796109364E-6</v>
      </c>
    </row>
    <row r="1778" spans="1:3" x14ac:dyDescent="0.2">
      <c r="A1778" s="4" t="s">
        <v>2462</v>
      </c>
      <c r="B1778" s="1">
        <v>50000</v>
      </c>
      <c r="C1778" s="5">
        <v>1.4289938796109364E-6</v>
      </c>
    </row>
    <row r="1779" spans="1:3" x14ac:dyDescent="0.2">
      <c r="A1779" s="4" t="s">
        <v>2509</v>
      </c>
      <c r="B1779" s="1">
        <v>50000</v>
      </c>
      <c r="C1779" s="5">
        <v>1.4289938796109364E-6</v>
      </c>
    </row>
    <row r="1780" spans="1:3" x14ac:dyDescent="0.2">
      <c r="A1780" s="4" t="s">
        <v>2513</v>
      </c>
      <c r="B1780" s="1">
        <v>50000</v>
      </c>
      <c r="C1780" s="5">
        <v>1.4289938796109364E-6</v>
      </c>
    </row>
    <row r="1781" spans="1:3" x14ac:dyDescent="0.2">
      <c r="A1781" s="4" t="s">
        <v>2501</v>
      </c>
      <c r="B1781" s="1">
        <v>50000</v>
      </c>
      <c r="C1781" s="5">
        <v>1.4289938796109364E-6</v>
      </c>
    </row>
    <row r="1782" spans="1:3" x14ac:dyDescent="0.2">
      <c r="A1782" s="4" t="s">
        <v>2576</v>
      </c>
      <c r="B1782" s="1">
        <v>50000</v>
      </c>
      <c r="C1782" s="5">
        <v>1.4289938796109364E-6</v>
      </c>
    </row>
    <row r="1783" spans="1:3" x14ac:dyDescent="0.2">
      <c r="A1783" s="4" t="s">
        <v>2502</v>
      </c>
      <c r="B1783" s="1">
        <v>50000</v>
      </c>
      <c r="C1783" s="5">
        <v>1.4289938796109364E-6</v>
      </c>
    </row>
    <row r="1784" spans="1:3" x14ac:dyDescent="0.2">
      <c r="A1784" s="4" t="s">
        <v>2192</v>
      </c>
      <c r="B1784" s="1">
        <v>50000</v>
      </c>
      <c r="C1784" s="5">
        <v>1.4289938796109364E-6</v>
      </c>
    </row>
    <row r="1785" spans="1:3" x14ac:dyDescent="0.2">
      <c r="A1785" s="4" t="s">
        <v>2129</v>
      </c>
      <c r="B1785" s="1">
        <v>50000</v>
      </c>
      <c r="C1785" s="5">
        <v>1.4289938796109364E-6</v>
      </c>
    </row>
    <row r="1786" spans="1:3" x14ac:dyDescent="0.2">
      <c r="A1786" s="4" t="s">
        <v>2193</v>
      </c>
      <c r="B1786" s="1">
        <v>50000</v>
      </c>
      <c r="C1786" s="5">
        <v>1.4289938796109364E-6</v>
      </c>
    </row>
    <row r="1787" spans="1:3" x14ac:dyDescent="0.2">
      <c r="A1787" s="4" t="s">
        <v>2137</v>
      </c>
      <c r="B1787" s="1">
        <v>50000</v>
      </c>
      <c r="C1787" s="5">
        <v>1.4289938796109364E-6</v>
      </c>
    </row>
    <row r="1788" spans="1:3" x14ac:dyDescent="0.2">
      <c r="A1788" s="4" t="s">
        <v>2173</v>
      </c>
      <c r="B1788" s="1">
        <v>50000</v>
      </c>
      <c r="C1788" s="5">
        <v>1.4289938796109364E-6</v>
      </c>
    </row>
    <row r="1789" spans="1:3" x14ac:dyDescent="0.2">
      <c r="A1789" s="4" t="s">
        <v>2018</v>
      </c>
      <c r="B1789" s="1">
        <v>50000</v>
      </c>
      <c r="C1789" s="5">
        <v>1.4289938796109364E-6</v>
      </c>
    </row>
    <row r="1790" spans="1:3" x14ac:dyDescent="0.2">
      <c r="A1790" s="4" t="s">
        <v>2017</v>
      </c>
      <c r="B1790" s="1">
        <v>50000</v>
      </c>
      <c r="C1790" s="5">
        <v>1.4289938796109364E-6</v>
      </c>
    </row>
    <row r="1791" spans="1:3" x14ac:dyDescent="0.2">
      <c r="A1791" s="4" t="s">
        <v>2030</v>
      </c>
      <c r="B1791" s="1">
        <v>50000</v>
      </c>
      <c r="C1791" s="5">
        <v>1.4289938796109364E-6</v>
      </c>
    </row>
    <row r="1792" spans="1:3" x14ac:dyDescent="0.2">
      <c r="A1792" s="4" t="s">
        <v>1522</v>
      </c>
      <c r="B1792" s="1">
        <v>50000</v>
      </c>
      <c r="C1792" s="5">
        <v>1.4289938796109364E-6</v>
      </c>
    </row>
    <row r="1793" spans="1:3" x14ac:dyDescent="0.2">
      <c r="A1793" s="4" t="s">
        <v>1727</v>
      </c>
      <c r="B1793" s="1">
        <v>50000</v>
      </c>
      <c r="C1793" s="5">
        <v>1.4289938796109364E-6</v>
      </c>
    </row>
    <row r="1794" spans="1:3" x14ac:dyDescent="0.2">
      <c r="A1794" s="4" t="s">
        <v>1659</v>
      </c>
      <c r="B1794" s="1">
        <v>50000</v>
      </c>
      <c r="C1794" s="5">
        <v>1.4289938796109364E-6</v>
      </c>
    </row>
    <row r="1795" spans="1:3" x14ac:dyDescent="0.2">
      <c r="A1795" s="4" t="s">
        <v>1636</v>
      </c>
      <c r="B1795" s="1">
        <v>50000</v>
      </c>
      <c r="C1795" s="5">
        <v>1.4289938796109364E-6</v>
      </c>
    </row>
    <row r="1796" spans="1:3" x14ac:dyDescent="0.2">
      <c r="A1796" s="4" t="s">
        <v>1543</v>
      </c>
      <c r="B1796" s="1">
        <v>50000</v>
      </c>
      <c r="C1796" s="5">
        <v>1.4289938796109364E-6</v>
      </c>
    </row>
    <row r="1797" spans="1:3" x14ac:dyDescent="0.2">
      <c r="A1797" s="4" t="s">
        <v>1404</v>
      </c>
      <c r="B1797" s="1">
        <v>50000</v>
      </c>
      <c r="C1797" s="5">
        <v>1.4289938796109364E-6</v>
      </c>
    </row>
    <row r="1798" spans="1:3" x14ac:dyDescent="0.2">
      <c r="A1798" s="4" t="s">
        <v>1390</v>
      </c>
      <c r="B1798" s="1">
        <v>50000</v>
      </c>
      <c r="C1798" s="5">
        <v>1.4289938796109364E-6</v>
      </c>
    </row>
    <row r="1799" spans="1:3" x14ac:dyDescent="0.2">
      <c r="A1799" s="4" t="s">
        <v>1407</v>
      </c>
      <c r="B1799" s="1">
        <v>50000</v>
      </c>
      <c r="C1799" s="5">
        <v>1.4289938796109364E-6</v>
      </c>
    </row>
    <row r="1800" spans="1:3" x14ac:dyDescent="0.2">
      <c r="A1800" s="4" t="s">
        <v>1356</v>
      </c>
      <c r="B1800" s="1">
        <v>50000</v>
      </c>
      <c r="C1800" s="5">
        <v>1.4289938796109364E-6</v>
      </c>
    </row>
    <row r="1801" spans="1:3" x14ac:dyDescent="0.2">
      <c r="A1801" s="4" t="s">
        <v>1198</v>
      </c>
      <c r="B1801" s="1">
        <v>50000</v>
      </c>
      <c r="C1801" s="5">
        <v>1.4289938796109364E-6</v>
      </c>
    </row>
    <row r="1802" spans="1:3" x14ac:dyDescent="0.2">
      <c r="A1802" s="4" t="s">
        <v>1125</v>
      </c>
      <c r="B1802" s="1">
        <v>50000</v>
      </c>
      <c r="C1802" s="5">
        <v>1.4289938796109364E-6</v>
      </c>
    </row>
    <row r="1803" spans="1:3" x14ac:dyDescent="0.2">
      <c r="A1803" s="4" t="s">
        <v>1020</v>
      </c>
      <c r="B1803" s="1">
        <v>50000</v>
      </c>
      <c r="C1803" s="5">
        <v>1.4289938796109364E-6</v>
      </c>
    </row>
    <row r="1804" spans="1:3" x14ac:dyDescent="0.2">
      <c r="A1804" s="4" t="s">
        <v>1151</v>
      </c>
      <c r="B1804" s="1">
        <v>50000</v>
      </c>
      <c r="C1804" s="5">
        <v>1.4289938796109364E-6</v>
      </c>
    </row>
    <row r="1805" spans="1:3" x14ac:dyDescent="0.2">
      <c r="A1805" s="4" t="s">
        <v>1120</v>
      </c>
      <c r="B1805" s="1">
        <v>50000</v>
      </c>
      <c r="C1805" s="5">
        <v>1.4289938796109364E-6</v>
      </c>
    </row>
    <row r="1806" spans="1:3" x14ac:dyDescent="0.2">
      <c r="A1806" s="4" t="s">
        <v>834</v>
      </c>
      <c r="B1806" s="1">
        <v>50000</v>
      </c>
      <c r="C1806" s="5">
        <v>1.4289938796109364E-6</v>
      </c>
    </row>
    <row r="1807" spans="1:3" x14ac:dyDescent="0.2">
      <c r="A1807" s="4" t="s">
        <v>371</v>
      </c>
      <c r="B1807" s="1">
        <v>50000</v>
      </c>
      <c r="C1807" s="5">
        <v>1.4289938796109364E-6</v>
      </c>
    </row>
    <row r="1808" spans="1:3" x14ac:dyDescent="0.2">
      <c r="A1808" s="4" t="s">
        <v>1172</v>
      </c>
      <c r="B1808" s="1">
        <v>49954.3</v>
      </c>
      <c r="C1808" s="5">
        <v>1.4276877792049722E-6</v>
      </c>
    </row>
    <row r="1809" spans="1:3" x14ac:dyDescent="0.2">
      <c r="A1809" s="4" t="s">
        <v>1321</v>
      </c>
      <c r="B1809" s="1">
        <v>49000</v>
      </c>
      <c r="C1809" s="5">
        <v>1.4004140020187177E-6</v>
      </c>
    </row>
    <row r="1810" spans="1:3" x14ac:dyDescent="0.2">
      <c r="A1810" s="4" t="s">
        <v>1587</v>
      </c>
      <c r="B1810" s="1">
        <v>48500</v>
      </c>
      <c r="C1810" s="5">
        <v>1.3861240632226084E-6</v>
      </c>
    </row>
    <row r="1811" spans="1:3" x14ac:dyDescent="0.2">
      <c r="A1811" s="4" t="s">
        <v>1346</v>
      </c>
      <c r="B1811" s="1">
        <v>47500</v>
      </c>
      <c r="C1811" s="5">
        <v>1.3575441856303897E-6</v>
      </c>
    </row>
    <row r="1812" spans="1:3" x14ac:dyDescent="0.2">
      <c r="A1812" s="4" t="s">
        <v>1503</v>
      </c>
      <c r="B1812" s="1">
        <v>46731</v>
      </c>
      <c r="C1812" s="5">
        <v>1.3355662597619733E-6</v>
      </c>
    </row>
    <row r="1813" spans="1:3" x14ac:dyDescent="0.2">
      <c r="A1813" s="4" t="s">
        <v>1511</v>
      </c>
      <c r="B1813" s="1">
        <v>45499.9</v>
      </c>
      <c r="C1813" s="5">
        <v>1.3003815724581929E-6</v>
      </c>
    </row>
    <row r="1814" spans="1:3" x14ac:dyDescent="0.2">
      <c r="A1814" s="4" t="s">
        <v>1471</v>
      </c>
      <c r="B1814" s="1">
        <v>45462.3</v>
      </c>
      <c r="C1814" s="5">
        <v>1.2993069690607257E-6</v>
      </c>
    </row>
    <row r="1815" spans="1:3" x14ac:dyDescent="0.2">
      <c r="A1815" s="4" t="s">
        <v>598</v>
      </c>
      <c r="B1815" s="1">
        <v>45308.5</v>
      </c>
      <c r="C1815" s="5">
        <v>1.2949113838870423E-6</v>
      </c>
    </row>
    <row r="1816" spans="1:3" x14ac:dyDescent="0.2">
      <c r="A1816" s="4" t="s">
        <v>2644</v>
      </c>
      <c r="B1816" s="1">
        <v>45000</v>
      </c>
      <c r="C1816" s="5">
        <v>1.2860944916498427E-6</v>
      </c>
    </row>
    <row r="1817" spans="1:3" x14ac:dyDescent="0.2">
      <c r="A1817" s="4" t="s">
        <v>2510</v>
      </c>
      <c r="B1817" s="1">
        <v>45000</v>
      </c>
      <c r="C1817" s="5">
        <v>1.2860944916498427E-6</v>
      </c>
    </row>
    <row r="1818" spans="1:3" x14ac:dyDescent="0.2">
      <c r="A1818" s="4" t="s">
        <v>2489</v>
      </c>
      <c r="B1818" s="1">
        <v>45000</v>
      </c>
      <c r="C1818" s="5">
        <v>1.2860944916498427E-6</v>
      </c>
    </row>
    <row r="1819" spans="1:3" x14ac:dyDescent="0.2">
      <c r="A1819" s="4" t="s">
        <v>2060</v>
      </c>
      <c r="B1819" s="1">
        <v>45000</v>
      </c>
      <c r="C1819" s="5">
        <v>1.2860944916498427E-6</v>
      </c>
    </row>
    <row r="1820" spans="1:3" x14ac:dyDescent="0.2">
      <c r="A1820" s="4" t="s">
        <v>1788</v>
      </c>
      <c r="B1820" s="1">
        <v>45000</v>
      </c>
      <c r="C1820" s="5">
        <v>1.2860944916498427E-6</v>
      </c>
    </row>
    <row r="1821" spans="1:3" x14ac:dyDescent="0.2">
      <c r="A1821" s="4" t="s">
        <v>1770</v>
      </c>
      <c r="B1821" s="1">
        <v>45000</v>
      </c>
      <c r="C1821" s="5">
        <v>1.2860944916498427E-6</v>
      </c>
    </row>
    <row r="1822" spans="1:3" x14ac:dyDescent="0.2">
      <c r="A1822" s="4" t="s">
        <v>1720</v>
      </c>
      <c r="B1822" s="1">
        <v>45000</v>
      </c>
      <c r="C1822" s="5">
        <v>1.2860944916498427E-6</v>
      </c>
    </row>
    <row r="1823" spans="1:3" x14ac:dyDescent="0.2">
      <c r="A1823" s="4" t="s">
        <v>1620</v>
      </c>
      <c r="B1823" s="1">
        <v>45000</v>
      </c>
      <c r="C1823" s="5">
        <v>1.2860944916498427E-6</v>
      </c>
    </row>
    <row r="1824" spans="1:3" x14ac:dyDescent="0.2">
      <c r="A1824" s="4" t="s">
        <v>1627</v>
      </c>
      <c r="B1824" s="1">
        <v>45000</v>
      </c>
      <c r="C1824" s="5">
        <v>1.2860944916498427E-6</v>
      </c>
    </row>
    <row r="1825" spans="1:3" x14ac:dyDescent="0.2">
      <c r="A1825" s="4" t="s">
        <v>1279</v>
      </c>
      <c r="B1825" s="1">
        <v>45000</v>
      </c>
      <c r="C1825" s="5">
        <v>1.2860944916498427E-6</v>
      </c>
    </row>
    <row r="1826" spans="1:3" x14ac:dyDescent="0.2">
      <c r="A1826" s="4" t="s">
        <v>1272</v>
      </c>
      <c r="B1826" s="1">
        <v>45000</v>
      </c>
      <c r="C1826" s="5">
        <v>1.2860944916498427E-6</v>
      </c>
    </row>
    <row r="1827" spans="1:3" x14ac:dyDescent="0.2">
      <c r="A1827" s="4" t="s">
        <v>1227</v>
      </c>
      <c r="B1827" s="1">
        <v>45000</v>
      </c>
      <c r="C1827" s="5">
        <v>1.2860944916498427E-6</v>
      </c>
    </row>
    <row r="1828" spans="1:3" x14ac:dyDescent="0.2">
      <c r="A1828" s="4" t="s">
        <v>1203</v>
      </c>
      <c r="B1828" s="1">
        <v>45000</v>
      </c>
      <c r="C1828" s="5">
        <v>1.2860944916498427E-6</v>
      </c>
    </row>
    <row r="1829" spans="1:3" x14ac:dyDescent="0.2">
      <c r="A1829" s="4" t="s">
        <v>1190</v>
      </c>
      <c r="B1829" s="1">
        <v>45000</v>
      </c>
      <c r="C1829" s="5">
        <v>1.2860944916498427E-6</v>
      </c>
    </row>
    <row r="1830" spans="1:3" x14ac:dyDescent="0.2">
      <c r="A1830" s="4" t="s">
        <v>1483</v>
      </c>
      <c r="B1830" s="1">
        <v>44358</v>
      </c>
      <c r="C1830" s="5">
        <v>1.2677462102356383E-6</v>
      </c>
    </row>
    <row r="1831" spans="1:3" x14ac:dyDescent="0.2">
      <c r="A1831" s="4" t="s">
        <v>1326</v>
      </c>
      <c r="B1831" s="1">
        <v>44000</v>
      </c>
      <c r="C1831" s="5">
        <v>1.257514614057624E-6</v>
      </c>
    </row>
    <row r="1832" spans="1:3" x14ac:dyDescent="0.2">
      <c r="A1832" s="4" t="s">
        <v>1043</v>
      </c>
      <c r="B1832" s="1">
        <v>43725</v>
      </c>
      <c r="C1832" s="5">
        <v>1.2496551477197638E-6</v>
      </c>
    </row>
    <row r="1833" spans="1:3" x14ac:dyDescent="0.2">
      <c r="A1833" s="4" t="s">
        <v>2000</v>
      </c>
      <c r="B1833" s="1">
        <v>43000</v>
      </c>
      <c r="C1833" s="5">
        <v>1.2289347364654052E-6</v>
      </c>
    </row>
    <row r="1834" spans="1:3" x14ac:dyDescent="0.2">
      <c r="A1834" s="4" t="s">
        <v>1128</v>
      </c>
      <c r="B1834" s="1">
        <v>43000</v>
      </c>
      <c r="C1834" s="5">
        <v>1.2289347364654052E-6</v>
      </c>
    </row>
    <row r="1835" spans="1:3" x14ac:dyDescent="0.2">
      <c r="A1835" s="4" t="s">
        <v>1185</v>
      </c>
      <c r="B1835" s="1">
        <v>42000</v>
      </c>
      <c r="C1835" s="5">
        <v>1.2003548588731865E-6</v>
      </c>
    </row>
    <row r="1836" spans="1:3" x14ac:dyDescent="0.2">
      <c r="A1836" s="4" t="s">
        <v>2556</v>
      </c>
      <c r="B1836" s="1">
        <v>41466.5</v>
      </c>
      <c r="C1836" s="5">
        <v>1.185107494177738E-6</v>
      </c>
    </row>
    <row r="1837" spans="1:3" x14ac:dyDescent="0.2">
      <c r="A1837" s="4" t="s">
        <v>2267</v>
      </c>
      <c r="B1837" s="1">
        <v>41000</v>
      </c>
      <c r="C1837" s="5">
        <v>1.171774981280968E-6</v>
      </c>
    </row>
    <row r="1838" spans="1:3" x14ac:dyDescent="0.2">
      <c r="A1838" s="4" t="s">
        <v>1950</v>
      </c>
      <c r="B1838" s="1">
        <v>40850</v>
      </c>
      <c r="C1838" s="5">
        <v>1.1674879996421351E-6</v>
      </c>
    </row>
    <row r="1839" spans="1:3" x14ac:dyDescent="0.2">
      <c r="A1839" s="4" t="s">
        <v>2206</v>
      </c>
      <c r="B1839" s="1">
        <v>40010</v>
      </c>
      <c r="C1839" s="5">
        <v>1.1434809024646714E-6</v>
      </c>
    </row>
    <row r="1840" spans="1:3" x14ac:dyDescent="0.2">
      <c r="A1840" s="4" t="s">
        <v>2642</v>
      </c>
      <c r="B1840" s="1">
        <v>40000</v>
      </c>
      <c r="C1840" s="5">
        <v>1.1431951036887492E-6</v>
      </c>
    </row>
    <row r="1841" spans="1:3" x14ac:dyDescent="0.2">
      <c r="A1841" s="4" t="s">
        <v>2498</v>
      </c>
      <c r="B1841" s="1">
        <v>40000</v>
      </c>
      <c r="C1841" s="5">
        <v>1.1431951036887492E-6</v>
      </c>
    </row>
    <row r="1842" spans="1:3" x14ac:dyDescent="0.2">
      <c r="A1842" s="4" t="s">
        <v>2467</v>
      </c>
      <c r="B1842" s="1">
        <v>40000</v>
      </c>
      <c r="C1842" s="5">
        <v>1.1431951036887492E-6</v>
      </c>
    </row>
    <row r="1843" spans="1:3" x14ac:dyDescent="0.2">
      <c r="A1843" s="4" t="s">
        <v>2024</v>
      </c>
      <c r="B1843" s="1">
        <v>40000</v>
      </c>
      <c r="C1843" s="5">
        <v>1.1431951036887492E-6</v>
      </c>
    </row>
    <row r="1844" spans="1:3" x14ac:dyDescent="0.2">
      <c r="A1844" s="4" t="s">
        <v>2031</v>
      </c>
      <c r="B1844" s="1">
        <v>40000</v>
      </c>
      <c r="C1844" s="5">
        <v>1.1431951036887492E-6</v>
      </c>
    </row>
    <row r="1845" spans="1:3" x14ac:dyDescent="0.2">
      <c r="A1845" s="4" t="s">
        <v>1856</v>
      </c>
      <c r="B1845" s="1">
        <v>40000</v>
      </c>
      <c r="C1845" s="5">
        <v>1.1431951036887492E-6</v>
      </c>
    </row>
    <row r="1846" spans="1:3" x14ac:dyDescent="0.2">
      <c r="A1846" s="4" t="s">
        <v>1887</v>
      </c>
      <c r="B1846" s="1">
        <v>40000</v>
      </c>
      <c r="C1846" s="5">
        <v>1.1431951036887492E-6</v>
      </c>
    </row>
    <row r="1847" spans="1:3" x14ac:dyDescent="0.2">
      <c r="A1847" s="4" t="s">
        <v>2032</v>
      </c>
      <c r="B1847" s="1">
        <v>40000</v>
      </c>
      <c r="C1847" s="5">
        <v>1.1431951036887492E-6</v>
      </c>
    </row>
    <row r="1848" spans="1:3" x14ac:dyDescent="0.2">
      <c r="A1848" s="4" t="s">
        <v>2042</v>
      </c>
      <c r="B1848" s="1">
        <v>40000</v>
      </c>
      <c r="C1848" s="5">
        <v>1.1431951036887492E-6</v>
      </c>
    </row>
    <row r="1849" spans="1:3" x14ac:dyDescent="0.2">
      <c r="A1849" s="4" t="s">
        <v>2055</v>
      </c>
      <c r="B1849" s="1">
        <v>40000</v>
      </c>
      <c r="C1849" s="5">
        <v>1.1431951036887492E-6</v>
      </c>
    </row>
    <row r="1850" spans="1:3" x14ac:dyDescent="0.2">
      <c r="A1850" s="4" t="s">
        <v>2045</v>
      </c>
      <c r="B1850" s="1">
        <v>40000</v>
      </c>
      <c r="C1850" s="5">
        <v>1.1431951036887492E-6</v>
      </c>
    </row>
    <row r="1851" spans="1:3" x14ac:dyDescent="0.2">
      <c r="A1851" s="4" t="s">
        <v>2049</v>
      </c>
      <c r="B1851" s="1">
        <v>40000</v>
      </c>
      <c r="C1851" s="5">
        <v>1.1431951036887492E-6</v>
      </c>
    </row>
    <row r="1852" spans="1:3" x14ac:dyDescent="0.2">
      <c r="A1852" s="4" t="s">
        <v>1479</v>
      </c>
      <c r="B1852" s="1">
        <v>40000</v>
      </c>
      <c r="C1852" s="5">
        <v>1.1431951036887492E-6</v>
      </c>
    </row>
    <row r="1853" spans="1:3" x14ac:dyDescent="0.2">
      <c r="A1853" s="4" t="s">
        <v>1403</v>
      </c>
      <c r="B1853" s="1">
        <v>40000</v>
      </c>
      <c r="C1853" s="5">
        <v>1.1431951036887492E-6</v>
      </c>
    </row>
    <row r="1854" spans="1:3" x14ac:dyDescent="0.2">
      <c r="A1854" s="4" t="s">
        <v>1405</v>
      </c>
      <c r="B1854" s="1">
        <v>40000</v>
      </c>
      <c r="C1854" s="5">
        <v>1.1431951036887492E-6</v>
      </c>
    </row>
    <row r="1855" spans="1:3" x14ac:dyDescent="0.2">
      <c r="A1855" s="4" t="s">
        <v>1268</v>
      </c>
      <c r="B1855" s="1">
        <v>40000</v>
      </c>
      <c r="C1855" s="5">
        <v>1.1431951036887492E-6</v>
      </c>
    </row>
    <row r="1856" spans="1:3" x14ac:dyDescent="0.2">
      <c r="A1856" s="4" t="s">
        <v>1264</v>
      </c>
      <c r="B1856" s="1">
        <v>40000</v>
      </c>
      <c r="C1856" s="5">
        <v>1.1431951036887492E-6</v>
      </c>
    </row>
    <row r="1857" spans="1:3" x14ac:dyDescent="0.2">
      <c r="A1857" s="4" t="s">
        <v>1124</v>
      </c>
      <c r="B1857" s="1">
        <v>40000</v>
      </c>
      <c r="C1857" s="5">
        <v>1.1431951036887492E-6</v>
      </c>
    </row>
    <row r="1858" spans="1:3" x14ac:dyDescent="0.2">
      <c r="A1858" s="4" t="s">
        <v>1139</v>
      </c>
      <c r="B1858" s="1">
        <v>40000</v>
      </c>
      <c r="C1858" s="5">
        <v>1.1431951036887492E-6</v>
      </c>
    </row>
    <row r="1859" spans="1:3" x14ac:dyDescent="0.2">
      <c r="A1859" s="4" t="s">
        <v>1732</v>
      </c>
      <c r="B1859" s="1">
        <v>39997.5</v>
      </c>
      <c r="C1859" s="5">
        <v>1.1431236539947687E-6</v>
      </c>
    </row>
    <row r="1860" spans="1:3" x14ac:dyDescent="0.2">
      <c r="A1860" s="4" t="s">
        <v>1512</v>
      </c>
      <c r="B1860" s="1">
        <v>38750</v>
      </c>
      <c r="C1860" s="5">
        <v>1.1074702566984757E-6</v>
      </c>
    </row>
    <row r="1861" spans="1:3" x14ac:dyDescent="0.2">
      <c r="A1861" s="4" t="s">
        <v>592</v>
      </c>
      <c r="B1861" s="1">
        <v>38076.199999999997</v>
      </c>
      <c r="C1861" s="5">
        <v>1.0882131351768386E-6</v>
      </c>
    </row>
    <row r="1862" spans="1:3" x14ac:dyDescent="0.2">
      <c r="A1862" s="4" t="s">
        <v>2069</v>
      </c>
      <c r="B1862" s="1">
        <v>38000</v>
      </c>
      <c r="C1862" s="5">
        <v>1.0860353485043117E-6</v>
      </c>
    </row>
    <row r="1863" spans="1:3" x14ac:dyDescent="0.2">
      <c r="A1863" s="4" t="s">
        <v>2121</v>
      </c>
      <c r="B1863" s="1">
        <v>37621</v>
      </c>
      <c r="C1863" s="5">
        <v>1.0752035748968609E-6</v>
      </c>
    </row>
    <row r="1864" spans="1:3" x14ac:dyDescent="0.2">
      <c r="A1864" s="4" t="s">
        <v>1255</v>
      </c>
      <c r="B1864" s="1">
        <v>37500</v>
      </c>
      <c r="C1864" s="5">
        <v>1.0717454097082023E-6</v>
      </c>
    </row>
    <row r="1865" spans="1:3" x14ac:dyDescent="0.2">
      <c r="A1865" s="4" t="s">
        <v>1544</v>
      </c>
      <c r="B1865" s="1">
        <v>37063.5</v>
      </c>
      <c r="C1865" s="5">
        <v>1.0592702931391987E-6</v>
      </c>
    </row>
    <row r="1866" spans="1:3" x14ac:dyDescent="0.2">
      <c r="A1866" s="4" t="s">
        <v>348</v>
      </c>
      <c r="B1866" s="1">
        <v>36154</v>
      </c>
      <c r="C1866" s="5">
        <v>1.0332768944690758E-6</v>
      </c>
    </row>
    <row r="1867" spans="1:3" x14ac:dyDescent="0.2">
      <c r="A1867" s="4" t="s">
        <v>1409</v>
      </c>
      <c r="B1867" s="1">
        <v>36000</v>
      </c>
      <c r="C1867" s="5">
        <v>1.0288755933198743E-6</v>
      </c>
    </row>
    <row r="1868" spans="1:3" x14ac:dyDescent="0.2">
      <c r="A1868" s="4" t="s">
        <v>1054</v>
      </c>
      <c r="B1868" s="1">
        <v>36000</v>
      </c>
      <c r="C1868" s="5">
        <v>1.0288755933198743E-6</v>
      </c>
    </row>
    <row r="1869" spans="1:3" x14ac:dyDescent="0.2">
      <c r="A1869" s="4" t="s">
        <v>2584</v>
      </c>
      <c r="B1869" s="1">
        <v>35960</v>
      </c>
      <c r="C1869" s="5">
        <v>1.0277323982161854E-6</v>
      </c>
    </row>
    <row r="1870" spans="1:3" x14ac:dyDescent="0.2">
      <c r="A1870" s="4" t="s">
        <v>2550</v>
      </c>
      <c r="B1870" s="1">
        <v>35000</v>
      </c>
      <c r="C1870" s="5">
        <v>1.0002957157276555E-6</v>
      </c>
    </row>
    <row r="1871" spans="1:3" x14ac:dyDescent="0.2">
      <c r="A1871" s="4" t="s">
        <v>2238</v>
      </c>
      <c r="B1871" s="1">
        <v>35000</v>
      </c>
      <c r="C1871" s="5">
        <v>1.0002957157276555E-6</v>
      </c>
    </row>
    <row r="1872" spans="1:3" x14ac:dyDescent="0.2">
      <c r="A1872" s="4" t="s">
        <v>2174</v>
      </c>
      <c r="B1872" s="1">
        <v>35000</v>
      </c>
      <c r="C1872" s="5">
        <v>1.0002957157276555E-6</v>
      </c>
    </row>
    <row r="1873" spans="1:3" x14ac:dyDescent="0.2">
      <c r="A1873" s="4" t="s">
        <v>1189</v>
      </c>
      <c r="B1873" s="1">
        <v>35000</v>
      </c>
      <c r="C1873" s="5">
        <v>1.0002957157276555E-6</v>
      </c>
    </row>
    <row r="1874" spans="1:3" x14ac:dyDescent="0.2">
      <c r="A1874" s="4" t="s">
        <v>1510</v>
      </c>
      <c r="B1874" s="1">
        <v>34125</v>
      </c>
      <c r="C1874" s="5">
        <v>9.7528832283446403E-7</v>
      </c>
    </row>
    <row r="1875" spans="1:3" x14ac:dyDescent="0.2">
      <c r="A1875" s="4" t="s">
        <v>1502</v>
      </c>
      <c r="B1875" s="1">
        <v>34000</v>
      </c>
      <c r="C1875" s="5">
        <v>9.7171583813543677E-7</v>
      </c>
    </row>
    <row r="1876" spans="1:3" x14ac:dyDescent="0.2">
      <c r="A1876" s="4" t="s">
        <v>1411</v>
      </c>
      <c r="B1876" s="1">
        <v>33332</v>
      </c>
      <c r="C1876" s="5">
        <v>9.5262447990383462E-7</v>
      </c>
    </row>
    <row r="1877" spans="1:3" x14ac:dyDescent="0.2">
      <c r="A1877" s="4" t="s">
        <v>1414</v>
      </c>
      <c r="B1877" s="1">
        <v>33332</v>
      </c>
      <c r="C1877" s="5">
        <v>9.5262447990383462E-7</v>
      </c>
    </row>
    <row r="1878" spans="1:3" x14ac:dyDescent="0.2">
      <c r="A1878" s="4" t="s">
        <v>1413</v>
      </c>
      <c r="B1878" s="1">
        <v>33332</v>
      </c>
      <c r="C1878" s="5">
        <v>9.5262447990383462E-7</v>
      </c>
    </row>
    <row r="1879" spans="1:3" x14ac:dyDescent="0.2">
      <c r="A1879" s="4" t="s">
        <v>1412</v>
      </c>
      <c r="B1879" s="1">
        <v>33332</v>
      </c>
      <c r="C1879" s="5">
        <v>9.5262447990383462E-7</v>
      </c>
    </row>
    <row r="1880" spans="1:3" x14ac:dyDescent="0.2">
      <c r="A1880" s="4" t="s">
        <v>1410</v>
      </c>
      <c r="B1880" s="1">
        <v>33332</v>
      </c>
      <c r="C1880" s="5">
        <v>9.5262447990383462E-7</v>
      </c>
    </row>
    <row r="1881" spans="1:3" x14ac:dyDescent="0.2">
      <c r="A1881" s="4" t="s">
        <v>1377</v>
      </c>
      <c r="B1881" s="1">
        <v>33000</v>
      </c>
      <c r="C1881" s="5">
        <v>9.4313596054321803E-7</v>
      </c>
    </row>
    <row r="1882" spans="1:3" x14ac:dyDescent="0.2">
      <c r="A1882" s="4" t="s">
        <v>1229</v>
      </c>
      <c r="B1882" s="1">
        <v>33000</v>
      </c>
      <c r="C1882" s="5">
        <v>9.4313596054321803E-7</v>
      </c>
    </row>
    <row r="1883" spans="1:3" x14ac:dyDescent="0.2">
      <c r="A1883" s="4" t="s">
        <v>2451</v>
      </c>
      <c r="B1883" s="1">
        <v>31746</v>
      </c>
      <c r="C1883" s="5">
        <v>9.0729679404257579E-7</v>
      </c>
    </row>
    <row r="1884" spans="1:3" x14ac:dyDescent="0.2">
      <c r="A1884" s="4" t="s">
        <v>2464</v>
      </c>
      <c r="B1884" s="1">
        <v>30000</v>
      </c>
      <c r="C1884" s="5">
        <v>8.573963277665618E-7</v>
      </c>
    </row>
    <row r="1885" spans="1:3" x14ac:dyDescent="0.2">
      <c r="A1885" s="4" t="s">
        <v>2465</v>
      </c>
      <c r="B1885" s="1">
        <v>30000</v>
      </c>
      <c r="C1885" s="5">
        <v>8.573963277665618E-7</v>
      </c>
    </row>
    <row r="1886" spans="1:3" x14ac:dyDescent="0.2">
      <c r="A1886" s="4" t="s">
        <v>2500</v>
      </c>
      <c r="B1886" s="1">
        <v>30000</v>
      </c>
      <c r="C1886" s="5">
        <v>8.573963277665618E-7</v>
      </c>
    </row>
    <row r="1887" spans="1:3" x14ac:dyDescent="0.2">
      <c r="A1887" s="4" t="s">
        <v>2515</v>
      </c>
      <c r="B1887" s="1">
        <v>30000</v>
      </c>
      <c r="C1887" s="5">
        <v>8.573963277665618E-7</v>
      </c>
    </row>
    <row r="1888" spans="1:3" x14ac:dyDescent="0.2">
      <c r="A1888" s="4" t="s">
        <v>2096</v>
      </c>
      <c r="B1888" s="1">
        <v>30000</v>
      </c>
      <c r="C1888" s="5">
        <v>8.573963277665618E-7</v>
      </c>
    </row>
    <row r="1889" spans="1:3" x14ac:dyDescent="0.2">
      <c r="A1889" s="4" t="s">
        <v>2098</v>
      </c>
      <c r="B1889" s="1">
        <v>30000</v>
      </c>
      <c r="C1889" s="5">
        <v>8.573963277665618E-7</v>
      </c>
    </row>
    <row r="1890" spans="1:3" x14ac:dyDescent="0.2">
      <c r="A1890" s="4" t="s">
        <v>2219</v>
      </c>
      <c r="B1890" s="1">
        <v>30000</v>
      </c>
      <c r="C1890" s="5">
        <v>8.573963277665618E-7</v>
      </c>
    </row>
    <row r="1891" spans="1:3" x14ac:dyDescent="0.2">
      <c r="A1891" s="4" t="s">
        <v>2097</v>
      </c>
      <c r="B1891" s="1">
        <v>30000</v>
      </c>
      <c r="C1891" s="5">
        <v>8.573963277665618E-7</v>
      </c>
    </row>
    <row r="1892" spans="1:3" x14ac:dyDescent="0.2">
      <c r="A1892" s="4" t="s">
        <v>1957</v>
      </c>
      <c r="B1892" s="1">
        <v>30000</v>
      </c>
      <c r="C1892" s="5">
        <v>8.573963277665618E-7</v>
      </c>
    </row>
    <row r="1893" spans="1:3" x14ac:dyDescent="0.2">
      <c r="A1893" s="4" t="s">
        <v>2039</v>
      </c>
      <c r="B1893" s="1">
        <v>30000</v>
      </c>
      <c r="C1893" s="5">
        <v>8.573963277665618E-7</v>
      </c>
    </row>
    <row r="1894" spans="1:3" x14ac:dyDescent="0.2">
      <c r="A1894" s="4" t="s">
        <v>1880</v>
      </c>
      <c r="B1894" s="1">
        <v>30000</v>
      </c>
      <c r="C1894" s="5">
        <v>8.573963277665618E-7</v>
      </c>
    </row>
    <row r="1895" spans="1:3" x14ac:dyDescent="0.2">
      <c r="A1895" s="4" t="s">
        <v>1701</v>
      </c>
      <c r="B1895" s="1">
        <v>30000</v>
      </c>
      <c r="C1895" s="5">
        <v>8.573963277665618E-7</v>
      </c>
    </row>
    <row r="1896" spans="1:3" x14ac:dyDescent="0.2">
      <c r="A1896" s="4" t="s">
        <v>1596</v>
      </c>
      <c r="B1896" s="1">
        <v>30000</v>
      </c>
      <c r="C1896" s="5">
        <v>8.573963277665618E-7</v>
      </c>
    </row>
    <row r="1897" spans="1:3" x14ac:dyDescent="0.2">
      <c r="A1897" s="4" t="s">
        <v>1700</v>
      </c>
      <c r="B1897" s="1">
        <v>30000</v>
      </c>
      <c r="C1897" s="5">
        <v>8.573963277665618E-7</v>
      </c>
    </row>
    <row r="1898" spans="1:3" x14ac:dyDescent="0.2">
      <c r="A1898" s="4" t="s">
        <v>1623</v>
      </c>
      <c r="B1898" s="1">
        <v>30000</v>
      </c>
      <c r="C1898" s="5">
        <v>8.573963277665618E-7</v>
      </c>
    </row>
    <row r="1899" spans="1:3" x14ac:dyDescent="0.2">
      <c r="A1899" s="4" t="s">
        <v>1707</v>
      </c>
      <c r="B1899" s="1">
        <v>30000</v>
      </c>
      <c r="C1899" s="5">
        <v>8.573963277665618E-7</v>
      </c>
    </row>
    <row r="1900" spans="1:3" x14ac:dyDescent="0.2">
      <c r="A1900" s="4" t="s">
        <v>1641</v>
      </c>
      <c r="B1900" s="1">
        <v>30000</v>
      </c>
      <c r="C1900" s="5">
        <v>8.573963277665618E-7</v>
      </c>
    </row>
    <row r="1901" spans="1:3" x14ac:dyDescent="0.2">
      <c r="A1901" s="4" t="s">
        <v>1271</v>
      </c>
      <c r="B1901" s="1">
        <v>30000</v>
      </c>
      <c r="C1901" s="5">
        <v>8.573963277665618E-7</v>
      </c>
    </row>
    <row r="1902" spans="1:3" x14ac:dyDescent="0.2">
      <c r="A1902" s="4" t="s">
        <v>1303</v>
      </c>
      <c r="B1902" s="1">
        <v>30000</v>
      </c>
      <c r="C1902" s="5">
        <v>8.573963277665618E-7</v>
      </c>
    </row>
    <row r="1903" spans="1:3" x14ac:dyDescent="0.2">
      <c r="A1903" s="4" t="s">
        <v>1247</v>
      </c>
      <c r="B1903" s="1">
        <v>30000</v>
      </c>
      <c r="C1903" s="5">
        <v>8.573963277665618E-7</v>
      </c>
    </row>
    <row r="1904" spans="1:3" x14ac:dyDescent="0.2">
      <c r="A1904" s="4" t="s">
        <v>1296</v>
      </c>
      <c r="B1904" s="1">
        <v>30000</v>
      </c>
      <c r="C1904" s="5">
        <v>8.573963277665618E-7</v>
      </c>
    </row>
    <row r="1905" spans="1:3" x14ac:dyDescent="0.2">
      <c r="A1905" s="4" t="s">
        <v>1398</v>
      </c>
      <c r="B1905" s="1">
        <v>30000</v>
      </c>
      <c r="C1905" s="5">
        <v>8.573963277665618E-7</v>
      </c>
    </row>
    <row r="1906" spans="1:3" x14ac:dyDescent="0.2">
      <c r="A1906" s="4" t="s">
        <v>1339</v>
      </c>
      <c r="B1906" s="1">
        <v>30000</v>
      </c>
      <c r="C1906" s="5">
        <v>8.573963277665618E-7</v>
      </c>
    </row>
    <row r="1907" spans="1:3" x14ac:dyDescent="0.2">
      <c r="A1907" s="4" t="s">
        <v>1509</v>
      </c>
      <c r="B1907" s="1">
        <v>30000</v>
      </c>
      <c r="C1907" s="5">
        <v>8.573963277665618E-7</v>
      </c>
    </row>
    <row r="1908" spans="1:3" x14ac:dyDescent="0.2">
      <c r="A1908" s="4" t="s">
        <v>1315</v>
      </c>
      <c r="B1908" s="1">
        <v>30000</v>
      </c>
      <c r="C1908" s="5">
        <v>8.573963277665618E-7</v>
      </c>
    </row>
    <row r="1909" spans="1:3" x14ac:dyDescent="0.2">
      <c r="A1909" s="4" t="s">
        <v>1165</v>
      </c>
      <c r="B1909" s="1">
        <v>30000</v>
      </c>
      <c r="C1909" s="5">
        <v>8.573963277665618E-7</v>
      </c>
    </row>
    <row r="1910" spans="1:3" x14ac:dyDescent="0.2">
      <c r="A1910" s="4" t="s">
        <v>1222</v>
      </c>
      <c r="B1910" s="1">
        <v>30000</v>
      </c>
      <c r="C1910" s="5">
        <v>8.573963277665618E-7</v>
      </c>
    </row>
    <row r="1911" spans="1:3" x14ac:dyDescent="0.2">
      <c r="A1911" s="4" t="s">
        <v>1197</v>
      </c>
      <c r="B1911" s="1">
        <v>30000</v>
      </c>
      <c r="C1911" s="5">
        <v>8.573963277665618E-7</v>
      </c>
    </row>
    <row r="1912" spans="1:3" x14ac:dyDescent="0.2">
      <c r="A1912" s="4" t="s">
        <v>1153</v>
      </c>
      <c r="B1912" s="1">
        <v>30000</v>
      </c>
      <c r="C1912" s="5">
        <v>8.573963277665618E-7</v>
      </c>
    </row>
    <row r="1913" spans="1:3" x14ac:dyDescent="0.2">
      <c r="A1913" s="4" t="s">
        <v>1223</v>
      </c>
      <c r="B1913" s="1">
        <v>30000</v>
      </c>
      <c r="C1913" s="5">
        <v>8.573963277665618E-7</v>
      </c>
    </row>
    <row r="1914" spans="1:3" x14ac:dyDescent="0.2">
      <c r="A1914" s="4" t="s">
        <v>1119</v>
      </c>
      <c r="B1914" s="1">
        <v>30000</v>
      </c>
      <c r="C1914" s="5">
        <v>8.573963277665618E-7</v>
      </c>
    </row>
    <row r="1915" spans="1:3" x14ac:dyDescent="0.2">
      <c r="A1915" s="4" t="s">
        <v>1132</v>
      </c>
      <c r="B1915" s="1">
        <v>30000</v>
      </c>
      <c r="C1915" s="5">
        <v>8.573963277665618E-7</v>
      </c>
    </row>
    <row r="1916" spans="1:3" x14ac:dyDescent="0.2">
      <c r="A1916" s="4" t="s">
        <v>1201</v>
      </c>
      <c r="B1916" s="1">
        <v>30000</v>
      </c>
      <c r="C1916" s="5">
        <v>8.573963277665618E-7</v>
      </c>
    </row>
    <row r="1917" spans="1:3" x14ac:dyDescent="0.2">
      <c r="A1917" s="4" t="s">
        <v>1214</v>
      </c>
      <c r="B1917" s="1">
        <v>30000</v>
      </c>
      <c r="C1917" s="5">
        <v>8.573963277665618E-7</v>
      </c>
    </row>
    <row r="1918" spans="1:3" x14ac:dyDescent="0.2">
      <c r="A1918" s="4" t="s">
        <v>1188</v>
      </c>
      <c r="B1918" s="1">
        <v>30000</v>
      </c>
      <c r="C1918" s="5">
        <v>8.573963277665618E-7</v>
      </c>
    </row>
    <row r="1919" spans="1:3" x14ac:dyDescent="0.2">
      <c r="A1919" s="4" t="s">
        <v>1196</v>
      </c>
      <c r="B1919" s="1">
        <v>30000</v>
      </c>
      <c r="C1919" s="5">
        <v>8.573963277665618E-7</v>
      </c>
    </row>
    <row r="1920" spans="1:3" x14ac:dyDescent="0.2">
      <c r="A1920" s="4" t="s">
        <v>1306</v>
      </c>
      <c r="B1920" s="1">
        <v>29000</v>
      </c>
      <c r="C1920" s="5">
        <v>8.2881645017434306E-7</v>
      </c>
    </row>
    <row r="1921" spans="1:3" x14ac:dyDescent="0.2">
      <c r="A1921" s="4" t="s">
        <v>1258</v>
      </c>
      <c r="B1921" s="1">
        <v>29000</v>
      </c>
      <c r="C1921" s="5">
        <v>8.2881645017434306E-7</v>
      </c>
    </row>
    <row r="1922" spans="1:3" x14ac:dyDescent="0.2">
      <c r="A1922" s="4" t="s">
        <v>1317</v>
      </c>
      <c r="B1922" s="1">
        <v>29000</v>
      </c>
      <c r="C1922" s="5">
        <v>8.2881645017434306E-7</v>
      </c>
    </row>
    <row r="1923" spans="1:3" x14ac:dyDescent="0.2">
      <c r="A1923" s="4" t="s">
        <v>1205</v>
      </c>
      <c r="B1923" s="1">
        <v>29000</v>
      </c>
      <c r="C1923" s="5">
        <v>8.2881645017434306E-7</v>
      </c>
    </row>
    <row r="1924" spans="1:3" x14ac:dyDescent="0.2">
      <c r="A1924" s="4" t="s">
        <v>2239</v>
      </c>
      <c r="B1924" s="1">
        <v>28000</v>
      </c>
      <c r="C1924" s="5">
        <v>8.0023657258212443E-7</v>
      </c>
    </row>
    <row r="1925" spans="1:3" x14ac:dyDescent="0.2">
      <c r="A1925" s="4" t="s">
        <v>1164</v>
      </c>
      <c r="B1925" s="1">
        <v>28000</v>
      </c>
      <c r="C1925" s="5">
        <v>8.0023657258212443E-7</v>
      </c>
    </row>
    <row r="1926" spans="1:3" x14ac:dyDescent="0.2">
      <c r="A1926" s="4" t="s">
        <v>1629</v>
      </c>
      <c r="B1926" s="1">
        <v>27500</v>
      </c>
      <c r="C1926" s="5">
        <v>7.8594663378601506E-7</v>
      </c>
    </row>
    <row r="1927" spans="1:3" x14ac:dyDescent="0.2">
      <c r="A1927" s="4" t="s">
        <v>2542</v>
      </c>
      <c r="B1927" s="1">
        <v>27300</v>
      </c>
      <c r="C1927" s="5">
        <v>7.8023065826757125E-7</v>
      </c>
    </row>
    <row r="1928" spans="1:3" x14ac:dyDescent="0.2">
      <c r="A1928" s="4" t="s">
        <v>1397</v>
      </c>
      <c r="B1928" s="1">
        <v>26960</v>
      </c>
      <c r="C1928" s="5">
        <v>7.7051349988621693E-7</v>
      </c>
    </row>
    <row r="1929" spans="1:3" x14ac:dyDescent="0.2">
      <c r="A1929" s="4" t="s">
        <v>1392</v>
      </c>
      <c r="B1929" s="1">
        <v>26000</v>
      </c>
      <c r="C1929" s="5">
        <v>7.4307681739768695E-7</v>
      </c>
    </row>
    <row r="1930" spans="1:3" x14ac:dyDescent="0.2">
      <c r="A1930" s="4" t="s">
        <v>1029</v>
      </c>
      <c r="B1930" s="1">
        <v>26000</v>
      </c>
      <c r="C1930" s="5">
        <v>7.4307681739768695E-7</v>
      </c>
    </row>
    <row r="1931" spans="1:3" x14ac:dyDescent="0.2">
      <c r="A1931" s="4" t="s">
        <v>2726</v>
      </c>
      <c r="B1931" s="1">
        <v>25000</v>
      </c>
      <c r="C1931" s="5">
        <v>7.1449693980546821E-7</v>
      </c>
    </row>
    <row r="1932" spans="1:3" x14ac:dyDescent="0.2">
      <c r="A1932" s="4" t="s">
        <v>1705</v>
      </c>
      <c r="B1932" s="1">
        <v>25000</v>
      </c>
      <c r="C1932" s="5">
        <v>7.1449693980546821E-7</v>
      </c>
    </row>
    <row r="1933" spans="1:3" x14ac:dyDescent="0.2">
      <c r="A1933" s="4" t="s">
        <v>1622</v>
      </c>
      <c r="B1933" s="1">
        <v>25000</v>
      </c>
      <c r="C1933" s="5">
        <v>7.1449693980546821E-7</v>
      </c>
    </row>
    <row r="1934" spans="1:3" x14ac:dyDescent="0.2">
      <c r="A1934" s="4" t="s">
        <v>1616</v>
      </c>
      <c r="B1934" s="1">
        <v>25000</v>
      </c>
      <c r="C1934" s="5">
        <v>7.1449693980546821E-7</v>
      </c>
    </row>
    <row r="1935" spans="1:3" x14ac:dyDescent="0.2">
      <c r="A1935" s="4" t="s">
        <v>1791</v>
      </c>
      <c r="B1935" s="1">
        <v>25000</v>
      </c>
      <c r="C1935" s="5">
        <v>7.1449693980546821E-7</v>
      </c>
    </row>
    <row r="1936" spans="1:3" x14ac:dyDescent="0.2">
      <c r="A1936" s="4" t="s">
        <v>1351</v>
      </c>
      <c r="B1936" s="1">
        <v>25000</v>
      </c>
      <c r="C1936" s="5">
        <v>7.1449693980546821E-7</v>
      </c>
    </row>
    <row r="1937" spans="1:3" x14ac:dyDescent="0.2">
      <c r="A1937" s="4" t="s">
        <v>1375</v>
      </c>
      <c r="B1937" s="1">
        <v>25000</v>
      </c>
      <c r="C1937" s="5">
        <v>7.1449693980546821E-7</v>
      </c>
    </row>
    <row r="1938" spans="1:3" x14ac:dyDescent="0.2">
      <c r="A1938" s="4" t="s">
        <v>1292</v>
      </c>
      <c r="B1938" s="1">
        <v>25000</v>
      </c>
      <c r="C1938" s="5">
        <v>7.1449693980546821E-7</v>
      </c>
    </row>
    <row r="1939" spans="1:3" x14ac:dyDescent="0.2">
      <c r="A1939" s="4" t="s">
        <v>1298</v>
      </c>
      <c r="B1939" s="1">
        <v>25000</v>
      </c>
      <c r="C1939" s="5">
        <v>7.1449693980546821E-7</v>
      </c>
    </row>
    <row r="1940" spans="1:3" x14ac:dyDescent="0.2">
      <c r="A1940" s="4" t="s">
        <v>1257</v>
      </c>
      <c r="B1940" s="1">
        <v>25000</v>
      </c>
      <c r="C1940" s="5">
        <v>7.1449693980546821E-7</v>
      </c>
    </row>
    <row r="1941" spans="1:3" x14ac:dyDescent="0.2">
      <c r="A1941" s="4" t="s">
        <v>1354</v>
      </c>
      <c r="B1941" s="1">
        <v>25000</v>
      </c>
      <c r="C1941" s="5">
        <v>7.1449693980546821E-7</v>
      </c>
    </row>
    <row r="1942" spans="1:3" x14ac:dyDescent="0.2">
      <c r="A1942" s="4" t="s">
        <v>1415</v>
      </c>
      <c r="B1942" s="1">
        <v>25000</v>
      </c>
      <c r="C1942" s="5">
        <v>7.1449693980546821E-7</v>
      </c>
    </row>
    <row r="1943" spans="1:3" x14ac:dyDescent="0.2">
      <c r="A1943" s="4" t="s">
        <v>1309</v>
      </c>
      <c r="B1943" s="1">
        <v>25000</v>
      </c>
      <c r="C1943" s="5">
        <v>7.1449693980546821E-7</v>
      </c>
    </row>
    <row r="1944" spans="1:3" x14ac:dyDescent="0.2">
      <c r="A1944" s="4" t="s">
        <v>1311</v>
      </c>
      <c r="B1944" s="1">
        <v>25000</v>
      </c>
      <c r="C1944" s="5">
        <v>7.1449693980546821E-7</v>
      </c>
    </row>
    <row r="1945" spans="1:3" x14ac:dyDescent="0.2">
      <c r="A1945" s="4" t="s">
        <v>1228</v>
      </c>
      <c r="B1945" s="1">
        <v>25000</v>
      </c>
      <c r="C1945" s="5">
        <v>7.1449693980546821E-7</v>
      </c>
    </row>
    <row r="1946" spans="1:3" x14ac:dyDescent="0.2">
      <c r="A1946" s="4" t="s">
        <v>105</v>
      </c>
      <c r="B1946" s="1">
        <v>25000</v>
      </c>
      <c r="C1946" s="5">
        <v>7.1449693980546821E-7</v>
      </c>
    </row>
    <row r="1947" spans="1:3" x14ac:dyDescent="0.2">
      <c r="A1947" s="4" t="s">
        <v>249</v>
      </c>
      <c r="B1947" s="1">
        <v>24750</v>
      </c>
      <c r="C1947" s="5">
        <v>7.0735197040741347E-7</v>
      </c>
    </row>
    <row r="1948" spans="1:3" x14ac:dyDescent="0.2">
      <c r="A1948" s="4" t="s">
        <v>843</v>
      </c>
      <c r="B1948" s="1">
        <v>23500</v>
      </c>
      <c r="C1948" s="5">
        <v>6.7162712341714009E-7</v>
      </c>
    </row>
    <row r="1949" spans="1:3" x14ac:dyDescent="0.2">
      <c r="A1949" s="4" t="s">
        <v>1239</v>
      </c>
      <c r="B1949" s="1">
        <v>23000</v>
      </c>
      <c r="C1949" s="5">
        <v>6.5733718462103072E-7</v>
      </c>
    </row>
    <row r="1950" spans="1:3" x14ac:dyDescent="0.2">
      <c r="A1950" s="4" t="s">
        <v>2643</v>
      </c>
      <c r="B1950" s="1">
        <v>22250</v>
      </c>
      <c r="C1950" s="5">
        <v>6.3590227642686672E-7</v>
      </c>
    </row>
    <row r="1951" spans="1:3" x14ac:dyDescent="0.2">
      <c r="A1951" s="4" t="s">
        <v>2504</v>
      </c>
      <c r="B1951" s="1">
        <v>22000</v>
      </c>
      <c r="C1951" s="5">
        <v>6.2875730702881198E-7</v>
      </c>
    </row>
    <row r="1952" spans="1:3" x14ac:dyDescent="0.2">
      <c r="A1952" s="4" t="s">
        <v>1608</v>
      </c>
      <c r="B1952" s="1">
        <v>22000</v>
      </c>
      <c r="C1952" s="5">
        <v>6.2875730702881198E-7</v>
      </c>
    </row>
    <row r="1953" spans="1:3" x14ac:dyDescent="0.2">
      <c r="A1953" s="4" t="s">
        <v>2285</v>
      </c>
      <c r="B1953" s="1">
        <v>21635</v>
      </c>
      <c r="C1953" s="5">
        <v>6.1832565170765215E-7</v>
      </c>
    </row>
    <row r="1954" spans="1:3" x14ac:dyDescent="0.2">
      <c r="A1954" s="4" t="s">
        <v>540</v>
      </c>
      <c r="B1954" s="1">
        <v>21204.1</v>
      </c>
      <c r="C1954" s="5">
        <v>6.0601058245316512E-7</v>
      </c>
    </row>
    <row r="1955" spans="1:3" x14ac:dyDescent="0.2">
      <c r="A1955" s="4" t="s">
        <v>1014</v>
      </c>
      <c r="B1955" s="1">
        <v>21116.799999999999</v>
      </c>
      <c r="C1955" s="5">
        <v>6.0351555913936437E-7</v>
      </c>
    </row>
    <row r="1956" spans="1:3" x14ac:dyDescent="0.2">
      <c r="A1956" s="4" t="s">
        <v>2503</v>
      </c>
      <c r="B1956" s="1">
        <v>21000</v>
      </c>
      <c r="C1956" s="5">
        <v>6.0017742943659324E-7</v>
      </c>
    </row>
    <row r="1957" spans="1:3" x14ac:dyDescent="0.2">
      <c r="A1957" s="4" t="s">
        <v>2194</v>
      </c>
      <c r="B1957" s="1">
        <v>21000</v>
      </c>
      <c r="C1957" s="5">
        <v>6.0017742943659324E-7</v>
      </c>
    </row>
    <row r="1958" spans="1:3" x14ac:dyDescent="0.2">
      <c r="A1958" s="4" t="s">
        <v>1221</v>
      </c>
      <c r="B1958" s="1">
        <v>21000</v>
      </c>
      <c r="C1958" s="5">
        <v>6.0017742943659324E-7</v>
      </c>
    </row>
    <row r="1959" spans="1:3" x14ac:dyDescent="0.2">
      <c r="A1959" s="4" t="s">
        <v>2604</v>
      </c>
      <c r="B1959" s="1">
        <v>20000</v>
      </c>
      <c r="C1959" s="5">
        <v>5.7159755184437461E-7</v>
      </c>
    </row>
    <row r="1960" spans="1:3" x14ac:dyDescent="0.2">
      <c r="A1960" s="4" t="s">
        <v>2460</v>
      </c>
      <c r="B1960" s="1">
        <v>20000</v>
      </c>
      <c r="C1960" s="5">
        <v>5.7159755184437461E-7</v>
      </c>
    </row>
    <row r="1961" spans="1:3" x14ac:dyDescent="0.2">
      <c r="A1961" s="4" t="s">
        <v>2468</v>
      </c>
      <c r="B1961" s="1">
        <v>20000</v>
      </c>
      <c r="C1961" s="5">
        <v>5.7159755184437461E-7</v>
      </c>
    </row>
    <row r="1962" spans="1:3" x14ac:dyDescent="0.2">
      <c r="A1962" s="4" t="s">
        <v>2497</v>
      </c>
      <c r="B1962" s="1">
        <v>20000</v>
      </c>
      <c r="C1962" s="5">
        <v>5.7159755184437461E-7</v>
      </c>
    </row>
    <row r="1963" spans="1:3" x14ac:dyDescent="0.2">
      <c r="A1963" s="4" t="s">
        <v>2495</v>
      </c>
      <c r="B1963" s="1">
        <v>20000</v>
      </c>
      <c r="C1963" s="5">
        <v>5.7159755184437461E-7</v>
      </c>
    </row>
    <row r="1964" spans="1:3" x14ac:dyDescent="0.2">
      <c r="A1964" s="4" t="s">
        <v>2470</v>
      </c>
      <c r="B1964" s="1">
        <v>20000</v>
      </c>
      <c r="C1964" s="5">
        <v>5.7159755184437461E-7</v>
      </c>
    </row>
    <row r="1965" spans="1:3" x14ac:dyDescent="0.2">
      <c r="A1965" s="4" t="s">
        <v>2372</v>
      </c>
      <c r="B1965" s="1">
        <v>20000</v>
      </c>
      <c r="C1965" s="5">
        <v>5.7159755184437461E-7</v>
      </c>
    </row>
    <row r="1966" spans="1:3" x14ac:dyDescent="0.2">
      <c r="A1966" s="4" t="s">
        <v>2499</v>
      </c>
      <c r="B1966" s="1">
        <v>20000</v>
      </c>
      <c r="C1966" s="5">
        <v>5.7159755184437461E-7</v>
      </c>
    </row>
    <row r="1967" spans="1:3" x14ac:dyDescent="0.2">
      <c r="A1967" s="4" t="s">
        <v>2596</v>
      </c>
      <c r="B1967" s="1">
        <v>20000</v>
      </c>
      <c r="C1967" s="5">
        <v>5.7159755184437461E-7</v>
      </c>
    </row>
    <row r="1968" spans="1:3" x14ac:dyDescent="0.2">
      <c r="A1968" s="4" t="s">
        <v>2597</v>
      </c>
      <c r="B1968" s="1">
        <v>20000</v>
      </c>
      <c r="C1968" s="5">
        <v>5.7159755184437461E-7</v>
      </c>
    </row>
    <row r="1969" spans="1:3" x14ac:dyDescent="0.2">
      <c r="A1969" s="4" t="s">
        <v>2598</v>
      </c>
      <c r="B1969" s="1">
        <v>20000</v>
      </c>
      <c r="C1969" s="5">
        <v>5.7159755184437461E-7</v>
      </c>
    </row>
    <row r="1970" spans="1:3" x14ac:dyDescent="0.2">
      <c r="A1970" s="4" t="s">
        <v>2599</v>
      </c>
      <c r="B1970" s="1">
        <v>20000</v>
      </c>
      <c r="C1970" s="5">
        <v>5.7159755184437461E-7</v>
      </c>
    </row>
    <row r="1971" spans="1:3" x14ac:dyDescent="0.2">
      <c r="A1971" s="4" t="s">
        <v>2600</v>
      </c>
      <c r="B1971" s="1">
        <v>20000</v>
      </c>
      <c r="C1971" s="5">
        <v>5.7159755184437461E-7</v>
      </c>
    </row>
    <row r="1972" spans="1:3" x14ac:dyDescent="0.2">
      <c r="A1972" s="4" t="s">
        <v>2602</v>
      </c>
      <c r="B1972" s="1">
        <v>20000</v>
      </c>
      <c r="C1972" s="5">
        <v>5.7159755184437461E-7</v>
      </c>
    </row>
    <row r="1973" spans="1:3" x14ac:dyDescent="0.2">
      <c r="A1973" s="4" t="s">
        <v>2603</v>
      </c>
      <c r="B1973" s="1">
        <v>20000</v>
      </c>
      <c r="C1973" s="5">
        <v>5.7159755184437461E-7</v>
      </c>
    </row>
    <row r="1974" spans="1:3" x14ac:dyDescent="0.2">
      <c r="A1974" s="4" t="s">
        <v>2474</v>
      </c>
      <c r="B1974" s="1">
        <v>20000</v>
      </c>
      <c r="C1974" s="5">
        <v>5.7159755184437461E-7</v>
      </c>
    </row>
    <row r="1975" spans="1:3" x14ac:dyDescent="0.2">
      <c r="A1975" s="4" t="s">
        <v>2475</v>
      </c>
      <c r="B1975" s="1">
        <v>20000</v>
      </c>
      <c r="C1975" s="5">
        <v>5.7159755184437461E-7</v>
      </c>
    </row>
    <row r="1976" spans="1:3" x14ac:dyDescent="0.2">
      <c r="A1976" s="4" t="s">
        <v>2469</v>
      </c>
      <c r="B1976" s="1">
        <v>20000</v>
      </c>
      <c r="C1976" s="5">
        <v>5.7159755184437461E-7</v>
      </c>
    </row>
    <row r="1977" spans="1:3" x14ac:dyDescent="0.2">
      <c r="A1977" s="4" t="s">
        <v>2102</v>
      </c>
      <c r="B1977" s="1">
        <v>20000</v>
      </c>
      <c r="C1977" s="5">
        <v>5.7159755184437461E-7</v>
      </c>
    </row>
    <row r="1978" spans="1:3" x14ac:dyDescent="0.2">
      <c r="A1978" s="4" t="s">
        <v>2197</v>
      </c>
      <c r="B1978" s="1">
        <v>20000</v>
      </c>
      <c r="C1978" s="5">
        <v>5.7159755184437461E-7</v>
      </c>
    </row>
    <row r="1979" spans="1:3" x14ac:dyDescent="0.2">
      <c r="A1979" s="4" t="s">
        <v>2108</v>
      </c>
      <c r="B1979" s="1">
        <v>20000</v>
      </c>
      <c r="C1979" s="5">
        <v>5.7159755184437461E-7</v>
      </c>
    </row>
    <row r="1980" spans="1:3" x14ac:dyDescent="0.2">
      <c r="A1980" s="4" t="s">
        <v>2095</v>
      </c>
      <c r="B1980" s="1">
        <v>20000</v>
      </c>
      <c r="C1980" s="5">
        <v>5.7159755184437461E-7</v>
      </c>
    </row>
    <row r="1981" spans="1:3" x14ac:dyDescent="0.2">
      <c r="A1981" s="4" t="s">
        <v>2139</v>
      </c>
      <c r="B1981" s="1">
        <v>20000</v>
      </c>
      <c r="C1981" s="5">
        <v>5.7159755184437461E-7</v>
      </c>
    </row>
    <row r="1982" spans="1:3" x14ac:dyDescent="0.2">
      <c r="A1982" s="4" t="s">
        <v>2109</v>
      </c>
      <c r="B1982" s="1">
        <v>20000</v>
      </c>
      <c r="C1982" s="5">
        <v>5.7159755184437461E-7</v>
      </c>
    </row>
    <row r="1983" spans="1:3" x14ac:dyDescent="0.2">
      <c r="A1983" s="4" t="s">
        <v>2128</v>
      </c>
      <c r="B1983" s="1">
        <v>20000</v>
      </c>
      <c r="C1983" s="5">
        <v>5.7159755184437461E-7</v>
      </c>
    </row>
    <row r="1984" spans="1:3" x14ac:dyDescent="0.2">
      <c r="A1984" s="4" t="s">
        <v>2101</v>
      </c>
      <c r="B1984" s="1">
        <v>20000</v>
      </c>
      <c r="C1984" s="5">
        <v>5.7159755184437461E-7</v>
      </c>
    </row>
    <row r="1985" spans="1:3" x14ac:dyDescent="0.2">
      <c r="A1985" s="4" t="s">
        <v>2288</v>
      </c>
      <c r="B1985" s="1">
        <v>20000</v>
      </c>
      <c r="C1985" s="5">
        <v>5.7159755184437461E-7</v>
      </c>
    </row>
    <row r="1986" spans="1:3" x14ac:dyDescent="0.2">
      <c r="A1986" s="4" t="s">
        <v>2106</v>
      </c>
      <c r="B1986" s="1">
        <v>20000</v>
      </c>
      <c r="C1986" s="5">
        <v>5.7159755184437461E-7</v>
      </c>
    </row>
    <row r="1987" spans="1:3" x14ac:dyDescent="0.2">
      <c r="A1987" s="4" t="s">
        <v>2094</v>
      </c>
      <c r="B1987" s="1">
        <v>20000</v>
      </c>
      <c r="C1987" s="5">
        <v>5.7159755184437461E-7</v>
      </c>
    </row>
    <row r="1988" spans="1:3" x14ac:dyDescent="0.2">
      <c r="A1988" s="4" t="s">
        <v>2107</v>
      </c>
      <c r="B1988" s="1">
        <v>20000</v>
      </c>
      <c r="C1988" s="5">
        <v>5.7159755184437461E-7</v>
      </c>
    </row>
    <row r="1989" spans="1:3" x14ac:dyDescent="0.2">
      <c r="A1989" s="4" t="s">
        <v>2138</v>
      </c>
      <c r="B1989" s="1">
        <v>20000</v>
      </c>
      <c r="C1989" s="5">
        <v>5.7159755184437461E-7</v>
      </c>
    </row>
    <row r="1990" spans="1:3" x14ac:dyDescent="0.2">
      <c r="A1990" s="4" t="s">
        <v>2111</v>
      </c>
      <c r="B1990" s="1">
        <v>20000</v>
      </c>
      <c r="C1990" s="5">
        <v>5.7159755184437461E-7</v>
      </c>
    </row>
    <row r="1991" spans="1:3" x14ac:dyDescent="0.2">
      <c r="A1991" s="4" t="s">
        <v>2041</v>
      </c>
      <c r="B1991" s="1">
        <v>20000</v>
      </c>
      <c r="C1991" s="5">
        <v>5.7159755184437461E-7</v>
      </c>
    </row>
    <row r="1992" spans="1:3" x14ac:dyDescent="0.2">
      <c r="A1992" s="4" t="s">
        <v>2047</v>
      </c>
      <c r="B1992" s="1">
        <v>20000</v>
      </c>
      <c r="C1992" s="5">
        <v>5.7159755184437461E-7</v>
      </c>
    </row>
    <row r="1993" spans="1:3" x14ac:dyDescent="0.2">
      <c r="A1993" s="4" t="s">
        <v>2044</v>
      </c>
      <c r="B1993" s="1">
        <v>20000</v>
      </c>
      <c r="C1993" s="5">
        <v>5.7159755184437461E-7</v>
      </c>
    </row>
    <row r="1994" spans="1:3" x14ac:dyDescent="0.2">
      <c r="A1994" s="4" t="s">
        <v>1889</v>
      </c>
      <c r="B1994" s="1">
        <v>20000</v>
      </c>
      <c r="C1994" s="5">
        <v>5.7159755184437461E-7</v>
      </c>
    </row>
    <row r="1995" spans="1:3" x14ac:dyDescent="0.2">
      <c r="A1995" s="4" t="s">
        <v>2054</v>
      </c>
      <c r="B1995" s="1">
        <v>20000</v>
      </c>
      <c r="C1995" s="5">
        <v>5.7159755184437461E-7</v>
      </c>
    </row>
    <row r="1996" spans="1:3" x14ac:dyDescent="0.2">
      <c r="A1996" s="4" t="s">
        <v>1882</v>
      </c>
      <c r="B1996" s="1">
        <v>20000</v>
      </c>
      <c r="C1996" s="5">
        <v>5.7159755184437461E-7</v>
      </c>
    </row>
    <row r="1997" spans="1:3" x14ac:dyDescent="0.2">
      <c r="A1997" s="4" t="s">
        <v>2043</v>
      </c>
      <c r="B1997" s="1">
        <v>20000</v>
      </c>
      <c r="C1997" s="5">
        <v>5.7159755184437461E-7</v>
      </c>
    </row>
    <row r="1998" spans="1:3" x14ac:dyDescent="0.2">
      <c r="A1998" s="4" t="s">
        <v>1884</v>
      </c>
      <c r="B1998" s="1">
        <v>20000</v>
      </c>
      <c r="C1998" s="5">
        <v>5.7159755184437461E-7</v>
      </c>
    </row>
    <row r="1999" spans="1:3" x14ac:dyDescent="0.2">
      <c r="A1999" s="4" t="s">
        <v>2046</v>
      </c>
      <c r="B1999" s="1">
        <v>20000</v>
      </c>
      <c r="C1999" s="5">
        <v>5.7159755184437461E-7</v>
      </c>
    </row>
    <row r="2000" spans="1:3" x14ac:dyDescent="0.2">
      <c r="A2000" s="4" t="s">
        <v>1879</v>
      </c>
      <c r="B2000" s="1">
        <v>20000</v>
      </c>
      <c r="C2000" s="5">
        <v>5.7159755184437461E-7</v>
      </c>
    </row>
    <row r="2001" spans="1:3" x14ac:dyDescent="0.2">
      <c r="A2001" s="4" t="s">
        <v>2051</v>
      </c>
      <c r="B2001" s="1">
        <v>20000</v>
      </c>
      <c r="C2001" s="5">
        <v>5.7159755184437461E-7</v>
      </c>
    </row>
    <row r="2002" spans="1:3" x14ac:dyDescent="0.2">
      <c r="A2002" s="4" t="s">
        <v>2038</v>
      </c>
      <c r="B2002" s="1">
        <v>20000</v>
      </c>
      <c r="C2002" s="5">
        <v>5.7159755184437461E-7</v>
      </c>
    </row>
    <row r="2003" spans="1:3" x14ac:dyDescent="0.2">
      <c r="A2003" s="4" t="s">
        <v>2057</v>
      </c>
      <c r="B2003" s="1">
        <v>20000</v>
      </c>
      <c r="C2003" s="5">
        <v>5.7159755184437461E-7</v>
      </c>
    </row>
    <row r="2004" spans="1:3" x14ac:dyDescent="0.2">
      <c r="A2004" s="4" t="s">
        <v>2040</v>
      </c>
      <c r="B2004" s="1">
        <v>20000</v>
      </c>
      <c r="C2004" s="5">
        <v>5.7159755184437461E-7</v>
      </c>
    </row>
    <row r="2005" spans="1:3" x14ac:dyDescent="0.2">
      <c r="A2005" s="4" t="s">
        <v>2036</v>
      </c>
      <c r="B2005" s="1">
        <v>20000</v>
      </c>
      <c r="C2005" s="5">
        <v>5.7159755184437461E-7</v>
      </c>
    </row>
    <row r="2006" spans="1:3" x14ac:dyDescent="0.2">
      <c r="A2006" s="4" t="s">
        <v>1668</v>
      </c>
      <c r="B2006" s="1">
        <v>20000</v>
      </c>
      <c r="C2006" s="5">
        <v>5.7159755184437461E-7</v>
      </c>
    </row>
    <row r="2007" spans="1:3" x14ac:dyDescent="0.2">
      <c r="A2007" s="4" t="s">
        <v>1310</v>
      </c>
      <c r="B2007" s="1">
        <v>20000</v>
      </c>
      <c r="C2007" s="5">
        <v>5.7159755184437461E-7</v>
      </c>
    </row>
    <row r="2008" spans="1:3" x14ac:dyDescent="0.2">
      <c r="A2008" s="4" t="s">
        <v>1340</v>
      </c>
      <c r="B2008" s="1">
        <v>20000</v>
      </c>
      <c r="C2008" s="5">
        <v>5.7159755184437461E-7</v>
      </c>
    </row>
    <row r="2009" spans="1:3" x14ac:dyDescent="0.2">
      <c r="A2009" s="4" t="s">
        <v>1469</v>
      </c>
      <c r="B2009" s="1">
        <v>20000</v>
      </c>
      <c r="C2009" s="5">
        <v>5.7159755184437461E-7</v>
      </c>
    </row>
    <row r="2010" spans="1:3" x14ac:dyDescent="0.2">
      <c r="A2010" s="4" t="s">
        <v>1342</v>
      </c>
      <c r="B2010" s="1">
        <v>20000</v>
      </c>
      <c r="C2010" s="5">
        <v>5.7159755184437461E-7</v>
      </c>
    </row>
    <row r="2011" spans="1:3" x14ac:dyDescent="0.2">
      <c r="A2011" s="4" t="s">
        <v>1266</v>
      </c>
      <c r="B2011" s="1">
        <v>20000</v>
      </c>
      <c r="C2011" s="5">
        <v>5.7159755184437461E-7</v>
      </c>
    </row>
    <row r="2012" spans="1:3" x14ac:dyDescent="0.2">
      <c r="A2012" s="4" t="s">
        <v>1406</v>
      </c>
      <c r="B2012" s="1">
        <v>20000</v>
      </c>
      <c r="C2012" s="5">
        <v>5.7159755184437461E-7</v>
      </c>
    </row>
    <row r="2013" spans="1:3" x14ac:dyDescent="0.2">
      <c r="A2013" s="4" t="s">
        <v>1399</v>
      </c>
      <c r="B2013" s="1">
        <v>20000</v>
      </c>
      <c r="C2013" s="5">
        <v>5.7159755184437461E-7</v>
      </c>
    </row>
    <row r="2014" spans="1:3" x14ac:dyDescent="0.2">
      <c r="A2014" s="4" t="s">
        <v>974</v>
      </c>
      <c r="B2014" s="1">
        <v>20000</v>
      </c>
      <c r="C2014" s="5">
        <v>5.7159755184437461E-7</v>
      </c>
    </row>
    <row r="2015" spans="1:3" x14ac:dyDescent="0.2">
      <c r="A2015" s="4" t="s">
        <v>1112</v>
      </c>
      <c r="B2015" s="1">
        <v>20000</v>
      </c>
      <c r="C2015" s="5">
        <v>5.7159755184437461E-7</v>
      </c>
    </row>
    <row r="2016" spans="1:3" x14ac:dyDescent="0.2">
      <c r="A2016" s="4" t="s">
        <v>2326</v>
      </c>
      <c r="B2016" s="1">
        <v>19625</v>
      </c>
      <c r="C2016" s="5">
        <v>5.608800977472925E-7</v>
      </c>
    </row>
    <row r="2017" spans="1:3" x14ac:dyDescent="0.2">
      <c r="A2017" s="4" t="s">
        <v>2048</v>
      </c>
      <c r="B2017" s="1">
        <v>18000</v>
      </c>
      <c r="C2017" s="5">
        <v>5.1443779665993713E-7</v>
      </c>
    </row>
    <row r="2018" spans="1:3" x14ac:dyDescent="0.2">
      <c r="A2018" s="4" t="s">
        <v>1724</v>
      </c>
      <c r="B2018" s="1">
        <v>18000</v>
      </c>
      <c r="C2018" s="5">
        <v>5.1443779665993713E-7</v>
      </c>
    </row>
    <row r="2019" spans="1:3" x14ac:dyDescent="0.2">
      <c r="A2019" s="4" t="s">
        <v>1598</v>
      </c>
      <c r="B2019" s="1">
        <v>18000</v>
      </c>
      <c r="C2019" s="5">
        <v>5.1443779665993713E-7</v>
      </c>
    </row>
    <row r="2020" spans="1:3" x14ac:dyDescent="0.2">
      <c r="A2020" s="4" t="s">
        <v>1519</v>
      </c>
      <c r="B2020" s="1">
        <v>18000</v>
      </c>
      <c r="C2020" s="5">
        <v>5.1443779665993713E-7</v>
      </c>
    </row>
    <row r="2021" spans="1:3" x14ac:dyDescent="0.2">
      <c r="A2021" s="4" t="s">
        <v>2180</v>
      </c>
      <c r="B2021" s="1">
        <v>17860</v>
      </c>
      <c r="C2021" s="5">
        <v>5.1043661379702651E-7</v>
      </c>
    </row>
    <row r="2022" spans="1:3" x14ac:dyDescent="0.2">
      <c r="A2022" s="4" t="s">
        <v>1787</v>
      </c>
      <c r="B2022" s="1">
        <v>17462.8</v>
      </c>
      <c r="C2022" s="5">
        <v>4.9908468641739713E-7</v>
      </c>
    </row>
    <row r="2023" spans="1:3" x14ac:dyDescent="0.2">
      <c r="A2023" s="4" t="s">
        <v>1386</v>
      </c>
      <c r="B2023" s="1">
        <v>17000</v>
      </c>
      <c r="C2023" s="5">
        <v>4.8585791906771838E-7</v>
      </c>
    </row>
    <row r="2024" spans="1:3" x14ac:dyDescent="0.2">
      <c r="A2024" s="4" t="s">
        <v>2889</v>
      </c>
      <c r="B2024" s="1">
        <v>16500</v>
      </c>
      <c r="C2024" s="5">
        <v>4.7156798027160901E-7</v>
      </c>
    </row>
    <row r="2025" spans="1:3" x14ac:dyDescent="0.2">
      <c r="A2025" s="4" t="s">
        <v>1726</v>
      </c>
      <c r="B2025" s="1">
        <v>16000</v>
      </c>
      <c r="C2025" s="5">
        <v>4.5727804147549964E-7</v>
      </c>
    </row>
    <row r="2026" spans="1:3" x14ac:dyDescent="0.2">
      <c r="A2026" s="4" t="s">
        <v>2887</v>
      </c>
      <c r="B2026" s="1">
        <v>15000</v>
      </c>
      <c r="C2026" s="5">
        <v>4.286981638832809E-7</v>
      </c>
    </row>
    <row r="2027" spans="1:3" x14ac:dyDescent="0.2">
      <c r="A2027" s="4" t="s">
        <v>2511</v>
      </c>
      <c r="B2027" s="1">
        <v>15000</v>
      </c>
      <c r="C2027" s="5">
        <v>4.286981638832809E-7</v>
      </c>
    </row>
    <row r="2028" spans="1:3" x14ac:dyDescent="0.2">
      <c r="A2028" s="4" t="s">
        <v>2449</v>
      </c>
      <c r="B2028" s="1">
        <v>15000</v>
      </c>
      <c r="C2028" s="5">
        <v>4.286981638832809E-7</v>
      </c>
    </row>
    <row r="2029" spans="1:3" x14ac:dyDescent="0.2">
      <c r="A2029" s="4" t="s">
        <v>2369</v>
      </c>
      <c r="B2029" s="1">
        <v>15000</v>
      </c>
      <c r="C2029" s="5">
        <v>4.286981638832809E-7</v>
      </c>
    </row>
    <row r="2030" spans="1:3" x14ac:dyDescent="0.2">
      <c r="A2030" s="4" t="s">
        <v>2371</v>
      </c>
      <c r="B2030" s="1">
        <v>15000</v>
      </c>
      <c r="C2030" s="5">
        <v>4.286981638832809E-7</v>
      </c>
    </row>
    <row r="2031" spans="1:3" x14ac:dyDescent="0.2">
      <c r="A2031" s="4" t="s">
        <v>1669</v>
      </c>
      <c r="B2031" s="1">
        <v>15000</v>
      </c>
      <c r="C2031" s="5">
        <v>4.286981638832809E-7</v>
      </c>
    </row>
    <row r="2032" spans="1:3" x14ac:dyDescent="0.2">
      <c r="A2032" s="4" t="s">
        <v>1506</v>
      </c>
      <c r="B2032" s="1">
        <v>15000</v>
      </c>
      <c r="C2032" s="5">
        <v>4.286981638832809E-7</v>
      </c>
    </row>
    <row r="2033" spans="1:3" x14ac:dyDescent="0.2">
      <c r="A2033" s="4" t="s">
        <v>1265</v>
      </c>
      <c r="B2033" s="1">
        <v>15000</v>
      </c>
      <c r="C2033" s="5">
        <v>4.286981638832809E-7</v>
      </c>
    </row>
    <row r="2034" spans="1:3" x14ac:dyDescent="0.2">
      <c r="A2034" s="4" t="s">
        <v>1389</v>
      </c>
      <c r="B2034" s="1">
        <v>15000</v>
      </c>
      <c r="C2034" s="5">
        <v>4.286981638832809E-7</v>
      </c>
    </row>
    <row r="2035" spans="1:3" x14ac:dyDescent="0.2">
      <c r="A2035" s="4" t="s">
        <v>1355</v>
      </c>
      <c r="B2035" s="1">
        <v>15000</v>
      </c>
      <c r="C2035" s="5">
        <v>4.286981638832809E-7</v>
      </c>
    </row>
    <row r="2036" spans="1:3" x14ac:dyDescent="0.2">
      <c r="A2036" s="4" t="s">
        <v>1343</v>
      </c>
      <c r="B2036" s="1">
        <v>15000</v>
      </c>
      <c r="C2036" s="5">
        <v>4.286981638832809E-7</v>
      </c>
    </row>
    <row r="2037" spans="1:3" x14ac:dyDescent="0.2">
      <c r="A2037" s="4" t="s">
        <v>1224</v>
      </c>
      <c r="B2037" s="1">
        <v>15000</v>
      </c>
      <c r="C2037" s="5">
        <v>4.286981638832809E-7</v>
      </c>
    </row>
    <row r="2038" spans="1:3" x14ac:dyDescent="0.2">
      <c r="A2038" s="4" t="s">
        <v>1130</v>
      </c>
      <c r="B2038" s="1">
        <v>15000</v>
      </c>
      <c r="C2038" s="5">
        <v>4.286981638832809E-7</v>
      </c>
    </row>
    <row r="2039" spans="1:3" x14ac:dyDescent="0.2">
      <c r="A2039" s="4" t="s">
        <v>1369</v>
      </c>
      <c r="B2039" s="1">
        <v>14988</v>
      </c>
      <c r="C2039" s="5">
        <v>4.2835520535217431E-7</v>
      </c>
    </row>
    <row r="2040" spans="1:3" x14ac:dyDescent="0.2">
      <c r="A2040" s="4" t="s">
        <v>2521</v>
      </c>
      <c r="B2040" s="1">
        <v>14472.7</v>
      </c>
      <c r="C2040" s="5">
        <v>4.1362799442890398E-7</v>
      </c>
    </row>
    <row r="2041" spans="1:3" x14ac:dyDescent="0.2">
      <c r="A2041" s="4" t="s">
        <v>2283</v>
      </c>
      <c r="B2041" s="1">
        <v>13549</v>
      </c>
      <c r="C2041" s="5">
        <v>3.8722876149697155E-7</v>
      </c>
    </row>
    <row r="2042" spans="1:3" x14ac:dyDescent="0.2">
      <c r="A2042" s="4" t="s">
        <v>142</v>
      </c>
      <c r="B2042" s="1">
        <v>13488.6</v>
      </c>
      <c r="C2042" s="5">
        <v>3.8550253689040156E-7</v>
      </c>
    </row>
    <row r="2043" spans="1:3" x14ac:dyDescent="0.2">
      <c r="A2043" s="4" t="s">
        <v>465</v>
      </c>
      <c r="B2043" s="1">
        <v>13018.099999999999</v>
      </c>
      <c r="C2043" s="5">
        <v>3.7205570448326257E-7</v>
      </c>
    </row>
    <row r="2044" spans="1:3" x14ac:dyDescent="0.2">
      <c r="A2044" s="4" t="s">
        <v>1738</v>
      </c>
      <c r="B2044" s="1">
        <v>12500</v>
      </c>
      <c r="C2044" s="5">
        <v>3.572484699027341E-7</v>
      </c>
    </row>
    <row r="2045" spans="1:3" x14ac:dyDescent="0.2">
      <c r="A2045" s="4" t="s">
        <v>1055</v>
      </c>
      <c r="B2045" s="1">
        <v>12500</v>
      </c>
      <c r="C2045" s="5">
        <v>3.572484699027341E-7</v>
      </c>
    </row>
    <row r="2046" spans="1:3" x14ac:dyDescent="0.2">
      <c r="A2046" s="4" t="s">
        <v>2514</v>
      </c>
      <c r="B2046" s="1">
        <v>12000</v>
      </c>
      <c r="C2046" s="5">
        <v>3.4295853110662473E-7</v>
      </c>
    </row>
    <row r="2047" spans="1:3" x14ac:dyDescent="0.2">
      <c r="A2047" s="4" t="s">
        <v>2472</v>
      </c>
      <c r="B2047" s="1">
        <v>12000</v>
      </c>
      <c r="C2047" s="5">
        <v>3.4295853110662473E-7</v>
      </c>
    </row>
    <row r="2048" spans="1:3" x14ac:dyDescent="0.2">
      <c r="A2048" s="4" t="s">
        <v>2471</v>
      </c>
      <c r="B2048" s="1">
        <v>12000</v>
      </c>
      <c r="C2048" s="5">
        <v>3.4295853110662473E-7</v>
      </c>
    </row>
    <row r="2049" spans="1:3" x14ac:dyDescent="0.2">
      <c r="A2049" s="4" t="s">
        <v>1892</v>
      </c>
      <c r="B2049" s="1">
        <v>12000</v>
      </c>
      <c r="C2049" s="5">
        <v>3.4295853110662473E-7</v>
      </c>
    </row>
    <row r="2050" spans="1:3" x14ac:dyDescent="0.2">
      <c r="A2050" s="4" t="s">
        <v>1900</v>
      </c>
      <c r="B2050" s="1">
        <v>12000</v>
      </c>
      <c r="C2050" s="5">
        <v>3.4295853110662473E-7</v>
      </c>
    </row>
    <row r="2051" spans="1:3" x14ac:dyDescent="0.2">
      <c r="A2051" s="4" t="s">
        <v>1920</v>
      </c>
      <c r="B2051" s="1">
        <v>12000</v>
      </c>
      <c r="C2051" s="5">
        <v>3.4295853110662473E-7</v>
      </c>
    </row>
    <row r="2052" spans="1:3" x14ac:dyDescent="0.2">
      <c r="A2052" s="4" t="s">
        <v>2022</v>
      </c>
      <c r="B2052" s="1">
        <v>12000</v>
      </c>
      <c r="C2052" s="5">
        <v>3.4295853110662473E-7</v>
      </c>
    </row>
    <row r="2053" spans="1:3" x14ac:dyDescent="0.2">
      <c r="A2053" s="4" t="s">
        <v>1937</v>
      </c>
      <c r="B2053" s="1">
        <v>12000</v>
      </c>
      <c r="C2053" s="5">
        <v>3.4295853110662473E-7</v>
      </c>
    </row>
    <row r="2054" spans="1:3" x14ac:dyDescent="0.2">
      <c r="A2054" s="4" t="s">
        <v>1901</v>
      </c>
      <c r="B2054" s="1">
        <v>12000</v>
      </c>
      <c r="C2054" s="5">
        <v>3.4295853110662473E-7</v>
      </c>
    </row>
    <row r="2055" spans="1:3" x14ac:dyDescent="0.2">
      <c r="A2055" s="4" t="s">
        <v>1805</v>
      </c>
      <c r="B2055" s="1">
        <v>12000</v>
      </c>
      <c r="C2055" s="5">
        <v>3.4295853110662473E-7</v>
      </c>
    </row>
    <row r="2056" spans="1:3" x14ac:dyDescent="0.2">
      <c r="A2056" s="4" t="s">
        <v>1966</v>
      </c>
      <c r="B2056" s="1">
        <v>12000</v>
      </c>
      <c r="C2056" s="5">
        <v>3.4295853110662473E-7</v>
      </c>
    </row>
    <row r="2057" spans="1:3" x14ac:dyDescent="0.2">
      <c r="A2057" s="4" t="s">
        <v>1797</v>
      </c>
      <c r="B2057" s="1">
        <v>12000</v>
      </c>
      <c r="C2057" s="5">
        <v>3.4295853110662473E-7</v>
      </c>
    </row>
    <row r="2058" spans="1:3" x14ac:dyDescent="0.2">
      <c r="A2058" s="4" t="s">
        <v>1851</v>
      </c>
      <c r="B2058" s="1">
        <v>12000</v>
      </c>
      <c r="C2058" s="5">
        <v>3.4295853110662473E-7</v>
      </c>
    </row>
    <row r="2059" spans="1:3" x14ac:dyDescent="0.2">
      <c r="A2059" s="4" t="s">
        <v>1684</v>
      </c>
      <c r="B2059" s="1">
        <v>12000</v>
      </c>
      <c r="C2059" s="5">
        <v>3.4295853110662473E-7</v>
      </c>
    </row>
    <row r="2060" spans="1:3" x14ac:dyDescent="0.2">
      <c r="A2060" s="4" t="s">
        <v>1667</v>
      </c>
      <c r="B2060" s="1">
        <v>12000</v>
      </c>
      <c r="C2060" s="5">
        <v>3.4295853110662473E-7</v>
      </c>
    </row>
    <row r="2061" spans="1:3" x14ac:dyDescent="0.2">
      <c r="A2061" s="4" t="s">
        <v>1755</v>
      </c>
      <c r="B2061" s="1">
        <v>12000</v>
      </c>
      <c r="C2061" s="5">
        <v>3.4295853110662473E-7</v>
      </c>
    </row>
    <row r="2062" spans="1:3" x14ac:dyDescent="0.2">
      <c r="A2062" s="4" t="s">
        <v>1365</v>
      </c>
      <c r="B2062" s="1">
        <v>12000</v>
      </c>
      <c r="C2062" s="5">
        <v>3.4295853110662473E-7</v>
      </c>
    </row>
    <row r="2063" spans="1:3" x14ac:dyDescent="0.2">
      <c r="A2063" s="4" t="s">
        <v>1353</v>
      </c>
      <c r="B2063" s="1">
        <v>12000</v>
      </c>
      <c r="C2063" s="5">
        <v>3.4295853110662473E-7</v>
      </c>
    </row>
    <row r="2064" spans="1:3" x14ac:dyDescent="0.2">
      <c r="A2064" s="4" t="s">
        <v>2395</v>
      </c>
      <c r="B2064" s="1">
        <v>11500</v>
      </c>
      <c r="C2064" s="5">
        <v>3.2866859231051536E-7</v>
      </c>
    </row>
    <row r="2065" spans="1:3" x14ac:dyDescent="0.2">
      <c r="A2065" s="4" t="s">
        <v>458</v>
      </c>
      <c r="B2065" s="1">
        <v>11061.6</v>
      </c>
      <c r="C2065" s="5">
        <v>3.1613917397408671E-7</v>
      </c>
    </row>
    <row r="2066" spans="1:3" x14ac:dyDescent="0.2">
      <c r="A2066" s="4" t="s">
        <v>1926</v>
      </c>
      <c r="B2066" s="1">
        <v>11000</v>
      </c>
      <c r="C2066" s="5">
        <v>3.1437865351440599E-7</v>
      </c>
    </row>
    <row r="2067" spans="1:3" x14ac:dyDescent="0.2">
      <c r="A2067" s="4" t="s">
        <v>2880</v>
      </c>
      <c r="B2067" s="1">
        <v>10000</v>
      </c>
      <c r="C2067" s="5">
        <v>2.857987759221873E-7</v>
      </c>
    </row>
    <row r="2068" spans="1:3" x14ac:dyDescent="0.2">
      <c r="A2068" s="4" t="s">
        <v>2868</v>
      </c>
      <c r="B2068" s="1">
        <v>10000</v>
      </c>
      <c r="C2068" s="5">
        <v>2.857987759221873E-7</v>
      </c>
    </row>
    <row r="2069" spans="1:3" x14ac:dyDescent="0.2">
      <c r="A2069" s="4" t="s">
        <v>2866</v>
      </c>
      <c r="B2069" s="1">
        <v>10000</v>
      </c>
      <c r="C2069" s="5">
        <v>2.857987759221873E-7</v>
      </c>
    </row>
    <row r="2070" spans="1:3" x14ac:dyDescent="0.2">
      <c r="A2070" s="4" t="s">
        <v>2869</v>
      </c>
      <c r="B2070" s="1">
        <v>10000</v>
      </c>
      <c r="C2070" s="5">
        <v>2.857987759221873E-7</v>
      </c>
    </row>
    <row r="2071" spans="1:3" x14ac:dyDescent="0.2">
      <c r="A2071" s="4" t="s">
        <v>2638</v>
      </c>
      <c r="B2071" s="1">
        <v>10000</v>
      </c>
      <c r="C2071" s="5">
        <v>2.857987759221873E-7</v>
      </c>
    </row>
    <row r="2072" spans="1:3" x14ac:dyDescent="0.2">
      <c r="A2072" s="4" t="s">
        <v>2870</v>
      </c>
      <c r="B2072" s="1">
        <v>10000</v>
      </c>
      <c r="C2072" s="5">
        <v>2.857987759221873E-7</v>
      </c>
    </row>
    <row r="2073" spans="1:3" x14ac:dyDescent="0.2">
      <c r="A2073" s="4" t="s">
        <v>2629</v>
      </c>
      <c r="B2073" s="1">
        <v>10000</v>
      </c>
      <c r="C2073" s="5">
        <v>2.857987759221873E-7</v>
      </c>
    </row>
    <row r="2074" spans="1:3" x14ac:dyDescent="0.2">
      <c r="A2074" s="4" t="s">
        <v>2579</v>
      </c>
      <c r="B2074" s="1">
        <v>10000</v>
      </c>
      <c r="C2074" s="5">
        <v>2.857987759221873E-7</v>
      </c>
    </row>
    <row r="2075" spans="1:3" x14ac:dyDescent="0.2">
      <c r="A2075" s="4" t="s">
        <v>2210</v>
      </c>
      <c r="B2075" s="1">
        <v>10000</v>
      </c>
      <c r="C2075" s="5">
        <v>2.857987759221873E-7</v>
      </c>
    </row>
    <row r="2076" spans="1:3" x14ac:dyDescent="0.2">
      <c r="A2076" s="4" t="s">
        <v>2130</v>
      </c>
      <c r="B2076" s="1">
        <v>10000</v>
      </c>
      <c r="C2076" s="5">
        <v>2.857987759221873E-7</v>
      </c>
    </row>
    <row r="2077" spans="1:3" x14ac:dyDescent="0.2">
      <c r="A2077" s="4" t="s">
        <v>2214</v>
      </c>
      <c r="B2077" s="1">
        <v>10000</v>
      </c>
      <c r="C2077" s="5">
        <v>2.857987759221873E-7</v>
      </c>
    </row>
    <row r="2078" spans="1:3" x14ac:dyDescent="0.2">
      <c r="A2078" s="4" t="s">
        <v>2241</v>
      </c>
      <c r="B2078" s="1">
        <v>10000</v>
      </c>
      <c r="C2078" s="5">
        <v>2.857987759221873E-7</v>
      </c>
    </row>
    <row r="2079" spans="1:3" x14ac:dyDescent="0.2">
      <c r="A2079" s="4" t="s">
        <v>1803</v>
      </c>
      <c r="B2079" s="1">
        <v>10000</v>
      </c>
      <c r="C2079" s="5">
        <v>2.857987759221873E-7</v>
      </c>
    </row>
    <row r="2080" spans="1:3" x14ac:dyDescent="0.2">
      <c r="A2080" s="4" t="s">
        <v>1697</v>
      </c>
      <c r="B2080" s="1">
        <v>10000</v>
      </c>
      <c r="C2080" s="5">
        <v>2.857987759221873E-7</v>
      </c>
    </row>
    <row r="2081" spans="1:3" x14ac:dyDescent="0.2">
      <c r="A2081" s="4" t="s">
        <v>1757</v>
      </c>
      <c r="B2081" s="1">
        <v>10000</v>
      </c>
      <c r="C2081" s="5">
        <v>2.857987759221873E-7</v>
      </c>
    </row>
    <row r="2082" spans="1:3" x14ac:dyDescent="0.2">
      <c r="A2082" s="4" t="s">
        <v>1698</v>
      </c>
      <c r="B2082" s="1">
        <v>10000</v>
      </c>
      <c r="C2082" s="5">
        <v>2.857987759221873E-7</v>
      </c>
    </row>
    <row r="2083" spans="1:3" x14ac:dyDescent="0.2">
      <c r="A2083" s="4" t="s">
        <v>1241</v>
      </c>
      <c r="B2083" s="1">
        <v>10000</v>
      </c>
      <c r="C2083" s="5">
        <v>2.857987759221873E-7</v>
      </c>
    </row>
    <row r="2084" spans="1:3" x14ac:dyDescent="0.2">
      <c r="A2084" s="4" t="s">
        <v>1286</v>
      </c>
      <c r="B2084" s="1">
        <v>10000</v>
      </c>
      <c r="C2084" s="5">
        <v>2.857987759221873E-7</v>
      </c>
    </row>
    <row r="2085" spans="1:3" x14ac:dyDescent="0.2">
      <c r="A2085" s="4" t="s">
        <v>1253</v>
      </c>
      <c r="B2085" s="1">
        <v>10000</v>
      </c>
      <c r="C2085" s="5">
        <v>2.857987759221873E-7</v>
      </c>
    </row>
    <row r="2086" spans="1:3" x14ac:dyDescent="0.2">
      <c r="A2086" s="4" t="s">
        <v>1364</v>
      </c>
      <c r="B2086" s="1">
        <v>10000</v>
      </c>
      <c r="C2086" s="5">
        <v>2.857987759221873E-7</v>
      </c>
    </row>
    <row r="2087" spans="1:3" x14ac:dyDescent="0.2">
      <c r="A2087" s="4" t="s">
        <v>1325</v>
      </c>
      <c r="B2087" s="1">
        <v>10000</v>
      </c>
      <c r="C2087" s="5">
        <v>2.857987759221873E-7</v>
      </c>
    </row>
    <row r="2088" spans="1:3" x14ac:dyDescent="0.2">
      <c r="A2088" s="4" t="s">
        <v>1328</v>
      </c>
      <c r="B2088" s="1">
        <v>10000</v>
      </c>
      <c r="C2088" s="5">
        <v>2.857987759221873E-7</v>
      </c>
    </row>
    <row r="2089" spans="1:3" x14ac:dyDescent="0.2">
      <c r="A2089" s="4" t="s">
        <v>1402</v>
      </c>
      <c r="B2089" s="1">
        <v>10000</v>
      </c>
      <c r="C2089" s="5">
        <v>2.857987759221873E-7</v>
      </c>
    </row>
    <row r="2090" spans="1:3" x14ac:dyDescent="0.2">
      <c r="A2090" s="4" t="s">
        <v>1297</v>
      </c>
      <c r="B2090" s="1">
        <v>10000</v>
      </c>
      <c r="C2090" s="5">
        <v>2.857987759221873E-7</v>
      </c>
    </row>
    <row r="2091" spans="1:3" x14ac:dyDescent="0.2">
      <c r="A2091" s="4" t="s">
        <v>1357</v>
      </c>
      <c r="B2091" s="1">
        <v>10000</v>
      </c>
      <c r="C2091" s="5">
        <v>2.857987759221873E-7</v>
      </c>
    </row>
    <row r="2092" spans="1:3" x14ac:dyDescent="0.2">
      <c r="A2092" s="4" t="s">
        <v>1267</v>
      </c>
      <c r="B2092" s="1">
        <v>10000</v>
      </c>
      <c r="C2092" s="5">
        <v>2.857987759221873E-7</v>
      </c>
    </row>
    <row r="2093" spans="1:3" x14ac:dyDescent="0.2">
      <c r="A2093" s="4" t="s">
        <v>1282</v>
      </c>
      <c r="B2093" s="1">
        <v>10000</v>
      </c>
      <c r="C2093" s="5">
        <v>2.857987759221873E-7</v>
      </c>
    </row>
    <row r="2094" spans="1:3" x14ac:dyDescent="0.2">
      <c r="A2094" s="4" t="s">
        <v>1261</v>
      </c>
      <c r="B2094" s="1">
        <v>10000</v>
      </c>
      <c r="C2094" s="5">
        <v>2.857987759221873E-7</v>
      </c>
    </row>
    <row r="2095" spans="1:3" x14ac:dyDescent="0.2">
      <c r="A2095" s="4" t="s">
        <v>1400</v>
      </c>
      <c r="B2095" s="1">
        <v>10000</v>
      </c>
      <c r="C2095" s="5">
        <v>2.857987759221873E-7</v>
      </c>
    </row>
    <row r="2096" spans="1:3" x14ac:dyDescent="0.2">
      <c r="A2096" s="4" t="s">
        <v>1319</v>
      </c>
      <c r="B2096" s="1">
        <v>10000</v>
      </c>
      <c r="C2096" s="5">
        <v>2.857987759221873E-7</v>
      </c>
    </row>
    <row r="2097" spans="1:3" x14ac:dyDescent="0.2">
      <c r="A2097" s="4" t="s">
        <v>1333</v>
      </c>
      <c r="B2097" s="1">
        <v>10000</v>
      </c>
      <c r="C2097" s="5">
        <v>2.857987759221873E-7</v>
      </c>
    </row>
    <row r="2098" spans="1:3" x14ac:dyDescent="0.2">
      <c r="A2098" s="4" t="s">
        <v>1281</v>
      </c>
      <c r="B2098" s="1">
        <v>10000</v>
      </c>
      <c r="C2098" s="5">
        <v>2.857987759221873E-7</v>
      </c>
    </row>
    <row r="2099" spans="1:3" x14ac:dyDescent="0.2">
      <c r="A2099" s="4" t="s">
        <v>1251</v>
      </c>
      <c r="B2099" s="1">
        <v>10000</v>
      </c>
      <c r="C2099" s="5">
        <v>2.857987759221873E-7</v>
      </c>
    </row>
    <row r="2100" spans="1:3" x14ac:dyDescent="0.2">
      <c r="A2100" s="4" t="s">
        <v>1123</v>
      </c>
      <c r="B2100" s="1">
        <v>10000</v>
      </c>
      <c r="C2100" s="5">
        <v>2.857987759221873E-7</v>
      </c>
    </row>
    <row r="2101" spans="1:3" x14ac:dyDescent="0.2">
      <c r="A2101" s="4" t="s">
        <v>1226</v>
      </c>
      <c r="B2101" s="1">
        <v>10000</v>
      </c>
      <c r="C2101" s="5">
        <v>2.857987759221873E-7</v>
      </c>
    </row>
    <row r="2102" spans="1:3" x14ac:dyDescent="0.2">
      <c r="A2102" s="4" t="s">
        <v>1163</v>
      </c>
      <c r="B2102" s="1">
        <v>10000</v>
      </c>
      <c r="C2102" s="5">
        <v>2.857987759221873E-7</v>
      </c>
    </row>
    <row r="2103" spans="1:3" x14ac:dyDescent="0.2">
      <c r="A2103" s="4" t="s">
        <v>1225</v>
      </c>
      <c r="B2103" s="1">
        <v>10000</v>
      </c>
      <c r="C2103" s="5">
        <v>2.857987759221873E-7</v>
      </c>
    </row>
    <row r="2104" spans="1:3" x14ac:dyDescent="0.2">
      <c r="A2104" s="4" t="s">
        <v>1158</v>
      </c>
      <c r="B2104" s="1">
        <v>10000</v>
      </c>
      <c r="C2104" s="5">
        <v>2.857987759221873E-7</v>
      </c>
    </row>
    <row r="2105" spans="1:3" x14ac:dyDescent="0.2">
      <c r="A2105" s="4" t="s">
        <v>1213</v>
      </c>
      <c r="B2105" s="1">
        <v>10000</v>
      </c>
      <c r="C2105" s="5">
        <v>2.857987759221873E-7</v>
      </c>
    </row>
    <row r="2106" spans="1:3" x14ac:dyDescent="0.2">
      <c r="A2106" s="4" t="s">
        <v>1191</v>
      </c>
      <c r="B2106" s="1">
        <v>10000</v>
      </c>
      <c r="C2106" s="5">
        <v>2.857987759221873E-7</v>
      </c>
    </row>
    <row r="2107" spans="1:3" x14ac:dyDescent="0.2">
      <c r="A2107" s="4" t="s">
        <v>1230</v>
      </c>
      <c r="B2107" s="1">
        <v>10000</v>
      </c>
      <c r="C2107" s="5">
        <v>2.857987759221873E-7</v>
      </c>
    </row>
    <row r="2108" spans="1:3" x14ac:dyDescent="0.2">
      <c r="A2108" s="4" t="s">
        <v>1131</v>
      </c>
      <c r="B2108" s="1">
        <v>10000</v>
      </c>
      <c r="C2108" s="5">
        <v>2.857987759221873E-7</v>
      </c>
    </row>
    <row r="2109" spans="1:3" x14ac:dyDescent="0.2">
      <c r="A2109" s="4" t="s">
        <v>1154</v>
      </c>
      <c r="B2109" s="1">
        <v>10000</v>
      </c>
      <c r="C2109" s="5">
        <v>2.857987759221873E-7</v>
      </c>
    </row>
    <row r="2110" spans="1:3" x14ac:dyDescent="0.2">
      <c r="A2110" s="4" t="s">
        <v>2795</v>
      </c>
      <c r="B2110" s="1">
        <v>9790</v>
      </c>
      <c r="C2110" s="5">
        <v>2.7979700162782133E-7</v>
      </c>
    </row>
    <row r="2111" spans="1:3" x14ac:dyDescent="0.2">
      <c r="A2111" s="4" t="s">
        <v>1320</v>
      </c>
      <c r="B2111" s="1">
        <v>9000</v>
      </c>
      <c r="C2111" s="5">
        <v>2.5721889832996856E-7</v>
      </c>
    </row>
    <row r="2112" spans="1:3" x14ac:dyDescent="0.2">
      <c r="A2112" s="4" t="s">
        <v>1149</v>
      </c>
      <c r="B2112" s="1">
        <v>9000</v>
      </c>
      <c r="C2112" s="5">
        <v>2.5721889832996856E-7</v>
      </c>
    </row>
    <row r="2113" spans="1:3" x14ac:dyDescent="0.2">
      <c r="A2113" s="4" t="s">
        <v>1126</v>
      </c>
      <c r="B2113" s="1">
        <v>9000</v>
      </c>
      <c r="C2113" s="5">
        <v>2.5721889832996856E-7</v>
      </c>
    </row>
    <row r="2114" spans="1:3" x14ac:dyDescent="0.2">
      <c r="A2114" s="4" t="s">
        <v>1051</v>
      </c>
      <c r="B2114" s="1">
        <v>8949</v>
      </c>
      <c r="C2114" s="5">
        <v>2.5576132457276542E-7</v>
      </c>
    </row>
    <row r="2115" spans="1:3" x14ac:dyDescent="0.2">
      <c r="A2115" s="4" t="s">
        <v>2528</v>
      </c>
      <c r="B2115" s="1">
        <v>8310</v>
      </c>
      <c r="C2115" s="5">
        <v>2.3749878279133762E-7</v>
      </c>
    </row>
    <row r="2116" spans="1:3" x14ac:dyDescent="0.2">
      <c r="A2116" s="4" t="s">
        <v>2466</v>
      </c>
      <c r="B2116" s="1">
        <v>8000</v>
      </c>
      <c r="C2116" s="5">
        <v>2.2863902073774982E-7</v>
      </c>
    </row>
    <row r="2117" spans="1:3" x14ac:dyDescent="0.2">
      <c r="A2117" s="4" t="s">
        <v>2452</v>
      </c>
      <c r="B2117" s="1">
        <v>8000</v>
      </c>
      <c r="C2117" s="5">
        <v>2.2863902073774982E-7</v>
      </c>
    </row>
    <row r="2118" spans="1:3" x14ac:dyDescent="0.2">
      <c r="A2118" s="4" t="s">
        <v>2359</v>
      </c>
      <c r="B2118" s="1">
        <v>7619.5</v>
      </c>
      <c r="C2118" s="5">
        <v>2.177643773139106E-7</v>
      </c>
    </row>
    <row r="2119" spans="1:3" x14ac:dyDescent="0.2">
      <c r="A2119" s="4" t="s">
        <v>2551</v>
      </c>
      <c r="B2119" s="1">
        <v>7500</v>
      </c>
      <c r="C2119" s="5">
        <v>2.1434908194164045E-7</v>
      </c>
    </row>
    <row r="2120" spans="1:3" x14ac:dyDescent="0.2">
      <c r="A2120" s="4" t="s">
        <v>460</v>
      </c>
      <c r="B2120" s="1">
        <v>7050</v>
      </c>
      <c r="C2120" s="5">
        <v>2.0148813702514203E-7</v>
      </c>
    </row>
    <row r="2121" spans="1:3" x14ac:dyDescent="0.2">
      <c r="A2121" s="4" t="s">
        <v>2090</v>
      </c>
      <c r="B2121" s="1">
        <v>7000</v>
      </c>
      <c r="C2121" s="5">
        <v>2.0005914314553111E-7</v>
      </c>
    </row>
    <row r="2122" spans="1:3" x14ac:dyDescent="0.2">
      <c r="A2122" s="4" t="s">
        <v>1528</v>
      </c>
      <c r="B2122" s="1">
        <v>7000</v>
      </c>
      <c r="C2122" s="5">
        <v>2.0005914314553111E-7</v>
      </c>
    </row>
    <row r="2123" spans="1:3" x14ac:dyDescent="0.2">
      <c r="A2123" s="4" t="s">
        <v>1337</v>
      </c>
      <c r="B2123" s="1">
        <v>7000</v>
      </c>
      <c r="C2123" s="5">
        <v>2.0005914314553111E-7</v>
      </c>
    </row>
    <row r="2124" spans="1:3" x14ac:dyDescent="0.2">
      <c r="A2124" s="4" t="s">
        <v>2811</v>
      </c>
      <c r="B2124" s="1">
        <v>6000</v>
      </c>
      <c r="C2124" s="5">
        <v>1.7147926555331237E-7</v>
      </c>
    </row>
    <row r="2125" spans="1:3" x14ac:dyDescent="0.2">
      <c r="A2125" s="4" t="s">
        <v>2851</v>
      </c>
      <c r="B2125" s="1">
        <v>6000</v>
      </c>
      <c r="C2125" s="5">
        <v>1.7147926555331237E-7</v>
      </c>
    </row>
    <row r="2126" spans="1:3" x14ac:dyDescent="0.2">
      <c r="A2126" s="4" t="s">
        <v>2832</v>
      </c>
      <c r="B2126" s="1">
        <v>6000</v>
      </c>
      <c r="C2126" s="5">
        <v>1.7147926555331237E-7</v>
      </c>
    </row>
    <row r="2127" spans="1:3" x14ac:dyDescent="0.2">
      <c r="A2127" s="4" t="s">
        <v>2730</v>
      </c>
      <c r="B2127" s="1">
        <v>6000</v>
      </c>
      <c r="C2127" s="5">
        <v>1.7147926555331237E-7</v>
      </c>
    </row>
    <row r="2128" spans="1:3" x14ac:dyDescent="0.2">
      <c r="A2128" s="4" t="s">
        <v>2725</v>
      </c>
      <c r="B2128" s="1">
        <v>6000</v>
      </c>
      <c r="C2128" s="5">
        <v>1.7147926555331237E-7</v>
      </c>
    </row>
    <row r="2129" spans="1:3" x14ac:dyDescent="0.2">
      <c r="A2129" s="4" t="s">
        <v>2731</v>
      </c>
      <c r="B2129" s="1">
        <v>6000</v>
      </c>
      <c r="C2129" s="5">
        <v>1.7147926555331237E-7</v>
      </c>
    </row>
    <row r="2130" spans="1:3" x14ac:dyDescent="0.2">
      <c r="A2130" s="4" t="s">
        <v>2823</v>
      </c>
      <c r="B2130" s="1">
        <v>6000</v>
      </c>
      <c r="C2130" s="5">
        <v>1.7147926555331237E-7</v>
      </c>
    </row>
    <row r="2131" spans="1:3" x14ac:dyDescent="0.2">
      <c r="A2131" s="4" t="s">
        <v>2732</v>
      </c>
      <c r="B2131" s="1">
        <v>6000</v>
      </c>
      <c r="C2131" s="5">
        <v>1.7147926555331237E-7</v>
      </c>
    </row>
    <row r="2132" spans="1:3" x14ac:dyDescent="0.2">
      <c r="A2132" s="4" t="s">
        <v>2842</v>
      </c>
      <c r="B2132" s="1">
        <v>6000</v>
      </c>
      <c r="C2132" s="5">
        <v>1.7147926555331237E-7</v>
      </c>
    </row>
    <row r="2133" spans="1:3" x14ac:dyDescent="0.2">
      <c r="A2133" s="4" t="s">
        <v>2733</v>
      </c>
      <c r="B2133" s="1">
        <v>6000</v>
      </c>
      <c r="C2133" s="5">
        <v>1.7147926555331237E-7</v>
      </c>
    </row>
    <row r="2134" spans="1:3" x14ac:dyDescent="0.2">
      <c r="A2134" s="4" t="s">
        <v>2710</v>
      </c>
      <c r="B2134" s="1">
        <v>6000</v>
      </c>
      <c r="C2134" s="5">
        <v>1.7147926555331237E-7</v>
      </c>
    </row>
    <row r="2135" spans="1:3" x14ac:dyDescent="0.2">
      <c r="A2135" s="4" t="s">
        <v>2734</v>
      </c>
      <c r="B2135" s="1">
        <v>6000</v>
      </c>
      <c r="C2135" s="5">
        <v>1.7147926555331237E-7</v>
      </c>
    </row>
    <row r="2136" spans="1:3" x14ac:dyDescent="0.2">
      <c r="A2136" s="4" t="s">
        <v>2805</v>
      </c>
      <c r="B2136" s="1">
        <v>6000</v>
      </c>
      <c r="C2136" s="5">
        <v>1.7147926555331237E-7</v>
      </c>
    </row>
    <row r="2137" spans="1:3" x14ac:dyDescent="0.2">
      <c r="A2137" s="4" t="s">
        <v>2735</v>
      </c>
      <c r="B2137" s="1">
        <v>6000</v>
      </c>
      <c r="C2137" s="5">
        <v>1.7147926555331237E-7</v>
      </c>
    </row>
    <row r="2138" spans="1:3" x14ac:dyDescent="0.2">
      <c r="A2138" s="4" t="s">
        <v>2704</v>
      </c>
      <c r="B2138" s="1">
        <v>6000</v>
      </c>
      <c r="C2138" s="5">
        <v>1.7147926555331237E-7</v>
      </c>
    </row>
    <row r="2139" spans="1:3" x14ac:dyDescent="0.2">
      <c r="A2139" s="4" t="s">
        <v>2736</v>
      </c>
      <c r="B2139" s="1">
        <v>6000</v>
      </c>
      <c r="C2139" s="5">
        <v>1.7147926555331237E-7</v>
      </c>
    </row>
    <row r="2140" spans="1:3" x14ac:dyDescent="0.2">
      <c r="A2140" s="4" t="s">
        <v>2828</v>
      </c>
      <c r="B2140" s="1">
        <v>6000</v>
      </c>
      <c r="C2140" s="5">
        <v>1.7147926555331237E-7</v>
      </c>
    </row>
    <row r="2141" spans="1:3" x14ac:dyDescent="0.2">
      <c r="A2141" s="4" t="s">
        <v>2737</v>
      </c>
      <c r="B2141" s="1">
        <v>6000</v>
      </c>
      <c r="C2141" s="5">
        <v>1.7147926555331237E-7</v>
      </c>
    </row>
    <row r="2142" spans="1:3" x14ac:dyDescent="0.2">
      <c r="A2142" s="4" t="s">
        <v>2837</v>
      </c>
      <c r="B2142" s="1">
        <v>6000</v>
      </c>
      <c r="C2142" s="5">
        <v>1.7147926555331237E-7</v>
      </c>
    </row>
    <row r="2143" spans="1:3" x14ac:dyDescent="0.2">
      <c r="A2143" s="4" t="s">
        <v>2738</v>
      </c>
      <c r="B2143" s="1">
        <v>6000</v>
      </c>
      <c r="C2143" s="5">
        <v>1.7147926555331237E-7</v>
      </c>
    </row>
    <row r="2144" spans="1:3" x14ac:dyDescent="0.2">
      <c r="A2144" s="4" t="s">
        <v>2847</v>
      </c>
      <c r="B2144" s="1">
        <v>6000</v>
      </c>
      <c r="C2144" s="5">
        <v>1.7147926555331237E-7</v>
      </c>
    </row>
    <row r="2145" spans="1:3" x14ac:dyDescent="0.2">
      <c r="A2145" s="4" t="s">
        <v>2739</v>
      </c>
      <c r="B2145" s="1">
        <v>6000</v>
      </c>
      <c r="C2145" s="5">
        <v>1.7147926555331237E-7</v>
      </c>
    </row>
    <row r="2146" spans="1:3" x14ac:dyDescent="0.2">
      <c r="A2146" s="4" t="s">
        <v>2671</v>
      </c>
      <c r="B2146" s="1">
        <v>6000</v>
      </c>
      <c r="C2146" s="5">
        <v>1.7147926555331237E-7</v>
      </c>
    </row>
    <row r="2147" spans="1:3" x14ac:dyDescent="0.2">
      <c r="A2147" s="4" t="s">
        <v>2740</v>
      </c>
      <c r="B2147" s="1">
        <v>6000</v>
      </c>
      <c r="C2147" s="5">
        <v>1.7147926555331237E-7</v>
      </c>
    </row>
    <row r="2148" spans="1:3" x14ac:dyDescent="0.2">
      <c r="A2148" s="4" t="s">
        <v>2712</v>
      </c>
      <c r="B2148" s="1">
        <v>6000</v>
      </c>
      <c r="C2148" s="5">
        <v>1.7147926555331237E-7</v>
      </c>
    </row>
    <row r="2149" spans="1:3" x14ac:dyDescent="0.2">
      <c r="A2149" s="4" t="s">
        <v>2741</v>
      </c>
      <c r="B2149" s="1">
        <v>6000</v>
      </c>
      <c r="C2149" s="5">
        <v>1.7147926555331237E-7</v>
      </c>
    </row>
    <row r="2150" spans="1:3" x14ac:dyDescent="0.2">
      <c r="A2150" s="4" t="s">
        <v>2719</v>
      </c>
      <c r="B2150" s="1">
        <v>6000</v>
      </c>
      <c r="C2150" s="5">
        <v>1.7147926555331237E-7</v>
      </c>
    </row>
    <row r="2151" spans="1:3" x14ac:dyDescent="0.2">
      <c r="A2151" s="4" t="s">
        <v>2742</v>
      </c>
      <c r="B2151" s="1">
        <v>6000</v>
      </c>
      <c r="C2151" s="5">
        <v>1.7147926555331237E-7</v>
      </c>
    </row>
    <row r="2152" spans="1:3" x14ac:dyDescent="0.2">
      <c r="A2152" s="4" t="s">
        <v>2809</v>
      </c>
      <c r="B2152" s="1">
        <v>6000</v>
      </c>
      <c r="C2152" s="5">
        <v>1.7147926555331237E-7</v>
      </c>
    </row>
    <row r="2153" spans="1:3" x14ac:dyDescent="0.2">
      <c r="A2153" s="4" t="s">
        <v>2743</v>
      </c>
      <c r="B2153" s="1">
        <v>6000</v>
      </c>
      <c r="C2153" s="5">
        <v>1.7147926555331237E-7</v>
      </c>
    </row>
    <row r="2154" spans="1:3" x14ac:dyDescent="0.2">
      <c r="A2154" s="4" t="s">
        <v>2814</v>
      </c>
      <c r="B2154" s="1">
        <v>6000</v>
      </c>
      <c r="C2154" s="5">
        <v>1.7147926555331237E-7</v>
      </c>
    </row>
    <row r="2155" spans="1:3" x14ac:dyDescent="0.2">
      <c r="A2155" s="4" t="s">
        <v>2745</v>
      </c>
      <c r="B2155" s="1">
        <v>6000</v>
      </c>
      <c r="C2155" s="5">
        <v>1.7147926555331237E-7</v>
      </c>
    </row>
    <row r="2156" spans="1:3" x14ac:dyDescent="0.2">
      <c r="A2156" s="4" t="s">
        <v>2821</v>
      </c>
      <c r="B2156" s="1">
        <v>6000</v>
      </c>
      <c r="C2156" s="5">
        <v>1.7147926555331237E-7</v>
      </c>
    </row>
    <row r="2157" spans="1:3" x14ac:dyDescent="0.2">
      <c r="A2157" s="4" t="s">
        <v>2746</v>
      </c>
      <c r="B2157" s="1">
        <v>6000</v>
      </c>
      <c r="C2157" s="5">
        <v>1.7147926555331237E-7</v>
      </c>
    </row>
    <row r="2158" spans="1:3" x14ac:dyDescent="0.2">
      <c r="A2158" s="4" t="s">
        <v>2825</v>
      </c>
      <c r="B2158" s="1">
        <v>6000</v>
      </c>
      <c r="C2158" s="5">
        <v>1.7147926555331237E-7</v>
      </c>
    </row>
    <row r="2159" spans="1:3" x14ac:dyDescent="0.2">
      <c r="A2159" s="4" t="s">
        <v>2747</v>
      </c>
      <c r="B2159" s="1">
        <v>6000</v>
      </c>
      <c r="C2159" s="5">
        <v>1.7147926555331237E-7</v>
      </c>
    </row>
    <row r="2160" spans="1:3" x14ac:dyDescent="0.2">
      <c r="A2160" s="4" t="s">
        <v>2830</v>
      </c>
      <c r="B2160" s="1">
        <v>6000</v>
      </c>
      <c r="C2160" s="5">
        <v>1.7147926555331237E-7</v>
      </c>
    </row>
    <row r="2161" spans="1:3" x14ac:dyDescent="0.2">
      <c r="A2161" s="4" t="s">
        <v>2748</v>
      </c>
      <c r="B2161" s="1">
        <v>6000</v>
      </c>
      <c r="C2161" s="5">
        <v>1.7147926555331237E-7</v>
      </c>
    </row>
    <row r="2162" spans="1:3" x14ac:dyDescent="0.2">
      <c r="A2162" s="4" t="s">
        <v>2835</v>
      </c>
      <c r="B2162" s="1">
        <v>6000</v>
      </c>
      <c r="C2162" s="5">
        <v>1.7147926555331237E-7</v>
      </c>
    </row>
    <row r="2163" spans="1:3" x14ac:dyDescent="0.2">
      <c r="A2163" s="4" t="s">
        <v>2750</v>
      </c>
      <c r="B2163" s="1">
        <v>6000</v>
      </c>
      <c r="C2163" s="5">
        <v>1.7147926555331237E-7</v>
      </c>
    </row>
    <row r="2164" spans="1:3" x14ac:dyDescent="0.2">
      <c r="A2164" s="4" t="s">
        <v>2839</v>
      </c>
      <c r="B2164" s="1">
        <v>6000</v>
      </c>
      <c r="C2164" s="5">
        <v>1.7147926555331237E-7</v>
      </c>
    </row>
    <row r="2165" spans="1:3" x14ac:dyDescent="0.2">
      <c r="A2165" s="4" t="s">
        <v>2753</v>
      </c>
      <c r="B2165" s="1">
        <v>6000</v>
      </c>
      <c r="C2165" s="5">
        <v>1.7147926555331237E-7</v>
      </c>
    </row>
    <row r="2166" spans="1:3" x14ac:dyDescent="0.2">
      <c r="A2166" s="4" t="s">
        <v>2844</v>
      </c>
      <c r="B2166" s="1">
        <v>6000</v>
      </c>
      <c r="C2166" s="5">
        <v>1.7147926555331237E-7</v>
      </c>
    </row>
    <row r="2167" spans="1:3" x14ac:dyDescent="0.2">
      <c r="A2167" s="4" t="s">
        <v>2754</v>
      </c>
      <c r="B2167" s="1">
        <v>6000</v>
      </c>
      <c r="C2167" s="5">
        <v>1.7147926555331237E-7</v>
      </c>
    </row>
    <row r="2168" spans="1:3" x14ac:dyDescent="0.2">
      <c r="A2168" s="4" t="s">
        <v>2849</v>
      </c>
      <c r="B2168" s="1">
        <v>6000</v>
      </c>
      <c r="C2168" s="5">
        <v>1.7147926555331237E-7</v>
      </c>
    </row>
    <row r="2169" spans="1:3" x14ac:dyDescent="0.2">
      <c r="A2169" s="4" t="s">
        <v>2756</v>
      </c>
      <c r="B2169" s="1">
        <v>6000</v>
      </c>
      <c r="C2169" s="5">
        <v>1.7147926555331237E-7</v>
      </c>
    </row>
    <row r="2170" spans="1:3" x14ac:dyDescent="0.2">
      <c r="A2170" s="4" t="s">
        <v>2854</v>
      </c>
      <c r="B2170" s="1">
        <v>6000</v>
      </c>
      <c r="C2170" s="5">
        <v>1.7147926555331237E-7</v>
      </c>
    </row>
    <row r="2171" spans="1:3" x14ac:dyDescent="0.2">
      <c r="A2171" s="4" t="s">
        <v>2757</v>
      </c>
      <c r="B2171" s="1">
        <v>6000</v>
      </c>
      <c r="C2171" s="5">
        <v>1.7147926555331237E-7</v>
      </c>
    </row>
    <row r="2172" spans="1:3" x14ac:dyDescent="0.2">
      <c r="A2172" s="4" t="s">
        <v>2729</v>
      </c>
      <c r="B2172" s="1">
        <v>6000</v>
      </c>
      <c r="C2172" s="5">
        <v>1.7147926555331237E-7</v>
      </c>
    </row>
    <row r="2173" spans="1:3" x14ac:dyDescent="0.2">
      <c r="A2173" s="4" t="s">
        <v>2758</v>
      </c>
      <c r="B2173" s="1">
        <v>6000</v>
      </c>
      <c r="C2173" s="5">
        <v>1.7147926555331237E-7</v>
      </c>
    </row>
    <row r="2174" spans="1:3" x14ac:dyDescent="0.2">
      <c r="A2174" s="4" t="s">
        <v>2676</v>
      </c>
      <c r="B2174" s="1">
        <v>6000</v>
      </c>
      <c r="C2174" s="5">
        <v>1.7147926555331237E-7</v>
      </c>
    </row>
    <row r="2175" spans="1:3" x14ac:dyDescent="0.2">
      <c r="A2175" s="4" t="s">
        <v>2759</v>
      </c>
      <c r="B2175" s="1">
        <v>6000</v>
      </c>
      <c r="C2175" s="5">
        <v>1.7147926555331237E-7</v>
      </c>
    </row>
    <row r="2176" spans="1:3" x14ac:dyDescent="0.2">
      <c r="A2176" s="4" t="s">
        <v>2728</v>
      </c>
      <c r="B2176" s="1">
        <v>6000</v>
      </c>
      <c r="C2176" s="5">
        <v>1.7147926555331237E-7</v>
      </c>
    </row>
    <row r="2177" spans="1:3" x14ac:dyDescent="0.2">
      <c r="A2177" s="4" t="s">
        <v>2760</v>
      </c>
      <c r="B2177" s="1">
        <v>6000</v>
      </c>
      <c r="C2177" s="5">
        <v>1.7147926555331237E-7</v>
      </c>
    </row>
    <row r="2178" spans="1:3" x14ac:dyDescent="0.2">
      <c r="A2178" s="4" t="s">
        <v>2685</v>
      </c>
      <c r="B2178" s="1">
        <v>6000</v>
      </c>
      <c r="C2178" s="5">
        <v>1.7147926555331237E-7</v>
      </c>
    </row>
    <row r="2179" spans="1:3" x14ac:dyDescent="0.2">
      <c r="A2179" s="4" t="s">
        <v>2761</v>
      </c>
      <c r="B2179" s="1">
        <v>6000</v>
      </c>
      <c r="C2179" s="5">
        <v>1.7147926555331237E-7</v>
      </c>
    </row>
    <row r="2180" spans="1:3" x14ac:dyDescent="0.2">
      <c r="A2180" s="4" t="s">
        <v>2666</v>
      </c>
      <c r="B2180" s="1">
        <v>6000</v>
      </c>
      <c r="C2180" s="5">
        <v>1.7147926555331237E-7</v>
      </c>
    </row>
    <row r="2181" spans="1:3" x14ac:dyDescent="0.2">
      <c r="A2181" s="4" t="s">
        <v>2762</v>
      </c>
      <c r="B2181" s="1">
        <v>6000</v>
      </c>
      <c r="C2181" s="5">
        <v>1.7147926555331237E-7</v>
      </c>
    </row>
    <row r="2182" spans="1:3" x14ac:dyDescent="0.2">
      <c r="A2182" s="4" t="s">
        <v>2806</v>
      </c>
      <c r="B2182" s="1">
        <v>6000</v>
      </c>
      <c r="C2182" s="5">
        <v>1.7147926555331237E-7</v>
      </c>
    </row>
    <row r="2183" spans="1:3" x14ac:dyDescent="0.2">
      <c r="A2183" s="4" t="s">
        <v>2764</v>
      </c>
      <c r="B2183" s="1">
        <v>6000</v>
      </c>
      <c r="C2183" s="5">
        <v>1.7147926555331237E-7</v>
      </c>
    </row>
    <row r="2184" spans="1:3" x14ac:dyDescent="0.2">
      <c r="A2184" s="4" t="s">
        <v>2810</v>
      </c>
      <c r="B2184" s="1">
        <v>6000</v>
      </c>
      <c r="C2184" s="5">
        <v>1.7147926555331237E-7</v>
      </c>
    </row>
    <row r="2185" spans="1:3" x14ac:dyDescent="0.2">
      <c r="A2185" s="4" t="s">
        <v>2768</v>
      </c>
      <c r="B2185" s="1">
        <v>6000</v>
      </c>
      <c r="C2185" s="5">
        <v>1.7147926555331237E-7</v>
      </c>
    </row>
    <row r="2186" spans="1:3" x14ac:dyDescent="0.2">
      <c r="A2186" s="4" t="s">
        <v>2812</v>
      </c>
      <c r="B2186" s="1">
        <v>6000</v>
      </c>
      <c r="C2186" s="5">
        <v>1.7147926555331237E-7</v>
      </c>
    </row>
    <row r="2187" spans="1:3" x14ac:dyDescent="0.2">
      <c r="A2187" s="4" t="s">
        <v>2769</v>
      </c>
      <c r="B2187" s="1">
        <v>6000</v>
      </c>
      <c r="C2187" s="5">
        <v>1.7147926555331237E-7</v>
      </c>
    </row>
    <row r="2188" spans="1:3" x14ac:dyDescent="0.2">
      <c r="A2188" s="4" t="s">
        <v>2815</v>
      </c>
      <c r="B2188" s="1">
        <v>6000</v>
      </c>
      <c r="C2188" s="5">
        <v>1.7147926555331237E-7</v>
      </c>
    </row>
    <row r="2189" spans="1:3" x14ac:dyDescent="0.2">
      <c r="A2189" s="4" t="s">
        <v>2770</v>
      </c>
      <c r="B2189" s="1">
        <v>6000</v>
      </c>
      <c r="C2189" s="5">
        <v>1.7147926555331237E-7</v>
      </c>
    </row>
    <row r="2190" spans="1:3" x14ac:dyDescent="0.2">
      <c r="A2190" s="4" t="s">
        <v>2819</v>
      </c>
      <c r="B2190" s="1">
        <v>6000</v>
      </c>
      <c r="C2190" s="5">
        <v>1.7147926555331237E-7</v>
      </c>
    </row>
    <row r="2191" spans="1:3" x14ac:dyDescent="0.2">
      <c r="A2191" s="4" t="s">
        <v>2669</v>
      </c>
      <c r="B2191" s="1">
        <v>6000</v>
      </c>
      <c r="C2191" s="5">
        <v>1.7147926555331237E-7</v>
      </c>
    </row>
    <row r="2192" spans="1:3" x14ac:dyDescent="0.2">
      <c r="A2192" s="4" t="s">
        <v>2822</v>
      </c>
      <c r="B2192" s="1">
        <v>6000</v>
      </c>
      <c r="C2192" s="5">
        <v>1.7147926555331237E-7</v>
      </c>
    </row>
    <row r="2193" spans="1:3" x14ac:dyDescent="0.2">
      <c r="A2193" s="4" t="s">
        <v>2772</v>
      </c>
      <c r="B2193" s="1">
        <v>6000</v>
      </c>
      <c r="C2193" s="5">
        <v>1.7147926555331237E-7</v>
      </c>
    </row>
    <row r="2194" spans="1:3" x14ac:dyDescent="0.2">
      <c r="A2194" s="4" t="s">
        <v>2824</v>
      </c>
      <c r="B2194" s="1">
        <v>6000</v>
      </c>
      <c r="C2194" s="5">
        <v>1.7147926555331237E-7</v>
      </c>
    </row>
    <row r="2195" spans="1:3" x14ac:dyDescent="0.2">
      <c r="A2195" s="4" t="s">
        <v>2773</v>
      </c>
      <c r="B2195" s="1">
        <v>6000</v>
      </c>
      <c r="C2195" s="5">
        <v>1.7147926555331237E-7</v>
      </c>
    </row>
    <row r="2196" spans="1:3" x14ac:dyDescent="0.2">
      <c r="A2196" s="4" t="s">
        <v>2827</v>
      </c>
      <c r="B2196" s="1">
        <v>6000</v>
      </c>
      <c r="C2196" s="5">
        <v>1.7147926555331237E-7</v>
      </c>
    </row>
    <row r="2197" spans="1:3" x14ac:dyDescent="0.2">
      <c r="A2197" s="4" t="s">
        <v>2775</v>
      </c>
      <c r="B2197" s="1">
        <v>6000</v>
      </c>
      <c r="C2197" s="5">
        <v>1.7147926555331237E-7</v>
      </c>
    </row>
    <row r="2198" spans="1:3" x14ac:dyDescent="0.2">
      <c r="A2198" s="4" t="s">
        <v>2829</v>
      </c>
      <c r="B2198" s="1">
        <v>6000</v>
      </c>
      <c r="C2198" s="5">
        <v>1.7147926555331237E-7</v>
      </c>
    </row>
    <row r="2199" spans="1:3" x14ac:dyDescent="0.2">
      <c r="A2199" s="4" t="s">
        <v>2776</v>
      </c>
      <c r="B2199" s="1">
        <v>6000</v>
      </c>
      <c r="C2199" s="5">
        <v>1.7147926555331237E-7</v>
      </c>
    </row>
    <row r="2200" spans="1:3" x14ac:dyDescent="0.2">
      <c r="A2200" s="4" t="s">
        <v>2831</v>
      </c>
      <c r="B2200" s="1">
        <v>6000</v>
      </c>
      <c r="C2200" s="5">
        <v>1.7147926555331237E-7</v>
      </c>
    </row>
    <row r="2201" spans="1:3" x14ac:dyDescent="0.2">
      <c r="A2201" s="4" t="s">
        <v>2777</v>
      </c>
      <c r="B2201" s="1">
        <v>6000</v>
      </c>
      <c r="C2201" s="5">
        <v>1.7147926555331237E-7</v>
      </c>
    </row>
    <row r="2202" spans="1:3" x14ac:dyDescent="0.2">
      <c r="A2202" s="4" t="s">
        <v>2833</v>
      </c>
      <c r="B2202" s="1">
        <v>6000</v>
      </c>
      <c r="C2202" s="5">
        <v>1.7147926555331237E-7</v>
      </c>
    </row>
    <row r="2203" spans="1:3" x14ac:dyDescent="0.2">
      <c r="A2203" s="4" t="s">
        <v>2779</v>
      </c>
      <c r="B2203" s="1">
        <v>6000</v>
      </c>
      <c r="C2203" s="5">
        <v>1.7147926555331237E-7</v>
      </c>
    </row>
    <row r="2204" spans="1:3" x14ac:dyDescent="0.2">
      <c r="A2204" s="4" t="s">
        <v>2836</v>
      </c>
      <c r="B2204" s="1">
        <v>6000</v>
      </c>
      <c r="C2204" s="5">
        <v>1.7147926555331237E-7</v>
      </c>
    </row>
    <row r="2205" spans="1:3" x14ac:dyDescent="0.2">
      <c r="A2205" s="4" t="s">
        <v>2780</v>
      </c>
      <c r="B2205" s="1">
        <v>6000</v>
      </c>
      <c r="C2205" s="5">
        <v>1.7147926555331237E-7</v>
      </c>
    </row>
    <row r="2206" spans="1:3" x14ac:dyDescent="0.2">
      <c r="A2206" s="4" t="s">
        <v>2838</v>
      </c>
      <c r="B2206" s="1">
        <v>6000</v>
      </c>
      <c r="C2206" s="5">
        <v>1.7147926555331237E-7</v>
      </c>
    </row>
    <row r="2207" spans="1:3" x14ac:dyDescent="0.2">
      <c r="A2207" s="4" t="s">
        <v>2781</v>
      </c>
      <c r="B2207" s="1">
        <v>6000</v>
      </c>
      <c r="C2207" s="5">
        <v>1.7147926555331237E-7</v>
      </c>
    </row>
    <row r="2208" spans="1:3" x14ac:dyDescent="0.2">
      <c r="A2208" s="4" t="s">
        <v>2841</v>
      </c>
      <c r="B2208" s="1">
        <v>6000</v>
      </c>
      <c r="C2208" s="5">
        <v>1.7147926555331237E-7</v>
      </c>
    </row>
    <row r="2209" spans="1:3" x14ac:dyDescent="0.2">
      <c r="A2209" s="4" t="s">
        <v>2658</v>
      </c>
      <c r="B2209" s="1">
        <v>6000</v>
      </c>
      <c r="C2209" s="5">
        <v>1.7147926555331237E-7</v>
      </c>
    </row>
    <row r="2210" spans="1:3" x14ac:dyDescent="0.2">
      <c r="A2210" s="4" t="s">
        <v>2843</v>
      </c>
      <c r="B2210" s="1">
        <v>6000</v>
      </c>
      <c r="C2210" s="5">
        <v>1.7147926555331237E-7</v>
      </c>
    </row>
    <row r="2211" spans="1:3" x14ac:dyDescent="0.2">
      <c r="A2211" s="4" t="s">
        <v>2700</v>
      </c>
      <c r="B2211" s="1">
        <v>6000</v>
      </c>
      <c r="C2211" s="5">
        <v>1.7147926555331237E-7</v>
      </c>
    </row>
    <row r="2212" spans="1:3" x14ac:dyDescent="0.2">
      <c r="A2212" s="4" t="s">
        <v>2846</v>
      </c>
      <c r="B2212" s="1">
        <v>6000</v>
      </c>
      <c r="C2212" s="5">
        <v>1.7147926555331237E-7</v>
      </c>
    </row>
    <row r="2213" spans="1:3" x14ac:dyDescent="0.2">
      <c r="A2213" s="4" t="s">
        <v>2786</v>
      </c>
      <c r="B2213" s="1">
        <v>6000</v>
      </c>
      <c r="C2213" s="5">
        <v>1.7147926555331237E-7</v>
      </c>
    </row>
    <row r="2214" spans="1:3" x14ac:dyDescent="0.2">
      <c r="A2214" s="4" t="s">
        <v>2848</v>
      </c>
      <c r="B2214" s="1">
        <v>6000</v>
      </c>
      <c r="C2214" s="5">
        <v>1.7147926555331237E-7</v>
      </c>
    </row>
    <row r="2215" spans="1:3" x14ac:dyDescent="0.2">
      <c r="A2215" s="4" t="s">
        <v>2787</v>
      </c>
      <c r="B2215" s="1">
        <v>6000</v>
      </c>
      <c r="C2215" s="5">
        <v>1.7147926555331237E-7</v>
      </c>
    </row>
    <row r="2216" spans="1:3" x14ac:dyDescent="0.2">
      <c r="A2216" s="4" t="s">
        <v>2850</v>
      </c>
      <c r="B2216" s="1">
        <v>6000</v>
      </c>
      <c r="C2216" s="5">
        <v>1.7147926555331237E-7</v>
      </c>
    </row>
    <row r="2217" spans="1:3" x14ac:dyDescent="0.2">
      <c r="A2217" s="4" t="s">
        <v>2790</v>
      </c>
      <c r="B2217" s="1">
        <v>6000</v>
      </c>
      <c r="C2217" s="5">
        <v>1.7147926555331237E-7</v>
      </c>
    </row>
    <row r="2218" spans="1:3" x14ac:dyDescent="0.2">
      <c r="A2218" s="4" t="s">
        <v>2852</v>
      </c>
      <c r="B2218" s="1">
        <v>6000</v>
      </c>
      <c r="C2218" s="5">
        <v>1.7147926555331237E-7</v>
      </c>
    </row>
    <row r="2219" spans="1:3" x14ac:dyDescent="0.2">
      <c r="A2219" s="4" t="s">
        <v>2792</v>
      </c>
      <c r="B2219" s="1">
        <v>6000</v>
      </c>
      <c r="C2219" s="5">
        <v>1.7147926555331237E-7</v>
      </c>
    </row>
    <row r="2220" spans="1:3" x14ac:dyDescent="0.2">
      <c r="A2220" s="4" t="s">
        <v>2706</v>
      </c>
      <c r="B2220" s="1">
        <v>6000</v>
      </c>
      <c r="C2220" s="5">
        <v>1.7147926555331237E-7</v>
      </c>
    </row>
    <row r="2221" spans="1:3" x14ac:dyDescent="0.2">
      <c r="A2221" s="4" t="s">
        <v>2670</v>
      </c>
      <c r="B2221" s="1">
        <v>6000</v>
      </c>
      <c r="C2221" s="5">
        <v>1.7147926555331237E-7</v>
      </c>
    </row>
    <row r="2222" spans="1:3" x14ac:dyDescent="0.2">
      <c r="A2222" s="4" t="s">
        <v>2707</v>
      </c>
      <c r="B2222" s="1">
        <v>6000</v>
      </c>
      <c r="C2222" s="5">
        <v>1.7147926555331237E-7</v>
      </c>
    </row>
    <row r="2223" spans="1:3" x14ac:dyDescent="0.2">
      <c r="A2223" s="4" t="s">
        <v>2859</v>
      </c>
      <c r="B2223" s="1">
        <v>6000</v>
      </c>
      <c r="C2223" s="5">
        <v>1.7147926555331237E-7</v>
      </c>
    </row>
    <row r="2224" spans="1:3" x14ac:dyDescent="0.2">
      <c r="A2224" s="4" t="s">
        <v>2708</v>
      </c>
      <c r="B2224" s="1">
        <v>6000</v>
      </c>
      <c r="C2224" s="5">
        <v>1.7147926555331237E-7</v>
      </c>
    </row>
    <row r="2225" spans="1:3" x14ac:dyDescent="0.2">
      <c r="A2225" s="4" t="s">
        <v>2675</v>
      </c>
      <c r="B2225" s="1">
        <v>6000</v>
      </c>
      <c r="C2225" s="5">
        <v>1.7147926555331237E-7</v>
      </c>
    </row>
    <row r="2226" spans="1:3" x14ac:dyDescent="0.2">
      <c r="A2226" s="4" t="s">
        <v>2723</v>
      </c>
      <c r="B2226" s="1">
        <v>6000</v>
      </c>
      <c r="C2226" s="5">
        <v>1.7147926555331237E-7</v>
      </c>
    </row>
    <row r="2227" spans="1:3" x14ac:dyDescent="0.2">
      <c r="A2227" s="4" t="s">
        <v>2711</v>
      </c>
      <c r="B2227" s="1">
        <v>6000</v>
      </c>
      <c r="C2227" s="5">
        <v>1.7147926555331237E-7</v>
      </c>
    </row>
    <row r="2228" spans="1:3" x14ac:dyDescent="0.2">
      <c r="A2228" s="4" t="s">
        <v>2721</v>
      </c>
      <c r="B2228" s="1">
        <v>6000</v>
      </c>
      <c r="C2228" s="5">
        <v>1.7147926555331237E-7</v>
      </c>
    </row>
    <row r="2229" spans="1:3" x14ac:dyDescent="0.2">
      <c r="A2229" s="4" t="s">
        <v>2699</v>
      </c>
      <c r="B2229" s="1">
        <v>6000</v>
      </c>
      <c r="C2229" s="5">
        <v>1.7147926555331237E-7</v>
      </c>
    </row>
    <row r="2230" spans="1:3" x14ac:dyDescent="0.2">
      <c r="A2230" s="4" t="s">
        <v>2668</v>
      </c>
      <c r="B2230" s="1">
        <v>6000</v>
      </c>
      <c r="C2230" s="5">
        <v>1.7147926555331237E-7</v>
      </c>
    </row>
    <row r="2231" spans="1:3" x14ac:dyDescent="0.2">
      <c r="A2231" s="4" t="s">
        <v>2727</v>
      </c>
      <c r="B2231" s="1">
        <v>6000</v>
      </c>
      <c r="C2231" s="5">
        <v>1.7147926555331237E-7</v>
      </c>
    </row>
    <row r="2232" spans="1:3" x14ac:dyDescent="0.2">
      <c r="A2232" s="4" t="s">
        <v>2682</v>
      </c>
      <c r="B2232" s="1">
        <v>6000</v>
      </c>
      <c r="C2232" s="5">
        <v>1.7147926555331237E-7</v>
      </c>
    </row>
    <row r="2233" spans="1:3" x14ac:dyDescent="0.2">
      <c r="A2233" s="4" t="s">
        <v>2716</v>
      </c>
      <c r="B2233" s="1">
        <v>6000</v>
      </c>
      <c r="C2233" s="5">
        <v>1.7147926555331237E-7</v>
      </c>
    </row>
    <row r="2234" spans="1:3" x14ac:dyDescent="0.2">
      <c r="A2234" s="4" t="s">
        <v>2678</v>
      </c>
      <c r="B2234" s="1">
        <v>6000</v>
      </c>
      <c r="C2234" s="5">
        <v>1.7147926555331237E-7</v>
      </c>
    </row>
    <row r="2235" spans="1:3" x14ac:dyDescent="0.2">
      <c r="A2235" s="4" t="s">
        <v>2667</v>
      </c>
      <c r="B2235" s="1">
        <v>6000</v>
      </c>
      <c r="C2235" s="5">
        <v>1.7147926555331237E-7</v>
      </c>
    </row>
    <row r="2236" spans="1:3" x14ac:dyDescent="0.2">
      <c r="A2236" s="4" t="s">
        <v>2681</v>
      </c>
      <c r="B2236" s="1">
        <v>6000</v>
      </c>
      <c r="C2236" s="5">
        <v>1.7147926555331237E-7</v>
      </c>
    </row>
    <row r="2237" spans="1:3" x14ac:dyDescent="0.2">
      <c r="A2237" s="4" t="s">
        <v>2701</v>
      </c>
      <c r="B2237" s="1">
        <v>6000</v>
      </c>
      <c r="C2237" s="5">
        <v>1.7147926555331237E-7</v>
      </c>
    </row>
    <row r="2238" spans="1:3" x14ac:dyDescent="0.2">
      <c r="A2238" s="4" t="s">
        <v>2715</v>
      </c>
      <c r="B2238" s="1">
        <v>6000</v>
      </c>
      <c r="C2238" s="5">
        <v>1.7147926555331237E-7</v>
      </c>
    </row>
    <row r="2239" spans="1:3" x14ac:dyDescent="0.2">
      <c r="A2239" s="4" t="s">
        <v>2650</v>
      </c>
      <c r="B2239" s="1">
        <v>6000</v>
      </c>
      <c r="C2239" s="5">
        <v>1.7147926555331237E-7</v>
      </c>
    </row>
    <row r="2240" spans="1:3" x14ac:dyDescent="0.2">
      <c r="A2240" s="4" t="s">
        <v>2683</v>
      </c>
      <c r="B2240" s="1">
        <v>6000</v>
      </c>
      <c r="C2240" s="5">
        <v>1.7147926555331237E-7</v>
      </c>
    </row>
    <row r="2241" spans="1:3" x14ac:dyDescent="0.2">
      <c r="A2241" s="4" t="s">
        <v>2694</v>
      </c>
      <c r="B2241" s="1">
        <v>6000</v>
      </c>
      <c r="C2241" s="5">
        <v>1.7147926555331237E-7</v>
      </c>
    </row>
    <row r="2242" spans="1:3" x14ac:dyDescent="0.2">
      <c r="A2242" s="4" t="s">
        <v>2717</v>
      </c>
      <c r="B2242" s="1">
        <v>6000</v>
      </c>
      <c r="C2242" s="5">
        <v>1.7147926555331237E-7</v>
      </c>
    </row>
    <row r="2243" spans="1:3" x14ac:dyDescent="0.2">
      <c r="A2243" s="4" t="s">
        <v>2702</v>
      </c>
      <c r="B2243" s="1">
        <v>6000</v>
      </c>
      <c r="C2243" s="5">
        <v>1.7147926555331237E-7</v>
      </c>
    </row>
    <row r="2244" spans="1:3" x14ac:dyDescent="0.2">
      <c r="A2244" s="4" t="s">
        <v>2662</v>
      </c>
      <c r="B2244" s="1">
        <v>6000</v>
      </c>
      <c r="C2244" s="5">
        <v>1.7147926555331237E-7</v>
      </c>
    </row>
    <row r="2245" spans="1:3" x14ac:dyDescent="0.2">
      <c r="A2245" s="4" t="s">
        <v>2703</v>
      </c>
      <c r="B2245" s="1">
        <v>6000</v>
      </c>
      <c r="C2245" s="5">
        <v>1.7147926555331237E-7</v>
      </c>
    </row>
    <row r="2246" spans="1:3" x14ac:dyDescent="0.2">
      <c r="A2246" s="4" t="s">
        <v>2665</v>
      </c>
      <c r="B2246" s="1">
        <v>6000</v>
      </c>
      <c r="C2246" s="5">
        <v>1.7147926555331237E-7</v>
      </c>
    </row>
    <row r="2247" spans="1:3" x14ac:dyDescent="0.2">
      <c r="A2247" s="4" t="s">
        <v>2803</v>
      </c>
      <c r="B2247" s="1">
        <v>6000</v>
      </c>
      <c r="C2247" s="5">
        <v>1.7147926555331237E-7</v>
      </c>
    </row>
    <row r="2248" spans="1:3" x14ac:dyDescent="0.2">
      <c r="A2248" s="4" t="s">
        <v>2720</v>
      </c>
      <c r="B2248" s="1">
        <v>6000</v>
      </c>
      <c r="C2248" s="5">
        <v>1.7147926555331237E-7</v>
      </c>
    </row>
    <row r="2249" spans="1:3" x14ac:dyDescent="0.2">
      <c r="A2249" s="4" t="s">
        <v>2804</v>
      </c>
      <c r="B2249" s="1">
        <v>6000</v>
      </c>
      <c r="C2249" s="5">
        <v>1.7147926555331237E-7</v>
      </c>
    </row>
    <row r="2250" spans="1:3" x14ac:dyDescent="0.2">
      <c r="A2250" s="4" t="s">
        <v>2796</v>
      </c>
      <c r="B2250" s="1">
        <v>6000</v>
      </c>
      <c r="C2250" s="5">
        <v>1.7147926555331237E-7</v>
      </c>
    </row>
    <row r="2251" spans="1:3" x14ac:dyDescent="0.2">
      <c r="A2251" s="4" t="s">
        <v>2691</v>
      </c>
      <c r="B2251" s="1">
        <v>6000</v>
      </c>
      <c r="C2251" s="5">
        <v>1.7147926555331237E-7</v>
      </c>
    </row>
    <row r="2252" spans="1:3" x14ac:dyDescent="0.2">
      <c r="A2252" s="4" t="s">
        <v>2797</v>
      </c>
      <c r="B2252" s="1">
        <v>6000</v>
      </c>
      <c r="C2252" s="5">
        <v>1.7147926555331237E-7</v>
      </c>
    </row>
    <row r="2253" spans="1:3" x14ac:dyDescent="0.2">
      <c r="A2253" s="4" t="s">
        <v>2692</v>
      </c>
      <c r="B2253" s="1">
        <v>6000</v>
      </c>
      <c r="C2253" s="5">
        <v>1.7147926555331237E-7</v>
      </c>
    </row>
    <row r="2254" spans="1:3" x14ac:dyDescent="0.2">
      <c r="A2254" s="4" t="s">
        <v>2798</v>
      </c>
      <c r="B2254" s="1">
        <v>6000</v>
      </c>
      <c r="C2254" s="5">
        <v>1.7147926555331237E-7</v>
      </c>
    </row>
    <row r="2255" spans="1:3" x14ac:dyDescent="0.2">
      <c r="A2255" s="4" t="s">
        <v>2693</v>
      </c>
      <c r="B2255" s="1">
        <v>6000</v>
      </c>
      <c r="C2255" s="5">
        <v>1.7147926555331237E-7</v>
      </c>
    </row>
    <row r="2256" spans="1:3" x14ac:dyDescent="0.2">
      <c r="A2256" s="4" t="s">
        <v>2799</v>
      </c>
      <c r="B2256" s="1">
        <v>6000</v>
      </c>
      <c r="C2256" s="5">
        <v>1.7147926555331237E-7</v>
      </c>
    </row>
    <row r="2257" spans="1:3" x14ac:dyDescent="0.2">
      <c r="A2257" s="4" t="s">
        <v>2696</v>
      </c>
      <c r="B2257" s="1">
        <v>6000</v>
      </c>
      <c r="C2257" s="5">
        <v>1.7147926555331237E-7</v>
      </c>
    </row>
    <row r="2258" spans="1:3" x14ac:dyDescent="0.2">
      <c r="A2258" s="4" t="s">
        <v>2800</v>
      </c>
      <c r="B2258" s="1">
        <v>6000</v>
      </c>
      <c r="C2258" s="5">
        <v>1.7147926555331237E-7</v>
      </c>
    </row>
    <row r="2259" spans="1:3" x14ac:dyDescent="0.2">
      <c r="A2259" s="4" t="s">
        <v>2697</v>
      </c>
      <c r="B2259" s="1">
        <v>6000</v>
      </c>
      <c r="C2259" s="5">
        <v>1.7147926555331237E-7</v>
      </c>
    </row>
    <row r="2260" spans="1:3" x14ac:dyDescent="0.2">
      <c r="A2260" s="4" t="s">
        <v>2801</v>
      </c>
      <c r="B2260" s="1">
        <v>6000</v>
      </c>
      <c r="C2260" s="5">
        <v>1.7147926555331237E-7</v>
      </c>
    </row>
    <row r="2261" spans="1:3" x14ac:dyDescent="0.2">
      <c r="A2261" s="4" t="s">
        <v>2698</v>
      </c>
      <c r="B2261" s="1">
        <v>6000</v>
      </c>
      <c r="C2261" s="5">
        <v>1.7147926555331237E-7</v>
      </c>
    </row>
    <row r="2262" spans="1:3" x14ac:dyDescent="0.2">
      <c r="A2262" s="4" t="s">
        <v>2802</v>
      </c>
      <c r="B2262" s="1">
        <v>6000</v>
      </c>
      <c r="C2262" s="5">
        <v>1.7147926555331237E-7</v>
      </c>
    </row>
    <row r="2263" spans="1:3" x14ac:dyDescent="0.2">
      <c r="A2263" s="4" t="s">
        <v>2771</v>
      </c>
      <c r="B2263" s="1">
        <v>6000</v>
      </c>
      <c r="C2263" s="5">
        <v>1.7147926555331237E-7</v>
      </c>
    </row>
    <row r="2264" spans="1:3" x14ac:dyDescent="0.2">
      <c r="A2264" s="4" t="s">
        <v>2767</v>
      </c>
      <c r="B2264" s="1">
        <v>6000</v>
      </c>
      <c r="C2264" s="5">
        <v>1.7147926555331237E-7</v>
      </c>
    </row>
    <row r="2265" spans="1:3" x14ac:dyDescent="0.2">
      <c r="A2265" s="4" t="s">
        <v>2373</v>
      </c>
      <c r="B2265" s="1">
        <v>6000</v>
      </c>
      <c r="C2265" s="5">
        <v>1.7147926555331237E-7</v>
      </c>
    </row>
    <row r="2266" spans="1:3" x14ac:dyDescent="0.2">
      <c r="A2266" s="4" t="s">
        <v>2382</v>
      </c>
      <c r="B2266" s="1">
        <v>6000</v>
      </c>
      <c r="C2266" s="5">
        <v>1.7147926555331237E-7</v>
      </c>
    </row>
    <row r="2267" spans="1:3" x14ac:dyDescent="0.2">
      <c r="A2267" s="4" t="s">
        <v>2436</v>
      </c>
      <c r="B2267" s="1">
        <v>6000</v>
      </c>
      <c r="C2267" s="5">
        <v>1.7147926555331237E-7</v>
      </c>
    </row>
    <row r="2268" spans="1:3" x14ac:dyDescent="0.2">
      <c r="A2268" s="4" t="s">
        <v>2630</v>
      </c>
      <c r="B2268" s="1">
        <v>6000</v>
      </c>
      <c r="C2268" s="5">
        <v>1.7147926555331237E-7</v>
      </c>
    </row>
    <row r="2269" spans="1:3" x14ac:dyDescent="0.2">
      <c r="A2269" s="4" t="s">
        <v>2607</v>
      </c>
      <c r="B2269" s="1">
        <v>6000</v>
      </c>
      <c r="C2269" s="5">
        <v>1.7147926555331237E-7</v>
      </c>
    </row>
    <row r="2270" spans="1:3" x14ac:dyDescent="0.2">
      <c r="A2270" s="4" t="s">
        <v>2361</v>
      </c>
      <c r="B2270" s="1">
        <v>6000</v>
      </c>
      <c r="C2270" s="5">
        <v>1.7147926555331237E-7</v>
      </c>
    </row>
    <row r="2271" spans="1:3" x14ac:dyDescent="0.2">
      <c r="A2271" s="4" t="s">
        <v>2429</v>
      </c>
      <c r="B2271" s="1">
        <v>6000</v>
      </c>
      <c r="C2271" s="5">
        <v>1.7147926555331237E-7</v>
      </c>
    </row>
    <row r="2272" spans="1:3" x14ac:dyDescent="0.2">
      <c r="A2272" s="4" t="s">
        <v>2397</v>
      </c>
      <c r="B2272" s="1">
        <v>6000</v>
      </c>
      <c r="C2272" s="5">
        <v>1.7147926555331237E-7</v>
      </c>
    </row>
    <row r="2273" spans="1:3" x14ac:dyDescent="0.2">
      <c r="A2273" s="4" t="s">
        <v>2439</v>
      </c>
      <c r="B2273" s="1">
        <v>6000</v>
      </c>
      <c r="C2273" s="5">
        <v>1.7147926555331237E-7</v>
      </c>
    </row>
    <row r="2274" spans="1:3" x14ac:dyDescent="0.2">
      <c r="A2274" s="4" t="s">
        <v>2365</v>
      </c>
      <c r="B2274" s="1">
        <v>6000</v>
      </c>
      <c r="C2274" s="5">
        <v>1.7147926555331237E-7</v>
      </c>
    </row>
    <row r="2275" spans="1:3" x14ac:dyDescent="0.2">
      <c r="A2275" s="4" t="s">
        <v>2375</v>
      </c>
      <c r="B2275" s="1">
        <v>6000</v>
      </c>
      <c r="C2275" s="5">
        <v>1.7147926555331237E-7</v>
      </c>
    </row>
    <row r="2276" spans="1:3" x14ac:dyDescent="0.2">
      <c r="A2276" s="4" t="s">
        <v>2398</v>
      </c>
      <c r="B2276" s="1">
        <v>6000</v>
      </c>
      <c r="C2276" s="5">
        <v>1.7147926555331237E-7</v>
      </c>
    </row>
    <row r="2277" spans="1:3" x14ac:dyDescent="0.2">
      <c r="A2277" s="4" t="s">
        <v>2425</v>
      </c>
      <c r="B2277" s="1">
        <v>6000</v>
      </c>
      <c r="C2277" s="5">
        <v>1.7147926555331237E-7</v>
      </c>
    </row>
    <row r="2278" spans="1:3" x14ac:dyDescent="0.2">
      <c r="A2278" s="4" t="s">
        <v>2399</v>
      </c>
      <c r="B2278" s="1">
        <v>6000</v>
      </c>
      <c r="C2278" s="5">
        <v>1.7147926555331237E-7</v>
      </c>
    </row>
    <row r="2279" spans="1:3" x14ac:dyDescent="0.2">
      <c r="A2279" s="4" t="s">
        <v>2428</v>
      </c>
      <c r="B2279" s="1">
        <v>6000</v>
      </c>
      <c r="C2279" s="5">
        <v>1.7147926555331237E-7</v>
      </c>
    </row>
    <row r="2280" spans="1:3" x14ac:dyDescent="0.2">
      <c r="A2280" s="4" t="s">
        <v>2376</v>
      </c>
      <c r="B2280" s="1">
        <v>6000</v>
      </c>
      <c r="C2280" s="5">
        <v>1.7147926555331237E-7</v>
      </c>
    </row>
    <row r="2281" spans="1:3" x14ac:dyDescent="0.2">
      <c r="A2281" s="4" t="s">
        <v>2434</v>
      </c>
      <c r="B2281" s="1">
        <v>6000</v>
      </c>
      <c r="C2281" s="5">
        <v>1.7147926555331237E-7</v>
      </c>
    </row>
    <row r="2282" spans="1:3" x14ac:dyDescent="0.2">
      <c r="A2282" s="4" t="s">
        <v>2627</v>
      </c>
      <c r="B2282" s="1">
        <v>6000</v>
      </c>
      <c r="C2282" s="5">
        <v>1.7147926555331237E-7</v>
      </c>
    </row>
    <row r="2283" spans="1:3" x14ac:dyDescent="0.2">
      <c r="A2283" s="4" t="s">
        <v>2437</v>
      </c>
      <c r="B2283" s="1">
        <v>6000</v>
      </c>
      <c r="C2283" s="5">
        <v>1.7147926555331237E-7</v>
      </c>
    </row>
    <row r="2284" spans="1:3" x14ac:dyDescent="0.2">
      <c r="A2284" s="4" t="s">
        <v>2614</v>
      </c>
      <c r="B2284" s="1">
        <v>6000</v>
      </c>
      <c r="C2284" s="5">
        <v>1.7147926555331237E-7</v>
      </c>
    </row>
    <row r="2285" spans="1:3" x14ac:dyDescent="0.2">
      <c r="A2285" s="4" t="s">
        <v>2363</v>
      </c>
      <c r="B2285" s="1">
        <v>6000</v>
      </c>
      <c r="C2285" s="5">
        <v>1.7147926555331237E-7</v>
      </c>
    </row>
    <row r="2286" spans="1:3" x14ac:dyDescent="0.2">
      <c r="A2286" s="4" t="s">
        <v>2356</v>
      </c>
      <c r="B2286" s="1">
        <v>6000</v>
      </c>
      <c r="C2286" s="5">
        <v>1.7147926555331237E-7</v>
      </c>
    </row>
    <row r="2287" spans="1:3" x14ac:dyDescent="0.2">
      <c r="A2287" s="4" t="s">
        <v>2381</v>
      </c>
      <c r="B2287" s="1">
        <v>6000</v>
      </c>
      <c r="C2287" s="5">
        <v>1.7147926555331237E-7</v>
      </c>
    </row>
    <row r="2288" spans="1:3" x14ac:dyDescent="0.2">
      <c r="A2288" s="4" t="s">
        <v>2617</v>
      </c>
      <c r="B2288" s="1">
        <v>6000</v>
      </c>
      <c r="C2288" s="5">
        <v>1.7147926555331237E-7</v>
      </c>
    </row>
    <row r="2289" spans="1:3" x14ac:dyDescent="0.2">
      <c r="A2289" s="4" t="s">
        <v>2441</v>
      </c>
      <c r="B2289" s="1">
        <v>6000</v>
      </c>
      <c r="C2289" s="5">
        <v>1.7147926555331237E-7</v>
      </c>
    </row>
    <row r="2290" spans="1:3" x14ac:dyDescent="0.2">
      <c r="A2290" s="4" t="s">
        <v>2620</v>
      </c>
      <c r="B2290" s="1">
        <v>6000</v>
      </c>
      <c r="C2290" s="5">
        <v>1.7147926555331237E-7</v>
      </c>
    </row>
    <row r="2291" spans="1:3" x14ac:dyDescent="0.2">
      <c r="A2291" s="4" t="s">
        <v>2609</v>
      </c>
      <c r="B2291" s="1">
        <v>6000</v>
      </c>
      <c r="C2291" s="5">
        <v>1.7147926555331237E-7</v>
      </c>
    </row>
    <row r="2292" spans="1:3" x14ac:dyDescent="0.2">
      <c r="A2292" s="4" t="s">
        <v>2613</v>
      </c>
      <c r="B2292" s="1">
        <v>6000</v>
      </c>
      <c r="C2292" s="5">
        <v>1.7147926555331237E-7</v>
      </c>
    </row>
    <row r="2293" spans="1:3" x14ac:dyDescent="0.2">
      <c r="A2293" s="4" t="s">
        <v>2378</v>
      </c>
      <c r="B2293" s="1">
        <v>6000</v>
      </c>
      <c r="C2293" s="5">
        <v>1.7147926555331237E-7</v>
      </c>
    </row>
    <row r="2294" spans="1:3" x14ac:dyDescent="0.2">
      <c r="A2294" s="4" t="s">
        <v>2625</v>
      </c>
      <c r="B2294" s="1">
        <v>6000</v>
      </c>
      <c r="C2294" s="5">
        <v>1.7147926555331237E-7</v>
      </c>
    </row>
    <row r="2295" spans="1:3" x14ac:dyDescent="0.2">
      <c r="A2295" s="4" t="s">
        <v>2427</v>
      </c>
      <c r="B2295" s="1">
        <v>6000</v>
      </c>
      <c r="C2295" s="5">
        <v>1.7147926555331237E-7</v>
      </c>
    </row>
    <row r="2296" spans="1:3" x14ac:dyDescent="0.2">
      <c r="A2296" s="4" t="s">
        <v>2377</v>
      </c>
      <c r="B2296" s="1">
        <v>6000</v>
      </c>
      <c r="C2296" s="5">
        <v>1.7147926555331237E-7</v>
      </c>
    </row>
    <row r="2297" spans="1:3" x14ac:dyDescent="0.2">
      <c r="A2297" s="4" t="s">
        <v>2388</v>
      </c>
      <c r="B2297" s="1">
        <v>6000</v>
      </c>
      <c r="C2297" s="5">
        <v>1.7147926555331237E-7</v>
      </c>
    </row>
    <row r="2298" spans="1:3" x14ac:dyDescent="0.2">
      <c r="A2298" s="4" t="s">
        <v>2430</v>
      </c>
      <c r="B2298" s="1">
        <v>6000</v>
      </c>
      <c r="C2298" s="5">
        <v>1.7147926555331237E-7</v>
      </c>
    </row>
    <row r="2299" spans="1:3" x14ac:dyDescent="0.2">
      <c r="A2299" s="4" t="s">
        <v>2384</v>
      </c>
      <c r="B2299" s="1">
        <v>6000</v>
      </c>
      <c r="C2299" s="5">
        <v>1.7147926555331237E-7</v>
      </c>
    </row>
    <row r="2300" spans="1:3" x14ac:dyDescent="0.2">
      <c r="A2300" s="4" t="s">
        <v>2389</v>
      </c>
      <c r="B2300" s="1">
        <v>6000</v>
      </c>
      <c r="C2300" s="5">
        <v>1.7147926555331237E-7</v>
      </c>
    </row>
    <row r="2301" spans="1:3" x14ac:dyDescent="0.2">
      <c r="A2301" s="4" t="s">
        <v>2432</v>
      </c>
      <c r="B2301" s="1">
        <v>6000</v>
      </c>
      <c r="C2301" s="5">
        <v>1.7147926555331237E-7</v>
      </c>
    </row>
    <row r="2302" spans="1:3" x14ac:dyDescent="0.2">
      <c r="A2302" s="4" t="s">
        <v>2409</v>
      </c>
      <c r="B2302" s="1">
        <v>6000</v>
      </c>
      <c r="C2302" s="5">
        <v>1.7147926555331237E-7</v>
      </c>
    </row>
    <row r="2303" spans="1:3" x14ac:dyDescent="0.2">
      <c r="A2303" s="4" t="s">
        <v>2435</v>
      </c>
      <c r="B2303" s="1">
        <v>6000</v>
      </c>
      <c r="C2303" s="5">
        <v>1.7147926555331237E-7</v>
      </c>
    </row>
    <row r="2304" spans="1:3" x14ac:dyDescent="0.2">
      <c r="A2304" s="4" t="s">
        <v>2387</v>
      </c>
      <c r="B2304" s="1">
        <v>6000</v>
      </c>
      <c r="C2304" s="5">
        <v>1.7147926555331237E-7</v>
      </c>
    </row>
    <row r="2305" spans="1:3" x14ac:dyDescent="0.2">
      <c r="A2305" s="4" t="s">
        <v>2390</v>
      </c>
      <c r="B2305" s="1">
        <v>6000</v>
      </c>
      <c r="C2305" s="5">
        <v>1.7147926555331237E-7</v>
      </c>
    </row>
    <row r="2306" spans="1:3" x14ac:dyDescent="0.2">
      <c r="A2306" s="4" t="s">
        <v>2355</v>
      </c>
      <c r="B2306" s="1">
        <v>6000</v>
      </c>
      <c r="C2306" s="5">
        <v>1.7147926555331237E-7</v>
      </c>
    </row>
    <row r="2307" spans="1:3" x14ac:dyDescent="0.2">
      <c r="A2307" s="4" t="s">
        <v>2438</v>
      </c>
      <c r="B2307" s="1">
        <v>6000</v>
      </c>
      <c r="C2307" s="5">
        <v>1.7147926555331237E-7</v>
      </c>
    </row>
    <row r="2308" spans="1:3" x14ac:dyDescent="0.2">
      <c r="A2308" s="4" t="s">
        <v>2370</v>
      </c>
      <c r="B2308" s="1">
        <v>6000</v>
      </c>
      <c r="C2308" s="5">
        <v>1.7147926555331237E-7</v>
      </c>
    </row>
    <row r="2309" spans="1:3" x14ac:dyDescent="0.2">
      <c r="A2309" s="4" t="s">
        <v>2457</v>
      </c>
      <c r="B2309" s="1">
        <v>6000</v>
      </c>
      <c r="C2309" s="5">
        <v>1.7147926555331237E-7</v>
      </c>
    </row>
    <row r="2310" spans="1:3" x14ac:dyDescent="0.2">
      <c r="A2310" s="4" t="s">
        <v>2610</v>
      </c>
      <c r="B2310" s="1">
        <v>6000</v>
      </c>
      <c r="C2310" s="5">
        <v>1.7147926555331237E-7</v>
      </c>
    </row>
    <row r="2311" spans="1:3" x14ac:dyDescent="0.2">
      <c r="A2311" s="4" t="s">
        <v>2353</v>
      </c>
      <c r="B2311" s="1">
        <v>6000</v>
      </c>
      <c r="C2311" s="5">
        <v>1.7147926555331237E-7</v>
      </c>
    </row>
    <row r="2312" spans="1:3" x14ac:dyDescent="0.2">
      <c r="A2312" s="4" t="s">
        <v>2611</v>
      </c>
      <c r="B2312" s="1">
        <v>6000</v>
      </c>
      <c r="C2312" s="5">
        <v>1.7147926555331237E-7</v>
      </c>
    </row>
    <row r="2313" spans="1:3" x14ac:dyDescent="0.2">
      <c r="A2313" s="4" t="s">
        <v>2383</v>
      </c>
      <c r="B2313" s="1">
        <v>6000</v>
      </c>
      <c r="C2313" s="5">
        <v>1.7147926555331237E-7</v>
      </c>
    </row>
    <row r="2314" spans="1:3" x14ac:dyDescent="0.2">
      <c r="A2314" s="4" t="s">
        <v>2366</v>
      </c>
      <c r="B2314" s="1">
        <v>6000</v>
      </c>
      <c r="C2314" s="5">
        <v>1.7147926555331237E-7</v>
      </c>
    </row>
    <row r="2315" spans="1:3" x14ac:dyDescent="0.2">
      <c r="A2315" s="4" t="s">
        <v>2360</v>
      </c>
      <c r="B2315" s="1">
        <v>6000</v>
      </c>
      <c r="C2315" s="5">
        <v>1.7147926555331237E-7</v>
      </c>
    </row>
    <row r="2316" spans="1:3" x14ac:dyDescent="0.2">
      <c r="A2316" s="4" t="s">
        <v>2417</v>
      </c>
      <c r="B2316" s="1">
        <v>6000</v>
      </c>
      <c r="C2316" s="5">
        <v>1.7147926555331237E-7</v>
      </c>
    </row>
    <row r="2317" spans="1:3" x14ac:dyDescent="0.2">
      <c r="A2317" s="4" t="s">
        <v>2367</v>
      </c>
      <c r="B2317" s="1">
        <v>6000</v>
      </c>
      <c r="C2317" s="5">
        <v>1.7147926555331237E-7</v>
      </c>
    </row>
    <row r="2318" spans="1:3" x14ac:dyDescent="0.2">
      <c r="A2318" s="4" t="s">
        <v>2418</v>
      </c>
      <c r="B2318" s="1">
        <v>6000</v>
      </c>
      <c r="C2318" s="5">
        <v>1.7147926555331237E-7</v>
      </c>
    </row>
    <row r="2319" spans="1:3" x14ac:dyDescent="0.2">
      <c r="A2319" s="4" t="s">
        <v>2606</v>
      </c>
      <c r="B2319" s="1">
        <v>6000</v>
      </c>
      <c r="C2319" s="5">
        <v>1.7147926555331237E-7</v>
      </c>
    </row>
    <row r="2320" spans="1:3" x14ac:dyDescent="0.2">
      <c r="A2320" s="4" t="s">
        <v>2419</v>
      </c>
      <c r="B2320" s="1">
        <v>6000</v>
      </c>
      <c r="C2320" s="5">
        <v>1.7147926555331237E-7</v>
      </c>
    </row>
    <row r="2321" spans="1:3" x14ac:dyDescent="0.2">
      <c r="A2321" s="4" t="s">
        <v>2608</v>
      </c>
      <c r="B2321" s="1">
        <v>6000</v>
      </c>
      <c r="C2321" s="5">
        <v>1.7147926555331237E-7</v>
      </c>
    </row>
    <row r="2322" spans="1:3" x14ac:dyDescent="0.2">
      <c r="A2322" s="4" t="s">
        <v>2420</v>
      </c>
      <c r="B2322" s="1">
        <v>6000</v>
      </c>
      <c r="C2322" s="5">
        <v>1.7147926555331237E-7</v>
      </c>
    </row>
    <row r="2323" spans="1:3" x14ac:dyDescent="0.2">
      <c r="A2323" s="4" t="s">
        <v>2391</v>
      </c>
      <c r="B2323" s="1">
        <v>6000</v>
      </c>
      <c r="C2323" s="5">
        <v>1.7147926555331237E-7</v>
      </c>
    </row>
    <row r="2324" spans="1:3" x14ac:dyDescent="0.2">
      <c r="A2324" s="4" t="s">
        <v>2424</v>
      </c>
      <c r="B2324" s="1">
        <v>6000</v>
      </c>
      <c r="C2324" s="5">
        <v>1.7147926555331237E-7</v>
      </c>
    </row>
    <row r="2325" spans="1:3" x14ac:dyDescent="0.2">
      <c r="A2325" s="4" t="s">
        <v>2612</v>
      </c>
      <c r="B2325" s="1">
        <v>6000</v>
      </c>
      <c r="C2325" s="5">
        <v>1.7147926555331237E-7</v>
      </c>
    </row>
    <row r="2326" spans="1:3" x14ac:dyDescent="0.2">
      <c r="A2326" s="4" t="s">
        <v>2364</v>
      </c>
      <c r="B2326" s="1">
        <v>6000</v>
      </c>
      <c r="C2326" s="5">
        <v>1.7147926555331237E-7</v>
      </c>
    </row>
    <row r="2327" spans="1:3" x14ac:dyDescent="0.2">
      <c r="A2327" s="4" t="s">
        <v>2415</v>
      </c>
      <c r="B2327" s="1">
        <v>6000</v>
      </c>
      <c r="C2327" s="5">
        <v>1.7147926555331237E-7</v>
      </c>
    </row>
    <row r="2328" spans="1:3" x14ac:dyDescent="0.2">
      <c r="A2328" s="4" t="s">
        <v>2623</v>
      </c>
      <c r="B2328" s="1">
        <v>6000</v>
      </c>
      <c r="C2328" s="5">
        <v>1.7147926555331237E-7</v>
      </c>
    </row>
    <row r="2329" spans="1:3" x14ac:dyDescent="0.2">
      <c r="A2329" s="4" t="s">
        <v>2357</v>
      </c>
      <c r="B2329" s="1">
        <v>6000</v>
      </c>
      <c r="C2329" s="5">
        <v>1.7147926555331237E-7</v>
      </c>
    </row>
    <row r="2330" spans="1:3" x14ac:dyDescent="0.2">
      <c r="A2330" s="4" t="s">
        <v>2402</v>
      </c>
      <c r="B2330" s="1">
        <v>6000</v>
      </c>
      <c r="C2330" s="5">
        <v>1.7147926555331237E-7</v>
      </c>
    </row>
    <row r="2331" spans="1:3" x14ac:dyDescent="0.2">
      <c r="A2331" s="4" t="s">
        <v>2619</v>
      </c>
      <c r="B2331" s="1">
        <v>6000</v>
      </c>
      <c r="C2331" s="5">
        <v>1.7147926555331237E-7</v>
      </c>
    </row>
    <row r="2332" spans="1:3" x14ac:dyDescent="0.2">
      <c r="A2332" s="4" t="s">
        <v>2403</v>
      </c>
      <c r="B2332" s="1">
        <v>6000</v>
      </c>
      <c r="C2332" s="5">
        <v>1.7147926555331237E-7</v>
      </c>
    </row>
    <row r="2333" spans="1:3" x14ac:dyDescent="0.2">
      <c r="A2333" s="4" t="s">
        <v>2621</v>
      </c>
      <c r="B2333" s="1">
        <v>6000</v>
      </c>
      <c r="C2333" s="5">
        <v>1.7147926555331237E-7</v>
      </c>
    </row>
    <row r="2334" spans="1:3" x14ac:dyDescent="0.2">
      <c r="A2334" s="4" t="s">
        <v>2404</v>
      </c>
      <c r="B2334" s="1">
        <v>6000</v>
      </c>
      <c r="C2334" s="5">
        <v>1.7147926555331237E-7</v>
      </c>
    </row>
    <row r="2335" spans="1:3" x14ac:dyDescent="0.2">
      <c r="A2335" s="4" t="s">
        <v>2624</v>
      </c>
      <c r="B2335" s="1">
        <v>6000</v>
      </c>
      <c r="C2335" s="5">
        <v>1.7147926555331237E-7</v>
      </c>
    </row>
    <row r="2336" spans="1:3" x14ac:dyDescent="0.2">
      <c r="A2336" s="4" t="s">
        <v>2405</v>
      </c>
      <c r="B2336" s="1">
        <v>6000</v>
      </c>
      <c r="C2336" s="5">
        <v>1.7147926555331237E-7</v>
      </c>
    </row>
    <row r="2337" spans="1:3" x14ac:dyDescent="0.2">
      <c r="A2337" s="4" t="s">
        <v>2374</v>
      </c>
      <c r="B2337" s="1">
        <v>6000</v>
      </c>
      <c r="C2337" s="5">
        <v>1.7147926555331237E-7</v>
      </c>
    </row>
    <row r="2338" spans="1:3" x14ac:dyDescent="0.2">
      <c r="A2338" s="4" t="s">
        <v>2406</v>
      </c>
      <c r="B2338" s="1">
        <v>6000</v>
      </c>
      <c r="C2338" s="5">
        <v>1.7147926555331237E-7</v>
      </c>
    </row>
    <row r="2339" spans="1:3" x14ac:dyDescent="0.2">
      <c r="A2339" s="4" t="s">
        <v>2401</v>
      </c>
      <c r="B2339" s="1">
        <v>6000</v>
      </c>
      <c r="C2339" s="5">
        <v>1.7147926555331237E-7</v>
      </c>
    </row>
    <row r="2340" spans="1:3" x14ac:dyDescent="0.2">
      <c r="A2340" s="4" t="s">
        <v>2631</v>
      </c>
      <c r="B2340" s="1">
        <v>6000</v>
      </c>
      <c r="C2340" s="5">
        <v>1.7147926555331237E-7</v>
      </c>
    </row>
    <row r="2341" spans="1:3" x14ac:dyDescent="0.2">
      <c r="A2341" s="4" t="s">
        <v>2392</v>
      </c>
      <c r="B2341" s="1">
        <v>6000</v>
      </c>
      <c r="C2341" s="5">
        <v>1.7147926555331237E-7</v>
      </c>
    </row>
    <row r="2342" spans="1:3" x14ac:dyDescent="0.2">
      <c r="A2342" s="4" t="s">
        <v>2354</v>
      </c>
      <c r="B2342" s="1">
        <v>6000</v>
      </c>
      <c r="C2342" s="5">
        <v>1.7147926555331237E-7</v>
      </c>
    </row>
    <row r="2343" spans="1:3" x14ac:dyDescent="0.2">
      <c r="A2343" s="4" t="s">
        <v>2072</v>
      </c>
      <c r="B2343" s="1">
        <v>6000</v>
      </c>
      <c r="C2343" s="5">
        <v>1.7147926555331237E-7</v>
      </c>
    </row>
    <row r="2344" spans="1:3" x14ac:dyDescent="0.2">
      <c r="A2344" s="4" t="s">
        <v>2300</v>
      </c>
      <c r="B2344" s="1">
        <v>6000</v>
      </c>
      <c r="C2344" s="5">
        <v>1.7147926555331237E-7</v>
      </c>
    </row>
    <row r="2345" spans="1:3" x14ac:dyDescent="0.2">
      <c r="A2345" s="4" t="s">
        <v>2234</v>
      </c>
      <c r="B2345" s="1">
        <v>6000</v>
      </c>
      <c r="C2345" s="5">
        <v>1.7147926555331237E-7</v>
      </c>
    </row>
    <row r="2346" spans="1:3" x14ac:dyDescent="0.2">
      <c r="A2346" s="4" t="s">
        <v>2224</v>
      </c>
      <c r="B2346" s="1">
        <v>6000</v>
      </c>
      <c r="C2346" s="5">
        <v>1.7147926555331237E-7</v>
      </c>
    </row>
    <row r="2347" spans="1:3" x14ac:dyDescent="0.2">
      <c r="A2347" s="4" t="s">
        <v>2306</v>
      </c>
      <c r="B2347" s="1">
        <v>6000</v>
      </c>
      <c r="C2347" s="5">
        <v>1.7147926555331237E-7</v>
      </c>
    </row>
    <row r="2348" spans="1:3" x14ac:dyDescent="0.2">
      <c r="A2348" s="4" t="s">
        <v>2311</v>
      </c>
      <c r="B2348" s="1">
        <v>6000</v>
      </c>
      <c r="C2348" s="5">
        <v>1.7147926555331237E-7</v>
      </c>
    </row>
    <row r="2349" spans="1:3" x14ac:dyDescent="0.2">
      <c r="A2349" s="4" t="s">
        <v>2315</v>
      </c>
      <c r="B2349" s="1">
        <v>6000</v>
      </c>
      <c r="C2349" s="5">
        <v>1.7147926555331237E-7</v>
      </c>
    </row>
    <row r="2350" spans="1:3" x14ac:dyDescent="0.2">
      <c r="A2350" s="4" t="s">
        <v>2319</v>
      </c>
      <c r="B2350" s="1">
        <v>6000</v>
      </c>
      <c r="C2350" s="5">
        <v>1.7147926555331237E-7</v>
      </c>
    </row>
    <row r="2351" spans="1:3" x14ac:dyDescent="0.2">
      <c r="A2351" s="4" t="s">
        <v>2333</v>
      </c>
      <c r="B2351" s="1">
        <v>6000</v>
      </c>
      <c r="C2351" s="5">
        <v>1.7147926555331237E-7</v>
      </c>
    </row>
    <row r="2352" spans="1:3" x14ac:dyDescent="0.2">
      <c r="A2352" s="4" t="s">
        <v>2330</v>
      </c>
      <c r="B2352" s="1">
        <v>6000</v>
      </c>
      <c r="C2352" s="5">
        <v>1.7147926555331237E-7</v>
      </c>
    </row>
    <row r="2353" spans="1:3" x14ac:dyDescent="0.2">
      <c r="A2353" s="4" t="s">
        <v>2334</v>
      </c>
      <c r="B2353" s="1">
        <v>6000</v>
      </c>
      <c r="C2353" s="5">
        <v>1.7147926555331237E-7</v>
      </c>
    </row>
    <row r="2354" spans="1:3" x14ac:dyDescent="0.2">
      <c r="A2354" s="4" t="s">
        <v>2302</v>
      </c>
      <c r="B2354" s="1">
        <v>6000</v>
      </c>
      <c r="C2354" s="5">
        <v>1.7147926555331237E-7</v>
      </c>
    </row>
    <row r="2355" spans="1:3" x14ac:dyDescent="0.2">
      <c r="A2355" s="4" t="s">
        <v>2336</v>
      </c>
      <c r="B2355" s="1">
        <v>6000</v>
      </c>
      <c r="C2355" s="5">
        <v>1.7147926555331237E-7</v>
      </c>
    </row>
    <row r="2356" spans="1:3" x14ac:dyDescent="0.2">
      <c r="A2356" s="4" t="s">
        <v>2309</v>
      </c>
      <c r="B2356" s="1">
        <v>6000</v>
      </c>
      <c r="C2356" s="5">
        <v>1.7147926555331237E-7</v>
      </c>
    </row>
    <row r="2357" spans="1:3" x14ac:dyDescent="0.2">
      <c r="A2357" s="4" t="s">
        <v>2338</v>
      </c>
      <c r="B2357" s="1">
        <v>6000</v>
      </c>
      <c r="C2357" s="5">
        <v>1.7147926555331237E-7</v>
      </c>
    </row>
    <row r="2358" spans="1:3" x14ac:dyDescent="0.2">
      <c r="A2358" s="4" t="s">
        <v>2230</v>
      </c>
      <c r="B2358" s="1">
        <v>6000</v>
      </c>
      <c r="C2358" s="5">
        <v>1.7147926555331237E-7</v>
      </c>
    </row>
    <row r="2359" spans="1:3" x14ac:dyDescent="0.2">
      <c r="A2359" s="4" t="s">
        <v>2228</v>
      </c>
      <c r="B2359" s="1">
        <v>6000</v>
      </c>
      <c r="C2359" s="5">
        <v>1.7147926555331237E-7</v>
      </c>
    </row>
    <row r="2360" spans="1:3" x14ac:dyDescent="0.2">
      <c r="A2360" s="4" t="s">
        <v>2317</v>
      </c>
      <c r="B2360" s="1">
        <v>6000</v>
      </c>
      <c r="C2360" s="5">
        <v>1.7147926555331237E-7</v>
      </c>
    </row>
    <row r="2361" spans="1:3" x14ac:dyDescent="0.2">
      <c r="A2361" s="4" t="s">
        <v>2343</v>
      </c>
      <c r="B2361" s="1">
        <v>6000</v>
      </c>
      <c r="C2361" s="5">
        <v>1.7147926555331237E-7</v>
      </c>
    </row>
    <row r="2362" spans="1:3" x14ac:dyDescent="0.2">
      <c r="A2362" s="4" t="s">
        <v>2323</v>
      </c>
      <c r="B2362" s="1">
        <v>6000</v>
      </c>
      <c r="C2362" s="5">
        <v>1.7147926555331237E-7</v>
      </c>
    </row>
    <row r="2363" spans="1:3" x14ac:dyDescent="0.2">
      <c r="A2363" s="4" t="s">
        <v>2347</v>
      </c>
      <c r="B2363" s="1">
        <v>6000</v>
      </c>
      <c r="C2363" s="5">
        <v>1.7147926555331237E-7</v>
      </c>
    </row>
    <row r="2364" spans="1:3" x14ac:dyDescent="0.2">
      <c r="A2364" s="4" t="s">
        <v>2328</v>
      </c>
      <c r="B2364" s="1">
        <v>6000</v>
      </c>
      <c r="C2364" s="5">
        <v>1.7147926555331237E-7</v>
      </c>
    </row>
    <row r="2365" spans="1:3" x14ac:dyDescent="0.2">
      <c r="A2365" s="4" t="s">
        <v>2280</v>
      </c>
      <c r="B2365" s="1">
        <v>6000</v>
      </c>
      <c r="C2365" s="5">
        <v>1.7147926555331237E-7</v>
      </c>
    </row>
    <row r="2366" spans="1:3" x14ac:dyDescent="0.2">
      <c r="A2366" s="4" t="s">
        <v>2332</v>
      </c>
      <c r="B2366" s="1">
        <v>6000</v>
      </c>
      <c r="C2366" s="5">
        <v>1.7147926555331237E-7</v>
      </c>
    </row>
    <row r="2367" spans="1:3" x14ac:dyDescent="0.2">
      <c r="A2367" s="4" t="s">
        <v>2352</v>
      </c>
      <c r="B2367" s="1">
        <v>6000</v>
      </c>
      <c r="C2367" s="5">
        <v>1.7147926555331237E-7</v>
      </c>
    </row>
    <row r="2368" spans="1:3" x14ac:dyDescent="0.2">
      <c r="A2368" s="4" t="s">
        <v>2301</v>
      </c>
      <c r="B2368" s="1">
        <v>6000</v>
      </c>
      <c r="C2368" s="5">
        <v>1.7147926555331237E-7</v>
      </c>
    </row>
    <row r="2369" spans="1:3" x14ac:dyDescent="0.2">
      <c r="A2369" s="4" t="s">
        <v>2104</v>
      </c>
      <c r="B2369" s="1">
        <v>6000</v>
      </c>
      <c r="C2369" s="5">
        <v>1.7147926555331237E-7</v>
      </c>
    </row>
    <row r="2370" spans="1:3" x14ac:dyDescent="0.2">
      <c r="A2370" s="4" t="s">
        <v>2304</v>
      </c>
      <c r="B2370" s="1">
        <v>6000</v>
      </c>
      <c r="C2370" s="5">
        <v>1.7147926555331237E-7</v>
      </c>
    </row>
    <row r="2371" spans="1:3" x14ac:dyDescent="0.2">
      <c r="A2371" s="4" t="s">
        <v>2253</v>
      </c>
      <c r="B2371" s="1">
        <v>6000</v>
      </c>
      <c r="C2371" s="5">
        <v>1.7147926555331237E-7</v>
      </c>
    </row>
    <row r="2372" spans="1:3" x14ac:dyDescent="0.2">
      <c r="A2372" s="4" t="s">
        <v>2308</v>
      </c>
      <c r="B2372" s="1">
        <v>6000</v>
      </c>
      <c r="C2372" s="5">
        <v>1.7147926555331237E-7</v>
      </c>
    </row>
    <row r="2373" spans="1:3" x14ac:dyDescent="0.2">
      <c r="A2373" s="4" t="s">
        <v>2215</v>
      </c>
      <c r="B2373" s="1">
        <v>6000</v>
      </c>
      <c r="C2373" s="5">
        <v>1.7147926555331237E-7</v>
      </c>
    </row>
    <row r="2374" spans="1:3" x14ac:dyDescent="0.2">
      <c r="A2374" s="4" t="s">
        <v>2310</v>
      </c>
      <c r="B2374" s="1">
        <v>6000</v>
      </c>
      <c r="C2374" s="5">
        <v>1.7147926555331237E-7</v>
      </c>
    </row>
    <row r="2375" spans="1:3" x14ac:dyDescent="0.2">
      <c r="A2375" s="4" t="s">
        <v>2255</v>
      </c>
      <c r="B2375" s="1">
        <v>6000</v>
      </c>
      <c r="C2375" s="5">
        <v>1.7147926555331237E-7</v>
      </c>
    </row>
    <row r="2376" spans="1:3" x14ac:dyDescent="0.2">
      <c r="A2376" s="4" t="s">
        <v>2259</v>
      </c>
      <c r="B2376" s="1">
        <v>6000</v>
      </c>
      <c r="C2376" s="5">
        <v>1.7147926555331237E-7</v>
      </c>
    </row>
    <row r="2377" spans="1:3" x14ac:dyDescent="0.2">
      <c r="A2377" s="4" t="s">
        <v>2256</v>
      </c>
      <c r="B2377" s="1">
        <v>6000</v>
      </c>
      <c r="C2377" s="5">
        <v>1.7147926555331237E-7</v>
      </c>
    </row>
    <row r="2378" spans="1:3" x14ac:dyDescent="0.2">
      <c r="A2378" s="4" t="s">
        <v>2231</v>
      </c>
      <c r="B2378" s="1">
        <v>6000</v>
      </c>
      <c r="C2378" s="5">
        <v>1.7147926555331237E-7</v>
      </c>
    </row>
    <row r="2379" spans="1:3" x14ac:dyDescent="0.2">
      <c r="A2379" s="4" t="s">
        <v>2105</v>
      </c>
      <c r="B2379" s="1">
        <v>6000</v>
      </c>
      <c r="C2379" s="5">
        <v>1.7147926555331237E-7</v>
      </c>
    </row>
    <row r="2380" spans="1:3" x14ac:dyDescent="0.2">
      <c r="A2380" s="4" t="s">
        <v>2233</v>
      </c>
      <c r="B2380" s="1">
        <v>6000</v>
      </c>
      <c r="C2380" s="5">
        <v>1.7147926555331237E-7</v>
      </c>
    </row>
    <row r="2381" spans="1:3" x14ac:dyDescent="0.2">
      <c r="A2381" s="4" t="s">
        <v>2257</v>
      </c>
      <c r="B2381" s="1">
        <v>6000</v>
      </c>
      <c r="C2381" s="5">
        <v>1.7147926555331237E-7</v>
      </c>
    </row>
    <row r="2382" spans="1:3" x14ac:dyDescent="0.2">
      <c r="A2382" s="4" t="s">
        <v>2318</v>
      </c>
      <c r="B2382" s="1">
        <v>6000</v>
      </c>
      <c r="C2382" s="5">
        <v>1.7147926555331237E-7</v>
      </c>
    </row>
    <row r="2383" spans="1:3" x14ac:dyDescent="0.2">
      <c r="A2383" s="4" t="s">
        <v>2289</v>
      </c>
      <c r="B2383" s="1">
        <v>6000</v>
      </c>
      <c r="C2383" s="5">
        <v>1.7147926555331237E-7</v>
      </c>
    </row>
    <row r="2384" spans="1:3" x14ac:dyDescent="0.2">
      <c r="A2384" s="4" t="s">
        <v>2321</v>
      </c>
      <c r="B2384" s="1">
        <v>6000</v>
      </c>
      <c r="C2384" s="5">
        <v>1.7147926555331237E-7</v>
      </c>
    </row>
    <row r="2385" spans="1:3" x14ac:dyDescent="0.2">
      <c r="A2385" s="4" t="s">
        <v>2258</v>
      </c>
      <c r="B2385" s="1">
        <v>6000</v>
      </c>
      <c r="C2385" s="5">
        <v>1.7147926555331237E-7</v>
      </c>
    </row>
    <row r="2386" spans="1:3" x14ac:dyDescent="0.2">
      <c r="A2386" s="4" t="s">
        <v>2325</v>
      </c>
      <c r="B2386" s="1">
        <v>6000</v>
      </c>
      <c r="C2386" s="5">
        <v>1.7147926555331237E-7</v>
      </c>
    </row>
    <row r="2387" spans="1:3" x14ac:dyDescent="0.2">
      <c r="A2387" s="4" t="s">
        <v>2294</v>
      </c>
      <c r="B2387" s="1">
        <v>6000</v>
      </c>
      <c r="C2387" s="5">
        <v>1.7147926555331237E-7</v>
      </c>
    </row>
    <row r="2388" spans="1:3" x14ac:dyDescent="0.2">
      <c r="A2388" s="4" t="s">
        <v>2327</v>
      </c>
      <c r="B2388" s="1">
        <v>6000</v>
      </c>
      <c r="C2388" s="5">
        <v>1.7147926555331237E-7</v>
      </c>
    </row>
    <row r="2389" spans="1:3" x14ac:dyDescent="0.2">
      <c r="A2389" s="4" t="s">
        <v>2295</v>
      </c>
      <c r="B2389" s="1">
        <v>6000</v>
      </c>
      <c r="C2389" s="5">
        <v>1.7147926555331237E-7</v>
      </c>
    </row>
    <row r="2390" spans="1:3" x14ac:dyDescent="0.2">
      <c r="A2390" s="4" t="s">
        <v>2329</v>
      </c>
      <c r="B2390" s="1">
        <v>6000</v>
      </c>
      <c r="C2390" s="5">
        <v>1.7147926555331237E-7</v>
      </c>
    </row>
    <row r="2391" spans="1:3" x14ac:dyDescent="0.2">
      <c r="A2391" s="4" t="s">
        <v>2297</v>
      </c>
      <c r="B2391" s="1">
        <v>6000</v>
      </c>
      <c r="C2391" s="5">
        <v>1.7147926555331237E-7</v>
      </c>
    </row>
    <row r="2392" spans="1:3" x14ac:dyDescent="0.2">
      <c r="A2392" s="4" t="s">
        <v>2331</v>
      </c>
      <c r="B2392" s="1">
        <v>6000</v>
      </c>
      <c r="C2392" s="5">
        <v>1.7147926555331237E-7</v>
      </c>
    </row>
    <row r="2393" spans="1:3" x14ac:dyDescent="0.2">
      <c r="A2393" s="4" t="s">
        <v>2298</v>
      </c>
      <c r="B2393" s="1">
        <v>6000</v>
      </c>
      <c r="C2393" s="5">
        <v>1.7147926555331237E-7</v>
      </c>
    </row>
    <row r="2394" spans="1:3" x14ac:dyDescent="0.2">
      <c r="A2394" s="4" t="s">
        <v>2236</v>
      </c>
      <c r="B2394" s="1">
        <v>6000</v>
      </c>
      <c r="C2394" s="5">
        <v>1.7147926555331237E-7</v>
      </c>
    </row>
    <row r="2395" spans="1:3" x14ac:dyDescent="0.2">
      <c r="A2395" s="4" t="s">
        <v>2299</v>
      </c>
      <c r="B2395" s="1">
        <v>6000</v>
      </c>
      <c r="C2395" s="5">
        <v>1.7147926555331237E-7</v>
      </c>
    </row>
    <row r="2396" spans="1:3" x14ac:dyDescent="0.2">
      <c r="A2396" s="4" t="s">
        <v>2335</v>
      </c>
      <c r="B2396" s="1">
        <v>6000</v>
      </c>
      <c r="C2396" s="5">
        <v>1.7147926555331237E-7</v>
      </c>
    </row>
    <row r="2397" spans="1:3" x14ac:dyDescent="0.2">
      <c r="A2397" s="4" t="s">
        <v>2242</v>
      </c>
      <c r="B2397" s="1">
        <v>6000</v>
      </c>
      <c r="C2397" s="5">
        <v>1.7147926555331237E-7</v>
      </c>
    </row>
    <row r="2398" spans="1:3" x14ac:dyDescent="0.2">
      <c r="A2398" s="4" t="s">
        <v>2337</v>
      </c>
      <c r="B2398" s="1">
        <v>6000</v>
      </c>
      <c r="C2398" s="5">
        <v>1.7147926555331237E-7</v>
      </c>
    </row>
    <row r="2399" spans="1:3" x14ac:dyDescent="0.2">
      <c r="A2399" s="4" t="s">
        <v>2243</v>
      </c>
      <c r="B2399" s="1">
        <v>6000</v>
      </c>
      <c r="C2399" s="5">
        <v>1.7147926555331237E-7</v>
      </c>
    </row>
    <row r="2400" spans="1:3" x14ac:dyDescent="0.2">
      <c r="A2400" s="4" t="s">
        <v>2339</v>
      </c>
      <c r="B2400" s="1">
        <v>6000</v>
      </c>
      <c r="C2400" s="5">
        <v>1.7147926555331237E-7</v>
      </c>
    </row>
    <row r="2401" spans="1:3" x14ac:dyDescent="0.2">
      <c r="A2401" s="4" t="s">
        <v>2244</v>
      </c>
      <c r="B2401" s="1">
        <v>6000</v>
      </c>
      <c r="C2401" s="5">
        <v>1.7147926555331237E-7</v>
      </c>
    </row>
    <row r="2402" spans="1:3" x14ac:dyDescent="0.2">
      <c r="A2402" s="4" t="s">
        <v>2342</v>
      </c>
      <c r="B2402" s="1">
        <v>6000</v>
      </c>
      <c r="C2402" s="5">
        <v>1.7147926555331237E-7</v>
      </c>
    </row>
    <row r="2403" spans="1:3" x14ac:dyDescent="0.2">
      <c r="A2403" s="4" t="s">
        <v>2247</v>
      </c>
      <c r="B2403" s="1">
        <v>6000</v>
      </c>
      <c r="C2403" s="5">
        <v>1.7147926555331237E-7</v>
      </c>
    </row>
    <row r="2404" spans="1:3" x14ac:dyDescent="0.2">
      <c r="A2404" s="4" t="s">
        <v>2345</v>
      </c>
      <c r="B2404" s="1">
        <v>6000</v>
      </c>
      <c r="C2404" s="5">
        <v>1.7147926555331237E-7</v>
      </c>
    </row>
    <row r="2405" spans="1:3" x14ac:dyDescent="0.2">
      <c r="A2405" s="4" t="s">
        <v>2249</v>
      </c>
      <c r="B2405" s="1">
        <v>6000</v>
      </c>
      <c r="C2405" s="5">
        <v>1.7147926555331237E-7</v>
      </c>
    </row>
    <row r="2406" spans="1:3" x14ac:dyDescent="0.2">
      <c r="A2406" s="4" t="s">
        <v>2349</v>
      </c>
      <c r="B2406" s="1">
        <v>6000</v>
      </c>
      <c r="C2406" s="5">
        <v>1.7147926555331237E-7</v>
      </c>
    </row>
    <row r="2407" spans="1:3" x14ac:dyDescent="0.2">
      <c r="A2407" s="4" t="s">
        <v>2250</v>
      </c>
      <c r="B2407" s="1">
        <v>6000</v>
      </c>
      <c r="C2407" s="5">
        <v>1.7147926555331237E-7</v>
      </c>
    </row>
    <row r="2408" spans="1:3" x14ac:dyDescent="0.2">
      <c r="A2408" s="4" t="s">
        <v>2251</v>
      </c>
      <c r="B2408" s="1">
        <v>6000</v>
      </c>
      <c r="C2408" s="5">
        <v>1.7147926555331237E-7</v>
      </c>
    </row>
    <row r="2409" spans="1:3" x14ac:dyDescent="0.2">
      <c r="A2409" s="4" t="s">
        <v>2254</v>
      </c>
      <c r="B2409" s="1">
        <v>6000</v>
      </c>
      <c r="C2409" s="5">
        <v>1.7147926555331237E-7</v>
      </c>
    </row>
    <row r="2410" spans="1:3" x14ac:dyDescent="0.2">
      <c r="A2410" s="4" t="s">
        <v>2006</v>
      </c>
      <c r="B2410" s="1">
        <v>6000</v>
      </c>
      <c r="C2410" s="5">
        <v>1.7147926555331237E-7</v>
      </c>
    </row>
    <row r="2411" spans="1:3" x14ac:dyDescent="0.2">
      <c r="A2411" s="4" t="s">
        <v>1910</v>
      </c>
      <c r="B2411" s="1">
        <v>6000</v>
      </c>
      <c r="C2411" s="5">
        <v>1.7147926555331237E-7</v>
      </c>
    </row>
    <row r="2412" spans="1:3" x14ac:dyDescent="0.2">
      <c r="A2412" s="4" t="s">
        <v>2025</v>
      </c>
      <c r="B2412" s="1">
        <v>6000</v>
      </c>
      <c r="C2412" s="5">
        <v>1.7147926555331237E-7</v>
      </c>
    </row>
    <row r="2413" spans="1:3" x14ac:dyDescent="0.2">
      <c r="A2413" s="4" t="s">
        <v>1928</v>
      </c>
      <c r="B2413" s="1">
        <v>6000</v>
      </c>
      <c r="C2413" s="5">
        <v>1.7147926555331237E-7</v>
      </c>
    </row>
    <row r="2414" spans="1:3" x14ac:dyDescent="0.2">
      <c r="A2414" s="4" t="s">
        <v>1809</v>
      </c>
      <c r="B2414" s="1">
        <v>6000</v>
      </c>
      <c r="C2414" s="5">
        <v>1.7147926555331237E-7</v>
      </c>
    </row>
    <row r="2415" spans="1:3" x14ac:dyDescent="0.2">
      <c r="A2415" s="4" t="s">
        <v>1929</v>
      </c>
      <c r="B2415" s="1">
        <v>6000</v>
      </c>
      <c r="C2415" s="5">
        <v>1.7147926555331237E-7</v>
      </c>
    </row>
    <row r="2416" spans="1:3" x14ac:dyDescent="0.2">
      <c r="A2416" s="4" t="s">
        <v>1904</v>
      </c>
      <c r="B2416" s="1">
        <v>6000</v>
      </c>
      <c r="C2416" s="5">
        <v>1.7147926555331237E-7</v>
      </c>
    </row>
    <row r="2417" spans="1:3" x14ac:dyDescent="0.2">
      <c r="A2417" s="4" t="s">
        <v>1930</v>
      </c>
      <c r="B2417" s="1">
        <v>6000</v>
      </c>
      <c r="C2417" s="5">
        <v>1.7147926555331237E-7</v>
      </c>
    </row>
    <row r="2418" spans="1:3" x14ac:dyDescent="0.2">
      <c r="A2418" s="4" t="s">
        <v>2033</v>
      </c>
      <c r="B2418" s="1">
        <v>6000</v>
      </c>
      <c r="C2418" s="5">
        <v>1.7147926555331237E-7</v>
      </c>
    </row>
    <row r="2419" spans="1:3" x14ac:dyDescent="0.2">
      <c r="A2419" s="4" t="s">
        <v>1931</v>
      </c>
      <c r="B2419" s="1">
        <v>6000</v>
      </c>
      <c r="C2419" s="5">
        <v>1.7147926555331237E-7</v>
      </c>
    </row>
    <row r="2420" spans="1:3" x14ac:dyDescent="0.2">
      <c r="A2420" s="4" t="s">
        <v>1870</v>
      </c>
      <c r="B2420" s="1">
        <v>6000</v>
      </c>
      <c r="C2420" s="5">
        <v>1.7147926555331237E-7</v>
      </c>
    </row>
    <row r="2421" spans="1:3" x14ac:dyDescent="0.2">
      <c r="A2421" s="4" t="s">
        <v>1793</v>
      </c>
      <c r="B2421" s="1">
        <v>6000</v>
      </c>
      <c r="C2421" s="5">
        <v>1.7147926555331237E-7</v>
      </c>
    </row>
    <row r="2422" spans="1:3" x14ac:dyDescent="0.2">
      <c r="A2422" s="4" t="s">
        <v>2001</v>
      </c>
      <c r="B2422" s="1">
        <v>6000</v>
      </c>
      <c r="C2422" s="5">
        <v>1.7147926555331237E-7</v>
      </c>
    </row>
    <row r="2423" spans="1:3" x14ac:dyDescent="0.2">
      <c r="A2423" s="4" t="s">
        <v>2068</v>
      </c>
      <c r="B2423" s="1">
        <v>6000</v>
      </c>
      <c r="C2423" s="5">
        <v>1.7147926555331237E-7</v>
      </c>
    </row>
    <row r="2424" spans="1:3" x14ac:dyDescent="0.2">
      <c r="A2424" s="4" t="s">
        <v>1847</v>
      </c>
      <c r="B2424" s="1">
        <v>6000</v>
      </c>
      <c r="C2424" s="5">
        <v>1.7147926555331237E-7</v>
      </c>
    </row>
    <row r="2425" spans="1:3" x14ac:dyDescent="0.2">
      <c r="A2425" s="4" t="s">
        <v>1795</v>
      </c>
      <c r="B2425" s="1">
        <v>6000</v>
      </c>
      <c r="C2425" s="5">
        <v>1.7147926555331237E-7</v>
      </c>
    </row>
    <row r="2426" spans="1:3" x14ac:dyDescent="0.2">
      <c r="A2426" s="4" t="s">
        <v>2020</v>
      </c>
      <c r="B2426" s="1">
        <v>6000</v>
      </c>
      <c r="C2426" s="5">
        <v>1.7147926555331237E-7</v>
      </c>
    </row>
    <row r="2427" spans="1:3" x14ac:dyDescent="0.2">
      <c r="A2427" s="4" t="s">
        <v>1936</v>
      </c>
      <c r="B2427" s="1">
        <v>6000</v>
      </c>
      <c r="C2427" s="5">
        <v>1.7147926555331237E-7</v>
      </c>
    </row>
    <row r="2428" spans="1:3" x14ac:dyDescent="0.2">
      <c r="A2428" s="4" t="s">
        <v>1859</v>
      </c>
      <c r="B2428" s="1">
        <v>6000</v>
      </c>
      <c r="C2428" s="5">
        <v>1.7147926555331237E-7</v>
      </c>
    </row>
    <row r="2429" spans="1:3" x14ac:dyDescent="0.2">
      <c r="A2429" s="4" t="s">
        <v>1896</v>
      </c>
      <c r="B2429" s="1">
        <v>6000</v>
      </c>
      <c r="C2429" s="5">
        <v>1.7147926555331237E-7</v>
      </c>
    </row>
    <row r="2430" spans="1:3" x14ac:dyDescent="0.2">
      <c r="A2430" s="4" t="s">
        <v>1867</v>
      </c>
      <c r="B2430" s="1">
        <v>6000</v>
      </c>
      <c r="C2430" s="5">
        <v>1.7147926555331237E-7</v>
      </c>
    </row>
    <row r="2431" spans="1:3" x14ac:dyDescent="0.2">
      <c r="A2431" s="4" t="s">
        <v>1939</v>
      </c>
      <c r="B2431" s="1">
        <v>6000</v>
      </c>
      <c r="C2431" s="5">
        <v>1.7147926555331237E-7</v>
      </c>
    </row>
    <row r="2432" spans="1:3" x14ac:dyDescent="0.2">
      <c r="A2432" s="4" t="s">
        <v>1869</v>
      </c>
      <c r="B2432" s="1">
        <v>6000</v>
      </c>
      <c r="C2432" s="5">
        <v>1.7147926555331237E-7</v>
      </c>
    </row>
    <row r="2433" spans="1:3" x14ac:dyDescent="0.2">
      <c r="A2433" s="4" t="s">
        <v>1940</v>
      </c>
      <c r="B2433" s="1">
        <v>6000</v>
      </c>
      <c r="C2433" s="5">
        <v>1.7147926555331237E-7</v>
      </c>
    </row>
    <row r="2434" spans="1:3" x14ac:dyDescent="0.2">
      <c r="A2434" s="4" t="s">
        <v>1875</v>
      </c>
      <c r="B2434" s="1">
        <v>6000</v>
      </c>
      <c r="C2434" s="5">
        <v>1.7147926555331237E-7</v>
      </c>
    </row>
    <row r="2435" spans="1:3" x14ac:dyDescent="0.2">
      <c r="A2435" s="4" t="s">
        <v>1941</v>
      </c>
      <c r="B2435" s="1">
        <v>6000</v>
      </c>
      <c r="C2435" s="5">
        <v>1.7147926555331237E-7</v>
      </c>
    </row>
    <row r="2436" spans="1:3" x14ac:dyDescent="0.2">
      <c r="A2436" s="4" t="s">
        <v>1802</v>
      </c>
      <c r="B2436" s="1">
        <v>6000</v>
      </c>
      <c r="C2436" s="5">
        <v>1.7147926555331237E-7</v>
      </c>
    </row>
    <row r="2437" spans="1:3" x14ac:dyDescent="0.2">
      <c r="A2437" s="4" t="s">
        <v>1942</v>
      </c>
      <c r="B2437" s="1">
        <v>6000</v>
      </c>
      <c r="C2437" s="5">
        <v>1.7147926555331237E-7</v>
      </c>
    </row>
    <row r="2438" spans="1:3" x14ac:dyDescent="0.2">
      <c r="A2438" s="4" t="s">
        <v>1844</v>
      </c>
      <c r="B2438" s="1">
        <v>6000</v>
      </c>
      <c r="C2438" s="5">
        <v>1.7147926555331237E-7</v>
      </c>
    </row>
    <row r="2439" spans="1:3" x14ac:dyDescent="0.2">
      <c r="A2439" s="4" t="s">
        <v>1943</v>
      </c>
      <c r="B2439" s="1">
        <v>6000</v>
      </c>
      <c r="C2439" s="5">
        <v>1.7147926555331237E-7</v>
      </c>
    </row>
    <row r="2440" spans="1:3" x14ac:dyDescent="0.2">
      <c r="A2440" s="4" t="s">
        <v>2008</v>
      </c>
      <c r="B2440" s="1">
        <v>6000</v>
      </c>
      <c r="C2440" s="5">
        <v>1.7147926555331237E-7</v>
      </c>
    </row>
    <row r="2441" spans="1:3" x14ac:dyDescent="0.2">
      <c r="A2441" s="4" t="s">
        <v>1944</v>
      </c>
      <c r="B2441" s="1">
        <v>6000</v>
      </c>
      <c r="C2441" s="5">
        <v>1.7147926555331237E-7</v>
      </c>
    </row>
    <row r="2442" spans="1:3" x14ac:dyDescent="0.2">
      <c r="A2442" s="4" t="s">
        <v>2014</v>
      </c>
      <c r="B2442" s="1">
        <v>6000</v>
      </c>
      <c r="C2442" s="5">
        <v>1.7147926555331237E-7</v>
      </c>
    </row>
    <row r="2443" spans="1:3" x14ac:dyDescent="0.2">
      <c r="A2443" s="4" t="s">
        <v>1946</v>
      </c>
      <c r="B2443" s="1">
        <v>6000</v>
      </c>
      <c r="C2443" s="5">
        <v>1.7147926555331237E-7</v>
      </c>
    </row>
    <row r="2444" spans="1:3" x14ac:dyDescent="0.2">
      <c r="A2444" s="4" t="s">
        <v>1817</v>
      </c>
      <c r="B2444" s="1">
        <v>6000</v>
      </c>
      <c r="C2444" s="5">
        <v>1.7147926555331237E-7</v>
      </c>
    </row>
    <row r="2445" spans="1:3" x14ac:dyDescent="0.2">
      <c r="A2445" s="4" t="s">
        <v>1947</v>
      </c>
      <c r="B2445" s="1">
        <v>6000</v>
      </c>
      <c r="C2445" s="5">
        <v>1.7147926555331237E-7</v>
      </c>
    </row>
    <row r="2446" spans="1:3" x14ac:dyDescent="0.2">
      <c r="A2446" s="4" t="s">
        <v>1905</v>
      </c>
      <c r="B2446" s="1">
        <v>6000</v>
      </c>
      <c r="C2446" s="5">
        <v>1.7147926555331237E-7</v>
      </c>
    </row>
    <row r="2447" spans="1:3" x14ac:dyDescent="0.2">
      <c r="A2447" s="4" t="s">
        <v>1949</v>
      </c>
      <c r="B2447" s="1">
        <v>6000</v>
      </c>
      <c r="C2447" s="5">
        <v>1.7147926555331237E-7</v>
      </c>
    </row>
    <row r="2448" spans="1:3" x14ac:dyDescent="0.2">
      <c r="A2448" s="4" t="s">
        <v>1821</v>
      </c>
      <c r="B2448" s="1">
        <v>6000</v>
      </c>
      <c r="C2448" s="5">
        <v>1.7147926555331237E-7</v>
      </c>
    </row>
    <row r="2449" spans="1:3" x14ac:dyDescent="0.2">
      <c r="A2449" s="4" t="s">
        <v>1811</v>
      </c>
      <c r="B2449" s="1">
        <v>6000</v>
      </c>
      <c r="C2449" s="5">
        <v>1.7147926555331237E-7</v>
      </c>
    </row>
    <row r="2450" spans="1:3" x14ac:dyDescent="0.2">
      <c r="A2450" s="4" t="s">
        <v>1863</v>
      </c>
      <c r="B2450" s="1">
        <v>6000</v>
      </c>
      <c r="C2450" s="5">
        <v>1.7147926555331237E-7</v>
      </c>
    </row>
    <row r="2451" spans="1:3" x14ac:dyDescent="0.2">
      <c r="A2451" s="4" t="s">
        <v>1812</v>
      </c>
      <c r="B2451" s="1">
        <v>6000</v>
      </c>
      <c r="C2451" s="5">
        <v>1.7147926555331237E-7</v>
      </c>
    </row>
    <row r="2452" spans="1:3" x14ac:dyDescent="0.2">
      <c r="A2452" s="4" t="s">
        <v>1826</v>
      </c>
      <c r="B2452" s="1">
        <v>6000</v>
      </c>
      <c r="C2452" s="5">
        <v>1.7147926555331237E-7</v>
      </c>
    </row>
    <row r="2453" spans="1:3" x14ac:dyDescent="0.2">
      <c r="A2453" s="4" t="s">
        <v>1953</v>
      </c>
      <c r="B2453" s="1">
        <v>6000</v>
      </c>
      <c r="C2453" s="5">
        <v>1.7147926555331237E-7</v>
      </c>
    </row>
    <row r="2454" spans="1:3" x14ac:dyDescent="0.2">
      <c r="A2454" s="4" t="s">
        <v>1908</v>
      </c>
      <c r="B2454" s="1">
        <v>6000</v>
      </c>
      <c r="C2454" s="5">
        <v>1.7147926555331237E-7</v>
      </c>
    </row>
    <row r="2455" spans="1:3" x14ac:dyDescent="0.2">
      <c r="A2455" s="4" t="s">
        <v>1955</v>
      </c>
      <c r="B2455" s="1">
        <v>6000</v>
      </c>
      <c r="C2455" s="5">
        <v>1.7147926555331237E-7</v>
      </c>
    </row>
    <row r="2456" spans="1:3" x14ac:dyDescent="0.2">
      <c r="A2456" s="4" t="s">
        <v>1911</v>
      </c>
      <c r="B2456" s="1">
        <v>6000</v>
      </c>
      <c r="C2456" s="5">
        <v>1.7147926555331237E-7</v>
      </c>
    </row>
    <row r="2457" spans="1:3" x14ac:dyDescent="0.2">
      <c r="A2457" s="4" t="s">
        <v>1897</v>
      </c>
      <c r="B2457" s="1">
        <v>6000</v>
      </c>
      <c r="C2457" s="5">
        <v>1.7147926555331237E-7</v>
      </c>
    </row>
    <row r="2458" spans="1:3" x14ac:dyDescent="0.2">
      <c r="A2458" s="4" t="s">
        <v>1916</v>
      </c>
      <c r="B2458" s="1">
        <v>6000</v>
      </c>
      <c r="C2458" s="5">
        <v>1.7147926555331237E-7</v>
      </c>
    </row>
    <row r="2459" spans="1:3" x14ac:dyDescent="0.2">
      <c r="A2459" s="4" t="s">
        <v>1898</v>
      </c>
      <c r="B2459" s="1">
        <v>6000</v>
      </c>
      <c r="C2459" s="5">
        <v>1.7147926555331237E-7</v>
      </c>
    </row>
    <row r="2460" spans="1:3" x14ac:dyDescent="0.2">
      <c r="A2460" s="4" t="s">
        <v>1806</v>
      </c>
      <c r="B2460" s="1">
        <v>6000</v>
      </c>
      <c r="C2460" s="5">
        <v>1.7147926555331237E-7</v>
      </c>
    </row>
    <row r="2461" spans="1:3" x14ac:dyDescent="0.2">
      <c r="A2461" s="4" t="s">
        <v>1814</v>
      </c>
      <c r="B2461" s="1">
        <v>6000</v>
      </c>
      <c r="C2461" s="5">
        <v>1.7147926555331237E-7</v>
      </c>
    </row>
    <row r="2462" spans="1:3" x14ac:dyDescent="0.2">
      <c r="A2462" s="4" t="s">
        <v>1876</v>
      </c>
      <c r="B2462" s="1">
        <v>6000</v>
      </c>
      <c r="C2462" s="5">
        <v>1.7147926555331237E-7</v>
      </c>
    </row>
    <row r="2463" spans="1:3" x14ac:dyDescent="0.2">
      <c r="A2463" s="4" t="s">
        <v>1959</v>
      </c>
      <c r="B2463" s="1">
        <v>6000</v>
      </c>
      <c r="C2463" s="5">
        <v>1.7147926555331237E-7</v>
      </c>
    </row>
    <row r="2464" spans="1:3" x14ac:dyDescent="0.2">
      <c r="A2464" s="4" t="s">
        <v>1925</v>
      </c>
      <c r="B2464" s="1">
        <v>6000</v>
      </c>
      <c r="C2464" s="5">
        <v>1.7147926555331237E-7</v>
      </c>
    </row>
    <row r="2465" spans="1:3" x14ac:dyDescent="0.2">
      <c r="A2465" s="4" t="s">
        <v>1960</v>
      </c>
      <c r="B2465" s="1">
        <v>6000</v>
      </c>
      <c r="C2465" s="5">
        <v>1.7147926555331237E-7</v>
      </c>
    </row>
    <row r="2466" spans="1:3" x14ac:dyDescent="0.2">
      <c r="A2466" s="4" t="s">
        <v>1815</v>
      </c>
      <c r="B2466" s="1">
        <v>6000</v>
      </c>
      <c r="C2466" s="5">
        <v>1.7147926555331237E-7</v>
      </c>
    </row>
    <row r="2467" spans="1:3" x14ac:dyDescent="0.2">
      <c r="A2467" s="4" t="s">
        <v>1961</v>
      </c>
      <c r="B2467" s="1">
        <v>6000</v>
      </c>
      <c r="C2467" s="5">
        <v>1.7147926555331237E-7</v>
      </c>
    </row>
    <row r="2468" spans="1:3" x14ac:dyDescent="0.2">
      <c r="A2468" s="4" t="s">
        <v>2002</v>
      </c>
      <c r="B2468" s="1">
        <v>6000</v>
      </c>
      <c r="C2468" s="5">
        <v>1.7147926555331237E-7</v>
      </c>
    </row>
    <row r="2469" spans="1:3" x14ac:dyDescent="0.2">
      <c r="A2469" s="4" t="s">
        <v>1962</v>
      </c>
      <c r="B2469" s="1">
        <v>6000</v>
      </c>
      <c r="C2469" s="5">
        <v>1.7147926555331237E-7</v>
      </c>
    </row>
    <row r="2470" spans="1:3" x14ac:dyDescent="0.2">
      <c r="A2470" s="4" t="s">
        <v>1846</v>
      </c>
      <c r="B2470" s="1">
        <v>6000</v>
      </c>
      <c r="C2470" s="5">
        <v>1.7147926555331237E-7</v>
      </c>
    </row>
    <row r="2471" spans="1:3" x14ac:dyDescent="0.2">
      <c r="A2471" s="4" t="s">
        <v>1964</v>
      </c>
      <c r="B2471" s="1">
        <v>6000</v>
      </c>
      <c r="C2471" s="5">
        <v>1.7147926555331237E-7</v>
      </c>
    </row>
    <row r="2472" spans="1:3" x14ac:dyDescent="0.2">
      <c r="A2472" s="4" t="s">
        <v>2007</v>
      </c>
      <c r="B2472" s="1">
        <v>6000</v>
      </c>
      <c r="C2472" s="5">
        <v>1.7147926555331237E-7</v>
      </c>
    </row>
    <row r="2473" spans="1:3" x14ac:dyDescent="0.2">
      <c r="A2473" s="4" t="s">
        <v>1965</v>
      </c>
      <c r="B2473" s="1">
        <v>6000</v>
      </c>
      <c r="C2473" s="5">
        <v>1.7147926555331237E-7</v>
      </c>
    </row>
    <row r="2474" spans="1:3" x14ac:dyDescent="0.2">
      <c r="A2474" s="4" t="s">
        <v>2009</v>
      </c>
      <c r="B2474" s="1">
        <v>6000</v>
      </c>
      <c r="C2474" s="5">
        <v>1.7147926555331237E-7</v>
      </c>
    </row>
    <row r="2475" spans="1:3" x14ac:dyDescent="0.2">
      <c r="A2475" s="4" t="s">
        <v>1899</v>
      </c>
      <c r="B2475" s="1">
        <v>6000</v>
      </c>
      <c r="C2475" s="5">
        <v>1.7147926555331237E-7</v>
      </c>
    </row>
    <row r="2476" spans="1:3" x14ac:dyDescent="0.2">
      <c r="A2476" s="4" t="s">
        <v>1850</v>
      </c>
      <c r="B2476" s="1">
        <v>6000</v>
      </c>
      <c r="C2476" s="5">
        <v>1.7147926555331237E-7</v>
      </c>
    </row>
    <row r="2477" spans="1:3" x14ac:dyDescent="0.2">
      <c r="A2477" s="4" t="s">
        <v>1967</v>
      </c>
      <c r="B2477" s="1">
        <v>6000</v>
      </c>
      <c r="C2477" s="5">
        <v>1.7147926555331237E-7</v>
      </c>
    </row>
    <row r="2478" spans="1:3" x14ac:dyDescent="0.2">
      <c r="A2478" s="4" t="s">
        <v>2015</v>
      </c>
      <c r="B2478" s="1">
        <v>6000</v>
      </c>
      <c r="C2478" s="5">
        <v>1.7147926555331237E-7</v>
      </c>
    </row>
    <row r="2479" spans="1:3" x14ac:dyDescent="0.2">
      <c r="A2479" s="4" t="s">
        <v>1969</v>
      </c>
      <c r="B2479" s="1">
        <v>6000</v>
      </c>
      <c r="C2479" s="5">
        <v>1.7147926555331237E-7</v>
      </c>
    </row>
    <row r="2480" spans="1:3" x14ac:dyDescent="0.2">
      <c r="A2480" s="4" t="s">
        <v>1816</v>
      </c>
      <c r="B2480" s="1">
        <v>6000</v>
      </c>
      <c r="C2480" s="5">
        <v>1.7147926555331237E-7</v>
      </c>
    </row>
    <row r="2481" spans="1:3" x14ac:dyDescent="0.2">
      <c r="A2481" s="4" t="s">
        <v>1971</v>
      </c>
      <c r="B2481" s="1">
        <v>6000</v>
      </c>
      <c r="C2481" s="5">
        <v>1.7147926555331237E-7</v>
      </c>
    </row>
    <row r="2482" spans="1:3" x14ac:dyDescent="0.2">
      <c r="A2482" s="4" t="s">
        <v>2019</v>
      </c>
      <c r="B2482" s="1">
        <v>6000</v>
      </c>
      <c r="C2482" s="5">
        <v>1.7147926555331237E-7</v>
      </c>
    </row>
    <row r="2483" spans="1:3" x14ac:dyDescent="0.2">
      <c r="A2483" s="4" t="s">
        <v>1972</v>
      </c>
      <c r="B2483" s="1">
        <v>6000</v>
      </c>
      <c r="C2483" s="5">
        <v>1.7147926555331237E-7</v>
      </c>
    </row>
    <row r="2484" spans="1:3" x14ac:dyDescent="0.2">
      <c r="A2484" s="4" t="s">
        <v>2021</v>
      </c>
      <c r="B2484" s="1">
        <v>6000</v>
      </c>
      <c r="C2484" s="5">
        <v>1.7147926555331237E-7</v>
      </c>
    </row>
    <row r="2485" spans="1:3" x14ac:dyDescent="0.2">
      <c r="A2485" s="4" t="s">
        <v>1975</v>
      </c>
      <c r="B2485" s="1">
        <v>6000</v>
      </c>
      <c r="C2485" s="5">
        <v>1.7147926555331237E-7</v>
      </c>
    </row>
    <row r="2486" spans="1:3" x14ac:dyDescent="0.2">
      <c r="A2486" s="4" t="s">
        <v>1818</v>
      </c>
      <c r="B2486" s="1">
        <v>6000</v>
      </c>
      <c r="C2486" s="5">
        <v>1.7147926555331237E-7</v>
      </c>
    </row>
    <row r="2487" spans="1:3" x14ac:dyDescent="0.2">
      <c r="A2487" s="4" t="s">
        <v>1976</v>
      </c>
      <c r="B2487" s="1">
        <v>6000</v>
      </c>
      <c r="C2487" s="5">
        <v>1.7147926555331237E-7</v>
      </c>
    </row>
    <row r="2488" spans="1:3" x14ac:dyDescent="0.2">
      <c r="A2488" s="4" t="s">
        <v>1819</v>
      </c>
      <c r="B2488" s="1">
        <v>6000</v>
      </c>
      <c r="C2488" s="5">
        <v>1.7147926555331237E-7</v>
      </c>
    </row>
    <row r="2489" spans="1:3" x14ac:dyDescent="0.2">
      <c r="A2489" s="4" t="s">
        <v>1977</v>
      </c>
      <c r="B2489" s="1">
        <v>6000</v>
      </c>
      <c r="C2489" s="5">
        <v>1.7147926555331237E-7</v>
      </c>
    </row>
    <row r="2490" spans="1:3" x14ac:dyDescent="0.2">
      <c r="A2490" s="4" t="s">
        <v>1823</v>
      </c>
      <c r="B2490" s="1">
        <v>6000</v>
      </c>
      <c r="C2490" s="5">
        <v>1.7147926555331237E-7</v>
      </c>
    </row>
    <row r="2491" spans="1:3" x14ac:dyDescent="0.2">
      <c r="A2491" s="4" t="s">
        <v>1978</v>
      </c>
      <c r="B2491" s="1">
        <v>6000</v>
      </c>
      <c r="C2491" s="5">
        <v>1.7147926555331237E-7</v>
      </c>
    </row>
    <row r="2492" spans="1:3" x14ac:dyDescent="0.2">
      <c r="A2492" s="4" t="s">
        <v>1861</v>
      </c>
      <c r="B2492" s="1">
        <v>6000</v>
      </c>
      <c r="C2492" s="5">
        <v>1.7147926555331237E-7</v>
      </c>
    </row>
    <row r="2493" spans="1:3" x14ac:dyDescent="0.2">
      <c r="A2493" s="4" t="s">
        <v>1979</v>
      </c>
      <c r="B2493" s="1">
        <v>6000</v>
      </c>
      <c r="C2493" s="5">
        <v>1.7147926555331237E-7</v>
      </c>
    </row>
    <row r="2494" spans="1:3" x14ac:dyDescent="0.2">
      <c r="A2494" s="4" t="s">
        <v>1824</v>
      </c>
      <c r="B2494" s="1">
        <v>6000</v>
      </c>
      <c r="C2494" s="5">
        <v>1.7147926555331237E-7</v>
      </c>
    </row>
    <row r="2495" spans="1:3" x14ac:dyDescent="0.2">
      <c r="A2495" s="4" t="s">
        <v>1807</v>
      </c>
      <c r="B2495" s="1">
        <v>6000</v>
      </c>
      <c r="C2495" s="5">
        <v>1.7147926555331237E-7</v>
      </c>
    </row>
    <row r="2496" spans="1:3" x14ac:dyDescent="0.2">
      <c r="A2496" s="4" t="s">
        <v>1825</v>
      </c>
      <c r="B2496" s="1">
        <v>6000</v>
      </c>
      <c r="C2496" s="5">
        <v>1.7147926555331237E-7</v>
      </c>
    </row>
    <row r="2497" spans="1:3" x14ac:dyDescent="0.2">
      <c r="A2497" s="4" t="s">
        <v>1808</v>
      </c>
      <c r="B2497" s="1">
        <v>6000</v>
      </c>
      <c r="C2497" s="5">
        <v>1.7147926555331237E-7</v>
      </c>
    </row>
    <row r="2498" spans="1:3" x14ac:dyDescent="0.2">
      <c r="A2498" s="4" t="s">
        <v>1906</v>
      </c>
      <c r="B2498" s="1">
        <v>6000</v>
      </c>
      <c r="C2498" s="5">
        <v>1.7147926555331237E-7</v>
      </c>
    </row>
    <row r="2499" spans="1:3" x14ac:dyDescent="0.2">
      <c r="A2499" s="4" t="s">
        <v>1886</v>
      </c>
      <c r="B2499" s="1">
        <v>6000</v>
      </c>
      <c r="C2499" s="5">
        <v>1.7147926555331237E-7</v>
      </c>
    </row>
    <row r="2500" spans="1:3" x14ac:dyDescent="0.2">
      <c r="A2500" s="4" t="s">
        <v>1907</v>
      </c>
      <c r="B2500" s="1">
        <v>6000</v>
      </c>
      <c r="C2500" s="5">
        <v>1.7147926555331237E-7</v>
      </c>
    </row>
    <row r="2501" spans="1:3" x14ac:dyDescent="0.2">
      <c r="A2501" s="4" t="s">
        <v>1903</v>
      </c>
      <c r="B2501" s="1">
        <v>6000</v>
      </c>
      <c r="C2501" s="5">
        <v>1.7147926555331237E-7</v>
      </c>
    </row>
    <row r="2502" spans="1:3" x14ac:dyDescent="0.2">
      <c r="A2502" s="4" t="s">
        <v>1909</v>
      </c>
      <c r="B2502" s="1">
        <v>6000</v>
      </c>
      <c r="C2502" s="5">
        <v>1.7147926555331237E-7</v>
      </c>
    </row>
    <row r="2503" spans="1:3" x14ac:dyDescent="0.2">
      <c r="A2503" s="4" t="s">
        <v>1986</v>
      </c>
      <c r="B2503" s="1">
        <v>6000</v>
      </c>
      <c r="C2503" s="5">
        <v>1.7147926555331237E-7</v>
      </c>
    </row>
    <row r="2504" spans="1:3" x14ac:dyDescent="0.2">
      <c r="A2504" s="4" t="s">
        <v>1799</v>
      </c>
      <c r="B2504" s="1">
        <v>6000</v>
      </c>
      <c r="C2504" s="5">
        <v>1.7147926555331237E-7</v>
      </c>
    </row>
    <row r="2505" spans="1:3" x14ac:dyDescent="0.2">
      <c r="A2505" s="4" t="s">
        <v>1987</v>
      </c>
      <c r="B2505" s="1">
        <v>6000</v>
      </c>
      <c r="C2505" s="5">
        <v>1.7147926555331237E-7</v>
      </c>
    </row>
    <row r="2506" spans="1:3" x14ac:dyDescent="0.2">
      <c r="A2506" s="4" t="s">
        <v>1913</v>
      </c>
      <c r="B2506" s="1">
        <v>6000</v>
      </c>
      <c r="C2506" s="5">
        <v>1.7147926555331237E-7</v>
      </c>
    </row>
    <row r="2507" spans="1:3" x14ac:dyDescent="0.2">
      <c r="A2507" s="4" t="s">
        <v>1988</v>
      </c>
      <c r="B2507" s="1">
        <v>6000</v>
      </c>
      <c r="C2507" s="5">
        <v>1.7147926555331237E-7</v>
      </c>
    </row>
    <row r="2508" spans="1:3" x14ac:dyDescent="0.2">
      <c r="A2508" s="4" t="s">
        <v>1914</v>
      </c>
      <c r="B2508" s="1">
        <v>6000</v>
      </c>
      <c r="C2508" s="5">
        <v>1.7147926555331237E-7</v>
      </c>
    </row>
    <row r="2509" spans="1:3" x14ac:dyDescent="0.2">
      <c r="A2509" s="4" t="s">
        <v>1989</v>
      </c>
      <c r="B2509" s="1">
        <v>6000</v>
      </c>
      <c r="C2509" s="5">
        <v>1.7147926555331237E-7</v>
      </c>
    </row>
    <row r="2510" spans="1:3" x14ac:dyDescent="0.2">
      <c r="A2510" s="4" t="s">
        <v>1919</v>
      </c>
      <c r="B2510" s="1">
        <v>6000</v>
      </c>
      <c r="C2510" s="5">
        <v>1.7147926555331237E-7</v>
      </c>
    </row>
    <row r="2511" spans="1:3" x14ac:dyDescent="0.2">
      <c r="A2511" s="4" t="s">
        <v>1990</v>
      </c>
      <c r="B2511" s="1">
        <v>6000</v>
      </c>
      <c r="C2511" s="5">
        <v>1.7147926555331237E-7</v>
      </c>
    </row>
    <row r="2512" spans="1:3" x14ac:dyDescent="0.2">
      <c r="A2512" s="4" t="s">
        <v>1872</v>
      </c>
      <c r="B2512" s="1">
        <v>6000</v>
      </c>
      <c r="C2512" s="5">
        <v>1.7147926555331237E-7</v>
      </c>
    </row>
    <row r="2513" spans="1:3" x14ac:dyDescent="0.2">
      <c r="A2513" s="4" t="s">
        <v>1991</v>
      </c>
      <c r="B2513" s="1">
        <v>6000</v>
      </c>
      <c r="C2513" s="5">
        <v>1.7147926555331237E-7</v>
      </c>
    </row>
    <row r="2514" spans="1:3" x14ac:dyDescent="0.2">
      <c r="A2514" s="4" t="s">
        <v>1873</v>
      </c>
      <c r="B2514" s="1">
        <v>6000</v>
      </c>
      <c r="C2514" s="5">
        <v>1.7147926555331237E-7</v>
      </c>
    </row>
    <row r="2515" spans="1:3" x14ac:dyDescent="0.2">
      <c r="A2515" s="4" t="s">
        <v>1993</v>
      </c>
      <c r="B2515" s="1">
        <v>6000</v>
      </c>
      <c r="C2515" s="5">
        <v>1.7147926555331237E-7</v>
      </c>
    </row>
    <row r="2516" spans="1:3" x14ac:dyDescent="0.2">
      <c r="A2516" s="4" t="s">
        <v>1923</v>
      </c>
      <c r="B2516" s="1">
        <v>6000</v>
      </c>
      <c r="C2516" s="5">
        <v>1.7147926555331237E-7</v>
      </c>
    </row>
    <row r="2517" spans="1:3" x14ac:dyDescent="0.2">
      <c r="A2517" s="4" t="s">
        <v>1995</v>
      </c>
      <c r="B2517" s="1">
        <v>6000</v>
      </c>
      <c r="C2517" s="5">
        <v>1.7147926555331237E-7</v>
      </c>
    </row>
    <row r="2518" spans="1:3" x14ac:dyDescent="0.2">
      <c r="A2518" s="4" t="s">
        <v>1800</v>
      </c>
      <c r="B2518" s="1">
        <v>6000</v>
      </c>
      <c r="C2518" s="5">
        <v>1.7147926555331237E-7</v>
      </c>
    </row>
    <row r="2519" spans="1:3" x14ac:dyDescent="0.2">
      <c r="A2519" s="4" t="s">
        <v>1996</v>
      </c>
      <c r="B2519" s="1">
        <v>6000</v>
      </c>
      <c r="C2519" s="5">
        <v>1.7147926555331237E-7</v>
      </c>
    </row>
    <row r="2520" spans="1:3" x14ac:dyDescent="0.2">
      <c r="A2520" s="4" t="s">
        <v>1801</v>
      </c>
      <c r="B2520" s="1">
        <v>6000</v>
      </c>
      <c r="C2520" s="5">
        <v>1.7147926555331237E-7</v>
      </c>
    </row>
    <row r="2521" spans="1:3" x14ac:dyDescent="0.2">
      <c r="A2521" s="4" t="s">
        <v>1997</v>
      </c>
      <c r="B2521" s="1">
        <v>6000</v>
      </c>
      <c r="C2521" s="5">
        <v>1.7147926555331237E-7</v>
      </c>
    </row>
    <row r="2522" spans="1:3" x14ac:dyDescent="0.2">
      <c r="A2522" s="4" t="s">
        <v>1893</v>
      </c>
      <c r="B2522" s="1">
        <v>6000</v>
      </c>
      <c r="C2522" s="5">
        <v>1.7147926555331237E-7</v>
      </c>
    </row>
    <row r="2523" spans="1:3" x14ac:dyDescent="0.2">
      <c r="A2523" s="4" t="s">
        <v>1998</v>
      </c>
      <c r="B2523" s="1">
        <v>6000</v>
      </c>
      <c r="C2523" s="5">
        <v>1.7147926555331237E-7</v>
      </c>
    </row>
    <row r="2524" spans="1:3" x14ac:dyDescent="0.2">
      <c r="A2524" s="4" t="s">
        <v>1927</v>
      </c>
      <c r="B2524" s="1">
        <v>6000</v>
      </c>
      <c r="C2524" s="5">
        <v>1.7147926555331237E-7</v>
      </c>
    </row>
    <row r="2525" spans="1:3" x14ac:dyDescent="0.2">
      <c r="A2525" s="4" t="s">
        <v>1999</v>
      </c>
      <c r="B2525" s="1">
        <v>6000</v>
      </c>
      <c r="C2525" s="5">
        <v>1.7147926555331237E-7</v>
      </c>
    </row>
    <row r="2526" spans="1:3" x14ac:dyDescent="0.2">
      <c r="A2526" s="4" t="s">
        <v>1981</v>
      </c>
      <c r="B2526" s="1">
        <v>6000</v>
      </c>
      <c r="C2526" s="5">
        <v>1.7147926555331237E-7</v>
      </c>
    </row>
    <row r="2527" spans="1:3" x14ac:dyDescent="0.2">
      <c r="A2527" s="4" t="s">
        <v>1804</v>
      </c>
      <c r="B2527" s="1">
        <v>6000</v>
      </c>
      <c r="C2527" s="5">
        <v>1.7147926555331237E-7</v>
      </c>
    </row>
    <row r="2528" spans="1:3" x14ac:dyDescent="0.2">
      <c r="A2528" s="4" t="s">
        <v>1983</v>
      </c>
      <c r="B2528" s="1">
        <v>6000</v>
      </c>
      <c r="C2528" s="5">
        <v>1.7147926555331237E-7</v>
      </c>
    </row>
    <row r="2529" spans="1:3" x14ac:dyDescent="0.2">
      <c r="A2529" s="4" t="s">
        <v>2067</v>
      </c>
      <c r="B2529" s="1">
        <v>6000</v>
      </c>
      <c r="C2529" s="5">
        <v>1.7147926555331237E-7</v>
      </c>
    </row>
    <row r="2530" spans="1:3" x14ac:dyDescent="0.2">
      <c r="A2530" s="4" t="s">
        <v>1984</v>
      </c>
      <c r="B2530" s="1">
        <v>6000</v>
      </c>
      <c r="C2530" s="5">
        <v>1.7147926555331237E-7</v>
      </c>
    </row>
    <row r="2531" spans="1:3" x14ac:dyDescent="0.2">
      <c r="A2531" s="4" t="s">
        <v>1985</v>
      </c>
      <c r="B2531" s="1">
        <v>6000</v>
      </c>
      <c r="C2531" s="5">
        <v>1.7147926555331237E-7</v>
      </c>
    </row>
    <row r="2532" spans="1:3" x14ac:dyDescent="0.2">
      <c r="A2532" s="4" t="s">
        <v>1794</v>
      </c>
      <c r="B2532" s="1">
        <v>6000</v>
      </c>
      <c r="C2532" s="5">
        <v>1.7147926555331237E-7</v>
      </c>
    </row>
    <row r="2533" spans="1:3" x14ac:dyDescent="0.2">
      <c r="A2533" s="4" t="s">
        <v>1935</v>
      </c>
      <c r="B2533" s="1">
        <v>6000</v>
      </c>
      <c r="C2533" s="5">
        <v>1.7147926555331237E-7</v>
      </c>
    </row>
    <row r="2534" spans="1:3" x14ac:dyDescent="0.2">
      <c r="A2534" s="4" t="s">
        <v>1934</v>
      </c>
      <c r="B2534" s="1">
        <v>6000</v>
      </c>
      <c r="C2534" s="5">
        <v>1.7147926555331237E-7</v>
      </c>
    </row>
    <row r="2535" spans="1:3" x14ac:dyDescent="0.2">
      <c r="A2535" s="4" t="s">
        <v>1932</v>
      </c>
      <c r="B2535" s="1">
        <v>6000</v>
      </c>
      <c r="C2535" s="5">
        <v>1.7147926555331237E-7</v>
      </c>
    </row>
    <row r="2536" spans="1:3" x14ac:dyDescent="0.2">
      <c r="A2536" s="4" t="s">
        <v>1778</v>
      </c>
      <c r="B2536" s="1">
        <v>6000</v>
      </c>
      <c r="C2536" s="5">
        <v>1.7147926555331237E-7</v>
      </c>
    </row>
    <row r="2537" spans="1:3" x14ac:dyDescent="0.2">
      <c r="A2537" s="4" t="s">
        <v>1692</v>
      </c>
      <c r="B2537" s="1">
        <v>6000</v>
      </c>
      <c r="C2537" s="5">
        <v>1.7147926555331237E-7</v>
      </c>
    </row>
    <row r="2538" spans="1:3" x14ac:dyDescent="0.2">
      <c r="A2538" s="4" t="s">
        <v>1680</v>
      </c>
      <c r="B2538" s="1">
        <v>6000</v>
      </c>
      <c r="C2538" s="5">
        <v>1.7147926555331237E-7</v>
      </c>
    </row>
    <row r="2539" spans="1:3" x14ac:dyDescent="0.2">
      <c r="A2539" s="4" t="s">
        <v>1782</v>
      </c>
      <c r="B2539" s="1">
        <v>6000</v>
      </c>
      <c r="C2539" s="5">
        <v>1.7147926555331237E-7</v>
      </c>
    </row>
    <row r="2540" spans="1:3" x14ac:dyDescent="0.2">
      <c r="A2540" s="4" t="s">
        <v>1693</v>
      </c>
      <c r="B2540" s="1">
        <v>6000</v>
      </c>
      <c r="C2540" s="5">
        <v>1.7147926555331237E-7</v>
      </c>
    </row>
    <row r="2541" spans="1:3" x14ac:dyDescent="0.2">
      <c r="A2541" s="4" t="s">
        <v>1776</v>
      </c>
      <c r="B2541" s="1">
        <v>6000</v>
      </c>
      <c r="C2541" s="5">
        <v>1.7147926555331237E-7</v>
      </c>
    </row>
    <row r="2542" spans="1:3" x14ac:dyDescent="0.2">
      <c r="A2542" s="4" t="s">
        <v>1694</v>
      </c>
      <c r="B2542" s="1">
        <v>6000</v>
      </c>
      <c r="C2542" s="5">
        <v>1.7147926555331237E-7</v>
      </c>
    </row>
    <row r="2543" spans="1:3" x14ac:dyDescent="0.2">
      <c r="A2543" s="4" t="s">
        <v>1780</v>
      </c>
      <c r="B2543" s="1">
        <v>6000</v>
      </c>
      <c r="C2543" s="5">
        <v>1.7147926555331237E-7</v>
      </c>
    </row>
    <row r="2544" spans="1:3" x14ac:dyDescent="0.2">
      <c r="A2544" s="4" t="s">
        <v>1686</v>
      </c>
      <c r="B2544" s="1">
        <v>6000</v>
      </c>
      <c r="C2544" s="5">
        <v>1.7147926555331237E-7</v>
      </c>
    </row>
    <row r="2545" spans="1:3" x14ac:dyDescent="0.2">
      <c r="A2545" s="4" t="s">
        <v>1677</v>
      </c>
      <c r="B2545" s="1">
        <v>6000</v>
      </c>
      <c r="C2545" s="5">
        <v>1.7147926555331237E-7</v>
      </c>
    </row>
    <row r="2546" spans="1:3" x14ac:dyDescent="0.2">
      <c r="A2546" s="4" t="s">
        <v>1529</v>
      </c>
      <c r="B2546" s="1">
        <v>6000</v>
      </c>
      <c r="C2546" s="5">
        <v>1.7147926555331237E-7</v>
      </c>
    </row>
    <row r="2547" spans="1:3" x14ac:dyDescent="0.2">
      <c r="A2547" s="4" t="s">
        <v>1632</v>
      </c>
      <c r="B2547" s="1">
        <v>6000</v>
      </c>
      <c r="C2547" s="5">
        <v>1.7147926555331237E-7</v>
      </c>
    </row>
    <row r="2548" spans="1:3" x14ac:dyDescent="0.2">
      <c r="A2548" s="4" t="s">
        <v>1687</v>
      </c>
      <c r="B2548" s="1">
        <v>6000</v>
      </c>
      <c r="C2548" s="5">
        <v>1.7147926555331237E-7</v>
      </c>
    </row>
    <row r="2549" spans="1:3" x14ac:dyDescent="0.2">
      <c r="A2549" s="4" t="s">
        <v>1691</v>
      </c>
      <c r="B2549" s="1">
        <v>6000</v>
      </c>
      <c r="C2549" s="5">
        <v>1.7147926555331237E-7</v>
      </c>
    </row>
    <row r="2550" spans="1:3" x14ac:dyDescent="0.2">
      <c r="A2550" s="4" t="s">
        <v>1656</v>
      </c>
      <c r="B2550" s="1">
        <v>6000</v>
      </c>
      <c r="C2550" s="5">
        <v>1.7147926555331237E-7</v>
      </c>
    </row>
    <row r="2551" spans="1:3" x14ac:dyDescent="0.2">
      <c r="A2551" s="4" t="s">
        <v>1777</v>
      </c>
      <c r="B2551" s="1">
        <v>6000</v>
      </c>
      <c r="C2551" s="5">
        <v>1.7147926555331237E-7</v>
      </c>
    </row>
    <row r="2552" spans="1:3" x14ac:dyDescent="0.2">
      <c r="A2552" s="4" t="s">
        <v>1689</v>
      </c>
      <c r="B2552" s="1">
        <v>6000</v>
      </c>
      <c r="C2552" s="5">
        <v>1.7147926555331237E-7</v>
      </c>
    </row>
    <row r="2553" spans="1:3" x14ac:dyDescent="0.2">
      <c r="A2553" s="4" t="s">
        <v>1779</v>
      </c>
      <c r="B2553" s="1">
        <v>6000</v>
      </c>
      <c r="C2553" s="5">
        <v>1.7147926555331237E-7</v>
      </c>
    </row>
    <row r="2554" spans="1:3" x14ac:dyDescent="0.2">
      <c r="A2554" s="4" t="s">
        <v>1690</v>
      </c>
      <c r="B2554" s="1">
        <v>6000</v>
      </c>
      <c r="C2554" s="5">
        <v>1.7147926555331237E-7</v>
      </c>
    </row>
    <row r="2555" spans="1:3" x14ac:dyDescent="0.2">
      <c r="A2555" s="4" t="s">
        <v>1781</v>
      </c>
      <c r="B2555" s="1">
        <v>6000</v>
      </c>
      <c r="C2555" s="5">
        <v>1.7147926555331237E-7</v>
      </c>
    </row>
    <row r="2556" spans="1:3" x14ac:dyDescent="0.2">
      <c r="A2556" s="4" t="s">
        <v>1683</v>
      </c>
      <c r="B2556" s="1">
        <v>6000</v>
      </c>
      <c r="C2556" s="5">
        <v>1.7147926555331237E-7</v>
      </c>
    </row>
    <row r="2557" spans="1:3" x14ac:dyDescent="0.2">
      <c r="A2557" s="4" t="s">
        <v>1783</v>
      </c>
      <c r="B2557" s="1">
        <v>6000</v>
      </c>
      <c r="C2557" s="5">
        <v>1.7147926555331237E-7</v>
      </c>
    </row>
    <row r="2558" spans="1:3" x14ac:dyDescent="0.2">
      <c r="A2558" s="4" t="s">
        <v>1660</v>
      </c>
      <c r="B2558" s="1">
        <v>6000</v>
      </c>
      <c r="C2558" s="5">
        <v>1.7147926555331237E-7</v>
      </c>
    </row>
    <row r="2559" spans="1:3" x14ac:dyDescent="0.2">
      <c r="A2559" s="4" t="s">
        <v>1678</v>
      </c>
      <c r="B2559" s="1">
        <v>6000</v>
      </c>
      <c r="C2559" s="5">
        <v>1.7147926555331237E-7</v>
      </c>
    </row>
    <row r="2560" spans="1:3" x14ac:dyDescent="0.2">
      <c r="A2560" s="4" t="s">
        <v>1666</v>
      </c>
      <c r="B2560" s="1">
        <v>6000</v>
      </c>
      <c r="C2560" s="5">
        <v>1.7147926555331237E-7</v>
      </c>
    </row>
    <row r="2561" spans="1:3" x14ac:dyDescent="0.2">
      <c r="A2561" s="4" t="s">
        <v>1631</v>
      </c>
      <c r="B2561" s="1">
        <v>6000</v>
      </c>
      <c r="C2561" s="5">
        <v>1.7147926555331237E-7</v>
      </c>
    </row>
    <row r="2562" spans="1:3" x14ac:dyDescent="0.2">
      <c r="A2562" s="4" t="s">
        <v>1772</v>
      </c>
      <c r="B2562" s="1">
        <v>6000</v>
      </c>
      <c r="C2562" s="5">
        <v>1.7147926555331237E-7</v>
      </c>
    </row>
    <row r="2563" spans="1:3" x14ac:dyDescent="0.2">
      <c r="A2563" s="4" t="s">
        <v>1679</v>
      </c>
      <c r="B2563" s="1">
        <v>6000</v>
      </c>
      <c r="C2563" s="5">
        <v>1.7147926555331237E-7</v>
      </c>
    </row>
    <row r="2564" spans="1:3" x14ac:dyDescent="0.2">
      <c r="A2564" s="4" t="s">
        <v>1773</v>
      </c>
      <c r="B2564" s="1">
        <v>6000</v>
      </c>
      <c r="C2564" s="5">
        <v>1.7147926555331237E-7</v>
      </c>
    </row>
    <row r="2565" spans="1:3" x14ac:dyDescent="0.2">
      <c r="A2565" s="4" t="s">
        <v>1639</v>
      </c>
      <c r="B2565" s="1">
        <v>6000</v>
      </c>
      <c r="C2565" s="5">
        <v>1.7147926555331237E-7</v>
      </c>
    </row>
    <row r="2566" spans="1:3" x14ac:dyDescent="0.2">
      <c r="A2566" s="4" t="s">
        <v>1774</v>
      </c>
      <c r="B2566" s="1">
        <v>6000</v>
      </c>
      <c r="C2566" s="5">
        <v>1.7147926555331237E-7</v>
      </c>
    </row>
    <row r="2567" spans="1:3" x14ac:dyDescent="0.2">
      <c r="A2567" s="4" t="s">
        <v>1653</v>
      </c>
      <c r="B2567" s="1">
        <v>6000</v>
      </c>
      <c r="C2567" s="5">
        <v>1.7147926555331237E-7</v>
      </c>
    </row>
    <row r="2568" spans="1:3" x14ac:dyDescent="0.2">
      <c r="A2568" s="4" t="s">
        <v>1278</v>
      </c>
      <c r="B2568" s="1">
        <v>6000</v>
      </c>
      <c r="C2568" s="5">
        <v>1.7147926555331237E-7</v>
      </c>
    </row>
    <row r="2569" spans="1:3" x14ac:dyDescent="0.2">
      <c r="A2569" s="4" t="s">
        <v>1308</v>
      </c>
      <c r="B2569" s="1">
        <v>6000</v>
      </c>
      <c r="C2569" s="5">
        <v>1.7147926555331237E-7</v>
      </c>
    </row>
    <row r="2570" spans="1:3" x14ac:dyDescent="0.2">
      <c r="A2570" s="4" t="s">
        <v>1348</v>
      </c>
      <c r="B2570" s="1">
        <v>6000</v>
      </c>
      <c r="C2570" s="5">
        <v>1.7147926555331237E-7</v>
      </c>
    </row>
    <row r="2571" spans="1:3" x14ac:dyDescent="0.2">
      <c r="A2571" s="4" t="s">
        <v>1252</v>
      </c>
      <c r="B2571" s="1">
        <v>6000</v>
      </c>
      <c r="C2571" s="5">
        <v>1.7147926555331237E-7</v>
      </c>
    </row>
    <row r="2572" spans="1:3" x14ac:dyDescent="0.2">
      <c r="A2572" s="4" t="s">
        <v>1658</v>
      </c>
      <c r="B2572" s="1">
        <v>5850</v>
      </c>
      <c r="C2572" s="5">
        <v>1.6719228391447956E-7</v>
      </c>
    </row>
    <row r="2573" spans="1:3" x14ac:dyDescent="0.2">
      <c r="A2573" s="4" t="s">
        <v>1661</v>
      </c>
      <c r="B2573" s="1">
        <v>5800</v>
      </c>
      <c r="C2573" s="5">
        <v>1.6576329003486863E-7</v>
      </c>
    </row>
    <row r="2574" spans="1:3" x14ac:dyDescent="0.2">
      <c r="A2574" s="4" t="s">
        <v>2785</v>
      </c>
      <c r="B2574" s="1">
        <v>5750</v>
      </c>
      <c r="C2574" s="5">
        <v>1.6433429615525768E-7</v>
      </c>
    </row>
    <row r="2575" spans="1:3" x14ac:dyDescent="0.2">
      <c r="A2575" s="4" t="s">
        <v>2426</v>
      </c>
      <c r="B2575" s="1">
        <v>5750</v>
      </c>
      <c r="C2575" s="5">
        <v>1.6433429615525768E-7</v>
      </c>
    </row>
    <row r="2576" spans="1:3" x14ac:dyDescent="0.2">
      <c r="A2576" s="4" t="s">
        <v>2303</v>
      </c>
      <c r="B2576" s="1">
        <v>5750</v>
      </c>
      <c r="C2576" s="5">
        <v>1.6433429615525768E-7</v>
      </c>
    </row>
    <row r="2577" spans="1:3" x14ac:dyDescent="0.2">
      <c r="A2577" s="4" t="s">
        <v>1849</v>
      </c>
      <c r="B2577" s="1">
        <v>5750</v>
      </c>
      <c r="C2577" s="5">
        <v>1.6433429615525768E-7</v>
      </c>
    </row>
    <row r="2578" spans="1:3" x14ac:dyDescent="0.2">
      <c r="A2578" s="4" t="s">
        <v>1933</v>
      </c>
      <c r="B2578" s="1">
        <v>5750</v>
      </c>
      <c r="C2578" s="5">
        <v>1.6433429615525768E-7</v>
      </c>
    </row>
    <row r="2579" spans="1:3" x14ac:dyDescent="0.2">
      <c r="A2579" s="4" t="s">
        <v>2722</v>
      </c>
      <c r="B2579" s="1">
        <v>5500</v>
      </c>
      <c r="C2579" s="5">
        <v>1.57189326757203E-7</v>
      </c>
    </row>
    <row r="2580" spans="1:3" x14ac:dyDescent="0.2">
      <c r="A2580" s="4" t="s">
        <v>2791</v>
      </c>
      <c r="B2580" s="1">
        <v>5500</v>
      </c>
      <c r="C2580" s="5">
        <v>1.57189326757203E-7</v>
      </c>
    </row>
    <row r="2581" spans="1:3" x14ac:dyDescent="0.2">
      <c r="A2581" s="4" t="s">
        <v>2820</v>
      </c>
      <c r="B2581" s="1">
        <v>5500</v>
      </c>
      <c r="C2581" s="5">
        <v>1.57189326757203E-7</v>
      </c>
    </row>
    <row r="2582" spans="1:3" x14ac:dyDescent="0.2">
      <c r="A2582" s="4" t="s">
        <v>2393</v>
      </c>
      <c r="B2582" s="1">
        <v>5500</v>
      </c>
      <c r="C2582" s="5">
        <v>1.57189326757203E-7</v>
      </c>
    </row>
    <row r="2583" spans="1:3" x14ac:dyDescent="0.2">
      <c r="A2583" s="4" t="s">
        <v>2396</v>
      </c>
      <c r="B2583" s="1">
        <v>5500</v>
      </c>
      <c r="C2583" s="5">
        <v>1.57189326757203E-7</v>
      </c>
    </row>
    <row r="2584" spans="1:3" x14ac:dyDescent="0.2">
      <c r="A2584" s="4" t="s">
        <v>2386</v>
      </c>
      <c r="B2584" s="1">
        <v>5500</v>
      </c>
      <c r="C2584" s="5">
        <v>1.57189326757203E-7</v>
      </c>
    </row>
    <row r="2585" spans="1:3" x14ac:dyDescent="0.2">
      <c r="A2585" s="4" t="s">
        <v>2291</v>
      </c>
      <c r="B2585" s="1">
        <v>5500</v>
      </c>
      <c r="C2585" s="5">
        <v>1.57189326757203E-7</v>
      </c>
    </row>
    <row r="2586" spans="1:3" x14ac:dyDescent="0.2">
      <c r="A2586" s="4" t="s">
        <v>1945</v>
      </c>
      <c r="B2586" s="1">
        <v>5500</v>
      </c>
      <c r="C2586" s="5">
        <v>1.57189326757203E-7</v>
      </c>
    </row>
    <row r="2587" spans="1:3" x14ac:dyDescent="0.2">
      <c r="A2587" s="4" t="s">
        <v>1810</v>
      </c>
      <c r="B2587" s="1">
        <v>5500</v>
      </c>
      <c r="C2587" s="5">
        <v>1.57189326757203E-7</v>
      </c>
    </row>
    <row r="2588" spans="1:3" x14ac:dyDescent="0.2">
      <c r="A2588" s="4" t="s">
        <v>1822</v>
      </c>
      <c r="B2588" s="1">
        <v>5500</v>
      </c>
      <c r="C2588" s="5">
        <v>1.57189326757203E-7</v>
      </c>
    </row>
    <row r="2589" spans="1:3" x14ac:dyDescent="0.2">
      <c r="A2589" s="4" t="s">
        <v>1922</v>
      </c>
      <c r="B2589" s="1">
        <v>5500</v>
      </c>
      <c r="C2589" s="5">
        <v>1.57189326757203E-7</v>
      </c>
    </row>
    <row r="2590" spans="1:3" x14ac:dyDescent="0.2">
      <c r="A2590" s="4" t="s">
        <v>1665</v>
      </c>
      <c r="B2590" s="1">
        <v>5500</v>
      </c>
      <c r="C2590" s="5">
        <v>1.57189326757203E-7</v>
      </c>
    </row>
    <row r="2591" spans="1:3" x14ac:dyDescent="0.2">
      <c r="A2591" s="4" t="s">
        <v>2853</v>
      </c>
      <c r="B2591" s="1">
        <v>5250</v>
      </c>
      <c r="C2591" s="5">
        <v>1.5004435735914831E-7</v>
      </c>
    </row>
    <row r="2592" spans="1:3" x14ac:dyDescent="0.2">
      <c r="A2592" s="4" t="s">
        <v>2659</v>
      </c>
      <c r="B2592" s="1">
        <v>5250</v>
      </c>
      <c r="C2592" s="5">
        <v>1.5004435735914831E-7</v>
      </c>
    </row>
    <row r="2593" spans="1:3" x14ac:dyDescent="0.2">
      <c r="A2593" s="4" t="s">
        <v>2350</v>
      </c>
      <c r="B2593" s="1">
        <v>5250</v>
      </c>
      <c r="C2593" s="5">
        <v>1.5004435735914831E-7</v>
      </c>
    </row>
    <row r="2594" spans="1:3" x14ac:dyDescent="0.2">
      <c r="A2594" s="4" t="s">
        <v>2011</v>
      </c>
      <c r="B2594" s="1">
        <v>5250</v>
      </c>
      <c r="C2594" s="5">
        <v>1.5004435735914831E-7</v>
      </c>
    </row>
    <row r="2595" spans="1:3" x14ac:dyDescent="0.2">
      <c r="A2595" s="4" t="s">
        <v>1973</v>
      </c>
      <c r="B2595" s="1">
        <v>5250</v>
      </c>
      <c r="C2595" s="5">
        <v>1.5004435735914831E-7</v>
      </c>
    </row>
    <row r="2596" spans="1:3" x14ac:dyDescent="0.2">
      <c r="A2596" s="4" t="s">
        <v>1871</v>
      </c>
      <c r="B2596" s="1">
        <v>5250</v>
      </c>
      <c r="C2596" s="5">
        <v>1.5004435735914831E-7</v>
      </c>
    </row>
    <row r="2597" spans="1:3" x14ac:dyDescent="0.2">
      <c r="A2597" s="4" t="s">
        <v>2622</v>
      </c>
      <c r="B2597" s="1">
        <v>5050</v>
      </c>
      <c r="C2597" s="5">
        <v>1.4432838184070458E-7</v>
      </c>
    </row>
    <row r="2598" spans="1:3" x14ac:dyDescent="0.2">
      <c r="A2598" s="4" t="s">
        <v>2674</v>
      </c>
      <c r="B2598" s="1">
        <v>5000</v>
      </c>
      <c r="C2598" s="5">
        <v>1.4289938796109365E-7</v>
      </c>
    </row>
    <row r="2599" spans="1:3" x14ac:dyDescent="0.2">
      <c r="A2599" s="4" t="s">
        <v>2765</v>
      </c>
      <c r="B2599" s="1">
        <v>5000</v>
      </c>
      <c r="C2599" s="5">
        <v>1.4289938796109365E-7</v>
      </c>
    </row>
    <row r="2600" spans="1:3" x14ac:dyDescent="0.2">
      <c r="A2600" s="4" t="s">
        <v>2794</v>
      </c>
      <c r="B2600" s="1">
        <v>5000</v>
      </c>
      <c r="C2600" s="5">
        <v>1.4289938796109365E-7</v>
      </c>
    </row>
    <row r="2601" spans="1:3" x14ac:dyDescent="0.2">
      <c r="A2601" s="4" t="s">
        <v>2632</v>
      </c>
      <c r="B2601" s="1">
        <v>5000</v>
      </c>
      <c r="C2601" s="5">
        <v>1.4289938796109365E-7</v>
      </c>
    </row>
    <row r="2602" spans="1:3" x14ac:dyDescent="0.2">
      <c r="A2602" s="4" t="s">
        <v>2879</v>
      </c>
      <c r="B2602" s="1">
        <v>5000</v>
      </c>
      <c r="C2602" s="5">
        <v>1.4289938796109365E-7</v>
      </c>
    </row>
    <row r="2603" spans="1:3" x14ac:dyDescent="0.2">
      <c r="A2603" s="4" t="s">
        <v>2751</v>
      </c>
      <c r="B2603" s="1">
        <v>5000</v>
      </c>
      <c r="C2603" s="5">
        <v>1.4289938796109365E-7</v>
      </c>
    </row>
    <row r="2604" spans="1:3" x14ac:dyDescent="0.2">
      <c r="A2604" s="4" t="s">
        <v>2888</v>
      </c>
      <c r="B2604" s="1">
        <v>5000</v>
      </c>
      <c r="C2604" s="5">
        <v>1.4289938796109365E-7</v>
      </c>
    </row>
    <row r="2605" spans="1:3" x14ac:dyDescent="0.2">
      <c r="A2605" s="4" t="s">
        <v>2755</v>
      </c>
      <c r="B2605" s="1">
        <v>5000</v>
      </c>
      <c r="C2605" s="5">
        <v>1.4289938796109365E-7</v>
      </c>
    </row>
    <row r="2606" spans="1:3" x14ac:dyDescent="0.2">
      <c r="A2606" s="4" t="s">
        <v>2633</v>
      </c>
      <c r="B2606" s="1">
        <v>5000</v>
      </c>
      <c r="C2606" s="5">
        <v>1.4289938796109365E-7</v>
      </c>
    </row>
    <row r="2607" spans="1:3" x14ac:dyDescent="0.2">
      <c r="A2607" s="4" t="s">
        <v>2752</v>
      </c>
      <c r="B2607" s="1">
        <v>5000</v>
      </c>
      <c r="C2607" s="5">
        <v>1.4289938796109365E-7</v>
      </c>
    </row>
    <row r="2608" spans="1:3" x14ac:dyDescent="0.2">
      <c r="A2608" s="4" t="s">
        <v>2766</v>
      </c>
      <c r="B2608" s="1">
        <v>5000</v>
      </c>
      <c r="C2608" s="5">
        <v>1.4289938796109365E-7</v>
      </c>
    </row>
    <row r="2609" spans="1:3" x14ac:dyDescent="0.2">
      <c r="A2609" s="4" t="s">
        <v>2774</v>
      </c>
      <c r="B2609" s="1">
        <v>5000</v>
      </c>
      <c r="C2609" s="5">
        <v>1.4289938796109365E-7</v>
      </c>
    </row>
    <row r="2610" spans="1:3" x14ac:dyDescent="0.2">
      <c r="A2610" s="4" t="s">
        <v>2714</v>
      </c>
      <c r="B2610" s="1">
        <v>5000</v>
      </c>
      <c r="C2610" s="5">
        <v>1.4289938796109365E-7</v>
      </c>
    </row>
    <row r="2611" spans="1:3" x14ac:dyDescent="0.2">
      <c r="A2611" s="4" t="s">
        <v>2358</v>
      </c>
      <c r="B2611" s="1">
        <v>5000</v>
      </c>
      <c r="C2611" s="5">
        <v>1.4289938796109365E-7</v>
      </c>
    </row>
    <row r="2612" spans="1:3" x14ac:dyDescent="0.2">
      <c r="A2612" s="4" t="s">
        <v>2362</v>
      </c>
      <c r="B2612" s="1">
        <v>5000</v>
      </c>
      <c r="C2612" s="5">
        <v>1.4289938796109365E-7</v>
      </c>
    </row>
    <row r="2613" spans="1:3" x14ac:dyDescent="0.2">
      <c r="A2613" s="4" t="s">
        <v>2421</v>
      </c>
      <c r="B2613" s="1">
        <v>5000</v>
      </c>
      <c r="C2613" s="5">
        <v>1.4289938796109365E-7</v>
      </c>
    </row>
    <row r="2614" spans="1:3" x14ac:dyDescent="0.2">
      <c r="A2614" s="4" t="s">
        <v>2413</v>
      </c>
      <c r="B2614" s="1">
        <v>5000</v>
      </c>
      <c r="C2614" s="5">
        <v>1.4289938796109365E-7</v>
      </c>
    </row>
    <row r="2615" spans="1:3" x14ac:dyDescent="0.2">
      <c r="A2615" s="4" t="s">
        <v>2412</v>
      </c>
      <c r="B2615" s="1">
        <v>5000</v>
      </c>
      <c r="C2615" s="5">
        <v>1.4289938796109365E-7</v>
      </c>
    </row>
    <row r="2616" spans="1:3" x14ac:dyDescent="0.2">
      <c r="A2616" s="4" t="s">
        <v>2431</v>
      </c>
      <c r="B2616" s="1">
        <v>5000</v>
      </c>
      <c r="C2616" s="5">
        <v>1.4289938796109365E-7</v>
      </c>
    </row>
    <row r="2617" spans="1:3" x14ac:dyDescent="0.2">
      <c r="A2617" s="4" t="s">
        <v>2380</v>
      </c>
      <c r="B2617" s="1">
        <v>5000</v>
      </c>
      <c r="C2617" s="5">
        <v>1.4289938796109365E-7</v>
      </c>
    </row>
    <row r="2618" spans="1:3" x14ac:dyDescent="0.2">
      <c r="A2618" s="4" t="s">
        <v>2320</v>
      </c>
      <c r="B2618" s="1">
        <v>5000</v>
      </c>
      <c r="C2618" s="5">
        <v>1.4289938796109365E-7</v>
      </c>
    </row>
    <row r="2619" spans="1:3" x14ac:dyDescent="0.2">
      <c r="A2619" s="4" t="s">
        <v>2296</v>
      </c>
      <c r="B2619" s="1">
        <v>5000</v>
      </c>
      <c r="C2619" s="5">
        <v>1.4289938796109365E-7</v>
      </c>
    </row>
    <row r="2620" spans="1:3" x14ac:dyDescent="0.2">
      <c r="A2620" s="4" t="s">
        <v>2248</v>
      </c>
      <c r="B2620" s="1">
        <v>5000</v>
      </c>
      <c r="C2620" s="5">
        <v>1.4289938796109365E-7</v>
      </c>
    </row>
    <row r="2621" spans="1:3" x14ac:dyDescent="0.2">
      <c r="A2621" s="4" t="s">
        <v>2246</v>
      </c>
      <c r="B2621" s="1">
        <v>5000</v>
      </c>
      <c r="C2621" s="5">
        <v>1.4289938796109365E-7</v>
      </c>
    </row>
    <row r="2622" spans="1:3" x14ac:dyDescent="0.2">
      <c r="A2622" s="4" t="s">
        <v>2274</v>
      </c>
      <c r="B2622" s="1">
        <v>5000</v>
      </c>
      <c r="C2622" s="5">
        <v>1.4289938796109365E-7</v>
      </c>
    </row>
    <row r="2623" spans="1:3" x14ac:dyDescent="0.2">
      <c r="A2623" s="4" t="s">
        <v>2324</v>
      </c>
      <c r="B2623" s="1">
        <v>5000</v>
      </c>
      <c r="C2623" s="5">
        <v>1.4289938796109365E-7</v>
      </c>
    </row>
    <row r="2624" spans="1:3" x14ac:dyDescent="0.2">
      <c r="A2624" s="4" t="s">
        <v>2340</v>
      </c>
      <c r="B2624" s="1">
        <v>5000</v>
      </c>
      <c r="C2624" s="5">
        <v>1.4289938796109365E-7</v>
      </c>
    </row>
    <row r="2625" spans="1:3" x14ac:dyDescent="0.2">
      <c r="A2625" s="4" t="s">
        <v>2110</v>
      </c>
      <c r="B2625" s="1">
        <v>5000</v>
      </c>
      <c r="C2625" s="5">
        <v>1.4289938796109365E-7</v>
      </c>
    </row>
    <row r="2626" spans="1:3" x14ac:dyDescent="0.2">
      <c r="A2626" s="4" t="s">
        <v>2293</v>
      </c>
      <c r="B2626" s="1">
        <v>5000</v>
      </c>
      <c r="C2626" s="5">
        <v>1.4289938796109365E-7</v>
      </c>
    </row>
    <row r="2627" spans="1:3" x14ac:dyDescent="0.2">
      <c r="A2627" s="4" t="s">
        <v>1827</v>
      </c>
      <c r="B2627" s="1">
        <v>5000</v>
      </c>
      <c r="C2627" s="5">
        <v>1.4289938796109365E-7</v>
      </c>
    </row>
    <row r="2628" spans="1:3" x14ac:dyDescent="0.2">
      <c r="A2628" s="4" t="s">
        <v>1948</v>
      </c>
      <c r="B2628" s="1">
        <v>5000</v>
      </c>
      <c r="C2628" s="5">
        <v>1.4289938796109365E-7</v>
      </c>
    </row>
    <row r="2629" spans="1:3" x14ac:dyDescent="0.2">
      <c r="A2629" s="4" t="s">
        <v>1921</v>
      </c>
      <c r="B2629" s="1">
        <v>5000</v>
      </c>
      <c r="C2629" s="5">
        <v>1.4289938796109365E-7</v>
      </c>
    </row>
    <row r="2630" spans="1:3" x14ac:dyDescent="0.2">
      <c r="A2630" s="4" t="s">
        <v>1963</v>
      </c>
      <c r="B2630" s="1">
        <v>5000</v>
      </c>
      <c r="C2630" s="5">
        <v>1.4289938796109365E-7</v>
      </c>
    </row>
    <row r="2631" spans="1:3" x14ac:dyDescent="0.2">
      <c r="A2631" s="4" t="s">
        <v>1917</v>
      </c>
      <c r="B2631" s="1">
        <v>5000</v>
      </c>
      <c r="C2631" s="5">
        <v>1.4289938796109365E-7</v>
      </c>
    </row>
    <row r="2632" spans="1:3" x14ac:dyDescent="0.2">
      <c r="A2632" s="4" t="s">
        <v>1820</v>
      </c>
      <c r="B2632" s="1">
        <v>5000</v>
      </c>
      <c r="C2632" s="5">
        <v>1.4289938796109365E-7</v>
      </c>
    </row>
    <row r="2633" spans="1:3" x14ac:dyDescent="0.2">
      <c r="A2633" s="4" t="s">
        <v>1982</v>
      </c>
      <c r="B2633" s="1">
        <v>5000</v>
      </c>
      <c r="C2633" s="5">
        <v>1.4289938796109365E-7</v>
      </c>
    </row>
    <row r="2634" spans="1:3" x14ac:dyDescent="0.2">
      <c r="A2634" s="4" t="s">
        <v>1970</v>
      </c>
      <c r="B2634" s="1">
        <v>5000</v>
      </c>
      <c r="C2634" s="5">
        <v>1.4289938796109365E-7</v>
      </c>
    </row>
    <row r="2635" spans="1:3" x14ac:dyDescent="0.2">
      <c r="A2635" s="4" t="s">
        <v>1796</v>
      </c>
      <c r="B2635" s="1">
        <v>5000</v>
      </c>
      <c r="C2635" s="5">
        <v>1.4289938796109365E-7</v>
      </c>
    </row>
    <row r="2636" spans="1:3" x14ac:dyDescent="0.2">
      <c r="A2636" s="4" t="s">
        <v>1992</v>
      </c>
      <c r="B2636" s="1">
        <v>5000</v>
      </c>
      <c r="C2636" s="5">
        <v>1.4289938796109365E-7</v>
      </c>
    </row>
    <row r="2637" spans="1:3" x14ac:dyDescent="0.2">
      <c r="A2637" s="4" t="s">
        <v>1654</v>
      </c>
      <c r="B2637" s="1">
        <v>5000</v>
      </c>
      <c r="C2637" s="5">
        <v>1.4289938796109365E-7</v>
      </c>
    </row>
    <row r="2638" spans="1:3" x14ac:dyDescent="0.2">
      <c r="A2638" s="4" t="s">
        <v>1709</v>
      </c>
      <c r="B2638" s="1">
        <v>5000</v>
      </c>
      <c r="C2638" s="5">
        <v>1.4289938796109365E-7</v>
      </c>
    </row>
    <row r="2639" spans="1:3" x14ac:dyDescent="0.2">
      <c r="A2639" s="4" t="s">
        <v>1769</v>
      </c>
      <c r="B2639" s="1">
        <v>5000</v>
      </c>
      <c r="C2639" s="5">
        <v>1.4289938796109365E-7</v>
      </c>
    </row>
    <row r="2640" spans="1:3" x14ac:dyDescent="0.2">
      <c r="A2640" s="4" t="s">
        <v>1685</v>
      </c>
      <c r="B2640" s="1">
        <v>5000</v>
      </c>
      <c r="C2640" s="5">
        <v>1.4289938796109365E-7</v>
      </c>
    </row>
    <row r="2641" spans="1:3" x14ac:dyDescent="0.2">
      <c r="A2641" s="4" t="s">
        <v>2807</v>
      </c>
      <c r="B2641" s="1">
        <v>4875</v>
      </c>
      <c r="C2641" s="5">
        <v>1.3932690326206631E-7</v>
      </c>
    </row>
    <row r="2642" spans="1:3" x14ac:dyDescent="0.2">
      <c r="A2642" s="4" t="s">
        <v>1664</v>
      </c>
      <c r="B2642" s="1">
        <v>4850</v>
      </c>
      <c r="C2642" s="5">
        <v>1.3861240632226082E-7</v>
      </c>
    </row>
    <row r="2643" spans="1:3" x14ac:dyDescent="0.2">
      <c r="A2643" s="4" t="s">
        <v>2695</v>
      </c>
      <c r="B2643" s="1">
        <v>4800</v>
      </c>
      <c r="C2643" s="5">
        <v>1.3718341244264989E-7</v>
      </c>
    </row>
    <row r="2644" spans="1:3" x14ac:dyDescent="0.2">
      <c r="A2644" s="4" t="s">
        <v>2580</v>
      </c>
      <c r="B2644" s="1">
        <v>4800</v>
      </c>
      <c r="C2644" s="5">
        <v>1.3718341244264989E-7</v>
      </c>
    </row>
    <row r="2645" spans="1:3" x14ac:dyDescent="0.2">
      <c r="A2645" s="4" t="s">
        <v>2407</v>
      </c>
      <c r="B2645" s="1">
        <v>4750</v>
      </c>
      <c r="C2645" s="5">
        <v>1.3575441856303897E-7</v>
      </c>
    </row>
    <row r="2646" spans="1:3" x14ac:dyDescent="0.2">
      <c r="A2646" s="4" t="s">
        <v>2440</v>
      </c>
      <c r="B2646" s="1">
        <v>4750</v>
      </c>
      <c r="C2646" s="5">
        <v>1.3575441856303897E-7</v>
      </c>
    </row>
    <row r="2647" spans="1:3" x14ac:dyDescent="0.2">
      <c r="A2647" s="4" t="s">
        <v>2416</v>
      </c>
      <c r="B2647" s="1">
        <v>4750</v>
      </c>
      <c r="C2647" s="5">
        <v>1.3575441856303897E-7</v>
      </c>
    </row>
    <row r="2648" spans="1:3" x14ac:dyDescent="0.2">
      <c r="A2648" s="4" t="s">
        <v>2235</v>
      </c>
      <c r="B2648" s="1">
        <v>4750</v>
      </c>
      <c r="C2648" s="5">
        <v>1.3575441856303897E-7</v>
      </c>
    </row>
    <row r="2649" spans="1:3" x14ac:dyDescent="0.2">
      <c r="A2649" s="4" t="s">
        <v>2292</v>
      </c>
      <c r="B2649" s="1">
        <v>4750</v>
      </c>
      <c r="C2649" s="5">
        <v>1.3575441856303897E-7</v>
      </c>
    </row>
    <row r="2650" spans="1:3" x14ac:dyDescent="0.2">
      <c r="A2650" s="4" t="s">
        <v>2252</v>
      </c>
      <c r="B2650" s="1">
        <v>4750</v>
      </c>
      <c r="C2650" s="5">
        <v>1.3575441856303897E-7</v>
      </c>
    </row>
    <row r="2651" spans="1:3" x14ac:dyDescent="0.2">
      <c r="A2651" s="4" t="s">
        <v>1848</v>
      </c>
      <c r="B2651" s="1">
        <v>4750</v>
      </c>
      <c r="C2651" s="5">
        <v>1.3575441856303897E-7</v>
      </c>
    </row>
    <row r="2652" spans="1:3" x14ac:dyDescent="0.2">
      <c r="A2652" s="4" t="s">
        <v>1954</v>
      </c>
      <c r="B2652" s="1">
        <v>4750</v>
      </c>
      <c r="C2652" s="5">
        <v>1.3575441856303897E-7</v>
      </c>
    </row>
    <row r="2653" spans="1:3" x14ac:dyDescent="0.2">
      <c r="A2653" s="4" t="s">
        <v>2718</v>
      </c>
      <c r="B2653" s="1">
        <v>4725</v>
      </c>
      <c r="C2653" s="5">
        <v>1.350399216232335E-7</v>
      </c>
    </row>
    <row r="2654" spans="1:3" x14ac:dyDescent="0.2">
      <c r="A2654" s="4" t="s">
        <v>2618</v>
      </c>
      <c r="B2654" s="1">
        <v>4700</v>
      </c>
      <c r="C2654" s="5">
        <v>1.3432542468342801E-7</v>
      </c>
    </row>
    <row r="2655" spans="1:3" x14ac:dyDescent="0.2">
      <c r="A2655" s="4" t="s">
        <v>525</v>
      </c>
      <c r="B2655" s="1">
        <v>4640</v>
      </c>
      <c r="C2655" s="5">
        <v>1.326106320278949E-7</v>
      </c>
    </row>
    <row r="2656" spans="1:3" x14ac:dyDescent="0.2">
      <c r="A2656" s="4" t="s">
        <v>1634</v>
      </c>
      <c r="B2656" s="1">
        <v>4550</v>
      </c>
      <c r="C2656" s="5">
        <v>1.3003844304459521E-7</v>
      </c>
    </row>
    <row r="2657" spans="1:3" x14ac:dyDescent="0.2">
      <c r="A2657" s="4" t="s">
        <v>2705</v>
      </c>
      <c r="B2657" s="1">
        <v>4500</v>
      </c>
      <c r="C2657" s="5">
        <v>1.2860944916498428E-7</v>
      </c>
    </row>
    <row r="2658" spans="1:3" x14ac:dyDescent="0.2">
      <c r="A2658" s="4" t="s">
        <v>2817</v>
      </c>
      <c r="B2658" s="1">
        <v>4500</v>
      </c>
      <c r="C2658" s="5">
        <v>1.2860944916498428E-7</v>
      </c>
    </row>
    <row r="2659" spans="1:3" x14ac:dyDescent="0.2">
      <c r="A2659" s="4" t="s">
        <v>2813</v>
      </c>
      <c r="B2659" s="1">
        <v>4500</v>
      </c>
      <c r="C2659" s="5">
        <v>1.2860944916498428E-7</v>
      </c>
    </row>
    <row r="2660" spans="1:3" x14ac:dyDescent="0.2">
      <c r="A2660" s="4" t="s">
        <v>2010</v>
      </c>
      <c r="B2660" s="1">
        <v>4500</v>
      </c>
      <c r="C2660" s="5">
        <v>1.2860944916498428E-7</v>
      </c>
    </row>
    <row r="2661" spans="1:3" x14ac:dyDescent="0.2">
      <c r="A2661" s="4" t="s">
        <v>1048</v>
      </c>
      <c r="B2661" s="1">
        <v>4308.8999999999996</v>
      </c>
      <c r="C2661" s="5">
        <v>1.2314783455711127E-7</v>
      </c>
    </row>
    <row r="2662" spans="1:3" x14ac:dyDescent="0.2">
      <c r="A2662" s="4" t="s">
        <v>2782</v>
      </c>
      <c r="B2662" s="1">
        <v>4250</v>
      </c>
      <c r="C2662" s="5">
        <v>1.214644797669296E-7</v>
      </c>
    </row>
    <row r="2663" spans="1:3" x14ac:dyDescent="0.2">
      <c r="A2663" s="4" t="s">
        <v>2834</v>
      </c>
      <c r="B2663" s="1">
        <v>4250</v>
      </c>
      <c r="C2663" s="5">
        <v>1.214644797669296E-7</v>
      </c>
    </row>
    <row r="2664" spans="1:3" x14ac:dyDescent="0.2">
      <c r="A2664" s="4" t="s">
        <v>2433</v>
      </c>
      <c r="B2664" s="1">
        <v>4250</v>
      </c>
      <c r="C2664" s="5">
        <v>1.214644797669296E-7</v>
      </c>
    </row>
    <row r="2665" spans="1:3" x14ac:dyDescent="0.2">
      <c r="A2665" s="4" t="s">
        <v>1894</v>
      </c>
      <c r="B2665" s="1">
        <v>4250</v>
      </c>
      <c r="C2665" s="5">
        <v>1.214644797669296E-7</v>
      </c>
    </row>
    <row r="2666" spans="1:3" x14ac:dyDescent="0.2">
      <c r="A2666" s="4" t="s">
        <v>1845</v>
      </c>
      <c r="B2666" s="1">
        <v>4250</v>
      </c>
      <c r="C2666" s="5">
        <v>1.214644797669296E-7</v>
      </c>
    </row>
    <row r="2667" spans="1:3" x14ac:dyDescent="0.2">
      <c r="A2667" s="4" t="s">
        <v>1695</v>
      </c>
      <c r="B2667" s="1">
        <v>4250</v>
      </c>
      <c r="C2667" s="5">
        <v>1.214644797669296E-7</v>
      </c>
    </row>
    <row r="2668" spans="1:3" x14ac:dyDescent="0.2">
      <c r="A2668" s="4" t="s">
        <v>2660</v>
      </c>
      <c r="B2668" s="1">
        <v>4000</v>
      </c>
      <c r="C2668" s="5">
        <v>1.1431951036887491E-7</v>
      </c>
    </row>
    <row r="2669" spans="1:3" x14ac:dyDescent="0.2">
      <c r="A2669" s="4" t="s">
        <v>2684</v>
      </c>
      <c r="B2669" s="1">
        <v>4000</v>
      </c>
      <c r="C2669" s="5">
        <v>1.1431951036887491E-7</v>
      </c>
    </row>
    <row r="2670" spans="1:3" x14ac:dyDescent="0.2">
      <c r="A2670" s="4" t="s">
        <v>2368</v>
      </c>
      <c r="B2670" s="1">
        <v>4000</v>
      </c>
      <c r="C2670" s="5">
        <v>1.1431951036887491E-7</v>
      </c>
    </row>
    <row r="2671" spans="1:3" x14ac:dyDescent="0.2">
      <c r="A2671" s="4" t="s">
        <v>2589</v>
      </c>
      <c r="B2671" s="1">
        <v>4000</v>
      </c>
      <c r="C2671" s="5">
        <v>1.1431951036887491E-7</v>
      </c>
    </row>
    <row r="2672" spans="1:3" x14ac:dyDescent="0.2">
      <c r="A2672" s="4" t="s">
        <v>2305</v>
      </c>
      <c r="B2672" s="1">
        <v>4000</v>
      </c>
      <c r="C2672" s="5">
        <v>1.1431951036887491E-7</v>
      </c>
    </row>
    <row r="2673" spans="1:3" x14ac:dyDescent="0.2">
      <c r="A2673" s="4" t="s">
        <v>2322</v>
      </c>
      <c r="B2673" s="1">
        <v>4000</v>
      </c>
      <c r="C2673" s="5">
        <v>1.1431951036887491E-7</v>
      </c>
    </row>
    <row r="2674" spans="1:3" x14ac:dyDescent="0.2">
      <c r="A2674" s="4" t="s">
        <v>1915</v>
      </c>
      <c r="B2674" s="1">
        <v>4000</v>
      </c>
      <c r="C2674" s="5">
        <v>1.1431951036887491E-7</v>
      </c>
    </row>
    <row r="2675" spans="1:3" x14ac:dyDescent="0.2">
      <c r="A2675" s="4" t="s">
        <v>1670</v>
      </c>
      <c r="B2675" s="1">
        <v>4000</v>
      </c>
      <c r="C2675" s="5">
        <v>1.1431951036887491E-7</v>
      </c>
    </row>
    <row r="2676" spans="1:3" x14ac:dyDescent="0.2">
      <c r="A2676" s="4" t="s">
        <v>1366</v>
      </c>
      <c r="B2676" s="1">
        <v>4000</v>
      </c>
      <c r="C2676" s="5">
        <v>1.1431951036887491E-7</v>
      </c>
    </row>
    <row r="2677" spans="1:3" x14ac:dyDescent="0.2">
      <c r="A2677" s="4" t="s">
        <v>1368</v>
      </c>
      <c r="B2677" s="1">
        <v>4000</v>
      </c>
      <c r="C2677" s="5">
        <v>1.1431951036887491E-7</v>
      </c>
    </row>
    <row r="2678" spans="1:3" x14ac:dyDescent="0.2">
      <c r="A2678" s="4" t="s">
        <v>1143</v>
      </c>
      <c r="B2678" s="1">
        <v>4000</v>
      </c>
      <c r="C2678" s="5">
        <v>1.1431951036887491E-7</v>
      </c>
    </row>
    <row r="2679" spans="1:3" x14ac:dyDescent="0.2">
      <c r="A2679" s="4" t="s">
        <v>2652</v>
      </c>
      <c r="B2679" s="1">
        <v>3955.2</v>
      </c>
      <c r="C2679" s="5">
        <v>1.1303913185274351E-7</v>
      </c>
    </row>
    <row r="2680" spans="1:3" x14ac:dyDescent="0.2">
      <c r="A2680" s="4" t="s">
        <v>2661</v>
      </c>
      <c r="B2680" s="1">
        <v>3750</v>
      </c>
      <c r="C2680" s="5">
        <v>1.0717454097082023E-7</v>
      </c>
    </row>
    <row r="2681" spans="1:3" x14ac:dyDescent="0.2">
      <c r="A2681" s="4" t="s">
        <v>2232</v>
      </c>
      <c r="B2681" s="1">
        <v>3750</v>
      </c>
      <c r="C2681" s="5">
        <v>1.0717454097082023E-7</v>
      </c>
    </row>
    <row r="2682" spans="1:3" x14ac:dyDescent="0.2">
      <c r="A2682" s="4" t="s">
        <v>2679</v>
      </c>
      <c r="B2682" s="1">
        <v>3500</v>
      </c>
      <c r="C2682" s="5">
        <v>1.0002957157276555E-7</v>
      </c>
    </row>
    <row r="2683" spans="1:3" x14ac:dyDescent="0.2">
      <c r="A2683" s="4" t="s">
        <v>2744</v>
      </c>
      <c r="B2683" s="1">
        <v>3500</v>
      </c>
      <c r="C2683" s="5">
        <v>1.0002957157276555E-7</v>
      </c>
    </row>
    <row r="2684" spans="1:3" x14ac:dyDescent="0.2">
      <c r="A2684" s="4" t="s">
        <v>2778</v>
      </c>
      <c r="B2684" s="1">
        <v>3500</v>
      </c>
      <c r="C2684" s="5">
        <v>1.0002957157276555E-7</v>
      </c>
    </row>
    <row r="2685" spans="1:3" x14ac:dyDescent="0.2">
      <c r="A2685" s="4" t="s">
        <v>2663</v>
      </c>
      <c r="B2685" s="1">
        <v>3500</v>
      </c>
      <c r="C2685" s="5">
        <v>1.0002957157276555E-7</v>
      </c>
    </row>
    <row r="2686" spans="1:3" x14ac:dyDescent="0.2">
      <c r="A2686" s="4" t="s">
        <v>2855</v>
      </c>
      <c r="B2686" s="1">
        <v>3500</v>
      </c>
      <c r="C2686" s="5">
        <v>1.0002957157276555E-7</v>
      </c>
    </row>
    <row r="2687" spans="1:3" x14ac:dyDescent="0.2">
      <c r="A2687" s="4" t="s">
        <v>2672</v>
      </c>
      <c r="B2687" s="1">
        <v>3500</v>
      </c>
      <c r="C2687" s="5">
        <v>1.0002957157276555E-7</v>
      </c>
    </row>
    <row r="2688" spans="1:3" x14ac:dyDescent="0.2">
      <c r="A2688" s="4" t="s">
        <v>2818</v>
      </c>
      <c r="B2688" s="1">
        <v>3500</v>
      </c>
      <c r="C2688" s="5">
        <v>1.0002957157276555E-7</v>
      </c>
    </row>
    <row r="2689" spans="1:3" x14ac:dyDescent="0.2">
      <c r="A2689" s="4" t="s">
        <v>2411</v>
      </c>
      <c r="B2689" s="1">
        <v>3500</v>
      </c>
      <c r="C2689" s="5">
        <v>1.0002957157276555E-7</v>
      </c>
    </row>
    <row r="2690" spans="1:3" x14ac:dyDescent="0.2">
      <c r="A2690" s="4" t="s">
        <v>2075</v>
      </c>
      <c r="B2690" s="1">
        <v>3500</v>
      </c>
      <c r="C2690" s="5">
        <v>1.0002957157276555E-7</v>
      </c>
    </row>
    <row r="2691" spans="1:3" x14ac:dyDescent="0.2">
      <c r="A2691" s="4" t="s">
        <v>2023</v>
      </c>
      <c r="B2691" s="1">
        <v>3500</v>
      </c>
      <c r="C2691" s="5">
        <v>1.0002957157276555E-7</v>
      </c>
    </row>
    <row r="2692" spans="1:3" x14ac:dyDescent="0.2">
      <c r="A2692" s="4" t="s">
        <v>1974</v>
      </c>
      <c r="B2692" s="1">
        <v>3500</v>
      </c>
      <c r="C2692" s="5">
        <v>1.0002957157276555E-7</v>
      </c>
    </row>
    <row r="2693" spans="1:3" x14ac:dyDescent="0.2">
      <c r="A2693" s="4" t="s">
        <v>1895</v>
      </c>
      <c r="B2693" s="1">
        <v>3500</v>
      </c>
      <c r="C2693" s="5">
        <v>1.0002957157276555E-7</v>
      </c>
    </row>
    <row r="2694" spans="1:3" x14ac:dyDescent="0.2">
      <c r="A2694" s="4" t="s">
        <v>1045</v>
      </c>
      <c r="B2694" s="1">
        <v>3300</v>
      </c>
      <c r="C2694" s="5">
        <v>9.4313596054321808E-8</v>
      </c>
    </row>
    <row r="2695" spans="1:3" x14ac:dyDescent="0.2">
      <c r="A2695" s="4" t="s">
        <v>2845</v>
      </c>
      <c r="B2695" s="1">
        <v>3250</v>
      </c>
      <c r="C2695" s="5">
        <v>9.2884602174710868E-8</v>
      </c>
    </row>
    <row r="2696" spans="1:3" x14ac:dyDescent="0.2">
      <c r="A2696" s="4" t="s">
        <v>2826</v>
      </c>
      <c r="B2696" s="1">
        <v>3250</v>
      </c>
      <c r="C2696" s="5">
        <v>9.2884602174710868E-8</v>
      </c>
    </row>
    <row r="2697" spans="1:3" x14ac:dyDescent="0.2">
      <c r="A2697" s="4" t="s">
        <v>2677</v>
      </c>
      <c r="B2697" s="1">
        <v>3250</v>
      </c>
      <c r="C2697" s="5">
        <v>9.2884602174710868E-8</v>
      </c>
    </row>
    <row r="2698" spans="1:3" x14ac:dyDescent="0.2">
      <c r="A2698" s="4" t="s">
        <v>2422</v>
      </c>
      <c r="B2698" s="1">
        <v>3250</v>
      </c>
      <c r="C2698" s="5">
        <v>9.2884602174710868E-8</v>
      </c>
    </row>
    <row r="2699" spans="1:3" x14ac:dyDescent="0.2">
      <c r="A2699" s="4" t="s">
        <v>2005</v>
      </c>
      <c r="B2699" s="1">
        <v>3250</v>
      </c>
      <c r="C2699" s="5">
        <v>9.2884602174710868E-8</v>
      </c>
    </row>
    <row r="2700" spans="1:3" x14ac:dyDescent="0.2">
      <c r="A2700" s="4" t="s">
        <v>2840</v>
      </c>
      <c r="B2700" s="1">
        <v>3000</v>
      </c>
      <c r="C2700" s="5">
        <v>8.5739632776656183E-8</v>
      </c>
    </row>
    <row r="2701" spans="1:3" x14ac:dyDescent="0.2">
      <c r="A2701" s="4" t="s">
        <v>2408</v>
      </c>
      <c r="B2701" s="1">
        <v>3000</v>
      </c>
      <c r="C2701" s="5">
        <v>8.5739632776656183E-8</v>
      </c>
    </row>
    <row r="2702" spans="1:3" x14ac:dyDescent="0.2">
      <c r="A2702" s="4" t="s">
        <v>2379</v>
      </c>
      <c r="B2702" s="1">
        <v>3000</v>
      </c>
      <c r="C2702" s="5">
        <v>8.5739632776656183E-8</v>
      </c>
    </row>
    <row r="2703" spans="1:3" x14ac:dyDescent="0.2">
      <c r="A2703" s="4" t="s">
        <v>2626</v>
      </c>
      <c r="B2703" s="1">
        <v>3000</v>
      </c>
      <c r="C2703" s="5">
        <v>8.5739632776656183E-8</v>
      </c>
    </row>
    <row r="2704" spans="1:3" x14ac:dyDescent="0.2">
      <c r="A2704" s="4" t="s">
        <v>2260</v>
      </c>
      <c r="B2704" s="1">
        <v>3000</v>
      </c>
      <c r="C2704" s="5">
        <v>8.5739632776656183E-8</v>
      </c>
    </row>
    <row r="2705" spans="1:3" x14ac:dyDescent="0.2">
      <c r="A2705" s="4" t="s">
        <v>1912</v>
      </c>
      <c r="B2705" s="1">
        <v>3000</v>
      </c>
      <c r="C2705" s="5">
        <v>8.5739632776656183E-8</v>
      </c>
    </row>
    <row r="2706" spans="1:3" x14ac:dyDescent="0.2">
      <c r="A2706" s="4" t="s">
        <v>1852</v>
      </c>
      <c r="B2706" s="1">
        <v>3000</v>
      </c>
      <c r="C2706" s="5">
        <v>8.5739632776656183E-8</v>
      </c>
    </row>
    <row r="2707" spans="1:3" x14ac:dyDescent="0.2">
      <c r="A2707" s="4" t="s">
        <v>1918</v>
      </c>
      <c r="B2707" s="1">
        <v>3000</v>
      </c>
      <c r="C2707" s="5">
        <v>8.5739632776656183E-8</v>
      </c>
    </row>
    <row r="2708" spans="1:3" x14ac:dyDescent="0.2">
      <c r="A2708" s="4" t="s">
        <v>1798</v>
      </c>
      <c r="B2708" s="1">
        <v>3000</v>
      </c>
      <c r="C2708" s="5">
        <v>8.5739632776656183E-8</v>
      </c>
    </row>
    <row r="2709" spans="1:3" x14ac:dyDescent="0.2">
      <c r="A2709" s="4" t="s">
        <v>1696</v>
      </c>
      <c r="B2709" s="1">
        <v>3000</v>
      </c>
      <c r="C2709" s="5">
        <v>8.5739632776656183E-8</v>
      </c>
    </row>
    <row r="2710" spans="1:3" x14ac:dyDescent="0.2">
      <c r="A2710" s="4" t="s">
        <v>1688</v>
      </c>
      <c r="B2710" s="1">
        <v>3000</v>
      </c>
      <c r="C2710" s="5">
        <v>8.5739632776656183E-8</v>
      </c>
    </row>
    <row r="2711" spans="1:3" x14ac:dyDescent="0.2">
      <c r="A2711" s="4" t="s">
        <v>1682</v>
      </c>
      <c r="B2711" s="1">
        <v>3000</v>
      </c>
      <c r="C2711" s="5">
        <v>8.5739632776656183E-8</v>
      </c>
    </row>
    <row r="2712" spans="1:3" x14ac:dyDescent="0.2">
      <c r="A2712" s="4" t="s">
        <v>1122</v>
      </c>
      <c r="B2712" s="1">
        <v>3000</v>
      </c>
      <c r="C2712" s="5">
        <v>8.5739632776656183E-8</v>
      </c>
    </row>
    <row r="2713" spans="1:3" x14ac:dyDescent="0.2">
      <c r="A2713" s="4" t="s">
        <v>2074</v>
      </c>
      <c r="B2713" s="1">
        <v>2865</v>
      </c>
      <c r="C2713" s="5">
        <v>8.188134930170665E-8</v>
      </c>
    </row>
    <row r="2714" spans="1:3" x14ac:dyDescent="0.2">
      <c r="A2714" s="4" t="s">
        <v>2709</v>
      </c>
      <c r="B2714" s="1">
        <v>2750</v>
      </c>
      <c r="C2714" s="5">
        <v>7.8594663378601498E-8</v>
      </c>
    </row>
    <row r="2715" spans="1:3" x14ac:dyDescent="0.2">
      <c r="A2715" s="4" t="s">
        <v>2414</v>
      </c>
      <c r="B2715" s="1">
        <v>2750</v>
      </c>
      <c r="C2715" s="5">
        <v>7.8594663378601498E-8</v>
      </c>
    </row>
    <row r="2716" spans="1:3" x14ac:dyDescent="0.2">
      <c r="A2716" s="4" t="s">
        <v>2348</v>
      </c>
      <c r="B2716" s="1">
        <v>2750</v>
      </c>
      <c r="C2716" s="5">
        <v>7.8594663378601498E-8</v>
      </c>
    </row>
    <row r="2717" spans="1:3" x14ac:dyDescent="0.2">
      <c r="A2717" s="4" t="s">
        <v>2649</v>
      </c>
      <c r="B2717" s="1">
        <v>2636.8</v>
      </c>
      <c r="C2717" s="5">
        <v>7.5359421235162351E-8</v>
      </c>
    </row>
    <row r="2718" spans="1:3" x14ac:dyDescent="0.2">
      <c r="A2718" s="4" t="s">
        <v>456</v>
      </c>
      <c r="B2718" s="1">
        <v>2600</v>
      </c>
      <c r="C2718" s="5">
        <v>7.4307681739768692E-8</v>
      </c>
    </row>
    <row r="2719" spans="1:3" x14ac:dyDescent="0.2">
      <c r="A2719" s="4" t="s">
        <v>2808</v>
      </c>
      <c r="B2719" s="1">
        <v>2500</v>
      </c>
      <c r="C2719" s="5">
        <v>7.1449693980546826E-8</v>
      </c>
    </row>
    <row r="2720" spans="1:3" x14ac:dyDescent="0.2">
      <c r="A2720" s="4" t="s">
        <v>2628</v>
      </c>
      <c r="B2720" s="1">
        <v>2500</v>
      </c>
      <c r="C2720" s="5">
        <v>7.1449693980546826E-8</v>
      </c>
    </row>
    <row r="2721" spans="1:3" x14ac:dyDescent="0.2">
      <c r="A2721" s="4" t="s">
        <v>1994</v>
      </c>
      <c r="B2721" s="1">
        <v>2500</v>
      </c>
      <c r="C2721" s="5">
        <v>7.1449693980546826E-8</v>
      </c>
    </row>
    <row r="2722" spans="1:3" x14ac:dyDescent="0.2">
      <c r="A2722" s="4" t="s">
        <v>1862</v>
      </c>
      <c r="B2722" s="1">
        <v>2500</v>
      </c>
      <c r="C2722" s="5">
        <v>7.1449693980546826E-8</v>
      </c>
    </row>
    <row r="2723" spans="1:3" x14ac:dyDescent="0.2">
      <c r="A2723" s="4" t="s">
        <v>1968</v>
      </c>
      <c r="B2723" s="1">
        <v>2500</v>
      </c>
      <c r="C2723" s="5">
        <v>7.1449693980546826E-8</v>
      </c>
    </row>
    <row r="2724" spans="1:3" x14ac:dyDescent="0.2">
      <c r="A2724" s="4" t="s">
        <v>1607</v>
      </c>
      <c r="B2724" s="1">
        <v>2500</v>
      </c>
      <c r="C2724" s="5">
        <v>7.1449693980546826E-8</v>
      </c>
    </row>
    <row r="2725" spans="1:3" x14ac:dyDescent="0.2">
      <c r="A2725" s="4" t="s">
        <v>1742</v>
      </c>
      <c r="B2725" s="1">
        <v>2500</v>
      </c>
      <c r="C2725" s="5">
        <v>7.1449693980546826E-8</v>
      </c>
    </row>
    <row r="2726" spans="1:3" x14ac:dyDescent="0.2">
      <c r="A2726" s="4" t="s">
        <v>1771</v>
      </c>
      <c r="B2726" s="1">
        <v>2500</v>
      </c>
      <c r="C2726" s="5">
        <v>7.1449693980546826E-8</v>
      </c>
    </row>
    <row r="2727" spans="1:3" x14ac:dyDescent="0.2">
      <c r="A2727" s="4" t="s">
        <v>1521</v>
      </c>
      <c r="B2727" s="1">
        <v>2500</v>
      </c>
      <c r="C2727" s="5">
        <v>7.1449693980546826E-8</v>
      </c>
    </row>
    <row r="2728" spans="1:3" x14ac:dyDescent="0.2">
      <c r="A2728" s="4" t="s">
        <v>1743</v>
      </c>
      <c r="B2728" s="1">
        <v>2500</v>
      </c>
      <c r="C2728" s="5">
        <v>7.1449693980546826E-8</v>
      </c>
    </row>
    <row r="2729" spans="1:3" x14ac:dyDescent="0.2">
      <c r="A2729" s="4" t="s">
        <v>1723</v>
      </c>
      <c r="B2729" s="1">
        <v>2500</v>
      </c>
      <c r="C2729" s="5">
        <v>7.1449693980546826E-8</v>
      </c>
    </row>
    <row r="2730" spans="1:3" x14ac:dyDescent="0.2">
      <c r="A2730" s="4" t="s">
        <v>1728</v>
      </c>
      <c r="B2730" s="1">
        <v>2500</v>
      </c>
      <c r="C2730" s="5">
        <v>7.1449693980546826E-8</v>
      </c>
    </row>
    <row r="2731" spans="1:3" x14ac:dyDescent="0.2">
      <c r="A2731" s="4" t="s">
        <v>1370</v>
      </c>
      <c r="B2731" s="1">
        <v>2500</v>
      </c>
      <c r="C2731" s="5">
        <v>7.1449693980546826E-8</v>
      </c>
    </row>
    <row r="2732" spans="1:3" x14ac:dyDescent="0.2">
      <c r="A2732" s="4" t="s">
        <v>2279</v>
      </c>
      <c r="B2732" s="1">
        <v>2452.6</v>
      </c>
      <c r="C2732" s="5">
        <v>7.0095007782675654E-8</v>
      </c>
    </row>
    <row r="2733" spans="1:3" x14ac:dyDescent="0.2">
      <c r="A2733" s="4" t="s">
        <v>2394</v>
      </c>
      <c r="B2733" s="1">
        <v>2250</v>
      </c>
      <c r="C2733" s="5">
        <v>6.4304724582492141E-8</v>
      </c>
    </row>
    <row r="2734" spans="1:3" x14ac:dyDescent="0.2">
      <c r="A2734" s="4" t="s">
        <v>520</v>
      </c>
      <c r="B2734" s="1">
        <v>2250</v>
      </c>
      <c r="C2734" s="5">
        <v>6.4304724582492141E-8</v>
      </c>
    </row>
    <row r="2735" spans="1:3" x14ac:dyDescent="0.2">
      <c r="A2735" s="4" t="s">
        <v>2225</v>
      </c>
      <c r="B2735" s="1">
        <v>2150</v>
      </c>
      <c r="C2735" s="5">
        <v>6.1446736823270261E-8</v>
      </c>
    </row>
    <row r="2736" spans="1:3" x14ac:dyDescent="0.2">
      <c r="A2736" s="4" t="s">
        <v>2860</v>
      </c>
      <c r="B2736" s="1">
        <v>2000</v>
      </c>
      <c r="C2736" s="5">
        <v>5.7159755184437455E-8</v>
      </c>
    </row>
    <row r="2737" spans="1:3" x14ac:dyDescent="0.2">
      <c r="A2737" s="4" t="s">
        <v>2763</v>
      </c>
      <c r="B2737" s="1">
        <v>2000</v>
      </c>
      <c r="C2737" s="5">
        <v>5.7159755184437455E-8</v>
      </c>
    </row>
    <row r="2738" spans="1:3" x14ac:dyDescent="0.2">
      <c r="A2738" s="4" t="s">
        <v>2749</v>
      </c>
      <c r="B2738" s="1">
        <v>2000</v>
      </c>
      <c r="C2738" s="5">
        <v>5.7159755184437455E-8</v>
      </c>
    </row>
    <row r="2739" spans="1:3" x14ac:dyDescent="0.2">
      <c r="A2739" s="4" t="s">
        <v>2453</v>
      </c>
      <c r="B2739" s="1">
        <v>2000</v>
      </c>
      <c r="C2739" s="5">
        <v>5.7159755184437455E-8</v>
      </c>
    </row>
    <row r="2740" spans="1:3" x14ac:dyDescent="0.2">
      <c r="A2740" s="4" t="s">
        <v>1980</v>
      </c>
      <c r="B2740" s="1">
        <v>2000</v>
      </c>
      <c r="C2740" s="5">
        <v>5.7159755184437455E-8</v>
      </c>
    </row>
    <row r="2741" spans="1:3" x14ac:dyDescent="0.2">
      <c r="A2741" s="4" t="s">
        <v>1420</v>
      </c>
      <c r="B2741" s="1">
        <v>1890</v>
      </c>
      <c r="C2741" s="5">
        <v>5.4015968649293399E-8</v>
      </c>
    </row>
    <row r="2742" spans="1:3" x14ac:dyDescent="0.2">
      <c r="A2742" s="4" t="s">
        <v>472</v>
      </c>
      <c r="B2742" s="1">
        <v>1770</v>
      </c>
      <c r="C2742" s="5">
        <v>5.0586383338227151E-8</v>
      </c>
    </row>
    <row r="2743" spans="1:3" x14ac:dyDescent="0.2">
      <c r="A2743" s="4" t="s">
        <v>2423</v>
      </c>
      <c r="B2743" s="1">
        <v>1750</v>
      </c>
      <c r="C2743" s="5">
        <v>5.0014785786382777E-8</v>
      </c>
    </row>
    <row r="2744" spans="1:3" x14ac:dyDescent="0.2">
      <c r="A2744" s="4" t="s">
        <v>2713</v>
      </c>
      <c r="B2744" s="1">
        <v>1650</v>
      </c>
      <c r="C2744" s="5">
        <v>4.7156798027160904E-8</v>
      </c>
    </row>
    <row r="2745" spans="1:3" x14ac:dyDescent="0.2">
      <c r="A2745" s="4" t="s">
        <v>2664</v>
      </c>
      <c r="B2745" s="1">
        <v>1500</v>
      </c>
      <c r="C2745" s="5">
        <v>4.2869816388328092E-8</v>
      </c>
    </row>
    <row r="2746" spans="1:3" x14ac:dyDescent="0.2">
      <c r="A2746" s="4" t="s">
        <v>1874</v>
      </c>
      <c r="B2746" s="1">
        <v>1500</v>
      </c>
      <c r="C2746" s="5">
        <v>4.2869816388328092E-8</v>
      </c>
    </row>
    <row r="2747" spans="1:3" x14ac:dyDescent="0.2">
      <c r="A2747" s="4" t="s">
        <v>2245</v>
      </c>
      <c r="B2747" s="1">
        <v>1450</v>
      </c>
      <c r="C2747" s="5">
        <v>4.1440822508717158E-8</v>
      </c>
    </row>
    <row r="2748" spans="1:3" x14ac:dyDescent="0.2">
      <c r="A2748" s="4" t="s">
        <v>2195</v>
      </c>
      <c r="B2748" s="1">
        <v>1400</v>
      </c>
      <c r="C2748" s="5">
        <v>4.0011828629106219E-8</v>
      </c>
    </row>
    <row r="2749" spans="1:3" x14ac:dyDescent="0.2">
      <c r="A2749" s="4" t="s">
        <v>2226</v>
      </c>
      <c r="B2749" s="1">
        <v>1400</v>
      </c>
      <c r="C2749" s="5">
        <v>4.0011828629106219E-8</v>
      </c>
    </row>
    <row r="2750" spans="1:3" x14ac:dyDescent="0.2">
      <c r="A2750" s="4" t="s">
        <v>2651</v>
      </c>
      <c r="B2750" s="1">
        <v>1318.4</v>
      </c>
      <c r="C2750" s="5">
        <v>3.7679710617581176E-8</v>
      </c>
    </row>
    <row r="2751" spans="1:3" x14ac:dyDescent="0.2">
      <c r="A2751" s="4" t="s">
        <v>2653</v>
      </c>
      <c r="B2751" s="1">
        <v>1318.4</v>
      </c>
      <c r="C2751" s="5">
        <v>3.7679710617581176E-8</v>
      </c>
    </row>
    <row r="2752" spans="1:3" x14ac:dyDescent="0.2">
      <c r="A2752" s="4" t="s">
        <v>2654</v>
      </c>
      <c r="B2752" s="1">
        <v>1318.4</v>
      </c>
      <c r="C2752" s="5">
        <v>3.7679710617581176E-8</v>
      </c>
    </row>
    <row r="2753" spans="1:3" x14ac:dyDescent="0.2">
      <c r="A2753" s="4" t="s">
        <v>2307</v>
      </c>
      <c r="B2753" s="1">
        <v>1300</v>
      </c>
      <c r="C2753" s="5">
        <v>3.7153840869884346E-8</v>
      </c>
    </row>
    <row r="2754" spans="1:3" x14ac:dyDescent="0.2">
      <c r="A2754" s="4" t="s">
        <v>2344</v>
      </c>
      <c r="B2754" s="1">
        <v>1250</v>
      </c>
      <c r="C2754" s="5">
        <v>3.5724846990273413E-8</v>
      </c>
    </row>
    <row r="2755" spans="1:3" x14ac:dyDescent="0.2">
      <c r="A2755" s="4" t="s">
        <v>504</v>
      </c>
      <c r="B2755" s="1">
        <v>1155</v>
      </c>
      <c r="C2755" s="5">
        <v>3.3009758619012629E-8</v>
      </c>
    </row>
    <row r="2756" spans="1:3" x14ac:dyDescent="0.2">
      <c r="A2756" s="4" t="s">
        <v>2877</v>
      </c>
      <c r="B2756" s="1">
        <v>1000</v>
      </c>
      <c r="C2756" s="5">
        <v>2.8579877592218728E-8</v>
      </c>
    </row>
    <row r="2757" spans="1:3" x14ac:dyDescent="0.2">
      <c r="A2757" s="4" t="s">
        <v>2673</v>
      </c>
      <c r="B2757" s="1">
        <v>1000</v>
      </c>
      <c r="C2757" s="5">
        <v>2.8579877592218728E-8</v>
      </c>
    </row>
    <row r="2758" spans="1:3" x14ac:dyDescent="0.2">
      <c r="A2758" s="4" t="s">
        <v>2655</v>
      </c>
      <c r="B2758" s="1">
        <v>1000</v>
      </c>
      <c r="C2758" s="5">
        <v>2.8579877592218728E-8</v>
      </c>
    </row>
    <row r="2759" spans="1:3" x14ac:dyDescent="0.2">
      <c r="A2759" s="4" t="s">
        <v>2789</v>
      </c>
      <c r="B2759" s="1">
        <v>1000</v>
      </c>
      <c r="C2759" s="5">
        <v>2.8579877592218728E-8</v>
      </c>
    </row>
    <row r="2760" spans="1:3" x14ac:dyDescent="0.2">
      <c r="A2760" s="4" t="s">
        <v>2788</v>
      </c>
      <c r="B2760" s="1">
        <v>1000</v>
      </c>
      <c r="C2760" s="5">
        <v>2.8579877592218728E-8</v>
      </c>
    </row>
    <row r="2761" spans="1:3" x14ac:dyDescent="0.2">
      <c r="A2761" s="4" t="s">
        <v>2385</v>
      </c>
      <c r="B2761" s="1">
        <v>1000</v>
      </c>
      <c r="C2761" s="5">
        <v>2.8579877592218728E-8</v>
      </c>
    </row>
    <row r="2762" spans="1:3" x14ac:dyDescent="0.2">
      <c r="A2762" s="4" t="s">
        <v>2351</v>
      </c>
      <c r="B2762" s="1">
        <v>1000</v>
      </c>
      <c r="C2762" s="5">
        <v>2.8579877592218728E-8</v>
      </c>
    </row>
    <row r="2763" spans="1:3" x14ac:dyDescent="0.2">
      <c r="A2763" s="4" t="s">
        <v>2220</v>
      </c>
      <c r="B2763" s="1">
        <v>1000</v>
      </c>
      <c r="C2763" s="5">
        <v>2.8579877592218728E-8</v>
      </c>
    </row>
    <row r="2764" spans="1:3" x14ac:dyDescent="0.2">
      <c r="A2764" s="4" t="s">
        <v>2240</v>
      </c>
      <c r="B2764" s="1">
        <v>1000</v>
      </c>
      <c r="C2764" s="5">
        <v>2.8579877592218728E-8</v>
      </c>
    </row>
    <row r="2765" spans="1:3" x14ac:dyDescent="0.2">
      <c r="A2765" s="4" t="s">
        <v>2211</v>
      </c>
      <c r="B2765" s="1">
        <v>1000</v>
      </c>
      <c r="C2765" s="5">
        <v>2.8579877592218728E-8</v>
      </c>
    </row>
    <row r="2766" spans="1:3" x14ac:dyDescent="0.2">
      <c r="A2766" s="4" t="s">
        <v>2268</v>
      </c>
      <c r="B2766" s="1">
        <v>1000</v>
      </c>
      <c r="C2766" s="5">
        <v>2.8579877592218728E-8</v>
      </c>
    </row>
    <row r="2767" spans="1:3" x14ac:dyDescent="0.2">
      <c r="A2767" s="4" t="s">
        <v>2092</v>
      </c>
      <c r="B2767" s="1">
        <v>1000</v>
      </c>
      <c r="C2767" s="5">
        <v>2.8579877592218728E-8</v>
      </c>
    </row>
    <row r="2768" spans="1:3" x14ac:dyDescent="0.2">
      <c r="A2768" s="4" t="s">
        <v>2093</v>
      </c>
      <c r="B2768" s="1">
        <v>1000</v>
      </c>
      <c r="C2768" s="5">
        <v>2.8579877592218728E-8</v>
      </c>
    </row>
    <row r="2769" spans="1:3" x14ac:dyDescent="0.2">
      <c r="A2769" s="4" t="s">
        <v>2091</v>
      </c>
      <c r="B2769" s="1">
        <v>1000</v>
      </c>
      <c r="C2769" s="5">
        <v>2.8579877592218728E-8</v>
      </c>
    </row>
    <row r="2770" spans="1:3" x14ac:dyDescent="0.2">
      <c r="A2770" s="4" t="s">
        <v>2198</v>
      </c>
      <c r="B2770" s="1">
        <v>1000</v>
      </c>
      <c r="C2770" s="5">
        <v>2.8579877592218728E-8</v>
      </c>
    </row>
    <row r="2771" spans="1:3" x14ac:dyDescent="0.2">
      <c r="A2771" s="4" t="s">
        <v>2346</v>
      </c>
      <c r="B2771" s="1">
        <v>1000</v>
      </c>
      <c r="C2771" s="5">
        <v>2.8579877592218728E-8</v>
      </c>
    </row>
    <row r="2772" spans="1:3" x14ac:dyDescent="0.2">
      <c r="A2772" s="4" t="s">
        <v>1860</v>
      </c>
      <c r="B2772" s="1">
        <v>1000</v>
      </c>
      <c r="C2772" s="5">
        <v>2.8579877592218728E-8</v>
      </c>
    </row>
    <row r="2773" spans="1:3" x14ac:dyDescent="0.2">
      <c r="A2773" s="4" t="s">
        <v>1902</v>
      </c>
      <c r="B2773" s="1">
        <v>1000</v>
      </c>
      <c r="C2773" s="5">
        <v>2.8579877592218728E-8</v>
      </c>
    </row>
    <row r="2774" spans="1:3" x14ac:dyDescent="0.2">
      <c r="A2774" s="4" t="s">
        <v>1952</v>
      </c>
      <c r="B2774" s="1">
        <v>1000</v>
      </c>
      <c r="C2774" s="5">
        <v>2.8579877592218728E-8</v>
      </c>
    </row>
    <row r="2775" spans="1:3" x14ac:dyDescent="0.2">
      <c r="A2775" s="4" t="s">
        <v>1938</v>
      </c>
      <c r="B2775" s="1">
        <v>1000</v>
      </c>
      <c r="C2775" s="5">
        <v>2.8579877592218728E-8</v>
      </c>
    </row>
    <row r="2776" spans="1:3" x14ac:dyDescent="0.2">
      <c r="A2776" s="4" t="s">
        <v>1784</v>
      </c>
      <c r="B2776" s="1">
        <v>1000</v>
      </c>
      <c r="C2776" s="5">
        <v>2.8579877592218728E-8</v>
      </c>
    </row>
    <row r="2777" spans="1:3" x14ac:dyDescent="0.2">
      <c r="A2777" s="4" t="s">
        <v>1181</v>
      </c>
      <c r="B2777" s="1">
        <v>1000</v>
      </c>
      <c r="C2777" s="5">
        <v>2.8579877592218728E-8</v>
      </c>
    </row>
    <row r="2778" spans="1:3" x14ac:dyDescent="0.2">
      <c r="A2778" s="4" t="s">
        <v>1049</v>
      </c>
      <c r="B2778" s="1">
        <v>976</v>
      </c>
      <c r="C2778" s="5">
        <v>2.7893960530005478E-8</v>
      </c>
    </row>
    <row r="2779" spans="1:3" x14ac:dyDescent="0.2">
      <c r="A2779" s="4" t="s">
        <v>523</v>
      </c>
      <c r="B2779" s="1">
        <v>600</v>
      </c>
      <c r="C2779" s="5">
        <v>1.7147926555331237E-8</v>
      </c>
    </row>
    <row r="2780" spans="1:3" x14ac:dyDescent="0.2">
      <c r="A2780" s="4" t="s">
        <v>587</v>
      </c>
      <c r="B2780" s="1">
        <v>550</v>
      </c>
      <c r="C2780" s="5">
        <v>1.57189326757203E-8</v>
      </c>
    </row>
    <row r="2781" spans="1:3" x14ac:dyDescent="0.2">
      <c r="A2781" s="4" t="s">
        <v>488</v>
      </c>
      <c r="B2781" s="1">
        <v>462.6</v>
      </c>
      <c r="C2781" s="5">
        <v>1.3221051374160384E-8</v>
      </c>
    </row>
    <row r="2782" spans="1:3" x14ac:dyDescent="0.2">
      <c r="A2782" s="4" t="s">
        <v>483</v>
      </c>
      <c r="B2782" s="1">
        <v>455.6</v>
      </c>
      <c r="C2782" s="5">
        <v>1.3020992231014853E-8</v>
      </c>
    </row>
    <row r="2783" spans="1:3" x14ac:dyDescent="0.2">
      <c r="A2783" s="4" t="s">
        <v>422</v>
      </c>
      <c r="B2783" s="1">
        <v>426.8</v>
      </c>
      <c r="C2783" s="5">
        <v>1.2197891756358953E-8</v>
      </c>
    </row>
    <row r="2784" spans="1:3" x14ac:dyDescent="0.2">
      <c r="A2784" s="4" t="s">
        <v>634</v>
      </c>
      <c r="B2784" s="1">
        <v>34989653009.299942</v>
      </c>
      <c r="C2784" s="5">
        <v>1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128A-5375-5D4A-936E-13E08AD3CFC5}">
  <dimension ref="A1:S3395"/>
  <sheetViews>
    <sheetView workbookViewId="0">
      <selection activeCell="A4" sqref="A4"/>
    </sheetView>
  </sheetViews>
  <sheetFormatPr baseColWidth="10" defaultRowHeight="16" x14ac:dyDescent="0.2"/>
  <cols>
    <col min="1" max="1" width="43.6640625" customWidth="1"/>
    <col min="2" max="2" width="93.33203125" bestFit="1" customWidth="1"/>
    <col min="3" max="3" width="13.6640625" bestFit="1" customWidth="1"/>
    <col min="11" max="11" width="9.5" bestFit="1" customWidth="1"/>
    <col min="12" max="12" width="6.1640625" bestFit="1" customWidth="1"/>
    <col min="14" max="14" width="41" customWidth="1"/>
    <col min="16" max="16" width="16.33203125" customWidth="1"/>
    <col min="17" max="17" width="16.83203125" customWidth="1"/>
    <col min="18" max="18" width="22" customWidth="1"/>
  </cols>
  <sheetData>
    <row r="1" spans="1:19" x14ac:dyDescent="0.2">
      <c r="J1" s="1" t="e" vm="1">
        <v>#VALUE!</v>
      </c>
      <c r="N1" t="s">
        <v>3</v>
      </c>
      <c r="O1" s="9" t="s">
        <v>646</v>
      </c>
      <c r="P1" t="s">
        <v>647</v>
      </c>
      <c r="Q1" t="s">
        <v>648</v>
      </c>
      <c r="R1" t="s">
        <v>649</v>
      </c>
      <c r="S1" t="s">
        <v>650</v>
      </c>
    </row>
    <row r="2" spans="1:19" ht="17" x14ac:dyDescent="0.25">
      <c r="N2" s="8" t="str" cm="1">
        <f t="array" ref="N2">_xlfn.UNIQUE(_xlfn._xlws.FILTER(J2:J20000,J2:J20000&lt;&gt;""))</f>
        <v>UNKNOWN</v>
      </c>
      <c r="O2">
        <f>SUMIFS(L:L,J:J,N2)</f>
        <v>25000000</v>
      </c>
      <c r="P2" s="2">
        <f>_xlfn.MAXIFS(L:L,J:J,N2)</f>
        <v>25000000</v>
      </c>
      <c r="Q2">
        <f>P2/O2</f>
        <v>1</v>
      </c>
      <c r="R2" t="e" cm="1" vm="2">
        <f t="array" ref="R2">INDEX(_xlfn._xlws.FILTER(K:K,(J:J=N2)*(L:L=P2)),1)</f>
        <v>#VALUE!</v>
      </c>
      <c r="S2">
        <f>COUNTIF(J:J,N2)</f>
        <v>1</v>
      </c>
    </row>
    <row r="3" spans="1:19" ht="17" x14ac:dyDescent="0.25">
      <c r="A3" s="3" t="s">
        <v>3</v>
      </c>
      <c r="B3" s="3" t="s">
        <v>2</v>
      </c>
      <c r="C3" t="s">
        <v>636</v>
      </c>
      <c r="O3">
        <f t="shared" ref="O3:O39" si="0">SUMIFS(L:L,J:J,N3)</f>
        <v>0</v>
      </c>
      <c r="P3" s="2">
        <f t="shared" ref="P3:P39" si="1">_xlfn.MAXIFS(L:L,J:J,N3)</f>
        <v>0</v>
      </c>
      <c r="Q3" t="e">
        <f t="shared" ref="Q3:Q39" si="2">P3/O3</f>
        <v>#DIV/0!</v>
      </c>
      <c r="R3" t="e" cm="1" vm="2">
        <f t="array" ref="R3">INDEX(_xlfn._xlws.FILTER(K:K,(J:J=N3)*(L:L=P3)),1)</f>
        <v>#VALUE!</v>
      </c>
      <c r="S3">
        <f t="shared" ref="S3:S39" si="3">COUNTIF(J:J,N3)</f>
        <v>0</v>
      </c>
    </row>
    <row r="4" spans="1:19" ht="17" x14ac:dyDescent="0.25">
      <c r="A4" t="s">
        <v>252</v>
      </c>
      <c r="B4" t="s">
        <v>251</v>
      </c>
      <c r="C4" s="1">
        <v>73600</v>
      </c>
      <c r="O4">
        <f t="shared" si="0"/>
        <v>0</v>
      </c>
      <c r="P4" s="2">
        <f t="shared" si="1"/>
        <v>0</v>
      </c>
      <c r="Q4" t="e">
        <f t="shared" si="2"/>
        <v>#DIV/0!</v>
      </c>
      <c r="R4" t="e" cm="1" vm="2">
        <f t="array" ref="R4">INDEX(_xlfn._xlws.FILTER(K:K,(J:J=N4)*(L:L=P4)),1)</f>
        <v>#VALUE!</v>
      </c>
      <c r="S4">
        <f t="shared" si="3"/>
        <v>0</v>
      </c>
    </row>
    <row r="5" spans="1:19" ht="17" x14ac:dyDescent="0.25">
      <c r="A5" t="s">
        <v>252</v>
      </c>
      <c r="B5" t="s">
        <v>356</v>
      </c>
      <c r="C5" s="1">
        <v>432000</v>
      </c>
      <c r="O5">
        <f t="shared" si="0"/>
        <v>0</v>
      </c>
      <c r="P5" s="2">
        <f t="shared" si="1"/>
        <v>0</v>
      </c>
      <c r="Q5" t="e">
        <f t="shared" si="2"/>
        <v>#DIV/0!</v>
      </c>
      <c r="R5" t="e" cm="1" vm="2">
        <f t="array" ref="R5">INDEX(_xlfn._xlws.FILTER(K:K,(J:J=N5)*(L:L=P5)),1)</f>
        <v>#VALUE!</v>
      </c>
      <c r="S5">
        <f t="shared" si="3"/>
        <v>0</v>
      </c>
    </row>
    <row r="6" spans="1:19" ht="17" x14ac:dyDescent="0.25">
      <c r="A6" t="s">
        <v>28</v>
      </c>
      <c r="B6" t="s">
        <v>187</v>
      </c>
      <c r="C6" s="1">
        <v>48000000</v>
      </c>
      <c r="O6">
        <f t="shared" si="0"/>
        <v>0</v>
      </c>
      <c r="P6" s="2">
        <f t="shared" si="1"/>
        <v>0</v>
      </c>
      <c r="Q6" t="e">
        <f t="shared" si="2"/>
        <v>#DIV/0!</v>
      </c>
      <c r="R6" t="e" cm="1" vm="2">
        <f t="array" ref="R6">INDEX(_xlfn._xlws.FILTER(K:K,(J:J=N6)*(L:L=P6)),1)</f>
        <v>#VALUE!</v>
      </c>
      <c r="S6">
        <f t="shared" si="3"/>
        <v>0</v>
      </c>
    </row>
    <row r="7" spans="1:19" ht="17" x14ac:dyDescent="0.25">
      <c r="A7" t="s">
        <v>28</v>
      </c>
      <c r="B7" t="s">
        <v>451</v>
      </c>
      <c r="C7" s="1">
        <v>4561152.2</v>
      </c>
      <c r="O7">
        <f t="shared" si="0"/>
        <v>0</v>
      </c>
      <c r="P7" s="2">
        <f t="shared" si="1"/>
        <v>0</v>
      </c>
      <c r="Q7" t="e">
        <f t="shared" si="2"/>
        <v>#DIV/0!</v>
      </c>
      <c r="R7" t="e" cm="1" vm="2">
        <f t="array" ref="R7">INDEX(_xlfn._xlws.FILTER(K:K,(J:J=N7)*(L:L=P7)),1)</f>
        <v>#VALUE!</v>
      </c>
      <c r="S7">
        <f t="shared" si="3"/>
        <v>0</v>
      </c>
    </row>
    <row r="8" spans="1:19" ht="17" x14ac:dyDescent="0.25">
      <c r="A8" t="s">
        <v>28</v>
      </c>
      <c r="B8" t="s">
        <v>134</v>
      </c>
      <c r="C8" s="1">
        <v>958285.7</v>
      </c>
      <c r="O8">
        <f t="shared" si="0"/>
        <v>0</v>
      </c>
      <c r="P8" s="2">
        <f t="shared" si="1"/>
        <v>0</v>
      </c>
      <c r="Q8" t="e">
        <f t="shared" si="2"/>
        <v>#DIV/0!</v>
      </c>
      <c r="R8" t="e" cm="1" vm="2">
        <f t="array" ref="R8">INDEX(_xlfn._xlws.FILTER(K:K,(J:J=N8)*(L:L=P8)),1)</f>
        <v>#VALUE!</v>
      </c>
      <c r="S8">
        <f t="shared" si="3"/>
        <v>0</v>
      </c>
    </row>
    <row r="9" spans="1:19" ht="17" x14ac:dyDescent="0.25">
      <c r="A9" t="s">
        <v>28</v>
      </c>
      <c r="B9" t="s">
        <v>628</v>
      </c>
      <c r="C9" s="1">
        <v>2082115154</v>
      </c>
      <c r="O9">
        <f t="shared" si="0"/>
        <v>0</v>
      </c>
      <c r="P9" s="2">
        <f t="shared" si="1"/>
        <v>0</v>
      </c>
      <c r="Q9" t="e">
        <f t="shared" si="2"/>
        <v>#DIV/0!</v>
      </c>
      <c r="R9" t="e" cm="1" vm="2">
        <f t="array" ref="R9">INDEX(_xlfn._xlws.FILTER(K:K,(J:J=N9)*(L:L=P9)),1)</f>
        <v>#VALUE!</v>
      </c>
      <c r="S9">
        <f t="shared" si="3"/>
        <v>0</v>
      </c>
    </row>
    <row r="10" spans="1:19" ht="17" x14ac:dyDescent="0.25">
      <c r="A10" t="s">
        <v>28</v>
      </c>
      <c r="B10" t="s">
        <v>191</v>
      </c>
      <c r="C10" s="1">
        <v>36000000</v>
      </c>
      <c r="O10">
        <f t="shared" si="0"/>
        <v>0</v>
      </c>
      <c r="P10" s="2">
        <f t="shared" si="1"/>
        <v>0</v>
      </c>
      <c r="Q10" t="e">
        <f t="shared" si="2"/>
        <v>#DIV/0!</v>
      </c>
      <c r="R10" t="e" cm="1" vm="2">
        <f t="array" ref="R10">INDEX(_xlfn._xlws.FILTER(K:K,(J:J=N10)*(L:L=P10)),1)</f>
        <v>#VALUE!</v>
      </c>
      <c r="S10">
        <f t="shared" si="3"/>
        <v>0</v>
      </c>
    </row>
    <row r="11" spans="1:19" ht="17" x14ac:dyDescent="0.25">
      <c r="A11" t="s">
        <v>28</v>
      </c>
      <c r="B11" t="s">
        <v>50</v>
      </c>
      <c r="C11" s="1">
        <v>12000000</v>
      </c>
      <c r="O11">
        <f t="shared" si="0"/>
        <v>0</v>
      </c>
      <c r="P11" s="2">
        <f t="shared" si="1"/>
        <v>0</v>
      </c>
      <c r="Q11" t="e">
        <f t="shared" si="2"/>
        <v>#DIV/0!</v>
      </c>
      <c r="R11" t="e" cm="1" vm="2">
        <f t="array" ref="R11">INDEX(_xlfn._xlws.FILTER(K:K,(J:J=N11)*(L:L=P11)),1)</f>
        <v>#VALUE!</v>
      </c>
      <c r="S11">
        <f t="shared" si="3"/>
        <v>0</v>
      </c>
    </row>
    <row r="12" spans="1:19" ht="17" x14ac:dyDescent="0.25">
      <c r="A12" t="s">
        <v>28</v>
      </c>
      <c r="B12" t="s">
        <v>572</v>
      </c>
      <c r="C12" s="1">
        <v>1086099</v>
      </c>
      <c r="O12">
        <f t="shared" si="0"/>
        <v>0</v>
      </c>
      <c r="P12" s="2">
        <f t="shared" si="1"/>
        <v>0</v>
      </c>
      <c r="Q12" t="e">
        <f t="shared" si="2"/>
        <v>#DIV/0!</v>
      </c>
      <c r="R12" t="e" cm="1" vm="2">
        <f t="array" ref="R12">INDEX(_xlfn._xlws.FILTER(K:K,(J:J=N12)*(L:L=P12)),1)</f>
        <v>#VALUE!</v>
      </c>
      <c r="S12">
        <f t="shared" si="3"/>
        <v>0</v>
      </c>
    </row>
    <row r="13" spans="1:19" ht="17" x14ac:dyDescent="0.25">
      <c r="A13" t="s">
        <v>28</v>
      </c>
      <c r="B13" t="s">
        <v>57</v>
      </c>
      <c r="C13" s="1">
        <v>500000</v>
      </c>
      <c r="O13">
        <f t="shared" si="0"/>
        <v>0</v>
      </c>
      <c r="P13" s="2">
        <f t="shared" si="1"/>
        <v>0</v>
      </c>
      <c r="Q13" t="e">
        <f t="shared" si="2"/>
        <v>#DIV/0!</v>
      </c>
      <c r="R13" t="e" cm="1" vm="2">
        <f t="array" ref="R13">INDEX(_xlfn._xlws.FILTER(K:K,(J:J=N13)*(L:L=P13)),1)</f>
        <v>#VALUE!</v>
      </c>
      <c r="S13">
        <f t="shared" si="3"/>
        <v>0</v>
      </c>
    </row>
    <row r="14" spans="1:19" ht="17" x14ac:dyDescent="0.25">
      <c r="A14" t="s">
        <v>28</v>
      </c>
      <c r="B14" t="s">
        <v>413</v>
      </c>
      <c r="C14" s="1">
        <v>150000</v>
      </c>
      <c r="O14">
        <f t="shared" si="0"/>
        <v>0</v>
      </c>
      <c r="P14" s="2">
        <f t="shared" si="1"/>
        <v>0</v>
      </c>
      <c r="Q14" t="e">
        <f t="shared" si="2"/>
        <v>#DIV/0!</v>
      </c>
      <c r="R14" t="e" cm="1" vm="2">
        <f t="array" ref="R14">INDEX(_xlfn._xlws.FILTER(K:K,(J:J=N14)*(L:L=P14)),1)</f>
        <v>#VALUE!</v>
      </c>
      <c r="S14">
        <f t="shared" si="3"/>
        <v>0</v>
      </c>
    </row>
    <row r="15" spans="1:19" ht="17" x14ac:dyDescent="0.25">
      <c r="A15" t="s">
        <v>28</v>
      </c>
      <c r="B15" t="s">
        <v>406</v>
      </c>
      <c r="C15" s="1">
        <v>227219813.19999999</v>
      </c>
      <c r="O15">
        <f t="shared" si="0"/>
        <v>0</v>
      </c>
      <c r="P15" s="2">
        <f t="shared" si="1"/>
        <v>0</v>
      </c>
      <c r="Q15" t="e">
        <f t="shared" si="2"/>
        <v>#DIV/0!</v>
      </c>
      <c r="R15" t="e" cm="1" vm="2">
        <f t="array" ref="R15">INDEX(_xlfn._xlws.FILTER(K:K,(J:J=N15)*(L:L=P15)),1)</f>
        <v>#VALUE!</v>
      </c>
      <c r="S15">
        <f t="shared" si="3"/>
        <v>0</v>
      </c>
    </row>
    <row r="16" spans="1:19" ht="17" x14ac:dyDescent="0.25">
      <c r="A16" t="s">
        <v>28</v>
      </c>
      <c r="B16" t="s">
        <v>169</v>
      </c>
      <c r="C16" s="1">
        <v>3430000</v>
      </c>
      <c r="O16">
        <f t="shared" si="0"/>
        <v>0</v>
      </c>
      <c r="P16" s="2">
        <f t="shared" si="1"/>
        <v>0</v>
      </c>
      <c r="Q16" t="e">
        <f t="shared" si="2"/>
        <v>#DIV/0!</v>
      </c>
      <c r="R16" t="e" cm="1" vm="2">
        <f t="array" ref="R16">INDEX(_xlfn._xlws.FILTER(K:K,(J:J=N16)*(L:L=P16)),1)</f>
        <v>#VALUE!</v>
      </c>
      <c r="S16">
        <f t="shared" si="3"/>
        <v>0</v>
      </c>
    </row>
    <row r="17" spans="1:19" ht="17" x14ac:dyDescent="0.25">
      <c r="A17" t="s">
        <v>28</v>
      </c>
      <c r="B17" t="s">
        <v>629</v>
      </c>
      <c r="C17" s="1">
        <v>2349520</v>
      </c>
      <c r="O17">
        <f t="shared" si="0"/>
        <v>0</v>
      </c>
      <c r="P17" s="2">
        <f t="shared" si="1"/>
        <v>0</v>
      </c>
      <c r="Q17" t="e">
        <f t="shared" si="2"/>
        <v>#DIV/0!</v>
      </c>
      <c r="R17" t="e" cm="1" vm="2">
        <f t="array" ref="R17">INDEX(_xlfn._xlws.FILTER(K:K,(J:J=N17)*(L:L=P17)),1)</f>
        <v>#VALUE!</v>
      </c>
      <c r="S17">
        <f t="shared" si="3"/>
        <v>0</v>
      </c>
    </row>
    <row r="18" spans="1:19" ht="17" x14ac:dyDescent="0.25">
      <c r="A18" t="s">
        <v>28</v>
      </c>
      <c r="B18" t="s">
        <v>526</v>
      </c>
      <c r="C18" s="1">
        <v>17441468.199999999</v>
      </c>
      <c r="O18">
        <f t="shared" si="0"/>
        <v>0</v>
      </c>
      <c r="P18" s="2">
        <f t="shared" si="1"/>
        <v>0</v>
      </c>
      <c r="Q18" t="e">
        <f t="shared" si="2"/>
        <v>#DIV/0!</v>
      </c>
      <c r="R18" t="e" cm="1" vm="2">
        <f t="array" ref="R18">INDEX(_xlfn._xlws.FILTER(K:K,(J:J=N18)*(L:L=P18)),1)</f>
        <v>#VALUE!</v>
      </c>
      <c r="S18">
        <f t="shared" si="3"/>
        <v>0</v>
      </c>
    </row>
    <row r="19" spans="1:19" ht="17" x14ac:dyDescent="0.25">
      <c r="A19" t="s">
        <v>28</v>
      </c>
      <c r="B19" t="s">
        <v>625</v>
      </c>
      <c r="C19" s="1">
        <v>55250000</v>
      </c>
      <c r="O19">
        <f t="shared" si="0"/>
        <v>0</v>
      </c>
      <c r="P19" s="2">
        <f t="shared" si="1"/>
        <v>0</v>
      </c>
      <c r="Q19" t="e">
        <f t="shared" si="2"/>
        <v>#DIV/0!</v>
      </c>
      <c r="R19" t="e" cm="1" vm="2">
        <f t="array" ref="R19">INDEX(_xlfn._xlws.FILTER(K:K,(J:J=N19)*(L:L=P19)),1)</f>
        <v>#VALUE!</v>
      </c>
      <c r="S19">
        <f t="shared" si="3"/>
        <v>0</v>
      </c>
    </row>
    <row r="20" spans="1:19" ht="17" x14ac:dyDescent="0.25">
      <c r="A20" t="s">
        <v>28</v>
      </c>
      <c r="B20" t="s">
        <v>94</v>
      </c>
      <c r="C20" s="1">
        <v>1167231.1000000001</v>
      </c>
      <c r="O20">
        <f t="shared" si="0"/>
        <v>0</v>
      </c>
      <c r="P20" s="2">
        <f t="shared" si="1"/>
        <v>0</v>
      </c>
      <c r="Q20" t="e">
        <f t="shared" si="2"/>
        <v>#DIV/0!</v>
      </c>
      <c r="R20" t="e" cm="1" vm="2">
        <f t="array" ref="R20">INDEX(_xlfn._xlws.FILTER(K:K,(J:J=N20)*(L:L=P20)),1)</f>
        <v>#VALUE!</v>
      </c>
      <c r="S20">
        <f t="shared" si="3"/>
        <v>0</v>
      </c>
    </row>
    <row r="21" spans="1:19" ht="17" x14ac:dyDescent="0.25">
      <c r="A21" t="s">
        <v>28</v>
      </c>
      <c r="B21" t="s">
        <v>84</v>
      </c>
      <c r="C21" s="1">
        <v>30510360.199999999</v>
      </c>
      <c r="O21">
        <f t="shared" si="0"/>
        <v>0</v>
      </c>
      <c r="P21" s="2">
        <f t="shared" si="1"/>
        <v>0</v>
      </c>
      <c r="Q21" t="e">
        <f t="shared" si="2"/>
        <v>#DIV/0!</v>
      </c>
      <c r="R21" t="e" cm="1" vm="2">
        <f t="array" ref="R21">INDEX(_xlfn._xlws.FILTER(K:K,(J:J=N21)*(L:L=P21)),1)</f>
        <v>#VALUE!</v>
      </c>
      <c r="S21">
        <f t="shared" si="3"/>
        <v>0</v>
      </c>
    </row>
    <row r="22" spans="1:19" ht="17" x14ac:dyDescent="0.25">
      <c r="A22" t="s">
        <v>28</v>
      </c>
      <c r="B22" t="s">
        <v>412</v>
      </c>
      <c r="C22" s="1">
        <v>10332630</v>
      </c>
      <c r="O22">
        <f t="shared" si="0"/>
        <v>0</v>
      </c>
      <c r="P22" s="2">
        <f t="shared" si="1"/>
        <v>0</v>
      </c>
      <c r="Q22" t="e">
        <f t="shared" si="2"/>
        <v>#DIV/0!</v>
      </c>
      <c r="R22" t="e" cm="1" vm="2">
        <f t="array" ref="R22">INDEX(_xlfn._xlws.FILTER(K:K,(J:J=N22)*(L:L=P22)),1)</f>
        <v>#VALUE!</v>
      </c>
      <c r="S22">
        <f t="shared" si="3"/>
        <v>0</v>
      </c>
    </row>
    <row r="23" spans="1:19" ht="17" x14ac:dyDescent="0.25">
      <c r="A23" t="s">
        <v>28</v>
      </c>
      <c r="B23" t="s">
        <v>227</v>
      </c>
      <c r="C23" s="1">
        <v>17192941</v>
      </c>
      <c r="O23">
        <f t="shared" si="0"/>
        <v>0</v>
      </c>
      <c r="P23" s="2">
        <f t="shared" si="1"/>
        <v>0</v>
      </c>
      <c r="Q23" t="e">
        <f t="shared" si="2"/>
        <v>#DIV/0!</v>
      </c>
      <c r="R23" t="e" cm="1" vm="2">
        <f t="array" ref="R23">INDEX(_xlfn._xlws.FILTER(K:K,(J:J=N23)*(L:L=P23)),1)</f>
        <v>#VALUE!</v>
      </c>
      <c r="S23">
        <f t="shared" si="3"/>
        <v>0</v>
      </c>
    </row>
    <row r="24" spans="1:19" ht="17" x14ac:dyDescent="0.25">
      <c r="A24" t="s">
        <v>28</v>
      </c>
      <c r="B24" t="s">
        <v>35</v>
      </c>
      <c r="C24" s="1">
        <v>28382199.300000001</v>
      </c>
      <c r="O24">
        <f t="shared" si="0"/>
        <v>0</v>
      </c>
      <c r="P24" s="2">
        <f t="shared" si="1"/>
        <v>0</v>
      </c>
      <c r="Q24" t="e">
        <f t="shared" si="2"/>
        <v>#DIV/0!</v>
      </c>
      <c r="R24" t="e" cm="1" vm="2">
        <f t="array" ref="R24">INDEX(_xlfn._xlws.FILTER(K:K,(J:J=N24)*(L:L=P24)),1)</f>
        <v>#VALUE!</v>
      </c>
      <c r="S24">
        <f t="shared" si="3"/>
        <v>0</v>
      </c>
    </row>
    <row r="25" spans="1:19" ht="17" x14ac:dyDescent="0.25">
      <c r="A25" t="s">
        <v>28</v>
      </c>
      <c r="B25" t="s">
        <v>334</v>
      </c>
      <c r="C25" s="1">
        <v>28774814</v>
      </c>
      <c r="O25">
        <f t="shared" si="0"/>
        <v>0</v>
      </c>
      <c r="P25" s="2">
        <f t="shared" si="1"/>
        <v>0</v>
      </c>
      <c r="Q25" t="e">
        <f t="shared" si="2"/>
        <v>#DIV/0!</v>
      </c>
      <c r="R25" t="e" cm="1" vm="2">
        <f t="array" ref="R25">INDEX(_xlfn._xlws.FILTER(K:K,(J:J=N25)*(L:L=P25)),1)</f>
        <v>#VALUE!</v>
      </c>
      <c r="S25">
        <f t="shared" si="3"/>
        <v>0</v>
      </c>
    </row>
    <row r="26" spans="1:19" ht="17" x14ac:dyDescent="0.25">
      <c r="A26" t="s">
        <v>28</v>
      </c>
      <c r="B26" t="s">
        <v>269</v>
      </c>
      <c r="C26" s="1">
        <v>12258594</v>
      </c>
      <c r="O26">
        <f t="shared" si="0"/>
        <v>0</v>
      </c>
      <c r="P26" s="2">
        <f t="shared" si="1"/>
        <v>0</v>
      </c>
      <c r="Q26" t="e">
        <f t="shared" si="2"/>
        <v>#DIV/0!</v>
      </c>
      <c r="R26" t="e" cm="1" vm="2">
        <f t="array" ref="R26">INDEX(_xlfn._xlws.FILTER(K:K,(J:J=N26)*(L:L=P26)),1)</f>
        <v>#VALUE!</v>
      </c>
      <c r="S26">
        <f t="shared" si="3"/>
        <v>0</v>
      </c>
    </row>
    <row r="27" spans="1:19" ht="17" x14ac:dyDescent="0.25">
      <c r="A27" t="s">
        <v>28</v>
      </c>
      <c r="B27" t="s">
        <v>592</v>
      </c>
      <c r="C27" s="1">
        <v>38076.199999999997</v>
      </c>
      <c r="O27">
        <f t="shared" si="0"/>
        <v>0</v>
      </c>
      <c r="P27" s="2">
        <f t="shared" si="1"/>
        <v>0</v>
      </c>
      <c r="Q27" t="e">
        <f t="shared" si="2"/>
        <v>#DIV/0!</v>
      </c>
      <c r="R27" t="e" cm="1" vm="2">
        <f t="array" ref="R27">INDEX(_xlfn._xlws.FILTER(K:K,(J:J=N27)*(L:L=P27)),1)</f>
        <v>#VALUE!</v>
      </c>
      <c r="S27">
        <f t="shared" si="3"/>
        <v>0</v>
      </c>
    </row>
    <row r="28" spans="1:19" ht="17" x14ac:dyDescent="0.25">
      <c r="A28" t="s">
        <v>28</v>
      </c>
      <c r="B28" t="s">
        <v>83</v>
      </c>
      <c r="C28" s="1">
        <v>83477.5</v>
      </c>
      <c r="O28">
        <f t="shared" si="0"/>
        <v>0</v>
      </c>
      <c r="P28" s="2">
        <f t="shared" si="1"/>
        <v>0</v>
      </c>
      <c r="Q28" t="e">
        <f t="shared" si="2"/>
        <v>#DIV/0!</v>
      </c>
      <c r="R28" t="e" cm="1" vm="2">
        <f t="array" ref="R28">INDEX(_xlfn._xlws.FILTER(K:K,(J:J=N28)*(L:L=P28)),1)</f>
        <v>#VALUE!</v>
      </c>
      <c r="S28">
        <f t="shared" si="3"/>
        <v>0</v>
      </c>
    </row>
    <row r="29" spans="1:19" ht="17" x14ac:dyDescent="0.25">
      <c r="A29" t="s">
        <v>28</v>
      </c>
      <c r="B29" t="s">
        <v>11</v>
      </c>
      <c r="C29" s="1">
        <v>8043271.9000000004</v>
      </c>
      <c r="O29">
        <f t="shared" si="0"/>
        <v>0</v>
      </c>
      <c r="P29" s="2">
        <f t="shared" si="1"/>
        <v>0</v>
      </c>
      <c r="Q29" t="e">
        <f t="shared" si="2"/>
        <v>#DIV/0!</v>
      </c>
      <c r="R29" t="e" cm="1" vm="2">
        <f t="array" ref="R29">INDEX(_xlfn._xlws.FILTER(K:K,(J:J=N29)*(L:L=P29)),1)</f>
        <v>#VALUE!</v>
      </c>
      <c r="S29">
        <f t="shared" si="3"/>
        <v>0</v>
      </c>
    </row>
    <row r="30" spans="1:19" ht="17" x14ac:dyDescent="0.25">
      <c r="A30" t="s">
        <v>28</v>
      </c>
      <c r="B30" t="s">
        <v>349</v>
      </c>
      <c r="C30" s="1">
        <v>250000000</v>
      </c>
      <c r="O30">
        <f t="shared" si="0"/>
        <v>0</v>
      </c>
      <c r="P30" s="2">
        <f t="shared" si="1"/>
        <v>0</v>
      </c>
      <c r="Q30" t="e">
        <f t="shared" si="2"/>
        <v>#DIV/0!</v>
      </c>
      <c r="R30" t="e" cm="1" vm="2">
        <f t="array" ref="R30">INDEX(_xlfn._xlws.FILTER(K:K,(J:J=N30)*(L:L=P30)),1)</f>
        <v>#VALUE!</v>
      </c>
      <c r="S30">
        <f t="shared" si="3"/>
        <v>0</v>
      </c>
    </row>
    <row r="31" spans="1:19" ht="17" x14ac:dyDescent="0.25">
      <c r="A31" t="s">
        <v>28</v>
      </c>
      <c r="B31" t="s">
        <v>452</v>
      </c>
      <c r="C31" s="1">
        <v>40750000</v>
      </c>
      <c r="O31">
        <f t="shared" si="0"/>
        <v>0</v>
      </c>
      <c r="P31" s="2">
        <f t="shared" si="1"/>
        <v>0</v>
      </c>
      <c r="Q31" t="e">
        <f t="shared" si="2"/>
        <v>#DIV/0!</v>
      </c>
      <c r="R31" t="e" cm="1" vm="2">
        <f t="array" ref="R31">INDEX(_xlfn._xlws.FILTER(K:K,(J:J=N31)*(L:L=P31)),1)</f>
        <v>#VALUE!</v>
      </c>
      <c r="S31">
        <f t="shared" si="3"/>
        <v>0</v>
      </c>
    </row>
    <row r="32" spans="1:19" ht="17" x14ac:dyDescent="0.25">
      <c r="A32" t="s">
        <v>28</v>
      </c>
      <c r="B32" t="s">
        <v>91</v>
      </c>
      <c r="C32" s="1">
        <v>14199504.300000001</v>
      </c>
      <c r="O32">
        <f t="shared" si="0"/>
        <v>0</v>
      </c>
      <c r="P32" s="2">
        <f t="shared" si="1"/>
        <v>0</v>
      </c>
      <c r="Q32" t="e">
        <f t="shared" si="2"/>
        <v>#DIV/0!</v>
      </c>
      <c r="R32" t="e" cm="1" vm="2">
        <f t="array" ref="R32">INDEX(_xlfn._xlws.FILTER(K:K,(J:J=N32)*(L:L=P32)),1)</f>
        <v>#VALUE!</v>
      </c>
      <c r="S32">
        <f t="shared" si="3"/>
        <v>0</v>
      </c>
    </row>
    <row r="33" spans="1:19" ht="17" x14ac:dyDescent="0.25">
      <c r="A33" t="s">
        <v>28</v>
      </c>
      <c r="B33" t="s">
        <v>602</v>
      </c>
      <c r="C33" s="1">
        <v>122000000</v>
      </c>
      <c r="O33">
        <f t="shared" si="0"/>
        <v>0</v>
      </c>
      <c r="P33" s="2">
        <f t="shared" si="1"/>
        <v>0</v>
      </c>
      <c r="Q33" t="e">
        <f t="shared" si="2"/>
        <v>#DIV/0!</v>
      </c>
      <c r="R33" t="e" cm="1" vm="2">
        <f t="array" ref="R33">INDEX(_xlfn._xlws.FILTER(K:K,(J:J=N33)*(L:L=P33)),1)</f>
        <v>#VALUE!</v>
      </c>
      <c r="S33">
        <f t="shared" si="3"/>
        <v>0</v>
      </c>
    </row>
    <row r="34" spans="1:19" ht="17" x14ac:dyDescent="0.25">
      <c r="A34" t="s">
        <v>28</v>
      </c>
      <c r="B34" t="s">
        <v>392</v>
      </c>
      <c r="C34" s="1">
        <v>1167992.6000000001</v>
      </c>
      <c r="O34">
        <f t="shared" si="0"/>
        <v>0</v>
      </c>
      <c r="P34" s="2">
        <f t="shared" si="1"/>
        <v>0</v>
      </c>
      <c r="Q34" t="e">
        <f t="shared" si="2"/>
        <v>#DIV/0!</v>
      </c>
      <c r="R34" t="e" cm="1" vm="2">
        <f t="array" ref="R34">INDEX(_xlfn._xlws.FILTER(K:K,(J:J=N34)*(L:L=P34)),1)</f>
        <v>#VALUE!</v>
      </c>
      <c r="S34">
        <f t="shared" si="3"/>
        <v>0</v>
      </c>
    </row>
    <row r="35" spans="1:19" ht="17" x14ac:dyDescent="0.25">
      <c r="A35" t="s">
        <v>28</v>
      </c>
      <c r="B35" t="s">
        <v>394</v>
      </c>
      <c r="C35" s="1">
        <v>4772699.8</v>
      </c>
      <c r="O35">
        <f t="shared" si="0"/>
        <v>0</v>
      </c>
      <c r="P35" s="2">
        <f t="shared" si="1"/>
        <v>0</v>
      </c>
      <c r="Q35" t="e">
        <f t="shared" si="2"/>
        <v>#DIV/0!</v>
      </c>
      <c r="R35" t="e" cm="1" vm="2">
        <f t="array" ref="R35">INDEX(_xlfn._xlws.FILTER(K:K,(J:J=N35)*(L:L=P35)),1)</f>
        <v>#VALUE!</v>
      </c>
      <c r="S35">
        <f t="shared" si="3"/>
        <v>0</v>
      </c>
    </row>
    <row r="36" spans="1:19" ht="17" x14ac:dyDescent="0.25">
      <c r="A36" t="s">
        <v>28</v>
      </c>
      <c r="B36" t="s">
        <v>619</v>
      </c>
      <c r="C36" s="1">
        <v>28106000</v>
      </c>
      <c r="O36">
        <f t="shared" si="0"/>
        <v>0</v>
      </c>
      <c r="P36" s="2">
        <f t="shared" si="1"/>
        <v>0</v>
      </c>
      <c r="Q36" t="e">
        <f t="shared" si="2"/>
        <v>#DIV/0!</v>
      </c>
      <c r="R36" t="e" cm="1" vm="2">
        <f t="array" ref="R36">INDEX(_xlfn._xlws.FILTER(K:K,(J:J=N36)*(L:L=P36)),1)</f>
        <v>#VALUE!</v>
      </c>
      <c r="S36">
        <f t="shared" si="3"/>
        <v>0</v>
      </c>
    </row>
    <row r="37" spans="1:19" ht="17" x14ac:dyDescent="0.25">
      <c r="A37" t="s">
        <v>28</v>
      </c>
      <c r="B37" t="s">
        <v>125</v>
      </c>
      <c r="C37" s="1">
        <v>40621476</v>
      </c>
      <c r="O37">
        <f t="shared" si="0"/>
        <v>0</v>
      </c>
      <c r="P37" s="2">
        <f t="shared" si="1"/>
        <v>0</v>
      </c>
      <c r="Q37" t="e">
        <f t="shared" si="2"/>
        <v>#DIV/0!</v>
      </c>
      <c r="R37" t="e" cm="1" vm="2">
        <f t="array" ref="R37">INDEX(_xlfn._xlws.FILTER(K:K,(J:J=N37)*(L:L=P37)),1)</f>
        <v>#VALUE!</v>
      </c>
      <c r="S37">
        <f t="shared" si="3"/>
        <v>0</v>
      </c>
    </row>
    <row r="38" spans="1:19" ht="17" x14ac:dyDescent="0.25">
      <c r="A38" t="s">
        <v>28</v>
      </c>
      <c r="B38" t="s">
        <v>230</v>
      </c>
      <c r="C38" s="1">
        <v>589215.80000000005</v>
      </c>
      <c r="P38" s="2"/>
    </row>
    <row r="39" spans="1:19" ht="17" x14ac:dyDescent="0.25">
      <c r="A39" t="s">
        <v>28</v>
      </c>
      <c r="B39" t="s">
        <v>582</v>
      </c>
      <c r="C39" s="1">
        <v>5910000</v>
      </c>
      <c r="P39" s="2"/>
    </row>
    <row r="40" spans="1:19" x14ac:dyDescent="0.2">
      <c r="A40" t="s">
        <v>28</v>
      </c>
      <c r="B40" t="s">
        <v>517</v>
      </c>
      <c r="C40" s="1">
        <v>75059.7</v>
      </c>
    </row>
    <row r="41" spans="1:19" x14ac:dyDescent="0.2">
      <c r="A41" t="s">
        <v>28</v>
      </c>
      <c r="B41" t="s">
        <v>536</v>
      </c>
      <c r="C41" s="1">
        <v>225626</v>
      </c>
    </row>
    <row r="42" spans="1:19" x14ac:dyDescent="0.2">
      <c r="A42" t="s">
        <v>28</v>
      </c>
      <c r="B42" t="s">
        <v>186</v>
      </c>
      <c r="C42" s="1">
        <v>42500000</v>
      </c>
    </row>
    <row r="43" spans="1:19" x14ac:dyDescent="0.2">
      <c r="A43" t="s">
        <v>28</v>
      </c>
      <c r="B43" t="s">
        <v>7</v>
      </c>
      <c r="C43" s="1">
        <v>124048149.50000001</v>
      </c>
    </row>
    <row r="44" spans="1:19" x14ac:dyDescent="0.2">
      <c r="A44" t="s">
        <v>28</v>
      </c>
      <c r="B44" t="s">
        <v>56</v>
      </c>
      <c r="C44" s="1">
        <v>281000</v>
      </c>
    </row>
    <row r="45" spans="1:19" x14ac:dyDescent="0.2">
      <c r="A45" t="s">
        <v>28</v>
      </c>
      <c r="B45" t="s">
        <v>505</v>
      </c>
      <c r="C45" s="1">
        <v>24000000</v>
      </c>
    </row>
    <row r="46" spans="1:19" x14ac:dyDescent="0.2">
      <c r="A46" t="s">
        <v>28</v>
      </c>
      <c r="B46" t="s">
        <v>357</v>
      </c>
      <c r="C46" s="1">
        <v>2881532.0999999898</v>
      </c>
    </row>
    <row r="47" spans="1:19" x14ac:dyDescent="0.2">
      <c r="A47" t="s">
        <v>28</v>
      </c>
      <c r="B47" t="s">
        <v>188</v>
      </c>
      <c r="C47" s="1">
        <v>12000000</v>
      </c>
    </row>
    <row r="48" spans="1:19" x14ac:dyDescent="0.2">
      <c r="A48" t="s">
        <v>28</v>
      </c>
      <c r="B48" t="s">
        <v>184</v>
      </c>
      <c r="C48" s="1">
        <v>12000000</v>
      </c>
    </row>
    <row r="49" spans="1:3" x14ac:dyDescent="0.2">
      <c r="A49" t="s">
        <v>28</v>
      </c>
      <c r="B49" t="s">
        <v>74</v>
      </c>
      <c r="C49" s="1">
        <v>2000000</v>
      </c>
    </row>
    <row r="50" spans="1:3" x14ac:dyDescent="0.2">
      <c r="A50" t="s">
        <v>28</v>
      </c>
      <c r="B50" t="s">
        <v>460</v>
      </c>
      <c r="C50" s="1">
        <v>1050</v>
      </c>
    </row>
    <row r="51" spans="1:3" x14ac:dyDescent="0.2">
      <c r="A51" t="s">
        <v>28</v>
      </c>
      <c r="B51" t="s">
        <v>532</v>
      </c>
      <c r="C51" s="1">
        <v>57753.4</v>
      </c>
    </row>
    <row r="52" spans="1:3" x14ac:dyDescent="0.2">
      <c r="A52" t="s">
        <v>28</v>
      </c>
      <c r="B52" t="s">
        <v>70</v>
      </c>
      <c r="C52" s="1">
        <v>55000000</v>
      </c>
    </row>
    <row r="53" spans="1:3" x14ac:dyDescent="0.2">
      <c r="A53" t="s">
        <v>28</v>
      </c>
      <c r="B53" t="s">
        <v>622</v>
      </c>
      <c r="C53" s="1">
        <v>7800000</v>
      </c>
    </row>
    <row r="54" spans="1:3" x14ac:dyDescent="0.2">
      <c r="A54" t="s">
        <v>28</v>
      </c>
      <c r="B54" t="s">
        <v>430</v>
      </c>
      <c r="C54" s="1">
        <v>4808358</v>
      </c>
    </row>
    <row r="55" spans="1:3" x14ac:dyDescent="0.2">
      <c r="A55" t="s">
        <v>28</v>
      </c>
      <c r="B55" t="s">
        <v>58</v>
      </c>
      <c r="C55" s="1">
        <v>1000000</v>
      </c>
    </row>
    <row r="56" spans="1:3" x14ac:dyDescent="0.2">
      <c r="A56" t="s">
        <v>28</v>
      </c>
      <c r="B56" t="s">
        <v>93</v>
      </c>
      <c r="C56" s="1">
        <v>1482293.6</v>
      </c>
    </row>
    <row r="57" spans="1:3" x14ac:dyDescent="0.2">
      <c r="A57" t="s">
        <v>28</v>
      </c>
      <c r="B57" t="s">
        <v>129</v>
      </c>
      <c r="C57" s="1">
        <v>2841317.1</v>
      </c>
    </row>
    <row r="58" spans="1:3" x14ac:dyDescent="0.2">
      <c r="A58" t="s">
        <v>28</v>
      </c>
      <c r="B58" t="s">
        <v>502</v>
      </c>
      <c r="C58" s="1">
        <v>47331880.799999997</v>
      </c>
    </row>
    <row r="59" spans="1:3" x14ac:dyDescent="0.2">
      <c r="A59" t="s">
        <v>28</v>
      </c>
      <c r="B59" t="s">
        <v>90</v>
      </c>
      <c r="C59" s="1">
        <v>7500000</v>
      </c>
    </row>
    <row r="60" spans="1:3" x14ac:dyDescent="0.2">
      <c r="A60" t="s">
        <v>28</v>
      </c>
      <c r="B60" t="s">
        <v>362</v>
      </c>
      <c r="C60" s="1">
        <v>12150000</v>
      </c>
    </row>
    <row r="61" spans="1:3" x14ac:dyDescent="0.2">
      <c r="A61" t="s">
        <v>28</v>
      </c>
      <c r="B61" t="s">
        <v>47</v>
      </c>
      <c r="C61" s="1">
        <v>305154.09999999998</v>
      </c>
    </row>
    <row r="62" spans="1:3" x14ac:dyDescent="0.2">
      <c r="A62" t="s">
        <v>28</v>
      </c>
      <c r="B62" t="s">
        <v>595</v>
      </c>
      <c r="C62" s="1">
        <v>747000</v>
      </c>
    </row>
    <row r="63" spans="1:3" x14ac:dyDescent="0.2">
      <c r="A63" t="s">
        <v>28</v>
      </c>
      <c r="B63" t="s">
        <v>403</v>
      </c>
      <c r="C63" s="1">
        <v>9650670</v>
      </c>
    </row>
    <row r="64" spans="1:3" x14ac:dyDescent="0.2">
      <c r="A64" t="s">
        <v>28</v>
      </c>
      <c r="B64" t="s">
        <v>63</v>
      </c>
      <c r="C64" s="1">
        <v>26670841.399999999</v>
      </c>
    </row>
    <row r="65" spans="1:3" x14ac:dyDescent="0.2">
      <c r="A65" t="s">
        <v>28</v>
      </c>
      <c r="B65" t="s">
        <v>234</v>
      </c>
      <c r="C65" s="1">
        <v>3268606.8</v>
      </c>
    </row>
    <row r="66" spans="1:3" x14ac:dyDescent="0.2">
      <c r="A66" t="s">
        <v>28</v>
      </c>
      <c r="B66" t="s">
        <v>586</v>
      </c>
      <c r="C66" s="1">
        <v>795394.9</v>
      </c>
    </row>
    <row r="67" spans="1:3" x14ac:dyDescent="0.2">
      <c r="A67" t="s">
        <v>28</v>
      </c>
      <c r="B67" t="s">
        <v>298</v>
      </c>
      <c r="C67" s="1">
        <v>122156864</v>
      </c>
    </row>
    <row r="68" spans="1:3" x14ac:dyDescent="0.2">
      <c r="A68" t="s">
        <v>28</v>
      </c>
      <c r="B68" t="s">
        <v>181</v>
      </c>
      <c r="C68" s="1">
        <v>4700000</v>
      </c>
    </row>
    <row r="69" spans="1:3" x14ac:dyDescent="0.2">
      <c r="A69" t="s">
        <v>28</v>
      </c>
      <c r="B69" t="s">
        <v>623</v>
      </c>
      <c r="C69" s="1">
        <v>268000</v>
      </c>
    </row>
    <row r="70" spans="1:3" x14ac:dyDescent="0.2">
      <c r="A70" t="s">
        <v>28</v>
      </c>
      <c r="B70" t="s">
        <v>424</v>
      </c>
      <c r="C70" s="1">
        <v>847794</v>
      </c>
    </row>
    <row r="71" spans="1:3" x14ac:dyDescent="0.2">
      <c r="A71" t="s">
        <v>28</v>
      </c>
      <c r="B71" t="s">
        <v>30</v>
      </c>
      <c r="C71" s="1">
        <v>94950</v>
      </c>
    </row>
    <row r="72" spans="1:3" x14ac:dyDescent="0.2">
      <c r="A72" t="s">
        <v>28</v>
      </c>
      <c r="B72" t="s">
        <v>118</v>
      </c>
      <c r="C72" s="1">
        <v>3000000</v>
      </c>
    </row>
    <row r="73" spans="1:3" x14ac:dyDescent="0.2">
      <c r="A73" t="s">
        <v>28</v>
      </c>
      <c r="B73" t="s">
        <v>599</v>
      </c>
      <c r="C73" s="1">
        <v>2655789.5</v>
      </c>
    </row>
    <row r="74" spans="1:3" x14ac:dyDescent="0.2">
      <c r="A74" t="s">
        <v>28</v>
      </c>
      <c r="B74" t="s">
        <v>62</v>
      </c>
      <c r="C74" s="1">
        <v>1709000</v>
      </c>
    </row>
    <row r="75" spans="1:3" x14ac:dyDescent="0.2">
      <c r="A75" t="s">
        <v>28</v>
      </c>
      <c r="B75" t="s">
        <v>487</v>
      </c>
      <c r="C75" s="1">
        <v>50000000</v>
      </c>
    </row>
    <row r="76" spans="1:3" x14ac:dyDescent="0.2">
      <c r="A76" t="s">
        <v>28</v>
      </c>
      <c r="B76" t="s">
        <v>618</v>
      </c>
      <c r="C76" s="1">
        <v>6000270</v>
      </c>
    </row>
    <row r="77" spans="1:3" x14ac:dyDescent="0.2">
      <c r="A77" t="s">
        <v>28</v>
      </c>
      <c r="B77" t="s">
        <v>297</v>
      </c>
      <c r="C77" s="1">
        <v>1190623</v>
      </c>
    </row>
    <row r="78" spans="1:3" x14ac:dyDescent="0.2">
      <c r="A78" t="s">
        <v>28</v>
      </c>
      <c r="B78" t="s">
        <v>146</v>
      </c>
      <c r="C78" s="1">
        <v>4584419.8</v>
      </c>
    </row>
    <row r="79" spans="1:3" x14ac:dyDescent="0.2">
      <c r="A79" t="s">
        <v>28</v>
      </c>
      <c r="B79" t="s">
        <v>110</v>
      </c>
      <c r="C79" s="1">
        <v>92700000</v>
      </c>
    </row>
    <row r="80" spans="1:3" x14ac:dyDescent="0.2">
      <c r="A80" t="s">
        <v>28</v>
      </c>
      <c r="B80" t="s">
        <v>596</v>
      </c>
      <c r="C80" s="1">
        <v>6059797.7999999998</v>
      </c>
    </row>
    <row r="81" spans="1:3" x14ac:dyDescent="0.2">
      <c r="A81" t="s">
        <v>28</v>
      </c>
      <c r="B81" t="s">
        <v>33</v>
      </c>
      <c r="C81" s="1">
        <v>3092147.9</v>
      </c>
    </row>
    <row r="82" spans="1:3" x14ac:dyDescent="0.2">
      <c r="A82" t="s">
        <v>28</v>
      </c>
      <c r="B82" t="s">
        <v>219</v>
      </c>
      <c r="C82" s="1">
        <v>12000000</v>
      </c>
    </row>
    <row r="83" spans="1:3" x14ac:dyDescent="0.2">
      <c r="A83" t="s">
        <v>28</v>
      </c>
      <c r="B83" t="s">
        <v>32</v>
      </c>
      <c r="C83" s="1">
        <v>50408871.700000003</v>
      </c>
    </row>
    <row r="84" spans="1:3" x14ac:dyDescent="0.2">
      <c r="A84" t="s">
        <v>28</v>
      </c>
      <c r="B84" t="s">
        <v>463</v>
      </c>
      <c r="C84" s="1">
        <v>2014124.7</v>
      </c>
    </row>
    <row r="85" spans="1:3" x14ac:dyDescent="0.2">
      <c r="A85" t="s">
        <v>28</v>
      </c>
      <c r="B85" t="s">
        <v>604</v>
      </c>
      <c r="C85" s="1">
        <v>3928000</v>
      </c>
    </row>
    <row r="86" spans="1:3" x14ac:dyDescent="0.2">
      <c r="A86" t="s">
        <v>28</v>
      </c>
      <c r="B86" t="s">
        <v>275</v>
      </c>
      <c r="C86" s="1">
        <v>22349964.400000002</v>
      </c>
    </row>
    <row r="87" spans="1:3" x14ac:dyDescent="0.2">
      <c r="A87" t="s">
        <v>28</v>
      </c>
      <c r="B87" t="s">
        <v>55</v>
      </c>
      <c r="C87" s="1">
        <v>43000000</v>
      </c>
    </row>
    <row r="88" spans="1:3" x14ac:dyDescent="0.2">
      <c r="A88" t="s">
        <v>28</v>
      </c>
      <c r="B88" t="s">
        <v>414</v>
      </c>
      <c r="C88" s="1">
        <v>76000988</v>
      </c>
    </row>
    <row r="89" spans="1:3" x14ac:dyDescent="0.2">
      <c r="A89" t="s">
        <v>28</v>
      </c>
      <c r="B89" t="s">
        <v>530</v>
      </c>
      <c r="C89" s="1">
        <v>4415000</v>
      </c>
    </row>
    <row r="90" spans="1:3" x14ac:dyDescent="0.2">
      <c r="A90" t="s">
        <v>28</v>
      </c>
      <c r="B90" t="s">
        <v>185</v>
      </c>
      <c r="C90" s="1">
        <v>21120000</v>
      </c>
    </row>
    <row r="91" spans="1:3" x14ac:dyDescent="0.2">
      <c r="A91" t="s">
        <v>28</v>
      </c>
      <c r="B91" t="s">
        <v>516</v>
      </c>
      <c r="C91" s="1">
        <v>69112513.5</v>
      </c>
    </row>
    <row r="92" spans="1:3" x14ac:dyDescent="0.2">
      <c r="A92" t="s">
        <v>28</v>
      </c>
      <c r="B92" t="s">
        <v>418</v>
      </c>
      <c r="C92" s="1">
        <v>41562253</v>
      </c>
    </row>
    <row r="93" spans="1:3" x14ac:dyDescent="0.2">
      <c r="A93" t="s">
        <v>28</v>
      </c>
      <c r="B93" t="s">
        <v>27</v>
      </c>
      <c r="C93" s="1">
        <v>120000000</v>
      </c>
    </row>
    <row r="94" spans="1:3" x14ac:dyDescent="0.2">
      <c r="A94" t="s">
        <v>28</v>
      </c>
      <c r="B94" t="s">
        <v>562</v>
      </c>
      <c r="C94" s="1">
        <v>2502488</v>
      </c>
    </row>
    <row r="95" spans="1:3" x14ac:dyDescent="0.2">
      <c r="A95" t="s">
        <v>28</v>
      </c>
      <c r="B95" t="s">
        <v>180</v>
      </c>
      <c r="C95" s="1">
        <v>200000</v>
      </c>
    </row>
    <row r="96" spans="1:3" x14ac:dyDescent="0.2">
      <c r="A96" t="s">
        <v>28</v>
      </c>
      <c r="B96" t="s">
        <v>627</v>
      </c>
      <c r="C96" s="1">
        <v>508409494</v>
      </c>
    </row>
    <row r="97" spans="1:3" x14ac:dyDescent="0.2">
      <c r="A97" t="s">
        <v>28</v>
      </c>
      <c r="B97" t="s">
        <v>259</v>
      </c>
      <c r="C97" s="1">
        <v>55898191</v>
      </c>
    </row>
    <row r="98" spans="1:3" x14ac:dyDescent="0.2">
      <c r="A98" t="s">
        <v>28</v>
      </c>
      <c r="B98" t="s">
        <v>506</v>
      </c>
      <c r="C98" s="1">
        <v>378589.2</v>
      </c>
    </row>
    <row r="99" spans="1:3" x14ac:dyDescent="0.2">
      <c r="A99" t="s">
        <v>28</v>
      </c>
      <c r="B99" t="s">
        <v>589</v>
      </c>
      <c r="C99" s="1">
        <v>3008722.6</v>
      </c>
    </row>
    <row r="100" spans="1:3" x14ac:dyDescent="0.2">
      <c r="A100" t="s">
        <v>28</v>
      </c>
      <c r="B100" t="s">
        <v>678</v>
      </c>
      <c r="C100" s="1">
        <v>513395812.89999998</v>
      </c>
    </row>
    <row r="101" spans="1:3" x14ac:dyDescent="0.2">
      <c r="A101" t="s">
        <v>28</v>
      </c>
      <c r="B101" t="s">
        <v>1085</v>
      </c>
      <c r="C101" s="1">
        <v>18849340</v>
      </c>
    </row>
    <row r="102" spans="1:3" x14ac:dyDescent="0.2">
      <c r="A102" t="s">
        <v>28</v>
      </c>
      <c r="B102" t="s">
        <v>1216</v>
      </c>
      <c r="C102" s="1">
        <v>85000</v>
      </c>
    </row>
    <row r="103" spans="1:3" x14ac:dyDescent="0.2">
      <c r="A103" t="s">
        <v>28</v>
      </c>
      <c r="B103" t="s">
        <v>1380</v>
      </c>
      <c r="C103" s="1">
        <v>24854035</v>
      </c>
    </row>
    <row r="104" spans="1:3" x14ac:dyDescent="0.2">
      <c r="A104" t="s">
        <v>28</v>
      </c>
      <c r="B104" t="s">
        <v>1429</v>
      </c>
      <c r="C104" s="1">
        <v>264074439</v>
      </c>
    </row>
    <row r="105" spans="1:3" x14ac:dyDescent="0.2">
      <c r="A105" t="s">
        <v>28</v>
      </c>
      <c r="B105" t="s">
        <v>1500</v>
      </c>
      <c r="C105" s="1">
        <v>19807618.600000001</v>
      </c>
    </row>
    <row r="106" spans="1:3" x14ac:dyDescent="0.2">
      <c r="A106" t="s">
        <v>28</v>
      </c>
      <c r="B106" t="s">
        <v>1571</v>
      </c>
      <c r="C106" s="1">
        <v>133860127</v>
      </c>
    </row>
    <row r="107" spans="1:3" x14ac:dyDescent="0.2">
      <c r="A107" t="s">
        <v>28</v>
      </c>
      <c r="B107" t="s">
        <v>1725</v>
      </c>
      <c r="C107" s="1">
        <v>25642177</v>
      </c>
    </row>
    <row r="108" spans="1:3" x14ac:dyDescent="0.2">
      <c r="A108" t="s">
        <v>28</v>
      </c>
      <c r="B108" t="s">
        <v>2160</v>
      </c>
      <c r="C108" s="1">
        <v>3564317</v>
      </c>
    </row>
    <row r="109" spans="1:3" x14ac:dyDescent="0.2">
      <c r="A109" t="s">
        <v>28</v>
      </c>
      <c r="B109" t="s">
        <v>2455</v>
      </c>
      <c r="C109" s="1">
        <v>1236808.3</v>
      </c>
    </row>
    <row r="110" spans="1:3" x14ac:dyDescent="0.2">
      <c r="A110" t="s">
        <v>28</v>
      </c>
      <c r="B110" t="s">
        <v>2478</v>
      </c>
      <c r="C110" s="1">
        <v>470436</v>
      </c>
    </row>
    <row r="111" spans="1:3" x14ac:dyDescent="0.2">
      <c r="A111" t="s">
        <v>28</v>
      </c>
      <c r="B111" t="s">
        <v>2479</v>
      </c>
      <c r="C111" s="1">
        <v>17398675</v>
      </c>
    </row>
    <row r="112" spans="1:3" x14ac:dyDescent="0.2">
      <c r="A112" t="s">
        <v>28</v>
      </c>
      <c r="B112" t="s">
        <v>2555</v>
      </c>
      <c r="C112" s="1">
        <v>450000</v>
      </c>
    </row>
    <row r="113" spans="1:3" x14ac:dyDescent="0.2">
      <c r="A113" t="s">
        <v>28</v>
      </c>
      <c r="B113" t="s">
        <v>2556</v>
      </c>
      <c r="C113" s="1">
        <v>27960</v>
      </c>
    </row>
    <row r="114" spans="1:3" x14ac:dyDescent="0.2">
      <c r="A114" t="s">
        <v>28</v>
      </c>
      <c r="B114" t="s">
        <v>2562</v>
      </c>
      <c r="C114" s="1">
        <v>79800</v>
      </c>
    </row>
    <row r="115" spans="1:3" x14ac:dyDescent="0.2">
      <c r="A115" t="s">
        <v>28</v>
      </c>
      <c r="B115" t="s">
        <v>2578</v>
      </c>
      <c r="C115" s="1">
        <v>6898152.5999999996</v>
      </c>
    </row>
    <row r="116" spans="1:3" x14ac:dyDescent="0.2">
      <c r="A116" t="s">
        <v>42</v>
      </c>
      <c r="B116" t="s">
        <v>507</v>
      </c>
      <c r="C116" s="1">
        <v>655392.5</v>
      </c>
    </row>
    <row r="117" spans="1:3" x14ac:dyDescent="0.2">
      <c r="A117" t="s">
        <v>42</v>
      </c>
      <c r="B117" t="s">
        <v>447</v>
      </c>
      <c r="C117" s="1">
        <v>124560</v>
      </c>
    </row>
    <row r="118" spans="1:3" x14ac:dyDescent="0.2">
      <c r="A118" t="s">
        <v>42</v>
      </c>
      <c r="B118" t="s">
        <v>601</v>
      </c>
      <c r="C118" s="1">
        <v>436960.4</v>
      </c>
    </row>
    <row r="119" spans="1:3" x14ac:dyDescent="0.2">
      <c r="A119" t="s">
        <v>42</v>
      </c>
      <c r="B119" t="s">
        <v>41</v>
      </c>
      <c r="C119" s="1">
        <v>385334</v>
      </c>
    </row>
    <row r="120" spans="1:3" x14ac:dyDescent="0.2">
      <c r="A120" t="s">
        <v>42</v>
      </c>
      <c r="B120" t="s">
        <v>391</v>
      </c>
      <c r="C120" s="1">
        <v>23954977.500000007</v>
      </c>
    </row>
    <row r="121" spans="1:3" x14ac:dyDescent="0.2">
      <c r="A121" t="s">
        <v>42</v>
      </c>
      <c r="B121" t="s">
        <v>548</v>
      </c>
      <c r="C121" s="1">
        <v>1126402.5</v>
      </c>
    </row>
    <row r="122" spans="1:3" x14ac:dyDescent="0.2">
      <c r="A122" t="s">
        <v>42</v>
      </c>
      <c r="B122" t="s">
        <v>179</v>
      </c>
      <c r="C122" s="1">
        <v>17596978.300000001</v>
      </c>
    </row>
    <row r="123" spans="1:3" x14ac:dyDescent="0.2">
      <c r="A123" t="s">
        <v>42</v>
      </c>
      <c r="B123" t="s">
        <v>331</v>
      </c>
      <c r="C123" s="1">
        <v>3000000</v>
      </c>
    </row>
    <row r="124" spans="1:3" x14ac:dyDescent="0.2">
      <c r="A124" t="s">
        <v>42</v>
      </c>
      <c r="B124" t="s">
        <v>319</v>
      </c>
      <c r="C124" s="1">
        <v>3000000</v>
      </c>
    </row>
    <row r="125" spans="1:3" x14ac:dyDescent="0.2">
      <c r="A125" t="s">
        <v>42</v>
      </c>
      <c r="B125" t="s">
        <v>320</v>
      </c>
      <c r="C125" s="1">
        <v>3000000</v>
      </c>
    </row>
    <row r="126" spans="1:3" x14ac:dyDescent="0.2">
      <c r="A126" t="s">
        <v>42</v>
      </c>
      <c r="B126" t="s">
        <v>192</v>
      </c>
      <c r="C126" s="1">
        <v>1104062.5</v>
      </c>
    </row>
    <row r="127" spans="1:3" x14ac:dyDescent="0.2">
      <c r="A127" t="s">
        <v>42</v>
      </c>
      <c r="B127" t="s">
        <v>360</v>
      </c>
      <c r="C127" s="1">
        <v>1436387</v>
      </c>
    </row>
    <row r="128" spans="1:3" x14ac:dyDescent="0.2">
      <c r="A128" t="s">
        <v>42</v>
      </c>
      <c r="B128" t="s">
        <v>321</v>
      </c>
      <c r="C128" s="1">
        <v>5000000</v>
      </c>
    </row>
    <row r="129" spans="1:3" x14ac:dyDescent="0.2">
      <c r="A129" t="s">
        <v>42</v>
      </c>
      <c r="B129" t="s">
        <v>322</v>
      </c>
      <c r="C129" s="1">
        <v>3000000</v>
      </c>
    </row>
    <row r="130" spans="1:3" x14ac:dyDescent="0.2">
      <c r="A130" t="s">
        <v>42</v>
      </c>
      <c r="B130" t="s">
        <v>228</v>
      </c>
      <c r="C130" s="1">
        <v>2000000</v>
      </c>
    </row>
    <row r="131" spans="1:3" x14ac:dyDescent="0.2">
      <c r="A131" t="s">
        <v>42</v>
      </c>
      <c r="B131" t="s">
        <v>323</v>
      </c>
      <c r="C131" s="1">
        <v>3000000</v>
      </c>
    </row>
    <row r="132" spans="1:3" x14ac:dyDescent="0.2">
      <c r="A132" t="s">
        <v>42</v>
      </c>
      <c r="B132" t="s">
        <v>324</v>
      </c>
      <c r="C132" s="1">
        <v>3600000</v>
      </c>
    </row>
    <row r="133" spans="1:3" x14ac:dyDescent="0.2">
      <c r="A133" t="s">
        <v>42</v>
      </c>
      <c r="B133" t="s">
        <v>325</v>
      </c>
      <c r="C133" s="1">
        <v>3000000</v>
      </c>
    </row>
    <row r="134" spans="1:3" x14ac:dyDescent="0.2">
      <c r="A134" t="s">
        <v>42</v>
      </c>
      <c r="B134" t="s">
        <v>614</v>
      </c>
      <c r="C134" s="1">
        <v>436280</v>
      </c>
    </row>
    <row r="135" spans="1:3" x14ac:dyDescent="0.2">
      <c r="A135" t="s">
        <v>42</v>
      </c>
      <c r="B135" t="s">
        <v>329</v>
      </c>
      <c r="C135" s="1">
        <v>3000000</v>
      </c>
    </row>
    <row r="136" spans="1:3" x14ac:dyDescent="0.2">
      <c r="A136" t="s">
        <v>42</v>
      </c>
      <c r="B136" t="s">
        <v>542</v>
      </c>
      <c r="C136" s="1">
        <v>2515937</v>
      </c>
    </row>
    <row r="137" spans="1:3" x14ac:dyDescent="0.2">
      <c r="A137" t="s">
        <v>42</v>
      </c>
      <c r="B137" t="s">
        <v>326</v>
      </c>
      <c r="C137" s="1">
        <v>3000000</v>
      </c>
    </row>
    <row r="138" spans="1:3" x14ac:dyDescent="0.2">
      <c r="A138" t="s">
        <v>42</v>
      </c>
      <c r="B138" t="s">
        <v>327</v>
      </c>
      <c r="C138" s="1">
        <v>3000000</v>
      </c>
    </row>
    <row r="139" spans="1:3" x14ac:dyDescent="0.2">
      <c r="A139" t="s">
        <v>42</v>
      </c>
      <c r="B139" t="s">
        <v>575</v>
      </c>
      <c r="C139" s="1">
        <v>5685938</v>
      </c>
    </row>
    <row r="140" spans="1:3" x14ac:dyDescent="0.2">
      <c r="A140" t="s">
        <v>42</v>
      </c>
      <c r="B140" t="s">
        <v>328</v>
      </c>
      <c r="C140" s="1">
        <v>3000000</v>
      </c>
    </row>
    <row r="141" spans="1:3" x14ac:dyDescent="0.2">
      <c r="A141" t="s">
        <v>42</v>
      </c>
      <c r="B141" t="s">
        <v>330</v>
      </c>
      <c r="C141" s="1">
        <v>3000000</v>
      </c>
    </row>
    <row r="142" spans="1:3" x14ac:dyDescent="0.2">
      <c r="A142" t="s">
        <v>42</v>
      </c>
      <c r="B142" t="s">
        <v>541</v>
      </c>
      <c r="C142" s="1">
        <v>21131207</v>
      </c>
    </row>
    <row r="143" spans="1:3" x14ac:dyDescent="0.2">
      <c r="A143" t="s">
        <v>42</v>
      </c>
      <c r="B143" t="s">
        <v>617</v>
      </c>
      <c r="C143" s="1">
        <v>24000000</v>
      </c>
    </row>
    <row r="144" spans="1:3" x14ac:dyDescent="0.2">
      <c r="A144" t="s">
        <v>42</v>
      </c>
      <c r="B144" t="s">
        <v>581</v>
      </c>
      <c r="C144" s="1">
        <v>186000</v>
      </c>
    </row>
    <row r="145" spans="1:3" x14ac:dyDescent="0.2">
      <c r="A145" t="s">
        <v>42</v>
      </c>
      <c r="B145" t="s">
        <v>358</v>
      </c>
      <c r="C145" s="1">
        <v>187220</v>
      </c>
    </row>
    <row r="146" spans="1:3" x14ac:dyDescent="0.2">
      <c r="A146" t="s">
        <v>42</v>
      </c>
      <c r="B146" t="s">
        <v>669</v>
      </c>
      <c r="C146" s="1">
        <v>70328849.799999997</v>
      </c>
    </row>
    <row r="147" spans="1:3" x14ac:dyDescent="0.2">
      <c r="A147" t="s">
        <v>42</v>
      </c>
      <c r="B147" t="s">
        <v>671</v>
      </c>
      <c r="C147" s="1">
        <v>10195513.700000001</v>
      </c>
    </row>
    <row r="148" spans="1:3" x14ac:dyDescent="0.2">
      <c r="A148" t="s">
        <v>42</v>
      </c>
      <c r="B148" t="s">
        <v>672</v>
      </c>
      <c r="C148" s="1">
        <v>3170220.9</v>
      </c>
    </row>
    <row r="149" spans="1:3" x14ac:dyDescent="0.2">
      <c r="A149" t="s">
        <v>42</v>
      </c>
      <c r="B149" t="s">
        <v>673</v>
      </c>
      <c r="C149" s="1">
        <v>32982079.299999997</v>
      </c>
    </row>
    <row r="150" spans="1:3" x14ac:dyDescent="0.2">
      <c r="A150" t="s">
        <v>42</v>
      </c>
      <c r="B150" t="s">
        <v>674</v>
      </c>
      <c r="C150" s="1">
        <v>18788131.5</v>
      </c>
    </row>
    <row r="151" spans="1:3" x14ac:dyDescent="0.2">
      <c r="A151" t="s">
        <v>42</v>
      </c>
      <c r="B151" t="s">
        <v>676</v>
      </c>
      <c r="C151" s="1">
        <v>631774.30000000005</v>
      </c>
    </row>
    <row r="152" spans="1:3" x14ac:dyDescent="0.2">
      <c r="A152" t="s">
        <v>42</v>
      </c>
      <c r="B152" t="s">
        <v>677</v>
      </c>
      <c r="C152" s="1">
        <v>1678855.3</v>
      </c>
    </row>
    <row r="153" spans="1:3" x14ac:dyDescent="0.2">
      <c r="A153" t="s">
        <v>42</v>
      </c>
      <c r="B153" t="s">
        <v>679</v>
      </c>
      <c r="C153" s="1">
        <v>1930766.3</v>
      </c>
    </row>
    <row r="154" spans="1:3" x14ac:dyDescent="0.2">
      <c r="A154" t="s">
        <v>42</v>
      </c>
      <c r="B154" t="s">
        <v>680</v>
      </c>
      <c r="C154" s="1">
        <v>72271116.799999997</v>
      </c>
    </row>
    <row r="155" spans="1:3" x14ac:dyDescent="0.2">
      <c r="A155" t="s">
        <v>42</v>
      </c>
      <c r="B155" t="s">
        <v>681</v>
      </c>
      <c r="C155" s="1">
        <v>28204129.299999997</v>
      </c>
    </row>
    <row r="156" spans="1:3" x14ac:dyDescent="0.2">
      <c r="A156" t="s">
        <v>42</v>
      </c>
      <c r="B156" t="s">
        <v>682</v>
      </c>
      <c r="C156" s="1">
        <v>28379256.599999998</v>
      </c>
    </row>
    <row r="157" spans="1:3" x14ac:dyDescent="0.2">
      <c r="A157" t="s">
        <v>42</v>
      </c>
      <c r="B157" t="s">
        <v>683</v>
      </c>
      <c r="C157" s="1">
        <v>12618671.600000001</v>
      </c>
    </row>
    <row r="158" spans="1:3" x14ac:dyDescent="0.2">
      <c r="A158" t="s">
        <v>42</v>
      </c>
      <c r="B158" t="s">
        <v>684</v>
      </c>
      <c r="C158" s="1">
        <v>4651362.2</v>
      </c>
    </row>
    <row r="159" spans="1:3" x14ac:dyDescent="0.2">
      <c r="A159" t="s">
        <v>42</v>
      </c>
      <c r="B159" t="s">
        <v>685</v>
      </c>
      <c r="C159" s="1">
        <v>13821992.50000038</v>
      </c>
    </row>
    <row r="160" spans="1:3" x14ac:dyDescent="0.2">
      <c r="A160" t="s">
        <v>42</v>
      </c>
      <c r="B160" t="s">
        <v>686</v>
      </c>
      <c r="C160" s="1">
        <v>14247797.5</v>
      </c>
    </row>
    <row r="161" spans="1:3" x14ac:dyDescent="0.2">
      <c r="A161" t="s">
        <v>42</v>
      </c>
      <c r="B161" t="s">
        <v>687</v>
      </c>
      <c r="C161" s="1">
        <v>6301379</v>
      </c>
    </row>
    <row r="162" spans="1:3" x14ac:dyDescent="0.2">
      <c r="A162" t="s">
        <v>42</v>
      </c>
      <c r="B162" t="s">
        <v>688</v>
      </c>
      <c r="C162" s="1">
        <v>10449547.800000001</v>
      </c>
    </row>
    <row r="163" spans="1:3" x14ac:dyDescent="0.2">
      <c r="A163" t="s">
        <v>42</v>
      </c>
      <c r="B163" t="s">
        <v>689</v>
      </c>
      <c r="C163" s="1">
        <v>3507375</v>
      </c>
    </row>
    <row r="164" spans="1:3" x14ac:dyDescent="0.2">
      <c r="A164" t="s">
        <v>42</v>
      </c>
      <c r="B164" t="s">
        <v>690</v>
      </c>
      <c r="C164" s="1">
        <v>1829227.2000000002</v>
      </c>
    </row>
    <row r="165" spans="1:3" x14ac:dyDescent="0.2">
      <c r="A165" t="s">
        <v>42</v>
      </c>
      <c r="B165" t="s">
        <v>691</v>
      </c>
      <c r="C165" s="1">
        <v>3631668.6</v>
      </c>
    </row>
    <row r="166" spans="1:3" x14ac:dyDescent="0.2">
      <c r="A166" t="s">
        <v>42</v>
      </c>
      <c r="B166" t="s">
        <v>692</v>
      </c>
      <c r="C166" s="1">
        <v>1599733.5</v>
      </c>
    </row>
    <row r="167" spans="1:3" x14ac:dyDescent="0.2">
      <c r="A167" t="s">
        <v>42</v>
      </c>
      <c r="B167" t="s">
        <v>694</v>
      </c>
      <c r="C167" s="1">
        <v>5071280.8999999994</v>
      </c>
    </row>
    <row r="168" spans="1:3" x14ac:dyDescent="0.2">
      <c r="A168" t="s">
        <v>42</v>
      </c>
      <c r="B168" t="s">
        <v>701</v>
      </c>
      <c r="C168" s="1">
        <v>2412580.7000000002</v>
      </c>
    </row>
    <row r="169" spans="1:3" x14ac:dyDescent="0.2">
      <c r="A169" t="s">
        <v>42</v>
      </c>
      <c r="B169" t="s">
        <v>702</v>
      </c>
      <c r="C169" s="1">
        <v>1383829.7</v>
      </c>
    </row>
    <row r="170" spans="1:3" x14ac:dyDescent="0.2">
      <c r="A170" t="s">
        <v>42</v>
      </c>
      <c r="B170" t="s">
        <v>703</v>
      </c>
      <c r="C170" s="1">
        <v>1760892</v>
      </c>
    </row>
    <row r="171" spans="1:3" x14ac:dyDescent="0.2">
      <c r="A171" t="s">
        <v>42</v>
      </c>
      <c r="B171" t="s">
        <v>708</v>
      </c>
      <c r="C171" s="1">
        <v>274987</v>
      </c>
    </row>
    <row r="172" spans="1:3" x14ac:dyDescent="0.2">
      <c r="A172" t="s">
        <v>42</v>
      </c>
      <c r="B172" t="s">
        <v>717</v>
      </c>
      <c r="C172" s="1">
        <v>1895229</v>
      </c>
    </row>
    <row r="173" spans="1:3" x14ac:dyDescent="0.2">
      <c r="A173" t="s">
        <v>42</v>
      </c>
      <c r="B173" t="s">
        <v>719</v>
      </c>
      <c r="C173" s="1">
        <v>1990635.9</v>
      </c>
    </row>
    <row r="174" spans="1:3" x14ac:dyDescent="0.2">
      <c r="A174" t="s">
        <v>42</v>
      </c>
      <c r="B174" t="s">
        <v>726</v>
      </c>
      <c r="C174" s="1">
        <v>1441675.5</v>
      </c>
    </row>
    <row r="175" spans="1:3" x14ac:dyDescent="0.2">
      <c r="A175" t="s">
        <v>42</v>
      </c>
      <c r="B175" t="s">
        <v>749</v>
      </c>
      <c r="C175" s="1">
        <v>78736290</v>
      </c>
    </row>
    <row r="176" spans="1:3" x14ac:dyDescent="0.2">
      <c r="A176" t="s">
        <v>42</v>
      </c>
      <c r="B176" t="s">
        <v>763</v>
      </c>
      <c r="C176" s="1">
        <v>7066458.6000000015</v>
      </c>
    </row>
    <row r="177" spans="1:3" x14ac:dyDescent="0.2">
      <c r="A177" t="s">
        <v>42</v>
      </c>
      <c r="B177" t="s">
        <v>771</v>
      </c>
      <c r="C177" s="1">
        <v>32459527.300000001</v>
      </c>
    </row>
    <row r="178" spans="1:3" x14ac:dyDescent="0.2">
      <c r="A178" t="s">
        <v>42</v>
      </c>
      <c r="B178" t="s">
        <v>772</v>
      </c>
      <c r="C178" s="1">
        <v>46354305.799999997</v>
      </c>
    </row>
    <row r="179" spans="1:3" x14ac:dyDescent="0.2">
      <c r="A179" t="s">
        <v>42</v>
      </c>
      <c r="B179" t="s">
        <v>774</v>
      </c>
      <c r="C179" s="1">
        <v>11174968</v>
      </c>
    </row>
    <row r="180" spans="1:3" x14ac:dyDescent="0.2">
      <c r="A180" t="s">
        <v>42</v>
      </c>
      <c r="B180" t="s">
        <v>777</v>
      </c>
      <c r="C180" s="1">
        <v>1500000</v>
      </c>
    </row>
    <row r="181" spans="1:3" x14ac:dyDescent="0.2">
      <c r="A181" t="s">
        <v>42</v>
      </c>
      <c r="B181" t="s">
        <v>779</v>
      </c>
      <c r="C181" s="1">
        <v>900181</v>
      </c>
    </row>
    <row r="182" spans="1:3" x14ac:dyDescent="0.2">
      <c r="A182" t="s">
        <v>42</v>
      </c>
      <c r="B182" t="s">
        <v>780</v>
      </c>
      <c r="C182" s="1">
        <v>5834628.4999999991</v>
      </c>
    </row>
    <row r="183" spans="1:3" x14ac:dyDescent="0.2">
      <c r="A183" t="s">
        <v>42</v>
      </c>
      <c r="B183" t="s">
        <v>781</v>
      </c>
      <c r="C183" s="1">
        <v>3342029.3</v>
      </c>
    </row>
    <row r="184" spans="1:3" x14ac:dyDescent="0.2">
      <c r="A184" t="s">
        <v>42</v>
      </c>
      <c r="B184" t="s">
        <v>782</v>
      </c>
      <c r="C184" s="1">
        <v>6061853.0999999996</v>
      </c>
    </row>
    <row r="185" spans="1:3" x14ac:dyDescent="0.2">
      <c r="A185" t="s">
        <v>42</v>
      </c>
      <c r="B185" t="s">
        <v>783</v>
      </c>
      <c r="C185" s="1">
        <v>3913371.5</v>
      </c>
    </row>
    <row r="186" spans="1:3" x14ac:dyDescent="0.2">
      <c r="A186" t="s">
        <v>42</v>
      </c>
      <c r="B186" t="s">
        <v>785</v>
      </c>
      <c r="C186" s="1">
        <v>2341925.7000000002</v>
      </c>
    </row>
    <row r="187" spans="1:3" x14ac:dyDescent="0.2">
      <c r="A187" t="s">
        <v>42</v>
      </c>
      <c r="B187" t="s">
        <v>788</v>
      </c>
      <c r="C187" s="1">
        <v>2920941</v>
      </c>
    </row>
    <row r="188" spans="1:3" x14ac:dyDescent="0.2">
      <c r="A188" t="s">
        <v>42</v>
      </c>
      <c r="B188" t="s">
        <v>789</v>
      </c>
      <c r="C188" s="1">
        <v>460000</v>
      </c>
    </row>
    <row r="189" spans="1:3" x14ac:dyDescent="0.2">
      <c r="A189" t="s">
        <v>42</v>
      </c>
      <c r="B189" t="s">
        <v>791</v>
      </c>
      <c r="C189" s="1">
        <v>16976194.600000001</v>
      </c>
    </row>
    <row r="190" spans="1:3" x14ac:dyDescent="0.2">
      <c r="A190" t="s">
        <v>42</v>
      </c>
      <c r="B190" t="s">
        <v>792</v>
      </c>
      <c r="C190" s="1">
        <v>17258674.299999997</v>
      </c>
    </row>
    <row r="191" spans="1:3" x14ac:dyDescent="0.2">
      <c r="A191" t="s">
        <v>42</v>
      </c>
      <c r="B191" t="s">
        <v>793</v>
      </c>
      <c r="C191" s="1">
        <v>1407522.2</v>
      </c>
    </row>
    <row r="192" spans="1:3" x14ac:dyDescent="0.2">
      <c r="A192" t="s">
        <v>42</v>
      </c>
      <c r="B192" t="s">
        <v>794</v>
      </c>
      <c r="C192" s="1">
        <v>2445466.1</v>
      </c>
    </row>
    <row r="193" spans="1:3" x14ac:dyDescent="0.2">
      <c r="A193" t="s">
        <v>42</v>
      </c>
      <c r="B193" t="s">
        <v>801</v>
      </c>
      <c r="C193" s="1">
        <v>16862443.200000003</v>
      </c>
    </row>
    <row r="194" spans="1:3" x14ac:dyDescent="0.2">
      <c r="A194" t="s">
        <v>42</v>
      </c>
      <c r="B194" t="s">
        <v>804</v>
      </c>
      <c r="C194" s="1">
        <v>14087804.299999999</v>
      </c>
    </row>
    <row r="195" spans="1:3" x14ac:dyDescent="0.2">
      <c r="A195" t="s">
        <v>42</v>
      </c>
      <c r="B195" t="s">
        <v>805</v>
      </c>
      <c r="C195" s="1">
        <v>2015320.4</v>
      </c>
    </row>
    <row r="196" spans="1:3" x14ac:dyDescent="0.2">
      <c r="A196" t="s">
        <v>42</v>
      </c>
      <c r="B196" t="s">
        <v>806</v>
      </c>
      <c r="C196" s="1">
        <v>4500000</v>
      </c>
    </row>
    <row r="197" spans="1:3" x14ac:dyDescent="0.2">
      <c r="A197" t="s">
        <v>42</v>
      </c>
      <c r="B197" t="s">
        <v>807</v>
      </c>
      <c r="C197" s="1">
        <v>1028505</v>
      </c>
    </row>
    <row r="198" spans="1:3" x14ac:dyDescent="0.2">
      <c r="A198" t="s">
        <v>42</v>
      </c>
      <c r="B198" t="s">
        <v>808</v>
      </c>
      <c r="C198" s="1">
        <v>3415162</v>
      </c>
    </row>
    <row r="199" spans="1:3" x14ac:dyDescent="0.2">
      <c r="A199" t="s">
        <v>42</v>
      </c>
      <c r="B199" t="s">
        <v>809</v>
      </c>
      <c r="C199" s="1">
        <v>147577.60000000001</v>
      </c>
    </row>
    <row r="200" spans="1:3" x14ac:dyDescent="0.2">
      <c r="A200" t="s">
        <v>42</v>
      </c>
      <c r="B200" t="s">
        <v>810</v>
      </c>
      <c r="C200" s="1">
        <v>1851759.6</v>
      </c>
    </row>
    <row r="201" spans="1:3" x14ac:dyDescent="0.2">
      <c r="A201" t="s">
        <v>42</v>
      </c>
      <c r="B201" t="s">
        <v>811</v>
      </c>
      <c r="C201" s="1">
        <v>194069.3</v>
      </c>
    </row>
    <row r="202" spans="1:3" x14ac:dyDescent="0.2">
      <c r="A202" t="s">
        <v>42</v>
      </c>
      <c r="B202" t="s">
        <v>812</v>
      </c>
      <c r="C202" s="1">
        <v>200000</v>
      </c>
    </row>
    <row r="203" spans="1:3" x14ac:dyDescent="0.2">
      <c r="A203" t="s">
        <v>42</v>
      </c>
      <c r="B203" t="s">
        <v>821</v>
      </c>
      <c r="C203" s="1">
        <v>5043818.9000000004</v>
      </c>
    </row>
    <row r="204" spans="1:3" x14ac:dyDescent="0.2">
      <c r="A204" t="s">
        <v>42</v>
      </c>
      <c r="B204" t="s">
        <v>822</v>
      </c>
      <c r="C204" s="1">
        <v>1966399.4</v>
      </c>
    </row>
    <row r="205" spans="1:3" x14ac:dyDescent="0.2">
      <c r="A205" t="s">
        <v>42</v>
      </c>
      <c r="B205" t="s">
        <v>823</v>
      </c>
      <c r="C205" s="1">
        <v>3793337.6</v>
      </c>
    </row>
    <row r="206" spans="1:3" x14ac:dyDescent="0.2">
      <c r="A206" t="s">
        <v>42</v>
      </c>
      <c r="B206" t="s">
        <v>824</v>
      </c>
      <c r="C206" s="1">
        <v>746249.2</v>
      </c>
    </row>
    <row r="207" spans="1:3" x14ac:dyDescent="0.2">
      <c r="A207" t="s">
        <v>42</v>
      </c>
      <c r="B207" t="s">
        <v>826</v>
      </c>
      <c r="C207" s="1">
        <v>1500000</v>
      </c>
    </row>
    <row r="208" spans="1:3" x14ac:dyDescent="0.2">
      <c r="A208" t="s">
        <v>42</v>
      </c>
      <c r="B208" t="s">
        <v>833</v>
      </c>
      <c r="C208" s="1">
        <v>2849584.1</v>
      </c>
    </row>
    <row r="209" spans="1:3" x14ac:dyDescent="0.2">
      <c r="A209" t="s">
        <v>42</v>
      </c>
      <c r="B209" t="s">
        <v>835</v>
      </c>
      <c r="C209" s="1">
        <v>680382</v>
      </c>
    </row>
    <row r="210" spans="1:3" x14ac:dyDescent="0.2">
      <c r="A210" t="s">
        <v>42</v>
      </c>
      <c r="B210" t="s">
        <v>838</v>
      </c>
      <c r="C210" s="1">
        <v>2702789.9000000004</v>
      </c>
    </row>
    <row r="211" spans="1:3" x14ac:dyDescent="0.2">
      <c r="A211" t="s">
        <v>42</v>
      </c>
      <c r="B211" t="s">
        <v>839</v>
      </c>
      <c r="C211" s="1">
        <v>4809383.3999999994</v>
      </c>
    </row>
    <row r="212" spans="1:3" x14ac:dyDescent="0.2">
      <c r="A212" t="s">
        <v>42</v>
      </c>
      <c r="B212" t="s">
        <v>840</v>
      </c>
      <c r="C212" s="1">
        <v>2200000</v>
      </c>
    </row>
    <row r="213" spans="1:3" x14ac:dyDescent="0.2">
      <c r="A213" t="s">
        <v>42</v>
      </c>
      <c r="B213" t="s">
        <v>841</v>
      </c>
      <c r="C213" s="1">
        <v>500000</v>
      </c>
    </row>
    <row r="214" spans="1:3" x14ac:dyDescent="0.2">
      <c r="A214" t="s">
        <v>42</v>
      </c>
      <c r="B214" t="s">
        <v>846</v>
      </c>
      <c r="C214" s="1">
        <v>240000</v>
      </c>
    </row>
    <row r="215" spans="1:3" x14ac:dyDescent="0.2">
      <c r="A215" t="s">
        <v>42</v>
      </c>
      <c r="B215" t="s">
        <v>847</v>
      </c>
      <c r="C215" s="1">
        <v>1322135.8999999999</v>
      </c>
    </row>
    <row r="216" spans="1:3" x14ac:dyDescent="0.2">
      <c r="A216" t="s">
        <v>42</v>
      </c>
      <c r="B216" t="s">
        <v>848</v>
      </c>
      <c r="C216" s="1">
        <v>3098246.2</v>
      </c>
    </row>
    <row r="217" spans="1:3" x14ac:dyDescent="0.2">
      <c r="A217" t="s">
        <v>42</v>
      </c>
      <c r="B217" t="s">
        <v>849</v>
      </c>
      <c r="C217" s="1">
        <v>9495536.0999999996</v>
      </c>
    </row>
    <row r="218" spans="1:3" x14ac:dyDescent="0.2">
      <c r="A218" t="s">
        <v>42</v>
      </c>
      <c r="B218" t="s">
        <v>855</v>
      </c>
      <c r="C218" s="1">
        <v>2602081.1</v>
      </c>
    </row>
    <row r="219" spans="1:3" x14ac:dyDescent="0.2">
      <c r="A219" t="s">
        <v>42</v>
      </c>
      <c r="B219" t="s">
        <v>864</v>
      </c>
      <c r="C219" s="1">
        <v>3407891.6999999993</v>
      </c>
    </row>
    <row r="220" spans="1:3" x14ac:dyDescent="0.2">
      <c r="A220" t="s">
        <v>42</v>
      </c>
      <c r="B220" t="s">
        <v>868</v>
      </c>
      <c r="C220" s="1">
        <v>1534883.4</v>
      </c>
    </row>
    <row r="221" spans="1:3" x14ac:dyDescent="0.2">
      <c r="A221" t="s">
        <v>42</v>
      </c>
      <c r="B221" t="s">
        <v>878</v>
      </c>
      <c r="C221" s="1">
        <v>2538405.9</v>
      </c>
    </row>
    <row r="222" spans="1:3" x14ac:dyDescent="0.2">
      <c r="A222" t="s">
        <v>42</v>
      </c>
      <c r="B222" t="s">
        <v>879</v>
      </c>
      <c r="C222" s="1">
        <v>809894.1</v>
      </c>
    </row>
    <row r="223" spans="1:3" x14ac:dyDescent="0.2">
      <c r="A223" t="s">
        <v>42</v>
      </c>
      <c r="B223" t="s">
        <v>881</v>
      </c>
      <c r="C223" s="1">
        <v>6117642.7000000002</v>
      </c>
    </row>
    <row r="224" spans="1:3" x14ac:dyDescent="0.2">
      <c r="A224" t="s">
        <v>42</v>
      </c>
      <c r="B224" t="s">
        <v>884</v>
      </c>
      <c r="C224" s="1">
        <v>3070811.3</v>
      </c>
    </row>
    <row r="225" spans="1:3" x14ac:dyDescent="0.2">
      <c r="A225" t="s">
        <v>42</v>
      </c>
      <c r="B225" t="s">
        <v>895</v>
      </c>
      <c r="C225" s="1">
        <v>2009299.6</v>
      </c>
    </row>
    <row r="226" spans="1:3" x14ac:dyDescent="0.2">
      <c r="A226" t="s">
        <v>42</v>
      </c>
      <c r="B226" t="s">
        <v>896</v>
      </c>
      <c r="C226" s="1">
        <v>427311.3</v>
      </c>
    </row>
    <row r="227" spans="1:3" x14ac:dyDescent="0.2">
      <c r="A227" t="s">
        <v>42</v>
      </c>
      <c r="B227" t="s">
        <v>897</v>
      </c>
      <c r="C227" s="1">
        <v>999884.2</v>
      </c>
    </row>
    <row r="228" spans="1:3" x14ac:dyDescent="0.2">
      <c r="A228" t="s">
        <v>42</v>
      </c>
      <c r="B228" t="s">
        <v>907</v>
      </c>
      <c r="C228" s="1">
        <v>500000</v>
      </c>
    </row>
    <row r="229" spans="1:3" x14ac:dyDescent="0.2">
      <c r="A229" t="s">
        <v>42</v>
      </c>
      <c r="B229" t="s">
        <v>929</v>
      </c>
      <c r="C229" s="1">
        <v>3600000</v>
      </c>
    </row>
    <row r="230" spans="1:3" x14ac:dyDescent="0.2">
      <c r="A230" t="s">
        <v>42</v>
      </c>
      <c r="B230" t="s">
        <v>957</v>
      </c>
      <c r="C230" s="1">
        <v>7271811.2999999998</v>
      </c>
    </row>
    <row r="231" spans="1:3" x14ac:dyDescent="0.2">
      <c r="A231" t="s">
        <v>42</v>
      </c>
      <c r="B231" t="s">
        <v>962</v>
      </c>
      <c r="C231" s="1">
        <v>2517709.5</v>
      </c>
    </row>
    <row r="232" spans="1:3" x14ac:dyDescent="0.2">
      <c r="A232" t="s">
        <v>42</v>
      </c>
      <c r="B232" t="s">
        <v>968</v>
      </c>
      <c r="C232" s="1">
        <v>8666931.1999999993</v>
      </c>
    </row>
    <row r="233" spans="1:3" x14ac:dyDescent="0.2">
      <c r="A233" t="s">
        <v>42</v>
      </c>
      <c r="B233" t="s">
        <v>970</v>
      </c>
      <c r="C233" s="1">
        <v>752500</v>
      </c>
    </row>
    <row r="234" spans="1:3" x14ac:dyDescent="0.2">
      <c r="A234" t="s">
        <v>42</v>
      </c>
      <c r="B234" t="s">
        <v>971</v>
      </c>
      <c r="C234" s="1">
        <v>191604.40000000002</v>
      </c>
    </row>
    <row r="235" spans="1:3" x14ac:dyDescent="0.2">
      <c r="A235" t="s">
        <v>42</v>
      </c>
      <c r="B235" t="s">
        <v>977</v>
      </c>
      <c r="C235" s="1">
        <v>5949927.8000000017</v>
      </c>
    </row>
    <row r="236" spans="1:3" x14ac:dyDescent="0.2">
      <c r="A236" t="s">
        <v>42</v>
      </c>
      <c r="B236" t="s">
        <v>978</v>
      </c>
      <c r="C236" s="1">
        <v>6497808.5999999996</v>
      </c>
    </row>
    <row r="237" spans="1:3" x14ac:dyDescent="0.2">
      <c r="A237" t="s">
        <v>42</v>
      </c>
      <c r="B237" t="s">
        <v>984</v>
      </c>
      <c r="C237" s="1">
        <v>826710</v>
      </c>
    </row>
    <row r="238" spans="1:3" x14ac:dyDescent="0.2">
      <c r="A238" t="s">
        <v>42</v>
      </c>
      <c r="B238" t="s">
        <v>985</v>
      </c>
      <c r="C238" s="1">
        <v>2002404.2</v>
      </c>
    </row>
    <row r="239" spans="1:3" x14ac:dyDescent="0.2">
      <c r="A239" t="s">
        <v>42</v>
      </c>
      <c r="B239" t="s">
        <v>997</v>
      </c>
      <c r="C239" s="1">
        <v>1015072</v>
      </c>
    </row>
    <row r="240" spans="1:3" x14ac:dyDescent="0.2">
      <c r="A240" t="s">
        <v>42</v>
      </c>
      <c r="B240" t="s">
        <v>998</v>
      </c>
      <c r="C240" s="1">
        <v>1221430</v>
      </c>
    </row>
    <row r="241" spans="1:3" x14ac:dyDescent="0.2">
      <c r="A241" t="s">
        <v>42</v>
      </c>
      <c r="B241" t="s">
        <v>999</v>
      </c>
      <c r="C241" s="1">
        <v>4160047.1</v>
      </c>
    </row>
    <row r="242" spans="1:3" x14ac:dyDescent="0.2">
      <c r="A242" t="s">
        <v>42</v>
      </c>
      <c r="B242" t="s">
        <v>1000</v>
      </c>
      <c r="C242" s="1">
        <v>2321745.9</v>
      </c>
    </row>
    <row r="243" spans="1:3" x14ac:dyDescent="0.2">
      <c r="A243" t="s">
        <v>42</v>
      </c>
      <c r="B243" t="s">
        <v>1001</v>
      </c>
      <c r="C243" s="1">
        <v>1425523.1</v>
      </c>
    </row>
    <row r="244" spans="1:3" x14ac:dyDescent="0.2">
      <c r="A244" t="s">
        <v>42</v>
      </c>
      <c r="B244" t="s">
        <v>1002</v>
      </c>
      <c r="C244" s="1">
        <v>3549407</v>
      </c>
    </row>
    <row r="245" spans="1:3" x14ac:dyDescent="0.2">
      <c r="A245" t="s">
        <v>42</v>
      </c>
      <c r="B245" t="s">
        <v>1003</v>
      </c>
      <c r="C245" s="1">
        <v>2263079.6</v>
      </c>
    </row>
    <row r="246" spans="1:3" x14ac:dyDescent="0.2">
      <c r="A246" t="s">
        <v>42</v>
      </c>
      <c r="B246" t="s">
        <v>1004</v>
      </c>
      <c r="C246" s="1">
        <v>1374763.5</v>
      </c>
    </row>
    <row r="247" spans="1:3" x14ac:dyDescent="0.2">
      <c r="A247" t="s">
        <v>42</v>
      </c>
      <c r="B247" t="s">
        <v>1009</v>
      </c>
      <c r="C247" s="1">
        <v>2784949.5</v>
      </c>
    </row>
    <row r="248" spans="1:3" x14ac:dyDescent="0.2">
      <c r="A248" t="s">
        <v>42</v>
      </c>
      <c r="B248" t="s">
        <v>1010</v>
      </c>
      <c r="C248" s="1">
        <v>1803653</v>
      </c>
    </row>
    <row r="249" spans="1:3" x14ac:dyDescent="0.2">
      <c r="A249" t="s">
        <v>42</v>
      </c>
      <c r="B249" t="s">
        <v>1021</v>
      </c>
      <c r="C249" s="1">
        <v>4533336.8999999994</v>
      </c>
    </row>
    <row r="250" spans="1:3" x14ac:dyDescent="0.2">
      <c r="A250" t="s">
        <v>42</v>
      </c>
      <c r="B250" t="s">
        <v>1022</v>
      </c>
      <c r="C250" s="1">
        <v>3969265.0999999996</v>
      </c>
    </row>
    <row r="251" spans="1:3" x14ac:dyDescent="0.2">
      <c r="A251" t="s">
        <v>42</v>
      </c>
      <c r="B251" t="s">
        <v>1024</v>
      </c>
      <c r="C251" s="1">
        <v>14479326</v>
      </c>
    </row>
    <row r="252" spans="1:3" x14ac:dyDescent="0.2">
      <c r="A252" t="s">
        <v>42</v>
      </c>
      <c r="B252" t="s">
        <v>1025</v>
      </c>
      <c r="C252" s="1">
        <v>480000</v>
      </c>
    </row>
    <row r="253" spans="1:3" x14ac:dyDescent="0.2">
      <c r="A253" t="s">
        <v>42</v>
      </c>
      <c r="B253" t="s">
        <v>1026</v>
      </c>
      <c r="C253" s="1">
        <v>2104281.5</v>
      </c>
    </row>
    <row r="254" spans="1:3" x14ac:dyDescent="0.2">
      <c r="A254" t="s">
        <v>42</v>
      </c>
      <c r="B254" t="s">
        <v>1028</v>
      </c>
      <c r="C254" s="1">
        <v>24127462.800000004</v>
      </c>
    </row>
    <row r="255" spans="1:3" x14ac:dyDescent="0.2">
      <c r="A255" t="s">
        <v>42</v>
      </c>
      <c r="B255" t="s">
        <v>1033</v>
      </c>
      <c r="C255" s="1">
        <v>1629584.5</v>
      </c>
    </row>
    <row r="256" spans="1:3" x14ac:dyDescent="0.2">
      <c r="A256" t="s">
        <v>42</v>
      </c>
      <c r="B256" t="s">
        <v>1034</v>
      </c>
      <c r="C256" s="1">
        <v>6550000</v>
      </c>
    </row>
    <row r="257" spans="1:3" x14ac:dyDescent="0.2">
      <c r="A257" t="s">
        <v>42</v>
      </c>
      <c r="B257" t="s">
        <v>1036</v>
      </c>
      <c r="C257" s="1">
        <v>1124413.2999999989</v>
      </c>
    </row>
    <row r="258" spans="1:3" x14ac:dyDescent="0.2">
      <c r="A258" t="s">
        <v>42</v>
      </c>
      <c r="B258" t="s">
        <v>1038</v>
      </c>
      <c r="C258" s="1">
        <v>2972770.7</v>
      </c>
    </row>
    <row r="259" spans="1:3" x14ac:dyDescent="0.2">
      <c r="A259" t="s">
        <v>42</v>
      </c>
      <c r="B259" t="s">
        <v>1044</v>
      </c>
      <c r="C259" s="1">
        <v>399441</v>
      </c>
    </row>
    <row r="260" spans="1:3" x14ac:dyDescent="0.2">
      <c r="A260" t="s">
        <v>42</v>
      </c>
      <c r="B260" t="s">
        <v>1047</v>
      </c>
      <c r="C260" s="1">
        <v>20258665</v>
      </c>
    </row>
    <row r="261" spans="1:3" x14ac:dyDescent="0.2">
      <c r="A261" t="s">
        <v>42</v>
      </c>
      <c r="B261" t="s">
        <v>1056</v>
      </c>
      <c r="C261" s="1">
        <v>1438390.3</v>
      </c>
    </row>
    <row r="262" spans="1:3" x14ac:dyDescent="0.2">
      <c r="A262" t="s">
        <v>42</v>
      </c>
      <c r="B262" t="s">
        <v>1057</v>
      </c>
      <c r="C262" s="1">
        <v>2627308.1</v>
      </c>
    </row>
    <row r="263" spans="1:3" x14ac:dyDescent="0.2">
      <c r="A263" t="s">
        <v>42</v>
      </c>
      <c r="B263" t="s">
        <v>1058</v>
      </c>
      <c r="C263" s="1">
        <v>6509220.0999999996</v>
      </c>
    </row>
    <row r="264" spans="1:3" x14ac:dyDescent="0.2">
      <c r="A264" t="s">
        <v>42</v>
      </c>
      <c r="B264" t="s">
        <v>1062</v>
      </c>
      <c r="C264" s="1">
        <v>1347693</v>
      </c>
    </row>
    <row r="265" spans="1:3" x14ac:dyDescent="0.2">
      <c r="A265" t="s">
        <v>42</v>
      </c>
      <c r="B265" t="s">
        <v>1063</v>
      </c>
      <c r="C265" s="1">
        <v>515000</v>
      </c>
    </row>
    <row r="266" spans="1:3" x14ac:dyDescent="0.2">
      <c r="A266" t="s">
        <v>42</v>
      </c>
      <c r="B266" t="s">
        <v>1073</v>
      </c>
      <c r="C266" s="1">
        <v>289926</v>
      </c>
    </row>
    <row r="267" spans="1:3" x14ac:dyDescent="0.2">
      <c r="A267" t="s">
        <v>42</v>
      </c>
      <c r="B267" t="s">
        <v>1084</v>
      </c>
      <c r="C267" s="1">
        <v>2762989.1</v>
      </c>
    </row>
    <row r="268" spans="1:3" x14ac:dyDescent="0.2">
      <c r="A268" t="s">
        <v>42</v>
      </c>
      <c r="B268" t="s">
        <v>1086</v>
      </c>
      <c r="C268" s="1">
        <v>2781686.3</v>
      </c>
    </row>
    <row r="269" spans="1:3" x14ac:dyDescent="0.2">
      <c r="A269" t="s">
        <v>42</v>
      </c>
      <c r="B269" t="s">
        <v>1087</v>
      </c>
      <c r="C269" s="1">
        <v>123703.70000000001</v>
      </c>
    </row>
    <row r="270" spans="1:3" x14ac:dyDescent="0.2">
      <c r="A270" t="s">
        <v>42</v>
      </c>
      <c r="B270" t="s">
        <v>1090</v>
      </c>
      <c r="C270" s="1">
        <v>3117265.2</v>
      </c>
    </row>
    <row r="271" spans="1:3" x14ac:dyDescent="0.2">
      <c r="A271" t="s">
        <v>42</v>
      </c>
      <c r="B271" t="s">
        <v>1091</v>
      </c>
      <c r="C271" s="1">
        <v>2504860.7000000002</v>
      </c>
    </row>
    <row r="272" spans="1:3" x14ac:dyDescent="0.2">
      <c r="A272" t="s">
        <v>42</v>
      </c>
      <c r="B272" t="s">
        <v>1174</v>
      </c>
      <c r="C272" s="1">
        <v>750577</v>
      </c>
    </row>
    <row r="273" spans="1:3" x14ac:dyDescent="0.2">
      <c r="A273" t="s">
        <v>42</v>
      </c>
      <c r="B273" t="s">
        <v>1182</v>
      </c>
      <c r="C273" s="1">
        <v>183537.2</v>
      </c>
    </row>
    <row r="274" spans="1:3" x14ac:dyDescent="0.2">
      <c r="A274" t="s">
        <v>42</v>
      </c>
      <c r="B274" t="s">
        <v>1352</v>
      </c>
      <c r="C274" s="1">
        <v>944008.6</v>
      </c>
    </row>
    <row r="275" spans="1:3" x14ac:dyDescent="0.2">
      <c r="A275" t="s">
        <v>42</v>
      </c>
      <c r="B275" t="s">
        <v>1378</v>
      </c>
      <c r="C275" s="1">
        <v>4473100.9000000004</v>
      </c>
    </row>
    <row r="276" spans="1:3" x14ac:dyDescent="0.2">
      <c r="A276" t="s">
        <v>42</v>
      </c>
      <c r="B276" t="s">
        <v>1394</v>
      </c>
      <c r="C276" s="1">
        <v>147167.5</v>
      </c>
    </row>
    <row r="277" spans="1:3" x14ac:dyDescent="0.2">
      <c r="A277" t="s">
        <v>42</v>
      </c>
      <c r="B277" t="s">
        <v>1419</v>
      </c>
      <c r="C277" s="1">
        <v>299747.40000000002</v>
      </c>
    </row>
    <row r="278" spans="1:3" x14ac:dyDescent="0.2">
      <c r="A278" t="s">
        <v>42</v>
      </c>
      <c r="B278" t="s">
        <v>1423</v>
      </c>
      <c r="C278" s="1">
        <v>416788.3</v>
      </c>
    </row>
    <row r="279" spans="1:3" x14ac:dyDescent="0.2">
      <c r="A279" t="s">
        <v>42</v>
      </c>
      <c r="B279" t="s">
        <v>1472</v>
      </c>
      <c r="C279" s="1">
        <v>404358</v>
      </c>
    </row>
    <row r="280" spans="1:3" x14ac:dyDescent="0.2">
      <c r="A280" t="s">
        <v>42</v>
      </c>
      <c r="B280" t="s">
        <v>1473</v>
      </c>
      <c r="C280" s="1">
        <v>3893826.3</v>
      </c>
    </row>
    <row r="281" spans="1:3" x14ac:dyDescent="0.2">
      <c r="A281" t="s">
        <v>42</v>
      </c>
      <c r="B281" t="s">
        <v>1477</v>
      </c>
      <c r="C281" s="1">
        <v>225000</v>
      </c>
    </row>
    <row r="282" spans="1:3" x14ac:dyDescent="0.2">
      <c r="A282" t="s">
        <v>42</v>
      </c>
      <c r="B282" t="s">
        <v>1482</v>
      </c>
      <c r="C282" s="1">
        <v>269997</v>
      </c>
    </row>
    <row r="283" spans="1:3" x14ac:dyDescent="0.2">
      <c r="A283" t="s">
        <v>42</v>
      </c>
      <c r="B283" t="s">
        <v>1483</v>
      </c>
      <c r="C283" s="1">
        <v>44358</v>
      </c>
    </row>
    <row r="284" spans="1:3" x14ac:dyDescent="0.2">
      <c r="A284" t="s">
        <v>42</v>
      </c>
      <c r="B284" t="s">
        <v>1495</v>
      </c>
      <c r="C284" s="1">
        <v>336160.3</v>
      </c>
    </row>
    <row r="285" spans="1:3" x14ac:dyDescent="0.2">
      <c r="A285" t="s">
        <v>42</v>
      </c>
      <c r="B285" t="s">
        <v>1514</v>
      </c>
      <c r="C285" s="1">
        <v>346234</v>
      </c>
    </row>
    <row r="286" spans="1:3" x14ac:dyDescent="0.2">
      <c r="A286" t="s">
        <v>42</v>
      </c>
      <c r="B286" t="s">
        <v>1524</v>
      </c>
      <c r="C286" s="1">
        <v>1337109</v>
      </c>
    </row>
    <row r="287" spans="1:3" x14ac:dyDescent="0.2">
      <c r="A287" t="s">
        <v>42</v>
      </c>
      <c r="B287" t="s">
        <v>1581</v>
      </c>
      <c r="C287" s="1">
        <v>1296725.6000000001</v>
      </c>
    </row>
    <row r="288" spans="1:3" x14ac:dyDescent="0.2">
      <c r="A288" t="s">
        <v>42</v>
      </c>
      <c r="B288" t="s">
        <v>1586</v>
      </c>
      <c r="C288" s="1">
        <v>652419.6</v>
      </c>
    </row>
    <row r="289" spans="1:3" x14ac:dyDescent="0.2">
      <c r="A289" t="s">
        <v>42</v>
      </c>
      <c r="B289" t="s">
        <v>1593</v>
      </c>
      <c r="C289" s="1">
        <v>213419.5</v>
      </c>
    </row>
    <row r="290" spans="1:3" x14ac:dyDescent="0.2">
      <c r="A290" t="s">
        <v>42</v>
      </c>
      <c r="B290" t="s">
        <v>1603</v>
      </c>
      <c r="C290" s="1">
        <v>2000000</v>
      </c>
    </row>
    <row r="291" spans="1:3" x14ac:dyDescent="0.2">
      <c r="A291" t="s">
        <v>42</v>
      </c>
      <c r="B291" t="s">
        <v>1614</v>
      </c>
      <c r="C291" s="1">
        <v>105000</v>
      </c>
    </row>
    <row r="292" spans="1:3" x14ac:dyDescent="0.2">
      <c r="A292" t="s">
        <v>42</v>
      </c>
      <c r="B292" t="s">
        <v>1630</v>
      </c>
      <c r="C292" s="1">
        <v>370260</v>
      </c>
    </row>
    <row r="293" spans="1:3" x14ac:dyDescent="0.2">
      <c r="A293" t="s">
        <v>42</v>
      </c>
      <c r="B293" t="s">
        <v>1662</v>
      </c>
      <c r="C293" s="1">
        <v>894124</v>
      </c>
    </row>
    <row r="294" spans="1:3" x14ac:dyDescent="0.2">
      <c r="A294" t="s">
        <v>42</v>
      </c>
      <c r="B294" t="s">
        <v>1663</v>
      </c>
      <c r="C294" s="1">
        <v>750936.1</v>
      </c>
    </row>
    <row r="295" spans="1:3" x14ac:dyDescent="0.2">
      <c r="A295" t="s">
        <v>42</v>
      </c>
      <c r="B295" t="s">
        <v>1711</v>
      </c>
      <c r="C295" s="1">
        <v>448719.3</v>
      </c>
    </row>
    <row r="296" spans="1:3" x14ac:dyDescent="0.2">
      <c r="A296" t="s">
        <v>42</v>
      </c>
      <c r="B296" t="s">
        <v>1716</v>
      </c>
      <c r="C296" s="1">
        <v>175000</v>
      </c>
    </row>
    <row r="297" spans="1:3" x14ac:dyDescent="0.2">
      <c r="A297" t="s">
        <v>42</v>
      </c>
      <c r="B297" t="s">
        <v>1730</v>
      </c>
      <c r="C297" s="1">
        <v>983094</v>
      </c>
    </row>
    <row r="298" spans="1:3" x14ac:dyDescent="0.2">
      <c r="A298" t="s">
        <v>42</v>
      </c>
      <c r="B298" t="s">
        <v>1731</v>
      </c>
      <c r="C298" s="1">
        <v>634992.1</v>
      </c>
    </row>
    <row r="299" spans="1:3" x14ac:dyDescent="0.2">
      <c r="A299" t="s">
        <v>42</v>
      </c>
      <c r="B299" t="s">
        <v>1754</v>
      </c>
      <c r="C299" s="1">
        <v>270380.09999999998</v>
      </c>
    </row>
    <row r="300" spans="1:3" x14ac:dyDescent="0.2">
      <c r="A300" t="s">
        <v>42</v>
      </c>
      <c r="B300" t="s">
        <v>1813</v>
      </c>
      <c r="C300" s="1">
        <v>1914488.9</v>
      </c>
    </row>
    <row r="301" spans="1:3" x14ac:dyDescent="0.2">
      <c r="A301" t="s">
        <v>42</v>
      </c>
      <c r="B301" t="s">
        <v>1833</v>
      </c>
      <c r="C301" s="1">
        <v>11464796</v>
      </c>
    </row>
    <row r="302" spans="1:3" x14ac:dyDescent="0.2">
      <c r="A302" t="s">
        <v>42</v>
      </c>
      <c r="B302" t="s">
        <v>1838</v>
      </c>
      <c r="C302" s="1">
        <v>9909897.0999999996</v>
      </c>
    </row>
    <row r="303" spans="1:3" x14ac:dyDescent="0.2">
      <c r="A303" t="s">
        <v>42</v>
      </c>
      <c r="B303" t="s">
        <v>2078</v>
      </c>
      <c r="C303" s="1">
        <v>774641.8</v>
      </c>
    </row>
    <row r="304" spans="1:3" x14ac:dyDescent="0.2">
      <c r="A304" t="s">
        <v>42</v>
      </c>
      <c r="B304" t="s">
        <v>2079</v>
      </c>
      <c r="C304" s="1">
        <v>525580.9</v>
      </c>
    </row>
    <row r="305" spans="1:3" x14ac:dyDescent="0.2">
      <c r="A305" t="s">
        <v>42</v>
      </c>
      <c r="B305" t="s">
        <v>2099</v>
      </c>
      <c r="C305" s="1">
        <v>557456.30000000005</v>
      </c>
    </row>
    <row r="306" spans="1:3" x14ac:dyDescent="0.2">
      <c r="A306" t="s">
        <v>42</v>
      </c>
      <c r="B306" t="s">
        <v>2119</v>
      </c>
      <c r="C306" s="1">
        <v>1350000</v>
      </c>
    </row>
    <row r="307" spans="1:3" x14ac:dyDescent="0.2">
      <c r="A307" t="s">
        <v>42</v>
      </c>
      <c r="B307" t="s">
        <v>2143</v>
      </c>
      <c r="C307" s="1">
        <v>800000</v>
      </c>
    </row>
    <row r="308" spans="1:3" x14ac:dyDescent="0.2">
      <c r="A308" t="s">
        <v>42</v>
      </c>
      <c r="B308" t="s">
        <v>2156</v>
      </c>
      <c r="C308" s="1">
        <v>61851</v>
      </c>
    </row>
    <row r="309" spans="1:3" x14ac:dyDescent="0.2">
      <c r="A309" t="s">
        <v>42</v>
      </c>
      <c r="B309" t="s">
        <v>2176</v>
      </c>
      <c r="C309" s="1">
        <v>1173537.3999999999</v>
      </c>
    </row>
    <row r="310" spans="1:3" x14ac:dyDescent="0.2">
      <c r="A310" t="s">
        <v>42</v>
      </c>
      <c r="B310" t="s">
        <v>2281</v>
      </c>
      <c r="C310" s="1">
        <v>185000.2</v>
      </c>
    </row>
    <row r="311" spans="1:3" x14ac:dyDescent="0.2">
      <c r="A311" t="s">
        <v>42</v>
      </c>
      <c r="B311" t="s">
        <v>2448</v>
      </c>
      <c r="C311" s="1">
        <v>500000</v>
      </c>
    </row>
    <row r="312" spans="1:3" x14ac:dyDescent="0.2">
      <c r="A312" t="s">
        <v>42</v>
      </c>
      <c r="B312" t="s">
        <v>2456</v>
      </c>
      <c r="C312" s="1">
        <v>150000</v>
      </c>
    </row>
    <row r="313" spans="1:3" x14ac:dyDescent="0.2">
      <c r="A313" t="s">
        <v>42</v>
      </c>
      <c r="B313" t="s">
        <v>2458</v>
      </c>
      <c r="C313" s="1">
        <v>989780</v>
      </c>
    </row>
    <row r="314" spans="1:3" x14ac:dyDescent="0.2">
      <c r="A314" t="s">
        <v>42</v>
      </c>
      <c r="B314" t="s">
        <v>2535</v>
      </c>
      <c r="C314" s="1">
        <v>249500</v>
      </c>
    </row>
    <row r="315" spans="1:3" x14ac:dyDescent="0.2">
      <c r="A315" t="s">
        <v>42</v>
      </c>
      <c r="B315" t="s">
        <v>2538</v>
      </c>
      <c r="C315" s="1">
        <v>260495</v>
      </c>
    </row>
    <row r="316" spans="1:3" x14ac:dyDescent="0.2">
      <c r="A316" t="s">
        <v>42</v>
      </c>
      <c r="B316" t="s">
        <v>2540</v>
      </c>
      <c r="C316" s="1">
        <v>338994</v>
      </c>
    </row>
    <row r="317" spans="1:3" x14ac:dyDescent="0.2">
      <c r="A317" t="s">
        <v>42</v>
      </c>
      <c r="B317" t="s">
        <v>2541</v>
      </c>
      <c r="C317" s="1">
        <v>214055</v>
      </c>
    </row>
    <row r="318" spans="1:3" x14ac:dyDescent="0.2">
      <c r="A318" t="s">
        <v>42</v>
      </c>
      <c r="B318" t="s">
        <v>2884</v>
      </c>
      <c r="C318" s="1">
        <v>450000</v>
      </c>
    </row>
    <row r="319" spans="1:3" x14ac:dyDescent="0.2">
      <c r="A319" t="s">
        <v>42</v>
      </c>
      <c r="B319" t="s">
        <v>2890</v>
      </c>
      <c r="C319" s="1">
        <v>394000</v>
      </c>
    </row>
    <row r="320" spans="1:3" x14ac:dyDescent="0.2">
      <c r="A320" t="s">
        <v>42</v>
      </c>
      <c r="B320" t="s">
        <v>2895</v>
      </c>
      <c r="C320" s="1">
        <v>936000</v>
      </c>
    </row>
    <row r="321" spans="1:3" x14ac:dyDescent="0.2">
      <c r="A321" t="s">
        <v>42</v>
      </c>
      <c r="B321" t="s">
        <v>2896</v>
      </c>
      <c r="C321" s="1">
        <v>913700</v>
      </c>
    </row>
    <row r="322" spans="1:3" x14ac:dyDescent="0.2">
      <c r="A322" t="s">
        <v>8</v>
      </c>
      <c r="B322" t="s">
        <v>507</v>
      </c>
      <c r="C322" s="1">
        <v>799999.9</v>
      </c>
    </row>
    <row r="323" spans="1:3" x14ac:dyDescent="0.2">
      <c r="A323" t="s">
        <v>8</v>
      </c>
      <c r="B323" t="s">
        <v>416</v>
      </c>
      <c r="C323" s="1">
        <v>5348150</v>
      </c>
    </row>
    <row r="324" spans="1:3" x14ac:dyDescent="0.2">
      <c r="A324" t="s">
        <v>8</v>
      </c>
      <c r="B324" t="s">
        <v>50</v>
      </c>
      <c r="C324" s="1">
        <v>67221340.5</v>
      </c>
    </row>
    <row r="325" spans="1:3" x14ac:dyDescent="0.2">
      <c r="A325" t="s">
        <v>8</v>
      </c>
      <c r="B325" t="s">
        <v>72</v>
      </c>
      <c r="C325" s="1">
        <v>3293758.9</v>
      </c>
    </row>
    <row r="326" spans="1:3" x14ac:dyDescent="0.2">
      <c r="A326" t="s">
        <v>8</v>
      </c>
      <c r="B326" t="s">
        <v>193</v>
      </c>
      <c r="C326" s="1">
        <v>36546620.5</v>
      </c>
    </row>
    <row r="327" spans="1:3" x14ac:dyDescent="0.2">
      <c r="A327" t="s">
        <v>8</v>
      </c>
      <c r="B327" t="s">
        <v>450</v>
      </c>
      <c r="C327" s="1">
        <v>75466360</v>
      </c>
    </row>
    <row r="328" spans="1:3" x14ac:dyDescent="0.2">
      <c r="A328" t="s">
        <v>8</v>
      </c>
      <c r="B328" t="s">
        <v>201</v>
      </c>
      <c r="C328" s="1">
        <v>25000000</v>
      </c>
    </row>
    <row r="329" spans="1:3" x14ac:dyDescent="0.2">
      <c r="A329" t="s">
        <v>8</v>
      </c>
      <c r="B329" t="s">
        <v>601</v>
      </c>
      <c r="C329" s="1">
        <v>4190000</v>
      </c>
    </row>
    <row r="330" spans="1:3" x14ac:dyDescent="0.2">
      <c r="A330" t="s">
        <v>8</v>
      </c>
      <c r="B330" t="s">
        <v>150</v>
      </c>
      <c r="C330" s="1">
        <v>5493144.6999999993</v>
      </c>
    </row>
    <row r="331" spans="1:3" x14ac:dyDescent="0.2">
      <c r="A331" t="s">
        <v>8</v>
      </c>
      <c r="B331" t="s">
        <v>293</v>
      </c>
      <c r="C331" s="1">
        <v>10000000</v>
      </c>
    </row>
    <row r="332" spans="1:3" x14ac:dyDescent="0.2">
      <c r="A332" t="s">
        <v>8</v>
      </c>
      <c r="B332" t="s">
        <v>508</v>
      </c>
      <c r="C332" s="1">
        <v>5000000</v>
      </c>
    </row>
    <row r="333" spans="1:3" x14ac:dyDescent="0.2">
      <c r="A333" t="s">
        <v>8</v>
      </c>
      <c r="B333" t="s">
        <v>39</v>
      </c>
      <c r="C333" s="1">
        <v>269225528.80000001</v>
      </c>
    </row>
    <row r="334" spans="1:3" x14ac:dyDescent="0.2">
      <c r="A334" t="s">
        <v>8</v>
      </c>
      <c r="B334" t="s">
        <v>292</v>
      </c>
      <c r="C334" s="1">
        <v>10000000</v>
      </c>
    </row>
    <row r="335" spans="1:3" x14ac:dyDescent="0.2">
      <c r="A335" t="s">
        <v>8</v>
      </c>
      <c r="B335" t="s">
        <v>189</v>
      </c>
      <c r="C335" s="1">
        <v>10000000</v>
      </c>
    </row>
    <row r="336" spans="1:3" x14ac:dyDescent="0.2">
      <c r="A336" t="s">
        <v>8</v>
      </c>
      <c r="B336" t="s">
        <v>341</v>
      </c>
      <c r="C336" s="1">
        <v>3767800</v>
      </c>
    </row>
    <row r="337" spans="1:3" x14ac:dyDescent="0.2">
      <c r="A337" t="s">
        <v>8</v>
      </c>
      <c r="B337" t="s">
        <v>128</v>
      </c>
      <c r="C337" s="1">
        <v>35995572.100000001</v>
      </c>
    </row>
    <row r="338" spans="1:3" x14ac:dyDescent="0.2">
      <c r="A338" t="s">
        <v>8</v>
      </c>
      <c r="B338" t="s">
        <v>266</v>
      </c>
      <c r="C338" s="1">
        <v>105173250</v>
      </c>
    </row>
    <row r="339" spans="1:3" x14ac:dyDescent="0.2">
      <c r="A339" t="s">
        <v>8</v>
      </c>
      <c r="B339" t="s">
        <v>235</v>
      </c>
      <c r="C339" s="1">
        <v>22981493.800000001</v>
      </c>
    </row>
    <row r="340" spans="1:3" x14ac:dyDescent="0.2">
      <c r="A340" t="s">
        <v>8</v>
      </c>
      <c r="B340" t="s">
        <v>83</v>
      </c>
      <c r="C340" s="1">
        <v>4105233</v>
      </c>
    </row>
    <row r="341" spans="1:3" x14ac:dyDescent="0.2">
      <c r="A341" t="s">
        <v>8</v>
      </c>
      <c r="B341" t="s">
        <v>287</v>
      </c>
      <c r="C341" s="1">
        <v>10000000</v>
      </c>
    </row>
    <row r="342" spans="1:3" x14ac:dyDescent="0.2">
      <c r="A342" t="s">
        <v>8</v>
      </c>
      <c r="B342" t="s">
        <v>286</v>
      </c>
      <c r="C342" s="1">
        <v>14900000</v>
      </c>
    </row>
    <row r="343" spans="1:3" x14ac:dyDescent="0.2">
      <c r="A343" t="s">
        <v>8</v>
      </c>
      <c r="B343" t="s">
        <v>11</v>
      </c>
      <c r="C343" s="1">
        <v>948250</v>
      </c>
    </row>
    <row r="344" spans="1:3" x14ac:dyDescent="0.2">
      <c r="A344" t="s">
        <v>8</v>
      </c>
      <c r="B344" t="s">
        <v>109</v>
      </c>
      <c r="C344" s="1">
        <v>60000000</v>
      </c>
    </row>
    <row r="345" spans="1:3" x14ac:dyDescent="0.2">
      <c r="A345" t="s">
        <v>8</v>
      </c>
      <c r="B345" t="s">
        <v>202</v>
      </c>
      <c r="C345" s="1">
        <v>44834892</v>
      </c>
    </row>
    <row r="346" spans="1:3" x14ac:dyDescent="0.2">
      <c r="A346" t="s">
        <v>8</v>
      </c>
      <c r="B346" t="s">
        <v>576</v>
      </c>
      <c r="C346" s="1">
        <v>100000000</v>
      </c>
    </row>
    <row r="347" spans="1:3" x14ac:dyDescent="0.2">
      <c r="A347" t="s">
        <v>8</v>
      </c>
      <c r="B347" t="s">
        <v>199</v>
      </c>
      <c r="C347" s="1">
        <v>35650000</v>
      </c>
    </row>
    <row r="348" spans="1:3" x14ac:dyDescent="0.2">
      <c r="A348" t="s">
        <v>8</v>
      </c>
      <c r="B348" t="s">
        <v>504</v>
      </c>
      <c r="C348" s="1">
        <v>1155</v>
      </c>
    </row>
    <row r="349" spans="1:3" x14ac:dyDescent="0.2">
      <c r="A349" t="s">
        <v>8</v>
      </c>
      <c r="B349" t="s">
        <v>471</v>
      </c>
      <c r="C349" s="1">
        <v>16000000</v>
      </c>
    </row>
    <row r="350" spans="1:3" x14ac:dyDescent="0.2">
      <c r="A350" t="s">
        <v>8</v>
      </c>
      <c r="B350" t="s">
        <v>484</v>
      </c>
      <c r="C350" s="1">
        <v>250000</v>
      </c>
    </row>
    <row r="351" spans="1:3" x14ac:dyDescent="0.2">
      <c r="A351" t="s">
        <v>8</v>
      </c>
      <c r="B351" t="s">
        <v>148</v>
      </c>
      <c r="C351" s="1">
        <v>134695280</v>
      </c>
    </row>
    <row r="352" spans="1:3" x14ac:dyDescent="0.2">
      <c r="A352" t="s">
        <v>8</v>
      </c>
      <c r="B352" t="s">
        <v>13</v>
      </c>
      <c r="C352" s="1">
        <v>900000</v>
      </c>
    </row>
    <row r="353" spans="1:3" x14ac:dyDescent="0.2">
      <c r="A353" t="s">
        <v>8</v>
      </c>
      <c r="B353" t="s">
        <v>255</v>
      </c>
      <c r="C353" s="1">
        <v>15500.3</v>
      </c>
    </row>
    <row r="354" spans="1:3" x14ac:dyDescent="0.2">
      <c r="A354" t="s">
        <v>8</v>
      </c>
      <c r="B354" t="s">
        <v>198</v>
      </c>
      <c r="C354" s="1">
        <v>50000000</v>
      </c>
    </row>
    <row r="355" spans="1:3" x14ac:dyDescent="0.2">
      <c r="A355" t="s">
        <v>8</v>
      </c>
      <c r="B355" t="s">
        <v>598</v>
      </c>
      <c r="C355" s="1">
        <v>45308.5</v>
      </c>
    </row>
    <row r="356" spans="1:3" x14ac:dyDescent="0.2">
      <c r="A356" t="s">
        <v>8</v>
      </c>
      <c r="B356" t="s">
        <v>208</v>
      </c>
      <c r="C356" s="1">
        <v>25000000</v>
      </c>
    </row>
    <row r="357" spans="1:3" x14ac:dyDescent="0.2">
      <c r="A357" t="s">
        <v>8</v>
      </c>
      <c r="B357" t="s">
        <v>186</v>
      </c>
      <c r="C357" s="1">
        <v>10000000</v>
      </c>
    </row>
    <row r="358" spans="1:3" x14ac:dyDescent="0.2">
      <c r="A358" t="s">
        <v>8</v>
      </c>
      <c r="B358" t="s">
        <v>7</v>
      </c>
      <c r="C358" s="1">
        <v>877774476.60000002</v>
      </c>
    </row>
    <row r="359" spans="1:3" x14ac:dyDescent="0.2">
      <c r="A359" t="s">
        <v>8</v>
      </c>
      <c r="B359" t="s">
        <v>87</v>
      </c>
      <c r="C359" s="1">
        <v>2741940</v>
      </c>
    </row>
    <row r="360" spans="1:3" x14ac:dyDescent="0.2">
      <c r="A360" t="s">
        <v>8</v>
      </c>
      <c r="B360" t="s">
        <v>258</v>
      </c>
      <c r="C360" s="1">
        <v>2292171</v>
      </c>
    </row>
    <row r="361" spans="1:3" x14ac:dyDescent="0.2">
      <c r="A361" t="s">
        <v>8</v>
      </c>
      <c r="B361" t="s">
        <v>143</v>
      </c>
      <c r="C361" s="1">
        <v>91167800.400000006</v>
      </c>
    </row>
    <row r="362" spans="1:3" x14ac:dyDescent="0.2">
      <c r="A362" t="s">
        <v>8</v>
      </c>
      <c r="B362" t="s">
        <v>289</v>
      </c>
      <c r="C362" s="1">
        <v>10000000</v>
      </c>
    </row>
    <row r="363" spans="1:3" x14ac:dyDescent="0.2">
      <c r="A363" t="s">
        <v>8</v>
      </c>
      <c r="B363" t="s">
        <v>395</v>
      </c>
      <c r="C363" s="1">
        <v>36858621.5</v>
      </c>
    </row>
    <row r="364" spans="1:3" x14ac:dyDescent="0.2">
      <c r="A364" t="s">
        <v>8</v>
      </c>
      <c r="B364" t="s">
        <v>631</v>
      </c>
      <c r="C364" s="1">
        <v>7731390</v>
      </c>
    </row>
    <row r="365" spans="1:3" x14ac:dyDescent="0.2">
      <c r="A365" t="s">
        <v>8</v>
      </c>
      <c r="B365" t="s">
        <v>288</v>
      </c>
      <c r="C365" s="1">
        <v>10000000</v>
      </c>
    </row>
    <row r="366" spans="1:3" x14ac:dyDescent="0.2">
      <c r="A366" t="s">
        <v>8</v>
      </c>
      <c r="B366" t="s">
        <v>172</v>
      </c>
      <c r="C366" s="1">
        <v>139422137.30000001</v>
      </c>
    </row>
    <row r="367" spans="1:3" x14ac:dyDescent="0.2">
      <c r="A367" t="s">
        <v>8</v>
      </c>
      <c r="B367" t="s">
        <v>568</v>
      </c>
      <c r="C367" s="1">
        <v>16557263</v>
      </c>
    </row>
    <row r="368" spans="1:3" x14ac:dyDescent="0.2">
      <c r="A368" t="s">
        <v>8</v>
      </c>
      <c r="B368" t="s">
        <v>167</v>
      </c>
      <c r="C368" s="1">
        <v>2750000</v>
      </c>
    </row>
    <row r="369" spans="1:3" x14ac:dyDescent="0.2">
      <c r="A369" t="s">
        <v>8</v>
      </c>
      <c r="B369" t="s">
        <v>203</v>
      </c>
      <c r="C369" s="1">
        <v>11453144.4</v>
      </c>
    </row>
    <row r="370" spans="1:3" x14ac:dyDescent="0.2">
      <c r="A370" t="s">
        <v>8</v>
      </c>
      <c r="B370" t="s">
        <v>339</v>
      </c>
      <c r="C370" s="1">
        <v>1500000</v>
      </c>
    </row>
    <row r="371" spans="1:3" x14ac:dyDescent="0.2">
      <c r="A371" t="s">
        <v>8</v>
      </c>
      <c r="B371" t="s">
        <v>306</v>
      </c>
      <c r="C371" s="1">
        <v>41650000</v>
      </c>
    </row>
    <row r="372" spans="1:3" x14ac:dyDescent="0.2">
      <c r="A372" t="s">
        <v>8</v>
      </c>
      <c r="B372" t="s">
        <v>295</v>
      </c>
      <c r="C372" s="1">
        <v>10000000</v>
      </c>
    </row>
    <row r="373" spans="1:3" x14ac:dyDescent="0.2">
      <c r="A373" t="s">
        <v>8</v>
      </c>
      <c r="B373" t="s">
        <v>290</v>
      </c>
      <c r="C373" s="1">
        <v>10000000</v>
      </c>
    </row>
    <row r="374" spans="1:3" x14ac:dyDescent="0.2">
      <c r="A374" t="s">
        <v>8</v>
      </c>
      <c r="B374" t="s">
        <v>70</v>
      </c>
      <c r="C374" s="1">
        <v>38957272</v>
      </c>
    </row>
    <row r="375" spans="1:3" x14ac:dyDescent="0.2">
      <c r="A375" t="s">
        <v>8</v>
      </c>
      <c r="B375" t="s">
        <v>281</v>
      </c>
      <c r="C375" s="1">
        <v>10000000</v>
      </c>
    </row>
    <row r="376" spans="1:3" x14ac:dyDescent="0.2">
      <c r="A376" t="s">
        <v>8</v>
      </c>
      <c r="B376" t="s">
        <v>466</v>
      </c>
      <c r="C376" s="1">
        <v>72387000</v>
      </c>
    </row>
    <row r="377" spans="1:3" x14ac:dyDescent="0.2">
      <c r="A377" t="s">
        <v>8</v>
      </c>
      <c r="B377" t="s">
        <v>430</v>
      </c>
      <c r="C377" s="1">
        <v>1000000</v>
      </c>
    </row>
    <row r="378" spans="1:3" x14ac:dyDescent="0.2">
      <c r="A378" t="s">
        <v>8</v>
      </c>
      <c r="B378" t="s">
        <v>104</v>
      </c>
      <c r="C378" s="1">
        <v>167897377.69999999</v>
      </c>
    </row>
    <row r="379" spans="1:3" x14ac:dyDescent="0.2">
      <c r="A379" t="s">
        <v>8</v>
      </c>
      <c r="B379" t="s">
        <v>210</v>
      </c>
      <c r="C379" s="1">
        <v>200000</v>
      </c>
    </row>
    <row r="380" spans="1:3" x14ac:dyDescent="0.2">
      <c r="A380" t="s">
        <v>8</v>
      </c>
      <c r="B380" t="s">
        <v>129</v>
      </c>
      <c r="C380" s="1">
        <v>432</v>
      </c>
    </row>
    <row r="381" spans="1:3" x14ac:dyDescent="0.2">
      <c r="A381" t="s">
        <v>8</v>
      </c>
      <c r="B381" t="s">
        <v>594</v>
      </c>
      <c r="C381" s="1">
        <v>5484462.7000000002</v>
      </c>
    </row>
    <row r="382" spans="1:3" x14ac:dyDescent="0.2">
      <c r="A382" t="s">
        <v>8</v>
      </c>
      <c r="B382" t="s">
        <v>294</v>
      </c>
      <c r="C382" s="1">
        <v>10000000</v>
      </c>
    </row>
    <row r="383" spans="1:3" x14ac:dyDescent="0.2">
      <c r="A383" t="s">
        <v>8</v>
      </c>
      <c r="B383" t="s">
        <v>279</v>
      </c>
      <c r="C383" s="1">
        <v>110747326</v>
      </c>
    </row>
    <row r="384" spans="1:3" x14ac:dyDescent="0.2">
      <c r="A384" t="s">
        <v>8</v>
      </c>
      <c r="B384" t="s">
        <v>267</v>
      </c>
      <c r="C384" s="1">
        <v>56239223.799999997</v>
      </c>
    </row>
    <row r="385" spans="1:3" x14ac:dyDescent="0.2">
      <c r="A385" t="s">
        <v>8</v>
      </c>
      <c r="B385" t="s">
        <v>302</v>
      </c>
      <c r="C385" s="1">
        <v>141254520</v>
      </c>
    </row>
    <row r="386" spans="1:3" x14ac:dyDescent="0.2">
      <c r="A386" t="s">
        <v>8</v>
      </c>
      <c r="B386" t="s">
        <v>114</v>
      </c>
      <c r="C386" s="1">
        <v>147816652.69999999</v>
      </c>
    </row>
    <row r="387" spans="1:3" x14ac:dyDescent="0.2">
      <c r="A387" t="s">
        <v>8</v>
      </c>
      <c r="B387" t="s">
        <v>63</v>
      </c>
      <c r="C387" s="1">
        <v>120000000</v>
      </c>
    </row>
    <row r="388" spans="1:3" x14ac:dyDescent="0.2">
      <c r="A388" t="s">
        <v>8</v>
      </c>
      <c r="B388" t="s">
        <v>280</v>
      </c>
      <c r="C388" s="1">
        <v>10000000</v>
      </c>
    </row>
    <row r="389" spans="1:3" x14ac:dyDescent="0.2">
      <c r="A389" t="s">
        <v>8</v>
      </c>
      <c r="B389" t="s">
        <v>206</v>
      </c>
      <c r="C389" s="1">
        <v>2085422</v>
      </c>
    </row>
    <row r="390" spans="1:3" x14ac:dyDescent="0.2">
      <c r="A390" t="s">
        <v>8</v>
      </c>
      <c r="B390" t="s">
        <v>448</v>
      </c>
      <c r="C390" s="1">
        <v>12556839.3999999</v>
      </c>
    </row>
    <row r="391" spans="1:3" x14ac:dyDescent="0.2">
      <c r="A391" t="s">
        <v>8</v>
      </c>
      <c r="B391" t="s">
        <v>80</v>
      </c>
      <c r="C391" s="1">
        <v>83658506.099999994</v>
      </c>
    </row>
    <row r="392" spans="1:3" x14ac:dyDescent="0.2">
      <c r="A392" t="s">
        <v>8</v>
      </c>
      <c r="B392" t="s">
        <v>426</v>
      </c>
      <c r="C392" s="1">
        <v>52217159.5</v>
      </c>
    </row>
    <row r="393" spans="1:3" x14ac:dyDescent="0.2">
      <c r="A393" t="s">
        <v>8</v>
      </c>
      <c r="B393" t="s">
        <v>305</v>
      </c>
      <c r="C393" s="1">
        <v>84371700</v>
      </c>
    </row>
    <row r="394" spans="1:3" x14ac:dyDescent="0.2">
      <c r="A394" t="s">
        <v>8</v>
      </c>
      <c r="B394" t="s">
        <v>304</v>
      </c>
      <c r="C394" s="1">
        <v>85047510</v>
      </c>
    </row>
    <row r="395" spans="1:3" x14ac:dyDescent="0.2">
      <c r="A395" t="s">
        <v>8</v>
      </c>
      <c r="B395" t="s">
        <v>303</v>
      </c>
      <c r="C395" s="1">
        <v>72327180</v>
      </c>
    </row>
    <row r="396" spans="1:3" x14ac:dyDescent="0.2">
      <c r="A396" t="s">
        <v>8</v>
      </c>
      <c r="B396" t="s">
        <v>283</v>
      </c>
      <c r="C396" s="1">
        <v>10000000</v>
      </c>
    </row>
    <row r="397" spans="1:3" x14ac:dyDescent="0.2">
      <c r="A397" t="s">
        <v>8</v>
      </c>
      <c r="B397" t="s">
        <v>515</v>
      </c>
      <c r="C397" s="1">
        <v>130000</v>
      </c>
    </row>
    <row r="398" spans="1:3" x14ac:dyDescent="0.2">
      <c r="A398" t="s">
        <v>8</v>
      </c>
      <c r="B398" t="s">
        <v>23</v>
      </c>
      <c r="C398" s="1">
        <v>46020542.300000004</v>
      </c>
    </row>
    <row r="399" spans="1:3" x14ac:dyDescent="0.2">
      <c r="A399" t="s">
        <v>8</v>
      </c>
      <c r="B399" t="s">
        <v>284</v>
      </c>
      <c r="C399" s="1">
        <v>10000000</v>
      </c>
    </row>
    <row r="400" spans="1:3" x14ac:dyDescent="0.2">
      <c r="A400" t="s">
        <v>8</v>
      </c>
      <c r="B400" t="s">
        <v>282</v>
      </c>
      <c r="C400" s="1">
        <v>15199318.5</v>
      </c>
    </row>
    <row r="401" spans="1:3" x14ac:dyDescent="0.2">
      <c r="A401" t="s">
        <v>8</v>
      </c>
      <c r="B401" t="s">
        <v>291</v>
      </c>
      <c r="C401" s="1">
        <v>10000000</v>
      </c>
    </row>
    <row r="402" spans="1:3" x14ac:dyDescent="0.2">
      <c r="A402" t="s">
        <v>8</v>
      </c>
      <c r="B402" t="s">
        <v>60</v>
      </c>
      <c r="C402" s="1">
        <v>5000000</v>
      </c>
    </row>
    <row r="403" spans="1:3" x14ac:dyDescent="0.2">
      <c r="A403" t="s">
        <v>8</v>
      </c>
      <c r="B403" t="s">
        <v>390</v>
      </c>
      <c r="C403" s="1">
        <v>400715</v>
      </c>
    </row>
    <row r="404" spans="1:3" x14ac:dyDescent="0.2">
      <c r="A404" t="s">
        <v>8</v>
      </c>
      <c r="B404" t="s">
        <v>285</v>
      </c>
      <c r="C404" s="1">
        <v>10000000</v>
      </c>
    </row>
    <row r="405" spans="1:3" x14ac:dyDescent="0.2">
      <c r="A405" t="s">
        <v>8</v>
      </c>
      <c r="B405" t="s">
        <v>297</v>
      </c>
      <c r="C405" s="1">
        <v>27448992.5</v>
      </c>
    </row>
    <row r="406" spans="1:3" x14ac:dyDescent="0.2">
      <c r="A406" t="s">
        <v>8</v>
      </c>
      <c r="B406" t="s">
        <v>383</v>
      </c>
      <c r="C406" s="1">
        <v>8460515.5999999996</v>
      </c>
    </row>
    <row r="407" spans="1:3" x14ac:dyDescent="0.2">
      <c r="A407" t="s">
        <v>8</v>
      </c>
      <c r="B407" t="s">
        <v>146</v>
      </c>
      <c r="C407" s="1">
        <v>36142353.599999994</v>
      </c>
    </row>
    <row r="408" spans="1:3" x14ac:dyDescent="0.2">
      <c r="A408" t="s">
        <v>8</v>
      </c>
      <c r="B408" t="s">
        <v>528</v>
      </c>
      <c r="C408" s="1">
        <v>1400000</v>
      </c>
    </row>
    <row r="409" spans="1:3" x14ac:dyDescent="0.2">
      <c r="A409" t="s">
        <v>8</v>
      </c>
      <c r="B409" t="s">
        <v>205</v>
      </c>
      <c r="C409" s="1">
        <v>60000000</v>
      </c>
    </row>
    <row r="410" spans="1:3" x14ac:dyDescent="0.2">
      <c r="A410" t="s">
        <v>8</v>
      </c>
      <c r="B410" t="s">
        <v>33</v>
      </c>
      <c r="C410" s="1">
        <v>11898733.4</v>
      </c>
    </row>
    <row r="411" spans="1:3" x14ac:dyDescent="0.2">
      <c r="A411" t="s">
        <v>8</v>
      </c>
      <c r="B411" t="s">
        <v>173</v>
      </c>
      <c r="C411" s="1">
        <v>3212166.4</v>
      </c>
    </row>
    <row r="412" spans="1:3" x14ac:dyDescent="0.2">
      <c r="A412" t="s">
        <v>8</v>
      </c>
      <c r="B412" t="s">
        <v>564</v>
      </c>
      <c r="C412" s="1">
        <v>5000000</v>
      </c>
    </row>
    <row r="413" spans="1:3" x14ac:dyDescent="0.2">
      <c r="A413" t="s">
        <v>8</v>
      </c>
      <c r="B413" t="s">
        <v>38</v>
      </c>
      <c r="C413" s="1">
        <v>26898050</v>
      </c>
    </row>
    <row r="414" spans="1:3" x14ac:dyDescent="0.2">
      <c r="A414" t="s">
        <v>8</v>
      </c>
      <c r="B414" t="s">
        <v>296</v>
      </c>
      <c r="C414" s="1">
        <v>10000000</v>
      </c>
    </row>
    <row r="415" spans="1:3" x14ac:dyDescent="0.2">
      <c r="A415" t="s">
        <v>8</v>
      </c>
      <c r="B415" t="s">
        <v>521</v>
      </c>
      <c r="C415" s="1">
        <v>2300000</v>
      </c>
    </row>
    <row r="416" spans="1:3" x14ac:dyDescent="0.2">
      <c r="A416" t="s">
        <v>8</v>
      </c>
      <c r="B416" t="s">
        <v>359</v>
      </c>
      <c r="C416" s="1">
        <v>718000</v>
      </c>
    </row>
    <row r="417" spans="1:3" x14ac:dyDescent="0.2">
      <c r="A417" t="s">
        <v>8</v>
      </c>
      <c r="B417" t="s">
        <v>204</v>
      </c>
      <c r="C417" s="1">
        <v>25030500</v>
      </c>
    </row>
    <row r="418" spans="1:3" x14ac:dyDescent="0.2">
      <c r="A418" t="s">
        <v>8</v>
      </c>
      <c r="B418" t="s">
        <v>137</v>
      </c>
      <c r="C418" s="1">
        <v>106422724.7</v>
      </c>
    </row>
    <row r="419" spans="1:3" x14ac:dyDescent="0.2">
      <c r="A419" t="s">
        <v>8</v>
      </c>
      <c r="B419" t="s">
        <v>197</v>
      </c>
      <c r="C419" s="1">
        <v>47550260.600000001</v>
      </c>
    </row>
    <row r="420" spans="1:3" x14ac:dyDescent="0.2">
      <c r="A420" t="s">
        <v>8</v>
      </c>
      <c r="B420" t="s">
        <v>549</v>
      </c>
      <c r="C420" s="1">
        <v>600000</v>
      </c>
    </row>
    <row r="421" spans="1:3" x14ac:dyDescent="0.2">
      <c r="A421" t="s">
        <v>8</v>
      </c>
      <c r="B421" t="s">
        <v>16</v>
      </c>
      <c r="C421" s="1">
        <v>29284090.199999999</v>
      </c>
    </row>
    <row r="422" spans="1:3" x14ac:dyDescent="0.2">
      <c r="A422" t="s">
        <v>8</v>
      </c>
      <c r="B422" t="s">
        <v>115</v>
      </c>
      <c r="C422" s="1">
        <v>16445456</v>
      </c>
    </row>
    <row r="423" spans="1:3" x14ac:dyDescent="0.2">
      <c r="A423" t="s">
        <v>8</v>
      </c>
      <c r="B423" t="s">
        <v>387</v>
      </c>
      <c r="C423" s="1">
        <v>1189200</v>
      </c>
    </row>
    <row r="424" spans="1:3" x14ac:dyDescent="0.2">
      <c r="A424" t="s">
        <v>8</v>
      </c>
      <c r="B424" t="s">
        <v>160</v>
      </c>
      <c r="C424" s="1">
        <v>10000000</v>
      </c>
    </row>
    <row r="425" spans="1:3" x14ac:dyDescent="0.2">
      <c r="A425" t="s">
        <v>8</v>
      </c>
      <c r="B425" t="s">
        <v>492</v>
      </c>
      <c r="C425" s="1">
        <v>184444.7</v>
      </c>
    </row>
    <row r="426" spans="1:3" x14ac:dyDescent="0.2">
      <c r="A426" t="s">
        <v>8</v>
      </c>
      <c r="B426" t="s">
        <v>361</v>
      </c>
      <c r="C426" s="1">
        <v>714872.2</v>
      </c>
    </row>
    <row r="427" spans="1:3" x14ac:dyDescent="0.2">
      <c r="A427" t="s">
        <v>8</v>
      </c>
      <c r="B427" t="s">
        <v>196</v>
      </c>
      <c r="C427" s="1">
        <v>35000000</v>
      </c>
    </row>
    <row r="428" spans="1:3" x14ac:dyDescent="0.2">
      <c r="A428" t="s">
        <v>8</v>
      </c>
      <c r="B428" t="s">
        <v>200</v>
      </c>
      <c r="C428" s="1">
        <v>25000000</v>
      </c>
    </row>
    <row r="429" spans="1:3" x14ac:dyDescent="0.2">
      <c r="A429" t="s">
        <v>8</v>
      </c>
      <c r="B429" t="s">
        <v>973</v>
      </c>
      <c r="C429" s="1">
        <v>2534048.2000000002</v>
      </c>
    </row>
    <row r="430" spans="1:3" x14ac:dyDescent="0.2">
      <c r="A430" t="s">
        <v>8</v>
      </c>
      <c r="B430" t="s">
        <v>1371</v>
      </c>
      <c r="C430" s="1">
        <v>16500000</v>
      </c>
    </row>
    <row r="431" spans="1:3" x14ac:dyDescent="0.2">
      <c r="A431" t="s">
        <v>8</v>
      </c>
      <c r="B431" t="s">
        <v>1393</v>
      </c>
      <c r="C431" s="1">
        <v>220330</v>
      </c>
    </row>
    <row r="432" spans="1:3" x14ac:dyDescent="0.2">
      <c r="A432" t="s">
        <v>8</v>
      </c>
      <c r="B432" t="s">
        <v>1408</v>
      </c>
      <c r="C432" s="1">
        <v>75000</v>
      </c>
    </row>
    <row r="433" spans="1:3" x14ac:dyDescent="0.2">
      <c r="A433" t="s">
        <v>8</v>
      </c>
      <c r="B433" t="s">
        <v>1564</v>
      </c>
      <c r="C433" s="1">
        <v>3213000</v>
      </c>
    </row>
    <row r="434" spans="1:3" x14ac:dyDescent="0.2">
      <c r="A434" t="s">
        <v>8</v>
      </c>
      <c r="B434" t="s">
        <v>1843</v>
      </c>
      <c r="C434" s="1">
        <v>42257</v>
      </c>
    </row>
    <row r="435" spans="1:3" x14ac:dyDescent="0.2">
      <c r="A435" t="s">
        <v>8</v>
      </c>
      <c r="B435" t="s">
        <v>2076</v>
      </c>
      <c r="C435" s="1">
        <v>87010</v>
      </c>
    </row>
    <row r="436" spans="1:3" x14ac:dyDescent="0.2">
      <c r="A436" t="s">
        <v>8</v>
      </c>
      <c r="B436" t="s">
        <v>2158</v>
      </c>
      <c r="C436" s="1">
        <v>60740000</v>
      </c>
    </row>
    <row r="437" spans="1:3" x14ac:dyDescent="0.2">
      <c r="A437" t="s">
        <v>8</v>
      </c>
      <c r="B437" t="s">
        <v>2275</v>
      </c>
      <c r="C437" s="1">
        <v>9979190</v>
      </c>
    </row>
    <row r="438" spans="1:3" x14ac:dyDescent="0.2">
      <c r="A438" t="s">
        <v>65</v>
      </c>
      <c r="B438" t="s">
        <v>514</v>
      </c>
      <c r="C438" s="1">
        <v>253431.4</v>
      </c>
    </row>
    <row r="439" spans="1:3" x14ac:dyDescent="0.2">
      <c r="A439" t="s">
        <v>65</v>
      </c>
      <c r="B439" t="s">
        <v>95</v>
      </c>
      <c r="C439" s="1">
        <v>12772381.9</v>
      </c>
    </row>
    <row r="440" spans="1:3" x14ac:dyDescent="0.2">
      <c r="A440" t="s">
        <v>65</v>
      </c>
      <c r="B440" t="s">
        <v>525</v>
      </c>
      <c r="C440" s="1">
        <v>4640</v>
      </c>
    </row>
    <row r="441" spans="1:3" x14ac:dyDescent="0.2">
      <c r="A441" t="s">
        <v>65</v>
      </c>
      <c r="B441" t="s">
        <v>83</v>
      </c>
      <c r="C441" s="1">
        <v>7114797.5</v>
      </c>
    </row>
    <row r="442" spans="1:3" x14ac:dyDescent="0.2">
      <c r="A442" t="s">
        <v>65</v>
      </c>
      <c r="B442" t="s">
        <v>458</v>
      </c>
      <c r="C442" s="1">
        <v>11061.6</v>
      </c>
    </row>
    <row r="443" spans="1:3" x14ac:dyDescent="0.2">
      <c r="A443" t="s">
        <v>65</v>
      </c>
      <c r="B443" t="s">
        <v>223</v>
      </c>
      <c r="C443" s="1">
        <v>8544615</v>
      </c>
    </row>
    <row r="444" spans="1:3" x14ac:dyDescent="0.2">
      <c r="A444" t="s">
        <v>65</v>
      </c>
      <c r="B444" t="s">
        <v>244</v>
      </c>
      <c r="C444" s="1">
        <v>98600</v>
      </c>
    </row>
    <row r="445" spans="1:3" x14ac:dyDescent="0.2">
      <c r="A445" t="s">
        <v>65</v>
      </c>
      <c r="B445" t="s">
        <v>485</v>
      </c>
      <c r="C445" s="1">
        <v>462774.5</v>
      </c>
    </row>
    <row r="446" spans="1:3" x14ac:dyDescent="0.2">
      <c r="A446" t="s">
        <v>65</v>
      </c>
      <c r="B446" t="s">
        <v>612</v>
      </c>
      <c r="C446" s="1">
        <v>463464.4</v>
      </c>
    </row>
    <row r="447" spans="1:3" x14ac:dyDescent="0.2">
      <c r="A447" t="s">
        <v>65</v>
      </c>
      <c r="B447" t="s">
        <v>446</v>
      </c>
      <c r="C447" s="1">
        <v>934715.8</v>
      </c>
    </row>
    <row r="448" spans="1:3" x14ac:dyDescent="0.2">
      <c r="A448" t="s">
        <v>65</v>
      </c>
      <c r="B448" t="s">
        <v>429</v>
      </c>
      <c r="C448" s="1">
        <v>52296652.799999997</v>
      </c>
    </row>
    <row r="449" spans="1:3" x14ac:dyDescent="0.2">
      <c r="A449" t="s">
        <v>65</v>
      </c>
      <c r="B449" t="s">
        <v>529</v>
      </c>
      <c r="C449" s="1">
        <v>23271053.300000001</v>
      </c>
    </row>
    <row r="450" spans="1:3" x14ac:dyDescent="0.2">
      <c r="A450" t="s">
        <v>65</v>
      </c>
      <c r="B450" t="s">
        <v>222</v>
      </c>
      <c r="C450" s="1">
        <v>723266.5</v>
      </c>
    </row>
    <row r="451" spans="1:3" x14ac:dyDescent="0.2">
      <c r="A451" t="s">
        <v>65</v>
      </c>
      <c r="B451" t="s">
        <v>33</v>
      </c>
      <c r="C451" s="1">
        <v>1373750</v>
      </c>
    </row>
    <row r="452" spans="1:3" x14ac:dyDescent="0.2">
      <c r="A452" t="s">
        <v>65</v>
      </c>
      <c r="B452" t="s">
        <v>518</v>
      </c>
      <c r="C452" s="1">
        <v>125187.2</v>
      </c>
    </row>
    <row r="453" spans="1:3" x14ac:dyDescent="0.2">
      <c r="A453" t="s">
        <v>65</v>
      </c>
      <c r="B453" t="s">
        <v>130</v>
      </c>
      <c r="C453" s="1">
        <v>36997184.799999997</v>
      </c>
    </row>
    <row r="454" spans="1:3" x14ac:dyDescent="0.2">
      <c r="A454" t="s">
        <v>65</v>
      </c>
      <c r="B454" t="s">
        <v>64</v>
      </c>
      <c r="C454" s="1">
        <v>2689991.9</v>
      </c>
    </row>
    <row r="455" spans="1:3" x14ac:dyDescent="0.2">
      <c r="A455" t="s">
        <v>65</v>
      </c>
      <c r="B455" t="s">
        <v>365</v>
      </c>
      <c r="C455" s="1">
        <v>7990000</v>
      </c>
    </row>
    <row r="456" spans="1:3" x14ac:dyDescent="0.2">
      <c r="A456" t="s">
        <v>65</v>
      </c>
      <c r="B456" t="s">
        <v>238</v>
      </c>
      <c r="C456" s="1">
        <v>170249.5</v>
      </c>
    </row>
    <row r="457" spans="1:3" x14ac:dyDescent="0.2">
      <c r="A457" t="s">
        <v>65</v>
      </c>
      <c r="B457" t="s">
        <v>456</v>
      </c>
      <c r="C457" s="1">
        <v>2600</v>
      </c>
    </row>
    <row r="458" spans="1:3" x14ac:dyDescent="0.2">
      <c r="A458" t="s">
        <v>65</v>
      </c>
      <c r="B458" t="s">
        <v>242</v>
      </c>
      <c r="C458" s="1">
        <v>190700</v>
      </c>
    </row>
    <row r="459" spans="1:3" x14ac:dyDescent="0.2">
      <c r="A459" t="s">
        <v>65</v>
      </c>
      <c r="B459" t="s">
        <v>374</v>
      </c>
      <c r="C459" s="1">
        <v>10000000</v>
      </c>
    </row>
    <row r="460" spans="1:3" x14ac:dyDescent="0.2">
      <c r="A460" t="s">
        <v>54</v>
      </c>
      <c r="B460" t="s">
        <v>469</v>
      </c>
      <c r="C460" s="1">
        <v>250000</v>
      </c>
    </row>
    <row r="461" spans="1:3" x14ac:dyDescent="0.2">
      <c r="A461" t="s">
        <v>54</v>
      </c>
      <c r="B461" t="s">
        <v>95</v>
      </c>
      <c r="C461" s="1">
        <v>351</v>
      </c>
    </row>
    <row r="462" spans="1:3" x14ac:dyDescent="0.2">
      <c r="A462" t="s">
        <v>54</v>
      </c>
      <c r="B462" t="s">
        <v>472</v>
      </c>
      <c r="C462" s="1">
        <v>1770</v>
      </c>
    </row>
    <row r="463" spans="1:3" x14ac:dyDescent="0.2">
      <c r="A463" t="s">
        <v>54</v>
      </c>
      <c r="B463" t="s">
        <v>591</v>
      </c>
      <c r="C463" s="1">
        <v>31055344.5</v>
      </c>
    </row>
    <row r="464" spans="1:3" x14ac:dyDescent="0.2">
      <c r="A464" t="s">
        <v>54</v>
      </c>
      <c r="B464" t="s">
        <v>105</v>
      </c>
      <c r="C464" s="1">
        <v>25000</v>
      </c>
    </row>
    <row r="465" spans="1:3" x14ac:dyDescent="0.2">
      <c r="A465" t="s">
        <v>54</v>
      </c>
      <c r="B465" t="s">
        <v>544</v>
      </c>
      <c r="C465" s="1">
        <v>299890</v>
      </c>
    </row>
    <row r="466" spans="1:3" x14ac:dyDescent="0.2">
      <c r="A466" t="s">
        <v>54</v>
      </c>
      <c r="B466" t="s">
        <v>626</v>
      </c>
      <c r="C466" s="1">
        <v>296731</v>
      </c>
    </row>
    <row r="467" spans="1:3" x14ac:dyDescent="0.2">
      <c r="A467" t="s">
        <v>54</v>
      </c>
      <c r="B467" t="s">
        <v>256</v>
      </c>
      <c r="C467" s="1">
        <v>248400</v>
      </c>
    </row>
    <row r="468" spans="1:3" x14ac:dyDescent="0.2">
      <c r="A468" t="s">
        <v>54</v>
      </c>
      <c r="B468" t="s">
        <v>83</v>
      </c>
      <c r="C468" s="1">
        <v>177000</v>
      </c>
    </row>
    <row r="469" spans="1:3" x14ac:dyDescent="0.2">
      <c r="A469" t="s">
        <v>54</v>
      </c>
      <c r="B469" t="s">
        <v>490</v>
      </c>
      <c r="C469" s="1">
        <v>2791861.6</v>
      </c>
    </row>
    <row r="470" spans="1:3" x14ac:dyDescent="0.2">
      <c r="A470" t="s">
        <v>54</v>
      </c>
      <c r="B470" t="s">
        <v>310</v>
      </c>
      <c r="C470" s="1">
        <v>49820</v>
      </c>
    </row>
    <row r="471" spans="1:3" x14ac:dyDescent="0.2">
      <c r="A471" t="s">
        <v>54</v>
      </c>
      <c r="B471" t="s">
        <v>465</v>
      </c>
      <c r="C471" s="1">
        <v>13018.099999999999</v>
      </c>
    </row>
    <row r="472" spans="1:3" x14ac:dyDescent="0.2">
      <c r="A472" t="s">
        <v>54</v>
      </c>
      <c r="B472" t="s">
        <v>540</v>
      </c>
      <c r="C472" s="1">
        <v>21204.1</v>
      </c>
    </row>
    <row r="473" spans="1:3" x14ac:dyDescent="0.2">
      <c r="A473" t="s">
        <v>54</v>
      </c>
      <c r="B473" t="s">
        <v>348</v>
      </c>
      <c r="C473" s="1">
        <v>36154</v>
      </c>
    </row>
    <row r="474" spans="1:3" x14ac:dyDescent="0.2">
      <c r="A474" t="s">
        <v>54</v>
      </c>
      <c r="B474" t="s">
        <v>470</v>
      </c>
      <c r="C474" s="1">
        <v>241805.5</v>
      </c>
    </row>
    <row r="475" spans="1:3" x14ac:dyDescent="0.2">
      <c r="A475" t="s">
        <v>54</v>
      </c>
      <c r="B475" t="s">
        <v>78</v>
      </c>
      <c r="C475" s="1">
        <v>512076.5</v>
      </c>
    </row>
    <row r="476" spans="1:3" x14ac:dyDescent="0.2">
      <c r="A476" t="s">
        <v>54</v>
      </c>
      <c r="B476" t="s">
        <v>145</v>
      </c>
      <c r="C476" s="1">
        <v>4000000</v>
      </c>
    </row>
    <row r="477" spans="1:3" x14ac:dyDescent="0.2">
      <c r="A477" t="s">
        <v>54</v>
      </c>
      <c r="B477" t="s">
        <v>53</v>
      </c>
      <c r="C477" s="1">
        <v>2250000</v>
      </c>
    </row>
    <row r="478" spans="1:3" x14ac:dyDescent="0.2">
      <c r="A478" t="s">
        <v>54</v>
      </c>
      <c r="B478" t="s">
        <v>552</v>
      </c>
      <c r="C478" s="1">
        <v>100000</v>
      </c>
    </row>
    <row r="479" spans="1:3" x14ac:dyDescent="0.2">
      <c r="A479" t="s">
        <v>54</v>
      </c>
      <c r="B479" t="s">
        <v>243</v>
      </c>
      <c r="C479" s="1">
        <v>3223348.5</v>
      </c>
    </row>
    <row r="480" spans="1:3" x14ac:dyDescent="0.2">
      <c r="A480" t="s">
        <v>54</v>
      </c>
      <c r="B480" t="s">
        <v>261</v>
      </c>
      <c r="C480" s="1">
        <v>12900000</v>
      </c>
    </row>
    <row r="481" spans="1:3" x14ac:dyDescent="0.2">
      <c r="A481" t="s">
        <v>54</v>
      </c>
      <c r="B481" t="s">
        <v>610</v>
      </c>
      <c r="C481" s="1">
        <v>14399847</v>
      </c>
    </row>
    <row r="482" spans="1:3" x14ac:dyDescent="0.2">
      <c r="A482" t="s">
        <v>54</v>
      </c>
      <c r="B482" t="s">
        <v>130</v>
      </c>
      <c r="C482" s="1">
        <v>15414010</v>
      </c>
    </row>
    <row r="483" spans="1:3" x14ac:dyDescent="0.2">
      <c r="A483" t="s">
        <v>54</v>
      </c>
      <c r="B483" t="s">
        <v>520</v>
      </c>
      <c r="C483" s="1">
        <v>2250</v>
      </c>
    </row>
    <row r="484" spans="1:3" x14ac:dyDescent="0.2">
      <c r="A484" t="s">
        <v>54</v>
      </c>
      <c r="B484" t="s">
        <v>467</v>
      </c>
      <c r="C484" s="1">
        <v>83565.2</v>
      </c>
    </row>
    <row r="485" spans="1:3" x14ac:dyDescent="0.2">
      <c r="A485" t="s">
        <v>54</v>
      </c>
      <c r="B485" t="s">
        <v>433</v>
      </c>
      <c r="C485" s="1">
        <v>498000</v>
      </c>
    </row>
    <row r="486" spans="1:3" x14ac:dyDescent="0.2">
      <c r="A486" t="s">
        <v>54</v>
      </c>
      <c r="B486" t="s">
        <v>86</v>
      </c>
      <c r="C486" s="1">
        <v>670613</v>
      </c>
    </row>
    <row r="487" spans="1:3" x14ac:dyDescent="0.2">
      <c r="A487" t="s">
        <v>54</v>
      </c>
      <c r="B487" t="s">
        <v>865</v>
      </c>
      <c r="C487" s="1">
        <v>12500</v>
      </c>
    </row>
    <row r="488" spans="1:3" x14ac:dyDescent="0.2">
      <c r="A488" t="s">
        <v>21</v>
      </c>
      <c r="B488" t="s">
        <v>20</v>
      </c>
      <c r="C488" s="1">
        <v>892475</v>
      </c>
    </row>
    <row r="489" spans="1:3" x14ac:dyDescent="0.2">
      <c r="A489" t="s">
        <v>21</v>
      </c>
      <c r="B489" t="s">
        <v>264</v>
      </c>
      <c r="C489" s="1">
        <v>4647616.3</v>
      </c>
    </row>
    <row r="490" spans="1:3" x14ac:dyDescent="0.2">
      <c r="A490" t="s">
        <v>21</v>
      </c>
      <c r="B490" t="s">
        <v>425</v>
      </c>
      <c r="C490" s="1">
        <v>245500</v>
      </c>
    </row>
    <row r="491" spans="1:3" x14ac:dyDescent="0.2">
      <c r="A491" t="s">
        <v>480</v>
      </c>
      <c r="B491" t="s">
        <v>481</v>
      </c>
      <c r="C491" s="1">
        <v>298500</v>
      </c>
    </row>
    <row r="492" spans="1:3" x14ac:dyDescent="0.2">
      <c r="A492" t="s">
        <v>480</v>
      </c>
      <c r="B492" t="s">
        <v>479</v>
      </c>
      <c r="C492" s="1">
        <v>99600</v>
      </c>
    </row>
    <row r="493" spans="1:3" x14ac:dyDescent="0.2">
      <c r="A493" t="s">
        <v>480</v>
      </c>
      <c r="B493" t="s">
        <v>1542</v>
      </c>
      <c r="C493" s="1">
        <v>95000</v>
      </c>
    </row>
    <row r="494" spans="1:3" x14ac:dyDescent="0.2">
      <c r="A494" t="s">
        <v>480</v>
      </c>
      <c r="B494" t="s">
        <v>1543</v>
      </c>
      <c r="C494" s="1">
        <v>50000</v>
      </c>
    </row>
    <row r="495" spans="1:3" x14ac:dyDescent="0.2">
      <c r="A495" t="s">
        <v>480</v>
      </c>
      <c r="B495" t="s">
        <v>1573</v>
      </c>
      <c r="C495" s="1">
        <v>471500</v>
      </c>
    </row>
    <row r="496" spans="1:3" x14ac:dyDescent="0.2">
      <c r="A496" t="s">
        <v>241</v>
      </c>
      <c r="B496" t="s">
        <v>240</v>
      </c>
      <c r="C496" s="1">
        <v>83688</v>
      </c>
    </row>
    <row r="497" spans="1:3" x14ac:dyDescent="0.2">
      <c r="A497" t="s">
        <v>132</v>
      </c>
      <c r="B497" t="s">
        <v>131</v>
      </c>
      <c r="C497" s="1">
        <v>8000000</v>
      </c>
    </row>
    <row r="498" spans="1:3" x14ac:dyDescent="0.2">
      <c r="A498" t="s">
        <v>132</v>
      </c>
      <c r="B498" t="s">
        <v>417</v>
      </c>
      <c r="C498" s="1">
        <v>5000000</v>
      </c>
    </row>
    <row r="499" spans="1:3" x14ac:dyDescent="0.2">
      <c r="A499" t="s">
        <v>132</v>
      </c>
      <c r="B499" t="s">
        <v>74</v>
      </c>
      <c r="C499" s="1">
        <v>6850625</v>
      </c>
    </row>
    <row r="500" spans="1:3" x14ac:dyDescent="0.2">
      <c r="A500" t="s">
        <v>132</v>
      </c>
      <c r="B500" t="s">
        <v>210</v>
      </c>
      <c r="C500" s="1">
        <v>43750</v>
      </c>
    </row>
    <row r="501" spans="1:3" x14ac:dyDescent="0.2">
      <c r="A501" t="s">
        <v>132</v>
      </c>
      <c r="B501" t="s">
        <v>249</v>
      </c>
      <c r="C501" s="1">
        <v>24750</v>
      </c>
    </row>
    <row r="502" spans="1:3" x14ac:dyDescent="0.2">
      <c r="A502" t="s">
        <v>132</v>
      </c>
      <c r="B502" t="s">
        <v>475</v>
      </c>
      <c r="C502" s="1">
        <v>6850625</v>
      </c>
    </row>
    <row r="503" spans="1:3" x14ac:dyDescent="0.2">
      <c r="A503" t="s">
        <v>132</v>
      </c>
      <c r="B503" t="s">
        <v>63</v>
      </c>
      <c r="C503" s="1">
        <v>8000000</v>
      </c>
    </row>
    <row r="504" spans="1:3" x14ac:dyDescent="0.2">
      <c r="A504" t="s">
        <v>132</v>
      </c>
      <c r="B504" t="s">
        <v>477</v>
      </c>
      <c r="C504" s="1">
        <v>6850625</v>
      </c>
    </row>
    <row r="505" spans="1:3" x14ac:dyDescent="0.2">
      <c r="A505" t="s">
        <v>132</v>
      </c>
      <c r="B505" t="s">
        <v>285</v>
      </c>
      <c r="C505" s="1">
        <v>6850625</v>
      </c>
    </row>
    <row r="506" spans="1:3" x14ac:dyDescent="0.2">
      <c r="A506" t="s">
        <v>132</v>
      </c>
      <c r="B506" t="s">
        <v>263</v>
      </c>
      <c r="C506" s="1">
        <v>290000</v>
      </c>
    </row>
    <row r="507" spans="1:3" x14ac:dyDescent="0.2">
      <c r="A507" t="s">
        <v>132</v>
      </c>
      <c r="B507" t="s">
        <v>476</v>
      </c>
      <c r="C507" s="1">
        <v>6850625</v>
      </c>
    </row>
    <row r="508" spans="1:3" x14ac:dyDescent="0.2">
      <c r="A508" t="s">
        <v>132</v>
      </c>
      <c r="B508" t="s">
        <v>205</v>
      </c>
      <c r="C508" s="1">
        <v>6850625</v>
      </c>
    </row>
    <row r="509" spans="1:3" x14ac:dyDescent="0.2">
      <c r="A509" t="s">
        <v>132</v>
      </c>
      <c r="B509" t="s">
        <v>478</v>
      </c>
      <c r="C509" s="1">
        <v>6850625</v>
      </c>
    </row>
    <row r="510" spans="1:3" x14ac:dyDescent="0.2">
      <c r="A510" t="s">
        <v>132</v>
      </c>
      <c r="B510" t="s">
        <v>160</v>
      </c>
      <c r="C510" s="1">
        <v>6850625</v>
      </c>
    </row>
    <row r="511" spans="1:3" x14ac:dyDescent="0.2">
      <c r="A511" t="s">
        <v>112</v>
      </c>
      <c r="B511" t="s">
        <v>111</v>
      </c>
      <c r="C511" s="1">
        <v>300000</v>
      </c>
    </row>
    <row r="512" spans="1:3" x14ac:dyDescent="0.2">
      <c r="A512" t="s">
        <v>112</v>
      </c>
      <c r="B512" t="s">
        <v>41</v>
      </c>
      <c r="C512" s="1">
        <v>7000</v>
      </c>
    </row>
    <row r="513" spans="1:3" x14ac:dyDescent="0.2">
      <c r="A513" t="s">
        <v>112</v>
      </c>
      <c r="B513" t="s">
        <v>247</v>
      </c>
      <c r="C513" s="1">
        <v>87602.6</v>
      </c>
    </row>
    <row r="514" spans="1:3" x14ac:dyDescent="0.2">
      <c r="A514" t="s">
        <v>112</v>
      </c>
      <c r="B514" t="s">
        <v>409</v>
      </c>
      <c r="C514" s="1">
        <v>517585</v>
      </c>
    </row>
    <row r="515" spans="1:3" x14ac:dyDescent="0.2">
      <c r="A515" t="s">
        <v>112</v>
      </c>
      <c r="B515" t="s">
        <v>321</v>
      </c>
      <c r="C515" s="1">
        <v>1629826</v>
      </c>
    </row>
    <row r="516" spans="1:3" x14ac:dyDescent="0.2">
      <c r="A516" t="s">
        <v>112</v>
      </c>
      <c r="B516" t="s">
        <v>460</v>
      </c>
      <c r="C516" s="1">
        <v>6000</v>
      </c>
    </row>
    <row r="517" spans="1:3" x14ac:dyDescent="0.2">
      <c r="A517" t="s">
        <v>112</v>
      </c>
      <c r="B517" t="s">
        <v>260</v>
      </c>
      <c r="C517" s="1">
        <v>22032608.199999999</v>
      </c>
    </row>
    <row r="518" spans="1:3" x14ac:dyDescent="0.2">
      <c r="A518" t="s">
        <v>112</v>
      </c>
      <c r="B518" t="s">
        <v>328</v>
      </c>
      <c r="C518" s="1">
        <v>120000</v>
      </c>
    </row>
    <row r="519" spans="1:3" x14ac:dyDescent="0.2">
      <c r="A519" t="s">
        <v>112</v>
      </c>
      <c r="B519" t="s">
        <v>434</v>
      </c>
      <c r="C519" s="1">
        <v>1072140</v>
      </c>
    </row>
    <row r="520" spans="1:3" x14ac:dyDescent="0.2">
      <c r="A520" t="s">
        <v>112</v>
      </c>
      <c r="B520" t="s">
        <v>673</v>
      </c>
      <c r="C520" s="1">
        <v>112500</v>
      </c>
    </row>
    <row r="521" spans="1:3" x14ac:dyDescent="0.2">
      <c r="A521" t="s">
        <v>112</v>
      </c>
      <c r="B521" t="s">
        <v>771</v>
      </c>
      <c r="C521" s="1">
        <v>36000</v>
      </c>
    </row>
    <row r="522" spans="1:3" x14ac:dyDescent="0.2">
      <c r="A522" t="s">
        <v>112</v>
      </c>
      <c r="B522" t="s">
        <v>774</v>
      </c>
      <c r="C522" s="1">
        <v>150000</v>
      </c>
    </row>
    <row r="523" spans="1:3" x14ac:dyDescent="0.2">
      <c r="A523" t="s">
        <v>112</v>
      </c>
      <c r="B523" t="s">
        <v>778</v>
      </c>
      <c r="C523" s="1">
        <v>2855000</v>
      </c>
    </row>
    <row r="524" spans="1:3" x14ac:dyDescent="0.2">
      <c r="A524" t="s">
        <v>112</v>
      </c>
      <c r="B524" t="s">
        <v>816</v>
      </c>
      <c r="C524" s="1">
        <v>135000</v>
      </c>
    </row>
    <row r="525" spans="1:3" x14ac:dyDescent="0.2">
      <c r="A525" t="s">
        <v>112</v>
      </c>
      <c r="B525" t="s">
        <v>822</v>
      </c>
      <c r="C525" s="1">
        <v>14000</v>
      </c>
    </row>
    <row r="526" spans="1:3" x14ac:dyDescent="0.2">
      <c r="A526" t="s">
        <v>112</v>
      </c>
      <c r="B526" t="s">
        <v>843</v>
      </c>
      <c r="C526" s="1">
        <v>23500</v>
      </c>
    </row>
    <row r="527" spans="1:3" x14ac:dyDescent="0.2">
      <c r="A527" t="s">
        <v>112</v>
      </c>
      <c r="B527" t="s">
        <v>865</v>
      </c>
      <c r="C527" s="1">
        <v>10000</v>
      </c>
    </row>
    <row r="528" spans="1:3" x14ac:dyDescent="0.2">
      <c r="A528" t="s">
        <v>112</v>
      </c>
      <c r="B528" t="s">
        <v>866</v>
      </c>
      <c r="C528" s="1">
        <v>5000</v>
      </c>
    </row>
    <row r="529" spans="1:3" x14ac:dyDescent="0.2">
      <c r="A529" t="s">
        <v>112</v>
      </c>
      <c r="B529" t="s">
        <v>897</v>
      </c>
      <c r="C529" s="1">
        <v>100000</v>
      </c>
    </row>
    <row r="530" spans="1:3" x14ac:dyDescent="0.2">
      <c r="A530" t="s">
        <v>112</v>
      </c>
      <c r="B530" t="s">
        <v>914</v>
      </c>
      <c r="C530" s="1">
        <v>50000</v>
      </c>
    </row>
    <row r="531" spans="1:3" x14ac:dyDescent="0.2">
      <c r="A531" t="s">
        <v>112</v>
      </c>
      <c r="B531" t="s">
        <v>920</v>
      </c>
      <c r="C531" s="1">
        <v>45000</v>
      </c>
    </row>
    <row r="532" spans="1:3" x14ac:dyDescent="0.2">
      <c r="A532" t="s">
        <v>112</v>
      </c>
      <c r="B532" t="s">
        <v>925</v>
      </c>
      <c r="C532" s="1">
        <v>310000</v>
      </c>
    </row>
    <row r="533" spans="1:3" x14ac:dyDescent="0.2">
      <c r="A533" t="s">
        <v>112</v>
      </c>
      <c r="B533" t="s">
        <v>926</v>
      </c>
      <c r="C533" s="1">
        <v>235000</v>
      </c>
    </row>
    <row r="534" spans="1:3" x14ac:dyDescent="0.2">
      <c r="A534" t="s">
        <v>112</v>
      </c>
      <c r="B534" t="s">
        <v>940</v>
      </c>
      <c r="C534" s="1">
        <v>500000</v>
      </c>
    </row>
    <row r="535" spans="1:3" x14ac:dyDescent="0.2">
      <c r="A535" t="s">
        <v>112</v>
      </c>
      <c r="B535" t="s">
        <v>942</v>
      </c>
      <c r="C535" s="1">
        <v>125000</v>
      </c>
    </row>
    <row r="536" spans="1:3" x14ac:dyDescent="0.2">
      <c r="A536" t="s">
        <v>112</v>
      </c>
      <c r="B536" t="s">
        <v>957</v>
      </c>
      <c r="C536" s="1">
        <v>45000</v>
      </c>
    </row>
    <row r="537" spans="1:3" x14ac:dyDescent="0.2">
      <c r="A537" t="s">
        <v>112</v>
      </c>
      <c r="B537" t="s">
        <v>958</v>
      </c>
      <c r="C537" s="1">
        <v>60000</v>
      </c>
    </row>
    <row r="538" spans="1:3" x14ac:dyDescent="0.2">
      <c r="A538" t="s">
        <v>112</v>
      </c>
      <c r="B538" t="s">
        <v>966</v>
      </c>
      <c r="C538" s="1">
        <v>250000</v>
      </c>
    </row>
    <row r="539" spans="1:3" x14ac:dyDescent="0.2">
      <c r="A539" t="s">
        <v>112</v>
      </c>
      <c r="B539" t="s">
        <v>982</v>
      </c>
      <c r="C539" s="1">
        <v>100000</v>
      </c>
    </row>
    <row r="540" spans="1:3" x14ac:dyDescent="0.2">
      <c r="A540" t="s">
        <v>112</v>
      </c>
      <c r="B540" t="s">
        <v>985</v>
      </c>
      <c r="C540" s="1">
        <v>50000</v>
      </c>
    </row>
    <row r="541" spans="1:3" x14ac:dyDescent="0.2">
      <c r="A541" t="s">
        <v>112</v>
      </c>
      <c r="B541" t="s">
        <v>987</v>
      </c>
      <c r="C541" s="1">
        <v>250000</v>
      </c>
    </row>
    <row r="542" spans="1:3" x14ac:dyDescent="0.2">
      <c r="A542" t="s">
        <v>112</v>
      </c>
      <c r="B542" t="s">
        <v>991</v>
      </c>
      <c r="C542" s="1">
        <v>345000</v>
      </c>
    </row>
    <row r="543" spans="1:3" x14ac:dyDescent="0.2">
      <c r="A543" t="s">
        <v>112</v>
      </c>
      <c r="B543" t="s">
        <v>994</v>
      </c>
      <c r="C543" s="1">
        <v>170000</v>
      </c>
    </row>
    <row r="544" spans="1:3" x14ac:dyDescent="0.2">
      <c r="A544" t="s">
        <v>112</v>
      </c>
      <c r="B544" t="s">
        <v>999</v>
      </c>
      <c r="C544" s="1">
        <v>250000</v>
      </c>
    </row>
    <row r="545" spans="1:3" x14ac:dyDescent="0.2">
      <c r="A545" t="s">
        <v>112</v>
      </c>
      <c r="B545" t="s">
        <v>1007</v>
      </c>
      <c r="C545" s="1">
        <v>150000</v>
      </c>
    </row>
    <row r="546" spans="1:3" x14ac:dyDescent="0.2">
      <c r="A546" t="s">
        <v>112</v>
      </c>
      <c r="B546" t="s">
        <v>1008</v>
      </c>
      <c r="C546" s="1">
        <v>45000</v>
      </c>
    </row>
    <row r="547" spans="1:3" x14ac:dyDescent="0.2">
      <c r="A547" t="s">
        <v>112</v>
      </c>
      <c r="B547" t="s">
        <v>1012</v>
      </c>
      <c r="C547" s="1">
        <v>80000</v>
      </c>
    </row>
    <row r="548" spans="1:3" x14ac:dyDescent="0.2">
      <c r="A548" t="s">
        <v>112</v>
      </c>
      <c r="B548" t="s">
        <v>1013</v>
      </c>
      <c r="C548" s="1">
        <v>52835</v>
      </c>
    </row>
    <row r="549" spans="1:3" x14ac:dyDescent="0.2">
      <c r="A549" t="s">
        <v>112</v>
      </c>
      <c r="B549" t="s">
        <v>1014</v>
      </c>
      <c r="C549" s="1">
        <v>21116.799999999999</v>
      </c>
    </row>
    <row r="550" spans="1:3" x14ac:dyDescent="0.2">
      <c r="A550" t="s">
        <v>112</v>
      </c>
      <c r="B550" t="s">
        <v>1015</v>
      </c>
      <c r="C550" s="1">
        <v>107000</v>
      </c>
    </row>
    <row r="551" spans="1:3" x14ac:dyDescent="0.2">
      <c r="A551" t="s">
        <v>112</v>
      </c>
      <c r="B551" t="s">
        <v>1016</v>
      </c>
      <c r="C551" s="1">
        <v>1272155.7</v>
      </c>
    </row>
    <row r="552" spans="1:3" x14ac:dyDescent="0.2">
      <c r="A552" t="s">
        <v>112</v>
      </c>
      <c r="B552" t="s">
        <v>1017</v>
      </c>
      <c r="C552" s="1">
        <v>748520</v>
      </c>
    </row>
    <row r="553" spans="1:3" x14ac:dyDescent="0.2">
      <c r="A553" t="s">
        <v>112</v>
      </c>
      <c r="B553" t="s">
        <v>1018</v>
      </c>
      <c r="C553" s="1">
        <v>807987</v>
      </c>
    </row>
    <row r="554" spans="1:3" x14ac:dyDescent="0.2">
      <c r="A554" t="s">
        <v>112</v>
      </c>
      <c r="B554" t="s">
        <v>1023</v>
      </c>
      <c r="C554" s="1">
        <v>97810</v>
      </c>
    </row>
    <row r="555" spans="1:3" x14ac:dyDescent="0.2">
      <c r="A555" t="s">
        <v>112</v>
      </c>
      <c r="B555" t="s">
        <v>1029</v>
      </c>
      <c r="C555" s="1">
        <v>26000</v>
      </c>
    </row>
    <row r="556" spans="1:3" x14ac:dyDescent="0.2">
      <c r="A556" t="s">
        <v>112</v>
      </c>
      <c r="B556" t="s">
        <v>1030</v>
      </c>
      <c r="C556" s="1">
        <v>100000</v>
      </c>
    </row>
    <row r="557" spans="1:3" x14ac:dyDescent="0.2">
      <c r="A557" t="s">
        <v>112</v>
      </c>
      <c r="B557" t="s">
        <v>1031</v>
      </c>
      <c r="C557" s="1">
        <v>700000</v>
      </c>
    </row>
    <row r="558" spans="1:3" x14ac:dyDescent="0.2">
      <c r="A558" t="s">
        <v>112</v>
      </c>
      <c r="B558" t="s">
        <v>1046</v>
      </c>
      <c r="C558" s="1">
        <v>10000</v>
      </c>
    </row>
    <row r="559" spans="1:3" x14ac:dyDescent="0.2">
      <c r="A559" t="s">
        <v>112</v>
      </c>
      <c r="B559" t="s">
        <v>1051</v>
      </c>
      <c r="C559" s="1">
        <v>8949</v>
      </c>
    </row>
    <row r="560" spans="1:3" x14ac:dyDescent="0.2">
      <c r="A560" t="s">
        <v>112</v>
      </c>
      <c r="B560" t="s">
        <v>1064</v>
      </c>
      <c r="C560" s="1">
        <v>100000</v>
      </c>
    </row>
    <row r="561" spans="1:3" x14ac:dyDescent="0.2">
      <c r="A561" t="s">
        <v>112</v>
      </c>
      <c r="B561" t="s">
        <v>1069</v>
      </c>
      <c r="C561" s="1">
        <v>5195575</v>
      </c>
    </row>
    <row r="562" spans="1:3" x14ac:dyDescent="0.2">
      <c r="A562" t="s">
        <v>112</v>
      </c>
      <c r="B562" t="s">
        <v>1071</v>
      </c>
      <c r="C562" s="1">
        <v>30000</v>
      </c>
    </row>
    <row r="563" spans="1:3" x14ac:dyDescent="0.2">
      <c r="A563" t="s">
        <v>112</v>
      </c>
      <c r="B563" t="s">
        <v>1075</v>
      </c>
      <c r="C563" s="1">
        <v>15575</v>
      </c>
    </row>
    <row r="564" spans="1:3" x14ac:dyDescent="0.2">
      <c r="A564" t="s">
        <v>112</v>
      </c>
      <c r="B564" t="s">
        <v>1076</v>
      </c>
      <c r="C564" s="1">
        <v>100000</v>
      </c>
    </row>
    <row r="565" spans="1:3" x14ac:dyDescent="0.2">
      <c r="A565" t="s">
        <v>112</v>
      </c>
      <c r="B565" t="s">
        <v>1093</v>
      </c>
      <c r="C565" s="1">
        <v>55000</v>
      </c>
    </row>
    <row r="566" spans="1:3" x14ac:dyDescent="0.2">
      <c r="A566" t="s">
        <v>112</v>
      </c>
      <c r="B566" t="s">
        <v>1107</v>
      </c>
      <c r="C566" s="1">
        <v>60000</v>
      </c>
    </row>
    <row r="567" spans="1:3" x14ac:dyDescent="0.2">
      <c r="A567" t="s">
        <v>112</v>
      </c>
      <c r="B567" t="s">
        <v>1108</v>
      </c>
      <c r="C567" s="1">
        <v>100000</v>
      </c>
    </row>
    <row r="568" spans="1:3" x14ac:dyDescent="0.2">
      <c r="A568" t="s">
        <v>112</v>
      </c>
      <c r="B568" t="s">
        <v>1111</v>
      </c>
      <c r="C568" s="1">
        <v>140000</v>
      </c>
    </row>
    <row r="569" spans="1:3" x14ac:dyDescent="0.2">
      <c r="A569" t="s">
        <v>112</v>
      </c>
      <c r="B569" t="s">
        <v>1112</v>
      </c>
      <c r="C569" s="1">
        <v>20000</v>
      </c>
    </row>
    <row r="570" spans="1:3" x14ac:dyDescent="0.2">
      <c r="A570" t="s">
        <v>112</v>
      </c>
      <c r="B570" t="s">
        <v>1113</v>
      </c>
      <c r="C570" s="1">
        <v>179000</v>
      </c>
    </row>
    <row r="571" spans="1:3" x14ac:dyDescent="0.2">
      <c r="A571" t="s">
        <v>112</v>
      </c>
      <c r="B571" t="s">
        <v>1114</v>
      </c>
      <c r="C571" s="1">
        <v>65000</v>
      </c>
    </row>
    <row r="572" spans="1:3" x14ac:dyDescent="0.2">
      <c r="A572" t="s">
        <v>112</v>
      </c>
      <c r="B572" t="s">
        <v>1115</v>
      </c>
      <c r="C572" s="1">
        <v>93000</v>
      </c>
    </row>
    <row r="573" spans="1:3" x14ac:dyDescent="0.2">
      <c r="A573" t="s">
        <v>112</v>
      </c>
      <c r="B573" t="s">
        <v>1116</v>
      </c>
      <c r="C573" s="1">
        <v>220000</v>
      </c>
    </row>
    <row r="574" spans="1:3" x14ac:dyDescent="0.2">
      <c r="A574" t="s">
        <v>112</v>
      </c>
      <c r="B574" t="s">
        <v>1117</v>
      </c>
      <c r="C574" s="1">
        <v>55000</v>
      </c>
    </row>
    <row r="575" spans="1:3" x14ac:dyDescent="0.2">
      <c r="A575" t="s">
        <v>112</v>
      </c>
      <c r="B575" t="s">
        <v>1118</v>
      </c>
      <c r="C575" s="1">
        <v>130000</v>
      </c>
    </row>
    <row r="576" spans="1:3" x14ac:dyDescent="0.2">
      <c r="A576" t="s">
        <v>112</v>
      </c>
      <c r="B576" t="s">
        <v>1119</v>
      </c>
      <c r="C576" s="1">
        <v>30000</v>
      </c>
    </row>
    <row r="577" spans="1:3" x14ac:dyDescent="0.2">
      <c r="A577" t="s">
        <v>112</v>
      </c>
      <c r="B577" t="s">
        <v>1120</v>
      </c>
      <c r="C577" s="1">
        <v>50000</v>
      </c>
    </row>
    <row r="578" spans="1:3" x14ac:dyDescent="0.2">
      <c r="A578" t="s">
        <v>112</v>
      </c>
      <c r="B578" t="s">
        <v>1121</v>
      </c>
      <c r="C578" s="1">
        <v>545000</v>
      </c>
    </row>
    <row r="579" spans="1:3" x14ac:dyDescent="0.2">
      <c r="A579" t="s">
        <v>112</v>
      </c>
      <c r="B579" t="s">
        <v>1122</v>
      </c>
      <c r="C579" s="1">
        <v>3000</v>
      </c>
    </row>
    <row r="580" spans="1:3" x14ac:dyDescent="0.2">
      <c r="A580" t="s">
        <v>112</v>
      </c>
      <c r="B580" t="s">
        <v>1123</v>
      </c>
      <c r="C580" s="1">
        <v>10000</v>
      </c>
    </row>
    <row r="581" spans="1:3" x14ac:dyDescent="0.2">
      <c r="A581" t="s">
        <v>112</v>
      </c>
      <c r="B581" t="s">
        <v>1124</v>
      </c>
      <c r="C581" s="1">
        <v>40000</v>
      </c>
    </row>
    <row r="582" spans="1:3" x14ac:dyDescent="0.2">
      <c r="A582" t="s">
        <v>112</v>
      </c>
      <c r="B582" t="s">
        <v>1125</v>
      </c>
      <c r="C582" s="1">
        <v>50000</v>
      </c>
    </row>
    <row r="583" spans="1:3" x14ac:dyDescent="0.2">
      <c r="A583" t="s">
        <v>112</v>
      </c>
      <c r="B583" t="s">
        <v>1126</v>
      </c>
      <c r="C583" s="1">
        <v>9000</v>
      </c>
    </row>
    <row r="584" spans="1:3" x14ac:dyDescent="0.2">
      <c r="A584" t="s">
        <v>112</v>
      </c>
      <c r="B584" t="s">
        <v>1127</v>
      </c>
      <c r="C584" s="1">
        <v>125000</v>
      </c>
    </row>
    <row r="585" spans="1:3" x14ac:dyDescent="0.2">
      <c r="A585" t="s">
        <v>112</v>
      </c>
      <c r="B585" t="s">
        <v>1128</v>
      </c>
      <c r="C585" s="1">
        <v>43000</v>
      </c>
    </row>
    <row r="586" spans="1:3" x14ac:dyDescent="0.2">
      <c r="A586" t="s">
        <v>112</v>
      </c>
      <c r="B586" t="s">
        <v>1129</v>
      </c>
      <c r="C586" s="1">
        <v>305000</v>
      </c>
    </row>
    <row r="587" spans="1:3" x14ac:dyDescent="0.2">
      <c r="A587" t="s">
        <v>112</v>
      </c>
      <c r="B587" t="s">
        <v>1130</v>
      </c>
      <c r="C587" s="1">
        <v>15000</v>
      </c>
    </row>
    <row r="588" spans="1:3" x14ac:dyDescent="0.2">
      <c r="A588" t="s">
        <v>112</v>
      </c>
      <c r="B588" t="s">
        <v>1131</v>
      </c>
      <c r="C588" s="1">
        <v>10000</v>
      </c>
    </row>
    <row r="589" spans="1:3" x14ac:dyDescent="0.2">
      <c r="A589" t="s">
        <v>112</v>
      </c>
      <c r="B589" t="s">
        <v>1132</v>
      </c>
      <c r="C589" s="1">
        <v>30000</v>
      </c>
    </row>
    <row r="590" spans="1:3" x14ac:dyDescent="0.2">
      <c r="A590" t="s">
        <v>112</v>
      </c>
      <c r="B590" t="s">
        <v>1133</v>
      </c>
      <c r="C590" s="1">
        <v>10000</v>
      </c>
    </row>
    <row r="591" spans="1:3" x14ac:dyDescent="0.2">
      <c r="A591" t="s">
        <v>112</v>
      </c>
      <c r="B591" t="s">
        <v>1134</v>
      </c>
      <c r="C591" s="1">
        <v>65000</v>
      </c>
    </row>
    <row r="592" spans="1:3" x14ac:dyDescent="0.2">
      <c r="A592" t="s">
        <v>112</v>
      </c>
      <c r="B592" t="s">
        <v>1135</v>
      </c>
      <c r="C592" s="1">
        <v>120000</v>
      </c>
    </row>
    <row r="593" spans="1:3" x14ac:dyDescent="0.2">
      <c r="A593" t="s">
        <v>112</v>
      </c>
      <c r="B593" t="s">
        <v>1136</v>
      </c>
      <c r="C593" s="1">
        <v>175000</v>
      </c>
    </row>
    <row r="594" spans="1:3" x14ac:dyDescent="0.2">
      <c r="A594" t="s">
        <v>112</v>
      </c>
      <c r="B594" t="s">
        <v>1137</v>
      </c>
      <c r="C594" s="1">
        <v>80000</v>
      </c>
    </row>
    <row r="595" spans="1:3" x14ac:dyDescent="0.2">
      <c r="A595" t="s">
        <v>112</v>
      </c>
      <c r="B595" t="s">
        <v>1138</v>
      </c>
      <c r="C595" s="1">
        <v>100000</v>
      </c>
    </row>
    <row r="596" spans="1:3" x14ac:dyDescent="0.2">
      <c r="A596" t="s">
        <v>112</v>
      </c>
      <c r="B596" t="s">
        <v>1139</v>
      </c>
      <c r="C596" s="1">
        <v>40000</v>
      </c>
    </row>
    <row r="597" spans="1:3" x14ac:dyDescent="0.2">
      <c r="A597" t="s">
        <v>112</v>
      </c>
      <c r="B597" t="s">
        <v>1140</v>
      </c>
      <c r="C597" s="1">
        <v>150000</v>
      </c>
    </row>
    <row r="598" spans="1:3" x14ac:dyDescent="0.2">
      <c r="A598" t="s">
        <v>112</v>
      </c>
      <c r="B598" t="s">
        <v>1141</v>
      </c>
      <c r="C598" s="1">
        <v>93000</v>
      </c>
    </row>
    <row r="599" spans="1:3" x14ac:dyDescent="0.2">
      <c r="A599" t="s">
        <v>112</v>
      </c>
      <c r="B599" t="s">
        <v>1142</v>
      </c>
      <c r="C599" s="1">
        <v>310000</v>
      </c>
    </row>
    <row r="600" spans="1:3" x14ac:dyDescent="0.2">
      <c r="A600" t="s">
        <v>112</v>
      </c>
      <c r="B600" t="s">
        <v>1143</v>
      </c>
      <c r="C600" s="1">
        <v>4000</v>
      </c>
    </row>
    <row r="601" spans="1:3" x14ac:dyDescent="0.2">
      <c r="A601" t="s">
        <v>112</v>
      </c>
      <c r="B601" t="s">
        <v>1144</v>
      </c>
      <c r="C601" s="1">
        <v>60000</v>
      </c>
    </row>
    <row r="602" spans="1:3" x14ac:dyDescent="0.2">
      <c r="A602" t="s">
        <v>112</v>
      </c>
      <c r="B602" t="s">
        <v>1145</v>
      </c>
      <c r="C602" s="1">
        <v>95000</v>
      </c>
    </row>
    <row r="603" spans="1:3" x14ac:dyDescent="0.2">
      <c r="A603" t="s">
        <v>112</v>
      </c>
      <c r="B603" t="s">
        <v>1146</v>
      </c>
      <c r="C603" s="1">
        <v>108000</v>
      </c>
    </row>
    <row r="604" spans="1:3" x14ac:dyDescent="0.2">
      <c r="A604" t="s">
        <v>112</v>
      </c>
      <c r="B604" t="s">
        <v>1147</v>
      </c>
      <c r="C604" s="1">
        <v>110000</v>
      </c>
    </row>
    <row r="605" spans="1:3" x14ac:dyDescent="0.2">
      <c r="A605" t="s">
        <v>112</v>
      </c>
      <c r="B605" t="s">
        <v>1148</v>
      </c>
      <c r="C605" s="1">
        <v>55000</v>
      </c>
    </row>
    <row r="606" spans="1:3" x14ac:dyDescent="0.2">
      <c r="A606" t="s">
        <v>112</v>
      </c>
      <c r="B606" t="s">
        <v>1149</v>
      </c>
      <c r="C606" s="1">
        <v>9000</v>
      </c>
    </row>
    <row r="607" spans="1:3" x14ac:dyDescent="0.2">
      <c r="A607" t="s">
        <v>112</v>
      </c>
      <c r="B607" t="s">
        <v>1150</v>
      </c>
      <c r="C607" s="1">
        <v>145000</v>
      </c>
    </row>
    <row r="608" spans="1:3" x14ac:dyDescent="0.2">
      <c r="A608" t="s">
        <v>112</v>
      </c>
      <c r="B608" t="s">
        <v>1151</v>
      </c>
      <c r="C608" s="1">
        <v>50000</v>
      </c>
    </row>
    <row r="609" spans="1:3" x14ac:dyDescent="0.2">
      <c r="A609" t="s">
        <v>112</v>
      </c>
      <c r="B609" t="s">
        <v>1152</v>
      </c>
      <c r="C609" s="1">
        <v>55000</v>
      </c>
    </row>
    <row r="610" spans="1:3" x14ac:dyDescent="0.2">
      <c r="A610" t="s">
        <v>112</v>
      </c>
      <c r="B610" t="s">
        <v>1153</v>
      </c>
      <c r="C610" s="1">
        <v>30000</v>
      </c>
    </row>
    <row r="611" spans="1:3" x14ac:dyDescent="0.2">
      <c r="A611" t="s">
        <v>112</v>
      </c>
      <c r="B611" t="s">
        <v>1154</v>
      </c>
      <c r="C611" s="1">
        <v>10000</v>
      </c>
    </row>
    <row r="612" spans="1:3" x14ac:dyDescent="0.2">
      <c r="A612" t="s">
        <v>112</v>
      </c>
      <c r="B612" t="s">
        <v>1155</v>
      </c>
      <c r="C612" s="1">
        <v>585000</v>
      </c>
    </row>
    <row r="613" spans="1:3" x14ac:dyDescent="0.2">
      <c r="A613" t="s">
        <v>112</v>
      </c>
      <c r="B613" t="s">
        <v>1156</v>
      </c>
      <c r="C613" s="1">
        <v>250000</v>
      </c>
    </row>
    <row r="614" spans="1:3" x14ac:dyDescent="0.2">
      <c r="A614" t="s">
        <v>112</v>
      </c>
      <c r="B614" t="s">
        <v>1157</v>
      </c>
      <c r="C614" s="1">
        <v>75000</v>
      </c>
    </row>
    <row r="615" spans="1:3" x14ac:dyDescent="0.2">
      <c r="A615" t="s">
        <v>112</v>
      </c>
      <c r="B615" t="s">
        <v>1158</v>
      </c>
      <c r="C615" s="1">
        <v>10000</v>
      </c>
    </row>
    <row r="616" spans="1:3" x14ac:dyDescent="0.2">
      <c r="A616" t="s">
        <v>112</v>
      </c>
      <c r="B616" t="s">
        <v>1159</v>
      </c>
      <c r="C616" s="1">
        <v>55000</v>
      </c>
    </row>
    <row r="617" spans="1:3" x14ac:dyDescent="0.2">
      <c r="A617" t="s">
        <v>112</v>
      </c>
      <c r="B617" t="s">
        <v>1160</v>
      </c>
      <c r="C617" s="1">
        <v>165000</v>
      </c>
    </row>
    <row r="618" spans="1:3" x14ac:dyDescent="0.2">
      <c r="A618" t="s">
        <v>112</v>
      </c>
      <c r="B618" t="s">
        <v>1161</v>
      </c>
      <c r="C618" s="1">
        <v>122000</v>
      </c>
    </row>
    <row r="619" spans="1:3" x14ac:dyDescent="0.2">
      <c r="A619" t="s">
        <v>112</v>
      </c>
      <c r="B619" t="s">
        <v>1162</v>
      </c>
      <c r="C619" s="1">
        <v>205000</v>
      </c>
    </row>
    <row r="620" spans="1:3" x14ac:dyDescent="0.2">
      <c r="A620" t="s">
        <v>112</v>
      </c>
      <c r="B620" t="s">
        <v>1163</v>
      </c>
      <c r="C620" s="1">
        <v>10000</v>
      </c>
    </row>
    <row r="621" spans="1:3" x14ac:dyDescent="0.2">
      <c r="A621" t="s">
        <v>112</v>
      </c>
      <c r="B621" t="s">
        <v>1164</v>
      </c>
      <c r="C621" s="1">
        <v>28000</v>
      </c>
    </row>
    <row r="622" spans="1:3" x14ac:dyDescent="0.2">
      <c r="A622" t="s">
        <v>112</v>
      </c>
      <c r="B622" t="s">
        <v>1165</v>
      </c>
      <c r="C622" s="1">
        <v>30000</v>
      </c>
    </row>
    <row r="623" spans="1:3" x14ac:dyDescent="0.2">
      <c r="A623" t="s">
        <v>112</v>
      </c>
      <c r="B623" t="s">
        <v>1166</v>
      </c>
      <c r="C623" s="1">
        <v>140000</v>
      </c>
    </row>
    <row r="624" spans="1:3" x14ac:dyDescent="0.2">
      <c r="A624" t="s">
        <v>112</v>
      </c>
      <c r="B624" t="s">
        <v>1183</v>
      </c>
      <c r="C624" s="1">
        <v>199000</v>
      </c>
    </row>
    <row r="625" spans="1:3" x14ac:dyDescent="0.2">
      <c r="A625" t="s">
        <v>112</v>
      </c>
      <c r="B625" t="s">
        <v>1184</v>
      </c>
      <c r="C625" s="1">
        <v>80000</v>
      </c>
    </row>
    <row r="626" spans="1:3" x14ac:dyDescent="0.2">
      <c r="A626" t="s">
        <v>112</v>
      </c>
      <c r="B626" t="s">
        <v>1185</v>
      </c>
      <c r="C626" s="1">
        <v>42000</v>
      </c>
    </row>
    <row r="627" spans="1:3" x14ac:dyDescent="0.2">
      <c r="A627" t="s">
        <v>112</v>
      </c>
      <c r="B627" t="s">
        <v>1186</v>
      </c>
      <c r="C627" s="1">
        <v>133000</v>
      </c>
    </row>
    <row r="628" spans="1:3" x14ac:dyDescent="0.2">
      <c r="A628" t="s">
        <v>112</v>
      </c>
      <c r="B628" t="s">
        <v>1187</v>
      </c>
      <c r="C628" s="1">
        <v>275000</v>
      </c>
    </row>
    <row r="629" spans="1:3" x14ac:dyDescent="0.2">
      <c r="A629" t="s">
        <v>112</v>
      </c>
      <c r="B629" t="s">
        <v>1188</v>
      </c>
      <c r="C629" s="1">
        <v>30000</v>
      </c>
    </row>
    <row r="630" spans="1:3" x14ac:dyDescent="0.2">
      <c r="A630" t="s">
        <v>112</v>
      </c>
      <c r="B630" t="s">
        <v>1189</v>
      </c>
      <c r="C630" s="1">
        <v>35000</v>
      </c>
    </row>
    <row r="631" spans="1:3" x14ac:dyDescent="0.2">
      <c r="A631" t="s">
        <v>112</v>
      </c>
      <c r="B631" t="s">
        <v>1190</v>
      </c>
      <c r="C631" s="1">
        <v>45000</v>
      </c>
    </row>
    <row r="632" spans="1:3" x14ac:dyDescent="0.2">
      <c r="A632" t="s">
        <v>112</v>
      </c>
      <c r="B632" t="s">
        <v>1191</v>
      </c>
      <c r="C632" s="1">
        <v>10000</v>
      </c>
    </row>
    <row r="633" spans="1:3" x14ac:dyDescent="0.2">
      <c r="A633" t="s">
        <v>112</v>
      </c>
      <c r="B633" t="s">
        <v>1192</v>
      </c>
      <c r="C633" s="1">
        <v>55000</v>
      </c>
    </row>
    <row r="634" spans="1:3" x14ac:dyDescent="0.2">
      <c r="A634" t="s">
        <v>112</v>
      </c>
      <c r="B634" t="s">
        <v>1193</v>
      </c>
      <c r="C634" s="1">
        <v>55000</v>
      </c>
    </row>
    <row r="635" spans="1:3" x14ac:dyDescent="0.2">
      <c r="A635" t="s">
        <v>112</v>
      </c>
      <c r="B635" t="s">
        <v>1194</v>
      </c>
      <c r="C635" s="1">
        <v>75000</v>
      </c>
    </row>
    <row r="636" spans="1:3" x14ac:dyDescent="0.2">
      <c r="A636" t="s">
        <v>112</v>
      </c>
      <c r="B636" t="s">
        <v>1195</v>
      </c>
      <c r="C636" s="1">
        <v>110000</v>
      </c>
    </row>
    <row r="637" spans="1:3" x14ac:dyDescent="0.2">
      <c r="A637" t="s">
        <v>112</v>
      </c>
      <c r="B637" t="s">
        <v>1196</v>
      </c>
      <c r="C637" s="1">
        <v>30000</v>
      </c>
    </row>
    <row r="638" spans="1:3" x14ac:dyDescent="0.2">
      <c r="A638" t="s">
        <v>112</v>
      </c>
      <c r="B638" t="s">
        <v>1197</v>
      </c>
      <c r="C638" s="1">
        <v>30000</v>
      </c>
    </row>
    <row r="639" spans="1:3" x14ac:dyDescent="0.2">
      <c r="A639" t="s">
        <v>112</v>
      </c>
      <c r="B639" t="s">
        <v>1198</v>
      </c>
      <c r="C639" s="1">
        <v>50000</v>
      </c>
    </row>
    <row r="640" spans="1:3" x14ac:dyDescent="0.2">
      <c r="A640" t="s">
        <v>112</v>
      </c>
      <c r="B640" t="s">
        <v>1199</v>
      </c>
      <c r="C640" s="1">
        <v>134000</v>
      </c>
    </row>
    <row r="641" spans="1:3" x14ac:dyDescent="0.2">
      <c r="A641" t="s">
        <v>112</v>
      </c>
      <c r="B641" t="s">
        <v>1200</v>
      </c>
      <c r="C641" s="1">
        <v>180000</v>
      </c>
    </row>
    <row r="642" spans="1:3" x14ac:dyDescent="0.2">
      <c r="A642" t="s">
        <v>112</v>
      </c>
      <c r="B642" t="s">
        <v>1201</v>
      </c>
      <c r="C642" s="1">
        <v>30000</v>
      </c>
    </row>
    <row r="643" spans="1:3" x14ac:dyDescent="0.2">
      <c r="A643" t="s">
        <v>112</v>
      </c>
      <c r="B643" t="s">
        <v>1202</v>
      </c>
      <c r="C643" s="1">
        <v>140000</v>
      </c>
    </row>
    <row r="644" spans="1:3" x14ac:dyDescent="0.2">
      <c r="A644" t="s">
        <v>112</v>
      </c>
      <c r="B644" t="s">
        <v>1203</v>
      </c>
      <c r="C644" s="1">
        <v>45000</v>
      </c>
    </row>
    <row r="645" spans="1:3" x14ac:dyDescent="0.2">
      <c r="A645" t="s">
        <v>112</v>
      </c>
      <c r="B645" t="s">
        <v>1204</v>
      </c>
      <c r="C645" s="1">
        <v>87000</v>
      </c>
    </row>
    <row r="646" spans="1:3" x14ac:dyDescent="0.2">
      <c r="A646" t="s">
        <v>112</v>
      </c>
      <c r="B646" t="s">
        <v>1205</v>
      </c>
      <c r="C646" s="1">
        <v>29000</v>
      </c>
    </row>
    <row r="647" spans="1:3" x14ac:dyDescent="0.2">
      <c r="A647" t="s">
        <v>112</v>
      </c>
      <c r="B647" t="s">
        <v>1206</v>
      </c>
      <c r="C647" s="1">
        <v>119000</v>
      </c>
    </row>
    <row r="648" spans="1:3" x14ac:dyDescent="0.2">
      <c r="A648" t="s">
        <v>112</v>
      </c>
      <c r="B648" t="s">
        <v>1207</v>
      </c>
      <c r="C648" s="1">
        <v>160000</v>
      </c>
    </row>
    <row r="649" spans="1:3" x14ac:dyDescent="0.2">
      <c r="A649" t="s">
        <v>112</v>
      </c>
      <c r="B649" t="s">
        <v>1209</v>
      </c>
      <c r="C649" s="1">
        <v>359000</v>
      </c>
    </row>
    <row r="650" spans="1:3" x14ac:dyDescent="0.2">
      <c r="A650" t="s">
        <v>112</v>
      </c>
      <c r="B650" t="s">
        <v>1210</v>
      </c>
      <c r="C650" s="1">
        <v>345000</v>
      </c>
    </row>
    <row r="651" spans="1:3" x14ac:dyDescent="0.2">
      <c r="A651" t="s">
        <v>112</v>
      </c>
      <c r="B651" t="s">
        <v>1211</v>
      </c>
      <c r="C651" s="1">
        <v>85000</v>
      </c>
    </row>
    <row r="652" spans="1:3" x14ac:dyDescent="0.2">
      <c r="A652" t="s">
        <v>112</v>
      </c>
      <c r="B652" t="s">
        <v>1212</v>
      </c>
      <c r="C652" s="1">
        <v>100000</v>
      </c>
    </row>
    <row r="653" spans="1:3" x14ac:dyDescent="0.2">
      <c r="A653" t="s">
        <v>112</v>
      </c>
      <c r="B653" t="s">
        <v>1213</v>
      </c>
      <c r="C653" s="1">
        <v>10000</v>
      </c>
    </row>
    <row r="654" spans="1:3" x14ac:dyDescent="0.2">
      <c r="A654" t="s">
        <v>112</v>
      </c>
      <c r="B654" t="s">
        <v>1214</v>
      </c>
      <c r="C654" s="1">
        <v>30000</v>
      </c>
    </row>
    <row r="655" spans="1:3" x14ac:dyDescent="0.2">
      <c r="A655" t="s">
        <v>112</v>
      </c>
      <c r="B655" t="s">
        <v>1216</v>
      </c>
      <c r="C655" s="1">
        <v>65000</v>
      </c>
    </row>
    <row r="656" spans="1:3" x14ac:dyDescent="0.2">
      <c r="A656" t="s">
        <v>112</v>
      </c>
      <c r="B656" t="s">
        <v>1218</v>
      </c>
      <c r="C656" s="1">
        <v>100000</v>
      </c>
    </row>
    <row r="657" spans="1:3" x14ac:dyDescent="0.2">
      <c r="A657" t="s">
        <v>112</v>
      </c>
      <c r="B657" t="s">
        <v>1219</v>
      </c>
      <c r="C657" s="1">
        <v>60000</v>
      </c>
    </row>
    <row r="658" spans="1:3" x14ac:dyDescent="0.2">
      <c r="A658" t="s">
        <v>112</v>
      </c>
      <c r="B658" t="s">
        <v>1220</v>
      </c>
      <c r="C658" s="1">
        <v>345000</v>
      </c>
    </row>
    <row r="659" spans="1:3" x14ac:dyDescent="0.2">
      <c r="A659" t="s">
        <v>112</v>
      </c>
      <c r="B659" t="s">
        <v>1221</v>
      </c>
      <c r="C659" s="1">
        <v>21000</v>
      </c>
    </row>
    <row r="660" spans="1:3" x14ac:dyDescent="0.2">
      <c r="A660" t="s">
        <v>112</v>
      </c>
      <c r="B660" t="s">
        <v>1222</v>
      </c>
      <c r="C660" s="1">
        <v>30000</v>
      </c>
    </row>
    <row r="661" spans="1:3" x14ac:dyDescent="0.2">
      <c r="A661" t="s">
        <v>112</v>
      </c>
      <c r="B661" t="s">
        <v>1223</v>
      </c>
      <c r="C661" s="1">
        <v>30000</v>
      </c>
    </row>
    <row r="662" spans="1:3" x14ac:dyDescent="0.2">
      <c r="A662" t="s">
        <v>112</v>
      </c>
      <c r="B662" t="s">
        <v>1224</v>
      </c>
      <c r="C662" s="1">
        <v>15000</v>
      </c>
    </row>
    <row r="663" spans="1:3" x14ac:dyDescent="0.2">
      <c r="A663" t="s">
        <v>112</v>
      </c>
      <c r="B663" t="s">
        <v>1225</v>
      </c>
      <c r="C663" s="1">
        <v>10000</v>
      </c>
    </row>
    <row r="664" spans="1:3" x14ac:dyDescent="0.2">
      <c r="A664" t="s">
        <v>112</v>
      </c>
      <c r="B664" t="s">
        <v>1226</v>
      </c>
      <c r="C664" s="1">
        <v>10000</v>
      </c>
    </row>
    <row r="665" spans="1:3" x14ac:dyDescent="0.2">
      <c r="A665" t="s">
        <v>112</v>
      </c>
      <c r="B665" t="s">
        <v>1227</v>
      </c>
      <c r="C665" s="1">
        <v>45000</v>
      </c>
    </row>
    <row r="666" spans="1:3" x14ac:dyDescent="0.2">
      <c r="A666" t="s">
        <v>112</v>
      </c>
      <c r="B666" t="s">
        <v>1228</v>
      </c>
      <c r="C666" s="1">
        <v>25000</v>
      </c>
    </row>
    <row r="667" spans="1:3" x14ac:dyDescent="0.2">
      <c r="A667" t="s">
        <v>112</v>
      </c>
      <c r="B667" t="s">
        <v>1229</v>
      </c>
      <c r="C667" s="1">
        <v>33000</v>
      </c>
    </row>
    <row r="668" spans="1:3" x14ac:dyDescent="0.2">
      <c r="A668" t="s">
        <v>112</v>
      </c>
      <c r="B668" t="s">
        <v>1230</v>
      </c>
      <c r="C668" s="1">
        <v>10000</v>
      </c>
    </row>
    <row r="669" spans="1:3" x14ac:dyDescent="0.2">
      <c r="A669" t="s">
        <v>112</v>
      </c>
      <c r="B669" t="s">
        <v>1231</v>
      </c>
      <c r="C669" s="1">
        <v>85000</v>
      </c>
    </row>
    <row r="670" spans="1:3" x14ac:dyDescent="0.2">
      <c r="A670" t="s">
        <v>112</v>
      </c>
      <c r="B670" t="s">
        <v>1232</v>
      </c>
      <c r="C670" s="1">
        <v>95000</v>
      </c>
    </row>
    <row r="671" spans="1:3" x14ac:dyDescent="0.2">
      <c r="A671" t="s">
        <v>112</v>
      </c>
      <c r="B671" t="s">
        <v>1233</v>
      </c>
      <c r="C671" s="1">
        <v>225000</v>
      </c>
    </row>
    <row r="672" spans="1:3" x14ac:dyDescent="0.2">
      <c r="A672" t="s">
        <v>112</v>
      </c>
      <c r="B672" t="s">
        <v>1234</v>
      </c>
      <c r="C672" s="1">
        <v>55000</v>
      </c>
    </row>
    <row r="673" spans="1:3" x14ac:dyDescent="0.2">
      <c r="A673" t="s">
        <v>112</v>
      </c>
      <c r="B673" t="s">
        <v>1235</v>
      </c>
      <c r="C673" s="1">
        <v>125000</v>
      </c>
    </row>
    <row r="674" spans="1:3" x14ac:dyDescent="0.2">
      <c r="A674" t="s">
        <v>112</v>
      </c>
      <c r="B674" t="s">
        <v>1236</v>
      </c>
      <c r="C674" s="1">
        <v>270000</v>
      </c>
    </row>
    <row r="675" spans="1:3" x14ac:dyDescent="0.2">
      <c r="A675" t="s">
        <v>112</v>
      </c>
      <c r="B675" t="s">
        <v>1237</v>
      </c>
      <c r="C675" s="1">
        <v>235000</v>
      </c>
    </row>
    <row r="676" spans="1:3" x14ac:dyDescent="0.2">
      <c r="A676" t="s">
        <v>112</v>
      </c>
      <c r="B676" t="s">
        <v>1238</v>
      </c>
      <c r="C676" s="1">
        <v>130000</v>
      </c>
    </row>
    <row r="677" spans="1:3" x14ac:dyDescent="0.2">
      <c r="A677" t="s">
        <v>112</v>
      </c>
      <c r="B677" t="s">
        <v>1239</v>
      </c>
      <c r="C677" s="1">
        <v>23000</v>
      </c>
    </row>
    <row r="678" spans="1:3" x14ac:dyDescent="0.2">
      <c r="A678" t="s">
        <v>112</v>
      </c>
      <c r="B678" t="s">
        <v>1240</v>
      </c>
      <c r="C678" s="1">
        <v>150000</v>
      </c>
    </row>
    <row r="679" spans="1:3" x14ac:dyDescent="0.2">
      <c r="A679" t="s">
        <v>112</v>
      </c>
      <c r="B679" t="s">
        <v>1241</v>
      </c>
      <c r="C679" s="1">
        <v>10000</v>
      </c>
    </row>
    <row r="680" spans="1:3" x14ac:dyDescent="0.2">
      <c r="A680" t="s">
        <v>112</v>
      </c>
      <c r="B680" t="s">
        <v>1242</v>
      </c>
      <c r="C680" s="1">
        <v>215000</v>
      </c>
    </row>
    <row r="681" spans="1:3" x14ac:dyDescent="0.2">
      <c r="A681" t="s">
        <v>112</v>
      </c>
      <c r="B681" t="s">
        <v>1243</v>
      </c>
      <c r="C681" s="1">
        <v>178000</v>
      </c>
    </row>
    <row r="682" spans="1:3" x14ac:dyDescent="0.2">
      <c r="A682" t="s">
        <v>112</v>
      </c>
      <c r="B682" t="s">
        <v>1244</v>
      </c>
      <c r="C682" s="1">
        <v>195000</v>
      </c>
    </row>
    <row r="683" spans="1:3" x14ac:dyDescent="0.2">
      <c r="A683" t="s">
        <v>112</v>
      </c>
      <c r="B683" t="s">
        <v>1245</v>
      </c>
      <c r="C683" s="1">
        <v>100000</v>
      </c>
    </row>
    <row r="684" spans="1:3" x14ac:dyDescent="0.2">
      <c r="A684" t="s">
        <v>112</v>
      </c>
      <c r="B684" t="s">
        <v>1246</v>
      </c>
      <c r="C684" s="1">
        <v>110000</v>
      </c>
    </row>
    <row r="685" spans="1:3" x14ac:dyDescent="0.2">
      <c r="A685" t="s">
        <v>112</v>
      </c>
      <c r="B685" t="s">
        <v>1247</v>
      </c>
      <c r="C685" s="1">
        <v>30000</v>
      </c>
    </row>
    <row r="686" spans="1:3" x14ac:dyDescent="0.2">
      <c r="A686" t="s">
        <v>112</v>
      </c>
      <c r="B686" t="s">
        <v>1248</v>
      </c>
      <c r="C686" s="1">
        <v>150000</v>
      </c>
    </row>
    <row r="687" spans="1:3" x14ac:dyDescent="0.2">
      <c r="A687" t="s">
        <v>112</v>
      </c>
      <c r="B687" t="s">
        <v>1249</v>
      </c>
      <c r="C687" s="1">
        <v>325000</v>
      </c>
    </row>
    <row r="688" spans="1:3" x14ac:dyDescent="0.2">
      <c r="A688" t="s">
        <v>112</v>
      </c>
      <c r="B688" t="s">
        <v>1250</v>
      </c>
      <c r="C688" s="1">
        <v>97000</v>
      </c>
    </row>
    <row r="689" spans="1:12" x14ac:dyDescent="0.2">
      <c r="A689" t="s">
        <v>112</v>
      </c>
      <c r="B689" t="s">
        <v>1251</v>
      </c>
      <c r="C689" s="1">
        <v>10000</v>
      </c>
    </row>
    <row r="690" spans="1:12" x14ac:dyDescent="0.2">
      <c r="A690" t="s">
        <v>112</v>
      </c>
      <c r="B690" t="s">
        <v>1252</v>
      </c>
      <c r="C690" s="1">
        <v>6000</v>
      </c>
    </row>
    <row r="691" spans="1:12" x14ac:dyDescent="0.2">
      <c r="A691" t="s">
        <v>112</v>
      </c>
      <c r="B691" t="s">
        <v>1253</v>
      </c>
      <c r="C691" s="1">
        <v>10000</v>
      </c>
    </row>
    <row r="692" spans="1:12" x14ac:dyDescent="0.2">
      <c r="A692" t="s">
        <v>112</v>
      </c>
      <c r="B692" t="s">
        <v>1254</v>
      </c>
      <c r="C692" s="1">
        <v>109000</v>
      </c>
    </row>
    <row r="693" spans="1:12" x14ac:dyDescent="0.2">
      <c r="A693" t="s">
        <v>112</v>
      </c>
      <c r="B693" t="s">
        <v>1255</v>
      </c>
      <c r="C693" s="1">
        <v>37500</v>
      </c>
    </row>
    <row r="694" spans="1:12" x14ac:dyDescent="0.2">
      <c r="A694" t="s">
        <v>112</v>
      </c>
      <c r="B694" t="s">
        <v>1256</v>
      </c>
      <c r="C694" s="1">
        <v>78000</v>
      </c>
      <c r="J694" t="s">
        <v>59</v>
      </c>
      <c r="K694" t="s">
        <v>196</v>
      </c>
      <c r="L694">
        <v>25000000</v>
      </c>
    </row>
    <row r="695" spans="1:12" x14ac:dyDescent="0.2">
      <c r="A695" t="s">
        <v>112</v>
      </c>
      <c r="B695" t="s">
        <v>1257</v>
      </c>
      <c r="C695" s="1">
        <v>25000</v>
      </c>
    </row>
    <row r="696" spans="1:12" x14ac:dyDescent="0.2">
      <c r="A696" t="s">
        <v>112</v>
      </c>
      <c r="B696" t="s">
        <v>1258</v>
      </c>
      <c r="C696" s="1">
        <v>29000</v>
      </c>
    </row>
    <row r="697" spans="1:12" x14ac:dyDescent="0.2">
      <c r="A697" t="s">
        <v>112</v>
      </c>
      <c r="B697" t="s">
        <v>1259</v>
      </c>
      <c r="C697" s="1">
        <v>60000</v>
      </c>
    </row>
    <row r="698" spans="1:12" x14ac:dyDescent="0.2">
      <c r="A698" t="s">
        <v>112</v>
      </c>
      <c r="B698" t="s">
        <v>1260</v>
      </c>
      <c r="C698" s="1">
        <v>85000</v>
      </c>
    </row>
    <row r="699" spans="1:12" x14ac:dyDescent="0.2">
      <c r="A699" t="s">
        <v>112</v>
      </c>
      <c r="B699" t="s">
        <v>1261</v>
      </c>
      <c r="C699" s="1">
        <v>10000</v>
      </c>
    </row>
    <row r="700" spans="1:12" x14ac:dyDescent="0.2">
      <c r="A700" t="s">
        <v>112</v>
      </c>
      <c r="B700" t="s">
        <v>1262</v>
      </c>
      <c r="C700" s="1">
        <v>400000</v>
      </c>
    </row>
    <row r="701" spans="1:12" x14ac:dyDescent="0.2">
      <c r="A701" t="s">
        <v>112</v>
      </c>
      <c r="B701" t="s">
        <v>1263</v>
      </c>
      <c r="C701" s="1">
        <v>57000</v>
      </c>
    </row>
    <row r="702" spans="1:12" x14ac:dyDescent="0.2">
      <c r="A702" t="s">
        <v>112</v>
      </c>
      <c r="B702" t="s">
        <v>1264</v>
      </c>
      <c r="C702" s="1">
        <v>40000</v>
      </c>
    </row>
    <row r="703" spans="1:12" x14ac:dyDescent="0.2">
      <c r="A703" t="s">
        <v>112</v>
      </c>
      <c r="B703" t="s">
        <v>1265</v>
      </c>
      <c r="C703" s="1">
        <v>15000</v>
      </c>
    </row>
    <row r="704" spans="1:12" x14ac:dyDescent="0.2">
      <c r="A704" t="s">
        <v>112</v>
      </c>
      <c r="B704" t="s">
        <v>1266</v>
      </c>
      <c r="C704" s="1">
        <v>20000</v>
      </c>
    </row>
    <row r="705" spans="1:3" x14ac:dyDescent="0.2">
      <c r="A705" t="s">
        <v>112</v>
      </c>
      <c r="B705" t="s">
        <v>1267</v>
      </c>
      <c r="C705" s="1">
        <v>10000</v>
      </c>
    </row>
    <row r="706" spans="1:3" x14ac:dyDescent="0.2">
      <c r="A706" t="s">
        <v>112</v>
      </c>
      <c r="B706" t="s">
        <v>1268</v>
      </c>
      <c r="C706" s="1">
        <v>40000</v>
      </c>
    </row>
    <row r="707" spans="1:3" x14ac:dyDescent="0.2">
      <c r="A707" t="s">
        <v>112</v>
      </c>
      <c r="B707" t="s">
        <v>1269</v>
      </c>
      <c r="C707" s="1">
        <v>120000</v>
      </c>
    </row>
    <row r="708" spans="1:3" x14ac:dyDescent="0.2">
      <c r="A708" t="s">
        <v>112</v>
      </c>
      <c r="B708" t="s">
        <v>1270</v>
      </c>
      <c r="C708" s="1">
        <v>320000</v>
      </c>
    </row>
    <row r="709" spans="1:3" x14ac:dyDescent="0.2">
      <c r="A709" t="s">
        <v>112</v>
      </c>
      <c r="B709" t="s">
        <v>1271</v>
      </c>
      <c r="C709" s="1">
        <v>30000</v>
      </c>
    </row>
    <row r="710" spans="1:3" x14ac:dyDescent="0.2">
      <c r="A710" t="s">
        <v>112</v>
      </c>
      <c r="B710" t="s">
        <v>1272</v>
      </c>
      <c r="C710" s="1">
        <v>45000</v>
      </c>
    </row>
    <row r="711" spans="1:3" x14ac:dyDescent="0.2">
      <c r="A711" t="s">
        <v>112</v>
      </c>
      <c r="B711" t="s">
        <v>1273</v>
      </c>
      <c r="C711" s="1">
        <v>190000</v>
      </c>
    </row>
    <row r="712" spans="1:3" x14ac:dyDescent="0.2">
      <c r="A712" t="s">
        <v>112</v>
      </c>
      <c r="B712" t="s">
        <v>1274</v>
      </c>
      <c r="C712" s="1">
        <v>290000</v>
      </c>
    </row>
    <row r="713" spans="1:3" x14ac:dyDescent="0.2">
      <c r="A713" t="s">
        <v>112</v>
      </c>
      <c r="B713" t="s">
        <v>1275</v>
      </c>
      <c r="C713" s="1">
        <v>255000</v>
      </c>
    </row>
    <row r="714" spans="1:3" x14ac:dyDescent="0.2">
      <c r="A714" t="s">
        <v>112</v>
      </c>
      <c r="B714" t="s">
        <v>1276</v>
      </c>
      <c r="C714" s="1">
        <v>89000</v>
      </c>
    </row>
    <row r="715" spans="1:3" x14ac:dyDescent="0.2">
      <c r="A715" t="s">
        <v>112</v>
      </c>
      <c r="B715" t="s">
        <v>1277</v>
      </c>
      <c r="C715" s="1">
        <v>190000</v>
      </c>
    </row>
    <row r="716" spans="1:3" x14ac:dyDescent="0.2">
      <c r="A716" t="s">
        <v>112</v>
      </c>
      <c r="B716" t="s">
        <v>1278</v>
      </c>
      <c r="C716" s="1">
        <v>6000</v>
      </c>
    </row>
    <row r="717" spans="1:3" x14ac:dyDescent="0.2">
      <c r="A717" t="s">
        <v>112</v>
      </c>
      <c r="B717" t="s">
        <v>1279</v>
      </c>
      <c r="C717" s="1">
        <v>45000</v>
      </c>
    </row>
    <row r="718" spans="1:3" x14ac:dyDescent="0.2">
      <c r="A718" t="s">
        <v>112</v>
      </c>
      <c r="B718" t="s">
        <v>1280</v>
      </c>
      <c r="C718" s="1">
        <v>130000</v>
      </c>
    </row>
    <row r="719" spans="1:3" x14ac:dyDescent="0.2">
      <c r="A719" t="s">
        <v>112</v>
      </c>
      <c r="B719" t="s">
        <v>1281</v>
      </c>
      <c r="C719" s="1">
        <v>10000</v>
      </c>
    </row>
    <row r="720" spans="1:3" x14ac:dyDescent="0.2">
      <c r="A720" t="s">
        <v>112</v>
      </c>
      <c r="B720" t="s">
        <v>1282</v>
      </c>
      <c r="C720" s="1">
        <v>10000</v>
      </c>
    </row>
    <row r="721" spans="1:3" x14ac:dyDescent="0.2">
      <c r="A721" t="s">
        <v>112</v>
      </c>
      <c r="B721" t="s">
        <v>1283</v>
      </c>
      <c r="C721" s="1">
        <v>250000</v>
      </c>
    </row>
    <row r="722" spans="1:3" x14ac:dyDescent="0.2">
      <c r="A722" t="s">
        <v>112</v>
      </c>
      <c r="B722" t="s">
        <v>1284</v>
      </c>
      <c r="C722" s="1">
        <v>75000</v>
      </c>
    </row>
    <row r="723" spans="1:3" x14ac:dyDescent="0.2">
      <c r="A723" t="s">
        <v>112</v>
      </c>
      <c r="B723" t="s">
        <v>1285</v>
      </c>
      <c r="C723" s="1">
        <v>45000</v>
      </c>
    </row>
    <row r="724" spans="1:3" x14ac:dyDescent="0.2">
      <c r="A724" t="s">
        <v>112</v>
      </c>
      <c r="B724" t="s">
        <v>1286</v>
      </c>
      <c r="C724" s="1">
        <v>10000</v>
      </c>
    </row>
    <row r="725" spans="1:3" x14ac:dyDescent="0.2">
      <c r="A725" t="s">
        <v>112</v>
      </c>
      <c r="B725" t="s">
        <v>1287</v>
      </c>
      <c r="C725" s="1">
        <v>350000</v>
      </c>
    </row>
    <row r="726" spans="1:3" x14ac:dyDescent="0.2">
      <c r="A726" t="s">
        <v>112</v>
      </c>
      <c r="B726" t="s">
        <v>1288</v>
      </c>
      <c r="C726" s="1">
        <v>100000</v>
      </c>
    </row>
    <row r="727" spans="1:3" x14ac:dyDescent="0.2">
      <c r="A727" t="s">
        <v>112</v>
      </c>
      <c r="B727" t="s">
        <v>1289</v>
      </c>
      <c r="C727" s="1">
        <v>180000</v>
      </c>
    </row>
    <row r="728" spans="1:3" x14ac:dyDescent="0.2">
      <c r="A728" t="s">
        <v>112</v>
      </c>
      <c r="B728" t="s">
        <v>1290</v>
      </c>
      <c r="C728" s="1">
        <v>140000</v>
      </c>
    </row>
    <row r="729" spans="1:3" x14ac:dyDescent="0.2">
      <c r="A729" t="s">
        <v>112</v>
      </c>
      <c r="B729" t="s">
        <v>1291</v>
      </c>
      <c r="C729" s="1">
        <v>192000</v>
      </c>
    </row>
    <row r="730" spans="1:3" x14ac:dyDescent="0.2">
      <c r="A730" t="s">
        <v>112</v>
      </c>
      <c r="B730" t="s">
        <v>1292</v>
      </c>
      <c r="C730" s="1">
        <v>25000</v>
      </c>
    </row>
    <row r="731" spans="1:3" x14ac:dyDescent="0.2">
      <c r="A731" t="s">
        <v>112</v>
      </c>
      <c r="B731" t="s">
        <v>1293</v>
      </c>
      <c r="C731" s="1">
        <v>135000</v>
      </c>
    </row>
    <row r="732" spans="1:3" x14ac:dyDescent="0.2">
      <c r="A732" t="s">
        <v>112</v>
      </c>
      <c r="B732" t="s">
        <v>1294</v>
      </c>
      <c r="C732" s="1">
        <v>140000</v>
      </c>
    </row>
    <row r="733" spans="1:3" x14ac:dyDescent="0.2">
      <c r="A733" t="s">
        <v>112</v>
      </c>
      <c r="B733" t="s">
        <v>1296</v>
      </c>
      <c r="C733" s="1">
        <v>30000</v>
      </c>
    </row>
    <row r="734" spans="1:3" x14ac:dyDescent="0.2">
      <c r="A734" t="s">
        <v>112</v>
      </c>
      <c r="B734" t="s">
        <v>1297</v>
      </c>
      <c r="C734" s="1">
        <v>10000</v>
      </c>
    </row>
    <row r="735" spans="1:3" x14ac:dyDescent="0.2">
      <c r="A735" t="s">
        <v>112</v>
      </c>
      <c r="B735" t="s">
        <v>1298</v>
      </c>
      <c r="C735" s="1">
        <v>25000</v>
      </c>
    </row>
    <row r="736" spans="1:3" x14ac:dyDescent="0.2">
      <c r="A736" t="s">
        <v>112</v>
      </c>
      <c r="B736" t="s">
        <v>1299</v>
      </c>
      <c r="C736" s="1">
        <v>75000</v>
      </c>
    </row>
    <row r="737" spans="1:3" x14ac:dyDescent="0.2">
      <c r="A737" t="s">
        <v>112</v>
      </c>
      <c r="B737" t="s">
        <v>1300</v>
      </c>
      <c r="C737" s="1">
        <v>153000</v>
      </c>
    </row>
    <row r="738" spans="1:3" x14ac:dyDescent="0.2">
      <c r="A738" t="s">
        <v>112</v>
      </c>
      <c r="B738" t="s">
        <v>1301</v>
      </c>
      <c r="C738" s="1">
        <v>255000</v>
      </c>
    </row>
    <row r="739" spans="1:3" x14ac:dyDescent="0.2">
      <c r="A739" t="s">
        <v>112</v>
      </c>
      <c r="B739" t="s">
        <v>1302</v>
      </c>
      <c r="C739" s="1">
        <v>140000</v>
      </c>
    </row>
    <row r="740" spans="1:3" x14ac:dyDescent="0.2">
      <c r="A740" t="s">
        <v>112</v>
      </c>
      <c r="B740" t="s">
        <v>1303</v>
      </c>
      <c r="C740" s="1">
        <v>30000</v>
      </c>
    </row>
    <row r="741" spans="1:3" x14ac:dyDescent="0.2">
      <c r="A741" t="s">
        <v>112</v>
      </c>
      <c r="B741" t="s">
        <v>1304</v>
      </c>
      <c r="C741" s="1">
        <v>430000</v>
      </c>
    </row>
    <row r="742" spans="1:3" x14ac:dyDescent="0.2">
      <c r="A742" t="s">
        <v>112</v>
      </c>
      <c r="B742" t="s">
        <v>1305</v>
      </c>
      <c r="C742" s="1">
        <v>200000</v>
      </c>
    </row>
    <row r="743" spans="1:3" x14ac:dyDescent="0.2">
      <c r="A743" t="s">
        <v>112</v>
      </c>
      <c r="B743" t="s">
        <v>1306</v>
      </c>
      <c r="C743" s="1">
        <v>29000</v>
      </c>
    </row>
    <row r="744" spans="1:3" x14ac:dyDescent="0.2">
      <c r="A744" t="s">
        <v>112</v>
      </c>
      <c r="B744" t="s">
        <v>1307</v>
      </c>
      <c r="C744" s="1">
        <v>85000</v>
      </c>
    </row>
    <row r="745" spans="1:3" x14ac:dyDescent="0.2">
      <c r="A745" t="s">
        <v>112</v>
      </c>
      <c r="B745" t="s">
        <v>1308</v>
      </c>
      <c r="C745" s="1">
        <v>6000</v>
      </c>
    </row>
    <row r="746" spans="1:3" x14ac:dyDescent="0.2">
      <c r="A746" t="s">
        <v>112</v>
      </c>
      <c r="B746" t="s">
        <v>1309</v>
      </c>
      <c r="C746" s="1">
        <v>25000</v>
      </c>
    </row>
    <row r="747" spans="1:3" x14ac:dyDescent="0.2">
      <c r="A747" t="s">
        <v>112</v>
      </c>
      <c r="B747" t="s">
        <v>1310</v>
      </c>
      <c r="C747" s="1">
        <v>20000</v>
      </c>
    </row>
    <row r="748" spans="1:3" x14ac:dyDescent="0.2">
      <c r="A748" t="s">
        <v>112</v>
      </c>
      <c r="B748" t="s">
        <v>1311</v>
      </c>
      <c r="C748" s="1">
        <v>25000</v>
      </c>
    </row>
    <row r="749" spans="1:3" x14ac:dyDescent="0.2">
      <c r="A749" t="s">
        <v>112</v>
      </c>
      <c r="B749" t="s">
        <v>1312</v>
      </c>
      <c r="C749" s="1">
        <v>67500</v>
      </c>
    </row>
    <row r="750" spans="1:3" x14ac:dyDescent="0.2">
      <c r="A750" t="s">
        <v>112</v>
      </c>
      <c r="B750" t="s">
        <v>1313</v>
      </c>
      <c r="C750" s="1">
        <v>160000</v>
      </c>
    </row>
    <row r="751" spans="1:3" x14ac:dyDescent="0.2">
      <c r="A751" t="s">
        <v>112</v>
      </c>
      <c r="B751" t="s">
        <v>1314</v>
      </c>
      <c r="C751" s="1">
        <v>85000</v>
      </c>
    </row>
    <row r="752" spans="1:3" x14ac:dyDescent="0.2">
      <c r="A752" t="s">
        <v>112</v>
      </c>
      <c r="B752" t="s">
        <v>1315</v>
      </c>
      <c r="C752" s="1">
        <v>30000</v>
      </c>
    </row>
    <row r="753" spans="1:3" x14ac:dyDescent="0.2">
      <c r="A753" t="s">
        <v>112</v>
      </c>
      <c r="B753" t="s">
        <v>1316</v>
      </c>
      <c r="C753" s="1">
        <v>250000</v>
      </c>
    </row>
    <row r="754" spans="1:3" x14ac:dyDescent="0.2">
      <c r="A754" t="s">
        <v>112</v>
      </c>
      <c r="B754" t="s">
        <v>1317</v>
      </c>
      <c r="C754" s="1">
        <v>29000</v>
      </c>
    </row>
    <row r="755" spans="1:3" x14ac:dyDescent="0.2">
      <c r="A755" t="s">
        <v>112</v>
      </c>
      <c r="B755" t="s">
        <v>1318</v>
      </c>
      <c r="C755" s="1">
        <v>410000</v>
      </c>
    </row>
    <row r="756" spans="1:3" x14ac:dyDescent="0.2">
      <c r="A756" t="s">
        <v>112</v>
      </c>
      <c r="B756" t="s">
        <v>1319</v>
      </c>
      <c r="C756" s="1">
        <v>10000</v>
      </c>
    </row>
    <row r="757" spans="1:3" x14ac:dyDescent="0.2">
      <c r="A757" t="s">
        <v>112</v>
      </c>
      <c r="B757" t="s">
        <v>1320</v>
      </c>
      <c r="C757" s="1">
        <v>9000</v>
      </c>
    </row>
    <row r="758" spans="1:3" x14ac:dyDescent="0.2">
      <c r="A758" t="s">
        <v>112</v>
      </c>
      <c r="B758" t="s">
        <v>1321</v>
      </c>
      <c r="C758" s="1">
        <v>49000</v>
      </c>
    </row>
    <row r="759" spans="1:3" x14ac:dyDescent="0.2">
      <c r="A759" t="s">
        <v>112</v>
      </c>
      <c r="B759" t="s">
        <v>1322</v>
      </c>
      <c r="C759" s="1">
        <v>180000</v>
      </c>
    </row>
    <row r="760" spans="1:3" x14ac:dyDescent="0.2">
      <c r="A760" t="s">
        <v>112</v>
      </c>
      <c r="B760" t="s">
        <v>1323</v>
      </c>
      <c r="C760" s="1">
        <v>75000</v>
      </c>
    </row>
    <row r="761" spans="1:3" x14ac:dyDescent="0.2">
      <c r="A761" t="s">
        <v>112</v>
      </c>
      <c r="B761" t="s">
        <v>1324</v>
      </c>
      <c r="C761" s="1">
        <v>130000</v>
      </c>
    </row>
    <row r="762" spans="1:3" x14ac:dyDescent="0.2">
      <c r="A762" t="s">
        <v>112</v>
      </c>
      <c r="B762" t="s">
        <v>1325</v>
      </c>
      <c r="C762" s="1">
        <v>10000</v>
      </c>
    </row>
    <row r="763" spans="1:3" x14ac:dyDescent="0.2">
      <c r="A763" t="s">
        <v>112</v>
      </c>
      <c r="B763" t="s">
        <v>1326</v>
      </c>
      <c r="C763" s="1">
        <v>44000</v>
      </c>
    </row>
    <row r="764" spans="1:3" x14ac:dyDescent="0.2">
      <c r="A764" t="s">
        <v>112</v>
      </c>
      <c r="B764" t="s">
        <v>1327</v>
      </c>
      <c r="C764" s="1">
        <v>40000</v>
      </c>
    </row>
    <row r="765" spans="1:3" x14ac:dyDescent="0.2">
      <c r="A765" t="s">
        <v>112</v>
      </c>
      <c r="B765" t="s">
        <v>1328</v>
      </c>
      <c r="C765" s="1">
        <v>10000</v>
      </c>
    </row>
    <row r="766" spans="1:3" x14ac:dyDescent="0.2">
      <c r="A766" t="s">
        <v>112</v>
      </c>
      <c r="B766" t="s">
        <v>1329</v>
      </c>
      <c r="C766" s="1">
        <v>135800</v>
      </c>
    </row>
    <row r="767" spans="1:3" x14ac:dyDescent="0.2">
      <c r="A767" t="s">
        <v>112</v>
      </c>
      <c r="B767" t="s">
        <v>1330</v>
      </c>
      <c r="C767" s="1">
        <v>150000</v>
      </c>
    </row>
    <row r="768" spans="1:3" x14ac:dyDescent="0.2">
      <c r="A768" t="s">
        <v>112</v>
      </c>
      <c r="B768" t="s">
        <v>1331</v>
      </c>
      <c r="C768" s="1">
        <v>85000</v>
      </c>
    </row>
    <row r="769" spans="1:3" x14ac:dyDescent="0.2">
      <c r="A769" t="s">
        <v>112</v>
      </c>
      <c r="B769" t="s">
        <v>1332</v>
      </c>
      <c r="C769" s="1">
        <v>666000</v>
      </c>
    </row>
    <row r="770" spans="1:3" x14ac:dyDescent="0.2">
      <c r="A770" t="s">
        <v>112</v>
      </c>
      <c r="B770" t="s">
        <v>1333</v>
      </c>
      <c r="C770" s="1">
        <v>10000</v>
      </c>
    </row>
    <row r="771" spans="1:3" x14ac:dyDescent="0.2">
      <c r="A771" t="s">
        <v>112</v>
      </c>
      <c r="B771" t="s">
        <v>1334</v>
      </c>
      <c r="C771" s="1">
        <v>120000</v>
      </c>
    </row>
    <row r="772" spans="1:3" x14ac:dyDescent="0.2">
      <c r="A772" t="s">
        <v>112</v>
      </c>
      <c r="B772" t="s">
        <v>1335</v>
      </c>
      <c r="C772" s="1">
        <v>60000</v>
      </c>
    </row>
    <row r="773" spans="1:3" x14ac:dyDescent="0.2">
      <c r="A773" t="s">
        <v>112</v>
      </c>
      <c r="B773" t="s">
        <v>1336</v>
      </c>
      <c r="C773" s="1">
        <v>115000</v>
      </c>
    </row>
    <row r="774" spans="1:3" x14ac:dyDescent="0.2">
      <c r="A774" t="s">
        <v>112</v>
      </c>
      <c r="B774" t="s">
        <v>1337</v>
      </c>
      <c r="C774" s="1">
        <v>7000</v>
      </c>
    </row>
    <row r="775" spans="1:3" x14ac:dyDescent="0.2">
      <c r="A775" t="s">
        <v>112</v>
      </c>
      <c r="B775" t="s">
        <v>1338</v>
      </c>
      <c r="C775" s="1">
        <v>125000</v>
      </c>
    </row>
    <row r="776" spans="1:3" x14ac:dyDescent="0.2">
      <c r="A776" t="s">
        <v>112</v>
      </c>
      <c r="B776" t="s">
        <v>1339</v>
      </c>
      <c r="C776" s="1">
        <v>30000</v>
      </c>
    </row>
    <row r="777" spans="1:3" x14ac:dyDescent="0.2">
      <c r="A777" t="s">
        <v>112</v>
      </c>
      <c r="B777" t="s">
        <v>1340</v>
      </c>
      <c r="C777" s="1">
        <v>20000</v>
      </c>
    </row>
    <row r="778" spans="1:3" x14ac:dyDescent="0.2">
      <c r="A778" t="s">
        <v>112</v>
      </c>
      <c r="B778" t="s">
        <v>1341</v>
      </c>
      <c r="C778" s="1">
        <v>60000</v>
      </c>
    </row>
    <row r="779" spans="1:3" x14ac:dyDescent="0.2">
      <c r="A779" t="s">
        <v>112</v>
      </c>
      <c r="B779" t="s">
        <v>1342</v>
      </c>
      <c r="C779" s="1">
        <v>20000</v>
      </c>
    </row>
    <row r="780" spans="1:3" x14ac:dyDescent="0.2">
      <c r="A780" t="s">
        <v>112</v>
      </c>
      <c r="B780" t="s">
        <v>1343</v>
      </c>
      <c r="C780" s="1">
        <v>15000</v>
      </c>
    </row>
    <row r="781" spans="1:3" x14ac:dyDescent="0.2">
      <c r="A781" t="s">
        <v>112</v>
      </c>
      <c r="B781" t="s">
        <v>1344</v>
      </c>
      <c r="C781" s="1">
        <v>100000</v>
      </c>
    </row>
    <row r="782" spans="1:3" x14ac:dyDescent="0.2">
      <c r="A782" t="s">
        <v>112</v>
      </c>
      <c r="B782" t="s">
        <v>1345</v>
      </c>
      <c r="C782" s="1">
        <v>145000</v>
      </c>
    </row>
    <row r="783" spans="1:3" x14ac:dyDescent="0.2">
      <c r="A783" t="s">
        <v>112</v>
      </c>
      <c r="B783" t="s">
        <v>1346</v>
      </c>
      <c r="C783" s="1">
        <v>47500</v>
      </c>
    </row>
    <row r="784" spans="1:3" x14ac:dyDescent="0.2">
      <c r="A784" t="s">
        <v>112</v>
      </c>
      <c r="B784" t="s">
        <v>1348</v>
      </c>
      <c r="C784" s="1">
        <v>6000</v>
      </c>
    </row>
    <row r="785" spans="1:3" x14ac:dyDescent="0.2">
      <c r="A785" t="s">
        <v>112</v>
      </c>
      <c r="B785" t="s">
        <v>1349</v>
      </c>
      <c r="C785" s="1">
        <v>260000</v>
      </c>
    </row>
    <row r="786" spans="1:3" x14ac:dyDescent="0.2">
      <c r="A786" t="s">
        <v>112</v>
      </c>
      <c r="B786" t="s">
        <v>1350</v>
      </c>
      <c r="C786" s="1">
        <v>95000</v>
      </c>
    </row>
    <row r="787" spans="1:3" x14ac:dyDescent="0.2">
      <c r="A787" t="s">
        <v>112</v>
      </c>
      <c r="B787" t="s">
        <v>1361</v>
      </c>
      <c r="C787" s="1">
        <v>45000</v>
      </c>
    </row>
    <row r="788" spans="1:3" x14ac:dyDescent="0.2">
      <c r="A788" t="s">
        <v>112</v>
      </c>
      <c r="B788" t="s">
        <v>1370</v>
      </c>
      <c r="C788" s="1">
        <v>2500</v>
      </c>
    </row>
    <row r="789" spans="1:3" x14ac:dyDescent="0.2">
      <c r="A789" t="s">
        <v>112</v>
      </c>
      <c r="B789" t="s">
        <v>1376</v>
      </c>
      <c r="C789" s="1">
        <v>338000</v>
      </c>
    </row>
    <row r="790" spans="1:3" x14ac:dyDescent="0.2">
      <c r="A790" t="s">
        <v>112</v>
      </c>
      <c r="B790" t="s">
        <v>1377</v>
      </c>
      <c r="C790" s="1">
        <v>33000</v>
      </c>
    </row>
    <row r="791" spans="1:3" x14ac:dyDescent="0.2">
      <c r="A791" t="s">
        <v>112</v>
      </c>
      <c r="B791" t="s">
        <v>1387</v>
      </c>
      <c r="C791" s="1">
        <v>40000</v>
      </c>
    </row>
    <row r="792" spans="1:3" x14ac:dyDescent="0.2">
      <c r="A792" t="s">
        <v>112</v>
      </c>
      <c r="B792" t="s">
        <v>1388</v>
      </c>
      <c r="C792" s="1">
        <v>882616</v>
      </c>
    </row>
    <row r="793" spans="1:3" x14ac:dyDescent="0.2">
      <c r="A793" t="s">
        <v>112</v>
      </c>
      <c r="B793" t="s">
        <v>1389</v>
      </c>
      <c r="C793" s="1">
        <v>15000</v>
      </c>
    </row>
    <row r="794" spans="1:3" x14ac:dyDescent="0.2">
      <c r="A794" t="s">
        <v>112</v>
      </c>
      <c r="B794" t="s">
        <v>1390</v>
      </c>
      <c r="C794" s="1">
        <v>50000</v>
      </c>
    </row>
    <row r="795" spans="1:3" x14ac:dyDescent="0.2">
      <c r="A795" t="s">
        <v>112</v>
      </c>
      <c r="B795" t="s">
        <v>1391</v>
      </c>
      <c r="C795" s="1">
        <v>395845</v>
      </c>
    </row>
    <row r="796" spans="1:3" x14ac:dyDescent="0.2">
      <c r="A796" t="s">
        <v>112</v>
      </c>
      <c r="B796" t="s">
        <v>1392</v>
      </c>
      <c r="C796" s="1">
        <v>26000</v>
      </c>
    </row>
    <row r="797" spans="1:3" x14ac:dyDescent="0.2">
      <c r="A797" t="s">
        <v>112</v>
      </c>
      <c r="B797" t="s">
        <v>1435</v>
      </c>
      <c r="C797" s="1">
        <v>100000</v>
      </c>
    </row>
    <row r="798" spans="1:3" x14ac:dyDescent="0.2">
      <c r="A798" t="s">
        <v>112</v>
      </c>
      <c r="B798" t="s">
        <v>1453</v>
      </c>
      <c r="C798" s="1">
        <v>165000</v>
      </c>
    </row>
    <row r="799" spans="1:3" x14ac:dyDescent="0.2">
      <c r="A799" t="s">
        <v>112</v>
      </c>
      <c r="B799" t="s">
        <v>1454</v>
      </c>
      <c r="C799" s="1">
        <v>120000</v>
      </c>
    </row>
    <row r="800" spans="1:3" x14ac:dyDescent="0.2">
      <c r="A800" t="s">
        <v>112</v>
      </c>
      <c r="B800" t="s">
        <v>1460</v>
      </c>
      <c r="C800" s="1">
        <v>82000</v>
      </c>
    </row>
    <row r="801" spans="1:3" x14ac:dyDescent="0.2">
      <c r="A801" t="s">
        <v>112</v>
      </c>
      <c r="B801" t="s">
        <v>1479</v>
      </c>
      <c r="C801" s="1">
        <v>40000</v>
      </c>
    </row>
    <row r="802" spans="1:3" x14ac:dyDescent="0.2">
      <c r="A802" t="s">
        <v>112</v>
      </c>
      <c r="B802" t="s">
        <v>1480</v>
      </c>
      <c r="C802" s="1">
        <v>80000</v>
      </c>
    </row>
    <row r="803" spans="1:3" x14ac:dyDescent="0.2">
      <c r="A803" t="s">
        <v>112</v>
      </c>
      <c r="B803" t="s">
        <v>1491</v>
      </c>
      <c r="C803" s="1">
        <v>100000</v>
      </c>
    </row>
    <row r="804" spans="1:3" x14ac:dyDescent="0.2">
      <c r="A804" t="s">
        <v>112</v>
      </c>
      <c r="B804" t="s">
        <v>1501</v>
      </c>
      <c r="C804" s="1">
        <v>313238</v>
      </c>
    </row>
    <row r="805" spans="1:3" x14ac:dyDescent="0.2">
      <c r="A805" t="s">
        <v>112</v>
      </c>
      <c r="B805" t="s">
        <v>1502</v>
      </c>
      <c r="C805" s="1">
        <v>34000</v>
      </c>
    </row>
    <row r="806" spans="1:3" x14ac:dyDescent="0.2">
      <c r="A806" t="s">
        <v>112</v>
      </c>
      <c r="B806" t="s">
        <v>1519</v>
      </c>
      <c r="C806" s="1">
        <v>18000</v>
      </c>
    </row>
    <row r="807" spans="1:3" x14ac:dyDescent="0.2">
      <c r="A807" t="s">
        <v>112</v>
      </c>
      <c r="B807" t="s">
        <v>1520</v>
      </c>
      <c r="C807" s="1">
        <v>42221900</v>
      </c>
    </row>
    <row r="808" spans="1:3" x14ac:dyDescent="0.2">
      <c r="A808" t="s">
        <v>112</v>
      </c>
      <c r="B808" t="s">
        <v>1521</v>
      </c>
      <c r="C808" s="1">
        <v>2500</v>
      </c>
    </row>
    <row r="809" spans="1:3" x14ac:dyDescent="0.2">
      <c r="A809" t="s">
        <v>112</v>
      </c>
      <c r="B809" t="s">
        <v>1522</v>
      </c>
      <c r="C809" s="1">
        <v>50000</v>
      </c>
    </row>
    <row r="810" spans="1:3" x14ac:dyDescent="0.2">
      <c r="A810" t="s">
        <v>112</v>
      </c>
      <c r="B810" t="s">
        <v>1523</v>
      </c>
      <c r="C810" s="1">
        <v>116000</v>
      </c>
    </row>
    <row r="811" spans="1:3" x14ac:dyDescent="0.2">
      <c r="A811" t="s">
        <v>112</v>
      </c>
      <c r="B811" t="s">
        <v>1528</v>
      </c>
      <c r="C811" s="1">
        <v>7000</v>
      </c>
    </row>
    <row r="812" spans="1:3" x14ac:dyDescent="0.2">
      <c r="A812" t="s">
        <v>112</v>
      </c>
      <c r="B812" t="s">
        <v>1529</v>
      </c>
      <c r="C812" s="1">
        <v>6000</v>
      </c>
    </row>
    <row r="813" spans="1:3" x14ac:dyDescent="0.2">
      <c r="A813" t="s">
        <v>112</v>
      </c>
      <c r="B813" t="s">
        <v>1530</v>
      </c>
      <c r="C813" s="1">
        <v>55000</v>
      </c>
    </row>
    <row r="814" spans="1:3" x14ac:dyDescent="0.2">
      <c r="A814" t="s">
        <v>112</v>
      </c>
      <c r="B814" t="s">
        <v>1552</v>
      </c>
      <c r="C814" s="1">
        <v>325000</v>
      </c>
    </row>
    <row r="815" spans="1:3" x14ac:dyDescent="0.2">
      <c r="A815" t="s">
        <v>112</v>
      </c>
      <c r="B815" t="s">
        <v>1555</v>
      </c>
      <c r="C815" s="1">
        <v>295000</v>
      </c>
    </row>
    <row r="816" spans="1:3" x14ac:dyDescent="0.2">
      <c r="A816" t="s">
        <v>112</v>
      </c>
      <c r="B816" t="s">
        <v>1558</v>
      </c>
      <c r="C816" s="1">
        <v>2500000</v>
      </c>
    </row>
    <row r="817" spans="1:3" x14ac:dyDescent="0.2">
      <c r="A817" t="s">
        <v>112</v>
      </c>
      <c r="B817" t="s">
        <v>1577</v>
      </c>
      <c r="C817" s="1">
        <v>2322027</v>
      </c>
    </row>
    <row r="818" spans="1:3" x14ac:dyDescent="0.2">
      <c r="A818" t="s">
        <v>112</v>
      </c>
      <c r="B818" t="s">
        <v>1587</v>
      </c>
      <c r="C818" s="1">
        <v>48500</v>
      </c>
    </row>
    <row r="819" spans="1:3" x14ac:dyDescent="0.2">
      <c r="A819" t="s">
        <v>112</v>
      </c>
      <c r="B819" t="s">
        <v>1588</v>
      </c>
      <c r="C819" s="1">
        <v>25000</v>
      </c>
    </row>
    <row r="820" spans="1:3" x14ac:dyDescent="0.2">
      <c r="A820" t="s">
        <v>112</v>
      </c>
      <c r="B820" t="s">
        <v>1589</v>
      </c>
      <c r="C820" s="1">
        <v>150000</v>
      </c>
    </row>
    <row r="821" spans="1:3" x14ac:dyDescent="0.2">
      <c r="A821" t="s">
        <v>112</v>
      </c>
      <c r="B821" t="s">
        <v>1590</v>
      </c>
      <c r="C821" s="1">
        <v>497500</v>
      </c>
    </row>
    <row r="822" spans="1:3" x14ac:dyDescent="0.2">
      <c r="A822" t="s">
        <v>112</v>
      </c>
      <c r="B822" t="s">
        <v>1591</v>
      </c>
      <c r="C822" s="1">
        <v>250000</v>
      </c>
    </row>
    <row r="823" spans="1:3" x14ac:dyDescent="0.2">
      <c r="A823" t="s">
        <v>112</v>
      </c>
      <c r="B823" t="s">
        <v>1593</v>
      </c>
      <c r="C823" s="1">
        <v>464733</v>
      </c>
    </row>
    <row r="824" spans="1:3" x14ac:dyDescent="0.2">
      <c r="A824" t="s">
        <v>112</v>
      </c>
      <c r="B824" t="s">
        <v>1595</v>
      </c>
      <c r="C824" s="1">
        <v>130000</v>
      </c>
    </row>
    <row r="825" spans="1:3" x14ac:dyDescent="0.2">
      <c r="A825" t="s">
        <v>112</v>
      </c>
      <c r="B825" t="s">
        <v>1596</v>
      </c>
      <c r="C825" s="1">
        <v>30000</v>
      </c>
    </row>
    <row r="826" spans="1:3" x14ac:dyDescent="0.2">
      <c r="A826" t="s">
        <v>112</v>
      </c>
      <c r="B826" t="s">
        <v>1598</v>
      </c>
      <c r="C826" s="1">
        <v>18000</v>
      </c>
    </row>
    <row r="827" spans="1:3" x14ac:dyDescent="0.2">
      <c r="A827" t="s">
        <v>112</v>
      </c>
      <c r="B827" t="s">
        <v>1599</v>
      </c>
      <c r="C827" s="1">
        <v>151852</v>
      </c>
    </row>
    <row r="828" spans="1:3" x14ac:dyDescent="0.2">
      <c r="A828" t="s">
        <v>112</v>
      </c>
      <c r="B828" t="s">
        <v>1606</v>
      </c>
      <c r="C828" s="1">
        <v>108000</v>
      </c>
    </row>
    <row r="829" spans="1:3" x14ac:dyDescent="0.2">
      <c r="A829" t="s">
        <v>112</v>
      </c>
      <c r="B829" t="s">
        <v>1607</v>
      </c>
      <c r="C829" s="1">
        <v>2500</v>
      </c>
    </row>
    <row r="830" spans="1:3" x14ac:dyDescent="0.2">
      <c r="A830" t="s">
        <v>112</v>
      </c>
      <c r="B830" t="s">
        <v>1608</v>
      </c>
      <c r="C830" s="1">
        <v>22000</v>
      </c>
    </row>
    <row r="831" spans="1:3" x14ac:dyDescent="0.2">
      <c r="A831" t="s">
        <v>112</v>
      </c>
      <c r="B831" t="s">
        <v>1615</v>
      </c>
      <c r="C831" s="1">
        <v>460000</v>
      </c>
    </row>
    <row r="832" spans="1:3" x14ac:dyDescent="0.2">
      <c r="A832" t="s">
        <v>112</v>
      </c>
      <c r="B832" t="s">
        <v>1616</v>
      </c>
      <c r="C832" s="1">
        <v>25000</v>
      </c>
    </row>
    <row r="833" spans="1:3" x14ac:dyDescent="0.2">
      <c r="A833" t="s">
        <v>112</v>
      </c>
      <c r="B833" t="s">
        <v>1620</v>
      </c>
      <c r="C833" s="1">
        <v>45000</v>
      </c>
    </row>
    <row r="834" spans="1:3" x14ac:dyDescent="0.2">
      <c r="A834" t="s">
        <v>112</v>
      </c>
      <c r="B834" t="s">
        <v>1621</v>
      </c>
      <c r="C834" s="1">
        <v>100000</v>
      </c>
    </row>
    <row r="835" spans="1:3" x14ac:dyDescent="0.2">
      <c r="A835" t="s">
        <v>112</v>
      </c>
      <c r="B835" t="s">
        <v>1622</v>
      </c>
      <c r="C835" s="1">
        <v>25000</v>
      </c>
    </row>
    <row r="836" spans="1:3" x14ac:dyDescent="0.2">
      <c r="A836" t="s">
        <v>112</v>
      </c>
      <c r="B836" t="s">
        <v>1623</v>
      </c>
      <c r="C836" s="1">
        <v>30000</v>
      </c>
    </row>
    <row r="837" spans="1:3" x14ac:dyDescent="0.2">
      <c r="A837" t="s">
        <v>112</v>
      </c>
      <c r="B837" t="s">
        <v>1624</v>
      </c>
      <c r="C837" s="1">
        <v>45000</v>
      </c>
    </row>
    <row r="838" spans="1:3" x14ac:dyDescent="0.2">
      <c r="A838" t="s">
        <v>112</v>
      </c>
      <c r="B838" t="s">
        <v>1627</v>
      </c>
      <c r="C838" s="1">
        <v>45000</v>
      </c>
    </row>
    <row r="839" spans="1:3" x14ac:dyDescent="0.2">
      <c r="A839" t="s">
        <v>112</v>
      </c>
      <c r="B839" t="s">
        <v>1628</v>
      </c>
      <c r="C839" s="1">
        <v>545810.19999999995</v>
      </c>
    </row>
    <row r="840" spans="1:3" x14ac:dyDescent="0.2">
      <c r="A840" t="s">
        <v>112</v>
      </c>
      <c r="B840" t="s">
        <v>1629</v>
      </c>
      <c r="C840" s="1">
        <v>27500</v>
      </c>
    </row>
    <row r="841" spans="1:3" x14ac:dyDescent="0.2">
      <c r="A841" t="s">
        <v>112</v>
      </c>
      <c r="B841" t="s">
        <v>1631</v>
      </c>
      <c r="C841" s="1">
        <v>6000</v>
      </c>
    </row>
    <row r="842" spans="1:3" x14ac:dyDescent="0.2">
      <c r="A842" t="s">
        <v>112</v>
      </c>
      <c r="B842" t="s">
        <v>1632</v>
      </c>
      <c r="C842" s="1">
        <v>6000</v>
      </c>
    </row>
    <row r="843" spans="1:3" x14ac:dyDescent="0.2">
      <c r="A843" t="s">
        <v>112</v>
      </c>
      <c r="B843" t="s">
        <v>1635</v>
      </c>
      <c r="C843" s="1">
        <v>110000</v>
      </c>
    </row>
    <row r="844" spans="1:3" x14ac:dyDescent="0.2">
      <c r="A844" t="s">
        <v>112</v>
      </c>
      <c r="B844" t="s">
        <v>1636</v>
      </c>
      <c r="C844" s="1">
        <v>50000</v>
      </c>
    </row>
    <row r="845" spans="1:3" x14ac:dyDescent="0.2">
      <c r="A845" t="s">
        <v>112</v>
      </c>
      <c r="B845" t="s">
        <v>1637</v>
      </c>
      <c r="C845" s="1">
        <v>225000</v>
      </c>
    </row>
    <row r="846" spans="1:3" x14ac:dyDescent="0.2">
      <c r="A846" t="s">
        <v>112</v>
      </c>
      <c r="B846" t="s">
        <v>1639</v>
      </c>
      <c r="C846" s="1">
        <v>6000</v>
      </c>
    </row>
    <row r="847" spans="1:3" x14ac:dyDescent="0.2">
      <c r="A847" t="s">
        <v>112</v>
      </c>
      <c r="B847" t="s">
        <v>1640</v>
      </c>
      <c r="C847" s="1">
        <v>175000</v>
      </c>
    </row>
    <row r="848" spans="1:3" x14ac:dyDescent="0.2">
      <c r="A848" t="s">
        <v>112</v>
      </c>
      <c r="B848" t="s">
        <v>1641</v>
      </c>
      <c r="C848" s="1">
        <v>30000</v>
      </c>
    </row>
    <row r="849" spans="1:3" x14ac:dyDescent="0.2">
      <c r="A849" t="s">
        <v>112</v>
      </c>
      <c r="B849" t="s">
        <v>1644</v>
      </c>
      <c r="C849" s="1">
        <v>175000</v>
      </c>
    </row>
    <row r="850" spans="1:3" x14ac:dyDescent="0.2">
      <c r="A850" t="s">
        <v>112</v>
      </c>
      <c r="B850" t="s">
        <v>1645</v>
      </c>
      <c r="C850" s="1">
        <v>160000</v>
      </c>
    </row>
    <row r="851" spans="1:3" x14ac:dyDescent="0.2">
      <c r="A851" t="s">
        <v>112</v>
      </c>
      <c r="B851" t="s">
        <v>1646</v>
      </c>
      <c r="C851" s="1">
        <v>75000</v>
      </c>
    </row>
    <row r="852" spans="1:3" x14ac:dyDescent="0.2">
      <c r="A852" t="s">
        <v>112</v>
      </c>
      <c r="B852" t="s">
        <v>1647</v>
      </c>
      <c r="C852" s="1">
        <v>75000</v>
      </c>
    </row>
    <row r="853" spans="1:3" x14ac:dyDescent="0.2">
      <c r="A853" t="s">
        <v>112</v>
      </c>
      <c r="B853" t="s">
        <v>1649</v>
      </c>
      <c r="C853" s="1">
        <v>100000</v>
      </c>
    </row>
    <row r="854" spans="1:3" x14ac:dyDescent="0.2">
      <c r="A854" t="s">
        <v>112</v>
      </c>
      <c r="B854" t="s">
        <v>1650</v>
      </c>
      <c r="C854" s="1">
        <v>250000</v>
      </c>
    </row>
    <row r="855" spans="1:3" x14ac:dyDescent="0.2">
      <c r="A855" t="s">
        <v>112</v>
      </c>
      <c r="B855" t="s">
        <v>1652</v>
      </c>
      <c r="C855" s="1">
        <v>200000</v>
      </c>
    </row>
    <row r="856" spans="1:3" x14ac:dyDescent="0.2">
      <c r="A856" t="s">
        <v>112</v>
      </c>
      <c r="B856" t="s">
        <v>1653</v>
      </c>
      <c r="C856" s="1">
        <v>6000</v>
      </c>
    </row>
    <row r="857" spans="1:3" x14ac:dyDescent="0.2">
      <c r="A857" t="s">
        <v>112</v>
      </c>
      <c r="B857" t="s">
        <v>1654</v>
      </c>
      <c r="C857" s="1">
        <v>5000</v>
      </c>
    </row>
    <row r="858" spans="1:3" x14ac:dyDescent="0.2">
      <c r="A858" t="s">
        <v>112</v>
      </c>
      <c r="B858" t="s">
        <v>1655</v>
      </c>
      <c r="C858" s="1">
        <v>91750</v>
      </c>
    </row>
    <row r="859" spans="1:3" x14ac:dyDescent="0.2">
      <c r="A859" t="s">
        <v>112</v>
      </c>
      <c r="B859" t="s">
        <v>1656</v>
      </c>
      <c r="C859" s="1">
        <v>6000</v>
      </c>
    </row>
    <row r="860" spans="1:3" x14ac:dyDescent="0.2">
      <c r="A860" t="s">
        <v>112</v>
      </c>
      <c r="B860" t="s">
        <v>1658</v>
      </c>
      <c r="C860" s="1">
        <v>5850</v>
      </c>
    </row>
    <row r="861" spans="1:3" x14ac:dyDescent="0.2">
      <c r="A861" t="s">
        <v>112</v>
      </c>
      <c r="B861" t="s">
        <v>1659</v>
      </c>
      <c r="C861" s="1">
        <v>50000</v>
      </c>
    </row>
    <row r="862" spans="1:3" x14ac:dyDescent="0.2">
      <c r="A862" t="s">
        <v>112</v>
      </c>
      <c r="B862" t="s">
        <v>1660</v>
      </c>
      <c r="C862" s="1">
        <v>6000</v>
      </c>
    </row>
    <row r="863" spans="1:3" x14ac:dyDescent="0.2">
      <c r="A863" t="s">
        <v>112</v>
      </c>
      <c r="B863" t="s">
        <v>1661</v>
      </c>
      <c r="C863" s="1">
        <v>5800</v>
      </c>
    </row>
    <row r="864" spans="1:3" x14ac:dyDescent="0.2">
      <c r="A864" t="s">
        <v>112</v>
      </c>
      <c r="B864" t="s">
        <v>1664</v>
      </c>
      <c r="C864" s="1">
        <v>4850</v>
      </c>
    </row>
    <row r="865" spans="1:3" x14ac:dyDescent="0.2">
      <c r="A865" t="s">
        <v>112</v>
      </c>
      <c r="B865" t="s">
        <v>1665</v>
      </c>
      <c r="C865" s="1">
        <v>5500</v>
      </c>
    </row>
    <row r="866" spans="1:3" x14ac:dyDescent="0.2">
      <c r="A866" t="s">
        <v>112</v>
      </c>
      <c r="B866" t="s">
        <v>1666</v>
      </c>
      <c r="C866" s="1">
        <v>6000</v>
      </c>
    </row>
    <row r="867" spans="1:3" x14ac:dyDescent="0.2">
      <c r="A867" t="s">
        <v>112</v>
      </c>
      <c r="B867" t="s">
        <v>1667</v>
      </c>
      <c r="C867" s="1">
        <v>12000</v>
      </c>
    </row>
    <row r="868" spans="1:3" x14ac:dyDescent="0.2">
      <c r="A868" t="s">
        <v>112</v>
      </c>
      <c r="B868" t="s">
        <v>1668</v>
      </c>
      <c r="C868" s="1">
        <v>20000</v>
      </c>
    </row>
    <row r="869" spans="1:3" x14ac:dyDescent="0.2">
      <c r="A869" t="s">
        <v>112</v>
      </c>
      <c r="B869" t="s">
        <v>1669</v>
      </c>
      <c r="C869" s="1">
        <v>15000</v>
      </c>
    </row>
    <row r="870" spans="1:3" x14ac:dyDescent="0.2">
      <c r="A870" t="s">
        <v>112</v>
      </c>
      <c r="B870" t="s">
        <v>1670</v>
      </c>
      <c r="C870" s="1">
        <v>4000</v>
      </c>
    </row>
    <row r="871" spans="1:3" x14ac:dyDescent="0.2">
      <c r="A871" t="s">
        <v>112</v>
      </c>
      <c r="B871" t="s">
        <v>1671</v>
      </c>
      <c r="C871" s="1">
        <v>75000</v>
      </c>
    </row>
    <row r="872" spans="1:3" x14ac:dyDescent="0.2">
      <c r="A872" t="s">
        <v>112</v>
      </c>
      <c r="B872" t="s">
        <v>1677</v>
      </c>
      <c r="C872" s="1">
        <v>6000</v>
      </c>
    </row>
    <row r="873" spans="1:3" x14ac:dyDescent="0.2">
      <c r="A873" t="s">
        <v>112</v>
      </c>
      <c r="B873" t="s">
        <v>1678</v>
      </c>
      <c r="C873" s="1">
        <v>6000</v>
      </c>
    </row>
    <row r="874" spans="1:3" x14ac:dyDescent="0.2">
      <c r="A874" t="s">
        <v>112</v>
      </c>
      <c r="B874" t="s">
        <v>1679</v>
      </c>
      <c r="C874" s="1">
        <v>6000</v>
      </c>
    </row>
    <row r="875" spans="1:3" x14ac:dyDescent="0.2">
      <c r="A875" t="s">
        <v>112</v>
      </c>
      <c r="B875" t="s">
        <v>1680</v>
      </c>
      <c r="C875" s="1">
        <v>6000</v>
      </c>
    </row>
    <row r="876" spans="1:3" x14ac:dyDescent="0.2">
      <c r="A876" t="s">
        <v>112</v>
      </c>
      <c r="B876" t="s">
        <v>1681</v>
      </c>
      <c r="C876" s="1">
        <v>210000</v>
      </c>
    </row>
    <row r="877" spans="1:3" x14ac:dyDescent="0.2">
      <c r="A877" t="s">
        <v>112</v>
      </c>
      <c r="B877" t="s">
        <v>1682</v>
      </c>
      <c r="C877" s="1">
        <v>3000</v>
      </c>
    </row>
    <row r="878" spans="1:3" x14ac:dyDescent="0.2">
      <c r="A878" t="s">
        <v>112</v>
      </c>
      <c r="B878" t="s">
        <v>1683</v>
      </c>
      <c r="C878" s="1">
        <v>6000</v>
      </c>
    </row>
    <row r="879" spans="1:3" x14ac:dyDescent="0.2">
      <c r="A879" t="s">
        <v>112</v>
      </c>
      <c r="B879" t="s">
        <v>1684</v>
      </c>
      <c r="C879" s="1">
        <v>12000</v>
      </c>
    </row>
    <row r="880" spans="1:3" x14ac:dyDescent="0.2">
      <c r="A880" t="s">
        <v>112</v>
      </c>
      <c r="B880" t="s">
        <v>1685</v>
      </c>
      <c r="C880" s="1">
        <v>5000</v>
      </c>
    </row>
    <row r="881" spans="1:3" x14ac:dyDescent="0.2">
      <c r="A881" t="s">
        <v>112</v>
      </c>
      <c r="B881" t="s">
        <v>1686</v>
      </c>
      <c r="C881" s="1">
        <v>6000</v>
      </c>
    </row>
    <row r="882" spans="1:3" x14ac:dyDescent="0.2">
      <c r="A882" t="s">
        <v>112</v>
      </c>
      <c r="B882" t="s">
        <v>1687</v>
      </c>
      <c r="C882" s="1">
        <v>6000</v>
      </c>
    </row>
    <row r="883" spans="1:3" x14ac:dyDescent="0.2">
      <c r="A883" t="s">
        <v>112</v>
      </c>
      <c r="B883" t="s">
        <v>1688</v>
      </c>
      <c r="C883" s="1">
        <v>3000</v>
      </c>
    </row>
    <row r="884" spans="1:3" x14ac:dyDescent="0.2">
      <c r="A884" t="s">
        <v>112</v>
      </c>
      <c r="B884" t="s">
        <v>1689</v>
      </c>
      <c r="C884" s="1">
        <v>6000</v>
      </c>
    </row>
    <row r="885" spans="1:3" x14ac:dyDescent="0.2">
      <c r="A885" t="s">
        <v>112</v>
      </c>
      <c r="B885" t="s">
        <v>1690</v>
      </c>
      <c r="C885" s="1">
        <v>6000</v>
      </c>
    </row>
    <row r="886" spans="1:3" x14ac:dyDescent="0.2">
      <c r="A886" t="s">
        <v>112</v>
      </c>
      <c r="B886" t="s">
        <v>1691</v>
      </c>
      <c r="C886" s="1">
        <v>6000</v>
      </c>
    </row>
    <row r="887" spans="1:3" x14ac:dyDescent="0.2">
      <c r="A887" t="s">
        <v>112</v>
      </c>
      <c r="B887" t="s">
        <v>1692</v>
      </c>
      <c r="C887" s="1">
        <v>6000</v>
      </c>
    </row>
    <row r="888" spans="1:3" x14ac:dyDescent="0.2">
      <c r="A888" t="s">
        <v>112</v>
      </c>
      <c r="B888" t="s">
        <v>1693</v>
      </c>
      <c r="C888" s="1">
        <v>6000</v>
      </c>
    </row>
    <row r="889" spans="1:3" x14ac:dyDescent="0.2">
      <c r="A889" t="s">
        <v>112</v>
      </c>
      <c r="B889" t="s">
        <v>1694</v>
      </c>
      <c r="C889" s="1">
        <v>6000</v>
      </c>
    </row>
    <row r="890" spans="1:3" x14ac:dyDescent="0.2">
      <c r="A890" t="s">
        <v>112</v>
      </c>
      <c r="B890" t="s">
        <v>1695</v>
      </c>
      <c r="C890" s="1">
        <v>4250</v>
      </c>
    </row>
    <row r="891" spans="1:3" x14ac:dyDescent="0.2">
      <c r="A891" t="s">
        <v>112</v>
      </c>
      <c r="B891" t="s">
        <v>1696</v>
      </c>
      <c r="C891" s="1">
        <v>3000</v>
      </c>
    </row>
    <row r="892" spans="1:3" x14ac:dyDescent="0.2">
      <c r="A892" t="s">
        <v>112</v>
      </c>
      <c r="B892" t="s">
        <v>1697</v>
      </c>
      <c r="C892" s="1">
        <v>10000</v>
      </c>
    </row>
    <row r="893" spans="1:3" x14ac:dyDescent="0.2">
      <c r="A893" t="s">
        <v>112</v>
      </c>
      <c r="B893" t="s">
        <v>1698</v>
      </c>
      <c r="C893" s="1">
        <v>10000</v>
      </c>
    </row>
    <row r="894" spans="1:3" x14ac:dyDescent="0.2">
      <c r="A894" t="s">
        <v>112</v>
      </c>
      <c r="B894" t="s">
        <v>1699</v>
      </c>
      <c r="C894" s="1">
        <v>145000</v>
      </c>
    </row>
    <row r="895" spans="1:3" x14ac:dyDescent="0.2">
      <c r="A895" t="s">
        <v>112</v>
      </c>
      <c r="B895" t="s">
        <v>1700</v>
      </c>
      <c r="C895" s="1">
        <v>30000</v>
      </c>
    </row>
    <row r="896" spans="1:3" x14ac:dyDescent="0.2">
      <c r="A896" t="s">
        <v>112</v>
      </c>
      <c r="B896" t="s">
        <v>1701</v>
      </c>
      <c r="C896" s="1">
        <v>30000</v>
      </c>
    </row>
    <row r="897" spans="1:3" x14ac:dyDescent="0.2">
      <c r="A897" t="s">
        <v>112</v>
      </c>
      <c r="B897" t="s">
        <v>1702</v>
      </c>
      <c r="C897" s="1">
        <v>134000</v>
      </c>
    </row>
    <row r="898" spans="1:3" x14ac:dyDescent="0.2">
      <c r="A898" t="s">
        <v>112</v>
      </c>
      <c r="B898" t="s">
        <v>1703</v>
      </c>
      <c r="C898" s="1">
        <v>55000</v>
      </c>
    </row>
    <row r="899" spans="1:3" x14ac:dyDescent="0.2">
      <c r="A899" t="s">
        <v>112</v>
      </c>
      <c r="B899" t="s">
        <v>1704</v>
      </c>
      <c r="C899" s="1">
        <v>60000</v>
      </c>
    </row>
    <row r="900" spans="1:3" x14ac:dyDescent="0.2">
      <c r="A900" t="s">
        <v>112</v>
      </c>
      <c r="B900" t="s">
        <v>1705</v>
      </c>
      <c r="C900" s="1">
        <v>25000</v>
      </c>
    </row>
    <row r="901" spans="1:3" x14ac:dyDescent="0.2">
      <c r="A901" t="s">
        <v>112</v>
      </c>
      <c r="B901" t="s">
        <v>1706</v>
      </c>
      <c r="C901" s="1">
        <v>150000</v>
      </c>
    </row>
    <row r="902" spans="1:3" x14ac:dyDescent="0.2">
      <c r="A902" t="s">
        <v>112</v>
      </c>
      <c r="B902" t="s">
        <v>1707</v>
      </c>
      <c r="C902" s="1">
        <v>30000</v>
      </c>
    </row>
    <row r="903" spans="1:3" x14ac:dyDescent="0.2">
      <c r="A903" t="s">
        <v>112</v>
      </c>
      <c r="B903" t="s">
        <v>1708</v>
      </c>
      <c r="C903" s="1">
        <v>240000</v>
      </c>
    </row>
    <row r="904" spans="1:3" x14ac:dyDescent="0.2">
      <c r="A904" t="s">
        <v>112</v>
      </c>
      <c r="B904" t="s">
        <v>1709</v>
      </c>
      <c r="C904" s="1">
        <v>5000</v>
      </c>
    </row>
    <row r="905" spans="1:3" x14ac:dyDescent="0.2">
      <c r="A905" t="s">
        <v>112</v>
      </c>
      <c r="B905" t="s">
        <v>1710</v>
      </c>
      <c r="C905" s="1">
        <v>60000</v>
      </c>
    </row>
    <row r="906" spans="1:3" x14ac:dyDescent="0.2">
      <c r="A906" t="s">
        <v>112</v>
      </c>
      <c r="B906" t="s">
        <v>1712</v>
      </c>
      <c r="C906" s="1">
        <v>189914</v>
      </c>
    </row>
    <row r="907" spans="1:3" x14ac:dyDescent="0.2">
      <c r="A907" t="s">
        <v>112</v>
      </c>
      <c r="B907" t="s">
        <v>1714</v>
      </c>
      <c r="C907" s="1">
        <v>20000</v>
      </c>
    </row>
    <row r="908" spans="1:3" x14ac:dyDescent="0.2">
      <c r="A908" t="s">
        <v>112</v>
      </c>
      <c r="B908" t="s">
        <v>1717</v>
      </c>
      <c r="C908" s="1">
        <v>250000</v>
      </c>
    </row>
    <row r="909" spans="1:3" x14ac:dyDescent="0.2">
      <c r="A909" t="s">
        <v>112</v>
      </c>
      <c r="B909" t="s">
        <v>1718</v>
      </c>
      <c r="C909" s="1">
        <v>320000</v>
      </c>
    </row>
    <row r="910" spans="1:3" x14ac:dyDescent="0.2">
      <c r="A910" t="s">
        <v>112</v>
      </c>
      <c r="B910" t="s">
        <v>1719</v>
      </c>
      <c r="C910" s="1">
        <v>175000</v>
      </c>
    </row>
    <row r="911" spans="1:3" x14ac:dyDescent="0.2">
      <c r="A911" t="s">
        <v>112</v>
      </c>
      <c r="B911" t="s">
        <v>1720</v>
      </c>
      <c r="C911" s="1">
        <v>45000</v>
      </c>
    </row>
    <row r="912" spans="1:3" x14ac:dyDescent="0.2">
      <c r="A912" t="s">
        <v>112</v>
      </c>
      <c r="B912" t="s">
        <v>1723</v>
      </c>
      <c r="C912" s="1">
        <v>2500</v>
      </c>
    </row>
    <row r="913" spans="1:3" x14ac:dyDescent="0.2">
      <c r="A913" t="s">
        <v>112</v>
      </c>
      <c r="B913" t="s">
        <v>1724</v>
      </c>
      <c r="C913" s="1">
        <v>18000</v>
      </c>
    </row>
    <row r="914" spans="1:3" x14ac:dyDescent="0.2">
      <c r="A914" t="s">
        <v>112</v>
      </c>
      <c r="B914" t="s">
        <v>1726</v>
      </c>
      <c r="C914" s="1">
        <v>16000</v>
      </c>
    </row>
    <row r="915" spans="1:3" x14ac:dyDescent="0.2">
      <c r="A915" t="s">
        <v>112</v>
      </c>
      <c r="B915" t="s">
        <v>1727</v>
      </c>
      <c r="C915" s="1">
        <v>50000</v>
      </c>
    </row>
    <row r="916" spans="1:3" x14ac:dyDescent="0.2">
      <c r="A916" t="s">
        <v>112</v>
      </c>
      <c r="B916" t="s">
        <v>1728</v>
      </c>
      <c r="C916" s="1">
        <v>2500</v>
      </c>
    </row>
    <row r="917" spans="1:3" x14ac:dyDescent="0.2">
      <c r="A917" t="s">
        <v>112</v>
      </c>
      <c r="B917" t="s">
        <v>1729</v>
      </c>
      <c r="C917" s="1">
        <v>292500</v>
      </c>
    </row>
    <row r="918" spans="1:3" x14ac:dyDescent="0.2">
      <c r="A918" t="s">
        <v>112</v>
      </c>
      <c r="B918" t="s">
        <v>1738</v>
      </c>
      <c r="C918" s="1">
        <v>12500</v>
      </c>
    </row>
    <row r="919" spans="1:3" x14ac:dyDescent="0.2">
      <c r="A919" t="s">
        <v>112</v>
      </c>
      <c r="B919" t="s">
        <v>1739</v>
      </c>
      <c r="C919" s="1">
        <v>100000</v>
      </c>
    </row>
    <row r="920" spans="1:3" x14ac:dyDescent="0.2">
      <c r="A920" t="s">
        <v>112</v>
      </c>
      <c r="B920" t="s">
        <v>1741</v>
      </c>
      <c r="C920" s="1">
        <v>80000</v>
      </c>
    </row>
    <row r="921" spans="1:3" x14ac:dyDescent="0.2">
      <c r="A921" t="s">
        <v>112</v>
      </c>
      <c r="B921" t="s">
        <v>1742</v>
      </c>
      <c r="C921" s="1">
        <v>2500</v>
      </c>
    </row>
    <row r="922" spans="1:3" x14ac:dyDescent="0.2">
      <c r="A922" t="s">
        <v>112</v>
      </c>
      <c r="B922" t="s">
        <v>1743</v>
      </c>
      <c r="C922" s="1">
        <v>2500</v>
      </c>
    </row>
    <row r="923" spans="1:3" x14ac:dyDescent="0.2">
      <c r="A923" t="s">
        <v>112</v>
      </c>
      <c r="B923" t="s">
        <v>1745</v>
      </c>
      <c r="C923" s="1">
        <v>340000</v>
      </c>
    </row>
    <row r="924" spans="1:3" x14ac:dyDescent="0.2">
      <c r="A924" t="s">
        <v>112</v>
      </c>
      <c r="B924" t="s">
        <v>1746</v>
      </c>
      <c r="C924" s="1">
        <v>232255</v>
      </c>
    </row>
    <row r="925" spans="1:3" x14ac:dyDescent="0.2">
      <c r="A925" t="s">
        <v>112</v>
      </c>
      <c r="B925" t="s">
        <v>1755</v>
      </c>
      <c r="C925" s="1">
        <v>12000</v>
      </c>
    </row>
    <row r="926" spans="1:3" x14ac:dyDescent="0.2">
      <c r="A926" t="s">
        <v>112</v>
      </c>
      <c r="B926" t="s">
        <v>1757</v>
      </c>
      <c r="C926" s="1">
        <v>10000</v>
      </c>
    </row>
    <row r="927" spans="1:3" x14ac:dyDescent="0.2">
      <c r="A927" t="s">
        <v>112</v>
      </c>
      <c r="B927" t="s">
        <v>1765</v>
      </c>
      <c r="C927" s="1">
        <v>560000</v>
      </c>
    </row>
    <row r="928" spans="1:3" x14ac:dyDescent="0.2">
      <c r="A928" t="s">
        <v>112</v>
      </c>
      <c r="B928" t="s">
        <v>1769</v>
      </c>
      <c r="C928" s="1">
        <v>5000</v>
      </c>
    </row>
    <row r="929" spans="1:3" x14ac:dyDescent="0.2">
      <c r="A929" t="s">
        <v>112</v>
      </c>
      <c r="B929" t="s">
        <v>1770</v>
      </c>
      <c r="C929" s="1">
        <v>45000</v>
      </c>
    </row>
    <row r="930" spans="1:3" x14ac:dyDescent="0.2">
      <c r="A930" t="s">
        <v>112</v>
      </c>
      <c r="B930" t="s">
        <v>1771</v>
      </c>
      <c r="C930" s="1">
        <v>2500</v>
      </c>
    </row>
    <row r="931" spans="1:3" x14ac:dyDescent="0.2">
      <c r="A931" t="s">
        <v>112</v>
      </c>
      <c r="B931" t="s">
        <v>1772</v>
      </c>
      <c r="C931" s="1">
        <v>6000</v>
      </c>
    </row>
    <row r="932" spans="1:3" x14ac:dyDescent="0.2">
      <c r="A932" t="s">
        <v>112</v>
      </c>
      <c r="B932" t="s">
        <v>1773</v>
      </c>
      <c r="C932" s="1">
        <v>6000</v>
      </c>
    </row>
    <row r="933" spans="1:3" x14ac:dyDescent="0.2">
      <c r="A933" t="s">
        <v>112</v>
      </c>
      <c r="B933" t="s">
        <v>1774</v>
      </c>
      <c r="C933" s="1">
        <v>6000</v>
      </c>
    </row>
    <row r="934" spans="1:3" x14ac:dyDescent="0.2">
      <c r="A934" t="s">
        <v>112</v>
      </c>
      <c r="B934" t="s">
        <v>1775</v>
      </c>
      <c r="C934" s="1">
        <v>217500</v>
      </c>
    </row>
    <row r="935" spans="1:3" x14ac:dyDescent="0.2">
      <c r="A935" t="s">
        <v>112</v>
      </c>
      <c r="B935" t="s">
        <v>1776</v>
      </c>
      <c r="C935" s="1">
        <v>6000</v>
      </c>
    </row>
    <row r="936" spans="1:3" x14ac:dyDescent="0.2">
      <c r="A936" t="s">
        <v>112</v>
      </c>
      <c r="B936" t="s">
        <v>1777</v>
      </c>
      <c r="C936" s="1">
        <v>6000</v>
      </c>
    </row>
    <row r="937" spans="1:3" x14ac:dyDescent="0.2">
      <c r="A937" t="s">
        <v>112</v>
      </c>
      <c r="B937" t="s">
        <v>1778</v>
      </c>
      <c r="C937" s="1">
        <v>6000</v>
      </c>
    </row>
    <row r="938" spans="1:3" x14ac:dyDescent="0.2">
      <c r="A938" t="s">
        <v>112</v>
      </c>
      <c r="B938" t="s">
        <v>1779</v>
      </c>
      <c r="C938" s="1">
        <v>6000</v>
      </c>
    </row>
    <row r="939" spans="1:3" x14ac:dyDescent="0.2">
      <c r="A939" t="s">
        <v>112</v>
      </c>
      <c r="B939" t="s">
        <v>1780</v>
      </c>
      <c r="C939" s="1">
        <v>6000</v>
      </c>
    </row>
    <row r="940" spans="1:3" x14ac:dyDescent="0.2">
      <c r="A940" t="s">
        <v>112</v>
      </c>
      <c r="B940" t="s">
        <v>1781</v>
      </c>
      <c r="C940" s="1">
        <v>6000</v>
      </c>
    </row>
    <row r="941" spans="1:3" x14ac:dyDescent="0.2">
      <c r="A941" t="s">
        <v>112</v>
      </c>
      <c r="B941" t="s">
        <v>1782</v>
      </c>
      <c r="C941" s="1">
        <v>6000</v>
      </c>
    </row>
    <row r="942" spans="1:3" x14ac:dyDescent="0.2">
      <c r="A942" t="s">
        <v>112</v>
      </c>
      <c r="B942" t="s">
        <v>1783</v>
      </c>
      <c r="C942" s="1">
        <v>6000</v>
      </c>
    </row>
    <row r="943" spans="1:3" x14ac:dyDescent="0.2">
      <c r="A943" t="s">
        <v>112</v>
      </c>
      <c r="B943" t="s">
        <v>1784</v>
      </c>
      <c r="C943" s="1">
        <v>1000</v>
      </c>
    </row>
    <row r="944" spans="1:3" x14ac:dyDescent="0.2">
      <c r="A944" t="s">
        <v>112</v>
      </c>
      <c r="B944" t="s">
        <v>1786</v>
      </c>
      <c r="C944" s="1">
        <v>100000</v>
      </c>
    </row>
    <row r="945" spans="1:3" x14ac:dyDescent="0.2">
      <c r="A945" t="s">
        <v>112</v>
      </c>
      <c r="B945" t="s">
        <v>1787</v>
      </c>
      <c r="C945" s="1">
        <v>17462.8</v>
      </c>
    </row>
    <row r="946" spans="1:3" x14ac:dyDescent="0.2">
      <c r="A946" t="s">
        <v>112</v>
      </c>
      <c r="B946" t="s">
        <v>1788</v>
      </c>
      <c r="C946" s="1">
        <v>45000</v>
      </c>
    </row>
    <row r="947" spans="1:3" x14ac:dyDescent="0.2">
      <c r="A947" t="s">
        <v>112</v>
      </c>
      <c r="B947" t="s">
        <v>1789</v>
      </c>
      <c r="C947" s="1">
        <v>45000</v>
      </c>
    </row>
    <row r="948" spans="1:3" x14ac:dyDescent="0.2">
      <c r="A948" t="s">
        <v>112</v>
      </c>
      <c r="B948" t="s">
        <v>1790</v>
      </c>
      <c r="C948" s="1">
        <v>45000</v>
      </c>
    </row>
    <row r="949" spans="1:3" x14ac:dyDescent="0.2">
      <c r="A949" t="s">
        <v>112</v>
      </c>
      <c r="B949" t="s">
        <v>1791</v>
      </c>
      <c r="C949" s="1">
        <v>25000</v>
      </c>
    </row>
    <row r="950" spans="1:3" x14ac:dyDescent="0.2">
      <c r="A950" t="s">
        <v>112</v>
      </c>
      <c r="B950" t="s">
        <v>1792</v>
      </c>
      <c r="C950" s="1">
        <v>270000</v>
      </c>
    </row>
    <row r="951" spans="1:3" x14ac:dyDescent="0.2">
      <c r="A951" t="s">
        <v>112</v>
      </c>
      <c r="B951" t="s">
        <v>1793</v>
      </c>
      <c r="C951" s="1">
        <v>6000</v>
      </c>
    </row>
    <row r="952" spans="1:3" x14ac:dyDescent="0.2">
      <c r="A952" t="s">
        <v>112</v>
      </c>
      <c r="B952" t="s">
        <v>1794</v>
      </c>
      <c r="C952" s="1">
        <v>6000</v>
      </c>
    </row>
    <row r="953" spans="1:3" x14ac:dyDescent="0.2">
      <c r="A953" t="s">
        <v>112</v>
      </c>
      <c r="B953" t="s">
        <v>1795</v>
      </c>
      <c r="C953" s="1">
        <v>6000</v>
      </c>
    </row>
    <row r="954" spans="1:3" x14ac:dyDescent="0.2">
      <c r="A954" t="s">
        <v>112</v>
      </c>
      <c r="B954" t="s">
        <v>1796</v>
      </c>
      <c r="C954" s="1">
        <v>5000</v>
      </c>
    </row>
    <row r="955" spans="1:3" x14ac:dyDescent="0.2">
      <c r="A955" t="s">
        <v>112</v>
      </c>
      <c r="B955" t="s">
        <v>1797</v>
      </c>
      <c r="C955" s="1">
        <v>12000</v>
      </c>
    </row>
    <row r="956" spans="1:3" x14ac:dyDescent="0.2">
      <c r="A956" t="s">
        <v>112</v>
      </c>
      <c r="B956" t="s">
        <v>1798</v>
      </c>
      <c r="C956" s="1">
        <v>3000</v>
      </c>
    </row>
    <row r="957" spans="1:3" x14ac:dyDescent="0.2">
      <c r="A957" t="s">
        <v>112</v>
      </c>
      <c r="B957" t="s">
        <v>1799</v>
      </c>
      <c r="C957" s="1">
        <v>6000</v>
      </c>
    </row>
    <row r="958" spans="1:3" x14ac:dyDescent="0.2">
      <c r="A958" t="s">
        <v>112</v>
      </c>
      <c r="B958" t="s">
        <v>1800</v>
      </c>
      <c r="C958" s="1">
        <v>6000</v>
      </c>
    </row>
    <row r="959" spans="1:3" x14ac:dyDescent="0.2">
      <c r="A959" t="s">
        <v>112</v>
      </c>
      <c r="B959" t="s">
        <v>1801</v>
      </c>
      <c r="C959" s="1">
        <v>6000</v>
      </c>
    </row>
    <row r="960" spans="1:3" x14ac:dyDescent="0.2">
      <c r="A960" t="s">
        <v>112</v>
      </c>
      <c r="B960" t="s">
        <v>1802</v>
      </c>
      <c r="C960" s="1">
        <v>6000</v>
      </c>
    </row>
    <row r="961" spans="1:3" x14ac:dyDescent="0.2">
      <c r="A961" t="s">
        <v>112</v>
      </c>
      <c r="B961" t="s">
        <v>1803</v>
      </c>
      <c r="C961" s="1">
        <v>10000</v>
      </c>
    </row>
    <row r="962" spans="1:3" x14ac:dyDescent="0.2">
      <c r="A962" t="s">
        <v>112</v>
      </c>
      <c r="B962" t="s">
        <v>1804</v>
      </c>
      <c r="C962" s="1">
        <v>6000</v>
      </c>
    </row>
    <row r="963" spans="1:3" x14ac:dyDescent="0.2">
      <c r="A963" t="s">
        <v>112</v>
      </c>
      <c r="B963" t="s">
        <v>1805</v>
      </c>
      <c r="C963" s="1">
        <v>12000</v>
      </c>
    </row>
    <row r="964" spans="1:3" x14ac:dyDescent="0.2">
      <c r="A964" t="s">
        <v>112</v>
      </c>
      <c r="B964" t="s">
        <v>1806</v>
      </c>
      <c r="C964" s="1">
        <v>6000</v>
      </c>
    </row>
    <row r="965" spans="1:3" x14ac:dyDescent="0.2">
      <c r="A965" t="s">
        <v>112</v>
      </c>
      <c r="B965" t="s">
        <v>1807</v>
      </c>
      <c r="C965" s="1">
        <v>6000</v>
      </c>
    </row>
    <row r="966" spans="1:3" x14ac:dyDescent="0.2">
      <c r="A966" t="s">
        <v>112</v>
      </c>
      <c r="B966" t="s">
        <v>1808</v>
      </c>
      <c r="C966" s="1">
        <v>6000</v>
      </c>
    </row>
    <row r="967" spans="1:3" x14ac:dyDescent="0.2">
      <c r="A967" t="s">
        <v>112</v>
      </c>
      <c r="B967" t="s">
        <v>1809</v>
      </c>
      <c r="C967" s="1">
        <v>6000</v>
      </c>
    </row>
    <row r="968" spans="1:3" x14ac:dyDescent="0.2">
      <c r="A968" t="s">
        <v>112</v>
      </c>
      <c r="B968" t="s">
        <v>1810</v>
      </c>
      <c r="C968" s="1">
        <v>5500</v>
      </c>
    </row>
    <row r="969" spans="1:3" x14ac:dyDescent="0.2">
      <c r="A969" t="s">
        <v>112</v>
      </c>
      <c r="B969" t="s">
        <v>1811</v>
      </c>
      <c r="C969" s="1">
        <v>6000</v>
      </c>
    </row>
    <row r="970" spans="1:3" x14ac:dyDescent="0.2">
      <c r="A970" t="s">
        <v>112</v>
      </c>
      <c r="B970" t="s">
        <v>1812</v>
      </c>
      <c r="C970" s="1">
        <v>6000</v>
      </c>
    </row>
    <row r="971" spans="1:3" x14ac:dyDescent="0.2">
      <c r="A971" t="s">
        <v>112</v>
      </c>
      <c r="B971" t="s">
        <v>1814</v>
      </c>
      <c r="C971" s="1">
        <v>6000</v>
      </c>
    </row>
    <row r="972" spans="1:3" x14ac:dyDescent="0.2">
      <c r="A972" t="s">
        <v>112</v>
      </c>
      <c r="B972" t="s">
        <v>1815</v>
      </c>
      <c r="C972" s="1">
        <v>6000</v>
      </c>
    </row>
    <row r="973" spans="1:3" x14ac:dyDescent="0.2">
      <c r="A973" t="s">
        <v>112</v>
      </c>
      <c r="B973" t="s">
        <v>1816</v>
      </c>
      <c r="C973" s="1">
        <v>6000</v>
      </c>
    </row>
    <row r="974" spans="1:3" x14ac:dyDescent="0.2">
      <c r="A974" t="s">
        <v>112</v>
      </c>
      <c r="B974" t="s">
        <v>1817</v>
      </c>
      <c r="C974" s="1">
        <v>6000</v>
      </c>
    </row>
    <row r="975" spans="1:3" x14ac:dyDescent="0.2">
      <c r="A975" t="s">
        <v>112</v>
      </c>
      <c r="B975" t="s">
        <v>1818</v>
      </c>
      <c r="C975" s="1">
        <v>6000</v>
      </c>
    </row>
    <row r="976" spans="1:3" x14ac:dyDescent="0.2">
      <c r="A976" t="s">
        <v>112</v>
      </c>
      <c r="B976" t="s">
        <v>1819</v>
      </c>
      <c r="C976" s="1">
        <v>6000</v>
      </c>
    </row>
    <row r="977" spans="1:3" x14ac:dyDescent="0.2">
      <c r="A977" t="s">
        <v>112</v>
      </c>
      <c r="B977" t="s">
        <v>1820</v>
      </c>
      <c r="C977" s="1">
        <v>5000</v>
      </c>
    </row>
    <row r="978" spans="1:3" x14ac:dyDescent="0.2">
      <c r="A978" t="s">
        <v>112</v>
      </c>
      <c r="B978" t="s">
        <v>1821</v>
      </c>
      <c r="C978" s="1">
        <v>6000</v>
      </c>
    </row>
    <row r="979" spans="1:3" x14ac:dyDescent="0.2">
      <c r="A979" t="s">
        <v>112</v>
      </c>
      <c r="B979" t="s">
        <v>1822</v>
      </c>
      <c r="C979" s="1">
        <v>5500</v>
      </c>
    </row>
    <row r="980" spans="1:3" x14ac:dyDescent="0.2">
      <c r="A980" t="s">
        <v>112</v>
      </c>
      <c r="B980" t="s">
        <v>1823</v>
      </c>
      <c r="C980" s="1">
        <v>6000</v>
      </c>
    </row>
    <row r="981" spans="1:3" x14ac:dyDescent="0.2">
      <c r="A981" t="s">
        <v>112</v>
      </c>
      <c r="B981" t="s">
        <v>1824</v>
      </c>
      <c r="C981" s="1">
        <v>6000</v>
      </c>
    </row>
    <row r="982" spans="1:3" x14ac:dyDescent="0.2">
      <c r="A982" t="s">
        <v>112</v>
      </c>
      <c r="B982" t="s">
        <v>1825</v>
      </c>
      <c r="C982" s="1">
        <v>6000</v>
      </c>
    </row>
    <row r="983" spans="1:3" x14ac:dyDescent="0.2">
      <c r="A983" t="s">
        <v>112</v>
      </c>
      <c r="B983" t="s">
        <v>1826</v>
      </c>
      <c r="C983" s="1">
        <v>6000</v>
      </c>
    </row>
    <row r="984" spans="1:3" x14ac:dyDescent="0.2">
      <c r="A984" t="s">
        <v>112</v>
      </c>
      <c r="B984" t="s">
        <v>1827</v>
      </c>
      <c r="C984" s="1">
        <v>5000</v>
      </c>
    </row>
    <row r="985" spans="1:3" x14ac:dyDescent="0.2">
      <c r="A985" t="s">
        <v>112</v>
      </c>
      <c r="B985" t="s">
        <v>1828</v>
      </c>
      <c r="C985" s="1">
        <v>55000</v>
      </c>
    </row>
    <row r="986" spans="1:3" x14ac:dyDescent="0.2">
      <c r="A986" t="s">
        <v>112</v>
      </c>
      <c r="B986" t="s">
        <v>1829</v>
      </c>
      <c r="C986" s="1">
        <v>91000</v>
      </c>
    </row>
    <row r="987" spans="1:3" x14ac:dyDescent="0.2">
      <c r="A987" t="s">
        <v>112</v>
      </c>
      <c r="B987" t="s">
        <v>1831</v>
      </c>
      <c r="C987" s="1">
        <v>180000</v>
      </c>
    </row>
    <row r="988" spans="1:3" x14ac:dyDescent="0.2">
      <c r="A988" t="s">
        <v>112</v>
      </c>
      <c r="B988" t="s">
        <v>1832</v>
      </c>
      <c r="C988" s="1">
        <v>55000</v>
      </c>
    </row>
    <row r="989" spans="1:3" x14ac:dyDescent="0.2">
      <c r="A989" t="s">
        <v>112</v>
      </c>
      <c r="B989" t="s">
        <v>1841</v>
      </c>
      <c r="C989" s="1">
        <v>85000</v>
      </c>
    </row>
    <row r="990" spans="1:3" x14ac:dyDescent="0.2">
      <c r="A990" t="s">
        <v>112</v>
      </c>
      <c r="B990" t="s">
        <v>1842</v>
      </c>
      <c r="C990" s="1">
        <v>102000</v>
      </c>
    </row>
    <row r="991" spans="1:3" x14ac:dyDescent="0.2">
      <c r="A991" t="s">
        <v>112</v>
      </c>
      <c r="B991" t="s">
        <v>1843</v>
      </c>
      <c r="C991" s="1">
        <v>50000</v>
      </c>
    </row>
    <row r="992" spans="1:3" x14ac:dyDescent="0.2">
      <c r="A992" t="s">
        <v>112</v>
      </c>
      <c r="B992" t="s">
        <v>1844</v>
      </c>
      <c r="C992" s="1">
        <v>6000</v>
      </c>
    </row>
    <row r="993" spans="1:3" x14ac:dyDescent="0.2">
      <c r="A993" t="s">
        <v>112</v>
      </c>
      <c r="B993" t="s">
        <v>1845</v>
      </c>
      <c r="C993" s="1">
        <v>4250</v>
      </c>
    </row>
    <row r="994" spans="1:3" x14ac:dyDescent="0.2">
      <c r="A994" t="s">
        <v>112</v>
      </c>
      <c r="B994" t="s">
        <v>1846</v>
      </c>
      <c r="C994" s="1">
        <v>6000</v>
      </c>
    </row>
    <row r="995" spans="1:3" x14ac:dyDescent="0.2">
      <c r="A995" t="s">
        <v>112</v>
      </c>
      <c r="B995" t="s">
        <v>1847</v>
      </c>
      <c r="C995" s="1">
        <v>6000</v>
      </c>
    </row>
    <row r="996" spans="1:3" x14ac:dyDescent="0.2">
      <c r="A996" t="s">
        <v>112</v>
      </c>
      <c r="B996" t="s">
        <v>1848</v>
      </c>
      <c r="C996" s="1">
        <v>4750</v>
      </c>
    </row>
    <row r="997" spans="1:3" x14ac:dyDescent="0.2">
      <c r="A997" t="s">
        <v>112</v>
      </c>
      <c r="B997" t="s">
        <v>1849</v>
      </c>
      <c r="C997" s="1">
        <v>5750</v>
      </c>
    </row>
    <row r="998" spans="1:3" x14ac:dyDescent="0.2">
      <c r="A998" t="s">
        <v>112</v>
      </c>
      <c r="B998" t="s">
        <v>1850</v>
      </c>
      <c r="C998" s="1">
        <v>6000</v>
      </c>
    </row>
    <row r="999" spans="1:3" x14ac:dyDescent="0.2">
      <c r="A999" t="s">
        <v>112</v>
      </c>
      <c r="B999" t="s">
        <v>1851</v>
      </c>
      <c r="C999" s="1">
        <v>12000</v>
      </c>
    </row>
    <row r="1000" spans="1:3" x14ac:dyDescent="0.2">
      <c r="A1000" t="s">
        <v>112</v>
      </c>
      <c r="B1000" t="s">
        <v>1852</v>
      </c>
      <c r="C1000" s="1">
        <v>3000</v>
      </c>
    </row>
    <row r="1001" spans="1:3" x14ac:dyDescent="0.2">
      <c r="A1001" t="s">
        <v>112</v>
      </c>
      <c r="B1001" t="s">
        <v>1853</v>
      </c>
      <c r="C1001" s="1">
        <v>110000</v>
      </c>
    </row>
    <row r="1002" spans="1:3" x14ac:dyDescent="0.2">
      <c r="A1002" t="s">
        <v>112</v>
      </c>
      <c r="B1002" t="s">
        <v>1854</v>
      </c>
      <c r="C1002" s="1">
        <v>250000</v>
      </c>
    </row>
    <row r="1003" spans="1:3" x14ac:dyDescent="0.2">
      <c r="A1003" t="s">
        <v>112</v>
      </c>
      <c r="B1003" t="s">
        <v>1855</v>
      </c>
      <c r="C1003" s="1">
        <v>76000</v>
      </c>
    </row>
    <row r="1004" spans="1:3" x14ac:dyDescent="0.2">
      <c r="A1004" t="s">
        <v>112</v>
      </c>
      <c r="B1004" t="s">
        <v>1856</v>
      </c>
      <c r="C1004" s="1">
        <v>40000</v>
      </c>
    </row>
    <row r="1005" spans="1:3" x14ac:dyDescent="0.2">
      <c r="A1005" t="s">
        <v>112</v>
      </c>
      <c r="B1005" t="s">
        <v>1858</v>
      </c>
      <c r="C1005" s="1">
        <v>278000</v>
      </c>
    </row>
    <row r="1006" spans="1:3" x14ac:dyDescent="0.2">
      <c r="A1006" t="s">
        <v>112</v>
      </c>
      <c r="B1006" t="s">
        <v>1859</v>
      </c>
      <c r="C1006" s="1">
        <v>6000</v>
      </c>
    </row>
    <row r="1007" spans="1:3" x14ac:dyDescent="0.2">
      <c r="A1007" t="s">
        <v>112</v>
      </c>
      <c r="B1007" t="s">
        <v>1860</v>
      </c>
      <c r="C1007" s="1">
        <v>1000</v>
      </c>
    </row>
    <row r="1008" spans="1:3" x14ac:dyDescent="0.2">
      <c r="A1008" t="s">
        <v>112</v>
      </c>
      <c r="B1008" t="s">
        <v>1861</v>
      </c>
      <c r="C1008" s="1">
        <v>6000</v>
      </c>
    </row>
    <row r="1009" spans="1:3" x14ac:dyDescent="0.2">
      <c r="A1009" t="s">
        <v>112</v>
      </c>
      <c r="B1009" t="s">
        <v>1862</v>
      </c>
      <c r="C1009" s="1">
        <v>2500</v>
      </c>
    </row>
    <row r="1010" spans="1:3" x14ac:dyDescent="0.2">
      <c r="A1010" t="s">
        <v>112</v>
      </c>
      <c r="B1010" t="s">
        <v>1863</v>
      </c>
      <c r="C1010" s="1">
        <v>6000</v>
      </c>
    </row>
    <row r="1011" spans="1:3" x14ac:dyDescent="0.2">
      <c r="A1011" t="s">
        <v>112</v>
      </c>
      <c r="B1011" t="s">
        <v>1865</v>
      </c>
      <c r="C1011" s="1">
        <v>68000</v>
      </c>
    </row>
    <row r="1012" spans="1:3" x14ac:dyDescent="0.2">
      <c r="A1012" t="s">
        <v>112</v>
      </c>
      <c r="B1012" t="s">
        <v>1866</v>
      </c>
      <c r="C1012" s="1">
        <v>175000</v>
      </c>
    </row>
    <row r="1013" spans="1:3" x14ac:dyDescent="0.2">
      <c r="A1013" t="s">
        <v>112</v>
      </c>
      <c r="B1013" t="s">
        <v>1867</v>
      </c>
      <c r="C1013" s="1">
        <v>6000</v>
      </c>
    </row>
    <row r="1014" spans="1:3" x14ac:dyDescent="0.2">
      <c r="A1014" t="s">
        <v>112</v>
      </c>
      <c r="B1014" t="s">
        <v>1869</v>
      </c>
      <c r="C1014" s="1">
        <v>6000</v>
      </c>
    </row>
    <row r="1015" spans="1:3" x14ac:dyDescent="0.2">
      <c r="A1015" t="s">
        <v>112</v>
      </c>
      <c r="B1015" t="s">
        <v>1870</v>
      </c>
      <c r="C1015" s="1">
        <v>6000</v>
      </c>
    </row>
    <row r="1016" spans="1:3" x14ac:dyDescent="0.2">
      <c r="A1016" t="s">
        <v>112</v>
      </c>
      <c r="B1016" t="s">
        <v>1871</v>
      </c>
      <c r="C1016" s="1">
        <v>5250</v>
      </c>
    </row>
    <row r="1017" spans="1:3" x14ac:dyDescent="0.2">
      <c r="A1017" t="s">
        <v>112</v>
      </c>
      <c r="B1017" t="s">
        <v>1872</v>
      </c>
      <c r="C1017" s="1">
        <v>6000</v>
      </c>
    </row>
    <row r="1018" spans="1:3" x14ac:dyDescent="0.2">
      <c r="A1018" t="s">
        <v>112</v>
      </c>
      <c r="B1018" t="s">
        <v>1873</v>
      </c>
      <c r="C1018" s="1">
        <v>6000</v>
      </c>
    </row>
    <row r="1019" spans="1:3" x14ac:dyDescent="0.2">
      <c r="A1019" t="s">
        <v>112</v>
      </c>
      <c r="B1019" t="s">
        <v>1874</v>
      </c>
      <c r="C1019" s="1">
        <v>1500</v>
      </c>
    </row>
    <row r="1020" spans="1:3" x14ac:dyDescent="0.2">
      <c r="A1020" t="s">
        <v>112</v>
      </c>
      <c r="B1020" t="s">
        <v>1875</v>
      </c>
      <c r="C1020" s="1">
        <v>6000</v>
      </c>
    </row>
    <row r="1021" spans="1:3" x14ac:dyDescent="0.2">
      <c r="A1021" t="s">
        <v>112</v>
      </c>
      <c r="B1021" t="s">
        <v>1876</v>
      </c>
      <c r="C1021" s="1">
        <v>6000</v>
      </c>
    </row>
    <row r="1022" spans="1:3" x14ac:dyDescent="0.2">
      <c r="A1022" t="s">
        <v>112</v>
      </c>
      <c r="B1022" t="s">
        <v>1877</v>
      </c>
      <c r="C1022" s="1">
        <v>500000</v>
      </c>
    </row>
    <row r="1023" spans="1:3" x14ac:dyDescent="0.2">
      <c r="A1023" t="s">
        <v>112</v>
      </c>
      <c r="B1023" t="s">
        <v>1878</v>
      </c>
      <c r="C1023" s="1">
        <v>153000</v>
      </c>
    </row>
    <row r="1024" spans="1:3" x14ac:dyDescent="0.2">
      <c r="A1024" t="s">
        <v>112</v>
      </c>
      <c r="B1024" t="s">
        <v>1879</v>
      </c>
      <c r="C1024" s="1">
        <v>20000</v>
      </c>
    </row>
    <row r="1025" spans="1:3" x14ac:dyDescent="0.2">
      <c r="A1025" t="s">
        <v>112</v>
      </c>
      <c r="B1025" t="s">
        <v>1880</v>
      </c>
      <c r="C1025" s="1">
        <v>30000</v>
      </c>
    </row>
    <row r="1026" spans="1:3" x14ac:dyDescent="0.2">
      <c r="A1026" t="s">
        <v>112</v>
      </c>
      <c r="B1026" t="s">
        <v>1881</v>
      </c>
      <c r="C1026" s="1">
        <v>50000</v>
      </c>
    </row>
    <row r="1027" spans="1:3" x14ac:dyDescent="0.2">
      <c r="A1027" t="s">
        <v>112</v>
      </c>
      <c r="B1027" t="s">
        <v>1882</v>
      </c>
      <c r="C1027" s="1">
        <v>20000</v>
      </c>
    </row>
    <row r="1028" spans="1:3" x14ac:dyDescent="0.2">
      <c r="A1028" t="s">
        <v>112</v>
      </c>
      <c r="B1028" t="s">
        <v>1883</v>
      </c>
      <c r="C1028" s="1">
        <v>74000</v>
      </c>
    </row>
    <row r="1029" spans="1:3" x14ac:dyDescent="0.2">
      <c r="A1029" t="s">
        <v>112</v>
      </c>
      <c r="B1029" t="s">
        <v>1884</v>
      </c>
      <c r="C1029" s="1">
        <v>20000</v>
      </c>
    </row>
    <row r="1030" spans="1:3" x14ac:dyDescent="0.2">
      <c r="A1030" t="s">
        <v>112</v>
      </c>
      <c r="B1030" t="s">
        <v>1885</v>
      </c>
      <c r="C1030" s="1">
        <v>200000</v>
      </c>
    </row>
    <row r="1031" spans="1:3" x14ac:dyDescent="0.2">
      <c r="A1031" t="s">
        <v>112</v>
      </c>
      <c r="B1031" t="s">
        <v>1886</v>
      </c>
      <c r="C1031" s="1">
        <v>6000</v>
      </c>
    </row>
    <row r="1032" spans="1:3" x14ac:dyDescent="0.2">
      <c r="A1032" t="s">
        <v>112</v>
      </c>
      <c r="B1032" t="s">
        <v>1887</v>
      </c>
      <c r="C1032" s="1">
        <v>40000</v>
      </c>
    </row>
    <row r="1033" spans="1:3" x14ac:dyDescent="0.2">
      <c r="A1033" t="s">
        <v>112</v>
      </c>
      <c r="B1033" t="s">
        <v>1888</v>
      </c>
      <c r="C1033" s="1">
        <v>100000</v>
      </c>
    </row>
    <row r="1034" spans="1:3" x14ac:dyDescent="0.2">
      <c r="A1034" t="s">
        <v>112</v>
      </c>
      <c r="B1034" t="s">
        <v>1889</v>
      </c>
      <c r="C1034" s="1">
        <v>20000</v>
      </c>
    </row>
    <row r="1035" spans="1:3" x14ac:dyDescent="0.2">
      <c r="A1035" t="s">
        <v>112</v>
      </c>
      <c r="B1035" t="s">
        <v>1892</v>
      </c>
      <c r="C1035" s="1">
        <v>12000</v>
      </c>
    </row>
    <row r="1036" spans="1:3" x14ac:dyDescent="0.2">
      <c r="A1036" t="s">
        <v>112</v>
      </c>
      <c r="B1036" t="s">
        <v>1893</v>
      </c>
      <c r="C1036" s="1">
        <v>6000</v>
      </c>
    </row>
    <row r="1037" spans="1:3" x14ac:dyDescent="0.2">
      <c r="A1037" t="s">
        <v>112</v>
      </c>
      <c r="B1037" t="s">
        <v>1894</v>
      </c>
      <c r="C1037" s="1">
        <v>4250</v>
      </c>
    </row>
    <row r="1038" spans="1:3" x14ac:dyDescent="0.2">
      <c r="A1038" t="s">
        <v>112</v>
      </c>
      <c r="B1038" t="s">
        <v>1895</v>
      </c>
      <c r="C1038" s="1">
        <v>3500</v>
      </c>
    </row>
    <row r="1039" spans="1:3" x14ac:dyDescent="0.2">
      <c r="A1039" t="s">
        <v>112</v>
      </c>
      <c r="B1039" t="s">
        <v>1896</v>
      </c>
      <c r="C1039" s="1">
        <v>6000</v>
      </c>
    </row>
    <row r="1040" spans="1:3" x14ac:dyDescent="0.2">
      <c r="A1040" t="s">
        <v>112</v>
      </c>
      <c r="B1040" t="s">
        <v>1897</v>
      </c>
      <c r="C1040" s="1">
        <v>6000</v>
      </c>
    </row>
    <row r="1041" spans="1:3" x14ac:dyDescent="0.2">
      <c r="A1041" t="s">
        <v>112</v>
      </c>
      <c r="B1041" t="s">
        <v>1898</v>
      </c>
      <c r="C1041" s="1">
        <v>6000</v>
      </c>
    </row>
    <row r="1042" spans="1:3" x14ac:dyDescent="0.2">
      <c r="A1042" t="s">
        <v>112</v>
      </c>
      <c r="B1042" t="s">
        <v>1899</v>
      </c>
      <c r="C1042" s="1">
        <v>6000</v>
      </c>
    </row>
    <row r="1043" spans="1:3" x14ac:dyDescent="0.2">
      <c r="A1043" t="s">
        <v>112</v>
      </c>
      <c r="B1043" t="s">
        <v>1900</v>
      </c>
      <c r="C1043" s="1">
        <v>12000</v>
      </c>
    </row>
    <row r="1044" spans="1:3" x14ac:dyDescent="0.2">
      <c r="A1044" t="s">
        <v>112</v>
      </c>
      <c r="B1044" t="s">
        <v>1901</v>
      </c>
      <c r="C1044" s="1">
        <v>12000</v>
      </c>
    </row>
    <row r="1045" spans="1:3" x14ac:dyDescent="0.2">
      <c r="A1045" t="s">
        <v>112</v>
      </c>
      <c r="B1045" t="s">
        <v>1902</v>
      </c>
      <c r="C1045" s="1">
        <v>1000</v>
      </c>
    </row>
    <row r="1046" spans="1:3" x14ac:dyDescent="0.2">
      <c r="A1046" t="s">
        <v>112</v>
      </c>
      <c r="B1046" t="s">
        <v>1903</v>
      </c>
      <c r="C1046" s="1">
        <v>6000</v>
      </c>
    </row>
    <row r="1047" spans="1:3" x14ac:dyDescent="0.2">
      <c r="A1047" t="s">
        <v>112</v>
      </c>
      <c r="B1047" t="s">
        <v>1904</v>
      </c>
      <c r="C1047" s="1">
        <v>6000</v>
      </c>
    </row>
    <row r="1048" spans="1:3" x14ac:dyDescent="0.2">
      <c r="A1048" t="s">
        <v>112</v>
      </c>
      <c r="B1048" t="s">
        <v>1905</v>
      </c>
      <c r="C1048" s="1">
        <v>6000</v>
      </c>
    </row>
    <row r="1049" spans="1:3" x14ac:dyDescent="0.2">
      <c r="A1049" t="s">
        <v>112</v>
      </c>
      <c r="B1049" t="s">
        <v>1906</v>
      </c>
      <c r="C1049" s="1">
        <v>6000</v>
      </c>
    </row>
    <row r="1050" spans="1:3" x14ac:dyDescent="0.2">
      <c r="A1050" t="s">
        <v>112</v>
      </c>
      <c r="B1050" t="s">
        <v>1907</v>
      </c>
      <c r="C1050" s="1">
        <v>6000</v>
      </c>
    </row>
    <row r="1051" spans="1:3" x14ac:dyDescent="0.2">
      <c r="A1051" t="s">
        <v>112</v>
      </c>
      <c r="B1051" t="s">
        <v>1908</v>
      </c>
      <c r="C1051" s="1">
        <v>6000</v>
      </c>
    </row>
    <row r="1052" spans="1:3" x14ac:dyDescent="0.2">
      <c r="A1052" t="s">
        <v>112</v>
      </c>
      <c r="B1052" t="s">
        <v>1909</v>
      </c>
      <c r="C1052" s="1">
        <v>6000</v>
      </c>
    </row>
    <row r="1053" spans="1:3" x14ac:dyDescent="0.2">
      <c r="A1053" t="s">
        <v>112</v>
      </c>
      <c r="B1053" t="s">
        <v>1910</v>
      </c>
      <c r="C1053" s="1">
        <v>6000</v>
      </c>
    </row>
    <row r="1054" spans="1:3" x14ac:dyDescent="0.2">
      <c r="A1054" t="s">
        <v>112</v>
      </c>
      <c r="B1054" t="s">
        <v>1911</v>
      </c>
      <c r="C1054" s="1">
        <v>6000</v>
      </c>
    </row>
    <row r="1055" spans="1:3" x14ac:dyDescent="0.2">
      <c r="A1055" t="s">
        <v>112</v>
      </c>
      <c r="B1055" t="s">
        <v>1912</v>
      </c>
      <c r="C1055" s="1">
        <v>3000</v>
      </c>
    </row>
    <row r="1056" spans="1:3" x14ac:dyDescent="0.2">
      <c r="A1056" t="s">
        <v>112</v>
      </c>
      <c r="B1056" t="s">
        <v>1913</v>
      </c>
      <c r="C1056" s="1">
        <v>6000</v>
      </c>
    </row>
    <row r="1057" spans="1:3" x14ac:dyDescent="0.2">
      <c r="A1057" t="s">
        <v>112</v>
      </c>
      <c r="B1057" t="s">
        <v>1914</v>
      </c>
      <c r="C1057" s="1">
        <v>6000</v>
      </c>
    </row>
    <row r="1058" spans="1:3" x14ac:dyDescent="0.2">
      <c r="A1058" t="s">
        <v>112</v>
      </c>
      <c r="B1058" t="s">
        <v>1915</v>
      </c>
      <c r="C1058" s="1">
        <v>4000</v>
      </c>
    </row>
    <row r="1059" spans="1:3" x14ac:dyDescent="0.2">
      <c r="A1059" t="s">
        <v>112</v>
      </c>
      <c r="B1059" t="s">
        <v>1916</v>
      </c>
      <c r="C1059" s="1">
        <v>6000</v>
      </c>
    </row>
    <row r="1060" spans="1:3" x14ac:dyDescent="0.2">
      <c r="A1060" t="s">
        <v>112</v>
      </c>
      <c r="B1060" t="s">
        <v>1917</v>
      </c>
      <c r="C1060" s="1">
        <v>5000</v>
      </c>
    </row>
    <row r="1061" spans="1:3" x14ac:dyDescent="0.2">
      <c r="A1061" t="s">
        <v>112</v>
      </c>
      <c r="B1061" t="s">
        <v>1918</v>
      </c>
      <c r="C1061" s="1">
        <v>3000</v>
      </c>
    </row>
    <row r="1062" spans="1:3" x14ac:dyDescent="0.2">
      <c r="A1062" t="s">
        <v>112</v>
      </c>
      <c r="B1062" t="s">
        <v>1919</v>
      </c>
      <c r="C1062" s="1">
        <v>6000</v>
      </c>
    </row>
    <row r="1063" spans="1:3" x14ac:dyDescent="0.2">
      <c r="A1063" t="s">
        <v>112</v>
      </c>
      <c r="B1063" t="s">
        <v>1920</v>
      </c>
      <c r="C1063" s="1">
        <v>12000</v>
      </c>
    </row>
    <row r="1064" spans="1:3" x14ac:dyDescent="0.2">
      <c r="A1064" t="s">
        <v>112</v>
      </c>
      <c r="B1064" t="s">
        <v>1921</v>
      </c>
      <c r="C1064" s="1">
        <v>5000</v>
      </c>
    </row>
    <row r="1065" spans="1:3" x14ac:dyDescent="0.2">
      <c r="A1065" t="s">
        <v>112</v>
      </c>
      <c r="B1065" t="s">
        <v>1922</v>
      </c>
      <c r="C1065" s="1">
        <v>5500</v>
      </c>
    </row>
    <row r="1066" spans="1:3" x14ac:dyDescent="0.2">
      <c r="A1066" t="s">
        <v>112</v>
      </c>
      <c r="B1066" t="s">
        <v>1923</v>
      </c>
      <c r="C1066" s="1">
        <v>6000</v>
      </c>
    </row>
    <row r="1067" spans="1:3" x14ac:dyDescent="0.2">
      <c r="A1067" t="s">
        <v>112</v>
      </c>
      <c r="B1067" t="s">
        <v>1924</v>
      </c>
      <c r="C1067" s="1">
        <v>90000</v>
      </c>
    </row>
    <row r="1068" spans="1:3" x14ac:dyDescent="0.2">
      <c r="A1068" t="s">
        <v>112</v>
      </c>
      <c r="B1068" t="s">
        <v>1925</v>
      </c>
      <c r="C1068" s="1">
        <v>6000</v>
      </c>
    </row>
    <row r="1069" spans="1:3" x14ac:dyDescent="0.2">
      <c r="A1069" t="s">
        <v>112</v>
      </c>
      <c r="B1069" t="s">
        <v>1926</v>
      </c>
      <c r="C1069" s="1">
        <v>11000</v>
      </c>
    </row>
    <row r="1070" spans="1:3" x14ac:dyDescent="0.2">
      <c r="A1070" t="s">
        <v>112</v>
      </c>
      <c r="B1070" t="s">
        <v>1927</v>
      </c>
      <c r="C1070" s="1">
        <v>6000</v>
      </c>
    </row>
    <row r="1071" spans="1:3" x14ac:dyDescent="0.2">
      <c r="A1071" t="s">
        <v>112</v>
      </c>
      <c r="B1071" t="s">
        <v>1928</v>
      </c>
      <c r="C1071" s="1">
        <v>6000</v>
      </c>
    </row>
    <row r="1072" spans="1:3" x14ac:dyDescent="0.2">
      <c r="A1072" t="s">
        <v>112</v>
      </c>
      <c r="B1072" t="s">
        <v>1929</v>
      </c>
      <c r="C1072" s="1">
        <v>6000</v>
      </c>
    </row>
    <row r="1073" spans="1:3" x14ac:dyDescent="0.2">
      <c r="A1073" t="s">
        <v>112</v>
      </c>
      <c r="B1073" t="s">
        <v>1930</v>
      </c>
      <c r="C1073" s="1">
        <v>6000</v>
      </c>
    </row>
    <row r="1074" spans="1:3" x14ac:dyDescent="0.2">
      <c r="A1074" t="s">
        <v>112</v>
      </c>
      <c r="B1074" t="s">
        <v>1931</v>
      </c>
      <c r="C1074" s="1">
        <v>6000</v>
      </c>
    </row>
    <row r="1075" spans="1:3" x14ac:dyDescent="0.2">
      <c r="A1075" t="s">
        <v>112</v>
      </c>
      <c r="B1075" t="s">
        <v>1932</v>
      </c>
      <c r="C1075" s="1">
        <v>6000</v>
      </c>
    </row>
    <row r="1076" spans="1:3" x14ac:dyDescent="0.2">
      <c r="A1076" t="s">
        <v>112</v>
      </c>
      <c r="B1076" t="s">
        <v>1933</v>
      </c>
      <c r="C1076" s="1">
        <v>5750</v>
      </c>
    </row>
    <row r="1077" spans="1:3" x14ac:dyDescent="0.2">
      <c r="A1077" t="s">
        <v>112</v>
      </c>
      <c r="B1077" t="s">
        <v>1934</v>
      </c>
      <c r="C1077" s="1">
        <v>6000</v>
      </c>
    </row>
    <row r="1078" spans="1:3" x14ac:dyDescent="0.2">
      <c r="A1078" t="s">
        <v>112</v>
      </c>
      <c r="B1078" t="s">
        <v>1935</v>
      </c>
      <c r="C1078" s="1">
        <v>6000</v>
      </c>
    </row>
    <row r="1079" spans="1:3" x14ac:dyDescent="0.2">
      <c r="A1079" t="s">
        <v>112</v>
      </c>
      <c r="B1079" t="s">
        <v>1936</v>
      </c>
      <c r="C1079" s="1">
        <v>6000</v>
      </c>
    </row>
    <row r="1080" spans="1:3" x14ac:dyDescent="0.2">
      <c r="A1080" t="s">
        <v>112</v>
      </c>
      <c r="B1080" t="s">
        <v>1937</v>
      </c>
      <c r="C1080" s="1">
        <v>12000</v>
      </c>
    </row>
    <row r="1081" spans="1:3" x14ac:dyDescent="0.2">
      <c r="A1081" t="s">
        <v>112</v>
      </c>
      <c r="B1081" t="s">
        <v>1938</v>
      </c>
      <c r="C1081" s="1">
        <v>1000</v>
      </c>
    </row>
    <row r="1082" spans="1:3" x14ac:dyDescent="0.2">
      <c r="A1082" t="s">
        <v>112</v>
      </c>
      <c r="B1082" t="s">
        <v>1939</v>
      </c>
      <c r="C1082" s="1">
        <v>6000</v>
      </c>
    </row>
    <row r="1083" spans="1:3" x14ac:dyDescent="0.2">
      <c r="A1083" t="s">
        <v>112</v>
      </c>
      <c r="B1083" t="s">
        <v>1940</v>
      </c>
      <c r="C1083" s="1">
        <v>6000</v>
      </c>
    </row>
    <row r="1084" spans="1:3" x14ac:dyDescent="0.2">
      <c r="A1084" t="s">
        <v>112</v>
      </c>
      <c r="B1084" t="s">
        <v>1941</v>
      </c>
      <c r="C1084" s="1">
        <v>6000</v>
      </c>
    </row>
    <row r="1085" spans="1:3" x14ac:dyDescent="0.2">
      <c r="A1085" t="s">
        <v>112</v>
      </c>
      <c r="B1085" t="s">
        <v>1942</v>
      </c>
      <c r="C1085" s="1">
        <v>6000</v>
      </c>
    </row>
    <row r="1086" spans="1:3" x14ac:dyDescent="0.2">
      <c r="A1086" t="s">
        <v>112</v>
      </c>
      <c r="B1086" t="s">
        <v>1943</v>
      </c>
      <c r="C1086" s="1">
        <v>6000</v>
      </c>
    </row>
    <row r="1087" spans="1:3" x14ac:dyDescent="0.2">
      <c r="A1087" t="s">
        <v>112</v>
      </c>
      <c r="B1087" t="s">
        <v>1944</v>
      </c>
      <c r="C1087" s="1">
        <v>6000</v>
      </c>
    </row>
    <row r="1088" spans="1:3" x14ac:dyDescent="0.2">
      <c r="A1088" t="s">
        <v>112</v>
      </c>
      <c r="B1088" t="s">
        <v>1945</v>
      </c>
      <c r="C1088" s="1">
        <v>5500</v>
      </c>
    </row>
    <row r="1089" spans="1:3" x14ac:dyDescent="0.2">
      <c r="A1089" t="s">
        <v>112</v>
      </c>
      <c r="B1089" t="s">
        <v>1946</v>
      </c>
      <c r="C1089" s="1">
        <v>6000</v>
      </c>
    </row>
    <row r="1090" spans="1:3" x14ac:dyDescent="0.2">
      <c r="A1090" t="s">
        <v>112</v>
      </c>
      <c r="B1090" t="s">
        <v>1947</v>
      </c>
      <c r="C1090" s="1">
        <v>6000</v>
      </c>
    </row>
    <row r="1091" spans="1:3" x14ac:dyDescent="0.2">
      <c r="A1091" t="s">
        <v>112</v>
      </c>
      <c r="B1091" t="s">
        <v>1948</v>
      </c>
      <c r="C1091" s="1">
        <v>5000</v>
      </c>
    </row>
    <row r="1092" spans="1:3" x14ac:dyDescent="0.2">
      <c r="A1092" t="s">
        <v>112</v>
      </c>
      <c r="B1092" t="s">
        <v>1949</v>
      </c>
      <c r="C1092" s="1">
        <v>6000</v>
      </c>
    </row>
    <row r="1093" spans="1:3" x14ac:dyDescent="0.2">
      <c r="A1093" t="s">
        <v>112</v>
      </c>
      <c r="B1093" t="s">
        <v>1950</v>
      </c>
      <c r="C1093" s="1">
        <v>40850</v>
      </c>
    </row>
    <row r="1094" spans="1:3" x14ac:dyDescent="0.2">
      <c r="A1094" t="s">
        <v>112</v>
      </c>
      <c r="B1094" t="s">
        <v>1951</v>
      </c>
      <c r="C1094" s="1">
        <v>80000</v>
      </c>
    </row>
    <row r="1095" spans="1:3" x14ac:dyDescent="0.2">
      <c r="A1095" t="s">
        <v>112</v>
      </c>
      <c r="B1095" t="s">
        <v>1952</v>
      </c>
      <c r="C1095" s="1">
        <v>1000</v>
      </c>
    </row>
    <row r="1096" spans="1:3" x14ac:dyDescent="0.2">
      <c r="A1096" t="s">
        <v>112</v>
      </c>
      <c r="B1096" t="s">
        <v>1953</v>
      </c>
      <c r="C1096" s="1">
        <v>6000</v>
      </c>
    </row>
    <row r="1097" spans="1:3" x14ac:dyDescent="0.2">
      <c r="A1097" t="s">
        <v>112</v>
      </c>
      <c r="B1097" t="s">
        <v>1954</v>
      </c>
      <c r="C1097" s="1">
        <v>4750</v>
      </c>
    </row>
    <row r="1098" spans="1:3" x14ac:dyDescent="0.2">
      <c r="A1098" t="s">
        <v>112</v>
      </c>
      <c r="B1098" t="s">
        <v>1955</v>
      </c>
      <c r="C1098" s="1">
        <v>6000</v>
      </c>
    </row>
    <row r="1099" spans="1:3" x14ac:dyDescent="0.2">
      <c r="A1099" t="s">
        <v>112</v>
      </c>
      <c r="B1099" t="s">
        <v>1957</v>
      </c>
      <c r="C1099" s="1">
        <v>30000</v>
      </c>
    </row>
    <row r="1100" spans="1:3" x14ac:dyDescent="0.2">
      <c r="A1100" t="s">
        <v>112</v>
      </c>
      <c r="B1100" t="s">
        <v>1958</v>
      </c>
      <c r="C1100" s="1">
        <v>25000</v>
      </c>
    </row>
    <row r="1101" spans="1:3" x14ac:dyDescent="0.2">
      <c r="A1101" t="s">
        <v>112</v>
      </c>
      <c r="B1101" t="s">
        <v>1959</v>
      </c>
      <c r="C1101" s="1">
        <v>6000</v>
      </c>
    </row>
    <row r="1102" spans="1:3" x14ac:dyDescent="0.2">
      <c r="A1102" t="s">
        <v>112</v>
      </c>
      <c r="B1102" t="s">
        <v>1960</v>
      </c>
      <c r="C1102" s="1">
        <v>6000</v>
      </c>
    </row>
    <row r="1103" spans="1:3" x14ac:dyDescent="0.2">
      <c r="A1103" t="s">
        <v>112</v>
      </c>
      <c r="B1103" t="s">
        <v>1961</v>
      </c>
      <c r="C1103" s="1">
        <v>6000</v>
      </c>
    </row>
    <row r="1104" spans="1:3" x14ac:dyDescent="0.2">
      <c r="A1104" t="s">
        <v>112</v>
      </c>
      <c r="B1104" t="s">
        <v>1962</v>
      </c>
      <c r="C1104" s="1">
        <v>6000</v>
      </c>
    </row>
    <row r="1105" spans="1:3" x14ac:dyDescent="0.2">
      <c r="A1105" t="s">
        <v>112</v>
      </c>
      <c r="B1105" t="s">
        <v>1963</v>
      </c>
      <c r="C1105" s="1">
        <v>5000</v>
      </c>
    </row>
    <row r="1106" spans="1:3" x14ac:dyDescent="0.2">
      <c r="A1106" t="s">
        <v>112</v>
      </c>
      <c r="B1106" t="s">
        <v>1964</v>
      </c>
      <c r="C1106" s="1">
        <v>6000</v>
      </c>
    </row>
    <row r="1107" spans="1:3" x14ac:dyDescent="0.2">
      <c r="A1107" t="s">
        <v>112</v>
      </c>
      <c r="B1107" t="s">
        <v>1965</v>
      </c>
      <c r="C1107" s="1">
        <v>6000</v>
      </c>
    </row>
    <row r="1108" spans="1:3" x14ac:dyDescent="0.2">
      <c r="A1108" t="s">
        <v>112</v>
      </c>
      <c r="B1108" t="s">
        <v>1966</v>
      </c>
      <c r="C1108" s="1">
        <v>12000</v>
      </c>
    </row>
    <row r="1109" spans="1:3" x14ac:dyDescent="0.2">
      <c r="A1109" t="s">
        <v>112</v>
      </c>
      <c r="B1109" t="s">
        <v>1967</v>
      </c>
      <c r="C1109" s="1">
        <v>6000</v>
      </c>
    </row>
    <row r="1110" spans="1:3" x14ac:dyDescent="0.2">
      <c r="A1110" t="s">
        <v>112</v>
      </c>
      <c r="B1110" t="s">
        <v>1968</v>
      </c>
      <c r="C1110" s="1">
        <v>2500</v>
      </c>
    </row>
    <row r="1111" spans="1:3" x14ac:dyDescent="0.2">
      <c r="A1111" t="s">
        <v>112</v>
      </c>
      <c r="B1111" t="s">
        <v>1969</v>
      </c>
      <c r="C1111" s="1">
        <v>6000</v>
      </c>
    </row>
    <row r="1112" spans="1:3" x14ac:dyDescent="0.2">
      <c r="A1112" t="s">
        <v>112</v>
      </c>
      <c r="B1112" t="s">
        <v>1970</v>
      </c>
      <c r="C1112" s="1">
        <v>5000</v>
      </c>
    </row>
    <row r="1113" spans="1:3" x14ac:dyDescent="0.2">
      <c r="A1113" t="s">
        <v>112</v>
      </c>
      <c r="B1113" t="s">
        <v>1971</v>
      </c>
      <c r="C1113" s="1">
        <v>6000</v>
      </c>
    </row>
    <row r="1114" spans="1:3" x14ac:dyDescent="0.2">
      <c r="A1114" t="s">
        <v>112</v>
      </c>
      <c r="B1114" t="s">
        <v>1972</v>
      </c>
      <c r="C1114" s="1">
        <v>6000</v>
      </c>
    </row>
    <row r="1115" spans="1:3" x14ac:dyDescent="0.2">
      <c r="A1115" t="s">
        <v>112</v>
      </c>
      <c r="B1115" t="s">
        <v>1973</v>
      </c>
      <c r="C1115" s="1">
        <v>5250</v>
      </c>
    </row>
    <row r="1116" spans="1:3" x14ac:dyDescent="0.2">
      <c r="A1116" t="s">
        <v>112</v>
      </c>
      <c r="B1116" t="s">
        <v>1974</v>
      </c>
      <c r="C1116" s="1">
        <v>3500</v>
      </c>
    </row>
    <row r="1117" spans="1:3" x14ac:dyDescent="0.2">
      <c r="A1117" t="s">
        <v>112</v>
      </c>
      <c r="B1117" t="s">
        <v>1975</v>
      </c>
      <c r="C1117" s="1">
        <v>6000</v>
      </c>
    </row>
    <row r="1118" spans="1:3" x14ac:dyDescent="0.2">
      <c r="A1118" t="s">
        <v>112</v>
      </c>
      <c r="B1118" t="s">
        <v>1976</v>
      </c>
      <c r="C1118" s="1">
        <v>6000</v>
      </c>
    </row>
    <row r="1119" spans="1:3" x14ac:dyDescent="0.2">
      <c r="A1119" t="s">
        <v>112</v>
      </c>
      <c r="B1119" t="s">
        <v>1977</v>
      </c>
      <c r="C1119" s="1">
        <v>6000</v>
      </c>
    </row>
    <row r="1120" spans="1:3" x14ac:dyDescent="0.2">
      <c r="A1120" t="s">
        <v>112</v>
      </c>
      <c r="B1120" t="s">
        <v>1978</v>
      </c>
      <c r="C1120" s="1">
        <v>6000</v>
      </c>
    </row>
    <row r="1121" spans="1:3" x14ac:dyDescent="0.2">
      <c r="A1121" t="s">
        <v>112</v>
      </c>
      <c r="B1121" t="s">
        <v>1979</v>
      </c>
      <c r="C1121" s="1">
        <v>6000</v>
      </c>
    </row>
    <row r="1122" spans="1:3" x14ac:dyDescent="0.2">
      <c r="A1122" t="s">
        <v>112</v>
      </c>
      <c r="B1122" t="s">
        <v>1980</v>
      </c>
      <c r="C1122" s="1">
        <v>2000</v>
      </c>
    </row>
    <row r="1123" spans="1:3" x14ac:dyDescent="0.2">
      <c r="A1123" t="s">
        <v>112</v>
      </c>
      <c r="B1123" t="s">
        <v>1981</v>
      </c>
      <c r="C1123" s="1">
        <v>6000</v>
      </c>
    </row>
    <row r="1124" spans="1:3" x14ac:dyDescent="0.2">
      <c r="A1124" t="s">
        <v>112</v>
      </c>
      <c r="B1124" t="s">
        <v>1982</v>
      </c>
      <c r="C1124" s="1">
        <v>5000</v>
      </c>
    </row>
    <row r="1125" spans="1:3" x14ac:dyDescent="0.2">
      <c r="A1125" t="s">
        <v>112</v>
      </c>
      <c r="B1125" t="s">
        <v>1983</v>
      </c>
      <c r="C1125" s="1">
        <v>6000</v>
      </c>
    </row>
    <row r="1126" spans="1:3" x14ac:dyDescent="0.2">
      <c r="A1126" t="s">
        <v>112</v>
      </c>
      <c r="B1126" t="s">
        <v>1984</v>
      </c>
      <c r="C1126" s="1">
        <v>6000</v>
      </c>
    </row>
    <row r="1127" spans="1:3" x14ac:dyDescent="0.2">
      <c r="A1127" t="s">
        <v>112</v>
      </c>
      <c r="B1127" t="s">
        <v>1985</v>
      </c>
      <c r="C1127" s="1">
        <v>6000</v>
      </c>
    </row>
    <row r="1128" spans="1:3" x14ac:dyDescent="0.2">
      <c r="A1128" t="s">
        <v>112</v>
      </c>
      <c r="B1128" t="s">
        <v>1986</v>
      </c>
      <c r="C1128" s="1">
        <v>6000</v>
      </c>
    </row>
    <row r="1129" spans="1:3" x14ac:dyDescent="0.2">
      <c r="A1129" t="s">
        <v>112</v>
      </c>
      <c r="B1129" t="s">
        <v>1987</v>
      </c>
      <c r="C1129" s="1">
        <v>6000</v>
      </c>
    </row>
    <row r="1130" spans="1:3" x14ac:dyDescent="0.2">
      <c r="A1130" t="s">
        <v>112</v>
      </c>
      <c r="B1130" t="s">
        <v>1988</v>
      </c>
      <c r="C1130" s="1">
        <v>6000</v>
      </c>
    </row>
    <row r="1131" spans="1:3" x14ac:dyDescent="0.2">
      <c r="A1131" t="s">
        <v>112</v>
      </c>
      <c r="B1131" t="s">
        <v>1989</v>
      </c>
      <c r="C1131" s="1">
        <v>6000</v>
      </c>
    </row>
    <row r="1132" spans="1:3" x14ac:dyDescent="0.2">
      <c r="A1132" t="s">
        <v>112</v>
      </c>
      <c r="B1132" t="s">
        <v>1990</v>
      </c>
      <c r="C1132" s="1">
        <v>6000</v>
      </c>
    </row>
    <row r="1133" spans="1:3" x14ac:dyDescent="0.2">
      <c r="A1133" t="s">
        <v>112</v>
      </c>
      <c r="B1133" t="s">
        <v>1991</v>
      </c>
      <c r="C1133" s="1">
        <v>6000</v>
      </c>
    </row>
    <row r="1134" spans="1:3" x14ac:dyDescent="0.2">
      <c r="A1134" t="s">
        <v>112</v>
      </c>
      <c r="B1134" t="s">
        <v>1992</v>
      </c>
      <c r="C1134" s="1">
        <v>5000</v>
      </c>
    </row>
    <row r="1135" spans="1:3" x14ac:dyDescent="0.2">
      <c r="A1135" t="s">
        <v>112</v>
      </c>
      <c r="B1135" t="s">
        <v>1993</v>
      </c>
      <c r="C1135" s="1">
        <v>6000</v>
      </c>
    </row>
    <row r="1136" spans="1:3" x14ac:dyDescent="0.2">
      <c r="A1136" t="s">
        <v>112</v>
      </c>
      <c r="B1136" t="s">
        <v>1994</v>
      </c>
      <c r="C1136" s="1">
        <v>2500</v>
      </c>
    </row>
    <row r="1137" spans="1:3" x14ac:dyDescent="0.2">
      <c r="A1137" t="s">
        <v>112</v>
      </c>
      <c r="B1137" t="s">
        <v>1995</v>
      </c>
      <c r="C1137" s="1">
        <v>6000</v>
      </c>
    </row>
    <row r="1138" spans="1:3" x14ac:dyDescent="0.2">
      <c r="A1138" t="s">
        <v>112</v>
      </c>
      <c r="B1138" t="s">
        <v>1996</v>
      </c>
      <c r="C1138" s="1">
        <v>6000</v>
      </c>
    </row>
    <row r="1139" spans="1:3" x14ac:dyDescent="0.2">
      <c r="A1139" t="s">
        <v>112</v>
      </c>
      <c r="B1139" t="s">
        <v>1997</v>
      </c>
      <c r="C1139" s="1">
        <v>6000</v>
      </c>
    </row>
    <row r="1140" spans="1:3" x14ac:dyDescent="0.2">
      <c r="A1140" t="s">
        <v>112</v>
      </c>
      <c r="B1140" t="s">
        <v>1998</v>
      </c>
      <c r="C1140" s="1">
        <v>6000</v>
      </c>
    </row>
    <row r="1141" spans="1:3" x14ac:dyDescent="0.2">
      <c r="A1141" t="s">
        <v>112</v>
      </c>
      <c r="B1141" t="s">
        <v>1999</v>
      </c>
      <c r="C1141" s="1">
        <v>6000</v>
      </c>
    </row>
    <row r="1142" spans="1:3" x14ac:dyDescent="0.2">
      <c r="A1142" t="s">
        <v>112</v>
      </c>
      <c r="B1142" t="s">
        <v>2000</v>
      </c>
      <c r="C1142" s="1">
        <v>43000</v>
      </c>
    </row>
    <row r="1143" spans="1:3" x14ac:dyDescent="0.2">
      <c r="A1143" t="s">
        <v>112</v>
      </c>
      <c r="B1143" t="s">
        <v>2001</v>
      </c>
      <c r="C1143" s="1">
        <v>6000</v>
      </c>
    </row>
    <row r="1144" spans="1:3" x14ac:dyDescent="0.2">
      <c r="A1144" t="s">
        <v>112</v>
      </c>
      <c r="B1144" t="s">
        <v>2002</v>
      </c>
      <c r="C1144" s="1">
        <v>6000</v>
      </c>
    </row>
    <row r="1145" spans="1:3" x14ac:dyDescent="0.2">
      <c r="A1145" t="s">
        <v>112</v>
      </c>
      <c r="B1145" t="s">
        <v>2003</v>
      </c>
      <c r="C1145" s="1">
        <v>170000</v>
      </c>
    </row>
    <row r="1146" spans="1:3" x14ac:dyDescent="0.2">
      <c r="A1146" t="s">
        <v>112</v>
      </c>
      <c r="B1146" t="s">
        <v>2004</v>
      </c>
      <c r="C1146" s="1">
        <v>95000</v>
      </c>
    </row>
    <row r="1147" spans="1:3" x14ac:dyDescent="0.2">
      <c r="A1147" t="s">
        <v>112</v>
      </c>
      <c r="B1147" t="s">
        <v>2005</v>
      </c>
      <c r="C1147" s="1">
        <v>3250</v>
      </c>
    </row>
    <row r="1148" spans="1:3" x14ac:dyDescent="0.2">
      <c r="A1148" t="s">
        <v>112</v>
      </c>
      <c r="B1148" t="s">
        <v>2006</v>
      </c>
      <c r="C1148" s="1">
        <v>6000</v>
      </c>
    </row>
    <row r="1149" spans="1:3" x14ac:dyDescent="0.2">
      <c r="A1149" t="s">
        <v>112</v>
      </c>
      <c r="B1149" t="s">
        <v>2007</v>
      </c>
      <c r="C1149" s="1">
        <v>6000</v>
      </c>
    </row>
    <row r="1150" spans="1:3" x14ac:dyDescent="0.2">
      <c r="A1150" t="s">
        <v>112</v>
      </c>
      <c r="B1150" t="s">
        <v>2008</v>
      </c>
      <c r="C1150" s="1">
        <v>6000</v>
      </c>
    </row>
    <row r="1151" spans="1:3" x14ac:dyDescent="0.2">
      <c r="A1151" t="s">
        <v>112</v>
      </c>
      <c r="B1151" t="s">
        <v>2009</v>
      </c>
      <c r="C1151" s="1">
        <v>6000</v>
      </c>
    </row>
    <row r="1152" spans="1:3" x14ac:dyDescent="0.2">
      <c r="A1152" t="s">
        <v>112</v>
      </c>
      <c r="B1152" t="s">
        <v>2010</v>
      </c>
      <c r="C1152" s="1">
        <v>4500</v>
      </c>
    </row>
    <row r="1153" spans="1:3" x14ac:dyDescent="0.2">
      <c r="A1153" t="s">
        <v>112</v>
      </c>
      <c r="B1153" t="s">
        <v>2011</v>
      </c>
      <c r="C1153" s="1">
        <v>5250</v>
      </c>
    </row>
    <row r="1154" spans="1:3" x14ac:dyDescent="0.2">
      <c r="A1154" t="s">
        <v>112</v>
      </c>
      <c r="B1154" t="s">
        <v>2012</v>
      </c>
      <c r="C1154" s="1">
        <v>103000</v>
      </c>
    </row>
    <row r="1155" spans="1:3" x14ac:dyDescent="0.2">
      <c r="A1155" t="s">
        <v>112</v>
      </c>
      <c r="B1155" t="s">
        <v>2013</v>
      </c>
      <c r="C1155" s="1">
        <v>250000</v>
      </c>
    </row>
    <row r="1156" spans="1:3" x14ac:dyDescent="0.2">
      <c r="A1156" t="s">
        <v>112</v>
      </c>
      <c r="B1156" t="s">
        <v>2014</v>
      </c>
      <c r="C1156" s="1">
        <v>6000</v>
      </c>
    </row>
    <row r="1157" spans="1:3" x14ac:dyDescent="0.2">
      <c r="A1157" t="s">
        <v>112</v>
      </c>
      <c r="B1157" t="s">
        <v>2015</v>
      </c>
      <c r="C1157" s="1">
        <v>6000</v>
      </c>
    </row>
    <row r="1158" spans="1:3" x14ac:dyDescent="0.2">
      <c r="A1158" t="s">
        <v>112</v>
      </c>
      <c r="B1158" t="s">
        <v>2016</v>
      </c>
      <c r="C1158" s="1">
        <v>81000</v>
      </c>
    </row>
    <row r="1159" spans="1:3" x14ac:dyDescent="0.2">
      <c r="A1159" t="s">
        <v>112</v>
      </c>
      <c r="B1159" t="s">
        <v>2017</v>
      </c>
      <c r="C1159" s="1">
        <v>50000</v>
      </c>
    </row>
    <row r="1160" spans="1:3" x14ac:dyDescent="0.2">
      <c r="A1160" t="s">
        <v>112</v>
      </c>
      <c r="B1160" t="s">
        <v>2018</v>
      </c>
      <c r="C1160" s="1">
        <v>50000</v>
      </c>
    </row>
    <row r="1161" spans="1:3" x14ac:dyDescent="0.2">
      <c r="A1161" t="s">
        <v>112</v>
      </c>
      <c r="B1161" t="s">
        <v>2019</v>
      </c>
      <c r="C1161" s="1">
        <v>6000</v>
      </c>
    </row>
    <row r="1162" spans="1:3" x14ac:dyDescent="0.2">
      <c r="A1162" t="s">
        <v>112</v>
      </c>
      <c r="B1162" t="s">
        <v>2020</v>
      </c>
      <c r="C1162" s="1">
        <v>6000</v>
      </c>
    </row>
    <row r="1163" spans="1:3" x14ac:dyDescent="0.2">
      <c r="A1163" t="s">
        <v>112</v>
      </c>
      <c r="B1163" t="s">
        <v>2021</v>
      </c>
      <c r="C1163" s="1">
        <v>6000</v>
      </c>
    </row>
    <row r="1164" spans="1:3" x14ac:dyDescent="0.2">
      <c r="A1164" t="s">
        <v>112</v>
      </c>
      <c r="B1164" t="s">
        <v>2022</v>
      </c>
      <c r="C1164" s="1">
        <v>12000</v>
      </c>
    </row>
    <row r="1165" spans="1:3" x14ac:dyDescent="0.2">
      <c r="A1165" t="s">
        <v>112</v>
      </c>
      <c r="B1165" t="s">
        <v>2023</v>
      </c>
      <c r="C1165" s="1">
        <v>3500</v>
      </c>
    </row>
    <row r="1166" spans="1:3" x14ac:dyDescent="0.2">
      <c r="A1166" t="s">
        <v>112</v>
      </c>
      <c r="B1166" t="s">
        <v>2024</v>
      </c>
      <c r="C1166" s="1">
        <v>40000</v>
      </c>
    </row>
    <row r="1167" spans="1:3" x14ac:dyDescent="0.2">
      <c r="A1167" t="s">
        <v>112</v>
      </c>
      <c r="B1167" t="s">
        <v>2025</v>
      </c>
      <c r="C1167" s="1">
        <v>6000</v>
      </c>
    </row>
    <row r="1168" spans="1:3" x14ac:dyDescent="0.2">
      <c r="A1168" t="s">
        <v>112</v>
      </c>
      <c r="B1168" t="s">
        <v>2026</v>
      </c>
      <c r="C1168" s="1">
        <v>82000</v>
      </c>
    </row>
    <row r="1169" spans="1:3" x14ac:dyDescent="0.2">
      <c r="A1169" t="s">
        <v>112</v>
      </c>
      <c r="B1169" t="s">
        <v>2027</v>
      </c>
      <c r="C1169" s="1">
        <v>80000</v>
      </c>
    </row>
    <row r="1170" spans="1:3" x14ac:dyDescent="0.2">
      <c r="A1170" t="s">
        <v>112</v>
      </c>
      <c r="B1170" t="s">
        <v>2028</v>
      </c>
      <c r="C1170" s="1">
        <v>170000</v>
      </c>
    </row>
    <row r="1171" spans="1:3" x14ac:dyDescent="0.2">
      <c r="A1171" t="s">
        <v>112</v>
      </c>
      <c r="B1171" t="s">
        <v>2029</v>
      </c>
      <c r="C1171" s="1">
        <v>195000</v>
      </c>
    </row>
    <row r="1172" spans="1:3" x14ac:dyDescent="0.2">
      <c r="A1172" t="s">
        <v>112</v>
      </c>
      <c r="B1172" t="s">
        <v>2030</v>
      </c>
      <c r="C1172" s="1">
        <v>50000</v>
      </c>
    </row>
    <row r="1173" spans="1:3" x14ac:dyDescent="0.2">
      <c r="A1173" t="s">
        <v>112</v>
      </c>
      <c r="B1173" t="s">
        <v>2031</v>
      </c>
      <c r="C1173" s="1">
        <v>40000</v>
      </c>
    </row>
    <row r="1174" spans="1:3" x14ac:dyDescent="0.2">
      <c r="A1174" t="s">
        <v>112</v>
      </c>
      <c r="B1174" t="s">
        <v>2032</v>
      </c>
      <c r="C1174" s="1">
        <v>40000</v>
      </c>
    </row>
    <row r="1175" spans="1:3" x14ac:dyDescent="0.2">
      <c r="A1175" t="s">
        <v>112</v>
      </c>
      <c r="B1175" t="s">
        <v>2033</v>
      </c>
      <c r="C1175" s="1">
        <v>6000</v>
      </c>
    </row>
    <row r="1176" spans="1:3" x14ac:dyDescent="0.2">
      <c r="A1176" t="s">
        <v>112</v>
      </c>
      <c r="B1176" t="s">
        <v>2034</v>
      </c>
      <c r="C1176" s="1">
        <v>250000</v>
      </c>
    </row>
    <row r="1177" spans="1:3" x14ac:dyDescent="0.2">
      <c r="A1177" t="s">
        <v>112</v>
      </c>
      <c r="B1177" t="s">
        <v>2035</v>
      </c>
      <c r="C1177" s="1">
        <v>100000</v>
      </c>
    </row>
    <row r="1178" spans="1:3" x14ac:dyDescent="0.2">
      <c r="A1178" t="s">
        <v>112</v>
      </c>
      <c r="B1178" t="s">
        <v>2036</v>
      </c>
      <c r="C1178" s="1">
        <v>20000</v>
      </c>
    </row>
    <row r="1179" spans="1:3" x14ac:dyDescent="0.2">
      <c r="A1179" t="s">
        <v>112</v>
      </c>
      <c r="B1179" t="s">
        <v>2037</v>
      </c>
      <c r="C1179" s="1">
        <v>305000</v>
      </c>
    </row>
    <row r="1180" spans="1:3" x14ac:dyDescent="0.2">
      <c r="A1180" t="s">
        <v>112</v>
      </c>
      <c r="B1180" t="s">
        <v>2038</v>
      </c>
      <c r="C1180" s="1">
        <v>20000</v>
      </c>
    </row>
    <row r="1181" spans="1:3" x14ac:dyDescent="0.2">
      <c r="A1181" t="s">
        <v>112</v>
      </c>
      <c r="B1181" t="s">
        <v>2039</v>
      </c>
      <c r="C1181" s="1">
        <v>30000</v>
      </c>
    </row>
    <row r="1182" spans="1:3" x14ac:dyDescent="0.2">
      <c r="A1182" t="s">
        <v>112</v>
      </c>
      <c r="B1182" t="s">
        <v>2040</v>
      </c>
      <c r="C1182" s="1">
        <v>20000</v>
      </c>
    </row>
    <row r="1183" spans="1:3" x14ac:dyDescent="0.2">
      <c r="A1183" t="s">
        <v>112</v>
      </c>
      <c r="B1183" t="s">
        <v>2041</v>
      </c>
      <c r="C1183" s="1">
        <v>20000</v>
      </c>
    </row>
    <row r="1184" spans="1:3" x14ac:dyDescent="0.2">
      <c r="A1184" t="s">
        <v>112</v>
      </c>
      <c r="B1184" t="s">
        <v>2042</v>
      </c>
      <c r="C1184" s="1">
        <v>40000</v>
      </c>
    </row>
    <row r="1185" spans="1:3" x14ac:dyDescent="0.2">
      <c r="A1185" t="s">
        <v>112</v>
      </c>
      <c r="B1185" t="s">
        <v>2043</v>
      </c>
      <c r="C1185" s="1">
        <v>20000</v>
      </c>
    </row>
    <row r="1186" spans="1:3" x14ac:dyDescent="0.2">
      <c r="A1186" t="s">
        <v>112</v>
      </c>
      <c r="B1186" t="s">
        <v>2044</v>
      </c>
      <c r="C1186" s="1">
        <v>20000</v>
      </c>
    </row>
    <row r="1187" spans="1:3" x14ac:dyDescent="0.2">
      <c r="A1187" t="s">
        <v>112</v>
      </c>
      <c r="B1187" t="s">
        <v>2045</v>
      </c>
      <c r="C1187" s="1">
        <v>40000</v>
      </c>
    </row>
    <row r="1188" spans="1:3" x14ac:dyDescent="0.2">
      <c r="A1188" t="s">
        <v>112</v>
      </c>
      <c r="B1188" t="s">
        <v>2046</v>
      </c>
      <c r="C1188" s="1">
        <v>20000</v>
      </c>
    </row>
    <row r="1189" spans="1:3" x14ac:dyDescent="0.2">
      <c r="A1189" t="s">
        <v>112</v>
      </c>
      <c r="B1189" t="s">
        <v>2047</v>
      </c>
      <c r="C1189" s="1">
        <v>20000</v>
      </c>
    </row>
    <row r="1190" spans="1:3" x14ac:dyDescent="0.2">
      <c r="A1190" t="s">
        <v>112</v>
      </c>
      <c r="B1190" t="s">
        <v>2048</v>
      </c>
      <c r="C1190" s="1">
        <v>18000</v>
      </c>
    </row>
    <row r="1191" spans="1:3" x14ac:dyDescent="0.2">
      <c r="A1191" t="s">
        <v>112</v>
      </c>
      <c r="B1191" t="s">
        <v>2049</v>
      </c>
      <c r="C1191" s="1">
        <v>40000</v>
      </c>
    </row>
    <row r="1192" spans="1:3" x14ac:dyDescent="0.2">
      <c r="A1192" t="s">
        <v>112</v>
      </c>
      <c r="B1192" t="s">
        <v>2050</v>
      </c>
      <c r="C1192" s="1">
        <v>298650</v>
      </c>
    </row>
    <row r="1193" spans="1:3" x14ac:dyDescent="0.2">
      <c r="A1193" t="s">
        <v>112</v>
      </c>
      <c r="B1193" t="s">
        <v>2051</v>
      </c>
      <c r="C1193" s="1">
        <v>20000</v>
      </c>
    </row>
    <row r="1194" spans="1:3" x14ac:dyDescent="0.2">
      <c r="A1194" t="s">
        <v>112</v>
      </c>
      <c r="B1194" t="s">
        <v>2052</v>
      </c>
      <c r="C1194" s="1">
        <v>100000</v>
      </c>
    </row>
    <row r="1195" spans="1:3" x14ac:dyDescent="0.2">
      <c r="A1195" t="s">
        <v>112</v>
      </c>
      <c r="B1195" t="s">
        <v>2053</v>
      </c>
      <c r="C1195" s="1">
        <v>147000</v>
      </c>
    </row>
    <row r="1196" spans="1:3" x14ac:dyDescent="0.2">
      <c r="A1196" t="s">
        <v>112</v>
      </c>
      <c r="B1196" t="s">
        <v>2054</v>
      </c>
      <c r="C1196" s="1">
        <v>20000</v>
      </c>
    </row>
    <row r="1197" spans="1:3" x14ac:dyDescent="0.2">
      <c r="A1197" t="s">
        <v>112</v>
      </c>
      <c r="B1197" t="s">
        <v>2055</v>
      </c>
      <c r="C1197" s="1">
        <v>40000</v>
      </c>
    </row>
    <row r="1198" spans="1:3" x14ac:dyDescent="0.2">
      <c r="A1198" t="s">
        <v>112</v>
      </c>
      <c r="B1198" t="s">
        <v>2056</v>
      </c>
      <c r="C1198" s="1">
        <v>100000</v>
      </c>
    </row>
    <row r="1199" spans="1:3" x14ac:dyDescent="0.2">
      <c r="A1199" t="s">
        <v>112</v>
      </c>
      <c r="B1199" t="s">
        <v>2057</v>
      </c>
      <c r="C1199" s="1">
        <v>20000</v>
      </c>
    </row>
    <row r="1200" spans="1:3" x14ac:dyDescent="0.2">
      <c r="A1200" t="s">
        <v>112</v>
      </c>
      <c r="B1200" t="s">
        <v>2058</v>
      </c>
      <c r="C1200" s="1">
        <v>100000</v>
      </c>
    </row>
    <row r="1201" spans="1:3" x14ac:dyDescent="0.2">
      <c r="A1201" t="s">
        <v>112</v>
      </c>
      <c r="B1201" t="s">
        <v>2059</v>
      </c>
      <c r="C1201" s="1">
        <v>70000</v>
      </c>
    </row>
    <row r="1202" spans="1:3" x14ac:dyDescent="0.2">
      <c r="A1202" t="s">
        <v>112</v>
      </c>
      <c r="B1202" t="s">
        <v>2060</v>
      </c>
      <c r="C1202" s="1">
        <v>45000</v>
      </c>
    </row>
    <row r="1203" spans="1:3" x14ac:dyDescent="0.2">
      <c r="A1203" t="s">
        <v>112</v>
      </c>
      <c r="B1203" t="s">
        <v>2061</v>
      </c>
      <c r="C1203" s="1">
        <v>65000</v>
      </c>
    </row>
    <row r="1204" spans="1:3" x14ac:dyDescent="0.2">
      <c r="A1204" t="s">
        <v>112</v>
      </c>
      <c r="B1204" t="s">
        <v>2066</v>
      </c>
      <c r="C1204" s="1">
        <v>63000</v>
      </c>
    </row>
    <row r="1205" spans="1:3" x14ac:dyDescent="0.2">
      <c r="A1205" t="s">
        <v>112</v>
      </c>
      <c r="B1205" t="s">
        <v>2068</v>
      </c>
      <c r="C1205" s="1">
        <v>6000</v>
      </c>
    </row>
    <row r="1206" spans="1:3" x14ac:dyDescent="0.2">
      <c r="A1206" t="s">
        <v>112</v>
      </c>
      <c r="B1206" t="s">
        <v>2069</v>
      </c>
      <c r="C1206" s="1">
        <v>38000</v>
      </c>
    </row>
    <row r="1207" spans="1:3" x14ac:dyDescent="0.2">
      <c r="A1207" t="s">
        <v>112</v>
      </c>
      <c r="B1207" t="s">
        <v>2072</v>
      </c>
      <c r="C1207" s="1">
        <v>6000</v>
      </c>
    </row>
    <row r="1208" spans="1:3" x14ac:dyDescent="0.2">
      <c r="A1208" t="s">
        <v>112</v>
      </c>
      <c r="B1208" t="s">
        <v>2073</v>
      </c>
      <c r="C1208" s="1">
        <v>52756.1</v>
      </c>
    </row>
    <row r="1209" spans="1:3" x14ac:dyDescent="0.2">
      <c r="A1209" t="s">
        <v>112</v>
      </c>
      <c r="B1209" t="s">
        <v>2074</v>
      </c>
      <c r="C1209" s="1">
        <v>2865</v>
      </c>
    </row>
    <row r="1210" spans="1:3" x14ac:dyDescent="0.2">
      <c r="A1210" t="s">
        <v>112</v>
      </c>
      <c r="B1210" t="s">
        <v>2075</v>
      </c>
      <c r="C1210" s="1">
        <v>3500</v>
      </c>
    </row>
    <row r="1211" spans="1:3" x14ac:dyDescent="0.2">
      <c r="A1211" t="s">
        <v>112</v>
      </c>
      <c r="B1211" t="s">
        <v>2077</v>
      </c>
      <c r="C1211" s="1">
        <v>566000</v>
      </c>
    </row>
    <row r="1212" spans="1:3" x14ac:dyDescent="0.2">
      <c r="A1212" t="s">
        <v>112</v>
      </c>
      <c r="B1212" t="s">
        <v>2090</v>
      </c>
      <c r="C1212" s="1">
        <v>7000</v>
      </c>
    </row>
    <row r="1213" spans="1:3" x14ac:dyDescent="0.2">
      <c r="A1213" t="s">
        <v>112</v>
      </c>
      <c r="B1213" t="s">
        <v>2091</v>
      </c>
      <c r="C1213" s="1">
        <v>1000</v>
      </c>
    </row>
    <row r="1214" spans="1:3" x14ac:dyDescent="0.2">
      <c r="A1214" t="s">
        <v>112</v>
      </c>
      <c r="B1214" t="s">
        <v>2092</v>
      </c>
      <c r="C1214" s="1">
        <v>1000</v>
      </c>
    </row>
    <row r="1215" spans="1:3" x14ac:dyDescent="0.2">
      <c r="A1215" t="s">
        <v>112</v>
      </c>
      <c r="B1215" t="s">
        <v>2093</v>
      </c>
      <c r="C1215" s="1">
        <v>1000</v>
      </c>
    </row>
    <row r="1216" spans="1:3" x14ac:dyDescent="0.2">
      <c r="A1216" t="s">
        <v>112</v>
      </c>
      <c r="B1216" t="s">
        <v>2094</v>
      </c>
      <c r="C1216" s="1">
        <v>20000</v>
      </c>
    </row>
    <row r="1217" spans="1:3" x14ac:dyDescent="0.2">
      <c r="A1217" t="s">
        <v>112</v>
      </c>
      <c r="B1217" t="s">
        <v>2095</v>
      </c>
      <c r="C1217" s="1">
        <v>20000</v>
      </c>
    </row>
    <row r="1218" spans="1:3" x14ac:dyDescent="0.2">
      <c r="A1218" t="s">
        <v>112</v>
      </c>
      <c r="B1218" t="s">
        <v>2096</v>
      </c>
      <c r="C1218" s="1">
        <v>30000</v>
      </c>
    </row>
    <row r="1219" spans="1:3" x14ac:dyDescent="0.2">
      <c r="A1219" t="s">
        <v>112</v>
      </c>
      <c r="B1219" t="s">
        <v>2097</v>
      </c>
      <c r="C1219" s="1">
        <v>30000</v>
      </c>
    </row>
    <row r="1220" spans="1:3" x14ac:dyDescent="0.2">
      <c r="A1220" t="s">
        <v>112</v>
      </c>
      <c r="B1220" t="s">
        <v>2098</v>
      </c>
      <c r="C1220" s="1">
        <v>30000</v>
      </c>
    </row>
    <row r="1221" spans="1:3" x14ac:dyDescent="0.2">
      <c r="A1221" t="s">
        <v>112</v>
      </c>
      <c r="B1221" t="s">
        <v>2100</v>
      </c>
      <c r="C1221" s="1">
        <v>80000</v>
      </c>
    </row>
    <row r="1222" spans="1:3" x14ac:dyDescent="0.2">
      <c r="A1222" t="s">
        <v>112</v>
      </c>
      <c r="B1222" t="s">
        <v>2101</v>
      </c>
      <c r="C1222" s="1">
        <v>20000</v>
      </c>
    </row>
    <row r="1223" spans="1:3" x14ac:dyDescent="0.2">
      <c r="A1223" t="s">
        <v>112</v>
      </c>
      <c r="B1223" t="s">
        <v>2102</v>
      </c>
      <c r="C1223" s="1">
        <v>20000</v>
      </c>
    </row>
    <row r="1224" spans="1:3" x14ac:dyDescent="0.2">
      <c r="A1224" t="s">
        <v>112</v>
      </c>
      <c r="B1224" t="s">
        <v>2103</v>
      </c>
      <c r="C1224" s="1">
        <v>100000</v>
      </c>
    </row>
    <row r="1225" spans="1:3" x14ac:dyDescent="0.2">
      <c r="A1225" t="s">
        <v>112</v>
      </c>
      <c r="B1225" t="s">
        <v>2104</v>
      </c>
      <c r="C1225" s="1">
        <v>6000</v>
      </c>
    </row>
    <row r="1226" spans="1:3" x14ac:dyDescent="0.2">
      <c r="A1226" t="s">
        <v>112</v>
      </c>
      <c r="B1226" t="s">
        <v>2105</v>
      </c>
      <c r="C1226" s="1">
        <v>6000</v>
      </c>
    </row>
    <row r="1227" spans="1:3" x14ac:dyDescent="0.2">
      <c r="A1227" t="s">
        <v>112</v>
      </c>
      <c r="B1227" t="s">
        <v>2106</v>
      </c>
      <c r="C1227" s="1">
        <v>20000</v>
      </c>
    </row>
    <row r="1228" spans="1:3" x14ac:dyDescent="0.2">
      <c r="A1228" t="s">
        <v>112</v>
      </c>
      <c r="B1228" t="s">
        <v>2107</v>
      </c>
      <c r="C1228" s="1">
        <v>20000</v>
      </c>
    </row>
    <row r="1229" spans="1:3" x14ac:dyDescent="0.2">
      <c r="A1229" t="s">
        <v>112</v>
      </c>
      <c r="B1229" t="s">
        <v>2108</v>
      </c>
      <c r="C1229" s="1">
        <v>20000</v>
      </c>
    </row>
    <row r="1230" spans="1:3" x14ac:dyDescent="0.2">
      <c r="A1230" t="s">
        <v>112</v>
      </c>
      <c r="B1230" t="s">
        <v>2109</v>
      </c>
      <c r="C1230" s="1">
        <v>20000</v>
      </c>
    </row>
    <row r="1231" spans="1:3" x14ac:dyDescent="0.2">
      <c r="A1231" t="s">
        <v>112</v>
      </c>
      <c r="B1231" t="s">
        <v>2110</v>
      </c>
      <c r="C1231" s="1">
        <v>5000</v>
      </c>
    </row>
    <row r="1232" spans="1:3" x14ac:dyDescent="0.2">
      <c r="A1232" t="s">
        <v>112</v>
      </c>
      <c r="B1232" t="s">
        <v>2111</v>
      </c>
      <c r="C1232" s="1">
        <v>20000</v>
      </c>
    </row>
    <row r="1233" spans="1:3" x14ac:dyDescent="0.2">
      <c r="A1233" t="s">
        <v>112</v>
      </c>
      <c r="B1233" t="s">
        <v>2115</v>
      </c>
      <c r="C1233" s="1">
        <v>25000</v>
      </c>
    </row>
    <row r="1234" spans="1:3" x14ac:dyDescent="0.2">
      <c r="A1234" t="s">
        <v>112</v>
      </c>
      <c r="B1234" t="s">
        <v>2127</v>
      </c>
      <c r="C1234" s="1">
        <v>220000</v>
      </c>
    </row>
    <row r="1235" spans="1:3" x14ac:dyDescent="0.2">
      <c r="A1235" t="s">
        <v>112</v>
      </c>
      <c r="B1235" t="s">
        <v>2128</v>
      </c>
      <c r="C1235" s="1">
        <v>20000</v>
      </c>
    </row>
    <row r="1236" spans="1:3" x14ac:dyDescent="0.2">
      <c r="A1236" t="s">
        <v>112</v>
      </c>
      <c r="B1236" t="s">
        <v>2129</v>
      </c>
      <c r="C1236" s="1">
        <v>50000</v>
      </c>
    </row>
    <row r="1237" spans="1:3" x14ac:dyDescent="0.2">
      <c r="A1237" t="s">
        <v>112</v>
      </c>
      <c r="B1237" t="s">
        <v>2130</v>
      </c>
      <c r="C1237" s="1">
        <v>10000</v>
      </c>
    </row>
    <row r="1238" spans="1:3" x14ac:dyDescent="0.2">
      <c r="A1238" t="s">
        <v>112</v>
      </c>
      <c r="B1238" t="s">
        <v>2131</v>
      </c>
      <c r="C1238" s="1">
        <v>100000</v>
      </c>
    </row>
    <row r="1239" spans="1:3" x14ac:dyDescent="0.2">
      <c r="A1239" t="s">
        <v>112</v>
      </c>
      <c r="B1239" t="s">
        <v>2132</v>
      </c>
      <c r="C1239" s="1">
        <v>100000</v>
      </c>
    </row>
    <row r="1240" spans="1:3" x14ac:dyDescent="0.2">
      <c r="A1240" t="s">
        <v>112</v>
      </c>
      <c r="B1240" t="s">
        <v>2133</v>
      </c>
      <c r="C1240" s="1">
        <v>75000</v>
      </c>
    </row>
    <row r="1241" spans="1:3" x14ac:dyDescent="0.2">
      <c r="A1241" t="s">
        <v>112</v>
      </c>
      <c r="B1241" t="s">
        <v>2134</v>
      </c>
      <c r="C1241" s="1">
        <v>100000</v>
      </c>
    </row>
    <row r="1242" spans="1:3" x14ac:dyDescent="0.2">
      <c r="A1242" t="s">
        <v>112</v>
      </c>
      <c r="B1242" t="s">
        <v>2137</v>
      </c>
      <c r="C1242" s="1">
        <v>50000</v>
      </c>
    </row>
    <row r="1243" spans="1:3" x14ac:dyDescent="0.2">
      <c r="A1243" t="s">
        <v>112</v>
      </c>
      <c r="B1243" t="s">
        <v>2138</v>
      </c>
      <c r="C1243" s="1">
        <v>20000</v>
      </c>
    </row>
    <row r="1244" spans="1:3" x14ac:dyDescent="0.2">
      <c r="A1244" t="s">
        <v>112</v>
      </c>
      <c r="B1244" t="s">
        <v>2139</v>
      </c>
      <c r="C1244" s="1">
        <v>20000</v>
      </c>
    </row>
    <row r="1245" spans="1:3" x14ac:dyDescent="0.2">
      <c r="A1245" t="s">
        <v>112</v>
      </c>
      <c r="B1245" t="s">
        <v>2140</v>
      </c>
      <c r="C1245" s="1">
        <v>60000</v>
      </c>
    </row>
    <row r="1246" spans="1:3" x14ac:dyDescent="0.2">
      <c r="A1246" t="s">
        <v>112</v>
      </c>
      <c r="B1246" t="s">
        <v>2144</v>
      </c>
      <c r="C1246" s="1">
        <v>250000</v>
      </c>
    </row>
    <row r="1247" spans="1:3" x14ac:dyDescent="0.2">
      <c r="A1247" t="s">
        <v>112</v>
      </c>
      <c r="B1247" t="s">
        <v>2145</v>
      </c>
      <c r="C1247" s="1">
        <v>100000</v>
      </c>
    </row>
    <row r="1248" spans="1:3" x14ac:dyDescent="0.2">
      <c r="A1248" t="s">
        <v>112</v>
      </c>
      <c r="B1248" t="s">
        <v>2146</v>
      </c>
      <c r="C1248" s="1">
        <v>221000</v>
      </c>
    </row>
    <row r="1249" spans="1:3" x14ac:dyDescent="0.2">
      <c r="A1249" t="s">
        <v>112</v>
      </c>
      <c r="B1249" t="s">
        <v>2159</v>
      </c>
      <c r="C1249" s="1">
        <v>125000</v>
      </c>
    </row>
    <row r="1250" spans="1:3" x14ac:dyDescent="0.2">
      <c r="A1250" t="s">
        <v>112</v>
      </c>
      <c r="B1250" t="s">
        <v>2171</v>
      </c>
      <c r="C1250" s="1">
        <v>134000</v>
      </c>
    </row>
    <row r="1251" spans="1:3" x14ac:dyDescent="0.2">
      <c r="A1251" t="s">
        <v>112</v>
      </c>
      <c r="B1251" t="s">
        <v>2173</v>
      </c>
      <c r="C1251" s="1">
        <v>50000</v>
      </c>
    </row>
    <row r="1252" spans="1:3" x14ac:dyDescent="0.2">
      <c r="A1252" t="s">
        <v>112</v>
      </c>
      <c r="B1252" t="s">
        <v>2174</v>
      </c>
      <c r="C1252" s="1">
        <v>35000</v>
      </c>
    </row>
    <row r="1253" spans="1:3" x14ac:dyDescent="0.2">
      <c r="A1253" t="s">
        <v>112</v>
      </c>
      <c r="B1253" t="s">
        <v>2180</v>
      </c>
      <c r="C1253" s="1">
        <v>17860</v>
      </c>
    </row>
    <row r="1254" spans="1:3" x14ac:dyDescent="0.2">
      <c r="A1254" t="s">
        <v>112</v>
      </c>
      <c r="B1254" t="s">
        <v>2192</v>
      </c>
      <c r="C1254" s="1">
        <v>50000</v>
      </c>
    </row>
    <row r="1255" spans="1:3" x14ac:dyDescent="0.2">
      <c r="A1255" t="s">
        <v>112</v>
      </c>
      <c r="B1255" t="s">
        <v>2193</v>
      </c>
      <c r="C1255" s="1">
        <v>50000</v>
      </c>
    </row>
    <row r="1256" spans="1:3" x14ac:dyDescent="0.2">
      <c r="A1256" t="s">
        <v>112</v>
      </c>
      <c r="B1256" t="s">
        <v>2194</v>
      </c>
      <c r="C1256" s="1">
        <v>21000</v>
      </c>
    </row>
    <row r="1257" spans="1:3" x14ac:dyDescent="0.2">
      <c r="A1257" t="s">
        <v>112</v>
      </c>
      <c r="B1257" t="s">
        <v>2195</v>
      </c>
      <c r="C1257" s="1">
        <v>1400</v>
      </c>
    </row>
    <row r="1258" spans="1:3" x14ac:dyDescent="0.2">
      <c r="A1258" t="s">
        <v>112</v>
      </c>
      <c r="B1258" t="s">
        <v>2196</v>
      </c>
      <c r="C1258" s="1">
        <v>81000</v>
      </c>
    </row>
    <row r="1259" spans="1:3" x14ac:dyDescent="0.2">
      <c r="A1259" t="s">
        <v>112</v>
      </c>
      <c r="B1259" t="s">
        <v>2197</v>
      </c>
      <c r="C1259" s="1">
        <v>20000</v>
      </c>
    </row>
    <row r="1260" spans="1:3" x14ac:dyDescent="0.2">
      <c r="A1260" t="s">
        <v>112</v>
      </c>
      <c r="B1260" t="s">
        <v>2198</v>
      </c>
      <c r="C1260" s="1">
        <v>1000</v>
      </c>
    </row>
    <row r="1261" spans="1:3" x14ac:dyDescent="0.2">
      <c r="A1261" t="s">
        <v>112</v>
      </c>
      <c r="B1261" t="s">
        <v>2206</v>
      </c>
      <c r="C1261" s="1">
        <v>40010</v>
      </c>
    </row>
    <row r="1262" spans="1:3" x14ac:dyDescent="0.2">
      <c r="A1262" t="s">
        <v>112</v>
      </c>
      <c r="B1262" t="s">
        <v>2209</v>
      </c>
      <c r="C1262" s="1">
        <v>55000</v>
      </c>
    </row>
    <row r="1263" spans="1:3" x14ac:dyDescent="0.2">
      <c r="A1263" t="s">
        <v>112</v>
      </c>
      <c r="B1263" t="s">
        <v>2210</v>
      </c>
      <c r="C1263" s="1">
        <v>10000</v>
      </c>
    </row>
    <row r="1264" spans="1:3" x14ac:dyDescent="0.2">
      <c r="A1264" t="s">
        <v>112</v>
      </c>
      <c r="B1264" t="s">
        <v>2211</v>
      </c>
      <c r="C1264" s="1">
        <v>1000</v>
      </c>
    </row>
    <row r="1265" spans="1:3" x14ac:dyDescent="0.2">
      <c r="A1265" t="s">
        <v>112</v>
      </c>
      <c r="B1265" t="s">
        <v>2214</v>
      </c>
      <c r="C1265" s="1">
        <v>10000</v>
      </c>
    </row>
    <row r="1266" spans="1:3" x14ac:dyDescent="0.2">
      <c r="A1266" t="s">
        <v>112</v>
      </c>
      <c r="B1266" t="s">
        <v>2215</v>
      </c>
      <c r="C1266" s="1">
        <v>6000</v>
      </c>
    </row>
    <row r="1267" spans="1:3" x14ac:dyDescent="0.2">
      <c r="A1267" t="s">
        <v>112</v>
      </c>
      <c r="B1267" t="s">
        <v>2220</v>
      </c>
      <c r="C1267" s="1">
        <v>1000</v>
      </c>
    </row>
    <row r="1268" spans="1:3" x14ac:dyDescent="0.2">
      <c r="A1268" t="s">
        <v>112</v>
      </c>
      <c r="B1268" t="s">
        <v>2224</v>
      </c>
      <c r="C1268" s="1">
        <v>6000</v>
      </c>
    </row>
    <row r="1269" spans="1:3" x14ac:dyDescent="0.2">
      <c r="A1269" t="s">
        <v>112</v>
      </c>
      <c r="B1269" t="s">
        <v>2225</v>
      </c>
      <c r="C1269" s="1">
        <v>2150</v>
      </c>
    </row>
    <row r="1270" spans="1:3" x14ac:dyDescent="0.2">
      <c r="A1270" t="s">
        <v>112</v>
      </c>
      <c r="B1270" t="s">
        <v>2226</v>
      </c>
      <c r="C1270" s="1">
        <v>1400</v>
      </c>
    </row>
    <row r="1271" spans="1:3" x14ac:dyDescent="0.2">
      <c r="A1271" t="s">
        <v>112</v>
      </c>
      <c r="B1271" t="s">
        <v>2228</v>
      </c>
      <c r="C1271" s="1">
        <v>6000</v>
      </c>
    </row>
    <row r="1272" spans="1:3" x14ac:dyDescent="0.2">
      <c r="A1272" t="s">
        <v>112</v>
      </c>
      <c r="B1272" t="s">
        <v>2230</v>
      </c>
      <c r="C1272" s="1">
        <v>6000</v>
      </c>
    </row>
    <row r="1273" spans="1:3" x14ac:dyDescent="0.2">
      <c r="A1273" t="s">
        <v>112</v>
      </c>
      <c r="B1273" t="s">
        <v>2231</v>
      </c>
      <c r="C1273" s="1">
        <v>6000</v>
      </c>
    </row>
    <row r="1274" spans="1:3" x14ac:dyDescent="0.2">
      <c r="A1274" t="s">
        <v>112</v>
      </c>
      <c r="B1274" t="s">
        <v>2232</v>
      </c>
      <c r="C1274" s="1">
        <v>3750</v>
      </c>
    </row>
    <row r="1275" spans="1:3" x14ac:dyDescent="0.2">
      <c r="A1275" t="s">
        <v>112</v>
      </c>
      <c r="B1275" t="s">
        <v>2233</v>
      </c>
      <c r="C1275" s="1">
        <v>6000</v>
      </c>
    </row>
    <row r="1276" spans="1:3" x14ac:dyDescent="0.2">
      <c r="A1276" t="s">
        <v>112</v>
      </c>
      <c r="B1276" t="s">
        <v>2234</v>
      </c>
      <c r="C1276" s="1">
        <v>6000</v>
      </c>
    </row>
    <row r="1277" spans="1:3" x14ac:dyDescent="0.2">
      <c r="A1277" t="s">
        <v>112</v>
      </c>
      <c r="B1277" t="s">
        <v>2235</v>
      </c>
      <c r="C1277" s="1">
        <v>4750</v>
      </c>
    </row>
    <row r="1278" spans="1:3" x14ac:dyDescent="0.2">
      <c r="A1278" t="s">
        <v>112</v>
      </c>
      <c r="B1278" t="s">
        <v>2236</v>
      </c>
      <c r="C1278" s="1">
        <v>6000</v>
      </c>
    </row>
    <row r="1279" spans="1:3" x14ac:dyDescent="0.2">
      <c r="A1279" t="s">
        <v>112</v>
      </c>
      <c r="B1279" t="s">
        <v>2237</v>
      </c>
      <c r="C1279" s="1">
        <v>150000</v>
      </c>
    </row>
    <row r="1280" spans="1:3" x14ac:dyDescent="0.2">
      <c r="A1280" t="s">
        <v>112</v>
      </c>
      <c r="B1280" t="s">
        <v>2238</v>
      </c>
      <c r="C1280" s="1">
        <v>35000</v>
      </c>
    </row>
    <row r="1281" spans="1:3" x14ac:dyDescent="0.2">
      <c r="A1281" t="s">
        <v>112</v>
      </c>
      <c r="B1281" t="s">
        <v>2239</v>
      </c>
      <c r="C1281" s="1">
        <v>28000</v>
      </c>
    </row>
    <row r="1282" spans="1:3" x14ac:dyDescent="0.2">
      <c r="A1282" t="s">
        <v>112</v>
      </c>
      <c r="B1282" t="s">
        <v>2240</v>
      </c>
      <c r="C1282" s="1">
        <v>1000</v>
      </c>
    </row>
    <row r="1283" spans="1:3" x14ac:dyDescent="0.2">
      <c r="A1283" t="s">
        <v>112</v>
      </c>
      <c r="B1283" t="s">
        <v>2241</v>
      </c>
      <c r="C1283" s="1">
        <v>10000</v>
      </c>
    </row>
    <row r="1284" spans="1:3" x14ac:dyDescent="0.2">
      <c r="A1284" t="s">
        <v>112</v>
      </c>
      <c r="B1284" t="s">
        <v>2242</v>
      </c>
      <c r="C1284" s="1">
        <v>6000</v>
      </c>
    </row>
    <row r="1285" spans="1:3" x14ac:dyDescent="0.2">
      <c r="A1285" t="s">
        <v>112</v>
      </c>
      <c r="B1285" t="s">
        <v>2243</v>
      </c>
      <c r="C1285" s="1">
        <v>6000</v>
      </c>
    </row>
    <row r="1286" spans="1:3" x14ac:dyDescent="0.2">
      <c r="A1286" t="s">
        <v>112</v>
      </c>
      <c r="B1286" t="s">
        <v>2244</v>
      </c>
      <c r="C1286" s="1">
        <v>6000</v>
      </c>
    </row>
    <row r="1287" spans="1:3" x14ac:dyDescent="0.2">
      <c r="A1287" t="s">
        <v>112</v>
      </c>
      <c r="B1287" t="s">
        <v>2245</v>
      </c>
      <c r="C1287" s="1">
        <v>1450</v>
      </c>
    </row>
    <row r="1288" spans="1:3" x14ac:dyDescent="0.2">
      <c r="A1288" t="s">
        <v>112</v>
      </c>
      <c r="B1288" t="s">
        <v>2246</v>
      </c>
      <c r="C1288" s="1">
        <v>5000</v>
      </c>
    </row>
    <row r="1289" spans="1:3" x14ac:dyDescent="0.2">
      <c r="A1289" t="s">
        <v>112</v>
      </c>
      <c r="B1289" t="s">
        <v>2247</v>
      </c>
      <c r="C1289" s="1">
        <v>6000</v>
      </c>
    </row>
    <row r="1290" spans="1:3" x14ac:dyDescent="0.2">
      <c r="A1290" t="s">
        <v>112</v>
      </c>
      <c r="B1290" t="s">
        <v>2248</v>
      </c>
      <c r="C1290" s="1">
        <v>5000</v>
      </c>
    </row>
    <row r="1291" spans="1:3" x14ac:dyDescent="0.2">
      <c r="A1291" t="s">
        <v>112</v>
      </c>
      <c r="B1291" t="s">
        <v>2249</v>
      </c>
      <c r="C1291" s="1">
        <v>6000</v>
      </c>
    </row>
    <row r="1292" spans="1:3" x14ac:dyDescent="0.2">
      <c r="A1292" t="s">
        <v>112</v>
      </c>
      <c r="B1292" t="s">
        <v>2250</v>
      </c>
      <c r="C1292" s="1">
        <v>6000</v>
      </c>
    </row>
    <row r="1293" spans="1:3" x14ac:dyDescent="0.2">
      <c r="A1293" t="s">
        <v>112</v>
      </c>
      <c r="B1293" t="s">
        <v>2251</v>
      </c>
      <c r="C1293" s="1">
        <v>6000</v>
      </c>
    </row>
    <row r="1294" spans="1:3" x14ac:dyDescent="0.2">
      <c r="A1294" t="s">
        <v>112</v>
      </c>
      <c r="B1294" t="s">
        <v>2252</v>
      </c>
      <c r="C1294" s="1">
        <v>4750</v>
      </c>
    </row>
    <row r="1295" spans="1:3" x14ac:dyDescent="0.2">
      <c r="A1295" t="s">
        <v>112</v>
      </c>
      <c r="B1295" t="s">
        <v>2253</v>
      </c>
      <c r="C1295" s="1">
        <v>6000</v>
      </c>
    </row>
    <row r="1296" spans="1:3" x14ac:dyDescent="0.2">
      <c r="A1296" t="s">
        <v>112</v>
      </c>
      <c r="B1296" t="s">
        <v>2254</v>
      </c>
      <c r="C1296" s="1">
        <v>6000</v>
      </c>
    </row>
    <row r="1297" spans="1:3" x14ac:dyDescent="0.2">
      <c r="A1297" t="s">
        <v>112</v>
      </c>
      <c r="B1297" t="s">
        <v>2255</v>
      </c>
      <c r="C1297" s="1">
        <v>6000</v>
      </c>
    </row>
    <row r="1298" spans="1:3" x14ac:dyDescent="0.2">
      <c r="A1298" t="s">
        <v>112</v>
      </c>
      <c r="B1298" t="s">
        <v>2256</v>
      </c>
      <c r="C1298" s="1">
        <v>6000</v>
      </c>
    </row>
    <row r="1299" spans="1:3" x14ac:dyDescent="0.2">
      <c r="A1299" t="s">
        <v>112</v>
      </c>
      <c r="B1299" t="s">
        <v>2257</v>
      </c>
      <c r="C1299" s="1">
        <v>6000</v>
      </c>
    </row>
    <row r="1300" spans="1:3" x14ac:dyDescent="0.2">
      <c r="A1300" t="s">
        <v>112</v>
      </c>
      <c r="B1300" t="s">
        <v>2258</v>
      </c>
      <c r="C1300" s="1">
        <v>6000</v>
      </c>
    </row>
    <row r="1301" spans="1:3" x14ac:dyDescent="0.2">
      <c r="A1301" t="s">
        <v>112</v>
      </c>
      <c r="B1301" t="s">
        <v>2259</v>
      </c>
      <c r="C1301" s="1">
        <v>6000</v>
      </c>
    </row>
    <row r="1302" spans="1:3" x14ac:dyDescent="0.2">
      <c r="A1302" t="s">
        <v>112</v>
      </c>
      <c r="B1302" t="s">
        <v>2260</v>
      </c>
      <c r="C1302" s="1">
        <v>3000</v>
      </c>
    </row>
    <row r="1303" spans="1:3" x14ac:dyDescent="0.2">
      <c r="A1303" t="s">
        <v>112</v>
      </c>
      <c r="B1303" t="s">
        <v>2263</v>
      </c>
      <c r="C1303" s="1">
        <v>64495</v>
      </c>
    </row>
    <row r="1304" spans="1:3" x14ac:dyDescent="0.2">
      <c r="A1304" t="s">
        <v>112</v>
      </c>
      <c r="B1304" t="s">
        <v>2267</v>
      </c>
      <c r="C1304" s="1">
        <v>41000</v>
      </c>
    </row>
    <row r="1305" spans="1:3" x14ac:dyDescent="0.2">
      <c r="A1305" t="s">
        <v>112</v>
      </c>
      <c r="B1305" t="s">
        <v>2268</v>
      </c>
      <c r="C1305" s="1">
        <v>1000</v>
      </c>
    </row>
    <row r="1306" spans="1:3" x14ac:dyDescent="0.2">
      <c r="A1306" t="s">
        <v>112</v>
      </c>
      <c r="B1306" t="s">
        <v>2273</v>
      </c>
      <c r="C1306" s="1">
        <v>250000</v>
      </c>
    </row>
    <row r="1307" spans="1:3" x14ac:dyDescent="0.2">
      <c r="A1307" t="s">
        <v>112</v>
      </c>
      <c r="B1307" t="s">
        <v>2274</v>
      </c>
      <c r="C1307" s="1">
        <v>5000</v>
      </c>
    </row>
    <row r="1308" spans="1:3" x14ac:dyDescent="0.2">
      <c r="A1308" t="s">
        <v>112</v>
      </c>
      <c r="B1308" t="s">
        <v>2279</v>
      </c>
      <c r="C1308" s="1">
        <v>2452.6</v>
      </c>
    </row>
    <row r="1309" spans="1:3" x14ac:dyDescent="0.2">
      <c r="A1309" t="s">
        <v>112</v>
      </c>
      <c r="B1309" t="s">
        <v>2280</v>
      </c>
      <c r="C1309" s="1">
        <v>6000</v>
      </c>
    </row>
    <row r="1310" spans="1:3" x14ac:dyDescent="0.2">
      <c r="A1310" t="s">
        <v>112</v>
      </c>
      <c r="B1310" t="s">
        <v>2283</v>
      </c>
      <c r="C1310" s="1">
        <v>13549</v>
      </c>
    </row>
    <row r="1311" spans="1:3" x14ac:dyDescent="0.2">
      <c r="A1311" t="s">
        <v>112</v>
      </c>
      <c r="B1311" t="s">
        <v>2284</v>
      </c>
      <c r="C1311" s="1">
        <v>50800</v>
      </c>
    </row>
    <row r="1312" spans="1:3" x14ac:dyDescent="0.2">
      <c r="A1312" t="s">
        <v>112</v>
      </c>
      <c r="B1312" t="s">
        <v>2285</v>
      </c>
      <c r="C1312" s="1">
        <v>21635</v>
      </c>
    </row>
    <row r="1313" spans="1:3" x14ac:dyDescent="0.2">
      <c r="A1313" t="s">
        <v>112</v>
      </c>
      <c r="B1313" t="s">
        <v>2288</v>
      </c>
      <c r="C1313" s="1">
        <v>20000</v>
      </c>
    </row>
    <row r="1314" spans="1:3" x14ac:dyDescent="0.2">
      <c r="A1314" t="s">
        <v>112</v>
      </c>
      <c r="B1314" t="s">
        <v>2289</v>
      </c>
      <c r="C1314" s="1">
        <v>6000</v>
      </c>
    </row>
    <row r="1315" spans="1:3" x14ac:dyDescent="0.2">
      <c r="A1315" t="s">
        <v>112</v>
      </c>
      <c r="B1315" t="s">
        <v>2291</v>
      </c>
      <c r="C1315" s="1">
        <v>5500</v>
      </c>
    </row>
    <row r="1316" spans="1:3" x14ac:dyDescent="0.2">
      <c r="A1316" t="s">
        <v>112</v>
      </c>
      <c r="B1316" t="s">
        <v>2292</v>
      </c>
      <c r="C1316" s="1">
        <v>4750</v>
      </c>
    </row>
    <row r="1317" spans="1:3" x14ac:dyDescent="0.2">
      <c r="A1317" t="s">
        <v>112</v>
      </c>
      <c r="B1317" t="s">
        <v>2293</v>
      </c>
      <c r="C1317" s="1">
        <v>5000</v>
      </c>
    </row>
    <row r="1318" spans="1:3" x14ac:dyDescent="0.2">
      <c r="A1318" t="s">
        <v>112</v>
      </c>
      <c r="B1318" t="s">
        <v>2294</v>
      </c>
      <c r="C1318" s="1">
        <v>6000</v>
      </c>
    </row>
    <row r="1319" spans="1:3" x14ac:dyDescent="0.2">
      <c r="A1319" t="s">
        <v>112</v>
      </c>
      <c r="B1319" t="s">
        <v>2295</v>
      </c>
      <c r="C1319" s="1">
        <v>6000</v>
      </c>
    </row>
    <row r="1320" spans="1:3" x14ac:dyDescent="0.2">
      <c r="A1320" t="s">
        <v>112</v>
      </c>
      <c r="B1320" t="s">
        <v>2296</v>
      </c>
      <c r="C1320" s="1">
        <v>5000</v>
      </c>
    </row>
    <row r="1321" spans="1:3" x14ac:dyDescent="0.2">
      <c r="A1321" t="s">
        <v>112</v>
      </c>
      <c r="B1321" t="s">
        <v>2297</v>
      </c>
      <c r="C1321" s="1">
        <v>6000</v>
      </c>
    </row>
    <row r="1322" spans="1:3" x14ac:dyDescent="0.2">
      <c r="A1322" t="s">
        <v>112</v>
      </c>
      <c r="B1322" t="s">
        <v>2298</v>
      </c>
      <c r="C1322" s="1">
        <v>6000</v>
      </c>
    </row>
    <row r="1323" spans="1:3" x14ac:dyDescent="0.2">
      <c r="A1323" t="s">
        <v>112</v>
      </c>
      <c r="B1323" t="s">
        <v>2299</v>
      </c>
      <c r="C1323" s="1">
        <v>6000</v>
      </c>
    </row>
    <row r="1324" spans="1:3" x14ac:dyDescent="0.2">
      <c r="A1324" t="s">
        <v>112</v>
      </c>
      <c r="B1324" t="s">
        <v>2300</v>
      </c>
      <c r="C1324" s="1">
        <v>6000</v>
      </c>
    </row>
    <row r="1325" spans="1:3" x14ac:dyDescent="0.2">
      <c r="A1325" t="s">
        <v>112</v>
      </c>
      <c r="B1325" t="s">
        <v>2301</v>
      </c>
      <c r="C1325" s="1">
        <v>6000</v>
      </c>
    </row>
    <row r="1326" spans="1:3" x14ac:dyDescent="0.2">
      <c r="A1326" t="s">
        <v>112</v>
      </c>
      <c r="B1326" t="s">
        <v>2302</v>
      </c>
      <c r="C1326" s="1">
        <v>6000</v>
      </c>
    </row>
    <row r="1327" spans="1:3" x14ac:dyDescent="0.2">
      <c r="A1327" t="s">
        <v>112</v>
      </c>
      <c r="B1327" t="s">
        <v>2303</v>
      </c>
      <c r="C1327" s="1">
        <v>5750</v>
      </c>
    </row>
    <row r="1328" spans="1:3" x14ac:dyDescent="0.2">
      <c r="A1328" t="s">
        <v>112</v>
      </c>
      <c r="B1328" t="s">
        <v>2304</v>
      </c>
      <c r="C1328" s="1">
        <v>6000</v>
      </c>
    </row>
    <row r="1329" spans="1:3" x14ac:dyDescent="0.2">
      <c r="A1329" t="s">
        <v>112</v>
      </c>
      <c r="B1329" t="s">
        <v>2305</v>
      </c>
      <c r="C1329" s="1">
        <v>4000</v>
      </c>
    </row>
    <row r="1330" spans="1:3" x14ac:dyDescent="0.2">
      <c r="A1330" t="s">
        <v>112</v>
      </c>
      <c r="B1330" t="s">
        <v>2306</v>
      </c>
      <c r="C1330" s="1">
        <v>6000</v>
      </c>
    </row>
    <row r="1331" spans="1:3" x14ac:dyDescent="0.2">
      <c r="A1331" t="s">
        <v>112</v>
      </c>
      <c r="B1331" t="s">
        <v>2307</v>
      </c>
      <c r="C1331" s="1">
        <v>1300</v>
      </c>
    </row>
    <row r="1332" spans="1:3" x14ac:dyDescent="0.2">
      <c r="A1332" t="s">
        <v>112</v>
      </c>
      <c r="B1332" t="s">
        <v>2308</v>
      </c>
      <c r="C1332" s="1">
        <v>6000</v>
      </c>
    </row>
    <row r="1333" spans="1:3" x14ac:dyDescent="0.2">
      <c r="A1333" t="s">
        <v>112</v>
      </c>
      <c r="B1333" t="s">
        <v>2309</v>
      </c>
      <c r="C1333" s="1">
        <v>6000</v>
      </c>
    </row>
    <row r="1334" spans="1:3" x14ac:dyDescent="0.2">
      <c r="A1334" t="s">
        <v>112</v>
      </c>
      <c r="B1334" t="s">
        <v>2310</v>
      </c>
      <c r="C1334" s="1">
        <v>6000</v>
      </c>
    </row>
    <row r="1335" spans="1:3" x14ac:dyDescent="0.2">
      <c r="A1335" t="s">
        <v>112</v>
      </c>
      <c r="B1335" t="s">
        <v>2311</v>
      </c>
      <c r="C1335" s="1">
        <v>6000</v>
      </c>
    </row>
    <row r="1336" spans="1:3" x14ac:dyDescent="0.2">
      <c r="A1336" t="s">
        <v>112</v>
      </c>
      <c r="B1336" t="s">
        <v>2315</v>
      </c>
      <c r="C1336" s="1">
        <v>6000</v>
      </c>
    </row>
    <row r="1337" spans="1:3" x14ac:dyDescent="0.2">
      <c r="A1337" t="s">
        <v>112</v>
      </c>
      <c r="B1337" t="s">
        <v>2316</v>
      </c>
      <c r="C1337" s="1">
        <v>175000</v>
      </c>
    </row>
    <row r="1338" spans="1:3" x14ac:dyDescent="0.2">
      <c r="A1338" t="s">
        <v>112</v>
      </c>
      <c r="B1338" t="s">
        <v>2317</v>
      </c>
      <c r="C1338" s="1">
        <v>6000</v>
      </c>
    </row>
    <row r="1339" spans="1:3" x14ac:dyDescent="0.2">
      <c r="A1339" t="s">
        <v>112</v>
      </c>
      <c r="B1339" t="s">
        <v>2318</v>
      </c>
      <c r="C1339" s="1">
        <v>6000</v>
      </c>
    </row>
    <row r="1340" spans="1:3" x14ac:dyDescent="0.2">
      <c r="A1340" t="s">
        <v>112</v>
      </c>
      <c r="B1340" t="s">
        <v>2319</v>
      </c>
      <c r="C1340" s="1">
        <v>6000</v>
      </c>
    </row>
    <row r="1341" spans="1:3" x14ac:dyDescent="0.2">
      <c r="A1341" t="s">
        <v>112</v>
      </c>
      <c r="B1341" t="s">
        <v>2320</v>
      </c>
      <c r="C1341" s="1">
        <v>5000</v>
      </c>
    </row>
    <row r="1342" spans="1:3" x14ac:dyDescent="0.2">
      <c r="A1342" t="s">
        <v>112</v>
      </c>
      <c r="B1342" t="s">
        <v>2321</v>
      </c>
      <c r="C1342" s="1">
        <v>6000</v>
      </c>
    </row>
    <row r="1343" spans="1:3" x14ac:dyDescent="0.2">
      <c r="A1343" t="s">
        <v>112</v>
      </c>
      <c r="B1343" t="s">
        <v>2322</v>
      </c>
      <c r="C1343" s="1">
        <v>4000</v>
      </c>
    </row>
    <row r="1344" spans="1:3" x14ac:dyDescent="0.2">
      <c r="A1344" t="s">
        <v>112</v>
      </c>
      <c r="B1344" t="s">
        <v>2323</v>
      </c>
      <c r="C1344" s="1">
        <v>6000</v>
      </c>
    </row>
    <row r="1345" spans="1:3" x14ac:dyDescent="0.2">
      <c r="A1345" t="s">
        <v>112</v>
      </c>
      <c r="B1345" t="s">
        <v>2324</v>
      </c>
      <c r="C1345" s="1">
        <v>5000</v>
      </c>
    </row>
    <row r="1346" spans="1:3" x14ac:dyDescent="0.2">
      <c r="A1346" t="s">
        <v>112</v>
      </c>
      <c r="B1346" t="s">
        <v>2325</v>
      </c>
      <c r="C1346" s="1">
        <v>6000</v>
      </c>
    </row>
    <row r="1347" spans="1:3" x14ac:dyDescent="0.2">
      <c r="A1347" t="s">
        <v>112</v>
      </c>
      <c r="B1347" t="s">
        <v>2326</v>
      </c>
      <c r="C1347" s="1">
        <v>19625</v>
      </c>
    </row>
    <row r="1348" spans="1:3" x14ac:dyDescent="0.2">
      <c r="A1348" t="s">
        <v>112</v>
      </c>
      <c r="B1348" t="s">
        <v>2327</v>
      </c>
      <c r="C1348" s="1">
        <v>6000</v>
      </c>
    </row>
    <row r="1349" spans="1:3" x14ac:dyDescent="0.2">
      <c r="A1349" t="s">
        <v>112</v>
      </c>
      <c r="B1349" t="s">
        <v>2328</v>
      </c>
      <c r="C1349" s="1">
        <v>6000</v>
      </c>
    </row>
    <row r="1350" spans="1:3" x14ac:dyDescent="0.2">
      <c r="A1350" t="s">
        <v>112</v>
      </c>
      <c r="B1350" t="s">
        <v>2329</v>
      </c>
      <c r="C1350" s="1">
        <v>6000</v>
      </c>
    </row>
    <row r="1351" spans="1:3" x14ac:dyDescent="0.2">
      <c r="A1351" t="s">
        <v>112</v>
      </c>
      <c r="B1351" t="s">
        <v>2330</v>
      </c>
      <c r="C1351" s="1">
        <v>6000</v>
      </c>
    </row>
    <row r="1352" spans="1:3" x14ac:dyDescent="0.2">
      <c r="A1352" t="s">
        <v>112</v>
      </c>
      <c r="B1352" t="s">
        <v>2331</v>
      </c>
      <c r="C1352" s="1">
        <v>6000</v>
      </c>
    </row>
    <row r="1353" spans="1:3" x14ac:dyDescent="0.2">
      <c r="A1353" t="s">
        <v>112</v>
      </c>
      <c r="B1353" t="s">
        <v>2332</v>
      </c>
      <c r="C1353" s="1">
        <v>6000</v>
      </c>
    </row>
    <row r="1354" spans="1:3" x14ac:dyDescent="0.2">
      <c r="A1354" t="s">
        <v>112</v>
      </c>
      <c r="B1354" t="s">
        <v>2333</v>
      </c>
      <c r="C1354" s="1">
        <v>6000</v>
      </c>
    </row>
    <row r="1355" spans="1:3" x14ac:dyDescent="0.2">
      <c r="A1355" t="s">
        <v>112</v>
      </c>
      <c r="B1355" t="s">
        <v>2334</v>
      </c>
      <c r="C1355" s="1">
        <v>6000</v>
      </c>
    </row>
    <row r="1356" spans="1:3" x14ac:dyDescent="0.2">
      <c r="A1356" t="s">
        <v>112</v>
      </c>
      <c r="B1356" t="s">
        <v>2335</v>
      </c>
      <c r="C1356" s="1">
        <v>6000</v>
      </c>
    </row>
    <row r="1357" spans="1:3" x14ac:dyDescent="0.2">
      <c r="A1357" t="s">
        <v>112</v>
      </c>
      <c r="B1357" t="s">
        <v>2336</v>
      </c>
      <c r="C1357" s="1">
        <v>6000</v>
      </c>
    </row>
    <row r="1358" spans="1:3" x14ac:dyDescent="0.2">
      <c r="A1358" t="s">
        <v>112</v>
      </c>
      <c r="B1358" t="s">
        <v>2337</v>
      </c>
      <c r="C1358" s="1">
        <v>6000</v>
      </c>
    </row>
    <row r="1359" spans="1:3" x14ac:dyDescent="0.2">
      <c r="A1359" t="s">
        <v>112</v>
      </c>
      <c r="B1359" t="s">
        <v>2338</v>
      </c>
      <c r="C1359" s="1">
        <v>6000</v>
      </c>
    </row>
    <row r="1360" spans="1:3" x14ac:dyDescent="0.2">
      <c r="A1360" t="s">
        <v>112</v>
      </c>
      <c r="B1360" t="s">
        <v>2339</v>
      </c>
      <c r="C1360" s="1">
        <v>6000</v>
      </c>
    </row>
    <row r="1361" spans="1:3" x14ac:dyDescent="0.2">
      <c r="A1361" t="s">
        <v>112</v>
      </c>
      <c r="B1361" t="s">
        <v>2340</v>
      </c>
      <c r="C1361" s="1">
        <v>5000</v>
      </c>
    </row>
    <row r="1362" spans="1:3" x14ac:dyDescent="0.2">
      <c r="A1362" t="s">
        <v>112</v>
      </c>
      <c r="B1362" t="s">
        <v>2342</v>
      </c>
      <c r="C1362" s="1">
        <v>6000</v>
      </c>
    </row>
    <row r="1363" spans="1:3" x14ac:dyDescent="0.2">
      <c r="A1363" t="s">
        <v>112</v>
      </c>
      <c r="B1363" t="s">
        <v>2343</v>
      </c>
      <c r="C1363" s="1">
        <v>6000</v>
      </c>
    </row>
    <row r="1364" spans="1:3" x14ac:dyDescent="0.2">
      <c r="A1364" t="s">
        <v>112</v>
      </c>
      <c r="B1364" t="s">
        <v>2344</v>
      </c>
      <c r="C1364" s="1">
        <v>1250</v>
      </c>
    </row>
    <row r="1365" spans="1:3" x14ac:dyDescent="0.2">
      <c r="A1365" t="s">
        <v>112</v>
      </c>
      <c r="B1365" t="s">
        <v>2345</v>
      </c>
      <c r="C1365" s="1">
        <v>6000</v>
      </c>
    </row>
    <row r="1366" spans="1:3" x14ac:dyDescent="0.2">
      <c r="A1366" t="s">
        <v>112</v>
      </c>
      <c r="B1366" t="s">
        <v>2346</v>
      </c>
      <c r="C1366" s="1">
        <v>1000</v>
      </c>
    </row>
    <row r="1367" spans="1:3" x14ac:dyDescent="0.2">
      <c r="A1367" t="s">
        <v>112</v>
      </c>
      <c r="B1367" t="s">
        <v>2347</v>
      </c>
      <c r="C1367" s="1">
        <v>6000</v>
      </c>
    </row>
    <row r="1368" spans="1:3" x14ac:dyDescent="0.2">
      <c r="A1368" t="s">
        <v>112</v>
      </c>
      <c r="B1368" t="s">
        <v>2348</v>
      </c>
      <c r="C1368" s="1">
        <v>2750</v>
      </c>
    </row>
    <row r="1369" spans="1:3" x14ac:dyDescent="0.2">
      <c r="A1369" t="s">
        <v>112</v>
      </c>
      <c r="B1369" t="s">
        <v>2349</v>
      </c>
      <c r="C1369" s="1">
        <v>6000</v>
      </c>
    </row>
    <row r="1370" spans="1:3" x14ac:dyDescent="0.2">
      <c r="A1370" t="s">
        <v>112</v>
      </c>
      <c r="B1370" t="s">
        <v>2350</v>
      </c>
      <c r="C1370" s="1">
        <v>5250</v>
      </c>
    </row>
    <row r="1371" spans="1:3" x14ac:dyDescent="0.2">
      <c r="A1371" t="s">
        <v>112</v>
      </c>
      <c r="B1371" t="s">
        <v>2351</v>
      </c>
      <c r="C1371" s="1">
        <v>1000</v>
      </c>
    </row>
    <row r="1372" spans="1:3" x14ac:dyDescent="0.2">
      <c r="A1372" t="s">
        <v>112</v>
      </c>
      <c r="B1372" t="s">
        <v>2352</v>
      </c>
      <c r="C1372" s="1">
        <v>6000</v>
      </c>
    </row>
    <row r="1373" spans="1:3" x14ac:dyDescent="0.2">
      <c r="A1373" t="s">
        <v>112</v>
      </c>
      <c r="B1373" t="s">
        <v>2353</v>
      </c>
      <c r="C1373" s="1">
        <v>6000</v>
      </c>
    </row>
    <row r="1374" spans="1:3" x14ac:dyDescent="0.2">
      <c r="A1374" t="s">
        <v>112</v>
      </c>
      <c r="B1374" t="s">
        <v>2354</v>
      </c>
      <c r="C1374" s="1">
        <v>6000</v>
      </c>
    </row>
    <row r="1375" spans="1:3" x14ac:dyDescent="0.2">
      <c r="A1375" t="s">
        <v>112</v>
      </c>
      <c r="B1375" t="s">
        <v>2355</v>
      </c>
      <c r="C1375" s="1">
        <v>6000</v>
      </c>
    </row>
    <row r="1376" spans="1:3" x14ac:dyDescent="0.2">
      <c r="A1376" t="s">
        <v>112</v>
      </c>
      <c r="B1376" t="s">
        <v>2356</v>
      </c>
      <c r="C1376" s="1">
        <v>6000</v>
      </c>
    </row>
    <row r="1377" spans="1:3" x14ac:dyDescent="0.2">
      <c r="A1377" t="s">
        <v>112</v>
      </c>
      <c r="B1377" t="s">
        <v>2357</v>
      </c>
      <c r="C1377" s="1">
        <v>6000</v>
      </c>
    </row>
    <row r="1378" spans="1:3" x14ac:dyDescent="0.2">
      <c r="A1378" t="s">
        <v>112</v>
      </c>
      <c r="B1378" t="s">
        <v>2358</v>
      </c>
      <c r="C1378" s="1">
        <v>5000</v>
      </c>
    </row>
    <row r="1379" spans="1:3" x14ac:dyDescent="0.2">
      <c r="A1379" t="s">
        <v>112</v>
      </c>
      <c r="B1379" t="s">
        <v>2359</v>
      </c>
      <c r="C1379" s="1">
        <v>7619.5</v>
      </c>
    </row>
    <row r="1380" spans="1:3" x14ac:dyDescent="0.2">
      <c r="A1380" t="s">
        <v>112</v>
      </c>
      <c r="B1380" t="s">
        <v>2360</v>
      </c>
      <c r="C1380" s="1">
        <v>6000</v>
      </c>
    </row>
    <row r="1381" spans="1:3" x14ac:dyDescent="0.2">
      <c r="A1381" t="s">
        <v>112</v>
      </c>
      <c r="B1381" t="s">
        <v>2361</v>
      </c>
      <c r="C1381" s="1">
        <v>6000</v>
      </c>
    </row>
    <row r="1382" spans="1:3" x14ac:dyDescent="0.2">
      <c r="A1382" t="s">
        <v>112</v>
      </c>
      <c r="B1382" t="s">
        <v>2362</v>
      </c>
      <c r="C1382" s="1">
        <v>5000</v>
      </c>
    </row>
    <row r="1383" spans="1:3" x14ac:dyDescent="0.2">
      <c r="A1383" t="s">
        <v>112</v>
      </c>
      <c r="B1383" t="s">
        <v>2363</v>
      </c>
      <c r="C1383" s="1">
        <v>6000</v>
      </c>
    </row>
    <row r="1384" spans="1:3" x14ac:dyDescent="0.2">
      <c r="A1384" t="s">
        <v>112</v>
      </c>
      <c r="B1384" t="s">
        <v>2364</v>
      </c>
      <c r="C1384" s="1">
        <v>6000</v>
      </c>
    </row>
    <row r="1385" spans="1:3" x14ac:dyDescent="0.2">
      <c r="A1385" t="s">
        <v>112</v>
      </c>
      <c r="B1385" t="s">
        <v>2365</v>
      </c>
      <c r="C1385" s="1">
        <v>6000</v>
      </c>
    </row>
    <row r="1386" spans="1:3" x14ac:dyDescent="0.2">
      <c r="A1386" t="s">
        <v>112</v>
      </c>
      <c r="B1386" t="s">
        <v>2366</v>
      </c>
      <c r="C1386" s="1">
        <v>6000</v>
      </c>
    </row>
    <row r="1387" spans="1:3" x14ac:dyDescent="0.2">
      <c r="A1387" t="s">
        <v>112</v>
      </c>
      <c r="B1387" t="s">
        <v>2367</v>
      </c>
      <c r="C1387" s="1">
        <v>6000</v>
      </c>
    </row>
    <row r="1388" spans="1:3" x14ac:dyDescent="0.2">
      <c r="A1388" t="s">
        <v>112</v>
      </c>
      <c r="B1388" t="s">
        <v>2368</v>
      </c>
      <c r="C1388" s="1">
        <v>4000</v>
      </c>
    </row>
    <row r="1389" spans="1:3" x14ac:dyDescent="0.2">
      <c r="A1389" t="s">
        <v>112</v>
      </c>
      <c r="B1389" t="s">
        <v>2369</v>
      </c>
      <c r="C1389" s="1">
        <v>15000</v>
      </c>
    </row>
    <row r="1390" spans="1:3" x14ac:dyDescent="0.2">
      <c r="A1390" t="s">
        <v>112</v>
      </c>
      <c r="B1390" t="s">
        <v>2370</v>
      </c>
      <c r="C1390" s="1">
        <v>6000</v>
      </c>
    </row>
    <row r="1391" spans="1:3" x14ac:dyDescent="0.2">
      <c r="A1391" t="s">
        <v>112</v>
      </c>
      <c r="B1391" t="s">
        <v>2371</v>
      </c>
      <c r="C1391" s="1">
        <v>15000</v>
      </c>
    </row>
    <row r="1392" spans="1:3" x14ac:dyDescent="0.2">
      <c r="A1392" t="s">
        <v>112</v>
      </c>
      <c r="B1392" t="s">
        <v>2372</v>
      </c>
      <c r="C1392" s="1">
        <v>20000</v>
      </c>
    </row>
    <row r="1393" spans="1:3" x14ac:dyDescent="0.2">
      <c r="A1393" t="s">
        <v>112</v>
      </c>
      <c r="B1393" t="s">
        <v>2373</v>
      </c>
      <c r="C1393" s="1">
        <v>6000</v>
      </c>
    </row>
    <row r="1394" spans="1:3" x14ac:dyDescent="0.2">
      <c r="A1394" t="s">
        <v>112</v>
      </c>
      <c r="B1394" t="s">
        <v>2374</v>
      </c>
      <c r="C1394" s="1">
        <v>6000</v>
      </c>
    </row>
    <row r="1395" spans="1:3" x14ac:dyDescent="0.2">
      <c r="A1395" t="s">
        <v>112</v>
      </c>
      <c r="B1395" t="s">
        <v>2375</v>
      </c>
      <c r="C1395" s="1">
        <v>6000</v>
      </c>
    </row>
    <row r="1396" spans="1:3" x14ac:dyDescent="0.2">
      <c r="A1396" t="s">
        <v>112</v>
      </c>
      <c r="B1396" t="s">
        <v>2376</v>
      </c>
      <c r="C1396" s="1">
        <v>6000</v>
      </c>
    </row>
    <row r="1397" spans="1:3" x14ac:dyDescent="0.2">
      <c r="A1397" t="s">
        <v>112</v>
      </c>
      <c r="B1397" t="s">
        <v>2377</v>
      </c>
      <c r="C1397" s="1">
        <v>6000</v>
      </c>
    </row>
    <row r="1398" spans="1:3" x14ac:dyDescent="0.2">
      <c r="A1398" t="s">
        <v>112</v>
      </c>
      <c r="B1398" t="s">
        <v>2378</v>
      </c>
      <c r="C1398" s="1">
        <v>6000</v>
      </c>
    </row>
    <row r="1399" spans="1:3" x14ac:dyDescent="0.2">
      <c r="A1399" t="s">
        <v>112</v>
      </c>
      <c r="B1399" t="s">
        <v>2379</v>
      </c>
      <c r="C1399" s="1">
        <v>3000</v>
      </c>
    </row>
    <row r="1400" spans="1:3" x14ac:dyDescent="0.2">
      <c r="A1400" t="s">
        <v>112</v>
      </c>
      <c r="B1400" t="s">
        <v>2380</v>
      </c>
      <c r="C1400" s="1">
        <v>5000</v>
      </c>
    </row>
    <row r="1401" spans="1:3" x14ac:dyDescent="0.2">
      <c r="A1401" t="s">
        <v>112</v>
      </c>
      <c r="B1401" t="s">
        <v>2381</v>
      </c>
      <c r="C1401" s="1">
        <v>6000</v>
      </c>
    </row>
    <row r="1402" spans="1:3" x14ac:dyDescent="0.2">
      <c r="A1402" t="s">
        <v>112</v>
      </c>
      <c r="B1402" t="s">
        <v>2382</v>
      </c>
      <c r="C1402" s="1">
        <v>6000</v>
      </c>
    </row>
    <row r="1403" spans="1:3" x14ac:dyDescent="0.2">
      <c r="A1403" t="s">
        <v>112</v>
      </c>
      <c r="B1403" t="s">
        <v>2383</v>
      </c>
      <c r="C1403" s="1">
        <v>6000</v>
      </c>
    </row>
    <row r="1404" spans="1:3" x14ac:dyDescent="0.2">
      <c r="A1404" t="s">
        <v>112</v>
      </c>
      <c r="B1404" t="s">
        <v>2384</v>
      </c>
      <c r="C1404" s="1">
        <v>6000</v>
      </c>
    </row>
    <row r="1405" spans="1:3" x14ac:dyDescent="0.2">
      <c r="A1405" t="s">
        <v>112</v>
      </c>
      <c r="B1405" t="s">
        <v>2385</v>
      </c>
      <c r="C1405" s="1">
        <v>1000</v>
      </c>
    </row>
    <row r="1406" spans="1:3" x14ac:dyDescent="0.2">
      <c r="A1406" t="s">
        <v>112</v>
      </c>
      <c r="B1406" t="s">
        <v>2386</v>
      </c>
      <c r="C1406" s="1">
        <v>5500</v>
      </c>
    </row>
    <row r="1407" spans="1:3" x14ac:dyDescent="0.2">
      <c r="A1407" t="s">
        <v>112</v>
      </c>
      <c r="B1407" t="s">
        <v>2387</v>
      </c>
      <c r="C1407" s="1">
        <v>6000</v>
      </c>
    </row>
    <row r="1408" spans="1:3" x14ac:dyDescent="0.2">
      <c r="A1408" t="s">
        <v>112</v>
      </c>
      <c r="B1408" t="s">
        <v>2388</v>
      </c>
      <c r="C1408" s="1">
        <v>6000</v>
      </c>
    </row>
    <row r="1409" spans="1:3" x14ac:dyDescent="0.2">
      <c r="A1409" t="s">
        <v>112</v>
      </c>
      <c r="B1409" t="s">
        <v>2389</v>
      </c>
      <c r="C1409" s="1">
        <v>6000</v>
      </c>
    </row>
    <row r="1410" spans="1:3" x14ac:dyDescent="0.2">
      <c r="A1410" t="s">
        <v>112</v>
      </c>
      <c r="B1410" t="s">
        <v>2390</v>
      </c>
      <c r="C1410" s="1">
        <v>6000</v>
      </c>
    </row>
    <row r="1411" spans="1:3" x14ac:dyDescent="0.2">
      <c r="A1411" t="s">
        <v>112</v>
      </c>
      <c r="B1411" t="s">
        <v>2391</v>
      </c>
      <c r="C1411" s="1">
        <v>6000</v>
      </c>
    </row>
    <row r="1412" spans="1:3" x14ac:dyDescent="0.2">
      <c r="A1412" t="s">
        <v>112</v>
      </c>
      <c r="B1412" t="s">
        <v>2392</v>
      </c>
      <c r="C1412" s="1">
        <v>6000</v>
      </c>
    </row>
    <row r="1413" spans="1:3" x14ac:dyDescent="0.2">
      <c r="A1413" t="s">
        <v>112</v>
      </c>
      <c r="B1413" t="s">
        <v>2393</v>
      </c>
      <c r="C1413" s="1">
        <v>5500</v>
      </c>
    </row>
    <row r="1414" spans="1:3" x14ac:dyDescent="0.2">
      <c r="A1414" t="s">
        <v>112</v>
      </c>
      <c r="B1414" t="s">
        <v>2394</v>
      </c>
      <c r="C1414" s="1">
        <v>2250</v>
      </c>
    </row>
    <row r="1415" spans="1:3" x14ac:dyDescent="0.2">
      <c r="A1415" t="s">
        <v>112</v>
      </c>
      <c r="B1415" t="s">
        <v>2395</v>
      </c>
      <c r="C1415" s="1">
        <v>11500</v>
      </c>
    </row>
    <row r="1416" spans="1:3" x14ac:dyDescent="0.2">
      <c r="A1416" t="s">
        <v>112</v>
      </c>
      <c r="B1416" t="s">
        <v>2396</v>
      </c>
      <c r="C1416" s="1">
        <v>5500</v>
      </c>
    </row>
    <row r="1417" spans="1:3" x14ac:dyDescent="0.2">
      <c r="A1417" t="s">
        <v>112</v>
      </c>
      <c r="B1417" t="s">
        <v>2397</v>
      </c>
      <c r="C1417" s="1">
        <v>6000</v>
      </c>
    </row>
    <row r="1418" spans="1:3" x14ac:dyDescent="0.2">
      <c r="A1418" t="s">
        <v>112</v>
      </c>
      <c r="B1418" t="s">
        <v>2398</v>
      </c>
      <c r="C1418" s="1">
        <v>6000</v>
      </c>
    </row>
    <row r="1419" spans="1:3" x14ac:dyDescent="0.2">
      <c r="A1419" t="s">
        <v>112</v>
      </c>
      <c r="B1419" t="s">
        <v>2399</v>
      </c>
      <c r="C1419" s="1">
        <v>6000</v>
      </c>
    </row>
    <row r="1420" spans="1:3" x14ac:dyDescent="0.2">
      <c r="A1420" t="s">
        <v>112</v>
      </c>
      <c r="B1420" t="s">
        <v>2401</v>
      </c>
      <c r="C1420" s="1">
        <v>6000</v>
      </c>
    </row>
    <row r="1421" spans="1:3" x14ac:dyDescent="0.2">
      <c r="A1421" t="s">
        <v>112</v>
      </c>
      <c r="B1421" t="s">
        <v>2402</v>
      </c>
      <c r="C1421" s="1">
        <v>6000</v>
      </c>
    </row>
    <row r="1422" spans="1:3" x14ac:dyDescent="0.2">
      <c r="A1422" t="s">
        <v>112</v>
      </c>
      <c r="B1422" t="s">
        <v>2403</v>
      </c>
      <c r="C1422" s="1">
        <v>6000</v>
      </c>
    </row>
    <row r="1423" spans="1:3" x14ac:dyDescent="0.2">
      <c r="A1423" t="s">
        <v>112</v>
      </c>
      <c r="B1423" t="s">
        <v>2404</v>
      </c>
      <c r="C1423" s="1">
        <v>6000</v>
      </c>
    </row>
    <row r="1424" spans="1:3" x14ac:dyDescent="0.2">
      <c r="A1424" t="s">
        <v>112</v>
      </c>
      <c r="B1424" t="s">
        <v>2405</v>
      </c>
      <c r="C1424" s="1">
        <v>6000</v>
      </c>
    </row>
    <row r="1425" spans="1:3" x14ac:dyDescent="0.2">
      <c r="A1425" t="s">
        <v>112</v>
      </c>
      <c r="B1425" t="s">
        <v>2406</v>
      </c>
      <c r="C1425" s="1">
        <v>6000</v>
      </c>
    </row>
    <row r="1426" spans="1:3" x14ac:dyDescent="0.2">
      <c r="A1426" t="s">
        <v>112</v>
      </c>
      <c r="B1426" t="s">
        <v>2407</v>
      </c>
      <c r="C1426" s="1">
        <v>4750</v>
      </c>
    </row>
    <row r="1427" spans="1:3" x14ac:dyDescent="0.2">
      <c r="A1427" t="s">
        <v>112</v>
      </c>
      <c r="B1427" t="s">
        <v>2408</v>
      </c>
      <c r="C1427" s="1">
        <v>3000</v>
      </c>
    </row>
    <row r="1428" spans="1:3" x14ac:dyDescent="0.2">
      <c r="A1428" t="s">
        <v>112</v>
      </c>
      <c r="B1428" t="s">
        <v>2409</v>
      </c>
      <c r="C1428" s="1">
        <v>6000</v>
      </c>
    </row>
    <row r="1429" spans="1:3" x14ac:dyDescent="0.2">
      <c r="A1429" t="s">
        <v>112</v>
      </c>
      <c r="B1429" t="s">
        <v>2411</v>
      </c>
      <c r="C1429" s="1">
        <v>3500</v>
      </c>
    </row>
    <row r="1430" spans="1:3" x14ac:dyDescent="0.2">
      <c r="A1430" t="s">
        <v>112</v>
      </c>
      <c r="B1430" t="s">
        <v>2412</v>
      </c>
      <c r="C1430" s="1">
        <v>5000</v>
      </c>
    </row>
    <row r="1431" spans="1:3" x14ac:dyDescent="0.2">
      <c r="A1431" t="s">
        <v>112</v>
      </c>
      <c r="B1431" t="s">
        <v>2413</v>
      </c>
      <c r="C1431" s="1">
        <v>5000</v>
      </c>
    </row>
    <row r="1432" spans="1:3" x14ac:dyDescent="0.2">
      <c r="A1432" t="s">
        <v>112</v>
      </c>
      <c r="B1432" t="s">
        <v>2414</v>
      </c>
      <c r="C1432" s="1">
        <v>2750</v>
      </c>
    </row>
    <row r="1433" spans="1:3" x14ac:dyDescent="0.2">
      <c r="A1433" t="s">
        <v>112</v>
      </c>
      <c r="B1433" t="s">
        <v>2415</v>
      </c>
      <c r="C1433" s="1">
        <v>6000</v>
      </c>
    </row>
    <row r="1434" spans="1:3" x14ac:dyDescent="0.2">
      <c r="A1434" t="s">
        <v>112</v>
      </c>
      <c r="B1434" t="s">
        <v>2416</v>
      </c>
      <c r="C1434" s="1">
        <v>4750</v>
      </c>
    </row>
    <row r="1435" spans="1:3" x14ac:dyDescent="0.2">
      <c r="A1435" t="s">
        <v>112</v>
      </c>
      <c r="B1435" t="s">
        <v>2417</v>
      </c>
      <c r="C1435" s="1">
        <v>6000</v>
      </c>
    </row>
    <row r="1436" spans="1:3" x14ac:dyDescent="0.2">
      <c r="A1436" t="s">
        <v>112</v>
      </c>
      <c r="B1436" t="s">
        <v>2418</v>
      </c>
      <c r="C1436" s="1">
        <v>6000</v>
      </c>
    </row>
    <row r="1437" spans="1:3" x14ac:dyDescent="0.2">
      <c r="A1437" t="s">
        <v>112</v>
      </c>
      <c r="B1437" t="s">
        <v>2419</v>
      </c>
      <c r="C1437" s="1">
        <v>6000</v>
      </c>
    </row>
    <row r="1438" spans="1:3" x14ac:dyDescent="0.2">
      <c r="A1438" t="s">
        <v>112</v>
      </c>
      <c r="B1438" t="s">
        <v>2420</v>
      </c>
      <c r="C1438" s="1">
        <v>6000</v>
      </c>
    </row>
    <row r="1439" spans="1:3" x14ac:dyDescent="0.2">
      <c r="A1439" t="s">
        <v>112</v>
      </c>
      <c r="B1439" t="s">
        <v>2421</v>
      </c>
      <c r="C1439" s="1">
        <v>5000</v>
      </c>
    </row>
    <row r="1440" spans="1:3" x14ac:dyDescent="0.2">
      <c r="A1440" t="s">
        <v>112</v>
      </c>
      <c r="B1440" t="s">
        <v>2422</v>
      </c>
      <c r="C1440" s="1">
        <v>3250</v>
      </c>
    </row>
    <row r="1441" spans="1:3" x14ac:dyDescent="0.2">
      <c r="A1441" t="s">
        <v>112</v>
      </c>
      <c r="B1441" t="s">
        <v>2423</v>
      </c>
      <c r="C1441" s="1">
        <v>1750</v>
      </c>
    </row>
    <row r="1442" spans="1:3" x14ac:dyDescent="0.2">
      <c r="A1442" t="s">
        <v>112</v>
      </c>
      <c r="B1442" t="s">
        <v>2424</v>
      </c>
      <c r="C1442" s="1">
        <v>6000</v>
      </c>
    </row>
    <row r="1443" spans="1:3" x14ac:dyDescent="0.2">
      <c r="A1443" t="s">
        <v>112</v>
      </c>
      <c r="B1443" t="s">
        <v>2425</v>
      </c>
      <c r="C1443" s="1">
        <v>6000</v>
      </c>
    </row>
    <row r="1444" spans="1:3" x14ac:dyDescent="0.2">
      <c r="A1444" t="s">
        <v>112</v>
      </c>
      <c r="B1444" t="s">
        <v>2426</v>
      </c>
      <c r="C1444" s="1">
        <v>5750</v>
      </c>
    </row>
    <row r="1445" spans="1:3" x14ac:dyDescent="0.2">
      <c r="A1445" t="s">
        <v>112</v>
      </c>
      <c r="B1445" t="s">
        <v>2427</v>
      </c>
      <c r="C1445" s="1">
        <v>6000</v>
      </c>
    </row>
    <row r="1446" spans="1:3" x14ac:dyDescent="0.2">
      <c r="A1446" t="s">
        <v>112</v>
      </c>
      <c r="B1446" t="s">
        <v>2428</v>
      </c>
      <c r="C1446" s="1">
        <v>6000</v>
      </c>
    </row>
    <row r="1447" spans="1:3" x14ac:dyDescent="0.2">
      <c r="A1447" t="s">
        <v>112</v>
      </c>
      <c r="B1447" t="s">
        <v>2429</v>
      </c>
      <c r="C1447" s="1">
        <v>6000</v>
      </c>
    </row>
    <row r="1448" spans="1:3" x14ac:dyDescent="0.2">
      <c r="A1448" t="s">
        <v>112</v>
      </c>
      <c r="B1448" t="s">
        <v>2430</v>
      </c>
      <c r="C1448" s="1">
        <v>6000</v>
      </c>
    </row>
    <row r="1449" spans="1:3" x14ac:dyDescent="0.2">
      <c r="A1449" t="s">
        <v>112</v>
      </c>
      <c r="B1449" t="s">
        <v>2431</v>
      </c>
      <c r="C1449" s="1">
        <v>5000</v>
      </c>
    </row>
    <row r="1450" spans="1:3" x14ac:dyDescent="0.2">
      <c r="A1450" t="s">
        <v>112</v>
      </c>
      <c r="B1450" t="s">
        <v>2432</v>
      </c>
      <c r="C1450" s="1">
        <v>6000</v>
      </c>
    </row>
    <row r="1451" spans="1:3" x14ac:dyDescent="0.2">
      <c r="A1451" t="s">
        <v>112</v>
      </c>
      <c r="B1451" t="s">
        <v>2433</v>
      </c>
      <c r="C1451" s="1">
        <v>4250</v>
      </c>
    </row>
    <row r="1452" spans="1:3" x14ac:dyDescent="0.2">
      <c r="A1452" t="s">
        <v>112</v>
      </c>
      <c r="B1452" t="s">
        <v>2434</v>
      </c>
      <c r="C1452" s="1">
        <v>6000</v>
      </c>
    </row>
    <row r="1453" spans="1:3" x14ac:dyDescent="0.2">
      <c r="A1453" t="s">
        <v>112</v>
      </c>
      <c r="B1453" t="s">
        <v>2435</v>
      </c>
      <c r="C1453" s="1">
        <v>6000</v>
      </c>
    </row>
    <row r="1454" spans="1:3" x14ac:dyDescent="0.2">
      <c r="A1454" t="s">
        <v>112</v>
      </c>
      <c r="B1454" t="s">
        <v>2436</v>
      </c>
      <c r="C1454" s="1">
        <v>6000</v>
      </c>
    </row>
    <row r="1455" spans="1:3" x14ac:dyDescent="0.2">
      <c r="A1455" t="s">
        <v>112</v>
      </c>
      <c r="B1455" t="s">
        <v>2437</v>
      </c>
      <c r="C1455" s="1">
        <v>6000</v>
      </c>
    </row>
    <row r="1456" spans="1:3" x14ac:dyDescent="0.2">
      <c r="A1456" t="s">
        <v>112</v>
      </c>
      <c r="B1456" t="s">
        <v>2438</v>
      </c>
      <c r="C1456" s="1">
        <v>6000</v>
      </c>
    </row>
    <row r="1457" spans="1:3" x14ac:dyDescent="0.2">
      <c r="A1457" t="s">
        <v>112</v>
      </c>
      <c r="B1457" t="s">
        <v>2439</v>
      </c>
      <c r="C1457" s="1">
        <v>6000</v>
      </c>
    </row>
    <row r="1458" spans="1:3" x14ac:dyDescent="0.2">
      <c r="A1458" t="s">
        <v>112</v>
      </c>
      <c r="B1458" t="s">
        <v>2440</v>
      </c>
      <c r="C1458" s="1">
        <v>4750</v>
      </c>
    </row>
    <row r="1459" spans="1:3" x14ac:dyDescent="0.2">
      <c r="A1459" t="s">
        <v>112</v>
      </c>
      <c r="B1459" t="s">
        <v>2441</v>
      </c>
      <c r="C1459" s="1">
        <v>6000</v>
      </c>
    </row>
    <row r="1460" spans="1:3" x14ac:dyDescent="0.2">
      <c r="A1460" t="s">
        <v>112</v>
      </c>
      <c r="B1460" t="s">
        <v>2449</v>
      </c>
      <c r="C1460" s="1">
        <v>15000</v>
      </c>
    </row>
    <row r="1461" spans="1:3" x14ac:dyDescent="0.2">
      <c r="A1461" t="s">
        <v>112</v>
      </c>
      <c r="B1461" t="s">
        <v>2452</v>
      </c>
      <c r="C1461" s="1">
        <v>8000</v>
      </c>
    </row>
    <row r="1462" spans="1:3" x14ac:dyDescent="0.2">
      <c r="A1462" t="s">
        <v>112</v>
      </c>
      <c r="B1462" t="s">
        <v>2453</v>
      </c>
      <c r="C1462" s="1">
        <v>2000</v>
      </c>
    </row>
    <row r="1463" spans="1:3" x14ac:dyDescent="0.2">
      <c r="A1463" t="s">
        <v>112</v>
      </c>
      <c r="B1463" t="s">
        <v>2454</v>
      </c>
      <c r="C1463" s="1">
        <v>52240</v>
      </c>
    </row>
    <row r="1464" spans="1:3" x14ac:dyDescent="0.2">
      <c r="A1464" t="s">
        <v>112</v>
      </c>
      <c r="B1464" t="s">
        <v>2457</v>
      </c>
      <c r="C1464" s="1">
        <v>6000</v>
      </c>
    </row>
    <row r="1465" spans="1:3" x14ac:dyDescent="0.2">
      <c r="A1465" t="s">
        <v>112</v>
      </c>
      <c r="B1465" t="s">
        <v>2460</v>
      </c>
      <c r="C1465" s="1">
        <v>20000</v>
      </c>
    </row>
    <row r="1466" spans="1:3" x14ac:dyDescent="0.2">
      <c r="A1466" t="s">
        <v>112</v>
      </c>
      <c r="B1466" t="s">
        <v>2461</v>
      </c>
      <c r="C1466" s="1">
        <v>60000</v>
      </c>
    </row>
    <row r="1467" spans="1:3" x14ac:dyDescent="0.2">
      <c r="A1467" t="s">
        <v>112</v>
      </c>
      <c r="B1467" t="s">
        <v>2462</v>
      </c>
      <c r="C1467" s="1">
        <v>50000</v>
      </c>
    </row>
    <row r="1468" spans="1:3" x14ac:dyDescent="0.2">
      <c r="A1468" t="s">
        <v>112</v>
      </c>
      <c r="B1468" t="s">
        <v>2464</v>
      </c>
      <c r="C1468" s="1">
        <v>30000</v>
      </c>
    </row>
    <row r="1469" spans="1:3" x14ac:dyDescent="0.2">
      <c r="A1469" t="s">
        <v>112</v>
      </c>
      <c r="B1469" t="s">
        <v>2465</v>
      </c>
      <c r="C1469" s="1">
        <v>30000</v>
      </c>
    </row>
    <row r="1470" spans="1:3" x14ac:dyDescent="0.2">
      <c r="A1470" t="s">
        <v>112</v>
      </c>
      <c r="B1470" t="s">
        <v>2466</v>
      </c>
      <c r="C1470" s="1">
        <v>8000</v>
      </c>
    </row>
    <row r="1471" spans="1:3" x14ac:dyDescent="0.2">
      <c r="A1471" t="s">
        <v>112</v>
      </c>
      <c r="B1471" t="s">
        <v>2467</v>
      </c>
      <c r="C1471" s="1">
        <v>40000</v>
      </c>
    </row>
    <row r="1472" spans="1:3" x14ac:dyDescent="0.2">
      <c r="A1472" t="s">
        <v>112</v>
      </c>
      <c r="B1472" t="s">
        <v>2468</v>
      </c>
      <c r="C1472" s="1">
        <v>20000</v>
      </c>
    </row>
    <row r="1473" spans="1:3" x14ac:dyDescent="0.2">
      <c r="A1473" t="s">
        <v>112</v>
      </c>
      <c r="B1473" t="s">
        <v>2469</v>
      </c>
      <c r="C1473" s="1">
        <v>20000</v>
      </c>
    </row>
    <row r="1474" spans="1:3" x14ac:dyDescent="0.2">
      <c r="A1474" t="s">
        <v>112</v>
      </c>
      <c r="B1474" t="s">
        <v>2470</v>
      </c>
      <c r="C1474" s="1">
        <v>20000</v>
      </c>
    </row>
    <row r="1475" spans="1:3" x14ac:dyDescent="0.2">
      <c r="A1475" t="s">
        <v>112</v>
      </c>
      <c r="B1475" t="s">
        <v>2471</v>
      </c>
      <c r="C1475" s="1">
        <v>12000</v>
      </c>
    </row>
    <row r="1476" spans="1:3" x14ac:dyDescent="0.2">
      <c r="A1476" t="s">
        <v>112</v>
      </c>
      <c r="B1476" t="s">
        <v>2472</v>
      </c>
      <c r="C1476" s="1">
        <v>12000</v>
      </c>
    </row>
    <row r="1477" spans="1:3" x14ac:dyDescent="0.2">
      <c r="A1477" t="s">
        <v>112</v>
      </c>
      <c r="B1477" t="s">
        <v>2473</v>
      </c>
      <c r="C1477" s="1">
        <v>40000</v>
      </c>
    </row>
    <row r="1478" spans="1:3" x14ac:dyDescent="0.2">
      <c r="A1478" t="s">
        <v>112</v>
      </c>
      <c r="B1478" t="s">
        <v>2474</v>
      </c>
      <c r="C1478" s="1">
        <v>20000</v>
      </c>
    </row>
    <row r="1479" spans="1:3" x14ac:dyDescent="0.2">
      <c r="A1479" t="s">
        <v>112</v>
      </c>
      <c r="B1479" t="s">
        <v>2475</v>
      </c>
      <c r="C1479" s="1">
        <v>20000</v>
      </c>
    </row>
    <row r="1480" spans="1:3" x14ac:dyDescent="0.2">
      <c r="A1480" t="s">
        <v>112</v>
      </c>
      <c r="B1480" t="s">
        <v>2489</v>
      </c>
      <c r="C1480" s="1">
        <v>45000</v>
      </c>
    </row>
    <row r="1481" spans="1:3" x14ac:dyDescent="0.2">
      <c r="A1481" t="s">
        <v>112</v>
      </c>
      <c r="B1481" t="s">
        <v>2491</v>
      </c>
      <c r="C1481" s="1">
        <v>81000</v>
      </c>
    </row>
    <row r="1482" spans="1:3" x14ac:dyDescent="0.2">
      <c r="A1482" t="s">
        <v>112</v>
      </c>
      <c r="B1482" t="s">
        <v>2494</v>
      </c>
      <c r="C1482" s="1">
        <v>80000</v>
      </c>
    </row>
    <row r="1483" spans="1:3" x14ac:dyDescent="0.2">
      <c r="A1483" t="s">
        <v>112</v>
      </c>
      <c r="B1483" t="s">
        <v>2495</v>
      </c>
      <c r="C1483" s="1">
        <v>20000</v>
      </c>
    </row>
    <row r="1484" spans="1:3" x14ac:dyDescent="0.2">
      <c r="A1484" t="s">
        <v>112</v>
      </c>
      <c r="B1484" t="s">
        <v>2496</v>
      </c>
      <c r="C1484" s="1">
        <v>57500</v>
      </c>
    </row>
    <row r="1485" spans="1:3" x14ac:dyDescent="0.2">
      <c r="A1485" t="s">
        <v>112</v>
      </c>
      <c r="B1485" t="s">
        <v>2497</v>
      </c>
      <c r="C1485" s="1">
        <v>20000</v>
      </c>
    </row>
    <row r="1486" spans="1:3" x14ac:dyDescent="0.2">
      <c r="A1486" t="s">
        <v>112</v>
      </c>
      <c r="B1486" t="s">
        <v>2498</v>
      </c>
      <c r="C1486" s="1">
        <v>40000</v>
      </c>
    </row>
    <row r="1487" spans="1:3" x14ac:dyDescent="0.2">
      <c r="A1487" t="s">
        <v>112</v>
      </c>
      <c r="B1487" t="s">
        <v>2499</v>
      </c>
      <c r="C1487" s="1">
        <v>20000</v>
      </c>
    </row>
    <row r="1488" spans="1:3" x14ac:dyDescent="0.2">
      <c r="A1488" t="s">
        <v>112</v>
      </c>
      <c r="B1488" t="s">
        <v>2500</v>
      </c>
      <c r="C1488" s="1">
        <v>30000</v>
      </c>
    </row>
    <row r="1489" spans="1:3" x14ac:dyDescent="0.2">
      <c r="A1489" t="s">
        <v>112</v>
      </c>
      <c r="B1489" t="s">
        <v>2501</v>
      </c>
      <c r="C1489" s="1">
        <v>50000</v>
      </c>
    </row>
    <row r="1490" spans="1:3" x14ac:dyDescent="0.2">
      <c r="A1490" t="s">
        <v>112</v>
      </c>
      <c r="B1490" t="s">
        <v>2502</v>
      </c>
      <c r="C1490" s="1">
        <v>50000</v>
      </c>
    </row>
    <row r="1491" spans="1:3" x14ac:dyDescent="0.2">
      <c r="A1491" t="s">
        <v>112</v>
      </c>
      <c r="B1491" t="s">
        <v>2503</v>
      </c>
      <c r="C1491" s="1">
        <v>21000</v>
      </c>
    </row>
    <row r="1492" spans="1:3" x14ac:dyDescent="0.2">
      <c r="A1492" t="s">
        <v>112</v>
      </c>
      <c r="B1492" t="s">
        <v>2504</v>
      </c>
      <c r="C1492" s="1">
        <v>22000</v>
      </c>
    </row>
    <row r="1493" spans="1:3" x14ac:dyDescent="0.2">
      <c r="A1493" t="s">
        <v>112</v>
      </c>
      <c r="B1493" t="s">
        <v>2510</v>
      </c>
      <c r="C1493" s="1">
        <v>45000</v>
      </c>
    </row>
    <row r="1494" spans="1:3" x14ac:dyDescent="0.2">
      <c r="A1494" t="s">
        <v>112</v>
      </c>
      <c r="B1494" t="s">
        <v>2511</v>
      </c>
      <c r="C1494" s="1">
        <v>15000</v>
      </c>
    </row>
    <row r="1495" spans="1:3" x14ac:dyDescent="0.2">
      <c r="A1495" t="s">
        <v>112</v>
      </c>
      <c r="B1495" t="s">
        <v>2512</v>
      </c>
      <c r="C1495" s="1">
        <v>60000</v>
      </c>
    </row>
    <row r="1496" spans="1:3" x14ac:dyDescent="0.2">
      <c r="A1496" t="s">
        <v>112</v>
      </c>
      <c r="B1496" t="s">
        <v>2513</v>
      </c>
      <c r="C1496" s="1">
        <v>50000</v>
      </c>
    </row>
    <row r="1497" spans="1:3" x14ac:dyDescent="0.2">
      <c r="A1497" t="s">
        <v>112</v>
      </c>
      <c r="B1497" t="s">
        <v>2514</v>
      </c>
      <c r="C1497" s="1">
        <v>12000</v>
      </c>
    </row>
    <row r="1498" spans="1:3" x14ac:dyDescent="0.2">
      <c r="A1498" t="s">
        <v>112</v>
      </c>
      <c r="B1498" t="s">
        <v>2515</v>
      </c>
      <c r="C1498" s="1">
        <v>30000</v>
      </c>
    </row>
    <row r="1499" spans="1:3" x14ac:dyDescent="0.2">
      <c r="A1499" t="s">
        <v>112</v>
      </c>
      <c r="B1499" t="s">
        <v>2521</v>
      </c>
      <c r="C1499" s="1">
        <v>14472.7</v>
      </c>
    </row>
    <row r="1500" spans="1:3" x14ac:dyDescent="0.2">
      <c r="A1500" t="s">
        <v>112</v>
      </c>
      <c r="B1500" t="s">
        <v>2522</v>
      </c>
      <c r="C1500" s="1">
        <v>70000</v>
      </c>
    </row>
    <row r="1501" spans="1:3" x14ac:dyDescent="0.2">
      <c r="A1501" t="s">
        <v>112</v>
      </c>
      <c r="B1501" t="s">
        <v>2523</v>
      </c>
      <c r="C1501" s="1">
        <v>480000</v>
      </c>
    </row>
    <row r="1502" spans="1:3" x14ac:dyDescent="0.2">
      <c r="A1502" t="s">
        <v>112</v>
      </c>
      <c r="B1502" t="s">
        <v>2526</v>
      </c>
      <c r="C1502" s="1">
        <v>71000</v>
      </c>
    </row>
    <row r="1503" spans="1:3" x14ac:dyDescent="0.2">
      <c r="A1503" t="s">
        <v>112</v>
      </c>
      <c r="B1503" t="s">
        <v>2527</v>
      </c>
      <c r="C1503" s="1">
        <v>350000</v>
      </c>
    </row>
    <row r="1504" spans="1:3" x14ac:dyDescent="0.2">
      <c r="A1504" t="s">
        <v>112</v>
      </c>
      <c r="B1504" t="s">
        <v>2528</v>
      </c>
      <c r="C1504" s="1">
        <v>8310</v>
      </c>
    </row>
    <row r="1505" spans="1:3" x14ac:dyDescent="0.2">
      <c r="A1505" t="s">
        <v>112</v>
      </c>
      <c r="B1505" t="s">
        <v>2534</v>
      </c>
      <c r="C1505" s="1">
        <v>225000</v>
      </c>
    </row>
    <row r="1506" spans="1:3" x14ac:dyDescent="0.2">
      <c r="A1506" t="s">
        <v>112</v>
      </c>
      <c r="B1506" t="s">
        <v>2537</v>
      </c>
      <c r="C1506" s="1">
        <v>100000</v>
      </c>
    </row>
    <row r="1507" spans="1:3" x14ac:dyDescent="0.2">
      <c r="A1507" t="s">
        <v>112</v>
      </c>
      <c r="B1507" t="s">
        <v>2538</v>
      </c>
      <c r="C1507" s="1">
        <v>50000</v>
      </c>
    </row>
    <row r="1508" spans="1:3" x14ac:dyDescent="0.2">
      <c r="A1508" t="s">
        <v>112</v>
      </c>
      <c r="B1508" t="s">
        <v>2542</v>
      </c>
      <c r="C1508" s="1">
        <v>27300</v>
      </c>
    </row>
    <row r="1509" spans="1:3" x14ac:dyDescent="0.2">
      <c r="A1509" t="s">
        <v>112</v>
      </c>
      <c r="B1509" t="s">
        <v>2549</v>
      </c>
      <c r="C1509" s="1">
        <v>350000</v>
      </c>
    </row>
    <row r="1510" spans="1:3" x14ac:dyDescent="0.2">
      <c r="A1510" t="s">
        <v>112</v>
      </c>
      <c r="B1510" t="s">
        <v>2550</v>
      </c>
      <c r="C1510" s="1">
        <v>35000</v>
      </c>
    </row>
    <row r="1511" spans="1:3" x14ac:dyDescent="0.2">
      <c r="A1511" t="s">
        <v>112</v>
      </c>
      <c r="B1511" t="s">
        <v>2551</v>
      </c>
      <c r="C1511" s="1">
        <v>7500</v>
      </c>
    </row>
    <row r="1512" spans="1:3" x14ac:dyDescent="0.2">
      <c r="A1512" t="s">
        <v>112</v>
      </c>
      <c r="B1512" t="s">
        <v>2553</v>
      </c>
      <c r="C1512" s="1">
        <v>450000</v>
      </c>
    </row>
    <row r="1513" spans="1:3" x14ac:dyDescent="0.2">
      <c r="A1513" t="s">
        <v>112</v>
      </c>
      <c r="B1513" t="s">
        <v>2557</v>
      </c>
      <c r="C1513" s="1">
        <v>55000</v>
      </c>
    </row>
    <row r="1514" spans="1:3" x14ac:dyDescent="0.2">
      <c r="A1514" t="s">
        <v>112</v>
      </c>
      <c r="B1514" t="s">
        <v>2576</v>
      </c>
      <c r="C1514" s="1">
        <v>50000</v>
      </c>
    </row>
    <row r="1515" spans="1:3" x14ac:dyDescent="0.2">
      <c r="A1515" t="s">
        <v>112</v>
      </c>
      <c r="B1515" t="s">
        <v>2579</v>
      </c>
      <c r="C1515" s="1">
        <v>10000</v>
      </c>
    </row>
    <row r="1516" spans="1:3" x14ac:dyDescent="0.2">
      <c r="A1516" t="s">
        <v>112</v>
      </c>
      <c r="B1516" t="s">
        <v>2580</v>
      </c>
      <c r="C1516" s="1">
        <v>4800</v>
      </c>
    </row>
    <row r="1517" spans="1:3" x14ac:dyDescent="0.2">
      <c r="A1517" t="s">
        <v>112</v>
      </c>
      <c r="B1517" t="s">
        <v>2581</v>
      </c>
      <c r="C1517" s="1">
        <v>454364</v>
      </c>
    </row>
    <row r="1518" spans="1:3" x14ac:dyDescent="0.2">
      <c r="A1518" t="s">
        <v>112</v>
      </c>
      <c r="B1518" t="s">
        <v>2584</v>
      </c>
      <c r="C1518" s="1">
        <v>35960</v>
      </c>
    </row>
    <row r="1519" spans="1:3" x14ac:dyDescent="0.2">
      <c r="A1519" t="s">
        <v>112</v>
      </c>
      <c r="B1519" t="s">
        <v>2589</v>
      </c>
      <c r="C1519" s="1">
        <v>4000</v>
      </c>
    </row>
    <row r="1520" spans="1:3" x14ac:dyDescent="0.2">
      <c r="A1520" t="s">
        <v>112</v>
      </c>
      <c r="B1520" t="s">
        <v>2596</v>
      </c>
      <c r="C1520" s="1">
        <v>20000</v>
      </c>
    </row>
    <row r="1521" spans="1:3" x14ac:dyDescent="0.2">
      <c r="A1521" t="s">
        <v>112</v>
      </c>
      <c r="B1521" t="s">
        <v>2597</v>
      </c>
      <c r="C1521" s="1">
        <v>20000</v>
      </c>
    </row>
    <row r="1522" spans="1:3" x14ac:dyDescent="0.2">
      <c r="A1522" t="s">
        <v>112</v>
      </c>
      <c r="B1522" t="s">
        <v>2598</v>
      </c>
      <c r="C1522" s="1">
        <v>20000</v>
      </c>
    </row>
    <row r="1523" spans="1:3" x14ac:dyDescent="0.2">
      <c r="A1523" t="s">
        <v>112</v>
      </c>
      <c r="B1523" t="s">
        <v>2599</v>
      </c>
      <c r="C1523" s="1">
        <v>20000</v>
      </c>
    </row>
    <row r="1524" spans="1:3" x14ac:dyDescent="0.2">
      <c r="A1524" t="s">
        <v>112</v>
      </c>
      <c r="B1524" t="s">
        <v>2600</v>
      </c>
      <c r="C1524" s="1">
        <v>20000</v>
      </c>
    </row>
    <row r="1525" spans="1:3" x14ac:dyDescent="0.2">
      <c r="A1525" t="s">
        <v>112</v>
      </c>
      <c r="B1525" t="s">
        <v>2602</v>
      </c>
      <c r="C1525" s="1">
        <v>20000</v>
      </c>
    </row>
    <row r="1526" spans="1:3" x14ac:dyDescent="0.2">
      <c r="A1526" t="s">
        <v>112</v>
      </c>
      <c r="B1526" t="s">
        <v>2603</v>
      </c>
      <c r="C1526" s="1">
        <v>20000</v>
      </c>
    </row>
    <row r="1527" spans="1:3" x14ac:dyDescent="0.2">
      <c r="A1527" t="s">
        <v>112</v>
      </c>
      <c r="B1527" t="s">
        <v>2604</v>
      </c>
      <c r="C1527" s="1">
        <v>20000</v>
      </c>
    </row>
    <row r="1528" spans="1:3" x14ac:dyDescent="0.2">
      <c r="A1528" t="s">
        <v>112</v>
      </c>
      <c r="B1528" t="s">
        <v>2606</v>
      </c>
      <c r="C1528" s="1">
        <v>6000</v>
      </c>
    </row>
    <row r="1529" spans="1:3" x14ac:dyDescent="0.2">
      <c r="A1529" t="s">
        <v>112</v>
      </c>
      <c r="B1529" t="s">
        <v>2607</v>
      </c>
      <c r="C1529" s="1">
        <v>6000</v>
      </c>
    </row>
    <row r="1530" spans="1:3" x14ac:dyDescent="0.2">
      <c r="A1530" t="s">
        <v>112</v>
      </c>
      <c r="B1530" t="s">
        <v>2608</v>
      </c>
      <c r="C1530" s="1">
        <v>6000</v>
      </c>
    </row>
    <row r="1531" spans="1:3" x14ac:dyDescent="0.2">
      <c r="A1531" t="s">
        <v>112</v>
      </c>
      <c r="B1531" t="s">
        <v>2609</v>
      </c>
      <c r="C1531" s="1">
        <v>6000</v>
      </c>
    </row>
    <row r="1532" spans="1:3" x14ac:dyDescent="0.2">
      <c r="A1532" t="s">
        <v>112</v>
      </c>
      <c r="B1532" t="s">
        <v>2610</v>
      </c>
      <c r="C1532" s="1">
        <v>6000</v>
      </c>
    </row>
    <row r="1533" spans="1:3" x14ac:dyDescent="0.2">
      <c r="A1533" t="s">
        <v>112</v>
      </c>
      <c r="B1533" t="s">
        <v>2611</v>
      </c>
      <c r="C1533" s="1">
        <v>6000</v>
      </c>
    </row>
    <row r="1534" spans="1:3" x14ac:dyDescent="0.2">
      <c r="A1534" t="s">
        <v>112</v>
      </c>
      <c r="B1534" t="s">
        <v>2612</v>
      </c>
      <c r="C1534" s="1">
        <v>6000</v>
      </c>
    </row>
    <row r="1535" spans="1:3" x14ac:dyDescent="0.2">
      <c r="A1535" t="s">
        <v>112</v>
      </c>
      <c r="B1535" t="s">
        <v>2613</v>
      </c>
      <c r="C1535" s="1">
        <v>6000</v>
      </c>
    </row>
    <row r="1536" spans="1:3" x14ac:dyDescent="0.2">
      <c r="A1536" t="s">
        <v>112</v>
      </c>
      <c r="B1536" t="s">
        <v>2614</v>
      </c>
      <c r="C1536" s="1">
        <v>6000</v>
      </c>
    </row>
    <row r="1537" spans="1:3" x14ac:dyDescent="0.2">
      <c r="A1537" t="s">
        <v>112</v>
      </c>
      <c r="B1537" t="s">
        <v>2617</v>
      </c>
      <c r="C1537" s="1">
        <v>6000</v>
      </c>
    </row>
    <row r="1538" spans="1:3" x14ac:dyDescent="0.2">
      <c r="A1538" t="s">
        <v>112</v>
      </c>
      <c r="B1538" t="s">
        <v>2618</v>
      </c>
      <c r="C1538" s="1">
        <v>4700</v>
      </c>
    </row>
    <row r="1539" spans="1:3" x14ac:dyDescent="0.2">
      <c r="A1539" t="s">
        <v>112</v>
      </c>
      <c r="B1539" t="s">
        <v>2619</v>
      </c>
      <c r="C1539" s="1">
        <v>6000</v>
      </c>
    </row>
    <row r="1540" spans="1:3" x14ac:dyDescent="0.2">
      <c r="A1540" t="s">
        <v>112</v>
      </c>
      <c r="B1540" t="s">
        <v>2620</v>
      </c>
      <c r="C1540" s="1">
        <v>6000</v>
      </c>
    </row>
    <row r="1541" spans="1:3" x14ac:dyDescent="0.2">
      <c r="A1541" t="s">
        <v>112</v>
      </c>
      <c r="B1541" t="s">
        <v>2621</v>
      </c>
      <c r="C1541" s="1">
        <v>6000</v>
      </c>
    </row>
    <row r="1542" spans="1:3" x14ac:dyDescent="0.2">
      <c r="A1542" t="s">
        <v>112</v>
      </c>
      <c r="B1542" t="s">
        <v>2622</v>
      </c>
      <c r="C1542" s="1">
        <v>5050</v>
      </c>
    </row>
    <row r="1543" spans="1:3" x14ac:dyDescent="0.2">
      <c r="A1543" t="s">
        <v>112</v>
      </c>
      <c r="B1543" t="s">
        <v>2623</v>
      </c>
      <c r="C1543" s="1">
        <v>6000</v>
      </c>
    </row>
    <row r="1544" spans="1:3" x14ac:dyDescent="0.2">
      <c r="A1544" t="s">
        <v>112</v>
      </c>
      <c r="B1544" t="s">
        <v>2624</v>
      </c>
      <c r="C1544" s="1">
        <v>6000</v>
      </c>
    </row>
    <row r="1545" spans="1:3" x14ac:dyDescent="0.2">
      <c r="A1545" t="s">
        <v>112</v>
      </c>
      <c r="B1545" t="s">
        <v>2625</v>
      </c>
      <c r="C1545" s="1">
        <v>6000</v>
      </c>
    </row>
    <row r="1546" spans="1:3" x14ac:dyDescent="0.2">
      <c r="A1546" t="s">
        <v>112</v>
      </c>
      <c r="B1546" t="s">
        <v>2626</v>
      </c>
      <c r="C1546" s="1">
        <v>3000</v>
      </c>
    </row>
    <row r="1547" spans="1:3" x14ac:dyDescent="0.2">
      <c r="A1547" t="s">
        <v>112</v>
      </c>
      <c r="B1547" t="s">
        <v>2627</v>
      </c>
      <c r="C1547" s="1">
        <v>6000</v>
      </c>
    </row>
    <row r="1548" spans="1:3" x14ac:dyDescent="0.2">
      <c r="A1548" t="s">
        <v>112</v>
      </c>
      <c r="B1548" t="s">
        <v>2628</v>
      </c>
      <c r="C1548" s="1">
        <v>2500</v>
      </c>
    </row>
    <row r="1549" spans="1:3" x14ac:dyDescent="0.2">
      <c r="A1549" t="s">
        <v>112</v>
      </c>
      <c r="B1549" t="s">
        <v>2629</v>
      </c>
      <c r="C1549" s="1">
        <v>10000</v>
      </c>
    </row>
    <row r="1550" spans="1:3" x14ac:dyDescent="0.2">
      <c r="A1550" t="s">
        <v>112</v>
      </c>
      <c r="B1550" t="s">
        <v>2630</v>
      </c>
      <c r="C1550" s="1">
        <v>6000</v>
      </c>
    </row>
    <row r="1551" spans="1:3" x14ac:dyDescent="0.2">
      <c r="A1551" t="s">
        <v>112</v>
      </c>
      <c r="B1551" t="s">
        <v>2631</v>
      </c>
      <c r="C1551" s="1">
        <v>6000</v>
      </c>
    </row>
    <row r="1552" spans="1:3" x14ac:dyDescent="0.2">
      <c r="A1552" t="s">
        <v>112</v>
      </c>
      <c r="B1552" t="s">
        <v>2632</v>
      </c>
      <c r="C1552" s="1">
        <v>5000</v>
      </c>
    </row>
    <row r="1553" spans="1:3" x14ac:dyDescent="0.2">
      <c r="A1553" t="s">
        <v>112</v>
      </c>
      <c r="B1553" t="s">
        <v>2633</v>
      </c>
      <c r="C1553" s="1">
        <v>5000</v>
      </c>
    </row>
    <row r="1554" spans="1:3" x14ac:dyDescent="0.2">
      <c r="A1554" t="s">
        <v>112</v>
      </c>
      <c r="B1554" t="s">
        <v>2638</v>
      </c>
      <c r="C1554" s="1">
        <v>10000</v>
      </c>
    </row>
    <row r="1555" spans="1:3" x14ac:dyDescent="0.2">
      <c r="A1555" t="s">
        <v>112</v>
      </c>
      <c r="B1555" t="s">
        <v>2642</v>
      </c>
      <c r="C1555" s="1">
        <v>40000</v>
      </c>
    </row>
    <row r="1556" spans="1:3" x14ac:dyDescent="0.2">
      <c r="A1556" t="s">
        <v>112</v>
      </c>
      <c r="B1556" t="s">
        <v>2643</v>
      </c>
      <c r="C1556" s="1">
        <v>22250</v>
      </c>
    </row>
    <row r="1557" spans="1:3" x14ac:dyDescent="0.2">
      <c r="A1557" t="s">
        <v>112</v>
      </c>
      <c r="B1557" t="s">
        <v>2644</v>
      </c>
      <c r="C1557" s="1">
        <v>45000</v>
      </c>
    </row>
    <row r="1558" spans="1:3" x14ac:dyDescent="0.2">
      <c r="A1558" t="s">
        <v>112</v>
      </c>
      <c r="B1558" t="s">
        <v>2650</v>
      </c>
      <c r="C1558" s="1">
        <v>6000</v>
      </c>
    </row>
    <row r="1559" spans="1:3" x14ac:dyDescent="0.2">
      <c r="A1559" t="s">
        <v>112</v>
      </c>
      <c r="B1559" t="s">
        <v>2655</v>
      </c>
      <c r="C1559" s="1">
        <v>1000</v>
      </c>
    </row>
    <row r="1560" spans="1:3" x14ac:dyDescent="0.2">
      <c r="A1560" t="s">
        <v>112</v>
      </c>
      <c r="B1560" t="s">
        <v>2658</v>
      </c>
      <c r="C1560" s="1">
        <v>6000</v>
      </c>
    </row>
    <row r="1561" spans="1:3" x14ac:dyDescent="0.2">
      <c r="A1561" t="s">
        <v>112</v>
      </c>
      <c r="B1561" t="s">
        <v>2659</v>
      </c>
      <c r="C1561" s="1">
        <v>5250</v>
      </c>
    </row>
    <row r="1562" spans="1:3" x14ac:dyDescent="0.2">
      <c r="A1562" t="s">
        <v>112</v>
      </c>
      <c r="B1562" t="s">
        <v>2660</v>
      </c>
      <c r="C1562" s="1">
        <v>4000</v>
      </c>
    </row>
    <row r="1563" spans="1:3" x14ac:dyDescent="0.2">
      <c r="A1563" t="s">
        <v>112</v>
      </c>
      <c r="B1563" t="s">
        <v>2661</v>
      </c>
      <c r="C1563" s="1">
        <v>3750</v>
      </c>
    </row>
    <row r="1564" spans="1:3" x14ac:dyDescent="0.2">
      <c r="A1564" t="s">
        <v>112</v>
      </c>
      <c r="B1564" t="s">
        <v>2662</v>
      </c>
      <c r="C1564" s="1">
        <v>6000</v>
      </c>
    </row>
    <row r="1565" spans="1:3" x14ac:dyDescent="0.2">
      <c r="A1565" t="s">
        <v>112</v>
      </c>
      <c r="B1565" t="s">
        <v>2663</v>
      </c>
      <c r="C1565" s="1">
        <v>3500</v>
      </c>
    </row>
    <row r="1566" spans="1:3" x14ac:dyDescent="0.2">
      <c r="A1566" t="s">
        <v>112</v>
      </c>
      <c r="B1566" t="s">
        <v>2664</v>
      </c>
      <c r="C1566" s="1">
        <v>1500</v>
      </c>
    </row>
    <row r="1567" spans="1:3" x14ac:dyDescent="0.2">
      <c r="A1567" t="s">
        <v>112</v>
      </c>
      <c r="B1567" t="s">
        <v>2665</v>
      </c>
      <c r="C1567" s="1">
        <v>6000</v>
      </c>
    </row>
    <row r="1568" spans="1:3" x14ac:dyDescent="0.2">
      <c r="A1568" t="s">
        <v>112</v>
      </c>
      <c r="B1568" t="s">
        <v>2666</v>
      </c>
      <c r="C1568" s="1">
        <v>6000</v>
      </c>
    </row>
    <row r="1569" spans="1:3" x14ac:dyDescent="0.2">
      <c r="A1569" t="s">
        <v>112</v>
      </c>
      <c r="B1569" t="s">
        <v>2667</v>
      </c>
      <c r="C1569" s="1">
        <v>6000</v>
      </c>
    </row>
    <row r="1570" spans="1:3" x14ac:dyDescent="0.2">
      <c r="A1570" t="s">
        <v>112</v>
      </c>
      <c r="B1570" t="s">
        <v>2668</v>
      </c>
      <c r="C1570" s="1">
        <v>6000</v>
      </c>
    </row>
    <row r="1571" spans="1:3" x14ac:dyDescent="0.2">
      <c r="A1571" t="s">
        <v>112</v>
      </c>
      <c r="B1571" t="s">
        <v>2669</v>
      </c>
      <c r="C1571" s="1">
        <v>6000</v>
      </c>
    </row>
    <row r="1572" spans="1:3" x14ac:dyDescent="0.2">
      <c r="A1572" t="s">
        <v>112</v>
      </c>
      <c r="B1572" t="s">
        <v>2670</v>
      </c>
      <c r="C1572" s="1">
        <v>6000</v>
      </c>
    </row>
    <row r="1573" spans="1:3" x14ac:dyDescent="0.2">
      <c r="A1573" t="s">
        <v>112</v>
      </c>
      <c r="B1573" t="s">
        <v>2671</v>
      </c>
      <c r="C1573" s="1">
        <v>6000</v>
      </c>
    </row>
    <row r="1574" spans="1:3" x14ac:dyDescent="0.2">
      <c r="A1574" t="s">
        <v>112</v>
      </c>
      <c r="B1574" t="s">
        <v>2672</v>
      </c>
      <c r="C1574" s="1">
        <v>3500</v>
      </c>
    </row>
    <row r="1575" spans="1:3" x14ac:dyDescent="0.2">
      <c r="A1575" t="s">
        <v>112</v>
      </c>
      <c r="B1575" t="s">
        <v>2673</v>
      </c>
      <c r="C1575" s="1">
        <v>1000</v>
      </c>
    </row>
    <row r="1576" spans="1:3" x14ac:dyDescent="0.2">
      <c r="A1576" t="s">
        <v>112</v>
      </c>
      <c r="B1576" t="s">
        <v>2674</v>
      </c>
      <c r="C1576" s="1">
        <v>5000</v>
      </c>
    </row>
    <row r="1577" spans="1:3" x14ac:dyDescent="0.2">
      <c r="A1577" t="s">
        <v>112</v>
      </c>
      <c r="B1577" t="s">
        <v>2675</v>
      </c>
      <c r="C1577" s="1">
        <v>6000</v>
      </c>
    </row>
    <row r="1578" spans="1:3" x14ac:dyDescent="0.2">
      <c r="A1578" t="s">
        <v>112</v>
      </c>
      <c r="B1578" t="s">
        <v>2676</v>
      </c>
      <c r="C1578" s="1">
        <v>6000</v>
      </c>
    </row>
    <row r="1579" spans="1:3" x14ac:dyDescent="0.2">
      <c r="A1579" t="s">
        <v>112</v>
      </c>
      <c r="B1579" t="s">
        <v>2677</v>
      </c>
      <c r="C1579" s="1">
        <v>3250</v>
      </c>
    </row>
    <row r="1580" spans="1:3" x14ac:dyDescent="0.2">
      <c r="A1580" t="s">
        <v>112</v>
      </c>
      <c r="B1580" t="s">
        <v>2678</v>
      </c>
      <c r="C1580" s="1">
        <v>6000</v>
      </c>
    </row>
    <row r="1581" spans="1:3" x14ac:dyDescent="0.2">
      <c r="A1581" t="s">
        <v>112</v>
      </c>
      <c r="B1581" t="s">
        <v>2679</v>
      </c>
      <c r="C1581" s="1">
        <v>3500</v>
      </c>
    </row>
    <row r="1582" spans="1:3" x14ac:dyDescent="0.2">
      <c r="A1582" t="s">
        <v>112</v>
      </c>
      <c r="B1582" t="s">
        <v>2681</v>
      </c>
      <c r="C1582" s="1">
        <v>6000</v>
      </c>
    </row>
    <row r="1583" spans="1:3" x14ac:dyDescent="0.2">
      <c r="A1583" t="s">
        <v>112</v>
      </c>
      <c r="B1583" t="s">
        <v>2682</v>
      </c>
      <c r="C1583" s="1">
        <v>6000</v>
      </c>
    </row>
    <row r="1584" spans="1:3" x14ac:dyDescent="0.2">
      <c r="A1584" t="s">
        <v>112</v>
      </c>
      <c r="B1584" t="s">
        <v>2683</v>
      </c>
      <c r="C1584" s="1">
        <v>6000</v>
      </c>
    </row>
    <row r="1585" spans="1:3" x14ac:dyDescent="0.2">
      <c r="A1585" t="s">
        <v>112</v>
      </c>
      <c r="B1585" t="s">
        <v>2684</v>
      </c>
      <c r="C1585" s="1">
        <v>4000</v>
      </c>
    </row>
    <row r="1586" spans="1:3" x14ac:dyDescent="0.2">
      <c r="A1586" t="s">
        <v>112</v>
      </c>
      <c r="B1586" t="s">
        <v>2685</v>
      </c>
      <c r="C1586" s="1">
        <v>6000</v>
      </c>
    </row>
    <row r="1587" spans="1:3" x14ac:dyDescent="0.2">
      <c r="A1587" t="s">
        <v>112</v>
      </c>
      <c r="B1587" t="s">
        <v>2691</v>
      </c>
      <c r="C1587" s="1">
        <v>6000</v>
      </c>
    </row>
    <row r="1588" spans="1:3" x14ac:dyDescent="0.2">
      <c r="A1588" t="s">
        <v>112</v>
      </c>
      <c r="B1588" t="s">
        <v>2692</v>
      </c>
      <c r="C1588" s="1">
        <v>6000</v>
      </c>
    </row>
    <row r="1589" spans="1:3" x14ac:dyDescent="0.2">
      <c r="A1589" t="s">
        <v>112</v>
      </c>
      <c r="B1589" t="s">
        <v>2693</v>
      </c>
      <c r="C1589" s="1">
        <v>6000</v>
      </c>
    </row>
    <row r="1590" spans="1:3" x14ac:dyDescent="0.2">
      <c r="A1590" t="s">
        <v>112</v>
      </c>
      <c r="B1590" t="s">
        <v>2694</v>
      </c>
      <c r="C1590" s="1">
        <v>6000</v>
      </c>
    </row>
    <row r="1591" spans="1:3" x14ac:dyDescent="0.2">
      <c r="A1591" t="s">
        <v>112</v>
      </c>
      <c r="B1591" t="s">
        <v>2695</v>
      </c>
      <c r="C1591" s="1">
        <v>4800</v>
      </c>
    </row>
    <row r="1592" spans="1:3" x14ac:dyDescent="0.2">
      <c r="A1592" t="s">
        <v>112</v>
      </c>
      <c r="B1592" t="s">
        <v>2696</v>
      </c>
      <c r="C1592" s="1">
        <v>6000</v>
      </c>
    </row>
    <row r="1593" spans="1:3" x14ac:dyDescent="0.2">
      <c r="A1593" t="s">
        <v>112</v>
      </c>
      <c r="B1593" t="s">
        <v>2697</v>
      </c>
      <c r="C1593" s="1">
        <v>6000</v>
      </c>
    </row>
    <row r="1594" spans="1:3" x14ac:dyDescent="0.2">
      <c r="A1594" t="s">
        <v>112</v>
      </c>
      <c r="B1594" t="s">
        <v>2698</v>
      </c>
      <c r="C1594" s="1">
        <v>6000</v>
      </c>
    </row>
    <row r="1595" spans="1:3" x14ac:dyDescent="0.2">
      <c r="A1595" t="s">
        <v>112</v>
      </c>
      <c r="B1595" t="s">
        <v>2699</v>
      </c>
      <c r="C1595" s="1">
        <v>6000</v>
      </c>
    </row>
    <row r="1596" spans="1:3" x14ac:dyDescent="0.2">
      <c r="A1596" t="s">
        <v>112</v>
      </c>
      <c r="B1596" t="s">
        <v>2700</v>
      </c>
      <c r="C1596" s="1">
        <v>6000</v>
      </c>
    </row>
    <row r="1597" spans="1:3" x14ac:dyDescent="0.2">
      <c r="A1597" t="s">
        <v>112</v>
      </c>
      <c r="B1597" t="s">
        <v>2701</v>
      </c>
      <c r="C1597" s="1">
        <v>6000</v>
      </c>
    </row>
    <row r="1598" spans="1:3" x14ac:dyDescent="0.2">
      <c r="A1598" t="s">
        <v>112</v>
      </c>
      <c r="B1598" t="s">
        <v>2702</v>
      </c>
      <c r="C1598" s="1">
        <v>6000</v>
      </c>
    </row>
    <row r="1599" spans="1:3" x14ac:dyDescent="0.2">
      <c r="A1599" t="s">
        <v>112</v>
      </c>
      <c r="B1599" t="s">
        <v>2703</v>
      </c>
      <c r="C1599" s="1">
        <v>6000</v>
      </c>
    </row>
    <row r="1600" spans="1:3" x14ac:dyDescent="0.2">
      <c r="A1600" t="s">
        <v>112</v>
      </c>
      <c r="B1600" t="s">
        <v>2704</v>
      </c>
      <c r="C1600" s="1">
        <v>6000</v>
      </c>
    </row>
    <row r="1601" spans="1:3" x14ac:dyDescent="0.2">
      <c r="A1601" t="s">
        <v>112</v>
      </c>
      <c r="B1601" t="s">
        <v>2705</v>
      </c>
      <c r="C1601" s="1">
        <v>4500</v>
      </c>
    </row>
    <row r="1602" spans="1:3" x14ac:dyDescent="0.2">
      <c r="A1602" t="s">
        <v>112</v>
      </c>
      <c r="B1602" t="s">
        <v>2706</v>
      </c>
      <c r="C1602" s="1">
        <v>6000</v>
      </c>
    </row>
    <row r="1603" spans="1:3" x14ac:dyDescent="0.2">
      <c r="A1603" t="s">
        <v>112</v>
      </c>
      <c r="B1603" t="s">
        <v>2707</v>
      </c>
      <c r="C1603" s="1">
        <v>6000</v>
      </c>
    </row>
    <row r="1604" spans="1:3" x14ac:dyDescent="0.2">
      <c r="A1604" t="s">
        <v>112</v>
      </c>
      <c r="B1604" t="s">
        <v>2708</v>
      </c>
      <c r="C1604" s="1">
        <v>6000</v>
      </c>
    </row>
    <row r="1605" spans="1:3" x14ac:dyDescent="0.2">
      <c r="A1605" t="s">
        <v>112</v>
      </c>
      <c r="B1605" t="s">
        <v>2709</v>
      </c>
      <c r="C1605" s="1">
        <v>2750</v>
      </c>
    </row>
    <row r="1606" spans="1:3" x14ac:dyDescent="0.2">
      <c r="A1606" t="s">
        <v>112</v>
      </c>
      <c r="B1606" t="s">
        <v>2710</v>
      </c>
      <c r="C1606" s="1">
        <v>6000</v>
      </c>
    </row>
    <row r="1607" spans="1:3" x14ac:dyDescent="0.2">
      <c r="A1607" t="s">
        <v>112</v>
      </c>
      <c r="B1607" t="s">
        <v>2711</v>
      </c>
      <c r="C1607" s="1">
        <v>6000</v>
      </c>
    </row>
    <row r="1608" spans="1:3" x14ac:dyDescent="0.2">
      <c r="A1608" t="s">
        <v>112</v>
      </c>
      <c r="B1608" t="s">
        <v>2712</v>
      </c>
      <c r="C1608" s="1">
        <v>6000</v>
      </c>
    </row>
    <row r="1609" spans="1:3" x14ac:dyDescent="0.2">
      <c r="A1609" t="s">
        <v>112</v>
      </c>
      <c r="B1609" t="s">
        <v>2713</v>
      </c>
      <c r="C1609" s="1">
        <v>1650</v>
      </c>
    </row>
    <row r="1610" spans="1:3" x14ac:dyDescent="0.2">
      <c r="A1610" t="s">
        <v>112</v>
      </c>
      <c r="B1610" t="s">
        <v>2714</v>
      </c>
      <c r="C1610" s="1">
        <v>5000</v>
      </c>
    </row>
    <row r="1611" spans="1:3" x14ac:dyDescent="0.2">
      <c r="A1611" t="s">
        <v>112</v>
      </c>
      <c r="B1611" t="s">
        <v>2715</v>
      </c>
      <c r="C1611" s="1">
        <v>6000</v>
      </c>
    </row>
    <row r="1612" spans="1:3" x14ac:dyDescent="0.2">
      <c r="A1612" t="s">
        <v>112</v>
      </c>
      <c r="B1612" t="s">
        <v>2716</v>
      </c>
      <c r="C1612" s="1">
        <v>6000</v>
      </c>
    </row>
    <row r="1613" spans="1:3" x14ac:dyDescent="0.2">
      <c r="A1613" t="s">
        <v>112</v>
      </c>
      <c r="B1613" t="s">
        <v>2717</v>
      </c>
      <c r="C1613" s="1">
        <v>6000</v>
      </c>
    </row>
    <row r="1614" spans="1:3" x14ac:dyDescent="0.2">
      <c r="A1614" t="s">
        <v>112</v>
      </c>
      <c r="B1614" t="s">
        <v>2718</v>
      </c>
      <c r="C1614" s="1">
        <v>4725</v>
      </c>
    </row>
    <row r="1615" spans="1:3" x14ac:dyDescent="0.2">
      <c r="A1615" t="s">
        <v>112</v>
      </c>
      <c r="B1615" t="s">
        <v>2719</v>
      </c>
      <c r="C1615" s="1">
        <v>6000</v>
      </c>
    </row>
    <row r="1616" spans="1:3" x14ac:dyDescent="0.2">
      <c r="A1616" t="s">
        <v>112</v>
      </c>
      <c r="B1616" t="s">
        <v>2720</v>
      </c>
      <c r="C1616" s="1">
        <v>6000</v>
      </c>
    </row>
    <row r="1617" spans="1:3" x14ac:dyDescent="0.2">
      <c r="A1617" t="s">
        <v>112</v>
      </c>
      <c r="B1617" t="s">
        <v>2721</v>
      </c>
      <c r="C1617" s="1">
        <v>6000</v>
      </c>
    </row>
    <row r="1618" spans="1:3" x14ac:dyDescent="0.2">
      <c r="A1618" t="s">
        <v>112</v>
      </c>
      <c r="B1618" t="s">
        <v>2722</v>
      </c>
      <c r="C1618" s="1">
        <v>5500</v>
      </c>
    </row>
    <row r="1619" spans="1:3" x14ac:dyDescent="0.2">
      <c r="A1619" t="s">
        <v>112</v>
      </c>
      <c r="B1619" t="s">
        <v>2723</v>
      </c>
      <c r="C1619" s="1">
        <v>6000</v>
      </c>
    </row>
    <row r="1620" spans="1:3" x14ac:dyDescent="0.2">
      <c r="A1620" t="s">
        <v>112</v>
      </c>
      <c r="B1620" t="s">
        <v>2725</v>
      </c>
      <c r="C1620" s="1">
        <v>6000</v>
      </c>
    </row>
    <row r="1621" spans="1:3" x14ac:dyDescent="0.2">
      <c r="A1621" t="s">
        <v>112</v>
      </c>
      <c r="B1621" t="s">
        <v>2726</v>
      </c>
      <c r="C1621" s="1">
        <v>25000</v>
      </c>
    </row>
    <row r="1622" spans="1:3" x14ac:dyDescent="0.2">
      <c r="A1622" t="s">
        <v>112</v>
      </c>
      <c r="B1622" t="s">
        <v>2727</v>
      </c>
      <c r="C1622" s="1">
        <v>6000</v>
      </c>
    </row>
    <row r="1623" spans="1:3" x14ac:dyDescent="0.2">
      <c r="A1623" t="s">
        <v>112</v>
      </c>
      <c r="B1623" t="s">
        <v>2728</v>
      </c>
      <c r="C1623" s="1">
        <v>6000</v>
      </c>
    </row>
    <row r="1624" spans="1:3" x14ac:dyDescent="0.2">
      <c r="A1624" t="s">
        <v>112</v>
      </c>
      <c r="B1624" t="s">
        <v>2729</v>
      </c>
      <c r="C1624" s="1">
        <v>6000</v>
      </c>
    </row>
    <row r="1625" spans="1:3" x14ac:dyDescent="0.2">
      <c r="A1625" t="s">
        <v>112</v>
      </c>
      <c r="B1625" t="s">
        <v>2730</v>
      </c>
      <c r="C1625" s="1">
        <v>6000</v>
      </c>
    </row>
    <row r="1626" spans="1:3" x14ac:dyDescent="0.2">
      <c r="A1626" t="s">
        <v>112</v>
      </c>
      <c r="B1626" t="s">
        <v>2731</v>
      </c>
      <c r="C1626" s="1">
        <v>6000</v>
      </c>
    </row>
    <row r="1627" spans="1:3" x14ac:dyDescent="0.2">
      <c r="A1627" t="s">
        <v>112</v>
      </c>
      <c r="B1627" t="s">
        <v>2732</v>
      </c>
      <c r="C1627" s="1">
        <v>6000</v>
      </c>
    </row>
    <row r="1628" spans="1:3" x14ac:dyDescent="0.2">
      <c r="A1628" t="s">
        <v>112</v>
      </c>
      <c r="B1628" t="s">
        <v>2733</v>
      </c>
      <c r="C1628" s="1">
        <v>6000</v>
      </c>
    </row>
    <row r="1629" spans="1:3" x14ac:dyDescent="0.2">
      <c r="A1629" t="s">
        <v>112</v>
      </c>
      <c r="B1629" t="s">
        <v>2734</v>
      </c>
      <c r="C1629" s="1">
        <v>6000</v>
      </c>
    </row>
    <row r="1630" spans="1:3" x14ac:dyDescent="0.2">
      <c r="A1630" t="s">
        <v>112</v>
      </c>
      <c r="B1630" t="s">
        <v>2735</v>
      </c>
      <c r="C1630" s="1">
        <v>6000</v>
      </c>
    </row>
    <row r="1631" spans="1:3" x14ac:dyDescent="0.2">
      <c r="A1631" t="s">
        <v>112</v>
      </c>
      <c r="B1631" t="s">
        <v>2736</v>
      </c>
      <c r="C1631" s="1">
        <v>6000</v>
      </c>
    </row>
    <row r="1632" spans="1:3" x14ac:dyDescent="0.2">
      <c r="A1632" t="s">
        <v>112</v>
      </c>
      <c r="B1632" t="s">
        <v>2737</v>
      </c>
      <c r="C1632" s="1">
        <v>6000</v>
      </c>
    </row>
    <row r="1633" spans="1:3" x14ac:dyDescent="0.2">
      <c r="A1633" t="s">
        <v>112</v>
      </c>
      <c r="B1633" t="s">
        <v>2738</v>
      </c>
      <c r="C1633" s="1">
        <v>6000</v>
      </c>
    </row>
    <row r="1634" spans="1:3" x14ac:dyDescent="0.2">
      <c r="A1634" t="s">
        <v>112</v>
      </c>
      <c r="B1634" t="s">
        <v>2739</v>
      </c>
      <c r="C1634" s="1">
        <v>6000</v>
      </c>
    </row>
    <row r="1635" spans="1:3" x14ac:dyDescent="0.2">
      <c r="A1635" t="s">
        <v>112</v>
      </c>
      <c r="B1635" t="s">
        <v>2740</v>
      </c>
      <c r="C1635" s="1">
        <v>6000</v>
      </c>
    </row>
    <row r="1636" spans="1:3" x14ac:dyDescent="0.2">
      <c r="A1636" t="s">
        <v>112</v>
      </c>
      <c r="B1636" t="s">
        <v>2741</v>
      </c>
      <c r="C1636" s="1">
        <v>6000</v>
      </c>
    </row>
    <row r="1637" spans="1:3" x14ac:dyDescent="0.2">
      <c r="A1637" t="s">
        <v>112</v>
      </c>
      <c r="B1637" t="s">
        <v>2742</v>
      </c>
      <c r="C1637" s="1">
        <v>6000</v>
      </c>
    </row>
    <row r="1638" spans="1:3" x14ac:dyDescent="0.2">
      <c r="A1638" t="s">
        <v>112</v>
      </c>
      <c r="B1638" t="s">
        <v>2743</v>
      </c>
      <c r="C1638" s="1">
        <v>6000</v>
      </c>
    </row>
    <row r="1639" spans="1:3" x14ac:dyDescent="0.2">
      <c r="A1639" t="s">
        <v>112</v>
      </c>
      <c r="B1639" t="s">
        <v>2744</v>
      </c>
      <c r="C1639" s="1">
        <v>3500</v>
      </c>
    </row>
    <row r="1640" spans="1:3" x14ac:dyDescent="0.2">
      <c r="A1640" t="s">
        <v>112</v>
      </c>
      <c r="B1640" t="s">
        <v>2745</v>
      </c>
      <c r="C1640" s="1">
        <v>6000</v>
      </c>
    </row>
    <row r="1641" spans="1:3" x14ac:dyDescent="0.2">
      <c r="A1641" t="s">
        <v>112</v>
      </c>
      <c r="B1641" t="s">
        <v>2746</v>
      </c>
      <c r="C1641" s="1">
        <v>6000</v>
      </c>
    </row>
    <row r="1642" spans="1:3" x14ac:dyDescent="0.2">
      <c r="A1642" t="s">
        <v>112</v>
      </c>
      <c r="B1642" t="s">
        <v>2747</v>
      </c>
      <c r="C1642" s="1">
        <v>6000</v>
      </c>
    </row>
    <row r="1643" spans="1:3" x14ac:dyDescent="0.2">
      <c r="A1643" t="s">
        <v>112</v>
      </c>
      <c r="B1643" t="s">
        <v>2748</v>
      </c>
      <c r="C1643" s="1">
        <v>6000</v>
      </c>
    </row>
    <row r="1644" spans="1:3" x14ac:dyDescent="0.2">
      <c r="A1644" t="s">
        <v>112</v>
      </c>
      <c r="B1644" t="s">
        <v>2749</v>
      </c>
      <c r="C1644" s="1">
        <v>2000</v>
      </c>
    </row>
    <row r="1645" spans="1:3" x14ac:dyDescent="0.2">
      <c r="A1645" t="s">
        <v>112</v>
      </c>
      <c r="B1645" t="s">
        <v>2750</v>
      </c>
      <c r="C1645" s="1">
        <v>6000</v>
      </c>
    </row>
    <row r="1646" spans="1:3" x14ac:dyDescent="0.2">
      <c r="A1646" t="s">
        <v>112</v>
      </c>
      <c r="B1646" t="s">
        <v>2751</v>
      </c>
      <c r="C1646" s="1">
        <v>5000</v>
      </c>
    </row>
    <row r="1647" spans="1:3" x14ac:dyDescent="0.2">
      <c r="A1647" t="s">
        <v>112</v>
      </c>
      <c r="B1647" t="s">
        <v>2752</v>
      </c>
      <c r="C1647" s="1">
        <v>5000</v>
      </c>
    </row>
    <row r="1648" spans="1:3" x14ac:dyDescent="0.2">
      <c r="A1648" t="s">
        <v>112</v>
      </c>
      <c r="B1648" t="s">
        <v>2753</v>
      </c>
      <c r="C1648" s="1">
        <v>6000</v>
      </c>
    </row>
    <row r="1649" spans="1:3" x14ac:dyDescent="0.2">
      <c r="A1649" t="s">
        <v>112</v>
      </c>
      <c r="B1649" t="s">
        <v>2754</v>
      </c>
      <c r="C1649" s="1">
        <v>6000</v>
      </c>
    </row>
    <row r="1650" spans="1:3" x14ac:dyDescent="0.2">
      <c r="A1650" t="s">
        <v>112</v>
      </c>
      <c r="B1650" t="s">
        <v>2755</v>
      </c>
      <c r="C1650" s="1">
        <v>5000</v>
      </c>
    </row>
    <row r="1651" spans="1:3" x14ac:dyDescent="0.2">
      <c r="A1651" t="s">
        <v>112</v>
      </c>
      <c r="B1651" t="s">
        <v>2756</v>
      </c>
      <c r="C1651" s="1">
        <v>6000</v>
      </c>
    </row>
    <row r="1652" spans="1:3" x14ac:dyDescent="0.2">
      <c r="A1652" t="s">
        <v>112</v>
      </c>
      <c r="B1652" t="s">
        <v>2757</v>
      </c>
      <c r="C1652" s="1">
        <v>6000</v>
      </c>
    </row>
    <row r="1653" spans="1:3" x14ac:dyDescent="0.2">
      <c r="A1653" t="s">
        <v>112</v>
      </c>
      <c r="B1653" t="s">
        <v>2758</v>
      </c>
      <c r="C1653" s="1">
        <v>6000</v>
      </c>
    </row>
    <row r="1654" spans="1:3" x14ac:dyDescent="0.2">
      <c r="A1654" t="s">
        <v>112</v>
      </c>
      <c r="B1654" t="s">
        <v>2759</v>
      </c>
      <c r="C1654" s="1">
        <v>6000</v>
      </c>
    </row>
    <row r="1655" spans="1:3" x14ac:dyDescent="0.2">
      <c r="A1655" t="s">
        <v>112</v>
      </c>
      <c r="B1655" t="s">
        <v>2760</v>
      </c>
      <c r="C1655" s="1">
        <v>6000</v>
      </c>
    </row>
    <row r="1656" spans="1:3" x14ac:dyDescent="0.2">
      <c r="A1656" t="s">
        <v>112</v>
      </c>
      <c r="B1656" t="s">
        <v>2761</v>
      </c>
      <c r="C1656" s="1">
        <v>6000</v>
      </c>
    </row>
    <row r="1657" spans="1:3" x14ac:dyDescent="0.2">
      <c r="A1657" t="s">
        <v>112</v>
      </c>
      <c r="B1657" t="s">
        <v>2762</v>
      </c>
      <c r="C1657" s="1">
        <v>6000</v>
      </c>
    </row>
    <row r="1658" spans="1:3" x14ac:dyDescent="0.2">
      <c r="A1658" t="s">
        <v>112</v>
      </c>
      <c r="B1658" t="s">
        <v>2763</v>
      </c>
      <c r="C1658" s="1">
        <v>2000</v>
      </c>
    </row>
    <row r="1659" spans="1:3" x14ac:dyDescent="0.2">
      <c r="A1659" t="s">
        <v>112</v>
      </c>
      <c r="B1659" t="s">
        <v>2764</v>
      </c>
      <c r="C1659" s="1">
        <v>6000</v>
      </c>
    </row>
    <row r="1660" spans="1:3" x14ac:dyDescent="0.2">
      <c r="A1660" t="s">
        <v>112</v>
      </c>
      <c r="B1660" t="s">
        <v>2765</v>
      </c>
      <c r="C1660" s="1">
        <v>5000</v>
      </c>
    </row>
    <row r="1661" spans="1:3" x14ac:dyDescent="0.2">
      <c r="A1661" t="s">
        <v>112</v>
      </c>
      <c r="B1661" t="s">
        <v>2766</v>
      </c>
      <c r="C1661" s="1">
        <v>5000</v>
      </c>
    </row>
    <row r="1662" spans="1:3" x14ac:dyDescent="0.2">
      <c r="A1662" t="s">
        <v>112</v>
      </c>
      <c r="B1662" t="s">
        <v>2767</v>
      </c>
      <c r="C1662" s="1">
        <v>6000</v>
      </c>
    </row>
    <row r="1663" spans="1:3" x14ac:dyDescent="0.2">
      <c r="A1663" t="s">
        <v>112</v>
      </c>
      <c r="B1663" t="s">
        <v>2768</v>
      </c>
      <c r="C1663" s="1">
        <v>6000</v>
      </c>
    </row>
    <row r="1664" spans="1:3" x14ac:dyDescent="0.2">
      <c r="A1664" t="s">
        <v>112</v>
      </c>
      <c r="B1664" t="s">
        <v>2769</v>
      </c>
      <c r="C1664" s="1">
        <v>6000</v>
      </c>
    </row>
    <row r="1665" spans="1:3" x14ac:dyDescent="0.2">
      <c r="A1665" t="s">
        <v>112</v>
      </c>
      <c r="B1665" t="s">
        <v>2770</v>
      </c>
      <c r="C1665" s="1">
        <v>6000</v>
      </c>
    </row>
    <row r="1666" spans="1:3" x14ac:dyDescent="0.2">
      <c r="A1666" t="s">
        <v>112</v>
      </c>
      <c r="B1666" t="s">
        <v>2771</v>
      </c>
      <c r="C1666" s="1">
        <v>6000</v>
      </c>
    </row>
    <row r="1667" spans="1:3" x14ac:dyDescent="0.2">
      <c r="A1667" t="s">
        <v>112</v>
      </c>
      <c r="B1667" t="s">
        <v>2772</v>
      </c>
      <c r="C1667" s="1">
        <v>6000</v>
      </c>
    </row>
    <row r="1668" spans="1:3" x14ac:dyDescent="0.2">
      <c r="A1668" t="s">
        <v>112</v>
      </c>
      <c r="B1668" t="s">
        <v>2773</v>
      </c>
      <c r="C1668" s="1">
        <v>6000</v>
      </c>
    </row>
    <row r="1669" spans="1:3" x14ac:dyDescent="0.2">
      <c r="A1669" t="s">
        <v>112</v>
      </c>
      <c r="B1669" t="s">
        <v>2774</v>
      </c>
      <c r="C1669" s="1">
        <v>5000</v>
      </c>
    </row>
    <row r="1670" spans="1:3" x14ac:dyDescent="0.2">
      <c r="A1670" t="s">
        <v>112</v>
      </c>
      <c r="B1670" t="s">
        <v>2775</v>
      </c>
      <c r="C1670" s="1">
        <v>6000</v>
      </c>
    </row>
    <row r="1671" spans="1:3" x14ac:dyDescent="0.2">
      <c r="A1671" t="s">
        <v>112</v>
      </c>
      <c r="B1671" t="s">
        <v>2776</v>
      </c>
      <c r="C1671" s="1">
        <v>6000</v>
      </c>
    </row>
    <row r="1672" spans="1:3" x14ac:dyDescent="0.2">
      <c r="A1672" t="s">
        <v>112</v>
      </c>
      <c r="B1672" t="s">
        <v>2777</v>
      </c>
      <c r="C1672" s="1">
        <v>6000</v>
      </c>
    </row>
    <row r="1673" spans="1:3" x14ac:dyDescent="0.2">
      <c r="A1673" t="s">
        <v>112</v>
      </c>
      <c r="B1673" t="s">
        <v>2778</v>
      </c>
      <c r="C1673" s="1">
        <v>3500</v>
      </c>
    </row>
    <row r="1674" spans="1:3" x14ac:dyDescent="0.2">
      <c r="A1674" t="s">
        <v>112</v>
      </c>
      <c r="B1674" t="s">
        <v>2779</v>
      </c>
      <c r="C1674" s="1">
        <v>6000</v>
      </c>
    </row>
    <row r="1675" spans="1:3" x14ac:dyDescent="0.2">
      <c r="A1675" t="s">
        <v>112</v>
      </c>
      <c r="B1675" t="s">
        <v>2780</v>
      </c>
      <c r="C1675" s="1">
        <v>6000</v>
      </c>
    </row>
    <row r="1676" spans="1:3" x14ac:dyDescent="0.2">
      <c r="A1676" t="s">
        <v>112</v>
      </c>
      <c r="B1676" t="s">
        <v>2781</v>
      </c>
      <c r="C1676" s="1">
        <v>6000</v>
      </c>
    </row>
    <row r="1677" spans="1:3" x14ac:dyDescent="0.2">
      <c r="A1677" t="s">
        <v>112</v>
      </c>
      <c r="B1677" t="s">
        <v>2782</v>
      </c>
      <c r="C1677" s="1">
        <v>4250</v>
      </c>
    </row>
    <row r="1678" spans="1:3" x14ac:dyDescent="0.2">
      <c r="A1678" t="s">
        <v>112</v>
      </c>
      <c r="B1678" t="s">
        <v>2783</v>
      </c>
      <c r="C1678" s="1">
        <v>120000</v>
      </c>
    </row>
    <row r="1679" spans="1:3" x14ac:dyDescent="0.2">
      <c r="A1679" t="s">
        <v>112</v>
      </c>
      <c r="B1679" t="s">
        <v>2785</v>
      </c>
      <c r="C1679" s="1">
        <v>5750</v>
      </c>
    </row>
    <row r="1680" spans="1:3" x14ac:dyDescent="0.2">
      <c r="A1680" t="s">
        <v>112</v>
      </c>
      <c r="B1680" t="s">
        <v>2786</v>
      </c>
      <c r="C1680" s="1">
        <v>6000</v>
      </c>
    </row>
    <row r="1681" spans="1:3" x14ac:dyDescent="0.2">
      <c r="A1681" t="s">
        <v>112</v>
      </c>
      <c r="B1681" t="s">
        <v>2787</v>
      </c>
      <c r="C1681" s="1">
        <v>6000</v>
      </c>
    </row>
    <row r="1682" spans="1:3" x14ac:dyDescent="0.2">
      <c r="A1682" t="s">
        <v>112</v>
      </c>
      <c r="B1682" t="s">
        <v>2788</v>
      </c>
      <c r="C1682" s="1">
        <v>1000</v>
      </c>
    </row>
    <row r="1683" spans="1:3" x14ac:dyDescent="0.2">
      <c r="A1683" t="s">
        <v>112</v>
      </c>
      <c r="B1683" t="s">
        <v>2789</v>
      </c>
      <c r="C1683" s="1">
        <v>1000</v>
      </c>
    </row>
    <row r="1684" spans="1:3" x14ac:dyDescent="0.2">
      <c r="A1684" t="s">
        <v>112</v>
      </c>
      <c r="B1684" t="s">
        <v>2790</v>
      </c>
      <c r="C1684" s="1">
        <v>6000</v>
      </c>
    </row>
    <row r="1685" spans="1:3" x14ac:dyDescent="0.2">
      <c r="A1685" t="s">
        <v>112</v>
      </c>
      <c r="B1685" t="s">
        <v>2791</v>
      </c>
      <c r="C1685" s="1">
        <v>5500</v>
      </c>
    </row>
    <row r="1686" spans="1:3" x14ac:dyDescent="0.2">
      <c r="A1686" t="s">
        <v>112</v>
      </c>
      <c r="B1686" t="s">
        <v>2792</v>
      </c>
      <c r="C1686" s="1">
        <v>6000</v>
      </c>
    </row>
    <row r="1687" spans="1:3" x14ac:dyDescent="0.2">
      <c r="A1687" t="s">
        <v>112</v>
      </c>
      <c r="B1687" t="s">
        <v>2794</v>
      </c>
      <c r="C1687" s="1">
        <v>5000</v>
      </c>
    </row>
    <row r="1688" spans="1:3" x14ac:dyDescent="0.2">
      <c r="A1688" t="s">
        <v>112</v>
      </c>
      <c r="B1688" t="s">
        <v>2796</v>
      </c>
      <c r="C1688" s="1">
        <v>6000</v>
      </c>
    </row>
    <row r="1689" spans="1:3" x14ac:dyDescent="0.2">
      <c r="A1689" t="s">
        <v>112</v>
      </c>
      <c r="B1689" t="s">
        <v>2797</v>
      </c>
      <c r="C1689" s="1">
        <v>6000</v>
      </c>
    </row>
    <row r="1690" spans="1:3" x14ac:dyDescent="0.2">
      <c r="A1690" t="s">
        <v>112</v>
      </c>
      <c r="B1690" t="s">
        <v>2798</v>
      </c>
      <c r="C1690" s="1">
        <v>6000</v>
      </c>
    </row>
    <row r="1691" spans="1:3" x14ac:dyDescent="0.2">
      <c r="A1691" t="s">
        <v>112</v>
      </c>
      <c r="B1691" t="s">
        <v>2799</v>
      </c>
      <c r="C1691" s="1">
        <v>6000</v>
      </c>
    </row>
    <row r="1692" spans="1:3" x14ac:dyDescent="0.2">
      <c r="A1692" t="s">
        <v>112</v>
      </c>
      <c r="B1692" t="s">
        <v>2800</v>
      </c>
      <c r="C1692" s="1">
        <v>6000</v>
      </c>
    </row>
    <row r="1693" spans="1:3" x14ac:dyDescent="0.2">
      <c r="A1693" t="s">
        <v>112</v>
      </c>
      <c r="B1693" t="s">
        <v>2801</v>
      </c>
      <c r="C1693" s="1">
        <v>6000</v>
      </c>
    </row>
    <row r="1694" spans="1:3" x14ac:dyDescent="0.2">
      <c r="A1694" t="s">
        <v>112</v>
      </c>
      <c r="B1694" t="s">
        <v>2802</v>
      </c>
      <c r="C1694" s="1">
        <v>6000</v>
      </c>
    </row>
    <row r="1695" spans="1:3" x14ac:dyDescent="0.2">
      <c r="A1695" t="s">
        <v>112</v>
      </c>
      <c r="B1695" t="s">
        <v>2803</v>
      </c>
      <c r="C1695" s="1">
        <v>6000</v>
      </c>
    </row>
    <row r="1696" spans="1:3" x14ac:dyDescent="0.2">
      <c r="A1696" t="s">
        <v>112</v>
      </c>
      <c r="B1696" t="s">
        <v>2804</v>
      </c>
      <c r="C1696" s="1">
        <v>6000</v>
      </c>
    </row>
    <row r="1697" spans="1:3" x14ac:dyDescent="0.2">
      <c r="A1697" t="s">
        <v>112</v>
      </c>
      <c r="B1697" t="s">
        <v>2805</v>
      </c>
      <c r="C1697" s="1">
        <v>6000</v>
      </c>
    </row>
    <row r="1698" spans="1:3" x14ac:dyDescent="0.2">
      <c r="A1698" t="s">
        <v>112</v>
      </c>
      <c r="B1698" t="s">
        <v>2806</v>
      </c>
      <c r="C1698" s="1">
        <v>6000</v>
      </c>
    </row>
    <row r="1699" spans="1:3" x14ac:dyDescent="0.2">
      <c r="A1699" t="s">
        <v>112</v>
      </c>
      <c r="B1699" t="s">
        <v>2807</v>
      </c>
      <c r="C1699" s="1">
        <v>4875</v>
      </c>
    </row>
    <row r="1700" spans="1:3" x14ac:dyDescent="0.2">
      <c r="A1700" t="s">
        <v>112</v>
      </c>
      <c r="B1700" t="s">
        <v>2808</v>
      </c>
      <c r="C1700" s="1">
        <v>2500</v>
      </c>
    </row>
    <row r="1701" spans="1:3" x14ac:dyDescent="0.2">
      <c r="A1701" t="s">
        <v>112</v>
      </c>
      <c r="B1701" t="s">
        <v>2809</v>
      </c>
      <c r="C1701" s="1">
        <v>6000</v>
      </c>
    </row>
    <row r="1702" spans="1:3" x14ac:dyDescent="0.2">
      <c r="A1702" t="s">
        <v>112</v>
      </c>
      <c r="B1702" t="s">
        <v>2810</v>
      </c>
      <c r="C1702" s="1">
        <v>6000</v>
      </c>
    </row>
    <row r="1703" spans="1:3" x14ac:dyDescent="0.2">
      <c r="A1703" t="s">
        <v>112</v>
      </c>
      <c r="B1703" t="s">
        <v>2811</v>
      </c>
      <c r="C1703" s="1">
        <v>6000</v>
      </c>
    </row>
    <row r="1704" spans="1:3" x14ac:dyDescent="0.2">
      <c r="A1704" t="s">
        <v>112</v>
      </c>
      <c r="B1704" t="s">
        <v>2812</v>
      </c>
      <c r="C1704" s="1">
        <v>6000</v>
      </c>
    </row>
    <row r="1705" spans="1:3" x14ac:dyDescent="0.2">
      <c r="A1705" t="s">
        <v>112</v>
      </c>
      <c r="B1705" t="s">
        <v>2813</v>
      </c>
      <c r="C1705" s="1">
        <v>4500</v>
      </c>
    </row>
    <row r="1706" spans="1:3" x14ac:dyDescent="0.2">
      <c r="A1706" t="s">
        <v>112</v>
      </c>
      <c r="B1706" t="s">
        <v>2814</v>
      </c>
      <c r="C1706" s="1">
        <v>6000</v>
      </c>
    </row>
    <row r="1707" spans="1:3" x14ac:dyDescent="0.2">
      <c r="A1707" t="s">
        <v>112</v>
      </c>
      <c r="B1707" t="s">
        <v>2815</v>
      </c>
      <c r="C1707" s="1">
        <v>6000</v>
      </c>
    </row>
    <row r="1708" spans="1:3" x14ac:dyDescent="0.2">
      <c r="A1708" t="s">
        <v>112</v>
      </c>
      <c r="B1708" t="s">
        <v>2817</v>
      </c>
      <c r="C1708" s="1">
        <v>4500</v>
      </c>
    </row>
    <row r="1709" spans="1:3" x14ac:dyDescent="0.2">
      <c r="A1709" t="s">
        <v>112</v>
      </c>
      <c r="B1709" t="s">
        <v>2818</v>
      </c>
      <c r="C1709" s="1">
        <v>3500</v>
      </c>
    </row>
    <row r="1710" spans="1:3" x14ac:dyDescent="0.2">
      <c r="A1710" t="s">
        <v>112</v>
      </c>
      <c r="B1710" t="s">
        <v>2819</v>
      </c>
      <c r="C1710" s="1">
        <v>6000</v>
      </c>
    </row>
    <row r="1711" spans="1:3" x14ac:dyDescent="0.2">
      <c r="A1711" t="s">
        <v>112</v>
      </c>
      <c r="B1711" t="s">
        <v>2820</v>
      </c>
      <c r="C1711" s="1">
        <v>5500</v>
      </c>
    </row>
    <row r="1712" spans="1:3" x14ac:dyDescent="0.2">
      <c r="A1712" t="s">
        <v>112</v>
      </c>
      <c r="B1712" t="s">
        <v>2821</v>
      </c>
      <c r="C1712" s="1">
        <v>6000</v>
      </c>
    </row>
    <row r="1713" spans="1:3" x14ac:dyDescent="0.2">
      <c r="A1713" t="s">
        <v>112</v>
      </c>
      <c r="B1713" t="s">
        <v>2822</v>
      </c>
      <c r="C1713" s="1">
        <v>6000</v>
      </c>
    </row>
    <row r="1714" spans="1:3" x14ac:dyDescent="0.2">
      <c r="A1714" t="s">
        <v>112</v>
      </c>
      <c r="B1714" t="s">
        <v>2823</v>
      </c>
      <c r="C1714" s="1">
        <v>6000</v>
      </c>
    </row>
    <row r="1715" spans="1:3" x14ac:dyDescent="0.2">
      <c r="A1715" t="s">
        <v>112</v>
      </c>
      <c r="B1715" t="s">
        <v>2824</v>
      </c>
      <c r="C1715" s="1">
        <v>6000</v>
      </c>
    </row>
    <row r="1716" spans="1:3" x14ac:dyDescent="0.2">
      <c r="A1716" t="s">
        <v>112</v>
      </c>
      <c r="B1716" t="s">
        <v>2825</v>
      </c>
      <c r="C1716" s="1">
        <v>6000</v>
      </c>
    </row>
    <row r="1717" spans="1:3" x14ac:dyDescent="0.2">
      <c r="A1717" t="s">
        <v>112</v>
      </c>
      <c r="B1717" t="s">
        <v>2826</v>
      </c>
      <c r="C1717" s="1">
        <v>3250</v>
      </c>
    </row>
    <row r="1718" spans="1:3" x14ac:dyDescent="0.2">
      <c r="A1718" t="s">
        <v>112</v>
      </c>
      <c r="B1718" t="s">
        <v>2827</v>
      </c>
      <c r="C1718" s="1">
        <v>6000</v>
      </c>
    </row>
    <row r="1719" spans="1:3" x14ac:dyDescent="0.2">
      <c r="A1719" t="s">
        <v>112</v>
      </c>
      <c r="B1719" t="s">
        <v>2828</v>
      </c>
      <c r="C1719" s="1">
        <v>6000</v>
      </c>
    </row>
    <row r="1720" spans="1:3" x14ac:dyDescent="0.2">
      <c r="A1720" t="s">
        <v>112</v>
      </c>
      <c r="B1720" t="s">
        <v>2829</v>
      </c>
      <c r="C1720" s="1">
        <v>6000</v>
      </c>
    </row>
    <row r="1721" spans="1:3" x14ac:dyDescent="0.2">
      <c r="A1721" t="s">
        <v>112</v>
      </c>
      <c r="B1721" t="s">
        <v>2830</v>
      </c>
      <c r="C1721" s="1">
        <v>6000</v>
      </c>
    </row>
    <row r="1722" spans="1:3" x14ac:dyDescent="0.2">
      <c r="A1722" t="s">
        <v>112</v>
      </c>
      <c r="B1722" t="s">
        <v>2831</v>
      </c>
      <c r="C1722" s="1">
        <v>6000</v>
      </c>
    </row>
    <row r="1723" spans="1:3" x14ac:dyDescent="0.2">
      <c r="A1723" t="s">
        <v>112</v>
      </c>
      <c r="B1723" t="s">
        <v>2832</v>
      </c>
      <c r="C1723" s="1">
        <v>6000</v>
      </c>
    </row>
    <row r="1724" spans="1:3" x14ac:dyDescent="0.2">
      <c r="A1724" t="s">
        <v>112</v>
      </c>
      <c r="B1724" t="s">
        <v>2833</v>
      </c>
      <c r="C1724" s="1">
        <v>6000</v>
      </c>
    </row>
    <row r="1725" spans="1:3" x14ac:dyDescent="0.2">
      <c r="A1725" t="s">
        <v>112</v>
      </c>
      <c r="B1725" t="s">
        <v>2834</v>
      </c>
      <c r="C1725" s="1">
        <v>4250</v>
      </c>
    </row>
    <row r="1726" spans="1:3" x14ac:dyDescent="0.2">
      <c r="A1726" t="s">
        <v>112</v>
      </c>
      <c r="B1726" t="s">
        <v>2835</v>
      </c>
      <c r="C1726" s="1">
        <v>6000</v>
      </c>
    </row>
    <row r="1727" spans="1:3" x14ac:dyDescent="0.2">
      <c r="A1727" t="s">
        <v>112</v>
      </c>
      <c r="B1727" t="s">
        <v>2836</v>
      </c>
      <c r="C1727" s="1">
        <v>6000</v>
      </c>
    </row>
    <row r="1728" spans="1:3" x14ac:dyDescent="0.2">
      <c r="A1728" t="s">
        <v>112</v>
      </c>
      <c r="B1728" t="s">
        <v>2837</v>
      </c>
      <c r="C1728" s="1">
        <v>6000</v>
      </c>
    </row>
    <row r="1729" spans="1:3" x14ac:dyDescent="0.2">
      <c r="A1729" t="s">
        <v>112</v>
      </c>
      <c r="B1729" t="s">
        <v>2838</v>
      </c>
      <c r="C1729" s="1">
        <v>6000</v>
      </c>
    </row>
    <row r="1730" spans="1:3" x14ac:dyDescent="0.2">
      <c r="A1730" t="s">
        <v>112</v>
      </c>
      <c r="B1730" t="s">
        <v>2839</v>
      </c>
      <c r="C1730" s="1">
        <v>6000</v>
      </c>
    </row>
    <row r="1731" spans="1:3" x14ac:dyDescent="0.2">
      <c r="A1731" t="s">
        <v>112</v>
      </c>
      <c r="B1731" t="s">
        <v>2840</v>
      </c>
      <c r="C1731" s="1">
        <v>3000</v>
      </c>
    </row>
    <row r="1732" spans="1:3" x14ac:dyDescent="0.2">
      <c r="A1732" t="s">
        <v>112</v>
      </c>
      <c r="B1732" t="s">
        <v>2841</v>
      </c>
      <c r="C1732" s="1">
        <v>6000</v>
      </c>
    </row>
    <row r="1733" spans="1:3" x14ac:dyDescent="0.2">
      <c r="A1733" t="s">
        <v>112</v>
      </c>
      <c r="B1733" t="s">
        <v>2842</v>
      </c>
      <c r="C1733" s="1">
        <v>6000</v>
      </c>
    </row>
    <row r="1734" spans="1:3" x14ac:dyDescent="0.2">
      <c r="A1734" t="s">
        <v>112</v>
      </c>
      <c r="B1734" t="s">
        <v>2843</v>
      </c>
      <c r="C1734" s="1">
        <v>6000</v>
      </c>
    </row>
    <row r="1735" spans="1:3" x14ac:dyDescent="0.2">
      <c r="A1735" t="s">
        <v>112</v>
      </c>
      <c r="B1735" t="s">
        <v>2844</v>
      </c>
      <c r="C1735" s="1">
        <v>6000</v>
      </c>
    </row>
    <row r="1736" spans="1:3" x14ac:dyDescent="0.2">
      <c r="A1736" t="s">
        <v>112</v>
      </c>
      <c r="B1736" t="s">
        <v>2845</v>
      </c>
      <c r="C1736" s="1">
        <v>3250</v>
      </c>
    </row>
    <row r="1737" spans="1:3" x14ac:dyDescent="0.2">
      <c r="A1737" t="s">
        <v>112</v>
      </c>
      <c r="B1737" t="s">
        <v>2846</v>
      </c>
      <c r="C1737" s="1">
        <v>6000</v>
      </c>
    </row>
    <row r="1738" spans="1:3" x14ac:dyDescent="0.2">
      <c r="A1738" t="s">
        <v>112</v>
      </c>
      <c r="B1738" t="s">
        <v>2847</v>
      </c>
      <c r="C1738" s="1">
        <v>6000</v>
      </c>
    </row>
    <row r="1739" spans="1:3" x14ac:dyDescent="0.2">
      <c r="A1739" t="s">
        <v>112</v>
      </c>
      <c r="B1739" t="s">
        <v>2848</v>
      </c>
      <c r="C1739" s="1">
        <v>6000</v>
      </c>
    </row>
    <row r="1740" spans="1:3" x14ac:dyDescent="0.2">
      <c r="A1740" t="s">
        <v>112</v>
      </c>
      <c r="B1740" t="s">
        <v>2849</v>
      </c>
      <c r="C1740" s="1">
        <v>6000</v>
      </c>
    </row>
    <row r="1741" spans="1:3" x14ac:dyDescent="0.2">
      <c r="A1741" t="s">
        <v>112</v>
      </c>
      <c r="B1741" t="s">
        <v>2850</v>
      </c>
      <c r="C1741" s="1">
        <v>6000</v>
      </c>
    </row>
    <row r="1742" spans="1:3" x14ac:dyDescent="0.2">
      <c r="A1742" t="s">
        <v>112</v>
      </c>
      <c r="B1742" t="s">
        <v>2851</v>
      </c>
      <c r="C1742" s="1">
        <v>6000</v>
      </c>
    </row>
    <row r="1743" spans="1:3" x14ac:dyDescent="0.2">
      <c r="A1743" t="s">
        <v>112</v>
      </c>
      <c r="B1743" t="s">
        <v>2852</v>
      </c>
      <c r="C1743" s="1">
        <v>6000</v>
      </c>
    </row>
    <row r="1744" spans="1:3" x14ac:dyDescent="0.2">
      <c r="A1744" t="s">
        <v>112</v>
      </c>
      <c r="B1744" t="s">
        <v>2853</v>
      </c>
      <c r="C1744" s="1">
        <v>5250</v>
      </c>
    </row>
    <row r="1745" spans="1:3" x14ac:dyDescent="0.2">
      <c r="A1745" t="s">
        <v>112</v>
      </c>
      <c r="B1745" t="s">
        <v>2854</v>
      </c>
      <c r="C1745" s="1">
        <v>6000</v>
      </c>
    </row>
    <row r="1746" spans="1:3" x14ac:dyDescent="0.2">
      <c r="A1746" t="s">
        <v>112</v>
      </c>
      <c r="B1746" t="s">
        <v>2855</v>
      </c>
      <c r="C1746" s="1">
        <v>3500</v>
      </c>
    </row>
    <row r="1747" spans="1:3" x14ac:dyDescent="0.2">
      <c r="A1747" t="s">
        <v>112</v>
      </c>
      <c r="B1747" t="s">
        <v>2859</v>
      </c>
      <c r="C1747" s="1">
        <v>6000</v>
      </c>
    </row>
    <row r="1748" spans="1:3" x14ac:dyDescent="0.2">
      <c r="A1748" t="s">
        <v>112</v>
      </c>
      <c r="B1748" t="s">
        <v>2860</v>
      </c>
      <c r="C1748" s="1">
        <v>2000</v>
      </c>
    </row>
    <row r="1749" spans="1:3" x14ac:dyDescent="0.2">
      <c r="A1749" t="s">
        <v>112</v>
      </c>
      <c r="B1749" t="s">
        <v>2861</v>
      </c>
      <c r="C1749" s="1">
        <v>72000</v>
      </c>
    </row>
    <row r="1750" spans="1:3" x14ac:dyDescent="0.2">
      <c r="A1750" t="s">
        <v>112</v>
      </c>
      <c r="B1750" t="s">
        <v>2866</v>
      </c>
      <c r="C1750" s="1">
        <v>10000</v>
      </c>
    </row>
    <row r="1751" spans="1:3" x14ac:dyDescent="0.2">
      <c r="A1751" t="s">
        <v>112</v>
      </c>
      <c r="B1751" t="s">
        <v>2867</v>
      </c>
      <c r="C1751" s="1">
        <v>50000</v>
      </c>
    </row>
    <row r="1752" spans="1:3" x14ac:dyDescent="0.2">
      <c r="A1752" t="s">
        <v>112</v>
      </c>
      <c r="B1752" t="s">
        <v>2868</v>
      </c>
      <c r="C1752" s="1">
        <v>10000</v>
      </c>
    </row>
    <row r="1753" spans="1:3" x14ac:dyDescent="0.2">
      <c r="A1753" t="s">
        <v>112</v>
      </c>
      <c r="B1753" t="s">
        <v>2869</v>
      </c>
      <c r="C1753" s="1">
        <v>10000</v>
      </c>
    </row>
    <row r="1754" spans="1:3" x14ac:dyDescent="0.2">
      <c r="A1754" t="s">
        <v>112</v>
      </c>
      <c r="B1754" t="s">
        <v>2870</v>
      </c>
      <c r="C1754" s="1">
        <v>10000</v>
      </c>
    </row>
    <row r="1755" spans="1:3" x14ac:dyDescent="0.2">
      <c r="A1755" t="s">
        <v>112</v>
      </c>
      <c r="B1755" t="s">
        <v>2876</v>
      </c>
      <c r="C1755" s="1">
        <v>100000</v>
      </c>
    </row>
    <row r="1756" spans="1:3" x14ac:dyDescent="0.2">
      <c r="A1756" t="s">
        <v>112</v>
      </c>
      <c r="B1756" t="s">
        <v>2877</v>
      </c>
      <c r="C1756" s="1">
        <v>1000</v>
      </c>
    </row>
    <row r="1757" spans="1:3" x14ac:dyDescent="0.2">
      <c r="A1757" t="s">
        <v>112</v>
      </c>
      <c r="B1757" t="s">
        <v>2878</v>
      </c>
      <c r="C1757" s="1">
        <v>125000</v>
      </c>
    </row>
    <row r="1758" spans="1:3" x14ac:dyDescent="0.2">
      <c r="A1758" t="s">
        <v>112</v>
      </c>
      <c r="B1758" t="s">
        <v>2879</v>
      </c>
      <c r="C1758" s="1">
        <v>5000</v>
      </c>
    </row>
    <row r="1759" spans="1:3" x14ac:dyDescent="0.2">
      <c r="A1759" t="s">
        <v>112</v>
      </c>
      <c r="B1759" t="s">
        <v>2880</v>
      </c>
      <c r="C1759" s="1">
        <v>10000</v>
      </c>
    </row>
    <row r="1760" spans="1:3" x14ac:dyDescent="0.2">
      <c r="A1760" t="s">
        <v>112</v>
      </c>
      <c r="B1760" t="s">
        <v>2881</v>
      </c>
      <c r="C1760" s="1">
        <v>100000</v>
      </c>
    </row>
    <row r="1761" spans="1:3" x14ac:dyDescent="0.2">
      <c r="A1761" t="s">
        <v>112</v>
      </c>
      <c r="B1761" t="s">
        <v>2885</v>
      </c>
      <c r="C1761" s="1">
        <v>180000</v>
      </c>
    </row>
    <row r="1762" spans="1:3" x14ac:dyDescent="0.2">
      <c r="A1762" t="s">
        <v>112</v>
      </c>
      <c r="B1762" t="s">
        <v>2887</v>
      </c>
      <c r="C1762" s="1">
        <v>15000</v>
      </c>
    </row>
    <row r="1763" spans="1:3" x14ac:dyDescent="0.2">
      <c r="A1763" t="s">
        <v>112</v>
      </c>
      <c r="B1763" t="s">
        <v>2888</v>
      </c>
      <c r="C1763" s="1">
        <v>5000</v>
      </c>
    </row>
    <row r="1764" spans="1:3" x14ac:dyDescent="0.2">
      <c r="A1764" t="s">
        <v>112</v>
      </c>
      <c r="B1764" t="s">
        <v>2889</v>
      </c>
      <c r="C1764" s="1">
        <v>16500</v>
      </c>
    </row>
    <row r="1765" spans="1:3" x14ac:dyDescent="0.2">
      <c r="A1765" t="s">
        <v>152</v>
      </c>
      <c r="B1765" t="s">
        <v>165</v>
      </c>
      <c r="C1765" s="1">
        <v>3000000</v>
      </c>
    </row>
    <row r="1766" spans="1:3" x14ac:dyDescent="0.2">
      <c r="A1766" t="s">
        <v>152</v>
      </c>
      <c r="B1766" t="s">
        <v>154</v>
      </c>
      <c r="C1766" s="1">
        <v>3000000</v>
      </c>
    </row>
    <row r="1767" spans="1:3" x14ac:dyDescent="0.2">
      <c r="A1767" t="s">
        <v>152</v>
      </c>
      <c r="B1767" t="s">
        <v>151</v>
      </c>
      <c r="C1767" s="1">
        <v>3000000</v>
      </c>
    </row>
    <row r="1768" spans="1:3" x14ac:dyDescent="0.2">
      <c r="A1768" t="s">
        <v>152</v>
      </c>
      <c r="B1768" t="s">
        <v>50</v>
      </c>
      <c r="C1768" s="1">
        <v>3000000</v>
      </c>
    </row>
    <row r="1769" spans="1:3" x14ac:dyDescent="0.2">
      <c r="A1769" t="s">
        <v>152</v>
      </c>
      <c r="B1769" t="s">
        <v>169</v>
      </c>
      <c r="C1769" s="1">
        <v>3000000</v>
      </c>
    </row>
    <row r="1770" spans="1:3" x14ac:dyDescent="0.2">
      <c r="A1770" t="s">
        <v>152</v>
      </c>
      <c r="B1770" t="s">
        <v>170</v>
      </c>
      <c r="C1770" s="1">
        <v>3000000</v>
      </c>
    </row>
    <row r="1771" spans="1:3" x14ac:dyDescent="0.2">
      <c r="A1771" t="s">
        <v>152</v>
      </c>
      <c r="B1771" t="s">
        <v>162</v>
      </c>
      <c r="C1771" s="1">
        <v>3000000</v>
      </c>
    </row>
    <row r="1772" spans="1:3" x14ac:dyDescent="0.2">
      <c r="A1772" t="s">
        <v>152</v>
      </c>
      <c r="B1772" t="s">
        <v>153</v>
      </c>
      <c r="C1772" s="1">
        <v>3000000</v>
      </c>
    </row>
    <row r="1773" spans="1:3" x14ac:dyDescent="0.2">
      <c r="A1773" t="s">
        <v>152</v>
      </c>
      <c r="B1773" t="s">
        <v>157</v>
      </c>
      <c r="C1773" s="1">
        <v>3000000</v>
      </c>
    </row>
    <row r="1774" spans="1:3" x14ac:dyDescent="0.2">
      <c r="A1774" t="s">
        <v>152</v>
      </c>
      <c r="B1774" t="s">
        <v>168</v>
      </c>
      <c r="C1774" s="1">
        <v>3000000</v>
      </c>
    </row>
    <row r="1775" spans="1:3" x14ac:dyDescent="0.2">
      <c r="A1775" t="s">
        <v>152</v>
      </c>
      <c r="B1775" t="s">
        <v>493</v>
      </c>
      <c r="C1775" s="1">
        <v>514472.1</v>
      </c>
    </row>
    <row r="1776" spans="1:3" x14ac:dyDescent="0.2">
      <c r="A1776" t="s">
        <v>152</v>
      </c>
      <c r="B1776" t="s">
        <v>164</v>
      </c>
      <c r="C1776" s="1">
        <v>3000000</v>
      </c>
    </row>
    <row r="1777" spans="1:3" x14ac:dyDescent="0.2">
      <c r="A1777" t="s">
        <v>152</v>
      </c>
      <c r="B1777" t="s">
        <v>163</v>
      </c>
      <c r="C1777" s="1">
        <v>3000000</v>
      </c>
    </row>
    <row r="1778" spans="1:3" x14ac:dyDescent="0.2">
      <c r="A1778" t="s">
        <v>152</v>
      </c>
      <c r="B1778" t="s">
        <v>522</v>
      </c>
      <c r="C1778" s="1">
        <v>390</v>
      </c>
    </row>
    <row r="1779" spans="1:3" x14ac:dyDescent="0.2">
      <c r="A1779" t="s">
        <v>152</v>
      </c>
      <c r="B1779" t="s">
        <v>155</v>
      </c>
      <c r="C1779" s="1">
        <v>3000000</v>
      </c>
    </row>
    <row r="1780" spans="1:3" x14ac:dyDescent="0.2">
      <c r="A1780" t="s">
        <v>152</v>
      </c>
      <c r="B1780" t="s">
        <v>158</v>
      </c>
      <c r="C1780" s="1">
        <v>3000000</v>
      </c>
    </row>
    <row r="1781" spans="1:3" x14ac:dyDescent="0.2">
      <c r="A1781" t="s">
        <v>152</v>
      </c>
      <c r="B1781" t="s">
        <v>171</v>
      </c>
      <c r="C1781" s="1">
        <v>3000000</v>
      </c>
    </row>
    <row r="1782" spans="1:3" x14ac:dyDescent="0.2">
      <c r="A1782" t="s">
        <v>152</v>
      </c>
      <c r="B1782" t="s">
        <v>161</v>
      </c>
      <c r="C1782" s="1">
        <v>3000000</v>
      </c>
    </row>
    <row r="1783" spans="1:3" x14ac:dyDescent="0.2">
      <c r="A1783" t="s">
        <v>152</v>
      </c>
      <c r="B1783" t="s">
        <v>68</v>
      </c>
      <c r="C1783" s="1">
        <v>3000000</v>
      </c>
    </row>
    <row r="1784" spans="1:3" x14ac:dyDescent="0.2">
      <c r="A1784" t="s">
        <v>152</v>
      </c>
      <c r="B1784" t="s">
        <v>160</v>
      </c>
      <c r="C1784" s="1">
        <v>3000000</v>
      </c>
    </row>
    <row r="1785" spans="1:3" x14ac:dyDescent="0.2">
      <c r="A1785" t="s">
        <v>152</v>
      </c>
      <c r="B1785" t="s">
        <v>166</v>
      </c>
      <c r="C1785" s="1">
        <v>3000000</v>
      </c>
    </row>
    <row r="1786" spans="1:3" x14ac:dyDescent="0.2">
      <c r="A1786" t="s">
        <v>237</v>
      </c>
      <c r="B1786" t="s">
        <v>507</v>
      </c>
      <c r="C1786" s="1">
        <v>18458437.800000004</v>
      </c>
    </row>
    <row r="1787" spans="1:3" x14ac:dyDescent="0.2">
      <c r="A1787" t="s">
        <v>237</v>
      </c>
      <c r="B1787" t="s">
        <v>601</v>
      </c>
      <c r="C1787" s="1">
        <v>6800685.0000000009</v>
      </c>
    </row>
    <row r="1788" spans="1:3" x14ac:dyDescent="0.2">
      <c r="A1788" t="s">
        <v>237</v>
      </c>
      <c r="B1788" t="s">
        <v>41</v>
      </c>
      <c r="C1788" s="1">
        <v>72454419.299999997</v>
      </c>
    </row>
    <row r="1789" spans="1:3" x14ac:dyDescent="0.2">
      <c r="A1789" t="s">
        <v>237</v>
      </c>
      <c r="B1789" t="s">
        <v>391</v>
      </c>
      <c r="C1789" s="1">
        <v>13409247.4</v>
      </c>
    </row>
    <row r="1790" spans="1:3" x14ac:dyDescent="0.2">
      <c r="A1790" t="s">
        <v>237</v>
      </c>
      <c r="B1790" t="s">
        <v>548</v>
      </c>
      <c r="C1790" s="1">
        <v>11678495.099999998</v>
      </c>
    </row>
    <row r="1791" spans="1:3" x14ac:dyDescent="0.2">
      <c r="A1791" t="s">
        <v>237</v>
      </c>
      <c r="B1791" t="s">
        <v>382</v>
      </c>
      <c r="C1791" s="1">
        <v>782100</v>
      </c>
    </row>
    <row r="1792" spans="1:3" x14ac:dyDescent="0.2">
      <c r="A1792" t="s">
        <v>237</v>
      </c>
      <c r="B1792" t="s">
        <v>236</v>
      </c>
      <c r="C1792" s="1">
        <v>391310836.89999998</v>
      </c>
    </row>
    <row r="1793" spans="1:3" x14ac:dyDescent="0.2">
      <c r="A1793" t="s">
        <v>237</v>
      </c>
      <c r="B1793" t="s">
        <v>74</v>
      </c>
      <c r="C1793" s="1">
        <v>831025</v>
      </c>
    </row>
    <row r="1794" spans="1:3" x14ac:dyDescent="0.2">
      <c r="A1794" t="s">
        <v>237</v>
      </c>
      <c r="B1794" t="s">
        <v>575</v>
      </c>
      <c r="C1794" s="1">
        <v>6601504.2000000002</v>
      </c>
    </row>
    <row r="1795" spans="1:3" x14ac:dyDescent="0.2">
      <c r="A1795" t="s">
        <v>237</v>
      </c>
      <c r="B1795" t="s">
        <v>671</v>
      </c>
      <c r="C1795" s="1">
        <v>22144704.900000002</v>
      </c>
    </row>
    <row r="1796" spans="1:3" x14ac:dyDescent="0.2">
      <c r="A1796" t="s">
        <v>237</v>
      </c>
      <c r="B1796" t="s">
        <v>673</v>
      </c>
      <c r="C1796" s="1">
        <v>1441604</v>
      </c>
    </row>
    <row r="1797" spans="1:3" x14ac:dyDescent="0.2">
      <c r="A1797" t="s">
        <v>237</v>
      </c>
      <c r="B1797" t="s">
        <v>674</v>
      </c>
      <c r="C1797" s="1">
        <v>324000</v>
      </c>
    </row>
    <row r="1798" spans="1:3" x14ac:dyDescent="0.2">
      <c r="A1798" t="s">
        <v>237</v>
      </c>
      <c r="B1798" t="s">
        <v>677</v>
      </c>
      <c r="C1798" s="1">
        <v>138000</v>
      </c>
    </row>
    <row r="1799" spans="1:3" x14ac:dyDescent="0.2">
      <c r="A1799" t="s">
        <v>237</v>
      </c>
      <c r="B1799" t="s">
        <v>679</v>
      </c>
      <c r="C1799" s="1">
        <v>486000</v>
      </c>
    </row>
    <row r="1800" spans="1:3" x14ac:dyDescent="0.2">
      <c r="A1800" t="s">
        <v>237</v>
      </c>
      <c r="B1800" t="s">
        <v>682</v>
      </c>
      <c r="C1800" s="1">
        <v>3442149.1</v>
      </c>
    </row>
    <row r="1801" spans="1:3" x14ac:dyDescent="0.2">
      <c r="A1801" t="s">
        <v>237</v>
      </c>
      <c r="B1801" t="s">
        <v>692</v>
      </c>
      <c r="C1801" s="1">
        <v>109507884.5</v>
      </c>
    </row>
    <row r="1802" spans="1:3" x14ac:dyDescent="0.2">
      <c r="A1802" t="s">
        <v>237</v>
      </c>
      <c r="B1802" t="s">
        <v>693</v>
      </c>
      <c r="C1802" s="1">
        <v>31409860.600000001</v>
      </c>
    </row>
    <row r="1803" spans="1:3" x14ac:dyDescent="0.2">
      <c r="A1803" t="s">
        <v>237</v>
      </c>
      <c r="B1803" t="s">
        <v>694</v>
      </c>
      <c r="C1803" s="1">
        <v>58805998.100000009</v>
      </c>
    </row>
    <row r="1804" spans="1:3" x14ac:dyDescent="0.2">
      <c r="A1804" t="s">
        <v>237</v>
      </c>
      <c r="B1804" t="s">
        <v>695</v>
      </c>
      <c r="C1804" s="1">
        <v>50823182.5</v>
      </c>
    </row>
    <row r="1805" spans="1:3" x14ac:dyDescent="0.2">
      <c r="A1805" t="s">
        <v>237</v>
      </c>
      <c r="B1805" t="s">
        <v>696</v>
      </c>
      <c r="C1805" s="1">
        <v>75384611.799999997</v>
      </c>
    </row>
    <row r="1806" spans="1:3" x14ac:dyDescent="0.2">
      <c r="A1806" t="s">
        <v>237</v>
      </c>
      <c r="B1806" t="s">
        <v>697</v>
      </c>
      <c r="C1806" s="1">
        <v>102586751.40000001</v>
      </c>
    </row>
    <row r="1807" spans="1:3" x14ac:dyDescent="0.2">
      <c r="A1807" t="s">
        <v>237</v>
      </c>
      <c r="B1807" t="s">
        <v>698</v>
      </c>
      <c r="C1807" s="1">
        <v>81080910.900000006</v>
      </c>
    </row>
    <row r="1808" spans="1:3" x14ac:dyDescent="0.2">
      <c r="A1808" t="s">
        <v>237</v>
      </c>
      <c r="B1808" t="s">
        <v>699</v>
      </c>
      <c r="C1808" s="1">
        <v>18643698.100000001</v>
      </c>
    </row>
    <row r="1809" spans="1:3" x14ac:dyDescent="0.2">
      <c r="A1809" t="s">
        <v>237</v>
      </c>
      <c r="B1809" t="s">
        <v>700</v>
      </c>
      <c r="C1809" s="1">
        <v>167405652.90000001</v>
      </c>
    </row>
    <row r="1810" spans="1:3" x14ac:dyDescent="0.2">
      <c r="A1810" t="s">
        <v>237</v>
      </c>
      <c r="B1810" t="s">
        <v>701</v>
      </c>
      <c r="C1810" s="1">
        <v>29870536.099999998</v>
      </c>
    </row>
    <row r="1811" spans="1:3" x14ac:dyDescent="0.2">
      <c r="A1811" t="s">
        <v>237</v>
      </c>
      <c r="B1811" t="s">
        <v>702</v>
      </c>
      <c r="C1811" s="1">
        <v>54056561.599999994</v>
      </c>
    </row>
    <row r="1812" spans="1:3" x14ac:dyDescent="0.2">
      <c r="A1812" t="s">
        <v>237</v>
      </c>
      <c r="B1812" t="s">
        <v>703</v>
      </c>
      <c r="C1812" s="1">
        <v>12258271.1</v>
      </c>
    </row>
    <row r="1813" spans="1:3" x14ac:dyDescent="0.2">
      <c r="A1813" t="s">
        <v>237</v>
      </c>
      <c r="B1813" t="s">
        <v>704</v>
      </c>
      <c r="C1813" s="1">
        <v>96045306.400000006</v>
      </c>
    </row>
    <row r="1814" spans="1:3" x14ac:dyDescent="0.2">
      <c r="A1814" t="s">
        <v>237</v>
      </c>
      <c r="B1814" t="s">
        <v>705</v>
      </c>
      <c r="C1814" s="1">
        <v>94196015.800000012</v>
      </c>
    </row>
    <row r="1815" spans="1:3" x14ac:dyDescent="0.2">
      <c r="A1815" t="s">
        <v>237</v>
      </c>
      <c r="B1815" t="s">
        <v>706</v>
      </c>
      <c r="C1815" s="1">
        <v>9401414.1000000015</v>
      </c>
    </row>
    <row r="1816" spans="1:3" x14ac:dyDescent="0.2">
      <c r="A1816" t="s">
        <v>237</v>
      </c>
      <c r="B1816" t="s">
        <v>707</v>
      </c>
      <c r="C1816" s="1">
        <v>21012149.899999999</v>
      </c>
    </row>
    <row r="1817" spans="1:3" x14ac:dyDescent="0.2">
      <c r="A1817" t="s">
        <v>237</v>
      </c>
      <c r="B1817" t="s">
        <v>708</v>
      </c>
      <c r="C1817" s="1">
        <v>23113466.899999999</v>
      </c>
    </row>
    <row r="1818" spans="1:3" x14ac:dyDescent="0.2">
      <c r="A1818" t="s">
        <v>237</v>
      </c>
      <c r="B1818" t="s">
        <v>709</v>
      </c>
      <c r="C1818" s="1">
        <v>55600619.100000001</v>
      </c>
    </row>
    <row r="1819" spans="1:3" x14ac:dyDescent="0.2">
      <c r="A1819" t="s">
        <v>237</v>
      </c>
      <c r="B1819" t="s">
        <v>710</v>
      </c>
      <c r="C1819" s="1">
        <v>14681335.199999999</v>
      </c>
    </row>
    <row r="1820" spans="1:3" x14ac:dyDescent="0.2">
      <c r="A1820" t="s">
        <v>237</v>
      </c>
      <c r="B1820" t="s">
        <v>711</v>
      </c>
      <c r="C1820" s="1">
        <v>104959716.89999999</v>
      </c>
    </row>
    <row r="1821" spans="1:3" x14ac:dyDescent="0.2">
      <c r="A1821" t="s">
        <v>237</v>
      </c>
      <c r="B1821" t="s">
        <v>712</v>
      </c>
      <c r="C1821" s="1">
        <v>53537824.200000003</v>
      </c>
    </row>
    <row r="1822" spans="1:3" x14ac:dyDescent="0.2">
      <c r="A1822" t="s">
        <v>237</v>
      </c>
      <c r="B1822" t="s">
        <v>713</v>
      </c>
      <c r="C1822" s="1">
        <v>88126926.699999988</v>
      </c>
    </row>
    <row r="1823" spans="1:3" x14ac:dyDescent="0.2">
      <c r="A1823" t="s">
        <v>237</v>
      </c>
      <c r="B1823" t="s">
        <v>714</v>
      </c>
      <c r="C1823" s="1">
        <v>1953839.9</v>
      </c>
    </row>
    <row r="1824" spans="1:3" x14ac:dyDescent="0.2">
      <c r="A1824" t="s">
        <v>237</v>
      </c>
      <c r="B1824" t="s">
        <v>715</v>
      </c>
      <c r="C1824" s="1">
        <v>1479319</v>
      </c>
    </row>
    <row r="1825" spans="1:3" x14ac:dyDescent="0.2">
      <c r="A1825" t="s">
        <v>237</v>
      </c>
      <c r="B1825" t="s">
        <v>716</v>
      </c>
      <c r="C1825" s="1">
        <v>1660832</v>
      </c>
    </row>
    <row r="1826" spans="1:3" x14ac:dyDescent="0.2">
      <c r="A1826" t="s">
        <v>237</v>
      </c>
      <c r="B1826" t="s">
        <v>717</v>
      </c>
      <c r="C1826" s="1">
        <v>12037776.800000001</v>
      </c>
    </row>
    <row r="1827" spans="1:3" x14ac:dyDescent="0.2">
      <c r="A1827" t="s">
        <v>237</v>
      </c>
      <c r="B1827" t="s">
        <v>718</v>
      </c>
      <c r="C1827" s="1">
        <v>2326514.7000000002</v>
      </c>
    </row>
    <row r="1828" spans="1:3" x14ac:dyDescent="0.2">
      <c r="A1828" t="s">
        <v>237</v>
      </c>
      <c r="B1828" t="s">
        <v>719</v>
      </c>
      <c r="C1828" s="1">
        <v>7355761.8999999994</v>
      </c>
    </row>
    <row r="1829" spans="1:3" x14ac:dyDescent="0.2">
      <c r="A1829" t="s">
        <v>237</v>
      </c>
      <c r="B1829" t="s">
        <v>720</v>
      </c>
      <c r="C1829" s="1">
        <v>37184306.799999997</v>
      </c>
    </row>
    <row r="1830" spans="1:3" x14ac:dyDescent="0.2">
      <c r="A1830" t="s">
        <v>237</v>
      </c>
      <c r="B1830" t="s">
        <v>721</v>
      </c>
      <c r="C1830" s="1">
        <v>14332809.000000002</v>
      </c>
    </row>
    <row r="1831" spans="1:3" x14ac:dyDescent="0.2">
      <c r="A1831" t="s">
        <v>237</v>
      </c>
      <c r="B1831" t="s">
        <v>722</v>
      </c>
      <c r="C1831" s="1">
        <v>3902342.7</v>
      </c>
    </row>
    <row r="1832" spans="1:3" x14ac:dyDescent="0.2">
      <c r="A1832" t="s">
        <v>237</v>
      </c>
      <c r="B1832" t="s">
        <v>723</v>
      </c>
      <c r="C1832" s="1">
        <v>8729797.6000000015</v>
      </c>
    </row>
    <row r="1833" spans="1:3" x14ac:dyDescent="0.2">
      <c r="A1833" t="s">
        <v>237</v>
      </c>
      <c r="B1833" t="s">
        <v>724</v>
      </c>
      <c r="C1833" s="1">
        <v>14411023.799999999</v>
      </c>
    </row>
    <row r="1834" spans="1:3" x14ac:dyDescent="0.2">
      <c r="A1834" t="s">
        <v>237</v>
      </c>
      <c r="B1834" t="s">
        <v>725</v>
      </c>
      <c r="C1834" s="1">
        <v>4994935.0999999996</v>
      </c>
    </row>
    <row r="1835" spans="1:3" x14ac:dyDescent="0.2">
      <c r="A1835" t="s">
        <v>237</v>
      </c>
      <c r="B1835" t="s">
        <v>726</v>
      </c>
      <c r="C1835" s="1">
        <v>13012268.4</v>
      </c>
    </row>
    <row r="1836" spans="1:3" x14ac:dyDescent="0.2">
      <c r="A1836" t="s">
        <v>237</v>
      </c>
      <c r="B1836" t="s">
        <v>727</v>
      </c>
      <c r="C1836" s="1">
        <v>11207359.800000001</v>
      </c>
    </row>
    <row r="1837" spans="1:3" x14ac:dyDescent="0.2">
      <c r="A1837" t="s">
        <v>237</v>
      </c>
      <c r="B1837" t="s">
        <v>728</v>
      </c>
      <c r="C1837" s="1">
        <v>5436413.2999999998</v>
      </c>
    </row>
    <row r="1838" spans="1:3" x14ac:dyDescent="0.2">
      <c r="A1838" t="s">
        <v>237</v>
      </c>
      <c r="B1838" t="s">
        <v>729</v>
      </c>
      <c r="C1838" s="1">
        <v>732309.2</v>
      </c>
    </row>
    <row r="1839" spans="1:3" x14ac:dyDescent="0.2">
      <c r="A1839" t="s">
        <v>237</v>
      </c>
      <c r="B1839" t="s">
        <v>730</v>
      </c>
      <c r="C1839" s="1">
        <v>881891.4</v>
      </c>
    </row>
    <row r="1840" spans="1:3" x14ac:dyDescent="0.2">
      <c r="A1840" t="s">
        <v>237</v>
      </c>
      <c r="B1840" t="s">
        <v>731</v>
      </c>
      <c r="C1840" s="1">
        <v>7067604.7000000002</v>
      </c>
    </row>
    <row r="1841" spans="1:3" x14ac:dyDescent="0.2">
      <c r="A1841" t="s">
        <v>237</v>
      </c>
      <c r="B1841" t="s">
        <v>732</v>
      </c>
      <c r="C1841" s="1">
        <v>2163585.2999999998</v>
      </c>
    </row>
    <row r="1842" spans="1:3" x14ac:dyDescent="0.2">
      <c r="A1842" t="s">
        <v>237</v>
      </c>
      <c r="B1842" t="s">
        <v>733</v>
      </c>
      <c r="C1842" s="1">
        <v>879262.2</v>
      </c>
    </row>
    <row r="1843" spans="1:3" x14ac:dyDescent="0.2">
      <c r="A1843" t="s">
        <v>237</v>
      </c>
      <c r="B1843" t="s">
        <v>734</v>
      </c>
      <c r="C1843" s="1">
        <v>6390729</v>
      </c>
    </row>
    <row r="1844" spans="1:3" x14ac:dyDescent="0.2">
      <c r="A1844" t="s">
        <v>237</v>
      </c>
      <c r="B1844" t="s">
        <v>735</v>
      </c>
      <c r="C1844" s="1">
        <v>4057863</v>
      </c>
    </row>
    <row r="1845" spans="1:3" x14ac:dyDescent="0.2">
      <c r="A1845" t="s">
        <v>237</v>
      </c>
      <c r="B1845" t="s">
        <v>736</v>
      </c>
      <c r="C1845" s="1">
        <v>13143874</v>
      </c>
    </row>
    <row r="1846" spans="1:3" x14ac:dyDescent="0.2">
      <c r="A1846" t="s">
        <v>237</v>
      </c>
      <c r="B1846" t="s">
        <v>737</v>
      </c>
      <c r="C1846" s="1">
        <v>3752810.7</v>
      </c>
    </row>
    <row r="1847" spans="1:3" x14ac:dyDescent="0.2">
      <c r="A1847" t="s">
        <v>237</v>
      </c>
      <c r="B1847" t="s">
        <v>738</v>
      </c>
      <c r="C1847" s="1">
        <v>830515.9</v>
      </c>
    </row>
    <row r="1848" spans="1:3" x14ac:dyDescent="0.2">
      <c r="A1848" t="s">
        <v>237</v>
      </c>
      <c r="B1848" t="s">
        <v>739</v>
      </c>
      <c r="C1848" s="1">
        <v>1758491.6</v>
      </c>
    </row>
    <row r="1849" spans="1:3" x14ac:dyDescent="0.2">
      <c r="A1849" t="s">
        <v>237</v>
      </c>
      <c r="B1849" t="s">
        <v>740</v>
      </c>
      <c r="C1849" s="1">
        <v>3850319.9</v>
      </c>
    </row>
    <row r="1850" spans="1:3" x14ac:dyDescent="0.2">
      <c r="A1850" t="s">
        <v>237</v>
      </c>
      <c r="B1850" t="s">
        <v>741</v>
      </c>
      <c r="C1850" s="1">
        <v>830221.2</v>
      </c>
    </row>
    <row r="1851" spans="1:3" x14ac:dyDescent="0.2">
      <c r="A1851" t="s">
        <v>237</v>
      </c>
      <c r="B1851" t="s">
        <v>742</v>
      </c>
      <c r="C1851" s="1">
        <v>5539096</v>
      </c>
    </row>
    <row r="1852" spans="1:3" x14ac:dyDescent="0.2">
      <c r="A1852" t="s">
        <v>237</v>
      </c>
      <c r="B1852" t="s">
        <v>743</v>
      </c>
      <c r="C1852" s="1">
        <v>2465877.7000000002</v>
      </c>
    </row>
    <row r="1853" spans="1:3" x14ac:dyDescent="0.2">
      <c r="A1853" t="s">
        <v>237</v>
      </c>
      <c r="B1853" t="s">
        <v>744</v>
      </c>
      <c r="C1853" s="1">
        <v>921422.1</v>
      </c>
    </row>
    <row r="1854" spans="1:3" x14ac:dyDescent="0.2">
      <c r="A1854" t="s">
        <v>237</v>
      </c>
      <c r="B1854" t="s">
        <v>745</v>
      </c>
      <c r="C1854" s="1">
        <v>1416577.8</v>
      </c>
    </row>
    <row r="1855" spans="1:3" x14ac:dyDescent="0.2">
      <c r="A1855" t="s">
        <v>237</v>
      </c>
      <c r="B1855" t="s">
        <v>746</v>
      </c>
      <c r="C1855" s="1">
        <v>1660832</v>
      </c>
    </row>
    <row r="1856" spans="1:3" x14ac:dyDescent="0.2">
      <c r="A1856" t="s">
        <v>237</v>
      </c>
      <c r="B1856" t="s">
        <v>747</v>
      </c>
      <c r="C1856" s="1">
        <v>10230720</v>
      </c>
    </row>
    <row r="1857" spans="1:3" x14ac:dyDescent="0.2">
      <c r="A1857" t="s">
        <v>237</v>
      </c>
      <c r="B1857" t="s">
        <v>748</v>
      </c>
      <c r="C1857" s="1">
        <v>10788089.6</v>
      </c>
    </row>
    <row r="1858" spans="1:3" x14ac:dyDescent="0.2">
      <c r="A1858" t="s">
        <v>237</v>
      </c>
      <c r="B1858" t="s">
        <v>749</v>
      </c>
      <c r="C1858" s="1">
        <v>43365621.100000001</v>
      </c>
    </row>
    <row r="1859" spans="1:3" x14ac:dyDescent="0.2">
      <c r="A1859" t="s">
        <v>237</v>
      </c>
      <c r="B1859" t="s">
        <v>750</v>
      </c>
      <c r="C1859" s="1">
        <v>821236</v>
      </c>
    </row>
    <row r="1860" spans="1:3" x14ac:dyDescent="0.2">
      <c r="A1860" t="s">
        <v>237</v>
      </c>
      <c r="B1860" t="s">
        <v>751</v>
      </c>
      <c r="C1860" s="1">
        <v>2461655.6</v>
      </c>
    </row>
    <row r="1861" spans="1:3" x14ac:dyDescent="0.2">
      <c r="A1861" t="s">
        <v>237</v>
      </c>
      <c r="B1861" t="s">
        <v>752</v>
      </c>
      <c r="C1861" s="1">
        <v>2491248</v>
      </c>
    </row>
    <row r="1862" spans="1:3" x14ac:dyDescent="0.2">
      <c r="A1862" t="s">
        <v>237</v>
      </c>
      <c r="B1862" t="s">
        <v>753</v>
      </c>
      <c r="C1862" s="1">
        <v>3116861.8</v>
      </c>
    </row>
    <row r="1863" spans="1:3" x14ac:dyDescent="0.2">
      <c r="A1863" t="s">
        <v>237</v>
      </c>
      <c r="B1863" t="s">
        <v>754</v>
      </c>
      <c r="C1863" s="1">
        <v>11261300.6</v>
      </c>
    </row>
    <row r="1864" spans="1:3" x14ac:dyDescent="0.2">
      <c r="A1864" t="s">
        <v>237</v>
      </c>
      <c r="B1864" t="s">
        <v>755</v>
      </c>
      <c r="C1864" s="1">
        <v>2562206.5999999987</v>
      </c>
    </row>
    <row r="1865" spans="1:3" x14ac:dyDescent="0.2">
      <c r="A1865" t="s">
        <v>237</v>
      </c>
      <c r="B1865" t="s">
        <v>756</v>
      </c>
      <c r="C1865" s="1">
        <v>10306783.9</v>
      </c>
    </row>
    <row r="1866" spans="1:3" x14ac:dyDescent="0.2">
      <c r="A1866" t="s">
        <v>237</v>
      </c>
      <c r="B1866" t="s">
        <v>757</v>
      </c>
      <c r="C1866" s="1">
        <v>2189358</v>
      </c>
    </row>
    <row r="1867" spans="1:3" x14ac:dyDescent="0.2">
      <c r="A1867" t="s">
        <v>237</v>
      </c>
      <c r="B1867" t="s">
        <v>758</v>
      </c>
      <c r="C1867" s="1">
        <v>6143766.9000000004</v>
      </c>
    </row>
    <row r="1868" spans="1:3" x14ac:dyDescent="0.2">
      <c r="A1868" t="s">
        <v>237</v>
      </c>
      <c r="B1868" t="s">
        <v>759</v>
      </c>
      <c r="C1868" s="1">
        <v>1419387.7999999998</v>
      </c>
    </row>
    <row r="1869" spans="1:3" x14ac:dyDescent="0.2">
      <c r="A1869" t="s">
        <v>237</v>
      </c>
      <c r="B1869" t="s">
        <v>760</v>
      </c>
      <c r="C1869" s="1">
        <v>4436184</v>
      </c>
    </row>
    <row r="1870" spans="1:3" x14ac:dyDescent="0.2">
      <c r="A1870" t="s">
        <v>237</v>
      </c>
      <c r="B1870" t="s">
        <v>761</v>
      </c>
      <c r="C1870" s="1">
        <v>11589352.9</v>
      </c>
    </row>
    <row r="1871" spans="1:3" x14ac:dyDescent="0.2">
      <c r="A1871" t="s">
        <v>237</v>
      </c>
      <c r="B1871" t="s">
        <v>762</v>
      </c>
      <c r="C1871" s="1">
        <v>36415504.799999997</v>
      </c>
    </row>
    <row r="1872" spans="1:3" x14ac:dyDescent="0.2">
      <c r="A1872" t="s">
        <v>237</v>
      </c>
      <c r="B1872" t="s">
        <v>763</v>
      </c>
      <c r="C1872" s="1">
        <v>8249281.9000000004</v>
      </c>
    </row>
    <row r="1873" spans="1:3" x14ac:dyDescent="0.2">
      <c r="A1873" t="s">
        <v>237</v>
      </c>
      <c r="B1873" t="s">
        <v>764</v>
      </c>
      <c r="C1873" s="1">
        <v>829053</v>
      </c>
    </row>
    <row r="1874" spans="1:3" x14ac:dyDescent="0.2">
      <c r="A1874" t="s">
        <v>237</v>
      </c>
      <c r="B1874" t="s">
        <v>765</v>
      </c>
      <c r="C1874" s="1">
        <v>2838055.2</v>
      </c>
    </row>
    <row r="1875" spans="1:3" x14ac:dyDescent="0.2">
      <c r="A1875" t="s">
        <v>237</v>
      </c>
      <c r="B1875" t="s">
        <v>766</v>
      </c>
      <c r="C1875" s="1">
        <v>2416799.7000000002</v>
      </c>
    </row>
    <row r="1876" spans="1:3" x14ac:dyDescent="0.2">
      <c r="A1876" t="s">
        <v>237</v>
      </c>
      <c r="B1876" t="s">
        <v>767</v>
      </c>
      <c r="C1876" s="1">
        <v>4468527.0999999996</v>
      </c>
    </row>
    <row r="1877" spans="1:3" x14ac:dyDescent="0.2">
      <c r="A1877" t="s">
        <v>237</v>
      </c>
      <c r="B1877" t="s">
        <v>768</v>
      </c>
      <c r="C1877" s="1">
        <v>9027882.6999999993</v>
      </c>
    </row>
    <row r="1878" spans="1:3" x14ac:dyDescent="0.2">
      <c r="A1878" t="s">
        <v>237</v>
      </c>
      <c r="B1878" t="s">
        <v>769</v>
      </c>
      <c r="C1878" s="1">
        <v>732696.9</v>
      </c>
    </row>
    <row r="1879" spans="1:3" x14ac:dyDescent="0.2">
      <c r="A1879" t="s">
        <v>237</v>
      </c>
      <c r="B1879" t="s">
        <v>770</v>
      </c>
      <c r="C1879" s="1">
        <v>2163252.9</v>
      </c>
    </row>
    <row r="1880" spans="1:3" x14ac:dyDescent="0.2">
      <c r="A1880" t="s">
        <v>237</v>
      </c>
      <c r="B1880" t="s">
        <v>774</v>
      </c>
      <c r="C1880" s="1">
        <v>7207551</v>
      </c>
    </row>
    <row r="1881" spans="1:3" x14ac:dyDescent="0.2">
      <c r="A1881" t="s">
        <v>237</v>
      </c>
      <c r="B1881" t="s">
        <v>775</v>
      </c>
      <c r="C1881" s="1">
        <v>3264512</v>
      </c>
    </row>
    <row r="1882" spans="1:3" x14ac:dyDescent="0.2">
      <c r="A1882" t="s">
        <v>237</v>
      </c>
      <c r="B1882" t="s">
        <v>776</v>
      </c>
      <c r="C1882" s="1">
        <v>907373.1</v>
      </c>
    </row>
    <row r="1883" spans="1:3" x14ac:dyDescent="0.2">
      <c r="A1883" t="s">
        <v>237</v>
      </c>
      <c r="B1883" t="s">
        <v>779</v>
      </c>
      <c r="C1883" s="1">
        <v>8141123.5</v>
      </c>
    </row>
    <row r="1884" spans="1:3" x14ac:dyDescent="0.2">
      <c r="A1884" t="s">
        <v>237</v>
      </c>
      <c r="B1884" t="s">
        <v>781</v>
      </c>
      <c r="C1884" s="1">
        <v>12519539</v>
      </c>
    </row>
    <row r="1885" spans="1:3" x14ac:dyDescent="0.2">
      <c r="A1885" t="s">
        <v>237</v>
      </c>
      <c r="B1885" t="s">
        <v>782</v>
      </c>
      <c r="C1885" s="1">
        <v>2607643.2000000002</v>
      </c>
    </row>
    <row r="1886" spans="1:3" x14ac:dyDescent="0.2">
      <c r="A1886" t="s">
        <v>237</v>
      </c>
      <c r="B1886" t="s">
        <v>783</v>
      </c>
      <c r="C1886" s="1">
        <v>13324508.100000001</v>
      </c>
    </row>
    <row r="1887" spans="1:3" x14ac:dyDescent="0.2">
      <c r="A1887" t="s">
        <v>237</v>
      </c>
      <c r="B1887" t="s">
        <v>784</v>
      </c>
      <c r="C1887" s="1">
        <v>3907407.2000000007</v>
      </c>
    </row>
    <row r="1888" spans="1:3" x14ac:dyDescent="0.2">
      <c r="A1888" t="s">
        <v>237</v>
      </c>
      <c r="B1888" t="s">
        <v>785</v>
      </c>
      <c r="C1888" s="1">
        <v>13917702.900000002</v>
      </c>
    </row>
    <row r="1889" spans="1:3" x14ac:dyDescent="0.2">
      <c r="A1889" t="s">
        <v>237</v>
      </c>
      <c r="B1889" t="s">
        <v>792</v>
      </c>
      <c r="C1889" s="1">
        <v>1945512.5</v>
      </c>
    </row>
    <row r="1890" spans="1:3" x14ac:dyDescent="0.2">
      <c r="A1890" t="s">
        <v>237</v>
      </c>
      <c r="B1890" t="s">
        <v>794</v>
      </c>
      <c r="C1890" s="1">
        <v>1229165</v>
      </c>
    </row>
    <row r="1891" spans="1:3" x14ac:dyDescent="0.2">
      <c r="A1891" t="s">
        <v>237</v>
      </c>
      <c r="B1891" t="s">
        <v>795</v>
      </c>
      <c r="C1891" s="1">
        <v>1295680</v>
      </c>
    </row>
    <row r="1892" spans="1:3" x14ac:dyDescent="0.2">
      <c r="A1892" t="s">
        <v>237</v>
      </c>
      <c r="B1892" t="s">
        <v>796</v>
      </c>
      <c r="C1892" s="1">
        <v>601420</v>
      </c>
    </row>
    <row r="1893" spans="1:3" x14ac:dyDescent="0.2">
      <c r="A1893" t="s">
        <v>237</v>
      </c>
      <c r="B1893" t="s">
        <v>798</v>
      </c>
      <c r="C1893" s="1">
        <v>7502412.799999998</v>
      </c>
    </row>
    <row r="1894" spans="1:3" x14ac:dyDescent="0.2">
      <c r="A1894" t="s">
        <v>237</v>
      </c>
      <c r="B1894" t="s">
        <v>799</v>
      </c>
      <c r="C1894" s="1">
        <v>58098933.799999997</v>
      </c>
    </row>
    <row r="1895" spans="1:3" x14ac:dyDescent="0.2">
      <c r="A1895" t="s">
        <v>237</v>
      </c>
      <c r="B1895" t="s">
        <v>800</v>
      </c>
      <c r="C1895" s="1">
        <v>14073959.9</v>
      </c>
    </row>
    <row r="1896" spans="1:3" x14ac:dyDescent="0.2">
      <c r="A1896" t="s">
        <v>237</v>
      </c>
      <c r="B1896" t="s">
        <v>801</v>
      </c>
      <c r="C1896" s="1">
        <v>24136422.5</v>
      </c>
    </row>
    <row r="1897" spans="1:3" x14ac:dyDescent="0.2">
      <c r="A1897" t="s">
        <v>237</v>
      </c>
      <c r="B1897" t="s">
        <v>802</v>
      </c>
      <c r="C1897" s="1">
        <v>1983666</v>
      </c>
    </row>
    <row r="1898" spans="1:3" x14ac:dyDescent="0.2">
      <c r="A1898" t="s">
        <v>237</v>
      </c>
      <c r="B1898" t="s">
        <v>803</v>
      </c>
      <c r="C1898" s="1">
        <v>7501003.7000000002</v>
      </c>
    </row>
    <row r="1899" spans="1:3" x14ac:dyDescent="0.2">
      <c r="A1899" t="s">
        <v>237</v>
      </c>
      <c r="B1899" t="s">
        <v>804</v>
      </c>
      <c r="C1899" s="1">
        <v>3461021.9</v>
      </c>
    </row>
    <row r="1900" spans="1:3" x14ac:dyDescent="0.2">
      <c r="A1900" t="s">
        <v>237</v>
      </c>
      <c r="B1900" t="s">
        <v>805</v>
      </c>
      <c r="C1900" s="1">
        <v>8933551.5999999996</v>
      </c>
    </row>
    <row r="1901" spans="1:3" x14ac:dyDescent="0.2">
      <c r="A1901" t="s">
        <v>237</v>
      </c>
      <c r="B1901" t="s">
        <v>807</v>
      </c>
      <c r="C1901" s="1">
        <v>4402047.3</v>
      </c>
    </row>
    <row r="1902" spans="1:3" x14ac:dyDescent="0.2">
      <c r="A1902" t="s">
        <v>237</v>
      </c>
      <c r="B1902" t="s">
        <v>809</v>
      </c>
      <c r="C1902" s="1">
        <v>1377207.7000000002</v>
      </c>
    </row>
    <row r="1903" spans="1:3" x14ac:dyDescent="0.2">
      <c r="A1903" t="s">
        <v>237</v>
      </c>
      <c r="B1903" t="s">
        <v>812</v>
      </c>
      <c r="C1903" s="1">
        <v>3820724.4</v>
      </c>
    </row>
    <row r="1904" spans="1:3" x14ac:dyDescent="0.2">
      <c r="A1904" t="s">
        <v>237</v>
      </c>
      <c r="B1904" t="s">
        <v>813</v>
      </c>
      <c r="C1904" s="1">
        <v>12344184</v>
      </c>
    </row>
    <row r="1905" spans="1:3" x14ac:dyDescent="0.2">
      <c r="A1905" t="s">
        <v>237</v>
      </c>
      <c r="B1905" t="s">
        <v>821</v>
      </c>
      <c r="C1905" s="1">
        <v>3111953.5</v>
      </c>
    </row>
    <row r="1906" spans="1:3" x14ac:dyDescent="0.2">
      <c r="A1906" t="s">
        <v>237</v>
      </c>
      <c r="B1906" t="s">
        <v>822</v>
      </c>
      <c r="C1906" s="1">
        <v>3652072.6</v>
      </c>
    </row>
    <row r="1907" spans="1:3" x14ac:dyDescent="0.2">
      <c r="A1907" t="s">
        <v>237</v>
      </c>
      <c r="B1907" t="s">
        <v>828</v>
      </c>
      <c r="C1907" s="1">
        <v>8597820.8000000007</v>
      </c>
    </row>
    <row r="1908" spans="1:3" x14ac:dyDescent="0.2">
      <c r="A1908" t="s">
        <v>237</v>
      </c>
      <c r="B1908" t="s">
        <v>829</v>
      </c>
      <c r="C1908" s="1">
        <v>2857874.7</v>
      </c>
    </row>
    <row r="1909" spans="1:3" x14ac:dyDescent="0.2">
      <c r="A1909" t="s">
        <v>237</v>
      </c>
      <c r="B1909" t="s">
        <v>830</v>
      </c>
      <c r="C1909" s="1">
        <v>580425.9</v>
      </c>
    </row>
    <row r="1910" spans="1:3" x14ac:dyDescent="0.2">
      <c r="A1910" t="s">
        <v>237</v>
      </c>
      <c r="B1910" t="s">
        <v>832</v>
      </c>
      <c r="C1910" s="1">
        <v>4509274.5</v>
      </c>
    </row>
    <row r="1911" spans="1:3" x14ac:dyDescent="0.2">
      <c r="A1911" t="s">
        <v>237</v>
      </c>
      <c r="B1911" t="s">
        <v>836</v>
      </c>
      <c r="C1911" s="1">
        <v>5496073</v>
      </c>
    </row>
    <row r="1912" spans="1:3" x14ac:dyDescent="0.2">
      <c r="A1912" t="s">
        <v>237</v>
      </c>
      <c r="B1912" t="s">
        <v>837</v>
      </c>
      <c r="C1912" s="1">
        <v>3958700.3999999994</v>
      </c>
    </row>
    <row r="1913" spans="1:3" x14ac:dyDescent="0.2">
      <c r="A1913" t="s">
        <v>237</v>
      </c>
      <c r="B1913" t="s">
        <v>838</v>
      </c>
      <c r="C1913" s="1">
        <v>1733214</v>
      </c>
    </row>
    <row r="1914" spans="1:3" x14ac:dyDescent="0.2">
      <c r="A1914" t="s">
        <v>237</v>
      </c>
      <c r="B1914" t="s">
        <v>839</v>
      </c>
      <c r="C1914" s="1">
        <v>1083375</v>
      </c>
    </row>
    <row r="1915" spans="1:3" x14ac:dyDescent="0.2">
      <c r="A1915" t="s">
        <v>237</v>
      </c>
      <c r="B1915" t="s">
        <v>844</v>
      </c>
      <c r="C1915" s="1">
        <v>1034694.2</v>
      </c>
    </row>
    <row r="1916" spans="1:3" x14ac:dyDescent="0.2">
      <c r="A1916" t="s">
        <v>237</v>
      </c>
      <c r="B1916" t="s">
        <v>847</v>
      </c>
      <c r="C1916" s="1">
        <v>289900</v>
      </c>
    </row>
    <row r="1917" spans="1:3" x14ac:dyDescent="0.2">
      <c r="A1917" t="s">
        <v>237</v>
      </c>
      <c r="B1917" t="s">
        <v>851</v>
      </c>
      <c r="C1917" s="1">
        <v>23281058.799999997</v>
      </c>
    </row>
    <row r="1918" spans="1:3" x14ac:dyDescent="0.2">
      <c r="A1918" t="s">
        <v>237</v>
      </c>
      <c r="B1918" t="s">
        <v>852</v>
      </c>
      <c r="C1918" s="1">
        <v>188419676.40000001</v>
      </c>
    </row>
    <row r="1919" spans="1:3" x14ac:dyDescent="0.2">
      <c r="A1919" t="s">
        <v>237</v>
      </c>
      <c r="B1919" t="s">
        <v>853</v>
      </c>
      <c r="C1919" s="1">
        <v>3875000</v>
      </c>
    </row>
    <row r="1920" spans="1:3" x14ac:dyDescent="0.2">
      <c r="A1920" t="s">
        <v>237</v>
      </c>
      <c r="B1920" t="s">
        <v>854</v>
      </c>
      <c r="C1920" s="1">
        <v>1811324.7000000002</v>
      </c>
    </row>
    <row r="1921" spans="1:3" x14ac:dyDescent="0.2">
      <c r="A1921" t="s">
        <v>237</v>
      </c>
      <c r="B1921" t="s">
        <v>855</v>
      </c>
      <c r="C1921" s="1">
        <v>2004500</v>
      </c>
    </row>
    <row r="1922" spans="1:3" x14ac:dyDescent="0.2">
      <c r="A1922" t="s">
        <v>237</v>
      </c>
      <c r="B1922" t="s">
        <v>856</v>
      </c>
      <c r="C1922" s="1">
        <v>2352363</v>
      </c>
    </row>
    <row r="1923" spans="1:3" x14ac:dyDescent="0.2">
      <c r="A1923" t="s">
        <v>237</v>
      </c>
      <c r="B1923" t="s">
        <v>857</v>
      </c>
      <c r="C1923" s="1">
        <v>11432292.1</v>
      </c>
    </row>
    <row r="1924" spans="1:3" x14ac:dyDescent="0.2">
      <c r="A1924" t="s">
        <v>237</v>
      </c>
      <c r="B1924" t="s">
        <v>858</v>
      </c>
      <c r="C1924" s="1">
        <v>472200</v>
      </c>
    </row>
    <row r="1925" spans="1:3" x14ac:dyDescent="0.2">
      <c r="A1925" t="s">
        <v>237</v>
      </c>
      <c r="B1925" t="s">
        <v>859</v>
      </c>
      <c r="C1925" s="1">
        <v>8669775</v>
      </c>
    </row>
    <row r="1926" spans="1:3" x14ac:dyDescent="0.2">
      <c r="A1926" t="s">
        <v>237</v>
      </c>
      <c r="B1926" t="s">
        <v>860</v>
      </c>
      <c r="C1926" s="1">
        <v>20558033.199999996</v>
      </c>
    </row>
    <row r="1927" spans="1:3" x14ac:dyDescent="0.2">
      <c r="A1927" t="s">
        <v>237</v>
      </c>
      <c r="B1927" t="s">
        <v>861</v>
      </c>
      <c r="C1927" s="1">
        <v>1992139.5999999999</v>
      </c>
    </row>
    <row r="1928" spans="1:3" x14ac:dyDescent="0.2">
      <c r="A1928" t="s">
        <v>237</v>
      </c>
      <c r="B1928" t="s">
        <v>862</v>
      </c>
      <c r="C1928" s="1">
        <v>3019815.2</v>
      </c>
    </row>
    <row r="1929" spans="1:3" x14ac:dyDescent="0.2">
      <c r="A1929" t="s">
        <v>237</v>
      </c>
      <c r="B1929" t="s">
        <v>863</v>
      </c>
      <c r="C1929" s="1">
        <v>289489140.79999995</v>
      </c>
    </row>
    <row r="1930" spans="1:3" x14ac:dyDescent="0.2">
      <c r="A1930" t="s">
        <v>237</v>
      </c>
      <c r="B1930" t="s">
        <v>864</v>
      </c>
      <c r="C1930" s="1">
        <v>4130880</v>
      </c>
    </row>
    <row r="1931" spans="1:3" x14ac:dyDescent="0.2">
      <c r="A1931" t="s">
        <v>237</v>
      </c>
      <c r="B1931" t="s">
        <v>865</v>
      </c>
      <c r="C1931" s="1">
        <v>7644029.8999999994</v>
      </c>
    </row>
    <row r="1932" spans="1:3" x14ac:dyDescent="0.2">
      <c r="A1932" t="s">
        <v>237</v>
      </c>
      <c r="B1932" t="s">
        <v>866</v>
      </c>
      <c r="C1932" s="1">
        <v>1222647.8999999999</v>
      </c>
    </row>
    <row r="1933" spans="1:3" x14ac:dyDescent="0.2">
      <c r="A1933" t="s">
        <v>237</v>
      </c>
      <c r="B1933" t="s">
        <v>867</v>
      </c>
      <c r="C1933" s="1">
        <v>17811770.099999998</v>
      </c>
    </row>
    <row r="1934" spans="1:3" x14ac:dyDescent="0.2">
      <c r="A1934" t="s">
        <v>237</v>
      </c>
      <c r="B1934" t="s">
        <v>868</v>
      </c>
      <c r="C1934" s="1">
        <v>7975466.5999999996</v>
      </c>
    </row>
    <row r="1935" spans="1:3" x14ac:dyDescent="0.2">
      <c r="A1935" t="s">
        <v>237</v>
      </c>
      <c r="B1935" t="s">
        <v>869</v>
      </c>
      <c r="C1935" s="1">
        <v>3822765.2</v>
      </c>
    </row>
    <row r="1936" spans="1:3" x14ac:dyDescent="0.2">
      <c r="A1936" t="s">
        <v>237</v>
      </c>
      <c r="B1936" t="s">
        <v>870</v>
      </c>
      <c r="C1936" s="1">
        <v>4330917.2</v>
      </c>
    </row>
    <row r="1937" spans="1:3" x14ac:dyDescent="0.2">
      <c r="A1937" t="s">
        <v>237</v>
      </c>
      <c r="B1937" t="s">
        <v>871</v>
      </c>
      <c r="C1937" s="1">
        <v>9352805.3999999985</v>
      </c>
    </row>
    <row r="1938" spans="1:3" x14ac:dyDescent="0.2">
      <c r="A1938" t="s">
        <v>237</v>
      </c>
      <c r="B1938" t="s">
        <v>872</v>
      </c>
      <c r="C1938" s="1">
        <v>48602147.299999997</v>
      </c>
    </row>
    <row r="1939" spans="1:3" x14ac:dyDescent="0.2">
      <c r="A1939" t="s">
        <v>237</v>
      </c>
      <c r="B1939" t="s">
        <v>873</v>
      </c>
      <c r="C1939" s="1">
        <v>3134369.9</v>
      </c>
    </row>
    <row r="1940" spans="1:3" x14ac:dyDescent="0.2">
      <c r="A1940" t="s">
        <v>237</v>
      </c>
      <c r="B1940" t="s">
        <v>874</v>
      </c>
      <c r="C1940" s="1">
        <v>9327378.6999999993</v>
      </c>
    </row>
    <row r="1941" spans="1:3" x14ac:dyDescent="0.2">
      <c r="A1941" t="s">
        <v>237</v>
      </c>
      <c r="B1941" t="s">
        <v>875</v>
      </c>
      <c r="C1941" s="1">
        <v>6409854.6000000006</v>
      </c>
    </row>
    <row r="1942" spans="1:3" x14ac:dyDescent="0.2">
      <c r="A1942" t="s">
        <v>237</v>
      </c>
      <c r="B1942" t="s">
        <v>876</v>
      </c>
      <c r="C1942" s="1">
        <v>1680385.4000000001</v>
      </c>
    </row>
    <row r="1943" spans="1:3" x14ac:dyDescent="0.2">
      <c r="A1943" t="s">
        <v>237</v>
      </c>
      <c r="B1943" t="s">
        <v>877</v>
      </c>
      <c r="C1943" s="1">
        <v>4107653.8</v>
      </c>
    </row>
    <row r="1944" spans="1:3" x14ac:dyDescent="0.2">
      <c r="A1944" t="s">
        <v>237</v>
      </c>
      <c r="B1944" t="s">
        <v>878</v>
      </c>
      <c r="C1944" s="1">
        <v>3352769.8</v>
      </c>
    </row>
    <row r="1945" spans="1:3" x14ac:dyDescent="0.2">
      <c r="A1945" t="s">
        <v>237</v>
      </c>
      <c r="B1945" t="s">
        <v>879</v>
      </c>
      <c r="C1945" s="1">
        <v>3160210.6999999997</v>
      </c>
    </row>
    <row r="1946" spans="1:3" x14ac:dyDescent="0.2">
      <c r="A1946" t="s">
        <v>237</v>
      </c>
      <c r="B1946" t="s">
        <v>880</v>
      </c>
      <c r="C1946" s="1">
        <v>978191.79999999993</v>
      </c>
    </row>
    <row r="1947" spans="1:3" x14ac:dyDescent="0.2">
      <c r="A1947" t="s">
        <v>237</v>
      </c>
      <c r="B1947" t="s">
        <v>881</v>
      </c>
      <c r="C1947" s="1">
        <v>26537802.100000005</v>
      </c>
    </row>
    <row r="1948" spans="1:3" x14ac:dyDescent="0.2">
      <c r="A1948" t="s">
        <v>237</v>
      </c>
      <c r="B1948" t="s">
        <v>882</v>
      </c>
      <c r="C1948" s="1">
        <v>674911.7</v>
      </c>
    </row>
    <row r="1949" spans="1:3" x14ac:dyDescent="0.2">
      <c r="A1949" t="s">
        <v>237</v>
      </c>
      <c r="B1949" t="s">
        <v>883</v>
      </c>
      <c r="C1949" s="1">
        <v>6070727.7000000002</v>
      </c>
    </row>
    <row r="1950" spans="1:3" x14ac:dyDescent="0.2">
      <c r="A1950" t="s">
        <v>237</v>
      </c>
      <c r="B1950" t="s">
        <v>884</v>
      </c>
      <c r="C1950" s="1">
        <v>751585</v>
      </c>
    </row>
    <row r="1951" spans="1:3" x14ac:dyDescent="0.2">
      <c r="A1951" t="s">
        <v>237</v>
      </c>
      <c r="B1951" t="s">
        <v>885</v>
      </c>
      <c r="C1951" s="1">
        <v>696481.7</v>
      </c>
    </row>
    <row r="1952" spans="1:3" x14ac:dyDescent="0.2">
      <c r="A1952" t="s">
        <v>237</v>
      </c>
      <c r="B1952" t="s">
        <v>886</v>
      </c>
      <c r="C1952" s="1">
        <v>1472579</v>
      </c>
    </row>
    <row r="1953" spans="1:3" x14ac:dyDescent="0.2">
      <c r="A1953" t="s">
        <v>237</v>
      </c>
      <c r="B1953" t="s">
        <v>887</v>
      </c>
      <c r="C1953" s="1">
        <v>5224970.0999999996</v>
      </c>
    </row>
    <row r="1954" spans="1:3" x14ac:dyDescent="0.2">
      <c r="A1954" t="s">
        <v>237</v>
      </c>
      <c r="B1954" t="s">
        <v>889</v>
      </c>
      <c r="C1954" s="1">
        <v>9267216</v>
      </c>
    </row>
    <row r="1955" spans="1:3" x14ac:dyDescent="0.2">
      <c r="A1955" t="s">
        <v>237</v>
      </c>
      <c r="B1955" t="s">
        <v>890</v>
      </c>
      <c r="C1955" s="1">
        <v>999454</v>
      </c>
    </row>
    <row r="1956" spans="1:3" x14ac:dyDescent="0.2">
      <c r="A1956" t="s">
        <v>237</v>
      </c>
      <c r="B1956" t="s">
        <v>892</v>
      </c>
      <c r="C1956" s="1">
        <v>345000</v>
      </c>
    </row>
    <row r="1957" spans="1:3" x14ac:dyDescent="0.2">
      <c r="A1957" t="s">
        <v>237</v>
      </c>
      <c r="B1957" t="s">
        <v>899</v>
      </c>
      <c r="C1957" s="1">
        <v>2000246.9</v>
      </c>
    </row>
    <row r="1958" spans="1:3" x14ac:dyDescent="0.2">
      <c r="A1958" t="s">
        <v>237</v>
      </c>
      <c r="B1958" t="s">
        <v>900</v>
      </c>
      <c r="C1958" s="1">
        <v>164149.79999999999</v>
      </c>
    </row>
    <row r="1959" spans="1:3" x14ac:dyDescent="0.2">
      <c r="A1959" t="s">
        <v>237</v>
      </c>
      <c r="B1959" t="s">
        <v>901</v>
      </c>
      <c r="C1959" s="1">
        <v>1004457</v>
      </c>
    </row>
    <row r="1960" spans="1:3" x14ac:dyDescent="0.2">
      <c r="A1960" t="s">
        <v>237</v>
      </c>
      <c r="B1960" t="s">
        <v>902</v>
      </c>
      <c r="C1960" s="1">
        <v>3458931.2</v>
      </c>
    </row>
    <row r="1961" spans="1:3" x14ac:dyDescent="0.2">
      <c r="A1961" t="s">
        <v>237</v>
      </c>
      <c r="B1961" t="s">
        <v>903</v>
      </c>
      <c r="C1961" s="1">
        <v>2519605.7999999998</v>
      </c>
    </row>
    <row r="1962" spans="1:3" x14ac:dyDescent="0.2">
      <c r="A1962" t="s">
        <v>237</v>
      </c>
      <c r="B1962" t="s">
        <v>907</v>
      </c>
      <c r="C1962" s="1">
        <v>3640309.2</v>
      </c>
    </row>
    <row r="1963" spans="1:3" x14ac:dyDescent="0.2">
      <c r="A1963" t="s">
        <v>237</v>
      </c>
      <c r="B1963" t="s">
        <v>908</v>
      </c>
      <c r="C1963" s="1">
        <v>5344695.8000000007</v>
      </c>
    </row>
    <row r="1964" spans="1:3" x14ac:dyDescent="0.2">
      <c r="A1964" t="s">
        <v>237</v>
      </c>
      <c r="B1964" t="s">
        <v>909</v>
      </c>
      <c r="C1964" s="1">
        <v>3128188.1</v>
      </c>
    </row>
    <row r="1965" spans="1:3" x14ac:dyDescent="0.2">
      <c r="A1965" t="s">
        <v>237</v>
      </c>
      <c r="B1965" t="s">
        <v>910</v>
      </c>
      <c r="C1965" s="1">
        <v>6535177.7999999998</v>
      </c>
    </row>
    <row r="1966" spans="1:3" x14ac:dyDescent="0.2">
      <c r="A1966" t="s">
        <v>237</v>
      </c>
      <c r="B1966" t="s">
        <v>911</v>
      </c>
      <c r="C1966" s="1">
        <v>1566207.2</v>
      </c>
    </row>
    <row r="1967" spans="1:3" x14ac:dyDescent="0.2">
      <c r="A1967" t="s">
        <v>237</v>
      </c>
      <c r="B1967" t="s">
        <v>912</v>
      </c>
      <c r="C1967" s="1">
        <v>3002088.1</v>
      </c>
    </row>
    <row r="1968" spans="1:3" x14ac:dyDescent="0.2">
      <c r="A1968" t="s">
        <v>237</v>
      </c>
      <c r="B1968" t="s">
        <v>913</v>
      </c>
      <c r="C1968" s="1">
        <v>338967.10000000003</v>
      </c>
    </row>
    <row r="1969" spans="1:3" x14ac:dyDescent="0.2">
      <c r="A1969" t="s">
        <v>237</v>
      </c>
      <c r="B1969" t="s">
        <v>914</v>
      </c>
      <c r="C1969" s="1">
        <v>381097.5</v>
      </c>
    </row>
    <row r="1970" spans="1:3" x14ac:dyDescent="0.2">
      <c r="A1970" t="s">
        <v>237</v>
      </c>
      <c r="B1970" t="s">
        <v>915</v>
      </c>
      <c r="C1970" s="1">
        <v>1209367.8</v>
      </c>
    </row>
    <row r="1971" spans="1:3" x14ac:dyDescent="0.2">
      <c r="A1971" t="s">
        <v>237</v>
      </c>
      <c r="B1971" t="s">
        <v>916</v>
      </c>
      <c r="C1971" s="1">
        <v>1280641.8999999999</v>
      </c>
    </row>
    <row r="1972" spans="1:3" x14ac:dyDescent="0.2">
      <c r="A1972" t="s">
        <v>237</v>
      </c>
      <c r="B1972" t="s">
        <v>917</v>
      </c>
      <c r="C1972" s="1">
        <v>17415813.799999997</v>
      </c>
    </row>
    <row r="1973" spans="1:3" x14ac:dyDescent="0.2">
      <c r="A1973" t="s">
        <v>237</v>
      </c>
      <c r="B1973" t="s">
        <v>918</v>
      </c>
      <c r="C1973" s="1">
        <v>344063.8</v>
      </c>
    </row>
    <row r="1974" spans="1:3" x14ac:dyDescent="0.2">
      <c r="A1974" t="s">
        <v>237</v>
      </c>
      <c r="B1974" t="s">
        <v>919</v>
      </c>
      <c r="C1974" s="1">
        <v>2243569.7999999998</v>
      </c>
    </row>
    <row r="1975" spans="1:3" x14ac:dyDescent="0.2">
      <c r="A1975" t="s">
        <v>237</v>
      </c>
      <c r="B1975" t="s">
        <v>920</v>
      </c>
      <c r="C1975" s="1">
        <v>1113448.1000000001</v>
      </c>
    </row>
    <row r="1976" spans="1:3" x14ac:dyDescent="0.2">
      <c r="A1976" t="s">
        <v>237</v>
      </c>
      <c r="B1976" t="s">
        <v>921</v>
      </c>
      <c r="C1976" s="1">
        <v>4216799.8</v>
      </c>
    </row>
    <row r="1977" spans="1:3" x14ac:dyDescent="0.2">
      <c r="A1977" t="s">
        <v>237</v>
      </c>
      <c r="B1977" t="s">
        <v>922</v>
      </c>
      <c r="C1977" s="1">
        <v>1274860.6000000001</v>
      </c>
    </row>
    <row r="1978" spans="1:3" x14ac:dyDescent="0.2">
      <c r="A1978" t="s">
        <v>237</v>
      </c>
      <c r="B1978" t="s">
        <v>923</v>
      </c>
      <c r="C1978" s="1">
        <v>216311.8</v>
      </c>
    </row>
    <row r="1979" spans="1:3" x14ac:dyDescent="0.2">
      <c r="A1979" t="s">
        <v>237</v>
      </c>
      <c r="B1979" t="s">
        <v>924</v>
      </c>
      <c r="C1979" s="1">
        <v>6552809.7999999998</v>
      </c>
    </row>
    <row r="1980" spans="1:3" x14ac:dyDescent="0.2">
      <c r="A1980" t="s">
        <v>237</v>
      </c>
      <c r="B1980" t="s">
        <v>925</v>
      </c>
      <c r="C1980" s="1">
        <v>12195075.599999998</v>
      </c>
    </row>
    <row r="1981" spans="1:3" x14ac:dyDescent="0.2">
      <c r="A1981" t="s">
        <v>237</v>
      </c>
      <c r="B1981" t="s">
        <v>926</v>
      </c>
      <c r="C1981" s="1">
        <v>943189.89999999991</v>
      </c>
    </row>
    <row r="1982" spans="1:3" x14ac:dyDescent="0.2">
      <c r="A1982" t="s">
        <v>237</v>
      </c>
      <c r="B1982" t="s">
        <v>927</v>
      </c>
      <c r="C1982" s="1">
        <v>276802.89999999991</v>
      </c>
    </row>
    <row r="1983" spans="1:3" x14ac:dyDescent="0.2">
      <c r="A1983" t="s">
        <v>237</v>
      </c>
      <c r="B1983" t="s">
        <v>928</v>
      </c>
      <c r="C1983" s="1">
        <v>24313901</v>
      </c>
    </row>
    <row r="1984" spans="1:3" x14ac:dyDescent="0.2">
      <c r="A1984" t="s">
        <v>237</v>
      </c>
      <c r="B1984" t="s">
        <v>929</v>
      </c>
      <c r="C1984" s="1">
        <v>489383</v>
      </c>
    </row>
    <row r="1985" spans="1:3" x14ac:dyDescent="0.2">
      <c r="A1985" t="s">
        <v>237</v>
      </c>
      <c r="B1985" t="s">
        <v>930</v>
      </c>
      <c r="C1985" s="1">
        <v>1443592</v>
      </c>
    </row>
    <row r="1986" spans="1:3" x14ac:dyDescent="0.2">
      <c r="A1986" t="s">
        <v>237</v>
      </c>
      <c r="B1986" t="s">
        <v>931</v>
      </c>
      <c r="C1986" s="1">
        <v>264000</v>
      </c>
    </row>
    <row r="1987" spans="1:3" x14ac:dyDescent="0.2">
      <c r="A1987" t="s">
        <v>237</v>
      </c>
      <c r="B1987" t="s">
        <v>932</v>
      </c>
      <c r="C1987" s="1">
        <v>682340</v>
      </c>
    </row>
    <row r="1988" spans="1:3" x14ac:dyDescent="0.2">
      <c r="A1988" t="s">
        <v>237</v>
      </c>
      <c r="B1988" t="s">
        <v>933</v>
      </c>
      <c r="C1988" s="1">
        <v>2378975.2999999998</v>
      </c>
    </row>
    <row r="1989" spans="1:3" x14ac:dyDescent="0.2">
      <c r="A1989" t="s">
        <v>237</v>
      </c>
      <c r="B1989" t="s">
        <v>934</v>
      </c>
      <c r="C1989" s="1">
        <v>767995</v>
      </c>
    </row>
    <row r="1990" spans="1:3" x14ac:dyDescent="0.2">
      <c r="A1990" t="s">
        <v>237</v>
      </c>
      <c r="B1990" t="s">
        <v>935</v>
      </c>
      <c r="C1990" s="1">
        <v>1078205</v>
      </c>
    </row>
    <row r="1991" spans="1:3" x14ac:dyDescent="0.2">
      <c r="A1991" t="s">
        <v>237</v>
      </c>
      <c r="B1991" t="s">
        <v>936</v>
      </c>
      <c r="C1991" s="1">
        <v>7490176.2999999998</v>
      </c>
    </row>
    <row r="1992" spans="1:3" x14ac:dyDescent="0.2">
      <c r="A1992" t="s">
        <v>237</v>
      </c>
      <c r="B1992" t="s">
        <v>937</v>
      </c>
      <c r="C1992" s="1">
        <v>1124892.2</v>
      </c>
    </row>
    <row r="1993" spans="1:3" x14ac:dyDescent="0.2">
      <c r="A1993" t="s">
        <v>237</v>
      </c>
      <c r="B1993" t="s">
        <v>938</v>
      </c>
      <c r="C1993" s="1">
        <v>605701.6</v>
      </c>
    </row>
    <row r="1994" spans="1:3" x14ac:dyDescent="0.2">
      <c r="A1994" t="s">
        <v>237</v>
      </c>
      <c r="B1994" t="s">
        <v>942</v>
      </c>
      <c r="C1994" s="1">
        <v>9183259.7000000011</v>
      </c>
    </row>
    <row r="1995" spans="1:3" x14ac:dyDescent="0.2">
      <c r="A1995" t="s">
        <v>237</v>
      </c>
      <c r="B1995" t="s">
        <v>951</v>
      </c>
      <c r="C1995" s="1">
        <v>570851.30000000005</v>
      </c>
    </row>
    <row r="1996" spans="1:3" x14ac:dyDescent="0.2">
      <c r="A1996" t="s">
        <v>237</v>
      </c>
      <c r="B1996" t="s">
        <v>954</v>
      </c>
      <c r="C1996" s="1">
        <v>918908</v>
      </c>
    </row>
    <row r="1997" spans="1:3" x14ac:dyDescent="0.2">
      <c r="A1997" t="s">
        <v>237</v>
      </c>
      <c r="B1997" t="s">
        <v>957</v>
      </c>
      <c r="C1997" s="1">
        <v>1684691.9000000001</v>
      </c>
    </row>
    <row r="1998" spans="1:3" x14ac:dyDescent="0.2">
      <c r="A1998" t="s">
        <v>237</v>
      </c>
      <c r="B1998" t="s">
        <v>972</v>
      </c>
      <c r="C1998" s="1">
        <v>452538.3</v>
      </c>
    </row>
    <row r="1999" spans="1:3" x14ac:dyDescent="0.2">
      <c r="A1999" t="s">
        <v>237</v>
      </c>
      <c r="B1999" t="s">
        <v>974</v>
      </c>
      <c r="C1999" s="1">
        <v>20000</v>
      </c>
    </row>
    <row r="2000" spans="1:3" x14ac:dyDescent="0.2">
      <c r="A2000" t="s">
        <v>237</v>
      </c>
      <c r="B2000" t="s">
        <v>975</v>
      </c>
      <c r="C2000" s="1">
        <v>11255.29999999999</v>
      </c>
    </row>
    <row r="2001" spans="1:3" x14ac:dyDescent="0.2">
      <c r="A2001" t="s">
        <v>237</v>
      </c>
      <c r="B2001" t="s">
        <v>976</v>
      </c>
      <c r="C2001" s="1">
        <v>63027666.399999999</v>
      </c>
    </row>
    <row r="2002" spans="1:3" x14ac:dyDescent="0.2">
      <c r="A2002" t="s">
        <v>237</v>
      </c>
      <c r="B2002" t="s">
        <v>977</v>
      </c>
      <c r="C2002" s="1">
        <v>1907178.2</v>
      </c>
    </row>
    <row r="2003" spans="1:3" x14ac:dyDescent="0.2">
      <c r="A2003" t="s">
        <v>237</v>
      </c>
      <c r="B2003" t="s">
        <v>980</v>
      </c>
      <c r="C2003" s="1">
        <v>13219187.699999999</v>
      </c>
    </row>
    <row r="2004" spans="1:3" x14ac:dyDescent="0.2">
      <c r="A2004" t="s">
        <v>237</v>
      </c>
      <c r="B2004" t="s">
        <v>983</v>
      </c>
      <c r="C2004" s="1">
        <v>8137165.1999999993</v>
      </c>
    </row>
    <row r="2005" spans="1:3" x14ac:dyDescent="0.2">
      <c r="A2005" t="s">
        <v>237</v>
      </c>
      <c r="B2005" t="s">
        <v>984</v>
      </c>
      <c r="C2005" s="1">
        <v>4258413.2</v>
      </c>
    </row>
    <row r="2006" spans="1:3" x14ac:dyDescent="0.2">
      <c r="A2006" t="s">
        <v>237</v>
      </c>
      <c r="B2006" t="s">
        <v>985</v>
      </c>
      <c r="C2006" s="1">
        <v>6619453.5</v>
      </c>
    </row>
    <row r="2007" spans="1:3" x14ac:dyDescent="0.2">
      <c r="A2007" t="s">
        <v>237</v>
      </c>
      <c r="B2007" t="s">
        <v>986</v>
      </c>
      <c r="C2007" s="1">
        <v>133288454.8</v>
      </c>
    </row>
    <row r="2008" spans="1:3" x14ac:dyDescent="0.2">
      <c r="A2008" t="s">
        <v>237</v>
      </c>
      <c r="B2008" t="s">
        <v>987</v>
      </c>
      <c r="C2008" s="1">
        <v>3522552.5999999996</v>
      </c>
    </row>
    <row r="2009" spans="1:3" x14ac:dyDescent="0.2">
      <c r="A2009" t="s">
        <v>237</v>
      </c>
      <c r="B2009" t="s">
        <v>988</v>
      </c>
      <c r="C2009" s="1">
        <v>4024771.2999999993</v>
      </c>
    </row>
    <row r="2010" spans="1:3" x14ac:dyDescent="0.2">
      <c r="A2010" t="s">
        <v>237</v>
      </c>
      <c r="B2010" t="s">
        <v>989</v>
      </c>
      <c r="C2010" s="1">
        <v>1797571.3</v>
      </c>
    </row>
    <row r="2011" spans="1:3" x14ac:dyDescent="0.2">
      <c r="A2011" t="s">
        <v>237</v>
      </c>
      <c r="B2011" t="s">
        <v>990</v>
      </c>
      <c r="C2011" s="1">
        <v>4076477.4</v>
      </c>
    </row>
    <row r="2012" spans="1:3" x14ac:dyDescent="0.2">
      <c r="A2012" t="s">
        <v>237</v>
      </c>
      <c r="B2012" t="s">
        <v>995</v>
      </c>
      <c r="C2012" s="1">
        <v>1590000</v>
      </c>
    </row>
    <row r="2013" spans="1:3" x14ac:dyDescent="0.2">
      <c r="A2013" t="s">
        <v>237</v>
      </c>
      <c r="B2013" t="s">
        <v>996</v>
      </c>
      <c r="C2013" s="1">
        <v>214580</v>
      </c>
    </row>
    <row r="2014" spans="1:3" x14ac:dyDescent="0.2">
      <c r="A2014" t="s">
        <v>237</v>
      </c>
      <c r="B2014" t="s">
        <v>999</v>
      </c>
      <c r="C2014" s="1">
        <v>1075071.6000000001</v>
      </c>
    </row>
    <row r="2015" spans="1:3" x14ac:dyDescent="0.2">
      <c r="A2015" t="s">
        <v>237</v>
      </c>
      <c r="B2015" t="s">
        <v>1011</v>
      </c>
      <c r="C2015" s="1">
        <v>288458.3</v>
      </c>
    </row>
    <row r="2016" spans="1:3" x14ac:dyDescent="0.2">
      <c r="A2016" t="s">
        <v>237</v>
      </c>
      <c r="B2016" t="s">
        <v>1019</v>
      </c>
      <c r="C2016" s="1">
        <v>3685137.3</v>
      </c>
    </row>
    <row r="2017" spans="1:3" x14ac:dyDescent="0.2">
      <c r="A2017" t="s">
        <v>237</v>
      </c>
      <c r="B2017" t="s">
        <v>1021</v>
      </c>
      <c r="C2017" s="1">
        <v>560000</v>
      </c>
    </row>
    <row r="2018" spans="1:3" x14ac:dyDescent="0.2">
      <c r="A2018" t="s">
        <v>237</v>
      </c>
      <c r="B2018" t="s">
        <v>1027</v>
      </c>
      <c r="C2018" s="1">
        <v>43047094.100000001</v>
      </c>
    </row>
    <row r="2019" spans="1:3" x14ac:dyDescent="0.2">
      <c r="A2019" t="s">
        <v>237</v>
      </c>
      <c r="B2019" t="s">
        <v>1032</v>
      </c>
      <c r="C2019" s="1">
        <v>37747681.600000009</v>
      </c>
    </row>
    <row r="2020" spans="1:3" x14ac:dyDescent="0.2">
      <c r="A2020" t="s">
        <v>237</v>
      </c>
      <c r="B2020" t="s">
        <v>1033</v>
      </c>
      <c r="C2020" s="1">
        <v>14819967.4</v>
      </c>
    </row>
    <row r="2021" spans="1:3" x14ac:dyDescent="0.2">
      <c r="A2021" t="s">
        <v>237</v>
      </c>
      <c r="B2021" t="s">
        <v>1039</v>
      </c>
      <c r="C2021" s="1">
        <v>2748950</v>
      </c>
    </row>
    <row r="2022" spans="1:3" x14ac:dyDescent="0.2">
      <c r="A2022" t="s">
        <v>237</v>
      </c>
      <c r="B2022" t="s">
        <v>1040</v>
      </c>
      <c r="C2022" s="1">
        <v>1573489.7</v>
      </c>
    </row>
    <row r="2023" spans="1:3" x14ac:dyDescent="0.2">
      <c r="A2023" t="s">
        <v>237</v>
      </c>
      <c r="B2023" t="s">
        <v>1041</v>
      </c>
      <c r="C2023" s="1">
        <v>1630543</v>
      </c>
    </row>
    <row r="2024" spans="1:3" x14ac:dyDescent="0.2">
      <c r="A2024" t="s">
        <v>237</v>
      </c>
      <c r="B2024" t="s">
        <v>1042</v>
      </c>
      <c r="C2024" s="1">
        <v>492719.6</v>
      </c>
    </row>
    <row r="2025" spans="1:3" x14ac:dyDescent="0.2">
      <c r="A2025" t="s">
        <v>237</v>
      </c>
      <c r="B2025" t="s">
        <v>1046</v>
      </c>
      <c r="C2025" s="1">
        <v>2005041.9</v>
      </c>
    </row>
    <row r="2026" spans="1:3" x14ac:dyDescent="0.2">
      <c r="A2026" t="s">
        <v>237</v>
      </c>
      <c r="B2026" t="s">
        <v>1048</v>
      </c>
      <c r="C2026" s="1">
        <v>4308.8999999999996</v>
      </c>
    </row>
    <row r="2027" spans="1:3" x14ac:dyDescent="0.2">
      <c r="A2027" t="s">
        <v>237</v>
      </c>
      <c r="B2027" t="s">
        <v>1049</v>
      </c>
      <c r="C2027" s="1">
        <v>976</v>
      </c>
    </row>
    <row r="2028" spans="1:3" x14ac:dyDescent="0.2">
      <c r="A2028" t="s">
        <v>237</v>
      </c>
      <c r="B2028" t="s">
        <v>1052</v>
      </c>
      <c r="C2028" s="1">
        <v>359901179.5999999</v>
      </c>
    </row>
    <row r="2029" spans="1:3" x14ac:dyDescent="0.2">
      <c r="A2029" t="s">
        <v>237</v>
      </c>
      <c r="B2029" t="s">
        <v>1054</v>
      </c>
      <c r="C2029" s="1">
        <v>36000</v>
      </c>
    </row>
    <row r="2030" spans="1:3" x14ac:dyDescent="0.2">
      <c r="A2030" t="s">
        <v>237</v>
      </c>
      <c r="B2030" t="s">
        <v>1059</v>
      </c>
      <c r="C2030" s="1">
        <v>3944101.4000000004</v>
      </c>
    </row>
    <row r="2031" spans="1:3" x14ac:dyDescent="0.2">
      <c r="A2031" t="s">
        <v>237</v>
      </c>
      <c r="B2031" t="s">
        <v>1063</v>
      </c>
      <c r="C2031" s="1">
        <v>1564011</v>
      </c>
    </row>
    <row r="2032" spans="1:3" x14ac:dyDescent="0.2">
      <c r="A2032" t="s">
        <v>237</v>
      </c>
      <c r="B2032" t="s">
        <v>1064</v>
      </c>
      <c r="C2032" s="1">
        <v>324000</v>
      </c>
    </row>
    <row r="2033" spans="1:3" x14ac:dyDescent="0.2">
      <c r="A2033" t="s">
        <v>237</v>
      </c>
      <c r="B2033" t="s">
        <v>1065</v>
      </c>
      <c r="C2033" s="1">
        <v>486000</v>
      </c>
    </row>
    <row r="2034" spans="1:3" x14ac:dyDescent="0.2">
      <c r="A2034" t="s">
        <v>237</v>
      </c>
      <c r="B2034" t="s">
        <v>1066</v>
      </c>
      <c r="C2034" s="1">
        <v>324000</v>
      </c>
    </row>
    <row r="2035" spans="1:3" x14ac:dyDescent="0.2">
      <c r="A2035" t="s">
        <v>237</v>
      </c>
      <c r="B2035" t="s">
        <v>1067</v>
      </c>
      <c r="C2035" s="1">
        <v>1364397.2</v>
      </c>
    </row>
    <row r="2036" spans="1:3" x14ac:dyDescent="0.2">
      <c r="A2036" t="s">
        <v>237</v>
      </c>
      <c r="B2036" t="s">
        <v>1068</v>
      </c>
      <c r="C2036" s="1">
        <v>1193827.1000000001</v>
      </c>
    </row>
    <row r="2037" spans="1:3" x14ac:dyDescent="0.2">
      <c r="A2037" t="s">
        <v>237</v>
      </c>
      <c r="B2037" t="s">
        <v>1069</v>
      </c>
      <c r="C2037" s="1">
        <v>2504428.7000000002</v>
      </c>
    </row>
    <row r="2038" spans="1:3" x14ac:dyDescent="0.2">
      <c r="A2038" t="s">
        <v>237</v>
      </c>
      <c r="B2038" t="s">
        <v>1070</v>
      </c>
      <c r="C2038" s="1">
        <v>410000</v>
      </c>
    </row>
    <row r="2039" spans="1:3" x14ac:dyDescent="0.2">
      <c r="A2039" t="s">
        <v>237</v>
      </c>
      <c r="B2039" t="s">
        <v>1071</v>
      </c>
      <c r="C2039" s="1">
        <v>440726.8</v>
      </c>
    </row>
    <row r="2040" spans="1:3" x14ac:dyDescent="0.2">
      <c r="A2040" t="s">
        <v>237</v>
      </c>
      <c r="B2040" t="s">
        <v>1072</v>
      </c>
      <c r="C2040" s="1">
        <v>56645.1</v>
      </c>
    </row>
    <row r="2041" spans="1:3" x14ac:dyDescent="0.2">
      <c r="A2041" t="s">
        <v>237</v>
      </c>
      <c r="B2041" t="s">
        <v>1073</v>
      </c>
      <c r="C2041" s="1">
        <v>6229640</v>
      </c>
    </row>
    <row r="2042" spans="1:3" x14ac:dyDescent="0.2">
      <c r="A2042" t="s">
        <v>237</v>
      </c>
      <c r="B2042" t="s">
        <v>1074</v>
      </c>
      <c r="C2042" s="1">
        <v>6455493.2999999998</v>
      </c>
    </row>
    <row r="2043" spans="1:3" x14ac:dyDescent="0.2">
      <c r="A2043" t="s">
        <v>237</v>
      </c>
      <c r="B2043" t="s">
        <v>1075</v>
      </c>
      <c r="C2043" s="1">
        <v>802891.2</v>
      </c>
    </row>
    <row r="2044" spans="1:3" x14ac:dyDescent="0.2">
      <c r="A2044" t="s">
        <v>237</v>
      </c>
      <c r="B2044" t="s">
        <v>1076</v>
      </c>
      <c r="C2044" s="1">
        <v>1608001.3</v>
      </c>
    </row>
    <row r="2045" spans="1:3" x14ac:dyDescent="0.2">
      <c r="A2045" t="s">
        <v>237</v>
      </c>
      <c r="B2045" t="s">
        <v>1077</v>
      </c>
      <c r="C2045" s="1">
        <v>885000</v>
      </c>
    </row>
    <row r="2046" spans="1:3" x14ac:dyDescent="0.2">
      <c r="A2046" t="s">
        <v>237</v>
      </c>
      <c r="B2046" t="s">
        <v>1078</v>
      </c>
      <c r="C2046" s="1">
        <v>324000</v>
      </c>
    </row>
    <row r="2047" spans="1:3" x14ac:dyDescent="0.2">
      <c r="A2047" t="s">
        <v>237</v>
      </c>
      <c r="B2047" t="s">
        <v>1079</v>
      </c>
      <c r="C2047" s="1">
        <v>3976374.6000000006</v>
      </c>
    </row>
    <row r="2048" spans="1:3" x14ac:dyDescent="0.2">
      <c r="A2048" t="s">
        <v>237</v>
      </c>
      <c r="B2048" t="s">
        <v>1080</v>
      </c>
      <c r="C2048" s="1">
        <v>270000</v>
      </c>
    </row>
    <row r="2049" spans="1:3" x14ac:dyDescent="0.2">
      <c r="A2049" t="s">
        <v>237</v>
      </c>
      <c r="B2049" t="s">
        <v>1081</v>
      </c>
      <c r="C2049" s="1">
        <v>324000</v>
      </c>
    </row>
    <row r="2050" spans="1:3" x14ac:dyDescent="0.2">
      <c r="A2050" t="s">
        <v>237</v>
      </c>
      <c r="B2050" t="s">
        <v>1082</v>
      </c>
      <c r="C2050" s="1">
        <v>216000</v>
      </c>
    </row>
    <row r="2051" spans="1:3" x14ac:dyDescent="0.2">
      <c r="A2051" t="s">
        <v>237</v>
      </c>
      <c r="B2051" t="s">
        <v>1083</v>
      </c>
      <c r="C2051" s="1">
        <v>792000</v>
      </c>
    </row>
    <row r="2052" spans="1:3" x14ac:dyDescent="0.2">
      <c r="A2052" t="s">
        <v>237</v>
      </c>
      <c r="B2052" t="s">
        <v>1084</v>
      </c>
      <c r="C2052" s="1">
        <v>27358175.5</v>
      </c>
    </row>
    <row r="2053" spans="1:3" x14ac:dyDescent="0.2">
      <c r="A2053" t="s">
        <v>237</v>
      </c>
      <c r="B2053" t="s">
        <v>1088</v>
      </c>
      <c r="C2053" s="1">
        <v>17910875.100000001</v>
      </c>
    </row>
    <row r="2054" spans="1:3" x14ac:dyDescent="0.2">
      <c r="A2054" t="s">
        <v>237</v>
      </c>
      <c r="B2054" t="s">
        <v>1089</v>
      </c>
      <c r="C2054" s="1">
        <v>1066471</v>
      </c>
    </row>
    <row r="2055" spans="1:3" x14ac:dyDescent="0.2">
      <c r="A2055" t="s">
        <v>237</v>
      </c>
      <c r="B2055" t="s">
        <v>1092</v>
      </c>
      <c r="C2055" s="1">
        <v>4826015.5999999996</v>
      </c>
    </row>
    <row r="2056" spans="1:3" x14ac:dyDescent="0.2">
      <c r="A2056" t="s">
        <v>237</v>
      </c>
      <c r="B2056" t="s">
        <v>1093</v>
      </c>
      <c r="C2056" s="1">
        <v>3805860</v>
      </c>
    </row>
    <row r="2057" spans="1:3" x14ac:dyDescent="0.2">
      <c r="A2057" t="s">
        <v>237</v>
      </c>
      <c r="B2057" t="s">
        <v>1094</v>
      </c>
      <c r="C2057" s="1">
        <v>132047038.79999998</v>
      </c>
    </row>
    <row r="2058" spans="1:3" x14ac:dyDescent="0.2">
      <c r="A2058" t="s">
        <v>237</v>
      </c>
      <c r="B2058" t="s">
        <v>1095</v>
      </c>
      <c r="C2058" s="1">
        <v>432000</v>
      </c>
    </row>
    <row r="2059" spans="1:3" x14ac:dyDescent="0.2">
      <c r="A2059" t="s">
        <v>237</v>
      </c>
      <c r="B2059" t="s">
        <v>1096</v>
      </c>
      <c r="C2059" s="1">
        <v>1764441.8</v>
      </c>
    </row>
    <row r="2060" spans="1:3" x14ac:dyDescent="0.2">
      <c r="A2060" t="s">
        <v>237</v>
      </c>
      <c r="B2060" t="s">
        <v>1097</v>
      </c>
      <c r="C2060" s="1">
        <v>192000</v>
      </c>
    </row>
    <row r="2061" spans="1:3" x14ac:dyDescent="0.2">
      <c r="A2061" t="s">
        <v>237</v>
      </c>
      <c r="B2061" t="s">
        <v>1098</v>
      </c>
      <c r="C2061" s="1">
        <v>749721</v>
      </c>
    </row>
    <row r="2062" spans="1:3" x14ac:dyDescent="0.2">
      <c r="A2062" t="s">
        <v>237</v>
      </c>
      <c r="B2062" t="s">
        <v>1099</v>
      </c>
      <c r="C2062" s="1">
        <v>739628</v>
      </c>
    </row>
    <row r="2063" spans="1:3" x14ac:dyDescent="0.2">
      <c r="A2063" t="s">
        <v>237</v>
      </c>
      <c r="B2063" t="s">
        <v>1100</v>
      </c>
      <c r="C2063" s="1">
        <v>504000</v>
      </c>
    </row>
    <row r="2064" spans="1:3" x14ac:dyDescent="0.2">
      <c r="A2064" t="s">
        <v>237</v>
      </c>
      <c r="B2064" t="s">
        <v>1101</v>
      </c>
      <c r="C2064" s="1">
        <v>864000</v>
      </c>
    </row>
    <row r="2065" spans="1:3" x14ac:dyDescent="0.2">
      <c r="A2065" t="s">
        <v>237</v>
      </c>
      <c r="B2065" t="s">
        <v>1102</v>
      </c>
      <c r="C2065" s="1">
        <v>480000</v>
      </c>
    </row>
    <row r="2066" spans="1:3" x14ac:dyDescent="0.2">
      <c r="A2066" t="s">
        <v>237</v>
      </c>
      <c r="B2066" t="s">
        <v>1103</v>
      </c>
      <c r="C2066" s="1">
        <v>2134489.5</v>
      </c>
    </row>
    <row r="2067" spans="1:3" x14ac:dyDescent="0.2">
      <c r="A2067" t="s">
        <v>237</v>
      </c>
      <c r="B2067" t="s">
        <v>1104</v>
      </c>
      <c r="C2067" s="1">
        <v>288000</v>
      </c>
    </row>
    <row r="2068" spans="1:3" x14ac:dyDescent="0.2">
      <c r="A2068" t="s">
        <v>237</v>
      </c>
      <c r="B2068" t="s">
        <v>1105</v>
      </c>
      <c r="C2068" s="1">
        <v>1788587.6</v>
      </c>
    </row>
    <row r="2069" spans="1:3" x14ac:dyDescent="0.2">
      <c r="A2069" t="s">
        <v>237</v>
      </c>
      <c r="B2069" t="s">
        <v>1106</v>
      </c>
      <c r="C2069" s="1">
        <v>216000</v>
      </c>
    </row>
    <row r="2070" spans="1:3" x14ac:dyDescent="0.2">
      <c r="A2070" t="s">
        <v>237</v>
      </c>
      <c r="B2070" t="s">
        <v>1107</v>
      </c>
      <c r="C2070" s="1">
        <v>240000</v>
      </c>
    </row>
    <row r="2071" spans="1:3" x14ac:dyDescent="0.2">
      <c r="A2071" t="s">
        <v>237</v>
      </c>
      <c r="B2071" t="s">
        <v>1108</v>
      </c>
      <c r="C2071" s="1">
        <v>432000</v>
      </c>
    </row>
    <row r="2072" spans="1:3" x14ac:dyDescent="0.2">
      <c r="A2072" t="s">
        <v>237</v>
      </c>
      <c r="B2072" t="s">
        <v>1109</v>
      </c>
      <c r="C2072" s="1">
        <v>288000</v>
      </c>
    </row>
    <row r="2073" spans="1:3" x14ac:dyDescent="0.2">
      <c r="A2073" t="s">
        <v>237</v>
      </c>
      <c r="B2073" t="s">
        <v>1110</v>
      </c>
      <c r="C2073" s="1">
        <v>6270248</v>
      </c>
    </row>
    <row r="2074" spans="1:3" x14ac:dyDescent="0.2">
      <c r="A2074" t="s">
        <v>237</v>
      </c>
      <c r="B2074" t="s">
        <v>1145</v>
      </c>
      <c r="C2074" s="1">
        <v>484528.8</v>
      </c>
    </row>
    <row r="2075" spans="1:3" x14ac:dyDescent="0.2">
      <c r="A2075" t="s">
        <v>237</v>
      </c>
      <c r="B2075" t="s">
        <v>1167</v>
      </c>
      <c r="C2075" s="1">
        <v>414000</v>
      </c>
    </row>
    <row r="2076" spans="1:3" x14ac:dyDescent="0.2">
      <c r="A2076" t="s">
        <v>237</v>
      </c>
      <c r="B2076" t="s">
        <v>1168</v>
      </c>
      <c r="C2076" s="1">
        <v>975000</v>
      </c>
    </row>
    <row r="2077" spans="1:3" x14ac:dyDescent="0.2">
      <c r="A2077" t="s">
        <v>237</v>
      </c>
      <c r="B2077" t="s">
        <v>1169</v>
      </c>
      <c r="C2077" s="1">
        <v>276000</v>
      </c>
    </row>
    <row r="2078" spans="1:3" x14ac:dyDescent="0.2">
      <c r="A2078" t="s">
        <v>237</v>
      </c>
      <c r="B2078" t="s">
        <v>1175</v>
      </c>
      <c r="C2078" s="1">
        <v>350000</v>
      </c>
    </row>
    <row r="2079" spans="1:3" x14ac:dyDescent="0.2">
      <c r="A2079" t="s">
        <v>237</v>
      </c>
      <c r="B2079" t="s">
        <v>1176</v>
      </c>
      <c r="C2079" s="1">
        <v>1092428.5</v>
      </c>
    </row>
    <row r="2080" spans="1:3" x14ac:dyDescent="0.2">
      <c r="A2080" t="s">
        <v>237</v>
      </c>
      <c r="B2080" t="s">
        <v>1177</v>
      </c>
      <c r="C2080" s="1">
        <v>625250</v>
      </c>
    </row>
    <row r="2081" spans="1:3" x14ac:dyDescent="0.2">
      <c r="A2081" t="s">
        <v>237</v>
      </c>
      <c r="B2081" t="s">
        <v>1178</v>
      </c>
      <c r="C2081" s="1">
        <v>1009973.5</v>
      </c>
    </row>
    <row r="2082" spans="1:3" x14ac:dyDescent="0.2">
      <c r="A2082" t="s">
        <v>237</v>
      </c>
      <c r="B2082" t="s">
        <v>1179</v>
      </c>
      <c r="C2082" s="1">
        <v>802500</v>
      </c>
    </row>
    <row r="2083" spans="1:3" x14ac:dyDescent="0.2">
      <c r="A2083" t="s">
        <v>237</v>
      </c>
      <c r="B2083" t="s">
        <v>1180</v>
      </c>
      <c r="C2083" s="1">
        <v>414000</v>
      </c>
    </row>
    <row r="2084" spans="1:3" x14ac:dyDescent="0.2">
      <c r="A2084" t="s">
        <v>237</v>
      </c>
      <c r="B2084" t="s">
        <v>1208</v>
      </c>
      <c r="C2084" s="1">
        <v>655500</v>
      </c>
    </row>
    <row r="2085" spans="1:3" x14ac:dyDescent="0.2">
      <c r="A2085" t="s">
        <v>237</v>
      </c>
      <c r="B2085" t="s">
        <v>1215</v>
      </c>
      <c r="C2085" s="1">
        <v>1480000</v>
      </c>
    </row>
    <row r="2086" spans="1:3" x14ac:dyDescent="0.2">
      <c r="A2086" t="s">
        <v>237</v>
      </c>
      <c r="B2086" t="s">
        <v>1217</v>
      </c>
      <c r="C2086" s="1">
        <v>1560000</v>
      </c>
    </row>
    <row r="2087" spans="1:3" x14ac:dyDescent="0.2">
      <c r="A2087" t="s">
        <v>237</v>
      </c>
      <c r="B2087" t="s">
        <v>1295</v>
      </c>
      <c r="C2087" s="1">
        <v>942000</v>
      </c>
    </row>
    <row r="2088" spans="1:3" x14ac:dyDescent="0.2">
      <c r="A2088" t="s">
        <v>237</v>
      </c>
      <c r="B2088" t="s">
        <v>1335</v>
      </c>
      <c r="C2088" s="1">
        <v>884817.29999999993</v>
      </c>
    </row>
    <row r="2089" spans="1:3" x14ac:dyDescent="0.2">
      <c r="A2089" t="s">
        <v>237</v>
      </c>
      <c r="B2089" t="s">
        <v>1347</v>
      </c>
      <c r="C2089" s="1">
        <v>869054.99999999988</v>
      </c>
    </row>
    <row r="2090" spans="1:3" x14ac:dyDescent="0.2">
      <c r="A2090" t="s">
        <v>237</v>
      </c>
      <c r="B2090" t="s">
        <v>1360</v>
      </c>
      <c r="C2090" s="1">
        <v>4291942.7</v>
      </c>
    </row>
    <row r="2091" spans="1:3" x14ac:dyDescent="0.2">
      <c r="A2091" t="s">
        <v>237</v>
      </c>
      <c r="B2091" t="s">
        <v>1361</v>
      </c>
      <c r="C2091" s="1">
        <v>2823664.8</v>
      </c>
    </row>
    <row r="2092" spans="1:3" x14ac:dyDescent="0.2">
      <c r="A2092" t="s">
        <v>237</v>
      </c>
      <c r="B2092" t="s">
        <v>1396</v>
      </c>
      <c r="C2092" s="1">
        <v>300997.5</v>
      </c>
    </row>
    <row r="2093" spans="1:3" x14ac:dyDescent="0.2">
      <c r="A2093" t="s">
        <v>237</v>
      </c>
      <c r="B2093" t="s">
        <v>1468</v>
      </c>
      <c r="C2093" s="1">
        <v>532913.1</v>
      </c>
    </row>
    <row r="2094" spans="1:3" x14ac:dyDescent="0.2">
      <c r="A2094" t="s">
        <v>237</v>
      </c>
      <c r="B2094" t="s">
        <v>1471</v>
      </c>
      <c r="C2094" s="1">
        <v>45462.3</v>
      </c>
    </row>
    <row r="2095" spans="1:3" x14ac:dyDescent="0.2">
      <c r="A2095" t="s">
        <v>237</v>
      </c>
      <c r="B2095" t="s">
        <v>1478</v>
      </c>
      <c r="C2095" s="1">
        <v>4869835.4999999991</v>
      </c>
    </row>
    <row r="2096" spans="1:3" x14ac:dyDescent="0.2">
      <c r="A2096" t="s">
        <v>237</v>
      </c>
      <c r="B2096" t="s">
        <v>1491</v>
      </c>
      <c r="C2096" s="1">
        <v>214344</v>
      </c>
    </row>
    <row r="2097" spans="1:3" x14ac:dyDescent="0.2">
      <c r="A2097" t="s">
        <v>237</v>
      </c>
      <c r="B2097" t="s">
        <v>1503</v>
      </c>
      <c r="C2097" s="1">
        <v>46731</v>
      </c>
    </row>
    <row r="2098" spans="1:3" x14ac:dyDescent="0.2">
      <c r="A2098" t="s">
        <v>237</v>
      </c>
      <c r="B2098" t="s">
        <v>1513</v>
      </c>
      <c r="C2098" s="1">
        <v>4292168</v>
      </c>
    </row>
    <row r="2099" spans="1:3" x14ac:dyDescent="0.2">
      <c r="A2099" t="s">
        <v>237</v>
      </c>
      <c r="B2099" t="s">
        <v>1514</v>
      </c>
      <c r="C2099" s="1">
        <v>7305889</v>
      </c>
    </row>
    <row r="2100" spans="1:3" x14ac:dyDescent="0.2">
      <c r="A2100" t="s">
        <v>237</v>
      </c>
      <c r="B2100" t="s">
        <v>1532</v>
      </c>
      <c r="C2100" s="1">
        <v>4708095</v>
      </c>
    </row>
    <row r="2101" spans="1:3" x14ac:dyDescent="0.2">
      <c r="A2101" t="s">
        <v>237</v>
      </c>
      <c r="B2101" t="s">
        <v>1535</v>
      </c>
      <c r="C2101" s="1">
        <v>182634.2</v>
      </c>
    </row>
    <row r="2102" spans="1:3" x14ac:dyDescent="0.2">
      <c r="A2102" t="s">
        <v>237</v>
      </c>
      <c r="B2102" t="s">
        <v>1545</v>
      </c>
      <c r="C2102" s="1">
        <v>969367.2</v>
      </c>
    </row>
    <row r="2103" spans="1:3" x14ac:dyDescent="0.2">
      <c r="A2103" t="s">
        <v>237</v>
      </c>
      <c r="B2103" t="s">
        <v>1546</v>
      </c>
      <c r="C2103" s="1">
        <v>1111438.8</v>
      </c>
    </row>
    <row r="2104" spans="1:3" x14ac:dyDescent="0.2">
      <c r="A2104" t="s">
        <v>237</v>
      </c>
      <c r="B2104" t="s">
        <v>1553</v>
      </c>
      <c r="C2104" s="1">
        <v>561362.69999999995</v>
      </c>
    </row>
    <row r="2105" spans="1:3" x14ac:dyDescent="0.2">
      <c r="A2105" t="s">
        <v>237</v>
      </c>
      <c r="B2105" t="s">
        <v>1555</v>
      </c>
      <c r="C2105" s="1">
        <v>288000</v>
      </c>
    </row>
    <row r="2106" spans="1:3" x14ac:dyDescent="0.2">
      <c r="A2106" t="s">
        <v>237</v>
      </c>
      <c r="B2106" t="s">
        <v>1556</v>
      </c>
      <c r="C2106" s="1">
        <v>324000</v>
      </c>
    </row>
    <row r="2107" spans="1:3" x14ac:dyDescent="0.2">
      <c r="A2107" t="s">
        <v>237</v>
      </c>
      <c r="B2107" t="s">
        <v>1559</v>
      </c>
      <c r="C2107" s="1">
        <v>4123321.8</v>
      </c>
    </row>
    <row r="2108" spans="1:3" x14ac:dyDescent="0.2">
      <c r="A2108" t="s">
        <v>237</v>
      </c>
      <c r="B2108" t="s">
        <v>1572</v>
      </c>
      <c r="C2108" s="1">
        <v>65272</v>
      </c>
    </row>
    <row r="2109" spans="1:3" x14ac:dyDescent="0.2">
      <c r="A2109" t="s">
        <v>237</v>
      </c>
      <c r="B2109" t="s">
        <v>1582</v>
      </c>
      <c r="C2109" s="1">
        <v>208535</v>
      </c>
    </row>
    <row r="2110" spans="1:3" x14ac:dyDescent="0.2">
      <c r="A2110" t="s">
        <v>237</v>
      </c>
      <c r="B2110" t="s">
        <v>1583</v>
      </c>
      <c r="C2110" s="1">
        <v>1054605.3999999999</v>
      </c>
    </row>
    <row r="2111" spans="1:3" x14ac:dyDescent="0.2">
      <c r="A2111" t="s">
        <v>237</v>
      </c>
      <c r="B2111" t="s">
        <v>1585</v>
      </c>
      <c r="C2111" s="1">
        <v>1259048</v>
      </c>
    </row>
    <row r="2112" spans="1:3" x14ac:dyDescent="0.2">
      <c r="A2112" t="s">
        <v>237</v>
      </c>
      <c r="B2112" t="s">
        <v>1601</v>
      </c>
      <c r="C2112" s="1">
        <v>101390244</v>
      </c>
    </row>
    <row r="2113" spans="1:3" x14ac:dyDescent="0.2">
      <c r="A2113" t="s">
        <v>237</v>
      </c>
      <c r="B2113" t="s">
        <v>1605</v>
      </c>
      <c r="C2113" s="1">
        <v>494374</v>
      </c>
    </row>
    <row r="2114" spans="1:3" x14ac:dyDescent="0.2">
      <c r="A2114" t="s">
        <v>237</v>
      </c>
      <c r="B2114" t="s">
        <v>1611</v>
      </c>
      <c r="C2114" s="1">
        <v>3702086</v>
      </c>
    </row>
    <row r="2115" spans="1:3" x14ac:dyDescent="0.2">
      <c r="A2115" t="s">
        <v>237</v>
      </c>
      <c r="B2115" t="s">
        <v>1613</v>
      </c>
      <c r="C2115" s="1">
        <v>798706.2</v>
      </c>
    </row>
    <row r="2116" spans="1:3" x14ac:dyDescent="0.2">
      <c r="A2116" t="s">
        <v>237</v>
      </c>
      <c r="B2116" t="s">
        <v>1737</v>
      </c>
      <c r="C2116" s="1">
        <v>1186198</v>
      </c>
    </row>
    <row r="2117" spans="1:3" x14ac:dyDescent="0.2">
      <c r="A2117" t="s">
        <v>237</v>
      </c>
      <c r="B2117" t="s">
        <v>1891</v>
      </c>
      <c r="C2117" s="1">
        <v>2775175.3</v>
      </c>
    </row>
    <row r="2118" spans="1:3" x14ac:dyDescent="0.2">
      <c r="A2118" t="s">
        <v>237</v>
      </c>
      <c r="B2118" t="s">
        <v>2065</v>
      </c>
      <c r="C2118" s="1">
        <v>1630489</v>
      </c>
    </row>
    <row r="2119" spans="1:3" x14ac:dyDescent="0.2">
      <c r="A2119" t="s">
        <v>237</v>
      </c>
      <c r="B2119" t="s">
        <v>2070</v>
      </c>
      <c r="C2119" s="1">
        <v>149169723.19999999</v>
      </c>
    </row>
    <row r="2120" spans="1:3" x14ac:dyDescent="0.2">
      <c r="A2120" t="s">
        <v>237</v>
      </c>
      <c r="B2120" t="s">
        <v>2071</v>
      </c>
      <c r="C2120" s="1">
        <v>132554535.5</v>
      </c>
    </row>
    <row r="2121" spans="1:3" x14ac:dyDescent="0.2">
      <c r="A2121" t="s">
        <v>237</v>
      </c>
      <c r="B2121" t="s">
        <v>2099</v>
      </c>
      <c r="C2121" s="1">
        <v>69000</v>
      </c>
    </row>
    <row r="2122" spans="1:3" x14ac:dyDescent="0.2">
      <c r="A2122" t="s">
        <v>237</v>
      </c>
      <c r="B2122" t="s">
        <v>2115</v>
      </c>
      <c r="C2122" s="1">
        <v>1007990</v>
      </c>
    </row>
    <row r="2123" spans="1:3" x14ac:dyDescent="0.2">
      <c r="A2123" t="s">
        <v>237</v>
      </c>
      <c r="B2123" t="s">
        <v>2116</v>
      </c>
      <c r="C2123" s="1">
        <v>666000</v>
      </c>
    </row>
    <row r="2124" spans="1:3" x14ac:dyDescent="0.2">
      <c r="A2124" t="s">
        <v>237</v>
      </c>
      <c r="B2124" t="s">
        <v>2155</v>
      </c>
      <c r="C2124" s="1">
        <v>43225000</v>
      </c>
    </row>
    <row r="2125" spans="1:3" x14ac:dyDescent="0.2">
      <c r="A2125" t="s">
        <v>237</v>
      </c>
      <c r="B2125" t="s">
        <v>2179</v>
      </c>
      <c r="C2125" s="1">
        <v>11140475.699999999</v>
      </c>
    </row>
    <row r="2126" spans="1:3" x14ac:dyDescent="0.2">
      <c r="A2126" t="s">
        <v>237</v>
      </c>
      <c r="B2126" t="s">
        <v>2223</v>
      </c>
      <c r="C2126" s="1">
        <v>825585</v>
      </c>
    </row>
    <row r="2127" spans="1:3" x14ac:dyDescent="0.2">
      <c r="A2127" t="s">
        <v>237</v>
      </c>
      <c r="B2127" t="s">
        <v>2314</v>
      </c>
      <c r="C2127" s="1">
        <v>2000000</v>
      </c>
    </row>
    <row r="2128" spans="1:3" x14ac:dyDescent="0.2">
      <c r="A2128" t="s">
        <v>237</v>
      </c>
      <c r="B2128" t="s">
        <v>2463</v>
      </c>
      <c r="C2128" s="1">
        <v>852998</v>
      </c>
    </row>
    <row r="2129" spans="1:3" x14ac:dyDescent="0.2">
      <c r="A2129" t="s">
        <v>237</v>
      </c>
      <c r="B2129" t="s">
        <v>2536</v>
      </c>
      <c r="C2129" s="1">
        <v>54000</v>
      </c>
    </row>
    <row r="2130" spans="1:3" x14ac:dyDescent="0.2">
      <c r="A2130" t="s">
        <v>237</v>
      </c>
      <c r="B2130" t="s">
        <v>2543</v>
      </c>
      <c r="C2130" s="1">
        <v>230867</v>
      </c>
    </row>
    <row r="2131" spans="1:3" x14ac:dyDescent="0.2">
      <c r="A2131" t="s">
        <v>237</v>
      </c>
      <c r="B2131" t="s">
        <v>2544</v>
      </c>
      <c r="C2131" s="1">
        <v>769555</v>
      </c>
    </row>
    <row r="2132" spans="1:3" x14ac:dyDescent="0.2">
      <c r="A2132" t="s">
        <v>237</v>
      </c>
      <c r="B2132" t="s">
        <v>2545</v>
      </c>
      <c r="C2132" s="1">
        <v>577168</v>
      </c>
    </row>
    <row r="2133" spans="1:3" x14ac:dyDescent="0.2">
      <c r="A2133" t="s">
        <v>237</v>
      </c>
      <c r="B2133" t="s">
        <v>2546</v>
      </c>
      <c r="C2133" s="1">
        <v>1064617</v>
      </c>
    </row>
    <row r="2134" spans="1:3" x14ac:dyDescent="0.2">
      <c r="A2134" t="s">
        <v>237</v>
      </c>
      <c r="B2134" t="s">
        <v>2554</v>
      </c>
      <c r="C2134" s="1">
        <v>119990</v>
      </c>
    </row>
    <row r="2135" spans="1:3" x14ac:dyDescent="0.2">
      <c r="A2135" t="s">
        <v>237</v>
      </c>
      <c r="B2135" t="s">
        <v>2574</v>
      </c>
      <c r="C2135" s="1">
        <v>606140.6</v>
      </c>
    </row>
    <row r="2136" spans="1:3" x14ac:dyDescent="0.2">
      <c r="A2136" t="s">
        <v>237</v>
      </c>
      <c r="B2136" t="s">
        <v>2575</v>
      </c>
      <c r="C2136" s="1">
        <v>59995</v>
      </c>
    </row>
    <row r="2137" spans="1:3" x14ac:dyDescent="0.2">
      <c r="A2137" t="s">
        <v>237</v>
      </c>
      <c r="B2137" t="s">
        <v>2640</v>
      </c>
      <c r="C2137" s="1">
        <v>4000000</v>
      </c>
    </row>
    <row r="2138" spans="1:3" x14ac:dyDescent="0.2">
      <c r="A2138" t="s">
        <v>237</v>
      </c>
      <c r="B2138" t="s">
        <v>2641</v>
      </c>
      <c r="C2138" s="1">
        <v>900000</v>
      </c>
    </row>
    <row r="2139" spans="1:3" x14ac:dyDescent="0.2">
      <c r="A2139" t="s">
        <v>52</v>
      </c>
      <c r="B2139" t="s">
        <v>583</v>
      </c>
      <c r="C2139" s="1">
        <v>21231354.699999999</v>
      </c>
    </row>
    <row r="2140" spans="1:3" x14ac:dyDescent="0.2">
      <c r="A2140" t="s">
        <v>52</v>
      </c>
      <c r="B2140" t="s">
        <v>51</v>
      </c>
      <c r="C2140" s="1">
        <v>1480000</v>
      </c>
    </row>
    <row r="2141" spans="1:3" x14ac:dyDescent="0.2">
      <c r="A2141" t="s">
        <v>52</v>
      </c>
      <c r="B2141" t="s">
        <v>138</v>
      </c>
      <c r="C2141" s="1">
        <v>2400000</v>
      </c>
    </row>
    <row r="2142" spans="1:3" x14ac:dyDescent="0.2">
      <c r="A2142" t="s">
        <v>52</v>
      </c>
      <c r="B2142" t="s">
        <v>76</v>
      </c>
      <c r="C2142" s="1">
        <v>1349339</v>
      </c>
    </row>
    <row r="2143" spans="1:3" x14ac:dyDescent="0.2">
      <c r="A2143" t="s">
        <v>52</v>
      </c>
      <c r="B2143" t="s">
        <v>584</v>
      </c>
      <c r="C2143" s="1">
        <v>6191067</v>
      </c>
    </row>
    <row r="2144" spans="1:3" x14ac:dyDescent="0.2">
      <c r="A2144" t="s">
        <v>52</v>
      </c>
      <c r="B2144" t="s">
        <v>226</v>
      </c>
      <c r="C2144" s="1">
        <v>9027735</v>
      </c>
    </row>
    <row r="2145" spans="1:3" x14ac:dyDescent="0.2">
      <c r="A2145" t="s">
        <v>52</v>
      </c>
      <c r="B2145" t="s">
        <v>135</v>
      </c>
      <c r="C2145" s="1">
        <v>89890205.299999997</v>
      </c>
    </row>
    <row r="2146" spans="1:3" x14ac:dyDescent="0.2">
      <c r="A2146" t="s">
        <v>52</v>
      </c>
      <c r="B2146" t="s">
        <v>421</v>
      </c>
      <c r="C2146" s="1">
        <v>16715149.6</v>
      </c>
    </row>
    <row r="2147" spans="1:3" x14ac:dyDescent="0.2">
      <c r="A2147" t="s">
        <v>52</v>
      </c>
      <c r="B2147" t="s">
        <v>566</v>
      </c>
      <c r="C2147" s="1">
        <v>397000</v>
      </c>
    </row>
    <row r="2148" spans="1:3" x14ac:dyDescent="0.2">
      <c r="A2148" t="s">
        <v>52</v>
      </c>
      <c r="B2148" t="s">
        <v>519</v>
      </c>
      <c r="C2148" s="1">
        <v>244343</v>
      </c>
    </row>
    <row r="2149" spans="1:3" x14ac:dyDescent="0.2">
      <c r="A2149" t="s">
        <v>52</v>
      </c>
      <c r="B2149" t="s">
        <v>396</v>
      </c>
      <c r="C2149" s="1">
        <v>1127266</v>
      </c>
    </row>
    <row r="2150" spans="1:3" x14ac:dyDescent="0.2">
      <c r="A2150" t="s">
        <v>52</v>
      </c>
      <c r="B2150" t="s">
        <v>448</v>
      </c>
      <c r="C2150" s="1">
        <v>2766351.3</v>
      </c>
    </row>
    <row r="2151" spans="1:3" x14ac:dyDescent="0.2">
      <c r="A2151" t="s">
        <v>52</v>
      </c>
      <c r="B2151" t="s">
        <v>139</v>
      </c>
      <c r="C2151" s="1">
        <v>2400000</v>
      </c>
    </row>
    <row r="2152" spans="1:3" x14ac:dyDescent="0.2">
      <c r="A2152" t="s">
        <v>52</v>
      </c>
      <c r="B2152" t="s">
        <v>344</v>
      </c>
      <c r="C2152" s="1">
        <v>250000</v>
      </c>
    </row>
    <row r="2153" spans="1:3" x14ac:dyDescent="0.2">
      <c r="A2153" t="s">
        <v>52</v>
      </c>
      <c r="B2153" t="s">
        <v>462</v>
      </c>
      <c r="C2153" s="1">
        <v>1687245.2</v>
      </c>
    </row>
    <row r="2154" spans="1:3" x14ac:dyDescent="0.2">
      <c r="A2154" t="s">
        <v>52</v>
      </c>
      <c r="B2154" t="s">
        <v>468</v>
      </c>
      <c r="C2154" s="1">
        <v>7761889.0999999996</v>
      </c>
    </row>
    <row r="2155" spans="1:3" x14ac:dyDescent="0.2">
      <c r="A2155" t="s">
        <v>52</v>
      </c>
      <c r="B2155" t="s">
        <v>516</v>
      </c>
      <c r="C2155" s="1">
        <v>3408816.3</v>
      </c>
    </row>
    <row r="2156" spans="1:3" x14ac:dyDescent="0.2">
      <c r="A2156" t="s">
        <v>52</v>
      </c>
      <c r="B2156" t="s">
        <v>408</v>
      </c>
      <c r="C2156" s="1">
        <v>7423000</v>
      </c>
    </row>
    <row r="2157" spans="1:3" x14ac:dyDescent="0.2">
      <c r="A2157" t="s">
        <v>52</v>
      </c>
      <c r="B2157" t="s">
        <v>495</v>
      </c>
      <c r="C2157" s="1">
        <v>59131385.799999997</v>
      </c>
    </row>
    <row r="2158" spans="1:3" x14ac:dyDescent="0.2">
      <c r="A2158" t="s">
        <v>52</v>
      </c>
      <c r="B2158" t="s">
        <v>675</v>
      </c>
      <c r="C2158" s="1">
        <v>15634408</v>
      </c>
    </row>
    <row r="2159" spans="1:3" x14ac:dyDescent="0.2">
      <c r="A2159" t="s">
        <v>52</v>
      </c>
      <c r="B2159" t="s">
        <v>773</v>
      </c>
      <c r="C2159" s="1">
        <v>2935565</v>
      </c>
    </row>
    <row r="2160" spans="1:3" x14ac:dyDescent="0.2">
      <c r="A2160" t="s">
        <v>52</v>
      </c>
      <c r="B2160" t="s">
        <v>790</v>
      </c>
      <c r="C2160" s="1">
        <v>252000000</v>
      </c>
    </row>
    <row r="2161" spans="1:3" x14ac:dyDescent="0.2">
      <c r="A2161" t="s">
        <v>52</v>
      </c>
      <c r="B2161" t="s">
        <v>834</v>
      </c>
      <c r="C2161" s="1">
        <v>50000</v>
      </c>
    </row>
    <row r="2162" spans="1:3" x14ac:dyDescent="0.2">
      <c r="A2162" t="s">
        <v>52</v>
      </c>
      <c r="B2162" t="s">
        <v>898</v>
      </c>
      <c r="C2162" s="1">
        <v>490000</v>
      </c>
    </row>
    <row r="2163" spans="1:3" x14ac:dyDescent="0.2">
      <c r="A2163" t="s">
        <v>52</v>
      </c>
      <c r="B2163" t="s">
        <v>963</v>
      </c>
      <c r="C2163" s="1">
        <v>920000</v>
      </c>
    </row>
    <row r="2164" spans="1:3" x14ac:dyDescent="0.2">
      <c r="A2164" t="s">
        <v>52</v>
      </c>
      <c r="B2164" t="s">
        <v>1011</v>
      </c>
      <c r="C2164" s="1">
        <v>3266999.9</v>
      </c>
    </row>
    <row r="2165" spans="1:3" x14ac:dyDescent="0.2">
      <c r="A2165" t="s">
        <v>52</v>
      </c>
      <c r="B2165" t="s">
        <v>1020</v>
      </c>
      <c r="C2165" s="1">
        <v>50000</v>
      </c>
    </row>
    <row r="2166" spans="1:3" x14ac:dyDescent="0.2">
      <c r="A2166" t="s">
        <v>52</v>
      </c>
      <c r="B2166" t="s">
        <v>1043</v>
      </c>
      <c r="C2166" s="1">
        <v>43725</v>
      </c>
    </row>
    <row r="2167" spans="1:3" x14ac:dyDescent="0.2">
      <c r="A2167" t="s">
        <v>52</v>
      </c>
      <c r="B2167" t="s">
        <v>1381</v>
      </c>
      <c r="C2167" s="1">
        <v>26100000</v>
      </c>
    </row>
    <row r="2168" spans="1:3" x14ac:dyDescent="0.2">
      <c r="A2168" t="s">
        <v>52</v>
      </c>
      <c r="B2168" t="s">
        <v>1382</v>
      </c>
      <c r="C2168" s="1">
        <v>18630000</v>
      </c>
    </row>
    <row r="2169" spans="1:3" x14ac:dyDescent="0.2">
      <c r="A2169" t="s">
        <v>52</v>
      </c>
      <c r="B2169" t="s">
        <v>1384</v>
      </c>
      <c r="C2169" s="1">
        <v>111000</v>
      </c>
    </row>
    <row r="2170" spans="1:3" x14ac:dyDescent="0.2">
      <c r="A2170" t="s">
        <v>52</v>
      </c>
      <c r="B2170" t="s">
        <v>1426</v>
      </c>
      <c r="C2170" s="1">
        <v>5159687633</v>
      </c>
    </row>
    <row r="2171" spans="1:3" x14ac:dyDescent="0.2">
      <c r="A2171" t="s">
        <v>52</v>
      </c>
      <c r="B2171" t="s">
        <v>1504</v>
      </c>
      <c r="C2171" s="1">
        <v>66699.8</v>
      </c>
    </row>
    <row r="2172" spans="1:3" x14ac:dyDescent="0.2">
      <c r="A2172" t="s">
        <v>52</v>
      </c>
      <c r="B2172" t="s">
        <v>1633</v>
      </c>
      <c r="C2172" s="1">
        <v>112500</v>
      </c>
    </row>
    <row r="2173" spans="1:3" x14ac:dyDescent="0.2">
      <c r="A2173" t="s">
        <v>52</v>
      </c>
      <c r="B2173" t="s">
        <v>1721</v>
      </c>
      <c r="C2173" s="1">
        <v>540000</v>
      </c>
    </row>
    <row r="2174" spans="1:3" x14ac:dyDescent="0.2">
      <c r="A2174" t="s">
        <v>52</v>
      </c>
      <c r="B2174" t="s">
        <v>2178</v>
      </c>
      <c r="C2174" s="1">
        <v>1880000</v>
      </c>
    </row>
    <row r="2175" spans="1:3" x14ac:dyDescent="0.2">
      <c r="A2175" t="s">
        <v>52</v>
      </c>
      <c r="B2175" t="s">
        <v>2312</v>
      </c>
      <c r="C2175" s="1">
        <v>1175000</v>
      </c>
    </row>
    <row r="2176" spans="1:3" x14ac:dyDescent="0.2">
      <c r="A2176" t="s">
        <v>52</v>
      </c>
      <c r="B2176" t="s">
        <v>2313</v>
      </c>
      <c r="C2176" s="1">
        <v>192000</v>
      </c>
    </row>
    <row r="2177" spans="1:3" x14ac:dyDescent="0.2">
      <c r="A2177" t="s">
        <v>52</v>
      </c>
      <c r="B2177" t="s">
        <v>2341</v>
      </c>
      <c r="C2177" s="1">
        <v>439367</v>
      </c>
    </row>
    <row r="2178" spans="1:3" x14ac:dyDescent="0.2">
      <c r="A2178" t="s">
        <v>52</v>
      </c>
      <c r="B2178" t="s">
        <v>2459</v>
      </c>
      <c r="C2178" s="1">
        <v>175000</v>
      </c>
    </row>
    <row r="2179" spans="1:3" x14ac:dyDescent="0.2">
      <c r="A2179" t="s">
        <v>52</v>
      </c>
      <c r="B2179" t="s">
        <v>2486</v>
      </c>
      <c r="C2179" s="1">
        <v>91000</v>
      </c>
    </row>
    <row r="2180" spans="1:3" x14ac:dyDescent="0.2">
      <c r="A2180" t="s">
        <v>52</v>
      </c>
      <c r="B2180" t="s">
        <v>2529</v>
      </c>
      <c r="C2180" s="1">
        <v>75000</v>
      </c>
    </row>
    <row r="2181" spans="1:3" x14ac:dyDescent="0.2">
      <c r="A2181" t="s">
        <v>52</v>
      </c>
      <c r="B2181" t="s">
        <v>2558</v>
      </c>
      <c r="C2181" s="1">
        <v>250000</v>
      </c>
    </row>
    <row r="2182" spans="1:3" x14ac:dyDescent="0.2">
      <c r="A2182" t="s">
        <v>52</v>
      </c>
      <c r="B2182" t="s">
        <v>2601</v>
      </c>
      <c r="C2182" s="1">
        <v>180000</v>
      </c>
    </row>
    <row r="2183" spans="1:3" x14ac:dyDescent="0.2">
      <c r="A2183" t="s">
        <v>52</v>
      </c>
      <c r="B2183" t="s">
        <v>2635</v>
      </c>
      <c r="C2183" s="1">
        <v>3000000</v>
      </c>
    </row>
    <row r="2184" spans="1:3" x14ac:dyDescent="0.2">
      <c r="A2184" t="s">
        <v>52</v>
      </c>
      <c r="B2184" t="s">
        <v>2656</v>
      </c>
      <c r="C2184" s="1">
        <v>75000</v>
      </c>
    </row>
    <row r="2185" spans="1:3" x14ac:dyDescent="0.2">
      <c r="A2185" t="s">
        <v>52</v>
      </c>
      <c r="B2185" t="s">
        <v>2657</v>
      </c>
      <c r="C2185" s="1">
        <v>75000</v>
      </c>
    </row>
    <row r="2186" spans="1:3" x14ac:dyDescent="0.2">
      <c r="A2186" t="s">
        <v>52</v>
      </c>
      <c r="B2186" t="s">
        <v>2893</v>
      </c>
      <c r="C2186" s="1">
        <v>13100000</v>
      </c>
    </row>
    <row r="2187" spans="1:3" x14ac:dyDescent="0.2">
      <c r="A2187" t="s">
        <v>52</v>
      </c>
      <c r="B2187" t="s">
        <v>2894</v>
      </c>
      <c r="C2187" s="1">
        <v>2063490</v>
      </c>
    </row>
    <row r="2188" spans="1:3" x14ac:dyDescent="0.2">
      <c r="A2188" t="s">
        <v>52</v>
      </c>
      <c r="B2188" t="s">
        <v>2897</v>
      </c>
      <c r="C2188" s="1">
        <v>160000</v>
      </c>
    </row>
    <row r="2189" spans="1:3" x14ac:dyDescent="0.2">
      <c r="A2189" t="s">
        <v>52</v>
      </c>
      <c r="B2189" t="s">
        <v>2898</v>
      </c>
      <c r="C2189" s="1">
        <v>11700000</v>
      </c>
    </row>
    <row r="2190" spans="1:3" x14ac:dyDescent="0.2">
      <c r="A2190" t="s">
        <v>52</v>
      </c>
      <c r="B2190" t="s">
        <v>2900</v>
      </c>
      <c r="C2190" s="1">
        <v>20737846</v>
      </c>
    </row>
    <row r="2191" spans="1:3" x14ac:dyDescent="0.2">
      <c r="A2191" t="s">
        <v>18</v>
      </c>
      <c r="B2191" t="s">
        <v>605</v>
      </c>
      <c r="C2191" s="1">
        <v>6400000</v>
      </c>
    </row>
    <row r="2192" spans="1:3" x14ac:dyDescent="0.2">
      <c r="A2192" t="s">
        <v>18</v>
      </c>
      <c r="B2192" t="s">
        <v>187</v>
      </c>
      <c r="C2192" s="1">
        <v>15923.8</v>
      </c>
    </row>
    <row r="2193" spans="1:3" x14ac:dyDescent="0.2">
      <c r="A2193" t="s">
        <v>18</v>
      </c>
      <c r="B2193" t="s">
        <v>351</v>
      </c>
      <c r="C2193" s="1">
        <v>12256480</v>
      </c>
    </row>
    <row r="2194" spans="1:3" x14ac:dyDescent="0.2">
      <c r="A2194" t="s">
        <v>18</v>
      </c>
      <c r="B2194" t="s">
        <v>621</v>
      </c>
      <c r="C2194" s="1">
        <v>27545325.100000001</v>
      </c>
    </row>
    <row r="2195" spans="1:3" x14ac:dyDescent="0.2">
      <c r="A2195" t="s">
        <v>18</v>
      </c>
      <c r="B2195" t="s">
        <v>543</v>
      </c>
      <c r="C2195" s="1">
        <v>3166898.9</v>
      </c>
    </row>
    <row r="2196" spans="1:3" x14ac:dyDescent="0.2">
      <c r="A2196" t="s">
        <v>18</v>
      </c>
      <c r="B2196" t="s">
        <v>257</v>
      </c>
      <c r="C2196" s="1">
        <v>1150000</v>
      </c>
    </row>
    <row r="2197" spans="1:3" x14ac:dyDescent="0.2">
      <c r="A2197" t="s">
        <v>18</v>
      </c>
      <c r="B2197" t="s">
        <v>308</v>
      </c>
      <c r="C2197" s="1">
        <v>75000000</v>
      </c>
    </row>
    <row r="2198" spans="1:3" x14ac:dyDescent="0.2">
      <c r="A2198" t="s">
        <v>18</v>
      </c>
      <c r="B2198" t="s">
        <v>615</v>
      </c>
      <c r="C2198" s="1">
        <v>1366951</v>
      </c>
    </row>
    <row r="2199" spans="1:3" x14ac:dyDescent="0.2">
      <c r="A2199" t="s">
        <v>18</v>
      </c>
      <c r="B2199" t="s">
        <v>123</v>
      </c>
      <c r="C2199" s="1">
        <v>225000000</v>
      </c>
    </row>
    <row r="2200" spans="1:3" x14ac:dyDescent="0.2">
      <c r="A2200" t="s">
        <v>18</v>
      </c>
      <c r="B2200" t="s">
        <v>221</v>
      </c>
      <c r="C2200" s="1">
        <v>1492340.9</v>
      </c>
    </row>
    <row r="2201" spans="1:3" x14ac:dyDescent="0.2">
      <c r="A2201" t="s">
        <v>18</v>
      </c>
      <c r="B2201" t="s">
        <v>455</v>
      </c>
      <c r="C2201" s="1">
        <v>1920424.5</v>
      </c>
    </row>
    <row r="2202" spans="1:3" x14ac:dyDescent="0.2">
      <c r="A2202" t="s">
        <v>18</v>
      </c>
      <c r="B2202" t="s">
        <v>559</v>
      </c>
      <c r="C2202" s="1">
        <v>120000</v>
      </c>
    </row>
    <row r="2203" spans="1:3" x14ac:dyDescent="0.2">
      <c r="A2203" t="s">
        <v>18</v>
      </c>
      <c r="B2203" t="s">
        <v>379</v>
      </c>
      <c r="C2203" s="1">
        <v>650000</v>
      </c>
    </row>
    <row r="2204" spans="1:3" x14ac:dyDescent="0.2">
      <c r="A2204" t="s">
        <v>18</v>
      </c>
      <c r="B2204" t="s">
        <v>534</v>
      </c>
      <c r="C2204" s="1">
        <v>15421430.4</v>
      </c>
    </row>
    <row r="2205" spans="1:3" x14ac:dyDescent="0.2">
      <c r="A2205" t="s">
        <v>18</v>
      </c>
      <c r="B2205" t="s">
        <v>268</v>
      </c>
      <c r="C2205" s="1">
        <v>25000000</v>
      </c>
    </row>
    <row r="2206" spans="1:3" x14ac:dyDescent="0.2">
      <c r="A2206" t="s">
        <v>18</v>
      </c>
      <c r="B2206" t="s">
        <v>215</v>
      </c>
      <c r="C2206" s="1">
        <v>884242.7</v>
      </c>
    </row>
    <row r="2207" spans="1:3" x14ac:dyDescent="0.2">
      <c r="A2207" t="s">
        <v>18</v>
      </c>
      <c r="B2207" t="s">
        <v>512</v>
      </c>
      <c r="C2207" s="1">
        <v>3283154.0999999898</v>
      </c>
    </row>
    <row r="2208" spans="1:3" x14ac:dyDescent="0.2">
      <c r="A2208" t="s">
        <v>18</v>
      </c>
      <c r="B2208" t="s">
        <v>380</v>
      </c>
      <c r="C2208" s="1">
        <v>1280000</v>
      </c>
    </row>
    <row r="2209" spans="1:3" x14ac:dyDescent="0.2">
      <c r="A2209" t="s">
        <v>18</v>
      </c>
      <c r="B2209" t="s">
        <v>547</v>
      </c>
      <c r="C2209" s="1">
        <v>37815076.899999999</v>
      </c>
    </row>
    <row r="2210" spans="1:3" x14ac:dyDescent="0.2">
      <c r="A2210" t="s">
        <v>18</v>
      </c>
      <c r="B2210" t="s">
        <v>83</v>
      </c>
      <c r="C2210" s="1">
        <v>2719713.1</v>
      </c>
    </row>
    <row r="2211" spans="1:3" x14ac:dyDescent="0.2">
      <c r="A2211" t="s">
        <v>18</v>
      </c>
      <c r="B2211" t="s">
        <v>213</v>
      </c>
      <c r="C2211" s="1">
        <v>13861478</v>
      </c>
    </row>
    <row r="2212" spans="1:3" x14ac:dyDescent="0.2">
      <c r="A2212" t="s">
        <v>18</v>
      </c>
      <c r="B2212" t="s">
        <v>248</v>
      </c>
      <c r="C2212" s="1">
        <v>752514.1</v>
      </c>
    </row>
    <row r="2213" spans="1:3" x14ac:dyDescent="0.2">
      <c r="A2213" t="s">
        <v>18</v>
      </c>
      <c r="B2213" t="s">
        <v>92</v>
      </c>
      <c r="C2213" s="1">
        <v>140000000</v>
      </c>
    </row>
    <row r="2214" spans="1:3" x14ac:dyDescent="0.2">
      <c r="A2214" t="s">
        <v>18</v>
      </c>
      <c r="B2214" t="s">
        <v>435</v>
      </c>
      <c r="C2214" s="1">
        <v>225000000</v>
      </c>
    </row>
    <row r="2215" spans="1:3" x14ac:dyDescent="0.2">
      <c r="A2215" t="s">
        <v>18</v>
      </c>
      <c r="B2215" t="s">
        <v>608</v>
      </c>
      <c r="C2215" s="1">
        <v>13355322.9</v>
      </c>
    </row>
    <row r="2216" spans="1:3" x14ac:dyDescent="0.2">
      <c r="A2216" t="s">
        <v>18</v>
      </c>
      <c r="B2216" t="s">
        <v>607</v>
      </c>
      <c r="C2216" s="1">
        <v>9800000</v>
      </c>
    </row>
    <row r="2217" spans="1:3" x14ac:dyDescent="0.2">
      <c r="A2217" t="s">
        <v>18</v>
      </c>
      <c r="B2217" t="s">
        <v>230</v>
      </c>
      <c r="C2217" s="1">
        <v>3249206.5999999992</v>
      </c>
    </row>
    <row r="2218" spans="1:3" x14ac:dyDescent="0.2">
      <c r="A2218" t="s">
        <v>18</v>
      </c>
      <c r="B2218" t="s">
        <v>40</v>
      </c>
      <c r="C2218" s="1">
        <v>6812410</v>
      </c>
    </row>
    <row r="2219" spans="1:3" x14ac:dyDescent="0.2">
      <c r="A2219" t="s">
        <v>18</v>
      </c>
      <c r="B2219" t="s">
        <v>560</v>
      </c>
      <c r="C2219" s="1">
        <v>138000</v>
      </c>
    </row>
    <row r="2220" spans="1:3" x14ac:dyDescent="0.2">
      <c r="A2220" t="s">
        <v>18</v>
      </c>
      <c r="B2220" t="s">
        <v>527</v>
      </c>
      <c r="C2220" s="1">
        <v>12862116.6</v>
      </c>
    </row>
    <row r="2221" spans="1:3" x14ac:dyDescent="0.2">
      <c r="A2221" t="s">
        <v>18</v>
      </c>
      <c r="B2221" t="s">
        <v>7</v>
      </c>
      <c r="C2221" s="1">
        <v>225172119.69999999</v>
      </c>
    </row>
    <row r="2222" spans="1:3" x14ac:dyDescent="0.2">
      <c r="A2222" t="s">
        <v>18</v>
      </c>
      <c r="B2222" t="s">
        <v>218</v>
      </c>
      <c r="C2222" s="1">
        <v>2465582.7999999998</v>
      </c>
    </row>
    <row r="2223" spans="1:3" x14ac:dyDescent="0.2">
      <c r="A2223" t="s">
        <v>18</v>
      </c>
      <c r="B2223" t="s">
        <v>175</v>
      </c>
      <c r="C2223" s="1">
        <v>4674327</v>
      </c>
    </row>
    <row r="2224" spans="1:3" x14ac:dyDescent="0.2">
      <c r="A2224" t="s">
        <v>18</v>
      </c>
      <c r="B2224" t="s">
        <v>220</v>
      </c>
      <c r="C2224" s="1">
        <v>1338750</v>
      </c>
    </row>
    <row r="2225" spans="1:3" x14ac:dyDescent="0.2">
      <c r="A2225" t="s">
        <v>18</v>
      </c>
      <c r="B2225" t="s">
        <v>45</v>
      </c>
      <c r="C2225" s="1">
        <v>6500000</v>
      </c>
    </row>
    <row r="2226" spans="1:3" x14ac:dyDescent="0.2">
      <c r="A2226" t="s">
        <v>18</v>
      </c>
      <c r="B2226" t="s">
        <v>174</v>
      </c>
      <c r="C2226" s="1">
        <v>291531116.5</v>
      </c>
    </row>
    <row r="2227" spans="1:3" x14ac:dyDescent="0.2">
      <c r="A2227" t="s">
        <v>18</v>
      </c>
      <c r="B2227" t="s">
        <v>332</v>
      </c>
      <c r="C2227" s="1">
        <v>213095</v>
      </c>
    </row>
    <row r="2228" spans="1:3" x14ac:dyDescent="0.2">
      <c r="A2228" t="s">
        <v>18</v>
      </c>
      <c r="B2228" t="s">
        <v>74</v>
      </c>
      <c r="C2228" s="1">
        <v>10000000</v>
      </c>
    </row>
    <row r="2229" spans="1:3" x14ac:dyDescent="0.2">
      <c r="A2229" t="s">
        <v>18</v>
      </c>
      <c r="B2229" t="s">
        <v>172</v>
      </c>
      <c r="C2229" s="1">
        <v>391791.3</v>
      </c>
    </row>
    <row r="2230" spans="1:3" x14ac:dyDescent="0.2">
      <c r="A2230" t="s">
        <v>18</v>
      </c>
      <c r="B2230" t="s">
        <v>107</v>
      </c>
      <c r="C2230" s="1">
        <v>15900000</v>
      </c>
    </row>
    <row r="2231" spans="1:3" x14ac:dyDescent="0.2">
      <c r="A2231" t="s">
        <v>18</v>
      </c>
      <c r="B2231" t="s">
        <v>311</v>
      </c>
      <c r="C2231" s="1">
        <v>10000000</v>
      </c>
    </row>
    <row r="2232" spans="1:3" x14ac:dyDescent="0.2">
      <c r="A2232" t="s">
        <v>18</v>
      </c>
      <c r="B2232" t="s">
        <v>436</v>
      </c>
      <c r="C2232" s="1">
        <v>225000000</v>
      </c>
    </row>
    <row r="2233" spans="1:3" x14ac:dyDescent="0.2">
      <c r="A2233" t="s">
        <v>18</v>
      </c>
      <c r="B2233" t="s">
        <v>226</v>
      </c>
      <c r="C2233" s="1">
        <v>95000000</v>
      </c>
    </row>
    <row r="2234" spans="1:3" x14ac:dyDescent="0.2">
      <c r="A2234" t="s">
        <v>18</v>
      </c>
      <c r="B2234" t="s">
        <v>461</v>
      </c>
      <c r="C2234" s="1">
        <v>13861.8</v>
      </c>
    </row>
    <row r="2235" spans="1:3" x14ac:dyDescent="0.2">
      <c r="A2235" t="s">
        <v>18</v>
      </c>
      <c r="B2235" t="s">
        <v>491</v>
      </c>
      <c r="C2235" s="1">
        <v>36434902</v>
      </c>
    </row>
    <row r="2236" spans="1:3" x14ac:dyDescent="0.2">
      <c r="A2236" t="s">
        <v>18</v>
      </c>
      <c r="B2236" t="s">
        <v>278</v>
      </c>
      <c r="C2236" s="1">
        <v>93088.8</v>
      </c>
    </row>
    <row r="2237" spans="1:3" x14ac:dyDescent="0.2">
      <c r="A2237" t="s">
        <v>18</v>
      </c>
      <c r="B2237" t="s">
        <v>561</v>
      </c>
      <c r="C2237" s="1">
        <v>1005297.4</v>
      </c>
    </row>
    <row r="2238" spans="1:3" x14ac:dyDescent="0.2">
      <c r="A2238" t="s">
        <v>18</v>
      </c>
      <c r="B2238" t="s">
        <v>217</v>
      </c>
      <c r="C2238" s="1">
        <v>900000</v>
      </c>
    </row>
    <row r="2239" spans="1:3" x14ac:dyDescent="0.2">
      <c r="A2239" t="s">
        <v>18</v>
      </c>
      <c r="B2239" t="s">
        <v>419</v>
      </c>
      <c r="C2239" s="1">
        <v>6360719.9000000004</v>
      </c>
    </row>
    <row r="2240" spans="1:3" x14ac:dyDescent="0.2">
      <c r="A2240" t="s">
        <v>18</v>
      </c>
      <c r="B2240" t="s">
        <v>254</v>
      </c>
      <c r="C2240" s="1">
        <v>2752236.6</v>
      </c>
    </row>
    <row r="2241" spans="1:3" x14ac:dyDescent="0.2">
      <c r="A2241" t="s">
        <v>18</v>
      </c>
      <c r="B2241" t="s">
        <v>551</v>
      </c>
      <c r="C2241" s="1">
        <v>403000</v>
      </c>
    </row>
    <row r="2242" spans="1:3" x14ac:dyDescent="0.2">
      <c r="A2242" t="s">
        <v>18</v>
      </c>
      <c r="B2242" t="s">
        <v>122</v>
      </c>
      <c r="C2242" s="1">
        <v>232500000</v>
      </c>
    </row>
    <row r="2243" spans="1:3" x14ac:dyDescent="0.2">
      <c r="A2243" t="s">
        <v>18</v>
      </c>
      <c r="B2243" t="s">
        <v>312</v>
      </c>
      <c r="C2243" s="1">
        <v>10000000</v>
      </c>
    </row>
    <row r="2244" spans="1:3" x14ac:dyDescent="0.2">
      <c r="A2244" t="s">
        <v>18</v>
      </c>
      <c r="B2244" t="s">
        <v>437</v>
      </c>
      <c r="C2244" s="1">
        <v>203853.1</v>
      </c>
    </row>
    <row r="2245" spans="1:3" x14ac:dyDescent="0.2">
      <c r="A2245" t="s">
        <v>18</v>
      </c>
      <c r="B2245" t="s">
        <v>75</v>
      </c>
      <c r="C2245" s="1">
        <v>1070000</v>
      </c>
    </row>
    <row r="2246" spans="1:3" x14ac:dyDescent="0.2">
      <c r="A2246" t="s">
        <v>18</v>
      </c>
      <c r="B2246" t="s">
        <v>253</v>
      </c>
      <c r="C2246" s="1">
        <v>3963710.1</v>
      </c>
    </row>
    <row r="2247" spans="1:3" x14ac:dyDescent="0.2">
      <c r="A2247" t="s">
        <v>18</v>
      </c>
      <c r="B2247" t="s">
        <v>102</v>
      </c>
      <c r="C2247" s="1">
        <v>2000000</v>
      </c>
    </row>
    <row r="2248" spans="1:3" x14ac:dyDescent="0.2">
      <c r="A2248" t="s">
        <v>18</v>
      </c>
      <c r="B2248" t="s">
        <v>565</v>
      </c>
      <c r="C2248" s="1">
        <v>4307241.5</v>
      </c>
    </row>
    <row r="2249" spans="1:3" x14ac:dyDescent="0.2">
      <c r="A2249" t="s">
        <v>18</v>
      </c>
      <c r="B2249" t="s">
        <v>440</v>
      </c>
      <c r="C2249" s="1">
        <v>139400</v>
      </c>
    </row>
    <row r="2250" spans="1:3" x14ac:dyDescent="0.2">
      <c r="A2250" t="s">
        <v>18</v>
      </c>
      <c r="B2250" t="s">
        <v>273</v>
      </c>
      <c r="C2250" s="1">
        <v>55000000</v>
      </c>
    </row>
    <row r="2251" spans="1:3" x14ac:dyDescent="0.2">
      <c r="A2251" t="s">
        <v>18</v>
      </c>
      <c r="B2251" t="s">
        <v>121</v>
      </c>
      <c r="C2251" s="1">
        <v>307524208.60000002</v>
      </c>
    </row>
    <row r="2252" spans="1:3" x14ac:dyDescent="0.2">
      <c r="A2252" t="s">
        <v>18</v>
      </c>
      <c r="B2252" t="s">
        <v>385</v>
      </c>
      <c r="C2252" s="1">
        <v>15000000</v>
      </c>
    </row>
    <row r="2253" spans="1:3" x14ac:dyDescent="0.2">
      <c r="A2253" t="s">
        <v>18</v>
      </c>
      <c r="B2253" t="s">
        <v>147</v>
      </c>
      <c r="C2253" s="1">
        <v>64334319</v>
      </c>
    </row>
    <row r="2254" spans="1:3" x14ac:dyDescent="0.2">
      <c r="A2254" t="s">
        <v>18</v>
      </c>
      <c r="B2254" t="s">
        <v>119</v>
      </c>
      <c r="C2254" s="1">
        <v>232500000</v>
      </c>
    </row>
    <row r="2255" spans="1:3" x14ac:dyDescent="0.2">
      <c r="A2255" t="s">
        <v>18</v>
      </c>
      <c r="B2255" t="s">
        <v>297</v>
      </c>
      <c r="C2255" s="1">
        <v>567000</v>
      </c>
    </row>
    <row r="2256" spans="1:3" x14ac:dyDescent="0.2">
      <c r="A2256" t="s">
        <v>18</v>
      </c>
      <c r="B2256" t="s">
        <v>563</v>
      </c>
      <c r="C2256" s="1">
        <v>225000</v>
      </c>
    </row>
    <row r="2257" spans="1:3" x14ac:dyDescent="0.2">
      <c r="A2257" t="s">
        <v>18</v>
      </c>
      <c r="B2257" t="s">
        <v>444</v>
      </c>
      <c r="C2257" s="1">
        <v>1064736.8</v>
      </c>
    </row>
    <row r="2258" spans="1:3" x14ac:dyDescent="0.2">
      <c r="A2258" t="s">
        <v>18</v>
      </c>
      <c r="B2258" t="s">
        <v>533</v>
      </c>
      <c r="C2258" s="1">
        <v>4220873.2</v>
      </c>
    </row>
    <row r="2259" spans="1:3" x14ac:dyDescent="0.2">
      <c r="A2259" t="s">
        <v>18</v>
      </c>
      <c r="B2259" t="s">
        <v>439</v>
      </c>
      <c r="C2259" s="1">
        <v>225000000</v>
      </c>
    </row>
    <row r="2260" spans="1:3" x14ac:dyDescent="0.2">
      <c r="A2260" t="s">
        <v>18</v>
      </c>
      <c r="B2260" t="s">
        <v>33</v>
      </c>
      <c r="C2260" s="1">
        <v>365913.7</v>
      </c>
    </row>
    <row r="2261" spans="1:3" x14ac:dyDescent="0.2">
      <c r="A2261" t="s">
        <v>18</v>
      </c>
      <c r="B2261" t="s">
        <v>535</v>
      </c>
      <c r="C2261" s="1">
        <v>767789.39999999898</v>
      </c>
    </row>
    <row r="2262" spans="1:3" x14ac:dyDescent="0.2">
      <c r="A2262" t="s">
        <v>18</v>
      </c>
      <c r="B2262" t="s">
        <v>46</v>
      </c>
      <c r="C2262" s="1">
        <v>12000000</v>
      </c>
    </row>
    <row r="2263" spans="1:3" x14ac:dyDescent="0.2">
      <c r="A2263" t="s">
        <v>18</v>
      </c>
      <c r="B2263" t="s">
        <v>518</v>
      </c>
      <c r="C2263" s="1">
        <v>368000</v>
      </c>
    </row>
    <row r="2264" spans="1:3" x14ac:dyDescent="0.2">
      <c r="A2264" t="s">
        <v>18</v>
      </c>
      <c r="B2264" t="s">
        <v>405</v>
      </c>
      <c r="C2264" s="1">
        <v>86826344.299999997</v>
      </c>
    </row>
    <row r="2265" spans="1:3" x14ac:dyDescent="0.2">
      <c r="A2265" t="s">
        <v>18</v>
      </c>
      <c r="B2265" t="s">
        <v>224</v>
      </c>
      <c r="C2265" s="1">
        <v>1414999.9</v>
      </c>
    </row>
    <row r="2266" spans="1:3" x14ac:dyDescent="0.2">
      <c r="A2266" t="s">
        <v>18</v>
      </c>
      <c r="B2266" t="s">
        <v>276</v>
      </c>
      <c r="C2266" s="1">
        <v>30000000</v>
      </c>
    </row>
    <row r="2267" spans="1:3" x14ac:dyDescent="0.2">
      <c r="A2267" t="s">
        <v>18</v>
      </c>
      <c r="B2267" t="s">
        <v>521</v>
      </c>
      <c r="C2267" s="1">
        <v>521823.8</v>
      </c>
    </row>
    <row r="2268" spans="1:3" x14ac:dyDescent="0.2">
      <c r="A2268" t="s">
        <v>18</v>
      </c>
      <c r="B2268" t="s">
        <v>359</v>
      </c>
      <c r="C2268" s="1">
        <v>1571566.3</v>
      </c>
    </row>
    <row r="2269" spans="1:3" x14ac:dyDescent="0.2">
      <c r="A2269" t="s">
        <v>18</v>
      </c>
      <c r="B2269" t="s">
        <v>496</v>
      </c>
      <c r="C2269" s="1">
        <v>1500000</v>
      </c>
    </row>
    <row r="2270" spans="1:3" x14ac:dyDescent="0.2">
      <c r="A2270" t="s">
        <v>18</v>
      </c>
      <c r="B2270" t="s">
        <v>17</v>
      </c>
      <c r="C2270" s="1">
        <v>77601276</v>
      </c>
    </row>
    <row r="2271" spans="1:3" x14ac:dyDescent="0.2">
      <c r="A2271" t="s">
        <v>18</v>
      </c>
      <c r="B2271" t="s">
        <v>606</v>
      </c>
      <c r="C2271" s="1">
        <v>5800000</v>
      </c>
    </row>
    <row r="2272" spans="1:3" x14ac:dyDescent="0.2">
      <c r="A2272" t="s">
        <v>18</v>
      </c>
      <c r="B2272" t="s">
        <v>300</v>
      </c>
      <c r="C2272" s="1">
        <v>22350587.5</v>
      </c>
    </row>
    <row r="2273" spans="1:3" x14ac:dyDescent="0.2">
      <c r="A2273" t="s">
        <v>18</v>
      </c>
      <c r="B2273" t="s">
        <v>381</v>
      </c>
      <c r="C2273" s="1">
        <v>1500000</v>
      </c>
    </row>
    <row r="2274" spans="1:3" x14ac:dyDescent="0.2">
      <c r="A2274" t="s">
        <v>18</v>
      </c>
      <c r="B2274" t="s">
        <v>407</v>
      </c>
      <c r="C2274" s="1">
        <v>3249500</v>
      </c>
    </row>
    <row r="2275" spans="1:3" x14ac:dyDescent="0.2">
      <c r="A2275" t="s">
        <v>18</v>
      </c>
      <c r="B2275" t="s">
        <v>503</v>
      </c>
      <c r="C2275" s="1">
        <v>819348.6</v>
      </c>
    </row>
    <row r="2276" spans="1:3" x14ac:dyDescent="0.2">
      <c r="A2276" t="s">
        <v>18</v>
      </c>
      <c r="B2276" t="s">
        <v>196</v>
      </c>
      <c r="C2276" s="1">
        <v>3623423.3</v>
      </c>
    </row>
    <row r="2277" spans="1:3" x14ac:dyDescent="0.2">
      <c r="A2277" t="s">
        <v>18</v>
      </c>
      <c r="B2277" t="s">
        <v>113</v>
      </c>
      <c r="C2277" s="1">
        <v>33962.5</v>
      </c>
    </row>
    <row r="2278" spans="1:3" x14ac:dyDescent="0.2">
      <c r="A2278" t="s">
        <v>18</v>
      </c>
      <c r="B2278" t="s">
        <v>778</v>
      </c>
      <c r="C2278" s="1">
        <v>937281.6</v>
      </c>
    </row>
    <row r="2279" spans="1:3" x14ac:dyDescent="0.2">
      <c r="A2279" t="s">
        <v>18</v>
      </c>
      <c r="B2279" t="s">
        <v>880</v>
      </c>
      <c r="C2279" s="1">
        <v>59236</v>
      </c>
    </row>
    <row r="2280" spans="1:3" x14ac:dyDescent="0.2">
      <c r="A2280" t="s">
        <v>18</v>
      </c>
      <c r="B2280" t="s">
        <v>884</v>
      </c>
      <c r="C2280" s="1">
        <v>37634</v>
      </c>
    </row>
    <row r="2281" spans="1:3" x14ac:dyDescent="0.2">
      <c r="A2281" t="s">
        <v>18</v>
      </c>
      <c r="B2281" t="s">
        <v>1035</v>
      </c>
      <c r="C2281" s="1">
        <v>190000</v>
      </c>
    </row>
    <row r="2282" spans="1:3" x14ac:dyDescent="0.2">
      <c r="A2282" t="s">
        <v>18</v>
      </c>
      <c r="B2282" t="s">
        <v>2276</v>
      </c>
      <c r="C2282" s="1">
        <v>145000</v>
      </c>
    </row>
    <row r="2283" spans="1:3" x14ac:dyDescent="0.2">
      <c r="A2283" t="s">
        <v>178</v>
      </c>
      <c r="B2283" t="s">
        <v>336</v>
      </c>
      <c r="C2283" s="1">
        <v>1500000</v>
      </c>
    </row>
    <row r="2284" spans="1:3" x14ac:dyDescent="0.2">
      <c r="A2284" t="s">
        <v>178</v>
      </c>
      <c r="B2284" t="s">
        <v>177</v>
      </c>
      <c r="C2284" s="1">
        <v>134510</v>
      </c>
    </row>
    <row r="2285" spans="1:3" x14ac:dyDescent="0.2">
      <c r="A2285" t="s">
        <v>178</v>
      </c>
      <c r="B2285" t="s">
        <v>335</v>
      </c>
      <c r="C2285" s="1">
        <v>4000000</v>
      </c>
    </row>
    <row r="2286" spans="1:3" x14ac:dyDescent="0.2">
      <c r="A2286" t="s">
        <v>178</v>
      </c>
      <c r="B2286" t="s">
        <v>574</v>
      </c>
      <c r="C2286" s="1">
        <v>6958000</v>
      </c>
    </row>
    <row r="2287" spans="1:3" x14ac:dyDescent="0.2">
      <c r="A2287" t="s">
        <v>178</v>
      </c>
      <c r="B2287" t="s">
        <v>337</v>
      </c>
      <c r="C2287" s="1">
        <v>2500000</v>
      </c>
    </row>
    <row r="2288" spans="1:3" x14ac:dyDescent="0.2">
      <c r="A2288" t="s">
        <v>178</v>
      </c>
      <c r="B2288" t="s">
        <v>453</v>
      </c>
      <c r="C2288" s="1">
        <v>150000</v>
      </c>
    </row>
    <row r="2289" spans="1:3" x14ac:dyDescent="0.2">
      <c r="A2289" t="s">
        <v>178</v>
      </c>
      <c r="B2289" t="s">
        <v>397</v>
      </c>
      <c r="C2289" s="1">
        <v>3826227.4</v>
      </c>
    </row>
    <row r="2290" spans="1:3" x14ac:dyDescent="0.2">
      <c r="A2290" t="s">
        <v>178</v>
      </c>
      <c r="B2290" t="s">
        <v>195</v>
      </c>
      <c r="C2290" s="1">
        <v>3000000</v>
      </c>
    </row>
    <row r="2291" spans="1:3" x14ac:dyDescent="0.2">
      <c r="A2291" t="s">
        <v>178</v>
      </c>
      <c r="B2291" t="s">
        <v>1474</v>
      </c>
      <c r="C2291" s="1">
        <v>170076</v>
      </c>
    </row>
    <row r="2292" spans="1:3" x14ac:dyDescent="0.2">
      <c r="A2292" t="s">
        <v>411</v>
      </c>
      <c r="B2292" t="s">
        <v>498</v>
      </c>
      <c r="C2292" s="1">
        <v>1414875</v>
      </c>
    </row>
    <row r="2293" spans="1:3" x14ac:dyDescent="0.2">
      <c r="A2293" t="s">
        <v>411</v>
      </c>
      <c r="B2293" t="s">
        <v>568</v>
      </c>
      <c r="C2293" s="1">
        <v>300000</v>
      </c>
    </row>
    <row r="2294" spans="1:3" x14ac:dyDescent="0.2">
      <c r="A2294" t="s">
        <v>411</v>
      </c>
      <c r="B2294" t="s">
        <v>500</v>
      </c>
      <c r="C2294" s="1">
        <v>3219688</v>
      </c>
    </row>
    <row r="2295" spans="1:3" x14ac:dyDescent="0.2">
      <c r="A2295" t="s">
        <v>411</v>
      </c>
      <c r="B2295" t="s">
        <v>427</v>
      </c>
      <c r="C2295" s="1">
        <v>4606280.5999999996</v>
      </c>
    </row>
    <row r="2296" spans="1:3" x14ac:dyDescent="0.2">
      <c r="A2296" t="s">
        <v>411</v>
      </c>
      <c r="B2296" t="s">
        <v>488</v>
      </c>
      <c r="C2296" s="1">
        <v>462.6</v>
      </c>
    </row>
    <row r="2297" spans="1:3" x14ac:dyDescent="0.2">
      <c r="A2297" t="s">
        <v>411</v>
      </c>
      <c r="B2297" t="s">
        <v>499</v>
      </c>
      <c r="C2297" s="1">
        <v>1968750</v>
      </c>
    </row>
    <row r="2298" spans="1:3" x14ac:dyDescent="0.2">
      <c r="A2298" t="s">
        <v>411</v>
      </c>
      <c r="B2298" t="s">
        <v>410</v>
      </c>
      <c r="C2298" s="1">
        <v>1856016.7</v>
      </c>
    </row>
    <row r="2299" spans="1:3" x14ac:dyDescent="0.2">
      <c r="A2299" t="s">
        <v>99</v>
      </c>
      <c r="B2299" t="s">
        <v>579</v>
      </c>
      <c r="C2299" s="1">
        <v>615487</v>
      </c>
    </row>
    <row r="2300" spans="1:3" x14ac:dyDescent="0.2">
      <c r="A2300" t="s">
        <v>99</v>
      </c>
      <c r="B2300" t="s">
        <v>50</v>
      </c>
      <c r="C2300" s="1">
        <v>4338519</v>
      </c>
    </row>
    <row r="2301" spans="1:3" x14ac:dyDescent="0.2">
      <c r="A2301" t="s">
        <v>99</v>
      </c>
      <c r="B2301" t="s">
        <v>501</v>
      </c>
      <c r="C2301" s="1">
        <v>1097540</v>
      </c>
    </row>
    <row r="2302" spans="1:3" x14ac:dyDescent="0.2">
      <c r="A2302" t="s">
        <v>99</v>
      </c>
      <c r="B2302" t="s">
        <v>391</v>
      </c>
      <c r="C2302" s="1">
        <v>2040000</v>
      </c>
    </row>
    <row r="2303" spans="1:3" x14ac:dyDescent="0.2">
      <c r="A2303" t="s">
        <v>99</v>
      </c>
      <c r="B2303" t="s">
        <v>398</v>
      </c>
      <c r="C2303" s="1">
        <v>247780</v>
      </c>
    </row>
    <row r="2304" spans="1:3" x14ac:dyDescent="0.2">
      <c r="A2304" t="s">
        <v>99</v>
      </c>
      <c r="B2304" t="s">
        <v>577</v>
      </c>
      <c r="C2304" s="1">
        <v>745521</v>
      </c>
    </row>
    <row r="2305" spans="1:3" x14ac:dyDescent="0.2">
      <c r="A2305" t="s">
        <v>99</v>
      </c>
      <c r="B2305" t="s">
        <v>547</v>
      </c>
      <c r="C2305" s="1">
        <v>4824101</v>
      </c>
    </row>
    <row r="2306" spans="1:3" x14ac:dyDescent="0.2">
      <c r="A2306" t="s">
        <v>99</v>
      </c>
      <c r="B2306" t="s">
        <v>98</v>
      </c>
      <c r="C2306" s="1">
        <v>164606.39999999999</v>
      </c>
    </row>
    <row r="2307" spans="1:3" x14ac:dyDescent="0.2">
      <c r="A2307" t="s">
        <v>99</v>
      </c>
      <c r="B2307" t="s">
        <v>255</v>
      </c>
      <c r="C2307" s="1">
        <v>269.89999999999998</v>
      </c>
    </row>
    <row r="2308" spans="1:3" x14ac:dyDescent="0.2">
      <c r="A2308" t="s">
        <v>99</v>
      </c>
      <c r="B2308" t="s">
        <v>188</v>
      </c>
      <c r="C2308" s="1">
        <v>4389681</v>
      </c>
    </row>
    <row r="2309" spans="1:3" x14ac:dyDescent="0.2">
      <c r="A2309" t="s">
        <v>99</v>
      </c>
      <c r="B2309" t="s">
        <v>553</v>
      </c>
      <c r="C2309" s="1">
        <v>1350855</v>
      </c>
    </row>
    <row r="2310" spans="1:3" x14ac:dyDescent="0.2">
      <c r="A2310" t="s">
        <v>99</v>
      </c>
      <c r="B2310" t="s">
        <v>570</v>
      </c>
      <c r="C2310" s="1">
        <v>3600000</v>
      </c>
    </row>
    <row r="2311" spans="1:3" x14ac:dyDescent="0.2">
      <c r="A2311" t="s">
        <v>99</v>
      </c>
      <c r="B2311" t="s">
        <v>226</v>
      </c>
      <c r="C2311" s="1">
        <v>6550000</v>
      </c>
    </row>
    <row r="2312" spans="1:3" x14ac:dyDescent="0.2">
      <c r="A2312" t="s">
        <v>99</v>
      </c>
      <c r="B2312" t="s">
        <v>554</v>
      </c>
      <c r="C2312" s="1">
        <v>6802559</v>
      </c>
    </row>
    <row r="2313" spans="1:3" x14ac:dyDescent="0.2">
      <c r="A2313" t="s">
        <v>99</v>
      </c>
      <c r="B2313" t="s">
        <v>578</v>
      </c>
      <c r="C2313" s="1">
        <v>106620</v>
      </c>
    </row>
    <row r="2314" spans="1:3" x14ac:dyDescent="0.2">
      <c r="A2314" t="s">
        <v>99</v>
      </c>
      <c r="B2314" t="s">
        <v>181</v>
      </c>
      <c r="C2314" s="1">
        <v>150000</v>
      </c>
    </row>
    <row r="2315" spans="1:3" x14ac:dyDescent="0.2">
      <c r="A2315" t="s">
        <v>99</v>
      </c>
      <c r="B2315" t="s">
        <v>557</v>
      </c>
      <c r="C2315" s="1">
        <v>5665618</v>
      </c>
    </row>
    <row r="2316" spans="1:3" x14ac:dyDescent="0.2">
      <c r="A2316" t="s">
        <v>99</v>
      </c>
      <c r="B2316" t="s">
        <v>523</v>
      </c>
      <c r="C2316" s="1">
        <v>600</v>
      </c>
    </row>
    <row r="2317" spans="1:3" x14ac:dyDescent="0.2">
      <c r="A2317" t="s">
        <v>99</v>
      </c>
      <c r="B2317" t="s">
        <v>535</v>
      </c>
      <c r="C2317" s="1">
        <v>500000</v>
      </c>
    </row>
    <row r="2318" spans="1:3" x14ac:dyDescent="0.2">
      <c r="A2318" t="s">
        <v>99</v>
      </c>
      <c r="B2318" t="s">
        <v>555</v>
      </c>
      <c r="C2318" s="1">
        <v>2595000</v>
      </c>
    </row>
    <row r="2319" spans="1:3" x14ac:dyDescent="0.2">
      <c r="A2319" t="s">
        <v>99</v>
      </c>
      <c r="B2319" t="s">
        <v>580</v>
      </c>
      <c r="C2319" s="1">
        <v>3897820</v>
      </c>
    </row>
    <row r="2320" spans="1:3" x14ac:dyDescent="0.2">
      <c r="A2320" t="s">
        <v>99</v>
      </c>
      <c r="B2320" t="s">
        <v>571</v>
      </c>
      <c r="C2320" s="1">
        <v>7089237</v>
      </c>
    </row>
    <row r="2321" spans="1:3" x14ac:dyDescent="0.2">
      <c r="A2321" t="s">
        <v>99</v>
      </c>
      <c r="B2321" t="s">
        <v>573</v>
      </c>
      <c r="C2321" s="1">
        <v>300000</v>
      </c>
    </row>
    <row r="2322" spans="1:3" x14ac:dyDescent="0.2">
      <c r="A2322" t="s">
        <v>99</v>
      </c>
      <c r="B2322" t="s">
        <v>300</v>
      </c>
      <c r="C2322" s="1">
        <v>2300000</v>
      </c>
    </row>
    <row r="2323" spans="1:3" x14ac:dyDescent="0.2">
      <c r="A2323" t="s">
        <v>99</v>
      </c>
      <c r="B2323" t="s">
        <v>556</v>
      </c>
      <c r="C2323" s="1">
        <v>2913391</v>
      </c>
    </row>
    <row r="2324" spans="1:3" x14ac:dyDescent="0.2">
      <c r="A2324" t="s">
        <v>99</v>
      </c>
      <c r="B2324" t="s">
        <v>160</v>
      </c>
      <c r="C2324" s="1">
        <v>6500</v>
      </c>
    </row>
    <row r="2325" spans="1:3" x14ac:dyDescent="0.2">
      <c r="A2325" t="s">
        <v>99</v>
      </c>
      <c r="B2325" t="s">
        <v>667</v>
      </c>
      <c r="C2325" s="1">
        <v>2819282.5999999898</v>
      </c>
    </row>
    <row r="2326" spans="1:3" x14ac:dyDescent="0.2">
      <c r="A2326" t="s">
        <v>99</v>
      </c>
      <c r="B2326" t="s">
        <v>683</v>
      </c>
      <c r="C2326" s="1">
        <v>120580.1</v>
      </c>
    </row>
    <row r="2327" spans="1:3" x14ac:dyDescent="0.2">
      <c r="A2327" t="s">
        <v>99</v>
      </c>
      <c r="B2327" t="s">
        <v>713</v>
      </c>
      <c r="C2327" s="1">
        <v>241109</v>
      </c>
    </row>
    <row r="2328" spans="1:3" x14ac:dyDescent="0.2">
      <c r="A2328" t="s">
        <v>99</v>
      </c>
      <c r="B2328" t="s">
        <v>774</v>
      </c>
      <c r="C2328" s="1">
        <v>255450168</v>
      </c>
    </row>
    <row r="2329" spans="1:3" x14ac:dyDescent="0.2">
      <c r="A2329" t="s">
        <v>99</v>
      </c>
      <c r="B2329" t="s">
        <v>778</v>
      </c>
      <c r="C2329" s="1">
        <v>54434666</v>
      </c>
    </row>
    <row r="2330" spans="1:3" x14ac:dyDescent="0.2">
      <c r="A2330" t="s">
        <v>99</v>
      </c>
      <c r="B2330" t="s">
        <v>783</v>
      </c>
      <c r="C2330" s="1">
        <v>2620000</v>
      </c>
    </row>
    <row r="2331" spans="1:3" x14ac:dyDescent="0.2">
      <c r="A2331" t="s">
        <v>99</v>
      </c>
      <c r="B2331" t="s">
        <v>786</v>
      </c>
      <c r="C2331" s="1">
        <v>436824.4</v>
      </c>
    </row>
    <row r="2332" spans="1:3" x14ac:dyDescent="0.2">
      <c r="A2332" t="s">
        <v>99</v>
      </c>
      <c r="B2332" t="s">
        <v>797</v>
      </c>
      <c r="C2332" s="1">
        <v>5127564</v>
      </c>
    </row>
    <row r="2333" spans="1:3" x14ac:dyDescent="0.2">
      <c r="A2333" t="s">
        <v>99</v>
      </c>
      <c r="B2333" t="s">
        <v>803</v>
      </c>
      <c r="C2333" s="1">
        <v>1506085.7</v>
      </c>
    </row>
    <row r="2334" spans="1:3" x14ac:dyDescent="0.2">
      <c r="A2334" t="s">
        <v>99</v>
      </c>
      <c r="B2334" t="s">
        <v>804</v>
      </c>
      <c r="C2334" s="1">
        <v>965404.8</v>
      </c>
    </row>
    <row r="2335" spans="1:3" x14ac:dyDescent="0.2">
      <c r="A2335" t="s">
        <v>99</v>
      </c>
      <c r="B2335" t="s">
        <v>812</v>
      </c>
      <c r="C2335" s="1">
        <v>150000</v>
      </c>
    </row>
    <row r="2336" spans="1:3" x14ac:dyDescent="0.2">
      <c r="A2336" t="s">
        <v>99</v>
      </c>
      <c r="B2336" t="s">
        <v>815</v>
      </c>
      <c r="C2336" s="1">
        <v>919514</v>
      </c>
    </row>
    <row r="2337" spans="1:3" x14ac:dyDescent="0.2">
      <c r="A2337" t="s">
        <v>99</v>
      </c>
      <c r="B2337" t="s">
        <v>816</v>
      </c>
      <c r="C2337" s="1">
        <v>1152218.7000000002</v>
      </c>
    </row>
    <row r="2338" spans="1:3" x14ac:dyDescent="0.2">
      <c r="A2338" t="s">
        <v>99</v>
      </c>
      <c r="B2338" t="s">
        <v>817</v>
      </c>
      <c r="C2338" s="1">
        <v>896310</v>
      </c>
    </row>
    <row r="2339" spans="1:3" x14ac:dyDescent="0.2">
      <c r="A2339" t="s">
        <v>99</v>
      </c>
      <c r="B2339" t="s">
        <v>820</v>
      </c>
      <c r="C2339" s="1">
        <v>107792</v>
      </c>
    </row>
    <row r="2340" spans="1:3" x14ac:dyDescent="0.2">
      <c r="A2340" t="s">
        <v>99</v>
      </c>
      <c r="B2340" t="s">
        <v>827</v>
      </c>
      <c r="C2340" s="1">
        <v>450000</v>
      </c>
    </row>
    <row r="2341" spans="1:3" x14ac:dyDescent="0.2">
      <c r="A2341" t="s">
        <v>99</v>
      </c>
      <c r="B2341" t="s">
        <v>831</v>
      </c>
      <c r="C2341" s="1">
        <v>7693977.5</v>
      </c>
    </row>
    <row r="2342" spans="1:3" x14ac:dyDescent="0.2">
      <c r="A2342" t="s">
        <v>99</v>
      </c>
      <c r="B2342" t="s">
        <v>850</v>
      </c>
      <c r="C2342" s="1">
        <v>400000</v>
      </c>
    </row>
    <row r="2343" spans="1:3" x14ac:dyDescent="0.2">
      <c r="A2343" t="s">
        <v>99</v>
      </c>
      <c r="B2343" t="s">
        <v>856</v>
      </c>
      <c r="C2343" s="1">
        <v>114971</v>
      </c>
    </row>
    <row r="2344" spans="1:3" x14ac:dyDescent="0.2">
      <c r="A2344" t="s">
        <v>99</v>
      </c>
      <c r="B2344" t="s">
        <v>857</v>
      </c>
      <c r="C2344" s="1">
        <v>4090000</v>
      </c>
    </row>
    <row r="2345" spans="1:3" x14ac:dyDescent="0.2">
      <c r="A2345" t="s">
        <v>99</v>
      </c>
      <c r="B2345" t="s">
        <v>859</v>
      </c>
      <c r="C2345" s="1">
        <v>6674744</v>
      </c>
    </row>
    <row r="2346" spans="1:3" x14ac:dyDescent="0.2">
      <c r="A2346" t="s">
        <v>99</v>
      </c>
      <c r="B2346" t="s">
        <v>869</v>
      </c>
      <c r="C2346" s="1">
        <v>2700000</v>
      </c>
    </row>
    <row r="2347" spans="1:3" x14ac:dyDescent="0.2">
      <c r="A2347" t="s">
        <v>99</v>
      </c>
      <c r="B2347" t="s">
        <v>872</v>
      </c>
      <c r="C2347" s="1">
        <v>22900000</v>
      </c>
    </row>
    <row r="2348" spans="1:3" x14ac:dyDescent="0.2">
      <c r="A2348" t="s">
        <v>99</v>
      </c>
      <c r="B2348" t="s">
        <v>880</v>
      </c>
      <c r="C2348" s="1">
        <v>818000</v>
      </c>
    </row>
    <row r="2349" spans="1:3" x14ac:dyDescent="0.2">
      <c r="A2349" t="s">
        <v>99</v>
      </c>
      <c r="B2349" t="s">
        <v>888</v>
      </c>
      <c r="C2349" s="1">
        <v>4999</v>
      </c>
    </row>
    <row r="2350" spans="1:3" x14ac:dyDescent="0.2">
      <c r="A2350" t="s">
        <v>99</v>
      </c>
      <c r="B2350" t="s">
        <v>899</v>
      </c>
      <c r="C2350" s="1">
        <v>183405.4</v>
      </c>
    </row>
    <row r="2351" spans="1:3" x14ac:dyDescent="0.2">
      <c r="A2351" t="s">
        <v>99</v>
      </c>
      <c r="B2351" t="s">
        <v>906</v>
      </c>
      <c r="C2351" s="1">
        <v>199507</v>
      </c>
    </row>
    <row r="2352" spans="1:3" x14ac:dyDescent="0.2">
      <c r="A2352" t="s">
        <v>99</v>
      </c>
      <c r="B2352" t="s">
        <v>907</v>
      </c>
      <c r="C2352" s="1">
        <v>750000</v>
      </c>
    </row>
    <row r="2353" spans="1:3" x14ac:dyDescent="0.2">
      <c r="A2353" t="s">
        <v>99</v>
      </c>
      <c r="B2353" t="s">
        <v>916</v>
      </c>
      <c r="C2353" s="1">
        <v>184017.7</v>
      </c>
    </row>
    <row r="2354" spans="1:3" x14ac:dyDescent="0.2">
      <c r="A2354" t="s">
        <v>99</v>
      </c>
      <c r="B2354" t="s">
        <v>918</v>
      </c>
      <c r="C2354" s="1">
        <v>2750000</v>
      </c>
    </row>
    <row r="2355" spans="1:3" x14ac:dyDescent="0.2">
      <c r="A2355" t="s">
        <v>99</v>
      </c>
      <c r="B2355" t="s">
        <v>922</v>
      </c>
      <c r="C2355" s="1">
        <v>100000000</v>
      </c>
    </row>
    <row r="2356" spans="1:3" x14ac:dyDescent="0.2">
      <c r="A2356" t="s">
        <v>99</v>
      </c>
      <c r="B2356" t="s">
        <v>925</v>
      </c>
      <c r="C2356" s="1">
        <v>16904708.800000001</v>
      </c>
    </row>
    <row r="2357" spans="1:3" x14ac:dyDescent="0.2">
      <c r="A2357" t="s">
        <v>99</v>
      </c>
      <c r="B2357" t="s">
        <v>936</v>
      </c>
      <c r="C2357" s="1">
        <v>2100000</v>
      </c>
    </row>
    <row r="2358" spans="1:3" x14ac:dyDescent="0.2">
      <c r="A2358" t="s">
        <v>99</v>
      </c>
      <c r="B2358" t="s">
        <v>939</v>
      </c>
      <c r="C2358" s="1">
        <v>391838.8</v>
      </c>
    </row>
    <row r="2359" spans="1:3" x14ac:dyDescent="0.2">
      <c r="A2359" t="s">
        <v>99</v>
      </c>
      <c r="B2359" t="s">
        <v>940</v>
      </c>
      <c r="C2359" s="1">
        <v>514790</v>
      </c>
    </row>
    <row r="2360" spans="1:3" x14ac:dyDescent="0.2">
      <c r="A2360" t="s">
        <v>99</v>
      </c>
      <c r="B2360" t="s">
        <v>941</v>
      </c>
      <c r="C2360" s="1">
        <v>772301</v>
      </c>
    </row>
    <row r="2361" spans="1:3" x14ac:dyDescent="0.2">
      <c r="A2361" t="s">
        <v>99</v>
      </c>
      <c r="B2361" t="s">
        <v>942</v>
      </c>
      <c r="C2361" s="1">
        <v>2571697.4</v>
      </c>
    </row>
    <row r="2362" spans="1:3" x14ac:dyDescent="0.2">
      <c r="A2362" t="s">
        <v>99</v>
      </c>
      <c r="B2362" t="s">
        <v>943</v>
      </c>
      <c r="C2362" s="1">
        <v>1122972.3</v>
      </c>
    </row>
    <row r="2363" spans="1:3" x14ac:dyDescent="0.2">
      <c r="A2363" t="s">
        <v>99</v>
      </c>
      <c r="B2363" t="s">
        <v>944</v>
      </c>
      <c r="C2363" s="1">
        <v>789466</v>
      </c>
    </row>
    <row r="2364" spans="1:3" x14ac:dyDescent="0.2">
      <c r="A2364" t="s">
        <v>99</v>
      </c>
      <c r="B2364" t="s">
        <v>945</v>
      </c>
      <c r="C2364" s="1">
        <v>1129033</v>
      </c>
    </row>
    <row r="2365" spans="1:3" x14ac:dyDescent="0.2">
      <c r="A2365" t="s">
        <v>99</v>
      </c>
      <c r="B2365" t="s">
        <v>946</v>
      </c>
      <c r="C2365" s="1">
        <v>261812</v>
      </c>
    </row>
    <row r="2366" spans="1:3" x14ac:dyDescent="0.2">
      <c r="A2366" t="s">
        <v>99</v>
      </c>
      <c r="B2366" t="s">
        <v>947</v>
      </c>
      <c r="C2366" s="1">
        <v>2114260</v>
      </c>
    </row>
    <row r="2367" spans="1:3" x14ac:dyDescent="0.2">
      <c r="A2367" t="s">
        <v>99</v>
      </c>
      <c r="B2367" t="s">
        <v>948</v>
      </c>
      <c r="C2367" s="1">
        <v>9000000</v>
      </c>
    </row>
    <row r="2368" spans="1:3" x14ac:dyDescent="0.2">
      <c r="A2368" t="s">
        <v>99</v>
      </c>
      <c r="B2368" t="s">
        <v>949</v>
      </c>
      <c r="C2368" s="1">
        <v>150000</v>
      </c>
    </row>
    <row r="2369" spans="1:3" x14ac:dyDescent="0.2">
      <c r="A2369" t="s">
        <v>99</v>
      </c>
      <c r="B2369" t="s">
        <v>950</v>
      </c>
      <c r="C2369" s="1">
        <v>150000</v>
      </c>
    </row>
    <row r="2370" spans="1:3" x14ac:dyDescent="0.2">
      <c r="A2370" t="s">
        <v>99</v>
      </c>
      <c r="B2370" t="s">
        <v>953</v>
      </c>
      <c r="C2370" s="1">
        <v>100000</v>
      </c>
    </row>
    <row r="2371" spans="1:3" x14ac:dyDescent="0.2">
      <c r="A2371" t="s">
        <v>99</v>
      </c>
      <c r="B2371" t="s">
        <v>956</v>
      </c>
      <c r="C2371" s="1">
        <v>195916</v>
      </c>
    </row>
    <row r="2372" spans="1:3" x14ac:dyDescent="0.2">
      <c r="A2372" t="s">
        <v>99</v>
      </c>
      <c r="B2372" t="s">
        <v>957</v>
      </c>
      <c r="C2372" s="1">
        <v>2272374</v>
      </c>
    </row>
    <row r="2373" spans="1:3" x14ac:dyDescent="0.2">
      <c r="A2373" t="s">
        <v>99</v>
      </c>
      <c r="B2373" t="s">
        <v>958</v>
      </c>
      <c r="C2373" s="1">
        <v>1299612.1000000001</v>
      </c>
    </row>
    <row r="2374" spans="1:3" x14ac:dyDescent="0.2">
      <c r="A2374" t="s">
        <v>99</v>
      </c>
      <c r="B2374" t="s">
        <v>965</v>
      </c>
      <c r="C2374" s="1">
        <v>1925000</v>
      </c>
    </row>
    <row r="2375" spans="1:3" x14ac:dyDescent="0.2">
      <c r="A2375" t="s">
        <v>99</v>
      </c>
      <c r="B2375" t="s">
        <v>977</v>
      </c>
      <c r="C2375" s="1">
        <v>1543000</v>
      </c>
    </row>
    <row r="2376" spans="1:3" x14ac:dyDescent="0.2">
      <c r="A2376" t="s">
        <v>99</v>
      </c>
      <c r="B2376" t="s">
        <v>979</v>
      </c>
      <c r="C2376" s="1">
        <v>3116081.6</v>
      </c>
    </row>
    <row r="2377" spans="1:3" x14ac:dyDescent="0.2">
      <c r="A2377" t="s">
        <v>99</v>
      </c>
      <c r="B2377" t="s">
        <v>991</v>
      </c>
      <c r="C2377" s="1">
        <v>803308.8</v>
      </c>
    </row>
    <row r="2378" spans="1:3" x14ac:dyDescent="0.2">
      <c r="A2378" t="s">
        <v>99</v>
      </c>
      <c r="B2378" t="s">
        <v>992</v>
      </c>
      <c r="C2378" s="1">
        <v>5026898.0999999996</v>
      </c>
    </row>
    <row r="2379" spans="1:3" x14ac:dyDescent="0.2">
      <c r="A2379" t="s">
        <v>99</v>
      </c>
      <c r="B2379" t="s">
        <v>993</v>
      </c>
      <c r="C2379" s="1">
        <v>1010567.8</v>
      </c>
    </row>
    <row r="2380" spans="1:3" x14ac:dyDescent="0.2">
      <c r="A2380" t="s">
        <v>99</v>
      </c>
      <c r="B2380" t="s">
        <v>999</v>
      </c>
      <c r="C2380" s="1">
        <v>1816404</v>
      </c>
    </row>
    <row r="2381" spans="1:3" x14ac:dyDescent="0.2">
      <c r="A2381" t="s">
        <v>99</v>
      </c>
      <c r="B2381" t="s">
        <v>1005</v>
      </c>
      <c r="C2381" s="1">
        <v>684140</v>
      </c>
    </row>
    <row r="2382" spans="1:3" x14ac:dyDescent="0.2">
      <c r="A2382" t="s">
        <v>99</v>
      </c>
      <c r="B2382" t="s">
        <v>1006</v>
      </c>
      <c r="C2382" s="1">
        <v>699999</v>
      </c>
    </row>
    <row r="2383" spans="1:3" x14ac:dyDescent="0.2">
      <c r="A2383" t="s">
        <v>99</v>
      </c>
      <c r="B2383" t="s">
        <v>1007</v>
      </c>
      <c r="C2383" s="1">
        <v>924000</v>
      </c>
    </row>
    <row r="2384" spans="1:3" x14ac:dyDescent="0.2">
      <c r="A2384" t="s">
        <v>99</v>
      </c>
      <c r="B2384" t="s">
        <v>1008</v>
      </c>
      <c r="C2384" s="1">
        <v>214575.2</v>
      </c>
    </row>
    <row r="2385" spans="1:3" x14ac:dyDescent="0.2">
      <c r="A2385" t="s">
        <v>99</v>
      </c>
      <c r="B2385" t="s">
        <v>1016</v>
      </c>
      <c r="C2385" s="1">
        <v>1849000</v>
      </c>
    </row>
    <row r="2386" spans="1:3" x14ac:dyDescent="0.2">
      <c r="A2386" t="s">
        <v>99</v>
      </c>
      <c r="B2386" t="s">
        <v>1035</v>
      </c>
      <c r="C2386" s="1">
        <v>8000000</v>
      </c>
    </row>
    <row r="2387" spans="1:3" x14ac:dyDescent="0.2">
      <c r="A2387" t="s">
        <v>99</v>
      </c>
      <c r="B2387" t="s">
        <v>1050</v>
      </c>
      <c r="C2387" s="1">
        <v>22096000</v>
      </c>
    </row>
    <row r="2388" spans="1:3" x14ac:dyDescent="0.2">
      <c r="A2388" t="s">
        <v>99</v>
      </c>
      <c r="B2388" t="s">
        <v>1053</v>
      </c>
      <c r="C2388" s="1">
        <v>4844600</v>
      </c>
    </row>
    <row r="2389" spans="1:3" x14ac:dyDescent="0.2">
      <c r="A2389" t="s">
        <v>99</v>
      </c>
      <c r="B2389" t="s">
        <v>1061</v>
      </c>
      <c r="C2389" s="1">
        <v>384706.8</v>
      </c>
    </row>
    <row r="2390" spans="1:3" x14ac:dyDescent="0.2">
      <c r="A2390" t="s">
        <v>99</v>
      </c>
      <c r="B2390" t="s">
        <v>1082</v>
      </c>
      <c r="C2390" s="1">
        <v>1280325</v>
      </c>
    </row>
    <row r="2391" spans="1:3" x14ac:dyDescent="0.2">
      <c r="A2391" t="s">
        <v>99</v>
      </c>
      <c r="B2391" t="s">
        <v>1090</v>
      </c>
      <c r="C2391" s="1">
        <v>4200000</v>
      </c>
    </row>
    <row r="2392" spans="1:3" x14ac:dyDescent="0.2">
      <c r="A2392" t="s">
        <v>99</v>
      </c>
      <c r="B2392" t="s">
        <v>1094</v>
      </c>
      <c r="C2392" s="1">
        <v>5250000</v>
      </c>
    </row>
    <row r="2393" spans="1:3" x14ac:dyDescent="0.2">
      <c r="A2393" t="s">
        <v>99</v>
      </c>
      <c r="B2393" t="s">
        <v>1099</v>
      </c>
      <c r="C2393" s="1">
        <v>250000</v>
      </c>
    </row>
    <row r="2394" spans="1:3" x14ac:dyDescent="0.2">
      <c r="A2394" t="s">
        <v>99</v>
      </c>
      <c r="B2394" t="s">
        <v>1116</v>
      </c>
      <c r="C2394" s="1">
        <v>250000</v>
      </c>
    </row>
    <row r="2395" spans="1:3" x14ac:dyDescent="0.2">
      <c r="A2395" t="s">
        <v>99</v>
      </c>
      <c r="B2395" t="s">
        <v>1133</v>
      </c>
      <c r="C2395" s="1">
        <v>250000</v>
      </c>
    </row>
    <row r="2396" spans="1:3" x14ac:dyDescent="0.2">
      <c r="A2396" t="s">
        <v>99</v>
      </c>
      <c r="B2396" t="s">
        <v>1152</v>
      </c>
      <c r="C2396" s="1">
        <v>141355.1</v>
      </c>
    </row>
    <row r="2397" spans="1:3" x14ac:dyDescent="0.2">
      <c r="A2397" t="s">
        <v>99</v>
      </c>
      <c r="B2397" t="s">
        <v>1156</v>
      </c>
      <c r="C2397" s="1">
        <v>14000000</v>
      </c>
    </row>
    <row r="2398" spans="1:3" x14ac:dyDescent="0.2">
      <c r="A2398" t="s">
        <v>99</v>
      </c>
      <c r="B2398" t="s">
        <v>1193</v>
      </c>
      <c r="C2398" s="1">
        <v>65691.7</v>
      </c>
    </row>
    <row r="2399" spans="1:3" x14ac:dyDescent="0.2">
      <c r="A2399" t="s">
        <v>99</v>
      </c>
      <c r="B2399" t="s">
        <v>1246</v>
      </c>
      <c r="C2399" s="1">
        <v>250000</v>
      </c>
    </row>
    <row r="2400" spans="1:3" x14ac:dyDescent="0.2">
      <c r="A2400" t="s">
        <v>99</v>
      </c>
      <c r="B2400" t="s">
        <v>1274</v>
      </c>
      <c r="C2400" s="1">
        <v>4650000</v>
      </c>
    </row>
    <row r="2401" spans="1:3" x14ac:dyDescent="0.2">
      <c r="A2401" t="s">
        <v>99</v>
      </c>
      <c r="B2401" t="s">
        <v>1285</v>
      </c>
      <c r="C2401" s="1">
        <v>2500000</v>
      </c>
    </row>
    <row r="2402" spans="1:3" x14ac:dyDescent="0.2">
      <c r="A2402" t="s">
        <v>99</v>
      </c>
      <c r="B2402" t="s">
        <v>1293</v>
      </c>
      <c r="C2402" s="1">
        <v>131843.20000000001</v>
      </c>
    </row>
    <row r="2403" spans="1:3" x14ac:dyDescent="0.2">
      <c r="A2403" t="s">
        <v>99</v>
      </c>
      <c r="B2403" t="s">
        <v>1299</v>
      </c>
      <c r="C2403" s="1">
        <v>150000</v>
      </c>
    </row>
    <row r="2404" spans="1:3" x14ac:dyDescent="0.2">
      <c r="A2404" t="s">
        <v>99</v>
      </c>
      <c r="B2404" t="s">
        <v>1300</v>
      </c>
      <c r="C2404" s="1">
        <v>250000</v>
      </c>
    </row>
    <row r="2405" spans="1:3" x14ac:dyDescent="0.2">
      <c r="A2405" t="s">
        <v>99</v>
      </c>
      <c r="B2405" t="s">
        <v>1327</v>
      </c>
      <c r="C2405" s="1">
        <v>5000000</v>
      </c>
    </row>
    <row r="2406" spans="1:3" x14ac:dyDescent="0.2">
      <c r="A2406" t="s">
        <v>99</v>
      </c>
      <c r="B2406" t="s">
        <v>1372</v>
      </c>
      <c r="C2406" s="1">
        <v>19600000</v>
      </c>
    </row>
    <row r="2407" spans="1:3" x14ac:dyDescent="0.2">
      <c r="A2407" t="s">
        <v>99</v>
      </c>
      <c r="B2407" t="s">
        <v>1373</v>
      </c>
      <c r="C2407" s="1">
        <v>3885962</v>
      </c>
    </row>
    <row r="2408" spans="1:3" x14ac:dyDescent="0.2">
      <c r="A2408" t="s">
        <v>99</v>
      </c>
      <c r="B2408" t="s">
        <v>1374</v>
      </c>
      <c r="C2408" s="1">
        <v>221323.6</v>
      </c>
    </row>
    <row r="2409" spans="1:3" x14ac:dyDescent="0.2">
      <c r="A2409" t="s">
        <v>99</v>
      </c>
      <c r="B2409" t="s">
        <v>1379</v>
      </c>
      <c r="C2409" s="1">
        <v>399541</v>
      </c>
    </row>
    <row r="2410" spans="1:3" x14ac:dyDescent="0.2">
      <c r="A2410" t="s">
        <v>99</v>
      </c>
      <c r="B2410" t="s">
        <v>1383</v>
      </c>
      <c r="C2410" s="1">
        <v>1000000</v>
      </c>
    </row>
    <row r="2411" spans="1:3" x14ac:dyDescent="0.2">
      <c r="A2411" t="s">
        <v>99</v>
      </c>
      <c r="B2411" t="s">
        <v>1385</v>
      </c>
      <c r="C2411" s="1">
        <v>40190</v>
      </c>
    </row>
    <row r="2412" spans="1:3" x14ac:dyDescent="0.2">
      <c r="A2412" t="s">
        <v>99</v>
      </c>
      <c r="B2412" t="s">
        <v>1387</v>
      </c>
      <c r="C2412" s="1">
        <v>486759</v>
      </c>
    </row>
    <row r="2413" spans="1:3" x14ac:dyDescent="0.2">
      <c r="A2413" t="s">
        <v>99</v>
      </c>
      <c r="B2413" t="s">
        <v>1395</v>
      </c>
      <c r="C2413" s="1">
        <v>5000000</v>
      </c>
    </row>
    <row r="2414" spans="1:3" x14ac:dyDescent="0.2">
      <c r="A2414" t="s">
        <v>99</v>
      </c>
      <c r="B2414" t="s">
        <v>1424</v>
      </c>
      <c r="C2414" s="1">
        <v>344814</v>
      </c>
    </row>
    <row r="2415" spans="1:3" x14ac:dyDescent="0.2">
      <c r="A2415" t="s">
        <v>99</v>
      </c>
      <c r="B2415" t="s">
        <v>1428</v>
      </c>
      <c r="C2415" s="1">
        <v>2645279</v>
      </c>
    </row>
    <row r="2416" spans="1:3" x14ac:dyDescent="0.2">
      <c r="A2416" t="s">
        <v>99</v>
      </c>
      <c r="B2416" t="s">
        <v>1435</v>
      </c>
      <c r="C2416" s="1">
        <v>63861</v>
      </c>
    </row>
    <row r="2417" spans="1:3" x14ac:dyDescent="0.2">
      <c r="A2417" t="s">
        <v>99</v>
      </c>
      <c r="B2417" t="s">
        <v>1438</v>
      </c>
      <c r="C2417" s="1">
        <v>269896</v>
      </c>
    </row>
    <row r="2418" spans="1:3" x14ac:dyDescent="0.2">
      <c r="A2418" t="s">
        <v>99</v>
      </c>
      <c r="B2418" t="s">
        <v>1442</v>
      </c>
      <c r="C2418" s="1">
        <v>53687</v>
      </c>
    </row>
    <row r="2419" spans="1:3" x14ac:dyDescent="0.2">
      <c r="A2419" t="s">
        <v>99</v>
      </c>
      <c r="B2419" t="s">
        <v>1443</v>
      </c>
      <c r="C2419" s="1">
        <v>182696</v>
      </c>
    </row>
    <row r="2420" spans="1:3" x14ac:dyDescent="0.2">
      <c r="A2420" t="s">
        <v>99</v>
      </c>
      <c r="B2420" t="s">
        <v>1449</v>
      </c>
      <c r="C2420" s="1">
        <v>167708</v>
      </c>
    </row>
    <row r="2421" spans="1:3" x14ac:dyDescent="0.2">
      <c r="A2421" t="s">
        <v>99</v>
      </c>
      <c r="B2421" t="s">
        <v>1450</v>
      </c>
      <c r="C2421" s="1">
        <v>6957</v>
      </c>
    </row>
    <row r="2422" spans="1:3" x14ac:dyDescent="0.2">
      <c r="A2422" t="s">
        <v>99</v>
      </c>
      <c r="B2422" t="s">
        <v>1453</v>
      </c>
      <c r="C2422" s="1">
        <v>3665000</v>
      </c>
    </row>
    <row r="2423" spans="1:3" x14ac:dyDescent="0.2">
      <c r="A2423" t="s">
        <v>99</v>
      </c>
      <c r="B2423" t="s">
        <v>1463</v>
      </c>
      <c r="C2423" s="1">
        <v>600000</v>
      </c>
    </row>
    <row r="2424" spans="1:3" x14ac:dyDescent="0.2">
      <c r="A2424" t="s">
        <v>99</v>
      </c>
      <c r="B2424" t="s">
        <v>1464</v>
      </c>
      <c r="C2424" s="1">
        <v>63899</v>
      </c>
    </row>
    <row r="2425" spans="1:3" x14ac:dyDescent="0.2">
      <c r="A2425" t="s">
        <v>99</v>
      </c>
      <c r="B2425" t="s">
        <v>1467</v>
      </c>
      <c r="C2425" s="1">
        <v>262281</v>
      </c>
    </row>
    <row r="2426" spans="1:3" x14ac:dyDescent="0.2">
      <c r="A2426" t="s">
        <v>99</v>
      </c>
      <c r="B2426" t="s">
        <v>1470</v>
      </c>
      <c r="C2426" s="1">
        <v>1838592.2</v>
      </c>
    </row>
    <row r="2427" spans="1:3" x14ac:dyDescent="0.2">
      <c r="A2427" t="s">
        <v>99</v>
      </c>
      <c r="B2427" t="s">
        <v>1481</v>
      </c>
      <c r="C2427" s="1">
        <v>215000</v>
      </c>
    </row>
    <row r="2428" spans="1:3" x14ac:dyDescent="0.2">
      <c r="A2428" t="s">
        <v>99</v>
      </c>
      <c r="B2428" t="s">
        <v>1484</v>
      </c>
      <c r="C2428" s="1">
        <v>600000</v>
      </c>
    </row>
    <row r="2429" spans="1:3" x14ac:dyDescent="0.2">
      <c r="A2429" t="s">
        <v>99</v>
      </c>
      <c r="B2429" t="s">
        <v>1485</v>
      </c>
      <c r="C2429" s="1">
        <v>300000</v>
      </c>
    </row>
    <row r="2430" spans="1:3" x14ac:dyDescent="0.2">
      <c r="A2430" t="s">
        <v>99</v>
      </c>
      <c r="B2430" t="s">
        <v>1486</v>
      </c>
      <c r="C2430" s="1">
        <v>1200000</v>
      </c>
    </row>
    <row r="2431" spans="1:3" x14ac:dyDescent="0.2">
      <c r="A2431" t="s">
        <v>99</v>
      </c>
      <c r="B2431" t="s">
        <v>1487</v>
      </c>
      <c r="C2431" s="1">
        <v>350000</v>
      </c>
    </row>
    <row r="2432" spans="1:3" x14ac:dyDescent="0.2">
      <c r="A2432" t="s">
        <v>99</v>
      </c>
      <c r="B2432" t="s">
        <v>1488</v>
      </c>
      <c r="C2432" s="1">
        <v>541200</v>
      </c>
    </row>
    <row r="2433" spans="1:3" x14ac:dyDescent="0.2">
      <c r="A2433" t="s">
        <v>99</v>
      </c>
      <c r="B2433" t="s">
        <v>1489</v>
      </c>
      <c r="C2433" s="1">
        <v>250000</v>
      </c>
    </row>
    <row r="2434" spans="1:3" x14ac:dyDescent="0.2">
      <c r="A2434" t="s">
        <v>99</v>
      </c>
      <c r="B2434" t="s">
        <v>1490</v>
      </c>
      <c r="C2434" s="1">
        <v>600000</v>
      </c>
    </row>
    <row r="2435" spans="1:3" x14ac:dyDescent="0.2">
      <c r="A2435" t="s">
        <v>99</v>
      </c>
      <c r="B2435" t="s">
        <v>1491</v>
      </c>
      <c r="C2435" s="1">
        <v>500000</v>
      </c>
    </row>
    <row r="2436" spans="1:3" x14ac:dyDescent="0.2">
      <c r="A2436" t="s">
        <v>99</v>
      </c>
      <c r="B2436" t="s">
        <v>1492</v>
      </c>
      <c r="C2436" s="1">
        <v>600000</v>
      </c>
    </row>
    <row r="2437" spans="1:3" x14ac:dyDescent="0.2">
      <c r="A2437" t="s">
        <v>99</v>
      </c>
      <c r="B2437" t="s">
        <v>1493</v>
      </c>
      <c r="C2437" s="1">
        <v>400000</v>
      </c>
    </row>
    <row r="2438" spans="1:3" x14ac:dyDescent="0.2">
      <c r="A2438" t="s">
        <v>99</v>
      </c>
      <c r="B2438" t="s">
        <v>1494</v>
      </c>
      <c r="C2438" s="1">
        <v>600000</v>
      </c>
    </row>
    <row r="2439" spans="1:3" x14ac:dyDescent="0.2">
      <c r="A2439" t="s">
        <v>99</v>
      </c>
      <c r="B2439" t="s">
        <v>1496</v>
      </c>
      <c r="C2439" s="1">
        <v>250000</v>
      </c>
    </row>
    <row r="2440" spans="1:3" x14ac:dyDescent="0.2">
      <c r="A2440" t="s">
        <v>99</v>
      </c>
      <c r="B2440" t="s">
        <v>1497</v>
      </c>
      <c r="C2440" s="1">
        <v>250000</v>
      </c>
    </row>
    <row r="2441" spans="1:3" x14ac:dyDescent="0.2">
      <c r="A2441" t="s">
        <v>99</v>
      </c>
      <c r="B2441" t="s">
        <v>1498</v>
      </c>
      <c r="C2441" s="1">
        <v>25325000</v>
      </c>
    </row>
    <row r="2442" spans="1:3" x14ac:dyDescent="0.2">
      <c r="A2442" t="s">
        <v>99</v>
      </c>
      <c r="B2442" t="s">
        <v>1499</v>
      </c>
      <c r="C2442" s="1">
        <v>21600000</v>
      </c>
    </row>
    <row r="2443" spans="1:3" x14ac:dyDescent="0.2">
      <c r="A2443" t="s">
        <v>99</v>
      </c>
      <c r="B2443" t="s">
        <v>1507</v>
      </c>
      <c r="C2443" s="1">
        <v>10000000</v>
      </c>
    </row>
    <row r="2444" spans="1:3" x14ac:dyDescent="0.2">
      <c r="A2444" t="s">
        <v>99</v>
      </c>
      <c r="B2444" t="s">
        <v>1518</v>
      </c>
      <c r="C2444" s="1">
        <v>6435980</v>
      </c>
    </row>
    <row r="2445" spans="1:3" x14ac:dyDescent="0.2">
      <c r="A2445" t="s">
        <v>99</v>
      </c>
      <c r="B2445" t="s">
        <v>1523</v>
      </c>
      <c r="C2445" s="1">
        <v>447521.5</v>
      </c>
    </row>
    <row r="2446" spans="1:3" x14ac:dyDescent="0.2">
      <c r="A2446" t="s">
        <v>99</v>
      </c>
      <c r="B2446" t="s">
        <v>1525</v>
      </c>
      <c r="C2446" s="1">
        <v>208200</v>
      </c>
    </row>
    <row r="2447" spans="1:3" x14ac:dyDescent="0.2">
      <c r="A2447" t="s">
        <v>99</v>
      </c>
      <c r="B2447" t="s">
        <v>1526</v>
      </c>
      <c r="C2447" s="1">
        <v>178428.79999999999</v>
      </c>
    </row>
    <row r="2448" spans="1:3" x14ac:dyDescent="0.2">
      <c r="A2448" t="s">
        <v>99</v>
      </c>
      <c r="B2448" t="s">
        <v>1527</v>
      </c>
      <c r="C2448" s="1">
        <v>1200000</v>
      </c>
    </row>
    <row r="2449" spans="1:3" x14ac:dyDescent="0.2">
      <c r="A2449" t="s">
        <v>99</v>
      </c>
      <c r="B2449" t="s">
        <v>1533</v>
      </c>
      <c r="C2449" s="1">
        <v>3500000</v>
      </c>
    </row>
    <row r="2450" spans="1:3" x14ac:dyDescent="0.2">
      <c r="A2450" t="s">
        <v>99</v>
      </c>
      <c r="B2450" t="s">
        <v>1536</v>
      </c>
      <c r="C2450" s="1">
        <v>2549478</v>
      </c>
    </row>
    <row r="2451" spans="1:3" x14ac:dyDescent="0.2">
      <c r="A2451" t="s">
        <v>99</v>
      </c>
      <c r="B2451" t="s">
        <v>1537</v>
      </c>
      <c r="C2451" s="1">
        <v>485082</v>
      </c>
    </row>
    <row r="2452" spans="1:3" x14ac:dyDescent="0.2">
      <c r="A2452" t="s">
        <v>99</v>
      </c>
      <c r="B2452" t="s">
        <v>1538</v>
      </c>
      <c r="C2452" s="1">
        <v>203083</v>
      </c>
    </row>
    <row r="2453" spans="1:3" x14ac:dyDescent="0.2">
      <c r="A2453" t="s">
        <v>99</v>
      </c>
      <c r="B2453" t="s">
        <v>1539</v>
      </c>
      <c r="C2453" s="1">
        <v>248962.5</v>
      </c>
    </row>
    <row r="2454" spans="1:3" x14ac:dyDescent="0.2">
      <c r="A2454" t="s">
        <v>99</v>
      </c>
      <c r="B2454" t="s">
        <v>1541</v>
      </c>
      <c r="C2454" s="1">
        <v>234375</v>
      </c>
    </row>
    <row r="2455" spans="1:3" x14ac:dyDescent="0.2">
      <c r="A2455" t="s">
        <v>99</v>
      </c>
      <c r="B2455" t="s">
        <v>1548</v>
      </c>
      <c r="C2455" s="1">
        <v>5400000</v>
      </c>
    </row>
    <row r="2456" spans="1:3" x14ac:dyDescent="0.2">
      <c r="A2456" t="s">
        <v>99</v>
      </c>
      <c r="B2456" t="s">
        <v>1549</v>
      </c>
      <c r="C2456" s="1">
        <v>1055131.6000000001</v>
      </c>
    </row>
    <row r="2457" spans="1:3" x14ac:dyDescent="0.2">
      <c r="A2457" t="s">
        <v>99</v>
      </c>
      <c r="B2457" t="s">
        <v>1550</v>
      </c>
      <c r="C2457" s="1">
        <v>267000</v>
      </c>
    </row>
    <row r="2458" spans="1:3" x14ac:dyDescent="0.2">
      <c r="A2458" t="s">
        <v>99</v>
      </c>
      <c r="B2458" t="s">
        <v>1551</v>
      </c>
      <c r="C2458" s="1">
        <v>1146876</v>
      </c>
    </row>
    <row r="2459" spans="1:3" x14ac:dyDescent="0.2">
      <c r="A2459" t="s">
        <v>99</v>
      </c>
      <c r="B2459" t="s">
        <v>1552</v>
      </c>
      <c r="C2459" s="1">
        <v>840946.7</v>
      </c>
    </row>
    <row r="2460" spans="1:3" x14ac:dyDescent="0.2">
      <c r="A2460" t="s">
        <v>99</v>
      </c>
      <c r="B2460" t="s">
        <v>1554</v>
      </c>
      <c r="C2460" s="1">
        <v>16220058</v>
      </c>
    </row>
    <row r="2461" spans="1:3" x14ac:dyDescent="0.2">
      <c r="A2461" t="s">
        <v>99</v>
      </c>
      <c r="B2461" t="s">
        <v>1555</v>
      </c>
      <c r="C2461" s="1">
        <v>93959.7</v>
      </c>
    </row>
    <row r="2462" spans="1:3" x14ac:dyDescent="0.2">
      <c r="A2462" t="s">
        <v>99</v>
      </c>
      <c r="B2462" t="s">
        <v>1560</v>
      </c>
      <c r="C2462" s="1">
        <v>58791</v>
      </c>
    </row>
    <row r="2463" spans="1:3" x14ac:dyDescent="0.2">
      <c r="A2463" t="s">
        <v>99</v>
      </c>
      <c r="B2463" t="s">
        <v>1561</v>
      </c>
      <c r="C2463" s="1">
        <v>61177</v>
      </c>
    </row>
    <row r="2464" spans="1:3" x14ac:dyDescent="0.2">
      <c r="A2464" t="s">
        <v>99</v>
      </c>
      <c r="B2464" t="s">
        <v>1562</v>
      </c>
      <c r="C2464" s="1">
        <v>245136.1</v>
      </c>
    </row>
    <row r="2465" spans="1:3" x14ac:dyDescent="0.2">
      <c r="A2465" t="s">
        <v>99</v>
      </c>
      <c r="B2465" t="s">
        <v>1566</v>
      </c>
      <c r="C2465" s="1">
        <v>245625</v>
      </c>
    </row>
    <row r="2466" spans="1:3" x14ac:dyDescent="0.2">
      <c r="A2466" t="s">
        <v>99</v>
      </c>
      <c r="B2466" t="s">
        <v>1567</v>
      </c>
      <c r="C2466" s="1">
        <v>250000</v>
      </c>
    </row>
    <row r="2467" spans="1:3" x14ac:dyDescent="0.2">
      <c r="A2467" t="s">
        <v>99</v>
      </c>
      <c r="B2467" t="s">
        <v>1568</v>
      </c>
      <c r="C2467" s="1">
        <v>90043.199999999997</v>
      </c>
    </row>
    <row r="2468" spans="1:3" x14ac:dyDescent="0.2">
      <c r="A2468" t="s">
        <v>99</v>
      </c>
      <c r="B2468" t="s">
        <v>1569</v>
      </c>
      <c r="C2468" s="1">
        <v>250000</v>
      </c>
    </row>
    <row r="2469" spans="1:3" x14ac:dyDescent="0.2">
      <c r="A2469" t="s">
        <v>99</v>
      </c>
      <c r="B2469" t="s">
        <v>1570</v>
      </c>
      <c r="C2469" s="1">
        <v>250000</v>
      </c>
    </row>
    <row r="2470" spans="1:3" x14ac:dyDescent="0.2">
      <c r="A2470" t="s">
        <v>99</v>
      </c>
      <c r="B2470" t="s">
        <v>1574</v>
      </c>
      <c r="C2470" s="1">
        <v>250000</v>
      </c>
    </row>
    <row r="2471" spans="1:3" x14ac:dyDescent="0.2">
      <c r="A2471" t="s">
        <v>99</v>
      </c>
      <c r="B2471" t="s">
        <v>1575</v>
      </c>
      <c r="C2471" s="1">
        <v>250000</v>
      </c>
    </row>
    <row r="2472" spans="1:3" x14ac:dyDescent="0.2">
      <c r="A2472" t="s">
        <v>99</v>
      </c>
      <c r="B2472" t="s">
        <v>1576</v>
      </c>
      <c r="C2472" s="1">
        <v>250000</v>
      </c>
    </row>
    <row r="2473" spans="1:3" x14ac:dyDescent="0.2">
      <c r="A2473" t="s">
        <v>99</v>
      </c>
      <c r="B2473" t="s">
        <v>1577</v>
      </c>
      <c r="C2473" s="1">
        <v>250000</v>
      </c>
    </row>
    <row r="2474" spans="1:3" x14ac:dyDescent="0.2">
      <c r="A2474" t="s">
        <v>99</v>
      </c>
      <c r="B2474" t="s">
        <v>1578</v>
      </c>
      <c r="C2474" s="1">
        <v>320188.7</v>
      </c>
    </row>
    <row r="2475" spans="1:3" x14ac:dyDescent="0.2">
      <c r="A2475" t="s">
        <v>99</v>
      </c>
      <c r="B2475" t="s">
        <v>1579</v>
      </c>
      <c r="C2475" s="1">
        <v>144513</v>
      </c>
    </row>
    <row r="2476" spans="1:3" x14ac:dyDescent="0.2">
      <c r="A2476" t="s">
        <v>99</v>
      </c>
      <c r="B2476" t="s">
        <v>1580</v>
      </c>
      <c r="C2476" s="1">
        <v>13179172</v>
      </c>
    </row>
    <row r="2477" spans="1:3" x14ac:dyDescent="0.2">
      <c r="A2477" t="s">
        <v>99</v>
      </c>
      <c r="B2477" t="s">
        <v>1588</v>
      </c>
      <c r="C2477" s="1">
        <v>67891</v>
      </c>
    </row>
    <row r="2478" spans="1:3" x14ac:dyDescent="0.2">
      <c r="A2478" t="s">
        <v>99</v>
      </c>
      <c r="B2478" t="s">
        <v>1594</v>
      </c>
      <c r="C2478" s="1">
        <v>4000000</v>
      </c>
    </row>
    <row r="2479" spans="1:3" x14ac:dyDescent="0.2">
      <c r="A2479" t="s">
        <v>99</v>
      </c>
      <c r="B2479" t="s">
        <v>1597</v>
      </c>
      <c r="C2479" s="1">
        <v>15000000</v>
      </c>
    </row>
    <row r="2480" spans="1:3" x14ac:dyDescent="0.2">
      <c r="A2480" t="s">
        <v>99</v>
      </c>
      <c r="B2480" t="s">
        <v>1601</v>
      </c>
      <c r="C2480" s="1">
        <v>18000000</v>
      </c>
    </row>
    <row r="2481" spans="1:3" x14ac:dyDescent="0.2">
      <c r="A2481" t="s">
        <v>99</v>
      </c>
      <c r="B2481" t="s">
        <v>1602</v>
      </c>
      <c r="C2481" s="1">
        <v>1600000</v>
      </c>
    </row>
    <row r="2482" spans="1:3" x14ac:dyDescent="0.2">
      <c r="A2482" t="s">
        <v>99</v>
      </c>
      <c r="B2482" t="s">
        <v>1604</v>
      </c>
      <c r="C2482" s="1">
        <v>1149750</v>
      </c>
    </row>
    <row r="2483" spans="1:3" x14ac:dyDescent="0.2">
      <c r="A2483" t="s">
        <v>99</v>
      </c>
      <c r="B2483" t="s">
        <v>1612</v>
      </c>
      <c r="C2483" s="1">
        <v>600000</v>
      </c>
    </row>
    <row r="2484" spans="1:3" x14ac:dyDescent="0.2">
      <c r="A2484" t="s">
        <v>99</v>
      </c>
      <c r="B2484" t="s">
        <v>1617</v>
      </c>
      <c r="C2484" s="1">
        <v>123345</v>
      </c>
    </row>
    <row r="2485" spans="1:3" x14ac:dyDescent="0.2">
      <c r="A2485" t="s">
        <v>99</v>
      </c>
      <c r="B2485" t="s">
        <v>1618</v>
      </c>
      <c r="C2485" s="1">
        <v>250000</v>
      </c>
    </row>
    <row r="2486" spans="1:3" x14ac:dyDescent="0.2">
      <c r="A2486" t="s">
        <v>99</v>
      </c>
      <c r="B2486" t="s">
        <v>1619</v>
      </c>
      <c r="C2486" s="1">
        <v>250000</v>
      </c>
    </row>
    <row r="2487" spans="1:3" x14ac:dyDescent="0.2">
      <c r="A2487" t="s">
        <v>99</v>
      </c>
      <c r="B2487" t="s">
        <v>1624</v>
      </c>
      <c r="C2487" s="1">
        <v>150000</v>
      </c>
    </row>
    <row r="2488" spans="1:3" x14ac:dyDescent="0.2">
      <c r="A2488" t="s">
        <v>99</v>
      </c>
      <c r="B2488" t="s">
        <v>1625</v>
      </c>
      <c r="C2488" s="1">
        <v>250000</v>
      </c>
    </row>
    <row r="2489" spans="1:3" x14ac:dyDescent="0.2">
      <c r="A2489" t="s">
        <v>99</v>
      </c>
      <c r="B2489" t="s">
        <v>1626</v>
      </c>
      <c r="C2489" s="1">
        <v>98489</v>
      </c>
    </row>
    <row r="2490" spans="1:3" x14ac:dyDescent="0.2">
      <c r="A2490" t="s">
        <v>99</v>
      </c>
      <c r="B2490" t="s">
        <v>1638</v>
      </c>
      <c r="C2490" s="1">
        <v>243920</v>
      </c>
    </row>
    <row r="2491" spans="1:3" x14ac:dyDescent="0.2">
      <c r="A2491" t="s">
        <v>99</v>
      </c>
      <c r="B2491" t="s">
        <v>1642</v>
      </c>
      <c r="C2491" s="1">
        <v>250000</v>
      </c>
    </row>
    <row r="2492" spans="1:3" x14ac:dyDescent="0.2">
      <c r="A2492" t="s">
        <v>99</v>
      </c>
      <c r="B2492" t="s">
        <v>1643</v>
      </c>
      <c r="C2492" s="1">
        <v>250000</v>
      </c>
    </row>
    <row r="2493" spans="1:3" x14ac:dyDescent="0.2">
      <c r="A2493" t="s">
        <v>99</v>
      </c>
      <c r="B2493" t="s">
        <v>1648</v>
      </c>
      <c r="C2493" s="1">
        <v>10000000</v>
      </c>
    </row>
    <row r="2494" spans="1:3" x14ac:dyDescent="0.2">
      <c r="A2494" t="s">
        <v>99</v>
      </c>
      <c r="B2494" t="s">
        <v>1652</v>
      </c>
      <c r="C2494" s="1">
        <v>250000</v>
      </c>
    </row>
    <row r="2495" spans="1:3" x14ac:dyDescent="0.2">
      <c r="A2495" t="s">
        <v>99</v>
      </c>
      <c r="B2495" t="s">
        <v>1672</v>
      </c>
      <c r="C2495" s="1">
        <v>20400000</v>
      </c>
    </row>
    <row r="2496" spans="1:3" x14ac:dyDescent="0.2">
      <c r="A2496" t="s">
        <v>99</v>
      </c>
      <c r="B2496" t="s">
        <v>1674</v>
      </c>
      <c r="C2496" s="1">
        <v>10000000</v>
      </c>
    </row>
    <row r="2497" spans="1:3" x14ac:dyDescent="0.2">
      <c r="A2497" t="s">
        <v>99</v>
      </c>
      <c r="B2497" t="s">
        <v>1675</v>
      </c>
      <c r="C2497" s="1">
        <v>217398</v>
      </c>
    </row>
    <row r="2498" spans="1:3" x14ac:dyDescent="0.2">
      <c r="A2498" t="s">
        <v>99</v>
      </c>
      <c r="B2498" t="s">
        <v>1676</v>
      </c>
      <c r="C2498" s="1">
        <v>151782</v>
      </c>
    </row>
    <row r="2499" spans="1:3" x14ac:dyDescent="0.2">
      <c r="A2499" t="s">
        <v>99</v>
      </c>
      <c r="B2499" t="s">
        <v>1713</v>
      </c>
      <c r="C2499" s="1">
        <v>250000</v>
      </c>
    </row>
    <row r="2500" spans="1:3" x14ac:dyDescent="0.2">
      <c r="A2500" t="s">
        <v>99</v>
      </c>
      <c r="B2500" t="s">
        <v>1714</v>
      </c>
      <c r="C2500" s="1">
        <v>162691</v>
      </c>
    </row>
    <row r="2501" spans="1:3" x14ac:dyDescent="0.2">
      <c r="A2501" t="s">
        <v>99</v>
      </c>
      <c r="B2501" t="s">
        <v>1715</v>
      </c>
      <c r="C2501" s="1">
        <v>250000</v>
      </c>
    </row>
    <row r="2502" spans="1:3" x14ac:dyDescent="0.2">
      <c r="A2502" t="s">
        <v>99</v>
      </c>
      <c r="B2502" t="s">
        <v>1732</v>
      </c>
      <c r="C2502" s="1">
        <v>39997.5</v>
      </c>
    </row>
    <row r="2503" spans="1:3" x14ac:dyDescent="0.2">
      <c r="A2503" t="s">
        <v>99</v>
      </c>
      <c r="B2503" t="s">
        <v>1733</v>
      </c>
      <c r="C2503" s="1">
        <v>250000</v>
      </c>
    </row>
    <row r="2504" spans="1:3" x14ac:dyDescent="0.2">
      <c r="A2504" t="s">
        <v>99</v>
      </c>
      <c r="B2504" t="s">
        <v>1734</v>
      </c>
      <c r="C2504" s="1">
        <v>16109854</v>
      </c>
    </row>
    <row r="2505" spans="1:3" x14ac:dyDescent="0.2">
      <c r="A2505" t="s">
        <v>99</v>
      </c>
      <c r="B2505" t="s">
        <v>1735</v>
      </c>
      <c r="C2505" s="1">
        <v>12000000</v>
      </c>
    </row>
    <row r="2506" spans="1:3" x14ac:dyDescent="0.2">
      <c r="A2506" t="s">
        <v>99</v>
      </c>
      <c r="B2506" t="s">
        <v>1736</v>
      </c>
      <c r="C2506" s="1">
        <v>14486586</v>
      </c>
    </row>
    <row r="2507" spans="1:3" x14ac:dyDescent="0.2">
      <c r="A2507" t="s">
        <v>99</v>
      </c>
      <c r="B2507" t="s">
        <v>1744</v>
      </c>
      <c r="C2507" s="1">
        <v>132463</v>
      </c>
    </row>
    <row r="2508" spans="1:3" x14ac:dyDescent="0.2">
      <c r="A2508" t="s">
        <v>99</v>
      </c>
      <c r="B2508" t="s">
        <v>1747</v>
      </c>
      <c r="C2508" s="1">
        <v>19500000</v>
      </c>
    </row>
    <row r="2509" spans="1:3" x14ac:dyDescent="0.2">
      <c r="A2509" t="s">
        <v>99</v>
      </c>
      <c r="B2509" t="s">
        <v>1748</v>
      </c>
      <c r="C2509" s="1">
        <v>16500000</v>
      </c>
    </row>
    <row r="2510" spans="1:3" x14ac:dyDescent="0.2">
      <c r="A2510" t="s">
        <v>99</v>
      </c>
      <c r="B2510" t="s">
        <v>1749</v>
      </c>
      <c r="C2510" s="1">
        <v>8999660</v>
      </c>
    </row>
    <row r="2511" spans="1:3" x14ac:dyDescent="0.2">
      <c r="A2511" t="s">
        <v>99</v>
      </c>
      <c r="B2511" t="s">
        <v>1750</v>
      </c>
      <c r="C2511" s="1">
        <v>924000</v>
      </c>
    </row>
    <row r="2512" spans="1:3" x14ac:dyDescent="0.2">
      <c r="A2512" t="s">
        <v>99</v>
      </c>
      <c r="B2512" t="s">
        <v>1751</v>
      </c>
      <c r="C2512" s="1">
        <v>6624660</v>
      </c>
    </row>
    <row r="2513" spans="1:3" x14ac:dyDescent="0.2">
      <c r="A2513" t="s">
        <v>99</v>
      </c>
      <c r="B2513" t="s">
        <v>1752</v>
      </c>
      <c r="C2513" s="1">
        <v>825000</v>
      </c>
    </row>
    <row r="2514" spans="1:3" x14ac:dyDescent="0.2">
      <c r="A2514" t="s">
        <v>99</v>
      </c>
      <c r="B2514" t="s">
        <v>1753</v>
      </c>
      <c r="C2514" s="1">
        <v>924000</v>
      </c>
    </row>
    <row r="2515" spans="1:3" x14ac:dyDescent="0.2">
      <c r="A2515" t="s">
        <v>99</v>
      </c>
      <c r="B2515" t="s">
        <v>1754</v>
      </c>
      <c r="C2515" s="1">
        <v>34350</v>
      </c>
    </row>
    <row r="2516" spans="1:3" x14ac:dyDescent="0.2">
      <c r="A2516" t="s">
        <v>99</v>
      </c>
      <c r="B2516" t="s">
        <v>1759</v>
      </c>
      <c r="C2516" s="1">
        <v>300000</v>
      </c>
    </row>
    <row r="2517" spans="1:3" x14ac:dyDescent="0.2">
      <c r="A2517" t="s">
        <v>99</v>
      </c>
      <c r="B2517" t="s">
        <v>1760</v>
      </c>
      <c r="C2517" s="1">
        <v>950000</v>
      </c>
    </row>
    <row r="2518" spans="1:3" x14ac:dyDescent="0.2">
      <c r="A2518" t="s">
        <v>99</v>
      </c>
      <c r="B2518" t="s">
        <v>1761</v>
      </c>
      <c r="C2518" s="1">
        <v>250000</v>
      </c>
    </row>
    <row r="2519" spans="1:3" x14ac:dyDescent="0.2">
      <c r="A2519" t="s">
        <v>99</v>
      </c>
      <c r="B2519" t="s">
        <v>1762</v>
      </c>
      <c r="C2519" s="1">
        <v>950000</v>
      </c>
    </row>
    <row r="2520" spans="1:3" x14ac:dyDescent="0.2">
      <c r="A2520" t="s">
        <v>99</v>
      </c>
      <c r="B2520" t="s">
        <v>1763</v>
      </c>
      <c r="C2520" s="1">
        <v>250000</v>
      </c>
    </row>
    <row r="2521" spans="1:3" x14ac:dyDescent="0.2">
      <c r="A2521" t="s">
        <v>99</v>
      </c>
      <c r="B2521" t="s">
        <v>1764</v>
      </c>
      <c r="C2521" s="1">
        <v>996213938</v>
      </c>
    </row>
    <row r="2522" spans="1:3" x14ac:dyDescent="0.2">
      <c r="A2522" t="s">
        <v>99</v>
      </c>
      <c r="B2522" t="s">
        <v>1767</v>
      </c>
      <c r="C2522" s="1">
        <v>250000</v>
      </c>
    </row>
    <row r="2523" spans="1:3" x14ac:dyDescent="0.2">
      <c r="A2523" t="s">
        <v>99</v>
      </c>
      <c r="B2523" t="s">
        <v>1768</v>
      </c>
      <c r="C2523" s="1">
        <v>3045000</v>
      </c>
    </row>
    <row r="2524" spans="1:3" x14ac:dyDescent="0.2">
      <c r="A2524" t="s">
        <v>99</v>
      </c>
      <c r="B2524" t="s">
        <v>1785</v>
      </c>
      <c r="C2524" s="1">
        <v>126735</v>
      </c>
    </row>
    <row r="2525" spans="1:3" x14ac:dyDescent="0.2">
      <c r="A2525" t="s">
        <v>99</v>
      </c>
      <c r="B2525" t="s">
        <v>1790</v>
      </c>
      <c r="C2525" s="1">
        <v>18044</v>
      </c>
    </row>
    <row r="2526" spans="1:3" x14ac:dyDescent="0.2">
      <c r="A2526" t="s">
        <v>99</v>
      </c>
      <c r="B2526" t="s">
        <v>1830</v>
      </c>
      <c r="C2526" s="1">
        <v>500036.6</v>
      </c>
    </row>
    <row r="2527" spans="1:3" x14ac:dyDescent="0.2">
      <c r="A2527" t="s">
        <v>99</v>
      </c>
      <c r="B2527" t="s">
        <v>1836</v>
      </c>
      <c r="C2527" s="1">
        <v>5000000</v>
      </c>
    </row>
    <row r="2528" spans="1:3" x14ac:dyDescent="0.2">
      <c r="A2528" t="s">
        <v>99</v>
      </c>
      <c r="B2528" t="s">
        <v>1838</v>
      </c>
      <c r="C2528" s="1">
        <v>95187.4</v>
      </c>
    </row>
    <row r="2529" spans="1:3" x14ac:dyDescent="0.2">
      <c r="A2529" t="s">
        <v>99</v>
      </c>
      <c r="B2529" t="s">
        <v>1839</v>
      </c>
      <c r="C2529" s="1">
        <v>1271000</v>
      </c>
    </row>
    <row r="2530" spans="1:3" x14ac:dyDescent="0.2">
      <c r="A2530" t="s">
        <v>99</v>
      </c>
      <c r="B2530" t="s">
        <v>1857</v>
      </c>
      <c r="C2530" s="1">
        <v>250000</v>
      </c>
    </row>
    <row r="2531" spans="1:3" x14ac:dyDescent="0.2">
      <c r="A2531" t="s">
        <v>99</v>
      </c>
      <c r="B2531" t="s">
        <v>1881</v>
      </c>
      <c r="C2531" s="1">
        <v>5000000</v>
      </c>
    </row>
    <row r="2532" spans="1:3" x14ac:dyDescent="0.2">
      <c r="A2532" t="s">
        <v>99</v>
      </c>
      <c r="B2532" t="s">
        <v>1890</v>
      </c>
      <c r="C2532" s="1">
        <v>250000</v>
      </c>
    </row>
    <row r="2533" spans="1:3" x14ac:dyDescent="0.2">
      <c r="A2533" t="s">
        <v>99</v>
      </c>
      <c r="B2533" t="s">
        <v>1891</v>
      </c>
      <c r="C2533" s="1">
        <v>2000000</v>
      </c>
    </row>
    <row r="2534" spans="1:3" x14ac:dyDescent="0.2">
      <c r="A2534" t="s">
        <v>99</v>
      </c>
      <c r="B2534" t="s">
        <v>1958</v>
      </c>
      <c r="C2534" s="1">
        <v>150000</v>
      </c>
    </row>
    <row r="2535" spans="1:3" x14ac:dyDescent="0.2">
      <c r="A2535" t="s">
        <v>99</v>
      </c>
      <c r="B2535" t="s">
        <v>2029</v>
      </c>
      <c r="C2535" s="1">
        <v>37912.9</v>
      </c>
    </row>
    <row r="2536" spans="1:3" x14ac:dyDescent="0.2">
      <c r="A2536" t="s">
        <v>99</v>
      </c>
      <c r="B2536" t="s">
        <v>2062</v>
      </c>
      <c r="C2536" s="1">
        <v>250000</v>
      </c>
    </row>
    <row r="2537" spans="1:3" x14ac:dyDescent="0.2">
      <c r="A2537" t="s">
        <v>99</v>
      </c>
      <c r="B2537" t="s">
        <v>2063</v>
      </c>
      <c r="C2537" s="1">
        <v>86289</v>
      </c>
    </row>
    <row r="2538" spans="1:3" x14ac:dyDescent="0.2">
      <c r="A2538" t="s">
        <v>99</v>
      </c>
      <c r="B2538" t="s">
        <v>2073</v>
      </c>
      <c r="C2538" s="1">
        <v>1892928</v>
      </c>
    </row>
    <row r="2539" spans="1:3" x14ac:dyDescent="0.2">
      <c r="A2539" t="s">
        <v>99</v>
      </c>
      <c r="B2539" t="s">
        <v>2080</v>
      </c>
      <c r="C2539" s="1">
        <v>250000</v>
      </c>
    </row>
    <row r="2540" spans="1:3" x14ac:dyDescent="0.2">
      <c r="A2540" t="s">
        <v>99</v>
      </c>
      <c r="B2540" t="s">
        <v>2081</v>
      </c>
      <c r="C2540" s="1">
        <v>250000</v>
      </c>
    </row>
    <row r="2541" spans="1:3" x14ac:dyDescent="0.2">
      <c r="A2541" t="s">
        <v>99</v>
      </c>
      <c r="B2541" t="s">
        <v>2082</v>
      </c>
      <c r="C2541" s="1">
        <v>250000</v>
      </c>
    </row>
    <row r="2542" spans="1:3" x14ac:dyDescent="0.2">
      <c r="A2542" t="s">
        <v>99</v>
      </c>
      <c r="B2542" t="s">
        <v>2083</v>
      </c>
      <c r="C2542" s="1">
        <v>243860.2</v>
      </c>
    </row>
    <row r="2543" spans="1:3" x14ac:dyDescent="0.2">
      <c r="A2543" t="s">
        <v>99</v>
      </c>
      <c r="B2543" t="s">
        <v>2084</v>
      </c>
      <c r="C2543" s="1">
        <v>2413155</v>
      </c>
    </row>
    <row r="2544" spans="1:3" x14ac:dyDescent="0.2">
      <c r="A2544" t="s">
        <v>99</v>
      </c>
      <c r="B2544" t="s">
        <v>2085</v>
      </c>
      <c r="C2544" s="1">
        <v>250000</v>
      </c>
    </row>
    <row r="2545" spans="1:3" x14ac:dyDescent="0.2">
      <c r="A2545" t="s">
        <v>99</v>
      </c>
      <c r="B2545" t="s">
        <v>2087</v>
      </c>
      <c r="C2545" s="1">
        <v>1284300</v>
      </c>
    </row>
    <row r="2546" spans="1:3" x14ac:dyDescent="0.2">
      <c r="A2546" t="s">
        <v>99</v>
      </c>
      <c r="B2546" t="s">
        <v>2089</v>
      </c>
      <c r="C2546" s="1">
        <v>11300757</v>
      </c>
    </row>
    <row r="2547" spans="1:3" x14ac:dyDescent="0.2">
      <c r="A2547" t="s">
        <v>99</v>
      </c>
      <c r="B2547" t="s">
        <v>2112</v>
      </c>
      <c r="C2547" s="1">
        <v>99656.2</v>
      </c>
    </row>
    <row r="2548" spans="1:3" x14ac:dyDescent="0.2">
      <c r="A2548" t="s">
        <v>99</v>
      </c>
      <c r="B2548" t="s">
        <v>2113</v>
      </c>
      <c r="C2548" s="1">
        <v>250000</v>
      </c>
    </row>
    <row r="2549" spans="1:3" x14ac:dyDescent="0.2">
      <c r="A2549" t="s">
        <v>99</v>
      </c>
      <c r="B2549" t="s">
        <v>2114</v>
      </c>
      <c r="C2549" s="1">
        <v>211512.1</v>
      </c>
    </row>
    <row r="2550" spans="1:3" x14ac:dyDescent="0.2">
      <c r="A2550" t="s">
        <v>99</v>
      </c>
      <c r="B2550" t="s">
        <v>2117</v>
      </c>
      <c r="C2550" s="1">
        <v>7000000</v>
      </c>
    </row>
    <row r="2551" spans="1:3" x14ac:dyDescent="0.2">
      <c r="A2551" t="s">
        <v>99</v>
      </c>
      <c r="B2551" t="s">
        <v>2118</v>
      </c>
      <c r="C2551" s="1">
        <v>1000000</v>
      </c>
    </row>
    <row r="2552" spans="1:3" x14ac:dyDescent="0.2">
      <c r="A2552" t="s">
        <v>99</v>
      </c>
      <c r="B2552" t="s">
        <v>2120</v>
      </c>
      <c r="C2552" s="1">
        <v>12724625</v>
      </c>
    </row>
    <row r="2553" spans="1:3" x14ac:dyDescent="0.2">
      <c r="A2553" t="s">
        <v>99</v>
      </c>
      <c r="B2553" t="s">
        <v>2121</v>
      </c>
      <c r="C2553" s="1">
        <v>37621</v>
      </c>
    </row>
    <row r="2554" spans="1:3" x14ac:dyDescent="0.2">
      <c r="A2554" t="s">
        <v>99</v>
      </c>
      <c r="B2554" t="s">
        <v>2122</v>
      </c>
      <c r="C2554" s="1">
        <v>12569068</v>
      </c>
    </row>
    <row r="2555" spans="1:3" x14ac:dyDescent="0.2">
      <c r="A2555" t="s">
        <v>99</v>
      </c>
      <c r="B2555" t="s">
        <v>2123</v>
      </c>
      <c r="C2555" s="1">
        <v>25354</v>
      </c>
    </row>
    <row r="2556" spans="1:3" x14ac:dyDescent="0.2">
      <c r="A2556" t="s">
        <v>99</v>
      </c>
      <c r="B2556" t="s">
        <v>2124</v>
      </c>
      <c r="C2556" s="1">
        <v>160485</v>
      </c>
    </row>
    <row r="2557" spans="1:3" x14ac:dyDescent="0.2">
      <c r="A2557" t="s">
        <v>99</v>
      </c>
      <c r="B2557" t="s">
        <v>2125</v>
      </c>
      <c r="C2557" s="1">
        <v>74778</v>
      </c>
    </row>
    <row r="2558" spans="1:3" x14ac:dyDescent="0.2">
      <c r="A2558" t="s">
        <v>99</v>
      </c>
      <c r="B2558" t="s">
        <v>2126</v>
      </c>
      <c r="C2558" s="1">
        <v>5500000</v>
      </c>
    </row>
    <row r="2559" spans="1:3" x14ac:dyDescent="0.2">
      <c r="A2559" t="s">
        <v>99</v>
      </c>
      <c r="B2559" t="s">
        <v>2132</v>
      </c>
      <c r="C2559" s="1">
        <v>250000</v>
      </c>
    </row>
    <row r="2560" spans="1:3" x14ac:dyDescent="0.2">
      <c r="A2560" t="s">
        <v>99</v>
      </c>
      <c r="B2560" t="s">
        <v>2135</v>
      </c>
      <c r="C2560" s="1">
        <v>250000</v>
      </c>
    </row>
    <row r="2561" spans="1:3" x14ac:dyDescent="0.2">
      <c r="A2561" t="s">
        <v>99</v>
      </c>
      <c r="B2561" t="s">
        <v>2136</v>
      </c>
      <c r="C2561" s="1">
        <v>250000</v>
      </c>
    </row>
    <row r="2562" spans="1:3" x14ac:dyDescent="0.2">
      <c r="A2562" t="s">
        <v>99</v>
      </c>
      <c r="B2562" t="s">
        <v>2141</v>
      </c>
      <c r="C2562" s="1">
        <v>1671877</v>
      </c>
    </row>
    <row r="2563" spans="1:3" x14ac:dyDescent="0.2">
      <c r="A2563" t="s">
        <v>99</v>
      </c>
      <c r="B2563" t="s">
        <v>2142</v>
      </c>
      <c r="C2563" s="1">
        <v>27350000</v>
      </c>
    </row>
    <row r="2564" spans="1:3" x14ac:dyDescent="0.2">
      <c r="A2564" t="s">
        <v>99</v>
      </c>
      <c r="B2564" t="s">
        <v>2147</v>
      </c>
      <c r="C2564" s="1">
        <v>250000</v>
      </c>
    </row>
    <row r="2565" spans="1:3" x14ac:dyDescent="0.2">
      <c r="A2565" t="s">
        <v>99</v>
      </c>
      <c r="B2565" t="s">
        <v>2148</v>
      </c>
      <c r="C2565" s="1">
        <v>250000</v>
      </c>
    </row>
    <row r="2566" spans="1:3" x14ac:dyDescent="0.2">
      <c r="A2566" t="s">
        <v>99</v>
      </c>
      <c r="B2566" t="s">
        <v>2149</v>
      </c>
      <c r="C2566" s="1">
        <v>150000</v>
      </c>
    </row>
    <row r="2567" spans="1:3" x14ac:dyDescent="0.2">
      <c r="A2567" t="s">
        <v>99</v>
      </c>
      <c r="B2567" t="s">
        <v>2150</v>
      </c>
      <c r="C2567" s="1">
        <v>250000</v>
      </c>
    </row>
    <row r="2568" spans="1:3" x14ac:dyDescent="0.2">
      <c r="A2568" t="s">
        <v>99</v>
      </c>
      <c r="B2568" t="s">
        <v>2151</v>
      </c>
      <c r="C2568" s="1">
        <v>150000</v>
      </c>
    </row>
    <row r="2569" spans="1:3" x14ac:dyDescent="0.2">
      <c r="A2569" t="s">
        <v>99</v>
      </c>
      <c r="B2569" t="s">
        <v>2152</v>
      </c>
      <c r="C2569" s="1">
        <v>250000</v>
      </c>
    </row>
    <row r="2570" spans="1:3" x14ac:dyDescent="0.2">
      <c r="A2570" t="s">
        <v>99</v>
      </c>
      <c r="B2570" t="s">
        <v>2161</v>
      </c>
      <c r="C2570" s="1">
        <v>197495.2</v>
      </c>
    </row>
    <row r="2571" spans="1:3" x14ac:dyDescent="0.2">
      <c r="A2571" t="s">
        <v>99</v>
      </c>
      <c r="B2571" t="s">
        <v>2162</v>
      </c>
      <c r="C2571" s="1">
        <v>88913.1</v>
      </c>
    </row>
    <row r="2572" spans="1:3" x14ac:dyDescent="0.2">
      <c r="A2572" t="s">
        <v>99</v>
      </c>
      <c r="B2572" t="s">
        <v>2163</v>
      </c>
      <c r="C2572" s="1">
        <v>150000</v>
      </c>
    </row>
    <row r="2573" spans="1:3" x14ac:dyDescent="0.2">
      <c r="A2573" t="s">
        <v>99</v>
      </c>
      <c r="B2573" t="s">
        <v>2164</v>
      </c>
      <c r="C2573" s="1">
        <v>150000</v>
      </c>
    </row>
    <row r="2574" spans="1:3" x14ac:dyDescent="0.2">
      <c r="A2574" t="s">
        <v>99</v>
      </c>
      <c r="B2574" t="s">
        <v>2165</v>
      </c>
      <c r="C2574" s="1">
        <v>250000</v>
      </c>
    </row>
    <row r="2575" spans="1:3" x14ac:dyDescent="0.2">
      <c r="A2575" t="s">
        <v>99</v>
      </c>
      <c r="B2575" t="s">
        <v>2166</v>
      </c>
      <c r="C2575" s="1">
        <v>400000</v>
      </c>
    </row>
    <row r="2576" spans="1:3" x14ac:dyDescent="0.2">
      <c r="A2576" t="s">
        <v>99</v>
      </c>
      <c r="B2576" t="s">
        <v>2167</v>
      </c>
      <c r="C2576" s="1">
        <v>250000</v>
      </c>
    </row>
    <row r="2577" spans="1:3" x14ac:dyDescent="0.2">
      <c r="A2577" t="s">
        <v>99</v>
      </c>
      <c r="B2577" t="s">
        <v>2168</v>
      </c>
      <c r="C2577" s="1">
        <v>150000</v>
      </c>
    </row>
    <row r="2578" spans="1:3" x14ac:dyDescent="0.2">
      <c r="A2578" t="s">
        <v>99</v>
      </c>
      <c r="B2578" t="s">
        <v>2169</v>
      </c>
      <c r="C2578" s="1">
        <v>250000</v>
      </c>
    </row>
    <row r="2579" spans="1:3" x14ac:dyDescent="0.2">
      <c r="A2579" t="s">
        <v>99</v>
      </c>
      <c r="B2579" t="s">
        <v>2170</v>
      </c>
      <c r="C2579" s="1">
        <v>17550000</v>
      </c>
    </row>
    <row r="2580" spans="1:3" x14ac:dyDescent="0.2">
      <c r="A2580" t="s">
        <v>99</v>
      </c>
      <c r="B2580" t="s">
        <v>2175</v>
      </c>
      <c r="C2580" s="1">
        <v>150000</v>
      </c>
    </row>
    <row r="2581" spans="1:3" x14ac:dyDescent="0.2">
      <c r="A2581" t="s">
        <v>99</v>
      </c>
      <c r="B2581" t="s">
        <v>2181</v>
      </c>
      <c r="C2581" s="1">
        <v>17000000</v>
      </c>
    </row>
    <row r="2582" spans="1:3" x14ac:dyDescent="0.2">
      <c r="A2582" t="s">
        <v>99</v>
      </c>
      <c r="B2582" t="s">
        <v>2182</v>
      </c>
      <c r="C2582" s="1">
        <v>5810000</v>
      </c>
    </row>
    <row r="2583" spans="1:3" x14ac:dyDescent="0.2">
      <c r="A2583" t="s">
        <v>99</v>
      </c>
      <c r="B2583" t="s">
        <v>2183</v>
      </c>
      <c r="C2583" s="1">
        <v>150000</v>
      </c>
    </row>
    <row r="2584" spans="1:3" x14ac:dyDescent="0.2">
      <c r="A2584" t="s">
        <v>99</v>
      </c>
      <c r="B2584" t="s">
        <v>2184</v>
      </c>
      <c r="C2584" s="1">
        <v>250000</v>
      </c>
    </row>
    <row r="2585" spans="1:3" x14ac:dyDescent="0.2">
      <c r="A2585" t="s">
        <v>99</v>
      </c>
      <c r="B2585" t="s">
        <v>2185</v>
      </c>
      <c r="C2585" s="1">
        <v>212721</v>
      </c>
    </row>
    <row r="2586" spans="1:3" x14ac:dyDescent="0.2">
      <c r="A2586" t="s">
        <v>99</v>
      </c>
      <c r="B2586" t="s">
        <v>2186</v>
      </c>
      <c r="C2586" s="1">
        <v>13492500</v>
      </c>
    </row>
    <row r="2587" spans="1:3" x14ac:dyDescent="0.2">
      <c r="A2587" t="s">
        <v>99</v>
      </c>
      <c r="B2587" t="s">
        <v>2187</v>
      </c>
      <c r="C2587" s="1">
        <v>5913737</v>
      </c>
    </row>
    <row r="2588" spans="1:3" x14ac:dyDescent="0.2">
      <c r="A2588" t="s">
        <v>99</v>
      </c>
      <c r="B2588" t="s">
        <v>2188</v>
      </c>
      <c r="C2588" s="1">
        <v>250000</v>
      </c>
    </row>
    <row r="2589" spans="1:3" x14ac:dyDescent="0.2">
      <c r="A2589" t="s">
        <v>99</v>
      </c>
      <c r="B2589" t="s">
        <v>2189</v>
      </c>
      <c r="C2589" s="1">
        <v>300000</v>
      </c>
    </row>
    <row r="2590" spans="1:3" x14ac:dyDescent="0.2">
      <c r="A2590" t="s">
        <v>99</v>
      </c>
      <c r="B2590" t="s">
        <v>2190</v>
      </c>
      <c r="C2590" s="1">
        <v>250000</v>
      </c>
    </row>
    <row r="2591" spans="1:3" x14ac:dyDescent="0.2">
      <c r="A2591" t="s">
        <v>99</v>
      </c>
      <c r="B2591" t="s">
        <v>2191</v>
      </c>
      <c r="C2591" s="1">
        <v>150000</v>
      </c>
    </row>
    <row r="2592" spans="1:3" x14ac:dyDescent="0.2">
      <c r="A2592" t="s">
        <v>99</v>
      </c>
      <c r="B2592" t="s">
        <v>2199</v>
      </c>
      <c r="C2592" s="1">
        <v>157053.79999999999</v>
      </c>
    </row>
    <row r="2593" spans="1:3" x14ac:dyDescent="0.2">
      <c r="A2593" t="s">
        <v>99</v>
      </c>
      <c r="B2593" t="s">
        <v>2200</v>
      </c>
      <c r="C2593" s="1">
        <v>150000</v>
      </c>
    </row>
    <row r="2594" spans="1:3" x14ac:dyDescent="0.2">
      <c r="A2594" t="s">
        <v>99</v>
      </c>
      <c r="B2594" t="s">
        <v>2201</v>
      </c>
      <c r="C2594" s="1">
        <v>250000</v>
      </c>
    </row>
    <row r="2595" spans="1:3" x14ac:dyDescent="0.2">
      <c r="A2595" t="s">
        <v>99</v>
      </c>
      <c r="B2595" t="s">
        <v>2202</v>
      </c>
      <c r="C2595" s="1">
        <v>540000</v>
      </c>
    </row>
    <row r="2596" spans="1:3" x14ac:dyDescent="0.2">
      <c r="A2596" t="s">
        <v>99</v>
      </c>
      <c r="B2596" t="s">
        <v>2203</v>
      </c>
      <c r="C2596" s="1">
        <v>150000</v>
      </c>
    </row>
    <row r="2597" spans="1:3" x14ac:dyDescent="0.2">
      <c r="A2597" t="s">
        <v>99</v>
      </c>
      <c r="B2597" t="s">
        <v>2204</v>
      </c>
      <c r="C2597" s="1">
        <v>150000</v>
      </c>
    </row>
    <row r="2598" spans="1:3" x14ac:dyDescent="0.2">
      <c r="A2598" t="s">
        <v>99</v>
      </c>
      <c r="B2598" t="s">
        <v>2205</v>
      </c>
      <c r="C2598" s="1">
        <v>250000</v>
      </c>
    </row>
    <row r="2599" spans="1:3" x14ac:dyDescent="0.2">
      <c r="A2599" t="s">
        <v>99</v>
      </c>
      <c r="B2599" t="s">
        <v>2207</v>
      </c>
      <c r="C2599" s="1">
        <v>235246.5</v>
      </c>
    </row>
    <row r="2600" spans="1:3" x14ac:dyDescent="0.2">
      <c r="A2600" t="s">
        <v>99</v>
      </c>
      <c r="B2600" t="s">
        <v>2208</v>
      </c>
      <c r="C2600" s="1">
        <v>250000</v>
      </c>
    </row>
    <row r="2601" spans="1:3" x14ac:dyDescent="0.2">
      <c r="A2601" t="s">
        <v>99</v>
      </c>
      <c r="B2601" t="s">
        <v>2212</v>
      </c>
      <c r="C2601" s="1">
        <v>150000</v>
      </c>
    </row>
    <row r="2602" spans="1:3" x14ac:dyDescent="0.2">
      <c r="A2602" t="s">
        <v>99</v>
      </c>
      <c r="B2602" t="s">
        <v>2213</v>
      </c>
      <c r="C2602" s="1">
        <v>250000</v>
      </c>
    </row>
    <row r="2603" spans="1:3" x14ac:dyDescent="0.2">
      <c r="A2603" t="s">
        <v>99</v>
      </c>
      <c r="B2603" t="s">
        <v>2216</v>
      </c>
      <c r="C2603" s="1">
        <v>150000</v>
      </c>
    </row>
    <row r="2604" spans="1:3" x14ac:dyDescent="0.2">
      <c r="A2604" t="s">
        <v>99</v>
      </c>
      <c r="B2604" t="s">
        <v>2217</v>
      </c>
      <c r="C2604" s="1">
        <v>247629.8</v>
      </c>
    </row>
    <row r="2605" spans="1:3" x14ac:dyDescent="0.2">
      <c r="A2605" t="s">
        <v>99</v>
      </c>
      <c r="B2605" t="s">
        <v>2218</v>
      </c>
      <c r="C2605" s="1">
        <v>189585</v>
      </c>
    </row>
    <row r="2606" spans="1:3" x14ac:dyDescent="0.2">
      <c r="A2606" t="s">
        <v>99</v>
      </c>
      <c r="B2606" t="s">
        <v>2222</v>
      </c>
      <c r="C2606" s="1">
        <v>1000000</v>
      </c>
    </row>
    <row r="2607" spans="1:3" x14ac:dyDescent="0.2">
      <c r="A2607" t="s">
        <v>99</v>
      </c>
      <c r="B2607" t="s">
        <v>2227</v>
      </c>
      <c r="C2607" s="1">
        <v>250000</v>
      </c>
    </row>
    <row r="2608" spans="1:3" x14ac:dyDescent="0.2">
      <c r="A2608" t="s">
        <v>99</v>
      </c>
      <c r="B2608" t="s">
        <v>2229</v>
      </c>
      <c r="C2608" s="1">
        <v>209700</v>
      </c>
    </row>
    <row r="2609" spans="1:3" x14ac:dyDescent="0.2">
      <c r="A2609" t="s">
        <v>99</v>
      </c>
      <c r="B2609" t="s">
        <v>2261</v>
      </c>
      <c r="C2609" s="1">
        <v>155380</v>
      </c>
    </row>
    <row r="2610" spans="1:3" x14ac:dyDescent="0.2">
      <c r="A2610" t="s">
        <v>99</v>
      </c>
      <c r="B2610" t="s">
        <v>2262</v>
      </c>
      <c r="C2610" s="1">
        <v>150000</v>
      </c>
    </row>
    <row r="2611" spans="1:3" x14ac:dyDescent="0.2">
      <c r="A2611" t="s">
        <v>99</v>
      </c>
      <c r="B2611" t="s">
        <v>2264</v>
      </c>
      <c r="C2611" s="1">
        <v>5000000</v>
      </c>
    </row>
    <row r="2612" spans="1:3" x14ac:dyDescent="0.2">
      <c r="A2612" t="s">
        <v>99</v>
      </c>
      <c r="B2612" t="s">
        <v>2265</v>
      </c>
      <c r="C2612" s="1">
        <v>247008.8</v>
      </c>
    </row>
    <row r="2613" spans="1:3" x14ac:dyDescent="0.2">
      <c r="A2613" t="s">
        <v>99</v>
      </c>
      <c r="B2613" t="s">
        <v>2266</v>
      </c>
      <c r="C2613" s="1">
        <v>150000</v>
      </c>
    </row>
    <row r="2614" spans="1:3" x14ac:dyDescent="0.2">
      <c r="A2614" t="s">
        <v>99</v>
      </c>
      <c r="B2614" t="s">
        <v>2269</v>
      </c>
      <c r="C2614" s="1">
        <v>1450000</v>
      </c>
    </row>
    <row r="2615" spans="1:3" x14ac:dyDescent="0.2">
      <c r="A2615" t="s">
        <v>99</v>
      </c>
      <c r="B2615" t="s">
        <v>2270</v>
      </c>
      <c r="C2615" s="1">
        <v>13775000</v>
      </c>
    </row>
    <row r="2616" spans="1:3" x14ac:dyDescent="0.2">
      <c r="A2616" t="s">
        <v>99</v>
      </c>
      <c r="B2616" t="s">
        <v>2271</v>
      </c>
      <c r="C2616" s="1">
        <v>6000000</v>
      </c>
    </row>
    <row r="2617" spans="1:3" x14ac:dyDescent="0.2">
      <c r="A2617" t="s">
        <v>99</v>
      </c>
      <c r="B2617" t="s">
        <v>2272</v>
      </c>
      <c r="C2617" s="1">
        <v>6000000</v>
      </c>
    </row>
    <row r="2618" spans="1:3" x14ac:dyDescent="0.2">
      <c r="A2618" t="s">
        <v>99</v>
      </c>
      <c r="B2618" t="s">
        <v>2277</v>
      </c>
      <c r="C2618" s="1">
        <v>22255000</v>
      </c>
    </row>
    <row r="2619" spans="1:3" x14ac:dyDescent="0.2">
      <c r="A2619" t="s">
        <v>99</v>
      </c>
      <c r="B2619" t="s">
        <v>2278</v>
      </c>
      <c r="C2619" s="1">
        <v>250000</v>
      </c>
    </row>
    <row r="2620" spans="1:3" x14ac:dyDescent="0.2">
      <c r="A2620" t="s">
        <v>99</v>
      </c>
      <c r="B2620" t="s">
        <v>2282</v>
      </c>
      <c r="C2620" s="1">
        <v>5000000</v>
      </c>
    </row>
    <row r="2621" spans="1:3" x14ac:dyDescent="0.2">
      <c r="A2621" t="s">
        <v>99</v>
      </c>
      <c r="B2621" t="s">
        <v>2286</v>
      </c>
      <c r="C2621" s="1">
        <v>250000</v>
      </c>
    </row>
    <row r="2622" spans="1:3" x14ac:dyDescent="0.2">
      <c r="A2622" t="s">
        <v>99</v>
      </c>
      <c r="B2622" t="s">
        <v>2287</v>
      </c>
      <c r="C2622" s="1">
        <v>9200000</v>
      </c>
    </row>
    <row r="2623" spans="1:3" x14ac:dyDescent="0.2">
      <c r="A2623" t="s">
        <v>99</v>
      </c>
      <c r="B2623" t="s">
        <v>2400</v>
      </c>
      <c r="C2623" s="1">
        <v>5000000</v>
      </c>
    </row>
    <row r="2624" spans="1:3" x14ac:dyDescent="0.2">
      <c r="A2624" t="s">
        <v>99</v>
      </c>
      <c r="B2624" t="s">
        <v>2410</v>
      </c>
      <c r="C2624" s="1">
        <v>150150</v>
      </c>
    </row>
    <row r="2625" spans="1:3" x14ac:dyDescent="0.2">
      <c r="A2625" t="s">
        <v>99</v>
      </c>
      <c r="B2625" t="s">
        <v>2442</v>
      </c>
      <c r="C2625" s="1">
        <v>207075</v>
      </c>
    </row>
    <row r="2626" spans="1:3" x14ac:dyDescent="0.2">
      <c r="A2626" t="s">
        <v>99</v>
      </c>
      <c r="B2626" t="s">
        <v>2443</v>
      </c>
      <c r="C2626" s="1">
        <v>540000</v>
      </c>
    </row>
    <row r="2627" spans="1:3" x14ac:dyDescent="0.2">
      <c r="A2627" t="s">
        <v>99</v>
      </c>
      <c r="B2627" t="s">
        <v>2444</v>
      </c>
      <c r="C2627" s="1">
        <v>6200000</v>
      </c>
    </row>
    <row r="2628" spans="1:3" x14ac:dyDescent="0.2">
      <c r="A2628" t="s">
        <v>99</v>
      </c>
      <c r="B2628" t="s">
        <v>2445</v>
      </c>
      <c r="C2628" s="1">
        <v>4200000</v>
      </c>
    </row>
    <row r="2629" spans="1:3" x14ac:dyDescent="0.2">
      <c r="A2629" t="s">
        <v>99</v>
      </c>
      <c r="B2629" t="s">
        <v>2446</v>
      </c>
      <c r="C2629" s="1">
        <v>152589.70000000001</v>
      </c>
    </row>
    <row r="2630" spans="1:3" x14ac:dyDescent="0.2">
      <c r="A2630" t="s">
        <v>99</v>
      </c>
      <c r="B2630" t="s">
        <v>2447</v>
      </c>
      <c r="C2630" s="1">
        <v>176550</v>
      </c>
    </row>
    <row r="2631" spans="1:3" x14ac:dyDescent="0.2">
      <c r="A2631" t="s">
        <v>99</v>
      </c>
      <c r="B2631" t="s">
        <v>2450</v>
      </c>
      <c r="C2631" s="1">
        <v>117757.5</v>
      </c>
    </row>
    <row r="2632" spans="1:3" x14ac:dyDescent="0.2">
      <c r="A2632" t="s">
        <v>99</v>
      </c>
      <c r="B2632" t="s">
        <v>2473</v>
      </c>
      <c r="C2632" s="1">
        <v>150000</v>
      </c>
    </row>
    <row r="2633" spans="1:3" x14ac:dyDescent="0.2">
      <c r="A2633" t="s">
        <v>99</v>
      </c>
      <c r="B2633" t="s">
        <v>2480</v>
      </c>
      <c r="C2633" s="1">
        <v>137032.5</v>
      </c>
    </row>
    <row r="2634" spans="1:3" x14ac:dyDescent="0.2">
      <c r="A2634" t="s">
        <v>99</v>
      </c>
      <c r="B2634" t="s">
        <v>2481</v>
      </c>
      <c r="C2634" s="1">
        <v>166927.5</v>
      </c>
    </row>
    <row r="2635" spans="1:3" x14ac:dyDescent="0.2">
      <c r="A2635" t="s">
        <v>99</v>
      </c>
      <c r="B2635" t="s">
        <v>2482</v>
      </c>
      <c r="C2635" s="1">
        <v>1562786</v>
      </c>
    </row>
    <row r="2636" spans="1:3" x14ac:dyDescent="0.2">
      <c r="A2636" t="s">
        <v>99</v>
      </c>
      <c r="B2636" t="s">
        <v>2483</v>
      </c>
      <c r="C2636" s="1">
        <v>82121.2</v>
      </c>
    </row>
    <row r="2637" spans="1:3" x14ac:dyDescent="0.2">
      <c r="A2637" t="s">
        <v>99</v>
      </c>
      <c r="B2637" t="s">
        <v>2484</v>
      </c>
      <c r="C2637" s="1">
        <v>344049</v>
      </c>
    </row>
    <row r="2638" spans="1:3" x14ac:dyDescent="0.2">
      <c r="A2638" t="s">
        <v>99</v>
      </c>
      <c r="B2638" t="s">
        <v>2487</v>
      </c>
      <c r="C2638" s="1">
        <v>250000</v>
      </c>
    </row>
    <row r="2639" spans="1:3" x14ac:dyDescent="0.2">
      <c r="A2639" t="s">
        <v>99</v>
      </c>
      <c r="B2639" t="s">
        <v>2488</v>
      </c>
      <c r="C2639" s="1">
        <v>3300000</v>
      </c>
    </row>
    <row r="2640" spans="1:3" x14ac:dyDescent="0.2">
      <c r="A2640" t="s">
        <v>99</v>
      </c>
      <c r="B2640" t="s">
        <v>2490</v>
      </c>
      <c r="C2640" s="1">
        <v>2441372</v>
      </c>
    </row>
    <row r="2641" spans="1:3" x14ac:dyDescent="0.2">
      <c r="A2641" t="s">
        <v>99</v>
      </c>
      <c r="B2641" t="s">
        <v>2492</v>
      </c>
      <c r="C2641" s="1">
        <v>123000</v>
      </c>
    </row>
    <row r="2642" spans="1:3" x14ac:dyDescent="0.2">
      <c r="A2642" t="s">
        <v>99</v>
      </c>
      <c r="B2642" t="s">
        <v>2493</v>
      </c>
      <c r="C2642" s="1">
        <v>1700000</v>
      </c>
    </row>
    <row r="2643" spans="1:3" x14ac:dyDescent="0.2">
      <c r="A2643" t="s">
        <v>99</v>
      </c>
      <c r="B2643" t="s">
        <v>2505</v>
      </c>
      <c r="C2643" s="1">
        <v>255783</v>
      </c>
    </row>
    <row r="2644" spans="1:3" x14ac:dyDescent="0.2">
      <c r="A2644" t="s">
        <v>99</v>
      </c>
      <c r="B2644" t="s">
        <v>2506</v>
      </c>
      <c r="C2644" s="1">
        <v>4720000</v>
      </c>
    </row>
    <row r="2645" spans="1:3" x14ac:dyDescent="0.2">
      <c r="A2645" t="s">
        <v>99</v>
      </c>
      <c r="B2645" t="s">
        <v>2516</v>
      </c>
      <c r="C2645" s="1">
        <v>8706353</v>
      </c>
    </row>
    <row r="2646" spans="1:3" x14ac:dyDescent="0.2">
      <c r="A2646" t="s">
        <v>99</v>
      </c>
      <c r="B2646" t="s">
        <v>2517</v>
      </c>
      <c r="C2646" s="1">
        <v>1590602</v>
      </c>
    </row>
    <row r="2647" spans="1:3" x14ac:dyDescent="0.2">
      <c r="A2647" t="s">
        <v>99</v>
      </c>
      <c r="B2647" t="s">
        <v>2518</v>
      </c>
      <c r="C2647" s="1">
        <v>8706353</v>
      </c>
    </row>
    <row r="2648" spans="1:3" x14ac:dyDescent="0.2">
      <c r="A2648" t="s">
        <v>99</v>
      </c>
      <c r="B2648" t="s">
        <v>2519</v>
      </c>
      <c r="C2648" s="1">
        <v>118109.5</v>
      </c>
    </row>
    <row r="2649" spans="1:3" x14ac:dyDescent="0.2">
      <c r="A2649" t="s">
        <v>99</v>
      </c>
      <c r="B2649" t="s">
        <v>2520</v>
      </c>
      <c r="C2649" s="1">
        <v>174898</v>
      </c>
    </row>
    <row r="2650" spans="1:3" x14ac:dyDescent="0.2">
      <c r="A2650" t="s">
        <v>99</v>
      </c>
      <c r="B2650" t="s">
        <v>2524</v>
      </c>
      <c r="C2650" s="1">
        <v>250000</v>
      </c>
    </row>
    <row r="2651" spans="1:3" x14ac:dyDescent="0.2">
      <c r="A2651" t="s">
        <v>99</v>
      </c>
      <c r="B2651" t="s">
        <v>2525</v>
      </c>
      <c r="C2651" s="1">
        <v>200392.5</v>
      </c>
    </row>
    <row r="2652" spans="1:3" x14ac:dyDescent="0.2">
      <c r="A2652" t="s">
        <v>99</v>
      </c>
      <c r="B2652" t="s">
        <v>2531</v>
      </c>
      <c r="C2652" s="1">
        <v>10160500</v>
      </c>
    </row>
    <row r="2653" spans="1:3" x14ac:dyDescent="0.2">
      <c r="A2653" t="s">
        <v>99</v>
      </c>
      <c r="B2653" t="s">
        <v>2532</v>
      </c>
      <c r="C2653" s="1">
        <v>2500000</v>
      </c>
    </row>
    <row r="2654" spans="1:3" x14ac:dyDescent="0.2">
      <c r="A2654" t="s">
        <v>99</v>
      </c>
      <c r="B2654" t="s">
        <v>2533</v>
      </c>
      <c r="C2654" s="1">
        <v>250000</v>
      </c>
    </row>
    <row r="2655" spans="1:3" x14ac:dyDescent="0.2">
      <c r="A2655" t="s">
        <v>99</v>
      </c>
      <c r="B2655" t="s">
        <v>2539</v>
      </c>
      <c r="C2655" s="1">
        <v>835230</v>
      </c>
    </row>
    <row r="2656" spans="1:3" x14ac:dyDescent="0.2">
      <c r="A2656" t="s">
        <v>99</v>
      </c>
      <c r="B2656" t="s">
        <v>2547</v>
      </c>
      <c r="C2656" s="1">
        <v>250000</v>
      </c>
    </row>
    <row r="2657" spans="1:3" x14ac:dyDescent="0.2">
      <c r="A2657" t="s">
        <v>99</v>
      </c>
      <c r="B2657" t="s">
        <v>2548</v>
      </c>
      <c r="C2657" s="1">
        <v>103793.2</v>
      </c>
    </row>
    <row r="2658" spans="1:3" x14ac:dyDescent="0.2">
      <c r="A2658" t="s">
        <v>99</v>
      </c>
      <c r="B2658" t="s">
        <v>2552</v>
      </c>
      <c r="C2658" s="1">
        <v>248000</v>
      </c>
    </row>
    <row r="2659" spans="1:3" x14ac:dyDescent="0.2">
      <c r="A2659" t="s">
        <v>99</v>
      </c>
      <c r="B2659" t="s">
        <v>2559</v>
      </c>
      <c r="C2659" s="1">
        <v>15000000</v>
      </c>
    </row>
    <row r="2660" spans="1:3" x14ac:dyDescent="0.2">
      <c r="A2660" t="s">
        <v>99</v>
      </c>
      <c r="B2660" t="s">
        <v>2560</v>
      </c>
      <c r="C2660" s="1">
        <v>2500000</v>
      </c>
    </row>
    <row r="2661" spans="1:3" x14ac:dyDescent="0.2">
      <c r="A2661" t="s">
        <v>99</v>
      </c>
      <c r="B2661" t="s">
        <v>2561</v>
      </c>
      <c r="C2661" s="1">
        <v>940000</v>
      </c>
    </row>
    <row r="2662" spans="1:3" x14ac:dyDescent="0.2">
      <c r="A2662" t="s">
        <v>99</v>
      </c>
      <c r="B2662" t="s">
        <v>2563</v>
      </c>
      <c r="C2662" s="1">
        <v>250000</v>
      </c>
    </row>
    <row r="2663" spans="1:3" x14ac:dyDescent="0.2">
      <c r="A2663" t="s">
        <v>99</v>
      </c>
      <c r="B2663" t="s">
        <v>2564</v>
      </c>
      <c r="C2663" s="1">
        <v>127490</v>
      </c>
    </row>
    <row r="2664" spans="1:3" x14ac:dyDescent="0.2">
      <c r="A2664" t="s">
        <v>99</v>
      </c>
      <c r="B2664" t="s">
        <v>2565</v>
      </c>
      <c r="C2664" s="1">
        <v>250000</v>
      </c>
    </row>
    <row r="2665" spans="1:3" x14ac:dyDescent="0.2">
      <c r="A2665" t="s">
        <v>99</v>
      </c>
      <c r="B2665" t="s">
        <v>2566</v>
      </c>
      <c r="C2665" s="1">
        <v>3714519</v>
      </c>
    </row>
    <row r="2666" spans="1:3" x14ac:dyDescent="0.2">
      <c r="A2666" t="s">
        <v>99</v>
      </c>
      <c r="B2666" t="s">
        <v>2567</v>
      </c>
      <c r="C2666" s="1">
        <v>250000</v>
      </c>
    </row>
    <row r="2667" spans="1:3" x14ac:dyDescent="0.2">
      <c r="A2667" t="s">
        <v>99</v>
      </c>
      <c r="B2667" t="s">
        <v>2568</v>
      </c>
      <c r="C2667" s="1">
        <v>250000</v>
      </c>
    </row>
    <row r="2668" spans="1:3" x14ac:dyDescent="0.2">
      <c r="A2668" t="s">
        <v>99</v>
      </c>
      <c r="B2668" t="s">
        <v>2569</v>
      </c>
      <c r="C2668" s="1">
        <v>500000</v>
      </c>
    </row>
    <row r="2669" spans="1:3" x14ac:dyDescent="0.2">
      <c r="A2669" t="s">
        <v>99</v>
      </c>
      <c r="B2669" t="s">
        <v>2570</v>
      </c>
      <c r="C2669" s="1">
        <v>37425000</v>
      </c>
    </row>
    <row r="2670" spans="1:3" x14ac:dyDescent="0.2">
      <c r="A2670" t="s">
        <v>99</v>
      </c>
      <c r="B2670" t="s">
        <v>2571</v>
      </c>
      <c r="C2670" s="1">
        <v>132892.6</v>
      </c>
    </row>
    <row r="2671" spans="1:3" x14ac:dyDescent="0.2">
      <c r="A2671" t="s">
        <v>99</v>
      </c>
      <c r="B2671" t="s">
        <v>2572</v>
      </c>
      <c r="C2671" s="1">
        <v>148492.6</v>
      </c>
    </row>
    <row r="2672" spans="1:3" x14ac:dyDescent="0.2">
      <c r="A2672" t="s">
        <v>99</v>
      </c>
      <c r="B2672" t="s">
        <v>2573</v>
      </c>
      <c r="C2672" s="1">
        <v>7416769</v>
      </c>
    </row>
    <row r="2673" spans="1:3" x14ac:dyDescent="0.2">
      <c r="A2673" t="s">
        <v>99</v>
      </c>
      <c r="B2673" t="s">
        <v>2577</v>
      </c>
      <c r="C2673" s="1">
        <v>250000</v>
      </c>
    </row>
    <row r="2674" spans="1:3" x14ac:dyDescent="0.2">
      <c r="A2674" t="s">
        <v>99</v>
      </c>
      <c r="B2674" t="s">
        <v>2582</v>
      </c>
      <c r="C2674" s="1">
        <v>10000000</v>
      </c>
    </row>
    <row r="2675" spans="1:3" x14ac:dyDescent="0.2">
      <c r="A2675" t="s">
        <v>99</v>
      </c>
      <c r="B2675" t="s">
        <v>2583</v>
      </c>
      <c r="C2675" s="1">
        <v>250000</v>
      </c>
    </row>
    <row r="2676" spans="1:3" x14ac:dyDescent="0.2">
      <c r="A2676" t="s">
        <v>99</v>
      </c>
      <c r="B2676" t="s">
        <v>2585</v>
      </c>
      <c r="C2676" s="1">
        <v>1464000</v>
      </c>
    </row>
    <row r="2677" spans="1:3" x14ac:dyDescent="0.2">
      <c r="A2677" t="s">
        <v>99</v>
      </c>
      <c r="B2677" t="s">
        <v>2586</v>
      </c>
      <c r="C2677" s="1">
        <v>250000</v>
      </c>
    </row>
    <row r="2678" spans="1:3" x14ac:dyDescent="0.2">
      <c r="A2678" t="s">
        <v>99</v>
      </c>
      <c r="B2678" t="s">
        <v>2588</v>
      </c>
      <c r="C2678" s="1">
        <v>2983269</v>
      </c>
    </row>
    <row r="2679" spans="1:3" x14ac:dyDescent="0.2">
      <c r="A2679" t="s">
        <v>99</v>
      </c>
      <c r="B2679" t="s">
        <v>2590</v>
      </c>
      <c r="C2679" s="1">
        <v>2425192</v>
      </c>
    </row>
    <row r="2680" spans="1:3" x14ac:dyDescent="0.2">
      <c r="A2680" t="s">
        <v>99</v>
      </c>
      <c r="B2680" t="s">
        <v>2591</v>
      </c>
      <c r="C2680" s="1">
        <v>62871</v>
      </c>
    </row>
    <row r="2681" spans="1:3" x14ac:dyDescent="0.2">
      <c r="A2681" t="s">
        <v>99</v>
      </c>
      <c r="B2681" t="s">
        <v>2592</v>
      </c>
      <c r="C2681" s="1">
        <v>225673.2</v>
      </c>
    </row>
    <row r="2682" spans="1:3" x14ac:dyDescent="0.2">
      <c r="A2682" t="s">
        <v>99</v>
      </c>
      <c r="B2682" t="s">
        <v>2593</v>
      </c>
      <c r="C2682" s="1">
        <v>250000</v>
      </c>
    </row>
    <row r="2683" spans="1:3" x14ac:dyDescent="0.2">
      <c r="A2683" t="s">
        <v>99</v>
      </c>
      <c r="B2683" t="s">
        <v>2594</v>
      </c>
      <c r="C2683" s="1">
        <v>22544044</v>
      </c>
    </row>
    <row r="2684" spans="1:3" x14ac:dyDescent="0.2">
      <c r="A2684" t="s">
        <v>99</v>
      </c>
      <c r="B2684" t="s">
        <v>2605</v>
      </c>
      <c r="C2684" s="1">
        <v>750000</v>
      </c>
    </row>
    <row r="2685" spans="1:3" x14ac:dyDescent="0.2">
      <c r="A2685" t="s">
        <v>99</v>
      </c>
      <c r="B2685" t="s">
        <v>2615</v>
      </c>
      <c r="C2685" s="1">
        <v>1400000</v>
      </c>
    </row>
    <row r="2686" spans="1:3" x14ac:dyDescent="0.2">
      <c r="A2686" t="s">
        <v>99</v>
      </c>
      <c r="B2686" t="s">
        <v>2616</v>
      </c>
      <c r="C2686" s="1">
        <v>19474200.800000001</v>
      </c>
    </row>
    <row r="2687" spans="1:3" x14ac:dyDescent="0.2">
      <c r="A2687" t="s">
        <v>99</v>
      </c>
      <c r="B2687" t="s">
        <v>2634</v>
      </c>
      <c r="C2687" s="1">
        <v>955000</v>
      </c>
    </row>
    <row r="2688" spans="1:3" x14ac:dyDescent="0.2">
      <c r="A2688" t="s">
        <v>99</v>
      </c>
      <c r="B2688" t="s">
        <v>2636</v>
      </c>
      <c r="C2688" s="1">
        <v>192618.4</v>
      </c>
    </row>
    <row r="2689" spans="1:3" x14ac:dyDescent="0.2">
      <c r="A2689" t="s">
        <v>99</v>
      </c>
      <c r="B2689" t="s">
        <v>2637</v>
      </c>
      <c r="C2689" s="1">
        <v>20650000</v>
      </c>
    </row>
    <row r="2690" spans="1:3" x14ac:dyDescent="0.2">
      <c r="A2690" t="s">
        <v>99</v>
      </c>
      <c r="B2690" t="s">
        <v>2645</v>
      </c>
      <c r="C2690" s="1">
        <v>201926.2</v>
      </c>
    </row>
    <row r="2691" spans="1:3" x14ac:dyDescent="0.2">
      <c r="A2691" t="s">
        <v>99</v>
      </c>
      <c r="B2691" t="s">
        <v>2646</v>
      </c>
      <c r="C2691" s="1">
        <v>250000</v>
      </c>
    </row>
    <row r="2692" spans="1:3" x14ac:dyDescent="0.2">
      <c r="A2692" t="s">
        <v>99</v>
      </c>
      <c r="B2692" t="s">
        <v>2647</v>
      </c>
      <c r="C2692" s="1">
        <v>825000</v>
      </c>
    </row>
    <row r="2693" spans="1:3" x14ac:dyDescent="0.2">
      <c r="A2693" t="s">
        <v>99</v>
      </c>
      <c r="B2693" t="s">
        <v>2648</v>
      </c>
      <c r="C2693" s="1">
        <v>9000000</v>
      </c>
    </row>
    <row r="2694" spans="1:3" x14ac:dyDescent="0.2">
      <c r="A2694" t="s">
        <v>99</v>
      </c>
      <c r="B2694" t="s">
        <v>2680</v>
      </c>
      <c r="C2694" s="1">
        <v>3000000</v>
      </c>
    </row>
    <row r="2695" spans="1:3" x14ac:dyDescent="0.2">
      <c r="A2695" t="s">
        <v>99</v>
      </c>
      <c r="B2695" t="s">
        <v>2686</v>
      </c>
      <c r="C2695" s="1">
        <v>250000</v>
      </c>
    </row>
    <row r="2696" spans="1:3" x14ac:dyDescent="0.2">
      <c r="A2696" t="s">
        <v>99</v>
      </c>
      <c r="B2696" t="s">
        <v>2687</v>
      </c>
      <c r="C2696" s="1">
        <v>3000000</v>
      </c>
    </row>
    <row r="2697" spans="1:3" x14ac:dyDescent="0.2">
      <c r="A2697" t="s">
        <v>99</v>
      </c>
      <c r="B2697" t="s">
        <v>2688</v>
      </c>
      <c r="C2697" s="1">
        <v>3000000</v>
      </c>
    </row>
    <row r="2698" spans="1:3" x14ac:dyDescent="0.2">
      <c r="A2698" t="s">
        <v>99</v>
      </c>
      <c r="B2698" t="s">
        <v>2689</v>
      </c>
      <c r="C2698" s="1">
        <v>3000000</v>
      </c>
    </row>
    <row r="2699" spans="1:3" x14ac:dyDescent="0.2">
      <c r="A2699" t="s">
        <v>99</v>
      </c>
      <c r="B2699" t="s">
        <v>2690</v>
      </c>
      <c r="C2699" s="1">
        <v>250000</v>
      </c>
    </row>
    <row r="2700" spans="1:3" x14ac:dyDescent="0.2">
      <c r="A2700" t="s">
        <v>99</v>
      </c>
      <c r="B2700" t="s">
        <v>2784</v>
      </c>
      <c r="C2700" s="1">
        <v>2434955</v>
      </c>
    </row>
    <row r="2701" spans="1:3" x14ac:dyDescent="0.2">
      <c r="A2701" t="s">
        <v>99</v>
      </c>
      <c r="B2701" t="s">
        <v>2793</v>
      </c>
      <c r="C2701" s="1">
        <v>150000</v>
      </c>
    </row>
    <row r="2702" spans="1:3" x14ac:dyDescent="0.2">
      <c r="A2702" t="s">
        <v>99</v>
      </c>
      <c r="B2702" t="s">
        <v>2858</v>
      </c>
      <c r="C2702" s="1">
        <v>86356.5</v>
      </c>
    </row>
    <row r="2703" spans="1:3" x14ac:dyDescent="0.2">
      <c r="A2703" t="s">
        <v>99</v>
      </c>
      <c r="B2703" t="s">
        <v>2863</v>
      </c>
      <c r="C2703" s="1">
        <v>13476758</v>
      </c>
    </row>
    <row r="2704" spans="1:3" x14ac:dyDescent="0.2">
      <c r="A2704" t="s">
        <v>99</v>
      </c>
      <c r="B2704" t="s">
        <v>2871</v>
      </c>
      <c r="C2704" s="1">
        <v>144210</v>
      </c>
    </row>
    <row r="2705" spans="1:3" x14ac:dyDescent="0.2">
      <c r="A2705" t="s">
        <v>99</v>
      </c>
      <c r="B2705" t="s">
        <v>2872</v>
      </c>
      <c r="C2705" s="1">
        <v>10000000</v>
      </c>
    </row>
    <row r="2706" spans="1:3" x14ac:dyDescent="0.2">
      <c r="A2706" t="s">
        <v>99</v>
      </c>
      <c r="B2706" t="s">
        <v>2873</v>
      </c>
      <c r="C2706" s="1">
        <v>8000000</v>
      </c>
    </row>
    <row r="2707" spans="1:3" x14ac:dyDescent="0.2">
      <c r="A2707" t="s">
        <v>99</v>
      </c>
      <c r="B2707" t="s">
        <v>2874</v>
      </c>
      <c r="C2707" s="1">
        <v>249032</v>
      </c>
    </row>
    <row r="2708" spans="1:3" x14ac:dyDescent="0.2">
      <c r="A2708" t="s">
        <v>99</v>
      </c>
      <c r="B2708" t="s">
        <v>2875</v>
      </c>
      <c r="C2708" s="1">
        <v>96283.7</v>
      </c>
    </row>
    <row r="2709" spans="1:3" x14ac:dyDescent="0.2">
      <c r="A2709" t="s">
        <v>99</v>
      </c>
      <c r="B2709" t="s">
        <v>2886</v>
      </c>
      <c r="C2709" s="1">
        <v>250000</v>
      </c>
    </row>
    <row r="2710" spans="1:3" x14ac:dyDescent="0.2">
      <c r="A2710" t="s">
        <v>99</v>
      </c>
      <c r="B2710" t="s">
        <v>2902</v>
      </c>
      <c r="C2710" s="1">
        <v>1010538.3</v>
      </c>
    </row>
    <row r="2711" spans="1:3" x14ac:dyDescent="0.2">
      <c r="A2711" t="s">
        <v>207</v>
      </c>
      <c r="B2711" t="s">
        <v>371</v>
      </c>
      <c r="C2711" s="1">
        <v>50000</v>
      </c>
    </row>
    <row r="2712" spans="1:3" x14ac:dyDescent="0.2">
      <c r="A2712" t="s">
        <v>207</v>
      </c>
      <c r="B2712" t="s">
        <v>206</v>
      </c>
      <c r="C2712" s="1">
        <v>25000000</v>
      </c>
    </row>
    <row r="2713" spans="1:3" x14ac:dyDescent="0.2">
      <c r="A2713" t="s">
        <v>207</v>
      </c>
      <c r="B2713" t="s">
        <v>1475</v>
      </c>
      <c r="C2713" s="1">
        <v>59826</v>
      </c>
    </row>
    <row r="2714" spans="1:3" x14ac:dyDescent="0.2">
      <c r="A2714" t="s">
        <v>207</v>
      </c>
      <c r="B2714" t="s">
        <v>2219</v>
      </c>
      <c r="C2714" s="1">
        <v>30000</v>
      </c>
    </row>
    <row r="2715" spans="1:3" x14ac:dyDescent="0.2">
      <c r="A2715" t="s">
        <v>127</v>
      </c>
      <c r="B2715" t="s">
        <v>126</v>
      </c>
      <c r="C2715" s="1">
        <v>8609862.7999999896</v>
      </c>
    </row>
    <row r="2716" spans="1:3" x14ac:dyDescent="0.2">
      <c r="A2716" t="s">
        <v>127</v>
      </c>
      <c r="B2716" t="s">
        <v>420</v>
      </c>
      <c r="C2716" s="1">
        <v>48196132.299999997</v>
      </c>
    </row>
    <row r="2717" spans="1:3" x14ac:dyDescent="0.2">
      <c r="A2717" t="s">
        <v>510</v>
      </c>
      <c r="B2717" t="s">
        <v>509</v>
      </c>
      <c r="C2717" s="1">
        <v>1950399.3</v>
      </c>
    </row>
    <row r="2718" spans="1:3" x14ac:dyDescent="0.2">
      <c r="A2718" t="s">
        <v>49</v>
      </c>
      <c r="B2718" t="s">
        <v>48</v>
      </c>
      <c r="C2718" s="1">
        <v>128893513.7</v>
      </c>
    </row>
    <row r="2719" spans="1:3" x14ac:dyDescent="0.2">
      <c r="A2719" t="s">
        <v>49</v>
      </c>
      <c r="B2719" t="s">
        <v>445</v>
      </c>
      <c r="C2719" s="1">
        <v>208073</v>
      </c>
    </row>
    <row r="2720" spans="1:3" x14ac:dyDescent="0.2">
      <c r="A2720" t="s">
        <v>49</v>
      </c>
      <c r="B2720" t="s">
        <v>342</v>
      </c>
      <c r="C2720" s="1">
        <v>12970587.1</v>
      </c>
    </row>
    <row r="2721" spans="1:3" x14ac:dyDescent="0.2">
      <c r="A2721" t="s">
        <v>49</v>
      </c>
      <c r="B2721" t="s">
        <v>83</v>
      </c>
      <c r="C2721" s="1">
        <v>147067.9</v>
      </c>
    </row>
    <row r="2722" spans="1:3" x14ac:dyDescent="0.2">
      <c r="A2722" t="s">
        <v>49</v>
      </c>
      <c r="B2722" t="s">
        <v>213</v>
      </c>
      <c r="C2722" s="1">
        <v>1200000</v>
      </c>
    </row>
    <row r="2723" spans="1:3" x14ac:dyDescent="0.2">
      <c r="A2723" t="s">
        <v>49</v>
      </c>
      <c r="B2723" t="s">
        <v>343</v>
      </c>
      <c r="C2723" s="1">
        <v>12825048</v>
      </c>
    </row>
    <row r="2724" spans="1:3" x14ac:dyDescent="0.2">
      <c r="A2724" t="s">
        <v>49</v>
      </c>
      <c r="B2724" t="s">
        <v>491</v>
      </c>
      <c r="C2724" s="1">
        <v>1115400</v>
      </c>
    </row>
    <row r="2725" spans="1:3" x14ac:dyDescent="0.2">
      <c r="A2725" t="s">
        <v>49</v>
      </c>
      <c r="B2725" t="s">
        <v>117</v>
      </c>
      <c r="C2725" s="1">
        <v>95204115.700000003</v>
      </c>
    </row>
    <row r="2726" spans="1:3" x14ac:dyDescent="0.2">
      <c r="A2726" t="s">
        <v>49</v>
      </c>
      <c r="B2726" t="s">
        <v>383</v>
      </c>
      <c r="C2726" s="1">
        <v>1787752</v>
      </c>
    </row>
    <row r="2727" spans="1:3" x14ac:dyDescent="0.2">
      <c r="A2727" t="s">
        <v>49</v>
      </c>
      <c r="B2727" t="s">
        <v>377</v>
      </c>
      <c r="C2727" s="1">
        <v>7534080</v>
      </c>
    </row>
    <row r="2728" spans="1:3" x14ac:dyDescent="0.2">
      <c r="A2728" t="s">
        <v>49</v>
      </c>
      <c r="B2728" t="s">
        <v>38</v>
      </c>
      <c r="C2728" s="1">
        <v>42514940</v>
      </c>
    </row>
    <row r="2729" spans="1:3" x14ac:dyDescent="0.2">
      <c r="A2729" t="s">
        <v>49</v>
      </c>
      <c r="B2729" t="s">
        <v>359</v>
      </c>
      <c r="C2729" s="1">
        <v>4014750</v>
      </c>
    </row>
    <row r="2730" spans="1:3" x14ac:dyDescent="0.2">
      <c r="A2730" t="s">
        <v>49</v>
      </c>
      <c r="B2730" t="s">
        <v>388</v>
      </c>
      <c r="C2730" s="1">
        <v>4012500</v>
      </c>
    </row>
    <row r="2731" spans="1:3" x14ac:dyDescent="0.2">
      <c r="A2731" t="s">
        <v>49</v>
      </c>
      <c r="B2731" t="s">
        <v>550</v>
      </c>
      <c r="C2731" s="1">
        <v>36986494</v>
      </c>
    </row>
    <row r="2732" spans="1:3" x14ac:dyDescent="0.2">
      <c r="A2732" t="s">
        <v>67</v>
      </c>
      <c r="B2732" t="s">
        <v>229</v>
      </c>
      <c r="C2732" s="1">
        <v>8300000</v>
      </c>
    </row>
    <row r="2733" spans="1:3" x14ac:dyDescent="0.2">
      <c r="A2733" t="s">
        <v>67</v>
      </c>
      <c r="B2733" t="s">
        <v>176</v>
      </c>
      <c r="C2733" s="1">
        <v>1667024</v>
      </c>
    </row>
    <row r="2734" spans="1:3" x14ac:dyDescent="0.2">
      <c r="A2734" t="s">
        <v>67</v>
      </c>
      <c r="B2734" t="s">
        <v>182</v>
      </c>
      <c r="C2734" s="1">
        <v>36954206</v>
      </c>
    </row>
    <row r="2735" spans="1:3" x14ac:dyDescent="0.2">
      <c r="A2735" t="s">
        <v>67</v>
      </c>
      <c r="B2735" t="s">
        <v>482</v>
      </c>
      <c r="C2735" s="1">
        <v>26538372.5</v>
      </c>
    </row>
    <row r="2736" spans="1:3" x14ac:dyDescent="0.2">
      <c r="A2736" t="s">
        <v>67</v>
      </c>
      <c r="B2736" t="s">
        <v>269</v>
      </c>
      <c r="C2736" s="1">
        <v>12287000</v>
      </c>
    </row>
    <row r="2737" spans="1:3" x14ac:dyDescent="0.2">
      <c r="A2737" t="s">
        <v>67</v>
      </c>
      <c r="B2737" t="s">
        <v>537</v>
      </c>
      <c r="C2737" s="1">
        <v>174250000</v>
      </c>
    </row>
    <row r="2738" spans="1:3" x14ac:dyDescent="0.2">
      <c r="A2738" t="s">
        <v>67</v>
      </c>
      <c r="B2738" t="s">
        <v>248</v>
      </c>
      <c r="C2738" s="1">
        <v>17000000</v>
      </c>
    </row>
    <row r="2739" spans="1:3" x14ac:dyDescent="0.2">
      <c r="A2739" t="s">
        <v>67</v>
      </c>
      <c r="B2739" t="s">
        <v>309</v>
      </c>
      <c r="C2739" s="1">
        <v>26110307.5</v>
      </c>
    </row>
    <row r="2740" spans="1:3" x14ac:dyDescent="0.2">
      <c r="A2740" t="s">
        <v>67</v>
      </c>
      <c r="B2740" t="s">
        <v>310</v>
      </c>
      <c r="C2740" s="1">
        <v>45000000</v>
      </c>
    </row>
    <row r="2741" spans="1:3" x14ac:dyDescent="0.2">
      <c r="A2741" t="s">
        <v>67</v>
      </c>
      <c r="B2741" t="s">
        <v>270</v>
      </c>
      <c r="C2741" s="1">
        <v>20000000</v>
      </c>
    </row>
    <row r="2742" spans="1:3" x14ac:dyDescent="0.2">
      <c r="A2742" t="s">
        <v>67</v>
      </c>
      <c r="B2742" t="s">
        <v>255</v>
      </c>
      <c r="C2742" s="1">
        <v>166886123.99999991</v>
      </c>
    </row>
    <row r="2743" spans="1:3" x14ac:dyDescent="0.2">
      <c r="A2743" t="s">
        <v>67</v>
      </c>
      <c r="B2743" t="s">
        <v>230</v>
      </c>
      <c r="C2743" s="1">
        <v>23507804.5</v>
      </c>
    </row>
    <row r="2744" spans="1:3" x14ac:dyDescent="0.2">
      <c r="A2744" t="s">
        <v>67</v>
      </c>
      <c r="B2744" t="s">
        <v>81</v>
      </c>
      <c r="C2744" s="1">
        <v>8767969.3000000007</v>
      </c>
    </row>
    <row r="2745" spans="1:3" x14ac:dyDescent="0.2">
      <c r="A2745" t="s">
        <v>67</v>
      </c>
      <c r="B2745" t="s">
        <v>364</v>
      </c>
      <c r="C2745" s="1">
        <v>1680845.5</v>
      </c>
    </row>
    <row r="2746" spans="1:3" x14ac:dyDescent="0.2">
      <c r="A2746" t="s">
        <v>67</v>
      </c>
      <c r="B2746" t="s">
        <v>136</v>
      </c>
      <c r="C2746" s="1">
        <v>6831602</v>
      </c>
    </row>
    <row r="2747" spans="1:3" x14ac:dyDescent="0.2">
      <c r="A2747" t="s">
        <v>67</v>
      </c>
      <c r="B2747" t="s">
        <v>214</v>
      </c>
      <c r="C2747" s="1">
        <v>1010986.5</v>
      </c>
    </row>
    <row r="2748" spans="1:3" x14ac:dyDescent="0.2">
      <c r="A2748" t="s">
        <v>67</v>
      </c>
      <c r="B2748" t="s">
        <v>275</v>
      </c>
      <c r="C2748" s="1">
        <v>80874321</v>
      </c>
    </row>
    <row r="2749" spans="1:3" x14ac:dyDescent="0.2">
      <c r="A2749" t="s">
        <v>67</v>
      </c>
      <c r="B2749" t="s">
        <v>314</v>
      </c>
      <c r="C2749" s="1">
        <v>55000000</v>
      </c>
    </row>
    <row r="2750" spans="1:3" x14ac:dyDescent="0.2">
      <c r="A2750" t="s">
        <v>67</v>
      </c>
      <c r="B2750" t="s">
        <v>66</v>
      </c>
      <c r="C2750" s="1">
        <v>25000000</v>
      </c>
    </row>
    <row r="2751" spans="1:3" x14ac:dyDescent="0.2">
      <c r="A2751" t="s">
        <v>24</v>
      </c>
      <c r="B2751" t="s">
        <v>400</v>
      </c>
      <c r="C2751" s="1">
        <v>4500000</v>
      </c>
    </row>
    <row r="2752" spans="1:3" x14ac:dyDescent="0.2">
      <c r="A2752" t="s">
        <v>24</v>
      </c>
      <c r="B2752" t="s">
        <v>611</v>
      </c>
      <c r="C2752" s="1">
        <v>3000000</v>
      </c>
    </row>
    <row r="2753" spans="1:3" x14ac:dyDescent="0.2">
      <c r="A2753" t="s">
        <v>24</v>
      </c>
      <c r="B2753" t="s">
        <v>511</v>
      </c>
      <c r="C2753" s="1">
        <v>529390</v>
      </c>
    </row>
    <row r="2754" spans="1:3" x14ac:dyDescent="0.2">
      <c r="A2754" t="s">
        <v>24</v>
      </c>
      <c r="B2754" t="s">
        <v>233</v>
      </c>
      <c r="C2754" s="1">
        <v>164288975</v>
      </c>
    </row>
    <row r="2755" spans="1:3" x14ac:dyDescent="0.2">
      <c r="A2755" t="s">
        <v>24</v>
      </c>
      <c r="B2755" t="s">
        <v>108</v>
      </c>
      <c r="C2755" s="1">
        <v>69423.8</v>
      </c>
    </row>
    <row r="2756" spans="1:3" x14ac:dyDescent="0.2">
      <c r="A2756" t="s">
        <v>24</v>
      </c>
      <c r="B2756" t="s">
        <v>402</v>
      </c>
      <c r="C2756" s="1">
        <v>28960469</v>
      </c>
    </row>
    <row r="2757" spans="1:3" x14ac:dyDescent="0.2">
      <c r="A2757" t="s">
        <v>24</v>
      </c>
      <c r="B2757" t="s">
        <v>593</v>
      </c>
      <c r="C2757" s="1">
        <v>70605</v>
      </c>
    </row>
    <row r="2758" spans="1:3" x14ac:dyDescent="0.2">
      <c r="A2758" t="s">
        <v>24</v>
      </c>
      <c r="B2758" t="s">
        <v>123</v>
      </c>
      <c r="C2758" s="1">
        <v>21244500</v>
      </c>
    </row>
    <row r="2759" spans="1:3" x14ac:dyDescent="0.2">
      <c r="A2759" t="s">
        <v>24</v>
      </c>
      <c r="B2759" t="s">
        <v>307</v>
      </c>
      <c r="C2759" s="1">
        <v>364000</v>
      </c>
    </row>
    <row r="2760" spans="1:3" x14ac:dyDescent="0.2">
      <c r="A2760" t="s">
        <v>24</v>
      </c>
      <c r="B2760" t="s">
        <v>293</v>
      </c>
      <c r="C2760" s="1">
        <v>4500000</v>
      </c>
    </row>
    <row r="2761" spans="1:3" x14ac:dyDescent="0.2">
      <c r="A2761" t="s">
        <v>24</v>
      </c>
      <c r="B2761" t="s">
        <v>455</v>
      </c>
      <c r="C2761" s="1">
        <v>789.3</v>
      </c>
    </row>
    <row r="2762" spans="1:3" x14ac:dyDescent="0.2">
      <c r="A2762" t="s">
        <v>24</v>
      </c>
      <c r="B2762" t="s">
        <v>486</v>
      </c>
      <c r="C2762" s="1">
        <v>55904940</v>
      </c>
    </row>
    <row r="2763" spans="1:3" x14ac:dyDescent="0.2">
      <c r="A2763" t="s">
        <v>24</v>
      </c>
      <c r="B2763" t="s">
        <v>26</v>
      </c>
      <c r="C2763" s="1">
        <v>123212392.40000001</v>
      </c>
    </row>
    <row r="2764" spans="1:3" x14ac:dyDescent="0.2">
      <c r="A2764" t="s">
        <v>24</v>
      </c>
      <c r="B2764" t="s">
        <v>39</v>
      </c>
      <c r="C2764" s="1">
        <v>51600015</v>
      </c>
    </row>
    <row r="2765" spans="1:3" x14ac:dyDescent="0.2">
      <c r="A2765" t="s">
        <v>24</v>
      </c>
      <c r="B2765" t="s">
        <v>189</v>
      </c>
      <c r="C2765" s="1">
        <v>1591998.2</v>
      </c>
    </row>
    <row r="2766" spans="1:3" x14ac:dyDescent="0.2">
      <c r="A2766" t="s">
        <v>24</v>
      </c>
      <c r="B2766" t="s">
        <v>442</v>
      </c>
      <c r="C2766" s="1">
        <v>388013360</v>
      </c>
    </row>
    <row r="2767" spans="1:3" x14ac:dyDescent="0.2">
      <c r="A2767" t="s">
        <v>24</v>
      </c>
      <c r="B2767" t="s">
        <v>393</v>
      </c>
      <c r="C2767" s="1">
        <v>116813982.2</v>
      </c>
    </row>
    <row r="2768" spans="1:3" x14ac:dyDescent="0.2">
      <c r="A2768" t="s">
        <v>24</v>
      </c>
      <c r="B2768" t="s">
        <v>153</v>
      </c>
      <c r="C2768" s="1">
        <v>5045790</v>
      </c>
    </row>
    <row r="2769" spans="1:3" x14ac:dyDescent="0.2">
      <c r="A2769" t="s">
        <v>24</v>
      </c>
      <c r="B2769" t="s">
        <v>83</v>
      </c>
      <c r="C2769" s="1">
        <v>22095926.300000001</v>
      </c>
    </row>
    <row r="2770" spans="1:3" x14ac:dyDescent="0.2">
      <c r="A2770" t="s">
        <v>24</v>
      </c>
      <c r="B2770" t="s">
        <v>287</v>
      </c>
      <c r="C2770" s="1">
        <v>4500000</v>
      </c>
    </row>
    <row r="2771" spans="1:3" x14ac:dyDescent="0.2">
      <c r="A2771" t="s">
        <v>24</v>
      </c>
      <c r="B2771" t="s">
        <v>431</v>
      </c>
      <c r="C2771" s="1">
        <v>9408000</v>
      </c>
    </row>
    <row r="2772" spans="1:3" x14ac:dyDescent="0.2">
      <c r="A2772" t="s">
        <v>24</v>
      </c>
      <c r="B2772" t="s">
        <v>438</v>
      </c>
      <c r="C2772" s="1">
        <v>7906800</v>
      </c>
    </row>
    <row r="2773" spans="1:3" x14ac:dyDescent="0.2">
      <c r="A2773" t="s">
        <v>24</v>
      </c>
      <c r="B2773" t="s">
        <v>609</v>
      </c>
      <c r="C2773" s="1">
        <v>5572872.2999999998</v>
      </c>
    </row>
    <row r="2774" spans="1:3" x14ac:dyDescent="0.2">
      <c r="A2774" t="s">
        <v>24</v>
      </c>
      <c r="B2774" t="s">
        <v>376</v>
      </c>
      <c r="C2774" s="1">
        <v>29704263</v>
      </c>
    </row>
    <row r="2775" spans="1:3" x14ac:dyDescent="0.2">
      <c r="A2775" t="s">
        <v>24</v>
      </c>
      <c r="B2775" t="s">
        <v>7</v>
      </c>
      <c r="C2775" s="1">
        <v>197671.5</v>
      </c>
    </row>
    <row r="2776" spans="1:3" x14ac:dyDescent="0.2">
      <c r="A2776" t="s">
        <v>24</v>
      </c>
      <c r="B2776" t="s">
        <v>370</v>
      </c>
      <c r="C2776" s="1">
        <v>2018879</v>
      </c>
    </row>
    <row r="2777" spans="1:3" x14ac:dyDescent="0.2">
      <c r="A2777" t="s">
        <v>24</v>
      </c>
      <c r="B2777" t="s">
        <v>74</v>
      </c>
      <c r="C2777" s="1">
        <v>2700000</v>
      </c>
    </row>
    <row r="2778" spans="1:3" x14ac:dyDescent="0.2">
      <c r="A2778" t="s">
        <v>24</v>
      </c>
      <c r="B2778" t="s">
        <v>395</v>
      </c>
      <c r="C2778" s="1">
        <v>3303636.3</v>
      </c>
    </row>
    <row r="2779" spans="1:3" x14ac:dyDescent="0.2">
      <c r="A2779" t="s">
        <v>24</v>
      </c>
      <c r="B2779" t="s">
        <v>288</v>
      </c>
      <c r="C2779" s="1">
        <v>4500000</v>
      </c>
    </row>
    <row r="2780" spans="1:3" x14ac:dyDescent="0.2">
      <c r="A2780" t="s">
        <v>24</v>
      </c>
      <c r="B2780" t="s">
        <v>97</v>
      </c>
      <c r="C2780" s="1">
        <v>6110347.9000000004</v>
      </c>
    </row>
    <row r="2781" spans="1:3" x14ac:dyDescent="0.2">
      <c r="A2781" t="s">
        <v>24</v>
      </c>
      <c r="B2781" t="s">
        <v>404</v>
      </c>
      <c r="C2781" s="1">
        <v>19300000</v>
      </c>
    </row>
    <row r="2782" spans="1:3" x14ac:dyDescent="0.2">
      <c r="A2782" t="s">
        <v>24</v>
      </c>
      <c r="B2782" t="s">
        <v>345</v>
      </c>
      <c r="C2782" s="1">
        <v>59833199.200000003</v>
      </c>
    </row>
    <row r="2783" spans="1:3" x14ac:dyDescent="0.2">
      <c r="A2783" t="s">
        <v>24</v>
      </c>
      <c r="B2783" t="s">
        <v>558</v>
      </c>
      <c r="C2783" s="1">
        <v>600000</v>
      </c>
    </row>
    <row r="2784" spans="1:3" x14ac:dyDescent="0.2">
      <c r="A2784" t="s">
        <v>24</v>
      </c>
      <c r="B2784" t="s">
        <v>590</v>
      </c>
      <c r="C2784" s="1">
        <v>1221265.1000000001</v>
      </c>
    </row>
    <row r="2785" spans="1:3" x14ac:dyDescent="0.2">
      <c r="A2785" t="s">
        <v>24</v>
      </c>
      <c r="B2785" t="s">
        <v>616</v>
      </c>
      <c r="C2785" s="1">
        <v>45154483</v>
      </c>
    </row>
    <row r="2786" spans="1:3" x14ac:dyDescent="0.2">
      <c r="A2786" t="s">
        <v>24</v>
      </c>
      <c r="B2786" t="s">
        <v>96</v>
      </c>
      <c r="C2786" s="1">
        <v>4250902.4000000004</v>
      </c>
    </row>
    <row r="2787" spans="1:3" x14ac:dyDescent="0.2">
      <c r="A2787" t="s">
        <v>24</v>
      </c>
      <c r="B2787" t="s">
        <v>104</v>
      </c>
      <c r="C2787" s="1">
        <v>18168104.300000001</v>
      </c>
    </row>
    <row r="2788" spans="1:3" x14ac:dyDescent="0.2">
      <c r="A2788" t="s">
        <v>24</v>
      </c>
      <c r="B2788" t="s">
        <v>539</v>
      </c>
      <c r="C2788" s="1">
        <v>16766429.300000001</v>
      </c>
    </row>
    <row r="2789" spans="1:3" x14ac:dyDescent="0.2">
      <c r="A2789" t="s">
        <v>24</v>
      </c>
      <c r="B2789" t="s">
        <v>212</v>
      </c>
      <c r="C2789" s="1">
        <v>673280.4</v>
      </c>
    </row>
    <row r="2790" spans="1:3" x14ac:dyDescent="0.2">
      <c r="A2790" t="s">
        <v>24</v>
      </c>
      <c r="B2790" t="s">
        <v>350</v>
      </c>
      <c r="C2790" s="1">
        <v>7791624</v>
      </c>
    </row>
    <row r="2791" spans="1:3" x14ac:dyDescent="0.2">
      <c r="A2791" t="s">
        <v>24</v>
      </c>
      <c r="B2791" t="s">
        <v>347</v>
      </c>
      <c r="C2791" s="1">
        <v>1280900</v>
      </c>
    </row>
    <row r="2792" spans="1:3" x14ac:dyDescent="0.2">
      <c r="A2792" t="s">
        <v>24</v>
      </c>
      <c r="B2792" t="s">
        <v>316</v>
      </c>
      <c r="C2792" s="1">
        <v>2681210.7000000002</v>
      </c>
    </row>
    <row r="2793" spans="1:3" x14ac:dyDescent="0.2">
      <c r="A2793" t="s">
        <v>24</v>
      </c>
      <c r="B2793" t="s">
        <v>353</v>
      </c>
      <c r="C2793" s="1">
        <v>18343505.399999999</v>
      </c>
    </row>
    <row r="2794" spans="1:3" x14ac:dyDescent="0.2">
      <c r="A2794" t="s">
        <v>24</v>
      </c>
      <c r="B2794" t="s">
        <v>265</v>
      </c>
      <c r="C2794" s="1">
        <v>5610000</v>
      </c>
    </row>
    <row r="2795" spans="1:3" x14ac:dyDescent="0.2">
      <c r="A2795" t="s">
        <v>24</v>
      </c>
      <c r="B2795" t="s">
        <v>114</v>
      </c>
      <c r="C2795" s="1">
        <v>18443905</v>
      </c>
    </row>
    <row r="2796" spans="1:3" x14ac:dyDescent="0.2">
      <c r="A2796" t="s">
        <v>24</v>
      </c>
      <c r="B2796" t="s">
        <v>354</v>
      </c>
      <c r="C2796" s="1">
        <v>7955732.6999999993</v>
      </c>
    </row>
    <row r="2797" spans="1:3" x14ac:dyDescent="0.2">
      <c r="A2797" t="s">
        <v>24</v>
      </c>
      <c r="B2797" t="s">
        <v>538</v>
      </c>
      <c r="C2797" s="1">
        <v>2032554</v>
      </c>
    </row>
    <row r="2798" spans="1:3" x14ac:dyDescent="0.2">
      <c r="A2798" t="s">
        <v>24</v>
      </c>
      <c r="B2798" t="s">
        <v>340</v>
      </c>
      <c r="C2798" s="1">
        <v>24381343</v>
      </c>
    </row>
    <row r="2799" spans="1:3" x14ac:dyDescent="0.2">
      <c r="A2799" t="s">
        <v>24</v>
      </c>
      <c r="B2799" t="s">
        <v>190</v>
      </c>
      <c r="C2799" s="1">
        <v>43593800</v>
      </c>
    </row>
    <row r="2800" spans="1:3" x14ac:dyDescent="0.2">
      <c r="A2800" t="s">
        <v>24</v>
      </c>
      <c r="B2800" t="s">
        <v>80</v>
      </c>
      <c r="C2800" s="1">
        <v>10273519.600000001</v>
      </c>
    </row>
    <row r="2801" spans="1:3" x14ac:dyDescent="0.2">
      <c r="A2801" t="s">
        <v>24</v>
      </c>
      <c r="B2801" t="s">
        <v>303</v>
      </c>
      <c r="C2801" s="1">
        <v>80328215.900000006</v>
      </c>
    </row>
    <row r="2802" spans="1:3" x14ac:dyDescent="0.2">
      <c r="A2802" t="s">
        <v>24</v>
      </c>
      <c r="B2802" t="s">
        <v>23</v>
      </c>
      <c r="C2802" s="1">
        <v>439656359.40000004</v>
      </c>
    </row>
    <row r="2803" spans="1:3" x14ac:dyDescent="0.2">
      <c r="A2803" t="s">
        <v>24</v>
      </c>
      <c r="B2803" t="s">
        <v>284</v>
      </c>
      <c r="C2803" s="1">
        <v>10000000</v>
      </c>
    </row>
    <row r="2804" spans="1:3" x14ac:dyDescent="0.2">
      <c r="A2804" t="s">
        <v>24</v>
      </c>
      <c r="B2804" t="s">
        <v>315</v>
      </c>
      <c r="C2804" s="1">
        <v>121879015.3</v>
      </c>
    </row>
    <row r="2805" spans="1:3" x14ac:dyDescent="0.2">
      <c r="A2805" t="s">
        <v>24</v>
      </c>
      <c r="B2805" t="s">
        <v>415</v>
      </c>
      <c r="C2805" s="1">
        <v>16260000</v>
      </c>
    </row>
    <row r="2806" spans="1:3" x14ac:dyDescent="0.2">
      <c r="A2806" t="s">
        <v>24</v>
      </c>
      <c r="B2806" t="s">
        <v>144</v>
      </c>
      <c r="C2806" s="1">
        <v>62528355.299999997</v>
      </c>
    </row>
    <row r="2807" spans="1:3" x14ac:dyDescent="0.2">
      <c r="A2807" t="s">
        <v>24</v>
      </c>
      <c r="B2807" t="s">
        <v>346</v>
      </c>
      <c r="C2807" s="1">
        <v>1075200</v>
      </c>
    </row>
    <row r="2808" spans="1:3" x14ac:dyDescent="0.2">
      <c r="A2808" t="s">
        <v>24</v>
      </c>
      <c r="B2808" t="s">
        <v>116</v>
      </c>
      <c r="C2808" s="1">
        <v>196355549.80000001</v>
      </c>
    </row>
    <row r="2809" spans="1:3" x14ac:dyDescent="0.2">
      <c r="A2809" t="s">
        <v>24</v>
      </c>
      <c r="B2809" t="s">
        <v>142</v>
      </c>
      <c r="C2809" s="1">
        <v>13488.6</v>
      </c>
    </row>
    <row r="2810" spans="1:3" x14ac:dyDescent="0.2">
      <c r="A2810" t="s">
        <v>24</v>
      </c>
      <c r="B2810" t="s">
        <v>33</v>
      </c>
      <c r="C2810" s="1">
        <v>1835398</v>
      </c>
    </row>
    <row r="2811" spans="1:3" x14ac:dyDescent="0.2">
      <c r="A2811" t="s">
        <v>24</v>
      </c>
      <c r="B2811" t="s">
        <v>524</v>
      </c>
      <c r="C2811" s="1">
        <v>563583</v>
      </c>
    </row>
    <row r="2812" spans="1:3" x14ac:dyDescent="0.2">
      <c r="A2812" t="s">
        <v>24</v>
      </c>
      <c r="B2812" t="s">
        <v>73</v>
      </c>
      <c r="C2812" s="1">
        <v>97032</v>
      </c>
    </row>
    <row r="2813" spans="1:3" x14ac:dyDescent="0.2">
      <c r="A2813" t="s">
        <v>24</v>
      </c>
      <c r="B2813" t="s">
        <v>38</v>
      </c>
      <c r="C2813" s="1">
        <v>13951050</v>
      </c>
    </row>
    <row r="2814" spans="1:3" x14ac:dyDescent="0.2">
      <c r="A2814" t="s">
        <v>24</v>
      </c>
      <c r="B2814" t="s">
        <v>369</v>
      </c>
      <c r="C2814" s="1">
        <v>5106061.4000000004</v>
      </c>
    </row>
    <row r="2815" spans="1:3" x14ac:dyDescent="0.2">
      <c r="A2815" t="s">
        <v>24</v>
      </c>
      <c r="B2815" t="s">
        <v>137</v>
      </c>
      <c r="C2815" s="1">
        <v>48500100</v>
      </c>
    </row>
    <row r="2816" spans="1:3" x14ac:dyDescent="0.2">
      <c r="A2816" t="s">
        <v>24</v>
      </c>
      <c r="B2816" t="s">
        <v>513</v>
      </c>
      <c r="C2816" s="1">
        <v>577550</v>
      </c>
    </row>
    <row r="2817" spans="1:3" x14ac:dyDescent="0.2">
      <c r="A2817" t="s">
        <v>24</v>
      </c>
      <c r="B2817" t="s">
        <v>365</v>
      </c>
      <c r="C2817" s="1">
        <v>149262438.80000001</v>
      </c>
    </row>
    <row r="2818" spans="1:3" x14ac:dyDescent="0.2">
      <c r="A2818" t="s">
        <v>24</v>
      </c>
      <c r="B2818" t="s">
        <v>197</v>
      </c>
      <c r="C2818" s="1">
        <v>9869552.6999999993</v>
      </c>
    </row>
    <row r="2819" spans="1:3" x14ac:dyDescent="0.2">
      <c r="A2819" t="s">
        <v>24</v>
      </c>
      <c r="B2819" t="s">
        <v>399</v>
      </c>
      <c r="C2819" s="1">
        <v>4500000</v>
      </c>
    </row>
    <row r="2820" spans="1:3" x14ac:dyDescent="0.2">
      <c r="A2820" t="s">
        <v>24</v>
      </c>
      <c r="B2820" t="s">
        <v>401</v>
      </c>
      <c r="C2820" s="1">
        <v>4500000</v>
      </c>
    </row>
    <row r="2821" spans="1:3" x14ac:dyDescent="0.2">
      <c r="A2821" t="s">
        <v>24</v>
      </c>
      <c r="B2821" t="s">
        <v>375</v>
      </c>
      <c r="C2821" s="1">
        <v>10004574.6</v>
      </c>
    </row>
    <row r="2822" spans="1:3" x14ac:dyDescent="0.2">
      <c r="A2822" t="s">
        <v>24</v>
      </c>
      <c r="B2822" t="s">
        <v>16</v>
      </c>
      <c r="C2822" s="1">
        <v>9541011</v>
      </c>
    </row>
    <row r="2823" spans="1:3" x14ac:dyDescent="0.2">
      <c r="A2823" t="s">
        <v>24</v>
      </c>
      <c r="B2823" t="s">
        <v>624</v>
      </c>
      <c r="C2823" s="1">
        <v>305718.40000000002</v>
      </c>
    </row>
    <row r="2824" spans="1:3" x14ac:dyDescent="0.2">
      <c r="A2824" t="s">
        <v>24</v>
      </c>
      <c r="B2824" t="s">
        <v>115</v>
      </c>
      <c r="C2824" s="1">
        <v>26549589.800000001</v>
      </c>
    </row>
    <row r="2825" spans="1:3" x14ac:dyDescent="0.2">
      <c r="A2825" t="s">
        <v>24</v>
      </c>
      <c r="B2825" t="s">
        <v>443</v>
      </c>
      <c r="C2825" s="1">
        <v>22758600</v>
      </c>
    </row>
    <row r="2826" spans="1:3" x14ac:dyDescent="0.2">
      <c r="A2826" t="s">
        <v>24</v>
      </c>
      <c r="B2826" t="s">
        <v>387</v>
      </c>
      <c r="C2826" s="1">
        <v>2946611.7</v>
      </c>
    </row>
    <row r="2827" spans="1:3" x14ac:dyDescent="0.2">
      <c r="A2827" t="s">
        <v>24</v>
      </c>
      <c r="B2827" t="s">
        <v>113</v>
      </c>
      <c r="C2827" s="1">
        <v>5000000</v>
      </c>
    </row>
    <row r="2828" spans="1:3" x14ac:dyDescent="0.2">
      <c r="A2828" t="s">
        <v>69</v>
      </c>
      <c r="B2828" t="s">
        <v>451</v>
      </c>
      <c r="C2828" s="1">
        <v>838783.5</v>
      </c>
    </row>
    <row r="2829" spans="1:3" x14ac:dyDescent="0.2">
      <c r="A2829" t="s">
        <v>69</v>
      </c>
      <c r="B2829" t="s">
        <v>268</v>
      </c>
      <c r="C2829" s="1">
        <v>25000000</v>
      </c>
    </row>
    <row r="2830" spans="1:3" x14ac:dyDescent="0.2">
      <c r="A2830" t="s">
        <v>69</v>
      </c>
      <c r="B2830" t="s">
        <v>35</v>
      </c>
      <c r="C2830" s="1">
        <v>5959695</v>
      </c>
    </row>
    <row r="2831" spans="1:3" x14ac:dyDescent="0.2">
      <c r="A2831" t="s">
        <v>69</v>
      </c>
      <c r="B2831" t="s">
        <v>269</v>
      </c>
      <c r="C2831" s="1">
        <v>210000000</v>
      </c>
    </row>
    <row r="2832" spans="1:3" x14ac:dyDescent="0.2">
      <c r="A2832" t="s">
        <v>69</v>
      </c>
      <c r="B2832" t="s">
        <v>153</v>
      </c>
      <c r="C2832" s="1">
        <v>1400000</v>
      </c>
    </row>
    <row r="2833" spans="1:3" x14ac:dyDescent="0.2">
      <c r="A2833" t="s">
        <v>69</v>
      </c>
      <c r="B2833" t="s">
        <v>248</v>
      </c>
      <c r="C2833" s="1">
        <v>210000000</v>
      </c>
    </row>
    <row r="2834" spans="1:3" x14ac:dyDescent="0.2">
      <c r="A2834" t="s">
        <v>69</v>
      </c>
      <c r="B2834" t="s">
        <v>309</v>
      </c>
      <c r="C2834" s="1">
        <v>75000000</v>
      </c>
    </row>
    <row r="2835" spans="1:3" x14ac:dyDescent="0.2">
      <c r="A2835" t="s">
        <v>69</v>
      </c>
      <c r="B2835" t="s">
        <v>159</v>
      </c>
      <c r="C2835" s="1">
        <v>3000000</v>
      </c>
    </row>
    <row r="2836" spans="1:3" x14ac:dyDescent="0.2">
      <c r="A2836" t="s">
        <v>69</v>
      </c>
      <c r="B2836" t="s">
        <v>299</v>
      </c>
      <c r="C2836" s="1">
        <v>1426436</v>
      </c>
    </row>
    <row r="2837" spans="1:3" x14ac:dyDescent="0.2">
      <c r="A2837" t="s">
        <v>69</v>
      </c>
      <c r="B2837" t="s">
        <v>230</v>
      </c>
      <c r="C2837" s="1">
        <v>10927342.299999999</v>
      </c>
    </row>
    <row r="2838" spans="1:3" x14ac:dyDescent="0.2">
      <c r="A2838" t="s">
        <v>69</v>
      </c>
      <c r="B2838" t="s">
        <v>81</v>
      </c>
      <c r="C2838" s="1">
        <v>105000000</v>
      </c>
    </row>
    <row r="2839" spans="1:3" x14ac:dyDescent="0.2">
      <c r="A2839" t="s">
        <v>69</v>
      </c>
      <c r="B2839" t="s">
        <v>7</v>
      </c>
      <c r="C2839" s="1">
        <v>19800450</v>
      </c>
    </row>
    <row r="2840" spans="1:3" x14ac:dyDescent="0.2">
      <c r="A2840" t="s">
        <v>69</v>
      </c>
      <c r="B2840" t="s">
        <v>271</v>
      </c>
      <c r="C2840" s="1">
        <v>25000000</v>
      </c>
    </row>
    <row r="2841" spans="1:3" x14ac:dyDescent="0.2">
      <c r="A2841" t="s">
        <v>69</v>
      </c>
      <c r="B2841" t="s">
        <v>301</v>
      </c>
      <c r="C2841" s="1">
        <v>45000000</v>
      </c>
    </row>
    <row r="2842" spans="1:3" x14ac:dyDescent="0.2">
      <c r="A2842" t="s">
        <v>69</v>
      </c>
      <c r="B2842" t="s">
        <v>74</v>
      </c>
      <c r="C2842" s="1">
        <v>10000000</v>
      </c>
    </row>
    <row r="2843" spans="1:3" x14ac:dyDescent="0.2">
      <c r="A2843" t="s">
        <v>69</v>
      </c>
      <c r="B2843" t="s">
        <v>570</v>
      </c>
      <c r="C2843" s="1">
        <v>1000000</v>
      </c>
    </row>
    <row r="2844" spans="1:3" x14ac:dyDescent="0.2">
      <c r="A2844" t="s">
        <v>69</v>
      </c>
      <c r="B2844" t="s">
        <v>167</v>
      </c>
      <c r="C2844" s="1">
        <v>3000000</v>
      </c>
    </row>
    <row r="2845" spans="1:3" x14ac:dyDescent="0.2">
      <c r="A2845" t="s">
        <v>69</v>
      </c>
      <c r="B2845" t="s">
        <v>461</v>
      </c>
      <c r="C2845" s="1">
        <v>52698.5</v>
      </c>
    </row>
    <row r="2846" spans="1:3" x14ac:dyDescent="0.2">
      <c r="A2846" t="s">
        <v>69</v>
      </c>
      <c r="B2846" t="s">
        <v>464</v>
      </c>
      <c r="C2846" s="1">
        <v>1072805.2</v>
      </c>
    </row>
    <row r="2847" spans="1:3" x14ac:dyDescent="0.2">
      <c r="A2847" t="s">
        <v>69</v>
      </c>
      <c r="B2847" t="s">
        <v>317</v>
      </c>
      <c r="C2847" s="1">
        <v>193177.5</v>
      </c>
    </row>
    <row r="2848" spans="1:3" x14ac:dyDescent="0.2">
      <c r="A2848" t="s">
        <v>69</v>
      </c>
      <c r="B2848" t="s">
        <v>539</v>
      </c>
      <c r="C2848" s="1">
        <v>6003689</v>
      </c>
    </row>
    <row r="2849" spans="1:3" x14ac:dyDescent="0.2">
      <c r="A2849" t="s">
        <v>69</v>
      </c>
      <c r="B2849" t="s">
        <v>597</v>
      </c>
      <c r="C2849" s="1">
        <v>3533445</v>
      </c>
    </row>
    <row r="2850" spans="1:3" x14ac:dyDescent="0.2">
      <c r="A2850" t="s">
        <v>69</v>
      </c>
      <c r="B2850" t="s">
        <v>378</v>
      </c>
      <c r="C2850" s="1">
        <v>3481926.5999999898</v>
      </c>
    </row>
    <row r="2851" spans="1:3" x14ac:dyDescent="0.2">
      <c r="A2851" t="s">
        <v>69</v>
      </c>
      <c r="B2851" t="s">
        <v>355</v>
      </c>
      <c r="C2851" s="1">
        <v>1771247.5</v>
      </c>
    </row>
    <row r="2852" spans="1:3" x14ac:dyDescent="0.2">
      <c r="A2852" t="s">
        <v>69</v>
      </c>
      <c r="B2852" t="s">
        <v>272</v>
      </c>
      <c r="C2852" s="1">
        <v>170000000</v>
      </c>
    </row>
    <row r="2853" spans="1:3" x14ac:dyDescent="0.2">
      <c r="A2853" t="s">
        <v>69</v>
      </c>
      <c r="B2853" t="s">
        <v>545</v>
      </c>
      <c r="C2853" s="1">
        <v>3500000</v>
      </c>
    </row>
    <row r="2854" spans="1:3" x14ac:dyDescent="0.2">
      <c r="A2854" t="s">
        <v>69</v>
      </c>
      <c r="B2854" t="s">
        <v>569</v>
      </c>
      <c r="C2854" s="1">
        <v>1210308.7</v>
      </c>
    </row>
    <row r="2855" spans="1:3" x14ac:dyDescent="0.2">
      <c r="A2855" t="s">
        <v>69</v>
      </c>
      <c r="B2855" t="s">
        <v>273</v>
      </c>
      <c r="C2855" s="1">
        <v>55000000</v>
      </c>
    </row>
    <row r="2856" spans="1:3" x14ac:dyDescent="0.2">
      <c r="A2856" t="s">
        <v>69</v>
      </c>
      <c r="B2856" t="s">
        <v>352</v>
      </c>
      <c r="C2856" s="1">
        <v>239310.6</v>
      </c>
    </row>
    <row r="2857" spans="1:3" x14ac:dyDescent="0.2">
      <c r="A2857" t="s">
        <v>69</v>
      </c>
      <c r="B2857" t="s">
        <v>274</v>
      </c>
      <c r="C2857" s="1">
        <v>110000000</v>
      </c>
    </row>
    <row r="2858" spans="1:3" x14ac:dyDescent="0.2">
      <c r="A2858" t="s">
        <v>69</v>
      </c>
      <c r="B2858" t="s">
        <v>567</v>
      </c>
      <c r="C2858" s="1">
        <v>260668</v>
      </c>
    </row>
    <row r="2859" spans="1:3" x14ac:dyDescent="0.2">
      <c r="A2859" t="s">
        <v>69</v>
      </c>
      <c r="B2859" t="s">
        <v>313</v>
      </c>
      <c r="C2859" s="1">
        <v>55000000</v>
      </c>
    </row>
    <row r="2860" spans="1:3" x14ac:dyDescent="0.2">
      <c r="A2860" t="s">
        <v>69</v>
      </c>
      <c r="B2860" t="s">
        <v>275</v>
      </c>
      <c r="C2860" s="1">
        <v>140000000</v>
      </c>
    </row>
    <row r="2861" spans="1:3" x14ac:dyDescent="0.2">
      <c r="A2861" t="s">
        <v>69</v>
      </c>
      <c r="B2861" t="s">
        <v>77</v>
      </c>
      <c r="C2861" s="1">
        <v>9246882</v>
      </c>
    </row>
    <row r="2862" spans="1:3" x14ac:dyDescent="0.2">
      <c r="A2862" t="s">
        <v>69</v>
      </c>
      <c r="B2862" t="s">
        <v>156</v>
      </c>
      <c r="C2862" s="1">
        <v>3000000</v>
      </c>
    </row>
    <row r="2863" spans="1:3" x14ac:dyDescent="0.2">
      <c r="A2863" t="s">
        <v>69</v>
      </c>
      <c r="B2863" t="s">
        <v>363</v>
      </c>
      <c r="C2863" s="1">
        <v>51513.2</v>
      </c>
    </row>
    <row r="2864" spans="1:3" x14ac:dyDescent="0.2">
      <c r="A2864" t="s">
        <v>69</v>
      </c>
      <c r="B2864" t="s">
        <v>603</v>
      </c>
      <c r="C2864" s="1">
        <v>8658607</v>
      </c>
    </row>
    <row r="2865" spans="1:3" x14ac:dyDescent="0.2">
      <c r="A2865" t="s">
        <v>69</v>
      </c>
      <c r="B2865" t="s">
        <v>161</v>
      </c>
      <c r="C2865" s="1">
        <v>655000</v>
      </c>
    </row>
    <row r="2866" spans="1:3" x14ac:dyDescent="0.2">
      <c r="A2866" t="s">
        <v>69</v>
      </c>
      <c r="B2866" t="s">
        <v>68</v>
      </c>
      <c r="C2866" s="1">
        <v>960000</v>
      </c>
    </row>
    <row r="2867" spans="1:3" x14ac:dyDescent="0.2">
      <c r="A2867" t="s">
        <v>69</v>
      </c>
      <c r="B2867" t="s">
        <v>300</v>
      </c>
      <c r="C2867" s="1">
        <v>83855439.599999994</v>
      </c>
    </row>
    <row r="2868" spans="1:3" x14ac:dyDescent="0.2">
      <c r="A2868" t="s">
        <v>69</v>
      </c>
      <c r="B2868" t="s">
        <v>600</v>
      </c>
      <c r="C2868" s="1">
        <v>1255418.8999999999</v>
      </c>
    </row>
    <row r="2869" spans="1:3" x14ac:dyDescent="0.2">
      <c r="A2869" t="s">
        <v>69</v>
      </c>
      <c r="B2869" t="s">
        <v>195</v>
      </c>
      <c r="C2869" s="1">
        <v>95000000</v>
      </c>
    </row>
    <row r="2870" spans="1:3" x14ac:dyDescent="0.2">
      <c r="A2870" t="s">
        <v>69</v>
      </c>
      <c r="B2870" t="s">
        <v>277</v>
      </c>
      <c r="C2870" s="1">
        <v>110000000</v>
      </c>
    </row>
    <row r="2871" spans="1:3" x14ac:dyDescent="0.2">
      <c r="A2871" t="s">
        <v>69</v>
      </c>
      <c r="B2871" t="s">
        <v>845</v>
      </c>
      <c r="C2871" s="1">
        <v>50423765</v>
      </c>
    </row>
    <row r="2872" spans="1:3" x14ac:dyDescent="0.2">
      <c r="A2872" t="s">
        <v>432</v>
      </c>
      <c r="B2872" t="s">
        <v>501</v>
      </c>
      <c r="C2872" s="1">
        <v>14050450.699999999</v>
      </c>
    </row>
    <row r="2873" spans="1:3" x14ac:dyDescent="0.2">
      <c r="A2873" t="s">
        <v>432</v>
      </c>
      <c r="B2873" t="s">
        <v>391</v>
      </c>
      <c r="C2873" s="1">
        <v>209050.1</v>
      </c>
    </row>
    <row r="2874" spans="1:3" x14ac:dyDescent="0.2">
      <c r="A2874" t="s">
        <v>432</v>
      </c>
      <c r="B2874" t="s">
        <v>255</v>
      </c>
      <c r="C2874" s="1">
        <v>1479.8</v>
      </c>
    </row>
    <row r="2875" spans="1:3" x14ac:dyDescent="0.2">
      <c r="A2875" t="s">
        <v>432</v>
      </c>
      <c r="B2875" t="s">
        <v>783</v>
      </c>
      <c r="C2875" s="1">
        <v>799998.3</v>
      </c>
    </row>
    <row r="2876" spans="1:3" x14ac:dyDescent="0.2">
      <c r="A2876" t="s">
        <v>432</v>
      </c>
      <c r="B2876" t="s">
        <v>787</v>
      </c>
      <c r="C2876" s="1">
        <v>1100000</v>
      </c>
    </row>
    <row r="2877" spans="1:3" x14ac:dyDescent="0.2">
      <c r="A2877" t="s">
        <v>432</v>
      </c>
      <c r="B2877" t="s">
        <v>797</v>
      </c>
      <c r="C2877" s="1">
        <v>4000000</v>
      </c>
    </row>
    <row r="2878" spans="1:3" x14ac:dyDescent="0.2">
      <c r="A2878" t="s">
        <v>432</v>
      </c>
      <c r="B2878" t="s">
        <v>804</v>
      </c>
      <c r="C2878" s="1">
        <v>808581</v>
      </c>
    </row>
    <row r="2879" spans="1:3" x14ac:dyDescent="0.2">
      <c r="A2879" t="s">
        <v>432</v>
      </c>
      <c r="B2879" t="s">
        <v>815</v>
      </c>
      <c r="C2879" s="1">
        <v>705306.3</v>
      </c>
    </row>
    <row r="2880" spans="1:3" x14ac:dyDescent="0.2">
      <c r="A2880" t="s">
        <v>432</v>
      </c>
      <c r="B2880" t="s">
        <v>816</v>
      </c>
      <c r="C2880" s="1">
        <v>1024991.1</v>
      </c>
    </row>
    <row r="2881" spans="1:3" x14ac:dyDescent="0.2">
      <c r="A2881" t="s">
        <v>432</v>
      </c>
      <c r="B2881" t="s">
        <v>817</v>
      </c>
      <c r="C2881" s="1">
        <v>505000</v>
      </c>
    </row>
    <row r="2882" spans="1:3" x14ac:dyDescent="0.2">
      <c r="A2882" t="s">
        <v>432</v>
      </c>
      <c r="B2882" t="s">
        <v>818</v>
      </c>
      <c r="C2882" s="1">
        <v>487010.2</v>
      </c>
    </row>
    <row r="2883" spans="1:3" x14ac:dyDescent="0.2">
      <c r="A2883" t="s">
        <v>432</v>
      </c>
      <c r="B2883" t="s">
        <v>820</v>
      </c>
      <c r="C2883" s="1">
        <v>280000</v>
      </c>
    </row>
    <row r="2884" spans="1:3" x14ac:dyDescent="0.2">
      <c r="A2884" t="s">
        <v>432</v>
      </c>
      <c r="B2884" t="s">
        <v>822</v>
      </c>
      <c r="C2884" s="1">
        <v>80000</v>
      </c>
    </row>
    <row r="2885" spans="1:3" x14ac:dyDescent="0.2">
      <c r="A2885" t="s">
        <v>432</v>
      </c>
      <c r="B2885" t="s">
        <v>880</v>
      </c>
      <c r="C2885" s="1">
        <v>120000</v>
      </c>
    </row>
    <row r="2886" spans="1:3" x14ac:dyDescent="0.2">
      <c r="A2886" t="s">
        <v>432</v>
      </c>
      <c r="B2886" t="s">
        <v>888</v>
      </c>
      <c r="C2886" s="1">
        <v>322549</v>
      </c>
    </row>
    <row r="2887" spans="1:3" x14ac:dyDescent="0.2">
      <c r="A2887" t="s">
        <v>432</v>
      </c>
      <c r="B2887" t="s">
        <v>894</v>
      </c>
      <c r="C2887" s="1">
        <v>62742.5</v>
      </c>
    </row>
    <row r="2888" spans="1:3" x14ac:dyDescent="0.2">
      <c r="A2888" t="s">
        <v>432</v>
      </c>
      <c r="B2888" t="s">
        <v>920</v>
      </c>
      <c r="C2888" s="1">
        <v>60000</v>
      </c>
    </row>
    <row r="2889" spans="1:3" x14ac:dyDescent="0.2">
      <c r="A2889" t="s">
        <v>432</v>
      </c>
      <c r="B2889" t="s">
        <v>942</v>
      </c>
      <c r="C2889" s="1">
        <v>40000</v>
      </c>
    </row>
    <row r="2890" spans="1:3" x14ac:dyDescent="0.2">
      <c r="A2890" t="s">
        <v>432</v>
      </c>
      <c r="B2890" t="s">
        <v>943</v>
      </c>
      <c r="C2890" s="1">
        <v>432943.7</v>
      </c>
    </row>
    <row r="2891" spans="1:3" x14ac:dyDescent="0.2">
      <c r="A2891" t="s">
        <v>432</v>
      </c>
      <c r="B2891" t="s">
        <v>944</v>
      </c>
      <c r="C2891" s="1">
        <v>60000</v>
      </c>
    </row>
    <row r="2892" spans="1:3" x14ac:dyDescent="0.2">
      <c r="A2892" t="s">
        <v>432</v>
      </c>
      <c r="B2892" t="s">
        <v>945</v>
      </c>
      <c r="C2892" s="1">
        <v>105198.5</v>
      </c>
    </row>
    <row r="2893" spans="1:3" x14ac:dyDescent="0.2">
      <c r="A2893" t="s">
        <v>432</v>
      </c>
      <c r="B2893" t="s">
        <v>946</v>
      </c>
      <c r="C2893" s="1">
        <v>80000</v>
      </c>
    </row>
    <row r="2894" spans="1:3" x14ac:dyDescent="0.2">
      <c r="A2894" t="s">
        <v>432</v>
      </c>
      <c r="B2894" t="s">
        <v>953</v>
      </c>
      <c r="C2894" s="1">
        <v>90856.9</v>
      </c>
    </row>
    <row r="2895" spans="1:3" x14ac:dyDescent="0.2">
      <c r="A2895" t="s">
        <v>432</v>
      </c>
      <c r="B2895" t="s">
        <v>956</v>
      </c>
      <c r="C2895" s="1">
        <v>489614.5</v>
      </c>
    </row>
    <row r="2896" spans="1:3" x14ac:dyDescent="0.2">
      <c r="A2896" t="s">
        <v>432</v>
      </c>
      <c r="B2896" t="s">
        <v>957</v>
      </c>
      <c r="C2896" s="1">
        <v>361310</v>
      </c>
    </row>
    <row r="2897" spans="1:3" x14ac:dyDescent="0.2">
      <c r="A2897" t="s">
        <v>432</v>
      </c>
      <c r="B2897" t="s">
        <v>958</v>
      </c>
      <c r="C2897" s="1">
        <v>138652</v>
      </c>
    </row>
    <row r="2898" spans="1:3" x14ac:dyDescent="0.2">
      <c r="A2898" t="s">
        <v>432</v>
      </c>
      <c r="B2898" t="s">
        <v>967</v>
      </c>
      <c r="C2898" s="1">
        <v>226098.4</v>
      </c>
    </row>
    <row r="2899" spans="1:3" x14ac:dyDescent="0.2">
      <c r="A2899" t="s">
        <v>432</v>
      </c>
      <c r="B2899" t="s">
        <v>991</v>
      </c>
      <c r="C2899" s="1">
        <v>1266222.5</v>
      </c>
    </row>
    <row r="2900" spans="1:3" x14ac:dyDescent="0.2">
      <c r="A2900" t="s">
        <v>432</v>
      </c>
      <c r="B2900" t="s">
        <v>992</v>
      </c>
      <c r="C2900" s="1">
        <v>944401.4</v>
      </c>
    </row>
    <row r="2901" spans="1:3" x14ac:dyDescent="0.2">
      <c r="A2901" t="s">
        <v>432</v>
      </c>
      <c r="B2901" t="s">
        <v>1008</v>
      </c>
      <c r="C2901" s="1">
        <v>120000</v>
      </c>
    </row>
    <row r="2902" spans="1:3" x14ac:dyDescent="0.2">
      <c r="A2902" t="s">
        <v>432</v>
      </c>
      <c r="B2902" t="s">
        <v>1170</v>
      </c>
      <c r="C2902" s="1">
        <v>77126.600000000006</v>
      </c>
    </row>
    <row r="2903" spans="1:3" x14ac:dyDescent="0.2">
      <c r="A2903" t="s">
        <v>432</v>
      </c>
      <c r="B2903" t="s">
        <v>1171</v>
      </c>
      <c r="C2903" s="1">
        <v>46777.9</v>
      </c>
    </row>
    <row r="2904" spans="1:3" x14ac:dyDescent="0.2">
      <c r="A2904" t="s">
        <v>432</v>
      </c>
      <c r="B2904" t="s">
        <v>1172</v>
      </c>
      <c r="C2904" s="1">
        <v>24954.3</v>
      </c>
    </row>
    <row r="2905" spans="1:3" x14ac:dyDescent="0.2">
      <c r="A2905" t="s">
        <v>432</v>
      </c>
      <c r="B2905" t="s">
        <v>1173</v>
      </c>
      <c r="C2905" s="1">
        <v>369417.8</v>
      </c>
    </row>
    <row r="2906" spans="1:3" x14ac:dyDescent="0.2">
      <c r="A2906" t="s">
        <v>432</v>
      </c>
      <c r="B2906" t="s">
        <v>1358</v>
      </c>
      <c r="C2906" s="1">
        <v>99500</v>
      </c>
    </row>
    <row r="2907" spans="1:3" x14ac:dyDescent="0.2">
      <c r="A2907" t="s">
        <v>432</v>
      </c>
      <c r="B2907" t="s">
        <v>1367</v>
      </c>
      <c r="C2907" s="1">
        <v>110000</v>
      </c>
    </row>
    <row r="2908" spans="1:3" x14ac:dyDescent="0.2">
      <c r="A2908" t="s">
        <v>432</v>
      </c>
      <c r="B2908" t="s">
        <v>1385</v>
      </c>
      <c r="C2908" s="1">
        <v>203575.9</v>
      </c>
    </row>
    <row r="2909" spans="1:3" x14ac:dyDescent="0.2">
      <c r="A2909" t="s">
        <v>432</v>
      </c>
      <c r="B2909" t="s">
        <v>1387</v>
      </c>
      <c r="C2909" s="1">
        <v>510654.6</v>
      </c>
    </row>
    <row r="2910" spans="1:3" x14ac:dyDescent="0.2">
      <c r="A2910" t="s">
        <v>432</v>
      </c>
      <c r="B2910" t="s">
        <v>1424</v>
      </c>
      <c r="C2910" s="1">
        <v>298673.7</v>
      </c>
    </row>
    <row r="2911" spans="1:3" x14ac:dyDescent="0.2">
      <c r="A2911" t="s">
        <v>432</v>
      </c>
      <c r="B2911" t="s">
        <v>1431</v>
      </c>
      <c r="C2911" s="1">
        <v>160000</v>
      </c>
    </row>
    <row r="2912" spans="1:3" x14ac:dyDescent="0.2">
      <c r="A2912" t="s">
        <v>432</v>
      </c>
      <c r="B2912" t="s">
        <v>1432</v>
      </c>
      <c r="C2912" s="1">
        <v>170000</v>
      </c>
    </row>
    <row r="2913" spans="1:3" x14ac:dyDescent="0.2">
      <c r="A2913" t="s">
        <v>432</v>
      </c>
      <c r="B2913" t="s">
        <v>1433</v>
      </c>
      <c r="C2913" s="1">
        <v>80000</v>
      </c>
    </row>
    <row r="2914" spans="1:3" x14ac:dyDescent="0.2">
      <c r="A2914" t="s">
        <v>432</v>
      </c>
      <c r="B2914" t="s">
        <v>1434</v>
      </c>
      <c r="C2914" s="1">
        <v>120000</v>
      </c>
    </row>
    <row r="2915" spans="1:3" x14ac:dyDescent="0.2">
      <c r="A2915" t="s">
        <v>432</v>
      </c>
      <c r="B2915" t="s">
        <v>1435</v>
      </c>
      <c r="C2915" s="1">
        <v>130000</v>
      </c>
    </row>
    <row r="2916" spans="1:3" x14ac:dyDescent="0.2">
      <c r="A2916" t="s">
        <v>432</v>
      </c>
      <c r="B2916" t="s">
        <v>1436</v>
      </c>
      <c r="C2916" s="1">
        <v>128454</v>
      </c>
    </row>
    <row r="2917" spans="1:3" x14ac:dyDescent="0.2">
      <c r="A2917" t="s">
        <v>432</v>
      </c>
      <c r="B2917" t="s">
        <v>1437</v>
      </c>
      <c r="C2917" s="1">
        <v>1000000</v>
      </c>
    </row>
    <row r="2918" spans="1:3" x14ac:dyDescent="0.2">
      <c r="A2918" t="s">
        <v>432</v>
      </c>
      <c r="B2918" t="s">
        <v>1438</v>
      </c>
      <c r="C2918" s="1">
        <v>80000</v>
      </c>
    </row>
    <row r="2919" spans="1:3" x14ac:dyDescent="0.2">
      <c r="A2919" t="s">
        <v>432</v>
      </c>
      <c r="B2919" t="s">
        <v>1439</v>
      </c>
      <c r="C2919" s="1">
        <v>80000</v>
      </c>
    </row>
    <row r="2920" spans="1:3" x14ac:dyDescent="0.2">
      <c r="A2920" t="s">
        <v>432</v>
      </c>
      <c r="B2920" t="s">
        <v>1440</v>
      </c>
      <c r="C2920" s="1">
        <v>214777</v>
      </c>
    </row>
    <row r="2921" spans="1:3" x14ac:dyDescent="0.2">
      <c r="A2921" t="s">
        <v>432</v>
      </c>
      <c r="B2921" t="s">
        <v>1441</v>
      </c>
      <c r="C2921" s="1">
        <v>80000</v>
      </c>
    </row>
    <row r="2922" spans="1:3" x14ac:dyDescent="0.2">
      <c r="A2922" t="s">
        <v>432</v>
      </c>
      <c r="B2922" t="s">
        <v>1442</v>
      </c>
      <c r="C2922" s="1">
        <v>160000</v>
      </c>
    </row>
    <row r="2923" spans="1:3" x14ac:dyDescent="0.2">
      <c r="A2923" t="s">
        <v>432</v>
      </c>
      <c r="B2923" t="s">
        <v>1443</v>
      </c>
      <c r="C2923" s="1">
        <v>140000</v>
      </c>
    </row>
    <row r="2924" spans="1:3" x14ac:dyDescent="0.2">
      <c r="A2924" t="s">
        <v>432</v>
      </c>
      <c r="B2924" t="s">
        <v>1444</v>
      </c>
      <c r="C2924" s="1">
        <v>53576</v>
      </c>
    </row>
    <row r="2925" spans="1:3" x14ac:dyDescent="0.2">
      <c r="A2925" t="s">
        <v>432</v>
      </c>
      <c r="B2925" t="s">
        <v>1445</v>
      </c>
      <c r="C2925" s="1">
        <v>120000</v>
      </c>
    </row>
    <row r="2926" spans="1:3" x14ac:dyDescent="0.2">
      <c r="A2926" t="s">
        <v>432</v>
      </c>
      <c r="B2926" t="s">
        <v>1446</v>
      </c>
      <c r="C2926" s="1">
        <v>40000</v>
      </c>
    </row>
    <row r="2927" spans="1:3" x14ac:dyDescent="0.2">
      <c r="A2927" t="s">
        <v>432</v>
      </c>
      <c r="B2927" t="s">
        <v>1447</v>
      </c>
      <c r="C2927" s="1">
        <v>80000</v>
      </c>
    </row>
    <row r="2928" spans="1:3" x14ac:dyDescent="0.2">
      <c r="A2928" t="s">
        <v>432</v>
      </c>
      <c r="B2928" t="s">
        <v>1448</v>
      </c>
      <c r="C2928" s="1">
        <v>60000</v>
      </c>
    </row>
    <row r="2929" spans="1:3" x14ac:dyDescent="0.2">
      <c r="A2929" t="s">
        <v>432</v>
      </c>
      <c r="B2929" t="s">
        <v>1449</v>
      </c>
      <c r="C2929" s="1">
        <v>225000</v>
      </c>
    </row>
    <row r="2930" spans="1:3" x14ac:dyDescent="0.2">
      <c r="A2930" t="s">
        <v>432</v>
      </c>
      <c r="B2930" t="s">
        <v>1450</v>
      </c>
      <c r="C2930" s="1">
        <v>80000</v>
      </c>
    </row>
    <row r="2931" spans="1:3" x14ac:dyDescent="0.2">
      <c r="A2931" t="s">
        <v>432</v>
      </c>
      <c r="B2931" t="s">
        <v>1451</v>
      </c>
      <c r="C2931" s="1">
        <v>40000</v>
      </c>
    </row>
    <row r="2932" spans="1:3" x14ac:dyDescent="0.2">
      <c r="A2932" t="s">
        <v>432</v>
      </c>
      <c r="B2932" t="s">
        <v>1452</v>
      </c>
      <c r="C2932" s="1">
        <v>80000</v>
      </c>
    </row>
    <row r="2933" spans="1:3" x14ac:dyDescent="0.2">
      <c r="A2933" t="s">
        <v>432</v>
      </c>
      <c r="B2933" t="s">
        <v>1453</v>
      </c>
      <c r="C2933" s="1">
        <v>205698.8</v>
      </c>
    </row>
    <row r="2934" spans="1:3" x14ac:dyDescent="0.2">
      <c r="A2934" t="s">
        <v>432</v>
      </c>
      <c r="B2934" t="s">
        <v>1454</v>
      </c>
      <c r="C2934" s="1">
        <v>100000</v>
      </c>
    </row>
    <row r="2935" spans="1:3" x14ac:dyDescent="0.2">
      <c r="A2935" t="s">
        <v>432</v>
      </c>
      <c r="B2935" t="s">
        <v>1455</v>
      </c>
      <c r="C2935" s="1">
        <v>40000</v>
      </c>
    </row>
    <row r="2936" spans="1:3" x14ac:dyDescent="0.2">
      <c r="A2936" t="s">
        <v>432</v>
      </c>
      <c r="B2936" t="s">
        <v>1456</v>
      </c>
      <c r="C2936" s="1">
        <v>75000</v>
      </c>
    </row>
    <row r="2937" spans="1:3" x14ac:dyDescent="0.2">
      <c r="A2937" t="s">
        <v>432</v>
      </c>
      <c r="B2937" t="s">
        <v>1457</v>
      </c>
      <c r="C2937" s="1">
        <v>90000</v>
      </c>
    </row>
    <row r="2938" spans="1:3" x14ac:dyDescent="0.2">
      <c r="A2938" t="s">
        <v>432</v>
      </c>
      <c r="B2938" t="s">
        <v>1458</v>
      </c>
      <c r="C2938" s="1">
        <v>80000</v>
      </c>
    </row>
    <row r="2939" spans="1:3" x14ac:dyDescent="0.2">
      <c r="A2939" t="s">
        <v>432</v>
      </c>
      <c r="B2939" t="s">
        <v>1459</v>
      </c>
      <c r="C2939" s="1">
        <v>120000</v>
      </c>
    </row>
    <row r="2940" spans="1:3" x14ac:dyDescent="0.2">
      <c r="A2940" t="s">
        <v>432</v>
      </c>
      <c r="B2940" t="s">
        <v>1460</v>
      </c>
      <c r="C2940" s="1">
        <v>40000</v>
      </c>
    </row>
    <row r="2941" spans="1:3" x14ac:dyDescent="0.2">
      <c r="A2941" t="s">
        <v>432</v>
      </c>
      <c r="B2941" t="s">
        <v>1461</v>
      </c>
      <c r="C2941" s="1">
        <v>40000</v>
      </c>
    </row>
    <row r="2942" spans="1:3" x14ac:dyDescent="0.2">
      <c r="A2942" t="s">
        <v>432</v>
      </c>
      <c r="B2942" t="s">
        <v>1462</v>
      </c>
      <c r="C2942" s="1">
        <v>60000</v>
      </c>
    </row>
    <row r="2943" spans="1:3" x14ac:dyDescent="0.2">
      <c r="A2943" t="s">
        <v>432</v>
      </c>
      <c r="B2943" t="s">
        <v>1463</v>
      </c>
      <c r="C2943" s="1">
        <v>40000</v>
      </c>
    </row>
    <row r="2944" spans="1:3" x14ac:dyDescent="0.2">
      <c r="A2944" t="s">
        <v>432</v>
      </c>
      <c r="B2944" t="s">
        <v>1464</v>
      </c>
      <c r="C2944" s="1">
        <v>597710.5</v>
      </c>
    </row>
    <row r="2945" spans="1:3" x14ac:dyDescent="0.2">
      <c r="A2945" t="s">
        <v>432</v>
      </c>
      <c r="B2945" t="s">
        <v>1466</v>
      </c>
      <c r="C2945" s="1">
        <v>140000</v>
      </c>
    </row>
    <row r="2946" spans="1:3" x14ac:dyDescent="0.2">
      <c r="A2946" t="s">
        <v>432</v>
      </c>
      <c r="B2946" t="s">
        <v>1467</v>
      </c>
      <c r="C2946" s="1">
        <v>20000</v>
      </c>
    </row>
    <row r="2947" spans="1:3" x14ac:dyDescent="0.2">
      <c r="A2947" t="s">
        <v>432</v>
      </c>
      <c r="B2947" t="s">
        <v>1508</v>
      </c>
      <c r="C2947" s="1">
        <v>70000</v>
      </c>
    </row>
    <row r="2948" spans="1:3" x14ac:dyDescent="0.2">
      <c r="A2948" t="s">
        <v>432</v>
      </c>
      <c r="B2948" t="s">
        <v>1512</v>
      </c>
      <c r="C2948" s="1">
        <v>38750</v>
      </c>
    </row>
    <row r="2949" spans="1:3" x14ac:dyDescent="0.2">
      <c r="A2949" t="s">
        <v>432</v>
      </c>
      <c r="B2949" t="s">
        <v>1549</v>
      </c>
      <c r="C2949" s="1">
        <v>385019.2</v>
      </c>
    </row>
    <row r="2950" spans="1:3" x14ac:dyDescent="0.2">
      <c r="A2950" t="s">
        <v>432</v>
      </c>
      <c r="B2950" t="s">
        <v>1584</v>
      </c>
      <c r="C2950" s="1">
        <v>52331.9</v>
      </c>
    </row>
    <row r="2951" spans="1:3" x14ac:dyDescent="0.2">
      <c r="A2951" t="s">
        <v>432</v>
      </c>
      <c r="B2951" t="s">
        <v>1609</v>
      </c>
      <c r="C2951" s="1">
        <v>136804</v>
      </c>
    </row>
    <row r="2952" spans="1:3" x14ac:dyDescent="0.2">
      <c r="A2952" t="s">
        <v>432</v>
      </c>
      <c r="B2952" t="s">
        <v>1610</v>
      </c>
      <c r="C2952" s="1">
        <v>500000</v>
      </c>
    </row>
    <row r="2953" spans="1:3" x14ac:dyDescent="0.2">
      <c r="A2953" t="s">
        <v>432</v>
      </c>
      <c r="B2953" t="s">
        <v>1651</v>
      </c>
      <c r="C2953" s="1">
        <v>125000</v>
      </c>
    </row>
    <row r="2954" spans="1:3" x14ac:dyDescent="0.2">
      <c r="A2954" t="s">
        <v>432</v>
      </c>
      <c r="B2954" t="s">
        <v>1834</v>
      </c>
      <c r="C2954" s="1">
        <v>400000</v>
      </c>
    </row>
    <row r="2955" spans="1:3" x14ac:dyDescent="0.2">
      <c r="A2955" t="s">
        <v>432</v>
      </c>
      <c r="B2955" t="s">
        <v>1835</v>
      </c>
      <c r="C2955" s="1">
        <v>600000</v>
      </c>
    </row>
    <row r="2956" spans="1:3" x14ac:dyDescent="0.2">
      <c r="A2956" t="s">
        <v>432</v>
      </c>
      <c r="B2956" t="s">
        <v>1836</v>
      </c>
      <c r="C2956" s="1">
        <v>322296.3</v>
      </c>
    </row>
    <row r="2957" spans="1:3" x14ac:dyDescent="0.2">
      <c r="A2957" t="s">
        <v>432</v>
      </c>
      <c r="B2957" t="s">
        <v>1837</v>
      </c>
      <c r="C2957" s="1">
        <v>697235</v>
      </c>
    </row>
    <row r="2958" spans="1:3" x14ac:dyDescent="0.2">
      <c r="A2958" t="s">
        <v>432</v>
      </c>
      <c r="B2958" t="s">
        <v>1956</v>
      </c>
      <c r="C2958" s="1">
        <v>200000</v>
      </c>
    </row>
    <row r="2959" spans="1:3" x14ac:dyDescent="0.2">
      <c r="A2959" t="s">
        <v>432</v>
      </c>
      <c r="B2959" t="s">
        <v>2172</v>
      </c>
      <c r="C2959" s="1">
        <v>40000</v>
      </c>
    </row>
    <row r="2960" spans="1:3" x14ac:dyDescent="0.2">
      <c r="A2960" t="s">
        <v>588</v>
      </c>
      <c r="B2960" t="s">
        <v>587</v>
      </c>
      <c r="C2960" s="1">
        <v>550</v>
      </c>
    </row>
    <row r="2961" spans="1:3" x14ac:dyDescent="0.2">
      <c r="A2961" t="s">
        <v>588</v>
      </c>
      <c r="B2961" t="s">
        <v>23</v>
      </c>
      <c r="C2961" s="1">
        <v>5502</v>
      </c>
    </row>
    <row r="2962" spans="1:3" x14ac:dyDescent="0.2">
      <c r="A2962" t="s">
        <v>588</v>
      </c>
      <c r="B2962" t="s">
        <v>116</v>
      </c>
      <c r="C2962" s="1">
        <v>139084</v>
      </c>
    </row>
    <row r="2963" spans="1:3" x14ac:dyDescent="0.2">
      <c r="A2963" t="s">
        <v>262</v>
      </c>
      <c r="B2963" t="s">
        <v>255</v>
      </c>
      <c r="C2963" s="1">
        <v>33000000</v>
      </c>
    </row>
    <row r="2964" spans="1:3" x14ac:dyDescent="0.2">
      <c r="A2964" t="s">
        <v>89</v>
      </c>
      <c r="B2964" t="s">
        <v>585</v>
      </c>
      <c r="C2964" s="1">
        <v>101847</v>
      </c>
    </row>
    <row r="2965" spans="1:3" x14ac:dyDescent="0.2">
      <c r="A2965" t="s">
        <v>89</v>
      </c>
      <c r="B2965" t="s">
        <v>284</v>
      </c>
      <c r="C2965" s="1">
        <v>7400000</v>
      </c>
    </row>
    <row r="2966" spans="1:3" x14ac:dyDescent="0.2">
      <c r="A2966" t="s">
        <v>89</v>
      </c>
      <c r="B2966" t="s">
        <v>88</v>
      </c>
      <c r="C2966" s="1">
        <v>22564835.300000001</v>
      </c>
    </row>
    <row r="2967" spans="1:3" x14ac:dyDescent="0.2">
      <c r="A2967" t="s">
        <v>368</v>
      </c>
      <c r="B2967" t="s">
        <v>41</v>
      </c>
      <c r="C2967" s="1">
        <v>359595.8</v>
      </c>
    </row>
    <row r="2968" spans="1:3" x14ac:dyDescent="0.2">
      <c r="A2968" t="s">
        <v>368</v>
      </c>
      <c r="B2968" t="s">
        <v>391</v>
      </c>
      <c r="C2968" s="1">
        <v>3000</v>
      </c>
    </row>
    <row r="2969" spans="1:3" x14ac:dyDescent="0.2">
      <c r="A2969" t="s">
        <v>368</v>
      </c>
      <c r="B2969" t="s">
        <v>367</v>
      </c>
      <c r="C2969" s="1">
        <v>29366298.100000001</v>
      </c>
    </row>
    <row r="2970" spans="1:3" x14ac:dyDescent="0.2">
      <c r="A2970" t="s">
        <v>368</v>
      </c>
      <c r="B2970" t="s">
        <v>751</v>
      </c>
      <c r="C2970" s="1">
        <v>72496</v>
      </c>
    </row>
    <row r="2971" spans="1:3" x14ac:dyDescent="0.2">
      <c r="A2971" t="s">
        <v>368</v>
      </c>
      <c r="B2971" t="s">
        <v>763</v>
      </c>
      <c r="C2971" s="1">
        <v>33332</v>
      </c>
    </row>
    <row r="2972" spans="1:3" x14ac:dyDescent="0.2">
      <c r="A2972" t="s">
        <v>368</v>
      </c>
      <c r="B2972" t="s">
        <v>774</v>
      </c>
      <c r="C2972" s="1">
        <v>15212768</v>
      </c>
    </row>
    <row r="2973" spans="1:3" x14ac:dyDescent="0.2">
      <c r="A2973" t="s">
        <v>368</v>
      </c>
      <c r="B2973" t="s">
        <v>778</v>
      </c>
      <c r="C2973" s="1">
        <v>1789609.9</v>
      </c>
    </row>
    <row r="2974" spans="1:3" x14ac:dyDescent="0.2">
      <c r="A2974" t="s">
        <v>368</v>
      </c>
      <c r="B2974" t="s">
        <v>804</v>
      </c>
      <c r="C2974" s="1">
        <v>100000</v>
      </c>
    </row>
    <row r="2975" spans="1:3" x14ac:dyDescent="0.2">
      <c r="A2975" t="s">
        <v>368</v>
      </c>
      <c r="B2975" t="s">
        <v>817</v>
      </c>
      <c r="C2975" s="1">
        <v>100000</v>
      </c>
    </row>
    <row r="2976" spans="1:3" x14ac:dyDescent="0.2">
      <c r="A2976" t="s">
        <v>368</v>
      </c>
      <c r="B2976" t="s">
        <v>827</v>
      </c>
      <c r="C2976" s="1">
        <v>2051751</v>
      </c>
    </row>
    <row r="2977" spans="1:3" x14ac:dyDescent="0.2">
      <c r="A2977" t="s">
        <v>368</v>
      </c>
      <c r="B2977" t="s">
        <v>867</v>
      </c>
      <c r="C2977" s="1">
        <v>30000</v>
      </c>
    </row>
    <row r="2978" spans="1:3" x14ac:dyDescent="0.2">
      <c r="A2978" t="s">
        <v>368</v>
      </c>
      <c r="B2978" t="s">
        <v>888</v>
      </c>
      <c r="C2978" s="1">
        <v>30000</v>
      </c>
    </row>
    <row r="2979" spans="1:3" x14ac:dyDescent="0.2">
      <c r="A2979" t="s">
        <v>368</v>
      </c>
      <c r="B2979" t="s">
        <v>1011</v>
      </c>
      <c r="C2979" s="1">
        <v>2178000</v>
      </c>
    </row>
    <row r="2980" spans="1:3" x14ac:dyDescent="0.2">
      <c r="A2980" t="s">
        <v>368</v>
      </c>
      <c r="B2980" t="s">
        <v>1045</v>
      </c>
      <c r="C2980" s="1">
        <v>3300</v>
      </c>
    </row>
    <row r="2981" spans="1:3" x14ac:dyDescent="0.2">
      <c r="A2981" t="s">
        <v>368</v>
      </c>
      <c r="B2981" t="s">
        <v>1047</v>
      </c>
      <c r="C2981" s="1">
        <v>68950</v>
      </c>
    </row>
    <row r="2982" spans="1:3" x14ac:dyDescent="0.2">
      <c r="A2982" t="s">
        <v>368</v>
      </c>
      <c r="B2982" t="s">
        <v>1055</v>
      </c>
      <c r="C2982" s="1">
        <v>12500</v>
      </c>
    </row>
    <row r="2983" spans="1:3" x14ac:dyDescent="0.2">
      <c r="A2983" t="s">
        <v>368</v>
      </c>
      <c r="B2983" t="s">
        <v>1086</v>
      </c>
      <c r="C2983" s="1">
        <v>3586</v>
      </c>
    </row>
    <row r="2984" spans="1:3" x14ac:dyDescent="0.2">
      <c r="A2984" t="s">
        <v>368</v>
      </c>
      <c r="B2984" t="s">
        <v>1108</v>
      </c>
      <c r="C2984" s="1">
        <v>45000</v>
      </c>
    </row>
    <row r="2985" spans="1:3" x14ac:dyDescent="0.2">
      <c r="A2985" t="s">
        <v>368</v>
      </c>
      <c r="B2985" t="s">
        <v>1181</v>
      </c>
      <c r="C2985" s="1">
        <v>1000</v>
      </c>
    </row>
    <row r="2986" spans="1:3" x14ac:dyDescent="0.2">
      <c r="A2986" t="s">
        <v>368</v>
      </c>
      <c r="B2986" t="s">
        <v>1351</v>
      </c>
      <c r="C2986" s="1">
        <v>25000</v>
      </c>
    </row>
    <row r="2987" spans="1:3" x14ac:dyDescent="0.2">
      <c r="A2987" t="s">
        <v>368</v>
      </c>
      <c r="B2987" t="s">
        <v>1353</v>
      </c>
      <c r="C2987" s="1">
        <v>12000</v>
      </c>
    </row>
    <row r="2988" spans="1:3" x14ac:dyDescent="0.2">
      <c r="A2988" t="s">
        <v>368</v>
      </c>
      <c r="B2988" t="s">
        <v>1354</v>
      </c>
      <c r="C2988" s="1">
        <v>25000</v>
      </c>
    </row>
    <row r="2989" spans="1:3" x14ac:dyDescent="0.2">
      <c r="A2989" t="s">
        <v>368</v>
      </c>
      <c r="B2989" t="s">
        <v>1355</v>
      </c>
      <c r="C2989" s="1">
        <v>15000</v>
      </c>
    </row>
    <row r="2990" spans="1:3" x14ac:dyDescent="0.2">
      <c r="A2990" t="s">
        <v>368</v>
      </c>
      <c r="B2990" t="s">
        <v>1356</v>
      </c>
      <c r="C2990" s="1">
        <v>50000</v>
      </c>
    </row>
    <row r="2991" spans="1:3" x14ac:dyDescent="0.2">
      <c r="A2991" t="s">
        <v>368</v>
      </c>
      <c r="B2991" t="s">
        <v>1357</v>
      </c>
      <c r="C2991" s="1">
        <v>10000</v>
      </c>
    </row>
    <row r="2992" spans="1:3" x14ac:dyDescent="0.2">
      <c r="A2992" t="s">
        <v>368</v>
      </c>
      <c r="B2992" t="s">
        <v>1359</v>
      </c>
      <c r="C2992" s="1">
        <v>85000</v>
      </c>
    </row>
    <row r="2993" spans="1:3" x14ac:dyDescent="0.2">
      <c r="A2993" t="s">
        <v>368</v>
      </c>
      <c r="B2993" t="s">
        <v>1362</v>
      </c>
      <c r="C2993" s="1">
        <v>66666</v>
      </c>
    </row>
    <row r="2994" spans="1:3" x14ac:dyDescent="0.2">
      <c r="A2994" t="s">
        <v>368</v>
      </c>
      <c r="B2994" t="s">
        <v>1363</v>
      </c>
      <c r="C2994" s="1">
        <v>66666</v>
      </c>
    </row>
    <row r="2995" spans="1:3" x14ac:dyDescent="0.2">
      <c r="A2995" t="s">
        <v>368</v>
      </c>
      <c r="B2995" t="s">
        <v>1364</v>
      </c>
      <c r="C2995" s="1">
        <v>10000</v>
      </c>
    </row>
    <row r="2996" spans="1:3" x14ac:dyDescent="0.2">
      <c r="A2996" t="s">
        <v>368</v>
      </c>
      <c r="B2996" t="s">
        <v>1365</v>
      </c>
      <c r="C2996" s="1">
        <v>12000</v>
      </c>
    </row>
    <row r="2997" spans="1:3" x14ac:dyDescent="0.2">
      <c r="A2997" t="s">
        <v>368</v>
      </c>
      <c r="B2997" t="s">
        <v>1366</v>
      </c>
      <c r="C2997" s="1">
        <v>4000</v>
      </c>
    </row>
    <row r="2998" spans="1:3" x14ac:dyDescent="0.2">
      <c r="A2998" t="s">
        <v>368</v>
      </c>
      <c r="B2998" t="s">
        <v>1367</v>
      </c>
      <c r="C2998" s="1">
        <v>10000</v>
      </c>
    </row>
    <row r="2999" spans="1:3" x14ac:dyDescent="0.2">
      <c r="A2999" t="s">
        <v>368</v>
      </c>
      <c r="B2999" t="s">
        <v>1368</v>
      </c>
      <c r="C2999" s="1">
        <v>4000</v>
      </c>
    </row>
    <row r="3000" spans="1:3" x14ac:dyDescent="0.2">
      <c r="A3000" t="s">
        <v>368</v>
      </c>
      <c r="B3000" t="s">
        <v>1369</v>
      </c>
      <c r="C3000" s="1">
        <v>14988</v>
      </c>
    </row>
    <row r="3001" spans="1:3" x14ac:dyDescent="0.2">
      <c r="A3001" t="s">
        <v>368</v>
      </c>
      <c r="B3001" t="s">
        <v>1375</v>
      </c>
      <c r="C3001" s="1">
        <v>25000</v>
      </c>
    </row>
    <row r="3002" spans="1:3" x14ac:dyDescent="0.2">
      <c r="A3002" t="s">
        <v>368</v>
      </c>
      <c r="B3002" t="s">
        <v>1386</v>
      </c>
      <c r="C3002" s="1">
        <v>17000</v>
      </c>
    </row>
    <row r="3003" spans="1:3" x14ac:dyDescent="0.2">
      <c r="A3003" t="s">
        <v>368</v>
      </c>
      <c r="B3003" t="s">
        <v>1397</v>
      </c>
      <c r="C3003" s="1">
        <v>26960</v>
      </c>
    </row>
    <row r="3004" spans="1:3" x14ac:dyDescent="0.2">
      <c r="A3004" t="s">
        <v>368</v>
      </c>
      <c r="B3004" t="s">
        <v>1398</v>
      </c>
      <c r="C3004" s="1">
        <v>30000</v>
      </c>
    </row>
    <row r="3005" spans="1:3" x14ac:dyDescent="0.2">
      <c r="A3005" t="s">
        <v>368</v>
      </c>
      <c r="B3005" t="s">
        <v>1399</v>
      </c>
      <c r="C3005" s="1">
        <v>20000</v>
      </c>
    </row>
    <row r="3006" spans="1:3" x14ac:dyDescent="0.2">
      <c r="A3006" t="s">
        <v>368</v>
      </c>
      <c r="B3006" t="s">
        <v>1400</v>
      </c>
      <c r="C3006" s="1">
        <v>10000</v>
      </c>
    </row>
    <row r="3007" spans="1:3" x14ac:dyDescent="0.2">
      <c r="A3007" t="s">
        <v>368</v>
      </c>
      <c r="B3007" t="s">
        <v>1401</v>
      </c>
      <c r="C3007" s="1">
        <v>50020</v>
      </c>
    </row>
    <row r="3008" spans="1:3" x14ac:dyDescent="0.2">
      <c r="A3008" t="s">
        <v>368</v>
      </c>
      <c r="B3008" t="s">
        <v>1402</v>
      </c>
      <c r="C3008" s="1">
        <v>10000</v>
      </c>
    </row>
    <row r="3009" spans="1:3" x14ac:dyDescent="0.2">
      <c r="A3009" t="s">
        <v>368</v>
      </c>
      <c r="B3009" t="s">
        <v>1403</v>
      </c>
      <c r="C3009" s="1">
        <v>40000</v>
      </c>
    </row>
    <row r="3010" spans="1:3" x14ac:dyDescent="0.2">
      <c r="A3010" t="s">
        <v>368</v>
      </c>
      <c r="B3010" t="s">
        <v>1404</v>
      </c>
      <c r="C3010" s="1">
        <v>50000</v>
      </c>
    </row>
    <row r="3011" spans="1:3" x14ac:dyDescent="0.2">
      <c r="A3011" t="s">
        <v>368</v>
      </c>
      <c r="B3011" t="s">
        <v>1405</v>
      </c>
      <c r="C3011" s="1">
        <v>40000</v>
      </c>
    </row>
    <row r="3012" spans="1:3" x14ac:dyDescent="0.2">
      <c r="A3012" t="s">
        <v>368</v>
      </c>
      <c r="B3012" t="s">
        <v>1406</v>
      </c>
      <c r="C3012" s="1">
        <v>20000</v>
      </c>
    </row>
    <row r="3013" spans="1:3" x14ac:dyDescent="0.2">
      <c r="A3013" t="s">
        <v>368</v>
      </c>
      <c r="B3013" t="s">
        <v>1407</v>
      </c>
      <c r="C3013" s="1">
        <v>50000</v>
      </c>
    </row>
    <row r="3014" spans="1:3" x14ac:dyDescent="0.2">
      <c r="A3014" t="s">
        <v>368</v>
      </c>
      <c r="B3014" t="s">
        <v>1409</v>
      </c>
      <c r="C3014" s="1">
        <v>36000</v>
      </c>
    </row>
    <row r="3015" spans="1:3" x14ac:dyDescent="0.2">
      <c r="A3015" t="s">
        <v>368</v>
      </c>
      <c r="B3015" t="s">
        <v>1410</v>
      </c>
      <c r="C3015" s="1">
        <v>33332</v>
      </c>
    </row>
    <row r="3016" spans="1:3" x14ac:dyDescent="0.2">
      <c r="A3016" t="s">
        <v>368</v>
      </c>
      <c r="B3016" t="s">
        <v>1411</v>
      </c>
      <c r="C3016" s="1">
        <v>33332</v>
      </c>
    </row>
    <row r="3017" spans="1:3" x14ac:dyDescent="0.2">
      <c r="A3017" t="s">
        <v>368</v>
      </c>
      <c r="B3017" t="s">
        <v>1412</v>
      </c>
      <c r="C3017" s="1">
        <v>33332</v>
      </c>
    </row>
    <row r="3018" spans="1:3" x14ac:dyDescent="0.2">
      <c r="A3018" t="s">
        <v>368</v>
      </c>
      <c r="B3018" t="s">
        <v>1413</v>
      </c>
      <c r="C3018" s="1">
        <v>33332</v>
      </c>
    </row>
    <row r="3019" spans="1:3" x14ac:dyDescent="0.2">
      <c r="A3019" t="s">
        <v>368</v>
      </c>
      <c r="B3019" t="s">
        <v>1414</v>
      </c>
      <c r="C3019" s="1">
        <v>33332</v>
      </c>
    </row>
    <row r="3020" spans="1:3" x14ac:dyDescent="0.2">
      <c r="A3020" t="s">
        <v>368</v>
      </c>
      <c r="B3020" t="s">
        <v>1415</v>
      </c>
      <c r="C3020" s="1">
        <v>25000</v>
      </c>
    </row>
    <row r="3021" spans="1:3" x14ac:dyDescent="0.2">
      <c r="A3021" t="s">
        <v>368</v>
      </c>
      <c r="B3021" t="s">
        <v>1468</v>
      </c>
      <c r="C3021" s="1">
        <v>20000</v>
      </c>
    </row>
    <row r="3022" spans="1:3" x14ac:dyDescent="0.2">
      <c r="A3022" t="s">
        <v>368</v>
      </c>
      <c r="B3022" t="s">
        <v>1469</v>
      </c>
      <c r="C3022" s="1">
        <v>20000</v>
      </c>
    </row>
    <row r="3023" spans="1:3" x14ac:dyDescent="0.2">
      <c r="A3023" t="s">
        <v>368</v>
      </c>
      <c r="B3023" t="s">
        <v>1487</v>
      </c>
      <c r="C3023" s="1">
        <v>350000</v>
      </c>
    </row>
    <row r="3024" spans="1:3" x14ac:dyDescent="0.2">
      <c r="A3024" t="s">
        <v>368</v>
      </c>
      <c r="B3024" t="s">
        <v>1506</v>
      </c>
      <c r="C3024" s="1">
        <v>15000</v>
      </c>
    </row>
    <row r="3025" spans="1:3" x14ac:dyDescent="0.2">
      <c r="A3025" t="s">
        <v>368</v>
      </c>
      <c r="B3025" t="s">
        <v>1509</v>
      </c>
      <c r="C3025" s="1">
        <v>30000</v>
      </c>
    </row>
    <row r="3026" spans="1:3" x14ac:dyDescent="0.2">
      <c r="A3026" t="s">
        <v>368</v>
      </c>
      <c r="B3026" t="s">
        <v>1531</v>
      </c>
      <c r="C3026" s="1">
        <v>5215740.1000000006</v>
      </c>
    </row>
    <row r="3027" spans="1:3" x14ac:dyDescent="0.2">
      <c r="A3027" t="s">
        <v>368</v>
      </c>
      <c r="B3027" t="s">
        <v>1558</v>
      </c>
      <c r="C3027" s="1">
        <v>7300000</v>
      </c>
    </row>
    <row r="3028" spans="1:3" x14ac:dyDescent="0.2">
      <c r="A3028" t="s">
        <v>368</v>
      </c>
      <c r="B3028" t="s">
        <v>1673</v>
      </c>
      <c r="C3028" s="1">
        <v>1146846.7</v>
      </c>
    </row>
    <row r="3029" spans="1:3" x14ac:dyDescent="0.2">
      <c r="A3029" t="s">
        <v>368</v>
      </c>
      <c r="B3029" t="s">
        <v>1764</v>
      </c>
      <c r="C3029" s="1">
        <v>9000000</v>
      </c>
    </row>
    <row r="3030" spans="1:3" x14ac:dyDescent="0.2">
      <c r="A3030" t="s">
        <v>368</v>
      </c>
      <c r="B3030" t="s">
        <v>2901</v>
      </c>
      <c r="C3030" s="1">
        <v>363090</v>
      </c>
    </row>
    <row r="3031" spans="1:3" x14ac:dyDescent="0.2">
      <c r="A3031" t="s">
        <v>82</v>
      </c>
      <c r="B3031" t="s">
        <v>548</v>
      </c>
      <c r="C3031" s="1">
        <v>100000</v>
      </c>
    </row>
    <row r="3032" spans="1:3" x14ac:dyDescent="0.2">
      <c r="A3032" t="s">
        <v>82</v>
      </c>
      <c r="B3032" t="s">
        <v>422</v>
      </c>
      <c r="C3032" s="1">
        <v>426.8</v>
      </c>
    </row>
    <row r="3033" spans="1:3" x14ac:dyDescent="0.2">
      <c r="A3033" t="s">
        <v>82</v>
      </c>
      <c r="B3033" t="s">
        <v>81</v>
      </c>
      <c r="C3033" s="1">
        <v>3122509</v>
      </c>
    </row>
    <row r="3034" spans="1:3" x14ac:dyDescent="0.2">
      <c r="A3034" t="s">
        <v>82</v>
      </c>
      <c r="B3034" t="s">
        <v>494</v>
      </c>
      <c r="C3034" s="1">
        <v>53340</v>
      </c>
    </row>
    <row r="3035" spans="1:3" x14ac:dyDescent="0.2">
      <c r="A3035" t="s">
        <v>82</v>
      </c>
      <c r="B3035" t="s">
        <v>801</v>
      </c>
      <c r="C3035" s="1">
        <v>1432484</v>
      </c>
    </row>
    <row r="3036" spans="1:3" x14ac:dyDescent="0.2">
      <c r="A3036" t="s">
        <v>82</v>
      </c>
      <c r="B3036" t="s">
        <v>1515</v>
      </c>
      <c r="C3036" s="1">
        <v>981291</v>
      </c>
    </row>
    <row r="3037" spans="1:3" x14ac:dyDescent="0.2">
      <c r="A3037" t="s">
        <v>82</v>
      </c>
      <c r="B3037" t="s">
        <v>1573</v>
      </c>
      <c r="C3037" s="1">
        <v>215000</v>
      </c>
    </row>
    <row r="3038" spans="1:3" x14ac:dyDescent="0.2">
      <c r="A3038" t="s">
        <v>37</v>
      </c>
      <c r="B3038" t="s">
        <v>36</v>
      </c>
      <c r="C3038" s="1">
        <v>10636000</v>
      </c>
    </row>
    <row r="3039" spans="1:3" x14ac:dyDescent="0.2">
      <c r="A3039" t="s">
        <v>37</v>
      </c>
      <c r="B3039" t="s">
        <v>613</v>
      </c>
      <c r="C3039" s="1">
        <v>150000</v>
      </c>
    </row>
    <row r="3040" spans="1:3" x14ac:dyDescent="0.2">
      <c r="A3040" t="s">
        <v>37</v>
      </c>
      <c r="B3040" t="s">
        <v>109</v>
      </c>
      <c r="C3040" s="1">
        <v>1449800</v>
      </c>
    </row>
    <row r="3041" spans="1:3" x14ac:dyDescent="0.2">
      <c r="A3041" t="s">
        <v>37</v>
      </c>
      <c r="B3041" t="s">
        <v>454</v>
      </c>
      <c r="C3041" s="1">
        <v>8028000</v>
      </c>
    </row>
    <row r="3042" spans="1:3" x14ac:dyDescent="0.2">
      <c r="A3042" t="s">
        <v>37</v>
      </c>
      <c r="B3042" t="s">
        <v>428</v>
      </c>
      <c r="C3042" s="1">
        <v>18071736.600000001</v>
      </c>
    </row>
    <row r="3043" spans="1:3" x14ac:dyDescent="0.2">
      <c r="A3043" t="s">
        <v>37</v>
      </c>
      <c r="B3043" t="s">
        <v>317</v>
      </c>
      <c r="C3043" s="1">
        <v>3780514.5</v>
      </c>
    </row>
    <row r="3044" spans="1:3" x14ac:dyDescent="0.2">
      <c r="A3044" t="s">
        <v>37</v>
      </c>
      <c r="B3044" t="s">
        <v>522</v>
      </c>
      <c r="C3044" s="1">
        <v>2676396.9</v>
      </c>
    </row>
    <row r="3045" spans="1:3" x14ac:dyDescent="0.2">
      <c r="A3045" t="s">
        <v>37</v>
      </c>
      <c r="B3045" t="s">
        <v>366</v>
      </c>
      <c r="C3045" s="1">
        <v>2755920</v>
      </c>
    </row>
    <row r="3046" spans="1:3" x14ac:dyDescent="0.2">
      <c r="A3046" t="s">
        <v>37</v>
      </c>
      <c r="B3046" t="s">
        <v>546</v>
      </c>
      <c r="C3046" s="1">
        <v>125628555</v>
      </c>
    </row>
    <row r="3047" spans="1:3" x14ac:dyDescent="0.2">
      <c r="A3047" t="s">
        <v>37</v>
      </c>
      <c r="B3047" t="s">
        <v>130</v>
      </c>
      <c r="C3047" s="1">
        <v>1239999.1000000001</v>
      </c>
    </row>
    <row r="3048" spans="1:3" x14ac:dyDescent="0.2">
      <c r="A3048" t="s">
        <v>37</v>
      </c>
      <c r="B3048" t="s">
        <v>68</v>
      </c>
      <c r="C3048" s="1">
        <v>421000</v>
      </c>
    </row>
    <row r="3049" spans="1:3" x14ac:dyDescent="0.2">
      <c r="A3049" t="s">
        <v>474</v>
      </c>
      <c r="B3049" t="s">
        <v>473</v>
      </c>
      <c r="C3049" s="1">
        <v>99723.8</v>
      </c>
    </row>
    <row r="3050" spans="1:3" x14ac:dyDescent="0.2">
      <c r="A3050" t="s">
        <v>141</v>
      </c>
      <c r="B3050" t="s">
        <v>482</v>
      </c>
      <c r="C3050" s="1">
        <v>9017825.0999999996</v>
      </c>
    </row>
    <row r="3051" spans="1:3" x14ac:dyDescent="0.2">
      <c r="A3051" t="s">
        <v>141</v>
      </c>
      <c r="B3051" t="s">
        <v>384</v>
      </c>
      <c r="C3051" s="1">
        <v>22868285.300000001</v>
      </c>
    </row>
    <row r="3052" spans="1:3" x14ac:dyDescent="0.2">
      <c r="A3052" t="s">
        <v>141</v>
      </c>
      <c r="B3052" t="s">
        <v>483</v>
      </c>
      <c r="C3052" s="1">
        <v>455.6</v>
      </c>
    </row>
    <row r="3053" spans="1:3" x14ac:dyDescent="0.2">
      <c r="A3053" t="s">
        <v>141</v>
      </c>
      <c r="B3053" t="s">
        <v>255</v>
      </c>
      <c r="C3053" s="1">
        <v>84083.900000000009</v>
      </c>
    </row>
    <row r="3054" spans="1:3" x14ac:dyDescent="0.2">
      <c r="A3054" t="s">
        <v>141</v>
      </c>
      <c r="B3054" t="s">
        <v>321</v>
      </c>
      <c r="C3054" s="1">
        <v>238725</v>
      </c>
    </row>
    <row r="3055" spans="1:3" x14ac:dyDescent="0.2">
      <c r="A3055" t="s">
        <v>141</v>
      </c>
      <c r="B3055" t="s">
        <v>470</v>
      </c>
      <c r="C3055" s="1">
        <v>6763.4</v>
      </c>
    </row>
    <row r="3056" spans="1:3" x14ac:dyDescent="0.2">
      <c r="A3056" t="s">
        <v>141</v>
      </c>
      <c r="B3056" t="s">
        <v>78</v>
      </c>
      <c r="C3056" s="1">
        <v>887895</v>
      </c>
    </row>
    <row r="3057" spans="1:3" x14ac:dyDescent="0.2">
      <c r="A3057" t="s">
        <v>141</v>
      </c>
      <c r="B3057" t="s">
        <v>317</v>
      </c>
      <c r="C3057" s="1">
        <v>5002000</v>
      </c>
    </row>
    <row r="3058" spans="1:3" x14ac:dyDescent="0.2">
      <c r="A3058" t="s">
        <v>141</v>
      </c>
      <c r="B3058" t="s">
        <v>441</v>
      </c>
      <c r="C3058" s="1">
        <v>1135649</v>
      </c>
    </row>
    <row r="3059" spans="1:3" x14ac:dyDescent="0.2">
      <c r="A3059" t="s">
        <v>141</v>
      </c>
      <c r="B3059" t="s">
        <v>209</v>
      </c>
      <c r="C3059" s="1">
        <v>47900000</v>
      </c>
    </row>
    <row r="3060" spans="1:3" x14ac:dyDescent="0.2">
      <c r="A3060" t="s">
        <v>141</v>
      </c>
      <c r="B3060" t="s">
        <v>489</v>
      </c>
      <c r="C3060" s="1">
        <v>23138501</v>
      </c>
    </row>
    <row r="3061" spans="1:3" x14ac:dyDescent="0.2">
      <c r="A3061" t="s">
        <v>141</v>
      </c>
      <c r="B3061" t="s">
        <v>140</v>
      </c>
      <c r="C3061" s="1">
        <v>12067767.5</v>
      </c>
    </row>
    <row r="3062" spans="1:3" x14ac:dyDescent="0.2">
      <c r="A3062" t="s">
        <v>141</v>
      </c>
      <c r="B3062" t="s">
        <v>297</v>
      </c>
      <c r="C3062" s="1">
        <v>1053000</v>
      </c>
    </row>
    <row r="3063" spans="1:3" x14ac:dyDescent="0.2">
      <c r="A3063" t="s">
        <v>141</v>
      </c>
      <c r="B3063" t="s">
        <v>386</v>
      </c>
      <c r="C3063" s="1">
        <v>69750</v>
      </c>
    </row>
    <row r="3064" spans="1:3" x14ac:dyDescent="0.2">
      <c r="A3064" t="s">
        <v>141</v>
      </c>
      <c r="B3064" t="s">
        <v>497</v>
      </c>
      <c r="C3064" s="1">
        <v>5445729.2999999998</v>
      </c>
    </row>
    <row r="3065" spans="1:3" x14ac:dyDescent="0.2">
      <c r="A3065" t="s">
        <v>141</v>
      </c>
      <c r="B3065" t="s">
        <v>130</v>
      </c>
      <c r="C3065" s="1">
        <v>7647888.5999999996</v>
      </c>
    </row>
    <row r="3066" spans="1:3" x14ac:dyDescent="0.2">
      <c r="A3066" t="s">
        <v>141</v>
      </c>
      <c r="B3066" t="s">
        <v>792</v>
      </c>
      <c r="C3066" s="1">
        <v>141085</v>
      </c>
    </row>
    <row r="3067" spans="1:3" x14ac:dyDescent="0.2">
      <c r="A3067" t="s">
        <v>141</v>
      </c>
      <c r="B3067" t="s">
        <v>1540</v>
      </c>
      <c r="C3067" s="1">
        <v>229840</v>
      </c>
    </row>
    <row r="3068" spans="1:3" x14ac:dyDescent="0.2">
      <c r="A3068" t="s">
        <v>141</v>
      </c>
      <c r="B3068" t="s">
        <v>1563</v>
      </c>
      <c r="C3068" s="1">
        <v>1858000</v>
      </c>
    </row>
    <row r="3069" spans="1:3" x14ac:dyDescent="0.2">
      <c r="A3069" t="s">
        <v>141</v>
      </c>
      <c r="B3069" t="s">
        <v>1600</v>
      </c>
      <c r="C3069" s="1">
        <v>397000</v>
      </c>
    </row>
    <row r="3070" spans="1:3" x14ac:dyDescent="0.2">
      <c r="A3070" t="s">
        <v>141</v>
      </c>
      <c r="B3070" t="s">
        <v>1634</v>
      </c>
      <c r="C3070" s="1">
        <v>4550</v>
      </c>
    </row>
    <row r="3071" spans="1:3" x14ac:dyDescent="0.2">
      <c r="A3071" t="s">
        <v>141</v>
      </c>
      <c r="B3071" t="s">
        <v>1868</v>
      </c>
      <c r="C3071" s="1">
        <v>200000</v>
      </c>
    </row>
    <row r="3072" spans="1:3" x14ac:dyDescent="0.2">
      <c r="A3072" t="s">
        <v>141</v>
      </c>
      <c r="B3072" t="s">
        <v>2067</v>
      </c>
      <c r="C3072" s="1">
        <v>6000</v>
      </c>
    </row>
    <row r="3073" spans="1:3" x14ac:dyDescent="0.2">
      <c r="A3073" t="s">
        <v>141</v>
      </c>
      <c r="B3073" t="s">
        <v>2088</v>
      </c>
      <c r="C3073" s="1">
        <v>932435</v>
      </c>
    </row>
    <row r="3074" spans="1:3" x14ac:dyDescent="0.2">
      <c r="A3074" t="s">
        <v>141</v>
      </c>
      <c r="B3074" t="s">
        <v>2221</v>
      </c>
      <c r="C3074" s="1">
        <v>1040000</v>
      </c>
    </row>
    <row r="3075" spans="1:3" x14ac:dyDescent="0.2">
      <c r="A3075" t="s">
        <v>141</v>
      </c>
      <c r="B3075" t="s">
        <v>2290</v>
      </c>
      <c r="C3075" s="1">
        <v>988427</v>
      </c>
    </row>
    <row r="3076" spans="1:3" x14ac:dyDescent="0.2">
      <c r="A3076" t="s">
        <v>141</v>
      </c>
      <c r="B3076" t="s">
        <v>2451</v>
      </c>
      <c r="C3076" s="1">
        <v>31746</v>
      </c>
    </row>
    <row r="3077" spans="1:3" x14ac:dyDescent="0.2">
      <c r="A3077" t="s">
        <v>141</v>
      </c>
      <c r="B3077" t="s">
        <v>2485</v>
      </c>
      <c r="C3077" s="1">
        <v>514000</v>
      </c>
    </row>
    <row r="3078" spans="1:3" x14ac:dyDescent="0.2">
      <c r="A3078" t="s">
        <v>141</v>
      </c>
      <c r="B3078" t="s">
        <v>2587</v>
      </c>
      <c r="C3078" s="1">
        <v>225000</v>
      </c>
    </row>
    <row r="3079" spans="1:3" x14ac:dyDescent="0.2">
      <c r="A3079" t="s">
        <v>141</v>
      </c>
      <c r="B3079" t="s">
        <v>2595</v>
      </c>
      <c r="C3079" s="1">
        <v>90750</v>
      </c>
    </row>
    <row r="3080" spans="1:3" x14ac:dyDescent="0.2">
      <c r="A3080" t="s">
        <v>141</v>
      </c>
      <c r="B3080" t="s">
        <v>2649</v>
      </c>
      <c r="C3080" s="1">
        <v>2636.8</v>
      </c>
    </row>
    <row r="3081" spans="1:3" x14ac:dyDescent="0.2">
      <c r="A3081" t="s">
        <v>141</v>
      </c>
      <c r="B3081" t="s">
        <v>2651</v>
      </c>
      <c r="C3081" s="1">
        <v>1318.4</v>
      </c>
    </row>
    <row r="3082" spans="1:3" x14ac:dyDescent="0.2">
      <c r="A3082" t="s">
        <v>141</v>
      </c>
      <c r="B3082" t="s">
        <v>2652</v>
      </c>
      <c r="C3082" s="1">
        <v>3955.2</v>
      </c>
    </row>
    <row r="3083" spans="1:3" x14ac:dyDescent="0.2">
      <c r="A3083" t="s">
        <v>141</v>
      </c>
      <c r="B3083" t="s">
        <v>2653</v>
      </c>
      <c r="C3083" s="1">
        <v>1318.4</v>
      </c>
    </row>
    <row r="3084" spans="1:3" x14ac:dyDescent="0.2">
      <c r="A3084" t="s">
        <v>141</v>
      </c>
      <c r="B3084" t="s">
        <v>2654</v>
      </c>
      <c r="C3084" s="1">
        <v>1318.4</v>
      </c>
    </row>
    <row r="3085" spans="1:3" x14ac:dyDescent="0.2">
      <c r="A3085" t="s">
        <v>141</v>
      </c>
      <c r="B3085" t="s">
        <v>2724</v>
      </c>
      <c r="C3085" s="1">
        <v>304265</v>
      </c>
    </row>
    <row r="3086" spans="1:3" x14ac:dyDescent="0.2">
      <c r="A3086" t="s">
        <v>246</v>
      </c>
      <c r="B3086" t="s">
        <v>250</v>
      </c>
      <c r="C3086" s="1">
        <v>252000</v>
      </c>
    </row>
    <row r="3087" spans="1:3" x14ac:dyDescent="0.2">
      <c r="A3087" t="s">
        <v>246</v>
      </c>
      <c r="B3087" t="s">
        <v>245</v>
      </c>
      <c r="C3087" s="1">
        <v>184000</v>
      </c>
    </row>
    <row r="3088" spans="1:3" x14ac:dyDescent="0.2">
      <c r="A3088" t="s">
        <v>246</v>
      </c>
      <c r="B3088" t="s">
        <v>1740</v>
      </c>
      <c r="C3088" s="1">
        <v>343000</v>
      </c>
    </row>
    <row r="3089" spans="1:3" x14ac:dyDescent="0.2">
      <c r="A3089" t="s">
        <v>246</v>
      </c>
      <c r="B3089" t="s">
        <v>2795</v>
      </c>
      <c r="C3089" s="1">
        <v>9790</v>
      </c>
    </row>
    <row r="3090" spans="1:3" x14ac:dyDescent="0.2">
      <c r="A3090" t="s">
        <v>246</v>
      </c>
      <c r="B3090" t="s">
        <v>2856</v>
      </c>
      <c r="C3090" s="1">
        <v>65000</v>
      </c>
    </row>
    <row r="3091" spans="1:3" x14ac:dyDescent="0.2">
      <c r="A3091" t="s">
        <v>246</v>
      </c>
      <c r="B3091" t="s">
        <v>2857</v>
      </c>
      <c r="C3091" s="1">
        <v>551095</v>
      </c>
    </row>
    <row r="3092" spans="1:3" x14ac:dyDescent="0.2">
      <c r="A3092" t="s">
        <v>59</v>
      </c>
      <c r="B3092" t="s">
        <v>41</v>
      </c>
      <c r="C3092" s="1">
        <v>280599</v>
      </c>
    </row>
    <row r="3093" spans="1:3" x14ac:dyDescent="0.2">
      <c r="A3093" t="s">
        <v>59</v>
      </c>
      <c r="B3093" t="s">
        <v>391</v>
      </c>
      <c r="C3093" s="1">
        <v>4855718</v>
      </c>
    </row>
    <row r="3094" spans="1:3" x14ac:dyDescent="0.2">
      <c r="A3094" t="s">
        <v>59</v>
      </c>
      <c r="B3094" t="s">
        <v>189</v>
      </c>
      <c r="C3094" s="1">
        <v>49000000</v>
      </c>
    </row>
    <row r="3095" spans="1:3" x14ac:dyDescent="0.2">
      <c r="A3095" t="s">
        <v>59</v>
      </c>
      <c r="B3095" t="s">
        <v>341</v>
      </c>
      <c r="C3095" s="1">
        <v>2655237</v>
      </c>
    </row>
    <row r="3096" spans="1:3" x14ac:dyDescent="0.2">
      <c r="A3096" t="s">
        <v>59</v>
      </c>
      <c r="B3096" t="s">
        <v>548</v>
      </c>
      <c r="C3096" s="1">
        <v>989738.8</v>
      </c>
    </row>
    <row r="3097" spans="1:3" x14ac:dyDescent="0.2">
      <c r="A3097" t="s">
        <v>59</v>
      </c>
      <c r="B3097" t="s">
        <v>225</v>
      </c>
      <c r="C3097" s="1">
        <v>1954826</v>
      </c>
    </row>
    <row r="3098" spans="1:3" x14ac:dyDescent="0.2">
      <c r="A3098" t="s">
        <v>59</v>
      </c>
      <c r="B3098" t="s">
        <v>255</v>
      </c>
      <c r="C3098" s="1">
        <v>60585</v>
      </c>
    </row>
    <row r="3099" spans="1:3" x14ac:dyDescent="0.2">
      <c r="A3099" t="s">
        <v>59</v>
      </c>
      <c r="B3099" t="s">
        <v>620</v>
      </c>
      <c r="C3099" s="1">
        <v>109286.5</v>
      </c>
    </row>
    <row r="3100" spans="1:3" x14ac:dyDescent="0.2">
      <c r="A3100" t="s">
        <v>59</v>
      </c>
      <c r="B3100" t="s">
        <v>186</v>
      </c>
      <c r="C3100" s="1">
        <v>25000000</v>
      </c>
    </row>
    <row r="3101" spans="1:3" x14ac:dyDescent="0.2">
      <c r="A3101" t="s">
        <v>59</v>
      </c>
      <c r="B3101" t="s">
        <v>493</v>
      </c>
      <c r="C3101" s="1">
        <v>1004556</v>
      </c>
    </row>
    <row r="3102" spans="1:3" x14ac:dyDescent="0.2">
      <c r="A3102" t="s">
        <v>59</v>
      </c>
      <c r="B3102" t="s">
        <v>203</v>
      </c>
      <c r="C3102" s="1">
        <v>25000000</v>
      </c>
    </row>
    <row r="3103" spans="1:3" x14ac:dyDescent="0.2">
      <c r="A3103" t="s">
        <v>59</v>
      </c>
      <c r="B3103" t="s">
        <v>318</v>
      </c>
      <c r="C3103" s="1">
        <v>8000000</v>
      </c>
    </row>
    <row r="3104" spans="1:3" x14ac:dyDescent="0.2">
      <c r="A3104" t="s">
        <v>59</v>
      </c>
      <c r="B3104" t="s">
        <v>531</v>
      </c>
      <c r="C3104" s="1">
        <v>7336323</v>
      </c>
    </row>
    <row r="3105" spans="1:3" x14ac:dyDescent="0.2">
      <c r="A3105" t="s">
        <v>59</v>
      </c>
      <c r="B3105" t="s">
        <v>206</v>
      </c>
      <c r="C3105" s="1">
        <v>25000000</v>
      </c>
    </row>
    <row r="3106" spans="1:3" x14ac:dyDescent="0.2">
      <c r="A3106" t="s">
        <v>59</v>
      </c>
      <c r="B3106" t="s">
        <v>449</v>
      </c>
      <c r="C3106" s="1">
        <v>65750</v>
      </c>
    </row>
    <row r="3107" spans="1:3" x14ac:dyDescent="0.2">
      <c r="A3107" t="s">
        <v>59</v>
      </c>
      <c r="B3107" t="s">
        <v>389</v>
      </c>
      <c r="C3107" s="1">
        <v>1520000</v>
      </c>
    </row>
    <row r="3108" spans="1:3" x14ac:dyDescent="0.2">
      <c r="A3108" t="s">
        <v>59</v>
      </c>
      <c r="B3108" t="s">
        <v>149</v>
      </c>
      <c r="C3108" s="1">
        <v>739000</v>
      </c>
    </row>
    <row r="3109" spans="1:3" x14ac:dyDescent="0.2">
      <c r="A3109" t="s">
        <v>59</v>
      </c>
      <c r="B3109" t="s">
        <v>373</v>
      </c>
      <c r="C3109" s="1">
        <v>2664491</v>
      </c>
    </row>
    <row r="3110" spans="1:3" x14ac:dyDescent="0.2">
      <c r="A3110" t="s">
        <v>59</v>
      </c>
      <c r="B3110" t="s">
        <v>16</v>
      </c>
      <c r="C3110" s="1">
        <v>25000000</v>
      </c>
    </row>
    <row r="3111" spans="1:3" x14ac:dyDescent="0.2">
      <c r="A3111" t="s">
        <v>59</v>
      </c>
      <c r="B3111" t="s">
        <v>115</v>
      </c>
      <c r="C3111" s="1">
        <v>9770000</v>
      </c>
    </row>
    <row r="3112" spans="1:3" x14ac:dyDescent="0.2">
      <c r="A3112" t="s">
        <v>59</v>
      </c>
      <c r="B3112" t="s">
        <v>216</v>
      </c>
      <c r="C3112" s="1">
        <v>6748366.4000000004</v>
      </c>
    </row>
    <row r="3113" spans="1:3" x14ac:dyDescent="0.2">
      <c r="A3113" t="s">
        <v>59</v>
      </c>
      <c r="B3113" t="s">
        <v>160</v>
      </c>
      <c r="C3113" s="1">
        <v>25000000</v>
      </c>
    </row>
    <row r="3114" spans="1:3" x14ac:dyDescent="0.2">
      <c r="A3114" t="s">
        <v>59</v>
      </c>
      <c r="B3114" t="s">
        <v>196</v>
      </c>
      <c r="C3114" s="1">
        <v>25000000</v>
      </c>
    </row>
    <row r="3115" spans="1:3" x14ac:dyDescent="0.2">
      <c r="A3115" t="s">
        <v>59</v>
      </c>
      <c r="B3115" t="s">
        <v>663</v>
      </c>
      <c r="C3115" s="1">
        <v>681592</v>
      </c>
    </row>
    <row r="3116" spans="1:3" x14ac:dyDescent="0.2">
      <c r="A3116" t="s">
        <v>59</v>
      </c>
      <c r="B3116" t="s">
        <v>665</v>
      </c>
      <c r="C3116" s="1">
        <v>601293.5</v>
      </c>
    </row>
    <row r="3117" spans="1:3" x14ac:dyDescent="0.2">
      <c r="A3117" t="s">
        <v>59</v>
      </c>
      <c r="B3117" t="s">
        <v>666</v>
      </c>
      <c r="C3117" s="1">
        <v>112147.3</v>
      </c>
    </row>
    <row r="3118" spans="1:3" x14ac:dyDescent="0.2">
      <c r="A3118" t="s">
        <v>59</v>
      </c>
      <c r="B3118" t="s">
        <v>669</v>
      </c>
      <c r="C3118" s="1">
        <v>9838781</v>
      </c>
    </row>
    <row r="3119" spans="1:3" x14ac:dyDescent="0.2">
      <c r="A3119" t="s">
        <v>59</v>
      </c>
      <c r="B3119" t="s">
        <v>682</v>
      </c>
      <c r="C3119" s="1">
        <v>2115299</v>
      </c>
    </row>
    <row r="3120" spans="1:3" x14ac:dyDescent="0.2">
      <c r="A3120" t="s">
        <v>59</v>
      </c>
      <c r="B3120" t="s">
        <v>683</v>
      </c>
      <c r="C3120" s="1">
        <v>596412</v>
      </c>
    </row>
    <row r="3121" spans="1:3" x14ac:dyDescent="0.2">
      <c r="A3121" t="s">
        <v>59</v>
      </c>
      <c r="B3121" t="s">
        <v>684</v>
      </c>
      <c r="C3121" s="1">
        <v>1213272</v>
      </c>
    </row>
    <row r="3122" spans="1:3" x14ac:dyDescent="0.2">
      <c r="A3122" t="s">
        <v>59</v>
      </c>
      <c r="B3122" t="s">
        <v>686</v>
      </c>
      <c r="C3122" s="1">
        <v>5053194</v>
      </c>
    </row>
    <row r="3123" spans="1:3" x14ac:dyDescent="0.2">
      <c r="A3123" t="s">
        <v>59</v>
      </c>
      <c r="B3123" t="s">
        <v>688</v>
      </c>
      <c r="C3123" s="1">
        <v>242332</v>
      </c>
    </row>
    <row r="3124" spans="1:3" x14ac:dyDescent="0.2">
      <c r="A3124" t="s">
        <v>59</v>
      </c>
      <c r="B3124" t="s">
        <v>692</v>
      </c>
      <c r="C3124" s="1">
        <v>480000</v>
      </c>
    </row>
    <row r="3125" spans="1:3" x14ac:dyDescent="0.2">
      <c r="A3125" t="s">
        <v>59</v>
      </c>
      <c r="B3125" t="s">
        <v>694</v>
      </c>
      <c r="C3125" s="1">
        <v>750002</v>
      </c>
    </row>
    <row r="3126" spans="1:3" x14ac:dyDescent="0.2">
      <c r="A3126" t="s">
        <v>59</v>
      </c>
      <c r="B3126" t="s">
        <v>701</v>
      </c>
      <c r="C3126" s="1">
        <v>360000</v>
      </c>
    </row>
    <row r="3127" spans="1:3" x14ac:dyDescent="0.2">
      <c r="A3127" t="s">
        <v>59</v>
      </c>
      <c r="B3127" t="s">
        <v>702</v>
      </c>
      <c r="C3127" s="1">
        <v>240000</v>
      </c>
    </row>
    <row r="3128" spans="1:3" x14ac:dyDescent="0.2">
      <c r="A3128" t="s">
        <v>59</v>
      </c>
      <c r="B3128" t="s">
        <v>717</v>
      </c>
      <c r="C3128" s="1">
        <v>480000</v>
      </c>
    </row>
    <row r="3129" spans="1:3" x14ac:dyDescent="0.2">
      <c r="A3129" t="s">
        <v>59</v>
      </c>
      <c r="B3129" t="s">
        <v>719</v>
      </c>
      <c r="C3129" s="1">
        <v>353559</v>
      </c>
    </row>
    <row r="3130" spans="1:3" x14ac:dyDescent="0.2">
      <c r="A3130" t="s">
        <v>59</v>
      </c>
      <c r="B3130" t="s">
        <v>749</v>
      </c>
      <c r="C3130" s="1">
        <v>864209</v>
      </c>
    </row>
    <row r="3131" spans="1:3" x14ac:dyDescent="0.2">
      <c r="A3131" t="s">
        <v>59</v>
      </c>
      <c r="B3131" t="s">
        <v>762</v>
      </c>
      <c r="C3131" s="1">
        <v>274987</v>
      </c>
    </row>
    <row r="3132" spans="1:3" x14ac:dyDescent="0.2">
      <c r="A3132" t="s">
        <v>59</v>
      </c>
      <c r="B3132" t="s">
        <v>763</v>
      </c>
      <c r="C3132" s="1">
        <v>3362173</v>
      </c>
    </row>
    <row r="3133" spans="1:3" x14ac:dyDescent="0.2">
      <c r="A3133" t="s">
        <v>59</v>
      </c>
      <c r="B3133" t="s">
        <v>778</v>
      </c>
      <c r="C3133" s="1">
        <v>1833651</v>
      </c>
    </row>
    <row r="3134" spans="1:3" x14ac:dyDescent="0.2">
      <c r="A3134" t="s">
        <v>59</v>
      </c>
      <c r="B3134" t="s">
        <v>780</v>
      </c>
      <c r="C3134" s="1">
        <v>739056</v>
      </c>
    </row>
    <row r="3135" spans="1:3" x14ac:dyDescent="0.2">
      <c r="A3135" t="s">
        <v>59</v>
      </c>
      <c r="B3135" t="s">
        <v>781</v>
      </c>
      <c r="C3135" s="1">
        <v>907684</v>
      </c>
    </row>
    <row r="3136" spans="1:3" x14ac:dyDescent="0.2">
      <c r="A3136" t="s">
        <v>59</v>
      </c>
      <c r="B3136" t="s">
        <v>782</v>
      </c>
      <c r="C3136" s="1">
        <v>247611</v>
      </c>
    </row>
    <row r="3137" spans="1:3" x14ac:dyDescent="0.2">
      <c r="A3137" t="s">
        <v>59</v>
      </c>
      <c r="B3137" t="s">
        <v>783</v>
      </c>
      <c r="C3137" s="1">
        <v>257938</v>
      </c>
    </row>
    <row r="3138" spans="1:3" x14ac:dyDescent="0.2">
      <c r="A3138" t="s">
        <v>59</v>
      </c>
      <c r="B3138" t="s">
        <v>785</v>
      </c>
      <c r="C3138" s="1">
        <v>1504572</v>
      </c>
    </row>
    <row r="3139" spans="1:3" x14ac:dyDescent="0.2">
      <c r="A3139" t="s">
        <v>59</v>
      </c>
      <c r="B3139" t="s">
        <v>791</v>
      </c>
      <c r="C3139" s="1">
        <v>1353818</v>
      </c>
    </row>
    <row r="3140" spans="1:3" x14ac:dyDescent="0.2">
      <c r="A3140" t="s">
        <v>59</v>
      </c>
      <c r="B3140" t="s">
        <v>792</v>
      </c>
      <c r="C3140" s="1">
        <v>5684076</v>
      </c>
    </row>
    <row r="3141" spans="1:3" x14ac:dyDescent="0.2">
      <c r="A3141" t="s">
        <v>59</v>
      </c>
      <c r="B3141" t="s">
        <v>801</v>
      </c>
      <c r="C3141" s="1">
        <v>782500</v>
      </c>
    </row>
    <row r="3142" spans="1:3" x14ac:dyDescent="0.2">
      <c r="A3142" t="s">
        <v>59</v>
      </c>
      <c r="B3142" t="s">
        <v>805</v>
      </c>
      <c r="C3142" s="1">
        <v>375001</v>
      </c>
    </row>
    <row r="3143" spans="1:3" x14ac:dyDescent="0.2">
      <c r="A3143" t="s">
        <v>59</v>
      </c>
      <c r="B3143" t="s">
        <v>807</v>
      </c>
      <c r="C3143" s="1">
        <v>1109835</v>
      </c>
    </row>
    <row r="3144" spans="1:3" x14ac:dyDescent="0.2">
      <c r="A3144" t="s">
        <v>59</v>
      </c>
      <c r="B3144" t="s">
        <v>808</v>
      </c>
      <c r="C3144" s="1">
        <v>397668</v>
      </c>
    </row>
    <row r="3145" spans="1:3" x14ac:dyDescent="0.2">
      <c r="A3145" t="s">
        <v>59</v>
      </c>
      <c r="B3145" t="s">
        <v>814</v>
      </c>
      <c r="C3145" s="1">
        <v>39312887.199999899</v>
      </c>
    </row>
    <row r="3146" spans="1:3" x14ac:dyDescent="0.2">
      <c r="A3146" t="s">
        <v>59</v>
      </c>
      <c r="B3146" t="s">
        <v>821</v>
      </c>
      <c r="C3146" s="1">
        <v>200000</v>
      </c>
    </row>
    <row r="3147" spans="1:3" x14ac:dyDescent="0.2">
      <c r="A3147" t="s">
        <v>59</v>
      </c>
      <c r="B3147" t="s">
        <v>823</v>
      </c>
      <c r="C3147" s="1">
        <v>365206.8</v>
      </c>
    </row>
    <row r="3148" spans="1:3" x14ac:dyDescent="0.2">
      <c r="A3148" t="s">
        <v>59</v>
      </c>
      <c r="B3148" t="s">
        <v>824</v>
      </c>
      <c r="C3148" s="1">
        <v>750000</v>
      </c>
    </row>
    <row r="3149" spans="1:3" x14ac:dyDescent="0.2">
      <c r="A3149" t="s">
        <v>59</v>
      </c>
      <c r="B3149" t="s">
        <v>827</v>
      </c>
      <c r="C3149" s="1">
        <v>1946236</v>
      </c>
    </row>
    <row r="3150" spans="1:3" x14ac:dyDescent="0.2">
      <c r="A3150" t="s">
        <v>59</v>
      </c>
      <c r="B3150" t="s">
        <v>838</v>
      </c>
      <c r="C3150" s="1">
        <v>375001</v>
      </c>
    </row>
    <row r="3151" spans="1:3" x14ac:dyDescent="0.2">
      <c r="A3151" t="s">
        <v>59</v>
      </c>
      <c r="B3151" t="s">
        <v>839</v>
      </c>
      <c r="C3151" s="1">
        <v>797977</v>
      </c>
    </row>
    <row r="3152" spans="1:3" x14ac:dyDescent="0.2">
      <c r="A3152" t="s">
        <v>59</v>
      </c>
      <c r="B3152" t="s">
        <v>842</v>
      </c>
      <c r="C3152" s="1">
        <v>179606.2</v>
      </c>
    </row>
    <row r="3153" spans="1:3" x14ac:dyDescent="0.2">
      <c r="A3153" t="s">
        <v>59</v>
      </c>
      <c r="B3153" t="s">
        <v>846</v>
      </c>
      <c r="C3153" s="1">
        <v>480000</v>
      </c>
    </row>
    <row r="3154" spans="1:3" x14ac:dyDescent="0.2">
      <c r="A3154" t="s">
        <v>59</v>
      </c>
      <c r="B3154" t="s">
        <v>848</v>
      </c>
      <c r="C3154" s="1">
        <v>300000</v>
      </c>
    </row>
    <row r="3155" spans="1:3" x14ac:dyDescent="0.2">
      <c r="A3155" t="s">
        <v>59</v>
      </c>
      <c r="B3155" t="s">
        <v>849</v>
      </c>
      <c r="C3155" s="1">
        <v>325000</v>
      </c>
    </row>
    <row r="3156" spans="1:3" x14ac:dyDescent="0.2">
      <c r="A3156" t="s">
        <v>59</v>
      </c>
      <c r="B3156" t="s">
        <v>864</v>
      </c>
      <c r="C3156" s="1">
        <v>935443</v>
      </c>
    </row>
    <row r="3157" spans="1:3" x14ac:dyDescent="0.2">
      <c r="A3157" t="s">
        <v>59</v>
      </c>
      <c r="B3157" t="s">
        <v>868</v>
      </c>
      <c r="C3157" s="1">
        <v>300000</v>
      </c>
    </row>
    <row r="3158" spans="1:3" x14ac:dyDescent="0.2">
      <c r="A3158" t="s">
        <v>59</v>
      </c>
      <c r="B3158" t="s">
        <v>897</v>
      </c>
      <c r="C3158" s="1">
        <v>200000</v>
      </c>
    </row>
    <row r="3159" spans="1:3" x14ac:dyDescent="0.2">
      <c r="A3159" t="s">
        <v>59</v>
      </c>
      <c r="B3159" t="s">
        <v>905</v>
      </c>
      <c r="C3159" s="1">
        <v>469369</v>
      </c>
    </row>
    <row r="3160" spans="1:3" x14ac:dyDescent="0.2">
      <c r="A3160" t="s">
        <v>59</v>
      </c>
      <c r="B3160" t="s">
        <v>929</v>
      </c>
      <c r="C3160" s="1">
        <v>580000</v>
      </c>
    </row>
    <row r="3161" spans="1:3" x14ac:dyDescent="0.2">
      <c r="A3161" t="s">
        <v>59</v>
      </c>
      <c r="B3161" t="s">
        <v>962</v>
      </c>
      <c r="C3161" s="1">
        <v>375001</v>
      </c>
    </row>
    <row r="3162" spans="1:3" x14ac:dyDescent="0.2">
      <c r="A3162" t="s">
        <v>59</v>
      </c>
      <c r="B3162" t="s">
        <v>968</v>
      </c>
      <c r="C3162" s="1">
        <v>7130354</v>
      </c>
    </row>
    <row r="3163" spans="1:3" x14ac:dyDescent="0.2">
      <c r="A3163" t="s">
        <v>59</v>
      </c>
      <c r="B3163" t="s">
        <v>969</v>
      </c>
      <c r="C3163" s="1">
        <v>4879176.9000000004</v>
      </c>
    </row>
    <row r="3164" spans="1:3" x14ac:dyDescent="0.2">
      <c r="A3164" t="s">
        <v>59</v>
      </c>
      <c r="B3164" t="s">
        <v>981</v>
      </c>
      <c r="C3164" s="1">
        <v>120000</v>
      </c>
    </row>
    <row r="3165" spans="1:3" x14ac:dyDescent="0.2">
      <c r="A3165" t="s">
        <v>59</v>
      </c>
      <c r="B3165" t="s">
        <v>985</v>
      </c>
      <c r="C3165" s="1">
        <v>375001</v>
      </c>
    </row>
    <row r="3166" spans="1:3" x14ac:dyDescent="0.2">
      <c r="A3166" t="s">
        <v>59</v>
      </c>
      <c r="B3166" t="s">
        <v>999</v>
      </c>
      <c r="C3166" s="1">
        <v>964249</v>
      </c>
    </row>
    <row r="3167" spans="1:3" x14ac:dyDescent="0.2">
      <c r="A3167" t="s">
        <v>59</v>
      </c>
      <c r="B3167" t="s">
        <v>1000</v>
      </c>
      <c r="C3167" s="1">
        <v>1214643</v>
      </c>
    </row>
    <row r="3168" spans="1:3" x14ac:dyDescent="0.2">
      <c r="A3168" t="s">
        <v>59</v>
      </c>
      <c r="B3168" t="s">
        <v>1001</v>
      </c>
      <c r="C3168" s="1">
        <v>240000</v>
      </c>
    </row>
    <row r="3169" spans="1:3" x14ac:dyDescent="0.2">
      <c r="A3169" t="s">
        <v>59</v>
      </c>
      <c r="B3169" t="s">
        <v>1002</v>
      </c>
      <c r="C3169" s="1">
        <v>416628</v>
      </c>
    </row>
    <row r="3170" spans="1:3" x14ac:dyDescent="0.2">
      <c r="A3170" t="s">
        <v>59</v>
      </c>
      <c r="B3170" t="s">
        <v>1003</v>
      </c>
      <c r="C3170" s="1">
        <v>1450448</v>
      </c>
    </row>
    <row r="3171" spans="1:3" x14ac:dyDescent="0.2">
      <c r="A3171" t="s">
        <v>59</v>
      </c>
      <c r="B3171" t="s">
        <v>1004</v>
      </c>
      <c r="C3171" s="1">
        <v>240000</v>
      </c>
    </row>
    <row r="3172" spans="1:3" x14ac:dyDescent="0.2">
      <c r="A3172" t="s">
        <v>59</v>
      </c>
      <c r="B3172" t="s">
        <v>1009</v>
      </c>
      <c r="C3172" s="1">
        <v>246216</v>
      </c>
    </row>
    <row r="3173" spans="1:3" x14ac:dyDescent="0.2">
      <c r="A3173" t="s">
        <v>59</v>
      </c>
      <c r="B3173" t="s">
        <v>1011</v>
      </c>
      <c r="C3173" s="1">
        <v>1089000.1000000001</v>
      </c>
    </row>
    <row r="3174" spans="1:3" x14ac:dyDescent="0.2">
      <c r="A3174" t="s">
        <v>59</v>
      </c>
      <c r="B3174" t="s">
        <v>1021</v>
      </c>
      <c r="C3174" s="1">
        <v>1436242</v>
      </c>
    </row>
    <row r="3175" spans="1:3" x14ac:dyDescent="0.2">
      <c r="A3175" t="s">
        <v>59</v>
      </c>
      <c r="B3175" t="s">
        <v>1022</v>
      </c>
      <c r="C3175" s="1">
        <v>360000</v>
      </c>
    </row>
    <row r="3176" spans="1:3" x14ac:dyDescent="0.2">
      <c r="A3176" t="s">
        <v>59</v>
      </c>
      <c r="B3176">
        <v>2243</v>
      </c>
      <c r="C3176" s="1">
        <v>848394.7</v>
      </c>
    </row>
    <row r="3177" spans="1:3" x14ac:dyDescent="0.2">
      <c r="A3177" t="s">
        <v>59</v>
      </c>
      <c r="B3177" t="s">
        <v>1024</v>
      </c>
      <c r="C3177" s="1">
        <v>4579115</v>
      </c>
    </row>
    <row r="3178" spans="1:3" x14ac:dyDescent="0.2">
      <c r="A3178" t="s">
        <v>59</v>
      </c>
      <c r="B3178" t="s">
        <v>1026</v>
      </c>
      <c r="C3178" s="1">
        <v>928735</v>
      </c>
    </row>
    <row r="3179" spans="1:3" x14ac:dyDescent="0.2">
      <c r="A3179" t="s">
        <v>59</v>
      </c>
      <c r="B3179" t="s">
        <v>1034</v>
      </c>
      <c r="C3179" s="1">
        <v>500000</v>
      </c>
    </row>
    <row r="3180" spans="1:3" x14ac:dyDescent="0.2">
      <c r="A3180" t="s">
        <v>59</v>
      </c>
      <c r="B3180" t="s">
        <v>1036</v>
      </c>
      <c r="C3180" s="1">
        <v>1546493</v>
      </c>
    </row>
    <row r="3181" spans="1:3" x14ac:dyDescent="0.2">
      <c r="A3181" t="s">
        <v>59</v>
      </c>
      <c r="B3181" t="s">
        <v>1037</v>
      </c>
      <c r="C3181" s="1">
        <v>1882538</v>
      </c>
    </row>
    <row r="3182" spans="1:3" x14ac:dyDescent="0.2">
      <c r="A3182" t="s">
        <v>59</v>
      </c>
      <c r="B3182" t="s">
        <v>1038</v>
      </c>
      <c r="C3182" s="1">
        <v>1882538</v>
      </c>
    </row>
    <row r="3183" spans="1:3" x14ac:dyDescent="0.2">
      <c r="A3183" t="s">
        <v>59</v>
      </c>
      <c r="B3183" t="s">
        <v>1044</v>
      </c>
      <c r="C3183" s="1">
        <v>400000</v>
      </c>
    </row>
    <row r="3184" spans="1:3" x14ac:dyDescent="0.2">
      <c r="A3184" t="s">
        <v>59</v>
      </c>
      <c r="B3184" t="s">
        <v>1060</v>
      </c>
      <c r="C3184" s="1">
        <v>201281</v>
      </c>
    </row>
    <row r="3185" spans="1:3" x14ac:dyDescent="0.2">
      <c r="A3185" t="s">
        <v>59</v>
      </c>
      <c r="B3185" t="s">
        <v>1084</v>
      </c>
      <c r="C3185" s="1">
        <v>375001</v>
      </c>
    </row>
    <row r="3186" spans="1:3" x14ac:dyDescent="0.2">
      <c r="A3186" t="s">
        <v>59</v>
      </c>
      <c r="B3186" t="s">
        <v>1087</v>
      </c>
      <c r="C3186" s="1">
        <v>105000</v>
      </c>
    </row>
    <row r="3187" spans="1:3" x14ac:dyDescent="0.2">
      <c r="A3187" t="s">
        <v>59</v>
      </c>
      <c r="B3187" t="s">
        <v>1090</v>
      </c>
      <c r="C3187" s="1">
        <v>711657</v>
      </c>
    </row>
    <row r="3188" spans="1:3" x14ac:dyDescent="0.2">
      <c r="A3188" t="s">
        <v>59</v>
      </c>
      <c r="B3188" t="s">
        <v>1174</v>
      </c>
      <c r="C3188" s="1">
        <v>600000</v>
      </c>
    </row>
    <row r="3189" spans="1:3" x14ac:dyDescent="0.2">
      <c r="A3189" t="s">
        <v>59</v>
      </c>
      <c r="B3189" t="s">
        <v>1182</v>
      </c>
      <c r="C3189" s="1">
        <v>250000</v>
      </c>
    </row>
    <row r="3190" spans="1:3" x14ac:dyDescent="0.2">
      <c r="A3190" t="s">
        <v>59</v>
      </c>
      <c r="B3190" t="s">
        <v>1352</v>
      </c>
      <c r="C3190" s="1">
        <v>354446</v>
      </c>
    </row>
    <row r="3191" spans="1:3" x14ac:dyDescent="0.2">
      <c r="A3191" t="s">
        <v>59</v>
      </c>
      <c r="B3191" t="s">
        <v>1372</v>
      </c>
      <c r="C3191" s="1">
        <v>300000</v>
      </c>
    </row>
    <row r="3192" spans="1:3" x14ac:dyDescent="0.2">
      <c r="A3192" t="s">
        <v>59</v>
      </c>
      <c r="B3192" t="s">
        <v>1378</v>
      </c>
      <c r="C3192" s="1">
        <v>3867909</v>
      </c>
    </row>
    <row r="3193" spans="1:3" x14ac:dyDescent="0.2">
      <c r="A3193" t="s">
        <v>59</v>
      </c>
      <c r="B3193" t="s">
        <v>1408</v>
      </c>
      <c r="C3193" s="1">
        <v>1400</v>
      </c>
    </row>
    <row r="3194" spans="1:3" x14ac:dyDescent="0.2">
      <c r="A3194" t="s">
        <v>59</v>
      </c>
      <c r="B3194" t="s">
        <v>1416</v>
      </c>
      <c r="C3194" s="1">
        <v>68296.2</v>
      </c>
    </row>
    <row r="3195" spans="1:3" x14ac:dyDescent="0.2">
      <c r="A3195" t="s">
        <v>59</v>
      </c>
      <c r="B3195" t="s">
        <v>1417</v>
      </c>
      <c r="C3195" s="1">
        <v>575401.1</v>
      </c>
    </row>
    <row r="3196" spans="1:3" x14ac:dyDescent="0.2">
      <c r="A3196" t="s">
        <v>59</v>
      </c>
      <c r="B3196" t="s">
        <v>1418</v>
      </c>
      <c r="C3196" s="1">
        <v>524727.5</v>
      </c>
    </row>
    <row r="3197" spans="1:3" x14ac:dyDescent="0.2">
      <c r="A3197" t="s">
        <v>59</v>
      </c>
      <c r="B3197" t="s">
        <v>1419</v>
      </c>
      <c r="C3197" s="1">
        <v>450000</v>
      </c>
    </row>
    <row r="3198" spans="1:3" x14ac:dyDescent="0.2">
      <c r="A3198" t="s">
        <v>59</v>
      </c>
      <c r="B3198" t="s">
        <v>1420</v>
      </c>
      <c r="C3198" s="1">
        <v>1890</v>
      </c>
    </row>
    <row r="3199" spans="1:3" x14ac:dyDescent="0.2">
      <c r="A3199" t="s">
        <v>59</v>
      </c>
      <c r="B3199" t="s">
        <v>1421</v>
      </c>
      <c r="C3199" s="1">
        <v>180432</v>
      </c>
    </row>
    <row r="3200" spans="1:3" x14ac:dyDescent="0.2">
      <c r="A3200" t="s">
        <v>59</v>
      </c>
      <c r="B3200" t="s">
        <v>1422</v>
      </c>
      <c r="C3200" s="1">
        <v>5815775.8000000007</v>
      </c>
    </row>
    <row r="3201" spans="1:3" x14ac:dyDescent="0.2">
      <c r="A3201" t="s">
        <v>59</v>
      </c>
      <c r="B3201" t="s">
        <v>1423</v>
      </c>
      <c r="C3201" s="1">
        <v>563438</v>
      </c>
    </row>
    <row r="3202" spans="1:3" x14ac:dyDescent="0.2">
      <c r="A3202" t="s">
        <v>59</v>
      </c>
      <c r="B3202" t="s">
        <v>1425</v>
      </c>
      <c r="C3202" s="1">
        <v>567636</v>
      </c>
    </row>
    <row r="3203" spans="1:3" x14ac:dyDescent="0.2">
      <c r="A3203" t="s">
        <v>59</v>
      </c>
      <c r="B3203" t="s">
        <v>1427</v>
      </c>
      <c r="C3203" s="1">
        <v>727424</v>
      </c>
    </row>
    <row r="3204" spans="1:3" x14ac:dyDescent="0.2">
      <c r="A3204" t="s">
        <v>59</v>
      </c>
      <c r="B3204" t="s">
        <v>1430</v>
      </c>
      <c r="C3204" s="1">
        <v>105157</v>
      </c>
    </row>
    <row r="3205" spans="1:3" x14ac:dyDescent="0.2">
      <c r="A3205" t="s">
        <v>59</v>
      </c>
      <c r="B3205" t="s">
        <v>1473</v>
      </c>
      <c r="C3205" s="1">
        <v>5089475</v>
      </c>
    </row>
    <row r="3206" spans="1:3" x14ac:dyDescent="0.2">
      <c r="A3206" t="s">
        <v>59</v>
      </c>
      <c r="B3206" t="s">
        <v>1495</v>
      </c>
      <c r="C3206" s="1">
        <v>962035</v>
      </c>
    </row>
    <row r="3207" spans="1:3" x14ac:dyDescent="0.2">
      <c r="A3207" t="s">
        <v>59</v>
      </c>
      <c r="B3207" t="s">
        <v>1517</v>
      </c>
      <c r="C3207" s="1">
        <v>432809.8</v>
      </c>
    </row>
    <row r="3208" spans="1:3" x14ac:dyDescent="0.2">
      <c r="A3208" t="s">
        <v>59</v>
      </c>
      <c r="B3208" t="s">
        <v>1557</v>
      </c>
      <c r="C3208" s="1">
        <v>651462.19999999995</v>
      </c>
    </row>
    <row r="3209" spans="1:3" x14ac:dyDescent="0.2">
      <c r="A3209" t="s">
        <v>59</v>
      </c>
      <c r="B3209" t="s">
        <v>1657</v>
      </c>
      <c r="C3209" s="1">
        <v>252924</v>
      </c>
    </row>
    <row r="3210" spans="1:3" x14ac:dyDescent="0.2">
      <c r="A3210" t="s">
        <v>59</v>
      </c>
      <c r="B3210" t="s">
        <v>1662</v>
      </c>
      <c r="C3210" s="1">
        <v>834000</v>
      </c>
    </row>
    <row r="3211" spans="1:3" x14ac:dyDescent="0.2">
      <c r="A3211" t="s">
        <v>59</v>
      </c>
      <c r="B3211" t="s">
        <v>1722</v>
      </c>
      <c r="C3211" s="1">
        <v>59718</v>
      </c>
    </row>
    <row r="3212" spans="1:3" x14ac:dyDescent="0.2">
      <c r="A3212" t="s">
        <v>59</v>
      </c>
      <c r="B3212" t="s">
        <v>1730</v>
      </c>
      <c r="C3212" s="1">
        <v>984365</v>
      </c>
    </row>
    <row r="3213" spans="1:3" x14ac:dyDescent="0.2">
      <c r="A3213" t="s">
        <v>59</v>
      </c>
      <c r="B3213" t="s">
        <v>1731</v>
      </c>
      <c r="C3213" s="1">
        <v>650000</v>
      </c>
    </row>
    <row r="3214" spans="1:3" x14ac:dyDescent="0.2">
      <c r="A3214" t="s">
        <v>59</v>
      </c>
      <c r="B3214" t="s">
        <v>1754</v>
      </c>
      <c r="C3214" s="1">
        <v>1386107.4</v>
      </c>
    </row>
    <row r="3215" spans="1:3" x14ac:dyDescent="0.2">
      <c r="A3215" t="s">
        <v>59</v>
      </c>
      <c r="B3215" t="s">
        <v>1756</v>
      </c>
      <c r="C3215" s="1">
        <v>609106.19999999995</v>
      </c>
    </row>
    <row r="3216" spans="1:3" x14ac:dyDescent="0.2">
      <c r="A3216" t="s">
        <v>59</v>
      </c>
      <c r="B3216" t="s">
        <v>1758</v>
      </c>
      <c r="C3216" s="1">
        <v>187927</v>
      </c>
    </row>
    <row r="3217" spans="1:3" x14ac:dyDescent="0.2">
      <c r="A3217" t="s">
        <v>59</v>
      </c>
      <c r="B3217" t="s">
        <v>1766</v>
      </c>
      <c r="C3217" s="1">
        <v>100000</v>
      </c>
    </row>
    <row r="3218" spans="1:3" x14ac:dyDescent="0.2">
      <c r="A3218" t="s">
        <v>59</v>
      </c>
      <c r="B3218" t="s">
        <v>1813</v>
      </c>
      <c r="C3218" s="1">
        <v>1575146</v>
      </c>
    </row>
    <row r="3219" spans="1:3" x14ac:dyDescent="0.2">
      <c r="A3219" t="s">
        <v>59</v>
      </c>
      <c r="B3219" t="s">
        <v>1864</v>
      </c>
      <c r="C3219" s="1">
        <v>10079436.1</v>
      </c>
    </row>
    <row r="3220" spans="1:3" x14ac:dyDescent="0.2">
      <c r="A3220" t="s">
        <v>59</v>
      </c>
      <c r="B3220" t="s">
        <v>2078</v>
      </c>
      <c r="C3220" s="1">
        <v>600000</v>
      </c>
    </row>
    <row r="3221" spans="1:3" x14ac:dyDescent="0.2">
      <c r="A3221" t="s">
        <v>59</v>
      </c>
      <c r="B3221" t="s">
        <v>2079</v>
      </c>
      <c r="C3221" s="1">
        <v>600000</v>
      </c>
    </row>
    <row r="3222" spans="1:3" x14ac:dyDescent="0.2">
      <c r="A3222" t="s">
        <v>59</v>
      </c>
      <c r="B3222" t="s">
        <v>2099</v>
      </c>
      <c r="C3222" s="1">
        <v>240000</v>
      </c>
    </row>
    <row r="3223" spans="1:3" x14ac:dyDescent="0.2">
      <c r="A3223" t="s">
        <v>59</v>
      </c>
      <c r="B3223" t="s">
        <v>2153</v>
      </c>
      <c r="C3223" s="1">
        <v>611548</v>
      </c>
    </row>
    <row r="3224" spans="1:3" x14ac:dyDescent="0.2">
      <c r="A3224" t="s">
        <v>59</v>
      </c>
      <c r="B3224" t="s">
        <v>2154</v>
      </c>
      <c r="C3224" s="1">
        <v>1885241.5999999901</v>
      </c>
    </row>
    <row r="3225" spans="1:3" x14ac:dyDescent="0.2">
      <c r="A3225" t="s">
        <v>59</v>
      </c>
      <c r="B3225" t="s">
        <v>2156</v>
      </c>
      <c r="C3225" s="1">
        <v>230787</v>
      </c>
    </row>
    <row r="3226" spans="1:3" x14ac:dyDescent="0.2">
      <c r="A3226" t="s">
        <v>59</v>
      </c>
      <c r="B3226" t="s">
        <v>2177</v>
      </c>
      <c r="C3226" s="1">
        <v>1599148.4</v>
      </c>
    </row>
    <row r="3227" spans="1:3" x14ac:dyDescent="0.2">
      <c r="A3227" t="s">
        <v>59</v>
      </c>
      <c r="B3227" t="s">
        <v>2281</v>
      </c>
      <c r="C3227" s="1">
        <v>192606</v>
      </c>
    </row>
    <row r="3228" spans="1:3" x14ac:dyDescent="0.2">
      <c r="A3228" t="s">
        <v>59</v>
      </c>
      <c r="B3228" t="s">
        <v>2476</v>
      </c>
      <c r="C3228" s="1">
        <v>1267663.5</v>
      </c>
    </row>
    <row r="3229" spans="1:3" x14ac:dyDescent="0.2">
      <c r="A3229" t="s">
        <v>59</v>
      </c>
      <c r="B3229" t="s">
        <v>2477</v>
      </c>
      <c r="C3229" s="1">
        <v>19036215.300000001</v>
      </c>
    </row>
    <row r="3230" spans="1:3" x14ac:dyDescent="0.2">
      <c r="A3230" t="s">
        <v>59</v>
      </c>
      <c r="B3230" t="s">
        <v>2530</v>
      </c>
      <c r="C3230" s="1">
        <v>7532075.5999999996</v>
      </c>
    </row>
    <row r="3231" spans="1:3" x14ac:dyDescent="0.2">
      <c r="A3231" t="s">
        <v>59</v>
      </c>
      <c r="B3231" t="s">
        <v>2538</v>
      </c>
      <c r="C3231" s="1">
        <v>260495</v>
      </c>
    </row>
    <row r="3232" spans="1:3" x14ac:dyDescent="0.2">
      <c r="A3232" t="s">
        <v>59</v>
      </c>
      <c r="B3232" t="s">
        <v>2540</v>
      </c>
      <c r="C3232" s="1">
        <v>338994</v>
      </c>
    </row>
    <row r="3233" spans="1:3" x14ac:dyDescent="0.2">
      <c r="A3233" t="s">
        <v>59</v>
      </c>
      <c r="B3233" t="s">
        <v>2541</v>
      </c>
      <c r="C3233" s="1">
        <v>214055</v>
      </c>
    </row>
    <row r="3234" spans="1:3" x14ac:dyDescent="0.2">
      <c r="A3234" t="s">
        <v>59</v>
      </c>
      <c r="B3234" t="s">
        <v>2556</v>
      </c>
      <c r="C3234" s="1">
        <v>13506.5</v>
      </c>
    </row>
    <row r="3235" spans="1:3" x14ac:dyDescent="0.2">
      <c r="A3235" t="s">
        <v>59</v>
      </c>
      <c r="B3235" t="s">
        <v>2639</v>
      </c>
      <c r="C3235" s="1">
        <v>50000</v>
      </c>
    </row>
    <row r="3236" spans="1:3" x14ac:dyDescent="0.2">
      <c r="A3236" t="s">
        <v>59</v>
      </c>
      <c r="B3236" t="s">
        <v>2816</v>
      </c>
      <c r="C3236" s="1">
        <v>1079724.7</v>
      </c>
    </row>
    <row r="3237" spans="1:3" x14ac:dyDescent="0.2">
      <c r="A3237" t="s">
        <v>59</v>
      </c>
      <c r="B3237" t="s">
        <v>2891</v>
      </c>
      <c r="C3237" s="1">
        <v>726130.1</v>
      </c>
    </row>
    <row r="3238" spans="1:3" x14ac:dyDescent="0.2">
      <c r="A3238" t="s">
        <v>59</v>
      </c>
      <c r="B3238" t="s">
        <v>2892</v>
      </c>
      <c r="C3238" s="1">
        <v>82215</v>
      </c>
    </row>
    <row r="3239" spans="1:3" x14ac:dyDescent="0.2">
      <c r="A3239" t="s">
        <v>59</v>
      </c>
      <c r="B3239" t="s">
        <v>2899</v>
      </c>
      <c r="C3239" s="1">
        <v>719367.8</v>
      </c>
    </row>
    <row r="3240" spans="1:3" x14ac:dyDescent="0.2">
      <c r="A3240" t="s">
        <v>819</v>
      </c>
      <c r="B3240" t="s">
        <v>501</v>
      </c>
      <c r="C3240" s="1">
        <v>540000</v>
      </c>
    </row>
    <row r="3241" spans="1:3" x14ac:dyDescent="0.2">
      <c r="A3241" t="s">
        <v>819</v>
      </c>
      <c r="B3241" t="s">
        <v>787</v>
      </c>
      <c r="C3241" s="1">
        <v>3451500</v>
      </c>
    </row>
    <row r="3242" spans="1:3" x14ac:dyDescent="0.2">
      <c r="A3242" t="s">
        <v>819</v>
      </c>
      <c r="B3242" t="s">
        <v>804</v>
      </c>
      <c r="C3242" s="1">
        <v>718408.2</v>
      </c>
    </row>
    <row r="3243" spans="1:3" x14ac:dyDescent="0.2">
      <c r="A3243" t="s">
        <v>819</v>
      </c>
      <c r="B3243" t="s">
        <v>815</v>
      </c>
      <c r="C3243" s="1">
        <v>125000</v>
      </c>
    </row>
    <row r="3244" spans="1:3" x14ac:dyDescent="0.2">
      <c r="A3244" t="s">
        <v>819</v>
      </c>
      <c r="B3244" t="s">
        <v>816</v>
      </c>
      <c r="C3244" s="1">
        <v>165000</v>
      </c>
    </row>
    <row r="3245" spans="1:3" x14ac:dyDescent="0.2">
      <c r="A3245" t="s">
        <v>819</v>
      </c>
      <c r="B3245" t="s">
        <v>817</v>
      </c>
      <c r="C3245" s="1">
        <v>565485.5</v>
      </c>
    </row>
    <row r="3246" spans="1:3" x14ac:dyDescent="0.2">
      <c r="A3246" t="s">
        <v>819</v>
      </c>
      <c r="B3246" t="s">
        <v>818</v>
      </c>
      <c r="C3246" s="1">
        <v>420000</v>
      </c>
    </row>
    <row r="3247" spans="1:3" x14ac:dyDescent="0.2">
      <c r="A3247" t="s">
        <v>819</v>
      </c>
      <c r="B3247" t="s">
        <v>820</v>
      </c>
      <c r="C3247" s="1">
        <v>640000</v>
      </c>
    </row>
    <row r="3248" spans="1:3" x14ac:dyDescent="0.2">
      <c r="A3248" t="s">
        <v>819</v>
      </c>
      <c r="B3248" t="s">
        <v>880</v>
      </c>
      <c r="C3248" s="1">
        <v>120000</v>
      </c>
    </row>
    <row r="3249" spans="1:3" x14ac:dyDescent="0.2">
      <c r="A3249" t="s">
        <v>819</v>
      </c>
      <c r="B3249" t="s">
        <v>894</v>
      </c>
      <c r="C3249" s="1">
        <v>50000</v>
      </c>
    </row>
    <row r="3250" spans="1:3" x14ac:dyDescent="0.2">
      <c r="A3250" t="s">
        <v>819</v>
      </c>
      <c r="B3250" t="s">
        <v>919</v>
      </c>
      <c r="C3250" s="1">
        <v>100000</v>
      </c>
    </row>
    <row r="3251" spans="1:3" x14ac:dyDescent="0.2">
      <c r="A3251" t="s">
        <v>819</v>
      </c>
      <c r="B3251" t="s">
        <v>920</v>
      </c>
      <c r="C3251" s="1">
        <v>140000</v>
      </c>
    </row>
    <row r="3252" spans="1:3" x14ac:dyDescent="0.2">
      <c r="A3252" t="s">
        <v>819</v>
      </c>
      <c r="B3252" t="s">
        <v>942</v>
      </c>
      <c r="C3252" s="1">
        <v>140000</v>
      </c>
    </row>
    <row r="3253" spans="1:3" x14ac:dyDescent="0.2">
      <c r="A3253" t="s">
        <v>819</v>
      </c>
      <c r="B3253" t="s">
        <v>943</v>
      </c>
      <c r="C3253" s="1">
        <v>210000</v>
      </c>
    </row>
    <row r="3254" spans="1:3" x14ac:dyDescent="0.2">
      <c r="A3254" t="s">
        <v>819</v>
      </c>
      <c r="B3254" t="s">
        <v>944</v>
      </c>
      <c r="C3254" s="1">
        <v>140000</v>
      </c>
    </row>
    <row r="3255" spans="1:3" x14ac:dyDescent="0.2">
      <c r="A3255" t="s">
        <v>819</v>
      </c>
      <c r="B3255" t="s">
        <v>945</v>
      </c>
      <c r="C3255" s="1">
        <v>180000</v>
      </c>
    </row>
    <row r="3256" spans="1:3" x14ac:dyDescent="0.2">
      <c r="A3256" t="s">
        <v>819</v>
      </c>
      <c r="B3256" t="s">
        <v>946</v>
      </c>
      <c r="C3256" s="1">
        <v>170000</v>
      </c>
    </row>
    <row r="3257" spans="1:3" x14ac:dyDescent="0.2">
      <c r="A3257" t="s">
        <v>819</v>
      </c>
      <c r="B3257" t="s">
        <v>953</v>
      </c>
      <c r="C3257" s="1">
        <v>140000</v>
      </c>
    </row>
    <row r="3258" spans="1:3" x14ac:dyDescent="0.2">
      <c r="A3258" t="s">
        <v>819</v>
      </c>
      <c r="B3258" t="s">
        <v>956</v>
      </c>
      <c r="C3258" s="1">
        <v>609999.69999999995</v>
      </c>
    </row>
    <row r="3259" spans="1:3" x14ac:dyDescent="0.2">
      <c r="A3259" t="s">
        <v>819</v>
      </c>
      <c r="B3259" t="s">
        <v>957</v>
      </c>
      <c r="C3259" s="1">
        <v>310000</v>
      </c>
    </row>
    <row r="3260" spans="1:3" x14ac:dyDescent="0.2">
      <c r="A3260" t="s">
        <v>819</v>
      </c>
      <c r="B3260" t="s">
        <v>958</v>
      </c>
      <c r="C3260" s="1">
        <v>276364</v>
      </c>
    </row>
    <row r="3261" spans="1:3" x14ac:dyDescent="0.2">
      <c r="A3261" t="s">
        <v>819</v>
      </c>
      <c r="B3261" t="s">
        <v>967</v>
      </c>
      <c r="C3261" s="1">
        <v>130000</v>
      </c>
    </row>
    <row r="3262" spans="1:3" x14ac:dyDescent="0.2">
      <c r="A3262" t="s">
        <v>819</v>
      </c>
      <c r="B3262" t="s">
        <v>992</v>
      </c>
      <c r="C3262" s="1">
        <v>50000</v>
      </c>
    </row>
    <row r="3263" spans="1:3" x14ac:dyDescent="0.2">
      <c r="A3263" t="s">
        <v>819</v>
      </c>
      <c r="B3263" t="s">
        <v>1005</v>
      </c>
      <c r="C3263" s="1">
        <v>50000</v>
      </c>
    </row>
    <row r="3264" spans="1:3" x14ac:dyDescent="0.2">
      <c r="A3264" t="s">
        <v>819</v>
      </c>
      <c r="B3264" t="s">
        <v>1008</v>
      </c>
      <c r="C3264" s="1">
        <v>60000</v>
      </c>
    </row>
    <row r="3265" spans="1:3" x14ac:dyDescent="0.2">
      <c r="A3265" t="s">
        <v>819</v>
      </c>
      <c r="B3265" t="s">
        <v>1170</v>
      </c>
      <c r="C3265" s="1">
        <v>40000</v>
      </c>
    </row>
    <row r="3266" spans="1:3" x14ac:dyDescent="0.2">
      <c r="A3266" t="s">
        <v>819</v>
      </c>
      <c r="B3266" t="s">
        <v>1171</v>
      </c>
      <c r="C3266" s="1">
        <v>25250</v>
      </c>
    </row>
    <row r="3267" spans="1:3" x14ac:dyDescent="0.2">
      <c r="A3267" t="s">
        <v>819</v>
      </c>
      <c r="B3267" t="s">
        <v>1172</v>
      </c>
      <c r="C3267" s="1">
        <v>25000</v>
      </c>
    </row>
    <row r="3268" spans="1:3" x14ac:dyDescent="0.2">
      <c r="A3268" t="s">
        <v>819</v>
      </c>
      <c r="B3268" t="s">
        <v>1173</v>
      </c>
      <c r="C3268" s="1">
        <v>134976</v>
      </c>
    </row>
    <row r="3269" spans="1:3" x14ac:dyDescent="0.2">
      <c r="A3269" t="s">
        <v>819</v>
      </c>
      <c r="B3269" t="s">
        <v>1358</v>
      </c>
      <c r="C3269" s="1">
        <v>280000</v>
      </c>
    </row>
    <row r="3270" spans="1:3" x14ac:dyDescent="0.2">
      <c r="A3270" t="s">
        <v>819</v>
      </c>
      <c r="B3270" t="s">
        <v>1367</v>
      </c>
      <c r="C3270" s="1">
        <v>250000</v>
      </c>
    </row>
    <row r="3271" spans="1:3" x14ac:dyDescent="0.2">
      <c r="A3271" t="s">
        <v>819</v>
      </c>
      <c r="B3271" t="s">
        <v>1385</v>
      </c>
      <c r="C3271" s="1">
        <v>85000</v>
      </c>
    </row>
    <row r="3272" spans="1:3" x14ac:dyDescent="0.2">
      <c r="A3272" t="s">
        <v>819</v>
      </c>
      <c r="B3272" t="s">
        <v>1387</v>
      </c>
      <c r="C3272" s="1">
        <v>345000</v>
      </c>
    </row>
    <row r="3273" spans="1:3" x14ac:dyDescent="0.2">
      <c r="A3273" t="s">
        <v>819</v>
      </c>
      <c r="B3273" t="s">
        <v>1424</v>
      </c>
      <c r="C3273" s="1">
        <v>110000</v>
      </c>
    </row>
    <row r="3274" spans="1:3" x14ac:dyDescent="0.2">
      <c r="A3274" t="s">
        <v>819</v>
      </c>
      <c r="B3274" t="s">
        <v>1431</v>
      </c>
      <c r="C3274" s="1">
        <v>70000</v>
      </c>
    </row>
    <row r="3275" spans="1:3" x14ac:dyDescent="0.2">
      <c r="A3275" t="s">
        <v>819</v>
      </c>
      <c r="B3275" t="s">
        <v>1432</v>
      </c>
      <c r="C3275" s="1">
        <v>340000</v>
      </c>
    </row>
    <row r="3276" spans="1:3" x14ac:dyDescent="0.2">
      <c r="A3276" t="s">
        <v>819</v>
      </c>
      <c r="B3276" t="s">
        <v>1433</v>
      </c>
      <c r="C3276" s="1">
        <v>160000</v>
      </c>
    </row>
    <row r="3277" spans="1:3" x14ac:dyDescent="0.2">
      <c r="A3277" t="s">
        <v>819</v>
      </c>
      <c r="B3277" t="s">
        <v>1434</v>
      </c>
      <c r="C3277" s="1">
        <v>220000</v>
      </c>
    </row>
    <row r="3278" spans="1:3" x14ac:dyDescent="0.2">
      <c r="A3278" t="s">
        <v>819</v>
      </c>
      <c r="B3278" t="s">
        <v>1435</v>
      </c>
      <c r="C3278" s="1">
        <v>210000</v>
      </c>
    </row>
    <row r="3279" spans="1:3" x14ac:dyDescent="0.2">
      <c r="A3279" t="s">
        <v>819</v>
      </c>
      <c r="B3279" t="s">
        <v>1436</v>
      </c>
      <c r="C3279" s="1">
        <v>212090</v>
      </c>
    </row>
    <row r="3280" spans="1:3" x14ac:dyDescent="0.2">
      <c r="A3280" t="s">
        <v>819</v>
      </c>
      <c r="B3280" t="s">
        <v>1437</v>
      </c>
      <c r="C3280" s="1">
        <v>150000</v>
      </c>
    </row>
    <row r="3281" spans="1:3" x14ac:dyDescent="0.2">
      <c r="A3281" t="s">
        <v>819</v>
      </c>
      <c r="B3281" t="s">
        <v>1438</v>
      </c>
      <c r="C3281" s="1">
        <v>170000</v>
      </c>
    </row>
    <row r="3282" spans="1:3" x14ac:dyDescent="0.2">
      <c r="A3282" t="s">
        <v>819</v>
      </c>
      <c r="B3282" t="s">
        <v>1439</v>
      </c>
      <c r="C3282" s="1">
        <v>40000</v>
      </c>
    </row>
    <row r="3283" spans="1:3" x14ac:dyDescent="0.2">
      <c r="A3283" t="s">
        <v>819</v>
      </c>
      <c r="B3283" t="s">
        <v>1441</v>
      </c>
      <c r="C3283" s="1">
        <v>160000</v>
      </c>
    </row>
    <row r="3284" spans="1:3" x14ac:dyDescent="0.2">
      <c r="A3284" t="s">
        <v>819</v>
      </c>
      <c r="B3284" t="s">
        <v>1442</v>
      </c>
      <c r="C3284" s="1">
        <v>100000</v>
      </c>
    </row>
    <row r="3285" spans="1:3" x14ac:dyDescent="0.2">
      <c r="A3285" t="s">
        <v>819</v>
      </c>
      <c r="B3285" t="s">
        <v>1443</v>
      </c>
      <c r="C3285" s="1">
        <v>500000</v>
      </c>
    </row>
    <row r="3286" spans="1:3" x14ac:dyDescent="0.2">
      <c r="A3286" t="s">
        <v>819</v>
      </c>
      <c r="B3286" t="s">
        <v>1444</v>
      </c>
      <c r="C3286" s="1">
        <v>103576</v>
      </c>
    </row>
    <row r="3287" spans="1:3" x14ac:dyDescent="0.2">
      <c r="A3287" t="s">
        <v>819</v>
      </c>
      <c r="B3287" t="s">
        <v>1445</v>
      </c>
      <c r="C3287" s="1">
        <v>170000</v>
      </c>
    </row>
    <row r="3288" spans="1:3" x14ac:dyDescent="0.2">
      <c r="A3288" t="s">
        <v>819</v>
      </c>
      <c r="B3288" t="s">
        <v>1446</v>
      </c>
      <c r="C3288" s="1">
        <v>40000</v>
      </c>
    </row>
    <row r="3289" spans="1:3" x14ac:dyDescent="0.2">
      <c r="A3289" t="s">
        <v>819</v>
      </c>
      <c r="B3289" t="s">
        <v>1447</v>
      </c>
      <c r="C3289" s="1">
        <v>160000</v>
      </c>
    </row>
    <row r="3290" spans="1:3" x14ac:dyDescent="0.2">
      <c r="A3290" t="s">
        <v>819</v>
      </c>
      <c r="B3290" t="s">
        <v>1448</v>
      </c>
      <c r="C3290" s="1">
        <v>140000</v>
      </c>
    </row>
    <row r="3291" spans="1:3" x14ac:dyDescent="0.2">
      <c r="A3291" t="s">
        <v>819</v>
      </c>
      <c r="B3291" t="s">
        <v>1449</v>
      </c>
      <c r="C3291" s="1">
        <v>200000</v>
      </c>
    </row>
    <row r="3292" spans="1:3" x14ac:dyDescent="0.2">
      <c r="A3292" t="s">
        <v>819</v>
      </c>
      <c r="B3292" t="s">
        <v>1450</v>
      </c>
      <c r="C3292" s="1">
        <v>160000</v>
      </c>
    </row>
    <row r="3293" spans="1:3" x14ac:dyDescent="0.2">
      <c r="A3293" t="s">
        <v>819</v>
      </c>
      <c r="B3293" t="s">
        <v>1451</v>
      </c>
      <c r="C3293" s="1">
        <v>80000</v>
      </c>
    </row>
    <row r="3294" spans="1:3" x14ac:dyDescent="0.2">
      <c r="A3294" t="s">
        <v>819</v>
      </c>
      <c r="B3294" t="s">
        <v>1452</v>
      </c>
      <c r="C3294" s="1">
        <v>80000</v>
      </c>
    </row>
    <row r="3295" spans="1:3" x14ac:dyDescent="0.2">
      <c r="A3295" t="s">
        <v>819</v>
      </c>
      <c r="B3295" t="s">
        <v>1453</v>
      </c>
      <c r="C3295" s="1">
        <v>220000</v>
      </c>
    </row>
    <row r="3296" spans="1:3" x14ac:dyDescent="0.2">
      <c r="A3296" t="s">
        <v>819</v>
      </c>
      <c r="B3296" t="s">
        <v>1454</v>
      </c>
      <c r="C3296" s="1">
        <v>200000</v>
      </c>
    </row>
    <row r="3297" spans="1:3" x14ac:dyDescent="0.2">
      <c r="A3297" t="s">
        <v>819</v>
      </c>
      <c r="B3297" t="s">
        <v>1455</v>
      </c>
      <c r="C3297" s="1">
        <v>90000</v>
      </c>
    </row>
    <row r="3298" spans="1:3" x14ac:dyDescent="0.2">
      <c r="A3298" t="s">
        <v>819</v>
      </c>
      <c r="B3298" t="s">
        <v>1456</v>
      </c>
      <c r="C3298" s="1">
        <v>215000</v>
      </c>
    </row>
    <row r="3299" spans="1:3" x14ac:dyDescent="0.2">
      <c r="A3299" t="s">
        <v>819</v>
      </c>
      <c r="B3299" t="s">
        <v>1457</v>
      </c>
      <c r="C3299" s="1">
        <v>120000</v>
      </c>
    </row>
    <row r="3300" spans="1:3" x14ac:dyDescent="0.2">
      <c r="A3300" t="s">
        <v>819</v>
      </c>
      <c r="B3300" t="s">
        <v>1458</v>
      </c>
      <c r="C3300" s="1">
        <v>160000</v>
      </c>
    </row>
    <row r="3301" spans="1:3" x14ac:dyDescent="0.2">
      <c r="A3301" t="s">
        <v>819</v>
      </c>
      <c r="B3301" t="s">
        <v>1459</v>
      </c>
      <c r="C3301" s="1">
        <v>72728</v>
      </c>
    </row>
    <row r="3302" spans="1:3" x14ac:dyDescent="0.2">
      <c r="A3302" t="s">
        <v>819</v>
      </c>
      <c r="B3302" t="s">
        <v>1460</v>
      </c>
      <c r="C3302" s="1">
        <v>40000</v>
      </c>
    </row>
    <row r="3303" spans="1:3" x14ac:dyDescent="0.2">
      <c r="A3303" t="s">
        <v>819</v>
      </c>
      <c r="B3303" t="s">
        <v>1461</v>
      </c>
      <c r="C3303" s="1">
        <v>85000</v>
      </c>
    </row>
    <row r="3304" spans="1:3" x14ac:dyDescent="0.2">
      <c r="A3304" t="s">
        <v>819</v>
      </c>
      <c r="B3304" t="s">
        <v>1462</v>
      </c>
      <c r="C3304" s="1">
        <v>60000</v>
      </c>
    </row>
    <row r="3305" spans="1:3" x14ac:dyDescent="0.2">
      <c r="A3305" t="s">
        <v>819</v>
      </c>
      <c r="B3305" t="s">
        <v>1463</v>
      </c>
      <c r="C3305" s="1">
        <v>40000</v>
      </c>
    </row>
    <row r="3306" spans="1:3" x14ac:dyDescent="0.2">
      <c r="A3306" t="s">
        <v>819</v>
      </c>
      <c r="B3306" t="s">
        <v>1464</v>
      </c>
      <c r="C3306" s="1">
        <v>100000</v>
      </c>
    </row>
    <row r="3307" spans="1:3" x14ac:dyDescent="0.2">
      <c r="A3307" t="s">
        <v>819</v>
      </c>
      <c r="B3307" t="s">
        <v>1465</v>
      </c>
      <c r="C3307" s="1">
        <v>136804</v>
      </c>
    </row>
    <row r="3308" spans="1:3" x14ac:dyDescent="0.2">
      <c r="A3308" t="s">
        <v>819</v>
      </c>
      <c r="B3308" t="s">
        <v>1466</v>
      </c>
      <c r="C3308" s="1">
        <v>200000</v>
      </c>
    </row>
    <row r="3309" spans="1:3" x14ac:dyDescent="0.2">
      <c r="A3309" t="s">
        <v>819</v>
      </c>
      <c r="B3309" t="s">
        <v>1467</v>
      </c>
      <c r="C3309" s="1">
        <v>20000</v>
      </c>
    </row>
    <row r="3310" spans="1:3" x14ac:dyDescent="0.2">
      <c r="A3310" t="s">
        <v>819</v>
      </c>
      <c r="B3310" t="s">
        <v>1609</v>
      </c>
      <c r="C3310" s="1">
        <v>80000</v>
      </c>
    </row>
    <row r="3311" spans="1:3" x14ac:dyDescent="0.2">
      <c r="A3311" t="s">
        <v>819</v>
      </c>
      <c r="B3311" t="s">
        <v>1610</v>
      </c>
      <c r="C3311" s="1">
        <v>100000</v>
      </c>
    </row>
    <row r="3312" spans="1:3" x14ac:dyDescent="0.2">
      <c r="A3312" t="s">
        <v>819</v>
      </c>
      <c r="B3312" t="s">
        <v>1651</v>
      </c>
      <c r="C3312" s="1">
        <v>125000</v>
      </c>
    </row>
    <row r="3313" spans="1:3" x14ac:dyDescent="0.2">
      <c r="A3313" t="s">
        <v>819</v>
      </c>
      <c r="B3313" t="s">
        <v>1789</v>
      </c>
      <c r="C3313" s="1">
        <v>100000</v>
      </c>
    </row>
    <row r="3314" spans="1:3" x14ac:dyDescent="0.2">
      <c r="A3314" t="s">
        <v>819</v>
      </c>
      <c r="B3314" t="s">
        <v>1834</v>
      </c>
      <c r="C3314" s="1">
        <v>362254.8</v>
      </c>
    </row>
    <row r="3315" spans="1:3" x14ac:dyDescent="0.2">
      <c r="A3315" t="s">
        <v>819</v>
      </c>
      <c r="B3315" t="s">
        <v>1835</v>
      </c>
      <c r="C3315" s="1">
        <v>515130.2</v>
      </c>
    </row>
    <row r="3316" spans="1:3" x14ac:dyDescent="0.2">
      <c r="A3316" t="s">
        <v>819</v>
      </c>
      <c r="B3316" t="s">
        <v>1836</v>
      </c>
      <c r="C3316" s="1">
        <v>293937.3</v>
      </c>
    </row>
    <row r="3317" spans="1:3" x14ac:dyDescent="0.2">
      <c r="A3317" t="s">
        <v>819</v>
      </c>
      <c r="B3317" t="s">
        <v>1956</v>
      </c>
      <c r="C3317" s="1">
        <v>199610.2</v>
      </c>
    </row>
    <row r="3318" spans="1:3" x14ac:dyDescent="0.2">
      <c r="A3318" t="s">
        <v>819</v>
      </c>
      <c r="B3318" t="s">
        <v>2123</v>
      </c>
      <c r="C3318" s="1">
        <v>90000</v>
      </c>
    </row>
    <row r="3319" spans="1:3" x14ac:dyDescent="0.2">
      <c r="A3319" t="s">
        <v>819</v>
      </c>
      <c r="B3319" t="s">
        <v>2172</v>
      </c>
      <c r="C3319" s="1">
        <v>80000</v>
      </c>
    </row>
    <row r="3320" spans="1:3" x14ac:dyDescent="0.2">
      <c r="A3320" t="s">
        <v>819</v>
      </c>
      <c r="B3320" t="s">
        <v>2505</v>
      </c>
      <c r="C3320" s="1">
        <v>50000</v>
      </c>
    </row>
    <row r="3321" spans="1:3" x14ac:dyDescent="0.2">
      <c r="A3321" t="s">
        <v>819</v>
      </c>
      <c r="B3321" t="s">
        <v>2507</v>
      </c>
      <c r="C3321" s="1">
        <v>50000</v>
      </c>
    </row>
    <row r="3322" spans="1:3" x14ac:dyDescent="0.2">
      <c r="A3322" t="s">
        <v>819</v>
      </c>
      <c r="B3322" t="s">
        <v>2508</v>
      </c>
      <c r="C3322" s="1">
        <v>110000</v>
      </c>
    </row>
    <row r="3323" spans="1:3" x14ac:dyDescent="0.2">
      <c r="A3323" t="s">
        <v>819</v>
      </c>
      <c r="B3323" t="s">
        <v>2509</v>
      </c>
      <c r="C3323" s="1">
        <v>50000</v>
      </c>
    </row>
    <row r="3324" spans="1:3" x14ac:dyDescent="0.2">
      <c r="A3324" t="s">
        <v>825</v>
      </c>
      <c r="B3324" t="s">
        <v>548</v>
      </c>
      <c r="C3324" s="1">
        <v>759071</v>
      </c>
    </row>
    <row r="3325" spans="1:3" x14ac:dyDescent="0.2">
      <c r="A3325" t="s">
        <v>825</v>
      </c>
      <c r="B3325" t="s">
        <v>701</v>
      </c>
      <c r="C3325" s="1">
        <v>850306</v>
      </c>
    </row>
    <row r="3326" spans="1:3" x14ac:dyDescent="0.2">
      <c r="A3326" t="s">
        <v>825</v>
      </c>
      <c r="B3326" t="s">
        <v>717</v>
      </c>
      <c r="C3326" s="1">
        <v>144000</v>
      </c>
    </row>
    <row r="3327" spans="1:3" x14ac:dyDescent="0.2">
      <c r="A3327" t="s">
        <v>825</v>
      </c>
      <c r="B3327" t="s">
        <v>726</v>
      </c>
      <c r="C3327" s="1">
        <v>1551795.5</v>
      </c>
    </row>
    <row r="3328" spans="1:3" x14ac:dyDescent="0.2">
      <c r="A3328" t="s">
        <v>825</v>
      </c>
      <c r="B3328" t="s">
        <v>749</v>
      </c>
      <c r="C3328" s="1">
        <v>304145.5</v>
      </c>
    </row>
    <row r="3329" spans="1:3" x14ac:dyDescent="0.2">
      <c r="A3329" t="s">
        <v>825</v>
      </c>
      <c r="B3329" t="s">
        <v>771</v>
      </c>
      <c r="C3329" s="1">
        <v>20226356.600000001</v>
      </c>
    </row>
    <row r="3330" spans="1:3" x14ac:dyDescent="0.2">
      <c r="A3330" t="s">
        <v>825</v>
      </c>
      <c r="B3330" t="s">
        <v>809</v>
      </c>
      <c r="C3330" s="1">
        <v>408752.3</v>
      </c>
    </row>
    <row r="3331" spans="1:3" x14ac:dyDescent="0.2">
      <c r="A3331" t="s">
        <v>825</v>
      </c>
      <c r="B3331" t="s">
        <v>812</v>
      </c>
      <c r="C3331" s="1">
        <v>430219.2</v>
      </c>
    </row>
    <row r="3332" spans="1:3" x14ac:dyDescent="0.2">
      <c r="A3332" t="s">
        <v>825</v>
      </c>
      <c r="B3332" t="s">
        <v>818</v>
      </c>
      <c r="C3332" s="1">
        <v>238133.09999999998</v>
      </c>
    </row>
    <row r="3333" spans="1:3" x14ac:dyDescent="0.2">
      <c r="A3333" t="s">
        <v>825</v>
      </c>
      <c r="B3333" t="s">
        <v>822</v>
      </c>
      <c r="C3333" s="1">
        <v>755389.9</v>
      </c>
    </row>
    <row r="3334" spans="1:3" x14ac:dyDescent="0.2">
      <c r="A3334" t="s">
        <v>825</v>
      </c>
      <c r="B3334" t="s">
        <v>850</v>
      </c>
      <c r="C3334" s="1">
        <v>171960</v>
      </c>
    </row>
    <row r="3335" spans="1:3" x14ac:dyDescent="0.2">
      <c r="A3335" t="s">
        <v>825</v>
      </c>
      <c r="B3335" t="s">
        <v>857</v>
      </c>
      <c r="C3335" s="1">
        <v>376166</v>
      </c>
    </row>
    <row r="3336" spans="1:3" x14ac:dyDescent="0.2">
      <c r="A3336" t="s">
        <v>825</v>
      </c>
      <c r="B3336" t="s">
        <v>877</v>
      </c>
      <c r="C3336" s="1">
        <v>350000</v>
      </c>
    </row>
    <row r="3337" spans="1:3" x14ac:dyDescent="0.2">
      <c r="A3337" t="s">
        <v>825</v>
      </c>
      <c r="B3337" t="s">
        <v>880</v>
      </c>
      <c r="C3337" s="1">
        <v>959486.9</v>
      </c>
    </row>
    <row r="3338" spans="1:3" x14ac:dyDescent="0.2">
      <c r="A3338" t="s">
        <v>825</v>
      </c>
      <c r="B3338" t="s">
        <v>882</v>
      </c>
      <c r="C3338" s="1">
        <v>8399286.1999999993</v>
      </c>
    </row>
    <row r="3339" spans="1:3" x14ac:dyDescent="0.2">
      <c r="A3339" t="s">
        <v>825</v>
      </c>
      <c r="B3339" t="s">
        <v>892</v>
      </c>
      <c r="C3339" s="1">
        <v>342540</v>
      </c>
    </row>
    <row r="3340" spans="1:3" x14ac:dyDescent="0.2">
      <c r="A3340" t="s">
        <v>825</v>
      </c>
      <c r="B3340" t="s">
        <v>900</v>
      </c>
      <c r="C3340" s="1">
        <v>1145490.3</v>
      </c>
    </row>
    <row r="3341" spans="1:3" x14ac:dyDescent="0.2">
      <c r="A3341" t="s">
        <v>825</v>
      </c>
      <c r="B3341" t="s">
        <v>919</v>
      </c>
      <c r="C3341" s="1">
        <v>702389.7</v>
      </c>
    </row>
    <row r="3342" spans="1:3" x14ac:dyDescent="0.2">
      <c r="A3342" t="s">
        <v>825</v>
      </c>
      <c r="B3342" t="s">
        <v>920</v>
      </c>
      <c r="C3342" s="1">
        <v>144000</v>
      </c>
    </row>
    <row r="3343" spans="1:3" x14ac:dyDescent="0.2">
      <c r="A3343" t="s">
        <v>825</v>
      </c>
      <c r="B3343" t="s">
        <v>926</v>
      </c>
      <c r="C3343" s="1">
        <v>501941.60000000003</v>
      </c>
    </row>
    <row r="3344" spans="1:3" x14ac:dyDescent="0.2">
      <c r="A3344" t="s">
        <v>825</v>
      </c>
      <c r="B3344" t="s">
        <v>929</v>
      </c>
      <c r="C3344" s="1">
        <v>153600</v>
      </c>
    </row>
    <row r="3345" spans="1:3" x14ac:dyDescent="0.2">
      <c r="A3345" t="s">
        <v>825</v>
      </c>
      <c r="B3345" t="s">
        <v>936</v>
      </c>
      <c r="C3345" s="1">
        <v>1033392.4</v>
      </c>
    </row>
    <row r="3346" spans="1:3" x14ac:dyDescent="0.2">
      <c r="A3346" t="s">
        <v>825</v>
      </c>
      <c r="B3346" t="s">
        <v>942</v>
      </c>
      <c r="C3346" s="1">
        <v>816550</v>
      </c>
    </row>
    <row r="3347" spans="1:3" x14ac:dyDescent="0.2">
      <c r="A3347" t="s">
        <v>825</v>
      </c>
      <c r="B3347" t="s">
        <v>945</v>
      </c>
      <c r="C3347" s="1">
        <v>752321.1</v>
      </c>
    </row>
    <row r="3348" spans="1:3" x14ac:dyDescent="0.2">
      <c r="A3348" t="s">
        <v>825</v>
      </c>
      <c r="B3348" t="s">
        <v>948</v>
      </c>
      <c r="C3348" s="1">
        <v>1191287.6000000001</v>
      </c>
    </row>
    <row r="3349" spans="1:3" x14ac:dyDescent="0.2">
      <c r="A3349" t="s">
        <v>825</v>
      </c>
      <c r="B3349" t="s">
        <v>949</v>
      </c>
      <c r="C3349" s="1">
        <v>917796.5</v>
      </c>
    </row>
    <row r="3350" spans="1:3" x14ac:dyDescent="0.2">
      <c r="A3350" t="s">
        <v>825</v>
      </c>
      <c r="B3350" t="s">
        <v>950</v>
      </c>
      <c r="C3350" s="1">
        <v>491303.8</v>
      </c>
    </row>
    <row r="3351" spans="1:3" x14ac:dyDescent="0.2">
      <c r="A3351" t="s">
        <v>825</v>
      </c>
      <c r="B3351" t="s">
        <v>951</v>
      </c>
      <c r="C3351" s="1">
        <v>441119.3</v>
      </c>
    </row>
    <row r="3352" spans="1:3" x14ac:dyDescent="0.2">
      <c r="A3352" t="s">
        <v>825</v>
      </c>
      <c r="B3352" t="s">
        <v>952</v>
      </c>
      <c r="C3352" s="1">
        <v>414108.6</v>
      </c>
    </row>
    <row r="3353" spans="1:3" x14ac:dyDescent="0.2">
      <c r="A3353" t="s">
        <v>825</v>
      </c>
      <c r="B3353" t="s">
        <v>953</v>
      </c>
      <c r="C3353" s="1">
        <v>367806.1</v>
      </c>
    </row>
    <row r="3354" spans="1:3" x14ac:dyDescent="0.2">
      <c r="A3354" t="s">
        <v>825</v>
      </c>
      <c r="B3354" t="s">
        <v>954</v>
      </c>
      <c r="C3354" s="1">
        <v>305750</v>
      </c>
    </row>
    <row r="3355" spans="1:3" x14ac:dyDescent="0.2">
      <c r="A3355" t="s">
        <v>825</v>
      </c>
      <c r="B3355" t="s">
        <v>955</v>
      </c>
      <c r="C3355" s="1">
        <v>538565</v>
      </c>
    </row>
    <row r="3356" spans="1:3" x14ac:dyDescent="0.2">
      <c r="A3356" t="s">
        <v>825</v>
      </c>
      <c r="B3356" t="s">
        <v>956</v>
      </c>
      <c r="C3356" s="1">
        <v>1207405.3999999999</v>
      </c>
    </row>
    <row r="3357" spans="1:3" x14ac:dyDescent="0.2">
      <c r="A3357" t="s">
        <v>825</v>
      </c>
      <c r="B3357" t="s">
        <v>957</v>
      </c>
      <c r="C3357" s="1">
        <v>621723</v>
      </c>
    </row>
    <row r="3358" spans="1:3" x14ac:dyDescent="0.2">
      <c r="A3358" t="s">
        <v>825</v>
      </c>
      <c r="B3358" t="s">
        <v>958</v>
      </c>
      <c r="C3358" s="1">
        <v>398736.5</v>
      </c>
    </row>
    <row r="3359" spans="1:3" x14ac:dyDescent="0.2">
      <c r="A3359" t="s">
        <v>825</v>
      </c>
      <c r="B3359" t="s">
        <v>959</v>
      </c>
      <c r="C3359" s="1">
        <v>248174.4</v>
      </c>
    </row>
    <row r="3360" spans="1:3" x14ac:dyDescent="0.2">
      <c r="A3360" t="s">
        <v>825</v>
      </c>
      <c r="B3360" t="s">
        <v>960</v>
      </c>
      <c r="C3360" s="1">
        <v>1019637.899999999</v>
      </c>
    </row>
    <row r="3361" spans="1:3" x14ac:dyDescent="0.2">
      <c r="A3361" t="s">
        <v>825</v>
      </c>
      <c r="B3361" t="s">
        <v>961</v>
      </c>
      <c r="C3361" s="1">
        <v>673196</v>
      </c>
    </row>
    <row r="3362" spans="1:3" x14ac:dyDescent="0.2">
      <c r="A3362" t="s">
        <v>825</v>
      </c>
      <c r="B3362" t="s">
        <v>964</v>
      </c>
      <c r="C3362" s="1">
        <v>18007794</v>
      </c>
    </row>
    <row r="3363" spans="1:3" x14ac:dyDescent="0.2">
      <c r="A3363" t="s">
        <v>825</v>
      </c>
      <c r="B3363" t="s">
        <v>965</v>
      </c>
      <c r="C3363" s="1">
        <v>5606160.1999999993</v>
      </c>
    </row>
    <row r="3364" spans="1:3" x14ac:dyDescent="0.2">
      <c r="A3364" t="s">
        <v>825</v>
      </c>
      <c r="B3364" t="s">
        <v>966</v>
      </c>
      <c r="C3364" s="1">
        <v>1409000</v>
      </c>
    </row>
    <row r="3365" spans="1:3" x14ac:dyDescent="0.2">
      <c r="A3365" t="s">
        <v>825</v>
      </c>
      <c r="B3365" t="s">
        <v>971</v>
      </c>
      <c r="C3365" s="1">
        <v>1121000</v>
      </c>
    </row>
    <row r="3366" spans="1:3" x14ac:dyDescent="0.2">
      <c r="A3366" t="s">
        <v>825</v>
      </c>
      <c r="B3366" t="s">
        <v>975</v>
      </c>
      <c r="C3366" s="1">
        <v>1098820.8999999999</v>
      </c>
    </row>
    <row r="3367" spans="1:3" x14ac:dyDescent="0.2">
      <c r="A3367" t="s">
        <v>825</v>
      </c>
      <c r="B3367" t="s">
        <v>977</v>
      </c>
      <c r="C3367" s="1">
        <v>475584</v>
      </c>
    </row>
    <row r="3368" spans="1:3" x14ac:dyDescent="0.2">
      <c r="A3368" t="s">
        <v>825</v>
      </c>
      <c r="B3368" t="s">
        <v>1027</v>
      </c>
      <c r="C3368" s="1">
        <v>347105</v>
      </c>
    </row>
    <row r="3369" spans="1:3" x14ac:dyDescent="0.2">
      <c r="A3369" t="s">
        <v>825</v>
      </c>
      <c r="B3369" t="s">
        <v>1035</v>
      </c>
      <c r="C3369" s="1">
        <v>5591177.1000000006</v>
      </c>
    </row>
    <row r="3370" spans="1:3" x14ac:dyDescent="0.2">
      <c r="A3370" t="s">
        <v>825</v>
      </c>
      <c r="B3370" t="s">
        <v>1096</v>
      </c>
      <c r="C3370" s="1">
        <v>180000</v>
      </c>
    </row>
    <row r="3371" spans="1:3" x14ac:dyDescent="0.2">
      <c r="A3371" t="s">
        <v>825</v>
      </c>
      <c r="B3371" t="s">
        <v>1505</v>
      </c>
      <c r="C3371" s="1">
        <v>1153843.6000000001</v>
      </c>
    </row>
    <row r="3372" spans="1:3" x14ac:dyDescent="0.2">
      <c r="A3372" t="s">
        <v>825</v>
      </c>
      <c r="B3372" t="s">
        <v>1510</v>
      </c>
      <c r="C3372" s="1">
        <v>34125</v>
      </c>
    </row>
    <row r="3373" spans="1:3" x14ac:dyDescent="0.2">
      <c r="A3373" t="s">
        <v>825</v>
      </c>
      <c r="B3373" t="s">
        <v>1511</v>
      </c>
      <c r="C3373" s="1">
        <v>45499.9</v>
      </c>
    </row>
    <row r="3374" spans="1:3" x14ac:dyDescent="0.2">
      <c r="A3374" t="s">
        <v>825</v>
      </c>
      <c r="B3374" t="s">
        <v>1516</v>
      </c>
      <c r="C3374" s="1">
        <v>679000</v>
      </c>
    </row>
    <row r="3375" spans="1:3" x14ac:dyDescent="0.2">
      <c r="A3375" t="s">
        <v>825</v>
      </c>
      <c r="B3375" t="s">
        <v>1534</v>
      </c>
      <c r="C3375" s="1">
        <v>450000</v>
      </c>
    </row>
    <row r="3376" spans="1:3" x14ac:dyDescent="0.2">
      <c r="A3376" t="s">
        <v>825</v>
      </c>
      <c r="B3376" t="s">
        <v>1544</v>
      </c>
      <c r="C3376" s="1">
        <v>37063.5</v>
      </c>
    </row>
    <row r="3377" spans="1:3" x14ac:dyDescent="0.2">
      <c r="A3377" t="s">
        <v>825</v>
      </c>
      <c r="B3377" t="s">
        <v>1547</v>
      </c>
      <c r="C3377" s="1">
        <v>619753.1</v>
      </c>
    </row>
    <row r="3378" spans="1:3" x14ac:dyDescent="0.2">
      <c r="A3378" t="s">
        <v>825</v>
      </c>
      <c r="B3378" t="s">
        <v>1611</v>
      </c>
      <c r="C3378" s="1">
        <v>331080</v>
      </c>
    </row>
    <row r="3379" spans="1:3" x14ac:dyDescent="0.2">
      <c r="A3379" t="s">
        <v>825</v>
      </c>
      <c r="B3379" t="s">
        <v>1840</v>
      </c>
      <c r="C3379" s="1">
        <v>866390.7</v>
      </c>
    </row>
    <row r="3380" spans="1:3" x14ac:dyDescent="0.2">
      <c r="A3380" t="s">
        <v>825</v>
      </c>
      <c r="B3380" t="s">
        <v>2064</v>
      </c>
      <c r="C3380" s="1">
        <v>118780.5</v>
      </c>
    </row>
    <row r="3381" spans="1:3" x14ac:dyDescent="0.2">
      <c r="A3381" t="s">
        <v>825</v>
      </c>
      <c r="B3381" t="s">
        <v>2065</v>
      </c>
      <c r="C3381" s="1">
        <v>240000</v>
      </c>
    </row>
    <row r="3382" spans="1:3" x14ac:dyDescent="0.2">
      <c r="A3382" t="s">
        <v>825</v>
      </c>
      <c r="B3382" t="s">
        <v>2862</v>
      </c>
      <c r="C3382" s="1">
        <v>450000</v>
      </c>
    </row>
    <row r="3383" spans="1:3" x14ac:dyDescent="0.2">
      <c r="A3383" t="s">
        <v>825</v>
      </c>
      <c r="B3383" t="s">
        <v>2864</v>
      </c>
      <c r="C3383" s="1">
        <v>100000</v>
      </c>
    </row>
    <row r="3384" spans="1:3" x14ac:dyDescent="0.2">
      <c r="A3384" t="s">
        <v>825</v>
      </c>
      <c r="B3384" t="s">
        <v>2865</v>
      </c>
      <c r="C3384" s="1">
        <v>300000</v>
      </c>
    </row>
    <row r="3385" spans="1:3" x14ac:dyDescent="0.2">
      <c r="A3385" t="s">
        <v>825</v>
      </c>
      <c r="B3385" t="s">
        <v>2882</v>
      </c>
      <c r="C3385" s="1">
        <v>10279000</v>
      </c>
    </row>
    <row r="3386" spans="1:3" x14ac:dyDescent="0.2">
      <c r="A3386" t="s">
        <v>825</v>
      </c>
      <c r="B3386" t="s">
        <v>2883</v>
      </c>
      <c r="C3386" s="1">
        <v>600000</v>
      </c>
    </row>
    <row r="3387" spans="1:3" x14ac:dyDescent="0.2">
      <c r="A3387" t="s">
        <v>891</v>
      </c>
      <c r="B3387" t="s">
        <v>692</v>
      </c>
      <c r="C3387" s="1">
        <v>9783960.0999999996</v>
      </c>
    </row>
    <row r="3388" spans="1:3" x14ac:dyDescent="0.2">
      <c r="A3388" t="s">
        <v>891</v>
      </c>
      <c r="B3388" t="s">
        <v>837</v>
      </c>
      <c r="C3388" s="1">
        <v>2211897.5</v>
      </c>
    </row>
    <row r="3389" spans="1:3" x14ac:dyDescent="0.2">
      <c r="A3389" t="s">
        <v>891</v>
      </c>
      <c r="B3389" t="s">
        <v>892</v>
      </c>
      <c r="C3389" s="1">
        <v>1935132.7999999998</v>
      </c>
    </row>
    <row r="3390" spans="1:3" x14ac:dyDescent="0.2">
      <c r="A3390" t="s">
        <v>891</v>
      </c>
      <c r="B3390" t="s">
        <v>893</v>
      </c>
      <c r="C3390" s="1">
        <v>6893157.8999999994</v>
      </c>
    </row>
    <row r="3391" spans="1:3" x14ac:dyDescent="0.2">
      <c r="A3391" t="s">
        <v>891</v>
      </c>
      <c r="B3391" t="s">
        <v>904</v>
      </c>
      <c r="C3391" s="1">
        <v>7692351.5</v>
      </c>
    </row>
    <row r="3392" spans="1:3" x14ac:dyDescent="0.2">
      <c r="A3392" t="s">
        <v>891</v>
      </c>
      <c r="B3392" t="s">
        <v>905</v>
      </c>
      <c r="C3392" s="1">
        <v>1624009.1</v>
      </c>
    </row>
    <row r="3393" spans="1:3" x14ac:dyDescent="0.2">
      <c r="A3393" t="s">
        <v>1565</v>
      </c>
      <c r="B3393" t="s">
        <v>1449</v>
      </c>
      <c r="C3393" s="1">
        <v>25000</v>
      </c>
    </row>
    <row r="3394" spans="1:3" x14ac:dyDescent="0.2">
      <c r="A3394" t="s">
        <v>1592</v>
      </c>
      <c r="B3394" t="s">
        <v>1474</v>
      </c>
      <c r="C3394" s="1">
        <v>17995</v>
      </c>
    </row>
    <row r="3395" spans="1:3" x14ac:dyDescent="0.2">
      <c r="A3395" t="s">
        <v>2157</v>
      </c>
      <c r="B3395" t="s">
        <v>795</v>
      </c>
      <c r="C3395" s="1">
        <v>94625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F87E-7A17-0542-8D15-D353D14E36B0}">
  <dimension ref="A3:D7"/>
  <sheetViews>
    <sheetView workbookViewId="0">
      <selection activeCell="F9" sqref="F9"/>
    </sheetView>
  </sheetViews>
  <sheetFormatPr baseColWidth="10" defaultRowHeight="16" x14ac:dyDescent="0.2"/>
  <cols>
    <col min="1" max="1" width="10.5" bestFit="1" customWidth="1"/>
    <col min="2" max="2" width="14.6640625" bestFit="1" customWidth="1"/>
    <col min="3" max="3" width="9.5" bestFit="1" customWidth="1"/>
  </cols>
  <sheetData>
    <row r="3" spans="1:4" x14ac:dyDescent="0.2">
      <c r="A3" s="3" t="s">
        <v>6</v>
      </c>
      <c r="B3" t="s">
        <v>636</v>
      </c>
      <c r="C3" t="s">
        <v>656</v>
      </c>
    </row>
    <row r="4" spans="1:4" x14ac:dyDescent="0.2">
      <c r="A4" s="4">
        <v>2023</v>
      </c>
      <c r="B4" s="1">
        <v>20345188002.500011</v>
      </c>
      <c r="C4" s="10">
        <v>4919</v>
      </c>
      <c r="D4" t="s">
        <v>2903</v>
      </c>
    </row>
    <row r="5" spans="1:4" x14ac:dyDescent="0.2">
      <c r="A5" s="4">
        <v>2024</v>
      </c>
      <c r="B5" s="1">
        <v>7697342597.5000076</v>
      </c>
      <c r="C5" s="10">
        <v>3316</v>
      </c>
    </row>
    <row r="6" spans="1:4" x14ac:dyDescent="0.2">
      <c r="A6" s="4">
        <v>2025</v>
      </c>
      <c r="B6" s="1">
        <v>6947122409.2999964</v>
      </c>
      <c r="C6" s="10">
        <v>3173</v>
      </c>
    </row>
    <row r="7" spans="1:4" x14ac:dyDescent="0.2">
      <c r="A7" s="4" t="s">
        <v>634</v>
      </c>
      <c r="B7" s="1">
        <v>34989653009.299973</v>
      </c>
      <c r="C7" s="10">
        <v>11408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64A6-E541-324B-9186-8F95B57D4F91}">
  <dimension ref="A1:F37"/>
  <sheetViews>
    <sheetView zoomScale="83" zoomScaleNormal="132" workbookViewId="0">
      <selection activeCell="F41" sqref="F41"/>
    </sheetView>
  </sheetViews>
  <sheetFormatPr baseColWidth="10" defaultRowHeight="16" x14ac:dyDescent="0.2"/>
  <cols>
    <col min="1" max="1" width="54.83203125" bestFit="1" customWidth="1"/>
    <col min="2" max="2" width="17.1640625" style="7" customWidth="1"/>
    <col min="3" max="3" width="18" style="7" bestFit="1" customWidth="1"/>
    <col min="4" max="4" width="17.6640625" style="5" bestFit="1" customWidth="1"/>
    <col min="5" max="5" width="44.33203125" bestFit="1" customWidth="1"/>
    <col min="6" max="6" width="10.5" bestFit="1" customWidth="1"/>
  </cols>
  <sheetData>
    <row r="1" spans="1:6" x14ac:dyDescent="0.2">
      <c r="A1" t="s">
        <v>3</v>
      </c>
      <c r="B1" s="7" t="s">
        <v>646</v>
      </c>
      <c r="C1" s="7" t="s">
        <v>647</v>
      </c>
      <c r="D1" s="5" t="s">
        <v>648</v>
      </c>
      <c r="E1" t="s">
        <v>649</v>
      </c>
      <c r="F1" t="s">
        <v>650</v>
      </c>
    </row>
    <row r="2" spans="1:6" hidden="1" x14ac:dyDescent="0.2">
      <c r="A2" t="s">
        <v>241</v>
      </c>
      <c r="B2">
        <v>83688</v>
      </c>
      <c r="C2">
        <v>83688</v>
      </c>
      <c r="D2">
        <v>1</v>
      </c>
      <c r="E2" t="s">
        <v>240</v>
      </c>
      <c r="F2">
        <v>1</v>
      </c>
    </row>
    <row r="3" spans="1:6" x14ac:dyDescent="0.2">
      <c r="A3" t="s">
        <v>510</v>
      </c>
      <c r="B3" s="7">
        <v>1950399.3</v>
      </c>
      <c r="C3" s="7">
        <v>1950399.3</v>
      </c>
      <c r="D3" s="5">
        <v>1</v>
      </c>
      <c r="E3" t="s">
        <v>509</v>
      </c>
      <c r="F3">
        <v>1</v>
      </c>
    </row>
    <row r="4" spans="1:6" ht="41" hidden="1" x14ac:dyDescent="0.2">
      <c r="A4" t="s">
        <v>432</v>
      </c>
      <c r="B4">
        <v>1479.8</v>
      </c>
      <c r="C4">
        <v>1479.8</v>
      </c>
      <c r="D4">
        <v>1</v>
      </c>
      <c r="E4" t="s">
        <v>255</v>
      </c>
      <c r="F4">
        <v>1</v>
      </c>
    </row>
    <row r="5" spans="1:6" x14ac:dyDescent="0.2">
      <c r="A5" t="s">
        <v>262</v>
      </c>
      <c r="B5" s="7">
        <v>33000000</v>
      </c>
      <c r="C5" s="7">
        <v>33000000</v>
      </c>
      <c r="D5" s="5">
        <v>1</v>
      </c>
      <c r="E5" t="s">
        <v>255</v>
      </c>
      <c r="F5">
        <v>1</v>
      </c>
    </row>
    <row r="6" spans="1:6" x14ac:dyDescent="0.2">
      <c r="A6" t="s">
        <v>368</v>
      </c>
      <c r="B6" s="7">
        <v>29366298.100000001</v>
      </c>
      <c r="C6" s="7">
        <v>29366298.100000001</v>
      </c>
      <c r="D6" s="5">
        <v>1</v>
      </c>
      <c r="E6" t="s">
        <v>367</v>
      </c>
      <c r="F6">
        <v>1</v>
      </c>
    </row>
    <row r="7" spans="1:6" hidden="1" x14ac:dyDescent="0.2">
      <c r="A7" t="s">
        <v>474</v>
      </c>
      <c r="B7">
        <v>99723.8</v>
      </c>
      <c r="C7">
        <v>99723.8</v>
      </c>
      <c r="D7">
        <v>1</v>
      </c>
      <c r="E7" t="s">
        <v>473</v>
      </c>
      <c r="F7">
        <v>1</v>
      </c>
    </row>
    <row r="8" spans="1:6" x14ac:dyDescent="0.2">
      <c r="A8" t="s">
        <v>207</v>
      </c>
      <c r="B8" s="7">
        <v>25020000</v>
      </c>
      <c r="C8" s="7">
        <v>25000000</v>
      </c>
      <c r="D8" s="5">
        <v>0.99920063948840931</v>
      </c>
      <c r="E8" t="s">
        <v>206</v>
      </c>
      <c r="F8">
        <v>2</v>
      </c>
    </row>
    <row r="9" spans="1:6" x14ac:dyDescent="0.2">
      <c r="A9" t="s">
        <v>237</v>
      </c>
      <c r="B9" s="7">
        <v>393173961.89999998</v>
      </c>
      <c r="C9" s="7">
        <v>391310836.89999998</v>
      </c>
      <c r="D9" s="5">
        <v>0.99526132150003899</v>
      </c>
      <c r="E9" t="s">
        <v>236</v>
      </c>
      <c r="F9">
        <v>5</v>
      </c>
    </row>
    <row r="10" spans="1:6" x14ac:dyDescent="0.2">
      <c r="A10" t="s">
        <v>82</v>
      </c>
      <c r="B10" s="7">
        <v>3176275.8</v>
      </c>
      <c r="C10" s="7">
        <v>3122509</v>
      </c>
      <c r="D10" s="5">
        <v>0.98307237677534176</v>
      </c>
      <c r="E10" t="s">
        <v>81</v>
      </c>
      <c r="F10">
        <v>3</v>
      </c>
    </row>
    <row r="11" spans="1:6" hidden="1" x14ac:dyDescent="0.2">
      <c r="A11" t="s">
        <v>588</v>
      </c>
      <c r="B11">
        <v>145136</v>
      </c>
      <c r="C11">
        <v>139084</v>
      </c>
      <c r="D11">
        <v>0.95830117958328742</v>
      </c>
      <c r="E11" t="s">
        <v>116</v>
      </c>
      <c r="F11">
        <v>3</v>
      </c>
    </row>
    <row r="12" spans="1:6" x14ac:dyDescent="0.2">
      <c r="A12" t="s">
        <v>112</v>
      </c>
      <c r="B12" s="7">
        <v>23934935.800000001</v>
      </c>
      <c r="C12" s="7">
        <v>22032608.199999999</v>
      </c>
      <c r="D12" s="5">
        <v>0.92052088144727751</v>
      </c>
      <c r="E12" t="s">
        <v>260</v>
      </c>
      <c r="F12">
        <v>5</v>
      </c>
    </row>
    <row r="13" spans="1:6" hidden="1" x14ac:dyDescent="0.2">
      <c r="A13" t="s">
        <v>252</v>
      </c>
      <c r="B13">
        <v>505600</v>
      </c>
      <c r="C13">
        <v>432000</v>
      </c>
      <c r="D13">
        <v>0.85443037974683544</v>
      </c>
      <c r="E13" t="s">
        <v>356</v>
      </c>
      <c r="F13">
        <v>2</v>
      </c>
    </row>
    <row r="14" spans="1:6" x14ac:dyDescent="0.2">
      <c r="A14" t="s">
        <v>127</v>
      </c>
      <c r="B14" s="7">
        <v>56805995.099999987</v>
      </c>
      <c r="C14" s="7">
        <v>48196132.299999997</v>
      </c>
      <c r="D14" s="5">
        <v>0.84843390587836054</v>
      </c>
      <c r="E14" t="s">
        <v>420</v>
      </c>
      <c r="F14">
        <v>2</v>
      </c>
    </row>
    <row r="15" spans="1:6" x14ac:dyDescent="0.2">
      <c r="A15" t="s">
        <v>21</v>
      </c>
      <c r="B15" s="7">
        <v>5785591.2999999998</v>
      </c>
      <c r="C15" s="7">
        <v>4647616.3</v>
      </c>
      <c r="D15" s="5">
        <v>0.80330878193902155</v>
      </c>
      <c r="E15" t="s">
        <v>264</v>
      </c>
      <c r="F15">
        <v>3</v>
      </c>
    </row>
    <row r="16" spans="1:6" x14ac:dyDescent="0.2">
      <c r="A16" t="s">
        <v>89</v>
      </c>
      <c r="B16" s="7">
        <v>30066682.300000001</v>
      </c>
      <c r="C16" s="7">
        <v>22564835.300000001</v>
      </c>
      <c r="D16" s="5">
        <v>0.75049302330240808</v>
      </c>
      <c r="E16" t="s">
        <v>88</v>
      </c>
      <c r="F16">
        <v>3</v>
      </c>
    </row>
    <row r="17" spans="1:6" hidden="1" x14ac:dyDescent="0.2">
      <c r="A17" t="s">
        <v>480</v>
      </c>
      <c r="B17">
        <v>10500</v>
      </c>
      <c r="C17">
        <v>7500</v>
      </c>
      <c r="D17">
        <v>0.7142857142857143</v>
      </c>
      <c r="E17" t="s">
        <v>481</v>
      </c>
      <c r="F17">
        <v>2</v>
      </c>
    </row>
    <row r="18" spans="1:6" hidden="1" x14ac:dyDescent="0.2">
      <c r="A18" t="s">
        <v>246</v>
      </c>
      <c r="B18">
        <v>436000</v>
      </c>
      <c r="C18">
        <v>252000</v>
      </c>
      <c r="D18">
        <v>0.57798165137614677</v>
      </c>
      <c r="E18" t="s">
        <v>250</v>
      </c>
      <c r="F18">
        <v>2</v>
      </c>
    </row>
    <row r="19" spans="1:6" x14ac:dyDescent="0.2">
      <c r="A19" t="s">
        <v>28</v>
      </c>
      <c r="B19" s="7">
        <v>4872752519.500001</v>
      </c>
      <c r="C19" s="7">
        <v>2082115154</v>
      </c>
      <c r="D19" s="5">
        <v>0.42729753782234942</v>
      </c>
      <c r="E19" t="s">
        <v>628</v>
      </c>
      <c r="F19">
        <v>94</v>
      </c>
    </row>
    <row r="20" spans="1:6" x14ac:dyDescent="0.2">
      <c r="A20" t="s">
        <v>52</v>
      </c>
      <c r="B20" s="7">
        <v>234822147.30000001</v>
      </c>
      <c r="C20" s="7">
        <v>89890205.299999997</v>
      </c>
      <c r="D20" s="5">
        <v>0.38280122353689078</v>
      </c>
      <c r="E20" t="s">
        <v>135</v>
      </c>
      <c r="F20">
        <v>19</v>
      </c>
    </row>
    <row r="21" spans="1:6" x14ac:dyDescent="0.2">
      <c r="A21" t="s">
        <v>49</v>
      </c>
      <c r="B21" s="7">
        <v>349414321.40000004</v>
      </c>
      <c r="C21" s="7">
        <v>128893513.7</v>
      </c>
      <c r="D21" s="5">
        <v>0.36888446124234903</v>
      </c>
      <c r="E21" t="s">
        <v>48</v>
      </c>
      <c r="F21">
        <v>14</v>
      </c>
    </row>
    <row r="22" spans="1:6" x14ac:dyDescent="0.2">
      <c r="A22" t="s">
        <v>141</v>
      </c>
      <c r="B22" s="7">
        <v>135346735.69999999</v>
      </c>
      <c r="C22" s="7">
        <v>47900000</v>
      </c>
      <c r="D22" s="5">
        <v>0.35390583860235653</v>
      </c>
      <c r="E22" t="s">
        <v>209</v>
      </c>
      <c r="F22">
        <v>15</v>
      </c>
    </row>
    <row r="23" spans="1:6" x14ac:dyDescent="0.2">
      <c r="A23" t="s">
        <v>54</v>
      </c>
      <c r="B23" s="7">
        <v>89562060.000000015</v>
      </c>
      <c r="C23" s="7">
        <v>31055344.5</v>
      </c>
      <c r="D23" s="5">
        <v>0.3467466525446154</v>
      </c>
      <c r="E23" t="s">
        <v>591</v>
      </c>
      <c r="F23">
        <v>27</v>
      </c>
    </row>
    <row r="24" spans="1:6" x14ac:dyDescent="0.2">
      <c r="A24" t="s">
        <v>411</v>
      </c>
      <c r="B24" s="7">
        <v>13366072.899999999</v>
      </c>
      <c r="C24" s="7">
        <v>4606280.5999999996</v>
      </c>
      <c r="D24" s="5">
        <v>0.34462482993041288</v>
      </c>
      <c r="E24" t="s">
        <v>427</v>
      </c>
      <c r="F24">
        <v>7</v>
      </c>
    </row>
    <row r="25" spans="1:6" x14ac:dyDescent="0.2">
      <c r="A25" t="s">
        <v>37</v>
      </c>
      <c r="B25" s="7">
        <v>74837922.099999994</v>
      </c>
      <c r="C25" s="7">
        <v>25628555</v>
      </c>
      <c r="D25" s="5">
        <v>0.34245412326860958</v>
      </c>
      <c r="E25" t="s">
        <v>546</v>
      </c>
      <c r="F25">
        <v>11</v>
      </c>
    </row>
    <row r="26" spans="1:6" x14ac:dyDescent="0.2">
      <c r="A26" t="s">
        <v>178</v>
      </c>
      <c r="B26" s="7">
        <v>22068737.399999999</v>
      </c>
      <c r="C26" s="7">
        <v>6958000</v>
      </c>
      <c r="D26" s="5">
        <v>0.31528763399033422</v>
      </c>
      <c r="E26" t="s">
        <v>574</v>
      </c>
      <c r="F26">
        <v>8</v>
      </c>
    </row>
    <row r="27" spans="1:6" x14ac:dyDescent="0.2">
      <c r="A27" t="s">
        <v>65</v>
      </c>
      <c r="B27" s="7">
        <v>166491118.09999999</v>
      </c>
      <c r="C27" s="7">
        <v>52296652.799999997</v>
      </c>
      <c r="D27" s="5">
        <v>0.31411076696949636</v>
      </c>
      <c r="E27" t="s">
        <v>429</v>
      </c>
      <c r="F27">
        <v>22</v>
      </c>
    </row>
    <row r="28" spans="1:6" x14ac:dyDescent="0.2">
      <c r="A28" t="s">
        <v>67</v>
      </c>
      <c r="B28" s="7">
        <v>737666562.79999983</v>
      </c>
      <c r="C28" s="7">
        <v>174250000</v>
      </c>
      <c r="D28" s="5">
        <v>0.23621783714662367</v>
      </c>
      <c r="E28" t="s">
        <v>537</v>
      </c>
      <c r="F28">
        <v>19</v>
      </c>
    </row>
    <row r="29" spans="1:6" x14ac:dyDescent="0.2">
      <c r="A29" t="s">
        <v>42</v>
      </c>
      <c r="B29" s="7">
        <v>112739903.8</v>
      </c>
      <c r="C29" s="7">
        <v>24000000</v>
      </c>
      <c r="D29" s="5">
        <v>0.21287937270707516</v>
      </c>
      <c r="E29" t="s">
        <v>617</v>
      </c>
      <c r="F29">
        <v>26</v>
      </c>
    </row>
    <row r="30" spans="1:6" x14ac:dyDescent="0.2">
      <c r="A30" t="s">
        <v>8</v>
      </c>
      <c r="B30" s="7">
        <v>4340089838.7999992</v>
      </c>
      <c r="C30" s="7">
        <v>877774476.60000002</v>
      </c>
      <c r="D30" s="5">
        <v>0.20224799697756896</v>
      </c>
      <c r="E30" t="s">
        <v>7</v>
      </c>
      <c r="F30">
        <v>106</v>
      </c>
    </row>
    <row r="31" spans="1:6" x14ac:dyDescent="0.2">
      <c r="A31" t="s">
        <v>59</v>
      </c>
      <c r="B31" s="7">
        <v>266628420.90000001</v>
      </c>
      <c r="C31" s="7">
        <v>49000000</v>
      </c>
      <c r="D31" s="5">
        <v>0.18377635750382978</v>
      </c>
      <c r="E31" t="s">
        <v>189</v>
      </c>
      <c r="F31">
        <v>21</v>
      </c>
    </row>
    <row r="32" spans="1:6" x14ac:dyDescent="0.2">
      <c r="A32" t="s">
        <v>24</v>
      </c>
      <c r="B32" s="7">
        <v>2620049840</v>
      </c>
      <c r="C32" s="7">
        <v>439656359.40000004</v>
      </c>
      <c r="D32" s="5">
        <v>0.16780457863351181</v>
      </c>
      <c r="E32" t="s">
        <v>23</v>
      </c>
      <c r="F32">
        <v>77</v>
      </c>
    </row>
    <row r="33" spans="1:6" x14ac:dyDescent="0.2">
      <c r="A33" t="s">
        <v>69</v>
      </c>
      <c r="B33" s="7">
        <v>1616354844.1000001</v>
      </c>
      <c r="C33" s="7">
        <v>210000000</v>
      </c>
      <c r="D33" s="5">
        <v>0.12992196655736801</v>
      </c>
      <c r="E33" t="s">
        <v>269</v>
      </c>
      <c r="F33">
        <v>43</v>
      </c>
    </row>
    <row r="34" spans="1:6" x14ac:dyDescent="0.2">
      <c r="A34" t="s">
        <v>99</v>
      </c>
      <c r="B34" s="7">
        <v>60101705.299999997</v>
      </c>
      <c r="C34" s="7">
        <v>7089237</v>
      </c>
      <c r="D34" s="5">
        <v>0.11795400753795252</v>
      </c>
      <c r="E34" t="s">
        <v>571</v>
      </c>
      <c r="F34">
        <v>24</v>
      </c>
    </row>
    <row r="35" spans="1:6" x14ac:dyDescent="0.2">
      <c r="A35" t="s">
        <v>132</v>
      </c>
      <c r="B35" s="7">
        <v>76163500</v>
      </c>
      <c r="C35" s="7">
        <v>8000000</v>
      </c>
      <c r="D35" s="5">
        <v>0.10503718972998878</v>
      </c>
      <c r="E35" t="s">
        <v>131</v>
      </c>
      <c r="F35">
        <v>14</v>
      </c>
    </row>
    <row r="36" spans="1:6" x14ac:dyDescent="0.2">
      <c r="A36" t="s">
        <v>18</v>
      </c>
      <c r="B36" s="7">
        <v>3214403776.0000005</v>
      </c>
      <c r="C36" s="7">
        <v>307524208.60000002</v>
      </c>
      <c r="D36" s="5">
        <v>9.5670684217115595E-2</v>
      </c>
      <c r="E36" t="s">
        <v>121</v>
      </c>
      <c r="F36">
        <v>87</v>
      </c>
    </row>
    <row r="37" spans="1:6" x14ac:dyDescent="0.2">
      <c r="A37" t="s">
        <v>152</v>
      </c>
      <c r="B37" s="7">
        <v>57165060.100000001</v>
      </c>
      <c r="C37" s="7">
        <v>3000000</v>
      </c>
      <c r="D37" s="5">
        <v>5.2479608956100793E-2</v>
      </c>
      <c r="E37" t="s">
        <v>165</v>
      </c>
      <c r="F37">
        <v>21</v>
      </c>
    </row>
  </sheetData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Small Contracts</vt:lpstr>
      <vt:lpstr>Savings</vt:lpstr>
      <vt:lpstr>Vendors</vt:lpstr>
      <vt:lpstr>Risk Detail</vt:lpstr>
      <vt:lpstr>Trend</vt:lpstr>
      <vt:lpstr>Risk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 Nicholas Song</cp:lastModifiedBy>
  <dcterms:created xsi:type="dcterms:W3CDTF">2026-10-24T23:34:35Z</dcterms:created>
  <dcterms:modified xsi:type="dcterms:W3CDTF">2026-10-25T02:14:18Z</dcterms:modified>
</cp:coreProperties>
</file>